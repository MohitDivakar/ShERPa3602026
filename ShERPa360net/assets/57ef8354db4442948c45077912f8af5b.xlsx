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externalReferences>
    <externalReference r:id="rId5"/>
  </externalReferences>
  <definedNames>
    <definedName function="false" hidden="false" localSheetId="0" name="_xlnm._FilterDatabase" vbProcedure="false">Sheet1!$A$1:$AE$4501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<sst xmlns="http://schemas.openxmlformats.org/spreadsheetml/2006/main" count="54193" uniqueCount="1470">
  <si>
    <t xml:space="preserve">SR no</t>
  </si>
  <si>
    <t xml:space="preserve">Notification  No</t>
  </si>
  <si>
    <t xml:space="preserve">Receipt Date</t>
  </si>
  <si>
    <t xml:space="preserve">S R NO</t>
  </si>
  <si>
    <t xml:space="preserve">FAULT REPORTED</t>
  </si>
  <si>
    <t xml:space="preserve">TAG</t>
  </si>
  <si>
    <t xml:space="preserve">ESN NO</t>
  </si>
  <si>
    <t xml:space="preserve">Status</t>
  </si>
  <si>
    <t xml:space="preserve">MATERIAL CODE</t>
  </si>
  <si>
    <t xml:space="preserve">PRESCAN Code</t>
  </si>
  <si>
    <t xml:space="preserve">PRESCAN Name</t>
  </si>
  <si>
    <t xml:space="preserve">Object Part</t>
  </si>
  <si>
    <t xml:space="preserve">Object Part DESCRIPTION</t>
  </si>
  <si>
    <t xml:space="preserve">DAMAGE</t>
  </si>
  <si>
    <t xml:space="preserve">DAMAGE DESCRIPTION</t>
  </si>
  <si>
    <t xml:space="preserve">CAUSE CODE</t>
  </si>
  <si>
    <t xml:space="preserve">CAUSE DESCRIPTION</t>
  </si>
  <si>
    <t xml:space="preserve">ACTION CODE</t>
  </si>
  <si>
    <t xml:space="preserve">ACTION/REPAIR TASK</t>
  </si>
  <si>
    <t xml:space="preserve">REPAIR TASK DESCRIPTION</t>
  </si>
  <si>
    <t xml:space="preserve">EXTRA REMARK FOR IR</t>
  </si>
  <si>
    <t xml:space="preserve">REASON CODE</t>
  </si>
  <si>
    <t xml:space="preserve">REASON IR</t>
  </si>
  <si>
    <t xml:space="preserve">REPAIRED TECH code</t>
  </si>
  <si>
    <t xml:space="preserve">REPAIRED TECH NAME</t>
  </si>
  <si>
    <t xml:space="preserve">PART LOCATION</t>
  </si>
  <si>
    <t xml:space="preserve">DECLERED DATE</t>
  </si>
  <si>
    <t xml:space="preserve">Remarks</t>
  </si>
  <si>
    <t xml:space="preserve">k</t>
  </si>
  <si>
    <t xml:space="preserve">panding</t>
  </si>
  <si>
    <t xml:space="preserve">Tag Details</t>
  </si>
  <si>
    <t xml:space="preserve">05.07.2021</t>
  </si>
  <si>
    <t xml:space="preserve">W3.031</t>
  </si>
  <si>
    <t xml:space="preserve">STANDBY</t>
  </si>
  <si>
    <t xml:space="preserve">Def Tag Available</t>
  </si>
  <si>
    <t xml:space="preserve">IR</t>
  </si>
  <si>
    <t xml:space="preserve">TECH HD</t>
  </si>
  <si>
    <t xml:space="preserve">A041</t>
  </si>
  <si>
    <t xml:space="preserve">IR CID - Tampered Track burn out</t>
  </si>
  <si>
    <t xml:space="preserve">UD1,U8</t>
  </si>
  <si>
    <t xml:space="preserve">02.09.2021</t>
  </si>
  <si>
    <t xml:space="preserve">-</t>
  </si>
  <si>
    <t xml:space="preserve">HIMANSHU</t>
  </si>
  <si>
    <t xml:space="preserve">BER REPAIRED</t>
  </si>
  <si>
    <t xml:space="preserve">STD</t>
  </si>
  <si>
    <t xml:space="preserve">28.05.2021</t>
  </si>
  <si>
    <t xml:space="preserve">N A</t>
  </si>
  <si>
    <t xml:space="preserve">DEAD</t>
  </si>
  <si>
    <t xml:space="preserve">UD1,U8,U10,R323,R7,R7</t>
  </si>
  <si>
    <t xml:space="preserve">REPAIRED</t>
  </si>
  <si>
    <t xml:space="preserve">KAON HD</t>
  </si>
  <si>
    <t xml:space="preserve">20.01.2021</t>
  </si>
  <si>
    <t xml:space="preserve">W4.320</t>
  </si>
  <si>
    <t xml:space="preserve">NFF</t>
  </si>
  <si>
    <t xml:space="preserve">SAMSUNG HD</t>
  </si>
  <si>
    <t xml:space="preserve">15.07.2021</t>
  </si>
  <si>
    <t xml:space="preserve">W3.018</t>
  </si>
  <si>
    <t xml:space="preserve">UD1,U8,U10</t>
  </si>
  <si>
    <t xml:space="preserve">SOAKING FAIL REPAIRED</t>
  </si>
  <si>
    <t xml:space="preserve">05.06.2021</t>
  </si>
  <si>
    <t xml:space="preserve">W3.100</t>
  </si>
  <si>
    <t xml:space="preserve">QC FAIL REPAIRED</t>
  </si>
  <si>
    <t xml:space="preserve">PVR SD</t>
  </si>
  <si>
    <t xml:space="preserve">13.09.2021</t>
  </si>
  <si>
    <t xml:space="preserve">NA</t>
  </si>
  <si>
    <t xml:space="preserve">IMPEDENCE FAIL REPAIRED</t>
  </si>
  <si>
    <t xml:space="preserve">PVR HD</t>
  </si>
  <si>
    <t xml:space="preserve">22.010.2020</t>
  </si>
  <si>
    <t xml:space="preserve">IR REPAIRED</t>
  </si>
  <si>
    <t xml:space="preserve">JADE HD</t>
  </si>
  <si>
    <t xml:space="preserve">NA(Tag Not Available)</t>
  </si>
  <si>
    <t xml:space="preserve">COLD SOAK FAIL REPAIRED</t>
  </si>
  <si>
    <t xml:space="preserve">NOVA HD</t>
  </si>
  <si>
    <t xml:space="preserve">08.07.2021</t>
  </si>
  <si>
    <t xml:space="preserve">T-51</t>
  </si>
  <si>
    <t xml:space="preserve">24.05.2021</t>
  </si>
  <si>
    <t xml:space="preserve">HEERA</t>
  </si>
  <si>
    <t xml:space="preserve">20.06.2021</t>
  </si>
  <si>
    <t xml:space="preserve">W3.028</t>
  </si>
  <si>
    <t xml:space="preserve">PANNA</t>
  </si>
  <si>
    <t xml:space="preserve">28.06.2021</t>
  </si>
  <si>
    <t xml:space="preserve">E2.325</t>
  </si>
  <si>
    <t xml:space="preserve">SKY WORTH</t>
  </si>
  <si>
    <t xml:space="preserve">22.04.2021</t>
  </si>
  <si>
    <t xml:space="preserve">BINGE</t>
  </si>
  <si>
    <t xml:space="preserve">02.06.2021</t>
  </si>
  <si>
    <t xml:space="preserve">W3.087</t>
  </si>
  <si>
    <t xml:space="preserve">09.06.2021</t>
  </si>
  <si>
    <t xml:space="preserve">W3.013</t>
  </si>
  <si>
    <t xml:space="preserve">16.03.2020</t>
  </si>
  <si>
    <t xml:space="preserve">26.07.2021</t>
  </si>
  <si>
    <t xml:space="preserve">UPGRADE</t>
  </si>
  <si>
    <t xml:space="preserve">Upgrade Tag Available</t>
  </si>
  <si>
    <t xml:space="preserve">09.08.2021</t>
  </si>
  <si>
    <t xml:space="preserve">`844021749610</t>
  </si>
  <si>
    <t xml:space="preserve">05.08.2021</t>
  </si>
  <si>
    <t xml:space="preserve">A004</t>
  </si>
  <si>
    <t xml:space="preserve">RP004,RP005</t>
  </si>
  <si>
    <t xml:space="preserve">09.04.2021</t>
  </si>
  <si>
    <t xml:space="preserve">ERROR1</t>
  </si>
  <si>
    <t xml:space="preserve">A050</t>
  </si>
  <si>
    <t xml:space="preserve">IR Normal -TrackRust/InternalDamage/open</t>
  </si>
  <si>
    <t xml:space="preserve">20.08.2021</t>
  </si>
  <si>
    <t xml:space="preserve">W3.206</t>
  </si>
  <si>
    <t xml:space="preserve">21.08.2021</t>
  </si>
  <si>
    <t xml:space="preserve">W3.003</t>
  </si>
  <si>
    <t xml:space="preserve">A018</t>
  </si>
  <si>
    <t xml:space="preserve">UP098,UA001</t>
  </si>
  <si>
    <t xml:space="preserve">W3.083</t>
  </si>
  <si>
    <t xml:space="preserve">VIDEO PROBLEM</t>
  </si>
  <si>
    <t xml:space="preserve">IR Normal - Multiple time repair </t>
  </si>
  <si>
    <t xml:space="preserve">A031</t>
  </si>
  <si>
    <t xml:space="preserve">UV001,UA001,UP098,UN001</t>
  </si>
  <si>
    <t xml:space="preserve">W3.218</t>
  </si>
  <si>
    <t xml:space="preserve">NO SIGNAL</t>
  </si>
  <si>
    <t xml:space="preserve">A042</t>
  </si>
  <si>
    <t xml:space="preserve">21.08.201</t>
  </si>
  <si>
    <t xml:space="preserve">W3.0180</t>
  </si>
  <si>
    <t xml:space="preserve">A053</t>
  </si>
  <si>
    <t xml:space="preserve">W3.007</t>
  </si>
  <si>
    <t xml:space="preserve">IR CID -Fullydamage-Broken/Dent/Burn out</t>
  </si>
  <si>
    <t xml:space="preserve">A063</t>
  </si>
  <si>
    <t xml:space="preserve">IR CID -  Water log from other area</t>
  </si>
  <si>
    <t xml:space="preserve">LP041,CX014</t>
  </si>
  <si>
    <t xml:space="preserve">UP006,UN016</t>
  </si>
  <si>
    <t xml:space="preserve">UX001</t>
  </si>
  <si>
    <t xml:space="preserve">14.08.2021</t>
  </si>
  <si>
    <t xml:space="preserve">UD1</t>
  </si>
  <si>
    <t xml:space="preserve">U1,U5,U6,U4,U5,U12,U14</t>
  </si>
  <si>
    <t xml:space="preserve">U300,U304,U307,U1000</t>
  </si>
  <si>
    <t xml:space="preserve">U502</t>
  </si>
  <si>
    <t xml:space="preserve">W3.030</t>
  </si>
  <si>
    <t xml:space="preserve">U1103,U1104,U502,J6</t>
  </si>
  <si>
    <t xml:space="preserve">A009</t>
  </si>
  <si>
    <t xml:space="preserve">BER TO IR</t>
  </si>
  <si>
    <t xml:space="preserve">IR Normal - BER to IR</t>
  </si>
  <si>
    <t xml:space="preserve">U313</t>
  </si>
  <si>
    <t xml:space="preserve">W3.017</t>
  </si>
  <si>
    <t xml:space="preserve">W3.212</t>
  </si>
  <si>
    <t xml:space="preserve">23.08.2021</t>
  </si>
  <si>
    <t xml:space="preserve">w3.031</t>
  </si>
  <si>
    <t xml:space="preserve">UM003</t>
  </si>
  <si>
    <t xml:space="preserve">W3.221</t>
  </si>
  <si>
    <t xml:space="preserve">W3.062</t>
  </si>
  <si>
    <t xml:space="preserve">W3.215</t>
  </si>
  <si>
    <t xml:space="preserve">PICTURE FREEZING</t>
  </si>
  <si>
    <t xml:space="preserve">03.08.2021</t>
  </si>
  <si>
    <t xml:space="preserve">W3.061</t>
  </si>
  <si>
    <t xml:space="preserve">NO VIDEO</t>
  </si>
  <si>
    <t xml:space="preserve">U1</t>
  </si>
  <si>
    <t xml:space="preserve">U100</t>
  </si>
  <si>
    <t xml:space="preserve">23.07.2021</t>
  </si>
  <si>
    <t xml:space="preserve">21.08.2011</t>
  </si>
  <si>
    <t xml:space="preserve">11.08.201</t>
  </si>
  <si>
    <t xml:space="preserve">W3.014</t>
  </si>
  <si>
    <t xml:space="preserve">W3.060</t>
  </si>
  <si>
    <t xml:space="preserve">W3.045</t>
  </si>
  <si>
    <t xml:space="preserve">W4.380</t>
  </si>
  <si>
    <t xml:space="preserve">W3.006</t>
  </si>
  <si>
    <t xml:space="preserve">24.08.2021</t>
  </si>
  <si>
    <t xml:space="preserve">27.01.2021</t>
  </si>
  <si>
    <t xml:space="preserve">08.08.2020</t>
  </si>
  <si>
    <t xml:space="preserve">11.08.2021</t>
  </si>
  <si>
    <t xml:space="preserve">03.09.2021</t>
  </si>
  <si>
    <t xml:space="preserve">ALL LED GLOW</t>
  </si>
  <si>
    <t xml:space="preserve">10.07.2021</t>
  </si>
  <si>
    <t xml:space="preserve">HDMI NOT WOEKUNG</t>
  </si>
  <si>
    <t xml:space="preserve">W3.032</t>
  </si>
  <si>
    <t xml:space="preserve">18.06.2019</t>
  </si>
  <si>
    <t xml:space="preserve">28.08.2019</t>
  </si>
  <si>
    <t xml:space="preserve">13.11.2021</t>
  </si>
  <si>
    <t xml:space="preserve">22.06.2019</t>
  </si>
  <si>
    <t xml:space="preserve">POWER ISSUE</t>
  </si>
  <si>
    <t xml:space="preserve">QP003</t>
  </si>
  <si>
    <t xml:space="preserve">12.08.2021</t>
  </si>
  <si>
    <t xml:space="preserve">W3.223</t>
  </si>
  <si>
    <t xml:space="preserve">STB NOT WORKING</t>
  </si>
  <si>
    <t xml:space="preserve">ERROR 2</t>
  </si>
  <si>
    <t xml:space="preserve">HANG</t>
  </si>
  <si>
    <t xml:space="preserve">03.07.2021</t>
  </si>
  <si>
    <t xml:space="preserve">W3.209</t>
  </si>
  <si>
    <t xml:space="preserve">25.08.2021</t>
  </si>
  <si>
    <t xml:space="preserve">07.09.2021</t>
  </si>
  <si>
    <t xml:space="preserve">W4.222</t>
  </si>
  <si>
    <t xml:space="preserve">31.08.2021</t>
  </si>
  <si>
    <t xml:space="preserve">01.06.2021</t>
  </si>
  <si>
    <t xml:space="preserve">W3.004</t>
  </si>
  <si>
    <t xml:space="preserve">01.07.20219</t>
  </si>
  <si>
    <t xml:space="preserve">06.08.2021</t>
  </si>
  <si>
    <t xml:space="preserve">09.07.2021</t>
  </si>
  <si>
    <t xml:space="preserve">W3.064</t>
  </si>
  <si>
    <t xml:space="preserve">08.06.2021</t>
  </si>
  <si>
    <t xml:space="preserve">19.08.2021</t>
  </si>
  <si>
    <t xml:space="preserve">SWICHING ON/OFF</t>
  </si>
  <si>
    <t xml:space="preserve">UM003,UX001</t>
  </si>
  <si>
    <t xml:space="preserve">W3.203</t>
  </si>
  <si>
    <t xml:space="preserve">W3.084</t>
  </si>
  <si>
    <t xml:space="preserve">07.07.2021</t>
  </si>
  <si>
    <t xml:space="preserve">W3.103</t>
  </si>
  <si>
    <t xml:space="preserve">IR CID - Tampered TrackOpen/Reworkdone </t>
  </si>
  <si>
    <t xml:space="preserve">AUTO ON/OFF</t>
  </si>
  <si>
    <t xml:space="preserve">25.05.2021</t>
  </si>
  <si>
    <t xml:space="preserve">W3.041</t>
  </si>
  <si>
    <t xml:space="preserve">30.06.2021</t>
  </si>
  <si>
    <t xml:space="preserve">10.09.2021</t>
  </si>
  <si>
    <t xml:space="preserve">W3.210</t>
  </si>
  <si>
    <t xml:space="preserve">W3.039</t>
  </si>
  <si>
    <t xml:space="preserve">w3.066</t>
  </si>
  <si>
    <t xml:space="preserve">SELF REBOOTING</t>
  </si>
  <si>
    <t xml:space="preserve">W3.066</t>
  </si>
  <si>
    <t xml:space="preserve">W3.03</t>
  </si>
  <si>
    <t xml:space="preserve">REMOTE PROBLEM</t>
  </si>
  <si>
    <t xml:space="preserve">13.07.2021</t>
  </si>
  <si>
    <t xml:space="preserve">W3.034</t>
  </si>
  <si>
    <t xml:space="preserve">W3.081</t>
  </si>
  <si>
    <t xml:space="preserve">13.04.2019</t>
  </si>
  <si>
    <t xml:space="preserve">25.08.20213</t>
  </si>
  <si>
    <t xml:space="preserve">W3.068</t>
  </si>
  <si>
    <t xml:space="preserve">10.08.2021</t>
  </si>
  <si>
    <t xml:space="preserve">W4.228</t>
  </si>
  <si>
    <t xml:space="preserve">31.07.2021</t>
  </si>
  <si>
    <t xml:space="preserve">W3.108</t>
  </si>
  <si>
    <t xml:space="preserve">UM001</t>
  </si>
  <si>
    <t xml:space="preserve">11.09.2021</t>
  </si>
  <si>
    <t xml:space="preserve">w3.064</t>
  </si>
  <si>
    <t xml:space="preserve">W3.039+</t>
  </si>
  <si>
    <t xml:space="preserve">U1000</t>
  </si>
  <si>
    <t xml:space="preserve">W3.106</t>
  </si>
  <si>
    <t xml:space="preserve">24.09.2020</t>
  </si>
  <si>
    <t xml:space="preserve">04.09.2021</t>
  </si>
  <si>
    <t xml:space="preserve">E2.364</t>
  </si>
  <si>
    <t xml:space="preserve">W4.409</t>
  </si>
  <si>
    <t xml:space="preserve">07.08.2021</t>
  </si>
  <si>
    <t xml:space="preserve">08.09.2021</t>
  </si>
  <si>
    <t xml:space="preserve">ERROR 1</t>
  </si>
  <si>
    <t xml:space="preserve">E2.302</t>
  </si>
  <si>
    <t xml:space="preserve">UN001,UP017,UV001,UA001</t>
  </si>
  <si>
    <t xml:space="preserve">15.09.2021</t>
  </si>
  <si>
    <t xml:space="preserve">MEGHA</t>
  </si>
  <si>
    <t xml:space="preserve">A005</t>
  </si>
  <si>
    <t xml:space="preserve">UM001,UA001,UV001</t>
  </si>
  <si>
    <t xml:space="preserve">A008</t>
  </si>
  <si>
    <t xml:space="preserve">UA001,UP098</t>
  </si>
  <si>
    <t xml:space="preserve">UM001,UA001,UV001,UP098</t>
  </si>
  <si>
    <t xml:space="preserve">UM001,UA001,UN001</t>
  </si>
  <si>
    <t xml:space="preserve">UP098,UA001,UN001</t>
  </si>
  <si>
    <t xml:space="preserve">UM001,UP098</t>
  </si>
  <si>
    <t xml:space="preserve">UM001,UP098,UN001</t>
  </si>
  <si>
    <t xml:space="preserve">IR Normal - Track burn out</t>
  </si>
  <si>
    <t xml:space="preserve">UP056</t>
  </si>
  <si>
    <t xml:space="preserve">W4.520</t>
  </si>
  <si>
    <t xml:space="preserve">UN001</t>
  </si>
  <si>
    <t xml:space="preserve">A006</t>
  </si>
  <si>
    <t xml:space="preserve">UX036,DN009,UP098,UA001</t>
  </si>
  <si>
    <t xml:space="preserve">UM001,UP098,UA001,UV001</t>
  </si>
  <si>
    <t xml:space="preserve">AUTO ON/STANDBY</t>
  </si>
  <si>
    <t xml:space="preserve">IR CID -  Water log from IF port</t>
  </si>
  <si>
    <t xml:space="preserve">EH002</t>
  </si>
  <si>
    <t xml:space="preserve">UP098,UN001,UA001,UV001,UM001</t>
  </si>
  <si>
    <t xml:space="preserve">UM001,UN001</t>
  </si>
  <si>
    <t xml:space="preserve">UM001,UN001,UP098</t>
  </si>
  <si>
    <t xml:space="preserve">UP098,UX036,UV001,UA001</t>
  </si>
  <si>
    <t xml:space="preserve">UP098,UN001,UM001</t>
  </si>
  <si>
    <t xml:space="preserve">UP098,UM001,UM201</t>
  </si>
  <si>
    <t xml:space="preserve">UP098,UM001,UM201,UN001</t>
  </si>
  <si>
    <t xml:space="preserve">UP098,UM001,UA001,UN001</t>
  </si>
  <si>
    <t xml:space="preserve">UP098</t>
  </si>
  <si>
    <t xml:space="preserve">A007</t>
  </si>
  <si>
    <t xml:space="preserve">12.07.2021</t>
  </si>
  <si>
    <t xml:space="preserve">W3.227</t>
  </si>
  <si>
    <t xml:space="preserve">A011</t>
  </si>
  <si>
    <t xml:space="preserve">UV001,UA001</t>
  </si>
  <si>
    <t xml:space="preserve">RP004,RP504,RP505</t>
  </si>
  <si>
    <t xml:space="preserve">UP098,UM001</t>
  </si>
  <si>
    <t xml:space="preserve">DEAD &amp; AUTO ON/STANDBY</t>
  </si>
  <si>
    <t xml:space="preserve">UN001,UA001,UM001</t>
  </si>
  <si>
    <t xml:space="preserve">UP098,UN001</t>
  </si>
  <si>
    <t xml:space="preserve">UA001,UP098,UN001</t>
  </si>
  <si>
    <t xml:space="preserve">10.06.2021</t>
  </si>
  <si>
    <t xml:space="preserve">QP015,QP017</t>
  </si>
  <si>
    <t xml:space="preserve">W3.101</t>
  </si>
  <si>
    <t xml:space="preserve">W3.107</t>
  </si>
  <si>
    <t xml:space="preserve">UX004,UN001,UA001,UV001</t>
  </si>
  <si>
    <t xml:space="preserve">UA001,QP008</t>
  </si>
  <si>
    <t xml:space="preserve">UA001,UV001</t>
  </si>
  <si>
    <t xml:space="preserve">UM001,UM202,UM201,UM301</t>
  </si>
  <si>
    <t xml:space="preserve">UV001,UA001,UN001</t>
  </si>
  <si>
    <t xml:space="preserve">A010</t>
  </si>
  <si>
    <t xml:space="preserve">U502,U313</t>
  </si>
  <si>
    <t xml:space="preserve">A051</t>
  </si>
  <si>
    <t xml:space="preserve">U5,U12,U6</t>
  </si>
  <si>
    <t xml:space="preserve">09.03.2021</t>
  </si>
  <si>
    <t xml:space="preserve">U15,J1</t>
  </si>
  <si>
    <t xml:space="preserve">J1</t>
  </si>
  <si>
    <t xml:space="preserve">UP005</t>
  </si>
  <si>
    <t xml:space="preserve">QP003,UP005,UP006,UN016</t>
  </si>
  <si>
    <t xml:space="preserve">QK011,QK010,UM003</t>
  </si>
  <si>
    <t xml:space="preserve">UP006,QP003</t>
  </si>
  <si>
    <t xml:space="preserve">UN016,UP005</t>
  </si>
  <si>
    <t xml:space="preserve">23.06.2021</t>
  </si>
  <si>
    <t xml:space="preserve">U702</t>
  </si>
  <si>
    <t xml:space="preserve">UH01,UH71,UP21,UP25,UX01</t>
  </si>
  <si>
    <t xml:space="preserve">UH71</t>
  </si>
  <si>
    <t xml:space="preserve">JT01</t>
  </si>
  <si>
    <t xml:space="preserve">W3.010</t>
  </si>
  <si>
    <t xml:space="preserve">16.07.2021</t>
  </si>
  <si>
    <t xml:space="preserve">EH81</t>
  </si>
  <si>
    <t xml:space="preserve">EH81,UH103</t>
  </si>
  <si>
    <t xml:space="preserve">U6,UD1,U5,U3</t>
  </si>
  <si>
    <t xml:space="preserve">U1,U3,U16,U5,U6,U4,U41</t>
  </si>
  <si>
    <t xml:space="preserve">U1,U3,U4,U10</t>
  </si>
  <si>
    <t xml:space="preserve">13.08.2021</t>
  </si>
  <si>
    <t xml:space="preserve">U3,R4,R7,R323</t>
  </si>
  <si>
    <t xml:space="preserve">UD1,U6,U4,U41</t>
  </si>
  <si>
    <t xml:space="preserve">UD1,U3,R4,R7,U10</t>
  </si>
  <si>
    <t xml:space="preserve">UD1,U6,U5,U1,U4</t>
  </si>
  <si>
    <t xml:space="preserve">U1,Q12,U3,U10,U41,U6</t>
  </si>
  <si>
    <t xml:space="preserve">I1,U6,U15,U4,U10,UD1</t>
  </si>
  <si>
    <t xml:space="preserve">U6,U5,UD1,U10</t>
  </si>
  <si>
    <t xml:space="preserve">UD1,U8,U7,U19,U20</t>
  </si>
  <si>
    <t xml:space="preserve">U3,R4,R7,UD1,U8,U7,U19,U20</t>
  </si>
  <si>
    <t xml:space="preserve">UD1,U6</t>
  </si>
  <si>
    <t xml:space="preserve">UD1,U6,U41,U4</t>
  </si>
  <si>
    <t xml:space="preserve">A068</t>
  </si>
  <si>
    <t xml:space="preserve">U1,U3,U6,U4</t>
  </si>
  <si>
    <t xml:space="preserve">UD1,U7,U8</t>
  </si>
  <si>
    <t xml:space="preserve">U9001,U2222,U5956</t>
  </si>
  <si>
    <t xml:space="preserve">U5953,U4060</t>
  </si>
  <si>
    <t xml:space="preserve">U5953 </t>
  </si>
  <si>
    <t xml:space="preserve">U5953,U9001,U2222</t>
  </si>
  <si>
    <t xml:space="preserve">U5953,U9001</t>
  </si>
  <si>
    <t xml:space="preserve">U4004,U4030,U4031,U9061,U5953</t>
  </si>
  <si>
    <t xml:space="preserve">U5953,U4039,U4081</t>
  </si>
  <si>
    <t xml:space="preserve">U4031,U13008</t>
  </si>
  <si>
    <t xml:space="preserve">U2222,U9001</t>
  </si>
  <si>
    <t xml:space="preserve">UV001,UA001,UM001</t>
  </si>
  <si>
    <t xml:space="preserve">DA042</t>
  </si>
  <si>
    <t xml:space="preserve">ERROR-2</t>
  </si>
  <si>
    <t xml:space="preserve">UA001,UV001,UM001,UN001</t>
  </si>
  <si>
    <t xml:space="preserve">UM001,UA001</t>
  </si>
  <si>
    <t xml:space="preserve">UM001,UA001,RP503,RP504</t>
  </si>
  <si>
    <t xml:space="preserve">UA001</t>
  </si>
  <si>
    <t xml:space="preserve">W3.217</t>
  </si>
  <si>
    <t xml:space="preserve">UM001,UA001,UP098,UV001</t>
  </si>
  <si>
    <t xml:space="preserve">RH060,RH056,RH057</t>
  </si>
  <si>
    <t xml:space="preserve">UP056,UM001,UV001,UA001</t>
  </si>
  <si>
    <t xml:space="preserve">UM001,UN001,UP098,UA001</t>
  </si>
  <si>
    <t xml:space="preserve">W3.002</t>
  </si>
  <si>
    <t xml:space="preserve">UM001,UX004,UA001,UV001</t>
  </si>
  <si>
    <t xml:space="preserve">UA001,UN001</t>
  </si>
  <si>
    <t xml:space="preserve">UA001,UN001,UM001</t>
  </si>
  <si>
    <t xml:space="preserve">UN001,UV002</t>
  </si>
  <si>
    <t xml:space="preserve">UN001,UP098,UA001</t>
  </si>
  <si>
    <t xml:space="preserve">EH001</t>
  </si>
  <si>
    <t xml:space="preserve">RP509,RP510</t>
  </si>
  <si>
    <t xml:space="preserve">CP060</t>
  </si>
  <si>
    <t xml:space="preserve">UV001,UA001,JV002,UN001,UM001</t>
  </si>
  <si>
    <t xml:space="preserve">CH057,CH059</t>
  </si>
  <si>
    <t xml:space="preserve">UH03,UH01,UP05</t>
  </si>
  <si>
    <t xml:space="preserve">W4.370</t>
  </si>
  <si>
    <t xml:space="preserve">UP20,UH71</t>
  </si>
  <si>
    <t xml:space="preserve">JB01</t>
  </si>
  <si>
    <t xml:space="preserve">UM03,UH71</t>
  </si>
  <si>
    <t xml:space="preserve">UH01</t>
  </si>
  <si>
    <t xml:space="preserve">UN016</t>
  </si>
  <si>
    <t xml:space="preserve">QP003,UP001,UN016,UP005</t>
  </si>
  <si>
    <t xml:space="preserve">QC FAIL IR</t>
  </si>
  <si>
    <t xml:space="preserve">UD1,UX01</t>
  </si>
  <si>
    <t xml:space="preserve">QP003,UP004,UA001,UP005</t>
  </si>
  <si>
    <t xml:space="preserve">U1103,U1104,U502</t>
  </si>
  <si>
    <t xml:space="preserve">ERROR</t>
  </si>
  <si>
    <t xml:space="preserve">U300,U304,U307,U100</t>
  </si>
  <si>
    <t xml:space="preserve">U1300</t>
  </si>
  <si>
    <t xml:space="preserve">U307</t>
  </si>
  <si>
    <t xml:space="preserve">U1101</t>
  </si>
  <si>
    <t xml:space="preserve">UD1,U6,U5,U3</t>
  </si>
  <si>
    <t xml:space="preserve">J7</t>
  </si>
  <si>
    <t xml:space="preserve">U15,U1,U4,U6,U14,UD1</t>
  </si>
  <si>
    <t xml:space="preserve">UC2</t>
  </si>
  <si>
    <t xml:space="preserve">U2222,U9001,U4031,U5953</t>
  </si>
  <si>
    <t xml:space="preserve">HDMI PROBLEM</t>
  </si>
  <si>
    <t xml:space="preserve">U5953</t>
  </si>
  <si>
    <t xml:space="preserve">U2222</t>
  </si>
  <si>
    <t xml:space="preserve">29.06.2021</t>
  </si>
  <si>
    <t xml:space="preserve">CA1</t>
  </si>
  <si>
    <t xml:space="preserve">U4001</t>
  </si>
  <si>
    <t xml:space="preserve">U9008,U5040,U2222</t>
  </si>
  <si>
    <t xml:space="preserve">U6</t>
  </si>
  <si>
    <t xml:space="preserve">U1,U3,U5,U15,U4,U41,UD1</t>
  </si>
  <si>
    <t xml:space="preserve">U3,R4,R7,U6</t>
  </si>
  <si>
    <t xml:space="preserve">UD1,U8 </t>
  </si>
  <si>
    <t xml:space="preserve">U1,U3,U5,U6,U4,UD1</t>
  </si>
  <si>
    <t xml:space="preserve">NO AUDIO</t>
  </si>
  <si>
    <t xml:space="preserve">UD1,U6,U5,U3,U15</t>
  </si>
  <si>
    <t xml:space="preserve">U10,UD1,U19,U7,U8,U20</t>
  </si>
  <si>
    <t xml:space="preserve">12.06.2021</t>
  </si>
  <si>
    <t xml:space="preserve">U1,U3,U6,U41,U15,U4,UD1</t>
  </si>
  <si>
    <t xml:space="preserve">U41,U3</t>
  </si>
  <si>
    <t xml:space="preserve">U6,U41,U15,U1,U3,U5</t>
  </si>
  <si>
    <t xml:space="preserve">U1,U3,U41,U19,U20,UD1,U4</t>
  </si>
  <si>
    <t xml:space="preserve">U3,U1,U6</t>
  </si>
  <si>
    <t xml:space="preserve">U41,U6</t>
  </si>
  <si>
    <t xml:space="preserve">U41,U4</t>
  </si>
  <si>
    <t xml:space="preserve">U1,U3,U5,U6,U41,U15,U4</t>
  </si>
  <si>
    <t xml:space="preserve">W3.038</t>
  </si>
  <si>
    <t xml:space="preserve">U1,U3,U5,U6,U41,UD1</t>
  </si>
  <si>
    <t xml:space="preserve">18.06.2021</t>
  </si>
  <si>
    <t xml:space="preserve">U1600</t>
  </si>
  <si>
    <t xml:space="preserve">30.07.2021</t>
  </si>
  <si>
    <t xml:space="preserve">U1700</t>
  </si>
  <si>
    <t xml:space="preserve">FEW CHANNLE MISSING</t>
  </si>
  <si>
    <t xml:space="preserve">U32</t>
  </si>
  <si>
    <t xml:space="preserve">20.08.202</t>
  </si>
  <si>
    <t xml:space="preserve">18.09.2021</t>
  </si>
  <si>
    <t xml:space="preserve">04.03.2021</t>
  </si>
  <si>
    <t xml:space="preserve">06.06.2020</t>
  </si>
  <si>
    <t xml:space="preserve">N3.001</t>
  </si>
  <si>
    <t xml:space="preserve">N2.802</t>
  </si>
  <si>
    <t xml:space="preserve">ERRROR 2</t>
  </si>
  <si>
    <t xml:space="preserve">N2,103</t>
  </si>
  <si>
    <t xml:space="preserve">N3.009</t>
  </si>
  <si>
    <t xml:space="preserve">21.01.2021</t>
  </si>
  <si>
    <t xml:space="preserve">N1.500</t>
  </si>
  <si>
    <t xml:space="preserve">21.06.2021</t>
  </si>
  <si>
    <t xml:space="preserve">SOFTWERE DOWN FAIL</t>
  </si>
  <si>
    <t xml:space="preserve">09.12.2021</t>
  </si>
  <si>
    <t xml:space="preserve">16.06.2020</t>
  </si>
  <si>
    <t xml:space="preserve">N3.218</t>
  </si>
  <si>
    <t xml:space="preserve">05.12.2018</t>
  </si>
  <si>
    <t xml:space="preserve">09.09.2021</t>
  </si>
  <si>
    <t xml:space="preserve">20.09.2021</t>
  </si>
  <si>
    <t xml:space="preserve">02.08.2021</t>
  </si>
  <si>
    <t xml:space="preserve">E2.303</t>
  </si>
  <si>
    <t xml:space="preserve">16.09.2021</t>
  </si>
  <si>
    <t xml:space="preserve">07.11.2021</t>
  </si>
  <si>
    <t xml:space="preserve">21.09.2021</t>
  </si>
  <si>
    <t xml:space="preserve">17.09.2021</t>
  </si>
  <si>
    <t xml:space="preserve">E3.412</t>
  </si>
  <si>
    <t xml:space="preserve">04.12.2020</t>
  </si>
  <si>
    <t xml:space="preserve">E3.337</t>
  </si>
  <si>
    <t xml:space="preserve">05.08.2020</t>
  </si>
  <si>
    <t xml:space="preserve">SOFTWERE PROBLEM</t>
  </si>
  <si>
    <t xml:space="preserve">11.06.2021</t>
  </si>
  <si>
    <t xml:space="preserve">23.03.2021</t>
  </si>
  <si>
    <t xml:space="preserve">18.08.2021</t>
  </si>
  <si>
    <t xml:space="preserve">03.04.2021</t>
  </si>
  <si>
    <t xml:space="preserve">W3.040</t>
  </si>
  <si>
    <t xml:space="preserve">10.02.2021</t>
  </si>
  <si>
    <t xml:space="preserve">09.11.2021</t>
  </si>
  <si>
    <t xml:space="preserve">22.09.2021</t>
  </si>
  <si>
    <t xml:space="preserve">N3.139</t>
  </si>
  <si>
    <t xml:space="preserve">E3.611</t>
  </si>
  <si>
    <t xml:space="preserve">29.12.2020</t>
  </si>
  <si>
    <t xml:space="preserve">W3.104</t>
  </si>
  <si>
    <t xml:space="preserve">11.01.2021</t>
  </si>
  <si>
    <t xml:space="preserve">03.12.2020</t>
  </si>
  <si>
    <t xml:space="preserve">17.09.2020</t>
  </si>
  <si>
    <t xml:space="preserve">25.12.2020</t>
  </si>
  <si>
    <t xml:space="preserve">E3.104</t>
  </si>
  <si>
    <t xml:space="preserve">06.10.2020</t>
  </si>
  <si>
    <t xml:space="preserve">AUDIO PROBLEM</t>
  </si>
  <si>
    <t xml:space="preserve">N1.004</t>
  </si>
  <si>
    <t xml:space="preserve">E3.106</t>
  </si>
  <si>
    <t xml:space="preserve">15.12.2020</t>
  </si>
  <si>
    <t xml:space="preserve">07.10.2020</t>
  </si>
  <si>
    <t xml:space="preserve">09.11.2020</t>
  </si>
  <si>
    <t xml:space="preserve">04.03.20221</t>
  </si>
  <si>
    <t xml:space="preserve">E3.122</t>
  </si>
  <si>
    <t xml:space="preserve">09.10.2020</t>
  </si>
  <si>
    <t xml:space="preserve">30.06.2018</t>
  </si>
  <si>
    <t xml:space="preserve">26.10.2020</t>
  </si>
  <si>
    <t xml:space="preserve">W4.206</t>
  </si>
  <si>
    <t xml:space="preserve">W4.960</t>
  </si>
  <si>
    <t xml:space="preserve">09.01.2021</t>
  </si>
  <si>
    <t xml:space="preserve">RESTART</t>
  </si>
  <si>
    <t xml:space="preserve">21.12.2019</t>
  </si>
  <si>
    <t xml:space="preserve">HDMI NOT WORK</t>
  </si>
  <si>
    <t xml:space="preserve">23.09.2021</t>
  </si>
  <si>
    <t xml:space="preserve">W3.0223</t>
  </si>
  <si>
    <t xml:space="preserve">W3.0218</t>
  </si>
  <si>
    <t xml:space="preserve">14.10.2020</t>
  </si>
  <si>
    <t xml:space="preserve">05.10.2020</t>
  </si>
  <si>
    <t xml:space="preserve">08.10.2020</t>
  </si>
  <si>
    <t xml:space="preserve">16.10.2020</t>
  </si>
  <si>
    <t xml:space="preserve">05.11.2020</t>
  </si>
  <si>
    <t xml:space="preserve">21.07.2020</t>
  </si>
  <si>
    <t xml:space="preserve">N1.104</t>
  </si>
  <si>
    <t xml:space="preserve">NO POWER</t>
  </si>
  <si>
    <t xml:space="preserve">04.07.2021</t>
  </si>
  <si>
    <t xml:space="preserve">E3.323</t>
  </si>
  <si>
    <t xml:space="preserve">N1.705</t>
  </si>
  <si>
    <t xml:space="preserve">W3.105</t>
  </si>
  <si>
    <t xml:space="preserve">VIDEO PRO</t>
  </si>
  <si>
    <t xml:space="preserve">03.11.2020</t>
  </si>
  <si>
    <t xml:space="preserve">REMOTE NOT WORK</t>
  </si>
  <si>
    <t xml:space="preserve">W3.64</t>
  </si>
  <si>
    <t xml:space="preserve">W3.222</t>
  </si>
  <si>
    <t xml:space="preserve">SOKING FAIL IR</t>
  </si>
  <si>
    <t xml:space="preserve">24.09.2021</t>
  </si>
  <si>
    <t xml:space="preserve">01.02.2020</t>
  </si>
  <si>
    <t xml:space="preserve">28.11.2020</t>
  </si>
  <si>
    <t xml:space="preserve">U11</t>
  </si>
  <si>
    <t xml:space="preserve">SELF RE-BOOTING</t>
  </si>
  <si>
    <t xml:space="preserve">DEAD,AUTO ON/STANDBY</t>
  </si>
  <si>
    <t xml:space="preserve">L2</t>
  </si>
  <si>
    <t xml:space="preserve">U3</t>
  </si>
  <si>
    <t xml:space="preserve">DARSHAK</t>
  </si>
  <si>
    <t xml:space="preserve">U16,UD1,B15</t>
  </si>
  <si>
    <t xml:space="preserve">U1,U10,UD1</t>
  </si>
  <si>
    <t xml:space="preserve">U4</t>
  </si>
  <si>
    <t xml:space="preserve">J7,U6</t>
  </si>
  <si>
    <t xml:space="preserve">04.9.2021</t>
  </si>
  <si>
    <t xml:space="preserve">U6,UD1</t>
  </si>
  <si>
    <t xml:space="preserve">U41,U1,U10</t>
  </si>
  <si>
    <t xml:space="preserve">03.06.2021</t>
  </si>
  <si>
    <t xml:space="preserve">U10</t>
  </si>
  <si>
    <t xml:space="preserve">Q22</t>
  </si>
  <si>
    <t xml:space="preserve">U41,U15</t>
  </si>
  <si>
    <t xml:space="preserve">J13126</t>
  </si>
  <si>
    <t xml:space="preserve">U2222,U9001,U9181</t>
  </si>
  <si>
    <t xml:space="preserve">U2222,U15040,U4030,U9001</t>
  </si>
  <si>
    <t xml:space="preserve">U4004,U9001</t>
  </si>
  <si>
    <t xml:space="preserve">U9001,U9008</t>
  </si>
  <si>
    <t xml:space="preserve">U4004,U9001,U15040,U15039</t>
  </si>
  <si>
    <t xml:space="preserve">U1,U3,U5,U6,U41</t>
  </si>
  <si>
    <t xml:space="preserve">U1,U4,U15</t>
  </si>
  <si>
    <t xml:space="preserve">U6,U15</t>
  </si>
  <si>
    <t xml:space="preserve">UD1,U7,U3,U19,U20</t>
  </si>
  <si>
    <t xml:space="preserve">U1,U3,U5,U6,U4</t>
  </si>
  <si>
    <t xml:space="preserve">U1,U3</t>
  </si>
  <si>
    <t xml:space="preserve">U1,U3,U41</t>
  </si>
  <si>
    <t xml:space="preserve">U9061,U4004</t>
  </si>
  <si>
    <t xml:space="preserve">U2222,U9061,U4031</t>
  </si>
  <si>
    <t xml:space="preserve">U9001,U2222</t>
  </si>
  <si>
    <t xml:space="preserve">U9008,U15040</t>
  </si>
  <si>
    <t xml:space="preserve">J4001</t>
  </si>
  <si>
    <t xml:space="preserve">UD2,U16,U3</t>
  </si>
  <si>
    <t xml:space="preserve">W3.001</t>
  </si>
  <si>
    <t xml:space="preserve">U2222,U5953</t>
  </si>
  <si>
    <t xml:space="preserve">U1700,U1800</t>
  </si>
  <si>
    <t xml:space="preserve">UD7,U1,U3</t>
  </si>
  <si>
    <t xml:space="preserve">U6,U5,U3,U1</t>
  </si>
  <si>
    <t xml:space="preserve">E2.367</t>
  </si>
  <si>
    <t xml:space="preserve">LED GLOW</t>
  </si>
  <si>
    <t xml:space="preserve">U2222,U5953,U9181</t>
  </si>
  <si>
    <t xml:space="preserve">U1001,U5453,U15040,U9181</t>
  </si>
  <si>
    <t xml:space="preserve">UD1 </t>
  </si>
  <si>
    <t xml:space="preserve">25.09.2021</t>
  </si>
  <si>
    <t xml:space="preserve">U1,D12</t>
  </si>
  <si>
    <t xml:space="preserve">U1,R325,UD7,U41</t>
  </si>
  <si>
    <t xml:space="preserve">J7 </t>
  </si>
  <si>
    <t xml:space="preserve">U1,U3,U5,U6,U41,U15,U29</t>
  </si>
  <si>
    <t xml:space="preserve">U3U1</t>
  </si>
  <si>
    <t xml:space="preserve">U41,IV1,U15</t>
  </si>
  <si>
    <t xml:space="preserve">U41</t>
  </si>
  <si>
    <t xml:space="preserve">J7,U1,U3</t>
  </si>
  <si>
    <t xml:space="preserve">U16,Q20,Q22</t>
  </si>
  <si>
    <t xml:space="preserve">UD001</t>
  </si>
  <si>
    <t xml:space="preserve">JP01</t>
  </si>
  <si>
    <t xml:space="preserve">QP19,QP20</t>
  </si>
  <si>
    <t xml:space="preserve">DP12,UP10,U125</t>
  </si>
  <si>
    <t xml:space="preserve">U6,U3,U1</t>
  </si>
  <si>
    <t xml:space="preserve">U6,U4</t>
  </si>
  <si>
    <t xml:space="preserve">U41,U1,U6,U3</t>
  </si>
  <si>
    <t xml:space="preserve">U41,U6,UD1</t>
  </si>
  <si>
    <t xml:space="preserve">N</t>
  </si>
  <si>
    <t xml:space="preserve">RR0503,RR504</t>
  </si>
  <si>
    <t xml:space="preserve">UM001,U056,UD098</t>
  </si>
  <si>
    <t xml:space="preserve">UP098,UP056,UM051</t>
  </si>
  <si>
    <t xml:space="preserve">UV001,UA001,UN001,UP098</t>
  </si>
  <si>
    <t xml:space="preserve">UM001,UO098,UA001</t>
  </si>
  <si>
    <t xml:space="preserve">U3001,UP056</t>
  </si>
  <si>
    <t xml:space="preserve">TIME POWER ISSUE</t>
  </si>
  <si>
    <t xml:space="preserve">UA001,UX004,RP004,RP005</t>
  </si>
  <si>
    <t xml:space="preserve">UP098,UA09</t>
  </si>
  <si>
    <t xml:space="preserve">A002</t>
  </si>
  <si>
    <t xml:space="preserve">W4.03</t>
  </si>
  <si>
    <t xml:space="preserve">UM09</t>
  </si>
  <si>
    <t xml:space="preserve">UM051,UD048</t>
  </si>
  <si>
    <t xml:space="preserve">UP091,UN01,U20</t>
  </si>
  <si>
    <t xml:space="preserve">UA101</t>
  </si>
  <si>
    <t xml:space="preserve">R503</t>
  </si>
  <si>
    <t xml:space="preserve">UP056,UP098,UM001,RP004</t>
  </si>
  <si>
    <t xml:space="preserve">UN001,UP098,UV001,UA001</t>
  </si>
  <si>
    <t xml:space="preserve">UA001,UN04</t>
  </si>
  <si>
    <t xml:space="preserve">28.10.2020</t>
  </si>
  <si>
    <t xml:space="preserve">UM001,UN016</t>
  </si>
  <si>
    <t xml:space="preserve">QP003,UA001,UP008,UP004</t>
  </si>
  <si>
    <t xml:space="preserve">22.09.2020</t>
  </si>
  <si>
    <t xml:space="preserve">UD005,UP006,UN003</t>
  </si>
  <si>
    <t xml:space="preserve">QP003,UA001,UP008,UM003</t>
  </si>
  <si>
    <t xml:space="preserve">UP005,UN016</t>
  </si>
  <si>
    <t xml:space="preserve">UP005,UP006</t>
  </si>
  <si>
    <t xml:space="preserve">UN018</t>
  </si>
  <si>
    <t xml:space="preserve">03.11.2021</t>
  </si>
  <si>
    <t xml:space="preserve">UM003,UN016,UP005</t>
  </si>
  <si>
    <t xml:space="preserve">U301,U302</t>
  </si>
  <si>
    <t xml:space="preserve">U701,R702</t>
  </si>
  <si>
    <t xml:space="preserve">U14,U5,U05,U6</t>
  </si>
  <si>
    <t xml:space="preserve">U39</t>
  </si>
  <si>
    <t xml:space="preserve">QP20,UP15,UP25,UH71</t>
  </si>
  <si>
    <t xml:space="preserve">UH71,WH01,UP21</t>
  </si>
  <si>
    <t xml:space="preserve">UH01,OX01</t>
  </si>
  <si>
    <t xml:space="preserve">U313,UD02,J7</t>
  </si>
  <si>
    <t xml:space="preserve">JT01,UT01</t>
  </si>
  <si>
    <t xml:space="preserve">UH71,EH81</t>
  </si>
  <si>
    <t xml:space="preserve">15.06.2021</t>
  </si>
  <si>
    <t xml:space="preserve">06.09.2021</t>
  </si>
  <si>
    <t xml:space="preserve">UH010,UC2,TP01</t>
  </si>
  <si>
    <t xml:space="preserve">DEVENDRA RAJPUT</t>
  </si>
  <si>
    <t xml:space="preserve">Power Supply Section</t>
  </si>
  <si>
    <t xml:space="preserve">Dead</t>
  </si>
  <si>
    <t xml:space="preserve">IR Declared due to Others ( IR Normal)TB</t>
  </si>
  <si>
    <t xml:space="preserve">IREPARABLE</t>
  </si>
  <si>
    <t xml:space="preserve">U100,U1600,J901</t>
  </si>
  <si>
    <t xml:space="preserve">75</t>
  </si>
  <si>
    <t xml:space="preserve">U300,U304,U1300,U1000</t>
  </si>
  <si>
    <t xml:space="preserve">U300,U304,U1000,U1300</t>
  </si>
  <si>
    <t xml:space="preserve">U6,U3,U2,U1</t>
  </si>
  <si>
    <t xml:space="preserve">U2,U3,U4,U104</t>
  </si>
  <si>
    <t xml:space="preserve">U313,U502,U1104</t>
  </si>
  <si>
    <t xml:space="preserve">ERROR-01,02</t>
  </si>
  <si>
    <t xml:space="preserve">U3,U4</t>
  </si>
  <si>
    <t xml:space="preserve">U1103,U1104,Q306,U502</t>
  </si>
  <si>
    <t xml:space="preserve">14.09.2021</t>
  </si>
  <si>
    <t xml:space="preserve">U1104,R49</t>
  </si>
  <si>
    <t xml:space="preserve">U1102</t>
  </si>
  <si>
    <t xml:space="preserve">U5953,U9061</t>
  </si>
  <si>
    <t xml:space="preserve">U5953,U4004,U9001</t>
  </si>
  <si>
    <t xml:space="preserve">U4004,U59536,U4031,U9001</t>
  </si>
  <si>
    <t xml:space="preserve">U5953,U2222</t>
  </si>
  <si>
    <t xml:space="preserve">UD1,U20,U19,U7,U8</t>
  </si>
  <si>
    <t xml:space="preserve">U16</t>
  </si>
  <si>
    <t xml:space="preserve">U3,U41</t>
  </si>
  <si>
    <t xml:space="preserve">U1600,U1201,U2,U3,U4</t>
  </si>
  <si>
    <t xml:space="preserve">IR CID - Water log fully due to Flood</t>
  </si>
  <si>
    <t xml:space="preserve">U6,U4,U3</t>
  </si>
  <si>
    <t xml:space="preserve">U6,U4,UV001</t>
  </si>
  <si>
    <t xml:space="preserve">U15040</t>
  </si>
  <si>
    <t xml:space="preserve">DEAD,AUTO ON/STANDBY,SELF RE-BOOTING,HANG,NO SIGNAL</t>
  </si>
  <si>
    <t xml:space="preserve">U9008 </t>
  </si>
  <si>
    <t xml:space="preserve">U9009</t>
  </si>
  <si>
    <t xml:space="preserve">27.09.2021</t>
  </si>
  <si>
    <t xml:space="preserve">UV001,UN001,UP098,UX001</t>
  </si>
  <si>
    <t xml:space="preserve">RP509</t>
  </si>
  <si>
    <t xml:space="preserve">09.06.2020</t>
  </si>
  <si>
    <t xml:space="preserve">U9008,U9001</t>
  </si>
  <si>
    <t xml:space="preserve">SOKING FAIL BER</t>
  </si>
  <si>
    <t xml:space="preserve">13.05.2019</t>
  </si>
  <si>
    <t xml:space="preserve">QC FAIL BER</t>
  </si>
  <si>
    <t xml:space="preserve">U1203</t>
  </si>
  <si>
    <t xml:space="preserve">05.08.2018</t>
  </si>
  <si>
    <t xml:space="preserve">12.02.2019</t>
  </si>
  <si>
    <t xml:space="preserve">W3.205</t>
  </si>
  <si>
    <t xml:space="preserve">E2.133</t>
  </si>
  <si>
    <t xml:space="preserve">W3.059</t>
  </si>
  <si>
    <t xml:space="preserve">E3.515</t>
  </si>
  <si>
    <t xml:space="preserve">R52,R237,R209,R341,R21,C72,U12</t>
  </si>
  <si>
    <t xml:space="preserve">U12</t>
  </si>
  <si>
    <t xml:space="preserve">CP002</t>
  </si>
  <si>
    <t xml:space="preserve">20.02.2020</t>
  </si>
  <si>
    <t xml:space="preserve">21.01.2020</t>
  </si>
  <si>
    <t xml:space="preserve">04.01.2020</t>
  </si>
  <si>
    <t xml:space="preserve">R1016,R1017,R1007,R1008,R1012,R1002,R1003</t>
  </si>
  <si>
    <t xml:space="preserve">U1101,U1100,R1120,R1122,U1113,C1113</t>
  </si>
  <si>
    <t xml:space="preserve">19.07.2021</t>
  </si>
  <si>
    <t xml:space="preserve">MP1</t>
  </si>
  <si>
    <t xml:space="preserve">U10,R161,R29</t>
  </si>
  <si>
    <t xml:space="preserve">24.07.2020</t>
  </si>
  <si>
    <t xml:space="preserve">U5453,U2222</t>
  </si>
  <si>
    <t xml:space="preserve">W1.011</t>
  </si>
  <si>
    <t xml:space="preserve">U5453,U2222,U9181</t>
  </si>
  <si>
    <t xml:space="preserve">U101</t>
  </si>
  <si>
    <t xml:space="preserve">W3.59</t>
  </si>
  <si>
    <t xml:space="preserve">U4,U2,3,U32,U402</t>
  </si>
  <si>
    <t xml:space="preserve">U1,U32</t>
  </si>
  <si>
    <t xml:space="preserve">U1000,U1203,U1204</t>
  </si>
  <si>
    <t xml:space="preserve">U1700,U1203,U1600</t>
  </si>
  <si>
    <t xml:space="preserve">U4804,U15040,U9001,U907,U4030,U4031</t>
  </si>
  <si>
    <t xml:space="preserve">U4004,U9061,U15039,U1540</t>
  </si>
  <si>
    <t xml:space="preserve">U4030,U15040,U9001,U2222</t>
  </si>
  <si>
    <t xml:space="preserve">27.07.2020</t>
  </si>
  <si>
    <t xml:space="preserve">U5953,U9008,U4004</t>
  </si>
  <si>
    <t xml:space="preserve">U4004,U5953,U15040,U4030</t>
  </si>
  <si>
    <t xml:space="preserve">UD1,U6,U16</t>
  </si>
  <si>
    <t xml:space="preserve">U1,U3,U5,U41,U29</t>
  </si>
  <si>
    <t xml:space="preserve">W01</t>
  </si>
  <si>
    <t xml:space="preserve">R4131,U4004</t>
  </si>
  <si>
    <t xml:space="preserve">UD7</t>
  </si>
  <si>
    <t xml:space="preserve">LP062</t>
  </si>
  <si>
    <t xml:space="preserve">UN001,UP098,UV001</t>
  </si>
  <si>
    <t xml:space="preserve">UM0098,UM001</t>
  </si>
  <si>
    <t xml:space="preserve">UX004RP004,RP005,UA001,UN001</t>
  </si>
  <si>
    <t xml:space="preserve">RP1303,RP1304,RM101,R,001</t>
  </si>
  <si>
    <t xml:space="preserve">UA001,UM001,UN001</t>
  </si>
  <si>
    <t xml:space="preserve">UP056,UP098,UN001</t>
  </si>
  <si>
    <t xml:space="preserve">A015</t>
  </si>
  <si>
    <t xml:space="preserve">UM202</t>
  </si>
  <si>
    <t xml:space="preserve">FA15,FA16,FB33,FB34</t>
  </si>
  <si>
    <t xml:space="preserve">U3,U4,U41,UD1</t>
  </si>
  <si>
    <t xml:space="preserve">UJ1</t>
  </si>
  <si>
    <t xml:space="preserve">U3,C1,C3</t>
  </si>
  <si>
    <t xml:space="preserve">21.06.2016</t>
  </si>
  <si>
    <t xml:space="preserve">25.01.2021</t>
  </si>
  <si>
    <t xml:space="preserve">HDMI PORT PROBLEM</t>
  </si>
  <si>
    <t xml:space="preserve">JV01</t>
  </si>
  <si>
    <t xml:space="preserve">UP01</t>
  </si>
  <si>
    <t xml:space="preserve">UM03</t>
  </si>
  <si>
    <t xml:space="preserve">UH17</t>
  </si>
  <si>
    <t xml:space="preserve">DEAD,AUTO ON/STANDBY,SELF RE-BOOTING</t>
  </si>
  <si>
    <t xml:space="preserve">UP25,UP24,UP21,UH71,UM03</t>
  </si>
  <si>
    <t xml:space="preserve">31.01.2021</t>
  </si>
  <si>
    <t xml:space="preserve">18.07.2021</t>
  </si>
  <si>
    <t xml:space="preserve">02.11.2020</t>
  </si>
  <si>
    <t xml:space="preserve">RP026</t>
  </si>
  <si>
    <t xml:space="preserve">UP,003UP005,UN016,UA101</t>
  </si>
  <si>
    <t xml:space="preserve">UX01</t>
  </si>
  <si>
    <t xml:space="preserve">U2,U3,U4,U502,U1102</t>
  </si>
  <si>
    <t xml:space="preserve">C93,Q306,Q301,Q4,Q1103,Q1104</t>
  </si>
  <si>
    <t xml:space="preserve">V502</t>
  </si>
  <si>
    <t xml:space="preserve">22.07.2018</t>
  </si>
  <si>
    <t xml:space="preserve">U1103,U1104 </t>
  </si>
  <si>
    <t xml:space="preserve">IR Normal - Multiple components failure</t>
  </si>
  <si>
    <t xml:space="preserve">UM001,UP056</t>
  </si>
  <si>
    <t xml:space="preserve">UV001</t>
  </si>
  <si>
    <t xml:space="preserve">RP503,RP504</t>
  </si>
  <si>
    <t xml:space="preserve">UM001,UN001,UP056</t>
  </si>
  <si>
    <t xml:space="preserve">UP098,UA001,UX036,UV001</t>
  </si>
  <si>
    <t xml:space="preserve">UP098,UN001,UN001,UX36,UA001</t>
  </si>
  <si>
    <t xml:space="preserve">U307,C1201,U908,U1001</t>
  </si>
  <si>
    <t xml:space="preserve">U1000 </t>
  </si>
  <si>
    <t xml:space="preserve">U304,U307,U900,U1000</t>
  </si>
  <si>
    <t xml:space="preserve">R702,U1000</t>
  </si>
  <si>
    <t xml:space="preserve">U1103,U1104,U1,U2,U6,U502</t>
  </si>
  <si>
    <t xml:space="preserve">U1104,U1103,Q301</t>
  </si>
  <si>
    <t xml:space="preserve">U1103,U1104,U502,J7</t>
  </si>
  <si>
    <t xml:space="preserve">UP25 </t>
  </si>
  <si>
    <t xml:space="preserve">UP24</t>
  </si>
  <si>
    <t xml:space="preserve">EH8</t>
  </si>
  <si>
    <t xml:space="preserve">JX11</t>
  </si>
  <si>
    <t xml:space="preserve">RX12</t>
  </si>
  <si>
    <t xml:space="preserve">EH4</t>
  </si>
  <si>
    <t xml:space="preserve">UV001,UV2001</t>
  </si>
  <si>
    <t xml:space="preserve">UX005</t>
  </si>
  <si>
    <t xml:space="preserve">SWITCH ON/OFF</t>
  </si>
  <si>
    <t xml:space="preserve">RP004 </t>
  </si>
  <si>
    <t xml:space="preserve">W4.213</t>
  </si>
  <si>
    <t xml:space="preserve">COMPATIBILITY PROBLEM</t>
  </si>
  <si>
    <t xml:space="preserve">UV002,UV001</t>
  </si>
  <si>
    <t xml:space="preserve">UP098,UX004,UN001</t>
  </si>
  <si>
    <t xml:space="preserve">UM001,UM301</t>
  </si>
  <si>
    <t xml:space="preserve">U7101,UV001</t>
  </si>
  <si>
    <t xml:space="preserve">UM1001</t>
  </si>
  <si>
    <t xml:space="preserve">UP098,UA001 </t>
  </si>
  <si>
    <t xml:space="preserve">UM001,UX004,UP098</t>
  </si>
  <si>
    <t xml:space="preserve">UP098,UV001</t>
  </si>
  <si>
    <t xml:space="preserve">UV001,UA001 </t>
  </si>
  <si>
    <t xml:space="preserve">UM001,U202,UM301</t>
  </si>
  <si>
    <t xml:space="preserve">02.04.2021</t>
  </si>
  <si>
    <t xml:space="preserve">UA001,UV001,UP098</t>
  </si>
  <si>
    <t xml:space="preserve">UV001,UA001,UP098</t>
  </si>
  <si>
    <t xml:space="preserve">UA001,UN001,UP098,UM001</t>
  </si>
  <si>
    <t xml:space="preserve">07.01.2021</t>
  </si>
  <si>
    <t xml:space="preserve">DA25,DA29</t>
  </si>
  <si>
    <t xml:space="preserve">IR Normal -BGA/MICO ULC VC chip failure </t>
  </si>
  <si>
    <t xml:space="preserve">AUDIO-VIDEO PROBLEM</t>
  </si>
  <si>
    <t xml:space="preserve">UB01,UB02,JB01</t>
  </si>
  <si>
    <t xml:space="preserve">UM001,UP098,UV001</t>
  </si>
  <si>
    <t xml:space="preserve">UV001,UA001UN001UP098</t>
  </si>
  <si>
    <t xml:space="preserve">UP56,RP503,RP504,UA001</t>
  </si>
  <si>
    <t xml:space="preserve">ERROR-01</t>
  </si>
  <si>
    <t xml:space="preserve">UX004,UP098,UA001</t>
  </si>
  <si>
    <t xml:space="preserve">EH008</t>
  </si>
  <si>
    <t xml:space="preserve">INT NO SIGNAL</t>
  </si>
  <si>
    <t xml:space="preserve">UV001,U2001</t>
  </si>
  <si>
    <t xml:space="preserve">AS008</t>
  </si>
  <si>
    <t xml:space="preserve">UV001,RP502,RP504</t>
  </si>
  <si>
    <t xml:space="preserve">U1000,U1801</t>
  </si>
  <si>
    <t xml:space="preserve">U6,U15,U41</t>
  </si>
  <si>
    <t xml:space="preserve">U6,U4,U41,QE1</t>
  </si>
  <si>
    <t xml:space="preserve">QA16</t>
  </si>
  <si>
    <t xml:space="preserve">UP25,UP59,UP57</t>
  </si>
  <si>
    <t xml:space="preserve">E2.337</t>
  </si>
  <si>
    <t xml:space="preserve">UP25</t>
  </si>
  <si>
    <t xml:space="preserve">EH11</t>
  </si>
  <si>
    <t xml:space="preserve">U313,U502 </t>
  </si>
  <si>
    <t xml:space="preserve">Q301,U502,U1103,U1104</t>
  </si>
  <si>
    <t xml:space="preserve">W3.202</t>
  </si>
  <si>
    <t xml:space="preserve">D1421</t>
  </si>
  <si>
    <t xml:space="preserve">U2,U3,U502,U6</t>
  </si>
  <si>
    <t xml:space="preserve">U502,U403</t>
  </si>
  <si>
    <t xml:space="preserve">UP005,CP518</t>
  </si>
  <si>
    <t xml:space="preserve">QP003,QP006,UP005,UA001</t>
  </si>
  <si>
    <t xml:space="preserve">QP003,UP005,UP006</t>
  </si>
  <si>
    <t xml:space="preserve">UA01,UN016</t>
  </si>
  <si>
    <t xml:space="preserve">UD1,U12</t>
  </si>
  <si>
    <t xml:space="preserve">U1000,R702</t>
  </si>
  <si>
    <t xml:space="preserve">U14</t>
  </si>
  <si>
    <t xml:space="preserve">28.09.2021</t>
  </si>
  <si>
    <t xml:space="preserve">U1,U3,U19,U20</t>
  </si>
  <si>
    <t xml:space="preserve">U01,U8,U9,U19,U20</t>
  </si>
  <si>
    <t xml:space="preserve">UD1,U41,U15,IU1</t>
  </si>
  <si>
    <t xml:space="preserve">U5</t>
  </si>
  <si>
    <t xml:space="preserve">U1,U3,R4,R1,R7</t>
  </si>
  <si>
    <t xml:space="preserve">U41,UJ4,U3,R4,R7</t>
  </si>
  <si>
    <t xml:space="preserve">UD1,U6,U3</t>
  </si>
  <si>
    <t xml:space="preserve">W.107</t>
  </si>
  <si>
    <t xml:space="preserve">U41,UD1</t>
  </si>
  <si>
    <t xml:space="preserve">U3,U5,U6,U41,U15,U01</t>
  </si>
  <si>
    <t xml:space="preserve">U01,U15,U3,U4,U41</t>
  </si>
  <si>
    <t xml:space="preserve">17..09.2021</t>
  </si>
  <si>
    <t xml:space="preserve">U4004,U4031,U9001,U15039</t>
  </si>
  <si>
    <t xml:space="preserve">U2222,U2192,U2092</t>
  </si>
  <si>
    <t xml:space="preserve">U4031</t>
  </si>
  <si>
    <t xml:space="preserve">U2222 </t>
  </si>
  <si>
    <t xml:space="preserve">DEAD/HANG</t>
  </si>
  <si>
    <t xml:space="preserve">UX004</t>
  </si>
  <si>
    <t xml:space="preserve">UV001,YA001,UN001,UP008</t>
  </si>
  <si>
    <t xml:space="preserve">UP098,UN001,UV001</t>
  </si>
  <si>
    <t xml:space="preserve">RP004,RP005,UN001</t>
  </si>
  <si>
    <t xml:space="preserve">RP011</t>
  </si>
  <si>
    <t xml:space="preserve">UN001,UP056,UP098</t>
  </si>
  <si>
    <t xml:space="preserve">QK1018,QK007,RP503</t>
  </si>
  <si>
    <t xml:space="preserve">UP098,UA001,UV001</t>
  </si>
  <si>
    <t xml:space="preserve">DEAD/PICTURE FREEZING</t>
  </si>
  <si>
    <t xml:space="preserve">UN051</t>
  </si>
  <si>
    <t xml:space="preserve">R31</t>
  </si>
  <si>
    <t xml:space="preserve">U1,U3,U4,U6,U10,UD1</t>
  </si>
  <si>
    <t xml:space="preserve">U4,U10,U1,U3,U5,U6</t>
  </si>
  <si>
    <t xml:space="preserve">U1,U3,U5,U41,U6,U4,UD1</t>
  </si>
  <si>
    <t xml:space="preserve">U4004,U15040,U9001,U4031,U4030</t>
  </si>
  <si>
    <t xml:space="preserve">U9008</t>
  </si>
  <si>
    <t xml:space="preserve">07..09.2021</t>
  </si>
  <si>
    <t xml:space="preserve">U1203,U1202,U1201</t>
  </si>
  <si>
    <t xml:space="preserve">U32,U4</t>
  </si>
  <si>
    <t xml:space="preserve">14.10.2021</t>
  </si>
  <si>
    <t xml:space="preserve">W3.216</t>
  </si>
  <si>
    <t xml:space="preserve">06.01.2021</t>
  </si>
  <si>
    <t xml:space="preserve">REMORT PROBLEM</t>
  </si>
  <si>
    <t xml:space="preserve">U2</t>
  </si>
  <si>
    <t xml:space="preserve">U313 </t>
  </si>
  <si>
    <t xml:space="preserve">17.12.2020</t>
  </si>
  <si>
    <t xml:space="preserve">23.01.2021</t>
  </si>
  <si>
    <t xml:space="preserve">26.07.2019</t>
  </si>
  <si>
    <t xml:space="preserve">U21,U3</t>
  </si>
  <si>
    <t xml:space="preserve">25..08.2021</t>
  </si>
  <si>
    <t xml:space="preserve">Q1003,UP006,UA101</t>
  </si>
  <si>
    <t xml:space="preserve">UP005,UP046</t>
  </si>
  <si>
    <t xml:space="preserve">UA101,UP005</t>
  </si>
  <si>
    <t xml:space="preserve">U15,U5,U14,U6,U11</t>
  </si>
  <si>
    <t xml:space="preserve">U300,U304,U307,U1000,U1300</t>
  </si>
  <si>
    <t xml:space="preserve">U1000,U307</t>
  </si>
  <si>
    <t xml:space="preserve">U304,U307,U1103,U100</t>
  </si>
  <si>
    <t xml:space="preserve">U1,U14,U5,U6,U4</t>
  </si>
  <si>
    <t xml:space="preserve">W3.063</t>
  </si>
  <si>
    <t xml:space="preserve">Q1101</t>
  </si>
  <si>
    <t xml:space="preserve">I100</t>
  </si>
  <si>
    <t xml:space="preserve">W3.664</t>
  </si>
  <si>
    <t xml:space="preserve">DEAD/UPGRADE</t>
  </si>
  <si>
    <t xml:space="preserve">U1307</t>
  </si>
  <si>
    <t xml:space="preserve">DK24,DK26</t>
  </si>
  <si>
    <t xml:space="preserve">FREEZING</t>
  </si>
  <si>
    <t xml:space="preserve">U3,U4,U502</t>
  </si>
  <si>
    <t xml:space="preserve">U1101,U1300,U306,U302</t>
  </si>
  <si>
    <t xml:space="preserve">QP108,UA101</t>
  </si>
  <si>
    <t xml:space="preserve">20.10.2020</t>
  </si>
  <si>
    <t xml:space="preserve">U1104</t>
  </si>
  <si>
    <t xml:space="preserve">U5453,U15039</t>
  </si>
  <si>
    <t xml:space="preserve">U6,U9001</t>
  </si>
  <si>
    <t xml:space="preserve">U15040,U9181,U9004,U9001</t>
  </si>
  <si>
    <t xml:space="preserve">U6,U41</t>
  </si>
  <si>
    <t xml:space="preserve">U3,U10,U4</t>
  </si>
  <si>
    <t xml:space="preserve">U10,U4,U1,U3,U5,U6</t>
  </si>
  <si>
    <t xml:space="preserve">C15,C61</t>
  </si>
  <si>
    <t xml:space="preserve">U41,U15,U6,U01,J4</t>
  </si>
  <si>
    <t xml:space="preserve">U3,U41,U6</t>
  </si>
  <si>
    <t xml:space="preserve">UD1,U41,U6,U3</t>
  </si>
  <si>
    <t xml:space="preserve">FB15,FB14</t>
  </si>
  <si>
    <t xml:space="preserve">U1,U3,U10,U4,UD1</t>
  </si>
  <si>
    <t xml:space="preserve">U1302</t>
  </si>
  <si>
    <t xml:space="preserve">Q301,Q1401</t>
  </si>
  <si>
    <t xml:space="preserve">INT SWITCH ON/OFF</t>
  </si>
  <si>
    <t xml:space="preserve">J6,U502,U313,U1104</t>
  </si>
  <si>
    <t xml:space="preserve">29.09.2021</t>
  </si>
  <si>
    <t xml:space="preserve">N1.109</t>
  </si>
  <si>
    <t xml:space="preserve">17.08.2021</t>
  </si>
  <si>
    <t xml:space="preserve">R381,R380,C1524,Q301,J17</t>
  </si>
  <si>
    <t xml:space="preserve">U502,U1</t>
  </si>
  <si>
    <t xml:space="preserve">E2.172</t>
  </si>
  <si>
    <t xml:space="preserve">E3.210</t>
  </si>
  <si>
    <t xml:space="preserve">SOFTWARE DOWNLOAD FAILURE</t>
  </si>
  <si>
    <t xml:space="preserve">17.10.2020</t>
  </si>
  <si>
    <t xml:space="preserve">05.12.2019</t>
  </si>
  <si>
    <t xml:space="preserve">21.07.2021</t>
  </si>
  <si>
    <t xml:space="preserve">U2800</t>
  </si>
  <si>
    <t xml:space="preserve">Q2904</t>
  </si>
  <si>
    <t xml:space="preserve">HANGING</t>
  </si>
  <si>
    <t xml:space="preserve">U5000</t>
  </si>
  <si>
    <t xml:space="preserve">SK9600</t>
  </si>
  <si>
    <t xml:space="preserve">U2222,U9061,U4031,U15040,U1901,U1902</t>
  </si>
  <si>
    <t xml:space="preserve">UP24,UP21,CH54</t>
  </si>
  <si>
    <t xml:space="preserve">UP24 </t>
  </si>
  <si>
    <t xml:space="preserve">UP20,UP21</t>
  </si>
  <si>
    <t xml:space="preserve">UH41</t>
  </si>
  <si>
    <t xml:space="preserve">WH71</t>
  </si>
  <si>
    <t xml:space="preserve">UH01,UH71 </t>
  </si>
  <si>
    <t xml:space="preserve">UH01,UH71 ,UM03</t>
  </si>
  <si>
    <t xml:space="preserve">UX01,UH71,UH01</t>
  </si>
  <si>
    <t xml:space="preserve">08.03.2020</t>
  </si>
  <si>
    <t xml:space="preserve">UH71,UH01</t>
  </si>
  <si>
    <t xml:space="preserve">RX12,JX1</t>
  </si>
  <si>
    <t xml:space="preserve">UH71,UH01,UP25</t>
  </si>
  <si>
    <t xml:space="preserve">UA001,UM01,UN09</t>
  </si>
  <si>
    <t xml:space="preserve">UV004,RP004,RP504</t>
  </si>
  <si>
    <t xml:space="preserve">RP004,RP504,RP505,UP098</t>
  </si>
  <si>
    <t xml:space="preserve">UM001 </t>
  </si>
  <si>
    <t xml:space="preserve">UA1001,UP098,UN001,UA001</t>
  </si>
  <si>
    <t xml:space="preserve">UP098,UN001,UX036</t>
  </si>
  <si>
    <t xml:space="preserve">DEAD &amp; AUTO ON/STANDBY/AUTO REBOOTING</t>
  </si>
  <si>
    <t xml:space="preserve">30.09.2021</t>
  </si>
  <si>
    <t xml:space="preserve">03.04.2019</t>
  </si>
  <si>
    <t xml:space="preserve">08.01.2021</t>
  </si>
  <si>
    <t xml:space="preserve">J803</t>
  </si>
  <si>
    <t xml:space="preserve">L1</t>
  </si>
  <si>
    <t xml:space="preserve">E1.325</t>
  </si>
  <si>
    <t xml:space="preserve">20.02.2019</t>
  </si>
  <si>
    <t xml:space="preserve">12.09.2020</t>
  </si>
  <si>
    <t xml:space="preserve">U2,U9</t>
  </si>
  <si>
    <t xml:space="preserve">D2</t>
  </si>
  <si>
    <t xml:space="preserve">D1201</t>
  </si>
  <si>
    <t xml:space="preserve">U701,U702,R1016,R1017</t>
  </si>
  <si>
    <t xml:space="preserve">13.03.2021</t>
  </si>
  <si>
    <t xml:space="preserve">04.01.2021</t>
  </si>
  <si>
    <t xml:space="preserve">18.12.2020</t>
  </si>
  <si>
    <t xml:space="preserve">16.12.2020</t>
  </si>
  <si>
    <t xml:space="preserve">25.09.2020</t>
  </si>
  <si>
    <t xml:space="preserve">30.01.2021</t>
  </si>
  <si>
    <t xml:space="preserve">W3.201</t>
  </si>
  <si>
    <t xml:space="preserve">W3.067</t>
  </si>
  <si>
    <t xml:space="preserve">INT SWITCHING ON-OFF</t>
  </si>
  <si>
    <t xml:space="preserve">24.12.2020</t>
  </si>
  <si>
    <t xml:space="preserve">13.01.2021</t>
  </si>
  <si>
    <t xml:space="preserve">UM03,UH71,UH01</t>
  </si>
  <si>
    <t xml:space="preserve">19.09.2020</t>
  </si>
  <si>
    <t xml:space="preserve">29.10.2020</t>
  </si>
  <si>
    <t xml:space="preserve">07.12.2020</t>
  </si>
  <si>
    <t xml:space="preserve">W4.702</t>
  </si>
  <si>
    <t xml:space="preserve">12.10.2020</t>
  </si>
  <si>
    <t xml:space="preserve">1352331293)$</t>
  </si>
  <si>
    <t xml:space="preserve">DEAD,HANG</t>
  </si>
  <si>
    <t xml:space="preserve">19.12.2020</t>
  </si>
  <si>
    <t xml:space="preserve">VASANT PARMAR</t>
  </si>
  <si>
    <t xml:space="preserve">Main Processor CPU BGA</t>
  </si>
  <si>
    <t xml:space="preserve">IR Declared due to CID -TA</t>
  </si>
  <si>
    <t xml:space="preserve">RP004,RP503,UM001,UA001,EH002</t>
  </si>
  <si>
    <t xml:space="preserve">SHANI GOHIL</t>
  </si>
  <si>
    <t xml:space="preserve">Video Section</t>
  </si>
  <si>
    <t xml:space="preserve">No Video - HDMI</t>
  </si>
  <si>
    <t xml:space="preserve">NITIN PRANAMI</t>
  </si>
  <si>
    <t xml:space="preserve">RP004,RP005,UP098,UM001</t>
  </si>
  <si>
    <t xml:space="preserve">HARIRAM GUPTA</t>
  </si>
  <si>
    <t xml:space="preserve">DP001</t>
  </si>
  <si>
    <t xml:space="preserve">UM001,UP098,UN001,UA001</t>
  </si>
  <si>
    <t xml:space="preserve">UM001,UP098,UN001,UA001,UN001</t>
  </si>
  <si>
    <t xml:space="preserve">A003</t>
  </si>
  <si>
    <t xml:space="preserve">JAIMIN MAKWANA</t>
  </si>
  <si>
    <t xml:space="preserve">ANKIT RANA</t>
  </si>
  <si>
    <t xml:space="preserve">UM001,UA002</t>
  </si>
  <si>
    <t xml:space="preserve">INT-SWITCH ON/OFF</t>
  </si>
  <si>
    <t xml:space="preserve">RP004,RP005,UP098 </t>
  </si>
  <si>
    <t xml:space="preserve">27.08.2021</t>
  </si>
  <si>
    <t xml:space="preserve">UM001,UP098,UA001 </t>
  </si>
  <si>
    <t xml:space="preserve">UA001,UV001,UN001</t>
  </si>
  <si>
    <t xml:space="preserve">UA001,UV001,UN001,UP098</t>
  </si>
  <si>
    <t xml:space="preserve">DEAD,SELF RE-BOOTING</t>
  </si>
  <si>
    <t xml:space="preserve">STB Auto moving -Stand by mode</t>
  </si>
  <si>
    <t xml:space="preserve">Audio Section</t>
  </si>
  <si>
    <t xml:space="preserve">No Audio - AV</t>
  </si>
  <si>
    <t xml:space="preserve">PIYUSH CHAVDA</t>
  </si>
  <si>
    <t xml:space="preserve">UP098,RP504</t>
  </si>
  <si>
    <t xml:space="preserve">RP004,RP005,UX004</t>
  </si>
  <si>
    <t xml:space="preserve">Tuner Section</t>
  </si>
  <si>
    <t xml:space="preserve">No Signal</t>
  </si>
  <si>
    <t xml:space="preserve">UN001 </t>
  </si>
  <si>
    <t xml:space="preserve">DEAD,NO SIGNAL,HANG</t>
  </si>
  <si>
    <t xml:space="preserve">RP004,RP005,RP503,RP504</t>
  </si>
  <si>
    <t xml:space="preserve">RP503,RP504,UP056,UA001,UV001</t>
  </si>
  <si>
    <t xml:space="preserve">UA001,UM001,UM202</t>
  </si>
  <si>
    <t xml:space="preserve">UA001,UV001,RP004,UP098</t>
  </si>
  <si>
    <t xml:space="preserve"> NA</t>
  </si>
  <si>
    <t xml:space="preserve">UP098,UN001,UA001</t>
  </si>
  <si>
    <t xml:space="preserve">INT-NO SIGNAL</t>
  </si>
  <si>
    <t xml:space="preserve">NILESH NAGAR</t>
  </si>
  <si>
    <t xml:space="preserve">Card Reader Section</t>
  </si>
  <si>
    <t xml:space="preserve">Error -1</t>
  </si>
  <si>
    <t xml:space="preserve">UA001,UV001,UN001,UX001</t>
  </si>
  <si>
    <t xml:space="preserve">EN002</t>
  </si>
  <si>
    <t xml:space="preserve">STB Rebooting Continuously</t>
  </si>
  <si>
    <t xml:space="preserve">RP004,RP005,RP013,UP10</t>
  </si>
  <si>
    <t xml:space="preserve">Dead Intermittent</t>
  </si>
  <si>
    <t xml:space="preserve">UN001,UA001,DK012</t>
  </si>
  <si>
    <t xml:space="preserve">No Audio -  SPDIF</t>
  </si>
  <si>
    <t xml:space="preserve">UV001,UN001,UP089</t>
  </si>
  <si>
    <t xml:space="preserve">UN001,UA001,UV001</t>
  </si>
  <si>
    <t xml:space="preserve">UP098,UN001,UX004</t>
  </si>
  <si>
    <t xml:space="preserve">N3,206</t>
  </si>
  <si>
    <t xml:space="preserve">BHUPENDRA  DABHI</t>
  </si>
  <si>
    <t xml:space="preserve">QK007,QK002,JX005,QK017</t>
  </si>
  <si>
    <t xml:space="preserve">28.08.2021</t>
  </si>
  <si>
    <t xml:space="preserve">AUTO ON/STANDBY,SELF RE-BOOTING</t>
  </si>
  <si>
    <t xml:space="preserve">13.08.201</t>
  </si>
  <si>
    <t xml:space="preserve">UX005,UA001</t>
  </si>
  <si>
    <t xml:space="preserve">W3.102</t>
  </si>
  <si>
    <t xml:space="preserve">UM001,UM003</t>
  </si>
  <si>
    <t xml:space="preserve">12.01.2021</t>
  </si>
  <si>
    <t xml:space="preserve">UN001,UP098</t>
  </si>
  <si>
    <t xml:space="preserve">DEAD,REMOTE PROBLEM</t>
  </si>
  <si>
    <t xml:space="preserve">RP004,RP005,UP098 ,UV001,UN001</t>
  </si>
  <si>
    <t xml:space="preserve">UP098,UN001,UM001,UM201</t>
  </si>
  <si>
    <t xml:space="preserve">UP098,UA001,RP004,RP504</t>
  </si>
  <si>
    <t xml:space="preserve">RP056,RP504,UV001,UP098</t>
  </si>
  <si>
    <t xml:space="preserve">C57,C96,C71,C78,C7,C52</t>
  </si>
  <si>
    <t xml:space="preserve">UA001,UX001</t>
  </si>
  <si>
    <t xml:space="preserve">U302,U307</t>
  </si>
  <si>
    <t xml:space="preserve">QP004</t>
  </si>
  <si>
    <t xml:space="preserve">U1104,U1103</t>
  </si>
  <si>
    <t xml:space="preserve">QP003,UP006,UM003</t>
  </si>
  <si>
    <t xml:space="preserve">U1104,U1103,U1</t>
  </si>
  <si>
    <t xml:space="preserve">R380,R381,Q301</t>
  </si>
  <si>
    <t xml:space="preserve">J6</t>
  </si>
  <si>
    <t xml:space="preserve">UA101,UM003</t>
  </si>
  <si>
    <t xml:space="preserve">UP21,UM03</t>
  </si>
  <si>
    <t xml:space="preserve">No Video - Intermittent</t>
  </si>
  <si>
    <t xml:space="preserve">U502,D1421</t>
  </si>
  <si>
    <t xml:space="preserve">Error -2</t>
  </si>
  <si>
    <t xml:space="preserve">J1380</t>
  </si>
  <si>
    <t xml:space="preserve">U5953,U4004</t>
  </si>
  <si>
    <t xml:space="preserve">U4004</t>
  </si>
  <si>
    <t xml:space="preserve">AUTO ON/STANDBY </t>
  </si>
  <si>
    <t xml:space="preserve">Front Panel PCB Section</t>
  </si>
  <si>
    <t xml:space="preserve">LED Not glow STB functions are OK</t>
  </si>
  <si>
    <t xml:space="preserve">Q22,U3,Q20,Q9,IV1</t>
  </si>
  <si>
    <t xml:space="preserve">U9001,U5953</t>
  </si>
  <si>
    <t xml:space="preserve">W3.84</t>
  </si>
  <si>
    <t xml:space="preserve">U15040,U5953,U4031</t>
  </si>
  <si>
    <t xml:space="preserve">U3,R323</t>
  </si>
  <si>
    <t xml:space="preserve">UD1,U7,U8,U19,U20</t>
  </si>
  <si>
    <t xml:space="preserve">U6,U3</t>
  </si>
  <si>
    <t xml:space="preserve">UD1,U7,U8,U3,U20</t>
  </si>
  <si>
    <t xml:space="preserve">U5,J41</t>
  </si>
  <si>
    <t xml:space="preserve">U41,U6,U4,U3</t>
  </si>
  <si>
    <t xml:space="preserve">U6,U1</t>
  </si>
  <si>
    <t xml:space="preserve">29.08.2021</t>
  </si>
  <si>
    <t xml:space="preserve">HANG &amp; FREEZE, NO VIDEO</t>
  </si>
  <si>
    <t xml:space="preserve">Hang and Freeze video - AV</t>
  </si>
  <si>
    <t xml:space="preserve">U6,U10</t>
  </si>
  <si>
    <t xml:space="preserve">U1203,U1202,U701</t>
  </si>
  <si>
    <t xml:space="preserve">U1500,U1700,U800</t>
  </si>
  <si>
    <t xml:space="preserve">U1700,U1204</t>
  </si>
  <si>
    <t xml:space="preserve">U1203,U1202 </t>
  </si>
  <si>
    <t xml:space="preserve">U100,U1201,U1202,U1600</t>
  </si>
  <si>
    <t xml:space="preserve">U100,U1201,U1202,U1600,U1700</t>
  </si>
  <si>
    <t xml:space="preserve">U1700,U100</t>
  </si>
  <si>
    <t xml:space="preserve">U1201,U1600,U1204</t>
  </si>
  <si>
    <t xml:space="preserve">U15,U16</t>
  </si>
  <si>
    <t xml:space="preserve">U1,U3,U41 </t>
  </si>
  <si>
    <t xml:space="preserve">UD1,U44,U15,U6</t>
  </si>
  <si>
    <t xml:space="preserve">AJAY KOSHTI</t>
  </si>
  <si>
    <t xml:space="preserve">J7,AU1</t>
  </si>
  <si>
    <t xml:space="preserve">U3,U15,U41</t>
  </si>
  <si>
    <t xml:space="preserve">GHANSHYAM VYAS</t>
  </si>
  <si>
    <t xml:space="preserve">U1,U5</t>
  </si>
  <si>
    <t xml:space="preserve">U5,R4,R7,R323</t>
  </si>
  <si>
    <t xml:space="preserve">U6,U5,UD1,U10,U1</t>
  </si>
  <si>
    <t xml:space="preserve">U1,U3,U5,U41,U4,U10</t>
  </si>
  <si>
    <t xml:space="preserve">U3,U1</t>
  </si>
  <si>
    <t xml:space="preserve">FB15,FB16</t>
  </si>
  <si>
    <t xml:space="preserve">J4</t>
  </si>
  <si>
    <t xml:space="preserve">U6,U10,U4,U3,U1</t>
  </si>
  <si>
    <t xml:space="preserve">U1,U2</t>
  </si>
  <si>
    <t xml:space="preserve">U1,R1,R3</t>
  </si>
  <si>
    <t xml:space="preserve">U1,U3,U5,U6</t>
  </si>
  <si>
    <t xml:space="preserve">UD1,U6,U41</t>
  </si>
  <si>
    <t xml:space="preserve">U41,U6,U3 </t>
  </si>
  <si>
    <t xml:space="preserve">C15</t>
  </si>
  <si>
    <t xml:space="preserve">U1,U3,U5,U10,U16</t>
  </si>
  <si>
    <t xml:space="preserve">AUTO ON/STANDBY,SOFT-DOW PROBLEM</t>
  </si>
  <si>
    <t xml:space="preserve">U10,U6,UD1</t>
  </si>
  <si>
    <t xml:space="preserve">U4,U1,U6</t>
  </si>
  <si>
    <t xml:space="preserve">HDMI PORT PRO</t>
  </si>
  <si>
    <t xml:space="preserve">U1,U3,U5,U41,J4</t>
  </si>
  <si>
    <t xml:space="preserve">U1,U2,U3,U5</t>
  </si>
  <si>
    <t xml:space="preserve">U1,UD1,U6,U41,U3,U5</t>
  </si>
  <si>
    <t xml:space="preserve">U1,U3,U5,R4,R7,R1,R3,U6</t>
  </si>
  <si>
    <t xml:space="preserve">DEAD,STANDBY MODE</t>
  </si>
  <si>
    <t xml:space="preserve">U3,UD1,U5,U1</t>
  </si>
  <si>
    <t xml:space="preserve">U6,U1,U10,U5,UD1</t>
  </si>
  <si>
    <t xml:space="preserve">U6,U1,U10,U5,UD1,U3,U41,U4</t>
  </si>
  <si>
    <t xml:space="preserve">U10,U5,U6,U41,U15,U10</t>
  </si>
  <si>
    <t xml:space="preserve">U1,Q12,U6,U4,UD1,U10</t>
  </si>
  <si>
    <t xml:space="preserve">w4.520</t>
  </si>
  <si>
    <t xml:space="preserve">UM001,JM603</t>
  </si>
  <si>
    <t xml:space="preserve">UP098,UN01</t>
  </si>
  <si>
    <t xml:space="preserve">W4.083</t>
  </si>
  <si>
    <t xml:space="preserve">UA101,UN001,UV001</t>
  </si>
  <si>
    <t xml:space="preserve">RP004,RP005,UP098,UN001</t>
  </si>
  <si>
    <t xml:space="preserve">UN001,UP098,UM001</t>
  </si>
  <si>
    <t xml:space="preserve">RP004,RP005,UP098</t>
  </si>
  <si>
    <t xml:space="preserve">UA001,UM202,UM001</t>
  </si>
  <si>
    <t xml:space="preserve">UA001,UM202,UM001,UV001</t>
  </si>
  <si>
    <t xml:space="preserve">TAKHAT SOLANKI</t>
  </si>
  <si>
    <t xml:space="preserve">RP004,RP005,UP098,UN001,UV001</t>
  </si>
  <si>
    <t xml:space="preserve">UP098,UN001,,UX004</t>
  </si>
  <si>
    <t xml:space="preserve">19.09.2021</t>
  </si>
  <si>
    <t xml:space="preserve">SWICH ON/OFF</t>
  </si>
  <si>
    <t xml:space="preserve">UM001,UM202,UM00301</t>
  </si>
  <si>
    <t xml:space="preserve">EP002,UH104</t>
  </si>
  <si>
    <t xml:space="preserve">EH002,UH004,UP098</t>
  </si>
  <si>
    <t xml:space="preserve">QP014</t>
  </si>
  <si>
    <t xml:space="preserve">RX008,RX010</t>
  </si>
  <si>
    <t xml:space="preserve">UM001,UM202,UM00,UM301</t>
  </si>
  <si>
    <t xml:space="preserve">RP024,RP025,UA002</t>
  </si>
  <si>
    <t xml:space="preserve">UV001,JV002,UM001</t>
  </si>
  <si>
    <t xml:space="preserve">UN101,UP098</t>
  </si>
  <si>
    <t xml:space="preserve">UM001,UM101,UM301,UM202</t>
  </si>
  <si>
    <t xml:space="preserve">UX004,UA001</t>
  </si>
  <si>
    <t xml:space="preserve">UM001,UM202,UM301</t>
  </si>
  <si>
    <t xml:space="preserve">RN010,RN001</t>
  </si>
  <si>
    <t xml:space="preserve">UM001,UM202,UM001,UM301</t>
  </si>
  <si>
    <t xml:space="preserve">10.09.201</t>
  </si>
  <si>
    <t xml:space="preserve">UN001,RH056,RH060</t>
  </si>
  <si>
    <t xml:space="preserve">UM001,JN603</t>
  </si>
  <si>
    <t xml:space="preserve">DK021,DK023</t>
  </si>
  <si>
    <t xml:space="preserve">DN521</t>
  </si>
  <si>
    <t xml:space="preserve">RH056,RH060</t>
  </si>
  <si>
    <t xml:space="preserve">UP098,UN001,UA001,UM001</t>
  </si>
  <si>
    <t xml:space="preserve">No Video - AV</t>
  </si>
  <si>
    <t xml:space="preserve">UP098,UH71,UA001</t>
  </si>
  <si>
    <t xml:space="preserve">UM201,RP504,UM001</t>
  </si>
  <si>
    <t xml:space="preserve">RP004,RP005,UN001,UP098</t>
  </si>
  <si>
    <t xml:space="preserve">HDMI Section</t>
  </si>
  <si>
    <t xml:space="preserve">No Audio - HDMI</t>
  </si>
  <si>
    <t xml:space="preserve">JV002</t>
  </si>
  <si>
    <t xml:space="preserve">DP001,UM001</t>
  </si>
  <si>
    <t xml:space="preserve">PRAKASH CHAVDA</t>
  </si>
  <si>
    <t xml:space="preserve">18.09.2001</t>
  </si>
  <si>
    <t xml:space="preserve">UN001,UP001</t>
  </si>
  <si>
    <t xml:space="preserve">UN001,UA001</t>
  </si>
  <si>
    <t xml:space="preserve">UM001,UM202</t>
  </si>
  <si>
    <t xml:space="preserve">16.09.201</t>
  </si>
  <si>
    <t xml:space="preserve">12.09.2021</t>
  </si>
  <si>
    <t xml:space="preserve">JM603</t>
  </si>
  <si>
    <t xml:space="preserve">CP300</t>
  </si>
  <si>
    <t xml:space="preserve">19.08.20321</t>
  </si>
  <si>
    <t xml:space="preserve">JT01,UT02</t>
  </si>
  <si>
    <t xml:space="preserve">07.09.201</t>
  </si>
  <si>
    <t xml:space="preserve">UH03</t>
  </si>
  <si>
    <t xml:space="preserve">UV01,UH03,UP02</t>
  </si>
  <si>
    <t xml:space="preserve">RP18,RP19</t>
  </si>
  <si>
    <t xml:space="preserve">08.2.2021</t>
  </si>
  <si>
    <t xml:space="preserve">UX14</t>
  </si>
  <si>
    <t xml:space="preserve">UP25,UP21,UH01,UH71</t>
  </si>
  <si>
    <t xml:space="preserve">JP01,UP25,U401,UD21</t>
  </si>
  <si>
    <t xml:space="preserve">UH71,UH101</t>
  </si>
  <si>
    <t xml:space="preserve">UP25,QP20</t>
  </si>
  <si>
    <t xml:space="preserve">QK12</t>
  </si>
  <si>
    <t xml:space="preserve">UK16</t>
  </si>
  <si>
    <t xml:space="preserve">UM03,UP025,UP021,UH71</t>
  </si>
  <si>
    <t xml:space="preserve">UH01,UH71</t>
  </si>
  <si>
    <t xml:space="preserve">EH18</t>
  </si>
  <si>
    <t xml:space="preserve">12.08.20321</t>
  </si>
  <si>
    <t xml:space="preserve">DP12,UP25</t>
  </si>
  <si>
    <t xml:space="preserve">JA01</t>
  </si>
  <si>
    <t xml:space="preserve">W4.403</t>
  </si>
  <si>
    <t xml:space="preserve">CM16,CM20,CP59</t>
  </si>
  <si>
    <t xml:space="preserve">UM003,UH71</t>
  </si>
  <si>
    <t xml:space="preserve">UX14,JX11</t>
  </si>
  <si>
    <t xml:space="preserve">UH71,UP25</t>
  </si>
  <si>
    <t xml:space="preserve">EH81,UP25</t>
  </si>
  <si>
    <t xml:space="preserve">JX011</t>
  </si>
  <si>
    <t xml:space="preserve">LM01,CP63,CM04,CM37,UM03</t>
  </si>
  <si>
    <t xml:space="preserve">W4.107</t>
  </si>
  <si>
    <t xml:space="preserve">UM01</t>
  </si>
  <si>
    <t xml:space="preserve">DK05</t>
  </si>
  <si>
    <t xml:space="preserve">EH81,UB01</t>
  </si>
  <si>
    <t xml:space="preserve">17.09.201</t>
  </si>
  <si>
    <t xml:space="preserve">EH81,UP25,JX11,UX71</t>
  </si>
  <si>
    <t xml:space="preserve">EH81,UM03</t>
  </si>
  <si>
    <t xml:space="preserve">16.09.2020</t>
  </si>
  <si>
    <t xml:space="preserve">U52</t>
  </si>
  <si>
    <t xml:space="preserve">……………….</t>
  </si>
  <si>
    <t xml:space="preserve">D302</t>
  </si>
  <si>
    <t xml:space="preserve">U1102,U502</t>
  </si>
  <si>
    <t xml:space="preserve">N1.808</t>
  </si>
  <si>
    <t xml:space="preserve">U1103,U1104</t>
  </si>
  <si>
    <t xml:space="preserve">U2,U3,U4</t>
  </si>
  <si>
    <t xml:space="preserve">E3.111</t>
  </si>
  <si>
    <t xml:space="preserve">U1103,U1104,Q306</t>
  </si>
  <si>
    <t xml:space="preserve">U1103,U1104,Q306,U313</t>
  </si>
  <si>
    <t xml:space="preserve">Q306,U502</t>
  </si>
  <si>
    <t xml:space="preserve">U502,U1104</t>
  </si>
  <si>
    <t xml:space="preserve">U502,U1104,U1103</t>
  </si>
  <si>
    <t xml:space="preserve">U1103,QP06</t>
  </si>
  <si>
    <t xml:space="preserve">U1103,QP06,U1103,U1104</t>
  </si>
  <si>
    <t xml:space="preserve">UA001,UK009</t>
  </si>
  <si>
    <t xml:space="preserve">QP003,UH101</t>
  </si>
  <si>
    <t xml:space="preserve">QK011</t>
  </si>
  <si>
    <t xml:space="preserve">LP02,CN020</t>
  </si>
  <si>
    <t xml:space="preserve">UA101,UX001</t>
  </si>
  <si>
    <t xml:space="preserve">UA1104</t>
  </si>
  <si>
    <t xml:space="preserve">U4,U20,U15</t>
  </si>
  <si>
    <t xml:space="preserve">U12,U4,Q34,U5</t>
  </si>
  <si>
    <t xml:space="preserve">U15,U16,IV1</t>
  </si>
  <si>
    <t xml:space="preserve">U304,U317</t>
  </si>
  <si>
    <t xml:space="preserve">25.06.2021</t>
  </si>
  <si>
    <t xml:space="preserve">U1300,U1000</t>
  </si>
  <si>
    <t xml:space="preserve">U1300,U1000,U701,U304</t>
  </si>
  <si>
    <t xml:space="preserve">C322</t>
  </si>
  <si>
    <t xml:space="preserve">U1000,U300,U307</t>
  </si>
  <si>
    <t xml:space="preserve">R729</t>
  </si>
  <si>
    <t xml:space="preserve">FN300</t>
  </si>
  <si>
    <t xml:space="preserve">U300</t>
  </si>
  <si>
    <t xml:space="preserve">FB305</t>
  </si>
  <si>
    <t xml:space="preserve">U304,U307</t>
  </si>
  <si>
    <t xml:space="preserve">U1001</t>
  </si>
  <si>
    <t xml:space="preserve">U2222,U5953,R4125</t>
  </si>
  <si>
    <t xml:space="preserve">U5953,CA1</t>
  </si>
  <si>
    <t xml:space="preserve">31.08.20321</t>
  </si>
  <si>
    <t xml:space="preserve">W3.052</t>
  </si>
  <si>
    <t xml:space="preserve">J400</t>
  </si>
  <si>
    <t xml:space="preserve">U4004,U5953</t>
  </si>
  <si>
    <t xml:space="preserve">W4.2222</t>
  </si>
  <si>
    <t xml:space="preserve">U2222,U5953,R4125,C9006</t>
  </si>
  <si>
    <t xml:space="preserve">U5953,R4125,R4127</t>
  </si>
  <si>
    <t xml:space="preserve">U1600,U1700</t>
  </si>
  <si>
    <t xml:space="preserve">U1500,U1200</t>
  </si>
  <si>
    <t xml:space="preserve">U100,U1700</t>
  </si>
  <si>
    <t xml:space="preserve">U1203,U1204</t>
  </si>
  <si>
    <t xml:space="preserve">U1203,U1204,U1600,U104</t>
  </si>
  <si>
    <t xml:space="preserve">U1203,U1600</t>
  </si>
  <si>
    <t xml:space="preserve">U1700,U1500</t>
  </si>
  <si>
    <t xml:space="preserve">U1700,U1500,U1201</t>
  </si>
  <si>
    <t xml:space="preserve">VIJAY RANA</t>
  </si>
  <si>
    <t xml:space="preserve">U1600,U1201</t>
  </si>
  <si>
    <t xml:space="preserve">U1401</t>
  </si>
  <si>
    <t xml:space="preserve">01.07.2021</t>
  </si>
  <si>
    <t xml:space="preserve">U1201,U1600</t>
  </si>
  <si>
    <t xml:space="preserve">W3.0212</t>
  </si>
  <si>
    <t xml:space="preserve">U1300,U1600</t>
  </si>
  <si>
    <t xml:space="preserve">U1200</t>
  </si>
  <si>
    <t xml:space="preserve">U1600,U1701</t>
  </si>
  <si>
    <t xml:space="preserve">U1700,U1600</t>
  </si>
  <si>
    <t xml:space="preserve">himanshu</t>
  </si>
  <si>
    <t xml:space="preserve">U1700,U1204,U1203</t>
  </si>
  <si>
    <t xml:space="preserve">U1700,U1204,U1203,U1600</t>
  </si>
  <si>
    <t xml:space="preserve">U1201,U1203</t>
  </si>
  <si>
    <t xml:space="preserve">U1700,U1203</t>
  </si>
  <si>
    <t xml:space="preserve">U1700,U1203,U1000</t>
  </si>
  <si>
    <t xml:space="preserve">W3.110</t>
  </si>
  <si>
    <t xml:space="preserve">15.08.2021</t>
  </si>
  <si>
    <t xml:space="preserve">02.02.2021</t>
  </si>
  <si>
    <t xml:space="preserve">NO ISSUE</t>
  </si>
  <si>
    <t xml:space="preserve">W3.204</t>
  </si>
  <si>
    <t xml:space="preserve"> 17.12.2020</t>
  </si>
  <si>
    <t xml:space="preserve">05.08.2019</t>
  </si>
  <si>
    <t xml:space="preserve">W4.049</t>
  </si>
  <si>
    <t xml:space="preserve">W3.0221</t>
  </si>
  <si>
    <t xml:space="preserve">JP002</t>
  </si>
  <si>
    <t xml:space="preserve">RP503,RP504,DK002</t>
  </si>
  <si>
    <t xml:space="preserve">RH054,UN001</t>
  </si>
  <si>
    <t xml:space="preserve">UP098,RP004,CP60</t>
  </si>
  <si>
    <t xml:space="preserve">UE2</t>
  </si>
  <si>
    <t xml:space="preserve">U4000</t>
  </si>
  <si>
    <t xml:space="preserve">U322,U4</t>
  </si>
  <si>
    <t xml:space="preserve">U15,D7</t>
  </si>
  <si>
    <t xml:space="preserve">U1,U10,U32</t>
  </si>
  <si>
    <t xml:space="preserve">V1,U39</t>
  </si>
  <si>
    <t xml:space="preserve">U32,U1,J1</t>
  </si>
  <si>
    <t xml:space="preserve">U1,U5,U6</t>
  </si>
  <si>
    <t xml:space="preserve">U32,U10,U402</t>
  </si>
  <si>
    <t xml:space="preserve">U7,U10</t>
  </si>
  <si>
    <t xml:space="preserve">U10,R236,R246</t>
  </si>
  <si>
    <t xml:space="preserve">Fault Observed</t>
  </si>
  <si>
    <t xml:space="preserve">Fault Reason</t>
  </si>
  <si>
    <t xml:space="preserve">Action</t>
  </si>
  <si>
    <t xml:space="preserve">CODE</t>
  </si>
  <si>
    <t xml:space="preserve">Reason for IR</t>
  </si>
  <si>
    <t xml:space="preserve">Main WorkCt</t>
  </si>
  <si>
    <t xml:space="preserve">T-NAME</t>
  </si>
  <si>
    <t xml:space="preserve">DETAILS</t>
  </si>
  <si>
    <t xml:space="preserve">DESCRIPTION</t>
  </si>
  <si>
    <t xml:space="preserve">Damage – Fault Codes</t>
  </si>
  <si>
    <t xml:space="preserve">Cause – Reason Codes</t>
  </si>
  <si>
    <t xml:space="preserve">Task – Action Codes</t>
  </si>
  <si>
    <t xml:space="preserve">DRY SOLDER</t>
  </si>
  <si>
    <t xml:space="preserve">NFF :- Software downloaded</t>
  </si>
  <si>
    <t xml:space="preserve">JAYESH NAI</t>
  </si>
  <si>
    <t xml:space="preserve">Blue/Black /Blank Screen</t>
  </si>
  <si>
    <t xml:space="preserve">NFF :- Master reset</t>
  </si>
  <si>
    <t xml:space="preserve">BER</t>
  </si>
  <si>
    <t xml:space="preserve">BEYOND ECONOMIC REPAIR</t>
  </si>
  <si>
    <t xml:space="preserve">All LED glow</t>
  </si>
  <si>
    <t xml:space="preserve">NFF :-Corrective Actions Taken</t>
  </si>
  <si>
    <t xml:space="preserve">COMPONENTS</t>
  </si>
  <si>
    <t xml:space="preserve">NFF:- IP Clean/G Service</t>
  </si>
  <si>
    <t xml:space="preserve">TRACK DAMAGE</t>
  </si>
  <si>
    <t xml:space="preserve">Flash /EPROM/NVRAM</t>
  </si>
  <si>
    <t xml:space="preserve">Component  Replaced</t>
  </si>
  <si>
    <t xml:space="preserve">IR CID -Tampered Backside ports&amp;VCreader</t>
  </si>
  <si>
    <t xml:space="preserve">No Signal - Intermittent</t>
  </si>
  <si>
    <t xml:space="preserve">Component Missing Replaced</t>
  </si>
  <si>
    <t xml:space="preserve">AKASH BAROT</t>
  </si>
  <si>
    <t xml:space="preserve">Signal Low</t>
  </si>
  <si>
    <t xml:space="preserve">BER -BGA Replaced</t>
  </si>
  <si>
    <t xml:space="preserve">HDD</t>
  </si>
  <si>
    <t xml:space="preserve">Dry Solder Rectified</t>
  </si>
  <si>
    <t xml:space="preserve">PRADIP YADAV</t>
  </si>
  <si>
    <t xml:space="preserve">Fan</t>
  </si>
  <si>
    <t xml:space="preserve">BER -Dry Solder BGA Rectified</t>
  </si>
  <si>
    <t xml:space="preserve">A012</t>
  </si>
  <si>
    <t xml:space="preserve">LUCKY PATIL</t>
  </si>
  <si>
    <t xml:space="preserve">No Audio - RF</t>
  </si>
  <si>
    <t xml:space="preserve">A013</t>
  </si>
  <si>
    <t xml:space="preserve">VIVEK SHAH</t>
  </si>
  <si>
    <t xml:space="preserve">Ethernet / USB</t>
  </si>
  <si>
    <t xml:space="preserve">A014</t>
  </si>
  <si>
    <t xml:space="preserve">HARSHAD CHUHAN</t>
  </si>
  <si>
    <t xml:space="preserve">Software</t>
  </si>
  <si>
    <t xml:space="preserve">No Audio -  Optical Out put</t>
  </si>
  <si>
    <t xml:space="preserve">IR CID but repaired OK</t>
  </si>
  <si>
    <t xml:space="preserve">PARIXIT PANDYA </t>
  </si>
  <si>
    <t xml:space="preserve">Cosmetic</t>
  </si>
  <si>
    <t xml:space="preserve">No Audio Intermittent</t>
  </si>
  <si>
    <t xml:space="preserve">IR Others but repaired OK</t>
  </si>
  <si>
    <t xml:space="preserve">Modiffed/Corrected/Re fixed OK</t>
  </si>
  <si>
    <t xml:space="preserve">Parts Pending</t>
  </si>
  <si>
    <t xml:space="preserve">A037</t>
  </si>
  <si>
    <t xml:space="preserve">JAGDISH KOSHTI</t>
  </si>
  <si>
    <t xml:space="preserve">No Video - Component</t>
  </si>
  <si>
    <t xml:space="preserve">BGA Replacement Pending</t>
  </si>
  <si>
    <t xml:space="preserve">A040</t>
  </si>
  <si>
    <t xml:space="preserve">PRASHANT SONVANE</t>
  </si>
  <si>
    <t xml:space="preserve">No Video- RF</t>
  </si>
  <si>
    <t xml:space="preserve">STB OK Cosmetic Pending</t>
  </si>
  <si>
    <t xml:space="preserve">DOA Tag Available</t>
  </si>
  <si>
    <t xml:space="preserve">PRASHANT,AKASH</t>
  </si>
  <si>
    <t xml:space="preserve">STB OK Pending Others </t>
  </si>
  <si>
    <t xml:space="preserve">No Audio /Video -AV</t>
  </si>
  <si>
    <t xml:space="preserve">WIP</t>
  </si>
  <si>
    <t xml:space="preserve">Tag Availble but  only SR area details available</t>
  </si>
  <si>
    <t xml:space="preserve">No Audio /Video - HDMI</t>
  </si>
  <si>
    <t xml:space="preserve">Awaiting Repair</t>
  </si>
  <si>
    <t xml:space="preserve">No Audio /Video - RF</t>
  </si>
  <si>
    <t xml:space="preserve">Cosmetic-Top cover</t>
  </si>
  <si>
    <t xml:space="preserve">NFF tag available</t>
  </si>
  <si>
    <t xml:space="preserve">NO Audio/Video -Intermittent</t>
  </si>
  <si>
    <t xml:space="preserve">Cosmetic-Front Panel</t>
  </si>
  <si>
    <t xml:space="preserve">IMPEDENCE FAIL</t>
  </si>
  <si>
    <t xml:space="preserve">A056</t>
  </si>
  <si>
    <t xml:space="preserve">ISHWAR</t>
  </si>
  <si>
    <t xml:space="preserve">Cosmetic -Front Panel Door</t>
  </si>
  <si>
    <t xml:space="preserve">A061</t>
  </si>
  <si>
    <t xml:space="preserve">GAJENDRA GARASIYA</t>
  </si>
  <si>
    <t xml:space="preserve">STB Not Responding  form RCU</t>
  </si>
  <si>
    <t xml:space="preserve">Cosmetic -Bottom panel</t>
  </si>
  <si>
    <t xml:space="preserve">STB Moving to Standby while using Remote</t>
  </si>
  <si>
    <t xml:space="preserve">Component Replaced &amp; DrySolder rectified</t>
  </si>
  <si>
    <t xml:space="preserve">A065</t>
  </si>
  <si>
    <t xml:space="preserve">NIKHIL KAMADE</t>
  </si>
  <si>
    <t xml:space="preserve">Technical support pending from Vendor</t>
  </si>
  <si>
    <t xml:space="preserve">Physical scrap pending</t>
  </si>
  <si>
    <t xml:space="preserve">A077</t>
  </si>
  <si>
    <t xml:space="preserve">ARUN KORI</t>
  </si>
  <si>
    <t xml:space="preserve">Hang and Freeze video - HDMI</t>
  </si>
  <si>
    <t xml:space="preserve">Replacement pending  from vendor</t>
  </si>
  <si>
    <t xml:space="preserve">A079</t>
  </si>
  <si>
    <t xml:space="preserve">ARPIT PARMAR</t>
  </si>
  <si>
    <t xml:space="preserve">Hang and Freeze video - Component</t>
  </si>
  <si>
    <t xml:space="preserve">Others</t>
  </si>
  <si>
    <t xml:space="preserve">A052</t>
  </si>
  <si>
    <t xml:space="preserve">MAHESH RAWAL</t>
  </si>
  <si>
    <t xml:space="preserve">Hang and Freeze video - RF</t>
  </si>
  <si>
    <t xml:space="preserve">Hang &amp; Freeze video-Recording Play back</t>
  </si>
  <si>
    <t xml:space="preserve">A054</t>
  </si>
  <si>
    <t xml:space="preserve">RANJIT GOHEL</t>
  </si>
  <si>
    <t xml:space="preserve">Software download failure</t>
  </si>
  <si>
    <t xml:space="preserve">A055</t>
  </si>
  <si>
    <t xml:space="preserve">SAILESH CHAUHAN</t>
  </si>
  <si>
    <t xml:space="preserve">Missing - T Sky Logo</t>
  </si>
  <si>
    <t xml:space="preserve">VIJAY VAGHELA</t>
  </si>
  <si>
    <t xml:space="preserve">Missing - Few Channels</t>
  </si>
  <si>
    <t xml:space="preserve">A057</t>
  </si>
  <si>
    <t xml:space="preserve">MAYUR TRIVEDI</t>
  </si>
  <si>
    <t xml:space="preserve">A058</t>
  </si>
  <si>
    <t xml:space="preserve">SUNIL</t>
  </si>
  <si>
    <t xml:space="preserve">A059</t>
  </si>
  <si>
    <t xml:space="preserve">DINESH VAGHELA</t>
  </si>
  <si>
    <t xml:space="preserve">Error- 14</t>
  </si>
  <si>
    <t xml:space="preserve">A060</t>
  </si>
  <si>
    <t xml:space="preserve">PRATIK MODI</t>
  </si>
  <si>
    <t xml:space="preserve">Errors Others( other than Error -1,2,14)</t>
  </si>
  <si>
    <t xml:space="preserve">Error Recording function</t>
  </si>
  <si>
    <t xml:space="preserve">A062</t>
  </si>
  <si>
    <t xml:space="preserve">MEHAL ACHARYA</t>
  </si>
  <si>
    <t xml:space="preserve">Front panel not working</t>
  </si>
  <si>
    <t xml:space="preserve">VOD /Ethernet/ Internet Error</t>
  </si>
  <si>
    <t xml:space="preserve">A064</t>
  </si>
  <si>
    <t xml:space="preserve">HETARTH BRAHMBHATT</t>
  </si>
  <si>
    <t xml:space="preserve">EPG related</t>
  </si>
  <si>
    <t xml:space="preserve">Few Channels Missing</t>
  </si>
  <si>
    <t xml:space="preserve">A066</t>
  </si>
  <si>
    <t xml:space="preserve">SUKHDEV KANZARIYA</t>
  </si>
  <si>
    <t xml:space="preserve">IR Type A</t>
  </si>
  <si>
    <t xml:space="preserve">A067</t>
  </si>
  <si>
    <t xml:space="preserve">SALIM SHAIKH</t>
  </si>
  <si>
    <t xml:space="preserve">IR Type B</t>
  </si>
  <si>
    <t xml:space="preserve">STB  Making Noisy</t>
  </si>
  <si>
    <t xml:space="preserve">JAYESH </t>
  </si>
  <si>
    <t xml:space="preserve">Picture Quality</t>
  </si>
  <si>
    <t xml:space="preserve">Audio Quality</t>
  </si>
  <si>
    <t xml:space="preserve">Incompatibility issue with TV</t>
  </si>
  <si>
    <t xml:space="preserve">A069</t>
  </si>
  <si>
    <t xml:space="preserve">VIDHI SUTHAR</t>
  </si>
  <si>
    <t xml:space="preserve">Technical support awaiting Issue Confrmd</t>
  </si>
  <si>
    <t xml:space="preserve">A070</t>
  </si>
  <si>
    <t xml:space="preserve">RINKU PARMAR</t>
  </si>
  <si>
    <t xml:space="preserve">Technical support awaiting </t>
  </si>
  <si>
    <t xml:space="preserve">A071</t>
  </si>
  <si>
    <t xml:space="preserve">ANJALI BHATT</t>
  </si>
  <si>
    <t xml:space="preserve">A072</t>
  </si>
  <si>
    <t xml:space="preserve">AVINASH PRJAPATI</t>
  </si>
  <si>
    <t xml:space="preserve">PRADIP</t>
  </si>
  <si>
    <t xml:space="preserve">QP011,QP015</t>
  </si>
  <si>
    <t xml:space="preserve">19.03.2021</t>
  </si>
  <si>
    <t xml:space="preserve">24.03.2021</t>
  </si>
  <si>
    <t xml:space="preserve">18.03.2021</t>
  </si>
  <si>
    <t xml:space="preserve">UM003,UP004,LR001,LM765,RM332</t>
  </si>
  <si>
    <t xml:space="preserve">U15,U6,U5,U12</t>
  </si>
  <si>
    <t xml:space="preserve">01.03.2021</t>
  </si>
  <si>
    <t xml:space="preserve">N1.405</t>
  </si>
  <si>
    <t xml:space="preserve">U1103,U313</t>
  </si>
  <si>
    <t xml:space="preserve">04.02.2021</t>
  </si>
  <si>
    <t xml:space="preserve">19.10.2020</t>
  </si>
  <si>
    <t xml:space="preserve">E1.329</t>
  </si>
  <si>
    <t xml:space="preserve">U1104,U1103,U502</t>
  </si>
  <si>
    <t xml:space="preserve">C1119</t>
  </si>
  <si>
    <t xml:space="preserve">16.03.2021</t>
  </si>
  <si>
    <t xml:space="preserve">U300,U304,U307,U1300</t>
  </si>
  <si>
    <t xml:space="preserve">U304,U310,U307,U100</t>
  </si>
  <si>
    <t xml:space="preserve">U1000,U300</t>
  </si>
  <si>
    <t xml:space="preserve">U307,U304</t>
  </si>
  <si>
    <t xml:space="preserve">R4,R7,R323,U3,U6</t>
  </si>
  <si>
    <t xml:space="preserve">W3.208</t>
  </si>
  <si>
    <t xml:space="preserve">U1,U3,U5,U6,UD1</t>
  </si>
  <si>
    <t xml:space="preserve">AUTO ON-OFF</t>
  </si>
  <si>
    <t xml:space="preserve">U4,J7</t>
  </si>
  <si>
    <t xml:space="preserve">12.03.2021</t>
  </si>
  <si>
    <t xml:space="preserve">U9181,J13126</t>
  </si>
  <si>
    <t xml:space="preserve">U1600,U1202</t>
  </si>
  <si>
    <t xml:space="preserve">A020</t>
  </si>
  <si>
    <t xml:space="preserve">11.06.2020</t>
  </si>
  <si>
    <t xml:space="preserve">U5,C10,C368,R11,R9,R275,R341</t>
  </si>
  <si>
    <t xml:space="preserve">U6,U4,Q34,UD1</t>
  </si>
  <si>
    <t xml:space="preserve">10.11.2020</t>
  </si>
  <si>
    <t xml:space="preserve">10.10.2020</t>
  </si>
  <si>
    <t xml:space="preserve">U1104,U313</t>
  </si>
  <si>
    <t xml:space="preserve">E3.105</t>
  </si>
  <si>
    <t xml:space="preserve">10.09.2020</t>
  </si>
  <si>
    <t xml:space="preserve">W4.113</t>
  </si>
  <si>
    <t xml:space="preserve">20.08.2020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</si>
</sst>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0"/>
      <name val="Arial"/>
      <family val="2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IR%20ARC%20Master%20Job%20Sheet%20Formet-01.02.2021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2">
          <cell r="A2" t="str">
            <v>Main WorkCt</v>
          </cell>
          <cell r="B2" t="str">
            <v>T-NAME</v>
          </cell>
        </row>
        <row r="3">
          <cell r="A3" t="str">
            <v>A002</v>
          </cell>
          <cell r="B3" t="str">
            <v>VIJAY RANA</v>
          </cell>
        </row>
        <row r="4">
          <cell r="A4" t="str">
            <v>A006</v>
          </cell>
          <cell r="B4" t="str">
            <v>ROHIT PRAJAPATI</v>
          </cell>
        </row>
        <row r="5">
          <cell r="A5" t="str">
            <v>A007</v>
          </cell>
          <cell r="B5" t="str">
            <v>HARIRAM GUPTA</v>
          </cell>
        </row>
        <row r="6">
          <cell r="A6" t="str">
            <v>A008</v>
          </cell>
          <cell r="B6" t="str">
            <v>NILESH NAGAR</v>
          </cell>
        </row>
        <row r="7">
          <cell r="A7" t="str">
            <v>A009</v>
          </cell>
          <cell r="B7" t="str">
            <v>AKASH BAROT</v>
          </cell>
        </row>
        <row r="8">
          <cell r="A8" t="str">
            <v>A011</v>
          </cell>
          <cell r="B8" t="str">
            <v>SHAKTI PATEL</v>
          </cell>
        </row>
        <row r="9">
          <cell r="A9" t="str">
            <v>A012</v>
          </cell>
          <cell r="B9" t="str">
            <v>MAHESH DABHI</v>
          </cell>
        </row>
        <row r="10">
          <cell r="A10" t="str">
            <v>A015</v>
          </cell>
          <cell r="B10" t="str">
            <v>AMIT KOSHTI</v>
          </cell>
        </row>
        <row r="11">
          <cell r="A11" t="str">
            <v>A018</v>
          </cell>
          <cell r="B11" t="str">
            <v>PRAKASH CHAVDA</v>
          </cell>
        </row>
        <row r="12">
          <cell r="A12" t="str">
            <v>A019</v>
          </cell>
          <cell r="B12" t="str">
            <v>VITTHAL PARMAR</v>
          </cell>
        </row>
        <row r="13">
          <cell r="A13" t="str">
            <v>A020</v>
          </cell>
          <cell r="B13" t="str">
            <v>PRATIK PATEL</v>
          </cell>
        </row>
        <row r="14">
          <cell r="A14" t="str">
            <v>A021</v>
          </cell>
          <cell r="B14" t="str">
            <v>INDRAJEET DABHI</v>
          </cell>
        </row>
        <row r="15">
          <cell r="A15" t="str">
            <v>A022</v>
          </cell>
          <cell r="B15" t="str">
            <v>VIJAY BHOI</v>
          </cell>
        </row>
        <row r="16">
          <cell r="A16" t="str">
            <v>A031</v>
          </cell>
          <cell r="B16" t="str">
            <v>NITIN PRANAMI</v>
          </cell>
        </row>
        <row r="17">
          <cell r="A17" t="str">
            <v>A032</v>
          </cell>
          <cell r="B17" t="str">
            <v>VIKRAM DESAI</v>
          </cell>
        </row>
        <row r="18">
          <cell r="A18" t="str">
            <v>A034</v>
          </cell>
          <cell r="B18" t="str">
            <v>VIPUL CHAVDA</v>
          </cell>
        </row>
        <row r="19">
          <cell r="A19" t="str">
            <v>A035</v>
          </cell>
          <cell r="B19" t="str">
            <v>YOGESH PRAJAPATI</v>
          </cell>
        </row>
        <row r="20">
          <cell r="A20" t="str">
            <v>A037</v>
          </cell>
          <cell r="B20" t="str">
            <v>JAGDISH KOSHTI</v>
          </cell>
        </row>
        <row r="21">
          <cell r="A21" t="str">
            <v>A038</v>
          </cell>
          <cell r="B21" t="str">
            <v>HITESH MAKWANA</v>
          </cell>
        </row>
        <row r="22">
          <cell r="A22" t="str">
            <v>A040</v>
          </cell>
          <cell r="B22" t="str">
            <v>PRASHANT SONVANE</v>
          </cell>
        </row>
        <row r="23">
          <cell r="A23" t="str">
            <v>A041</v>
          </cell>
          <cell r="B23" t="str">
            <v>PRASHANT, HITESH, ROHIT, AKASH, ANKIT, NIKHIL </v>
          </cell>
        </row>
        <row r="24">
          <cell r="A24" t="str">
            <v>A042</v>
          </cell>
          <cell r="B24" t="str">
            <v>ANKIT RANA</v>
          </cell>
        </row>
        <row r="25">
          <cell r="A25" t="str">
            <v>A043</v>
          </cell>
          <cell r="B25" t="str">
            <v>DHAVAL JANGAM</v>
          </cell>
        </row>
        <row r="26">
          <cell r="A26" t="str">
            <v>A044</v>
          </cell>
          <cell r="B26" t="str">
            <v>HIREN TAILOR</v>
          </cell>
        </row>
        <row r="27">
          <cell r="A27" t="str">
            <v>A045</v>
          </cell>
          <cell r="B27" t="str">
            <v>BHARAT</v>
          </cell>
        </row>
        <row r="28">
          <cell r="A28" t="str">
            <v>A046</v>
          </cell>
          <cell r="B28" t="str">
            <v>PARESH SHODHA</v>
          </cell>
        </row>
        <row r="29">
          <cell r="A29" t="str">
            <v>A047</v>
          </cell>
          <cell r="B29" t="str">
            <v>RIKEN PATEL</v>
          </cell>
        </row>
        <row r="30">
          <cell r="A30" t="str">
            <v>A049</v>
          </cell>
          <cell r="B30" t="str">
            <v>JIMIT SHAH</v>
          </cell>
        </row>
        <row r="31">
          <cell r="A31" t="str">
            <v>A050</v>
          </cell>
          <cell r="B31" t="str">
            <v>PIYUSH CHAVDA</v>
          </cell>
        </row>
        <row r="32">
          <cell r="A32" t="str">
            <v>A051</v>
          </cell>
          <cell r="B32" t="str">
            <v>AJAY KOSHTI</v>
          </cell>
        </row>
        <row r="33">
          <cell r="A33" t="str">
            <v>A052</v>
          </cell>
          <cell r="B33" t="str">
            <v>MAHESH RAWAL</v>
          </cell>
        </row>
        <row r="34">
          <cell r="A34" t="str">
            <v>A053</v>
          </cell>
          <cell r="B34" t="str">
            <v>DEVENDRA RAJPUT</v>
          </cell>
        </row>
        <row r="35">
          <cell r="A35" t="str">
            <v>A054</v>
          </cell>
          <cell r="B35" t="str">
            <v>RANJIT GOHEL</v>
          </cell>
        </row>
        <row r="36">
          <cell r="A36" t="str">
            <v>A055</v>
          </cell>
          <cell r="B36" t="str">
            <v>SAILESH CHAUHAN</v>
          </cell>
        </row>
        <row r="37">
          <cell r="A37" t="str">
            <v>A056</v>
          </cell>
          <cell r="B37" t="str">
            <v>VIJAY VAGHELA</v>
          </cell>
        </row>
        <row r="38">
          <cell r="A38" t="str">
            <v>A057</v>
          </cell>
          <cell r="B38" t="str">
            <v>MAYUR TRIVEDI</v>
          </cell>
        </row>
        <row r="39">
          <cell r="A39" t="str">
            <v>A058</v>
          </cell>
          <cell r="B39" t="str">
            <v>SUNIL</v>
          </cell>
        </row>
        <row r="40">
          <cell r="A40" t="str">
            <v>A059</v>
          </cell>
          <cell r="B40" t="str">
            <v>DINESH VAGHELA</v>
          </cell>
        </row>
        <row r="41">
          <cell r="A41" t="str">
            <v>A060</v>
          </cell>
          <cell r="B41" t="str">
            <v>PRATIK MODI</v>
          </cell>
        </row>
        <row r="42">
          <cell r="A42" t="str">
            <v>A061</v>
          </cell>
          <cell r="B42" t="str">
            <v>GAJENDRA GARASIYA</v>
          </cell>
        </row>
        <row r="43">
          <cell r="A43" t="str">
            <v>A062</v>
          </cell>
          <cell r="B43" t="str">
            <v>MEHAL ACHARYA</v>
          </cell>
        </row>
        <row r="44">
          <cell r="A44" t="str">
            <v>A063</v>
          </cell>
          <cell r="B44" t="str">
            <v>SHANI GOHIL</v>
          </cell>
        </row>
        <row r="45">
          <cell r="A45" t="str">
            <v>A064</v>
          </cell>
          <cell r="B45" t="str">
            <v>HETARTH BRAHMBHATT</v>
          </cell>
        </row>
        <row r="46">
          <cell r="A46" t="str">
            <v>A065</v>
          </cell>
          <cell r="B46" t="str">
            <v>NIKHIL KAMADE</v>
          </cell>
        </row>
        <row r="47">
          <cell r="A47" t="str">
            <v>A066</v>
          </cell>
          <cell r="B47" t="str">
            <v>SUKHDEV KANZARIYA</v>
          </cell>
        </row>
        <row r="48">
          <cell r="A48" t="str">
            <v>A067</v>
          </cell>
          <cell r="B48" t="str">
            <v>SALIM SHAIKH</v>
          </cell>
        </row>
        <row r="49">
          <cell r="A49" t="str">
            <v>A068</v>
          </cell>
          <cell r="B49" t="str">
            <v>GHANSHYAM VYAS</v>
          </cell>
        </row>
        <row r="50">
          <cell r="A50" t="str">
            <v>A005</v>
          </cell>
          <cell r="B50" t="str">
            <v>VASANT PARMAR</v>
          </cell>
        </row>
        <row r="51">
          <cell r="A51" t="str">
            <v>A004</v>
          </cell>
          <cell r="B51" t="str">
            <v>SUNNY SHAH</v>
          </cell>
        </row>
        <row r="52">
          <cell r="A52" t="str">
            <v>A003</v>
          </cell>
          <cell r="B52" t="str">
            <v>JAIMIN MAKWANA</v>
          </cell>
        </row>
        <row r="53">
          <cell r="A53" t="str">
            <v>A069</v>
          </cell>
          <cell r="B53" t="str">
            <v>VIDHI SUTHAR</v>
          </cell>
        </row>
        <row r="54">
          <cell r="A54" t="str">
            <v>A070</v>
          </cell>
          <cell r="B54" t="str">
            <v>RINKU PARMAR</v>
          </cell>
        </row>
        <row r="55">
          <cell r="A55" t="str">
            <v>A071</v>
          </cell>
          <cell r="B55" t="str">
            <v>ANJALI BHATT</v>
          </cell>
        </row>
        <row r="56">
          <cell r="A56" t="str">
            <v>A072</v>
          </cell>
          <cell r="B56" t="str">
            <v>AVINASH PRJAPATI</v>
          </cell>
        </row>
        <row r="57">
          <cell r="A57" t="str">
            <v>A073</v>
          </cell>
          <cell r="B57" t="str">
            <v>KRIYANGSINH JALA</v>
          </cell>
        </row>
        <row r="1884">
          <cell r="B1884">
            <v>1008834967</v>
          </cell>
        </row>
        <row r="1885">
          <cell r="B1885">
            <v>1008934005</v>
          </cell>
        </row>
        <row r="1886">
          <cell r="B1886">
            <v>1008958543</v>
          </cell>
        </row>
        <row r="1887">
          <cell r="B1887">
            <v>1008990982</v>
          </cell>
        </row>
        <row r="1888">
          <cell r="B1888">
            <v>1008976780</v>
          </cell>
        </row>
        <row r="1889">
          <cell r="B1889">
            <v>1008961270</v>
          </cell>
        </row>
        <row r="1890">
          <cell r="B1890">
            <v>1008936019</v>
          </cell>
        </row>
        <row r="1891">
          <cell r="B1891">
            <v>1008976772</v>
          </cell>
        </row>
        <row r="1892">
          <cell r="B1892">
            <v>1008775493</v>
          </cell>
        </row>
        <row r="1893">
          <cell r="B1893">
            <v>1008914766</v>
          </cell>
        </row>
        <row r="1894">
          <cell r="B1894">
            <v>1008853496</v>
          </cell>
        </row>
        <row r="1895">
          <cell r="B1895">
            <v>1008912607</v>
          </cell>
        </row>
        <row r="1896">
          <cell r="B1896">
            <v>1008959821</v>
          </cell>
        </row>
        <row r="1897">
          <cell r="B1897">
            <v>1009007705</v>
          </cell>
        </row>
        <row r="1898">
          <cell r="B1898">
            <v>1008992874</v>
          </cell>
        </row>
        <row r="1899">
          <cell r="B1899">
            <v>1008912626</v>
          </cell>
        </row>
        <row r="1900">
          <cell r="B1900">
            <v>1008993114</v>
          </cell>
        </row>
        <row r="1901">
          <cell r="B1901">
            <v>1008959410</v>
          </cell>
        </row>
        <row r="1902">
          <cell r="B1902">
            <v>1008914621</v>
          </cell>
        </row>
        <row r="1903">
          <cell r="B1903">
            <v>1008920193</v>
          </cell>
        </row>
        <row r="1904">
          <cell r="B1904">
            <v>1008802696</v>
          </cell>
        </row>
        <row r="1905">
          <cell r="B1905">
            <v>1008682676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P45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512" activePane="bottomLeft" state="frozen"/>
      <selection pane="topLeft" activeCell="A1" activeCellId="0" sqref="A1"/>
      <selection pane="bottomLeft" activeCell="C2512" activeCellId="0" sqref="C2512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23.2"/>
    <col collapsed="false" customWidth="true" hidden="false" outlineLevel="0" max="2" min="2" style="2" width="12.42"/>
    <col collapsed="false" customWidth="true" hidden="false" outlineLevel="0" max="3" min="3" style="3" width="10.29"/>
    <col collapsed="false" customWidth="true" hidden="false" outlineLevel="0" max="4" min="4" style="1" width="7.42"/>
    <col collapsed="false" customWidth="true" hidden="false" outlineLevel="0" max="5" min="5" style="1" width="14.86"/>
    <col collapsed="false" customWidth="true" hidden="true" outlineLevel="0" max="6" min="6" style="1" width="16.42"/>
    <col collapsed="false" customWidth="true" hidden="false" outlineLevel="0" max="7" min="7" style="1" width="39.88"/>
    <col collapsed="false" customWidth="true" hidden="false" outlineLevel="0" max="8" min="8" style="1" width="10.71"/>
    <col collapsed="false" customWidth="true" hidden="false" outlineLevel="0" max="9" min="9" style="1" width="10.14"/>
    <col collapsed="false" customWidth="true" hidden="false" outlineLevel="0" max="10" min="10" style="1" width="7.57"/>
    <col collapsed="false" customWidth="true" hidden="false" outlineLevel="0" max="11" min="11" style="1" width="12.57"/>
    <col collapsed="false" customWidth="true" hidden="false" outlineLevel="0" max="12" min="12" style="1" width="4.71"/>
    <col collapsed="false" customWidth="true" hidden="true" outlineLevel="0" max="13" min="13" style="1" width="9.14"/>
    <col collapsed="false" customWidth="true" hidden="false" outlineLevel="0" max="14" min="14" style="1" width="4.86"/>
    <col collapsed="false" customWidth="true" hidden="true" outlineLevel="0" max="15" min="15" style="1" width="9.14"/>
    <col collapsed="false" customWidth="true" hidden="false" outlineLevel="0" max="16" min="16" style="1" width="5.01"/>
    <col collapsed="false" customWidth="true" hidden="true" outlineLevel="0" max="17" min="17" style="1" width="37.42"/>
    <col collapsed="false" customWidth="true" hidden="true" outlineLevel="0" max="18" min="18" style="1" width="9.14"/>
    <col collapsed="false" customWidth="true" hidden="true" outlineLevel="0" max="19" min="19" style="1" width="12.29"/>
    <col collapsed="false" customWidth="true" hidden="true" outlineLevel="0" max="20" min="20" style="1" width="25.42"/>
    <col collapsed="false" customWidth="true" hidden="true" outlineLevel="0" max="21" min="21" style="4" width="24.71"/>
    <col collapsed="false" customWidth="true" hidden="false" outlineLevel="0" max="22" min="22" style="1" width="4.86"/>
    <col collapsed="false" customWidth="true" hidden="false" outlineLevel="0" max="23" min="23" style="3" width="27.42"/>
    <col collapsed="false" customWidth="true" hidden="true" outlineLevel="0" max="25" min="24" style="1" width="9.14"/>
    <col collapsed="false" customWidth="true" hidden="false" outlineLevel="0" max="26" min="26" style="1" width="19.29"/>
    <col collapsed="false" customWidth="true" hidden="true" outlineLevel="0" max="27" min="27" style="1" width="10.85"/>
    <col collapsed="false" customWidth="true" hidden="false" outlineLevel="0" max="28" min="28" style="1" width="9.14"/>
    <col collapsed="false" customWidth="true" hidden="false" outlineLevel="0" max="29" min="29" style="1" width="4.57"/>
    <col collapsed="false" customWidth="true" hidden="false" outlineLevel="0" max="30" min="30" style="1" width="4.14"/>
    <col collapsed="false" customWidth="true" hidden="false" outlineLevel="0" max="31" min="31" style="1" width="9.14"/>
    <col collapsed="false" customWidth="true" hidden="false" outlineLevel="0" max="92" min="92" style="0" width="32.57"/>
    <col collapsed="false" customWidth="true" hidden="false" outlineLevel="0" max="93" min="93" style="0" width="15.42"/>
  </cols>
  <sheetData>
    <row r="1" customFormat="false" ht="15" hidden="false" customHeight="false" outlineLevel="0" collapsed="false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10" t="s">
        <v>20</v>
      </c>
      <c r="V1" s="8" t="s">
        <v>21</v>
      </c>
      <c r="W1" s="10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11" t="s">
        <v>27</v>
      </c>
      <c r="AC1" s="11" t="s">
        <v>28</v>
      </c>
      <c r="AD1" s="12" t="s">
        <v>29</v>
      </c>
      <c r="AE1" s="0"/>
      <c r="CN1" s="8" t="s">
        <v>7</v>
      </c>
      <c r="CO1" s="8" t="s">
        <v>30</v>
      </c>
      <c r="CP1" s="8" t="s">
        <v>8</v>
      </c>
    </row>
    <row r="2" customFormat="false" ht="15" hidden="false" customHeight="false" outlineLevel="0" collapsed="false">
      <c r="A2" s="13" t="n">
        <v>1</v>
      </c>
      <c r="B2" s="14" t="n">
        <v>1009431894</v>
      </c>
      <c r="C2" s="15" t="s">
        <v>31</v>
      </c>
      <c r="D2" s="16" t="s">
        <v>32</v>
      </c>
      <c r="E2" s="17" t="s">
        <v>33</v>
      </c>
      <c r="F2" s="18" t="s">
        <v>34</v>
      </c>
      <c r="G2" s="19" t="n">
        <v>853151711514</v>
      </c>
      <c r="H2" s="17" t="s">
        <v>35</v>
      </c>
      <c r="I2" s="17" t="s">
        <v>36</v>
      </c>
      <c r="J2" s="17" t="s">
        <v>37</v>
      </c>
      <c r="K2" s="17" t="str">
        <f aca="false">VLOOKUP(J2,Sheet2!A:B,2,0)</f>
        <v>PRASHANT,AKASH</v>
      </c>
      <c r="L2" s="17" t="n">
        <v>1</v>
      </c>
      <c r="M2" s="17" t="str">
        <f aca="false">VLOOKUP(L2,Sheet2!D:E,2,0)</f>
        <v>Power Supply Section</v>
      </c>
      <c r="N2" s="17" t="n">
        <v>1</v>
      </c>
      <c r="O2" s="17" t="str">
        <f aca="false">VLOOKUP(N2,Sheet2!G:H,2,0)</f>
        <v>Dead</v>
      </c>
      <c r="P2" s="17" t="n">
        <v>11</v>
      </c>
      <c r="Q2" s="17" t="str">
        <f aca="false">VLOOKUP(P2,Sheet2!J:K,2,0)</f>
        <v>IR Declared due to CID -TA</v>
      </c>
      <c r="R2" s="17" t="s">
        <v>35</v>
      </c>
      <c r="S2" s="17" t="str">
        <f aca="false">VLOOKUP(R2,Sheet2!N:O,2,0)</f>
        <v>IREPARABLE</v>
      </c>
      <c r="T2" s="18" t="str">
        <f aca="false">VLOOKUP(P2,Sheet2!Q:R,2,0)</f>
        <v>IR Normal - Track burn out</v>
      </c>
      <c r="U2" s="18" t="s">
        <v>38</v>
      </c>
      <c r="V2" s="17" t="n">
        <v>4</v>
      </c>
      <c r="W2" s="20" t="str">
        <f aca="false">VLOOKUP(V2,Sheet2!Q:R,2,0)</f>
        <v>IR CID - Tampered Track burn out</v>
      </c>
      <c r="X2" s="17" t="str">
        <f aca="false">J2</f>
        <v>A041</v>
      </c>
      <c r="Y2" s="17" t="str">
        <f aca="false">VLOOKUP(X2,Sheet2!A:B,2,0)</f>
        <v>PRASHANT,AKASH</v>
      </c>
      <c r="Z2" s="17" t="s">
        <v>39</v>
      </c>
      <c r="AA2" s="17" t="s">
        <v>40</v>
      </c>
      <c r="AB2" s="17" t="s">
        <v>41</v>
      </c>
      <c r="AC2" s="0" t="str">
        <f aca="false">LEFT(G2,2)</f>
        <v>85</v>
      </c>
      <c r="AD2" s="21"/>
      <c r="AE2" s="21" t="s">
        <v>42</v>
      </c>
      <c r="CN2" s="18" t="s">
        <v>43</v>
      </c>
      <c r="CO2" s="18" t="s">
        <v>44</v>
      </c>
      <c r="CP2" s="18" t="s">
        <v>44</v>
      </c>
    </row>
    <row r="3" customFormat="false" ht="15" hidden="false" customHeight="false" outlineLevel="0" collapsed="false">
      <c r="A3" s="13" t="n">
        <v>1</v>
      </c>
      <c r="B3" s="14" t="n">
        <v>1009616011</v>
      </c>
      <c r="C3" s="15" t="s">
        <v>45</v>
      </c>
      <c r="D3" s="16" t="s">
        <v>46</v>
      </c>
      <c r="E3" s="17" t="s">
        <v>47</v>
      </c>
      <c r="F3" s="18" t="s">
        <v>34</v>
      </c>
      <c r="G3" s="19" t="n">
        <v>853343732246</v>
      </c>
      <c r="H3" s="17" t="s">
        <v>35</v>
      </c>
      <c r="I3" s="17" t="s">
        <v>36</v>
      </c>
      <c r="J3" s="17" t="s">
        <v>37</v>
      </c>
      <c r="K3" s="17" t="str">
        <f aca="false">VLOOKUP(J3,Sheet2!A:B,2,0)</f>
        <v>PRASHANT,AKASH</v>
      </c>
      <c r="L3" s="17" t="n">
        <v>1</v>
      </c>
      <c r="M3" s="17" t="str">
        <f aca="false">VLOOKUP(L3,Sheet2!D:E,2,0)</f>
        <v>Power Supply Section</v>
      </c>
      <c r="N3" s="17" t="n">
        <v>1</v>
      </c>
      <c r="O3" s="17" t="str">
        <f aca="false">VLOOKUP(N3,Sheet2!G:H,2,0)</f>
        <v>Dead</v>
      </c>
      <c r="P3" s="17" t="n">
        <v>11</v>
      </c>
      <c r="Q3" s="17" t="str">
        <f aca="false">VLOOKUP(P3,Sheet2!J:K,2,0)</f>
        <v>IR Declared due to CID -TA</v>
      </c>
      <c r="R3" s="17" t="s">
        <v>35</v>
      </c>
      <c r="S3" s="17" t="str">
        <f aca="false">VLOOKUP(R3,Sheet2!N:O,2,0)</f>
        <v>IREPARABLE</v>
      </c>
      <c r="T3" s="18" t="str">
        <f aca="false">VLOOKUP(P3,Sheet2!Q:R,2,0)</f>
        <v>IR Normal - Track burn out</v>
      </c>
      <c r="U3" s="18" t="s">
        <v>38</v>
      </c>
      <c r="V3" s="17" t="n">
        <v>4</v>
      </c>
      <c r="W3" s="20" t="str">
        <f aca="false">VLOOKUP(V3,Sheet2!Q:R,2,0)</f>
        <v>IR CID - Tampered Track burn out</v>
      </c>
      <c r="X3" s="17" t="str">
        <f aca="false">J3</f>
        <v>A041</v>
      </c>
      <c r="Y3" s="17" t="str">
        <f aca="false">VLOOKUP(X3,Sheet2!A:B,2,0)</f>
        <v>PRASHANT,AKASH</v>
      </c>
      <c r="Z3" s="17" t="s">
        <v>48</v>
      </c>
      <c r="AA3" s="17" t="s">
        <v>40</v>
      </c>
      <c r="AB3" s="17" t="s">
        <v>41</v>
      </c>
      <c r="AC3" s="0" t="str">
        <f aca="false">LEFT(G3,2)</f>
        <v>85</v>
      </c>
      <c r="AD3" s="0"/>
      <c r="AE3" s="21" t="s">
        <v>42</v>
      </c>
      <c r="CN3" s="18" t="s">
        <v>49</v>
      </c>
      <c r="CO3" s="18" t="s">
        <v>50</v>
      </c>
      <c r="CP3" s="18" t="s">
        <v>50</v>
      </c>
    </row>
    <row r="4" customFormat="false" ht="15" hidden="false" customHeight="false" outlineLevel="0" collapsed="false">
      <c r="A4" s="13" t="n">
        <v>2</v>
      </c>
      <c r="B4" s="14" t="n">
        <v>1009616003</v>
      </c>
      <c r="C4" s="15" t="s">
        <v>51</v>
      </c>
      <c r="D4" s="16" t="s">
        <v>52</v>
      </c>
      <c r="E4" s="17" t="s">
        <v>47</v>
      </c>
      <c r="F4" s="18" t="s">
        <v>34</v>
      </c>
      <c r="G4" s="19" t="n">
        <v>853128718055</v>
      </c>
      <c r="H4" s="17" t="s">
        <v>35</v>
      </c>
      <c r="I4" s="17" t="s">
        <v>36</v>
      </c>
      <c r="J4" s="17" t="s">
        <v>37</v>
      </c>
      <c r="K4" s="17" t="str">
        <f aca="false">VLOOKUP(J4,Sheet2!A:B,2,0)</f>
        <v>PRASHANT,AKASH</v>
      </c>
      <c r="L4" s="17" t="n">
        <v>1</v>
      </c>
      <c r="M4" s="17" t="str">
        <f aca="false">VLOOKUP(L4,Sheet2!D:E,2,0)</f>
        <v>Power Supply Section</v>
      </c>
      <c r="N4" s="17" t="n">
        <v>1</v>
      </c>
      <c r="O4" s="17" t="str">
        <f aca="false">VLOOKUP(N4,Sheet2!G:H,2,0)</f>
        <v>Dead</v>
      </c>
      <c r="P4" s="17" t="n">
        <v>11</v>
      </c>
      <c r="Q4" s="17" t="str">
        <f aca="false">VLOOKUP(P4,Sheet2!J:K,2,0)</f>
        <v>IR Declared due to CID -TA</v>
      </c>
      <c r="R4" s="17" t="s">
        <v>35</v>
      </c>
      <c r="S4" s="17" t="str">
        <f aca="false">VLOOKUP(R4,Sheet2!N:O,2,0)</f>
        <v>IREPARABLE</v>
      </c>
      <c r="T4" s="18" t="str">
        <f aca="false">VLOOKUP(P4,Sheet2!Q:R,2,0)</f>
        <v>IR Normal - Track burn out</v>
      </c>
      <c r="U4" s="18" t="s">
        <v>38</v>
      </c>
      <c r="V4" s="17" t="n">
        <v>4</v>
      </c>
      <c r="W4" s="20" t="str">
        <f aca="false">VLOOKUP(V4,Sheet2!Q:R,2,0)</f>
        <v>IR CID - Tampered Track burn out</v>
      </c>
      <c r="X4" s="17" t="str">
        <f aca="false">J4</f>
        <v>A041</v>
      </c>
      <c r="Y4" s="17" t="str">
        <f aca="false">VLOOKUP(X4,Sheet2!A:B,2,0)</f>
        <v>PRASHANT,AKASH</v>
      </c>
      <c r="Z4" s="17" t="s">
        <v>48</v>
      </c>
      <c r="AA4" s="17" t="s">
        <v>40</v>
      </c>
      <c r="AB4" s="17" t="s">
        <v>41</v>
      </c>
      <c r="AC4" s="0" t="str">
        <f aca="false">LEFT(G4,2)</f>
        <v>85</v>
      </c>
      <c r="AD4" s="0"/>
      <c r="AE4" s="21" t="s">
        <v>42</v>
      </c>
      <c r="CN4" s="18" t="s">
        <v>53</v>
      </c>
      <c r="CO4" s="18" t="s">
        <v>54</v>
      </c>
      <c r="CP4" s="18" t="s">
        <v>54</v>
      </c>
    </row>
    <row r="5" customFormat="false" ht="15" hidden="false" customHeight="false" outlineLevel="0" collapsed="false">
      <c r="A5" s="13" t="n">
        <v>3</v>
      </c>
      <c r="B5" s="14" t="n">
        <v>1009585251</v>
      </c>
      <c r="C5" s="15" t="s">
        <v>55</v>
      </c>
      <c r="D5" s="16" t="s">
        <v>56</v>
      </c>
      <c r="E5" s="17" t="s">
        <v>33</v>
      </c>
      <c r="F5" s="18" t="s">
        <v>34</v>
      </c>
      <c r="G5" s="19" t="n">
        <v>854165770207</v>
      </c>
      <c r="H5" s="17" t="s">
        <v>35</v>
      </c>
      <c r="I5" s="17" t="s">
        <v>36</v>
      </c>
      <c r="J5" s="17" t="s">
        <v>37</v>
      </c>
      <c r="K5" s="17" t="str">
        <f aca="false">VLOOKUP(J5,Sheet2!A:B,2,0)</f>
        <v>PRASHANT,AKASH</v>
      </c>
      <c r="L5" s="17" t="n">
        <v>1</v>
      </c>
      <c r="M5" s="17" t="str">
        <f aca="false">VLOOKUP(L5,Sheet2!D:E,2,0)</f>
        <v>Power Supply Section</v>
      </c>
      <c r="N5" s="17" t="n">
        <v>1</v>
      </c>
      <c r="O5" s="17" t="str">
        <f aca="false">VLOOKUP(N5,Sheet2!G:H,2,0)</f>
        <v>Dead</v>
      </c>
      <c r="P5" s="17" t="n">
        <v>11</v>
      </c>
      <c r="Q5" s="17" t="str">
        <f aca="false">VLOOKUP(P5,Sheet2!J:K,2,0)</f>
        <v>IR Declared due to CID -TA</v>
      </c>
      <c r="R5" s="17" t="s">
        <v>35</v>
      </c>
      <c r="S5" s="17" t="str">
        <f aca="false">VLOOKUP(R5,Sheet2!N:O,2,0)</f>
        <v>IREPARABLE</v>
      </c>
      <c r="T5" s="18" t="str">
        <f aca="false">VLOOKUP(P5,Sheet2!Q:R,2,0)</f>
        <v>IR Normal - Track burn out</v>
      </c>
      <c r="U5" s="18" t="s">
        <v>38</v>
      </c>
      <c r="V5" s="17" t="n">
        <v>4</v>
      </c>
      <c r="W5" s="20" t="str">
        <f aca="false">VLOOKUP(V5,Sheet2!Q:R,2,0)</f>
        <v>IR CID - Tampered Track burn out</v>
      </c>
      <c r="X5" s="17" t="str">
        <f aca="false">J5</f>
        <v>A041</v>
      </c>
      <c r="Y5" s="17" t="str">
        <f aca="false">VLOOKUP(X5,Sheet2!A:B,2,0)</f>
        <v>PRASHANT,AKASH</v>
      </c>
      <c r="Z5" s="17" t="s">
        <v>57</v>
      </c>
      <c r="AA5" s="17" t="s">
        <v>40</v>
      </c>
      <c r="AB5" s="17" t="s">
        <v>41</v>
      </c>
      <c r="AC5" s="0" t="str">
        <f aca="false">LEFT(G5,2)</f>
        <v>85</v>
      </c>
      <c r="AD5" s="0"/>
      <c r="AE5" s="21" t="s">
        <v>42</v>
      </c>
      <c r="CN5" s="18" t="s">
        <v>58</v>
      </c>
      <c r="CO5" s="18" t="s">
        <v>36</v>
      </c>
      <c r="CP5" s="18" t="s">
        <v>36</v>
      </c>
    </row>
    <row r="6" customFormat="false" ht="15" hidden="false" customHeight="false" outlineLevel="0" collapsed="false">
      <c r="A6" s="13" t="n">
        <v>4</v>
      </c>
      <c r="B6" s="14" t="n">
        <v>1005599968</v>
      </c>
      <c r="C6" s="15" t="s">
        <v>59</v>
      </c>
      <c r="D6" s="16" t="s">
        <v>60</v>
      </c>
      <c r="E6" s="17" t="s">
        <v>33</v>
      </c>
      <c r="F6" s="18" t="s">
        <v>34</v>
      </c>
      <c r="G6" s="19" t="n">
        <v>844058781734</v>
      </c>
      <c r="H6" s="17" t="s">
        <v>35</v>
      </c>
      <c r="I6" s="17" t="s">
        <v>36</v>
      </c>
      <c r="J6" s="17" t="s">
        <v>37</v>
      </c>
      <c r="K6" s="17" t="str">
        <f aca="false">VLOOKUP(J6,Sheet2!A:B,2,0)</f>
        <v>PRASHANT,AKASH</v>
      </c>
      <c r="L6" s="17" t="n">
        <v>1</v>
      </c>
      <c r="M6" s="17" t="str">
        <f aca="false">VLOOKUP(L6,Sheet2!D:E,2,0)</f>
        <v>Power Supply Section</v>
      </c>
      <c r="N6" s="17" t="n">
        <v>1</v>
      </c>
      <c r="O6" s="17" t="str">
        <f aca="false">VLOOKUP(N6,Sheet2!G:H,2,0)</f>
        <v>Dead</v>
      </c>
      <c r="P6" s="17" t="n">
        <v>11</v>
      </c>
      <c r="Q6" s="17" t="str">
        <f aca="false">VLOOKUP(P6,Sheet2!J:K,2,0)</f>
        <v>IR Declared due to CID -TA</v>
      </c>
      <c r="R6" s="17" t="s">
        <v>35</v>
      </c>
      <c r="S6" s="17" t="str">
        <f aca="false">VLOOKUP(R6,Sheet2!N:O,2,0)</f>
        <v>IREPARABLE</v>
      </c>
      <c r="T6" s="18" t="str">
        <f aca="false">VLOOKUP(P6,Sheet2!Q:R,2,0)</f>
        <v>IR Normal - Track burn out</v>
      </c>
      <c r="U6" s="18" t="s">
        <v>38</v>
      </c>
      <c r="V6" s="17" t="n">
        <v>4</v>
      </c>
      <c r="W6" s="20" t="str">
        <f aca="false">VLOOKUP(V6,Sheet2!Q:R,2,0)</f>
        <v>IR CID - Tampered Track burn out</v>
      </c>
      <c r="X6" s="17" t="str">
        <f aca="false">J6</f>
        <v>A041</v>
      </c>
      <c r="Y6" s="17" t="str">
        <f aca="false">VLOOKUP(X6,Sheet2!A:B,2,0)</f>
        <v>PRASHANT,AKASH</v>
      </c>
      <c r="Z6" s="17" t="s">
        <v>39</v>
      </c>
      <c r="AA6" s="17" t="s">
        <v>40</v>
      </c>
      <c r="AB6" s="17" t="s">
        <v>41</v>
      </c>
      <c r="AC6" s="0" t="str">
        <f aca="false">LEFT(G6,2)</f>
        <v>84</v>
      </c>
      <c r="AD6" s="0"/>
      <c r="AE6" s="21" t="s">
        <v>42</v>
      </c>
      <c r="CN6" s="18" t="s">
        <v>61</v>
      </c>
      <c r="CO6" s="18" t="s">
        <v>62</v>
      </c>
      <c r="CP6" s="18" t="s">
        <v>62</v>
      </c>
    </row>
    <row r="7" customFormat="false" ht="15" hidden="false" customHeight="false" outlineLevel="0" collapsed="false">
      <c r="A7" s="13" t="n">
        <v>5</v>
      </c>
      <c r="B7" s="14" t="n">
        <v>1009452143</v>
      </c>
      <c r="C7" s="15" t="s">
        <v>63</v>
      </c>
      <c r="D7" s="16" t="s">
        <v>64</v>
      </c>
      <c r="E7" s="17" t="s">
        <v>47</v>
      </c>
      <c r="F7" s="18" t="s">
        <v>34</v>
      </c>
      <c r="G7" s="19" t="n">
        <v>853101739078</v>
      </c>
      <c r="H7" s="17" t="s">
        <v>35</v>
      </c>
      <c r="I7" s="17" t="s">
        <v>36</v>
      </c>
      <c r="J7" s="17" t="s">
        <v>37</v>
      </c>
      <c r="K7" s="17" t="str">
        <f aca="false">VLOOKUP(J7,Sheet2!A:B,2,0)</f>
        <v>PRASHANT,AKASH</v>
      </c>
      <c r="L7" s="17" t="n">
        <v>1</v>
      </c>
      <c r="M7" s="17" t="str">
        <f aca="false">VLOOKUP(L7,Sheet2!D:E,2,0)</f>
        <v>Power Supply Section</v>
      </c>
      <c r="N7" s="17" t="n">
        <v>1</v>
      </c>
      <c r="O7" s="17" t="str">
        <f aca="false">VLOOKUP(N7,Sheet2!G:H,2,0)</f>
        <v>Dead</v>
      </c>
      <c r="P7" s="17" t="n">
        <v>11</v>
      </c>
      <c r="Q7" s="17" t="str">
        <f aca="false">VLOOKUP(P7,Sheet2!J:K,2,0)</f>
        <v>IR Declared due to CID -TA</v>
      </c>
      <c r="R7" s="17" t="s">
        <v>35</v>
      </c>
      <c r="S7" s="17" t="str">
        <f aca="false">VLOOKUP(R7,Sheet2!N:O,2,0)</f>
        <v>IREPARABLE</v>
      </c>
      <c r="T7" s="18" t="str">
        <f aca="false">VLOOKUP(P7,Sheet2!Q:R,2,0)</f>
        <v>IR Normal - Track burn out</v>
      </c>
      <c r="U7" s="18" t="s">
        <v>38</v>
      </c>
      <c r="V7" s="17" t="n">
        <v>4</v>
      </c>
      <c r="W7" s="20" t="str">
        <f aca="false">VLOOKUP(V7,Sheet2!Q:R,2,0)</f>
        <v>IR CID - Tampered Track burn out</v>
      </c>
      <c r="X7" s="17" t="str">
        <f aca="false">J7</f>
        <v>A041</v>
      </c>
      <c r="Y7" s="17" t="str">
        <f aca="false">VLOOKUP(X7,Sheet2!A:B,2,0)</f>
        <v>PRASHANT,AKASH</v>
      </c>
      <c r="Z7" s="17" t="s">
        <v>39</v>
      </c>
      <c r="AA7" s="17" t="s">
        <v>40</v>
      </c>
      <c r="AB7" s="17" t="s">
        <v>41</v>
      </c>
      <c r="AC7" s="0" t="str">
        <f aca="false">LEFT(G7,2)</f>
        <v>85</v>
      </c>
      <c r="AD7" s="0"/>
      <c r="AE7" s="21" t="s">
        <v>42</v>
      </c>
      <c r="CN7" s="18" t="s">
        <v>65</v>
      </c>
      <c r="CO7" s="18" t="s">
        <v>66</v>
      </c>
      <c r="CP7" s="18" t="s">
        <v>66</v>
      </c>
    </row>
    <row r="8" customFormat="false" ht="15" hidden="false" customHeight="false" outlineLevel="0" collapsed="false">
      <c r="A8" s="13" t="n">
        <v>6</v>
      </c>
      <c r="B8" s="14" t="n">
        <v>1009091247</v>
      </c>
      <c r="C8" s="15" t="s">
        <v>67</v>
      </c>
      <c r="D8" s="16" t="s">
        <v>64</v>
      </c>
      <c r="E8" s="17" t="s">
        <v>47</v>
      </c>
      <c r="F8" s="18" t="s">
        <v>34</v>
      </c>
      <c r="G8" s="19" t="n">
        <v>853247759832</v>
      </c>
      <c r="H8" s="17" t="s">
        <v>35</v>
      </c>
      <c r="I8" s="17" t="s">
        <v>36</v>
      </c>
      <c r="J8" s="17" t="s">
        <v>37</v>
      </c>
      <c r="K8" s="17" t="str">
        <f aca="false">VLOOKUP(J8,Sheet2!A:B,2,0)</f>
        <v>PRASHANT,AKASH</v>
      </c>
      <c r="L8" s="17" t="n">
        <v>1</v>
      </c>
      <c r="M8" s="17" t="str">
        <f aca="false">VLOOKUP(L8,Sheet2!D:E,2,0)</f>
        <v>Power Supply Section</v>
      </c>
      <c r="N8" s="17" t="n">
        <v>1</v>
      </c>
      <c r="O8" s="17" t="str">
        <f aca="false">VLOOKUP(N8,Sheet2!G:H,2,0)</f>
        <v>Dead</v>
      </c>
      <c r="P8" s="17" t="n">
        <v>11</v>
      </c>
      <c r="Q8" s="17" t="str">
        <f aca="false">VLOOKUP(P8,Sheet2!J:K,2,0)</f>
        <v>IR Declared due to CID -TA</v>
      </c>
      <c r="R8" s="17" t="s">
        <v>35</v>
      </c>
      <c r="S8" s="17" t="str">
        <f aca="false">VLOOKUP(R8,Sheet2!N:O,2,0)</f>
        <v>IREPARABLE</v>
      </c>
      <c r="T8" s="18" t="str">
        <f aca="false">VLOOKUP(P8,Sheet2!Q:R,2,0)</f>
        <v>IR Normal - Track burn out</v>
      </c>
      <c r="U8" s="18" t="s">
        <v>38</v>
      </c>
      <c r="V8" s="17" t="n">
        <v>4</v>
      </c>
      <c r="W8" s="20" t="str">
        <f aca="false">VLOOKUP(V8,Sheet2!Q:R,2,0)</f>
        <v>IR CID - Tampered Track burn out</v>
      </c>
      <c r="X8" s="17" t="str">
        <f aca="false">J8</f>
        <v>A041</v>
      </c>
      <c r="Y8" s="17" t="str">
        <f aca="false">VLOOKUP(X8,Sheet2!A:B,2,0)</f>
        <v>PRASHANT,AKASH</v>
      </c>
      <c r="Z8" s="17" t="s">
        <v>48</v>
      </c>
      <c r="AA8" s="17" t="s">
        <v>40</v>
      </c>
      <c r="AB8" s="17" t="s">
        <v>41</v>
      </c>
      <c r="AC8" s="0" t="str">
        <f aca="false">LEFT(G8,2)</f>
        <v>85</v>
      </c>
      <c r="AD8" s="0"/>
      <c r="AE8" s="21" t="s">
        <v>42</v>
      </c>
      <c r="CN8" s="18" t="s">
        <v>68</v>
      </c>
      <c r="CO8" s="18" t="s">
        <v>69</v>
      </c>
      <c r="CP8" s="18" t="s">
        <v>69</v>
      </c>
    </row>
    <row r="9" customFormat="false" ht="15" hidden="false" customHeight="false" outlineLevel="0" collapsed="false">
      <c r="A9" s="13" t="n">
        <v>7</v>
      </c>
      <c r="B9" s="14" t="n">
        <v>1009487179</v>
      </c>
      <c r="C9" s="15" t="s">
        <v>31</v>
      </c>
      <c r="D9" s="16" t="s">
        <v>64</v>
      </c>
      <c r="E9" s="17" t="s">
        <v>64</v>
      </c>
      <c r="F9" s="18" t="s">
        <v>70</v>
      </c>
      <c r="G9" s="19" t="n">
        <v>854146798459</v>
      </c>
      <c r="H9" s="17" t="s">
        <v>35</v>
      </c>
      <c r="I9" s="17" t="s">
        <v>36</v>
      </c>
      <c r="J9" s="17" t="s">
        <v>37</v>
      </c>
      <c r="K9" s="17" t="str">
        <f aca="false">VLOOKUP(J9,Sheet2!A:B,2,0)</f>
        <v>PRASHANT,AKASH</v>
      </c>
      <c r="L9" s="17" t="n">
        <v>1</v>
      </c>
      <c r="M9" s="17" t="str">
        <f aca="false">VLOOKUP(L9,Sheet2!D:E,2,0)</f>
        <v>Power Supply Section</v>
      </c>
      <c r="N9" s="17" t="n">
        <v>1</v>
      </c>
      <c r="O9" s="17" t="str">
        <f aca="false">VLOOKUP(N9,Sheet2!G:H,2,0)</f>
        <v>Dead</v>
      </c>
      <c r="P9" s="17" t="n">
        <v>11</v>
      </c>
      <c r="Q9" s="17" t="str">
        <f aca="false">VLOOKUP(P9,Sheet2!J:K,2,0)</f>
        <v>IR Declared due to CID -TA</v>
      </c>
      <c r="R9" s="17" t="s">
        <v>35</v>
      </c>
      <c r="S9" s="17" t="str">
        <f aca="false">VLOOKUP(R9,Sheet2!N:O,2,0)</f>
        <v>IREPARABLE</v>
      </c>
      <c r="T9" s="18" t="str">
        <f aca="false">VLOOKUP(P9,Sheet2!Q:R,2,0)</f>
        <v>IR Normal - Track burn out</v>
      </c>
      <c r="U9" s="18" t="s">
        <v>38</v>
      </c>
      <c r="V9" s="17" t="n">
        <v>4</v>
      </c>
      <c r="W9" s="20" t="str">
        <f aca="false">VLOOKUP(V9,Sheet2!Q:R,2,0)</f>
        <v>IR CID - Tampered Track burn out</v>
      </c>
      <c r="X9" s="17" t="str">
        <f aca="false">J9</f>
        <v>A041</v>
      </c>
      <c r="Y9" s="17" t="str">
        <f aca="false">VLOOKUP(X9,Sheet2!A:B,2,0)</f>
        <v>PRASHANT,AKASH</v>
      </c>
      <c r="Z9" s="17" t="s">
        <v>57</v>
      </c>
      <c r="AA9" s="17" t="s">
        <v>40</v>
      </c>
      <c r="AB9" s="17" t="s">
        <v>41</v>
      </c>
      <c r="AC9" s="0" t="str">
        <f aca="false">LEFT(G9,2)</f>
        <v>85</v>
      </c>
      <c r="AD9" s="0"/>
      <c r="AE9" s="21" t="s">
        <v>42</v>
      </c>
      <c r="CN9" s="18" t="s">
        <v>71</v>
      </c>
      <c r="CO9" s="18" t="s">
        <v>72</v>
      </c>
      <c r="CP9" s="18" t="s">
        <v>72</v>
      </c>
    </row>
    <row r="10" customFormat="false" ht="15" hidden="false" customHeight="false" outlineLevel="0" collapsed="false">
      <c r="A10" s="13" t="n">
        <v>8</v>
      </c>
      <c r="B10" s="14" t="n">
        <v>1009632811</v>
      </c>
      <c r="C10" s="15" t="s">
        <v>73</v>
      </c>
      <c r="D10" s="16" t="s">
        <v>64</v>
      </c>
      <c r="E10" s="17" t="s">
        <v>47</v>
      </c>
      <c r="F10" s="18" t="s">
        <v>34</v>
      </c>
      <c r="G10" s="19" t="n">
        <v>844103735628</v>
      </c>
      <c r="H10" s="17" t="s">
        <v>35</v>
      </c>
      <c r="I10" s="17" t="s">
        <v>36</v>
      </c>
      <c r="J10" s="17" t="s">
        <v>37</v>
      </c>
      <c r="K10" s="17" t="str">
        <f aca="false">VLOOKUP(J10,Sheet2!A:B,2,0)</f>
        <v>PRASHANT,AKASH</v>
      </c>
      <c r="L10" s="17" t="n">
        <v>1</v>
      </c>
      <c r="M10" s="17" t="str">
        <f aca="false">VLOOKUP(L10,Sheet2!D:E,2,0)</f>
        <v>Power Supply Section</v>
      </c>
      <c r="N10" s="17" t="n">
        <v>1</v>
      </c>
      <c r="O10" s="17" t="str">
        <f aca="false">VLOOKUP(N10,Sheet2!G:H,2,0)</f>
        <v>Dead</v>
      </c>
      <c r="P10" s="17" t="n">
        <v>11</v>
      </c>
      <c r="Q10" s="17" t="str">
        <f aca="false">VLOOKUP(P10,Sheet2!J:K,2,0)</f>
        <v>IR Declared due to CID -TA</v>
      </c>
      <c r="R10" s="17" t="s">
        <v>35</v>
      </c>
      <c r="S10" s="17" t="str">
        <f aca="false">VLOOKUP(R10,Sheet2!N:O,2,0)</f>
        <v>IREPARABLE</v>
      </c>
      <c r="T10" s="18" t="str">
        <f aca="false">VLOOKUP(P10,Sheet2!Q:R,2,0)</f>
        <v>IR Normal - Track burn out</v>
      </c>
      <c r="U10" s="18" t="s">
        <v>38</v>
      </c>
      <c r="V10" s="17" t="n">
        <v>4</v>
      </c>
      <c r="W10" s="20" t="str">
        <f aca="false">VLOOKUP(V10,Sheet2!Q:R,2,0)</f>
        <v>IR CID - Tampered Track burn out</v>
      </c>
      <c r="X10" s="17" t="str">
        <f aca="false">J10</f>
        <v>A041</v>
      </c>
      <c r="Y10" s="17" t="str">
        <f aca="false">VLOOKUP(X10,Sheet2!A:B,2,0)</f>
        <v>PRASHANT,AKASH</v>
      </c>
      <c r="Z10" s="17" t="s">
        <v>57</v>
      </c>
      <c r="AA10" s="17" t="s">
        <v>40</v>
      </c>
      <c r="AB10" s="17" t="s">
        <v>41</v>
      </c>
      <c r="AC10" s="0" t="str">
        <f aca="false">LEFT(G10,2)</f>
        <v>84</v>
      </c>
      <c r="AD10" s="0"/>
      <c r="AE10" s="21" t="s">
        <v>42</v>
      </c>
      <c r="CN10" s="18"/>
      <c r="CO10" s="18" t="s">
        <v>74</v>
      </c>
      <c r="CP10" s="18" t="s">
        <v>74</v>
      </c>
    </row>
    <row r="11" customFormat="false" ht="15" hidden="false" customHeight="false" outlineLevel="0" collapsed="false">
      <c r="A11" s="13" t="n">
        <v>9</v>
      </c>
      <c r="B11" s="14" t="n">
        <v>1009091562</v>
      </c>
      <c r="C11" s="15" t="s">
        <v>75</v>
      </c>
      <c r="D11" s="16" t="s">
        <v>64</v>
      </c>
      <c r="E11" s="17" t="s">
        <v>64</v>
      </c>
      <c r="F11" s="18" t="s">
        <v>70</v>
      </c>
      <c r="G11" s="19" t="n">
        <v>844042725771</v>
      </c>
      <c r="H11" s="17" t="s">
        <v>35</v>
      </c>
      <c r="I11" s="17" t="s">
        <v>36</v>
      </c>
      <c r="J11" s="17" t="s">
        <v>37</v>
      </c>
      <c r="K11" s="17" t="str">
        <f aca="false">VLOOKUP(J11,Sheet2!A:B,2,0)</f>
        <v>PRASHANT,AKASH</v>
      </c>
      <c r="L11" s="17" t="n">
        <v>1</v>
      </c>
      <c r="M11" s="17" t="str">
        <f aca="false">VLOOKUP(L11,Sheet2!D:E,2,0)</f>
        <v>Power Supply Section</v>
      </c>
      <c r="N11" s="17" t="n">
        <v>1</v>
      </c>
      <c r="O11" s="17" t="str">
        <f aca="false">VLOOKUP(N11,Sheet2!G:H,2,0)</f>
        <v>Dead</v>
      </c>
      <c r="P11" s="17" t="n">
        <v>11</v>
      </c>
      <c r="Q11" s="17" t="str">
        <f aca="false">VLOOKUP(P11,Sheet2!J:K,2,0)</f>
        <v>IR Declared due to CID -TA</v>
      </c>
      <c r="R11" s="17" t="s">
        <v>35</v>
      </c>
      <c r="S11" s="17" t="str">
        <f aca="false">VLOOKUP(R11,Sheet2!N:O,2,0)</f>
        <v>IREPARABLE</v>
      </c>
      <c r="T11" s="18" t="str">
        <f aca="false">VLOOKUP(P11,Sheet2!Q:R,2,0)</f>
        <v>IR Normal - Track burn out</v>
      </c>
      <c r="U11" s="18" t="s">
        <v>38</v>
      </c>
      <c r="V11" s="17" t="n">
        <v>4</v>
      </c>
      <c r="W11" s="20" t="str">
        <f aca="false">VLOOKUP(V11,Sheet2!Q:R,2,0)</f>
        <v>IR CID - Tampered Track burn out</v>
      </c>
      <c r="X11" s="17" t="str">
        <f aca="false">J11</f>
        <v>A041</v>
      </c>
      <c r="Y11" s="17" t="str">
        <f aca="false">VLOOKUP(X11,Sheet2!A:B,2,0)</f>
        <v>PRASHANT,AKASH</v>
      </c>
      <c r="Z11" s="17" t="s">
        <v>57</v>
      </c>
      <c r="AA11" s="17" t="s">
        <v>40</v>
      </c>
      <c r="AB11" s="17" t="s">
        <v>41</v>
      </c>
      <c r="AC11" s="0" t="str">
        <f aca="false">LEFT(G11,2)</f>
        <v>84</v>
      </c>
      <c r="AD11" s="0"/>
      <c r="AE11" s="21" t="s">
        <v>42</v>
      </c>
      <c r="CN11" s="18"/>
      <c r="CO11" s="18" t="s">
        <v>76</v>
      </c>
      <c r="CP11" s="18" t="s">
        <v>76</v>
      </c>
    </row>
    <row r="12" customFormat="false" ht="15" hidden="false" customHeight="false" outlineLevel="0" collapsed="false">
      <c r="A12" s="13" t="n">
        <v>10</v>
      </c>
      <c r="B12" s="14" t="n">
        <v>1009630093</v>
      </c>
      <c r="C12" s="15" t="s">
        <v>77</v>
      </c>
      <c r="D12" s="16" t="s">
        <v>78</v>
      </c>
      <c r="E12" s="17" t="s">
        <v>47</v>
      </c>
      <c r="F12" s="18" t="s">
        <v>34</v>
      </c>
      <c r="G12" s="19" t="n">
        <v>853246771689</v>
      </c>
      <c r="H12" s="17" t="s">
        <v>35</v>
      </c>
      <c r="I12" s="17" t="s">
        <v>36</v>
      </c>
      <c r="J12" s="17" t="s">
        <v>37</v>
      </c>
      <c r="K12" s="17" t="str">
        <f aca="false">VLOOKUP(J12,Sheet2!A:B,2,0)</f>
        <v>PRASHANT,AKASH</v>
      </c>
      <c r="L12" s="17" t="n">
        <v>1</v>
      </c>
      <c r="M12" s="17" t="str">
        <f aca="false">VLOOKUP(L12,Sheet2!D:E,2,0)</f>
        <v>Power Supply Section</v>
      </c>
      <c r="N12" s="17" t="n">
        <v>1</v>
      </c>
      <c r="O12" s="17" t="str">
        <f aca="false">VLOOKUP(N12,Sheet2!G:H,2,0)</f>
        <v>Dead</v>
      </c>
      <c r="P12" s="17" t="n">
        <v>11</v>
      </c>
      <c r="Q12" s="17" t="str">
        <f aca="false">VLOOKUP(P12,Sheet2!J:K,2,0)</f>
        <v>IR Declared due to CID -TA</v>
      </c>
      <c r="R12" s="17" t="s">
        <v>35</v>
      </c>
      <c r="S12" s="17" t="str">
        <f aca="false">VLOOKUP(R12,Sheet2!N:O,2,0)</f>
        <v>IREPARABLE</v>
      </c>
      <c r="T12" s="18" t="str">
        <f aca="false">VLOOKUP(P12,Sheet2!Q:R,2,0)</f>
        <v>IR Normal - Track burn out</v>
      </c>
      <c r="U12" s="18" t="s">
        <v>38</v>
      </c>
      <c r="V12" s="17" t="n">
        <v>4</v>
      </c>
      <c r="W12" s="20" t="str">
        <f aca="false">VLOOKUP(V12,Sheet2!Q:R,2,0)</f>
        <v>IR CID - Tampered Track burn out</v>
      </c>
      <c r="X12" s="17" t="str">
        <f aca="false">J12</f>
        <v>A041</v>
      </c>
      <c r="Y12" s="17" t="str">
        <f aca="false">VLOOKUP(X12,Sheet2!A:B,2,0)</f>
        <v>PRASHANT,AKASH</v>
      </c>
      <c r="Z12" s="17" t="s">
        <v>57</v>
      </c>
      <c r="AA12" s="17" t="s">
        <v>40</v>
      </c>
      <c r="AB12" s="17" t="s">
        <v>41</v>
      </c>
      <c r="AC12" s="0" t="str">
        <f aca="false">LEFT(G12,2)</f>
        <v>85</v>
      </c>
      <c r="AD12" s="0"/>
      <c r="AE12" s="21" t="s">
        <v>42</v>
      </c>
      <c r="CN12" s="18"/>
      <c r="CO12" s="18" t="s">
        <v>79</v>
      </c>
      <c r="CP12" s="18" t="s">
        <v>79</v>
      </c>
    </row>
    <row r="13" customFormat="false" ht="15" hidden="false" customHeight="false" outlineLevel="0" collapsed="false">
      <c r="A13" s="13" t="n">
        <v>11</v>
      </c>
      <c r="B13" s="14" t="n">
        <v>1009619637</v>
      </c>
      <c r="C13" s="15" t="s">
        <v>80</v>
      </c>
      <c r="D13" s="16" t="s">
        <v>81</v>
      </c>
      <c r="E13" s="17" t="s">
        <v>33</v>
      </c>
      <c r="F13" s="18" t="s">
        <v>34</v>
      </c>
      <c r="G13" s="19" t="n">
        <v>844108707168</v>
      </c>
      <c r="H13" s="17" t="s">
        <v>35</v>
      </c>
      <c r="I13" s="17" t="s">
        <v>36</v>
      </c>
      <c r="J13" s="17" t="s">
        <v>37</v>
      </c>
      <c r="K13" s="17" t="str">
        <f aca="false">VLOOKUP(J13,Sheet2!A:B,2,0)</f>
        <v>PRASHANT,AKASH</v>
      </c>
      <c r="L13" s="17" t="n">
        <v>1</v>
      </c>
      <c r="M13" s="17" t="str">
        <f aca="false">VLOOKUP(L13,Sheet2!D:E,2,0)</f>
        <v>Power Supply Section</v>
      </c>
      <c r="N13" s="17" t="n">
        <v>1</v>
      </c>
      <c r="O13" s="17" t="str">
        <f aca="false">VLOOKUP(N13,Sheet2!G:H,2,0)</f>
        <v>Dead</v>
      </c>
      <c r="P13" s="17" t="n">
        <v>11</v>
      </c>
      <c r="Q13" s="17" t="str">
        <f aca="false">VLOOKUP(P13,Sheet2!J:K,2,0)</f>
        <v>IR Declared due to CID -TA</v>
      </c>
      <c r="R13" s="17" t="s">
        <v>35</v>
      </c>
      <c r="S13" s="17" t="str">
        <f aca="false">VLOOKUP(R13,Sheet2!N:O,2,0)</f>
        <v>IREPARABLE</v>
      </c>
      <c r="T13" s="18" t="str">
        <f aca="false">VLOOKUP(P13,Sheet2!Q:R,2,0)</f>
        <v>IR Normal - Track burn out</v>
      </c>
      <c r="U13" s="18" t="s">
        <v>38</v>
      </c>
      <c r="V13" s="17" t="n">
        <v>4</v>
      </c>
      <c r="W13" s="20" t="str">
        <f aca="false">VLOOKUP(V13,Sheet2!Q:R,2,0)</f>
        <v>IR CID - Tampered Track burn out</v>
      </c>
      <c r="X13" s="17" t="str">
        <f aca="false">J13</f>
        <v>A041</v>
      </c>
      <c r="Y13" s="17" t="str">
        <f aca="false">VLOOKUP(X13,Sheet2!A:B,2,0)</f>
        <v>PRASHANT,AKASH</v>
      </c>
      <c r="Z13" s="17" t="s">
        <v>57</v>
      </c>
      <c r="AA13" s="17" t="s">
        <v>40</v>
      </c>
      <c r="AB13" s="17" t="s">
        <v>41</v>
      </c>
      <c r="AC13" s="0" t="str">
        <f aca="false">LEFT(G13,2)</f>
        <v>84</v>
      </c>
      <c r="AD13" s="0"/>
      <c r="AE13" s="21" t="s">
        <v>42</v>
      </c>
      <c r="CN13" s="18"/>
      <c r="CO13" s="18" t="s">
        <v>82</v>
      </c>
      <c r="CP13" s="18" t="s">
        <v>82</v>
      </c>
    </row>
    <row r="14" customFormat="false" ht="15" hidden="false" customHeight="false" outlineLevel="0" collapsed="false">
      <c r="A14" s="13" t="n">
        <v>12</v>
      </c>
      <c r="B14" s="14" t="n">
        <v>1009635715</v>
      </c>
      <c r="C14" s="15" t="s">
        <v>83</v>
      </c>
      <c r="D14" s="16" t="s">
        <v>64</v>
      </c>
      <c r="E14" s="17" t="s">
        <v>47</v>
      </c>
      <c r="F14" s="18" t="s">
        <v>34</v>
      </c>
      <c r="G14" s="19" t="n">
        <v>853039700903</v>
      </c>
      <c r="H14" s="17" t="s">
        <v>35</v>
      </c>
      <c r="I14" s="17" t="s">
        <v>36</v>
      </c>
      <c r="J14" s="17" t="s">
        <v>37</v>
      </c>
      <c r="K14" s="17" t="str">
        <f aca="false">VLOOKUP(J14,Sheet2!A:B,2,0)</f>
        <v>PRASHANT,AKASH</v>
      </c>
      <c r="L14" s="17" t="n">
        <v>1</v>
      </c>
      <c r="M14" s="17" t="str">
        <f aca="false">VLOOKUP(L14,Sheet2!D:E,2,0)</f>
        <v>Power Supply Section</v>
      </c>
      <c r="N14" s="17" t="n">
        <v>1</v>
      </c>
      <c r="O14" s="17" t="str">
        <f aca="false">VLOOKUP(N14,Sheet2!G:H,2,0)</f>
        <v>Dead</v>
      </c>
      <c r="P14" s="17" t="n">
        <v>11</v>
      </c>
      <c r="Q14" s="17" t="str">
        <f aca="false">VLOOKUP(P14,Sheet2!J:K,2,0)</f>
        <v>IR Declared due to CID -TA</v>
      </c>
      <c r="R14" s="17" t="s">
        <v>35</v>
      </c>
      <c r="S14" s="17" t="str">
        <f aca="false">VLOOKUP(R14,Sheet2!N:O,2,0)</f>
        <v>IREPARABLE</v>
      </c>
      <c r="T14" s="18" t="str">
        <f aca="false">VLOOKUP(P14,Sheet2!Q:R,2,0)</f>
        <v>IR Normal - Track burn out</v>
      </c>
      <c r="U14" s="18" t="s">
        <v>38</v>
      </c>
      <c r="V14" s="17" t="n">
        <v>4</v>
      </c>
      <c r="W14" s="20" t="str">
        <f aca="false">VLOOKUP(V14,Sheet2!Q:R,2,0)</f>
        <v>IR CID - Tampered Track burn out</v>
      </c>
      <c r="X14" s="17" t="str">
        <f aca="false">J14</f>
        <v>A041</v>
      </c>
      <c r="Y14" s="17" t="str">
        <f aca="false">VLOOKUP(X14,Sheet2!A:B,2,0)</f>
        <v>PRASHANT,AKASH</v>
      </c>
      <c r="Z14" s="17" t="s">
        <v>57</v>
      </c>
      <c r="AA14" s="17" t="s">
        <v>40</v>
      </c>
      <c r="AB14" s="17" t="s">
        <v>41</v>
      </c>
      <c r="AC14" s="0" t="str">
        <f aca="false">LEFT(G14,2)</f>
        <v>85</v>
      </c>
      <c r="AD14" s="0"/>
      <c r="AE14" s="21" t="s">
        <v>42</v>
      </c>
      <c r="CN14" s="18"/>
      <c r="CO14" s="18" t="s">
        <v>84</v>
      </c>
      <c r="CP14" s="18" t="s">
        <v>84</v>
      </c>
    </row>
    <row r="15" customFormat="false" ht="15" hidden="false" customHeight="false" outlineLevel="0" collapsed="false">
      <c r="A15" s="13" t="n">
        <v>13</v>
      </c>
      <c r="B15" s="14" t="n">
        <v>1009616146</v>
      </c>
      <c r="C15" s="15" t="s">
        <v>85</v>
      </c>
      <c r="D15" s="16" t="s">
        <v>86</v>
      </c>
      <c r="E15" s="17" t="s">
        <v>47</v>
      </c>
      <c r="F15" s="18" t="s">
        <v>34</v>
      </c>
      <c r="G15" s="19" t="n">
        <v>853253707378</v>
      </c>
      <c r="H15" s="17" t="s">
        <v>35</v>
      </c>
      <c r="I15" s="17" t="s">
        <v>36</v>
      </c>
      <c r="J15" s="17" t="s">
        <v>37</v>
      </c>
      <c r="K15" s="17" t="str">
        <f aca="false">VLOOKUP(J15,Sheet2!A:B,2,0)</f>
        <v>PRASHANT,AKASH</v>
      </c>
      <c r="L15" s="17" t="n">
        <v>1</v>
      </c>
      <c r="M15" s="17" t="str">
        <f aca="false">VLOOKUP(L15,Sheet2!D:E,2,0)</f>
        <v>Power Supply Section</v>
      </c>
      <c r="N15" s="17" t="n">
        <v>1</v>
      </c>
      <c r="O15" s="17" t="str">
        <f aca="false">VLOOKUP(N15,Sheet2!G:H,2,0)</f>
        <v>Dead</v>
      </c>
      <c r="P15" s="17" t="n">
        <v>11</v>
      </c>
      <c r="Q15" s="17" t="str">
        <f aca="false">VLOOKUP(P15,Sheet2!J:K,2,0)</f>
        <v>IR Declared due to CID -TA</v>
      </c>
      <c r="R15" s="17" t="s">
        <v>35</v>
      </c>
      <c r="S15" s="17" t="str">
        <f aca="false">VLOOKUP(R15,Sheet2!N:O,2,0)</f>
        <v>IREPARABLE</v>
      </c>
      <c r="T15" s="18" t="str">
        <f aca="false">VLOOKUP(P15,Sheet2!Q:R,2,0)</f>
        <v>IR Normal - Track burn out</v>
      </c>
      <c r="U15" s="18" t="s">
        <v>38</v>
      </c>
      <c r="V15" s="17" t="n">
        <v>4</v>
      </c>
      <c r="W15" s="20" t="str">
        <f aca="false">VLOOKUP(V15,Sheet2!Q:R,2,0)</f>
        <v>IR CID - Tampered Track burn out</v>
      </c>
      <c r="X15" s="17" t="str">
        <f aca="false">J15</f>
        <v>A041</v>
      </c>
      <c r="Y15" s="17" t="str">
        <f aca="false">VLOOKUP(X15,Sheet2!A:B,2,0)</f>
        <v>PRASHANT,AKASH</v>
      </c>
      <c r="Z15" s="17" t="s">
        <v>57</v>
      </c>
      <c r="AA15" s="17" t="s">
        <v>40</v>
      </c>
      <c r="AB15" s="17" t="s">
        <v>41</v>
      </c>
      <c r="AC15" s="0" t="str">
        <f aca="false">LEFT(G15,2)</f>
        <v>85</v>
      </c>
      <c r="AD15" s="0"/>
      <c r="AE15" s="21" t="s">
        <v>42</v>
      </c>
      <c r="CN15" s="18"/>
      <c r="CO15" s="18"/>
    </row>
    <row r="16" customFormat="false" ht="15" hidden="false" customHeight="false" outlineLevel="0" collapsed="false">
      <c r="A16" s="13" t="n">
        <v>14</v>
      </c>
      <c r="B16" s="14" t="n">
        <v>1009616645</v>
      </c>
      <c r="C16" s="15" t="s">
        <v>87</v>
      </c>
      <c r="D16" s="16" t="s">
        <v>88</v>
      </c>
      <c r="E16" s="17" t="s">
        <v>47</v>
      </c>
      <c r="F16" s="18" t="s">
        <v>34</v>
      </c>
      <c r="G16" s="19" t="n">
        <v>844087721354</v>
      </c>
      <c r="H16" s="17" t="s">
        <v>35</v>
      </c>
      <c r="I16" s="17" t="s">
        <v>36</v>
      </c>
      <c r="J16" s="17" t="s">
        <v>37</v>
      </c>
      <c r="K16" s="17" t="str">
        <f aca="false">VLOOKUP(J16,Sheet2!A:B,2,0)</f>
        <v>PRASHANT,AKASH</v>
      </c>
      <c r="L16" s="17" t="n">
        <v>1</v>
      </c>
      <c r="M16" s="17" t="str">
        <f aca="false">VLOOKUP(L16,Sheet2!D:E,2,0)</f>
        <v>Power Supply Section</v>
      </c>
      <c r="N16" s="17" t="n">
        <v>1</v>
      </c>
      <c r="O16" s="17" t="str">
        <f aca="false">VLOOKUP(N16,Sheet2!G:H,2,0)</f>
        <v>Dead</v>
      </c>
      <c r="P16" s="17" t="n">
        <v>11</v>
      </c>
      <c r="Q16" s="17" t="str">
        <f aca="false">VLOOKUP(P16,Sheet2!J:K,2,0)</f>
        <v>IR Declared due to CID -TA</v>
      </c>
      <c r="R16" s="17" t="s">
        <v>35</v>
      </c>
      <c r="S16" s="17" t="str">
        <f aca="false">VLOOKUP(R16,Sheet2!N:O,2,0)</f>
        <v>IREPARABLE</v>
      </c>
      <c r="T16" s="18" t="str">
        <f aca="false">VLOOKUP(P16,Sheet2!Q:R,2,0)</f>
        <v>IR Normal - Track burn out</v>
      </c>
      <c r="U16" s="18" t="s">
        <v>38</v>
      </c>
      <c r="V16" s="17" t="n">
        <v>4</v>
      </c>
      <c r="W16" s="20" t="str">
        <f aca="false">VLOOKUP(V16,Sheet2!Q:R,2,0)</f>
        <v>IR CID - Tampered Track burn out</v>
      </c>
      <c r="X16" s="17" t="str">
        <f aca="false">J16</f>
        <v>A041</v>
      </c>
      <c r="Y16" s="17" t="str">
        <f aca="false">VLOOKUP(X16,Sheet2!A:B,2,0)</f>
        <v>PRASHANT,AKASH</v>
      </c>
      <c r="Z16" s="17" t="s">
        <v>57</v>
      </c>
      <c r="AA16" s="17" t="s">
        <v>40</v>
      </c>
      <c r="AB16" s="17" t="s">
        <v>41</v>
      </c>
      <c r="AC16" s="0" t="str">
        <f aca="false">LEFT(G16,2)</f>
        <v>84</v>
      </c>
      <c r="AD16" s="0"/>
      <c r="AE16" s="21" t="s">
        <v>42</v>
      </c>
    </row>
    <row r="17" customFormat="false" ht="15" hidden="false" customHeight="false" outlineLevel="0" collapsed="false">
      <c r="A17" s="13" t="n">
        <v>15</v>
      </c>
      <c r="B17" s="14" t="n">
        <v>1009477026</v>
      </c>
      <c r="C17" s="15" t="s">
        <v>89</v>
      </c>
      <c r="D17" s="16" t="s">
        <v>64</v>
      </c>
      <c r="E17" s="17" t="s">
        <v>47</v>
      </c>
      <c r="F17" s="18" t="s">
        <v>34</v>
      </c>
      <c r="G17" s="19" t="n">
        <v>844060793024</v>
      </c>
      <c r="H17" s="17" t="s">
        <v>35</v>
      </c>
      <c r="I17" s="17" t="s">
        <v>36</v>
      </c>
      <c r="J17" s="17" t="s">
        <v>37</v>
      </c>
      <c r="K17" s="17" t="str">
        <f aca="false">VLOOKUP(J17,Sheet2!A:B,2,0)</f>
        <v>PRASHANT,AKASH</v>
      </c>
      <c r="L17" s="17" t="n">
        <v>1</v>
      </c>
      <c r="M17" s="17" t="str">
        <f aca="false">VLOOKUP(L17,Sheet2!D:E,2,0)</f>
        <v>Power Supply Section</v>
      </c>
      <c r="N17" s="17" t="n">
        <v>1</v>
      </c>
      <c r="O17" s="17" t="str">
        <f aca="false">VLOOKUP(N17,Sheet2!G:H,2,0)</f>
        <v>Dead</v>
      </c>
      <c r="P17" s="17" t="n">
        <v>11</v>
      </c>
      <c r="Q17" s="17" t="str">
        <f aca="false">VLOOKUP(P17,Sheet2!J:K,2,0)</f>
        <v>IR Declared due to CID -TA</v>
      </c>
      <c r="R17" s="17" t="s">
        <v>35</v>
      </c>
      <c r="S17" s="17" t="str">
        <f aca="false">VLOOKUP(R17,Sheet2!N:O,2,0)</f>
        <v>IREPARABLE</v>
      </c>
      <c r="T17" s="18" t="str">
        <f aca="false">VLOOKUP(P17,Sheet2!Q:R,2,0)</f>
        <v>IR Normal - Track burn out</v>
      </c>
      <c r="U17" s="18" t="s">
        <v>38</v>
      </c>
      <c r="V17" s="17" t="n">
        <v>4</v>
      </c>
      <c r="W17" s="20" t="str">
        <f aca="false">VLOOKUP(V17,Sheet2!Q:R,2,0)</f>
        <v>IR CID - Tampered Track burn out</v>
      </c>
      <c r="X17" s="17" t="str">
        <f aca="false">J17</f>
        <v>A041</v>
      </c>
      <c r="Y17" s="17" t="str">
        <f aca="false">VLOOKUP(X17,Sheet2!A:B,2,0)</f>
        <v>PRASHANT,AKASH</v>
      </c>
      <c r="Z17" s="17" t="s">
        <v>57</v>
      </c>
      <c r="AA17" s="17" t="s">
        <v>40</v>
      </c>
      <c r="AB17" s="17" t="s">
        <v>41</v>
      </c>
      <c r="AC17" s="0" t="str">
        <f aca="false">LEFT(G17,2)</f>
        <v>84</v>
      </c>
      <c r="AD17" s="0"/>
      <c r="AE17" s="21" t="s">
        <v>42</v>
      </c>
    </row>
    <row r="18" customFormat="false" ht="15" hidden="false" customHeight="false" outlineLevel="0" collapsed="false">
      <c r="A18" s="13" t="n">
        <v>16</v>
      </c>
      <c r="B18" s="14" t="n">
        <v>1009630941</v>
      </c>
      <c r="C18" s="15" t="s">
        <v>90</v>
      </c>
      <c r="D18" s="16" t="s">
        <v>64</v>
      </c>
      <c r="E18" s="17" t="s">
        <v>91</v>
      </c>
      <c r="F18" s="18" t="s">
        <v>92</v>
      </c>
      <c r="G18" s="19" t="n">
        <v>844084748111</v>
      </c>
      <c r="H18" s="17" t="s">
        <v>35</v>
      </c>
      <c r="I18" s="17" t="s">
        <v>36</v>
      </c>
      <c r="J18" s="17" t="s">
        <v>37</v>
      </c>
      <c r="K18" s="17" t="str">
        <f aca="false">VLOOKUP(J18,Sheet2!A:B,2,0)</f>
        <v>PRASHANT,AKASH</v>
      </c>
      <c r="L18" s="17" t="n">
        <v>1</v>
      </c>
      <c r="M18" s="17" t="str">
        <f aca="false">VLOOKUP(L18,Sheet2!D:E,2,0)</f>
        <v>Power Supply Section</v>
      </c>
      <c r="N18" s="17" t="n">
        <v>1</v>
      </c>
      <c r="O18" s="17" t="str">
        <f aca="false">VLOOKUP(N18,Sheet2!G:H,2,0)</f>
        <v>Dead</v>
      </c>
      <c r="P18" s="17" t="n">
        <v>11</v>
      </c>
      <c r="Q18" s="17" t="str">
        <f aca="false">VLOOKUP(P18,Sheet2!J:K,2,0)</f>
        <v>IR Declared due to CID -TA</v>
      </c>
      <c r="R18" s="17" t="s">
        <v>35</v>
      </c>
      <c r="S18" s="17" t="str">
        <f aca="false">VLOOKUP(R18,Sheet2!N:O,2,0)</f>
        <v>IREPARABLE</v>
      </c>
      <c r="T18" s="18" t="str">
        <f aca="false">VLOOKUP(P18,Sheet2!Q:R,2,0)</f>
        <v>IR Normal - Track burn out</v>
      </c>
      <c r="U18" s="18" t="s">
        <v>38</v>
      </c>
      <c r="V18" s="17" t="n">
        <v>4</v>
      </c>
      <c r="W18" s="20" t="str">
        <f aca="false">VLOOKUP(V18,Sheet2!Q:R,2,0)</f>
        <v>IR CID - Tampered Track burn out</v>
      </c>
      <c r="X18" s="17" t="str">
        <f aca="false">J18</f>
        <v>A041</v>
      </c>
      <c r="Y18" s="17" t="str">
        <f aca="false">VLOOKUP(X18,Sheet2!A:B,2,0)</f>
        <v>PRASHANT,AKASH</v>
      </c>
      <c r="Z18" s="17" t="s">
        <v>57</v>
      </c>
      <c r="AA18" s="17" t="s">
        <v>40</v>
      </c>
      <c r="AB18" s="17" t="s">
        <v>41</v>
      </c>
      <c r="AC18" s="0" t="str">
        <f aca="false">LEFT(G18,2)</f>
        <v>84</v>
      </c>
      <c r="AD18" s="0"/>
      <c r="AE18" s="21" t="s">
        <v>42</v>
      </c>
    </row>
    <row r="19" customFormat="false" ht="15" hidden="false" customHeight="false" outlineLevel="0" collapsed="false">
      <c r="A19" s="13" t="n">
        <v>17</v>
      </c>
      <c r="B19" s="14" t="n">
        <v>1009621043</v>
      </c>
      <c r="C19" s="15" t="s">
        <v>93</v>
      </c>
      <c r="D19" s="16" t="s">
        <v>64</v>
      </c>
      <c r="E19" s="17" t="s">
        <v>33</v>
      </c>
      <c r="F19" s="18" t="s">
        <v>34</v>
      </c>
      <c r="G19" s="19" t="s">
        <v>94</v>
      </c>
      <c r="H19" s="17" t="s">
        <v>35</v>
      </c>
      <c r="I19" s="17" t="s">
        <v>36</v>
      </c>
      <c r="J19" s="17" t="s">
        <v>37</v>
      </c>
      <c r="K19" s="17" t="str">
        <f aca="false">VLOOKUP(J19,Sheet2!A:B,2,0)</f>
        <v>PRASHANT,AKASH</v>
      </c>
      <c r="L19" s="17" t="n">
        <v>1</v>
      </c>
      <c r="M19" s="17" t="str">
        <f aca="false">VLOOKUP(L19,Sheet2!D:E,2,0)</f>
        <v>Power Supply Section</v>
      </c>
      <c r="N19" s="17" t="n">
        <v>1</v>
      </c>
      <c r="O19" s="17" t="str">
        <f aca="false">VLOOKUP(N19,Sheet2!G:H,2,0)</f>
        <v>Dead</v>
      </c>
      <c r="P19" s="17" t="n">
        <v>11</v>
      </c>
      <c r="Q19" s="17" t="str">
        <f aca="false">VLOOKUP(P19,Sheet2!J:K,2,0)</f>
        <v>IR Declared due to CID -TA</v>
      </c>
      <c r="R19" s="17" t="s">
        <v>35</v>
      </c>
      <c r="S19" s="17" t="str">
        <f aca="false">VLOOKUP(R19,Sheet2!N:O,2,0)</f>
        <v>IREPARABLE</v>
      </c>
      <c r="T19" s="18" t="str">
        <f aca="false">VLOOKUP(P19,Sheet2!Q:R,2,0)</f>
        <v>IR Normal - Track burn out</v>
      </c>
      <c r="U19" s="18" t="s">
        <v>38</v>
      </c>
      <c r="V19" s="17" t="n">
        <v>4</v>
      </c>
      <c r="W19" s="20" t="str">
        <f aca="false">VLOOKUP(V19,Sheet2!Q:R,2,0)</f>
        <v>IR CID - Tampered Track burn out</v>
      </c>
      <c r="X19" s="17" t="str">
        <f aca="false">J19</f>
        <v>A041</v>
      </c>
      <c r="Y19" s="17" t="str">
        <f aca="false">VLOOKUP(X19,Sheet2!A:B,2,0)</f>
        <v>PRASHANT,AKASH</v>
      </c>
      <c r="Z19" s="17" t="s">
        <v>57</v>
      </c>
      <c r="AA19" s="17" t="s">
        <v>40</v>
      </c>
      <c r="AB19" s="17" t="s">
        <v>41</v>
      </c>
      <c r="AC19" s="0" t="str">
        <f aca="false">LEFT(G19,2)</f>
        <v>`8</v>
      </c>
      <c r="AD19" s="0"/>
      <c r="AE19" s="21" t="s">
        <v>42</v>
      </c>
    </row>
    <row r="20" customFormat="false" ht="15" hidden="false" customHeight="false" outlineLevel="0" collapsed="false">
      <c r="A20" s="13" t="n">
        <v>18</v>
      </c>
      <c r="B20" s="14" t="n">
        <v>1009091859</v>
      </c>
      <c r="C20" s="15" t="s">
        <v>95</v>
      </c>
      <c r="D20" s="16" t="s">
        <v>64</v>
      </c>
      <c r="E20" s="17" t="s">
        <v>47</v>
      </c>
      <c r="F20" s="18" t="s">
        <v>34</v>
      </c>
      <c r="G20" s="19" t="n">
        <v>867066142433</v>
      </c>
      <c r="H20" s="17" t="s">
        <v>35</v>
      </c>
      <c r="I20" s="17" t="s">
        <v>72</v>
      </c>
      <c r="J20" s="17" t="s">
        <v>96</v>
      </c>
      <c r="K20" s="17" t="str">
        <f aca="false">VLOOKUP(J20,Sheet2!A:B,2,0)</f>
        <v>JAYESH NAI</v>
      </c>
      <c r="L20" s="17" t="n">
        <v>5</v>
      </c>
      <c r="M20" s="17" t="str">
        <f aca="false">VLOOKUP(L20,Sheet2!D:E,2,0)</f>
        <v>Main Processor CPU BGA</v>
      </c>
      <c r="N20" s="17" t="n">
        <v>24</v>
      </c>
      <c r="O20" s="17" t="str">
        <f aca="false">VLOOKUP(N20,Sheet2!G:H,2,0)</f>
        <v>STB Auto moving -Stand by mode</v>
      </c>
      <c r="P20" s="17" t="n">
        <v>12</v>
      </c>
      <c r="Q20" s="17" t="str">
        <f aca="false">VLOOKUP(P20,Sheet2!J:K,2,0)</f>
        <v>IR Declared due to Others ( IR Normal)TB</v>
      </c>
      <c r="R20" s="17" t="s">
        <v>35</v>
      </c>
      <c r="S20" s="17" t="str">
        <f aca="false">VLOOKUP(R20,Sheet2!N:O,2,0)</f>
        <v>IREPARABLE</v>
      </c>
      <c r="T20" s="18" t="str">
        <f aca="false">VLOOKUP(P20,Sheet2!Q:R,2,0)</f>
        <v>IR Normal - BER to IR</v>
      </c>
      <c r="U20" s="15" t="s">
        <v>38</v>
      </c>
      <c r="V20" s="17" t="n">
        <v>11</v>
      </c>
      <c r="W20" s="20" t="str">
        <f aca="false">VLOOKUP(V20,Sheet2!Q:R,2,0)</f>
        <v>IR Normal - Track burn out</v>
      </c>
      <c r="X20" s="17" t="str">
        <f aca="false">J20</f>
        <v>A004</v>
      </c>
      <c r="Y20" s="17" t="str">
        <f aca="false">VLOOKUP(X20,Sheet2!A:B,2,0)</f>
        <v>JAYESH NAI</v>
      </c>
      <c r="Z20" s="17" t="s">
        <v>97</v>
      </c>
      <c r="AA20" s="17" t="s">
        <v>40</v>
      </c>
      <c r="AB20" s="17" t="s">
        <v>41</v>
      </c>
      <c r="AC20" s="0" t="str">
        <f aca="false">LEFT(G20,2)</f>
        <v>86</v>
      </c>
      <c r="AD20" s="0"/>
      <c r="AE20" s="21" t="s">
        <v>42</v>
      </c>
    </row>
    <row r="21" customFormat="false" ht="15" hidden="false" customHeight="false" outlineLevel="0" collapsed="false">
      <c r="A21" s="13" t="n">
        <v>19</v>
      </c>
      <c r="B21" s="14" t="n">
        <v>1009623399</v>
      </c>
      <c r="C21" s="15" t="s">
        <v>98</v>
      </c>
      <c r="D21" s="16" t="s">
        <v>64</v>
      </c>
      <c r="E21" s="17" t="s">
        <v>99</v>
      </c>
      <c r="F21" s="18" t="s">
        <v>34</v>
      </c>
      <c r="G21" s="19" t="n">
        <v>866293131110</v>
      </c>
      <c r="H21" s="17" t="s">
        <v>35</v>
      </c>
      <c r="I21" s="17" t="s">
        <v>72</v>
      </c>
      <c r="J21" s="17" t="s">
        <v>100</v>
      </c>
      <c r="K21" s="17" t="str">
        <f aca="false">VLOOKUP(J21,Sheet2!A:B,2,0)</f>
        <v>PIYUSH CHAVDA</v>
      </c>
      <c r="L21" s="17" t="n">
        <v>1</v>
      </c>
      <c r="M21" s="17" t="str">
        <f aca="false">VLOOKUP(L21,Sheet2!D:E,2,0)</f>
        <v>Power Supply Section</v>
      </c>
      <c r="N21" s="17" t="n">
        <v>1</v>
      </c>
      <c r="O21" s="17" t="str">
        <f aca="false">VLOOKUP(N21,Sheet2!G:H,2,0)</f>
        <v>Dead</v>
      </c>
      <c r="P21" s="17" t="n">
        <v>12</v>
      </c>
      <c r="Q21" s="17" t="str">
        <f aca="false">VLOOKUP(P21,Sheet2!J:K,2,0)</f>
        <v>IR Declared due to Others ( IR Normal)TB</v>
      </c>
      <c r="R21" s="17" t="s">
        <v>35</v>
      </c>
      <c r="S21" s="17" t="str">
        <f aca="false">VLOOKUP(R21,Sheet2!N:O,2,0)</f>
        <v>IREPARABLE</v>
      </c>
      <c r="T21" s="18" t="str">
        <f aca="false">VLOOKUP(P21,Sheet2!Q:R,2,0)</f>
        <v>IR Normal - BER to IR</v>
      </c>
      <c r="U21" s="18" t="s">
        <v>101</v>
      </c>
      <c r="V21" s="17" t="n">
        <v>8</v>
      </c>
      <c r="W21" s="20" t="str">
        <f aca="false">VLOOKUP(V21,Sheet2!Q:R,2,0)</f>
        <v>IR Normal -TrackRust/InternalDamage/open</v>
      </c>
      <c r="X21" s="17" t="str">
        <f aca="false">J21</f>
        <v>A050</v>
      </c>
      <c r="Y21" s="17" t="str">
        <f aca="false">VLOOKUP(X21,Sheet2!A:B,2,0)</f>
        <v>PIYUSH CHAVDA</v>
      </c>
      <c r="Z21" s="17" t="s">
        <v>97</v>
      </c>
      <c r="AA21" s="17" t="s">
        <v>40</v>
      </c>
      <c r="AB21" s="17" t="s">
        <v>41</v>
      </c>
      <c r="AC21" s="0" t="str">
        <f aca="false">LEFT(G21,2)</f>
        <v>86</v>
      </c>
      <c r="AD21" s="0"/>
      <c r="AE21" s="21" t="s">
        <v>42</v>
      </c>
    </row>
    <row r="22" customFormat="false" ht="15" hidden="false" customHeight="false" outlineLevel="0" collapsed="false">
      <c r="A22" s="13" t="n">
        <v>20</v>
      </c>
      <c r="B22" s="14" t="n">
        <v>1009623386</v>
      </c>
      <c r="C22" s="15" t="s">
        <v>102</v>
      </c>
      <c r="D22" s="16" t="s">
        <v>103</v>
      </c>
      <c r="E22" s="17" t="s">
        <v>47</v>
      </c>
      <c r="F22" s="18" t="s">
        <v>34</v>
      </c>
      <c r="G22" s="19" t="n">
        <v>866174115497</v>
      </c>
      <c r="H22" s="17" t="s">
        <v>35</v>
      </c>
      <c r="I22" s="17" t="s">
        <v>72</v>
      </c>
      <c r="J22" s="17" t="s">
        <v>100</v>
      </c>
      <c r="K22" s="17" t="str">
        <f aca="false">VLOOKUP(J22,Sheet2!A:B,2,0)</f>
        <v>PIYUSH CHAVDA</v>
      </c>
      <c r="L22" s="17" t="n">
        <v>5</v>
      </c>
      <c r="M22" s="17" t="str">
        <f aca="false">VLOOKUP(L22,Sheet2!D:E,2,0)</f>
        <v>Main Processor CPU BGA</v>
      </c>
      <c r="N22" s="17" t="n">
        <v>24</v>
      </c>
      <c r="O22" s="17" t="str">
        <f aca="false">VLOOKUP(N22,Sheet2!G:H,2,0)</f>
        <v>STB Auto moving -Stand by mode</v>
      </c>
      <c r="P22" s="17" t="n">
        <v>12</v>
      </c>
      <c r="Q22" s="17" t="str">
        <f aca="false">VLOOKUP(P22,Sheet2!J:K,2,0)</f>
        <v>IR Declared due to Others ( IR Normal)TB</v>
      </c>
      <c r="R22" s="17" t="s">
        <v>35</v>
      </c>
      <c r="S22" s="17" t="str">
        <f aca="false">VLOOKUP(R22,Sheet2!N:O,2,0)</f>
        <v>IREPARABLE</v>
      </c>
      <c r="T22" s="18" t="str">
        <f aca="false">VLOOKUP(P22,Sheet2!Q:R,2,0)</f>
        <v>IR Normal - BER to IR</v>
      </c>
      <c r="U22" s="18" t="s">
        <v>101</v>
      </c>
      <c r="V22" s="17" t="n">
        <v>8</v>
      </c>
      <c r="W22" s="20" t="str">
        <f aca="false">VLOOKUP(V22,Sheet2!Q:R,2,0)</f>
        <v>IR Normal -TrackRust/InternalDamage/open</v>
      </c>
      <c r="X22" s="17" t="str">
        <f aca="false">J22</f>
        <v>A050</v>
      </c>
      <c r="Y22" s="17" t="str">
        <f aca="false">VLOOKUP(X22,Sheet2!A:B,2,0)</f>
        <v>PIYUSH CHAVDA</v>
      </c>
      <c r="Z22" s="17" t="s">
        <v>97</v>
      </c>
      <c r="AA22" s="17" t="s">
        <v>40</v>
      </c>
      <c r="AB22" s="17" t="s">
        <v>41</v>
      </c>
      <c r="AC22" s="0" t="str">
        <f aca="false">LEFT(G22,2)</f>
        <v>86</v>
      </c>
      <c r="AD22" s="0"/>
      <c r="AE22" s="21" t="s">
        <v>42</v>
      </c>
    </row>
    <row r="23" customFormat="false" ht="15" hidden="false" customHeight="false" outlineLevel="0" collapsed="false">
      <c r="A23" s="13" t="n">
        <v>21</v>
      </c>
      <c r="B23" s="14" t="n">
        <v>1009606821</v>
      </c>
      <c r="C23" s="15" t="s">
        <v>104</v>
      </c>
      <c r="D23" s="16" t="s">
        <v>105</v>
      </c>
      <c r="E23" s="17" t="s">
        <v>47</v>
      </c>
      <c r="F23" s="18" t="s">
        <v>34</v>
      </c>
      <c r="G23" s="19" t="n">
        <v>865133116190</v>
      </c>
      <c r="H23" s="17" t="s">
        <v>35</v>
      </c>
      <c r="I23" s="17" t="s">
        <v>72</v>
      </c>
      <c r="J23" s="17" t="s">
        <v>106</v>
      </c>
      <c r="K23" s="17" t="str">
        <f aca="false">VLOOKUP(J23,Sheet2!A:B,2,0)</f>
        <v>PRAKASH CHAVDA</v>
      </c>
      <c r="L23" s="17" t="n">
        <v>1</v>
      </c>
      <c r="M23" s="17" t="str">
        <f aca="false">VLOOKUP(L23,Sheet2!D:E,2,0)</f>
        <v>Power Supply Section</v>
      </c>
      <c r="N23" s="17" t="n">
        <v>1</v>
      </c>
      <c r="O23" s="17" t="str">
        <f aca="false">VLOOKUP(N23,Sheet2!G:H,2,0)</f>
        <v>Dead</v>
      </c>
      <c r="P23" s="17" t="n">
        <v>11</v>
      </c>
      <c r="Q23" s="17" t="str">
        <f aca="false">VLOOKUP(P23,Sheet2!J:K,2,0)</f>
        <v>IR Declared due to CID -TA</v>
      </c>
      <c r="R23" s="17" t="s">
        <v>35</v>
      </c>
      <c r="S23" s="17" t="str">
        <f aca="false">VLOOKUP(R23,Sheet2!N:O,2,0)</f>
        <v>IREPARABLE</v>
      </c>
      <c r="T23" s="18" t="str">
        <f aca="false">VLOOKUP(P23,Sheet2!Q:R,2,0)</f>
        <v>IR Normal - Track burn out</v>
      </c>
      <c r="U23" s="18" t="s">
        <v>38</v>
      </c>
      <c r="V23" s="17" t="n">
        <v>4</v>
      </c>
      <c r="W23" s="20" t="str">
        <f aca="false">VLOOKUP(V23,Sheet2!Q:R,2,0)</f>
        <v>IR CID - Tampered Track burn out</v>
      </c>
      <c r="X23" s="17" t="str">
        <f aca="false">J23</f>
        <v>A018</v>
      </c>
      <c r="Y23" s="17" t="str">
        <f aca="false">VLOOKUP(X23,Sheet2!A:B,2,0)</f>
        <v>PRAKASH CHAVDA</v>
      </c>
      <c r="Z23" s="17" t="s">
        <v>107</v>
      </c>
      <c r="AA23" s="17" t="s">
        <v>40</v>
      </c>
      <c r="AB23" s="17" t="s">
        <v>41</v>
      </c>
      <c r="AC23" s="0" t="str">
        <f aca="false">LEFT(G23,2)</f>
        <v>86</v>
      </c>
      <c r="AD23" s="0"/>
      <c r="AE23" s="21" t="s">
        <v>42</v>
      </c>
    </row>
    <row r="24" customFormat="false" ht="15" hidden="false" customHeight="false" outlineLevel="0" collapsed="false">
      <c r="A24" s="13" t="n">
        <v>22</v>
      </c>
      <c r="B24" s="14" t="n">
        <v>1009619650</v>
      </c>
      <c r="C24" s="15" t="s">
        <v>102</v>
      </c>
      <c r="D24" s="16" t="s">
        <v>108</v>
      </c>
      <c r="E24" s="17" t="s">
        <v>109</v>
      </c>
      <c r="F24" s="18" t="s">
        <v>34</v>
      </c>
      <c r="G24" s="19" t="n">
        <v>867231182777</v>
      </c>
      <c r="H24" s="17" t="s">
        <v>35</v>
      </c>
      <c r="I24" s="17" t="s">
        <v>72</v>
      </c>
      <c r="J24" s="17" t="s">
        <v>100</v>
      </c>
      <c r="K24" s="17" t="str">
        <f aca="false">VLOOKUP(J24,Sheet2!A:B,2,0)</f>
        <v>PIYUSH CHAVDA</v>
      </c>
      <c r="L24" s="17" t="n">
        <v>1</v>
      </c>
      <c r="M24" s="17" t="str">
        <f aca="false">VLOOKUP(L24,Sheet2!D:E,2,0)</f>
        <v>Power Supply Section</v>
      </c>
      <c r="N24" s="17" t="n">
        <v>1</v>
      </c>
      <c r="O24" s="17" t="str">
        <f aca="false">VLOOKUP(N24,Sheet2!G:H,2,0)</f>
        <v>Dead</v>
      </c>
      <c r="P24" s="17" t="n">
        <v>12</v>
      </c>
      <c r="Q24" s="17" t="str">
        <f aca="false">VLOOKUP(P24,Sheet2!J:K,2,0)</f>
        <v>IR Declared due to Others ( IR Normal)TB</v>
      </c>
      <c r="R24" s="17" t="s">
        <v>35</v>
      </c>
      <c r="S24" s="17" t="str">
        <f aca="false">VLOOKUP(R24,Sheet2!N:O,2,0)</f>
        <v>IREPARABLE</v>
      </c>
      <c r="T24" s="18" t="str">
        <f aca="false">VLOOKUP(P24,Sheet2!Q:R,2,0)</f>
        <v>IR Normal - BER to IR</v>
      </c>
      <c r="U24" s="20" t="s">
        <v>110</v>
      </c>
      <c r="V24" s="17" t="n">
        <v>9</v>
      </c>
      <c r="W24" s="20" t="str">
        <f aca="false">VLOOKUP(V24,Sheet2!Q:R,2,0)</f>
        <v>IR Normal - Multiple time repair </v>
      </c>
      <c r="X24" s="17" t="str">
        <f aca="false">J24</f>
        <v>A050</v>
      </c>
      <c r="Y24" s="17" t="str">
        <f aca="false">VLOOKUP(X24,Sheet2!A:B,2,0)</f>
        <v>PIYUSH CHAVDA</v>
      </c>
      <c r="Z24" s="17" t="s">
        <v>64</v>
      </c>
      <c r="AA24" s="17" t="s">
        <v>40</v>
      </c>
      <c r="AB24" s="17" t="s">
        <v>41</v>
      </c>
      <c r="AC24" s="0" t="str">
        <f aca="false">LEFT(G24,2)</f>
        <v>86</v>
      </c>
      <c r="AD24" s="0"/>
      <c r="AE24" s="21" t="s">
        <v>42</v>
      </c>
    </row>
    <row r="25" customFormat="false" ht="15" hidden="false" customHeight="false" outlineLevel="0" collapsed="false">
      <c r="A25" s="13" t="n">
        <v>23</v>
      </c>
      <c r="B25" s="14" t="n">
        <v>1009555613</v>
      </c>
      <c r="C25" s="15" t="s">
        <v>104</v>
      </c>
      <c r="D25" s="16" t="s">
        <v>64</v>
      </c>
      <c r="E25" s="17" t="s">
        <v>64</v>
      </c>
      <c r="F25" s="18" t="s">
        <v>70</v>
      </c>
      <c r="G25" s="19" t="n">
        <v>867150113662</v>
      </c>
      <c r="H25" s="17" t="s">
        <v>35</v>
      </c>
      <c r="I25" s="17" t="s">
        <v>72</v>
      </c>
      <c r="J25" s="17" t="s">
        <v>111</v>
      </c>
      <c r="K25" s="17" t="str">
        <f aca="false">VLOOKUP(J25,Sheet2!A:B,2,0)</f>
        <v>NITIN PRANAMI</v>
      </c>
      <c r="L25" s="17" t="n">
        <v>5</v>
      </c>
      <c r="M25" s="17" t="str">
        <f aca="false">VLOOKUP(L25,Sheet2!D:E,2,0)</f>
        <v>Main Processor CPU BGA</v>
      </c>
      <c r="N25" s="17" t="n">
        <v>1</v>
      </c>
      <c r="O25" s="17" t="str">
        <f aca="false">VLOOKUP(N25,Sheet2!G:H,2,0)</f>
        <v>Dead</v>
      </c>
      <c r="P25" s="17" t="n">
        <v>12</v>
      </c>
      <c r="Q25" s="17" t="str">
        <f aca="false">VLOOKUP(P25,Sheet2!J:K,2,0)</f>
        <v>IR Declared due to Others ( IR Normal)TB</v>
      </c>
      <c r="R25" s="17" t="s">
        <v>35</v>
      </c>
      <c r="S25" s="17" t="str">
        <f aca="false">VLOOKUP(R25,Sheet2!N:O,2,0)</f>
        <v>IREPARABLE</v>
      </c>
      <c r="T25" s="18" t="str">
        <f aca="false">VLOOKUP(P25,Sheet2!Q:R,2,0)</f>
        <v>IR Normal - BER to IR</v>
      </c>
      <c r="U25" s="18" t="s">
        <v>101</v>
      </c>
      <c r="V25" s="17" t="n">
        <v>8</v>
      </c>
      <c r="W25" s="20" t="str">
        <f aca="false">VLOOKUP(V25,Sheet2!Q:R,2,0)</f>
        <v>IR Normal -TrackRust/InternalDamage/open</v>
      </c>
      <c r="X25" s="17" t="str">
        <f aca="false">J25</f>
        <v>A031</v>
      </c>
      <c r="Y25" s="17" t="str">
        <f aca="false">VLOOKUP(X25,Sheet2!A:B,2,0)</f>
        <v>NITIN PRANAMI</v>
      </c>
      <c r="Z25" s="17" t="s">
        <v>112</v>
      </c>
      <c r="AA25" s="17" t="s">
        <v>40</v>
      </c>
      <c r="AB25" s="17" t="s">
        <v>41</v>
      </c>
      <c r="AC25" s="0" t="str">
        <f aca="false">LEFT(G25,2)</f>
        <v>86</v>
      </c>
      <c r="AD25" s="0"/>
      <c r="AE25" s="21" t="s">
        <v>42</v>
      </c>
    </row>
    <row r="26" customFormat="false" ht="15" hidden="false" customHeight="false" outlineLevel="0" collapsed="false">
      <c r="A26" s="13" t="n">
        <v>24</v>
      </c>
      <c r="B26" s="14" t="n">
        <v>1009631412</v>
      </c>
      <c r="C26" s="15" t="s">
        <v>104</v>
      </c>
      <c r="D26" s="16" t="s">
        <v>113</v>
      </c>
      <c r="E26" s="17" t="s">
        <v>114</v>
      </c>
      <c r="F26" s="18" t="s">
        <v>34</v>
      </c>
      <c r="G26" s="19" t="n">
        <v>868113119721</v>
      </c>
      <c r="H26" s="17" t="s">
        <v>35</v>
      </c>
      <c r="I26" s="17" t="s">
        <v>72</v>
      </c>
      <c r="J26" s="17" t="s">
        <v>115</v>
      </c>
      <c r="K26" s="17" t="str">
        <f aca="false">VLOOKUP(J26,Sheet2!A:B,2,0)</f>
        <v>ANKIT RANA</v>
      </c>
      <c r="L26" s="17" t="n">
        <v>5</v>
      </c>
      <c r="M26" s="17" t="str">
        <f aca="false">VLOOKUP(L26,Sheet2!D:E,2,0)</f>
        <v>Main Processor CPU BGA</v>
      </c>
      <c r="N26" s="17" t="n">
        <v>24</v>
      </c>
      <c r="O26" s="17" t="str">
        <f aca="false">VLOOKUP(N26,Sheet2!G:H,2,0)</f>
        <v>STB Auto moving -Stand by mode</v>
      </c>
      <c r="P26" s="17" t="n">
        <v>12</v>
      </c>
      <c r="Q26" s="17" t="str">
        <f aca="false">VLOOKUP(P26,Sheet2!J:K,2,0)</f>
        <v>IR Declared due to Others ( IR Normal)TB</v>
      </c>
      <c r="R26" s="17" t="s">
        <v>35</v>
      </c>
      <c r="S26" s="17" t="str">
        <f aca="false">VLOOKUP(R26,Sheet2!N:O,2,0)</f>
        <v>IREPARABLE</v>
      </c>
      <c r="T26" s="18" t="str">
        <f aca="false">VLOOKUP(P26,Sheet2!Q:R,2,0)</f>
        <v>IR Normal - BER to IR</v>
      </c>
      <c r="U26" s="18" t="s">
        <v>101</v>
      </c>
      <c r="V26" s="17" t="n">
        <v>8</v>
      </c>
      <c r="W26" s="20" t="str">
        <f aca="false">VLOOKUP(V26,Sheet2!Q:R,2,0)</f>
        <v>IR Normal -TrackRust/InternalDamage/open</v>
      </c>
      <c r="X26" s="17" t="str">
        <f aca="false">J26</f>
        <v>A042</v>
      </c>
      <c r="Y26" s="17" t="str">
        <f aca="false">VLOOKUP(X26,Sheet2!A:B,2,0)</f>
        <v>ANKIT RANA</v>
      </c>
      <c r="Z26" s="17" t="s">
        <v>112</v>
      </c>
      <c r="AA26" s="17" t="s">
        <v>40</v>
      </c>
      <c r="AB26" s="17" t="s">
        <v>41</v>
      </c>
      <c r="AC26" s="0" t="str">
        <f aca="false">LEFT(G26,2)</f>
        <v>86</v>
      </c>
      <c r="AD26" s="0"/>
      <c r="AE26" s="21" t="s">
        <v>42</v>
      </c>
    </row>
    <row r="27" customFormat="false" ht="15" hidden="false" customHeight="false" outlineLevel="0" collapsed="false">
      <c r="A27" s="13" t="n">
        <v>25</v>
      </c>
      <c r="B27" s="14" t="n">
        <v>1007461577</v>
      </c>
      <c r="C27" s="15" t="s">
        <v>116</v>
      </c>
      <c r="D27" s="16" t="s">
        <v>117</v>
      </c>
      <c r="E27" s="17" t="s">
        <v>47</v>
      </c>
      <c r="F27" s="18" t="s">
        <v>34</v>
      </c>
      <c r="G27" s="19" t="n">
        <v>864285114715</v>
      </c>
      <c r="H27" s="17" t="s">
        <v>35</v>
      </c>
      <c r="I27" s="17" t="s">
        <v>72</v>
      </c>
      <c r="J27" s="17" t="s">
        <v>118</v>
      </c>
      <c r="K27" s="17" t="str">
        <f aca="false">VLOOKUP(J27,Sheet2!A:B,2,0)</f>
        <v>DEVENDRA RAJPUT</v>
      </c>
      <c r="L27" s="17" t="n">
        <v>5</v>
      </c>
      <c r="M27" s="17" t="str">
        <f aca="false">VLOOKUP(L27,Sheet2!D:E,2,0)</f>
        <v>Main Processor CPU BGA</v>
      </c>
      <c r="N27" s="17" t="n">
        <v>1</v>
      </c>
      <c r="O27" s="17" t="str">
        <f aca="false">VLOOKUP(N27,Sheet2!G:H,2,0)</f>
        <v>Dead</v>
      </c>
      <c r="P27" s="17" t="n">
        <v>12</v>
      </c>
      <c r="Q27" s="17" t="str">
        <f aca="false">VLOOKUP(P27,Sheet2!J:K,2,0)</f>
        <v>IR Declared due to Others ( IR Normal)TB</v>
      </c>
      <c r="R27" s="17" t="s">
        <v>35</v>
      </c>
      <c r="S27" s="17" t="str">
        <f aca="false">VLOOKUP(R27,Sheet2!N:O,2,0)</f>
        <v>IREPARABLE</v>
      </c>
      <c r="T27" s="18" t="str">
        <f aca="false">VLOOKUP(P27,Sheet2!Q:R,2,0)</f>
        <v>IR Normal - BER to IR</v>
      </c>
      <c r="U27" s="18" t="s">
        <v>101</v>
      </c>
      <c r="V27" s="17" t="n">
        <v>8</v>
      </c>
      <c r="W27" s="20" t="str">
        <f aca="false">VLOOKUP(V27,Sheet2!Q:R,2,0)</f>
        <v>IR Normal -TrackRust/InternalDamage/open</v>
      </c>
      <c r="X27" s="17" t="str">
        <f aca="false">J27</f>
        <v>A053</v>
      </c>
      <c r="Y27" s="17" t="str">
        <f aca="false">VLOOKUP(X27,Sheet2!A:B,2,0)</f>
        <v>DEVENDRA RAJPUT</v>
      </c>
      <c r="Z27" s="17" t="s">
        <v>112</v>
      </c>
      <c r="AA27" s="17" t="s">
        <v>40</v>
      </c>
      <c r="AB27" s="17" t="s">
        <v>41</v>
      </c>
      <c r="AC27" s="0" t="str">
        <f aca="false">LEFT(G27,2)</f>
        <v>86</v>
      </c>
      <c r="AD27" s="0"/>
      <c r="AE27" s="21" t="s">
        <v>42</v>
      </c>
    </row>
    <row r="28" customFormat="false" ht="15" hidden="false" customHeight="false" outlineLevel="0" collapsed="false">
      <c r="A28" s="13" t="n">
        <v>26</v>
      </c>
      <c r="B28" s="14" t="n">
        <v>1009091534</v>
      </c>
      <c r="C28" s="15" t="s">
        <v>102</v>
      </c>
      <c r="D28" s="16" t="s">
        <v>119</v>
      </c>
      <c r="E28" s="17" t="s">
        <v>33</v>
      </c>
      <c r="F28" s="18" t="s">
        <v>34</v>
      </c>
      <c r="G28" s="19" t="n">
        <v>865276369564</v>
      </c>
      <c r="H28" s="17" t="s">
        <v>35</v>
      </c>
      <c r="I28" s="17" t="s">
        <v>72</v>
      </c>
      <c r="J28" s="17" t="s">
        <v>111</v>
      </c>
      <c r="K28" s="17" t="str">
        <f aca="false">VLOOKUP(J28,Sheet2!A:B,2,0)</f>
        <v>NITIN PRANAMI</v>
      </c>
      <c r="L28" s="17" t="n">
        <v>1</v>
      </c>
      <c r="M28" s="17" t="str">
        <f aca="false">VLOOKUP(L28,Sheet2!D:E,2,0)</f>
        <v>Power Supply Section</v>
      </c>
      <c r="N28" s="17" t="n">
        <v>1</v>
      </c>
      <c r="O28" s="17" t="str">
        <f aca="false">VLOOKUP(N28,Sheet2!G:H,2,0)</f>
        <v>Dead</v>
      </c>
      <c r="P28" s="17" t="n">
        <v>11</v>
      </c>
      <c r="Q28" s="17" t="str">
        <f aca="false">VLOOKUP(P28,Sheet2!J:K,2,0)</f>
        <v>IR Declared due to CID -TA</v>
      </c>
      <c r="R28" s="17" t="s">
        <v>35</v>
      </c>
      <c r="S28" s="17" t="str">
        <f aca="false">VLOOKUP(R28,Sheet2!N:O,2,0)</f>
        <v>IREPARABLE</v>
      </c>
      <c r="T28" s="18" t="str">
        <f aca="false">VLOOKUP(P28,Sheet2!Q:R,2,0)</f>
        <v>IR Normal - Track burn out</v>
      </c>
      <c r="U28" s="18" t="s">
        <v>120</v>
      </c>
      <c r="V28" s="17" t="n">
        <v>6</v>
      </c>
      <c r="W28" s="20" t="str">
        <f aca="false">VLOOKUP(V28,Sheet2!Q:R,2,0)</f>
        <v>IR CID -Fullydamage-Broken/Dent/Burn out</v>
      </c>
      <c r="X28" s="17" t="str">
        <f aca="false">J28</f>
        <v>A031</v>
      </c>
      <c r="Y28" s="17" t="str">
        <f aca="false">VLOOKUP(X28,Sheet2!A:B,2,0)</f>
        <v>NITIN PRANAMI</v>
      </c>
      <c r="Z28" s="17" t="s">
        <v>112</v>
      </c>
      <c r="AA28" s="17" t="s">
        <v>40</v>
      </c>
      <c r="AB28" s="17" t="s">
        <v>41</v>
      </c>
      <c r="AC28" s="0" t="str">
        <f aca="false">LEFT(G28,2)</f>
        <v>86</v>
      </c>
      <c r="AD28" s="0"/>
      <c r="AE28" s="21" t="s">
        <v>42</v>
      </c>
    </row>
    <row r="29" customFormat="false" ht="15" hidden="false" customHeight="false" outlineLevel="0" collapsed="false">
      <c r="A29" s="13" t="n">
        <v>27</v>
      </c>
      <c r="B29" s="14" t="n">
        <v>1009443831</v>
      </c>
      <c r="C29" s="15" t="s">
        <v>102</v>
      </c>
      <c r="D29" s="16" t="s">
        <v>64</v>
      </c>
      <c r="E29" s="17" t="s">
        <v>64</v>
      </c>
      <c r="F29" s="18" t="s">
        <v>70</v>
      </c>
      <c r="G29" s="19" t="n">
        <v>986018177261</v>
      </c>
      <c r="H29" s="17" t="s">
        <v>35</v>
      </c>
      <c r="I29" s="17" t="s">
        <v>44</v>
      </c>
      <c r="J29" s="17" t="s">
        <v>121</v>
      </c>
      <c r="K29" s="17" t="str">
        <f aca="false">VLOOKUP(J29,Sheet2!A:B,2,0)</f>
        <v>SHANI GOHIL</v>
      </c>
      <c r="L29" s="17" t="n">
        <v>7</v>
      </c>
      <c r="M29" s="17" t="str">
        <f aca="false">VLOOKUP(L29,Sheet2!D:E,2,0)</f>
        <v>Card Reader Section</v>
      </c>
      <c r="N29" s="17" t="n">
        <v>37</v>
      </c>
      <c r="O29" s="17" t="str">
        <f aca="false">VLOOKUP(N29,Sheet2!G:H,2,0)</f>
        <v>Error -2</v>
      </c>
      <c r="P29" s="17" t="n">
        <v>11</v>
      </c>
      <c r="Q29" s="17" t="str">
        <f aca="false">VLOOKUP(P29,Sheet2!J:K,2,0)</f>
        <v>IR Declared due to CID -TA</v>
      </c>
      <c r="R29" s="17" t="s">
        <v>35</v>
      </c>
      <c r="S29" s="17" t="str">
        <f aca="false">VLOOKUP(R29,Sheet2!N:O,2,0)</f>
        <v>IREPARABLE</v>
      </c>
      <c r="T29" s="18" t="str">
        <f aca="false">VLOOKUP(P29,Sheet2!Q:R,2,0)</f>
        <v>IR Normal - Track burn out</v>
      </c>
      <c r="U29" s="18" t="s">
        <v>122</v>
      </c>
      <c r="V29" s="17" t="n">
        <v>2</v>
      </c>
      <c r="W29" s="20" t="str">
        <f aca="false">VLOOKUP(V29,Sheet2!Q:R,2,0)</f>
        <v>IR CID -  Water log from other area</v>
      </c>
      <c r="X29" s="17" t="str">
        <f aca="false">J29</f>
        <v>A063</v>
      </c>
      <c r="Y29" s="17" t="str">
        <f aca="false">VLOOKUP(X29,Sheet2!A:B,2,0)</f>
        <v>SHANI GOHIL</v>
      </c>
      <c r="Z29" s="17" t="s">
        <v>123</v>
      </c>
      <c r="AA29" s="17" t="s">
        <v>40</v>
      </c>
      <c r="AB29" s="17" t="s">
        <v>41</v>
      </c>
      <c r="AC29" s="0" t="str">
        <f aca="false">LEFT(G29,2)</f>
        <v>98</v>
      </c>
      <c r="AD29" s="0"/>
      <c r="AE29" s="21" t="s">
        <v>42</v>
      </c>
    </row>
    <row r="30" customFormat="false" ht="15" hidden="false" customHeight="false" outlineLevel="0" collapsed="false">
      <c r="A30" s="13" t="n">
        <v>28</v>
      </c>
      <c r="B30" s="14" t="n">
        <v>1009616633</v>
      </c>
      <c r="C30" s="15" t="s">
        <v>104</v>
      </c>
      <c r="D30" s="16" t="s">
        <v>64</v>
      </c>
      <c r="E30" s="17" t="s">
        <v>64</v>
      </c>
      <c r="F30" s="18" t="s">
        <v>70</v>
      </c>
      <c r="G30" s="19" t="n">
        <v>987200107215</v>
      </c>
      <c r="H30" s="17" t="s">
        <v>35</v>
      </c>
      <c r="I30" s="17" t="s">
        <v>44</v>
      </c>
      <c r="J30" s="17" t="s">
        <v>121</v>
      </c>
      <c r="K30" s="17" t="str">
        <f aca="false">VLOOKUP(J30,Sheet2!A:B,2,0)</f>
        <v>SHANI GOHIL</v>
      </c>
      <c r="L30" s="17" t="n">
        <v>1</v>
      </c>
      <c r="M30" s="17" t="str">
        <f aca="false">VLOOKUP(L30,Sheet2!D:E,2,0)</f>
        <v>Power Supply Section</v>
      </c>
      <c r="N30" s="17" t="n">
        <v>1</v>
      </c>
      <c r="O30" s="17" t="str">
        <f aca="false">VLOOKUP(N30,Sheet2!G:H,2,0)</f>
        <v>Dead</v>
      </c>
      <c r="P30" s="17" t="n">
        <v>11</v>
      </c>
      <c r="Q30" s="17" t="str">
        <f aca="false">VLOOKUP(P30,Sheet2!J:K,2,0)</f>
        <v>IR Declared due to CID -TA</v>
      </c>
      <c r="R30" s="17" t="s">
        <v>35</v>
      </c>
      <c r="S30" s="17" t="str">
        <f aca="false">VLOOKUP(R30,Sheet2!N:O,2,0)</f>
        <v>IREPARABLE</v>
      </c>
      <c r="T30" s="18" t="str">
        <f aca="false">VLOOKUP(P30,Sheet2!Q:R,2,0)</f>
        <v>IR Normal - Track burn out</v>
      </c>
      <c r="U30" s="18" t="s">
        <v>122</v>
      </c>
      <c r="V30" s="17" t="n">
        <v>2</v>
      </c>
      <c r="W30" s="20" t="str">
        <f aca="false">VLOOKUP(V30,Sheet2!Q:R,2,0)</f>
        <v>IR CID -  Water log from other area</v>
      </c>
      <c r="X30" s="17" t="str">
        <f aca="false">J30</f>
        <v>A063</v>
      </c>
      <c r="Y30" s="17" t="str">
        <f aca="false">VLOOKUP(X30,Sheet2!A:B,2,0)</f>
        <v>SHANI GOHIL</v>
      </c>
      <c r="Z30" s="17" t="s">
        <v>124</v>
      </c>
      <c r="AA30" s="17" t="s">
        <v>40</v>
      </c>
      <c r="AB30" s="17" t="s">
        <v>41</v>
      </c>
      <c r="AC30" s="0" t="str">
        <f aca="false">LEFT(G30,2)</f>
        <v>98</v>
      </c>
      <c r="AD30" s="0"/>
      <c r="AE30" s="21" t="s">
        <v>42</v>
      </c>
    </row>
    <row r="31" customFormat="false" ht="15" hidden="false" customHeight="false" outlineLevel="0" collapsed="false">
      <c r="A31" s="13" t="n">
        <v>29</v>
      </c>
      <c r="B31" s="14" t="n">
        <v>1009625934</v>
      </c>
      <c r="C31" s="15" t="s">
        <v>104</v>
      </c>
      <c r="D31" s="16" t="s">
        <v>64</v>
      </c>
      <c r="E31" s="17" t="s">
        <v>64</v>
      </c>
      <c r="F31" s="18" t="s">
        <v>70</v>
      </c>
      <c r="G31" s="19" t="n">
        <v>987235209879</v>
      </c>
      <c r="H31" s="17" t="s">
        <v>35</v>
      </c>
      <c r="I31" s="17" t="s">
        <v>44</v>
      </c>
      <c r="J31" s="17" t="s">
        <v>121</v>
      </c>
      <c r="K31" s="17" t="str">
        <f aca="false">VLOOKUP(J31,Sheet2!A:B,2,0)</f>
        <v>SHANI GOHIL</v>
      </c>
      <c r="L31" s="17" t="n">
        <v>7</v>
      </c>
      <c r="M31" s="17" t="str">
        <f aca="false">VLOOKUP(L31,Sheet2!D:E,2,0)</f>
        <v>Card Reader Section</v>
      </c>
      <c r="N31" s="17" t="n">
        <v>36</v>
      </c>
      <c r="O31" s="17" t="str">
        <f aca="false">VLOOKUP(N31,Sheet2!G:H,2,0)</f>
        <v>Error -1</v>
      </c>
      <c r="P31" s="17" t="n">
        <v>11</v>
      </c>
      <c r="Q31" s="17" t="str">
        <f aca="false">VLOOKUP(P31,Sheet2!J:K,2,0)</f>
        <v>IR Declared due to CID -TA</v>
      </c>
      <c r="R31" s="17" t="s">
        <v>35</v>
      </c>
      <c r="S31" s="17" t="str">
        <f aca="false">VLOOKUP(R31,Sheet2!N:O,2,0)</f>
        <v>IREPARABLE</v>
      </c>
      <c r="T31" s="18" t="str">
        <f aca="false">VLOOKUP(P31,Sheet2!Q:R,2,0)</f>
        <v>IR Normal - Track burn out</v>
      </c>
      <c r="U31" s="18" t="s">
        <v>38</v>
      </c>
      <c r="V31" s="17" t="n">
        <v>4</v>
      </c>
      <c r="W31" s="20" t="str">
        <f aca="false">VLOOKUP(V31,Sheet2!Q:R,2,0)</f>
        <v>IR CID - Tampered Track burn out</v>
      </c>
      <c r="X31" s="17" t="str">
        <f aca="false">J31</f>
        <v>A063</v>
      </c>
      <c r="Y31" s="17" t="str">
        <f aca="false">VLOOKUP(X31,Sheet2!A:B,2,0)</f>
        <v>SHANI GOHIL</v>
      </c>
      <c r="Z31" s="17" t="s">
        <v>125</v>
      </c>
      <c r="AA31" s="17" t="s">
        <v>40</v>
      </c>
      <c r="AB31" s="17" t="s">
        <v>41</v>
      </c>
      <c r="AC31" s="0" t="str">
        <f aca="false">LEFT(G31,2)</f>
        <v>98</v>
      </c>
      <c r="AD31" s="0"/>
      <c r="AE31" s="21" t="s">
        <v>42</v>
      </c>
    </row>
    <row r="32" customFormat="false" ht="15" hidden="false" customHeight="false" outlineLevel="0" collapsed="false">
      <c r="A32" s="13" t="n">
        <v>30</v>
      </c>
      <c r="B32" s="14" t="n">
        <v>1009628154</v>
      </c>
      <c r="C32" s="15" t="s">
        <v>126</v>
      </c>
      <c r="D32" s="16" t="s">
        <v>64</v>
      </c>
      <c r="E32" s="17" t="s">
        <v>64</v>
      </c>
      <c r="F32" s="18" t="s">
        <v>70</v>
      </c>
      <c r="G32" s="19" t="n">
        <v>942102965301</v>
      </c>
      <c r="H32" s="17" t="s">
        <v>35</v>
      </c>
      <c r="I32" s="17" t="s">
        <v>44</v>
      </c>
      <c r="J32" s="17" t="s">
        <v>121</v>
      </c>
      <c r="K32" s="17" t="str">
        <f aca="false">VLOOKUP(J32,Sheet2!A:B,2,0)</f>
        <v>SHANI GOHIL</v>
      </c>
      <c r="L32" s="17" t="n">
        <v>1</v>
      </c>
      <c r="M32" s="17" t="str">
        <f aca="false">VLOOKUP(L32,Sheet2!D:E,2,0)</f>
        <v>Power Supply Section</v>
      </c>
      <c r="N32" s="17" t="n">
        <v>2</v>
      </c>
      <c r="O32" s="17" t="str">
        <f aca="false">VLOOKUP(N32,Sheet2!G:H,2,0)</f>
        <v>Dead Intermittent</v>
      </c>
      <c r="P32" s="17" t="n">
        <v>12</v>
      </c>
      <c r="Q32" s="17" t="str">
        <f aca="false">VLOOKUP(P32,Sheet2!J:K,2,0)</f>
        <v>IR Declared due to Others ( IR Normal)TB</v>
      </c>
      <c r="R32" s="17" t="s">
        <v>35</v>
      </c>
      <c r="S32" s="17" t="str">
        <f aca="false">VLOOKUP(R32,Sheet2!N:O,2,0)</f>
        <v>IREPARABLE</v>
      </c>
      <c r="T32" s="18" t="str">
        <f aca="false">VLOOKUP(P32,Sheet2!Q:R,2,0)</f>
        <v>IR Normal - BER to IR</v>
      </c>
      <c r="U32" s="20" t="s">
        <v>110</v>
      </c>
      <c r="V32" s="17" t="n">
        <v>9</v>
      </c>
      <c r="W32" s="20" t="str">
        <f aca="false">VLOOKUP(V32,Sheet2!Q:R,2,0)</f>
        <v>IR Normal - Multiple time repair </v>
      </c>
      <c r="X32" s="17" t="str">
        <f aca="false">J32</f>
        <v>A063</v>
      </c>
      <c r="Y32" s="17" t="str">
        <f aca="false">VLOOKUP(X32,Sheet2!A:B,2,0)</f>
        <v>SHANI GOHIL</v>
      </c>
      <c r="Z32" s="17" t="s">
        <v>127</v>
      </c>
      <c r="AA32" s="17" t="s">
        <v>40</v>
      </c>
      <c r="AB32" s="17" t="s">
        <v>41</v>
      </c>
      <c r="AC32" s="0" t="str">
        <f aca="false">LEFT(G32,2)</f>
        <v>94</v>
      </c>
      <c r="AD32" s="0"/>
      <c r="AE32" s="21" t="s">
        <v>42</v>
      </c>
    </row>
    <row r="33" customFormat="false" ht="15" hidden="false" customHeight="false" outlineLevel="0" collapsed="false">
      <c r="A33" s="13" t="n">
        <f aca="false">1+A32</f>
        <v>31</v>
      </c>
      <c r="B33" s="14" t="n">
        <v>1009565314</v>
      </c>
      <c r="C33" s="15" t="s">
        <v>102</v>
      </c>
      <c r="D33" s="16" t="s">
        <v>64</v>
      </c>
      <c r="E33" s="17" t="s">
        <v>64</v>
      </c>
      <c r="F33" s="18" t="s">
        <v>70</v>
      </c>
      <c r="G33" s="19" t="n">
        <v>943164962897</v>
      </c>
      <c r="H33" s="17" t="s">
        <v>35</v>
      </c>
      <c r="I33" s="17" t="s">
        <v>44</v>
      </c>
      <c r="J33" s="17" t="s">
        <v>111</v>
      </c>
      <c r="K33" s="17" t="str">
        <f aca="false">VLOOKUP(J33,Sheet2!A:B,2,0)</f>
        <v>NITIN PRANAMI</v>
      </c>
      <c r="L33" s="17" t="n">
        <v>1</v>
      </c>
      <c r="M33" s="17" t="str">
        <f aca="false">VLOOKUP(L33,Sheet2!D:E,2,0)</f>
        <v>Power Supply Section</v>
      </c>
      <c r="N33" s="17" t="n">
        <v>24</v>
      </c>
      <c r="O33" s="17" t="str">
        <f aca="false">VLOOKUP(N33,Sheet2!G:H,2,0)</f>
        <v>STB Auto moving -Stand by mode</v>
      </c>
      <c r="P33" s="17" t="n">
        <v>12</v>
      </c>
      <c r="Q33" s="17" t="str">
        <f aca="false">VLOOKUP(P33,Sheet2!J:K,2,0)</f>
        <v>IR Declared due to Others ( IR Normal)TB</v>
      </c>
      <c r="R33" s="17" t="s">
        <v>35</v>
      </c>
      <c r="S33" s="17" t="str">
        <f aca="false">VLOOKUP(R33,Sheet2!N:O,2,0)</f>
        <v>IREPARABLE</v>
      </c>
      <c r="T33" s="18" t="str">
        <f aca="false">VLOOKUP(P33,Sheet2!Q:R,2,0)</f>
        <v>IR Normal - BER to IR</v>
      </c>
      <c r="U33" s="18" t="s">
        <v>101</v>
      </c>
      <c r="V33" s="17" t="n">
        <v>8</v>
      </c>
      <c r="W33" s="20" t="str">
        <f aca="false">VLOOKUP(V33,Sheet2!Q:R,2,0)</f>
        <v>IR Normal -TrackRust/InternalDamage/open</v>
      </c>
      <c r="X33" s="17" t="str">
        <f aca="false">J33</f>
        <v>A031</v>
      </c>
      <c r="Y33" s="17" t="str">
        <f aca="false">VLOOKUP(X33,Sheet2!A:B,2,0)</f>
        <v>NITIN PRANAMI</v>
      </c>
      <c r="Z33" s="17" t="s">
        <v>128</v>
      </c>
      <c r="AA33" s="17" t="s">
        <v>40</v>
      </c>
      <c r="AB33" s="17" t="s">
        <v>41</v>
      </c>
      <c r="AC33" s="0" t="str">
        <f aca="false">LEFT(G33,2)</f>
        <v>94</v>
      </c>
      <c r="AD33" s="0"/>
      <c r="AE33" s="21" t="s">
        <v>42</v>
      </c>
    </row>
    <row r="34" customFormat="false" ht="15" hidden="false" customHeight="false" outlineLevel="0" collapsed="false">
      <c r="A34" s="13" t="n">
        <f aca="false">1+A33</f>
        <v>32</v>
      </c>
      <c r="B34" s="14" t="n">
        <v>1009570945</v>
      </c>
      <c r="C34" s="15" t="s">
        <v>102</v>
      </c>
      <c r="D34" s="16" t="s">
        <v>56</v>
      </c>
      <c r="E34" s="17" t="s">
        <v>91</v>
      </c>
      <c r="F34" s="18" t="s">
        <v>92</v>
      </c>
      <c r="G34" s="19" t="n">
        <v>954319131809</v>
      </c>
      <c r="H34" s="17" t="s">
        <v>35</v>
      </c>
      <c r="I34" s="17" t="s">
        <v>44</v>
      </c>
      <c r="J34" s="17" t="s">
        <v>121</v>
      </c>
      <c r="K34" s="17" t="str">
        <f aca="false">VLOOKUP(J34,Sheet2!A:B,2,0)</f>
        <v>SHANI GOHIL</v>
      </c>
      <c r="L34" s="17" t="n">
        <v>5</v>
      </c>
      <c r="M34" s="17" t="str">
        <f aca="false">VLOOKUP(L34,Sheet2!D:E,2,0)</f>
        <v>Main Processor CPU BGA</v>
      </c>
      <c r="N34" s="17" t="n">
        <v>24</v>
      </c>
      <c r="O34" s="17" t="str">
        <f aca="false">VLOOKUP(N34,Sheet2!G:H,2,0)</f>
        <v>STB Auto moving -Stand by mode</v>
      </c>
      <c r="P34" s="17" t="n">
        <v>12</v>
      </c>
      <c r="Q34" s="17" t="str">
        <f aca="false">VLOOKUP(P34,Sheet2!J:K,2,0)</f>
        <v>IR Declared due to Others ( IR Normal)TB</v>
      </c>
      <c r="R34" s="17" t="s">
        <v>35</v>
      </c>
      <c r="S34" s="17" t="str">
        <f aca="false">VLOOKUP(R34,Sheet2!N:O,2,0)</f>
        <v>IREPARABLE</v>
      </c>
      <c r="T34" s="18" t="str">
        <f aca="false">VLOOKUP(P34,Sheet2!Q:R,2,0)</f>
        <v>IR Normal - BER to IR</v>
      </c>
      <c r="U34" s="18" t="s">
        <v>101</v>
      </c>
      <c r="V34" s="17" t="n">
        <v>8</v>
      </c>
      <c r="W34" s="20" t="str">
        <f aca="false">VLOOKUP(V34,Sheet2!Q:R,2,0)</f>
        <v>IR Normal -TrackRust/InternalDamage/open</v>
      </c>
      <c r="X34" s="17" t="str">
        <f aca="false">J34</f>
        <v>A063</v>
      </c>
      <c r="Y34" s="17" t="str">
        <f aca="false">VLOOKUP(X34,Sheet2!A:B,2,0)</f>
        <v>SHANI GOHIL</v>
      </c>
      <c r="Z34" s="17" t="s">
        <v>129</v>
      </c>
      <c r="AA34" s="17" t="s">
        <v>40</v>
      </c>
      <c r="AB34" s="17" t="s">
        <v>41</v>
      </c>
      <c r="AC34" s="0" t="str">
        <f aca="false">LEFT(G34,2)</f>
        <v>95</v>
      </c>
      <c r="AD34" s="0"/>
      <c r="AE34" s="21" t="s">
        <v>42</v>
      </c>
    </row>
    <row r="35" customFormat="false" ht="15" hidden="false" customHeight="false" outlineLevel="0" collapsed="false">
      <c r="A35" s="13" t="n">
        <f aca="false">1+A34</f>
        <v>33</v>
      </c>
      <c r="B35" s="14" t="n">
        <v>1009574505</v>
      </c>
      <c r="C35" s="15" t="s">
        <v>104</v>
      </c>
      <c r="D35" s="16" t="s">
        <v>64</v>
      </c>
      <c r="E35" s="17" t="s">
        <v>33</v>
      </c>
      <c r="F35" s="18" t="s">
        <v>34</v>
      </c>
      <c r="G35" s="19" t="n">
        <v>775240041456</v>
      </c>
      <c r="H35" s="17" t="s">
        <v>35</v>
      </c>
      <c r="I35" s="17" t="s">
        <v>69</v>
      </c>
      <c r="J35" s="17" t="s">
        <v>100</v>
      </c>
      <c r="K35" s="17" t="str">
        <f aca="false">VLOOKUP(J35,Sheet2!A:B,2,0)</f>
        <v>PIYUSH CHAVDA</v>
      </c>
      <c r="L35" s="17" t="n">
        <v>1</v>
      </c>
      <c r="M35" s="17" t="str">
        <f aca="false">VLOOKUP(L35,Sheet2!D:E,2,0)</f>
        <v>Power Supply Section</v>
      </c>
      <c r="N35" s="17" t="n">
        <v>24</v>
      </c>
      <c r="O35" s="17" t="str">
        <f aca="false">VLOOKUP(N35,Sheet2!G:H,2,0)</f>
        <v>STB Auto moving -Stand by mode</v>
      </c>
      <c r="P35" s="17" t="n">
        <v>12</v>
      </c>
      <c r="Q35" s="17" t="str">
        <f aca="false">VLOOKUP(P35,Sheet2!J:K,2,0)</f>
        <v>IR Declared due to Others ( IR Normal)TB</v>
      </c>
      <c r="R35" s="17" t="s">
        <v>35</v>
      </c>
      <c r="S35" s="17" t="str">
        <f aca="false">VLOOKUP(R35,Sheet2!N:O,2,0)</f>
        <v>IREPARABLE</v>
      </c>
      <c r="T35" s="18" t="str">
        <f aca="false">VLOOKUP(P35,Sheet2!Q:R,2,0)</f>
        <v>IR Normal - BER to IR</v>
      </c>
      <c r="U35" s="15" t="s">
        <v>38</v>
      </c>
      <c r="V35" s="17" t="n">
        <v>11</v>
      </c>
      <c r="W35" s="20" t="str">
        <f aca="false">VLOOKUP(V35,Sheet2!Q:R,2,0)</f>
        <v>IR Normal - Track burn out</v>
      </c>
      <c r="X35" s="17" t="str">
        <f aca="false">J35</f>
        <v>A050</v>
      </c>
      <c r="Y35" s="17" t="str">
        <f aca="false">VLOOKUP(X35,Sheet2!A:B,2,0)</f>
        <v>PIYUSH CHAVDA</v>
      </c>
      <c r="Z35" s="17" t="s">
        <v>130</v>
      </c>
      <c r="AA35" s="17" t="s">
        <v>40</v>
      </c>
      <c r="AB35" s="17" t="s">
        <v>41</v>
      </c>
      <c r="AC35" s="0" t="str">
        <f aca="false">LEFT(G35,2)</f>
        <v>77</v>
      </c>
      <c r="AD35" s="0"/>
      <c r="AE35" s="21" t="s">
        <v>42</v>
      </c>
    </row>
    <row r="36" customFormat="false" ht="15" hidden="false" customHeight="false" outlineLevel="0" collapsed="false">
      <c r="A36" s="13" t="n">
        <f aca="false">1+A35</f>
        <v>34</v>
      </c>
      <c r="B36" s="14" t="n">
        <v>1009569924</v>
      </c>
      <c r="C36" s="15" t="s">
        <v>102</v>
      </c>
      <c r="D36" s="16" t="s">
        <v>131</v>
      </c>
      <c r="E36" s="17" t="s">
        <v>33</v>
      </c>
      <c r="F36" s="18" t="s">
        <v>34</v>
      </c>
      <c r="G36" s="19" t="n">
        <v>775318176895</v>
      </c>
      <c r="H36" s="17" t="s">
        <v>35</v>
      </c>
      <c r="I36" s="17" t="s">
        <v>69</v>
      </c>
      <c r="J36" s="17" t="s">
        <v>111</v>
      </c>
      <c r="K36" s="17" t="str">
        <f aca="false">VLOOKUP(J36,Sheet2!A:B,2,0)</f>
        <v>NITIN PRANAMI</v>
      </c>
      <c r="L36" s="17" t="n">
        <v>1</v>
      </c>
      <c r="M36" s="17" t="str">
        <f aca="false">VLOOKUP(L36,Sheet2!D:E,2,0)</f>
        <v>Power Supply Section</v>
      </c>
      <c r="N36" s="17" t="n">
        <v>24</v>
      </c>
      <c r="O36" s="17" t="str">
        <f aca="false">VLOOKUP(N36,Sheet2!G:H,2,0)</f>
        <v>STB Auto moving -Stand by mode</v>
      </c>
      <c r="P36" s="17" t="n">
        <v>12</v>
      </c>
      <c r="Q36" s="17" t="str">
        <f aca="false">VLOOKUP(P36,Sheet2!J:K,2,0)</f>
        <v>IR Declared due to Others ( IR Normal)TB</v>
      </c>
      <c r="R36" s="17" t="s">
        <v>35</v>
      </c>
      <c r="S36" s="17" t="str">
        <f aca="false">VLOOKUP(R36,Sheet2!N:O,2,0)</f>
        <v>IREPARABLE</v>
      </c>
      <c r="T36" s="18" t="str">
        <f aca="false">VLOOKUP(P36,Sheet2!Q:R,2,0)</f>
        <v>IR Normal - BER to IR</v>
      </c>
      <c r="U36" s="18" t="s">
        <v>101</v>
      </c>
      <c r="V36" s="17" t="n">
        <v>8</v>
      </c>
      <c r="W36" s="20" t="str">
        <f aca="false">VLOOKUP(V36,Sheet2!Q:R,2,0)</f>
        <v>IR Normal -TrackRust/InternalDamage/open</v>
      </c>
      <c r="X36" s="17" t="str">
        <f aca="false">J36</f>
        <v>A031</v>
      </c>
      <c r="Y36" s="17" t="str">
        <f aca="false">VLOOKUP(X36,Sheet2!A:B,2,0)</f>
        <v>NITIN PRANAMI</v>
      </c>
      <c r="Z36" s="17" t="s">
        <v>132</v>
      </c>
      <c r="AA36" s="17" t="s">
        <v>40</v>
      </c>
      <c r="AB36" s="17" t="s">
        <v>41</v>
      </c>
      <c r="AC36" s="0" t="str">
        <f aca="false">LEFT(G36,2)</f>
        <v>77</v>
      </c>
      <c r="AD36" s="0"/>
      <c r="AE36" s="21" t="s">
        <v>42</v>
      </c>
    </row>
    <row r="37" customFormat="false" ht="15" hidden="false" customHeight="false" outlineLevel="0" collapsed="false">
      <c r="A37" s="13" t="n">
        <f aca="false">1+A36</f>
        <v>35</v>
      </c>
      <c r="B37" s="14" t="n">
        <v>1009571192</v>
      </c>
      <c r="C37" s="15" t="s">
        <v>102</v>
      </c>
      <c r="D37" s="16" t="s">
        <v>32</v>
      </c>
      <c r="E37" s="17" t="s">
        <v>47</v>
      </c>
      <c r="F37" s="18" t="s">
        <v>34</v>
      </c>
      <c r="G37" s="19" t="n">
        <v>775335236888</v>
      </c>
      <c r="H37" s="17" t="s">
        <v>35</v>
      </c>
      <c r="I37" s="17" t="s">
        <v>69</v>
      </c>
      <c r="J37" s="17" t="s">
        <v>111</v>
      </c>
      <c r="K37" s="17" t="str">
        <f aca="false">VLOOKUP(J37,Sheet2!A:B,2,0)</f>
        <v>NITIN PRANAMI</v>
      </c>
      <c r="L37" s="17" t="n">
        <v>1</v>
      </c>
      <c r="M37" s="17" t="str">
        <f aca="false">VLOOKUP(L37,Sheet2!D:E,2,0)</f>
        <v>Power Supply Section</v>
      </c>
      <c r="N37" s="17" t="n">
        <v>1</v>
      </c>
      <c r="O37" s="17" t="str">
        <f aca="false">VLOOKUP(N37,Sheet2!G:H,2,0)</f>
        <v>Dead</v>
      </c>
      <c r="P37" s="17" t="n">
        <v>12</v>
      </c>
      <c r="Q37" s="17" t="str">
        <f aca="false">VLOOKUP(P37,Sheet2!J:K,2,0)</f>
        <v>IR Declared due to Others ( IR Normal)TB</v>
      </c>
      <c r="R37" s="17" t="s">
        <v>35</v>
      </c>
      <c r="S37" s="17" t="str">
        <f aca="false">VLOOKUP(R37,Sheet2!N:O,2,0)</f>
        <v>IREPARABLE</v>
      </c>
      <c r="T37" s="18" t="str">
        <f aca="false">VLOOKUP(P37,Sheet2!Q:R,2,0)</f>
        <v>IR Normal - BER to IR</v>
      </c>
      <c r="U37" s="18" t="s">
        <v>101</v>
      </c>
      <c r="V37" s="17" t="n">
        <v>8</v>
      </c>
      <c r="W37" s="20" t="str">
        <f aca="false">VLOOKUP(V37,Sheet2!Q:R,2,0)</f>
        <v>IR Normal -TrackRust/InternalDamage/open</v>
      </c>
      <c r="X37" s="17" t="str">
        <f aca="false">J37</f>
        <v>A031</v>
      </c>
      <c r="Y37" s="17" t="str">
        <f aca="false">VLOOKUP(X37,Sheet2!A:B,2,0)</f>
        <v>NITIN PRANAMI</v>
      </c>
      <c r="Z37" s="17" t="s">
        <v>132</v>
      </c>
      <c r="AA37" s="17" t="s">
        <v>40</v>
      </c>
      <c r="AB37" s="17" t="s">
        <v>41</v>
      </c>
      <c r="AC37" s="0" t="str">
        <f aca="false">LEFT(G37,2)</f>
        <v>77</v>
      </c>
      <c r="AD37" s="0"/>
      <c r="AE37" s="21" t="s">
        <v>42</v>
      </c>
    </row>
    <row r="38" customFormat="false" ht="15" hidden="false" customHeight="false" outlineLevel="0" collapsed="false">
      <c r="A38" s="13" t="n">
        <f aca="false">1+A37</f>
        <v>36</v>
      </c>
      <c r="B38" s="14" t="n">
        <v>1009573534</v>
      </c>
      <c r="C38" s="15" t="s">
        <v>104</v>
      </c>
      <c r="D38" s="16" t="s">
        <v>64</v>
      </c>
      <c r="E38" s="17" t="s">
        <v>47</v>
      </c>
      <c r="F38" s="18" t="s">
        <v>34</v>
      </c>
      <c r="G38" s="19" t="n">
        <v>775322107969</v>
      </c>
      <c r="H38" s="17" t="s">
        <v>35</v>
      </c>
      <c r="I38" s="17" t="s">
        <v>69</v>
      </c>
      <c r="J38" s="17" t="s">
        <v>133</v>
      </c>
      <c r="K38" s="17" t="str">
        <f aca="false">VLOOKUP(J38,Sheet2!A:B,2,0)</f>
        <v>AKASH BAROT</v>
      </c>
      <c r="L38" s="17" t="n">
        <v>1</v>
      </c>
      <c r="M38" s="17" t="str">
        <f aca="false">VLOOKUP(L38,Sheet2!D:E,2,0)</f>
        <v>Power Supply Section</v>
      </c>
      <c r="N38" s="17" t="n">
        <v>1</v>
      </c>
      <c r="O38" s="17" t="str">
        <f aca="false">VLOOKUP(N38,Sheet2!G:H,2,0)</f>
        <v>Dead</v>
      </c>
      <c r="P38" s="17" t="n">
        <v>12</v>
      </c>
      <c r="Q38" s="17" t="str">
        <f aca="false">VLOOKUP(P38,Sheet2!J:K,2,0)</f>
        <v>IR Declared due to Others ( IR Normal)TB</v>
      </c>
      <c r="R38" s="17" t="s">
        <v>35</v>
      </c>
      <c r="S38" s="17" t="str">
        <f aca="false">VLOOKUP(R38,Sheet2!N:O,2,0)</f>
        <v>IREPARABLE</v>
      </c>
      <c r="T38" s="18" t="str">
        <f aca="false">VLOOKUP(P38,Sheet2!Q:R,2,0)</f>
        <v>IR Normal - BER to IR</v>
      </c>
      <c r="U38" s="15" t="s">
        <v>38</v>
      </c>
      <c r="V38" s="17" t="n">
        <v>11</v>
      </c>
      <c r="W38" s="20" t="str">
        <f aca="false">VLOOKUP(V38,Sheet2!Q:R,2,0)</f>
        <v>IR Normal - Track burn out</v>
      </c>
      <c r="X38" s="17" t="str">
        <f aca="false">J38</f>
        <v>A009</v>
      </c>
      <c r="Y38" s="17" t="str">
        <f aca="false">VLOOKUP(X38,Sheet2!A:B,2,0)</f>
        <v>AKASH BAROT</v>
      </c>
      <c r="Z38" s="17" t="s">
        <v>130</v>
      </c>
      <c r="AA38" s="17" t="s">
        <v>40</v>
      </c>
      <c r="AB38" s="17" t="s">
        <v>41</v>
      </c>
      <c r="AC38" s="0" t="str">
        <f aca="false">LEFT(G38,2)</f>
        <v>77</v>
      </c>
      <c r="AD38" s="0"/>
      <c r="AE38" s="21" t="s">
        <v>42</v>
      </c>
    </row>
    <row r="39" customFormat="false" ht="15" hidden="false" customHeight="false" outlineLevel="0" collapsed="false">
      <c r="A39" s="13" t="n">
        <f aca="false">1+A38</f>
        <v>37</v>
      </c>
      <c r="B39" s="14" t="n">
        <v>1009567138</v>
      </c>
      <c r="C39" s="15" t="s">
        <v>102</v>
      </c>
      <c r="D39" s="16" t="s">
        <v>119</v>
      </c>
      <c r="E39" s="17" t="s">
        <v>33</v>
      </c>
      <c r="F39" s="18" t="s">
        <v>34</v>
      </c>
      <c r="G39" s="19" t="n">
        <v>775156036870</v>
      </c>
      <c r="H39" s="17" t="s">
        <v>35</v>
      </c>
      <c r="I39" s="17" t="s">
        <v>69</v>
      </c>
      <c r="J39" s="17" t="s">
        <v>118</v>
      </c>
      <c r="K39" s="17" t="str">
        <f aca="false">VLOOKUP(J39,Sheet2!A:B,2,0)</f>
        <v>DEVENDRA RAJPUT</v>
      </c>
      <c r="L39" s="17" t="n">
        <v>1</v>
      </c>
      <c r="M39" s="17" t="str">
        <f aca="false">VLOOKUP(L39,Sheet2!D:E,2,0)</f>
        <v>Power Supply Section</v>
      </c>
      <c r="N39" s="17" t="n">
        <v>1</v>
      </c>
      <c r="O39" s="17" t="str">
        <f aca="false">VLOOKUP(N39,Sheet2!G:H,2,0)</f>
        <v>Dead</v>
      </c>
      <c r="P39" s="17" t="n">
        <v>12</v>
      </c>
      <c r="Q39" s="17" t="str">
        <f aca="false">VLOOKUP(P39,Sheet2!J:K,2,0)</f>
        <v>IR Declared due to Others ( IR Normal)TB</v>
      </c>
      <c r="R39" s="17" t="s">
        <v>35</v>
      </c>
      <c r="S39" s="17" t="str">
        <f aca="false">VLOOKUP(R39,Sheet2!N:O,2,0)</f>
        <v>IREPARABLE</v>
      </c>
      <c r="T39" s="18" t="str">
        <f aca="false">VLOOKUP(P39,Sheet2!Q:R,2,0)</f>
        <v>IR Normal - BER to IR</v>
      </c>
      <c r="U39" s="15" t="s">
        <v>38</v>
      </c>
      <c r="V39" s="17" t="n">
        <v>11</v>
      </c>
      <c r="W39" s="20" t="str">
        <f aca="false">VLOOKUP(V39,Sheet2!Q:R,2,0)</f>
        <v>IR Normal - Track burn out</v>
      </c>
      <c r="X39" s="17" t="str">
        <f aca="false">J39</f>
        <v>A053</v>
      </c>
      <c r="Y39" s="17" t="str">
        <f aca="false">VLOOKUP(X39,Sheet2!A:B,2,0)</f>
        <v>DEVENDRA RAJPUT</v>
      </c>
      <c r="Z39" s="17" t="s">
        <v>130</v>
      </c>
      <c r="AA39" s="17" t="s">
        <v>40</v>
      </c>
      <c r="AB39" s="17" t="s">
        <v>41</v>
      </c>
      <c r="AC39" s="0" t="str">
        <f aca="false">LEFT(G39,2)</f>
        <v>77</v>
      </c>
      <c r="AD39" s="0"/>
      <c r="AE39" s="21" t="s">
        <v>42</v>
      </c>
    </row>
    <row r="40" customFormat="false" ht="15" hidden="false" customHeight="false" outlineLevel="0" collapsed="false">
      <c r="A40" s="13" t="n">
        <f aca="false">1+A39</f>
        <v>38</v>
      </c>
      <c r="B40" s="14" t="n">
        <v>1009574120</v>
      </c>
      <c r="C40" s="15" t="s">
        <v>104</v>
      </c>
      <c r="D40" s="16" t="s">
        <v>64</v>
      </c>
      <c r="E40" s="17" t="s">
        <v>114</v>
      </c>
      <c r="F40" s="18" t="s">
        <v>34</v>
      </c>
      <c r="G40" s="19" t="n">
        <v>775244099237</v>
      </c>
      <c r="H40" s="17" t="s">
        <v>35</v>
      </c>
      <c r="I40" s="17" t="s">
        <v>69</v>
      </c>
      <c r="J40" s="17" t="s">
        <v>115</v>
      </c>
      <c r="K40" s="17" t="str">
        <f aca="false">VLOOKUP(J40,Sheet2!A:B,2,0)</f>
        <v>ANKIT RANA</v>
      </c>
      <c r="L40" s="17" t="n">
        <v>2</v>
      </c>
      <c r="M40" s="17" t="str">
        <f aca="false">VLOOKUP(L40,Sheet2!D:E,2,0)</f>
        <v>Tuner Section</v>
      </c>
      <c r="N40" s="17" t="n">
        <v>6</v>
      </c>
      <c r="O40" s="17" t="str">
        <f aca="false">VLOOKUP(N40,Sheet2!G:H,2,0)</f>
        <v>No Signal</v>
      </c>
      <c r="P40" s="17" t="n">
        <v>12</v>
      </c>
      <c r="Q40" s="17" t="str">
        <f aca="false">VLOOKUP(P40,Sheet2!J:K,2,0)</f>
        <v>IR Declared due to Others ( IR Normal)TB</v>
      </c>
      <c r="R40" s="17" t="s">
        <v>35</v>
      </c>
      <c r="S40" s="17" t="str">
        <f aca="false">VLOOKUP(R40,Sheet2!N:O,2,0)</f>
        <v>IREPARABLE</v>
      </c>
      <c r="T40" s="18" t="str">
        <f aca="false">VLOOKUP(P40,Sheet2!Q:R,2,0)</f>
        <v>IR Normal - BER to IR</v>
      </c>
      <c r="U40" s="15" t="s">
        <v>38</v>
      </c>
      <c r="V40" s="17" t="n">
        <v>11</v>
      </c>
      <c r="W40" s="20" t="str">
        <f aca="false">VLOOKUP(V40,Sheet2!Q:R,2,0)</f>
        <v>IR Normal - Track burn out</v>
      </c>
      <c r="X40" s="17" t="str">
        <f aca="false">J40</f>
        <v>A042</v>
      </c>
      <c r="Y40" s="17" t="str">
        <f aca="false">VLOOKUP(X40,Sheet2!A:B,2,0)</f>
        <v>ANKIT RANA</v>
      </c>
      <c r="Z40" s="17" t="s">
        <v>130</v>
      </c>
      <c r="AA40" s="17" t="s">
        <v>40</v>
      </c>
      <c r="AB40" s="17" t="s">
        <v>41</v>
      </c>
      <c r="AC40" s="0" t="str">
        <f aca="false">LEFT(G40,2)</f>
        <v>77</v>
      </c>
      <c r="AD40" s="0"/>
      <c r="AE40" s="21" t="s">
        <v>42</v>
      </c>
    </row>
    <row r="41" customFormat="false" ht="15" hidden="false" customHeight="false" outlineLevel="0" collapsed="false">
      <c r="A41" s="13" t="n">
        <f aca="false">1+A40</f>
        <v>39</v>
      </c>
      <c r="B41" s="14" t="n">
        <v>1009543394</v>
      </c>
      <c r="C41" s="15" t="s">
        <v>126</v>
      </c>
      <c r="D41" s="16" t="s">
        <v>64</v>
      </c>
      <c r="E41" s="17" t="s">
        <v>33</v>
      </c>
      <c r="F41" s="18" t="s">
        <v>34</v>
      </c>
      <c r="G41" s="19" t="n">
        <v>775079106933</v>
      </c>
      <c r="H41" s="17" t="s">
        <v>134</v>
      </c>
      <c r="I41" s="17" t="s">
        <v>69</v>
      </c>
      <c r="J41" s="17" t="s">
        <v>106</v>
      </c>
      <c r="K41" s="17" t="str">
        <f aca="false">VLOOKUP(J41,Sheet2!A:B,2,0)</f>
        <v>PRAKASH CHAVDA</v>
      </c>
      <c r="L41" s="17" t="n">
        <v>5</v>
      </c>
      <c r="M41" s="17" t="str">
        <f aca="false">VLOOKUP(L41,Sheet2!D:E,2,0)</f>
        <v>Main Processor CPU BGA</v>
      </c>
      <c r="N41" s="17" t="n">
        <v>24</v>
      </c>
      <c r="O41" s="17" t="str">
        <f aca="false">VLOOKUP(N41,Sheet2!G:H,2,0)</f>
        <v>STB Auto moving -Stand by mode</v>
      </c>
      <c r="P41" s="17" t="n">
        <v>12</v>
      </c>
      <c r="Q41" s="17" t="str">
        <f aca="false">VLOOKUP(P41,Sheet2!J:K,2,0)</f>
        <v>IR Declared due to Others ( IR Normal)TB</v>
      </c>
      <c r="R41" s="17" t="s">
        <v>35</v>
      </c>
      <c r="S41" s="17" t="str">
        <f aca="false">VLOOKUP(R41,Sheet2!N:O,2,0)</f>
        <v>IREPARABLE</v>
      </c>
      <c r="T41" s="18" t="str">
        <f aca="false">VLOOKUP(P41,Sheet2!Q:R,2,0)</f>
        <v>IR Normal - BER to IR</v>
      </c>
      <c r="U41" s="20" t="s">
        <v>135</v>
      </c>
      <c r="V41" s="17" t="n">
        <v>12</v>
      </c>
      <c r="W41" s="20" t="str">
        <f aca="false">VLOOKUP(V41,Sheet2!Q:R,2,0)</f>
        <v>IR Normal - BER to IR</v>
      </c>
      <c r="X41" s="17" t="str">
        <f aca="false">J41</f>
        <v>A018</v>
      </c>
      <c r="Y41" s="17" t="str">
        <f aca="false">VLOOKUP(X41,Sheet2!A:B,2,0)</f>
        <v>PRAKASH CHAVDA</v>
      </c>
      <c r="Z41" s="17" t="s">
        <v>136</v>
      </c>
      <c r="AA41" s="17" t="s">
        <v>40</v>
      </c>
      <c r="AB41" s="17" t="s">
        <v>41</v>
      </c>
      <c r="AC41" s="0" t="str">
        <f aca="false">LEFT(G41,2)</f>
        <v>77</v>
      </c>
      <c r="AD41" s="0"/>
      <c r="AE41" s="21" t="s">
        <v>42</v>
      </c>
    </row>
    <row r="42" customFormat="false" ht="15" hidden="false" customHeight="false" outlineLevel="0" collapsed="false">
      <c r="A42" s="13" t="n">
        <f aca="false">1+A41</f>
        <v>40</v>
      </c>
      <c r="B42" s="17" t="n">
        <v>1009595780</v>
      </c>
      <c r="C42" s="17" t="s">
        <v>80</v>
      </c>
      <c r="D42" s="17" t="s">
        <v>137</v>
      </c>
      <c r="E42" s="17" t="s">
        <v>47</v>
      </c>
      <c r="F42" s="18" t="s">
        <v>34</v>
      </c>
      <c r="G42" s="19" t="n">
        <v>134211199721</v>
      </c>
      <c r="H42" s="17" t="s">
        <v>134</v>
      </c>
      <c r="I42" s="17" t="s">
        <v>44</v>
      </c>
      <c r="J42" s="17" t="s">
        <v>106</v>
      </c>
      <c r="K42" s="17" t="str">
        <f aca="false">VLOOKUP(J42,Sheet2!A:B,2,0)</f>
        <v>PRAKASH CHAVDA</v>
      </c>
      <c r="L42" s="17" t="n">
        <v>5</v>
      </c>
      <c r="M42" s="17" t="str">
        <f aca="false">VLOOKUP(L42,Sheet2!D:E,2,0)</f>
        <v>Main Processor CPU BGA</v>
      </c>
      <c r="N42" s="17" t="n">
        <v>1</v>
      </c>
      <c r="O42" s="17" t="str">
        <f aca="false">VLOOKUP(N42,Sheet2!G:H,2,0)</f>
        <v>Dead</v>
      </c>
      <c r="P42" s="17" t="n">
        <v>12</v>
      </c>
      <c r="Q42" s="17" t="str">
        <f aca="false">VLOOKUP(P42,Sheet2!J:K,2,0)</f>
        <v>IR Declared due to Others ( IR Normal)TB</v>
      </c>
      <c r="R42" s="17" t="s">
        <v>35</v>
      </c>
      <c r="S42" s="17" t="str">
        <f aca="false">VLOOKUP(R42,Sheet2!N:O,2,0)</f>
        <v>IREPARABLE</v>
      </c>
      <c r="T42" s="18" t="str">
        <f aca="false">VLOOKUP(P42,Sheet2!Q:R,2,0)</f>
        <v>IR Normal - BER to IR</v>
      </c>
      <c r="U42" s="20" t="s">
        <v>135</v>
      </c>
      <c r="V42" s="17" t="n">
        <v>12</v>
      </c>
      <c r="W42" s="20" t="str">
        <f aca="false">VLOOKUP(V42,Sheet2!Q:R,2,0)</f>
        <v>IR Normal - BER to IR</v>
      </c>
      <c r="X42" s="17" t="str">
        <f aca="false">J42</f>
        <v>A018</v>
      </c>
      <c r="Y42" s="17" t="str">
        <f aca="false">VLOOKUP(X42,Sheet2!A:B,2,0)</f>
        <v>PRAKASH CHAVDA</v>
      </c>
      <c r="Z42" s="17" t="s">
        <v>136</v>
      </c>
      <c r="AA42" s="17" t="s">
        <v>40</v>
      </c>
      <c r="AB42" s="17" t="s">
        <v>41</v>
      </c>
      <c r="AC42" s="0" t="str">
        <f aca="false">LEFT(G42,2)</f>
        <v>13</v>
      </c>
      <c r="AD42" s="0"/>
      <c r="AE42" s="21" t="s">
        <v>42</v>
      </c>
    </row>
    <row r="43" customFormat="false" ht="15" hidden="false" customHeight="false" outlineLevel="0" collapsed="false">
      <c r="A43" s="13" t="n">
        <f aca="false">1+A42</f>
        <v>41</v>
      </c>
      <c r="B43" s="17" t="n">
        <v>1009581146</v>
      </c>
      <c r="C43" s="17" t="s">
        <v>104</v>
      </c>
      <c r="D43" s="17" t="s">
        <v>32</v>
      </c>
      <c r="E43" s="17" t="s">
        <v>91</v>
      </c>
      <c r="F43" s="18" t="s">
        <v>92</v>
      </c>
      <c r="G43" s="19" t="n">
        <v>134114135715</v>
      </c>
      <c r="H43" s="17" t="s">
        <v>134</v>
      </c>
      <c r="I43" s="17" t="s">
        <v>44</v>
      </c>
      <c r="J43" s="17" t="s">
        <v>106</v>
      </c>
      <c r="K43" s="17" t="str">
        <f aca="false">VLOOKUP(J43,Sheet2!A:B,2,0)</f>
        <v>PRAKASH CHAVDA</v>
      </c>
      <c r="L43" s="17" t="n">
        <v>5</v>
      </c>
      <c r="M43" s="17" t="str">
        <f aca="false">VLOOKUP(L43,Sheet2!D:E,2,0)</f>
        <v>Main Processor CPU BGA</v>
      </c>
      <c r="N43" s="17" t="n">
        <v>1</v>
      </c>
      <c r="O43" s="17" t="str">
        <f aca="false">VLOOKUP(N43,Sheet2!G:H,2,0)</f>
        <v>Dead</v>
      </c>
      <c r="P43" s="17" t="n">
        <v>12</v>
      </c>
      <c r="Q43" s="17" t="str">
        <f aca="false">VLOOKUP(P43,Sheet2!J:K,2,0)</f>
        <v>IR Declared due to Others ( IR Normal)TB</v>
      </c>
      <c r="R43" s="17" t="s">
        <v>35</v>
      </c>
      <c r="S43" s="17" t="str">
        <f aca="false">VLOOKUP(R43,Sheet2!N:O,2,0)</f>
        <v>IREPARABLE</v>
      </c>
      <c r="T43" s="18" t="str">
        <f aca="false">VLOOKUP(P43,Sheet2!Q:R,2,0)</f>
        <v>IR Normal - BER to IR</v>
      </c>
      <c r="U43" s="20" t="s">
        <v>135</v>
      </c>
      <c r="V43" s="17" t="n">
        <v>12</v>
      </c>
      <c r="W43" s="20" t="str">
        <f aca="false">VLOOKUP(V43,Sheet2!Q:R,2,0)</f>
        <v>IR Normal - BER to IR</v>
      </c>
      <c r="X43" s="17" t="str">
        <f aca="false">J43</f>
        <v>A018</v>
      </c>
      <c r="Y43" s="17" t="str">
        <f aca="false">VLOOKUP(X43,Sheet2!A:B,2,0)</f>
        <v>PRAKASH CHAVDA</v>
      </c>
      <c r="Z43" s="17" t="s">
        <v>136</v>
      </c>
      <c r="AA43" s="17" t="s">
        <v>40</v>
      </c>
      <c r="AB43" s="17" t="s">
        <v>41</v>
      </c>
      <c r="AC43" s="0" t="str">
        <f aca="false">LEFT(G43,2)</f>
        <v>13</v>
      </c>
      <c r="AD43" s="0"/>
      <c r="AE43" s="21" t="s">
        <v>42</v>
      </c>
    </row>
    <row r="44" customFormat="false" ht="15" hidden="false" customHeight="false" outlineLevel="0" collapsed="false">
      <c r="A44" s="13" t="n">
        <f aca="false">1+A43</f>
        <v>42</v>
      </c>
      <c r="B44" s="17" t="n">
        <v>1009566772</v>
      </c>
      <c r="C44" s="17" t="s">
        <v>102</v>
      </c>
      <c r="D44" s="17" t="s">
        <v>138</v>
      </c>
      <c r="E44" s="17" t="s">
        <v>64</v>
      </c>
      <c r="F44" s="18" t="s">
        <v>70</v>
      </c>
      <c r="G44" s="19" t="n">
        <v>134127131685</v>
      </c>
      <c r="H44" s="17" t="s">
        <v>134</v>
      </c>
      <c r="I44" s="17" t="s">
        <v>44</v>
      </c>
      <c r="J44" s="17" t="s">
        <v>106</v>
      </c>
      <c r="K44" s="17" t="str">
        <f aca="false">VLOOKUP(J44,Sheet2!A:B,2,0)</f>
        <v>PRAKASH CHAVDA</v>
      </c>
      <c r="L44" s="17" t="n">
        <v>5</v>
      </c>
      <c r="M44" s="17" t="str">
        <f aca="false">VLOOKUP(L44,Sheet2!D:E,2,0)</f>
        <v>Main Processor CPU BGA</v>
      </c>
      <c r="N44" s="17" t="n">
        <v>24</v>
      </c>
      <c r="O44" s="17" t="str">
        <f aca="false">VLOOKUP(N44,Sheet2!G:H,2,0)</f>
        <v>STB Auto moving -Stand by mode</v>
      </c>
      <c r="P44" s="17" t="n">
        <v>12</v>
      </c>
      <c r="Q44" s="17" t="str">
        <f aca="false">VLOOKUP(P44,Sheet2!J:K,2,0)</f>
        <v>IR Declared due to Others ( IR Normal)TB</v>
      </c>
      <c r="R44" s="17" t="s">
        <v>35</v>
      </c>
      <c r="S44" s="17" t="str">
        <f aca="false">VLOOKUP(R44,Sheet2!N:O,2,0)</f>
        <v>IREPARABLE</v>
      </c>
      <c r="T44" s="18" t="str">
        <f aca="false">VLOOKUP(P44,Sheet2!Q:R,2,0)</f>
        <v>IR Normal - BER to IR</v>
      </c>
      <c r="U44" s="20" t="s">
        <v>135</v>
      </c>
      <c r="V44" s="17" t="n">
        <v>12</v>
      </c>
      <c r="W44" s="20" t="str">
        <f aca="false">VLOOKUP(V44,Sheet2!Q:R,2,0)</f>
        <v>IR Normal - BER to IR</v>
      </c>
      <c r="X44" s="17" t="str">
        <f aca="false">J44</f>
        <v>A018</v>
      </c>
      <c r="Y44" s="17" t="str">
        <f aca="false">VLOOKUP(X44,Sheet2!A:B,2,0)</f>
        <v>PRAKASH CHAVDA</v>
      </c>
      <c r="Z44" s="17" t="s">
        <v>136</v>
      </c>
      <c r="AA44" s="17" t="s">
        <v>40</v>
      </c>
      <c r="AB44" s="17" t="s">
        <v>41</v>
      </c>
      <c r="AC44" s="0" t="str">
        <f aca="false">LEFT(G44,2)</f>
        <v>13</v>
      </c>
      <c r="AD44" s="0"/>
      <c r="AE44" s="21" t="s">
        <v>42</v>
      </c>
    </row>
    <row r="45" customFormat="false" ht="15" hidden="false" customHeight="false" outlineLevel="0" collapsed="false">
      <c r="A45" s="13" t="n">
        <f aca="false">1+A44</f>
        <v>43</v>
      </c>
      <c r="B45" s="17" t="n">
        <v>1009565684</v>
      </c>
      <c r="C45" s="17" t="s">
        <v>102</v>
      </c>
      <c r="D45" s="17" t="s">
        <v>64</v>
      </c>
      <c r="E45" s="17" t="s">
        <v>33</v>
      </c>
      <c r="F45" s="18" t="s">
        <v>34</v>
      </c>
      <c r="G45" s="19" t="n">
        <v>134080077685</v>
      </c>
      <c r="H45" s="17" t="s">
        <v>134</v>
      </c>
      <c r="I45" s="17" t="s">
        <v>44</v>
      </c>
      <c r="J45" s="17" t="s">
        <v>106</v>
      </c>
      <c r="K45" s="17" t="str">
        <f aca="false">VLOOKUP(J45,Sheet2!A:B,2,0)</f>
        <v>PRAKASH CHAVDA</v>
      </c>
      <c r="L45" s="17" t="n">
        <v>5</v>
      </c>
      <c r="M45" s="17" t="str">
        <f aca="false">VLOOKUP(L45,Sheet2!D:E,2,0)</f>
        <v>Main Processor CPU BGA</v>
      </c>
      <c r="N45" s="17" t="n">
        <v>24</v>
      </c>
      <c r="O45" s="17" t="str">
        <f aca="false">VLOOKUP(N45,Sheet2!G:H,2,0)</f>
        <v>STB Auto moving -Stand by mode</v>
      </c>
      <c r="P45" s="17" t="n">
        <v>12</v>
      </c>
      <c r="Q45" s="17" t="str">
        <f aca="false">VLOOKUP(P45,Sheet2!J:K,2,0)</f>
        <v>IR Declared due to Others ( IR Normal)TB</v>
      </c>
      <c r="R45" s="17" t="s">
        <v>35</v>
      </c>
      <c r="S45" s="17" t="str">
        <f aca="false">VLOOKUP(R45,Sheet2!N:O,2,0)</f>
        <v>IREPARABLE</v>
      </c>
      <c r="T45" s="18" t="str">
        <f aca="false">VLOOKUP(P45,Sheet2!Q:R,2,0)</f>
        <v>IR Normal - BER to IR</v>
      </c>
      <c r="U45" s="20" t="s">
        <v>135</v>
      </c>
      <c r="V45" s="17" t="n">
        <v>12</v>
      </c>
      <c r="W45" s="20" t="str">
        <f aca="false">VLOOKUP(V45,Sheet2!Q:R,2,0)</f>
        <v>IR Normal - BER to IR</v>
      </c>
      <c r="X45" s="17" t="str">
        <f aca="false">J45</f>
        <v>A018</v>
      </c>
      <c r="Y45" s="17" t="str">
        <f aca="false">VLOOKUP(X45,Sheet2!A:B,2,0)</f>
        <v>PRAKASH CHAVDA</v>
      </c>
      <c r="Z45" s="17" t="s">
        <v>136</v>
      </c>
      <c r="AA45" s="17" t="s">
        <v>40</v>
      </c>
      <c r="AB45" s="17" t="s">
        <v>41</v>
      </c>
      <c r="AC45" s="0" t="str">
        <f aca="false">LEFT(G45,2)</f>
        <v>13</v>
      </c>
      <c r="AD45" s="0"/>
      <c r="AE45" s="21" t="s">
        <v>42</v>
      </c>
    </row>
    <row r="46" customFormat="false" ht="15" hidden="false" customHeight="false" outlineLevel="0" collapsed="false">
      <c r="A46" s="13" t="n">
        <f aca="false">1+A45</f>
        <v>44</v>
      </c>
      <c r="B46" s="17" t="n">
        <v>1009577093</v>
      </c>
      <c r="C46" s="17" t="s">
        <v>139</v>
      </c>
      <c r="D46" s="17" t="s">
        <v>140</v>
      </c>
      <c r="E46" s="17" t="s">
        <v>91</v>
      </c>
      <c r="F46" s="18" t="s">
        <v>92</v>
      </c>
      <c r="G46" s="19" t="n">
        <v>987096325764</v>
      </c>
      <c r="H46" s="17" t="s">
        <v>134</v>
      </c>
      <c r="I46" s="17" t="s">
        <v>44</v>
      </c>
      <c r="J46" s="17" t="s">
        <v>106</v>
      </c>
      <c r="K46" s="17" t="str">
        <f aca="false">VLOOKUP(J46,Sheet2!A:B,2,0)</f>
        <v>PRAKASH CHAVDA</v>
      </c>
      <c r="L46" s="17" t="n">
        <v>5</v>
      </c>
      <c r="M46" s="17" t="str">
        <f aca="false">VLOOKUP(L46,Sheet2!D:E,2,0)</f>
        <v>Main Processor CPU BGA</v>
      </c>
      <c r="N46" s="17" t="n">
        <v>1</v>
      </c>
      <c r="O46" s="17" t="str">
        <f aca="false">VLOOKUP(N46,Sheet2!G:H,2,0)</f>
        <v>Dead</v>
      </c>
      <c r="P46" s="17" t="n">
        <v>12</v>
      </c>
      <c r="Q46" s="17" t="str">
        <f aca="false">VLOOKUP(P46,Sheet2!J:K,2,0)</f>
        <v>IR Declared due to Others ( IR Normal)TB</v>
      </c>
      <c r="R46" s="17" t="s">
        <v>35</v>
      </c>
      <c r="S46" s="17" t="str">
        <f aca="false">VLOOKUP(R46,Sheet2!N:O,2,0)</f>
        <v>IREPARABLE</v>
      </c>
      <c r="T46" s="18" t="str">
        <f aca="false">VLOOKUP(P46,Sheet2!Q:R,2,0)</f>
        <v>IR Normal - BER to IR</v>
      </c>
      <c r="U46" s="20" t="s">
        <v>135</v>
      </c>
      <c r="V46" s="17" t="n">
        <v>12</v>
      </c>
      <c r="W46" s="20" t="str">
        <f aca="false">VLOOKUP(V46,Sheet2!Q:R,2,0)</f>
        <v>IR Normal - BER to IR</v>
      </c>
      <c r="X46" s="17" t="str">
        <f aca="false">J46</f>
        <v>A018</v>
      </c>
      <c r="Y46" s="17" t="str">
        <f aca="false">VLOOKUP(X46,Sheet2!A:B,2,0)</f>
        <v>PRAKASH CHAVDA</v>
      </c>
      <c r="Z46" s="17" t="s">
        <v>141</v>
      </c>
      <c r="AA46" s="17" t="s">
        <v>40</v>
      </c>
      <c r="AB46" s="17" t="s">
        <v>41</v>
      </c>
      <c r="AC46" s="0" t="str">
        <f aca="false">LEFT(G46,2)</f>
        <v>98</v>
      </c>
      <c r="AD46" s="0"/>
      <c r="AE46" s="21" t="s">
        <v>42</v>
      </c>
    </row>
    <row r="47" customFormat="false" ht="15" hidden="false" customHeight="false" outlineLevel="0" collapsed="false">
      <c r="A47" s="13" t="n">
        <f aca="false">1+A46</f>
        <v>45</v>
      </c>
      <c r="B47" s="17" t="n">
        <v>1009581866</v>
      </c>
      <c r="C47" s="17" t="s">
        <v>139</v>
      </c>
      <c r="D47" s="17" t="s">
        <v>64</v>
      </c>
      <c r="E47" s="17" t="s">
        <v>47</v>
      </c>
      <c r="F47" s="18" t="s">
        <v>34</v>
      </c>
      <c r="G47" s="19" t="n">
        <v>985303231189</v>
      </c>
      <c r="H47" s="17" t="s">
        <v>134</v>
      </c>
      <c r="I47" s="17" t="s">
        <v>44</v>
      </c>
      <c r="J47" s="17" t="s">
        <v>106</v>
      </c>
      <c r="K47" s="17" t="str">
        <f aca="false">VLOOKUP(J47,Sheet2!A:B,2,0)</f>
        <v>PRAKASH CHAVDA</v>
      </c>
      <c r="L47" s="17" t="n">
        <v>5</v>
      </c>
      <c r="M47" s="17" t="str">
        <f aca="false">VLOOKUP(L47,Sheet2!D:E,2,0)</f>
        <v>Main Processor CPU BGA</v>
      </c>
      <c r="N47" s="17" t="n">
        <v>1</v>
      </c>
      <c r="O47" s="17" t="str">
        <f aca="false">VLOOKUP(N47,Sheet2!G:H,2,0)</f>
        <v>Dead</v>
      </c>
      <c r="P47" s="17" t="n">
        <v>12</v>
      </c>
      <c r="Q47" s="17" t="str">
        <f aca="false">VLOOKUP(P47,Sheet2!J:K,2,0)</f>
        <v>IR Declared due to Others ( IR Normal)TB</v>
      </c>
      <c r="R47" s="17" t="s">
        <v>35</v>
      </c>
      <c r="S47" s="17" t="str">
        <f aca="false">VLOOKUP(R47,Sheet2!N:O,2,0)</f>
        <v>IREPARABLE</v>
      </c>
      <c r="T47" s="18" t="str">
        <f aca="false">VLOOKUP(P47,Sheet2!Q:R,2,0)</f>
        <v>IR Normal - BER to IR</v>
      </c>
      <c r="U47" s="20" t="s">
        <v>135</v>
      </c>
      <c r="V47" s="17" t="n">
        <v>12</v>
      </c>
      <c r="W47" s="20" t="str">
        <f aca="false">VLOOKUP(V47,Sheet2!Q:R,2,0)</f>
        <v>IR Normal - BER to IR</v>
      </c>
      <c r="X47" s="17" t="str">
        <f aca="false">J47</f>
        <v>A018</v>
      </c>
      <c r="Y47" s="17" t="str">
        <f aca="false">VLOOKUP(X47,Sheet2!A:B,2,0)</f>
        <v>PRAKASH CHAVDA</v>
      </c>
      <c r="Z47" s="17" t="s">
        <v>141</v>
      </c>
      <c r="AA47" s="17" t="s">
        <v>40</v>
      </c>
      <c r="AB47" s="17" t="s">
        <v>41</v>
      </c>
      <c r="AC47" s="0" t="str">
        <f aca="false">LEFT(G47,2)</f>
        <v>98</v>
      </c>
      <c r="AD47" s="0"/>
      <c r="AE47" s="21" t="s">
        <v>42</v>
      </c>
    </row>
    <row r="48" customFormat="false" ht="15" hidden="false" customHeight="false" outlineLevel="0" collapsed="false">
      <c r="A48" s="13" t="n">
        <f aca="false">1+A47</f>
        <v>46</v>
      </c>
      <c r="B48" s="17" t="n">
        <v>1009581905</v>
      </c>
      <c r="C48" s="17" t="s">
        <v>139</v>
      </c>
      <c r="D48" s="17" t="s">
        <v>86</v>
      </c>
      <c r="E48" s="17" t="s">
        <v>47</v>
      </c>
      <c r="F48" s="18" t="s">
        <v>34</v>
      </c>
      <c r="G48" s="19" t="n">
        <v>987256115328</v>
      </c>
      <c r="H48" s="17" t="s">
        <v>134</v>
      </c>
      <c r="I48" s="17" t="s">
        <v>44</v>
      </c>
      <c r="J48" s="17" t="s">
        <v>106</v>
      </c>
      <c r="K48" s="17" t="str">
        <f aca="false">VLOOKUP(J48,Sheet2!A:B,2,0)</f>
        <v>PRAKASH CHAVDA</v>
      </c>
      <c r="L48" s="17" t="n">
        <v>5</v>
      </c>
      <c r="M48" s="17" t="str">
        <f aca="false">VLOOKUP(L48,Sheet2!D:E,2,0)</f>
        <v>Main Processor CPU BGA</v>
      </c>
      <c r="N48" s="17" t="n">
        <v>24</v>
      </c>
      <c r="O48" s="17" t="str">
        <f aca="false">VLOOKUP(N48,Sheet2!G:H,2,0)</f>
        <v>STB Auto moving -Stand by mode</v>
      </c>
      <c r="P48" s="17" t="n">
        <v>12</v>
      </c>
      <c r="Q48" s="17" t="str">
        <f aca="false">VLOOKUP(P48,Sheet2!J:K,2,0)</f>
        <v>IR Declared due to Others ( IR Normal)TB</v>
      </c>
      <c r="R48" s="17" t="s">
        <v>35</v>
      </c>
      <c r="S48" s="17" t="str">
        <f aca="false">VLOOKUP(R48,Sheet2!N:O,2,0)</f>
        <v>IREPARABLE</v>
      </c>
      <c r="T48" s="18" t="str">
        <f aca="false">VLOOKUP(P48,Sheet2!Q:R,2,0)</f>
        <v>IR Normal - BER to IR</v>
      </c>
      <c r="U48" s="20" t="s">
        <v>135</v>
      </c>
      <c r="V48" s="17" t="n">
        <v>12</v>
      </c>
      <c r="W48" s="20" t="str">
        <f aca="false">VLOOKUP(V48,Sheet2!Q:R,2,0)</f>
        <v>IR Normal - BER to IR</v>
      </c>
      <c r="X48" s="17" t="str">
        <f aca="false">J48</f>
        <v>A018</v>
      </c>
      <c r="Y48" s="17" t="str">
        <f aca="false">VLOOKUP(X48,Sheet2!A:B,2,0)</f>
        <v>PRAKASH CHAVDA</v>
      </c>
      <c r="Z48" s="17" t="s">
        <v>141</v>
      </c>
      <c r="AA48" s="17" t="s">
        <v>40</v>
      </c>
      <c r="AB48" s="17" t="s">
        <v>41</v>
      </c>
      <c r="AC48" s="0" t="str">
        <f aca="false">LEFT(G48,2)</f>
        <v>98</v>
      </c>
      <c r="AD48" s="0"/>
      <c r="AE48" s="21" t="s">
        <v>42</v>
      </c>
    </row>
    <row r="49" customFormat="false" ht="15" hidden="false" customHeight="false" outlineLevel="0" collapsed="false">
      <c r="A49" s="13" t="n">
        <f aca="false">1+A48</f>
        <v>47</v>
      </c>
      <c r="B49" s="17" t="n">
        <v>1009581803</v>
      </c>
      <c r="C49" s="17" t="s">
        <v>139</v>
      </c>
      <c r="D49" s="17" t="s">
        <v>142</v>
      </c>
      <c r="E49" s="17" t="s">
        <v>47</v>
      </c>
      <c r="F49" s="18" t="s">
        <v>34</v>
      </c>
      <c r="G49" s="19" t="n">
        <v>985349207938</v>
      </c>
      <c r="H49" s="17" t="s">
        <v>134</v>
      </c>
      <c r="I49" s="17" t="s">
        <v>44</v>
      </c>
      <c r="J49" s="17" t="s">
        <v>106</v>
      </c>
      <c r="K49" s="17" t="str">
        <f aca="false">VLOOKUP(J49,Sheet2!A:B,2,0)</f>
        <v>PRAKASH CHAVDA</v>
      </c>
      <c r="L49" s="17" t="n">
        <v>5</v>
      </c>
      <c r="M49" s="17" t="str">
        <f aca="false">VLOOKUP(L49,Sheet2!D:E,2,0)</f>
        <v>Main Processor CPU BGA</v>
      </c>
      <c r="N49" s="17" t="n">
        <v>24</v>
      </c>
      <c r="O49" s="17" t="str">
        <f aca="false">VLOOKUP(N49,Sheet2!G:H,2,0)</f>
        <v>STB Auto moving -Stand by mode</v>
      </c>
      <c r="P49" s="17" t="n">
        <v>12</v>
      </c>
      <c r="Q49" s="17" t="str">
        <f aca="false">VLOOKUP(P49,Sheet2!J:K,2,0)</f>
        <v>IR Declared due to Others ( IR Normal)TB</v>
      </c>
      <c r="R49" s="17" t="s">
        <v>35</v>
      </c>
      <c r="S49" s="17" t="str">
        <f aca="false">VLOOKUP(R49,Sheet2!N:O,2,0)</f>
        <v>IREPARABLE</v>
      </c>
      <c r="T49" s="18" t="str">
        <f aca="false">VLOOKUP(P49,Sheet2!Q:R,2,0)</f>
        <v>IR Normal - BER to IR</v>
      </c>
      <c r="U49" s="20" t="s">
        <v>135</v>
      </c>
      <c r="V49" s="17" t="n">
        <v>12</v>
      </c>
      <c r="W49" s="20" t="str">
        <f aca="false">VLOOKUP(V49,Sheet2!Q:R,2,0)</f>
        <v>IR Normal - BER to IR</v>
      </c>
      <c r="X49" s="17" t="str">
        <f aca="false">J49</f>
        <v>A018</v>
      </c>
      <c r="Y49" s="17" t="str">
        <f aca="false">VLOOKUP(X49,Sheet2!A:B,2,0)</f>
        <v>PRAKASH CHAVDA</v>
      </c>
      <c r="Z49" s="17" t="s">
        <v>141</v>
      </c>
      <c r="AA49" s="17" t="s">
        <v>40</v>
      </c>
      <c r="AB49" s="17" t="s">
        <v>41</v>
      </c>
      <c r="AC49" s="0" t="str">
        <f aca="false">LEFT(G49,2)</f>
        <v>98</v>
      </c>
      <c r="AD49" s="0"/>
      <c r="AE49" s="21" t="s">
        <v>42</v>
      </c>
    </row>
    <row r="50" customFormat="false" ht="15" hidden="false" customHeight="false" outlineLevel="0" collapsed="false">
      <c r="A50" s="13" t="n">
        <f aca="false">1+A49</f>
        <v>48</v>
      </c>
      <c r="B50" s="17" t="n">
        <v>1009584554</v>
      </c>
      <c r="C50" s="17" t="s">
        <v>139</v>
      </c>
      <c r="D50" s="17" t="s">
        <v>143</v>
      </c>
      <c r="E50" s="17" t="s">
        <v>47</v>
      </c>
      <c r="F50" s="18" t="s">
        <v>34</v>
      </c>
      <c r="G50" s="19" t="n">
        <v>987220355331</v>
      </c>
      <c r="H50" s="17" t="s">
        <v>134</v>
      </c>
      <c r="I50" s="17" t="s">
        <v>44</v>
      </c>
      <c r="J50" s="17" t="s">
        <v>106</v>
      </c>
      <c r="K50" s="17" t="str">
        <f aca="false">VLOOKUP(J50,Sheet2!A:B,2,0)</f>
        <v>PRAKASH CHAVDA</v>
      </c>
      <c r="L50" s="17" t="n">
        <v>5</v>
      </c>
      <c r="M50" s="17" t="str">
        <f aca="false">VLOOKUP(L50,Sheet2!D:E,2,0)</f>
        <v>Main Processor CPU BGA</v>
      </c>
      <c r="N50" s="17" t="n">
        <v>1</v>
      </c>
      <c r="O50" s="17" t="str">
        <f aca="false">VLOOKUP(N50,Sheet2!G:H,2,0)</f>
        <v>Dead</v>
      </c>
      <c r="P50" s="17" t="n">
        <v>12</v>
      </c>
      <c r="Q50" s="17" t="str">
        <f aca="false">VLOOKUP(P50,Sheet2!J:K,2,0)</f>
        <v>IR Declared due to Others ( IR Normal)TB</v>
      </c>
      <c r="R50" s="17" t="s">
        <v>35</v>
      </c>
      <c r="S50" s="17" t="str">
        <f aca="false">VLOOKUP(R50,Sheet2!N:O,2,0)</f>
        <v>IREPARABLE</v>
      </c>
      <c r="T50" s="18" t="str">
        <f aca="false">VLOOKUP(P50,Sheet2!Q:R,2,0)</f>
        <v>IR Normal - BER to IR</v>
      </c>
      <c r="U50" s="20" t="s">
        <v>135</v>
      </c>
      <c r="V50" s="17" t="n">
        <v>12</v>
      </c>
      <c r="W50" s="20" t="str">
        <f aca="false">VLOOKUP(V50,Sheet2!Q:R,2,0)</f>
        <v>IR Normal - BER to IR</v>
      </c>
      <c r="X50" s="17" t="str">
        <f aca="false">J50</f>
        <v>A018</v>
      </c>
      <c r="Y50" s="17" t="str">
        <f aca="false">VLOOKUP(X50,Sheet2!A:B,2,0)</f>
        <v>PRAKASH CHAVDA</v>
      </c>
      <c r="Z50" s="17" t="s">
        <v>141</v>
      </c>
      <c r="AA50" s="17" t="s">
        <v>40</v>
      </c>
      <c r="AB50" s="17" t="s">
        <v>41</v>
      </c>
      <c r="AC50" s="0" t="str">
        <f aca="false">LEFT(G50,2)</f>
        <v>98</v>
      </c>
      <c r="AD50" s="0"/>
      <c r="AE50" s="21" t="s">
        <v>42</v>
      </c>
    </row>
    <row r="51" customFormat="false" ht="15" hidden="false" customHeight="false" outlineLevel="0" collapsed="false">
      <c r="A51" s="13" t="n">
        <f aca="false">1+A50</f>
        <v>49</v>
      </c>
      <c r="B51" s="17" t="n">
        <v>1009577308</v>
      </c>
      <c r="C51" s="17" t="s">
        <v>139</v>
      </c>
      <c r="D51" s="17" t="s">
        <v>144</v>
      </c>
      <c r="E51" s="17" t="s">
        <v>33</v>
      </c>
      <c r="F51" s="18" t="s">
        <v>34</v>
      </c>
      <c r="G51" s="19" t="n">
        <v>985353276100</v>
      </c>
      <c r="H51" s="17" t="s">
        <v>134</v>
      </c>
      <c r="I51" s="17" t="s">
        <v>44</v>
      </c>
      <c r="J51" s="17" t="s">
        <v>106</v>
      </c>
      <c r="K51" s="17" t="str">
        <f aca="false">VLOOKUP(J51,Sheet2!A:B,2,0)</f>
        <v>PRAKASH CHAVDA</v>
      </c>
      <c r="L51" s="17" t="n">
        <v>5</v>
      </c>
      <c r="M51" s="17" t="str">
        <f aca="false">VLOOKUP(L51,Sheet2!D:E,2,0)</f>
        <v>Main Processor CPU BGA</v>
      </c>
      <c r="N51" s="17" t="n">
        <v>1</v>
      </c>
      <c r="O51" s="17" t="str">
        <f aca="false">VLOOKUP(N51,Sheet2!G:H,2,0)</f>
        <v>Dead</v>
      </c>
      <c r="P51" s="17" t="n">
        <v>12</v>
      </c>
      <c r="Q51" s="17" t="str">
        <f aca="false">VLOOKUP(P51,Sheet2!J:K,2,0)</f>
        <v>IR Declared due to Others ( IR Normal)TB</v>
      </c>
      <c r="R51" s="17" t="s">
        <v>35</v>
      </c>
      <c r="S51" s="17" t="str">
        <f aca="false">VLOOKUP(R51,Sheet2!N:O,2,0)</f>
        <v>IREPARABLE</v>
      </c>
      <c r="T51" s="18" t="str">
        <f aca="false">VLOOKUP(P51,Sheet2!Q:R,2,0)</f>
        <v>IR Normal - BER to IR</v>
      </c>
      <c r="U51" s="20" t="s">
        <v>135</v>
      </c>
      <c r="V51" s="17" t="n">
        <v>12</v>
      </c>
      <c r="W51" s="20" t="str">
        <f aca="false">VLOOKUP(V51,Sheet2!Q:R,2,0)</f>
        <v>IR Normal - BER to IR</v>
      </c>
      <c r="X51" s="17" t="str">
        <f aca="false">J51</f>
        <v>A018</v>
      </c>
      <c r="Y51" s="17" t="str">
        <f aca="false">VLOOKUP(X51,Sheet2!A:B,2,0)</f>
        <v>PRAKASH CHAVDA</v>
      </c>
      <c r="Z51" s="17" t="s">
        <v>141</v>
      </c>
      <c r="AA51" s="17" t="s">
        <v>40</v>
      </c>
      <c r="AB51" s="17" t="s">
        <v>41</v>
      </c>
      <c r="AC51" s="0" t="str">
        <f aca="false">LEFT(G51,2)</f>
        <v>98</v>
      </c>
      <c r="AD51" s="0"/>
      <c r="AE51" s="21" t="s">
        <v>42</v>
      </c>
    </row>
    <row r="52" customFormat="false" ht="15" hidden="false" customHeight="false" outlineLevel="0" collapsed="false">
      <c r="A52" s="13" t="n">
        <f aca="false">1+A51</f>
        <v>50</v>
      </c>
      <c r="B52" s="17" t="n">
        <v>1009580350</v>
      </c>
      <c r="C52" s="17" t="s">
        <v>104</v>
      </c>
      <c r="D52" s="17" t="s">
        <v>32</v>
      </c>
      <c r="E52" s="17" t="s">
        <v>47</v>
      </c>
      <c r="F52" s="18" t="s">
        <v>34</v>
      </c>
      <c r="G52" s="19" t="n">
        <v>987107159848</v>
      </c>
      <c r="H52" s="17" t="s">
        <v>134</v>
      </c>
      <c r="I52" s="17" t="s">
        <v>44</v>
      </c>
      <c r="J52" s="17" t="s">
        <v>106</v>
      </c>
      <c r="K52" s="17" t="str">
        <f aca="false">VLOOKUP(J52,Sheet2!A:B,2,0)</f>
        <v>PRAKASH CHAVDA</v>
      </c>
      <c r="L52" s="17" t="n">
        <v>5</v>
      </c>
      <c r="M52" s="17" t="str">
        <f aca="false">VLOOKUP(L52,Sheet2!D:E,2,0)</f>
        <v>Main Processor CPU BGA</v>
      </c>
      <c r="N52" s="17" t="n">
        <v>1</v>
      </c>
      <c r="O52" s="17" t="str">
        <f aca="false">VLOOKUP(N52,Sheet2!G:H,2,0)</f>
        <v>Dead</v>
      </c>
      <c r="P52" s="17" t="n">
        <v>12</v>
      </c>
      <c r="Q52" s="17" t="str">
        <f aca="false">VLOOKUP(P52,Sheet2!J:K,2,0)</f>
        <v>IR Declared due to Others ( IR Normal)TB</v>
      </c>
      <c r="R52" s="17" t="s">
        <v>35</v>
      </c>
      <c r="S52" s="17" t="str">
        <f aca="false">VLOOKUP(R52,Sheet2!N:O,2,0)</f>
        <v>IREPARABLE</v>
      </c>
      <c r="T52" s="18" t="str">
        <f aca="false">VLOOKUP(P52,Sheet2!Q:R,2,0)</f>
        <v>IR Normal - BER to IR</v>
      </c>
      <c r="U52" s="20" t="s">
        <v>135</v>
      </c>
      <c r="V52" s="17" t="n">
        <v>12</v>
      </c>
      <c r="W52" s="20" t="str">
        <f aca="false">VLOOKUP(V52,Sheet2!Q:R,2,0)</f>
        <v>IR Normal - BER to IR</v>
      </c>
      <c r="X52" s="17" t="str">
        <f aca="false">J52</f>
        <v>A018</v>
      </c>
      <c r="Y52" s="17" t="str">
        <f aca="false">VLOOKUP(X52,Sheet2!A:B,2,0)</f>
        <v>PRAKASH CHAVDA</v>
      </c>
      <c r="Z52" s="17" t="s">
        <v>141</v>
      </c>
      <c r="AA52" s="17" t="s">
        <v>40</v>
      </c>
      <c r="AB52" s="17" t="s">
        <v>41</v>
      </c>
      <c r="AC52" s="0" t="str">
        <f aca="false">LEFT(G52,2)</f>
        <v>98</v>
      </c>
      <c r="AD52" s="0"/>
      <c r="AE52" s="21" t="s">
        <v>42</v>
      </c>
    </row>
    <row r="53" customFormat="false" ht="15" hidden="false" customHeight="false" outlineLevel="0" collapsed="false">
      <c r="A53" s="13" t="n">
        <f aca="false">1+A52</f>
        <v>51</v>
      </c>
      <c r="B53" s="17" t="n">
        <v>1009574314</v>
      </c>
      <c r="C53" s="17" t="s">
        <v>104</v>
      </c>
      <c r="D53" s="17" t="s">
        <v>64</v>
      </c>
      <c r="E53" s="17" t="s">
        <v>47</v>
      </c>
      <c r="F53" s="18" t="s">
        <v>34</v>
      </c>
      <c r="G53" s="19" t="n">
        <v>985347218879</v>
      </c>
      <c r="H53" s="17" t="s">
        <v>134</v>
      </c>
      <c r="I53" s="17" t="s">
        <v>44</v>
      </c>
      <c r="J53" s="17" t="s">
        <v>106</v>
      </c>
      <c r="K53" s="17" t="str">
        <f aca="false">VLOOKUP(J53,Sheet2!A:B,2,0)</f>
        <v>PRAKASH CHAVDA</v>
      </c>
      <c r="L53" s="17" t="n">
        <v>5</v>
      </c>
      <c r="M53" s="17" t="str">
        <f aca="false">VLOOKUP(L53,Sheet2!D:E,2,0)</f>
        <v>Main Processor CPU BGA</v>
      </c>
      <c r="N53" s="17" t="n">
        <v>24</v>
      </c>
      <c r="O53" s="17" t="str">
        <f aca="false">VLOOKUP(N53,Sheet2!G:H,2,0)</f>
        <v>STB Auto moving -Stand by mode</v>
      </c>
      <c r="P53" s="17" t="n">
        <v>12</v>
      </c>
      <c r="Q53" s="17" t="str">
        <f aca="false">VLOOKUP(P53,Sheet2!J:K,2,0)</f>
        <v>IR Declared due to Others ( IR Normal)TB</v>
      </c>
      <c r="R53" s="17" t="s">
        <v>35</v>
      </c>
      <c r="S53" s="17" t="str">
        <f aca="false">VLOOKUP(R53,Sheet2!N:O,2,0)</f>
        <v>IREPARABLE</v>
      </c>
      <c r="T53" s="18" t="str">
        <f aca="false">VLOOKUP(P53,Sheet2!Q:R,2,0)</f>
        <v>IR Normal - BER to IR</v>
      </c>
      <c r="U53" s="20" t="s">
        <v>135</v>
      </c>
      <c r="V53" s="17" t="n">
        <v>12</v>
      </c>
      <c r="W53" s="20" t="str">
        <f aca="false">VLOOKUP(V53,Sheet2!Q:R,2,0)</f>
        <v>IR Normal - BER to IR</v>
      </c>
      <c r="X53" s="17" t="str">
        <f aca="false">J53</f>
        <v>A018</v>
      </c>
      <c r="Y53" s="17" t="str">
        <f aca="false">VLOOKUP(X53,Sheet2!A:B,2,0)</f>
        <v>PRAKASH CHAVDA</v>
      </c>
      <c r="Z53" s="17" t="s">
        <v>141</v>
      </c>
      <c r="AA53" s="17" t="s">
        <v>40</v>
      </c>
      <c r="AB53" s="17" t="s">
        <v>41</v>
      </c>
      <c r="AC53" s="0" t="str">
        <f aca="false">LEFT(G53,2)</f>
        <v>98</v>
      </c>
      <c r="AD53" s="0"/>
      <c r="AE53" s="21" t="s">
        <v>42</v>
      </c>
    </row>
    <row r="54" customFormat="false" ht="15" hidden="false" customHeight="false" outlineLevel="0" collapsed="false">
      <c r="A54" s="13" t="n">
        <f aca="false">1+A53</f>
        <v>52</v>
      </c>
      <c r="B54" s="17" t="n">
        <v>1009584658</v>
      </c>
      <c r="C54" s="17" t="s">
        <v>139</v>
      </c>
      <c r="D54" s="17" t="s">
        <v>143</v>
      </c>
      <c r="E54" s="17" t="s">
        <v>91</v>
      </c>
      <c r="F54" s="18" t="s">
        <v>92</v>
      </c>
      <c r="G54" s="19" t="n">
        <v>986253213516</v>
      </c>
      <c r="H54" s="17" t="s">
        <v>134</v>
      </c>
      <c r="I54" s="17" t="s">
        <v>44</v>
      </c>
      <c r="J54" s="17" t="s">
        <v>106</v>
      </c>
      <c r="K54" s="17" t="str">
        <f aca="false">VLOOKUP(J54,Sheet2!A:B,2,0)</f>
        <v>PRAKASH CHAVDA</v>
      </c>
      <c r="L54" s="17" t="n">
        <v>5</v>
      </c>
      <c r="M54" s="17" t="str">
        <f aca="false">VLOOKUP(L54,Sheet2!D:E,2,0)</f>
        <v>Main Processor CPU BGA</v>
      </c>
      <c r="N54" s="17" t="n">
        <v>1</v>
      </c>
      <c r="O54" s="17" t="str">
        <f aca="false">VLOOKUP(N54,Sheet2!G:H,2,0)</f>
        <v>Dead</v>
      </c>
      <c r="P54" s="17" t="n">
        <v>12</v>
      </c>
      <c r="Q54" s="17" t="str">
        <f aca="false">VLOOKUP(P54,Sheet2!J:K,2,0)</f>
        <v>IR Declared due to Others ( IR Normal)TB</v>
      </c>
      <c r="R54" s="17" t="s">
        <v>35</v>
      </c>
      <c r="S54" s="17" t="str">
        <f aca="false">VLOOKUP(R54,Sheet2!N:O,2,0)</f>
        <v>IREPARABLE</v>
      </c>
      <c r="T54" s="18" t="str">
        <f aca="false">VLOOKUP(P54,Sheet2!Q:R,2,0)</f>
        <v>IR Normal - BER to IR</v>
      </c>
      <c r="U54" s="20" t="s">
        <v>135</v>
      </c>
      <c r="V54" s="17" t="n">
        <v>12</v>
      </c>
      <c r="W54" s="20" t="str">
        <f aca="false">VLOOKUP(V54,Sheet2!Q:R,2,0)</f>
        <v>IR Normal - BER to IR</v>
      </c>
      <c r="X54" s="17" t="str">
        <f aca="false">J54</f>
        <v>A018</v>
      </c>
      <c r="Y54" s="17" t="str">
        <f aca="false">VLOOKUP(X54,Sheet2!A:B,2,0)</f>
        <v>PRAKASH CHAVDA</v>
      </c>
      <c r="Z54" s="17" t="s">
        <v>141</v>
      </c>
      <c r="AA54" s="17" t="s">
        <v>40</v>
      </c>
      <c r="AB54" s="17" t="s">
        <v>41</v>
      </c>
      <c r="AC54" s="0" t="str">
        <f aca="false">LEFT(G54,2)</f>
        <v>98</v>
      </c>
      <c r="AD54" s="0"/>
      <c r="AE54" s="21" t="s">
        <v>42</v>
      </c>
    </row>
    <row r="55" customFormat="false" ht="15" hidden="false" customHeight="false" outlineLevel="0" collapsed="false">
      <c r="A55" s="13" t="n">
        <f aca="false">1+A54</f>
        <v>53</v>
      </c>
      <c r="B55" s="17" t="n">
        <v>1009580359</v>
      </c>
      <c r="C55" s="17" t="s">
        <v>104</v>
      </c>
      <c r="D55" s="17" t="s">
        <v>64</v>
      </c>
      <c r="E55" s="17" t="s">
        <v>64</v>
      </c>
      <c r="F55" s="18" t="s">
        <v>70</v>
      </c>
      <c r="G55" s="19" t="n">
        <v>985323149106</v>
      </c>
      <c r="H55" s="17" t="s">
        <v>134</v>
      </c>
      <c r="I55" s="17" t="s">
        <v>44</v>
      </c>
      <c r="J55" s="17" t="s">
        <v>106</v>
      </c>
      <c r="K55" s="17" t="str">
        <f aca="false">VLOOKUP(J55,Sheet2!A:B,2,0)</f>
        <v>PRAKASH CHAVDA</v>
      </c>
      <c r="L55" s="17" t="n">
        <v>5</v>
      </c>
      <c r="M55" s="17" t="str">
        <f aca="false">VLOOKUP(L55,Sheet2!D:E,2,0)</f>
        <v>Main Processor CPU BGA</v>
      </c>
      <c r="N55" s="17" t="n">
        <v>1</v>
      </c>
      <c r="O55" s="17" t="str">
        <f aca="false">VLOOKUP(N55,Sheet2!G:H,2,0)</f>
        <v>Dead</v>
      </c>
      <c r="P55" s="17" t="n">
        <v>12</v>
      </c>
      <c r="Q55" s="17" t="str">
        <f aca="false">VLOOKUP(P55,Sheet2!J:K,2,0)</f>
        <v>IR Declared due to Others ( IR Normal)TB</v>
      </c>
      <c r="R55" s="17" t="s">
        <v>35</v>
      </c>
      <c r="S55" s="17" t="str">
        <f aca="false">VLOOKUP(R55,Sheet2!N:O,2,0)</f>
        <v>IREPARABLE</v>
      </c>
      <c r="T55" s="18" t="str">
        <f aca="false">VLOOKUP(P55,Sheet2!Q:R,2,0)</f>
        <v>IR Normal - BER to IR</v>
      </c>
      <c r="U55" s="20" t="s">
        <v>135</v>
      </c>
      <c r="V55" s="17" t="n">
        <v>12</v>
      </c>
      <c r="W55" s="20" t="str">
        <f aca="false">VLOOKUP(V55,Sheet2!Q:R,2,0)</f>
        <v>IR Normal - BER to IR</v>
      </c>
      <c r="X55" s="17" t="str">
        <f aca="false">J55</f>
        <v>A018</v>
      </c>
      <c r="Y55" s="17" t="str">
        <f aca="false">VLOOKUP(X55,Sheet2!A:B,2,0)</f>
        <v>PRAKASH CHAVDA</v>
      </c>
      <c r="Z55" s="17" t="s">
        <v>141</v>
      </c>
      <c r="AA55" s="17" t="s">
        <v>40</v>
      </c>
      <c r="AB55" s="17" t="s">
        <v>41</v>
      </c>
      <c r="AC55" s="0" t="str">
        <f aca="false">LEFT(G55,2)</f>
        <v>98</v>
      </c>
      <c r="AD55" s="0"/>
      <c r="AE55" s="21" t="s">
        <v>42</v>
      </c>
    </row>
    <row r="56" customFormat="false" ht="15" hidden="false" customHeight="false" outlineLevel="0" collapsed="false">
      <c r="A56" s="13" t="n">
        <f aca="false">1+A55</f>
        <v>54</v>
      </c>
      <c r="B56" s="17" t="n">
        <v>1009581069</v>
      </c>
      <c r="C56" s="17" t="s">
        <v>104</v>
      </c>
      <c r="D56" s="17" t="s">
        <v>60</v>
      </c>
      <c r="E56" s="17" t="s">
        <v>64</v>
      </c>
      <c r="F56" s="18" t="s">
        <v>70</v>
      </c>
      <c r="G56" s="19" t="n">
        <v>987341191110</v>
      </c>
      <c r="H56" s="17" t="s">
        <v>134</v>
      </c>
      <c r="I56" s="17" t="s">
        <v>44</v>
      </c>
      <c r="J56" s="17" t="s">
        <v>106</v>
      </c>
      <c r="K56" s="17" t="str">
        <f aca="false">VLOOKUP(J56,Sheet2!A:B,2,0)</f>
        <v>PRAKASH CHAVDA</v>
      </c>
      <c r="L56" s="17" t="n">
        <v>5</v>
      </c>
      <c r="M56" s="17" t="str">
        <f aca="false">VLOOKUP(L56,Sheet2!D:E,2,0)</f>
        <v>Main Processor CPU BGA</v>
      </c>
      <c r="N56" s="17" t="n">
        <v>1</v>
      </c>
      <c r="O56" s="17" t="str">
        <f aca="false">VLOOKUP(N56,Sheet2!G:H,2,0)</f>
        <v>Dead</v>
      </c>
      <c r="P56" s="17" t="n">
        <v>12</v>
      </c>
      <c r="Q56" s="17" t="str">
        <f aca="false">VLOOKUP(P56,Sheet2!J:K,2,0)</f>
        <v>IR Declared due to Others ( IR Normal)TB</v>
      </c>
      <c r="R56" s="17" t="s">
        <v>35</v>
      </c>
      <c r="S56" s="17" t="str">
        <f aca="false">VLOOKUP(R56,Sheet2!N:O,2,0)</f>
        <v>IREPARABLE</v>
      </c>
      <c r="T56" s="18" t="str">
        <f aca="false">VLOOKUP(P56,Sheet2!Q:R,2,0)</f>
        <v>IR Normal - BER to IR</v>
      </c>
      <c r="U56" s="20" t="s">
        <v>135</v>
      </c>
      <c r="V56" s="17" t="n">
        <v>12</v>
      </c>
      <c r="W56" s="20" t="str">
        <f aca="false">VLOOKUP(V56,Sheet2!Q:R,2,0)</f>
        <v>IR Normal - BER to IR</v>
      </c>
      <c r="X56" s="17" t="str">
        <f aca="false">J56</f>
        <v>A018</v>
      </c>
      <c r="Y56" s="17" t="str">
        <f aca="false">VLOOKUP(X56,Sheet2!A:B,2,0)</f>
        <v>PRAKASH CHAVDA</v>
      </c>
      <c r="Z56" s="17" t="s">
        <v>141</v>
      </c>
      <c r="AA56" s="17" t="s">
        <v>40</v>
      </c>
      <c r="AB56" s="17" t="s">
        <v>41</v>
      </c>
      <c r="AC56" s="0" t="str">
        <f aca="false">LEFT(G56,2)</f>
        <v>98</v>
      </c>
      <c r="AD56" s="0"/>
      <c r="AE56" s="21" t="s">
        <v>42</v>
      </c>
    </row>
    <row r="57" customFormat="false" ht="15" hidden="false" customHeight="false" outlineLevel="0" collapsed="false">
      <c r="A57" s="13" t="n">
        <f aca="false">1+A56</f>
        <v>55</v>
      </c>
      <c r="B57" s="17" t="n">
        <v>1009582154</v>
      </c>
      <c r="C57" s="17" t="s">
        <v>139</v>
      </c>
      <c r="D57" s="17" t="s">
        <v>64</v>
      </c>
      <c r="E57" s="17" t="s">
        <v>145</v>
      </c>
      <c r="F57" s="18" t="s">
        <v>34</v>
      </c>
      <c r="G57" s="19" t="n">
        <v>985353306188</v>
      </c>
      <c r="H57" s="17" t="s">
        <v>134</v>
      </c>
      <c r="I57" s="17" t="s">
        <v>44</v>
      </c>
      <c r="J57" s="17" t="s">
        <v>106</v>
      </c>
      <c r="K57" s="17" t="str">
        <f aca="false">VLOOKUP(J57,Sheet2!A:B,2,0)</f>
        <v>PRAKASH CHAVDA</v>
      </c>
      <c r="L57" s="17" t="n">
        <v>5</v>
      </c>
      <c r="M57" s="17" t="str">
        <f aca="false">VLOOKUP(L57,Sheet2!D:E,2,0)</f>
        <v>Main Processor CPU BGA</v>
      </c>
      <c r="N57" s="17" t="n">
        <v>24</v>
      </c>
      <c r="O57" s="17" t="str">
        <f aca="false">VLOOKUP(N57,Sheet2!G:H,2,0)</f>
        <v>STB Auto moving -Stand by mode</v>
      </c>
      <c r="P57" s="17" t="n">
        <v>12</v>
      </c>
      <c r="Q57" s="17" t="str">
        <f aca="false">VLOOKUP(P57,Sheet2!J:K,2,0)</f>
        <v>IR Declared due to Others ( IR Normal)TB</v>
      </c>
      <c r="R57" s="17" t="s">
        <v>35</v>
      </c>
      <c r="S57" s="17" t="str">
        <f aca="false">VLOOKUP(R57,Sheet2!N:O,2,0)</f>
        <v>IREPARABLE</v>
      </c>
      <c r="T57" s="18" t="str">
        <f aca="false">VLOOKUP(P57,Sheet2!Q:R,2,0)</f>
        <v>IR Normal - BER to IR</v>
      </c>
      <c r="U57" s="20" t="s">
        <v>135</v>
      </c>
      <c r="V57" s="17" t="n">
        <v>12</v>
      </c>
      <c r="W57" s="20" t="str">
        <f aca="false">VLOOKUP(V57,Sheet2!Q:R,2,0)</f>
        <v>IR Normal - BER to IR</v>
      </c>
      <c r="X57" s="17" t="str">
        <f aca="false">J57</f>
        <v>A018</v>
      </c>
      <c r="Y57" s="17" t="str">
        <f aca="false">VLOOKUP(X57,Sheet2!A:B,2,0)</f>
        <v>PRAKASH CHAVDA</v>
      </c>
      <c r="Z57" s="17" t="s">
        <v>141</v>
      </c>
      <c r="AA57" s="17" t="s">
        <v>40</v>
      </c>
      <c r="AB57" s="17" t="s">
        <v>41</v>
      </c>
      <c r="AC57" s="0" t="str">
        <f aca="false">LEFT(G57,2)</f>
        <v>98</v>
      </c>
      <c r="AD57" s="0"/>
      <c r="AE57" s="21" t="s">
        <v>42</v>
      </c>
    </row>
    <row r="58" customFormat="false" ht="15" hidden="false" customHeight="false" outlineLevel="0" collapsed="false">
      <c r="A58" s="13" t="n">
        <f aca="false">1+A57</f>
        <v>56</v>
      </c>
      <c r="B58" s="17" t="n">
        <v>1009581899</v>
      </c>
      <c r="C58" s="17" t="s">
        <v>146</v>
      </c>
      <c r="D58" s="17" t="s">
        <v>60</v>
      </c>
      <c r="E58" s="17" t="s">
        <v>91</v>
      </c>
      <c r="F58" s="18" t="s">
        <v>92</v>
      </c>
      <c r="G58" s="19" t="n">
        <v>986174104604</v>
      </c>
      <c r="H58" s="17" t="s">
        <v>134</v>
      </c>
      <c r="I58" s="17" t="s">
        <v>44</v>
      </c>
      <c r="J58" s="17" t="s">
        <v>106</v>
      </c>
      <c r="K58" s="17" t="str">
        <f aca="false">VLOOKUP(J58,Sheet2!A:B,2,0)</f>
        <v>PRAKASH CHAVDA</v>
      </c>
      <c r="L58" s="17" t="n">
        <v>5</v>
      </c>
      <c r="M58" s="17" t="str">
        <f aca="false">VLOOKUP(L58,Sheet2!D:E,2,0)</f>
        <v>Main Processor CPU BGA</v>
      </c>
      <c r="N58" s="17" t="n">
        <v>1</v>
      </c>
      <c r="O58" s="17" t="str">
        <f aca="false">VLOOKUP(N58,Sheet2!G:H,2,0)</f>
        <v>Dead</v>
      </c>
      <c r="P58" s="17" t="n">
        <v>12</v>
      </c>
      <c r="Q58" s="17" t="str">
        <f aca="false">VLOOKUP(P58,Sheet2!J:K,2,0)</f>
        <v>IR Declared due to Others ( IR Normal)TB</v>
      </c>
      <c r="R58" s="17" t="s">
        <v>35</v>
      </c>
      <c r="S58" s="17" t="str">
        <f aca="false">VLOOKUP(R58,Sheet2!N:O,2,0)</f>
        <v>IREPARABLE</v>
      </c>
      <c r="T58" s="18" t="str">
        <f aca="false">VLOOKUP(P58,Sheet2!Q:R,2,0)</f>
        <v>IR Normal - BER to IR</v>
      </c>
      <c r="U58" s="20" t="s">
        <v>135</v>
      </c>
      <c r="V58" s="17" t="n">
        <v>12</v>
      </c>
      <c r="W58" s="20" t="str">
        <f aca="false">VLOOKUP(V58,Sheet2!Q:R,2,0)</f>
        <v>IR Normal - BER to IR</v>
      </c>
      <c r="X58" s="17" t="str">
        <f aca="false">J58</f>
        <v>A018</v>
      </c>
      <c r="Y58" s="17" t="str">
        <f aca="false">VLOOKUP(X58,Sheet2!A:B,2,0)</f>
        <v>PRAKASH CHAVDA</v>
      </c>
      <c r="Z58" s="17" t="s">
        <v>141</v>
      </c>
      <c r="AA58" s="17" t="s">
        <v>40</v>
      </c>
      <c r="AB58" s="17" t="s">
        <v>41</v>
      </c>
      <c r="AC58" s="0" t="str">
        <f aca="false">LEFT(G58,2)</f>
        <v>98</v>
      </c>
      <c r="AD58" s="0"/>
      <c r="AE58" s="21" t="s">
        <v>42</v>
      </c>
    </row>
    <row r="59" customFormat="false" ht="15" hidden="false" customHeight="false" outlineLevel="0" collapsed="false">
      <c r="A59" s="13" t="n">
        <f aca="false">1+A58</f>
        <v>57</v>
      </c>
      <c r="B59" s="17" t="n">
        <v>1009567421</v>
      </c>
      <c r="C59" s="17" t="s">
        <v>102</v>
      </c>
      <c r="D59" s="17" t="s">
        <v>103</v>
      </c>
      <c r="E59" s="17" t="s">
        <v>33</v>
      </c>
      <c r="F59" s="18" t="s">
        <v>34</v>
      </c>
      <c r="G59" s="19" t="n">
        <v>133351153712</v>
      </c>
      <c r="H59" s="17" t="s">
        <v>134</v>
      </c>
      <c r="I59" s="17" t="s">
        <v>44</v>
      </c>
      <c r="J59" s="17" t="s">
        <v>106</v>
      </c>
      <c r="K59" s="17" t="str">
        <f aca="false">VLOOKUP(J59,Sheet2!A:B,2,0)</f>
        <v>PRAKASH CHAVDA</v>
      </c>
      <c r="L59" s="17" t="n">
        <v>5</v>
      </c>
      <c r="M59" s="17" t="str">
        <f aca="false">VLOOKUP(L59,Sheet2!D:E,2,0)</f>
        <v>Main Processor CPU BGA</v>
      </c>
      <c r="N59" s="17" t="n">
        <v>1</v>
      </c>
      <c r="O59" s="17" t="str">
        <f aca="false">VLOOKUP(N59,Sheet2!G:H,2,0)</f>
        <v>Dead</v>
      </c>
      <c r="P59" s="17" t="n">
        <v>12</v>
      </c>
      <c r="Q59" s="17" t="str">
        <f aca="false">VLOOKUP(P59,Sheet2!J:K,2,0)</f>
        <v>IR Declared due to Others ( IR Normal)TB</v>
      </c>
      <c r="R59" s="17" t="s">
        <v>35</v>
      </c>
      <c r="S59" s="17" t="str">
        <f aca="false">VLOOKUP(R59,Sheet2!N:O,2,0)</f>
        <v>IREPARABLE</v>
      </c>
      <c r="T59" s="18" t="str">
        <f aca="false">VLOOKUP(P59,Sheet2!Q:R,2,0)</f>
        <v>IR Normal - BER to IR</v>
      </c>
      <c r="U59" s="20" t="s">
        <v>135</v>
      </c>
      <c r="V59" s="17" t="n">
        <v>12</v>
      </c>
      <c r="W59" s="20" t="str">
        <f aca="false">VLOOKUP(V59,Sheet2!Q:R,2,0)</f>
        <v>IR Normal - BER to IR</v>
      </c>
      <c r="X59" s="17" t="str">
        <f aca="false">J59</f>
        <v>A018</v>
      </c>
      <c r="Y59" s="17" t="str">
        <f aca="false">VLOOKUP(X59,Sheet2!A:B,2,0)</f>
        <v>PRAKASH CHAVDA</v>
      </c>
      <c r="Z59" s="17" t="s">
        <v>136</v>
      </c>
      <c r="AA59" s="17" t="s">
        <v>40</v>
      </c>
      <c r="AB59" s="17" t="s">
        <v>41</v>
      </c>
      <c r="AC59" s="0" t="str">
        <f aca="false">LEFT(G59,2)</f>
        <v>13</v>
      </c>
      <c r="AD59" s="0"/>
      <c r="AE59" s="21" t="s">
        <v>42</v>
      </c>
    </row>
    <row r="60" customFormat="false" ht="15" hidden="false" customHeight="false" outlineLevel="0" collapsed="false">
      <c r="A60" s="13" t="n">
        <f aca="false">1+A59</f>
        <v>58</v>
      </c>
      <c r="B60" s="17" t="n">
        <v>1009577054</v>
      </c>
      <c r="C60" s="17" t="s">
        <v>139</v>
      </c>
      <c r="D60" s="17" t="s">
        <v>32</v>
      </c>
      <c r="E60" s="17" t="s">
        <v>33</v>
      </c>
      <c r="F60" s="18" t="s">
        <v>34</v>
      </c>
      <c r="G60" s="19" t="n">
        <v>943056984660</v>
      </c>
      <c r="H60" s="17" t="s">
        <v>134</v>
      </c>
      <c r="I60" s="17" t="s">
        <v>44</v>
      </c>
      <c r="J60" s="17" t="s">
        <v>106</v>
      </c>
      <c r="K60" s="17" t="str">
        <f aca="false">VLOOKUP(J60,Sheet2!A:B,2,0)</f>
        <v>PRAKASH CHAVDA</v>
      </c>
      <c r="L60" s="17" t="n">
        <v>5</v>
      </c>
      <c r="M60" s="17" t="str">
        <f aca="false">VLOOKUP(L60,Sheet2!D:E,2,0)</f>
        <v>Main Processor CPU BGA</v>
      </c>
      <c r="N60" s="17" t="n">
        <v>1</v>
      </c>
      <c r="O60" s="17" t="str">
        <f aca="false">VLOOKUP(N60,Sheet2!G:H,2,0)</f>
        <v>Dead</v>
      </c>
      <c r="P60" s="17" t="n">
        <v>12</v>
      </c>
      <c r="Q60" s="17" t="str">
        <f aca="false">VLOOKUP(P60,Sheet2!J:K,2,0)</f>
        <v>IR Declared due to Others ( IR Normal)TB</v>
      </c>
      <c r="R60" s="17" t="s">
        <v>35</v>
      </c>
      <c r="S60" s="17" t="str">
        <f aca="false">VLOOKUP(R60,Sheet2!N:O,2,0)</f>
        <v>IREPARABLE</v>
      </c>
      <c r="T60" s="18" t="str">
        <f aca="false">VLOOKUP(P60,Sheet2!Q:R,2,0)</f>
        <v>IR Normal - BER to IR</v>
      </c>
      <c r="U60" s="20" t="s">
        <v>135</v>
      </c>
      <c r="V60" s="17" t="n">
        <v>12</v>
      </c>
      <c r="W60" s="20" t="str">
        <f aca="false">VLOOKUP(V60,Sheet2!Q:R,2,0)</f>
        <v>IR Normal - BER to IR</v>
      </c>
      <c r="X60" s="17" t="str">
        <f aca="false">J60</f>
        <v>A018</v>
      </c>
      <c r="Y60" s="17" t="str">
        <f aca="false">VLOOKUP(X60,Sheet2!A:B,2,0)</f>
        <v>PRAKASH CHAVDA</v>
      </c>
      <c r="Z60" s="17" t="s">
        <v>127</v>
      </c>
      <c r="AA60" s="17" t="s">
        <v>40</v>
      </c>
      <c r="AB60" s="17" t="s">
        <v>41</v>
      </c>
      <c r="AC60" s="0" t="str">
        <f aca="false">LEFT(G60,2)</f>
        <v>94</v>
      </c>
      <c r="AD60" s="0"/>
      <c r="AE60" s="21" t="s">
        <v>42</v>
      </c>
    </row>
    <row r="61" customFormat="false" ht="15" hidden="false" customHeight="false" outlineLevel="0" collapsed="false">
      <c r="A61" s="13" t="n">
        <f aca="false">1+A60</f>
        <v>59</v>
      </c>
      <c r="B61" s="17" t="n">
        <v>1009579663</v>
      </c>
      <c r="C61" s="17" t="s">
        <v>139</v>
      </c>
      <c r="D61" s="17" t="s">
        <v>143</v>
      </c>
      <c r="E61" s="17" t="s">
        <v>33</v>
      </c>
      <c r="F61" s="18" t="s">
        <v>34</v>
      </c>
      <c r="G61" s="19" t="n">
        <v>943080905178</v>
      </c>
      <c r="H61" s="17" t="s">
        <v>134</v>
      </c>
      <c r="I61" s="17" t="s">
        <v>44</v>
      </c>
      <c r="J61" s="17" t="s">
        <v>106</v>
      </c>
      <c r="K61" s="17" t="str">
        <f aca="false">VLOOKUP(J61,Sheet2!A:B,2,0)</f>
        <v>PRAKASH CHAVDA</v>
      </c>
      <c r="L61" s="17" t="n">
        <v>5</v>
      </c>
      <c r="M61" s="17" t="str">
        <f aca="false">VLOOKUP(L61,Sheet2!D:E,2,0)</f>
        <v>Main Processor CPU BGA</v>
      </c>
      <c r="N61" s="17" t="n">
        <v>24</v>
      </c>
      <c r="O61" s="17" t="str">
        <f aca="false">VLOOKUP(N61,Sheet2!G:H,2,0)</f>
        <v>STB Auto moving -Stand by mode</v>
      </c>
      <c r="P61" s="17" t="n">
        <v>12</v>
      </c>
      <c r="Q61" s="17" t="str">
        <f aca="false">VLOOKUP(P61,Sheet2!J:K,2,0)</f>
        <v>IR Declared due to Others ( IR Normal)TB</v>
      </c>
      <c r="R61" s="17" t="s">
        <v>35</v>
      </c>
      <c r="S61" s="17" t="str">
        <f aca="false">VLOOKUP(R61,Sheet2!N:O,2,0)</f>
        <v>IREPARABLE</v>
      </c>
      <c r="T61" s="18" t="str">
        <f aca="false">VLOOKUP(P61,Sheet2!Q:R,2,0)</f>
        <v>IR Normal - BER to IR</v>
      </c>
      <c r="U61" s="20" t="s">
        <v>135</v>
      </c>
      <c r="V61" s="17" t="n">
        <v>12</v>
      </c>
      <c r="W61" s="20" t="str">
        <f aca="false">VLOOKUP(V61,Sheet2!Q:R,2,0)</f>
        <v>IR Normal - BER to IR</v>
      </c>
      <c r="X61" s="17" t="str">
        <f aca="false">J61</f>
        <v>A018</v>
      </c>
      <c r="Y61" s="17" t="str">
        <f aca="false">VLOOKUP(X61,Sheet2!A:B,2,0)</f>
        <v>PRAKASH CHAVDA</v>
      </c>
      <c r="Z61" s="17" t="s">
        <v>127</v>
      </c>
      <c r="AA61" s="17" t="s">
        <v>40</v>
      </c>
      <c r="AB61" s="17" t="s">
        <v>41</v>
      </c>
      <c r="AC61" s="0" t="str">
        <f aca="false">LEFT(G61,2)</f>
        <v>94</v>
      </c>
      <c r="AD61" s="0"/>
      <c r="AE61" s="21" t="s">
        <v>42</v>
      </c>
    </row>
    <row r="62" customFormat="false" ht="15" hidden="false" customHeight="false" outlineLevel="0" collapsed="false">
      <c r="A62" s="13" t="n">
        <f aca="false">1+A61</f>
        <v>60</v>
      </c>
      <c r="B62" s="17" t="n">
        <v>1009579676</v>
      </c>
      <c r="C62" s="17" t="s">
        <v>139</v>
      </c>
      <c r="D62" s="17" t="s">
        <v>143</v>
      </c>
      <c r="E62" s="17" t="s">
        <v>47</v>
      </c>
      <c r="F62" s="18" t="s">
        <v>34</v>
      </c>
      <c r="G62" s="19" t="n">
        <v>942323929482</v>
      </c>
      <c r="H62" s="17" t="s">
        <v>134</v>
      </c>
      <c r="I62" s="17" t="s">
        <v>44</v>
      </c>
      <c r="J62" s="17" t="s">
        <v>106</v>
      </c>
      <c r="K62" s="17" t="str">
        <f aca="false">VLOOKUP(J62,Sheet2!A:B,2,0)</f>
        <v>PRAKASH CHAVDA</v>
      </c>
      <c r="L62" s="17" t="n">
        <v>5</v>
      </c>
      <c r="M62" s="17" t="str">
        <f aca="false">VLOOKUP(L62,Sheet2!D:E,2,0)</f>
        <v>Main Processor CPU BGA</v>
      </c>
      <c r="N62" s="17" t="n">
        <v>1</v>
      </c>
      <c r="O62" s="17" t="str">
        <f aca="false">VLOOKUP(N62,Sheet2!G:H,2,0)</f>
        <v>Dead</v>
      </c>
      <c r="P62" s="17" t="n">
        <v>12</v>
      </c>
      <c r="Q62" s="17" t="str">
        <f aca="false">VLOOKUP(P62,Sheet2!J:K,2,0)</f>
        <v>IR Declared due to Others ( IR Normal)TB</v>
      </c>
      <c r="R62" s="17" t="s">
        <v>35</v>
      </c>
      <c r="S62" s="17" t="str">
        <f aca="false">VLOOKUP(R62,Sheet2!N:O,2,0)</f>
        <v>IREPARABLE</v>
      </c>
      <c r="T62" s="18" t="str">
        <f aca="false">VLOOKUP(P62,Sheet2!Q:R,2,0)</f>
        <v>IR Normal - BER to IR</v>
      </c>
      <c r="U62" s="20" t="s">
        <v>135</v>
      </c>
      <c r="V62" s="17" t="n">
        <v>12</v>
      </c>
      <c r="W62" s="20" t="str">
        <f aca="false">VLOOKUP(V62,Sheet2!Q:R,2,0)</f>
        <v>IR Normal - BER to IR</v>
      </c>
      <c r="X62" s="17" t="str">
        <f aca="false">J62</f>
        <v>A018</v>
      </c>
      <c r="Y62" s="17" t="str">
        <f aca="false">VLOOKUP(X62,Sheet2!A:B,2,0)</f>
        <v>PRAKASH CHAVDA</v>
      </c>
      <c r="Z62" s="17" t="s">
        <v>127</v>
      </c>
      <c r="AA62" s="17" t="s">
        <v>40</v>
      </c>
      <c r="AB62" s="17" t="s">
        <v>41</v>
      </c>
      <c r="AC62" s="0" t="str">
        <f aca="false">LEFT(G62,2)</f>
        <v>94</v>
      </c>
      <c r="AD62" s="0"/>
      <c r="AE62" s="21" t="s">
        <v>42</v>
      </c>
    </row>
    <row r="63" customFormat="false" ht="15" hidden="false" customHeight="false" outlineLevel="0" collapsed="false">
      <c r="A63" s="13" t="n">
        <f aca="false">1+A62</f>
        <v>61</v>
      </c>
      <c r="B63" s="17" t="n">
        <v>1009582302</v>
      </c>
      <c r="C63" s="17" t="s">
        <v>104</v>
      </c>
      <c r="D63" s="17" t="s">
        <v>86</v>
      </c>
      <c r="E63" s="17" t="s">
        <v>47</v>
      </c>
      <c r="F63" s="18" t="s">
        <v>34</v>
      </c>
      <c r="G63" s="19" t="n">
        <v>942276971259</v>
      </c>
      <c r="H63" s="17" t="s">
        <v>134</v>
      </c>
      <c r="I63" s="17" t="s">
        <v>44</v>
      </c>
      <c r="J63" s="17" t="s">
        <v>106</v>
      </c>
      <c r="K63" s="17" t="str">
        <f aca="false">VLOOKUP(J63,Sheet2!A:B,2,0)</f>
        <v>PRAKASH CHAVDA</v>
      </c>
      <c r="L63" s="17" t="n">
        <v>5</v>
      </c>
      <c r="M63" s="17" t="str">
        <f aca="false">VLOOKUP(L63,Sheet2!D:E,2,0)</f>
        <v>Main Processor CPU BGA</v>
      </c>
      <c r="N63" s="17" t="n">
        <v>1</v>
      </c>
      <c r="O63" s="17" t="str">
        <f aca="false">VLOOKUP(N63,Sheet2!G:H,2,0)</f>
        <v>Dead</v>
      </c>
      <c r="P63" s="17" t="n">
        <v>12</v>
      </c>
      <c r="Q63" s="17" t="str">
        <f aca="false">VLOOKUP(P63,Sheet2!J:K,2,0)</f>
        <v>IR Declared due to Others ( IR Normal)TB</v>
      </c>
      <c r="R63" s="17" t="s">
        <v>35</v>
      </c>
      <c r="S63" s="17" t="str">
        <f aca="false">VLOOKUP(R63,Sheet2!N:O,2,0)</f>
        <v>IREPARABLE</v>
      </c>
      <c r="T63" s="18" t="str">
        <f aca="false">VLOOKUP(P63,Sheet2!Q:R,2,0)</f>
        <v>IR Normal - BER to IR</v>
      </c>
      <c r="U63" s="20" t="s">
        <v>135</v>
      </c>
      <c r="V63" s="17" t="n">
        <v>12</v>
      </c>
      <c r="W63" s="20" t="str">
        <f aca="false">VLOOKUP(V63,Sheet2!Q:R,2,0)</f>
        <v>IR Normal - BER to IR</v>
      </c>
      <c r="X63" s="17" t="str">
        <f aca="false">J63</f>
        <v>A018</v>
      </c>
      <c r="Y63" s="17" t="str">
        <f aca="false">VLOOKUP(X63,Sheet2!A:B,2,0)</f>
        <v>PRAKASH CHAVDA</v>
      </c>
      <c r="Z63" s="17" t="s">
        <v>127</v>
      </c>
      <c r="AA63" s="17" t="s">
        <v>40</v>
      </c>
      <c r="AB63" s="17" t="s">
        <v>41</v>
      </c>
      <c r="AC63" s="0" t="str">
        <f aca="false">LEFT(G63,2)</f>
        <v>94</v>
      </c>
      <c r="AD63" s="0"/>
      <c r="AE63" s="21" t="s">
        <v>42</v>
      </c>
    </row>
    <row r="64" customFormat="false" ht="15" hidden="false" customHeight="false" outlineLevel="0" collapsed="false">
      <c r="A64" s="13" t="n">
        <f aca="false">1+A63</f>
        <v>62</v>
      </c>
      <c r="B64" s="17" t="n">
        <v>1009582390</v>
      </c>
      <c r="C64" s="17" t="s">
        <v>139</v>
      </c>
      <c r="D64" s="17" t="s">
        <v>144</v>
      </c>
      <c r="E64" s="17" t="s">
        <v>33</v>
      </c>
      <c r="F64" s="18" t="s">
        <v>34</v>
      </c>
      <c r="G64" s="19" t="n">
        <v>943285947975</v>
      </c>
      <c r="H64" s="17" t="s">
        <v>134</v>
      </c>
      <c r="I64" s="17" t="s">
        <v>44</v>
      </c>
      <c r="J64" s="17" t="s">
        <v>106</v>
      </c>
      <c r="K64" s="17" t="str">
        <f aca="false">VLOOKUP(J64,Sheet2!A:B,2,0)</f>
        <v>PRAKASH CHAVDA</v>
      </c>
      <c r="L64" s="17" t="n">
        <v>5</v>
      </c>
      <c r="M64" s="17" t="str">
        <f aca="false">VLOOKUP(L64,Sheet2!D:E,2,0)</f>
        <v>Main Processor CPU BGA</v>
      </c>
      <c r="N64" s="17" t="n">
        <v>1</v>
      </c>
      <c r="O64" s="17" t="str">
        <f aca="false">VLOOKUP(N64,Sheet2!G:H,2,0)</f>
        <v>Dead</v>
      </c>
      <c r="P64" s="17" t="n">
        <v>12</v>
      </c>
      <c r="Q64" s="17" t="str">
        <f aca="false">VLOOKUP(P64,Sheet2!J:K,2,0)</f>
        <v>IR Declared due to Others ( IR Normal)TB</v>
      </c>
      <c r="R64" s="17" t="s">
        <v>35</v>
      </c>
      <c r="S64" s="17" t="str">
        <f aca="false">VLOOKUP(R64,Sheet2!N:O,2,0)</f>
        <v>IREPARABLE</v>
      </c>
      <c r="T64" s="18" t="str">
        <f aca="false">VLOOKUP(P64,Sheet2!Q:R,2,0)</f>
        <v>IR Normal - BER to IR</v>
      </c>
      <c r="U64" s="20" t="s">
        <v>135</v>
      </c>
      <c r="V64" s="17" t="n">
        <v>12</v>
      </c>
      <c r="W64" s="20" t="str">
        <f aca="false">VLOOKUP(V64,Sheet2!Q:R,2,0)</f>
        <v>IR Normal - BER to IR</v>
      </c>
      <c r="X64" s="17" t="str">
        <f aca="false">J64</f>
        <v>A018</v>
      </c>
      <c r="Y64" s="17" t="str">
        <f aca="false">VLOOKUP(X64,Sheet2!A:B,2,0)</f>
        <v>PRAKASH CHAVDA</v>
      </c>
      <c r="Z64" s="17" t="s">
        <v>127</v>
      </c>
      <c r="AA64" s="17" t="s">
        <v>40</v>
      </c>
      <c r="AB64" s="17" t="s">
        <v>41</v>
      </c>
      <c r="AC64" s="0" t="str">
        <f aca="false">LEFT(G64,2)</f>
        <v>94</v>
      </c>
      <c r="AD64" s="0"/>
      <c r="AE64" s="21" t="s">
        <v>42</v>
      </c>
    </row>
    <row r="65" customFormat="false" ht="15" hidden="false" customHeight="false" outlineLevel="0" collapsed="false">
      <c r="A65" s="13" t="n">
        <f aca="false">1+A64</f>
        <v>63</v>
      </c>
      <c r="B65" s="17" t="n">
        <v>1009579644</v>
      </c>
      <c r="C65" s="17" t="s">
        <v>139</v>
      </c>
      <c r="D65" s="17" t="s">
        <v>32</v>
      </c>
      <c r="E65" s="17" t="s">
        <v>47</v>
      </c>
      <c r="F65" s="18" t="s">
        <v>34</v>
      </c>
      <c r="G65" s="19" t="n">
        <v>942121966298</v>
      </c>
      <c r="H65" s="17" t="s">
        <v>134</v>
      </c>
      <c r="I65" s="17" t="s">
        <v>44</v>
      </c>
      <c r="J65" s="17" t="s">
        <v>106</v>
      </c>
      <c r="K65" s="17" t="str">
        <f aca="false">VLOOKUP(J65,Sheet2!A:B,2,0)</f>
        <v>PRAKASH CHAVDA</v>
      </c>
      <c r="L65" s="17" t="n">
        <v>5</v>
      </c>
      <c r="M65" s="17" t="str">
        <f aca="false">VLOOKUP(L65,Sheet2!D:E,2,0)</f>
        <v>Main Processor CPU BGA</v>
      </c>
      <c r="N65" s="17" t="n">
        <v>1</v>
      </c>
      <c r="O65" s="17" t="str">
        <f aca="false">VLOOKUP(N65,Sheet2!G:H,2,0)</f>
        <v>Dead</v>
      </c>
      <c r="P65" s="17" t="n">
        <v>12</v>
      </c>
      <c r="Q65" s="17" t="str">
        <f aca="false">VLOOKUP(P65,Sheet2!J:K,2,0)</f>
        <v>IR Declared due to Others ( IR Normal)TB</v>
      </c>
      <c r="R65" s="17" t="s">
        <v>35</v>
      </c>
      <c r="S65" s="17" t="str">
        <f aca="false">VLOOKUP(R65,Sheet2!N:O,2,0)</f>
        <v>IREPARABLE</v>
      </c>
      <c r="T65" s="18" t="str">
        <f aca="false">VLOOKUP(P65,Sheet2!Q:R,2,0)</f>
        <v>IR Normal - BER to IR</v>
      </c>
      <c r="U65" s="20" t="s">
        <v>135</v>
      </c>
      <c r="V65" s="17" t="n">
        <v>12</v>
      </c>
      <c r="W65" s="20" t="str">
        <f aca="false">VLOOKUP(V65,Sheet2!Q:R,2,0)</f>
        <v>IR Normal - BER to IR</v>
      </c>
      <c r="X65" s="17" t="str">
        <f aca="false">J65</f>
        <v>A018</v>
      </c>
      <c r="Y65" s="17" t="str">
        <f aca="false">VLOOKUP(X65,Sheet2!A:B,2,0)</f>
        <v>PRAKASH CHAVDA</v>
      </c>
      <c r="Z65" s="17" t="s">
        <v>127</v>
      </c>
      <c r="AA65" s="17" t="s">
        <v>40</v>
      </c>
      <c r="AB65" s="17" t="s">
        <v>41</v>
      </c>
      <c r="AC65" s="0" t="str">
        <f aca="false">LEFT(G65,2)</f>
        <v>94</v>
      </c>
      <c r="AD65" s="0"/>
      <c r="AE65" s="21" t="s">
        <v>42</v>
      </c>
    </row>
    <row r="66" customFormat="false" ht="15" hidden="false" customHeight="false" outlineLevel="0" collapsed="false">
      <c r="A66" s="13" t="n">
        <f aca="false">1+A65</f>
        <v>64</v>
      </c>
      <c r="B66" s="17" t="n">
        <v>1009577100</v>
      </c>
      <c r="C66" s="17" t="s">
        <v>139</v>
      </c>
      <c r="D66" s="17" t="s">
        <v>147</v>
      </c>
      <c r="E66" s="17" t="s">
        <v>64</v>
      </c>
      <c r="F66" s="18" t="s">
        <v>70</v>
      </c>
      <c r="G66" s="19" t="n">
        <v>942050928269</v>
      </c>
      <c r="H66" s="17" t="s">
        <v>134</v>
      </c>
      <c r="I66" s="17" t="s">
        <v>44</v>
      </c>
      <c r="J66" s="17" t="s">
        <v>106</v>
      </c>
      <c r="K66" s="17" t="str">
        <f aca="false">VLOOKUP(J66,Sheet2!A:B,2,0)</f>
        <v>PRAKASH CHAVDA</v>
      </c>
      <c r="L66" s="17" t="n">
        <v>5</v>
      </c>
      <c r="M66" s="17" t="str">
        <f aca="false">VLOOKUP(L66,Sheet2!D:E,2,0)</f>
        <v>Main Processor CPU BGA</v>
      </c>
      <c r="N66" s="17" t="n">
        <v>1</v>
      </c>
      <c r="O66" s="17" t="str">
        <f aca="false">VLOOKUP(N66,Sheet2!G:H,2,0)</f>
        <v>Dead</v>
      </c>
      <c r="P66" s="17" t="n">
        <v>12</v>
      </c>
      <c r="Q66" s="17" t="str">
        <f aca="false">VLOOKUP(P66,Sheet2!J:K,2,0)</f>
        <v>IR Declared due to Others ( IR Normal)TB</v>
      </c>
      <c r="R66" s="17" t="s">
        <v>35</v>
      </c>
      <c r="S66" s="17" t="str">
        <f aca="false">VLOOKUP(R66,Sheet2!N:O,2,0)</f>
        <v>IREPARABLE</v>
      </c>
      <c r="T66" s="18" t="str">
        <f aca="false">VLOOKUP(P66,Sheet2!Q:R,2,0)</f>
        <v>IR Normal - BER to IR</v>
      </c>
      <c r="U66" s="20" t="s">
        <v>135</v>
      </c>
      <c r="V66" s="17" t="n">
        <v>12</v>
      </c>
      <c r="W66" s="20" t="str">
        <f aca="false">VLOOKUP(V66,Sheet2!Q:R,2,0)</f>
        <v>IR Normal - BER to IR</v>
      </c>
      <c r="X66" s="17" t="str">
        <f aca="false">J66</f>
        <v>A018</v>
      </c>
      <c r="Y66" s="17" t="str">
        <f aca="false">VLOOKUP(X66,Sheet2!A:B,2,0)</f>
        <v>PRAKASH CHAVDA</v>
      </c>
      <c r="Z66" s="17" t="s">
        <v>127</v>
      </c>
      <c r="AA66" s="17" t="s">
        <v>40</v>
      </c>
      <c r="AB66" s="17" t="s">
        <v>41</v>
      </c>
      <c r="AC66" s="0" t="str">
        <f aca="false">LEFT(G66,2)</f>
        <v>94</v>
      </c>
      <c r="AD66" s="0"/>
      <c r="AE66" s="21" t="s">
        <v>42</v>
      </c>
    </row>
    <row r="67" customFormat="false" ht="15" hidden="false" customHeight="false" outlineLevel="0" collapsed="false">
      <c r="A67" s="13" t="n">
        <f aca="false">1+A66</f>
        <v>65</v>
      </c>
      <c r="B67" s="17" t="n">
        <v>1009579655</v>
      </c>
      <c r="C67" s="17" t="s">
        <v>139</v>
      </c>
      <c r="D67" s="17" t="s">
        <v>64</v>
      </c>
      <c r="E67" s="17" t="s">
        <v>148</v>
      </c>
      <c r="F67" s="18" t="s">
        <v>34</v>
      </c>
      <c r="G67" s="19" t="n">
        <v>942053967512</v>
      </c>
      <c r="H67" s="17" t="s">
        <v>134</v>
      </c>
      <c r="I67" s="17" t="s">
        <v>44</v>
      </c>
      <c r="J67" s="17" t="s">
        <v>106</v>
      </c>
      <c r="K67" s="17" t="str">
        <f aca="false">VLOOKUP(J67,Sheet2!A:B,2,0)</f>
        <v>PRAKASH CHAVDA</v>
      </c>
      <c r="L67" s="17" t="n">
        <v>5</v>
      </c>
      <c r="M67" s="17" t="str">
        <f aca="false">VLOOKUP(L67,Sheet2!D:E,2,0)</f>
        <v>Main Processor CPU BGA</v>
      </c>
      <c r="N67" s="17" t="n">
        <v>1</v>
      </c>
      <c r="O67" s="17" t="str">
        <f aca="false">VLOOKUP(N67,Sheet2!G:H,2,0)</f>
        <v>Dead</v>
      </c>
      <c r="P67" s="17" t="n">
        <v>12</v>
      </c>
      <c r="Q67" s="17" t="str">
        <f aca="false">VLOOKUP(P67,Sheet2!J:K,2,0)</f>
        <v>IR Declared due to Others ( IR Normal)TB</v>
      </c>
      <c r="R67" s="17" t="s">
        <v>35</v>
      </c>
      <c r="S67" s="17" t="str">
        <f aca="false">VLOOKUP(R67,Sheet2!N:O,2,0)</f>
        <v>IREPARABLE</v>
      </c>
      <c r="T67" s="18" t="str">
        <f aca="false">VLOOKUP(P67,Sheet2!Q:R,2,0)</f>
        <v>IR Normal - BER to IR</v>
      </c>
      <c r="U67" s="20" t="s">
        <v>135</v>
      </c>
      <c r="V67" s="17" t="n">
        <v>12</v>
      </c>
      <c r="W67" s="20" t="str">
        <f aca="false">VLOOKUP(V67,Sheet2!Q:R,2,0)</f>
        <v>IR Normal - BER to IR</v>
      </c>
      <c r="X67" s="17" t="str">
        <f aca="false">J67</f>
        <v>A018</v>
      </c>
      <c r="Y67" s="17" t="str">
        <f aca="false">VLOOKUP(X67,Sheet2!A:B,2,0)</f>
        <v>PRAKASH CHAVDA</v>
      </c>
      <c r="Z67" s="17" t="s">
        <v>127</v>
      </c>
      <c r="AA67" s="17" t="s">
        <v>40</v>
      </c>
      <c r="AB67" s="17" t="s">
        <v>41</v>
      </c>
      <c r="AC67" s="0" t="str">
        <f aca="false">LEFT(G67,2)</f>
        <v>94</v>
      </c>
      <c r="AD67" s="0"/>
      <c r="AE67" s="21" t="s">
        <v>42</v>
      </c>
    </row>
    <row r="68" customFormat="false" ht="15" hidden="false" customHeight="false" outlineLevel="0" collapsed="false">
      <c r="A68" s="13" t="n">
        <f aca="false">1+A67</f>
        <v>66</v>
      </c>
      <c r="B68" s="17" t="n">
        <v>1009580764</v>
      </c>
      <c r="C68" s="17" t="s">
        <v>104</v>
      </c>
      <c r="D68" s="17" t="s">
        <v>64</v>
      </c>
      <c r="E68" s="17" t="s">
        <v>33</v>
      </c>
      <c r="F68" s="18" t="s">
        <v>34</v>
      </c>
      <c r="G68" s="19" t="n">
        <v>942310965408</v>
      </c>
      <c r="H68" s="17" t="s">
        <v>134</v>
      </c>
      <c r="I68" s="17" t="s">
        <v>44</v>
      </c>
      <c r="J68" s="17" t="s">
        <v>106</v>
      </c>
      <c r="K68" s="17" t="str">
        <f aca="false">VLOOKUP(J68,Sheet2!A:B,2,0)</f>
        <v>PRAKASH CHAVDA</v>
      </c>
      <c r="L68" s="17" t="n">
        <v>5</v>
      </c>
      <c r="M68" s="17" t="str">
        <f aca="false">VLOOKUP(L68,Sheet2!D:E,2,0)</f>
        <v>Main Processor CPU BGA</v>
      </c>
      <c r="N68" s="17" t="n">
        <v>1</v>
      </c>
      <c r="O68" s="17" t="str">
        <f aca="false">VLOOKUP(N68,Sheet2!G:H,2,0)</f>
        <v>Dead</v>
      </c>
      <c r="P68" s="17" t="n">
        <v>12</v>
      </c>
      <c r="Q68" s="17" t="str">
        <f aca="false">VLOOKUP(P68,Sheet2!J:K,2,0)</f>
        <v>IR Declared due to Others ( IR Normal)TB</v>
      </c>
      <c r="R68" s="17" t="s">
        <v>35</v>
      </c>
      <c r="S68" s="17" t="str">
        <f aca="false">VLOOKUP(R68,Sheet2!N:O,2,0)</f>
        <v>IREPARABLE</v>
      </c>
      <c r="T68" s="18" t="str">
        <f aca="false">VLOOKUP(P68,Sheet2!Q:R,2,0)</f>
        <v>IR Normal - BER to IR</v>
      </c>
      <c r="U68" s="20" t="s">
        <v>135</v>
      </c>
      <c r="V68" s="17" t="n">
        <v>12</v>
      </c>
      <c r="W68" s="20" t="str">
        <f aca="false">VLOOKUP(V68,Sheet2!Q:R,2,0)</f>
        <v>IR Normal - BER to IR</v>
      </c>
      <c r="X68" s="17" t="str">
        <f aca="false">J68</f>
        <v>A018</v>
      </c>
      <c r="Y68" s="17" t="str">
        <f aca="false">VLOOKUP(X68,Sheet2!A:B,2,0)</f>
        <v>PRAKASH CHAVDA</v>
      </c>
      <c r="Z68" s="17" t="s">
        <v>127</v>
      </c>
      <c r="AA68" s="17" t="s">
        <v>40</v>
      </c>
      <c r="AB68" s="17" t="s">
        <v>41</v>
      </c>
      <c r="AC68" s="0" t="str">
        <f aca="false">LEFT(G68,2)</f>
        <v>94</v>
      </c>
      <c r="AD68" s="0"/>
      <c r="AE68" s="21" t="s">
        <v>42</v>
      </c>
    </row>
    <row r="69" customFormat="false" ht="15" hidden="false" customHeight="false" outlineLevel="0" collapsed="false">
      <c r="A69" s="13" t="n">
        <f aca="false">1+A68</f>
        <v>67</v>
      </c>
      <c r="B69" s="17" t="n">
        <v>1009582380</v>
      </c>
      <c r="C69" s="17" t="s">
        <v>139</v>
      </c>
      <c r="D69" s="17" t="s">
        <v>131</v>
      </c>
      <c r="E69" s="17" t="s">
        <v>47</v>
      </c>
      <c r="F69" s="18" t="s">
        <v>34</v>
      </c>
      <c r="G69" s="19" t="n">
        <v>942363939961</v>
      </c>
      <c r="H69" s="17" t="s">
        <v>134</v>
      </c>
      <c r="I69" s="17" t="s">
        <v>44</v>
      </c>
      <c r="J69" s="17" t="s">
        <v>106</v>
      </c>
      <c r="K69" s="17" t="str">
        <f aca="false">VLOOKUP(J69,Sheet2!A:B,2,0)</f>
        <v>PRAKASH CHAVDA</v>
      </c>
      <c r="L69" s="17" t="n">
        <v>5</v>
      </c>
      <c r="M69" s="17" t="str">
        <f aca="false">VLOOKUP(L69,Sheet2!D:E,2,0)</f>
        <v>Main Processor CPU BGA</v>
      </c>
      <c r="N69" s="17" t="n">
        <v>24</v>
      </c>
      <c r="O69" s="17" t="str">
        <f aca="false">VLOOKUP(N69,Sheet2!G:H,2,0)</f>
        <v>STB Auto moving -Stand by mode</v>
      </c>
      <c r="P69" s="17" t="n">
        <v>12</v>
      </c>
      <c r="Q69" s="17" t="str">
        <f aca="false">VLOOKUP(P69,Sheet2!J:K,2,0)</f>
        <v>IR Declared due to Others ( IR Normal)TB</v>
      </c>
      <c r="R69" s="17" t="s">
        <v>35</v>
      </c>
      <c r="S69" s="17" t="str">
        <f aca="false">VLOOKUP(R69,Sheet2!N:O,2,0)</f>
        <v>IREPARABLE</v>
      </c>
      <c r="T69" s="18" t="str">
        <f aca="false">VLOOKUP(P69,Sheet2!Q:R,2,0)</f>
        <v>IR Normal - BER to IR</v>
      </c>
      <c r="U69" s="20" t="s">
        <v>135</v>
      </c>
      <c r="V69" s="17" t="n">
        <v>12</v>
      </c>
      <c r="W69" s="20" t="str">
        <f aca="false">VLOOKUP(V69,Sheet2!Q:R,2,0)</f>
        <v>IR Normal - BER to IR</v>
      </c>
      <c r="X69" s="17" t="str">
        <f aca="false">J69</f>
        <v>A018</v>
      </c>
      <c r="Y69" s="17" t="str">
        <f aca="false">VLOOKUP(X69,Sheet2!A:B,2,0)</f>
        <v>PRAKASH CHAVDA</v>
      </c>
      <c r="Z69" s="17" t="s">
        <v>127</v>
      </c>
      <c r="AA69" s="17" t="s">
        <v>40</v>
      </c>
      <c r="AB69" s="17" t="s">
        <v>41</v>
      </c>
      <c r="AC69" s="0" t="str">
        <f aca="false">LEFT(G69,2)</f>
        <v>94</v>
      </c>
      <c r="AD69" s="0"/>
      <c r="AE69" s="21" t="s">
        <v>42</v>
      </c>
    </row>
    <row r="70" customFormat="false" ht="15" hidden="false" customHeight="false" outlineLevel="0" collapsed="false">
      <c r="A70" s="13" t="n">
        <f aca="false">1+A69</f>
        <v>68</v>
      </c>
      <c r="B70" s="17" t="n">
        <v>1009580406</v>
      </c>
      <c r="C70" s="17" t="s">
        <v>104</v>
      </c>
      <c r="D70" s="17" t="s">
        <v>32</v>
      </c>
      <c r="E70" s="17" t="s">
        <v>47</v>
      </c>
      <c r="F70" s="18" t="s">
        <v>34</v>
      </c>
      <c r="G70" s="19" t="n">
        <v>413311110477</v>
      </c>
      <c r="H70" s="17" t="s">
        <v>134</v>
      </c>
      <c r="I70" s="17" t="s">
        <v>44</v>
      </c>
      <c r="J70" s="17" t="s">
        <v>106</v>
      </c>
      <c r="K70" s="17" t="str">
        <f aca="false">VLOOKUP(J70,Sheet2!A:B,2,0)</f>
        <v>PRAKASH CHAVDA</v>
      </c>
      <c r="L70" s="17" t="n">
        <v>5</v>
      </c>
      <c r="M70" s="17" t="str">
        <f aca="false">VLOOKUP(L70,Sheet2!D:E,2,0)</f>
        <v>Main Processor CPU BGA</v>
      </c>
      <c r="N70" s="17" t="n">
        <v>1</v>
      </c>
      <c r="O70" s="17" t="str">
        <f aca="false">VLOOKUP(N70,Sheet2!G:H,2,0)</f>
        <v>Dead</v>
      </c>
      <c r="P70" s="17" t="n">
        <v>12</v>
      </c>
      <c r="Q70" s="17" t="str">
        <f aca="false">VLOOKUP(P70,Sheet2!J:K,2,0)</f>
        <v>IR Declared due to Others ( IR Normal)TB</v>
      </c>
      <c r="R70" s="17" t="s">
        <v>35</v>
      </c>
      <c r="S70" s="17" t="str">
        <f aca="false">VLOOKUP(R70,Sheet2!N:O,2,0)</f>
        <v>IREPARABLE</v>
      </c>
      <c r="T70" s="18" t="str">
        <f aca="false">VLOOKUP(P70,Sheet2!Q:R,2,0)</f>
        <v>IR Normal - BER to IR</v>
      </c>
      <c r="U70" s="20" t="s">
        <v>135</v>
      </c>
      <c r="V70" s="17" t="n">
        <v>12</v>
      </c>
      <c r="W70" s="20" t="str">
        <f aca="false">VLOOKUP(V70,Sheet2!Q:R,2,0)</f>
        <v>IR Normal - BER to IR</v>
      </c>
      <c r="X70" s="17" t="str">
        <f aca="false">J70</f>
        <v>A018</v>
      </c>
      <c r="Y70" s="17" t="str">
        <f aca="false">VLOOKUP(X70,Sheet2!A:B,2,0)</f>
        <v>PRAKASH CHAVDA</v>
      </c>
      <c r="Z70" s="17" t="s">
        <v>149</v>
      </c>
      <c r="AA70" s="17" t="s">
        <v>40</v>
      </c>
      <c r="AB70" s="17" t="s">
        <v>41</v>
      </c>
      <c r="AC70" s="0" t="str">
        <f aca="false">LEFT(G70,2)</f>
        <v>41</v>
      </c>
      <c r="AD70" s="0"/>
      <c r="AE70" s="21" t="s">
        <v>42</v>
      </c>
    </row>
    <row r="71" customFormat="false" ht="15" hidden="false" customHeight="false" outlineLevel="0" collapsed="false">
      <c r="A71" s="13" t="n">
        <f aca="false">1+A70</f>
        <v>69</v>
      </c>
      <c r="B71" s="17" t="n">
        <v>1009581155</v>
      </c>
      <c r="C71" s="17" t="s">
        <v>104</v>
      </c>
      <c r="D71" s="17" t="s">
        <v>86</v>
      </c>
      <c r="E71" s="17" t="s">
        <v>91</v>
      </c>
      <c r="F71" s="18" t="s">
        <v>92</v>
      </c>
      <c r="G71" s="19" t="n">
        <v>954255132183</v>
      </c>
      <c r="H71" s="17" t="s">
        <v>134</v>
      </c>
      <c r="I71" s="17" t="s">
        <v>44</v>
      </c>
      <c r="J71" s="17" t="s">
        <v>106</v>
      </c>
      <c r="K71" s="17" t="str">
        <f aca="false">VLOOKUP(J71,Sheet2!A:B,2,0)</f>
        <v>PRAKASH CHAVDA</v>
      </c>
      <c r="L71" s="17" t="n">
        <v>5</v>
      </c>
      <c r="M71" s="17" t="str">
        <f aca="false">VLOOKUP(L71,Sheet2!D:E,2,0)</f>
        <v>Main Processor CPU BGA</v>
      </c>
      <c r="N71" s="17" t="n">
        <v>24</v>
      </c>
      <c r="O71" s="17" t="str">
        <f aca="false">VLOOKUP(N71,Sheet2!G:H,2,0)</f>
        <v>STB Auto moving -Stand by mode</v>
      </c>
      <c r="P71" s="17" t="n">
        <v>12</v>
      </c>
      <c r="Q71" s="17" t="str">
        <f aca="false">VLOOKUP(P71,Sheet2!J:K,2,0)</f>
        <v>IR Declared due to Others ( IR Normal)TB</v>
      </c>
      <c r="R71" s="17" t="s">
        <v>35</v>
      </c>
      <c r="S71" s="17" t="str">
        <f aca="false">VLOOKUP(R71,Sheet2!N:O,2,0)</f>
        <v>IREPARABLE</v>
      </c>
      <c r="T71" s="18" t="str">
        <f aca="false">VLOOKUP(P71,Sheet2!Q:R,2,0)</f>
        <v>IR Normal - BER to IR</v>
      </c>
      <c r="U71" s="20" t="s">
        <v>135</v>
      </c>
      <c r="V71" s="17" t="n">
        <v>12</v>
      </c>
      <c r="W71" s="20" t="str">
        <f aca="false">VLOOKUP(V71,Sheet2!Q:R,2,0)</f>
        <v>IR Normal - BER to IR</v>
      </c>
      <c r="X71" s="17" t="str">
        <f aca="false">J71</f>
        <v>A018</v>
      </c>
      <c r="Y71" s="17" t="str">
        <f aca="false">VLOOKUP(X71,Sheet2!A:B,2,0)</f>
        <v>PRAKASH CHAVDA</v>
      </c>
      <c r="Z71" s="17" t="s">
        <v>150</v>
      </c>
      <c r="AA71" s="17" t="s">
        <v>40</v>
      </c>
      <c r="AB71" s="17" t="s">
        <v>41</v>
      </c>
      <c r="AC71" s="0" t="str">
        <f aca="false">LEFT(G71,2)</f>
        <v>95</v>
      </c>
      <c r="AD71" s="0"/>
      <c r="AE71" s="21" t="s">
        <v>42</v>
      </c>
    </row>
    <row r="72" customFormat="false" ht="15" hidden="false" customHeight="false" outlineLevel="0" collapsed="false">
      <c r="A72" s="13" t="n">
        <f aca="false">1+A71</f>
        <v>70</v>
      </c>
      <c r="B72" s="17" t="n">
        <v>1009582453</v>
      </c>
      <c r="C72" s="17" t="s">
        <v>139</v>
      </c>
      <c r="D72" s="17" t="s">
        <v>64</v>
      </c>
      <c r="E72" s="17" t="s">
        <v>33</v>
      </c>
      <c r="F72" s="18" t="s">
        <v>34</v>
      </c>
      <c r="G72" s="19" t="n">
        <v>954315210623</v>
      </c>
      <c r="H72" s="17" t="s">
        <v>134</v>
      </c>
      <c r="I72" s="17" t="s">
        <v>44</v>
      </c>
      <c r="J72" s="17" t="s">
        <v>106</v>
      </c>
      <c r="K72" s="17" t="str">
        <f aca="false">VLOOKUP(J72,Sheet2!A:B,2,0)</f>
        <v>PRAKASH CHAVDA</v>
      </c>
      <c r="L72" s="17" t="n">
        <v>5</v>
      </c>
      <c r="M72" s="17" t="str">
        <f aca="false">VLOOKUP(L72,Sheet2!D:E,2,0)</f>
        <v>Main Processor CPU BGA</v>
      </c>
      <c r="N72" s="17" t="n">
        <v>1</v>
      </c>
      <c r="O72" s="17" t="str">
        <f aca="false">VLOOKUP(N72,Sheet2!G:H,2,0)</f>
        <v>Dead</v>
      </c>
      <c r="P72" s="17" t="n">
        <v>12</v>
      </c>
      <c r="Q72" s="17" t="str">
        <f aca="false">VLOOKUP(P72,Sheet2!J:K,2,0)</f>
        <v>IR Declared due to Others ( IR Normal)TB</v>
      </c>
      <c r="R72" s="17" t="s">
        <v>35</v>
      </c>
      <c r="S72" s="17" t="str">
        <f aca="false">VLOOKUP(R72,Sheet2!N:O,2,0)</f>
        <v>IREPARABLE</v>
      </c>
      <c r="T72" s="18" t="str">
        <f aca="false">VLOOKUP(P72,Sheet2!Q:R,2,0)</f>
        <v>IR Normal - BER to IR</v>
      </c>
      <c r="U72" s="20" t="s">
        <v>135</v>
      </c>
      <c r="V72" s="17" t="n">
        <v>12</v>
      </c>
      <c r="W72" s="20" t="str">
        <f aca="false">VLOOKUP(V72,Sheet2!Q:R,2,0)</f>
        <v>IR Normal - BER to IR</v>
      </c>
      <c r="X72" s="17" t="str">
        <f aca="false">J72</f>
        <v>A018</v>
      </c>
      <c r="Y72" s="17" t="str">
        <f aca="false">VLOOKUP(X72,Sheet2!A:B,2,0)</f>
        <v>PRAKASH CHAVDA</v>
      </c>
      <c r="Z72" s="17" t="s">
        <v>150</v>
      </c>
      <c r="AA72" s="17" t="s">
        <v>40</v>
      </c>
      <c r="AB72" s="17" t="s">
        <v>41</v>
      </c>
      <c r="AC72" s="0" t="str">
        <f aca="false">LEFT(G72,2)</f>
        <v>95</v>
      </c>
      <c r="AD72" s="0"/>
      <c r="AE72" s="21" t="s">
        <v>42</v>
      </c>
    </row>
    <row r="73" customFormat="false" ht="15" hidden="false" customHeight="false" outlineLevel="0" collapsed="false">
      <c r="A73" s="13" t="n">
        <f aca="false">1+A72</f>
        <v>71</v>
      </c>
      <c r="B73" s="17" t="n">
        <v>1009582466</v>
      </c>
      <c r="C73" s="17" t="s">
        <v>139</v>
      </c>
      <c r="D73" s="17" t="s">
        <v>143</v>
      </c>
      <c r="E73" s="17" t="s">
        <v>91</v>
      </c>
      <c r="F73" s="18" t="s">
        <v>92</v>
      </c>
      <c r="G73" s="19" t="n">
        <v>954078354030</v>
      </c>
      <c r="H73" s="17" t="s">
        <v>134</v>
      </c>
      <c r="I73" s="17" t="s">
        <v>44</v>
      </c>
      <c r="J73" s="17" t="s">
        <v>106</v>
      </c>
      <c r="K73" s="17" t="str">
        <f aca="false">VLOOKUP(J73,Sheet2!A:B,2,0)</f>
        <v>PRAKASH CHAVDA</v>
      </c>
      <c r="L73" s="17" t="n">
        <v>5</v>
      </c>
      <c r="M73" s="17" t="str">
        <f aca="false">VLOOKUP(L73,Sheet2!D:E,2,0)</f>
        <v>Main Processor CPU BGA</v>
      </c>
      <c r="N73" s="17" t="n">
        <v>24</v>
      </c>
      <c r="O73" s="17" t="str">
        <f aca="false">VLOOKUP(N73,Sheet2!G:H,2,0)</f>
        <v>STB Auto moving -Stand by mode</v>
      </c>
      <c r="P73" s="17" t="n">
        <v>12</v>
      </c>
      <c r="Q73" s="17" t="str">
        <f aca="false">VLOOKUP(P73,Sheet2!J:K,2,0)</f>
        <v>IR Declared due to Others ( IR Normal)TB</v>
      </c>
      <c r="R73" s="17" t="s">
        <v>35</v>
      </c>
      <c r="S73" s="17" t="str">
        <f aca="false">VLOOKUP(R73,Sheet2!N:O,2,0)</f>
        <v>IREPARABLE</v>
      </c>
      <c r="T73" s="18" t="str">
        <f aca="false">VLOOKUP(P73,Sheet2!Q:R,2,0)</f>
        <v>IR Normal - BER to IR</v>
      </c>
      <c r="U73" s="20" t="s">
        <v>135</v>
      </c>
      <c r="V73" s="17" t="n">
        <v>12</v>
      </c>
      <c r="W73" s="20" t="str">
        <f aca="false">VLOOKUP(V73,Sheet2!Q:R,2,0)</f>
        <v>IR Normal - BER to IR</v>
      </c>
      <c r="X73" s="17" t="str">
        <f aca="false">J73</f>
        <v>A018</v>
      </c>
      <c r="Y73" s="17" t="str">
        <f aca="false">VLOOKUP(X73,Sheet2!A:B,2,0)</f>
        <v>PRAKASH CHAVDA</v>
      </c>
      <c r="Z73" s="17" t="s">
        <v>150</v>
      </c>
      <c r="AA73" s="17" t="s">
        <v>40</v>
      </c>
      <c r="AB73" s="17" t="s">
        <v>41</v>
      </c>
      <c r="AC73" s="0" t="str">
        <f aca="false">LEFT(G73,2)</f>
        <v>95</v>
      </c>
      <c r="AD73" s="0"/>
      <c r="AE73" s="21" t="s">
        <v>42</v>
      </c>
    </row>
    <row r="74" customFormat="false" ht="15" hidden="false" customHeight="false" outlineLevel="0" collapsed="false">
      <c r="A74" s="13" t="n">
        <f aca="false">1+A73</f>
        <v>72</v>
      </c>
      <c r="B74" s="17" t="n">
        <v>1009574271</v>
      </c>
      <c r="C74" s="17" t="s">
        <v>151</v>
      </c>
      <c r="D74" s="17" t="s">
        <v>64</v>
      </c>
      <c r="E74" s="17" t="s">
        <v>47</v>
      </c>
      <c r="F74" s="18" t="s">
        <v>34</v>
      </c>
      <c r="G74" s="19" t="n">
        <v>954172149773</v>
      </c>
      <c r="H74" s="17" t="s">
        <v>134</v>
      </c>
      <c r="I74" s="17" t="s">
        <v>44</v>
      </c>
      <c r="J74" s="17" t="s">
        <v>106</v>
      </c>
      <c r="K74" s="17" t="str">
        <f aca="false">VLOOKUP(J74,Sheet2!A:B,2,0)</f>
        <v>PRAKASH CHAVDA</v>
      </c>
      <c r="L74" s="17" t="n">
        <v>3</v>
      </c>
      <c r="M74" s="17" t="str">
        <f aca="false">VLOOKUP(L74,Sheet2!D:E,2,0)</f>
        <v>Video Section</v>
      </c>
      <c r="N74" s="17" t="n">
        <v>15</v>
      </c>
      <c r="O74" s="17" t="str">
        <f aca="false">VLOOKUP(N74,Sheet2!G:H,2,0)</f>
        <v>No Video - AV</v>
      </c>
      <c r="P74" s="17" t="n">
        <v>12</v>
      </c>
      <c r="Q74" s="17" t="str">
        <f aca="false">VLOOKUP(P74,Sheet2!J:K,2,0)</f>
        <v>IR Declared due to Others ( IR Normal)TB</v>
      </c>
      <c r="R74" s="17" t="s">
        <v>35</v>
      </c>
      <c r="S74" s="17" t="str">
        <f aca="false">VLOOKUP(R74,Sheet2!N:O,2,0)</f>
        <v>IREPARABLE</v>
      </c>
      <c r="T74" s="18" t="str">
        <f aca="false">VLOOKUP(P74,Sheet2!Q:R,2,0)</f>
        <v>IR Normal - BER to IR</v>
      </c>
      <c r="U74" s="20" t="s">
        <v>135</v>
      </c>
      <c r="V74" s="17" t="n">
        <v>12</v>
      </c>
      <c r="W74" s="20" t="str">
        <f aca="false">VLOOKUP(V74,Sheet2!Q:R,2,0)</f>
        <v>IR Normal - BER to IR</v>
      </c>
      <c r="X74" s="17" t="str">
        <f aca="false">J74</f>
        <v>A018</v>
      </c>
      <c r="Y74" s="17" t="str">
        <f aca="false">VLOOKUP(X74,Sheet2!A:B,2,0)</f>
        <v>PRAKASH CHAVDA</v>
      </c>
      <c r="Z74" s="17" t="s">
        <v>150</v>
      </c>
      <c r="AA74" s="17" t="s">
        <v>40</v>
      </c>
      <c r="AB74" s="17" t="s">
        <v>41</v>
      </c>
      <c r="AC74" s="0" t="str">
        <f aca="false">LEFT(G74,2)</f>
        <v>95</v>
      </c>
      <c r="AD74" s="0"/>
      <c r="AE74" s="21" t="s">
        <v>42</v>
      </c>
    </row>
    <row r="75" customFormat="false" ht="15" hidden="false" customHeight="false" outlineLevel="0" collapsed="false">
      <c r="A75" s="13" t="n">
        <f aca="false">1+A74</f>
        <v>73</v>
      </c>
      <c r="B75" s="17" t="n">
        <v>1009575131</v>
      </c>
      <c r="C75" s="17" t="s">
        <v>152</v>
      </c>
      <c r="D75" s="17" t="s">
        <v>32</v>
      </c>
      <c r="E75" s="17" t="s">
        <v>47</v>
      </c>
      <c r="F75" s="18" t="s">
        <v>34</v>
      </c>
      <c r="G75" s="19" t="n">
        <v>954169190772</v>
      </c>
      <c r="H75" s="17" t="s">
        <v>134</v>
      </c>
      <c r="I75" s="17" t="s">
        <v>44</v>
      </c>
      <c r="J75" s="17" t="s">
        <v>106</v>
      </c>
      <c r="K75" s="17" t="str">
        <f aca="false">VLOOKUP(J75,Sheet2!A:B,2,0)</f>
        <v>PRAKASH CHAVDA</v>
      </c>
      <c r="L75" s="17" t="n">
        <v>1</v>
      </c>
      <c r="M75" s="17" t="str">
        <f aca="false">VLOOKUP(L75,Sheet2!D:E,2,0)</f>
        <v>Power Supply Section</v>
      </c>
      <c r="N75" s="17" t="n">
        <v>1</v>
      </c>
      <c r="O75" s="17" t="str">
        <f aca="false">VLOOKUP(N75,Sheet2!G:H,2,0)</f>
        <v>Dead</v>
      </c>
      <c r="P75" s="17" t="n">
        <v>12</v>
      </c>
      <c r="Q75" s="17" t="str">
        <f aca="false">VLOOKUP(P75,Sheet2!J:K,2,0)</f>
        <v>IR Declared due to Others ( IR Normal)TB</v>
      </c>
      <c r="R75" s="17" t="s">
        <v>35</v>
      </c>
      <c r="S75" s="17" t="str">
        <f aca="false">VLOOKUP(R75,Sheet2!N:O,2,0)</f>
        <v>IREPARABLE</v>
      </c>
      <c r="T75" s="18" t="str">
        <f aca="false">VLOOKUP(P75,Sheet2!Q:R,2,0)</f>
        <v>IR Normal - BER to IR</v>
      </c>
      <c r="U75" s="20" t="s">
        <v>135</v>
      </c>
      <c r="V75" s="17" t="n">
        <v>12</v>
      </c>
      <c r="W75" s="20" t="str">
        <f aca="false">VLOOKUP(V75,Sheet2!Q:R,2,0)</f>
        <v>IR Normal - BER to IR</v>
      </c>
      <c r="X75" s="17" t="str">
        <f aca="false">J75</f>
        <v>A018</v>
      </c>
      <c r="Y75" s="17" t="str">
        <f aca="false">VLOOKUP(X75,Sheet2!A:B,2,0)</f>
        <v>PRAKASH CHAVDA</v>
      </c>
      <c r="Z75" s="17" t="s">
        <v>150</v>
      </c>
      <c r="AA75" s="17" t="s">
        <v>40</v>
      </c>
      <c r="AB75" s="17" t="s">
        <v>41</v>
      </c>
      <c r="AC75" s="0" t="str">
        <f aca="false">LEFT(G75,2)</f>
        <v>95</v>
      </c>
      <c r="AD75" s="0"/>
      <c r="AE75" s="21" t="s">
        <v>42</v>
      </c>
    </row>
    <row r="76" customFormat="false" ht="15" hidden="false" customHeight="false" outlineLevel="0" collapsed="false">
      <c r="A76" s="13" t="n">
        <f aca="false">1+A75</f>
        <v>74</v>
      </c>
      <c r="B76" s="17" t="n">
        <v>1009579682</v>
      </c>
      <c r="C76" s="17" t="s">
        <v>139</v>
      </c>
      <c r="D76" s="17" t="s">
        <v>64</v>
      </c>
      <c r="E76" s="17" t="s">
        <v>47</v>
      </c>
      <c r="F76" s="18" t="s">
        <v>34</v>
      </c>
      <c r="G76" s="19" t="n">
        <v>954149167346</v>
      </c>
      <c r="H76" s="17" t="s">
        <v>134</v>
      </c>
      <c r="I76" s="17" t="s">
        <v>44</v>
      </c>
      <c r="J76" s="17" t="s">
        <v>106</v>
      </c>
      <c r="K76" s="17" t="str">
        <f aca="false">VLOOKUP(J76,Sheet2!A:B,2,0)</f>
        <v>PRAKASH CHAVDA</v>
      </c>
      <c r="L76" s="17" t="n">
        <v>5</v>
      </c>
      <c r="M76" s="17" t="str">
        <f aca="false">VLOOKUP(L76,Sheet2!D:E,2,0)</f>
        <v>Main Processor CPU BGA</v>
      </c>
      <c r="N76" s="17" t="n">
        <v>1</v>
      </c>
      <c r="O76" s="17" t="str">
        <f aca="false">VLOOKUP(N76,Sheet2!G:H,2,0)</f>
        <v>Dead</v>
      </c>
      <c r="P76" s="17" t="n">
        <v>12</v>
      </c>
      <c r="Q76" s="17" t="str">
        <f aca="false">VLOOKUP(P76,Sheet2!J:K,2,0)</f>
        <v>IR Declared due to Others ( IR Normal)TB</v>
      </c>
      <c r="R76" s="17" t="s">
        <v>35</v>
      </c>
      <c r="S76" s="17" t="str">
        <f aca="false">VLOOKUP(R76,Sheet2!N:O,2,0)</f>
        <v>IREPARABLE</v>
      </c>
      <c r="T76" s="18" t="str">
        <f aca="false">VLOOKUP(P76,Sheet2!Q:R,2,0)</f>
        <v>IR Normal - BER to IR</v>
      </c>
      <c r="U76" s="20" t="s">
        <v>135</v>
      </c>
      <c r="V76" s="17" t="n">
        <v>12</v>
      </c>
      <c r="W76" s="20" t="str">
        <f aca="false">VLOOKUP(V76,Sheet2!Q:R,2,0)</f>
        <v>IR Normal - BER to IR</v>
      </c>
      <c r="X76" s="17" t="str">
        <f aca="false">J76</f>
        <v>A018</v>
      </c>
      <c r="Y76" s="17" t="str">
        <f aca="false">VLOOKUP(X76,Sheet2!A:B,2,0)</f>
        <v>PRAKASH CHAVDA</v>
      </c>
      <c r="Z76" s="17" t="s">
        <v>150</v>
      </c>
      <c r="AA76" s="17" t="s">
        <v>40</v>
      </c>
      <c r="AB76" s="17" t="s">
        <v>41</v>
      </c>
      <c r="AC76" s="0" t="str">
        <f aca="false">LEFT(G76,2)</f>
        <v>95</v>
      </c>
      <c r="AD76" s="0"/>
      <c r="AE76" s="21" t="s">
        <v>42</v>
      </c>
    </row>
    <row r="77" customFormat="false" ht="15" hidden="false" customHeight="false" outlineLevel="0" collapsed="false">
      <c r="A77" s="13" t="n">
        <f aca="false">1+A76</f>
        <v>75</v>
      </c>
      <c r="B77" s="17" t="n">
        <v>1009577144</v>
      </c>
      <c r="C77" s="17" t="s">
        <v>139</v>
      </c>
      <c r="D77" s="17" t="s">
        <v>86</v>
      </c>
      <c r="E77" s="17" t="s">
        <v>64</v>
      </c>
      <c r="F77" s="18" t="s">
        <v>70</v>
      </c>
      <c r="G77" s="19" t="n">
        <v>775332186367</v>
      </c>
      <c r="H77" s="17" t="s">
        <v>134</v>
      </c>
      <c r="I77" s="17" t="s">
        <v>69</v>
      </c>
      <c r="J77" s="17" t="s">
        <v>106</v>
      </c>
      <c r="K77" s="17" t="str">
        <f aca="false">VLOOKUP(J77,Sheet2!A:B,2,0)</f>
        <v>PRAKASH CHAVDA</v>
      </c>
      <c r="L77" s="17" t="n">
        <v>5</v>
      </c>
      <c r="M77" s="17" t="str">
        <f aca="false">VLOOKUP(L77,Sheet2!D:E,2,0)</f>
        <v>Main Processor CPU BGA</v>
      </c>
      <c r="N77" s="17" t="n">
        <v>1</v>
      </c>
      <c r="O77" s="17" t="str">
        <f aca="false">VLOOKUP(N77,Sheet2!G:H,2,0)</f>
        <v>Dead</v>
      </c>
      <c r="P77" s="17" t="n">
        <v>12</v>
      </c>
      <c r="Q77" s="17" t="str">
        <f aca="false">VLOOKUP(P77,Sheet2!J:K,2,0)</f>
        <v>IR Declared due to Others ( IR Normal)TB</v>
      </c>
      <c r="R77" s="17" t="s">
        <v>35</v>
      </c>
      <c r="S77" s="17" t="str">
        <f aca="false">VLOOKUP(R77,Sheet2!N:O,2,0)</f>
        <v>IREPARABLE</v>
      </c>
      <c r="T77" s="18" t="str">
        <f aca="false">VLOOKUP(P77,Sheet2!Q:R,2,0)</f>
        <v>IR Normal - BER to IR</v>
      </c>
      <c r="U77" s="20" t="s">
        <v>135</v>
      </c>
      <c r="V77" s="17" t="n">
        <v>12</v>
      </c>
      <c r="W77" s="20" t="str">
        <f aca="false">VLOOKUP(V77,Sheet2!Q:R,2,0)</f>
        <v>IR Normal - BER to IR</v>
      </c>
      <c r="X77" s="17" t="str">
        <f aca="false">J77</f>
        <v>A018</v>
      </c>
      <c r="Y77" s="17" t="str">
        <f aca="false">VLOOKUP(X77,Sheet2!A:B,2,0)</f>
        <v>PRAKASH CHAVDA</v>
      </c>
      <c r="Z77" s="17" t="s">
        <v>136</v>
      </c>
      <c r="AA77" s="17" t="s">
        <v>40</v>
      </c>
      <c r="AB77" s="17" t="s">
        <v>41</v>
      </c>
      <c r="AC77" s="0" t="str">
        <f aca="false">LEFT(G77,2)</f>
        <v>77</v>
      </c>
      <c r="AD77" s="0"/>
      <c r="AE77" s="21" t="s">
        <v>42</v>
      </c>
    </row>
    <row r="78" customFormat="false" ht="15" hidden="false" customHeight="false" outlineLevel="0" collapsed="false">
      <c r="A78" s="13" t="n">
        <f aca="false">1+A77</f>
        <v>76</v>
      </c>
      <c r="B78" s="17" t="n">
        <v>1009578400</v>
      </c>
      <c r="C78" s="17" t="s">
        <v>104</v>
      </c>
      <c r="D78" s="17" t="s">
        <v>64</v>
      </c>
      <c r="E78" s="17" t="s">
        <v>47</v>
      </c>
      <c r="F78" s="18" t="s">
        <v>34</v>
      </c>
      <c r="G78" s="19" t="n">
        <v>775156157874</v>
      </c>
      <c r="H78" s="17" t="s">
        <v>134</v>
      </c>
      <c r="I78" s="17" t="s">
        <v>69</v>
      </c>
      <c r="J78" s="17" t="s">
        <v>106</v>
      </c>
      <c r="K78" s="17" t="str">
        <f aca="false">VLOOKUP(J78,Sheet2!A:B,2,0)</f>
        <v>PRAKASH CHAVDA</v>
      </c>
      <c r="L78" s="17" t="n">
        <v>5</v>
      </c>
      <c r="M78" s="17" t="str">
        <f aca="false">VLOOKUP(L78,Sheet2!D:E,2,0)</f>
        <v>Main Processor CPU BGA</v>
      </c>
      <c r="N78" s="17" t="n">
        <v>1</v>
      </c>
      <c r="O78" s="17" t="str">
        <f aca="false">VLOOKUP(N78,Sheet2!G:H,2,0)</f>
        <v>Dead</v>
      </c>
      <c r="P78" s="17" t="n">
        <v>12</v>
      </c>
      <c r="Q78" s="17" t="str">
        <f aca="false">VLOOKUP(P78,Sheet2!J:K,2,0)</f>
        <v>IR Declared due to Others ( IR Normal)TB</v>
      </c>
      <c r="R78" s="17" t="s">
        <v>35</v>
      </c>
      <c r="S78" s="17" t="str">
        <f aca="false">VLOOKUP(R78,Sheet2!N:O,2,0)</f>
        <v>IREPARABLE</v>
      </c>
      <c r="T78" s="18" t="str">
        <f aca="false">VLOOKUP(P78,Sheet2!Q:R,2,0)</f>
        <v>IR Normal - BER to IR</v>
      </c>
      <c r="U78" s="20" t="s">
        <v>135</v>
      </c>
      <c r="V78" s="17" t="n">
        <v>12</v>
      </c>
      <c r="W78" s="20" t="str">
        <f aca="false">VLOOKUP(V78,Sheet2!Q:R,2,0)</f>
        <v>IR Normal - BER to IR</v>
      </c>
      <c r="X78" s="17" t="str">
        <f aca="false">J78</f>
        <v>A018</v>
      </c>
      <c r="Y78" s="17" t="str">
        <f aca="false">VLOOKUP(X78,Sheet2!A:B,2,0)</f>
        <v>PRAKASH CHAVDA</v>
      </c>
      <c r="Z78" s="17" t="s">
        <v>136</v>
      </c>
      <c r="AA78" s="17" t="s">
        <v>40</v>
      </c>
      <c r="AB78" s="17" t="s">
        <v>41</v>
      </c>
      <c r="AC78" s="0" t="str">
        <f aca="false">LEFT(G78,2)</f>
        <v>77</v>
      </c>
      <c r="AD78" s="0"/>
      <c r="AE78" s="21" t="s">
        <v>42</v>
      </c>
    </row>
    <row r="79" customFormat="false" ht="15" hidden="false" customHeight="false" outlineLevel="0" collapsed="false">
      <c r="A79" s="13" t="n">
        <f aca="false">1+A78</f>
        <v>77</v>
      </c>
      <c r="B79" s="17" t="n">
        <v>1009578544</v>
      </c>
      <c r="C79" s="17" t="s">
        <v>139</v>
      </c>
      <c r="D79" s="17" t="s">
        <v>143</v>
      </c>
      <c r="E79" s="17" t="s">
        <v>64</v>
      </c>
      <c r="F79" s="18" t="s">
        <v>70</v>
      </c>
      <c r="G79" s="19" t="n">
        <v>775342212567</v>
      </c>
      <c r="H79" s="17" t="s">
        <v>134</v>
      </c>
      <c r="I79" s="17" t="s">
        <v>69</v>
      </c>
      <c r="J79" s="17" t="s">
        <v>106</v>
      </c>
      <c r="K79" s="17" t="str">
        <f aca="false">VLOOKUP(J79,Sheet2!A:B,2,0)</f>
        <v>PRAKASH CHAVDA</v>
      </c>
      <c r="L79" s="17" t="n">
        <v>5</v>
      </c>
      <c r="M79" s="17" t="str">
        <f aca="false">VLOOKUP(L79,Sheet2!D:E,2,0)</f>
        <v>Main Processor CPU BGA</v>
      </c>
      <c r="N79" s="17" t="n">
        <v>1</v>
      </c>
      <c r="O79" s="17" t="str">
        <f aca="false">VLOOKUP(N79,Sheet2!G:H,2,0)</f>
        <v>Dead</v>
      </c>
      <c r="P79" s="17" t="n">
        <v>12</v>
      </c>
      <c r="Q79" s="17" t="str">
        <f aca="false">VLOOKUP(P79,Sheet2!J:K,2,0)</f>
        <v>IR Declared due to Others ( IR Normal)TB</v>
      </c>
      <c r="R79" s="17" t="s">
        <v>35</v>
      </c>
      <c r="S79" s="17" t="str">
        <f aca="false">VLOOKUP(R79,Sheet2!N:O,2,0)</f>
        <v>IREPARABLE</v>
      </c>
      <c r="T79" s="18" t="str">
        <f aca="false">VLOOKUP(P79,Sheet2!Q:R,2,0)</f>
        <v>IR Normal - BER to IR</v>
      </c>
      <c r="U79" s="20" t="s">
        <v>135</v>
      </c>
      <c r="V79" s="17" t="n">
        <v>12</v>
      </c>
      <c r="W79" s="20" t="str">
        <f aca="false">VLOOKUP(V79,Sheet2!Q:R,2,0)</f>
        <v>IR Normal - BER to IR</v>
      </c>
      <c r="X79" s="17" t="str">
        <f aca="false">J79</f>
        <v>A018</v>
      </c>
      <c r="Y79" s="17" t="str">
        <f aca="false">VLOOKUP(X79,Sheet2!A:B,2,0)</f>
        <v>PRAKASH CHAVDA</v>
      </c>
      <c r="Z79" s="17" t="s">
        <v>136</v>
      </c>
      <c r="AA79" s="17" t="s">
        <v>40</v>
      </c>
      <c r="AB79" s="17" t="s">
        <v>41</v>
      </c>
      <c r="AC79" s="0" t="str">
        <f aca="false">LEFT(G79,2)</f>
        <v>77</v>
      </c>
      <c r="AD79" s="0"/>
      <c r="AE79" s="21" t="s">
        <v>42</v>
      </c>
    </row>
    <row r="80" customFormat="false" ht="15" hidden="false" customHeight="false" outlineLevel="0" collapsed="false">
      <c r="A80" s="13" t="n">
        <f aca="false">1+A79</f>
        <v>78</v>
      </c>
      <c r="B80" s="17" t="n">
        <v>1009586318</v>
      </c>
      <c r="C80" s="17" t="s">
        <v>139</v>
      </c>
      <c r="D80" s="17" t="s">
        <v>64</v>
      </c>
      <c r="E80" s="17" t="s">
        <v>47</v>
      </c>
      <c r="F80" s="18" t="s">
        <v>34</v>
      </c>
      <c r="G80" s="19" t="n">
        <v>774338105836</v>
      </c>
      <c r="H80" s="17" t="s">
        <v>134</v>
      </c>
      <c r="I80" s="17" t="s">
        <v>69</v>
      </c>
      <c r="J80" s="17" t="s">
        <v>106</v>
      </c>
      <c r="K80" s="17" t="str">
        <f aca="false">VLOOKUP(J80,Sheet2!A:B,2,0)</f>
        <v>PRAKASH CHAVDA</v>
      </c>
      <c r="L80" s="17" t="n">
        <v>5</v>
      </c>
      <c r="M80" s="17" t="str">
        <f aca="false">VLOOKUP(L80,Sheet2!D:E,2,0)</f>
        <v>Main Processor CPU BGA</v>
      </c>
      <c r="N80" s="17" t="n">
        <v>1</v>
      </c>
      <c r="O80" s="17" t="str">
        <f aca="false">VLOOKUP(N80,Sheet2!G:H,2,0)</f>
        <v>Dead</v>
      </c>
      <c r="P80" s="17" t="n">
        <v>12</v>
      </c>
      <c r="Q80" s="17" t="str">
        <f aca="false">VLOOKUP(P80,Sheet2!J:K,2,0)</f>
        <v>IR Declared due to Others ( IR Normal)TB</v>
      </c>
      <c r="R80" s="17" t="s">
        <v>35</v>
      </c>
      <c r="S80" s="17" t="str">
        <f aca="false">VLOOKUP(R80,Sheet2!N:O,2,0)</f>
        <v>IREPARABLE</v>
      </c>
      <c r="T80" s="18" t="str">
        <f aca="false">VLOOKUP(P80,Sheet2!Q:R,2,0)</f>
        <v>IR Normal - BER to IR</v>
      </c>
      <c r="U80" s="20" t="s">
        <v>135</v>
      </c>
      <c r="V80" s="17" t="n">
        <v>12</v>
      </c>
      <c r="W80" s="20" t="str">
        <f aca="false">VLOOKUP(V80,Sheet2!Q:R,2,0)</f>
        <v>IR Normal - BER to IR</v>
      </c>
      <c r="X80" s="17" t="str">
        <f aca="false">J80</f>
        <v>A018</v>
      </c>
      <c r="Y80" s="17" t="str">
        <f aca="false">VLOOKUP(X80,Sheet2!A:B,2,0)</f>
        <v>PRAKASH CHAVDA</v>
      </c>
      <c r="Z80" s="17" t="s">
        <v>136</v>
      </c>
      <c r="AA80" s="17" t="s">
        <v>40</v>
      </c>
      <c r="AB80" s="17" t="s">
        <v>41</v>
      </c>
      <c r="AC80" s="0" t="str">
        <f aca="false">LEFT(G80,2)</f>
        <v>77</v>
      </c>
      <c r="AD80" s="0"/>
      <c r="AE80" s="21" t="s">
        <v>42</v>
      </c>
    </row>
    <row r="81" customFormat="false" ht="15" hidden="false" customHeight="false" outlineLevel="0" collapsed="false">
      <c r="A81" s="13" t="n">
        <f aca="false">1+A80</f>
        <v>79</v>
      </c>
      <c r="B81" s="17" t="n">
        <v>1009523231</v>
      </c>
      <c r="C81" s="17" t="s">
        <v>153</v>
      </c>
      <c r="D81" s="17" t="s">
        <v>154</v>
      </c>
      <c r="E81" s="17" t="s">
        <v>47</v>
      </c>
      <c r="F81" s="18" t="s">
        <v>34</v>
      </c>
      <c r="G81" s="19" t="n">
        <v>775161079683</v>
      </c>
      <c r="H81" s="17" t="s">
        <v>134</v>
      </c>
      <c r="I81" s="17" t="s">
        <v>69</v>
      </c>
      <c r="J81" s="17" t="s">
        <v>106</v>
      </c>
      <c r="K81" s="17" t="str">
        <f aca="false">VLOOKUP(J81,Sheet2!A:B,2,0)</f>
        <v>PRAKASH CHAVDA</v>
      </c>
      <c r="L81" s="17" t="n">
        <v>5</v>
      </c>
      <c r="M81" s="17" t="str">
        <f aca="false">VLOOKUP(L81,Sheet2!D:E,2,0)</f>
        <v>Main Processor CPU BGA</v>
      </c>
      <c r="N81" s="17" t="n">
        <v>1</v>
      </c>
      <c r="O81" s="17" t="str">
        <f aca="false">VLOOKUP(N81,Sheet2!G:H,2,0)</f>
        <v>Dead</v>
      </c>
      <c r="P81" s="17" t="n">
        <v>12</v>
      </c>
      <c r="Q81" s="17" t="str">
        <f aca="false">VLOOKUP(P81,Sheet2!J:K,2,0)</f>
        <v>IR Declared due to Others ( IR Normal)TB</v>
      </c>
      <c r="R81" s="17" t="s">
        <v>35</v>
      </c>
      <c r="S81" s="17" t="str">
        <f aca="false">VLOOKUP(R81,Sheet2!N:O,2,0)</f>
        <v>IREPARABLE</v>
      </c>
      <c r="T81" s="18" t="str">
        <f aca="false">VLOOKUP(P81,Sheet2!Q:R,2,0)</f>
        <v>IR Normal - BER to IR</v>
      </c>
      <c r="U81" s="20" t="s">
        <v>135</v>
      </c>
      <c r="V81" s="17" t="n">
        <v>12</v>
      </c>
      <c r="W81" s="20" t="str">
        <f aca="false">VLOOKUP(V81,Sheet2!Q:R,2,0)</f>
        <v>IR Normal - BER to IR</v>
      </c>
      <c r="X81" s="17" t="str">
        <f aca="false">J81</f>
        <v>A018</v>
      </c>
      <c r="Y81" s="17" t="str">
        <f aca="false">VLOOKUP(X81,Sheet2!A:B,2,0)</f>
        <v>PRAKASH CHAVDA</v>
      </c>
      <c r="Z81" s="17" t="s">
        <v>136</v>
      </c>
      <c r="AA81" s="17" t="s">
        <v>40</v>
      </c>
      <c r="AB81" s="17" t="s">
        <v>41</v>
      </c>
      <c r="AC81" s="0" t="str">
        <f aca="false">LEFT(G81,2)</f>
        <v>77</v>
      </c>
      <c r="AD81" s="0"/>
      <c r="AE81" s="21" t="s">
        <v>42</v>
      </c>
    </row>
    <row r="82" customFormat="false" ht="15" hidden="false" customHeight="false" outlineLevel="0" collapsed="false">
      <c r="A82" s="13" t="n">
        <f aca="false">1+A81</f>
        <v>80</v>
      </c>
      <c r="B82" s="17" t="n">
        <v>1009586381</v>
      </c>
      <c r="C82" s="17" t="s">
        <v>139</v>
      </c>
      <c r="D82" s="17" t="s">
        <v>64</v>
      </c>
      <c r="E82" s="17" t="s">
        <v>47</v>
      </c>
      <c r="F82" s="18" t="s">
        <v>34</v>
      </c>
      <c r="G82" s="19" t="n">
        <v>774338002165</v>
      </c>
      <c r="H82" s="17" t="s">
        <v>134</v>
      </c>
      <c r="I82" s="17" t="s">
        <v>69</v>
      </c>
      <c r="J82" s="17" t="s">
        <v>106</v>
      </c>
      <c r="K82" s="17" t="str">
        <f aca="false">VLOOKUP(J82,Sheet2!A:B,2,0)</f>
        <v>PRAKASH CHAVDA</v>
      </c>
      <c r="L82" s="17" t="n">
        <v>5</v>
      </c>
      <c r="M82" s="17" t="str">
        <f aca="false">VLOOKUP(L82,Sheet2!D:E,2,0)</f>
        <v>Main Processor CPU BGA</v>
      </c>
      <c r="N82" s="17" t="n">
        <v>24</v>
      </c>
      <c r="O82" s="17" t="str">
        <f aca="false">VLOOKUP(N82,Sheet2!G:H,2,0)</f>
        <v>STB Auto moving -Stand by mode</v>
      </c>
      <c r="P82" s="17" t="n">
        <v>12</v>
      </c>
      <c r="Q82" s="17" t="str">
        <f aca="false">VLOOKUP(P82,Sheet2!J:K,2,0)</f>
        <v>IR Declared due to Others ( IR Normal)TB</v>
      </c>
      <c r="R82" s="17" t="s">
        <v>35</v>
      </c>
      <c r="S82" s="17" t="str">
        <f aca="false">VLOOKUP(R82,Sheet2!N:O,2,0)</f>
        <v>IREPARABLE</v>
      </c>
      <c r="T82" s="18" t="str">
        <f aca="false">VLOOKUP(P82,Sheet2!Q:R,2,0)</f>
        <v>IR Normal - BER to IR</v>
      </c>
      <c r="U82" s="20" t="s">
        <v>135</v>
      </c>
      <c r="V82" s="17" t="n">
        <v>12</v>
      </c>
      <c r="W82" s="20" t="str">
        <f aca="false">VLOOKUP(V82,Sheet2!Q:R,2,0)</f>
        <v>IR Normal - BER to IR</v>
      </c>
      <c r="X82" s="17" t="str">
        <f aca="false">J82</f>
        <v>A018</v>
      </c>
      <c r="Y82" s="17" t="str">
        <f aca="false">VLOOKUP(X82,Sheet2!A:B,2,0)</f>
        <v>PRAKASH CHAVDA</v>
      </c>
      <c r="Z82" s="17" t="s">
        <v>136</v>
      </c>
      <c r="AA82" s="17" t="s">
        <v>40</v>
      </c>
      <c r="AB82" s="17" t="s">
        <v>41</v>
      </c>
      <c r="AC82" s="0" t="str">
        <f aca="false">LEFT(G82,2)</f>
        <v>77</v>
      </c>
      <c r="AD82" s="0"/>
      <c r="AE82" s="21" t="s">
        <v>42</v>
      </c>
    </row>
    <row r="83" customFormat="false" ht="15" hidden="false" customHeight="false" outlineLevel="0" collapsed="false">
      <c r="A83" s="13" t="n">
        <f aca="false">1+A82</f>
        <v>81</v>
      </c>
      <c r="B83" s="17" t="n">
        <v>1009575520</v>
      </c>
      <c r="C83" s="17" t="s">
        <v>104</v>
      </c>
      <c r="D83" s="17" t="s">
        <v>32</v>
      </c>
      <c r="E83" s="17" t="s">
        <v>33</v>
      </c>
      <c r="F83" s="18" t="s">
        <v>34</v>
      </c>
      <c r="G83" s="19" t="n">
        <v>774345039630</v>
      </c>
      <c r="H83" s="17" t="s">
        <v>134</v>
      </c>
      <c r="I83" s="17" t="s">
        <v>69</v>
      </c>
      <c r="J83" s="17" t="s">
        <v>106</v>
      </c>
      <c r="K83" s="17" t="str">
        <f aca="false">VLOOKUP(J83,Sheet2!A:B,2,0)</f>
        <v>PRAKASH CHAVDA</v>
      </c>
      <c r="L83" s="17" t="n">
        <v>5</v>
      </c>
      <c r="M83" s="17" t="str">
        <f aca="false">VLOOKUP(L83,Sheet2!D:E,2,0)</f>
        <v>Main Processor CPU BGA</v>
      </c>
      <c r="N83" s="17" t="n">
        <v>1</v>
      </c>
      <c r="O83" s="17" t="str">
        <f aca="false">VLOOKUP(N83,Sheet2!G:H,2,0)</f>
        <v>Dead</v>
      </c>
      <c r="P83" s="17" t="n">
        <v>12</v>
      </c>
      <c r="Q83" s="17" t="str">
        <f aca="false">VLOOKUP(P83,Sheet2!J:K,2,0)</f>
        <v>IR Declared due to Others ( IR Normal)TB</v>
      </c>
      <c r="R83" s="17" t="s">
        <v>35</v>
      </c>
      <c r="S83" s="17" t="str">
        <f aca="false">VLOOKUP(R83,Sheet2!N:O,2,0)</f>
        <v>IREPARABLE</v>
      </c>
      <c r="T83" s="18" t="str">
        <f aca="false">VLOOKUP(P83,Sheet2!Q:R,2,0)</f>
        <v>IR Normal - BER to IR</v>
      </c>
      <c r="U83" s="20" t="s">
        <v>135</v>
      </c>
      <c r="V83" s="17" t="n">
        <v>12</v>
      </c>
      <c r="W83" s="20" t="str">
        <f aca="false">VLOOKUP(V83,Sheet2!Q:R,2,0)</f>
        <v>IR Normal - BER to IR</v>
      </c>
      <c r="X83" s="17" t="str">
        <f aca="false">J83</f>
        <v>A018</v>
      </c>
      <c r="Y83" s="17" t="str">
        <f aca="false">VLOOKUP(X83,Sheet2!A:B,2,0)</f>
        <v>PRAKASH CHAVDA</v>
      </c>
      <c r="Z83" s="17" t="s">
        <v>136</v>
      </c>
      <c r="AA83" s="17" t="s">
        <v>40</v>
      </c>
      <c r="AB83" s="17" t="s">
        <v>41</v>
      </c>
      <c r="AC83" s="0" t="str">
        <f aca="false">LEFT(G83,2)</f>
        <v>77</v>
      </c>
      <c r="AD83" s="0"/>
      <c r="AE83" s="21" t="s">
        <v>42</v>
      </c>
    </row>
    <row r="84" customFormat="false" ht="15" hidden="false" customHeight="false" outlineLevel="0" collapsed="false">
      <c r="A84" s="13" t="n">
        <f aca="false">1+A83</f>
        <v>82</v>
      </c>
      <c r="B84" s="17" t="n">
        <v>1009580382</v>
      </c>
      <c r="C84" s="17" t="s">
        <v>104</v>
      </c>
      <c r="D84" s="17" t="s">
        <v>32</v>
      </c>
      <c r="E84" s="17" t="s">
        <v>47</v>
      </c>
      <c r="F84" s="18" t="s">
        <v>34</v>
      </c>
      <c r="G84" s="19" t="n">
        <v>775161062846</v>
      </c>
      <c r="H84" s="17" t="s">
        <v>134</v>
      </c>
      <c r="I84" s="17" t="s">
        <v>69</v>
      </c>
      <c r="J84" s="17" t="s">
        <v>106</v>
      </c>
      <c r="K84" s="17" t="str">
        <f aca="false">VLOOKUP(J84,Sheet2!A:B,2,0)</f>
        <v>PRAKASH CHAVDA</v>
      </c>
      <c r="L84" s="17" t="n">
        <v>5</v>
      </c>
      <c r="M84" s="17" t="str">
        <f aca="false">VLOOKUP(L84,Sheet2!D:E,2,0)</f>
        <v>Main Processor CPU BGA</v>
      </c>
      <c r="N84" s="17" t="n">
        <v>24</v>
      </c>
      <c r="O84" s="17" t="str">
        <f aca="false">VLOOKUP(N84,Sheet2!G:H,2,0)</f>
        <v>STB Auto moving -Stand by mode</v>
      </c>
      <c r="P84" s="17" t="n">
        <v>12</v>
      </c>
      <c r="Q84" s="17" t="str">
        <f aca="false">VLOOKUP(P84,Sheet2!J:K,2,0)</f>
        <v>IR Declared due to Others ( IR Normal)TB</v>
      </c>
      <c r="R84" s="17" t="s">
        <v>35</v>
      </c>
      <c r="S84" s="17" t="str">
        <f aca="false">VLOOKUP(R84,Sheet2!N:O,2,0)</f>
        <v>IREPARABLE</v>
      </c>
      <c r="T84" s="18" t="str">
        <f aca="false">VLOOKUP(P84,Sheet2!Q:R,2,0)</f>
        <v>IR Normal - BER to IR</v>
      </c>
      <c r="U84" s="20" t="s">
        <v>135</v>
      </c>
      <c r="V84" s="17" t="n">
        <v>12</v>
      </c>
      <c r="W84" s="20" t="str">
        <f aca="false">VLOOKUP(V84,Sheet2!Q:R,2,0)</f>
        <v>IR Normal - BER to IR</v>
      </c>
      <c r="X84" s="17" t="str">
        <f aca="false">J84</f>
        <v>A018</v>
      </c>
      <c r="Y84" s="17" t="str">
        <f aca="false">VLOOKUP(X84,Sheet2!A:B,2,0)</f>
        <v>PRAKASH CHAVDA</v>
      </c>
      <c r="Z84" s="17" t="s">
        <v>136</v>
      </c>
      <c r="AA84" s="17" t="s">
        <v>40</v>
      </c>
      <c r="AB84" s="17" t="s">
        <v>41</v>
      </c>
      <c r="AC84" s="0" t="str">
        <f aca="false">LEFT(G84,2)</f>
        <v>77</v>
      </c>
      <c r="AD84" s="0"/>
      <c r="AE84" s="21" t="s">
        <v>42</v>
      </c>
    </row>
    <row r="85" customFormat="false" ht="15" hidden="false" customHeight="false" outlineLevel="0" collapsed="false">
      <c r="A85" s="13" t="n">
        <f aca="false">1+A84</f>
        <v>83</v>
      </c>
      <c r="B85" s="17" t="n">
        <v>1009575016</v>
      </c>
      <c r="C85" s="17" t="s">
        <v>104</v>
      </c>
      <c r="D85" s="17" t="s">
        <v>137</v>
      </c>
      <c r="E85" s="17" t="s">
        <v>47</v>
      </c>
      <c r="F85" s="18" t="s">
        <v>34</v>
      </c>
      <c r="G85" s="19" t="n">
        <v>775243055339</v>
      </c>
      <c r="H85" s="17" t="s">
        <v>134</v>
      </c>
      <c r="I85" s="17" t="s">
        <v>69</v>
      </c>
      <c r="J85" s="17" t="s">
        <v>106</v>
      </c>
      <c r="K85" s="17" t="str">
        <f aca="false">VLOOKUP(J85,Sheet2!A:B,2,0)</f>
        <v>PRAKASH CHAVDA</v>
      </c>
      <c r="L85" s="17" t="n">
        <v>5</v>
      </c>
      <c r="M85" s="17" t="str">
        <f aca="false">VLOOKUP(L85,Sheet2!D:E,2,0)</f>
        <v>Main Processor CPU BGA</v>
      </c>
      <c r="N85" s="17" t="n">
        <v>1</v>
      </c>
      <c r="O85" s="17" t="str">
        <f aca="false">VLOOKUP(N85,Sheet2!G:H,2,0)</f>
        <v>Dead</v>
      </c>
      <c r="P85" s="17" t="n">
        <v>12</v>
      </c>
      <c r="Q85" s="17" t="str">
        <f aca="false">VLOOKUP(P85,Sheet2!J:K,2,0)</f>
        <v>IR Declared due to Others ( IR Normal)TB</v>
      </c>
      <c r="R85" s="17" t="s">
        <v>35</v>
      </c>
      <c r="S85" s="17" t="str">
        <f aca="false">VLOOKUP(R85,Sheet2!N:O,2,0)</f>
        <v>IREPARABLE</v>
      </c>
      <c r="T85" s="18" t="str">
        <f aca="false">VLOOKUP(P85,Sheet2!Q:R,2,0)</f>
        <v>IR Normal - BER to IR</v>
      </c>
      <c r="U85" s="20" t="s">
        <v>135</v>
      </c>
      <c r="V85" s="17" t="n">
        <v>12</v>
      </c>
      <c r="W85" s="20" t="str">
        <f aca="false">VLOOKUP(V85,Sheet2!Q:R,2,0)</f>
        <v>IR Normal - BER to IR</v>
      </c>
      <c r="X85" s="17" t="str">
        <f aca="false">J85</f>
        <v>A018</v>
      </c>
      <c r="Y85" s="17" t="str">
        <f aca="false">VLOOKUP(X85,Sheet2!A:B,2,0)</f>
        <v>PRAKASH CHAVDA</v>
      </c>
      <c r="Z85" s="17" t="s">
        <v>136</v>
      </c>
      <c r="AA85" s="17" t="s">
        <v>40</v>
      </c>
      <c r="AB85" s="17" t="s">
        <v>41</v>
      </c>
      <c r="AC85" s="0" t="str">
        <f aca="false">LEFT(G85,2)</f>
        <v>77</v>
      </c>
      <c r="AD85" s="0"/>
      <c r="AE85" s="21" t="s">
        <v>42</v>
      </c>
    </row>
    <row r="86" customFormat="false" ht="15" hidden="false" customHeight="false" outlineLevel="0" collapsed="false">
      <c r="A86" s="13" t="n">
        <f aca="false">1+A85</f>
        <v>84</v>
      </c>
      <c r="B86" s="17" t="n">
        <v>1009581029</v>
      </c>
      <c r="C86" s="17" t="s">
        <v>104</v>
      </c>
      <c r="D86" s="17" t="s">
        <v>142</v>
      </c>
      <c r="E86" s="17" t="s">
        <v>47</v>
      </c>
      <c r="F86" s="18" t="s">
        <v>34</v>
      </c>
      <c r="G86" s="19" t="n">
        <v>775156161314</v>
      </c>
      <c r="H86" s="17" t="s">
        <v>134</v>
      </c>
      <c r="I86" s="17" t="s">
        <v>69</v>
      </c>
      <c r="J86" s="17" t="s">
        <v>106</v>
      </c>
      <c r="K86" s="17" t="str">
        <f aca="false">VLOOKUP(J86,Sheet2!A:B,2,0)</f>
        <v>PRAKASH CHAVDA</v>
      </c>
      <c r="L86" s="17" t="n">
        <v>5</v>
      </c>
      <c r="M86" s="17" t="str">
        <f aca="false">VLOOKUP(L86,Sheet2!D:E,2,0)</f>
        <v>Main Processor CPU BGA</v>
      </c>
      <c r="N86" s="17" t="n">
        <v>1</v>
      </c>
      <c r="O86" s="17" t="str">
        <f aca="false">VLOOKUP(N86,Sheet2!G:H,2,0)</f>
        <v>Dead</v>
      </c>
      <c r="P86" s="17" t="n">
        <v>12</v>
      </c>
      <c r="Q86" s="17" t="str">
        <f aca="false">VLOOKUP(P86,Sheet2!J:K,2,0)</f>
        <v>IR Declared due to Others ( IR Normal)TB</v>
      </c>
      <c r="R86" s="17" t="s">
        <v>35</v>
      </c>
      <c r="S86" s="17" t="str">
        <f aca="false">VLOOKUP(R86,Sheet2!N:O,2,0)</f>
        <v>IREPARABLE</v>
      </c>
      <c r="T86" s="18" t="str">
        <f aca="false">VLOOKUP(P86,Sheet2!Q:R,2,0)</f>
        <v>IR Normal - BER to IR</v>
      </c>
      <c r="U86" s="20" t="s">
        <v>135</v>
      </c>
      <c r="V86" s="17" t="n">
        <v>12</v>
      </c>
      <c r="W86" s="20" t="str">
        <f aca="false">VLOOKUP(V86,Sheet2!Q:R,2,0)</f>
        <v>IR Normal - BER to IR</v>
      </c>
      <c r="X86" s="17" t="str">
        <f aca="false">J86</f>
        <v>A018</v>
      </c>
      <c r="Y86" s="17" t="str">
        <f aca="false">VLOOKUP(X86,Sheet2!A:B,2,0)</f>
        <v>PRAKASH CHAVDA</v>
      </c>
      <c r="Z86" s="17" t="s">
        <v>136</v>
      </c>
      <c r="AA86" s="17" t="s">
        <v>40</v>
      </c>
      <c r="AB86" s="17" t="s">
        <v>41</v>
      </c>
      <c r="AC86" s="0" t="str">
        <f aca="false">LEFT(G86,2)</f>
        <v>77</v>
      </c>
      <c r="AD86" s="0"/>
      <c r="AE86" s="21" t="s">
        <v>42</v>
      </c>
    </row>
    <row r="87" customFormat="false" ht="15" hidden="false" customHeight="false" outlineLevel="0" collapsed="false">
      <c r="A87" s="13" t="n">
        <f aca="false">1+A86</f>
        <v>85</v>
      </c>
      <c r="B87" s="17" t="n">
        <v>1009580697</v>
      </c>
      <c r="C87" s="17" t="s">
        <v>104</v>
      </c>
      <c r="D87" s="17" t="s">
        <v>144</v>
      </c>
      <c r="E87" s="17" t="s">
        <v>64</v>
      </c>
      <c r="F87" s="18" t="s">
        <v>70</v>
      </c>
      <c r="G87" s="19" t="n">
        <v>775310094583</v>
      </c>
      <c r="H87" s="17" t="s">
        <v>134</v>
      </c>
      <c r="I87" s="17" t="s">
        <v>69</v>
      </c>
      <c r="J87" s="17" t="s">
        <v>106</v>
      </c>
      <c r="K87" s="17" t="str">
        <f aca="false">VLOOKUP(J87,Sheet2!A:B,2,0)</f>
        <v>PRAKASH CHAVDA</v>
      </c>
      <c r="L87" s="17" t="n">
        <v>5</v>
      </c>
      <c r="M87" s="17" t="str">
        <f aca="false">VLOOKUP(L87,Sheet2!D:E,2,0)</f>
        <v>Main Processor CPU BGA</v>
      </c>
      <c r="N87" s="17" t="n">
        <v>1</v>
      </c>
      <c r="O87" s="17" t="str">
        <f aca="false">VLOOKUP(N87,Sheet2!G:H,2,0)</f>
        <v>Dead</v>
      </c>
      <c r="P87" s="17" t="n">
        <v>12</v>
      </c>
      <c r="Q87" s="17" t="str">
        <f aca="false">VLOOKUP(P87,Sheet2!J:K,2,0)</f>
        <v>IR Declared due to Others ( IR Normal)TB</v>
      </c>
      <c r="R87" s="17" t="s">
        <v>35</v>
      </c>
      <c r="S87" s="17" t="str">
        <f aca="false">VLOOKUP(R87,Sheet2!N:O,2,0)</f>
        <v>IREPARABLE</v>
      </c>
      <c r="T87" s="18" t="str">
        <f aca="false">VLOOKUP(P87,Sheet2!Q:R,2,0)</f>
        <v>IR Normal - BER to IR</v>
      </c>
      <c r="U87" s="20" t="s">
        <v>135</v>
      </c>
      <c r="V87" s="17" t="n">
        <v>12</v>
      </c>
      <c r="W87" s="20" t="str">
        <f aca="false">VLOOKUP(V87,Sheet2!Q:R,2,0)</f>
        <v>IR Normal - BER to IR</v>
      </c>
      <c r="X87" s="17" t="str">
        <f aca="false">J87</f>
        <v>A018</v>
      </c>
      <c r="Y87" s="17" t="str">
        <f aca="false">VLOOKUP(X87,Sheet2!A:B,2,0)</f>
        <v>PRAKASH CHAVDA</v>
      </c>
      <c r="Z87" s="17" t="s">
        <v>136</v>
      </c>
      <c r="AA87" s="17" t="s">
        <v>40</v>
      </c>
      <c r="AB87" s="17" t="s">
        <v>41</v>
      </c>
      <c r="AC87" s="0" t="str">
        <f aca="false">LEFT(G87,2)</f>
        <v>77</v>
      </c>
      <c r="AD87" s="0"/>
      <c r="AE87" s="21" t="s">
        <v>42</v>
      </c>
    </row>
    <row r="88" customFormat="false" ht="15" hidden="false" customHeight="false" outlineLevel="0" collapsed="false">
      <c r="A88" s="13" t="n">
        <f aca="false">1+A87</f>
        <v>86</v>
      </c>
      <c r="B88" s="17" t="n">
        <v>1009543394</v>
      </c>
      <c r="C88" s="17" t="s">
        <v>126</v>
      </c>
      <c r="D88" s="17" t="s">
        <v>64</v>
      </c>
      <c r="E88" s="17" t="s">
        <v>47</v>
      </c>
      <c r="F88" s="18" t="s">
        <v>34</v>
      </c>
      <c r="G88" s="19" t="n">
        <v>775079106933</v>
      </c>
      <c r="H88" s="17" t="s">
        <v>134</v>
      </c>
      <c r="I88" s="17" t="s">
        <v>69</v>
      </c>
      <c r="J88" s="17" t="s">
        <v>106</v>
      </c>
      <c r="K88" s="17" t="str">
        <f aca="false">VLOOKUP(J88,Sheet2!A:B,2,0)</f>
        <v>PRAKASH CHAVDA</v>
      </c>
      <c r="L88" s="17" t="n">
        <v>5</v>
      </c>
      <c r="M88" s="17" t="str">
        <f aca="false">VLOOKUP(L88,Sheet2!D:E,2,0)</f>
        <v>Main Processor CPU BGA</v>
      </c>
      <c r="N88" s="17" t="n">
        <v>24</v>
      </c>
      <c r="O88" s="17" t="str">
        <f aca="false">VLOOKUP(N88,Sheet2!G:H,2,0)</f>
        <v>STB Auto moving -Stand by mode</v>
      </c>
      <c r="P88" s="17" t="n">
        <v>12</v>
      </c>
      <c r="Q88" s="17" t="str">
        <f aca="false">VLOOKUP(P88,Sheet2!J:K,2,0)</f>
        <v>IR Declared due to Others ( IR Normal)TB</v>
      </c>
      <c r="R88" s="17" t="s">
        <v>35</v>
      </c>
      <c r="S88" s="17" t="str">
        <f aca="false">VLOOKUP(R88,Sheet2!N:O,2,0)</f>
        <v>IREPARABLE</v>
      </c>
      <c r="T88" s="18" t="str">
        <f aca="false">VLOOKUP(P88,Sheet2!Q:R,2,0)</f>
        <v>IR Normal - BER to IR</v>
      </c>
      <c r="U88" s="20" t="s">
        <v>135</v>
      </c>
      <c r="V88" s="17" t="n">
        <v>12</v>
      </c>
      <c r="W88" s="20" t="str">
        <f aca="false">VLOOKUP(V88,Sheet2!Q:R,2,0)</f>
        <v>IR Normal - BER to IR</v>
      </c>
      <c r="X88" s="17" t="str">
        <f aca="false">J88</f>
        <v>A018</v>
      </c>
      <c r="Y88" s="17" t="str">
        <f aca="false">VLOOKUP(X88,Sheet2!A:B,2,0)</f>
        <v>PRAKASH CHAVDA</v>
      </c>
      <c r="Z88" s="17" t="s">
        <v>136</v>
      </c>
      <c r="AA88" s="17" t="s">
        <v>40</v>
      </c>
      <c r="AB88" s="17" t="s">
        <v>41</v>
      </c>
      <c r="AC88" s="0" t="str">
        <f aca="false">LEFT(G88,2)</f>
        <v>77</v>
      </c>
      <c r="AD88" s="0"/>
      <c r="AE88" s="21" t="s">
        <v>42</v>
      </c>
    </row>
    <row r="89" customFormat="false" ht="15" hidden="false" customHeight="false" outlineLevel="0" collapsed="false">
      <c r="A89" s="13" t="n">
        <f aca="false">1+A88</f>
        <v>87</v>
      </c>
      <c r="B89" s="17" t="n">
        <v>1009463277</v>
      </c>
      <c r="C89" s="17" t="s">
        <v>151</v>
      </c>
      <c r="D89" s="17" t="s">
        <v>64</v>
      </c>
      <c r="E89" s="17" t="s">
        <v>109</v>
      </c>
      <c r="F89" s="18" t="s">
        <v>34</v>
      </c>
      <c r="G89" s="19" t="n">
        <v>775078028294</v>
      </c>
      <c r="H89" s="17" t="s">
        <v>134</v>
      </c>
      <c r="I89" s="17" t="s">
        <v>69</v>
      </c>
      <c r="J89" s="17" t="s">
        <v>106</v>
      </c>
      <c r="K89" s="17" t="str">
        <f aca="false">VLOOKUP(J89,Sheet2!A:B,2,0)</f>
        <v>PRAKASH CHAVDA</v>
      </c>
      <c r="L89" s="17" t="n">
        <v>5</v>
      </c>
      <c r="M89" s="17" t="str">
        <f aca="false">VLOOKUP(L89,Sheet2!D:E,2,0)</f>
        <v>Main Processor CPU BGA</v>
      </c>
      <c r="N89" s="17" t="n">
        <v>28</v>
      </c>
      <c r="O89" s="17" t="str">
        <f aca="false">VLOOKUP(N89,Sheet2!G:H,2,0)</f>
        <v>Hang and Freeze video - AV</v>
      </c>
      <c r="P89" s="17" t="n">
        <v>12</v>
      </c>
      <c r="Q89" s="17" t="str">
        <f aca="false">VLOOKUP(P89,Sheet2!J:K,2,0)</f>
        <v>IR Declared due to Others ( IR Normal)TB</v>
      </c>
      <c r="R89" s="17" t="s">
        <v>35</v>
      </c>
      <c r="S89" s="17" t="str">
        <f aca="false">VLOOKUP(R89,Sheet2!N:O,2,0)</f>
        <v>IREPARABLE</v>
      </c>
      <c r="T89" s="18" t="str">
        <f aca="false">VLOOKUP(P89,Sheet2!Q:R,2,0)</f>
        <v>IR Normal - BER to IR</v>
      </c>
      <c r="U89" s="20" t="s">
        <v>135</v>
      </c>
      <c r="V89" s="17" t="n">
        <v>12</v>
      </c>
      <c r="W89" s="20" t="str">
        <f aca="false">VLOOKUP(V89,Sheet2!Q:R,2,0)</f>
        <v>IR Normal - BER to IR</v>
      </c>
      <c r="X89" s="17" t="str">
        <f aca="false">J89</f>
        <v>A018</v>
      </c>
      <c r="Y89" s="17" t="str">
        <f aca="false">VLOOKUP(X89,Sheet2!A:B,2,0)</f>
        <v>PRAKASH CHAVDA</v>
      </c>
      <c r="Z89" s="17" t="s">
        <v>136</v>
      </c>
      <c r="AA89" s="17" t="s">
        <v>40</v>
      </c>
      <c r="AB89" s="17" t="s">
        <v>41</v>
      </c>
      <c r="AC89" s="0" t="str">
        <f aca="false">LEFT(G89,2)</f>
        <v>77</v>
      </c>
      <c r="AD89" s="0"/>
      <c r="AE89" s="21" t="s">
        <v>42</v>
      </c>
    </row>
    <row r="90" customFormat="false" ht="15" hidden="false" customHeight="false" outlineLevel="0" collapsed="false">
      <c r="A90" s="13" t="n">
        <f aca="false">1+A89</f>
        <v>88</v>
      </c>
      <c r="B90" s="17" t="n">
        <v>1009579916</v>
      </c>
      <c r="C90" s="17" t="s">
        <v>139</v>
      </c>
      <c r="D90" s="17" t="s">
        <v>60</v>
      </c>
      <c r="E90" s="17" t="s">
        <v>33</v>
      </c>
      <c r="F90" s="18" t="s">
        <v>34</v>
      </c>
      <c r="G90" s="19" t="n">
        <v>775323113164</v>
      </c>
      <c r="H90" s="17" t="s">
        <v>134</v>
      </c>
      <c r="I90" s="17" t="s">
        <v>69</v>
      </c>
      <c r="J90" s="17" t="s">
        <v>106</v>
      </c>
      <c r="K90" s="17" t="str">
        <f aca="false">VLOOKUP(J90,Sheet2!A:B,2,0)</f>
        <v>PRAKASH CHAVDA</v>
      </c>
      <c r="L90" s="17" t="n">
        <v>5</v>
      </c>
      <c r="M90" s="17" t="str">
        <f aca="false">VLOOKUP(L90,Sheet2!D:E,2,0)</f>
        <v>Main Processor CPU BGA</v>
      </c>
      <c r="N90" s="17" t="n">
        <v>1</v>
      </c>
      <c r="O90" s="17" t="str">
        <f aca="false">VLOOKUP(N90,Sheet2!G:H,2,0)</f>
        <v>Dead</v>
      </c>
      <c r="P90" s="17" t="n">
        <v>12</v>
      </c>
      <c r="Q90" s="17" t="str">
        <f aca="false">VLOOKUP(P90,Sheet2!J:K,2,0)</f>
        <v>IR Declared due to Others ( IR Normal)TB</v>
      </c>
      <c r="R90" s="17" t="s">
        <v>35</v>
      </c>
      <c r="S90" s="17" t="str">
        <f aca="false">VLOOKUP(R90,Sheet2!N:O,2,0)</f>
        <v>IREPARABLE</v>
      </c>
      <c r="T90" s="18" t="str">
        <f aca="false">VLOOKUP(P90,Sheet2!Q:R,2,0)</f>
        <v>IR Normal - BER to IR</v>
      </c>
      <c r="U90" s="20" t="s">
        <v>135</v>
      </c>
      <c r="V90" s="17" t="n">
        <v>12</v>
      </c>
      <c r="W90" s="20" t="str">
        <f aca="false">VLOOKUP(V90,Sheet2!Q:R,2,0)</f>
        <v>IR Normal - BER to IR</v>
      </c>
      <c r="X90" s="17" t="str">
        <f aca="false">J90</f>
        <v>A018</v>
      </c>
      <c r="Y90" s="17" t="str">
        <f aca="false">VLOOKUP(X90,Sheet2!A:B,2,0)</f>
        <v>PRAKASH CHAVDA</v>
      </c>
      <c r="Z90" s="17" t="s">
        <v>136</v>
      </c>
      <c r="AA90" s="17" t="s">
        <v>40</v>
      </c>
      <c r="AB90" s="17" t="s">
        <v>41</v>
      </c>
      <c r="AC90" s="0" t="str">
        <f aca="false">LEFT(G90,2)</f>
        <v>77</v>
      </c>
      <c r="AD90" s="0"/>
      <c r="AE90" s="21" t="s">
        <v>42</v>
      </c>
    </row>
    <row r="91" customFormat="false" ht="15" hidden="false" customHeight="false" outlineLevel="0" collapsed="false">
      <c r="A91" s="13" t="n">
        <f aca="false">1+A90</f>
        <v>89</v>
      </c>
      <c r="B91" s="17" t="n">
        <v>1009579095</v>
      </c>
      <c r="C91" s="17" t="s">
        <v>139</v>
      </c>
      <c r="D91" s="17" t="s">
        <v>155</v>
      </c>
      <c r="E91" s="17" t="s">
        <v>47</v>
      </c>
      <c r="F91" s="18" t="s">
        <v>34</v>
      </c>
      <c r="G91" s="19" t="n">
        <v>775084023347</v>
      </c>
      <c r="H91" s="17" t="s">
        <v>134</v>
      </c>
      <c r="I91" s="17" t="s">
        <v>69</v>
      </c>
      <c r="J91" s="17" t="s">
        <v>106</v>
      </c>
      <c r="K91" s="17" t="str">
        <f aca="false">VLOOKUP(J91,Sheet2!A:B,2,0)</f>
        <v>PRAKASH CHAVDA</v>
      </c>
      <c r="L91" s="17" t="n">
        <v>5</v>
      </c>
      <c r="M91" s="17" t="str">
        <f aca="false">VLOOKUP(L91,Sheet2!D:E,2,0)</f>
        <v>Main Processor CPU BGA</v>
      </c>
      <c r="N91" s="17" t="n">
        <v>1</v>
      </c>
      <c r="O91" s="17" t="str">
        <f aca="false">VLOOKUP(N91,Sheet2!G:H,2,0)</f>
        <v>Dead</v>
      </c>
      <c r="P91" s="17" t="n">
        <v>12</v>
      </c>
      <c r="Q91" s="17" t="str">
        <f aca="false">VLOOKUP(P91,Sheet2!J:K,2,0)</f>
        <v>IR Declared due to Others ( IR Normal)TB</v>
      </c>
      <c r="R91" s="17" t="s">
        <v>35</v>
      </c>
      <c r="S91" s="17" t="str">
        <f aca="false">VLOOKUP(R91,Sheet2!N:O,2,0)</f>
        <v>IREPARABLE</v>
      </c>
      <c r="T91" s="18" t="str">
        <f aca="false">VLOOKUP(P91,Sheet2!Q:R,2,0)</f>
        <v>IR Normal - BER to IR</v>
      </c>
      <c r="U91" s="20" t="s">
        <v>135</v>
      </c>
      <c r="V91" s="17" t="n">
        <v>12</v>
      </c>
      <c r="W91" s="20" t="str">
        <f aca="false">VLOOKUP(V91,Sheet2!Q:R,2,0)</f>
        <v>IR Normal - BER to IR</v>
      </c>
      <c r="X91" s="17" t="str">
        <f aca="false">J91</f>
        <v>A018</v>
      </c>
      <c r="Y91" s="17" t="str">
        <f aca="false">VLOOKUP(X91,Sheet2!A:B,2,0)</f>
        <v>PRAKASH CHAVDA</v>
      </c>
      <c r="Z91" s="17" t="s">
        <v>136</v>
      </c>
      <c r="AA91" s="17" t="s">
        <v>40</v>
      </c>
      <c r="AB91" s="17" t="s">
        <v>41</v>
      </c>
      <c r="AC91" s="0" t="str">
        <f aca="false">LEFT(G91,2)</f>
        <v>77</v>
      </c>
      <c r="AD91" s="0"/>
      <c r="AE91" s="21" t="s">
        <v>42</v>
      </c>
    </row>
    <row r="92" customFormat="false" ht="15" hidden="false" customHeight="false" outlineLevel="0" collapsed="false">
      <c r="A92" s="13" t="n">
        <f aca="false">1+A91</f>
        <v>90</v>
      </c>
      <c r="B92" s="17" t="n">
        <v>1009580464</v>
      </c>
      <c r="C92" s="17" t="s">
        <v>104</v>
      </c>
      <c r="D92" s="17" t="s">
        <v>144</v>
      </c>
      <c r="E92" s="17" t="s">
        <v>47</v>
      </c>
      <c r="F92" s="18" t="s">
        <v>34</v>
      </c>
      <c r="G92" s="19" t="n">
        <v>774284005758</v>
      </c>
      <c r="H92" s="17" t="s">
        <v>134</v>
      </c>
      <c r="I92" s="17" t="s">
        <v>69</v>
      </c>
      <c r="J92" s="17" t="s">
        <v>106</v>
      </c>
      <c r="K92" s="17" t="str">
        <f aca="false">VLOOKUP(J92,Sheet2!A:B,2,0)</f>
        <v>PRAKASH CHAVDA</v>
      </c>
      <c r="L92" s="17" t="n">
        <v>5</v>
      </c>
      <c r="M92" s="17" t="str">
        <f aca="false">VLOOKUP(L92,Sheet2!D:E,2,0)</f>
        <v>Main Processor CPU BGA</v>
      </c>
      <c r="N92" s="17" t="n">
        <v>1</v>
      </c>
      <c r="O92" s="17" t="str">
        <f aca="false">VLOOKUP(N92,Sheet2!G:H,2,0)</f>
        <v>Dead</v>
      </c>
      <c r="P92" s="17" t="n">
        <v>12</v>
      </c>
      <c r="Q92" s="17" t="str">
        <f aca="false">VLOOKUP(P92,Sheet2!J:K,2,0)</f>
        <v>IR Declared due to Others ( IR Normal)TB</v>
      </c>
      <c r="R92" s="17" t="s">
        <v>35</v>
      </c>
      <c r="S92" s="17" t="str">
        <f aca="false">VLOOKUP(R92,Sheet2!N:O,2,0)</f>
        <v>IREPARABLE</v>
      </c>
      <c r="T92" s="18" t="str">
        <f aca="false">VLOOKUP(P92,Sheet2!Q:R,2,0)</f>
        <v>IR Normal - BER to IR</v>
      </c>
      <c r="U92" s="20" t="s">
        <v>135</v>
      </c>
      <c r="V92" s="17" t="n">
        <v>12</v>
      </c>
      <c r="W92" s="20" t="str">
        <f aca="false">VLOOKUP(V92,Sheet2!Q:R,2,0)</f>
        <v>IR Normal - BER to IR</v>
      </c>
      <c r="X92" s="17" t="str">
        <f aca="false">J92</f>
        <v>A018</v>
      </c>
      <c r="Y92" s="17" t="str">
        <f aca="false">VLOOKUP(X92,Sheet2!A:B,2,0)</f>
        <v>PRAKASH CHAVDA</v>
      </c>
      <c r="Z92" s="17" t="s">
        <v>136</v>
      </c>
      <c r="AA92" s="17" t="s">
        <v>40</v>
      </c>
      <c r="AB92" s="17" t="s">
        <v>41</v>
      </c>
      <c r="AC92" s="0" t="str">
        <f aca="false">LEFT(G92,2)</f>
        <v>77</v>
      </c>
      <c r="AD92" s="0"/>
      <c r="AE92" s="21" t="s">
        <v>42</v>
      </c>
    </row>
    <row r="93" customFormat="false" ht="15" hidden="false" customHeight="false" outlineLevel="0" collapsed="false">
      <c r="A93" s="13" t="n">
        <f aca="false">1+A92</f>
        <v>91</v>
      </c>
      <c r="B93" s="17" t="n">
        <v>1009580466</v>
      </c>
      <c r="C93" s="17" t="s">
        <v>104</v>
      </c>
      <c r="D93" s="17" t="s">
        <v>32</v>
      </c>
      <c r="E93" s="17" t="s">
        <v>33</v>
      </c>
      <c r="F93" s="18" t="s">
        <v>34</v>
      </c>
      <c r="G93" s="19" t="n">
        <v>775079057961</v>
      </c>
      <c r="H93" s="17" t="s">
        <v>134</v>
      </c>
      <c r="I93" s="17" t="s">
        <v>69</v>
      </c>
      <c r="J93" s="17" t="s">
        <v>106</v>
      </c>
      <c r="K93" s="17" t="str">
        <f aca="false">VLOOKUP(J93,Sheet2!A:B,2,0)</f>
        <v>PRAKASH CHAVDA</v>
      </c>
      <c r="L93" s="17" t="n">
        <v>5</v>
      </c>
      <c r="M93" s="17" t="str">
        <f aca="false">VLOOKUP(L93,Sheet2!D:E,2,0)</f>
        <v>Main Processor CPU BGA</v>
      </c>
      <c r="N93" s="17" t="n">
        <v>1</v>
      </c>
      <c r="O93" s="17" t="str">
        <f aca="false">VLOOKUP(N93,Sheet2!G:H,2,0)</f>
        <v>Dead</v>
      </c>
      <c r="P93" s="17" t="n">
        <v>12</v>
      </c>
      <c r="Q93" s="17" t="str">
        <f aca="false">VLOOKUP(P93,Sheet2!J:K,2,0)</f>
        <v>IR Declared due to Others ( IR Normal)TB</v>
      </c>
      <c r="R93" s="17" t="s">
        <v>35</v>
      </c>
      <c r="S93" s="17" t="str">
        <f aca="false">VLOOKUP(R93,Sheet2!N:O,2,0)</f>
        <v>IREPARABLE</v>
      </c>
      <c r="T93" s="18" t="str">
        <f aca="false">VLOOKUP(P93,Sheet2!Q:R,2,0)</f>
        <v>IR Normal - BER to IR</v>
      </c>
      <c r="U93" s="20" t="s">
        <v>135</v>
      </c>
      <c r="V93" s="17" t="n">
        <v>12</v>
      </c>
      <c r="W93" s="20" t="str">
        <f aca="false">VLOOKUP(V93,Sheet2!Q:R,2,0)</f>
        <v>IR Normal - BER to IR</v>
      </c>
      <c r="X93" s="17" t="str">
        <f aca="false">J93</f>
        <v>A018</v>
      </c>
      <c r="Y93" s="17" t="str">
        <f aca="false">VLOOKUP(X93,Sheet2!A:B,2,0)</f>
        <v>PRAKASH CHAVDA</v>
      </c>
      <c r="Z93" s="17" t="s">
        <v>136</v>
      </c>
      <c r="AA93" s="17" t="s">
        <v>40</v>
      </c>
      <c r="AB93" s="17" t="s">
        <v>41</v>
      </c>
      <c r="AC93" s="0" t="str">
        <f aca="false">LEFT(G93,2)</f>
        <v>77</v>
      </c>
      <c r="AD93" s="0"/>
      <c r="AE93" s="21" t="s">
        <v>42</v>
      </c>
    </row>
    <row r="94" customFormat="false" ht="15" hidden="false" customHeight="false" outlineLevel="0" collapsed="false">
      <c r="A94" s="13" t="n">
        <f aca="false">1+A93</f>
        <v>92</v>
      </c>
      <c r="B94" s="17" t="n">
        <v>1009575531</v>
      </c>
      <c r="C94" s="17" t="s">
        <v>104</v>
      </c>
      <c r="D94" s="17" t="s">
        <v>64</v>
      </c>
      <c r="E94" s="17" t="s">
        <v>64</v>
      </c>
      <c r="F94" s="18" t="s">
        <v>70</v>
      </c>
      <c r="G94" s="19" t="n">
        <v>651151010782</v>
      </c>
      <c r="H94" s="17" t="s">
        <v>134</v>
      </c>
      <c r="I94" s="17" t="s">
        <v>50</v>
      </c>
      <c r="J94" s="17" t="s">
        <v>106</v>
      </c>
      <c r="K94" s="17" t="str">
        <f aca="false">VLOOKUP(J94,Sheet2!A:B,2,0)</f>
        <v>PRAKASH CHAVDA</v>
      </c>
      <c r="L94" s="17" t="n">
        <v>5</v>
      </c>
      <c r="M94" s="17" t="str">
        <f aca="false">VLOOKUP(L94,Sheet2!D:E,2,0)</f>
        <v>Main Processor CPU BGA</v>
      </c>
      <c r="N94" s="17" t="n">
        <v>1</v>
      </c>
      <c r="O94" s="17" t="str">
        <f aca="false">VLOOKUP(N94,Sheet2!G:H,2,0)</f>
        <v>Dead</v>
      </c>
      <c r="P94" s="17" t="n">
        <v>12</v>
      </c>
      <c r="Q94" s="17" t="str">
        <f aca="false">VLOOKUP(P94,Sheet2!J:K,2,0)</f>
        <v>IR Declared due to Others ( IR Normal)TB</v>
      </c>
      <c r="R94" s="17" t="s">
        <v>35</v>
      </c>
      <c r="S94" s="17" t="str">
        <f aca="false">VLOOKUP(R94,Sheet2!N:O,2,0)</f>
        <v>IREPARABLE</v>
      </c>
      <c r="T94" s="18" t="str">
        <f aca="false">VLOOKUP(P94,Sheet2!Q:R,2,0)</f>
        <v>IR Normal - BER to IR</v>
      </c>
      <c r="U94" s="20" t="s">
        <v>135</v>
      </c>
      <c r="V94" s="17" t="n">
        <v>12</v>
      </c>
      <c r="W94" s="20" t="str">
        <f aca="false">VLOOKUP(V94,Sheet2!Q:R,2,0)</f>
        <v>IR Normal - BER to IR</v>
      </c>
      <c r="X94" s="17" t="str">
        <f aca="false">J94</f>
        <v>A018</v>
      </c>
      <c r="Y94" s="17" t="str">
        <f aca="false">VLOOKUP(X94,Sheet2!A:B,2,0)</f>
        <v>PRAKASH CHAVDA</v>
      </c>
      <c r="Z94" s="17" t="s">
        <v>149</v>
      </c>
      <c r="AA94" s="17" t="s">
        <v>40</v>
      </c>
      <c r="AB94" s="17" t="s">
        <v>41</v>
      </c>
      <c r="AC94" s="0" t="str">
        <f aca="false">LEFT(G94,2)</f>
        <v>65</v>
      </c>
      <c r="AD94" s="0"/>
      <c r="AE94" s="21" t="s">
        <v>42</v>
      </c>
    </row>
    <row r="95" customFormat="false" ht="15" hidden="false" customHeight="false" outlineLevel="0" collapsed="false">
      <c r="A95" s="13" t="n">
        <f aca="false">1+A94</f>
        <v>93</v>
      </c>
      <c r="B95" s="17" t="n">
        <v>1009576545</v>
      </c>
      <c r="C95" s="17" t="s">
        <v>104</v>
      </c>
      <c r="D95" s="17" t="s">
        <v>64</v>
      </c>
      <c r="E95" s="17" t="s">
        <v>64</v>
      </c>
      <c r="F95" s="18" t="s">
        <v>70</v>
      </c>
      <c r="G95" s="19" t="n">
        <v>652035007366</v>
      </c>
      <c r="H95" s="17" t="s">
        <v>134</v>
      </c>
      <c r="I95" s="17" t="s">
        <v>50</v>
      </c>
      <c r="J95" s="17" t="s">
        <v>106</v>
      </c>
      <c r="K95" s="17" t="str">
        <f aca="false">VLOOKUP(J95,Sheet2!A:B,2,0)</f>
        <v>PRAKASH CHAVDA</v>
      </c>
      <c r="L95" s="17" t="n">
        <v>5</v>
      </c>
      <c r="M95" s="17" t="str">
        <f aca="false">VLOOKUP(L95,Sheet2!D:E,2,0)</f>
        <v>Main Processor CPU BGA</v>
      </c>
      <c r="N95" s="17" t="n">
        <v>1</v>
      </c>
      <c r="O95" s="17" t="str">
        <f aca="false">VLOOKUP(N95,Sheet2!G:H,2,0)</f>
        <v>Dead</v>
      </c>
      <c r="P95" s="17" t="n">
        <v>12</v>
      </c>
      <c r="Q95" s="17" t="str">
        <f aca="false">VLOOKUP(P95,Sheet2!J:K,2,0)</f>
        <v>IR Declared due to Others ( IR Normal)TB</v>
      </c>
      <c r="R95" s="17" t="s">
        <v>35</v>
      </c>
      <c r="S95" s="17" t="str">
        <f aca="false">VLOOKUP(R95,Sheet2!N:O,2,0)</f>
        <v>IREPARABLE</v>
      </c>
      <c r="T95" s="18" t="str">
        <f aca="false">VLOOKUP(P95,Sheet2!Q:R,2,0)</f>
        <v>IR Normal - BER to IR</v>
      </c>
      <c r="U95" s="20" t="s">
        <v>135</v>
      </c>
      <c r="V95" s="17" t="n">
        <v>12</v>
      </c>
      <c r="W95" s="20" t="str">
        <f aca="false">VLOOKUP(V95,Sheet2!Q:R,2,0)</f>
        <v>IR Normal - BER to IR</v>
      </c>
      <c r="X95" s="17" t="str">
        <f aca="false">J95</f>
        <v>A018</v>
      </c>
      <c r="Y95" s="17" t="str">
        <f aca="false">VLOOKUP(X95,Sheet2!A:B,2,0)</f>
        <v>PRAKASH CHAVDA</v>
      </c>
      <c r="Z95" s="17" t="s">
        <v>149</v>
      </c>
      <c r="AA95" s="17" t="s">
        <v>40</v>
      </c>
      <c r="AB95" s="17" t="s">
        <v>41</v>
      </c>
      <c r="AC95" s="0" t="str">
        <f aca="false">LEFT(G95,2)</f>
        <v>65</v>
      </c>
      <c r="AD95" s="0"/>
      <c r="AE95" s="21" t="s">
        <v>42</v>
      </c>
    </row>
    <row r="96" customFormat="false" ht="15" hidden="false" customHeight="false" outlineLevel="0" collapsed="false">
      <c r="A96" s="13" t="n">
        <f aca="false">1+A95</f>
        <v>94</v>
      </c>
      <c r="B96" s="17" t="n">
        <v>1009576563</v>
      </c>
      <c r="C96" s="17" t="s">
        <v>104</v>
      </c>
      <c r="D96" s="17" t="s">
        <v>64</v>
      </c>
      <c r="E96" s="17" t="s">
        <v>47</v>
      </c>
      <c r="F96" s="18" t="s">
        <v>34</v>
      </c>
      <c r="G96" s="19" t="n">
        <v>650195020278</v>
      </c>
      <c r="H96" s="17" t="s">
        <v>134</v>
      </c>
      <c r="I96" s="17" t="s">
        <v>50</v>
      </c>
      <c r="J96" s="17" t="s">
        <v>106</v>
      </c>
      <c r="K96" s="17" t="str">
        <f aca="false">VLOOKUP(J96,Sheet2!A:B,2,0)</f>
        <v>PRAKASH CHAVDA</v>
      </c>
      <c r="L96" s="17" t="n">
        <v>5</v>
      </c>
      <c r="M96" s="17" t="str">
        <f aca="false">VLOOKUP(L96,Sheet2!D:E,2,0)</f>
        <v>Main Processor CPU BGA</v>
      </c>
      <c r="N96" s="17" t="n">
        <v>1</v>
      </c>
      <c r="O96" s="17" t="str">
        <f aca="false">VLOOKUP(N96,Sheet2!G:H,2,0)</f>
        <v>Dead</v>
      </c>
      <c r="P96" s="17" t="n">
        <v>12</v>
      </c>
      <c r="Q96" s="17" t="str">
        <f aca="false">VLOOKUP(P96,Sheet2!J:K,2,0)</f>
        <v>IR Declared due to Others ( IR Normal)TB</v>
      </c>
      <c r="R96" s="17" t="s">
        <v>35</v>
      </c>
      <c r="S96" s="17" t="str">
        <f aca="false">VLOOKUP(R96,Sheet2!N:O,2,0)</f>
        <v>IREPARABLE</v>
      </c>
      <c r="T96" s="18" t="str">
        <f aca="false">VLOOKUP(P96,Sheet2!Q:R,2,0)</f>
        <v>IR Normal - BER to IR</v>
      </c>
      <c r="U96" s="20" t="s">
        <v>135</v>
      </c>
      <c r="V96" s="17" t="n">
        <v>12</v>
      </c>
      <c r="W96" s="20" t="str">
        <f aca="false">VLOOKUP(V96,Sheet2!Q:R,2,0)</f>
        <v>IR Normal - BER to IR</v>
      </c>
      <c r="X96" s="17" t="str">
        <f aca="false">J96</f>
        <v>A018</v>
      </c>
      <c r="Y96" s="17" t="str">
        <f aca="false">VLOOKUP(X96,Sheet2!A:B,2,0)</f>
        <v>PRAKASH CHAVDA</v>
      </c>
      <c r="Z96" s="17" t="s">
        <v>149</v>
      </c>
      <c r="AA96" s="17" t="s">
        <v>40</v>
      </c>
      <c r="AB96" s="17" t="s">
        <v>41</v>
      </c>
      <c r="AC96" s="0" t="str">
        <f aca="false">LEFT(G96,2)</f>
        <v>65</v>
      </c>
      <c r="AD96" s="0"/>
      <c r="AE96" s="21" t="s">
        <v>42</v>
      </c>
    </row>
    <row r="97" customFormat="false" ht="15" hidden="false" customHeight="false" outlineLevel="0" collapsed="false">
      <c r="A97" s="13" t="n">
        <f aca="false">1+A96</f>
        <v>95</v>
      </c>
      <c r="B97" s="17" t="n">
        <v>1009583787</v>
      </c>
      <c r="C97" s="17" t="s">
        <v>139</v>
      </c>
      <c r="D97" s="17" t="s">
        <v>86</v>
      </c>
      <c r="E97" s="17" t="s">
        <v>47</v>
      </c>
      <c r="F97" s="18" t="s">
        <v>34</v>
      </c>
      <c r="G97" s="19" t="n">
        <v>651151011095</v>
      </c>
      <c r="H97" s="17" t="s">
        <v>134</v>
      </c>
      <c r="I97" s="17" t="s">
        <v>50</v>
      </c>
      <c r="J97" s="17" t="s">
        <v>106</v>
      </c>
      <c r="K97" s="17" t="str">
        <f aca="false">VLOOKUP(J97,Sheet2!A:B,2,0)</f>
        <v>PRAKASH CHAVDA</v>
      </c>
      <c r="L97" s="17" t="n">
        <v>5</v>
      </c>
      <c r="M97" s="17" t="str">
        <f aca="false">VLOOKUP(L97,Sheet2!D:E,2,0)</f>
        <v>Main Processor CPU BGA</v>
      </c>
      <c r="N97" s="17" t="n">
        <v>1</v>
      </c>
      <c r="O97" s="17" t="str">
        <f aca="false">VLOOKUP(N97,Sheet2!G:H,2,0)</f>
        <v>Dead</v>
      </c>
      <c r="P97" s="17" t="n">
        <v>12</v>
      </c>
      <c r="Q97" s="17" t="str">
        <f aca="false">VLOOKUP(P97,Sheet2!J:K,2,0)</f>
        <v>IR Declared due to Others ( IR Normal)TB</v>
      </c>
      <c r="R97" s="17" t="s">
        <v>35</v>
      </c>
      <c r="S97" s="17" t="str">
        <f aca="false">VLOOKUP(R97,Sheet2!N:O,2,0)</f>
        <v>IREPARABLE</v>
      </c>
      <c r="T97" s="18" t="str">
        <f aca="false">VLOOKUP(P97,Sheet2!Q:R,2,0)</f>
        <v>IR Normal - BER to IR</v>
      </c>
      <c r="U97" s="20" t="s">
        <v>135</v>
      </c>
      <c r="V97" s="17" t="n">
        <v>12</v>
      </c>
      <c r="W97" s="20" t="str">
        <f aca="false">VLOOKUP(V97,Sheet2!Q:R,2,0)</f>
        <v>IR Normal - BER to IR</v>
      </c>
      <c r="X97" s="17" t="str">
        <f aca="false">J97</f>
        <v>A018</v>
      </c>
      <c r="Y97" s="17" t="str">
        <f aca="false">VLOOKUP(X97,Sheet2!A:B,2,0)</f>
        <v>PRAKASH CHAVDA</v>
      </c>
      <c r="Z97" s="17" t="s">
        <v>149</v>
      </c>
      <c r="AA97" s="17" t="s">
        <v>40</v>
      </c>
      <c r="AB97" s="17" t="s">
        <v>41</v>
      </c>
      <c r="AC97" s="0" t="str">
        <f aca="false">LEFT(G97,2)</f>
        <v>65</v>
      </c>
      <c r="AD97" s="0"/>
      <c r="AE97" s="21" t="s">
        <v>42</v>
      </c>
    </row>
    <row r="98" customFormat="false" ht="15" hidden="false" customHeight="false" outlineLevel="0" collapsed="false">
      <c r="A98" s="13" t="n">
        <f aca="false">1+A97</f>
        <v>96</v>
      </c>
      <c r="B98" s="17" t="n">
        <v>1009583782</v>
      </c>
      <c r="C98" s="17" t="s">
        <v>139</v>
      </c>
      <c r="D98" s="17" t="s">
        <v>86</v>
      </c>
      <c r="E98" s="17" t="s">
        <v>64</v>
      </c>
      <c r="F98" s="18" t="s">
        <v>70</v>
      </c>
      <c r="G98" s="19" t="n">
        <v>651109005231</v>
      </c>
      <c r="H98" s="17" t="s">
        <v>134</v>
      </c>
      <c r="I98" s="17" t="s">
        <v>50</v>
      </c>
      <c r="J98" s="17" t="s">
        <v>106</v>
      </c>
      <c r="K98" s="17" t="str">
        <f aca="false">VLOOKUP(J98,Sheet2!A:B,2,0)</f>
        <v>PRAKASH CHAVDA</v>
      </c>
      <c r="L98" s="17" t="n">
        <v>5</v>
      </c>
      <c r="M98" s="17" t="str">
        <f aca="false">VLOOKUP(L98,Sheet2!D:E,2,0)</f>
        <v>Main Processor CPU BGA</v>
      </c>
      <c r="N98" s="17" t="n">
        <v>1</v>
      </c>
      <c r="O98" s="17" t="str">
        <f aca="false">VLOOKUP(N98,Sheet2!G:H,2,0)</f>
        <v>Dead</v>
      </c>
      <c r="P98" s="17" t="n">
        <v>12</v>
      </c>
      <c r="Q98" s="17" t="str">
        <f aca="false">VLOOKUP(P98,Sheet2!J:K,2,0)</f>
        <v>IR Declared due to Others ( IR Normal)TB</v>
      </c>
      <c r="R98" s="17" t="s">
        <v>35</v>
      </c>
      <c r="S98" s="17" t="str">
        <f aca="false">VLOOKUP(R98,Sheet2!N:O,2,0)</f>
        <v>IREPARABLE</v>
      </c>
      <c r="T98" s="18" t="str">
        <f aca="false">VLOOKUP(P98,Sheet2!Q:R,2,0)</f>
        <v>IR Normal - BER to IR</v>
      </c>
      <c r="U98" s="20" t="s">
        <v>135</v>
      </c>
      <c r="V98" s="17" t="n">
        <v>12</v>
      </c>
      <c r="W98" s="20" t="str">
        <f aca="false">VLOOKUP(V98,Sheet2!Q:R,2,0)</f>
        <v>IR Normal - BER to IR</v>
      </c>
      <c r="X98" s="17" t="str">
        <f aca="false">J98</f>
        <v>A018</v>
      </c>
      <c r="Y98" s="17" t="str">
        <f aca="false">VLOOKUP(X98,Sheet2!A:B,2,0)</f>
        <v>PRAKASH CHAVDA</v>
      </c>
      <c r="Z98" s="17" t="s">
        <v>149</v>
      </c>
      <c r="AA98" s="17" t="s">
        <v>40</v>
      </c>
      <c r="AB98" s="17" t="s">
        <v>41</v>
      </c>
      <c r="AC98" s="0" t="str">
        <f aca="false">LEFT(G98,2)</f>
        <v>65</v>
      </c>
      <c r="AD98" s="0"/>
      <c r="AE98" s="21" t="s">
        <v>42</v>
      </c>
    </row>
    <row r="99" customFormat="false" ht="15" hidden="false" customHeight="false" outlineLevel="0" collapsed="false">
      <c r="A99" s="13" t="n">
        <f aca="false">1+A98</f>
        <v>97</v>
      </c>
      <c r="B99" s="17" t="n">
        <v>1009583781</v>
      </c>
      <c r="C99" s="17" t="s">
        <v>139</v>
      </c>
      <c r="D99" s="17" t="s">
        <v>64</v>
      </c>
      <c r="E99" s="17" t="s">
        <v>33</v>
      </c>
      <c r="F99" s="18" t="s">
        <v>34</v>
      </c>
      <c r="G99" s="19" t="n">
        <v>651075032037</v>
      </c>
      <c r="H99" s="17" t="s">
        <v>134</v>
      </c>
      <c r="I99" s="17" t="s">
        <v>50</v>
      </c>
      <c r="J99" s="17" t="s">
        <v>106</v>
      </c>
      <c r="K99" s="17" t="str">
        <f aca="false">VLOOKUP(J99,Sheet2!A:B,2,0)</f>
        <v>PRAKASH CHAVDA</v>
      </c>
      <c r="L99" s="17" t="n">
        <v>5</v>
      </c>
      <c r="M99" s="17" t="str">
        <f aca="false">VLOOKUP(L99,Sheet2!D:E,2,0)</f>
        <v>Main Processor CPU BGA</v>
      </c>
      <c r="N99" s="17" t="n">
        <v>1</v>
      </c>
      <c r="O99" s="17" t="str">
        <f aca="false">VLOOKUP(N99,Sheet2!G:H,2,0)</f>
        <v>Dead</v>
      </c>
      <c r="P99" s="17" t="n">
        <v>12</v>
      </c>
      <c r="Q99" s="17" t="str">
        <f aca="false">VLOOKUP(P99,Sheet2!J:K,2,0)</f>
        <v>IR Declared due to Others ( IR Normal)TB</v>
      </c>
      <c r="R99" s="17" t="s">
        <v>35</v>
      </c>
      <c r="S99" s="17" t="str">
        <f aca="false">VLOOKUP(R99,Sheet2!N:O,2,0)</f>
        <v>IREPARABLE</v>
      </c>
      <c r="T99" s="18" t="str">
        <f aca="false">VLOOKUP(P99,Sheet2!Q:R,2,0)</f>
        <v>IR Normal - BER to IR</v>
      </c>
      <c r="U99" s="20" t="s">
        <v>135</v>
      </c>
      <c r="V99" s="17" t="n">
        <v>12</v>
      </c>
      <c r="W99" s="20" t="str">
        <f aca="false">VLOOKUP(V99,Sheet2!Q:R,2,0)</f>
        <v>IR Normal - BER to IR</v>
      </c>
      <c r="X99" s="17" t="str">
        <f aca="false">J99</f>
        <v>A018</v>
      </c>
      <c r="Y99" s="17" t="str">
        <f aca="false">VLOOKUP(X99,Sheet2!A:B,2,0)</f>
        <v>PRAKASH CHAVDA</v>
      </c>
      <c r="Z99" s="17" t="s">
        <v>149</v>
      </c>
      <c r="AA99" s="17" t="s">
        <v>40</v>
      </c>
      <c r="AB99" s="17" t="s">
        <v>41</v>
      </c>
      <c r="AC99" s="0" t="str">
        <f aca="false">LEFT(G99,2)</f>
        <v>65</v>
      </c>
      <c r="AD99" s="0"/>
      <c r="AE99" s="21" t="s">
        <v>42</v>
      </c>
    </row>
    <row r="100" customFormat="false" ht="15" hidden="false" customHeight="false" outlineLevel="0" collapsed="false">
      <c r="A100" s="13" t="n">
        <f aca="false">1+A99</f>
        <v>98</v>
      </c>
      <c r="B100" s="17" t="n">
        <v>1009350734</v>
      </c>
      <c r="C100" s="17" t="s">
        <v>87</v>
      </c>
      <c r="D100" s="17" t="s">
        <v>64</v>
      </c>
      <c r="E100" s="17" t="s">
        <v>47</v>
      </c>
      <c r="F100" s="18" t="s">
        <v>34</v>
      </c>
      <c r="G100" s="19" t="n">
        <v>651016007791</v>
      </c>
      <c r="H100" s="17" t="s">
        <v>134</v>
      </c>
      <c r="I100" s="17" t="s">
        <v>50</v>
      </c>
      <c r="J100" s="17" t="s">
        <v>106</v>
      </c>
      <c r="K100" s="17" t="str">
        <f aca="false">VLOOKUP(J100,Sheet2!A:B,2,0)</f>
        <v>PRAKASH CHAVDA</v>
      </c>
      <c r="L100" s="17" t="n">
        <v>5</v>
      </c>
      <c r="M100" s="17" t="str">
        <f aca="false">VLOOKUP(L100,Sheet2!D:E,2,0)</f>
        <v>Main Processor CPU BGA</v>
      </c>
      <c r="N100" s="17" t="n">
        <v>33</v>
      </c>
      <c r="O100" s="17" t="str">
        <f aca="false">VLOOKUP(N100,Sheet2!G:H,2,0)</f>
        <v>Software download failure</v>
      </c>
      <c r="P100" s="17" t="n">
        <v>12</v>
      </c>
      <c r="Q100" s="17" t="str">
        <f aca="false">VLOOKUP(P100,Sheet2!J:K,2,0)</f>
        <v>IR Declared due to Others ( IR Normal)TB</v>
      </c>
      <c r="R100" s="17" t="s">
        <v>35</v>
      </c>
      <c r="S100" s="17" t="str">
        <f aca="false">VLOOKUP(R100,Sheet2!N:O,2,0)</f>
        <v>IREPARABLE</v>
      </c>
      <c r="T100" s="18" t="str">
        <f aca="false">VLOOKUP(P100,Sheet2!Q:R,2,0)</f>
        <v>IR Normal - BER to IR</v>
      </c>
      <c r="U100" s="20" t="s">
        <v>135</v>
      </c>
      <c r="V100" s="17" t="n">
        <v>12</v>
      </c>
      <c r="W100" s="20" t="str">
        <f aca="false">VLOOKUP(V100,Sheet2!Q:R,2,0)</f>
        <v>IR Normal - BER to IR</v>
      </c>
      <c r="X100" s="17" t="str">
        <f aca="false">J100</f>
        <v>A018</v>
      </c>
      <c r="Y100" s="17" t="str">
        <f aca="false">VLOOKUP(X100,Sheet2!A:B,2,0)</f>
        <v>PRAKASH CHAVDA</v>
      </c>
      <c r="Z100" s="17" t="s">
        <v>149</v>
      </c>
      <c r="AA100" s="17" t="s">
        <v>40</v>
      </c>
      <c r="AB100" s="17" t="s">
        <v>41</v>
      </c>
      <c r="AC100" s="0" t="str">
        <f aca="false">LEFT(G100,2)</f>
        <v>65</v>
      </c>
      <c r="AD100" s="0"/>
      <c r="AE100" s="21" t="s">
        <v>42</v>
      </c>
    </row>
    <row r="101" customFormat="false" ht="15" hidden="false" customHeight="false" outlineLevel="0" collapsed="false">
      <c r="A101" s="13" t="n">
        <f aca="false">1+A100</f>
        <v>99</v>
      </c>
      <c r="B101" s="17" t="n">
        <v>1009570670</v>
      </c>
      <c r="C101" s="17" t="s">
        <v>102</v>
      </c>
      <c r="D101" s="17" t="s">
        <v>103</v>
      </c>
      <c r="E101" s="17" t="s">
        <v>47</v>
      </c>
      <c r="F101" s="18" t="s">
        <v>34</v>
      </c>
      <c r="G101" s="19" t="n">
        <v>651098008097</v>
      </c>
      <c r="H101" s="17" t="s">
        <v>134</v>
      </c>
      <c r="I101" s="17" t="s">
        <v>50</v>
      </c>
      <c r="J101" s="17" t="s">
        <v>106</v>
      </c>
      <c r="K101" s="17" t="str">
        <f aca="false">VLOOKUP(J101,Sheet2!A:B,2,0)</f>
        <v>PRAKASH CHAVDA</v>
      </c>
      <c r="L101" s="17" t="n">
        <v>5</v>
      </c>
      <c r="M101" s="17" t="str">
        <f aca="false">VLOOKUP(L101,Sheet2!D:E,2,0)</f>
        <v>Main Processor CPU BGA</v>
      </c>
      <c r="N101" s="17" t="n">
        <v>1</v>
      </c>
      <c r="O101" s="17" t="str">
        <f aca="false">VLOOKUP(N101,Sheet2!G:H,2,0)</f>
        <v>Dead</v>
      </c>
      <c r="P101" s="17" t="n">
        <v>12</v>
      </c>
      <c r="Q101" s="17" t="str">
        <f aca="false">VLOOKUP(P101,Sheet2!J:K,2,0)</f>
        <v>IR Declared due to Others ( IR Normal)TB</v>
      </c>
      <c r="R101" s="17" t="s">
        <v>35</v>
      </c>
      <c r="S101" s="17" t="str">
        <f aca="false">VLOOKUP(R101,Sheet2!N:O,2,0)</f>
        <v>IREPARABLE</v>
      </c>
      <c r="T101" s="18" t="str">
        <f aca="false">VLOOKUP(P101,Sheet2!Q:R,2,0)</f>
        <v>IR Normal - BER to IR</v>
      </c>
      <c r="U101" s="20" t="s">
        <v>135</v>
      </c>
      <c r="V101" s="17" t="n">
        <v>12</v>
      </c>
      <c r="W101" s="20" t="str">
        <f aca="false">VLOOKUP(V101,Sheet2!Q:R,2,0)</f>
        <v>IR Normal - BER to IR</v>
      </c>
      <c r="X101" s="17" t="str">
        <f aca="false">J101</f>
        <v>A018</v>
      </c>
      <c r="Y101" s="17" t="str">
        <f aca="false">VLOOKUP(X101,Sheet2!A:B,2,0)</f>
        <v>PRAKASH CHAVDA</v>
      </c>
      <c r="Z101" s="17" t="s">
        <v>149</v>
      </c>
      <c r="AA101" s="17" t="s">
        <v>40</v>
      </c>
      <c r="AB101" s="17" t="s">
        <v>41</v>
      </c>
      <c r="AC101" s="0" t="str">
        <f aca="false">LEFT(G101,2)</f>
        <v>65</v>
      </c>
      <c r="AD101" s="0"/>
      <c r="AE101" s="21" t="s">
        <v>42</v>
      </c>
    </row>
    <row r="102" customFormat="false" ht="15" hidden="false" customHeight="false" outlineLevel="0" collapsed="false">
      <c r="A102" s="13" t="n">
        <f aca="false">1+A101</f>
        <v>100</v>
      </c>
      <c r="B102" s="17" t="n">
        <v>1009509705</v>
      </c>
      <c r="C102" s="17" t="s">
        <v>95</v>
      </c>
      <c r="D102" s="17" t="s">
        <v>156</v>
      </c>
      <c r="E102" s="17" t="s">
        <v>91</v>
      </c>
      <c r="F102" s="18" t="s">
        <v>92</v>
      </c>
      <c r="G102" s="19" t="n">
        <v>651295024756</v>
      </c>
      <c r="H102" s="17" t="s">
        <v>134</v>
      </c>
      <c r="I102" s="17" t="s">
        <v>50</v>
      </c>
      <c r="J102" s="17" t="s">
        <v>106</v>
      </c>
      <c r="K102" s="17" t="str">
        <f aca="false">VLOOKUP(J102,Sheet2!A:B,2,0)</f>
        <v>PRAKASH CHAVDA</v>
      </c>
      <c r="L102" s="17" t="n">
        <v>5</v>
      </c>
      <c r="M102" s="17" t="str">
        <f aca="false">VLOOKUP(L102,Sheet2!D:E,2,0)</f>
        <v>Main Processor CPU BGA</v>
      </c>
      <c r="N102" s="17" t="n">
        <v>3</v>
      </c>
      <c r="O102" s="17" t="str">
        <f aca="false">VLOOKUP(N102,Sheet2!G:H,2,0)</f>
        <v>Blue/Black /Blank Screen</v>
      </c>
      <c r="P102" s="17" t="n">
        <v>12</v>
      </c>
      <c r="Q102" s="17" t="str">
        <f aca="false">VLOOKUP(P102,Sheet2!J:K,2,0)</f>
        <v>IR Declared due to Others ( IR Normal)TB</v>
      </c>
      <c r="R102" s="17" t="s">
        <v>35</v>
      </c>
      <c r="S102" s="17" t="str">
        <f aca="false">VLOOKUP(R102,Sheet2!N:O,2,0)</f>
        <v>IREPARABLE</v>
      </c>
      <c r="T102" s="18" t="str">
        <f aca="false">VLOOKUP(P102,Sheet2!Q:R,2,0)</f>
        <v>IR Normal - BER to IR</v>
      </c>
      <c r="U102" s="20" t="s">
        <v>135</v>
      </c>
      <c r="V102" s="17" t="n">
        <v>12</v>
      </c>
      <c r="W102" s="20" t="str">
        <f aca="false">VLOOKUP(V102,Sheet2!Q:R,2,0)</f>
        <v>IR Normal - BER to IR</v>
      </c>
      <c r="X102" s="17" t="str">
        <f aca="false">J102</f>
        <v>A018</v>
      </c>
      <c r="Y102" s="17" t="str">
        <f aca="false">VLOOKUP(X102,Sheet2!A:B,2,0)</f>
        <v>PRAKASH CHAVDA</v>
      </c>
      <c r="Z102" s="17" t="s">
        <v>149</v>
      </c>
      <c r="AA102" s="17" t="s">
        <v>40</v>
      </c>
      <c r="AB102" s="17" t="s">
        <v>41</v>
      </c>
      <c r="AC102" s="0" t="str">
        <f aca="false">LEFT(G102,2)</f>
        <v>65</v>
      </c>
      <c r="AD102" s="0"/>
      <c r="AE102" s="21" t="s">
        <v>42</v>
      </c>
    </row>
    <row r="103" customFormat="false" ht="15" hidden="false" customHeight="false" outlineLevel="0" collapsed="false">
      <c r="A103" s="13" t="n">
        <f aca="false">1+A102</f>
        <v>101</v>
      </c>
      <c r="B103" s="17" t="n">
        <v>1009584628</v>
      </c>
      <c r="C103" s="17" t="s">
        <v>139</v>
      </c>
      <c r="D103" s="17" t="s">
        <v>64</v>
      </c>
      <c r="E103" s="17" t="s">
        <v>47</v>
      </c>
      <c r="F103" s="18" t="s">
        <v>34</v>
      </c>
      <c r="G103" s="19" t="n">
        <v>986164238966</v>
      </c>
      <c r="H103" s="17" t="s">
        <v>134</v>
      </c>
      <c r="I103" s="17" t="s">
        <v>44</v>
      </c>
      <c r="J103" s="17" t="s">
        <v>106</v>
      </c>
      <c r="K103" s="17" t="str">
        <f aca="false">VLOOKUP(J103,Sheet2!A:B,2,0)</f>
        <v>PRAKASH CHAVDA</v>
      </c>
      <c r="L103" s="17" t="n">
        <v>5</v>
      </c>
      <c r="M103" s="17" t="str">
        <f aca="false">VLOOKUP(L103,Sheet2!D:E,2,0)</f>
        <v>Main Processor CPU BGA</v>
      </c>
      <c r="N103" s="17" t="n">
        <v>1</v>
      </c>
      <c r="O103" s="17" t="str">
        <f aca="false">VLOOKUP(N103,Sheet2!G:H,2,0)</f>
        <v>Dead</v>
      </c>
      <c r="P103" s="17" t="n">
        <v>12</v>
      </c>
      <c r="Q103" s="17" t="str">
        <f aca="false">VLOOKUP(P103,Sheet2!J:K,2,0)</f>
        <v>IR Declared due to Others ( IR Normal)TB</v>
      </c>
      <c r="R103" s="17" t="s">
        <v>35</v>
      </c>
      <c r="S103" s="17" t="str">
        <f aca="false">VLOOKUP(R103,Sheet2!N:O,2,0)</f>
        <v>IREPARABLE</v>
      </c>
      <c r="T103" s="18" t="str">
        <f aca="false">VLOOKUP(P103,Sheet2!Q:R,2,0)</f>
        <v>IR Normal - BER to IR</v>
      </c>
      <c r="U103" s="20" t="s">
        <v>135</v>
      </c>
      <c r="V103" s="17" t="n">
        <v>12</v>
      </c>
      <c r="W103" s="20" t="str">
        <f aca="false">VLOOKUP(V103,Sheet2!Q:R,2,0)</f>
        <v>IR Normal - BER to IR</v>
      </c>
      <c r="X103" s="17" t="str">
        <f aca="false">J103</f>
        <v>A018</v>
      </c>
      <c r="Y103" s="17" t="str">
        <f aca="false">VLOOKUP(X103,Sheet2!A:B,2,0)</f>
        <v>PRAKASH CHAVDA</v>
      </c>
      <c r="Z103" s="17" t="s">
        <v>141</v>
      </c>
      <c r="AA103" s="17" t="s">
        <v>40</v>
      </c>
      <c r="AB103" s="17" t="s">
        <v>41</v>
      </c>
      <c r="AC103" s="0" t="str">
        <f aca="false">LEFT(G103,2)</f>
        <v>98</v>
      </c>
      <c r="AD103" s="0"/>
      <c r="AE103" s="21" t="s">
        <v>42</v>
      </c>
    </row>
    <row r="104" customFormat="false" ht="15" hidden="false" customHeight="false" outlineLevel="0" collapsed="false">
      <c r="A104" s="13" t="n">
        <f aca="false">1+A103</f>
        <v>102</v>
      </c>
      <c r="B104" s="17" t="n">
        <v>1009571781</v>
      </c>
      <c r="C104" s="17" t="s">
        <v>104</v>
      </c>
      <c r="D104" s="17" t="s">
        <v>64</v>
      </c>
      <c r="E104" s="17" t="s">
        <v>91</v>
      </c>
      <c r="F104" s="18" t="s">
        <v>92</v>
      </c>
      <c r="G104" s="19" t="n">
        <v>987254287210</v>
      </c>
      <c r="H104" s="17" t="s">
        <v>134</v>
      </c>
      <c r="I104" s="17" t="s">
        <v>44</v>
      </c>
      <c r="J104" s="17" t="s">
        <v>106</v>
      </c>
      <c r="K104" s="17" t="str">
        <f aca="false">VLOOKUP(J104,Sheet2!A:B,2,0)</f>
        <v>PRAKASH CHAVDA</v>
      </c>
      <c r="L104" s="17" t="n">
        <v>5</v>
      </c>
      <c r="M104" s="17" t="str">
        <f aca="false">VLOOKUP(L104,Sheet2!D:E,2,0)</f>
        <v>Main Processor CPU BGA</v>
      </c>
      <c r="N104" s="17" t="n">
        <v>24</v>
      </c>
      <c r="O104" s="17" t="str">
        <f aca="false">VLOOKUP(N104,Sheet2!G:H,2,0)</f>
        <v>STB Auto moving -Stand by mode</v>
      </c>
      <c r="P104" s="17" t="n">
        <v>12</v>
      </c>
      <c r="Q104" s="17" t="str">
        <f aca="false">VLOOKUP(P104,Sheet2!J:K,2,0)</f>
        <v>IR Declared due to Others ( IR Normal)TB</v>
      </c>
      <c r="R104" s="17" t="s">
        <v>35</v>
      </c>
      <c r="S104" s="17" t="str">
        <f aca="false">VLOOKUP(R104,Sheet2!N:O,2,0)</f>
        <v>IREPARABLE</v>
      </c>
      <c r="T104" s="18" t="str">
        <f aca="false">VLOOKUP(P104,Sheet2!Q:R,2,0)</f>
        <v>IR Normal - BER to IR</v>
      </c>
      <c r="U104" s="20" t="s">
        <v>135</v>
      </c>
      <c r="V104" s="17" t="n">
        <v>12</v>
      </c>
      <c r="W104" s="20" t="str">
        <f aca="false">VLOOKUP(V104,Sheet2!Q:R,2,0)</f>
        <v>IR Normal - BER to IR</v>
      </c>
      <c r="X104" s="17" t="str">
        <f aca="false">J104</f>
        <v>A018</v>
      </c>
      <c r="Y104" s="17" t="str">
        <f aca="false">VLOOKUP(X104,Sheet2!A:B,2,0)</f>
        <v>PRAKASH CHAVDA</v>
      </c>
      <c r="Z104" s="17" t="s">
        <v>141</v>
      </c>
      <c r="AA104" s="17" t="s">
        <v>40</v>
      </c>
      <c r="AB104" s="17" t="s">
        <v>41</v>
      </c>
      <c r="AC104" s="0" t="str">
        <f aca="false">LEFT(G104,2)</f>
        <v>98</v>
      </c>
      <c r="AD104" s="0"/>
      <c r="AE104" s="21" t="s">
        <v>42</v>
      </c>
    </row>
    <row r="105" customFormat="false" ht="15" hidden="false" customHeight="false" outlineLevel="0" collapsed="false">
      <c r="A105" s="13" t="n">
        <f aca="false">1+A104</f>
        <v>103</v>
      </c>
      <c r="B105" s="17" t="n">
        <v>1009582184</v>
      </c>
      <c r="C105" s="17" t="s">
        <v>139</v>
      </c>
      <c r="D105" s="17" t="s">
        <v>64</v>
      </c>
      <c r="E105" s="17" t="s">
        <v>91</v>
      </c>
      <c r="F105" s="18" t="s">
        <v>92</v>
      </c>
      <c r="G105" s="19" t="n">
        <v>986163174731</v>
      </c>
      <c r="H105" s="17" t="s">
        <v>134</v>
      </c>
      <c r="I105" s="17" t="s">
        <v>44</v>
      </c>
      <c r="J105" s="17" t="s">
        <v>106</v>
      </c>
      <c r="K105" s="17" t="str">
        <f aca="false">VLOOKUP(J105,Sheet2!A:B,2,0)</f>
        <v>PRAKASH CHAVDA</v>
      </c>
      <c r="L105" s="17" t="n">
        <v>5</v>
      </c>
      <c r="M105" s="17" t="str">
        <f aca="false">VLOOKUP(L105,Sheet2!D:E,2,0)</f>
        <v>Main Processor CPU BGA</v>
      </c>
      <c r="N105" s="17" t="n">
        <v>24</v>
      </c>
      <c r="O105" s="17" t="str">
        <f aca="false">VLOOKUP(N105,Sheet2!G:H,2,0)</f>
        <v>STB Auto moving -Stand by mode</v>
      </c>
      <c r="P105" s="17" t="n">
        <v>12</v>
      </c>
      <c r="Q105" s="17" t="str">
        <f aca="false">VLOOKUP(P105,Sheet2!J:K,2,0)</f>
        <v>IR Declared due to Others ( IR Normal)TB</v>
      </c>
      <c r="R105" s="17" t="s">
        <v>35</v>
      </c>
      <c r="S105" s="17" t="str">
        <f aca="false">VLOOKUP(R105,Sheet2!N:O,2,0)</f>
        <v>IREPARABLE</v>
      </c>
      <c r="T105" s="18" t="str">
        <f aca="false">VLOOKUP(P105,Sheet2!Q:R,2,0)</f>
        <v>IR Normal - BER to IR</v>
      </c>
      <c r="U105" s="20" t="s">
        <v>135</v>
      </c>
      <c r="V105" s="17" t="n">
        <v>12</v>
      </c>
      <c r="W105" s="20" t="str">
        <f aca="false">VLOOKUP(V105,Sheet2!Q:R,2,0)</f>
        <v>IR Normal - BER to IR</v>
      </c>
      <c r="X105" s="17" t="str">
        <f aca="false">J105</f>
        <v>A018</v>
      </c>
      <c r="Y105" s="17" t="str">
        <f aca="false">VLOOKUP(X105,Sheet2!A:B,2,0)</f>
        <v>PRAKASH CHAVDA</v>
      </c>
      <c r="Z105" s="17" t="s">
        <v>141</v>
      </c>
      <c r="AA105" s="17" t="s">
        <v>40</v>
      </c>
      <c r="AB105" s="17" t="s">
        <v>41</v>
      </c>
      <c r="AC105" s="0" t="str">
        <f aca="false">LEFT(G105,2)</f>
        <v>98</v>
      </c>
      <c r="AD105" s="0"/>
      <c r="AE105" s="21" t="s">
        <v>42</v>
      </c>
    </row>
    <row r="106" customFormat="false" ht="15" hidden="false" customHeight="false" outlineLevel="0" collapsed="false">
      <c r="A106" s="13" t="n">
        <f aca="false">1+A105</f>
        <v>104</v>
      </c>
      <c r="B106" s="17" t="n">
        <v>1009328140</v>
      </c>
      <c r="C106" s="17" t="s">
        <v>59</v>
      </c>
      <c r="D106" s="17" t="s">
        <v>157</v>
      </c>
      <c r="E106" s="17" t="s">
        <v>47</v>
      </c>
      <c r="F106" s="18" t="s">
        <v>34</v>
      </c>
      <c r="G106" s="19" t="n">
        <v>985321225205</v>
      </c>
      <c r="H106" s="17" t="s">
        <v>134</v>
      </c>
      <c r="I106" s="17" t="s">
        <v>44</v>
      </c>
      <c r="J106" s="17" t="s">
        <v>106</v>
      </c>
      <c r="K106" s="17" t="str">
        <f aca="false">VLOOKUP(J106,Sheet2!A:B,2,0)</f>
        <v>PRAKASH CHAVDA</v>
      </c>
      <c r="L106" s="17" t="n">
        <v>1</v>
      </c>
      <c r="M106" s="17" t="str">
        <f aca="false">VLOOKUP(L106,Sheet2!D:E,2,0)</f>
        <v>Power Supply Section</v>
      </c>
      <c r="N106" s="17" t="n">
        <v>1</v>
      </c>
      <c r="O106" s="17" t="str">
        <f aca="false">VLOOKUP(N106,Sheet2!G:H,2,0)</f>
        <v>Dead</v>
      </c>
      <c r="P106" s="17" t="n">
        <v>12</v>
      </c>
      <c r="Q106" s="17" t="str">
        <f aca="false">VLOOKUP(P106,Sheet2!J:K,2,0)</f>
        <v>IR Declared due to Others ( IR Normal)TB</v>
      </c>
      <c r="R106" s="17" t="s">
        <v>35</v>
      </c>
      <c r="S106" s="17" t="str">
        <f aca="false">VLOOKUP(R106,Sheet2!N:O,2,0)</f>
        <v>IREPARABLE</v>
      </c>
      <c r="T106" s="18" t="str">
        <f aca="false">VLOOKUP(P106,Sheet2!Q:R,2,0)</f>
        <v>IR Normal - BER to IR</v>
      </c>
      <c r="U106" s="20" t="s">
        <v>135</v>
      </c>
      <c r="V106" s="17" t="n">
        <v>12</v>
      </c>
      <c r="W106" s="20" t="str">
        <f aca="false">VLOOKUP(V106,Sheet2!Q:R,2,0)</f>
        <v>IR Normal - BER to IR</v>
      </c>
      <c r="X106" s="17" t="str">
        <f aca="false">J106</f>
        <v>A018</v>
      </c>
      <c r="Y106" s="17" t="str">
        <f aca="false">VLOOKUP(X106,Sheet2!A:B,2,0)</f>
        <v>PRAKASH CHAVDA</v>
      </c>
      <c r="Z106" s="17" t="s">
        <v>141</v>
      </c>
      <c r="AA106" s="17" t="s">
        <v>40</v>
      </c>
      <c r="AB106" s="17" t="s">
        <v>41</v>
      </c>
      <c r="AC106" s="0" t="str">
        <f aca="false">LEFT(G106,2)</f>
        <v>98</v>
      </c>
      <c r="AD106" s="0"/>
      <c r="AE106" s="21" t="s">
        <v>42</v>
      </c>
    </row>
    <row r="107" customFormat="false" ht="15" hidden="false" customHeight="false" outlineLevel="0" collapsed="false">
      <c r="A107" s="13" t="n">
        <f aca="false">1+A106</f>
        <v>105</v>
      </c>
      <c r="B107" s="17" t="n">
        <v>1009566430</v>
      </c>
      <c r="C107" s="17" t="s">
        <v>102</v>
      </c>
      <c r="D107" s="17" t="s">
        <v>64</v>
      </c>
      <c r="E107" s="17" t="s">
        <v>64</v>
      </c>
      <c r="F107" s="18" t="s">
        <v>70</v>
      </c>
      <c r="G107" s="19" t="n">
        <v>986207219585</v>
      </c>
      <c r="H107" s="17" t="s">
        <v>134</v>
      </c>
      <c r="I107" s="17" t="s">
        <v>44</v>
      </c>
      <c r="J107" s="17" t="s">
        <v>106</v>
      </c>
      <c r="K107" s="17" t="str">
        <f aca="false">VLOOKUP(J107,Sheet2!A:B,2,0)</f>
        <v>PRAKASH CHAVDA</v>
      </c>
      <c r="L107" s="17" t="n">
        <v>5</v>
      </c>
      <c r="M107" s="17" t="str">
        <f aca="false">VLOOKUP(L107,Sheet2!D:E,2,0)</f>
        <v>Main Processor CPU BGA</v>
      </c>
      <c r="N107" s="17" t="n">
        <v>1</v>
      </c>
      <c r="O107" s="17" t="str">
        <f aca="false">VLOOKUP(N107,Sheet2!G:H,2,0)</f>
        <v>Dead</v>
      </c>
      <c r="P107" s="17" t="n">
        <v>12</v>
      </c>
      <c r="Q107" s="17" t="str">
        <f aca="false">VLOOKUP(P107,Sheet2!J:K,2,0)</f>
        <v>IR Declared due to Others ( IR Normal)TB</v>
      </c>
      <c r="R107" s="17" t="s">
        <v>35</v>
      </c>
      <c r="S107" s="17" t="str">
        <f aca="false">VLOOKUP(R107,Sheet2!N:O,2,0)</f>
        <v>IREPARABLE</v>
      </c>
      <c r="T107" s="18" t="str">
        <f aca="false">VLOOKUP(P107,Sheet2!Q:R,2,0)</f>
        <v>IR Normal - BER to IR</v>
      </c>
      <c r="U107" s="20" t="s">
        <v>135</v>
      </c>
      <c r="V107" s="17" t="n">
        <v>12</v>
      </c>
      <c r="W107" s="20" t="str">
        <f aca="false">VLOOKUP(V107,Sheet2!Q:R,2,0)</f>
        <v>IR Normal - BER to IR</v>
      </c>
      <c r="X107" s="17" t="str">
        <f aca="false">J107</f>
        <v>A018</v>
      </c>
      <c r="Y107" s="17" t="str">
        <f aca="false">VLOOKUP(X107,Sheet2!A:B,2,0)</f>
        <v>PRAKASH CHAVDA</v>
      </c>
      <c r="Z107" s="17" t="s">
        <v>141</v>
      </c>
      <c r="AA107" s="17" t="s">
        <v>40</v>
      </c>
      <c r="AB107" s="17" t="s">
        <v>41</v>
      </c>
      <c r="AC107" s="0" t="str">
        <f aca="false">LEFT(G107,2)</f>
        <v>98</v>
      </c>
      <c r="AD107" s="0"/>
      <c r="AE107" s="21" t="s">
        <v>42</v>
      </c>
    </row>
    <row r="108" customFormat="false" ht="15" hidden="false" customHeight="false" outlineLevel="0" collapsed="false">
      <c r="A108" s="13" t="n">
        <f aca="false">1+A107</f>
        <v>106</v>
      </c>
      <c r="B108" s="17" t="n">
        <v>1009577084</v>
      </c>
      <c r="C108" s="17" t="s">
        <v>139</v>
      </c>
      <c r="D108" s="17" t="s">
        <v>64</v>
      </c>
      <c r="E108" s="17" t="s">
        <v>47</v>
      </c>
      <c r="F108" s="18" t="s">
        <v>34</v>
      </c>
      <c r="G108" s="19" t="n">
        <v>987096341324</v>
      </c>
      <c r="H108" s="17" t="s">
        <v>134</v>
      </c>
      <c r="I108" s="17" t="s">
        <v>44</v>
      </c>
      <c r="J108" s="17" t="s">
        <v>106</v>
      </c>
      <c r="K108" s="17" t="str">
        <f aca="false">VLOOKUP(J108,Sheet2!A:B,2,0)</f>
        <v>PRAKASH CHAVDA</v>
      </c>
      <c r="L108" s="17" t="n">
        <v>5</v>
      </c>
      <c r="M108" s="17" t="str">
        <f aca="false">VLOOKUP(L108,Sheet2!D:E,2,0)</f>
        <v>Main Processor CPU BGA</v>
      </c>
      <c r="N108" s="17" t="n">
        <v>6</v>
      </c>
      <c r="O108" s="17" t="str">
        <f aca="false">VLOOKUP(N108,Sheet2!G:H,2,0)</f>
        <v>No Signal</v>
      </c>
      <c r="P108" s="17" t="n">
        <v>12</v>
      </c>
      <c r="Q108" s="17" t="str">
        <f aca="false">VLOOKUP(P108,Sheet2!J:K,2,0)</f>
        <v>IR Declared due to Others ( IR Normal)TB</v>
      </c>
      <c r="R108" s="17" t="s">
        <v>35</v>
      </c>
      <c r="S108" s="17" t="str">
        <f aca="false">VLOOKUP(R108,Sheet2!N:O,2,0)</f>
        <v>IREPARABLE</v>
      </c>
      <c r="T108" s="18" t="str">
        <f aca="false">VLOOKUP(P108,Sheet2!Q:R,2,0)</f>
        <v>IR Normal - BER to IR</v>
      </c>
      <c r="U108" s="20" t="s">
        <v>135</v>
      </c>
      <c r="V108" s="17" t="n">
        <v>12</v>
      </c>
      <c r="W108" s="20" t="str">
        <f aca="false">VLOOKUP(V108,Sheet2!Q:R,2,0)</f>
        <v>IR Normal - BER to IR</v>
      </c>
      <c r="X108" s="17" t="str">
        <f aca="false">J108</f>
        <v>A018</v>
      </c>
      <c r="Y108" s="17" t="str">
        <f aca="false">VLOOKUP(X108,Sheet2!A:B,2,0)</f>
        <v>PRAKASH CHAVDA</v>
      </c>
      <c r="Z108" s="17" t="s">
        <v>141</v>
      </c>
      <c r="AA108" s="17" t="s">
        <v>40</v>
      </c>
      <c r="AB108" s="17" t="s">
        <v>41</v>
      </c>
      <c r="AC108" s="0" t="str">
        <f aca="false">LEFT(G108,2)</f>
        <v>98</v>
      </c>
      <c r="AD108" s="0"/>
      <c r="AE108" s="21" t="s">
        <v>42</v>
      </c>
    </row>
    <row r="109" customFormat="false" ht="15" hidden="false" customHeight="false" outlineLevel="0" collapsed="false">
      <c r="A109" s="13" t="n">
        <f aca="false">1+A108</f>
        <v>107</v>
      </c>
      <c r="B109" s="17" t="n">
        <v>1009566594</v>
      </c>
      <c r="C109" s="17" t="s">
        <v>102</v>
      </c>
      <c r="D109" s="17" t="s">
        <v>158</v>
      </c>
      <c r="E109" s="17" t="s">
        <v>33</v>
      </c>
      <c r="F109" s="18" t="s">
        <v>34</v>
      </c>
      <c r="G109" s="19" t="n">
        <v>775240059656</v>
      </c>
      <c r="H109" s="17" t="s">
        <v>134</v>
      </c>
      <c r="I109" s="17" t="s">
        <v>69</v>
      </c>
      <c r="J109" s="17" t="s">
        <v>106</v>
      </c>
      <c r="K109" s="17" t="str">
        <f aca="false">VLOOKUP(J109,Sheet2!A:B,2,0)</f>
        <v>PRAKASH CHAVDA</v>
      </c>
      <c r="L109" s="17" t="n">
        <v>5</v>
      </c>
      <c r="M109" s="17" t="str">
        <f aca="false">VLOOKUP(L109,Sheet2!D:E,2,0)</f>
        <v>Main Processor CPU BGA</v>
      </c>
      <c r="N109" s="17" t="n">
        <v>1</v>
      </c>
      <c r="O109" s="17" t="str">
        <f aca="false">VLOOKUP(N109,Sheet2!G:H,2,0)</f>
        <v>Dead</v>
      </c>
      <c r="P109" s="17" t="n">
        <v>12</v>
      </c>
      <c r="Q109" s="17" t="str">
        <f aca="false">VLOOKUP(P109,Sheet2!J:K,2,0)</f>
        <v>IR Declared due to Others ( IR Normal)TB</v>
      </c>
      <c r="R109" s="17" t="s">
        <v>35</v>
      </c>
      <c r="S109" s="17" t="str">
        <f aca="false">VLOOKUP(R109,Sheet2!N:O,2,0)</f>
        <v>IREPARABLE</v>
      </c>
      <c r="T109" s="18" t="str">
        <f aca="false">VLOOKUP(P109,Sheet2!Q:R,2,0)</f>
        <v>IR Normal - BER to IR</v>
      </c>
      <c r="U109" s="20" t="s">
        <v>135</v>
      </c>
      <c r="V109" s="17" t="n">
        <v>12</v>
      </c>
      <c r="W109" s="20" t="str">
        <f aca="false">VLOOKUP(V109,Sheet2!Q:R,2,0)</f>
        <v>IR Normal - BER to IR</v>
      </c>
      <c r="X109" s="17" t="str">
        <f aca="false">J109</f>
        <v>A018</v>
      </c>
      <c r="Y109" s="17" t="str">
        <f aca="false">VLOOKUP(X109,Sheet2!A:B,2,0)</f>
        <v>PRAKASH CHAVDA</v>
      </c>
      <c r="Z109" s="17" t="s">
        <v>136</v>
      </c>
      <c r="AA109" s="17" t="s">
        <v>40</v>
      </c>
      <c r="AB109" s="17" t="s">
        <v>41</v>
      </c>
      <c r="AC109" s="0" t="str">
        <f aca="false">LEFT(G109,2)</f>
        <v>77</v>
      </c>
      <c r="AD109" s="0"/>
      <c r="AE109" s="21" t="s">
        <v>42</v>
      </c>
    </row>
    <row r="110" customFormat="false" ht="15" hidden="false" customHeight="false" outlineLevel="0" collapsed="false">
      <c r="A110" s="13" t="n">
        <f aca="false">1+A109</f>
        <v>108</v>
      </c>
      <c r="B110" s="17" t="n">
        <v>1009555379</v>
      </c>
      <c r="C110" s="17" t="s">
        <v>139</v>
      </c>
      <c r="D110" s="17" t="s">
        <v>143</v>
      </c>
      <c r="E110" s="17" t="s">
        <v>114</v>
      </c>
      <c r="F110" s="18" t="s">
        <v>34</v>
      </c>
      <c r="G110" s="19" t="n">
        <v>774345197917</v>
      </c>
      <c r="H110" s="17" t="s">
        <v>134</v>
      </c>
      <c r="I110" s="17" t="s">
        <v>69</v>
      </c>
      <c r="J110" s="17" t="s">
        <v>106</v>
      </c>
      <c r="K110" s="17" t="str">
        <f aca="false">VLOOKUP(J110,Sheet2!A:B,2,0)</f>
        <v>PRAKASH CHAVDA</v>
      </c>
      <c r="L110" s="17" t="n">
        <v>5</v>
      </c>
      <c r="M110" s="17" t="str">
        <f aca="false">VLOOKUP(L110,Sheet2!D:E,2,0)</f>
        <v>Main Processor CPU BGA</v>
      </c>
      <c r="N110" s="17" t="n">
        <v>24</v>
      </c>
      <c r="O110" s="17" t="str">
        <f aca="false">VLOOKUP(N110,Sheet2!G:H,2,0)</f>
        <v>STB Auto moving -Stand by mode</v>
      </c>
      <c r="P110" s="17" t="n">
        <v>12</v>
      </c>
      <c r="Q110" s="17" t="str">
        <f aca="false">VLOOKUP(P110,Sheet2!J:K,2,0)</f>
        <v>IR Declared due to Others ( IR Normal)TB</v>
      </c>
      <c r="R110" s="17" t="s">
        <v>35</v>
      </c>
      <c r="S110" s="17" t="str">
        <f aca="false">VLOOKUP(R110,Sheet2!N:O,2,0)</f>
        <v>IREPARABLE</v>
      </c>
      <c r="T110" s="18" t="str">
        <f aca="false">VLOOKUP(P110,Sheet2!Q:R,2,0)</f>
        <v>IR Normal - BER to IR</v>
      </c>
      <c r="U110" s="20" t="s">
        <v>135</v>
      </c>
      <c r="V110" s="17" t="n">
        <v>12</v>
      </c>
      <c r="W110" s="20" t="str">
        <f aca="false">VLOOKUP(V110,Sheet2!Q:R,2,0)</f>
        <v>IR Normal - BER to IR</v>
      </c>
      <c r="X110" s="17" t="str">
        <f aca="false">J110</f>
        <v>A018</v>
      </c>
      <c r="Y110" s="17" t="str">
        <f aca="false">VLOOKUP(X110,Sheet2!A:B,2,0)</f>
        <v>PRAKASH CHAVDA</v>
      </c>
      <c r="Z110" s="17" t="s">
        <v>136</v>
      </c>
      <c r="AA110" s="17" t="s">
        <v>40</v>
      </c>
      <c r="AB110" s="17" t="s">
        <v>41</v>
      </c>
      <c r="AC110" s="0" t="str">
        <f aca="false">LEFT(G110,2)</f>
        <v>77</v>
      </c>
      <c r="AD110" s="0"/>
      <c r="AE110" s="21" t="s">
        <v>42</v>
      </c>
    </row>
    <row r="111" customFormat="false" ht="15" hidden="false" customHeight="false" outlineLevel="0" collapsed="false">
      <c r="A111" s="13" t="n">
        <f aca="false">1+A110</f>
        <v>109</v>
      </c>
      <c r="B111" s="17" t="n">
        <v>1009601760</v>
      </c>
      <c r="C111" s="17" t="s">
        <v>159</v>
      </c>
      <c r="D111" s="17" t="s">
        <v>64</v>
      </c>
      <c r="E111" s="17" t="s">
        <v>33</v>
      </c>
      <c r="F111" s="18" t="s">
        <v>34</v>
      </c>
      <c r="G111" s="19" t="n">
        <v>775342297154</v>
      </c>
      <c r="H111" s="17" t="s">
        <v>134</v>
      </c>
      <c r="I111" s="17" t="s">
        <v>69</v>
      </c>
      <c r="J111" s="17" t="s">
        <v>106</v>
      </c>
      <c r="K111" s="17" t="str">
        <f aca="false">VLOOKUP(J111,Sheet2!A:B,2,0)</f>
        <v>PRAKASH CHAVDA</v>
      </c>
      <c r="L111" s="17" t="n">
        <v>5</v>
      </c>
      <c r="M111" s="17" t="str">
        <f aca="false">VLOOKUP(L111,Sheet2!D:E,2,0)</f>
        <v>Main Processor CPU BGA</v>
      </c>
      <c r="N111" s="17" t="n">
        <v>1</v>
      </c>
      <c r="O111" s="17" t="str">
        <f aca="false">VLOOKUP(N111,Sheet2!G:H,2,0)</f>
        <v>Dead</v>
      </c>
      <c r="P111" s="17" t="n">
        <v>12</v>
      </c>
      <c r="Q111" s="17" t="str">
        <f aca="false">VLOOKUP(P111,Sheet2!J:K,2,0)</f>
        <v>IR Declared due to Others ( IR Normal)TB</v>
      </c>
      <c r="R111" s="17" t="s">
        <v>35</v>
      </c>
      <c r="S111" s="17" t="str">
        <f aca="false">VLOOKUP(R111,Sheet2!N:O,2,0)</f>
        <v>IREPARABLE</v>
      </c>
      <c r="T111" s="18" t="str">
        <f aca="false">VLOOKUP(P111,Sheet2!Q:R,2,0)</f>
        <v>IR Normal - BER to IR</v>
      </c>
      <c r="U111" s="20" t="s">
        <v>135</v>
      </c>
      <c r="V111" s="17" t="n">
        <v>12</v>
      </c>
      <c r="W111" s="20" t="str">
        <f aca="false">VLOOKUP(V111,Sheet2!Q:R,2,0)</f>
        <v>IR Normal - BER to IR</v>
      </c>
      <c r="X111" s="17" t="str">
        <f aca="false">J111</f>
        <v>A018</v>
      </c>
      <c r="Y111" s="17" t="str">
        <f aca="false">VLOOKUP(X111,Sheet2!A:B,2,0)</f>
        <v>PRAKASH CHAVDA</v>
      </c>
      <c r="Z111" s="17" t="s">
        <v>136</v>
      </c>
      <c r="AA111" s="17" t="s">
        <v>40</v>
      </c>
      <c r="AB111" s="17" t="s">
        <v>41</v>
      </c>
      <c r="AC111" s="0" t="str">
        <f aca="false">LEFT(G111,2)</f>
        <v>77</v>
      </c>
      <c r="AD111" s="0"/>
      <c r="AE111" s="21" t="s">
        <v>42</v>
      </c>
    </row>
    <row r="112" customFormat="false" ht="15" hidden="false" customHeight="false" outlineLevel="0" collapsed="false">
      <c r="A112" s="13" t="n">
        <f aca="false">1+A111</f>
        <v>110</v>
      </c>
      <c r="B112" s="17" t="n">
        <v>1009600337</v>
      </c>
      <c r="C112" s="17" t="s">
        <v>159</v>
      </c>
      <c r="D112" s="17" t="s">
        <v>64</v>
      </c>
      <c r="E112" s="17" t="s">
        <v>64</v>
      </c>
      <c r="F112" s="18" t="s">
        <v>70</v>
      </c>
      <c r="G112" s="19" t="n">
        <v>774345416572</v>
      </c>
      <c r="H112" s="17" t="s">
        <v>134</v>
      </c>
      <c r="I112" s="17" t="s">
        <v>69</v>
      </c>
      <c r="J112" s="17" t="s">
        <v>106</v>
      </c>
      <c r="K112" s="17" t="str">
        <f aca="false">VLOOKUP(J112,Sheet2!A:B,2,0)</f>
        <v>PRAKASH CHAVDA</v>
      </c>
      <c r="L112" s="17" t="n">
        <v>5</v>
      </c>
      <c r="M112" s="17" t="str">
        <f aca="false">VLOOKUP(L112,Sheet2!D:E,2,0)</f>
        <v>Main Processor CPU BGA</v>
      </c>
      <c r="N112" s="17" t="n">
        <v>24</v>
      </c>
      <c r="O112" s="17" t="str">
        <f aca="false">VLOOKUP(N112,Sheet2!G:H,2,0)</f>
        <v>STB Auto moving -Stand by mode</v>
      </c>
      <c r="P112" s="17" t="n">
        <v>12</v>
      </c>
      <c r="Q112" s="17" t="str">
        <f aca="false">VLOOKUP(P112,Sheet2!J:K,2,0)</f>
        <v>IR Declared due to Others ( IR Normal)TB</v>
      </c>
      <c r="R112" s="17" t="s">
        <v>35</v>
      </c>
      <c r="S112" s="17" t="str">
        <f aca="false">VLOOKUP(R112,Sheet2!N:O,2,0)</f>
        <v>IREPARABLE</v>
      </c>
      <c r="T112" s="18" t="str">
        <f aca="false">VLOOKUP(P112,Sheet2!Q:R,2,0)</f>
        <v>IR Normal - BER to IR</v>
      </c>
      <c r="U112" s="20" t="s">
        <v>135</v>
      </c>
      <c r="V112" s="17" t="n">
        <v>12</v>
      </c>
      <c r="W112" s="20" t="str">
        <f aca="false">VLOOKUP(V112,Sheet2!Q:R,2,0)</f>
        <v>IR Normal - BER to IR</v>
      </c>
      <c r="X112" s="17" t="str">
        <f aca="false">J112</f>
        <v>A018</v>
      </c>
      <c r="Y112" s="17" t="str">
        <f aca="false">VLOOKUP(X112,Sheet2!A:B,2,0)</f>
        <v>PRAKASH CHAVDA</v>
      </c>
      <c r="Z112" s="17" t="s">
        <v>136</v>
      </c>
      <c r="AA112" s="17" t="s">
        <v>40</v>
      </c>
      <c r="AB112" s="17" t="s">
        <v>41</v>
      </c>
      <c r="AC112" s="0" t="str">
        <f aca="false">LEFT(G112,2)</f>
        <v>77</v>
      </c>
      <c r="AD112" s="0"/>
      <c r="AE112" s="21" t="s">
        <v>42</v>
      </c>
    </row>
    <row r="113" customFormat="false" ht="15" hidden="false" customHeight="false" outlineLevel="0" collapsed="false">
      <c r="A113" s="13" t="n">
        <f aca="false">1+A112</f>
        <v>111</v>
      </c>
      <c r="B113" s="17" t="n">
        <v>1008925017</v>
      </c>
      <c r="C113" s="17" t="s">
        <v>160</v>
      </c>
      <c r="D113" s="17" t="s">
        <v>64</v>
      </c>
      <c r="E113" s="17" t="s">
        <v>114</v>
      </c>
      <c r="F113" s="18" t="s">
        <v>34</v>
      </c>
      <c r="G113" s="19" t="n">
        <v>134247278390</v>
      </c>
      <c r="H113" s="17" t="s">
        <v>134</v>
      </c>
      <c r="I113" s="17" t="s">
        <v>44</v>
      </c>
      <c r="J113" s="17" t="s">
        <v>106</v>
      </c>
      <c r="K113" s="17" t="str">
        <f aca="false">VLOOKUP(J113,Sheet2!A:B,2,0)</f>
        <v>PRAKASH CHAVDA</v>
      </c>
      <c r="L113" s="17" t="n">
        <v>5</v>
      </c>
      <c r="M113" s="17" t="str">
        <f aca="false">VLOOKUP(L113,Sheet2!D:E,2,0)</f>
        <v>Main Processor CPU BGA</v>
      </c>
      <c r="N113" s="17" t="n">
        <v>1</v>
      </c>
      <c r="O113" s="17" t="str">
        <f aca="false">VLOOKUP(N113,Sheet2!G:H,2,0)</f>
        <v>Dead</v>
      </c>
      <c r="P113" s="17" t="n">
        <v>12</v>
      </c>
      <c r="Q113" s="17" t="str">
        <f aca="false">VLOOKUP(P113,Sheet2!J:K,2,0)</f>
        <v>IR Declared due to Others ( IR Normal)TB</v>
      </c>
      <c r="R113" s="17" t="s">
        <v>35</v>
      </c>
      <c r="S113" s="17" t="str">
        <f aca="false">VLOOKUP(R113,Sheet2!N:O,2,0)</f>
        <v>IREPARABLE</v>
      </c>
      <c r="T113" s="18" t="str">
        <f aca="false">VLOOKUP(P113,Sheet2!Q:R,2,0)</f>
        <v>IR Normal - BER to IR</v>
      </c>
      <c r="U113" s="20" t="s">
        <v>135</v>
      </c>
      <c r="V113" s="17" t="n">
        <v>12</v>
      </c>
      <c r="W113" s="20" t="str">
        <f aca="false">VLOOKUP(V113,Sheet2!Q:R,2,0)</f>
        <v>IR Normal - BER to IR</v>
      </c>
      <c r="X113" s="17" t="str">
        <f aca="false">J113</f>
        <v>A018</v>
      </c>
      <c r="Y113" s="17" t="str">
        <f aca="false">VLOOKUP(X113,Sheet2!A:B,2,0)</f>
        <v>PRAKASH CHAVDA</v>
      </c>
      <c r="Z113" s="17" t="s">
        <v>136</v>
      </c>
      <c r="AA113" s="17" t="s">
        <v>40</v>
      </c>
      <c r="AB113" s="17" t="s">
        <v>41</v>
      </c>
      <c r="AC113" s="0" t="str">
        <f aca="false">LEFT(G113,2)</f>
        <v>13</v>
      </c>
      <c r="AD113" s="0"/>
      <c r="AE113" s="21" t="s">
        <v>42</v>
      </c>
    </row>
    <row r="114" customFormat="false" ht="15" hidden="false" customHeight="false" outlineLevel="0" collapsed="false">
      <c r="A114" s="13" t="n">
        <f aca="false">1+A113</f>
        <v>112</v>
      </c>
      <c r="B114" s="17" t="n">
        <v>1008119425</v>
      </c>
      <c r="C114" s="17" t="s">
        <v>161</v>
      </c>
      <c r="D114" s="17" t="s">
        <v>64</v>
      </c>
      <c r="E114" s="17" t="s">
        <v>91</v>
      </c>
      <c r="F114" s="18" t="s">
        <v>92</v>
      </c>
      <c r="G114" s="19" t="n">
        <v>134317143557</v>
      </c>
      <c r="H114" s="17" t="s">
        <v>134</v>
      </c>
      <c r="I114" s="17" t="s">
        <v>44</v>
      </c>
      <c r="J114" s="17" t="s">
        <v>106</v>
      </c>
      <c r="K114" s="17" t="str">
        <f aca="false">VLOOKUP(J114,Sheet2!A:B,2,0)</f>
        <v>PRAKASH CHAVDA</v>
      </c>
      <c r="L114" s="17" t="n">
        <v>5</v>
      </c>
      <c r="M114" s="17" t="str">
        <f aca="false">VLOOKUP(L114,Sheet2!D:E,2,0)</f>
        <v>Main Processor CPU BGA</v>
      </c>
      <c r="N114" s="17" t="n">
        <v>24</v>
      </c>
      <c r="O114" s="17" t="str">
        <f aca="false">VLOOKUP(N114,Sheet2!G:H,2,0)</f>
        <v>STB Auto moving -Stand by mode</v>
      </c>
      <c r="P114" s="17" t="n">
        <v>12</v>
      </c>
      <c r="Q114" s="17" t="str">
        <f aca="false">VLOOKUP(P114,Sheet2!J:K,2,0)</f>
        <v>IR Declared due to Others ( IR Normal)TB</v>
      </c>
      <c r="R114" s="17" t="s">
        <v>35</v>
      </c>
      <c r="S114" s="17" t="str">
        <f aca="false">VLOOKUP(R114,Sheet2!N:O,2,0)</f>
        <v>IREPARABLE</v>
      </c>
      <c r="T114" s="18" t="str">
        <f aca="false">VLOOKUP(P114,Sheet2!Q:R,2,0)</f>
        <v>IR Normal - BER to IR</v>
      </c>
      <c r="U114" s="20" t="s">
        <v>135</v>
      </c>
      <c r="V114" s="17" t="n">
        <v>12</v>
      </c>
      <c r="W114" s="20" t="str">
        <f aca="false">VLOOKUP(V114,Sheet2!Q:R,2,0)</f>
        <v>IR Normal - BER to IR</v>
      </c>
      <c r="X114" s="17" t="str">
        <f aca="false">J114</f>
        <v>A018</v>
      </c>
      <c r="Y114" s="17" t="str">
        <f aca="false">VLOOKUP(X114,Sheet2!A:B,2,0)</f>
        <v>PRAKASH CHAVDA</v>
      </c>
      <c r="Z114" s="17" t="s">
        <v>136</v>
      </c>
      <c r="AA114" s="17" t="s">
        <v>40</v>
      </c>
      <c r="AB114" s="17" t="s">
        <v>41</v>
      </c>
      <c r="AC114" s="0" t="str">
        <f aca="false">LEFT(G114,2)</f>
        <v>13</v>
      </c>
      <c r="AD114" s="0"/>
      <c r="AE114" s="21" t="s">
        <v>42</v>
      </c>
    </row>
    <row r="115" customFormat="false" ht="15" hidden="false" customHeight="false" outlineLevel="0" collapsed="false">
      <c r="A115" s="13" t="n">
        <f aca="false">1+A114</f>
        <v>113</v>
      </c>
      <c r="B115" s="17" t="n">
        <v>1009572557</v>
      </c>
      <c r="C115" s="17" t="s">
        <v>104</v>
      </c>
      <c r="D115" s="17" t="s">
        <v>56</v>
      </c>
      <c r="E115" s="17" t="s">
        <v>91</v>
      </c>
      <c r="F115" s="18" t="s">
        <v>92</v>
      </c>
      <c r="G115" s="19" t="n">
        <v>134283032974</v>
      </c>
      <c r="H115" s="17" t="s">
        <v>134</v>
      </c>
      <c r="I115" s="17" t="s">
        <v>44</v>
      </c>
      <c r="J115" s="17" t="s">
        <v>106</v>
      </c>
      <c r="K115" s="17" t="str">
        <f aca="false">VLOOKUP(J115,Sheet2!A:B,2,0)</f>
        <v>PRAKASH CHAVDA</v>
      </c>
      <c r="L115" s="17" t="n">
        <v>5</v>
      </c>
      <c r="M115" s="17" t="str">
        <f aca="false">VLOOKUP(L115,Sheet2!D:E,2,0)</f>
        <v>Main Processor CPU BGA</v>
      </c>
      <c r="N115" s="17" t="n">
        <v>28</v>
      </c>
      <c r="O115" s="17" t="str">
        <f aca="false">VLOOKUP(N115,Sheet2!G:H,2,0)</f>
        <v>Hang and Freeze video - AV</v>
      </c>
      <c r="P115" s="17" t="n">
        <v>12</v>
      </c>
      <c r="Q115" s="17" t="str">
        <f aca="false">VLOOKUP(P115,Sheet2!J:K,2,0)</f>
        <v>IR Declared due to Others ( IR Normal)TB</v>
      </c>
      <c r="R115" s="17" t="s">
        <v>35</v>
      </c>
      <c r="S115" s="17" t="str">
        <f aca="false">VLOOKUP(R115,Sheet2!N:O,2,0)</f>
        <v>IREPARABLE</v>
      </c>
      <c r="T115" s="18" t="str">
        <f aca="false">VLOOKUP(P115,Sheet2!Q:R,2,0)</f>
        <v>IR Normal - BER to IR</v>
      </c>
      <c r="U115" s="20" t="s">
        <v>135</v>
      </c>
      <c r="V115" s="17" t="n">
        <v>12</v>
      </c>
      <c r="W115" s="20" t="str">
        <f aca="false">VLOOKUP(V115,Sheet2!Q:R,2,0)</f>
        <v>IR Normal - BER to IR</v>
      </c>
      <c r="X115" s="17" t="str">
        <f aca="false">J115</f>
        <v>A018</v>
      </c>
      <c r="Y115" s="17" t="str">
        <f aca="false">VLOOKUP(X115,Sheet2!A:B,2,0)</f>
        <v>PRAKASH CHAVDA</v>
      </c>
      <c r="Z115" s="17" t="s">
        <v>136</v>
      </c>
      <c r="AA115" s="17" t="s">
        <v>40</v>
      </c>
      <c r="AB115" s="17" t="s">
        <v>41</v>
      </c>
      <c r="AC115" s="0" t="str">
        <f aca="false">LEFT(G115,2)</f>
        <v>13</v>
      </c>
      <c r="AD115" s="0"/>
      <c r="AE115" s="21" t="s">
        <v>42</v>
      </c>
    </row>
    <row r="116" customFormat="false" ht="15" hidden="false" customHeight="false" outlineLevel="0" collapsed="false">
      <c r="A116" s="13" t="n">
        <f aca="false">1+A115</f>
        <v>114</v>
      </c>
      <c r="B116" s="17" t="n">
        <v>1009526956</v>
      </c>
      <c r="C116" s="17" t="s">
        <v>162</v>
      </c>
      <c r="D116" s="17" t="s">
        <v>108</v>
      </c>
      <c r="E116" s="17" t="s">
        <v>47</v>
      </c>
      <c r="F116" s="18" t="s">
        <v>34</v>
      </c>
      <c r="G116" s="19" t="n">
        <v>943163983779</v>
      </c>
      <c r="H116" s="17" t="s">
        <v>134</v>
      </c>
      <c r="I116" s="17" t="s">
        <v>44</v>
      </c>
      <c r="J116" s="17" t="s">
        <v>106</v>
      </c>
      <c r="K116" s="17" t="str">
        <f aca="false">VLOOKUP(J116,Sheet2!A:B,2,0)</f>
        <v>PRAKASH CHAVDA</v>
      </c>
      <c r="L116" s="17" t="n">
        <v>5</v>
      </c>
      <c r="M116" s="17" t="str">
        <f aca="false">VLOOKUP(L116,Sheet2!D:E,2,0)</f>
        <v>Main Processor CPU BGA</v>
      </c>
      <c r="N116" s="17" t="n">
        <v>24</v>
      </c>
      <c r="O116" s="17" t="str">
        <f aca="false">VLOOKUP(N116,Sheet2!G:H,2,0)</f>
        <v>STB Auto moving -Stand by mode</v>
      </c>
      <c r="P116" s="17" t="n">
        <v>12</v>
      </c>
      <c r="Q116" s="17" t="str">
        <f aca="false">VLOOKUP(P116,Sheet2!J:K,2,0)</f>
        <v>IR Declared due to Others ( IR Normal)TB</v>
      </c>
      <c r="R116" s="17" t="s">
        <v>35</v>
      </c>
      <c r="S116" s="17" t="str">
        <f aca="false">VLOOKUP(R116,Sheet2!N:O,2,0)</f>
        <v>IREPARABLE</v>
      </c>
      <c r="T116" s="18" t="str">
        <f aca="false">VLOOKUP(P116,Sheet2!Q:R,2,0)</f>
        <v>IR Normal - BER to IR</v>
      </c>
      <c r="U116" s="20" t="s">
        <v>135</v>
      </c>
      <c r="V116" s="17" t="n">
        <v>12</v>
      </c>
      <c r="W116" s="20" t="str">
        <f aca="false">VLOOKUP(V116,Sheet2!Q:R,2,0)</f>
        <v>IR Normal - BER to IR</v>
      </c>
      <c r="X116" s="17" t="str">
        <f aca="false">J116</f>
        <v>A018</v>
      </c>
      <c r="Y116" s="17" t="str">
        <f aca="false">VLOOKUP(X116,Sheet2!A:B,2,0)</f>
        <v>PRAKASH CHAVDA</v>
      </c>
      <c r="Z116" s="17" t="s">
        <v>127</v>
      </c>
      <c r="AA116" s="17" t="s">
        <v>40</v>
      </c>
      <c r="AB116" s="17" t="s">
        <v>41</v>
      </c>
      <c r="AC116" s="0" t="str">
        <f aca="false">LEFT(G116,2)</f>
        <v>94</v>
      </c>
      <c r="AD116" s="0"/>
      <c r="AE116" s="21" t="s">
        <v>42</v>
      </c>
    </row>
    <row r="117" customFormat="false" ht="15" hidden="false" customHeight="false" outlineLevel="0" collapsed="false">
      <c r="A117" s="13" t="n">
        <f aca="false">1+A116</f>
        <v>115</v>
      </c>
      <c r="B117" s="17" t="n">
        <v>1009584007</v>
      </c>
      <c r="C117" s="17" t="s">
        <v>139</v>
      </c>
      <c r="D117" s="17" t="s">
        <v>64</v>
      </c>
      <c r="E117" s="17" t="s">
        <v>47</v>
      </c>
      <c r="F117" s="18" t="s">
        <v>34</v>
      </c>
      <c r="G117" s="19" t="n">
        <v>942302925485</v>
      </c>
      <c r="H117" s="17" t="s">
        <v>134</v>
      </c>
      <c r="I117" s="17" t="s">
        <v>44</v>
      </c>
      <c r="J117" s="17" t="s">
        <v>106</v>
      </c>
      <c r="K117" s="17" t="str">
        <f aca="false">VLOOKUP(J117,Sheet2!A:B,2,0)</f>
        <v>PRAKASH CHAVDA</v>
      </c>
      <c r="L117" s="17" t="n">
        <v>5</v>
      </c>
      <c r="M117" s="17" t="str">
        <f aca="false">VLOOKUP(L117,Sheet2!D:E,2,0)</f>
        <v>Main Processor CPU BGA</v>
      </c>
      <c r="N117" s="17" t="n">
        <v>1</v>
      </c>
      <c r="O117" s="17" t="str">
        <f aca="false">VLOOKUP(N117,Sheet2!G:H,2,0)</f>
        <v>Dead</v>
      </c>
      <c r="P117" s="17" t="n">
        <v>12</v>
      </c>
      <c r="Q117" s="17" t="str">
        <f aca="false">VLOOKUP(P117,Sheet2!J:K,2,0)</f>
        <v>IR Declared due to Others ( IR Normal)TB</v>
      </c>
      <c r="R117" s="17" t="s">
        <v>35</v>
      </c>
      <c r="S117" s="17" t="str">
        <f aca="false">VLOOKUP(R117,Sheet2!N:O,2,0)</f>
        <v>IREPARABLE</v>
      </c>
      <c r="T117" s="18" t="str">
        <f aca="false">VLOOKUP(P117,Sheet2!Q:R,2,0)</f>
        <v>IR Normal - BER to IR</v>
      </c>
      <c r="U117" s="20" t="s">
        <v>135</v>
      </c>
      <c r="V117" s="17" t="n">
        <v>12</v>
      </c>
      <c r="W117" s="20" t="str">
        <f aca="false">VLOOKUP(V117,Sheet2!Q:R,2,0)</f>
        <v>IR Normal - BER to IR</v>
      </c>
      <c r="X117" s="17" t="str">
        <f aca="false">J117</f>
        <v>A018</v>
      </c>
      <c r="Y117" s="17" t="str">
        <f aca="false">VLOOKUP(X117,Sheet2!A:B,2,0)</f>
        <v>PRAKASH CHAVDA</v>
      </c>
      <c r="Z117" s="17" t="s">
        <v>127</v>
      </c>
      <c r="AA117" s="17" t="s">
        <v>40</v>
      </c>
      <c r="AB117" s="17" t="s">
        <v>41</v>
      </c>
      <c r="AC117" s="0" t="str">
        <f aca="false">LEFT(G117,2)</f>
        <v>94</v>
      </c>
      <c r="AD117" s="0"/>
      <c r="AE117" s="21" t="s">
        <v>42</v>
      </c>
    </row>
    <row r="118" customFormat="false" ht="15" hidden="false" customHeight="false" outlineLevel="0" collapsed="false">
      <c r="A118" s="13" t="n">
        <f aca="false">1+A117</f>
        <v>116</v>
      </c>
      <c r="B118" s="17" t="n">
        <v>1009600301</v>
      </c>
      <c r="C118" s="17" t="s">
        <v>159</v>
      </c>
      <c r="D118" s="17" t="s">
        <v>64</v>
      </c>
      <c r="E118" s="17" t="s">
        <v>64</v>
      </c>
      <c r="F118" s="18" t="s">
        <v>70</v>
      </c>
      <c r="G118" s="19" t="n">
        <v>775323084589</v>
      </c>
      <c r="H118" s="17" t="s">
        <v>134</v>
      </c>
      <c r="I118" s="17" t="s">
        <v>69</v>
      </c>
      <c r="J118" s="17" t="s">
        <v>106</v>
      </c>
      <c r="K118" s="17" t="str">
        <f aca="false">VLOOKUP(J118,Sheet2!A:B,2,0)</f>
        <v>PRAKASH CHAVDA</v>
      </c>
      <c r="L118" s="17" t="n">
        <v>5</v>
      </c>
      <c r="M118" s="17" t="str">
        <f aca="false">VLOOKUP(L118,Sheet2!D:E,2,0)</f>
        <v>Main Processor CPU BGA</v>
      </c>
      <c r="N118" s="17" t="n">
        <v>1</v>
      </c>
      <c r="O118" s="17" t="str">
        <f aca="false">VLOOKUP(N118,Sheet2!G:H,2,0)</f>
        <v>Dead</v>
      </c>
      <c r="P118" s="17" t="n">
        <v>12</v>
      </c>
      <c r="Q118" s="17" t="str">
        <f aca="false">VLOOKUP(P118,Sheet2!J:K,2,0)</f>
        <v>IR Declared due to Others ( IR Normal)TB</v>
      </c>
      <c r="R118" s="17" t="s">
        <v>35</v>
      </c>
      <c r="S118" s="17" t="str">
        <f aca="false">VLOOKUP(R118,Sheet2!N:O,2,0)</f>
        <v>IREPARABLE</v>
      </c>
      <c r="T118" s="18" t="str">
        <f aca="false">VLOOKUP(P118,Sheet2!Q:R,2,0)</f>
        <v>IR Normal - BER to IR</v>
      </c>
      <c r="U118" s="20" t="s">
        <v>135</v>
      </c>
      <c r="V118" s="17" t="n">
        <v>12</v>
      </c>
      <c r="W118" s="20" t="str">
        <f aca="false">VLOOKUP(V118,Sheet2!Q:R,2,0)</f>
        <v>IR Normal - BER to IR</v>
      </c>
      <c r="X118" s="17" t="str">
        <f aca="false">J118</f>
        <v>A018</v>
      </c>
      <c r="Y118" s="17" t="str">
        <f aca="false">VLOOKUP(X118,Sheet2!A:B,2,0)</f>
        <v>PRAKASH CHAVDA</v>
      </c>
      <c r="Z118" s="17" t="s">
        <v>136</v>
      </c>
      <c r="AA118" s="17" t="s">
        <v>163</v>
      </c>
      <c r="AB118" s="17" t="s">
        <v>41</v>
      </c>
      <c r="AC118" s="0" t="str">
        <f aca="false">LEFT(G118,2)</f>
        <v>77</v>
      </c>
      <c r="AD118" s="0"/>
      <c r="AE118" s="21" t="s">
        <v>42</v>
      </c>
    </row>
    <row r="119" customFormat="false" ht="15" hidden="false" customHeight="false" outlineLevel="0" collapsed="false">
      <c r="A119" s="13" t="n">
        <f aca="false">1+A118</f>
        <v>117</v>
      </c>
      <c r="B119" s="17" t="n">
        <v>1009584380</v>
      </c>
      <c r="C119" s="17" t="s">
        <v>139</v>
      </c>
      <c r="D119" s="17" t="s">
        <v>143</v>
      </c>
      <c r="E119" s="17" t="s">
        <v>33</v>
      </c>
      <c r="F119" s="18" t="s">
        <v>34</v>
      </c>
      <c r="G119" s="19" t="n">
        <v>775326147672</v>
      </c>
      <c r="H119" s="17" t="s">
        <v>134</v>
      </c>
      <c r="I119" s="17" t="s">
        <v>69</v>
      </c>
      <c r="J119" s="17" t="s">
        <v>106</v>
      </c>
      <c r="K119" s="17" t="str">
        <f aca="false">VLOOKUP(J119,Sheet2!A:B,2,0)</f>
        <v>PRAKASH CHAVDA</v>
      </c>
      <c r="L119" s="17" t="n">
        <v>5</v>
      </c>
      <c r="M119" s="17" t="str">
        <f aca="false">VLOOKUP(L119,Sheet2!D:E,2,0)</f>
        <v>Main Processor CPU BGA</v>
      </c>
      <c r="N119" s="17" t="n">
        <v>24</v>
      </c>
      <c r="O119" s="17" t="str">
        <f aca="false">VLOOKUP(N119,Sheet2!G:H,2,0)</f>
        <v>STB Auto moving -Stand by mode</v>
      </c>
      <c r="P119" s="17" t="n">
        <v>12</v>
      </c>
      <c r="Q119" s="17" t="str">
        <f aca="false">VLOOKUP(P119,Sheet2!J:K,2,0)</f>
        <v>IR Declared due to Others ( IR Normal)TB</v>
      </c>
      <c r="R119" s="17" t="s">
        <v>35</v>
      </c>
      <c r="S119" s="17" t="str">
        <f aca="false">VLOOKUP(R119,Sheet2!N:O,2,0)</f>
        <v>IREPARABLE</v>
      </c>
      <c r="T119" s="18" t="str">
        <f aca="false">VLOOKUP(P119,Sheet2!Q:R,2,0)</f>
        <v>IR Normal - BER to IR</v>
      </c>
      <c r="U119" s="20" t="s">
        <v>135</v>
      </c>
      <c r="V119" s="17" t="n">
        <v>12</v>
      </c>
      <c r="W119" s="20" t="str">
        <f aca="false">VLOOKUP(V119,Sheet2!Q:R,2,0)</f>
        <v>IR Normal - BER to IR</v>
      </c>
      <c r="X119" s="17" t="str">
        <f aca="false">J119</f>
        <v>A018</v>
      </c>
      <c r="Y119" s="17" t="str">
        <f aca="false">VLOOKUP(X119,Sheet2!A:B,2,0)</f>
        <v>PRAKASH CHAVDA</v>
      </c>
      <c r="Z119" s="17" t="s">
        <v>136</v>
      </c>
      <c r="AA119" s="17" t="s">
        <v>163</v>
      </c>
      <c r="AB119" s="17" t="s">
        <v>41</v>
      </c>
      <c r="AC119" s="0" t="str">
        <f aca="false">LEFT(G119,2)</f>
        <v>77</v>
      </c>
      <c r="AD119" s="0"/>
      <c r="AE119" s="21" t="s">
        <v>42</v>
      </c>
    </row>
    <row r="120" customFormat="false" ht="15" hidden="false" customHeight="false" outlineLevel="0" collapsed="false">
      <c r="A120" s="13" t="n">
        <f aca="false">1+A119</f>
        <v>118</v>
      </c>
      <c r="B120" s="17" t="n">
        <v>1009600108</v>
      </c>
      <c r="C120" s="17" t="s">
        <v>159</v>
      </c>
      <c r="D120" s="17" t="s">
        <v>64</v>
      </c>
      <c r="E120" s="17" t="s">
        <v>47</v>
      </c>
      <c r="F120" s="18" t="s">
        <v>34</v>
      </c>
      <c r="G120" s="19" t="n">
        <v>775328172777</v>
      </c>
      <c r="H120" s="17" t="s">
        <v>134</v>
      </c>
      <c r="I120" s="17" t="s">
        <v>69</v>
      </c>
      <c r="J120" s="17" t="s">
        <v>106</v>
      </c>
      <c r="K120" s="17" t="str">
        <f aca="false">VLOOKUP(J120,Sheet2!A:B,2,0)</f>
        <v>PRAKASH CHAVDA</v>
      </c>
      <c r="L120" s="17" t="n">
        <v>5</v>
      </c>
      <c r="M120" s="17" t="str">
        <f aca="false">VLOOKUP(L120,Sheet2!D:E,2,0)</f>
        <v>Main Processor CPU BGA</v>
      </c>
      <c r="N120" s="17" t="n">
        <v>1</v>
      </c>
      <c r="O120" s="17" t="str">
        <f aca="false">VLOOKUP(N120,Sheet2!G:H,2,0)</f>
        <v>Dead</v>
      </c>
      <c r="P120" s="17" t="n">
        <v>12</v>
      </c>
      <c r="Q120" s="17" t="str">
        <f aca="false">VLOOKUP(P120,Sheet2!J:K,2,0)</f>
        <v>IR Declared due to Others ( IR Normal)TB</v>
      </c>
      <c r="R120" s="17" t="s">
        <v>35</v>
      </c>
      <c r="S120" s="17" t="str">
        <f aca="false">VLOOKUP(R120,Sheet2!N:O,2,0)</f>
        <v>IREPARABLE</v>
      </c>
      <c r="T120" s="18" t="str">
        <f aca="false">VLOOKUP(P120,Sheet2!Q:R,2,0)</f>
        <v>IR Normal - BER to IR</v>
      </c>
      <c r="U120" s="20" t="s">
        <v>135</v>
      </c>
      <c r="V120" s="17" t="n">
        <v>12</v>
      </c>
      <c r="W120" s="20" t="str">
        <f aca="false">VLOOKUP(V120,Sheet2!Q:R,2,0)</f>
        <v>IR Normal - BER to IR</v>
      </c>
      <c r="X120" s="17" t="str">
        <f aca="false">J120</f>
        <v>A018</v>
      </c>
      <c r="Y120" s="17" t="str">
        <f aca="false">VLOOKUP(X120,Sheet2!A:B,2,0)</f>
        <v>PRAKASH CHAVDA</v>
      </c>
      <c r="Z120" s="17" t="s">
        <v>136</v>
      </c>
      <c r="AA120" s="17" t="s">
        <v>163</v>
      </c>
      <c r="AB120" s="17" t="s">
        <v>41</v>
      </c>
      <c r="AC120" s="0" t="str">
        <f aca="false">LEFT(G120,2)</f>
        <v>77</v>
      </c>
      <c r="AD120" s="0"/>
      <c r="AE120" s="21" t="s">
        <v>42</v>
      </c>
    </row>
    <row r="121" customFormat="false" ht="15" hidden="false" customHeight="false" outlineLevel="0" collapsed="false">
      <c r="A121" s="13" t="n">
        <f aca="false">1+A120</f>
        <v>119</v>
      </c>
      <c r="B121" s="17" t="n">
        <v>1009601773</v>
      </c>
      <c r="C121" s="17" t="s">
        <v>159</v>
      </c>
      <c r="D121" s="17" t="s">
        <v>64</v>
      </c>
      <c r="E121" s="17" t="s">
        <v>47</v>
      </c>
      <c r="F121" s="18" t="s">
        <v>34</v>
      </c>
      <c r="G121" s="19" t="n">
        <v>775187002883</v>
      </c>
      <c r="H121" s="17" t="s">
        <v>134</v>
      </c>
      <c r="I121" s="17" t="s">
        <v>69</v>
      </c>
      <c r="J121" s="17" t="s">
        <v>106</v>
      </c>
      <c r="K121" s="17" t="str">
        <f aca="false">VLOOKUP(J121,Sheet2!A:B,2,0)</f>
        <v>PRAKASH CHAVDA</v>
      </c>
      <c r="L121" s="17" t="n">
        <v>1</v>
      </c>
      <c r="M121" s="17" t="str">
        <f aca="false">VLOOKUP(L121,Sheet2!D:E,2,0)</f>
        <v>Power Supply Section</v>
      </c>
      <c r="N121" s="17" t="n">
        <v>1</v>
      </c>
      <c r="O121" s="17" t="str">
        <f aca="false">VLOOKUP(N121,Sheet2!G:H,2,0)</f>
        <v>Dead</v>
      </c>
      <c r="P121" s="17" t="n">
        <v>12</v>
      </c>
      <c r="Q121" s="17" t="str">
        <f aca="false">VLOOKUP(P121,Sheet2!J:K,2,0)</f>
        <v>IR Declared due to Others ( IR Normal)TB</v>
      </c>
      <c r="R121" s="17" t="s">
        <v>35</v>
      </c>
      <c r="S121" s="17" t="str">
        <f aca="false">VLOOKUP(R121,Sheet2!N:O,2,0)</f>
        <v>IREPARABLE</v>
      </c>
      <c r="T121" s="18" t="str">
        <f aca="false">VLOOKUP(P121,Sheet2!Q:R,2,0)</f>
        <v>IR Normal - BER to IR</v>
      </c>
      <c r="U121" s="20" t="s">
        <v>135</v>
      </c>
      <c r="V121" s="17" t="n">
        <v>12</v>
      </c>
      <c r="W121" s="20" t="str">
        <f aca="false">VLOOKUP(V121,Sheet2!Q:R,2,0)</f>
        <v>IR Normal - BER to IR</v>
      </c>
      <c r="X121" s="17" t="str">
        <f aca="false">J121</f>
        <v>A018</v>
      </c>
      <c r="Y121" s="17" t="str">
        <f aca="false">VLOOKUP(X121,Sheet2!A:B,2,0)</f>
        <v>PRAKASH CHAVDA</v>
      </c>
      <c r="Z121" s="17" t="s">
        <v>136</v>
      </c>
      <c r="AA121" s="17" t="s">
        <v>163</v>
      </c>
      <c r="AB121" s="17" t="s">
        <v>41</v>
      </c>
      <c r="AC121" s="0" t="str">
        <f aca="false">LEFT(G121,2)</f>
        <v>77</v>
      </c>
      <c r="AD121" s="0"/>
      <c r="AE121" s="21" t="s">
        <v>42</v>
      </c>
    </row>
    <row r="122" customFormat="false" ht="15" hidden="false" customHeight="false" outlineLevel="0" collapsed="false">
      <c r="A122" s="13" t="n">
        <f aca="false">1+A121</f>
        <v>120</v>
      </c>
      <c r="B122" s="17" t="n">
        <v>1009502294</v>
      </c>
      <c r="C122" s="17" t="s">
        <v>95</v>
      </c>
      <c r="D122" s="17" t="s">
        <v>64</v>
      </c>
      <c r="E122" s="17" t="s">
        <v>164</v>
      </c>
      <c r="F122" s="18" t="s">
        <v>34</v>
      </c>
      <c r="G122" s="19" t="n">
        <v>775161049736</v>
      </c>
      <c r="H122" s="17" t="s">
        <v>134</v>
      </c>
      <c r="I122" s="17" t="s">
        <v>69</v>
      </c>
      <c r="J122" s="17" t="s">
        <v>106</v>
      </c>
      <c r="K122" s="17" t="str">
        <f aca="false">VLOOKUP(J122,Sheet2!A:B,2,0)</f>
        <v>PRAKASH CHAVDA</v>
      </c>
      <c r="L122" s="17" t="n">
        <v>5</v>
      </c>
      <c r="M122" s="17" t="str">
        <f aca="false">VLOOKUP(L122,Sheet2!D:E,2,0)</f>
        <v>Main Processor CPU BGA</v>
      </c>
      <c r="N122" s="17" t="n">
        <v>1</v>
      </c>
      <c r="O122" s="17" t="str">
        <f aca="false">VLOOKUP(N122,Sheet2!G:H,2,0)</f>
        <v>Dead</v>
      </c>
      <c r="P122" s="17" t="n">
        <v>12</v>
      </c>
      <c r="Q122" s="17" t="str">
        <f aca="false">VLOOKUP(P122,Sheet2!J:K,2,0)</f>
        <v>IR Declared due to Others ( IR Normal)TB</v>
      </c>
      <c r="R122" s="17" t="s">
        <v>35</v>
      </c>
      <c r="S122" s="17" t="str">
        <f aca="false">VLOOKUP(R122,Sheet2!N:O,2,0)</f>
        <v>IREPARABLE</v>
      </c>
      <c r="T122" s="18" t="str">
        <f aca="false">VLOOKUP(P122,Sheet2!Q:R,2,0)</f>
        <v>IR Normal - BER to IR</v>
      </c>
      <c r="U122" s="20" t="s">
        <v>135</v>
      </c>
      <c r="V122" s="17" t="n">
        <v>12</v>
      </c>
      <c r="W122" s="20" t="str">
        <f aca="false">VLOOKUP(V122,Sheet2!Q:R,2,0)</f>
        <v>IR Normal - BER to IR</v>
      </c>
      <c r="X122" s="17" t="str">
        <f aca="false">J122</f>
        <v>A018</v>
      </c>
      <c r="Y122" s="17" t="str">
        <f aca="false">VLOOKUP(X122,Sheet2!A:B,2,0)</f>
        <v>PRAKASH CHAVDA</v>
      </c>
      <c r="Z122" s="17" t="s">
        <v>136</v>
      </c>
      <c r="AA122" s="17" t="s">
        <v>163</v>
      </c>
      <c r="AB122" s="17" t="s">
        <v>41</v>
      </c>
      <c r="AC122" s="0" t="str">
        <f aca="false">LEFT(G122,2)</f>
        <v>77</v>
      </c>
      <c r="AD122" s="0"/>
      <c r="AE122" s="21" t="s">
        <v>42</v>
      </c>
    </row>
    <row r="123" customFormat="false" ht="15" hidden="false" customHeight="false" outlineLevel="0" collapsed="false">
      <c r="A123" s="13" t="n">
        <f aca="false">1+A122</f>
        <v>121</v>
      </c>
      <c r="B123" s="17" t="n">
        <v>1009601493</v>
      </c>
      <c r="C123" s="17" t="s">
        <v>159</v>
      </c>
      <c r="D123" s="17" t="s">
        <v>157</v>
      </c>
      <c r="E123" s="17" t="s">
        <v>33</v>
      </c>
      <c r="F123" s="18" t="s">
        <v>34</v>
      </c>
      <c r="G123" s="19" t="n">
        <v>775183030912</v>
      </c>
      <c r="H123" s="17" t="s">
        <v>134</v>
      </c>
      <c r="I123" s="17" t="s">
        <v>69</v>
      </c>
      <c r="J123" s="17" t="s">
        <v>106</v>
      </c>
      <c r="K123" s="17" t="str">
        <f aca="false">VLOOKUP(J123,Sheet2!A:B,2,0)</f>
        <v>PRAKASH CHAVDA</v>
      </c>
      <c r="L123" s="17" t="n">
        <v>5</v>
      </c>
      <c r="M123" s="17" t="str">
        <f aca="false">VLOOKUP(L123,Sheet2!D:E,2,0)</f>
        <v>Main Processor CPU BGA</v>
      </c>
      <c r="N123" s="17" t="n">
        <v>24</v>
      </c>
      <c r="O123" s="17" t="str">
        <f aca="false">VLOOKUP(N123,Sheet2!G:H,2,0)</f>
        <v>STB Auto moving -Stand by mode</v>
      </c>
      <c r="P123" s="17" t="n">
        <v>12</v>
      </c>
      <c r="Q123" s="17" t="str">
        <f aca="false">VLOOKUP(P123,Sheet2!J:K,2,0)</f>
        <v>IR Declared due to Others ( IR Normal)TB</v>
      </c>
      <c r="R123" s="17" t="s">
        <v>35</v>
      </c>
      <c r="S123" s="17" t="str">
        <f aca="false">VLOOKUP(R123,Sheet2!N:O,2,0)</f>
        <v>IREPARABLE</v>
      </c>
      <c r="T123" s="18" t="str">
        <f aca="false">VLOOKUP(P123,Sheet2!Q:R,2,0)</f>
        <v>IR Normal - BER to IR</v>
      </c>
      <c r="U123" s="20" t="s">
        <v>135</v>
      </c>
      <c r="V123" s="17" t="n">
        <v>12</v>
      </c>
      <c r="W123" s="20" t="str">
        <f aca="false">VLOOKUP(V123,Sheet2!Q:R,2,0)</f>
        <v>IR Normal - BER to IR</v>
      </c>
      <c r="X123" s="17" t="str">
        <f aca="false">J123</f>
        <v>A018</v>
      </c>
      <c r="Y123" s="17" t="str">
        <f aca="false">VLOOKUP(X123,Sheet2!A:B,2,0)</f>
        <v>PRAKASH CHAVDA</v>
      </c>
      <c r="Z123" s="17" t="s">
        <v>136</v>
      </c>
      <c r="AA123" s="17" t="s">
        <v>163</v>
      </c>
      <c r="AB123" s="17" t="s">
        <v>41</v>
      </c>
      <c r="AC123" s="0" t="str">
        <f aca="false">LEFT(G123,2)</f>
        <v>77</v>
      </c>
      <c r="AD123" s="0"/>
      <c r="AE123" s="21" t="s">
        <v>42</v>
      </c>
    </row>
    <row r="124" customFormat="false" ht="15" hidden="false" customHeight="false" outlineLevel="0" collapsed="false">
      <c r="A124" s="13" t="n">
        <f aca="false">1+A123</f>
        <v>122</v>
      </c>
      <c r="B124" s="17" t="n">
        <v>1009500284</v>
      </c>
      <c r="C124" s="17" t="s">
        <v>159</v>
      </c>
      <c r="D124" s="17" t="s">
        <v>64</v>
      </c>
      <c r="E124" s="17" t="s">
        <v>64</v>
      </c>
      <c r="F124" s="18" t="s">
        <v>70</v>
      </c>
      <c r="G124" s="19" t="n">
        <v>775316124368</v>
      </c>
      <c r="H124" s="17" t="s">
        <v>134</v>
      </c>
      <c r="I124" s="17" t="s">
        <v>69</v>
      </c>
      <c r="J124" s="17" t="s">
        <v>106</v>
      </c>
      <c r="K124" s="17" t="str">
        <f aca="false">VLOOKUP(J124,Sheet2!A:B,2,0)</f>
        <v>PRAKASH CHAVDA</v>
      </c>
      <c r="L124" s="17" t="n">
        <v>5</v>
      </c>
      <c r="M124" s="17" t="str">
        <f aca="false">VLOOKUP(L124,Sheet2!D:E,2,0)</f>
        <v>Main Processor CPU BGA</v>
      </c>
      <c r="N124" s="17" t="n">
        <v>1</v>
      </c>
      <c r="O124" s="17" t="str">
        <f aca="false">VLOOKUP(N124,Sheet2!G:H,2,0)</f>
        <v>Dead</v>
      </c>
      <c r="P124" s="17" t="n">
        <v>12</v>
      </c>
      <c r="Q124" s="17" t="str">
        <f aca="false">VLOOKUP(P124,Sheet2!J:K,2,0)</f>
        <v>IR Declared due to Others ( IR Normal)TB</v>
      </c>
      <c r="R124" s="17" t="s">
        <v>35</v>
      </c>
      <c r="S124" s="17" t="str">
        <f aca="false">VLOOKUP(R124,Sheet2!N:O,2,0)</f>
        <v>IREPARABLE</v>
      </c>
      <c r="T124" s="18" t="str">
        <f aca="false">VLOOKUP(P124,Sheet2!Q:R,2,0)</f>
        <v>IR Normal - BER to IR</v>
      </c>
      <c r="U124" s="20" t="s">
        <v>135</v>
      </c>
      <c r="V124" s="17" t="n">
        <v>12</v>
      </c>
      <c r="W124" s="20" t="str">
        <f aca="false">VLOOKUP(V124,Sheet2!Q:R,2,0)</f>
        <v>IR Normal - BER to IR</v>
      </c>
      <c r="X124" s="17" t="str">
        <f aca="false">J124</f>
        <v>A018</v>
      </c>
      <c r="Y124" s="17" t="str">
        <f aca="false">VLOOKUP(X124,Sheet2!A:B,2,0)</f>
        <v>PRAKASH CHAVDA</v>
      </c>
      <c r="Z124" s="17" t="s">
        <v>136</v>
      </c>
      <c r="AA124" s="17" t="s">
        <v>163</v>
      </c>
      <c r="AB124" s="17" t="s">
        <v>41</v>
      </c>
      <c r="AC124" s="0" t="str">
        <f aca="false">LEFT(G124,2)</f>
        <v>77</v>
      </c>
      <c r="AD124" s="0"/>
      <c r="AE124" s="21" t="s">
        <v>42</v>
      </c>
    </row>
    <row r="125" customFormat="false" ht="15" hidden="false" customHeight="false" outlineLevel="0" collapsed="false">
      <c r="A125" s="13" t="n">
        <f aca="false">1+A124</f>
        <v>123</v>
      </c>
      <c r="B125" s="17" t="n">
        <v>1009555682</v>
      </c>
      <c r="C125" s="17" t="s">
        <v>165</v>
      </c>
      <c r="D125" s="17" t="s">
        <v>108</v>
      </c>
      <c r="E125" s="17" t="s">
        <v>166</v>
      </c>
      <c r="F125" s="18" t="s">
        <v>34</v>
      </c>
      <c r="G125" s="19" t="n">
        <v>775323166139</v>
      </c>
      <c r="H125" s="17" t="s">
        <v>134</v>
      </c>
      <c r="I125" s="17" t="s">
        <v>69</v>
      </c>
      <c r="J125" s="17" t="s">
        <v>106</v>
      </c>
      <c r="K125" s="17" t="str">
        <f aca="false">VLOOKUP(J125,Sheet2!A:B,2,0)</f>
        <v>PRAKASH CHAVDA</v>
      </c>
      <c r="L125" s="17" t="n">
        <v>5</v>
      </c>
      <c r="M125" s="17" t="str">
        <f aca="false">VLOOKUP(L125,Sheet2!D:E,2,0)</f>
        <v>Main Processor CPU BGA</v>
      </c>
      <c r="N125" s="17" t="n">
        <v>1</v>
      </c>
      <c r="O125" s="17" t="str">
        <f aca="false">VLOOKUP(N125,Sheet2!G:H,2,0)</f>
        <v>Dead</v>
      </c>
      <c r="P125" s="17" t="n">
        <v>12</v>
      </c>
      <c r="Q125" s="17" t="str">
        <f aca="false">VLOOKUP(P125,Sheet2!J:K,2,0)</f>
        <v>IR Declared due to Others ( IR Normal)TB</v>
      </c>
      <c r="R125" s="17" t="s">
        <v>35</v>
      </c>
      <c r="S125" s="17" t="str">
        <f aca="false">VLOOKUP(R125,Sheet2!N:O,2,0)</f>
        <v>IREPARABLE</v>
      </c>
      <c r="T125" s="18" t="str">
        <f aca="false">VLOOKUP(P125,Sheet2!Q:R,2,0)</f>
        <v>IR Normal - BER to IR</v>
      </c>
      <c r="U125" s="20" t="s">
        <v>135</v>
      </c>
      <c r="V125" s="17" t="n">
        <v>12</v>
      </c>
      <c r="W125" s="20" t="str">
        <f aca="false">VLOOKUP(V125,Sheet2!Q:R,2,0)</f>
        <v>IR Normal - BER to IR</v>
      </c>
      <c r="X125" s="17" t="str">
        <f aca="false">J125</f>
        <v>A018</v>
      </c>
      <c r="Y125" s="17" t="str">
        <f aca="false">VLOOKUP(X125,Sheet2!A:B,2,0)</f>
        <v>PRAKASH CHAVDA</v>
      </c>
      <c r="Z125" s="17" t="s">
        <v>136</v>
      </c>
      <c r="AA125" s="17" t="s">
        <v>163</v>
      </c>
      <c r="AB125" s="17" t="s">
        <v>41</v>
      </c>
      <c r="AC125" s="0" t="str">
        <f aca="false">LEFT(G125,2)</f>
        <v>77</v>
      </c>
      <c r="AD125" s="0"/>
      <c r="AE125" s="21" t="s">
        <v>42</v>
      </c>
    </row>
    <row r="126" customFormat="false" ht="15" hidden="false" customHeight="false" outlineLevel="0" collapsed="false">
      <c r="A126" s="13" t="n">
        <f aca="false">1+A125</f>
        <v>124</v>
      </c>
      <c r="B126" s="17" t="n">
        <v>1009582628</v>
      </c>
      <c r="C126" s="17" t="s">
        <v>139</v>
      </c>
      <c r="D126" s="17" t="s">
        <v>60</v>
      </c>
      <c r="E126" s="17" t="s">
        <v>109</v>
      </c>
      <c r="F126" s="18" t="s">
        <v>34</v>
      </c>
      <c r="G126" s="19" t="n">
        <v>775337236647</v>
      </c>
      <c r="H126" s="17" t="s">
        <v>134</v>
      </c>
      <c r="I126" s="17" t="s">
        <v>69</v>
      </c>
      <c r="J126" s="17" t="s">
        <v>106</v>
      </c>
      <c r="K126" s="17" t="str">
        <f aca="false">VLOOKUP(J126,Sheet2!A:B,2,0)</f>
        <v>PRAKASH CHAVDA</v>
      </c>
      <c r="L126" s="17" t="n">
        <v>5</v>
      </c>
      <c r="M126" s="17" t="str">
        <f aca="false">VLOOKUP(L126,Sheet2!D:E,2,0)</f>
        <v>Main Processor CPU BGA</v>
      </c>
      <c r="N126" s="17" t="n">
        <v>24</v>
      </c>
      <c r="O126" s="17" t="str">
        <f aca="false">VLOOKUP(N126,Sheet2!G:H,2,0)</f>
        <v>STB Auto moving -Stand by mode</v>
      </c>
      <c r="P126" s="17" t="n">
        <v>12</v>
      </c>
      <c r="Q126" s="17" t="str">
        <f aca="false">VLOOKUP(P126,Sheet2!J:K,2,0)</f>
        <v>IR Declared due to Others ( IR Normal)TB</v>
      </c>
      <c r="R126" s="17" t="s">
        <v>35</v>
      </c>
      <c r="S126" s="17" t="str">
        <f aca="false">VLOOKUP(R126,Sheet2!N:O,2,0)</f>
        <v>IREPARABLE</v>
      </c>
      <c r="T126" s="18" t="str">
        <f aca="false">VLOOKUP(P126,Sheet2!Q:R,2,0)</f>
        <v>IR Normal - BER to IR</v>
      </c>
      <c r="U126" s="20" t="s">
        <v>135</v>
      </c>
      <c r="V126" s="17" t="n">
        <v>12</v>
      </c>
      <c r="W126" s="20" t="str">
        <f aca="false">VLOOKUP(V126,Sheet2!Q:R,2,0)</f>
        <v>IR Normal - BER to IR</v>
      </c>
      <c r="X126" s="17" t="str">
        <f aca="false">J126</f>
        <v>A018</v>
      </c>
      <c r="Y126" s="17" t="str">
        <f aca="false">VLOOKUP(X126,Sheet2!A:B,2,0)</f>
        <v>PRAKASH CHAVDA</v>
      </c>
      <c r="Z126" s="17" t="s">
        <v>136</v>
      </c>
      <c r="AA126" s="17" t="s">
        <v>163</v>
      </c>
      <c r="AB126" s="17" t="s">
        <v>41</v>
      </c>
      <c r="AC126" s="0" t="str">
        <f aca="false">LEFT(G126,2)</f>
        <v>77</v>
      </c>
      <c r="AD126" s="0"/>
      <c r="AE126" s="21" t="s">
        <v>42</v>
      </c>
    </row>
    <row r="127" customFormat="false" ht="15" hidden="false" customHeight="false" outlineLevel="0" collapsed="false">
      <c r="A127" s="13" t="n">
        <f aca="false">1+A126</f>
        <v>125</v>
      </c>
      <c r="B127" s="17" t="n">
        <v>1009687432</v>
      </c>
      <c r="C127" s="17" t="s">
        <v>159</v>
      </c>
      <c r="D127" s="17" t="s">
        <v>64</v>
      </c>
      <c r="E127" s="17" t="s">
        <v>47</v>
      </c>
      <c r="F127" s="18" t="s">
        <v>34</v>
      </c>
      <c r="G127" s="19" t="n">
        <v>775329206731</v>
      </c>
      <c r="H127" s="17" t="s">
        <v>134</v>
      </c>
      <c r="I127" s="17" t="s">
        <v>69</v>
      </c>
      <c r="J127" s="17" t="s">
        <v>106</v>
      </c>
      <c r="K127" s="17" t="str">
        <f aca="false">VLOOKUP(J127,Sheet2!A:B,2,0)</f>
        <v>PRAKASH CHAVDA</v>
      </c>
      <c r="L127" s="17" t="n">
        <v>5</v>
      </c>
      <c r="M127" s="17" t="str">
        <f aca="false">VLOOKUP(L127,Sheet2!D:E,2,0)</f>
        <v>Main Processor CPU BGA</v>
      </c>
      <c r="N127" s="17" t="n">
        <v>1</v>
      </c>
      <c r="O127" s="17" t="str">
        <f aca="false">VLOOKUP(N127,Sheet2!G:H,2,0)</f>
        <v>Dead</v>
      </c>
      <c r="P127" s="17" t="n">
        <v>12</v>
      </c>
      <c r="Q127" s="17" t="str">
        <f aca="false">VLOOKUP(P127,Sheet2!J:K,2,0)</f>
        <v>IR Declared due to Others ( IR Normal)TB</v>
      </c>
      <c r="R127" s="17" t="s">
        <v>35</v>
      </c>
      <c r="S127" s="17" t="str">
        <f aca="false">VLOOKUP(R127,Sheet2!N:O,2,0)</f>
        <v>IREPARABLE</v>
      </c>
      <c r="T127" s="18" t="str">
        <f aca="false">VLOOKUP(P127,Sheet2!Q:R,2,0)</f>
        <v>IR Normal - BER to IR</v>
      </c>
      <c r="U127" s="20" t="s">
        <v>135</v>
      </c>
      <c r="V127" s="17" t="n">
        <v>12</v>
      </c>
      <c r="W127" s="20" t="str">
        <f aca="false">VLOOKUP(V127,Sheet2!Q:R,2,0)</f>
        <v>IR Normal - BER to IR</v>
      </c>
      <c r="X127" s="17" t="str">
        <f aca="false">J127</f>
        <v>A018</v>
      </c>
      <c r="Y127" s="17" t="str">
        <f aca="false">VLOOKUP(X127,Sheet2!A:B,2,0)</f>
        <v>PRAKASH CHAVDA</v>
      </c>
      <c r="Z127" s="17" t="s">
        <v>136</v>
      </c>
      <c r="AA127" s="17" t="s">
        <v>163</v>
      </c>
      <c r="AB127" s="17" t="s">
        <v>41</v>
      </c>
      <c r="AC127" s="0" t="str">
        <f aca="false">LEFT(G127,2)</f>
        <v>77</v>
      </c>
      <c r="AD127" s="0"/>
      <c r="AE127" s="21" t="s">
        <v>42</v>
      </c>
    </row>
    <row r="128" customFormat="false" ht="15" hidden="false" customHeight="false" outlineLevel="0" collapsed="false">
      <c r="A128" s="13" t="n">
        <f aca="false">1+A127</f>
        <v>126</v>
      </c>
      <c r="B128" s="17" t="n">
        <v>1009667149</v>
      </c>
      <c r="C128" s="17" t="s">
        <v>102</v>
      </c>
      <c r="D128" s="17" t="s">
        <v>167</v>
      </c>
      <c r="E128" s="17" t="s">
        <v>47</v>
      </c>
      <c r="F128" s="18" t="s">
        <v>34</v>
      </c>
      <c r="G128" s="19" t="n">
        <v>774284010535</v>
      </c>
      <c r="H128" s="17" t="s">
        <v>134</v>
      </c>
      <c r="I128" s="17" t="s">
        <v>69</v>
      </c>
      <c r="J128" s="17" t="s">
        <v>106</v>
      </c>
      <c r="K128" s="17" t="str">
        <f aca="false">VLOOKUP(J128,Sheet2!A:B,2,0)</f>
        <v>PRAKASH CHAVDA</v>
      </c>
      <c r="L128" s="17" t="n">
        <v>11</v>
      </c>
      <c r="M128" s="17" t="str">
        <f aca="false">VLOOKUP(L128,Sheet2!D:E,2,0)</f>
        <v>HDMI Section</v>
      </c>
      <c r="N128" s="17" t="n">
        <v>16</v>
      </c>
      <c r="O128" s="17" t="str">
        <f aca="false">VLOOKUP(N128,Sheet2!G:H,2,0)</f>
        <v>No Video - HDMI</v>
      </c>
      <c r="P128" s="17" t="n">
        <v>12</v>
      </c>
      <c r="Q128" s="17" t="str">
        <f aca="false">VLOOKUP(P128,Sheet2!J:K,2,0)</f>
        <v>IR Declared due to Others ( IR Normal)TB</v>
      </c>
      <c r="R128" s="17" t="s">
        <v>35</v>
      </c>
      <c r="S128" s="17" t="str">
        <f aca="false">VLOOKUP(R128,Sheet2!N:O,2,0)</f>
        <v>IREPARABLE</v>
      </c>
      <c r="T128" s="18" t="str">
        <f aca="false">VLOOKUP(P128,Sheet2!Q:R,2,0)</f>
        <v>IR Normal - BER to IR</v>
      </c>
      <c r="U128" s="20" t="s">
        <v>135</v>
      </c>
      <c r="V128" s="17" t="n">
        <v>12</v>
      </c>
      <c r="W128" s="20" t="str">
        <f aca="false">VLOOKUP(V128,Sheet2!Q:R,2,0)</f>
        <v>IR Normal - BER to IR</v>
      </c>
      <c r="X128" s="17" t="str">
        <f aca="false">J128</f>
        <v>A018</v>
      </c>
      <c r="Y128" s="17" t="str">
        <f aca="false">VLOOKUP(X128,Sheet2!A:B,2,0)</f>
        <v>PRAKASH CHAVDA</v>
      </c>
      <c r="Z128" s="17" t="s">
        <v>136</v>
      </c>
      <c r="AA128" s="17" t="s">
        <v>163</v>
      </c>
      <c r="AB128" s="17" t="s">
        <v>41</v>
      </c>
      <c r="AC128" s="0" t="str">
        <f aca="false">LEFT(G128,2)</f>
        <v>77</v>
      </c>
      <c r="AD128" s="0"/>
      <c r="AE128" s="21" t="s">
        <v>42</v>
      </c>
    </row>
    <row r="129" customFormat="false" ht="15" hidden="false" customHeight="false" outlineLevel="0" collapsed="false">
      <c r="A129" s="13" t="n">
        <f aca="false">1+A128</f>
        <v>127</v>
      </c>
      <c r="B129" s="17" t="n">
        <v>1006231659</v>
      </c>
      <c r="C129" s="17" t="s">
        <v>168</v>
      </c>
      <c r="D129" s="17" t="s">
        <v>64</v>
      </c>
      <c r="E129" s="17" t="s">
        <v>64</v>
      </c>
      <c r="F129" s="18" t="s">
        <v>70</v>
      </c>
      <c r="G129" s="19" t="n">
        <v>134106002378</v>
      </c>
      <c r="H129" s="17" t="s">
        <v>134</v>
      </c>
      <c r="I129" s="17" t="s">
        <v>44</v>
      </c>
      <c r="J129" s="17" t="s">
        <v>106</v>
      </c>
      <c r="K129" s="17" t="str">
        <f aca="false">VLOOKUP(J129,Sheet2!A:B,2,0)</f>
        <v>PRAKASH CHAVDA</v>
      </c>
      <c r="L129" s="17" t="n">
        <v>5</v>
      </c>
      <c r="M129" s="17" t="str">
        <f aca="false">VLOOKUP(L129,Sheet2!D:E,2,0)</f>
        <v>Main Processor CPU BGA</v>
      </c>
      <c r="N129" s="17" t="n">
        <v>1</v>
      </c>
      <c r="O129" s="17" t="str">
        <f aca="false">VLOOKUP(N129,Sheet2!G:H,2,0)</f>
        <v>Dead</v>
      </c>
      <c r="P129" s="17" t="n">
        <v>12</v>
      </c>
      <c r="Q129" s="17" t="str">
        <f aca="false">VLOOKUP(P129,Sheet2!J:K,2,0)</f>
        <v>IR Declared due to Others ( IR Normal)TB</v>
      </c>
      <c r="R129" s="17" t="s">
        <v>35</v>
      </c>
      <c r="S129" s="17" t="str">
        <f aca="false">VLOOKUP(R129,Sheet2!N:O,2,0)</f>
        <v>IREPARABLE</v>
      </c>
      <c r="T129" s="18" t="str">
        <f aca="false">VLOOKUP(P129,Sheet2!Q:R,2,0)</f>
        <v>IR Normal - BER to IR</v>
      </c>
      <c r="U129" s="20" t="s">
        <v>135</v>
      </c>
      <c r="V129" s="17" t="n">
        <v>12</v>
      </c>
      <c r="W129" s="20" t="str">
        <f aca="false">VLOOKUP(V129,Sheet2!Q:R,2,0)</f>
        <v>IR Normal - BER to IR</v>
      </c>
      <c r="X129" s="17" t="str">
        <f aca="false">J129</f>
        <v>A018</v>
      </c>
      <c r="Y129" s="17" t="str">
        <f aca="false">VLOOKUP(X129,Sheet2!A:B,2,0)</f>
        <v>PRAKASH CHAVDA</v>
      </c>
      <c r="Z129" s="17" t="s">
        <v>136</v>
      </c>
      <c r="AA129" s="17" t="s">
        <v>163</v>
      </c>
      <c r="AB129" s="17" t="s">
        <v>41</v>
      </c>
      <c r="AC129" s="0" t="str">
        <f aca="false">LEFT(G129,2)</f>
        <v>13</v>
      </c>
      <c r="AD129" s="0"/>
      <c r="AE129" s="21" t="s">
        <v>42</v>
      </c>
    </row>
    <row r="130" customFormat="false" ht="15" hidden="false" customHeight="false" outlineLevel="0" collapsed="false">
      <c r="A130" s="13" t="n">
        <f aca="false">1+A129</f>
        <v>128</v>
      </c>
      <c r="B130" s="17" t="n">
        <v>1009578516</v>
      </c>
      <c r="C130" s="17" t="s">
        <v>139</v>
      </c>
      <c r="D130" s="17" t="s">
        <v>86</v>
      </c>
      <c r="E130" s="17" t="s">
        <v>47</v>
      </c>
      <c r="F130" s="18" t="s">
        <v>34</v>
      </c>
      <c r="G130" s="19" t="n">
        <v>134106289397</v>
      </c>
      <c r="H130" s="17" t="s">
        <v>134</v>
      </c>
      <c r="I130" s="17" t="s">
        <v>44</v>
      </c>
      <c r="J130" s="17" t="s">
        <v>106</v>
      </c>
      <c r="K130" s="17" t="str">
        <f aca="false">VLOOKUP(J130,Sheet2!A:B,2,0)</f>
        <v>PRAKASH CHAVDA</v>
      </c>
      <c r="L130" s="17" t="n">
        <v>5</v>
      </c>
      <c r="M130" s="17" t="str">
        <f aca="false">VLOOKUP(L130,Sheet2!D:E,2,0)</f>
        <v>Main Processor CPU BGA</v>
      </c>
      <c r="N130" s="17" t="n">
        <v>1</v>
      </c>
      <c r="O130" s="17" t="str">
        <f aca="false">VLOOKUP(N130,Sheet2!G:H,2,0)</f>
        <v>Dead</v>
      </c>
      <c r="P130" s="17" t="n">
        <v>12</v>
      </c>
      <c r="Q130" s="17" t="str">
        <f aca="false">VLOOKUP(P130,Sheet2!J:K,2,0)</f>
        <v>IR Declared due to Others ( IR Normal)TB</v>
      </c>
      <c r="R130" s="17" t="s">
        <v>35</v>
      </c>
      <c r="S130" s="17" t="str">
        <f aca="false">VLOOKUP(R130,Sheet2!N:O,2,0)</f>
        <v>IREPARABLE</v>
      </c>
      <c r="T130" s="18" t="str">
        <f aca="false">VLOOKUP(P130,Sheet2!Q:R,2,0)</f>
        <v>IR Normal - BER to IR</v>
      </c>
      <c r="U130" s="20" t="s">
        <v>135</v>
      </c>
      <c r="V130" s="17" t="n">
        <v>12</v>
      </c>
      <c r="W130" s="20" t="str">
        <f aca="false">VLOOKUP(V130,Sheet2!Q:R,2,0)</f>
        <v>IR Normal - BER to IR</v>
      </c>
      <c r="X130" s="17" t="str">
        <f aca="false">J130</f>
        <v>A018</v>
      </c>
      <c r="Y130" s="17" t="str">
        <f aca="false">VLOOKUP(X130,Sheet2!A:B,2,0)</f>
        <v>PRAKASH CHAVDA</v>
      </c>
      <c r="Z130" s="17" t="s">
        <v>136</v>
      </c>
      <c r="AA130" s="17" t="s">
        <v>163</v>
      </c>
      <c r="AB130" s="17" t="s">
        <v>41</v>
      </c>
      <c r="AC130" s="0" t="str">
        <f aca="false">LEFT(G130,2)</f>
        <v>13</v>
      </c>
      <c r="AD130" s="0"/>
      <c r="AE130" s="21" t="s">
        <v>42</v>
      </c>
    </row>
    <row r="131" customFormat="false" ht="15" hidden="false" customHeight="false" outlineLevel="0" collapsed="false">
      <c r="A131" s="13" t="n">
        <f aca="false">1+A130</f>
        <v>129</v>
      </c>
      <c r="B131" s="17" t="n">
        <v>1009572682</v>
      </c>
      <c r="C131" s="17" t="s">
        <v>104</v>
      </c>
      <c r="D131" s="17" t="s">
        <v>64</v>
      </c>
      <c r="E131" s="17" t="s">
        <v>47</v>
      </c>
      <c r="F131" s="18" t="s">
        <v>34</v>
      </c>
      <c r="G131" s="19" t="n">
        <v>134087079403</v>
      </c>
      <c r="H131" s="17" t="s">
        <v>134</v>
      </c>
      <c r="I131" s="17" t="s">
        <v>44</v>
      </c>
      <c r="J131" s="17" t="s">
        <v>106</v>
      </c>
      <c r="K131" s="17" t="str">
        <f aca="false">VLOOKUP(J131,Sheet2!A:B,2,0)</f>
        <v>PRAKASH CHAVDA</v>
      </c>
      <c r="L131" s="17" t="n">
        <v>5</v>
      </c>
      <c r="M131" s="17" t="str">
        <f aca="false">VLOOKUP(L131,Sheet2!D:E,2,0)</f>
        <v>Main Processor CPU BGA</v>
      </c>
      <c r="N131" s="17" t="n">
        <v>24</v>
      </c>
      <c r="O131" s="17" t="str">
        <f aca="false">VLOOKUP(N131,Sheet2!G:H,2,0)</f>
        <v>STB Auto moving -Stand by mode</v>
      </c>
      <c r="P131" s="17" t="n">
        <v>12</v>
      </c>
      <c r="Q131" s="17" t="str">
        <f aca="false">VLOOKUP(P131,Sheet2!J:K,2,0)</f>
        <v>IR Declared due to Others ( IR Normal)TB</v>
      </c>
      <c r="R131" s="17" t="s">
        <v>35</v>
      </c>
      <c r="S131" s="17" t="str">
        <f aca="false">VLOOKUP(R131,Sheet2!N:O,2,0)</f>
        <v>IREPARABLE</v>
      </c>
      <c r="T131" s="18" t="str">
        <f aca="false">VLOOKUP(P131,Sheet2!Q:R,2,0)</f>
        <v>IR Normal - BER to IR</v>
      </c>
      <c r="U131" s="20" t="s">
        <v>135</v>
      </c>
      <c r="V131" s="17" t="n">
        <v>12</v>
      </c>
      <c r="W131" s="20" t="str">
        <f aca="false">VLOOKUP(V131,Sheet2!Q:R,2,0)</f>
        <v>IR Normal - BER to IR</v>
      </c>
      <c r="X131" s="17" t="str">
        <f aca="false">J131</f>
        <v>A018</v>
      </c>
      <c r="Y131" s="17" t="str">
        <f aca="false">VLOOKUP(X131,Sheet2!A:B,2,0)</f>
        <v>PRAKASH CHAVDA</v>
      </c>
      <c r="Z131" s="17" t="s">
        <v>136</v>
      </c>
      <c r="AA131" s="17" t="s">
        <v>163</v>
      </c>
      <c r="AB131" s="17" t="s">
        <v>41</v>
      </c>
      <c r="AC131" s="0" t="str">
        <f aca="false">LEFT(G131,2)</f>
        <v>13</v>
      </c>
      <c r="AD131" s="0"/>
      <c r="AE131" s="21" t="s">
        <v>42</v>
      </c>
    </row>
    <row r="132" customFormat="false" ht="15" hidden="false" customHeight="false" outlineLevel="0" collapsed="false">
      <c r="A132" s="13" t="n">
        <f aca="false">1+A131</f>
        <v>130</v>
      </c>
      <c r="B132" s="17" t="n">
        <v>1006552776</v>
      </c>
      <c r="C132" s="17" t="s">
        <v>169</v>
      </c>
      <c r="D132" s="17" t="s">
        <v>119</v>
      </c>
      <c r="E132" s="17" t="s">
        <v>91</v>
      </c>
      <c r="F132" s="18" t="s">
        <v>92</v>
      </c>
      <c r="G132" s="19" t="n">
        <v>134127368576</v>
      </c>
      <c r="H132" s="17" t="s">
        <v>134</v>
      </c>
      <c r="I132" s="17" t="s">
        <v>44</v>
      </c>
      <c r="J132" s="17" t="s">
        <v>106</v>
      </c>
      <c r="K132" s="17" t="str">
        <f aca="false">VLOOKUP(J132,Sheet2!A:B,2,0)</f>
        <v>PRAKASH CHAVDA</v>
      </c>
      <c r="L132" s="17" t="n">
        <v>5</v>
      </c>
      <c r="M132" s="17" t="str">
        <f aca="false">VLOOKUP(L132,Sheet2!D:E,2,0)</f>
        <v>Main Processor CPU BGA</v>
      </c>
      <c r="N132" s="17" t="n">
        <v>1</v>
      </c>
      <c r="O132" s="17" t="str">
        <f aca="false">VLOOKUP(N132,Sheet2!G:H,2,0)</f>
        <v>Dead</v>
      </c>
      <c r="P132" s="17" t="n">
        <v>12</v>
      </c>
      <c r="Q132" s="17" t="str">
        <f aca="false">VLOOKUP(P132,Sheet2!J:K,2,0)</f>
        <v>IR Declared due to Others ( IR Normal)TB</v>
      </c>
      <c r="R132" s="17" t="s">
        <v>35</v>
      </c>
      <c r="S132" s="17" t="str">
        <f aca="false">VLOOKUP(R132,Sheet2!N:O,2,0)</f>
        <v>IREPARABLE</v>
      </c>
      <c r="T132" s="18" t="str">
        <f aca="false">VLOOKUP(P132,Sheet2!Q:R,2,0)</f>
        <v>IR Normal - BER to IR</v>
      </c>
      <c r="U132" s="20" t="s">
        <v>135</v>
      </c>
      <c r="V132" s="17" t="n">
        <v>12</v>
      </c>
      <c r="W132" s="20" t="str">
        <f aca="false">VLOOKUP(V132,Sheet2!Q:R,2,0)</f>
        <v>IR Normal - BER to IR</v>
      </c>
      <c r="X132" s="17" t="str">
        <f aca="false">J132</f>
        <v>A018</v>
      </c>
      <c r="Y132" s="17" t="str">
        <f aca="false">VLOOKUP(X132,Sheet2!A:B,2,0)</f>
        <v>PRAKASH CHAVDA</v>
      </c>
      <c r="Z132" s="17" t="s">
        <v>136</v>
      </c>
      <c r="AA132" s="17" t="s">
        <v>163</v>
      </c>
      <c r="AB132" s="17" t="s">
        <v>41</v>
      </c>
      <c r="AC132" s="0" t="str">
        <f aca="false">LEFT(G132,2)</f>
        <v>13</v>
      </c>
      <c r="AD132" s="0"/>
      <c r="AE132" s="21" t="s">
        <v>42</v>
      </c>
    </row>
    <row r="133" customFormat="false" ht="15" hidden="false" customHeight="false" outlineLevel="0" collapsed="false">
      <c r="A133" s="13" t="n">
        <f aca="false">1+A132</f>
        <v>131</v>
      </c>
      <c r="B133" s="17" t="n">
        <v>1009584014</v>
      </c>
      <c r="C133" s="17" t="s">
        <v>139</v>
      </c>
      <c r="D133" s="17" t="s">
        <v>143</v>
      </c>
      <c r="E133" s="17" t="s">
        <v>33</v>
      </c>
      <c r="F133" s="18" t="s">
        <v>34</v>
      </c>
      <c r="G133" s="19" t="n">
        <v>134268407720</v>
      </c>
      <c r="H133" s="17" t="s">
        <v>134</v>
      </c>
      <c r="I133" s="17" t="s">
        <v>44</v>
      </c>
      <c r="J133" s="17" t="s">
        <v>106</v>
      </c>
      <c r="K133" s="17" t="str">
        <f aca="false">VLOOKUP(J133,Sheet2!A:B,2,0)</f>
        <v>PRAKASH CHAVDA</v>
      </c>
      <c r="L133" s="17" t="n">
        <v>5</v>
      </c>
      <c r="M133" s="17" t="str">
        <f aca="false">VLOOKUP(L133,Sheet2!D:E,2,0)</f>
        <v>Main Processor CPU BGA</v>
      </c>
      <c r="N133" s="17" t="n">
        <v>24</v>
      </c>
      <c r="O133" s="17" t="str">
        <f aca="false">VLOOKUP(N133,Sheet2!G:H,2,0)</f>
        <v>STB Auto moving -Stand by mode</v>
      </c>
      <c r="P133" s="17" t="n">
        <v>12</v>
      </c>
      <c r="Q133" s="17" t="str">
        <f aca="false">VLOOKUP(P133,Sheet2!J:K,2,0)</f>
        <v>IR Declared due to Others ( IR Normal)TB</v>
      </c>
      <c r="R133" s="17" t="s">
        <v>35</v>
      </c>
      <c r="S133" s="17" t="str">
        <f aca="false">VLOOKUP(R133,Sheet2!N:O,2,0)</f>
        <v>IREPARABLE</v>
      </c>
      <c r="T133" s="18" t="str">
        <f aca="false">VLOOKUP(P133,Sheet2!Q:R,2,0)</f>
        <v>IR Normal - BER to IR</v>
      </c>
      <c r="U133" s="20" t="s">
        <v>135</v>
      </c>
      <c r="V133" s="17" t="n">
        <v>12</v>
      </c>
      <c r="W133" s="20" t="str">
        <f aca="false">VLOOKUP(V133,Sheet2!Q:R,2,0)</f>
        <v>IR Normal - BER to IR</v>
      </c>
      <c r="X133" s="17" t="str">
        <f aca="false">J133</f>
        <v>A018</v>
      </c>
      <c r="Y133" s="17" t="str">
        <f aca="false">VLOOKUP(X133,Sheet2!A:B,2,0)</f>
        <v>PRAKASH CHAVDA</v>
      </c>
      <c r="Z133" s="17" t="s">
        <v>136</v>
      </c>
      <c r="AA133" s="17" t="s">
        <v>163</v>
      </c>
      <c r="AB133" s="17" t="s">
        <v>41</v>
      </c>
      <c r="AC133" s="0" t="str">
        <f aca="false">LEFT(G133,2)</f>
        <v>13</v>
      </c>
      <c r="AD133" s="0"/>
      <c r="AE133" s="21" t="s">
        <v>42</v>
      </c>
    </row>
    <row r="134" customFormat="false" ht="15" hidden="false" customHeight="false" outlineLevel="0" collapsed="false">
      <c r="A134" s="13" t="n">
        <f aca="false">1+A133</f>
        <v>132</v>
      </c>
      <c r="B134" s="17" t="n">
        <v>1008913410</v>
      </c>
      <c r="C134" s="17" t="s">
        <v>170</v>
      </c>
      <c r="D134" s="17" t="s">
        <v>88</v>
      </c>
      <c r="E134" s="17" t="s">
        <v>47</v>
      </c>
      <c r="F134" s="18" t="s">
        <v>34</v>
      </c>
      <c r="G134" s="19" t="n">
        <v>134317176664</v>
      </c>
      <c r="H134" s="17" t="s">
        <v>134</v>
      </c>
      <c r="I134" s="17" t="s">
        <v>44</v>
      </c>
      <c r="J134" s="17" t="s">
        <v>106</v>
      </c>
      <c r="K134" s="17" t="str">
        <f aca="false">VLOOKUP(J134,Sheet2!A:B,2,0)</f>
        <v>PRAKASH CHAVDA</v>
      </c>
      <c r="L134" s="17" t="n">
        <v>5</v>
      </c>
      <c r="M134" s="17" t="str">
        <f aca="false">VLOOKUP(L134,Sheet2!D:E,2,0)</f>
        <v>Main Processor CPU BGA</v>
      </c>
      <c r="N134" s="17" t="n">
        <v>1</v>
      </c>
      <c r="O134" s="17" t="str">
        <f aca="false">VLOOKUP(N134,Sheet2!G:H,2,0)</f>
        <v>Dead</v>
      </c>
      <c r="P134" s="17" t="n">
        <v>12</v>
      </c>
      <c r="Q134" s="17" t="str">
        <f aca="false">VLOOKUP(P134,Sheet2!J:K,2,0)</f>
        <v>IR Declared due to Others ( IR Normal)TB</v>
      </c>
      <c r="R134" s="17" t="s">
        <v>35</v>
      </c>
      <c r="S134" s="17" t="str">
        <f aca="false">VLOOKUP(R134,Sheet2!N:O,2,0)</f>
        <v>IREPARABLE</v>
      </c>
      <c r="T134" s="18" t="str">
        <f aca="false">VLOOKUP(P134,Sheet2!Q:R,2,0)</f>
        <v>IR Normal - BER to IR</v>
      </c>
      <c r="U134" s="20" t="s">
        <v>135</v>
      </c>
      <c r="V134" s="17" t="n">
        <v>12</v>
      </c>
      <c r="W134" s="20" t="str">
        <f aca="false">VLOOKUP(V134,Sheet2!Q:R,2,0)</f>
        <v>IR Normal - BER to IR</v>
      </c>
      <c r="X134" s="17" t="str">
        <f aca="false">J134</f>
        <v>A018</v>
      </c>
      <c r="Y134" s="17" t="str">
        <f aca="false">VLOOKUP(X134,Sheet2!A:B,2,0)</f>
        <v>PRAKASH CHAVDA</v>
      </c>
      <c r="Z134" s="17" t="s">
        <v>136</v>
      </c>
      <c r="AA134" s="17" t="s">
        <v>163</v>
      </c>
      <c r="AB134" s="17" t="s">
        <v>41</v>
      </c>
      <c r="AC134" s="0" t="str">
        <f aca="false">LEFT(G134,2)</f>
        <v>13</v>
      </c>
      <c r="AD134" s="0"/>
      <c r="AE134" s="21" t="s">
        <v>42</v>
      </c>
    </row>
    <row r="135" customFormat="false" ht="15" hidden="false" customHeight="false" outlineLevel="0" collapsed="false">
      <c r="A135" s="13" t="n">
        <f aca="false">1+A134</f>
        <v>133</v>
      </c>
      <c r="B135" s="17" t="n">
        <v>1006250010</v>
      </c>
      <c r="C135" s="17" t="s">
        <v>171</v>
      </c>
      <c r="D135" s="17" t="s">
        <v>64</v>
      </c>
      <c r="E135" s="17" t="s">
        <v>91</v>
      </c>
      <c r="F135" s="18" t="s">
        <v>92</v>
      </c>
      <c r="G135" s="19" t="n">
        <v>134063623372</v>
      </c>
      <c r="H135" s="17" t="s">
        <v>134</v>
      </c>
      <c r="I135" s="17" t="s">
        <v>44</v>
      </c>
      <c r="J135" s="17" t="s">
        <v>106</v>
      </c>
      <c r="K135" s="17" t="str">
        <f aca="false">VLOOKUP(J135,Sheet2!A:B,2,0)</f>
        <v>PRAKASH CHAVDA</v>
      </c>
      <c r="L135" s="17" t="n">
        <v>5</v>
      </c>
      <c r="M135" s="17" t="str">
        <f aca="false">VLOOKUP(L135,Sheet2!D:E,2,0)</f>
        <v>Main Processor CPU BGA</v>
      </c>
      <c r="N135" s="17" t="n">
        <v>24</v>
      </c>
      <c r="O135" s="17" t="str">
        <f aca="false">VLOOKUP(N135,Sheet2!G:H,2,0)</f>
        <v>STB Auto moving -Stand by mode</v>
      </c>
      <c r="P135" s="17" t="n">
        <v>12</v>
      </c>
      <c r="Q135" s="17" t="str">
        <f aca="false">VLOOKUP(P135,Sheet2!J:K,2,0)</f>
        <v>IR Declared due to Others ( IR Normal)TB</v>
      </c>
      <c r="R135" s="17" t="s">
        <v>35</v>
      </c>
      <c r="S135" s="17" t="str">
        <f aca="false">VLOOKUP(R135,Sheet2!N:O,2,0)</f>
        <v>IREPARABLE</v>
      </c>
      <c r="T135" s="18" t="str">
        <f aca="false">VLOOKUP(P135,Sheet2!Q:R,2,0)</f>
        <v>IR Normal - BER to IR</v>
      </c>
      <c r="U135" s="20" t="s">
        <v>135</v>
      </c>
      <c r="V135" s="17" t="n">
        <v>12</v>
      </c>
      <c r="W135" s="20" t="str">
        <f aca="false">VLOOKUP(V135,Sheet2!Q:R,2,0)</f>
        <v>IR Normal - BER to IR</v>
      </c>
      <c r="X135" s="17" t="str">
        <f aca="false">J135</f>
        <v>A018</v>
      </c>
      <c r="Y135" s="17" t="str">
        <f aca="false">VLOOKUP(X135,Sheet2!A:B,2,0)</f>
        <v>PRAKASH CHAVDA</v>
      </c>
      <c r="Z135" s="17" t="s">
        <v>136</v>
      </c>
      <c r="AA135" s="17" t="s">
        <v>163</v>
      </c>
      <c r="AB135" s="17" t="s">
        <v>41</v>
      </c>
      <c r="AC135" s="0" t="str">
        <f aca="false">LEFT(G135,2)</f>
        <v>13</v>
      </c>
      <c r="AD135" s="0"/>
      <c r="AE135" s="21" t="s">
        <v>42</v>
      </c>
    </row>
    <row r="136" customFormat="false" ht="15" hidden="false" customHeight="false" outlineLevel="0" collapsed="false">
      <c r="A136" s="13" t="n">
        <f aca="false">1+A135</f>
        <v>134</v>
      </c>
      <c r="B136" s="17" t="n">
        <v>1009508141</v>
      </c>
      <c r="C136" s="17" t="s">
        <v>95</v>
      </c>
      <c r="D136" s="17" t="s">
        <v>64</v>
      </c>
      <c r="E136" s="17" t="s">
        <v>172</v>
      </c>
      <c r="F136" s="18" t="s">
        <v>34</v>
      </c>
      <c r="G136" s="19" t="n">
        <v>985287132023</v>
      </c>
      <c r="H136" s="17" t="s">
        <v>134</v>
      </c>
      <c r="I136" s="17" t="s">
        <v>44</v>
      </c>
      <c r="J136" s="17" t="s">
        <v>106</v>
      </c>
      <c r="K136" s="17" t="str">
        <f aca="false">VLOOKUP(J136,Sheet2!A:B,2,0)</f>
        <v>PRAKASH CHAVDA</v>
      </c>
      <c r="L136" s="17" t="n">
        <v>5</v>
      </c>
      <c r="M136" s="17" t="str">
        <f aca="false">VLOOKUP(L136,Sheet2!D:E,2,0)</f>
        <v>Main Processor CPU BGA</v>
      </c>
      <c r="N136" s="17" t="n">
        <v>28</v>
      </c>
      <c r="O136" s="17" t="str">
        <f aca="false">VLOOKUP(N136,Sheet2!G:H,2,0)</f>
        <v>Hang and Freeze video - AV</v>
      </c>
      <c r="P136" s="17" t="n">
        <v>12</v>
      </c>
      <c r="Q136" s="17" t="str">
        <f aca="false">VLOOKUP(P136,Sheet2!J:K,2,0)</f>
        <v>IR Declared due to Others ( IR Normal)TB</v>
      </c>
      <c r="R136" s="17" t="s">
        <v>35</v>
      </c>
      <c r="S136" s="17" t="str">
        <f aca="false">VLOOKUP(R136,Sheet2!N:O,2,0)</f>
        <v>IREPARABLE</v>
      </c>
      <c r="T136" s="18" t="str">
        <f aca="false">VLOOKUP(P136,Sheet2!Q:R,2,0)</f>
        <v>IR Normal - BER to IR</v>
      </c>
      <c r="U136" s="20" t="s">
        <v>135</v>
      </c>
      <c r="V136" s="17" t="n">
        <v>12</v>
      </c>
      <c r="W136" s="20" t="str">
        <f aca="false">VLOOKUP(V136,Sheet2!Q:R,2,0)</f>
        <v>IR Normal - BER to IR</v>
      </c>
      <c r="X136" s="17" t="str">
        <f aca="false">J136</f>
        <v>A018</v>
      </c>
      <c r="Y136" s="17" t="str">
        <f aca="false">VLOOKUP(X136,Sheet2!A:B,2,0)</f>
        <v>PRAKASH CHAVDA</v>
      </c>
      <c r="Z136" s="17" t="s">
        <v>173</v>
      </c>
      <c r="AA136" s="17" t="s">
        <v>163</v>
      </c>
      <c r="AB136" s="17" t="s">
        <v>41</v>
      </c>
      <c r="AC136" s="0" t="str">
        <f aca="false">LEFT(G136,2)</f>
        <v>98</v>
      </c>
      <c r="AD136" s="0"/>
      <c r="AE136" s="21" t="s">
        <v>42</v>
      </c>
    </row>
    <row r="137" customFormat="false" ht="15" hidden="false" customHeight="false" outlineLevel="0" collapsed="false">
      <c r="A137" s="13" t="n">
        <f aca="false">1+A136</f>
        <v>135</v>
      </c>
      <c r="B137" s="17" t="n">
        <v>1009534125</v>
      </c>
      <c r="C137" s="17" t="s">
        <v>174</v>
      </c>
      <c r="D137" s="17" t="s">
        <v>175</v>
      </c>
      <c r="E137" s="17" t="s">
        <v>176</v>
      </c>
      <c r="F137" s="18" t="s">
        <v>34</v>
      </c>
      <c r="G137" s="19" t="n">
        <v>987273198976</v>
      </c>
      <c r="H137" s="17" t="s">
        <v>134</v>
      </c>
      <c r="I137" s="17" t="s">
        <v>44</v>
      </c>
      <c r="J137" s="17" t="s">
        <v>106</v>
      </c>
      <c r="K137" s="17" t="str">
        <f aca="false">VLOOKUP(J137,Sheet2!A:B,2,0)</f>
        <v>PRAKASH CHAVDA</v>
      </c>
      <c r="L137" s="17" t="n">
        <v>5</v>
      </c>
      <c r="M137" s="17" t="str">
        <f aca="false">VLOOKUP(L137,Sheet2!D:E,2,0)</f>
        <v>Main Processor CPU BGA</v>
      </c>
      <c r="N137" s="17" t="n">
        <v>28</v>
      </c>
      <c r="O137" s="17" t="str">
        <f aca="false">VLOOKUP(N137,Sheet2!G:H,2,0)</f>
        <v>Hang and Freeze video - AV</v>
      </c>
      <c r="P137" s="17" t="n">
        <v>12</v>
      </c>
      <c r="Q137" s="17" t="str">
        <f aca="false">VLOOKUP(P137,Sheet2!J:K,2,0)</f>
        <v>IR Declared due to Others ( IR Normal)TB</v>
      </c>
      <c r="R137" s="17" t="s">
        <v>35</v>
      </c>
      <c r="S137" s="17" t="str">
        <f aca="false">VLOOKUP(R137,Sheet2!N:O,2,0)</f>
        <v>IREPARABLE</v>
      </c>
      <c r="T137" s="18" t="str">
        <f aca="false">VLOOKUP(P137,Sheet2!Q:R,2,0)</f>
        <v>IR Normal - BER to IR</v>
      </c>
      <c r="U137" s="20" t="s">
        <v>135</v>
      </c>
      <c r="V137" s="17" t="n">
        <v>12</v>
      </c>
      <c r="W137" s="20" t="str">
        <f aca="false">VLOOKUP(V137,Sheet2!Q:R,2,0)</f>
        <v>IR Normal - BER to IR</v>
      </c>
      <c r="X137" s="17" t="str">
        <f aca="false">J137</f>
        <v>A018</v>
      </c>
      <c r="Y137" s="17" t="str">
        <f aca="false">VLOOKUP(X137,Sheet2!A:B,2,0)</f>
        <v>PRAKASH CHAVDA</v>
      </c>
      <c r="Z137" s="17" t="s">
        <v>173</v>
      </c>
      <c r="AA137" s="17" t="s">
        <v>163</v>
      </c>
      <c r="AB137" s="17" t="s">
        <v>41</v>
      </c>
      <c r="AC137" s="0" t="str">
        <f aca="false">LEFT(G137,2)</f>
        <v>98</v>
      </c>
      <c r="AD137" s="0"/>
      <c r="AE137" s="21" t="s">
        <v>42</v>
      </c>
    </row>
    <row r="138" customFormat="false" ht="15" hidden="false" customHeight="false" outlineLevel="0" collapsed="false">
      <c r="A138" s="13" t="n">
        <f aca="false">1+A137</f>
        <v>136</v>
      </c>
      <c r="B138" s="17" t="n">
        <v>1009349746</v>
      </c>
      <c r="C138" s="17" t="s">
        <v>87</v>
      </c>
      <c r="D138" s="17" t="s">
        <v>64</v>
      </c>
      <c r="E138" s="17" t="s">
        <v>91</v>
      </c>
      <c r="F138" s="18" t="s">
        <v>92</v>
      </c>
      <c r="G138" s="19" t="n">
        <v>413219122293</v>
      </c>
      <c r="H138" s="17" t="s">
        <v>134</v>
      </c>
      <c r="I138" s="17" t="s">
        <v>44</v>
      </c>
      <c r="J138" s="17" t="s">
        <v>106</v>
      </c>
      <c r="K138" s="17" t="str">
        <f aca="false">VLOOKUP(J138,Sheet2!A:B,2,0)</f>
        <v>PRAKASH CHAVDA</v>
      </c>
      <c r="L138" s="17" t="n">
        <v>5</v>
      </c>
      <c r="M138" s="17" t="str">
        <f aca="false">VLOOKUP(L138,Sheet2!D:E,2,0)</f>
        <v>Main Processor CPU BGA</v>
      </c>
      <c r="N138" s="17" t="n">
        <v>3</v>
      </c>
      <c r="O138" s="17" t="str">
        <f aca="false">VLOOKUP(N138,Sheet2!G:H,2,0)</f>
        <v>Blue/Black /Blank Screen</v>
      </c>
      <c r="P138" s="17" t="n">
        <v>12</v>
      </c>
      <c r="Q138" s="17" t="str">
        <f aca="false">VLOOKUP(P138,Sheet2!J:K,2,0)</f>
        <v>IR Declared due to Others ( IR Normal)TB</v>
      </c>
      <c r="R138" s="17" t="s">
        <v>35</v>
      </c>
      <c r="S138" s="17" t="str">
        <f aca="false">VLOOKUP(R138,Sheet2!N:O,2,0)</f>
        <v>IREPARABLE</v>
      </c>
      <c r="T138" s="18" t="str">
        <f aca="false">VLOOKUP(P138,Sheet2!Q:R,2,0)</f>
        <v>IR Normal - BER to IR</v>
      </c>
      <c r="U138" s="20" t="s">
        <v>135</v>
      </c>
      <c r="V138" s="17" t="n">
        <v>12</v>
      </c>
      <c r="W138" s="20" t="str">
        <f aca="false">VLOOKUP(V138,Sheet2!Q:R,2,0)</f>
        <v>IR Normal - BER to IR</v>
      </c>
      <c r="X138" s="17" t="str">
        <f aca="false">J138</f>
        <v>A018</v>
      </c>
      <c r="Y138" s="17" t="str">
        <f aca="false">VLOOKUP(X138,Sheet2!A:B,2,0)</f>
        <v>PRAKASH CHAVDA</v>
      </c>
      <c r="Z138" s="17" t="s">
        <v>149</v>
      </c>
      <c r="AA138" s="17" t="s">
        <v>163</v>
      </c>
      <c r="AB138" s="17" t="s">
        <v>41</v>
      </c>
      <c r="AC138" s="0" t="str">
        <f aca="false">LEFT(G138,2)</f>
        <v>41</v>
      </c>
      <c r="AD138" s="0"/>
      <c r="AE138" s="21" t="s">
        <v>42</v>
      </c>
    </row>
    <row r="139" customFormat="false" ht="15" hidden="false" customHeight="false" outlineLevel="0" collapsed="false">
      <c r="A139" s="13" t="n">
        <f aca="false">1+A138</f>
        <v>137</v>
      </c>
      <c r="B139" s="17" t="n">
        <v>1009329918</v>
      </c>
      <c r="C139" s="17" t="s">
        <v>59</v>
      </c>
      <c r="D139" s="17" t="s">
        <v>64</v>
      </c>
      <c r="E139" s="17" t="s">
        <v>177</v>
      </c>
      <c r="F139" s="18" t="s">
        <v>34</v>
      </c>
      <c r="G139" s="19" t="n">
        <v>413224409479</v>
      </c>
      <c r="H139" s="17" t="s">
        <v>134</v>
      </c>
      <c r="I139" s="17" t="s">
        <v>44</v>
      </c>
      <c r="J139" s="17" t="s">
        <v>106</v>
      </c>
      <c r="K139" s="17" t="str">
        <f aca="false">VLOOKUP(J139,Sheet2!A:B,2,0)</f>
        <v>PRAKASH CHAVDA</v>
      </c>
      <c r="L139" s="17" t="n">
        <v>5</v>
      </c>
      <c r="M139" s="17" t="str">
        <f aca="false">VLOOKUP(L139,Sheet2!D:E,2,0)</f>
        <v>Main Processor CPU BGA</v>
      </c>
      <c r="N139" s="17" t="n">
        <v>3</v>
      </c>
      <c r="O139" s="17" t="str">
        <f aca="false">VLOOKUP(N139,Sheet2!G:H,2,0)</f>
        <v>Blue/Black /Blank Screen</v>
      </c>
      <c r="P139" s="17" t="n">
        <v>12</v>
      </c>
      <c r="Q139" s="17" t="str">
        <f aca="false">VLOOKUP(P139,Sheet2!J:K,2,0)</f>
        <v>IR Declared due to Others ( IR Normal)TB</v>
      </c>
      <c r="R139" s="17" t="s">
        <v>35</v>
      </c>
      <c r="S139" s="17" t="str">
        <f aca="false">VLOOKUP(R139,Sheet2!N:O,2,0)</f>
        <v>IREPARABLE</v>
      </c>
      <c r="T139" s="18" t="str">
        <f aca="false">VLOOKUP(P139,Sheet2!Q:R,2,0)</f>
        <v>IR Normal - BER to IR</v>
      </c>
      <c r="U139" s="20" t="s">
        <v>135</v>
      </c>
      <c r="V139" s="17" t="n">
        <v>12</v>
      </c>
      <c r="W139" s="20" t="str">
        <f aca="false">VLOOKUP(V139,Sheet2!Q:R,2,0)</f>
        <v>IR Normal - BER to IR</v>
      </c>
      <c r="X139" s="17" t="str">
        <f aca="false">J139</f>
        <v>A018</v>
      </c>
      <c r="Y139" s="17" t="str">
        <f aca="false">VLOOKUP(X139,Sheet2!A:B,2,0)</f>
        <v>PRAKASH CHAVDA</v>
      </c>
      <c r="Z139" s="17" t="s">
        <v>149</v>
      </c>
      <c r="AA139" s="17" t="s">
        <v>163</v>
      </c>
      <c r="AB139" s="17" t="s">
        <v>41</v>
      </c>
      <c r="AC139" s="0" t="str">
        <f aca="false">LEFT(G139,2)</f>
        <v>41</v>
      </c>
      <c r="AD139" s="0"/>
      <c r="AE139" s="21" t="s">
        <v>42</v>
      </c>
    </row>
    <row r="140" customFormat="false" ht="15" hidden="false" customHeight="false" outlineLevel="0" collapsed="false">
      <c r="A140" s="13" t="n">
        <f aca="false">1+A139</f>
        <v>138</v>
      </c>
      <c r="B140" s="17" t="n">
        <v>1009573159</v>
      </c>
      <c r="C140" s="17" t="s">
        <v>104</v>
      </c>
      <c r="D140" s="17" t="s">
        <v>64</v>
      </c>
      <c r="E140" s="17" t="s">
        <v>64</v>
      </c>
      <c r="F140" s="18" t="s">
        <v>70</v>
      </c>
      <c r="G140" s="19" t="n">
        <v>942330908263</v>
      </c>
      <c r="H140" s="17" t="s">
        <v>134</v>
      </c>
      <c r="I140" s="17" t="s">
        <v>44</v>
      </c>
      <c r="J140" s="17" t="s">
        <v>106</v>
      </c>
      <c r="K140" s="17" t="str">
        <f aca="false">VLOOKUP(J140,Sheet2!A:B,2,0)</f>
        <v>PRAKASH CHAVDA</v>
      </c>
      <c r="L140" s="17" t="n">
        <v>5</v>
      </c>
      <c r="M140" s="17" t="str">
        <f aca="false">VLOOKUP(L140,Sheet2!D:E,2,0)</f>
        <v>Main Processor CPU BGA</v>
      </c>
      <c r="N140" s="17" t="n">
        <v>1</v>
      </c>
      <c r="O140" s="17" t="str">
        <f aca="false">VLOOKUP(N140,Sheet2!G:H,2,0)</f>
        <v>Dead</v>
      </c>
      <c r="P140" s="17" t="n">
        <v>12</v>
      </c>
      <c r="Q140" s="17" t="str">
        <f aca="false">VLOOKUP(P140,Sheet2!J:K,2,0)</f>
        <v>IR Declared due to Others ( IR Normal)TB</v>
      </c>
      <c r="R140" s="17" t="s">
        <v>35</v>
      </c>
      <c r="S140" s="17" t="str">
        <f aca="false">VLOOKUP(R140,Sheet2!N:O,2,0)</f>
        <v>IREPARABLE</v>
      </c>
      <c r="T140" s="18" t="str">
        <f aca="false">VLOOKUP(P140,Sheet2!Q:R,2,0)</f>
        <v>IR Normal - BER to IR</v>
      </c>
      <c r="U140" s="20" t="s">
        <v>135</v>
      </c>
      <c r="V140" s="17" t="n">
        <v>12</v>
      </c>
      <c r="W140" s="20" t="str">
        <f aca="false">VLOOKUP(V140,Sheet2!Q:R,2,0)</f>
        <v>IR Normal - BER to IR</v>
      </c>
      <c r="X140" s="17" t="str">
        <f aca="false">J140</f>
        <v>A018</v>
      </c>
      <c r="Y140" s="17" t="str">
        <f aca="false">VLOOKUP(X140,Sheet2!A:B,2,0)</f>
        <v>PRAKASH CHAVDA</v>
      </c>
      <c r="Z140" s="17" t="s">
        <v>127</v>
      </c>
      <c r="AA140" s="17" t="s">
        <v>163</v>
      </c>
      <c r="AB140" s="17" t="s">
        <v>41</v>
      </c>
      <c r="AC140" s="0" t="str">
        <f aca="false">LEFT(G140,2)</f>
        <v>94</v>
      </c>
      <c r="AD140" s="0"/>
      <c r="AE140" s="21" t="s">
        <v>42</v>
      </c>
    </row>
    <row r="141" customFormat="false" ht="15" hidden="false" customHeight="false" outlineLevel="0" collapsed="false">
      <c r="A141" s="13" t="n">
        <f aca="false">1+A140</f>
        <v>139</v>
      </c>
      <c r="B141" s="17" t="n">
        <v>1009578864</v>
      </c>
      <c r="C141" s="17" t="s">
        <v>139</v>
      </c>
      <c r="D141" s="17" t="s">
        <v>86</v>
      </c>
      <c r="E141" s="17" t="s">
        <v>47</v>
      </c>
      <c r="F141" s="18" t="s">
        <v>34</v>
      </c>
      <c r="G141" s="19" t="n">
        <v>954166156271</v>
      </c>
      <c r="H141" s="17" t="s">
        <v>134</v>
      </c>
      <c r="I141" s="17" t="s">
        <v>44</v>
      </c>
      <c r="J141" s="17" t="s">
        <v>106</v>
      </c>
      <c r="K141" s="17" t="str">
        <f aca="false">VLOOKUP(J141,Sheet2!A:B,2,0)</f>
        <v>PRAKASH CHAVDA</v>
      </c>
      <c r="L141" s="17" t="n">
        <v>5</v>
      </c>
      <c r="M141" s="17" t="str">
        <f aca="false">VLOOKUP(L141,Sheet2!D:E,2,0)</f>
        <v>Main Processor CPU BGA</v>
      </c>
      <c r="N141" s="17" t="n">
        <v>1</v>
      </c>
      <c r="O141" s="17" t="str">
        <f aca="false">VLOOKUP(N141,Sheet2!G:H,2,0)</f>
        <v>Dead</v>
      </c>
      <c r="P141" s="17" t="n">
        <v>12</v>
      </c>
      <c r="Q141" s="17" t="str">
        <f aca="false">VLOOKUP(P141,Sheet2!J:K,2,0)</f>
        <v>IR Declared due to Others ( IR Normal)TB</v>
      </c>
      <c r="R141" s="17" t="s">
        <v>35</v>
      </c>
      <c r="S141" s="17" t="str">
        <f aca="false">VLOOKUP(R141,Sheet2!N:O,2,0)</f>
        <v>IREPARABLE</v>
      </c>
      <c r="T141" s="18" t="str">
        <f aca="false">VLOOKUP(P141,Sheet2!Q:R,2,0)</f>
        <v>IR Normal - BER to IR</v>
      </c>
      <c r="U141" s="20" t="s">
        <v>135</v>
      </c>
      <c r="V141" s="17" t="n">
        <v>12</v>
      </c>
      <c r="W141" s="20" t="str">
        <f aca="false">VLOOKUP(V141,Sheet2!Q:R,2,0)</f>
        <v>IR Normal - BER to IR</v>
      </c>
      <c r="X141" s="17" t="str">
        <f aca="false">J141</f>
        <v>A018</v>
      </c>
      <c r="Y141" s="17" t="str">
        <f aca="false">VLOOKUP(X141,Sheet2!A:B,2,0)</f>
        <v>PRAKASH CHAVDA</v>
      </c>
      <c r="Z141" s="17" t="s">
        <v>150</v>
      </c>
      <c r="AA141" s="17" t="s">
        <v>163</v>
      </c>
      <c r="AB141" s="17" t="s">
        <v>41</v>
      </c>
      <c r="AC141" s="0" t="str">
        <f aca="false">LEFT(G141,2)</f>
        <v>95</v>
      </c>
      <c r="AD141" s="0"/>
      <c r="AE141" s="21" t="s">
        <v>42</v>
      </c>
    </row>
    <row r="142" customFormat="false" ht="15" hidden="false" customHeight="false" outlineLevel="0" collapsed="false">
      <c r="A142" s="13" t="n">
        <f aca="false">1+A141</f>
        <v>140</v>
      </c>
      <c r="B142" s="17" t="n">
        <v>1009575455</v>
      </c>
      <c r="C142" s="17" t="s">
        <v>104</v>
      </c>
      <c r="D142" s="17" t="s">
        <v>32</v>
      </c>
      <c r="E142" s="17" t="s">
        <v>47</v>
      </c>
      <c r="F142" s="18" t="s">
        <v>34</v>
      </c>
      <c r="G142" s="19" t="n">
        <v>985317346684</v>
      </c>
      <c r="H142" s="17" t="s">
        <v>134</v>
      </c>
      <c r="I142" s="17" t="s">
        <v>44</v>
      </c>
      <c r="J142" s="17" t="s">
        <v>106</v>
      </c>
      <c r="K142" s="17" t="str">
        <f aca="false">VLOOKUP(J142,Sheet2!A:B,2,0)</f>
        <v>PRAKASH CHAVDA</v>
      </c>
      <c r="L142" s="17" t="n">
        <v>5</v>
      </c>
      <c r="M142" s="17" t="str">
        <f aca="false">VLOOKUP(L142,Sheet2!D:E,2,0)</f>
        <v>Main Processor CPU BGA</v>
      </c>
      <c r="N142" s="17" t="n">
        <v>1</v>
      </c>
      <c r="O142" s="17" t="str">
        <f aca="false">VLOOKUP(N142,Sheet2!G:H,2,0)</f>
        <v>Dead</v>
      </c>
      <c r="P142" s="17" t="n">
        <v>12</v>
      </c>
      <c r="Q142" s="17" t="str">
        <f aca="false">VLOOKUP(P142,Sheet2!J:K,2,0)</f>
        <v>IR Declared due to Others ( IR Normal)TB</v>
      </c>
      <c r="R142" s="17" t="s">
        <v>35</v>
      </c>
      <c r="S142" s="17" t="str">
        <f aca="false">VLOOKUP(R142,Sheet2!N:O,2,0)</f>
        <v>IREPARABLE</v>
      </c>
      <c r="T142" s="18" t="str">
        <f aca="false">VLOOKUP(P142,Sheet2!Q:R,2,0)</f>
        <v>IR Normal - BER to IR</v>
      </c>
      <c r="U142" s="20" t="s">
        <v>135</v>
      </c>
      <c r="V142" s="17" t="n">
        <v>12</v>
      </c>
      <c r="W142" s="20" t="str">
        <f aca="false">VLOOKUP(V142,Sheet2!Q:R,2,0)</f>
        <v>IR Normal - BER to IR</v>
      </c>
      <c r="X142" s="17" t="str">
        <f aca="false">J142</f>
        <v>A018</v>
      </c>
      <c r="Y142" s="17" t="str">
        <f aca="false">VLOOKUP(X142,Sheet2!A:B,2,0)</f>
        <v>PRAKASH CHAVDA</v>
      </c>
      <c r="Z142" s="17" t="s">
        <v>173</v>
      </c>
      <c r="AA142" s="17" t="s">
        <v>163</v>
      </c>
      <c r="AB142" s="17" t="s">
        <v>41</v>
      </c>
      <c r="AC142" s="0" t="str">
        <f aca="false">LEFT(G142,2)</f>
        <v>98</v>
      </c>
      <c r="AD142" s="0"/>
      <c r="AE142" s="21" t="s">
        <v>42</v>
      </c>
    </row>
    <row r="143" customFormat="false" ht="15" hidden="false" customHeight="false" outlineLevel="0" collapsed="false">
      <c r="A143" s="13" t="n">
        <f aca="false">1+A142</f>
        <v>141</v>
      </c>
      <c r="B143" s="17" t="n">
        <v>1009582913</v>
      </c>
      <c r="C143" s="17" t="s">
        <v>139</v>
      </c>
      <c r="D143" s="17" t="s">
        <v>64</v>
      </c>
      <c r="E143" s="17" t="s">
        <v>178</v>
      </c>
      <c r="F143" s="18" t="s">
        <v>34</v>
      </c>
      <c r="G143" s="19" t="n">
        <v>651089007835</v>
      </c>
      <c r="H143" s="17" t="s">
        <v>134</v>
      </c>
      <c r="I143" s="17" t="s">
        <v>50</v>
      </c>
      <c r="J143" s="17" t="s">
        <v>106</v>
      </c>
      <c r="K143" s="17" t="str">
        <f aca="false">VLOOKUP(J143,Sheet2!A:B,2,0)</f>
        <v>PRAKASH CHAVDA</v>
      </c>
      <c r="L143" s="17" t="n">
        <v>5</v>
      </c>
      <c r="M143" s="17" t="str">
        <f aca="false">VLOOKUP(L143,Sheet2!D:E,2,0)</f>
        <v>Main Processor CPU BGA</v>
      </c>
      <c r="N143" s="17" t="n">
        <v>1</v>
      </c>
      <c r="O143" s="17" t="str">
        <f aca="false">VLOOKUP(N143,Sheet2!G:H,2,0)</f>
        <v>Dead</v>
      </c>
      <c r="P143" s="17" t="n">
        <v>12</v>
      </c>
      <c r="Q143" s="17" t="str">
        <f aca="false">VLOOKUP(P143,Sheet2!J:K,2,0)</f>
        <v>IR Declared due to Others ( IR Normal)TB</v>
      </c>
      <c r="R143" s="17" t="s">
        <v>35</v>
      </c>
      <c r="S143" s="17" t="str">
        <f aca="false">VLOOKUP(R143,Sheet2!N:O,2,0)</f>
        <v>IREPARABLE</v>
      </c>
      <c r="T143" s="18" t="str">
        <f aca="false">VLOOKUP(P143,Sheet2!Q:R,2,0)</f>
        <v>IR Normal - BER to IR</v>
      </c>
      <c r="U143" s="20" t="s">
        <v>135</v>
      </c>
      <c r="V143" s="17" t="n">
        <v>12</v>
      </c>
      <c r="W143" s="20" t="str">
        <f aca="false">VLOOKUP(V143,Sheet2!Q:R,2,0)</f>
        <v>IR Normal - BER to IR</v>
      </c>
      <c r="X143" s="17" t="str">
        <f aca="false">J143</f>
        <v>A018</v>
      </c>
      <c r="Y143" s="17" t="str">
        <f aca="false">VLOOKUP(X143,Sheet2!A:B,2,0)</f>
        <v>PRAKASH CHAVDA</v>
      </c>
      <c r="Z143" s="17" t="s">
        <v>149</v>
      </c>
      <c r="AA143" s="17" t="s">
        <v>163</v>
      </c>
      <c r="AB143" s="17" t="s">
        <v>41</v>
      </c>
      <c r="AC143" s="0" t="str">
        <f aca="false">LEFT(G143,2)</f>
        <v>65</v>
      </c>
      <c r="AD143" s="0"/>
      <c r="AE143" s="21" t="s">
        <v>42</v>
      </c>
    </row>
    <row r="144" customFormat="false" ht="15" hidden="false" customHeight="false" outlineLevel="0" collapsed="false">
      <c r="A144" s="13" t="n">
        <f aca="false">1+A143</f>
        <v>142</v>
      </c>
      <c r="B144" s="17" t="n">
        <v>1009427277</v>
      </c>
      <c r="C144" s="17" t="s">
        <v>179</v>
      </c>
      <c r="D144" s="17" t="s">
        <v>180</v>
      </c>
      <c r="E144" s="17" t="s">
        <v>33</v>
      </c>
      <c r="F144" s="18" t="s">
        <v>34</v>
      </c>
      <c r="G144" s="19" t="n">
        <v>652040017160</v>
      </c>
      <c r="H144" s="17" t="s">
        <v>134</v>
      </c>
      <c r="I144" s="17" t="s">
        <v>50</v>
      </c>
      <c r="J144" s="17" t="s">
        <v>106</v>
      </c>
      <c r="K144" s="17" t="str">
        <f aca="false">VLOOKUP(J144,Sheet2!A:B,2,0)</f>
        <v>PRAKASH CHAVDA</v>
      </c>
      <c r="L144" s="17" t="n">
        <v>5</v>
      </c>
      <c r="M144" s="17" t="str">
        <f aca="false">VLOOKUP(L144,Sheet2!D:E,2,0)</f>
        <v>Main Processor CPU BGA</v>
      </c>
      <c r="N144" s="17" t="n">
        <v>28</v>
      </c>
      <c r="O144" s="17" t="str">
        <f aca="false">VLOOKUP(N144,Sheet2!G:H,2,0)</f>
        <v>Hang and Freeze video - AV</v>
      </c>
      <c r="P144" s="17" t="n">
        <v>12</v>
      </c>
      <c r="Q144" s="17" t="str">
        <f aca="false">VLOOKUP(P144,Sheet2!J:K,2,0)</f>
        <v>IR Declared due to Others ( IR Normal)TB</v>
      </c>
      <c r="R144" s="17" t="s">
        <v>35</v>
      </c>
      <c r="S144" s="17" t="str">
        <f aca="false">VLOOKUP(R144,Sheet2!N:O,2,0)</f>
        <v>IREPARABLE</v>
      </c>
      <c r="T144" s="18" t="str">
        <f aca="false">VLOOKUP(P144,Sheet2!Q:R,2,0)</f>
        <v>IR Normal - BER to IR</v>
      </c>
      <c r="U144" s="20" t="s">
        <v>135</v>
      </c>
      <c r="V144" s="17" t="n">
        <v>12</v>
      </c>
      <c r="W144" s="20" t="str">
        <f aca="false">VLOOKUP(V144,Sheet2!Q:R,2,0)</f>
        <v>IR Normal - BER to IR</v>
      </c>
      <c r="X144" s="17" t="str">
        <f aca="false">J144</f>
        <v>A018</v>
      </c>
      <c r="Y144" s="17" t="str">
        <f aca="false">VLOOKUP(X144,Sheet2!A:B,2,0)</f>
        <v>PRAKASH CHAVDA</v>
      </c>
      <c r="Z144" s="17" t="s">
        <v>149</v>
      </c>
      <c r="AA144" s="17" t="s">
        <v>163</v>
      </c>
      <c r="AB144" s="17" t="s">
        <v>41</v>
      </c>
      <c r="AC144" s="0" t="str">
        <f aca="false">LEFT(G144,2)</f>
        <v>65</v>
      </c>
      <c r="AD144" s="0"/>
      <c r="AE144" s="21" t="s">
        <v>42</v>
      </c>
    </row>
    <row r="145" customFormat="false" ht="15" hidden="false" customHeight="false" outlineLevel="0" collapsed="false">
      <c r="A145" s="13" t="n">
        <f aca="false">1+A144</f>
        <v>143</v>
      </c>
      <c r="B145" s="17" t="n">
        <v>1009586839</v>
      </c>
      <c r="C145" s="17" t="s">
        <v>139</v>
      </c>
      <c r="D145" s="17" t="s">
        <v>64</v>
      </c>
      <c r="E145" s="17" t="s">
        <v>47</v>
      </c>
      <c r="F145" s="18" t="s">
        <v>34</v>
      </c>
      <c r="G145" s="19" t="n">
        <v>651308001627</v>
      </c>
      <c r="H145" s="17" t="s">
        <v>134</v>
      </c>
      <c r="I145" s="17" t="s">
        <v>50</v>
      </c>
      <c r="J145" s="17" t="s">
        <v>106</v>
      </c>
      <c r="K145" s="17" t="str">
        <f aca="false">VLOOKUP(J145,Sheet2!A:B,2,0)</f>
        <v>PRAKASH CHAVDA</v>
      </c>
      <c r="L145" s="17" t="n">
        <v>5</v>
      </c>
      <c r="M145" s="17" t="str">
        <f aca="false">VLOOKUP(L145,Sheet2!D:E,2,0)</f>
        <v>Main Processor CPU BGA</v>
      </c>
      <c r="N145" s="17" t="n">
        <v>1</v>
      </c>
      <c r="O145" s="17" t="str">
        <f aca="false">VLOOKUP(N145,Sheet2!G:H,2,0)</f>
        <v>Dead</v>
      </c>
      <c r="P145" s="17" t="n">
        <v>12</v>
      </c>
      <c r="Q145" s="17" t="str">
        <f aca="false">VLOOKUP(P145,Sheet2!J:K,2,0)</f>
        <v>IR Declared due to Others ( IR Normal)TB</v>
      </c>
      <c r="R145" s="17" t="s">
        <v>35</v>
      </c>
      <c r="S145" s="17" t="str">
        <f aca="false">VLOOKUP(R145,Sheet2!N:O,2,0)</f>
        <v>IREPARABLE</v>
      </c>
      <c r="T145" s="18" t="str">
        <f aca="false">VLOOKUP(P145,Sheet2!Q:R,2,0)</f>
        <v>IR Normal - BER to IR</v>
      </c>
      <c r="U145" s="20" t="s">
        <v>135</v>
      </c>
      <c r="V145" s="17" t="n">
        <v>12</v>
      </c>
      <c r="W145" s="20" t="str">
        <f aca="false">VLOOKUP(V145,Sheet2!Q:R,2,0)</f>
        <v>IR Normal - BER to IR</v>
      </c>
      <c r="X145" s="17" t="str">
        <f aca="false">J145</f>
        <v>A018</v>
      </c>
      <c r="Y145" s="17" t="str">
        <f aca="false">VLOOKUP(X145,Sheet2!A:B,2,0)</f>
        <v>PRAKASH CHAVDA</v>
      </c>
      <c r="Z145" s="17" t="s">
        <v>149</v>
      </c>
      <c r="AA145" s="17" t="s">
        <v>163</v>
      </c>
      <c r="AB145" s="17" t="s">
        <v>41</v>
      </c>
      <c r="AC145" s="0" t="str">
        <f aca="false">LEFT(G145,2)</f>
        <v>65</v>
      </c>
      <c r="AD145" s="0"/>
      <c r="AE145" s="21" t="s">
        <v>42</v>
      </c>
    </row>
    <row r="146" customFormat="false" ht="15" hidden="false" customHeight="false" outlineLevel="0" collapsed="false">
      <c r="A146" s="13" t="n">
        <f aca="false">1+A145</f>
        <v>144</v>
      </c>
      <c r="B146" s="17" t="n">
        <v>1009507798</v>
      </c>
      <c r="C146" s="17" t="s">
        <v>181</v>
      </c>
      <c r="D146" s="17" t="s">
        <v>64</v>
      </c>
      <c r="E146" s="17" t="s">
        <v>64</v>
      </c>
      <c r="F146" s="18" t="s">
        <v>70</v>
      </c>
      <c r="G146" s="19" t="n">
        <v>651152009379</v>
      </c>
      <c r="H146" s="17" t="s">
        <v>134</v>
      </c>
      <c r="I146" s="17" t="s">
        <v>50</v>
      </c>
      <c r="J146" s="17" t="s">
        <v>106</v>
      </c>
      <c r="K146" s="17" t="str">
        <f aca="false">VLOOKUP(J146,Sheet2!A:B,2,0)</f>
        <v>PRAKASH CHAVDA</v>
      </c>
      <c r="L146" s="17" t="n">
        <v>5</v>
      </c>
      <c r="M146" s="17" t="str">
        <f aca="false">VLOOKUP(L146,Sheet2!D:E,2,0)</f>
        <v>Main Processor CPU BGA</v>
      </c>
      <c r="N146" s="17" t="n">
        <v>1</v>
      </c>
      <c r="O146" s="17" t="str">
        <f aca="false">VLOOKUP(N146,Sheet2!G:H,2,0)</f>
        <v>Dead</v>
      </c>
      <c r="P146" s="17" t="n">
        <v>12</v>
      </c>
      <c r="Q146" s="17" t="str">
        <f aca="false">VLOOKUP(P146,Sheet2!J:K,2,0)</f>
        <v>IR Declared due to Others ( IR Normal)TB</v>
      </c>
      <c r="R146" s="17" t="s">
        <v>35</v>
      </c>
      <c r="S146" s="17" t="str">
        <f aca="false">VLOOKUP(R146,Sheet2!N:O,2,0)</f>
        <v>IREPARABLE</v>
      </c>
      <c r="T146" s="18" t="str">
        <f aca="false">VLOOKUP(P146,Sheet2!Q:R,2,0)</f>
        <v>IR Normal - BER to IR</v>
      </c>
      <c r="U146" s="20" t="s">
        <v>135</v>
      </c>
      <c r="V146" s="17" t="n">
        <v>12</v>
      </c>
      <c r="W146" s="20" t="str">
        <f aca="false">VLOOKUP(V146,Sheet2!Q:R,2,0)</f>
        <v>IR Normal - BER to IR</v>
      </c>
      <c r="X146" s="17" t="s">
        <v>106</v>
      </c>
      <c r="Y146" s="17" t="str">
        <f aca="false">VLOOKUP(X146,Sheet2!A:B,2,0)</f>
        <v>PRAKASH CHAVDA</v>
      </c>
      <c r="Z146" s="17" t="s">
        <v>149</v>
      </c>
      <c r="AA146" s="17" t="s">
        <v>182</v>
      </c>
      <c r="AB146" s="17" t="s">
        <v>41</v>
      </c>
      <c r="AC146" s="0" t="str">
        <f aca="false">LEFT(G146,2)</f>
        <v>65</v>
      </c>
      <c r="AD146" s="0"/>
      <c r="AE146" s="21" t="s">
        <v>42</v>
      </c>
    </row>
    <row r="147" customFormat="false" ht="15" hidden="false" customHeight="false" outlineLevel="0" collapsed="false">
      <c r="A147" s="13" t="n">
        <f aca="false">1+A146</f>
        <v>145</v>
      </c>
      <c r="B147" s="17" t="n">
        <v>1009603403</v>
      </c>
      <c r="C147" s="17" t="s">
        <v>181</v>
      </c>
      <c r="D147" s="17" t="s">
        <v>183</v>
      </c>
      <c r="E147" s="17" t="s">
        <v>47</v>
      </c>
      <c r="F147" s="18" t="s">
        <v>34</v>
      </c>
      <c r="G147" s="19" t="n">
        <v>651162018535</v>
      </c>
      <c r="H147" s="17" t="s">
        <v>134</v>
      </c>
      <c r="I147" s="17" t="s">
        <v>50</v>
      </c>
      <c r="J147" s="17" t="s">
        <v>106</v>
      </c>
      <c r="K147" s="17" t="str">
        <f aca="false">VLOOKUP(J147,Sheet2!A:B,2,0)</f>
        <v>PRAKASH CHAVDA</v>
      </c>
      <c r="L147" s="17" t="n">
        <v>5</v>
      </c>
      <c r="M147" s="17" t="str">
        <f aca="false">VLOOKUP(L147,Sheet2!D:E,2,0)</f>
        <v>Main Processor CPU BGA</v>
      </c>
      <c r="N147" s="17" t="n">
        <v>1</v>
      </c>
      <c r="O147" s="17" t="str">
        <f aca="false">VLOOKUP(N147,Sheet2!G:H,2,0)</f>
        <v>Dead</v>
      </c>
      <c r="P147" s="17" t="n">
        <v>12</v>
      </c>
      <c r="Q147" s="17" t="str">
        <f aca="false">VLOOKUP(P147,Sheet2!J:K,2,0)</f>
        <v>IR Declared due to Others ( IR Normal)TB</v>
      </c>
      <c r="R147" s="17" t="s">
        <v>35</v>
      </c>
      <c r="S147" s="17" t="str">
        <f aca="false">VLOOKUP(R147,Sheet2!N:O,2,0)</f>
        <v>IREPARABLE</v>
      </c>
      <c r="T147" s="18" t="str">
        <f aca="false">VLOOKUP(P147,Sheet2!Q:R,2,0)</f>
        <v>IR Normal - BER to IR</v>
      </c>
      <c r="U147" s="20" t="s">
        <v>135</v>
      </c>
      <c r="V147" s="17" t="n">
        <v>12</v>
      </c>
      <c r="W147" s="20" t="str">
        <f aca="false">VLOOKUP(V147,Sheet2!Q:R,2,0)</f>
        <v>IR Normal - BER to IR</v>
      </c>
      <c r="X147" s="17" t="s">
        <v>106</v>
      </c>
      <c r="Y147" s="17" t="str">
        <f aca="false">VLOOKUP(X147,Sheet2!A:B,2,0)</f>
        <v>PRAKASH CHAVDA</v>
      </c>
      <c r="Z147" s="17" t="s">
        <v>149</v>
      </c>
      <c r="AA147" s="17" t="s">
        <v>182</v>
      </c>
      <c r="AB147" s="17" t="s">
        <v>41</v>
      </c>
      <c r="AC147" s="0" t="str">
        <f aca="false">LEFT(G147,2)</f>
        <v>65</v>
      </c>
      <c r="AD147" s="0"/>
      <c r="AE147" s="21" t="s">
        <v>42</v>
      </c>
    </row>
    <row r="148" customFormat="false" ht="15" hidden="false" customHeight="false" outlineLevel="0" collapsed="false">
      <c r="A148" s="13" t="n">
        <f aca="false">1+A147</f>
        <v>146</v>
      </c>
      <c r="B148" s="17" t="n">
        <v>1009602192</v>
      </c>
      <c r="C148" s="17" t="s">
        <v>146</v>
      </c>
      <c r="D148" s="17" t="s">
        <v>64</v>
      </c>
      <c r="E148" s="17" t="s">
        <v>64</v>
      </c>
      <c r="F148" s="18" t="s">
        <v>70</v>
      </c>
      <c r="G148" s="19" t="n">
        <v>651017000282</v>
      </c>
      <c r="H148" s="17" t="s">
        <v>134</v>
      </c>
      <c r="I148" s="17" t="s">
        <v>50</v>
      </c>
      <c r="J148" s="17" t="s">
        <v>106</v>
      </c>
      <c r="K148" s="17" t="str">
        <f aca="false">VLOOKUP(J148,Sheet2!A:B,2,0)</f>
        <v>PRAKASH CHAVDA</v>
      </c>
      <c r="L148" s="17" t="n">
        <v>5</v>
      </c>
      <c r="M148" s="17" t="str">
        <f aca="false">VLOOKUP(L148,Sheet2!D:E,2,0)</f>
        <v>Main Processor CPU BGA</v>
      </c>
      <c r="N148" s="17" t="n">
        <v>1</v>
      </c>
      <c r="O148" s="17" t="str">
        <f aca="false">VLOOKUP(N148,Sheet2!G:H,2,0)</f>
        <v>Dead</v>
      </c>
      <c r="P148" s="17" t="n">
        <v>12</v>
      </c>
      <c r="Q148" s="17" t="str">
        <f aca="false">VLOOKUP(P148,Sheet2!J:K,2,0)</f>
        <v>IR Declared due to Others ( IR Normal)TB</v>
      </c>
      <c r="R148" s="17" t="s">
        <v>35</v>
      </c>
      <c r="S148" s="17" t="str">
        <f aca="false">VLOOKUP(R148,Sheet2!N:O,2,0)</f>
        <v>IREPARABLE</v>
      </c>
      <c r="T148" s="18" t="str">
        <f aca="false">VLOOKUP(P148,Sheet2!Q:R,2,0)</f>
        <v>IR Normal - BER to IR</v>
      </c>
      <c r="U148" s="20" t="s">
        <v>135</v>
      </c>
      <c r="V148" s="17" t="n">
        <v>12</v>
      </c>
      <c r="W148" s="20" t="str">
        <f aca="false">VLOOKUP(V148,Sheet2!Q:R,2,0)</f>
        <v>IR Normal - BER to IR</v>
      </c>
      <c r="X148" s="17" t="s">
        <v>106</v>
      </c>
      <c r="Y148" s="17" t="str">
        <f aca="false">VLOOKUP(X148,Sheet2!A:B,2,0)</f>
        <v>PRAKASH CHAVDA</v>
      </c>
      <c r="Z148" s="17" t="s">
        <v>149</v>
      </c>
      <c r="AA148" s="17" t="s">
        <v>182</v>
      </c>
      <c r="AB148" s="17" t="s">
        <v>41</v>
      </c>
      <c r="AC148" s="0" t="str">
        <f aca="false">LEFT(G148,2)</f>
        <v>65</v>
      </c>
      <c r="AD148" s="0"/>
      <c r="AE148" s="21" t="s">
        <v>42</v>
      </c>
    </row>
    <row r="149" customFormat="false" ht="15" hidden="false" customHeight="false" outlineLevel="0" collapsed="false">
      <c r="A149" s="13" t="n">
        <f aca="false">1+A148</f>
        <v>147</v>
      </c>
      <c r="B149" s="17" t="n">
        <v>1009583980</v>
      </c>
      <c r="C149" s="17" t="s">
        <v>139</v>
      </c>
      <c r="D149" s="17" t="s">
        <v>60</v>
      </c>
      <c r="E149" s="17" t="s">
        <v>47</v>
      </c>
      <c r="F149" s="18" t="s">
        <v>34</v>
      </c>
      <c r="G149" s="19" t="n">
        <v>651103011466</v>
      </c>
      <c r="H149" s="17" t="s">
        <v>134</v>
      </c>
      <c r="I149" s="17" t="s">
        <v>50</v>
      </c>
      <c r="J149" s="17" t="s">
        <v>106</v>
      </c>
      <c r="K149" s="17" t="str">
        <f aca="false">VLOOKUP(J149,Sheet2!A:B,2,0)</f>
        <v>PRAKASH CHAVDA</v>
      </c>
      <c r="L149" s="17" t="n">
        <v>5</v>
      </c>
      <c r="M149" s="17" t="str">
        <f aca="false">VLOOKUP(L149,Sheet2!D:E,2,0)</f>
        <v>Main Processor CPU BGA</v>
      </c>
      <c r="N149" s="17" t="n">
        <v>1</v>
      </c>
      <c r="O149" s="17" t="str">
        <f aca="false">VLOOKUP(N149,Sheet2!G:H,2,0)</f>
        <v>Dead</v>
      </c>
      <c r="P149" s="17" t="n">
        <v>12</v>
      </c>
      <c r="Q149" s="17" t="str">
        <f aca="false">VLOOKUP(P149,Sheet2!J:K,2,0)</f>
        <v>IR Declared due to Others ( IR Normal)TB</v>
      </c>
      <c r="R149" s="17" t="s">
        <v>35</v>
      </c>
      <c r="S149" s="17" t="str">
        <f aca="false">VLOOKUP(R149,Sheet2!N:O,2,0)</f>
        <v>IREPARABLE</v>
      </c>
      <c r="T149" s="18" t="str">
        <f aca="false">VLOOKUP(P149,Sheet2!Q:R,2,0)</f>
        <v>IR Normal - BER to IR</v>
      </c>
      <c r="U149" s="20" t="s">
        <v>135</v>
      </c>
      <c r="V149" s="17" t="n">
        <v>12</v>
      </c>
      <c r="W149" s="20" t="str">
        <f aca="false">VLOOKUP(V149,Sheet2!Q:R,2,0)</f>
        <v>IR Normal - BER to IR</v>
      </c>
      <c r="X149" s="17" t="s">
        <v>106</v>
      </c>
      <c r="Y149" s="17" t="str">
        <f aca="false">VLOOKUP(X149,Sheet2!A:B,2,0)</f>
        <v>PRAKASH CHAVDA</v>
      </c>
      <c r="Z149" s="17" t="s">
        <v>149</v>
      </c>
      <c r="AA149" s="17" t="s">
        <v>182</v>
      </c>
      <c r="AB149" s="17" t="s">
        <v>41</v>
      </c>
      <c r="AC149" s="0" t="str">
        <f aca="false">LEFT(G149,2)</f>
        <v>65</v>
      </c>
      <c r="AD149" s="0"/>
      <c r="AE149" s="21" t="s">
        <v>42</v>
      </c>
    </row>
    <row r="150" customFormat="false" ht="15" hidden="false" customHeight="false" outlineLevel="0" collapsed="false">
      <c r="A150" s="13" t="n">
        <f aca="false">1+A149</f>
        <v>148</v>
      </c>
      <c r="B150" s="17" t="n">
        <v>1009611268</v>
      </c>
      <c r="C150" s="17" t="s">
        <v>181</v>
      </c>
      <c r="D150" s="17" t="s">
        <v>64</v>
      </c>
      <c r="E150" s="17" t="s">
        <v>47</v>
      </c>
      <c r="F150" s="18" t="s">
        <v>34</v>
      </c>
      <c r="G150" s="19" t="n">
        <v>651119015444</v>
      </c>
      <c r="H150" s="17" t="s">
        <v>134</v>
      </c>
      <c r="I150" s="17" t="s">
        <v>50</v>
      </c>
      <c r="J150" s="17" t="s">
        <v>106</v>
      </c>
      <c r="K150" s="17" t="str">
        <f aca="false">VLOOKUP(J150,Sheet2!A:B,2,0)</f>
        <v>PRAKASH CHAVDA</v>
      </c>
      <c r="L150" s="17" t="n">
        <v>5</v>
      </c>
      <c r="M150" s="17" t="str">
        <f aca="false">VLOOKUP(L150,Sheet2!D:E,2,0)</f>
        <v>Main Processor CPU BGA</v>
      </c>
      <c r="N150" s="17" t="n">
        <v>1</v>
      </c>
      <c r="O150" s="17" t="str">
        <f aca="false">VLOOKUP(N150,Sheet2!G:H,2,0)</f>
        <v>Dead</v>
      </c>
      <c r="P150" s="17" t="n">
        <v>12</v>
      </c>
      <c r="Q150" s="17" t="str">
        <f aca="false">VLOOKUP(P150,Sheet2!J:K,2,0)</f>
        <v>IR Declared due to Others ( IR Normal)TB</v>
      </c>
      <c r="R150" s="17" t="s">
        <v>35</v>
      </c>
      <c r="S150" s="17" t="str">
        <f aca="false">VLOOKUP(R150,Sheet2!N:O,2,0)</f>
        <v>IREPARABLE</v>
      </c>
      <c r="T150" s="18" t="str">
        <f aca="false">VLOOKUP(P150,Sheet2!Q:R,2,0)</f>
        <v>IR Normal - BER to IR</v>
      </c>
      <c r="U150" s="20" t="s">
        <v>135</v>
      </c>
      <c r="V150" s="17" t="n">
        <v>12</v>
      </c>
      <c r="W150" s="20" t="str">
        <f aca="false">VLOOKUP(V150,Sheet2!Q:R,2,0)</f>
        <v>IR Normal - BER to IR</v>
      </c>
      <c r="X150" s="17" t="s">
        <v>106</v>
      </c>
      <c r="Y150" s="17" t="str">
        <f aca="false">VLOOKUP(X150,Sheet2!A:B,2,0)</f>
        <v>PRAKASH CHAVDA</v>
      </c>
      <c r="Z150" s="17" t="s">
        <v>149</v>
      </c>
      <c r="AA150" s="17" t="s">
        <v>182</v>
      </c>
      <c r="AB150" s="17" t="s">
        <v>41</v>
      </c>
      <c r="AC150" s="0" t="str">
        <f aca="false">LEFT(G150,2)</f>
        <v>65</v>
      </c>
      <c r="AD150" s="0"/>
      <c r="AE150" s="21" t="s">
        <v>42</v>
      </c>
    </row>
    <row r="151" customFormat="false" ht="15" hidden="false" customHeight="false" outlineLevel="0" collapsed="false">
      <c r="A151" s="13" t="n">
        <f aca="false">1+A150</f>
        <v>149</v>
      </c>
      <c r="B151" s="17" t="n">
        <v>1009602917</v>
      </c>
      <c r="C151" s="17" t="s">
        <v>159</v>
      </c>
      <c r="D151" s="17" t="s">
        <v>157</v>
      </c>
      <c r="E151" s="17" t="s">
        <v>114</v>
      </c>
      <c r="F151" s="18" t="s">
        <v>34</v>
      </c>
      <c r="G151" s="19" t="n">
        <v>651298005893</v>
      </c>
      <c r="H151" s="17" t="s">
        <v>134</v>
      </c>
      <c r="I151" s="17" t="s">
        <v>50</v>
      </c>
      <c r="J151" s="17" t="s">
        <v>106</v>
      </c>
      <c r="K151" s="17" t="str">
        <f aca="false">VLOOKUP(J151,Sheet2!A:B,2,0)</f>
        <v>PRAKASH CHAVDA</v>
      </c>
      <c r="L151" s="17" t="n">
        <v>5</v>
      </c>
      <c r="M151" s="17" t="str">
        <f aca="false">VLOOKUP(L151,Sheet2!D:E,2,0)</f>
        <v>Main Processor CPU BGA</v>
      </c>
      <c r="N151" s="17" t="n">
        <v>36</v>
      </c>
      <c r="O151" s="17" t="str">
        <f aca="false">VLOOKUP(N151,Sheet2!G:H,2,0)</f>
        <v>Error -1</v>
      </c>
      <c r="P151" s="17" t="n">
        <v>12</v>
      </c>
      <c r="Q151" s="17" t="str">
        <f aca="false">VLOOKUP(P151,Sheet2!J:K,2,0)</f>
        <v>IR Declared due to Others ( IR Normal)TB</v>
      </c>
      <c r="R151" s="17" t="s">
        <v>35</v>
      </c>
      <c r="S151" s="17" t="str">
        <f aca="false">VLOOKUP(R151,Sheet2!N:O,2,0)</f>
        <v>IREPARABLE</v>
      </c>
      <c r="T151" s="18" t="str">
        <f aca="false">VLOOKUP(P151,Sheet2!Q:R,2,0)</f>
        <v>IR Normal - BER to IR</v>
      </c>
      <c r="U151" s="20" t="s">
        <v>135</v>
      </c>
      <c r="V151" s="17" t="n">
        <v>12</v>
      </c>
      <c r="W151" s="20" t="str">
        <f aca="false">VLOOKUP(V151,Sheet2!Q:R,2,0)</f>
        <v>IR Normal - BER to IR</v>
      </c>
      <c r="X151" s="17" t="s">
        <v>106</v>
      </c>
      <c r="Y151" s="17" t="str">
        <f aca="false">VLOOKUP(X151,Sheet2!A:B,2,0)</f>
        <v>PRAKASH CHAVDA</v>
      </c>
      <c r="Z151" s="17" t="s">
        <v>149</v>
      </c>
      <c r="AA151" s="17" t="s">
        <v>182</v>
      </c>
      <c r="AB151" s="17" t="s">
        <v>41</v>
      </c>
      <c r="AC151" s="0" t="str">
        <f aca="false">LEFT(G151,2)</f>
        <v>65</v>
      </c>
      <c r="AD151" s="0"/>
      <c r="AE151" s="21" t="s">
        <v>42</v>
      </c>
    </row>
    <row r="152" customFormat="false" ht="15" hidden="false" customHeight="false" outlineLevel="0" collapsed="false">
      <c r="A152" s="13" t="n">
        <f aca="false">1+A151</f>
        <v>150</v>
      </c>
      <c r="B152" s="17" t="n">
        <v>1009603986</v>
      </c>
      <c r="C152" s="17" t="s">
        <v>184</v>
      </c>
      <c r="D152" s="17" t="s">
        <v>64</v>
      </c>
      <c r="E152" s="17" t="s">
        <v>64</v>
      </c>
      <c r="F152" s="18" t="s">
        <v>70</v>
      </c>
      <c r="G152" s="19" t="n">
        <v>651074031659</v>
      </c>
      <c r="H152" s="17" t="s">
        <v>134</v>
      </c>
      <c r="I152" s="17" t="s">
        <v>50</v>
      </c>
      <c r="J152" s="17" t="s">
        <v>106</v>
      </c>
      <c r="K152" s="17" t="str">
        <f aca="false">VLOOKUP(J152,Sheet2!A:B,2,0)</f>
        <v>PRAKASH CHAVDA</v>
      </c>
      <c r="L152" s="17" t="n">
        <v>5</v>
      </c>
      <c r="M152" s="17" t="str">
        <f aca="false">VLOOKUP(L152,Sheet2!D:E,2,0)</f>
        <v>Main Processor CPU BGA</v>
      </c>
      <c r="N152" s="17" t="n">
        <v>24</v>
      </c>
      <c r="O152" s="17" t="str">
        <f aca="false">VLOOKUP(N152,Sheet2!G:H,2,0)</f>
        <v>STB Auto moving -Stand by mode</v>
      </c>
      <c r="P152" s="17" t="n">
        <v>12</v>
      </c>
      <c r="Q152" s="17" t="str">
        <f aca="false">VLOOKUP(P152,Sheet2!J:K,2,0)</f>
        <v>IR Declared due to Others ( IR Normal)TB</v>
      </c>
      <c r="R152" s="17" t="s">
        <v>35</v>
      </c>
      <c r="S152" s="17" t="str">
        <f aca="false">VLOOKUP(R152,Sheet2!N:O,2,0)</f>
        <v>IREPARABLE</v>
      </c>
      <c r="T152" s="18" t="str">
        <f aca="false">VLOOKUP(P152,Sheet2!Q:R,2,0)</f>
        <v>IR Normal - BER to IR</v>
      </c>
      <c r="U152" s="20" t="s">
        <v>135</v>
      </c>
      <c r="V152" s="17" t="n">
        <v>12</v>
      </c>
      <c r="W152" s="20" t="str">
        <f aca="false">VLOOKUP(V152,Sheet2!Q:R,2,0)</f>
        <v>IR Normal - BER to IR</v>
      </c>
      <c r="X152" s="17" t="s">
        <v>106</v>
      </c>
      <c r="Y152" s="17" t="str">
        <f aca="false">VLOOKUP(X152,Sheet2!A:B,2,0)</f>
        <v>PRAKASH CHAVDA</v>
      </c>
      <c r="Z152" s="17" t="s">
        <v>149</v>
      </c>
      <c r="AA152" s="17" t="s">
        <v>182</v>
      </c>
      <c r="AB152" s="17" t="s">
        <v>41</v>
      </c>
      <c r="AC152" s="0" t="str">
        <f aca="false">LEFT(G152,2)</f>
        <v>65</v>
      </c>
      <c r="AD152" s="0"/>
      <c r="AE152" s="21" t="s">
        <v>42</v>
      </c>
    </row>
    <row r="153" customFormat="false" ht="15" hidden="false" customHeight="false" outlineLevel="0" collapsed="false">
      <c r="A153" s="13" t="n">
        <f aca="false">1+A152</f>
        <v>151</v>
      </c>
      <c r="B153" s="17" t="n">
        <v>1009611379</v>
      </c>
      <c r="C153" s="17" t="s">
        <v>181</v>
      </c>
      <c r="D153" s="17" t="s">
        <v>78</v>
      </c>
      <c r="E153" s="17" t="s">
        <v>178</v>
      </c>
      <c r="F153" s="18" t="s">
        <v>34</v>
      </c>
      <c r="G153" s="19" t="n">
        <v>651069016491</v>
      </c>
      <c r="H153" s="17" t="s">
        <v>134</v>
      </c>
      <c r="I153" s="17" t="s">
        <v>50</v>
      </c>
      <c r="J153" s="17" t="s">
        <v>106</v>
      </c>
      <c r="K153" s="17" t="str">
        <f aca="false">VLOOKUP(J153,Sheet2!A:B,2,0)</f>
        <v>PRAKASH CHAVDA</v>
      </c>
      <c r="L153" s="17" t="n">
        <v>5</v>
      </c>
      <c r="M153" s="17" t="str">
        <f aca="false">VLOOKUP(L153,Sheet2!D:E,2,0)</f>
        <v>Main Processor CPU BGA</v>
      </c>
      <c r="N153" s="17" t="n">
        <v>24</v>
      </c>
      <c r="O153" s="17" t="str">
        <f aca="false">VLOOKUP(N153,Sheet2!G:H,2,0)</f>
        <v>STB Auto moving -Stand by mode</v>
      </c>
      <c r="P153" s="17" t="n">
        <v>12</v>
      </c>
      <c r="Q153" s="17" t="str">
        <f aca="false">VLOOKUP(P153,Sheet2!J:K,2,0)</f>
        <v>IR Declared due to Others ( IR Normal)TB</v>
      </c>
      <c r="R153" s="17" t="s">
        <v>35</v>
      </c>
      <c r="S153" s="17" t="str">
        <f aca="false">VLOOKUP(R153,Sheet2!N:O,2,0)</f>
        <v>IREPARABLE</v>
      </c>
      <c r="T153" s="18" t="str">
        <f aca="false">VLOOKUP(P153,Sheet2!Q:R,2,0)</f>
        <v>IR Normal - BER to IR</v>
      </c>
      <c r="U153" s="20" t="s">
        <v>135</v>
      </c>
      <c r="V153" s="17" t="n">
        <v>12</v>
      </c>
      <c r="W153" s="20" t="str">
        <f aca="false">VLOOKUP(V153,Sheet2!Q:R,2,0)</f>
        <v>IR Normal - BER to IR</v>
      </c>
      <c r="X153" s="17" t="s">
        <v>106</v>
      </c>
      <c r="Y153" s="17" t="str">
        <f aca="false">VLOOKUP(X153,Sheet2!A:B,2,0)</f>
        <v>PRAKASH CHAVDA</v>
      </c>
      <c r="Z153" s="17" t="s">
        <v>149</v>
      </c>
      <c r="AA153" s="17" t="s">
        <v>182</v>
      </c>
      <c r="AB153" s="17" t="s">
        <v>41</v>
      </c>
      <c r="AC153" s="0" t="str">
        <f aca="false">LEFT(G153,2)</f>
        <v>65</v>
      </c>
      <c r="AD153" s="0"/>
      <c r="AE153" s="21" t="s">
        <v>42</v>
      </c>
    </row>
    <row r="154" customFormat="false" ht="15" hidden="false" customHeight="false" outlineLevel="0" collapsed="false">
      <c r="A154" s="13" t="n">
        <f aca="false">1+A153</f>
        <v>152</v>
      </c>
      <c r="B154" s="17" t="n">
        <v>1009611906</v>
      </c>
      <c r="C154" s="17" t="s">
        <v>181</v>
      </c>
      <c r="D154" s="17" t="s">
        <v>64</v>
      </c>
      <c r="E154" s="17" t="s">
        <v>91</v>
      </c>
      <c r="F154" s="18" t="s">
        <v>92</v>
      </c>
      <c r="G154" s="19" t="n">
        <v>651161011317</v>
      </c>
      <c r="H154" s="17" t="s">
        <v>134</v>
      </c>
      <c r="I154" s="17" t="s">
        <v>50</v>
      </c>
      <c r="J154" s="17" t="s">
        <v>106</v>
      </c>
      <c r="K154" s="17" t="str">
        <f aca="false">VLOOKUP(J154,Sheet2!A:B,2,0)</f>
        <v>PRAKASH CHAVDA</v>
      </c>
      <c r="L154" s="17" t="n">
        <v>5</v>
      </c>
      <c r="M154" s="17" t="str">
        <f aca="false">VLOOKUP(L154,Sheet2!D:E,2,0)</f>
        <v>Main Processor CPU BGA</v>
      </c>
      <c r="N154" s="17" t="n">
        <v>1</v>
      </c>
      <c r="O154" s="17" t="str">
        <f aca="false">VLOOKUP(N154,Sheet2!G:H,2,0)</f>
        <v>Dead</v>
      </c>
      <c r="P154" s="17" t="n">
        <v>12</v>
      </c>
      <c r="Q154" s="17" t="str">
        <f aca="false">VLOOKUP(P154,Sheet2!J:K,2,0)</f>
        <v>IR Declared due to Others ( IR Normal)TB</v>
      </c>
      <c r="R154" s="17" t="s">
        <v>35</v>
      </c>
      <c r="S154" s="17" t="str">
        <f aca="false">VLOOKUP(R154,Sheet2!N:O,2,0)</f>
        <v>IREPARABLE</v>
      </c>
      <c r="T154" s="18" t="str">
        <f aca="false">VLOOKUP(P154,Sheet2!Q:R,2,0)</f>
        <v>IR Normal - BER to IR</v>
      </c>
      <c r="U154" s="20" t="s">
        <v>135</v>
      </c>
      <c r="V154" s="17" t="n">
        <v>12</v>
      </c>
      <c r="W154" s="20" t="str">
        <f aca="false">VLOOKUP(V154,Sheet2!Q:R,2,0)</f>
        <v>IR Normal - BER to IR</v>
      </c>
      <c r="X154" s="17" t="s">
        <v>106</v>
      </c>
      <c r="Y154" s="17" t="str">
        <f aca="false">VLOOKUP(X154,Sheet2!A:B,2,0)</f>
        <v>PRAKASH CHAVDA</v>
      </c>
      <c r="Z154" s="17" t="s">
        <v>149</v>
      </c>
      <c r="AA154" s="17" t="s">
        <v>182</v>
      </c>
      <c r="AB154" s="17" t="s">
        <v>41</v>
      </c>
      <c r="AC154" s="0" t="str">
        <f aca="false">LEFT(G154,2)</f>
        <v>65</v>
      </c>
      <c r="AD154" s="0"/>
      <c r="AE154" s="21" t="s">
        <v>42</v>
      </c>
    </row>
    <row r="155" customFormat="false" ht="15" hidden="false" customHeight="false" outlineLevel="0" collapsed="false">
      <c r="A155" s="13" t="n">
        <f aca="false">1+A154</f>
        <v>153</v>
      </c>
      <c r="B155" s="17" t="n">
        <v>1009611921</v>
      </c>
      <c r="C155" s="17" t="s">
        <v>181</v>
      </c>
      <c r="D155" s="17" t="s">
        <v>64</v>
      </c>
      <c r="E155" s="17" t="s">
        <v>47</v>
      </c>
      <c r="F155" s="18" t="s">
        <v>34</v>
      </c>
      <c r="G155" s="19" t="n">
        <v>650176008912</v>
      </c>
      <c r="H155" s="17" t="s">
        <v>134</v>
      </c>
      <c r="I155" s="17" t="s">
        <v>50</v>
      </c>
      <c r="J155" s="17" t="s">
        <v>106</v>
      </c>
      <c r="K155" s="17" t="str">
        <f aca="false">VLOOKUP(J155,Sheet2!A:B,2,0)</f>
        <v>PRAKASH CHAVDA</v>
      </c>
      <c r="L155" s="17" t="n">
        <v>5</v>
      </c>
      <c r="M155" s="17" t="str">
        <f aca="false">VLOOKUP(L155,Sheet2!D:E,2,0)</f>
        <v>Main Processor CPU BGA</v>
      </c>
      <c r="N155" s="17" t="n">
        <v>1</v>
      </c>
      <c r="O155" s="17" t="str">
        <f aca="false">VLOOKUP(N155,Sheet2!G:H,2,0)</f>
        <v>Dead</v>
      </c>
      <c r="P155" s="17" t="n">
        <v>12</v>
      </c>
      <c r="Q155" s="17" t="str">
        <f aca="false">VLOOKUP(P155,Sheet2!J:K,2,0)</f>
        <v>IR Declared due to Others ( IR Normal)TB</v>
      </c>
      <c r="R155" s="17" t="s">
        <v>35</v>
      </c>
      <c r="S155" s="17" t="str">
        <f aca="false">VLOOKUP(R155,Sheet2!N:O,2,0)</f>
        <v>IREPARABLE</v>
      </c>
      <c r="T155" s="18" t="str">
        <f aca="false">VLOOKUP(P155,Sheet2!Q:R,2,0)</f>
        <v>IR Normal - BER to IR</v>
      </c>
      <c r="U155" s="20" t="s">
        <v>135</v>
      </c>
      <c r="V155" s="17" t="n">
        <v>12</v>
      </c>
      <c r="W155" s="20" t="str">
        <f aca="false">VLOOKUP(V155,Sheet2!Q:R,2,0)</f>
        <v>IR Normal - BER to IR</v>
      </c>
      <c r="X155" s="17" t="s">
        <v>106</v>
      </c>
      <c r="Y155" s="17" t="str">
        <f aca="false">VLOOKUP(X155,Sheet2!A:B,2,0)</f>
        <v>PRAKASH CHAVDA</v>
      </c>
      <c r="Z155" s="17" t="s">
        <v>149</v>
      </c>
      <c r="AA155" s="17" t="s">
        <v>182</v>
      </c>
      <c r="AB155" s="17" t="s">
        <v>41</v>
      </c>
      <c r="AC155" s="0" t="str">
        <f aca="false">LEFT(G155,2)</f>
        <v>65</v>
      </c>
      <c r="AD155" s="0"/>
      <c r="AE155" s="21" t="s">
        <v>42</v>
      </c>
    </row>
    <row r="156" customFormat="false" ht="15" hidden="false" customHeight="false" outlineLevel="0" collapsed="false">
      <c r="A156" s="13" t="n">
        <f aca="false">1+A155</f>
        <v>154</v>
      </c>
      <c r="B156" s="17" t="n">
        <v>1009586837</v>
      </c>
      <c r="C156" s="17" t="s">
        <v>139</v>
      </c>
      <c r="D156" s="17" t="s">
        <v>64</v>
      </c>
      <c r="E156" s="17" t="s">
        <v>47</v>
      </c>
      <c r="F156" s="18" t="s">
        <v>34</v>
      </c>
      <c r="G156" s="19" t="n">
        <v>651071000087</v>
      </c>
      <c r="H156" s="17" t="s">
        <v>134</v>
      </c>
      <c r="I156" s="17" t="s">
        <v>50</v>
      </c>
      <c r="J156" s="17" t="s">
        <v>106</v>
      </c>
      <c r="K156" s="17" t="str">
        <f aca="false">VLOOKUP(J156,Sheet2!A:B,2,0)</f>
        <v>PRAKASH CHAVDA</v>
      </c>
      <c r="L156" s="17" t="n">
        <v>5</v>
      </c>
      <c r="M156" s="17" t="str">
        <f aca="false">VLOOKUP(L156,Sheet2!D:E,2,0)</f>
        <v>Main Processor CPU BGA</v>
      </c>
      <c r="N156" s="17" t="n">
        <v>1</v>
      </c>
      <c r="O156" s="17" t="str">
        <f aca="false">VLOOKUP(N156,Sheet2!G:H,2,0)</f>
        <v>Dead</v>
      </c>
      <c r="P156" s="17" t="n">
        <v>12</v>
      </c>
      <c r="Q156" s="17" t="str">
        <f aca="false">VLOOKUP(P156,Sheet2!J:K,2,0)</f>
        <v>IR Declared due to Others ( IR Normal)TB</v>
      </c>
      <c r="R156" s="17" t="s">
        <v>35</v>
      </c>
      <c r="S156" s="17" t="str">
        <f aca="false">VLOOKUP(R156,Sheet2!N:O,2,0)</f>
        <v>IREPARABLE</v>
      </c>
      <c r="T156" s="18" t="str">
        <f aca="false">VLOOKUP(P156,Sheet2!Q:R,2,0)</f>
        <v>IR Normal - BER to IR</v>
      </c>
      <c r="U156" s="20" t="s">
        <v>135</v>
      </c>
      <c r="V156" s="17" t="n">
        <v>12</v>
      </c>
      <c r="W156" s="20" t="str">
        <f aca="false">VLOOKUP(V156,Sheet2!Q:R,2,0)</f>
        <v>IR Normal - BER to IR</v>
      </c>
      <c r="X156" s="17" t="s">
        <v>106</v>
      </c>
      <c r="Y156" s="17" t="str">
        <f aca="false">VLOOKUP(X156,Sheet2!A:B,2,0)</f>
        <v>PRAKASH CHAVDA</v>
      </c>
      <c r="Z156" s="17" t="s">
        <v>149</v>
      </c>
      <c r="AA156" s="17" t="s">
        <v>182</v>
      </c>
      <c r="AB156" s="17" t="s">
        <v>41</v>
      </c>
      <c r="AC156" s="0" t="str">
        <f aca="false">LEFT(G156,2)</f>
        <v>65</v>
      </c>
      <c r="AD156" s="0"/>
      <c r="AE156" s="21" t="s">
        <v>42</v>
      </c>
    </row>
    <row r="157" customFormat="false" ht="15" hidden="false" customHeight="false" outlineLevel="0" collapsed="false">
      <c r="A157" s="13" t="n">
        <f aca="false">1+A156</f>
        <v>155</v>
      </c>
      <c r="B157" s="17" t="n">
        <v>1009601158</v>
      </c>
      <c r="C157" s="17" t="s">
        <v>159</v>
      </c>
      <c r="D157" s="17" t="s">
        <v>157</v>
      </c>
      <c r="E157" s="17" t="s">
        <v>47</v>
      </c>
      <c r="F157" s="18" t="s">
        <v>34</v>
      </c>
      <c r="G157" s="19" t="n">
        <v>651298000175</v>
      </c>
      <c r="H157" s="17" t="s">
        <v>134</v>
      </c>
      <c r="I157" s="17" t="s">
        <v>50</v>
      </c>
      <c r="J157" s="17" t="s">
        <v>106</v>
      </c>
      <c r="K157" s="17" t="str">
        <f aca="false">VLOOKUP(J157,Sheet2!A:B,2,0)</f>
        <v>PRAKASH CHAVDA</v>
      </c>
      <c r="L157" s="17" t="n">
        <v>5</v>
      </c>
      <c r="M157" s="17" t="str">
        <f aca="false">VLOOKUP(L157,Sheet2!D:E,2,0)</f>
        <v>Main Processor CPU BGA</v>
      </c>
      <c r="N157" s="17" t="n">
        <v>1</v>
      </c>
      <c r="O157" s="17" t="str">
        <f aca="false">VLOOKUP(N157,Sheet2!G:H,2,0)</f>
        <v>Dead</v>
      </c>
      <c r="P157" s="17" t="n">
        <v>12</v>
      </c>
      <c r="Q157" s="17" t="str">
        <f aca="false">VLOOKUP(P157,Sheet2!J:K,2,0)</f>
        <v>IR Declared due to Others ( IR Normal)TB</v>
      </c>
      <c r="R157" s="17" t="s">
        <v>35</v>
      </c>
      <c r="S157" s="17" t="str">
        <f aca="false">VLOOKUP(R157,Sheet2!N:O,2,0)</f>
        <v>IREPARABLE</v>
      </c>
      <c r="T157" s="18" t="str">
        <f aca="false">VLOOKUP(P157,Sheet2!Q:R,2,0)</f>
        <v>IR Normal - BER to IR</v>
      </c>
      <c r="U157" s="20" t="s">
        <v>135</v>
      </c>
      <c r="V157" s="17" t="n">
        <v>12</v>
      </c>
      <c r="W157" s="20" t="str">
        <f aca="false">VLOOKUP(V157,Sheet2!Q:R,2,0)</f>
        <v>IR Normal - BER to IR</v>
      </c>
      <c r="X157" s="17" t="s">
        <v>106</v>
      </c>
      <c r="Y157" s="17" t="str">
        <f aca="false">VLOOKUP(X157,Sheet2!A:B,2,0)</f>
        <v>PRAKASH CHAVDA</v>
      </c>
      <c r="Z157" s="17" t="s">
        <v>149</v>
      </c>
      <c r="AA157" s="17" t="s">
        <v>182</v>
      </c>
      <c r="AB157" s="17" t="s">
        <v>41</v>
      </c>
      <c r="AC157" s="0" t="str">
        <f aca="false">LEFT(G157,2)</f>
        <v>65</v>
      </c>
      <c r="AD157" s="0"/>
      <c r="AE157" s="21" t="s">
        <v>42</v>
      </c>
    </row>
    <row r="158" customFormat="false" ht="15" hidden="false" customHeight="false" outlineLevel="0" collapsed="false">
      <c r="A158" s="13" t="n">
        <f aca="false">1+A157</f>
        <v>156</v>
      </c>
      <c r="B158" s="17" t="n">
        <v>1009306408</v>
      </c>
      <c r="C158" s="17" t="s">
        <v>185</v>
      </c>
      <c r="D158" s="17" t="s">
        <v>64</v>
      </c>
      <c r="E158" s="17" t="s">
        <v>64</v>
      </c>
      <c r="F158" s="18" t="s">
        <v>70</v>
      </c>
      <c r="G158" s="19" t="n">
        <v>134317067723</v>
      </c>
      <c r="H158" s="17" t="s">
        <v>134</v>
      </c>
      <c r="I158" s="17" t="s">
        <v>44</v>
      </c>
      <c r="J158" s="17" t="s">
        <v>106</v>
      </c>
      <c r="K158" s="17" t="str">
        <f aca="false">VLOOKUP(J158,Sheet2!A:B,2,0)</f>
        <v>PRAKASH CHAVDA</v>
      </c>
      <c r="L158" s="17" t="n">
        <v>5</v>
      </c>
      <c r="M158" s="17" t="str">
        <f aca="false">VLOOKUP(L158,Sheet2!D:E,2,0)</f>
        <v>Main Processor CPU BGA</v>
      </c>
      <c r="N158" s="17" t="n">
        <v>1</v>
      </c>
      <c r="O158" s="17" t="str">
        <f aca="false">VLOOKUP(N158,Sheet2!G:H,2,0)</f>
        <v>Dead</v>
      </c>
      <c r="P158" s="17" t="n">
        <v>12</v>
      </c>
      <c r="Q158" s="17" t="str">
        <f aca="false">VLOOKUP(P158,Sheet2!J:K,2,0)</f>
        <v>IR Declared due to Others ( IR Normal)TB</v>
      </c>
      <c r="R158" s="17" t="s">
        <v>35</v>
      </c>
      <c r="S158" s="17" t="str">
        <f aca="false">VLOOKUP(R158,Sheet2!N:O,2,0)</f>
        <v>IREPARABLE</v>
      </c>
      <c r="T158" s="18" t="str">
        <f aca="false">VLOOKUP(P158,Sheet2!Q:R,2,0)</f>
        <v>IR Normal - BER to IR</v>
      </c>
      <c r="U158" s="20" t="s">
        <v>135</v>
      </c>
      <c r="V158" s="17" t="n">
        <v>12</v>
      </c>
      <c r="W158" s="20" t="str">
        <f aca="false">VLOOKUP(V158,Sheet2!Q:R,2,0)</f>
        <v>IR Normal - BER to IR</v>
      </c>
      <c r="X158" s="17" t="s">
        <v>106</v>
      </c>
      <c r="Y158" s="17" t="str">
        <f aca="false">VLOOKUP(X158,Sheet2!A:B,2,0)</f>
        <v>PRAKASH CHAVDA</v>
      </c>
      <c r="Z158" s="17" t="s">
        <v>136</v>
      </c>
      <c r="AA158" s="17" t="s">
        <v>182</v>
      </c>
      <c r="AB158" s="17" t="s">
        <v>41</v>
      </c>
      <c r="AC158" s="0" t="str">
        <f aca="false">LEFT(G158,2)</f>
        <v>13</v>
      </c>
      <c r="AD158" s="0"/>
      <c r="AE158" s="21" t="s">
        <v>42</v>
      </c>
    </row>
    <row r="159" customFormat="false" ht="15" hidden="false" customHeight="false" outlineLevel="0" collapsed="false">
      <c r="A159" s="13" t="n">
        <f aca="false">1+A158</f>
        <v>157</v>
      </c>
      <c r="B159" s="17" t="n">
        <v>1009588894</v>
      </c>
      <c r="C159" s="17" t="s">
        <v>159</v>
      </c>
      <c r="D159" s="17" t="s">
        <v>64</v>
      </c>
      <c r="E159" s="17" t="s">
        <v>64</v>
      </c>
      <c r="F159" s="18" t="s">
        <v>70</v>
      </c>
      <c r="G159" s="19" t="n">
        <v>135224064786</v>
      </c>
      <c r="H159" s="17" t="s">
        <v>134</v>
      </c>
      <c r="I159" s="17" t="s">
        <v>44</v>
      </c>
      <c r="J159" s="17" t="s">
        <v>106</v>
      </c>
      <c r="K159" s="17" t="str">
        <f aca="false">VLOOKUP(J159,Sheet2!A:B,2,0)</f>
        <v>PRAKASH CHAVDA</v>
      </c>
      <c r="L159" s="17" t="n">
        <v>5</v>
      </c>
      <c r="M159" s="17" t="str">
        <f aca="false">VLOOKUP(L159,Sheet2!D:E,2,0)</f>
        <v>Main Processor CPU BGA</v>
      </c>
      <c r="N159" s="17" t="n">
        <v>1</v>
      </c>
      <c r="O159" s="17" t="str">
        <f aca="false">VLOOKUP(N159,Sheet2!G:H,2,0)</f>
        <v>Dead</v>
      </c>
      <c r="P159" s="17" t="n">
        <v>12</v>
      </c>
      <c r="Q159" s="17" t="str">
        <f aca="false">VLOOKUP(P159,Sheet2!J:K,2,0)</f>
        <v>IR Declared due to Others ( IR Normal)TB</v>
      </c>
      <c r="R159" s="17" t="s">
        <v>35</v>
      </c>
      <c r="S159" s="17" t="str">
        <f aca="false">VLOOKUP(R159,Sheet2!N:O,2,0)</f>
        <v>IREPARABLE</v>
      </c>
      <c r="T159" s="18" t="str">
        <f aca="false">VLOOKUP(P159,Sheet2!Q:R,2,0)</f>
        <v>IR Normal - BER to IR</v>
      </c>
      <c r="U159" s="20" t="s">
        <v>135</v>
      </c>
      <c r="V159" s="17" t="n">
        <v>12</v>
      </c>
      <c r="W159" s="20" t="str">
        <f aca="false">VLOOKUP(V159,Sheet2!Q:R,2,0)</f>
        <v>IR Normal - BER to IR</v>
      </c>
      <c r="X159" s="17" t="s">
        <v>106</v>
      </c>
      <c r="Y159" s="17" t="str">
        <f aca="false">VLOOKUP(X159,Sheet2!A:B,2,0)</f>
        <v>PRAKASH CHAVDA</v>
      </c>
      <c r="Z159" s="17" t="s">
        <v>136</v>
      </c>
      <c r="AA159" s="17" t="s">
        <v>182</v>
      </c>
      <c r="AB159" s="17" t="s">
        <v>41</v>
      </c>
      <c r="AC159" s="0" t="str">
        <f aca="false">LEFT(G159,2)</f>
        <v>13</v>
      </c>
      <c r="AD159" s="0"/>
      <c r="AE159" s="21" t="s">
        <v>42</v>
      </c>
    </row>
    <row r="160" customFormat="false" ht="15" hidden="false" customHeight="false" outlineLevel="0" collapsed="false">
      <c r="A160" s="13" t="n">
        <f aca="false">1+A159</f>
        <v>158</v>
      </c>
      <c r="B160" s="17" t="n">
        <v>1009606544</v>
      </c>
      <c r="C160" s="17" t="s">
        <v>181</v>
      </c>
      <c r="D160" s="17" t="s">
        <v>88</v>
      </c>
      <c r="E160" s="17" t="s">
        <v>47</v>
      </c>
      <c r="F160" s="18" t="s">
        <v>34</v>
      </c>
      <c r="G160" s="19" t="n">
        <v>134283202262</v>
      </c>
      <c r="H160" s="17" t="s">
        <v>134</v>
      </c>
      <c r="I160" s="17" t="s">
        <v>44</v>
      </c>
      <c r="J160" s="17" t="s">
        <v>106</v>
      </c>
      <c r="K160" s="17" t="str">
        <f aca="false">VLOOKUP(J160,Sheet2!A:B,2,0)</f>
        <v>PRAKASH CHAVDA</v>
      </c>
      <c r="L160" s="17" t="n">
        <v>5</v>
      </c>
      <c r="M160" s="17" t="str">
        <f aca="false">VLOOKUP(L160,Sheet2!D:E,2,0)</f>
        <v>Main Processor CPU BGA</v>
      </c>
      <c r="N160" s="17" t="n">
        <v>24</v>
      </c>
      <c r="O160" s="17" t="str">
        <f aca="false">VLOOKUP(N160,Sheet2!G:H,2,0)</f>
        <v>STB Auto moving -Stand by mode</v>
      </c>
      <c r="P160" s="17" t="n">
        <v>12</v>
      </c>
      <c r="Q160" s="17" t="str">
        <f aca="false">VLOOKUP(P160,Sheet2!J:K,2,0)</f>
        <v>IR Declared due to Others ( IR Normal)TB</v>
      </c>
      <c r="R160" s="17" t="s">
        <v>35</v>
      </c>
      <c r="S160" s="17" t="str">
        <f aca="false">VLOOKUP(R160,Sheet2!N:O,2,0)</f>
        <v>IREPARABLE</v>
      </c>
      <c r="T160" s="18" t="str">
        <f aca="false">VLOOKUP(P160,Sheet2!Q:R,2,0)</f>
        <v>IR Normal - BER to IR</v>
      </c>
      <c r="U160" s="20" t="s">
        <v>135</v>
      </c>
      <c r="V160" s="17" t="n">
        <v>12</v>
      </c>
      <c r="W160" s="20" t="str">
        <f aca="false">VLOOKUP(V160,Sheet2!Q:R,2,0)</f>
        <v>IR Normal - BER to IR</v>
      </c>
      <c r="X160" s="17" t="s">
        <v>106</v>
      </c>
      <c r="Y160" s="17" t="str">
        <f aca="false">VLOOKUP(X160,Sheet2!A:B,2,0)</f>
        <v>PRAKASH CHAVDA</v>
      </c>
      <c r="Z160" s="17" t="s">
        <v>136</v>
      </c>
      <c r="AA160" s="17" t="s">
        <v>182</v>
      </c>
      <c r="AB160" s="17" t="s">
        <v>41</v>
      </c>
      <c r="AC160" s="0" t="str">
        <f aca="false">LEFT(G160,2)</f>
        <v>13</v>
      </c>
      <c r="AD160" s="0"/>
      <c r="AE160" s="21" t="s">
        <v>42</v>
      </c>
    </row>
    <row r="161" customFormat="false" ht="15" hidden="false" customHeight="false" outlineLevel="0" collapsed="false">
      <c r="A161" s="13" t="n">
        <f aca="false">1+A160</f>
        <v>159</v>
      </c>
      <c r="B161" s="17" t="n">
        <v>1009578510</v>
      </c>
      <c r="C161" s="17" t="s">
        <v>139</v>
      </c>
      <c r="D161" s="17" t="s">
        <v>147</v>
      </c>
      <c r="E161" s="17" t="s">
        <v>33</v>
      </c>
      <c r="F161" s="18" t="s">
        <v>34</v>
      </c>
      <c r="G161" s="19" t="n">
        <v>134063427881</v>
      </c>
      <c r="H161" s="17" t="s">
        <v>134</v>
      </c>
      <c r="I161" s="17" t="s">
        <v>44</v>
      </c>
      <c r="J161" s="17" t="s">
        <v>106</v>
      </c>
      <c r="K161" s="17" t="str">
        <f aca="false">VLOOKUP(J161,Sheet2!A:B,2,0)</f>
        <v>PRAKASH CHAVDA</v>
      </c>
      <c r="L161" s="17" t="n">
        <v>5</v>
      </c>
      <c r="M161" s="17" t="str">
        <f aca="false">VLOOKUP(L161,Sheet2!D:E,2,0)</f>
        <v>Main Processor CPU BGA</v>
      </c>
      <c r="N161" s="17" t="n">
        <v>24</v>
      </c>
      <c r="O161" s="17" t="str">
        <f aca="false">VLOOKUP(N161,Sheet2!G:H,2,0)</f>
        <v>STB Auto moving -Stand by mode</v>
      </c>
      <c r="P161" s="17" t="n">
        <v>12</v>
      </c>
      <c r="Q161" s="17" t="str">
        <f aca="false">VLOOKUP(P161,Sheet2!J:K,2,0)</f>
        <v>IR Declared due to Others ( IR Normal)TB</v>
      </c>
      <c r="R161" s="17" t="s">
        <v>35</v>
      </c>
      <c r="S161" s="17" t="str">
        <f aca="false">VLOOKUP(R161,Sheet2!N:O,2,0)</f>
        <v>IREPARABLE</v>
      </c>
      <c r="T161" s="18" t="str">
        <f aca="false">VLOOKUP(P161,Sheet2!Q:R,2,0)</f>
        <v>IR Normal - BER to IR</v>
      </c>
      <c r="U161" s="20" t="s">
        <v>135</v>
      </c>
      <c r="V161" s="17" t="n">
        <v>12</v>
      </c>
      <c r="W161" s="20" t="str">
        <f aca="false">VLOOKUP(V161,Sheet2!Q:R,2,0)</f>
        <v>IR Normal - BER to IR</v>
      </c>
      <c r="X161" s="17" t="s">
        <v>106</v>
      </c>
      <c r="Y161" s="17" t="str">
        <f aca="false">VLOOKUP(X161,Sheet2!A:B,2,0)</f>
        <v>PRAKASH CHAVDA</v>
      </c>
      <c r="Z161" s="17" t="s">
        <v>136</v>
      </c>
      <c r="AA161" s="17" t="s">
        <v>182</v>
      </c>
      <c r="AB161" s="17" t="s">
        <v>41</v>
      </c>
      <c r="AC161" s="0" t="str">
        <f aca="false">LEFT(G161,2)</f>
        <v>13</v>
      </c>
      <c r="AD161" s="0"/>
      <c r="AE161" s="21" t="s">
        <v>42</v>
      </c>
    </row>
    <row r="162" customFormat="false" ht="15" hidden="false" customHeight="false" outlineLevel="0" collapsed="false">
      <c r="A162" s="13" t="n">
        <f aca="false">1+A161</f>
        <v>160</v>
      </c>
      <c r="B162" s="17" t="n">
        <v>1009607555</v>
      </c>
      <c r="C162" s="17" t="s">
        <v>181</v>
      </c>
      <c r="D162" s="17" t="s">
        <v>186</v>
      </c>
      <c r="E162" s="17" t="s">
        <v>64</v>
      </c>
      <c r="F162" s="18" t="s">
        <v>70</v>
      </c>
      <c r="G162" s="19" t="n">
        <v>134268460851</v>
      </c>
      <c r="H162" s="17" t="s">
        <v>134</v>
      </c>
      <c r="I162" s="17" t="s">
        <v>44</v>
      </c>
      <c r="J162" s="17" t="s">
        <v>106</v>
      </c>
      <c r="K162" s="17" t="str">
        <f aca="false">VLOOKUP(J162,Sheet2!A:B,2,0)</f>
        <v>PRAKASH CHAVDA</v>
      </c>
      <c r="L162" s="17" t="n">
        <v>5</v>
      </c>
      <c r="M162" s="17" t="str">
        <f aca="false">VLOOKUP(L162,Sheet2!D:E,2,0)</f>
        <v>Main Processor CPU BGA</v>
      </c>
      <c r="N162" s="17" t="n">
        <v>1</v>
      </c>
      <c r="O162" s="17" t="str">
        <f aca="false">VLOOKUP(N162,Sheet2!G:H,2,0)</f>
        <v>Dead</v>
      </c>
      <c r="P162" s="17" t="n">
        <v>12</v>
      </c>
      <c r="Q162" s="17" t="str">
        <f aca="false">VLOOKUP(P162,Sheet2!J:K,2,0)</f>
        <v>IR Declared due to Others ( IR Normal)TB</v>
      </c>
      <c r="R162" s="17" t="s">
        <v>35</v>
      </c>
      <c r="S162" s="17" t="str">
        <f aca="false">VLOOKUP(R162,Sheet2!N:O,2,0)</f>
        <v>IREPARABLE</v>
      </c>
      <c r="T162" s="18" t="str">
        <f aca="false">VLOOKUP(P162,Sheet2!Q:R,2,0)</f>
        <v>IR Normal - BER to IR</v>
      </c>
      <c r="U162" s="20" t="s">
        <v>135</v>
      </c>
      <c r="V162" s="17" t="n">
        <v>12</v>
      </c>
      <c r="W162" s="20" t="str">
        <f aca="false">VLOOKUP(V162,Sheet2!Q:R,2,0)</f>
        <v>IR Normal - BER to IR</v>
      </c>
      <c r="X162" s="17" t="s">
        <v>106</v>
      </c>
      <c r="Y162" s="17" t="str">
        <f aca="false">VLOOKUP(X162,Sheet2!A:B,2,0)</f>
        <v>PRAKASH CHAVDA</v>
      </c>
      <c r="Z162" s="17" t="s">
        <v>136</v>
      </c>
      <c r="AA162" s="17" t="s">
        <v>182</v>
      </c>
      <c r="AB162" s="17" t="s">
        <v>41</v>
      </c>
      <c r="AC162" s="0" t="str">
        <f aca="false">LEFT(G162,2)</f>
        <v>13</v>
      </c>
      <c r="AD162" s="0"/>
      <c r="AE162" s="21" t="s">
        <v>42</v>
      </c>
    </row>
    <row r="163" customFormat="false" ht="15" hidden="false" customHeight="false" outlineLevel="0" collapsed="false">
      <c r="A163" s="13" t="n">
        <f aca="false">1+A162</f>
        <v>161</v>
      </c>
      <c r="B163" s="17" t="n">
        <v>1009606679</v>
      </c>
      <c r="C163" s="17" t="s">
        <v>181</v>
      </c>
      <c r="D163" s="17" t="s">
        <v>88</v>
      </c>
      <c r="E163" s="17" t="s">
        <v>47</v>
      </c>
      <c r="F163" s="18" t="s">
        <v>34</v>
      </c>
      <c r="G163" s="19" t="n">
        <v>133313101932</v>
      </c>
      <c r="H163" s="17" t="s">
        <v>134</v>
      </c>
      <c r="I163" s="17" t="s">
        <v>44</v>
      </c>
      <c r="J163" s="17" t="s">
        <v>106</v>
      </c>
      <c r="K163" s="17" t="str">
        <f aca="false">VLOOKUP(J163,Sheet2!A:B,2,0)</f>
        <v>PRAKASH CHAVDA</v>
      </c>
      <c r="L163" s="17" t="n">
        <v>5</v>
      </c>
      <c r="M163" s="17" t="str">
        <f aca="false">VLOOKUP(L163,Sheet2!D:E,2,0)</f>
        <v>Main Processor CPU BGA</v>
      </c>
      <c r="N163" s="17" t="n">
        <v>1</v>
      </c>
      <c r="O163" s="17" t="str">
        <f aca="false">VLOOKUP(N163,Sheet2!G:H,2,0)</f>
        <v>Dead</v>
      </c>
      <c r="P163" s="17" t="n">
        <v>12</v>
      </c>
      <c r="Q163" s="17" t="str">
        <f aca="false">VLOOKUP(P163,Sheet2!J:K,2,0)</f>
        <v>IR Declared due to Others ( IR Normal)TB</v>
      </c>
      <c r="R163" s="17" t="s">
        <v>35</v>
      </c>
      <c r="S163" s="17" t="str">
        <f aca="false">VLOOKUP(R163,Sheet2!N:O,2,0)</f>
        <v>IREPARABLE</v>
      </c>
      <c r="T163" s="18" t="str">
        <f aca="false">VLOOKUP(P163,Sheet2!Q:R,2,0)</f>
        <v>IR Normal - BER to IR</v>
      </c>
      <c r="U163" s="20" t="s">
        <v>135</v>
      </c>
      <c r="V163" s="17" t="n">
        <v>12</v>
      </c>
      <c r="W163" s="20" t="str">
        <f aca="false">VLOOKUP(V163,Sheet2!Q:R,2,0)</f>
        <v>IR Normal - BER to IR</v>
      </c>
      <c r="X163" s="17" t="s">
        <v>106</v>
      </c>
      <c r="Y163" s="17" t="str">
        <f aca="false">VLOOKUP(X163,Sheet2!A:B,2,0)</f>
        <v>PRAKASH CHAVDA</v>
      </c>
      <c r="Z163" s="17" t="s">
        <v>136</v>
      </c>
      <c r="AA163" s="17" t="s">
        <v>182</v>
      </c>
      <c r="AB163" s="17" t="s">
        <v>41</v>
      </c>
      <c r="AC163" s="0" t="str">
        <f aca="false">LEFT(G163,2)</f>
        <v>13</v>
      </c>
      <c r="AD163" s="0"/>
      <c r="AE163" s="21" t="s">
        <v>42</v>
      </c>
    </row>
    <row r="164" customFormat="false" ht="15" hidden="false" customHeight="false" outlineLevel="0" collapsed="false">
      <c r="A164" s="13" t="n">
        <f aca="false">1+A163</f>
        <v>162</v>
      </c>
      <c r="B164" s="17" t="n">
        <v>1009606591</v>
      </c>
      <c r="C164" s="17" t="s">
        <v>181</v>
      </c>
      <c r="D164" s="17" t="s">
        <v>88</v>
      </c>
      <c r="E164" s="17" t="s">
        <v>47</v>
      </c>
      <c r="F164" s="18" t="s">
        <v>34</v>
      </c>
      <c r="G164" s="19" t="n">
        <v>135205039526</v>
      </c>
      <c r="H164" s="17" t="s">
        <v>134</v>
      </c>
      <c r="I164" s="17" t="s">
        <v>44</v>
      </c>
      <c r="J164" s="17" t="s">
        <v>106</v>
      </c>
      <c r="K164" s="17" t="str">
        <f aca="false">VLOOKUP(J164,Sheet2!A:B,2,0)</f>
        <v>PRAKASH CHAVDA</v>
      </c>
      <c r="L164" s="17" t="n">
        <v>5</v>
      </c>
      <c r="M164" s="17" t="str">
        <f aca="false">VLOOKUP(L164,Sheet2!D:E,2,0)</f>
        <v>Main Processor CPU BGA</v>
      </c>
      <c r="N164" s="17" t="n">
        <v>1</v>
      </c>
      <c r="O164" s="17" t="str">
        <f aca="false">VLOOKUP(N164,Sheet2!G:H,2,0)</f>
        <v>Dead</v>
      </c>
      <c r="P164" s="17" t="n">
        <v>12</v>
      </c>
      <c r="Q164" s="17" t="str">
        <f aca="false">VLOOKUP(P164,Sheet2!J:K,2,0)</f>
        <v>IR Declared due to Others ( IR Normal)TB</v>
      </c>
      <c r="R164" s="17" t="s">
        <v>35</v>
      </c>
      <c r="S164" s="17" t="str">
        <f aca="false">VLOOKUP(R164,Sheet2!N:O,2,0)</f>
        <v>IREPARABLE</v>
      </c>
      <c r="T164" s="18" t="str">
        <f aca="false">VLOOKUP(P164,Sheet2!Q:R,2,0)</f>
        <v>IR Normal - BER to IR</v>
      </c>
      <c r="U164" s="20" t="s">
        <v>135</v>
      </c>
      <c r="V164" s="17" t="n">
        <v>12</v>
      </c>
      <c r="W164" s="20" t="str">
        <f aca="false">VLOOKUP(V164,Sheet2!Q:R,2,0)</f>
        <v>IR Normal - BER to IR</v>
      </c>
      <c r="X164" s="17" t="s">
        <v>106</v>
      </c>
      <c r="Y164" s="17" t="str">
        <f aca="false">VLOOKUP(X164,Sheet2!A:B,2,0)</f>
        <v>PRAKASH CHAVDA</v>
      </c>
      <c r="Z164" s="17" t="s">
        <v>136</v>
      </c>
      <c r="AA164" s="17" t="s">
        <v>182</v>
      </c>
      <c r="AB164" s="17" t="s">
        <v>41</v>
      </c>
      <c r="AC164" s="0" t="str">
        <f aca="false">LEFT(G164,2)</f>
        <v>13</v>
      </c>
      <c r="AD164" s="0"/>
      <c r="AE164" s="21" t="s">
        <v>42</v>
      </c>
    </row>
    <row r="165" customFormat="false" ht="15" hidden="false" customHeight="false" outlineLevel="0" collapsed="false">
      <c r="A165" s="13" t="n">
        <f aca="false">1+A164</f>
        <v>163</v>
      </c>
      <c r="B165" s="17" t="n">
        <v>1006279418</v>
      </c>
      <c r="C165" s="17" t="s">
        <v>187</v>
      </c>
      <c r="D165" s="17" t="s">
        <v>64</v>
      </c>
      <c r="E165" s="17" t="s">
        <v>64</v>
      </c>
      <c r="F165" s="18" t="s">
        <v>70</v>
      </c>
      <c r="G165" s="19" t="n">
        <v>134331042926</v>
      </c>
      <c r="H165" s="17" t="s">
        <v>134</v>
      </c>
      <c r="I165" s="17" t="s">
        <v>44</v>
      </c>
      <c r="J165" s="17" t="s">
        <v>106</v>
      </c>
      <c r="K165" s="17" t="str">
        <f aca="false">VLOOKUP(J165,Sheet2!A:B,2,0)</f>
        <v>PRAKASH CHAVDA</v>
      </c>
      <c r="L165" s="17" t="n">
        <v>5</v>
      </c>
      <c r="M165" s="17" t="str">
        <f aca="false">VLOOKUP(L165,Sheet2!D:E,2,0)</f>
        <v>Main Processor CPU BGA</v>
      </c>
      <c r="N165" s="17" t="n">
        <v>1</v>
      </c>
      <c r="O165" s="17" t="str">
        <f aca="false">VLOOKUP(N165,Sheet2!G:H,2,0)</f>
        <v>Dead</v>
      </c>
      <c r="P165" s="17" t="n">
        <v>12</v>
      </c>
      <c r="Q165" s="17" t="str">
        <f aca="false">VLOOKUP(P165,Sheet2!J:K,2,0)</f>
        <v>IR Declared due to Others ( IR Normal)TB</v>
      </c>
      <c r="R165" s="17" t="s">
        <v>35</v>
      </c>
      <c r="S165" s="17" t="str">
        <f aca="false">VLOOKUP(R165,Sheet2!N:O,2,0)</f>
        <v>IREPARABLE</v>
      </c>
      <c r="T165" s="18" t="str">
        <f aca="false">VLOOKUP(P165,Sheet2!Q:R,2,0)</f>
        <v>IR Normal - BER to IR</v>
      </c>
      <c r="U165" s="20" t="s">
        <v>135</v>
      </c>
      <c r="V165" s="17" t="n">
        <v>12</v>
      </c>
      <c r="W165" s="20" t="str">
        <f aca="false">VLOOKUP(V165,Sheet2!Q:R,2,0)</f>
        <v>IR Normal - BER to IR</v>
      </c>
      <c r="X165" s="17" t="s">
        <v>106</v>
      </c>
      <c r="Y165" s="17" t="str">
        <f aca="false">VLOOKUP(X165,Sheet2!A:B,2,0)</f>
        <v>PRAKASH CHAVDA</v>
      </c>
      <c r="Z165" s="17" t="s">
        <v>136</v>
      </c>
      <c r="AA165" s="17" t="s">
        <v>182</v>
      </c>
      <c r="AB165" s="17" t="s">
        <v>41</v>
      </c>
      <c r="AC165" s="0" t="str">
        <f aca="false">LEFT(G165,2)</f>
        <v>13</v>
      </c>
      <c r="AD165" s="0"/>
      <c r="AE165" s="21" t="s">
        <v>42</v>
      </c>
    </row>
    <row r="166" customFormat="false" ht="15" hidden="false" customHeight="false" outlineLevel="0" collapsed="false">
      <c r="A166" s="13" t="n">
        <f aca="false">1+A165</f>
        <v>164</v>
      </c>
      <c r="B166" s="17" t="n">
        <v>1008113650</v>
      </c>
      <c r="C166" s="17" t="s">
        <v>188</v>
      </c>
      <c r="D166" s="17" t="s">
        <v>64</v>
      </c>
      <c r="E166" s="17" t="s">
        <v>64</v>
      </c>
      <c r="F166" s="18" t="s">
        <v>70</v>
      </c>
      <c r="G166" s="19" t="n">
        <v>134087018922</v>
      </c>
      <c r="H166" s="17" t="s">
        <v>134</v>
      </c>
      <c r="I166" s="17" t="s">
        <v>44</v>
      </c>
      <c r="J166" s="17" t="s">
        <v>106</v>
      </c>
      <c r="K166" s="17" t="str">
        <f aca="false">VLOOKUP(J166,Sheet2!A:B,2,0)</f>
        <v>PRAKASH CHAVDA</v>
      </c>
      <c r="L166" s="17" t="n">
        <v>5</v>
      </c>
      <c r="M166" s="17" t="str">
        <f aca="false">VLOOKUP(L166,Sheet2!D:E,2,0)</f>
        <v>Main Processor CPU BGA</v>
      </c>
      <c r="N166" s="17" t="n">
        <v>1</v>
      </c>
      <c r="O166" s="17" t="str">
        <f aca="false">VLOOKUP(N166,Sheet2!G:H,2,0)</f>
        <v>Dead</v>
      </c>
      <c r="P166" s="17" t="n">
        <v>11</v>
      </c>
      <c r="Q166" s="17" t="str">
        <f aca="false">VLOOKUP(P166,Sheet2!J:K,2,0)</f>
        <v>IR Declared due to CID -TA</v>
      </c>
      <c r="R166" s="17" t="s">
        <v>35</v>
      </c>
      <c r="S166" s="17" t="str">
        <f aca="false">VLOOKUP(R166,Sheet2!N:O,2,0)</f>
        <v>IREPARABLE</v>
      </c>
      <c r="T166" s="18" t="str">
        <f aca="false">VLOOKUP(P166,Sheet2!Q:R,2,0)</f>
        <v>IR Normal - Track burn out</v>
      </c>
      <c r="U166" s="18" t="s">
        <v>122</v>
      </c>
      <c r="V166" s="17" t="n">
        <v>2</v>
      </c>
      <c r="W166" s="20" t="str">
        <f aca="false">VLOOKUP(V166,Sheet2!Q:R,2,0)</f>
        <v>IR CID -  Water log from other area</v>
      </c>
      <c r="X166" s="17" t="s">
        <v>106</v>
      </c>
      <c r="Y166" s="17" t="str">
        <f aca="false">VLOOKUP(X166,Sheet2!A:B,2,0)</f>
        <v>PRAKASH CHAVDA</v>
      </c>
      <c r="Z166" s="17" t="s">
        <v>136</v>
      </c>
      <c r="AA166" s="17" t="s">
        <v>182</v>
      </c>
      <c r="AB166" s="17" t="s">
        <v>41</v>
      </c>
      <c r="AC166" s="0" t="str">
        <f aca="false">LEFT(G166,2)</f>
        <v>13</v>
      </c>
      <c r="AD166" s="0"/>
      <c r="AE166" s="21" t="s">
        <v>42</v>
      </c>
    </row>
    <row r="167" customFormat="false" ht="15" hidden="false" customHeight="false" outlineLevel="0" collapsed="false">
      <c r="A167" s="13" t="n">
        <f aca="false">1+A166</f>
        <v>165</v>
      </c>
      <c r="B167" s="17" t="n">
        <v>1009446462</v>
      </c>
      <c r="C167" s="17" t="s">
        <v>189</v>
      </c>
      <c r="D167" s="17" t="s">
        <v>64</v>
      </c>
      <c r="E167" s="17" t="s">
        <v>64</v>
      </c>
      <c r="F167" s="18" t="s">
        <v>70</v>
      </c>
      <c r="G167" s="19" t="n">
        <v>134127138516</v>
      </c>
      <c r="H167" s="17" t="s">
        <v>134</v>
      </c>
      <c r="I167" s="17" t="s">
        <v>44</v>
      </c>
      <c r="J167" s="17" t="s">
        <v>106</v>
      </c>
      <c r="K167" s="17" t="str">
        <f aca="false">VLOOKUP(J167,Sheet2!A:B,2,0)</f>
        <v>PRAKASH CHAVDA</v>
      </c>
      <c r="L167" s="17" t="n">
        <v>5</v>
      </c>
      <c r="M167" s="17" t="str">
        <f aca="false">VLOOKUP(L167,Sheet2!D:E,2,0)</f>
        <v>Main Processor CPU BGA</v>
      </c>
      <c r="N167" s="17" t="n">
        <v>28</v>
      </c>
      <c r="O167" s="17" t="str">
        <f aca="false">VLOOKUP(N167,Sheet2!G:H,2,0)</f>
        <v>Hang and Freeze video - AV</v>
      </c>
      <c r="P167" s="17" t="n">
        <v>12</v>
      </c>
      <c r="Q167" s="17" t="str">
        <f aca="false">VLOOKUP(P167,Sheet2!J:K,2,0)</f>
        <v>IR Declared due to Others ( IR Normal)TB</v>
      </c>
      <c r="R167" s="17" t="s">
        <v>35</v>
      </c>
      <c r="S167" s="17" t="str">
        <f aca="false">VLOOKUP(R167,Sheet2!N:O,2,0)</f>
        <v>IREPARABLE</v>
      </c>
      <c r="T167" s="18" t="str">
        <f aca="false">VLOOKUP(P167,Sheet2!Q:R,2,0)</f>
        <v>IR Normal - BER to IR</v>
      </c>
      <c r="U167" s="20" t="s">
        <v>135</v>
      </c>
      <c r="V167" s="17" t="n">
        <v>12</v>
      </c>
      <c r="W167" s="20" t="str">
        <f aca="false">VLOOKUP(V167,Sheet2!Q:R,2,0)</f>
        <v>IR Normal - BER to IR</v>
      </c>
      <c r="X167" s="17" t="s">
        <v>106</v>
      </c>
      <c r="Y167" s="17" t="str">
        <f aca="false">VLOOKUP(X167,Sheet2!A:B,2,0)</f>
        <v>PRAKASH CHAVDA</v>
      </c>
      <c r="Z167" s="17" t="s">
        <v>136</v>
      </c>
      <c r="AA167" s="17" t="s">
        <v>182</v>
      </c>
      <c r="AB167" s="17" t="s">
        <v>41</v>
      </c>
      <c r="AC167" s="0" t="str">
        <f aca="false">LEFT(G167,2)</f>
        <v>13</v>
      </c>
      <c r="AD167" s="0"/>
      <c r="AE167" s="21" t="s">
        <v>42</v>
      </c>
    </row>
    <row r="168" customFormat="false" ht="15" hidden="false" customHeight="false" outlineLevel="0" collapsed="false">
      <c r="A168" s="13" t="n">
        <f aca="false">1+A167</f>
        <v>166</v>
      </c>
      <c r="B168" s="17" t="n">
        <v>1009607287</v>
      </c>
      <c r="C168" s="17" t="s">
        <v>181</v>
      </c>
      <c r="D168" s="17" t="s">
        <v>190</v>
      </c>
      <c r="E168" s="17" t="s">
        <v>91</v>
      </c>
      <c r="F168" s="18" t="s">
        <v>92</v>
      </c>
      <c r="G168" s="19" t="n">
        <v>985318212711</v>
      </c>
      <c r="H168" s="17" t="s">
        <v>134</v>
      </c>
      <c r="I168" s="17" t="s">
        <v>44</v>
      </c>
      <c r="J168" s="17" t="s">
        <v>106</v>
      </c>
      <c r="K168" s="17" t="str">
        <f aca="false">VLOOKUP(J168,Sheet2!A:B,2,0)</f>
        <v>PRAKASH CHAVDA</v>
      </c>
      <c r="L168" s="17" t="n">
        <v>5</v>
      </c>
      <c r="M168" s="17" t="str">
        <f aca="false">VLOOKUP(L168,Sheet2!D:E,2,0)</f>
        <v>Main Processor CPU BGA</v>
      </c>
      <c r="N168" s="17" t="n">
        <v>1</v>
      </c>
      <c r="O168" s="17" t="str">
        <f aca="false">VLOOKUP(N168,Sheet2!G:H,2,0)</f>
        <v>Dead</v>
      </c>
      <c r="P168" s="17" t="n">
        <v>12</v>
      </c>
      <c r="Q168" s="17" t="str">
        <f aca="false">VLOOKUP(P168,Sheet2!J:K,2,0)</f>
        <v>IR Declared due to Others ( IR Normal)TB</v>
      </c>
      <c r="R168" s="17" t="s">
        <v>35</v>
      </c>
      <c r="S168" s="17" t="str">
        <f aca="false">VLOOKUP(R168,Sheet2!N:O,2,0)</f>
        <v>IREPARABLE</v>
      </c>
      <c r="T168" s="18" t="str">
        <f aca="false">VLOOKUP(P168,Sheet2!Q:R,2,0)</f>
        <v>IR Normal - BER to IR</v>
      </c>
      <c r="U168" s="15" t="s">
        <v>38</v>
      </c>
      <c r="V168" s="17" t="n">
        <v>11</v>
      </c>
      <c r="W168" s="20" t="str">
        <f aca="false">VLOOKUP(V168,Sheet2!Q:R,2,0)</f>
        <v>IR Normal - Track burn out</v>
      </c>
      <c r="X168" s="17" t="s">
        <v>106</v>
      </c>
      <c r="Y168" s="17" t="str">
        <f aca="false">VLOOKUP(X168,Sheet2!A:B,2,0)</f>
        <v>PRAKASH CHAVDA</v>
      </c>
      <c r="Z168" s="17" t="s">
        <v>141</v>
      </c>
      <c r="AA168" s="17" t="s">
        <v>182</v>
      </c>
      <c r="AB168" s="17" t="s">
        <v>41</v>
      </c>
      <c r="AC168" s="0" t="str">
        <f aca="false">LEFT(G168,2)</f>
        <v>98</v>
      </c>
      <c r="AD168" s="0"/>
      <c r="AE168" s="21" t="s">
        <v>42</v>
      </c>
    </row>
    <row r="169" customFormat="false" ht="15" hidden="false" customHeight="false" outlineLevel="0" collapsed="false">
      <c r="A169" s="13" t="n">
        <f aca="false">1+A168</f>
        <v>167</v>
      </c>
      <c r="B169" s="17" t="n">
        <v>1009398991</v>
      </c>
      <c r="C169" s="17" t="s">
        <v>191</v>
      </c>
      <c r="D169" s="17" t="s">
        <v>64</v>
      </c>
      <c r="E169" s="17" t="s">
        <v>91</v>
      </c>
      <c r="F169" s="18" t="s">
        <v>92</v>
      </c>
      <c r="G169" s="19" t="n">
        <v>986162220263</v>
      </c>
      <c r="H169" s="17" t="s">
        <v>134</v>
      </c>
      <c r="I169" s="17" t="s">
        <v>44</v>
      </c>
      <c r="J169" s="17" t="s">
        <v>106</v>
      </c>
      <c r="K169" s="17" t="str">
        <f aca="false">VLOOKUP(J169,Sheet2!A:B,2,0)</f>
        <v>PRAKASH CHAVDA</v>
      </c>
      <c r="L169" s="17" t="n">
        <v>5</v>
      </c>
      <c r="M169" s="17" t="str">
        <f aca="false">VLOOKUP(L169,Sheet2!D:E,2,0)</f>
        <v>Main Processor CPU BGA</v>
      </c>
      <c r="N169" s="17" t="n">
        <v>24</v>
      </c>
      <c r="O169" s="17" t="str">
        <f aca="false">VLOOKUP(N169,Sheet2!G:H,2,0)</f>
        <v>STB Auto moving -Stand by mode</v>
      </c>
      <c r="P169" s="17" t="n">
        <v>11</v>
      </c>
      <c r="Q169" s="17" t="str">
        <f aca="false">VLOOKUP(P169,Sheet2!J:K,2,0)</f>
        <v>IR Declared due to CID -TA</v>
      </c>
      <c r="R169" s="17" t="s">
        <v>35</v>
      </c>
      <c r="S169" s="17" t="str">
        <f aca="false">VLOOKUP(R169,Sheet2!N:O,2,0)</f>
        <v>IREPARABLE</v>
      </c>
      <c r="T169" s="18" t="str">
        <f aca="false">VLOOKUP(P169,Sheet2!Q:R,2,0)</f>
        <v>IR Normal - Track burn out</v>
      </c>
      <c r="U169" s="18" t="s">
        <v>122</v>
      </c>
      <c r="V169" s="17" t="n">
        <v>2</v>
      </c>
      <c r="W169" s="20" t="str">
        <f aca="false">VLOOKUP(V169,Sheet2!Q:R,2,0)</f>
        <v>IR CID -  Water log from other area</v>
      </c>
      <c r="X169" s="17" t="s">
        <v>106</v>
      </c>
      <c r="Y169" s="17" t="str">
        <f aca="false">VLOOKUP(X169,Sheet2!A:B,2,0)</f>
        <v>PRAKASH CHAVDA</v>
      </c>
      <c r="Z169" s="17" t="s">
        <v>141</v>
      </c>
      <c r="AA169" s="17" t="s">
        <v>182</v>
      </c>
      <c r="AB169" s="17" t="s">
        <v>41</v>
      </c>
      <c r="AC169" s="0" t="str">
        <f aca="false">LEFT(G169,2)</f>
        <v>98</v>
      </c>
      <c r="AD169" s="0"/>
      <c r="AE169" s="21" t="s">
        <v>42</v>
      </c>
    </row>
    <row r="170" customFormat="false" ht="15" hidden="false" customHeight="false" outlineLevel="0" collapsed="false">
      <c r="A170" s="13" t="n">
        <f aca="false">1+A169</f>
        <v>168</v>
      </c>
      <c r="B170" s="17" t="n">
        <v>1009334111</v>
      </c>
      <c r="C170" s="17" t="s">
        <v>59</v>
      </c>
      <c r="D170" s="17" t="s">
        <v>64</v>
      </c>
      <c r="E170" s="17" t="s">
        <v>64</v>
      </c>
      <c r="F170" s="18" t="s">
        <v>70</v>
      </c>
      <c r="G170" s="19" t="n">
        <v>985319112316</v>
      </c>
      <c r="H170" s="17" t="s">
        <v>134</v>
      </c>
      <c r="I170" s="17" t="s">
        <v>44</v>
      </c>
      <c r="J170" s="17" t="s">
        <v>106</v>
      </c>
      <c r="K170" s="17" t="str">
        <f aca="false">VLOOKUP(J170,Sheet2!A:B,2,0)</f>
        <v>PRAKASH CHAVDA</v>
      </c>
      <c r="L170" s="17" t="n">
        <v>5</v>
      </c>
      <c r="M170" s="17" t="str">
        <f aca="false">VLOOKUP(L170,Sheet2!D:E,2,0)</f>
        <v>Main Processor CPU BGA</v>
      </c>
      <c r="N170" s="17" t="n">
        <v>24</v>
      </c>
      <c r="O170" s="17" t="str">
        <f aca="false">VLOOKUP(N170,Sheet2!G:H,2,0)</f>
        <v>STB Auto moving -Stand by mode</v>
      </c>
      <c r="P170" s="17" t="n">
        <v>12</v>
      </c>
      <c r="Q170" s="17" t="str">
        <f aca="false">VLOOKUP(P170,Sheet2!J:K,2,0)</f>
        <v>IR Declared due to Others ( IR Normal)TB</v>
      </c>
      <c r="R170" s="17" t="s">
        <v>35</v>
      </c>
      <c r="S170" s="17" t="str">
        <f aca="false">VLOOKUP(R170,Sheet2!N:O,2,0)</f>
        <v>IREPARABLE</v>
      </c>
      <c r="T170" s="18" t="str">
        <f aca="false">VLOOKUP(P170,Sheet2!Q:R,2,0)</f>
        <v>IR Normal - BER to IR</v>
      </c>
      <c r="U170" s="18" t="s">
        <v>101</v>
      </c>
      <c r="V170" s="17" t="n">
        <v>8</v>
      </c>
      <c r="W170" s="20" t="str">
        <f aca="false">VLOOKUP(V170,Sheet2!Q:R,2,0)</f>
        <v>IR Normal -TrackRust/InternalDamage/open</v>
      </c>
      <c r="X170" s="17" t="s">
        <v>106</v>
      </c>
      <c r="Y170" s="17" t="str">
        <f aca="false">VLOOKUP(X170,Sheet2!A:B,2,0)</f>
        <v>PRAKASH CHAVDA</v>
      </c>
      <c r="Z170" s="17" t="s">
        <v>141</v>
      </c>
      <c r="AA170" s="17" t="s">
        <v>182</v>
      </c>
      <c r="AB170" s="17" t="s">
        <v>41</v>
      </c>
      <c r="AC170" s="0" t="str">
        <f aca="false">LEFT(G170,2)</f>
        <v>98</v>
      </c>
      <c r="AD170" s="0"/>
      <c r="AE170" s="21" t="s">
        <v>42</v>
      </c>
    </row>
    <row r="171" customFormat="false" ht="15" hidden="false" customHeight="false" outlineLevel="0" collapsed="false">
      <c r="A171" s="13" t="n">
        <f aca="false">1+A170</f>
        <v>169</v>
      </c>
      <c r="B171" s="17" t="n">
        <v>1009608531</v>
      </c>
      <c r="C171" s="17" t="s">
        <v>181</v>
      </c>
      <c r="D171" s="17" t="s">
        <v>88</v>
      </c>
      <c r="E171" s="17" t="s">
        <v>47</v>
      </c>
      <c r="F171" s="18" t="s">
        <v>34</v>
      </c>
      <c r="G171" s="19" t="n">
        <v>987234213443</v>
      </c>
      <c r="H171" s="17" t="s">
        <v>134</v>
      </c>
      <c r="I171" s="17" t="s">
        <v>44</v>
      </c>
      <c r="J171" s="17" t="s">
        <v>106</v>
      </c>
      <c r="K171" s="17" t="str">
        <f aca="false">VLOOKUP(J171,Sheet2!A:B,2,0)</f>
        <v>PRAKASH CHAVDA</v>
      </c>
      <c r="L171" s="17" t="n">
        <v>5</v>
      </c>
      <c r="M171" s="17" t="str">
        <f aca="false">VLOOKUP(L171,Sheet2!D:E,2,0)</f>
        <v>Main Processor CPU BGA</v>
      </c>
      <c r="N171" s="17" t="n">
        <v>1</v>
      </c>
      <c r="O171" s="17" t="str">
        <f aca="false">VLOOKUP(N171,Sheet2!G:H,2,0)</f>
        <v>Dead</v>
      </c>
      <c r="P171" s="17" t="n">
        <v>12</v>
      </c>
      <c r="Q171" s="17" t="str">
        <f aca="false">VLOOKUP(P171,Sheet2!J:K,2,0)</f>
        <v>IR Declared due to Others ( IR Normal)TB</v>
      </c>
      <c r="R171" s="17" t="s">
        <v>35</v>
      </c>
      <c r="S171" s="17" t="str">
        <f aca="false">VLOOKUP(R171,Sheet2!N:O,2,0)</f>
        <v>IREPARABLE</v>
      </c>
      <c r="T171" s="18" t="str">
        <f aca="false">VLOOKUP(P171,Sheet2!Q:R,2,0)</f>
        <v>IR Normal - BER to IR</v>
      </c>
      <c r="U171" s="20" t="s">
        <v>135</v>
      </c>
      <c r="V171" s="17" t="n">
        <v>12</v>
      </c>
      <c r="W171" s="20" t="str">
        <f aca="false">VLOOKUP(V171,Sheet2!Q:R,2,0)</f>
        <v>IR Normal - BER to IR</v>
      </c>
      <c r="X171" s="17" t="s">
        <v>106</v>
      </c>
      <c r="Y171" s="17" t="str">
        <f aca="false">VLOOKUP(X171,Sheet2!A:B,2,0)</f>
        <v>PRAKASH CHAVDA</v>
      </c>
      <c r="Z171" s="17" t="s">
        <v>141</v>
      </c>
      <c r="AA171" s="17" t="s">
        <v>182</v>
      </c>
      <c r="AB171" s="17" t="s">
        <v>41</v>
      </c>
      <c r="AC171" s="0" t="str">
        <f aca="false">LEFT(G171,2)</f>
        <v>98</v>
      </c>
      <c r="AD171" s="0"/>
      <c r="AE171" s="21" t="s">
        <v>42</v>
      </c>
    </row>
    <row r="172" customFormat="false" ht="15" hidden="false" customHeight="false" outlineLevel="0" collapsed="false">
      <c r="A172" s="13" t="n">
        <f aca="false">1+A171</f>
        <v>170</v>
      </c>
      <c r="B172" s="17" t="n">
        <v>1009607616</v>
      </c>
      <c r="C172" s="17" t="s">
        <v>181</v>
      </c>
      <c r="D172" s="17" t="s">
        <v>190</v>
      </c>
      <c r="E172" s="17" t="s">
        <v>91</v>
      </c>
      <c r="F172" s="18" t="s">
        <v>92</v>
      </c>
      <c r="G172" s="19" t="n">
        <v>986163110166</v>
      </c>
      <c r="H172" s="17" t="s">
        <v>134</v>
      </c>
      <c r="I172" s="17" t="s">
        <v>44</v>
      </c>
      <c r="J172" s="17" t="s">
        <v>106</v>
      </c>
      <c r="K172" s="17" t="str">
        <f aca="false">VLOOKUP(J172,Sheet2!A:B,2,0)</f>
        <v>PRAKASH CHAVDA</v>
      </c>
      <c r="L172" s="17" t="n">
        <v>5</v>
      </c>
      <c r="M172" s="17" t="str">
        <f aca="false">VLOOKUP(L172,Sheet2!D:E,2,0)</f>
        <v>Main Processor CPU BGA</v>
      </c>
      <c r="N172" s="17" t="n">
        <v>1</v>
      </c>
      <c r="O172" s="17" t="str">
        <f aca="false">VLOOKUP(N172,Sheet2!G:H,2,0)</f>
        <v>Dead</v>
      </c>
      <c r="P172" s="17" t="n">
        <v>12</v>
      </c>
      <c r="Q172" s="17" t="str">
        <f aca="false">VLOOKUP(P172,Sheet2!J:K,2,0)</f>
        <v>IR Declared due to Others ( IR Normal)TB</v>
      </c>
      <c r="R172" s="17" t="s">
        <v>35</v>
      </c>
      <c r="S172" s="17" t="str">
        <f aca="false">VLOOKUP(R172,Sheet2!N:O,2,0)</f>
        <v>IREPARABLE</v>
      </c>
      <c r="T172" s="18" t="str">
        <f aca="false">VLOOKUP(P172,Sheet2!Q:R,2,0)</f>
        <v>IR Normal - BER to IR</v>
      </c>
      <c r="U172" s="20" t="s">
        <v>135</v>
      </c>
      <c r="V172" s="17" t="n">
        <v>12</v>
      </c>
      <c r="W172" s="20" t="str">
        <f aca="false">VLOOKUP(V172,Sheet2!Q:R,2,0)</f>
        <v>IR Normal - BER to IR</v>
      </c>
      <c r="X172" s="17" t="s">
        <v>106</v>
      </c>
      <c r="Y172" s="17" t="str">
        <f aca="false">VLOOKUP(X172,Sheet2!A:B,2,0)</f>
        <v>PRAKASH CHAVDA</v>
      </c>
      <c r="Z172" s="17" t="s">
        <v>141</v>
      </c>
      <c r="AA172" s="17" t="s">
        <v>182</v>
      </c>
      <c r="AB172" s="17" t="s">
        <v>41</v>
      </c>
      <c r="AC172" s="0" t="str">
        <f aca="false">LEFT(G172,2)</f>
        <v>98</v>
      </c>
      <c r="AD172" s="0"/>
      <c r="AE172" s="21" t="s">
        <v>42</v>
      </c>
    </row>
    <row r="173" customFormat="false" ht="15" hidden="false" customHeight="false" outlineLevel="0" collapsed="false">
      <c r="A173" s="13" t="n">
        <f aca="false">1+A172</f>
        <v>171</v>
      </c>
      <c r="B173" s="17" t="n">
        <v>1009606650</v>
      </c>
      <c r="C173" s="17" t="s">
        <v>181</v>
      </c>
      <c r="D173" s="17" t="s">
        <v>88</v>
      </c>
      <c r="E173" s="17" t="s">
        <v>47</v>
      </c>
      <c r="F173" s="18" t="s">
        <v>34</v>
      </c>
      <c r="G173" s="19" t="n">
        <v>987235220595</v>
      </c>
      <c r="H173" s="17" t="s">
        <v>134</v>
      </c>
      <c r="I173" s="17" t="s">
        <v>44</v>
      </c>
      <c r="J173" s="17" t="s">
        <v>106</v>
      </c>
      <c r="K173" s="17" t="str">
        <f aca="false">VLOOKUP(J173,Sheet2!A:B,2,0)</f>
        <v>PRAKASH CHAVDA</v>
      </c>
      <c r="L173" s="17" t="n">
        <v>5</v>
      </c>
      <c r="M173" s="17" t="str">
        <f aca="false">VLOOKUP(L173,Sheet2!D:E,2,0)</f>
        <v>Main Processor CPU BGA</v>
      </c>
      <c r="N173" s="17" t="n">
        <v>1</v>
      </c>
      <c r="O173" s="17" t="str">
        <f aca="false">VLOOKUP(N173,Sheet2!G:H,2,0)</f>
        <v>Dead</v>
      </c>
      <c r="P173" s="17" t="n">
        <v>12</v>
      </c>
      <c r="Q173" s="17" t="str">
        <f aca="false">VLOOKUP(P173,Sheet2!J:K,2,0)</f>
        <v>IR Declared due to Others ( IR Normal)TB</v>
      </c>
      <c r="R173" s="17" t="s">
        <v>35</v>
      </c>
      <c r="S173" s="17" t="str">
        <f aca="false">VLOOKUP(R173,Sheet2!N:O,2,0)</f>
        <v>IREPARABLE</v>
      </c>
      <c r="T173" s="18" t="str">
        <f aca="false">VLOOKUP(P173,Sheet2!Q:R,2,0)</f>
        <v>IR Normal - BER to IR</v>
      </c>
      <c r="U173" s="20" t="s">
        <v>135</v>
      </c>
      <c r="V173" s="17" t="n">
        <v>12</v>
      </c>
      <c r="W173" s="20" t="str">
        <f aca="false">VLOOKUP(V173,Sheet2!Q:R,2,0)</f>
        <v>IR Normal - BER to IR</v>
      </c>
      <c r="X173" s="17" t="s">
        <v>106</v>
      </c>
      <c r="Y173" s="17" t="str">
        <f aca="false">VLOOKUP(X173,Sheet2!A:B,2,0)</f>
        <v>PRAKASH CHAVDA</v>
      </c>
      <c r="Z173" s="17" t="s">
        <v>141</v>
      </c>
      <c r="AA173" s="17" t="s">
        <v>182</v>
      </c>
      <c r="AB173" s="17" t="s">
        <v>41</v>
      </c>
      <c r="AC173" s="0" t="str">
        <f aca="false">LEFT(G173,2)</f>
        <v>98</v>
      </c>
      <c r="AD173" s="0"/>
      <c r="AE173" s="21" t="s">
        <v>42</v>
      </c>
    </row>
    <row r="174" customFormat="false" ht="15" hidden="false" customHeight="false" outlineLevel="0" collapsed="false">
      <c r="A174" s="13" t="n">
        <f aca="false">1+A173</f>
        <v>172</v>
      </c>
      <c r="B174" s="17" t="n">
        <v>1009606643</v>
      </c>
      <c r="C174" s="17" t="s">
        <v>181</v>
      </c>
      <c r="D174" s="17" t="s">
        <v>88</v>
      </c>
      <c r="E174" s="17" t="s">
        <v>47</v>
      </c>
      <c r="F174" s="18" t="s">
        <v>34</v>
      </c>
      <c r="G174" s="19" t="n">
        <v>987192108684</v>
      </c>
      <c r="H174" s="17" t="s">
        <v>134</v>
      </c>
      <c r="I174" s="17" t="s">
        <v>44</v>
      </c>
      <c r="J174" s="17" t="s">
        <v>106</v>
      </c>
      <c r="K174" s="17" t="str">
        <f aca="false">VLOOKUP(J174,Sheet2!A:B,2,0)</f>
        <v>PRAKASH CHAVDA</v>
      </c>
      <c r="L174" s="17" t="n">
        <v>5</v>
      </c>
      <c r="M174" s="17" t="str">
        <f aca="false">VLOOKUP(L174,Sheet2!D:E,2,0)</f>
        <v>Main Processor CPU BGA</v>
      </c>
      <c r="N174" s="17" t="n">
        <v>1</v>
      </c>
      <c r="O174" s="17" t="str">
        <f aca="false">VLOOKUP(N174,Sheet2!G:H,2,0)</f>
        <v>Dead</v>
      </c>
      <c r="P174" s="17" t="n">
        <v>12</v>
      </c>
      <c r="Q174" s="17" t="str">
        <f aca="false">VLOOKUP(P174,Sheet2!J:K,2,0)</f>
        <v>IR Declared due to Others ( IR Normal)TB</v>
      </c>
      <c r="R174" s="17" t="s">
        <v>35</v>
      </c>
      <c r="S174" s="17" t="str">
        <f aca="false">VLOOKUP(R174,Sheet2!N:O,2,0)</f>
        <v>IREPARABLE</v>
      </c>
      <c r="T174" s="18" t="str">
        <f aca="false">VLOOKUP(P174,Sheet2!Q:R,2,0)</f>
        <v>IR Normal - BER to IR</v>
      </c>
      <c r="U174" s="18" t="s">
        <v>101</v>
      </c>
      <c r="V174" s="17" t="n">
        <v>8</v>
      </c>
      <c r="W174" s="20" t="str">
        <f aca="false">VLOOKUP(V174,Sheet2!Q:R,2,0)</f>
        <v>IR Normal -TrackRust/InternalDamage/open</v>
      </c>
      <c r="X174" s="17" t="s">
        <v>106</v>
      </c>
      <c r="Y174" s="17" t="str">
        <f aca="false">VLOOKUP(X174,Sheet2!A:B,2,0)</f>
        <v>PRAKASH CHAVDA</v>
      </c>
      <c r="Z174" s="17" t="s">
        <v>141</v>
      </c>
      <c r="AA174" s="17" t="s">
        <v>182</v>
      </c>
      <c r="AB174" s="17" t="s">
        <v>41</v>
      </c>
      <c r="AC174" s="0" t="str">
        <f aca="false">LEFT(G174,2)</f>
        <v>98</v>
      </c>
      <c r="AD174" s="0"/>
      <c r="AE174" s="21" t="s">
        <v>42</v>
      </c>
    </row>
    <row r="175" customFormat="false" ht="15" hidden="false" customHeight="false" outlineLevel="0" collapsed="false">
      <c r="A175" s="13" t="n">
        <f aca="false">1+A174</f>
        <v>173</v>
      </c>
      <c r="B175" s="17" t="n">
        <v>1009610815</v>
      </c>
      <c r="C175" s="17" t="s">
        <v>181</v>
      </c>
      <c r="D175" s="17" t="s">
        <v>64</v>
      </c>
      <c r="E175" s="17" t="s">
        <v>64</v>
      </c>
      <c r="F175" s="18" t="s">
        <v>70</v>
      </c>
      <c r="G175" s="19" t="n">
        <v>986255156762</v>
      </c>
      <c r="H175" s="17" t="s">
        <v>134</v>
      </c>
      <c r="I175" s="17" t="s">
        <v>44</v>
      </c>
      <c r="J175" s="17" t="s">
        <v>106</v>
      </c>
      <c r="K175" s="17" t="str">
        <f aca="false">VLOOKUP(J175,Sheet2!A:B,2,0)</f>
        <v>PRAKASH CHAVDA</v>
      </c>
      <c r="L175" s="17" t="n">
        <v>5</v>
      </c>
      <c r="M175" s="17" t="str">
        <f aca="false">VLOOKUP(L175,Sheet2!D:E,2,0)</f>
        <v>Main Processor CPU BGA</v>
      </c>
      <c r="N175" s="17" t="n">
        <v>1</v>
      </c>
      <c r="O175" s="17" t="str">
        <f aca="false">VLOOKUP(N175,Sheet2!G:H,2,0)</f>
        <v>Dead</v>
      </c>
      <c r="P175" s="17" t="n">
        <v>11</v>
      </c>
      <c r="Q175" s="17" t="str">
        <f aca="false">VLOOKUP(P175,Sheet2!J:K,2,0)</f>
        <v>IR Declared due to CID -TA</v>
      </c>
      <c r="R175" s="17" t="s">
        <v>35</v>
      </c>
      <c r="S175" s="17" t="str">
        <f aca="false">VLOOKUP(R175,Sheet2!N:O,2,0)</f>
        <v>IREPARABLE</v>
      </c>
      <c r="T175" s="18" t="str">
        <f aca="false">VLOOKUP(P175,Sheet2!Q:R,2,0)</f>
        <v>IR Normal - Track burn out</v>
      </c>
      <c r="U175" s="18" t="s">
        <v>38</v>
      </c>
      <c r="V175" s="17" t="n">
        <v>4</v>
      </c>
      <c r="W175" s="20" t="str">
        <f aca="false">VLOOKUP(V175,Sheet2!Q:R,2,0)</f>
        <v>IR CID - Tampered Track burn out</v>
      </c>
      <c r="X175" s="17" t="s">
        <v>106</v>
      </c>
      <c r="Y175" s="17" t="str">
        <f aca="false">VLOOKUP(X175,Sheet2!A:B,2,0)</f>
        <v>PRAKASH CHAVDA</v>
      </c>
      <c r="Z175" s="17" t="s">
        <v>141</v>
      </c>
      <c r="AA175" s="17" t="s">
        <v>182</v>
      </c>
      <c r="AB175" s="17" t="s">
        <v>41</v>
      </c>
      <c r="AC175" s="0" t="str">
        <f aca="false">LEFT(G175,2)</f>
        <v>98</v>
      </c>
      <c r="AD175" s="0"/>
      <c r="AE175" s="21" t="s">
        <v>42</v>
      </c>
    </row>
    <row r="176" customFormat="false" ht="15" hidden="false" customHeight="false" outlineLevel="0" collapsed="false">
      <c r="A176" s="13" t="n">
        <f aca="false">1+A175</f>
        <v>174</v>
      </c>
      <c r="B176" s="17" t="n">
        <v>1009607449</v>
      </c>
      <c r="C176" s="17" t="s">
        <v>181</v>
      </c>
      <c r="D176" s="17" t="s">
        <v>64</v>
      </c>
      <c r="E176" s="17" t="s">
        <v>64</v>
      </c>
      <c r="F176" s="18" t="s">
        <v>70</v>
      </c>
      <c r="G176" s="19" t="n">
        <v>986220202733</v>
      </c>
      <c r="H176" s="17" t="s">
        <v>134</v>
      </c>
      <c r="I176" s="17" t="s">
        <v>44</v>
      </c>
      <c r="J176" s="17" t="s">
        <v>106</v>
      </c>
      <c r="K176" s="17" t="str">
        <f aca="false">VLOOKUP(J176,Sheet2!A:B,2,0)</f>
        <v>PRAKASH CHAVDA</v>
      </c>
      <c r="L176" s="17" t="n">
        <v>5</v>
      </c>
      <c r="M176" s="17" t="str">
        <f aca="false">VLOOKUP(L176,Sheet2!D:E,2,0)</f>
        <v>Main Processor CPU BGA</v>
      </c>
      <c r="N176" s="17" t="n">
        <v>24</v>
      </c>
      <c r="O176" s="17" t="str">
        <f aca="false">VLOOKUP(N176,Sheet2!G:H,2,0)</f>
        <v>STB Auto moving -Stand by mode</v>
      </c>
      <c r="P176" s="17" t="n">
        <v>12</v>
      </c>
      <c r="Q176" s="17" t="str">
        <f aca="false">VLOOKUP(P176,Sheet2!J:K,2,0)</f>
        <v>IR Declared due to Others ( IR Normal)TB</v>
      </c>
      <c r="R176" s="17" t="s">
        <v>35</v>
      </c>
      <c r="S176" s="17" t="str">
        <f aca="false">VLOOKUP(R176,Sheet2!N:O,2,0)</f>
        <v>IREPARABLE</v>
      </c>
      <c r="T176" s="18" t="str">
        <f aca="false">VLOOKUP(P176,Sheet2!Q:R,2,0)</f>
        <v>IR Normal - BER to IR</v>
      </c>
      <c r="U176" s="20" t="s">
        <v>135</v>
      </c>
      <c r="V176" s="17" t="n">
        <v>12</v>
      </c>
      <c r="W176" s="20" t="str">
        <f aca="false">VLOOKUP(V176,Sheet2!Q:R,2,0)</f>
        <v>IR Normal - BER to IR</v>
      </c>
      <c r="X176" s="17" t="s">
        <v>106</v>
      </c>
      <c r="Y176" s="17" t="str">
        <f aca="false">VLOOKUP(X176,Sheet2!A:B,2,0)</f>
        <v>PRAKASH CHAVDA</v>
      </c>
      <c r="Z176" s="17" t="s">
        <v>141</v>
      </c>
      <c r="AA176" s="17" t="s">
        <v>182</v>
      </c>
      <c r="AB176" s="17" t="s">
        <v>41</v>
      </c>
      <c r="AC176" s="0" t="str">
        <f aca="false">LEFT(G176,2)</f>
        <v>98</v>
      </c>
      <c r="AD176" s="0"/>
      <c r="AE176" s="21" t="s">
        <v>42</v>
      </c>
    </row>
    <row r="177" customFormat="false" ht="15" hidden="false" customHeight="false" outlineLevel="0" collapsed="false">
      <c r="A177" s="13" t="n">
        <f aca="false">1+A176</f>
        <v>175</v>
      </c>
      <c r="B177" s="17" t="n">
        <v>1009610527</v>
      </c>
      <c r="C177" s="17" t="s">
        <v>181</v>
      </c>
      <c r="D177" s="17" t="s">
        <v>88</v>
      </c>
      <c r="E177" s="17" t="s">
        <v>47</v>
      </c>
      <c r="F177" s="18" t="s">
        <v>34</v>
      </c>
      <c r="G177" s="19" t="n">
        <v>987235147517</v>
      </c>
      <c r="H177" s="17" t="s">
        <v>134</v>
      </c>
      <c r="I177" s="17" t="s">
        <v>44</v>
      </c>
      <c r="J177" s="17" t="s">
        <v>106</v>
      </c>
      <c r="K177" s="17" t="str">
        <f aca="false">VLOOKUP(J177,Sheet2!A:B,2,0)</f>
        <v>PRAKASH CHAVDA</v>
      </c>
      <c r="L177" s="17" t="n">
        <v>5</v>
      </c>
      <c r="M177" s="17" t="str">
        <f aca="false">VLOOKUP(L177,Sheet2!D:E,2,0)</f>
        <v>Main Processor CPU BGA</v>
      </c>
      <c r="N177" s="17" t="n">
        <v>24</v>
      </c>
      <c r="O177" s="17" t="str">
        <f aca="false">VLOOKUP(N177,Sheet2!G:H,2,0)</f>
        <v>STB Auto moving -Stand by mode</v>
      </c>
      <c r="P177" s="17" t="n">
        <v>12</v>
      </c>
      <c r="Q177" s="17" t="str">
        <f aca="false">VLOOKUP(P177,Sheet2!J:K,2,0)</f>
        <v>IR Declared due to Others ( IR Normal)TB</v>
      </c>
      <c r="R177" s="17" t="s">
        <v>35</v>
      </c>
      <c r="S177" s="17" t="str">
        <f aca="false">VLOOKUP(R177,Sheet2!N:O,2,0)</f>
        <v>IREPARABLE</v>
      </c>
      <c r="T177" s="18" t="str">
        <f aca="false">VLOOKUP(P177,Sheet2!Q:R,2,0)</f>
        <v>IR Normal - BER to IR</v>
      </c>
      <c r="U177" s="20" t="s">
        <v>135</v>
      </c>
      <c r="V177" s="17" t="n">
        <v>12</v>
      </c>
      <c r="W177" s="20" t="str">
        <f aca="false">VLOOKUP(V177,Sheet2!Q:R,2,0)</f>
        <v>IR Normal - BER to IR</v>
      </c>
      <c r="X177" s="17" t="s">
        <v>106</v>
      </c>
      <c r="Y177" s="17" t="str">
        <f aca="false">VLOOKUP(X177,Sheet2!A:B,2,0)</f>
        <v>PRAKASH CHAVDA</v>
      </c>
      <c r="Z177" s="17" t="s">
        <v>141</v>
      </c>
      <c r="AA177" s="17" t="s">
        <v>182</v>
      </c>
      <c r="AB177" s="17" t="s">
        <v>41</v>
      </c>
      <c r="AC177" s="0" t="str">
        <f aca="false">LEFT(G177,2)</f>
        <v>98</v>
      </c>
      <c r="AD177" s="0"/>
      <c r="AE177" s="21" t="s">
        <v>42</v>
      </c>
    </row>
    <row r="178" customFormat="false" ht="15" hidden="false" customHeight="false" outlineLevel="0" collapsed="false">
      <c r="A178" s="13" t="n">
        <f aca="false">1+A177</f>
        <v>176</v>
      </c>
      <c r="B178" s="17" t="n">
        <v>1009560030</v>
      </c>
      <c r="C178" s="17" t="s">
        <v>192</v>
      </c>
      <c r="D178" s="17" t="s">
        <v>64</v>
      </c>
      <c r="E178" s="17" t="s">
        <v>193</v>
      </c>
      <c r="F178" s="18" t="s">
        <v>34</v>
      </c>
      <c r="G178" s="19" t="n">
        <v>987098157421</v>
      </c>
      <c r="H178" s="17" t="s">
        <v>134</v>
      </c>
      <c r="I178" s="17" t="s">
        <v>44</v>
      </c>
      <c r="J178" s="17" t="s">
        <v>106</v>
      </c>
      <c r="K178" s="17" t="str">
        <f aca="false">VLOOKUP(J178,Sheet2!A:B,2,0)</f>
        <v>PRAKASH CHAVDA</v>
      </c>
      <c r="L178" s="17" t="n">
        <v>5</v>
      </c>
      <c r="M178" s="17" t="str">
        <f aca="false">VLOOKUP(L178,Sheet2!D:E,2,0)</f>
        <v>Main Processor CPU BGA</v>
      </c>
      <c r="N178" s="17" t="n">
        <v>37</v>
      </c>
      <c r="O178" s="17" t="str">
        <f aca="false">VLOOKUP(N178,Sheet2!G:H,2,0)</f>
        <v>Error -2</v>
      </c>
      <c r="P178" s="17" t="n">
        <v>12</v>
      </c>
      <c r="Q178" s="17" t="str">
        <f aca="false">VLOOKUP(P178,Sheet2!J:K,2,0)</f>
        <v>IR Declared due to Others ( IR Normal)TB</v>
      </c>
      <c r="R178" s="17" t="s">
        <v>35</v>
      </c>
      <c r="S178" s="17" t="str">
        <f aca="false">VLOOKUP(R178,Sheet2!N:O,2,0)</f>
        <v>IREPARABLE</v>
      </c>
      <c r="T178" s="18" t="str">
        <f aca="false">VLOOKUP(P178,Sheet2!Q:R,2,0)</f>
        <v>IR Normal - BER to IR</v>
      </c>
      <c r="U178" s="20" t="s">
        <v>135</v>
      </c>
      <c r="V178" s="17" t="n">
        <v>12</v>
      </c>
      <c r="W178" s="20" t="str">
        <f aca="false">VLOOKUP(V178,Sheet2!Q:R,2,0)</f>
        <v>IR Normal - BER to IR</v>
      </c>
      <c r="X178" s="17" t="s">
        <v>106</v>
      </c>
      <c r="Y178" s="17" t="str">
        <f aca="false">VLOOKUP(X178,Sheet2!A:B,2,0)</f>
        <v>PRAKASH CHAVDA</v>
      </c>
      <c r="Z178" s="17" t="s">
        <v>194</v>
      </c>
      <c r="AA178" s="17" t="s">
        <v>182</v>
      </c>
      <c r="AB178" s="17" t="s">
        <v>41</v>
      </c>
      <c r="AC178" s="0" t="str">
        <f aca="false">LEFT(G178,2)</f>
        <v>98</v>
      </c>
      <c r="AD178" s="0"/>
      <c r="AE178" s="21" t="s">
        <v>42</v>
      </c>
    </row>
    <row r="179" customFormat="false" ht="15" hidden="false" customHeight="false" outlineLevel="0" collapsed="false">
      <c r="A179" s="13" t="n">
        <f aca="false">1+A178</f>
        <v>177</v>
      </c>
      <c r="B179" s="17" t="n">
        <v>1009573161</v>
      </c>
      <c r="C179" s="17" t="s">
        <v>104</v>
      </c>
      <c r="D179" s="17" t="s">
        <v>195</v>
      </c>
      <c r="E179" s="17" t="s">
        <v>176</v>
      </c>
      <c r="F179" s="18" t="s">
        <v>34</v>
      </c>
      <c r="G179" s="19" t="n">
        <v>987200161956</v>
      </c>
      <c r="H179" s="17" t="s">
        <v>134</v>
      </c>
      <c r="I179" s="17" t="s">
        <v>44</v>
      </c>
      <c r="J179" s="17" t="s">
        <v>106</v>
      </c>
      <c r="K179" s="17" t="str">
        <f aca="false">VLOOKUP(J179,Sheet2!A:B,2,0)</f>
        <v>PRAKASH CHAVDA</v>
      </c>
      <c r="L179" s="17" t="n">
        <v>5</v>
      </c>
      <c r="M179" s="17" t="str">
        <f aca="false">VLOOKUP(L179,Sheet2!D:E,2,0)</f>
        <v>Main Processor CPU BGA</v>
      </c>
      <c r="N179" s="17" t="n">
        <v>28</v>
      </c>
      <c r="O179" s="17" t="str">
        <f aca="false">VLOOKUP(N179,Sheet2!G:H,2,0)</f>
        <v>Hang and Freeze video - AV</v>
      </c>
      <c r="P179" s="17" t="n">
        <v>12</v>
      </c>
      <c r="Q179" s="17" t="str">
        <f aca="false">VLOOKUP(P179,Sheet2!J:K,2,0)</f>
        <v>IR Declared due to Others ( IR Normal)TB</v>
      </c>
      <c r="R179" s="17" t="s">
        <v>35</v>
      </c>
      <c r="S179" s="17" t="str">
        <f aca="false">VLOOKUP(R179,Sheet2!N:O,2,0)</f>
        <v>IREPARABLE</v>
      </c>
      <c r="T179" s="18" t="str">
        <f aca="false">VLOOKUP(P179,Sheet2!Q:R,2,0)</f>
        <v>IR Normal - BER to IR</v>
      </c>
      <c r="U179" s="20" t="s">
        <v>135</v>
      </c>
      <c r="V179" s="17" t="n">
        <v>12</v>
      </c>
      <c r="W179" s="20" t="str">
        <f aca="false">VLOOKUP(V179,Sheet2!Q:R,2,0)</f>
        <v>IR Normal - BER to IR</v>
      </c>
      <c r="X179" s="17" t="s">
        <v>106</v>
      </c>
      <c r="Y179" s="17" t="str">
        <f aca="false">VLOOKUP(X179,Sheet2!A:B,2,0)</f>
        <v>PRAKASH CHAVDA</v>
      </c>
      <c r="Z179" s="17" t="s">
        <v>141</v>
      </c>
      <c r="AA179" s="17" t="s">
        <v>182</v>
      </c>
      <c r="AB179" s="17" t="s">
        <v>41</v>
      </c>
      <c r="AC179" s="0" t="str">
        <f aca="false">LEFT(G179,2)</f>
        <v>98</v>
      </c>
      <c r="AD179" s="0"/>
      <c r="AE179" s="21" t="s">
        <v>42</v>
      </c>
    </row>
    <row r="180" customFormat="false" ht="15" hidden="false" customHeight="false" outlineLevel="0" collapsed="false">
      <c r="A180" s="13" t="n">
        <f aca="false">1+A179</f>
        <v>178</v>
      </c>
      <c r="B180" s="17" t="n">
        <v>1009606557</v>
      </c>
      <c r="C180" s="17" t="s">
        <v>181</v>
      </c>
      <c r="D180" s="17" t="s">
        <v>88</v>
      </c>
      <c r="E180" s="17" t="s">
        <v>47</v>
      </c>
      <c r="F180" s="18" t="s">
        <v>34</v>
      </c>
      <c r="G180" s="19" t="n">
        <v>985294228087</v>
      </c>
      <c r="H180" s="17" t="s">
        <v>134</v>
      </c>
      <c r="I180" s="17" t="s">
        <v>44</v>
      </c>
      <c r="J180" s="17" t="s">
        <v>106</v>
      </c>
      <c r="K180" s="17" t="str">
        <f aca="false">VLOOKUP(J180,Sheet2!A:B,2,0)</f>
        <v>PRAKASH CHAVDA</v>
      </c>
      <c r="L180" s="17" t="n">
        <v>5</v>
      </c>
      <c r="M180" s="17" t="str">
        <f aca="false">VLOOKUP(L180,Sheet2!D:E,2,0)</f>
        <v>Main Processor CPU BGA</v>
      </c>
      <c r="N180" s="17" t="n">
        <v>1</v>
      </c>
      <c r="O180" s="17" t="str">
        <f aca="false">VLOOKUP(N180,Sheet2!G:H,2,0)</f>
        <v>Dead</v>
      </c>
      <c r="P180" s="17" t="n">
        <v>12</v>
      </c>
      <c r="Q180" s="17" t="str">
        <f aca="false">VLOOKUP(P180,Sheet2!J:K,2,0)</f>
        <v>IR Declared due to Others ( IR Normal)TB</v>
      </c>
      <c r="R180" s="17" t="s">
        <v>35</v>
      </c>
      <c r="S180" s="17" t="str">
        <f aca="false">VLOOKUP(R180,Sheet2!N:O,2,0)</f>
        <v>IREPARABLE</v>
      </c>
      <c r="T180" s="18" t="str">
        <f aca="false">VLOOKUP(P180,Sheet2!Q:R,2,0)</f>
        <v>IR Normal - BER to IR</v>
      </c>
      <c r="U180" s="20" t="s">
        <v>135</v>
      </c>
      <c r="V180" s="17" t="n">
        <v>12</v>
      </c>
      <c r="W180" s="20" t="str">
        <f aca="false">VLOOKUP(V180,Sheet2!Q:R,2,0)</f>
        <v>IR Normal - BER to IR</v>
      </c>
      <c r="X180" s="17" t="s">
        <v>106</v>
      </c>
      <c r="Y180" s="17" t="str">
        <f aca="false">VLOOKUP(X180,Sheet2!A:B,2,0)</f>
        <v>PRAKASH CHAVDA</v>
      </c>
      <c r="Z180" s="17" t="s">
        <v>141</v>
      </c>
      <c r="AA180" s="17" t="s">
        <v>182</v>
      </c>
      <c r="AB180" s="17" t="s">
        <v>41</v>
      </c>
      <c r="AC180" s="0" t="str">
        <f aca="false">LEFT(G180,2)</f>
        <v>98</v>
      </c>
      <c r="AD180" s="0"/>
      <c r="AE180" s="21" t="s">
        <v>42</v>
      </c>
    </row>
    <row r="181" customFormat="false" ht="15" hidden="false" customHeight="false" outlineLevel="0" collapsed="false">
      <c r="A181" s="13" t="n">
        <f aca="false">1+A180</f>
        <v>179</v>
      </c>
      <c r="B181" s="17" t="n">
        <v>1009577248</v>
      </c>
      <c r="C181" s="17" t="s">
        <v>139</v>
      </c>
      <c r="D181" s="17" t="s">
        <v>142</v>
      </c>
      <c r="E181" s="17" t="s">
        <v>47</v>
      </c>
      <c r="F181" s="18" t="s">
        <v>34</v>
      </c>
      <c r="G181" s="19" t="n">
        <v>987275110458</v>
      </c>
      <c r="H181" s="17" t="s">
        <v>134</v>
      </c>
      <c r="I181" s="17" t="s">
        <v>44</v>
      </c>
      <c r="J181" s="17" t="s">
        <v>106</v>
      </c>
      <c r="K181" s="17" t="str">
        <f aca="false">VLOOKUP(J181,Sheet2!A:B,2,0)</f>
        <v>PRAKASH CHAVDA</v>
      </c>
      <c r="L181" s="17" t="n">
        <v>5</v>
      </c>
      <c r="M181" s="17" t="str">
        <f aca="false">VLOOKUP(L181,Sheet2!D:E,2,0)</f>
        <v>Main Processor CPU BGA</v>
      </c>
      <c r="N181" s="17" t="n">
        <v>1</v>
      </c>
      <c r="O181" s="17" t="str">
        <f aca="false">VLOOKUP(N181,Sheet2!G:H,2,0)</f>
        <v>Dead</v>
      </c>
      <c r="P181" s="17" t="n">
        <v>12</v>
      </c>
      <c r="Q181" s="17" t="str">
        <f aca="false">VLOOKUP(P181,Sheet2!J:K,2,0)</f>
        <v>IR Declared due to Others ( IR Normal)TB</v>
      </c>
      <c r="R181" s="17" t="s">
        <v>35</v>
      </c>
      <c r="S181" s="17" t="str">
        <f aca="false">VLOOKUP(R181,Sheet2!N:O,2,0)</f>
        <v>IREPARABLE</v>
      </c>
      <c r="T181" s="18" t="str">
        <f aca="false">VLOOKUP(P181,Sheet2!Q:R,2,0)</f>
        <v>IR Normal - BER to IR</v>
      </c>
      <c r="U181" s="20" t="s">
        <v>135</v>
      </c>
      <c r="V181" s="17" t="n">
        <v>12</v>
      </c>
      <c r="W181" s="20" t="str">
        <f aca="false">VLOOKUP(V181,Sheet2!Q:R,2,0)</f>
        <v>IR Normal - BER to IR</v>
      </c>
      <c r="X181" s="17" t="s">
        <v>106</v>
      </c>
      <c r="Y181" s="17" t="str">
        <f aca="false">VLOOKUP(X181,Sheet2!A:B,2,0)</f>
        <v>PRAKASH CHAVDA</v>
      </c>
      <c r="Z181" s="17" t="s">
        <v>141</v>
      </c>
      <c r="AA181" s="17" t="s">
        <v>182</v>
      </c>
      <c r="AB181" s="17" t="s">
        <v>41</v>
      </c>
      <c r="AC181" s="0" t="str">
        <f aca="false">LEFT(G181,2)</f>
        <v>98</v>
      </c>
      <c r="AD181" s="0"/>
      <c r="AE181" s="21" t="s">
        <v>42</v>
      </c>
    </row>
    <row r="182" customFormat="false" ht="15" hidden="false" customHeight="false" outlineLevel="0" collapsed="false">
      <c r="A182" s="13" t="n">
        <f aca="false">1+A181</f>
        <v>180</v>
      </c>
      <c r="B182" s="17" t="n">
        <v>1009610741</v>
      </c>
      <c r="C182" s="17" t="s">
        <v>181</v>
      </c>
      <c r="D182" s="17" t="s">
        <v>119</v>
      </c>
      <c r="E182" s="17" t="s">
        <v>33</v>
      </c>
      <c r="F182" s="18" t="s">
        <v>34</v>
      </c>
      <c r="G182" s="19" t="n">
        <v>986205126394</v>
      </c>
      <c r="H182" s="17" t="s">
        <v>134</v>
      </c>
      <c r="I182" s="17" t="s">
        <v>44</v>
      </c>
      <c r="J182" s="17" t="s">
        <v>106</v>
      </c>
      <c r="K182" s="17" t="str">
        <f aca="false">VLOOKUP(J182,Sheet2!A:B,2,0)</f>
        <v>PRAKASH CHAVDA</v>
      </c>
      <c r="L182" s="17" t="n">
        <v>5</v>
      </c>
      <c r="M182" s="17" t="str">
        <f aca="false">VLOOKUP(L182,Sheet2!D:E,2,0)</f>
        <v>Main Processor CPU BGA</v>
      </c>
      <c r="N182" s="17" t="n">
        <v>28</v>
      </c>
      <c r="O182" s="17" t="str">
        <f aca="false">VLOOKUP(N182,Sheet2!G:H,2,0)</f>
        <v>Hang and Freeze video - AV</v>
      </c>
      <c r="P182" s="17" t="n">
        <v>12</v>
      </c>
      <c r="Q182" s="17" t="str">
        <f aca="false">VLOOKUP(P182,Sheet2!J:K,2,0)</f>
        <v>IR Declared due to Others ( IR Normal)TB</v>
      </c>
      <c r="R182" s="17" t="s">
        <v>35</v>
      </c>
      <c r="S182" s="17" t="str">
        <f aca="false">VLOOKUP(R182,Sheet2!N:O,2,0)</f>
        <v>IREPARABLE</v>
      </c>
      <c r="T182" s="18" t="str">
        <f aca="false">VLOOKUP(P182,Sheet2!Q:R,2,0)</f>
        <v>IR Normal - BER to IR</v>
      </c>
      <c r="U182" s="20" t="s">
        <v>135</v>
      </c>
      <c r="V182" s="17" t="n">
        <v>12</v>
      </c>
      <c r="W182" s="20" t="str">
        <f aca="false">VLOOKUP(V182,Sheet2!Q:R,2,0)</f>
        <v>IR Normal - BER to IR</v>
      </c>
      <c r="X182" s="17" t="s">
        <v>106</v>
      </c>
      <c r="Y182" s="17" t="str">
        <f aca="false">VLOOKUP(X182,Sheet2!A:B,2,0)</f>
        <v>PRAKASH CHAVDA</v>
      </c>
      <c r="Z182" s="17" t="s">
        <v>141</v>
      </c>
      <c r="AA182" s="17" t="s">
        <v>182</v>
      </c>
      <c r="AB182" s="17" t="s">
        <v>41</v>
      </c>
      <c r="AC182" s="0" t="str">
        <f aca="false">LEFT(G182,2)</f>
        <v>98</v>
      </c>
      <c r="AD182" s="0"/>
      <c r="AE182" s="21" t="s">
        <v>42</v>
      </c>
    </row>
    <row r="183" customFormat="false" ht="15" hidden="false" customHeight="false" outlineLevel="0" collapsed="false">
      <c r="A183" s="13" t="n">
        <f aca="false">1+A182</f>
        <v>181</v>
      </c>
      <c r="B183" s="17" t="n">
        <v>1009607627</v>
      </c>
      <c r="C183" s="17" t="s">
        <v>181</v>
      </c>
      <c r="D183" s="17" t="s">
        <v>88</v>
      </c>
      <c r="E183" s="17" t="s">
        <v>47</v>
      </c>
      <c r="F183" s="18" t="s">
        <v>34</v>
      </c>
      <c r="G183" s="19" t="n">
        <v>987200165825</v>
      </c>
      <c r="H183" s="17" t="s">
        <v>134</v>
      </c>
      <c r="I183" s="17" t="s">
        <v>44</v>
      </c>
      <c r="J183" s="17" t="s">
        <v>106</v>
      </c>
      <c r="K183" s="17" t="str">
        <f aca="false">VLOOKUP(J183,Sheet2!A:B,2,0)</f>
        <v>PRAKASH CHAVDA</v>
      </c>
      <c r="L183" s="17" t="n">
        <v>5</v>
      </c>
      <c r="M183" s="17" t="str">
        <f aca="false">VLOOKUP(L183,Sheet2!D:E,2,0)</f>
        <v>Main Processor CPU BGA</v>
      </c>
      <c r="N183" s="17" t="n">
        <v>1</v>
      </c>
      <c r="O183" s="17" t="str">
        <f aca="false">VLOOKUP(N183,Sheet2!G:H,2,0)</f>
        <v>Dead</v>
      </c>
      <c r="P183" s="17" t="n">
        <v>12</v>
      </c>
      <c r="Q183" s="17" t="str">
        <f aca="false">VLOOKUP(P183,Sheet2!J:K,2,0)</f>
        <v>IR Declared due to Others ( IR Normal)TB</v>
      </c>
      <c r="R183" s="17" t="s">
        <v>35</v>
      </c>
      <c r="S183" s="17" t="str">
        <f aca="false">VLOOKUP(R183,Sheet2!N:O,2,0)</f>
        <v>IREPARABLE</v>
      </c>
      <c r="T183" s="18" t="str">
        <f aca="false">VLOOKUP(P183,Sheet2!Q:R,2,0)</f>
        <v>IR Normal - BER to IR</v>
      </c>
      <c r="U183" s="18" t="s">
        <v>101</v>
      </c>
      <c r="V183" s="17" t="n">
        <v>8</v>
      </c>
      <c r="W183" s="20" t="str">
        <f aca="false">VLOOKUP(V183,Sheet2!Q:R,2,0)</f>
        <v>IR Normal -TrackRust/InternalDamage/open</v>
      </c>
      <c r="X183" s="17" t="s">
        <v>106</v>
      </c>
      <c r="Y183" s="17" t="str">
        <f aca="false">VLOOKUP(X183,Sheet2!A:B,2,0)</f>
        <v>PRAKASH CHAVDA</v>
      </c>
      <c r="Z183" s="17" t="s">
        <v>141</v>
      </c>
      <c r="AA183" s="17" t="s">
        <v>182</v>
      </c>
      <c r="AB183" s="17" t="s">
        <v>41</v>
      </c>
      <c r="AC183" s="0" t="str">
        <f aca="false">LEFT(G183,2)</f>
        <v>98</v>
      </c>
      <c r="AD183" s="0"/>
      <c r="AE183" s="21" t="s">
        <v>42</v>
      </c>
    </row>
    <row r="184" customFormat="false" ht="15" hidden="false" customHeight="false" outlineLevel="0" collapsed="false">
      <c r="A184" s="13" t="n">
        <f aca="false">1+A183</f>
        <v>182</v>
      </c>
      <c r="B184" s="17" t="n">
        <v>1009607308</v>
      </c>
      <c r="C184" s="17" t="s">
        <v>181</v>
      </c>
      <c r="D184" s="17" t="s">
        <v>64</v>
      </c>
      <c r="E184" s="17" t="s">
        <v>64</v>
      </c>
      <c r="F184" s="18" t="s">
        <v>70</v>
      </c>
      <c r="G184" s="19" t="n">
        <v>985303129334</v>
      </c>
      <c r="H184" s="17" t="s">
        <v>134</v>
      </c>
      <c r="I184" s="17" t="s">
        <v>44</v>
      </c>
      <c r="J184" s="17" t="s">
        <v>106</v>
      </c>
      <c r="K184" s="17" t="str">
        <f aca="false">VLOOKUP(J184,Sheet2!A:B,2,0)</f>
        <v>PRAKASH CHAVDA</v>
      </c>
      <c r="L184" s="17" t="n">
        <v>5</v>
      </c>
      <c r="M184" s="17" t="str">
        <f aca="false">VLOOKUP(L184,Sheet2!D:E,2,0)</f>
        <v>Main Processor CPU BGA</v>
      </c>
      <c r="N184" s="17" t="n">
        <v>28</v>
      </c>
      <c r="O184" s="17" t="str">
        <f aca="false">VLOOKUP(N184,Sheet2!G:H,2,0)</f>
        <v>Hang and Freeze video - AV</v>
      </c>
      <c r="P184" s="17" t="n">
        <v>12</v>
      </c>
      <c r="Q184" s="17" t="str">
        <f aca="false">VLOOKUP(P184,Sheet2!J:K,2,0)</f>
        <v>IR Declared due to Others ( IR Normal)TB</v>
      </c>
      <c r="R184" s="17" t="s">
        <v>35</v>
      </c>
      <c r="S184" s="17" t="str">
        <f aca="false">VLOOKUP(R184,Sheet2!N:O,2,0)</f>
        <v>IREPARABLE</v>
      </c>
      <c r="T184" s="18" t="str">
        <f aca="false">VLOOKUP(P184,Sheet2!Q:R,2,0)</f>
        <v>IR Normal - BER to IR</v>
      </c>
      <c r="U184" s="20" t="s">
        <v>135</v>
      </c>
      <c r="V184" s="17" t="n">
        <v>12</v>
      </c>
      <c r="W184" s="20" t="str">
        <f aca="false">VLOOKUP(V184,Sheet2!Q:R,2,0)</f>
        <v>IR Normal - BER to IR</v>
      </c>
      <c r="X184" s="17" t="s">
        <v>106</v>
      </c>
      <c r="Y184" s="17" t="str">
        <f aca="false">VLOOKUP(X184,Sheet2!A:B,2,0)</f>
        <v>PRAKASH CHAVDA</v>
      </c>
      <c r="Z184" s="17" t="s">
        <v>141</v>
      </c>
      <c r="AA184" s="17" t="s">
        <v>182</v>
      </c>
      <c r="AB184" s="17" t="s">
        <v>41</v>
      </c>
      <c r="AC184" s="0" t="str">
        <f aca="false">LEFT(G184,2)</f>
        <v>98</v>
      </c>
      <c r="AD184" s="0"/>
      <c r="AE184" s="21" t="s">
        <v>42</v>
      </c>
    </row>
    <row r="185" customFormat="false" ht="15" hidden="false" customHeight="false" outlineLevel="0" collapsed="false">
      <c r="A185" s="13" t="n">
        <f aca="false">1+A184</f>
        <v>183</v>
      </c>
      <c r="B185" s="17" t="n">
        <v>1009608543</v>
      </c>
      <c r="C185" s="17" t="s">
        <v>181</v>
      </c>
      <c r="D185" s="17" t="s">
        <v>196</v>
      </c>
      <c r="E185" s="17" t="s">
        <v>47</v>
      </c>
      <c r="F185" s="18" t="s">
        <v>34</v>
      </c>
      <c r="G185" s="19" t="n">
        <v>986258223668</v>
      </c>
      <c r="H185" s="17" t="s">
        <v>134</v>
      </c>
      <c r="I185" s="17" t="s">
        <v>44</v>
      </c>
      <c r="J185" s="17" t="s">
        <v>106</v>
      </c>
      <c r="K185" s="17" t="str">
        <f aca="false">VLOOKUP(J185,Sheet2!A:B,2,0)</f>
        <v>PRAKASH CHAVDA</v>
      </c>
      <c r="L185" s="17" t="n">
        <v>5</v>
      </c>
      <c r="M185" s="17" t="str">
        <f aca="false">VLOOKUP(L185,Sheet2!D:E,2,0)</f>
        <v>Main Processor CPU BGA</v>
      </c>
      <c r="N185" s="17" t="n">
        <v>6</v>
      </c>
      <c r="O185" s="17" t="str">
        <f aca="false">VLOOKUP(N185,Sheet2!G:H,2,0)</f>
        <v>No Signal</v>
      </c>
      <c r="P185" s="17" t="n">
        <v>12</v>
      </c>
      <c r="Q185" s="17" t="str">
        <f aca="false">VLOOKUP(P185,Sheet2!J:K,2,0)</f>
        <v>IR Declared due to Others ( IR Normal)TB</v>
      </c>
      <c r="R185" s="17" t="s">
        <v>35</v>
      </c>
      <c r="S185" s="17" t="str">
        <f aca="false">VLOOKUP(R185,Sheet2!N:O,2,0)</f>
        <v>IREPARABLE</v>
      </c>
      <c r="T185" s="18" t="str">
        <f aca="false">VLOOKUP(P185,Sheet2!Q:R,2,0)</f>
        <v>IR Normal - BER to IR</v>
      </c>
      <c r="U185" s="15" t="s">
        <v>38</v>
      </c>
      <c r="V185" s="17" t="n">
        <v>11</v>
      </c>
      <c r="W185" s="20" t="str">
        <f aca="false">VLOOKUP(V185,Sheet2!Q:R,2,0)</f>
        <v>IR Normal - Track burn out</v>
      </c>
      <c r="X185" s="17" t="s">
        <v>106</v>
      </c>
      <c r="Y185" s="17" t="str">
        <f aca="false">VLOOKUP(X185,Sheet2!A:B,2,0)</f>
        <v>PRAKASH CHAVDA</v>
      </c>
      <c r="Z185" s="17" t="s">
        <v>141</v>
      </c>
      <c r="AA185" s="17" t="s">
        <v>182</v>
      </c>
      <c r="AB185" s="17" t="s">
        <v>41</v>
      </c>
      <c r="AC185" s="0" t="str">
        <f aca="false">LEFT(G185,2)</f>
        <v>98</v>
      </c>
      <c r="AD185" s="0"/>
      <c r="AE185" s="21" t="s">
        <v>42</v>
      </c>
    </row>
    <row r="186" customFormat="false" ht="15" hidden="false" customHeight="false" outlineLevel="0" collapsed="false">
      <c r="A186" s="13" t="n">
        <f aca="false">1+A185</f>
        <v>184</v>
      </c>
      <c r="B186" s="17" t="n">
        <v>1009580757</v>
      </c>
      <c r="C186" s="17" t="s">
        <v>104</v>
      </c>
      <c r="D186" s="17" t="s">
        <v>144</v>
      </c>
      <c r="E186" s="17" t="s">
        <v>47</v>
      </c>
      <c r="F186" s="18" t="s">
        <v>34</v>
      </c>
      <c r="G186" s="19" t="n">
        <v>987276117197</v>
      </c>
      <c r="H186" s="17" t="s">
        <v>134</v>
      </c>
      <c r="I186" s="17" t="s">
        <v>44</v>
      </c>
      <c r="J186" s="17" t="s">
        <v>106</v>
      </c>
      <c r="K186" s="17" t="str">
        <f aca="false">VLOOKUP(J186,Sheet2!A:B,2,0)</f>
        <v>PRAKASH CHAVDA</v>
      </c>
      <c r="L186" s="17" t="n">
        <v>5</v>
      </c>
      <c r="M186" s="17" t="str">
        <f aca="false">VLOOKUP(L186,Sheet2!D:E,2,0)</f>
        <v>Main Processor CPU BGA</v>
      </c>
      <c r="N186" s="17" t="n">
        <v>1</v>
      </c>
      <c r="O186" s="17" t="str">
        <f aca="false">VLOOKUP(N186,Sheet2!G:H,2,0)</f>
        <v>Dead</v>
      </c>
      <c r="P186" s="17" t="n">
        <v>12</v>
      </c>
      <c r="Q186" s="17" t="str">
        <f aca="false">VLOOKUP(P186,Sheet2!J:K,2,0)</f>
        <v>IR Declared due to Others ( IR Normal)TB</v>
      </c>
      <c r="R186" s="17" t="s">
        <v>35</v>
      </c>
      <c r="S186" s="17" t="str">
        <f aca="false">VLOOKUP(R186,Sheet2!N:O,2,0)</f>
        <v>IREPARABLE</v>
      </c>
      <c r="T186" s="18" t="str">
        <f aca="false">VLOOKUP(P186,Sheet2!Q:R,2,0)</f>
        <v>IR Normal - BER to IR</v>
      </c>
      <c r="U186" s="15" t="s">
        <v>38</v>
      </c>
      <c r="V186" s="17" t="n">
        <v>11</v>
      </c>
      <c r="W186" s="20" t="str">
        <f aca="false">VLOOKUP(V186,Sheet2!Q:R,2,0)</f>
        <v>IR Normal - Track burn out</v>
      </c>
      <c r="X186" s="17" t="s">
        <v>106</v>
      </c>
      <c r="Y186" s="17" t="str">
        <f aca="false">VLOOKUP(X186,Sheet2!A:B,2,0)</f>
        <v>PRAKASH CHAVDA</v>
      </c>
      <c r="Z186" s="17" t="s">
        <v>141</v>
      </c>
      <c r="AA186" s="17" t="s">
        <v>182</v>
      </c>
      <c r="AB186" s="17" t="s">
        <v>41</v>
      </c>
      <c r="AC186" s="0" t="str">
        <f aca="false">LEFT(G186,2)</f>
        <v>98</v>
      </c>
      <c r="AD186" s="0"/>
      <c r="AE186" s="21" t="s">
        <v>42</v>
      </c>
    </row>
    <row r="187" customFormat="false" ht="15" hidden="false" customHeight="false" outlineLevel="0" collapsed="false">
      <c r="A187" s="13" t="n">
        <f aca="false">1+A186</f>
        <v>185</v>
      </c>
      <c r="B187" s="17" t="n">
        <v>1009607603</v>
      </c>
      <c r="C187" s="17" t="s">
        <v>181</v>
      </c>
      <c r="D187" s="17" t="s">
        <v>88</v>
      </c>
      <c r="E187" s="17" t="s">
        <v>47</v>
      </c>
      <c r="F187" s="18" t="s">
        <v>34</v>
      </c>
      <c r="G187" s="19" t="n">
        <v>986156222101</v>
      </c>
      <c r="H187" s="17" t="s">
        <v>134</v>
      </c>
      <c r="I187" s="17" t="s">
        <v>44</v>
      </c>
      <c r="J187" s="17" t="s">
        <v>106</v>
      </c>
      <c r="K187" s="17" t="str">
        <f aca="false">VLOOKUP(J187,Sheet2!A:B,2,0)</f>
        <v>PRAKASH CHAVDA</v>
      </c>
      <c r="L187" s="17" t="n">
        <v>5</v>
      </c>
      <c r="M187" s="17" t="str">
        <f aca="false">VLOOKUP(L187,Sheet2!D:E,2,0)</f>
        <v>Main Processor CPU BGA</v>
      </c>
      <c r="N187" s="17" t="n">
        <v>1</v>
      </c>
      <c r="O187" s="17" t="str">
        <f aca="false">VLOOKUP(N187,Sheet2!G:H,2,0)</f>
        <v>Dead</v>
      </c>
      <c r="P187" s="17" t="n">
        <v>12</v>
      </c>
      <c r="Q187" s="17" t="str">
        <f aca="false">VLOOKUP(P187,Sheet2!J:K,2,0)</f>
        <v>IR Declared due to Others ( IR Normal)TB</v>
      </c>
      <c r="R187" s="17" t="s">
        <v>35</v>
      </c>
      <c r="S187" s="17" t="str">
        <f aca="false">VLOOKUP(R187,Sheet2!N:O,2,0)</f>
        <v>IREPARABLE</v>
      </c>
      <c r="T187" s="18" t="str">
        <f aca="false">VLOOKUP(P187,Sheet2!Q:R,2,0)</f>
        <v>IR Normal - BER to IR</v>
      </c>
      <c r="U187" s="20" t="s">
        <v>135</v>
      </c>
      <c r="V187" s="17" t="n">
        <v>12</v>
      </c>
      <c r="W187" s="20" t="str">
        <f aca="false">VLOOKUP(V187,Sheet2!Q:R,2,0)</f>
        <v>IR Normal - BER to IR</v>
      </c>
      <c r="X187" s="17" t="s">
        <v>106</v>
      </c>
      <c r="Y187" s="17" t="str">
        <f aca="false">VLOOKUP(X187,Sheet2!A:B,2,0)</f>
        <v>PRAKASH CHAVDA</v>
      </c>
      <c r="Z187" s="17" t="s">
        <v>141</v>
      </c>
      <c r="AA187" s="17" t="s">
        <v>182</v>
      </c>
      <c r="AB187" s="17" t="s">
        <v>41</v>
      </c>
      <c r="AC187" s="0" t="str">
        <f aca="false">LEFT(G187,2)</f>
        <v>98</v>
      </c>
      <c r="AD187" s="0"/>
      <c r="AE187" s="21" t="s">
        <v>42</v>
      </c>
    </row>
    <row r="188" customFormat="false" ht="15" hidden="false" customHeight="false" outlineLevel="0" collapsed="false">
      <c r="A188" s="13" t="n">
        <f aca="false">1+A187</f>
        <v>186</v>
      </c>
      <c r="B188" s="17" t="n">
        <v>1009573315</v>
      </c>
      <c r="C188" s="17" t="s">
        <v>104</v>
      </c>
      <c r="D188" s="17" t="s">
        <v>64</v>
      </c>
      <c r="E188" s="17" t="s">
        <v>91</v>
      </c>
      <c r="F188" s="18" t="s">
        <v>92</v>
      </c>
      <c r="G188" s="19" t="n">
        <v>985308186156</v>
      </c>
      <c r="H188" s="17" t="s">
        <v>134</v>
      </c>
      <c r="I188" s="17" t="s">
        <v>44</v>
      </c>
      <c r="J188" s="17" t="s">
        <v>106</v>
      </c>
      <c r="K188" s="17" t="str">
        <f aca="false">VLOOKUP(J188,Sheet2!A:B,2,0)</f>
        <v>PRAKASH CHAVDA</v>
      </c>
      <c r="L188" s="17" t="n">
        <v>5</v>
      </c>
      <c r="M188" s="17" t="str">
        <f aca="false">VLOOKUP(L188,Sheet2!D:E,2,0)</f>
        <v>Main Processor CPU BGA</v>
      </c>
      <c r="N188" s="17" t="n">
        <v>1</v>
      </c>
      <c r="O188" s="17" t="str">
        <f aca="false">VLOOKUP(N188,Sheet2!G:H,2,0)</f>
        <v>Dead</v>
      </c>
      <c r="P188" s="17" t="n">
        <v>12</v>
      </c>
      <c r="Q188" s="17" t="str">
        <f aca="false">VLOOKUP(P188,Sheet2!J:K,2,0)</f>
        <v>IR Declared due to Others ( IR Normal)TB</v>
      </c>
      <c r="R188" s="17" t="s">
        <v>35</v>
      </c>
      <c r="S188" s="17" t="str">
        <f aca="false">VLOOKUP(R188,Sheet2!N:O,2,0)</f>
        <v>IREPARABLE</v>
      </c>
      <c r="T188" s="18" t="str">
        <f aca="false">VLOOKUP(P188,Sheet2!Q:R,2,0)</f>
        <v>IR Normal - BER to IR</v>
      </c>
      <c r="U188" s="20" t="s">
        <v>135</v>
      </c>
      <c r="V188" s="17" t="n">
        <v>12</v>
      </c>
      <c r="W188" s="20" t="str">
        <f aca="false">VLOOKUP(V188,Sheet2!Q:R,2,0)</f>
        <v>IR Normal - BER to IR</v>
      </c>
      <c r="X188" s="17" t="s">
        <v>106</v>
      </c>
      <c r="Y188" s="17" t="str">
        <f aca="false">VLOOKUP(X188,Sheet2!A:B,2,0)</f>
        <v>PRAKASH CHAVDA</v>
      </c>
      <c r="Z188" s="17" t="s">
        <v>141</v>
      </c>
      <c r="AA188" s="17" t="s">
        <v>182</v>
      </c>
      <c r="AB188" s="17" t="s">
        <v>41</v>
      </c>
      <c r="AC188" s="0" t="str">
        <f aca="false">LEFT(G188,2)</f>
        <v>98</v>
      </c>
      <c r="AD188" s="0"/>
      <c r="AE188" s="21" t="s">
        <v>42</v>
      </c>
    </row>
    <row r="189" customFormat="false" ht="15" hidden="false" customHeight="false" outlineLevel="0" collapsed="false">
      <c r="A189" s="13" t="n">
        <f aca="false">1+A188</f>
        <v>187</v>
      </c>
      <c r="B189" s="17" t="n">
        <v>1009448177</v>
      </c>
      <c r="C189" s="17" t="s">
        <v>189</v>
      </c>
      <c r="D189" s="17" t="s">
        <v>64</v>
      </c>
      <c r="E189" s="17" t="s">
        <v>91</v>
      </c>
      <c r="F189" s="18" t="s">
        <v>92</v>
      </c>
      <c r="G189" s="19" t="n">
        <v>985288126786</v>
      </c>
      <c r="H189" s="17" t="s">
        <v>134</v>
      </c>
      <c r="I189" s="17" t="s">
        <v>44</v>
      </c>
      <c r="J189" s="17" t="s">
        <v>106</v>
      </c>
      <c r="K189" s="17" t="str">
        <f aca="false">VLOOKUP(J189,Sheet2!A:B,2,0)</f>
        <v>PRAKASH CHAVDA</v>
      </c>
      <c r="L189" s="17" t="n">
        <v>5</v>
      </c>
      <c r="M189" s="17" t="str">
        <f aca="false">VLOOKUP(L189,Sheet2!D:E,2,0)</f>
        <v>Main Processor CPU BGA</v>
      </c>
      <c r="N189" s="17" t="n">
        <v>21</v>
      </c>
      <c r="O189" s="17" t="str">
        <f aca="false">VLOOKUP(N189,Sheet2!G:H,2,0)</f>
        <v>No Audio /Video - HDMI</v>
      </c>
      <c r="P189" s="17" t="n">
        <v>12</v>
      </c>
      <c r="Q189" s="17" t="str">
        <f aca="false">VLOOKUP(P189,Sheet2!J:K,2,0)</f>
        <v>IR Declared due to Others ( IR Normal)TB</v>
      </c>
      <c r="R189" s="17" t="s">
        <v>35</v>
      </c>
      <c r="S189" s="17" t="str">
        <f aca="false">VLOOKUP(R189,Sheet2!N:O,2,0)</f>
        <v>IREPARABLE</v>
      </c>
      <c r="T189" s="18" t="str">
        <f aca="false">VLOOKUP(P189,Sheet2!Q:R,2,0)</f>
        <v>IR Normal - BER to IR</v>
      </c>
      <c r="U189" s="20" t="s">
        <v>135</v>
      </c>
      <c r="V189" s="17" t="n">
        <v>12</v>
      </c>
      <c r="W189" s="20" t="str">
        <f aca="false">VLOOKUP(V189,Sheet2!Q:R,2,0)</f>
        <v>IR Normal - BER to IR</v>
      </c>
      <c r="X189" s="17" t="s">
        <v>106</v>
      </c>
      <c r="Y189" s="17" t="str">
        <f aca="false">VLOOKUP(X189,Sheet2!A:B,2,0)</f>
        <v>PRAKASH CHAVDA</v>
      </c>
      <c r="Z189" s="17" t="s">
        <v>141</v>
      </c>
      <c r="AA189" s="17" t="s">
        <v>182</v>
      </c>
      <c r="AB189" s="17" t="s">
        <v>41</v>
      </c>
      <c r="AC189" s="0" t="str">
        <f aca="false">LEFT(G189,2)</f>
        <v>98</v>
      </c>
      <c r="AD189" s="0"/>
      <c r="AE189" s="21" t="s">
        <v>42</v>
      </c>
    </row>
    <row r="190" customFormat="false" ht="15" hidden="false" customHeight="false" outlineLevel="0" collapsed="false">
      <c r="A190" s="13" t="n">
        <f aca="false">1+A189</f>
        <v>188</v>
      </c>
      <c r="B190" s="17" t="n">
        <v>1009606640</v>
      </c>
      <c r="C190" s="17" t="s">
        <v>181</v>
      </c>
      <c r="D190" s="17" t="s">
        <v>88</v>
      </c>
      <c r="E190" s="17" t="s">
        <v>47</v>
      </c>
      <c r="F190" s="18" t="s">
        <v>34</v>
      </c>
      <c r="G190" s="19" t="n">
        <v>986156203085</v>
      </c>
      <c r="H190" s="17" t="s">
        <v>134</v>
      </c>
      <c r="I190" s="17" t="s">
        <v>44</v>
      </c>
      <c r="J190" s="17" t="s">
        <v>106</v>
      </c>
      <c r="K190" s="17" t="str">
        <f aca="false">VLOOKUP(J190,Sheet2!A:B,2,0)</f>
        <v>PRAKASH CHAVDA</v>
      </c>
      <c r="L190" s="17" t="n">
        <v>5</v>
      </c>
      <c r="M190" s="17" t="str">
        <f aca="false">VLOOKUP(L190,Sheet2!D:E,2,0)</f>
        <v>Main Processor CPU BGA</v>
      </c>
      <c r="N190" s="17" t="n">
        <v>1</v>
      </c>
      <c r="O190" s="17" t="str">
        <f aca="false">VLOOKUP(N190,Sheet2!G:H,2,0)</f>
        <v>Dead</v>
      </c>
      <c r="P190" s="17" t="n">
        <v>12</v>
      </c>
      <c r="Q190" s="17" t="str">
        <f aca="false">VLOOKUP(P190,Sheet2!J:K,2,0)</f>
        <v>IR Declared due to Others ( IR Normal)TB</v>
      </c>
      <c r="R190" s="17" t="s">
        <v>35</v>
      </c>
      <c r="S190" s="17" t="str">
        <f aca="false">VLOOKUP(R190,Sheet2!N:O,2,0)</f>
        <v>IREPARABLE</v>
      </c>
      <c r="T190" s="18" t="str">
        <f aca="false">VLOOKUP(P190,Sheet2!Q:R,2,0)</f>
        <v>IR Normal - BER to IR</v>
      </c>
      <c r="U190" s="15" t="s">
        <v>38</v>
      </c>
      <c r="V190" s="17" t="n">
        <v>11</v>
      </c>
      <c r="W190" s="20" t="str">
        <f aca="false">VLOOKUP(V190,Sheet2!Q:R,2,0)</f>
        <v>IR Normal - Track burn out</v>
      </c>
      <c r="X190" s="17" t="s">
        <v>106</v>
      </c>
      <c r="Y190" s="17" t="str">
        <f aca="false">VLOOKUP(X190,Sheet2!A:B,2,0)</f>
        <v>PRAKASH CHAVDA</v>
      </c>
      <c r="Z190" s="17" t="s">
        <v>141</v>
      </c>
      <c r="AA190" s="17" t="s">
        <v>182</v>
      </c>
      <c r="AB190" s="17" t="s">
        <v>41</v>
      </c>
      <c r="AC190" s="0" t="str">
        <f aca="false">LEFT(G190,2)</f>
        <v>98</v>
      </c>
      <c r="AD190" s="0"/>
      <c r="AE190" s="21" t="s">
        <v>42</v>
      </c>
    </row>
    <row r="191" customFormat="false" ht="15" hidden="false" customHeight="false" outlineLevel="0" collapsed="false">
      <c r="A191" s="13" t="n">
        <f aca="false">1+A190</f>
        <v>189</v>
      </c>
      <c r="B191" s="17" t="n">
        <v>1009582560</v>
      </c>
      <c r="C191" s="17" t="s">
        <v>139</v>
      </c>
      <c r="D191" s="17" t="s">
        <v>64</v>
      </c>
      <c r="E191" s="17" t="s">
        <v>33</v>
      </c>
      <c r="F191" s="18" t="s">
        <v>34</v>
      </c>
      <c r="G191" s="19" t="n">
        <v>942359958223</v>
      </c>
      <c r="H191" s="17" t="s">
        <v>134</v>
      </c>
      <c r="I191" s="17" t="s">
        <v>44</v>
      </c>
      <c r="J191" s="17" t="s">
        <v>106</v>
      </c>
      <c r="K191" s="17" t="str">
        <f aca="false">VLOOKUP(J191,Sheet2!A:B,2,0)</f>
        <v>PRAKASH CHAVDA</v>
      </c>
      <c r="L191" s="17" t="n">
        <v>5</v>
      </c>
      <c r="M191" s="17" t="str">
        <f aca="false">VLOOKUP(L191,Sheet2!D:E,2,0)</f>
        <v>Main Processor CPU BGA</v>
      </c>
      <c r="N191" s="17" t="n">
        <v>1</v>
      </c>
      <c r="O191" s="17" t="str">
        <f aca="false">VLOOKUP(N191,Sheet2!G:H,2,0)</f>
        <v>Dead</v>
      </c>
      <c r="P191" s="17" t="n">
        <v>12</v>
      </c>
      <c r="Q191" s="17" t="str">
        <f aca="false">VLOOKUP(P191,Sheet2!J:K,2,0)</f>
        <v>IR Declared due to Others ( IR Normal)TB</v>
      </c>
      <c r="R191" s="17" t="s">
        <v>35</v>
      </c>
      <c r="S191" s="17" t="str">
        <f aca="false">VLOOKUP(R191,Sheet2!N:O,2,0)</f>
        <v>IREPARABLE</v>
      </c>
      <c r="T191" s="18" t="str">
        <f aca="false">VLOOKUP(P191,Sheet2!Q:R,2,0)</f>
        <v>IR Normal - BER to IR</v>
      </c>
      <c r="U191" s="20" t="s">
        <v>135</v>
      </c>
      <c r="V191" s="17" t="n">
        <v>12</v>
      </c>
      <c r="W191" s="20" t="str">
        <f aca="false">VLOOKUP(V191,Sheet2!Q:R,2,0)</f>
        <v>IR Normal - BER to IR</v>
      </c>
      <c r="X191" s="17" t="s">
        <v>106</v>
      </c>
      <c r="Y191" s="17" t="str">
        <f aca="false">VLOOKUP(X191,Sheet2!A:B,2,0)</f>
        <v>PRAKASH CHAVDA</v>
      </c>
      <c r="Z191" s="17" t="s">
        <v>141</v>
      </c>
      <c r="AA191" s="17" t="s">
        <v>182</v>
      </c>
      <c r="AB191" s="17" t="s">
        <v>41</v>
      </c>
      <c r="AC191" s="0" t="str">
        <f aca="false">LEFT(G191,2)</f>
        <v>94</v>
      </c>
      <c r="AD191" s="0"/>
      <c r="AE191" s="21" t="s">
        <v>42</v>
      </c>
    </row>
    <row r="192" customFormat="false" ht="15" hidden="false" customHeight="false" outlineLevel="0" collapsed="false">
      <c r="A192" s="13" t="n">
        <f aca="false">1+A191</f>
        <v>190</v>
      </c>
      <c r="B192" s="17" t="n">
        <v>1009279499</v>
      </c>
      <c r="C192" s="17" t="s">
        <v>75</v>
      </c>
      <c r="D192" s="17" t="s">
        <v>64</v>
      </c>
      <c r="E192" s="17" t="s">
        <v>64</v>
      </c>
      <c r="F192" s="18" t="s">
        <v>70</v>
      </c>
      <c r="G192" s="19" t="n">
        <v>943106957450</v>
      </c>
      <c r="H192" s="17" t="s">
        <v>134</v>
      </c>
      <c r="I192" s="17" t="s">
        <v>44</v>
      </c>
      <c r="J192" s="17" t="s">
        <v>106</v>
      </c>
      <c r="K192" s="17" t="str">
        <f aca="false">VLOOKUP(J192,Sheet2!A:B,2,0)</f>
        <v>PRAKASH CHAVDA</v>
      </c>
      <c r="L192" s="17" t="n">
        <v>5</v>
      </c>
      <c r="M192" s="17" t="str">
        <f aca="false">VLOOKUP(L192,Sheet2!D:E,2,0)</f>
        <v>Main Processor CPU BGA</v>
      </c>
      <c r="N192" s="17" t="n">
        <v>24</v>
      </c>
      <c r="O192" s="17" t="str">
        <f aca="false">VLOOKUP(N192,Sheet2!G:H,2,0)</f>
        <v>STB Auto moving -Stand by mode</v>
      </c>
      <c r="P192" s="17" t="n">
        <v>12</v>
      </c>
      <c r="Q192" s="17" t="str">
        <f aca="false">VLOOKUP(P192,Sheet2!J:K,2,0)</f>
        <v>IR Declared due to Others ( IR Normal)TB</v>
      </c>
      <c r="R192" s="17" t="s">
        <v>35</v>
      </c>
      <c r="S192" s="17" t="str">
        <f aca="false">VLOOKUP(R192,Sheet2!N:O,2,0)</f>
        <v>IREPARABLE</v>
      </c>
      <c r="T192" s="18" t="str">
        <f aca="false">VLOOKUP(P192,Sheet2!Q:R,2,0)</f>
        <v>IR Normal - BER to IR</v>
      </c>
      <c r="U192" s="20" t="s">
        <v>135</v>
      </c>
      <c r="V192" s="17" t="n">
        <v>12</v>
      </c>
      <c r="W192" s="20" t="str">
        <f aca="false">VLOOKUP(V192,Sheet2!Q:R,2,0)</f>
        <v>IR Normal - BER to IR</v>
      </c>
      <c r="X192" s="17" t="s">
        <v>106</v>
      </c>
      <c r="Y192" s="17" t="str">
        <f aca="false">VLOOKUP(X192,Sheet2!A:B,2,0)</f>
        <v>PRAKASH CHAVDA</v>
      </c>
      <c r="Z192" s="17" t="s">
        <v>127</v>
      </c>
      <c r="AA192" s="17" t="s">
        <v>182</v>
      </c>
      <c r="AB192" s="17" t="s">
        <v>41</v>
      </c>
      <c r="AC192" s="0" t="str">
        <f aca="false">LEFT(G192,2)</f>
        <v>94</v>
      </c>
      <c r="AD192" s="0"/>
      <c r="AE192" s="21" t="s">
        <v>42</v>
      </c>
    </row>
    <row r="193" customFormat="false" ht="15" hidden="false" customHeight="false" outlineLevel="0" collapsed="false">
      <c r="A193" s="13" t="n">
        <f aca="false">1+A192</f>
        <v>191</v>
      </c>
      <c r="B193" s="17" t="n">
        <v>1009584856</v>
      </c>
      <c r="C193" s="17" t="s">
        <v>139</v>
      </c>
      <c r="D193" s="17" t="s">
        <v>86</v>
      </c>
      <c r="E193" s="17" t="s">
        <v>47</v>
      </c>
      <c r="F193" s="18" t="s">
        <v>34</v>
      </c>
      <c r="G193" s="19" t="n">
        <v>942110967968</v>
      </c>
      <c r="H193" s="17" t="s">
        <v>134</v>
      </c>
      <c r="I193" s="17" t="s">
        <v>44</v>
      </c>
      <c r="J193" s="17" t="s">
        <v>106</v>
      </c>
      <c r="K193" s="17" t="str">
        <f aca="false">VLOOKUP(J193,Sheet2!A:B,2,0)</f>
        <v>PRAKASH CHAVDA</v>
      </c>
      <c r="L193" s="17" t="n">
        <v>5</v>
      </c>
      <c r="M193" s="17" t="str">
        <f aca="false">VLOOKUP(L193,Sheet2!D:E,2,0)</f>
        <v>Main Processor CPU BGA</v>
      </c>
      <c r="N193" s="17" t="n">
        <v>1</v>
      </c>
      <c r="O193" s="17" t="str">
        <f aca="false">VLOOKUP(N193,Sheet2!G:H,2,0)</f>
        <v>Dead</v>
      </c>
      <c r="P193" s="17" t="n">
        <v>12</v>
      </c>
      <c r="Q193" s="17" t="str">
        <f aca="false">VLOOKUP(P193,Sheet2!J:K,2,0)</f>
        <v>IR Declared due to Others ( IR Normal)TB</v>
      </c>
      <c r="R193" s="17" t="s">
        <v>35</v>
      </c>
      <c r="S193" s="17" t="str">
        <f aca="false">VLOOKUP(R193,Sheet2!N:O,2,0)</f>
        <v>IREPARABLE</v>
      </c>
      <c r="T193" s="18" t="str">
        <f aca="false">VLOOKUP(P193,Sheet2!Q:R,2,0)</f>
        <v>IR Normal - BER to IR</v>
      </c>
      <c r="U193" s="18" t="s">
        <v>101</v>
      </c>
      <c r="V193" s="17" t="n">
        <v>8</v>
      </c>
      <c r="W193" s="20" t="str">
        <f aca="false">VLOOKUP(V193,Sheet2!Q:R,2,0)</f>
        <v>IR Normal -TrackRust/InternalDamage/open</v>
      </c>
      <c r="X193" s="17" t="s">
        <v>106</v>
      </c>
      <c r="Y193" s="17" t="str">
        <f aca="false">VLOOKUP(X193,Sheet2!A:B,2,0)</f>
        <v>PRAKASH CHAVDA</v>
      </c>
      <c r="Z193" s="17" t="s">
        <v>127</v>
      </c>
      <c r="AA193" s="17" t="s">
        <v>182</v>
      </c>
      <c r="AB193" s="17" t="s">
        <v>41</v>
      </c>
      <c r="AC193" s="0" t="str">
        <f aca="false">LEFT(G193,2)</f>
        <v>94</v>
      </c>
      <c r="AD193" s="0"/>
      <c r="AE193" s="21" t="s">
        <v>42</v>
      </c>
    </row>
    <row r="194" customFormat="false" ht="15" hidden="false" customHeight="false" outlineLevel="0" collapsed="false">
      <c r="A194" s="13" t="n">
        <f aca="false">1+A193</f>
        <v>192</v>
      </c>
      <c r="B194" s="17" t="n">
        <v>1009607648</v>
      </c>
      <c r="C194" s="17" t="s">
        <v>181</v>
      </c>
      <c r="D194" s="17" t="s">
        <v>88</v>
      </c>
      <c r="E194" s="17" t="s">
        <v>47</v>
      </c>
      <c r="F194" s="18" t="s">
        <v>34</v>
      </c>
      <c r="G194" s="19" t="n">
        <v>942129990498</v>
      </c>
      <c r="H194" s="17" t="s">
        <v>134</v>
      </c>
      <c r="I194" s="17" t="s">
        <v>44</v>
      </c>
      <c r="J194" s="17" t="s">
        <v>106</v>
      </c>
      <c r="K194" s="17" t="str">
        <f aca="false">VLOOKUP(J194,Sheet2!A:B,2,0)</f>
        <v>PRAKASH CHAVDA</v>
      </c>
      <c r="L194" s="17" t="n">
        <v>5</v>
      </c>
      <c r="M194" s="17" t="str">
        <f aca="false">VLOOKUP(L194,Sheet2!D:E,2,0)</f>
        <v>Main Processor CPU BGA</v>
      </c>
      <c r="N194" s="17" t="n">
        <v>4</v>
      </c>
      <c r="O194" s="17" t="str">
        <f aca="false">VLOOKUP(N194,Sheet2!G:H,2,0)</f>
        <v>All LED glow</v>
      </c>
      <c r="P194" s="17" t="n">
        <v>12</v>
      </c>
      <c r="Q194" s="17" t="str">
        <f aca="false">VLOOKUP(P194,Sheet2!J:K,2,0)</f>
        <v>IR Declared due to Others ( IR Normal)TB</v>
      </c>
      <c r="R194" s="17" t="s">
        <v>35</v>
      </c>
      <c r="S194" s="17" t="str">
        <f aca="false">VLOOKUP(R194,Sheet2!N:O,2,0)</f>
        <v>IREPARABLE</v>
      </c>
      <c r="T194" s="18" t="str">
        <f aca="false">VLOOKUP(P194,Sheet2!Q:R,2,0)</f>
        <v>IR Normal - BER to IR</v>
      </c>
      <c r="U194" s="20" t="s">
        <v>135</v>
      </c>
      <c r="V194" s="17" t="n">
        <v>12</v>
      </c>
      <c r="W194" s="20" t="str">
        <f aca="false">VLOOKUP(V194,Sheet2!Q:R,2,0)</f>
        <v>IR Normal - BER to IR</v>
      </c>
      <c r="X194" s="17" t="s">
        <v>106</v>
      </c>
      <c r="Y194" s="17" t="str">
        <f aca="false">VLOOKUP(X194,Sheet2!A:B,2,0)</f>
        <v>PRAKASH CHAVDA</v>
      </c>
      <c r="Z194" s="17" t="s">
        <v>127</v>
      </c>
      <c r="AA194" s="17" t="s">
        <v>182</v>
      </c>
      <c r="AB194" s="17" t="s">
        <v>41</v>
      </c>
      <c r="AC194" s="0" t="str">
        <f aca="false">LEFT(G194,2)</f>
        <v>94</v>
      </c>
      <c r="AD194" s="0"/>
      <c r="AE194" s="21" t="s">
        <v>42</v>
      </c>
    </row>
    <row r="195" customFormat="false" ht="15" hidden="false" customHeight="false" outlineLevel="0" collapsed="false">
      <c r="A195" s="13" t="n">
        <f aca="false">1+A194</f>
        <v>193</v>
      </c>
      <c r="B195" s="17" t="n">
        <v>1009606572</v>
      </c>
      <c r="C195" s="17" t="s">
        <v>181</v>
      </c>
      <c r="D195" s="17" t="s">
        <v>190</v>
      </c>
      <c r="E195" s="17" t="s">
        <v>47</v>
      </c>
      <c r="F195" s="18" t="s">
        <v>34</v>
      </c>
      <c r="G195" s="19" t="n">
        <v>942311991445</v>
      </c>
      <c r="H195" s="17" t="s">
        <v>134</v>
      </c>
      <c r="I195" s="17" t="s">
        <v>44</v>
      </c>
      <c r="J195" s="17" t="s">
        <v>106</v>
      </c>
      <c r="K195" s="17" t="str">
        <f aca="false">VLOOKUP(J195,Sheet2!A:B,2,0)</f>
        <v>PRAKASH CHAVDA</v>
      </c>
      <c r="L195" s="17" t="n">
        <v>5</v>
      </c>
      <c r="M195" s="17" t="str">
        <f aca="false">VLOOKUP(L195,Sheet2!D:E,2,0)</f>
        <v>Main Processor CPU BGA</v>
      </c>
      <c r="N195" s="17" t="n">
        <v>24</v>
      </c>
      <c r="O195" s="17" t="str">
        <f aca="false">VLOOKUP(N195,Sheet2!G:H,2,0)</f>
        <v>STB Auto moving -Stand by mode</v>
      </c>
      <c r="P195" s="17" t="n">
        <v>12</v>
      </c>
      <c r="Q195" s="17" t="str">
        <f aca="false">VLOOKUP(P195,Sheet2!J:K,2,0)</f>
        <v>IR Declared due to Others ( IR Normal)TB</v>
      </c>
      <c r="R195" s="17" t="s">
        <v>35</v>
      </c>
      <c r="S195" s="17" t="str">
        <f aca="false">VLOOKUP(R195,Sheet2!N:O,2,0)</f>
        <v>IREPARABLE</v>
      </c>
      <c r="T195" s="18" t="str">
        <f aca="false">VLOOKUP(P195,Sheet2!Q:R,2,0)</f>
        <v>IR Normal - BER to IR</v>
      </c>
      <c r="U195" s="20" t="s">
        <v>135</v>
      </c>
      <c r="V195" s="17" t="n">
        <v>12</v>
      </c>
      <c r="W195" s="20" t="str">
        <f aca="false">VLOOKUP(V195,Sheet2!Q:R,2,0)</f>
        <v>IR Normal - BER to IR</v>
      </c>
      <c r="X195" s="17" t="s">
        <v>106</v>
      </c>
      <c r="Y195" s="17" t="str">
        <f aca="false">VLOOKUP(X195,Sheet2!A:B,2,0)</f>
        <v>PRAKASH CHAVDA</v>
      </c>
      <c r="Z195" s="17" t="s">
        <v>127</v>
      </c>
      <c r="AA195" s="17" t="s">
        <v>182</v>
      </c>
      <c r="AB195" s="17" t="s">
        <v>41</v>
      </c>
      <c r="AC195" s="0" t="str">
        <f aca="false">LEFT(G195,2)</f>
        <v>94</v>
      </c>
      <c r="AD195" s="0"/>
      <c r="AE195" s="21" t="s">
        <v>42</v>
      </c>
    </row>
    <row r="196" customFormat="false" ht="15" hidden="false" customHeight="false" outlineLevel="0" collapsed="false">
      <c r="A196" s="13" t="n">
        <f aca="false">1+A195</f>
        <v>194</v>
      </c>
      <c r="B196" s="17" t="n">
        <v>1009438650</v>
      </c>
      <c r="C196" s="17" t="s">
        <v>197</v>
      </c>
      <c r="D196" s="17" t="s">
        <v>105</v>
      </c>
      <c r="E196" s="17" t="s">
        <v>47</v>
      </c>
      <c r="F196" s="18" t="s">
        <v>34</v>
      </c>
      <c r="G196" s="19" t="n">
        <v>943027962951</v>
      </c>
      <c r="H196" s="17" t="s">
        <v>134</v>
      </c>
      <c r="I196" s="17" t="s">
        <v>44</v>
      </c>
      <c r="J196" s="17" t="s">
        <v>106</v>
      </c>
      <c r="K196" s="17" t="str">
        <f aca="false">VLOOKUP(J196,Sheet2!A:B,2,0)</f>
        <v>PRAKASH CHAVDA</v>
      </c>
      <c r="L196" s="17" t="n">
        <v>5</v>
      </c>
      <c r="M196" s="17" t="str">
        <f aca="false">VLOOKUP(L196,Sheet2!D:E,2,0)</f>
        <v>Main Processor CPU BGA</v>
      </c>
      <c r="N196" s="17" t="n">
        <v>24</v>
      </c>
      <c r="O196" s="17" t="str">
        <f aca="false">VLOOKUP(N196,Sheet2!G:H,2,0)</f>
        <v>STB Auto moving -Stand by mode</v>
      </c>
      <c r="P196" s="17" t="n">
        <v>12</v>
      </c>
      <c r="Q196" s="17" t="str">
        <f aca="false">VLOOKUP(P196,Sheet2!J:K,2,0)</f>
        <v>IR Declared due to Others ( IR Normal)TB</v>
      </c>
      <c r="R196" s="17" t="s">
        <v>35</v>
      </c>
      <c r="S196" s="17" t="str">
        <f aca="false">VLOOKUP(R196,Sheet2!N:O,2,0)</f>
        <v>IREPARABLE</v>
      </c>
      <c r="T196" s="18" t="str">
        <f aca="false">VLOOKUP(P196,Sheet2!Q:R,2,0)</f>
        <v>IR Normal - BER to IR</v>
      </c>
      <c r="U196" s="18" t="s">
        <v>101</v>
      </c>
      <c r="V196" s="17" t="n">
        <v>8</v>
      </c>
      <c r="W196" s="20" t="str">
        <f aca="false">VLOOKUP(V196,Sheet2!Q:R,2,0)</f>
        <v>IR Normal -TrackRust/InternalDamage/open</v>
      </c>
      <c r="X196" s="17" t="s">
        <v>106</v>
      </c>
      <c r="Y196" s="17" t="str">
        <f aca="false">VLOOKUP(X196,Sheet2!A:B,2,0)</f>
        <v>PRAKASH CHAVDA</v>
      </c>
      <c r="Z196" s="17" t="s">
        <v>127</v>
      </c>
      <c r="AA196" s="17" t="s">
        <v>182</v>
      </c>
      <c r="AB196" s="17" t="s">
        <v>41</v>
      </c>
      <c r="AC196" s="0" t="str">
        <f aca="false">LEFT(G196,2)</f>
        <v>94</v>
      </c>
      <c r="AD196" s="0"/>
      <c r="AE196" s="21" t="s">
        <v>42</v>
      </c>
    </row>
    <row r="197" customFormat="false" ht="15" hidden="false" customHeight="false" outlineLevel="0" collapsed="false">
      <c r="A197" s="13" t="n">
        <f aca="false">1+A196</f>
        <v>195</v>
      </c>
      <c r="B197" s="17" t="n">
        <v>1009610514</v>
      </c>
      <c r="C197" s="17" t="s">
        <v>181</v>
      </c>
      <c r="D197" s="17" t="s">
        <v>64</v>
      </c>
      <c r="E197" s="17" t="s">
        <v>33</v>
      </c>
      <c r="F197" s="18" t="s">
        <v>34</v>
      </c>
      <c r="G197" s="19" t="n">
        <v>942156940549</v>
      </c>
      <c r="H197" s="17" t="s">
        <v>134</v>
      </c>
      <c r="I197" s="17" t="s">
        <v>44</v>
      </c>
      <c r="J197" s="17" t="s">
        <v>106</v>
      </c>
      <c r="K197" s="17" t="str">
        <f aca="false">VLOOKUP(J197,Sheet2!A:B,2,0)</f>
        <v>PRAKASH CHAVDA</v>
      </c>
      <c r="L197" s="17" t="n">
        <v>5</v>
      </c>
      <c r="M197" s="17" t="str">
        <f aca="false">VLOOKUP(L197,Sheet2!D:E,2,0)</f>
        <v>Main Processor CPU BGA</v>
      </c>
      <c r="N197" s="17" t="n">
        <v>6</v>
      </c>
      <c r="O197" s="17" t="str">
        <f aca="false">VLOOKUP(N197,Sheet2!G:H,2,0)</f>
        <v>No Signal</v>
      </c>
      <c r="P197" s="17" t="n">
        <v>12</v>
      </c>
      <c r="Q197" s="17" t="str">
        <f aca="false">VLOOKUP(P197,Sheet2!J:K,2,0)</f>
        <v>IR Declared due to Others ( IR Normal)TB</v>
      </c>
      <c r="R197" s="17" t="s">
        <v>35</v>
      </c>
      <c r="S197" s="17" t="str">
        <f aca="false">VLOOKUP(R197,Sheet2!N:O,2,0)</f>
        <v>IREPARABLE</v>
      </c>
      <c r="T197" s="18" t="str">
        <f aca="false">VLOOKUP(P197,Sheet2!Q:R,2,0)</f>
        <v>IR Normal - BER to IR</v>
      </c>
      <c r="U197" s="20" t="s">
        <v>135</v>
      </c>
      <c r="V197" s="17" t="n">
        <v>12</v>
      </c>
      <c r="W197" s="20" t="str">
        <f aca="false">VLOOKUP(V197,Sheet2!Q:R,2,0)</f>
        <v>IR Normal - BER to IR</v>
      </c>
      <c r="X197" s="17" t="s">
        <v>106</v>
      </c>
      <c r="Y197" s="17" t="str">
        <f aca="false">VLOOKUP(X197,Sheet2!A:B,2,0)</f>
        <v>PRAKASH CHAVDA</v>
      </c>
      <c r="Z197" s="17" t="s">
        <v>127</v>
      </c>
      <c r="AA197" s="17" t="s">
        <v>182</v>
      </c>
      <c r="AB197" s="17" t="s">
        <v>41</v>
      </c>
      <c r="AC197" s="0" t="str">
        <f aca="false">LEFT(G197,2)</f>
        <v>94</v>
      </c>
      <c r="AD197" s="0"/>
      <c r="AE197" s="21" t="s">
        <v>42</v>
      </c>
    </row>
    <row r="198" customFormat="false" ht="15" hidden="false" customHeight="false" outlineLevel="0" collapsed="false">
      <c r="A198" s="13" t="n">
        <f aca="false">1+A197</f>
        <v>196</v>
      </c>
      <c r="B198" s="17" t="n">
        <v>1009607686</v>
      </c>
      <c r="C198" s="17" t="s">
        <v>181</v>
      </c>
      <c r="D198" s="17" t="s">
        <v>88</v>
      </c>
      <c r="E198" s="17" t="s">
        <v>47</v>
      </c>
      <c r="F198" s="18" t="s">
        <v>34</v>
      </c>
      <c r="G198" s="19" t="n">
        <v>943003120244</v>
      </c>
      <c r="H198" s="17" t="s">
        <v>134</v>
      </c>
      <c r="I198" s="17" t="s">
        <v>44</v>
      </c>
      <c r="J198" s="17" t="s">
        <v>106</v>
      </c>
      <c r="K198" s="17" t="str">
        <f aca="false">VLOOKUP(J198,Sheet2!A:B,2,0)</f>
        <v>PRAKASH CHAVDA</v>
      </c>
      <c r="L198" s="17" t="n">
        <v>5</v>
      </c>
      <c r="M198" s="17" t="str">
        <f aca="false">VLOOKUP(L198,Sheet2!D:E,2,0)</f>
        <v>Main Processor CPU BGA</v>
      </c>
      <c r="N198" s="17" t="n">
        <v>1</v>
      </c>
      <c r="O198" s="17" t="str">
        <f aca="false">VLOOKUP(N198,Sheet2!G:H,2,0)</f>
        <v>Dead</v>
      </c>
      <c r="P198" s="17" t="n">
        <v>12</v>
      </c>
      <c r="Q198" s="17" t="str">
        <f aca="false">VLOOKUP(P198,Sheet2!J:K,2,0)</f>
        <v>IR Declared due to Others ( IR Normal)TB</v>
      </c>
      <c r="R198" s="17" t="s">
        <v>35</v>
      </c>
      <c r="S198" s="17" t="str">
        <f aca="false">VLOOKUP(R198,Sheet2!N:O,2,0)</f>
        <v>IREPARABLE</v>
      </c>
      <c r="T198" s="18" t="str">
        <f aca="false">VLOOKUP(P198,Sheet2!Q:R,2,0)</f>
        <v>IR Normal - BER to IR</v>
      </c>
      <c r="U198" s="20" t="s">
        <v>135</v>
      </c>
      <c r="V198" s="17" t="n">
        <v>12</v>
      </c>
      <c r="W198" s="20" t="str">
        <f aca="false">VLOOKUP(V198,Sheet2!Q:R,2,0)</f>
        <v>IR Normal - BER to IR</v>
      </c>
      <c r="X198" s="17" t="s">
        <v>106</v>
      </c>
      <c r="Y198" s="17" t="str">
        <f aca="false">VLOOKUP(X198,Sheet2!A:B,2,0)</f>
        <v>PRAKASH CHAVDA</v>
      </c>
      <c r="Z198" s="17" t="s">
        <v>127</v>
      </c>
      <c r="AA198" s="17" t="s">
        <v>182</v>
      </c>
      <c r="AB198" s="17" t="s">
        <v>41</v>
      </c>
      <c r="AC198" s="0" t="str">
        <f aca="false">LEFT(G198,2)</f>
        <v>94</v>
      </c>
      <c r="AD198" s="0"/>
      <c r="AE198" s="21" t="s">
        <v>42</v>
      </c>
    </row>
    <row r="199" customFormat="false" ht="15" hidden="false" customHeight="false" outlineLevel="0" collapsed="false">
      <c r="A199" s="13" t="n">
        <f aca="false">1+A198</f>
        <v>197</v>
      </c>
      <c r="B199" s="17" t="n">
        <v>1009606795</v>
      </c>
      <c r="C199" s="17" t="s">
        <v>181</v>
      </c>
      <c r="D199" s="17" t="s">
        <v>88</v>
      </c>
      <c r="E199" s="17" t="s">
        <v>47</v>
      </c>
      <c r="F199" s="18" t="s">
        <v>34</v>
      </c>
      <c r="G199" s="19" t="n">
        <v>943212998828</v>
      </c>
      <c r="H199" s="17" t="s">
        <v>134</v>
      </c>
      <c r="I199" s="17" t="s">
        <v>44</v>
      </c>
      <c r="J199" s="17" t="s">
        <v>106</v>
      </c>
      <c r="K199" s="17" t="str">
        <f aca="false">VLOOKUP(J199,Sheet2!A:B,2,0)</f>
        <v>PRAKASH CHAVDA</v>
      </c>
      <c r="L199" s="17" t="n">
        <v>5</v>
      </c>
      <c r="M199" s="17" t="str">
        <f aca="false">VLOOKUP(L199,Sheet2!D:E,2,0)</f>
        <v>Main Processor CPU BGA</v>
      </c>
      <c r="N199" s="17" t="n">
        <v>1</v>
      </c>
      <c r="O199" s="17" t="str">
        <f aca="false">VLOOKUP(N199,Sheet2!G:H,2,0)</f>
        <v>Dead</v>
      </c>
      <c r="P199" s="17" t="n">
        <v>12</v>
      </c>
      <c r="Q199" s="17" t="str">
        <f aca="false">VLOOKUP(P199,Sheet2!J:K,2,0)</f>
        <v>IR Declared due to Others ( IR Normal)TB</v>
      </c>
      <c r="R199" s="17" t="s">
        <v>35</v>
      </c>
      <c r="S199" s="17" t="str">
        <f aca="false">VLOOKUP(R199,Sheet2!N:O,2,0)</f>
        <v>IREPARABLE</v>
      </c>
      <c r="T199" s="18" t="str">
        <f aca="false">VLOOKUP(P199,Sheet2!Q:R,2,0)</f>
        <v>IR Normal - BER to IR</v>
      </c>
      <c r="U199" s="20" t="s">
        <v>135</v>
      </c>
      <c r="V199" s="17" t="n">
        <v>12</v>
      </c>
      <c r="W199" s="20" t="str">
        <f aca="false">VLOOKUP(V199,Sheet2!Q:R,2,0)</f>
        <v>IR Normal - BER to IR</v>
      </c>
      <c r="X199" s="17" t="s">
        <v>106</v>
      </c>
      <c r="Y199" s="17" t="str">
        <f aca="false">VLOOKUP(X199,Sheet2!A:B,2,0)</f>
        <v>PRAKASH CHAVDA</v>
      </c>
      <c r="Z199" s="17" t="s">
        <v>127</v>
      </c>
      <c r="AA199" s="17" t="s">
        <v>182</v>
      </c>
      <c r="AB199" s="17" t="s">
        <v>41</v>
      </c>
      <c r="AC199" s="0" t="str">
        <f aca="false">LEFT(G199,2)</f>
        <v>94</v>
      </c>
      <c r="AD199" s="0"/>
      <c r="AE199" s="21" t="s">
        <v>42</v>
      </c>
    </row>
    <row r="200" customFormat="false" ht="15" hidden="false" customHeight="false" outlineLevel="0" collapsed="false">
      <c r="A200" s="13" t="n">
        <f aca="false">1+A199</f>
        <v>198</v>
      </c>
      <c r="B200" s="17" t="n">
        <v>1009607624</v>
      </c>
      <c r="C200" s="17" t="s">
        <v>181</v>
      </c>
      <c r="D200" s="17" t="s">
        <v>88</v>
      </c>
      <c r="E200" s="17" t="s">
        <v>47</v>
      </c>
      <c r="F200" s="18" t="s">
        <v>34</v>
      </c>
      <c r="G200" s="19" t="n">
        <v>942360988771</v>
      </c>
      <c r="H200" s="17" t="s">
        <v>134</v>
      </c>
      <c r="I200" s="17" t="s">
        <v>44</v>
      </c>
      <c r="J200" s="17" t="s">
        <v>106</v>
      </c>
      <c r="K200" s="17" t="str">
        <f aca="false">VLOOKUP(J200,Sheet2!A:B,2,0)</f>
        <v>PRAKASH CHAVDA</v>
      </c>
      <c r="L200" s="17" t="n">
        <v>5</v>
      </c>
      <c r="M200" s="17" t="str">
        <f aca="false">VLOOKUP(L200,Sheet2!D:E,2,0)</f>
        <v>Main Processor CPU BGA</v>
      </c>
      <c r="N200" s="17" t="n">
        <v>24</v>
      </c>
      <c r="O200" s="17" t="str">
        <f aca="false">VLOOKUP(N200,Sheet2!G:H,2,0)</f>
        <v>STB Auto moving -Stand by mode</v>
      </c>
      <c r="P200" s="17" t="n">
        <v>12</v>
      </c>
      <c r="Q200" s="17" t="str">
        <f aca="false">VLOOKUP(P200,Sheet2!J:K,2,0)</f>
        <v>IR Declared due to Others ( IR Normal)TB</v>
      </c>
      <c r="R200" s="17" t="s">
        <v>35</v>
      </c>
      <c r="S200" s="17" t="str">
        <f aca="false">VLOOKUP(R200,Sheet2!N:O,2,0)</f>
        <v>IREPARABLE</v>
      </c>
      <c r="T200" s="18" t="str">
        <f aca="false">VLOOKUP(P200,Sheet2!Q:R,2,0)</f>
        <v>IR Normal - BER to IR</v>
      </c>
      <c r="U200" s="20" t="s">
        <v>135</v>
      </c>
      <c r="V200" s="17" t="n">
        <v>12</v>
      </c>
      <c r="W200" s="20" t="str">
        <f aca="false">VLOOKUP(V200,Sheet2!Q:R,2,0)</f>
        <v>IR Normal - BER to IR</v>
      </c>
      <c r="X200" s="17" t="s">
        <v>106</v>
      </c>
      <c r="Y200" s="17" t="str">
        <f aca="false">VLOOKUP(X200,Sheet2!A:B,2,0)</f>
        <v>PRAKASH CHAVDA</v>
      </c>
      <c r="Z200" s="17" t="s">
        <v>127</v>
      </c>
      <c r="AA200" s="17" t="s">
        <v>182</v>
      </c>
      <c r="AB200" s="17" t="s">
        <v>41</v>
      </c>
      <c r="AC200" s="0" t="str">
        <f aca="false">LEFT(G200,2)</f>
        <v>94</v>
      </c>
      <c r="AD200" s="0"/>
      <c r="AE200" s="21" t="s">
        <v>42</v>
      </c>
    </row>
    <row r="201" customFormat="false" ht="15" hidden="false" customHeight="false" outlineLevel="0" collapsed="false">
      <c r="A201" s="13" t="n">
        <f aca="false">1+A200</f>
        <v>199</v>
      </c>
      <c r="B201" s="17" t="n">
        <v>1009606946</v>
      </c>
      <c r="C201" s="17" t="s">
        <v>181</v>
      </c>
      <c r="D201" s="17" t="s">
        <v>88</v>
      </c>
      <c r="E201" s="17" t="s">
        <v>47</v>
      </c>
      <c r="F201" s="18" t="s">
        <v>34</v>
      </c>
      <c r="G201" s="19" t="n">
        <v>943212707716</v>
      </c>
      <c r="H201" s="17" t="s">
        <v>134</v>
      </c>
      <c r="I201" s="17" t="s">
        <v>44</v>
      </c>
      <c r="J201" s="17" t="s">
        <v>106</v>
      </c>
      <c r="K201" s="17" t="str">
        <f aca="false">VLOOKUP(J201,Sheet2!A:B,2,0)</f>
        <v>PRAKASH CHAVDA</v>
      </c>
      <c r="L201" s="17" t="n">
        <v>5</v>
      </c>
      <c r="M201" s="17" t="str">
        <f aca="false">VLOOKUP(L201,Sheet2!D:E,2,0)</f>
        <v>Main Processor CPU BGA</v>
      </c>
      <c r="N201" s="17" t="n">
        <v>1</v>
      </c>
      <c r="O201" s="17" t="str">
        <f aca="false">VLOOKUP(N201,Sheet2!G:H,2,0)</f>
        <v>Dead</v>
      </c>
      <c r="P201" s="17" t="n">
        <v>12</v>
      </c>
      <c r="Q201" s="17" t="str">
        <f aca="false">VLOOKUP(P201,Sheet2!J:K,2,0)</f>
        <v>IR Declared due to Others ( IR Normal)TB</v>
      </c>
      <c r="R201" s="17" t="s">
        <v>35</v>
      </c>
      <c r="S201" s="17" t="str">
        <f aca="false">VLOOKUP(R201,Sheet2!N:O,2,0)</f>
        <v>IREPARABLE</v>
      </c>
      <c r="T201" s="18" t="str">
        <f aca="false">VLOOKUP(P201,Sheet2!Q:R,2,0)</f>
        <v>IR Normal - BER to IR</v>
      </c>
      <c r="U201" s="18" t="s">
        <v>101</v>
      </c>
      <c r="V201" s="17" t="n">
        <v>8</v>
      </c>
      <c r="W201" s="20" t="str">
        <f aca="false">VLOOKUP(V201,Sheet2!Q:R,2,0)</f>
        <v>IR Normal -TrackRust/InternalDamage/open</v>
      </c>
      <c r="X201" s="17" t="s">
        <v>106</v>
      </c>
      <c r="Y201" s="17" t="str">
        <f aca="false">VLOOKUP(X201,Sheet2!A:B,2,0)</f>
        <v>PRAKASH CHAVDA</v>
      </c>
      <c r="Z201" s="17" t="s">
        <v>127</v>
      </c>
      <c r="AA201" s="17" t="s">
        <v>182</v>
      </c>
      <c r="AB201" s="17" t="s">
        <v>41</v>
      </c>
      <c r="AC201" s="0" t="str">
        <f aca="false">LEFT(G201,2)</f>
        <v>94</v>
      </c>
      <c r="AD201" s="0"/>
      <c r="AE201" s="21" t="s">
        <v>42</v>
      </c>
    </row>
    <row r="202" customFormat="false" ht="15" hidden="false" customHeight="false" outlineLevel="0" collapsed="false">
      <c r="A202" s="13" t="n">
        <f aca="false">1+A201</f>
        <v>200</v>
      </c>
      <c r="B202" s="17" t="n">
        <v>1009606917</v>
      </c>
      <c r="C202" s="17" t="s">
        <v>181</v>
      </c>
      <c r="D202" s="17" t="s">
        <v>88</v>
      </c>
      <c r="E202" s="17" t="s">
        <v>47</v>
      </c>
      <c r="F202" s="18" t="s">
        <v>34</v>
      </c>
      <c r="G202" s="19" t="n">
        <v>943212966148</v>
      </c>
      <c r="H202" s="17" t="s">
        <v>134</v>
      </c>
      <c r="I202" s="17" t="s">
        <v>44</v>
      </c>
      <c r="J202" s="17" t="s">
        <v>106</v>
      </c>
      <c r="K202" s="17" t="str">
        <f aca="false">VLOOKUP(J202,Sheet2!A:B,2,0)</f>
        <v>PRAKASH CHAVDA</v>
      </c>
      <c r="L202" s="17" t="n">
        <v>5</v>
      </c>
      <c r="M202" s="17" t="str">
        <f aca="false">VLOOKUP(L202,Sheet2!D:E,2,0)</f>
        <v>Main Processor CPU BGA</v>
      </c>
      <c r="N202" s="17" t="n">
        <v>21</v>
      </c>
      <c r="O202" s="17" t="str">
        <f aca="false">VLOOKUP(N202,Sheet2!G:H,2,0)</f>
        <v>No Audio /Video - HDMI</v>
      </c>
      <c r="P202" s="17" t="n">
        <v>12</v>
      </c>
      <c r="Q202" s="17" t="str">
        <f aca="false">VLOOKUP(P202,Sheet2!J:K,2,0)</f>
        <v>IR Declared due to Others ( IR Normal)TB</v>
      </c>
      <c r="R202" s="17" t="s">
        <v>35</v>
      </c>
      <c r="S202" s="17" t="str">
        <f aca="false">VLOOKUP(R202,Sheet2!N:O,2,0)</f>
        <v>IREPARABLE</v>
      </c>
      <c r="T202" s="18" t="str">
        <f aca="false">VLOOKUP(P202,Sheet2!Q:R,2,0)</f>
        <v>IR Normal - BER to IR</v>
      </c>
      <c r="U202" s="20" t="s">
        <v>135</v>
      </c>
      <c r="V202" s="17" t="n">
        <v>12</v>
      </c>
      <c r="W202" s="20" t="str">
        <f aca="false">VLOOKUP(V202,Sheet2!Q:R,2,0)</f>
        <v>IR Normal - BER to IR</v>
      </c>
      <c r="X202" s="17" t="s">
        <v>106</v>
      </c>
      <c r="Y202" s="17" t="str">
        <f aca="false">VLOOKUP(X202,Sheet2!A:B,2,0)</f>
        <v>PRAKASH CHAVDA</v>
      </c>
      <c r="Z202" s="17" t="s">
        <v>127</v>
      </c>
      <c r="AA202" s="17" t="s">
        <v>182</v>
      </c>
      <c r="AB202" s="17" t="s">
        <v>41</v>
      </c>
      <c r="AC202" s="0" t="str">
        <f aca="false">LEFT(G202,2)</f>
        <v>94</v>
      </c>
      <c r="AD202" s="0"/>
      <c r="AE202" s="21" t="s">
        <v>42</v>
      </c>
    </row>
    <row r="203" customFormat="false" ht="15" hidden="false" customHeight="false" outlineLevel="0" collapsed="false">
      <c r="A203" s="13" t="n">
        <f aca="false">1+A202</f>
        <v>201</v>
      </c>
      <c r="B203" s="17" t="n">
        <v>1009607638</v>
      </c>
      <c r="C203" s="17" t="s">
        <v>181</v>
      </c>
      <c r="D203" s="17" t="s">
        <v>198</v>
      </c>
      <c r="E203" s="17" t="s">
        <v>47</v>
      </c>
      <c r="F203" s="18" t="s">
        <v>34</v>
      </c>
      <c r="G203" s="19" t="n">
        <v>942119984519</v>
      </c>
      <c r="H203" s="17" t="s">
        <v>134</v>
      </c>
      <c r="I203" s="17" t="s">
        <v>44</v>
      </c>
      <c r="J203" s="17" t="s">
        <v>106</v>
      </c>
      <c r="K203" s="17" t="str">
        <f aca="false">VLOOKUP(J203,Sheet2!A:B,2,0)</f>
        <v>PRAKASH CHAVDA</v>
      </c>
      <c r="L203" s="17" t="n">
        <v>5</v>
      </c>
      <c r="M203" s="17" t="str">
        <f aca="false">VLOOKUP(L203,Sheet2!D:E,2,0)</f>
        <v>Main Processor CPU BGA</v>
      </c>
      <c r="N203" s="17" t="n">
        <v>1</v>
      </c>
      <c r="O203" s="17" t="str">
        <f aca="false">VLOOKUP(N203,Sheet2!G:H,2,0)</f>
        <v>Dead</v>
      </c>
      <c r="P203" s="17" t="n">
        <v>12</v>
      </c>
      <c r="Q203" s="17" t="str">
        <f aca="false">VLOOKUP(P203,Sheet2!J:K,2,0)</f>
        <v>IR Declared due to Others ( IR Normal)TB</v>
      </c>
      <c r="R203" s="17" t="s">
        <v>35</v>
      </c>
      <c r="S203" s="17" t="str">
        <f aca="false">VLOOKUP(R203,Sheet2!N:O,2,0)</f>
        <v>IREPARABLE</v>
      </c>
      <c r="T203" s="18" t="str">
        <f aca="false">VLOOKUP(P203,Sheet2!Q:R,2,0)</f>
        <v>IR Normal - BER to IR</v>
      </c>
      <c r="U203" s="20" t="s">
        <v>135</v>
      </c>
      <c r="V203" s="17" t="n">
        <v>12</v>
      </c>
      <c r="W203" s="20" t="str">
        <f aca="false">VLOOKUP(V203,Sheet2!Q:R,2,0)</f>
        <v>IR Normal - BER to IR</v>
      </c>
      <c r="X203" s="17" t="s">
        <v>106</v>
      </c>
      <c r="Y203" s="17" t="str">
        <f aca="false">VLOOKUP(X203,Sheet2!A:B,2,0)</f>
        <v>PRAKASH CHAVDA</v>
      </c>
      <c r="Z203" s="17" t="s">
        <v>127</v>
      </c>
      <c r="AA203" s="17" t="s">
        <v>182</v>
      </c>
      <c r="AB203" s="17" t="s">
        <v>41</v>
      </c>
      <c r="AC203" s="0" t="str">
        <f aca="false">LEFT(G203,2)</f>
        <v>94</v>
      </c>
      <c r="AD203" s="0"/>
      <c r="AE203" s="21" t="s">
        <v>42</v>
      </c>
    </row>
    <row r="204" customFormat="false" ht="15" hidden="false" customHeight="false" outlineLevel="0" collapsed="false">
      <c r="A204" s="13" t="n">
        <f aca="false">1+A203</f>
        <v>202</v>
      </c>
      <c r="B204" s="17" t="n">
        <v>1009606918</v>
      </c>
      <c r="C204" s="17" t="s">
        <v>181</v>
      </c>
      <c r="D204" s="17" t="s">
        <v>88</v>
      </c>
      <c r="E204" s="17" t="s">
        <v>47</v>
      </c>
      <c r="F204" s="18" t="s">
        <v>34</v>
      </c>
      <c r="G204" s="19" t="n">
        <v>942329992666</v>
      </c>
      <c r="H204" s="17" t="s">
        <v>134</v>
      </c>
      <c r="I204" s="17" t="s">
        <v>44</v>
      </c>
      <c r="J204" s="17" t="s">
        <v>106</v>
      </c>
      <c r="K204" s="17" t="str">
        <f aca="false">VLOOKUP(J204,Sheet2!A:B,2,0)</f>
        <v>PRAKASH CHAVDA</v>
      </c>
      <c r="L204" s="17" t="n">
        <v>5</v>
      </c>
      <c r="M204" s="17" t="str">
        <f aca="false">VLOOKUP(L204,Sheet2!D:E,2,0)</f>
        <v>Main Processor CPU BGA</v>
      </c>
      <c r="N204" s="17" t="n">
        <v>24</v>
      </c>
      <c r="O204" s="17" t="str">
        <f aca="false">VLOOKUP(N204,Sheet2!G:H,2,0)</f>
        <v>STB Auto moving -Stand by mode</v>
      </c>
      <c r="P204" s="17" t="n">
        <v>12</v>
      </c>
      <c r="Q204" s="17" t="str">
        <f aca="false">VLOOKUP(P204,Sheet2!J:K,2,0)</f>
        <v>IR Declared due to Others ( IR Normal)TB</v>
      </c>
      <c r="R204" s="17" t="s">
        <v>35</v>
      </c>
      <c r="S204" s="17" t="str">
        <f aca="false">VLOOKUP(R204,Sheet2!N:O,2,0)</f>
        <v>IREPARABLE</v>
      </c>
      <c r="T204" s="18" t="str">
        <f aca="false">VLOOKUP(P204,Sheet2!Q:R,2,0)</f>
        <v>IR Normal - BER to IR</v>
      </c>
      <c r="U204" s="20" t="s">
        <v>135</v>
      </c>
      <c r="V204" s="17" t="n">
        <v>12</v>
      </c>
      <c r="W204" s="20" t="str">
        <f aca="false">VLOOKUP(V204,Sheet2!Q:R,2,0)</f>
        <v>IR Normal - BER to IR</v>
      </c>
      <c r="X204" s="17" t="s">
        <v>106</v>
      </c>
      <c r="Y204" s="17" t="str">
        <f aca="false">VLOOKUP(X204,Sheet2!A:B,2,0)</f>
        <v>PRAKASH CHAVDA</v>
      </c>
      <c r="Z204" s="17" t="s">
        <v>127</v>
      </c>
      <c r="AA204" s="17" t="s">
        <v>182</v>
      </c>
      <c r="AB204" s="17" t="s">
        <v>41</v>
      </c>
      <c r="AC204" s="0" t="str">
        <f aca="false">LEFT(G204,2)</f>
        <v>94</v>
      </c>
      <c r="AD204" s="0"/>
      <c r="AE204" s="21" t="s">
        <v>42</v>
      </c>
    </row>
    <row r="205" customFormat="false" ht="15" hidden="false" customHeight="false" outlineLevel="0" collapsed="false">
      <c r="A205" s="13" t="n">
        <f aca="false">1+A204</f>
        <v>203</v>
      </c>
      <c r="B205" s="17" t="n">
        <v>1009608146</v>
      </c>
      <c r="C205" s="17" t="s">
        <v>181</v>
      </c>
      <c r="D205" s="17" t="s">
        <v>198</v>
      </c>
      <c r="E205" s="17" t="s">
        <v>47</v>
      </c>
      <c r="F205" s="18" t="s">
        <v>34</v>
      </c>
      <c r="G205" s="19" t="n">
        <v>943124913790</v>
      </c>
      <c r="H205" s="17" t="s">
        <v>134</v>
      </c>
      <c r="I205" s="17" t="s">
        <v>44</v>
      </c>
      <c r="J205" s="17" t="s">
        <v>106</v>
      </c>
      <c r="K205" s="17" t="str">
        <f aca="false">VLOOKUP(J205,Sheet2!A:B,2,0)</f>
        <v>PRAKASH CHAVDA</v>
      </c>
      <c r="L205" s="17" t="n">
        <v>5</v>
      </c>
      <c r="M205" s="17" t="str">
        <f aca="false">VLOOKUP(L205,Sheet2!D:E,2,0)</f>
        <v>Main Processor CPU BGA</v>
      </c>
      <c r="N205" s="17" t="n">
        <v>1</v>
      </c>
      <c r="O205" s="17" t="str">
        <f aca="false">VLOOKUP(N205,Sheet2!G:H,2,0)</f>
        <v>Dead</v>
      </c>
      <c r="P205" s="17" t="n">
        <v>12</v>
      </c>
      <c r="Q205" s="17" t="str">
        <f aca="false">VLOOKUP(P205,Sheet2!J:K,2,0)</f>
        <v>IR Declared due to Others ( IR Normal)TB</v>
      </c>
      <c r="R205" s="17" t="s">
        <v>35</v>
      </c>
      <c r="S205" s="17" t="str">
        <f aca="false">VLOOKUP(R205,Sheet2!N:O,2,0)</f>
        <v>IREPARABLE</v>
      </c>
      <c r="T205" s="18" t="str">
        <f aca="false">VLOOKUP(P205,Sheet2!Q:R,2,0)</f>
        <v>IR Normal - BER to IR</v>
      </c>
      <c r="U205" s="20" t="s">
        <v>135</v>
      </c>
      <c r="V205" s="17" t="n">
        <v>12</v>
      </c>
      <c r="W205" s="20" t="str">
        <f aca="false">VLOOKUP(V205,Sheet2!Q:R,2,0)</f>
        <v>IR Normal - BER to IR</v>
      </c>
      <c r="X205" s="17" t="s">
        <v>106</v>
      </c>
      <c r="Y205" s="17" t="str">
        <f aca="false">VLOOKUP(X205,Sheet2!A:B,2,0)</f>
        <v>PRAKASH CHAVDA</v>
      </c>
      <c r="Z205" s="17" t="s">
        <v>127</v>
      </c>
      <c r="AA205" s="17" t="s">
        <v>182</v>
      </c>
      <c r="AB205" s="17" t="s">
        <v>41</v>
      </c>
      <c r="AC205" s="0" t="str">
        <f aca="false">LEFT(G205,2)</f>
        <v>94</v>
      </c>
      <c r="AD205" s="0"/>
      <c r="AE205" s="21" t="s">
        <v>42</v>
      </c>
    </row>
    <row r="206" customFormat="false" ht="15" hidden="false" customHeight="false" outlineLevel="0" collapsed="false">
      <c r="A206" s="13" t="n">
        <f aca="false">1+A205</f>
        <v>204</v>
      </c>
      <c r="B206" s="17" t="n">
        <v>1009607661</v>
      </c>
      <c r="C206" s="17" t="s">
        <v>181</v>
      </c>
      <c r="D206" s="17" t="s">
        <v>119</v>
      </c>
      <c r="E206" s="17" t="s">
        <v>64</v>
      </c>
      <c r="F206" s="18" t="s">
        <v>70</v>
      </c>
      <c r="G206" s="19" t="n">
        <v>942363983902</v>
      </c>
      <c r="H206" s="17" t="s">
        <v>134</v>
      </c>
      <c r="I206" s="17" t="s">
        <v>44</v>
      </c>
      <c r="J206" s="17" t="s">
        <v>106</v>
      </c>
      <c r="K206" s="17" t="str">
        <f aca="false">VLOOKUP(J206,Sheet2!A:B,2,0)</f>
        <v>PRAKASH CHAVDA</v>
      </c>
      <c r="L206" s="17" t="n">
        <v>5</v>
      </c>
      <c r="M206" s="17" t="str">
        <f aca="false">VLOOKUP(L206,Sheet2!D:E,2,0)</f>
        <v>Main Processor CPU BGA</v>
      </c>
      <c r="N206" s="17" t="n">
        <v>24</v>
      </c>
      <c r="O206" s="17" t="str">
        <f aca="false">VLOOKUP(N206,Sheet2!G:H,2,0)</f>
        <v>STB Auto moving -Stand by mode</v>
      </c>
      <c r="P206" s="17" t="n">
        <v>12</v>
      </c>
      <c r="Q206" s="17" t="str">
        <f aca="false">VLOOKUP(P206,Sheet2!J:K,2,0)</f>
        <v>IR Declared due to Others ( IR Normal)TB</v>
      </c>
      <c r="R206" s="17" t="s">
        <v>35</v>
      </c>
      <c r="S206" s="17" t="str">
        <f aca="false">VLOOKUP(R206,Sheet2!N:O,2,0)</f>
        <v>IREPARABLE</v>
      </c>
      <c r="T206" s="18" t="str">
        <f aca="false">VLOOKUP(P206,Sheet2!Q:R,2,0)</f>
        <v>IR Normal - BER to IR</v>
      </c>
      <c r="U206" s="20" t="s">
        <v>135</v>
      </c>
      <c r="V206" s="17" t="n">
        <v>12</v>
      </c>
      <c r="W206" s="20" t="str">
        <f aca="false">VLOOKUP(V206,Sheet2!Q:R,2,0)</f>
        <v>IR Normal - BER to IR</v>
      </c>
      <c r="X206" s="17" t="s">
        <v>106</v>
      </c>
      <c r="Y206" s="17" t="str">
        <f aca="false">VLOOKUP(X206,Sheet2!A:B,2,0)</f>
        <v>PRAKASH CHAVDA</v>
      </c>
      <c r="Z206" s="17" t="s">
        <v>127</v>
      </c>
      <c r="AA206" s="17" t="s">
        <v>182</v>
      </c>
      <c r="AB206" s="17" t="s">
        <v>41</v>
      </c>
      <c r="AC206" s="0" t="str">
        <f aca="false">LEFT(G206,2)</f>
        <v>94</v>
      </c>
      <c r="AD206" s="0"/>
      <c r="AE206" s="21" t="s">
        <v>42</v>
      </c>
    </row>
    <row r="207" customFormat="false" ht="15" hidden="false" customHeight="false" outlineLevel="0" collapsed="false">
      <c r="A207" s="13" t="n">
        <f aca="false">1+A206</f>
        <v>205</v>
      </c>
      <c r="B207" s="17" t="n">
        <v>1009530001</v>
      </c>
      <c r="C207" s="17" t="s">
        <v>174</v>
      </c>
      <c r="D207" s="17" t="s">
        <v>64</v>
      </c>
      <c r="E207" s="17" t="s">
        <v>64</v>
      </c>
      <c r="F207" s="18" t="s">
        <v>70</v>
      </c>
      <c r="G207" s="19" t="n">
        <v>985285159028</v>
      </c>
      <c r="H207" s="17" t="s">
        <v>134</v>
      </c>
      <c r="I207" s="17" t="s">
        <v>44</v>
      </c>
      <c r="J207" s="17" t="s">
        <v>106</v>
      </c>
      <c r="K207" s="17" t="str">
        <f aca="false">VLOOKUP(J207,Sheet2!A:B,2,0)</f>
        <v>PRAKASH CHAVDA</v>
      </c>
      <c r="L207" s="17" t="n">
        <v>5</v>
      </c>
      <c r="M207" s="17" t="str">
        <f aca="false">VLOOKUP(L207,Sheet2!D:E,2,0)</f>
        <v>Main Processor CPU BGA</v>
      </c>
      <c r="N207" s="17" t="n">
        <v>24</v>
      </c>
      <c r="O207" s="17" t="str">
        <f aca="false">VLOOKUP(N207,Sheet2!G:H,2,0)</f>
        <v>STB Auto moving -Stand by mode</v>
      </c>
      <c r="P207" s="17" t="n">
        <v>12</v>
      </c>
      <c r="Q207" s="17" t="str">
        <f aca="false">VLOOKUP(P207,Sheet2!J:K,2,0)</f>
        <v>IR Declared due to Others ( IR Normal)TB</v>
      </c>
      <c r="R207" s="17" t="s">
        <v>35</v>
      </c>
      <c r="S207" s="17" t="str">
        <f aca="false">VLOOKUP(R207,Sheet2!N:O,2,0)</f>
        <v>IREPARABLE</v>
      </c>
      <c r="T207" s="18" t="str">
        <f aca="false">VLOOKUP(P207,Sheet2!Q:R,2,0)</f>
        <v>IR Normal - BER to IR</v>
      </c>
      <c r="U207" s="20" t="s">
        <v>135</v>
      </c>
      <c r="V207" s="17" t="n">
        <v>12</v>
      </c>
      <c r="W207" s="20" t="str">
        <f aca="false">VLOOKUP(V207,Sheet2!Q:R,2,0)</f>
        <v>IR Normal - BER to IR</v>
      </c>
      <c r="X207" s="17" t="s">
        <v>106</v>
      </c>
      <c r="Y207" s="17" t="str">
        <f aca="false">VLOOKUP(X207,Sheet2!A:B,2,0)</f>
        <v>PRAKASH CHAVDA</v>
      </c>
      <c r="Z207" s="17" t="s">
        <v>141</v>
      </c>
      <c r="AA207" s="17" t="s">
        <v>182</v>
      </c>
      <c r="AB207" s="17" t="s">
        <v>41</v>
      </c>
      <c r="AC207" s="0" t="str">
        <f aca="false">LEFT(G207,2)</f>
        <v>98</v>
      </c>
      <c r="AD207" s="0"/>
      <c r="AE207" s="21" t="s">
        <v>42</v>
      </c>
    </row>
    <row r="208" customFormat="false" ht="15" hidden="false" customHeight="false" outlineLevel="0" collapsed="false">
      <c r="A208" s="13" t="n">
        <f aca="false">1+A207</f>
        <v>206</v>
      </c>
      <c r="B208" s="17" t="n">
        <v>1009602559</v>
      </c>
      <c r="C208" s="17" t="s">
        <v>159</v>
      </c>
      <c r="D208" s="17" t="s">
        <v>64</v>
      </c>
      <c r="E208" s="17" t="s">
        <v>64</v>
      </c>
      <c r="F208" s="18" t="s">
        <v>70</v>
      </c>
      <c r="G208" s="19" t="n">
        <v>775311145400</v>
      </c>
      <c r="H208" s="17" t="s">
        <v>134</v>
      </c>
      <c r="I208" s="17" t="s">
        <v>69</v>
      </c>
      <c r="J208" s="17" t="s">
        <v>106</v>
      </c>
      <c r="K208" s="17" t="str">
        <f aca="false">VLOOKUP(J208,Sheet2!A:B,2,0)</f>
        <v>PRAKASH CHAVDA</v>
      </c>
      <c r="L208" s="17" t="n">
        <v>5</v>
      </c>
      <c r="M208" s="17" t="str">
        <f aca="false">VLOOKUP(L208,Sheet2!D:E,2,0)</f>
        <v>Main Processor CPU BGA</v>
      </c>
      <c r="N208" s="17" t="n">
        <v>1</v>
      </c>
      <c r="O208" s="17" t="str">
        <f aca="false">VLOOKUP(N208,Sheet2!G:H,2,0)</f>
        <v>Dead</v>
      </c>
      <c r="P208" s="17" t="n">
        <v>12</v>
      </c>
      <c r="Q208" s="17" t="str">
        <f aca="false">VLOOKUP(P208,Sheet2!J:K,2,0)</f>
        <v>IR Declared due to Others ( IR Normal)TB</v>
      </c>
      <c r="R208" s="17" t="s">
        <v>35</v>
      </c>
      <c r="S208" s="17" t="str">
        <f aca="false">VLOOKUP(R208,Sheet2!N:O,2,0)</f>
        <v>IREPARABLE</v>
      </c>
      <c r="T208" s="18" t="str">
        <f aca="false">VLOOKUP(P208,Sheet2!Q:R,2,0)</f>
        <v>IR Normal - BER to IR</v>
      </c>
      <c r="U208" s="18" t="s">
        <v>101</v>
      </c>
      <c r="V208" s="17" t="n">
        <v>8</v>
      </c>
      <c r="W208" s="20" t="str">
        <f aca="false">VLOOKUP(V208,Sheet2!Q:R,2,0)</f>
        <v>IR Normal -TrackRust/InternalDamage/open</v>
      </c>
      <c r="X208" s="17" t="s">
        <v>106</v>
      </c>
      <c r="Y208" s="17" t="str">
        <f aca="false">VLOOKUP(X208,Sheet2!A:B,2,0)</f>
        <v>PRAKASH CHAVDA</v>
      </c>
      <c r="Z208" s="17" t="s">
        <v>136</v>
      </c>
      <c r="AA208" s="17" t="s">
        <v>182</v>
      </c>
      <c r="AB208" s="17" t="s">
        <v>41</v>
      </c>
      <c r="AC208" s="0" t="str">
        <f aca="false">LEFT(G208,2)</f>
        <v>77</v>
      </c>
      <c r="AD208" s="0"/>
      <c r="AE208" s="21" t="s">
        <v>42</v>
      </c>
    </row>
    <row r="209" customFormat="false" ht="15" hidden="false" customHeight="false" outlineLevel="0" collapsed="false">
      <c r="A209" s="13" t="n">
        <f aca="false">1+A208</f>
        <v>207</v>
      </c>
      <c r="B209" s="17" t="n">
        <v>1009606684</v>
      </c>
      <c r="C209" s="17" t="s">
        <v>181</v>
      </c>
      <c r="D209" s="17" t="s">
        <v>88</v>
      </c>
      <c r="E209" s="17" t="s">
        <v>47</v>
      </c>
      <c r="F209" s="18" t="s">
        <v>34</v>
      </c>
      <c r="G209" s="19" t="n">
        <v>775348093134</v>
      </c>
      <c r="H209" s="17" t="s">
        <v>134</v>
      </c>
      <c r="I209" s="17" t="s">
        <v>69</v>
      </c>
      <c r="J209" s="17" t="s">
        <v>106</v>
      </c>
      <c r="K209" s="17" t="str">
        <f aca="false">VLOOKUP(J209,Sheet2!A:B,2,0)</f>
        <v>PRAKASH CHAVDA</v>
      </c>
      <c r="L209" s="17" t="n">
        <v>5</v>
      </c>
      <c r="M209" s="17" t="str">
        <f aca="false">VLOOKUP(L209,Sheet2!D:E,2,0)</f>
        <v>Main Processor CPU BGA</v>
      </c>
      <c r="N209" s="17" t="n">
        <v>24</v>
      </c>
      <c r="O209" s="17" t="str">
        <f aca="false">VLOOKUP(N209,Sheet2!G:H,2,0)</f>
        <v>STB Auto moving -Stand by mode</v>
      </c>
      <c r="P209" s="17" t="n">
        <v>12</v>
      </c>
      <c r="Q209" s="17" t="str">
        <f aca="false">VLOOKUP(P209,Sheet2!J:K,2,0)</f>
        <v>IR Declared due to Others ( IR Normal)TB</v>
      </c>
      <c r="R209" s="17" t="s">
        <v>35</v>
      </c>
      <c r="S209" s="17" t="str">
        <f aca="false">VLOOKUP(R209,Sheet2!N:O,2,0)</f>
        <v>IREPARABLE</v>
      </c>
      <c r="T209" s="18" t="str">
        <f aca="false">VLOOKUP(P209,Sheet2!Q:R,2,0)</f>
        <v>IR Normal - BER to IR</v>
      </c>
      <c r="U209" s="20" t="s">
        <v>135</v>
      </c>
      <c r="V209" s="17" t="n">
        <v>12</v>
      </c>
      <c r="W209" s="20" t="str">
        <f aca="false">VLOOKUP(V209,Sheet2!Q:R,2,0)</f>
        <v>IR Normal - BER to IR</v>
      </c>
      <c r="X209" s="17" t="s">
        <v>106</v>
      </c>
      <c r="Y209" s="17" t="str">
        <f aca="false">VLOOKUP(X209,Sheet2!A:B,2,0)</f>
        <v>PRAKASH CHAVDA</v>
      </c>
      <c r="Z209" s="17" t="s">
        <v>136</v>
      </c>
      <c r="AA209" s="17" t="s">
        <v>182</v>
      </c>
      <c r="AB209" s="17" t="s">
        <v>41</v>
      </c>
      <c r="AC209" s="0" t="str">
        <f aca="false">LEFT(G209,2)</f>
        <v>77</v>
      </c>
      <c r="AD209" s="0"/>
      <c r="AE209" s="21" t="s">
        <v>42</v>
      </c>
    </row>
    <row r="210" customFormat="false" ht="15" hidden="false" customHeight="false" outlineLevel="0" collapsed="false">
      <c r="A210" s="13" t="n">
        <f aca="false">1+A209</f>
        <v>208</v>
      </c>
      <c r="B210" s="17" t="n">
        <v>1009607719</v>
      </c>
      <c r="C210" s="17" t="s">
        <v>181</v>
      </c>
      <c r="D210" s="17" t="s">
        <v>64</v>
      </c>
      <c r="E210" s="17" t="s">
        <v>64</v>
      </c>
      <c r="F210" s="18" t="s">
        <v>70</v>
      </c>
      <c r="G210" s="19" t="n">
        <v>775091095676</v>
      </c>
      <c r="H210" s="17" t="s">
        <v>134</v>
      </c>
      <c r="I210" s="17" t="s">
        <v>69</v>
      </c>
      <c r="J210" s="17" t="s">
        <v>106</v>
      </c>
      <c r="K210" s="17" t="str">
        <f aca="false">VLOOKUP(J210,Sheet2!A:B,2,0)</f>
        <v>PRAKASH CHAVDA</v>
      </c>
      <c r="L210" s="17" t="n">
        <v>5</v>
      </c>
      <c r="M210" s="17" t="str">
        <f aca="false">VLOOKUP(L210,Sheet2!D:E,2,0)</f>
        <v>Main Processor CPU BGA</v>
      </c>
      <c r="N210" s="17" t="n">
        <v>24</v>
      </c>
      <c r="O210" s="17" t="str">
        <f aca="false">VLOOKUP(N210,Sheet2!G:H,2,0)</f>
        <v>STB Auto moving -Stand by mode</v>
      </c>
      <c r="P210" s="17" t="n">
        <v>12</v>
      </c>
      <c r="Q210" s="17" t="str">
        <f aca="false">VLOOKUP(P210,Sheet2!J:K,2,0)</f>
        <v>IR Declared due to Others ( IR Normal)TB</v>
      </c>
      <c r="R210" s="17" t="s">
        <v>35</v>
      </c>
      <c r="S210" s="17" t="str">
        <f aca="false">VLOOKUP(R210,Sheet2!N:O,2,0)</f>
        <v>IREPARABLE</v>
      </c>
      <c r="T210" s="18" t="str">
        <f aca="false">VLOOKUP(P210,Sheet2!Q:R,2,0)</f>
        <v>IR Normal - BER to IR</v>
      </c>
      <c r="U210" s="20" t="s">
        <v>135</v>
      </c>
      <c r="V210" s="17" t="n">
        <v>12</v>
      </c>
      <c r="W210" s="20" t="str">
        <f aca="false">VLOOKUP(V210,Sheet2!Q:R,2,0)</f>
        <v>IR Normal - BER to IR</v>
      </c>
      <c r="X210" s="17" t="s">
        <v>106</v>
      </c>
      <c r="Y210" s="17" t="str">
        <f aca="false">VLOOKUP(X210,Sheet2!A:B,2,0)</f>
        <v>PRAKASH CHAVDA</v>
      </c>
      <c r="Z210" s="17" t="s">
        <v>136</v>
      </c>
      <c r="AA210" s="17" t="s">
        <v>182</v>
      </c>
      <c r="AB210" s="17" t="s">
        <v>41</v>
      </c>
      <c r="AC210" s="0" t="str">
        <f aca="false">LEFT(G210,2)</f>
        <v>77</v>
      </c>
      <c r="AD210" s="0"/>
      <c r="AE210" s="21" t="s">
        <v>42</v>
      </c>
    </row>
    <row r="211" customFormat="false" ht="15" hidden="false" customHeight="false" outlineLevel="0" collapsed="false">
      <c r="A211" s="13" t="n">
        <f aca="false">1+A210</f>
        <v>209</v>
      </c>
      <c r="B211" s="17" t="n">
        <v>1009612804</v>
      </c>
      <c r="C211" s="17" t="s">
        <v>181</v>
      </c>
      <c r="D211" s="17" t="s">
        <v>64</v>
      </c>
      <c r="E211" s="17" t="s">
        <v>47</v>
      </c>
      <c r="F211" s="18" t="s">
        <v>34</v>
      </c>
      <c r="G211" s="19" t="n">
        <v>775332255501</v>
      </c>
      <c r="H211" s="17" t="s">
        <v>134</v>
      </c>
      <c r="I211" s="17" t="s">
        <v>69</v>
      </c>
      <c r="J211" s="17" t="s">
        <v>106</v>
      </c>
      <c r="K211" s="17" t="str">
        <f aca="false">VLOOKUP(J211,Sheet2!A:B,2,0)</f>
        <v>PRAKASH CHAVDA</v>
      </c>
      <c r="L211" s="17" t="n">
        <v>5</v>
      </c>
      <c r="M211" s="17" t="str">
        <f aca="false">VLOOKUP(L211,Sheet2!D:E,2,0)</f>
        <v>Main Processor CPU BGA</v>
      </c>
      <c r="N211" s="17" t="n">
        <v>1</v>
      </c>
      <c r="O211" s="17" t="str">
        <f aca="false">VLOOKUP(N211,Sheet2!G:H,2,0)</f>
        <v>Dead</v>
      </c>
      <c r="P211" s="17" t="n">
        <v>12</v>
      </c>
      <c r="Q211" s="17" t="str">
        <f aca="false">VLOOKUP(P211,Sheet2!J:K,2,0)</f>
        <v>IR Declared due to Others ( IR Normal)TB</v>
      </c>
      <c r="R211" s="17" t="s">
        <v>35</v>
      </c>
      <c r="S211" s="17" t="str">
        <f aca="false">VLOOKUP(R211,Sheet2!N:O,2,0)</f>
        <v>IREPARABLE</v>
      </c>
      <c r="T211" s="18" t="str">
        <f aca="false">VLOOKUP(P211,Sheet2!Q:R,2,0)</f>
        <v>IR Normal - BER to IR</v>
      </c>
      <c r="U211" s="20" t="s">
        <v>135</v>
      </c>
      <c r="V211" s="17" t="n">
        <v>12</v>
      </c>
      <c r="W211" s="20" t="str">
        <f aca="false">VLOOKUP(V211,Sheet2!Q:R,2,0)</f>
        <v>IR Normal - BER to IR</v>
      </c>
      <c r="X211" s="17" t="s">
        <v>106</v>
      </c>
      <c r="Y211" s="17" t="str">
        <f aca="false">VLOOKUP(X211,Sheet2!A:B,2,0)</f>
        <v>PRAKASH CHAVDA</v>
      </c>
      <c r="Z211" s="17" t="s">
        <v>136</v>
      </c>
      <c r="AA211" s="17" t="s">
        <v>182</v>
      </c>
      <c r="AB211" s="17" t="s">
        <v>41</v>
      </c>
      <c r="AC211" s="0" t="str">
        <f aca="false">LEFT(G211,2)</f>
        <v>77</v>
      </c>
      <c r="AD211" s="0"/>
      <c r="AE211" s="21" t="s">
        <v>42</v>
      </c>
    </row>
    <row r="212" customFormat="false" ht="15" hidden="false" customHeight="false" outlineLevel="0" collapsed="false">
      <c r="A212" s="13" t="n">
        <f aca="false">1+A211</f>
        <v>210</v>
      </c>
      <c r="B212" s="17" t="n">
        <v>1009601781</v>
      </c>
      <c r="C212" s="17" t="s">
        <v>159</v>
      </c>
      <c r="D212" s="17" t="s">
        <v>64</v>
      </c>
      <c r="E212" s="17" t="s">
        <v>64</v>
      </c>
      <c r="F212" s="18" t="s">
        <v>70</v>
      </c>
      <c r="G212" s="19" t="n">
        <v>775327169691</v>
      </c>
      <c r="H212" s="17" t="s">
        <v>134</v>
      </c>
      <c r="I212" s="17" t="s">
        <v>69</v>
      </c>
      <c r="J212" s="17" t="s">
        <v>106</v>
      </c>
      <c r="K212" s="17" t="str">
        <f aca="false">VLOOKUP(J212,Sheet2!A:B,2,0)</f>
        <v>PRAKASH CHAVDA</v>
      </c>
      <c r="L212" s="17" t="n">
        <v>5</v>
      </c>
      <c r="M212" s="17" t="str">
        <f aca="false">VLOOKUP(L212,Sheet2!D:E,2,0)</f>
        <v>Main Processor CPU BGA</v>
      </c>
      <c r="N212" s="17" t="n">
        <v>1</v>
      </c>
      <c r="O212" s="17" t="str">
        <f aca="false">VLOOKUP(N212,Sheet2!G:H,2,0)</f>
        <v>Dead</v>
      </c>
      <c r="P212" s="17" t="n">
        <v>12</v>
      </c>
      <c r="Q212" s="17" t="str">
        <f aca="false">VLOOKUP(P212,Sheet2!J:K,2,0)</f>
        <v>IR Declared due to Others ( IR Normal)TB</v>
      </c>
      <c r="R212" s="17" t="s">
        <v>35</v>
      </c>
      <c r="S212" s="17" t="str">
        <f aca="false">VLOOKUP(R212,Sheet2!N:O,2,0)</f>
        <v>IREPARABLE</v>
      </c>
      <c r="T212" s="18" t="str">
        <f aca="false">VLOOKUP(P212,Sheet2!Q:R,2,0)</f>
        <v>IR Normal - BER to IR</v>
      </c>
      <c r="U212" s="20" t="s">
        <v>135</v>
      </c>
      <c r="V212" s="17" t="n">
        <v>12</v>
      </c>
      <c r="W212" s="20" t="str">
        <f aca="false">VLOOKUP(V212,Sheet2!Q:R,2,0)</f>
        <v>IR Normal - BER to IR</v>
      </c>
      <c r="X212" s="17" t="s">
        <v>106</v>
      </c>
      <c r="Y212" s="17" t="str">
        <f aca="false">VLOOKUP(X212,Sheet2!A:B,2,0)</f>
        <v>PRAKASH CHAVDA</v>
      </c>
      <c r="Z212" s="17" t="s">
        <v>136</v>
      </c>
      <c r="AA212" s="17" t="s">
        <v>182</v>
      </c>
      <c r="AB212" s="17" t="s">
        <v>41</v>
      </c>
      <c r="AC212" s="0" t="str">
        <f aca="false">LEFT(G212,2)</f>
        <v>77</v>
      </c>
      <c r="AD212" s="0"/>
      <c r="AE212" s="21" t="s">
        <v>42</v>
      </c>
    </row>
    <row r="213" customFormat="false" ht="15" hidden="false" customHeight="false" outlineLevel="0" collapsed="false">
      <c r="A213" s="13" t="n">
        <f aca="false">1+A212</f>
        <v>211</v>
      </c>
      <c r="B213" s="17" t="n">
        <v>1009606497</v>
      </c>
      <c r="C213" s="17" t="s">
        <v>181</v>
      </c>
      <c r="D213" s="17" t="s">
        <v>190</v>
      </c>
      <c r="E213" s="17" t="s">
        <v>64</v>
      </c>
      <c r="F213" s="18" t="s">
        <v>70</v>
      </c>
      <c r="G213" s="19" t="n">
        <v>775327154859</v>
      </c>
      <c r="H213" s="17" t="s">
        <v>134</v>
      </c>
      <c r="I213" s="17" t="s">
        <v>69</v>
      </c>
      <c r="J213" s="17" t="s">
        <v>106</v>
      </c>
      <c r="K213" s="17" t="str">
        <f aca="false">VLOOKUP(J213,Sheet2!A:B,2,0)</f>
        <v>PRAKASH CHAVDA</v>
      </c>
      <c r="L213" s="17" t="n">
        <v>5</v>
      </c>
      <c r="M213" s="17" t="str">
        <f aca="false">VLOOKUP(L213,Sheet2!D:E,2,0)</f>
        <v>Main Processor CPU BGA</v>
      </c>
      <c r="N213" s="17" t="n">
        <v>1</v>
      </c>
      <c r="O213" s="17" t="str">
        <f aca="false">VLOOKUP(N213,Sheet2!G:H,2,0)</f>
        <v>Dead</v>
      </c>
      <c r="P213" s="17" t="n">
        <v>11</v>
      </c>
      <c r="Q213" s="17" t="str">
        <f aca="false">VLOOKUP(P213,Sheet2!J:K,2,0)</f>
        <v>IR Declared due to CID -TA</v>
      </c>
      <c r="R213" s="17" t="s">
        <v>35</v>
      </c>
      <c r="S213" s="17" t="str">
        <f aca="false">VLOOKUP(R213,Sheet2!N:O,2,0)</f>
        <v>IREPARABLE</v>
      </c>
      <c r="T213" s="18" t="str">
        <f aca="false">VLOOKUP(P213,Sheet2!Q:R,2,0)</f>
        <v>IR Normal - Track burn out</v>
      </c>
      <c r="U213" s="18" t="s">
        <v>122</v>
      </c>
      <c r="V213" s="17" t="n">
        <v>2</v>
      </c>
      <c r="W213" s="20" t="str">
        <f aca="false">VLOOKUP(V213,Sheet2!Q:R,2,0)</f>
        <v>IR CID -  Water log from other area</v>
      </c>
      <c r="X213" s="17" t="s">
        <v>106</v>
      </c>
      <c r="Y213" s="17" t="str">
        <f aca="false">VLOOKUP(X213,Sheet2!A:B,2,0)</f>
        <v>PRAKASH CHAVDA</v>
      </c>
      <c r="Z213" s="17" t="s">
        <v>136</v>
      </c>
      <c r="AA213" s="17" t="s">
        <v>182</v>
      </c>
      <c r="AB213" s="17" t="s">
        <v>41</v>
      </c>
      <c r="AC213" s="0" t="str">
        <f aca="false">LEFT(G213,2)</f>
        <v>77</v>
      </c>
      <c r="AD213" s="0"/>
      <c r="AE213" s="21" t="s">
        <v>42</v>
      </c>
    </row>
    <row r="214" customFormat="false" ht="15" hidden="false" customHeight="false" outlineLevel="0" collapsed="false">
      <c r="A214" s="13" t="n">
        <f aca="false">1+A213</f>
        <v>212</v>
      </c>
      <c r="B214" s="17" t="n">
        <v>1009601487</v>
      </c>
      <c r="C214" s="17" t="s">
        <v>159</v>
      </c>
      <c r="D214" s="17" t="s">
        <v>157</v>
      </c>
      <c r="E214" s="17" t="s">
        <v>33</v>
      </c>
      <c r="F214" s="18" t="s">
        <v>34</v>
      </c>
      <c r="G214" s="19" t="n">
        <v>774338057896</v>
      </c>
      <c r="H214" s="17" t="s">
        <v>134</v>
      </c>
      <c r="I214" s="17" t="s">
        <v>69</v>
      </c>
      <c r="J214" s="17" t="s">
        <v>106</v>
      </c>
      <c r="K214" s="17" t="str">
        <f aca="false">VLOOKUP(J214,Sheet2!A:B,2,0)</f>
        <v>PRAKASH CHAVDA</v>
      </c>
      <c r="L214" s="17" t="n">
        <v>5</v>
      </c>
      <c r="M214" s="17" t="str">
        <f aca="false">VLOOKUP(L214,Sheet2!D:E,2,0)</f>
        <v>Main Processor CPU BGA</v>
      </c>
      <c r="N214" s="17" t="n">
        <v>1</v>
      </c>
      <c r="O214" s="17" t="str">
        <f aca="false">VLOOKUP(N214,Sheet2!G:H,2,0)</f>
        <v>Dead</v>
      </c>
      <c r="P214" s="17" t="n">
        <v>12</v>
      </c>
      <c r="Q214" s="17" t="str">
        <f aca="false">VLOOKUP(P214,Sheet2!J:K,2,0)</f>
        <v>IR Declared due to Others ( IR Normal)TB</v>
      </c>
      <c r="R214" s="17" t="s">
        <v>35</v>
      </c>
      <c r="S214" s="17" t="str">
        <f aca="false">VLOOKUP(R214,Sheet2!N:O,2,0)</f>
        <v>IREPARABLE</v>
      </c>
      <c r="T214" s="18" t="str">
        <f aca="false">VLOOKUP(P214,Sheet2!Q:R,2,0)</f>
        <v>IR Normal - BER to IR</v>
      </c>
      <c r="U214" s="20" t="s">
        <v>135</v>
      </c>
      <c r="V214" s="17" t="n">
        <v>12</v>
      </c>
      <c r="W214" s="20" t="str">
        <f aca="false">VLOOKUP(V214,Sheet2!Q:R,2,0)</f>
        <v>IR Normal - BER to IR</v>
      </c>
      <c r="X214" s="17" t="s">
        <v>106</v>
      </c>
      <c r="Y214" s="17" t="str">
        <f aca="false">VLOOKUP(X214,Sheet2!A:B,2,0)</f>
        <v>PRAKASH CHAVDA</v>
      </c>
      <c r="Z214" s="17" t="s">
        <v>136</v>
      </c>
      <c r="AA214" s="17" t="s">
        <v>182</v>
      </c>
      <c r="AB214" s="17" t="s">
        <v>41</v>
      </c>
      <c r="AC214" s="0" t="str">
        <f aca="false">LEFT(G214,2)</f>
        <v>77</v>
      </c>
      <c r="AD214" s="0"/>
      <c r="AE214" s="21" t="s">
        <v>42</v>
      </c>
    </row>
    <row r="215" customFormat="false" ht="15" hidden="false" customHeight="false" outlineLevel="0" collapsed="false">
      <c r="A215" s="13" t="n">
        <f aca="false">1+A214</f>
        <v>213</v>
      </c>
      <c r="B215" s="17" t="n">
        <v>1009562350</v>
      </c>
      <c r="C215" s="17" t="s">
        <v>192</v>
      </c>
      <c r="D215" s="17" t="s">
        <v>64</v>
      </c>
      <c r="E215" s="17" t="s">
        <v>47</v>
      </c>
      <c r="F215" s="18" t="s">
        <v>34</v>
      </c>
      <c r="G215" s="19" t="n">
        <v>774284017563</v>
      </c>
      <c r="H215" s="17" t="s">
        <v>134</v>
      </c>
      <c r="I215" s="17" t="s">
        <v>69</v>
      </c>
      <c r="J215" s="17" t="s">
        <v>106</v>
      </c>
      <c r="K215" s="17" t="str">
        <f aca="false">VLOOKUP(J215,Sheet2!A:B,2,0)</f>
        <v>PRAKASH CHAVDA</v>
      </c>
      <c r="L215" s="17" t="n">
        <v>5</v>
      </c>
      <c r="M215" s="17" t="str">
        <f aca="false">VLOOKUP(L215,Sheet2!D:E,2,0)</f>
        <v>Main Processor CPU BGA</v>
      </c>
      <c r="N215" s="17" t="n">
        <v>1</v>
      </c>
      <c r="O215" s="17" t="str">
        <f aca="false">VLOOKUP(N215,Sheet2!G:H,2,0)</f>
        <v>Dead</v>
      </c>
      <c r="P215" s="17" t="n">
        <v>12</v>
      </c>
      <c r="Q215" s="17" t="str">
        <f aca="false">VLOOKUP(P215,Sheet2!J:K,2,0)</f>
        <v>IR Declared due to Others ( IR Normal)TB</v>
      </c>
      <c r="R215" s="17" t="s">
        <v>35</v>
      </c>
      <c r="S215" s="17" t="str">
        <f aca="false">VLOOKUP(R215,Sheet2!N:O,2,0)</f>
        <v>IREPARABLE</v>
      </c>
      <c r="T215" s="18" t="str">
        <f aca="false">VLOOKUP(P215,Sheet2!Q:R,2,0)</f>
        <v>IR Normal - BER to IR</v>
      </c>
      <c r="U215" s="20" t="s">
        <v>135</v>
      </c>
      <c r="V215" s="17" t="n">
        <v>12</v>
      </c>
      <c r="W215" s="20" t="str">
        <f aca="false">VLOOKUP(V215,Sheet2!Q:R,2,0)</f>
        <v>IR Normal - BER to IR</v>
      </c>
      <c r="X215" s="17" t="s">
        <v>106</v>
      </c>
      <c r="Y215" s="17" t="str">
        <f aca="false">VLOOKUP(X215,Sheet2!A:B,2,0)</f>
        <v>PRAKASH CHAVDA</v>
      </c>
      <c r="Z215" s="17" t="s">
        <v>136</v>
      </c>
      <c r="AA215" s="17" t="s">
        <v>182</v>
      </c>
      <c r="AB215" s="17" t="s">
        <v>41</v>
      </c>
      <c r="AC215" s="0" t="str">
        <f aca="false">LEFT(G215,2)</f>
        <v>77</v>
      </c>
      <c r="AD215" s="0"/>
      <c r="AE215" s="21" t="s">
        <v>42</v>
      </c>
    </row>
    <row r="216" customFormat="false" ht="15" hidden="false" customHeight="false" outlineLevel="0" collapsed="false">
      <c r="A216" s="13" t="n">
        <f aca="false">1+A215</f>
        <v>214</v>
      </c>
      <c r="B216" s="17" t="n">
        <v>1009607633</v>
      </c>
      <c r="C216" s="17" t="s">
        <v>181</v>
      </c>
      <c r="D216" s="17" t="s">
        <v>78</v>
      </c>
      <c r="E216" s="17" t="s">
        <v>47</v>
      </c>
      <c r="F216" s="18" t="s">
        <v>34</v>
      </c>
      <c r="G216" s="19" t="n">
        <v>775307141512</v>
      </c>
      <c r="H216" s="17" t="s">
        <v>134</v>
      </c>
      <c r="I216" s="17" t="s">
        <v>69</v>
      </c>
      <c r="J216" s="17" t="s">
        <v>106</v>
      </c>
      <c r="K216" s="17" t="str">
        <f aca="false">VLOOKUP(J216,Sheet2!A:B,2,0)</f>
        <v>PRAKASH CHAVDA</v>
      </c>
      <c r="L216" s="17" t="n">
        <v>5</v>
      </c>
      <c r="M216" s="17" t="str">
        <f aca="false">VLOOKUP(L216,Sheet2!D:E,2,0)</f>
        <v>Main Processor CPU BGA</v>
      </c>
      <c r="N216" s="17" t="n">
        <v>1</v>
      </c>
      <c r="O216" s="17" t="str">
        <f aca="false">VLOOKUP(N216,Sheet2!G:H,2,0)</f>
        <v>Dead</v>
      </c>
      <c r="P216" s="17" t="n">
        <v>11</v>
      </c>
      <c r="Q216" s="17" t="str">
        <f aca="false">VLOOKUP(P216,Sheet2!J:K,2,0)</f>
        <v>IR Declared due to CID -TA</v>
      </c>
      <c r="R216" s="17" t="s">
        <v>35</v>
      </c>
      <c r="S216" s="17" t="str">
        <f aca="false">VLOOKUP(R216,Sheet2!N:O,2,0)</f>
        <v>IREPARABLE</v>
      </c>
      <c r="T216" s="18" t="str">
        <f aca="false">VLOOKUP(P216,Sheet2!Q:R,2,0)</f>
        <v>IR Normal - Track burn out</v>
      </c>
      <c r="U216" s="18" t="s">
        <v>122</v>
      </c>
      <c r="V216" s="17" t="n">
        <v>2</v>
      </c>
      <c r="W216" s="20" t="str">
        <f aca="false">VLOOKUP(V216,Sheet2!Q:R,2,0)</f>
        <v>IR CID -  Water log from other area</v>
      </c>
      <c r="X216" s="17" t="s">
        <v>106</v>
      </c>
      <c r="Y216" s="17" t="str">
        <f aca="false">VLOOKUP(X216,Sheet2!A:B,2,0)</f>
        <v>PRAKASH CHAVDA</v>
      </c>
      <c r="Z216" s="17" t="s">
        <v>136</v>
      </c>
      <c r="AA216" s="17" t="s">
        <v>182</v>
      </c>
      <c r="AB216" s="17" t="s">
        <v>41</v>
      </c>
      <c r="AC216" s="0" t="str">
        <f aca="false">LEFT(G216,2)</f>
        <v>77</v>
      </c>
      <c r="AD216" s="0"/>
      <c r="AE216" s="21" t="s">
        <v>42</v>
      </c>
    </row>
    <row r="217" customFormat="false" ht="15" hidden="false" customHeight="false" outlineLevel="0" collapsed="false">
      <c r="A217" s="13" t="n">
        <f aca="false">1+A216</f>
        <v>215</v>
      </c>
      <c r="B217" s="17" t="n">
        <v>1009586304</v>
      </c>
      <c r="C217" s="17" t="s">
        <v>139</v>
      </c>
      <c r="D217" s="17" t="s">
        <v>64</v>
      </c>
      <c r="E217" s="17" t="s">
        <v>64</v>
      </c>
      <c r="F217" s="18" t="s">
        <v>70</v>
      </c>
      <c r="G217" s="19" t="n">
        <v>775321232107</v>
      </c>
      <c r="H217" s="17" t="s">
        <v>134</v>
      </c>
      <c r="I217" s="17" t="s">
        <v>69</v>
      </c>
      <c r="J217" s="17" t="s">
        <v>106</v>
      </c>
      <c r="K217" s="17" t="str">
        <f aca="false">VLOOKUP(J217,Sheet2!A:B,2,0)</f>
        <v>PRAKASH CHAVDA</v>
      </c>
      <c r="L217" s="17" t="n">
        <v>5</v>
      </c>
      <c r="M217" s="17" t="str">
        <f aca="false">VLOOKUP(L217,Sheet2!D:E,2,0)</f>
        <v>Main Processor CPU BGA</v>
      </c>
      <c r="N217" s="17" t="n">
        <v>1</v>
      </c>
      <c r="O217" s="17" t="str">
        <f aca="false">VLOOKUP(N217,Sheet2!G:H,2,0)</f>
        <v>Dead</v>
      </c>
      <c r="P217" s="17" t="n">
        <v>12</v>
      </c>
      <c r="Q217" s="17" t="str">
        <f aca="false">VLOOKUP(P217,Sheet2!J:K,2,0)</f>
        <v>IR Declared due to Others ( IR Normal)TB</v>
      </c>
      <c r="R217" s="17" t="s">
        <v>35</v>
      </c>
      <c r="S217" s="17" t="str">
        <f aca="false">VLOOKUP(R217,Sheet2!N:O,2,0)</f>
        <v>IREPARABLE</v>
      </c>
      <c r="T217" s="18" t="str">
        <f aca="false">VLOOKUP(P217,Sheet2!Q:R,2,0)</f>
        <v>IR Normal - BER to IR</v>
      </c>
      <c r="U217" s="20" t="s">
        <v>135</v>
      </c>
      <c r="V217" s="17" t="n">
        <v>12</v>
      </c>
      <c r="W217" s="20" t="str">
        <f aca="false">VLOOKUP(V217,Sheet2!Q:R,2,0)</f>
        <v>IR Normal - BER to IR</v>
      </c>
      <c r="X217" s="17" t="s">
        <v>106</v>
      </c>
      <c r="Y217" s="17" t="str">
        <f aca="false">VLOOKUP(X217,Sheet2!A:B,2,0)</f>
        <v>PRAKASH CHAVDA</v>
      </c>
      <c r="Z217" s="17" t="s">
        <v>136</v>
      </c>
      <c r="AA217" s="17" t="s">
        <v>182</v>
      </c>
      <c r="AB217" s="17" t="s">
        <v>41</v>
      </c>
      <c r="AC217" s="0" t="str">
        <f aca="false">LEFT(G217,2)</f>
        <v>77</v>
      </c>
      <c r="AD217" s="0"/>
      <c r="AE217" s="21" t="s">
        <v>42</v>
      </c>
    </row>
    <row r="218" customFormat="false" ht="15" hidden="false" customHeight="false" outlineLevel="0" collapsed="false">
      <c r="A218" s="13" t="n">
        <f aca="false">1+A217</f>
        <v>216</v>
      </c>
      <c r="B218" s="17" t="n">
        <v>1009607649</v>
      </c>
      <c r="C218" s="17" t="s">
        <v>181</v>
      </c>
      <c r="D218" s="17" t="s">
        <v>196</v>
      </c>
      <c r="E218" s="17" t="s">
        <v>47</v>
      </c>
      <c r="F218" s="18" t="s">
        <v>34</v>
      </c>
      <c r="G218" s="19" t="n">
        <v>774310015227</v>
      </c>
      <c r="H218" s="17" t="s">
        <v>134</v>
      </c>
      <c r="I218" s="17" t="s">
        <v>69</v>
      </c>
      <c r="J218" s="17" t="s">
        <v>106</v>
      </c>
      <c r="K218" s="17" t="str">
        <f aca="false">VLOOKUP(J218,Sheet2!A:B,2,0)</f>
        <v>PRAKASH CHAVDA</v>
      </c>
      <c r="L218" s="17" t="n">
        <v>5</v>
      </c>
      <c r="M218" s="17" t="str">
        <f aca="false">VLOOKUP(L218,Sheet2!D:E,2,0)</f>
        <v>Main Processor CPU BGA</v>
      </c>
      <c r="N218" s="17" t="n">
        <v>1</v>
      </c>
      <c r="O218" s="17" t="str">
        <f aca="false">VLOOKUP(N218,Sheet2!G:H,2,0)</f>
        <v>Dead</v>
      </c>
      <c r="P218" s="17" t="n">
        <v>12</v>
      </c>
      <c r="Q218" s="17" t="str">
        <f aca="false">VLOOKUP(P218,Sheet2!J:K,2,0)</f>
        <v>IR Declared due to Others ( IR Normal)TB</v>
      </c>
      <c r="R218" s="17" t="s">
        <v>35</v>
      </c>
      <c r="S218" s="17" t="str">
        <f aca="false">VLOOKUP(R218,Sheet2!N:O,2,0)</f>
        <v>IREPARABLE</v>
      </c>
      <c r="T218" s="18" t="str">
        <f aca="false">VLOOKUP(P218,Sheet2!Q:R,2,0)</f>
        <v>IR Normal - BER to IR</v>
      </c>
      <c r="U218" s="20" t="s">
        <v>135</v>
      </c>
      <c r="V218" s="17" t="n">
        <v>12</v>
      </c>
      <c r="W218" s="20" t="str">
        <f aca="false">VLOOKUP(V218,Sheet2!Q:R,2,0)</f>
        <v>IR Normal - BER to IR</v>
      </c>
      <c r="X218" s="17" t="s">
        <v>106</v>
      </c>
      <c r="Y218" s="17" t="str">
        <f aca="false">VLOOKUP(X218,Sheet2!A:B,2,0)</f>
        <v>PRAKASH CHAVDA</v>
      </c>
      <c r="Z218" s="17" t="s">
        <v>136</v>
      </c>
      <c r="AA218" s="17" t="s">
        <v>182</v>
      </c>
      <c r="AB218" s="17" t="s">
        <v>41</v>
      </c>
      <c r="AC218" s="0" t="str">
        <f aca="false">LEFT(G218,2)</f>
        <v>77</v>
      </c>
      <c r="AD218" s="0"/>
      <c r="AE218" s="21" t="s">
        <v>42</v>
      </c>
    </row>
    <row r="219" customFormat="false" ht="15" hidden="false" customHeight="false" outlineLevel="0" collapsed="false">
      <c r="A219" s="13" t="n">
        <f aca="false">1+A218</f>
        <v>217</v>
      </c>
      <c r="B219" s="17" t="n">
        <v>1009606561</v>
      </c>
      <c r="C219" s="17" t="s">
        <v>181</v>
      </c>
      <c r="D219" s="17" t="s">
        <v>88</v>
      </c>
      <c r="E219" s="17" t="s">
        <v>47</v>
      </c>
      <c r="F219" s="18" t="s">
        <v>34</v>
      </c>
      <c r="G219" s="19" t="n">
        <v>775351297129</v>
      </c>
      <c r="H219" s="17" t="s">
        <v>134</v>
      </c>
      <c r="I219" s="17" t="s">
        <v>69</v>
      </c>
      <c r="J219" s="17" t="s">
        <v>106</v>
      </c>
      <c r="K219" s="17" t="str">
        <f aca="false">VLOOKUP(J219,Sheet2!A:B,2,0)</f>
        <v>PRAKASH CHAVDA</v>
      </c>
      <c r="L219" s="17" t="n">
        <v>5</v>
      </c>
      <c r="M219" s="17" t="str">
        <f aca="false">VLOOKUP(L219,Sheet2!D:E,2,0)</f>
        <v>Main Processor CPU BGA</v>
      </c>
      <c r="N219" s="17" t="n">
        <v>24</v>
      </c>
      <c r="O219" s="17" t="str">
        <f aca="false">VLOOKUP(N219,Sheet2!G:H,2,0)</f>
        <v>STB Auto moving -Stand by mode</v>
      </c>
      <c r="P219" s="17" t="n">
        <v>12</v>
      </c>
      <c r="Q219" s="17" t="str">
        <f aca="false">VLOOKUP(P219,Sheet2!J:K,2,0)</f>
        <v>IR Declared due to Others ( IR Normal)TB</v>
      </c>
      <c r="R219" s="17" t="s">
        <v>35</v>
      </c>
      <c r="S219" s="17" t="str">
        <f aca="false">VLOOKUP(R219,Sheet2!N:O,2,0)</f>
        <v>IREPARABLE</v>
      </c>
      <c r="T219" s="18" t="str">
        <f aca="false">VLOOKUP(P219,Sheet2!Q:R,2,0)</f>
        <v>IR Normal - BER to IR</v>
      </c>
      <c r="U219" s="20" t="s">
        <v>135</v>
      </c>
      <c r="V219" s="17" t="n">
        <v>12</v>
      </c>
      <c r="W219" s="20" t="str">
        <f aca="false">VLOOKUP(V219,Sheet2!Q:R,2,0)</f>
        <v>IR Normal - BER to IR</v>
      </c>
      <c r="X219" s="17" t="s">
        <v>106</v>
      </c>
      <c r="Y219" s="17" t="str">
        <f aca="false">VLOOKUP(X219,Sheet2!A:B,2,0)</f>
        <v>PRAKASH CHAVDA</v>
      </c>
      <c r="Z219" s="17" t="s">
        <v>136</v>
      </c>
      <c r="AA219" s="17" t="s">
        <v>182</v>
      </c>
      <c r="AB219" s="17" t="s">
        <v>41</v>
      </c>
      <c r="AC219" s="0" t="str">
        <f aca="false">LEFT(G219,2)</f>
        <v>77</v>
      </c>
      <c r="AD219" s="0"/>
      <c r="AE219" s="21" t="s">
        <v>42</v>
      </c>
    </row>
    <row r="220" customFormat="false" ht="15" hidden="false" customHeight="false" outlineLevel="0" collapsed="false">
      <c r="A220" s="13" t="n">
        <f aca="false">1+A219</f>
        <v>218</v>
      </c>
      <c r="B220" s="17" t="n">
        <v>1009507307</v>
      </c>
      <c r="C220" s="17" t="s">
        <v>181</v>
      </c>
      <c r="D220" s="17" t="s">
        <v>88</v>
      </c>
      <c r="E220" s="17" t="s">
        <v>47</v>
      </c>
      <c r="F220" s="18" t="s">
        <v>34</v>
      </c>
      <c r="G220" s="19" t="n">
        <v>774310014477</v>
      </c>
      <c r="H220" s="17" t="s">
        <v>134</v>
      </c>
      <c r="I220" s="17" t="s">
        <v>69</v>
      </c>
      <c r="J220" s="17" t="s">
        <v>106</v>
      </c>
      <c r="K220" s="17" t="str">
        <f aca="false">VLOOKUP(J220,Sheet2!A:B,2,0)</f>
        <v>PRAKASH CHAVDA</v>
      </c>
      <c r="L220" s="17" t="n">
        <v>5</v>
      </c>
      <c r="M220" s="17" t="str">
        <f aca="false">VLOOKUP(L220,Sheet2!D:E,2,0)</f>
        <v>Main Processor CPU BGA</v>
      </c>
      <c r="N220" s="17" t="n">
        <v>1</v>
      </c>
      <c r="O220" s="17" t="str">
        <f aca="false">VLOOKUP(N220,Sheet2!G:H,2,0)</f>
        <v>Dead</v>
      </c>
      <c r="P220" s="17" t="n">
        <v>12</v>
      </c>
      <c r="Q220" s="17" t="str">
        <f aca="false">VLOOKUP(P220,Sheet2!J:K,2,0)</f>
        <v>IR Declared due to Others ( IR Normal)TB</v>
      </c>
      <c r="R220" s="17" t="s">
        <v>35</v>
      </c>
      <c r="S220" s="17" t="str">
        <f aca="false">VLOOKUP(R220,Sheet2!N:O,2,0)</f>
        <v>IREPARABLE</v>
      </c>
      <c r="T220" s="18" t="str">
        <f aca="false">VLOOKUP(P220,Sheet2!Q:R,2,0)</f>
        <v>IR Normal - BER to IR</v>
      </c>
      <c r="U220" s="15" t="s">
        <v>38</v>
      </c>
      <c r="V220" s="17" t="n">
        <v>11</v>
      </c>
      <c r="W220" s="20" t="str">
        <f aca="false">VLOOKUP(V220,Sheet2!Q:R,2,0)</f>
        <v>IR Normal - Track burn out</v>
      </c>
      <c r="X220" s="17" t="s">
        <v>106</v>
      </c>
      <c r="Y220" s="17" t="str">
        <f aca="false">VLOOKUP(X220,Sheet2!A:B,2,0)</f>
        <v>PRAKASH CHAVDA</v>
      </c>
      <c r="Z220" s="17" t="s">
        <v>136</v>
      </c>
      <c r="AA220" s="17" t="s">
        <v>182</v>
      </c>
      <c r="AB220" s="17" t="s">
        <v>41</v>
      </c>
      <c r="AC220" s="0" t="str">
        <f aca="false">LEFT(G220,2)</f>
        <v>77</v>
      </c>
      <c r="AD220" s="0"/>
      <c r="AE220" s="21" t="s">
        <v>42</v>
      </c>
    </row>
    <row r="221" customFormat="false" ht="15" hidden="false" customHeight="false" outlineLevel="0" collapsed="false">
      <c r="A221" s="13" t="n">
        <f aca="false">1+A220</f>
        <v>219</v>
      </c>
      <c r="B221" s="17" t="n">
        <v>1009470440</v>
      </c>
      <c r="C221" s="17" t="s">
        <v>151</v>
      </c>
      <c r="D221" s="17" t="s">
        <v>64</v>
      </c>
      <c r="E221" s="17" t="s">
        <v>47</v>
      </c>
      <c r="F221" s="18" t="s">
        <v>34</v>
      </c>
      <c r="G221" s="19" t="n">
        <v>775084043006</v>
      </c>
      <c r="H221" s="17" t="s">
        <v>134</v>
      </c>
      <c r="I221" s="17" t="s">
        <v>69</v>
      </c>
      <c r="J221" s="17" t="s">
        <v>106</v>
      </c>
      <c r="K221" s="17" t="str">
        <f aca="false">VLOOKUP(J221,Sheet2!A:B,2,0)</f>
        <v>PRAKASH CHAVDA</v>
      </c>
      <c r="L221" s="17" t="n">
        <v>5</v>
      </c>
      <c r="M221" s="17" t="str">
        <f aca="false">VLOOKUP(L221,Sheet2!D:E,2,0)</f>
        <v>Main Processor CPU BGA</v>
      </c>
      <c r="N221" s="17" t="n">
        <v>1</v>
      </c>
      <c r="O221" s="17" t="str">
        <f aca="false">VLOOKUP(N221,Sheet2!G:H,2,0)</f>
        <v>Dead</v>
      </c>
      <c r="P221" s="17" t="n">
        <v>12</v>
      </c>
      <c r="Q221" s="17" t="str">
        <f aca="false">VLOOKUP(P221,Sheet2!J:K,2,0)</f>
        <v>IR Declared due to Others ( IR Normal)TB</v>
      </c>
      <c r="R221" s="17" t="s">
        <v>35</v>
      </c>
      <c r="S221" s="17" t="str">
        <f aca="false">VLOOKUP(R221,Sheet2!N:O,2,0)</f>
        <v>IREPARABLE</v>
      </c>
      <c r="T221" s="18" t="str">
        <f aca="false">VLOOKUP(P221,Sheet2!Q:R,2,0)</f>
        <v>IR Normal - BER to IR</v>
      </c>
      <c r="U221" s="18" t="s">
        <v>101</v>
      </c>
      <c r="V221" s="17" t="n">
        <v>8</v>
      </c>
      <c r="W221" s="20" t="str">
        <f aca="false">VLOOKUP(V221,Sheet2!Q:R,2,0)</f>
        <v>IR Normal -TrackRust/InternalDamage/open</v>
      </c>
      <c r="X221" s="17" t="s">
        <v>106</v>
      </c>
      <c r="Y221" s="17" t="str">
        <f aca="false">VLOOKUP(X221,Sheet2!A:B,2,0)</f>
        <v>PRAKASH CHAVDA</v>
      </c>
      <c r="Z221" s="17" t="s">
        <v>136</v>
      </c>
      <c r="AA221" s="17" t="s">
        <v>182</v>
      </c>
      <c r="AB221" s="17" t="s">
        <v>41</v>
      </c>
      <c r="AC221" s="0" t="str">
        <f aca="false">LEFT(G221,2)</f>
        <v>77</v>
      </c>
      <c r="AD221" s="0"/>
      <c r="AE221" s="21" t="s">
        <v>42</v>
      </c>
    </row>
    <row r="222" customFormat="false" ht="15" hidden="false" customHeight="false" outlineLevel="0" collapsed="false">
      <c r="A222" s="13" t="n">
        <f aca="false">1+A221</f>
        <v>220</v>
      </c>
      <c r="B222" s="17" t="n">
        <v>1009608120</v>
      </c>
      <c r="C222" s="17" t="s">
        <v>181</v>
      </c>
      <c r="D222" s="17" t="s">
        <v>64</v>
      </c>
      <c r="E222" s="17" t="s">
        <v>47</v>
      </c>
      <c r="F222" s="18" t="s">
        <v>34</v>
      </c>
      <c r="G222" s="19" t="n">
        <v>775161050510</v>
      </c>
      <c r="H222" s="17" t="s">
        <v>134</v>
      </c>
      <c r="I222" s="17" t="s">
        <v>69</v>
      </c>
      <c r="J222" s="17" t="s">
        <v>106</v>
      </c>
      <c r="K222" s="17" t="str">
        <f aca="false">VLOOKUP(J222,Sheet2!A:B,2,0)</f>
        <v>PRAKASH CHAVDA</v>
      </c>
      <c r="L222" s="17" t="n">
        <v>5</v>
      </c>
      <c r="M222" s="17" t="str">
        <f aca="false">VLOOKUP(L222,Sheet2!D:E,2,0)</f>
        <v>Main Processor CPU BGA</v>
      </c>
      <c r="N222" s="17" t="n">
        <v>1</v>
      </c>
      <c r="O222" s="17" t="str">
        <f aca="false">VLOOKUP(N222,Sheet2!G:H,2,0)</f>
        <v>Dead</v>
      </c>
      <c r="P222" s="17" t="n">
        <v>12</v>
      </c>
      <c r="Q222" s="17" t="str">
        <f aca="false">VLOOKUP(P222,Sheet2!J:K,2,0)</f>
        <v>IR Declared due to Others ( IR Normal)TB</v>
      </c>
      <c r="R222" s="17" t="s">
        <v>35</v>
      </c>
      <c r="S222" s="17" t="str">
        <f aca="false">VLOOKUP(R222,Sheet2!N:O,2,0)</f>
        <v>IREPARABLE</v>
      </c>
      <c r="T222" s="18" t="str">
        <f aca="false">VLOOKUP(P222,Sheet2!Q:R,2,0)</f>
        <v>IR Normal - BER to IR</v>
      </c>
      <c r="U222" s="20" t="s">
        <v>135</v>
      </c>
      <c r="V222" s="17" t="n">
        <v>12</v>
      </c>
      <c r="W222" s="20" t="str">
        <f aca="false">VLOOKUP(V222,Sheet2!Q:R,2,0)</f>
        <v>IR Normal - BER to IR</v>
      </c>
      <c r="X222" s="17" t="s">
        <v>106</v>
      </c>
      <c r="Y222" s="17" t="str">
        <f aca="false">VLOOKUP(X222,Sheet2!A:B,2,0)</f>
        <v>PRAKASH CHAVDA</v>
      </c>
      <c r="Z222" s="17" t="s">
        <v>136</v>
      </c>
      <c r="AA222" s="17" t="s">
        <v>182</v>
      </c>
      <c r="AB222" s="17" t="s">
        <v>41</v>
      </c>
      <c r="AC222" s="0" t="str">
        <f aca="false">LEFT(G222,2)</f>
        <v>77</v>
      </c>
      <c r="AD222" s="0"/>
      <c r="AE222" s="21" t="s">
        <v>42</v>
      </c>
    </row>
    <row r="223" customFormat="false" ht="15" hidden="false" customHeight="false" outlineLevel="0" collapsed="false">
      <c r="A223" s="13" t="n">
        <f aca="false">1+A222</f>
        <v>221</v>
      </c>
      <c r="B223" s="17" t="n">
        <v>1009587426</v>
      </c>
      <c r="C223" s="17" t="s">
        <v>159</v>
      </c>
      <c r="D223" s="17" t="s">
        <v>64</v>
      </c>
      <c r="E223" s="17" t="s">
        <v>47</v>
      </c>
      <c r="F223" s="18" t="s">
        <v>34</v>
      </c>
      <c r="G223" s="19" t="n">
        <v>775084052346</v>
      </c>
      <c r="H223" s="17" t="s">
        <v>134</v>
      </c>
      <c r="I223" s="17" t="s">
        <v>69</v>
      </c>
      <c r="J223" s="17" t="s">
        <v>106</v>
      </c>
      <c r="K223" s="17" t="str">
        <f aca="false">VLOOKUP(J223,Sheet2!A:B,2,0)</f>
        <v>PRAKASH CHAVDA</v>
      </c>
      <c r="L223" s="17" t="n">
        <v>5</v>
      </c>
      <c r="M223" s="17" t="str">
        <f aca="false">VLOOKUP(L223,Sheet2!D:E,2,0)</f>
        <v>Main Processor CPU BGA</v>
      </c>
      <c r="N223" s="17" t="n">
        <v>1</v>
      </c>
      <c r="O223" s="17" t="str">
        <f aca="false">VLOOKUP(N223,Sheet2!G:H,2,0)</f>
        <v>Dead</v>
      </c>
      <c r="P223" s="17" t="n">
        <v>12</v>
      </c>
      <c r="Q223" s="17" t="str">
        <f aca="false">VLOOKUP(P223,Sheet2!J:K,2,0)</f>
        <v>IR Declared due to Others ( IR Normal)TB</v>
      </c>
      <c r="R223" s="17" t="s">
        <v>35</v>
      </c>
      <c r="S223" s="17" t="str">
        <f aca="false">VLOOKUP(R223,Sheet2!N:O,2,0)</f>
        <v>IREPARABLE</v>
      </c>
      <c r="T223" s="18" t="str">
        <f aca="false">VLOOKUP(P223,Sheet2!Q:R,2,0)</f>
        <v>IR Normal - BER to IR</v>
      </c>
      <c r="U223" s="18" t="s">
        <v>101</v>
      </c>
      <c r="V223" s="17" t="n">
        <v>8</v>
      </c>
      <c r="W223" s="20" t="str">
        <f aca="false">VLOOKUP(V223,Sheet2!Q:R,2,0)</f>
        <v>IR Normal -TrackRust/InternalDamage/open</v>
      </c>
      <c r="X223" s="17" t="s">
        <v>106</v>
      </c>
      <c r="Y223" s="17" t="str">
        <f aca="false">VLOOKUP(X223,Sheet2!A:B,2,0)</f>
        <v>PRAKASH CHAVDA</v>
      </c>
      <c r="Z223" s="17" t="s">
        <v>136</v>
      </c>
      <c r="AA223" s="17" t="s">
        <v>182</v>
      </c>
      <c r="AB223" s="17" t="s">
        <v>41</v>
      </c>
      <c r="AC223" s="0" t="str">
        <f aca="false">LEFT(G223,2)</f>
        <v>77</v>
      </c>
      <c r="AD223" s="0"/>
      <c r="AE223" s="21" t="s">
        <v>42</v>
      </c>
    </row>
    <row r="224" customFormat="false" ht="15" hidden="false" customHeight="false" outlineLevel="0" collapsed="false">
      <c r="A224" s="13" t="n">
        <f aca="false">1+A223</f>
        <v>222</v>
      </c>
      <c r="B224" s="17" t="n">
        <v>1009587430</v>
      </c>
      <c r="C224" s="17" t="s">
        <v>159</v>
      </c>
      <c r="D224" s="17" t="s">
        <v>64</v>
      </c>
      <c r="E224" s="17" t="s">
        <v>64</v>
      </c>
      <c r="F224" s="18" t="s">
        <v>70</v>
      </c>
      <c r="G224" s="19" t="n">
        <v>775084050936</v>
      </c>
      <c r="H224" s="17" t="s">
        <v>134</v>
      </c>
      <c r="I224" s="17" t="s">
        <v>69</v>
      </c>
      <c r="J224" s="17" t="s">
        <v>106</v>
      </c>
      <c r="K224" s="17" t="str">
        <f aca="false">VLOOKUP(J224,Sheet2!A:B,2,0)</f>
        <v>PRAKASH CHAVDA</v>
      </c>
      <c r="L224" s="17" t="n">
        <v>5</v>
      </c>
      <c r="M224" s="17" t="str">
        <f aca="false">VLOOKUP(L224,Sheet2!D:E,2,0)</f>
        <v>Main Processor CPU BGA</v>
      </c>
      <c r="N224" s="17" t="n">
        <v>1</v>
      </c>
      <c r="O224" s="17" t="str">
        <f aca="false">VLOOKUP(N224,Sheet2!G:H,2,0)</f>
        <v>Dead</v>
      </c>
      <c r="P224" s="17" t="n">
        <v>12</v>
      </c>
      <c r="Q224" s="17" t="str">
        <f aca="false">VLOOKUP(P224,Sheet2!J:K,2,0)</f>
        <v>IR Declared due to Others ( IR Normal)TB</v>
      </c>
      <c r="R224" s="17" t="s">
        <v>35</v>
      </c>
      <c r="S224" s="17" t="str">
        <f aca="false">VLOOKUP(R224,Sheet2!N:O,2,0)</f>
        <v>IREPARABLE</v>
      </c>
      <c r="T224" s="18" t="str">
        <f aca="false">VLOOKUP(P224,Sheet2!Q:R,2,0)</f>
        <v>IR Normal - BER to IR</v>
      </c>
      <c r="U224" s="20" t="s">
        <v>135</v>
      </c>
      <c r="V224" s="17" t="n">
        <v>12</v>
      </c>
      <c r="W224" s="20" t="str">
        <f aca="false">VLOOKUP(V224,Sheet2!Q:R,2,0)</f>
        <v>IR Normal - BER to IR</v>
      </c>
      <c r="X224" s="17" t="s">
        <v>106</v>
      </c>
      <c r="Y224" s="17" t="str">
        <f aca="false">VLOOKUP(X224,Sheet2!A:B,2,0)</f>
        <v>PRAKASH CHAVDA</v>
      </c>
      <c r="Z224" s="17" t="s">
        <v>136</v>
      </c>
      <c r="AA224" s="17" t="s">
        <v>182</v>
      </c>
      <c r="AB224" s="17" t="s">
        <v>41</v>
      </c>
      <c r="AC224" s="0" t="str">
        <f aca="false">LEFT(G224,2)</f>
        <v>77</v>
      </c>
      <c r="AD224" s="0"/>
      <c r="AE224" s="21" t="s">
        <v>42</v>
      </c>
    </row>
    <row r="225" customFormat="false" ht="15" hidden="false" customHeight="false" outlineLevel="0" collapsed="false">
      <c r="A225" s="13" t="n">
        <f aca="false">1+A224</f>
        <v>223</v>
      </c>
      <c r="B225" s="17" t="n">
        <v>1009608380</v>
      </c>
      <c r="C225" s="17" t="s">
        <v>181</v>
      </c>
      <c r="D225" s="17" t="s">
        <v>64</v>
      </c>
      <c r="E225" s="17" t="s">
        <v>64</v>
      </c>
      <c r="F225" s="18" t="s">
        <v>70</v>
      </c>
      <c r="G225" s="19" t="n">
        <v>775321199603</v>
      </c>
      <c r="H225" s="17" t="s">
        <v>134</v>
      </c>
      <c r="I225" s="17" t="s">
        <v>69</v>
      </c>
      <c r="J225" s="17" t="s">
        <v>106</v>
      </c>
      <c r="K225" s="17" t="str">
        <f aca="false">VLOOKUP(J225,Sheet2!A:B,2,0)</f>
        <v>PRAKASH CHAVDA</v>
      </c>
      <c r="L225" s="17" t="n">
        <v>5</v>
      </c>
      <c r="M225" s="17" t="str">
        <f aca="false">VLOOKUP(L225,Sheet2!D:E,2,0)</f>
        <v>Main Processor CPU BGA</v>
      </c>
      <c r="N225" s="17" t="n">
        <v>1</v>
      </c>
      <c r="O225" s="17" t="str">
        <f aca="false">VLOOKUP(N225,Sheet2!G:H,2,0)</f>
        <v>Dead</v>
      </c>
      <c r="P225" s="17" t="n">
        <v>12</v>
      </c>
      <c r="Q225" s="17" t="str">
        <f aca="false">VLOOKUP(P225,Sheet2!J:K,2,0)</f>
        <v>IR Declared due to Others ( IR Normal)TB</v>
      </c>
      <c r="R225" s="17" t="s">
        <v>35</v>
      </c>
      <c r="S225" s="17" t="str">
        <f aca="false">VLOOKUP(R225,Sheet2!N:O,2,0)</f>
        <v>IREPARABLE</v>
      </c>
      <c r="T225" s="18" t="str">
        <f aca="false">VLOOKUP(P225,Sheet2!Q:R,2,0)</f>
        <v>IR Normal - BER to IR</v>
      </c>
      <c r="U225" s="18" t="s">
        <v>101</v>
      </c>
      <c r="V225" s="17" t="n">
        <v>8</v>
      </c>
      <c r="W225" s="20" t="str">
        <f aca="false">VLOOKUP(V225,Sheet2!Q:R,2,0)</f>
        <v>IR Normal -TrackRust/InternalDamage/open</v>
      </c>
      <c r="X225" s="17" t="s">
        <v>106</v>
      </c>
      <c r="Y225" s="17" t="str">
        <f aca="false">VLOOKUP(X225,Sheet2!A:B,2,0)</f>
        <v>PRAKASH CHAVDA</v>
      </c>
      <c r="Z225" s="17" t="s">
        <v>136</v>
      </c>
      <c r="AA225" s="17" t="s">
        <v>182</v>
      </c>
      <c r="AB225" s="17" t="s">
        <v>41</v>
      </c>
      <c r="AC225" s="0" t="str">
        <f aca="false">LEFT(G225,2)</f>
        <v>77</v>
      </c>
      <c r="AD225" s="0"/>
      <c r="AE225" s="21" t="s">
        <v>42</v>
      </c>
    </row>
    <row r="226" customFormat="false" ht="15" hidden="false" customHeight="false" outlineLevel="0" collapsed="false">
      <c r="A226" s="13" t="n">
        <f aca="false">1+A225</f>
        <v>224</v>
      </c>
      <c r="B226" s="17" t="n">
        <v>1009587708</v>
      </c>
      <c r="C226" s="17" t="s">
        <v>159</v>
      </c>
      <c r="D226" s="17" t="s">
        <v>52</v>
      </c>
      <c r="E226" s="17" t="s">
        <v>33</v>
      </c>
      <c r="F226" s="18" t="s">
        <v>34</v>
      </c>
      <c r="G226" s="19" t="n">
        <v>774324074707</v>
      </c>
      <c r="H226" s="17" t="s">
        <v>134</v>
      </c>
      <c r="I226" s="17" t="s">
        <v>69</v>
      </c>
      <c r="J226" s="17" t="s">
        <v>106</v>
      </c>
      <c r="K226" s="17" t="str">
        <f aca="false">VLOOKUP(J226,Sheet2!A:B,2,0)</f>
        <v>PRAKASH CHAVDA</v>
      </c>
      <c r="L226" s="17" t="n">
        <v>5</v>
      </c>
      <c r="M226" s="17" t="str">
        <f aca="false">VLOOKUP(L226,Sheet2!D:E,2,0)</f>
        <v>Main Processor CPU BGA</v>
      </c>
      <c r="N226" s="17" t="n">
        <v>24</v>
      </c>
      <c r="O226" s="17" t="str">
        <f aca="false">VLOOKUP(N226,Sheet2!G:H,2,0)</f>
        <v>STB Auto moving -Stand by mode</v>
      </c>
      <c r="P226" s="17" t="n">
        <v>12</v>
      </c>
      <c r="Q226" s="17" t="str">
        <f aca="false">VLOOKUP(P226,Sheet2!J:K,2,0)</f>
        <v>IR Declared due to Others ( IR Normal)TB</v>
      </c>
      <c r="R226" s="17" t="s">
        <v>35</v>
      </c>
      <c r="S226" s="17" t="str">
        <f aca="false">VLOOKUP(R226,Sheet2!N:O,2,0)</f>
        <v>IREPARABLE</v>
      </c>
      <c r="T226" s="18" t="str">
        <f aca="false">VLOOKUP(P226,Sheet2!Q:R,2,0)</f>
        <v>IR Normal - BER to IR</v>
      </c>
      <c r="U226" s="20" t="s">
        <v>135</v>
      </c>
      <c r="V226" s="17" t="n">
        <v>12</v>
      </c>
      <c r="W226" s="20" t="str">
        <f aca="false">VLOOKUP(V226,Sheet2!Q:R,2,0)</f>
        <v>IR Normal - BER to IR</v>
      </c>
      <c r="X226" s="17" t="s">
        <v>106</v>
      </c>
      <c r="Y226" s="17" t="str">
        <f aca="false">VLOOKUP(X226,Sheet2!A:B,2,0)</f>
        <v>PRAKASH CHAVDA</v>
      </c>
      <c r="Z226" s="17" t="s">
        <v>136</v>
      </c>
      <c r="AA226" s="17" t="s">
        <v>182</v>
      </c>
      <c r="AB226" s="17" t="s">
        <v>41</v>
      </c>
      <c r="AC226" s="0" t="str">
        <f aca="false">LEFT(G226,2)</f>
        <v>77</v>
      </c>
      <c r="AD226" s="0"/>
      <c r="AE226" s="21" t="s">
        <v>42</v>
      </c>
    </row>
    <row r="227" customFormat="false" ht="15" hidden="false" customHeight="false" outlineLevel="0" collapsed="false">
      <c r="A227" s="13" t="n">
        <f aca="false">1+A226</f>
        <v>225</v>
      </c>
      <c r="B227" s="17" t="n">
        <v>1009606784</v>
      </c>
      <c r="C227" s="17" t="s">
        <v>181</v>
      </c>
      <c r="D227" s="17" t="s">
        <v>88</v>
      </c>
      <c r="E227" s="17" t="s">
        <v>47</v>
      </c>
      <c r="F227" s="18" t="s">
        <v>34</v>
      </c>
      <c r="G227" s="19" t="n">
        <v>775156127836</v>
      </c>
      <c r="H227" s="17" t="s">
        <v>134</v>
      </c>
      <c r="I227" s="17" t="s">
        <v>69</v>
      </c>
      <c r="J227" s="17" t="s">
        <v>106</v>
      </c>
      <c r="K227" s="17" t="str">
        <f aca="false">VLOOKUP(J227,Sheet2!A:B,2,0)</f>
        <v>PRAKASH CHAVDA</v>
      </c>
      <c r="L227" s="17" t="n">
        <v>5</v>
      </c>
      <c r="M227" s="17" t="str">
        <f aca="false">VLOOKUP(L227,Sheet2!D:E,2,0)</f>
        <v>Main Processor CPU BGA</v>
      </c>
      <c r="N227" s="17" t="n">
        <v>24</v>
      </c>
      <c r="O227" s="17" t="str">
        <f aca="false">VLOOKUP(N227,Sheet2!G:H,2,0)</f>
        <v>STB Auto moving -Stand by mode</v>
      </c>
      <c r="P227" s="17" t="n">
        <v>12</v>
      </c>
      <c r="Q227" s="17" t="str">
        <f aca="false">VLOOKUP(P227,Sheet2!J:K,2,0)</f>
        <v>IR Declared due to Others ( IR Normal)TB</v>
      </c>
      <c r="R227" s="17" t="s">
        <v>35</v>
      </c>
      <c r="S227" s="17" t="str">
        <f aca="false">VLOOKUP(R227,Sheet2!N:O,2,0)</f>
        <v>IREPARABLE</v>
      </c>
      <c r="T227" s="18" t="str">
        <f aca="false">VLOOKUP(P227,Sheet2!Q:R,2,0)</f>
        <v>IR Normal - BER to IR</v>
      </c>
      <c r="U227" s="18" t="s">
        <v>101</v>
      </c>
      <c r="V227" s="17" t="n">
        <v>8</v>
      </c>
      <c r="W227" s="20" t="str">
        <f aca="false">VLOOKUP(V227,Sheet2!Q:R,2,0)</f>
        <v>IR Normal -TrackRust/InternalDamage/open</v>
      </c>
      <c r="X227" s="17" t="s">
        <v>106</v>
      </c>
      <c r="Y227" s="17" t="str">
        <f aca="false">VLOOKUP(X227,Sheet2!A:B,2,0)</f>
        <v>PRAKASH CHAVDA</v>
      </c>
      <c r="Z227" s="17" t="s">
        <v>136</v>
      </c>
      <c r="AA227" s="17" t="s">
        <v>182</v>
      </c>
      <c r="AB227" s="17" t="s">
        <v>41</v>
      </c>
      <c r="AC227" s="0" t="str">
        <f aca="false">LEFT(G227,2)</f>
        <v>77</v>
      </c>
      <c r="AD227" s="0"/>
      <c r="AE227" s="21" t="s">
        <v>42</v>
      </c>
    </row>
    <row r="228" customFormat="false" ht="15" hidden="false" customHeight="false" outlineLevel="0" collapsed="false">
      <c r="A228" s="13" t="n">
        <f aca="false">1+A227</f>
        <v>226</v>
      </c>
      <c r="B228" s="17" t="n">
        <v>1009606257</v>
      </c>
      <c r="C228" s="17" t="s">
        <v>181</v>
      </c>
      <c r="D228" s="17" t="s">
        <v>64</v>
      </c>
      <c r="E228" s="17" t="s">
        <v>64</v>
      </c>
      <c r="F228" s="18" t="s">
        <v>70</v>
      </c>
      <c r="G228" s="19" t="n">
        <v>775316070306</v>
      </c>
      <c r="H228" s="17" t="s">
        <v>134</v>
      </c>
      <c r="I228" s="17" t="s">
        <v>69</v>
      </c>
      <c r="J228" s="17" t="s">
        <v>106</v>
      </c>
      <c r="K228" s="17" t="str">
        <f aca="false">VLOOKUP(J228,Sheet2!A:B,2,0)</f>
        <v>PRAKASH CHAVDA</v>
      </c>
      <c r="L228" s="17" t="n">
        <v>5</v>
      </c>
      <c r="M228" s="17" t="str">
        <f aca="false">VLOOKUP(L228,Sheet2!D:E,2,0)</f>
        <v>Main Processor CPU BGA</v>
      </c>
      <c r="N228" s="17" t="n">
        <v>1</v>
      </c>
      <c r="O228" s="17" t="str">
        <f aca="false">VLOOKUP(N228,Sheet2!G:H,2,0)</f>
        <v>Dead</v>
      </c>
      <c r="P228" s="17" t="n">
        <v>12</v>
      </c>
      <c r="Q228" s="17" t="str">
        <f aca="false">VLOOKUP(P228,Sheet2!J:K,2,0)</f>
        <v>IR Declared due to Others ( IR Normal)TB</v>
      </c>
      <c r="R228" s="17" t="s">
        <v>35</v>
      </c>
      <c r="S228" s="17" t="str">
        <f aca="false">VLOOKUP(R228,Sheet2!N:O,2,0)</f>
        <v>IREPARABLE</v>
      </c>
      <c r="T228" s="18" t="str">
        <f aca="false">VLOOKUP(P228,Sheet2!Q:R,2,0)</f>
        <v>IR Normal - BER to IR</v>
      </c>
      <c r="U228" s="18" t="s">
        <v>101</v>
      </c>
      <c r="V228" s="17" t="n">
        <v>8</v>
      </c>
      <c r="W228" s="20" t="str">
        <f aca="false">VLOOKUP(V228,Sheet2!Q:R,2,0)</f>
        <v>IR Normal -TrackRust/InternalDamage/open</v>
      </c>
      <c r="X228" s="17" t="s">
        <v>106</v>
      </c>
      <c r="Y228" s="17" t="str">
        <f aca="false">VLOOKUP(X228,Sheet2!A:B,2,0)</f>
        <v>PRAKASH CHAVDA</v>
      </c>
      <c r="Z228" s="17" t="s">
        <v>136</v>
      </c>
      <c r="AA228" s="17" t="s">
        <v>182</v>
      </c>
      <c r="AB228" s="17" t="s">
        <v>41</v>
      </c>
      <c r="AC228" s="0" t="str">
        <f aca="false">LEFT(G228,2)</f>
        <v>77</v>
      </c>
      <c r="AD228" s="0"/>
      <c r="AE228" s="21" t="s">
        <v>42</v>
      </c>
    </row>
    <row r="229" customFormat="false" ht="15" hidden="false" customHeight="false" outlineLevel="0" collapsed="false">
      <c r="A229" s="13" t="n">
        <f aca="false">1+A228</f>
        <v>227</v>
      </c>
      <c r="B229" s="17" t="n">
        <v>1009607109</v>
      </c>
      <c r="C229" s="17" t="s">
        <v>181</v>
      </c>
      <c r="D229" s="17" t="s">
        <v>88</v>
      </c>
      <c r="E229" s="17" t="s">
        <v>47</v>
      </c>
      <c r="F229" s="18" t="s">
        <v>34</v>
      </c>
      <c r="G229" s="19" t="n">
        <v>775153000473</v>
      </c>
      <c r="H229" s="17" t="s">
        <v>134</v>
      </c>
      <c r="I229" s="17" t="s">
        <v>69</v>
      </c>
      <c r="J229" s="17" t="s">
        <v>106</v>
      </c>
      <c r="K229" s="17" t="str">
        <f aca="false">VLOOKUP(J229,Sheet2!A:B,2,0)</f>
        <v>PRAKASH CHAVDA</v>
      </c>
      <c r="L229" s="17" t="n">
        <v>5</v>
      </c>
      <c r="M229" s="17" t="str">
        <f aca="false">VLOOKUP(L229,Sheet2!D:E,2,0)</f>
        <v>Main Processor CPU BGA</v>
      </c>
      <c r="N229" s="17" t="n">
        <v>1</v>
      </c>
      <c r="O229" s="17" t="str">
        <f aca="false">VLOOKUP(N229,Sheet2!G:H,2,0)</f>
        <v>Dead</v>
      </c>
      <c r="P229" s="17" t="n">
        <v>12</v>
      </c>
      <c r="Q229" s="17" t="str">
        <f aca="false">VLOOKUP(P229,Sheet2!J:K,2,0)</f>
        <v>IR Declared due to Others ( IR Normal)TB</v>
      </c>
      <c r="R229" s="17" t="s">
        <v>35</v>
      </c>
      <c r="S229" s="17" t="str">
        <f aca="false">VLOOKUP(R229,Sheet2!N:O,2,0)</f>
        <v>IREPARABLE</v>
      </c>
      <c r="T229" s="18" t="str">
        <f aca="false">VLOOKUP(P229,Sheet2!Q:R,2,0)</f>
        <v>IR Normal - BER to IR</v>
      </c>
      <c r="U229" s="18" t="s">
        <v>101</v>
      </c>
      <c r="V229" s="17" t="n">
        <v>8</v>
      </c>
      <c r="W229" s="20" t="str">
        <f aca="false">VLOOKUP(V229,Sheet2!Q:R,2,0)</f>
        <v>IR Normal -TrackRust/InternalDamage/open</v>
      </c>
      <c r="X229" s="17" t="s">
        <v>106</v>
      </c>
      <c r="Y229" s="17" t="str">
        <f aca="false">VLOOKUP(X229,Sheet2!A:B,2,0)</f>
        <v>PRAKASH CHAVDA</v>
      </c>
      <c r="Z229" s="17" t="s">
        <v>136</v>
      </c>
      <c r="AA229" s="17" t="s">
        <v>182</v>
      </c>
      <c r="AB229" s="17" t="s">
        <v>41</v>
      </c>
      <c r="AC229" s="0" t="str">
        <f aca="false">LEFT(G229,2)</f>
        <v>77</v>
      </c>
      <c r="AD229" s="0"/>
      <c r="AE229" s="21" t="s">
        <v>42</v>
      </c>
    </row>
    <row r="230" customFormat="false" ht="15" hidden="false" customHeight="false" outlineLevel="0" collapsed="false">
      <c r="A230" s="13" t="n">
        <f aca="false">1+A229</f>
        <v>228</v>
      </c>
      <c r="B230" s="17" t="n">
        <v>1009586384</v>
      </c>
      <c r="C230" s="17" t="s">
        <v>139</v>
      </c>
      <c r="D230" s="17" t="s">
        <v>64</v>
      </c>
      <c r="E230" s="17" t="s">
        <v>47</v>
      </c>
      <c r="F230" s="18" t="s">
        <v>34</v>
      </c>
      <c r="G230" s="19" t="n">
        <v>775183024923</v>
      </c>
      <c r="H230" s="17" t="s">
        <v>134</v>
      </c>
      <c r="I230" s="17" t="s">
        <v>69</v>
      </c>
      <c r="J230" s="17" t="s">
        <v>106</v>
      </c>
      <c r="K230" s="17" t="str">
        <f aca="false">VLOOKUP(J230,Sheet2!A:B,2,0)</f>
        <v>PRAKASH CHAVDA</v>
      </c>
      <c r="L230" s="17" t="n">
        <v>5</v>
      </c>
      <c r="M230" s="17" t="str">
        <f aca="false">VLOOKUP(L230,Sheet2!D:E,2,0)</f>
        <v>Main Processor CPU BGA</v>
      </c>
      <c r="N230" s="17" t="n">
        <v>1</v>
      </c>
      <c r="O230" s="17" t="str">
        <f aca="false">VLOOKUP(N230,Sheet2!G:H,2,0)</f>
        <v>Dead</v>
      </c>
      <c r="P230" s="17" t="n">
        <v>12</v>
      </c>
      <c r="Q230" s="17" t="str">
        <f aca="false">VLOOKUP(P230,Sheet2!J:K,2,0)</f>
        <v>IR Declared due to Others ( IR Normal)TB</v>
      </c>
      <c r="R230" s="17" t="s">
        <v>35</v>
      </c>
      <c r="S230" s="17" t="str">
        <f aca="false">VLOOKUP(R230,Sheet2!N:O,2,0)</f>
        <v>IREPARABLE</v>
      </c>
      <c r="T230" s="18" t="str">
        <f aca="false">VLOOKUP(P230,Sheet2!Q:R,2,0)</f>
        <v>IR Normal - BER to IR</v>
      </c>
      <c r="U230" s="20" t="s">
        <v>135</v>
      </c>
      <c r="V230" s="17" t="n">
        <v>12</v>
      </c>
      <c r="W230" s="20" t="str">
        <f aca="false">VLOOKUP(V230,Sheet2!Q:R,2,0)</f>
        <v>IR Normal - BER to IR</v>
      </c>
      <c r="X230" s="17" t="s">
        <v>106</v>
      </c>
      <c r="Y230" s="17" t="str">
        <f aca="false">VLOOKUP(X230,Sheet2!A:B,2,0)</f>
        <v>PRAKASH CHAVDA</v>
      </c>
      <c r="Z230" s="17" t="s">
        <v>136</v>
      </c>
      <c r="AA230" s="17" t="s">
        <v>182</v>
      </c>
      <c r="AB230" s="17" t="s">
        <v>41</v>
      </c>
      <c r="AC230" s="0" t="str">
        <f aca="false">LEFT(G230,2)</f>
        <v>77</v>
      </c>
      <c r="AD230" s="0"/>
      <c r="AE230" s="21" t="s">
        <v>42</v>
      </c>
    </row>
    <row r="231" customFormat="false" ht="15" hidden="false" customHeight="false" outlineLevel="0" collapsed="false">
      <c r="A231" s="13" t="n">
        <f aca="false">1+A230</f>
        <v>229</v>
      </c>
      <c r="B231" s="17" t="n">
        <v>1009606265</v>
      </c>
      <c r="C231" s="17" t="s">
        <v>139</v>
      </c>
      <c r="D231" s="17" t="s">
        <v>64</v>
      </c>
      <c r="E231" s="17" t="s">
        <v>64</v>
      </c>
      <c r="F231" s="18" t="s">
        <v>70</v>
      </c>
      <c r="G231" s="19" t="n">
        <v>775323168309</v>
      </c>
      <c r="H231" s="17" t="s">
        <v>134</v>
      </c>
      <c r="I231" s="17" t="s">
        <v>69</v>
      </c>
      <c r="J231" s="17" t="s">
        <v>106</v>
      </c>
      <c r="K231" s="17" t="str">
        <f aca="false">VLOOKUP(J231,Sheet2!A:B,2,0)</f>
        <v>PRAKASH CHAVDA</v>
      </c>
      <c r="L231" s="17" t="n">
        <v>5</v>
      </c>
      <c r="M231" s="17" t="str">
        <f aca="false">VLOOKUP(L231,Sheet2!D:E,2,0)</f>
        <v>Main Processor CPU BGA</v>
      </c>
      <c r="N231" s="17" t="n">
        <v>1</v>
      </c>
      <c r="O231" s="17" t="str">
        <f aca="false">VLOOKUP(N231,Sheet2!G:H,2,0)</f>
        <v>Dead</v>
      </c>
      <c r="P231" s="17" t="n">
        <v>11</v>
      </c>
      <c r="Q231" s="17" t="str">
        <f aca="false">VLOOKUP(P231,Sheet2!J:K,2,0)</f>
        <v>IR Declared due to CID -TA</v>
      </c>
      <c r="R231" s="17" t="s">
        <v>35</v>
      </c>
      <c r="S231" s="17" t="str">
        <f aca="false">VLOOKUP(R231,Sheet2!N:O,2,0)</f>
        <v>IREPARABLE</v>
      </c>
      <c r="T231" s="18" t="str">
        <f aca="false">VLOOKUP(P231,Sheet2!Q:R,2,0)</f>
        <v>IR Normal - Track burn out</v>
      </c>
      <c r="U231" s="18" t="s">
        <v>122</v>
      </c>
      <c r="V231" s="17" t="n">
        <v>2</v>
      </c>
      <c r="W231" s="20" t="str">
        <f aca="false">VLOOKUP(V231,Sheet2!Q:R,2,0)</f>
        <v>IR CID -  Water log from other area</v>
      </c>
      <c r="X231" s="17" t="s">
        <v>106</v>
      </c>
      <c r="Y231" s="17" t="str">
        <f aca="false">VLOOKUP(X231,Sheet2!A:B,2,0)</f>
        <v>PRAKASH CHAVDA</v>
      </c>
      <c r="Z231" s="17" t="s">
        <v>136</v>
      </c>
      <c r="AA231" s="17" t="s">
        <v>182</v>
      </c>
      <c r="AB231" s="17" t="s">
        <v>41</v>
      </c>
      <c r="AC231" s="0" t="str">
        <f aca="false">LEFT(G231,2)</f>
        <v>77</v>
      </c>
      <c r="AD231" s="0"/>
      <c r="AE231" s="21" t="s">
        <v>42</v>
      </c>
    </row>
    <row r="232" customFormat="false" ht="15" hidden="false" customHeight="false" outlineLevel="0" collapsed="false">
      <c r="A232" s="13" t="n">
        <f aca="false">1+A231</f>
        <v>230</v>
      </c>
      <c r="B232" s="17" t="n">
        <v>1009504087</v>
      </c>
      <c r="C232" s="17" t="s">
        <v>95</v>
      </c>
      <c r="D232" s="17" t="s">
        <v>138</v>
      </c>
      <c r="E232" s="17" t="s">
        <v>91</v>
      </c>
      <c r="F232" s="18" t="s">
        <v>92</v>
      </c>
      <c r="G232" s="19" t="n">
        <v>954216139178</v>
      </c>
      <c r="H232" s="17" t="s">
        <v>134</v>
      </c>
      <c r="I232" s="17" t="s">
        <v>44</v>
      </c>
      <c r="J232" s="17" t="s">
        <v>106</v>
      </c>
      <c r="K232" s="17" t="str">
        <f aca="false">VLOOKUP(J232,Sheet2!A:B,2,0)</f>
        <v>PRAKASH CHAVDA</v>
      </c>
      <c r="L232" s="17" t="n">
        <v>5</v>
      </c>
      <c r="M232" s="17" t="str">
        <f aca="false">VLOOKUP(L232,Sheet2!D:E,2,0)</f>
        <v>Main Processor CPU BGA</v>
      </c>
      <c r="N232" s="17" t="n">
        <v>24</v>
      </c>
      <c r="O232" s="17" t="str">
        <f aca="false">VLOOKUP(N232,Sheet2!G:H,2,0)</f>
        <v>STB Auto moving -Stand by mode</v>
      </c>
      <c r="P232" s="17" t="n">
        <v>11</v>
      </c>
      <c r="Q232" s="17" t="str">
        <f aca="false">VLOOKUP(P232,Sheet2!J:K,2,0)</f>
        <v>IR Declared due to CID -TA</v>
      </c>
      <c r="R232" s="17" t="s">
        <v>35</v>
      </c>
      <c r="S232" s="17" t="str">
        <f aca="false">VLOOKUP(R232,Sheet2!N:O,2,0)</f>
        <v>IREPARABLE</v>
      </c>
      <c r="T232" s="18" t="str">
        <f aca="false">VLOOKUP(P232,Sheet2!Q:R,2,0)</f>
        <v>IR Normal - Track burn out</v>
      </c>
      <c r="U232" s="18" t="s">
        <v>199</v>
      </c>
      <c r="V232" s="17" t="n">
        <v>3</v>
      </c>
      <c r="W232" s="20" t="str">
        <f aca="false">VLOOKUP(V232,Sheet2!Q:R,2,0)</f>
        <v>IR CID - Tampered TrackOpen/Reworkdone </v>
      </c>
      <c r="X232" s="17" t="s">
        <v>106</v>
      </c>
      <c r="Y232" s="17" t="str">
        <f aca="false">VLOOKUP(X232,Sheet2!A:B,2,0)</f>
        <v>PRAKASH CHAVDA</v>
      </c>
      <c r="Z232" s="17" t="s">
        <v>150</v>
      </c>
      <c r="AA232" s="17" t="s">
        <v>182</v>
      </c>
      <c r="AB232" s="17" t="s">
        <v>41</v>
      </c>
      <c r="AC232" s="0" t="str">
        <f aca="false">LEFT(G232,2)</f>
        <v>95</v>
      </c>
      <c r="AD232" s="0"/>
      <c r="AE232" s="21" t="s">
        <v>42</v>
      </c>
    </row>
    <row r="233" customFormat="false" ht="15" hidden="false" customHeight="false" outlineLevel="0" collapsed="false">
      <c r="A233" s="13" t="n">
        <f aca="false">1+A232</f>
        <v>231</v>
      </c>
      <c r="B233" s="17" t="n">
        <v>1009506815</v>
      </c>
      <c r="C233" s="17" t="s">
        <v>181</v>
      </c>
      <c r="D233" s="17" t="s">
        <v>190</v>
      </c>
      <c r="E233" s="17" t="s">
        <v>200</v>
      </c>
      <c r="F233" s="18" t="s">
        <v>34</v>
      </c>
      <c r="G233" s="19" t="n">
        <v>954199102037</v>
      </c>
      <c r="H233" s="17" t="s">
        <v>134</v>
      </c>
      <c r="I233" s="17" t="s">
        <v>44</v>
      </c>
      <c r="J233" s="17" t="s">
        <v>106</v>
      </c>
      <c r="K233" s="17" t="str">
        <f aca="false">VLOOKUP(J233,Sheet2!A:B,2,0)</f>
        <v>PRAKASH CHAVDA</v>
      </c>
      <c r="L233" s="17" t="n">
        <v>1</v>
      </c>
      <c r="M233" s="17" t="str">
        <f aca="false">VLOOKUP(L233,Sheet2!D:E,2,0)</f>
        <v>Power Supply Section</v>
      </c>
      <c r="N233" s="17" t="n">
        <v>1</v>
      </c>
      <c r="O233" s="17" t="str">
        <f aca="false">VLOOKUP(N233,Sheet2!G:H,2,0)</f>
        <v>Dead</v>
      </c>
      <c r="P233" s="17" t="n">
        <v>12</v>
      </c>
      <c r="Q233" s="17" t="str">
        <f aca="false">VLOOKUP(P233,Sheet2!J:K,2,0)</f>
        <v>IR Declared due to Others ( IR Normal)TB</v>
      </c>
      <c r="R233" s="17" t="s">
        <v>35</v>
      </c>
      <c r="S233" s="17" t="str">
        <f aca="false">VLOOKUP(R233,Sheet2!N:O,2,0)</f>
        <v>IREPARABLE</v>
      </c>
      <c r="T233" s="18" t="str">
        <f aca="false">VLOOKUP(P233,Sheet2!Q:R,2,0)</f>
        <v>IR Normal - BER to IR</v>
      </c>
      <c r="U233" s="18" t="s">
        <v>101</v>
      </c>
      <c r="V233" s="17" t="n">
        <v>8</v>
      </c>
      <c r="W233" s="20" t="str">
        <f aca="false">VLOOKUP(V233,Sheet2!Q:R,2,0)</f>
        <v>IR Normal -TrackRust/InternalDamage/open</v>
      </c>
      <c r="X233" s="17" t="s">
        <v>106</v>
      </c>
      <c r="Y233" s="17" t="str">
        <f aca="false">VLOOKUP(X233,Sheet2!A:B,2,0)</f>
        <v>PRAKASH CHAVDA</v>
      </c>
      <c r="Z233" s="17" t="s">
        <v>150</v>
      </c>
      <c r="AA233" s="17" t="s">
        <v>182</v>
      </c>
      <c r="AB233" s="17" t="s">
        <v>41</v>
      </c>
      <c r="AC233" s="0" t="str">
        <f aca="false">LEFT(G233,2)</f>
        <v>95</v>
      </c>
      <c r="AD233" s="0"/>
      <c r="AE233" s="21" t="s">
        <v>42</v>
      </c>
    </row>
    <row r="234" customFormat="false" ht="15" hidden="false" customHeight="false" outlineLevel="0" collapsed="false">
      <c r="A234" s="13" t="n">
        <f aca="false">1+A233</f>
        <v>232</v>
      </c>
      <c r="B234" s="17" t="n">
        <v>1009395084</v>
      </c>
      <c r="C234" s="17" t="s">
        <v>80</v>
      </c>
      <c r="D234" s="17" t="s">
        <v>64</v>
      </c>
      <c r="E234" s="17" t="s">
        <v>200</v>
      </c>
      <c r="F234" s="18" t="s">
        <v>34</v>
      </c>
      <c r="G234" s="19" t="n">
        <v>954090109602</v>
      </c>
      <c r="H234" s="17" t="s">
        <v>134</v>
      </c>
      <c r="I234" s="17" t="s">
        <v>44</v>
      </c>
      <c r="J234" s="17" t="s">
        <v>106</v>
      </c>
      <c r="K234" s="17" t="str">
        <f aca="false">VLOOKUP(J234,Sheet2!A:B,2,0)</f>
        <v>PRAKASH CHAVDA</v>
      </c>
      <c r="L234" s="17" t="n">
        <v>5</v>
      </c>
      <c r="M234" s="17" t="str">
        <f aca="false">VLOOKUP(L234,Sheet2!D:E,2,0)</f>
        <v>Main Processor CPU BGA</v>
      </c>
      <c r="N234" s="17" t="n">
        <v>24</v>
      </c>
      <c r="O234" s="17" t="str">
        <f aca="false">VLOOKUP(N234,Sheet2!G:H,2,0)</f>
        <v>STB Auto moving -Stand by mode</v>
      </c>
      <c r="P234" s="17" t="n">
        <v>12</v>
      </c>
      <c r="Q234" s="17" t="str">
        <f aca="false">VLOOKUP(P234,Sheet2!J:K,2,0)</f>
        <v>IR Declared due to Others ( IR Normal)TB</v>
      </c>
      <c r="R234" s="17" t="s">
        <v>35</v>
      </c>
      <c r="S234" s="17" t="str">
        <f aca="false">VLOOKUP(R234,Sheet2!N:O,2,0)</f>
        <v>IREPARABLE</v>
      </c>
      <c r="T234" s="18" t="str">
        <f aca="false">VLOOKUP(P234,Sheet2!Q:R,2,0)</f>
        <v>IR Normal - BER to IR</v>
      </c>
      <c r="U234" s="18" t="s">
        <v>101</v>
      </c>
      <c r="V234" s="17" t="n">
        <v>8</v>
      </c>
      <c r="W234" s="20" t="str">
        <f aca="false">VLOOKUP(V234,Sheet2!Q:R,2,0)</f>
        <v>IR Normal -TrackRust/InternalDamage/open</v>
      </c>
      <c r="X234" s="17" t="s">
        <v>106</v>
      </c>
      <c r="Y234" s="17" t="str">
        <f aca="false">VLOOKUP(X234,Sheet2!A:B,2,0)</f>
        <v>PRAKASH CHAVDA</v>
      </c>
      <c r="Z234" s="17" t="s">
        <v>150</v>
      </c>
      <c r="AA234" s="17" t="s">
        <v>182</v>
      </c>
      <c r="AB234" s="17" t="s">
        <v>41</v>
      </c>
      <c r="AC234" s="0" t="str">
        <f aca="false">LEFT(G234,2)</f>
        <v>95</v>
      </c>
      <c r="AD234" s="0"/>
      <c r="AE234" s="21" t="s">
        <v>42</v>
      </c>
    </row>
    <row r="235" customFormat="false" ht="15" hidden="false" customHeight="false" outlineLevel="0" collapsed="false">
      <c r="A235" s="13" t="n">
        <f aca="false">1+A234</f>
        <v>233</v>
      </c>
      <c r="B235" s="17" t="n">
        <v>1009503325</v>
      </c>
      <c r="C235" s="17" t="s">
        <v>95</v>
      </c>
      <c r="D235" s="17" t="s">
        <v>144</v>
      </c>
      <c r="E235" s="17" t="s">
        <v>33</v>
      </c>
      <c r="F235" s="18" t="s">
        <v>34</v>
      </c>
      <c r="G235" s="19" t="n">
        <v>954126135332</v>
      </c>
      <c r="H235" s="17" t="s">
        <v>134</v>
      </c>
      <c r="I235" s="17" t="s">
        <v>44</v>
      </c>
      <c r="J235" s="17" t="s">
        <v>106</v>
      </c>
      <c r="K235" s="17" t="str">
        <f aca="false">VLOOKUP(J235,Sheet2!A:B,2,0)</f>
        <v>PRAKASH CHAVDA</v>
      </c>
      <c r="L235" s="17" t="n">
        <v>5</v>
      </c>
      <c r="M235" s="17" t="str">
        <f aca="false">VLOOKUP(L235,Sheet2!D:E,2,0)</f>
        <v>Main Processor CPU BGA</v>
      </c>
      <c r="N235" s="17" t="n">
        <v>24</v>
      </c>
      <c r="O235" s="17" t="str">
        <f aca="false">VLOOKUP(N235,Sheet2!G:H,2,0)</f>
        <v>STB Auto moving -Stand by mode</v>
      </c>
      <c r="P235" s="17" t="n">
        <v>12</v>
      </c>
      <c r="Q235" s="17" t="str">
        <f aca="false">VLOOKUP(P235,Sheet2!J:K,2,0)</f>
        <v>IR Declared due to Others ( IR Normal)TB</v>
      </c>
      <c r="R235" s="17" t="s">
        <v>35</v>
      </c>
      <c r="S235" s="17" t="str">
        <f aca="false">VLOOKUP(R235,Sheet2!N:O,2,0)</f>
        <v>IREPARABLE</v>
      </c>
      <c r="T235" s="18" t="str">
        <f aca="false">VLOOKUP(P235,Sheet2!Q:R,2,0)</f>
        <v>IR Normal - BER to IR</v>
      </c>
      <c r="U235" s="20" t="s">
        <v>135</v>
      </c>
      <c r="V235" s="17" t="n">
        <v>12</v>
      </c>
      <c r="W235" s="20" t="str">
        <f aca="false">VLOOKUP(V235,Sheet2!Q:R,2,0)</f>
        <v>IR Normal - BER to IR</v>
      </c>
      <c r="X235" s="17" t="s">
        <v>106</v>
      </c>
      <c r="Y235" s="17" t="str">
        <f aca="false">VLOOKUP(X235,Sheet2!A:B,2,0)</f>
        <v>PRAKASH CHAVDA</v>
      </c>
      <c r="Z235" s="17" t="s">
        <v>150</v>
      </c>
      <c r="AA235" s="17" t="s">
        <v>182</v>
      </c>
      <c r="AB235" s="17" t="s">
        <v>41</v>
      </c>
      <c r="AC235" s="0" t="str">
        <f aca="false">LEFT(G235,2)</f>
        <v>95</v>
      </c>
      <c r="AD235" s="0"/>
      <c r="AE235" s="21" t="s">
        <v>42</v>
      </c>
    </row>
    <row r="236" customFormat="false" ht="15" hidden="false" customHeight="false" outlineLevel="0" collapsed="false">
      <c r="A236" s="13" t="n">
        <f aca="false">1+A235</f>
        <v>234</v>
      </c>
      <c r="B236" s="17" t="n">
        <v>1009608504</v>
      </c>
      <c r="C236" s="17" t="s">
        <v>201</v>
      </c>
      <c r="D236" s="17" t="s">
        <v>64</v>
      </c>
      <c r="E236" s="17" t="s">
        <v>91</v>
      </c>
      <c r="F236" s="18" t="s">
        <v>92</v>
      </c>
      <c r="G236" s="19" t="n">
        <v>954343191852</v>
      </c>
      <c r="H236" s="17" t="s">
        <v>134</v>
      </c>
      <c r="I236" s="17" t="s">
        <v>44</v>
      </c>
      <c r="J236" s="17" t="s">
        <v>106</v>
      </c>
      <c r="K236" s="17" t="str">
        <f aca="false">VLOOKUP(J236,Sheet2!A:B,2,0)</f>
        <v>PRAKASH CHAVDA</v>
      </c>
      <c r="L236" s="17" t="n">
        <v>5</v>
      </c>
      <c r="M236" s="17" t="str">
        <f aca="false">VLOOKUP(L236,Sheet2!D:E,2,0)</f>
        <v>Main Processor CPU BGA</v>
      </c>
      <c r="N236" s="17" t="n">
        <v>1</v>
      </c>
      <c r="O236" s="17" t="str">
        <f aca="false">VLOOKUP(N236,Sheet2!G:H,2,0)</f>
        <v>Dead</v>
      </c>
      <c r="P236" s="17" t="n">
        <v>12</v>
      </c>
      <c r="Q236" s="17" t="str">
        <f aca="false">VLOOKUP(P236,Sheet2!J:K,2,0)</f>
        <v>IR Declared due to Others ( IR Normal)TB</v>
      </c>
      <c r="R236" s="17" t="s">
        <v>35</v>
      </c>
      <c r="S236" s="17" t="str">
        <f aca="false">VLOOKUP(R236,Sheet2!N:O,2,0)</f>
        <v>IREPARABLE</v>
      </c>
      <c r="T236" s="18" t="str">
        <f aca="false">VLOOKUP(P236,Sheet2!Q:R,2,0)</f>
        <v>IR Normal - BER to IR</v>
      </c>
      <c r="U236" s="20" t="s">
        <v>135</v>
      </c>
      <c r="V236" s="17" t="n">
        <v>12</v>
      </c>
      <c r="W236" s="20" t="str">
        <f aca="false">VLOOKUP(V236,Sheet2!Q:R,2,0)</f>
        <v>IR Normal - BER to IR</v>
      </c>
      <c r="X236" s="17" t="s">
        <v>106</v>
      </c>
      <c r="Y236" s="17" t="str">
        <f aca="false">VLOOKUP(X236,Sheet2!A:B,2,0)</f>
        <v>PRAKASH CHAVDA</v>
      </c>
      <c r="Z236" s="17" t="s">
        <v>150</v>
      </c>
      <c r="AA236" s="17" t="s">
        <v>182</v>
      </c>
      <c r="AB236" s="17" t="s">
        <v>41</v>
      </c>
      <c r="AC236" s="0" t="str">
        <f aca="false">LEFT(G236,2)</f>
        <v>95</v>
      </c>
      <c r="AD236" s="0"/>
      <c r="AE236" s="21" t="s">
        <v>42</v>
      </c>
    </row>
    <row r="237" customFormat="false" ht="15" hidden="false" customHeight="false" outlineLevel="0" collapsed="false">
      <c r="A237" s="13" t="n">
        <f aca="false">1+A236</f>
        <v>235</v>
      </c>
      <c r="B237" s="17" t="n">
        <v>1009475888</v>
      </c>
      <c r="C237" s="17" t="s">
        <v>90</v>
      </c>
      <c r="D237" s="17" t="s">
        <v>64</v>
      </c>
      <c r="E237" s="17" t="s">
        <v>91</v>
      </c>
      <c r="F237" s="18" t="s">
        <v>92</v>
      </c>
      <c r="G237" s="19" t="n">
        <v>954246162174</v>
      </c>
      <c r="H237" s="17" t="s">
        <v>134</v>
      </c>
      <c r="I237" s="17" t="s">
        <v>44</v>
      </c>
      <c r="J237" s="17" t="s">
        <v>106</v>
      </c>
      <c r="K237" s="17" t="str">
        <f aca="false">VLOOKUP(J237,Sheet2!A:B,2,0)</f>
        <v>PRAKASH CHAVDA</v>
      </c>
      <c r="L237" s="17" t="n">
        <v>5</v>
      </c>
      <c r="M237" s="17" t="str">
        <f aca="false">VLOOKUP(L237,Sheet2!D:E,2,0)</f>
        <v>Main Processor CPU BGA</v>
      </c>
      <c r="N237" s="17" t="n">
        <v>24</v>
      </c>
      <c r="O237" s="17" t="str">
        <f aca="false">VLOOKUP(N237,Sheet2!G:H,2,0)</f>
        <v>STB Auto moving -Stand by mode</v>
      </c>
      <c r="P237" s="17" t="n">
        <v>12</v>
      </c>
      <c r="Q237" s="17" t="str">
        <f aca="false">VLOOKUP(P237,Sheet2!J:K,2,0)</f>
        <v>IR Declared due to Others ( IR Normal)TB</v>
      </c>
      <c r="R237" s="17" t="s">
        <v>35</v>
      </c>
      <c r="S237" s="17" t="str">
        <f aca="false">VLOOKUP(R237,Sheet2!N:O,2,0)</f>
        <v>IREPARABLE</v>
      </c>
      <c r="T237" s="18" t="str">
        <f aca="false">VLOOKUP(P237,Sheet2!Q:R,2,0)</f>
        <v>IR Normal - BER to IR</v>
      </c>
      <c r="U237" s="20" t="s">
        <v>135</v>
      </c>
      <c r="V237" s="17" t="n">
        <v>12</v>
      </c>
      <c r="W237" s="20" t="str">
        <f aca="false">VLOOKUP(V237,Sheet2!Q:R,2,0)</f>
        <v>IR Normal - BER to IR</v>
      </c>
      <c r="X237" s="17" t="s">
        <v>106</v>
      </c>
      <c r="Y237" s="17" t="str">
        <f aca="false">VLOOKUP(X237,Sheet2!A:B,2,0)</f>
        <v>PRAKASH CHAVDA</v>
      </c>
      <c r="Z237" s="17" t="s">
        <v>150</v>
      </c>
      <c r="AA237" s="17" t="s">
        <v>182</v>
      </c>
      <c r="AB237" s="17" t="s">
        <v>41</v>
      </c>
      <c r="AC237" s="0" t="str">
        <f aca="false">LEFT(G237,2)</f>
        <v>95</v>
      </c>
      <c r="AD237" s="0"/>
      <c r="AE237" s="21" t="s">
        <v>42</v>
      </c>
    </row>
    <row r="238" customFormat="false" ht="15" hidden="false" customHeight="false" outlineLevel="0" collapsed="false">
      <c r="A238" s="13" t="n">
        <f aca="false">1+A237</f>
        <v>236</v>
      </c>
      <c r="B238" s="17" t="n">
        <v>1009562796</v>
      </c>
      <c r="C238" s="17" t="s">
        <v>192</v>
      </c>
      <c r="D238" s="17" t="s">
        <v>202</v>
      </c>
      <c r="E238" s="17" t="s">
        <v>33</v>
      </c>
      <c r="F238" s="18" t="s">
        <v>34</v>
      </c>
      <c r="G238" s="19" t="n">
        <v>954203126584</v>
      </c>
      <c r="H238" s="17" t="s">
        <v>134</v>
      </c>
      <c r="I238" s="17" t="s">
        <v>44</v>
      </c>
      <c r="J238" s="17" t="s">
        <v>106</v>
      </c>
      <c r="K238" s="17" t="str">
        <f aca="false">VLOOKUP(J238,Sheet2!A:B,2,0)</f>
        <v>PRAKASH CHAVDA</v>
      </c>
      <c r="L238" s="17" t="n">
        <v>5</v>
      </c>
      <c r="M238" s="17" t="str">
        <f aca="false">VLOOKUP(L238,Sheet2!D:E,2,0)</f>
        <v>Main Processor CPU BGA</v>
      </c>
      <c r="N238" s="17" t="n">
        <v>1</v>
      </c>
      <c r="O238" s="17" t="str">
        <f aca="false">VLOOKUP(N238,Sheet2!G:H,2,0)</f>
        <v>Dead</v>
      </c>
      <c r="P238" s="17" t="n">
        <v>12</v>
      </c>
      <c r="Q238" s="17" t="str">
        <f aca="false">VLOOKUP(P238,Sheet2!J:K,2,0)</f>
        <v>IR Declared due to Others ( IR Normal)TB</v>
      </c>
      <c r="R238" s="17" t="s">
        <v>35</v>
      </c>
      <c r="S238" s="17" t="str">
        <f aca="false">VLOOKUP(R238,Sheet2!N:O,2,0)</f>
        <v>IREPARABLE</v>
      </c>
      <c r="T238" s="18" t="str">
        <f aca="false">VLOOKUP(P238,Sheet2!Q:R,2,0)</f>
        <v>IR Normal - BER to IR</v>
      </c>
      <c r="U238" s="20" t="s">
        <v>135</v>
      </c>
      <c r="V238" s="17" t="n">
        <v>12</v>
      </c>
      <c r="W238" s="20" t="str">
        <f aca="false">VLOOKUP(V238,Sheet2!Q:R,2,0)</f>
        <v>IR Normal - BER to IR</v>
      </c>
      <c r="X238" s="17" t="s">
        <v>106</v>
      </c>
      <c r="Y238" s="17" t="str">
        <f aca="false">VLOOKUP(X238,Sheet2!A:B,2,0)</f>
        <v>PRAKASH CHAVDA</v>
      </c>
      <c r="Z238" s="17" t="s">
        <v>150</v>
      </c>
      <c r="AA238" s="17" t="s">
        <v>182</v>
      </c>
      <c r="AB238" s="17" t="s">
        <v>41</v>
      </c>
      <c r="AC238" s="0" t="str">
        <f aca="false">LEFT(G238,2)</f>
        <v>95</v>
      </c>
      <c r="AD238" s="0"/>
      <c r="AE238" s="21" t="s">
        <v>42</v>
      </c>
    </row>
    <row r="239" customFormat="false" ht="15" hidden="false" customHeight="false" outlineLevel="0" collapsed="false">
      <c r="A239" s="13" t="n">
        <f aca="false">1+A238</f>
        <v>237</v>
      </c>
      <c r="B239" s="17" t="n">
        <v>1009606792</v>
      </c>
      <c r="C239" s="17" t="s">
        <v>181</v>
      </c>
      <c r="D239" s="17" t="s">
        <v>64</v>
      </c>
      <c r="E239" s="17" t="s">
        <v>91</v>
      </c>
      <c r="F239" s="18" t="s">
        <v>92</v>
      </c>
      <c r="G239" s="19" t="n">
        <v>954206127381</v>
      </c>
      <c r="H239" s="17" t="s">
        <v>134</v>
      </c>
      <c r="I239" s="17" t="s">
        <v>44</v>
      </c>
      <c r="J239" s="17" t="s">
        <v>106</v>
      </c>
      <c r="K239" s="17" t="str">
        <f aca="false">VLOOKUP(J239,Sheet2!A:B,2,0)</f>
        <v>PRAKASH CHAVDA</v>
      </c>
      <c r="L239" s="17" t="n">
        <v>5</v>
      </c>
      <c r="M239" s="17" t="str">
        <f aca="false">VLOOKUP(L239,Sheet2!D:E,2,0)</f>
        <v>Main Processor CPU BGA</v>
      </c>
      <c r="N239" s="17" t="n">
        <v>24</v>
      </c>
      <c r="O239" s="17" t="str">
        <f aca="false">VLOOKUP(N239,Sheet2!G:H,2,0)</f>
        <v>STB Auto moving -Stand by mode</v>
      </c>
      <c r="P239" s="17" t="n">
        <v>12</v>
      </c>
      <c r="Q239" s="17" t="str">
        <f aca="false">VLOOKUP(P239,Sheet2!J:K,2,0)</f>
        <v>IR Declared due to Others ( IR Normal)TB</v>
      </c>
      <c r="R239" s="17" t="s">
        <v>35</v>
      </c>
      <c r="S239" s="17" t="str">
        <f aca="false">VLOOKUP(R239,Sheet2!N:O,2,0)</f>
        <v>IREPARABLE</v>
      </c>
      <c r="T239" s="18" t="str">
        <f aca="false">VLOOKUP(P239,Sheet2!Q:R,2,0)</f>
        <v>IR Normal - BER to IR</v>
      </c>
      <c r="U239" s="20" t="s">
        <v>135</v>
      </c>
      <c r="V239" s="17" t="n">
        <v>12</v>
      </c>
      <c r="W239" s="20" t="str">
        <f aca="false">VLOOKUP(V239,Sheet2!Q:R,2,0)</f>
        <v>IR Normal - BER to IR</v>
      </c>
      <c r="X239" s="17" t="s">
        <v>106</v>
      </c>
      <c r="Y239" s="17" t="str">
        <f aca="false">VLOOKUP(X239,Sheet2!A:B,2,0)</f>
        <v>PRAKASH CHAVDA</v>
      </c>
      <c r="Z239" s="17" t="s">
        <v>150</v>
      </c>
      <c r="AA239" s="17" t="s">
        <v>182</v>
      </c>
      <c r="AB239" s="17" t="s">
        <v>41</v>
      </c>
      <c r="AC239" s="0" t="str">
        <f aca="false">LEFT(G239,2)</f>
        <v>95</v>
      </c>
      <c r="AD239" s="0"/>
      <c r="AE239" s="21" t="s">
        <v>42</v>
      </c>
    </row>
    <row r="240" customFormat="false" ht="15" hidden="false" customHeight="false" outlineLevel="0" collapsed="false">
      <c r="A240" s="13" t="n">
        <f aca="false">1+A239</f>
        <v>238</v>
      </c>
      <c r="B240" s="17" t="n">
        <v>1009408792</v>
      </c>
      <c r="C240" s="17" t="s">
        <v>203</v>
      </c>
      <c r="D240" s="17" t="s">
        <v>64</v>
      </c>
      <c r="E240" s="17" t="s">
        <v>64</v>
      </c>
      <c r="F240" s="18" t="s">
        <v>70</v>
      </c>
      <c r="G240" s="19" t="n">
        <v>955241115612</v>
      </c>
      <c r="H240" s="17" t="s">
        <v>134</v>
      </c>
      <c r="I240" s="17" t="s">
        <v>44</v>
      </c>
      <c r="J240" s="17" t="s">
        <v>106</v>
      </c>
      <c r="K240" s="17" t="str">
        <f aca="false">VLOOKUP(J240,Sheet2!A:B,2,0)</f>
        <v>PRAKASH CHAVDA</v>
      </c>
      <c r="L240" s="17" t="n">
        <v>5</v>
      </c>
      <c r="M240" s="17" t="str">
        <f aca="false">VLOOKUP(L240,Sheet2!D:E,2,0)</f>
        <v>Main Processor CPU BGA</v>
      </c>
      <c r="N240" s="17" t="n">
        <v>9</v>
      </c>
      <c r="O240" s="17" t="str">
        <f aca="false">VLOOKUP(N240,Sheet2!G:H,2,0)</f>
        <v>No Audio - AV</v>
      </c>
      <c r="P240" s="17" t="n">
        <v>12</v>
      </c>
      <c r="Q240" s="17" t="str">
        <f aca="false">VLOOKUP(P240,Sheet2!J:K,2,0)</f>
        <v>IR Declared due to Others ( IR Normal)TB</v>
      </c>
      <c r="R240" s="17" t="s">
        <v>35</v>
      </c>
      <c r="S240" s="17" t="str">
        <f aca="false">VLOOKUP(R240,Sheet2!N:O,2,0)</f>
        <v>IREPARABLE</v>
      </c>
      <c r="T240" s="18" t="str">
        <f aca="false">VLOOKUP(P240,Sheet2!Q:R,2,0)</f>
        <v>IR Normal - BER to IR</v>
      </c>
      <c r="U240" s="20" t="s">
        <v>135</v>
      </c>
      <c r="V240" s="17" t="n">
        <v>12</v>
      </c>
      <c r="W240" s="20" t="str">
        <f aca="false">VLOOKUP(V240,Sheet2!Q:R,2,0)</f>
        <v>IR Normal - BER to IR</v>
      </c>
      <c r="X240" s="17" t="s">
        <v>106</v>
      </c>
      <c r="Y240" s="17" t="str">
        <f aca="false">VLOOKUP(X240,Sheet2!A:B,2,0)</f>
        <v>PRAKASH CHAVDA</v>
      </c>
      <c r="Z240" s="17" t="s">
        <v>150</v>
      </c>
      <c r="AA240" s="17" t="s">
        <v>182</v>
      </c>
      <c r="AB240" s="17" t="s">
        <v>41</v>
      </c>
      <c r="AC240" s="0" t="str">
        <f aca="false">LEFT(G240,2)</f>
        <v>95</v>
      </c>
      <c r="AD240" s="0"/>
      <c r="AE240" s="21" t="s">
        <v>42</v>
      </c>
    </row>
    <row r="241" customFormat="false" ht="15" hidden="false" customHeight="false" outlineLevel="0" collapsed="false">
      <c r="A241" s="13" t="n">
        <f aca="false">1+A240</f>
        <v>239</v>
      </c>
      <c r="B241" s="17" t="n">
        <v>1009575144</v>
      </c>
      <c r="C241" s="17" t="s">
        <v>104</v>
      </c>
      <c r="D241" s="17" t="s">
        <v>64</v>
      </c>
      <c r="E241" s="17" t="s">
        <v>47</v>
      </c>
      <c r="F241" s="18" t="s">
        <v>34</v>
      </c>
      <c r="G241" s="19" t="n">
        <v>954315173508</v>
      </c>
      <c r="H241" s="17" t="s">
        <v>134</v>
      </c>
      <c r="I241" s="17" t="s">
        <v>44</v>
      </c>
      <c r="J241" s="17" t="s">
        <v>106</v>
      </c>
      <c r="K241" s="17" t="str">
        <f aca="false">VLOOKUP(J241,Sheet2!A:B,2,0)</f>
        <v>PRAKASH CHAVDA</v>
      </c>
      <c r="L241" s="17" t="n">
        <v>5</v>
      </c>
      <c r="M241" s="17" t="str">
        <f aca="false">VLOOKUP(L241,Sheet2!D:E,2,0)</f>
        <v>Main Processor CPU BGA</v>
      </c>
      <c r="N241" s="17" t="n">
        <v>1</v>
      </c>
      <c r="O241" s="17" t="str">
        <f aca="false">VLOOKUP(N241,Sheet2!G:H,2,0)</f>
        <v>Dead</v>
      </c>
      <c r="P241" s="17" t="n">
        <v>12</v>
      </c>
      <c r="Q241" s="17" t="str">
        <f aca="false">VLOOKUP(P241,Sheet2!J:K,2,0)</f>
        <v>IR Declared due to Others ( IR Normal)TB</v>
      </c>
      <c r="R241" s="17" t="s">
        <v>35</v>
      </c>
      <c r="S241" s="17" t="str">
        <f aca="false">VLOOKUP(R241,Sheet2!N:O,2,0)</f>
        <v>IREPARABLE</v>
      </c>
      <c r="T241" s="18" t="str">
        <f aca="false">VLOOKUP(P241,Sheet2!Q:R,2,0)</f>
        <v>IR Normal - BER to IR</v>
      </c>
      <c r="U241" s="20" t="s">
        <v>135</v>
      </c>
      <c r="V241" s="17" t="n">
        <v>12</v>
      </c>
      <c r="W241" s="20" t="str">
        <f aca="false">VLOOKUP(V241,Sheet2!Q:R,2,0)</f>
        <v>IR Normal - BER to IR</v>
      </c>
      <c r="X241" s="17" t="s">
        <v>106</v>
      </c>
      <c r="Y241" s="17" t="str">
        <f aca="false">VLOOKUP(X241,Sheet2!A:B,2,0)</f>
        <v>PRAKASH CHAVDA</v>
      </c>
      <c r="Z241" s="17" t="s">
        <v>150</v>
      </c>
      <c r="AA241" s="17" t="s">
        <v>182</v>
      </c>
      <c r="AB241" s="17" t="s">
        <v>41</v>
      </c>
      <c r="AC241" s="0" t="str">
        <f aca="false">LEFT(G241,2)</f>
        <v>95</v>
      </c>
      <c r="AD241" s="0"/>
      <c r="AE241" s="21" t="s">
        <v>42</v>
      </c>
    </row>
    <row r="242" customFormat="false" ht="15" hidden="false" customHeight="false" outlineLevel="0" collapsed="false">
      <c r="A242" s="13" t="n">
        <f aca="false">1+A241</f>
        <v>240</v>
      </c>
      <c r="B242" s="17" t="n">
        <v>1009584585</v>
      </c>
      <c r="C242" s="17" t="s">
        <v>139</v>
      </c>
      <c r="D242" s="17" t="s">
        <v>64</v>
      </c>
      <c r="E242" s="17" t="s">
        <v>91</v>
      </c>
      <c r="F242" s="18" t="s">
        <v>92</v>
      </c>
      <c r="G242" s="19" t="n">
        <v>413200301104</v>
      </c>
      <c r="H242" s="17" t="s">
        <v>134</v>
      </c>
      <c r="I242" s="17" t="s">
        <v>44</v>
      </c>
      <c r="J242" s="17" t="s">
        <v>106</v>
      </c>
      <c r="K242" s="17" t="str">
        <f aca="false">VLOOKUP(J242,Sheet2!A:B,2,0)</f>
        <v>PRAKASH CHAVDA</v>
      </c>
      <c r="L242" s="17" t="n">
        <v>5</v>
      </c>
      <c r="M242" s="17" t="str">
        <f aca="false">VLOOKUP(L242,Sheet2!D:E,2,0)</f>
        <v>Main Processor CPU BGA</v>
      </c>
      <c r="N242" s="17" t="n">
        <v>1</v>
      </c>
      <c r="O242" s="17" t="str">
        <f aca="false">VLOOKUP(N242,Sheet2!G:H,2,0)</f>
        <v>Dead</v>
      </c>
      <c r="P242" s="17" t="n">
        <v>12</v>
      </c>
      <c r="Q242" s="17" t="str">
        <f aca="false">VLOOKUP(P242,Sheet2!J:K,2,0)</f>
        <v>IR Declared due to Others ( IR Normal)TB</v>
      </c>
      <c r="R242" s="17" t="s">
        <v>35</v>
      </c>
      <c r="S242" s="17" t="str">
        <f aca="false">VLOOKUP(R242,Sheet2!N:O,2,0)</f>
        <v>IREPARABLE</v>
      </c>
      <c r="T242" s="18" t="str">
        <f aca="false">VLOOKUP(P242,Sheet2!Q:R,2,0)</f>
        <v>IR Normal - BER to IR</v>
      </c>
      <c r="U242" s="20" t="s">
        <v>135</v>
      </c>
      <c r="V242" s="17" t="n">
        <v>12</v>
      </c>
      <c r="W242" s="20" t="str">
        <f aca="false">VLOOKUP(V242,Sheet2!Q:R,2,0)</f>
        <v>IR Normal - BER to IR</v>
      </c>
      <c r="X242" s="17" t="s">
        <v>106</v>
      </c>
      <c r="Y242" s="17" t="str">
        <f aca="false">VLOOKUP(X242,Sheet2!A:B,2,0)</f>
        <v>PRAKASH CHAVDA</v>
      </c>
      <c r="Z242" s="17" t="s">
        <v>149</v>
      </c>
      <c r="AA242" s="17" t="s">
        <v>182</v>
      </c>
      <c r="AB242" s="17" t="s">
        <v>41</v>
      </c>
      <c r="AC242" s="0" t="str">
        <f aca="false">LEFT(G242,2)</f>
        <v>41</v>
      </c>
      <c r="AD242" s="0"/>
      <c r="AE242" s="21" t="s">
        <v>42</v>
      </c>
    </row>
    <row r="243" customFormat="false" ht="15" hidden="false" customHeight="false" outlineLevel="0" collapsed="false">
      <c r="A243" s="13" t="n">
        <f aca="false">1+A242</f>
        <v>241</v>
      </c>
      <c r="B243" s="17" t="n">
        <v>1009606743</v>
      </c>
      <c r="C243" s="17" t="s">
        <v>181</v>
      </c>
      <c r="D243" s="17" t="s">
        <v>190</v>
      </c>
      <c r="E243" s="17" t="s">
        <v>64</v>
      </c>
      <c r="F243" s="18" t="s">
        <v>70</v>
      </c>
      <c r="G243" s="19" t="n">
        <v>413280205571</v>
      </c>
      <c r="H243" s="17" t="s">
        <v>134</v>
      </c>
      <c r="I243" s="17" t="s">
        <v>44</v>
      </c>
      <c r="J243" s="17" t="s">
        <v>106</v>
      </c>
      <c r="K243" s="17" t="str">
        <f aca="false">VLOOKUP(J243,Sheet2!A:B,2,0)</f>
        <v>PRAKASH CHAVDA</v>
      </c>
      <c r="L243" s="17" t="n">
        <v>5</v>
      </c>
      <c r="M243" s="17" t="str">
        <f aca="false">VLOOKUP(L243,Sheet2!D:E,2,0)</f>
        <v>Main Processor CPU BGA</v>
      </c>
      <c r="N243" s="17" t="n">
        <v>1</v>
      </c>
      <c r="O243" s="17" t="str">
        <f aca="false">VLOOKUP(N243,Sheet2!G:H,2,0)</f>
        <v>Dead</v>
      </c>
      <c r="P243" s="17" t="n">
        <v>12</v>
      </c>
      <c r="Q243" s="17" t="str">
        <f aca="false">VLOOKUP(P243,Sheet2!J:K,2,0)</f>
        <v>IR Declared due to Others ( IR Normal)TB</v>
      </c>
      <c r="R243" s="17" t="s">
        <v>35</v>
      </c>
      <c r="S243" s="17" t="str">
        <f aca="false">VLOOKUP(R243,Sheet2!N:O,2,0)</f>
        <v>IREPARABLE</v>
      </c>
      <c r="T243" s="18" t="str">
        <f aca="false">VLOOKUP(P243,Sheet2!Q:R,2,0)</f>
        <v>IR Normal - BER to IR</v>
      </c>
      <c r="U243" s="20" t="s">
        <v>135</v>
      </c>
      <c r="V243" s="17" t="n">
        <v>12</v>
      </c>
      <c r="W243" s="20" t="str">
        <f aca="false">VLOOKUP(V243,Sheet2!Q:R,2,0)</f>
        <v>IR Normal - BER to IR</v>
      </c>
      <c r="X243" s="17" t="s">
        <v>106</v>
      </c>
      <c r="Y243" s="17" t="str">
        <f aca="false">VLOOKUP(X243,Sheet2!A:B,2,0)</f>
        <v>PRAKASH CHAVDA</v>
      </c>
      <c r="Z243" s="17" t="s">
        <v>149</v>
      </c>
      <c r="AA243" s="17" t="s">
        <v>182</v>
      </c>
      <c r="AB243" s="17" t="s">
        <v>41</v>
      </c>
      <c r="AC243" s="0" t="str">
        <f aca="false">LEFT(G243,2)</f>
        <v>41</v>
      </c>
      <c r="AD243" s="0"/>
      <c r="AE243" s="21" t="s">
        <v>42</v>
      </c>
    </row>
    <row r="244" customFormat="false" ht="15" hidden="false" customHeight="false" outlineLevel="0" collapsed="false">
      <c r="A244" s="13" t="n">
        <f aca="false">1+A243</f>
        <v>242</v>
      </c>
      <c r="B244" s="17" t="n">
        <v>1009606936</v>
      </c>
      <c r="C244" s="17" t="s">
        <v>181</v>
      </c>
      <c r="D244" s="17" t="s">
        <v>190</v>
      </c>
      <c r="E244" s="17" t="s">
        <v>91</v>
      </c>
      <c r="F244" s="18" t="s">
        <v>92</v>
      </c>
      <c r="G244" s="19" t="n">
        <v>413310421271</v>
      </c>
      <c r="H244" s="17" t="s">
        <v>134</v>
      </c>
      <c r="I244" s="17" t="s">
        <v>44</v>
      </c>
      <c r="J244" s="17" t="s">
        <v>106</v>
      </c>
      <c r="K244" s="17" t="str">
        <f aca="false">VLOOKUP(J244,Sheet2!A:B,2,0)</f>
        <v>PRAKASH CHAVDA</v>
      </c>
      <c r="L244" s="17" t="n">
        <v>5</v>
      </c>
      <c r="M244" s="17" t="str">
        <f aca="false">VLOOKUP(L244,Sheet2!D:E,2,0)</f>
        <v>Main Processor CPU BGA</v>
      </c>
      <c r="N244" s="17" t="n">
        <v>28</v>
      </c>
      <c r="O244" s="17" t="str">
        <f aca="false">VLOOKUP(N244,Sheet2!G:H,2,0)</f>
        <v>Hang and Freeze video - AV</v>
      </c>
      <c r="P244" s="17" t="n">
        <v>12</v>
      </c>
      <c r="Q244" s="17" t="str">
        <f aca="false">VLOOKUP(P244,Sheet2!J:K,2,0)</f>
        <v>IR Declared due to Others ( IR Normal)TB</v>
      </c>
      <c r="R244" s="17" t="s">
        <v>35</v>
      </c>
      <c r="S244" s="17" t="str">
        <f aca="false">VLOOKUP(R244,Sheet2!N:O,2,0)</f>
        <v>IREPARABLE</v>
      </c>
      <c r="T244" s="18" t="str">
        <f aca="false">VLOOKUP(P244,Sheet2!Q:R,2,0)</f>
        <v>IR Normal - BER to IR</v>
      </c>
      <c r="U244" s="18" t="s">
        <v>101</v>
      </c>
      <c r="V244" s="17" t="n">
        <v>8</v>
      </c>
      <c r="W244" s="20" t="str">
        <f aca="false">VLOOKUP(V244,Sheet2!Q:R,2,0)</f>
        <v>IR Normal -TrackRust/InternalDamage/open</v>
      </c>
      <c r="X244" s="17" t="s">
        <v>106</v>
      </c>
      <c r="Y244" s="17" t="str">
        <f aca="false">VLOOKUP(X244,Sheet2!A:B,2,0)</f>
        <v>PRAKASH CHAVDA</v>
      </c>
      <c r="Z244" s="17" t="s">
        <v>149</v>
      </c>
      <c r="AA244" s="17" t="s">
        <v>182</v>
      </c>
      <c r="AB244" s="17" t="s">
        <v>41</v>
      </c>
      <c r="AC244" s="0" t="str">
        <f aca="false">LEFT(G244,2)</f>
        <v>41</v>
      </c>
      <c r="AD244" s="0"/>
      <c r="AE244" s="21" t="s">
        <v>42</v>
      </c>
    </row>
    <row r="245" customFormat="false" ht="15" hidden="false" customHeight="false" outlineLevel="0" collapsed="false">
      <c r="A245" s="13" t="n">
        <f aca="false">1+A244</f>
        <v>243</v>
      </c>
      <c r="B245" s="17" t="n">
        <v>1009610588</v>
      </c>
      <c r="C245" s="17" t="s">
        <v>181</v>
      </c>
      <c r="D245" s="17" t="s">
        <v>167</v>
      </c>
      <c r="E245" s="17" t="s">
        <v>47</v>
      </c>
      <c r="F245" s="18" t="s">
        <v>34</v>
      </c>
      <c r="G245" s="19" t="n">
        <v>943255919434</v>
      </c>
      <c r="H245" s="17" t="s">
        <v>134</v>
      </c>
      <c r="I245" s="17" t="s">
        <v>44</v>
      </c>
      <c r="J245" s="17" t="s">
        <v>106</v>
      </c>
      <c r="K245" s="17" t="str">
        <f aca="false">VLOOKUP(J245,Sheet2!A:B,2,0)</f>
        <v>PRAKASH CHAVDA</v>
      </c>
      <c r="L245" s="17" t="n">
        <v>5</v>
      </c>
      <c r="M245" s="17" t="str">
        <f aca="false">VLOOKUP(L245,Sheet2!D:E,2,0)</f>
        <v>Main Processor CPU BGA</v>
      </c>
      <c r="N245" s="17" t="n">
        <v>24</v>
      </c>
      <c r="O245" s="17" t="str">
        <f aca="false">VLOOKUP(N245,Sheet2!G:H,2,0)</f>
        <v>STB Auto moving -Stand by mode</v>
      </c>
      <c r="P245" s="17" t="n">
        <v>12</v>
      </c>
      <c r="Q245" s="17" t="str">
        <f aca="false">VLOOKUP(P245,Sheet2!J:K,2,0)</f>
        <v>IR Declared due to Others ( IR Normal)TB</v>
      </c>
      <c r="R245" s="17" t="s">
        <v>35</v>
      </c>
      <c r="S245" s="17" t="str">
        <f aca="false">VLOOKUP(R245,Sheet2!N:O,2,0)</f>
        <v>IREPARABLE</v>
      </c>
      <c r="T245" s="18" t="str">
        <f aca="false">VLOOKUP(P245,Sheet2!Q:R,2,0)</f>
        <v>IR Normal - BER to IR</v>
      </c>
      <c r="U245" s="20" t="s">
        <v>135</v>
      </c>
      <c r="V245" s="17" t="n">
        <v>12</v>
      </c>
      <c r="W245" s="20" t="str">
        <f aca="false">VLOOKUP(V245,Sheet2!Q:R,2,0)</f>
        <v>IR Normal - BER to IR</v>
      </c>
      <c r="X245" s="17" t="s">
        <v>106</v>
      </c>
      <c r="Y245" s="17" t="str">
        <f aca="false">VLOOKUP(X245,Sheet2!A:B,2,0)</f>
        <v>PRAKASH CHAVDA</v>
      </c>
      <c r="Z245" s="17" t="s">
        <v>127</v>
      </c>
      <c r="AA245" s="17" t="s">
        <v>182</v>
      </c>
      <c r="AB245" s="17" t="s">
        <v>41</v>
      </c>
      <c r="AC245" s="0" t="str">
        <f aca="false">LEFT(G245,2)</f>
        <v>94</v>
      </c>
      <c r="AD245" s="0"/>
      <c r="AE245" s="21" t="s">
        <v>42</v>
      </c>
    </row>
    <row r="246" customFormat="false" ht="15" hidden="false" customHeight="false" outlineLevel="0" collapsed="false">
      <c r="A246" s="13" t="n">
        <f aca="false">1+A245</f>
        <v>244</v>
      </c>
      <c r="B246" s="17" t="n">
        <v>1009506956</v>
      </c>
      <c r="C246" s="17" t="s">
        <v>181</v>
      </c>
      <c r="D246" s="17" t="s">
        <v>88</v>
      </c>
      <c r="E246" s="17" t="s">
        <v>47</v>
      </c>
      <c r="F246" s="18" t="s">
        <v>34</v>
      </c>
      <c r="G246" s="19" t="n">
        <v>985349403495</v>
      </c>
      <c r="H246" s="17" t="s">
        <v>134</v>
      </c>
      <c r="I246" s="17" t="s">
        <v>44</v>
      </c>
      <c r="J246" s="17" t="s">
        <v>106</v>
      </c>
      <c r="K246" s="17" t="str">
        <f aca="false">VLOOKUP(J246,Sheet2!A:B,2,0)</f>
        <v>PRAKASH CHAVDA</v>
      </c>
      <c r="L246" s="17" t="n">
        <v>5</v>
      </c>
      <c r="M246" s="17" t="str">
        <f aca="false">VLOOKUP(L246,Sheet2!D:E,2,0)</f>
        <v>Main Processor CPU BGA</v>
      </c>
      <c r="N246" s="17" t="n">
        <v>1</v>
      </c>
      <c r="O246" s="17" t="str">
        <f aca="false">VLOOKUP(N246,Sheet2!G:H,2,0)</f>
        <v>Dead</v>
      </c>
      <c r="P246" s="17" t="n">
        <v>12</v>
      </c>
      <c r="Q246" s="17" t="str">
        <f aca="false">VLOOKUP(P246,Sheet2!J:K,2,0)</f>
        <v>IR Declared due to Others ( IR Normal)TB</v>
      </c>
      <c r="R246" s="17" t="s">
        <v>35</v>
      </c>
      <c r="S246" s="17" t="str">
        <f aca="false">VLOOKUP(R246,Sheet2!N:O,2,0)</f>
        <v>IREPARABLE</v>
      </c>
      <c r="T246" s="18" t="str">
        <f aca="false">VLOOKUP(P246,Sheet2!Q:R,2,0)</f>
        <v>IR Normal - BER to IR</v>
      </c>
      <c r="U246" s="20" t="s">
        <v>135</v>
      </c>
      <c r="V246" s="17" t="n">
        <v>12</v>
      </c>
      <c r="W246" s="20" t="str">
        <f aca="false">VLOOKUP(V246,Sheet2!Q:R,2,0)</f>
        <v>IR Normal - BER to IR</v>
      </c>
      <c r="X246" s="17" t="str">
        <f aca="false">J246</f>
        <v>A018</v>
      </c>
      <c r="Y246" s="17" t="str">
        <f aca="false">VLOOKUP(X246,Sheet2!A:B,2,0)</f>
        <v>PRAKASH CHAVDA</v>
      </c>
      <c r="Z246" s="17" t="s">
        <v>141</v>
      </c>
      <c r="AA246" s="17" t="s">
        <v>204</v>
      </c>
      <c r="AB246" s="17" t="s">
        <v>41</v>
      </c>
      <c r="AC246" s="0" t="str">
        <f aca="false">LEFT(G246,2)</f>
        <v>98</v>
      </c>
      <c r="AD246" s="0"/>
      <c r="AE246" s="21" t="s">
        <v>42</v>
      </c>
    </row>
    <row r="247" customFormat="false" ht="15" hidden="false" customHeight="false" outlineLevel="0" collapsed="false">
      <c r="A247" s="13" t="n">
        <f aca="false">1+A246</f>
        <v>245</v>
      </c>
      <c r="B247" s="17" t="n">
        <v>1009613787</v>
      </c>
      <c r="C247" s="17" t="s">
        <v>184</v>
      </c>
      <c r="D247" s="17" t="s">
        <v>64</v>
      </c>
      <c r="E247" s="17" t="s">
        <v>91</v>
      </c>
      <c r="F247" s="18" t="s">
        <v>92</v>
      </c>
      <c r="G247" s="19" t="n">
        <v>985318185958</v>
      </c>
      <c r="H247" s="17" t="s">
        <v>134</v>
      </c>
      <c r="I247" s="17" t="s">
        <v>44</v>
      </c>
      <c r="J247" s="17" t="s">
        <v>106</v>
      </c>
      <c r="K247" s="17" t="str">
        <f aca="false">VLOOKUP(J247,Sheet2!A:B,2,0)</f>
        <v>PRAKASH CHAVDA</v>
      </c>
      <c r="L247" s="17" t="n">
        <v>5</v>
      </c>
      <c r="M247" s="17" t="str">
        <f aca="false">VLOOKUP(L247,Sheet2!D:E,2,0)</f>
        <v>Main Processor CPU BGA</v>
      </c>
      <c r="N247" s="17" t="n">
        <v>1</v>
      </c>
      <c r="O247" s="17" t="str">
        <f aca="false">VLOOKUP(N247,Sheet2!G:H,2,0)</f>
        <v>Dead</v>
      </c>
      <c r="P247" s="17" t="n">
        <v>12</v>
      </c>
      <c r="Q247" s="17" t="str">
        <f aca="false">VLOOKUP(P247,Sheet2!J:K,2,0)</f>
        <v>IR Declared due to Others ( IR Normal)TB</v>
      </c>
      <c r="R247" s="17" t="s">
        <v>35</v>
      </c>
      <c r="S247" s="17" t="str">
        <f aca="false">VLOOKUP(R247,Sheet2!N:O,2,0)</f>
        <v>IREPARABLE</v>
      </c>
      <c r="T247" s="18" t="str">
        <f aca="false">VLOOKUP(P247,Sheet2!Q:R,2,0)</f>
        <v>IR Normal - BER to IR</v>
      </c>
      <c r="U247" s="20" t="s">
        <v>135</v>
      </c>
      <c r="V247" s="17" t="n">
        <v>12</v>
      </c>
      <c r="W247" s="20" t="str">
        <f aca="false">VLOOKUP(V247,Sheet2!Q:R,2,0)</f>
        <v>IR Normal - BER to IR</v>
      </c>
      <c r="X247" s="17" t="str">
        <f aca="false">J247</f>
        <v>A018</v>
      </c>
      <c r="Y247" s="17" t="str">
        <f aca="false">VLOOKUP(X247,Sheet2!A:B,2,0)</f>
        <v>PRAKASH CHAVDA</v>
      </c>
      <c r="Z247" s="17" t="s">
        <v>141</v>
      </c>
      <c r="AA247" s="17" t="s">
        <v>204</v>
      </c>
      <c r="AB247" s="17" t="s">
        <v>41</v>
      </c>
      <c r="AC247" s="0" t="str">
        <f aca="false">LEFT(G247,2)</f>
        <v>98</v>
      </c>
      <c r="AD247" s="0"/>
      <c r="AE247" s="21" t="s">
        <v>42</v>
      </c>
    </row>
    <row r="248" customFormat="false" ht="15" hidden="false" customHeight="false" outlineLevel="0" collapsed="false">
      <c r="A248" s="13" t="n">
        <f aca="false">1+A247</f>
        <v>246</v>
      </c>
      <c r="B248" s="17" t="n">
        <v>1009607710</v>
      </c>
      <c r="C248" s="17" t="s">
        <v>181</v>
      </c>
      <c r="D248" s="17" t="s">
        <v>119</v>
      </c>
      <c r="E248" s="17" t="s">
        <v>64</v>
      </c>
      <c r="F248" s="18" t="s">
        <v>70</v>
      </c>
      <c r="G248" s="19" t="n">
        <v>986219113396</v>
      </c>
      <c r="H248" s="17" t="s">
        <v>134</v>
      </c>
      <c r="I248" s="17" t="s">
        <v>44</v>
      </c>
      <c r="J248" s="17" t="s">
        <v>106</v>
      </c>
      <c r="K248" s="17" t="str">
        <f aca="false">VLOOKUP(J248,Sheet2!A:B,2,0)</f>
        <v>PRAKASH CHAVDA</v>
      </c>
      <c r="L248" s="17" t="n">
        <v>5</v>
      </c>
      <c r="M248" s="17" t="str">
        <f aca="false">VLOOKUP(L248,Sheet2!D:E,2,0)</f>
        <v>Main Processor CPU BGA</v>
      </c>
      <c r="N248" s="17" t="n">
        <v>24</v>
      </c>
      <c r="O248" s="17" t="str">
        <f aca="false">VLOOKUP(N248,Sheet2!G:H,2,0)</f>
        <v>STB Auto moving -Stand by mode</v>
      </c>
      <c r="P248" s="17" t="n">
        <v>12</v>
      </c>
      <c r="Q248" s="17" t="str">
        <f aca="false">VLOOKUP(P248,Sheet2!J:K,2,0)</f>
        <v>IR Declared due to Others ( IR Normal)TB</v>
      </c>
      <c r="R248" s="17" t="s">
        <v>35</v>
      </c>
      <c r="S248" s="17" t="str">
        <f aca="false">VLOOKUP(R248,Sheet2!N:O,2,0)</f>
        <v>IREPARABLE</v>
      </c>
      <c r="T248" s="18" t="str">
        <f aca="false">VLOOKUP(P248,Sheet2!Q:R,2,0)</f>
        <v>IR Normal - BER to IR</v>
      </c>
      <c r="U248" s="20" t="s">
        <v>135</v>
      </c>
      <c r="V248" s="17" t="n">
        <v>12</v>
      </c>
      <c r="W248" s="20" t="str">
        <f aca="false">VLOOKUP(V248,Sheet2!Q:R,2,0)</f>
        <v>IR Normal - BER to IR</v>
      </c>
      <c r="X248" s="17" t="str">
        <f aca="false">J248</f>
        <v>A018</v>
      </c>
      <c r="Y248" s="17" t="str">
        <f aca="false">VLOOKUP(X248,Sheet2!A:B,2,0)</f>
        <v>PRAKASH CHAVDA</v>
      </c>
      <c r="Z248" s="17" t="s">
        <v>141</v>
      </c>
      <c r="AA248" s="17" t="s">
        <v>204</v>
      </c>
      <c r="AB248" s="17" t="s">
        <v>41</v>
      </c>
      <c r="AC248" s="0" t="str">
        <f aca="false">LEFT(G248,2)</f>
        <v>98</v>
      </c>
      <c r="AD248" s="0"/>
      <c r="AE248" s="21" t="s">
        <v>42</v>
      </c>
    </row>
    <row r="249" customFormat="false" ht="15" hidden="false" customHeight="false" outlineLevel="0" collapsed="false">
      <c r="A249" s="13" t="n">
        <f aca="false">1+A248</f>
        <v>247</v>
      </c>
      <c r="B249" s="17" t="n">
        <v>1009616876</v>
      </c>
      <c r="C249" s="17" t="s">
        <v>184</v>
      </c>
      <c r="D249" s="17" t="s">
        <v>131</v>
      </c>
      <c r="E249" s="17" t="s">
        <v>33</v>
      </c>
      <c r="F249" s="18" t="s">
        <v>34</v>
      </c>
      <c r="G249" s="19" t="n">
        <v>986172222192</v>
      </c>
      <c r="H249" s="17" t="s">
        <v>134</v>
      </c>
      <c r="I249" s="17" t="s">
        <v>44</v>
      </c>
      <c r="J249" s="17" t="s">
        <v>106</v>
      </c>
      <c r="K249" s="17" t="str">
        <f aca="false">VLOOKUP(J249,Sheet2!A:B,2,0)</f>
        <v>PRAKASH CHAVDA</v>
      </c>
      <c r="L249" s="17" t="n">
        <v>5</v>
      </c>
      <c r="M249" s="17" t="str">
        <f aca="false">VLOOKUP(L249,Sheet2!D:E,2,0)</f>
        <v>Main Processor CPU BGA</v>
      </c>
      <c r="N249" s="17" t="n">
        <v>24</v>
      </c>
      <c r="O249" s="17" t="str">
        <f aca="false">VLOOKUP(N249,Sheet2!G:H,2,0)</f>
        <v>STB Auto moving -Stand by mode</v>
      </c>
      <c r="P249" s="17" t="n">
        <v>12</v>
      </c>
      <c r="Q249" s="17" t="str">
        <f aca="false">VLOOKUP(P249,Sheet2!J:K,2,0)</f>
        <v>IR Declared due to Others ( IR Normal)TB</v>
      </c>
      <c r="R249" s="17" t="s">
        <v>35</v>
      </c>
      <c r="S249" s="17" t="str">
        <f aca="false">VLOOKUP(R249,Sheet2!N:O,2,0)</f>
        <v>IREPARABLE</v>
      </c>
      <c r="T249" s="18" t="str">
        <f aca="false">VLOOKUP(P249,Sheet2!Q:R,2,0)</f>
        <v>IR Normal - BER to IR</v>
      </c>
      <c r="U249" s="20" t="s">
        <v>135</v>
      </c>
      <c r="V249" s="17" t="n">
        <v>12</v>
      </c>
      <c r="W249" s="20" t="str">
        <f aca="false">VLOOKUP(V249,Sheet2!Q:R,2,0)</f>
        <v>IR Normal - BER to IR</v>
      </c>
      <c r="X249" s="17" t="str">
        <f aca="false">J249</f>
        <v>A018</v>
      </c>
      <c r="Y249" s="17" t="str">
        <f aca="false">VLOOKUP(X249,Sheet2!A:B,2,0)</f>
        <v>PRAKASH CHAVDA</v>
      </c>
      <c r="Z249" s="17" t="s">
        <v>141</v>
      </c>
      <c r="AA249" s="17" t="s">
        <v>204</v>
      </c>
      <c r="AB249" s="17" t="s">
        <v>41</v>
      </c>
      <c r="AC249" s="0" t="str">
        <f aca="false">LEFT(G249,2)</f>
        <v>98</v>
      </c>
      <c r="AD249" s="0"/>
      <c r="AE249" s="21" t="s">
        <v>42</v>
      </c>
    </row>
    <row r="250" customFormat="false" ht="15" hidden="false" customHeight="false" outlineLevel="0" collapsed="false">
      <c r="A250" s="13" t="n">
        <f aca="false">1+A249</f>
        <v>248</v>
      </c>
      <c r="B250" s="17" t="n">
        <v>1009610804</v>
      </c>
      <c r="C250" s="17" t="s">
        <v>181</v>
      </c>
      <c r="D250" s="17" t="s">
        <v>138</v>
      </c>
      <c r="E250" s="17" t="s">
        <v>33</v>
      </c>
      <c r="F250" s="18" t="s">
        <v>34</v>
      </c>
      <c r="G250" s="19" t="n">
        <v>987275115614</v>
      </c>
      <c r="H250" s="17" t="s">
        <v>134</v>
      </c>
      <c r="I250" s="17" t="s">
        <v>44</v>
      </c>
      <c r="J250" s="17" t="s">
        <v>106</v>
      </c>
      <c r="K250" s="17" t="str">
        <f aca="false">VLOOKUP(J250,Sheet2!A:B,2,0)</f>
        <v>PRAKASH CHAVDA</v>
      </c>
      <c r="L250" s="17" t="n">
        <v>5</v>
      </c>
      <c r="M250" s="17" t="str">
        <f aca="false">VLOOKUP(L250,Sheet2!D:E,2,0)</f>
        <v>Main Processor CPU BGA</v>
      </c>
      <c r="N250" s="17" t="n">
        <v>1</v>
      </c>
      <c r="O250" s="17" t="str">
        <f aca="false">VLOOKUP(N250,Sheet2!G:H,2,0)</f>
        <v>Dead</v>
      </c>
      <c r="P250" s="17" t="n">
        <v>12</v>
      </c>
      <c r="Q250" s="17" t="str">
        <f aca="false">VLOOKUP(P250,Sheet2!J:K,2,0)</f>
        <v>IR Declared due to Others ( IR Normal)TB</v>
      </c>
      <c r="R250" s="17" t="s">
        <v>35</v>
      </c>
      <c r="S250" s="17" t="str">
        <f aca="false">VLOOKUP(R250,Sheet2!N:O,2,0)</f>
        <v>IREPARABLE</v>
      </c>
      <c r="T250" s="18" t="str">
        <f aca="false">VLOOKUP(P250,Sheet2!Q:R,2,0)</f>
        <v>IR Normal - BER to IR</v>
      </c>
      <c r="U250" s="20" t="s">
        <v>135</v>
      </c>
      <c r="V250" s="17" t="n">
        <v>12</v>
      </c>
      <c r="W250" s="20" t="str">
        <f aca="false">VLOOKUP(V250,Sheet2!Q:R,2,0)</f>
        <v>IR Normal - BER to IR</v>
      </c>
      <c r="X250" s="17" t="str">
        <f aca="false">J250</f>
        <v>A018</v>
      </c>
      <c r="Y250" s="17" t="str">
        <f aca="false">VLOOKUP(X250,Sheet2!A:B,2,0)</f>
        <v>PRAKASH CHAVDA</v>
      </c>
      <c r="Z250" s="17" t="s">
        <v>141</v>
      </c>
      <c r="AA250" s="17" t="s">
        <v>204</v>
      </c>
      <c r="AB250" s="17" t="s">
        <v>41</v>
      </c>
      <c r="AC250" s="0" t="str">
        <f aca="false">LEFT(G250,2)</f>
        <v>98</v>
      </c>
      <c r="AD250" s="0"/>
      <c r="AE250" s="21" t="s">
        <v>42</v>
      </c>
    </row>
    <row r="251" customFormat="false" ht="15" hidden="false" customHeight="false" outlineLevel="0" collapsed="false">
      <c r="A251" s="13" t="n">
        <f aca="false">1+A250</f>
        <v>249</v>
      </c>
      <c r="B251" s="17" t="n">
        <v>1009616219</v>
      </c>
      <c r="C251" s="17" t="s">
        <v>184</v>
      </c>
      <c r="D251" s="17" t="s">
        <v>205</v>
      </c>
      <c r="E251" s="17" t="s">
        <v>47</v>
      </c>
      <c r="F251" s="18" t="s">
        <v>34</v>
      </c>
      <c r="G251" s="19" t="n">
        <v>985340117896</v>
      </c>
      <c r="H251" s="17" t="s">
        <v>134</v>
      </c>
      <c r="I251" s="17" t="s">
        <v>44</v>
      </c>
      <c r="J251" s="17" t="s">
        <v>106</v>
      </c>
      <c r="K251" s="17" t="str">
        <f aca="false">VLOOKUP(J251,Sheet2!A:B,2,0)</f>
        <v>PRAKASH CHAVDA</v>
      </c>
      <c r="L251" s="17" t="n">
        <v>5</v>
      </c>
      <c r="M251" s="17" t="str">
        <f aca="false">VLOOKUP(L251,Sheet2!D:E,2,0)</f>
        <v>Main Processor CPU BGA</v>
      </c>
      <c r="N251" s="17" t="n">
        <v>1</v>
      </c>
      <c r="O251" s="17" t="str">
        <f aca="false">VLOOKUP(N251,Sheet2!G:H,2,0)</f>
        <v>Dead</v>
      </c>
      <c r="P251" s="17" t="n">
        <v>12</v>
      </c>
      <c r="Q251" s="17" t="str">
        <f aca="false">VLOOKUP(P251,Sheet2!J:K,2,0)</f>
        <v>IR Declared due to Others ( IR Normal)TB</v>
      </c>
      <c r="R251" s="17" t="s">
        <v>35</v>
      </c>
      <c r="S251" s="17" t="str">
        <f aca="false">VLOOKUP(R251,Sheet2!N:O,2,0)</f>
        <v>IREPARABLE</v>
      </c>
      <c r="T251" s="18" t="str">
        <f aca="false">VLOOKUP(P251,Sheet2!Q:R,2,0)</f>
        <v>IR Normal - BER to IR</v>
      </c>
      <c r="U251" s="20" t="s">
        <v>135</v>
      </c>
      <c r="V251" s="17" t="n">
        <v>12</v>
      </c>
      <c r="W251" s="20" t="str">
        <f aca="false">VLOOKUP(V251,Sheet2!Q:R,2,0)</f>
        <v>IR Normal - BER to IR</v>
      </c>
      <c r="X251" s="17" t="str">
        <f aca="false">J251</f>
        <v>A018</v>
      </c>
      <c r="Y251" s="17" t="str">
        <f aca="false">VLOOKUP(X251,Sheet2!A:B,2,0)</f>
        <v>PRAKASH CHAVDA</v>
      </c>
      <c r="Z251" s="17" t="s">
        <v>141</v>
      </c>
      <c r="AA251" s="17" t="s">
        <v>204</v>
      </c>
      <c r="AB251" s="17" t="s">
        <v>41</v>
      </c>
      <c r="AC251" s="0" t="str">
        <f aca="false">LEFT(G251,2)</f>
        <v>98</v>
      </c>
      <c r="AD251" s="0"/>
      <c r="AE251" s="21" t="s">
        <v>42</v>
      </c>
    </row>
    <row r="252" customFormat="false" ht="15" hidden="false" customHeight="false" outlineLevel="0" collapsed="false">
      <c r="A252" s="13" t="n">
        <f aca="false">1+A251</f>
        <v>250</v>
      </c>
      <c r="B252" s="17" t="n">
        <v>1009616268</v>
      </c>
      <c r="C252" s="17" t="s">
        <v>184</v>
      </c>
      <c r="D252" s="17" t="s">
        <v>64</v>
      </c>
      <c r="E252" s="17" t="s">
        <v>64</v>
      </c>
      <c r="F252" s="18" t="s">
        <v>70</v>
      </c>
      <c r="G252" s="19" t="n">
        <v>985323117806</v>
      </c>
      <c r="H252" s="17" t="s">
        <v>134</v>
      </c>
      <c r="I252" s="17" t="s">
        <v>44</v>
      </c>
      <c r="J252" s="17" t="s">
        <v>106</v>
      </c>
      <c r="K252" s="17" t="str">
        <f aca="false">VLOOKUP(J252,Sheet2!A:B,2,0)</f>
        <v>PRAKASH CHAVDA</v>
      </c>
      <c r="L252" s="17" t="n">
        <v>5</v>
      </c>
      <c r="M252" s="17" t="str">
        <f aca="false">VLOOKUP(L252,Sheet2!D:E,2,0)</f>
        <v>Main Processor CPU BGA</v>
      </c>
      <c r="N252" s="17" t="n">
        <v>6</v>
      </c>
      <c r="O252" s="17" t="str">
        <f aca="false">VLOOKUP(N252,Sheet2!G:H,2,0)</f>
        <v>No Signal</v>
      </c>
      <c r="P252" s="17" t="n">
        <v>12</v>
      </c>
      <c r="Q252" s="17" t="str">
        <f aca="false">VLOOKUP(P252,Sheet2!J:K,2,0)</f>
        <v>IR Declared due to Others ( IR Normal)TB</v>
      </c>
      <c r="R252" s="17" t="s">
        <v>35</v>
      </c>
      <c r="S252" s="17" t="str">
        <f aca="false">VLOOKUP(R252,Sheet2!N:O,2,0)</f>
        <v>IREPARABLE</v>
      </c>
      <c r="T252" s="18" t="str">
        <f aca="false">VLOOKUP(P252,Sheet2!Q:R,2,0)</f>
        <v>IR Normal - BER to IR</v>
      </c>
      <c r="U252" s="20" t="s">
        <v>135</v>
      </c>
      <c r="V252" s="17" t="n">
        <v>12</v>
      </c>
      <c r="W252" s="20" t="str">
        <f aca="false">VLOOKUP(V252,Sheet2!Q:R,2,0)</f>
        <v>IR Normal - BER to IR</v>
      </c>
      <c r="X252" s="17" t="str">
        <f aca="false">J252</f>
        <v>A018</v>
      </c>
      <c r="Y252" s="17" t="str">
        <f aca="false">VLOOKUP(X252,Sheet2!A:B,2,0)</f>
        <v>PRAKASH CHAVDA</v>
      </c>
      <c r="Z252" s="17" t="s">
        <v>141</v>
      </c>
      <c r="AA252" s="17" t="s">
        <v>204</v>
      </c>
      <c r="AB252" s="17" t="s">
        <v>41</v>
      </c>
      <c r="AC252" s="0" t="str">
        <f aca="false">LEFT(G252,2)</f>
        <v>98</v>
      </c>
      <c r="AD252" s="0"/>
      <c r="AE252" s="21" t="s">
        <v>42</v>
      </c>
    </row>
    <row r="253" customFormat="false" ht="15" hidden="false" customHeight="false" outlineLevel="0" collapsed="false">
      <c r="A253" s="13" t="n">
        <f aca="false">1+A252</f>
        <v>251</v>
      </c>
      <c r="B253" s="17" t="n">
        <v>1009546901</v>
      </c>
      <c r="C253" s="17" t="s">
        <v>126</v>
      </c>
      <c r="D253" s="17" t="s">
        <v>64</v>
      </c>
      <c r="E253" s="17" t="s">
        <v>64</v>
      </c>
      <c r="F253" s="18" t="s">
        <v>70</v>
      </c>
      <c r="G253" s="19" t="n">
        <v>987097112385</v>
      </c>
      <c r="H253" s="17" t="s">
        <v>134</v>
      </c>
      <c r="I253" s="17" t="s">
        <v>44</v>
      </c>
      <c r="J253" s="17" t="s">
        <v>106</v>
      </c>
      <c r="K253" s="17" t="str">
        <f aca="false">VLOOKUP(J253,Sheet2!A:B,2,0)</f>
        <v>PRAKASH CHAVDA</v>
      </c>
      <c r="L253" s="17" t="n">
        <v>5</v>
      </c>
      <c r="M253" s="17" t="str">
        <f aca="false">VLOOKUP(L253,Sheet2!D:E,2,0)</f>
        <v>Main Processor CPU BGA</v>
      </c>
      <c r="N253" s="17" t="n">
        <v>1</v>
      </c>
      <c r="O253" s="17" t="str">
        <f aca="false">VLOOKUP(N253,Sheet2!G:H,2,0)</f>
        <v>Dead</v>
      </c>
      <c r="P253" s="17" t="n">
        <v>12</v>
      </c>
      <c r="Q253" s="17" t="str">
        <f aca="false">VLOOKUP(P253,Sheet2!J:K,2,0)</f>
        <v>IR Declared due to Others ( IR Normal)TB</v>
      </c>
      <c r="R253" s="17" t="s">
        <v>35</v>
      </c>
      <c r="S253" s="17" t="str">
        <f aca="false">VLOOKUP(R253,Sheet2!N:O,2,0)</f>
        <v>IREPARABLE</v>
      </c>
      <c r="T253" s="18" t="str">
        <f aca="false">VLOOKUP(P253,Sheet2!Q:R,2,0)</f>
        <v>IR Normal - BER to IR</v>
      </c>
      <c r="U253" s="20" t="s">
        <v>135</v>
      </c>
      <c r="V253" s="17" t="n">
        <v>12</v>
      </c>
      <c r="W253" s="20" t="str">
        <f aca="false">VLOOKUP(V253,Sheet2!Q:R,2,0)</f>
        <v>IR Normal - BER to IR</v>
      </c>
      <c r="X253" s="17" t="str">
        <f aca="false">J253</f>
        <v>A018</v>
      </c>
      <c r="Y253" s="17" t="str">
        <f aca="false">VLOOKUP(X253,Sheet2!A:B,2,0)</f>
        <v>PRAKASH CHAVDA</v>
      </c>
      <c r="Z253" s="17" t="s">
        <v>141</v>
      </c>
      <c r="AA253" s="17" t="s">
        <v>204</v>
      </c>
      <c r="AB253" s="17" t="s">
        <v>41</v>
      </c>
      <c r="AC253" s="0" t="str">
        <f aca="false">LEFT(G253,2)</f>
        <v>98</v>
      </c>
      <c r="AD253" s="0"/>
      <c r="AE253" s="21" t="s">
        <v>42</v>
      </c>
    </row>
    <row r="254" customFormat="false" ht="15" hidden="false" customHeight="false" outlineLevel="0" collapsed="false">
      <c r="A254" s="13" t="n">
        <f aca="false">1+A253</f>
        <v>252</v>
      </c>
      <c r="B254" s="17" t="n">
        <v>1009681076</v>
      </c>
      <c r="C254" s="17" t="s">
        <v>104</v>
      </c>
      <c r="D254" s="17" t="s">
        <v>56</v>
      </c>
      <c r="E254" s="17" t="s">
        <v>47</v>
      </c>
      <c r="F254" s="18" t="s">
        <v>34</v>
      </c>
      <c r="G254" s="19" t="n">
        <v>985309132233</v>
      </c>
      <c r="H254" s="17" t="s">
        <v>134</v>
      </c>
      <c r="I254" s="17" t="s">
        <v>44</v>
      </c>
      <c r="J254" s="17" t="s">
        <v>106</v>
      </c>
      <c r="K254" s="17" t="str">
        <f aca="false">VLOOKUP(J254,Sheet2!A:B,2,0)</f>
        <v>PRAKASH CHAVDA</v>
      </c>
      <c r="L254" s="17" t="n">
        <v>5</v>
      </c>
      <c r="M254" s="17" t="str">
        <f aca="false">VLOOKUP(L254,Sheet2!D:E,2,0)</f>
        <v>Main Processor CPU BGA</v>
      </c>
      <c r="N254" s="17" t="n">
        <v>24</v>
      </c>
      <c r="O254" s="17" t="str">
        <f aca="false">VLOOKUP(N254,Sheet2!G:H,2,0)</f>
        <v>STB Auto moving -Stand by mode</v>
      </c>
      <c r="P254" s="17" t="n">
        <v>12</v>
      </c>
      <c r="Q254" s="17" t="str">
        <f aca="false">VLOOKUP(P254,Sheet2!J:K,2,0)</f>
        <v>IR Declared due to Others ( IR Normal)TB</v>
      </c>
      <c r="R254" s="17" t="s">
        <v>35</v>
      </c>
      <c r="S254" s="17" t="str">
        <f aca="false">VLOOKUP(R254,Sheet2!N:O,2,0)</f>
        <v>IREPARABLE</v>
      </c>
      <c r="T254" s="18" t="str">
        <f aca="false">VLOOKUP(P254,Sheet2!Q:R,2,0)</f>
        <v>IR Normal - BER to IR</v>
      </c>
      <c r="U254" s="20" t="s">
        <v>135</v>
      </c>
      <c r="V254" s="17" t="n">
        <v>12</v>
      </c>
      <c r="W254" s="20" t="str">
        <f aca="false">VLOOKUP(V254,Sheet2!Q:R,2,0)</f>
        <v>IR Normal - BER to IR</v>
      </c>
      <c r="X254" s="17" t="str">
        <f aca="false">J254</f>
        <v>A018</v>
      </c>
      <c r="Y254" s="17" t="str">
        <f aca="false">VLOOKUP(X254,Sheet2!A:B,2,0)</f>
        <v>PRAKASH CHAVDA</v>
      </c>
      <c r="Z254" s="17" t="s">
        <v>141</v>
      </c>
      <c r="AA254" s="17" t="s">
        <v>204</v>
      </c>
      <c r="AB254" s="17" t="s">
        <v>41</v>
      </c>
      <c r="AC254" s="0" t="str">
        <f aca="false">LEFT(G254,2)</f>
        <v>98</v>
      </c>
      <c r="AD254" s="0"/>
      <c r="AE254" s="21" t="s">
        <v>42</v>
      </c>
    </row>
    <row r="255" customFormat="false" ht="15" hidden="false" customHeight="false" outlineLevel="0" collapsed="false">
      <c r="A255" s="13" t="n">
        <f aca="false">1+A254</f>
        <v>253</v>
      </c>
      <c r="B255" s="17" t="n">
        <v>1009616676</v>
      </c>
      <c r="C255" s="17" t="s">
        <v>184</v>
      </c>
      <c r="D255" s="17" t="s">
        <v>154</v>
      </c>
      <c r="E255" s="17" t="s">
        <v>91</v>
      </c>
      <c r="F255" s="18" t="s">
        <v>92</v>
      </c>
      <c r="G255" s="19" t="n">
        <v>987278109150</v>
      </c>
      <c r="H255" s="17" t="s">
        <v>134</v>
      </c>
      <c r="I255" s="17" t="s">
        <v>44</v>
      </c>
      <c r="J255" s="17" t="s">
        <v>106</v>
      </c>
      <c r="K255" s="17" t="str">
        <f aca="false">VLOOKUP(J255,Sheet2!A:B,2,0)</f>
        <v>PRAKASH CHAVDA</v>
      </c>
      <c r="L255" s="17" t="n">
        <v>5</v>
      </c>
      <c r="M255" s="17" t="str">
        <f aca="false">VLOOKUP(L255,Sheet2!D:E,2,0)</f>
        <v>Main Processor CPU BGA</v>
      </c>
      <c r="N255" s="17" t="n">
        <v>6</v>
      </c>
      <c r="O255" s="17" t="str">
        <f aca="false">VLOOKUP(N255,Sheet2!G:H,2,0)</f>
        <v>No Signal</v>
      </c>
      <c r="P255" s="17" t="n">
        <v>12</v>
      </c>
      <c r="Q255" s="17" t="str">
        <f aca="false">VLOOKUP(P255,Sheet2!J:K,2,0)</f>
        <v>IR Declared due to Others ( IR Normal)TB</v>
      </c>
      <c r="R255" s="17" t="s">
        <v>35</v>
      </c>
      <c r="S255" s="17" t="str">
        <f aca="false">VLOOKUP(R255,Sheet2!N:O,2,0)</f>
        <v>IREPARABLE</v>
      </c>
      <c r="T255" s="18" t="str">
        <f aca="false">VLOOKUP(P255,Sheet2!Q:R,2,0)</f>
        <v>IR Normal - BER to IR</v>
      </c>
      <c r="U255" s="20" t="s">
        <v>135</v>
      </c>
      <c r="V255" s="17" t="n">
        <v>12</v>
      </c>
      <c r="W255" s="20" t="str">
        <f aca="false">VLOOKUP(V255,Sheet2!Q:R,2,0)</f>
        <v>IR Normal - BER to IR</v>
      </c>
      <c r="X255" s="17" t="str">
        <f aca="false">J255</f>
        <v>A018</v>
      </c>
      <c r="Y255" s="17" t="str">
        <f aca="false">VLOOKUP(X255,Sheet2!A:B,2,0)</f>
        <v>PRAKASH CHAVDA</v>
      </c>
      <c r="Z255" s="17" t="s">
        <v>141</v>
      </c>
      <c r="AA255" s="17" t="s">
        <v>204</v>
      </c>
      <c r="AB255" s="17" t="s">
        <v>41</v>
      </c>
      <c r="AC255" s="0" t="str">
        <f aca="false">LEFT(G255,2)</f>
        <v>98</v>
      </c>
      <c r="AD255" s="0"/>
      <c r="AE255" s="21" t="s">
        <v>42</v>
      </c>
    </row>
    <row r="256" customFormat="false" ht="15" hidden="false" customHeight="false" outlineLevel="0" collapsed="false">
      <c r="A256" s="13" t="n">
        <f aca="false">1+A255</f>
        <v>254</v>
      </c>
      <c r="B256" s="17" t="n">
        <v>1009610726</v>
      </c>
      <c r="C256" s="17" t="s">
        <v>181</v>
      </c>
      <c r="D256" s="17" t="s">
        <v>206</v>
      </c>
      <c r="E256" s="17" t="s">
        <v>47</v>
      </c>
      <c r="F256" s="18" t="s">
        <v>34</v>
      </c>
      <c r="G256" s="19" t="n">
        <v>987231196971</v>
      </c>
      <c r="H256" s="17" t="s">
        <v>134</v>
      </c>
      <c r="I256" s="17" t="s">
        <v>44</v>
      </c>
      <c r="J256" s="17" t="s">
        <v>106</v>
      </c>
      <c r="K256" s="17" t="str">
        <f aca="false">VLOOKUP(J256,Sheet2!A:B,2,0)</f>
        <v>PRAKASH CHAVDA</v>
      </c>
      <c r="L256" s="17" t="n">
        <v>5</v>
      </c>
      <c r="M256" s="17" t="str">
        <f aca="false">VLOOKUP(L256,Sheet2!D:E,2,0)</f>
        <v>Main Processor CPU BGA</v>
      </c>
      <c r="N256" s="17" t="n">
        <v>1</v>
      </c>
      <c r="O256" s="17" t="str">
        <f aca="false">VLOOKUP(N256,Sheet2!G:H,2,0)</f>
        <v>Dead</v>
      </c>
      <c r="P256" s="17" t="n">
        <v>12</v>
      </c>
      <c r="Q256" s="17" t="str">
        <f aca="false">VLOOKUP(P256,Sheet2!J:K,2,0)</f>
        <v>IR Declared due to Others ( IR Normal)TB</v>
      </c>
      <c r="R256" s="17" t="s">
        <v>35</v>
      </c>
      <c r="S256" s="17" t="str">
        <f aca="false">VLOOKUP(R256,Sheet2!N:O,2,0)</f>
        <v>IREPARABLE</v>
      </c>
      <c r="T256" s="18" t="str">
        <f aca="false">VLOOKUP(P256,Sheet2!Q:R,2,0)</f>
        <v>IR Normal - BER to IR</v>
      </c>
      <c r="U256" s="20" t="s">
        <v>135</v>
      </c>
      <c r="V256" s="17" t="n">
        <v>12</v>
      </c>
      <c r="W256" s="20" t="str">
        <f aca="false">VLOOKUP(V256,Sheet2!Q:R,2,0)</f>
        <v>IR Normal - BER to IR</v>
      </c>
      <c r="X256" s="17" t="str">
        <f aca="false">J256</f>
        <v>A018</v>
      </c>
      <c r="Y256" s="17" t="str">
        <f aca="false">VLOOKUP(X256,Sheet2!A:B,2,0)</f>
        <v>PRAKASH CHAVDA</v>
      </c>
      <c r="Z256" s="17" t="s">
        <v>141</v>
      </c>
      <c r="AA256" s="17" t="s">
        <v>204</v>
      </c>
      <c r="AB256" s="17" t="s">
        <v>41</v>
      </c>
      <c r="AC256" s="0" t="str">
        <f aca="false">LEFT(G256,2)</f>
        <v>98</v>
      </c>
      <c r="AD256" s="0"/>
      <c r="AE256" s="21" t="s">
        <v>42</v>
      </c>
    </row>
    <row r="257" customFormat="false" ht="15" hidden="false" customHeight="false" outlineLevel="0" collapsed="false">
      <c r="A257" s="13" t="n">
        <f aca="false">1+A256</f>
        <v>255</v>
      </c>
      <c r="B257" s="17" t="n">
        <v>1009610432</v>
      </c>
      <c r="C257" s="17" t="s">
        <v>181</v>
      </c>
      <c r="D257" s="17" t="s">
        <v>206</v>
      </c>
      <c r="E257" s="17" t="s">
        <v>47</v>
      </c>
      <c r="F257" s="18" t="s">
        <v>34</v>
      </c>
      <c r="G257" s="19" t="n">
        <v>987266133907</v>
      </c>
      <c r="H257" s="17" t="s">
        <v>134</v>
      </c>
      <c r="I257" s="17" t="s">
        <v>44</v>
      </c>
      <c r="J257" s="17" t="s">
        <v>106</v>
      </c>
      <c r="K257" s="17" t="str">
        <f aca="false">VLOOKUP(J257,Sheet2!A:B,2,0)</f>
        <v>PRAKASH CHAVDA</v>
      </c>
      <c r="L257" s="17" t="n">
        <v>5</v>
      </c>
      <c r="M257" s="17" t="str">
        <f aca="false">VLOOKUP(L257,Sheet2!D:E,2,0)</f>
        <v>Main Processor CPU BGA</v>
      </c>
      <c r="N257" s="17" t="n">
        <v>24</v>
      </c>
      <c r="O257" s="17" t="str">
        <f aca="false">VLOOKUP(N257,Sheet2!G:H,2,0)</f>
        <v>STB Auto moving -Stand by mode</v>
      </c>
      <c r="P257" s="17" t="n">
        <v>12</v>
      </c>
      <c r="Q257" s="17" t="str">
        <f aca="false">VLOOKUP(P257,Sheet2!J:K,2,0)</f>
        <v>IR Declared due to Others ( IR Normal)TB</v>
      </c>
      <c r="R257" s="17" t="s">
        <v>35</v>
      </c>
      <c r="S257" s="17" t="str">
        <f aca="false">VLOOKUP(R257,Sheet2!N:O,2,0)</f>
        <v>IREPARABLE</v>
      </c>
      <c r="T257" s="18" t="str">
        <f aca="false">VLOOKUP(P257,Sheet2!Q:R,2,0)</f>
        <v>IR Normal - BER to IR</v>
      </c>
      <c r="U257" s="20" t="s">
        <v>135</v>
      </c>
      <c r="V257" s="17" t="n">
        <v>12</v>
      </c>
      <c r="W257" s="20" t="str">
        <f aca="false">VLOOKUP(V257,Sheet2!Q:R,2,0)</f>
        <v>IR Normal - BER to IR</v>
      </c>
      <c r="X257" s="17" t="str">
        <f aca="false">J257</f>
        <v>A018</v>
      </c>
      <c r="Y257" s="17" t="str">
        <f aca="false">VLOOKUP(X257,Sheet2!A:B,2,0)</f>
        <v>PRAKASH CHAVDA</v>
      </c>
      <c r="Z257" s="17" t="s">
        <v>141</v>
      </c>
      <c r="AA257" s="17" t="s">
        <v>204</v>
      </c>
      <c r="AB257" s="17" t="s">
        <v>41</v>
      </c>
      <c r="AC257" s="0" t="str">
        <f aca="false">LEFT(G257,2)</f>
        <v>98</v>
      </c>
      <c r="AD257" s="0"/>
      <c r="AE257" s="21" t="s">
        <v>42</v>
      </c>
    </row>
    <row r="258" customFormat="false" ht="15" hidden="false" customHeight="false" outlineLevel="0" collapsed="false">
      <c r="A258" s="13" t="n">
        <f aca="false">1+A257</f>
        <v>256</v>
      </c>
      <c r="B258" s="17" t="n">
        <v>1009567356</v>
      </c>
      <c r="C258" s="17" t="s">
        <v>102</v>
      </c>
      <c r="D258" s="17" t="s">
        <v>167</v>
      </c>
      <c r="E258" s="17" t="s">
        <v>47</v>
      </c>
      <c r="F258" s="18" t="s">
        <v>34</v>
      </c>
      <c r="G258" s="19" t="n">
        <v>987097106858</v>
      </c>
      <c r="H258" s="17" t="s">
        <v>134</v>
      </c>
      <c r="I258" s="17" t="s">
        <v>44</v>
      </c>
      <c r="J258" s="17" t="s">
        <v>106</v>
      </c>
      <c r="K258" s="17" t="str">
        <f aca="false">VLOOKUP(J258,Sheet2!A:B,2,0)</f>
        <v>PRAKASH CHAVDA</v>
      </c>
      <c r="L258" s="17" t="n">
        <v>5</v>
      </c>
      <c r="M258" s="17" t="str">
        <f aca="false">VLOOKUP(L258,Sheet2!D:E,2,0)</f>
        <v>Main Processor CPU BGA</v>
      </c>
      <c r="N258" s="17" t="n">
        <v>28</v>
      </c>
      <c r="O258" s="17" t="str">
        <f aca="false">VLOOKUP(N258,Sheet2!G:H,2,0)</f>
        <v>Hang and Freeze video - AV</v>
      </c>
      <c r="P258" s="17" t="n">
        <v>12</v>
      </c>
      <c r="Q258" s="17" t="str">
        <f aca="false">VLOOKUP(P258,Sheet2!J:K,2,0)</f>
        <v>IR Declared due to Others ( IR Normal)TB</v>
      </c>
      <c r="R258" s="17" t="s">
        <v>35</v>
      </c>
      <c r="S258" s="17" t="str">
        <f aca="false">VLOOKUP(R258,Sheet2!N:O,2,0)</f>
        <v>IREPARABLE</v>
      </c>
      <c r="T258" s="18" t="str">
        <f aca="false">VLOOKUP(P258,Sheet2!Q:R,2,0)</f>
        <v>IR Normal - BER to IR</v>
      </c>
      <c r="U258" s="20" t="s">
        <v>135</v>
      </c>
      <c r="V258" s="17" t="n">
        <v>12</v>
      </c>
      <c r="W258" s="20" t="str">
        <f aca="false">VLOOKUP(V258,Sheet2!Q:R,2,0)</f>
        <v>IR Normal - BER to IR</v>
      </c>
      <c r="X258" s="17" t="str">
        <f aca="false">J258</f>
        <v>A018</v>
      </c>
      <c r="Y258" s="17" t="str">
        <f aca="false">VLOOKUP(X258,Sheet2!A:B,2,0)</f>
        <v>PRAKASH CHAVDA</v>
      </c>
      <c r="Z258" s="17" t="s">
        <v>141</v>
      </c>
      <c r="AA258" s="17" t="s">
        <v>204</v>
      </c>
      <c r="AB258" s="17" t="s">
        <v>41</v>
      </c>
      <c r="AC258" s="0" t="str">
        <f aca="false">LEFT(G258,2)</f>
        <v>98</v>
      </c>
      <c r="AD258" s="0"/>
      <c r="AE258" s="21" t="s">
        <v>42</v>
      </c>
    </row>
    <row r="259" customFormat="false" ht="15" hidden="false" customHeight="false" outlineLevel="0" collapsed="false">
      <c r="A259" s="13" t="n">
        <f aca="false">1+A258</f>
        <v>257</v>
      </c>
      <c r="B259" s="17" t="n">
        <v>1009529523</v>
      </c>
      <c r="C259" s="17" t="s">
        <v>174</v>
      </c>
      <c r="D259" s="17" t="s">
        <v>64</v>
      </c>
      <c r="E259" s="17" t="s">
        <v>64</v>
      </c>
      <c r="F259" s="18" t="s">
        <v>70</v>
      </c>
      <c r="G259" s="19" t="n">
        <v>985311252987</v>
      </c>
      <c r="H259" s="17" t="s">
        <v>134</v>
      </c>
      <c r="I259" s="17" t="s">
        <v>44</v>
      </c>
      <c r="J259" s="17" t="s">
        <v>106</v>
      </c>
      <c r="K259" s="17" t="str">
        <f aca="false">VLOOKUP(J259,Sheet2!A:B,2,0)</f>
        <v>PRAKASH CHAVDA</v>
      </c>
      <c r="L259" s="17" t="n">
        <v>5</v>
      </c>
      <c r="M259" s="17" t="str">
        <f aca="false">VLOOKUP(L259,Sheet2!D:E,2,0)</f>
        <v>Main Processor CPU BGA</v>
      </c>
      <c r="N259" s="17" t="n">
        <v>1</v>
      </c>
      <c r="O259" s="17" t="str">
        <f aca="false">VLOOKUP(N259,Sheet2!G:H,2,0)</f>
        <v>Dead</v>
      </c>
      <c r="P259" s="17" t="n">
        <v>12</v>
      </c>
      <c r="Q259" s="17" t="str">
        <f aca="false">VLOOKUP(P259,Sheet2!J:K,2,0)</f>
        <v>IR Declared due to Others ( IR Normal)TB</v>
      </c>
      <c r="R259" s="17" t="s">
        <v>35</v>
      </c>
      <c r="S259" s="17" t="str">
        <f aca="false">VLOOKUP(R259,Sheet2!N:O,2,0)</f>
        <v>IREPARABLE</v>
      </c>
      <c r="T259" s="18" t="str">
        <f aca="false">VLOOKUP(P259,Sheet2!Q:R,2,0)</f>
        <v>IR Normal - BER to IR</v>
      </c>
      <c r="U259" s="20" t="s">
        <v>135</v>
      </c>
      <c r="V259" s="17" t="n">
        <v>12</v>
      </c>
      <c r="W259" s="20" t="str">
        <f aca="false">VLOOKUP(V259,Sheet2!Q:R,2,0)</f>
        <v>IR Normal - BER to IR</v>
      </c>
      <c r="X259" s="17" t="str">
        <f aca="false">J259</f>
        <v>A018</v>
      </c>
      <c r="Y259" s="17" t="str">
        <f aca="false">VLOOKUP(X259,Sheet2!A:B,2,0)</f>
        <v>PRAKASH CHAVDA</v>
      </c>
      <c r="Z259" s="17" t="s">
        <v>141</v>
      </c>
      <c r="AA259" s="17" t="s">
        <v>204</v>
      </c>
      <c r="AB259" s="17" t="s">
        <v>41</v>
      </c>
      <c r="AC259" s="0" t="str">
        <f aca="false">LEFT(G259,2)</f>
        <v>98</v>
      </c>
      <c r="AD259" s="0"/>
      <c r="AE259" s="21" t="s">
        <v>42</v>
      </c>
    </row>
    <row r="260" customFormat="false" ht="15" hidden="false" customHeight="false" outlineLevel="0" collapsed="false">
      <c r="A260" s="13" t="n">
        <f aca="false">1+A259</f>
        <v>258</v>
      </c>
      <c r="B260" s="17" t="n">
        <v>1009610552</v>
      </c>
      <c r="C260" s="17" t="s">
        <v>181</v>
      </c>
      <c r="D260" s="17" t="s">
        <v>167</v>
      </c>
      <c r="E260" s="17" t="s">
        <v>47</v>
      </c>
      <c r="F260" s="18" t="s">
        <v>34</v>
      </c>
      <c r="G260" s="19" t="n">
        <v>985274222084</v>
      </c>
      <c r="H260" s="17" t="s">
        <v>134</v>
      </c>
      <c r="I260" s="17" t="s">
        <v>44</v>
      </c>
      <c r="J260" s="17" t="s">
        <v>106</v>
      </c>
      <c r="K260" s="17" t="str">
        <f aca="false">VLOOKUP(J260,Sheet2!A:B,2,0)</f>
        <v>PRAKASH CHAVDA</v>
      </c>
      <c r="L260" s="17" t="n">
        <v>5</v>
      </c>
      <c r="M260" s="17" t="str">
        <f aca="false">VLOOKUP(L260,Sheet2!D:E,2,0)</f>
        <v>Main Processor CPU BGA</v>
      </c>
      <c r="N260" s="17" t="n">
        <v>24</v>
      </c>
      <c r="O260" s="17" t="str">
        <f aca="false">VLOOKUP(N260,Sheet2!G:H,2,0)</f>
        <v>STB Auto moving -Stand by mode</v>
      </c>
      <c r="P260" s="17" t="n">
        <v>12</v>
      </c>
      <c r="Q260" s="17" t="str">
        <f aca="false">VLOOKUP(P260,Sheet2!J:K,2,0)</f>
        <v>IR Declared due to Others ( IR Normal)TB</v>
      </c>
      <c r="R260" s="17" t="s">
        <v>35</v>
      </c>
      <c r="S260" s="17" t="str">
        <f aca="false">VLOOKUP(R260,Sheet2!N:O,2,0)</f>
        <v>IREPARABLE</v>
      </c>
      <c r="T260" s="18" t="str">
        <f aca="false">VLOOKUP(P260,Sheet2!Q:R,2,0)</f>
        <v>IR Normal - BER to IR</v>
      </c>
      <c r="U260" s="20" t="s">
        <v>135</v>
      </c>
      <c r="V260" s="17" t="n">
        <v>12</v>
      </c>
      <c r="W260" s="20" t="str">
        <f aca="false">VLOOKUP(V260,Sheet2!Q:R,2,0)</f>
        <v>IR Normal - BER to IR</v>
      </c>
      <c r="X260" s="17" t="str">
        <f aca="false">J260</f>
        <v>A018</v>
      </c>
      <c r="Y260" s="17" t="str">
        <f aca="false">VLOOKUP(X260,Sheet2!A:B,2,0)</f>
        <v>PRAKASH CHAVDA</v>
      </c>
      <c r="Z260" s="17" t="s">
        <v>141</v>
      </c>
      <c r="AA260" s="17" t="s">
        <v>204</v>
      </c>
      <c r="AB260" s="17" t="s">
        <v>41</v>
      </c>
      <c r="AC260" s="0" t="str">
        <f aca="false">LEFT(G260,2)</f>
        <v>98</v>
      </c>
      <c r="AD260" s="0"/>
      <c r="AE260" s="21" t="s">
        <v>42</v>
      </c>
    </row>
    <row r="261" customFormat="false" ht="15" hidden="false" customHeight="false" outlineLevel="0" collapsed="false">
      <c r="A261" s="13" t="n">
        <f aca="false">1+A260</f>
        <v>259</v>
      </c>
      <c r="B261" s="17" t="n">
        <v>1009562111</v>
      </c>
      <c r="C261" s="17" t="s">
        <v>192</v>
      </c>
      <c r="D261" s="17" t="s">
        <v>206</v>
      </c>
      <c r="E261" s="17" t="s">
        <v>47</v>
      </c>
      <c r="F261" s="18" t="s">
        <v>34</v>
      </c>
      <c r="G261" s="19" t="n">
        <v>987096155922</v>
      </c>
      <c r="H261" s="17" t="s">
        <v>134</v>
      </c>
      <c r="I261" s="17" t="s">
        <v>44</v>
      </c>
      <c r="J261" s="17" t="s">
        <v>106</v>
      </c>
      <c r="K261" s="17" t="str">
        <f aca="false">VLOOKUP(J261,Sheet2!A:B,2,0)</f>
        <v>PRAKASH CHAVDA</v>
      </c>
      <c r="L261" s="17" t="n">
        <v>5</v>
      </c>
      <c r="M261" s="17" t="str">
        <f aca="false">VLOOKUP(L261,Sheet2!D:E,2,0)</f>
        <v>Main Processor CPU BGA</v>
      </c>
      <c r="N261" s="17" t="n">
        <v>24</v>
      </c>
      <c r="O261" s="17" t="str">
        <f aca="false">VLOOKUP(N261,Sheet2!G:H,2,0)</f>
        <v>STB Auto moving -Stand by mode</v>
      </c>
      <c r="P261" s="17" t="n">
        <v>12</v>
      </c>
      <c r="Q261" s="17" t="str">
        <f aca="false">VLOOKUP(P261,Sheet2!J:K,2,0)</f>
        <v>IR Declared due to Others ( IR Normal)TB</v>
      </c>
      <c r="R261" s="17" t="s">
        <v>35</v>
      </c>
      <c r="S261" s="17" t="str">
        <f aca="false">VLOOKUP(R261,Sheet2!N:O,2,0)</f>
        <v>IREPARABLE</v>
      </c>
      <c r="T261" s="18" t="str">
        <f aca="false">VLOOKUP(P261,Sheet2!Q:R,2,0)</f>
        <v>IR Normal - BER to IR</v>
      </c>
      <c r="U261" s="20" t="s">
        <v>135</v>
      </c>
      <c r="V261" s="17" t="n">
        <v>12</v>
      </c>
      <c r="W261" s="20" t="str">
        <f aca="false">VLOOKUP(V261,Sheet2!Q:R,2,0)</f>
        <v>IR Normal - BER to IR</v>
      </c>
      <c r="X261" s="17" t="str">
        <f aca="false">J261</f>
        <v>A018</v>
      </c>
      <c r="Y261" s="17" t="str">
        <f aca="false">VLOOKUP(X261,Sheet2!A:B,2,0)</f>
        <v>PRAKASH CHAVDA</v>
      </c>
      <c r="Z261" s="17" t="s">
        <v>141</v>
      </c>
      <c r="AA261" s="17" t="s">
        <v>204</v>
      </c>
      <c r="AB261" s="17" t="s">
        <v>41</v>
      </c>
      <c r="AC261" s="0" t="str">
        <f aca="false">LEFT(G261,2)</f>
        <v>98</v>
      </c>
      <c r="AD261" s="0"/>
      <c r="AE261" s="21" t="s">
        <v>42</v>
      </c>
    </row>
    <row r="262" customFormat="false" ht="15" hidden="false" customHeight="false" outlineLevel="0" collapsed="false">
      <c r="A262" s="13" t="n">
        <f aca="false">1+A261</f>
        <v>260</v>
      </c>
      <c r="B262" s="17" t="n">
        <v>1009615883</v>
      </c>
      <c r="C262" s="17" t="s">
        <v>184</v>
      </c>
      <c r="D262" s="17" t="s">
        <v>64</v>
      </c>
      <c r="E262" s="17" t="s">
        <v>91</v>
      </c>
      <c r="F262" s="18" t="s">
        <v>92</v>
      </c>
      <c r="G262" s="19" t="n">
        <v>986125287979</v>
      </c>
      <c r="H262" s="17" t="s">
        <v>134</v>
      </c>
      <c r="I262" s="17" t="s">
        <v>44</v>
      </c>
      <c r="J262" s="17" t="s">
        <v>106</v>
      </c>
      <c r="K262" s="17" t="str">
        <f aca="false">VLOOKUP(J262,Sheet2!A:B,2,0)</f>
        <v>PRAKASH CHAVDA</v>
      </c>
      <c r="L262" s="17" t="n">
        <v>5</v>
      </c>
      <c r="M262" s="17" t="str">
        <f aca="false">VLOOKUP(L262,Sheet2!D:E,2,0)</f>
        <v>Main Processor CPU BGA</v>
      </c>
      <c r="N262" s="17" t="n">
        <v>24</v>
      </c>
      <c r="O262" s="17" t="str">
        <f aca="false">VLOOKUP(N262,Sheet2!G:H,2,0)</f>
        <v>STB Auto moving -Stand by mode</v>
      </c>
      <c r="P262" s="17" t="n">
        <v>12</v>
      </c>
      <c r="Q262" s="17" t="str">
        <f aca="false">VLOOKUP(P262,Sheet2!J:K,2,0)</f>
        <v>IR Declared due to Others ( IR Normal)TB</v>
      </c>
      <c r="R262" s="17" t="s">
        <v>35</v>
      </c>
      <c r="S262" s="17" t="str">
        <f aca="false">VLOOKUP(R262,Sheet2!N:O,2,0)</f>
        <v>IREPARABLE</v>
      </c>
      <c r="T262" s="18" t="str">
        <f aca="false">VLOOKUP(P262,Sheet2!Q:R,2,0)</f>
        <v>IR Normal - BER to IR</v>
      </c>
      <c r="U262" s="20" t="s">
        <v>135</v>
      </c>
      <c r="V262" s="17" t="n">
        <v>12</v>
      </c>
      <c r="W262" s="20" t="str">
        <f aca="false">VLOOKUP(V262,Sheet2!Q:R,2,0)</f>
        <v>IR Normal - BER to IR</v>
      </c>
      <c r="X262" s="17" t="str">
        <f aca="false">J262</f>
        <v>A018</v>
      </c>
      <c r="Y262" s="17" t="str">
        <f aca="false">VLOOKUP(X262,Sheet2!A:B,2,0)</f>
        <v>PRAKASH CHAVDA</v>
      </c>
      <c r="Z262" s="17" t="s">
        <v>141</v>
      </c>
      <c r="AA262" s="17" t="s">
        <v>204</v>
      </c>
      <c r="AB262" s="17" t="s">
        <v>41</v>
      </c>
      <c r="AC262" s="0" t="str">
        <f aca="false">LEFT(G262,2)</f>
        <v>98</v>
      </c>
      <c r="AD262" s="0"/>
      <c r="AE262" s="21" t="s">
        <v>42</v>
      </c>
    </row>
    <row r="263" customFormat="false" ht="15" hidden="false" customHeight="false" outlineLevel="0" collapsed="false">
      <c r="A263" s="13" t="n">
        <f aca="false">1+A262</f>
        <v>261</v>
      </c>
      <c r="B263" s="17" t="n">
        <v>1009608536</v>
      </c>
      <c r="C263" s="17" t="s">
        <v>181</v>
      </c>
      <c r="D263" s="17" t="s">
        <v>78</v>
      </c>
      <c r="E263" s="17" t="s">
        <v>91</v>
      </c>
      <c r="F263" s="18" t="s">
        <v>92</v>
      </c>
      <c r="G263" s="19" t="n">
        <v>986020171088</v>
      </c>
      <c r="H263" s="17" t="s">
        <v>134</v>
      </c>
      <c r="I263" s="17" t="s">
        <v>44</v>
      </c>
      <c r="J263" s="17" t="s">
        <v>106</v>
      </c>
      <c r="K263" s="17" t="str">
        <f aca="false">VLOOKUP(J263,Sheet2!A:B,2,0)</f>
        <v>PRAKASH CHAVDA</v>
      </c>
      <c r="L263" s="17" t="n">
        <v>5</v>
      </c>
      <c r="M263" s="17" t="str">
        <f aca="false">VLOOKUP(L263,Sheet2!D:E,2,0)</f>
        <v>Main Processor CPU BGA</v>
      </c>
      <c r="N263" s="17" t="n">
        <v>1</v>
      </c>
      <c r="O263" s="17" t="str">
        <f aca="false">VLOOKUP(N263,Sheet2!G:H,2,0)</f>
        <v>Dead</v>
      </c>
      <c r="P263" s="17" t="n">
        <v>12</v>
      </c>
      <c r="Q263" s="17" t="str">
        <f aca="false">VLOOKUP(P263,Sheet2!J:K,2,0)</f>
        <v>IR Declared due to Others ( IR Normal)TB</v>
      </c>
      <c r="R263" s="17" t="s">
        <v>35</v>
      </c>
      <c r="S263" s="17" t="str">
        <f aca="false">VLOOKUP(R263,Sheet2!N:O,2,0)</f>
        <v>IREPARABLE</v>
      </c>
      <c r="T263" s="18" t="str">
        <f aca="false">VLOOKUP(P263,Sheet2!Q:R,2,0)</f>
        <v>IR Normal - BER to IR</v>
      </c>
      <c r="U263" s="20" t="s">
        <v>135</v>
      </c>
      <c r="V263" s="17" t="n">
        <v>12</v>
      </c>
      <c r="W263" s="20" t="str">
        <f aca="false">VLOOKUP(V263,Sheet2!Q:R,2,0)</f>
        <v>IR Normal - BER to IR</v>
      </c>
      <c r="X263" s="17" t="str">
        <f aca="false">J263</f>
        <v>A018</v>
      </c>
      <c r="Y263" s="17" t="str">
        <f aca="false">VLOOKUP(X263,Sheet2!A:B,2,0)</f>
        <v>PRAKASH CHAVDA</v>
      </c>
      <c r="Z263" s="17" t="s">
        <v>141</v>
      </c>
      <c r="AA263" s="17" t="s">
        <v>204</v>
      </c>
      <c r="AB263" s="17" t="s">
        <v>41</v>
      </c>
      <c r="AC263" s="0" t="str">
        <f aca="false">LEFT(G263,2)</f>
        <v>98</v>
      </c>
      <c r="AD263" s="0"/>
      <c r="AE263" s="21" t="s">
        <v>42</v>
      </c>
    </row>
    <row r="264" customFormat="false" ht="15" hidden="false" customHeight="false" outlineLevel="0" collapsed="false">
      <c r="A264" s="13" t="n">
        <f aca="false">1+A263</f>
        <v>262</v>
      </c>
      <c r="B264" s="17" t="n">
        <v>1009615566</v>
      </c>
      <c r="C264" s="17" t="s">
        <v>184</v>
      </c>
      <c r="D264" s="17" t="s">
        <v>64</v>
      </c>
      <c r="E264" s="17" t="s">
        <v>47</v>
      </c>
      <c r="F264" s="18" t="s">
        <v>34</v>
      </c>
      <c r="G264" s="19" t="n">
        <v>987233144136</v>
      </c>
      <c r="H264" s="17" t="s">
        <v>134</v>
      </c>
      <c r="I264" s="17" t="s">
        <v>44</v>
      </c>
      <c r="J264" s="17" t="s">
        <v>106</v>
      </c>
      <c r="K264" s="17" t="str">
        <f aca="false">VLOOKUP(J264,Sheet2!A:B,2,0)</f>
        <v>PRAKASH CHAVDA</v>
      </c>
      <c r="L264" s="17" t="n">
        <v>5</v>
      </c>
      <c r="M264" s="17" t="str">
        <f aca="false">VLOOKUP(L264,Sheet2!D:E,2,0)</f>
        <v>Main Processor CPU BGA</v>
      </c>
      <c r="N264" s="17" t="n">
        <v>24</v>
      </c>
      <c r="O264" s="17" t="str">
        <f aca="false">VLOOKUP(N264,Sheet2!G:H,2,0)</f>
        <v>STB Auto moving -Stand by mode</v>
      </c>
      <c r="P264" s="17" t="n">
        <v>12</v>
      </c>
      <c r="Q264" s="17" t="str">
        <f aca="false">VLOOKUP(P264,Sheet2!J:K,2,0)</f>
        <v>IR Declared due to Others ( IR Normal)TB</v>
      </c>
      <c r="R264" s="17" t="s">
        <v>35</v>
      </c>
      <c r="S264" s="17" t="str">
        <f aca="false">VLOOKUP(R264,Sheet2!N:O,2,0)</f>
        <v>IREPARABLE</v>
      </c>
      <c r="T264" s="18" t="str">
        <f aca="false">VLOOKUP(P264,Sheet2!Q:R,2,0)</f>
        <v>IR Normal - BER to IR</v>
      </c>
      <c r="U264" s="20" t="s">
        <v>135</v>
      </c>
      <c r="V264" s="17" t="n">
        <v>12</v>
      </c>
      <c r="W264" s="20" t="str">
        <f aca="false">VLOOKUP(V264,Sheet2!Q:R,2,0)</f>
        <v>IR Normal - BER to IR</v>
      </c>
      <c r="X264" s="17" t="str">
        <f aca="false">J264</f>
        <v>A018</v>
      </c>
      <c r="Y264" s="17" t="str">
        <f aca="false">VLOOKUP(X264,Sheet2!A:B,2,0)</f>
        <v>PRAKASH CHAVDA</v>
      </c>
      <c r="Z264" s="17" t="s">
        <v>141</v>
      </c>
      <c r="AA264" s="17" t="s">
        <v>204</v>
      </c>
      <c r="AB264" s="17" t="s">
        <v>41</v>
      </c>
      <c r="AC264" s="0" t="str">
        <f aca="false">LEFT(G264,2)</f>
        <v>98</v>
      </c>
      <c r="AD264" s="0"/>
      <c r="AE264" s="21" t="s">
        <v>42</v>
      </c>
    </row>
    <row r="265" customFormat="false" ht="15" hidden="false" customHeight="false" outlineLevel="0" collapsed="false">
      <c r="A265" s="13" t="n">
        <f aca="false">1+A264</f>
        <v>263</v>
      </c>
      <c r="B265" s="17" t="n">
        <v>1009671901</v>
      </c>
      <c r="C265" s="17" t="s">
        <v>104</v>
      </c>
      <c r="D265" s="17" t="s">
        <v>64</v>
      </c>
      <c r="E265" s="17" t="s">
        <v>64</v>
      </c>
      <c r="F265" s="18" t="s">
        <v>70</v>
      </c>
      <c r="G265" s="19" t="n">
        <v>987233265980</v>
      </c>
      <c r="H265" s="17" t="s">
        <v>134</v>
      </c>
      <c r="I265" s="17" t="s">
        <v>44</v>
      </c>
      <c r="J265" s="17" t="s">
        <v>106</v>
      </c>
      <c r="K265" s="17" t="str">
        <f aca="false">VLOOKUP(J265,Sheet2!A:B,2,0)</f>
        <v>PRAKASH CHAVDA</v>
      </c>
      <c r="L265" s="17" t="n">
        <v>5</v>
      </c>
      <c r="M265" s="17" t="str">
        <f aca="false">VLOOKUP(L265,Sheet2!D:E,2,0)</f>
        <v>Main Processor CPU BGA</v>
      </c>
      <c r="N265" s="17" t="n">
        <v>24</v>
      </c>
      <c r="O265" s="17" t="str">
        <f aca="false">VLOOKUP(N265,Sheet2!G:H,2,0)</f>
        <v>STB Auto moving -Stand by mode</v>
      </c>
      <c r="P265" s="17" t="n">
        <v>12</v>
      </c>
      <c r="Q265" s="17" t="str">
        <f aca="false">VLOOKUP(P265,Sheet2!J:K,2,0)</f>
        <v>IR Declared due to Others ( IR Normal)TB</v>
      </c>
      <c r="R265" s="17" t="s">
        <v>35</v>
      </c>
      <c r="S265" s="17" t="str">
        <f aca="false">VLOOKUP(R265,Sheet2!N:O,2,0)</f>
        <v>IREPARABLE</v>
      </c>
      <c r="T265" s="18" t="str">
        <f aca="false">VLOOKUP(P265,Sheet2!Q:R,2,0)</f>
        <v>IR Normal - BER to IR</v>
      </c>
      <c r="U265" s="20" t="s">
        <v>135</v>
      </c>
      <c r="V265" s="17" t="n">
        <v>12</v>
      </c>
      <c r="W265" s="20" t="str">
        <f aca="false">VLOOKUP(V265,Sheet2!Q:R,2,0)</f>
        <v>IR Normal - BER to IR</v>
      </c>
      <c r="X265" s="17" t="str">
        <f aca="false">J265</f>
        <v>A018</v>
      </c>
      <c r="Y265" s="17" t="str">
        <f aca="false">VLOOKUP(X265,Sheet2!A:B,2,0)</f>
        <v>PRAKASH CHAVDA</v>
      </c>
      <c r="Z265" s="17" t="s">
        <v>141</v>
      </c>
      <c r="AA265" s="17" t="s">
        <v>204</v>
      </c>
      <c r="AB265" s="17" t="s">
        <v>41</v>
      </c>
      <c r="AC265" s="0" t="str">
        <f aca="false">LEFT(G265,2)</f>
        <v>98</v>
      </c>
      <c r="AD265" s="0"/>
      <c r="AE265" s="21" t="s">
        <v>42</v>
      </c>
    </row>
    <row r="266" customFormat="false" ht="15" hidden="false" customHeight="false" outlineLevel="0" collapsed="false">
      <c r="A266" s="13" t="n">
        <f aca="false">1+A265</f>
        <v>264</v>
      </c>
      <c r="B266" s="17" t="n">
        <v>1009616241</v>
      </c>
      <c r="C266" s="17" t="s">
        <v>184</v>
      </c>
      <c r="D266" s="17" t="s">
        <v>64</v>
      </c>
      <c r="E266" s="17" t="s">
        <v>91</v>
      </c>
      <c r="F266" s="18" t="s">
        <v>92</v>
      </c>
      <c r="G266" s="19" t="n">
        <v>986127241172</v>
      </c>
      <c r="H266" s="17" t="s">
        <v>134</v>
      </c>
      <c r="I266" s="17" t="s">
        <v>44</v>
      </c>
      <c r="J266" s="17" t="s">
        <v>106</v>
      </c>
      <c r="K266" s="17" t="str">
        <f aca="false">VLOOKUP(J266,Sheet2!A:B,2,0)</f>
        <v>PRAKASH CHAVDA</v>
      </c>
      <c r="L266" s="17" t="n">
        <v>5</v>
      </c>
      <c r="M266" s="17" t="str">
        <f aca="false">VLOOKUP(L266,Sheet2!D:E,2,0)</f>
        <v>Main Processor CPU BGA</v>
      </c>
      <c r="N266" s="17" t="n">
        <v>24</v>
      </c>
      <c r="O266" s="17" t="str">
        <f aca="false">VLOOKUP(N266,Sheet2!G:H,2,0)</f>
        <v>STB Auto moving -Stand by mode</v>
      </c>
      <c r="P266" s="17" t="n">
        <v>12</v>
      </c>
      <c r="Q266" s="17" t="str">
        <f aca="false">VLOOKUP(P266,Sheet2!J:K,2,0)</f>
        <v>IR Declared due to Others ( IR Normal)TB</v>
      </c>
      <c r="R266" s="17" t="s">
        <v>35</v>
      </c>
      <c r="S266" s="17" t="str">
        <f aca="false">VLOOKUP(R266,Sheet2!N:O,2,0)</f>
        <v>IREPARABLE</v>
      </c>
      <c r="T266" s="18" t="str">
        <f aca="false">VLOOKUP(P266,Sheet2!Q:R,2,0)</f>
        <v>IR Normal - BER to IR</v>
      </c>
      <c r="U266" s="20" t="s">
        <v>135</v>
      </c>
      <c r="V266" s="17" t="n">
        <v>12</v>
      </c>
      <c r="W266" s="20" t="str">
        <f aca="false">VLOOKUP(V266,Sheet2!Q:R,2,0)</f>
        <v>IR Normal - BER to IR</v>
      </c>
      <c r="X266" s="17" t="str">
        <f aca="false">J266</f>
        <v>A018</v>
      </c>
      <c r="Y266" s="17" t="str">
        <f aca="false">VLOOKUP(X266,Sheet2!A:B,2,0)</f>
        <v>PRAKASH CHAVDA</v>
      </c>
      <c r="Z266" s="17" t="s">
        <v>141</v>
      </c>
      <c r="AA266" s="17" t="s">
        <v>204</v>
      </c>
      <c r="AB266" s="17" t="s">
        <v>41</v>
      </c>
      <c r="AC266" s="0" t="str">
        <f aca="false">LEFT(G266,2)</f>
        <v>98</v>
      </c>
      <c r="AD266" s="0"/>
      <c r="AE266" s="21" t="s">
        <v>42</v>
      </c>
    </row>
    <row r="267" customFormat="false" ht="15" hidden="false" customHeight="false" outlineLevel="0" collapsed="false">
      <c r="A267" s="13" t="n">
        <f aca="false">1+A266</f>
        <v>265</v>
      </c>
      <c r="B267" s="17" t="n">
        <v>1009610733</v>
      </c>
      <c r="C267" s="17" t="s">
        <v>181</v>
      </c>
      <c r="D267" s="17" t="s">
        <v>64</v>
      </c>
      <c r="E267" s="17" t="s">
        <v>64</v>
      </c>
      <c r="F267" s="18" t="s">
        <v>70</v>
      </c>
      <c r="G267" s="19" t="n">
        <v>986256172701</v>
      </c>
      <c r="H267" s="17" t="s">
        <v>134</v>
      </c>
      <c r="I267" s="17" t="s">
        <v>44</v>
      </c>
      <c r="J267" s="17" t="s">
        <v>106</v>
      </c>
      <c r="K267" s="17" t="str">
        <f aca="false">VLOOKUP(J267,Sheet2!A:B,2,0)</f>
        <v>PRAKASH CHAVDA</v>
      </c>
      <c r="L267" s="17" t="n">
        <v>5</v>
      </c>
      <c r="M267" s="17" t="str">
        <f aca="false">VLOOKUP(L267,Sheet2!D:E,2,0)</f>
        <v>Main Processor CPU BGA</v>
      </c>
      <c r="N267" s="17" t="n">
        <v>1</v>
      </c>
      <c r="O267" s="17" t="str">
        <f aca="false">VLOOKUP(N267,Sheet2!G:H,2,0)</f>
        <v>Dead</v>
      </c>
      <c r="P267" s="17" t="n">
        <v>12</v>
      </c>
      <c r="Q267" s="17" t="str">
        <f aca="false">VLOOKUP(P267,Sheet2!J:K,2,0)</f>
        <v>IR Declared due to Others ( IR Normal)TB</v>
      </c>
      <c r="R267" s="17" t="s">
        <v>35</v>
      </c>
      <c r="S267" s="17" t="str">
        <f aca="false">VLOOKUP(R267,Sheet2!N:O,2,0)</f>
        <v>IREPARABLE</v>
      </c>
      <c r="T267" s="18" t="str">
        <f aca="false">VLOOKUP(P267,Sheet2!Q:R,2,0)</f>
        <v>IR Normal - BER to IR</v>
      </c>
      <c r="U267" s="20" t="s">
        <v>135</v>
      </c>
      <c r="V267" s="17" t="n">
        <v>12</v>
      </c>
      <c r="W267" s="20" t="str">
        <f aca="false">VLOOKUP(V267,Sheet2!Q:R,2,0)</f>
        <v>IR Normal - BER to IR</v>
      </c>
      <c r="X267" s="17" t="str">
        <f aca="false">J267</f>
        <v>A018</v>
      </c>
      <c r="Y267" s="17" t="str">
        <f aca="false">VLOOKUP(X267,Sheet2!A:B,2,0)</f>
        <v>PRAKASH CHAVDA</v>
      </c>
      <c r="Z267" s="17" t="s">
        <v>141</v>
      </c>
      <c r="AA267" s="17" t="s">
        <v>204</v>
      </c>
      <c r="AB267" s="17" t="s">
        <v>41</v>
      </c>
      <c r="AC267" s="0" t="str">
        <f aca="false">LEFT(G267,2)</f>
        <v>98</v>
      </c>
      <c r="AD267" s="0"/>
      <c r="AE267" s="21" t="s">
        <v>42</v>
      </c>
    </row>
    <row r="268" customFormat="false" ht="15" hidden="false" customHeight="false" outlineLevel="0" collapsed="false">
      <c r="A268" s="13" t="n">
        <f aca="false">1+A267</f>
        <v>266</v>
      </c>
      <c r="B268" s="17" t="n">
        <v>1009614170</v>
      </c>
      <c r="C268" s="17" t="s">
        <v>184</v>
      </c>
      <c r="D268" s="17" t="s">
        <v>207</v>
      </c>
      <c r="E268" s="17" t="s">
        <v>208</v>
      </c>
      <c r="F268" s="18" t="s">
        <v>34</v>
      </c>
      <c r="G268" s="19" t="n">
        <v>774338055577</v>
      </c>
      <c r="H268" s="17" t="s">
        <v>134</v>
      </c>
      <c r="I268" s="17" t="s">
        <v>69</v>
      </c>
      <c r="J268" s="17" t="s">
        <v>106</v>
      </c>
      <c r="K268" s="17" t="str">
        <f aca="false">VLOOKUP(J268,Sheet2!A:B,2,0)</f>
        <v>PRAKASH CHAVDA</v>
      </c>
      <c r="L268" s="17" t="n">
        <v>5</v>
      </c>
      <c r="M268" s="17" t="str">
        <f aca="false">VLOOKUP(L268,Sheet2!D:E,2,0)</f>
        <v>Main Processor CPU BGA</v>
      </c>
      <c r="N268" s="17" t="n">
        <v>24</v>
      </c>
      <c r="O268" s="17" t="str">
        <f aca="false">VLOOKUP(N268,Sheet2!G:H,2,0)</f>
        <v>STB Auto moving -Stand by mode</v>
      </c>
      <c r="P268" s="17" t="n">
        <v>12</v>
      </c>
      <c r="Q268" s="17" t="str">
        <f aca="false">VLOOKUP(P268,Sheet2!J:K,2,0)</f>
        <v>IR Declared due to Others ( IR Normal)TB</v>
      </c>
      <c r="R268" s="17" t="s">
        <v>35</v>
      </c>
      <c r="S268" s="17" t="str">
        <f aca="false">VLOOKUP(R268,Sheet2!N:O,2,0)</f>
        <v>IREPARABLE</v>
      </c>
      <c r="T268" s="18" t="str">
        <f aca="false">VLOOKUP(P268,Sheet2!Q:R,2,0)</f>
        <v>IR Normal - BER to IR</v>
      </c>
      <c r="U268" s="20" t="s">
        <v>135</v>
      </c>
      <c r="V268" s="17" t="n">
        <v>12</v>
      </c>
      <c r="W268" s="20" t="str">
        <f aca="false">VLOOKUP(V268,Sheet2!Q:R,2,0)</f>
        <v>IR Normal - BER to IR</v>
      </c>
      <c r="X268" s="17" t="str">
        <f aca="false">J268</f>
        <v>A018</v>
      </c>
      <c r="Y268" s="17" t="str">
        <f aca="false">VLOOKUP(X268,Sheet2!A:B,2,0)</f>
        <v>PRAKASH CHAVDA</v>
      </c>
      <c r="Z268" s="17" t="s">
        <v>136</v>
      </c>
      <c r="AA268" s="17" t="s">
        <v>204</v>
      </c>
      <c r="AB268" s="17" t="s">
        <v>41</v>
      </c>
      <c r="AC268" s="0" t="str">
        <f aca="false">LEFT(G268,2)</f>
        <v>77</v>
      </c>
      <c r="AD268" s="0"/>
      <c r="AE268" s="21" t="s">
        <v>42</v>
      </c>
    </row>
    <row r="269" customFormat="false" ht="15" hidden="false" customHeight="false" outlineLevel="0" collapsed="false">
      <c r="A269" s="13" t="n">
        <f aca="false">1+A268</f>
        <v>267</v>
      </c>
      <c r="B269" s="17" t="n">
        <v>1009674239</v>
      </c>
      <c r="C269" s="17" t="s">
        <v>104</v>
      </c>
      <c r="D269" s="17" t="s">
        <v>175</v>
      </c>
      <c r="E269" s="17" t="s">
        <v>176</v>
      </c>
      <c r="F269" s="18" t="s">
        <v>34</v>
      </c>
      <c r="G269" s="19" t="n">
        <v>774345146930</v>
      </c>
      <c r="H269" s="17" t="s">
        <v>134</v>
      </c>
      <c r="I269" s="17" t="s">
        <v>69</v>
      </c>
      <c r="J269" s="17" t="s">
        <v>106</v>
      </c>
      <c r="K269" s="17" t="str">
        <f aca="false">VLOOKUP(J269,Sheet2!A:B,2,0)</f>
        <v>PRAKASH CHAVDA</v>
      </c>
      <c r="L269" s="17" t="n">
        <v>5</v>
      </c>
      <c r="M269" s="17" t="str">
        <f aca="false">VLOOKUP(L269,Sheet2!D:E,2,0)</f>
        <v>Main Processor CPU BGA</v>
      </c>
      <c r="N269" s="17" t="n">
        <v>1</v>
      </c>
      <c r="O269" s="17" t="str">
        <f aca="false">VLOOKUP(N269,Sheet2!G:H,2,0)</f>
        <v>Dead</v>
      </c>
      <c r="P269" s="17" t="n">
        <v>12</v>
      </c>
      <c r="Q269" s="17" t="str">
        <f aca="false">VLOOKUP(P269,Sheet2!J:K,2,0)</f>
        <v>IR Declared due to Others ( IR Normal)TB</v>
      </c>
      <c r="R269" s="17" t="s">
        <v>35</v>
      </c>
      <c r="S269" s="17" t="str">
        <f aca="false">VLOOKUP(R269,Sheet2!N:O,2,0)</f>
        <v>IREPARABLE</v>
      </c>
      <c r="T269" s="18" t="str">
        <f aca="false">VLOOKUP(P269,Sheet2!Q:R,2,0)</f>
        <v>IR Normal - BER to IR</v>
      </c>
      <c r="U269" s="20" t="s">
        <v>135</v>
      </c>
      <c r="V269" s="17" t="n">
        <v>12</v>
      </c>
      <c r="W269" s="20" t="str">
        <f aca="false">VLOOKUP(V269,Sheet2!Q:R,2,0)</f>
        <v>IR Normal - BER to IR</v>
      </c>
      <c r="X269" s="17" t="str">
        <f aca="false">J269</f>
        <v>A018</v>
      </c>
      <c r="Y269" s="17" t="str">
        <f aca="false">VLOOKUP(X269,Sheet2!A:B,2,0)</f>
        <v>PRAKASH CHAVDA</v>
      </c>
      <c r="Z269" s="17" t="s">
        <v>136</v>
      </c>
      <c r="AA269" s="17" t="s">
        <v>204</v>
      </c>
      <c r="AB269" s="17" t="s">
        <v>41</v>
      </c>
      <c r="AC269" s="0" t="str">
        <f aca="false">LEFT(G269,2)</f>
        <v>77</v>
      </c>
      <c r="AD269" s="0"/>
      <c r="AE269" s="21" t="s">
        <v>42</v>
      </c>
    </row>
    <row r="270" customFormat="false" ht="15" hidden="false" customHeight="false" outlineLevel="0" collapsed="false">
      <c r="A270" s="13" t="n">
        <f aca="false">1+A269</f>
        <v>268</v>
      </c>
      <c r="B270" s="17" t="n">
        <v>1009647957</v>
      </c>
      <c r="C270" s="17" t="s">
        <v>184</v>
      </c>
      <c r="D270" s="17" t="s">
        <v>64</v>
      </c>
      <c r="E270" s="17" t="s">
        <v>33</v>
      </c>
      <c r="F270" s="18" t="s">
        <v>34</v>
      </c>
      <c r="G270" s="19" t="n">
        <v>775329107632</v>
      </c>
      <c r="H270" s="17" t="s">
        <v>134</v>
      </c>
      <c r="I270" s="17" t="s">
        <v>69</v>
      </c>
      <c r="J270" s="17" t="s">
        <v>106</v>
      </c>
      <c r="K270" s="17" t="str">
        <f aca="false">VLOOKUP(J270,Sheet2!A:B,2,0)</f>
        <v>PRAKASH CHAVDA</v>
      </c>
      <c r="L270" s="17" t="n">
        <v>5</v>
      </c>
      <c r="M270" s="17" t="str">
        <f aca="false">VLOOKUP(L270,Sheet2!D:E,2,0)</f>
        <v>Main Processor CPU BGA</v>
      </c>
      <c r="N270" s="17" t="n">
        <v>1</v>
      </c>
      <c r="O270" s="17" t="str">
        <f aca="false">VLOOKUP(N270,Sheet2!G:H,2,0)</f>
        <v>Dead</v>
      </c>
      <c r="P270" s="17" t="n">
        <v>12</v>
      </c>
      <c r="Q270" s="17" t="str">
        <f aca="false">VLOOKUP(P270,Sheet2!J:K,2,0)</f>
        <v>IR Declared due to Others ( IR Normal)TB</v>
      </c>
      <c r="R270" s="17" t="s">
        <v>35</v>
      </c>
      <c r="S270" s="17" t="str">
        <f aca="false">VLOOKUP(R270,Sheet2!N:O,2,0)</f>
        <v>IREPARABLE</v>
      </c>
      <c r="T270" s="18" t="str">
        <f aca="false">VLOOKUP(P270,Sheet2!Q:R,2,0)</f>
        <v>IR Normal - BER to IR</v>
      </c>
      <c r="U270" s="20" t="s">
        <v>135</v>
      </c>
      <c r="V270" s="17" t="n">
        <v>12</v>
      </c>
      <c r="W270" s="20" t="str">
        <f aca="false">VLOOKUP(V270,Sheet2!Q:R,2,0)</f>
        <v>IR Normal - BER to IR</v>
      </c>
      <c r="X270" s="17" t="str">
        <f aca="false">J270</f>
        <v>A018</v>
      </c>
      <c r="Y270" s="17" t="str">
        <f aca="false">VLOOKUP(X270,Sheet2!A:B,2,0)</f>
        <v>PRAKASH CHAVDA</v>
      </c>
      <c r="Z270" s="17" t="s">
        <v>136</v>
      </c>
      <c r="AA270" s="17" t="s">
        <v>204</v>
      </c>
      <c r="AB270" s="17" t="s">
        <v>41</v>
      </c>
      <c r="AC270" s="0" t="str">
        <f aca="false">LEFT(G270,2)</f>
        <v>77</v>
      </c>
      <c r="AD270" s="0"/>
      <c r="AE270" s="21" t="s">
        <v>42</v>
      </c>
    </row>
    <row r="271" customFormat="false" ht="15" hidden="false" customHeight="false" outlineLevel="0" collapsed="false">
      <c r="A271" s="13" t="n">
        <f aca="false">1+A270</f>
        <v>269</v>
      </c>
      <c r="B271" s="17" t="n">
        <v>1009612794</v>
      </c>
      <c r="C271" s="17" t="s">
        <v>184</v>
      </c>
      <c r="D271" s="17" t="s">
        <v>64</v>
      </c>
      <c r="E271" s="17" t="s">
        <v>64</v>
      </c>
      <c r="F271" s="18" t="s">
        <v>70</v>
      </c>
      <c r="G271" s="19" t="n">
        <v>775326117857</v>
      </c>
      <c r="H271" s="17" t="s">
        <v>134</v>
      </c>
      <c r="I271" s="17" t="s">
        <v>69</v>
      </c>
      <c r="J271" s="17" t="s">
        <v>106</v>
      </c>
      <c r="K271" s="17" t="str">
        <f aca="false">VLOOKUP(J271,Sheet2!A:B,2,0)</f>
        <v>PRAKASH CHAVDA</v>
      </c>
      <c r="L271" s="17" t="n">
        <v>1</v>
      </c>
      <c r="M271" s="17" t="str">
        <f aca="false">VLOOKUP(L271,Sheet2!D:E,2,0)</f>
        <v>Power Supply Section</v>
      </c>
      <c r="N271" s="17" t="n">
        <v>1</v>
      </c>
      <c r="O271" s="17" t="str">
        <f aca="false">VLOOKUP(N271,Sheet2!G:H,2,0)</f>
        <v>Dead</v>
      </c>
      <c r="P271" s="17" t="n">
        <v>12</v>
      </c>
      <c r="Q271" s="17" t="str">
        <f aca="false">VLOOKUP(P271,Sheet2!J:K,2,0)</f>
        <v>IR Declared due to Others ( IR Normal)TB</v>
      </c>
      <c r="R271" s="17" t="s">
        <v>35</v>
      </c>
      <c r="S271" s="17" t="str">
        <f aca="false">VLOOKUP(R271,Sheet2!N:O,2,0)</f>
        <v>IREPARABLE</v>
      </c>
      <c r="T271" s="18" t="str">
        <f aca="false">VLOOKUP(P271,Sheet2!Q:R,2,0)</f>
        <v>IR Normal - BER to IR</v>
      </c>
      <c r="U271" s="20" t="s">
        <v>135</v>
      </c>
      <c r="V271" s="17" t="n">
        <v>12</v>
      </c>
      <c r="W271" s="20" t="str">
        <f aca="false">VLOOKUP(V271,Sheet2!Q:R,2,0)</f>
        <v>IR Normal - BER to IR</v>
      </c>
      <c r="X271" s="17" t="str">
        <f aca="false">J271</f>
        <v>A018</v>
      </c>
      <c r="Y271" s="17" t="str">
        <f aca="false">VLOOKUP(X271,Sheet2!A:B,2,0)</f>
        <v>PRAKASH CHAVDA</v>
      </c>
      <c r="Z271" s="17" t="s">
        <v>136</v>
      </c>
      <c r="AA271" s="17" t="s">
        <v>204</v>
      </c>
      <c r="AB271" s="17" t="s">
        <v>41</v>
      </c>
      <c r="AC271" s="0" t="str">
        <f aca="false">LEFT(G271,2)</f>
        <v>77</v>
      </c>
      <c r="AD271" s="0"/>
      <c r="AE271" s="21" t="s">
        <v>42</v>
      </c>
    </row>
    <row r="272" customFormat="false" ht="15" hidden="false" customHeight="false" outlineLevel="0" collapsed="false">
      <c r="A272" s="13" t="n">
        <f aca="false">1+A271</f>
        <v>270</v>
      </c>
      <c r="B272" s="17" t="n">
        <v>1009618709</v>
      </c>
      <c r="C272" s="17" t="s">
        <v>184</v>
      </c>
      <c r="D272" s="17" t="s">
        <v>64</v>
      </c>
      <c r="E272" s="17" t="s">
        <v>64</v>
      </c>
      <c r="F272" s="18" t="s">
        <v>70</v>
      </c>
      <c r="G272" s="19" t="n">
        <v>775173019693</v>
      </c>
      <c r="H272" s="17" t="s">
        <v>134</v>
      </c>
      <c r="I272" s="17" t="s">
        <v>69</v>
      </c>
      <c r="J272" s="17" t="s">
        <v>106</v>
      </c>
      <c r="K272" s="17" t="str">
        <f aca="false">VLOOKUP(J272,Sheet2!A:B,2,0)</f>
        <v>PRAKASH CHAVDA</v>
      </c>
      <c r="L272" s="17" t="n">
        <v>5</v>
      </c>
      <c r="M272" s="17" t="str">
        <f aca="false">VLOOKUP(L272,Sheet2!D:E,2,0)</f>
        <v>Main Processor CPU BGA</v>
      </c>
      <c r="N272" s="17" t="n">
        <v>1</v>
      </c>
      <c r="O272" s="17" t="str">
        <f aca="false">VLOOKUP(N272,Sheet2!G:H,2,0)</f>
        <v>Dead</v>
      </c>
      <c r="P272" s="17" t="n">
        <v>12</v>
      </c>
      <c r="Q272" s="17" t="str">
        <f aca="false">VLOOKUP(P272,Sheet2!J:K,2,0)</f>
        <v>IR Declared due to Others ( IR Normal)TB</v>
      </c>
      <c r="R272" s="17" t="s">
        <v>35</v>
      </c>
      <c r="S272" s="17" t="str">
        <f aca="false">VLOOKUP(R272,Sheet2!N:O,2,0)</f>
        <v>IREPARABLE</v>
      </c>
      <c r="T272" s="18" t="str">
        <f aca="false">VLOOKUP(P272,Sheet2!Q:R,2,0)</f>
        <v>IR Normal - BER to IR</v>
      </c>
      <c r="U272" s="20" t="s">
        <v>135</v>
      </c>
      <c r="V272" s="17" t="n">
        <v>12</v>
      </c>
      <c r="W272" s="20" t="str">
        <f aca="false">VLOOKUP(V272,Sheet2!Q:R,2,0)</f>
        <v>IR Normal - BER to IR</v>
      </c>
      <c r="X272" s="17" t="str">
        <f aca="false">J272</f>
        <v>A018</v>
      </c>
      <c r="Y272" s="17" t="str">
        <f aca="false">VLOOKUP(X272,Sheet2!A:B,2,0)</f>
        <v>PRAKASH CHAVDA</v>
      </c>
      <c r="Z272" s="17" t="s">
        <v>136</v>
      </c>
      <c r="AA272" s="17" t="s">
        <v>204</v>
      </c>
      <c r="AB272" s="17" t="s">
        <v>41</v>
      </c>
      <c r="AC272" s="0" t="str">
        <f aca="false">LEFT(G272,2)</f>
        <v>77</v>
      </c>
      <c r="AD272" s="0"/>
      <c r="AE272" s="21" t="s">
        <v>42</v>
      </c>
    </row>
    <row r="273" customFormat="false" ht="15" hidden="false" customHeight="false" outlineLevel="0" collapsed="false">
      <c r="A273" s="13" t="n">
        <f aca="false">1+A272</f>
        <v>271</v>
      </c>
      <c r="B273" s="17" t="n">
        <v>1009610851</v>
      </c>
      <c r="C273" s="17" t="s">
        <v>181</v>
      </c>
      <c r="D273" s="17" t="s">
        <v>198</v>
      </c>
      <c r="E273" s="17" t="s">
        <v>47</v>
      </c>
      <c r="F273" s="18" t="s">
        <v>34</v>
      </c>
      <c r="G273" s="19" t="n">
        <v>775308096897</v>
      </c>
      <c r="H273" s="17" t="s">
        <v>134</v>
      </c>
      <c r="I273" s="17" t="s">
        <v>69</v>
      </c>
      <c r="J273" s="17" t="s">
        <v>106</v>
      </c>
      <c r="K273" s="17" t="str">
        <f aca="false">VLOOKUP(J273,Sheet2!A:B,2,0)</f>
        <v>PRAKASH CHAVDA</v>
      </c>
      <c r="L273" s="17" t="n">
        <v>5</v>
      </c>
      <c r="M273" s="17" t="str">
        <f aca="false">VLOOKUP(L273,Sheet2!D:E,2,0)</f>
        <v>Main Processor CPU BGA</v>
      </c>
      <c r="N273" s="17" t="n">
        <v>1</v>
      </c>
      <c r="O273" s="17" t="str">
        <f aca="false">VLOOKUP(N273,Sheet2!G:H,2,0)</f>
        <v>Dead</v>
      </c>
      <c r="P273" s="17" t="n">
        <v>12</v>
      </c>
      <c r="Q273" s="17" t="str">
        <f aca="false">VLOOKUP(P273,Sheet2!J:K,2,0)</f>
        <v>IR Declared due to Others ( IR Normal)TB</v>
      </c>
      <c r="R273" s="17" t="s">
        <v>35</v>
      </c>
      <c r="S273" s="17" t="str">
        <f aca="false">VLOOKUP(R273,Sheet2!N:O,2,0)</f>
        <v>IREPARABLE</v>
      </c>
      <c r="T273" s="18" t="str">
        <f aca="false">VLOOKUP(P273,Sheet2!Q:R,2,0)</f>
        <v>IR Normal - BER to IR</v>
      </c>
      <c r="U273" s="20" t="s">
        <v>135</v>
      </c>
      <c r="V273" s="17" t="n">
        <v>12</v>
      </c>
      <c r="W273" s="20" t="str">
        <f aca="false">VLOOKUP(V273,Sheet2!Q:R,2,0)</f>
        <v>IR Normal - BER to IR</v>
      </c>
      <c r="X273" s="17" t="str">
        <f aca="false">J273</f>
        <v>A018</v>
      </c>
      <c r="Y273" s="17" t="str">
        <f aca="false">VLOOKUP(X273,Sheet2!A:B,2,0)</f>
        <v>PRAKASH CHAVDA</v>
      </c>
      <c r="Z273" s="17" t="s">
        <v>136</v>
      </c>
      <c r="AA273" s="17" t="s">
        <v>204</v>
      </c>
      <c r="AB273" s="17" t="s">
        <v>41</v>
      </c>
      <c r="AC273" s="0" t="str">
        <f aca="false">LEFT(G273,2)</f>
        <v>77</v>
      </c>
      <c r="AD273" s="0"/>
      <c r="AE273" s="21" t="s">
        <v>42</v>
      </c>
    </row>
    <row r="274" customFormat="false" ht="15" hidden="false" customHeight="false" outlineLevel="0" collapsed="false">
      <c r="A274" s="13" t="n">
        <f aca="false">1+A273</f>
        <v>272</v>
      </c>
      <c r="B274" s="17" t="n">
        <v>1009608150</v>
      </c>
      <c r="C274" s="17" t="s">
        <v>181</v>
      </c>
      <c r="D274" s="17" t="s">
        <v>190</v>
      </c>
      <c r="E274" s="17" t="s">
        <v>64</v>
      </c>
      <c r="F274" s="18" t="s">
        <v>70</v>
      </c>
      <c r="G274" s="19" t="n">
        <v>775212013707</v>
      </c>
      <c r="H274" s="17" t="s">
        <v>134</v>
      </c>
      <c r="I274" s="17" t="s">
        <v>69</v>
      </c>
      <c r="J274" s="17" t="s">
        <v>106</v>
      </c>
      <c r="K274" s="17" t="str">
        <f aca="false">VLOOKUP(J274,Sheet2!A:B,2,0)</f>
        <v>PRAKASH CHAVDA</v>
      </c>
      <c r="L274" s="17" t="n">
        <v>5</v>
      </c>
      <c r="M274" s="17" t="str">
        <f aca="false">VLOOKUP(L274,Sheet2!D:E,2,0)</f>
        <v>Main Processor CPU BGA</v>
      </c>
      <c r="N274" s="17" t="n">
        <v>1</v>
      </c>
      <c r="O274" s="17" t="str">
        <f aca="false">VLOOKUP(N274,Sheet2!G:H,2,0)</f>
        <v>Dead</v>
      </c>
      <c r="P274" s="17" t="n">
        <v>12</v>
      </c>
      <c r="Q274" s="17" t="str">
        <f aca="false">VLOOKUP(P274,Sheet2!J:K,2,0)</f>
        <v>IR Declared due to Others ( IR Normal)TB</v>
      </c>
      <c r="R274" s="17" t="s">
        <v>35</v>
      </c>
      <c r="S274" s="17" t="str">
        <f aca="false">VLOOKUP(R274,Sheet2!N:O,2,0)</f>
        <v>IREPARABLE</v>
      </c>
      <c r="T274" s="18" t="str">
        <f aca="false">VLOOKUP(P274,Sheet2!Q:R,2,0)</f>
        <v>IR Normal - BER to IR</v>
      </c>
      <c r="U274" s="20" t="s">
        <v>135</v>
      </c>
      <c r="V274" s="17" t="n">
        <v>12</v>
      </c>
      <c r="W274" s="20" t="str">
        <f aca="false">VLOOKUP(V274,Sheet2!Q:R,2,0)</f>
        <v>IR Normal - BER to IR</v>
      </c>
      <c r="X274" s="17" t="str">
        <f aca="false">J274</f>
        <v>A018</v>
      </c>
      <c r="Y274" s="17" t="str">
        <f aca="false">VLOOKUP(X274,Sheet2!A:B,2,0)</f>
        <v>PRAKASH CHAVDA</v>
      </c>
      <c r="Z274" s="17" t="s">
        <v>136</v>
      </c>
      <c r="AA274" s="17" t="s">
        <v>204</v>
      </c>
      <c r="AB274" s="17" t="s">
        <v>41</v>
      </c>
      <c r="AC274" s="0" t="str">
        <f aca="false">LEFT(G274,2)</f>
        <v>77</v>
      </c>
      <c r="AD274" s="0"/>
      <c r="AE274" s="21" t="s">
        <v>42</v>
      </c>
    </row>
    <row r="275" customFormat="false" ht="15" hidden="false" customHeight="false" outlineLevel="0" collapsed="false">
      <c r="A275" s="13" t="n">
        <f aca="false">1+A274</f>
        <v>273</v>
      </c>
      <c r="B275" s="17" t="n">
        <v>1009615627</v>
      </c>
      <c r="C275" s="17" t="s">
        <v>184</v>
      </c>
      <c r="D275" s="17" t="s">
        <v>119</v>
      </c>
      <c r="E275" s="17" t="s">
        <v>33</v>
      </c>
      <c r="F275" s="18" t="s">
        <v>34</v>
      </c>
      <c r="G275" s="19" t="n">
        <v>775344182065</v>
      </c>
      <c r="H275" s="17" t="s">
        <v>134</v>
      </c>
      <c r="I275" s="17" t="s">
        <v>69</v>
      </c>
      <c r="J275" s="17" t="s">
        <v>106</v>
      </c>
      <c r="K275" s="17" t="str">
        <f aca="false">VLOOKUP(J275,Sheet2!A:B,2,0)</f>
        <v>PRAKASH CHAVDA</v>
      </c>
      <c r="L275" s="17" t="n">
        <v>5</v>
      </c>
      <c r="M275" s="17" t="str">
        <f aca="false">VLOOKUP(L275,Sheet2!D:E,2,0)</f>
        <v>Main Processor CPU BGA</v>
      </c>
      <c r="N275" s="17" t="n">
        <v>1</v>
      </c>
      <c r="O275" s="17" t="str">
        <f aca="false">VLOOKUP(N275,Sheet2!G:H,2,0)</f>
        <v>Dead</v>
      </c>
      <c r="P275" s="17" t="n">
        <v>12</v>
      </c>
      <c r="Q275" s="17" t="str">
        <f aca="false">VLOOKUP(P275,Sheet2!J:K,2,0)</f>
        <v>IR Declared due to Others ( IR Normal)TB</v>
      </c>
      <c r="R275" s="17" t="s">
        <v>35</v>
      </c>
      <c r="S275" s="17" t="str">
        <f aca="false">VLOOKUP(R275,Sheet2!N:O,2,0)</f>
        <v>IREPARABLE</v>
      </c>
      <c r="T275" s="18" t="str">
        <f aca="false">VLOOKUP(P275,Sheet2!Q:R,2,0)</f>
        <v>IR Normal - BER to IR</v>
      </c>
      <c r="U275" s="20" t="s">
        <v>135</v>
      </c>
      <c r="V275" s="17" t="n">
        <v>12</v>
      </c>
      <c r="W275" s="20" t="str">
        <f aca="false">VLOOKUP(V275,Sheet2!Q:R,2,0)</f>
        <v>IR Normal - BER to IR</v>
      </c>
      <c r="X275" s="17" t="str">
        <f aca="false">J275</f>
        <v>A018</v>
      </c>
      <c r="Y275" s="17" t="str">
        <f aca="false">VLOOKUP(X275,Sheet2!A:B,2,0)</f>
        <v>PRAKASH CHAVDA</v>
      </c>
      <c r="Z275" s="17" t="s">
        <v>136</v>
      </c>
      <c r="AA275" s="17" t="s">
        <v>204</v>
      </c>
      <c r="AB275" s="17" t="s">
        <v>41</v>
      </c>
      <c r="AC275" s="0" t="str">
        <f aca="false">LEFT(G275,2)</f>
        <v>77</v>
      </c>
      <c r="AD275" s="0"/>
      <c r="AE275" s="21" t="s">
        <v>42</v>
      </c>
    </row>
    <row r="276" customFormat="false" ht="15" hidden="false" customHeight="false" outlineLevel="0" collapsed="false">
      <c r="A276" s="13" t="n">
        <f aca="false">1+A275</f>
        <v>274</v>
      </c>
      <c r="B276" s="17" t="n">
        <v>1009616054</v>
      </c>
      <c r="C276" s="17" t="s">
        <v>184</v>
      </c>
      <c r="D276" s="17" t="s">
        <v>119</v>
      </c>
      <c r="E276" s="17" t="s">
        <v>47</v>
      </c>
      <c r="F276" s="18" t="s">
        <v>34</v>
      </c>
      <c r="G276" s="19" t="n">
        <v>774345084446</v>
      </c>
      <c r="H276" s="17" t="s">
        <v>134</v>
      </c>
      <c r="I276" s="17" t="s">
        <v>69</v>
      </c>
      <c r="J276" s="17" t="s">
        <v>106</v>
      </c>
      <c r="K276" s="17" t="str">
        <f aca="false">VLOOKUP(J276,Sheet2!A:B,2,0)</f>
        <v>PRAKASH CHAVDA</v>
      </c>
      <c r="L276" s="17" t="n">
        <v>5</v>
      </c>
      <c r="M276" s="17" t="str">
        <f aca="false">VLOOKUP(L276,Sheet2!D:E,2,0)</f>
        <v>Main Processor CPU BGA</v>
      </c>
      <c r="N276" s="17" t="n">
        <v>1</v>
      </c>
      <c r="O276" s="17" t="str">
        <f aca="false">VLOOKUP(N276,Sheet2!G:H,2,0)</f>
        <v>Dead</v>
      </c>
      <c r="P276" s="17" t="n">
        <v>12</v>
      </c>
      <c r="Q276" s="17" t="str">
        <f aca="false">VLOOKUP(P276,Sheet2!J:K,2,0)</f>
        <v>IR Declared due to Others ( IR Normal)TB</v>
      </c>
      <c r="R276" s="17" t="s">
        <v>35</v>
      </c>
      <c r="S276" s="17" t="str">
        <f aca="false">VLOOKUP(R276,Sheet2!N:O,2,0)</f>
        <v>IREPARABLE</v>
      </c>
      <c r="T276" s="18" t="str">
        <f aca="false">VLOOKUP(P276,Sheet2!Q:R,2,0)</f>
        <v>IR Normal - BER to IR</v>
      </c>
      <c r="U276" s="20" t="s">
        <v>135</v>
      </c>
      <c r="V276" s="17" t="n">
        <v>12</v>
      </c>
      <c r="W276" s="20" t="str">
        <f aca="false">VLOOKUP(V276,Sheet2!Q:R,2,0)</f>
        <v>IR Normal - BER to IR</v>
      </c>
      <c r="X276" s="17" t="str">
        <f aca="false">J276</f>
        <v>A018</v>
      </c>
      <c r="Y276" s="17" t="str">
        <f aca="false">VLOOKUP(X276,Sheet2!A:B,2,0)</f>
        <v>PRAKASH CHAVDA</v>
      </c>
      <c r="Z276" s="17" t="s">
        <v>136</v>
      </c>
      <c r="AA276" s="17" t="s">
        <v>204</v>
      </c>
      <c r="AB276" s="17" t="s">
        <v>41</v>
      </c>
      <c r="AC276" s="0" t="str">
        <f aca="false">LEFT(G276,2)</f>
        <v>77</v>
      </c>
      <c r="AD276" s="0"/>
      <c r="AE276" s="21" t="s">
        <v>42</v>
      </c>
    </row>
    <row r="277" customFormat="false" ht="15" hidden="false" customHeight="false" outlineLevel="0" collapsed="false">
      <c r="A277" s="13" t="n">
        <f aca="false">1+A276</f>
        <v>275</v>
      </c>
      <c r="B277" s="17" t="n">
        <v>1009606799</v>
      </c>
      <c r="C277" s="17" t="s">
        <v>181</v>
      </c>
      <c r="D277" s="17" t="s">
        <v>64</v>
      </c>
      <c r="E277" s="17" t="s">
        <v>47</v>
      </c>
      <c r="F277" s="18" t="s">
        <v>34</v>
      </c>
      <c r="G277" s="19" t="n">
        <v>775240057700</v>
      </c>
      <c r="H277" s="17" t="s">
        <v>134</v>
      </c>
      <c r="I277" s="17" t="s">
        <v>69</v>
      </c>
      <c r="J277" s="17" t="s">
        <v>106</v>
      </c>
      <c r="K277" s="17" t="str">
        <f aca="false">VLOOKUP(J277,Sheet2!A:B,2,0)</f>
        <v>PRAKASH CHAVDA</v>
      </c>
      <c r="L277" s="17" t="n">
        <v>5</v>
      </c>
      <c r="M277" s="17" t="str">
        <f aca="false">VLOOKUP(L277,Sheet2!D:E,2,0)</f>
        <v>Main Processor CPU BGA</v>
      </c>
      <c r="N277" s="17" t="n">
        <v>24</v>
      </c>
      <c r="O277" s="17" t="str">
        <f aca="false">VLOOKUP(N277,Sheet2!G:H,2,0)</f>
        <v>STB Auto moving -Stand by mode</v>
      </c>
      <c r="P277" s="17" t="n">
        <v>12</v>
      </c>
      <c r="Q277" s="17" t="str">
        <f aca="false">VLOOKUP(P277,Sheet2!J:K,2,0)</f>
        <v>IR Declared due to Others ( IR Normal)TB</v>
      </c>
      <c r="R277" s="17" t="s">
        <v>35</v>
      </c>
      <c r="S277" s="17" t="str">
        <f aca="false">VLOOKUP(R277,Sheet2!N:O,2,0)</f>
        <v>IREPARABLE</v>
      </c>
      <c r="T277" s="18" t="str">
        <f aca="false">VLOOKUP(P277,Sheet2!Q:R,2,0)</f>
        <v>IR Normal - BER to IR</v>
      </c>
      <c r="U277" s="20" t="s">
        <v>135</v>
      </c>
      <c r="V277" s="17" t="n">
        <v>12</v>
      </c>
      <c r="W277" s="20" t="str">
        <f aca="false">VLOOKUP(V277,Sheet2!Q:R,2,0)</f>
        <v>IR Normal - BER to IR</v>
      </c>
      <c r="X277" s="17" t="str">
        <f aca="false">J277</f>
        <v>A018</v>
      </c>
      <c r="Y277" s="17" t="str">
        <f aca="false">VLOOKUP(X277,Sheet2!A:B,2,0)</f>
        <v>PRAKASH CHAVDA</v>
      </c>
      <c r="Z277" s="17" t="s">
        <v>136</v>
      </c>
      <c r="AA277" s="17" t="s">
        <v>204</v>
      </c>
      <c r="AB277" s="17" t="s">
        <v>41</v>
      </c>
      <c r="AC277" s="0" t="str">
        <f aca="false">LEFT(G277,2)</f>
        <v>77</v>
      </c>
      <c r="AD277" s="0"/>
      <c r="AE277" s="21" t="s">
        <v>42</v>
      </c>
    </row>
    <row r="278" customFormat="false" ht="15" hidden="false" customHeight="false" outlineLevel="0" collapsed="false">
      <c r="A278" s="13" t="n">
        <f aca="false">1+A277</f>
        <v>276</v>
      </c>
      <c r="B278" s="17" t="n">
        <v>1009620577</v>
      </c>
      <c r="C278" s="17" t="s">
        <v>184</v>
      </c>
      <c r="D278" s="17" t="s">
        <v>64</v>
      </c>
      <c r="E278" s="17" t="s">
        <v>47</v>
      </c>
      <c r="F278" s="18" t="s">
        <v>34</v>
      </c>
      <c r="G278" s="19" t="n">
        <v>775128211650</v>
      </c>
      <c r="H278" s="17" t="s">
        <v>134</v>
      </c>
      <c r="I278" s="17" t="s">
        <v>69</v>
      </c>
      <c r="J278" s="17" t="s">
        <v>106</v>
      </c>
      <c r="K278" s="17" t="str">
        <f aca="false">VLOOKUP(J278,Sheet2!A:B,2,0)</f>
        <v>PRAKASH CHAVDA</v>
      </c>
      <c r="L278" s="17" t="n">
        <v>5</v>
      </c>
      <c r="M278" s="17" t="str">
        <f aca="false">VLOOKUP(L278,Sheet2!D:E,2,0)</f>
        <v>Main Processor CPU BGA</v>
      </c>
      <c r="N278" s="17" t="n">
        <v>24</v>
      </c>
      <c r="O278" s="17" t="str">
        <f aca="false">VLOOKUP(N278,Sheet2!G:H,2,0)</f>
        <v>STB Auto moving -Stand by mode</v>
      </c>
      <c r="P278" s="17" t="n">
        <v>12</v>
      </c>
      <c r="Q278" s="17" t="str">
        <f aca="false">VLOOKUP(P278,Sheet2!J:K,2,0)</f>
        <v>IR Declared due to Others ( IR Normal)TB</v>
      </c>
      <c r="R278" s="17" t="s">
        <v>35</v>
      </c>
      <c r="S278" s="17" t="str">
        <f aca="false">VLOOKUP(R278,Sheet2!N:O,2,0)</f>
        <v>IREPARABLE</v>
      </c>
      <c r="T278" s="18" t="str">
        <f aca="false">VLOOKUP(P278,Sheet2!Q:R,2,0)</f>
        <v>IR Normal - BER to IR</v>
      </c>
      <c r="U278" s="20" t="s">
        <v>135</v>
      </c>
      <c r="V278" s="17" t="n">
        <v>12</v>
      </c>
      <c r="W278" s="20" t="str">
        <f aca="false">VLOOKUP(V278,Sheet2!Q:R,2,0)</f>
        <v>IR Normal - BER to IR</v>
      </c>
      <c r="X278" s="17" t="str">
        <f aca="false">J278</f>
        <v>A018</v>
      </c>
      <c r="Y278" s="17" t="str">
        <f aca="false">VLOOKUP(X278,Sheet2!A:B,2,0)</f>
        <v>PRAKASH CHAVDA</v>
      </c>
      <c r="Z278" s="17" t="s">
        <v>136</v>
      </c>
      <c r="AA278" s="17" t="s">
        <v>204</v>
      </c>
      <c r="AB278" s="17" t="s">
        <v>41</v>
      </c>
      <c r="AC278" s="0" t="str">
        <f aca="false">LEFT(G278,2)</f>
        <v>77</v>
      </c>
      <c r="AD278" s="0"/>
      <c r="AE278" s="21" t="s">
        <v>42</v>
      </c>
    </row>
    <row r="279" customFormat="false" ht="15" hidden="false" customHeight="false" outlineLevel="0" collapsed="false">
      <c r="A279" s="13" t="n">
        <f aca="false">1+A278</f>
        <v>277</v>
      </c>
      <c r="B279" s="17" t="n">
        <v>1009613974</v>
      </c>
      <c r="C279" s="17" t="s">
        <v>184</v>
      </c>
      <c r="D279" s="17" t="s">
        <v>64</v>
      </c>
      <c r="E279" s="17" t="s">
        <v>64</v>
      </c>
      <c r="F279" s="18" t="s">
        <v>70</v>
      </c>
      <c r="G279" s="19" t="n">
        <v>775344182578</v>
      </c>
      <c r="H279" s="17" t="s">
        <v>134</v>
      </c>
      <c r="I279" s="17" t="s">
        <v>69</v>
      </c>
      <c r="J279" s="17" t="s">
        <v>106</v>
      </c>
      <c r="K279" s="17" t="str">
        <f aca="false">VLOOKUP(J279,Sheet2!A:B,2,0)</f>
        <v>PRAKASH CHAVDA</v>
      </c>
      <c r="L279" s="17" t="n">
        <v>5</v>
      </c>
      <c r="M279" s="17" t="str">
        <f aca="false">VLOOKUP(L279,Sheet2!D:E,2,0)</f>
        <v>Main Processor CPU BGA</v>
      </c>
      <c r="N279" s="17" t="n">
        <v>1</v>
      </c>
      <c r="O279" s="17" t="str">
        <f aca="false">VLOOKUP(N279,Sheet2!G:H,2,0)</f>
        <v>Dead</v>
      </c>
      <c r="P279" s="17" t="n">
        <v>12</v>
      </c>
      <c r="Q279" s="17" t="str">
        <f aca="false">VLOOKUP(P279,Sheet2!J:K,2,0)</f>
        <v>IR Declared due to Others ( IR Normal)TB</v>
      </c>
      <c r="R279" s="17" t="s">
        <v>35</v>
      </c>
      <c r="S279" s="17" t="str">
        <f aca="false">VLOOKUP(R279,Sheet2!N:O,2,0)</f>
        <v>IREPARABLE</v>
      </c>
      <c r="T279" s="18" t="str">
        <f aca="false">VLOOKUP(P279,Sheet2!Q:R,2,0)</f>
        <v>IR Normal - BER to IR</v>
      </c>
      <c r="U279" s="20" t="s">
        <v>135</v>
      </c>
      <c r="V279" s="17" t="n">
        <v>12</v>
      </c>
      <c r="W279" s="20" t="str">
        <f aca="false">VLOOKUP(V279,Sheet2!Q:R,2,0)</f>
        <v>IR Normal - BER to IR</v>
      </c>
      <c r="X279" s="17" t="str">
        <f aca="false">J279</f>
        <v>A018</v>
      </c>
      <c r="Y279" s="17" t="str">
        <f aca="false">VLOOKUP(X279,Sheet2!A:B,2,0)</f>
        <v>PRAKASH CHAVDA</v>
      </c>
      <c r="Z279" s="17" t="s">
        <v>136</v>
      </c>
      <c r="AA279" s="17" t="s">
        <v>204</v>
      </c>
      <c r="AB279" s="17" t="s">
        <v>41</v>
      </c>
      <c r="AC279" s="0" t="str">
        <f aca="false">LEFT(G279,2)</f>
        <v>77</v>
      </c>
      <c r="AD279" s="0"/>
      <c r="AE279" s="21" t="s">
        <v>42</v>
      </c>
    </row>
    <row r="280" customFormat="false" ht="15" hidden="false" customHeight="false" outlineLevel="0" collapsed="false">
      <c r="A280" s="13" t="n">
        <f aca="false">1+A279</f>
        <v>278</v>
      </c>
      <c r="B280" s="17" t="n">
        <v>1009616033</v>
      </c>
      <c r="C280" s="17" t="s">
        <v>184</v>
      </c>
      <c r="D280" s="17" t="s">
        <v>209</v>
      </c>
      <c r="E280" s="17" t="s">
        <v>114</v>
      </c>
      <c r="F280" s="18" t="s">
        <v>34</v>
      </c>
      <c r="G280" s="19" t="n">
        <v>775321197003</v>
      </c>
      <c r="H280" s="17" t="s">
        <v>134</v>
      </c>
      <c r="I280" s="17" t="s">
        <v>69</v>
      </c>
      <c r="J280" s="17" t="s">
        <v>106</v>
      </c>
      <c r="K280" s="17" t="str">
        <f aca="false">VLOOKUP(J280,Sheet2!A:B,2,0)</f>
        <v>PRAKASH CHAVDA</v>
      </c>
      <c r="L280" s="17" t="n">
        <v>5</v>
      </c>
      <c r="M280" s="17" t="str">
        <f aca="false">VLOOKUP(L280,Sheet2!D:E,2,0)</f>
        <v>Main Processor CPU BGA</v>
      </c>
      <c r="N280" s="17" t="n">
        <v>1</v>
      </c>
      <c r="O280" s="17" t="str">
        <f aca="false">VLOOKUP(N280,Sheet2!G:H,2,0)</f>
        <v>Dead</v>
      </c>
      <c r="P280" s="17" t="n">
        <v>12</v>
      </c>
      <c r="Q280" s="17" t="str">
        <f aca="false">VLOOKUP(P280,Sheet2!J:K,2,0)</f>
        <v>IR Declared due to Others ( IR Normal)TB</v>
      </c>
      <c r="R280" s="17" t="s">
        <v>35</v>
      </c>
      <c r="S280" s="17" t="str">
        <f aca="false">VLOOKUP(R280,Sheet2!N:O,2,0)</f>
        <v>IREPARABLE</v>
      </c>
      <c r="T280" s="18" t="str">
        <f aca="false">VLOOKUP(P280,Sheet2!Q:R,2,0)</f>
        <v>IR Normal - BER to IR</v>
      </c>
      <c r="U280" s="20" t="s">
        <v>135</v>
      </c>
      <c r="V280" s="17" t="n">
        <v>12</v>
      </c>
      <c r="W280" s="20" t="str">
        <f aca="false">VLOOKUP(V280,Sheet2!Q:R,2,0)</f>
        <v>IR Normal - BER to IR</v>
      </c>
      <c r="X280" s="17" t="str">
        <f aca="false">J280</f>
        <v>A018</v>
      </c>
      <c r="Y280" s="17" t="str">
        <f aca="false">VLOOKUP(X280,Sheet2!A:B,2,0)</f>
        <v>PRAKASH CHAVDA</v>
      </c>
      <c r="Z280" s="17" t="s">
        <v>136</v>
      </c>
      <c r="AA280" s="17" t="s">
        <v>204</v>
      </c>
      <c r="AB280" s="17" t="s">
        <v>41</v>
      </c>
      <c r="AC280" s="0" t="str">
        <f aca="false">LEFT(G280,2)</f>
        <v>77</v>
      </c>
      <c r="AD280" s="0"/>
      <c r="AE280" s="21" t="s">
        <v>42</v>
      </c>
    </row>
    <row r="281" customFormat="false" ht="15" hidden="false" customHeight="false" outlineLevel="0" collapsed="false">
      <c r="A281" s="13" t="n">
        <f aca="false">1+A280</f>
        <v>279</v>
      </c>
      <c r="B281" s="17" t="n">
        <v>1009614155</v>
      </c>
      <c r="C281" s="17" t="s">
        <v>184</v>
      </c>
      <c r="D281" s="17" t="s">
        <v>64</v>
      </c>
      <c r="E281" s="17" t="s">
        <v>33</v>
      </c>
      <c r="F281" s="18" t="s">
        <v>34</v>
      </c>
      <c r="G281" s="19" t="n">
        <v>775213065219</v>
      </c>
      <c r="H281" s="17" t="s">
        <v>134</v>
      </c>
      <c r="I281" s="17" t="s">
        <v>69</v>
      </c>
      <c r="J281" s="17" t="s">
        <v>106</v>
      </c>
      <c r="K281" s="17" t="str">
        <f aca="false">VLOOKUP(J281,Sheet2!A:B,2,0)</f>
        <v>PRAKASH CHAVDA</v>
      </c>
      <c r="L281" s="17" t="n">
        <v>5</v>
      </c>
      <c r="M281" s="17" t="str">
        <f aca="false">VLOOKUP(L281,Sheet2!D:E,2,0)</f>
        <v>Main Processor CPU BGA</v>
      </c>
      <c r="N281" s="17" t="n">
        <v>1</v>
      </c>
      <c r="O281" s="17" t="str">
        <f aca="false">VLOOKUP(N281,Sheet2!G:H,2,0)</f>
        <v>Dead</v>
      </c>
      <c r="P281" s="17" t="n">
        <v>12</v>
      </c>
      <c r="Q281" s="17" t="str">
        <f aca="false">VLOOKUP(P281,Sheet2!J:K,2,0)</f>
        <v>IR Declared due to Others ( IR Normal)TB</v>
      </c>
      <c r="R281" s="17" t="s">
        <v>35</v>
      </c>
      <c r="S281" s="17" t="str">
        <f aca="false">VLOOKUP(R281,Sheet2!N:O,2,0)</f>
        <v>IREPARABLE</v>
      </c>
      <c r="T281" s="18" t="str">
        <f aca="false">VLOOKUP(P281,Sheet2!Q:R,2,0)</f>
        <v>IR Normal - BER to IR</v>
      </c>
      <c r="U281" s="20" t="s">
        <v>135</v>
      </c>
      <c r="V281" s="17" t="n">
        <v>12</v>
      </c>
      <c r="W281" s="20" t="str">
        <f aca="false">VLOOKUP(V281,Sheet2!Q:R,2,0)</f>
        <v>IR Normal - BER to IR</v>
      </c>
      <c r="X281" s="17" t="str">
        <f aca="false">J281</f>
        <v>A018</v>
      </c>
      <c r="Y281" s="17" t="str">
        <f aca="false">VLOOKUP(X281,Sheet2!A:B,2,0)</f>
        <v>PRAKASH CHAVDA</v>
      </c>
      <c r="Z281" s="17" t="s">
        <v>136</v>
      </c>
      <c r="AA281" s="17" t="s">
        <v>204</v>
      </c>
      <c r="AB281" s="17" t="s">
        <v>41</v>
      </c>
      <c r="AC281" s="0" t="str">
        <f aca="false">LEFT(G281,2)</f>
        <v>77</v>
      </c>
      <c r="AD281" s="0"/>
      <c r="AE281" s="21" t="s">
        <v>42</v>
      </c>
    </row>
    <row r="282" customFormat="false" ht="15" hidden="false" customHeight="false" outlineLevel="0" collapsed="false">
      <c r="A282" s="13" t="n">
        <f aca="false">1+A281</f>
        <v>280</v>
      </c>
      <c r="B282" s="17" t="n">
        <v>1009614090</v>
      </c>
      <c r="C282" s="17" t="s">
        <v>184</v>
      </c>
      <c r="D282" s="17" t="s">
        <v>158</v>
      </c>
      <c r="E282" s="17" t="s">
        <v>33</v>
      </c>
      <c r="F282" s="18" t="s">
        <v>34</v>
      </c>
      <c r="G282" s="19" t="n">
        <v>774310065628</v>
      </c>
      <c r="H282" s="17" t="s">
        <v>134</v>
      </c>
      <c r="I282" s="17" t="s">
        <v>69</v>
      </c>
      <c r="J282" s="17" t="s">
        <v>106</v>
      </c>
      <c r="K282" s="17" t="str">
        <f aca="false">VLOOKUP(J282,Sheet2!A:B,2,0)</f>
        <v>PRAKASH CHAVDA</v>
      </c>
      <c r="L282" s="17" t="n">
        <v>5</v>
      </c>
      <c r="M282" s="17" t="str">
        <f aca="false">VLOOKUP(L282,Sheet2!D:E,2,0)</f>
        <v>Main Processor CPU BGA</v>
      </c>
      <c r="N282" s="17" t="n">
        <v>1</v>
      </c>
      <c r="O282" s="17" t="str">
        <f aca="false">VLOOKUP(N282,Sheet2!G:H,2,0)</f>
        <v>Dead</v>
      </c>
      <c r="P282" s="17" t="n">
        <v>12</v>
      </c>
      <c r="Q282" s="17" t="str">
        <f aca="false">VLOOKUP(P282,Sheet2!J:K,2,0)</f>
        <v>IR Declared due to Others ( IR Normal)TB</v>
      </c>
      <c r="R282" s="17" t="s">
        <v>35</v>
      </c>
      <c r="S282" s="17" t="str">
        <f aca="false">VLOOKUP(R282,Sheet2!N:O,2,0)</f>
        <v>IREPARABLE</v>
      </c>
      <c r="T282" s="18" t="str">
        <f aca="false">VLOOKUP(P282,Sheet2!Q:R,2,0)</f>
        <v>IR Normal - BER to IR</v>
      </c>
      <c r="U282" s="20" t="s">
        <v>135</v>
      </c>
      <c r="V282" s="17" t="n">
        <v>12</v>
      </c>
      <c r="W282" s="20" t="str">
        <f aca="false">VLOOKUP(V282,Sheet2!Q:R,2,0)</f>
        <v>IR Normal - BER to IR</v>
      </c>
      <c r="X282" s="17" t="str">
        <f aca="false">J282</f>
        <v>A018</v>
      </c>
      <c r="Y282" s="17" t="str">
        <f aca="false">VLOOKUP(X282,Sheet2!A:B,2,0)</f>
        <v>PRAKASH CHAVDA</v>
      </c>
      <c r="Z282" s="17" t="s">
        <v>136</v>
      </c>
      <c r="AA282" s="17" t="s">
        <v>204</v>
      </c>
      <c r="AB282" s="17" t="s">
        <v>41</v>
      </c>
      <c r="AC282" s="0" t="str">
        <f aca="false">LEFT(G282,2)</f>
        <v>77</v>
      </c>
      <c r="AD282" s="0"/>
      <c r="AE282" s="21" t="s">
        <v>42</v>
      </c>
    </row>
    <row r="283" customFormat="false" ht="15" hidden="false" customHeight="false" outlineLevel="0" collapsed="false">
      <c r="A283" s="13" t="n">
        <f aca="false">1+A282</f>
        <v>281</v>
      </c>
      <c r="B283" s="17" t="n">
        <v>1009616563</v>
      </c>
      <c r="C283" s="17" t="s">
        <v>184</v>
      </c>
      <c r="D283" s="17" t="s">
        <v>64</v>
      </c>
      <c r="E283" s="17" t="s">
        <v>47</v>
      </c>
      <c r="F283" s="18" t="s">
        <v>34</v>
      </c>
      <c r="G283" s="19" t="n">
        <v>775281105418</v>
      </c>
      <c r="H283" s="17" t="s">
        <v>134</v>
      </c>
      <c r="I283" s="17" t="s">
        <v>69</v>
      </c>
      <c r="J283" s="17" t="s">
        <v>106</v>
      </c>
      <c r="K283" s="17" t="str">
        <f aca="false">VLOOKUP(J283,Sheet2!A:B,2,0)</f>
        <v>PRAKASH CHAVDA</v>
      </c>
      <c r="L283" s="17" t="n">
        <v>5</v>
      </c>
      <c r="M283" s="17" t="str">
        <f aca="false">VLOOKUP(L283,Sheet2!D:E,2,0)</f>
        <v>Main Processor CPU BGA</v>
      </c>
      <c r="N283" s="17" t="n">
        <v>1</v>
      </c>
      <c r="O283" s="17" t="str">
        <f aca="false">VLOOKUP(N283,Sheet2!G:H,2,0)</f>
        <v>Dead</v>
      </c>
      <c r="P283" s="17" t="n">
        <v>12</v>
      </c>
      <c r="Q283" s="17" t="str">
        <f aca="false">VLOOKUP(P283,Sheet2!J:K,2,0)</f>
        <v>IR Declared due to Others ( IR Normal)TB</v>
      </c>
      <c r="R283" s="17" t="s">
        <v>35</v>
      </c>
      <c r="S283" s="17" t="str">
        <f aca="false">VLOOKUP(R283,Sheet2!N:O,2,0)</f>
        <v>IREPARABLE</v>
      </c>
      <c r="T283" s="18" t="str">
        <f aca="false">VLOOKUP(P283,Sheet2!Q:R,2,0)</f>
        <v>IR Normal - BER to IR</v>
      </c>
      <c r="U283" s="20" t="s">
        <v>135</v>
      </c>
      <c r="V283" s="17" t="n">
        <v>12</v>
      </c>
      <c r="W283" s="20" t="str">
        <f aca="false">VLOOKUP(V283,Sheet2!Q:R,2,0)</f>
        <v>IR Normal - BER to IR</v>
      </c>
      <c r="X283" s="17" t="str">
        <f aca="false">J283</f>
        <v>A018</v>
      </c>
      <c r="Y283" s="17" t="str">
        <f aca="false">VLOOKUP(X283,Sheet2!A:B,2,0)</f>
        <v>PRAKASH CHAVDA</v>
      </c>
      <c r="Z283" s="17" t="s">
        <v>136</v>
      </c>
      <c r="AA283" s="17" t="s">
        <v>204</v>
      </c>
      <c r="AB283" s="17" t="s">
        <v>41</v>
      </c>
      <c r="AC283" s="0" t="str">
        <f aca="false">LEFT(G283,2)</f>
        <v>77</v>
      </c>
      <c r="AD283" s="0"/>
      <c r="AE283" s="21" t="s">
        <v>42</v>
      </c>
    </row>
    <row r="284" customFormat="false" ht="15" hidden="false" customHeight="false" outlineLevel="0" collapsed="false">
      <c r="A284" s="13" t="n">
        <f aca="false">1+A283</f>
        <v>282</v>
      </c>
      <c r="B284" s="17" t="n">
        <v>1009618101</v>
      </c>
      <c r="C284" s="17" t="s">
        <v>184</v>
      </c>
      <c r="D284" s="17" t="s">
        <v>64</v>
      </c>
      <c r="E284" s="17" t="s">
        <v>47</v>
      </c>
      <c r="F284" s="18" t="s">
        <v>34</v>
      </c>
      <c r="G284" s="19" t="n">
        <v>775309103031</v>
      </c>
      <c r="H284" s="17" t="s">
        <v>134</v>
      </c>
      <c r="I284" s="17" t="s">
        <v>69</v>
      </c>
      <c r="J284" s="17" t="s">
        <v>106</v>
      </c>
      <c r="K284" s="17" t="str">
        <f aca="false">VLOOKUP(J284,Sheet2!A:B,2,0)</f>
        <v>PRAKASH CHAVDA</v>
      </c>
      <c r="L284" s="17" t="n">
        <v>5</v>
      </c>
      <c r="M284" s="17" t="str">
        <f aca="false">VLOOKUP(L284,Sheet2!D:E,2,0)</f>
        <v>Main Processor CPU BGA</v>
      </c>
      <c r="N284" s="17" t="n">
        <v>1</v>
      </c>
      <c r="O284" s="17" t="str">
        <f aca="false">VLOOKUP(N284,Sheet2!G:H,2,0)</f>
        <v>Dead</v>
      </c>
      <c r="P284" s="17" t="n">
        <v>12</v>
      </c>
      <c r="Q284" s="17" t="str">
        <f aca="false">VLOOKUP(P284,Sheet2!J:K,2,0)</f>
        <v>IR Declared due to Others ( IR Normal)TB</v>
      </c>
      <c r="R284" s="17" t="s">
        <v>35</v>
      </c>
      <c r="S284" s="17" t="str">
        <f aca="false">VLOOKUP(R284,Sheet2!N:O,2,0)</f>
        <v>IREPARABLE</v>
      </c>
      <c r="T284" s="18" t="str">
        <f aca="false">VLOOKUP(P284,Sheet2!Q:R,2,0)</f>
        <v>IR Normal - BER to IR</v>
      </c>
      <c r="U284" s="20" t="s">
        <v>135</v>
      </c>
      <c r="V284" s="17" t="n">
        <v>12</v>
      </c>
      <c r="W284" s="20" t="str">
        <f aca="false">VLOOKUP(V284,Sheet2!Q:R,2,0)</f>
        <v>IR Normal - BER to IR</v>
      </c>
      <c r="X284" s="17" t="str">
        <f aca="false">J284</f>
        <v>A018</v>
      </c>
      <c r="Y284" s="17" t="str">
        <f aca="false">VLOOKUP(X284,Sheet2!A:B,2,0)</f>
        <v>PRAKASH CHAVDA</v>
      </c>
      <c r="Z284" s="17" t="s">
        <v>136</v>
      </c>
      <c r="AA284" s="17" t="s">
        <v>204</v>
      </c>
      <c r="AB284" s="17" t="s">
        <v>41</v>
      </c>
      <c r="AC284" s="0" t="str">
        <f aca="false">LEFT(G284,2)</f>
        <v>77</v>
      </c>
      <c r="AD284" s="0"/>
      <c r="AE284" s="21" t="s">
        <v>42</v>
      </c>
    </row>
    <row r="285" customFormat="false" ht="15" hidden="false" customHeight="false" outlineLevel="0" collapsed="false">
      <c r="A285" s="13" t="n">
        <f aca="false">1+A284</f>
        <v>283</v>
      </c>
      <c r="B285" s="17" t="n">
        <v>1009615564</v>
      </c>
      <c r="C285" s="17" t="s">
        <v>184</v>
      </c>
      <c r="D285" s="17" t="s">
        <v>210</v>
      </c>
      <c r="E285" s="17" t="s">
        <v>211</v>
      </c>
      <c r="F285" s="18" t="s">
        <v>34</v>
      </c>
      <c r="G285" s="19" t="n">
        <v>775237056798</v>
      </c>
      <c r="H285" s="17" t="s">
        <v>134</v>
      </c>
      <c r="I285" s="17" t="s">
        <v>69</v>
      </c>
      <c r="J285" s="17" t="s">
        <v>106</v>
      </c>
      <c r="K285" s="17" t="str">
        <f aca="false">VLOOKUP(J285,Sheet2!A:B,2,0)</f>
        <v>PRAKASH CHAVDA</v>
      </c>
      <c r="L285" s="17" t="n">
        <v>5</v>
      </c>
      <c r="M285" s="17" t="str">
        <f aca="false">VLOOKUP(L285,Sheet2!D:E,2,0)</f>
        <v>Main Processor CPU BGA</v>
      </c>
      <c r="N285" s="17" t="n">
        <v>24</v>
      </c>
      <c r="O285" s="17" t="str">
        <f aca="false">VLOOKUP(N285,Sheet2!G:H,2,0)</f>
        <v>STB Auto moving -Stand by mode</v>
      </c>
      <c r="P285" s="17" t="n">
        <v>12</v>
      </c>
      <c r="Q285" s="17" t="str">
        <f aca="false">VLOOKUP(P285,Sheet2!J:K,2,0)</f>
        <v>IR Declared due to Others ( IR Normal)TB</v>
      </c>
      <c r="R285" s="17" t="s">
        <v>35</v>
      </c>
      <c r="S285" s="17" t="str">
        <f aca="false">VLOOKUP(R285,Sheet2!N:O,2,0)</f>
        <v>IREPARABLE</v>
      </c>
      <c r="T285" s="18" t="str">
        <f aca="false">VLOOKUP(P285,Sheet2!Q:R,2,0)</f>
        <v>IR Normal - BER to IR</v>
      </c>
      <c r="U285" s="20" t="s">
        <v>135</v>
      </c>
      <c r="V285" s="17" t="n">
        <v>12</v>
      </c>
      <c r="W285" s="20" t="str">
        <f aca="false">VLOOKUP(V285,Sheet2!Q:R,2,0)</f>
        <v>IR Normal - BER to IR</v>
      </c>
      <c r="X285" s="17" t="str">
        <f aca="false">J285</f>
        <v>A018</v>
      </c>
      <c r="Y285" s="17" t="str">
        <f aca="false">VLOOKUP(X285,Sheet2!A:B,2,0)</f>
        <v>PRAKASH CHAVDA</v>
      </c>
      <c r="Z285" s="17" t="s">
        <v>136</v>
      </c>
      <c r="AA285" s="17" t="s">
        <v>204</v>
      </c>
      <c r="AB285" s="17" t="s">
        <v>41</v>
      </c>
      <c r="AC285" s="0" t="str">
        <f aca="false">LEFT(G285,2)</f>
        <v>77</v>
      </c>
      <c r="AD285" s="0"/>
      <c r="AE285" s="21" t="s">
        <v>42</v>
      </c>
    </row>
    <row r="286" customFormat="false" ht="15" hidden="false" customHeight="false" outlineLevel="0" collapsed="false">
      <c r="A286" s="13" t="n">
        <f aca="false">1+A285</f>
        <v>284</v>
      </c>
      <c r="B286" s="17" t="n">
        <v>1009619668</v>
      </c>
      <c r="C286" s="17" t="s">
        <v>184</v>
      </c>
      <c r="D286" s="17" t="s">
        <v>64</v>
      </c>
      <c r="E286" s="17" t="s">
        <v>64</v>
      </c>
      <c r="F286" s="18" t="s">
        <v>70</v>
      </c>
      <c r="G286" s="19" t="n">
        <v>774345365894</v>
      </c>
      <c r="H286" s="17" t="s">
        <v>134</v>
      </c>
      <c r="I286" s="17" t="s">
        <v>69</v>
      </c>
      <c r="J286" s="17" t="s">
        <v>106</v>
      </c>
      <c r="K286" s="17" t="str">
        <f aca="false">VLOOKUP(J286,Sheet2!A:B,2,0)</f>
        <v>PRAKASH CHAVDA</v>
      </c>
      <c r="L286" s="17" t="n">
        <v>5</v>
      </c>
      <c r="M286" s="17" t="str">
        <f aca="false">VLOOKUP(L286,Sheet2!D:E,2,0)</f>
        <v>Main Processor CPU BGA</v>
      </c>
      <c r="N286" s="17" t="n">
        <v>24</v>
      </c>
      <c r="O286" s="17" t="str">
        <f aca="false">VLOOKUP(N286,Sheet2!G:H,2,0)</f>
        <v>STB Auto moving -Stand by mode</v>
      </c>
      <c r="P286" s="17" t="n">
        <v>12</v>
      </c>
      <c r="Q286" s="17" t="str">
        <f aca="false">VLOOKUP(P286,Sheet2!J:K,2,0)</f>
        <v>IR Declared due to Others ( IR Normal)TB</v>
      </c>
      <c r="R286" s="17" t="s">
        <v>35</v>
      </c>
      <c r="S286" s="17" t="str">
        <f aca="false">VLOOKUP(R286,Sheet2!N:O,2,0)</f>
        <v>IREPARABLE</v>
      </c>
      <c r="T286" s="18" t="str">
        <f aca="false">VLOOKUP(P286,Sheet2!Q:R,2,0)</f>
        <v>IR Normal - BER to IR</v>
      </c>
      <c r="U286" s="20" t="s">
        <v>135</v>
      </c>
      <c r="V286" s="17" t="n">
        <v>12</v>
      </c>
      <c r="W286" s="20" t="str">
        <f aca="false">VLOOKUP(V286,Sheet2!Q:R,2,0)</f>
        <v>IR Normal - BER to IR</v>
      </c>
      <c r="X286" s="17" t="str">
        <f aca="false">J286</f>
        <v>A018</v>
      </c>
      <c r="Y286" s="17" t="str">
        <f aca="false">VLOOKUP(X286,Sheet2!A:B,2,0)</f>
        <v>PRAKASH CHAVDA</v>
      </c>
      <c r="Z286" s="17" t="s">
        <v>136</v>
      </c>
      <c r="AA286" s="17" t="s">
        <v>204</v>
      </c>
      <c r="AB286" s="17" t="s">
        <v>41</v>
      </c>
      <c r="AC286" s="0" t="str">
        <f aca="false">LEFT(G286,2)</f>
        <v>77</v>
      </c>
      <c r="AD286" s="0"/>
      <c r="AE286" s="21" t="s">
        <v>42</v>
      </c>
    </row>
    <row r="287" customFormat="false" ht="15" hidden="false" customHeight="false" outlineLevel="0" collapsed="false">
      <c r="A287" s="13" t="n">
        <f aca="false">1+A286</f>
        <v>285</v>
      </c>
      <c r="B287" s="17" t="n">
        <v>1009621479</v>
      </c>
      <c r="C287" s="17" t="s">
        <v>184</v>
      </c>
      <c r="D287" s="17" t="s">
        <v>64</v>
      </c>
      <c r="E287" s="17" t="s">
        <v>64</v>
      </c>
      <c r="F287" s="18" t="s">
        <v>70</v>
      </c>
      <c r="G287" s="19" t="n">
        <v>775266050720</v>
      </c>
      <c r="H287" s="17" t="s">
        <v>134</v>
      </c>
      <c r="I287" s="17" t="s">
        <v>69</v>
      </c>
      <c r="J287" s="17" t="s">
        <v>106</v>
      </c>
      <c r="K287" s="17" t="str">
        <f aca="false">VLOOKUP(J287,Sheet2!A:B,2,0)</f>
        <v>PRAKASH CHAVDA</v>
      </c>
      <c r="L287" s="17" t="n">
        <v>5</v>
      </c>
      <c r="M287" s="17" t="str">
        <f aca="false">VLOOKUP(L287,Sheet2!D:E,2,0)</f>
        <v>Main Processor CPU BGA</v>
      </c>
      <c r="N287" s="17" t="n">
        <v>24</v>
      </c>
      <c r="O287" s="17" t="str">
        <f aca="false">VLOOKUP(N287,Sheet2!G:H,2,0)</f>
        <v>STB Auto moving -Stand by mode</v>
      </c>
      <c r="P287" s="17" t="n">
        <v>12</v>
      </c>
      <c r="Q287" s="17" t="str">
        <f aca="false">VLOOKUP(P287,Sheet2!J:K,2,0)</f>
        <v>IR Declared due to Others ( IR Normal)TB</v>
      </c>
      <c r="R287" s="17" t="s">
        <v>35</v>
      </c>
      <c r="S287" s="17" t="str">
        <f aca="false">VLOOKUP(R287,Sheet2!N:O,2,0)</f>
        <v>IREPARABLE</v>
      </c>
      <c r="T287" s="18" t="str">
        <f aca="false">VLOOKUP(P287,Sheet2!Q:R,2,0)</f>
        <v>IR Normal - BER to IR</v>
      </c>
      <c r="U287" s="20" t="s">
        <v>135</v>
      </c>
      <c r="V287" s="17" t="n">
        <v>12</v>
      </c>
      <c r="W287" s="20" t="str">
        <f aca="false">VLOOKUP(V287,Sheet2!Q:R,2,0)</f>
        <v>IR Normal - BER to IR</v>
      </c>
      <c r="X287" s="17" t="str">
        <f aca="false">J287</f>
        <v>A018</v>
      </c>
      <c r="Y287" s="17" t="str">
        <f aca="false">VLOOKUP(X287,Sheet2!A:B,2,0)</f>
        <v>PRAKASH CHAVDA</v>
      </c>
      <c r="Z287" s="17" t="s">
        <v>136</v>
      </c>
      <c r="AA287" s="17" t="s">
        <v>204</v>
      </c>
      <c r="AB287" s="17" t="s">
        <v>41</v>
      </c>
      <c r="AC287" s="0" t="str">
        <f aca="false">LEFT(G287,2)</f>
        <v>77</v>
      </c>
      <c r="AD287" s="0"/>
      <c r="AE287" s="21" t="s">
        <v>42</v>
      </c>
    </row>
    <row r="288" customFormat="false" ht="15" hidden="false" customHeight="false" outlineLevel="0" collapsed="false">
      <c r="A288" s="13" t="n">
        <f aca="false">1+A287</f>
        <v>286</v>
      </c>
      <c r="B288" s="17" t="n">
        <v>1009616251</v>
      </c>
      <c r="C288" s="17" t="s">
        <v>184</v>
      </c>
      <c r="D288" s="17" t="s">
        <v>138</v>
      </c>
      <c r="E288" s="17" t="s">
        <v>47</v>
      </c>
      <c r="F288" s="18" t="s">
        <v>34</v>
      </c>
      <c r="G288" s="19" t="n">
        <v>986165123040</v>
      </c>
      <c r="H288" s="17" t="s">
        <v>134</v>
      </c>
      <c r="I288" s="17" t="s">
        <v>44</v>
      </c>
      <c r="J288" s="17" t="s">
        <v>106</v>
      </c>
      <c r="K288" s="17" t="str">
        <f aca="false">VLOOKUP(J288,Sheet2!A:B,2,0)</f>
        <v>PRAKASH CHAVDA</v>
      </c>
      <c r="L288" s="17" t="n">
        <v>5</v>
      </c>
      <c r="M288" s="17" t="str">
        <f aca="false">VLOOKUP(L288,Sheet2!D:E,2,0)</f>
        <v>Main Processor CPU BGA</v>
      </c>
      <c r="N288" s="17" t="n">
        <v>1</v>
      </c>
      <c r="O288" s="17" t="str">
        <f aca="false">VLOOKUP(N288,Sheet2!G:H,2,0)</f>
        <v>Dead</v>
      </c>
      <c r="P288" s="17" t="n">
        <v>12</v>
      </c>
      <c r="Q288" s="17" t="str">
        <f aca="false">VLOOKUP(P288,Sheet2!J:K,2,0)</f>
        <v>IR Declared due to Others ( IR Normal)TB</v>
      </c>
      <c r="R288" s="17" t="s">
        <v>35</v>
      </c>
      <c r="S288" s="17" t="str">
        <f aca="false">VLOOKUP(R288,Sheet2!N:O,2,0)</f>
        <v>IREPARABLE</v>
      </c>
      <c r="T288" s="18" t="str">
        <f aca="false">VLOOKUP(P288,Sheet2!Q:R,2,0)</f>
        <v>IR Normal - BER to IR</v>
      </c>
      <c r="U288" s="20" t="s">
        <v>135</v>
      </c>
      <c r="V288" s="17" t="n">
        <v>12</v>
      </c>
      <c r="W288" s="20" t="str">
        <f aca="false">VLOOKUP(V288,Sheet2!Q:R,2,0)</f>
        <v>IR Normal - BER to IR</v>
      </c>
      <c r="X288" s="17" t="str">
        <f aca="false">J288</f>
        <v>A018</v>
      </c>
      <c r="Y288" s="17" t="str">
        <f aca="false">VLOOKUP(X288,Sheet2!A:B,2,0)</f>
        <v>PRAKASH CHAVDA</v>
      </c>
      <c r="Z288" s="17" t="s">
        <v>141</v>
      </c>
      <c r="AA288" s="17" t="s">
        <v>204</v>
      </c>
      <c r="AB288" s="17" t="s">
        <v>41</v>
      </c>
      <c r="AC288" s="0" t="str">
        <f aca="false">LEFT(G288,2)</f>
        <v>98</v>
      </c>
      <c r="AD288" s="0"/>
      <c r="AE288" s="21" t="s">
        <v>42</v>
      </c>
    </row>
    <row r="289" customFormat="false" ht="15" hidden="false" customHeight="false" outlineLevel="0" collapsed="false">
      <c r="A289" s="13" t="n">
        <f aca="false">1+A288</f>
        <v>287</v>
      </c>
      <c r="B289" s="17" t="n">
        <v>1009610441</v>
      </c>
      <c r="C289" s="17" t="s">
        <v>181</v>
      </c>
      <c r="D289" s="17" t="s">
        <v>190</v>
      </c>
      <c r="E289" s="17" t="s">
        <v>64</v>
      </c>
      <c r="F289" s="18" t="s">
        <v>70</v>
      </c>
      <c r="G289" s="19" t="n">
        <v>775329141474</v>
      </c>
      <c r="H289" s="17" t="s">
        <v>134</v>
      </c>
      <c r="I289" s="17" t="s">
        <v>69</v>
      </c>
      <c r="J289" s="17" t="s">
        <v>106</v>
      </c>
      <c r="K289" s="17" t="str">
        <f aca="false">VLOOKUP(J289,Sheet2!A:B,2,0)</f>
        <v>PRAKASH CHAVDA</v>
      </c>
      <c r="L289" s="17" t="n">
        <v>5</v>
      </c>
      <c r="M289" s="17" t="str">
        <f aca="false">VLOOKUP(L289,Sheet2!D:E,2,0)</f>
        <v>Main Processor CPU BGA</v>
      </c>
      <c r="N289" s="17" t="n">
        <v>1</v>
      </c>
      <c r="O289" s="17" t="str">
        <f aca="false">VLOOKUP(N289,Sheet2!G:H,2,0)</f>
        <v>Dead</v>
      </c>
      <c r="P289" s="17" t="n">
        <v>12</v>
      </c>
      <c r="Q289" s="17" t="str">
        <f aca="false">VLOOKUP(P289,Sheet2!J:K,2,0)</f>
        <v>IR Declared due to Others ( IR Normal)TB</v>
      </c>
      <c r="R289" s="17" t="s">
        <v>35</v>
      </c>
      <c r="S289" s="17" t="str">
        <f aca="false">VLOOKUP(R289,Sheet2!N:O,2,0)</f>
        <v>IREPARABLE</v>
      </c>
      <c r="T289" s="18" t="str">
        <f aca="false">VLOOKUP(P289,Sheet2!Q:R,2,0)</f>
        <v>IR Normal - BER to IR</v>
      </c>
      <c r="U289" s="20" t="s">
        <v>135</v>
      </c>
      <c r="V289" s="17" t="n">
        <v>12</v>
      </c>
      <c r="W289" s="20" t="str">
        <f aca="false">VLOOKUP(V289,Sheet2!Q:R,2,0)</f>
        <v>IR Normal - BER to IR</v>
      </c>
      <c r="X289" s="17" t="str">
        <f aca="false">J289</f>
        <v>A018</v>
      </c>
      <c r="Y289" s="17" t="str">
        <f aca="false">VLOOKUP(X289,Sheet2!A:B,2,0)</f>
        <v>PRAKASH CHAVDA</v>
      </c>
      <c r="Z289" s="17" t="s">
        <v>136</v>
      </c>
      <c r="AA289" s="17" t="s">
        <v>204</v>
      </c>
      <c r="AB289" s="17" t="s">
        <v>41</v>
      </c>
      <c r="AC289" s="0" t="str">
        <f aca="false">LEFT(G289,2)</f>
        <v>77</v>
      </c>
      <c r="AD289" s="0"/>
      <c r="AE289" s="21" t="s">
        <v>42</v>
      </c>
    </row>
    <row r="290" customFormat="false" ht="15" hidden="false" customHeight="false" outlineLevel="0" collapsed="false">
      <c r="A290" s="13" t="n">
        <f aca="false">1+A289</f>
        <v>288</v>
      </c>
      <c r="B290" s="17" t="n">
        <v>1009621063</v>
      </c>
      <c r="C290" s="17" t="s">
        <v>184</v>
      </c>
      <c r="D290" s="17" t="s">
        <v>64</v>
      </c>
      <c r="E290" s="17" t="s">
        <v>64</v>
      </c>
      <c r="F290" s="18" t="s">
        <v>70</v>
      </c>
      <c r="G290" s="19" t="n">
        <v>775352236605</v>
      </c>
      <c r="H290" s="17" t="s">
        <v>134</v>
      </c>
      <c r="I290" s="17" t="s">
        <v>69</v>
      </c>
      <c r="J290" s="17" t="s">
        <v>106</v>
      </c>
      <c r="K290" s="17" t="str">
        <f aca="false">VLOOKUP(J290,Sheet2!A:B,2,0)</f>
        <v>PRAKASH CHAVDA</v>
      </c>
      <c r="L290" s="17" t="n">
        <v>5</v>
      </c>
      <c r="M290" s="17" t="str">
        <f aca="false">VLOOKUP(L290,Sheet2!D:E,2,0)</f>
        <v>Main Processor CPU BGA</v>
      </c>
      <c r="N290" s="17" t="n">
        <v>1</v>
      </c>
      <c r="O290" s="17" t="str">
        <f aca="false">VLOOKUP(N290,Sheet2!G:H,2,0)</f>
        <v>Dead</v>
      </c>
      <c r="P290" s="17" t="n">
        <v>12</v>
      </c>
      <c r="Q290" s="17" t="str">
        <f aca="false">VLOOKUP(P290,Sheet2!J:K,2,0)</f>
        <v>IR Declared due to Others ( IR Normal)TB</v>
      </c>
      <c r="R290" s="17" t="s">
        <v>35</v>
      </c>
      <c r="S290" s="17" t="str">
        <f aca="false">VLOOKUP(R290,Sheet2!N:O,2,0)</f>
        <v>IREPARABLE</v>
      </c>
      <c r="T290" s="18" t="str">
        <f aca="false">VLOOKUP(P290,Sheet2!Q:R,2,0)</f>
        <v>IR Normal - BER to IR</v>
      </c>
      <c r="U290" s="20" t="s">
        <v>135</v>
      </c>
      <c r="V290" s="17" t="n">
        <v>12</v>
      </c>
      <c r="W290" s="20" t="str">
        <f aca="false">VLOOKUP(V290,Sheet2!Q:R,2,0)</f>
        <v>IR Normal - BER to IR</v>
      </c>
      <c r="X290" s="17" t="str">
        <f aca="false">J290</f>
        <v>A018</v>
      </c>
      <c r="Y290" s="17" t="str">
        <f aca="false">VLOOKUP(X290,Sheet2!A:B,2,0)</f>
        <v>PRAKASH CHAVDA</v>
      </c>
      <c r="Z290" s="17" t="s">
        <v>136</v>
      </c>
      <c r="AA290" s="17" t="s">
        <v>204</v>
      </c>
      <c r="AB290" s="17" t="s">
        <v>41</v>
      </c>
      <c r="AC290" s="0" t="str">
        <f aca="false">LEFT(G290,2)</f>
        <v>77</v>
      </c>
      <c r="AD290" s="0"/>
      <c r="AE290" s="21" t="s">
        <v>42</v>
      </c>
    </row>
    <row r="291" customFormat="false" ht="15" hidden="false" customHeight="false" outlineLevel="0" collapsed="false">
      <c r="A291" s="13" t="n">
        <f aca="false">1+A290</f>
        <v>289</v>
      </c>
      <c r="B291" s="17" t="n">
        <v>1009619670</v>
      </c>
      <c r="C291" s="17" t="s">
        <v>184</v>
      </c>
      <c r="D291" s="17" t="s">
        <v>64</v>
      </c>
      <c r="E291" s="17" t="s">
        <v>64</v>
      </c>
      <c r="F291" s="18" t="s">
        <v>70</v>
      </c>
      <c r="G291" s="19" t="n">
        <v>775351801897</v>
      </c>
      <c r="H291" s="17" t="s">
        <v>134</v>
      </c>
      <c r="I291" s="17" t="s">
        <v>69</v>
      </c>
      <c r="J291" s="17" t="s">
        <v>106</v>
      </c>
      <c r="K291" s="17" t="str">
        <f aca="false">VLOOKUP(J291,Sheet2!A:B,2,0)</f>
        <v>PRAKASH CHAVDA</v>
      </c>
      <c r="L291" s="17" t="n">
        <v>5</v>
      </c>
      <c r="M291" s="17" t="str">
        <f aca="false">VLOOKUP(L291,Sheet2!D:E,2,0)</f>
        <v>Main Processor CPU BGA</v>
      </c>
      <c r="N291" s="17" t="n">
        <v>24</v>
      </c>
      <c r="O291" s="17" t="str">
        <f aca="false">VLOOKUP(N291,Sheet2!G:H,2,0)</f>
        <v>STB Auto moving -Stand by mode</v>
      </c>
      <c r="P291" s="17" t="n">
        <v>12</v>
      </c>
      <c r="Q291" s="17" t="str">
        <f aca="false">VLOOKUP(P291,Sheet2!J:K,2,0)</f>
        <v>IR Declared due to Others ( IR Normal)TB</v>
      </c>
      <c r="R291" s="17" t="s">
        <v>35</v>
      </c>
      <c r="S291" s="17" t="str">
        <f aca="false">VLOOKUP(R291,Sheet2!N:O,2,0)</f>
        <v>IREPARABLE</v>
      </c>
      <c r="T291" s="18" t="str">
        <f aca="false">VLOOKUP(P291,Sheet2!Q:R,2,0)</f>
        <v>IR Normal - BER to IR</v>
      </c>
      <c r="U291" s="20" t="s">
        <v>135</v>
      </c>
      <c r="V291" s="17" t="n">
        <v>12</v>
      </c>
      <c r="W291" s="20" t="str">
        <f aca="false">VLOOKUP(V291,Sheet2!Q:R,2,0)</f>
        <v>IR Normal - BER to IR</v>
      </c>
      <c r="X291" s="17" t="str">
        <f aca="false">J291</f>
        <v>A018</v>
      </c>
      <c r="Y291" s="17" t="str">
        <f aca="false">VLOOKUP(X291,Sheet2!A:B,2,0)</f>
        <v>PRAKASH CHAVDA</v>
      </c>
      <c r="Z291" s="17" t="s">
        <v>136</v>
      </c>
      <c r="AA291" s="17" t="s">
        <v>204</v>
      </c>
      <c r="AB291" s="17" t="s">
        <v>41</v>
      </c>
      <c r="AC291" s="0" t="str">
        <f aca="false">LEFT(G291,2)</f>
        <v>77</v>
      </c>
      <c r="AD291" s="0"/>
      <c r="AE291" s="21" t="s">
        <v>42</v>
      </c>
    </row>
    <row r="292" customFormat="false" ht="15" hidden="false" customHeight="false" outlineLevel="0" collapsed="false">
      <c r="A292" s="13" t="n">
        <f aca="false">1+A291</f>
        <v>290</v>
      </c>
      <c r="B292" s="17" t="n">
        <v>1009463501</v>
      </c>
      <c r="C292" s="17" t="s">
        <v>212</v>
      </c>
      <c r="D292" s="17" t="s">
        <v>213</v>
      </c>
      <c r="E292" s="17" t="s">
        <v>47</v>
      </c>
      <c r="F292" s="18" t="s">
        <v>34</v>
      </c>
      <c r="G292" s="19" t="n">
        <v>774289020968</v>
      </c>
      <c r="H292" s="17" t="s">
        <v>134</v>
      </c>
      <c r="I292" s="17" t="s">
        <v>69</v>
      </c>
      <c r="J292" s="17" t="s">
        <v>106</v>
      </c>
      <c r="K292" s="17" t="str">
        <f aca="false">VLOOKUP(J292,Sheet2!A:B,2,0)</f>
        <v>PRAKASH CHAVDA</v>
      </c>
      <c r="L292" s="17" t="n">
        <v>5</v>
      </c>
      <c r="M292" s="17" t="str">
        <f aca="false">VLOOKUP(L292,Sheet2!D:E,2,0)</f>
        <v>Main Processor CPU BGA</v>
      </c>
      <c r="N292" s="17" t="n">
        <v>1</v>
      </c>
      <c r="O292" s="17" t="str">
        <f aca="false">VLOOKUP(N292,Sheet2!G:H,2,0)</f>
        <v>Dead</v>
      </c>
      <c r="P292" s="17" t="n">
        <v>12</v>
      </c>
      <c r="Q292" s="17" t="str">
        <f aca="false">VLOOKUP(P292,Sheet2!J:K,2,0)</f>
        <v>IR Declared due to Others ( IR Normal)TB</v>
      </c>
      <c r="R292" s="17" t="s">
        <v>35</v>
      </c>
      <c r="S292" s="17" t="str">
        <f aca="false">VLOOKUP(R292,Sheet2!N:O,2,0)</f>
        <v>IREPARABLE</v>
      </c>
      <c r="T292" s="18" t="str">
        <f aca="false">VLOOKUP(P292,Sheet2!Q:R,2,0)</f>
        <v>IR Normal - BER to IR</v>
      </c>
      <c r="U292" s="20" t="s">
        <v>135</v>
      </c>
      <c r="V292" s="17" t="n">
        <v>12</v>
      </c>
      <c r="W292" s="20" t="str">
        <f aca="false">VLOOKUP(V292,Sheet2!Q:R,2,0)</f>
        <v>IR Normal - BER to IR</v>
      </c>
      <c r="X292" s="17" t="str">
        <f aca="false">J292</f>
        <v>A018</v>
      </c>
      <c r="Y292" s="17" t="str">
        <f aca="false">VLOOKUP(X292,Sheet2!A:B,2,0)</f>
        <v>PRAKASH CHAVDA</v>
      </c>
      <c r="Z292" s="17" t="s">
        <v>136</v>
      </c>
      <c r="AA292" s="17" t="s">
        <v>204</v>
      </c>
      <c r="AB292" s="17" t="s">
        <v>41</v>
      </c>
      <c r="AC292" s="0" t="str">
        <f aca="false">LEFT(G292,2)</f>
        <v>77</v>
      </c>
      <c r="AD292" s="0"/>
      <c r="AE292" s="21" t="s">
        <v>42</v>
      </c>
    </row>
    <row r="293" customFormat="false" ht="15" hidden="false" customHeight="false" outlineLevel="0" collapsed="false">
      <c r="A293" s="13" t="n">
        <f aca="false">1+A292</f>
        <v>291</v>
      </c>
      <c r="B293" s="17" t="n">
        <v>1009572301</v>
      </c>
      <c r="C293" s="17" t="s">
        <v>174</v>
      </c>
      <c r="D293" s="17" t="s">
        <v>195</v>
      </c>
      <c r="E293" s="17" t="s">
        <v>176</v>
      </c>
      <c r="F293" s="18" t="s">
        <v>34</v>
      </c>
      <c r="G293" s="19" t="n">
        <v>413259406358</v>
      </c>
      <c r="H293" s="17" t="s">
        <v>134</v>
      </c>
      <c r="I293" s="17" t="s">
        <v>44</v>
      </c>
      <c r="J293" s="17" t="s">
        <v>106</v>
      </c>
      <c r="K293" s="17" t="str">
        <f aca="false">VLOOKUP(J293,Sheet2!A:B,2,0)</f>
        <v>PRAKASH CHAVDA</v>
      </c>
      <c r="L293" s="17" t="n">
        <v>5</v>
      </c>
      <c r="M293" s="17" t="str">
        <f aca="false">VLOOKUP(L293,Sheet2!D:E,2,0)</f>
        <v>Main Processor CPU BGA</v>
      </c>
      <c r="N293" s="17" t="n">
        <v>24</v>
      </c>
      <c r="O293" s="17" t="str">
        <f aca="false">VLOOKUP(N293,Sheet2!G:H,2,0)</f>
        <v>STB Auto moving -Stand by mode</v>
      </c>
      <c r="P293" s="17" t="n">
        <v>12</v>
      </c>
      <c r="Q293" s="17" t="str">
        <f aca="false">VLOOKUP(P293,Sheet2!J:K,2,0)</f>
        <v>IR Declared due to Others ( IR Normal)TB</v>
      </c>
      <c r="R293" s="17" t="s">
        <v>35</v>
      </c>
      <c r="S293" s="17" t="str">
        <f aca="false">VLOOKUP(R293,Sheet2!N:O,2,0)</f>
        <v>IREPARABLE</v>
      </c>
      <c r="T293" s="18" t="str">
        <f aca="false">VLOOKUP(P293,Sheet2!Q:R,2,0)</f>
        <v>IR Normal - BER to IR</v>
      </c>
      <c r="U293" s="20" t="s">
        <v>135</v>
      </c>
      <c r="V293" s="17" t="n">
        <v>12</v>
      </c>
      <c r="W293" s="20" t="str">
        <f aca="false">VLOOKUP(V293,Sheet2!Q:R,2,0)</f>
        <v>IR Normal - BER to IR</v>
      </c>
      <c r="X293" s="17" t="str">
        <f aca="false">J293</f>
        <v>A018</v>
      </c>
      <c r="Y293" s="17" t="str">
        <f aca="false">VLOOKUP(X293,Sheet2!A:B,2,0)</f>
        <v>PRAKASH CHAVDA</v>
      </c>
      <c r="Z293" s="17" t="s">
        <v>149</v>
      </c>
      <c r="AA293" s="17" t="s">
        <v>204</v>
      </c>
      <c r="AB293" s="17" t="s">
        <v>41</v>
      </c>
      <c r="AC293" s="0" t="str">
        <f aca="false">LEFT(G293,2)</f>
        <v>41</v>
      </c>
      <c r="AD293" s="0"/>
      <c r="AE293" s="21" t="s">
        <v>42</v>
      </c>
    </row>
    <row r="294" customFormat="false" ht="15" hidden="false" customHeight="false" outlineLevel="0" collapsed="false">
      <c r="A294" s="13" t="n">
        <f aca="false">1+A293</f>
        <v>292</v>
      </c>
      <c r="B294" s="17" t="n">
        <v>1009613703</v>
      </c>
      <c r="C294" s="17" t="s">
        <v>184</v>
      </c>
      <c r="D294" s="17" t="s">
        <v>158</v>
      </c>
      <c r="E294" s="17" t="s">
        <v>91</v>
      </c>
      <c r="F294" s="18" t="s">
        <v>92</v>
      </c>
      <c r="G294" s="19" t="n">
        <v>954172137034</v>
      </c>
      <c r="H294" s="17" t="s">
        <v>134</v>
      </c>
      <c r="I294" s="17" t="s">
        <v>44</v>
      </c>
      <c r="J294" s="17" t="s">
        <v>106</v>
      </c>
      <c r="K294" s="17" t="str">
        <f aca="false">VLOOKUP(J294,Sheet2!A:B,2,0)</f>
        <v>PRAKASH CHAVDA</v>
      </c>
      <c r="L294" s="17" t="n">
        <v>5</v>
      </c>
      <c r="M294" s="17" t="str">
        <f aca="false">VLOOKUP(L294,Sheet2!D:E,2,0)</f>
        <v>Main Processor CPU BGA</v>
      </c>
      <c r="N294" s="17" t="n">
        <v>24</v>
      </c>
      <c r="O294" s="17" t="str">
        <f aca="false">VLOOKUP(N294,Sheet2!G:H,2,0)</f>
        <v>STB Auto moving -Stand by mode</v>
      </c>
      <c r="P294" s="17" t="n">
        <v>12</v>
      </c>
      <c r="Q294" s="17" t="str">
        <f aca="false">VLOOKUP(P294,Sheet2!J:K,2,0)</f>
        <v>IR Declared due to Others ( IR Normal)TB</v>
      </c>
      <c r="R294" s="17" t="s">
        <v>35</v>
      </c>
      <c r="S294" s="17" t="str">
        <f aca="false">VLOOKUP(R294,Sheet2!N:O,2,0)</f>
        <v>IREPARABLE</v>
      </c>
      <c r="T294" s="18" t="str">
        <f aca="false">VLOOKUP(P294,Sheet2!Q:R,2,0)</f>
        <v>IR Normal - BER to IR</v>
      </c>
      <c r="U294" s="20" t="s">
        <v>135</v>
      </c>
      <c r="V294" s="17" t="n">
        <v>12</v>
      </c>
      <c r="W294" s="20" t="str">
        <f aca="false">VLOOKUP(V294,Sheet2!Q:R,2,0)</f>
        <v>IR Normal - BER to IR</v>
      </c>
      <c r="X294" s="17" t="str">
        <f aca="false">J294</f>
        <v>A018</v>
      </c>
      <c r="Y294" s="17" t="str">
        <f aca="false">VLOOKUP(X294,Sheet2!A:B,2,0)</f>
        <v>PRAKASH CHAVDA</v>
      </c>
      <c r="Z294" s="17" t="s">
        <v>150</v>
      </c>
      <c r="AA294" s="17" t="s">
        <v>204</v>
      </c>
      <c r="AB294" s="17" t="s">
        <v>41</v>
      </c>
      <c r="AC294" s="0" t="str">
        <f aca="false">LEFT(G294,2)</f>
        <v>95</v>
      </c>
      <c r="AD294" s="0"/>
      <c r="AE294" s="21" t="s">
        <v>42</v>
      </c>
    </row>
    <row r="295" customFormat="false" ht="15" hidden="false" customHeight="false" outlineLevel="0" collapsed="false">
      <c r="A295" s="13" t="n">
        <f aca="false">1+A294</f>
        <v>293</v>
      </c>
      <c r="B295" s="17" t="n">
        <v>1009606642</v>
      </c>
      <c r="C295" s="17" t="s">
        <v>181</v>
      </c>
      <c r="D295" s="17" t="s">
        <v>190</v>
      </c>
      <c r="E295" s="17" t="s">
        <v>64</v>
      </c>
      <c r="F295" s="18" t="s">
        <v>70</v>
      </c>
      <c r="G295" s="19" t="n">
        <v>954230174276</v>
      </c>
      <c r="H295" s="17" t="s">
        <v>134</v>
      </c>
      <c r="I295" s="17" t="s">
        <v>44</v>
      </c>
      <c r="J295" s="17" t="s">
        <v>106</v>
      </c>
      <c r="K295" s="17" t="str">
        <f aca="false">VLOOKUP(J295,Sheet2!A:B,2,0)</f>
        <v>PRAKASH CHAVDA</v>
      </c>
      <c r="L295" s="17" t="n">
        <v>5</v>
      </c>
      <c r="M295" s="17" t="str">
        <f aca="false">VLOOKUP(L295,Sheet2!D:E,2,0)</f>
        <v>Main Processor CPU BGA</v>
      </c>
      <c r="N295" s="17" t="n">
        <v>1</v>
      </c>
      <c r="O295" s="17" t="str">
        <f aca="false">VLOOKUP(N295,Sheet2!G:H,2,0)</f>
        <v>Dead</v>
      </c>
      <c r="P295" s="17" t="n">
        <v>12</v>
      </c>
      <c r="Q295" s="17" t="str">
        <f aca="false">VLOOKUP(P295,Sheet2!J:K,2,0)</f>
        <v>IR Declared due to Others ( IR Normal)TB</v>
      </c>
      <c r="R295" s="17" t="s">
        <v>35</v>
      </c>
      <c r="S295" s="17" t="str">
        <f aca="false">VLOOKUP(R295,Sheet2!N:O,2,0)</f>
        <v>IREPARABLE</v>
      </c>
      <c r="T295" s="18" t="str">
        <f aca="false">VLOOKUP(P295,Sheet2!Q:R,2,0)</f>
        <v>IR Normal - BER to IR</v>
      </c>
      <c r="U295" s="20" t="s">
        <v>135</v>
      </c>
      <c r="V295" s="17" t="n">
        <v>12</v>
      </c>
      <c r="W295" s="20" t="str">
        <f aca="false">VLOOKUP(V295,Sheet2!Q:R,2,0)</f>
        <v>IR Normal - BER to IR</v>
      </c>
      <c r="X295" s="17" t="str">
        <f aca="false">J295</f>
        <v>A018</v>
      </c>
      <c r="Y295" s="17" t="str">
        <f aca="false">VLOOKUP(X295,Sheet2!A:B,2,0)</f>
        <v>PRAKASH CHAVDA</v>
      </c>
      <c r="Z295" s="17" t="s">
        <v>150</v>
      </c>
      <c r="AA295" s="17" t="s">
        <v>204</v>
      </c>
      <c r="AB295" s="17" t="s">
        <v>41</v>
      </c>
      <c r="AC295" s="0" t="str">
        <f aca="false">LEFT(G295,2)</f>
        <v>95</v>
      </c>
      <c r="AD295" s="0"/>
      <c r="AE295" s="21" t="s">
        <v>42</v>
      </c>
    </row>
    <row r="296" customFormat="false" ht="15" hidden="false" customHeight="false" outlineLevel="0" collapsed="false">
      <c r="A296" s="13" t="n">
        <f aca="false">1+A295</f>
        <v>294</v>
      </c>
      <c r="B296" s="17" t="n">
        <v>1009616156</v>
      </c>
      <c r="C296" s="17" t="s">
        <v>184</v>
      </c>
      <c r="D296" s="17" t="s">
        <v>64</v>
      </c>
      <c r="E296" s="17" t="s">
        <v>91</v>
      </c>
      <c r="F296" s="18" t="s">
        <v>92</v>
      </c>
      <c r="G296" s="19" t="n">
        <v>955227121188</v>
      </c>
      <c r="H296" s="17" t="s">
        <v>134</v>
      </c>
      <c r="I296" s="17" t="s">
        <v>44</v>
      </c>
      <c r="J296" s="17" t="s">
        <v>106</v>
      </c>
      <c r="K296" s="17" t="str">
        <f aca="false">VLOOKUP(J296,Sheet2!A:B,2,0)</f>
        <v>PRAKASH CHAVDA</v>
      </c>
      <c r="L296" s="17" t="n">
        <v>5</v>
      </c>
      <c r="M296" s="17" t="str">
        <f aca="false">VLOOKUP(L296,Sheet2!D:E,2,0)</f>
        <v>Main Processor CPU BGA</v>
      </c>
      <c r="N296" s="17" t="n">
        <v>1</v>
      </c>
      <c r="O296" s="17" t="str">
        <f aca="false">VLOOKUP(N296,Sheet2!G:H,2,0)</f>
        <v>Dead</v>
      </c>
      <c r="P296" s="17" t="n">
        <v>12</v>
      </c>
      <c r="Q296" s="17" t="str">
        <f aca="false">VLOOKUP(P296,Sheet2!J:K,2,0)</f>
        <v>IR Declared due to Others ( IR Normal)TB</v>
      </c>
      <c r="R296" s="17" t="s">
        <v>35</v>
      </c>
      <c r="S296" s="17" t="str">
        <f aca="false">VLOOKUP(R296,Sheet2!N:O,2,0)</f>
        <v>IREPARABLE</v>
      </c>
      <c r="T296" s="18" t="str">
        <f aca="false">VLOOKUP(P296,Sheet2!Q:R,2,0)</f>
        <v>IR Normal - BER to IR</v>
      </c>
      <c r="U296" s="20" t="s">
        <v>135</v>
      </c>
      <c r="V296" s="17" t="n">
        <v>12</v>
      </c>
      <c r="W296" s="20" t="str">
        <f aca="false">VLOOKUP(V296,Sheet2!Q:R,2,0)</f>
        <v>IR Normal - BER to IR</v>
      </c>
      <c r="X296" s="17" t="str">
        <f aca="false">J296</f>
        <v>A018</v>
      </c>
      <c r="Y296" s="17" t="str">
        <f aca="false">VLOOKUP(X296,Sheet2!A:B,2,0)</f>
        <v>PRAKASH CHAVDA</v>
      </c>
      <c r="Z296" s="17" t="s">
        <v>150</v>
      </c>
      <c r="AA296" s="17" t="s">
        <v>204</v>
      </c>
      <c r="AB296" s="17" t="s">
        <v>41</v>
      </c>
      <c r="AC296" s="0" t="str">
        <f aca="false">LEFT(G296,2)</f>
        <v>95</v>
      </c>
      <c r="AD296" s="0"/>
      <c r="AE296" s="21" t="s">
        <v>42</v>
      </c>
    </row>
    <row r="297" customFormat="false" ht="15" hidden="false" customHeight="false" outlineLevel="0" collapsed="false">
      <c r="A297" s="13" t="n">
        <f aca="false">1+A296</f>
        <v>295</v>
      </c>
      <c r="B297" s="17" t="n">
        <v>1009582536</v>
      </c>
      <c r="C297" s="17" t="s">
        <v>104</v>
      </c>
      <c r="D297" s="17" t="s">
        <v>214</v>
      </c>
      <c r="E297" s="17" t="s">
        <v>47</v>
      </c>
      <c r="F297" s="18" t="s">
        <v>34</v>
      </c>
      <c r="G297" s="19" t="n">
        <v>955222153608</v>
      </c>
      <c r="H297" s="17" t="s">
        <v>134</v>
      </c>
      <c r="I297" s="17" t="s">
        <v>44</v>
      </c>
      <c r="J297" s="17" t="s">
        <v>106</v>
      </c>
      <c r="K297" s="17" t="str">
        <f aca="false">VLOOKUP(J297,Sheet2!A:B,2,0)</f>
        <v>PRAKASH CHAVDA</v>
      </c>
      <c r="L297" s="17" t="n">
        <v>5</v>
      </c>
      <c r="M297" s="17" t="str">
        <f aca="false">VLOOKUP(L297,Sheet2!D:E,2,0)</f>
        <v>Main Processor CPU BGA</v>
      </c>
      <c r="N297" s="17" t="n">
        <v>24</v>
      </c>
      <c r="O297" s="17" t="str">
        <f aca="false">VLOOKUP(N297,Sheet2!G:H,2,0)</f>
        <v>STB Auto moving -Stand by mode</v>
      </c>
      <c r="P297" s="17" t="n">
        <v>12</v>
      </c>
      <c r="Q297" s="17" t="str">
        <f aca="false">VLOOKUP(P297,Sheet2!J:K,2,0)</f>
        <v>IR Declared due to Others ( IR Normal)TB</v>
      </c>
      <c r="R297" s="17" t="s">
        <v>35</v>
      </c>
      <c r="S297" s="17" t="str">
        <f aca="false">VLOOKUP(R297,Sheet2!N:O,2,0)</f>
        <v>IREPARABLE</v>
      </c>
      <c r="T297" s="18" t="str">
        <f aca="false">VLOOKUP(P297,Sheet2!Q:R,2,0)</f>
        <v>IR Normal - BER to IR</v>
      </c>
      <c r="U297" s="20" t="s">
        <v>135</v>
      </c>
      <c r="V297" s="17" t="n">
        <v>12</v>
      </c>
      <c r="W297" s="20" t="str">
        <f aca="false">VLOOKUP(V297,Sheet2!Q:R,2,0)</f>
        <v>IR Normal - BER to IR</v>
      </c>
      <c r="X297" s="17" t="str">
        <f aca="false">J297</f>
        <v>A018</v>
      </c>
      <c r="Y297" s="17" t="str">
        <f aca="false">VLOOKUP(X297,Sheet2!A:B,2,0)</f>
        <v>PRAKASH CHAVDA</v>
      </c>
      <c r="Z297" s="17" t="s">
        <v>150</v>
      </c>
      <c r="AA297" s="17" t="s">
        <v>204</v>
      </c>
      <c r="AB297" s="17" t="s">
        <v>41</v>
      </c>
      <c r="AC297" s="0" t="str">
        <f aca="false">LEFT(G297,2)</f>
        <v>95</v>
      </c>
      <c r="AD297" s="0"/>
      <c r="AE297" s="21" t="s">
        <v>42</v>
      </c>
    </row>
    <row r="298" customFormat="false" ht="15" hidden="false" customHeight="false" outlineLevel="0" collapsed="false">
      <c r="A298" s="13" t="n">
        <f aca="false">1+A297</f>
        <v>296</v>
      </c>
      <c r="B298" s="17" t="n">
        <v>1009607746</v>
      </c>
      <c r="C298" s="17" t="s">
        <v>181</v>
      </c>
      <c r="D298" s="17" t="s">
        <v>190</v>
      </c>
      <c r="E298" s="17" t="s">
        <v>91</v>
      </c>
      <c r="F298" s="18" t="s">
        <v>92</v>
      </c>
      <c r="G298" s="19" t="n">
        <v>954196129678</v>
      </c>
      <c r="H298" s="17" t="s">
        <v>134</v>
      </c>
      <c r="I298" s="17" t="s">
        <v>44</v>
      </c>
      <c r="J298" s="17" t="s">
        <v>106</v>
      </c>
      <c r="K298" s="17" t="str">
        <f aca="false">VLOOKUP(J298,Sheet2!A:B,2,0)</f>
        <v>PRAKASH CHAVDA</v>
      </c>
      <c r="L298" s="17" t="n">
        <v>5</v>
      </c>
      <c r="M298" s="17" t="str">
        <f aca="false">VLOOKUP(L298,Sheet2!D:E,2,0)</f>
        <v>Main Processor CPU BGA</v>
      </c>
      <c r="N298" s="17" t="n">
        <v>24</v>
      </c>
      <c r="O298" s="17" t="str">
        <f aca="false">VLOOKUP(N298,Sheet2!G:H,2,0)</f>
        <v>STB Auto moving -Stand by mode</v>
      </c>
      <c r="P298" s="17" t="n">
        <v>12</v>
      </c>
      <c r="Q298" s="17" t="str">
        <f aca="false">VLOOKUP(P298,Sheet2!J:K,2,0)</f>
        <v>IR Declared due to Others ( IR Normal)TB</v>
      </c>
      <c r="R298" s="17" t="s">
        <v>35</v>
      </c>
      <c r="S298" s="17" t="str">
        <f aca="false">VLOOKUP(R298,Sheet2!N:O,2,0)</f>
        <v>IREPARABLE</v>
      </c>
      <c r="T298" s="18" t="str">
        <f aca="false">VLOOKUP(P298,Sheet2!Q:R,2,0)</f>
        <v>IR Normal - BER to IR</v>
      </c>
      <c r="U298" s="20" t="s">
        <v>135</v>
      </c>
      <c r="V298" s="17" t="n">
        <v>12</v>
      </c>
      <c r="W298" s="20" t="str">
        <f aca="false">VLOOKUP(V298,Sheet2!Q:R,2,0)</f>
        <v>IR Normal - BER to IR</v>
      </c>
      <c r="X298" s="17" t="str">
        <f aca="false">J298</f>
        <v>A018</v>
      </c>
      <c r="Y298" s="17" t="str">
        <f aca="false">VLOOKUP(X298,Sheet2!A:B,2,0)</f>
        <v>PRAKASH CHAVDA</v>
      </c>
      <c r="Z298" s="17" t="s">
        <v>150</v>
      </c>
      <c r="AA298" s="17" t="s">
        <v>204</v>
      </c>
      <c r="AB298" s="17" t="s">
        <v>41</v>
      </c>
      <c r="AC298" s="0" t="str">
        <f aca="false">LEFT(G298,2)</f>
        <v>95</v>
      </c>
      <c r="AD298" s="0"/>
      <c r="AE298" s="21" t="s">
        <v>42</v>
      </c>
    </row>
    <row r="299" customFormat="false" ht="15" hidden="false" customHeight="false" outlineLevel="0" collapsed="false">
      <c r="A299" s="13" t="n">
        <f aca="false">1+A298</f>
        <v>297</v>
      </c>
      <c r="B299" s="17" t="n">
        <v>1009663407</v>
      </c>
      <c r="C299" s="17" t="s">
        <v>192</v>
      </c>
      <c r="D299" s="17" t="s">
        <v>131</v>
      </c>
      <c r="E299" s="17" t="s">
        <v>33</v>
      </c>
      <c r="F299" s="18" t="s">
        <v>34</v>
      </c>
      <c r="G299" s="19" t="n">
        <v>954345137986</v>
      </c>
      <c r="H299" s="17" t="s">
        <v>134</v>
      </c>
      <c r="I299" s="17" t="s">
        <v>44</v>
      </c>
      <c r="J299" s="17" t="s">
        <v>106</v>
      </c>
      <c r="K299" s="17" t="str">
        <f aca="false">VLOOKUP(J299,Sheet2!A:B,2,0)</f>
        <v>PRAKASH CHAVDA</v>
      </c>
      <c r="L299" s="17" t="n">
        <v>5</v>
      </c>
      <c r="M299" s="17" t="str">
        <f aca="false">VLOOKUP(L299,Sheet2!D:E,2,0)</f>
        <v>Main Processor CPU BGA</v>
      </c>
      <c r="N299" s="17" t="n">
        <v>24</v>
      </c>
      <c r="O299" s="17" t="str">
        <f aca="false">VLOOKUP(N299,Sheet2!G:H,2,0)</f>
        <v>STB Auto moving -Stand by mode</v>
      </c>
      <c r="P299" s="17" t="n">
        <v>12</v>
      </c>
      <c r="Q299" s="17" t="str">
        <f aca="false">VLOOKUP(P299,Sheet2!J:K,2,0)</f>
        <v>IR Declared due to Others ( IR Normal)TB</v>
      </c>
      <c r="R299" s="17" t="s">
        <v>35</v>
      </c>
      <c r="S299" s="17" t="str">
        <f aca="false">VLOOKUP(R299,Sheet2!N:O,2,0)</f>
        <v>IREPARABLE</v>
      </c>
      <c r="T299" s="18" t="str">
        <f aca="false">VLOOKUP(P299,Sheet2!Q:R,2,0)</f>
        <v>IR Normal - BER to IR</v>
      </c>
      <c r="U299" s="20" t="s">
        <v>135</v>
      </c>
      <c r="V299" s="17" t="n">
        <v>12</v>
      </c>
      <c r="W299" s="20" t="str">
        <f aca="false">VLOOKUP(V299,Sheet2!Q:R,2,0)</f>
        <v>IR Normal - BER to IR</v>
      </c>
      <c r="X299" s="17" t="str">
        <f aca="false">J299</f>
        <v>A018</v>
      </c>
      <c r="Y299" s="17" t="str">
        <f aca="false">VLOOKUP(X299,Sheet2!A:B,2,0)</f>
        <v>PRAKASH CHAVDA</v>
      </c>
      <c r="Z299" s="17" t="s">
        <v>150</v>
      </c>
      <c r="AA299" s="17" t="s">
        <v>204</v>
      </c>
      <c r="AB299" s="17" t="s">
        <v>41</v>
      </c>
      <c r="AC299" s="0" t="str">
        <f aca="false">LEFT(G299,2)</f>
        <v>95</v>
      </c>
      <c r="AD299" s="0"/>
      <c r="AE299" s="21" t="s">
        <v>42</v>
      </c>
    </row>
    <row r="300" customFormat="false" ht="15" hidden="false" customHeight="false" outlineLevel="0" collapsed="false">
      <c r="A300" s="13" t="n">
        <f aca="false">1+A299</f>
        <v>298</v>
      </c>
      <c r="B300" s="17" t="n">
        <v>1009567908</v>
      </c>
      <c r="C300" s="17" t="s">
        <v>102</v>
      </c>
      <c r="D300" s="17" t="s">
        <v>64</v>
      </c>
      <c r="E300" s="17" t="s">
        <v>64</v>
      </c>
      <c r="F300" s="18" t="s">
        <v>70</v>
      </c>
      <c r="G300" s="19" t="n">
        <v>955230190394</v>
      </c>
      <c r="H300" s="17" t="s">
        <v>134</v>
      </c>
      <c r="I300" s="17" t="s">
        <v>44</v>
      </c>
      <c r="J300" s="17" t="s">
        <v>106</v>
      </c>
      <c r="K300" s="17" t="str">
        <f aca="false">VLOOKUP(J300,Sheet2!A:B,2,0)</f>
        <v>PRAKASH CHAVDA</v>
      </c>
      <c r="L300" s="17" t="n">
        <v>5</v>
      </c>
      <c r="M300" s="17" t="str">
        <f aca="false">VLOOKUP(L300,Sheet2!D:E,2,0)</f>
        <v>Main Processor CPU BGA</v>
      </c>
      <c r="N300" s="17" t="n">
        <v>24</v>
      </c>
      <c r="O300" s="17" t="str">
        <f aca="false">VLOOKUP(N300,Sheet2!G:H,2,0)</f>
        <v>STB Auto moving -Stand by mode</v>
      </c>
      <c r="P300" s="17" t="n">
        <v>12</v>
      </c>
      <c r="Q300" s="17" t="str">
        <f aca="false">VLOOKUP(P300,Sheet2!J:K,2,0)</f>
        <v>IR Declared due to Others ( IR Normal)TB</v>
      </c>
      <c r="R300" s="17" t="s">
        <v>35</v>
      </c>
      <c r="S300" s="17" t="str">
        <f aca="false">VLOOKUP(R300,Sheet2!N:O,2,0)</f>
        <v>IREPARABLE</v>
      </c>
      <c r="T300" s="18" t="str">
        <f aca="false">VLOOKUP(P300,Sheet2!Q:R,2,0)</f>
        <v>IR Normal - BER to IR</v>
      </c>
      <c r="U300" s="20" t="s">
        <v>135</v>
      </c>
      <c r="V300" s="17" t="n">
        <v>12</v>
      </c>
      <c r="W300" s="20" t="str">
        <f aca="false">VLOOKUP(V300,Sheet2!Q:R,2,0)</f>
        <v>IR Normal - BER to IR</v>
      </c>
      <c r="X300" s="17" t="str">
        <f aca="false">J300</f>
        <v>A018</v>
      </c>
      <c r="Y300" s="17" t="str">
        <f aca="false">VLOOKUP(X300,Sheet2!A:B,2,0)</f>
        <v>PRAKASH CHAVDA</v>
      </c>
      <c r="Z300" s="17" t="s">
        <v>150</v>
      </c>
      <c r="AA300" s="17" t="s">
        <v>204</v>
      </c>
      <c r="AB300" s="17" t="s">
        <v>41</v>
      </c>
      <c r="AC300" s="0" t="str">
        <f aca="false">LEFT(G300,2)</f>
        <v>95</v>
      </c>
      <c r="AD300" s="0"/>
      <c r="AE300" s="21" t="s">
        <v>42</v>
      </c>
    </row>
    <row r="301" customFormat="false" ht="15" hidden="false" customHeight="false" outlineLevel="0" collapsed="false">
      <c r="A301" s="13" t="n">
        <f aca="false">1+A300</f>
        <v>299</v>
      </c>
      <c r="B301" s="17" t="n">
        <v>1005985655</v>
      </c>
      <c r="C301" s="17" t="s">
        <v>215</v>
      </c>
      <c r="D301" s="17" t="s">
        <v>64</v>
      </c>
      <c r="E301" s="17" t="s">
        <v>64</v>
      </c>
      <c r="F301" s="18" t="s">
        <v>70</v>
      </c>
      <c r="G301" s="19" t="n">
        <v>134023417214</v>
      </c>
      <c r="H301" s="17" t="s">
        <v>134</v>
      </c>
      <c r="I301" s="17" t="s">
        <v>44</v>
      </c>
      <c r="J301" s="17" t="s">
        <v>106</v>
      </c>
      <c r="K301" s="17" t="str">
        <f aca="false">VLOOKUP(J301,Sheet2!A:B,2,0)</f>
        <v>PRAKASH CHAVDA</v>
      </c>
      <c r="L301" s="17" t="n">
        <v>5</v>
      </c>
      <c r="M301" s="17" t="str">
        <f aca="false">VLOOKUP(L301,Sheet2!D:E,2,0)</f>
        <v>Main Processor CPU BGA</v>
      </c>
      <c r="N301" s="17" t="n">
        <v>1</v>
      </c>
      <c r="O301" s="17" t="str">
        <f aca="false">VLOOKUP(N301,Sheet2!G:H,2,0)</f>
        <v>Dead</v>
      </c>
      <c r="P301" s="17" t="n">
        <v>12</v>
      </c>
      <c r="Q301" s="17" t="str">
        <f aca="false">VLOOKUP(P301,Sheet2!J:K,2,0)</f>
        <v>IR Declared due to Others ( IR Normal)TB</v>
      </c>
      <c r="R301" s="17" t="s">
        <v>35</v>
      </c>
      <c r="S301" s="17" t="str">
        <f aca="false">VLOOKUP(R301,Sheet2!N:O,2,0)</f>
        <v>IREPARABLE</v>
      </c>
      <c r="T301" s="18" t="str">
        <f aca="false">VLOOKUP(P301,Sheet2!Q:R,2,0)</f>
        <v>IR Normal - BER to IR</v>
      </c>
      <c r="U301" s="20" t="s">
        <v>135</v>
      </c>
      <c r="V301" s="17" t="n">
        <v>12</v>
      </c>
      <c r="W301" s="20" t="str">
        <f aca="false">VLOOKUP(V301,Sheet2!Q:R,2,0)</f>
        <v>IR Normal - BER to IR</v>
      </c>
      <c r="X301" s="17" t="str">
        <f aca="false">J301</f>
        <v>A018</v>
      </c>
      <c r="Y301" s="17" t="str">
        <f aca="false">VLOOKUP(X301,Sheet2!A:B,2,0)</f>
        <v>PRAKASH CHAVDA</v>
      </c>
      <c r="Z301" s="17" t="s">
        <v>136</v>
      </c>
      <c r="AA301" s="17" t="s">
        <v>204</v>
      </c>
      <c r="AB301" s="17" t="s">
        <v>41</v>
      </c>
      <c r="AC301" s="0" t="str">
        <f aca="false">LEFT(G301,2)</f>
        <v>13</v>
      </c>
      <c r="AD301" s="0"/>
      <c r="AE301" s="21" t="s">
        <v>42</v>
      </c>
    </row>
    <row r="302" customFormat="false" ht="15" hidden="false" customHeight="false" outlineLevel="0" collapsed="false">
      <c r="A302" s="13" t="n">
        <f aca="false">1+A301</f>
        <v>300</v>
      </c>
      <c r="B302" s="17" t="n">
        <v>1009394471</v>
      </c>
      <c r="C302" s="17" t="s">
        <v>80</v>
      </c>
      <c r="D302" s="17" t="s">
        <v>64</v>
      </c>
      <c r="E302" s="17" t="s">
        <v>47</v>
      </c>
      <c r="F302" s="18" t="s">
        <v>34</v>
      </c>
      <c r="G302" s="19" t="n">
        <v>134240283389</v>
      </c>
      <c r="H302" s="17" t="s">
        <v>134</v>
      </c>
      <c r="I302" s="17" t="s">
        <v>44</v>
      </c>
      <c r="J302" s="17" t="s">
        <v>106</v>
      </c>
      <c r="K302" s="17" t="str">
        <f aca="false">VLOOKUP(J302,Sheet2!A:B,2,0)</f>
        <v>PRAKASH CHAVDA</v>
      </c>
      <c r="L302" s="17" t="n">
        <v>5</v>
      </c>
      <c r="M302" s="17" t="str">
        <f aca="false">VLOOKUP(L302,Sheet2!D:E,2,0)</f>
        <v>Main Processor CPU BGA</v>
      </c>
      <c r="N302" s="17" t="n">
        <v>1</v>
      </c>
      <c r="O302" s="17" t="str">
        <f aca="false">VLOOKUP(N302,Sheet2!G:H,2,0)</f>
        <v>Dead</v>
      </c>
      <c r="P302" s="17" t="n">
        <v>12</v>
      </c>
      <c r="Q302" s="17" t="str">
        <f aca="false">VLOOKUP(P302,Sheet2!J:K,2,0)</f>
        <v>IR Declared due to Others ( IR Normal)TB</v>
      </c>
      <c r="R302" s="17" t="s">
        <v>35</v>
      </c>
      <c r="S302" s="17" t="str">
        <f aca="false">VLOOKUP(R302,Sheet2!N:O,2,0)</f>
        <v>IREPARABLE</v>
      </c>
      <c r="T302" s="18" t="str">
        <f aca="false">VLOOKUP(P302,Sheet2!Q:R,2,0)</f>
        <v>IR Normal - BER to IR</v>
      </c>
      <c r="U302" s="20" t="s">
        <v>135</v>
      </c>
      <c r="V302" s="17" t="n">
        <v>12</v>
      </c>
      <c r="W302" s="20" t="str">
        <f aca="false">VLOOKUP(V302,Sheet2!Q:R,2,0)</f>
        <v>IR Normal - BER to IR</v>
      </c>
      <c r="X302" s="17" t="str">
        <f aca="false">J302</f>
        <v>A018</v>
      </c>
      <c r="Y302" s="17" t="str">
        <f aca="false">VLOOKUP(X302,Sheet2!A:B,2,0)</f>
        <v>PRAKASH CHAVDA</v>
      </c>
      <c r="Z302" s="17" t="s">
        <v>136</v>
      </c>
      <c r="AA302" s="17" t="s">
        <v>204</v>
      </c>
      <c r="AB302" s="17" t="s">
        <v>41</v>
      </c>
      <c r="AC302" s="0" t="str">
        <f aca="false">LEFT(G302,2)</f>
        <v>13</v>
      </c>
      <c r="AD302" s="0"/>
      <c r="AE302" s="21" t="s">
        <v>42</v>
      </c>
    </row>
    <row r="303" customFormat="false" ht="15" hidden="false" customHeight="false" outlineLevel="0" collapsed="false">
      <c r="A303" s="13" t="n">
        <f aca="false">1+A302</f>
        <v>301</v>
      </c>
      <c r="B303" s="17" t="n">
        <v>1009610808</v>
      </c>
      <c r="C303" s="17" t="s">
        <v>181</v>
      </c>
      <c r="D303" s="17" t="s">
        <v>88</v>
      </c>
      <c r="E303" s="17" t="s">
        <v>47</v>
      </c>
      <c r="F303" s="18" t="s">
        <v>34</v>
      </c>
      <c r="G303" s="19" t="n">
        <v>134273002086</v>
      </c>
      <c r="H303" s="17" t="s">
        <v>134</v>
      </c>
      <c r="I303" s="17" t="s">
        <v>44</v>
      </c>
      <c r="J303" s="17" t="s">
        <v>106</v>
      </c>
      <c r="K303" s="17" t="str">
        <f aca="false">VLOOKUP(J303,Sheet2!A:B,2,0)</f>
        <v>PRAKASH CHAVDA</v>
      </c>
      <c r="L303" s="17" t="n">
        <v>5</v>
      </c>
      <c r="M303" s="17" t="str">
        <f aca="false">VLOOKUP(L303,Sheet2!D:E,2,0)</f>
        <v>Main Processor CPU BGA</v>
      </c>
      <c r="N303" s="17" t="n">
        <v>1</v>
      </c>
      <c r="O303" s="17" t="str">
        <f aca="false">VLOOKUP(N303,Sheet2!G:H,2,0)</f>
        <v>Dead</v>
      </c>
      <c r="P303" s="17" t="n">
        <v>12</v>
      </c>
      <c r="Q303" s="17" t="str">
        <f aca="false">VLOOKUP(P303,Sheet2!J:K,2,0)</f>
        <v>IR Declared due to Others ( IR Normal)TB</v>
      </c>
      <c r="R303" s="17" t="s">
        <v>35</v>
      </c>
      <c r="S303" s="17" t="str">
        <f aca="false">VLOOKUP(R303,Sheet2!N:O,2,0)</f>
        <v>IREPARABLE</v>
      </c>
      <c r="T303" s="18" t="str">
        <f aca="false">VLOOKUP(P303,Sheet2!Q:R,2,0)</f>
        <v>IR Normal - BER to IR</v>
      </c>
      <c r="U303" s="20" t="s">
        <v>135</v>
      </c>
      <c r="V303" s="17" t="n">
        <v>12</v>
      </c>
      <c r="W303" s="20" t="str">
        <f aca="false">VLOOKUP(V303,Sheet2!Q:R,2,0)</f>
        <v>IR Normal - BER to IR</v>
      </c>
      <c r="X303" s="17" t="str">
        <f aca="false">J303</f>
        <v>A018</v>
      </c>
      <c r="Y303" s="17" t="str">
        <f aca="false">VLOOKUP(X303,Sheet2!A:B,2,0)</f>
        <v>PRAKASH CHAVDA</v>
      </c>
      <c r="Z303" s="17" t="s">
        <v>136</v>
      </c>
      <c r="AA303" s="17" t="s">
        <v>204</v>
      </c>
      <c r="AB303" s="17" t="s">
        <v>41</v>
      </c>
      <c r="AC303" s="0" t="str">
        <f aca="false">LEFT(G303,2)</f>
        <v>13</v>
      </c>
      <c r="AD303" s="0"/>
      <c r="AE303" s="21" t="s">
        <v>42</v>
      </c>
    </row>
    <row r="304" customFormat="false" ht="15" hidden="false" customHeight="false" outlineLevel="0" collapsed="false">
      <c r="A304" s="13" t="n">
        <f aca="false">1+A303</f>
        <v>302</v>
      </c>
      <c r="B304" s="17" t="n">
        <v>1009608133</v>
      </c>
      <c r="C304" s="17" t="s">
        <v>95</v>
      </c>
      <c r="D304" s="17" t="s">
        <v>64</v>
      </c>
      <c r="E304" s="17" t="s">
        <v>47</v>
      </c>
      <c r="F304" s="18" t="s">
        <v>34</v>
      </c>
      <c r="G304" s="19" t="n">
        <v>135191021652</v>
      </c>
      <c r="H304" s="17" t="s">
        <v>134</v>
      </c>
      <c r="I304" s="17" t="s">
        <v>44</v>
      </c>
      <c r="J304" s="17" t="s">
        <v>106</v>
      </c>
      <c r="K304" s="17" t="str">
        <f aca="false">VLOOKUP(J304,Sheet2!A:B,2,0)</f>
        <v>PRAKASH CHAVDA</v>
      </c>
      <c r="L304" s="17" t="n">
        <v>5</v>
      </c>
      <c r="M304" s="17" t="str">
        <f aca="false">VLOOKUP(L304,Sheet2!D:E,2,0)</f>
        <v>Main Processor CPU BGA</v>
      </c>
      <c r="N304" s="17" t="n">
        <v>1</v>
      </c>
      <c r="O304" s="17" t="str">
        <f aca="false">VLOOKUP(N304,Sheet2!G:H,2,0)</f>
        <v>Dead</v>
      </c>
      <c r="P304" s="17" t="n">
        <v>12</v>
      </c>
      <c r="Q304" s="17" t="str">
        <f aca="false">VLOOKUP(P304,Sheet2!J:K,2,0)</f>
        <v>IR Declared due to Others ( IR Normal)TB</v>
      </c>
      <c r="R304" s="17" t="s">
        <v>35</v>
      </c>
      <c r="S304" s="17" t="str">
        <f aca="false">VLOOKUP(R304,Sheet2!N:O,2,0)</f>
        <v>IREPARABLE</v>
      </c>
      <c r="T304" s="18" t="str">
        <f aca="false">VLOOKUP(P304,Sheet2!Q:R,2,0)</f>
        <v>IR Normal - BER to IR</v>
      </c>
      <c r="U304" s="20" t="s">
        <v>135</v>
      </c>
      <c r="V304" s="17" t="n">
        <v>12</v>
      </c>
      <c r="W304" s="20" t="str">
        <f aca="false">VLOOKUP(V304,Sheet2!Q:R,2,0)</f>
        <v>IR Normal - BER to IR</v>
      </c>
      <c r="X304" s="17" t="str">
        <f aca="false">J304</f>
        <v>A018</v>
      </c>
      <c r="Y304" s="17" t="str">
        <f aca="false">VLOOKUP(X304,Sheet2!A:B,2,0)</f>
        <v>PRAKASH CHAVDA</v>
      </c>
      <c r="Z304" s="17" t="s">
        <v>136</v>
      </c>
      <c r="AA304" s="17" t="s">
        <v>204</v>
      </c>
      <c r="AB304" s="17" t="s">
        <v>41</v>
      </c>
      <c r="AC304" s="0" t="str">
        <f aca="false">LEFT(G304,2)</f>
        <v>13</v>
      </c>
      <c r="AD304" s="0"/>
      <c r="AE304" s="21" t="s">
        <v>42</v>
      </c>
    </row>
    <row r="305" customFormat="false" ht="15" hidden="false" customHeight="false" outlineLevel="0" collapsed="false">
      <c r="A305" s="13" t="n">
        <f aca="false">1+A304</f>
        <v>303</v>
      </c>
      <c r="B305" s="17" t="n">
        <v>1009609660</v>
      </c>
      <c r="C305" s="17" t="s">
        <v>181</v>
      </c>
      <c r="D305" s="17" t="s">
        <v>113</v>
      </c>
      <c r="E305" s="17" t="s">
        <v>178</v>
      </c>
      <c r="F305" s="18" t="s">
        <v>34</v>
      </c>
      <c r="G305" s="19" t="n">
        <v>135217002280</v>
      </c>
      <c r="H305" s="17" t="s">
        <v>134</v>
      </c>
      <c r="I305" s="17" t="s">
        <v>44</v>
      </c>
      <c r="J305" s="17" t="s">
        <v>106</v>
      </c>
      <c r="K305" s="17" t="str">
        <f aca="false">VLOOKUP(J305,Sheet2!A:B,2,0)</f>
        <v>PRAKASH CHAVDA</v>
      </c>
      <c r="L305" s="17" t="n">
        <v>5</v>
      </c>
      <c r="M305" s="17" t="str">
        <f aca="false">VLOOKUP(L305,Sheet2!D:E,2,0)</f>
        <v>Main Processor CPU BGA</v>
      </c>
      <c r="N305" s="17" t="n">
        <v>1</v>
      </c>
      <c r="O305" s="17" t="str">
        <f aca="false">VLOOKUP(N305,Sheet2!G:H,2,0)</f>
        <v>Dead</v>
      </c>
      <c r="P305" s="17" t="n">
        <v>12</v>
      </c>
      <c r="Q305" s="17" t="str">
        <f aca="false">VLOOKUP(P305,Sheet2!J:K,2,0)</f>
        <v>IR Declared due to Others ( IR Normal)TB</v>
      </c>
      <c r="R305" s="17" t="s">
        <v>35</v>
      </c>
      <c r="S305" s="17" t="str">
        <f aca="false">VLOOKUP(R305,Sheet2!N:O,2,0)</f>
        <v>IREPARABLE</v>
      </c>
      <c r="T305" s="18" t="str">
        <f aca="false">VLOOKUP(P305,Sheet2!Q:R,2,0)</f>
        <v>IR Normal - BER to IR</v>
      </c>
      <c r="U305" s="20" t="s">
        <v>135</v>
      </c>
      <c r="V305" s="17" t="n">
        <v>12</v>
      </c>
      <c r="W305" s="20" t="str">
        <f aca="false">VLOOKUP(V305,Sheet2!Q:R,2,0)</f>
        <v>IR Normal - BER to IR</v>
      </c>
      <c r="X305" s="17" t="str">
        <f aca="false">J305</f>
        <v>A018</v>
      </c>
      <c r="Y305" s="17" t="str">
        <f aca="false">VLOOKUP(X305,Sheet2!A:B,2,0)</f>
        <v>PRAKASH CHAVDA</v>
      </c>
      <c r="Z305" s="17" t="s">
        <v>136</v>
      </c>
      <c r="AA305" s="17" t="s">
        <v>204</v>
      </c>
      <c r="AB305" s="17" t="s">
        <v>41</v>
      </c>
      <c r="AC305" s="0" t="str">
        <f aca="false">LEFT(G305,2)</f>
        <v>13</v>
      </c>
      <c r="AD305" s="0"/>
      <c r="AE305" s="21" t="s">
        <v>42</v>
      </c>
    </row>
    <row r="306" customFormat="false" ht="15" hidden="false" customHeight="false" outlineLevel="0" collapsed="false">
      <c r="A306" s="13" t="n">
        <f aca="false">1+A305</f>
        <v>304</v>
      </c>
      <c r="B306" s="17" t="n">
        <v>1009610779</v>
      </c>
      <c r="C306" s="17" t="s">
        <v>181</v>
      </c>
      <c r="D306" s="17" t="s">
        <v>64</v>
      </c>
      <c r="E306" s="17" t="s">
        <v>64</v>
      </c>
      <c r="F306" s="18" t="s">
        <v>70</v>
      </c>
      <c r="G306" s="19" t="n">
        <v>134211190746</v>
      </c>
      <c r="H306" s="17" t="s">
        <v>134</v>
      </c>
      <c r="I306" s="17" t="s">
        <v>44</v>
      </c>
      <c r="J306" s="17" t="s">
        <v>106</v>
      </c>
      <c r="K306" s="17" t="str">
        <f aca="false">VLOOKUP(J306,Sheet2!A:B,2,0)</f>
        <v>PRAKASH CHAVDA</v>
      </c>
      <c r="L306" s="17" t="n">
        <v>5</v>
      </c>
      <c r="M306" s="17" t="str">
        <f aca="false">VLOOKUP(L306,Sheet2!D:E,2,0)</f>
        <v>Main Processor CPU BGA</v>
      </c>
      <c r="N306" s="17" t="n">
        <v>1</v>
      </c>
      <c r="O306" s="17" t="str">
        <f aca="false">VLOOKUP(N306,Sheet2!G:H,2,0)</f>
        <v>Dead</v>
      </c>
      <c r="P306" s="17" t="n">
        <v>12</v>
      </c>
      <c r="Q306" s="17" t="str">
        <f aca="false">VLOOKUP(P306,Sheet2!J:K,2,0)</f>
        <v>IR Declared due to Others ( IR Normal)TB</v>
      </c>
      <c r="R306" s="17" t="s">
        <v>35</v>
      </c>
      <c r="S306" s="17" t="str">
        <f aca="false">VLOOKUP(R306,Sheet2!N:O,2,0)</f>
        <v>IREPARABLE</v>
      </c>
      <c r="T306" s="18" t="str">
        <f aca="false">VLOOKUP(P306,Sheet2!Q:R,2,0)</f>
        <v>IR Normal - BER to IR</v>
      </c>
      <c r="U306" s="20" t="s">
        <v>135</v>
      </c>
      <c r="V306" s="17" t="n">
        <v>12</v>
      </c>
      <c r="W306" s="20" t="str">
        <f aca="false">VLOOKUP(V306,Sheet2!Q:R,2,0)</f>
        <v>IR Normal - BER to IR</v>
      </c>
      <c r="X306" s="17" t="str">
        <f aca="false">J306</f>
        <v>A018</v>
      </c>
      <c r="Y306" s="17" t="str">
        <f aca="false">VLOOKUP(X306,Sheet2!A:B,2,0)</f>
        <v>PRAKASH CHAVDA</v>
      </c>
      <c r="Z306" s="17" t="s">
        <v>136</v>
      </c>
      <c r="AA306" s="17" t="s">
        <v>204</v>
      </c>
      <c r="AB306" s="17" t="s">
        <v>41</v>
      </c>
      <c r="AC306" s="0" t="str">
        <f aca="false">LEFT(G306,2)</f>
        <v>13</v>
      </c>
      <c r="AD306" s="0"/>
      <c r="AE306" s="21" t="s">
        <v>42</v>
      </c>
    </row>
    <row r="307" customFormat="false" ht="15" hidden="false" customHeight="false" outlineLevel="0" collapsed="false">
      <c r="A307" s="13" t="n">
        <f aca="false">1+A306</f>
        <v>305</v>
      </c>
      <c r="B307" s="17" t="n">
        <v>1009607769</v>
      </c>
      <c r="C307" s="17" t="s">
        <v>181</v>
      </c>
      <c r="D307" s="17" t="s">
        <v>88</v>
      </c>
      <c r="E307" s="17" t="s">
        <v>47</v>
      </c>
      <c r="F307" s="18" t="s">
        <v>34</v>
      </c>
      <c r="G307" s="19" t="n">
        <v>134268436000</v>
      </c>
      <c r="H307" s="17" t="s">
        <v>134</v>
      </c>
      <c r="I307" s="17" t="s">
        <v>44</v>
      </c>
      <c r="J307" s="17" t="s">
        <v>106</v>
      </c>
      <c r="K307" s="17" t="str">
        <f aca="false">VLOOKUP(J307,Sheet2!A:B,2,0)</f>
        <v>PRAKASH CHAVDA</v>
      </c>
      <c r="L307" s="17" t="n">
        <v>5</v>
      </c>
      <c r="M307" s="17" t="str">
        <f aca="false">VLOOKUP(L307,Sheet2!D:E,2,0)</f>
        <v>Main Processor CPU BGA</v>
      </c>
      <c r="N307" s="17" t="n">
        <v>24</v>
      </c>
      <c r="O307" s="17" t="str">
        <f aca="false">VLOOKUP(N307,Sheet2!G:H,2,0)</f>
        <v>STB Auto moving -Stand by mode</v>
      </c>
      <c r="P307" s="17" t="n">
        <v>12</v>
      </c>
      <c r="Q307" s="17" t="str">
        <f aca="false">VLOOKUP(P307,Sheet2!J:K,2,0)</f>
        <v>IR Declared due to Others ( IR Normal)TB</v>
      </c>
      <c r="R307" s="17" t="s">
        <v>35</v>
      </c>
      <c r="S307" s="17" t="str">
        <f aca="false">VLOOKUP(R307,Sheet2!N:O,2,0)</f>
        <v>IREPARABLE</v>
      </c>
      <c r="T307" s="18" t="str">
        <f aca="false">VLOOKUP(P307,Sheet2!Q:R,2,0)</f>
        <v>IR Normal - BER to IR</v>
      </c>
      <c r="U307" s="20" t="s">
        <v>135</v>
      </c>
      <c r="V307" s="17" t="n">
        <v>12</v>
      </c>
      <c r="W307" s="20" t="str">
        <f aca="false">VLOOKUP(V307,Sheet2!Q:R,2,0)</f>
        <v>IR Normal - BER to IR</v>
      </c>
      <c r="X307" s="17" t="str">
        <f aca="false">J307</f>
        <v>A018</v>
      </c>
      <c r="Y307" s="17" t="str">
        <f aca="false">VLOOKUP(X307,Sheet2!A:B,2,0)</f>
        <v>PRAKASH CHAVDA</v>
      </c>
      <c r="Z307" s="17" t="s">
        <v>136</v>
      </c>
      <c r="AA307" s="17" t="s">
        <v>204</v>
      </c>
      <c r="AB307" s="17" t="s">
        <v>41</v>
      </c>
      <c r="AC307" s="0" t="str">
        <f aca="false">LEFT(G307,2)</f>
        <v>13</v>
      </c>
      <c r="AD307" s="0"/>
      <c r="AE307" s="21" t="s">
        <v>42</v>
      </c>
    </row>
    <row r="308" customFormat="false" ht="15" hidden="false" customHeight="false" outlineLevel="0" collapsed="false">
      <c r="A308" s="13" t="n">
        <f aca="false">1+A307</f>
        <v>306</v>
      </c>
      <c r="B308" s="17" t="n">
        <v>1009606670</v>
      </c>
      <c r="C308" s="17" t="s">
        <v>216</v>
      </c>
      <c r="D308" s="17" t="s">
        <v>108</v>
      </c>
      <c r="E308" s="17" t="s">
        <v>91</v>
      </c>
      <c r="F308" s="18" t="s">
        <v>92</v>
      </c>
      <c r="G308" s="19" t="n">
        <v>134127449889</v>
      </c>
      <c r="H308" s="17" t="s">
        <v>134</v>
      </c>
      <c r="I308" s="17" t="s">
        <v>44</v>
      </c>
      <c r="J308" s="17" t="s">
        <v>106</v>
      </c>
      <c r="K308" s="17" t="str">
        <f aca="false">VLOOKUP(J308,Sheet2!A:B,2,0)</f>
        <v>PRAKASH CHAVDA</v>
      </c>
      <c r="L308" s="17" t="n">
        <v>5</v>
      </c>
      <c r="M308" s="17" t="str">
        <f aca="false">VLOOKUP(L308,Sheet2!D:E,2,0)</f>
        <v>Main Processor CPU BGA</v>
      </c>
      <c r="N308" s="17" t="n">
        <v>1</v>
      </c>
      <c r="O308" s="17" t="str">
        <f aca="false">VLOOKUP(N308,Sheet2!G:H,2,0)</f>
        <v>Dead</v>
      </c>
      <c r="P308" s="17" t="n">
        <v>12</v>
      </c>
      <c r="Q308" s="17" t="str">
        <f aca="false">VLOOKUP(P308,Sheet2!J:K,2,0)</f>
        <v>IR Declared due to Others ( IR Normal)TB</v>
      </c>
      <c r="R308" s="17" t="s">
        <v>35</v>
      </c>
      <c r="S308" s="17" t="str">
        <f aca="false">VLOOKUP(R308,Sheet2!N:O,2,0)</f>
        <v>IREPARABLE</v>
      </c>
      <c r="T308" s="18" t="str">
        <f aca="false">VLOOKUP(P308,Sheet2!Q:R,2,0)</f>
        <v>IR Normal - BER to IR</v>
      </c>
      <c r="U308" s="20" t="s">
        <v>135</v>
      </c>
      <c r="V308" s="17" t="n">
        <v>12</v>
      </c>
      <c r="W308" s="20" t="str">
        <f aca="false">VLOOKUP(V308,Sheet2!Q:R,2,0)</f>
        <v>IR Normal - BER to IR</v>
      </c>
      <c r="X308" s="17" t="str">
        <f aca="false">J308</f>
        <v>A018</v>
      </c>
      <c r="Y308" s="17" t="str">
        <f aca="false">VLOOKUP(X308,Sheet2!A:B,2,0)</f>
        <v>PRAKASH CHAVDA</v>
      </c>
      <c r="Z308" s="17" t="s">
        <v>136</v>
      </c>
      <c r="AA308" s="17" t="s">
        <v>204</v>
      </c>
      <c r="AB308" s="17" t="s">
        <v>41</v>
      </c>
      <c r="AC308" s="0" t="str">
        <f aca="false">LEFT(G308,2)</f>
        <v>13</v>
      </c>
      <c r="AD308" s="0"/>
      <c r="AE308" s="21" t="s">
        <v>42</v>
      </c>
    </row>
    <row r="309" customFormat="false" ht="15" hidden="false" customHeight="false" outlineLevel="0" collapsed="false">
      <c r="A309" s="13" t="n">
        <f aca="false">1+A308</f>
        <v>307</v>
      </c>
      <c r="B309" s="17" t="n">
        <v>1009608123</v>
      </c>
      <c r="C309" s="17" t="s">
        <v>216</v>
      </c>
      <c r="D309" s="17" t="s">
        <v>64</v>
      </c>
      <c r="E309" s="17" t="s">
        <v>47</v>
      </c>
      <c r="F309" s="18" t="s">
        <v>34</v>
      </c>
      <c r="G309" s="19" t="n">
        <v>135205046463</v>
      </c>
      <c r="H309" s="17" t="s">
        <v>134</v>
      </c>
      <c r="I309" s="17" t="s">
        <v>44</v>
      </c>
      <c r="J309" s="17" t="s">
        <v>106</v>
      </c>
      <c r="K309" s="17" t="str">
        <f aca="false">VLOOKUP(J309,Sheet2!A:B,2,0)</f>
        <v>PRAKASH CHAVDA</v>
      </c>
      <c r="L309" s="17" t="n">
        <v>5</v>
      </c>
      <c r="M309" s="17" t="str">
        <f aca="false">VLOOKUP(L309,Sheet2!D:E,2,0)</f>
        <v>Main Processor CPU BGA</v>
      </c>
      <c r="N309" s="17" t="n">
        <v>24</v>
      </c>
      <c r="O309" s="17" t="str">
        <f aca="false">VLOOKUP(N309,Sheet2!G:H,2,0)</f>
        <v>STB Auto moving -Stand by mode</v>
      </c>
      <c r="P309" s="17" t="n">
        <v>12</v>
      </c>
      <c r="Q309" s="17" t="str">
        <f aca="false">VLOOKUP(P309,Sheet2!J:K,2,0)</f>
        <v>IR Declared due to Others ( IR Normal)TB</v>
      </c>
      <c r="R309" s="17" t="s">
        <v>35</v>
      </c>
      <c r="S309" s="17" t="str">
        <f aca="false">VLOOKUP(R309,Sheet2!N:O,2,0)</f>
        <v>IREPARABLE</v>
      </c>
      <c r="T309" s="18" t="str">
        <f aca="false">VLOOKUP(P309,Sheet2!Q:R,2,0)</f>
        <v>IR Normal - BER to IR</v>
      </c>
      <c r="U309" s="20" t="s">
        <v>135</v>
      </c>
      <c r="V309" s="17" t="n">
        <v>12</v>
      </c>
      <c r="W309" s="20" t="str">
        <f aca="false">VLOOKUP(V309,Sheet2!Q:R,2,0)</f>
        <v>IR Normal - BER to IR</v>
      </c>
      <c r="X309" s="17" t="str">
        <f aca="false">J309</f>
        <v>A018</v>
      </c>
      <c r="Y309" s="17" t="str">
        <f aca="false">VLOOKUP(X309,Sheet2!A:B,2,0)</f>
        <v>PRAKASH CHAVDA</v>
      </c>
      <c r="Z309" s="17" t="s">
        <v>136</v>
      </c>
      <c r="AA309" s="17" t="s">
        <v>204</v>
      </c>
      <c r="AB309" s="17" t="s">
        <v>41</v>
      </c>
      <c r="AC309" s="0" t="str">
        <f aca="false">LEFT(G309,2)</f>
        <v>13</v>
      </c>
      <c r="AD309" s="0"/>
      <c r="AE309" s="21" t="s">
        <v>42</v>
      </c>
    </row>
    <row r="310" customFormat="false" ht="15" hidden="false" customHeight="false" outlineLevel="0" collapsed="false">
      <c r="A310" s="13" t="n">
        <f aca="false">1+A309</f>
        <v>308</v>
      </c>
      <c r="B310" s="17" t="n">
        <v>1009606688</v>
      </c>
      <c r="C310" s="17" t="s">
        <v>216</v>
      </c>
      <c r="D310" s="17" t="s">
        <v>108</v>
      </c>
      <c r="E310" s="17" t="s">
        <v>91</v>
      </c>
      <c r="F310" s="18" t="s">
        <v>92</v>
      </c>
      <c r="G310" s="19" t="n">
        <v>134063591181</v>
      </c>
      <c r="H310" s="17" t="s">
        <v>134</v>
      </c>
      <c r="I310" s="17" t="s">
        <v>44</v>
      </c>
      <c r="J310" s="17" t="s">
        <v>106</v>
      </c>
      <c r="K310" s="17" t="str">
        <f aca="false">VLOOKUP(J310,Sheet2!A:B,2,0)</f>
        <v>PRAKASH CHAVDA</v>
      </c>
      <c r="L310" s="17" t="n">
        <v>5</v>
      </c>
      <c r="M310" s="17" t="str">
        <f aca="false">VLOOKUP(L310,Sheet2!D:E,2,0)</f>
        <v>Main Processor CPU BGA</v>
      </c>
      <c r="N310" s="17" t="n">
        <v>1</v>
      </c>
      <c r="O310" s="17" t="str">
        <f aca="false">VLOOKUP(N310,Sheet2!G:H,2,0)</f>
        <v>Dead</v>
      </c>
      <c r="P310" s="17" t="n">
        <v>12</v>
      </c>
      <c r="Q310" s="17" t="str">
        <f aca="false">VLOOKUP(P310,Sheet2!J:K,2,0)</f>
        <v>IR Declared due to Others ( IR Normal)TB</v>
      </c>
      <c r="R310" s="17" t="s">
        <v>35</v>
      </c>
      <c r="S310" s="17" t="str">
        <f aca="false">VLOOKUP(R310,Sheet2!N:O,2,0)</f>
        <v>IREPARABLE</v>
      </c>
      <c r="T310" s="18" t="str">
        <f aca="false">VLOOKUP(P310,Sheet2!Q:R,2,0)</f>
        <v>IR Normal - BER to IR</v>
      </c>
      <c r="U310" s="20" t="s">
        <v>135</v>
      </c>
      <c r="V310" s="17" t="n">
        <v>12</v>
      </c>
      <c r="W310" s="20" t="str">
        <f aca="false">VLOOKUP(V310,Sheet2!Q:R,2,0)</f>
        <v>IR Normal - BER to IR</v>
      </c>
      <c r="X310" s="17" t="str">
        <f aca="false">J310</f>
        <v>A018</v>
      </c>
      <c r="Y310" s="17" t="str">
        <f aca="false">VLOOKUP(X310,Sheet2!A:B,2,0)</f>
        <v>PRAKASH CHAVDA</v>
      </c>
      <c r="Z310" s="17" t="s">
        <v>136</v>
      </c>
      <c r="AA310" s="17" t="s">
        <v>204</v>
      </c>
      <c r="AB310" s="17" t="s">
        <v>41</v>
      </c>
      <c r="AC310" s="0" t="str">
        <f aca="false">LEFT(G310,2)</f>
        <v>13</v>
      </c>
      <c r="AD310" s="0"/>
      <c r="AE310" s="21" t="s">
        <v>42</v>
      </c>
    </row>
    <row r="311" customFormat="false" ht="15" hidden="false" customHeight="false" outlineLevel="0" collapsed="false">
      <c r="A311" s="13" t="n">
        <f aca="false">1+A310</f>
        <v>309</v>
      </c>
      <c r="B311" s="17" t="n">
        <v>1009616265</v>
      </c>
      <c r="C311" s="17" t="s">
        <v>184</v>
      </c>
      <c r="D311" s="17" t="s">
        <v>217</v>
      </c>
      <c r="E311" s="17" t="s">
        <v>91</v>
      </c>
      <c r="F311" s="18" t="s">
        <v>92</v>
      </c>
      <c r="G311" s="19" t="n">
        <v>134331066511</v>
      </c>
      <c r="H311" s="17" t="s">
        <v>134</v>
      </c>
      <c r="I311" s="17" t="s">
        <v>44</v>
      </c>
      <c r="J311" s="17" t="s">
        <v>106</v>
      </c>
      <c r="K311" s="17" t="str">
        <f aca="false">VLOOKUP(J311,Sheet2!A:B,2,0)</f>
        <v>PRAKASH CHAVDA</v>
      </c>
      <c r="L311" s="17" t="n">
        <v>5</v>
      </c>
      <c r="M311" s="17" t="str">
        <f aca="false">VLOOKUP(L311,Sheet2!D:E,2,0)</f>
        <v>Main Processor CPU BGA</v>
      </c>
      <c r="N311" s="17" t="n">
        <v>1</v>
      </c>
      <c r="O311" s="17" t="str">
        <f aca="false">VLOOKUP(N311,Sheet2!G:H,2,0)</f>
        <v>Dead</v>
      </c>
      <c r="P311" s="17" t="n">
        <v>12</v>
      </c>
      <c r="Q311" s="17" t="str">
        <f aca="false">VLOOKUP(P311,Sheet2!J:K,2,0)</f>
        <v>IR Declared due to Others ( IR Normal)TB</v>
      </c>
      <c r="R311" s="17" t="s">
        <v>35</v>
      </c>
      <c r="S311" s="17" t="str">
        <f aca="false">VLOOKUP(R311,Sheet2!N:O,2,0)</f>
        <v>IREPARABLE</v>
      </c>
      <c r="T311" s="18" t="str">
        <f aca="false">VLOOKUP(P311,Sheet2!Q:R,2,0)</f>
        <v>IR Normal - BER to IR</v>
      </c>
      <c r="U311" s="20" t="s">
        <v>135</v>
      </c>
      <c r="V311" s="17" t="n">
        <v>12</v>
      </c>
      <c r="W311" s="20" t="str">
        <f aca="false">VLOOKUP(V311,Sheet2!Q:R,2,0)</f>
        <v>IR Normal - BER to IR</v>
      </c>
      <c r="X311" s="17" t="str">
        <f aca="false">J311</f>
        <v>A018</v>
      </c>
      <c r="Y311" s="17" t="str">
        <f aca="false">VLOOKUP(X311,Sheet2!A:B,2,0)</f>
        <v>PRAKASH CHAVDA</v>
      </c>
      <c r="Z311" s="17" t="s">
        <v>136</v>
      </c>
      <c r="AA311" s="17" t="s">
        <v>204</v>
      </c>
      <c r="AB311" s="17" t="s">
        <v>41</v>
      </c>
      <c r="AC311" s="0" t="str">
        <f aca="false">LEFT(G311,2)</f>
        <v>13</v>
      </c>
      <c r="AD311" s="0"/>
      <c r="AE311" s="21" t="s">
        <v>42</v>
      </c>
    </row>
    <row r="312" customFormat="false" ht="15" hidden="false" customHeight="false" outlineLevel="0" collapsed="false">
      <c r="A312" s="13" t="n">
        <f aca="false">1+A311</f>
        <v>310</v>
      </c>
      <c r="B312" s="17" t="n">
        <v>1009615855</v>
      </c>
      <c r="C312" s="17" t="s">
        <v>184</v>
      </c>
      <c r="D312" s="17" t="s">
        <v>131</v>
      </c>
      <c r="E312" s="17" t="s">
        <v>33</v>
      </c>
      <c r="F312" s="18" t="s">
        <v>34</v>
      </c>
      <c r="G312" s="19" t="n">
        <v>134283159124</v>
      </c>
      <c r="H312" s="17" t="s">
        <v>134</v>
      </c>
      <c r="I312" s="17" t="s">
        <v>44</v>
      </c>
      <c r="J312" s="17" t="s">
        <v>106</v>
      </c>
      <c r="K312" s="17" t="str">
        <f aca="false">VLOOKUP(J312,Sheet2!A:B,2,0)</f>
        <v>PRAKASH CHAVDA</v>
      </c>
      <c r="L312" s="17" t="n">
        <v>5</v>
      </c>
      <c r="M312" s="17" t="str">
        <f aca="false">VLOOKUP(L312,Sheet2!D:E,2,0)</f>
        <v>Main Processor CPU BGA</v>
      </c>
      <c r="N312" s="17" t="n">
        <v>1</v>
      </c>
      <c r="O312" s="17" t="str">
        <f aca="false">VLOOKUP(N312,Sheet2!G:H,2,0)</f>
        <v>Dead</v>
      </c>
      <c r="P312" s="17" t="n">
        <v>12</v>
      </c>
      <c r="Q312" s="17" t="str">
        <f aca="false">VLOOKUP(P312,Sheet2!J:K,2,0)</f>
        <v>IR Declared due to Others ( IR Normal)TB</v>
      </c>
      <c r="R312" s="17" t="s">
        <v>35</v>
      </c>
      <c r="S312" s="17" t="str">
        <f aca="false">VLOOKUP(R312,Sheet2!N:O,2,0)</f>
        <v>IREPARABLE</v>
      </c>
      <c r="T312" s="18" t="str">
        <f aca="false">VLOOKUP(P312,Sheet2!Q:R,2,0)</f>
        <v>IR Normal - BER to IR</v>
      </c>
      <c r="U312" s="20" t="s">
        <v>135</v>
      </c>
      <c r="V312" s="17" t="n">
        <v>12</v>
      </c>
      <c r="W312" s="20" t="str">
        <f aca="false">VLOOKUP(V312,Sheet2!Q:R,2,0)</f>
        <v>IR Normal - BER to IR</v>
      </c>
      <c r="X312" s="17" t="str">
        <f aca="false">J312</f>
        <v>A018</v>
      </c>
      <c r="Y312" s="17" t="str">
        <f aca="false">VLOOKUP(X312,Sheet2!A:B,2,0)</f>
        <v>PRAKASH CHAVDA</v>
      </c>
      <c r="Z312" s="17" t="s">
        <v>136</v>
      </c>
      <c r="AA312" s="17" t="s">
        <v>204</v>
      </c>
      <c r="AB312" s="17" t="s">
        <v>41</v>
      </c>
      <c r="AC312" s="0" t="str">
        <f aca="false">LEFT(G312,2)</f>
        <v>13</v>
      </c>
      <c r="AD312" s="0"/>
      <c r="AE312" s="21" t="s">
        <v>42</v>
      </c>
    </row>
    <row r="313" customFormat="false" ht="15" hidden="false" customHeight="false" outlineLevel="0" collapsed="false">
      <c r="A313" s="13" t="n">
        <f aca="false">1+A312</f>
        <v>311</v>
      </c>
      <c r="B313" s="17" t="n">
        <v>1009607782</v>
      </c>
      <c r="C313" s="17" t="s">
        <v>181</v>
      </c>
      <c r="D313" s="17" t="s">
        <v>88</v>
      </c>
      <c r="E313" s="17" t="s">
        <v>47</v>
      </c>
      <c r="F313" s="18" t="s">
        <v>34</v>
      </c>
      <c r="G313" s="19" t="n">
        <v>134283018510</v>
      </c>
      <c r="H313" s="17" t="s">
        <v>134</v>
      </c>
      <c r="I313" s="17" t="s">
        <v>44</v>
      </c>
      <c r="J313" s="17" t="s">
        <v>106</v>
      </c>
      <c r="K313" s="17" t="str">
        <f aca="false">VLOOKUP(J313,Sheet2!A:B,2,0)</f>
        <v>PRAKASH CHAVDA</v>
      </c>
      <c r="L313" s="17" t="n">
        <v>5</v>
      </c>
      <c r="M313" s="17" t="str">
        <f aca="false">VLOOKUP(L313,Sheet2!D:E,2,0)</f>
        <v>Main Processor CPU BGA</v>
      </c>
      <c r="N313" s="17" t="n">
        <v>24</v>
      </c>
      <c r="O313" s="17" t="str">
        <f aca="false">VLOOKUP(N313,Sheet2!G:H,2,0)</f>
        <v>STB Auto moving -Stand by mode</v>
      </c>
      <c r="P313" s="17" t="n">
        <v>12</v>
      </c>
      <c r="Q313" s="17" t="str">
        <f aca="false">VLOOKUP(P313,Sheet2!J:K,2,0)</f>
        <v>IR Declared due to Others ( IR Normal)TB</v>
      </c>
      <c r="R313" s="17" t="s">
        <v>35</v>
      </c>
      <c r="S313" s="17" t="str">
        <f aca="false">VLOOKUP(R313,Sheet2!N:O,2,0)</f>
        <v>IREPARABLE</v>
      </c>
      <c r="T313" s="18" t="str">
        <f aca="false">VLOOKUP(P313,Sheet2!Q:R,2,0)</f>
        <v>IR Normal - BER to IR</v>
      </c>
      <c r="U313" s="20" t="s">
        <v>135</v>
      </c>
      <c r="V313" s="17" t="n">
        <v>12</v>
      </c>
      <c r="W313" s="20" t="str">
        <f aca="false">VLOOKUP(V313,Sheet2!Q:R,2,0)</f>
        <v>IR Normal - BER to IR</v>
      </c>
      <c r="X313" s="17" t="str">
        <f aca="false">J313</f>
        <v>A018</v>
      </c>
      <c r="Y313" s="17" t="str">
        <f aca="false">VLOOKUP(X313,Sheet2!A:B,2,0)</f>
        <v>PRAKASH CHAVDA</v>
      </c>
      <c r="Z313" s="17" t="s">
        <v>136</v>
      </c>
      <c r="AA313" s="17" t="s">
        <v>204</v>
      </c>
      <c r="AB313" s="17" t="s">
        <v>41</v>
      </c>
      <c r="AC313" s="0" t="str">
        <f aca="false">LEFT(G313,2)</f>
        <v>13</v>
      </c>
      <c r="AD313" s="0"/>
      <c r="AE313" s="21" t="s">
        <v>42</v>
      </c>
    </row>
    <row r="314" customFormat="false" ht="15" hidden="false" customHeight="false" outlineLevel="0" collapsed="false">
      <c r="A314" s="13" t="n">
        <f aca="false">1+A313</f>
        <v>312</v>
      </c>
      <c r="B314" s="17" t="n">
        <v>1009562689</v>
      </c>
      <c r="C314" s="17" t="s">
        <v>192</v>
      </c>
      <c r="D314" s="17" t="s">
        <v>64</v>
      </c>
      <c r="E314" s="17" t="s">
        <v>64</v>
      </c>
      <c r="F314" s="18" t="s">
        <v>70</v>
      </c>
      <c r="G314" s="19" t="n">
        <v>133351174049</v>
      </c>
      <c r="H314" s="17" t="s">
        <v>134</v>
      </c>
      <c r="I314" s="17" t="s">
        <v>44</v>
      </c>
      <c r="J314" s="17" t="s">
        <v>106</v>
      </c>
      <c r="K314" s="17" t="str">
        <f aca="false">VLOOKUP(J314,Sheet2!A:B,2,0)</f>
        <v>PRAKASH CHAVDA</v>
      </c>
      <c r="L314" s="17" t="n">
        <v>5</v>
      </c>
      <c r="M314" s="17" t="str">
        <f aca="false">VLOOKUP(L314,Sheet2!D:E,2,0)</f>
        <v>Main Processor CPU BGA</v>
      </c>
      <c r="N314" s="17" t="n">
        <v>1</v>
      </c>
      <c r="O314" s="17" t="str">
        <f aca="false">VLOOKUP(N314,Sheet2!G:H,2,0)</f>
        <v>Dead</v>
      </c>
      <c r="P314" s="17" t="n">
        <v>12</v>
      </c>
      <c r="Q314" s="17" t="str">
        <f aca="false">VLOOKUP(P314,Sheet2!J:K,2,0)</f>
        <v>IR Declared due to Others ( IR Normal)TB</v>
      </c>
      <c r="R314" s="17" t="s">
        <v>35</v>
      </c>
      <c r="S314" s="17" t="str">
        <f aca="false">VLOOKUP(R314,Sheet2!N:O,2,0)</f>
        <v>IREPARABLE</v>
      </c>
      <c r="T314" s="18" t="str">
        <f aca="false">VLOOKUP(P314,Sheet2!Q:R,2,0)</f>
        <v>IR Normal - BER to IR</v>
      </c>
      <c r="U314" s="20" t="s">
        <v>135</v>
      </c>
      <c r="V314" s="17" t="n">
        <v>12</v>
      </c>
      <c r="W314" s="20" t="str">
        <f aca="false">VLOOKUP(V314,Sheet2!Q:R,2,0)</f>
        <v>IR Normal - BER to IR</v>
      </c>
      <c r="X314" s="17" t="str">
        <f aca="false">J314</f>
        <v>A018</v>
      </c>
      <c r="Y314" s="17" t="str">
        <f aca="false">VLOOKUP(X314,Sheet2!A:B,2,0)</f>
        <v>PRAKASH CHAVDA</v>
      </c>
      <c r="Z314" s="17" t="s">
        <v>136</v>
      </c>
      <c r="AA314" s="17" t="s">
        <v>204</v>
      </c>
      <c r="AB314" s="17" t="s">
        <v>41</v>
      </c>
      <c r="AC314" s="0" t="str">
        <f aca="false">LEFT(G314,2)</f>
        <v>13</v>
      </c>
      <c r="AD314" s="0"/>
      <c r="AE314" s="21" t="s">
        <v>42</v>
      </c>
    </row>
    <row r="315" customFormat="false" ht="15" hidden="false" customHeight="false" outlineLevel="0" collapsed="false">
      <c r="A315" s="13" t="n">
        <f aca="false">1+A314</f>
        <v>313</v>
      </c>
      <c r="B315" s="17" t="n">
        <v>1007743594</v>
      </c>
      <c r="C315" s="17" t="s">
        <v>102</v>
      </c>
      <c r="D315" s="17" t="s">
        <v>64</v>
      </c>
      <c r="E315" s="17" t="s">
        <v>33</v>
      </c>
      <c r="F315" s="18" t="s">
        <v>34</v>
      </c>
      <c r="G315" s="19" t="n">
        <v>133322409409</v>
      </c>
      <c r="H315" s="17" t="s">
        <v>134</v>
      </c>
      <c r="I315" s="17" t="s">
        <v>44</v>
      </c>
      <c r="J315" s="17" t="s">
        <v>106</v>
      </c>
      <c r="K315" s="17" t="str">
        <f aca="false">VLOOKUP(J315,Sheet2!A:B,2,0)</f>
        <v>PRAKASH CHAVDA</v>
      </c>
      <c r="L315" s="17" t="n">
        <v>5</v>
      </c>
      <c r="M315" s="17" t="str">
        <f aca="false">VLOOKUP(L315,Sheet2!D:E,2,0)</f>
        <v>Main Processor CPU BGA</v>
      </c>
      <c r="N315" s="17" t="n">
        <v>1</v>
      </c>
      <c r="O315" s="17" t="str">
        <f aca="false">VLOOKUP(N315,Sheet2!G:H,2,0)</f>
        <v>Dead</v>
      </c>
      <c r="P315" s="17" t="n">
        <v>12</v>
      </c>
      <c r="Q315" s="17" t="str">
        <f aca="false">VLOOKUP(P315,Sheet2!J:K,2,0)</f>
        <v>IR Declared due to Others ( IR Normal)TB</v>
      </c>
      <c r="R315" s="17" t="s">
        <v>35</v>
      </c>
      <c r="S315" s="17" t="str">
        <f aca="false">VLOOKUP(R315,Sheet2!N:O,2,0)</f>
        <v>IREPARABLE</v>
      </c>
      <c r="T315" s="18" t="str">
        <f aca="false">VLOOKUP(P315,Sheet2!Q:R,2,0)</f>
        <v>IR Normal - BER to IR</v>
      </c>
      <c r="U315" s="20" t="s">
        <v>135</v>
      </c>
      <c r="V315" s="17" t="n">
        <v>12</v>
      </c>
      <c r="W315" s="20" t="str">
        <f aca="false">VLOOKUP(V315,Sheet2!Q:R,2,0)</f>
        <v>IR Normal - BER to IR</v>
      </c>
      <c r="X315" s="17" t="str">
        <f aca="false">J315</f>
        <v>A018</v>
      </c>
      <c r="Y315" s="17" t="str">
        <f aca="false">VLOOKUP(X315,Sheet2!A:B,2,0)</f>
        <v>PRAKASH CHAVDA</v>
      </c>
      <c r="Z315" s="17" t="s">
        <v>136</v>
      </c>
      <c r="AA315" s="17" t="s">
        <v>204</v>
      </c>
      <c r="AB315" s="17" t="s">
        <v>41</v>
      </c>
      <c r="AC315" s="0" t="str">
        <f aca="false">LEFT(G315,2)</f>
        <v>13</v>
      </c>
      <c r="AD315" s="0"/>
      <c r="AE315" s="21" t="s">
        <v>42</v>
      </c>
    </row>
    <row r="316" customFormat="false" ht="15" hidden="false" customHeight="false" outlineLevel="0" collapsed="false">
      <c r="A316" s="13" t="n">
        <f aca="false">1+A315</f>
        <v>314</v>
      </c>
      <c r="B316" s="17" t="n">
        <v>1009633504</v>
      </c>
      <c r="C316" s="17" t="s">
        <v>218</v>
      </c>
      <c r="D316" s="17" t="s">
        <v>64</v>
      </c>
      <c r="E316" s="17" t="s">
        <v>47</v>
      </c>
      <c r="F316" s="18" t="s">
        <v>34</v>
      </c>
      <c r="G316" s="19" t="n">
        <v>134247273958</v>
      </c>
      <c r="H316" s="17" t="s">
        <v>134</v>
      </c>
      <c r="I316" s="17" t="s">
        <v>44</v>
      </c>
      <c r="J316" s="17" t="s">
        <v>106</v>
      </c>
      <c r="K316" s="17" t="str">
        <f aca="false">VLOOKUP(J316,Sheet2!A:B,2,0)</f>
        <v>PRAKASH CHAVDA</v>
      </c>
      <c r="L316" s="17" t="n">
        <v>1</v>
      </c>
      <c r="M316" s="17" t="str">
        <f aca="false">VLOOKUP(L316,Sheet2!D:E,2,0)</f>
        <v>Power Supply Section</v>
      </c>
      <c r="N316" s="17" t="n">
        <v>1</v>
      </c>
      <c r="O316" s="17" t="str">
        <f aca="false">VLOOKUP(N316,Sheet2!G:H,2,0)</f>
        <v>Dead</v>
      </c>
      <c r="P316" s="17" t="n">
        <v>12</v>
      </c>
      <c r="Q316" s="17" t="str">
        <f aca="false">VLOOKUP(P316,Sheet2!J:K,2,0)</f>
        <v>IR Declared due to Others ( IR Normal)TB</v>
      </c>
      <c r="R316" s="17" t="s">
        <v>35</v>
      </c>
      <c r="S316" s="17" t="str">
        <f aca="false">VLOOKUP(R316,Sheet2!N:O,2,0)</f>
        <v>IREPARABLE</v>
      </c>
      <c r="T316" s="18" t="str">
        <f aca="false">VLOOKUP(P316,Sheet2!Q:R,2,0)</f>
        <v>IR Normal - BER to IR</v>
      </c>
      <c r="U316" s="20" t="s">
        <v>135</v>
      </c>
      <c r="V316" s="17" t="n">
        <v>12</v>
      </c>
      <c r="W316" s="20" t="str">
        <f aca="false">VLOOKUP(V316,Sheet2!Q:R,2,0)</f>
        <v>IR Normal - BER to IR</v>
      </c>
      <c r="X316" s="17" t="str">
        <f aca="false">J316</f>
        <v>A018</v>
      </c>
      <c r="Y316" s="17" t="str">
        <f aca="false">VLOOKUP(X316,Sheet2!A:B,2,0)</f>
        <v>PRAKASH CHAVDA</v>
      </c>
      <c r="Z316" s="17" t="s">
        <v>136</v>
      </c>
      <c r="AA316" s="17" t="s">
        <v>204</v>
      </c>
      <c r="AB316" s="17" t="s">
        <v>41</v>
      </c>
      <c r="AC316" s="0" t="str">
        <f aca="false">LEFT(G316,2)</f>
        <v>13</v>
      </c>
      <c r="AD316" s="0"/>
      <c r="AE316" s="21" t="s">
        <v>42</v>
      </c>
    </row>
    <row r="317" customFormat="false" ht="15" hidden="false" customHeight="false" outlineLevel="0" collapsed="false">
      <c r="A317" s="13" t="n">
        <f aca="false">1+A316</f>
        <v>315</v>
      </c>
      <c r="B317" s="17" t="n">
        <v>1009531248</v>
      </c>
      <c r="C317" s="17" t="s">
        <v>174</v>
      </c>
      <c r="D317" s="17" t="s">
        <v>64</v>
      </c>
      <c r="E317" s="17" t="s">
        <v>91</v>
      </c>
      <c r="F317" s="18" t="s">
        <v>92</v>
      </c>
      <c r="G317" s="19" t="n">
        <v>134247131116</v>
      </c>
      <c r="H317" s="17" t="s">
        <v>134</v>
      </c>
      <c r="I317" s="17" t="s">
        <v>44</v>
      </c>
      <c r="J317" s="17" t="s">
        <v>106</v>
      </c>
      <c r="K317" s="17" t="str">
        <f aca="false">VLOOKUP(J317,Sheet2!A:B,2,0)</f>
        <v>PRAKASH CHAVDA</v>
      </c>
      <c r="L317" s="17" t="n">
        <v>5</v>
      </c>
      <c r="M317" s="17" t="str">
        <f aca="false">VLOOKUP(L317,Sheet2!D:E,2,0)</f>
        <v>Main Processor CPU BGA</v>
      </c>
      <c r="N317" s="17" t="n">
        <v>1</v>
      </c>
      <c r="O317" s="17" t="str">
        <f aca="false">VLOOKUP(N317,Sheet2!G:H,2,0)</f>
        <v>Dead</v>
      </c>
      <c r="P317" s="17" t="n">
        <v>12</v>
      </c>
      <c r="Q317" s="17" t="str">
        <f aca="false">VLOOKUP(P317,Sheet2!J:K,2,0)</f>
        <v>IR Declared due to Others ( IR Normal)TB</v>
      </c>
      <c r="R317" s="17" t="s">
        <v>35</v>
      </c>
      <c r="S317" s="17" t="str">
        <f aca="false">VLOOKUP(R317,Sheet2!N:O,2,0)</f>
        <v>IREPARABLE</v>
      </c>
      <c r="T317" s="18" t="str">
        <f aca="false">VLOOKUP(P317,Sheet2!Q:R,2,0)</f>
        <v>IR Normal - BER to IR</v>
      </c>
      <c r="U317" s="20" t="s">
        <v>135</v>
      </c>
      <c r="V317" s="17" t="n">
        <v>12</v>
      </c>
      <c r="W317" s="20" t="str">
        <f aca="false">VLOOKUP(V317,Sheet2!Q:R,2,0)</f>
        <v>IR Normal - BER to IR</v>
      </c>
      <c r="X317" s="17" t="str">
        <f aca="false">J317</f>
        <v>A018</v>
      </c>
      <c r="Y317" s="17" t="str">
        <f aca="false">VLOOKUP(X317,Sheet2!A:B,2,0)</f>
        <v>PRAKASH CHAVDA</v>
      </c>
      <c r="Z317" s="17" t="s">
        <v>136</v>
      </c>
      <c r="AA317" s="17" t="s">
        <v>204</v>
      </c>
      <c r="AB317" s="17" t="s">
        <v>41</v>
      </c>
      <c r="AC317" s="0" t="str">
        <f aca="false">LEFT(G317,2)</f>
        <v>13</v>
      </c>
      <c r="AD317" s="0"/>
      <c r="AE317" s="21" t="s">
        <v>42</v>
      </c>
    </row>
    <row r="318" customFormat="false" ht="15" hidden="false" customHeight="false" outlineLevel="0" collapsed="false">
      <c r="A318" s="13" t="n">
        <f aca="false">1+A317</f>
        <v>316</v>
      </c>
      <c r="B318" s="17" t="n">
        <v>1009620569</v>
      </c>
      <c r="C318" s="17" t="s">
        <v>184</v>
      </c>
      <c r="D318" s="17" t="s">
        <v>64</v>
      </c>
      <c r="E318" s="17" t="s">
        <v>47</v>
      </c>
      <c r="F318" s="18" t="s">
        <v>34</v>
      </c>
      <c r="G318" s="19" t="n">
        <v>775310112294</v>
      </c>
      <c r="H318" s="17" t="s">
        <v>134</v>
      </c>
      <c r="I318" s="17" t="s">
        <v>69</v>
      </c>
      <c r="J318" s="17" t="s">
        <v>106</v>
      </c>
      <c r="K318" s="17" t="str">
        <f aca="false">VLOOKUP(J318,Sheet2!A:B,2,0)</f>
        <v>PRAKASH CHAVDA</v>
      </c>
      <c r="L318" s="17" t="n">
        <v>5</v>
      </c>
      <c r="M318" s="17" t="str">
        <f aca="false">VLOOKUP(L318,Sheet2!D:E,2,0)</f>
        <v>Main Processor CPU BGA</v>
      </c>
      <c r="N318" s="17" t="n">
        <v>24</v>
      </c>
      <c r="O318" s="17" t="str">
        <f aca="false">VLOOKUP(N318,Sheet2!G:H,2,0)</f>
        <v>STB Auto moving -Stand by mode</v>
      </c>
      <c r="P318" s="17" t="n">
        <v>12</v>
      </c>
      <c r="Q318" s="17" t="str">
        <f aca="false">VLOOKUP(P318,Sheet2!J:K,2,0)</f>
        <v>IR Declared due to Others ( IR Normal)TB</v>
      </c>
      <c r="R318" s="17" t="s">
        <v>35</v>
      </c>
      <c r="S318" s="17" t="str">
        <f aca="false">VLOOKUP(R318,Sheet2!N:O,2,0)</f>
        <v>IREPARABLE</v>
      </c>
      <c r="T318" s="18" t="str">
        <f aca="false">VLOOKUP(P318,Sheet2!Q:R,2,0)</f>
        <v>IR Normal - BER to IR</v>
      </c>
      <c r="U318" s="20" t="s">
        <v>135</v>
      </c>
      <c r="V318" s="17" t="n">
        <v>12</v>
      </c>
      <c r="W318" s="20" t="str">
        <f aca="false">VLOOKUP(V318,Sheet2!Q:R,2,0)</f>
        <v>IR Normal - BER to IR</v>
      </c>
      <c r="X318" s="17" t="str">
        <f aca="false">J318</f>
        <v>A018</v>
      </c>
      <c r="Y318" s="17" t="str">
        <f aca="false">VLOOKUP(X318,Sheet2!A:B,2,0)</f>
        <v>PRAKASH CHAVDA</v>
      </c>
      <c r="Z318" s="17" t="s">
        <v>136</v>
      </c>
      <c r="AA318" s="17" t="s">
        <v>204</v>
      </c>
      <c r="AB318" s="17" t="s">
        <v>41</v>
      </c>
      <c r="AC318" s="0" t="str">
        <f aca="false">LEFT(G318,2)</f>
        <v>77</v>
      </c>
      <c r="AD318" s="0"/>
      <c r="AE318" s="21" t="s">
        <v>42</v>
      </c>
    </row>
    <row r="319" customFormat="false" ht="15" hidden="false" customHeight="false" outlineLevel="0" collapsed="false">
      <c r="A319" s="13" t="n">
        <f aca="false">1+A318</f>
        <v>317</v>
      </c>
      <c r="B319" s="17" t="n">
        <v>1009680011</v>
      </c>
      <c r="C319" s="17" t="s">
        <v>139</v>
      </c>
      <c r="D319" s="17" t="s">
        <v>143</v>
      </c>
      <c r="E319" s="17" t="s">
        <v>33</v>
      </c>
      <c r="F319" s="18" t="s">
        <v>34</v>
      </c>
      <c r="G319" s="19" t="n">
        <v>775078041537</v>
      </c>
      <c r="H319" s="17" t="s">
        <v>134</v>
      </c>
      <c r="I319" s="17" t="s">
        <v>69</v>
      </c>
      <c r="J319" s="17" t="s">
        <v>106</v>
      </c>
      <c r="K319" s="17" t="str">
        <f aca="false">VLOOKUP(J319,Sheet2!A:B,2,0)</f>
        <v>PRAKASH CHAVDA</v>
      </c>
      <c r="L319" s="17" t="n">
        <v>5</v>
      </c>
      <c r="M319" s="17" t="str">
        <f aca="false">VLOOKUP(L319,Sheet2!D:E,2,0)</f>
        <v>Main Processor CPU BGA</v>
      </c>
      <c r="N319" s="17" t="n">
        <v>1</v>
      </c>
      <c r="O319" s="17" t="str">
        <f aca="false">VLOOKUP(N319,Sheet2!G:H,2,0)</f>
        <v>Dead</v>
      </c>
      <c r="P319" s="17" t="n">
        <v>12</v>
      </c>
      <c r="Q319" s="17" t="str">
        <f aca="false">VLOOKUP(P319,Sheet2!J:K,2,0)</f>
        <v>IR Declared due to Others ( IR Normal)TB</v>
      </c>
      <c r="R319" s="17" t="s">
        <v>35</v>
      </c>
      <c r="S319" s="17" t="str">
        <f aca="false">VLOOKUP(R319,Sheet2!N:O,2,0)</f>
        <v>IREPARABLE</v>
      </c>
      <c r="T319" s="18" t="str">
        <f aca="false">VLOOKUP(P319,Sheet2!Q:R,2,0)</f>
        <v>IR Normal - BER to IR</v>
      </c>
      <c r="U319" s="20" t="s">
        <v>135</v>
      </c>
      <c r="V319" s="17" t="n">
        <v>12</v>
      </c>
      <c r="W319" s="20" t="str">
        <f aca="false">VLOOKUP(V319,Sheet2!Q:R,2,0)</f>
        <v>IR Normal - BER to IR</v>
      </c>
      <c r="X319" s="17" t="str">
        <f aca="false">J319</f>
        <v>A018</v>
      </c>
      <c r="Y319" s="17" t="str">
        <f aca="false">VLOOKUP(X319,Sheet2!A:B,2,0)</f>
        <v>PRAKASH CHAVDA</v>
      </c>
      <c r="Z319" s="17" t="s">
        <v>136</v>
      </c>
      <c r="AA319" s="17" t="s">
        <v>204</v>
      </c>
      <c r="AB319" s="17" t="s">
        <v>41</v>
      </c>
      <c r="AC319" s="0" t="str">
        <f aca="false">LEFT(G319,2)</f>
        <v>77</v>
      </c>
      <c r="AD319" s="0"/>
      <c r="AE319" s="21" t="s">
        <v>42</v>
      </c>
    </row>
    <row r="320" customFormat="false" ht="15" hidden="false" customHeight="false" outlineLevel="0" collapsed="false">
      <c r="A320" s="13" t="n">
        <f aca="false">1+A319</f>
        <v>318</v>
      </c>
      <c r="B320" s="17" t="n">
        <v>1009625105</v>
      </c>
      <c r="C320" s="17" t="s">
        <v>163</v>
      </c>
      <c r="D320" s="17" t="s">
        <v>64</v>
      </c>
      <c r="E320" s="17" t="s">
        <v>47</v>
      </c>
      <c r="F320" s="18" t="s">
        <v>34</v>
      </c>
      <c r="G320" s="19" t="n">
        <v>775282162749</v>
      </c>
      <c r="H320" s="17" t="s">
        <v>134</v>
      </c>
      <c r="I320" s="17" t="s">
        <v>69</v>
      </c>
      <c r="J320" s="17" t="s">
        <v>106</v>
      </c>
      <c r="K320" s="17" t="str">
        <f aca="false">VLOOKUP(J320,Sheet2!A:B,2,0)</f>
        <v>PRAKASH CHAVDA</v>
      </c>
      <c r="L320" s="17" t="n">
        <v>5</v>
      </c>
      <c r="M320" s="17" t="str">
        <f aca="false">VLOOKUP(L320,Sheet2!D:E,2,0)</f>
        <v>Main Processor CPU BGA</v>
      </c>
      <c r="N320" s="17" t="n">
        <v>1</v>
      </c>
      <c r="O320" s="17" t="str">
        <f aca="false">VLOOKUP(N320,Sheet2!G:H,2,0)</f>
        <v>Dead</v>
      </c>
      <c r="P320" s="17" t="n">
        <v>12</v>
      </c>
      <c r="Q320" s="17" t="str">
        <f aca="false">VLOOKUP(P320,Sheet2!J:K,2,0)</f>
        <v>IR Declared due to Others ( IR Normal)TB</v>
      </c>
      <c r="R320" s="17" t="s">
        <v>35</v>
      </c>
      <c r="S320" s="17" t="str">
        <f aca="false">VLOOKUP(R320,Sheet2!N:O,2,0)</f>
        <v>IREPARABLE</v>
      </c>
      <c r="T320" s="18" t="str">
        <f aca="false">VLOOKUP(P320,Sheet2!Q:R,2,0)</f>
        <v>IR Normal - BER to IR</v>
      </c>
      <c r="U320" s="20" t="s">
        <v>135</v>
      </c>
      <c r="V320" s="17" t="n">
        <v>12</v>
      </c>
      <c r="W320" s="20" t="str">
        <f aca="false">VLOOKUP(V320,Sheet2!Q:R,2,0)</f>
        <v>IR Normal - BER to IR</v>
      </c>
      <c r="X320" s="17" t="str">
        <f aca="false">J320</f>
        <v>A018</v>
      </c>
      <c r="Y320" s="17" t="str">
        <f aca="false">VLOOKUP(X320,Sheet2!A:B,2,0)</f>
        <v>PRAKASH CHAVDA</v>
      </c>
      <c r="Z320" s="17" t="s">
        <v>136</v>
      </c>
      <c r="AA320" s="17" t="s">
        <v>204</v>
      </c>
      <c r="AB320" s="17" t="s">
        <v>41</v>
      </c>
      <c r="AC320" s="0" t="str">
        <f aca="false">LEFT(G320,2)</f>
        <v>77</v>
      </c>
      <c r="AD320" s="0"/>
      <c r="AE320" s="21" t="s">
        <v>42</v>
      </c>
    </row>
    <row r="321" customFormat="false" ht="15" hidden="false" customHeight="false" outlineLevel="0" collapsed="false">
      <c r="A321" s="13" t="n">
        <f aca="false">1+A320</f>
        <v>319</v>
      </c>
      <c r="B321" s="17" t="n">
        <v>1009620574</v>
      </c>
      <c r="C321" s="17" t="s">
        <v>184</v>
      </c>
      <c r="D321" s="17" t="s">
        <v>64</v>
      </c>
      <c r="E321" s="17" t="s">
        <v>64</v>
      </c>
      <c r="F321" s="18" t="s">
        <v>70</v>
      </c>
      <c r="G321" s="19" t="n">
        <v>774302046958</v>
      </c>
      <c r="H321" s="17" t="s">
        <v>134</v>
      </c>
      <c r="I321" s="17" t="s">
        <v>69</v>
      </c>
      <c r="J321" s="17" t="s">
        <v>106</v>
      </c>
      <c r="K321" s="17" t="str">
        <f aca="false">VLOOKUP(J321,Sheet2!A:B,2,0)</f>
        <v>PRAKASH CHAVDA</v>
      </c>
      <c r="L321" s="17" t="n">
        <v>5</v>
      </c>
      <c r="M321" s="17" t="str">
        <f aca="false">VLOOKUP(L321,Sheet2!D:E,2,0)</f>
        <v>Main Processor CPU BGA</v>
      </c>
      <c r="N321" s="17" t="n">
        <v>1</v>
      </c>
      <c r="O321" s="17" t="str">
        <f aca="false">VLOOKUP(N321,Sheet2!G:H,2,0)</f>
        <v>Dead</v>
      </c>
      <c r="P321" s="17" t="n">
        <v>12</v>
      </c>
      <c r="Q321" s="17" t="str">
        <f aca="false">VLOOKUP(P321,Sheet2!J:K,2,0)</f>
        <v>IR Declared due to Others ( IR Normal)TB</v>
      </c>
      <c r="R321" s="17" t="s">
        <v>35</v>
      </c>
      <c r="S321" s="17" t="str">
        <f aca="false">VLOOKUP(R321,Sheet2!N:O,2,0)</f>
        <v>IREPARABLE</v>
      </c>
      <c r="T321" s="18" t="str">
        <f aca="false">VLOOKUP(P321,Sheet2!Q:R,2,0)</f>
        <v>IR Normal - BER to IR</v>
      </c>
      <c r="U321" s="20" t="s">
        <v>135</v>
      </c>
      <c r="V321" s="17" t="n">
        <v>12</v>
      </c>
      <c r="W321" s="20" t="str">
        <f aca="false">VLOOKUP(V321,Sheet2!Q:R,2,0)</f>
        <v>IR Normal - BER to IR</v>
      </c>
      <c r="X321" s="17" t="str">
        <f aca="false">J321</f>
        <v>A018</v>
      </c>
      <c r="Y321" s="17" t="str">
        <f aca="false">VLOOKUP(X321,Sheet2!A:B,2,0)</f>
        <v>PRAKASH CHAVDA</v>
      </c>
      <c r="Z321" s="17" t="s">
        <v>136</v>
      </c>
      <c r="AA321" s="17" t="s">
        <v>204</v>
      </c>
      <c r="AB321" s="17" t="s">
        <v>41</v>
      </c>
      <c r="AC321" s="0" t="str">
        <f aca="false">LEFT(G321,2)</f>
        <v>77</v>
      </c>
      <c r="AD321" s="0"/>
      <c r="AE321" s="21" t="s">
        <v>42</v>
      </c>
    </row>
    <row r="322" customFormat="false" ht="15" hidden="false" customHeight="false" outlineLevel="0" collapsed="false">
      <c r="A322" s="13" t="n">
        <f aca="false">1+A321</f>
        <v>320</v>
      </c>
      <c r="B322" s="17" t="n">
        <v>1009625116</v>
      </c>
      <c r="C322" s="17" t="s">
        <v>163</v>
      </c>
      <c r="D322" s="17" t="s">
        <v>64</v>
      </c>
      <c r="E322" s="17" t="s">
        <v>33</v>
      </c>
      <c r="F322" s="18" t="s">
        <v>34</v>
      </c>
      <c r="G322" s="19" t="n">
        <v>775328250870</v>
      </c>
      <c r="H322" s="17" t="s">
        <v>134</v>
      </c>
      <c r="I322" s="17" t="s">
        <v>69</v>
      </c>
      <c r="J322" s="17" t="s">
        <v>106</v>
      </c>
      <c r="K322" s="17" t="str">
        <f aca="false">VLOOKUP(J322,Sheet2!A:B,2,0)</f>
        <v>PRAKASH CHAVDA</v>
      </c>
      <c r="L322" s="17" t="n">
        <v>5</v>
      </c>
      <c r="M322" s="17" t="str">
        <f aca="false">VLOOKUP(L322,Sheet2!D:E,2,0)</f>
        <v>Main Processor CPU BGA</v>
      </c>
      <c r="N322" s="17" t="n">
        <v>1</v>
      </c>
      <c r="O322" s="17" t="str">
        <f aca="false">VLOOKUP(N322,Sheet2!G:H,2,0)</f>
        <v>Dead</v>
      </c>
      <c r="P322" s="17" t="n">
        <v>12</v>
      </c>
      <c r="Q322" s="17" t="str">
        <f aca="false">VLOOKUP(P322,Sheet2!J:K,2,0)</f>
        <v>IR Declared due to Others ( IR Normal)TB</v>
      </c>
      <c r="R322" s="17" t="s">
        <v>35</v>
      </c>
      <c r="S322" s="17" t="str">
        <f aca="false">VLOOKUP(R322,Sheet2!N:O,2,0)</f>
        <v>IREPARABLE</v>
      </c>
      <c r="T322" s="18" t="str">
        <f aca="false">VLOOKUP(P322,Sheet2!Q:R,2,0)</f>
        <v>IR Normal - BER to IR</v>
      </c>
      <c r="U322" s="20" t="s">
        <v>135</v>
      </c>
      <c r="V322" s="17" t="n">
        <v>12</v>
      </c>
      <c r="W322" s="20" t="str">
        <f aca="false">VLOOKUP(V322,Sheet2!Q:R,2,0)</f>
        <v>IR Normal - BER to IR</v>
      </c>
      <c r="X322" s="17" t="str">
        <f aca="false">J322</f>
        <v>A018</v>
      </c>
      <c r="Y322" s="17" t="str">
        <f aca="false">VLOOKUP(X322,Sheet2!A:B,2,0)</f>
        <v>PRAKASH CHAVDA</v>
      </c>
      <c r="Z322" s="17" t="s">
        <v>136</v>
      </c>
      <c r="AA322" s="17" t="s">
        <v>204</v>
      </c>
      <c r="AB322" s="17" t="s">
        <v>41</v>
      </c>
      <c r="AC322" s="0" t="str">
        <f aca="false">LEFT(G322,2)</f>
        <v>77</v>
      </c>
      <c r="AD322" s="0"/>
      <c r="AE322" s="21" t="s">
        <v>42</v>
      </c>
    </row>
    <row r="323" customFormat="false" ht="15" hidden="false" customHeight="false" outlineLevel="0" collapsed="false">
      <c r="A323" s="13" t="n">
        <f aca="false">1+A322</f>
        <v>321</v>
      </c>
      <c r="B323" s="17" t="n">
        <v>1009616680</v>
      </c>
      <c r="C323" s="17" t="s">
        <v>184</v>
      </c>
      <c r="D323" s="17" t="s">
        <v>64</v>
      </c>
      <c r="E323" s="17" t="s">
        <v>47</v>
      </c>
      <c r="F323" s="18" t="s">
        <v>34</v>
      </c>
      <c r="G323" s="19" t="n">
        <v>775335210727</v>
      </c>
      <c r="H323" s="17" t="s">
        <v>134</v>
      </c>
      <c r="I323" s="17" t="s">
        <v>69</v>
      </c>
      <c r="J323" s="17" t="s">
        <v>106</v>
      </c>
      <c r="K323" s="17" t="str">
        <f aca="false">VLOOKUP(J323,Sheet2!A:B,2,0)</f>
        <v>PRAKASH CHAVDA</v>
      </c>
      <c r="L323" s="17" t="n">
        <v>5</v>
      </c>
      <c r="M323" s="17" t="str">
        <f aca="false">VLOOKUP(L323,Sheet2!D:E,2,0)</f>
        <v>Main Processor CPU BGA</v>
      </c>
      <c r="N323" s="17" t="n">
        <v>1</v>
      </c>
      <c r="O323" s="17" t="str">
        <f aca="false">VLOOKUP(N323,Sheet2!G:H,2,0)</f>
        <v>Dead</v>
      </c>
      <c r="P323" s="17" t="n">
        <v>12</v>
      </c>
      <c r="Q323" s="17" t="str">
        <f aca="false">VLOOKUP(P323,Sheet2!J:K,2,0)</f>
        <v>IR Declared due to Others ( IR Normal)TB</v>
      </c>
      <c r="R323" s="17" t="s">
        <v>35</v>
      </c>
      <c r="S323" s="17" t="str">
        <f aca="false">VLOOKUP(R323,Sheet2!N:O,2,0)</f>
        <v>IREPARABLE</v>
      </c>
      <c r="T323" s="18" t="str">
        <f aca="false">VLOOKUP(P323,Sheet2!Q:R,2,0)</f>
        <v>IR Normal - BER to IR</v>
      </c>
      <c r="U323" s="20" t="s">
        <v>135</v>
      </c>
      <c r="V323" s="17" t="n">
        <v>12</v>
      </c>
      <c r="W323" s="20" t="str">
        <f aca="false">VLOOKUP(V323,Sheet2!Q:R,2,0)</f>
        <v>IR Normal - BER to IR</v>
      </c>
      <c r="X323" s="17" t="str">
        <f aca="false">J323</f>
        <v>A018</v>
      </c>
      <c r="Y323" s="17" t="str">
        <f aca="false">VLOOKUP(X323,Sheet2!A:B,2,0)</f>
        <v>PRAKASH CHAVDA</v>
      </c>
      <c r="Z323" s="17" t="s">
        <v>136</v>
      </c>
      <c r="AA323" s="17" t="s">
        <v>204</v>
      </c>
      <c r="AB323" s="17" t="s">
        <v>41</v>
      </c>
      <c r="AC323" s="0" t="str">
        <f aca="false">LEFT(G323,2)</f>
        <v>77</v>
      </c>
      <c r="AD323" s="0"/>
      <c r="AE323" s="21" t="s">
        <v>42</v>
      </c>
    </row>
    <row r="324" customFormat="false" ht="15" hidden="false" customHeight="false" outlineLevel="0" collapsed="false">
      <c r="A324" s="13" t="n">
        <f aca="false">1+A323</f>
        <v>322</v>
      </c>
      <c r="B324" s="17" t="n">
        <v>1009620985</v>
      </c>
      <c r="C324" s="17" t="s">
        <v>184</v>
      </c>
      <c r="D324" s="17" t="s">
        <v>64</v>
      </c>
      <c r="E324" s="17" t="s">
        <v>64</v>
      </c>
      <c r="F324" s="18" t="s">
        <v>70</v>
      </c>
      <c r="G324" s="19" t="n">
        <v>774302125976</v>
      </c>
      <c r="H324" s="17" t="s">
        <v>134</v>
      </c>
      <c r="I324" s="17" t="s">
        <v>69</v>
      </c>
      <c r="J324" s="17" t="s">
        <v>106</v>
      </c>
      <c r="K324" s="17" t="str">
        <f aca="false">VLOOKUP(J324,Sheet2!A:B,2,0)</f>
        <v>PRAKASH CHAVDA</v>
      </c>
      <c r="L324" s="17" t="n">
        <v>5</v>
      </c>
      <c r="M324" s="17" t="str">
        <f aca="false">VLOOKUP(L324,Sheet2!D:E,2,0)</f>
        <v>Main Processor CPU BGA</v>
      </c>
      <c r="N324" s="17" t="n">
        <v>24</v>
      </c>
      <c r="O324" s="17" t="str">
        <f aca="false">VLOOKUP(N324,Sheet2!G:H,2,0)</f>
        <v>STB Auto moving -Stand by mode</v>
      </c>
      <c r="P324" s="17" t="n">
        <v>12</v>
      </c>
      <c r="Q324" s="17" t="str">
        <f aca="false">VLOOKUP(P324,Sheet2!J:K,2,0)</f>
        <v>IR Declared due to Others ( IR Normal)TB</v>
      </c>
      <c r="R324" s="17" t="s">
        <v>35</v>
      </c>
      <c r="S324" s="17" t="str">
        <f aca="false">VLOOKUP(R324,Sheet2!N:O,2,0)</f>
        <v>IREPARABLE</v>
      </c>
      <c r="T324" s="18" t="str">
        <f aca="false">VLOOKUP(P324,Sheet2!Q:R,2,0)</f>
        <v>IR Normal - BER to IR</v>
      </c>
      <c r="U324" s="20" t="s">
        <v>135</v>
      </c>
      <c r="V324" s="17" t="n">
        <v>12</v>
      </c>
      <c r="W324" s="20" t="str">
        <f aca="false">VLOOKUP(V324,Sheet2!Q:R,2,0)</f>
        <v>IR Normal - BER to IR</v>
      </c>
      <c r="X324" s="17" t="str">
        <f aca="false">J324</f>
        <v>A018</v>
      </c>
      <c r="Y324" s="17" t="str">
        <f aca="false">VLOOKUP(X324,Sheet2!A:B,2,0)</f>
        <v>PRAKASH CHAVDA</v>
      </c>
      <c r="Z324" s="17" t="s">
        <v>136</v>
      </c>
      <c r="AA324" s="17" t="s">
        <v>204</v>
      </c>
      <c r="AB324" s="17" t="s">
        <v>41</v>
      </c>
      <c r="AC324" s="0" t="str">
        <f aca="false">LEFT(G324,2)</f>
        <v>77</v>
      </c>
      <c r="AD324" s="0"/>
      <c r="AE324" s="21" t="s">
        <v>42</v>
      </c>
    </row>
    <row r="325" customFormat="false" ht="15" hidden="false" customHeight="false" outlineLevel="0" collapsed="false">
      <c r="A325" s="13" t="n">
        <f aca="false">1+A324</f>
        <v>323</v>
      </c>
      <c r="B325" s="17" t="n">
        <v>1009617731</v>
      </c>
      <c r="C325" s="17" t="s">
        <v>184</v>
      </c>
      <c r="D325" s="17" t="s">
        <v>219</v>
      </c>
      <c r="E325" s="17" t="s">
        <v>47</v>
      </c>
      <c r="F325" s="18" t="s">
        <v>34</v>
      </c>
      <c r="G325" s="19" t="n">
        <v>775307099066</v>
      </c>
      <c r="H325" s="17" t="s">
        <v>134</v>
      </c>
      <c r="I325" s="17" t="s">
        <v>69</v>
      </c>
      <c r="J325" s="17" t="s">
        <v>106</v>
      </c>
      <c r="K325" s="17" t="str">
        <f aca="false">VLOOKUP(J325,Sheet2!A:B,2,0)</f>
        <v>PRAKASH CHAVDA</v>
      </c>
      <c r="L325" s="17" t="n">
        <v>5</v>
      </c>
      <c r="M325" s="17" t="str">
        <f aca="false">VLOOKUP(L325,Sheet2!D:E,2,0)</f>
        <v>Main Processor CPU BGA</v>
      </c>
      <c r="N325" s="17" t="n">
        <v>1</v>
      </c>
      <c r="O325" s="17" t="str">
        <f aca="false">VLOOKUP(N325,Sheet2!G:H,2,0)</f>
        <v>Dead</v>
      </c>
      <c r="P325" s="17" t="n">
        <v>12</v>
      </c>
      <c r="Q325" s="17" t="str">
        <f aca="false">VLOOKUP(P325,Sheet2!J:K,2,0)</f>
        <v>IR Declared due to Others ( IR Normal)TB</v>
      </c>
      <c r="R325" s="17" t="s">
        <v>35</v>
      </c>
      <c r="S325" s="17" t="str">
        <f aca="false">VLOOKUP(R325,Sheet2!N:O,2,0)</f>
        <v>IREPARABLE</v>
      </c>
      <c r="T325" s="18" t="str">
        <f aca="false">VLOOKUP(P325,Sheet2!Q:R,2,0)</f>
        <v>IR Normal - BER to IR</v>
      </c>
      <c r="U325" s="20" t="s">
        <v>135</v>
      </c>
      <c r="V325" s="17" t="n">
        <v>12</v>
      </c>
      <c r="W325" s="20" t="str">
        <f aca="false">VLOOKUP(V325,Sheet2!Q:R,2,0)</f>
        <v>IR Normal - BER to IR</v>
      </c>
      <c r="X325" s="17" t="str">
        <f aca="false">J325</f>
        <v>A018</v>
      </c>
      <c r="Y325" s="17" t="str">
        <f aca="false">VLOOKUP(X325,Sheet2!A:B,2,0)</f>
        <v>PRAKASH CHAVDA</v>
      </c>
      <c r="Z325" s="17" t="s">
        <v>136</v>
      </c>
      <c r="AA325" s="17" t="s">
        <v>204</v>
      </c>
      <c r="AB325" s="17" t="s">
        <v>41</v>
      </c>
      <c r="AC325" s="0" t="str">
        <f aca="false">LEFT(G325,2)</f>
        <v>77</v>
      </c>
      <c r="AD325" s="0"/>
      <c r="AE325" s="21" t="s">
        <v>42</v>
      </c>
    </row>
    <row r="326" customFormat="false" ht="15" hidden="false" customHeight="false" outlineLevel="0" collapsed="false">
      <c r="A326" s="13" t="n">
        <f aca="false">1+A325</f>
        <v>324</v>
      </c>
      <c r="B326" s="17" t="n">
        <v>1009578583</v>
      </c>
      <c r="C326" s="17" t="s">
        <v>139</v>
      </c>
      <c r="D326" s="17" t="s">
        <v>86</v>
      </c>
      <c r="E326" s="17" t="s">
        <v>47</v>
      </c>
      <c r="F326" s="18" t="s">
        <v>34</v>
      </c>
      <c r="G326" s="19" t="n">
        <v>943193935815</v>
      </c>
      <c r="H326" s="17" t="s">
        <v>134</v>
      </c>
      <c r="I326" s="17" t="s">
        <v>44</v>
      </c>
      <c r="J326" s="17" t="s">
        <v>106</v>
      </c>
      <c r="K326" s="17" t="str">
        <f aca="false">VLOOKUP(J326,Sheet2!A:B,2,0)</f>
        <v>PRAKASH CHAVDA</v>
      </c>
      <c r="L326" s="17" t="n">
        <v>5</v>
      </c>
      <c r="M326" s="17" t="str">
        <f aca="false">VLOOKUP(L326,Sheet2!D:E,2,0)</f>
        <v>Main Processor CPU BGA</v>
      </c>
      <c r="N326" s="17" t="n">
        <v>24</v>
      </c>
      <c r="O326" s="17" t="str">
        <f aca="false">VLOOKUP(N326,Sheet2!G:H,2,0)</f>
        <v>STB Auto moving -Stand by mode</v>
      </c>
      <c r="P326" s="17" t="n">
        <v>12</v>
      </c>
      <c r="Q326" s="17" t="str">
        <f aca="false">VLOOKUP(P326,Sheet2!J:K,2,0)</f>
        <v>IR Declared due to Others ( IR Normal)TB</v>
      </c>
      <c r="R326" s="17" t="s">
        <v>35</v>
      </c>
      <c r="S326" s="17" t="str">
        <f aca="false">VLOOKUP(R326,Sheet2!N:O,2,0)</f>
        <v>IREPARABLE</v>
      </c>
      <c r="T326" s="18" t="str">
        <f aca="false">VLOOKUP(P326,Sheet2!Q:R,2,0)</f>
        <v>IR Normal - BER to IR</v>
      </c>
      <c r="U326" s="20" t="s">
        <v>135</v>
      </c>
      <c r="V326" s="17" t="n">
        <v>12</v>
      </c>
      <c r="W326" s="20" t="str">
        <f aca="false">VLOOKUP(V326,Sheet2!Q:R,2,0)</f>
        <v>IR Normal - BER to IR</v>
      </c>
      <c r="X326" s="17" t="str">
        <f aca="false">J326</f>
        <v>A018</v>
      </c>
      <c r="Y326" s="17" t="str">
        <f aca="false">VLOOKUP(X326,Sheet2!A:B,2,0)</f>
        <v>PRAKASH CHAVDA</v>
      </c>
      <c r="Z326" s="17" t="s">
        <v>127</v>
      </c>
      <c r="AA326" s="17" t="s">
        <v>204</v>
      </c>
      <c r="AB326" s="17" t="s">
        <v>41</v>
      </c>
      <c r="AC326" s="0" t="str">
        <f aca="false">LEFT(G326,2)</f>
        <v>94</v>
      </c>
      <c r="AD326" s="0"/>
      <c r="AE326" s="21" t="s">
        <v>42</v>
      </c>
    </row>
    <row r="327" customFormat="false" ht="15" hidden="false" customHeight="false" outlineLevel="0" collapsed="false">
      <c r="A327" s="13" t="n">
        <f aca="false">1+A326</f>
        <v>325</v>
      </c>
      <c r="B327" s="17" t="n">
        <v>1009614833</v>
      </c>
      <c r="C327" s="17" t="s">
        <v>184</v>
      </c>
      <c r="D327" s="17" t="s">
        <v>64</v>
      </c>
      <c r="E327" s="17" t="s">
        <v>47</v>
      </c>
      <c r="F327" s="18" t="s">
        <v>34</v>
      </c>
      <c r="G327" s="19" t="n">
        <v>943138927281</v>
      </c>
      <c r="H327" s="17" t="s">
        <v>134</v>
      </c>
      <c r="I327" s="17" t="s">
        <v>44</v>
      </c>
      <c r="J327" s="17" t="s">
        <v>106</v>
      </c>
      <c r="K327" s="17" t="str">
        <f aca="false">VLOOKUP(J327,Sheet2!A:B,2,0)</f>
        <v>PRAKASH CHAVDA</v>
      </c>
      <c r="L327" s="17" t="n">
        <v>5</v>
      </c>
      <c r="M327" s="17" t="str">
        <f aca="false">VLOOKUP(L327,Sheet2!D:E,2,0)</f>
        <v>Main Processor CPU BGA</v>
      </c>
      <c r="N327" s="17" t="n">
        <v>24</v>
      </c>
      <c r="O327" s="17" t="str">
        <f aca="false">VLOOKUP(N327,Sheet2!G:H,2,0)</f>
        <v>STB Auto moving -Stand by mode</v>
      </c>
      <c r="P327" s="17" t="n">
        <v>12</v>
      </c>
      <c r="Q327" s="17" t="str">
        <f aca="false">VLOOKUP(P327,Sheet2!J:K,2,0)</f>
        <v>IR Declared due to Others ( IR Normal)TB</v>
      </c>
      <c r="R327" s="17" t="s">
        <v>35</v>
      </c>
      <c r="S327" s="17" t="str">
        <f aca="false">VLOOKUP(R327,Sheet2!N:O,2,0)</f>
        <v>IREPARABLE</v>
      </c>
      <c r="T327" s="18" t="str">
        <f aca="false">VLOOKUP(P327,Sheet2!Q:R,2,0)</f>
        <v>IR Normal - BER to IR</v>
      </c>
      <c r="U327" s="20" t="s">
        <v>135</v>
      </c>
      <c r="V327" s="17" t="n">
        <v>12</v>
      </c>
      <c r="W327" s="20" t="str">
        <f aca="false">VLOOKUP(V327,Sheet2!Q:R,2,0)</f>
        <v>IR Normal - BER to IR</v>
      </c>
      <c r="X327" s="17" t="str">
        <f aca="false">J327</f>
        <v>A018</v>
      </c>
      <c r="Y327" s="17" t="str">
        <f aca="false">VLOOKUP(X327,Sheet2!A:B,2,0)</f>
        <v>PRAKASH CHAVDA</v>
      </c>
      <c r="Z327" s="17" t="s">
        <v>127</v>
      </c>
      <c r="AA327" s="17" t="s">
        <v>204</v>
      </c>
      <c r="AB327" s="17" t="s">
        <v>41</v>
      </c>
      <c r="AC327" s="0" t="str">
        <f aca="false">LEFT(G327,2)</f>
        <v>94</v>
      </c>
      <c r="AD327" s="0"/>
      <c r="AE327" s="21" t="s">
        <v>42</v>
      </c>
    </row>
    <row r="328" customFormat="false" ht="15" hidden="false" customHeight="false" outlineLevel="0" collapsed="false">
      <c r="A328" s="13" t="n">
        <f aca="false">1+A327</f>
        <v>326</v>
      </c>
      <c r="B328" s="17" t="n">
        <v>1009610784</v>
      </c>
      <c r="C328" s="17" t="s">
        <v>181</v>
      </c>
      <c r="D328" s="17" t="s">
        <v>190</v>
      </c>
      <c r="E328" s="17" t="s">
        <v>91</v>
      </c>
      <c r="F328" s="18" t="s">
        <v>92</v>
      </c>
      <c r="G328" s="19" t="n">
        <v>942360922937</v>
      </c>
      <c r="H328" s="17" t="s">
        <v>134</v>
      </c>
      <c r="I328" s="17" t="s">
        <v>44</v>
      </c>
      <c r="J328" s="17" t="s">
        <v>106</v>
      </c>
      <c r="K328" s="17" t="str">
        <f aca="false">VLOOKUP(J328,Sheet2!A:B,2,0)</f>
        <v>PRAKASH CHAVDA</v>
      </c>
      <c r="L328" s="17" t="n">
        <v>5</v>
      </c>
      <c r="M328" s="17" t="str">
        <f aca="false">VLOOKUP(L328,Sheet2!D:E,2,0)</f>
        <v>Main Processor CPU BGA</v>
      </c>
      <c r="N328" s="17" t="n">
        <v>24</v>
      </c>
      <c r="O328" s="17" t="str">
        <f aca="false">VLOOKUP(N328,Sheet2!G:H,2,0)</f>
        <v>STB Auto moving -Stand by mode</v>
      </c>
      <c r="P328" s="17" t="n">
        <v>12</v>
      </c>
      <c r="Q328" s="17" t="str">
        <f aca="false">VLOOKUP(P328,Sheet2!J:K,2,0)</f>
        <v>IR Declared due to Others ( IR Normal)TB</v>
      </c>
      <c r="R328" s="17" t="s">
        <v>35</v>
      </c>
      <c r="S328" s="17" t="str">
        <f aca="false">VLOOKUP(R328,Sheet2!N:O,2,0)</f>
        <v>IREPARABLE</v>
      </c>
      <c r="T328" s="18" t="str">
        <f aca="false">VLOOKUP(P328,Sheet2!Q:R,2,0)</f>
        <v>IR Normal - BER to IR</v>
      </c>
      <c r="U328" s="20" t="s">
        <v>135</v>
      </c>
      <c r="V328" s="17" t="n">
        <v>12</v>
      </c>
      <c r="W328" s="20" t="str">
        <f aca="false">VLOOKUP(V328,Sheet2!Q:R,2,0)</f>
        <v>IR Normal - BER to IR</v>
      </c>
      <c r="X328" s="17" t="str">
        <f aca="false">J328</f>
        <v>A018</v>
      </c>
      <c r="Y328" s="17" t="str">
        <f aca="false">VLOOKUP(X328,Sheet2!A:B,2,0)</f>
        <v>PRAKASH CHAVDA</v>
      </c>
      <c r="Z328" s="17" t="s">
        <v>127</v>
      </c>
      <c r="AA328" s="17" t="s">
        <v>204</v>
      </c>
      <c r="AB328" s="17" t="s">
        <v>41</v>
      </c>
      <c r="AC328" s="0" t="str">
        <f aca="false">LEFT(G328,2)</f>
        <v>94</v>
      </c>
      <c r="AD328" s="0"/>
      <c r="AE328" s="21" t="s">
        <v>42</v>
      </c>
    </row>
    <row r="329" customFormat="false" ht="15" hidden="false" customHeight="false" outlineLevel="0" collapsed="false">
      <c r="A329" s="13" t="n">
        <f aca="false">1+A328</f>
        <v>327</v>
      </c>
      <c r="B329" s="17" t="n">
        <v>1009610519</v>
      </c>
      <c r="C329" s="17" t="s">
        <v>181</v>
      </c>
      <c r="D329" s="17" t="s">
        <v>64</v>
      </c>
      <c r="E329" s="17" t="s">
        <v>64</v>
      </c>
      <c r="F329" s="18" t="s">
        <v>70</v>
      </c>
      <c r="G329" s="19" t="n">
        <v>942354199880</v>
      </c>
      <c r="H329" s="17" t="s">
        <v>134</v>
      </c>
      <c r="I329" s="17" t="s">
        <v>44</v>
      </c>
      <c r="J329" s="17" t="s">
        <v>106</v>
      </c>
      <c r="K329" s="17" t="str">
        <f aca="false">VLOOKUP(J329,Sheet2!A:B,2,0)</f>
        <v>PRAKASH CHAVDA</v>
      </c>
      <c r="L329" s="17" t="n">
        <v>5</v>
      </c>
      <c r="M329" s="17" t="str">
        <f aca="false">VLOOKUP(L329,Sheet2!D:E,2,0)</f>
        <v>Main Processor CPU BGA</v>
      </c>
      <c r="N329" s="17" t="n">
        <v>1</v>
      </c>
      <c r="O329" s="17" t="str">
        <f aca="false">VLOOKUP(N329,Sheet2!G:H,2,0)</f>
        <v>Dead</v>
      </c>
      <c r="P329" s="17" t="n">
        <v>12</v>
      </c>
      <c r="Q329" s="17" t="str">
        <f aca="false">VLOOKUP(P329,Sheet2!J:K,2,0)</f>
        <v>IR Declared due to Others ( IR Normal)TB</v>
      </c>
      <c r="R329" s="17" t="s">
        <v>35</v>
      </c>
      <c r="S329" s="17" t="str">
        <f aca="false">VLOOKUP(R329,Sheet2!N:O,2,0)</f>
        <v>IREPARABLE</v>
      </c>
      <c r="T329" s="18" t="str">
        <f aca="false">VLOOKUP(P329,Sheet2!Q:R,2,0)</f>
        <v>IR Normal - BER to IR</v>
      </c>
      <c r="U329" s="20" t="s">
        <v>135</v>
      </c>
      <c r="V329" s="17" t="n">
        <v>12</v>
      </c>
      <c r="W329" s="20" t="str">
        <f aca="false">VLOOKUP(V329,Sheet2!Q:R,2,0)</f>
        <v>IR Normal - BER to IR</v>
      </c>
      <c r="X329" s="17" t="str">
        <f aca="false">J329</f>
        <v>A018</v>
      </c>
      <c r="Y329" s="17" t="str">
        <f aca="false">VLOOKUP(X329,Sheet2!A:B,2,0)</f>
        <v>PRAKASH CHAVDA</v>
      </c>
      <c r="Z329" s="17" t="s">
        <v>127</v>
      </c>
      <c r="AA329" s="17" t="s">
        <v>204</v>
      </c>
      <c r="AB329" s="17" t="s">
        <v>41</v>
      </c>
      <c r="AC329" s="0" t="str">
        <f aca="false">LEFT(G329,2)</f>
        <v>94</v>
      </c>
      <c r="AD329" s="0"/>
      <c r="AE329" s="21" t="s">
        <v>42</v>
      </c>
    </row>
    <row r="330" customFormat="false" ht="15" hidden="false" customHeight="false" outlineLevel="0" collapsed="false">
      <c r="A330" s="13" t="n">
        <f aca="false">1+A329</f>
        <v>328</v>
      </c>
      <c r="B330" s="17" t="n">
        <v>1009672923</v>
      </c>
      <c r="C330" s="17" t="s">
        <v>104</v>
      </c>
      <c r="D330" s="17" t="s">
        <v>56</v>
      </c>
      <c r="E330" s="17" t="s">
        <v>91</v>
      </c>
      <c r="F330" s="18" t="s">
        <v>92</v>
      </c>
      <c r="G330" s="19" t="n">
        <v>942310995827</v>
      </c>
      <c r="H330" s="17" t="s">
        <v>134</v>
      </c>
      <c r="I330" s="17" t="s">
        <v>44</v>
      </c>
      <c r="J330" s="17" t="s">
        <v>106</v>
      </c>
      <c r="K330" s="17" t="str">
        <f aca="false">VLOOKUP(J330,Sheet2!A:B,2,0)</f>
        <v>PRAKASH CHAVDA</v>
      </c>
      <c r="L330" s="17" t="n">
        <v>5</v>
      </c>
      <c r="M330" s="17" t="str">
        <f aca="false">VLOOKUP(L330,Sheet2!D:E,2,0)</f>
        <v>Main Processor CPU BGA</v>
      </c>
      <c r="N330" s="17" t="n">
        <v>24</v>
      </c>
      <c r="O330" s="17" t="str">
        <f aca="false">VLOOKUP(N330,Sheet2!G:H,2,0)</f>
        <v>STB Auto moving -Stand by mode</v>
      </c>
      <c r="P330" s="17" t="n">
        <v>12</v>
      </c>
      <c r="Q330" s="17" t="str">
        <f aca="false">VLOOKUP(P330,Sheet2!J:K,2,0)</f>
        <v>IR Declared due to Others ( IR Normal)TB</v>
      </c>
      <c r="R330" s="17" t="s">
        <v>35</v>
      </c>
      <c r="S330" s="17" t="str">
        <f aca="false">VLOOKUP(R330,Sheet2!N:O,2,0)</f>
        <v>IREPARABLE</v>
      </c>
      <c r="T330" s="18" t="str">
        <f aca="false">VLOOKUP(P330,Sheet2!Q:R,2,0)</f>
        <v>IR Normal - BER to IR</v>
      </c>
      <c r="U330" s="20" t="s">
        <v>135</v>
      </c>
      <c r="V330" s="17" t="n">
        <v>12</v>
      </c>
      <c r="W330" s="20" t="str">
        <f aca="false">VLOOKUP(V330,Sheet2!Q:R,2,0)</f>
        <v>IR Normal - BER to IR</v>
      </c>
      <c r="X330" s="17" t="str">
        <f aca="false">J330</f>
        <v>A018</v>
      </c>
      <c r="Y330" s="17" t="str">
        <f aca="false">VLOOKUP(X330,Sheet2!A:B,2,0)</f>
        <v>PRAKASH CHAVDA</v>
      </c>
      <c r="Z330" s="17" t="s">
        <v>127</v>
      </c>
      <c r="AA330" s="17" t="s">
        <v>204</v>
      </c>
      <c r="AB330" s="17" t="s">
        <v>41</v>
      </c>
      <c r="AC330" s="0" t="str">
        <f aca="false">LEFT(G330,2)</f>
        <v>94</v>
      </c>
      <c r="AD330" s="0"/>
      <c r="AE330" s="21" t="s">
        <v>42</v>
      </c>
    </row>
    <row r="331" customFormat="false" ht="15" hidden="false" customHeight="false" outlineLevel="0" collapsed="false">
      <c r="A331" s="13" t="n">
        <f aca="false">1+A330</f>
        <v>329</v>
      </c>
      <c r="B331" s="17" t="n">
        <v>1009614984</v>
      </c>
      <c r="C331" s="17" t="s">
        <v>179</v>
      </c>
      <c r="D331" s="17" t="s">
        <v>64</v>
      </c>
      <c r="E331" s="17" t="s">
        <v>64</v>
      </c>
      <c r="F331" s="18" t="s">
        <v>70</v>
      </c>
      <c r="G331" s="19" t="n">
        <v>943147937156</v>
      </c>
      <c r="H331" s="17" t="s">
        <v>134</v>
      </c>
      <c r="I331" s="17" t="s">
        <v>44</v>
      </c>
      <c r="J331" s="17" t="s">
        <v>106</v>
      </c>
      <c r="K331" s="17" t="str">
        <f aca="false">VLOOKUP(J331,Sheet2!A:B,2,0)</f>
        <v>PRAKASH CHAVDA</v>
      </c>
      <c r="L331" s="17" t="n">
        <v>5</v>
      </c>
      <c r="M331" s="17" t="str">
        <f aca="false">VLOOKUP(L331,Sheet2!D:E,2,0)</f>
        <v>Main Processor CPU BGA</v>
      </c>
      <c r="N331" s="17" t="n">
        <v>1</v>
      </c>
      <c r="O331" s="17" t="str">
        <f aca="false">VLOOKUP(N331,Sheet2!G:H,2,0)</f>
        <v>Dead</v>
      </c>
      <c r="P331" s="17" t="n">
        <v>12</v>
      </c>
      <c r="Q331" s="17" t="str">
        <f aca="false">VLOOKUP(P331,Sheet2!J:K,2,0)</f>
        <v>IR Declared due to Others ( IR Normal)TB</v>
      </c>
      <c r="R331" s="17" t="s">
        <v>35</v>
      </c>
      <c r="S331" s="17" t="str">
        <f aca="false">VLOOKUP(R331,Sheet2!N:O,2,0)</f>
        <v>IREPARABLE</v>
      </c>
      <c r="T331" s="18" t="str">
        <f aca="false">VLOOKUP(P331,Sheet2!Q:R,2,0)</f>
        <v>IR Normal - BER to IR</v>
      </c>
      <c r="U331" s="20" t="s">
        <v>135</v>
      </c>
      <c r="V331" s="17" t="n">
        <v>12</v>
      </c>
      <c r="W331" s="20" t="str">
        <f aca="false">VLOOKUP(V331,Sheet2!Q:R,2,0)</f>
        <v>IR Normal - BER to IR</v>
      </c>
      <c r="X331" s="17" t="str">
        <f aca="false">J331</f>
        <v>A018</v>
      </c>
      <c r="Y331" s="17" t="str">
        <f aca="false">VLOOKUP(X331,Sheet2!A:B,2,0)</f>
        <v>PRAKASH CHAVDA</v>
      </c>
      <c r="Z331" s="17" t="s">
        <v>127</v>
      </c>
      <c r="AA331" s="17" t="s">
        <v>204</v>
      </c>
      <c r="AB331" s="17" t="s">
        <v>41</v>
      </c>
      <c r="AC331" s="0" t="str">
        <f aca="false">LEFT(G331,2)</f>
        <v>94</v>
      </c>
      <c r="AD331" s="0"/>
      <c r="AE331" s="21" t="s">
        <v>42</v>
      </c>
    </row>
    <row r="332" customFormat="false" ht="15" hidden="false" customHeight="false" outlineLevel="0" collapsed="false">
      <c r="A332" s="13" t="n">
        <f aca="false">1+A331</f>
        <v>330</v>
      </c>
      <c r="B332" s="17" t="n">
        <v>1009616601</v>
      </c>
      <c r="C332" s="17" t="s">
        <v>220</v>
      </c>
      <c r="D332" s="17" t="s">
        <v>64</v>
      </c>
      <c r="E332" s="17" t="s">
        <v>33</v>
      </c>
      <c r="F332" s="18" t="s">
        <v>34</v>
      </c>
      <c r="G332" s="19" t="n">
        <v>942077970955</v>
      </c>
      <c r="H332" s="17" t="s">
        <v>134</v>
      </c>
      <c r="I332" s="17" t="s">
        <v>44</v>
      </c>
      <c r="J332" s="17" t="s">
        <v>106</v>
      </c>
      <c r="K332" s="17" t="str">
        <f aca="false">VLOOKUP(J332,Sheet2!A:B,2,0)</f>
        <v>PRAKASH CHAVDA</v>
      </c>
      <c r="L332" s="17" t="n">
        <v>5</v>
      </c>
      <c r="M332" s="17" t="str">
        <f aca="false">VLOOKUP(L332,Sheet2!D:E,2,0)</f>
        <v>Main Processor CPU BGA</v>
      </c>
      <c r="N332" s="17" t="n">
        <v>24</v>
      </c>
      <c r="O332" s="17" t="str">
        <f aca="false">VLOOKUP(N332,Sheet2!G:H,2,0)</f>
        <v>STB Auto moving -Stand by mode</v>
      </c>
      <c r="P332" s="17" t="n">
        <v>12</v>
      </c>
      <c r="Q332" s="17" t="str">
        <f aca="false">VLOOKUP(P332,Sheet2!J:K,2,0)</f>
        <v>IR Declared due to Others ( IR Normal)TB</v>
      </c>
      <c r="R332" s="17" t="s">
        <v>35</v>
      </c>
      <c r="S332" s="17" t="str">
        <f aca="false">VLOOKUP(R332,Sheet2!N:O,2,0)</f>
        <v>IREPARABLE</v>
      </c>
      <c r="T332" s="18" t="str">
        <f aca="false">VLOOKUP(P332,Sheet2!Q:R,2,0)</f>
        <v>IR Normal - BER to IR</v>
      </c>
      <c r="U332" s="20" t="s">
        <v>135</v>
      </c>
      <c r="V332" s="17" t="n">
        <v>12</v>
      </c>
      <c r="W332" s="20" t="str">
        <f aca="false">VLOOKUP(V332,Sheet2!Q:R,2,0)</f>
        <v>IR Normal - BER to IR</v>
      </c>
      <c r="X332" s="17" t="str">
        <f aca="false">J332</f>
        <v>A018</v>
      </c>
      <c r="Y332" s="17" t="str">
        <f aca="false">VLOOKUP(X332,Sheet2!A:B,2,0)</f>
        <v>PRAKASH CHAVDA</v>
      </c>
      <c r="Z332" s="17" t="s">
        <v>127</v>
      </c>
      <c r="AA332" s="17" t="s">
        <v>204</v>
      </c>
      <c r="AB332" s="17" t="s">
        <v>41</v>
      </c>
      <c r="AC332" s="0" t="str">
        <f aca="false">LEFT(G332,2)</f>
        <v>94</v>
      </c>
      <c r="AD332" s="0"/>
      <c r="AE332" s="21" t="s">
        <v>42</v>
      </c>
    </row>
    <row r="333" customFormat="false" ht="15" hidden="false" customHeight="false" outlineLevel="0" collapsed="false">
      <c r="A333" s="13" t="n">
        <f aca="false">1+A332</f>
        <v>331</v>
      </c>
      <c r="B333" s="17" t="n">
        <v>1009614829</v>
      </c>
      <c r="C333" s="17" t="s">
        <v>220</v>
      </c>
      <c r="D333" s="17" t="s">
        <v>64</v>
      </c>
      <c r="E333" s="17" t="s">
        <v>91</v>
      </c>
      <c r="F333" s="18" t="s">
        <v>92</v>
      </c>
      <c r="G333" s="19" t="n">
        <v>943100952945</v>
      </c>
      <c r="H333" s="17" t="s">
        <v>134</v>
      </c>
      <c r="I333" s="17" t="s">
        <v>44</v>
      </c>
      <c r="J333" s="17" t="s">
        <v>106</v>
      </c>
      <c r="K333" s="17" t="str">
        <f aca="false">VLOOKUP(J333,Sheet2!A:B,2,0)</f>
        <v>PRAKASH CHAVDA</v>
      </c>
      <c r="L333" s="17" t="n">
        <v>5</v>
      </c>
      <c r="M333" s="17" t="str">
        <f aca="false">VLOOKUP(L333,Sheet2!D:E,2,0)</f>
        <v>Main Processor CPU BGA</v>
      </c>
      <c r="N333" s="17" t="n">
        <v>1</v>
      </c>
      <c r="O333" s="17" t="str">
        <f aca="false">VLOOKUP(N333,Sheet2!G:H,2,0)</f>
        <v>Dead</v>
      </c>
      <c r="P333" s="17" t="n">
        <v>12</v>
      </c>
      <c r="Q333" s="17" t="str">
        <f aca="false">VLOOKUP(P333,Sheet2!J:K,2,0)</f>
        <v>IR Declared due to Others ( IR Normal)TB</v>
      </c>
      <c r="R333" s="17" t="s">
        <v>35</v>
      </c>
      <c r="S333" s="17" t="str">
        <f aca="false">VLOOKUP(R333,Sheet2!N:O,2,0)</f>
        <v>IREPARABLE</v>
      </c>
      <c r="T333" s="18" t="str">
        <f aca="false">VLOOKUP(P333,Sheet2!Q:R,2,0)</f>
        <v>IR Normal - BER to IR</v>
      </c>
      <c r="U333" s="20" t="s">
        <v>135</v>
      </c>
      <c r="V333" s="17" t="n">
        <v>12</v>
      </c>
      <c r="W333" s="20" t="str">
        <f aca="false">VLOOKUP(V333,Sheet2!Q:R,2,0)</f>
        <v>IR Normal - BER to IR</v>
      </c>
      <c r="X333" s="17" t="str">
        <f aca="false">J333</f>
        <v>A018</v>
      </c>
      <c r="Y333" s="17" t="str">
        <f aca="false">VLOOKUP(X333,Sheet2!A:B,2,0)</f>
        <v>PRAKASH CHAVDA</v>
      </c>
      <c r="Z333" s="17" t="s">
        <v>127</v>
      </c>
      <c r="AA333" s="17" t="s">
        <v>204</v>
      </c>
      <c r="AB333" s="17" t="s">
        <v>41</v>
      </c>
      <c r="AC333" s="0" t="str">
        <f aca="false">LEFT(G333,2)</f>
        <v>94</v>
      </c>
      <c r="AD333" s="0"/>
      <c r="AE333" s="21" t="s">
        <v>42</v>
      </c>
    </row>
    <row r="334" customFormat="false" ht="15" hidden="false" customHeight="false" outlineLevel="0" collapsed="false">
      <c r="A334" s="13" t="n">
        <f aca="false">1+A333</f>
        <v>332</v>
      </c>
      <c r="B334" s="17" t="n">
        <v>1009613253</v>
      </c>
      <c r="C334" s="17" t="s">
        <v>181</v>
      </c>
      <c r="D334" s="17" t="s">
        <v>119</v>
      </c>
      <c r="E334" s="17" t="s">
        <v>47</v>
      </c>
      <c r="F334" s="18" t="s">
        <v>34</v>
      </c>
      <c r="G334" s="19" t="n">
        <v>942268989194</v>
      </c>
      <c r="H334" s="17" t="s">
        <v>134</v>
      </c>
      <c r="I334" s="17" t="s">
        <v>44</v>
      </c>
      <c r="J334" s="17" t="s">
        <v>106</v>
      </c>
      <c r="K334" s="17" t="str">
        <f aca="false">VLOOKUP(J334,Sheet2!A:B,2,0)</f>
        <v>PRAKASH CHAVDA</v>
      </c>
      <c r="L334" s="17" t="n">
        <v>5</v>
      </c>
      <c r="M334" s="17" t="str">
        <f aca="false">VLOOKUP(L334,Sheet2!D:E,2,0)</f>
        <v>Main Processor CPU BGA</v>
      </c>
      <c r="N334" s="17" t="n">
        <v>1</v>
      </c>
      <c r="O334" s="17" t="str">
        <f aca="false">VLOOKUP(N334,Sheet2!G:H,2,0)</f>
        <v>Dead</v>
      </c>
      <c r="P334" s="17" t="n">
        <v>12</v>
      </c>
      <c r="Q334" s="17" t="str">
        <f aca="false">VLOOKUP(P334,Sheet2!J:K,2,0)</f>
        <v>IR Declared due to Others ( IR Normal)TB</v>
      </c>
      <c r="R334" s="17" t="s">
        <v>35</v>
      </c>
      <c r="S334" s="17" t="str">
        <f aca="false">VLOOKUP(R334,Sheet2!N:O,2,0)</f>
        <v>IREPARABLE</v>
      </c>
      <c r="T334" s="18" t="str">
        <f aca="false">VLOOKUP(P334,Sheet2!Q:R,2,0)</f>
        <v>IR Normal - BER to IR</v>
      </c>
      <c r="U334" s="20" t="s">
        <v>135</v>
      </c>
      <c r="V334" s="17" t="n">
        <v>12</v>
      </c>
      <c r="W334" s="20" t="str">
        <f aca="false">VLOOKUP(V334,Sheet2!Q:R,2,0)</f>
        <v>IR Normal - BER to IR</v>
      </c>
      <c r="X334" s="17" t="str">
        <f aca="false">J334</f>
        <v>A018</v>
      </c>
      <c r="Y334" s="17" t="str">
        <f aca="false">VLOOKUP(X334,Sheet2!A:B,2,0)</f>
        <v>PRAKASH CHAVDA</v>
      </c>
      <c r="Z334" s="17" t="s">
        <v>127</v>
      </c>
      <c r="AA334" s="17" t="s">
        <v>204</v>
      </c>
      <c r="AB334" s="17" t="s">
        <v>41</v>
      </c>
      <c r="AC334" s="0" t="str">
        <f aca="false">LEFT(G334,2)</f>
        <v>94</v>
      </c>
      <c r="AD334" s="0"/>
      <c r="AE334" s="21" t="s">
        <v>42</v>
      </c>
    </row>
    <row r="335" customFormat="false" ht="15" hidden="false" customHeight="false" outlineLevel="0" collapsed="false">
      <c r="A335" s="13" t="n">
        <f aca="false">1+A334</f>
        <v>333</v>
      </c>
      <c r="B335" s="17" t="n">
        <v>1009584852</v>
      </c>
      <c r="C335" s="17" t="s">
        <v>139</v>
      </c>
      <c r="D335" s="17" t="s">
        <v>64</v>
      </c>
      <c r="E335" s="17" t="s">
        <v>47</v>
      </c>
      <c r="F335" s="18" t="s">
        <v>34</v>
      </c>
      <c r="G335" s="19" t="n">
        <v>942152976299</v>
      </c>
      <c r="H335" s="17" t="s">
        <v>134</v>
      </c>
      <c r="I335" s="17" t="s">
        <v>44</v>
      </c>
      <c r="J335" s="17" t="s">
        <v>106</v>
      </c>
      <c r="K335" s="17" t="str">
        <f aca="false">VLOOKUP(J335,Sheet2!A:B,2,0)</f>
        <v>PRAKASH CHAVDA</v>
      </c>
      <c r="L335" s="17" t="n">
        <v>5</v>
      </c>
      <c r="M335" s="17" t="str">
        <f aca="false">VLOOKUP(L335,Sheet2!D:E,2,0)</f>
        <v>Main Processor CPU BGA</v>
      </c>
      <c r="N335" s="17" t="n">
        <v>1</v>
      </c>
      <c r="O335" s="17" t="str">
        <f aca="false">VLOOKUP(N335,Sheet2!G:H,2,0)</f>
        <v>Dead</v>
      </c>
      <c r="P335" s="17" t="n">
        <v>12</v>
      </c>
      <c r="Q335" s="17" t="str">
        <f aca="false">VLOOKUP(P335,Sheet2!J:K,2,0)</f>
        <v>IR Declared due to Others ( IR Normal)TB</v>
      </c>
      <c r="R335" s="17" t="s">
        <v>35</v>
      </c>
      <c r="S335" s="17" t="str">
        <f aca="false">VLOOKUP(R335,Sheet2!N:O,2,0)</f>
        <v>IREPARABLE</v>
      </c>
      <c r="T335" s="18" t="str">
        <f aca="false">VLOOKUP(P335,Sheet2!Q:R,2,0)</f>
        <v>IR Normal - BER to IR</v>
      </c>
      <c r="U335" s="20" t="s">
        <v>135</v>
      </c>
      <c r="V335" s="17" t="n">
        <v>12</v>
      </c>
      <c r="W335" s="20" t="str">
        <f aca="false">VLOOKUP(V335,Sheet2!Q:R,2,0)</f>
        <v>IR Normal - BER to IR</v>
      </c>
      <c r="X335" s="17" t="str">
        <f aca="false">J335</f>
        <v>A018</v>
      </c>
      <c r="Y335" s="17" t="str">
        <f aca="false">VLOOKUP(X335,Sheet2!A:B,2,0)</f>
        <v>PRAKASH CHAVDA</v>
      </c>
      <c r="Z335" s="17" t="s">
        <v>127</v>
      </c>
      <c r="AA335" s="17" t="s">
        <v>204</v>
      </c>
      <c r="AB335" s="17" t="s">
        <v>41</v>
      </c>
      <c r="AC335" s="0" t="str">
        <f aca="false">LEFT(G335,2)</f>
        <v>94</v>
      </c>
      <c r="AD335" s="0"/>
      <c r="AE335" s="21" t="s">
        <v>42</v>
      </c>
    </row>
    <row r="336" customFormat="false" ht="15" hidden="false" customHeight="false" outlineLevel="0" collapsed="false">
      <c r="A336" s="13" t="n">
        <f aca="false">1+A335</f>
        <v>334</v>
      </c>
      <c r="B336" s="17" t="n">
        <v>1009613659</v>
      </c>
      <c r="C336" s="17" t="s">
        <v>184</v>
      </c>
      <c r="D336" s="17" t="s">
        <v>64</v>
      </c>
      <c r="E336" s="17" t="s">
        <v>47</v>
      </c>
      <c r="F336" s="18" t="s">
        <v>34</v>
      </c>
      <c r="G336" s="19" t="n">
        <v>943123915978</v>
      </c>
      <c r="H336" s="17" t="s">
        <v>134</v>
      </c>
      <c r="I336" s="17" t="s">
        <v>44</v>
      </c>
      <c r="J336" s="17" t="s">
        <v>106</v>
      </c>
      <c r="K336" s="17" t="str">
        <f aca="false">VLOOKUP(J336,Sheet2!A:B,2,0)</f>
        <v>PRAKASH CHAVDA</v>
      </c>
      <c r="L336" s="17" t="n">
        <v>5</v>
      </c>
      <c r="M336" s="17" t="str">
        <f aca="false">VLOOKUP(L336,Sheet2!D:E,2,0)</f>
        <v>Main Processor CPU BGA</v>
      </c>
      <c r="N336" s="17" t="n">
        <v>1</v>
      </c>
      <c r="O336" s="17" t="str">
        <f aca="false">VLOOKUP(N336,Sheet2!G:H,2,0)</f>
        <v>Dead</v>
      </c>
      <c r="P336" s="17" t="n">
        <v>12</v>
      </c>
      <c r="Q336" s="17" t="str">
        <f aca="false">VLOOKUP(P336,Sheet2!J:K,2,0)</f>
        <v>IR Declared due to Others ( IR Normal)TB</v>
      </c>
      <c r="R336" s="17" t="s">
        <v>35</v>
      </c>
      <c r="S336" s="17" t="str">
        <f aca="false">VLOOKUP(R336,Sheet2!N:O,2,0)</f>
        <v>IREPARABLE</v>
      </c>
      <c r="T336" s="18" t="str">
        <f aca="false">VLOOKUP(P336,Sheet2!Q:R,2,0)</f>
        <v>IR Normal - BER to IR</v>
      </c>
      <c r="U336" s="20" t="s">
        <v>135</v>
      </c>
      <c r="V336" s="17" t="n">
        <v>12</v>
      </c>
      <c r="W336" s="20" t="str">
        <f aca="false">VLOOKUP(V336,Sheet2!Q:R,2,0)</f>
        <v>IR Normal - BER to IR</v>
      </c>
      <c r="X336" s="17" t="str">
        <f aca="false">J336</f>
        <v>A018</v>
      </c>
      <c r="Y336" s="17" t="str">
        <f aca="false">VLOOKUP(X336,Sheet2!A:B,2,0)</f>
        <v>PRAKASH CHAVDA</v>
      </c>
      <c r="Z336" s="17" t="s">
        <v>127</v>
      </c>
      <c r="AA336" s="17" t="s">
        <v>204</v>
      </c>
      <c r="AB336" s="17" t="s">
        <v>41</v>
      </c>
      <c r="AC336" s="0" t="str">
        <f aca="false">LEFT(G336,2)</f>
        <v>94</v>
      </c>
      <c r="AD336" s="0"/>
      <c r="AE336" s="21" t="s">
        <v>42</v>
      </c>
    </row>
    <row r="337" customFormat="false" ht="15" hidden="false" customHeight="false" outlineLevel="0" collapsed="false">
      <c r="A337" s="13" t="n">
        <f aca="false">1+A336</f>
        <v>335</v>
      </c>
      <c r="B337" s="17" t="n">
        <v>1009582564</v>
      </c>
      <c r="C337" s="17" t="s">
        <v>139</v>
      </c>
      <c r="D337" s="17" t="s">
        <v>60</v>
      </c>
      <c r="E337" s="17" t="s">
        <v>64</v>
      </c>
      <c r="F337" s="18" t="s">
        <v>70</v>
      </c>
      <c r="G337" s="19" t="n">
        <v>943029947620</v>
      </c>
      <c r="H337" s="17" t="s">
        <v>134</v>
      </c>
      <c r="I337" s="17" t="s">
        <v>44</v>
      </c>
      <c r="J337" s="17" t="s">
        <v>106</v>
      </c>
      <c r="K337" s="17" t="str">
        <f aca="false">VLOOKUP(J337,Sheet2!A:B,2,0)</f>
        <v>PRAKASH CHAVDA</v>
      </c>
      <c r="L337" s="17" t="n">
        <v>5</v>
      </c>
      <c r="M337" s="17" t="str">
        <f aca="false">VLOOKUP(L337,Sheet2!D:E,2,0)</f>
        <v>Main Processor CPU BGA</v>
      </c>
      <c r="N337" s="17" t="n">
        <v>24</v>
      </c>
      <c r="O337" s="17" t="str">
        <f aca="false">VLOOKUP(N337,Sheet2!G:H,2,0)</f>
        <v>STB Auto moving -Stand by mode</v>
      </c>
      <c r="P337" s="17" t="n">
        <v>12</v>
      </c>
      <c r="Q337" s="17" t="str">
        <f aca="false">VLOOKUP(P337,Sheet2!J:K,2,0)</f>
        <v>IR Declared due to Others ( IR Normal)TB</v>
      </c>
      <c r="R337" s="17" t="s">
        <v>35</v>
      </c>
      <c r="S337" s="17" t="str">
        <f aca="false">VLOOKUP(R337,Sheet2!N:O,2,0)</f>
        <v>IREPARABLE</v>
      </c>
      <c r="T337" s="18" t="str">
        <f aca="false">VLOOKUP(P337,Sheet2!Q:R,2,0)</f>
        <v>IR Normal - BER to IR</v>
      </c>
      <c r="U337" s="20" t="s">
        <v>135</v>
      </c>
      <c r="V337" s="17" t="n">
        <v>12</v>
      </c>
      <c r="W337" s="20" t="str">
        <f aca="false">VLOOKUP(V337,Sheet2!Q:R,2,0)</f>
        <v>IR Normal - BER to IR</v>
      </c>
      <c r="X337" s="17" t="str">
        <f aca="false">J337</f>
        <v>A018</v>
      </c>
      <c r="Y337" s="17" t="str">
        <f aca="false">VLOOKUP(X337,Sheet2!A:B,2,0)</f>
        <v>PRAKASH CHAVDA</v>
      </c>
      <c r="Z337" s="17" t="s">
        <v>127</v>
      </c>
      <c r="AA337" s="17" t="s">
        <v>204</v>
      </c>
      <c r="AB337" s="17" t="s">
        <v>41</v>
      </c>
      <c r="AC337" s="0" t="str">
        <f aca="false">LEFT(G337,2)</f>
        <v>94</v>
      </c>
      <c r="AD337" s="0"/>
      <c r="AE337" s="21" t="s">
        <v>42</v>
      </c>
    </row>
    <row r="338" customFormat="false" ht="15" hidden="false" customHeight="false" outlineLevel="0" collapsed="false">
      <c r="A338" s="13" t="n">
        <f aca="false">1+A337</f>
        <v>336</v>
      </c>
      <c r="B338" s="17" t="n">
        <v>1009616019</v>
      </c>
      <c r="C338" s="17" t="s">
        <v>184</v>
      </c>
      <c r="D338" s="17" t="s">
        <v>221</v>
      </c>
      <c r="E338" s="17" t="s">
        <v>91</v>
      </c>
      <c r="F338" s="18" t="s">
        <v>92</v>
      </c>
      <c r="G338" s="19" t="n">
        <v>986166226142</v>
      </c>
      <c r="H338" s="17" t="s">
        <v>134</v>
      </c>
      <c r="I338" s="17" t="s">
        <v>44</v>
      </c>
      <c r="J338" s="17" t="s">
        <v>106</v>
      </c>
      <c r="K338" s="17" t="str">
        <f aca="false">VLOOKUP(J338,Sheet2!A:B,2,0)</f>
        <v>PRAKASH CHAVDA</v>
      </c>
      <c r="L338" s="17" t="n">
        <v>5</v>
      </c>
      <c r="M338" s="17" t="str">
        <f aca="false">VLOOKUP(L338,Sheet2!D:E,2,0)</f>
        <v>Main Processor CPU BGA</v>
      </c>
      <c r="N338" s="17" t="n">
        <v>1</v>
      </c>
      <c r="O338" s="17" t="str">
        <f aca="false">VLOOKUP(N338,Sheet2!G:H,2,0)</f>
        <v>Dead</v>
      </c>
      <c r="P338" s="17" t="n">
        <v>12</v>
      </c>
      <c r="Q338" s="17" t="str">
        <f aca="false">VLOOKUP(P338,Sheet2!J:K,2,0)</f>
        <v>IR Declared due to Others ( IR Normal)TB</v>
      </c>
      <c r="R338" s="17" t="s">
        <v>35</v>
      </c>
      <c r="S338" s="17" t="str">
        <f aca="false">VLOOKUP(R338,Sheet2!N:O,2,0)</f>
        <v>IREPARABLE</v>
      </c>
      <c r="T338" s="18" t="str">
        <f aca="false">VLOOKUP(P338,Sheet2!Q:R,2,0)</f>
        <v>IR Normal - BER to IR</v>
      </c>
      <c r="U338" s="20" t="s">
        <v>135</v>
      </c>
      <c r="V338" s="17" t="n">
        <v>12</v>
      </c>
      <c r="W338" s="20" t="str">
        <f aca="false">VLOOKUP(V338,Sheet2!Q:R,2,0)</f>
        <v>IR Normal - BER to IR</v>
      </c>
      <c r="X338" s="17" t="str">
        <f aca="false">J338</f>
        <v>A018</v>
      </c>
      <c r="Y338" s="17" t="str">
        <f aca="false">VLOOKUP(X338,Sheet2!A:B,2,0)</f>
        <v>PRAKASH CHAVDA</v>
      </c>
      <c r="Z338" s="17" t="s">
        <v>141</v>
      </c>
      <c r="AA338" s="17" t="s">
        <v>204</v>
      </c>
      <c r="AB338" s="17" t="s">
        <v>41</v>
      </c>
      <c r="AC338" s="0" t="str">
        <f aca="false">LEFT(G338,2)</f>
        <v>98</v>
      </c>
      <c r="AD338" s="0"/>
      <c r="AE338" s="21" t="s">
        <v>42</v>
      </c>
    </row>
    <row r="339" customFormat="false" ht="15" hidden="false" customHeight="false" outlineLevel="0" collapsed="false">
      <c r="A339" s="13" t="n">
        <f aca="false">1+A338</f>
        <v>337</v>
      </c>
      <c r="B339" s="17" t="n">
        <v>1009569916</v>
      </c>
      <c r="C339" s="17" t="s">
        <v>102</v>
      </c>
      <c r="D339" s="17" t="s">
        <v>64</v>
      </c>
      <c r="E339" s="17" t="s">
        <v>47</v>
      </c>
      <c r="F339" s="18" t="s">
        <v>34</v>
      </c>
      <c r="G339" s="19" t="n">
        <v>867011102854</v>
      </c>
      <c r="H339" s="17" t="s">
        <v>134</v>
      </c>
      <c r="I339" s="17" t="s">
        <v>44</v>
      </c>
      <c r="J339" s="17" t="s">
        <v>106</v>
      </c>
      <c r="K339" s="17" t="str">
        <f aca="false">VLOOKUP(J339,Sheet2!A:B,2,0)</f>
        <v>PRAKASH CHAVDA</v>
      </c>
      <c r="L339" s="17" t="n">
        <v>1</v>
      </c>
      <c r="M339" s="17" t="str">
        <f aca="false">VLOOKUP(L339,Sheet2!D:E,2,0)</f>
        <v>Power Supply Section</v>
      </c>
      <c r="N339" s="17" t="n">
        <v>1</v>
      </c>
      <c r="O339" s="17" t="str">
        <f aca="false">VLOOKUP(N339,Sheet2!G:H,2,0)</f>
        <v>Dead</v>
      </c>
      <c r="P339" s="17" t="n">
        <v>12</v>
      </c>
      <c r="Q339" s="17" t="str">
        <f aca="false">VLOOKUP(P339,Sheet2!J:K,2,0)</f>
        <v>IR Declared due to Others ( IR Normal)TB</v>
      </c>
      <c r="R339" s="17" t="s">
        <v>35</v>
      </c>
      <c r="S339" s="17" t="str">
        <f aca="false">VLOOKUP(R339,Sheet2!N:O,2,0)</f>
        <v>IREPARABLE</v>
      </c>
      <c r="T339" s="18" t="str">
        <f aca="false">VLOOKUP(P339,Sheet2!Q:R,2,0)</f>
        <v>IR Normal - BER to IR</v>
      </c>
      <c r="U339" s="20" t="s">
        <v>135</v>
      </c>
      <c r="V339" s="17" t="n">
        <v>12</v>
      </c>
      <c r="W339" s="20" t="str">
        <f aca="false">VLOOKUP(V339,Sheet2!Q:R,2,0)</f>
        <v>IR Normal - BER to IR</v>
      </c>
      <c r="X339" s="17" t="str">
        <f aca="false">J339</f>
        <v>A018</v>
      </c>
      <c r="Y339" s="17" t="str">
        <f aca="false">VLOOKUP(X339,Sheet2!A:B,2,0)</f>
        <v>PRAKASH CHAVDA</v>
      </c>
      <c r="Z339" s="17" t="s">
        <v>222</v>
      </c>
      <c r="AA339" s="17" t="s">
        <v>223</v>
      </c>
      <c r="AB339" s="17" t="s">
        <v>41</v>
      </c>
      <c r="AC339" s="0" t="str">
        <f aca="false">LEFT(G339,2)</f>
        <v>86</v>
      </c>
      <c r="AD339" s="0"/>
      <c r="AE339" s="21" t="s">
        <v>42</v>
      </c>
    </row>
    <row r="340" customFormat="false" ht="15" hidden="false" customHeight="false" outlineLevel="0" collapsed="false">
      <c r="A340" s="13" t="n">
        <f aca="false">1+A339</f>
        <v>338</v>
      </c>
      <c r="B340" s="17" t="n">
        <v>1009606748</v>
      </c>
      <c r="C340" s="17" t="s">
        <v>181</v>
      </c>
      <c r="D340" s="17" t="s">
        <v>224</v>
      </c>
      <c r="E340" s="17" t="s">
        <v>91</v>
      </c>
      <c r="F340" s="18" t="s">
        <v>92</v>
      </c>
      <c r="G340" s="19" t="n">
        <v>413290109458</v>
      </c>
      <c r="H340" s="17" t="s">
        <v>134</v>
      </c>
      <c r="I340" s="17" t="s">
        <v>44</v>
      </c>
      <c r="J340" s="17" t="s">
        <v>106</v>
      </c>
      <c r="K340" s="17" t="str">
        <f aca="false">VLOOKUP(J340,Sheet2!A:B,2,0)</f>
        <v>PRAKASH CHAVDA</v>
      </c>
      <c r="L340" s="17" t="n">
        <v>1</v>
      </c>
      <c r="M340" s="17" t="str">
        <f aca="false">VLOOKUP(L340,Sheet2!D:E,2,0)</f>
        <v>Power Supply Section</v>
      </c>
      <c r="N340" s="17" t="n">
        <v>1</v>
      </c>
      <c r="O340" s="17" t="str">
        <f aca="false">VLOOKUP(N340,Sheet2!G:H,2,0)</f>
        <v>Dead</v>
      </c>
      <c r="P340" s="17" t="n">
        <v>12</v>
      </c>
      <c r="Q340" s="17" t="str">
        <f aca="false">VLOOKUP(P340,Sheet2!J:K,2,0)</f>
        <v>IR Declared due to Others ( IR Normal)TB</v>
      </c>
      <c r="R340" s="17" t="s">
        <v>35</v>
      </c>
      <c r="S340" s="17" t="str">
        <f aca="false">VLOOKUP(R340,Sheet2!N:O,2,0)</f>
        <v>IREPARABLE</v>
      </c>
      <c r="T340" s="18" t="str">
        <f aca="false">VLOOKUP(P340,Sheet2!Q:R,2,0)</f>
        <v>IR Normal - BER to IR</v>
      </c>
      <c r="U340" s="20" t="s">
        <v>135</v>
      </c>
      <c r="V340" s="17" t="n">
        <v>12</v>
      </c>
      <c r="W340" s="20" t="str">
        <f aca="false">VLOOKUP(V340,Sheet2!Q:R,2,0)</f>
        <v>IR Normal - BER to IR</v>
      </c>
      <c r="X340" s="17" t="str">
        <f aca="false">J340</f>
        <v>A018</v>
      </c>
      <c r="Y340" s="17" t="str">
        <f aca="false">VLOOKUP(X340,Sheet2!A:B,2,0)</f>
        <v>PRAKASH CHAVDA</v>
      </c>
      <c r="Z340" s="17" t="s">
        <v>149</v>
      </c>
      <c r="AA340" s="17" t="s">
        <v>223</v>
      </c>
      <c r="AB340" s="17" t="s">
        <v>41</v>
      </c>
      <c r="AC340" s="0" t="str">
        <f aca="false">LEFT(G340,2)</f>
        <v>41</v>
      </c>
      <c r="AD340" s="0"/>
      <c r="AE340" s="21" t="s">
        <v>42</v>
      </c>
    </row>
    <row r="341" customFormat="false" ht="15" hidden="false" customHeight="false" outlineLevel="0" collapsed="false">
      <c r="A341" s="13" t="n">
        <f aca="false">1+A340</f>
        <v>339</v>
      </c>
      <c r="B341" s="17" t="n">
        <v>1009301602</v>
      </c>
      <c r="C341" s="17" t="s">
        <v>45</v>
      </c>
      <c r="D341" s="17" t="s">
        <v>64</v>
      </c>
      <c r="E341" s="17" t="s">
        <v>33</v>
      </c>
      <c r="F341" s="18" t="s">
        <v>34</v>
      </c>
      <c r="G341" s="19" t="n">
        <v>413184406317</v>
      </c>
      <c r="H341" s="17" t="s">
        <v>134</v>
      </c>
      <c r="I341" s="17" t="s">
        <v>44</v>
      </c>
      <c r="J341" s="17" t="s">
        <v>106</v>
      </c>
      <c r="K341" s="17" t="str">
        <f aca="false">VLOOKUP(J341,Sheet2!A:B,2,0)</f>
        <v>PRAKASH CHAVDA</v>
      </c>
      <c r="L341" s="17" t="n">
        <v>1</v>
      </c>
      <c r="M341" s="17" t="str">
        <f aca="false">VLOOKUP(L341,Sheet2!D:E,2,0)</f>
        <v>Power Supply Section</v>
      </c>
      <c r="N341" s="17" t="n">
        <v>1</v>
      </c>
      <c r="O341" s="17" t="str">
        <f aca="false">VLOOKUP(N341,Sheet2!G:H,2,0)</f>
        <v>Dead</v>
      </c>
      <c r="P341" s="17" t="n">
        <v>12</v>
      </c>
      <c r="Q341" s="17" t="str">
        <f aca="false">VLOOKUP(P341,Sheet2!J:K,2,0)</f>
        <v>IR Declared due to Others ( IR Normal)TB</v>
      </c>
      <c r="R341" s="17" t="s">
        <v>35</v>
      </c>
      <c r="S341" s="17" t="str">
        <f aca="false">VLOOKUP(R341,Sheet2!N:O,2,0)</f>
        <v>IREPARABLE</v>
      </c>
      <c r="T341" s="18" t="str">
        <f aca="false">VLOOKUP(P341,Sheet2!Q:R,2,0)</f>
        <v>IR Normal - BER to IR</v>
      </c>
      <c r="U341" s="20" t="s">
        <v>135</v>
      </c>
      <c r="V341" s="17" t="n">
        <v>12</v>
      </c>
      <c r="W341" s="20" t="str">
        <f aca="false">VLOOKUP(V341,Sheet2!Q:R,2,0)</f>
        <v>IR Normal - BER to IR</v>
      </c>
      <c r="X341" s="17" t="str">
        <f aca="false">J341</f>
        <v>A018</v>
      </c>
      <c r="Y341" s="17" t="str">
        <f aca="false">VLOOKUP(X341,Sheet2!A:B,2,0)</f>
        <v>PRAKASH CHAVDA</v>
      </c>
      <c r="Z341" s="17" t="s">
        <v>149</v>
      </c>
      <c r="AA341" s="17" t="s">
        <v>223</v>
      </c>
      <c r="AB341" s="17" t="s">
        <v>41</v>
      </c>
      <c r="AC341" s="0" t="str">
        <f aca="false">LEFT(G341,2)</f>
        <v>41</v>
      </c>
      <c r="AD341" s="0"/>
      <c r="AE341" s="21" t="s">
        <v>42</v>
      </c>
    </row>
    <row r="342" customFormat="false" ht="15" hidden="false" customHeight="false" outlineLevel="0" collapsed="false">
      <c r="A342" s="13" t="n">
        <f aca="false">1+A341</f>
        <v>340</v>
      </c>
      <c r="B342" s="17" t="n">
        <v>1009327225</v>
      </c>
      <c r="C342" s="17" t="s">
        <v>85</v>
      </c>
      <c r="D342" s="17" t="s">
        <v>64</v>
      </c>
      <c r="E342" s="17" t="s">
        <v>91</v>
      </c>
      <c r="F342" s="18" t="s">
        <v>92</v>
      </c>
      <c r="G342" s="19" t="n">
        <v>413302310151</v>
      </c>
      <c r="H342" s="17" t="s">
        <v>134</v>
      </c>
      <c r="I342" s="17" t="s">
        <v>44</v>
      </c>
      <c r="J342" s="17" t="s">
        <v>106</v>
      </c>
      <c r="K342" s="17" t="str">
        <f aca="false">VLOOKUP(J342,Sheet2!A:B,2,0)</f>
        <v>PRAKASH CHAVDA</v>
      </c>
      <c r="L342" s="17" t="n">
        <v>1</v>
      </c>
      <c r="M342" s="17" t="str">
        <f aca="false">VLOOKUP(L342,Sheet2!D:E,2,0)</f>
        <v>Power Supply Section</v>
      </c>
      <c r="N342" s="17" t="n">
        <v>1</v>
      </c>
      <c r="O342" s="17" t="str">
        <f aca="false">VLOOKUP(N342,Sheet2!G:H,2,0)</f>
        <v>Dead</v>
      </c>
      <c r="P342" s="17" t="n">
        <v>12</v>
      </c>
      <c r="Q342" s="17" t="str">
        <f aca="false">VLOOKUP(P342,Sheet2!J:K,2,0)</f>
        <v>IR Declared due to Others ( IR Normal)TB</v>
      </c>
      <c r="R342" s="17" t="s">
        <v>35</v>
      </c>
      <c r="S342" s="17" t="str">
        <f aca="false">VLOOKUP(R342,Sheet2!N:O,2,0)</f>
        <v>IREPARABLE</v>
      </c>
      <c r="T342" s="18" t="str">
        <f aca="false">VLOOKUP(P342,Sheet2!Q:R,2,0)</f>
        <v>IR Normal - BER to IR</v>
      </c>
      <c r="U342" s="20" t="s">
        <v>135</v>
      </c>
      <c r="V342" s="17" t="n">
        <v>12</v>
      </c>
      <c r="W342" s="20" t="str">
        <f aca="false">VLOOKUP(V342,Sheet2!Q:R,2,0)</f>
        <v>IR Normal - BER to IR</v>
      </c>
      <c r="X342" s="17" t="str">
        <f aca="false">J342</f>
        <v>A018</v>
      </c>
      <c r="Y342" s="17" t="str">
        <f aca="false">VLOOKUP(X342,Sheet2!A:B,2,0)</f>
        <v>PRAKASH CHAVDA</v>
      </c>
      <c r="Z342" s="17" t="s">
        <v>149</v>
      </c>
      <c r="AA342" s="17" t="s">
        <v>223</v>
      </c>
      <c r="AB342" s="17" t="s">
        <v>41</v>
      </c>
      <c r="AC342" s="0" t="str">
        <f aca="false">LEFT(G342,2)</f>
        <v>41</v>
      </c>
      <c r="AD342" s="0"/>
      <c r="AE342" s="21" t="s">
        <v>42</v>
      </c>
    </row>
    <row r="343" customFormat="false" ht="15" hidden="false" customHeight="false" outlineLevel="0" collapsed="false">
      <c r="A343" s="13" t="n">
        <f aca="false">1+A342</f>
        <v>341</v>
      </c>
      <c r="B343" s="17" t="n">
        <v>1009310231</v>
      </c>
      <c r="C343" s="17" t="s">
        <v>185</v>
      </c>
      <c r="D343" s="17" t="s">
        <v>64</v>
      </c>
      <c r="E343" s="17" t="s">
        <v>64</v>
      </c>
      <c r="F343" s="18" t="s">
        <v>70</v>
      </c>
      <c r="G343" s="19" t="n">
        <v>413252403592</v>
      </c>
      <c r="H343" s="17" t="s">
        <v>134</v>
      </c>
      <c r="I343" s="17" t="s">
        <v>44</v>
      </c>
      <c r="J343" s="17" t="s">
        <v>106</v>
      </c>
      <c r="K343" s="17" t="str">
        <f aca="false">VLOOKUP(J343,Sheet2!A:B,2,0)</f>
        <v>PRAKASH CHAVDA</v>
      </c>
      <c r="L343" s="17" t="n">
        <v>5</v>
      </c>
      <c r="M343" s="17" t="str">
        <f aca="false">VLOOKUP(L343,Sheet2!D:E,2,0)</f>
        <v>Main Processor CPU BGA</v>
      </c>
      <c r="N343" s="17" t="n">
        <v>24</v>
      </c>
      <c r="O343" s="17" t="str">
        <f aca="false">VLOOKUP(N343,Sheet2!G:H,2,0)</f>
        <v>STB Auto moving -Stand by mode</v>
      </c>
      <c r="P343" s="17" t="n">
        <v>12</v>
      </c>
      <c r="Q343" s="17" t="str">
        <f aca="false">VLOOKUP(P343,Sheet2!J:K,2,0)</f>
        <v>IR Declared due to Others ( IR Normal)TB</v>
      </c>
      <c r="R343" s="17" t="s">
        <v>35</v>
      </c>
      <c r="S343" s="17" t="str">
        <f aca="false">VLOOKUP(R343,Sheet2!N:O,2,0)</f>
        <v>IREPARABLE</v>
      </c>
      <c r="T343" s="18" t="str">
        <f aca="false">VLOOKUP(P343,Sheet2!Q:R,2,0)</f>
        <v>IR Normal - BER to IR</v>
      </c>
      <c r="U343" s="20" t="s">
        <v>135</v>
      </c>
      <c r="V343" s="17" t="n">
        <v>12</v>
      </c>
      <c r="W343" s="20" t="str">
        <f aca="false">VLOOKUP(V343,Sheet2!Q:R,2,0)</f>
        <v>IR Normal - BER to IR</v>
      </c>
      <c r="X343" s="17" t="str">
        <f aca="false">J343</f>
        <v>A018</v>
      </c>
      <c r="Y343" s="17" t="str">
        <f aca="false">VLOOKUP(X343,Sheet2!A:B,2,0)</f>
        <v>PRAKASH CHAVDA</v>
      </c>
      <c r="Z343" s="17" t="s">
        <v>149</v>
      </c>
      <c r="AA343" s="17" t="s">
        <v>223</v>
      </c>
      <c r="AB343" s="17" t="s">
        <v>41</v>
      </c>
      <c r="AC343" s="0" t="str">
        <f aca="false">LEFT(G343,2)</f>
        <v>41</v>
      </c>
      <c r="AD343" s="0"/>
      <c r="AE343" s="21" t="s">
        <v>42</v>
      </c>
    </row>
    <row r="344" customFormat="false" ht="15" hidden="false" customHeight="false" outlineLevel="0" collapsed="false">
      <c r="A344" s="13" t="n">
        <f aca="false">1+A343</f>
        <v>342</v>
      </c>
      <c r="B344" s="17" t="n">
        <v>1009615321</v>
      </c>
      <c r="C344" s="17" t="s">
        <v>184</v>
      </c>
      <c r="D344" s="17" t="s">
        <v>64</v>
      </c>
      <c r="E344" s="17" t="s">
        <v>64</v>
      </c>
      <c r="F344" s="18" t="s">
        <v>70</v>
      </c>
      <c r="G344" s="19" t="n">
        <v>985346296041</v>
      </c>
      <c r="H344" s="17" t="s">
        <v>134</v>
      </c>
      <c r="I344" s="17" t="s">
        <v>44</v>
      </c>
      <c r="J344" s="17" t="s">
        <v>106</v>
      </c>
      <c r="K344" s="17" t="str">
        <f aca="false">VLOOKUP(J344,Sheet2!A:B,2,0)</f>
        <v>PRAKASH CHAVDA</v>
      </c>
      <c r="L344" s="17" t="n">
        <v>5</v>
      </c>
      <c r="M344" s="17" t="str">
        <f aca="false">VLOOKUP(L344,Sheet2!D:E,2,0)</f>
        <v>Main Processor CPU BGA</v>
      </c>
      <c r="N344" s="17" t="n">
        <v>24</v>
      </c>
      <c r="O344" s="17" t="str">
        <f aca="false">VLOOKUP(N344,Sheet2!G:H,2,0)</f>
        <v>STB Auto moving -Stand by mode</v>
      </c>
      <c r="P344" s="17" t="n">
        <v>12</v>
      </c>
      <c r="Q344" s="17" t="str">
        <f aca="false">VLOOKUP(P344,Sheet2!J:K,2,0)</f>
        <v>IR Declared due to Others ( IR Normal)TB</v>
      </c>
      <c r="R344" s="17" t="s">
        <v>35</v>
      </c>
      <c r="S344" s="17" t="str">
        <f aca="false">VLOOKUP(R344,Sheet2!N:O,2,0)</f>
        <v>IREPARABLE</v>
      </c>
      <c r="T344" s="18" t="str">
        <f aca="false">VLOOKUP(P344,Sheet2!Q:R,2,0)</f>
        <v>IR Normal - BER to IR</v>
      </c>
      <c r="U344" s="20" t="s">
        <v>135</v>
      </c>
      <c r="V344" s="17" t="n">
        <v>12</v>
      </c>
      <c r="W344" s="20" t="str">
        <f aca="false">VLOOKUP(V344,Sheet2!Q:R,2,0)</f>
        <v>IR Normal - BER to IR</v>
      </c>
      <c r="X344" s="17" t="str">
        <f aca="false">J344</f>
        <v>A018</v>
      </c>
      <c r="Y344" s="17" t="str">
        <f aca="false">VLOOKUP(X344,Sheet2!A:B,2,0)</f>
        <v>PRAKASH CHAVDA</v>
      </c>
      <c r="Z344" s="17" t="s">
        <v>141</v>
      </c>
      <c r="AA344" s="17" t="s">
        <v>223</v>
      </c>
      <c r="AB344" s="17" t="s">
        <v>41</v>
      </c>
      <c r="AC344" s="0" t="str">
        <f aca="false">LEFT(G344,2)</f>
        <v>98</v>
      </c>
      <c r="AD344" s="0"/>
      <c r="AE344" s="21" t="s">
        <v>42</v>
      </c>
    </row>
    <row r="345" customFormat="false" ht="15" hidden="false" customHeight="false" outlineLevel="0" collapsed="false">
      <c r="A345" s="13" t="n">
        <f aca="false">1+A344</f>
        <v>343</v>
      </c>
      <c r="B345" s="17" t="n">
        <v>1009610735</v>
      </c>
      <c r="C345" s="17" t="s">
        <v>181</v>
      </c>
      <c r="D345" s="17" t="s">
        <v>225</v>
      </c>
      <c r="E345" s="17" t="s">
        <v>47</v>
      </c>
      <c r="F345" s="18" t="s">
        <v>34</v>
      </c>
      <c r="G345" s="19" t="n">
        <v>986251184891</v>
      </c>
      <c r="H345" s="17" t="s">
        <v>134</v>
      </c>
      <c r="I345" s="17" t="s">
        <v>44</v>
      </c>
      <c r="J345" s="17" t="s">
        <v>106</v>
      </c>
      <c r="K345" s="17" t="str">
        <f aca="false">VLOOKUP(J345,Sheet2!A:B,2,0)</f>
        <v>PRAKASH CHAVDA</v>
      </c>
      <c r="L345" s="17" t="n">
        <v>2</v>
      </c>
      <c r="M345" s="17" t="str">
        <f aca="false">VLOOKUP(L345,Sheet2!D:E,2,0)</f>
        <v>Tuner Section</v>
      </c>
      <c r="N345" s="17" t="n">
        <v>6</v>
      </c>
      <c r="O345" s="17" t="str">
        <f aca="false">VLOOKUP(N345,Sheet2!G:H,2,0)</f>
        <v>No Signal</v>
      </c>
      <c r="P345" s="17" t="n">
        <v>12</v>
      </c>
      <c r="Q345" s="17" t="str">
        <f aca="false">VLOOKUP(P345,Sheet2!J:K,2,0)</f>
        <v>IR Declared due to Others ( IR Normal)TB</v>
      </c>
      <c r="R345" s="17" t="s">
        <v>35</v>
      </c>
      <c r="S345" s="17" t="str">
        <f aca="false">VLOOKUP(R345,Sheet2!N:O,2,0)</f>
        <v>IREPARABLE</v>
      </c>
      <c r="T345" s="18" t="str">
        <f aca="false">VLOOKUP(P345,Sheet2!Q:R,2,0)</f>
        <v>IR Normal - BER to IR</v>
      </c>
      <c r="U345" s="20" t="s">
        <v>135</v>
      </c>
      <c r="V345" s="17" t="n">
        <v>12</v>
      </c>
      <c r="W345" s="20" t="str">
        <f aca="false">VLOOKUP(V345,Sheet2!Q:R,2,0)</f>
        <v>IR Normal - BER to IR</v>
      </c>
      <c r="X345" s="17" t="str">
        <f aca="false">J345</f>
        <v>A018</v>
      </c>
      <c r="Y345" s="17" t="str">
        <f aca="false">VLOOKUP(X345,Sheet2!A:B,2,0)</f>
        <v>PRAKASH CHAVDA</v>
      </c>
      <c r="Z345" s="17" t="s">
        <v>141</v>
      </c>
      <c r="AA345" s="17" t="s">
        <v>223</v>
      </c>
      <c r="AB345" s="17" t="s">
        <v>41</v>
      </c>
      <c r="AC345" s="0" t="str">
        <f aca="false">LEFT(G345,2)</f>
        <v>98</v>
      </c>
      <c r="AD345" s="0"/>
      <c r="AE345" s="21" t="s">
        <v>42</v>
      </c>
    </row>
    <row r="346" customFormat="false" ht="15" hidden="false" customHeight="false" outlineLevel="0" collapsed="false">
      <c r="A346" s="13" t="n">
        <f aca="false">1+A345</f>
        <v>344</v>
      </c>
      <c r="B346" s="17" t="n">
        <v>1009315580</v>
      </c>
      <c r="C346" s="17" t="s">
        <v>85</v>
      </c>
      <c r="D346" s="17" t="s">
        <v>64</v>
      </c>
      <c r="E346" s="17" t="s">
        <v>64</v>
      </c>
      <c r="F346" s="18" t="s">
        <v>70</v>
      </c>
      <c r="G346" s="19" t="n">
        <v>987220134561</v>
      </c>
      <c r="H346" s="17" t="s">
        <v>134</v>
      </c>
      <c r="I346" s="17" t="s">
        <v>44</v>
      </c>
      <c r="J346" s="17" t="s">
        <v>106</v>
      </c>
      <c r="K346" s="17" t="str">
        <f aca="false">VLOOKUP(J346,Sheet2!A:B,2,0)</f>
        <v>PRAKASH CHAVDA</v>
      </c>
      <c r="L346" s="17" t="n">
        <v>5</v>
      </c>
      <c r="M346" s="17" t="str">
        <f aca="false">VLOOKUP(L346,Sheet2!D:E,2,0)</f>
        <v>Main Processor CPU BGA</v>
      </c>
      <c r="N346" s="17" t="n">
        <v>37</v>
      </c>
      <c r="O346" s="17" t="str">
        <f aca="false">VLOOKUP(N346,Sheet2!G:H,2,0)</f>
        <v>Error -2</v>
      </c>
      <c r="P346" s="17" t="n">
        <v>12</v>
      </c>
      <c r="Q346" s="17" t="str">
        <f aca="false">VLOOKUP(P346,Sheet2!J:K,2,0)</f>
        <v>IR Declared due to Others ( IR Normal)TB</v>
      </c>
      <c r="R346" s="17" t="s">
        <v>35</v>
      </c>
      <c r="S346" s="17" t="str">
        <f aca="false">VLOOKUP(R346,Sheet2!N:O,2,0)</f>
        <v>IREPARABLE</v>
      </c>
      <c r="T346" s="18" t="str">
        <f aca="false">VLOOKUP(P346,Sheet2!Q:R,2,0)</f>
        <v>IR Normal - BER to IR</v>
      </c>
      <c r="U346" s="20" t="s">
        <v>135</v>
      </c>
      <c r="V346" s="17" t="n">
        <v>12</v>
      </c>
      <c r="W346" s="20" t="str">
        <f aca="false">VLOOKUP(V346,Sheet2!Q:R,2,0)</f>
        <v>IR Normal - BER to IR</v>
      </c>
      <c r="X346" s="17" t="str">
        <f aca="false">J346</f>
        <v>A018</v>
      </c>
      <c r="Y346" s="17" t="str">
        <f aca="false">VLOOKUP(X346,Sheet2!A:B,2,0)</f>
        <v>PRAKASH CHAVDA</v>
      </c>
      <c r="Z346" s="17" t="s">
        <v>141</v>
      </c>
      <c r="AA346" s="17" t="s">
        <v>223</v>
      </c>
      <c r="AB346" s="17" t="s">
        <v>41</v>
      </c>
      <c r="AC346" s="0" t="str">
        <f aca="false">LEFT(G346,2)</f>
        <v>98</v>
      </c>
      <c r="AD346" s="0"/>
      <c r="AE346" s="21" t="s">
        <v>42</v>
      </c>
    </row>
    <row r="347" customFormat="false" ht="15" hidden="false" customHeight="false" outlineLevel="0" collapsed="false">
      <c r="A347" s="13" t="n">
        <f aca="false">1+A346</f>
        <v>345</v>
      </c>
      <c r="B347" s="17" t="n">
        <v>1009421270</v>
      </c>
      <c r="C347" s="17" t="s">
        <v>179</v>
      </c>
      <c r="D347" s="17" t="s">
        <v>64</v>
      </c>
      <c r="E347" s="17" t="s">
        <v>33</v>
      </c>
      <c r="F347" s="18" t="s">
        <v>34</v>
      </c>
      <c r="G347" s="19" t="n">
        <v>954285151443</v>
      </c>
      <c r="H347" s="17" t="s">
        <v>134</v>
      </c>
      <c r="I347" s="17" t="s">
        <v>44</v>
      </c>
      <c r="J347" s="17" t="s">
        <v>106</v>
      </c>
      <c r="K347" s="17" t="str">
        <f aca="false">VLOOKUP(J347,Sheet2!A:B,2,0)</f>
        <v>PRAKASH CHAVDA</v>
      </c>
      <c r="L347" s="17" t="n">
        <v>5</v>
      </c>
      <c r="M347" s="17" t="str">
        <f aca="false">VLOOKUP(L347,Sheet2!D:E,2,0)</f>
        <v>Main Processor CPU BGA</v>
      </c>
      <c r="N347" s="17" t="n">
        <v>24</v>
      </c>
      <c r="O347" s="17" t="str">
        <f aca="false">VLOOKUP(N347,Sheet2!G:H,2,0)</f>
        <v>STB Auto moving -Stand by mode</v>
      </c>
      <c r="P347" s="17" t="n">
        <v>12</v>
      </c>
      <c r="Q347" s="17" t="str">
        <f aca="false">VLOOKUP(P347,Sheet2!J:K,2,0)</f>
        <v>IR Declared due to Others ( IR Normal)TB</v>
      </c>
      <c r="R347" s="17" t="s">
        <v>35</v>
      </c>
      <c r="S347" s="17" t="str">
        <f aca="false">VLOOKUP(R347,Sheet2!N:O,2,0)</f>
        <v>IREPARABLE</v>
      </c>
      <c r="T347" s="18" t="str">
        <f aca="false">VLOOKUP(P347,Sheet2!Q:R,2,0)</f>
        <v>IR Normal - BER to IR</v>
      </c>
      <c r="U347" s="20" t="s">
        <v>135</v>
      </c>
      <c r="V347" s="17" t="n">
        <v>12</v>
      </c>
      <c r="W347" s="20" t="str">
        <f aca="false">VLOOKUP(V347,Sheet2!Q:R,2,0)</f>
        <v>IR Normal - BER to IR</v>
      </c>
      <c r="X347" s="17" t="str">
        <f aca="false">J347</f>
        <v>A018</v>
      </c>
      <c r="Y347" s="17" t="str">
        <f aca="false">VLOOKUP(X347,Sheet2!A:B,2,0)</f>
        <v>PRAKASH CHAVDA</v>
      </c>
      <c r="Z347" s="17" t="s">
        <v>226</v>
      </c>
      <c r="AA347" s="17" t="s">
        <v>223</v>
      </c>
      <c r="AB347" s="17" t="s">
        <v>41</v>
      </c>
      <c r="AC347" s="0" t="str">
        <f aca="false">LEFT(G347,2)</f>
        <v>95</v>
      </c>
      <c r="AD347" s="0"/>
      <c r="AE347" s="21" t="s">
        <v>42</v>
      </c>
    </row>
    <row r="348" customFormat="false" ht="15" hidden="false" customHeight="false" outlineLevel="0" collapsed="false">
      <c r="A348" s="13" t="n">
        <f aca="false">1+A347</f>
        <v>346</v>
      </c>
      <c r="B348" s="17" t="n">
        <v>1009566819</v>
      </c>
      <c r="C348" s="17" t="s">
        <v>102</v>
      </c>
      <c r="D348" s="17" t="s">
        <v>64</v>
      </c>
      <c r="E348" s="17" t="s">
        <v>91</v>
      </c>
      <c r="F348" s="18" t="s">
        <v>92</v>
      </c>
      <c r="G348" s="19" t="n">
        <v>943264925299</v>
      </c>
      <c r="H348" s="17" t="s">
        <v>134</v>
      </c>
      <c r="I348" s="17" t="s">
        <v>44</v>
      </c>
      <c r="J348" s="17" t="s">
        <v>106</v>
      </c>
      <c r="K348" s="17" t="str">
        <f aca="false">VLOOKUP(J348,Sheet2!A:B,2,0)</f>
        <v>PRAKASH CHAVDA</v>
      </c>
      <c r="L348" s="17" t="n">
        <v>2</v>
      </c>
      <c r="M348" s="17" t="str">
        <f aca="false">VLOOKUP(L348,Sheet2!D:E,2,0)</f>
        <v>Tuner Section</v>
      </c>
      <c r="N348" s="17" t="n">
        <v>6</v>
      </c>
      <c r="O348" s="17" t="str">
        <f aca="false">VLOOKUP(N348,Sheet2!G:H,2,0)</f>
        <v>No Signal</v>
      </c>
      <c r="P348" s="17" t="n">
        <v>12</v>
      </c>
      <c r="Q348" s="17" t="str">
        <f aca="false">VLOOKUP(P348,Sheet2!J:K,2,0)</f>
        <v>IR Declared due to Others ( IR Normal)TB</v>
      </c>
      <c r="R348" s="17" t="s">
        <v>35</v>
      </c>
      <c r="S348" s="17" t="str">
        <f aca="false">VLOOKUP(R348,Sheet2!N:O,2,0)</f>
        <v>IREPARABLE</v>
      </c>
      <c r="T348" s="18" t="str">
        <f aca="false">VLOOKUP(P348,Sheet2!Q:R,2,0)</f>
        <v>IR Normal - BER to IR</v>
      </c>
      <c r="U348" s="20" t="s">
        <v>135</v>
      </c>
      <c r="V348" s="17" t="n">
        <v>12</v>
      </c>
      <c r="W348" s="20" t="str">
        <f aca="false">VLOOKUP(V348,Sheet2!Q:R,2,0)</f>
        <v>IR Normal - BER to IR</v>
      </c>
      <c r="X348" s="17" t="str">
        <f aca="false">J348</f>
        <v>A018</v>
      </c>
      <c r="Y348" s="17" t="str">
        <f aca="false">VLOOKUP(X348,Sheet2!A:B,2,0)</f>
        <v>PRAKASH CHAVDA</v>
      </c>
      <c r="Z348" s="17" t="s">
        <v>127</v>
      </c>
      <c r="AA348" s="17" t="s">
        <v>223</v>
      </c>
      <c r="AB348" s="17" t="s">
        <v>41</v>
      </c>
      <c r="AC348" s="0" t="str">
        <f aca="false">LEFT(G348,2)</f>
        <v>94</v>
      </c>
      <c r="AD348" s="0"/>
      <c r="AE348" s="21" t="s">
        <v>42</v>
      </c>
    </row>
    <row r="349" customFormat="false" ht="15" hidden="false" customHeight="false" outlineLevel="0" collapsed="false">
      <c r="A349" s="13" t="n">
        <f aca="false">1+A348</f>
        <v>347</v>
      </c>
      <c r="B349" s="17" t="n">
        <v>1009613247</v>
      </c>
      <c r="C349" s="17" t="s">
        <v>181</v>
      </c>
      <c r="D349" s="17" t="s">
        <v>190</v>
      </c>
      <c r="E349" s="17" t="s">
        <v>64</v>
      </c>
      <c r="F349" s="18" t="s">
        <v>70</v>
      </c>
      <c r="G349" s="19" t="n">
        <v>942330944896</v>
      </c>
      <c r="H349" s="17" t="s">
        <v>134</v>
      </c>
      <c r="I349" s="17" t="s">
        <v>44</v>
      </c>
      <c r="J349" s="17" t="s">
        <v>106</v>
      </c>
      <c r="K349" s="17" t="str">
        <f aca="false">VLOOKUP(J349,Sheet2!A:B,2,0)</f>
        <v>PRAKASH CHAVDA</v>
      </c>
      <c r="L349" s="17" t="n">
        <v>5</v>
      </c>
      <c r="M349" s="17" t="str">
        <f aca="false">VLOOKUP(L349,Sheet2!D:E,2,0)</f>
        <v>Main Processor CPU BGA</v>
      </c>
      <c r="N349" s="17" t="n">
        <v>19</v>
      </c>
      <c r="O349" s="17" t="str">
        <f aca="false">VLOOKUP(N349,Sheet2!G:H,2,0)</f>
        <v>No Video - Intermittent</v>
      </c>
      <c r="P349" s="17" t="n">
        <v>12</v>
      </c>
      <c r="Q349" s="17" t="str">
        <f aca="false">VLOOKUP(P349,Sheet2!J:K,2,0)</f>
        <v>IR Declared due to Others ( IR Normal)TB</v>
      </c>
      <c r="R349" s="17" t="s">
        <v>35</v>
      </c>
      <c r="S349" s="17" t="str">
        <f aca="false">VLOOKUP(R349,Sheet2!N:O,2,0)</f>
        <v>IREPARABLE</v>
      </c>
      <c r="T349" s="18" t="str">
        <f aca="false">VLOOKUP(P349,Sheet2!Q:R,2,0)</f>
        <v>IR Normal - BER to IR</v>
      </c>
      <c r="U349" s="20" t="s">
        <v>135</v>
      </c>
      <c r="V349" s="17" t="n">
        <v>12</v>
      </c>
      <c r="W349" s="20" t="str">
        <f aca="false">VLOOKUP(V349,Sheet2!Q:R,2,0)</f>
        <v>IR Normal - BER to IR</v>
      </c>
      <c r="X349" s="17" t="str">
        <f aca="false">J349</f>
        <v>A018</v>
      </c>
      <c r="Y349" s="17" t="str">
        <f aca="false">VLOOKUP(X349,Sheet2!A:B,2,0)</f>
        <v>PRAKASH CHAVDA</v>
      </c>
      <c r="Z349" s="17" t="s">
        <v>127</v>
      </c>
      <c r="AA349" s="17" t="s">
        <v>223</v>
      </c>
      <c r="AB349" s="17" t="s">
        <v>41</v>
      </c>
      <c r="AC349" s="0" t="str">
        <f aca="false">LEFT(G349,2)</f>
        <v>94</v>
      </c>
      <c r="AD349" s="0"/>
      <c r="AE349" s="21" t="s">
        <v>42</v>
      </c>
    </row>
    <row r="350" customFormat="false" ht="15" hidden="false" customHeight="false" outlineLevel="0" collapsed="false">
      <c r="A350" s="13" t="n">
        <f aca="false">1+A349</f>
        <v>348</v>
      </c>
      <c r="B350" s="17" t="n">
        <v>1007779670</v>
      </c>
      <c r="C350" s="17" t="s">
        <v>77</v>
      </c>
      <c r="D350" s="17" t="s">
        <v>227</v>
      </c>
      <c r="E350" s="17" t="s">
        <v>33</v>
      </c>
      <c r="F350" s="18" t="s">
        <v>34</v>
      </c>
      <c r="G350" s="19" t="n">
        <v>134283204102</v>
      </c>
      <c r="H350" s="17" t="s">
        <v>134</v>
      </c>
      <c r="I350" s="17" t="s">
        <v>44</v>
      </c>
      <c r="J350" s="17" t="s">
        <v>106</v>
      </c>
      <c r="K350" s="17" t="str">
        <f aca="false">VLOOKUP(J350,Sheet2!A:B,2,0)</f>
        <v>PRAKASH CHAVDA</v>
      </c>
      <c r="L350" s="17" t="n">
        <v>5</v>
      </c>
      <c r="M350" s="17" t="str">
        <f aca="false">VLOOKUP(L350,Sheet2!D:E,2,0)</f>
        <v>Main Processor CPU BGA</v>
      </c>
      <c r="N350" s="17" t="n">
        <v>24</v>
      </c>
      <c r="O350" s="17" t="str">
        <f aca="false">VLOOKUP(N350,Sheet2!G:H,2,0)</f>
        <v>STB Auto moving -Stand by mode</v>
      </c>
      <c r="P350" s="17" t="n">
        <v>12</v>
      </c>
      <c r="Q350" s="17" t="str">
        <f aca="false">VLOOKUP(P350,Sheet2!J:K,2,0)</f>
        <v>IR Declared due to Others ( IR Normal)TB</v>
      </c>
      <c r="R350" s="17" t="s">
        <v>35</v>
      </c>
      <c r="S350" s="17" t="str">
        <f aca="false">VLOOKUP(R350,Sheet2!N:O,2,0)</f>
        <v>IREPARABLE</v>
      </c>
      <c r="T350" s="18" t="str">
        <f aca="false">VLOOKUP(P350,Sheet2!Q:R,2,0)</f>
        <v>IR Normal - BER to IR</v>
      </c>
      <c r="U350" s="20" t="s">
        <v>135</v>
      </c>
      <c r="V350" s="17" t="n">
        <v>12</v>
      </c>
      <c r="W350" s="20" t="str">
        <f aca="false">VLOOKUP(V350,Sheet2!Q:R,2,0)</f>
        <v>IR Normal - BER to IR</v>
      </c>
      <c r="X350" s="17" t="str">
        <f aca="false">J350</f>
        <v>A018</v>
      </c>
      <c r="Y350" s="17" t="str">
        <f aca="false">VLOOKUP(X350,Sheet2!A:B,2,0)</f>
        <v>PRAKASH CHAVDA</v>
      </c>
      <c r="Z350" s="17" t="s">
        <v>136</v>
      </c>
      <c r="AA350" s="17" t="s">
        <v>223</v>
      </c>
      <c r="AB350" s="17" t="s">
        <v>41</v>
      </c>
      <c r="AC350" s="0" t="str">
        <f aca="false">LEFT(G350,2)</f>
        <v>13</v>
      </c>
      <c r="AD350" s="0"/>
      <c r="AE350" s="21" t="s">
        <v>42</v>
      </c>
    </row>
    <row r="351" customFormat="false" ht="15" hidden="false" customHeight="false" outlineLevel="0" collapsed="false">
      <c r="A351" s="13" t="n">
        <f aca="false">1+A350</f>
        <v>349</v>
      </c>
      <c r="B351" s="17" t="n">
        <v>1009615610</v>
      </c>
      <c r="C351" s="17" t="s">
        <v>184</v>
      </c>
      <c r="D351" s="17" t="s">
        <v>156</v>
      </c>
      <c r="E351" s="17" t="s">
        <v>47</v>
      </c>
      <c r="F351" s="18" t="s">
        <v>34</v>
      </c>
      <c r="G351" s="19" t="n">
        <v>134106490540</v>
      </c>
      <c r="H351" s="17" t="s">
        <v>134</v>
      </c>
      <c r="I351" s="17" t="s">
        <v>44</v>
      </c>
      <c r="J351" s="17" t="s">
        <v>106</v>
      </c>
      <c r="K351" s="17" t="str">
        <f aca="false">VLOOKUP(J351,Sheet2!A:B,2,0)</f>
        <v>PRAKASH CHAVDA</v>
      </c>
      <c r="L351" s="17" t="n">
        <v>1</v>
      </c>
      <c r="M351" s="17" t="str">
        <f aca="false">VLOOKUP(L351,Sheet2!D:E,2,0)</f>
        <v>Power Supply Section</v>
      </c>
      <c r="N351" s="17" t="n">
        <v>1</v>
      </c>
      <c r="O351" s="17" t="str">
        <f aca="false">VLOOKUP(N351,Sheet2!G:H,2,0)</f>
        <v>Dead</v>
      </c>
      <c r="P351" s="17" t="n">
        <v>12</v>
      </c>
      <c r="Q351" s="17" t="str">
        <f aca="false">VLOOKUP(P351,Sheet2!J:K,2,0)</f>
        <v>IR Declared due to Others ( IR Normal)TB</v>
      </c>
      <c r="R351" s="17" t="s">
        <v>35</v>
      </c>
      <c r="S351" s="17" t="str">
        <f aca="false">VLOOKUP(R351,Sheet2!N:O,2,0)</f>
        <v>IREPARABLE</v>
      </c>
      <c r="T351" s="18" t="str">
        <f aca="false">VLOOKUP(P351,Sheet2!Q:R,2,0)</f>
        <v>IR Normal - BER to IR</v>
      </c>
      <c r="U351" s="20" t="s">
        <v>135</v>
      </c>
      <c r="V351" s="17" t="n">
        <v>12</v>
      </c>
      <c r="W351" s="20" t="str">
        <f aca="false">VLOOKUP(V351,Sheet2!Q:R,2,0)</f>
        <v>IR Normal - BER to IR</v>
      </c>
      <c r="X351" s="17" t="str">
        <f aca="false">J351</f>
        <v>A018</v>
      </c>
      <c r="Y351" s="17" t="str">
        <f aca="false">VLOOKUP(X351,Sheet2!A:B,2,0)</f>
        <v>PRAKASH CHAVDA</v>
      </c>
      <c r="Z351" s="17" t="s">
        <v>136</v>
      </c>
      <c r="AA351" s="17" t="s">
        <v>223</v>
      </c>
      <c r="AB351" s="17" t="s">
        <v>41</v>
      </c>
      <c r="AC351" s="0" t="str">
        <f aca="false">LEFT(G351,2)</f>
        <v>13</v>
      </c>
      <c r="AD351" s="0"/>
      <c r="AE351" s="21" t="s">
        <v>42</v>
      </c>
    </row>
    <row r="352" customFormat="false" ht="15" hidden="false" customHeight="false" outlineLevel="0" collapsed="false">
      <c r="A352" s="13" t="n">
        <f aca="false">1+A351</f>
        <v>350</v>
      </c>
      <c r="B352" s="17" t="n">
        <v>1008388699</v>
      </c>
      <c r="C352" s="17" t="s">
        <v>228</v>
      </c>
      <c r="D352" s="17" t="s">
        <v>64</v>
      </c>
      <c r="E352" s="17" t="s">
        <v>47</v>
      </c>
      <c r="F352" s="18" t="s">
        <v>34</v>
      </c>
      <c r="G352" s="19" t="n">
        <v>134127199286</v>
      </c>
      <c r="H352" s="17" t="s">
        <v>134</v>
      </c>
      <c r="I352" s="17" t="s">
        <v>44</v>
      </c>
      <c r="J352" s="17" t="s">
        <v>106</v>
      </c>
      <c r="K352" s="17" t="str">
        <f aca="false">VLOOKUP(J352,Sheet2!A:B,2,0)</f>
        <v>PRAKASH CHAVDA</v>
      </c>
      <c r="L352" s="17" t="n">
        <v>5</v>
      </c>
      <c r="M352" s="17" t="str">
        <f aca="false">VLOOKUP(L352,Sheet2!D:E,2,0)</f>
        <v>Main Processor CPU BGA</v>
      </c>
      <c r="N352" s="17" t="n">
        <v>24</v>
      </c>
      <c r="O352" s="17" t="str">
        <f aca="false">VLOOKUP(N352,Sheet2!G:H,2,0)</f>
        <v>STB Auto moving -Stand by mode</v>
      </c>
      <c r="P352" s="17" t="n">
        <v>12</v>
      </c>
      <c r="Q352" s="17" t="str">
        <f aca="false">VLOOKUP(P352,Sheet2!J:K,2,0)</f>
        <v>IR Declared due to Others ( IR Normal)TB</v>
      </c>
      <c r="R352" s="17" t="s">
        <v>35</v>
      </c>
      <c r="S352" s="17" t="str">
        <f aca="false">VLOOKUP(R352,Sheet2!N:O,2,0)</f>
        <v>IREPARABLE</v>
      </c>
      <c r="T352" s="18" t="str">
        <f aca="false">VLOOKUP(P352,Sheet2!Q:R,2,0)</f>
        <v>IR Normal - BER to IR</v>
      </c>
      <c r="U352" s="20" t="s">
        <v>135</v>
      </c>
      <c r="V352" s="17" t="n">
        <v>12</v>
      </c>
      <c r="W352" s="20" t="str">
        <f aca="false">VLOOKUP(V352,Sheet2!Q:R,2,0)</f>
        <v>IR Normal - BER to IR</v>
      </c>
      <c r="X352" s="17" t="str">
        <f aca="false">J352</f>
        <v>A018</v>
      </c>
      <c r="Y352" s="17" t="str">
        <f aca="false">VLOOKUP(X352,Sheet2!A:B,2,0)</f>
        <v>PRAKASH CHAVDA</v>
      </c>
      <c r="Z352" s="17" t="s">
        <v>136</v>
      </c>
      <c r="AA352" s="17" t="s">
        <v>223</v>
      </c>
      <c r="AB352" s="17" t="s">
        <v>41</v>
      </c>
      <c r="AC352" s="0" t="str">
        <f aca="false">LEFT(G352,2)</f>
        <v>13</v>
      </c>
      <c r="AD352" s="0"/>
      <c r="AE352" s="21" t="s">
        <v>42</v>
      </c>
    </row>
    <row r="353" customFormat="false" ht="15" hidden="false" customHeight="false" outlineLevel="0" collapsed="false">
      <c r="A353" s="13" t="n">
        <f aca="false">1+A352</f>
        <v>351</v>
      </c>
      <c r="B353" s="17" t="n">
        <v>1009616446</v>
      </c>
      <c r="C353" s="17" t="s">
        <v>184</v>
      </c>
      <c r="D353" s="17" t="s">
        <v>154</v>
      </c>
      <c r="E353" s="17" t="s">
        <v>208</v>
      </c>
      <c r="F353" s="18" t="s">
        <v>34</v>
      </c>
      <c r="G353" s="19" t="n">
        <v>134106303248</v>
      </c>
      <c r="H353" s="17" t="s">
        <v>134</v>
      </c>
      <c r="I353" s="17" t="s">
        <v>44</v>
      </c>
      <c r="J353" s="17" t="s">
        <v>106</v>
      </c>
      <c r="K353" s="17" t="str">
        <f aca="false">VLOOKUP(J353,Sheet2!A:B,2,0)</f>
        <v>PRAKASH CHAVDA</v>
      </c>
      <c r="L353" s="17" t="n">
        <v>5</v>
      </c>
      <c r="M353" s="17" t="str">
        <f aca="false">VLOOKUP(L353,Sheet2!D:E,2,0)</f>
        <v>Main Processor CPU BGA</v>
      </c>
      <c r="N353" s="17" t="n">
        <v>1</v>
      </c>
      <c r="O353" s="17" t="str">
        <f aca="false">VLOOKUP(N353,Sheet2!G:H,2,0)</f>
        <v>Dead</v>
      </c>
      <c r="P353" s="17" t="n">
        <v>12</v>
      </c>
      <c r="Q353" s="17" t="str">
        <f aca="false">VLOOKUP(P353,Sheet2!J:K,2,0)</f>
        <v>IR Declared due to Others ( IR Normal)TB</v>
      </c>
      <c r="R353" s="17" t="s">
        <v>35</v>
      </c>
      <c r="S353" s="17" t="str">
        <f aca="false">VLOOKUP(R353,Sheet2!N:O,2,0)</f>
        <v>IREPARABLE</v>
      </c>
      <c r="T353" s="18" t="str">
        <f aca="false">VLOOKUP(P353,Sheet2!Q:R,2,0)</f>
        <v>IR Normal - BER to IR</v>
      </c>
      <c r="U353" s="20" t="s">
        <v>135</v>
      </c>
      <c r="V353" s="17" t="n">
        <v>12</v>
      </c>
      <c r="W353" s="20" t="str">
        <f aca="false">VLOOKUP(V353,Sheet2!Q:R,2,0)</f>
        <v>IR Normal - BER to IR</v>
      </c>
      <c r="X353" s="17" t="str">
        <f aca="false">J353</f>
        <v>A018</v>
      </c>
      <c r="Y353" s="17" t="str">
        <f aca="false">VLOOKUP(X353,Sheet2!A:B,2,0)</f>
        <v>PRAKASH CHAVDA</v>
      </c>
      <c r="Z353" s="17" t="s">
        <v>136</v>
      </c>
      <c r="AA353" s="17" t="s">
        <v>223</v>
      </c>
      <c r="AB353" s="17" t="s">
        <v>41</v>
      </c>
      <c r="AC353" s="0" t="str">
        <f aca="false">LEFT(G353,2)</f>
        <v>13</v>
      </c>
      <c r="AD353" s="0"/>
      <c r="AE353" s="21" t="s">
        <v>42</v>
      </c>
    </row>
    <row r="354" customFormat="false" ht="15" hidden="false" customHeight="false" outlineLevel="0" collapsed="false">
      <c r="A354" s="13" t="n">
        <f aca="false">1+A353</f>
        <v>352</v>
      </c>
      <c r="B354" s="17" t="n">
        <v>1009628270</v>
      </c>
      <c r="C354" s="17" t="s">
        <v>229</v>
      </c>
      <c r="D354" s="17" t="s">
        <v>64</v>
      </c>
      <c r="E354" s="17" t="s">
        <v>64</v>
      </c>
      <c r="F354" s="18" t="s">
        <v>70</v>
      </c>
      <c r="G354" s="19" t="n">
        <v>775323172798</v>
      </c>
      <c r="H354" s="17" t="s">
        <v>134</v>
      </c>
      <c r="I354" s="17" t="s">
        <v>69</v>
      </c>
      <c r="J354" s="17" t="s">
        <v>106</v>
      </c>
      <c r="K354" s="17" t="str">
        <f aca="false">VLOOKUP(J354,Sheet2!A:B,2,0)</f>
        <v>PRAKASH CHAVDA</v>
      </c>
      <c r="L354" s="17" t="n">
        <v>5</v>
      </c>
      <c r="M354" s="17" t="str">
        <f aca="false">VLOOKUP(L354,Sheet2!D:E,2,0)</f>
        <v>Main Processor CPU BGA</v>
      </c>
      <c r="N354" s="17" t="n">
        <v>1</v>
      </c>
      <c r="O354" s="17" t="str">
        <f aca="false">VLOOKUP(N354,Sheet2!G:H,2,0)</f>
        <v>Dead</v>
      </c>
      <c r="P354" s="17" t="n">
        <v>12</v>
      </c>
      <c r="Q354" s="17" t="str">
        <f aca="false">VLOOKUP(P354,Sheet2!J:K,2,0)</f>
        <v>IR Declared due to Others ( IR Normal)TB</v>
      </c>
      <c r="R354" s="17" t="s">
        <v>35</v>
      </c>
      <c r="S354" s="17" t="str">
        <f aca="false">VLOOKUP(R354,Sheet2!N:O,2,0)</f>
        <v>IREPARABLE</v>
      </c>
      <c r="T354" s="18" t="str">
        <f aca="false">VLOOKUP(P354,Sheet2!Q:R,2,0)</f>
        <v>IR Normal - BER to IR</v>
      </c>
      <c r="U354" s="20" t="s">
        <v>135</v>
      </c>
      <c r="V354" s="17" t="n">
        <v>12</v>
      </c>
      <c r="W354" s="20" t="str">
        <f aca="false">VLOOKUP(V354,Sheet2!Q:R,2,0)</f>
        <v>IR Normal - BER to IR</v>
      </c>
      <c r="X354" s="17" t="str">
        <f aca="false">J354</f>
        <v>A018</v>
      </c>
      <c r="Y354" s="17" t="str">
        <f aca="false">VLOOKUP(X354,Sheet2!A:B,2,0)</f>
        <v>PRAKASH CHAVDA</v>
      </c>
      <c r="Z354" s="17" t="s">
        <v>136</v>
      </c>
      <c r="AA354" s="17" t="s">
        <v>223</v>
      </c>
      <c r="AB354" s="17" t="s">
        <v>41</v>
      </c>
      <c r="AC354" s="0" t="str">
        <f aca="false">LEFT(G354,2)</f>
        <v>77</v>
      </c>
      <c r="AD354" s="0"/>
      <c r="AE354" s="21" t="s">
        <v>42</v>
      </c>
    </row>
    <row r="355" customFormat="false" ht="15" hidden="false" customHeight="false" outlineLevel="0" collapsed="false">
      <c r="A355" s="13" t="n">
        <f aca="false">1+A354</f>
        <v>353</v>
      </c>
      <c r="B355" s="17" t="n">
        <v>1009630565</v>
      </c>
      <c r="C355" s="17" t="s">
        <v>182</v>
      </c>
      <c r="D355" s="17" t="s">
        <v>64</v>
      </c>
      <c r="E355" s="17" t="s">
        <v>64</v>
      </c>
      <c r="F355" s="18" t="s">
        <v>70</v>
      </c>
      <c r="G355" s="19" t="n">
        <v>775308138756</v>
      </c>
      <c r="H355" s="17" t="s">
        <v>134</v>
      </c>
      <c r="I355" s="17" t="s">
        <v>69</v>
      </c>
      <c r="J355" s="17" t="s">
        <v>106</v>
      </c>
      <c r="K355" s="17" t="str">
        <f aca="false">VLOOKUP(J355,Sheet2!A:B,2,0)</f>
        <v>PRAKASH CHAVDA</v>
      </c>
      <c r="L355" s="17" t="n">
        <v>5</v>
      </c>
      <c r="M355" s="17" t="str">
        <f aca="false">VLOOKUP(L355,Sheet2!D:E,2,0)</f>
        <v>Main Processor CPU BGA</v>
      </c>
      <c r="N355" s="17" t="n">
        <v>1</v>
      </c>
      <c r="O355" s="17" t="str">
        <f aca="false">VLOOKUP(N355,Sheet2!G:H,2,0)</f>
        <v>Dead</v>
      </c>
      <c r="P355" s="17" t="n">
        <v>12</v>
      </c>
      <c r="Q355" s="17" t="str">
        <f aca="false">VLOOKUP(P355,Sheet2!J:K,2,0)</f>
        <v>IR Declared due to Others ( IR Normal)TB</v>
      </c>
      <c r="R355" s="17" t="s">
        <v>35</v>
      </c>
      <c r="S355" s="17" t="str">
        <f aca="false">VLOOKUP(R355,Sheet2!N:O,2,0)</f>
        <v>IREPARABLE</v>
      </c>
      <c r="T355" s="18" t="str">
        <f aca="false">VLOOKUP(P355,Sheet2!Q:R,2,0)</f>
        <v>IR Normal - BER to IR</v>
      </c>
      <c r="U355" s="20" t="s">
        <v>135</v>
      </c>
      <c r="V355" s="17" t="n">
        <v>12</v>
      </c>
      <c r="W355" s="20" t="str">
        <f aca="false">VLOOKUP(V355,Sheet2!Q:R,2,0)</f>
        <v>IR Normal - BER to IR</v>
      </c>
      <c r="X355" s="17" t="str">
        <f aca="false">J355</f>
        <v>A018</v>
      </c>
      <c r="Y355" s="17" t="str">
        <f aca="false">VLOOKUP(X355,Sheet2!A:B,2,0)</f>
        <v>PRAKASH CHAVDA</v>
      </c>
      <c r="Z355" s="17" t="s">
        <v>136</v>
      </c>
      <c r="AA355" s="17" t="s">
        <v>223</v>
      </c>
      <c r="AB355" s="17" t="s">
        <v>41</v>
      </c>
      <c r="AC355" s="0" t="str">
        <f aca="false">LEFT(G355,2)</f>
        <v>77</v>
      </c>
      <c r="AD355" s="0"/>
      <c r="AE355" s="21" t="s">
        <v>42</v>
      </c>
    </row>
    <row r="356" customFormat="false" ht="15" hidden="false" customHeight="false" outlineLevel="0" collapsed="false">
      <c r="A356" s="13" t="n">
        <f aca="false">1+A355</f>
        <v>354</v>
      </c>
      <c r="B356" s="17" t="n">
        <v>1009631005</v>
      </c>
      <c r="C356" s="17" t="s">
        <v>182</v>
      </c>
      <c r="D356" s="17" t="s">
        <v>64</v>
      </c>
      <c r="E356" s="17" t="s">
        <v>47</v>
      </c>
      <c r="F356" s="18" t="s">
        <v>34</v>
      </c>
      <c r="G356" s="19" t="n">
        <v>775307118106</v>
      </c>
      <c r="H356" s="17" t="s">
        <v>134</v>
      </c>
      <c r="I356" s="17" t="s">
        <v>69</v>
      </c>
      <c r="J356" s="17" t="s">
        <v>106</v>
      </c>
      <c r="K356" s="17" t="str">
        <f aca="false">VLOOKUP(J356,Sheet2!A:B,2,0)</f>
        <v>PRAKASH CHAVDA</v>
      </c>
      <c r="L356" s="17" t="n">
        <v>5</v>
      </c>
      <c r="M356" s="17" t="str">
        <f aca="false">VLOOKUP(L356,Sheet2!D:E,2,0)</f>
        <v>Main Processor CPU BGA</v>
      </c>
      <c r="N356" s="17" t="n">
        <v>24</v>
      </c>
      <c r="O356" s="17" t="str">
        <f aca="false">VLOOKUP(N356,Sheet2!G:H,2,0)</f>
        <v>STB Auto moving -Stand by mode</v>
      </c>
      <c r="P356" s="17" t="n">
        <v>12</v>
      </c>
      <c r="Q356" s="17" t="str">
        <f aca="false">VLOOKUP(P356,Sheet2!J:K,2,0)</f>
        <v>IR Declared due to Others ( IR Normal)TB</v>
      </c>
      <c r="R356" s="17" t="s">
        <v>35</v>
      </c>
      <c r="S356" s="17" t="str">
        <f aca="false">VLOOKUP(R356,Sheet2!N:O,2,0)</f>
        <v>IREPARABLE</v>
      </c>
      <c r="T356" s="18" t="str">
        <f aca="false">VLOOKUP(P356,Sheet2!Q:R,2,0)</f>
        <v>IR Normal - BER to IR</v>
      </c>
      <c r="U356" s="20" t="s">
        <v>135</v>
      </c>
      <c r="V356" s="17" t="n">
        <v>12</v>
      </c>
      <c r="W356" s="20" t="str">
        <f aca="false">VLOOKUP(V356,Sheet2!Q:R,2,0)</f>
        <v>IR Normal - BER to IR</v>
      </c>
      <c r="X356" s="17" t="str">
        <f aca="false">J356</f>
        <v>A018</v>
      </c>
      <c r="Y356" s="17" t="str">
        <f aca="false">VLOOKUP(X356,Sheet2!A:B,2,0)</f>
        <v>PRAKASH CHAVDA</v>
      </c>
      <c r="Z356" s="17" t="s">
        <v>136</v>
      </c>
      <c r="AA356" s="17" t="s">
        <v>223</v>
      </c>
      <c r="AB356" s="17" t="s">
        <v>41</v>
      </c>
      <c r="AC356" s="0" t="str">
        <f aca="false">LEFT(G356,2)</f>
        <v>77</v>
      </c>
      <c r="AD356" s="0"/>
      <c r="AE356" s="21" t="s">
        <v>42</v>
      </c>
    </row>
    <row r="357" customFormat="false" ht="15" hidden="false" customHeight="false" outlineLevel="0" collapsed="false">
      <c r="A357" s="13" t="n">
        <f aca="false">1+A356</f>
        <v>355</v>
      </c>
      <c r="B357" s="17" t="n">
        <v>1009625104</v>
      </c>
      <c r="C357" s="17" t="s">
        <v>163</v>
      </c>
      <c r="D357" s="17" t="s">
        <v>64</v>
      </c>
      <c r="E357" s="17" t="s">
        <v>64</v>
      </c>
      <c r="F357" s="18" t="s">
        <v>70</v>
      </c>
      <c r="G357" s="19" t="n">
        <v>775079005267</v>
      </c>
      <c r="H357" s="17" t="s">
        <v>134</v>
      </c>
      <c r="I357" s="17" t="s">
        <v>69</v>
      </c>
      <c r="J357" s="17" t="s">
        <v>106</v>
      </c>
      <c r="K357" s="17" t="str">
        <f aca="false">VLOOKUP(J357,Sheet2!A:B,2,0)</f>
        <v>PRAKASH CHAVDA</v>
      </c>
      <c r="L357" s="17" t="n">
        <v>1</v>
      </c>
      <c r="M357" s="17" t="str">
        <f aca="false">VLOOKUP(L357,Sheet2!D:E,2,0)</f>
        <v>Power Supply Section</v>
      </c>
      <c r="N357" s="17" t="n">
        <v>1</v>
      </c>
      <c r="O357" s="17" t="str">
        <f aca="false">VLOOKUP(N357,Sheet2!G:H,2,0)</f>
        <v>Dead</v>
      </c>
      <c r="P357" s="17" t="n">
        <v>12</v>
      </c>
      <c r="Q357" s="17" t="str">
        <f aca="false">VLOOKUP(P357,Sheet2!J:K,2,0)</f>
        <v>IR Declared due to Others ( IR Normal)TB</v>
      </c>
      <c r="R357" s="17" t="s">
        <v>35</v>
      </c>
      <c r="S357" s="17" t="str">
        <f aca="false">VLOOKUP(R357,Sheet2!N:O,2,0)</f>
        <v>IREPARABLE</v>
      </c>
      <c r="T357" s="18" t="str">
        <f aca="false">VLOOKUP(P357,Sheet2!Q:R,2,0)</f>
        <v>IR Normal - BER to IR</v>
      </c>
      <c r="U357" s="20" t="s">
        <v>135</v>
      </c>
      <c r="V357" s="17" t="n">
        <v>12</v>
      </c>
      <c r="W357" s="20" t="str">
        <f aca="false">VLOOKUP(V357,Sheet2!Q:R,2,0)</f>
        <v>IR Normal - BER to IR</v>
      </c>
      <c r="X357" s="17" t="str">
        <f aca="false">J357</f>
        <v>A018</v>
      </c>
      <c r="Y357" s="17" t="str">
        <f aca="false">VLOOKUP(X357,Sheet2!A:B,2,0)</f>
        <v>PRAKASH CHAVDA</v>
      </c>
      <c r="Z357" s="17" t="s">
        <v>136</v>
      </c>
      <c r="AA357" s="17" t="s">
        <v>223</v>
      </c>
      <c r="AB357" s="17" t="s">
        <v>41</v>
      </c>
      <c r="AC357" s="0" t="str">
        <f aca="false">LEFT(G357,2)</f>
        <v>77</v>
      </c>
      <c r="AD357" s="0"/>
      <c r="AE357" s="21" t="s">
        <v>42</v>
      </c>
    </row>
    <row r="358" customFormat="false" ht="15" hidden="false" customHeight="false" outlineLevel="0" collapsed="false">
      <c r="A358" s="13" t="n">
        <f aca="false">1+A357</f>
        <v>356</v>
      </c>
      <c r="B358" s="17" t="n">
        <v>1009614838</v>
      </c>
      <c r="C358" s="17" t="s">
        <v>184</v>
      </c>
      <c r="D358" s="17" t="s">
        <v>119</v>
      </c>
      <c r="E358" s="17" t="s">
        <v>208</v>
      </c>
      <c r="F358" s="18" t="s">
        <v>34</v>
      </c>
      <c r="G358" s="19" t="n">
        <v>774302134168</v>
      </c>
      <c r="H358" s="17" t="s">
        <v>134</v>
      </c>
      <c r="I358" s="17" t="s">
        <v>69</v>
      </c>
      <c r="J358" s="17" t="s">
        <v>106</v>
      </c>
      <c r="K358" s="17" t="str">
        <f aca="false">VLOOKUP(J358,Sheet2!A:B,2,0)</f>
        <v>PRAKASH CHAVDA</v>
      </c>
      <c r="L358" s="17" t="n">
        <v>5</v>
      </c>
      <c r="M358" s="17" t="str">
        <f aca="false">VLOOKUP(L358,Sheet2!D:E,2,0)</f>
        <v>Main Processor CPU BGA</v>
      </c>
      <c r="N358" s="17" t="n">
        <v>1</v>
      </c>
      <c r="O358" s="17" t="str">
        <f aca="false">VLOOKUP(N358,Sheet2!G:H,2,0)</f>
        <v>Dead</v>
      </c>
      <c r="P358" s="17" t="n">
        <v>12</v>
      </c>
      <c r="Q358" s="17" t="str">
        <f aca="false">VLOOKUP(P358,Sheet2!J:K,2,0)</f>
        <v>IR Declared due to Others ( IR Normal)TB</v>
      </c>
      <c r="R358" s="17" t="s">
        <v>35</v>
      </c>
      <c r="S358" s="17" t="str">
        <f aca="false">VLOOKUP(R358,Sheet2!N:O,2,0)</f>
        <v>IREPARABLE</v>
      </c>
      <c r="T358" s="18" t="str">
        <f aca="false">VLOOKUP(P358,Sheet2!Q:R,2,0)</f>
        <v>IR Normal - BER to IR</v>
      </c>
      <c r="U358" s="20" t="s">
        <v>135</v>
      </c>
      <c r="V358" s="17" t="n">
        <v>12</v>
      </c>
      <c r="W358" s="20" t="str">
        <f aca="false">VLOOKUP(V358,Sheet2!Q:R,2,0)</f>
        <v>IR Normal - BER to IR</v>
      </c>
      <c r="X358" s="17" t="str">
        <f aca="false">J358</f>
        <v>A018</v>
      </c>
      <c r="Y358" s="17" t="str">
        <f aca="false">VLOOKUP(X358,Sheet2!A:B,2,0)</f>
        <v>PRAKASH CHAVDA</v>
      </c>
      <c r="Z358" s="17" t="s">
        <v>136</v>
      </c>
      <c r="AA358" s="17" t="s">
        <v>223</v>
      </c>
      <c r="AB358" s="17" t="s">
        <v>41</v>
      </c>
      <c r="AC358" s="0" t="str">
        <f aca="false">LEFT(G358,2)</f>
        <v>77</v>
      </c>
      <c r="AD358" s="0"/>
      <c r="AE358" s="21" t="s">
        <v>42</v>
      </c>
    </row>
    <row r="359" customFormat="false" ht="15" hidden="false" customHeight="false" outlineLevel="0" collapsed="false">
      <c r="A359" s="13" t="n">
        <f aca="false">1+A358</f>
        <v>357</v>
      </c>
      <c r="B359" s="17" t="n">
        <v>1009631001</v>
      </c>
      <c r="C359" s="17" t="s">
        <v>182</v>
      </c>
      <c r="D359" s="17" t="s">
        <v>230</v>
      </c>
      <c r="E359" s="17" t="s">
        <v>47</v>
      </c>
      <c r="F359" s="18" t="s">
        <v>34</v>
      </c>
      <c r="G359" s="19" t="n">
        <v>775066401519</v>
      </c>
      <c r="H359" s="17" t="s">
        <v>134</v>
      </c>
      <c r="I359" s="17" t="s">
        <v>69</v>
      </c>
      <c r="J359" s="17" t="s">
        <v>106</v>
      </c>
      <c r="K359" s="17" t="str">
        <f aca="false">VLOOKUP(J359,Sheet2!A:B,2,0)</f>
        <v>PRAKASH CHAVDA</v>
      </c>
      <c r="L359" s="17" t="n">
        <v>5</v>
      </c>
      <c r="M359" s="17" t="str">
        <f aca="false">VLOOKUP(L359,Sheet2!D:E,2,0)</f>
        <v>Main Processor CPU BGA</v>
      </c>
      <c r="N359" s="17" t="n">
        <v>1</v>
      </c>
      <c r="O359" s="17" t="str">
        <f aca="false">VLOOKUP(N359,Sheet2!G:H,2,0)</f>
        <v>Dead</v>
      </c>
      <c r="P359" s="17" t="n">
        <v>12</v>
      </c>
      <c r="Q359" s="17" t="str">
        <f aca="false">VLOOKUP(P359,Sheet2!J:K,2,0)</f>
        <v>IR Declared due to Others ( IR Normal)TB</v>
      </c>
      <c r="R359" s="17" t="s">
        <v>35</v>
      </c>
      <c r="S359" s="17" t="str">
        <f aca="false">VLOOKUP(R359,Sheet2!N:O,2,0)</f>
        <v>IREPARABLE</v>
      </c>
      <c r="T359" s="18" t="str">
        <f aca="false">VLOOKUP(P359,Sheet2!Q:R,2,0)</f>
        <v>IR Normal - BER to IR</v>
      </c>
      <c r="U359" s="20" t="s">
        <v>135</v>
      </c>
      <c r="V359" s="17" t="n">
        <v>12</v>
      </c>
      <c r="W359" s="20" t="str">
        <f aca="false">VLOOKUP(V359,Sheet2!Q:R,2,0)</f>
        <v>IR Normal - BER to IR</v>
      </c>
      <c r="X359" s="17" t="str">
        <f aca="false">J359</f>
        <v>A018</v>
      </c>
      <c r="Y359" s="17" t="str">
        <f aca="false">VLOOKUP(X359,Sheet2!A:B,2,0)</f>
        <v>PRAKASH CHAVDA</v>
      </c>
      <c r="Z359" s="17" t="s">
        <v>136</v>
      </c>
      <c r="AA359" s="17" t="s">
        <v>223</v>
      </c>
      <c r="AB359" s="17" t="s">
        <v>41</v>
      </c>
      <c r="AC359" s="0" t="str">
        <f aca="false">LEFT(G359,2)</f>
        <v>77</v>
      </c>
      <c r="AD359" s="0"/>
      <c r="AE359" s="21" t="s">
        <v>42</v>
      </c>
    </row>
    <row r="360" customFormat="false" ht="15" hidden="false" customHeight="false" outlineLevel="0" collapsed="false">
      <c r="A360" s="13" t="n">
        <f aca="false">1+A359</f>
        <v>358</v>
      </c>
      <c r="B360" s="17" t="n">
        <v>1009618773</v>
      </c>
      <c r="C360" s="17" t="s">
        <v>184</v>
      </c>
      <c r="D360" s="17" t="s">
        <v>231</v>
      </c>
      <c r="E360" s="17" t="s">
        <v>47</v>
      </c>
      <c r="F360" s="18" t="s">
        <v>34</v>
      </c>
      <c r="G360" s="19" t="n">
        <v>775317194022</v>
      </c>
      <c r="H360" s="17" t="s">
        <v>134</v>
      </c>
      <c r="I360" s="17" t="s">
        <v>69</v>
      </c>
      <c r="J360" s="17" t="s">
        <v>106</v>
      </c>
      <c r="K360" s="17" t="str">
        <f aca="false">VLOOKUP(J360,Sheet2!A:B,2,0)</f>
        <v>PRAKASH CHAVDA</v>
      </c>
      <c r="L360" s="17" t="n">
        <v>5</v>
      </c>
      <c r="M360" s="17" t="str">
        <f aca="false">VLOOKUP(L360,Sheet2!D:E,2,0)</f>
        <v>Main Processor CPU BGA</v>
      </c>
      <c r="N360" s="17" t="n">
        <v>1</v>
      </c>
      <c r="O360" s="17" t="str">
        <f aca="false">VLOOKUP(N360,Sheet2!G:H,2,0)</f>
        <v>Dead</v>
      </c>
      <c r="P360" s="17" t="n">
        <v>12</v>
      </c>
      <c r="Q360" s="17" t="str">
        <f aca="false">VLOOKUP(P360,Sheet2!J:K,2,0)</f>
        <v>IR Declared due to Others ( IR Normal)TB</v>
      </c>
      <c r="R360" s="17" t="s">
        <v>35</v>
      </c>
      <c r="S360" s="17" t="str">
        <f aca="false">VLOOKUP(R360,Sheet2!N:O,2,0)</f>
        <v>IREPARABLE</v>
      </c>
      <c r="T360" s="18" t="str">
        <f aca="false">VLOOKUP(P360,Sheet2!Q:R,2,0)</f>
        <v>IR Normal - BER to IR</v>
      </c>
      <c r="U360" s="20" t="s">
        <v>135</v>
      </c>
      <c r="V360" s="17" t="n">
        <v>12</v>
      </c>
      <c r="W360" s="20" t="str">
        <f aca="false">VLOOKUP(V360,Sheet2!Q:R,2,0)</f>
        <v>IR Normal - BER to IR</v>
      </c>
      <c r="X360" s="17" t="str">
        <f aca="false">J360</f>
        <v>A018</v>
      </c>
      <c r="Y360" s="17" t="str">
        <f aca="false">VLOOKUP(X360,Sheet2!A:B,2,0)</f>
        <v>PRAKASH CHAVDA</v>
      </c>
      <c r="Z360" s="17" t="s">
        <v>136</v>
      </c>
      <c r="AA360" s="17" t="s">
        <v>223</v>
      </c>
      <c r="AB360" s="17" t="s">
        <v>41</v>
      </c>
      <c r="AC360" s="0" t="str">
        <f aca="false">LEFT(G360,2)</f>
        <v>77</v>
      </c>
      <c r="AD360" s="0"/>
      <c r="AE360" s="21" t="s">
        <v>42</v>
      </c>
    </row>
    <row r="361" customFormat="false" ht="15" hidden="false" customHeight="false" outlineLevel="0" collapsed="false">
      <c r="A361" s="13" t="n">
        <f aca="false">1+A360</f>
        <v>359</v>
      </c>
      <c r="B361" s="17" t="n">
        <v>1009627009</v>
      </c>
      <c r="C361" s="17" t="s">
        <v>163</v>
      </c>
      <c r="D361" s="17" t="s">
        <v>64</v>
      </c>
      <c r="E361" s="17" t="s">
        <v>64</v>
      </c>
      <c r="F361" s="18" t="s">
        <v>70</v>
      </c>
      <c r="G361" s="19" t="n">
        <v>775211064966</v>
      </c>
      <c r="H361" s="17" t="s">
        <v>134</v>
      </c>
      <c r="I361" s="17" t="s">
        <v>69</v>
      </c>
      <c r="J361" s="17" t="s">
        <v>106</v>
      </c>
      <c r="K361" s="17" t="str">
        <f aca="false">VLOOKUP(J361,Sheet2!A:B,2,0)</f>
        <v>PRAKASH CHAVDA</v>
      </c>
      <c r="L361" s="17" t="n">
        <v>5</v>
      </c>
      <c r="M361" s="17" t="str">
        <f aca="false">VLOOKUP(L361,Sheet2!D:E,2,0)</f>
        <v>Main Processor CPU BGA</v>
      </c>
      <c r="N361" s="17" t="n">
        <v>1</v>
      </c>
      <c r="O361" s="17" t="str">
        <f aca="false">VLOOKUP(N361,Sheet2!G:H,2,0)</f>
        <v>Dead</v>
      </c>
      <c r="P361" s="17" t="n">
        <v>12</v>
      </c>
      <c r="Q361" s="17" t="str">
        <f aca="false">VLOOKUP(P361,Sheet2!J:K,2,0)</f>
        <v>IR Declared due to Others ( IR Normal)TB</v>
      </c>
      <c r="R361" s="17" t="s">
        <v>35</v>
      </c>
      <c r="S361" s="17" t="str">
        <f aca="false">VLOOKUP(R361,Sheet2!N:O,2,0)</f>
        <v>IREPARABLE</v>
      </c>
      <c r="T361" s="18" t="str">
        <f aca="false">VLOOKUP(P361,Sheet2!Q:R,2,0)</f>
        <v>IR Normal - BER to IR</v>
      </c>
      <c r="U361" s="20" t="s">
        <v>135</v>
      </c>
      <c r="V361" s="17" t="n">
        <v>12</v>
      </c>
      <c r="W361" s="20" t="str">
        <f aca="false">VLOOKUP(V361,Sheet2!Q:R,2,0)</f>
        <v>IR Normal - BER to IR</v>
      </c>
      <c r="X361" s="17" t="str">
        <f aca="false">J361</f>
        <v>A018</v>
      </c>
      <c r="Y361" s="17" t="str">
        <f aca="false">VLOOKUP(X361,Sheet2!A:B,2,0)</f>
        <v>PRAKASH CHAVDA</v>
      </c>
      <c r="Z361" s="17" t="s">
        <v>136</v>
      </c>
      <c r="AA361" s="17" t="s">
        <v>223</v>
      </c>
      <c r="AB361" s="17" t="s">
        <v>41</v>
      </c>
      <c r="AC361" s="0" t="str">
        <f aca="false">LEFT(G361,2)</f>
        <v>77</v>
      </c>
      <c r="AD361" s="0"/>
      <c r="AE361" s="21" t="s">
        <v>42</v>
      </c>
    </row>
    <row r="362" customFormat="false" ht="15" hidden="false" customHeight="false" outlineLevel="0" collapsed="false">
      <c r="A362" s="13" t="n">
        <f aca="false">1+A361</f>
        <v>360</v>
      </c>
      <c r="B362" s="17" t="n">
        <v>1009634628</v>
      </c>
      <c r="C362" s="17" t="s">
        <v>232</v>
      </c>
      <c r="D362" s="17" t="s">
        <v>64</v>
      </c>
      <c r="E362" s="17" t="s">
        <v>47</v>
      </c>
      <c r="F362" s="18" t="s">
        <v>34</v>
      </c>
      <c r="G362" s="19" t="n">
        <v>775084042230</v>
      </c>
      <c r="H362" s="17" t="s">
        <v>134</v>
      </c>
      <c r="I362" s="17" t="s">
        <v>69</v>
      </c>
      <c r="J362" s="17" t="s">
        <v>106</v>
      </c>
      <c r="K362" s="17" t="str">
        <f aca="false">VLOOKUP(J362,Sheet2!A:B,2,0)</f>
        <v>PRAKASH CHAVDA</v>
      </c>
      <c r="L362" s="17" t="n">
        <v>1</v>
      </c>
      <c r="M362" s="17" t="str">
        <f aca="false">VLOOKUP(L362,Sheet2!D:E,2,0)</f>
        <v>Power Supply Section</v>
      </c>
      <c r="N362" s="17" t="n">
        <v>1</v>
      </c>
      <c r="O362" s="17" t="str">
        <f aca="false">VLOOKUP(N362,Sheet2!G:H,2,0)</f>
        <v>Dead</v>
      </c>
      <c r="P362" s="17" t="n">
        <v>12</v>
      </c>
      <c r="Q362" s="17" t="str">
        <f aca="false">VLOOKUP(P362,Sheet2!J:K,2,0)</f>
        <v>IR Declared due to Others ( IR Normal)TB</v>
      </c>
      <c r="R362" s="17" t="s">
        <v>35</v>
      </c>
      <c r="S362" s="17" t="str">
        <f aca="false">VLOOKUP(R362,Sheet2!N:O,2,0)</f>
        <v>IREPARABLE</v>
      </c>
      <c r="T362" s="18" t="str">
        <f aca="false">VLOOKUP(P362,Sheet2!Q:R,2,0)</f>
        <v>IR Normal - BER to IR</v>
      </c>
      <c r="U362" s="20" t="s">
        <v>135</v>
      </c>
      <c r="V362" s="17" t="n">
        <v>12</v>
      </c>
      <c r="W362" s="20" t="str">
        <f aca="false">VLOOKUP(V362,Sheet2!Q:R,2,0)</f>
        <v>IR Normal - BER to IR</v>
      </c>
      <c r="X362" s="17" t="str">
        <f aca="false">J362</f>
        <v>A018</v>
      </c>
      <c r="Y362" s="17" t="str">
        <f aca="false">VLOOKUP(X362,Sheet2!A:B,2,0)</f>
        <v>PRAKASH CHAVDA</v>
      </c>
      <c r="Z362" s="17" t="s">
        <v>136</v>
      </c>
      <c r="AA362" s="17" t="s">
        <v>223</v>
      </c>
      <c r="AB362" s="17" t="s">
        <v>41</v>
      </c>
      <c r="AC362" s="0" t="str">
        <f aca="false">LEFT(G362,2)</f>
        <v>77</v>
      </c>
      <c r="AD362" s="0"/>
      <c r="AE362" s="21" t="s">
        <v>42</v>
      </c>
    </row>
    <row r="363" customFormat="false" ht="15" hidden="false" customHeight="false" outlineLevel="0" collapsed="false">
      <c r="A363" s="13" t="n">
        <f aca="false">1+A362</f>
        <v>361</v>
      </c>
      <c r="B363" s="17" t="n">
        <v>1009614843</v>
      </c>
      <c r="C363" s="17" t="s">
        <v>181</v>
      </c>
      <c r="D363" s="17" t="s">
        <v>64</v>
      </c>
      <c r="E363" s="17" t="s">
        <v>91</v>
      </c>
      <c r="F363" s="18" t="s">
        <v>92</v>
      </c>
      <c r="G363" s="19" t="n">
        <v>774345131304</v>
      </c>
      <c r="H363" s="17" t="s">
        <v>134</v>
      </c>
      <c r="I363" s="17" t="s">
        <v>69</v>
      </c>
      <c r="J363" s="17" t="s">
        <v>106</v>
      </c>
      <c r="K363" s="17" t="str">
        <f aca="false">VLOOKUP(J363,Sheet2!A:B,2,0)</f>
        <v>PRAKASH CHAVDA</v>
      </c>
      <c r="L363" s="17" t="n">
        <v>1</v>
      </c>
      <c r="M363" s="17" t="str">
        <f aca="false">VLOOKUP(L363,Sheet2!D:E,2,0)</f>
        <v>Power Supply Section</v>
      </c>
      <c r="N363" s="17" t="n">
        <v>1</v>
      </c>
      <c r="O363" s="17" t="str">
        <f aca="false">VLOOKUP(N363,Sheet2!G:H,2,0)</f>
        <v>Dead</v>
      </c>
      <c r="P363" s="17" t="n">
        <v>12</v>
      </c>
      <c r="Q363" s="17" t="str">
        <f aca="false">VLOOKUP(P363,Sheet2!J:K,2,0)</f>
        <v>IR Declared due to Others ( IR Normal)TB</v>
      </c>
      <c r="R363" s="17" t="s">
        <v>35</v>
      </c>
      <c r="S363" s="17" t="str">
        <f aca="false">VLOOKUP(R363,Sheet2!N:O,2,0)</f>
        <v>IREPARABLE</v>
      </c>
      <c r="T363" s="18" t="str">
        <f aca="false">VLOOKUP(P363,Sheet2!Q:R,2,0)</f>
        <v>IR Normal - BER to IR</v>
      </c>
      <c r="U363" s="20" t="s">
        <v>135</v>
      </c>
      <c r="V363" s="17" t="n">
        <v>12</v>
      </c>
      <c r="W363" s="20" t="str">
        <f aca="false">VLOOKUP(V363,Sheet2!Q:R,2,0)</f>
        <v>IR Normal - BER to IR</v>
      </c>
      <c r="X363" s="17" t="str">
        <f aca="false">J363</f>
        <v>A018</v>
      </c>
      <c r="Y363" s="17" t="str">
        <f aca="false">VLOOKUP(X363,Sheet2!A:B,2,0)</f>
        <v>PRAKASH CHAVDA</v>
      </c>
      <c r="Z363" s="17" t="s">
        <v>136</v>
      </c>
      <c r="AA363" s="17" t="s">
        <v>223</v>
      </c>
      <c r="AB363" s="17" t="s">
        <v>41</v>
      </c>
      <c r="AC363" s="0" t="str">
        <f aca="false">LEFT(G363,2)</f>
        <v>77</v>
      </c>
      <c r="AD363" s="0"/>
      <c r="AE363" s="21" t="s">
        <v>42</v>
      </c>
    </row>
    <row r="364" customFormat="false" ht="15" hidden="false" customHeight="false" outlineLevel="0" collapsed="false">
      <c r="A364" s="13" t="n">
        <f aca="false">1+A363</f>
        <v>362</v>
      </c>
      <c r="B364" s="17" t="n">
        <v>1009625094</v>
      </c>
      <c r="C364" s="17" t="s">
        <v>163</v>
      </c>
      <c r="D364" s="17" t="s">
        <v>64</v>
      </c>
      <c r="E364" s="17" t="s">
        <v>33</v>
      </c>
      <c r="F364" s="18" t="s">
        <v>34</v>
      </c>
      <c r="G364" s="19" t="n">
        <v>774302119029</v>
      </c>
      <c r="H364" s="17" t="s">
        <v>134</v>
      </c>
      <c r="I364" s="17" t="s">
        <v>69</v>
      </c>
      <c r="J364" s="17" t="s">
        <v>106</v>
      </c>
      <c r="K364" s="17" t="str">
        <f aca="false">VLOOKUP(J364,Sheet2!A:B,2,0)</f>
        <v>PRAKASH CHAVDA</v>
      </c>
      <c r="L364" s="17" t="n">
        <v>5</v>
      </c>
      <c r="M364" s="17" t="str">
        <f aca="false">VLOOKUP(L364,Sheet2!D:E,2,0)</f>
        <v>Main Processor CPU BGA</v>
      </c>
      <c r="N364" s="17" t="n">
        <v>1</v>
      </c>
      <c r="O364" s="17" t="str">
        <f aca="false">VLOOKUP(N364,Sheet2!G:H,2,0)</f>
        <v>Dead</v>
      </c>
      <c r="P364" s="17" t="n">
        <v>12</v>
      </c>
      <c r="Q364" s="17" t="str">
        <f aca="false">VLOOKUP(P364,Sheet2!J:K,2,0)</f>
        <v>IR Declared due to Others ( IR Normal)TB</v>
      </c>
      <c r="R364" s="17" t="s">
        <v>35</v>
      </c>
      <c r="S364" s="17" t="str">
        <f aca="false">VLOOKUP(R364,Sheet2!N:O,2,0)</f>
        <v>IREPARABLE</v>
      </c>
      <c r="T364" s="18" t="str">
        <f aca="false">VLOOKUP(P364,Sheet2!Q:R,2,0)</f>
        <v>IR Normal - BER to IR</v>
      </c>
      <c r="U364" s="20" t="s">
        <v>135</v>
      </c>
      <c r="V364" s="17" t="n">
        <v>12</v>
      </c>
      <c r="W364" s="20" t="str">
        <f aca="false">VLOOKUP(V364,Sheet2!Q:R,2,0)</f>
        <v>IR Normal - BER to IR</v>
      </c>
      <c r="X364" s="17" t="str">
        <f aca="false">J364</f>
        <v>A018</v>
      </c>
      <c r="Y364" s="17" t="str">
        <f aca="false">VLOOKUP(X364,Sheet2!A:B,2,0)</f>
        <v>PRAKASH CHAVDA</v>
      </c>
      <c r="Z364" s="17" t="s">
        <v>136</v>
      </c>
      <c r="AA364" s="17" t="s">
        <v>223</v>
      </c>
      <c r="AB364" s="17" t="s">
        <v>41</v>
      </c>
      <c r="AC364" s="0" t="str">
        <f aca="false">LEFT(G364,2)</f>
        <v>77</v>
      </c>
      <c r="AD364" s="0"/>
      <c r="AE364" s="21" t="s">
        <v>42</v>
      </c>
    </row>
    <row r="365" customFormat="false" ht="15" hidden="false" customHeight="false" outlineLevel="0" collapsed="false">
      <c r="A365" s="13" t="n">
        <f aca="false">1+A364</f>
        <v>363</v>
      </c>
      <c r="B365" s="17" t="n">
        <v>1009628114</v>
      </c>
      <c r="C365" s="17" t="s">
        <v>229</v>
      </c>
      <c r="D365" s="17" t="s">
        <v>64</v>
      </c>
      <c r="E365" s="17" t="s">
        <v>47</v>
      </c>
      <c r="F365" s="18" t="s">
        <v>34</v>
      </c>
      <c r="G365" s="19" t="n">
        <v>775352250358</v>
      </c>
      <c r="H365" s="17" t="s">
        <v>134</v>
      </c>
      <c r="I365" s="17" t="s">
        <v>69</v>
      </c>
      <c r="J365" s="17" t="s">
        <v>106</v>
      </c>
      <c r="K365" s="17" t="str">
        <f aca="false">VLOOKUP(J365,Sheet2!A:B,2,0)</f>
        <v>PRAKASH CHAVDA</v>
      </c>
      <c r="L365" s="17" t="n">
        <v>5</v>
      </c>
      <c r="M365" s="17" t="str">
        <f aca="false">VLOOKUP(L365,Sheet2!D:E,2,0)</f>
        <v>Main Processor CPU BGA</v>
      </c>
      <c r="N365" s="17" t="n">
        <v>24</v>
      </c>
      <c r="O365" s="17" t="str">
        <f aca="false">VLOOKUP(N365,Sheet2!G:H,2,0)</f>
        <v>STB Auto moving -Stand by mode</v>
      </c>
      <c r="P365" s="17" t="n">
        <v>12</v>
      </c>
      <c r="Q365" s="17" t="str">
        <f aca="false">VLOOKUP(P365,Sheet2!J:K,2,0)</f>
        <v>IR Declared due to Others ( IR Normal)TB</v>
      </c>
      <c r="R365" s="17" t="s">
        <v>35</v>
      </c>
      <c r="S365" s="17" t="str">
        <f aca="false">VLOOKUP(R365,Sheet2!N:O,2,0)</f>
        <v>IREPARABLE</v>
      </c>
      <c r="T365" s="18" t="str">
        <f aca="false">VLOOKUP(P365,Sheet2!Q:R,2,0)</f>
        <v>IR Normal - BER to IR</v>
      </c>
      <c r="U365" s="20" t="s">
        <v>135</v>
      </c>
      <c r="V365" s="17" t="n">
        <v>12</v>
      </c>
      <c r="W365" s="20" t="str">
        <f aca="false">VLOOKUP(V365,Sheet2!Q:R,2,0)</f>
        <v>IR Normal - BER to IR</v>
      </c>
      <c r="X365" s="17" t="str">
        <f aca="false">J365</f>
        <v>A018</v>
      </c>
      <c r="Y365" s="17" t="str">
        <f aca="false">VLOOKUP(X365,Sheet2!A:B,2,0)</f>
        <v>PRAKASH CHAVDA</v>
      </c>
      <c r="Z365" s="17" t="s">
        <v>136</v>
      </c>
      <c r="AA365" s="17" t="s">
        <v>223</v>
      </c>
      <c r="AB365" s="17" t="s">
        <v>41</v>
      </c>
      <c r="AC365" s="0" t="str">
        <f aca="false">LEFT(G365,2)</f>
        <v>77</v>
      </c>
      <c r="AD365" s="0"/>
      <c r="AE365" s="21" t="s">
        <v>42</v>
      </c>
    </row>
    <row r="366" customFormat="false" ht="15" hidden="false" customHeight="false" outlineLevel="0" collapsed="false">
      <c r="A366" s="13" t="n">
        <f aca="false">1+A365</f>
        <v>364</v>
      </c>
      <c r="B366" s="17" t="n">
        <v>1009615971</v>
      </c>
      <c r="C366" s="17" t="s">
        <v>228</v>
      </c>
      <c r="D366" s="17" t="s">
        <v>105</v>
      </c>
      <c r="E366" s="17" t="s">
        <v>47</v>
      </c>
      <c r="F366" s="19" t="s">
        <v>34</v>
      </c>
      <c r="G366" s="19" t="n">
        <v>775161025504</v>
      </c>
      <c r="H366" s="17" t="s">
        <v>134</v>
      </c>
      <c r="I366" s="17" t="s">
        <v>69</v>
      </c>
      <c r="J366" s="17" t="s">
        <v>106</v>
      </c>
      <c r="K366" s="17" t="str">
        <f aca="false">VLOOKUP(J366,Sheet2!A:B,2,0)</f>
        <v>PRAKASH CHAVDA</v>
      </c>
      <c r="L366" s="17" t="n">
        <v>5</v>
      </c>
      <c r="M366" s="17" t="str">
        <f aca="false">VLOOKUP(L366,Sheet2!D:E,2,0)</f>
        <v>Main Processor CPU BGA</v>
      </c>
      <c r="N366" s="17" t="n">
        <v>1</v>
      </c>
      <c r="O366" s="17" t="str">
        <f aca="false">VLOOKUP(N366,Sheet2!G:H,2,0)</f>
        <v>Dead</v>
      </c>
      <c r="P366" s="17" t="n">
        <v>12</v>
      </c>
      <c r="Q366" s="17" t="str">
        <f aca="false">VLOOKUP(P366,Sheet2!J:K,2,0)</f>
        <v>IR Declared due to Others ( IR Normal)TB</v>
      </c>
      <c r="R366" s="17" t="s">
        <v>35</v>
      </c>
      <c r="S366" s="17" t="str">
        <f aca="false">VLOOKUP(R366,Sheet2!N:O,2,0)</f>
        <v>IREPARABLE</v>
      </c>
      <c r="T366" s="18" t="str">
        <f aca="false">VLOOKUP(P366,Sheet2!Q:R,2,0)</f>
        <v>IR Normal - BER to IR</v>
      </c>
      <c r="U366" s="20" t="s">
        <v>135</v>
      </c>
      <c r="V366" s="17" t="n">
        <v>12</v>
      </c>
      <c r="W366" s="20" t="str">
        <f aca="false">VLOOKUP(V366,Sheet2!Q:R,2,0)</f>
        <v>IR Normal - BER to IR</v>
      </c>
      <c r="X366" s="17" t="str">
        <f aca="false">J366</f>
        <v>A018</v>
      </c>
      <c r="Y366" s="17" t="str">
        <f aca="false">VLOOKUP(X366,Sheet2!A:B,2,0)</f>
        <v>PRAKASH CHAVDA</v>
      </c>
      <c r="Z366" s="17" t="s">
        <v>136</v>
      </c>
      <c r="AA366" s="17" t="s">
        <v>223</v>
      </c>
      <c r="AB366" s="17" t="s">
        <v>41</v>
      </c>
      <c r="AC366" s="0" t="str">
        <f aca="false">LEFT(G366,2)</f>
        <v>77</v>
      </c>
      <c r="AD366" s="0"/>
      <c r="AE366" s="21" t="s">
        <v>42</v>
      </c>
    </row>
    <row r="367" customFormat="false" ht="15" hidden="false" customHeight="false" outlineLevel="0" collapsed="false">
      <c r="A367" s="13" t="n">
        <f aca="false">1+A366</f>
        <v>365</v>
      </c>
      <c r="B367" s="17" t="n">
        <v>1009454067</v>
      </c>
      <c r="C367" s="17" t="s">
        <v>165</v>
      </c>
      <c r="D367" s="17" t="s">
        <v>138</v>
      </c>
      <c r="E367" s="17" t="s">
        <v>47</v>
      </c>
      <c r="F367" s="19" t="s">
        <v>34</v>
      </c>
      <c r="G367" s="19" t="n">
        <v>775322158616</v>
      </c>
      <c r="H367" s="17" t="s">
        <v>134</v>
      </c>
      <c r="I367" s="17" t="s">
        <v>69</v>
      </c>
      <c r="J367" s="17" t="s">
        <v>106</v>
      </c>
      <c r="K367" s="17" t="str">
        <f aca="false">VLOOKUP(J367,Sheet2!A:B,2,0)</f>
        <v>PRAKASH CHAVDA</v>
      </c>
      <c r="L367" s="17" t="n">
        <v>5</v>
      </c>
      <c r="M367" s="17" t="str">
        <f aca="false">VLOOKUP(L367,Sheet2!D:E,2,0)</f>
        <v>Main Processor CPU BGA</v>
      </c>
      <c r="N367" s="17" t="n">
        <v>24</v>
      </c>
      <c r="O367" s="17" t="str">
        <f aca="false">VLOOKUP(N367,Sheet2!G:H,2,0)</f>
        <v>STB Auto moving -Stand by mode</v>
      </c>
      <c r="P367" s="17" t="n">
        <v>12</v>
      </c>
      <c r="Q367" s="17" t="str">
        <f aca="false">VLOOKUP(P367,Sheet2!J:K,2,0)</f>
        <v>IR Declared due to Others ( IR Normal)TB</v>
      </c>
      <c r="R367" s="17" t="s">
        <v>35</v>
      </c>
      <c r="S367" s="17" t="str">
        <f aca="false">VLOOKUP(R367,Sheet2!N:O,2,0)</f>
        <v>IREPARABLE</v>
      </c>
      <c r="T367" s="18" t="str">
        <f aca="false">VLOOKUP(P367,Sheet2!Q:R,2,0)</f>
        <v>IR Normal - BER to IR</v>
      </c>
      <c r="U367" s="20" t="s">
        <v>135</v>
      </c>
      <c r="V367" s="17" t="n">
        <v>12</v>
      </c>
      <c r="W367" s="20" t="str">
        <f aca="false">VLOOKUP(V367,Sheet2!Q:R,2,0)</f>
        <v>IR Normal - BER to IR</v>
      </c>
      <c r="X367" s="17" t="str">
        <f aca="false">J367</f>
        <v>A018</v>
      </c>
      <c r="Y367" s="17" t="str">
        <f aca="false">VLOOKUP(X367,Sheet2!A:B,2,0)</f>
        <v>PRAKASH CHAVDA</v>
      </c>
      <c r="Z367" s="17" t="s">
        <v>136</v>
      </c>
      <c r="AA367" s="17" t="s">
        <v>223</v>
      </c>
      <c r="AB367" s="17" t="s">
        <v>41</v>
      </c>
      <c r="AC367" s="0" t="str">
        <f aca="false">LEFT(G367,2)</f>
        <v>77</v>
      </c>
      <c r="AD367" s="0"/>
      <c r="AE367" s="21" t="s">
        <v>42</v>
      </c>
    </row>
    <row r="368" customFormat="false" ht="15" hidden="false" customHeight="false" outlineLevel="0" collapsed="false">
      <c r="A368" s="13" t="n">
        <f aca="false">1+A367</f>
        <v>366</v>
      </c>
      <c r="B368" s="17" t="n">
        <v>1009619667</v>
      </c>
      <c r="C368" s="17" t="s">
        <v>184</v>
      </c>
      <c r="D368" s="17" t="s">
        <v>64</v>
      </c>
      <c r="E368" s="17" t="s">
        <v>64</v>
      </c>
      <c r="F368" s="18" t="s">
        <v>70</v>
      </c>
      <c r="G368" s="19" t="n">
        <v>774345138440</v>
      </c>
      <c r="H368" s="17" t="s">
        <v>134</v>
      </c>
      <c r="I368" s="17" t="s">
        <v>69</v>
      </c>
      <c r="J368" s="17" t="s">
        <v>106</v>
      </c>
      <c r="K368" s="17" t="str">
        <f aca="false">VLOOKUP(J368,Sheet2!A:B,2,0)</f>
        <v>PRAKASH CHAVDA</v>
      </c>
      <c r="L368" s="17" t="n">
        <v>5</v>
      </c>
      <c r="M368" s="17" t="str">
        <f aca="false">VLOOKUP(L368,Sheet2!D:E,2,0)</f>
        <v>Main Processor CPU BGA</v>
      </c>
      <c r="N368" s="17" t="n">
        <v>1</v>
      </c>
      <c r="O368" s="17" t="str">
        <f aca="false">VLOOKUP(N368,Sheet2!G:H,2,0)</f>
        <v>Dead</v>
      </c>
      <c r="P368" s="17" t="n">
        <v>12</v>
      </c>
      <c r="Q368" s="17" t="str">
        <f aca="false">VLOOKUP(P368,Sheet2!J:K,2,0)</f>
        <v>IR Declared due to Others ( IR Normal)TB</v>
      </c>
      <c r="R368" s="17" t="s">
        <v>35</v>
      </c>
      <c r="S368" s="17" t="str">
        <f aca="false">VLOOKUP(R368,Sheet2!N:O,2,0)</f>
        <v>IREPARABLE</v>
      </c>
      <c r="T368" s="18" t="str">
        <f aca="false">VLOOKUP(P368,Sheet2!Q:R,2,0)</f>
        <v>IR Normal - BER to IR</v>
      </c>
      <c r="U368" s="20" t="s">
        <v>135</v>
      </c>
      <c r="V368" s="17" t="n">
        <v>12</v>
      </c>
      <c r="W368" s="20" t="str">
        <f aca="false">VLOOKUP(V368,Sheet2!Q:R,2,0)</f>
        <v>IR Normal - BER to IR</v>
      </c>
      <c r="X368" s="17" t="str">
        <f aca="false">J368</f>
        <v>A018</v>
      </c>
      <c r="Y368" s="17" t="str">
        <f aca="false">VLOOKUP(X368,Sheet2!A:B,2,0)</f>
        <v>PRAKASH CHAVDA</v>
      </c>
      <c r="Z368" s="17" t="s">
        <v>136</v>
      </c>
      <c r="AA368" s="17" t="s">
        <v>223</v>
      </c>
      <c r="AB368" s="17" t="s">
        <v>41</v>
      </c>
      <c r="AC368" s="0" t="str">
        <f aca="false">LEFT(G368,2)</f>
        <v>77</v>
      </c>
      <c r="AD368" s="0"/>
      <c r="AE368" s="21" t="s">
        <v>42</v>
      </c>
    </row>
    <row r="369" customFormat="false" ht="15" hidden="false" customHeight="false" outlineLevel="0" collapsed="false">
      <c r="A369" s="13" t="n">
        <f aca="false">1+A368</f>
        <v>367</v>
      </c>
      <c r="B369" s="17" t="n">
        <v>1009624272</v>
      </c>
      <c r="C369" s="17" t="s">
        <v>163</v>
      </c>
      <c r="D369" s="17" t="s">
        <v>64</v>
      </c>
      <c r="E369" s="17" t="s">
        <v>64</v>
      </c>
      <c r="F369" s="18" t="s">
        <v>70</v>
      </c>
      <c r="G369" s="19" t="n">
        <v>774345132385</v>
      </c>
      <c r="H369" s="17" t="s">
        <v>134</v>
      </c>
      <c r="I369" s="17" t="s">
        <v>69</v>
      </c>
      <c r="J369" s="17" t="s">
        <v>106</v>
      </c>
      <c r="K369" s="17" t="str">
        <f aca="false">VLOOKUP(J369,Sheet2!A:B,2,0)</f>
        <v>PRAKASH CHAVDA</v>
      </c>
      <c r="L369" s="17" t="n">
        <v>5</v>
      </c>
      <c r="M369" s="17" t="str">
        <f aca="false">VLOOKUP(L369,Sheet2!D:E,2,0)</f>
        <v>Main Processor CPU BGA</v>
      </c>
      <c r="N369" s="17" t="n">
        <v>1</v>
      </c>
      <c r="O369" s="17" t="str">
        <f aca="false">VLOOKUP(N369,Sheet2!G:H,2,0)</f>
        <v>Dead</v>
      </c>
      <c r="P369" s="17" t="n">
        <v>12</v>
      </c>
      <c r="Q369" s="17" t="str">
        <f aca="false">VLOOKUP(P369,Sheet2!J:K,2,0)</f>
        <v>IR Declared due to Others ( IR Normal)TB</v>
      </c>
      <c r="R369" s="17" t="s">
        <v>35</v>
      </c>
      <c r="S369" s="17" t="str">
        <f aca="false">VLOOKUP(R369,Sheet2!N:O,2,0)</f>
        <v>IREPARABLE</v>
      </c>
      <c r="T369" s="18" t="str">
        <f aca="false">VLOOKUP(P369,Sheet2!Q:R,2,0)</f>
        <v>IR Normal - BER to IR</v>
      </c>
      <c r="U369" s="20" t="s">
        <v>135</v>
      </c>
      <c r="V369" s="17" t="n">
        <v>12</v>
      </c>
      <c r="W369" s="20" t="str">
        <f aca="false">VLOOKUP(V369,Sheet2!Q:R,2,0)</f>
        <v>IR Normal - BER to IR</v>
      </c>
      <c r="X369" s="17" t="str">
        <f aca="false">J369</f>
        <v>A018</v>
      </c>
      <c r="Y369" s="17" t="str">
        <f aca="false">VLOOKUP(X369,Sheet2!A:B,2,0)</f>
        <v>PRAKASH CHAVDA</v>
      </c>
      <c r="Z369" s="17" t="s">
        <v>136</v>
      </c>
      <c r="AA369" s="17" t="s">
        <v>223</v>
      </c>
      <c r="AB369" s="17" t="s">
        <v>41</v>
      </c>
      <c r="AC369" s="0" t="str">
        <f aca="false">LEFT(G369,2)</f>
        <v>77</v>
      </c>
      <c r="AD369" s="0"/>
      <c r="AE369" s="21" t="s">
        <v>42</v>
      </c>
    </row>
    <row r="370" customFormat="false" ht="15" hidden="false" customHeight="false" outlineLevel="0" collapsed="false">
      <c r="A370" s="13" t="n">
        <f aca="false">1+A369</f>
        <v>368</v>
      </c>
      <c r="B370" s="17" t="n">
        <v>1009624309</v>
      </c>
      <c r="C370" s="17" t="s">
        <v>163</v>
      </c>
      <c r="D370" s="17" t="s">
        <v>64</v>
      </c>
      <c r="E370" s="17" t="s">
        <v>64</v>
      </c>
      <c r="F370" s="18" t="s">
        <v>70</v>
      </c>
      <c r="G370" s="19" t="n">
        <v>775217032884</v>
      </c>
      <c r="H370" s="17" t="s">
        <v>134</v>
      </c>
      <c r="I370" s="17" t="s">
        <v>69</v>
      </c>
      <c r="J370" s="17" t="s">
        <v>106</v>
      </c>
      <c r="K370" s="17" t="str">
        <f aca="false">VLOOKUP(J370,Sheet2!A:B,2,0)</f>
        <v>PRAKASH CHAVDA</v>
      </c>
      <c r="L370" s="17" t="n">
        <v>5</v>
      </c>
      <c r="M370" s="17" t="str">
        <f aca="false">VLOOKUP(L370,Sheet2!D:E,2,0)</f>
        <v>Main Processor CPU BGA</v>
      </c>
      <c r="N370" s="17" t="n">
        <v>24</v>
      </c>
      <c r="O370" s="17" t="str">
        <f aca="false">VLOOKUP(N370,Sheet2!G:H,2,0)</f>
        <v>STB Auto moving -Stand by mode</v>
      </c>
      <c r="P370" s="17" t="n">
        <v>12</v>
      </c>
      <c r="Q370" s="17" t="str">
        <f aca="false">VLOOKUP(P370,Sheet2!J:K,2,0)</f>
        <v>IR Declared due to Others ( IR Normal)TB</v>
      </c>
      <c r="R370" s="17" t="s">
        <v>35</v>
      </c>
      <c r="S370" s="17" t="str">
        <f aca="false">VLOOKUP(R370,Sheet2!N:O,2,0)</f>
        <v>IREPARABLE</v>
      </c>
      <c r="T370" s="18" t="str">
        <f aca="false">VLOOKUP(P370,Sheet2!Q:R,2,0)</f>
        <v>IR Normal - BER to IR</v>
      </c>
      <c r="U370" s="20" t="s">
        <v>135</v>
      </c>
      <c r="V370" s="17" t="n">
        <v>12</v>
      </c>
      <c r="W370" s="20" t="str">
        <f aca="false">VLOOKUP(V370,Sheet2!Q:R,2,0)</f>
        <v>IR Normal - BER to IR</v>
      </c>
      <c r="X370" s="17" t="str">
        <f aca="false">J370</f>
        <v>A018</v>
      </c>
      <c r="Y370" s="17" t="str">
        <f aca="false">VLOOKUP(X370,Sheet2!A:B,2,0)</f>
        <v>PRAKASH CHAVDA</v>
      </c>
      <c r="Z370" s="17" t="s">
        <v>136</v>
      </c>
      <c r="AA370" s="17" t="s">
        <v>223</v>
      </c>
      <c r="AB370" s="17" t="s">
        <v>41</v>
      </c>
      <c r="AC370" s="0" t="str">
        <f aca="false">LEFT(G370,2)</f>
        <v>77</v>
      </c>
      <c r="AD370" s="0"/>
      <c r="AE370" s="21" t="s">
        <v>42</v>
      </c>
    </row>
    <row r="371" customFormat="false" ht="15" hidden="false" customHeight="false" outlineLevel="0" collapsed="false">
      <c r="A371" s="13" t="n">
        <f aca="false">1+A370</f>
        <v>369</v>
      </c>
      <c r="B371" s="17" t="n">
        <v>1009631165</v>
      </c>
      <c r="C371" s="17" t="s">
        <v>233</v>
      </c>
      <c r="D371" s="17" t="s">
        <v>64</v>
      </c>
      <c r="E371" s="17" t="s">
        <v>234</v>
      </c>
      <c r="F371" s="19" t="s">
        <v>34</v>
      </c>
      <c r="G371" s="19" t="n">
        <v>775133037199</v>
      </c>
      <c r="H371" s="17" t="s">
        <v>134</v>
      </c>
      <c r="I371" s="17" t="s">
        <v>69</v>
      </c>
      <c r="J371" s="17" t="s">
        <v>106</v>
      </c>
      <c r="K371" s="17" t="str">
        <f aca="false">VLOOKUP(J371,Sheet2!A:B,2,0)</f>
        <v>PRAKASH CHAVDA</v>
      </c>
      <c r="L371" s="17" t="n">
        <v>5</v>
      </c>
      <c r="M371" s="17" t="str">
        <f aca="false">VLOOKUP(L371,Sheet2!D:E,2,0)</f>
        <v>Main Processor CPU BGA</v>
      </c>
      <c r="N371" s="17" t="n">
        <v>24</v>
      </c>
      <c r="O371" s="17" t="str">
        <f aca="false">VLOOKUP(N371,Sheet2!G:H,2,0)</f>
        <v>STB Auto moving -Stand by mode</v>
      </c>
      <c r="P371" s="17" t="n">
        <v>12</v>
      </c>
      <c r="Q371" s="17" t="str">
        <f aca="false">VLOOKUP(P371,Sheet2!J:K,2,0)</f>
        <v>IR Declared due to Others ( IR Normal)TB</v>
      </c>
      <c r="R371" s="17" t="s">
        <v>35</v>
      </c>
      <c r="S371" s="17" t="str">
        <f aca="false">VLOOKUP(R371,Sheet2!N:O,2,0)</f>
        <v>IREPARABLE</v>
      </c>
      <c r="T371" s="18" t="str">
        <f aca="false">VLOOKUP(P371,Sheet2!Q:R,2,0)</f>
        <v>IR Normal - BER to IR</v>
      </c>
      <c r="U371" s="20" t="s">
        <v>135</v>
      </c>
      <c r="V371" s="17" t="n">
        <v>12</v>
      </c>
      <c r="W371" s="20" t="str">
        <f aca="false">VLOOKUP(V371,Sheet2!Q:R,2,0)</f>
        <v>IR Normal - BER to IR</v>
      </c>
      <c r="X371" s="17" t="str">
        <f aca="false">J371</f>
        <v>A018</v>
      </c>
      <c r="Y371" s="17" t="str">
        <f aca="false">VLOOKUP(X371,Sheet2!A:B,2,0)</f>
        <v>PRAKASH CHAVDA</v>
      </c>
      <c r="Z371" s="17" t="s">
        <v>136</v>
      </c>
      <c r="AA371" s="17" t="s">
        <v>223</v>
      </c>
      <c r="AB371" s="17" t="s">
        <v>41</v>
      </c>
      <c r="AC371" s="0" t="str">
        <f aca="false">LEFT(G371,2)</f>
        <v>77</v>
      </c>
      <c r="AD371" s="0"/>
      <c r="AE371" s="21" t="s">
        <v>42</v>
      </c>
    </row>
    <row r="372" customFormat="false" ht="15" hidden="false" customHeight="false" outlineLevel="0" collapsed="false">
      <c r="A372" s="13" t="n">
        <f aca="false">1+A371</f>
        <v>370</v>
      </c>
      <c r="B372" s="17" t="n">
        <v>1009630881</v>
      </c>
      <c r="C372" s="17" t="s">
        <v>233</v>
      </c>
      <c r="D372" s="17" t="s">
        <v>235</v>
      </c>
      <c r="E372" s="17" t="s">
        <v>33</v>
      </c>
      <c r="F372" s="19" t="s">
        <v>34</v>
      </c>
      <c r="G372" s="19" t="n">
        <v>775275019151</v>
      </c>
      <c r="H372" s="17" t="s">
        <v>134</v>
      </c>
      <c r="I372" s="17" t="s">
        <v>69</v>
      </c>
      <c r="J372" s="17" t="s">
        <v>106</v>
      </c>
      <c r="K372" s="17" t="str">
        <f aca="false">VLOOKUP(J372,Sheet2!A:B,2,0)</f>
        <v>PRAKASH CHAVDA</v>
      </c>
      <c r="L372" s="17" t="n">
        <v>5</v>
      </c>
      <c r="M372" s="17" t="str">
        <f aca="false">VLOOKUP(L372,Sheet2!D:E,2,0)</f>
        <v>Main Processor CPU BGA</v>
      </c>
      <c r="N372" s="17" t="n">
        <v>1</v>
      </c>
      <c r="O372" s="17" t="str">
        <f aca="false">VLOOKUP(N372,Sheet2!G:H,2,0)</f>
        <v>Dead</v>
      </c>
      <c r="P372" s="17" t="n">
        <v>12</v>
      </c>
      <c r="Q372" s="17" t="str">
        <f aca="false">VLOOKUP(P372,Sheet2!J:K,2,0)</f>
        <v>IR Declared due to Others ( IR Normal)TB</v>
      </c>
      <c r="R372" s="17" t="s">
        <v>35</v>
      </c>
      <c r="S372" s="17" t="str">
        <f aca="false">VLOOKUP(R372,Sheet2!N:O,2,0)</f>
        <v>IREPARABLE</v>
      </c>
      <c r="T372" s="18" t="str">
        <f aca="false">VLOOKUP(P372,Sheet2!Q:R,2,0)</f>
        <v>IR Normal - BER to IR</v>
      </c>
      <c r="U372" s="20" t="s">
        <v>135</v>
      </c>
      <c r="V372" s="17" t="n">
        <v>12</v>
      </c>
      <c r="W372" s="20" t="str">
        <f aca="false">VLOOKUP(V372,Sheet2!Q:R,2,0)</f>
        <v>IR Normal - BER to IR</v>
      </c>
      <c r="X372" s="17" t="str">
        <f aca="false">J372</f>
        <v>A018</v>
      </c>
      <c r="Y372" s="17" t="str">
        <f aca="false">VLOOKUP(X372,Sheet2!A:B,2,0)</f>
        <v>PRAKASH CHAVDA</v>
      </c>
      <c r="Z372" s="17" t="s">
        <v>136</v>
      </c>
      <c r="AA372" s="17" t="s">
        <v>223</v>
      </c>
      <c r="AB372" s="17" t="s">
        <v>41</v>
      </c>
      <c r="AC372" s="0" t="str">
        <f aca="false">LEFT(G372,2)</f>
        <v>77</v>
      </c>
      <c r="AD372" s="0"/>
      <c r="AE372" s="21" t="s">
        <v>42</v>
      </c>
    </row>
    <row r="373" customFormat="false" ht="15" hidden="false" customHeight="false" outlineLevel="0" collapsed="false">
      <c r="A373" s="13" t="n">
        <f aca="false">1+A372</f>
        <v>371</v>
      </c>
      <c r="B373" s="17" t="n">
        <v>1009617433</v>
      </c>
      <c r="C373" s="17" t="s">
        <v>184</v>
      </c>
      <c r="D373" s="17" t="s">
        <v>64</v>
      </c>
      <c r="E373" s="17" t="s">
        <v>33</v>
      </c>
      <c r="F373" s="19" t="s">
        <v>34</v>
      </c>
      <c r="G373" s="19" t="n">
        <v>774352151146</v>
      </c>
      <c r="H373" s="17" t="s">
        <v>134</v>
      </c>
      <c r="I373" s="17" t="s">
        <v>69</v>
      </c>
      <c r="J373" s="17" t="s">
        <v>106</v>
      </c>
      <c r="K373" s="17" t="str">
        <f aca="false">VLOOKUP(J373,Sheet2!A:B,2,0)</f>
        <v>PRAKASH CHAVDA</v>
      </c>
      <c r="L373" s="17" t="n">
        <v>5</v>
      </c>
      <c r="M373" s="17" t="str">
        <f aca="false">VLOOKUP(L373,Sheet2!D:E,2,0)</f>
        <v>Main Processor CPU BGA</v>
      </c>
      <c r="N373" s="17" t="n">
        <v>1</v>
      </c>
      <c r="O373" s="17" t="str">
        <f aca="false">VLOOKUP(N373,Sheet2!G:H,2,0)</f>
        <v>Dead</v>
      </c>
      <c r="P373" s="17" t="n">
        <v>12</v>
      </c>
      <c r="Q373" s="17" t="str">
        <f aca="false">VLOOKUP(P373,Sheet2!J:K,2,0)</f>
        <v>IR Declared due to Others ( IR Normal)TB</v>
      </c>
      <c r="R373" s="17" t="s">
        <v>35</v>
      </c>
      <c r="S373" s="17" t="str">
        <f aca="false">VLOOKUP(R373,Sheet2!N:O,2,0)</f>
        <v>IREPARABLE</v>
      </c>
      <c r="T373" s="18" t="str">
        <f aca="false">VLOOKUP(P373,Sheet2!Q:R,2,0)</f>
        <v>IR Normal - BER to IR</v>
      </c>
      <c r="U373" s="20" t="s">
        <v>135</v>
      </c>
      <c r="V373" s="17" t="n">
        <v>12</v>
      </c>
      <c r="W373" s="20" t="str">
        <f aca="false">VLOOKUP(V373,Sheet2!Q:R,2,0)</f>
        <v>IR Normal - BER to IR</v>
      </c>
      <c r="X373" s="17" t="str">
        <f aca="false">J373</f>
        <v>A018</v>
      </c>
      <c r="Y373" s="17" t="str">
        <f aca="false">VLOOKUP(X373,Sheet2!A:B,2,0)</f>
        <v>PRAKASH CHAVDA</v>
      </c>
      <c r="Z373" s="17" t="s">
        <v>136</v>
      </c>
      <c r="AA373" s="17" t="s">
        <v>223</v>
      </c>
      <c r="AB373" s="17" t="s">
        <v>41</v>
      </c>
      <c r="AC373" s="0" t="str">
        <f aca="false">LEFT(G373,2)</f>
        <v>77</v>
      </c>
      <c r="AD373" s="0"/>
      <c r="AE373" s="21" t="s">
        <v>42</v>
      </c>
    </row>
    <row r="374" customFormat="false" ht="15" hidden="false" customHeight="false" outlineLevel="0" collapsed="false">
      <c r="A374" s="13" t="n">
        <f aca="false">1+A373</f>
        <v>372</v>
      </c>
      <c r="B374" s="14" t="n">
        <v>1009566582</v>
      </c>
      <c r="C374" s="17" t="s">
        <v>102</v>
      </c>
      <c r="D374" s="16" t="s">
        <v>103</v>
      </c>
      <c r="E374" s="17" t="s">
        <v>33</v>
      </c>
      <c r="F374" s="19" t="s">
        <v>34</v>
      </c>
      <c r="G374" s="19" t="n">
        <v>866334111048</v>
      </c>
      <c r="H374" s="17" t="s">
        <v>35</v>
      </c>
      <c r="I374" s="17" t="s">
        <v>72</v>
      </c>
      <c r="J374" s="17" t="s">
        <v>111</v>
      </c>
      <c r="K374" s="17" t="str">
        <f aca="false">VLOOKUP(J374,Sheet2!A:B,2,0)</f>
        <v>NITIN PRANAMI</v>
      </c>
      <c r="L374" s="17" t="n">
        <v>5</v>
      </c>
      <c r="M374" s="17" t="str">
        <f aca="false">VLOOKUP(L374,Sheet2!D:E,2,0)</f>
        <v>Main Processor CPU BGA</v>
      </c>
      <c r="N374" s="17" t="n">
        <v>24</v>
      </c>
      <c r="O374" s="17" t="str">
        <f aca="false">VLOOKUP(N374,Sheet2!G:H,2,0)</f>
        <v>STB Auto moving -Stand by mode</v>
      </c>
      <c r="P374" s="17" t="n">
        <v>11</v>
      </c>
      <c r="Q374" s="17" t="str">
        <f aca="false">VLOOKUP(P374,Sheet2!J:K,2,0)</f>
        <v>IR Declared due to CID -TA</v>
      </c>
      <c r="R374" s="17" t="s">
        <v>35</v>
      </c>
      <c r="S374" s="17" t="str">
        <f aca="false">VLOOKUP(R374,Sheet2!N:O,2,0)</f>
        <v>IREPARABLE</v>
      </c>
      <c r="T374" s="18" t="str">
        <f aca="false">VLOOKUP(P374,Sheet2!Q:R,2,0)</f>
        <v>IR Normal - Track burn out</v>
      </c>
      <c r="U374" s="18" t="s">
        <v>122</v>
      </c>
      <c r="V374" s="17" t="n">
        <v>2</v>
      </c>
      <c r="W374" s="20" t="str">
        <f aca="false">VLOOKUP(V374,Sheet2!Q:R,2,0)</f>
        <v>IR CID -  Water log from other area</v>
      </c>
      <c r="X374" s="17" t="str">
        <f aca="false">J374</f>
        <v>A031</v>
      </c>
      <c r="Y374" s="17" t="str">
        <f aca="false">VLOOKUP(X374,Sheet2!A:B,2,0)</f>
        <v>NITIN PRANAMI</v>
      </c>
      <c r="Z374" s="17" t="s">
        <v>236</v>
      </c>
      <c r="AA374" s="17" t="s">
        <v>237</v>
      </c>
      <c r="AB374" s="17" t="s">
        <v>41</v>
      </c>
      <c r="AC374" s="0" t="str">
        <f aca="false">LEFT(G374,2)</f>
        <v>86</v>
      </c>
      <c r="AD374" s="0"/>
      <c r="AE374" s="21" t="s">
        <v>238</v>
      </c>
    </row>
    <row r="375" customFormat="false" ht="15" hidden="false" customHeight="false" outlineLevel="0" collapsed="false">
      <c r="A375" s="13" t="n">
        <f aca="false">1+A374</f>
        <v>373</v>
      </c>
      <c r="B375" s="14" t="n">
        <v>1009573296</v>
      </c>
      <c r="C375" s="17" t="s">
        <v>104</v>
      </c>
      <c r="D375" s="16" t="s">
        <v>64</v>
      </c>
      <c r="E375" s="17" t="s">
        <v>64</v>
      </c>
      <c r="F375" s="18" t="s">
        <v>70</v>
      </c>
      <c r="G375" s="19" t="n">
        <v>867145132074</v>
      </c>
      <c r="H375" s="17" t="s">
        <v>35</v>
      </c>
      <c r="I375" s="17" t="s">
        <v>72</v>
      </c>
      <c r="J375" s="17" t="s">
        <v>239</v>
      </c>
      <c r="K375" s="17" t="str">
        <f aca="false">VLOOKUP(J375,Sheet2!A:B,2,0)</f>
        <v>VASANT PARMAR</v>
      </c>
      <c r="L375" s="17" t="n">
        <v>5</v>
      </c>
      <c r="M375" s="17" t="str">
        <f aca="false">VLOOKUP(L375,Sheet2!D:E,2,0)</f>
        <v>Main Processor CPU BGA</v>
      </c>
      <c r="N375" s="17" t="n">
        <v>24</v>
      </c>
      <c r="O375" s="17" t="str">
        <f aca="false">VLOOKUP(N375,Sheet2!G:H,2,0)</f>
        <v>STB Auto moving -Stand by mode</v>
      </c>
      <c r="P375" s="17" t="n">
        <v>11</v>
      </c>
      <c r="Q375" s="17" t="str">
        <f aca="false">VLOOKUP(P375,Sheet2!J:K,2,0)</f>
        <v>IR Declared due to CID -TA</v>
      </c>
      <c r="R375" s="17" t="s">
        <v>35</v>
      </c>
      <c r="S375" s="17" t="str">
        <f aca="false">VLOOKUP(R375,Sheet2!N:O,2,0)</f>
        <v>IREPARABLE</v>
      </c>
      <c r="T375" s="18" t="str">
        <f aca="false">VLOOKUP(P375,Sheet2!Q:R,2,0)</f>
        <v>IR Normal - Track burn out</v>
      </c>
      <c r="U375" s="18" t="s">
        <v>122</v>
      </c>
      <c r="V375" s="17" t="n">
        <v>2</v>
      </c>
      <c r="W375" s="20" t="str">
        <f aca="false">VLOOKUP(V375,Sheet2!Q:R,2,0)</f>
        <v>IR CID -  Water log from other area</v>
      </c>
      <c r="X375" s="17" t="str">
        <f aca="false">J375</f>
        <v>A005</v>
      </c>
      <c r="Y375" s="17" t="str">
        <f aca="false">VLOOKUP(X375,Sheet2!A:B,2,0)</f>
        <v>VASANT PARMAR</v>
      </c>
      <c r="Z375" s="17" t="s">
        <v>240</v>
      </c>
      <c r="AA375" s="17" t="s">
        <v>237</v>
      </c>
      <c r="AB375" s="17" t="s">
        <v>41</v>
      </c>
      <c r="AC375" s="0" t="str">
        <f aca="false">LEFT(G375,2)</f>
        <v>86</v>
      </c>
      <c r="AD375" s="0"/>
      <c r="AE375" s="21" t="s">
        <v>238</v>
      </c>
    </row>
    <row r="376" customFormat="false" ht="15" hidden="false" customHeight="false" outlineLevel="0" collapsed="false">
      <c r="A376" s="13" t="n">
        <f aca="false">1+A375</f>
        <v>374</v>
      </c>
      <c r="B376" s="14" t="n">
        <v>1009613497</v>
      </c>
      <c r="C376" s="17" t="s">
        <v>184</v>
      </c>
      <c r="D376" s="16" t="s">
        <v>64</v>
      </c>
      <c r="E376" s="17" t="s">
        <v>47</v>
      </c>
      <c r="F376" s="19" t="s">
        <v>34</v>
      </c>
      <c r="G376" s="19" t="n">
        <v>864316156453</v>
      </c>
      <c r="H376" s="17" t="s">
        <v>35</v>
      </c>
      <c r="I376" s="17" t="s">
        <v>72</v>
      </c>
      <c r="J376" s="17" t="s">
        <v>241</v>
      </c>
      <c r="K376" s="17" t="str">
        <f aca="false">VLOOKUP(J376,Sheet2!A:B,2,0)</f>
        <v>NILESH NAGAR</v>
      </c>
      <c r="L376" s="17" t="n">
        <v>5</v>
      </c>
      <c r="M376" s="17" t="str">
        <f aca="false">VLOOKUP(L376,Sheet2!D:E,2,0)</f>
        <v>Main Processor CPU BGA</v>
      </c>
      <c r="N376" s="17" t="n">
        <v>1</v>
      </c>
      <c r="O376" s="17" t="str">
        <f aca="false">VLOOKUP(N376,Sheet2!G:H,2,0)</f>
        <v>Dead</v>
      </c>
      <c r="P376" s="17" t="n">
        <v>12</v>
      </c>
      <c r="Q376" s="17" t="str">
        <f aca="false">VLOOKUP(P376,Sheet2!J:K,2,0)</f>
        <v>IR Declared due to Others ( IR Normal)TB</v>
      </c>
      <c r="R376" s="17" t="s">
        <v>35</v>
      </c>
      <c r="S376" s="17" t="str">
        <f aca="false">VLOOKUP(R376,Sheet2!N:O,2,0)</f>
        <v>IREPARABLE</v>
      </c>
      <c r="T376" s="18" t="str">
        <f aca="false">VLOOKUP(P376,Sheet2!Q:R,2,0)</f>
        <v>IR Normal - BER to IR</v>
      </c>
      <c r="U376" s="18" t="s">
        <v>101</v>
      </c>
      <c r="V376" s="17" t="n">
        <v>8</v>
      </c>
      <c r="W376" s="20" t="str">
        <f aca="false">VLOOKUP(V376,Sheet2!Q:R,2,0)</f>
        <v>IR Normal -TrackRust/InternalDamage/open</v>
      </c>
      <c r="X376" s="17" t="str">
        <f aca="false">J376</f>
        <v>A008</v>
      </c>
      <c r="Y376" s="17" t="str">
        <f aca="false">VLOOKUP(X376,Sheet2!A:B,2,0)</f>
        <v>NILESH NAGAR</v>
      </c>
      <c r="Z376" s="17" t="s">
        <v>242</v>
      </c>
      <c r="AA376" s="17" t="s">
        <v>237</v>
      </c>
      <c r="AB376" s="17" t="s">
        <v>41</v>
      </c>
      <c r="AC376" s="0" t="str">
        <f aca="false">LEFT(G376,2)</f>
        <v>86</v>
      </c>
      <c r="AD376" s="0"/>
      <c r="AE376" s="21" t="s">
        <v>238</v>
      </c>
    </row>
    <row r="377" customFormat="false" ht="15" hidden="false" customHeight="false" outlineLevel="0" collapsed="false">
      <c r="A377" s="13" t="n">
        <f aca="false">1+A376</f>
        <v>375</v>
      </c>
      <c r="B377" s="14" t="n">
        <v>1009616648</v>
      </c>
      <c r="C377" s="17" t="s">
        <v>184</v>
      </c>
      <c r="D377" s="16" t="s">
        <v>64</v>
      </c>
      <c r="E377" s="17" t="s">
        <v>47</v>
      </c>
      <c r="F377" s="19" t="s">
        <v>34</v>
      </c>
      <c r="G377" s="19" t="n">
        <v>865318233497</v>
      </c>
      <c r="H377" s="17" t="s">
        <v>35</v>
      </c>
      <c r="I377" s="17" t="s">
        <v>72</v>
      </c>
      <c r="J377" s="17" t="s">
        <v>239</v>
      </c>
      <c r="K377" s="17" t="str">
        <f aca="false">VLOOKUP(J377,Sheet2!A:B,2,0)</f>
        <v>VASANT PARMAR</v>
      </c>
      <c r="L377" s="17" t="n">
        <v>5</v>
      </c>
      <c r="M377" s="17" t="str">
        <f aca="false">VLOOKUP(L377,Sheet2!D:E,2,0)</f>
        <v>Main Processor CPU BGA</v>
      </c>
      <c r="N377" s="17" t="n">
        <v>24</v>
      </c>
      <c r="O377" s="17" t="str">
        <f aca="false">VLOOKUP(N377,Sheet2!G:H,2,0)</f>
        <v>STB Auto moving -Stand by mode</v>
      </c>
      <c r="P377" s="17" t="n">
        <v>11</v>
      </c>
      <c r="Q377" s="17" t="str">
        <f aca="false">VLOOKUP(P377,Sheet2!J:K,2,0)</f>
        <v>IR Declared due to CID -TA</v>
      </c>
      <c r="R377" s="17" t="s">
        <v>35</v>
      </c>
      <c r="S377" s="17" t="str">
        <f aca="false">VLOOKUP(R377,Sheet2!N:O,2,0)</f>
        <v>IREPARABLE</v>
      </c>
      <c r="T377" s="18" t="str">
        <f aca="false">VLOOKUP(P377,Sheet2!Q:R,2,0)</f>
        <v>IR Normal - Track burn out</v>
      </c>
      <c r="U377" s="18" t="s">
        <v>122</v>
      </c>
      <c r="V377" s="17" t="n">
        <v>2</v>
      </c>
      <c r="W377" s="20" t="str">
        <f aca="false">VLOOKUP(V377,Sheet2!Q:R,2,0)</f>
        <v>IR CID -  Water log from other area</v>
      </c>
      <c r="X377" s="17" t="str">
        <f aca="false">J377</f>
        <v>A005</v>
      </c>
      <c r="Y377" s="17" t="str">
        <f aca="false">VLOOKUP(X377,Sheet2!A:B,2,0)</f>
        <v>VASANT PARMAR</v>
      </c>
      <c r="Z377" s="17" t="s">
        <v>240</v>
      </c>
      <c r="AA377" s="17" t="s">
        <v>237</v>
      </c>
      <c r="AB377" s="17" t="s">
        <v>41</v>
      </c>
      <c r="AC377" s="0" t="str">
        <f aca="false">LEFT(G377,2)</f>
        <v>86</v>
      </c>
      <c r="AD377" s="0"/>
      <c r="AE377" s="21" t="s">
        <v>238</v>
      </c>
    </row>
    <row r="378" customFormat="false" ht="15" hidden="false" customHeight="false" outlineLevel="0" collapsed="false">
      <c r="A378" s="13" t="n">
        <f aca="false">1+A377</f>
        <v>376</v>
      </c>
      <c r="B378" s="14" t="n">
        <v>1009560006</v>
      </c>
      <c r="C378" s="17" t="s">
        <v>192</v>
      </c>
      <c r="D378" s="16" t="s">
        <v>64</v>
      </c>
      <c r="E378" s="17" t="s">
        <v>47</v>
      </c>
      <c r="F378" s="19" t="s">
        <v>34</v>
      </c>
      <c r="G378" s="19" t="n">
        <v>864219122362</v>
      </c>
      <c r="H378" s="17" t="s">
        <v>35</v>
      </c>
      <c r="I378" s="17" t="s">
        <v>72</v>
      </c>
      <c r="J378" s="17" t="s">
        <v>239</v>
      </c>
      <c r="K378" s="17" t="str">
        <f aca="false">VLOOKUP(J378,Sheet2!A:B,2,0)</f>
        <v>VASANT PARMAR</v>
      </c>
      <c r="L378" s="17" t="n">
        <v>5</v>
      </c>
      <c r="M378" s="17" t="str">
        <f aca="false">VLOOKUP(L378,Sheet2!D:E,2,0)</f>
        <v>Main Processor CPU BGA</v>
      </c>
      <c r="N378" s="17" t="n">
        <v>1</v>
      </c>
      <c r="O378" s="17" t="str">
        <f aca="false">VLOOKUP(N378,Sheet2!G:H,2,0)</f>
        <v>Dead</v>
      </c>
      <c r="P378" s="17" t="n">
        <v>11</v>
      </c>
      <c r="Q378" s="17" t="str">
        <f aca="false">VLOOKUP(P378,Sheet2!J:K,2,0)</f>
        <v>IR Declared due to CID -TA</v>
      </c>
      <c r="R378" s="17" t="s">
        <v>35</v>
      </c>
      <c r="S378" s="17" t="str">
        <f aca="false">VLOOKUP(R378,Sheet2!N:O,2,0)</f>
        <v>IREPARABLE</v>
      </c>
      <c r="T378" s="18" t="str">
        <f aca="false">VLOOKUP(P378,Sheet2!Q:R,2,0)</f>
        <v>IR Normal - Track burn out</v>
      </c>
      <c r="U378" s="18" t="s">
        <v>122</v>
      </c>
      <c r="V378" s="17" t="n">
        <v>2</v>
      </c>
      <c r="W378" s="20" t="str">
        <f aca="false">VLOOKUP(V378,Sheet2!Q:R,2,0)</f>
        <v>IR CID -  Water log from other area</v>
      </c>
      <c r="X378" s="17" t="str">
        <f aca="false">J378</f>
        <v>A005</v>
      </c>
      <c r="Y378" s="17" t="str">
        <f aca="false">VLOOKUP(X378,Sheet2!A:B,2,0)</f>
        <v>VASANT PARMAR</v>
      </c>
      <c r="Z378" s="17" t="s">
        <v>243</v>
      </c>
      <c r="AA378" s="17" t="s">
        <v>237</v>
      </c>
      <c r="AB378" s="17" t="s">
        <v>41</v>
      </c>
      <c r="AC378" s="0" t="str">
        <f aca="false">LEFT(G378,2)</f>
        <v>86</v>
      </c>
      <c r="AD378" s="0"/>
      <c r="AE378" s="21" t="s">
        <v>238</v>
      </c>
    </row>
    <row r="379" customFormat="false" ht="15" hidden="false" customHeight="false" outlineLevel="0" collapsed="false">
      <c r="A379" s="13" t="n">
        <f aca="false">1+A378</f>
        <v>377</v>
      </c>
      <c r="B379" s="14" t="n">
        <v>1009568178</v>
      </c>
      <c r="C379" s="17" t="s">
        <v>102</v>
      </c>
      <c r="D379" s="16" t="s">
        <v>167</v>
      </c>
      <c r="E379" s="17" t="s">
        <v>47</v>
      </c>
      <c r="F379" s="19" t="s">
        <v>34</v>
      </c>
      <c r="G379" s="19" t="n">
        <v>868136118833</v>
      </c>
      <c r="H379" s="17" t="s">
        <v>35</v>
      </c>
      <c r="I379" s="17" t="s">
        <v>72</v>
      </c>
      <c r="J379" s="17" t="s">
        <v>239</v>
      </c>
      <c r="K379" s="17" t="str">
        <f aca="false">VLOOKUP(J379,Sheet2!A:B,2,0)</f>
        <v>VASANT PARMAR</v>
      </c>
      <c r="L379" s="17" t="n">
        <v>5</v>
      </c>
      <c r="M379" s="17" t="str">
        <f aca="false">VLOOKUP(L379,Sheet2!D:E,2,0)</f>
        <v>Main Processor CPU BGA</v>
      </c>
      <c r="N379" s="17" t="n">
        <v>1</v>
      </c>
      <c r="O379" s="17" t="str">
        <f aca="false">VLOOKUP(N379,Sheet2!G:H,2,0)</f>
        <v>Dead</v>
      </c>
      <c r="P379" s="17" t="n">
        <v>11</v>
      </c>
      <c r="Q379" s="17" t="str">
        <f aca="false">VLOOKUP(P379,Sheet2!J:K,2,0)</f>
        <v>IR Declared due to CID -TA</v>
      </c>
      <c r="R379" s="17" t="s">
        <v>35</v>
      </c>
      <c r="S379" s="17" t="str">
        <f aca="false">VLOOKUP(R379,Sheet2!N:O,2,0)</f>
        <v>IREPARABLE</v>
      </c>
      <c r="T379" s="18" t="str">
        <f aca="false">VLOOKUP(P379,Sheet2!Q:R,2,0)</f>
        <v>IR Normal - Track burn out</v>
      </c>
      <c r="U379" s="18" t="s">
        <v>122</v>
      </c>
      <c r="V379" s="17" t="n">
        <v>2</v>
      </c>
      <c r="W379" s="20" t="str">
        <f aca="false">VLOOKUP(V379,Sheet2!Q:R,2,0)</f>
        <v>IR CID -  Water log from other area</v>
      </c>
      <c r="X379" s="17" t="str">
        <f aca="false">J379</f>
        <v>A005</v>
      </c>
      <c r="Y379" s="17" t="str">
        <f aca="false">VLOOKUP(X379,Sheet2!A:B,2,0)</f>
        <v>VASANT PARMAR</v>
      </c>
      <c r="Z379" s="17" t="s">
        <v>244</v>
      </c>
      <c r="AA379" s="17" t="s">
        <v>237</v>
      </c>
      <c r="AB379" s="17" t="s">
        <v>41</v>
      </c>
      <c r="AC379" s="0" t="str">
        <f aca="false">LEFT(G379,2)</f>
        <v>86</v>
      </c>
      <c r="AD379" s="0"/>
      <c r="AE379" s="21" t="s">
        <v>238</v>
      </c>
    </row>
    <row r="380" customFormat="false" ht="15" hidden="false" customHeight="false" outlineLevel="0" collapsed="false">
      <c r="A380" s="13" t="n">
        <f aca="false">1+A379</f>
        <v>378</v>
      </c>
      <c r="B380" s="14" t="n">
        <v>1009615966</v>
      </c>
      <c r="C380" s="17" t="s">
        <v>184</v>
      </c>
      <c r="D380" s="16" t="s">
        <v>137</v>
      </c>
      <c r="E380" s="17" t="s">
        <v>33</v>
      </c>
      <c r="F380" s="19" t="s">
        <v>34</v>
      </c>
      <c r="G380" s="19" t="n">
        <v>864329177389</v>
      </c>
      <c r="H380" s="17" t="s">
        <v>35</v>
      </c>
      <c r="I380" s="17" t="s">
        <v>72</v>
      </c>
      <c r="J380" s="17" t="s">
        <v>239</v>
      </c>
      <c r="K380" s="17" t="str">
        <f aca="false">VLOOKUP(J380,Sheet2!A:B,2,0)</f>
        <v>VASANT PARMAR</v>
      </c>
      <c r="L380" s="17" t="n">
        <v>5</v>
      </c>
      <c r="M380" s="17" t="str">
        <f aca="false">VLOOKUP(L380,Sheet2!D:E,2,0)</f>
        <v>Main Processor CPU BGA</v>
      </c>
      <c r="N380" s="17" t="n">
        <v>24</v>
      </c>
      <c r="O380" s="17" t="str">
        <f aca="false">VLOOKUP(N380,Sheet2!G:H,2,0)</f>
        <v>STB Auto moving -Stand by mode</v>
      </c>
      <c r="P380" s="17" t="n">
        <v>12</v>
      </c>
      <c r="Q380" s="17" t="str">
        <f aca="false">VLOOKUP(P380,Sheet2!J:K,2,0)</f>
        <v>IR Declared due to Others ( IR Normal)TB</v>
      </c>
      <c r="R380" s="17" t="s">
        <v>35</v>
      </c>
      <c r="S380" s="17" t="str">
        <f aca="false">VLOOKUP(R380,Sheet2!N:O,2,0)</f>
        <v>IREPARABLE</v>
      </c>
      <c r="T380" s="18" t="str">
        <f aca="false">VLOOKUP(P380,Sheet2!Q:R,2,0)</f>
        <v>IR Normal - BER to IR</v>
      </c>
      <c r="U380" s="18" t="s">
        <v>101</v>
      </c>
      <c r="V380" s="17" t="n">
        <v>8</v>
      </c>
      <c r="W380" s="20" t="str">
        <f aca="false">VLOOKUP(V380,Sheet2!Q:R,2,0)</f>
        <v>IR Normal -TrackRust/InternalDamage/open</v>
      </c>
      <c r="X380" s="17" t="str">
        <f aca="false">J380</f>
        <v>A005</v>
      </c>
      <c r="Y380" s="17" t="str">
        <f aca="false">VLOOKUP(X380,Sheet2!A:B,2,0)</f>
        <v>VASANT PARMAR</v>
      </c>
      <c r="Z380" s="17" t="s">
        <v>244</v>
      </c>
      <c r="AA380" s="17" t="s">
        <v>237</v>
      </c>
      <c r="AB380" s="17" t="s">
        <v>41</v>
      </c>
      <c r="AC380" s="0" t="str">
        <f aca="false">LEFT(G380,2)</f>
        <v>86</v>
      </c>
      <c r="AD380" s="0"/>
      <c r="AE380" s="21" t="s">
        <v>238</v>
      </c>
    </row>
    <row r="381" customFormat="false" ht="15" hidden="false" customHeight="false" outlineLevel="0" collapsed="false">
      <c r="A381" s="13" t="n">
        <f aca="false">1+A380</f>
        <v>379</v>
      </c>
      <c r="B381" s="14" t="n">
        <v>1009616829</v>
      </c>
      <c r="C381" s="17" t="s">
        <v>184</v>
      </c>
      <c r="D381" s="16" t="s">
        <v>64</v>
      </c>
      <c r="E381" s="17" t="s">
        <v>64</v>
      </c>
      <c r="F381" s="18" t="s">
        <v>70</v>
      </c>
      <c r="G381" s="19" t="n">
        <v>865277290488</v>
      </c>
      <c r="H381" s="17" t="s">
        <v>35</v>
      </c>
      <c r="I381" s="17" t="s">
        <v>72</v>
      </c>
      <c r="J381" s="17" t="s">
        <v>241</v>
      </c>
      <c r="K381" s="17" t="str">
        <f aca="false">VLOOKUP(J381,Sheet2!A:B,2,0)</f>
        <v>NILESH NAGAR</v>
      </c>
      <c r="L381" s="17" t="n">
        <v>5</v>
      </c>
      <c r="M381" s="17" t="str">
        <f aca="false">VLOOKUP(L381,Sheet2!D:E,2,0)</f>
        <v>Main Processor CPU BGA</v>
      </c>
      <c r="N381" s="17" t="n">
        <v>1</v>
      </c>
      <c r="O381" s="17" t="str">
        <f aca="false">VLOOKUP(N381,Sheet2!G:H,2,0)</f>
        <v>Dead</v>
      </c>
      <c r="P381" s="17" t="n">
        <v>12</v>
      </c>
      <c r="Q381" s="17" t="str">
        <f aca="false">VLOOKUP(P381,Sheet2!J:K,2,0)</f>
        <v>IR Declared due to Others ( IR Normal)TB</v>
      </c>
      <c r="R381" s="17" t="s">
        <v>35</v>
      </c>
      <c r="S381" s="17" t="str">
        <f aca="false">VLOOKUP(R381,Sheet2!N:O,2,0)</f>
        <v>IREPARABLE</v>
      </c>
      <c r="T381" s="18" t="str">
        <f aca="false">VLOOKUP(P381,Sheet2!Q:R,2,0)</f>
        <v>IR Normal - BER to IR</v>
      </c>
      <c r="U381" s="18" t="s">
        <v>101</v>
      </c>
      <c r="V381" s="17" t="n">
        <v>8</v>
      </c>
      <c r="W381" s="20" t="str">
        <f aca="false">VLOOKUP(V381,Sheet2!Q:R,2,0)</f>
        <v>IR Normal -TrackRust/InternalDamage/open</v>
      </c>
      <c r="X381" s="17" t="str">
        <f aca="false">J381</f>
        <v>A008</v>
      </c>
      <c r="Y381" s="17" t="str">
        <f aca="false">VLOOKUP(X381,Sheet2!A:B,2,0)</f>
        <v>NILESH NAGAR</v>
      </c>
      <c r="Z381" s="17" t="s">
        <v>245</v>
      </c>
      <c r="AA381" s="17" t="s">
        <v>237</v>
      </c>
      <c r="AB381" s="17" t="s">
        <v>41</v>
      </c>
      <c r="AC381" s="0" t="str">
        <f aca="false">LEFT(G381,2)</f>
        <v>86</v>
      </c>
      <c r="AD381" s="0"/>
      <c r="AE381" s="21" t="s">
        <v>238</v>
      </c>
    </row>
    <row r="382" customFormat="false" ht="15" hidden="false" customHeight="false" outlineLevel="0" collapsed="false">
      <c r="A382" s="13" t="n">
        <f aca="false">1+A381</f>
        <v>380</v>
      </c>
      <c r="B382" s="14" t="n">
        <v>1009616843</v>
      </c>
      <c r="C382" s="17" t="s">
        <v>181</v>
      </c>
      <c r="D382" s="16" t="s">
        <v>64</v>
      </c>
      <c r="E382" s="17" t="s">
        <v>47</v>
      </c>
      <c r="F382" s="19" t="s">
        <v>34</v>
      </c>
      <c r="G382" s="19" t="n">
        <v>865322129020</v>
      </c>
      <c r="H382" s="17" t="s">
        <v>35</v>
      </c>
      <c r="I382" s="17" t="s">
        <v>72</v>
      </c>
      <c r="J382" s="17" t="s">
        <v>118</v>
      </c>
      <c r="K382" s="17" t="str">
        <f aca="false">VLOOKUP(J382,Sheet2!A:B,2,0)</f>
        <v>DEVENDRA RAJPUT</v>
      </c>
      <c r="L382" s="17" t="n">
        <v>1</v>
      </c>
      <c r="M382" s="17" t="str">
        <f aca="false">VLOOKUP(L382,Sheet2!D:E,2,0)</f>
        <v>Power Supply Section</v>
      </c>
      <c r="N382" s="17" t="n">
        <v>1</v>
      </c>
      <c r="O382" s="17" t="str">
        <f aca="false">VLOOKUP(N382,Sheet2!G:H,2,0)</f>
        <v>Dead</v>
      </c>
      <c r="P382" s="17" t="n">
        <v>12</v>
      </c>
      <c r="Q382" s="17" t="str">
        <f aca="false">VLOOKUP(P382,Sheet2!J:K,2,0)</f>
        <v>IR Declared due to Others ( IR Normal)TB</v>
      </c>
      <c r="R382" s="17" t="s">
        <v>35</v>
      </c>
      <c r="S382" s="17" t="str">
        <f aca="false">VLOOKUP(R382,Sheet2!N:O,2,0)</f>
        <v>IREPARABLE</v>
      </c>
      <c r="T382" s="18" t="str">
        <f aca="false">VLOOKUP(P382,Sheet2!Q:R,2,0)</f>
        <v>IR Normal - BER to IR</v>
      </c>
      <c r="U382" s="18" t="s">
        <v>101</v>
      </c>
      <c r="V382" s="17" t="n">
        <v>8</v>
      </c>
      <c r="W382" s="20" t="str">
        <f aca="false">VLOOKUP(V382,Sheet2!Q:R,2,0)</f>
        <v>IR Normal -TrackRust/InternalDamage/open</v>
      </c>
      <c r="X382" s="17" t="str">
        <f aca="false">J382</f>
        <v>A053</v>
      </c>
      <c r="Y382" s="17" t="str">
        <f aca="false">VLOOKUP(X382,Sheet2!A:B,2,0)</f>
        <v>DEVENDRA RAJPUT</v>
      </c>
      <c r="Z382" s="17" t="s">
        <v>246</v>
      </c>
      <c r="AA382" s="17" t="s">
        <v>237</v>
      </c>
      <c r="AB382" s="17" t="s">
        <v>41</v>
      </c>
      <c r="AC382" s="0" t="str">
        <f aca="false">LEFT(G382,2)</f>
        <v>86</v>
      </c>
      <c r="AD382" s="0"/>
      <c r="AE382" s="21" t="s">
        <v>238</v>
      </c>
    </row>
    <row r="383" customFormat="false" ht="15" hidden="false" customHeight="false" outlineLevel="0" collapsed="false">
      <c r="A383" s="13" t="n">
        <f aca="false">1+A382</f>
        <v>381</v>
      </c>
      <c r="B383" s="14" t="n">
        <v>1009606190</v>
      </c>
      <c r="C383" s="17" t="s">
        <v>181</v>
      </c>
      <c r="D383" s="16" t="s">
        <v>64</v>
      </c>
      <c r="E383" s="17" t="s">
        <v>33</v>
      </c>
      <c r="F383" s="19" t="s">
        <v>34</v>
      </c>
      <c r="G383" s="19" t="n">
        <v>866025132618</v>
      </c>
      <c r="H383" s="17" t="s">
        <v>35</v>
      </c>
      <c r="I383" s="17" t="s">
        <v>72</v>
      </c>
      <c r="J383" s="17" t="s">
        <v>241</v>
      </c>
      <c r="K383" s="17" t="str">
        <f aca="false">VLOOKUP(J383,Sheet2!A:B,2,0)</f>
        <v>NILESH NAGAR</v>
      </c>
      <c r="L383" s="17" t="n">
        <v>5</v>
      </c>
      <c r="M383" s="17" t="str">
        <f aca="false">VLOOKUP(L383,Sheet2!D:E,2,0)</f>
        <v>Main Processor CPU BGA</v>
      </c>
      <c r="N383" s="17" t="n">
        <v>1</v>
      </c>
      <c r="O383" s="17" t="str">
        <f aca="false">VLOOKUP(N383,Sheet2!G:H,2,0)</f>
        <v>Dead</v>
      </c>
      <c r="P383" s="17" t="n">
        <v>12</v>
      </c>
      <c r="Q383" s="17" t="str">
        <f aca="false">VLOOKUP(P383,Sheet2!J:K,2,0)</f>
        <v>IR Declared due to Others ( IR Normal)TB</v>
      </c>
      <c r="R383" s="17" t="s">
        <v>35</v>
      </c>
      <c r="S383" s="17" t="str">
        <f aca="false">VLOOKUP(R383,Sheet2!N:O,2,0)</f>
        <v>IREPARABLE</v>
      </c>
      <c r="T383" s="18" t="str">
        <f aca="false">VLOOKUP(P383,Sheet2!Q:R,2,0)</f>
        <v>IR Normal - BER to IR</v>
      </c>
      <c r="U383" s="18" t="s">
        <v>101</v>
      </c>
      <c r="V383" s="17" t="n">
        <v>8</v>
      </c>
      <c r="W383" s="20" t="str">
        <f aca="false">VLOOKUP(V383,Sheet2!Q:R,2,0)</f>
        <v>IR Normal -TrackRust/InternalDamage/open</v>
      </c>
      <c r="X383" s="17" t="str">
        <f aca="false">J383</f>
        <v>A008</v>
      </c>
      <c r="Y383" s="17" t="str">
        <f aca="false">VLOOKUP(X383,Sheet2!A:B,2,0)</f>
        <v>NILESH NAGAR</v>
      </c>
      <c r="Z383" s="17" t="s">
        <v>242</v>
      </c>
      <c r="AA383" s="17" t="s">
        <v>237</v>
      </c>
      <c r="AB383" s="17" t="s">
        <v>41</v>
      </c>
      <c r="AC383" s="0" t="str">
        <f aca="false">LEFT(G383,2)</f>
        <v>86</v>
      </c>
      <c r="AD383" s="0"/>
      <c r="AE383" s="21" t="s">
        <v>238</v>
      </c>
    </row>
    <row r="384" customFormat="false" ht="15" hidden="false" customHeight="false" outlineLevel="0" collapsed="false">
      <c r="A384" s="13" t="n">
        <f aca="false">1+A383</f>
        <v>382</v>
      </c>
      <c r="B384" s="14" t="n">
        <v>1009618695</v>
      </c>
      <c r="C384" s="17" t="s">
        <v>184</v>
      </c>
      <c r="D384" s="16" t="s">
        <v>64</v>
      </c>
      <c r="E384" s="17" t="s">
        <v>64</v>
      </c>
      <c r="F384" s="18" t="s">
        <v>70</v>
      </c>
      <c r="G384" s="19" t="n">
        <v>865190113429</v>
      </c>
      <c r="H384" s="17" t="s">
        <v>35</v>
      </c>
      <c r="I384" s="17" t="s">
        <v>72</v>
      </c>
      <c r="J384" s="17" t="s">
        <v>118</v>
      </c>
      <c r="K384" s="17" t="str">
        <f aca="false">VLOOKUP(J384,Sheet2!A:B,2,0)</f>
        <v>DEVENDRA RAJPUT</v>
      </c>
      <c r="L384" s="17" t="n">
        <v>5</v>
      </c>
      <c r="M384" s="17" t="str">
        <f aca="false">VLOOKUP(L384,Sheet2!D:E,2,0)</f>
        <v>Main Processor CPU BGA</v>
      </c>
      <c r="N384" s="17" t="n">
        <v>24</v>
      </c>
      <c r="O384" s="17" t="str">
        <f aca="false">VLOOKUP(N384,Sheet2!G:H,2,0)</f>
        <v>STB Auto moving -Stand by mode</v>
      </c>
      <c r="P384" s="17" t="n">
        <v>11</v>
      </c>
      <c r="Q384" s="17" t="str">
        <f aca="false">VLOOKUP(P384,Sheet2!J:K,2,0)</f>
        <v>IR Declared due to CID -TA</v>
      </c>
      <c r="R384" s="17" t="s">
        <v>35</v>
      </c>
      <c r="S384" s="17" t="str">
        <f aca="false">VLOOKUP(R384,Sheet2!N:O,2,0)</f>
        <v>IREPARABLE</v>
      </c>
      <c r="T384" s="18" t="str">
        <f aca="false">VLOOKUP(P384,Sheet2!Q:R,2,0)</f>
        <v>IR Normal - Track burn out</v>
      </c>
      <c r="U384" s="18" t="s">
        <v>122</v>
      </c>
      <c r="V384" s="17" t="n">
        <v>2</v>
      </c>
      <c r="W384" s="20" t="str">
        <f aca="false">VLOOKUP(V384,Sheet2!Q:R,2,0)</f>
        <v>IR CID -  Water log from other area</v>
      </c>
      <c r="X384" s="17" t="str">
        <f aca="false">J384</f>
        <v>A053</v>
      </c>
      <c r="Y384" s="17" t="str">
        <f aca="false">VLOOKUP(X384,Sheet2!A:B,2,0)</f>
        <v>DEVENDRA RAJPUT</v>
      </c>
      <c r="Z384" s="17" t="s">
        <v>247</v>
      </c>
      <c r="AA384" s="17" t="s">
        <v>237</v>
      </c>
      <c r="AB384" s="17" t="s">
        <v>41</v>
      </c>
      <c r="AC384" s="0" t="str">
        <f aca="false">LEFT(G384,2)</f>
        <v>86</v>
      </c>
      <c r="AD384" s="0"/>
      <c r="AE384" s="21" t="s">
        <v>238</v>
      </c>
    </row>
    <row r="385" customFormat="false" ht="15" hidden="false" customHeight="false" outlineLevel="0" collapsed="false">
      <c r="A385" s="13" t="n">
        <f aca="false">1+A384</f>
        <v>383</v>
      </c>
      <c r="B385" s="14" t="n">
        <v>1009632939</v>
      </c>
      <c r="C385" s="17" t="s">
        <v>233</v>
      </c>
      <c r="D385" s="16" t="s">
        <v>64</v>
      </c>
      <c r="E385" s="17" t="s">
        <v>47</v>
      </c>
      <c r="F385" s="19" t="s">
        <v>34</v>
      </c>
      <c r="G385" s="19" t="n">
        <v>867234248849</v>
      </c>
      <c r="H385" s="17" t="s">
        <v>35</v>
      </c>
      <c r="I385" s="17" t="s">
        <v>72</v>
      </c>
      <c r="J385" s="17" t="s">
        <v>106</v>
      </c>
      <c r="K385" s="17" t="str">
        <f aca="false">VLOOKUP(J385,Sheet2!A:B,2,0)</f>
        <v>PRAKASH CHAVDA</v>
      </c>
      <c r="L385" s="17" t="n">
        <v>1</v>
      </c>
      <c r="M385" s="17" t="str">
        <f aca="false">VLOOKUP(L385,Sheet2!D:E,2,0)</f>
        <v>Power Supply Section</v>
      </c>
      <c r="N385" s="17" t="n">
        <v>1</v>
      </c>
      <c r="O385" s="17" t="str">
        <f aca="false">VLOOKUP(N385,Sheet2!G:H,2,0)</f>
        <v>Dead</v>
      </c>
      <c r="P385" s="17" t="n">
        <v>12</v>
      </c>
      <c r="Q385" s="17" t="str">
        <f aca="false">VLOOKUP(P385,Sheet2!J:K,2,0)</f>
        <v>IR Declared due to Others ( IR Normal)TB</v>
      </c>
      <c r="R385" s="17" t="s">
        <v>35</v>
      </c>
      <c r="S385" s="17" t="str">
        <f aca="false">VLOOKUP(R385,Sheet2!N:O,2,0)</f>
        <v>IREPARABLE</v>
      </c>
      <c r="T385" s="18" t="s">
        <v>248</v>
      </c>
      <c r="U385" s="15" t="s">
        <v>38</v>
      </c>
      <c r="V385" s="17" t="n">
        <v>11</v>
      </c>
      <c r="W385" s="20" t="str">
        <f aca="false">VLOOKUP(V385,Sheet2!Q:R,2,0)</f>
        <v>IR Normal - Track burn out</v>
      </c>
      <c r="X385" s="17" t="str">
        <f aca="false">J385</f>
        <v>A018</v>
      </c>
      <c r="Y385" s="17" t="str">
        <f aca="false">VLOOKUP(X385,Sheet2!A:B,2,0)</f>
        <v>PRAKASH CHAVDA</v>
      </c>
      <c r="Z385" s="17" t="s">
        <v>249</v>
      </c>
      <c r="AA385" s="17" t="s">
        <v>237</v>
      </c>
      <c r="AB385" s="17" t="s">
        <v>41</v>
      </c>
      <c r="AC385" s="0" t="str">
        <f aca="false">LEFT(G385,2)</f>
        <v>86</v>
      </c>
      <c r="AD385" s="0"/>
      <c r="AE385" s="21" t="s">
        <v>238</v>
      </c>
    </row>
    <row r="386" customFormat="false" ht="15" hidden="false" customHeight="false" outlineLevel="0" collapsed="false">
      <c r="A386" s="13" t="n">
        <f aca="false">1+A385</f>
        <v>384</v>
      </c>
      <c r="B386" s="14" t="n">
        <v>1009620505</v>
      </c>
      <c r="C386" s="17" t="s">
        <v>184</v>
      </c>
      <c r="D386" s="16" t="s">
        <v>250</v>
      </c>
      <c r="E386" s="17" t="s">
        <v>47</v>
      </c>
      <c r="F386" s="19" t="s">
        <v>34</v>
      </c>
      <c r="G386" s="19" t="n">
        <v>864328162747</v>
      </c>
      <c r="H386" s="17" t="s">
        <v>35</v>
      </c>
      <c r="I386" s="17" t="s">
        <v>72</v>
      </c>
      <c r="J386" s="17" t="s">
        <v>100</v>
      </c>
      <c r="K386" s="17" t="str">
        <f aca="false">VLOOKUP(J386,Sheet2!A:B,2,0)</f>
        <v>PIYUSH CHAVDA</v>
      </c>
      <c r="L386" s="17" t="n">
        <v>1</v>
      </c>
      <c r="M386" s="17" t="str">
        <f aca="false">VLOOKUP(L386,Sheet2!D:E,2,0)</f>
        <v>Power Supply Section</v>
      </c>
      <c r="N386" s="17" t="n">
        <v>1</v>
      </c>
      <c r="O386" s="17" t="str">
        <f aca="false">VLOOKUP(N386,Sheet2!G:H,2,0)</f>
        <v>Dead</v>
      </c>
      <c r="P386" s="17" t="n">
        <v>12</v>
      </c>
      <c r="Q386" s="17" t="str">
        <f aca="false">VLOOKUP(P386,Sheet2!J:K,2,0)</f>
        <v>IR Declared due to Others ( IR Normal)TB</v>
      </c>
      <c r="R386" s="17" t="s">
        <v>35</v>
      </c>
      <c r="S386" s="17" t="str">
        <f aca="false">VLOOKUP(R386,Sheet2!N:O,2,0)</f>
        <v>IREPARABLE</v>
      </c>
      <c r="T386" s="18" t="str">
        <f aca="false">VLOOKUP(P386,Sheet2!Q:R,2,0)</f>
        <v>IR Normal - BER to IR</v>
      </c>
      <c r="U386" s="18" t="s">
        <v>101</v>
      </c>
      <c r="V386" s="17" t="n">
        <v>8</v>
      </c>
      <c r="W386" s="20" t="str">
        <f aca="false">VLOOKUP(V386,Sheet2!Q:R,2,0)</f>
        <v>IR Normal -TrackRust/InternalDamage/open</v>
      </c>
      <c r="X386" s="17" t="str">
        <f aca="false">J386</f>
        <v>A050</v>
      </c>
      <c r="Y386" s="17" t="str">
        <f aca="false">VLOOKUP(X386,Sheet2!A:B,2,0)</f>
        <v>PIYUSH CHAVDA</v>
      </c>
      <c r="Z386" s="17" t="s">
        <v>249</v>
      </c>
      <c r="AA386" s="17" t="s">
        <v>237</v>
      </c>
      <c r="AB386" s="17" t="s">
        <v>41</v>
      </c>
      <c r="AC386" s="0" t="str">
        <f aca="false">LEFT(G386,2)</f>
        <v>86</v>
      </c>
      <c r="AD386" s="0"/>
      <c r="AE386" s="21" t="s">
        <v>238</v>
      </c>
    </row>
    <row r="387" customFormat="false" ht="15" hidden="false" customHeight="false" outlineLevel="0" collapsed="false">
      <c r="A387" s="13" t="n">
        <f aca="false">1+A386</f>
        <v>385</v>
      </c>
      <c r="B387" s="14" t="n">
        <v>1009618721</v>
      </c>
      <c r="C387" s="17" t="s">
        <v>184</v>
      </c>
      <c r="D387" s="16" t="s">
        <v>183</v>
      </c>
      <c r="E387" s="17" t="s">
        <v>47</v>
      </c>
      <c r="F387" s="19" t="s">
        <v>34</v>
      </c>
      <c r="G387" s="19" t="n">
        <v>865325136121</v>
      </c>
      <c r="H387" s="17" t="s">
        <v>35</v>
      </c>
      <c r="I387" s="17" t="s">
        <v>72</v>
      </c>
      <c r="J387" s="17" t="s">
        <v>111</v>
      </c>
      <c r="K387" s="17" t="str">
        <f aca="false">VLOOKUP(J387,Sheet2!A:B,2,0)</f>
        <v>NITIN PRANAMI</v>
      </c>
      <c r="L387" s="17" t="n">
        <v>1</v>
      </c>
      <c r="M387" s="17" t="str">
        <f aca="false">VLOOKUP(L387,Sheet2!D:E,2,0)</f>
        <v>Power Supply Section</v>
      </c>
      <c r="N387" s="17" t="n">
        <v>1</v>
      </c>
      <c r="O387" s="17" t="str">
        <f aca="false">VLOOKUP(N387,Sheet2!G:H,2,0)</f>
        <v>Dead</v>
      </c>
      <c r="P387" s="17" t="n">
        <v>12</v>
      </c>
      <c r="Q387" s="17" t="str">
        <f aca="false">VLOOKUP(P387,Sheet2!J:K,2,0)</f>
        <v>IR Declared due to Others ( IR Normal)TB</v>
      </c>
      <c r="R387" s="17" t="s">
        <v>35</v>
      </c>
      <c r="S387" s="17" t="str">
        <f aca="false">VLOOKUP(R387,Sheet2!N:O,2,0)</f>
        <v>IREPARABLE</v>
      </c>
      <c r="T387" s="18" t="s">
        <v>248</v>
      </c>
      <c r="U387" s="15" t="s">
        <v>38</v>
      </c>
      <c r="V387" s="17" t="n">
        <v>11</v>
      </c>
      <c r="W387" s="20" t="str">
        <f aca="false">VLOOKUP(V387,Sheet2!Q:R,2,0)</f>
        <v>IR Normal - Track burn out</v>
      </c>
      <c r="X387" s="17" t="str">
        <f aca="false">J387</f>
        <v>A031</v>
      </c>
      <c r="Y387" s="17" t="str">
        <f aca="false">VLOOKUP(X387,Sheet2!A:B,2,0)</f>
        <v>NITIN PRANAMI</v>
      </c>
      <c r="Z387" s="17" t="s">
        <v>251</v>
      </c>
      <c r="AA387" s="17" t="s">
        <v>237</v>
      </c>
      <c r="AB387" s="17" t="s">
        <v>41</v>
      </c>
      <c r="AC387" s="0" t="str">
        <f aca="false">LEFT(G387,2)</f>
        <v>86</v>
      </c>
      <c r="AD387" s="0"/>
      <c r="AE387" s="21" t="s">
        <v>238</v>
      </c>
    </row>
    <row r="388" customFormat="false" ht="15" hidden="false" customHeight="false" outlineLevel="0" collapsed="false">
      <c r="A388" s="13" t="n">
        <f aca="false">1+A387</f>
        <v>386</v>
      </c>
      <c r="B388" s="14" t="n">
        <v>1009520493</v>
      </c>
      <c r="C388" s="17" t="s">
        <v>184</v>
      </c>
      <c r="D388" s="16" t="s">
        <v>64</v>
      </c>
      <c r="E388" s="17" t="s">
        <v>64</v>
      </c>
      <c r="F388" s="18" t="s">
        <v>70</v>
      </c>
      <c r="G388" s="19" t="n">
        <v>867110204106</v>
      </c>
      <c r="H388" s="17" t="s">
        <v>35</v>
      </c>
      <c r="I388" s="17" t="s">
        <v>72</v>
      </c>
      <c r="J388" s="17" t="s">
        <v>100</v>
      </c>
      <c r="K388" s="17" t="str">
        <f aca="false">VLOOKUP(J388,Sheet2!A:B,2,0)</f>
        <v>PIYUSH CHAVDA</v>
      </c>
      <c r="L388" s="17" t="n">
        <v>1</v>
      </c>
      <c r="M388" s="17" t="str">
        <f aca="false">VLOOKUP(L388,Sheet2!D:E,2,0)</f>
        <v>Power Supply Section</v>
      </c>
      <c r="N388" s="17" t="n">
        <v>1</v>
      </c>
      <c r="O388" s="17" t="str">
        <f aca="false">VLOOKUP(N388,Sheet2!G:H,2,0)</f>
        <v>Dead</v>
      </c>
      <c r="P388" s="17" t="n">
        <v>12</v>
      </c>
      <c r="Q388" s="17" t="str">
        <f aca="false">VLOOKUP(P388,Sheet2!J:K,2,0)</f>
        <v>IR Declared due to Others ( IR Normal)TB</v>
      </c>
      <c r="R388" s="17" t="s">
        <v>35</v>
      </c>
      <c r="S388" s="17" t="str">
        <f aca="false">VLOOKUP(R388,Sheet2!N:O,2,0)</f>
        <v>IREPARABLE</v>
      </c>
      <c r="T388" s="18" t="str">
        <f aca="false">VLOOKUP(P388,Sheet2!Q:R,2,0)</f>
        <v>IR Normal - BER to IR</v>
      </c>
      <c r="U388" s="18" t="s">
        <v>101</v>
      </c>
      <c r="V388" s="17" t="n">
        <v>8</v>
      </c>
      <c r="W388" s="20" t="str">
        <f aca="false">VLOOKUP(V388,Sheet2!Q:R,2,0)</f>
        <v>IR Normal -TrackRust/InternalDamage/open</v>
      </c>
      <c r="X388" s="17" t="str">
        <f aca="false">J388</f>
        <v>A050</v>
      </c>
      <c r="Y388" s="17" t="str">
        <f aca="false">VLOOKUP(X388,Sheet2!A:B,2,0)</f>
        <v>PIYUSH CHAVDA</v>
      </c>
      <c r="Z388" s="17" t="s">
        <v>251</v>
      </c>
      <c r="AA388" s="17" t="s">
        <v>237</v>
      </c>
      <c r="AB388" s="17" t="s">
        <v>41</v>
      </c>
      <c r="AC388" s="0" t="str">
        <f aca="false">LEFT(G388,2)</f>
        <v>86</v>
      </c>
      <c r="AD388" s="0"/>
      <c r="AE388" s="21" t="s">
        <v>238</v>
      </c>
    </row>
    <row r="389" customFormat="false" ht="15" hidden="false" customHeight="false" outlineLevel="0" collapsed="false">
      <c r="A389" s="13" t="n">
        <f aca="false">1+A388</f>
        <v>387</v>
      </c>
      <c r="B389" s="14" t="n">
        <v>1009587657</v>
      </c>
      <c r="C389" s="17" t="s">
        <v>159</v>
      </c>
      <c r="D389" s="16" t="s">
        <v>250</v>
      </c>
      <c r="E389" s="17" t="s">
        <v>47</v>
      </c>
      <c r="F389" s="19" t="s">
        <v>34</v>
      </c>
      <c r="G389" s="19" t="n">
        <v>865240285532</v>
      </c>
      <c r="H389" s="17" t="s">
        <v>35</v>
      </c>
      <c r="I389" s="17" t="s">
        <v>72</v>
      </c>
      <c r="J389" s="17" t="s">
        <v>252</v>
      </c>
      <c r="K389" s="17" t="str">
        <f aca="false">VLOOKUP(J389,Sheet2!A:B,2,0)</f>
        <v>TAKHAT SOLANKI</v>
      </c>
      <c r="L389" s="17" t="n">
        <v>5</v>
      </c>
      <c r="M389" s="17" t="str">
        <f aca="false">VLOOKUP(L389,Sheet2!D:E,2,0)</f>
        <v>Main Processor CPU BGA</v>
      </c>
      <c r="N389" s="17" t="n">
        <v>24</v>
      </c>
      <c r="O389" s="17" t="str">
        <f aca="false">VLOOKUP(N389,Sheet2!G:H,2,0)</f>
        <v>STB Auto moving -Stand by mode</v>
      </c>
      <c r="P389" s="17" t="n">
        <v>12</v>
      </c>
      <c r="Q389" s="17" t="str">
        <f aca="false">VLOOKUP(P389,Sheet2!J:K,2,0)</f>
        <v>IR Declared due to Others ( IR Normal)TB</v>
      </c>
      <c r="R389" s="17" t="s">
        <v>35</v>
      </c>
      <c r="S389" s="17" t="str">
        <f aca="false">VLOOKUP(R389,Sheet2!N:O,2,0)</f>
        <v>IREPARABLE</v>
      </c>
      <c r="T389" s="18" t="str">
        <f aca="false">VLOOKUP(P389,Sheet2!Q:R,2,0)</f>
        <v>IR Normal - BER to IR</v>
      </c>
      <c r="U389" s="18" t="s">
        <v>101</v>
      </c>
      <c r="V389" s="17" t="n">
        <v>8</v>
      </c>
      <c r="W389" s="20" t="str">
        <f aca="false">VLOOKUP(V389,Sheet2!Q:R,2,0)</f>
        <v>IR Normal -TrackRust/InternalDamage/open</v>
      </c>
      <c r="X389" s="17" t="str">
        <f aca="false">J389</f>
        <v>A006</v>
      </c>
      <c r="Y389" s="17" t="str">
        <f aca="false">VLOOKUP(X389,Sheet2!A:B,2,0)</f>
        <v>TAKHAT SOLANKI</v>
      </c>
      <c r="Z389" s="17" t="s">
        <v>253</v>
      </c>
      <c r="AA389" s="17" t="s">
        <v>237</v>
      </c>
      <c r="AB389" s="17" t="s">
        <v>41</v>
      </c>
      <c r="AC389" s="0" t="str">
        <f aca="false">LEFT(G389,2)</f>
        <v>86</v>
      </c>
      <c r="AD389" s="0"/>
      <c r="AE389" s="21" t="s">
        <v>238</v>
      </c>
    </row>
    <row r="390" customFormat="false" ht="15" hidden="false" customHeight="false" outlineLevel="0" collapsed="false">
      <c r="A390" s="13" t="n">
        <f aca="false">1+A389</f>
        <v>388</v>
      </c>
      <c r="B390" s="14" t="n">
        <v>1009502362</v>
      </c>
      <c r="C390" s="17" t="s">
        <v>95</v>
      </c>
      <c r="D390" s="16" t="s">
        <v>64</v>
      </c>
      <c r="E390" s="17" t="s">
        <v>33</v>
      </c>
      <c r="F390" s="19" t="s">
        <v>34</v>
      </c>
      <c r="G390" s="19" t="n">
        <v>866292184979</v>
      </c>
      <c r="H390" s="17" t="s">
        <v>35</v>
      </c>
      <c r="I390" s="17" t="s">
        <v>72</v>
      </c>
      <c r="J390" s="17" t="s">
        <v>100</v>
      </c>
      <c r="K390" s="17" t="str">
        <f aca="false">VLOOKUP(J390,Sheet2!A:B,2,0)</f>
        <v>PIYUSH CHAVDA</v>
      </c>
      <c r="L390" s="17" t="n">
        <v>5</v>
      </c>
      <c r="M390" s="17" t="str">
        <f aca="false">VLOOKUP(L390,Sheet2!D:E,2,0)</f>
        <v>Main Processor CPU BGA</v>
      </c>
      <c r="N390" s="17" t="n">
        <v>1</v>
      </c>
      <c r="O390" s="17" t="str">
        <f aca="false">VLOOKUP(N390,Sheet2!G:H,2,0)</f>
        <v>Dead</v>
      </c>
      <c r="P390" s="17" t="n">
        <v>11</v>
      </c>
      <c r="Q390" s="17" t="str">
        <f aca="false">VLOOKUP(P390,Sheet2!J:K,2,0)</f>
        <v>IR Declared due to CID -TA</v>
      </c>
      <c r="R390" s="17" t="s">
        <v>35</v>
      </c>
      <c r="S390" s="17" t="str">
        <f aca="false">VLOOKUP(R390,Sheet2!N:O,2,0)</f>
        <v>IREPARABLE</v>
      </c>
      <c r="T390" s="18" t="str">
        <f aca="false">VLOOKUP(P390,Sheet2!Q:R,2,0)</f>
        <v>IR Normal - Track burn out</v>
      </c>
      <c r="U390" s="18" t="s">
        <v>122</v>
      </c>
      <c r="V390" s="17" t="n">
        <v>2</v>
      </c>
      <c r="W390" s="20" t="str">
        <f aca="false">VLOOKUP(V390,Sheet2!Q:R,2,0)</f>
        <v>IR CID -  Water log from other area</v>
      </c>
      <c r="X390" s="17" t="str">
        <f aca="false">J390</f>
        <v>A050</v>
      </c>
      <c r="Y390" s="17" t="str">
        <f aca="false">VLOOKUP(X390,Sheet2!A:B,2,0)</f>
        <v>PIYUSH CHAVDA</v>
      </c>
      <c r="Z390" s="17" t="s">
        <v>222</v>
      </c>
      <c r="AA390" s="17" t="s">
        <v>237</v>
      </c>
      <c r="AB390" s="17" t="s">
        <v>41</v>
      </c>
      <c r="AC390" s="0" t="str">
        <f aca="false">LEFT(G390,2)</f>
        <v>86</v>
      </c>
      <c r="AD390" s="0"/>
      <c r="AE390" s="21" t="s">
        <v>238</v>
      </c>
    </row>
    <row r="391" customFormat="false" ht="15" hidden="false" customHeight="false" outlineLevel="0" collapsed="false">
      <c r="A391" s="13" t="n">
        <f aca="false">1+A390</f>
        <v>389</v>
      </c>
      <c r="B391" s="14" t="n">
        <v>1009571688</v>
      </c>
      <c r="C391" s="17" t="s">
        <v>104</v>
      </c>
      <c r="D391" s="16" t="s">
        <v>175</v>
      </c>
      <c r="E391" s="17" t="s">
        <v>176</v>
      </c>
      <c r="F391" s="19" t="s">
        <v>34</v>
      </c>
      <c r="G391" s="19" t="n">
        <v>866029154121</v>
      </c>
      <c r="H391" s="17" t="s">
        <v>35</v>
      </c>
      <c r="I391" s="17" t="s">
        <v>72</v>
      </c>
      <c r="J391" s="17" t="s">
        <v>239</v>
      </c>
      <c r="K391" s="17" t="str">
        <f aca="false">VLOOKUP(J391,Sheet2!A:B,2,0)</f>
        <v>VASANT PARMAR</v>
      </c>
      <c r="L391" s="17" t="n">
        <v>5</v>
      </c>
      <c r="M391" s="17" t="str">
        <f aca="false">VLOOKUP(L391,Sheet2!D:E,2,0)</f>
        <v>Main Processor CPU BGA</v>
      </c>
      <c r="N391" s="17" t="n">
        <v>1</v>
      </c>
      <c r="O391" s="17" t="str">
        <f aca="false">VLOOKUP(N391,Sheet2!G:H,2,0)</f>
        <v>Dead</v>
      </c>
      <c r="P391" s="17" t="n">
        <v>11</v>
      </c>
      <c r="Q391" s="17" t="str">
        <f aca="false">VLOOKUP(P391,Sheet2!J:K,2,0)</f>
        <v>IR Declared due to CID -TA</v>
      </c>
      <c r="R391" s="17" t="s">
        <v>35</v>
      </c>
      <c r="S391" s="17" t="str">
        <f aca="false">VLOOKUP(R391,Sheet2!N:O,2,0)</f>
        <v>IREPARABLE</v>
      </c>
      <c r="T391" s="18" t="str">
        <f aca="false">VLOOKUP(P391,Sheet2!Q:R,2,0)</f>
        <v>IR Normal - Track burn out</v>
      </c>
      <c r="U391" s="18" t="s">
        <v>122</v>
      </c>
      <c r="V391" s="17" t="n">
        <v>2</v>
      </c>
      <c r="W391" s="20" t="str">
        <f aca="false">VLOOKUP(V391,Sheet2!Q:R,2,0)</f>
        <v>IR CID -  Water log from other area</v>
      </c>
      <c r="X391" s="17" t="str">
        <f aca="false">J391</f>
        <v>A005</v>
      </c>
      <c r="Y391" s="17" t="str">
        <f aca="false">VLOOKUP(X391,Sheet2!A:B,2,0)</f>
        <v>VASANT PARMAR</v>
      </c>
      <c r="Z391" s="17" t="s">
        <v>254</v>
      </c>
      <c r="AA391" s="17" t="s">
        <v>237</v>
      </c>
      <c r="AB391" s="17" t="s">
        <v>41</v>
      </c>
      <c r="AC391" s="0" t="str">
        <f aca="false">LEFT(G391,2)</f>
        <v>86</v>
      </c>
      <c r="AD391" s="0"/>
      <c r="AE391" s="21" t="s">
        <v>238</v>
      </c>
    </row>
    <row r="392" customFormat="false" ht="15" hidden="false" customHeight="false" outlineLevel="0" collapsed="false">
      <c r="A392" s="13" t="n">
        <f aca="false">1+A391</f>
        <v>390</v>
      </c>
      <c r="B392" s="14" t="n">
        <v>1009599994</v>
      </c>
      <c r="C392" s="17" t="s">
        <v>192</v>
      </c>
      <c r="D392" s="16" t="s">
        <v>64</v>
      </c>
      <c r="E392" s="17" t="s">
        <v>255</v>
      </c>
      <c r="F392" s="19" t="s">
        <v>34</v>
      </c>
      <c r="G392" s="19" t="n">
        <v>865275221584</v>
      </c>
      <c r="H392" s="17" t="s">
        <v>35</v>
      </c>
      <c r="I392" s="17" t="s">
        <v>72</v>
      </c>
      <c r="J392" s="17" t="s">
        <v>239</v>
      </c>
      <c r="K392" s="17" t="str">
        <f aca="false">VLOOKUP(J392,Sheet2!A:B,2,0)</f>
        <v>VASANT PARMAR</v>
      </c>
      <c r="L392" s="17" t="n">
        <v>5</v>
      </c>
      <c r="M392" s="17" t="str">
        <f aca="false">VLOOKUP(L392,Sheet2!D:E,2,0)</f>
        <v>Main Processor CPU BGA</v>
      </c>
      <c r="N392" s="17" t="n">
        <v>24</v>
      </c>
      <c r="O392" s="17" t="str">
        <f aca="false">VLOOKUP(N392,Sheet2!G:H,2,0)</f>
        <v>STB Auto moving -Stand by mode</v>
      </c>
      <c r="P392" s="17" t="n">
        <v>11</v>
      </c>
      <c r="Q392" s="17" t="str">
        <f aca="false">VLOOKUP(P392,Sheet2!J:K,2,0)</f>
        <v>IR Declared due to CID -TA</v>
      </c>
      <c r="R392" s="17" t="s">
        <v>35</v>
      </c>
      <c r="S392" s="17" t="str">
        <f aca="false">VLOOKUP(R392,Sheet2!N:O,2,0)</f>
        <v>IREPARABLE</v>
      </c>
      <c r="T392" s="18" t="str">
        <f aca="false">VLOOKUP(P392,Sheet2!Q:R,2,0)</f>
        <v>IR Normal - Track burn out</v>
      </c>
      <c r="U392" s="18" t="s">
        <v>256</v>
      </c>
      <c r="V392" s="17" t="n">
        <v>1</v>
      </c>
      <c r="W392" s="20" t="str">
        <f aca="false">VLOOKUP(V392,Sheet2!Q:R,2,0)</f>
        <v>IR CID -  Water log from IF port</v>
      </c>
      <c r="X392" s="17" t="str">
        <f aca="false">J392</f>
        <v>A005</v>
      </c>
      <c r="Y392" s="17" t="str">
        <f aca="false">VLOOKUP(X392,Sheet2!A:B,2,0)</f>
        <v>VASANT PARMAR</v>
      </c>
      <c r="Z392" s="17" t="s">
        <v>257</v>
      </c>
      <c r="AA392" s="17" t="s">
        <v>237</v>
      </c>
      <c r="AB392" s="17" t="s">
        <v>41</v>
      </c>
      <c r="AC392" s="0" t="str">
        <f aca="false">LEFT(G392,2)</f>
        <v>86</v>
      </c>
      <c r="AD392" s="0"/>
      <c r="AE392" s="21" t="s">
        <v>238</v>
      </c>
    </row>
    <row r="393" customFormat="false" ht="15" hidden="false" customHeight="false" outlineLevel="0" collapsed="false">
      <c r="A393" s="13" t="n">
        <f aca="false">1+A392</f>
        <v>391</v>
      </c>
      <c r="B393" s="14" t="n">
        <v>1009614923</v>
      </c>
      <c r="C393" s="17" t="s">
        <v>184</v>
      </c>
      <c r="D393" s="16" t="s">
        <v>64</v>
      </c>
      <c r="E393" s="17" t="s">
        <v>47</v>
      </c>
      <c r="F393" s="19" t="s">
        <v>34</v>
      </c>
      <c r="G393" s="19" t="n">
        <v>865342327547</v>
      </c>
      <c r="H393" s="17" t="s">
        <v>35</v>
      </c>
      <c r="I393" s="17" t="s">
        <v>72</v>
      </c>
      <c r="J393" s="17" t="s">
        <v>111</v>
      </c>
      <c r="K393" s="17" t="str">
        <f aca="false">VLOOKUP(J393,Sheet2!A:B,2,0)</f>
        <v>NITIN PRANAMI</v>
      </c>
      <c r="L393" s="17" t="n">
        <v>1</v>
      </c>
      <c r="M393" s="17" t="str">
        <f aca="false">VLOOKUP(L393,Sheet2!D:E,2,0)</f>
        <v>Power Supply Section</v>
      </c>
      <c r="N393" s="17" t="n">
        <v>1</v>
      </c>
      <c r="O393" s="17" t="str">
        <f aca="false">VLOOKUP(N393,Sheet2!G:H,2,0)</f>
        <v>Dead</v>
      </c>
      <c r="P393" s="17" t="n">
        <v>12</v>
      </c>
      <c r="Q393" s="17" t="str">
        <f aca="false">VLOOKUP(P393,Sheet2!J:K,2,0)</f>
        <v>IR Declared due to Others ( IR Normal)TB</v>
      </c>
      <c r="R393" s="17" t="s">
        <v>35</v>
      </c>
      <c r="S393" s="17" t="str">
        <f aca="false">VLOOKUP(R393,Sheet2!N:O,2,0)</f>
        <v>IREPARABLE</v>
      </c>
      <c r="T393" s="18" t="str">
        <f aca="false">VLOOKUP(P393,Sheet2!Q:R,2,0)</f>
        <v>IR Normal - BER to IR</v>
      </c>
      <c r="U393" s="18" t="s">
        <v>101</v>
      </c>
      <c r="V393" s="17" t="n">
        <v>8</v>
      </c>
      <c r="W393" s="20" t="str">
        <f aca="false">VLOOKUP(V393,Sheet2!Q:R,2,0)</f>
        <v>IR Normal -TrackRust/InternalDamage/open</v>
      </c>
      <c r="X393" s="17" t="str">
        <f aca="false">J393</f>
        <v>A031</v>
      </c>
      <c r="Y393" s="17" t="str">
        <f aca="false">VLOOKUP(X393,Sheet2!A:B,2,0)</f>
        <v>NITIN PRANAMI</v>
      </c>
      <c r="Z393" s="17" t="s">
        <v>258</v>
      </c>
      <c r="AA393" s="17" t="s">
        <v>237</v>
      </c>
      <c r="AB393" s="17" t="s">
        <v>41</v>
      </c>
      <c r="AC393" s="0" t="str">
        <f aca="false">LEFT(G393,2)</f>
        <v>86</v>
      </c>
      <c r="AD393" s="0"/>
      <c r="AE393" s="21" t="s">
        <v>238</v>
      </c>
    </row>
    <row r="394" customFormat="false" ht="15" hidden="false" customHeight="false" outlineLevel="0" collapsed="false">
      <c r="A394" s="13" t="n">
        <f aca="false">1+A393</f>
        <v>392</v>
      </c>
      <c r="B394" s="14" t="n">
        <v>1009620997</v>
      </c>
      <c r="C394" s="17" t="s">
        <v>184</v>
      </c>
      <c r="D394" s="16" t="s">
        <v>64</v>
      </c>
      <c r="E394" s="17" t="s">
        <v>64</v>
      </c>
      <c r="F394" s="18" t="s">
        <v>70</v>
      </c>
      <c r="G394" s="19" t="n">
        <v>864340120392</v>
      </c>
      <c r="H394" s="17" t="s">
        <v>35</v>
      </c>
      <c r="I394" s="17" t="s">
        <v>72</v>
      </c>
      <c r="J394" s="17" t="s">
        <v>239</v>
      </c>
      <c r="K394" s="17" t="str">
        <f aca="false">VLOOKUP(J394,Sheet2!A:B,2,0)</f>
        <v>VASANT PARMAR</v>
      </c>
      <c r="L394" s="17" t="n">
        <v>5</v>
      </c>
      <c r="M394" s="17" t="str">
        <f aca="false">VLOOKUP(L394,Sheet2!D:E,2,0)</f>
        <v>Main Processor CPU BGA</v>
      </c>
      <c r="N394" s="17" t="n">
        <v>1</v>
      </c>
      <c r="O394" s="17" t="str">
        <f aca="false">VLOOKUP(N394,Sheet2!G:H,2,0)</f>
        <v>Dead</v>
      </c>
      <c r="P394" s="17" t="n">
        <v>11</v>
      </c>
      <c r="Q394" s="17" t="str">
        <f aca="false">VLOOKUP(P394,Sheet2!J:K,2,0)</f>
        <v>IR Declared due to CID -TA</v>
      </c>
      <c r="R394" s="17" t="s">
        <v>35</v>
      </c>
      <c r="S394" s="17" t="str">
        <f aca="false">VLOOKUP(R394,Sheet2!N:O,2,0)</f>
        <v>IREPARABLE</v>
      </c>
      <c r="T394" s="18" t="str">
        <f aca="false">VLOOKUP(P394,Sheet2!Q:R,2,0)</f>
        <v>IR Normal - Track burn out</v>
      </c>
      <c r="U394" s="18" t="s">
        <v>122</v>
      </c>
      <c r="V394" s="17" t="n">
        <v>2</v>
      </c>
      <c r="W394" s="20" t="str">
        <f aca="false">VLOOKUP(V394,Sheet2!Q:R,2,0)</f>
        <v>IR CID -  Water log from other area</v>
      </c>
      <c r="X394" s="17" t="str">
        <f aca="false">J394</f>
        <v>A005</v>
      </c>
      <c r="Y394" s="17" t="str">
        <f aca="false">VLOOKUP(X394,Sheet2!A:B,2,0)</f>
        <v>VASANT PARMAR</v>
      </c>
      <c r="Z394" s="17" t="s">
        <v>247</v>
      </c>
      <c r="AA394" s="17" t="s">
        <v>237</v>
      </c>
      <c r="AB394" s="17" t="s">
        <v>41</v>
      </c>
      <c r="AC394" s="0" t="str">
        <f aca="false">LEFT(G394,2)</f>
        <v>86</v>
      </c>
      <c r="AD394" s="0"/>
      <c r="AE394" s="21" t="s">
        <v>238</v>
      </c>
    </row>
    <row r="395" customFormat="false" ht="15" hidden="false" customHeight="false" outlineLevel="0" collapsed="false">
      <c r="A395" s="13" t="n">
        <f aca="false">1+A394</f>
        <v>393</v>
      </c>
      <c r="B395" s="14" t="n">
        <v>1009630036</v>
      </c>
      <c r="C395" s="17" t="s">
        <v>182</v>
      </c>
      <c r="D395" s="16" t="s">
        <v>64</v>
      </c>
      <c r="E395" s="17" t="s">
        <v>47</v>
      </c>
      <c r="F395" s="19" t="s">
        <v>34</v>
      </c>
      <c r="G395" s="19" t="n">
        <v>866027150865</v>
      </c>
      <c r="H395" s="17" t="s">
        <v>35</v>
      </c>
      <c r="I395" s="17" t="s">
        <v>72</v>
      </c>
      <c r="J395" s="17" t="s">
        <v>100</v>
      </c>
      <c r="K395" s="17" t="str">
        <f aca="false">VLOOKUP(J395,Sheet2!A:B,2,0)</f>
        <v>PIYUSH CHAVDA</v>
      </c>
      <c r="L395" s="17" t="n">
        <v>1</v>
      </c>
      <c r="M395" s="17" t="str">
        <f aca="false">VLOOKUP(L395,Sheet2!D:E,2,0)</f>
        <v>Power Supply Section</v>
      </c>
      <c r="N395" s="17" t="n">
        <v>1</v>
      </c>
      <c r="O395" s="17" t="str">
        <f aca="false">VLOOKUP(N395,Sheet2!G:H,2,0)</f>
        <v>Dead</v>
      </c>
      <c r="P395" s="17" t="n">
        <v>12</v>
      </c>
      <c r="Q395" s="17" t="str">
        <f aca="false">VLOOKUP(P395,Sheet2!J:K,2,0)</f>
        <v>IR Declared due to Others ( IR Normal)TB</v>
      </c>
      <c r="R395" s="17" t="s">
        <v>35</v>
      </c>
      <c r="S395" s="17" t="str">
        <f aca="false">VLOOKUP(R395,Sheet2!N:O,2,0)</f>
        <v>IREPARABLE</v>
      </c>
      <c r="T395" s="18" t="str">
        <f aca="false">VLOOKUP(P395,Sheet2!Q:R,2,0)</f>
        <v>IR Normal - BER to IR</v>
      </c>
      <c r="U395" s="18" t="s">
        <v>101</v>
      </c>
      <c r="V395" s="17" t="n">
        <v>8</v>
      </c>
      <c r="W395" s="20" t="str">
        <f aca="false">VLOOKUP(V395,Sheet2!Q:R,2,0)</f>
        <v>IR Normal -TrackRust/InternalDamage/open</v>
      </c>
      <c r="X395" s="17" t="str">
        <f aca="false">J395</f>
        <v>A050</v>
      </c>
      <c r="Y395" s="17" t="str">
        <f aca="false">VLOOKUP(X395,Sheet2!A:B,2,0)</f>
        <v>PIYUSH CHAVDA</v>
      </c>
      <c r="Z395" s="17" t="s">
        <v>247</v>
      </c>
      <c r="AA395" s="17" t="s">
        <v>237</v>
      </c>
      <c r="AB395" s="17" t="s">
        <v>41</v>
      </c>
      <c r="AC395" s="0" t="str">
        <f aca="false">LEFT(G395,2)</f>
        <v>86</v>
      </c>
      <c r="AD395" s="0"/>
      <c r="AE395" s="21" t="s">
        <v>238</v>
      </c>
    </row>
    <row r="396" customFormat="false" ht="15" hidden="false" customHeight="false" outlineLevel="0" collapsed="false">
      <c r="A396" s="13" t="n">
        <f aca="false">1+A395</f>
        <v>394</v>
      </c>
      <c r="B396" s="14" t="n">
        <v>1009618714</v>
      </c>
      <c r="C396" s="17" t="s">
        <v>184</v>
      </c>
      <c r="D396" s="16" t="s">
        <v>64</v>
      </c>
      <c r="E396" s="17" t="s">
        <v>64</v>
      </c>
      <c r="F396" s="18" t="s">
        <v>70</v>
      </c>
      <c r="G396" s="19" t="n">
        <v>865274458674</v>
      </c>
      <c r="H396" s="17" t="s">
        <v>35</v>
      </c>
      <c r="I396" s="17" t="s">
        <v>72</v>
      </c>
      <c r="J396" s="17" t="s">
        <v>118</v>
      </c>
      <c r="K396" s="17" t="str">
        <f aca="false">VLOOKUP(J396,Sheet2!A:B,2,0)</f>
        <v>DEVENDRA RAJPUT</v>
      </c>
      <c r="L396" s="17" t="n">
        <v>2</v>
      </c>
      <c r="M396" s="17" t="str">
        <f aca="false">VLOOKUP(L396,Sheet2!D:E,2,0)</f>
        <v>Tuner Section</v>
      </c>
      <c r="N396" s="17" t="n">
        <v>6</v>
      </c>
      <c r="O396" s="17" t="str">
        <f aca="false">VLOOKUP(N396,Sheet2!G:H,2,0)</f>
        <v>No Signal</v>
      </c>
      <c r="P396" s="17" t="n">
        <v>12</v>
      </c>
      <c r="Q396" s="17" t="str">
        <f aca="false">VLOOKUP(P396,Sheet2!J:K,2,0)</f>
        <v>IR Declared due to Others ( IR Normal)TB</v>
      </c>
      <c r="R396" s="17" t="s">
        <v>35</v>
      </c>
      <c r="S396" s="17" t="str">
        <f aca="false">VLOOKUP(R396,Sheet2!N:O,2,0)</f>
        <v>IREPARABLE</v>
      </c>
      <c r="T396" s="18" t="str">
        <f aca="false">VLOOKUP(P396,Sheet2!Q:R,2,0)</f>
        <v>IR Normal - BER to IR</v>
      </c>
      <c r="U396" s="18" t="s">
        <v>101</v>
      </c>
      <c r="V396" s="17" t="n">
        <v>8</v>
      </c>
      <c r="W396" s="20" t="str">
        <f aca="false">VLOOKUP(V396,Sheet2!Q:R,2,0)</f>
        <v>IR Normal -TrackRust/InternalDamage/open</v>
      </c>
      <c r="X396" s="17" t="str">
        <f aca="false">J396</f>
        <v>A053</v>
      </c>
      <c r="Y396" s="17" t="str">
        <f aca="false">VLOOKUP(X396,Sheet2!A:B,2,0)</f>
        <v>DEVENDRA RAJPUT</v>
      </c>
      <c r="Z396" s="17" t="s">
        <v>259</v>
      </c>
      <c r="AA396" s="17" t="s">
        <v>237</v>
      </c>
      <c r="AB396" s="17" t="s">
        <v>41</v>
      </c>
      <c r="AC396" s="0" t="str">
        <f aca="false">LEFT(G396,2)</f>
        <v>86</v>
      </c>
      <c r="AD396" s="0"/>
      <c r="AE396" s="21" t="s">
        <v>238</v>
      </c>
    </row>
    <row r="397" customFormat="false" ht="15" hidden="false" customHeight="false" outlineLevel="0" collapsed="false">
      <c r="A397" s="13" t="n">
        <f aca="false">1+A396</f>
        <v>395</v>
      </c>
      <c r="B397" s="14" t="n">
        <v>1009617620</v>
      </c>
      <c r="C397" s="17" t="s">
        <v>184</v>
      </c>
      <c r="D397" s="16" t="s">
        <v>64</v>
      </c>
      <c r="E397" s="17" t="s">
        <v>64</v>
      </c>
      <c r="F397" s="18" t="s">
        <v>70</v>
      </c>
      <c r="G397" s="19" t="n">
        <v>866015218930</v>
      </c>
      <c r="H397" s="17" t="s">
        <v>35</v>
      </c>
      <c r="I397" s="17" t="s">
        <v>72</v>
      </c>
      <c r="J397" s="17" t="s">
        <v>100</v>
      </c>
      <c r="K397" s="17" t="str">
        <f aca="false">VLOOKUP(J397,Sheet2!A:B,2,0)</f>
        <v>PIYUSH CHAVDA</v>
      </c>
      <c r="L397" s="17" t="n">
        <v>5</v>
      </c>
      <c r="M397" s="17" t="str">
        <f aca="false">VLOOKUP(L397,Sheet2!D:E,2,0)</f>
        <v>Main Processor CPU BGA</v>
      </c>
      <c r="N397" s="17" t="n">
        <v>1</v>
      </c>
      <c r="O397" s="17" t="str">
        <f aca="false">VLOOKUP(N397,Sheet2!G:H,2,0)</f>
        <v>Dead</v>
      </c>
      <c r="P397" s="17" t="n">
        <v>12</v>
      </c>
      <c r="Q397" s="17" t="str">
        <f aca="false">VLOOKUP(P397,Sheet2!J:K,2,0)</f>
        <v>IR Declared due to Others ( IR Normal)TB</v>
      </c>
      <c r="R397" s="17" t="s">
        <v>35</v>
      </c>
      <c r="S397" s="17" t="str">
        <f aca="false">VLOOKUP(R397,Sheet2!N:O,2,0)</f>
        <v>IREPARABLE</v>
      </c>
      <c r="T397" s="18" t="str">
        <f aca="false">VLOOKUP(P397,Sheet2!Q:R,2,0)</f>
        <v>IR Normal - BER to IR</v>
      </c>
      <c r="U397" s="18" t="s">
        <v>101</v>
      </c>
      <c r="V397" s="17" t="n">
        <v>8</v>
      </c>
      <c r="W397" s="20" t="str">
        <f aca="false">VLOOKUP(V397,Sheet2!Q:R,2,0)</f>
        <v>IR Normal -TrackRust/InternalDamage/open</v>
      </c>
      <c r="X397" s="17" t="str">
        <f aca="false">J397</f>
        <v>A050</v>
      </c>
      <c r="Y397" s="17" t="str">
        <f aca="false">VLOOKUP(X397,Sheet2!A:B,2,0)</f>
        <v>PIYUSH CHAVDA</v>
      </c>
      <c r="Z397" s="17" t="s">
        <v>259</v>
      </c>
      <c r="AA397" s="17" t="s">
        <v>237</v>
      </c>
      <c r="AB397" s="17" t="s">
        <v>41</v>
      </c>
      <c r="AC397" s="0" t="str">
        <f aca="false">LEFT(G397,2)</f>
        <v>86</v>
      </c>
      <c r="AD397" s="0"/>
      <c r="AE397" s="21" t="s">
        <v>238</v>
      </c>
    </row>
    <row r="398" customFormat="false" ht="15" hidden="false" customHeight="false" outlineLevel="0" collapsed="false">
      <c r="A398" s="13" t="n">
        <f aca="false">1+A397</f>
        <v>396</v>
      </c>
      <c r="B398" s="14" t="n">
        <v>1009567782</v>
      </c>
      <c r="C398" s="17" t="s">
        <v>102</v>
      </c>
      <c r="D398" s="16" t="s">
        <v>64</v>
      </c>
      <c r="E398" s="17" t="s">
        <v>64</v>
      </c>
      <c r="F398" s="18" t="s">
        <v>70</v>
      </c>
      <c r="G398" s="19" t="n">
        <v>865273173357</v>
      </c>
      <c r="H398" s="17" t="s">
        <v>35</v>
      </c>
      <c r="I398" s="17" t="s">
        <v>72</v>
      </c>
      <c r="J398" s="17" t="s">
        <v>239</v>
      </c>
      <c r="K398" s="17" t="str">
        <f aca="false">VLOOKUP(J398,Sheet2!A:B,2,0)</f>
        <v>VASANT PARMAR</v>
      </c>
      <c r="L398" s="17" t="n">
        <v>5</v>
      </c>
      <c r="M398" s="17" t="str">
        <f aca="false">VLOOKUP(L398,Sheet2!D:E,2,0)</f>
        <v>Main Processor CPU BGA</v>
      </c>
      <c r="N398" s="17" t="n">
        <v>24</v>
      </c>
      <c r="O398" s="17" t="str">
        <f aca="false">VLOOKUP(N398,Sheet2!G:H,2,0)</f>
        <v>STB Auto moving -Stand by mode</v>
      </c>
      <c r="P398" s="17" t="n">
        <v>11</v>
      </c>
      <c r="Q398" s="17" t="str">
        <f aca="false">VLOOKUP(P398,Sheet2!J:K,2,0)</f>
        <v>IR Declared due to CID -TA</v>
      </c>
      <c r="R398" s="17" t="s">
        <v>35</v>
      </c>
      <c r="S398" s="17" t="str">
        <f aca="false">VLOOKUP(R398,Sheet2!N:O,2,0)</f>
        <v>IREPARABLE</v>
      </c>
      <c r="T398" s="18" t="str">
        <f aca="false">VLOOKUP(P398,Sheet2!Q:R,2,0)</f>
        <v>IR Normal - Track burn out</v>
      </c>
      <c r="U398" s="18" t="s">
        <v>122</v>
      </c>
      <c r="V398" s="17" t="n">
        <v>2</v>
      </c>
      <c r="W398" s="20" t="str">
        <f aca="false">VLOOKUP(V398,Sheet2!Q:R,2,0)</f>
        <v>IR CID -  Water log from other area</v>
      </c>
      <c r="X398" s="17" t="str">
        <f aca="false">J398</f>
        <v>A005</v>
      </c>
      <c r="Y398" s="17" t="str">
        <f aca="false">VLOOKUP(X398,Sheet2!A:B,2,0)</f>
        <v>VASANT PARMAR</v>
      </c>
      <c r="Z398" s="17" t="s">
        <v>260</v>
      </c>
      <c r="AA398" s="17" t="s">
        <v>237</v>
      </c>
      <c r="AB398" s="17" t="s">
        <v>41</v>
      </c>
      <c r="AC398" s="0" t="str">
        <f aca="false">LEFT(G398,2)</f>
        <v>86</v>
      </c>
      <c r="AD398" s="0"/>
      <c r="AE398" s="21" t="s">
        <v>238</v>
      </c>
    </row>
    <row r="399" customFormat="false" ht="15" hidden="false" customHeight="false" outlineLevel="0" collapsed="false">
      <c r="A399" s="13" t="n">
        <f aca="false">1+A398</f>
        <v>397</v>
      </c>
      <c r="B399" s="14" t="n">
        <v>1009606850</v>
      </c>
      <c r="C399" s="17" t="s">
        <v>181</v>
      </c>
      <c r="D399" s="16" t="s">
        <v>119</v>
      </c>
      <c r="E399" s="17" t="s">
        <v>47</v>
      </c>
      <c r="F399" s="19" t="s">
        <v>34</v>
      </c>
      <c r="G399" s="19" t="n">
        <v>868127169655</v>
      </c>
      <c r="H399" s="17" t="s">
        <v>35</v>
      </c>
      <c r="I399" s="17" t="s">
        <v>72</v>
      </c>
      <c r="J399" s="17" t="s">
        <v>252</v>
      </c>
      <c r="K399" s="17" t="str">
        <f aca="false">VLOOKUP(J399,Sheet2!A:B,2,0)</f>
        <v>TAKHAT SOLANKI</v>
      </c>
      <c r="L399" s="17" t="n">
        <v>5</v>
      </c>
      <c r="M399" s="17" t="str">
        <f aca="false">VLOOKUP(L399,Sheet2!D:E,2,0)</f>
        <v>Main Processor CPU BGA</v>
      </c>
      <c r="N399" s="17" t="n">
        <v>24</v>
      </c>
      <c r="O399" s="17" t="str">
        <f aca="false">VLOOKUP(N399,Sheet2!G:H,2,0)</f>
        <v>STB Auto moving -Stand by mode</v>
      </c>
      <c r="P399" s="17" t="n">
        <v>12</v>
      </c>
      <c r="Q399" s="17" t="str">
        <f aca="false">VLOOKUP(P399,Sheet2!J:K,2,0)</f>
        <v>IR Declared due to Others ( IR Normal)TB</v>
      </c>
      <c r="R399" s="17" t="s">
        <v>35</v>
      </c>
      <c r="S399" s="17" t="str">
        <f aca="false">VLOOKUP(R399,Sheet2!N:O,2,0)</f>
        <v>IREPARABLE</v>
      </c>
      <c r="T399" s="18" t="str">
        <f aca="false">VLOOKUP(P399,Sheet2!Q:R,2,0)</f>
        <v>IR Normal - BER to IR</v>
      </c>
      <c r="U399" s="18" t="s">
        <v>101</v>
      </c>
      <c r="V399" s="17" t="n">
        <v>8</v>
      </c>
      <c r="W399" s="20" t="str">
        <f aca="false">VLOOKUP(V399,Sheet2!Q:R,2,0)</f>
        <v>IR Normal -TrackRust/InternalDamage/open</v>
      </c>
      <c r="X399" s="17" t="str">
        <f aca="false">J399</f>
        <v>A006</v>
      </c>
      <c r="Y399" s="17" t="str">
        <f aca="false">VLOOKUP(X399,Sheet2!A:B,2,0)</f>
        <v>TAKHAT SOLANKI</v>
      </c>
      <c r="Z399" s="17" t="s">
        <v>261</v>
      </c>
      <c r="AA399" s="17" t="s">
        <v>237</v>
      </c>
      <c r="AB399" s="17" t="s">
        <v>41</v>
      </c>
      <c r="AC399" s="0" t="str">
        <f aca="false">LEFT(G399,2)</f>
        <v>86</v>
      </c>
      <c r="AD399" s="0"/>
      <c r="AE399" s="21" t="s">
        <v>238</v>
      </c>
    </row>
    <row r="400" customFormat="false" ht="15" hidden="false" customHeight="false" outlineLevel="0" collapsed="false">
      <c r="A400" s="13" t="n">
        <f aca="false">1+A399</f>
        <v>398</v>
      </c>
      <c r="B400" s="14" t="n">
        <v>1009615957</v>
      </c>
      <c r="C400" s="17" t="s">
        <v>184</v>
      </c>
      <c r="D400" s="16" t="s">
        <v>105</v>
      </c>
      <c r="E400" s="17" t="s">
        <v>47</v>
      </c>
      <c r="F400" s="19" t="s">
        <v>34</v>
      </c>
      <c r="G400" s="19" t="n">
        <v>867130122783</v>
      </c>
      <c r="H400" s="17" t="s">
        <v>35</v>
      </c>
      <c r="I400" s="17" t="s">
        <v>72</v>
      </c>
      <c r="J400" s="17" t="s">
        <v>118</v>
      </c>
      <c r="K400" s="17" t="str">
        <f aca="false">VLOOKUP(J400,Sheet2!A:B,2,0)</f>
        <v>DEVENDRA RAJPUT</v>
      </c>
      <c r="L400" s="17" t="n">
        <v>1</v>
      </c>
      <c r="M400" s="17" t="str">
        <f aca="false">VLOOKUP(L400,Sheet2!D:E,2,0)</f>
        <v>Power Supply Section</v>
      </c>
      <c r="N400" s="17" t="n">
        <v>1</v>
      </c>
      <c r="O400" s="17" t="str">
        <f aca="false">VLOOKUP(N400,Sheet2!G:H,2,0)</f>
        <v>Dead</v>
      </c>
      <c r="P400" s="17" t="n">
        <v>11</v>
      </c>
      <c r="Q400" s="17" t="str">
        <f aca="false">VLOOKUP(P400,Sheet2!J:K,2,0)</f>
        <v>IR Declared due to CID -TA</v>
      </c>
      <c r="R400" s="17" t="s">
        <v>35</v>
      </c>
      <c r="S400" s="17" t="str">
        <f aca="false">VLOOKUP(R400,Sheet2!N:O,2,0)</f>
        <v>IREPARABLE</v>
      </c>
      <c r="T400" s="18" t="str">
        <f aca="false">VLOOKUP(P400,Sheet2!Q:R,2,0)</f>
        <v>IR Normal - Track burn out</v>
      </c>
      <c r="U400" s="18" t="s">
        <v>122</v>
      </c>
      <c r="V400" s="17" t="n">
        <v>2</v>
      </c>
      <c r="W400" s="20" t="str">
        <f aca="false">VLOOKUP(V400,Sheet2!Q:R,2,0)</f>
        <v>IR CID -  Water log from other area</v>
      </c>
      <c r="X400" s="17" t="str">
        <f aca="false">J400</f>
        <v>A053</v>
      </c>
      <c r="Y400" s="17" t="str">
        <f aca="false">VLOOKUP(X400,Sheet2!A:B,2,0)</f>
        <v>DEVENDRA RAJPUT</v>
      </c>
      <c r="Z400" s="17" t="s">
        <v>262</v>
      </c>
      <c r="AA400" s="17" t="s">
        <v>237</v>
      </c>
      <c r="AB400" s="17" t="s">
        <v>41</v>
      </c>
      <c r="AC400" s="0" t="str">
        <f aca="false">LEFT(G400,2)</f>
        <v>86</v>
      </c>
      <c r="AD400" s="0"/>
      <c r="AE400" s="21" t="s">
        <v>238</v>
      </c>
    </row>
    <row r="401" customFormat="false" ht="15" hidden="false" customHeight="false" outlineLevel="0" collapsed="false">
      <c r="A401" s="13" t="n">
        <f aca="false">1+A400</f>
        <v>399</v>
      </c>
      <c r="B401" s="14" t="n">
        <v>1009602289</v>
      </c>
      <c r="C401" s="17" t="s">
        <v>159</v>
      </c>
      <c r="D401" s="16" t="s">
        <v>64</v>
      </c>
      <c r="E401" s="17" t="s">
        <v>64</v>
      </c>
      <c r="F401" s="18" t="s">
        <v>70</v>
      </c>
      <c r="G401" s="19" t="n">
        <v>867030117610</v>
      </c>
      <c r="H401" s="17" t="s">
        <v>35</v>
      </c>
      <c r="I401" s="17" t="s">
        <v>72</v>
      </c>
      <c r="J401" s="17" t="s">
        <v>100</v>
      </c>
      <c r="K401" s="17" t="str">
        <f aca="false">VLOOKUP(J401,Sheet2!A:B,2,0)</f>
        <v>PIYUSH CHAVDA</v>
      </c>
      <c r="L401" s="17" t="n">
        <v>1</v>
      </c>
      <c r="M401" s="17" t="str">
        <f aca="false">VLOOKUP(L401,Sheet2!D:E,2,0)</f>
        <v>Power Supply Section</v>
      </c>
      <c r="N401" s="17" t="n">
        <v>1</v>
      </c>
      <c r="O401" s="17" t="str">
        <f aca="false">VLOOKUP(N401,Sheet2!G:H,2,0)</f>
        <v>Dead</v>
      </c>
      <c r="P401" s="17" t="n">
        <v>11</v>
      </c>
      <c r="Q401" s="17" t="str">
        <f aca="false">VLOOKUP(P401,Sheet2!J:K,2,0)</f>
        <v>IR Declared due to CID -TA</v>
      </c>
      <c r="R401" s="17" t="s">
        <v>35</v>
      </c>
      <c r="S401" s="17" t="str">
        <f aca="false">VLOOKUP(R401,Sheet2!N:O,2,0)</f>
        <v>IREPARABLE</v>
      </c>
      <c r="T401" s="18" t="str">
        <f aca="false">VLOOKUP(P401,Sheet2!Q:R,2,0)</f>
        <v>IR Normal - Track burn out</v>
      </c>
      <c r="U401" s="18" t="s">
        <v>122</v>
      </c>
      <c r="V401" s="17" t="n">
        <v>2</v>
      </c>
      <c r="W401" s="20" t="str">
        <f aca="false">VLOOKUP(V401,Sheet2!Q:R,2,0)</f>
        <v>IR CID -  Water log from other area</v>
      </c>
      <c r="X401" s="17" t="str">
        <f aca="false">J401</f>
        <v>A050</v>
      </c>
      <c r="Y401" s="17" t="str">
        <f aca="false">VLOOKUP(X401,Sheet2!A:B,2,0)</f>
        <v>PIYUSH CHAVDA</v>
      </c>
      <c r="Z401" s="17" t="s">
        <v>263</v>
      </c>
      <c r="AA401" s="17" t="s">
        <v>237</v>
      </c>
      <c r="AB401" s="17" t="s">
        <v>41</v>
      </c>
      <c r="AC401" s="0" t="str">
        <f aca="false">LEFT(G401,2)</f>
        <v>86</v>
      </c>
      <c r="AD401" s="0"/>
      <c r="AE401" s="21" t="s">
        <v>238</v>
      </c>
    </row>
    <row r="402" customFormat="false" ht="15" hidden="false" customHeight="false" outlineLevel="0" collapsed="false">
      <c r="A402" s="13" t="n">
        <f aca="false">1+A401</f>
        <v>400</v>
      </c>
      <c r="B402" s="14" t="n">
        <v>1009560204</v>
      </c>
      <c r="C402" s="17" t="s">
        <v>192</v>
      </c>
      <c r="D402" s="16" t="s">
        <v>64</v>
      </c>
      <c r="E402" s="17" t="s">
        <v>64</v>
      </c>
      <c r="F402" s="18" t="s">
        <v>70</v>
      </c>
      <c r="G402" s="19" t="n">
        <v>867266141987</v>
      </c>
      <c r="H402" s="17" t="s">
        <v>35</v>
      </c>
      <c r="I402" s="17" t="s">
        <v>72</v>
      </c>
      <c r="J402" s="17" t="s">
        <v>100</v>
      </c>
      <c r="K402" s="17" t="str">
        <f aca="false">VLOOKUP(J402,Sheet2!A:B,2,0)</f>
        <v>PIYUSH CHAVDA</v>
      </c>
      <c r="L402" s="17" t="n">
        <v>5</v>
      </c>
      <c r="M402" s="17" t="str">
        <f aca="false">VLOOKUP(L402,Sheet2!D:E,2,0)</f>
        <v>Main Processor CPU BGA</v>
      </c>
      <c r="N402" s="17" t="n">
        <v>1</v>
      </c>
      <c r="O402" s="17" t="str">
        <f aca="false">VLOOKUP(N402,Sheet2!G:H,2,0)</f>
        <v>Dead</v>
      </c>
      <c r="P402" s="17" t="n">
        <v>11</v>
      </c>
      <c r="Q402" s="17" t="str">
        <f aca="false">VLOOKUP(P402,Sheet2!J:K,2,0)</f>
        <v>IR Declared due to CID -TA</v>
      </c>
      <c r="R402" s="17" t="s">
        <v>35</v>
      </c>
      <c r="S402" s="17" t="str">
        <f aca="false">VLOOKUP(R402,Sheet2!N:O,2,0)</f>
        <v>IREPARABLE</v>
      </c>
      <c r="T402" s="18" t="str">
        <f aca="false">VLOOKUP(P402,Sheet2!Q:R,2,0)</f>
        <v>IR Normal - Track burn out</v>
      </c>
      <c r="U402" s="18" t="s">
        <v>122</v>
      </c>
      <c r="V402" s="17" t="n">
        <v>2</v>
      </c>
      <c r="W402" s="20" t="str">
        <f aca="false">VLOOKUP(V402,Sheet2!Q:R,2,0)</f>
        <v>IR CID -  Water log from other area</v>
      </c>
      <c r="X402" s="17" t="str">
        <f aca="false">J402</f>
        <v>A050</v>
      </c>
      <c r="Y402" s="17" t="str">
        <f aca="false">VLOOKUP(X402,Sheet2!A:B,2,0)</f>
        <v>PIYUSH CHAVDA</v>
      </c>
      <c r="Z402" s="17" t="s">
        <v>264</v>
      </c>
      <c r="AA402" s="17" t="s">
        <v>237</v>
      </c>
      <c r="AB402" s="17" t="s">
        <v>41</v>
      </c>
      <c r="AC402" s="0" t="str">
        <f aca="false">LEFT(G402,2)</f>
        <v>86</v>
      </c>
      <c r="AD402" s="0"/>
      <c r="AE402" s="21" t="s">
        <v>238</v>
      </c>
    </row>
    <row r="403" customFormat="false" ht="15" hidden="false" customHeight="false" outlineLevel="0" collapsed="false">
      <c r="A403" s="13" t="n">
        <f aca="false">1+A402</f>
        <v>401</v>
      </c>
      <c r="B403" s="14" t="n">
        <v>1009615669</v>
      </c>
      <c r="C403" s="17" t="s">
        <v>184</v>
      </c>
      <c r="D403" s="16" t="s">
        <v>158</v>
      </c>
      <c r="E403" s="17" t="s">
        <v>255</v>
      </c>
      <c r="F403" s="19" t="s">
        <v>34</v>
      </c>
      <c r="G403" s="19" t="n">
        <v>865356185161</v>
      </c>
      <c r="H403" s="17" t="s">
        <v>35</v>
      </c>
      <c r="I403" s="17" t="s">
        <v>72</v>
      </c>
      <c r="J403" s="17" t="s">
        <v>100</v>
      </c>
      <c r="K403" s="17" t="str">
        <f aca="false">VLOOKUP(J403,Sheet2!A:B,2,0)</f>
        <v>PIYUSH CHAVDA</v>
      </c>
      <c r="L403" s="17" t="n">
        <v>5</v>
      </c>
      <c r="M403" s="17" t="str">
        <f aca="false">VLOOKUP(L403,Sheet2!D:E,2,0)</f>
        <v>Main Processor CPU BGA</v>
      </c>
      <c r="N403" s="17" t="n">
        <v>1</v>
      </c>
      <c r="O403" s="17" t="str">
        <f aca="false">VLOOKUP(N403,Sheet2!G:H,2,0)</f>
        <v>Dead</v>
      </c>
      <c r="P403" s="17" t="n">
        <v>12</v>
      </c>
      <c r="Q403" s="17" t="str">
        <f aca="false">VLOOKUP(P403,Sheet2!J:K,2,0)</f>
        <v>IR Declared due to Others ( IR Normal)TB</v>
      </c>
      <c r="R403" s="17" t="s">
        <v>35</v>
      </c>
      <c r="S403" s="17" t="str">
        <f aca="false">VLOOKUP(R403,Sheet2!N:O,2,0)</f>
        <v>IREPARABLE</v>
      </c>
      <c r="T403" s="18" t="str">
        <f aca="false">VLOOKUP(P403,Sheet2!Q:R,2,0)</f>
        <v>IR Normal - BER to IR</v>
      </c>
      <c r="U403" s="18" t="s">
        <v>101</v>
      </c>
      <c r="V403" s="17" t="n">
        <v>8</v>
      </c>
      <c r="W403" s="20" t="str">
        <f aca="false">VLOOKUP(V403,Sheet2!Q:R,2,0)</f>
        <v>IR Normal -TrackRust/InternalDamage/open</v>
      </c>
      <c r="X403" s="17" t="str">
        <f aca="false">J403</f>
        <v>A050</v>
      </c>
      <c r="Y403" s="17" t="str">
        <f aca="false">VLOOKUP(X403,Sheet2!A:B,2,0)</f>
        <v>PIYUSH CHAVDA</v>
      </c>
      <c r="Z403" s="17" t="s">
        <v>264</v>
      </c>
      <c r="AA403" s="17" t="s">
        <v>237</v>
      </c>
      <c r="AB403" s="17" t="s">
        <v>41</v>
      </c>
      <c r="AC403" s="0" t="str">
        <f aca="false">LEFT(G403,2)</f>
        <v>86</v>
      </c>
      <c r="AD403" s="0"/>
      <c r="AE403" s="21" t="s">
        <v>238</v>
      </c>
    </row>
    <row r="404" customFormat="false" ht="15" hidden="false" customHeight="false" outlineLevel="0" collapsed="false">
      <c r="A404" s="13" t="n">
        <f aca="false">1+A403</f>
        <v>402</v>
      </c>
      <c r="B404" s="14" t="n">
        <v>1009620561</v>
      </c>
      <c r="C404" s="17" t="s">
        <v>184</v>
      </c>
      <c r="D404" s="16" t="s">
        <v>64</v>
      </c>
      <c r="E404" s="17" t="s">
        <v>64</v>
      </c>
      <c r="F404" s="18" t="s">
        <v>70</v>
      </c>
      <c r="G404" s="19" t="n">
        <v>865187104936</v>
      </c>
      <c r="H404" s="17" t="s">
        <v>35</v>
      </c>
      <c r="I404" s="17" t="s">
        <v>72</v>
      </c>
      <c r="J404" s="17" t="s">
        <v>118</v>
      </c>
      <c r="K404" s="17" t="str">
        <f aca="false">VLOOKUP(J404,Sheet2!A:B,2,0)</f>
        <v>DEVENDRA RAJPUT</v>
      </c>
      <c r="L404" s="17" t="n">
        <v>1</v>
      </c>
      <c r="M404" s="17" t="str">
        <f aca="false">VLOOKUP(L404,Sheet2!D:E,2,0)</f>
        <v>Power Supply Section</v>
      </c>
      <c r="N404" s="17" t="n">
        <v>1</v>
      </c>
      <c r="O404" s="17" t="str">
        <f aca="false">VLOOKUP(N404,Sheet2!G:H,2,0)</f>
        <v>Dead</v>
      </c>
      <c r="P404" s="17" t="n">
        <v>11</v>
      </c>
      <c r="Q404" s="17" t="str">
        <f aca="false">VLOOKUP(P404,Sheet2!J:K,2,0)</f>
        <v>IR Declared due to CID -TA</v>
      </c>
      <c r="R404" s="17" t="s">
        <v>35</v>
      </c>
      <c r="S404" s="17" t="str">
        <f aca="false">VLOOKUP(R404,Sheet2!N:O,2,0)</f>
        <v>IREPARABLE</v>
      </c>
      <c r="T404" s="18" t="str">
        <f aca="false">VLOOKUP(P404,Sheet2!Q:R,2,0)</f>
        <v>IR Normal - Track burn out</v>
      </c>
      <c r="U404" s="18" t="s">
        <v>122</v>
      </c>
      <c r="V404" s="17" t="n">
        <v>2</v>
      </c>
      <c r="W404" s="20" t="str">
        <f aca="false">VLOOKUP(V404,Sheet2!Q:R,2,0)</f>
        <v>IR CID -  Water log from other area</v>
      </c>
      <c r="X404" s="17" t="str">
        <f aca="false">J404</f>
        <v>A053</v>
      </c>
      <c r="Y404" s="17" t="str">
        <f aca="false">VLOOKUP(X404,Sheet2!A:B,2,0)</f>
        <v>DEVENDRA RAJPUT</v>
      </c>
      <c r="Z404" s="17" t="s">
        <v>265</v>
      </c>
      <c r="AA404" s="17" t="s">
        <v>237</v>
      </c>
      <c r="AB404" s="17" t="s">
        <v>41</v>
      </c>
      <c r="AC404" s="0" t="str">
        <f aca="false">LEFT(G404,2)</f>
        <v>86</v>
      </c>
      <c r="AD404" s="0"/>
      <c r="AE404" s="21" t="s">
        <v>238</v>
      </c>
    </row>
    <row r="405" customFormat="false" ht="15" hidden="false" customHeight="false" outlineLevel="0" collapsed="false">
      <c r="A405" s="13" t="n">
        <f aca="false">1+A404</f>
        <v>403</v>
      </c>
      <c r="B405" s="14" t="n">
        <v>1009617637</v>
      </c>
      <c r="C405" s="17" t="s">
        <v>184</v>
      </c>
      <c r="D405" s="16" t="s">
        <v>64</v>
      </c>
      <c r="E405" s="17" t="s">
        <v>64</v>
      </c>
      <c r="F405" s="18" t="s">
        <v>70</v>
      </c>
      <c r="G405" s="19" t="n">
        <v>865169184344</v>
      </c>
      <c r="H405" s="17" t="s">
        <v>35</v>
      </c>
      <c r="I405" s="17" t="s">
        <v>72</v>
      </c>
      <c r="J405" s="17" t="s">
        <v>118</v>
      </c>
      <c r="K405" s="17" t="str">
        <f aca="false">VLOOKUP(J405,Sheet2!A:B,2,0)</f>
        <v>DEVENDRA RAJPUT</v>
      </c>
      <c r="L405" s="17" t="n">
        <v>5</v>
      </c>
      <c r="M405" s="17" t="str">
        <f aca="false">VLOOKUP(L405,Sheet2!D:E,2,0)</f>
        <v>Main Processor CPU BGA</v>
      </c>
      <c r="N405" s="17" t="n">
        <v>24</v>
      </c>
      <c r="O405" s="17" t="str">
        <f aca="false">VLOOKUP(N405,Sheet2!G:H,2,0)</f>
        <v>STB Auto moving -Stand by mode</v>
      </c>
      <c r="P405" s="17" t="n">
        <v>11</v>
      </c>
      <c r="Q405" s="17" t="str">
        <f aca="false">VLOOKUP(P405,Sheet2!J:K,2,0)</f>
        <v>IR Declared due to CID -TA</v>
      </c>
      <c r="R405" s="17" t="s">
        <v>35</v>
      </c>
      <c r="S405" s="17" t="str">
        <f aca="false">VLOOKUP(R405,Sheet2!N:O,2,0)</f>
        <v>IREPARABLE</v>
      </c>
      <c r="T405" s="18" t="str">
        <f aca="false">VLOOKUP(P405,Sheet2!Q:R,2,0)</f>
        <v>IR Normal - Track burn out</v>
      </c>
      <c r="U405" s="18" t="s">
        <v>38</v>
      </c>
      <c r="V405" s="17" t="n">
        <v>4</v>
      </c>
      <c r="W405" s="20" t="str">
        <f aca="false">VLOOKUP(V405,Sheet2!Q:R,2,0)</f>
        <v>IR CID - Tampered Track burn out</v>
      </c>
      <c r="X405" s="17" t="str">
        <f aca="false">J405</f>
        <v>A053</v>
      </c>
      <c r="Y405" s="17" t="str">
        <f aca="false">VLOOKUP(X405,Sheet2!A:B,2,0)</f>
        <v>DEVENDRA RAJPUT</v>
      </c>
      <c r="Z405" s="17" t="s">
        <v>266</v>
      </c>
      <c r="AA405" s="17" t="s">
        <v>237</v>
      </c>
      <c r="AB405" s="17" t="s">
        <v>41</v>
      </c>
      <c r="AC405" s="0" t="str">
        <f aca="false">LEFT(G405,2)</f>
        <v>86</v>
      </c>
      <c r="AD405" s="0"/>
      <c r="AE405" s="21" t="s">
        <v>238</v>
      </c>
    </row>
    <row r="406" customFormat="false" ht="15" hidden="false" customHeight="false" outlineLevel="0" collapsed="false">
      <c r="A406" s="13" t="n">
        <f aca="false">1+A405</f>
        <v>404</v>
      </c>
      <c r="B406" s="14" t="n">
        <v>1009570201</v>
      </c>
      <c r="C406" s="17" t="s">
        <v>102</v>
      </c>
      <c r="D406" s="16" t="s">
        <v>119</v>
      </c>
      <c r="E406" s="17" t="s">
        <v>47</v>
      </c>
      <c r="F406" s="19" t="s">
        <v>34</v>
      </c>
      <c r="G406" s="19" t="n">
        <v>865299258950</v>
      </c>
      <c r="H406" s="17" t="s">
        <v>35</v>
      </c>
      <c r="I406" s="17" t="s">
        <v>72</v>
      </c>
      <c r="J406" s="17" t="s">
        <v>267</v>
      </c>
      <c r="K406" s="17" t="str">
        <f aca="false">VLOOKUP(J406,Sheet2!A:B,2,0)</f>
        <v>HARIRAM GUPTA</v>
      </c>
      <c r="L406" s="17" t="n">
        <v>5</v>
      </c>
      <c r="M406" s="17" t="str">
        <f aca="false">VLOOKUP(L406,Sheet2!D:E,2,0)</f>
        <v>Main Processor CPU BGA</v>
      </c>
      <c r="N406" s="17" t="n">
        <v>1</v>
      </c>
      <c r="O406" s="17" t="str">
        <f aca="false">VLOOKUP(N406,Sheet2!G:H,2,0)</f>
        <v>Dead</v>
      </c>
      <c r="P406" s="17" t="n">
        <v>12</v>
      </c>
      <c r="Q406" s="17" t="str">
        <f aca="false">VLOOKUP(P406,Sheet2!J:K,2,0)</f>
        <v>IR Declared due to Others ( IR Normal)TB</v>
      </c>
      <c r="R406" s="17" t="s">
        <v>35</v>
      </c>
      <c r="S406" s="17" t="str">
        <f aca="false">VLOOKUP(R406,Sheet2!N:O,2,0)</f>
        <v>IREPARABLE</v>
      </c>
      <c r="T406" s="18" t="str">
        <f aca="false">VLOOKUP(P406,Sheet2!Q:R,2,0)</f>
        <v>IR Normal - BER to IR</v>
      </c>
      <c r="U406" s="20" t="s">
        <v>110</v>
      </c>
      <c r="V406" s="17" t="n">
        <v>9</v>
      </c>
      <c r="W406" s="20" t="str">
        <f aca="false">VLOOKUP(V406,Sheet2!Q:R,2,0)</f>
        <v>IR Normal - Multiple time repair </v>
      </c>
      <c r="X406" s="17" t="str">
        <f aca="false">J406</f>
        <v>A007</v>
      </c>
      <c r="Y406" s="17" t="str">
        <f aca="false">VLOOKUP(X406,Sheet2!A:B,2,0)</f>
        <v>HARIRAM GUPTA</v>
      </c>
      <c r="Z406" s="17" t="s">
        <v>266</v>
      </c>
      <c r="AA406" s="17" t="s">
        <v>237</v>
      </c>
      <c r="AB406" s="17" t="s">
        <v>41</v>
      </c>
      <c r="AC406" s="0" t="str">
        <f aca="false">LEFT(G406,2)</f>
        <v>86</v>
      </c>
      <c r="AD406" s="0"/>
      <c r="AE406" s="21" t="s">
        <v>238</v>
      </c>
    </row>
    <row r="407" customFormat="false" ht="15" hidden="false" customHeight="false" outlineLevel="0" collapsed="false">
      <c r="A407" s="13" t="n">
        <f aca="false">1+A406</f>
        <v>405</v>
      </c>
      <c r="B407" s="14" t="n">
        <v>1009494410</v>
      </c>
      <c r="C407" s="17" t="s">
        <v>146</v>
      </c>
      <c r="D407" s="16" t="s">
        <v>64</v>
      </c>
      <c r="E407" s="17" t="s">
        <v>47</v>
      </c>
      <c r="F407" s="19" t="s">
        <v>34</v>
      </c>
      <c r="G407" s="19" t="n">
        <v>866075109284</v>
      </c>
      <c r="H407" s="17" t="s">
        <v>35</v>
      </c>
      <c r="I407" s="17" t="s">
        <v>72</v>
      </c>
      <c r="J407" s="17" t="s">
        <v>106</v>
      </c>
      <c r="K407" s="17" t="str">
        <f aca="false">VLOOKUP(J407,Sheet2!A:B,2,0)</f>
        <v>PRAKASH CHAVDA</v>
      </c>
      <c r="L407" s="17" t="n">
        <v>5</v>
      </c>
      <c r="M407" s="17" t="str">
        <f aca="false">VLOOKUP(L407,Sheet2!D:E,2,0)</f>
        <v>Main Processor CPU BGA</v>
      </c>
      <c r="N407" s="17" t="n">
        <v>1</v>
      </c>
      <c r="O407" s="17" t="str">
        <f aca="false">VLOOKUP(N407,Sheet2!G:H,2,0)</f>
        <v>Dead</v>
      </c>
      <c r="P407" s="17" t="n">
        <v>11</v>
      </c>
      <c r="Q407" s="17" t="str">
        <f aca="false">VLOOKUP(P407,Sheet2!J:K,2,0)</f>
        <v>IR Declared due to CID -TA</v>
      </c>
      <c r="R407" s="17" t="s">
        <v>35</v>
      </c>
      <c r="S407" s="17" t="str">
        <f aca="false">VLOOKUP(R407,Sheet2!N:O,2,0)</f>
        <v>IREPARABLE</v>
      </c>
      <c r="T407" s="18" t="str">
        <f aca="false">VLOOKUP(P407,Sheet2!Q:R,2,0)</f>
        <v>IR Normal - Track burn out</v>
      </c>
      <c r="U407" s="18" t="s">
        <v>122</v>
      </c>
      <c r="V407" s="17" t="n">
        <v>2</v>
      </c>
      <c r="W407" s="20" t="str">
        <f aca="false">VLOOKUP(V407,Sheet2!Q:R,2,0)</f>
        <v>IR CID -  Water log from other area</v>
      </c>
      <c r="X407" s="17" t="str">
        <f aca="false">J407</f>
        <v>A018</v>
      </c>
      <c r="Y407" s="17" t="str">
        <f aca="false">VLOOKUP(X407,Sheet2!A:B,2,0)</f>
        <v>PRAKASH CHAVDA</v>
      </c>
      <c r="Z407" s="17" t="s">
        <v>222</v>
      </c>
      <c r="AA407" s="17" t="s">
        <v>237</v>
      </c>
      <c r="AB407" s="17" t="s">
        <v>41</v>
      </c>
      <c r="AC407" s="0" t="str">
        <f aca="false">LEFT(G407,2)</f>
        <v>86</v>
      </c>
      <c r="AD407" s="0"/>
      <c r="AE407" s="21" t="s">
        <v>238</v>
      </c>
    </row>
    <row r="408" customFormat="false" ht="15" hidden="false" customHeight="false" outlineLevel="0" collapsed="false">
      <c r="A408" s="13" t="n">
        <f aca="false">1+A407</f>
        <v>406</v>
      </c>
      <c r="B408" s="14" t="n">
        <v>1009449226</v>
      </c>
      <c r="C408" s="17" t="s">
        <v>268</v>
      </c>
      <c r="D408" s="16" t="s">
        <v>269</v>
      </c>
      <c r="E408" s="17" t="s">
        <v>47</v>
      </c>
      <c r="F408" s="19" t="s">
        <v>34</v>
      </c>
      <c r="G408" s="19" t="n">
        <v>867143155085</v>
      </c>
      <c r="H408" s="17" t="s">
        <v>35</v>
      </c>
      <c r="I408" s="17" t="s">
        <v>72</v>
      </c>
      <c r="J408" s="17" t="s">
        <v>270</v>
      </c>
      <c r="K408" s="17" t="str">
        <f aca="false">VLOOKUP(J408,Sheet2!A:B,2,0)</f>
        <v>PRADIP YADAV</v>
      </c>
      <c r="L408" s="17" t="n">
        <v>1</v>
      </c>
      <c r="M408" s="17" t="str">
        <f aca="false">VLOOKUP(L408,Sheet2!D:E,2,0)</f>
        <v>Power Supply Section</v>
      </c>
      <c r="N408" s="17" t="n">
        <v>1</v>
      </c>
      <c r="O408" s="17" t="str">
        <f aca="false">VLOOKUP(N408,Sheet2!G:H,2,0)</f>
        <v>Dead</v>
      </c>
      <c r="P408" s="17" t="n">
        <v>12</v>
      </c>
      <c r="Q408" s="17" t="str">
        <f aca="false">VLOOKUP(P408,Sheet2!J:K,2,0)</f>
        <v>IR Declared due to Others ( IR Normal)TB</v>
      </c>
      <c r="R408" s="17" t="s">
        <v>35</v>
      </c>
      <c r="S408" s="17" t="str">
        <f aca="false">VLOOKUP(R408,Sheet2!N:O,2,0)</f>
        <v>IREPARABLE</v>
      </c>
      <c r="T408" s="18" t="str">
        <f aca="false">VLOOKUP(P408,Sheet2!Q:R,2,0)</f>
        <v>IR Normal - BER to IR</v>
      </c>
      <c r="U408" s="18" t="s">
        <v>101</v>
      </c>
      <c r="V408" s="17" t="n">
        <v>8</v>
      </c>
      <c r="W408" s="20" t="str">
        <f aca="false">VLOOKUP(V408,Sheet2!Q:R,2,0)</f>
        <v>IR Normal -TrackRust/InternalDamage/open</v>
      </c>
      <c r="X408" s="17" t="str">
        <f aca="false">J408</f>
        <v>A011</v>
      </c>
      <c r="Y408" s="17" t="str">
        <f aca="false">VLOOKUP(X408,Sheet2!A:B,2,0)</f>
        <v>PRADIP YADAV</v>
      </c>
      <c r="Z408" s="17" t="s">
        <v>266</v>
      </c>
      <c r="AA408" s="17" t="s">
        <v>237</v>
      </c>
      <c r="AB408" s="17" t="s">
        <v>41</v>
      </c>
      <c r="AC408" s="0" t="str">
        <f aca="false">LEFT(G408,2)</f>
        <v>86</v>
      </c>
      <c r="AD408" s="0"/>
      <c r="AE408" s="21" t="s">
        <v>238</v>
      </c>
    </row>
    <row r="409" customFormat="false" ht="15" hidden="false" customHeight="false" outlineLevel="0" collapsed="false">
      <c r="A409" s="13" t="n">
        <f aca="false">1+A408</f>
        <v>407</v>
      </c>
      <c r="B409" s="14" t="n">
        <v>1009574507</v>
      </c>
      <c r="C409" s="17" t="s">
        <v>104</v>
      </c>
      <c r="D409" s="16" t="s">
        <v>86</v>
      </c>
      <c r="E409" s="17" t="s">
        <v>47</v>
      </c>
      <c r="F409" s="19" t="s">
        <v>34</v>
      </c>
      <c r="G409" s="19" t="n">
        <v>865326181506</v>
      </c>
      <c r="H409" s="17" t="s">
        <v>35</v>
      </c>
      <c r="I409" s="17" t="s">
        <v>72</v>
      </c>
      <c r="J409" s="17" t="s">
        <v>241</v>
      </c>
      <c r="K409" s="17" t="str">
        <f aca="false">VLOOKUP(J409,Sheet2!A:B,2,0)</f>
        <v>NILESH NAGAR</v>
      </c>
      <c r="L409" s="17" t="n">
        <v>5</v>
      </c>
      <c r="M409" s="17" t="str">
        <f aca="false">VLOOKUP(L409,Sheet2!D:E,2,0)</f>
        <v>Main Processor CPU BGA</v>
      </c>
      <c r="N409" s="17" t="n">
        <v>1</v>
      </c>
      <c r="O409" s="17" t="str">
        <f aca="false">VLOOKUP(N409,Sheet2!G:H,2,0)</f>
        <v>Dead</v>
      </c>
      <c r="P409" s="17" t="n">
        <v>11</v>
      </c>
      <c r="Q409" s="17" t="str">
        <f aca="false">VLOOKUP(P409,Sheet2!J:K,2,0)</f>
        <v>IR Declared due to CID -TA</v>
      </c>
      <c r="R409" s="17" t="s">
        <v>35</v>
      </c>
      <c r="S409" s="17" t="str">
        <f aca="false">VLOOKUP(R409,Sheet2!N:O,2,0)</f>
        <v>IREPARABLE</v>
      </c>
      <c r="T409" s="18" t="str">
        <f aca="false">VLOOKUP(P409,Sheet2!Q:R,2,0)</f>
        <v>IR Normal - Track burn out</v>
      </c>
      <c r="U409" s="18" t="s">
        <v>122</v>
      </c>
      <c r="V409" s="17" t="n">
        <v>2</v>
      </c>
      <c r="W409" s="20" t="str">
        <f aca="false">VLOOKUP(V409,Sheet2!Q:R,2,0)</f>
        <v>IR CID -  Water log from other area</v>
      </c>
      <c r="X409" s="17" t="str">
        <f aca="false">J409</f>
        <v>A008</v>
      </c>
      <c r="Y409" s="17" t="str">
        <f aca="false">VLOOKUP(X409,Sheet2!A:B,2,0)</f>
        <v>NILESH NAGAR</v>
      </c>
      <c r="Z409" s="17" t="s">
        <v>271</v>
      </c>
      <c r="AA409" s="17" t="s">
        <v>237</v>
      </c>
      <c r="AB409" s="17" t="s">
        <v>41</v>
      </c>
      <c r="AC409" s="0" t="str">
        <f aca="false">LEFT(G409,2)</f>
        <v>86</v>
      </c>
      <c r="AD409" s="0"/>
      <c r="AE409" s="21" t="s">
        <v>238</v>
      </c>
    </row>
    <row r="410" customFormat="false" ht="15" hidden="false" customHeight="false" outlineLevel="0" collapsed="false">
      <c r="A410" s="13" t="n">
        <f aca="false">1+A409</f>
        <v>408</v>
      </c>
      <c r="B410" s="14" t="n">
        <v>1009561314</v>
      </c>
      <c r="C410" s="17" t="s">
        <v>192</v>
      </c>
      <c r="D410" s="16" t="s">
        <v>64</v>
      </c>
      <c r="E410" s="17" t="s">
        <v>255</v>
      </c>
      <c r="F410" s="19" t="s">
        <v>34</v>
      </c>
      <c r="G410" s="19" t="n">
        <v>866282130529</v>
      </c>
      <c r="H410" s="17" t="s">
        <v>35</v>
      </c>
      <c r="I410" s="17" t="s">
        <v>72</v>
      </c>
      <c r="J410" s="17" t="s">
        <v>100</v>
      </c>
      <c r="K410" s="17" t="str">
        <f aca="false">VLOOKUP(J410,Sheet2!A:B,2,0)</f>
        <v>PIYUSH CHAVDA</v>
      </c>
      <c r="L410" s="17" t="n">
        <v>1</v>
      </c>
      <c r="M410" s="17" t="str">
        <f aca="false">VLOOKUP(L410,Sheet2!D:E,2,0)</f>
        <v>Power Supply Section</v>
      </c>
      <c r="N410" s="17" t="n">
        <v>1</v>
      </c>
      <c r="O410" s="17" t="str">
        <f aca="false">VLOOKUP(N410,Sheet2!G:H,2,0)</f>
        <v>Dead</v>
      </c>
      <c r="P410" s="17" t="n">
        <v>11</v>
      </c>
      <c r="Q410" s="17" t="str">
        <f aca="false">VLOOKUP(P410,Sheet2!J:K,2,0)</f>
        <v>IR Declared due to CID -TA</v>
      </c>
      <c r="R410" s="17" t="s">
        <v>35</v>
      </c>
      <c r="S410" s="17" t="str">
        <f aca="false">VLOOKUP(R410,Sheet2!N:O,2,0)</f>
        <v>IREPARABLE</v>
      </c>
      <c r="T410" s="18" t="str">
        <f aca="false">VLOOKUP(P410,Sheet2!Q:R,2,0)</f>
        <v>IR Normal - Track burn out</v>
      </c>
      <c r="U410" s="18" t="s">
        <v>199</v>
      </c>
      <c r="V410" s="17" t="n">
        <v>3</v>
      </c>
      <c r="W410" s="20" t="str">
        <f aca="false">VLOOKUP(V410,Sheet2!Q:R,2,0)</f>
        <v>IR CID - Tampered TrackOpen/Reworkdone </v>
      </c>
      <c r="X410" s="17" t="str">
        <f aca="false">J410</f>
        <v>A050</v>
      </c>
      <c r="Y410" s="17" t="str">
        <f aca="false">VLOOKUP(X410,Sheet2!A:B,2,0)</f>
        <v>PIYUSH CHAVDA</v>
      </c>
      <c r="Z410" s="17" t="s">
        <v>271</v>
      </c>
      <c r="AA410" s="17" t="s">
        <v>237</v>
      </c>
      <c r="AB410" s="17" t="s">
        <v>41</v>
      </c>
      <c r="AC410" s="0" t="str">
        <f aca="false">LEFT(G410,2)</f>
        <v>86</v>
      </c>
      <c r="AD410" s="0"/>
      <c r="AE410" s="21" t="s">
        <v>238</v>
      </c>
    </row>
    <row r="411" customFormat="false" ht="15" hidden="false" customHeight="false" outlineLevel="0" collapsed="false">
      <c r="A411" s="13" t="n">
        <f aca="false">1+A410</f>
        <v>409</v>
      </c>
      <c r="B411" s="14" t="n">
        <v>1009571862</v>
      </c>
      <c r="C411" s="17" t="s">
        <v>104</v>
      </c>
      <c r="D411" s="16" t="s">
        <v>154</v>
      </c>
      <c r="E411" s="17" t="s">
        <v>33</v>
      </c>
      <c r="F411" s="19" t="s">
        <v>34</v>
      </c>
      <c r="G411" s="19" t="n">
        <v>864329138159</v>
      </c>
      <c r="H411" s="17" t="s">
        <v>35</v>
      </c>
      <c r="I411" s="17" t="s">
        <v>72</v>
      </c>
      <c r="J411" s="17" t="s">
        <v>100</v>
      </c>
      <c r="K411" s="17" t="str">
        <f aca="false">VLOOKUP(J411,Sheet2!A:B,2,0)</f>
        <v>PIYUSH CHAVDA</v>
      </c>
      <c r="L411" s="17" t="n">
        <v>1</v>
      </c>
      <c r="M411" s="17" t="str">
        <f aca="false">VLOOKUP(L411,Sheet2!D:E,2,0)</f>
        <v>Power Supply Section</v>
      </c>
      <c r="N411" s="17" t="n">
        <v>1</v>
      </c>
      <c r="O411" s="17" t="str">
        <f aca="false">VLOOKUP(N411,Sheet2!G:H,2,0)</f>
        <v>Dead</v>
      </c>
      <c r="P411" s="17" t="n">
        <v>11</v>
      </c>
      <c r="Q411" s="17" t="str">
        <f aca="false">VLOOKUP(P411,Sheet2!J:K,2,0)</f>
        <v>IR Declared due to CID -TA</v>
      </c>
      <c r="R411" s="17" t="s">
        <v>35</v>
      </c>
      <c r="S411" s="17" t="str">
        <f aca="false">VLOOKUP(R411,Sheet2!N:O,2,0)</f>
        <v>IREPARABLE</v>
      </c>
      <c r="T411" s="18" t="str">
        <f aca="false">VLOOKUP(P411,Sheet2!Q:R,2,0)</f>
        <v>IR Normal - Track burn out</v>
      </c>
      <c r="U411" s="18" t="s">
        <v>122</v>
      </c>
      <c r="V411" s="17" t="n">
        <v>2</v>
      </c>
      <c r="W411" s="20" t="str">
        <f aca="false">VLOOKUP(V411,Sheet2!Q:R,2,0)</f>
        <v>IR CID -  Water log from other area</v>
      </c>
      <c r="X411" s="17" t="str">
        <f aca="false">J411</f>
        <v>A050</v>
      </c>
      <c r="Y411" s="17" t="str">
        <f aca="false">VLOOKUP(X411,Sheet2!A:B,2,0)</f>
        <v>PIYUSH CHAVDA</v>
      </c>
      <c r="Z411" s="17" t="s">
        <v>272</v>
      </c>
      <c r="AA411" s="17" t="s">
        <v>237</v>
      </c>
      <c r="AB411" s="17" t="s">
        <v>41</v>
      </c>
      <c r="AC411" s="0" t="str">
        <f aca="false">LEFT(G411,2)</f>
        <v>86</v>
      </c>
      <c r="AD411" s="0"/>
      <c r="AE411" s="21" t="s">
        <v>238</v>
      </c>
    </row>
    <row r="412" customFormat="false" ht="15" hidden="false" customHeight="false" outlineLevel="0" collapsed="false">
      <c r="A412" s="13" t="n">
        <f aca="false">1+A411</f>
        <v>410</v>
      </c>
      <c r="B412" s="14" t="n">
        <v>1009555888</v>
      </c>
      <c r="C412" s="17" t="s">
        <v>192</v>
      </c>
      <c r="D412" s="16" t="s">
        <v>64</v>
      </c>
      <c r="E412" s="17" t="s">
        <v>64</v>
      </c>
      <c r="F412" s="18" t="s">
        <v>70</v>
      </c>
      <c r="G412" s="19" t="n">
        <v>866021191873</v>
      </c>
      <c r="H412" s="17" t="s">
        <v>35</v>
      </c>
      <c r="I412" s="17" t="s">
        <v>72</v>
      </c>
      <c r="J412" s="17" t="s">
        <v>118</v>
      </c>
      <c r="K412" s="17" t="str">
        <f aca="false">VLOOKUP(J412,Sheet2!A:B,2,0)</f>
        <v>DEVENDRA RAJPUT</v>
      </c>
      <c r="L412" s="17" t="n">
        <v>13</v>
      </c>
      <c r="M412" s="17" t="str">
        <f aca="false">VLOOKUP(L412,Sheet2!D:E,2,0)</f>
        <v>Software</v>
      </c>
      <c r="N412" s="17" t="n">
        <v>33</v>
      </c>
      <c r="O412" s="17" t="str">
        <f aca="false">VLOOKUP(N412,Sheet2!G:H,2,0)</f>
        <v>Software download failure</v>
      </c>
      <c r="P412" s="17" t="n">
        <v>12</v>
      </c>
      <c r="Q412" s="17" t="str">
        <f aca="false">VLOOKUP(P412,Sheet2!J:K,2,0)</f>
        <v>IR Declared due to Others ( IR Normal)TB</v>
      </c>
      <c r="R412" s="17" t="s">
        <v>35</v>
      </c>
      <c r="S412" s="17" t="str">
        <f aca="false">VLOOKUP(R412,Sheet2!N:O,2,0)</f>
        <v>IREPARABLE</v>
      </c>
      <c r="T412" s="18" t="str">
        <f aca="false">VLOOKUP(P412,Sheet2!Q:R,2,0)</f>
        <v>IR Normal - BER to IR</v>
      </c>
      <c r="U412" s="18" t="s">
        <v>101</v>
      </c>
      <c r="V412" s="17" t="n">
        <v>8</v>
      </c>
      <c r="W412" s="20" t="str">
        <f aca="false">VLOOKUP(V412,Sheet2!Q:R,2,0)</f>
        <v>IR Normal -TrackRust/InternalDamage/open</v>
      </c>
      <c r="X412" s="17" t="str">
        <f aca="false">J412</f>
        <v>A053</v>
      </c>
      <c r="Y412" s="17" t="str">
        <f aca="false">VLOOKUP(X412,Sheet2!A:B,2,0)</f>
        <v>DEVENDRA RAJPUT</v>
      </c>
      <c r="Z412" s="17" t="s">
        <v>266</v>
      </c>
      <c r="AA412" s="17" t="s">
        <v>237</v>
      </c>
      <c r="AB412" s="17" t="s">
        <v>41</v>
      </c>
      <c r="AC412" s="0" t="str">
        <f aca="false">LEFT(G412,2)</f>
        <v>86</v>
      </c>
      <c r="AD412" s="0"/>
      <c r="AE412" s="21" t="s">
        <v>238</v>
      </c>
    </row>
    <row r="413" customFormat="false" ht="15" hidden="false" customHeight="false" outlineLevel="0" collapsed="false">
      <c r="A413" s="13" t="n">
        <f aca="false">1+A412</f>
        <v>411</v>
      </c>
      <c r="B413" s="14" t="n">
        <v>1009496100</v>
      </c>
      <c r="C413" s="17" t="s">
        <v>146</v>
      </c>
      <c r="D413" s="16" t="s">
        <v>64</v>
      </c>
      <c r="E413" s="17" t="s">
        <v>47</v>
      </c>
      <c r="F413" s="19" t="s">
        <v>34</v>
      </c>
      <c r="G413" s="19" t="n">
        <v>865300188337</v>
      </c>
      <c r="H413" s="17" t="s">
        <v>35</v>
      </c>
      <c r="I413" s="17" t="s">
        <v>72</v>
      </c>
      <c r="J413" s="17" t="s">
        <v>133</v>
      </c>
      <c r="K413" s="17" t="str">
        <f aca="false">VLOOKUP(J413,Sheet2!A:B,2,0)</f>
        <v>AKASH BAROT</v>
      </c>
      <c r="L413" s="17" t="n">
        <v>5</v>
      </c>
      <c r="M413" s="17" t="str">
        <f aca="false">VLOOKUP(L413,Sheet2!D:E,2,0)</f>
        <v>Main Processor CPU BGA</v>
      </c>
      <c r="N413" s="17" t="n">
        <v>1</v>
      </c>
      <c r="O413" s="17" t="str">
        <f aca="false">VLOOKUP(N413,Sheet2!G:H,2,0)</f>
        <v>Dead</v>
      </c>
      <c r="P413" s="17" t="n">
        <v>11</v>
      </c>
      <c r="Q413" s="17" t="str">
        <f aca="false">VLOOKUP(P413,Sheet2!J:K,2,0)</f>
        <v>IR Declared due to CID -TA</v>
      </c>
      <c r="R413" s="17" t="s">
        <v>35</v>
      </c>
      <c r="S413" s="17" t="str">
        <f aca="false">VLOOKUP(R413,Sheet2!N:O,2,0)</f>
        <v>IREPARABLE</v>
      </c>
      <c r="T413" s="18" t="str">
        <f aca="false">VLOOKUP(P413,Sheet2!Q:R,2,0)</f>
        <v>IR Normal - Track burn out</v>
      </c>
      <c r="U413" s="18" t="s">
        <v>122</v>
      </c>
      <c r="V413" s="17" t="n">
        <v>2</v>
      </c>
      <c r="W413" s="20" t="str">
        <f aca="false">VLOOKUP(V413,Sheet2!Q:R,2,0)</f>
        <v>IR CID -  Water log from other area</v>
      </c>
      <c r="X413" s="17" t="str">
        <f aca="false">J413</f>
        <v>A009</v>
      </c>
      <c r="Y413" s="17" t="str">
        <f aca="false">VLOOKUP(X413,Sheet2!A:B,2,0)</f>
        <v>AKASH BAROT</v>
      </c>
      <c r="Z413" s="17" t="s">
        <v>273</v>
      </c>
      <c r="AA413" s="17" t="s">
        <v>237</v>
      </c>
      <c r="AB413" s="17" t="s">
        <v>41</v>
      </c>
      <c r="AC413" s="0" t="str">
        <f aca="false">LEFT(G413,2)</f>
        <v>86</v>
      </c>
      <c r="AD413" s="0"/>
      <c r="AE413" s="21" t="s">
        <v>238</v>
      </c>
    </row>
    <row r="414" customFormat="false" ht="15" hidden="false" customHeight="false" outlineLevel="0" collapsed="false">
      <c r="A414" s="13" t="n">
        <f aca="false">1+A413</f>
        <v>412</v>
      </c>
      <c r="B414" s="14" t="n">
        <v>1009561231</v>
      </c>
      <c r="C414" s="17" t="s">
        <v>192</v>
      </c>
      <c r="D414" s="16" t="s">
        <v>131</v>
      </c>
      <c r="E414" s="17" t="s">
        <v>274</v>
      </c>
      <c r="F414" s="19" t="s">
        <v>34</v>
      </c>
      <c r="G414" s="19" t="n">
        <v>865318105943</v>
      </c>
      <c r="H414" s="17" t="s">
        <v>35</v>
      </c>
      <c r="I414" s="17" t="s">
        <v>72</v>
      </c>
      <c r="J414" s="17" t="s">
        <v>239</v>
      </c>
      <c r="K414" s="17" t="str">
        <f aca="false">VLOOKUP(J414,Sheet2!A:B,2,0)</f>
        <v>VASANT PARMAR</v>
      </c>
      <c r="L414" s="17" t="n">
        <v>5</v>
      </c>
      <c r="M414" s="17" t="str">
        <f aca="false">VLOOKUP(L414,Sheet2!D:E,2,0)</f>
        <v>Main Processor CPU BGA</v>
      </c>
      <c r="N414" s="17" t="n">
        <v>24</v>
      </c>
      <c r="O414" s="17" t="str">
        <f aca="false">VLOOKUP(N414,Sheet2!G:H,2,0)</f>
        <v>STB Auto moving -Stand by mode</v>
      </c>
      <c r="P414" s="17" t="n">
        <v>11</v>
      </c>
      <c r="Q414" s="17" t="str">
        <f aca="false">VLOOKUP(P414,Sheet2!J:K,2,0)</f>
        <v>IR Declared due to CID -TA</v>
      </c>
      <c r="R414" s="17" t="s">
        <v>35</v>
      </c>
      <c r="S414" s="17" t="str">
        <f aca="false">VLOOKUP(R414,Sheet2!N:O,2,0)</f>
        <v>IREPARABLE</v>
      </c>
      <c r="T414" s="18" t="str">
        <f aca="false">VLOOKUP(P414,Sheet2!Q:R,2,0)</f>
        <v>IR Normal - Track burn out</v>
      </c>
      <c r="U414" s="18" t="s">
        <v>122</v>
      </c>
      <c r="V414" s="17" t="n">
        <v>2</v>
      </c>
      <c r="W414" s="20" t="str">
        <f aca="false">VLOOKUP(V414,Sheet2!Q:R,2,0)</f>
        <v>IR CID -  Water log from other area</v>
      </c>
      <c r="X414" s="17" t="str">
        <f aca="false">J414</f>
        <v>A005</v>
      </c>
      <c r="Y414" s="17" t="str">
        <f aca="false">VLOOKUP(X414,Sheet2!A:B,2,0)</f>
        <v>VASANT PARMAR</v>
      </c>
      <c r="Z414" s="17" t="s">
        <v>265</v>
      </c>
      <c r="AA414" s="17" t="s">
        <v>237</v>
      </c>
      <c r="AB414" s="17" t="s">
        <v>41</v>
      </c>
      <c r="AC414" s="0" t="str">
        <f aca="false">LEFT(G414,2)</f>
        <v>86</v>
      </c>
      <c r="AD414" s="0"/>
      <c r="AE414" s="21" t="s">
        <v>238</v>
      </c>
    </row>
    <row r="415" customFormat="false" ht="15" hidden="false" customHeight="false" outlineLevel="0" collapsed="false">
      <c r="A415" s="13" t="n">
        <f aca="false">1+A414</f>
        <v>413</v>
      </c>
      <c r="B415" s="14" t="n">
        <v>1009498108</v>
      </c>
      <c r="C415" s="17" t="s">
        <v>146</v>
      </c>
      <c r="D415" s="16" t="s">
        <v>64</v>
      </c>
      <c r="E415" s="17" t="s">
        <v>47</v>
      </c>
      <c r="F415" s="19" t="s">
        <v>34</v>
      </c>
      <c r="G415" s="19" t="n">
        <v>867130125661</v>
      </c>
      <c r="H415" s="17" t="s">
        <v>35</v>
      </c>
      <c r="I415" s="17" t="s">
        <v>72</v>
      </c>
      <c r="J415" s="17" t="s">
        <v>239</v>
      </c>
      <c r="K415" s="17" t="str">
        <f aca="false">VLOOKUP(J415,Sheet2!A:B,2,0)</f>
        <v>VASANT PARMAR</v>
      </c>
      <c r="L415" s="17" t="n">
        <v>5</v>
      </c>
      <c r="M415" s="17" t="str">
        <f aca="false">VLOOKUP(L415,Sheet2!D:E,2,0)</f>
        <v>Main Processor CPU BGA</v>
      </c>
      <c r="N415" s="17" t="n">
        <v>1</v>
      </c>
      <c r="O415" s="17" t="str">
        <f aca="false">VLOOKUP(N415,Sheet2!G:H,2,0)</f>
        <v>Dead</v>
      </c>
      <c r="P415" s="17" t="n">
        <v>11</v>
      </c>
      <c r="Q415" s="17" t="str">
        <f aca="false">VLOOKUP(P415,Sheet2!J:K,2,0)</f>
        <v>IR Declared due to CID -TA</v>
      </c>
      <c r="R415" s="17" t="s">
        <v>35</v>
      </c>
      <c r="S415" s="17" t="str">
        <f aca="false">VLOOKUP(R415,Sheet2!N:O,2,0)</f>
        <v>IREPARABLE</v>
      </c>
      <c r="T415" s="18" t="str">
        <f aca="false">VLOOKUP(P415,Sheet2!Q:R,2,0)</f>
        <v>IR Normal - Track burn out</v>
      </c>
      <c r="U415" s="18" t="s">
        <v>122</v>
      </c>
      <c r="V415" s="17" t="n">
        <v>2</v>
      </c>
      <c r="W415" s="20" t="str">
        <f aca="false">VLOOKUP(V415,Sheet2!Q:R,2,0)</f>
        <v>IR CID -  Water log from other area</v>
      </c>
      <c r="X415" s="17" t="str">
        <f aca="false">J415</f>
        <v>A005</v>
      </c>
      <c r="Y415" s="17" t="str">
        <f aca="false">VLOOKUP(X415,Sheet2!A:B,2,0)</f>
        <v>VASANT PARMAR</v>
      </c>
      <c r="Z415" s="17" t="s">
        <v>222</v>
      </c>
      <c r="AA415" s="17" t="s">
        <v>237</v>
      </c>
      <c r="AB415" s="17" t="s">
        <v>41</v>
      </c>
      <c r="AC415" s="0" t="str">
        <f aca="false">LEFT(G415,2)</f>
        <v>86</v>
      </c>
      <c r="AD415" s="0"/>
      <c r="AE415" s="21" t="s">
        <v>238</v>
      </c>
    </row>
    <row r="416" customFormat="false" ht="15" hidden="false" customHeight="false" outlineLevel="0" collapsed="false">
      <c r="A416" s="13" t="n">
        <f aca="false">1+A415</f>
        <v>414</v>
      </c>
      <c r="B416" s="14" t="n">
        <v>1009558601</v>
      </c>
      <c r="C416" s="17" t="s">
        <v>192</v>
      </c>
      <c r="D416" s="16" t="s">
        <v>64</v>
      </c>
      <c r="E416" s="17" t="s">
        <v>64</v>
      </c>
      <c r="F416" s="18" t="s">
        <v>70</v>
      </c>
      <c r="G416" s="19" t="n">
        <v>866342272758</v>
      </c>
      <c r="H416" s="17" t="s">
        <v>35</v>
      </c>
      <c r="I416" s="17" t="s">
        <v>72</v>
      </c>
      <c r="J416" s="17" t="s">
        <v>241</v>
      </c>
      <c r="K416" s="17" t="str">
        <f aca="false">VLOOKUP(J416,Sheet2!A:B,2,0)</f>
        <v>NILESH NAGAR</v>
      </c>
      <c r="L416" s="17" t="n">
        <v>5</v>
      </c>
      <c r="M416" s="17" t="str">
        <f aca="false">VLOOKUP(L416,Sheet2!D:E,2,0)</f>
        <v>Main Processor CPU BGA</v>
      </c>
      <c r="N416" s="17" t="n">
        <v>1</v>
      </c>
      <c r="O416" s="17" t="str">
        <f aca="false">VLOOKUP(N416,Sheet2!G:H,2,0)</f>
        <v>Dead</v>
      </c>
      <c r="P416" s="17" t="n">
        <v>11</v>
      </c>
      <c r="Q416" s="17" t="str">
        <f aca="false">VLOOKUP(P416,Sheet2!J:K,2,0)</f>
        <v>IR Declared due to CID -TA</v>
      </c>
      <c r="R416" s="17" t="s">
        <v>35</v>
      </c>
      <c r="S416" s="17" t="str">
        <f aca="false">VLOOKUP(R416,Sheet2!N:O,2,0)</f>
        <v>IREPARABLE</v>
      </c>
      <c r="T416" s="18" t="str">
        <f aca="false">VLOOKUP(P416,Sheet2!Q:R,2,0)</f>
        <v>IR Normal - Track burn out</v>
      </c>
      <c r="U416" s="18" t="s">
        <v>122</v>
      </c>
      <c r="V416" s="17" t="n">
        <v>2</v>
      </c>
      <c r="W416" s="20" t="str">
        <f aca="false">VLOOKUP(V416,Sheet2!Q:R,2,0)</f>
        <v>IR CID -  Water log from other area</v>
      </c>
      <c r="X416" s="17" t="str">
        <f aca="false">J416</f>
        <v>A008</v>
      </c>
      <c r="Y416" s="17" t="str">
        <f aca="false">VLOOKUP(X416,Sheet2!A:B,2,0)</f>
        <v>NILESH NAGAR</v>
      </c>
      <c r="Z416" s="17" t="s">
        <v>275</v>
      </c>
      <c r="AA416" s="17" t="s">
        <v>237</v>
      </c>
      <c r="AB416" s="17" t="s">
        <v>41</v>
      </c>
      <c r="AC416" s="0" t="str">
        <f aca="false">LEFT(G416,2)</f>
        <v>86</v>
      </c>
      <c r="AD416" s="0"/>
      <c r="AE416" s="21" t="s">
        <v>238</v>
      </c>
    </row>
    <row r="417" customFormat="false" ht="15" hidden="false" customHeight="false" outlineLevel="0" collapsed="false">
      <c r="A417" s="13" t="n">
        <f aca="false">1+A416</f>
        <v>415</v>
      </c>
      <c r="B417" s="14" t="n">
        <v>1009575922</v>
      </c>
      <c r="C417" s="17" t="s">
        <v>104</v>
      </c>
      <c r="D417" s="16" t="s">
        <v>64</v>
      </c>
      <c r="E417" s="17" t="s">
        <v>64</v>
      </c>
      <c r="F417" s="18" t="s">
        <v>70</v>
      </c>
      <c r="G417" s="19" t="n">
        <v>867154120267</v>
      </c>
      <c r="H417" s="17" t="s">
        <v>35</v>
      </c>
      <c r="I417" s="17" t="s">
        <v>72</v>
      </c>
      <c r="J417" s="17" t="s">
        <v>241</v>
      </c>
      <c r="K417" s="17" t="str">
        <f aca="false">VLOOKUP(J417,Sheet2!A:B,2,0)</f>
        <v>NILESH NAGAR</v>
      </c>
      <c r="L417" s="17" t="n">
        <v>5</v>
      </c>
      <c r="M417" s="17" t="str">
        <f aca="false">VLOOKUP(L417,Sheet2!D:E,2,0)</f>
        <v>Main Processor CPU BGA</v>
      </c>
      <c r="N417" s="17" t="n">
        <v>1</v>
      </c>
      <c r="O417" s="17" t="str">
        <f aca="false">VLOOKUP(N417,Sheet2!G:H,2,0)</f>
        <v>Dead</v>
      </c>
      <c r="P417" s="17" t="n">
        <v>11</v>
      </c>
      <c r="Q417" s="17" t="str">
        <f aca="false">VLOOKUP(P417,Sheet2!J:K,2,0)</f>
        <v>IR Declared due to CID -TA</v>
      </c>
      <c r="R417" s="17" t="s">
        <v>35</v>
      </c>
      <c r="S417" s="17" t="str">
        <f aca="false">VLOOKUP(R417,Sheet2!N:O,2,0)</f>
        <v>IREPARABLE</v>
      </c>
      <c r="T417" s="18" t="str">
        <f aca="false">VLOOKUP(P417,Sheet2!Q:R,2,0)</f>
        <v>IR Normal - Track burn out</v>
      </c>
      <c r="U417" s="18" t="s">
        <v>122</v>
      </c>
      <c r="V417" s="17" t="n">
        <v>2</v>
      </c>
      <c r="W417" s="20" t="str">
        <f aca="false">VLOOKUP(V417,Sheet2!Q:R,2,0)</f>
        <v>IR CID -  Water log from other area</v>
      </c>
      <c r="X417" s="17" t="str">
        <f aca="false">J417</f>
        <v>A008</v>
      </c>
      <c r="Y417" s="17" t="str">
        <f aca="false">VLOOKUP(X417,Sheet2!A:B,2,0)</f>
        <v>NILESH NAGAR</v>
      </c>
      <c r="Z417" s="17" t="s">
        <v>276</v>
      </c>
      <c r="AA417" s="17" t="s">
        <v>237</v>
      </c>
      <c r="AB417" s="17" t="s">
        <v>41</v>
      </c>
      <c r="AC417" s="0" t="str">
        <f aca="false">LEFT(G417,2)</f>
        <v>86</v>
      </c>
      <c r="AD417" s="0"/>
      <c r="AE417" s="21" t="s">
        <v>238</v>
      </c>
    </row>
    <row r="418" customFormat="false" ht="15" hidden="false" customHeight="false" outlineLevel="0" collapsed="false">
      <c r="A418" s="13" t="n">
        <f aca="false">1+A417</f>
        <v>416</v>
      </c>
      <c r="B418" s="14" t="n">
        <v>1009607979</v>
      </c>
      <c r="C418" s="17" t="s">
        <v>181</v>
      </c>
      <c r="D418" s="16" t="s">
        <v>113</v>
      </c>
      <c r="E418" s="17" t="s">
        <v>114</v>
      </c>
      <c r="F418" s="19" t="s">
        <v>34</v>
      </c>
      <c r="G418" s="19" t="n">
        <v>865171174119</v>
      </c>
      <c r="H418" s="17" t="s">
        <v>35</v>
      </c>
      <c r="I418" s="17" t="s">
        <v>72</v>
      </c>
      <c r="J418" s="17" t="s">
        <v>241</v>
      </c>
      <c r="K418" s="17" t="str">
        <f aca="false">VLOOKUP(J418,Sheet2!A:B,2,0)</f>
        <v>NILESH NAGAR</v>
      </c>
      <c r="L418" s="17" t="n">
        <v>5</v>
      </c>
      <c r="M418" s="17" t="str">
        <f aca="false">VLOOKUP(L418,Sheet2!D:E,2,0)</f>
        <v>Main Processor CPU BGA</v>
      </c>
      <c r="N418" s="17" t="n">
        <v>1</v>
      </c>
      <c r="O418" s="17" t="str">
        <f aca="false">VLOOKUP(N418,Sheet2!G:H,2,0)</f>
        <v>Dead</v>
      </c>
      <c r="P418" s="17" t="n">
        <v>12</v>
      </c>
      <c r="Q418" s="17" t="str">
        <f aca="false">VLOOKUP(P418,Sheet2!J:K,2,0)</f>
        <v>IR Declared due to Others ( IR Normal)TB</v>
      </c>
      <c r="R418" s="17" t="s">
        <v>35</v>
      </c>
      <c r="S418" s="17" t="str">
        <f aca="false">VLOOKUP(R418,Sheet2!N:O,2,0)</f>
        <v>IREPARABLE</v>
      </c>
      <c r="T418" s="18" t="str">
        <f aca="false">VLOOKUP(P418,Sheet2!Q:R,2,0)</f>
        <v>IR Normal - BER to IR</v>
      </c>
      <c r="U418" s="18" t="s">
        <v>101</v>
      </c>
      <c r="V418" s="17" t="n">
        <v>8</v>
      </c>
      <c r="W418" s="20" t="str">
        <f aca="false">VLOOKUP(V418,Sheet2!Q:R,2,0)</f>
        <v>IR Normal -TrackRust/InternalDamage/open</v>
      </c>
      <c r="X418" s="17" t="str">
        <f aca="false">J418</f>
        <v>A008</v>
      </c>
      <c r="Y418" s="17" t="str">
        <f aca="false">VLOOKUP(X418,Sheet2!A:B,2,0)</f>
        <v>NILESH NAGAR</v>
      </c>
      <c r="Z418" s="17" t="s">
        <v>277</v>
      </c>
      <c r="AA418" s="17" t="s">
        <v>237</v>
      </c>
      <c r="AB418" s="17" t="s">
        <v>41</v>
      </c>
      <c r="AC418" s="0" t="str">
        <f aca="false">LEFT(G418,2)</f>
        <v>86</v>
      </c>
      <c r="AD418" s="0"/>
      <c r="AE418" s="21" t="s">
        <v>238</v>
      </c>
    </row>
    <row r="419" customFormat="false" ht="15" hidden="false" customHeight="false" outlineLevel="0" collapsed="false">
      <c r="A419" s="13" t="n">
        <f aca="false">1+A418</f>
        <v>417</v>
      </c>
      <c r="B419" s="14" t="n">
        <v>1009625520</v>
      </c>
      <c r="C419" s="17" t="s">
        <v>163</v>
      </c>
      <c r="D419" s="16" t="s">
        <v>64</v>
      </c>
      <c r="E419" s="17" t="s">
        <v>47</v>
      </c>
      <c r="F419" s="19" t="s">
        <v>34</v>
      </c>
      <c r="G419" s="19" t="n">
        <v>866335199919</v>
      </c>
      <c r="H419" s="17" t="s">
        <v>35</v>
      </c>
      <c r="I419" s="17" t="s">
        <v>72</v>
      </c>
      <c r="J419" s="17" t="s">
        <v>118</v>
      </c>
      <c r="K419" s="17" t="str">
        <f aca="false">VLOOKUP(J419,Sheet2!A:B,2,0)</f>
        <v>DEVENDRA RAJPUT</v>
      </c>
      <c r="L419" s="17" t="n">
        <v>5</v>
      </c>
      <c r="M419" s="17" t="str">
        <f aca="false">VLOOKUP(L419,Sheet2!D:E,2,0)</f>
        <v>Main Processor CPU BGA</v>
      </c>
      <c r="N419" s="17" t="n">
        <v>24</v>
      </c>
      <c r="O419" s="17" t="str">
        <f aca="false">VLOOKUP(N419,Sheet2!G:H,2,0)</f>
        <v>STB Auto moving -Stand by mode</v>
      </c>
      <c r="P419" s="17" t="n">
        <v>12</v>
      </c>
      <c r="Q419" s="17" t="str">
        <f aca="false">VLOOKUP(P419,Sheet2!J:K,2,0)</f>
        <v>IR Declared due to Others ( IR Normal)TB</v>
      </c>
      <c r="R419" s="17" t="s">
        <v>35</v>
      </c>
      <c r="S419" s="17" t="str">
        <f aca="false">VLOOKUP(R419,Sheet2!N:O,2,0)</f>
        <v>IREPARABLE</v>
      </c>
      <c r="T419" s="18" t="str">
        <f aca="false">VLOOKUP(P419,Sheet2!Q:R,2,0)</f>
        <v>IR Normal - BER to IR</v>
      </c>
      <c r="U419" s="18" t="s">
        <v>101</v>
      </c>
      <c r="V419" s="17" t="n">
        <v>8</v>
      </c>
      <c r="W419" s="20" t="str">
        <f aca="false">VLOOKUP(V419,Sheet2!Q:R,2,0)</f>
        <v>IR Normal -TrackRust/InternalDamage/open</v>
      </c>
      <c r="X419" s="17" t="str">
        <f aca="false">J419</f>
        <v>A053</v>
      </c>
      <c r="Y419" s="17" t="str">
        <f aca="false">VLOOKUP(X419,Sheet2!A:B,2,0)</f>
        <v>DEVENDRA RAJPUT</v>
      </c>
      <c r="Z419" s="17" t="s">
        <v>259</v>
      </c>
      <c r="AA419" s="17" t="s">
        <v>237</v>
      </c>
      <c r="AB419" s="17" t="s">
        <v>41</v>
      </c>
      <c r="AC419" s="0" t="str">
        <f aca="false">LEFT(G419,2)</f>
        <v>86</v>
      </c>
      <c r="AD419" s="0"/>
      <c r="AE419" s="21" t="s">
        <v>238</v>
      </c>
    </row>
    <row r="420" customFormat="false" ht="15" hidden="false" customHeight="false" outlineLevel="0" collapsed="false">
      <c r="A420" s="13" t="n">
        <f aca="false">1+A419</f>
        <v>418</v>
      </c>
      <c r="B420" s="14" t="n">
        <v>1009355107</v>
      </c>
      <c r="C420" s="17" t="s">
        <v>278</v>
      </c>
      <c r="D420" s="16" t="s">
        <v>64</v>
      </c>
      <c r="E420" s="17" t="s">
        <v>64</v>
      </c>
      <c r="F420" s="18" t="s">
        <v>70</v>
      </c>
      <c r="G420" s="19" t="n">
        <v>866148125838</v>
      </c>
      <c r="H420" s="17" t="s">
        <v>35</v>
      </c>
      <c r="I420" s="17" t="s">
        <v>72</v>
      </c>
      <c r="J420" s="17" t="s">
        <v>100</v>
      </c>
      <c r="K420" s="17" t="str">
        <f aca="false">VLOOKUP(J420,Sheet2!A:B,2,0)</f>
        <v>PIYUSH CHAVDA</v>
      </c>
      <c r="L420" s="17" t="n">
        <v>5</v>
      </c>
      <c r="M420" s="17" t="str">
        <f aca="false">VLOOKUP(L420,Sheet2!D:E,2,0)</f>
        <v>Main Processor CPU BGA</v>
      </c>
      <c r="N420" s="17" t="n">
        <v>1</v>
      </c>
      <c r="O420" s="17" t="str">
        <f aca="false">VLOOKUP(N420,Sheet2!G:H,2,0)</f>
        <v>Dead</v>
      </c>
      <c r="P420" s="17" t="n">
        <v>11</v>
      </c>
      <c r="Q420" s="17" t="str">
        <f aca="false">VLOOKUP(P420,Sheet2!J:K,2,0)</f>
        <v>IR Declared due to CID -TA</v>
      </c>
      <c r="R420" s="17" t="s">
        <v>35</v>
      </c>
      <c r="S420" s="17" t="str">
        <f aca="false">VLOOKUP(R420,Sheet2!N:O,2,0)</f>
        <v>IREPARABLE</v>
      </c>
      <c r="T420" s="18" t="str">
        <f aca="false">VLOOKUP(P420,Sheet2!Q:R,2,0)</f>
        <v>IR Normal - Track burn out</v>
      </c>
      <c r="U420" s="18" t="s">
        <v>199</v>
      </c>
      <c r="V420" s="17" t="n">
        <v>3</v>
      </c>
      <c r="W420" s="20" t="str">
        <f aca="false">VLOOKUP(V420,Sheet2!Q:R,2,0)</f>
        <v>IR CID - Tampered TrackOpen/Reworkdone </v>
      </c>
      <c r="X420" s="17" t="str">
        <f aca="false">J420</f>
        <v>A050</v>
      </c>
      <c r="Y420" s="17" t="str">
        <f aca="false">VLOOKUP(X420,Sheet2!A:B,2,0)</f>
        <v>PIYUSH CHAVDA</v>
      </c>
      <c r="Z420" s="17" t="s">
        <v>279</v>
      </c>
      <c r="AA420" s="17" t="s">
        <v>237</v>
      </c>
      <c r="AB420" s="17" t="s">
        <v>41</v>
      </c>
      <c r="AC420" s="0" t="str">
        <f aca="false">LEFT(G420,2)</f>
        <v>86</v>
      </c>
      <c r="AD420" s="0"/>
      <c r="AE420" s="21" t="s">
        <v>238</v>
      </c>
    </row>
    <row r="421" customFormat="false" ht="15" hidden="false" customHeight="false" outlineLevel="0" collapsed="false">
      <c r="A421" s="13" t="n">
        <f aca="false">1+A420</f>
        <v>419</v>
      </c>
      <c r="B421" s="14" t="n">
        <v>1009603398</v>
      </c>
      <c r="C421" s="17" t="s">
        <v>181</v>
      </c>
      <c r="D421" s="16" t="s">
        <v>64</v>
      </c>
      <c r="E421" s="17" t="s">
        <v>64</v>
      </c>
      <c r="F421" s="18" t="s">
        <v>70</v>
      </c>
      <c r="G421" s="19" t="n">
        <v>867214124366</v>
      </c>
      <c r="H421" s="17" t="s">
        <v>35</v>
      </c>
      <c r="I421" s="17" t="s">
        <v>72</v>
      </c>
      <c r="J421" s="17" t="s">
        <v>121</v>
      </c>
      <c r="K421" s="17" t="str">
        <f aca="false">VLOOKUP(J421,Sheet2!A:B,2,0)</f>
        <v>SHANI GOHIL</v>
      </c>
      <c r="L421" s="17" t="n">
        <v>1</v>
      </c>
      <c r="M421" s="17" t="str">
        <f aca="false">VLOOKUP(L421,Sheet2!D:E,2,0)</f>
        <v>Power Supply Section</v>
      </c>
      <c r="N421" s="17" t="n">
        <v>2</v>
      </c>
      <c r="O421" s="17" t="str">
        <f aca="false">VLOOKUP(N421,Sheet2!G:H,2,0)</f>
        <v>Dead Intermittent</v>
      </c>
      <c r="P421" s="17" t="n">
        <v>12</v>
      </c>
      <c r="Q421" s="17" t="str">
        <f aca="false">VLOOKUP(P421,Sheet2!J:K,2,0)</f>
        <v>IR Declared due to Others ( IR Normal)TB</v>
      </c>
      <c r="R421" s="17" t="s">
        <v>35</v>
      </c>
      <c r="S421" s="17" t="str">
        <f aca="false">VLOOKUP(R421,Sheet2!N:O,2,0)</f>
        <v>IREPARABLE</v>
      </c>
      <c r="T421" s="18" t="str">
        <f aca="false">VLOOKUP(P421,Sheet2!Q:R,2,0)</f>
        <v>IR Normal - BER to IR</v>
      </c>
      <c r="U421" s="20" t="s">
        <v>110</v>
      </c>
      <c r="V421" s="17" t="n">
        <v>9</v>
      </c>
      <c r="W421" s="20" t="str">
        <f aca="false">VLOOKUP(V421,Sheet2!Q:R,2,0)</f>
        <v>IR Normal - Multiple time repair </v>
      </c>
      <c r="X421" s="17" t="str">
        <f aca="false">J421</f>
        <v>A063</v>
      </c>
      <c r="Y421" s="17" t="str">
        <f aca="false">VLOOKUP(X421,Sheet2!A:B,2,0)</f>
        <v>SHANI GOHIL</v>
      </c>
      <c r="Z421" s="17" t="s">
        <v>222</v>
      </c>
      <c r="AA421" s="17" t="s">
        <v>237</v>
      </c>
      <c r="AB421" s="17" t="s">
        <v>41</v>
      </c>
      <c r="AC421" s="0" t="str">
        <f aca="false">LEFT(G421,2)</f>
        <v>86</v>
      </c>
      <c r="AD421" s="0"/>
      <c r="AE421" s="21" t="s">
        <v>238</v>
      </c>
    </row>
    <row r="422" customFormat="false" ht="15" hidden="false" customHeight="false" outlineLevel="0" collapsed="false">
      <c r="A422" s="13" t="n">
        <f aca="false">1+A421</f>
        <v>420</v>
      </c>
      <c r="B422" s="14" t="n">
        <v>1009504247</v>
      </c>
      <c r="C422" s="17" t="s">
        <v>95</v>
      </c>
      <c r="D422" s="16" t="s">
        <v>190</v>
      </c>
      <c r="E422" s="17" t="s">
        <v>33</v>
      </c>
      <c r="F422" s="19" t="s">
        <v>34</v>
      </c>
      <c r="G422" s="19" t="n">
        <v>864351151237</v>
      </c>
      <c r="H422" s="17" t="s">
        <v>35</v>
      </c>
      <c r="I422" s="17" t="s">
        <v>72</v>
      </c>
      <c r="J422" s="17" t="s">
        <v>118</v>
      </c>
      <c r="K422" s="17" t="str">
        <f aca="false">VLOOKUP(J422,Sheet2!A:B,2,0)</f>
        <v>DEVENDRA RAJPUT</v>
      </c>
      <c r="L422" s="17" t="n">
        <v>5</v>
      </c>
      <c r="M422" s="17" t="str">
        <f aca="false">VLOOKUP(L422,Sheet2!D:E,2,0)</f>
        <v>Main Processor CPU BGA</v>
      </c>
      <c r="N422" s="17" t="n">
        <v>1</v>
      </c>
      <c r="O422" s="17" t="str">
        <f aca="false">VLOOKUP(N422,Sheet2!G:H,2,0)</f>
        <v>Dead</v>
      </c>
      <c r="P422" s="17" t="n">
        <v>11</v>
      </c>
      <c r="Q422" s="17" t="str">
        <f aca="false">VLOOKUP(P422,Sheet2!J:K,2,0)</f>
        <v>IR Declared due to CID -TA</v>
      </c>
      <c r="R422" s="17" t="s">
        <v>35</v>
      </c>
      <c r="S422" s="17" t="str">
        <f aca="false">VLOOKUP(R422,Sheet2!N:O,2,0)</f>
        <v>IREPARABLE</v>
      </c>
      <c r="T422" s="18" t="str">
        <f aca="false">VLOOKUP(P422,Sheet2!Q:R,2,0)</f>
        <v>IR Normal - Track burn out</v>
      </c>
      <c r="U422" s="18" t="s">
        <v>122</v>
      </c>
      <c r="V422" s="17" t="n">
        <v>2</v>
      </c>
      <c r="W422" s="20" t="str">
        <f aca="false">VLOOKUP(V422,Sheet2!Q:R,2,0)</f>
        <v>IR CID -  Water log from other area</v>
      </c>
      <c r="X422" s="17" t="str">
        <f aca="false">J422</f>
        <v>A053</v>
      </c>
      <c r="Y422" s="17" t="str">
        <f aca="false">VLOOKUP(X422,Sheet2!A:B,2,0)</f>
        <v>DEVENDRA RAJPUT</v>
      </c>
      <c r="Z422" s="17" t="s">
        <v>222</v>
      </c>
      <c r="AA422" s="17" t="s">
        <v>237</v>
      </c>
      <c r="AB422" s="17" t="s">
        <v>41</v>
      </c>
      <c r="AC422" s="0" t="str">
        <f aca="false">LEFT(G422,2)</f>
        <v>86</v>
      </c>
      <c r="AD422" s="0"/>
      <c r="AE422" s="21" t="s">
        <v>238</v>
      </c>
    </row>
    <row r="423" customFormat="false" ht="15" hidden="false" customHeight="false" outlineLevel="0" collapsed="false">
      <c r="A423" s="13" t="n">
        <f aca="false">1+A422</f>
        <v>421</v>
      </c>
      <c r="B423" s="14" t="n">
        <v>1009462183</v>
      </c>
      <c r="C423" s="17" t="s">
        <v>55</v>
      </c>
      <c r="D423" s="16" t="s">
        <v>280</v>
      </c>
      <c r="E423" s="17" t="s">
        <v>47</v>
      </c>
      <c r="F423" s="19" t="s">
        <v>34</v>
      </c>
      <c r="G423" s="19" t="n">
        <v>868166193144</v>
      </c>
      <c r="H423" s="17" t="s">
        <v>35</v>
      </c>
      <c r="I423" s="17" t="s">
        <v>72</v>
      </c>
      <c r="J423" s="17" t="s">
        <v>111</v>
      </c>
      <c r="K423" s="17" t="str">
        <f aca="false">VLOOKUP(J423,Sheet2!A:B,2,0)</f>
        <v>NITIN PRANAMI</v>
      </c>
      <c r="L423" s="17" t="n">
        <v>5</v>
      </c>
      <c r="M423" s="17" t="str">
        <f aca="false">VLOOKUP(L423,Sheet2!D:E,2,0)</f>
        <v>Main Processor CPU BGA</v>
      </c>
      <c r="N423" s="17" t="n">
        <v>24</v>
      </c>
      <c r="O423" s="17" t="str">
        <f aca="false">VLOOKUP(N423,Sheet2!G:H,2,0)</f>
        <v>STB Auto moving -Stand by mode</v>
      </c>
      <c r="P423" s="17" t="n">
        <v>11</v>
      </c>
      <c r="Q423" s="17" t="str">
        <f aca="false">VLOOKUP(P423,Sheet2!J:K,2,0)</f>
        <v>IR Declared due to CID -TA</v>
      </c>
      <c r="R423" s="17" t="s">
        <v>35</v>
      </c>
      <c r="S423" s="17" t="str">
        <f aca="false">VLOOKUP(R423,Sheet2!N:O,2,0)</f>
        <v>IREPARABLE</v>
      </c>
      <c r="T423" s="18" t="str">
        <f aca="false">VLOOKUP(P423,Sheet2!Q:R,2,0)</f>
        <v>IR Normal - Track burn out</v>
      </c>
      <c r="U423" s="18" t="s">
        <v>122</v>
      </c>
      <c r="V423" s="17" t="n">
        <v>2</v>
      </c>
      <c r="W423" s="20" t="str">
        <f aca="false">VLOOKUP(V423,Sheet2!Q:R,2,0)</f>
        <v>IR CID -  Water log from other area</v>
      </c>
      <c r="X423" s="17" t="str">
        <f aca="false">J423</f>
        <v>A031</v>
      </c>
      <c r="Y423" s="17" t="str">
        <f aca="false">VLOOKUP(X423,Sheet2!A:B,2,0)</f>
        <v>NITIN PRANAMI</v>
      </c>
      <c r="Z423" s="17" t="s">
        <v>112</v>
      </c>
      <c r="AA423" s="17" t="s">
        <v>237</v>
      </c>
      <c r="AB423" s="17" t="s">
        <v>41</v>
      </c>
      <c r="AC423" s="0" t="str">
        <f aca="false">LEFT(G423,2)</f>
        <v>86</v>
      </c>
      <c r="AD423" s="0"/>
      <c r="AE423" s="21" t="s">
        <v>238</v>
      </c>
    </row>
    <row r="424" customFormat="false" ht="15" hidden="false" customHeight="false" outlineLevel="0" collapsed="false">
      <c r="A424" s="13" t="n">
        <f aca="false">1+A423</f>
        <v>422</v>
      </c>
      <c r="B424" s="14" t="n">
        <v>1009505717</v>
      </c>
      <c r="C424" s="17" t="s">
        <v>95</v>
      </c>
      <c r="D424" s="16" t="s">
        <v>281</v>
      </c>
      <c r="E424" s="17" t="s">
        <v>47</v>
      </c>
      <c r="F424" s="19" t="s">
        <v>34</v>
      </c>
      <c r="G424" s="19" t="n">
        <v>865230194900</v>
      </c>
      <c r="H424" s="17" t="s">
        <v>35</v>
      </c>
      <c r="I424" s="17" t="s">
        <v>72</v>
      </c>
      <c r="J424" s="17" t="s">
        <v>239</v>
      </c>
      <c r="K424" s="17" t="str">
        <f aca="false">VLOOKUP(J424,Sheet2!A:B,2,0)</f>
        <v>VASANT PARMAR</v>
      </c>
      <c r="L424" s="17" t="n">
        <v>5</v>
      </c>
      <c r="M424" s="17" t="str">
        <f aca="false">VLOOKUP(L424,Sheet2!D:E,2,0)</f>
        <v>Main Processor CPU BGA</v>
      </c>
      <c r="N424" s="17" t="n">
        <v>1</v>
      </c>
      <c r="O424" s="17" t="str">
        <f aca="false">VLOOKUP(N424,Sheet2!G:H,2,0)</f>
        <v>Dead</v>
      </c>
      <c r="P424" s="17" t="n">
        <v>11</v>
      </c>
      <c r="Q424" s="17" t="str">
        <f aca="false">VLOOKUP(P424,Sheet2!J:K,2,0)</f>
        <v>IR Declared due to CID -TA</v>
      </c>
      <c r="R424" s="17" t="s">
        <v>35</v>
      </c>
      <c r="S424" s="17" t="str">
        <f aca="false">VLOOKUP(R424,Sheet2!N:O,2,0)</f>
        <v>IREPARABLE</v>
      </c>
      <c r="T424" s="18" t="str">
        <f aca="false">VLOOKUP(P424,Sheet2!Q:R,2,0)</f>
        <v>IR Normal - Track burn out</v>
      </c>
      <c r="U424" s="18" t="s">
        <v>122</v>
      </c>
      <c r="V424" s="17" t="n">
        <v>2</v>
      </c>
      <c r="W424" s="20" t="str">
        <f aca="false">VLOOKUP(V424,Sheet2!Q:R,2,0)</f>
        <v>IR CID -  Water log from other area</v>
      </c>
      <c r="X424" s="17" t="str">
        <f aca="false">J424</f>
        <v>A005</v>
      </c>
      <c r="Y424" s="17" t="str">
        <f aca="false">VLOOKUP(X424,Sheet2!A:B,2,0)</f>
        <v>VASANT PARMAR</v>
      </c>
      <c r="Z424" s="17" t="s">
        <v>222</v>
      </c>
      <c r="AA424" s="17" t="s">
        <v>237</v>
      </c>
      <c r="AB424" s="17" t="s">
        <v>41</v>
      </c>
      <c r="AC424" s="0" t="str">
        <f aca="false">LEFT(G424,2)</f>
        <v>86</v>
      </c>
      <c r="AD424" s="0"/>
      <c r="AE424" s="21" t="s">
        <v>238</v>
      </c>
    </row>
    <row r="425" customFormat="false" ht="15" hidden="false" customHeight="false" outlineLevel="0" collapsed="false">
      <c r="A425" s="13" t="n">
        <f aca="false">1+A424</f>
        <v>423</v>
      </c>
      <c r="B425" s="14" t="n">
        <v>1009568248</v>
      </c>
      <c r="C425" s="17" t="s">
        <v>102</v>
      </c>
      <c r="D425" s="16" t="s">
        <v>205</v>
      </c>
      <c r="E425" s="17" t="s">
        <v>33</v>
      </c>
      <c r="F425" s="19" t="s">
        <v>34</v>
      </c>
      <c r="G425" s="19" t="n">
        <v>866082117924</v>
      </c>
      <c r="H425" s="17" t="s">
        <v>35</v>
      </c>
      <c r="I425" s="17" t="s">
        <v>72</v>
      </c>
      <c r="J425" s="17" t="s">
        <v>111</v>
      </c>
      <c r="K425" s="17" t="str">
        <f aca="false">VLOOKUP(J425,Sheet2!A:B,2,0)</f>
        <v>NITIN PRANAMI</v>
      </c>
      <c r="L425" s="17" t="n">
        <v>2</v>
      </c>
      <c r="M425" s="17" t="str">
        <f aca="false">VLOOKUP(L425,Sheet2!D:E,2,0)</f>
        <v>Tuner Section</v>
      </c>
      <c r="N425" s="17" t="n">
        <v>6</v>
      </c>
      <c r="O425" s="17" t="str">
        <f aca="false">VLOOKUP(N425,Sheet2!G:H,2,0)</f>
        <v>No Signal</v>
      </c>
      <c r="P425" s="17" t="n">
        <v>11</v>
      </c>
      <c r="Q425" s="17" t="str">
        <f aca="false">VLOOKUP(P425,Sheet2!J:K,2,0)</f>
        <v>IR Declared due to CID -TA</v>
      </c>
      <c r="R425" s="17" t="s">
        <v>35</v>
      </c>
      <c r="S425" s="17" t="str">
        <f aca="false">VLOOKUP(R425,Sheet2!N:O,2,0)</f>
        <v>IREPARABLE</v>
      </c>
      <c r="T425" s="18" t="str">
        <f aca="false">VLOOKUP(P425,Sheet2!Q:R,2,0)</f>
        <v>IR Normal - Track burn out</v>
      </c>
      <c r="U425" s="18" t="s">
        <v>122</v>
      </c>
      <c r="V425" s="17" t="n">
        <v>2</v>
      </c>
      <c r="W425" s="20" t="str">
        <f aca="false">VLOOKUP(V425,Sheet2!Q:R,2,0)</f>
        <v>IR CID -  Water log from other area</v>
      </c>
      <c r="X425" s="17" t="str">
        <f aca="false">J425</f>
        <v>A031</v>
      </c>
      <c r="Y425" s="17" t="str">
        <f aca="false">VLOOKUP(X425,Sheet2!A:B,2,0)</f>
        <v>NITIN PRANAMI</v>
      </c>
      <c r="Z425" s="17" t="s">
        <v>282</v>
      </c>
      <c r="AA425" s="17" t="s">
        <v>237</v>
      </c>
      <c r="AB425" s="17" t="s">
        <v>41</v>
      </c>
      <c r="AC425" s="0" t="str">
        <f aca="false">LEFT(G425,2)</f>
        <v>86</v>
      </c>
      <c r="AD425" s="0"/>
      <c r="AE425" s="21" t="s">
        <v>238</v>
      </c>
    </row>
    <row r="426" customFormat="false" ht="15" hidden="false" customHeight="false" outlineLevel="0" collapsed="false">
      <c r="A426" s="13" t="n">
        <f aca="false">1+A425</f>
        <v>424</v>
      </c>
      <c r="B426" s="14" t="n">
        <v>1009566501</v>
      </c>
      <c r="C426" s="17" t="s">
        <v>102</v>
      </c>
      <c r="D426" s="16" t="s">
        <v>108</v>
      </c>
      <c r="E426" s="17" t="s">
        <v>47</v>
      </c>
      <c r="F426" s="19" t="s">
        <v>34</v>
      </c>
      <c r="G426" s="19" t="n">
        <v>867152123586</v>
      </c>
      <c r="H426" s="17" t="s">
        <v>35</v>
      </c>
      <c r="I426" s="17" t="s">
        <v>72</v>
      </c>
      <c r="J426" s="17" t="s">
        <v>241</v>
      </c>
      <c r="K426" s="17" t="str">
        <f aca="false">VLOOKUP(J426,Sheet2!A:B,2,0)</f>
        <v>NILESH NAGAR</v>
      </c>
      <c r="L426" s="17" t="n">
        <v>5</v>
      </c>
      <c r="M426" s="17" t="str">
        <f aca="false">VLOOKUP(L426,Sheet2!D:E,2,0)</f>
        <v>Main Processor CPU BGA</v>
      </c>
      <c r="N426" s="17" t="n">
        <v>1</v>
      </c>
      <c r="O426" s="17" t="str">
        <f aca="false">VLOOKUP(N426,Sheet2!G:H,2,0)</f>
        <v>Dead</v>
      </c>
      <c r="P426" s="17" t="n">
        <v>11</v>
      </c>
      <c r="Q426" s="17" t="str">
        <f aca="false">VLOOKUP(P426,Sheet2!J:K,2,0)</f>
        <v>IR Declared due to CID -TA</v>
      </c>
      <c r="R426" s="17" t="s">
        <v>35</v>
      </c>
      <c r="S426" s="17" t="str">
        <f aca="false">VLOOKUP(R426,Sheet2!N:O,2,0)</f>
        <v>IREPARABLE</v>
      </c>
      <c r="T426" s="18" t="str">
        <f aca="false">VLOOKUP(P426,Sheet2!Q:R,2,0)</f>
        <v>IR Normal - Track burn out</v>
      </c>
      <c r="U426" s="18" t="s">
        <v>122</v>
      </c>
      <c r="V426" s="17" t="n">
        <v>2</v>
      </c>
      <c r="W426" s="20" t="str">
        <f aca="false">VLOOKUP(V426,Sheet2!Q:R,2,0)</f>
        <v>IR CID -  Water log from other area</v>
      </c>
      <c r="X426" s="17" t="str">
        <f aca="false">J426</f>
        <v>A008</v>
      </c>
      <c r="Y426" s="17" t="str">
        <f aca="false">VLOOKUP(X426,Sheet2!A:B,2,0)</f>
        <v>NILESH NAGAR</v>
      </c>
      <c r="Z426" s="17" t="s">
        <v>283</v>
      </c>
      <c r="AA426" s="17" t="s">
        <v>237</v>
      </c>
      <c r="AB426" s="17" t="s">
        <v>41</v>
      </c>
      <c r="AC426" s="0" t="str">
        <f aca="false">LEFT(G426,2)</f>
        <v>86</v>
      </c>
      <c r="AD426" s="0"/>
      <c r="AE426" s="21" t="s">
        <v>238</v>
      </c>
    </row>
    <row r="427" customFormat="false" ht="15" hidden="false" customHeight="false" outlineLevel="0" collapsed="false">
      <c r="A427" s="13" t="n">
        <f aca="false">1+A426</f>
        <v>425</v>
      </c>
      <c r="B427" s="14" t="n">
        <v>1009578508</v>
      </c>
      <c r="C427" s="17" t="s">
        <v>139</v>
      </c>
      <c r="D427" s="16" t="s">
        <v>154</v>
      </c>
      <c r="E427" s="17" t="s">
        <v>208</v>
      </c>
      <c r="F427" s="19" t="s">
        <v>34</v>
      </c>
      <c r="G427" s="19" t="n">
        <v>867152130870</v>
      </c>
      <c r="H427" s="17" t="s">
        <v>35</v>
      </c>
      <c r="I427" s="17" t="s">
        <v>72</v>
      </c>
      <c r="J427" s="17" t="s">
        <v>241</v>
      </c>
      <c r="K427" s="17" t="str">
        <f aca="false">VLOOKUP(J427,Sheet2!A:B,2,0)</f>
        <v>NILESH NAGAR</v>
      </c>
      <c r="L427" s="17" t="n">
        <v>5</v>
      </c>
      <c r="M427" s="17" t="str">
        <f aca="false">VLOOKUP(L427,Sheet2!D:E,2,0)</f>
        <v>Main Processor CPU BGA</v>
      </c>
      <c r="N427" s="17" t="n">
        <v>1</v>
      </c>
      <c r="O427" s="17" t="str">
        <f aca="false">VLOOKUP(N427,Sheet2!G:H,2,0)</f>
        <v>Dead</v>
      </c>
      <c r="P427" s="17" t="n">
        <v>11</v>
      </c>
      <c r="Q427" s="17" t="str">
        <f aca="false">VLOOKUP(P427,Sheet2!J:K,2,0)</f>
        <v>IR Declared due to CID -TA</v>
      </c>
      <c r="R427" s="17" t="s">
        <v>35</v>
      </c>
      <c r="S427" s="17" t="str">
        <f aca="false">VLOOKUP(R427,Sheet2!N:O,2,0)</f>
        <v>IREPARABLE</v>
      </c>
      <c r="T427" s="18" t="str">
        <f aca="false">VLOOKUP(P427,Sheet2!Q:R,2,0)</f>
        <v>IR Normal - Track burn out</v>
      </c>
      <c r="U427" s="18" t="s">
        <v>122</v>
      </c>
      <c r="V427" s="17" t="n">
        <v>2</v>
      </c>
      <c r="W427" s="20" t="str">
        <f aca="false">VLOOKUP(V427,Sheet2!Q:R,2,0)</f>
        <v>IR CID -  Water log from other area</v>
      </c>
      <c r="X427" s="17" t="str">
        <f aca="false">J427</f>
        <v>A008</v>
      </c>
      <c r="Y427" s="17" t="str">
        <f aca="false">VLOOKUP(X427,Sheet2!A:B,2,0)</f>
        <v>NILESH NAGAR</v>
      </c>
      <c r="Z427" s="17" t="s">
        <v>284</v>
      </c>
      <c r="AA427" s="17" t="s">
        <v>237</v>
      </c>
      <c r="AB427" s="17" t="s">
        <v>41</v>
      </c>
      <c r="AC427" s="0" t="str">
        <f aca="false">LEFT(G427,2)</f>
        <v>86</v>
      </c>
      <c r="AD427" s="0"/>
      <c r="AE427" s="21" t="s">
        <v>238</v>
      </c>
    </row>
    <row r="428" customFormat="false" ht="15" hidden="false" customHeight="false" outlineLevel="0" collapsed="false">
      <c r="A428" s="13" t="n">
        <f aca="false">1+A427</f>
        <v>426</v>
      </c>
      <c r="B428" s="14" t="n">
        <v>1009566388</v>
      </c>
      <c r="C428" s="17" t="s">
        <v>102</v>
      </c>
      <c r="D428" s="16" t="s">
        <v>64</v>
      </c>
      <c r="E428" s="17" t="s">
        <v>64</v>
      </c>
      <c r="F428" s="18" t="s">
        <v>70</v>
      </c>
      <c r="G428" s="19" t="n">
        <v>867265131690</v>
      </c>
      <c r="H428" s="17" t="s">
        <v>35</v>
      </c>
      <c r="I428" s="17" t="s">
        <v>72</v>
      </c>
      <c r="J428" s="17" t="s">
        <v>106</v>
      </c>
      <c r="K428" s="17" t="str">
        <f aca="false">VLOOKUP(J428,Sheet2!A:B,2,0)</f>
        <v>PRAKASH CHAVDA</v>
      </c>
      <c r="L428" s="17" t="n">
        <v>5</v>
      </c>
      <c r="M428" s="17" t="str">
        <f aca="false">VLOOKUP(L428,Sheet2!D:E,2,0)</f>
        <v>Main Processor CPU BGA</v>
      </c>
      <c r="N428" s="17" t="n">
        <v>24</v>
      </c>
      <c r="O428" s="17" t="str">
        <f aca="false">VLOOKUP(N428,Sheet2!G:H,2,0)</f>
        <v>STB Auto moving -Stand by mode</v>
      </c>
      <c r="P428" s="17" t="n">
        <v>12</v>
      </c>
      <c r="Q428" s="17" t="str">
        <f aca="false">VLOOKUP(P428,Sheet2!J:K,2,0)</f>
        <v>IR Declared due to Others ( IR Normal)TB</v>
      </c>
      <c r="R428" s="17" t="s">
        <v>35</v>
      </c>
      <c r="S428" s="17" t="str">
        <f aca="false">VLOOKUP(R428,Sheet2!N:O,2,0)</f>
        <v>IREPARABLE</v>
      </c>
      <c r="T428" s="18" t="str">
        <f aca="false">VLOOKUP(P428,Sheet2!Q:R,2,0)</f>
        <v>IR Normal - BER to IR</v>
      </c>
      <c r="U428" s="18" t="s">
        <v>101</v>
      </c>
      <c r="V428" s="17" t="n">
        <v>8</v>
      </c>
      <c r="W428" s="20" t="str">
        <f aca="false">VLOOKUP(V428,Sheet2!Q:R,2,0)</f>
        <v>IR Normal -TrackRust/InternalDamage/open</v>
      </c>
      <c r="X428" s="17" t="str">
        <f aca="false">J428</f>
        <v>A018</v>
      </c>
      <c r="Y428" s="17" t="str">
        <f aca="false">VLOOKUP(X428,Sheet2!A:B,2,0)</f>
        <v>PRAKASH CHAVDA</v>
      </c>
      <c r="Z428" s="17" t="s">
        <v>242</v>
      </c>
      <c r="AA428" s="17" t="s">
        <v>237</v>
      </c>
      <c r="AB428" s="17" t="s">
        <v>41</v>
      </c>
      <c r="AC428" s="0" t="str">
        <f aca="false">LEFT(G428,2)</f>
        <v>86</v>
      </c>
      <c r="AD428" s="0"/>
      <c r="AE428" s="21" t="s">
        <v>238</v>
      </c>
    </row>
    <row r="429" customFormat="false" ht="15" hidden="false" customHeight="false" outlineLevel="0" collapsed="false">
      <c r="A429" s="13" t="n">
        <f aca="false">1+A428</f>
        <v>427</v>
      </c>
      <c r="B429" s="14" t="n">
        <v>1009603145</v>
      </c>
      <c r="C429" s="17" t="s">
        <v>181</v>
      </c>
      <c r="D429" s="16" t="s">
        <v>64</v>
      </c>
      <c r="E429" s="17" t="s">
        <v>64</v>
      </c>
      <c r="F429" s="18" t="s">
        <v>70</v>
      </c>
      <c r="G429" s="19" t="n">
        <v>866084173313</v>
      </c>
      <c r="H429" s="17" t="s">
        <v>35</v>
      </c>
      <c r="I429" s="17" t="s">
        <v>72</v>
      </c>
      <c r="J429" s="17" t="s">
        <v>100</v>
      </c>
      <c r="K429" s="17" t="str">
        <f aca="false">VLOOKUP(J429,Sheet2!A:B,2,0)</f>
        <v>PIYUSH CHAVDA</v>
      </c>
      <c r="L429" s="17" t="n">
        <v>1</v>
      </c>
      <c r="M429" s="17" t="str">
        <f aca="false">VLOOKUP(L429,Sheet2!D:E,2,0)</f>
        <v>Power Supply Section</v>
      </c>
      <c r="N429" s="17" t="n">
        <v>1</v>
      </c>
      <c r="O429" s="17" t="str">
        <f aca="false">VLOOKUP(N429,Sheet2!G:H,2,0)</f>
        <v>Dead</v>
      </c>
      <c r="P429" s="17" t="n">
        <v>11</v>
      </c>
      <c r="Q429" s="17" t="str">
        <f aca="false">VLOOKUP(P429,Sheet2!J:K,2,0)</f>
        <v>IR Declared due to CID -TA</v>
      </c>
      <c r="R429" s="17" t="s">
        <v>35</v>
      </c>
      <c r="S429" s="17" t="str">
        <f aca="false">VLOOKUP(R429,Sheet2!N:O,2,0)</f>
        <v>IREPARABLE</v>
      </c>
      <c r="T429" s="18" t="str">
        <f aca="false">VLOOKUP(P429,Sheet2!Q:R,2,0)</f>
        <v>IR Normal - Track burn out</v>
      </c>
      <c r="U429" s="18" t="s">
        <v>122</v>
      </c>
      <c r="V429" s="17" t="n">
        <v>2</v>
      </c>
      <c r="W429" s="20" t="str">
        <f aca="false">VLOOKUP(V429,Sheet2!Q:R,2,0)</f>
        <v>IR CID -  Water log from other area</v>
      </c>
      <c r="X429" s="17" t="str">
        <f aca="false">J429</f>
        <v>A050</v>
      </c>
      <c r="Y429" s="17" t="str">
        <f aca="false">VLOOKUP(X429,Sheet2!A:B,2,0)</f>
        <v>PIYUSH CHAVDA</v>
      </c>
      <c r="Z429" s="17" t="s">
        <v>285</v>
      </c>
      <c r="AA429" s="17" t="s">
        <v>237</v>
      </c>
      <c r="AB429" s="17" t="s">
        <v>41</v>
      </c>
      <c r="AC429" s="0" t="str">
        <f aca="false">LEFT(G429,2)</f>
        <v>86</v>
      </c>
      <c r="AD429" s="0"/>
      <c r="AE429" s="21" t="s">
        <v>238</v>
      </c>
    </row>
    <row r="430" customFormat="false" ht="15" hidden="false" customHeight="false" outlineLevel="0" collapsed="false">
      <c r="A430" s="13" t="n">
        <f aca="false">1+A429</f>
        <v>428</v>
      </c>
      <c r="B430" s="14" t="n">
        <v>1009614149</v>
      </c>
      <c r="C430" s="17" t="s">
        <v>184</v>
      </c>
      <c r="D430" s="16" t="s">
        <v>156</v>
      </c>
      <c r="E430" s="17" t="s">
        <v>47</v>
      </c>
      <c r="F430" s="19" t="s">
        <v>34</v>
      </c>
      <c r="G430" s="19" t="n">
        <v>865160100067</v>
      </c>
      <c r="H430" s="17" t="s">
        <v>35</v>
      </c>
      <c r="I430" s="17" t="s">
        <v>72</v>
      </c>
      <c r="J430" s="17" t="s">
        <v>111</v>
      </c>
      <c r="K430" s="17" t="str">
        <f aca="false">VLOOKUP(J430,Sheet2!A:B,2,0)</f>
        <v>NITIN PRANAMI</v>
      </c>
      <c r="L430" s="17" t="n">
        <v>1</v>
      </c>
      <c r="M430" s="17" t="str">
        <f aca="false">VLOOKUP(L430,Sheet2!D:E,2,0)</f>
        <v>Power Supply Section</v>
      </c>
      <c r="N430" s="17" t="n">
        <v>1</v>
      </c>
      <c r="O430" s="17" t="str">
        <f aca="false">VLOOKUP(N430,Sheet2!G:H,2,0)</f>
        <v>Dead</v>
      </c>
      <c r="P430" s="17" t="n">
        <v>12</v>
      </c>
      <c r="Q430" s="17" t="str">
        <f aca="false">VLOOKUP(P430,Sheet2!J:K,2,0)</f>
        <v>IR Declared due to Others ( IR Normal)TB</v>
      </c>
      <c r="R430" s="17" t="s">
        <v>35</v>
      </c>
      <c r="S430" s="17" t="str">
        <f aca="false">VLOOKUP(R430,Sheet2!N:O,2,0)</f>
        <v>IREPARABLE</v>
      </c>
      <c r="T430" s="18" t="str">
        <f aca="false">VLOOKUP(P430,Sheet2!Q:R,2,0)</f>
        <v>IR Normal - BER to IR</v>
      </c>
      <c r="U430" s="20" t="s">
        <v>110</v>
      </c>
      <c r="V430" s="17" t="n">
        <v>9</v>
      </c>
      <c r="W430" s="20" t="str">
        <f aca="false">VLOOKUP(V430,Sheet2!Q:R,2,0)</f>
        <v>IR Normal - Multiple time repair </v>
      </c>
      <c r="X430" s="17" t="str">
        <f aca="false">J430</f>
        <v>A031</v>
      </c>
      <c r="Y430" s="17" t="str">
        <f aca="false">VLOOKUP(X430,Sheet2!A:B,2,0)</f>
        <v>NITIN PRANAMI</v>
      </c>
      <c r="Z430" s="17" t="s">
        <v>222</v>
      </c>
      <c r="AA430" s="17" t="s">
        <v>237</v>
      </c>
      <c r="AB430" s="17" t="s">
        <v>41</v>
      </c>
      <c r="AC430" s="0" t="str">
        <f aca="false">LEFT(G430,2)</f>
        <v>86</v>
      </c>
      <c r="AD430" s="0"/>
      <c r="AE430" s="21" t="s">
        <v>238</v>
      </c>
    </row>
    <row r="431" customFormat="false" ht="15" hidden="false" customHeight="false" outlineLevel="0" collapsed="false">
      <c r="A431" s="13" t="n">
        <f aca="false">1+A430</f>
        <v>429</v>
      </c>
      <c r="B431" s="14" t="n">
        <v>1009561814</v>
      </c>
      <c r="C431" s="17" t="s">
        <v>192</v>
      </c>
      <c r="D431" s="16" t="s">
        <v>64</v>
      </c>
      <c r="E431" s="17" t="s">
        <v>64</v>
      </c>
      <c r="F431" s="18" t="s">
        <v>70</v>
      </c>
      <c r="G431" s="19" t="n">
        <v>868129141313</v>
      </c>
      <c r="H431" s="17" t="s">
        <v>35</v>
      </c>
      <c r="I431" s="17" t="s">
        <v>72</v>
      </c>
      <c r="J431" s="17" t="s">
        <v>111</v>
      </c>
      <c r="K431" s="17" t="str">
        <f aca="false">VLOOKUP(J431,Sheet2!A:B,2,0)</f>
        <v>NITIN PRANAMI</v>
      </c>
      <c r="L431" s="17" t="n">
        <v>5</v>
      </c>
      <c r="M431" s="17" t="str">
        <f aca="false">VLOOKUP(L431,Sheet2!D:E,2,0)</f>
        <v>Main Processor CPU BGA</v>
      </c>
      <c r="N431" s="17" t="n">
        <v>24</v>
      </c>
      <c r="O431" s="17" t="str">
        <f aca="false">VLOOKUP(N431,Sheet2!G:H,2,0)</f>
        <v>STB Auto moving -Stand by mode</v>
      </c>
      <c r="P431" s="17" t="n">
        <v>11</v>
      </c>
      <c r="Q431" s="17" t="str">
        <f aca="false">VLOOKUP(P431,Sheet2!J:K,2,0)</f>
        <v>IR Declared due to CID -TA</v>
      </c>
      <c r="R431" s="17" t="s">
        <v>35</v>
      </c>
      <c r="S431" s="17" t="str">
        <f aca="false">VLOOKUP(R431,Sheet2!N:O,2,0)</f>
        <v>IREPARABLE</v>
      </c>
      <c r="T431" s="18" t="str">
        <f aca="false">VLOOKUP(P431,Sheet2!Q:R,2,0)</f>
        <v>IR Normal - Track burn out</v>
      </c>
      <c r="U431" s="18" t="s">
        <v>122</v>
      </c>
      <c r="V431" s="17" t="n">
        <v>2</v>
      </c>
      <c r="W431" s="20" t="str">
        <f aca="false">VLOOKUP(V431,Sheet2!Q:R,2,0)</f>
        <v>IR CID -  Water log from other area</v>
      </c>
      <c r="X431" s="17" t="str">
        <f aca="false">J431</f>
        <v>A031</v>
      </c>
      <c r="Y431" s="17" t="str">
        <f aca="false">VLOOKUP(X431,Sheet2!A:B,2,0)</f>
        <v>NITIN PRANAMI</v>
      </c>
      <c r="Z431" s="17" t="s">
        <v>286</v>
      </c>
      <c r="AA431" s="17" t="s">
        <v>237</v>
      </c>
      <c r="AB431" s="17" t="s">
        <v>41</v>
      </c>
      <c r="AC431" s="0" t="str">
        <f aca="false">LEFT(G431,2)</f>
        <v>86</v>
      </c>
      <c r="AD431" s="0"/>
      <c r="AE431" s="21" t="s">
        <v>238</v>
      </c>
    </row>
    <row r="432" customFormat="false" ht="15" hidden="false" customHeight="false" outlineLevel="0" collapsed="false">
      <c r="A432" s="13" t="n">
        <f aca="false">1+A431</f>
        <v>430</v>
      </c>
      <c r="B432" s="14" t="n">
        <v>1009612700</v>
      </c>
      <c r="C432" s="17" t="s">
        <v>184</v>
      </c>
      <c r="D432" s="16" t="s">
        <v>158</v>
      </c>
      <c r="E432" s="17" t="s">
        <v>208</v>
      </c>
      <c r="F432" s="19" t="s">
        <v>34</v>
      </c>
      <c r="G432" s="19" t="n">
        <v>867234173609</v>
      </c>
      <c r="H432" s="17" t="s">
        <v>35</v>
      </c>
      <c r="I432" s="17" t="s">
        <v>72</v>
      </c>
      <c r="J432" s="17" t="s">
        <v>287</v>
      </c>
      <c r="K432" s="17" t="str">
        <f aca="false">VLOOKUP(J432,Sheet2!A:B,2,0)</f>
        <v>BHUPENDRA  DABHI</v>
      </c>
      <c r="L432" s="17" t="n">
        <v>1</v>
      </c>
      <c r="M432" s="17" t="str">
        <f aca="false">VLOOKUP(L432,Sheet2!D:E,2,0)</f>
        <v>Power Supply Section</v>
      </c>
      <c r="N432" s="17" t="n">
        <v>1</v>
      </c>
      <c r="O432" s="17" t="str">
        <f aca="false">VLOOKUP(N432,Sheet2!G:H,2,0)</f>
        <v>Dead</v>
      </c>
      <c r="P432" s="17" t="n">
        <v>12</v>
      </c>
      <c r="Q432" s="17" t="str">
        <f aca="false">VLOOKUP(P432,Sheet2!J:K,2,0)</f>
        <v>IR Declared due to Others ( IR Normal)TB</v>
      </c>
      <c r="R432" s="17" t="s">
        <v>35</v>
      </c>
      <c r="S432" s="17" t="str">
        <f aca="false">VLOOKUP(R432,Sheet2!N:O,2,0)</f>
        <v>IREPARABLE</v>
      </c>
      <c r="T432" s="18" t="str">
        <f aca="false">VLOOKUP(P432,Sheet2!Q:R,2,0)</f>
        <v>IR Normal - BER to IR</v>
      </c>
      <c r="U432" s="18" t="s">
        <v>101</v>
      </c>
      <c r="V432" s="17" t="n">
        <v>8</v>
      </c>
      <c r="W432" s="20" t="str">
        <f aca="false">VLOOKUP(V432,Sheet2!Q:R,2,0)</f>
        <v>IR Normal -TrackRust/InternalDamage/open</v>
      </c>
      <c r="X432" s="17" t="str">
        <f aca="false">J432</f>
        <v>A010</v>
      </c>
      <c r="Y432" s="17" t="str">
        <f aca="false">VLOOKUP(X432,Sheet2!A:B,2,0)</f>
        <v>BHUPENDRA  DABHI</v>
      </c>
      <c r="Z432" s="17" t="s">
        <v>266</v>
      </c>
      <c r="AA432" s="17" t="s">
        <v>237</v>
      </c>
      <c r="AB432" s="17" t="s">
        <v>41</v>
      </c>
      <c r="AC432" s="0" t="str">
        <f aca="false">LEFT(G432,2)</f>
        <v>86</v>
      </c>
      <c r="AD432" s="0"/>
      <c r="AE432" s="21" t="s">
        <v>238</v>
      </c>
    </row>
    <row r="433" customFormat="false" ht="15" hidden="false" customHeight="false" outlineLevel="0" collapsed="false">
      <c r="A433" s="13" t="n">
        <f aca="false">1+A432</f>
        <v>431</v>
      </c>
      <c r="B433" s="14" t="n">
        <v>1009615842</v>
      </c>
      <c r="C433" s="17" t="s">
        <v>184</v>
      </c>
      <c r="D433" s="16" t="s">
        <v>156</v>
      </c>
      <c r="E433" s="17" t="s">
        <v>47</v>
      </c>
      <c r="F433" s="19" t="s">
        <v>34</v>
      </c>
      <c r="G433" s="19" t="n">
        <v>866027134968</v>
      </c>
      <c r="H433" s="17" t="s">
        <v>35</v>
      </c>
      <c r="I433" s="17" t="s">
        <v>72</v>
      </c>
      <c r="J433" s="17" t="s">
        <v>100</v>
      </c>
      <c r="K433" s="17" t="str">
        <f aca="false">VLOOKUP(J433,Sheet2!A:B,2,0)</f>
        <v>PIYUSH CHAVDA</v>
      </c>
      <c r="L433" s="17" t="n">
        <v>1</v>
      </c>
      <c r="M433" s="17" t="str">
        <f aca="false">VLOOKUP(L433,Sheet2!D:E,2,0)</f>
        <v>Power Supply Section</v>
      </c>
      <c r="N433" s="17" t="n">
        <v>1</v>
      </c>
      <c r="O433" s="17" t="str">
        <f aca="false">VLOOKUP(N433,Sheet2!G:H,2,0)</f>
        <v>Dead</v>
      </c>
      <c r="P433" s="17" t="n">
        <v>12</v>
      </c>
      <c r="Q433" s="17" t="str">
        <f aca="false">VLOOKUP(P433,Sheet2!J:K,2,0)</f>
        <v>IR Declared due to Others ( IR Normal)TB</v>
      </c>
      <c r="R433" s="17" t="s">
        <v>35</v>
      </c>
      <c r="S433" s="17" t="str">
        <f aca="false">VLOOKUP(R433,Sheet2!N:O,2,0)</f>
        <v>IREPARABLE</v>
      </c>
      <c r="T433" s="18" t="str">
        <f aca="false">VLOOKUP(P433,Sheet2!Q:R,2,0)</f>
        <v>IR Normal - BER to IR</v>
      </c>
      <c r="U433" s="18" t="s">
        <v>101</v>
      </c>
      <c r="V433" s="17" t="n">
        <v>8</v>
      </c>
      <c r="W433" s="20" t="str">
        <f aca="false">VLOOKUP(V433,Sheet2!Q:R,2,0)</f>
        <v>IR Normal -TrackRust/InternalDamage/open</v>
      </c>
      <c r="X433" s="17" t="str">
        <f aca="false">J433</f>
        <v>A050</v>
      </c>
      <c r="Y433" s="17" t="str">
        <f aca="false">VLOOKUP(X433,Sheet2!A:B,2,0)</f>
        <v>PIYUSH CHAVDA</v>
      </c>
      <c r="Z433" s="17" t="s">
        <v>266</v>
      </c>
      <c r="AA433" s="17" t="s">
        <v>237</v>
      </c>
      <c r="AB433" s="17" t="s">
        <v>41</v>
      </c>
      <c r="AC433" s="0" t="str">
        <f aca="false">LEFT(G433,2)</f>
        <v>86</v>
      </c>
      <c r="AD433" s="0"/>
      <c r="AE433" s="21" t="s">
        <v>238</v>
      </c>
    </row>
    <row r="434" customFormat="false" ht="15" hidden="false" customHeight="false" outlineLevel="0" collapsed="false">
      <c r="A434" s="13" t="n">
        <f aca="false">1+A433</f>
        <v>432</v>
      </c>
      <c r="B434" s="14" t="n">
        <v>1009610768</v>
      </c>
      <c r="C434" s="17" t="s">
        <v>181</v>
      </c>
      <c r="D434" s="16" t="s">
        <v>196</v>
      </c>
      <c r="E434" s="17" t="s">
        <v>47</v>
      </c>
      <c r="F434" s="19" t="s">
        <v>34</v>
      </c>
      <c r="G434" s="19" t="n">
        <v>866063174027</v>
      </c>
      <c r="H434" s="17" t="s">
        <v>35</v>
      </c>
      <c r="I434" s="17" t="s">
        <v>72</v>
      </c>
      <c r="J434" s="17" t="s">
        <v>118</v>
      </c>
      <c r="K434" s="17" t="str">
        <f aca="false">VLOOKUP(J434,Sheet2!A:B,2,0)</f>
        <v>DEVENDRA RAJPUT</v>
      </c>
      <c r="L434" s="17" t="n">
        <v>2</v>
      </c>
      <c r="M434" s="17" t="str">
        <f aca="false">VLOOKUP(L434,Sheet2!D:E,2,0)</f>
        <v>Tuner Section</v>
      </c>
      <c r="N434" s="17" t="n">
        <v>6</v>
      </c>
      <c r="O434" s="17" t="str">
        <f aca="false">VLOOKUP(N434,Sheet2!G:H,2,0)</f>
        <v>No Signal</v>
      </c>
      <c r="P434" s="17" t="n">
        <v>12</v>
      </c>
      <c r="Q434" s="17" t="str">
        <f aca="false">VLOOKUP(P434,Sheet2!J:K,2,0)</f>
        <v>IR Declared due to Others ( IR Normal)TB</v>
      </c>
      <c r="R434" s="17" t="s">
        <v>35</v>
      </c>
      <c r="S434" s="17" t="str">
        <f aca="false">VLOOKUP(R434,Sheet2!N:O,2,0)</f>
        <v>IREPARABLE</v>
      </c>
      <c r="T434" s="18" t="str">
        <f aca="false">VLOOKUP(P434,Sheet2!Q:R,2,0)</f>
        <v>IR Normal - BER to IR</v>
      </c>
      <c r="U434" s="18" t="s">
        <v>101</v>
      </c>
      <c r="V434" s="17" t="n">
        <v>8</v>
      </c>
      <c r="W434" s="20" t="str">
        <f aca="false">VLOOKUP(V434,Sheet2!Q:R,2,0)</f>
        <v>IR Normal -TrackRust/InternalDamage/open</v>
      </c>
      <c r="X434" s="17" t="str">
        <f aca="false">J434</f>
        <v>A053</v>
      </c>
      <c r="Y434" s="17" t="str">
        <f aca="false">VLOOKUP(X434,Sheet2!A:B,2,0)</f>
        <v>DEVENDRA RAJPUT</v>
      </c>
      <c r="Z434" s="17" t="s">
        <v>247</v>
      </c>
      <c r="AA434" s="17" t="s">
        <v>237</v>
      </c>
      <c r="AB434" s="17" t="s">
        <v>41</v>
      </c>
      <c r="AC434" s="0" t="str">
        <f aca="false">LEFT(G434,2)</f>
        <v>86</v>
      </c>
      <c r="AD434" s="0"/>
      <c r="AE434" s="21" t="s">
        <v>238</v>
      </c>
    </row>
    <row r="435" customFormat="false" ht="15" hidden="false" customHeight="false" outlineLevel="0" collapsed="false">
      <c r="A435" s="13" t="n">
        <f aca="false">1+A434</f>
        <v>433</v>
      </c>
      <c r="B435" s="14" t="n">
        <v>1009621199</v>
      </c>
      <c r="C435" s="17" t="s">
        <v>184</v>
      </c>
      <c r="D435" s="16" t="s">
        <v>64</v>
      </c>
      <c r="E435" s="17" t="s">
        <v>47</v>
      </c>
      <c r="F435" s="19" t="s">
        <v>34</v>
      </c>
      <c r="G435" s="19" t="n">
        <v>867277115095</v>
      </c>
      <c r="H435" s="17" t="s">
        <v>35</v>
      </c>
      <c r="I435" s="17" t="s">
        <v>72</v>
      </c>
      <c r="J435" s="17" t="s">
        <v>241</v>
      </c>
      <c r="K435" s="17" t="str">
        <f aca="false">VLOOKUP(J435,Sheet2!A:B,2,0)</f>
        <v>NILESH NAGAR</v>
      </c>
      <c r="L435" s="17" t="n">
        <v>5</v>
      </c>
      <c r="M435" s="17" t="str">
        <f aca="false">VLOOKUP(L435,Sheet2!D:E,2,0)</f>
        <v>Main Processor CPU BGA</v>
      </c>
      <c r="N435" s="17" t="n">
        <v>1</v>
      </c>
      <c r="O435" s="17" t="str">
        <f aca="false">VLOOKUP(N435,Sheet2!G:H,2,0)</f>
        <v>Dead</v>
      </c>
      <c r="P435" s="17" t="n">
        <v>12</v>
      </c>
      <c r="Q435" s="17" t="str">
        <f aca="false">VLOOKUP(P435,Sheet2!J:K,2,0)</f>
        <v>IR Declared due to Others ( IR Normal)TB</v>
      </c>
      <c r="R435" s="17" t="s">
        <v>35</v>
      </c>
      <c r="S435" s="17" t="str">
        <f aca="false">VLOOKUP(R435,Sheet2!N:O,2,0)</f>
        <v>IREPARABLE</v>
      </c>
      <c r="T435" s="18" t="str">
        <f aca="false">VLOOKUP(P435,Sheet2!Q:R,2,0)</f>
        <v>IR Normal - BER to IR</v>
      </c>
      <c r="U435" s="18" t="s">
        <v>101</v>
      </c>
      <c r="V435" s="17" t="n">
        <v>8</v>
      </c>
      <c r="W435" s="20" t="str">
        <f aca="false">VLOOKUP(V435,Sheet2!Q:R,2,0)</f>
        <v>IR Normal -TrackRust/InternalDamage/open</v>
      </c>
      <c r="X435" s="17" t="str">
        <f aca="false">J435</f>
        <v>A008</v>
      </c>
      <c r="Y435" s="17" t="str">
        <f aca="false">VLOOKUP(X435,Sheet2!A:B,2,0)</f>
        <v>NILESH NAGAR</v>
      </c>
      <c r="Z435" s="17" t="s">
        <v>242</v>
      </c>
      <c r="AA435" s="17" t="s">
        <v>237</v>
      </c>
      <c r="AB435" s="17" t="s">
        <v>41</v>
      </c>
      <c r="AC435" s="0" t="str">
        <f aca="false">LEFT(G435,2)</f>
        <v>86</v>
      </c>
      <c r="AD435" s="0"/>
      <c r="AE435" s="21" t="s">
        <v>238</v>
      </c>
    </row>
    <row r="436" customFormat="false" ht="15" hidden="false" customHeight="false" outlineLevel="0" collapsed="false">
      <c r="A436" s="13" t="n">
        <f aca="false">1+A435</f>
        <v>434</v>
      </c>
      <c r="B436" s="14" t="n">
        <v>1009580921</v>
      </c>
      <c r="C436" s="17" t="s">
        <v>104</v>
      </c>
      <c r="D436" s="16" t="s">
        <v>86</v>
      </c>
      <c r="E436" s="17" t="s">
        <v>47</v>
      </c>
      <c r="F436" s="19" t="s">
        <v>34</v>
      </c>
      <c r="G436" s="19" t="n">
        <v>775237055535</v>
      </c>
      <c r="H436" s="17" t="s">
        <v>35</v>
      </c>
      <c r="I436" s="17" t="s">
        <v>69</v>
      </c>
      <c r="J436" s="17" t="s">
        <v>106</v>
      </c>
      <c r="K436" s="17" t="str">
        <f aca="false">VLOOKUP(J436,Sheet2!A:B,2,0)</f>
        <v>PRAKASH CHAVDA</v>
      </c>
      <c r="L436" s="17" t="n">
        <v>5</v>
      </c>
      <c r="M436" s="17" t="str">
        <f aca="false">VLOOKUP(L436,Sheet2!D:E,2,0)</f>
        <v>Main Processor CPU BGA</v>
      </c>
      <c r="N436" s="17" t="n">
        <v>1</v>
      </c>
      <c r="O436" s="17" t="str">
        <f aca="false">VLOOKUP(N436,Sheet2!G:H,2,0)</f>
        <v>Dead</v>
      </c>
      <c r="P436" s="17" t="n">
        <v>12</v>
      </c>
      <c r="Q436" s="17" t="str">
        <f aca="false">VLOOKUP(P436,Sheet2!J:K,2,0)</f>
        <v>IR Declared due to Others ( IR Normal)TB</v>
      </c>
      <c r="R436" s="17" t="s">
        <v>35</v>
      </c>
      <c r="S436" s="17" t="str">
        <f aca="false">VLOOKUP(R436,Sheet2!N:O,2,0)</f>
        <v>IREPARABLE</v>
      </c>
      <c r="T436" s="18" t="str">
        <f aca="false">VLOOKUP(P436,Sheet2!Q:R,2,0)</f>
        <v>IR Normal - BER to IR</v>
      </c>
      <c r="U436" s="18" t="s">
        <v>101</v>
      </c>
      <c r="V436" s="17" t="n">
        <v>8</v>
      </c>
      <c r="W436" s="20" t="str">
        <f aca="false">VLOOKUP(V436,Sheet2!Q:R,2,0)</f>
        <v>IR Normal -TrackRust/InternalDamage/open</v>
      </c>
      <c r="X436" s="17" t="str">
        <f aca="false">J436</f>
        <v>A018</v>
      </c>
      <c r="Y436" s="17" t="str">
        <f aca="false">VLOOKUP(X436,Sheet2!A:B,2,0)</f>
        <v>PRAKASH CHAVDA</v>
      </c>
      <c r="Z436" s="17" t="s">
        <v>288</v>
      </c>
      <c r="AA436" s="17" t="s">
        <v>237</v>
      </c>
      <c r="AB436" s="17" t="s">
        <v>41</v>
      </c>
      <c r="AC436" s="0" t="str">
        <f aca="false">LEFT(G436,2)</f>
        <v>77</v>
      </c>
      <c r="AD436" s="0"/>
      <c r="AE436" s="21" t="s">
        <v>238</v>
      </c>
    </row>
    <row r="437" customFormat="false" ht="15" hidden="false" customHeight="false" outlineLevel="0" collapsed="false">
      <c r="A437" s="13" t="n">
        <f aca="false">1+A436</f>
        <v>435</v>
      </c>
      <c r="B437" s="14" t="n">
        <v>1009611337</v>
      </c>
      <c r="C437" s="17" t="s">
        <v>181</v>
      </c>
      <c r="D437" s="16" t="s">
        <v>64</v>
      </c>
      <c r="E437" s="17" t="s">
        <v>274</v>
      </c>
      <c r="F437" s="19" t="s">
        <v>34</v>
      </c>
      <c r="G437" s="19" t="n">
        <v>775325207394</v>
      </c>
      <c r="H437" s="17" t="s">
        <v>35</v>
      </c>
      <c r="I437" s="17" t="s">
        <v>69</v>
      </c>
      <c r="J437" s="17" t="s">
        <v>239</v>
      </c>
      <c r="K437" s="17" t="str">
        <f aca="false">VLOOKUP(J437,Sheet2!A:B,2,0)</f>
        <v>VASANT PARMAR</v>
      </c>
      <c r="L437" s="17" t="n">
        <v>5</v>
      </c>
      <c r="M437" s="17" t="str">
        <f aca="false">VLOOKUP(L437,Sheet2!D:E,2,0)</f>
        <v>Main Processor CPU BGA</v>
      </c>
      <c r="N437" s="17" t="n">
        <v>1</v>
      </c>
      <c r="O437" s="17" t="str">
        <f aca="false">VLOOKUP(N437,Sheet2!G:H,2,0)</f>
        <v>Dead</v>
      </c>
      <c r="P437" s="17" t="n">
        <v>12</v>
      </c>
      <c r="Q437" s="17" t="str">
        <f aca="false">VLOOKUP(P437,Sheet2!J:K,2,0)</f>
        <v>IR Declared due to Others ( IR Normal)TB</v>
      </c>
      <c r="R437" s="17" t="s">
        <v>35</v>
      </c>
      <c r="S437" s="17" t="str">
        <f aca="false">VLOOKUP(R437,Sheet2!N:O,2,0)</f>
        <v>IREPARABLE</v>
      </c>
      <c r="T437" s="18" t="str">
        <f aca="false">VLOOKUP(P437,Sheet2!Q:R,2,0)</f>
        <v>IR Normal - BER to IR</v>
      </c>
      <c r="U437" s="18" t="s">
        <v>101</v>
      </c>
      <c r="V437" s="17" t="n">
        <v>8</v>
      </c>
      <c r="W437" s="20" t="str">
        <f aca="false">VLOOKUP(V437,Sheet2!Q:R,2,0)</f>
        <v>IR Normal -TrackRust/InternalDamage/open</v>
      </c>
      <c r="X437" s="17" t="str">
        <f aca="false">J437</f>
        <v>A005</v>
      </c>
      <c r="Y437" s="17" t="str">
        <f aca="false">VLOOKUP(X437,Sheet2!A:B,2,0)</f>
        <v>VASANT PARMAR</v>
      </c>
      <c r="Z437" s="17" t="s">
        <v>288</v>
      </c>
      <c r="AA437" s="17" t="s">
        <v>237</v>
      </c>
      <c r="AB437" s="17" t="s">
        <v>41</v>
      </c>
      <c r="AC437" s="0" t="str">
        <f aca="false">LEFT(G437,2)</f>
        <v>77</v>
      </c>
      <c r="AD437" s="0"/>
      <c r="AE437" s="21" t="s">
        <v>238</v>
      </c>
    </row>
    <row r="438" customFormat="false" ht="15" hidden="false" customHeight="false" outlineLevel="0" collapsed="false">
      <c r="A438" s="13" t="n">
        <f aca="false">1+A437</f>
        <v>436</v>
      </c>
      <c r="B438" s="14" t="n">
        <v>1009620969</v>
      </c>
      <c r="C438" s="17" t="s">
        <v>184</v>
      </c>
      <c r="D438" s="16" t="s">
        <v>64</v>
      </c>
      <c r="E438" s="17" t="s">
        <v>64</v>
      </c>
      <c r="F438" s="18" t="s">
        <v>70</v>
      </c>
      <c r="G438" s="19" t="n">
        <v>775330196673</v>
      </c>
      <c r="H438" s="17" t="s">
        <v>35</v>
      </c>
      <c r="I438" s="17" t="s">
        <v>69</v>
      </c>
      <c r="J438" s="17" t="s">
        <v>111</v>
      </c>
      <c r="K438" s="17" t="str">
        <f aca="false">VLOOKUP(J438,Sheet2!A:B,2,0)</f>
        <v>NITIN PRANAMI</v>
      </c>
      <c r="L438" s="17" t="n">
        <v>1</v>
      </c>
      <c r="M438" s="17" t="str">
        <f aca="false">VLOOKUP(L438,Sheet2!D:E,2,0)</f>
        <v>Power Supply Section</v>
      </c>
      <c r="N438" s="17" t="n">
        <v>1</v>
      </c>
      <c r="O438" s="17" t="str">
        <f aca="false">VLOOKUP(N438,Sheet2!G:H,2,0)</f>
        <v>Dead</v>
      </c>
      <c r="P438" s="17" t="n">
        <v>12</v>
      </c>
      <c r="Q438" s="17" t="str">
        <f aca="false">VLOOKUP(P438,Sheet2!J:K,2,0)</f>
        <v>IR Declared due to Others ( IR Normal)TB</v>
      </c>
      <c r="R438" s="17" t="s">
        <v>35</v>
      </c>
      <c r="S438" s="17" t="str">
        <f aca="false">VLOOKUP(R438,Sheet2!N:O,2,0)</f>
        <v>IREPARABLE</v>
      </c>
      <c r="T438" s="18" t="str">
        <f aca="false">VLOOKUP(P438,Sheet2!Q:R,2,0)</f>
        <v>IR Normal - BER to IR</v>
      </c>
      <c r="U438" s="18" t="s">
        <v>101</v>
      </c>
      <c r="V438" s="17" t="n">
        <v>8</v>
      </c>
      <c r="W438" s="20" t="str">
        <f aca="false">VLOOKUP(V438,Sheet2!Q:R,2,0)</f>
        <v>IR Normal -TrackRust/InternalDamage/open</v>
      </c>
      <c r="X438" s="17" t="str">
        <f aca="false">J438</f>
        <v>A031</v>
      </c>
      <c r="Y438" s="17" t="str">
        <f aca="false">VLOOKUP(X438,Sheet2!A:B,2,0)</f>
        <v>NITIN PRANAMI</v>
      </c>
      <c r="Z438" s="17" t="s">
        <v>132</v>
      </c>
      <c r="AA438" s="17" t="s">
        <v>237</v>
      </c>
      <c r="AB438" s="17" t="s">
        <v>41</v>
      </c>
      <c r="AC438" s="0" t="str">
        <f aca="false">LEFT(G438,2)</f>
        <v>77</v>
      </c>
      <c r="AD438" s="0"/>
      <c r="AE438" s="21" t="s">
        <v>238</v>
      </c>
    </row>
    <row r="439" customFormat="false" ht="15" hidden="false" customHeight="false" outlineLevel="0" collapsed="false">
      <c r="A439" s="13" t="n">
        <f aca="false">1+A438</f>
        <v>437</v>
      </c>
      <c r="B439" s="14" t="n">
        <v>1009507852</v>
      </c>
      <c r="C439" s="15" t="s">
        <v>102</v>
      </c>
      <c r="D439" s="16" t="s">
        <v>64</v>
      </c>
      <c r="E439" s="17" t="s">
        <v>47</v>
      </c>
      <c r="F439" s="18" t="s">
        <v>34</v>
      </c>
      <c r="G439" s="19" t="n">
        <v>942277966753</v>
      </c>
      <c r="H439" s="17" t="s">
        <v>35</v>
      </c>
      <c r="I439" s="17" t="s">
        <v>44</v>
      </c>
      <c r="J439" s="17" t="s">
        <v>289</v>
      </c>
      <c r="K439" s="17" t="str">
        <f aca="false">VLOOKUP(J439,Sheet2!A:B,2,0)</f>
        <v>AJAY KOSHTI</v>
      </c>
      <c r="L439" s="17" t="n">
        <v>1</v>
      </c>
      <c r="M439" s="17" t="str">
        <f aca="false">VLOOKUP(L439,Sheet2!D:E,2,0)</f>
        <v>Power Supply Section</v>
      </c>
      <c r="N439" s="17" t="n">
        <v>1</v>
      </c>
      <c r="O439" s="17" t="str">
        <f aca="false">VLOOKUP(N439,Sheet2!G:H,2,0)</f>
        <v>Dead</v>
      </c>
      <c r="P439" s="17" t="n">
        <v>11</v>
      </c>
      <c r="Q439" s="17" t="str">
        <f aca="false">VLOOKUP(P439,Sheet2!J:K,2,0)</f>
        <v>IR Declared due to CID -TA</v>
      </c>
      <c r="R439" s="17" t="s">
        <v>35</v>
      </c>
      <c r="S439" s="17" t="str">
        <f aca="false">VLOOKUP(R439,Sheet2!N:O,2,0)</f>
        <v>IREPARABLE</v>
      </c>
      <c r="T439" s="18" t="str">
        <f aca="false">VLOOKUP(P439,Sheet2!Q:R,2,0)</f>
        <v>IR Normal - Track burn out</v>
      </c>
      <c r="U439" s="18" t="s">
        <v>120</v>
      </c>
      <c r="V439" s="17" t="n">
        <v>6</v>
      </c>
      <c r="W439" s="20" t="str">
        <f aca="false">VLOOKUP(V439,Sheet2!Q:R,2,0)</f>
        <v>IR CID -Fullydamage-Broken/Dent/Burn out</v>
      </c>
      <c r="X439" s="17" t="str">
        <f aca="false">J439</f>
        <v>A051</v>
      </c>
      <c r="Y439" s="17" t="str">
        <f aca="false">VLOOKUP(X439,Sheet2!A:B,2,0)</f>
        <v>AJAY KOSHTI</v>
      </c>
      <c r="Z439" s="17" t="s">
        <v>127</v>
      </c>
      <c r="AA439" s="17" t="s">
        <v>237</v>
      </c>
      <c r="AB439" s="17" t="s">
        <v>41</v>
      </c>
      <c r="AC439" s="0" t="str">
        <f aca="false">LEFT(G439,2)</f>
        <v>94</v>
      </c>
      <c r="AD439" s="0"/>
      <c r="AE439" s="21" t="s">
        <v>238</v>
      </c>
    </row>
    <row r="440" customFormat="false" ht="15" hidden="false" customHeight="false" outlineLevel="0" collapsed="false">
      <c r="A440" s="13" t="n">
        <f aca="false">1+A439</f>
        <v>438</v>
      </c>
      <c r="B440" s="14" t="n">
        <v>1009562630</v>
      </c>
      <c r="C440" s="15" t="s">
        <v>192</v>
      </c>
      <c r="D440" s="16" t="s">
        <v>64</v>
      </c>
      <c r="E440" s="17" t="s">
        <v>255</v>
      </c>
      <c r="F440" s="18" t="s">
        <v>34</v>
      </c>
      <c r="G440" s="19" t="n">
        <v>943017426033</v>
      </c>
      <c r="H440" s="17" t="s">
        <v>35</v>
      </c>
      <c r="I440" s="17" t="s">
        <v>44</v>
      </c>
      <c r="J440" s="17" t="s">
        <v>121</v>
      </c>
      <c r="K440" s="17" t="str">
        <f aca="false">VLOOKUP(J440,Sheet2!A:B,2,0)</f>
        <v>SHANI GOHIL</v>
      </c>
      <c r="L440" s="17" t="n">
        <v>1</v>
      </c>
      <c r="M440" s="17" t="str">
        <f aca="false">VLOOKUP(L440,Sheet2!D:E,2,0)</f>
        <v>Power Supply Section</v>
      </c>
      <c r="N440" s="17" t="n">
        <v>24</v>
      </c>
      <c r="O440" s="17" t="str">
        <f aca="false">VLOOKUP(N440,Sheet2!G:H,2,0)</f>
        <v>STB Auto moving -Stand by mode</v>
      </c>
      <c r="P440" s="17" t="n">
        <v>11</v>
      </c>
      <c r="Q440" s="17" t="str">
        <f aca="false">VLOOKUP(P440,Sheet2!J:K,2,0)</f>
        <v>IR Declared due to CID -TA</v>
      </c>
      <c r="R440" s="17" t="s">
        <v>35</v>
      </c>
      <c r="S440" s="17" t="str">
        <f aca="false">VLOOKUP(R440,Sheet2!N:O,2,0)</f>
        <v>IREPARABLE</v>
      </c>
      <c r="T440" s="18" t="str">
        <f aca="false">VLOOKUP(P440,Sheet2!Q:R,2,0)</f>
        <v>IR Normal - Track burn out</v>
      </c>
      <c r="U440" s="18" t="s">
        <v>122</v>
      </c>
      <c r="V440" s="17" t="n">
        <v>2</v>
      </c>
      <c r="W440" s="20" t="str">
        <f aca="false">VLOOKUP(V440,Sheet2!Q:R,2,0)</f>
        <v>IR CID -  Water log from other area</v>
      </c>
      <c r="X440" s="17" t="str">
        <f aca="false">J440</f>
        <v>A063</v>
      </c>
      <c r="Y440" s="17" t="str">
        <f aca="false">VLOOKUP(X440,Sheet2!A:B,2,0)</f>
        <v>SHANI GOHIL</v>
      </c>
      <c r="Z440" s="17" t="s">
        <v>290</v>
      </c>
      <c r="AA440" s="17" t="s">
        <v>237</v>
      </c>
      <c r="AB440" s="17" t="s">
        <v>41</v>
      </c>
      <c r="AC440" s="0" t="str">
        <f aca="false">LEFT(G440,2)</f>
        <v>94</v>
      </c>
      <c r="AD440" s="0"/>
      <c r="AE440" s="21" t="s">
        <v>238</v>
      </c>
    </row>
    <row r="441" customFormat="false" ht="15" hidden="false" customHeight="false" outlineLevel="0" collapsed="false">
      <c r="A441" s="13" t="n">
        <f aca="false">1+A440</f>
        <v>439</v>
      </c>
      <c r="B441" s="14" t="n">
        <v>1009083475</v>
      </c>
      <c r="C441" s="15" t="s">
        <v>291</v>
      </c>
      <c r="D441" s="16" t="s">
        <v>196</v>
      </c>
      <c r="E441" s="17" t="s">
        <v>91</v>
      </c>
      <c r="F441" s="18" t="s">
        <v>92</v>
      </c>
      <c r="G441" s="19" t="n">
        <v>943341975721</v>
      </c>
      <c r="H441" s="17" t="s">
        <v>35</v>
      </c>
      <c r="I441" s="17" t="s">
        <v>44</v>
      </c>
      <c r="J441" s="17" t="s">
        <v>106</v>
      </c>
      <c r="K441" s="17" t="str">
        <f aca="false">VLOOKUP(J441,Sheet2!A:B,2,0)</f>
        <v>PRAKASH CHAVDA</v>
      </c>
      <c r="L441" s="17" t="n">
        <v>5</v>
      </c>
      <c r="M441" s="17" t="str">
        <f aca="false">VLOOKUP(L441,Sheet2!D:E,2,0)</f>
        <v>Main Processor CPU BGA</v>
      </c>
      <c r="N441" s="17" t="n">
        <v>1</v>
      </c>
      <c r="O441" s="17" t="str">
        <f aca="false">VLOOKUP(N441,Sheet2!G:H,2,0)</f>
        <v>Dead</v>
      </c>
      <c r="P441" s="17" t="n">
        <v>12</v>
      </c>
      <c r="Q441" s="17" t="str">
        <f aca="false">VLOOKUP(P441,Sheet2!J:K,2,0)</f>
        <v>IR Declared due to Others ( IR Normal)TB</v>
      </c>
      <c r="R441" s="17" t="s">
        <v>35</v>
      </c>
      <c r="S441" s="17" t="str">
        <f aca="false">VLOOKUP(R441,Sheet2!N:O,2,0)</f>
        <v>IREPARABLE</v>
      </c>
      <c r="T441" s="18" t="str">
        <f aca="false">VLOOKUP(P441,Sheet2!Q:R,2,0)</f>
        <v>IR Normal - BER to IR</v>
      </c>
      <c r="U441" s="18" t="s">
        <v>101</v>
      </c>
      <c r="V441" s="17" t="n">
        <v>8</v>
      </c>
      <c r="W441" s="20" t="str">
        <f aca="false">VLOOKUP(V441,Sheet2!Q:R,2,0)</f>
        <v>IR Normal -TrackRust/InternalDamage/open</v>
      </c>
      <c r="X441" s="17" t="str">
        <f aca="false">J441</f>
        <v>A018</v>
      </c>
      <c r="Y441" s="17" t="str">
        <f aca="false">VLOOKUP(X441,Sheet2!A:B,2,0)</f>
        <v>PRAKASH CHAVDA</v>
      </c>
      <c r="Z441" s="17" t="s">
        <v>127</v>
      </c>
      <c r="AA441" s="17" t="s">
        <v>237</v>
      </c>
      <c r="AB441" s="17" t="s">
        <v>41</v>
      </c>
      <c r="AC441" s="0" t="str">
        <f aca="false">LEFT(G441,2)</f>
        <v>94</v>
      </c>
      <c r="AD441" s="0"/>
      <c r="AE441" s="21" t="s">
        <v>238</v>
      </c>
    </row>
    <row r="442" customFormat="false" ht="15" hidden="false" customHeight="false" outlineLevel="0" collapsed="false">
      <c r="A442" s="13" t="n">
        <f aca="false">1+A441</f>
        <v>440</v>
      </c>
      <c r="B442" s="14" t="n">
        <v>1009562296</v>
      </c>
      <c r="C442" s="15" t="s">
        <v>192</v>
      </c>
      <c r="D442" s="16" t="s">
        <v>64</v>
      </c>
      <c r="E442" s="17" t="s">
        <v>47</v>
      </c>
      <c r="F442" s="18" t="s">
        <v>34</v>
      </c>
      <c r="G442" s="19" t="n">
        <v>943017929051</v>
      </c>
      <c r="H442" s="17" t="s">
        <v>35</v>
      </c>
      <c r="I442" s="17" t="s">
        <v>44</v>
      </c>
      <c r="J442" s="17" t="s">
        <v>121</v>
      </c>
      <c r="K442" s="17" t="str">
        <f aca="false">VLOOKUP(J442,Sheet2!A:B,2,0)</f>
        <v>SHANI GOHIL</v>
      </c>
      <c r="L442" s="17" t="n">
        <v>4</v>
      </c>
      <c r="M442" s="17" t="str">
        <f aca="false">VLOOKUP(L442,Sheet2!D:E,2,0)</f>
        <v>Audio Section</v>
      </c>
      <c r="N442" s="17" t="n">
        <v>9</v>
      </c>
      <c r="O442" s="17" t="str">
        <f aca="false">VLOOKUP(N442,Sheet2!G:H,2,0)</f>
        <v>No Audio - AV</v>
      </c>
      <c r="P442" s="17" t="n">
        <v>11</v>
      </c>
      <c r="Q442" s="17" t="str">
        <f aca="false">VLOOKUP(P442,Sheet2!J:K,2,0)</f>
        <v>IR Declared due to CID -TA</v>
      </c>
      <c r="R442" s="17" t="s">
        <v>35</v>
      </c>
      <c r="S442" s="17" t="str">
        <f aca="false">VLOOKUP(R442,Sheet2!N:O,2,0)</f>
        <v>IREPARABLE</v>
      </c>
      <c r="T442" s="18" t="str">
        <f aca="false">VLOOKUP(P442,Sheet2!Q:R,2,0)</f>
        <v>IR Normal - Track burn out</v>
      </c>
      <c r="U442" s="18" t="s">
        <v>122</v>
      </c>
      <c r="V442" s="17" t="n">
        <v>2</v>
      </c>
      <c r="W442" s="20" t="str">
        <f aca="false">VLOOKUP(V442,Sheet2!Q:R,2,0)</f>
        <v>IR CID -  Water log from other area</v>
      </c>
      <c r="X442" s="17" t="str">
        <f aca="false">J442</f>
        <v>A063</v>
      </c>
      <c r="Y442" s="17" t="str">
        <f aca="false">VLOOKUP(X442,Sheet2!A:B,2,0)</f>
        <v>SHANI GOHIL</v>
      </c>
      <c r="Z442" s="17" t="s">
        <v>292</v>
      </c>
      <c r="AA442" s="17" t="s">
        <v>237</v>
      </c>
      <c r="AB442" s="17" t="s">
        <v>41</v>
      </c>
      <c r="AC442" s="0" t="str">
        <f aca="false">LEFT(G442,2)</f>
        <v>94</v>
      </c>
      <c r="AD442" s="0"/>
      <c r="AE442" s="21" t="s">
        <v>238</v>
      </c>
    </row>
    <row r="443" customFormat="false" ht="15" hidden="false" customHeight="false" outlineLevel="0" collapsed="false">
      <c r="A443" s="13" t="n">
        <f aca="false">1+A442</f>
        <v>441</v>
      </c>
      <c r="B443" s="14" t="n">
        <v>1009452328</v>
      </c>
      <c r="C443" s="15" t="s">
        <v>212</v>
      </c>
      <c r="D443" s="16" t="s">
        <v>64</v>
      </c>
      <c r="E443" s="17" t="s">
        <v>47</v>
      </c>
      <c r="F443" s="18" t="s">
        <v>34</v>
      </c>
      <c r="G443" s="19" t="n">
        <v>942336943967</v>
      </c>
      <c r="H443" s="17" t="s">
        <v>35</v>
      </c>
      <c r="I443" s="17" t="s">
        <v>44</v>
      </c>
      <c r="J443" s="17" t="s">
        <v>121</v>
      </c>
      <c r="K443" s="17" t="str">
        <f aca="false">VLOOKUP(J443,Sheet2!A:B,2,0)</f>
        <v>SHANI GOHIL</v>
      </c>
      <c r="L443" s="17" t="n">
        <v>1</v>
      </c>
      <c r="M443" s="17" t="str">
        <f aca="false">VLOOKUP(L443,Sheet2!D:E,2,0)</f>
        <v>Power Supply Section</v>
      </c>
      <c r="N443" s="17" t="n">
        <v>1</v>
      </c>
      <c r="O443" s="17" t="str">
        <f aca="false">VLOOKUP(N443,Sheet2!G:H,2,0)</f>
        <v>Dead</v>
      </c>
      <c r="P443" s="17" t="n">
        <v>11</v>
      </c>
      <c r="Q443" s="17" t="str">
        <f aca="false">VLOOKUP(P443,Sheet2!J:K,2,0)</f>
        <v>IR Declared due to CID -TA</v>
      </c>
      <c r="R443" s="17" t="s">
        <v>35</v>
      </c>
      <c r="S443" s="17" t="str">
        <f aca="false">VLOOKUP(R443,Sheet2!N:O,2,0)</f>
        <v>IREPARABLE</v>
      </c>
      <c r="T443" s="18" t="str">
        <f aca="false">VLOOKUP(P443,Sheet2!Q:R,2,0)</f>
        <v>IR Normal - Track burn out</v>
      </c>
      <c r="U443" s="18" t="s">
        <v>38</v>
      </c>
      <c r="V443" s="17" t="n">
        <v>4</v>
      </c>
      <c r="W443" s="20" t="str">
        <f aca="false">VLOOKUP(V443,Sheet2!Q:R,2,0)</f>
        <v>IR CID - Tampered Track burn out</v>
      </c>
      <c r="X443" s="17" t="str">
        <f aca="false">J443</f>
        <v>A063</v>
      </c>
      <c r="Y443" s="17" t="str">
        <f aca="false">VLOOKUP(X443,Sheet2!A:B,2,0)</f>
        <v>SHANI GOHIL</v>
      </c>
      <c r="Z443" s="17" t="s">
        <v>293</v>
      </c>
      <c r="AA443" s="17" t="s">
        <v>237</v>
      </c>
      <c r="AB443" s="17" t="s">
        <v>41</v>
      </c>
      <c r="AC443" s="0" t="str">
        <f aca="false">LEFT(G443,2)</f>
        <v>94</v>
      </c>
      <c r="AD443" s="0"/>
      <c r="AE443" s="21" t="s">
        <v>238</v>
      </c>
    </row>
    <row r="444" customFormat="false" ht="15" hidden="false" customHeight="false" outlineLevel="0" collapsed="false">
      <c r="A444" s="13" t="n">
        <f aca="false">1+A443</f>
        <v>442</v>
      </c>
      <c r="B444" s="14" t="n">
        <v>1009571653</v>
      </c>
      <c r="C444" s="15" t="s">
        <v>104</v>
      </c>
      <c r="D444" s="16" t="s">
        <v>175</v>
      </c>
      <c r="E444" s="17" t="s">
        <v>176</v>
      </c>
      <c r="F444" s="18" t="s">
        <v>34</v>
      </c>
      <c r="G444" s="19" t="n">
        <v>987093118907</v>
      </c>
      <c r="H444" s="17" t="s">
        <v>35</v>
      </c>
      <c r="I444" s="17" t="s">
        <v>44</v>
      </c>
      <c r="J444" s="17" t="s">
        <v>289</v>
      </c>
      <c r="K444" s="17" t="str">
        <f aca="false">VLOOKUP(J444,Sheet2!A:B,2,0)</f>
        <v>AJAY KOSHTI</v>
      </c>
      <c r="L444" s="17" t="n">
        <v>1</v>
      </c>
      <c r="M444" s="17" t="str">
        <f aca="false">VLOOKUP(L444,Sheet2!D:E,2,0)</f>
        <v>Power Supply Section</v>
      </c>
      <c r="N444" s="17" t="n">
        <v>1</v>
      </c>
      <c r="O444" s="17" t="str">
        <f aca="false">VLOOKUP(N444,Sheet2!G:H,2,0)</f>
        <v>Dead</v>
      </c>
      <c r="P444" s="17" t="n">
        <v>11</v>
      </c>
      <c r="Q444" s="17" t="str">
        <f aca="false">VLOOKUP(P444,Sheet2!J:K,2,0)</f>
        <v>IR Declared due to CID -TA</v>
      </c>
      <c r="R444" s="17" t="s">
        <v>35</v>
      </c>
      <c r="S444" s="17" t="str">
        <f aca="false">VLOOKUP(R444,Sheet2!N:O,2,0)</f>
        <v>IREPARABLE</v>
      </c>
      <c r="T444" s="18" t="str">
        <f aca="false">VLOOKUP(P444,Sheet2!Q:R,2,0)</f>
        <v>IR Normal - Track burn out</v>
      </c>
      <c r="U444" s="18" t="s">
        <v>122</v>
      </c>
      <c r="V444" s="17" t="n">
        <v>2</v>
      </c>
      <c r="W444" s="20" t="str">
        <f aca="false">VLOOKUP(V444,Sheet2!Q:R,2,0)</f>
        <v>IR CID -  Water log from other area</v>
      </c>
      <c r="X444" s="17" t="str">
        <f aca="false">J444</f>
        <v>A051</v>
      </c>
      <c r="Y444" s="17" t="str">
        <f aca="false">VLOOKUP(X444,Sheet2!A:B,2,0)</f>
        <v>AJAY KOSHTI</v>
      </c>
      <c r="Z444" s="17" t="s">
        <v>294</v>
      </c>
      <c r="AA444" s="17" t="s">
        <v>237</v>
      </c>
      <c r="AB444" s="17" t="s">
        <v>41</v>
      </c>
      <c r="AC444" s="0" t="str">
        <f aca="false">LEFT(G444,2)</f>
        <v>98</v>
      </c>
      <c r="AD444" s="0"/>
      <c r="AE444" s="21" t="s">
        <v>238</v>
      </c>
    </row>
    <row r="445" customFormat="false" ht="15" hidden="false" customHeight="false" outlineLevel="0" collapsed="false">
      <c r="A445" s="13" t="n">
        <f aca="false">1+A444</f>
        <v>443</v>
      </c>
      <c r="B445" s="14" t="n">
        <v>1009577095</v>
      </c>
      <c r="C445" s="15" t="s">
        <v>139</v>
      </c>
      <c r="D445" s="16" t="s">
        <v>64</v>
      </c>
      <c r="E445" s="17" t="s">
        <v>64</v>
      </c>
      <c r="F445" s="18" t="s">
        <v>70</v>
      </c>
      <c r="G445" s="19" t="n">
        <v>986127103448</v>
      </c>
      <c r="H445" s="17" t="s">
        <v>35</v>
      </c>
      <c r="I445" s="17" t="s">
        <v>44</v>
      </c>
      <c r="J445" s="17" t="s">
        <v>121</v>
      </c>
      <c r="K445" s="17" t="str">
        <f aca="false">VLOOKUP(J445,Sheet2!A:B,2,0)</f>
        <v>SHANI GOHIL</v>
      </c>
      <c r="L445" s="17" t="n">
        <v>1</v>
      </c>
      <c r="M445" s="17" t="str">
        <f aca="false">VLOOKUP(L445,Sheet2!D:E,2,0)</f>
        <v>Power Supply Section</v>
      </c>
      <c r="N445" s="17" t="n">
        <v>2</v>
      </c>
      <c r="O445" s="17" t="str">
        <f aca="false">VLOOKUP(N445,Sheet2!G:H,2,0)</f>
        <v>Dead Intermittent</v>
      </c>
      <c r="P445" s="17" t="n">
        <v>12</v>
      </c>
      <c r="Q445" s="17" t="str">
        <f aca="false">VLOOKUP(P445,Sheet2!J:K,2,0)</f>
        <v>IR Declared due to Others ( IR Normal)TB</v>
      </c>
      <c r="R445" s="17" t="s">
        <v>35</v>
      </c>
      <c r="S445" s="17" t="str">
        <f aca="false">VLOOKUP(R445,Sheet2!N:O,2,0)</f>
        <v>IREPARABLE</v>
      </c>
      <c r="T445" s="18" t="str">
        <f aca="false">VLOOKUP(P445,Sheet2!Q:R,2,0)</f>
        <v>IR Normal - BER to IR</v>
      </c>
      <c r="U445" s="18" t="s">
        <v>101</v>
      </c>
      <c r="V445" s="17" t="n">
        <v>8</v>
      </c>
      <c r="W445" s="20" t="str">
        <f aca="false">VLOOKUP(V445,Sheet2!Q:R,2,0)</f>
        <v>IR Normal -TrackRust/InternalDamage/open</v>
      </c>
      <c r="X445" s="17" t="str">
        <f aca="false">J445</f>
        <v>A063</v>
      </c>
      <c r="Y445" s="17" t="str">
        <f aca="false">VLOOKUP(X445,Sheet2!A:B,2,0)</f>
        <v>SHANI GOHIL</v>
      </c>
      <c r="Z445" s="17" t="s">
        <v>295</v>
      </c>
      <c r="AA445" s="17" t="s">
        <v>237</v>
      </c>
      <c r="AB445" s="17" t="s">
        <v>41</v>
      </c>
      <c r="AC445" s="0" t="str">
        <f aca="false">LEFT(G445,2)</f>
        <v>98</v>
      </c>
      <c r="AD445" s="0"/>
      <c r="AE445" s="21" t="s">
        <v>238</v>
      </c>
    </row>
    <row r="446" customFormat="false" ht="15" hidden="false" customHeight="false" outlineLevel="0" collapsed="false">
      <c r="A446" s="13" t="n">
        <f aca="false">1+A445</f>
        <v>444</v>
      </c>
      <c r="B446" s="14" t="n">
        <v>1009561816</v>
      </c>
      <c r="C446" s="15" t="s">
        <v>192</v>
      </c>
      <c r="D446" s="16" t="s">
        <v>269</v>
      </c>
      <c r="E446" s="17" t="s">
        <v>91</v>
      </c>
      <c r="F446" s="18" t="s">
        <v>92</v>
      </c>
      <c r="G446" s="19" t="n">
        <v>986156220139</v>
      </c>
      <c r="H446" s="17" t="s">
        <v>35</v>
      </c>
      <c r="I446" s="17" t="s">
        <v>44</v>
      </c>
      <c r="J446" s="17" t="s">
        <v>289</v>
      </c>
      <c r="K446" s="17" t="str">
        <f aca="false">VLOOKUP(J446,Sheet2!A:B,2,0)</f>
        <v>AJAY KOSHTI</v>
      </c>
      <c r="L446" s="17" t="n">
        <v>1</v>
      </c>
      <c r="M446" s="17" t="str">
        <f aca="false">VLOOKUP(L446,Sheet2!D:E,2,0)</f>
        <v>Power Supply Section</v>
      </c>
      <c r="N446" s="17" t="n">
        <v>1</v>
      </c>
      <c r="O446" s="17" t="str">
        <f aca="false">VLOOKUP(N446,Sheet2!G:H,2,0)</f>
        <v>Dead</v>
      </c>
      <c r="P446" s="17" t="n">
        <v>12</v>
      </c>
      <c r="Q446" s="17" t="str">
        <f aca="false">VLOOKUP(P446,Sheet2!J:K,2,0)</f>
        <v>IR Declared due to Others ( IR Normal)TB</v>
      </c>
      <c r="R446" s="17" t="s">
        <v>35</v>
      </c>
      <c r="S446" s="17" t="str">
        <f aca="false">VLOOKUP(R446,Sheet2!N:O,2,0)</f>
        <v>IREPARABLE</v>
      </c>
      <c r="T446" s="18" t="str">
        <f aca="false">VLOOKUP(P446,Sheet2!Q:R,2,0)</f>
        <v>IR Normal - BER to IR</v>
      </c>
      <c r="U446" s="18" t="s">
        <v>101</v>
      </c>
      <c r="V446" s="17" t="n">
        <v>8</v>
      </c>
      <c r="W446" s="20" t="str">
        <f aca="false">VLOOKUP(V446,Sheet2!Q:R,2,0)</f>
        <v>IR Normal -TrackRust/InternalDamage/open</v>
      </c>
      <c r="X446" s="17" t="str">
        <f aca="false">J446</f>
        <v>A051</v>
      </c>
      <c r="Y446" s="17" t="str">
        <f aca="false">VLOOKUP(X446,Sheet2!A:B,2,0)</f>
        <v>AJAY KOSHTI</v>
      </c>
      <c r="Z446" s="17" t="s">
        <v>141</v>
      </c>
      <c r="AA446" s="17" t="s">
        <v>237</v>
      </c>
      <c r="AB446" s="17" t="s">
        <v>41</v>
      </c>
      <c r="AC446" s="0" t="str">
        <f aca="false">LEFT(G446,2)</f>
        <v>98</v>
      </c>
      <c r="AD446" s="0"/>
      <c r="AE446" s="21" t="s">
        <v>238</v>
      </c>
    </row>
    <row r="447" customFormat="false" ht="15" hidden="false" customHeight="false" outlineLevel="0" collapsed="false">
      <c r="A447" s="13" t="n">
        <f aca="false">1+A446</f>
        <v>445</v>
      </c>
      <c r="B447" s="14" t="n">
        <v>1009560022</v>
      </c>
      <c r="C447" s="15" t="s">
        <v>192</v>
      </c>
      <c r="D447" s="16" t="s">
        <v>281</v>
      </c>
      <c r="E447" s="17" t="s">
        <v>255</v>
      </c>
      <c r="F447" s="18" t="s">
        <v>34</v>
      </c>
      <c r="G447" s="19" t="n">
        <v>986168129799</v>
      </c>
      <c r="H447" s="17" t="s">
        <v>35</v>
      </c>
      <c r="I447" s="17" t="s">
        <v>44</v>
      </c>
      <c r="J447" s="17" t="s">
        <v>121</v>
      </c>
      <c r="K447" s="17" t="str">
        <f aca="false">VLOOKUP(J447,Sheet2!A:B,2,0)</f>
        <v>SHANI GOHIL</v>
      </c>
      <c r="L447" s="17" t="n">
        <v>5</v>
      </c>
      <c r="M447" s="17" t="str">
        <f aca="false">VLOOKUP(L447,Sheet2!D:E,2,0)</f>
        <v>Main Processor CPU BGA</v>
      </c>
      <c r="N447" s="17" t="n">
        <v>24</v>
      </c>
      <c r="O447" s="17" t="str">
        <f aca="false">VLOOKUP(N447,Sheet2!G:H,2,0)</f>
        <v>STB Auto moving -Stand by mode</v>
      </c>
      <c r="P447" s="17" t="n">
        <v>11</v>
      </c>
      <c r="Q447" s="17" t="str">
        <f aca="false">VLOOKUP(P447,Sheet2!J:K,2,0)</f>
        <v>IR Declared due to CID -TA</v>
      </c>
      <c r="R447" s="17" t="s">
        <v>35</v>
      </c>
      <c r="S447" s="17" t="str">
        <f aca="false">VLOOKUP(R447,Sheet2!N:O,2,0)</f>
        <v>IREPARABLE</v>
      </c>
      <c r="T447" s="18" t="str">
        <f aca="false">VLOOKUP(P447,Sheet2!Q:R,2,0)</f>
        <v>IR Normal - Track burn out</v>
      </c>
      <c r="U447" s="18" t="s">
        <v>122</v>
      </c>
      <c r="V447" s="17" t="n">
        <v>2</v>
      </c>
      <c r="W447" s="20" t="str">
        <f aca="false">VLOOKUP(V447,Sheet2!Q:R,2,0)</f>
        <v>IR CID -  Water log from other area</v>
      </c>
      <c r="X447" s="17" t="str">
        <f aca="false">J447</f>
        <v>A063</v>
      </c>
      <c r="Y447" s="17" t="str">
        <f aca="false">VLOOKUP(X447,Sheet2!A:B,2,0)</f>
        <v>SHANI GOHIL</v>
      </c>
      <c r="Z447" s="17" t="s">
        <v>296</v>
      </c>
      <c r="AA447" s="17" t="s">
        <v>237</v>
      </c>
      <c r="AB447" s="17" t="s">
        <v>41</v>
      </c>
      <c r="AC447" s="0" t="str">
        <f aca="false">LEFT(G447,2)</f>
        <v>98</v>
      </c>
      <c r="AD447" s="0"/>
      <c r="AE447" s="21" t="s">
        <v>238</v>
      </c>
    </row>
    <row r="448" customFormat="false" ht="15" hidden="false" customHeight="false" outlineLevel="0" collapsed="false">
      <c r="A448" s="13" t="n">
        <f aca="false">1+A447</f>
        <v>446</v>
      </c>
      <c r="B448" s="14" t="n">
        <v>1009561319</v>
      </c>
      <c r="C448" s="15" t="s">
        <v>192</v>
      </c>
      <c r="D448" s="16" t="s">
        <v>221</v>
      </c>
      <c r="E448" s="17" t="s">
        <v>91</v>
      </c>
      <c r="F448" s="18" t="s">
        <v>92</v>
      </c>
      <c r="G448" s="19" t="n">
        <v>987199133826</v>
      </c>
      <c r="H448" s="17" t="s">
        <v>35</v>
      </c>
      <c r="I448" s="17" t="s">
        <v>44</v>
      </c>
      <c r="J448" s="17" t="s">
        <v>121</v>
      </c>
      <c r="K448" s="17" t="str">
        <f aca="false">VLOOKUP(J448,Sheet2!A:B,2,0)</f>
        <v>SHANI GOHIL</v>
      </c>
      <c r="L448" s="17" t="n">
        <v>1</v>
      </c>
      <c r="M448" s="17" t="str">
        <f aca="false">VLOOKUP(L448,Sheet2!D:E,2,0)</f>
        <v>Power Supply Section</v>
      </c>
      <c r="N448" s="17" t="n">
        <v>24</v>
      </c>
      <c r="O448" s="17" t="str">
        <f aca="false">VLOOKUP(N448,Sheet2!G:H,2,0)</f>
        <v>STB Auto moving -Stand by mode</v>
      </c>
      <c r="P448" s="17" t="n">
        <v>11</v>
      </c>
      <c r="Q448" s="17" t="str">
        <f aca="false">VLOOKUP(P448,Sheet2!J:K,2,0)</f>
        <v>IR Declared due to CID -TA</v>
      </c>
      <c r="R448" s="17" t="s">
        <v>35</v>
      </c>
      <c r="S448" s="17" t="str">
        <f aca="false">VLOOKUP(R448,Sheet2!N:O,2,0)</f>
        <v>IREPARABLE</v>
      </c>
      <c r="T448" s="18" t="str">
        <f aca="false">VLOOKUP(P448,Sheet2!Q:R,2,0)</f>
        <v>IR Normal - Track burn out</v>
      </c>
      <c r="U448" s="18" t="s">
        <v>122</v>
      </c>
      <c r="V448" s="17" t="n">
        <v>2</v>
      </c>
      <c r="W448" s="20" t="str">
        <f aca="false">VLOOKUP(V448,Sheet2!Q:R,2,0)</f>
        <v>IR CID -  Water log from other area</v>
      </c>
      <c r="X448" s="17" t="str">
        <f aca="false">J448</f>
        <v>A063</v>
      </c>
      <c r="Y448" s="17" t="str">
        <f aca="false">VLOOKUP(X448,Sheet2!A:B,2,0)</f>
        <v>SHANI GOHIL</v>
      </c>
      <c r="Z448" s="17" t="s">
        <v>297</v>
      </c>
      <c r="AA448" s="17" t="s">
        <v>237</v>
      </c>
      <c r="AB448" s="17" t="s">
        <v>41</v>
      </c>
      <c r="AC448" s="0" t="str">
        <f aca="false">LEFT(G448,2)</f>
        <v>98</v>
      </c>
      <c r="AD448" s="0"/>
      <c r="AE448" s="21" t="s">
        <v>238</v>
      </c>
    </row>
    <row r="449" customFormat="false" ht="15" hidden="false" customHeight="false" outlineLevel="0" collapsed="false">
      <c r="A449" s="13" t="n">
        <f aca="false">1+A448</f>
        <v>447</v>
      </c>
      <c r="B449" s="14" t="n">
        <v>1009571181</v>
      </c>
      <c r="C449" s="15" t="s">
        <v>102</v>
      </c>
      <c r="D449" s="16" t="s">
        <v>64</v>
      </c>
      <c r="E449" s="17" t="s">
        <v>64</v>
      </c>
      <c r="F449" s="18" t="s">
        <v>70</v>
      </c>
      <c r="G449" s="19" t="n">
        <v>986005103536</v>
      </c>
      <c r="H449" s="17" t="s">
        <v>35</v>
      </c>
      <c r="I449" s="17" t="s">
        <v>44</v>
      </c>
      <c r="J449" s="17" t="s">
        <v>121</v>
      </c>
      <c r="K449" s="17" t="str">
        <f aca="false">VLOOKUP(J449,Sheet2!A:B,2,0)</f>
        <v>SHANI GOHIL</v>
      </c>
      <c r="L449" s="17" t="n">
        <v>1</v>
      </c>
      <c r="M449" s="17" t="str">
        <f aca="false">VLOOKUP(L449,Sheet2!D:E,2,0)</f>
        <v>Power Supply Section</v>
      </c>
      <c r="N449" s="17" t="n">
        <v>1</v>
      </c>
      <c r="O449" s="17" t="str">
        <f aca="false">VLOOKUP(N449,Sheet2!G:H,2,0)</f>
        <v>Dead</v>
      </c>
      <c r="P449" s="17" t="n">
        <v>11</v>
      </c>
      <c r="Q449" s="17" t="str">
        <f aca="false">VLOOKUP(P449,Sheet2!J:K,2,0)</f>
        <v>IR Declared due to CID -TA</v>
      </c>
      <c r="R449" s="17" t="s">
        <v>35</v>
      </c>
      <c r="S449" s="17" t="str">
        <f aca="false">VLOOKUP(R449,Sheet2!N:O,2,0)</f>
        <v>IREPARABLE</v>
      </c>
      <c r="T449" s="18" t="str">
        <f aca="false">VLOOKUP(P449,Sheet2!Q:R,2,0)</f>
        <v>IR Normal - Track burn out</v>
      </c>
      <c r="U449" s="18" t="s">
        <v>122</v>
      </c>
      <c r="V449" s="17" t="n">
        <v>2</v>
      </c>
      <c r="W449" s="20" t="str">
        <f aca="false">VLOOKUP(V449,Sheet2!Q:R,2,0)</f>
        <v>IR CID -  Water log from other area</v>
      </c>
      <c r="X449" s="17" t="str">
        <f aca="false">J449</f>
        <v>A063</v>
      </c>
      <c r="Y449" s="17" t="str">
        <f aca="false">VLOOKUP(X449,Sheet2!A:B,2,0)</f>
        <v>SHANI GOHIL</v>
      </c>
      <c r="Z449" s="17" t="s">
        <v>298</v>
      </c>
      <c r="AA449" s="17" t="s">
        <v>237</v>
      </c>
      <c r="AB449" s="17" t="s">
        <v>41</v>
      </c>
      <c r="AC449" s="0" t="str">
        <f aca="false">LEFT(G449,2)</f>
        <v>98</v>
      </c>
      <c r="AD449" s="0"/>
      <c r="AE449" s="21" t="s">
        <v>238</v>
      </c>
    </row>
    <row r="450" customFormat="false" ht="15" hidden="false" customHeight="false" outlineLevel="0" collapsed="false">
      <c r="A450" s="13" t="n">
        <f aca="false">1+A449</f>
        <v>448</v>
      </c>
      <c r="B450" s="14" t="n">
        <v>1009560112</v>
      </c>
      <c r="C450" s="15" t="s">
        <v>192</v>
      </c>
      <c r="D450" s="16" t="s">
        <v>64</v>
      </c>
      <c r="E450" s="17" t="s">
        <v>64</v>
      </c>
      <c r="F450" s="18" t="s">
        <v>70</v>
      </c>
      <c r="G450" s="19" t="n">
        <v>986165126533</v>
      </c>
      <c r="H450" s="17" t="s">
        <v>35</v>
      </c>
      <c r="I450" s="17" t="s">
        <v>44</v>
      </c>
      <c r="J450" s="17" t="s">
        <v>289</v>
      </c>
      <c r="K450" s="17" t="str">
        <f aca="false">VLOOKUP(J450,Sheet2!A:B,2,0)</f>
        <v>AJAY KOSHTI</v>
      </c>
      <c r="L450" s="17" t="n">
        <v>1</v>
      </c>
      <c r="M450" s="17" t="str">
        <f aca="false">VLOOKUP(L450,Sheet2!D:E,2,0)</f>
        <v>Power Supply Section</v>
      </c>
      <c r="N450" s="17" t="n">
        <v>1</v>
      </c>
      <c r="O450" s="17" t="str">
        <f aca="false">VLOOKUP(N450,Sheet2!G:H,2,0)</f>
        <v>Dead</v>
      </c>
      <c r="P450" s="17" t="n">
        <v>12</v>
      </c>
      <c r="Q450" s="17" t="str">
        <f aca="false">VLOOKUP(P450,Sheet2!J:K,2,0)</f>
        <v>IR Declared due to Others ( IR Normal)TB</v>
      </c>
      <c r="R450" s="17" t="s">
        <v>35</v>
      </c>
      <c r="S450" s="17" t="str">
        <f aca="false">VLOOKUP(R450,Sheet2!N:O,2,0)</f>
        <v>IREPARABLE</v>
      </c>
      <c r="T450" s="18" t="str">
        <f aca="false">VLOOKUP(P450,Sheet2!Q:R,2,0)</f>
        <v>IR Normal - BER to IR</v>
      </c>
      <c r="U450" s="18" t="s">
        <v>101</v>
      </c>
      <c r="V450" s="17" t="n">
        <v>8</v>
      </c>
      <c r="W450" s="20" t="str">
        <f aca="false">VLOOKUP(V450,Sheet2!Q:R,2,0)</f>
        <v>IR Normal -TrackRust/InternalDamage/open</v>
      </c>
      <c r="X450" s="17" t="str">
        <f aca="false">J450</f>
        <v>A051</v>
      </c>
      <c r="Y450" s="17" t="str">
        <f aca="false">VLOOKUP(X450,Sheet2!A:B,2,0)</f>
        <v>AJAY KOSHTI</v>
      </c>
      <c r="Z450" s="17" t="s">
        <v>298</v>
      </c>
      <c r="AA450" s="17" t="s">
        <v>237</v>
      </c>
      <c r="AB450" s="17" t="s">
        <v>41</v>
      </c>
      <c r="AC450" s="0" t="str">
        <f aca="false">LEFT(G450,2)</f>
        <v>98</v>
      </c>
      <c r="AD450" s="0"/>
      <c r="AE450" s="21" t="s">
        <v>238</v>
      </c>
    </row>
    <row r="451" customFormat="false" ht="15" hidden="false" customHeight="false" outlineLevel="0" collapsed="false">
      <c r="A451" s="13" t="n">
        <f aca="false">1+A450</f>
        <v>449</v>
      </c>
      <c r="B451" s="14" t="n">
        <v>1009560801</v>
      </c>
      <c r="C451" s="15" t="s">
        <v>192</v>
      </c>
      <c r="D451" s="16" t="s">
        <v>108</v>
      </c>
      <c r="E451" s="17" t="s">
        <v>91</v>
      </c>
      <c r="F451" s="18" t="s">
        <v>92</v>
      </c>
      <c r="G451" s="19" t="n">
        <v>134119335815</v>
      </c>
      <c r="H451" s="17" t="s">
        <v>35</v>
      </c>
      <c r="I451" s="17" t="s">
        <v>44</v>
      </c>
      <c r="J451" s="17" t="s">
        <v>289</v>
      </c>
      <c r="K451" s="17" t="str">
        <f aca="false">VLOOKUP(J451,Sheet2!A:B,2,0)</f>
        <v>AJAY KOSHTI</v>
      </c>
      <c r="L451" s="17" t="n">
        <v>1</v>
      </c>
      <c r="M451" s="17" t="str">
        <f aca="false">VLOOKUP(L451,Sheet2!D:E,2,0)</f>
        <v>Power Supply Section</v>
      </c>
      <c r="N451" s="17" t="n">
        <v>1</v>
      </c>
      <c r="O451" s="17" t="str">
        <f aca="false">VLOOKUP(N451,Sheet2!G:H,2,0)</f>
        <v>Dead</v>
      </c>
      <c r="P451" s="17" t="n">
        <v>11</v>
      </c>
      <c r="Q451" s="17" t="str">
        <f aca="false">VLOOKUP(P451,Sheet2!J:K,2,0)</f>
        <v>IR Declared due to CID -TA</v>
      </c>
      <c r="R451" s="17" t="s">
        <v>35</v>
      </c>
      <c r="S451" s="17" t="str">
        <f aca="false">VLOOKUP(R451,Sheet2!N:O,2,0)</f>
        <v>IREPARABLE</v>
      </c>
      <c r="T451" s="18" t="str">
        <f aca="false">VLOOKUP(P451,Sheet2!Q:R,2,0)</f>
        <v>IR Normal - Track burn out</v>
      </c>
      <c r="U451" s="18" t="s">
        <v>122</v>
      </c>
      <c r="V451" s="17" t="n">
        <v>2</v>
      </c>
      <c r="W451" s="20" t="str">
        <f aca="false">VLOOKUP(V451,Sheet2!Q:R,2,0)</f>
        <v>IR CID -  Water log from other area</v>
      </c>
      <c r="X451" s="17" t="str">
        <f aca="false">J451</f>
        <v>A051</v>
      </c>
      <c r="Y451" s="17" t="str">
        <f aca="false">VLOOKUP(X451,Sheet2!A:B,2,0)</f>
        <v>AJAY KOSHTI</v>
      </c>
      <c r="Z451" s="17" t="s">
        <v>136</v>
      </c>
      <c r="AA451" s="17" t="s">
        <v>237</v>
      </c>
      <c r="AB451" s="17" t="s">
        <v>41</v>
      </c>
      <c r="AC451" s="0" t="str">
        <f aca="false">LEFT(G451,2)</f>
        <v>13</v>
      </c>
      <c r="AD451" s="0"/>
      <c r="AE451" s="21" t="s">
        <v>238</v>
      </c>
    </row>
    <row r="452" customFormat="false" ht="15" hidden="false" customHeight="false" outlineLevel="0" collapsed="false">
      <c r="A452" s="13" t="n">
        <f aca="false">1+A451</f>
        <v>450</v>
      </c>
      <c r="B452" s="14" t="n">
        <v>1009416558</v>
      </c>
      <c r="C452" s="15" t="s">
        <v>179</v>
      </c>
      <c r="D452" s="16" t="s">
        <v>64</v>
      </c>
      <c r="E452" s="17" t="s">
        <v>64</v>
      </c>
      <c r="F452" s="18" t="s">
        <v>70</v>
      </c>
      <c r="G452" s="19" t="n">
        <v>413161200253</v>
      </c>
      <c r="H452" s="17" t="s">
        <v>35</v>
      </c>
      <c r="I452" s="17" t="s">
        <v>44</v>
      </c>
      <c r="J452" s="17" t="s">
        <v>289</v>
      </c>
      <c r="K452" s="17" t="str">
        <f aca="false">VLOOKUP(J452,Sheet2!A:B,2,0)</f>
        <v>AJAY KOSHTI</v>
      </c>
      <c r="L452" s="17" t="n">
        <v>1</v>
      </c>
      <c r="M452" s="17" t="str">
        <f aca="false">VLOOKUP(L452,Sheet2!D:E,2,0)</f>
        <v>Power Supply Section</v>
      </c>
      <c r="N452" s="17" t="n">
        <v>1</v>
      </c>
      <c r="O452" s="17" t="str">
        <f aca="false">VLOOKUP(N452,Sheet2!G:H,2,0)</f>
        <v>Dead</v>
      </c>
      <c r="P452" s="17" t="n">
        <v>11</v>
      </c>
      <c r="Q452" s="17" t="str">
        <f aca="false">VLOOKUP(P452,Sheet2!J:K,2,0)</f>
        <v>IR Declared due to CID -TA</v>
      </c>
      <c r="R452" s="17" t="s">
        <v>35</v>
      </c>
      <c r="S452" s="17" t="str">
        <f aca="false">VLOOKUP(R452,Sheet2!N:O,2,0)</f>
        <v>IREPARABLE</v>
      </c>
      <c r="T452" s="18" t="str">
        <f aca="false">VLOOKUP(P452,Sheet2!Q:R,2,0)</f>
        <v>IR Normal - Track burn out</v>
      </c>
      <c r="U452" s="18" t="s">
        <v>120</v>
      </c>
      <c r="V452" s="17" t="n">
        <v>6</v>
      </c>
      <c r="W452" s="20" t="str">
        <f aca="false">VLOOKUP(V452,Sheet2!Q:R,2,0)</f>
        <v>IR CID -Fullydamage-Broken/Dent/Burn out</v>
      </c>
      <c r="X452" s="17" t="str">
        <f aca="false">J452</f>
        <v>A051</v>
      </c>
      <c r="Y452" s="17" t="str">
        <f aca="false">VLOOKUP(X452,Sheet2!A:B,2,0)</f>
        <v>AJAY KOSHTI</v>
      </c>
      <c r="Z452" s="17" t="s">
        <v>136</v>
      </c>
      <c r="AA452" s="17" t="s">
        <v>237</v>
      </c>
      <c r="AB452" s="17" t="s">
        <v>41</v>
      </c>
      <c r="AC452" s="0" t="str">
        <f aca="false">LEFT(G452,2)</f>
        <v>41</v>
      </c>
      <c r="AD452" s="0"/>
      <c r="AE452" s="21" t="s">
        <v>238</v>
      </c>
    </row>
    <row r="453" customFormat="false" ht="15" hidden="false" customHeight="false" outlineLevel="0" collapsed="false">
      <c r="A453" s="13" t="n">
        <f aca="false">1+A452</f>
        <v>451</v>
      </c>
      <c r="B453" s="14" t="n">
        <v>1009611901</v>
      </c>
      <c r="C453" s="15" t="s">
        <v>181</v>
      </c>
      <c r="D453" s="16" t="s">
        <v>64</v>
      </c>
      <c r="E453" s="17" t="s">
        <v>64</v>
      </c>
      <c r="F453" s="18" t="s">
        <v>70</v>
      </c>
      <c r="G453" s="19" t="n">
        <v>413322201299</v>
      </c>
      <c r="H453" s="17" t="s">
        <v>35</v>
      </c>
      <c r="I453" s="17" t="s">
        <v>44</v>
      </c>
      <c r="J453" s="17" t="s">
        <v>118</v>
      </c>
      <c r="K453" s="17" t="str">
        <f aca="false">VLOOKUP(J453,Sheet2!A:B,2,0)</f>
        <v>DEVENDRA RAJPUT</v>
      </c>
      <c r="L453" s="17" t="n">
        <v>1</v>
      </c>
      <c r="M453" s="17" t="str">
        <f aca="false">VLOOKUP(L453,Sheet2!D:E,2,0)</f>
        <v>Power Supply Section</v>
      </c>
      <c r="N453" s="17" t="n">
        <v>1</v>
      </c>
      <c r="O453" s="17" t="str">
        <f aca="false">VLOOKUP(N453,Sheet2!G:H,2,0)</f>
        <v>Dead</v>
      </c>
      <c r="P453" s="17" t="n">
        <v>12</v>
      </c>
      <c r="Q453" s="17" t="str">
        <f aca="false">VLOOKUP(P453,Sheet2!J:K,2,0)</f>
        <v>IR Declared due to Others ( IR Normal)TB</v>
      </c>
      <c r="R453" s="17" t="s">
        <v>35</v>
      </c>
      <c r="S453" s="17" t="str">
        <f aca="false">VLOOKUP(R453,Sheet2!N:O,2,0)</f>
        <v>IREPARABLE</v>
      </c>
      <c r="T453" s="18" t="str">
        <f aca="false">VLOOKUP(P453,Sheet2!Q:R,2,0)</f>
        <v>IR Normal - BER to IR</v>
      </c>
      <c r="U453" s="18" t="s">
        <v>101</v>
      </c>
      <c r="V453" s="17" t="n">
        <v>8</v>
      </c>
      <c r="W453" s="20" t="str">
        <f aca="false">VLOOKUP(V453,Sheet2!Q:R,2,0)</f>
        <v>IR Normal -TrackRust/InternalDamage/open</v>
      </c>
      <c r="X453" s="17" t="str">
        <f aca="false">J453</f>
        <v>A053</v>
      </c>
      <c r="Y453" s="17" t="str">
        <f aca="false">VLOOKUP(X453,Sheet2!A:B,2,0)</f>
        <v>DEVENDRA RAJPUT</v>
      </c>
      <c r="Z453" s="17" t="s">
        <v>149</v>
      </c>
      <c r="AA453" s="17" t="s">
        <v>237</v>
      </c>
      <c r="AB453" s="17" t="s">
        <v>41</v>
      </c>
      <c r="AC453" s="0" t="str">
        <f aca="false">LEFT(G453,2)</f>
        <v>41</v>
      </c>
      <c r="AD453" s="0"/>
      <c r="AE453" s="21" t="s">
        <v>238</v>
      </c>
    </row>
    <row r="454" customFormat="false" ht="15" hidden="false" customHeight="false" outlineLevel="0" collapsed="false">
      <c r="A454" s="13" t="n">
        <f aca="false">1+A453</f>
        <v>452</v>
      </c>
      <c r="B454" s="14" t="n">
        <v>1009390179</v>
      </c>
      <c r="C454" s="15" t="s">
        <v>299</v>
      </c>
      <c r="D454" s="16" t="s">
        <v>64</v>
      </c>
      <c r="E454" s="17" t="s">
        <v>91</v>
      </c>
      <c r="F454" s="18" t="s">
        <v>92</v>
      </c>
      <c r="G454" s="19" t="n">
        <v>954343179741</v>
      </c>
      <c r="H454" s="17" t="s">
        <v>35</v>
      </c>
      <c r="I454" s="17" t="s">
        <v>44</v>
      </c>
      <c r="J454" s="17" t="s">
        <v>121</v>
      </c>
      <c r="K454" s="17" t="str">
        <f aca="false">VLOOKUP(J454,Sheet2!A:B,2,0)</f>
        <v>SHANI GOHIL</v>
      </c>
      <c r="L454" s="17" t="n">
        <v>8</v>
      </c>
      <c r="M454" s="17" t="str">
        <f aca="false">VLOOKUP(L454,Sheet2!D:E,2,0)</f>
        <v>Front Panel PCB Section</v>
      </c>
      <c r="N454" s="17" t="n">
        <v>5</v>
      </c>
      <c r="O454" s="17" t="str">
        <f aca="false">VLOOKUP(N454,Sheet2!G:H,2,0)</f>
        <v>LED Not glow STB functions are OK</v>
      </c>
      <c r="P454" s="17" t="n">
        <v>11</v>
      </c>
      <c r="Q454" s="17" t="str">
        <f aca="false">VLOOKUP(P454,Sheet2!J:K,2,0)</f>
        <v>IR Declared due to CID -TA</v>
      </c>
      <c r="R454" s="17" t="s">
        <v>35</v>
      </c>
      <c r="S454" s="17" t="str">
        <f aca="false">VLOOKUP(R454,Sheet2!N:O,2,0)</f>
        <v>IREPARABLE</v>
      </c>
      <c r="T454" s="18" t="str">
        <f aca="false">VLOOKUP(P454,Sheet2!Q:R,2,0)</f>
        <v>IR Normal - Track burn out</v>
      </c>
      <c r="U454" s="18" t="s">
        <v>38</v>
      </c>
      <c r="V454" s="17" t="n">
        <v>4</v>
      </c>
      <c r="W454" s="20" t="str">
        <f aca="false">VLOOKUP(V454,Sheet2!Q:R,2,0)</f>
        <v>IR CID - Tampered Track burn out</v>
      </c>
      <c r="X454" s="17" t="str">
        <f aca="false">J454</f>
        <v>A063</v>
      </c>
      <c r="Y454" s="17" t="str">
        <f aca="false">VLOOKUP(X454,Sheet2!A:B,2,0)</f>
        <v>SHANI GOHIL</v>
      </c>
      <c r="Z454" s="17" t="s">
        <v>300</v>
      </c>
      <c r="AA454" s="17" t="s">
        <v>237</v>
      </c>
      <c r="AB454" s="17" t="s">
        <v>41</v>
      </c>
      <c r="AC454" s="0" t="str">
        <f aca="false">LEFT(G454,2)</f>
        <v>95</v>
      </c>
      <c r="AD454" s="0"/>
      <c r="AE454" s="21" t="s">
        <v>238</v>
      </c>
    </row>
    <row r="455" customFormat="false" ht="15" hidden="false" customHeight="false" outlineLevel="0" collapsed="false">
      <c r="A455" s="13" t="n">
        <f aca="false">1+A454</f>
        <v>453</v>
      </c>
      <c r="B455" s="14" t="n">
        <v>1009578573</v>
      </c>
      <c r="C455" s="15" t="s">
        <v>139</v>
      </c>
      <c r="D455" s="16" t="s">
        <v>64</v>
      </c>
      <c r="E455" s="17" t="s">
        <v>64</v>
      </c>
      <c r="F455" s="18" t="s">
        <v>70</v>
      </c>
      <c r="G455" s="19" t="n">
        <v>954206143107</v>
      </c>
      <c r="H455" s="17" t="s">
        <v>35</v>
      </c>
      <c r="I455" s="17" t="s">
        <v>44</v>
      </c>
      <c r="J455" s="17" t="s">
        <v>96</v>
      </c>
      <c r="K455" s="17" t="str">
        <f aca="false">VLOOKUP(J455,Sheet2!A:B,2,0)</f>
        <v>JAYESH NAI</v>
      </c>
      <c r="L455" s="17" t="n">
        <v>1</v>
      </c>
      <c r="M455" s="17" t="str">
        <f aca="false">VLOOKUP(L455,Sheet2!D:E,2,0)</f>
        <v>Power Supply Section</v>
      </c>
      <c r="N455" s="17" t="n">
        <v>2</v>
      </c>
      <c r="O455" s="17" t="str">
        <f aca="false">VLOOKUP(N455,Sheet2!G:H,2,0)</f>
        <v>Dead Intermittent</v>
      </c>
      <c r="P455" s="17" t="n">
        <v>11</v>
      </c>
      <c r="Q455" s="17" t="str">
        <f aca="false">VLOOKUP(P455,Sheet2!J:K,2,0)</f>
        <v>IR Declared due to CID -TA</v>
      </c>
      <c r="R455" s="17" t="s">
        <v>35</v>
      </c>
      <c r="S455" s="17" t="str">
        <f aca="false">VLOOKUP(R455,Sheet2!N:O,2,0)</f>
        <v>IREPARABLE</v>
      </c>
      <c r="T455" s="18" t="str">
        <f aca="false">VLOOKUP(P455,Sheet2!Q:R,2,0)</f>
        <v>IR Normal - Track burn out</v>
      </c>
      <c r="U455" s="18" t="s">
        <v>122</v>
      </c>
      <c r="V455" s="17" t="n">
        <v>2</v>
      </c>
      <c r="W455" s="20" t="str">
        <f aca="false">VLOOKUP(V455,Sheet2!Q:R,2,0)</f>
        <v>IR CID -  Water log from other area</v>
      </c>
      <c r="X455" s="17" t="str">
        <f aca="false">J455</f>
        <v>A004</v>
      </c>
      <c r="Y455" s="17" t="str">
        <f aca="false">VLOOKUP(X455,Sheet2!A:B,2,0)</f>
        <v>JAYESH NAI</v>
      </c>
      <c r="Z455" s="17" t="s">
        <v>226</v>
      </c>
      <c r="AA455" s="17" t="s">
        <v>237</v>
      </c>
      <c r="AB455" s="17" t="s">
        <v>41</v>
      </c>
      <c r="AC455" s="0" t="str">
        <f aca="false">LEFT(G455,2)</f>
        <v>95</v>
      </c>
      <c r="AD455" s="0"/>
      <c r="AE455" s="21" t="s">
        <v>238</v>
      </c>
    </row>
    <row r="456" customFormat="false" ht="15" hidden="false" customHeight="false" outlineLevel="0" collapsed="false">
      <c r="A456" s="13" t="n">
        <f aca="false">1+A455</f>
        <v>454</v>
      </c>
      <c r="B456" s="14" t="n">
        <v>1009572235</v>
      </c>
      <c r="C456" s="15" t="s">
        <v>104</v>
      </c>
      <c r="D456" s="16" t="s">
        <v>64</v>
      </c>
      <c r="E456" s="17" t="s">
        <v>91</v>
      </c>
      <c r="F456" s="18" t="s">
        <v>92</v>
      </c>
      <c r="G456" s="19" t="n">
        <v>167309905831</v>
      </c>
      <c r="H456" s="17" t="s">
        <v>35</v>
      </c>
      <c r="I456" s="17" t="s">
        <v>76</v>
      </c>
      <c r="J456" s="17" t="s">
        <v>121</v>
      </c>
      <c r="K456" s="17" t="str">
        <f aca="false">VLOOKUP(J456,Sheet2!A:B,2,0)</f>
        <v>SHANI GOHIL</v>
      </c>
      <c r="L456" s="17" t="n">
        <v>1</v>
      </c>
      <c r="M456" s="17" t="str">
        <f aca="false">VLOOKUP(L456,Sheet2!D:E,2,0)</f>
        <v>Power Supply Section</v>
      </c>
      <c r="N456" s="17" t="n">
        <v>1</v>
      </c>
      <c r="O456" s="17" t="str">
        <f aca="false">VLOOKUP(N456,Sheet2!G:H,2,0)</f>
        <v>Dead</v>
      </c>
      <c r="P456" s="17" t="n">
        <v>11</v>
      </c>
      <c r="Q456" s="17" t="str">
        <f aca="false">VLOOKUP(P456,Sheet2!J:K,2,0)</f>
        <v>IR Declared due to CID -TA</v>
      </c>
      <c r="R456" s="17" t="s">
        <v>35</v>
      </c>
      <c r="S456" s="17" t="str">
        <f aca="false">VLOOKUP(R456,Sheet2!N:O,2,0)</f>
        <v>IREPARABLE</v>
      </c>
      <c r="T456" s="18" t="str">
        <f aca="false">VLOOKUP(P456,Sheet2!Q:R,2,0)</f>
        <v>IR Normal - Track burn out</v>
      </c>
      <c r="U456" s="18" t="s">
        <v>122</v>
      </c>
      <c r="V456" s="17" t="n">
        <v>2</v>
      </c>
      <c r="W456" s="20" t="str">
        <f aca="false">VLOOKUP(V456,Sheet2!Q:R,2,0)</f>
        <v>IR CID -  Water log from other area</v>
      </c>
      <c r="X456" s="17" t="str">
        <f aca="false">J456</f>
        <v>A063</v>
      </c>
      <c r="Y456" s="17" t="str">
        <f aca="false">VLOOKUP(X456,Sheet2!A:B,2,0)</f>
        <v>SHANI GOHIL</v>
      </c>
      <c r="Z456" s="17" t="s">
        <v>301</v>
      </c>
      <c r="AA456" s="17" t="s">
        <v>237</v>
      </c>
      <c r="AB456" s="17" t="s">
        <v>41</v>
      </c>
      <c r="AC456" s="0" t="str">
        <f aca="false">LEFT(G456,2)</f>
        <v>16</v>
      </c>
      <c r="AD456" s="0"/>
      <c r="AE456" s="21" t="s">
        <v>238</v>
      </c>
    </row>
    <row r="457" customFormat="false" ht="15" hidden="false" customHeight="false" outlineLevel="0" collapsed="false">
      <c r="A457" s="13" t="n">
        <f aca="false">1+A456</f>
        <v>455</v>
      </c>
      <c r="B457" s="14" t="n">
        <v>1009576319</v>
      </c>
      <c r="C457" s="15" t="s">
        <v>104</v>
      </c>
      <c r="D457" s="16" t="s">
        <v>175</v>
      </c>
      <c r="E457" s="17" t="s">
        <v>176</v>
      </c>
      <c r="F457" s="18" t="s">
        <v>34</v>
      </c>
      <c r="G457" s="19" t="n">
        <v>167250959191</v>
      </c>
      <c r="H457" s="17" t="s">
        <v>35</v>
      </c>
      <c r="I457" s="17" t="s">
        <v>76</v>
      </c>
      <c r="J457" s="17" t="s">
        <v>289</v>
      </c>
      <c r="K457" s="17" t="str">
        <f aca="false">VLOOKUP(J457,Sheet2!A:B,2,0)</f>
        <v>AJAY KOSHTI</v>
      </c>
      <c r="L457" s="17" t="n">
        <v>1</v>
      </c>
      <c r="M457" s="17" t="str">
        <f aca="false">VLOOKUP(L457,Sheet2!D:E,2,0)</f>
        <v>Power Supply Section</v>
      </c>
      <c r="N457" s="17" t="n">
        <v>1</v>
      </c>
      <c r="O457" s="17" t="str">
        <f aca="false">VLOOKUP(N457,Sheet2!G:H,2,0)</f>
        <v>Dead</v>
      </c>
      <c r="P457" s="17" t="n">
        <v>12</v>
      </c>
      <c r="Q457" s="17" t="str">
        <f aca="false">VLOOKUP(P457,Sheet2!J:K,2,0)</f>
        <v>IR Declared due to Others ( IR Normal)TB</v>
      </c>
      <c r="R457" s="17" t="s">
        <v>35</v>
      </c>
      <c r="S457" s="17" t="str">
        <f aca="false">VLOOKUP(R457,Sheet2!N:O,2,0)</f>
        <v>IREPARABLE</v>
      </c>
      <c r="T457" s="18" t="str">
        <f aca="false">VLOOKUP(P457,Sheet2!Q:R,2,0)</f>
        <v>IR Normal - BER to IR</v>
      </c>
      <c r="U457" s="18" t="s">
        <v>101</v>
      </c>
      <c r="V457" s="17" t="n">
        <v>8</v>
      </c>
      <c r="W457" s="20" t="str">
        <f aca="false">VLOOKUP(V457,Sheet2!Q:R,2,0)</f>
        <v>IR Normal -TrackRust/InternalDamage/open</v>
      </c>
      <c r="X457" s="17" t="str">
        <f aca="false">J457</f>
        <v>A051</v>
      </c>
      <c r="Y457" s="17" t="str">
        <f aca="false">VLOOKUP(X457,Sheet2!A:B,2,0)</f>
        <v>AJAY KOSHTI</v>
      </c>
      <c r="Z457" s="17" t="s">
        <v>302</v>
      </c>
      <c r="AA457" s="17" t="s">
        <v>237</v>
      </c>
      <c r="AB457" s="17" t="s">
        <v>41</v>
      </c>
      <c r="AC457" s="0" t="str">
        <f aca="false">LEFT(G457,2)</f>
        <v>16</v>
      </c>
      <c r="AD457" s="0"/>
      <c r="AE457" s="21" t="s">
        <v>238</v>
      </c>
    </row>
    <row r="458" customFormat="false" ht="15" hidden="false" customHeight="false" outlineLevel="0" collapsed="false">
      <c r="A458" s="13" t="n">
        <f aca="false">1+A457</f>
        <v>456</v>
      </c>
      <c r="B458" s="14" t="n">
        <v>1009579073</v>
      </c>
      <c r="C458" s="15" t="s">
        <v>139</v>
      </c>
      <c r="D458" s="16" t="s">
        <v>167</v>
      </c>
      <c r="E458" s="17" t="s">
        <v>47</v>
      </c>
      <c r="F458" s="18" t="s">
        <v>34</v>
      </c>
      <c r="G458" s="19" t="n">
        <v>429248218589</v>
      </c>
      <c r="H458" s="17" t="s">
        <v>35</v>
      </c>
      <c r="I458" s="17" t="s">
        <v>82</v>
      </c>
      <c r="J458" s="17" t="s">
        <v>241</v>
      </c>
      <c r="K458" s="17" t="str">
        <f aca="false">VLOOKUP(J458,Sheet2!A:B,2,0)</f>
        <v>NILESH NAGAR</v>
      </c>
      <c r="L458" s="17" t="n">
        <v>5</v>
      </c>
      <c r="M458" s="17" t="str">
        <f aca="false">VLOOKUP(L458,Sheet2!D:E,2,0)</f>
        <v>Main Processor CPU BGA</v>
      </c>
      <c r="N458" s="17" t="n">
        <v>1</v>
      </c>
      <c r="O458" s="17" t="str">
        <f aca="false">VLOOKUP(N458,Sheet2!G:H,2,0)</f>
        <v>Dead</v>
      </c>
      <c r="P458" s="17" t="n">
        <v>11</v>
      </c>
      <c r="Q458" s="17" t="str">
        <f aca="false">VLOOKUP(P458,Sheet2!J:K,2,0)</f>
        <v>IR Declared due to CID -TA</v>
      </c>
      <c r="R458" s="17" t="s">
        <v>35</v>
      </c>
      <c r="S458" s="17" t="str">
        <f aca="false">VLOOKUP(R458,Sheet2!N:O,2,0)</f>
        <v>IREPARABLE</v>
      </c>
      <c r="T458" s="18" t="str">
        <f aca="false">VLOOKUP(P458,Sheet2!Q:R,2,0)</f>
        <v>IR Normal - Track burn out</v>
      </c>
      <c r="U458" s="18" t="s">
        <v>256</v>
      </c>
      <c r="V458" s="17" t="n">
        <v>1</v>
      </c>
      <c r="W458" s="20" t="str">
        <f aca="false">VLOOKUP(V458,Sheet2!Q:R,2,0)</f>
        <v>IR CID -  Water log from IF port</v>
      </c>
      <c r="X458" s="17" t="str">
        <f aca="false">J458</f>
        <v>A008</v>
      </c>
      <c r="Y458" s="17" t="str">
        <f aca="false">VLOOKUP(X458,Sheet2!A:B,2,0)</f>
        <v>NILESH NAGAR</v>
      </c>
      <c r="Z458" s="17" t="s">
        <v>303</v>
      </c>
      <c r="AA458" s="17" t="s">
        <v>237</v>
      </c>
      <c r="AB458" s="17" t="s">
        <v>41</v>
      </c>
      <c r="AC458" s="0" t="str">
        <f aca="false">LEFT(G458,2)</f>
        <v>42</v>
      </c>
      <c r="AD458" s="0"/>
      <c r="AE458" s="21" t="s">
        <v>238</v>
      </c>
    </row>
    <row r="459" customFormat="false" ht="15" hidden="false" customHeight="false" outlineLevel="0" collapsed="false">
      <c r="A459" s="13" t="n">
        <f aca="false">1+A458</f>
        <v>457</v>
      </c>
      <c r="B459" s="14" t="n">
        <v>1009566813</v>
      </c>
      <c r="C459" s="15" t="s">
        <v>102</v>
      </c>
      <c r="D459" s="16" t="s">
        <v>304</v>
      </c>
      <c r="E459" s="17" t="s">
        <v>114</v>
      </c>
      <c r="F459" s="18" t="s">
        <v>34</v>
      </c>
      <c r="G459" s="19" t="n">
        <v>421054158793</v>
      </c>
      <c r="H459" s="17" t="s">
        <v>35</v>
      </c>
      <c r="I459" s="17" t="s">
        <v>82</v>
      </c>
      <c r="J459" s="17" t="s">
        <v>239</v>
      </c>
      <c r="K459" s="17" t="str">
        <f aca="false">VLOOKUP(J459,Sheet2!A:B,2,0)</f>
        <v>VASANT PARMAR</v>
      </c>
      <c r="L459" s="17" t="n">
        <v>5</v>
      </c>
      <c r="M459" s="17" t="str">
        <f aca="false">VLOOKUP(L459,Sheet2!D:E,2,0)</f>
        <v>Main Processor CPU BGA</v>
      </c>
      <c r="N459" s="17" t="n">
        <v>6</v>
      </c>
      <c r="O459" s="17" t="str">
        <f aca="false">VLOOKUP(N459,Sheet2!G:H,2,0)</f>
        <v>No Signal</v>
      </c>
      <c r="P459" s="17" t="n">
        <v>11</v>
      </c>
      <c r="Q459" s="17" t="str">
        <f aca="false">VLOOKUP(P459,Sheet2!J:K,2,0)</f>
        <v>IR Declared due to CID -TA</v>
      </c>
      <c r="R459" s="17" t="s">
        <v>35</v>
      </c>
      <c r="S459" s="17" t="str">
        <f aca="false">VLOOKUP(R459,Sheet2!N:O,2,0)</f>
        <v>IREPARABLE</v>
      </c>
      <c r="T459" s="18" t="str">
        <f aca="false">VLOOKUP(P459,Sheet2!Q:R,2,0)</f>
        <v>IR Normal - Track burn out</v>
      </c>
      <c r="U459" s="18" t="s">
        <v>256</v>
      </c>
      <c r="V459" s="17" t="n">
        <v>1</v>
      </c>
      <c r="W459" s="20" t="str">
        <f aca="false">VLOOKUP(V459,Sheet2!Q:R,2,0)</f>
        <v>IR CID -  Water log from IF port</v>
      </c>
      <c r="X459" s="17" t="str">
        <f aca="false">J459</f>
        <v>A005</v>
      </c>
      <c r="Y459" s="17" t="str">
        <f aca="false">VLOOKUP(X459,Sheet2!A:B,2,0)</f>
        <v>VASANT PARMAR</v>
      </c>
      <c r="Z459" s="17" t="s">
        <v>303</v>
      </c>
      <c r="AA459" s="17" t="s">
        <v>237</v>
      </c>
      <c r="AB459" s="17" t="s">
        <v>41</v>
      </c>
      <c r="AC459" s="0" t="str">
        <f aca="false">LEFT(G459,2)</f>
        <v>42</v>
      </c>
      <c r="AD459" s="0"/>
      <c r="AE459" s="21" t="s">
        <v>238</v>
      </c>
    </row>
    <row r="460" customFormat="false" ht="15" hidden="false" customHeight="false" outlineLevel="0" collapsed="false">
      <c r="A460" s="13" t="n">
        <f aca="false">1+A459</f>
        <v>458</v>
      </c>
      <c r="B460" s="14" t="n">
        <v>1009459435</v>
      </c>
      <c r="C460" s="15" t="s">
        <v>305</v>
      </c>
      <c r="D460" s="16" t="s">
        <v>64</v>
      </c>
      <c r="E460" s="17" t="s">
        <v>64</v>
      </c>
      <c r="F460" s="18" t="s">
        <v>70</v>
      </c>
      <c r="G460" s="19" t="n">
        <v>889260122623</v>
      </c>
      <c r="H460" s="17" t="s">
        <v>35</v>
      </c>
      <c r="I460" s="17" t="s">
        <v>79</v>
      </c>
      <c r="J460" s="17" t="s">
        <v>118</v>
      </c>
      <c r="K460" s="17" t="str">
        <f aca="false">VLOOKUP(J460,Sheet2!A:B,2,0)</f>
        <v>DEVENDRA RAJPUT</v>
      </c>
      <c r="L460" s="17" t="n">
        <v>1</v>
      </c>
      <c r="M460" s="17" t="str">
        <f aca="false">VLOOKUP(L460,Sheet2!D:E,2,0)</f>
        <v>Power Supply Section</v>
      </c>
      <c r="N460" s="17" t="n">
        <v>1</v>
      </c>
      <c r="O460" s="17" t="str">
        <f aca="false">VLOOKUP(N460,Sheet2!G:H,2,0)</f>
        <v>Dead</v>
      </c>
      <c r="P460" s="17" t="n">
        <v>11</v>
      </c>
      <c r="Q460" s="17" t="str">
        <f aca="false">VLOOKUP(P460,Sheet2!J:K,2,0)</f>
        <v>IR Declared due to CID -TA</v>
      </c>
      <c r="R460" s="17" t="s">
        <v>35</v>
      </c>
      <c r="S460" s="17" t="str">
        <f aca="false">VLOOKUP(R460,Sheet2!N:O,2,0)</f>
        <v>IREPARABLE</v>
      </c>
      <c r="T460" s="18" t="str">
        <f aca="false">VLOOKUP(P460,Sheet2!Q:R,2,0)</f>
        <v>IR Normal - Track burn out</v>
      </c>
      <c r="U460" s="18" t="s">
        <v>256</v>
      </c>
      <c r="V460" s="17" t="n">
        <v>1</v>
      </c>
      <c r="W460" s="20" t="str">
        <f aca="false">VLOOKUP(V460,Sheet2!Q:R,2,0)</f>
        <v>IR CID -  Water log from IF port</v>
      </c>
      <c r="X460" s="17" t="str">
        <f aca="false">J460</f>
        <v>A053</v>
      </c>
      <c r="Y460" s="17" t="str">
        <f aca="false">VLOOKUP(X460,Sheet2!A:B,2,0)</f>
        <v>DEVENDRA RAJPUT</v>
      </c>
      <c r="Z460" s="17" t="s">
        <v>306</v>
      </c>
      <c r="AA460" s="17" t="s">
        <v>237</v>
      </c>
      <c r="AB460" s="17" t="s">
        <v>41</v>
      </c>
      <c r="AC460" s="0" t="str">
        <f aca="false">LEFT(G460,2)</f>
        <v>88</v>
      </c>
      <c r="AD460" s="0"/>
      <c r="AE460" s="21" t="s">
        <v>238</v>
      </c>
    </row>
    <row r="461" customFormat="false" ht="15" hidden="false" customHeight="false" outlineLevel="0" collapsed="false">
      <c r="A461" s="13" t="n">
        <f aca="false">1+A460</f>
        <v>459</v>
      </c>
      <c r="B461" s="14" t="n">
        <v>1009561068</v>
      </c>
      <c r="C461" s="15" t="s">
        <v>192</v>
      </c>
      <c r="D461" s="16" t="s">
        <v>64</v>
      </c>
      <c r="E461" s="17" t="s">
        <v>178</v>
      </c>
      <c r="F461" s="18" t="s">
        <v>34</v>
      </c>
      <c r="G461" s="19" t="n">
        <v>889290172994</v>
      </c>
      <c r="H461" s="17" t="s">
        <v>35</v>
      </c>
      <c r="I461" s="17" t="s">
        <v>79</v>
      </c>
      <c r="J461" s="17" t="s">
        <v>239</v>
      </c>
      <c r="K461" s="17" t="str">
        <f aca="false">VLOOKUP(J461,Sheet2!A:B,2,0)</f>
        <v>VASANT PARMAR</v>
      </c>
      <c r="L461" s="17" t="n">
        <v>5</v>
      </c>
      <c r="M461" s="17" t="str">
        <f aca="false">VLOOKUP(L461,Sheet2!D:E,2,0)</f>
        <v>Main Processor CPU BGA</v>
      </c>
      <c r="N461" s="17" t="n">
        <v>1</v>
      </c>
      <c r="O461" s="17" t="str">
        <f aca="false">VLOOKUP(N461,Sheet2!G:H,2,0)</f>
        <v>Dead</v>
      </c>
      <c r="P461" s="17" t="n">
        <v>11</v>
      </c>
      <c r="Q461" s="17" t="str">
        <f aca="false">VLOOKUP(P461,Sheet2!J:K,2,0)</f>
        <v>IR Declared due to CID -TA</v>
      </c>
      <c r="R461" s="17" t="s">
        <v>35</v>
      </c>
      <c r="S461" s="17" t="str">
        <f aca="false">VLOOKUP(R461,Sheet2!N:O,2,0)</f>
        <v>IREPARABLE</v>
      </c>
      <c r="T461" s="18" t="str">
        <f aca="false">VLOOKUP(P461,Sheet2!Q:R,2,0)</f>
        <v>IR Normal - Track burn out</v>
      </c>
      <c r="U461" s="18" t="s">
        <v>256</v>
      </c>
      <c r="V461" s="17" t="n">
        <v>1</v>
      </c>
      <c r="W461" s="20" t="str">
        <f aca="false">VLOOKUP(V461,Sheet2!Q:R,2,0)</f>
        <v>IR CID -  Water log from IF port</v>
      </c>
      <c r="X461" s="17" t="str">
        <f aca="false">J461</f>
        <v>A005</v>
      </c>
      <c r="Y461" s="17" t="str">
        <f aca="false">VLOOKUP(X461,Sheet2!A:B,2,0)</f>
        <v>VASANT PARMAR</v>
      </c>
      <c r="Z461" s="17" t="s">
        <v>306</v>
      </c>
      <c r="AA461" s="17" t="s">
        <v>237</v>
      </c>
      <c r="AB461" s="17" t="s">
        <v>41</v>
      </c>
      <c r="AC461" s="0" t="str">
        <f aca="false">LEFT(G461,2)</f>
        <v>88</v>
      </c>
      <c r="AD461" s="0"/>
      <c r="AE461" s="21" t="s">
        <v>238</v>
      </c>
    </row>
    <row r="462" customFormat="false" ht="15" hidden="false" customHeight="false" outlineLevel="0" collapsed="false">
      <c r="A462" s="13" t="n">
        <f aca="false">1+A461</f>
        <v>460</v>
      </c>
      <c r="B462" s="14" t="n">
        <v>1009558754</v>
      </c>
      <c r="C462" s="15" t="s">
        <v>192</v>
      </c>
      <c r="D462" s="16" t="s">
        <v>64</v>
      </c>
      <c r="E462" s="17" t="s">
        <v>64</v>
      </c>
      <c r="F462" s="18" t="s">
        <v>70</v>
      </c>
      <c r="G462" s="19" t="n">
        <v>300359239294</v>
      </c>
      <c r="H462" s="17" t="s">
        <v>35</v>
      </c>
      <c r="I462" s="17" t="s">
        <v>79</v>
      </c>
      <c r="J462" s="17" t="s">
        <v>111</v>
      </c>
      <c r="K462" s="17" t="str">
        <f aca="false">VLOOKUP(J462,Sheet2!A:B,2,0)</f>
        <v>NITIN PRANAMI</v>
      </c>
      <c r="L462" s="17" t="n">
        <v>1</v>
      </c>
      <c r="M462" s="17" t="str">
        <f aca="false">VLOOKUP(L462,Sheet2!D:E,2,0)</f>
        <v>Power Supply Section</v>
      </c>
      <c r="N462" s="17" t="n">
        <v>1</v>
      </c>
      <c r="O462" s="17" t="str">
        <f aca="false">VLOOKUP(N462,Sheet2!G:H,2,0)</f>
        <v>Dead</v>
      </c>
      <c r="P462" s="17" t="n">
        <v>11</v>
      </c>
      <c r="Q462" s="17" t="str">
        <f aca="false">VLOOKUP(P462,Sheet2!J:K,2,0)</f>
        <v>IR Declared due to CID -TA</v>
      </c>
      <c r="R462" s="17" t="s">
        <v>35</v>
      </c>
      <c r="S462" s="17" t="str">
        <f aca="false">VLOOKUP(R462,Sheet2!N:O,2,0)</f>
        <v>IREPARABLE</v>
      </c>
      <c r="T462" s="18" t="str">
        <f aca="false">VLOOKUP(P462,Sheet2!Q:R,2,0)</f>
        <v>IR Normal - Track burn out</v>
      </c>
      <c r="U462" s="18" t="s">
        <v>122</v>
      </c>
      <c r="V462" s="17" t="n">
        <v>2</v>
      </c>
      <c r="W462" s="20" t="str">
        <f aca="false">VLOOKUP(V462,Sheet2!Q:R,2,0)</f>
        <v>IR CID -  Water log from other area</v>
      </c>
      <c r="X462" s="17" t="str">
        <f aca="false">J462</f>
        <v>A031</v>
      </c>
      <c r="Y462" s="17" t="str">
        <f aca="false">VLOOKUP(X462,Sheet2!A:B,2,0)</f>
        <v>NITIN PRANAMI</v>
      </c>
      <c r="Z462" s="17" t="s">
        <v>306</v>
      </c>
      <c r="AA462" s="17" t="s">
        <v>237</v>
      </c>
      <c r="AB462" s="17" t="s">
        <v>41</v>
      </c>
      <c r="AC462" s="0" t="str">
        <f aca="false">LEFT(G462,2)</f>
        <v>30</v>
      </c>
      <c r="AD462" s="0"/>
      <c r="AE462" s="21" t="s">
        <v>238</v>
      </c>
    </row>
    <row r="463" customFormat="false" ht="15" hidden="false" customHeight="false" outlineLevel="0" collapsed="false">
      <c r="A463" s="13" t="n">
        <f aca="false">1+A462</f>
        <v>461</v>
      </c>
      <c r="B463" s="14" t="n">
        <v>1009558805</v>
      </c>
      <c r="C463" s="15" t="s">
        <v>192</v>
      </c>
      <c r="D463" s="16" t="s">
        <v>64</v>
      </c>
      <c r="E463" s="17" t="s">
        <v>47</v>
      </c>
      <c r="F463" s="18" t="s">
        <v>34</v>
      </c>
      <c r="G463" s="19" t="n">
        <v>889317752760</v>
      </c>
      <c r="H463" s="17" t="s">
        <v>35</v>
      </c>
      <c r="I463" s="17" t="s">
        <v>79</v>
      </c>
      <c r="J463" s="17" t="s">
        <v>100</v>
      </c>
      <c r="K463" s="17" t="str">
        <f aca="false">VLOOKUP(J463,Sheet2!A:B,2,0)</f>
        <v>PIYUSH CHAVDA</v>
      </c>
      <c r="L463" s="17" t="n">
        <v>5</v>
      </c>
      <c r="M463" s="17" t="str">
        <f aca="false">VLOOKUP(L463,Sheet2!D:E,2,0)</f>
        <v>Main Processor CPU BGA</v>
      </c>
      <c r="N463" s="17" t="n">
        <v>1</v>
      </c>
      <c r="O463" s="17" t="str">
        <f aca="false">VLOOKUP(N463,Sheet2!G:H,2,0)</f>
        <v>Dead</v>
      </c>
      <c r="P463" s="17" t="n">
        <v>11</v>
      </c>
      <c r="Q463" s="17" t="str">
        <f aca="false">VLOOKUP(P463,Sheet2!J:K,2,0)</f>
        <v>IR Declared due to CID -TA</v>
      </c>
      <c r="R463" s="17" t="s">
        <v>35</v>
      </c>
      <c r="S463" s="17" t="str">
        <f aca="false">VLOOKUP(R463,Sheet2!N:O,2,0)</f>
        <v>IREPARABLE</v>
      </c>
      <c r="T463" s="18" t="str">
        <f aca="false">VLOOKUP(P463,Sheet2!Q:R,2,0)</f>
        <v>IR Normal - Track burn out</v>
      </c>
      <c r="U463" s="18" t="s">
        <v>256</v>
      </c>
      <c r="V463" s="17" t="n">
        <v>1</v>
      </c>
      <c r="W463" s="20" t="str">
        <f aca="false">VLOOKUP(V463,Sheet2!Q:R,2,0)</f>
        <v>IR CID -  Water log from IF port</v>
      </c>
      <c r="X463" s="17" t="str">
        <f aca="false">J463</f>
        <v>A050</v>
      </c>
      <c r="Y463" s="17" t="str">
        <f aca="false">VLOOKUP(X463,Sheet2!A:B,2,0)</f>
        <v>PIYUSH CHAVDA</v>
      </c>
      <c r="Z463" s="17" t="s">
        <v>307</v>
      </c>
      <c r="AA463" s="17" t="s">
        <v>237</v>
      </c>
      <c r="AB463" s="17" t="s">
        <v>41</v>
      </c>
      <c r="AC463" s="0" t="str">
        <f aca="false">LEFT(G463,2)</f>
        <v>88</v>
      </c>
      <c r="AD463" s="0"/>
      <c r="AE463" s="21" t="s">
        <v>238</v>
      </c>
    </row>
    <row r="464" customFormat="false" ht="15" hidden="false" customHeight="false" outlineLevel="0" collapsed="false">
      <c r="A464" s="13" t="n">
        <f aca="false">1+A463</f>
        <v>462</v>
      </c>
      <c r="B464" s="14" t="n">
        <v>1009561655</v>
      </c>
      <c r="C464" s="15" t="s">
        <v>192</v>
      </c>
      <c r="D464" s="16" t="s">
        <v>64</v>
      </c>
      <c r="E464" s="17" t="s">
        <v>47</v>
      </c>
      <c r="F464" s="18" t="s">
        <v>34</v>
      </c>
      <c r="G464" s="19" t="n">
        <v>879173104230</v>
      </c>
      <c r="H464" s="17" t="s">
        <v>35</v>
      </c>
      <c r="I464" s="17" t="s">
        <v>79</v>
      </c>
      <c r="J464" s="17" t="s">
        <v>111</v>
      </c>
      <c r="K464" s="17" t="str">
        <f aca="false">VLOOKUP(J464,Sheet2!A:B,2,0)</f>
        <v>NITIN PRANAMI</v>
      </c>
      <c r="L464" s="17" t="n">
        <v>1</v>
      </c>
      <c r="M464" s="17" t="str">
        <f aca="false">VLOOKUP(L464,Sheet2!D:E,2,0)</f>
        <v>Power Supply Section</v>
      </c>
      <c r="N464" s="17" t="n">
        <v>1</v>
      </c>
      <c r="O464" s="17" t="str">
        <f aca="false">VLOOKUP(N464,Sheet2!G:H,2,0)</f>
        <v>Dead</v>
      </c>
      <c r="P464" s="17" t="n">
        <v>11</v>
      </c>
      <c r="Q464" s="17" t="str">
        <f aca="false">VLOOKUP(P464,Sheet2!J:K,2,0)</f>
        <v>IR Declared due to CID -TA</v>
      </c>
      <c r="R464" s="17" t="s">
        <v>35</v>
      </c>
      <c r="S464" s="17" t="str">
        <f aca="false">VLOOKUP(R464,Sheet2!N:O,2,0)</f>
        <v>IREPARABLE</v>
      </c>
      <c r="T464" s="18" t="str">
        <f aca="false">VLOOKUP(P464,Sheet2!Q:R,2,0)</f>
        <v>IR Normal - Track burn out</v>
      </c>
      <c r="U464" s="18" t="s">
        <v>122</v>
      </c>
      <c r="V464" s="17" t="n">
        <v>2</v>
      </c>
      <c r="W464" s="20" t="str">
        <f aca="false">VLOOKUP(V464,Sheet2!Q:R,2,0)</f>
        <v>IR CID -  Water log from other area</v>
      </c>
      <c r="X464" s="17" t="str">
        <f aca="false">J464</f>
        <v>A031</v>
      </c>
      <c r="Y464" s="17" t="str">
        <f aca="false">VLOOKUP(X464,Sheet2!A:B,2,0)</f>
        <v>NITIN PRANAMI</v>
      </c>
      <c r="Z464" s="17" t="s">
        <v>306</v>
      </c>
      <c r="AA464" s="17" t="s">
        <v>237</v>
      </c>
      <c r="AB464" s="17" t="s">
        <v>41</v>
      </c>
      <c r="AC464" s="0" t="str">
        <f aca="false">LEFT(G464,2)</f>
        <v>87</v>
      </c>
      <c r="AD464" s="0"/>
      <c r="AE464" s="21" t="s">
        <v>238</v>
      </c>
    </row>
    <row r="465" customFormat="false" ht="15" hidden="false" customHeight="false" outlineLevel="0" collapsed="false">
      <c r="A465" s="13" t="n">
        <f aca="false">1+A464</f>
        <v>463</v>
      </c>
      <c r="B465" s="14" t="n">
        <v>1009558744</v>
      </c>
      <c r="C465" s="15" t="s">
        <v>192</v>
      </c>
      <c r="D465" s="16" t="s">
        <v>250</v>
      </c>
      <c r="E465" s="17" t="s">
        <v>47</v>
      </c>
      <c r="F465" s="18" t="s">
        <v>34</v>
      </c>
      <c r="G465" s="19" t="n">
        <v>300346145711</v>
      </c>
      <c r="H465" s="17" t="s">
        <v>35</v>
      </c>
      <c r="I465" s="17" t="s">
        <v>79</v>
      </c>
      <c r="J465" s="17" t="s">
        <v>241</v>
      </c>
      <c r="K465" s="17" t="str">
        <f aca="false">VLOOKUP(J465,Sheet2!A:B,2,0)</f>
        <v>NILESH NAGAR</v>
      </c>
      <c r="L465" s="17" t="n">
        <v>5</v>
      </c>
      <c r="M465" s="17" t="str">
        <f aca="false">VLOOKUP(L465,Sheet2!D:E,2,0)</f>
        <v>Main Processor CPU BGA</v>
      </c>
      <c r="N465" s="17" t="n">
        <v>1</v>
      </c>
      <c r="O465" s="17" t="str">
        <f aca="false">VLOOKUP(N465,Sheet2!G:H,2,0)</f>
        <v>Dead</v>
      </c>
      <c r="P465" s="17" t="n">
        <v>11</v>
      </c>
      <c r="Q465" s="17" t="str">
        <f aca="false">VLOOKUP(P465,Sheet2!J:K,2,0)</f>
        <v>IR Declared due to CID -TA</v>
      </c>
      <c r="R465" s="17" t="s">
        <v>35</v>
      </c>
      <c r="S465" s="17" t="str">
        <f aca="false">VLOOKUP(R465,Sheet2!N:O,2,0)</f>
        <v>IREPARABLE</v>
      </c>
      <c r="T465" s="18" t="str">
        <f aca="false">VLOOKUP(P465,Sheet2!Q:R,2,0)</f>
        <v>IR Normal - Track burn out</v>
      </c>
      <c r="U465" s="18" t="s">
        <v>256</v>
      </c>
      <c r="V465" s="17" t="n">
        <v>1</v>
      </c>
      <c r="W465" s="20" t="str">
        <f aca="false">VLOOKUP(V465,Sheet2!Q:R,2,0)</f>
        <v>IR CID -  Water log from IF port</v>
      </c>
      <c r="X465" s="17" t="str">
        <f aca="false">J465</f>
        <v>A008</v>
      </c>
      <c r="Y465" s="17" t="str">
        <f aca="false">VLOOKUP(X465,Sheet2!A:B,2,0)</f>
        <v>NILESH NAGAR</v>
      </c>
      <c r="Z465" s="17" t="s">
        <v>306</v>
      </c>
      <c r="AA465" s="17" t="s">
        <v>237</v>
      </c>
      <c r="AB465" s="17" t="s">
        <v>41</v>
      </c>
      <c r="AC465" s="0" t="str">
        <f aca="false">LEFT(G465,2)</f>
        <v>30</v>
      </c>
      <c r="AD465" s="0"/>
      <c r="AE465" s="21" t="s">
        <v>238</v>
      </c>
    </row>
    <row r="466" customFormat="false" ht="15" hidden="false" customHeight="false" outlineLevel="0" collapsed="false">
      <c r="A466" s="13" t="n">
        <f aca="false">1+A465</f>
        <v>464</v>
      </c>
      <c r="B466" s="14" t="n">
        <v>1009619630</v>
      </c>
      <c r="C466" s="15" t="s">
        <v>184</v>
      </c>
      <c r="D466" s="16" t="s">
        <v>64</v>
      </c>
      <c r="E466" s="17" t="s">
        <v>64</v>
      </c>
      <c r="F466" s="18" t="s">
        <v>70</v>
      </c>
      <c r="G466" s="19" t="n">
        <v>879119108162</v>
      </c>
      <c r="H466" s="17" t="s">
        <v>35</v>
      </c>
      <c r="I466" s="17" t="s">
        <v>79</v>
      </c>
      <c r="J466" s="17" t="s">
        <v>100</v>
      </c>
      <c r="K466" s="17" t="str">
        <f aca="false">VLOOKUP(J466,Sheet2!A:B,2,0)</f>
        <v>PIYUSH CHAVDA</v>
      </c>
      <c r="L466" s="17" t="n">
        <v>2</v>
      </c>
      <c r="M466" s="17" t="str">
        <f aca="false">VLOOKUP(L466,Sheet2!D:E,2,0)</f>
        <v>Tuner Section</v>
      </c>
      <c r="N466" s="17" t="n">
        <v>6</v>
      </c>
      <c r="O466" s="17" t="str">
        <f aca="false">VLOOKUP(N466,Sheet2!G:H,2,0)</f>
        <v>No Signal</v>
      </c>
      <c r="P466" s="17" t="n">
        <v>12</v>
      </c>
      <c r="Q466" s="17" t="str">
        <f aca="false">VLOOKUP(P466,Sheet2!J:K,2,0)</f>
        <v>IR Declared due to Others ( IR Normal)TB</v>
      </c>
      <c r="R466" s="17" t="s">
        <v>35</v>
      </c>
      <c r="S466" s="17" t="str">
        <f aca="false">VLOOKUP(R466,Sheet2!N:O,2,0)</f>
        <v>IREPARABLE</v>
      </c>
      <c r="T466" s="18" t="str">
        <f aca="false">VLOOKUP(P466,Sheet2!Q:R,2,0)</f>
        <v>IR Normal - BER to IR</v>
      </c>
      <c r="U466" s="18" t="s">
        <v>101</v>
      </c>
      <c r="V466" s="17" t="n">
        <v>8</v>
      </c>
      <c r="W466" s="20" t="str">
        <f aca="false">VLOOKUP(V466,Sheet2!Q:R,2,0)</f>
        <v>IR Normal -TrackRust/InternalDamage/open</v>
      </c>
      <c r="X466" s="17" t="str">
        <f aca="false">J466</f>
        <v>A050</v>
      </c>
      <c r="Y466" s="17" t="str">
        <f aca="false">VLOOKUP(X466,Sheet2!A:B,2,0)</f>
        <v>PIYUSH CHAVDA</v>
      </c>
      <c r="Z466" s="17" t="s">
        <v>306</v>
      </c>
      <c r="AA466" s="17" t="s">
        <v>237</v>
      </c>
      <c r="AB466" s="17" t="s">
        <v>41</v>
      </c>
      <c r="AC466" s="0" t="str">
        <f aca="false">LEFT(G466,2)</f>
        <v>87</v>
      </c>
      <c r="AD466" s="0"/>
      <c r="AE466" s="21" t="s">
        <v>238</v>
      </c>
    </row>
    <row r="467" customFormat="false" ht="15" hidden="false" customHeight="false" outlineLevel="0" collapsed="false">
      <c r="A467" s="13" t="n">
        <f aca="false">1+A466</f>
        <v>465</v>
      </c>
      <c r="B467" s="14" t="n">
        <v>1009558767</v>
      </c>
      <c r="C467" s="15" t="s">
        <v>192</v>
      </c>
      <c r="D467" s="16" t="s">
        <v>64</v>
      </c>
      <c r="E467" s="17" t="s">
        <v>64</v>
      </c>
      <c r="F467" s="18" t="s">
        <v>70</v>
      </c>
      <c r="G467" s="19" t="n">
        <v>300348280144</v>
      </c>
      <c r="H467" s="17" t="s">
        <v>35</v>
      </c>
      <c r="I467" s="17" t="s">
        <v>79</v>
      </c>
      <c r="J467" s="17" t="s">
        <v>111</v>
      </c>
      <c r="K467" s="17" t="str">
        <f aca="false">VLOOKUP(J467,Sheet2!A:B,2,0)</f>
        <v>NITIN PRANAMI</v>
      </c>
      <c r="L467" s="17" t="n">
        <v>2</v>
      </c>
      <c r="M467" s="17" t="str">
        <f aca="false">VLOOKUP(L467,Sheet2!D:E,2,0)</f>
        <v>Tuner Section</v>
      </c>
      <c r="N467" s="17" t="n">
        <v>6</v>
      </c>
      <c r="O467" s="17" t="str">
        <f aca="false">VLOOKUP(N467,Sheet2!G:H,2,0)</f>
        <v>No Signal</v>
      </c>
      <c r="P467" s="17" t="n">
        <v>11</v>
      </c>
      <c r="Q467" s="17" t="str">
        <f aca="false">VLOOKUP(P467,Sheet2!J:K,2,0)</f>
        <v>IR Declared due to CID -TA</v>
      </c>
      <c r="R467" s="17" t="s">
        <v>35</v>
      </c>
      <c r="S467" s="17" t="str">
        <f aca="false">VLOOKUP(R467,Sheet2!N:O,2,0)</f>
        <v>IREPARABLE</v>
      </c>
      <c r="T467" s="18" t="str">
        <f aca="false">VLOOKUP(P467,Sheet2!Q:R,2,0)</f>
        <v>IR Normal - Track burn out</v>
      </c>
      <c r="U467" s="18" t="s">
        <v>122</v>
      </c>
      <c r="V467" s="17" t="n">
        <v>2</v>
      </c>
      <c r="W467" s="20" t="str">
        <f aca="false">VLOOKUP(V467,Sheet2!Q:R,2,0)</f>
        <v>IR CID -  Water log from other area</v>
      </c>
      <c r="X467" s="17" t="str">
        <f aca="false">J467</f>
        <v>A031</v>
      </c>
      <c r="Y467" s="17" t="str">
        <f aca="false">VLOOKUP(X467,Sheet2!A:B,2,0)</f>
        <v>NITIN PRANAMI</v>
      </c>
      <c r="Z467" s="17" t="s">
        <v>306</v>
      </c>
      <c r="AA467" s="17" t="s">
        <v>237</v>
      </c>
      <c r="AB467" s="17" t="s">
        <v>41</v>
      </c>
      <c r="AC467" s="0" t="str">
        <f aca="false">LEFT(G467,2)</f>
        <v>30</v>
      </c>
      <c r="AD467" s="0"/>
      <c r="AE467" s="21" t="s">
        <v>238</v>
      </c>
    </row>
    <row r="468" customFormat="false" ht="15" hidden="false" customHeight="false" outlineLevel="0" collapsed="false">
      <c r="A468" s="13" t="n">
        <f aca="false">1+A467</f>
        <v>466</v>
      </c>
      <c r="B468" s="14" t="n">
        <v>1009562723</v>
      </c>
      <c r="C468" s="15" t="s">
        <v>192</v>
      </c>
      <c r="D468" s="16" t="s">
        <v>64</v>
      </c>
      <c r="E468" s="17" t="s">
        <v>208</v>
      </c>
      <c r="F468" s="18" t="s">
        <v>34</v>
      </c>
      <c r="G468" s="19" t="n">
        <v>889293361982</v>
      </c>
      <c r="H468" s="17" t="s">
        <v>35</v>
      </c>
      <c r="I468" s="17" t="s">
        <v>79</v>
      </c>
      <c r="J468" s="17" t="s">
        <v>239</v>
      </c>
      <c r="K468" s="17" t="str">
        <f aca="false">VLOOKUP(J468,Sheet2!A:B,2,0)</f>
        <v>VASANT PARMAR</v>
      </c>
      <c r="L468" s="17" t="n">
        <v>5</v>
      </c>
      <c r="M468" s="17" t="str">
        <f aca="false">VLOOKUP(L468,Sheet2!D:E,2,0)</f>
        <v>Main Processor CPU BGA</v>
      </c>
      <c r="N468" s="17" t="n">
        <v>6</v>
      </c>
      <c r="O468" s="17" t="str">
        <f aca="false">VLOOKUP(N468,Sheet2!G:H,2,0)</f>
        <v>No Signal</v>
      </c>
      <c r="P468" s="17" t="n">
        <v>11</v>
      </c>
      <c r="Q468" s="17" t="str">
        <f aca="false">VLOOKUP(P468,Sheet2!J:K,2,0)</f>
        <v>IR Declared due to CID -TA</v>
      </c>
      <c r="R468" s="17" t="s">
        <v>35</v>
      </c>
      <c r="S468" s="17" t="str">
        <f aca="false">VLOOKUP(R468,Sheet2!N:O,2,0)</f>
        <v>IREPARABLE</v>
      </c>
      <c r="T468" s="18" t="str">
        <f aca="false">VLOOKUP(P468,Sheet2!Q:R,2,0)</f>
        <v>IR Normal - Track burn out</v>
      </c>
      <c r="U468" s="18" t="s">
        <v>256</v>
      </c>
      <c r="V468" s="17" t="n">
        <v>1</v>
      </c>
      <c r="W468" s="20" t="str">
        <f aca="false">VLOOKUP(V468,Sheet2!Q:R,2,0)</f>
        <v>IR CID -  Water log from IF port</v>
      </c>
      <c r="X468" s="17" t="str">
        <f aca="false">J468</f>
        <v>A005</v>
      </c>
      <c r="Y468" s="17" t="str">
        <f aca="false">VLOOKUP(X468,Sheet2!A:B,2,0)</f>
        <v>VASANT PARMAR</v>
      </c>
      <c r="Z468" s="17" t="s">
        <v>306</v>
      </c>
      <c r="AA468" s="17" t="s">
        <v>237</v>
      </c>
      <c r="AB468" s="17" t="s">
        <v>41</v>
      </c>
      <c r="AC468" s="0" t="str">
        <f aca="false">LEFT(G468,2)</f>
        <v>88</v>
      </c>
      <c r="AD468" s="0"/>
      <c r="AE468" s="21" t="s">
        <v>238</v>
      </c>
    </row>
    <row r="469" customFormat="false" ht="15" hidden="false" customHeight="false" outlineLevel="0" collapsed="false">
      <c r="A469" s="13" t="n">
        <f aca="false">1+A468</f>
        <v>467</v>
      </c>
      <c r="B469" s="14" t="n">
        <v>1009561200</v>
      </c>
      <c r="C469" s="15" t="s">
        <v>192</v>
      </c>
      <c r="D469" s="16" t="s">
        <v>64</v>
      </c>
      <c r="E469" s="17" t="s">
        <v>47</v>
      </c>
      <c r="F469" s="18" t="s">
        <v>34</v>
      </c>
      <c r="G469" s="19" t="n">
        <v>889253305169</v>
      </c>
      <c r="H469" s="17" t="s">
        <v>35</v>
      </c>
      <c r="I469" s="17" t="s">
        <v>79</v>
      </c>
      <c r="J469" s="17" t="s">
        <v>239</v>
      </c>
      <c r="K469" s="17" t="str">
        <f aca="false">VLOOKUP(J469,Sheet2!A:B,2,0)</f>
        <v>VASANT PARMAR</v>
      </c>
      <c r="L469" s="17" t="n">
        <v>5</v>
      </c>
      <c r="M469" s="17" t="str">
        <f aca="false">VLOOKUP(L469,Sheet2!D:E,2,0)</f>
        <v>Main Processor CPU BGA</v>
      </c>
      <c r="N469" s="17" t="n">
        <v>2</v>
      </c>
      <c r="O469" s="17" t="str">
        <f aca="false">VLOOKUP(N469,Sheet2!G:H,2,0)</f>
        <v>Dead Intermittent</v>
      </c>
      <c r="P469" s="17" t="n">
        <v>11</v>
      </c>
      <c r="Q469" s="17" t="str">
        <f aca="false">VLOOKUP(P469,Sheet2!J:K,2,0)</f>
        <v>IR Declared due to CID -TA</v>
      </c>
      <c r="R469" s="17" t="s">
        <v>35</v>
      </c>
      <c r="S469" s="17" t="str">
        <f aca="false">VLOOKUP(R469,Sheet2!N:O,2,0)</f>
        <v>IREPARABLE</v>
      </c>
      <c r="T469" s="18" t="str">
        <f aca="false">VLOOKUP(P469,Sheet2!Q:R,2,0)</f>
        <v>IR Normal - Track burn out</v>
      </c>
      <c r="U469" s="18" t="s">
        <v>256</v>
      </c>
      <c r="V469" s="17" t="n">
        <v>1</v>
      </c>
      <c r="W469" s="20" t="str">
        <f aca="false">VLOOKUP(V469,Sheet2!Q:R,2,0)</f>
        <v>IR CID -  Water log from IF port</v>
      </c>
      <c r="X469" s="17" t="str">
        <f aca="false">J469</f>
        <v>A005</v>
      </c>
      <c r="Y469" s="17" t="str">
        <f aca="false">VLOOKUP(X469,Sheet2!A:B,2,0)</f>
        <v>VASANT PARMAR</v>
      </c>
      <c r="Z469" s="17" t="s">
        <v>306</v>
      </c>
      <c r="AA469" s="17" t="s">
        <v>237</v>
      </c>
      <c r="AB469" s="17" t="s">
        <v>41</v>
      </c>
      <c r="AC469" s="0" t="str">
        <f aca="false">LEFT(G469,2)</f>
        <v>88</v>
      </c>
      <c r="AD469" s="0"/>
      <c r="AE469" s="21" t="s">
        <v>238</v>
      </c>
    </row>
    <row r="470" customFormat="false" ht="15" hidden="false" customHeight="false" outlineLevel="0" collapsed="false">
      <c r="A470" s="13" t="n">
        <f aca="false">1+A469</f>
        <v>468</v>
      </c>
      <c r="B470" s="14" t="n">
        <v>1009558786</v>
      </c>
      <c r="C470" s="15" t="s">
        <v>192</v>
      </c>
      <c r="D470" s="16" t="s">
        <v>64</v>
      </c>
      <c r="E470" s="17" t="s">
        <v>64</v>
      </c>
      <c r="F470" s="18" t="s">
        <v>70</v>
      </c>
      <c r="G470" s="19" t="n">
        <v>300356132724</v>
      </c>
      <c r="H470" s="17" t="s">
        <v>35</v>
      </c>
      <c r="I470" s="17" t="s">
        <v>79</v>
      </c>
      <c r="J470" s="17" t="s">
        <v>100</v>
      </c>
      <c r="K470" s="17" t="str">
        <f aca="false">VLOOKUP(J470,Sheet2!A:B,2,0)</f>
        <v>PIYUSH CHAVDA</v>
      </c>
      <c r="L470" s="17" t="n">
        <v>5</v>
      </c>
      <c r="M470" s="17" t="str">
        <f aca="false">VLOOKUP(L470,Sheet2!D:E,2,0)</f>
        <v>Main Processor CPU BGA</v>
      </c>
      <c r="N470" s="17" t="n">
        <v>1</v>
      </c>
      <c r="O470" s="17" t="str">
        <f aca="false">VLOOKUP(N470,Sheet2!G:H,2,0)</f>
        <v>Dead</v>
      </c>
      <c r="P470" s="17" t="n">
        <v>11</v>
      </c>
      <c r="Q470" s="17" t="str">
        <f aca="false">VLOOKUP(P470,Sheet2!J:K,2,0)</f>
        <v>IR Declared due to CID -TA</v>
      </c>
      <c r="R470" s="17" t="s">
        <v>35</v>
      </c>
      <c r="S470" s="17" t="str">
        <f aca="false">VLOOKUP(R470,Sheet2!N:O,2,0)</f>
        <v>IREPARABLE</v>
      </c>
      <c r="T470" s="18" t="str">
        <f aca="false">VLOOKUP(P470,Sheet2!Q:R,2,0)</f>
        <v>IR Normal - Track burn out</v>
      </c>
      <c r="U470" s="18" t="s">
        <v>256</v>
      </c>
      <c r="V470" s="17" t="n">
        <v>1</v>
      </c>
      <c r="W470" s="20" t="str">
        <f aca="false">VLOOKUP(V470,Sheet2!Q:R,2,0)</f>
        <v>IR CID -  Water log from IF port</v>
      </c>
      <c r="X470" s="17" t="str">
        <f aca="false">J470</f>
        <v>A050</v>
      </c>
      <c r="Y470" s="17" t="str">
        <f aca="false">VLOOKUP(X470,Sheet2!A:B,2,0)</f>
        <v>PIYUSH CHAVDA</v>
      </c>
      <c r="Z470" s="17" t="s">
        <v>307</v>
      </c>
      <c r="AA470" s="17" t="s">
        <v>237</v>
      </c>
      <c r="AB470" s="17" t="s">
        <v>41</v>
      </c>
      <c r="AC470" s="0" t="str">
        <f aca="false">LEFT(G470,2)</f>
        <v>30</v>
      </c>
      <c r="AD470" s="0"/>
      <c r="AE470" s="21" t="s">
        <v>238</v>
      </c>
    </row>
    <row r="471" customFormat="false" ht="15" hidden="false" customHeight="false" outlineLevel="0" collapsed="false">
      <c r="A471" s="13" t="n">
        <f aca="false">1+A470</f>
        <v>469</v>
      </c>
      <c r="B471" s="14" t="n">
        <v>1009496190</v>
      </c>
      <c r="C471" s="15" t="s">
        <v>146</v>
      </c>
      <c r="D471" s="16" t="s">
        <v>219</v>
      </c>
      <c r="E471" s="17" t="s">
        <v>47</v>
      </c>
      <c r="F471" s="18" t="s">
        <v>34</v>
      </c>
      <c r="G471" s="19" t="n">
        <v>879284264477</v>
      </c>
      <c r="H471" s="17" t="s">
        <v>35</v>
      </c>
      <c r="I471" s="17" t="s">
        <v>79</v>
      </c>
      <c r="J471" s="17" t="s">
        <v>267</v>
      </c>
      <c r="K471" s="17" t="str">
        <f aca="false">VLOOKUP(J471,Sheet2!A:B,2,0)</f>
        <v>HARIRAM GUPTA</v>
      </c>
      <c r="L471" s="17" t="n">
        <v>5</v>
      </c>
      <c r="M471" s="17" t="str">
        <f aca="false">VLOOKUP(L471,Sheet2!D:E,2,0)</f>
        <v>Main Processor CPU BGA</v>
      </c>
      <c r="N471" s="17" t="n">
        <v>1</v>
      </c>
      <c r="O471" s="17" t="str">
        <f aca="false">VLOOKUP(N471,Sheet2!G:H,2,0)</f>
        <v>Dead</v>
      </c>
      <c r="P471" s="17" t="n">
        <v>11</v>
      </c>
      <c r="Q471" s="17" t="str">
        <f aca="false">VLOOKUP(P471,Sheet2!J:K,2,0)</f>
        <v>IR Declared due to CID -TA</v>
      </c>
      <c r="R471" s="17" t="s">
        <v>35</v>
      </c>
      <c r="S471" s="17" t="str">
        <f aca="false">VLOOKUP(R471,Sheet2!N:O,2,0)</f>
        <v>IREPARABLE</v>
      </c>
      <c r="T471" s="18" t="str">
        <f aca="false">VLOOKUP(P471,Sheet2!Q:R,2,0)</f>
        <v>IR Normal - Track burn out</v>
      </c>
      <c r="U471" s="18" t="s">
        <v>256</v>
      </c>
      <c r="V471" s="17" t="n">
        <v>1</v>
      </c>
      <c r="W471" s="20" t="str">
        <f aca="false">VLOOKUP(V471,Sheet2!Q:R,2,0)</f>
        <v>IR CID -  Water log from IF port</v>
      </c>
      <c r="X471" s="17" t="str">
        <f aca="false">J471</f>
        <v>A007</v>
      </c>
      <c r="Y471" s="17" t="str">
        <f aca="false">VLOOKUP(X471,Sheet2!A:B,2,0)</f>
        <v>HARIRAM GUPTA</v>
      </c>
      <c r="Z471" s="17" t="s">
        <v>306</v>
      </c>
      <c r="AA471" s="17" t="s">
        <v>237</v>
      </c>
      <c r="AB471" s="17" t="s">
        <v>41</v>
      </c>
      <c r="AC471" s="0" t="str">
        <f aca="false">LEFT(G471,2)</f>
        <v>87</v>
      </c>
      <c r="AD471" s="0"/>
      <c r="AE471" s="21" t="s">
        <v>238</v>
      </c>
    </row>
    <row r="472" customFormat="false" ht="15" hidden="false" customHeight="false" outlineLevel="0" collapsed="false">
      <c r="A472" s="13" t="n">
        <f aca="false">1+A471</f>
        <v>470</v>
      </c>
      <c r="B472" s="14" t="n">
        <v>1009606707</v>
      </c>
      <c r="C472" s="15" t="s">
        <v>181</v>
      </c>
      <c r="D472" s="16" t="s">
        <v>119</v>
      </c>
      <c r="E472" s="17" t="s">
        <v>274</v>
      </c>
      <c r="F472" s="18" t="s">
        <v>34</v>
      </c>
      <c r="G472" s="19" t="n">
        <v>879238158361</v>
      </c>
      <c r="H472" s="17" t="s">
        <v>35</v>
      </c>
      <c r="I472" s="17" t="s">
        <v>79</v>
      </c>
      <c r="J472" s="17" t="s">
        <v>100</v>
      </c>
      <c r="K472" s="17" t="str">
        <f aca="false">VLOOKUP(J472,Sheet2!A:B,2,0)</f>
        <v>PIYUSH CHAVDA</v>
      </c>
      <c r="L472" s="17" t="n">
        <v>1</v>
      </c>
      <c r="M472" s="17" t="str">
        <f aca="false">VLOOKUP(L472,Sheet2!D:E,2,0)</f>
        <v>Power Supply Section</v>
      </c>
      <c r="N472" s="17" t="n">
        <v>1</v>
      </c>
      <c r="O472" s="17" t="str">
        <f aca="false">VLOOKUP(N472,Sheet2!G:H,2,0)</f>
        <v>Dead</v>
      </c>
      <c r="P472" s="17" t="n">
        <v>12</v>
      </c>
      <c r="Q472" s="17" t="str">
        <f aca="false">VLOOKUP(P472,Sheet2!J:K,2,0)</f>
        <v>IR Declared due to Others ( IR Normal)TB</v>
      </c>
      <c r="R472" s="17" t="s">
        <v>35</v>
      </c>
      <c r="S472" s="17" t="str">
        <f aca="false">VLOOKUP(R472,Sheet2!N:O,2,0)</f>
        <v>IREPARABLE</v>
      </c>
      <c r="T472" s="18" t="s">
        <v>248</v>
      </c>
      <c r="U472" s="15" t="s">
        <v>38</v>
      </c>
      <c r="V472" s="17" t="n">
        <v>11</v>
      </c>
      <c r="W472" s="20" t="str">
        <f aca="false">VLOOKUP(V472,Sheet2!Q:R,2,0)</f>
        <v>IR Normal - Track burn out</v>
      </c>
      <c r="X472" s="17" t="str">
        <f aca="false">J472</f>
        <v>A050</v>
      </c>
      <c r="Y472" s="17" t="str">
        <f aca="false">VLOOKUP(X472,Sheet2!A:B,2,0)</f>
        <v>PIYUSH CHAVDA</v>
      </c>
      <c r="Z472" s="17" t="s">
        <v>302</v>
      </c>
      <c r="AA472" s="17" t="s">
        <v>237</v>
      </c>
      <c r="AB472" s="17" t="s">
        <v>41</v>
      </c>
      <c r="AC472" s="0" t="str">
        <f aca="false">LEFT(G472,2)</f>
        <v>87</v>
      </c>
      <c r="AD472" s="0"/>
      <c r="AE472" s="21" t="s">
        <v>238</v>
      </c>
    </row>
    <row r="473" customFormat="false" ht="15" hidden="false" customHeight="false" outlineLevel="0" collapsed="false">
      <c r="A473" s="13" t="n">
        <f aca="false">1+A472</f>
        <v>471</v>
      </c>
      <c r="B473" s="14" t="n">
        <v>1009606696</v>
      </c>
      <c r="C473" s="15" t="s">
        <v>181</v>
      </c>
      <c r="D473" s="16" t="s">
        <v>113</v>
      </c>
      <c r="E473" s="17" t="s">
        <v>47</v>
      </c>
      <c r="F473" s="18" t="s">
        <v>34</v>
      </c>
      <c r="G473" s="19" t="n">
        <v>878230188244</v>
      </c>
      <c r="H473" s="17" t="s">
        <v>35</v>
      </c>
      <c r="I473" s="17" t="s">
        <v>79</v>
      </c>
      <c r="J473" s="17" t="s">
        <v>100</v>
      </c>
      <c r="K473" s="17" t="str">
        <f aca="false">VLOOKUP(J473,Sheet2!A:B,2,0)</f>
        <v>PIYUSH CHAVDA</v>
      </c>
      <c r="L473" s="17" t="n">
        <v>1</v>
      </c>
      <c r="M473" s="17" t="str">
        <f aca="false">VLOOKUP(L473,Sheet2!D:E,2,0)</f>
        <v>Power Supply Section</v>
      </c>
      <c r="N473" s="17" t="n">
        <v>1</v>
      </c>
      <c r="O473" s="17" t="str">
        <f aca="false">VLOOKUP(N473,Sheet2!G:H,2,0)</f>
        <v>Dead</v>
      </c>
      <c r="P473" s="17" t="n">
        <v>12</v>
      </c>
      <c r="Q473" s="17" t="str">
        <f aca="false">VLOOKUP(P473,Sheet2!J:K,2,0)</f>
        <v>IR Declared due to Others ( IR Normal)TB</v>
      </c>
      <c r="R473" s="17" t="s">
        <v>35</v>
      </c>
      <c r="S473" s="17" t="str">
        <f aca="false">VLOOKUP(R473,Sheet2!N:O,2,0)</f>
        <v>IREPARABLE</v>
      </c>
      <c r="T473" s="18" t="str">
        <f aca="false">VLOOKUP(P473,Sheet2!Q:R,2,0)</f>
        <v>IR Normal - BER to IR</v>
      </c>
      <c r="U473" s="18" t="s">
        <v>101</v>
      </c>
      <c r="V473" s="17" t="n">
        <v>8</v>
      </c>
      <c r="W473" s="20" t="str">
        <f aca="false">VLOOKUP(V473,Sheet2!Q:R,2,0)</f>
        <v>IR Normal -TrackRust/InternalDamage/open</v>
      </c>
      <c r="X473" s="17" t="str">
        <f aca="false">J473</f>
        <v>A050</v>
      </c>
      <c r="Y473" s="17" t="str">
        <f aca="false">VLOOKUP(X473,Sheet2!A:B,2,0)</f>
        <v>PIYUSH CHAVDA</v>
      </c>
      <c r="Z473" s="17" t="s">
        <v>306</v>
      </c>
      <c r="AA473" s="17" t="s">
        <v>237</v>
      </c>
      <c r="AB473" s="17" t="s">
        <v>41</v>
      </c>
      <c r="AC473" s="0" t="str">
        <f aca="false">LEFT(G473,2)</f>
        <v>87</v>
      </c>
      <c r="AD473" s="0"/>
      <c r="AE473" s="21" t="s">
        <v>238</v>
      </c>
    </row>
    <row r="474" customFormat="false" ht="15" hidden="false" customHeight="false" outlineLevel="0" collapsed="false">
      <c r="A474" s="13" t="n">
        <f aca="false">1+A473</f>
        <v>472</v>
      </c>
      <c r="B474" s="14" t="n">
        <v>1009610526</v>
      </c>
      <c r="C474" s="15" t="s">
        <v>181</v>
      </c>
      <c r="D474" s="16" t="s">
        <v>64</v>
      </c>
      <c r="E474" s="17" t="s">
        <v>64</v>
      </c>
      <c r="F474" s="18" t="s">
        <v>70</v>
      </c>
      <c r="G474" s="19" t="n">
        <v>853238742169</v>
      </c>
      <c r="H474" s="17" t="s">
        <v>35</v>
      </c>
      <c r="I474" s="17" t="s">
        <v>36</v>
      </c>
      <c r="J474" s="17" t="s">
        <v>118</v>
      </c>
      <c r="K474" s="17" t="str">
        <f aca="false">VLOOKUP(J474,Sheet2!A:B,2,0)</f>
        <v>DEVENDRA RAJPUT</v>
      </c>
      <c r="L474" s="17" t="n">
        <v>1</v>
      </c>
      <c r="M474" s="17" t="str">
        <f aca="false">VLOOKUP(L474,Sheet2!D:E,2,0)</f>
        <v>Power Supply Section</v>
      </c>
      <c r="N474" s="17" t="n">
        <v>1</v>
      </c>
      <c r="O474" s="17" t="str">
        <f aca="false">VLOOKUP(N474,Sheet2!G:H,2,0)</f>
        <v>Dead</v>
      </c>
      <c r="P474" s="17" t="n">
        <v>12</v>
      </c>
      <c r="Q474" s="17" t="str">
        <f aca="false">VLOOKUP(P474,Sheet2!J:K,2,0)</f>
        <v>IR Declared due to Others ( IR Normal)TB</v>
      </c>
      <c r="R474" s="17" t="s">
        <v>35</v>
      </c>
      <c r="S474" s="17" t="str">
        <f aca="false">VLOOKUP(R474,Sheet2!N:O,2,0)</f>
        <v>IREPARABLE</v>
      </c>
      <c r="T474" s="18" t="str">
        <f aca="false">VLOOKUP(P474,Sheet2!Q:R,2,0)</f>
        <v>IR Normal - BER to IR</v>
      </c>
      <c r="U474" s="18" t="s">
        <v>101</v>
      </c>
      <c r="V474" s="17" t="n">
        <v>8</v>
      </c>
      <c r="W474" s="20" t="str">
        <f aca="false">VLOOKUP(V474,Sheet2!Q:R,2,0)</f>
        <v>IR Normal -TrackRust/InternalDamage/open</v>
      </c>
      <c r="X474" s="17" t="str">
        <f aca="false">J474</f>
        <v>A053</v>
      </c>
      <c r="Y474" s="17" t="str">
        <f aca="false">VLOOKUP(X474,Sheet2!A:B,2,0)</f>
        <v>DEVENDRA RAJPUT</v>
      </c>
      <c r="Z474" s="17" t="s">
        <v>308</v>
      </c>
      <c r="AA474" s="17" t="s">
        <v>237</v>
      </c>
      <c r="AB474" s="17" t="s">
        <v>41</v>
      </c>
      <c r="AC474" s="0" t="str">
        <f aca="false">LEFT(G474,2)</f>
        <v>85</v>
      </c>
      <c r="AD474" s="0"/>
      <c r="AE474" s="21" t="s">
        <v>238</v>
      </c>
    </row>
    <row r="475" customFormat="false" ht="15" hidden="false" customHeight="false" outlineLevel="0" collapsed="false">
      <c r="A475" s="13" t="n">
        <f aca="false">1+A474</f>
        <v>473</v>
      </c>
      <c r="B475" s="14" t="n">
        <v>1009602858</v>
      </c>
      <c r="C475" s="15" t="s">
        <v>159</v>
      </c>
      <c r="D475" s="16" t="s">
        <v>64</v>
      </c>
      <c r="E475" s="17" t="s">
        <v>64</v>
      </c>
      <c r="F475" s="18" t="s">
        <v>70</v>
      </c>
      <c r="G475" s="19" t="n">
        <v>844114754683</v>
      </c>
      <c r="H475" s="17" t="s">
        <v>35</v>
      </c>
      <c r="I475" s="17" t="s">
        <v>36</v>
      </c>
      <c r="J475" s="17" t="s">
        <v>111</v>
      </c>
      <c r="K475" s="17" t="str">
        <f aca="false">VLOOKUP(J475,Sheet2!A:B,2,0)</f>
        <v>NITIN PRANAMI</v>
      </c>
      <c r="L475" s="17" t="n">
        <v>1</v>
      </c>
      <c r="M475" s="17" t="str">
        <f aca="false">VLOOKUP(L475,Sheet2!D:E,2,0)</f>
        <v>Power Supply Section</v>
      </c>
      <c r="N475" s="17" t="n">
        <v>1</v>
      </c>
      <c r="O475" s="17" t="str">
        <f aca="false">VLOOKUP(N475,Sheet2!G:H,2,0)</f>
        <v>Dead</v>
      </c>
      <c r="P475" s="17" t="n">
        <v>11</v>
      </c>
      <c r="Q475" s="17" t="str">
        <f aca="false">VLOOKUP(P475,Sheet2!J:K,2,0)</f>
        <v>IR Declared due to CID -TA</v>
      </c>
      <c r="R475" s="17" t="s">
        <v>35</v>
      </c>
      <c r="S475" s="17" t="str">
        <f aca="false">VLOOKUP(R475,Sheet2!N:O,2,0)</f>
        <v>IREPARABLE</v>
      </c>
      <c r="T475" s="18" t="str">
        <f aca="false">VLOOKUP(P475,Sheet2!Q:R,2,0)</f>
        <v>IR Normal - Track burn out</v>
      </c>
      <c r="U475" s="18" t="s">
        <v>122</v>
      </c>
      <c r="V475" s="17" t="n">
        <v>2</v>
      </c>
      <c r="W475" s="20" t="str">
        <f aca="false">VLOOKUP(V475,Sheet2!Q:R,2,0)</f>
        <v>IR CID -  Water log from other area</v>
      </c>
      <c r="X475" s="17" t="str">
        <f aca="false">J475</f>
        <v>A031</v>
      </c>
      <c r="Y475" s="17" t="str">
        <f aca="false">VLOOKUP(X475,Sheet2!A:B,2,0)</f>
        <v>NITIN PRANAMI</v>
      </c>
      <c r="Z475" s="17" t="s">
        <v>309</v>
      </c>
      <c r="AA475" s="17" t="s">
        <v>237</v>
      </c>
      <c r="AB475" s="17" t="s">
        <v>41</v>
      </c>
      <c r="AC475" s="0" t="str">
        <f aca="false">LEFT(G475,2)</f>
        <v>84</v>
      </c>
      <c r="AD475" s="0"/>
      <c r="AE475" s="21" t="s">
        <v>238</v>
      </c>
    </row>
    <row r="476" customFormat="false" ht="15" hidden="false" customHeight="false" outlineLevel="0" collapsed="false">
      <c r="A476" s="13" t="n">
        <f aca="false">1+A475</f>
        <v>474</v>
      </c>
      <c r="B476" s="14" t="n">
        <v>1009571312</v>
      </c>
      <c r="C476" s="15" t="s">
        <v>102</v>
      </c>
      <c r="D476" s="16" t="s">
        <v>64</v>
      </c>
      <c r="E476" s="17" t="s">
        <v>64</v>
      </c>
      <c r="F476" s="18" t="s">
        <v>70</v>
      </c>
      <c r="G476" s="19" t="n">
        <v>853262781422</v>
      </c>
      <c r="H476" s="17" t="s">
        <v>35</v>
      </c>
      <c r="I476" s="17" t="s">
        <v>36</v>
      </c>
      <c r="J476" s="17" t="s">
        <v>111</v>
      </c>
      <c r="K476" s="17" t="str">
        <f aca="false">VLOOKUP(J476,Sheet2!A:B,2,0)</f>
        <v>NITIN PRANAMI</v>
      </c>
      <c r="L476" s="17" t="n">
        <v>1</v>
      </c>
      <c r="M476" s="17" t="str">
        <f aca="false">VLOOKUP(L476,Sheet2!D:E,2,0)</f>
        <v>Power Supply Section</v>
      </c>
      <c r="N476" s="17" t="n">
        <v>1</v>
      </c>
      <c r="O476" s="17" t="str">
        <f aca="false">VLOOKUP(N476,Sheet2!G:H,2,0)</f>
        <v>Dead</v>
      </c>
      <c r="P476" s="17" t="n">
        <v>11</v>
      </c>
      <c r="Q476" s="17" t="str">
        <f aca="false">VLOOKUP(P476,Sheet2!J:K,2,0)</f>
        <v>IR Declared due to CID -TA</v>
      </c>
      <c r="R476" s="17" t="s">
        <v>35</v>
      </c>
      <c r="S476" s="17" t="str">
        <f aca="false">VLOOKUP(R476,Sheet2!N:O,2,0)</f>
        <v>IREPARABLE</v>
      </c>
      <c r="T476" s="18" t="str">
        <f aca="false">VLOOKUP(P476,Sheet2!Q:R,2,0)</f>
        <v>IR Normal - Track burn out</v>
      </c>
      <c r="U476" s="18" t="s">
        <v>122</v>
      </c>
      <c r="V476" s="17" t="n">
        <v>2</v>
      </c>
      <c r="W476" s="20" t="str">
        <f aca="false">VLOOKUP(V476,Sheet2!Q:R,2,0)</f>
        <v>IR CID -  Water log from other area</v>
      </c>
      <c r="X476" s="17" t="str">
        <f aca="false">J476</f>
        <v>A031</v>
      </c>
      <c r="Y476" s="17" t="str">
        <f aca="false">VLOOKUP(X476,Sheet2!A:B,2,0)</f>
        <v>NITIN PRANAMI</v>
      </c>
      <c r="Z476" s="17" t="s">
        <v>310</v>
      </c>
      <c r="AA476" s="17" t="s">
        <v>237</v>
      </c>
      <c r="AB476" s="17" t="s">
        <v>41</v>
      </c>
      <c r="AC476" s="0" t="str">
        <f aca="false">LEFT(G476,2)</f>
        <v>85</v>
      </c>
      <c r="AD476" s="0"/>
      <c r="AE476" s="21" t="s">
        <v>238</v>
      </c>
    </row>
    <row r="477" customFormat="false" ht="15" hidden="false" customHeight="false" outlineLevel="0" collapsed="false">
      <c r="A477" s="13" t="n">
        <f aca="false">1+A476</f>
        <v>475</v>
      </c>
      <c r="B477" s="14" t="n">
        <v>1009540668</v>
      </c>
      <c r="C477" s="15" t="s">
        <v>311</v>
      </c>
      <c r="D477" s="16" t="s">
        <v>52</v>
      </c>
      <c r="E477" s="17" t="s">
        <v>47</v>
      </c>
      <c r="F477" s="18" t="s">
        <v>34</v>
      </c>
      <c r="G477" s="19" t="n">
        <v>853308780081</v>
      </c>
      <c r="H477" s="17" t="s">
        <v>35</v>
      </c>
      <c r="I477" s="17" t="s">
        <v>36</v>
      </c>
      <c r="J477" s="17" t="s">
        <v>100</v>
      </c>
      <c r="K477" s="17" t="str">
        <f aca="false">VLOOKUP(J477,Sheet2!A:B,2,0)</f>
        <v>PIYUSH CHAVDA</v>
      </c>
      <c r="L477" s="17" t="n">
        <v>1</v>
      </c>
      <c r="M477" s="17" t="str">
        <f aca="false">VLOOKUP(L477,Sheet2!D:E,2,0)</f>
        <v>Power Supply Section</v>
      </c>
      <c r="N477" s="17" t="n">
        <v>1</v>
      </c>
      <c r="O477" s="17" t="str">
        <f aca="false">VLOOKUP(N477,Sheet2!G:H,2,0)</f>
        <v>Dead</v>
      </c>
      <c r="P477" s="17" t="n">
        <v>11</v>
      </c>
      <c r="Q477" s="17" t="str">
        <f aca="false">VLOOKUP(P477,Sheet2!J:K,2,0)</f>
        <v>IR Declared due to CID -TA</v>
      </c>
      <c r="R477" s="17" t="s">
        <v>35</v>
      </c>
      <c r="S477" s="17" t="str">
        <f aca="false">VLOOKUP(R477,Sheet2!N:O,2,0)</f>
        <v>IREPARABLE</v>
      </c>
      <c r="T477" s="18" t="str">
        <f aca="false">VLOOKUP(P477,Sheet2!Q:R,2,0)</f>
        <v>IR Normal - Track burn out</v>
      </c>
      <c r="U477" s="18" t="s">
        <v>122</v>
      </c>
      <c r="V477" s="17" t="n">
        <v>2</v>
      </c>
      <c r="W477" s="20" t="str">
        <f aca="false">VLOOKUP(V477,Sheet2!Q:R,2,0)</f>
        <v>IR CID -  Water log from other area</v>
      </c>
      <c r="X477" s="17" t="str">
        <f aca="false">J477</f>
        <v>A050</v>
      </c>
      <c r="Y477" s="17" t="str">
        <f aca="false">VLOOKUP(X477,Sheet2!A:B,2,0)</f>
        <v>PIYUSH CHAVDA</v>
      </c>
      <c r="Z477" s="17" t="s">
        <v>312</v>
      </c>
      <c r="AA477" s="17" t="s">
        <v>237</v>
      </c>
      <c r="AB477" s="17" t="s">
        <v>41</v>
      </c>
      <c r="AC477" s="0" t="str">
        <f aca="false">LEFT(G477,2)</f>
        <v>85</v>
      </c>
      <c r="AD477" s="0"/>
      <c r="AE477" s="21" t="s">
        <v>238</v>
      </c>
    </row>
    <row r="478" customFormat="false" ht="15" hidden="false" customHeight="false" outlineLevel="0" collapsed="false">
      <c r="A478" s="13" t="n">
        <f aca="false">1+A477</f>
        <v>476</v>
      </c>
      <c r="B478" s="14" t="n">
        <v>1009557664</v>
      </c>
      <c r="C478" s="15" t="s">
        <v>192</v>
      </c>
      <c r="D478" s="16" t="s">
        <v>64</v>
      </c>
      <c r="E478" s="17" t="s">
        <v>64</v>
      </c>
      <c r="F478" s="18" t="s">
        <v>70</v>
      </c>
      <c r="G478" s="19" t="n">
        <v>844094712321</v>
      </c>
      <c r="H478" s="17" t="s">
        <v>35</v>
      </c>
      <c r="I478" s="17" t="s">
        <v>36</v>
      </c>
      <c r="J478" s="17" t="s">
        <v>239</v>
      </c>
      <c r="K478" s="17" t="str">
        <f aca="false">VLOOKUP(J478,Sheet2!A:B,2,0)</f>
        <v>VASANT PARMAR</v>
      </c>
      <c r="L478" s="17" t="n">
        <v>5</v>
      </c>
      <c r="M478" s="17" t="str">
        <f aca="false">VLOOKUP(L478,Sheet2!D:E,2,0)</f>
        <v>Main Processor CPU BGA</v>
      </c>
      <c r="N478" s="17" t="n">
        <v>1</v>
      </c>
      <c r="O478" s="17" t="str">
        <f aca="false">VLOOKUP(N478,Sheet2!G:H,2,0)</f>
        <v>Dead</v>
      </c>
      <c r="P478" s="17" t="n">
        <v>11</v>
      </c>
      <c r="Q478" s="17" t="str">
        <f aca="false">VLOOKUP(P478,Sheet2!J:K,2,0)</f>
        <v>IR Declared due to CID -TA</v>
      </c>
      <c r="R478" s="17" t="s">
        <v>35</v>
      </c>
      <c r="S478" s="17" t="str">
        <f aca="false">VLOOKUP(R478,Sheet2!N:O,2,0)</f>
        <v>IREPARABLE</v>
      </c>
      <c r="T478" s="18" t="str">
        <f aca="false">VLOOKUP(P478,Sheet2!Q:R,2,0)</f>
        <v>IR Normal - Track burn out</v>
      </c>
      <c r="U478" s="18" t="s">
        <v>199</v>
      </c>
      <c r="V478" s="17" t="n">
        <v>3</v>
      </c>
      <c r="W478" s="20" t="str">
        <f aca="false">VLOOKUP(V478,Sheet2!Q:R,2,0)</f>
        <v>IR CID - Tampered TrackOpen/Reworkdone </v>
      </c>
      <c r="X478" s="17" t="str">
        <f aca="false">J478</f>
        <v>A005</v>
      </c>
      <c r="Y478" s="17" t="str">
        <f aca="false">VLOOKUP(X478,Sheet2!A:B,2,0)</f>
        <v>VASANT PARMAR</v>
      </c>
      <c r="Z478" s="17" t="s">
        <v>149</v>
      </c>
      <c r="AA478" s="17" t="s">
        <v>237</v>
      </c>
      <c r="AB478" s="17" t="s">
        <v>41</v>
      </c>
      <c r="AC478" s="0" t="str">
        <f aca="false">LEFT(G478,2)</f>
        <v>84</v>
      </c>
      <c r="AD478" s="0"/>
      <c r="AE478" s="21" t="s">
        <v>238</v>
      </c>
    </row>
    <row r="479" customFormat="false" ht="15" hidden="false" customHeight="false" outlineLevel="0" collapsed="false">
      <c r="A479" s="13" t="n">
        <f aca="false">1+A478</f>
        <v>477</v>
      </c>
      <c r="B479" s="14" t="n">
        <v>1009570008</v>
      </c>
      <c r="C479" s="15" t="s">
        <v>102</v>
      </c>
      <c r="D479" s="16" t="s">
        <v>64</v>
      </c>
      <c r="E479" s="17" t="s">
        <v>64</v>
      </c>
      <c r="F479" s="18" t="s">
        <v>70</v>
      </c>
      <c r="G479" s="19" t="n">
        <v>853243761659</v>
      </c>
      <c r="H479" s="17" t="s">
        <v>35</v>
      </c>
      <c r="I479" s="17" t="s">
        <v>36</v>
      </c>
      <c r="J479" s="17" t="s">
        <v>239</v>
      </c>
      <c r="K479" s="17" t="str">
        <f aca="false">VLOOKUP(J479,Sheet2!A:B,2,0)</f>
        <v>VASANT PARMAR</v>
      </c>
      <c r="L479" s="17" t="n">
        <v>5</v>
      </c>
      <c r="M479" s="17" t="str">
        <f aca="false">VLOOKUP(L479,Sheet2!D:E,2,0)</f>
        <v>Main Processor CPU BGA</v>
      </c>
      <c r="N479" s="17" t="n">
        <v>1</v>
      </c>
      <c r="O479" s="17" t="str">
        <f aca="false">VLOOKUP(N479,Sheet2!G:H,2,0)</f>
        <v>Dead</v>
      </c>
      <c r="P479" s="17" t="n">
        <v>11</v>
      </c>
      <c r="Q479" s="17" t="str">
        <f aca="false">VLOOKUP(P479,Sheet2!J:K,2,0)</f>
        <v>IR Declared due to CID -TA</v>
      </c>
      <c r="R479" s="17" t="s">
        <v>35</v>
      </c>
      <c r="S479" s="17" t="str">
        <f aca="false">VLOOKUP(R479,Sheet2!N:O,2,0)</f>
        <v>IREPARABLE</v>
      </c>
      <c r="T479" s="18" t="str">
        <f aca="false">VLOOKUP(P479,Sheet2!Q:R,2,0)</f>
        <v>IR Normal - Track burn out</v>
      </c>
      <c r="U479" s="18" t="s">
        <v>122</v>
      </c>
      <c r="V479" s="17" t="n">
        <v>2</v>
      </c>
      <c r="W479" s="20" t="str">
        <f aca="false">VLOOKUP(V479,Sheet2!Q:R,2,0)</f>
        <v>IR CID -  Water log from other area</v>
      </c>
      <c r="X479" s="17" t="str">
        <f aca="false">J479</f>
        <v>A005</v>
      </c>
      <c r="Y479" s="17" t="str">
        <f aca="false">VLOOKUP(X479,Sheet2!A:B,2,0)</f>
        <v>VASANT PARMAR</v>
      </c>
      <c r="Z479" s="17" t="s">
        <v>313</v>
      </c>
      <c r="AA479" s="17" t="s">
        <v>237</v>
      </c>
      <c r="AB479" s="17" t="s">
        <v>41</v>
      </c>
      <c r="AC479" s="0" t="str">
        <f aca="false">LEFT(G479,2)</f>
        <v>85</v>
      </c>
      <c r="AD479" s="0"/>
      <c r="AE479" s="21" t="s">
        <v>238</v>
      </c>
    </row>
    <row r="480" customFormat="false" ht="15" hidden="false" customHeight="false" outlineLevel="0" collapsed="false">
      <c r="A480" s="13" t="n">
        <f aca="false">1+A479</f>
        <v>478</v>
      </c>
      <c r="B480" s="14" t="n">
        <v>1009532053</v>
      </c>
      <c r="C480" s="15" t="s">
        <v>174</v>
      </c>
      <c r="D480" s="16" t="s">
        <v>103</v>
      </c>
      <c r="E480" s="17" t="s">
        <v>47</v>
      </c>
      <c r="F480" s="18" t="s">
        <v>34</v>
      </c>
      <c r="G480" s="19" t="n">
        <v>844066741522</v>
      </c>
      <c r="H480" s="17" t="s">
        <v>35</v>
      </c>
      <c r="I480" s="17" t="s">
        <v>36</v>
      </c>
      <c r="J480" s="17" t="s">
        <v>100</v>
      </c>
      <c r="K480" s="17" t="str">
        <f aca="false">VLOOKUP(J480,Sheet2!A:B,2,0)</f>
        <v>PIYUSH CHAVDA</v>
      </c>
      <c r="L480" s="17" t="n">
        <v>5</v>
      </c>
      <c r="M480" s="17" t="str">
        <f aca="false">VLOOKUP(L480,Sheet2!D:E,2,0)</f>
        <v>Main Processor CPU BGA</v>
      </c>
      <c r="N480" s="17" t="n">
        <v>1</v>
      </c>
      <c r="O480" s="17" t="str">
        <f aca="false">VLOOKUP(N480,Sheet2!G:H,2,0)</f>
        <v>Dead</v>
      </c>
      <c r="P480" s="17" t="n">
        <v>11</v>
      </c>
      <c r="Q480" s="17" t="str">
        <f aca="false">VLOOKUP(P480,Sheet2!J:K,2,0)</f>
        <v>IR Declared due to CID -TA</v>
      </c>
      <c r="R480" s="17" t="s">
        <v>35</v>
      </c>
      <c r="S480" s="17" t="str">
        <f aca="false">VLOOKUP(R480,Sheet2!N:O,2,0)</f>
        <v>IREPARABLE</v>
      </c>
      <c r="T480" s="18" t="str">
        <f aca="false">VLOOKUP(P480,Sheet2!Q:R,2,0)</f>
        <v>IR Normal - Track burn out</v>
      </c>
      <c r="U480" s="18" t="s">
        <v>122</v>
      </c>
      <c r="V480" s="17" t="n">
        <v>2</v>
      </c>
      <c r="W480" s="20" t="str">
        <f aca="false">VLOOKUP(V480,Sheet2!Q:R,2,0)</f>
        <v>IR CID -  Water log from other area</v>
      </c>
      <c r="X480" s="17" t="str">
        <f aca="false">J480</f>
        <v>A050</v>
      </c>
      <c r="Y480" s="17" t="str">
        <f aca="false">VLOOKUP(X480,Sheet2!A:B,2,0)</f>
        <v>PIYUSH CHAVDA</v>
      </c>
      <c r="Z480" s="17" t="s">
        <v>314</v>
      </c>
      <c r="AA480" s="17" t="s">
        <v>237</v>
      </c>
      <c r="AB480" s="17" t="s">
        <v>41</v>
      </c>
      <c r="AC480" s="0" t="str">
        <f aca="false">LEFT(G480,2)</f>
        <v>84</v>
      </c>
      <c r="AD480" s="0"/>
      <c r="AE480" s="21" t="s">
        <v>238</v>
      </c>
    </row>
    <row r="481" customFormat="false" ht="15" hidden="false" customHeight="false" outlineLevel="0" collapsed="false">
      <c r="A481" s="13" t="n">
        <f aca="false">1+A480</f>
        <v>479</v>
      </c>
      <c r="B481" s="14" t="n">
        <v>1009575332</v>
      </c>
      <c r="C481" s="15" t="s">
        <v>104</v>
      </c>
      <c r="D481" s="16" t="s">
        <v>64</v>
      </c>
      <c r="E481" s="17" t="s">
        <v>47</v>
      </c>
      <c r="F481" s="18" t="s">
        <v>34</v>
      </c>
      <c r="G481" s="19" t="n">
        <v>844062709572</v>
      </c>
      <c r="H481" s="17" t="s">
        <v>35</v>
      </c>
      <c r="I481" s="17" t="s">
        <v>36</v>
      </c>
      <c r="J481" s="17" t="s">
        <v>115</v>
      </c>
      <c r="K481" s="17" t="str">
        <f aca="false">VLOOKUP(J481,Sheet2!A:B,2,0)</f>
        <v>ANKIT RANA</v>
      </c>
      <c r="L481" s="17" t="n">
        <v>1</v>
      </c>
      <c r="M481" s="17" t="str">
        <f aca="false">VLOOKUP(L481,Sheet2!D:E,2,0)</f>
        <v>Power Supply Section</v>
      </c>
      <c r="N481" s="17" t="n">
        <v>1</v>
      </c>
      <c r="O481" s="17" t="str">
        <f aca="false">VLOOKUP(N481,Sheet2!G:H,2,0)</f>
        <v>Dead</v>
      </c>
      <c r="P481" s="17" t="n">
        <v>12</v>
      </c>
      <c r="Q481" s="17" t="str">
        <f aca="false">VLOOKUP(P481,Sheet2!J:K,2,0)</f>
        <v>IR Declared due to Others ( IR Normal)TB</v>
      </c>
      <c r="R481" s="17" t="s">
        <v>35</v>
      </c>
      <c r="S481" s="17" t="str">
        <f aca="false">VLOOKUP(R481,Sheet2!N:O,2,0)</f>
        <v>IREPARABLE</v>
      </c>
      <c r="T481" s="18" t="str">
        <f aca="false">VLOOKUP(P481,Sheet2!Q:R,2,0)</f>
        <v>IR Normal - BER to IR</v>
      </c>
      <c r="U481" s="18" t="s">
        <v>101</v>
      </c>
      <c r="V481" s="17" t="n">
        <v>8</v>
      </c>
      <c r="W481" s="20" t="str">
        <f aca="false">VLOOKUP(V481,Sheet2!Q:R,2,0)</f>
        <v>IR Normal -TrackRust/InternalDamage/open</v>
      </c>
      <c r="X481" s="17" t="str">
        <f aca="false">J481</f>
        <v>A042</v>
      </c>
      <c r="Y481" s="17" t="str">
        <f aca="false">VLOOKUP(X481,Sheet2!A:B,2,0)</f>
        <v>ANKIT RANA</v>
      </c>
      <c r="Z481" s="17" t="s">
        <v>127</v>
      </c>
      <c r="AA481" s="17" t="s">
        <v>237</v>
      </c>
      <c r="AB481" s="17" t="s">
        <v>41</v>
      </c>
      <c r="AC481" s="0" t="str">
        <f aca="false">LEFT(G481,2)</f>
        <v>84</v>
      </c>
      <c r="AD481" s="0"/>
      <c r="AE481" s="21" t="s">
        <v>238</v>
      </c>
    </row>
    <row r="482" customFormat="false" ht="15" hidden="false" customHeight="false" outlineLevel="0" collapsed="false">
      <c r="A482" s="13" t="n">
        <f aca="false">1+A481</f>
        <v>480</v>
      </c>
      <c r="B482" s="14" t="n">
        <v>1009605326</v>
      </c>
      <c r="C482" s="15" t="s">
        <v>181</v>
      </c>
      <c r="D482" s="16" t="s">
        <v>64</v>
      </c>
      <c r="E482" s="17" t="s">
        <v>64</v>
      </c>
      <c r="F482" s="18" t="s">
        <v>70</v>
      </c>
      <c r="G482" s="19" t="n">
        <v>844098787063</v>
      </c>
      <c r="H482" s="17" t="s">
        <v>35</v>
      </c>
      <c r="I482" s="17" t="s">
        <v>36</v>
      </c>
      <c r="J482" s="17" t="s">
        <v>121</v>
      </c>
      <c r="K482" s="17" t="str">
        <f aca="false">VLOOKUP(J482,Sheet2!A:B,2,0)</f>
        <v>SHANI GOHIL</v>
      </c>
      <c r="L482" s="17" t="n">
        <v>1</v>
      </c>
      <c r="M482" s="17" t="str">
        <f aca="false">VLOOKUP(L482,Sheet2!D:E,2,0)</f>
        <v>Power Supply Section</v>
      </c>
      <c r="N482" s="17" t="n">
        <v>2</v>
      </c>
      <c r="O482" s="17" t="str">
        <f aca="false">VLOOKUP(N482,Sheet2!G:H,2,0)</f>
        <v>Dead Intermittent</v>
      </c>
      <c r="P482" s="17" t="n">
        <v>12</v>
      </c>
      <c r="Q482" s="17" t="str">
        <f aca="false">VLOOKUP(P482,Sheet2!J:K,2,0)</f>
        <v>IR Declared due to Others ( IR Normal)TB</v>
      </c>
      <c r="R482" s="17" t="s">
        <v>35</v>
      </c>
      <c r="S482" s="17" t="str">
        <f aca="false">VLOOKUP(R482,Sheet2!N:O,2,0)</f>
        <v>IREPARABLE</v>
      </c>
      <c r="T482" s="18" t="str">
        <f aca="false">VLOOKUP(P482,Sheet2!Q:R,2,0)</f>
        <v>IR Normal - BER to IR</v>
      </c>
      <c r="U482" s="20" t="s">
        <v>110</v>
      </c>
      <c r="V482" s="17" t="n">
        <v>9</v>
      </c>
      <c r="W482" s="20" t="str">
        <f aca="false">VLOOKUP(V482,Sheet2!Q:R,2,0)</f>
        <v>IR Normal - Multiple time repair </v>
      </c>
      <c r="X482" s="17" t="str">
        <f aca="false">J482</f>
        <v>A063</v>
      </c>
      <c r="Y482" s="17" t="str">
        <f aca="false">VLOOKUP(X482,Sheet2!A:B,2,0)</f>
        <v>SHANI GOHIL</v>
      </c>
      <c r="Z482" s="17" t="s">
        <v>127</v>
      </c>
      <c r="AA482" s="17" t="s">
        <v>237</v>
      </c>
      <c r="AB482" s="17" t="s">
        <v>41</v>
      </c>
      <c r="AC482" s="0" t="str">
        <f aca="false">LEFT(G482,2)</f>
        <v>84</v>
      </c>
      <c r="AD482" s="0"/>
      <c r="AE482" s="21" t="s">
        <v>238</v>
      </c>
    </row>
    <row r="483" customFormat="false" ht="15" hidden="false" customHeight="false" outlineLevel="0" collapsed="false">
      <c r="A483" s="13" t="n">
        <f aca="false">1+A482</f>
        <v>481</v>
      </c>
      <c r="B483" s="14" t="n">
        <v>1009602011</v>
      </c>
      <c r="C483" s="15" t="s">
        <v>159</v>
      </c>
      <c r="D483" s="16" t="s">
        <v>64</v>
      </c>
      <c r="E483" s="17" t="s">
        <v>64</v>
      </c>
      <c r="F483" s="18" t="s">
        <v>70</v>
      </c>
      <c r="G483" s="19" t="n">
        <v>854149738262</v>
      </c>
      <c r="H483" s="17" t="s">
        <v>35</v>
      </c>
      <c r="I483" s="17" t="s">
        <v>36</v>
      </c>
      <c r="J483" s="17" t="s">
        <v>118</v>
      </c>
      <c r="K483" s="17" t="str">
        <f aca="false">VLOOKUP(J483,Sheet2!A:B,2,0)</f>
        <v>DEVENDRA RAJPUT</v>
      </c>
      <c r="L483" s="17" t="n">
        <v>1</v>
      </c>
      <c r="M483" s="17" t="str">
        <f aca="false">VLOOKUP(L483,Sheet2!D:E,2,0)</f>
        <v>Power Supply Section</v>
      </c>
      <c r="N483" s="17" t="n">
        <v>1</v>
      </c>
      <c r="O483" s="17" t="str">
        <f aca="false">VLOOKUP(N483,Sheet2!G:H,2,0)</f>
        <v>Dead</v>
      </c>
      <c r="P483" s="17" t="n">
        <v>12</v>
      </c>
      <c r="Q483" s="17" t="str">
        <f aca="false">VLOOKUP(P483,Sheet2!J:K,2,0)</f>
        <v>IR Declared due to Others ( IR Normal)TB</v>
      </c>
      <c r="R483" s="17" t="s">
        <v>35</v>
      </c>
      <c r="S483" s="17" t="str">
        <f aca="false">VLOOKUP(R483,Sheet2!N:O,2,0)</f>
        <v>IREPARABLE</v>
      </c>
      <c r="T483" s="18" t="str">
        <f aca="false">VLOOKUP(P483,Sheet2!Q:R,2,0)</f>
        <v>IR Normal - BER to IR</v>
      </c>
      <c r="U483" s="18" t="s">
        <v>101</v>
      </c>
      <c r="V483" s="17" t="n">
        <v>8</v>
      </c>
      <c r="W483" s="20" t="str">
        <f aca="false">VLOOKUP(V483,Sheet2!Q:R,2,0)</f>
        <v>IR Normal -TrackRust/InternalDamage/open</v>
      </c>
      <c r="X483" s="17" t="str">
        <f aca="false">J483</f>
        <v>A053</v>
      </c>
      <c r="Y483" s="17" t="str">
        <f aca="false">VLOOKUP(X483,Sheet2!A:B,2,0)</f>
        <v>DEVENDRA RAJPUT</v>
      </c>
      <c r="Z483" s="17" t="s">
        <v>315</v>
      </c>
      <c r="AA483" s="17" t="s">
        <v>237</v>
      </c>
      <c r="AB483" s="17" t="s">
        <v>41</v>
      </c>
      <c r="AC483" s="0" t="str">
        <f aca="false">LEFT(G483,2)</f>
        <v>85</v>
      </c>
      <c r="AD483" s="0"/>
      <c r="AE483" s="21" t="s">
        <v>238</v>
      </c>
    </row>
    <row r="484" customFormat="false" ht="15" hidden="false" customHeight="false" outlineLevel="0" collapsed="false">
      <c r="A484" s="13" t="n">
        <f aca="false">1+A483</f>
        <v>482</v>
      </c>
      <c r="B484" s="14" t="n">
        <v>1009563734</v>
      </c>
      <c r="C484" s="15" t="s">
        <v>192</v>
      </c>
      <c r="D484" s="16" t="s">
        <v>32</v>
      </c>
      <c r="E484" s="17" t="s">
        <v>47</v>
      </c>
      <c r="F484" s="18" t="s">
        <v>34</v>
      </c>
      <c r="G484" s="19" t="n">
        <v>844120786638</v>
      </c>
      <c r="H484" s="17" t="s">
        <v>35</v>
      </c>
      <c r="I484" s="17" t="s">
        <v>36</v>
      </c>
      <c r="J484" s="17" t="s">
        <v>111</v>
      </c>
      <c r="K484" s="17" t="str">
        <f aca="false">VLOOKUP(J484,Sheet2!A:B,2,0)</f>
        <v>NITIN PRANAMI</v>
      </c>
      <c r="L484" s="17" t="n">
        <v>1</v>
      </c>
      <c r="M484" s="17" t="str">
        <f aca="false">VLOOKUP(L484,Sheet2!D:E,2,0)</f>
        <v>Power Supply Section</v>
      </c>
      <c r="N484" s="17" t="n">
        <v>1</v>
      </c>
      <c r="O484" s="17" t="str">
        <f aca="false">VLOOKUP(N484,Sheet2!G:H,2,0)</f>
        <v>Dead</v>
      </c>
      <c r="P484" s="17" t="n">
        <v>11</v>
      </c>
      <c r="Q484" s="17" t="str">
        <f aca="false">VLOOKUP(P484,Sheet2!J:K,2,0)</f>
        <v>IR Declared due to CID -TA</v>
      </c>
      <c r="R484" s="17" t="s">
        <v>35</v>
      </c>
      <c r="S484" s="17" t="str">
        <f aca="false">VLOOKUP(R484,Sheet2!N:O,2,0)</f>
        <v>IREPARABLE</v>
      </c>
      <c r="T484" s="18" t="str">
        <f aca="false">VLOOKUP(P484,Sheet2!Q:R,2,0)</f>
        <v>IR Normal - Track burn out</v>
      </c>
      <c r="U484" s="18" t="s">
        <v>122</v>
      </c>
      <c r="V484" s="17" t="n">
        <v>2</v>
      </c>
      <c r="W484" s="20" t="str">
        <f aca="false">VLOOKUP(V484,Sheet2!Q:R,2,0)</f>
        <v>IR CID -  Water log from other area</v>
      </c>
      <c r="X484" s="17" t="str">
        <f aca="false">J484</f>
        <v>A031</v>
      </c>
      <c r="Y484" s="17" t="str">
        <f aca="false">VLOOKUP(X484,Sheet2!A:B,2,0)</f>
        <v>NITIN PRANAMI</v>
      </c>
      <c r="Z484" s="17" t="s">
        <v>316</v>
      </c>
      <c r="AA484" s="17" t="s">
        <v>237</v>
      </c>
      <c r="AB484" s="17" t="s">
        <v>41</v>
      </c>
      <c r="AC484" s="0" t="str">
        <f aca="false">LEFT(G484,2)</f>
        <v>84</v>
      </c>
      <c r="AD484" s="0"/>
      <c r="AE484" s="21" t="s">
        <v>238</v>
      </c>
    </row>
    <row r="485" customFormat="false" ht="15" hidden="false" customHeight="false" outlineLevel="0" collapsed="false">
      <c r="A485" s="13" t="n">
        <f aca="false">1+A484</f>
        <v>483</v>
      </c>
      <c r="B485" s="14" t="n">
        <v>1009563845</v>
      </c>
      <c r="C485" s="15" t="s">
        <v>192</v>
      </c>
      <c r="D485" s="16" t="s">
        <v>64</v>
      </c>
      <c r="E485" s="17" t="s">
        <v>64</v>
      </c>
      <c r="F485" s="18" t="s">
        <v>70</v>
      </c>
      <c r="G485" s="19" t="n">
        <v>844082786386</v>
      </c>
      <c r="H485" s="17" t="s">
        <v>35</v>
      </c>
      <c r="I485" s="17" t="s">
        <v>36</v>
      </c>
      <c r="J485" s="17" t="s">
        <v>111</v>
      </c>
      <c r="K485" s="17" t="str">
        <f aca="false">VLOOKUP(J485,Sheet2!A:B,2,0)</f>
        <v>NITIN PRANAMI</v>
      </c>
      <c r="L485" s="17" t="n">
        <v>1</v>
      </c>
      <c r="M485" s="17" t="str">
        <f aca="false">VLOOKUP(L485,Sheet2!D:E,2,0)</f>
        <v>Power Supply Section</v>
      </c>
      <c r="N485" s="17" t="n">
        <v>1</v>
      </c>
      <c r="O485" s="17" t="str">
        <f aca="false">VLOOKUP(N485,Sheet2!G:H,2,0)</f>
        <v>Dead</v>
      </c>
      <c r="P485" s="17" t="n">
        <v>11</v>
      </c>
      <c r="Q485" s="17" t="str">
        <f aca="false">VLOOKUP(P485,Sheet2!J:K,2,0)</f>
        <v>IR Declared due to CID -TA</v>
      </c>
      <c r="R485" s="17" t="s">
        <v>35</v>
      </c>
      <c r="S485" s="17" t="str">
        <f aca="false">VLOOKUP(R485,Sheet2!N:O,2,0)</f>
        <v>IREPARABLE</v>
      </c>
      <c r="T485" s="18" t="str">
        <f aca="false">VLOOKUP(P485,Sheet2!Q:R,2,0)</f>
        <v>IR Normal - Track burn out</v>
      </c>
      <c r="U485" s="18" t="s">
        <v>122</v>
      </c>
      <c r="V485" s="17" t="n">
        <v>2</v>
      </c>
      <c r="W485" s="20" t="str">
        <f aca="false">VLOOKUP(V485,Sheet2!Q:R,2,0)</f>
        <v>IR CID -  Water log from other area</v>
      </c>
      <c r="X485" s="17" t="str">
        <f aca="false">J485</f>
        <v>A031</v>
      </c>
      <c r="Y485" s="17" t="str">
        <f aca="false">VLOOKUP(X485,Sheet2!A:B,2,0)</f>
        <v>NITIN PRANAMI</v>
      </c>
      <c r="Z485" s="17" t="s">
        <v>317</v>
      </c>
      <c r="AA485" s="17" t="s">
        <v>237</v>
      </c>
      <c r="AB485" s="17" t="s">
        <v>41</v>
      </c>
      <c r="AC485" s="0" t="str">
        <f aca="false">LEFT(G485,2)</f>
        <v>84</v>
      </c>
      <c r="AD485" s="0"/>
      <c r="AE485" s="21" t="s">
        <v>238</v>
      </c>
    </row>
    <row r="486" customFormat="false" ht="15" hidden="false" customHeight="false" outlineLevel="0" collapsed="false">
      <c r="A486" s="13" t="n">
        <f aca="false">1+A485</f>
        <v>484</v>
      </c>
      <c r="B486" s="14" t="n">
        <v>1009497182</v>
      </c>
      <c r="C486" s="15" t="s">
        <v>146</v>
      </c>
      <c r="D486" s="16" t="s">
        <v>64</v>
      </c>
      <c r="E486" s="17" t="s">
        <v>64</v>
      </c>
      <c r="F486" s="18" t="s">
        <v>70</v>
      </c>
      <c r="G486" s="19" t="n">
        <v>844021719621</v>
      </c>
      <c r="H486" s="17" t="s">
        <v>35</v>
      </c>
      <c r="I486" s="17" t="s">
        <v>36</v>
      </c>
      <c r="J486" s="17" t="s">
        <v>118</v>
      </c>
      <c r="K486" s="17" t="str">
        <f aca="false">VLOOKUP(J486,Sheet2!A:B,2,0)</f>
        <v>DEVENDRA RAJPUT</v>
      </c>
      <c r="L486" s="17" t="n">
        <v>1</v>
      </c>
      <c r="M486" s="17" t="str">
        <f aca="false">VLOOKUP(L486,Sheet2!D:E,2,0)</f>
        <v>Power Supply Section</v>
      </c>
      <c r="N486" s="17" t="n">
        <v>1</v>
      </c>
      <c r="O486" s="17" t="str">
        <f aca="false">VLOOKUP(N486,Sheet2!G:H,2,0)</f>
        <v>Dead</v>
      </c>
      <c r="P486" s="17" t="n">
        <v>12</v>
      </c>
      <c r="Q486" s="17" t="str">
        <f aca="false">VLOOKUP(P486,Sheet2!J:K,2,0)</f>
        <v>IR Declared due to Others ( IR Normal)TB</v>
      </c>
      <c r="R486" s="17" t="s">
        <v>35</v>
      </c>
      <c r="S486" s="17" t="str">
        <f aca="false">VLOOKUP(R486,Sheet2!N:O,2,0)</f>
        <v>IREPARABLE</v>
      </c>
      <c r="T486" s="18" t="str">
        <f aca="false">VLOOKUP(P486,Sheet2!Q:R,2,0)</f>
        <v>IR Normal - BER to IR</v>
      </c>
      <c r="U486" s="18" t="s">
        <v>101</v>
      </c>
      <c r="V486" s="17" t="n">
        <v>8</v>
      </c>
      <c r="W486" s="20" t="str">
        <f aca="false">VLOOKUP(V486,Sheet2!Q:R,2,0)</f>
        <v>IR Normal -TrackRust/InternalDamage/open</v>
      </c>
      <c r="X486" s="17" t="str">
        <f aca="false">J486</f>
        <v>A053</v>
      </c>
      <c r="Y486" s="17" t="str">
        <f aca="false">VLOOKUP(X486,Sheet2!A:B,2,0)</f>
        <v>DEVENDRA RAJPUT</v>
      </c>
      <c r="Z486" s="17" t="s">
        <v>318</v>
      </c>
      <c r="AA486" s="17" t="s">
        <v>237</v>
      </c>
      <c r="AB486" s="17" t="s">
        <v>41</v>
      </c>
      <c r="AC486" s="0" t="str">
        <f aca="false">LEFT(G486,2)</f>
        <v>84</v>
      </c>
      <c r="AD486" s="0"/>
      <c r="AE486" s="21" t="s">
        <v>238</v>
      </c>
    </row>
    <row r="487" customFormat="false" ht="15" hidden="false" customHeight="false" outlineLevel="0" collapsed="false">
      <c r="A487" s="13" t="n">
        <f aca="false">1+A486</f>
        <v>485</v>
      </c>
      <c r="B487" s="14" t="n">
        <v>1009563430</v>
      </c>
      <c r="C487" s="15" t="s">
        <v>192</v>
      </c>
      <c r="D487" s="16" t="s">
        <v>131</v>
      </c>
      <c r="E487" s="17" t="s">
        <v>274</v>
      </c>
      <c r="F487" s="18" t="s">
        <v>34</v>
      </c>
      <c r="G487" s="19" t="n">
        <v>844113795687</v>
      </c>
      <c r="H487" s="17" t="s">
        <v>35</v>
      </c>
      <c r="I487" s="17" t="s">
        <v>36</v>
      </c>
      <c r="J487" s="17" t="s">
        <v>100</v>
      </c>
      <c r="K487" s="17" t="str">
        <f aca="false">VLOOKUP(J487,Sheet2!A:B,2,0)</f>
        <v>PIYUSH CHAVDA</v>
      </c>
      <c r="L487" s="17" t="n">
        <v>1</v>
      </c>
      <c r="M487" s="17" t="str">
        <f aca="false">VLOOKUP(L487,Sheet2!D:E,2,0)</f>
        <v>Power Supply Section</v>
      </c>
      <c r="N487" s="17" t="n">
        <v>1</v>
      </c>
      <c r="O487" s="17" t="str">
        <f aca="false">VLOOKUP(N487,Sheet2!G:H,2,0)</f>
        <v>Dead</v>
      </c>
      <c r="P487" s="17" t="n">
        <v>11</v>
      </c>
      <c r="Q487" s="17" t="str">
        <f aca="false">VLOOKUP(P487,Sheet2!J:K,2,0)</f>
        <v>IR Declared due to CID -TA</v>
      </c>
      <c r="R487" s="17" t="s">
        <v>35</v>
      </c>
      <c r="S487" s="17" t="str">
        <f aca="false">VLOOKUP(R487,Sheet2!N:O,2,0)</f>
        <v>IREPARABLE</v>
      </c>
      <c r="T487" s="18" t="str">
        <f aca="false">VLOOKUP(P487,Sheet2!Q:R,2,0)</f>
        <v>IR Normal - Track burn out</v>
      </c>
      <c r="U487" s="18" t="s">
        <v>122</v>
      </c>
      <c r="V487" s="17" t="n">
        <v>2</v>
      </c>
      <c r="W487" s="20" t="str">
        <f aca="false">VLOOKUP(V487,Sheet2!Q:R,2,0)</f>
        <v>IR CID -  Water log from other area</v>
      </c>
      <c r="X487" s="17" t="str">
        <f aca="false">J487</f>
        <v>A050</v>
      </c>
      <c r="Y487" s="17" t="str">
        <f aca="false">VLOOKUP(X487,Sheet2!A:B,2,0)</f>
        <v>PIYUSH CHAVDA</v>
      </c>
      <c r="Z487" s="17" t="s">
        <v>319</v>
      </c>
      <c r="AA487" s="17" t="s">
        <v>237</v>
      </c>
      <c r="AB487" s="17" t="s">
        <v>41</v>
      </c>
      <c r="AC487" s="0" t="str">
        <f aca="false">LEFT(G487,2)</f>
        <v>84</v>
      </c>
      <c r="AD487" s="0"/>
      <c r="AE487" s="21" t="s">
        <v>238</v>
      </c>
    </row>
    <row r="488" customFormat="false" ht="15" hidden="false" customHeight="false" outlineLevel="0" collapsed="false">
      <c r="A488" s="13" t="n">
        <f aca="false">1+A487</f>
        <v>486</v>
      </c>
      <c r="B488" s="14" t="n">
        <v>1009563928</v>
      </c>
      <c r="C488" s="15" t="s">
        <v>192</v>
      </c>
      <c r="D488" s="16" t="s">
        <v>64</v>
      </c>
      <c r="E488" s="17" t="s">
        <v>64</v>
      </c>
      <c r="F488" s="18" t="s">
        <v>70</v>
      </c>
      <c r="G488" s="19" t="n">
        <v>853051712992</v>
      </c>
      <c r="H488" s="17" t="s">
        <v>35</v>
      </c>
      <c r="I488" s="17" t="s">
        <v>36</v>
      </c>
      <c r="J488" s="17" t="s">
        <v>100</v>
      </c>
      <c r="K488" s="17" t="str">
        <f aca="false">VLOOKUP(J488,Sheet2!A:B,2,0)</f>
        <v>PIYUSH CHAVDA</v>
      </c>
      <c r="L488" s="17" t="n">
        <v>1</v>
      </c>
      <c r="M488" s="17" t="str">
        <f aca="false">VLOOKUP(L488,Sheet2!D:E,2,0)</f>
        <v>Power Supply Section</v>
      </c>
      <c r="N488" s="17" t="n">
        <v>1</v>
      </c>
      <c r="O488" s="17" t="str">
        <f aca="false">VLOOKUP(N488,Sheet2!G:H,2,0)</f>
        <v>Dead</v>
      </c>
      <c r="P488" s="17" t="n">
        <v>11</v>
      </c>
      <c r="Q488" s="17" t="str">
        <f aca="false">VLOOKUP(P488,Sheet2!J:K,2,0)</f>
        <v>IR Declared due to CID -TA</v>
      </c>
      <c r="R488" s="17" t="s">
        <v>35</v>
      </c>
      <c r="S488" s="17" t="str">
        <f aca="false">VLOOKUP(R488,Sheet2!N:O,2,0)</f>
        <v>IREPARABLE</v>
      </c>
      <c r="T488" s="18" t="str">
        <f aca="false">VLOOKUP(P488,Sheet2!Q:R,2,0)</f>
        <v>IR Normal - Track burn out</v>
      </c>
      <c r="U488" s="18" t="s">
        <v>122</v>
      </c>
      <c r="V488" s="17" t="n">
        <v>2</v>
      </c>
      <c r="W488" s="20" t="str">
        <f aca="false">VLOOKUP(V488,Sheet2!Q:R,2,0)</f>
        <v>IR CID -  Water log from other area</v>
      </c>
      <c r="X488" s="17" t="str">
        <f aca="false">J488</f>
        <v>A050</v>
      </c>
      <c r="Y488" s="17" t="str">
        <f aca="false">VLOOKUP(X488,Sheet2!A:B,2,0)</f>
        <v>PIYUSH CHAVDA</v>
      </c>
      <c r="Z488" s="17" t="s">
        <v>320</v>
      </c>
      <c r="AA488" s="17" t="s">
        <v>237</v>
      </c>
      <c r="AB488" s="17" t="s">
        <v>41</v>
      </c>
      <c r="AC488" s="0" t="str">
        <f aca="false">LEFT(G488,2)</f>
        <v>85</v>
      </c>
      <c r="AD488" s="0"/>
      <c r="AE488" s="21" t="s">
        <v>238</v>
      </c>
    </row>
    <row r="489" customFormat="false" ht="15" hidden="false" customHeight="false" outlineLevel="0" collapsed="false">
      <c r="A489" s="13" t="n">
        <f aca="false">1+A488</f>
        <v>487</v>
      </c>
      <c r="B489" s="14" t="n">
        <v>1009621644</v>
      </c>
      <c r="C489" s="15" t="s">
        <v>184</v>
      </c>
      <c r="D489" s="16" t="s">
        <v>64</v>
      </c>
      <c r="E489" s="17" t="s">
        <v>47</v>
      </c>
      <c r="F489" s="18" t="s">
        <v>34</v>
      </c>
      <c r="G489" s="19" t="n">
        <v>853221721006</v>
      </c>
      <c r="H489" s="17" t="s">
        <v>35</v>
      </c>
      <c r="I489" s="17" t="s">
        <v>36</v>
      </c>
      <c r="J489" s="17" t="s">
        <v>241</v>
      </c>
      <c r="K489" s="17" t="str">
        <f aca="false">VLOOKUP(J489,Sheet2!A:B,2,0)</f>
        <v>NILESH NAGAR</v>
      </c>
      <c r="L489" s="17" t="n">
        <v>5</v>
      </c>
      <c r="M489" s="17" t="str">
        <f aca="false">VLOOKUP(L489,Sheet2!D:E,2,0)</f>
        <v>Main Processor CPU BGA</v>
      </c>
      <c r="N489" s="17" t="n">
        <v>1</v>
      </c>
      <c r="O489" s="17" t="str">
        <f aca="false">VLOOKUP(N489,Sheet2!G:H,2,0)</f>
        <v>Dead</v>
      </c>
      <c r="P489" s="17" t="n">
        <v>12</v>
      </c>
      <c r="Q489" s="17" t="str">
        <f aca="false">VLOOKUP(P489,Sheet2!J:K,2,0)</f>
        <v>IR Declared due to Others ( IR Normal)TB</v>
      </c>
      <c r="R489" s="17" t="s">
        <v>35</v>
      </c>
      <c r="S489" s="17" t="str">
        <f aca="false">VLOOKUP(R489,Sheet2!N:O,2,0)</f>
        <v>IREPARABLE</v>
      </c>
      <c r="T489" s="18" t="str">
        <f aca="false">VLOOKUP(P489,Sheet2!Q:R,2,0)</f>
        <v>IR Normal - BER to IR</v>
      </c>
      <c r="U489" s="18" t="s">
        <v>101</v>
      </c>
      <c r="V489" s="17" t="n">
        <v>8</v>
      </c>
      <c r="W489" s="20" t="str">
        <f aca="false">VLOOKUP(V489,Sheet2!Q:R,2,0)</f>
        <v>IR Normal -TrackRust/InternalDamage/open</v>
      </c>
      <c r="X489" s="17" t="str">
        <f aca="false">J489</f>
        <v>A008</v>
      </c>
      <c r="Y489" s="17" t="str">
        <f aca="false">VLOOKUP(X489,Sheet2!A:B,2,0)</f>
        <v>NILESH NAGAR</v>
      </c>
      <c r="Z489" s="17" t="s">
        <v>321</v>
      </c>
      <c r="AA489" s="17" t="s">
        <v>237</v>
      </c>
      <c r="AB489" s="17" t="s">
        <v>41</v>
      </c>
      <c r="AC489" s="0" t="str">
        <f aca="false">LEFT(G489,2)</f>
        <v>85</v>
      </c>
      <c r="AD489" s="0"/>
      <c r="AE489" s="21" t="s">
        <v>238</v>
      </c>
    </row>
    <row r="490" customFormat="false" ht="15" hidden="false" customHeight="false" outlineLevel="0" collapsed="false">
      <c r="A490" s="13" t="n">
        <f aca="false">1+A489</f>
        <v>488</v>
      </c>
      <c r="B490" s="14" t="n">
        <v>1009610486</v>
      </c>
      <c r="C490" s="15" t="s">
        <v>181</v>
      </c>
      <c r="D490" s="16" t="s">
        <v>119</v>
      </c>
      <c r="E490" s="17" t="s">
        <v>47</v>
      </c>
      <c r="F490" s="18" t="s">
        <v>34</v>
      </c>
      <c r="G490" s="19" t="n">
        <v>853253778080</v>
      </c>
      <c r="H490" s="17" t="s">
        <v>35</v>
      </c>
      <c r="I490" s="17" t="s">
        <v>36</v>
      </c>
      <c r="J490" s="17" t="s">
        <v>241</v>
      </c>
      <c r="K490" s="17" t="str">
        <f aca="false">VLOOKUP(J490,Sheet2!A:B,2,0)</f>
        <v>NILESH NAGAR</v>
      </c>
      <c r="L490" s="17" t="n">
        <v>5</v>
      </c>
      <c r="M490" s="17" t="str">
        <f aca="false">VLOOKUP(L490,Sheet2!D:E,2,0)</f>
        <v>Main Processor CPU BGA</v>
      </c>
      <c r="N490" s="17" t="n">
        <v>1</v>
      </c>
      <c r="O490" s="17" t="str">
        <f aca="false">VLOOKUP(N490,Sheet2!G:H,2,0)</f>
        <v>Dead</v>
      </c>
      <c r="P490" s="17" t="n">
        <v>12</v>
      </c>
      <c r="Q490" s="17" t="str">
        <f aca="false">VLOOKUP(P490,Sheet2!J:K,2,0)</f>
        <v>IR Declared due to Others ( IR Normal)TB</v>
      </c>
      <c r="R490" s="17" t="s">
        <v>35</v>
      </c>
      <c r="S490" s="17" t="str">
        <f aca="false">VLOOKUP(R490,Sheet2!N:O,2,0)</f>
        <v>IREPARABLE</v>
      </c>
      <c r="T490" s="18" t="str">
        <f aca="false">VLOOKUP(P490,Sheet2!Q:R,2,0)</f>
        <v>IR Normal - BER to IR</v>
      </c>
      <c r="U490" s="18" t="s">
        <v>101</v>
      </c>
      <c r="V490" s="17" t="n">
        <v>8</v>
      </c>
      <c r="W490" s="20" t="str">
        <f aca="false">VLOOKUP(V490,Sheet2!Q:R,2,0)</f>
        <v>IR Normal -TrackRust/InternalDamage/open</v>
      </c>
      <c r="X490" s="17" t="str">
        <f aca="false">J490</f>
        <v>A008</v>
      </c>
      <c r="Y490" s="17" t="str">
        <f aca="false">VLOOKUP(X490,Sheet2!A:B,2,0)</f>
        <v>NILESH NAGAR</v>
      </c>
      <c r="Z490" s="17" t="s">
        <v>322</v>
      </c>
      <c r="AA490" s="17" t="s">
        <v>237</v>
      </c>
      <c r="AB490" s="17" t="s">
        <v>41</v>
      </c>
      <c r="AC490" s="0" t="str">
        <f aca="false">LEFT(G490,2)</f>
        <v>85</v>
      </c>
      <c r="AD490" s="0"/>
      <c r="AE490" s="21" t="s">
        <v>238</v>
      </c>
    </row>
    <row r="491" customFormat="false" ht="15" hidden="false" customHeight="false" outlineLevel="0" collapsed="false">
      <c r="A491" s="13" t="n">
        <f aca="false">1+A490</f>
        <v>489</v>
      </c>
      <c r="B491" s="14" t="n">
        <v>1009462403</v>
      </c>
      <c r="C491" s="15" t="s">
        <v>55</v>
      </c>
      <c r="D491" s="16" t="s">
        <v>64</v>
      </c>
      <c r="E491" s="17" t="s">
        <v>255</v>
      </c>
      <c r="F491" s="18" t="s">
        <v>34</v>
      </c>
      <c r="G491" s="19" t="n">
        <v>853260721347</v>
      </c>
      <c r="H491" s="17" t="s">
        <v>35</v>
      </c>
      <c r="I491" s="17" t="s">
        <v>36</v>
      </c>
      <c r="J491" s="17" t="s">
        <v>323</v>
      </c>
      <c r="K491" s="17" t="str">
        <f aca="false">VLOOKUP(J491,Sheet2!A:B,2,0)</f>
        <v>GHANSHYAM VYAS</v>
      </c>
      <c r="L491" s="17" t="n">
        <v>1</v>
      </c>
      <c r="M491" s="17" t="str">
        <f aca="false">VLOOKUP(L491,Sheet2!D:E,2,0)</f>
        <v>Power Supply Section</v>
      </c>
      <c r="N491" s="17" t="n">
        <v>1</v>
      </c>
      <c r="O491" s="17" t="str">
        <f aca="false">VLOOKUP(N491,Sheet2!G:H,2,0)</f>
        <v>Dead</v>
      </c>
      <c r="P491" s="17" t="n">
        <v>11</v>
      </c>
      <c r="Q491" s="17" t="str">
        <f aca="false">VLOOKUP(P491,Sheet2!J:K,2,0)</f>
        <v>IR Declared due to CID -TA</v>
      </c>
      <c r="R491" s="17" t="s">
        <v>35</v>
      </c>
      <c r="S491" s="17" t="str">
        <f aca="false">VLOOKUP(R491,Sheet2!N:O,2,0)</f>
        <v>IREPARABLE</v>
      </c>
      <c r="T491" s="18" t="str">
        <f aca="false">VLOOKUP(P491,Sheet2!Q:R,2,0)</f>
        <v>IR Normal - Track burn out</v>
      </c>
      <c r="U491" s="18" t="s">
        <v>122</v>
      </c>
      <c r="V491" s="17" t="n">
        <v>2</v>
      </c>
      <c r="W491" s="20" t="str">
        <f aca="false">VLOOKUP(V491,Sheet2!Q:R,2,0)</f>
        <v>IR CID -  Water log from other area</v>
      </c>
      <c r="X491" s="17" t="str">
        <f aca="false">J491</f>
        <v>A068</v>
      </c>
      <c r="Y491" s="17" t="str">
        <f aca="false">VLOOKUP(X491,Sheet2!A:B,2,0)</f>
        <v>GHANSHYAM VYAS</v>
      </c>
      <c r="Z491" s="17" t="s">
        <v>324</v>
      </c>
      <c r="AA491" s="17" t="s">
        <v>237</v>
      </c>
      <c r="AB491" s="17" t="s">
        <v>41</v>
      </c>
      <c r="AC491" s="0" t="str">
        <f aca="false">LEFT(G491,2)</f>
        <v>85</v>
      </c>
      <c r="AD491" s="0"/>
      <c r="AE491" s="21" t="s">
        <v>238</v>
      </c>
    </row>
    <row r="492" customFormat="false" ht="15" hidden="false" customHeight="false" outlineLevel="0" collapsed="false">
      <c r="A492" s="13" t="n">
        <f aca="false">1+A491</f>
        <v>490</v>
      </c>
      <c r="B492" s="14" t="n">
        <v>1009473438</v>
      </c>
      <c r="C492" s="15" t="s">
        <v>151</v>
      </c>
      <c r="D492" s="16" t="s">
        <v>64</v>
      </c>
      <c r="E492" s="17" t="s">
        <v>33</v>
      </c>
      <c r="F492" s="18" t="s">
        <v>34</v>
      </c>
      <c r="G492" s="19" t="n">
        <v>853220719514</v>
      </c>
      <c r="H492" s="17" t="s">
        <v>35</v>
      </c>
      <c r="I492" s="17" t="s">
        <v>36</v>
      </c>
      <c r="J492" s="17" t="s">
        <v>239</v>
      </c>
      <c r="K492" s="17" t="str">
        <f aca="false">VLOOKUP(J492,Sheet2!A:B,2,0)</f>
        <v>VASANT PARMAR</v>
      </c>
      <c r="L492" s="17" t="n">
        <v>1</v>
      </c>
      <c r="M492" s="17" t="str">
        <f aca="false">VLOOKUP(L492,Sheet2!D:E,2,0)</f>
        <v>Power Supply Section</v>
      </c>
      <c r="N492" s="17" t="n">
        <v>1</v>
      </c>
      <c r="O492" s="17" t="str">
        <f aca="false">VLOOKUP(N492,Sheet2!G:H,2,0)</f>
        <v>Dead</v>
      </c>
      <c r="P492" s="17" t="n">
        <v>12</v>
      </c>
      <c r="Q492" s="17" t="str">
        <f aca="false">VLOOKUP(P492,Sheet2!J:K,2,0)</f>
        <v>IR Declared due to Others ( IR Normal)TB</v>
      </c>
      <c r="R492" s="17" t="s">
        <v>35</v>
      </c>
      <c r="S492" s="17" t="str">
        <f aca="false">VLOOKUP(R492,Sheet2!N:O,2,0)</f>
        <v>IREPARABLE</v>
      </c>
      <c r="T492" s="18" t="s">
        <v>135</v>
      </c>
      <c r="U492" s="20" t="s">
        <v>110</v>
      </c>
      <c r="V492" s="17" t="n">
        <v>9</v>
      </c>
      <c r="W492" s="20" t="str">
        <f aca="false">VLOOKUP(V492,Sheet2!Q:R,2,0)</f>
        <v>IR Normal - Multiple time repair </v>
      </c>
      <c r="X492" s="17" t="str">
        <f aca="false">J492</f>
        <v>A005</v>
      </c>
      <c r="Y492" s="17" t="str">
        <f aca="false">VLOOKUP(X492,Sheet2!A:B,2,0)</f>
        <v>VASANT PARMAR</v>
      </c>
      <c r="Z492" s="17" t="s">
        <v>324</v>
      </c>
      <c r="AA492" s="17" t="s">
        <v>237</v>
      </c>
      <c r="AB492" s="17" t="s">
        <v>41</v>
      </c>
      <c r="AC492" s="0" t="str">
        <f aca="false">LEFT(G492,2)</f>
        <v>85</v>
      </c>
      <c r="AD492" s="0"/>
      <c r="AE492" s="21" t="s">
        <v>238</v>
      </c>
    </row>
    <row r="493" customFormat="false" ht="15" hidden="false" customHeight="false" outlineLevel="0" collapsed="false">
      <c r="A493" s="13" t="n">
        <f aca="false">1+A492</f>
        <v>491</v>
      </c>
      <c r="B493" s="14" t="n">
        <v>1009350456</v>
      </c>
      <c r="C493" s="15" t="s">
        <v>87</v>
      </c>
      <c r="D493" s="16" t="s">
        <v>64</v>
      </c>
      <c r="E493" s="17" t="s">
        <v>64</v>
      </c>
      <c r="F493" s="18" t="s">
        <v>70</v>
      </c>
      <c r="G493" s="19" t="n">
        <v>854163770126</v>
      </c>
      <c r="H493" s="17" t="s">
        <v>35</v>
      </c>
      <c r="I493" s="17" t="s">
        <v>36</v>
      </c>
      <c r="J493" s="17" t="s">
        <v>100</v>
      </c>
      <c r="K493" s="17" t="str">
        <f aca="false">VLOOKUP(J493,Sheet2!A:B,2,0)</f>
        <v>PIYUSH CHAVDA</v>
      </c>
      <c r="L493" s="17" t="n">
        <v>1</v>
      </c>
      <c r="M493" s="17" t="str">
        <f aca="false">VLOOKUP(L493,Sheet2!D:E,2,0)</f>
        <v>Power Supply Section</v>
      </c>
      <c r="N493" s="17" t="n">
        <v>1</v>
      </c>
      <c r="O493" s="17" t="str">
        <f aca="false">VLOOKUP(N493,Sheet2!G:H,2,0)</f>
        <v>Dead</v>
      </c>
      <c r="P493" s="17" t="n">
        <v>11</v>
      </c>
      <c r="Q493" s="17" t="str">
        <f aca="false">VLOOKUP(P493,Sheet2!J:K,2,0)</f>
        <v>IR Declared due to CID -TA</v>
      </c>
      <c r="R493" s="17" t="s">
        <v>35</v>
      </c>
      <c r="S493" s="17" t="str">
        <f aca="false">VLOOKUP(R493,Sheet2!N:O,2,0)</f>
        <v>IREPARABLE</v>
      </c>
      <c r="T493" s="18" t="str">
        <f aca="false">VLOOKUP(P493,Sheet2!Q:R,2,0)</f>
        <v>IR Normal - Track burn out</v>
      </c>
      <c r="U493" s="18" t="s">
        <v>122</v>
      </c>
      <c r="V493" s="17" t="n">
        <v>2</v>
      </c>
      <c r="W493" s="20" t="str">
        <f aca="false">VLOOKUP(V493,Sheet2!Q:R,2,0)</f>
        <v>IR CID -  Water log from other area</v>
      </c>
      <c r="X493" s="17" t="str">
        <f aca="false">J493</f>
        <v>A050</v>
      </c>
      <c r="Y493" s="17" t="str">
        <f aca="false">VLOOKUP(X493,Sheet2!A:B,2,0)</f>
        <v>PIYUSH CHAVDA</v>
      </c>
      <c r="Z493" s="17" t="s">
        <v>325</v>
      </c>
      <c r="AA493" s="17" t="s">
        <v>237</v>
      </c>
      <c r="AB493" s="17" t="s">
        <v>41</v>
      </c>
      <c r="AC493" s="0" t="str">
        <f aca="false">LEFT(G493,2)</f>
        <v>85</v>
      </c>
      <c r="AD493" s="0"/>
      <c r="AE493" s="21" t="s">
        <v>238</v>
      </c>
    </row>
    <row r="494" customFormat="false" ht="15" hidden="false" customHeight="false" outlineLevel="0" collapsed="false">
      <c r="A494" s="13" t="n">
        <f aca="false">1+A493</f>
        <v>492</v>
      </c>
      <c r="B494" s="14" t="n">
        <v>1009447990</v>
      </c>
      <c r="C494" s="15" t="s">
        <v>189</v>
      </c>
      <c r="D494" s="16" t="s">
        <v>64</v>
      </c>
      <c r="E494" s="17" t="s">
        <v>47</v>
      </c>
      <c r="F494" s="18" t="s">
        <v>34</v>
      </c>
      <c r="G494" s="19" t="n">
        <v>853262706551</v>
      </c>
      <c r="H494" s="17" t="s">
        <v>35</v>
      </c>
      <c r="I494" s="17" t="s">
        <v>36</v>
      </c>
      <c r="J494" s="17" t="s">
        <v>100</v>
      </c>
      <c r="K494" s="17" t="str">
        <f aca="false">VLOOKUP(J494,Sheet2!A:B,2,0)</f>
        <v>PIYUSH CHAVDA</v>
      </c>
      <c r="L494" s="17" t="n">
        <v>1</v>
      </c>
      <c r="M494" s="17" t="str">
        <f aca="false">VLOOKUP(L494,Sheet2!D:E,2,0)</f>
        <v>Power Supply Section</v>
      </c>
      <c r="N494" s="17" t="n">
        <v>1</v>
      </c>
      <c r="O494" s="17" t="str">
        <f aca="false">VLOOKUP(N494,Sheet2!G:H,2,0)</f>
        <v>Dead</v>
      </c>
      <c r="P494" s="17" t="n">
        <v>11</v>
      </c>
      <c r="Q494" s="17" t="str">
        <f aca="false">VLOOKUP(P494,Sheet2!J:K,2,0)</f>
        <v>IR Declared due to CID -TA</v>
      </c>
      <c r="R494" s="17" t="s">
        <v>35</v>
      </c>
      <c r="S494" s="17" t="str">
        <f aca="false">VLOOKUP(R494,Sheet2!N:O,2,0)</f>
        <v>IREPARABLE</v>
      </c>
      <c r="T494" s="18" t="str">
        <f aca="false">VLOOKUP(P494,Sheet2!Q:R,2,0)</f>
        <v>IR Normal - Track burn out</v>
      </c>
      <c r="U494" s="18" t="s">
        <v>122</v>
      </c>
      <c r="V494" s="17" t="n">
        <v>2</v>
      </c>
      <c r="W494" s="20" t="str">
        <f aca="false">VLOOKUP(V494,Sheet2!Q:R,2,0)</f>
        <v>IR CID -  Water log from other area</v>
      </c>
      <c r="X494" s="17" t="str">
        <f aca="false">J494</f>
        <v>A050</v>
      </c>
      <c r="Y494" s="17" t="str">
        <f aca="false">VLOOKUP(X494,Sheet2!A:B,2,0)</f>
        <v>PIYUSH CHAVDA</v>
      </c>
      <c r="Z494" s="17" t="s">
        <v>319</v>
      </c>
      <c r="AA494" s="17" t="s">
        <v>237</v>
      </c>
      <c r="AB494" s="17" t="s">
        <v>41</v>
      </c>
      <c r="AC494" s="0" t="str">
        <f aca="false">LEFT(G494,2)</f>
        <v>85</v>
      </c>
      <c r="AD494" s="0"/>
      <c r="AE494" s="21" t="s">
        <v>238</v>
      </c>
    </row>
    <row r="495" customFormat="false" ht="15" hidden="false" customHeight="false" outlineLevel="0" collapsed="false">
      <c r="A495" s="13" t="n">
        <f aca="false">1+A494</f>
        <v>493</v>
      </c>
      <c r="B495" s="14" t="n">
        <v>1009603903</v>
      </c>
      <c r="C495" s="15" t="s">
        <v>146</v>
      </c>
      <c r="D495" s="16" t="s">
        <v>64</v>
      </c>
      <c r="E495" s="17" t="s">
        <v>64</v>
      </c>
      <c r="F495" s="18" t="s">
        <v>70</v>
      </c>
      <c r="G495" s="19" t="n">
        <v>743032611571</v>
      </c>
      <c r="H495" s="17" t="s">
        <v>35</v>
      </c>
      <c r="I495" s="17" t="s">
        <v>54</v>
      </c>
      <c r="J495" s="17" t="s">
        <v>118</v>
      </c>
      <c r="K495" s="17" t="str">
        <f aca="false">VLOOKUP(J495,Sheet2!A:B,2,0)</f>
        <v>DEVENDRA RAJPUT</v>
      </c>
      <c r="L495" s="17" t="n">
        <v>1</v>
      </c>
      <c r="M495" s="17" t="str">
        <f aca="false">VLOOKUP(L495,Sheet2!D:E,2,0)</f>
        <v>Power Supply Section</v>
      </c>
      <c r="N495" s="17" t="n">
        <v>1</v>
      </c>
      <c r="O495" s="17" t="str">
        <f aca="false">VLOOKUP(N495,Sheet2!G:H,2,0)</f>
        <v>Dead</v>
      </c>
      <c r="P495" s="17" t="n">
        <v>12</v>
      </c>
      <c r="Q495" s="17" t="str">
        <f aca="false">VLOOKUP(P495,Sheet2!J:K,2,0)</f>
        <v>IR Declared due to Others ( IR Normal)TB</v>
      </c>
      <c r="R495" s="17" t="s">
        <v>35</v>
      </c>
      <c r="S495" s="17" t="str">
        <f aca="false">VLOOKUP(R495,Sheet2!N:O,2,0)</f>
        <v>IREPARABLE</v>
      </c>
      <c r="T495" s="18" t="str">
        <f aca="false">VLOOKUP(P495,Sheet2!Q:R,2,0)</f>
        <v>IR Normal - BER to IR</v>
      </c>
      <c r="U495" s="20" t="s">
        <v>135</v>
      </c>
      <c r="V495" s="17" t="n">
        <v>12</v>
      </c>
      <c r="W495" s="20" t="str">
        <f aca="false">VLOOKUP(V495,Sheet2!Q:R,2,0)</f>
        <v>IR Normal - BER to IR</v>
      </c>
      <c r="X495" s="17" t="str">
        <f aca="false">J495</f>
        <v>A053</v>
      </c>
      <c r="Y495" s="17" t="str">
        <f aca="false">VLOOKUP(X495,Sheet2!A:B,2,0)</f>
        <v>DEVENDRA RAJPUT</v>
      </c>
      <c r="Z495" s="17" t="s">
        <v>226</v>
      </c>
      <c r="AA495" s="17" t="s">
        <v>237</v>
      </c>
      <c r="AB495" s="17" t="s">
        <v>41</v>
      </c>
      <c r="AC495" s="0" t="str">
        <f aca="false">LEFT(G495,2)</f>
        <v>74</v>
      </c>
      <c r="AD495" s="0"/>
      <c r="AE495" s="21" t="s">
        <v>238</v>
      </c>
    </row>
    <row r="496" customFormat="false" ht="15" hidden="false" customHeight="false" outlineLevel="0" collapsed="false">
      <c r="A496" s="13" t="n">
        <f aca="false">1+A495</f>
        <v>494</v>
      </c>
      <c r="B496" s="14" t="n">
        <v>1009549874</v>
      </c>
      <c r="C496" s="15" t="s">
        <v>126</v>
      </c>
      <c r="D496" s="16" t="s">
        <v>64</v>
      </c>
      <c r="E496" s="17" t="s">
        <v>64</v>
      </c>
      <c r="F496" s="18" t="s">
        <v>70</v>
      </c>
      <c r="G496" s="19" t="n">
        <v>288095203668</v>
      </c>
      <c r="H496" s="17" t="s">
        <v>35</v>
      </c>
      <c r="I496" s="17" t="s">
        <v>74</v>
      </c>
      <c r="J496" s="17" t="s">
        <v>239</v>
      </c>
      <c r="K496" s="17" t="str">
        <f aca="false">VLOOKUP(J496,Sheet2!A:B,2,0)</f>
        <v>VASANT PARMAR</v>
      </c>
      <c r="L496" s="17" t="n">
        <v>5</v>
      </c>
      <c r="M496" s="17" t="str">
        <f aca="false">VLOOKUP(L496,Sheet2!D:E,2,0)</f>
        <v>Main Processor CPU BGA</v>
      </c>
      <c r="N496" s="17" t="n">
        <v>24</v>
      </c>
      <c r="O496" s="17" t="str">
        <f aca="false">VLOOKUP(N496,Sheet2!G:H,2,0)</f>
        <v>STB Auto moving -Stand by mode</v>
      </c>
      <c r="P496" s="17" t="n">
        <v>11</v>
      </c>
      <c r="Q496" s="17" t="str">
        <f aca="false">VLOOKUP(P496,Sheet2!J:K,2,0)</f>
        <v>IR Declared due to CID -TA</v>
      </c>
      <c r="R496" s="17" t="s">
        <v>35</v>
      </c>
      <c r="S496" s="17" t="str">
        <f aca="false">VLOOKUP(R496,Sheet2!N:O,2,0)</f>
        <v>IREPARABLE</v>
      </c>
      <c r="T496" s="18" t="str">
        <f aca="false">VLOOKUP(P496,Sheet2!Q:R,2,0)</f>
        <v>IR Normal - Track burn out</v>
      </c>
      <c r="U496" s="18" t="s">
        <v>122</v>
      </c>
      <c r="V496" s="17" t="n">
        <v>2</v>
      </c>
      <c r="W496" s="20" t="str">
        <f aca="false">VLOOKUP(V496,Sheet2!Q:R,2,0)</f>
        <v>IR CID -  Water log from other area</v>
      </c>
      <c r="X496" s="17" t="str">
        <f aca="false">J496</f>
        <v>A005</v>
      </c>
      <c r="Y496" s="17" t="str">
        <f aca="false">VLOOKUP(X496,Sheet2!A:B,2,0)</f>
        <v>VASANT PARMAR</v>
      </c>
      <c r="Z496" s="17" t="s">
        <v>326</v>
      </c>
      <c r="AA496" s="17" t="s">
        <v>237</v>
      </c>
      <c r="AB496" s="17" t="s">
        <v>41</v>
      </c>
      <c r="AC496" s="0" t="str">
        <f aca="false">LEFT(G496,2)</f>
        <v>28</v>
      </c>
      <c r="AD496" s="0"/>
      <c r="AE496" s="21" t="s">
        <v>238</v>
      </c>
    </row>
    <row r="497" customFormat="false" ht="15" hidden="false" customHeight="false" outlineLevel="0" collapsed="false">
      <c r="A497" s="13" t="n">
        <f aca="false">1+A496</f>
        <v>495</v>
      </c>
      <c r="B497" s="14" t="n">
        <v>1009570598</v>
      </c>
      <c r="C497" s="15" t="s">
        <v>102</v>
      </c>
      <c r="D497" s="16" t="s">
        <v>56</v>
      </c>
      <c r="E497" s="17" t="s">
        <v>47</v>
      </c>
      <c r="F497" s="18" t="s">
        <v>34</v>
      </c>
      <c r="G497" s="19" t="n">
        <v>277350219501</v>
      </c>
      <c r="H497" s="17" t="s">
        <v>35</v>
      </c>
      <c r="I497" s="17" t="s">
        <v>74</v>
      </c>
      <c r="J497" s="17" t="s">
        <v>241</v>
      </c>
      <c r="K497" s="17" t="str">
        <f aca="false">VLOOKUP(J497,Sheet2!A:B,2,0)</f>
        <v>NILESH NAGAR</v>
      </c>
      <c r="L497" s="17" t="n">
        <v>5</v>
      </c>
      <c r="M497" s="17" t="str">
        <f aca="false">VLOOKUP(L497,Sheet2!D:E,2,0)</f>
        <v>Main Processor CPU BGA</v>
      </c>
      <c r="N497" s="17" t="n">
        <v>1</v>
      </c>
      <c r="O497" s="17" t="str">
        <f aca="false">VLOOKUP(N497,Sheet2!G:H,2,0)</f>
        <v>Dead</v>
      </c>
      <c r="P497" s="17" t="n">
        <v>11</v>
      </c>
      <c r="Q497" s="17" t="str">
        <f aca="false">VLOOKUP(P497,Sheet2!J:K,2,0)</f>
        <v>IR Declared due to CID -TA</v>
      </c>
      <c r="R497" s="17" t="s">
        <v>35</v>
      </c>
      <c r="S497" s="17" t="str">
        <f aca="false">VLOOKUP(R497,Sheet2!N:O,2,0)</f>
        <v>IREPARABLE</v>
      </c>
      <c r="T497" s="18" t="str">
        <f aca="false">VLOOKUP(P497,Sheet2!Q:R,2,0)</f>
        <v>IR Normal - Track burn out</v>
      </c>
      <c r="U497" s="18" t="s">
        <v>122</v>
      </c>
      <c r="V497" s="17" t="n">
        <v>2</v>
      </c>
      <c r="W497" s="20" t="str">
        <f aca="false">VLOOKUP(V497,Sheet2!Q:R,2,0)</f>
        <v>IR CID -  Water log from other area</v>
      </c>
      <c r="X497" s="17" t="str">
        <f aca="false">J497</f>
        <v>A008</v>
      </c>
      <c r="Y497" s="17" t="str">
        <f aca="false">VLOOKUP(X497,Sheet2!A:B,2,0)</f>
        <v>NILESH NAGAR</v>
      </c>
      <c r="Z497" s="17" t="s">
        <v>327</v>
      </c>
      <c r="AA497" s="17" t="s">
        <v>237</v>
      </c>
      <c r="AB497" s="17" t="s">
        <v>41</v>
      </c>
      <c r="AC497" s="0" t="str">
        <f aca="false">LEFT(G497,2)</f>
        <v>27</v>
      </c>
      <c r="AD497" s="0"/>
      <c r="AE497" s="21" t="s">
        <v>238</v>
      </c>
    </row>
    <row r="498" customFormat="false" ht="15" hidden="false" customHeight="false" outlineLevel="0" collapsed="false">
      <c r="A498" s="13" t="n">
        <f aca="false">1+A497</f>
        <v>496</v>
      </c>
      <c r="B498" s="14" t="n">
        <v>1009627297</v>
      </c>
      <c r="C498" s="15" t="s">
        <v>163</v>
      </c>
      <c r="D498" s="16" t="s">
        <v>64</v>
      </c>
      <c r="E498" s="17" t="s">
        <v>64</v>
      </c>
      <c r="F498" s="18" t="s">
        <v>70</v>
      </c>
      <c r="G498" s="19" t="n">
        <v>288146236964</v>
      </c>
      <c r="H498" s="17" t="s">
        <v>35</v>
      </c>
      <c r="I498" s="17" t="s">
        <v>74</v>
      </c>
      <c r="J498" s="17" t="s">
        <v>118</v>
      </c>
      <c r="K498" s="17" t="str">
        <f aca="false">VLOOKUP(J498,Sheet2!A:B,2,0)</f>
        <v>DEVENDRA RAJPUT</v>
      </c>
      <c r="L498" s="17" t="n">
        <v>2</v>
      </c>
      <c r="M498" s="17" t="str">
        <f aca="false">VLOOKUP(L498,Sheet2!D:E,2,0)</f>
        <v>Tuner Section</v>
      </c>
      <c r="N498" s="17" t="n">
        <v>6</v>
      </c>
      <c r="O498" s="17" t="str">
        <f aca="false">VLOOKUP(N498,Sheet2!G:H,2,0)</f>
        <v>No Signal</v>
      </c>
      <c r="P498" s="17" t="n">
        <v>12</v>
      </c>
      <c r="Q498" s="17" t="str">
        <f aca="false">VLOOKUP(P498,Sheet2!J:K,2,0)</f>
        <v>IR Declared due to Others ( IR Normal)TB</v>
      </c>
      <c r="R498" s="17" t="s">
        <v>35</v>
      </c>
      <c r="S498" s="17" t="str">
        <f aca="false">VLOOKUP(R498,Sheet2!N:O,2,0)</f>
        <v>IREPARABLE</v>
      </c>
      <c r="T498" s="18" t="str">
        <f aca="false">VLOOKUP(P498,Sheet2!Q:R,2,0)</f>
        <v>IR Normal - BER to IR</v>
      </c>
      <c r="U498" s="18" t="s">
        <v>101</v>
      </c>
      <c r="V498" s="17" t="n">
        <v>8</v>
      </c>
      <c r="W498" s="20" t="str">
        <f aca="false">VLOOKUP(V498,Sheet2!Q:R,2,0)</f>
        <v>IR Normal -TrackRust/InternalDamage/open</v>
      </c>
      <c r="X498" s="17" t="str">
        <f aca="false">J498</f>
        <v>A053</v>
      </c>
      <c r="Y498" s="17" t="str">
        <f aca="false">VLOOKUP(X498,Sheet2!A:B,2,0)</f>
        <v>DEVENDRA RAJPUT</v>
      </c>
      <c r="Z498" s="17" t="s">
        <v>328</v>
      </c>
      <c r="AA498" s="17" t="s">
        <v>237</v>
      </c>
      <c r="AB498" s="17" t="s">
        <v>41</v>
      </c>
      <c r="AC498" s="0" t="str">
        <f aca="false">LEFT(G498,2)</f>
        <v>28</v>
      </c>
      <c r="AD498" s="0"/>
      <c r="AE498" s="21" t="s">
        <v>238</v>
      </c>
    </row>
    <row r="499" customFormat="false" ht="15" hidden="false" customHeight="false" outlineLevel="0" collapsed="false">
      <c r="A499" s="13" t="n">
        <f aca="false">1+A498</f>
        <v>497</v>
      </c>
      <c r="B499" s="14" t="n">
        <v>1009526459</v>
      </c>
      <c r="C499" s="15" t="s">
        <v>162</v>
      </c>
      <c r="D499" s="16" t="s">
        <v>158</v>
      </c>
      <c r="E499" s="17" t="s">
        <v>255</v>
      </c>
      <c r="F499" s="18" t="s">
        <v>34</v>
      </c>
      <c r="G499" s="19" t="n">
        <v>288140101362</v>
      </c>
      <c r="H499" s="17" t="s">
        <v>35</v>
      </c>
      <c r="I499" s="17" t="s">
        <v>74</v>
      </c>
      <c r="J499" s="17" t="s">
        <v>241</v>
      </c>
      <c r="K499" s="17" t="str">
        <f aca="false">VLOOKUP(J499,Sheet2!A:B,2,0)</f>
        <v>NILESH NAGAR</v>
      </c>
      <c r="L499" s="17" t="n">
        <v>5</v>
      </c>
      <c r="M499" s="17" t="str">
        <f aca="false">VLOOKUP(L499,Sheet2!D:E,2,0)</f>
        <v>Main Processor CPU BGA</v>
      </c>
      <c r="N499" s="17" t="n">
        <v>1</v>
      </c>
      <c r="O499" s="17" t="str">
        <f aca="false">VLOOKUP(N499,Sheet2!G:H,2,0)</f>
        <v>Dead</v>
      </c>
      <c r="P499" s="17" t="n">
        <v>11</v>
      </c>
      <c r="Q499" s="17" t="str">
        <f aca="false">VLOOKUP(P499,Sheet2!J:K,2,0)</f>
        <v>IR Declared due to CID -TA</v>
      </c>
      <c r="R499" s="17" t="s">
        <v>35</v>
      </c>
      <c r="S499" s="17" t="str">
        <f aca="false">VLOOKUP(R499,Sheet2!N:O,2,0)</f>
        <v>IREPARABLE</v>
      </c>
      <c r="T499" s="18" t="str">
        <f aca="false">VLOOKUP(P499,Sheet2!Q:R,2,0)</f>
        <v>IR Normal - Track burn out</v>
      </c>
      <c r="U499" s="18" t="s">
        <v>122</v>
      </c>
      <c r="V499" s="17" t="n">
        <v>2</v>
      </c>
      <c r="W499" s="20" t="str">
        <f aca="false">VLOOKUP(V499,Sheet2!Q:R,2,0)</f>
        <v>IR CID -  Water log from other area</v>
      </c>
      <c r="X499" s="17" t="str">
        <f aca="false">J499</f>
        <v>A008</v>
      </c>
      <c r="Y499" s="17" t="str">
        <f aca="false">VLOOKUP(X499,Sheet2!A:B,2,0)</f>
        <v>NILESH NAGAR</v>
      </c>
      <c r="Z499" s="17" t="s">
        <v>329</v>
      </c>
      <c r="AA499" s="17" t="s">
        <v>237</v>
      </c>
      <c r="AB499" s="17" t="s">
        <v>41</v>
      </c>
      <c r="AC499" s="0" t="str">
        <f aca="false">LEFT(G499,2)</f>
        <v>28</v>
      </c>
      <c r="AD499" s="0"/>
      <c r="AE499" s="21" t="s">
        <v>238</v>
      </c>
    </row>
    <row r="500" customFormat="false" ht="15" hidden="false" customHeight="false" outlineLevel="0" collapsed="false">
      <c r="A500" s="13" t="n">
        <f aca="false">1+A499</f>
        <v>498</v>
      </c>
      <c r="B500" s="14" t="n">
        <v>1009525438</v>
      </c>
      <c r="C500" s="15" t="s">
        <v>162</v>
      </c>
      <c r="D500" s="16" t="s">
        <v>119</v>
      </c>
      <c r="E500" s="17" t="s">
        <v>274</v>
      </c>
      <c r="F500" s="18" t="s">
        <v>34</v>
      </c>
      <c r="G500" s="19" t="n">
        <v>277298204045</v>
      </c>
      <c r="H500" s="17" t="s">
        <v>35</v>
      </c>
      <c r="I500" s="17" t="s">
        <v>74</v>
      </c>
      <c r="J500" s="17" t="s">
        <v>241</v>
      </c>
      <c r="K500" s="17" t="str">
        <f aca="false">VLOOKUP(J500,Sheet2!A:B,2,0)</f>
        <v>NILESH NAGAR</v>
      </c>
      <c r="L500" s="17" t="n">
        <v>5</v>
      </c>
      <c r="M500" s="17" t="str">
        <f aca="false">VLOOKUP(L500,Sheet2!D:E,2,0)</f>
        <v>Main Processor CPU BGA</v>
      </c>
      <c r="N500" s="17" t="n">
        <v>1</v>
      </c>
      <c r="O500" s="17" t="str">
        <f aca="false">VLOOKUP(N500,Sheet2!G:H,2,0)</f>
        <v>Dead</v>
      </c>
      <c r="P500" s="17" t="n">
        <v>11</v>
      </c>
      <c r="Q500" s="17" t="str">
        <f aca="false">VLOOKUP(P500,Sheet2!J:K,2,0)</f>
        <v>IR Declared due to CID -TA</v>
      </c>
      <c r="R500" s="17" t="s">
        <v>35</v>
      </c>
      <c r="S500" s="17" t="str">
        <f aca="false">VLOOKUP(R500,Sheet2!N:O,2,0)</f>
        <v>IREPARABLE</v>
      </c>
      <c r="T500" s="18" t="str">
        <f aca="false">VLOOKUP(P500,Sheet2!Q:R,2,0)</f>
        <v>IR Normal - Track burn out</v>
      </c>
      <c r="U500" s="18" t="s">
        <v>122</v>
      </c>
      <c r="V500" s="17" t="n">
        <v>2</v>
      </c>
      <c r="W500" s="20" t="str">
        <f aca="false">VLOOKUP(V500,Sheet2!Q:R,2,0)</f>
        <v>IR CID -  Water log from other area</v>
      </c>
      <c r="X500" s="17" t="str">
        <f aca="false">J500</f>
        <v>A008</v>
      </c>
      <c r="Y500" s="17" t="str">
        <f aca="false">VLOOKUP(X500,Sheet2!A:B,2,0)</f>
        <v>NILESH NAGAR</v>
      </c>
      <c r="Z500" s="17" t="s">
        <v>330</v>
      </c>
      <c r="AA500" s="17" t="s">
        <v>237</v>
      </c>
      <c r="AB500" s="17" t="s">
        <v>41</v>
      </c>
      <c r="AC500" s="0" t="str">
        <f aca="false">LEFT(G500,2)</f>
        <v>27</v>
      </c>
      <c r="AD500" s="0"/>
      <c r="AE500" s="21" t="s">
        <v>238</v>
      </c>
    </row>
    <row r="501" customFormat="false" ht="15" hidden="false" customHeight="false" outlineLevel="0" collapsed="false">
      <c r="A501" s="13" t="n">
        <f aca="false">1+A500</f>
        <v>499</v>
      </c>
      <c r="B501" s="14" t="n">
        <v>1009535482</v>
      </c>
      <c r="C501" s="15" t="s">
        <v>311</v>
      </c>
      <c r="D501" s="16" t="s">
        <v>64</v>
      </c>
      <c r="E501" s="17" t="s">
        <v>64</v>
      </c>
      <c r="F501" s="18" t="s">
        <v>70</v>
      </c>
      <c r="G501" s="19" t="n">
        <v>277349102834</v>
      </c>
      <c r="H501" s="17" t="s">
        <v>35</v>
      </c>
      <c r="I501" s="17" t="s">
        <v>74</v>
      </c>
      <c r="J501" s="17" t="s">
        <v>111</v>
      </c>
      <c r="K501" s="17" t="str">
        <f aca="false">VLOOKUP(J501,Sheet2!A:B,2,0)</f>
        <v>NITIN PRANAMI</v>
      </c>
      <c r="L501" s="17" t="n">
        <v>1</v>
      </c>
      <c r="M501" s="17" t="str">
        <f aca="false">VLOOKUP(L501,Sheet2!D:E,2,0)</f>
        <v>Power Supply Section</v>
      </c>
      <c r="N501" s="17" t="n">
        <v>1</v>
      </c>
      <c r="O501" s="17" t="str">
        <f aca="false">VLOOKUP(N501,Sheet2!G:H,2,0)</f>
        <v>Dead</v>
      </c>
      <c r="P501" s="17" t="n">
        <v>11</v>
      </c>
      <c r="Q501" s="17" t="str">
        <f aca="false">VLOOKUP(P501,Sheet2!J:K,2,0)</f>
        <v>IR Declared due to CID -TA</v>
      </c>
      <c r="R501" s="17" t="s">
        <v>35</v>
      </c>
      <c r="S501" s="17" t="str">
        <f aca="false">VLOOKUP(R501,Sheet2!N:O,2,0)</f>
        <v>IREPARABLE</v>
      </c>
      <c r="T501" s="18" t="str">
        <f aca="false">VLOOKUP(P501,Sheet2!Q:R,2,0)</f>
        <v>IR Normal - Track burn out</v>
      </c>
      <c r="U501" s="18" t="s">
        <v>122</v>
      </c>
      <c r="V501" s="17" t="n">
        <v>2</v>
      </c>
      <c r="W501" s="20" t="str">
        <f aca="false">VLOOKUP(V501,Sheet2!Q:R,2,0)</f>
        <v>IR CID -  Water log from other area</v>
      </c>
      <c r="X501" s="17" t="str">
        <f aca="false">J501</f>
        <v>A031</v>
      </c>
      <c r="Y501" s="17" t="str">
        <f aca="false">VLOOKUP(X501,Sheet2!A:B,2,0)</f>
        <v>NITIN PRANAMI</v>
      </c>
      <c r="Z501" s="17" t="s">
        <v>331</v>
      </c>
      <c r="AA501" s="17" t="s">
        <v>237</v>
      </c>
      <c r="AB501" s="17" t="s">
        <v>41</v>
      </c>
      <c r="AC501" s="0" t="str">
        <f aca="false">LEFT(G501,2)</f>
        <v>27</v>
      </c>
      <c r="AD501" s="0"/>
      <c r="AE501" s="21" t="s">
        <v>238</v>
      </c>
    </row>
    <row r="502" customFormat="false" ht="15" hidden="false" customHeight="false" outlineLevel="0" collapsed="false">
      <c r="A502" s="13" t="n">
        <f aca="false">1+A501</f>
        <v>500</v>
      </c>
      <c r="B502" s="14" t="n">
        <v>1009601959</v>
      </c>
      <c r="C502" s="15" t="s">
        <v>159</v>
      </c>
      <c r="D502" s="16" t="s">
        <v>157</v>
      </c>
      <c r="E502" s="17" t="s">
        <v>47</v>
      </c>
      <c r="F502" s="18" t="s">
        <v>34</v>
      </c>
      <c r="G502" s="19" t="n">
        <v>288116140345</v>
      </c>
      <c r="H502" s="17" t="s">
        <v>35</v>
      </c>
      <c r="I502" s="17" t="s">
        <v>74</v>
      </c>
      <c r="J502" s="17" t="s">
        <v>118</v>
      </c>
      <c r="K502" s="17" t="str">
        <f aca="false">VLOOKUP(J502,Sheet2!A:B,2,0)</f>
        <v>DEVENDRA RAJPUT</v>
      </c>
      <c r="L502" s="17" t="n">
        <v>1</v>
      </c>
      <c r="M502" s="17" t="str">
        <f aca="false">VLOOKUP(L502,Sheet2!D:E,2,0)</f>
        <v>Power Supply Section</v>
      </c>
      <c r="N502" s="17" t="n">
        <v>1</v>
      </c>
      <c r="O502" s="17" t="str">
        <f aca="false">VLOOKUP(N502,Sheet2!G:H,2,0)</f>
        <v>Dead</v>
      </c>
      <c r="P502" s="17" t="n">
        <v>11</v>
      </c>
      <c r="Q502" s="17" t="str">
        <f aca="false">VLOOKUP(P502,Sheet2!J:K,2,0)</f>
        <v>IR Declared due to CID -TA</v>
      </c>
      <c r="R502" s="17" t="s">
        <v>35</v>
      </c>
      <c r="S502" s="17" t="str">
        <f aca="false">VLOOKUP(R502,Sheet2!N:O,2,0)</f>
        <v>IREPARABLE</v>
      </c>
      <c r="T502" s="18" t="str">
        <f aca="false">VLOOKUP(P502,Sheet2!Q:R,2,0)</f>
        <v>IR Normal - Track burn out</v>
      </c>
      <c r="U502" s="18" t="s">
        <v>122</v>
      </c>
      <c r="V502" s="17" t="n">
        <v>2</v>
      </c>
      <c r="W502" s="20" t="str">
        <f aca="false">VLOOKUP(V502,Sheet2!Q:R,2,0)</f>
        <v>IR CID -  Water log from other area</v>
      </c>
      <c r="X502" s="17" t="str">
        <f aca="false">J502</f>
        <v>A053</v>
      </c>
      <c r="Y502" s="17" t="str">
        <f aca="false">VLOOKUP(X502,Sheet2!A:B,2,0)</f>
        <v>DEVENDRA RAJPUT</v>
      </c>
      <c r="Z502" s="17" t="s">
        <v>332</v>
      </c>
      <c r="AA502" s="17" t="s">
        <v>237</v>
      </c>
      <c r="AB502" s="17" t="s">
        <v>41</v>
      </c>
      <c r="AC502" s="0" t="str">
        <f aca="false">LEFT(G502,2)</f>
        <v>28</v>
      </c>
      <c r="AD502" s="0"/>
      <c r="AE502" s="21" t="s">
        <v>238</v>
      </c>
    </row>
    <row r="503" customFormat="false" ht="15" hidden="false" customHeight="false" outlineLevel="0" collapsed="false">
      <c r="A503" s="13" t="n">
        <f aca="false">1+A502</f>
        <v>501</v>
      </c>
      <c r="B503" s="14" t="n">
        <v>1009558488</v>
      </c>
      <c r="C503" s="15" t="s">
        <v>192</v>
      </c>
      <c r="D503" s="16" t="s">
        <v>64</v>
      </c>
      <c r="E503" s="17" t="s">
        <v>64</v>
      </c>
      <c r="F503" s="18" t="s">
        <v>70</v>
      </c>
      <c r="G503" s="19" t="n">
        <v>278023205992</v>
      </c>
      <c r="H503" s="17" t="s">
        <v>35</v>
      </c>
      <c r="I503" s="17" t="s">
        <v>74</v>
      </c>
      <c r="J503" s="17" t="s">
        <v>100</v>
      </c>
      <c r="K503" s="17" t="str">
        <f aca="false">VLOOKUP(J503,Sheet2!A:B,2,0)</f>
        <v>PIYUSH CHAVDA</v>
      </c>
      <c r="L503" s="17" t="n">
        <v>1</v>
      </c>
      <c r="M503" s="17" t="str">
        <f aca="false">VLOOKUP(L503,Sheet2!D:E,2,0)</f>
        <v>Power Supply Section</v>
      </c>
      <c r="N503" s="17" t="n">
        <v>1</v>
      </c>
      <c r="O503" s="17" t="str">
        <f aca="false">VLOOKUP(N503,Sheet2!G:H,2,0)</f>
        <v>Dead</v>
      </c>
      <c r="P503" s="17" t="n">
        <v>11</v>
      </c>
      <c r="Q503" s="17" t="str">
        <f aca="false">VLOOKUP(P503,Sheet2!J:K,2,0)</f>
        <v>IR Declared due to CID -TA</v>
      </c>
      <c r="R503" s="17" t="s">
        <v>35</v>
      </c>
      <c r="S503" s="17" t="str">
        <f aca="false">VLOOKUP(R503,Sheet2!N:O,2,0)</f>
        <v>IREPARABLE</v>
      </c>
      <c r="T503" s="18" t="str">
        <f aca="false">VLOOKUP(P503,Sheet2!Q:R,2,0)</f>
        <v>IR Normal - Track burn out</v>
      </c>
      <c r="U503" s="18" t="s">
        <v>122</v>
      </c>
      <c r="V503" s="17" t="n">
        <v>2</v>
      </c>
      <c r="W503" s="20" t="str">
        <f aca="false">VLOOKUP(V503,Sheet2!Q:R,2,0)</f>
        <v>IR CID -  Water log from other area</v>
      </c>
      <c r="X503" s="17" t="str">
        <f aca="false">J503</f>
        <v>A050</v>
      </c>
      <c r="Y503" s="17" t="str">
        <f aca="false">VLOOKUP(X503,Sheet2!A:B,2,0)</f>
        <v>PIYUSH CHAVDA</v>
      </c>
      <c r="Z503" s="17" t="s">
        <v>333</v>
      </c>
      <c r="AA503" s="17" t="s">
        <v>237</v>
      </c>
      <c r="AB503" s="17" t="s">
        <v>41</v>
      </c>
      <c r="AC503" s="0" t="str">
        <f aca="false">LEFT(G503,2)</f>
        <v>27</v>
      </c>
      <c r="AD503" s="0"/>
      <c r="AE503" s="21" t="s">
        <v>238</v>
      </c>
    </row>
    <row r="504" customFormat="false" ht="15" hidden="false" customHeight="false" outlineLevel="0" collapsed="false">
      <c r="A504" s="13" t="n">
        <f aca="false">1+A503</f>
        <v>502</v>
      </c>
      <c r="B504" s="14" t="n">
        <v>1009468517</v>
      </c>
      <c r="C504" s="15" t="s">
        <v>151</v>
      </c>
      <c r="D504" s="16" t="s">
        <v>64</v>
      </c>
      <c r="E504" s="17" t="s">
        <v>64</v>
      </c>
      <c r="F504" s="18" t="s">
        <v>70</v>
      </c>
      <c r="G504" s="19" t="n">
        <v>277304147022</v>
      </c>
      <c r="H504" s="17" t="s">
        <v>35</v>
      </c>
      <c r="I504" s="17" t="s">
        <v>74</v>
      </c>
      <c r="J504" s="17" t="s">
        <v>241</v>
      </c>
      <c r="K504" s="17" t="str">
        <f aca="false">VLOOKUP(J504,Sheet2!A:B,2,0)</f>
        <v>NILESH NAGAR</v>
      </c>
      <c r="L504" s="17" t="n">
        <v>5</v>
      </c>
      <c r="M504" s="17" t="str">
        <f aca="false">VLOOKUP(L504,Sheet2!D:E,2,0)</f>
        <v>Main Processor CPU BGA</v>
      </c>
      <c r="N504" s="17" t="n">
        <v>1</v>
      </c>
      <c r="O504" s="17" t="str">
        <f aca="false">VLOOKUP(N504,Sheet2!G:H,2,0)</f>
        <v>Dead</v>
      </c>
      <c r="P504" s="17" t="n">
        <v>11</v>
      </c>
      <c r="Q504" s="17" t="str">
        <f aca="false">VLOOKUP(P504,Sheet2!J:K,2,0)</f>
        <v>IR Declared due to CID -TA</v>
      </c>
      <c r="R504" s="17" t="s">
        <v>35</v>
      </c>
      <c r="S504" s="17" t="str">
        <f aca="false">VLOOKUP(R504,Sheet2!N:O,2,0)</f>
        <v>IREPARABLE</v>
      </c>
      <c r="T504" s="18" t="str">
        <f aca="false">VLOOKUP(P504,Sheet2!Q:R,2,0)</f>
        <v>IR Normal - Track burn out</v>
      </c>
      <c r="U504" s="18" t="s">
        <v>122</v>
      </c>
      <c r="V504" s="17" t="n">
        <v>2</v>
      </c>
      <c r="W504" s="20" t="str">
        <f aca="false">VLOOKUP(V504,Sheet2!Q:R,2,0)</f>
        <v>IR CID -  Water log from other area</v>
      </c>
      <c r="X504" s="17" t="str">
        <f aca="false">J504</f>
        <v>A008</v>
      </c>
      <c r="Y504" s="17" t="str">
        <f aca="false">VLOOKUP(X504,Sheet2!A:B,2,0)</f>
        <v>NILESH NAGAR</v>
      </c>
      <c r="Z504" s="17" t="s">
        <v>334</v>
      </c>
      <c r="AA504" s="17" t="s">
        <v>237</v>
      </c>
      <c r="AB504" s="17" t="s">
        <v>41</v>
      </c>
      <c r="AC504" s="0" t="str">
        <f aca="false">LEFT(G504,2)</f>
        <v>27</v>
      </c>
      <c r="AD504" s="0"/>
      <c r="AE504" s="21" t="s">
        <v>238</v>
      </c>
    </row>
    <row r="505" customFormat="false" ht="15" hidden="false" customHeight="false" outlineLevel="0" collapsed="false">
      <c r="A505" s="13" t="n">
        <f aca="false">1+A504</f>
        <v>503</v>
      </c>
      <c r="B505" s="14" t="n">
        <v>1009493649</v>
      </c>
      <c r="C505" s="15" t="s">
        <v>146</v>
      </c>
      <c r="D505" s="16" t="s">
        <v>64</v>
      </c>
      <c r="E505" s="17" t="s">
        <v>64</v>
      </c>
      <c r="F505" s="18" t="s">
        <v>70</v>
      </c>
      <c r="G505" s="19" t="n">
        <v>867110113448</v>
      </c>
      <c r="H505" s="17" t="s">
        <v>35</v>
      </c>
      <c r="I505" s="17" t="s">
        <v>72</v>
      </c>
      <c r="J505" s="17" t="s">
        <v>111</v>
      </c>
      <c r="K505" s="17" t="str">
        <f aca="false">VLOOKUP(J505,Sheet2!A:B,2,0)</f>
        <v>NITIN PRANAMI</v>
      </c>
      <c r="L505" s="17" t="n">
        <v>1</v>
      </c>
      <c r="M505" s="17" t="str">
        <f aca="false">VLOOKUP(L505,Sheet2!D:E,2,0)</f>
        <v>Power Supply Section</v>
      </c>
      <c r="N505" s="17" t="n">
        <v>1</v>
      </c>
      <c r="O505" s="17" t="str">
        <f aca="false">VLOOKUP(N505,Sheet2!G:H,2,0)</f>
        <v>Dead</v>
      </c>
      <c r="P505" s="17" t="n">
        <v>11</v>
      </c>
      <c r="Q505" s="17" t="str">
        <f aca="false">VLOOKUP(P505,Sheet2!J:K,2,0)</f>
        <v>IR Declared due to CID -TA</v>
      </c>
      <c r="R505" s="17" t="s">
        <v>35</v>
      </c>
      <c r="S505" s="17" t="str">
        <f aca="false">VLOOKUP(R505,Sheet2!N:O,2,0)</f>
        <v>IREPARABLE</v>
      </c>
      <c r="T505" s="18" t="str">
        <f aca="false">VLOOKUP(P505,Sheet2!Q:R,2,0)</f>
        <v>IR Normal - Track burn out</v>
      </c>
      <c r="U505" s="18" t="s">
        <v>122</v>
      </c>
      <c r="V505" s="17" t="n">
        <v>2</v>
      </c>
      <c r="W505" s="20" t="str">
        <f aca="false">VLOOKUP(V505,Sheet2!Q:R,2,0)</f>
        <v>IR CID -  Water log from other area</v>
      </c>
      <c r="X505" s="17" t="str">
        <f aca="false">J505</f>
        <v>A031</v>
      </c>
      <c r="Y505" s="17" t="str">
        <f aca="false">VLOOKUP(X505,Sheet2!A:B,2,0)</f>
        <v>NITIN PRANAMI</v>
      </c>
      <c r="Z505" s="17" t="s">
        <v>335</v>
      </c>
      <c r="AA505" s="17" t="s">
        <v>237</v>
      </c>
      <c r="AB505" s="17" t="s">
        <v>41</v>
      </c>
      <c r="AC505" s="0" t="str">
        <f aca="false">LEFT(G505,2)</f>
        <v>86</v>
      </c>
      <c r="AD505" s="0"/>
      <c r="AE505" s="21" t="s">
        <v>238</v>
      </c>
    </row>
    <row r="506" customFormat="false" ht="15" hidden="false" customHeight="false" outlineLevel="0" collapsed="false">
      <c r="A506" s="13" t="n">
        <f aca="false">1+A505</f>
        <v>504</v>
      </c>
      <c r="B506" s="14" t="n">
        <v>1009582164</v>
      </c>
      <c r="C506" s="15" t="s">
        <v>104</v>
      </c>
      <c r="D506" s="16" t="s">
        <v>64</v>
      </c>
      <c r="E506" s="17" t="s">
        <v>64</v>
      </c>
      <c r="F506" s="18" t="s">
        <v>70</v>
      </c>
      <c r="G506" s="19" t="n">
        <v>865169130552</v>
      </c>
      <c r="H506" s="17" t="s">
        <v>35</v>
      </c>
      <c r="I506" s="17" t="s">
        <v>72</v>
      </c>
      <c r="J506" s="17" t="s">
        <v>287</v>
      </c>
      <c r="K506" s="17" t="str">
        <f aca="false">VLOOKUP(J506,Sheet2!A:B,2,0)</f>
        <v>BHUPENDRA  DABHI</v>
      </c>
      <c r="L506" s="17" t="n">
        <v>1</v>
      </c>
      <c r="M506" s="17" t="str">
        <f aca="false">VLOOKUP(L506,Sheet2!D:E,2,0)</f>
        <v>Power Supply Section</v>
      </c>
      <c r="N506" s="17" t="n">
        <v>1</v>
      </c>
      <c r="O506" s="17" t="str">
        <f aca="false">VLOOKUP(N506,Sheet2!G:H,2,0)</f>
        <v>Dead</v>
      </c>
      <c r="P506" s="17" t="n">
        <v>12</v>
      </c>
      <c r="Q506" s="17" t="str">
        <f aca="false">VLOOKUP(P506,Sheet2!J:K,2,0)</f>
        <v>IR Declared due to Others ( IR Normal)TB</v>
      </c>
      <c r="R506" s="17" t="s">
        <v>35</v>
      </c>
      <c r="S506" s="17" t="str">
        <f aca="false">VLOOKUP(R506,Sheet2!N:O,2,0)</f>
        <v>IREPARABLE</v>
      </c>
      <c r="T506" s="18" t="str">
        <f aca="false">VLOOKUP(P506,Sheet2!Q:R,2,0)</f>
        <v>IR Normal - BER to IR</v>
      </c>
      <c r="U506" s="18" t="s">
        <v>101</v>
      </c>
      <c r="V506" s="17" t="n">
        <v>8</v>
      </c>
      <c r="W506" s="20" t="str">
        <f aca="false">VLOOKUP(V506,Sheet2!Q:R,2,0)</f>
        <v>IR Normal -TrackRust/InternalDamage/open</v>
      </c>
      <c r="X506" s="17" t="str">
        <f aca="false">J506</f>
        <v>A010</v>
      </c>
      <c r="Y506" s="17" t="str">
        <f aca="false">VLOOKUP(X506,Sheet2!A:B,2,0)</f>
        <v>BHUPENDRA  DABHI</v>
      </c>
      <c r="Z506" s="17" t="s">
        <v>336</v>
      </c>
      <c r="AA506" s="17" t="s">
        <v>237</v>
      </c>
      <c r="AB506" s="17" t="s">
        <v>41</v>
      </c>
      <c r="AC506" s="0" t="str">
        <f aca="false">LEFT(G506,2)</f>
        <v>86</v>
      </c>
      <c r="AD506" s="0"/>
      <c r="AE506" s="21" t="s">
        <v>238</v>
      </c>
    </row>
    <row r="507" customFormat="false" ht="15" hidden="false" customHeight="false" outlineLevel="0" collapsed="false">
      <c r="A507" s="13" t="n">
        <f aca="false">1+A506</f>
        <v>505</v>
      </c>
      <c r="B507" s="14" t="n">
        <v>1009582173</v>
      </c>
      <c r="C507" s="15" t="s">
        <v>104</v>
      </c>
      <c r="D507" s="16" t="s">
        <v>142</v>
      </c>
      <c r="E507" s="17" t="s">
        <v>337</v>
      </c>
      <c r="F507" s="18" t="s">
        <v>34</v>
      </c>
      <c r="G507" s="19" t="n">
        <v>867033108657</v>
      </c>
      <c r="H507" s="17" t="s">
        <v>35</v>
      </c>
      <c r="I507" s="17" t="s">
        <v>72</v>
      </c>
      <c r="J507" s="17" t="s">
        <v>287</v>
      </c>
      <c r="K507" s="17" t="str">
        <f aca="false">VLOOKUP(J507,Sheet2!A:B,2,0)</f>
        <v>BHUPENDRA  DABHI</v>
      </c>
      <c r="L507" s="17" t="n">
        <v>1</v>
      </c>
      <c r="M507" s="17" t="str">
        <f aca="false">VLOOKUP(L507,Sheet2!D:E,2,0)</f>
        <v>Power Supply Section</v>
      </c>
      <c r="N507" s="17" t="n">
        <v>1</v>
      </c>
      <c r="O507" s="17" t="str">
        <f aca="false">VLOOKUP(N507,Sheet2!G:H,2,0)</f>
        <v>Dead</v>
      </c>
      <c r="P507" s="17" t="n">
        <v>11</v>
      </c>
      <c r="Q507" s="17" t="str">
        <f aca="false">VLOOKUP(P507,Sheet2!J:K,2,0)</f>
        <v>IR Declared due to CID -TA</v>
      </c>
      <c r="R507" s="17" t="s">
        <v>35</v>
      </c>
      <c r="S507" s="17" t="str">
        <f aca="false">VLOOKUP(R507,Sheet2!N:O,2,0)</f>
        <v>IREPARABLE</v>
      </c>
      <c r="T507" s="18" t="str">
        <f aca="false">VLOOKUP(P507,Sheet2!Q:R,2,0)</f>
        <v>IR Normal - Track burn out</v>
      </c>
      <c r="U507" s="18" t="s">
        <v>38</v>
      </c>
      <c r="V507" s="17" t="n">
        <v>4</v>
      </c>
      <c r="W507" s="20" t="str">
        <f aca="false">VLOOKUP(V507,Sheet2!Q:R,2,0)</f>
        <v>IR CID - Tampered Track burn out</v>
      </c>
      <c r="X507" s="17" t="str">
        <f aca="false">J507</f>
        <v>A010</v>
      </c>
      <c r="Y507" s="17" t="str">
        <f aca="false">VLOOKUP(X507,Sheet2!A:B,2,0)</f>
        <v>BHUPENDRA  DABHI</v>
      </c>
      <c r="Z507" s="17" t="s">
        <v>249</v>
      </c>
      <c r="AA507" s="17" t="s">
        <v>237</v>
      </c>
      <c r="AB507" s="17" t="s">
        <v>41</v>
      </c>
      <c r="AC507" s="0" t="str">
        <f aca="false">LEFT(G507,2)</f>
        <v>86</v>
      </c>
      <c r="AD507" s="0"/>
      <c r="AE507" s="21" t="s">
        <v>238</v>
      </c>
    </row>
    <row r="508" customFormat="false" ht="15" hidden="false" customHeight="false" outlineLevel="0" collapsed="false">
      <c r="A508" s="13" t="n">
        <f aca="false">1+A507</f>
        <v>506</v>
      </c>
      <c r="B508" s="14" t="n">
        <v>1009582279</v>
      </c>
      <c r="C508" s="15" t="s">
        <v>104</v>
      </c>
      <c r="D508" s="16" t="s">
        <v>64</v>
      </c>
      <c r="E508" s="17" t="s">
        <v>33</v>
      </c>
      <c r="F508" s="18" t="s">
        <v>34</v>
      </c>
      <c r="G508" s="19" t="n">
        <v>868166197004</v>
      </c>
      <c r="H508" s="17" t="s">
        <v>35</v>
      </c>
      <c r="I508" s="17" t="s">
        <v>72</v>
      </c>
      <c r="J508" s="17" t="s">
        <v>118</v>
      </c>
      <c r="K508" s="17" t="str">
        <f aca="false">VLOOKUP(J508,Sheet2!A:B,2,0)</f>
        <v>DEVENDRA RAJPUT</v>
      </c>
      <c r="L508" s="17" t="n">
        <v>5</v>
      </c>
      <c r="M508" s="17" t="str">
        <f aca="false">VLOOKUP(L508,Sheet2!D:E,2,0)</f>
        <v>Main Processor CPU BGA</v>
      </c>
      <c r="N508" s="17" t="n">
        <v>24</v>
      </c>
      <c r="O508" s="17" t="str">
        <f aca="false">VLOOKUP(N508,Sheet2!G:H,2,0)</f>
        <v>STB Auto moving -Stand by mode</v>
      </c>
      <c r="P508" s="17" t="n">
        <v>11</v>
      </c>
      <c r="Q508" s="17" t="str">
        <f aca="false">VLOOKUP(P508,Sheet2!J:K,2,0)</f>
        <v>IR Declared due to CID -TA</v>
      </c>
      <c r="R508" s="17" t="s">
        <v>35</v>
      </c>
      <c r="S508" s="17" t="str">
        <f aca="false">VLOOKUP(R508,Sheet2!N:O,2,0)</f>
        <v>IREPARABLE</v>
      </c>
      <c r="T508" s="18" t="str">
        <f aca="false">VLOOKUP(P508,Sheet2!Q:R,2,0)</f>
        <v>IR Normal - Track burn out</v>
      </c>
      <c r="U508" s="18" t="s">
        <v>122</v>
      </c>
      <c r="V508" s="17" t="n">
        <v>2</v>
      </c>
      <c r="W508" s="20" t="str">
        <f aca="false">VLOOKUP(V508,Sheet2!Q:R,2,0)</f>
        <v>IR CID -  Water log from other area</v>
      </c>
      <c r="X508" s="17" t="str">
        <f aca="false">J508</f>
        <v>A053</v>
      </c>
      <c r="Y508" s="17" t="str">
        <f aca="false">VLOOKUP(X508,Sheet2!A:B,2,0)</f>
        <v>DEVENDRA RAJPUT</v>
      </c>
      <c r="Z508" s="17" t="s">
        <v>247</v>
      </c>
      <c r="AA508" s="17" t="s">
        <v>237</v>
      </c>
      <c r="AB508" s="17" t="s">
        <v>41</v>
      </c>
      <c r="AC508" s="0" t="str">
        <f aca="false">LEFT(G508,2)</f>
        <v>86</v>
      </c>
      <c r="AD508" s="0"/>
      <c r="AE508" s="21" t="s">
        <v>238</v>
      </c>
    </row>
    <row r="509" customFormat="false" ht="15" hidden="false" customHeight="false" outlineLevel="0" collapsed="false">
      <c r="A509" s="13" t="n">
        <f aca="false">1+A508</f>
        <v>507</v>
      </c>
      <c r="B509" s="14" t="n">
        <v>1009577065</v>
      </c>
      <c r="C509" s="15" t="s">
        <v>139</v>
      </c>
      <c r="D509" s="16" t="s">
        <v>64</v>
      </c>
      <c r="E509" s="17" t="s">
        <v>64</v>
      </c>
      <c r="F509" s="18" t="s">
        <v>70</v>
      </c>
      <c r="G509" s="19" t="n">
        <v>866019104524</v>
      </c>
      <c r="H509" s="17" t="s">
        <v>35</v>
      </c>
      <c r="I509" s="17" t="s">
        <v>72</v>
      </c>
      <c r="J509" s="17" t="s">
        <v>239</v>
      </c>
      <c r="K509" s="17" t="str">
        <f aca="false">VLOOKUP(J509,Sheet2!A:B,2,0)</f>
        <v>VASANT PARMAR</v>
      </c>
      <c r="L509" s="17" t="n">
        <v>5</v>
      </c>
      <c r="M509" s="17" t="str">
        <f aca="false">VLOOKUP(L509,Sheet2!D:E,2,0)</f>
        <v>Main Processor CPU BGA</v>
      </c>
      <c r="N509" s="17" t="n">
        <v>1</v>
      </c>
      <c r="O509" s="17" t="str">
        <f aca="false">VLOOKUP(N509,Sheet2!G:H,2,0)</f>
        <v>Dead</v>
      </c>
      <c r="P509" s="17" t="n">
        <v>11</v>
      </c>
      <c r="Q509" s="17" t="str">
        <f aca="false">VLOOKUP(P509,Sheet2!J:K,2,0)</f>
        <v>IR Declared due to CID -TA</v>
      </c>
      <c r="R509" s="17" t="s">
        <v>35</v>
      </c>
      <c r="S509" s="17" t="str">
        <f aca="false">VLOOKUP(R509,Sheet2!N:O,2,0)</f>
        <v>IREPARABLE</v>
      </c>
      <c r="T509" s="18" t="str">
        <f aca="false">VLOOKUP(P509,Sheet2!Q:R,2,0)</f>
        <v>IR Normal - Track burn out</v>
      </c>
      <c r="U509" s="18" t="s">
        <v>122</v>
      </c>
      <c r="V509" s="17" t="n">
        <v>2</v>
      </c>
      <c r="W509" s="20" t="str">
        <f aca="false">VLOOKUP(V509,Sheet2!Q:R,2,0)</f>
        <v>IR CID -  Water log from other area</v>
      </c>
      <c r="X509" s="17" t="str">
        <f aca="false">J509</f>
        <v>A005</v>
      </c>
      <c r="Y509" s="17" t="str">
        <f aca="false">VLOOKUP(X509,Sheet2!A:B,2,0)</f>
        <v>VASANT PARMAR</v>
      </c>
      <c r="Z509" s="17" t="s">
        <v>338</v>
      </c>
      <c r="AA509" s="17" t="s">
        <v>237</v>
      </c>
      <c r="AB509" s="17" t="s">
        <v>41</v>
      </c>
      <c r="AC509" s="0" t="str">
        <f aca="false">LEFT(G509,2)</f>
        <v>86</v>
      </c>
      <c r="AD509" s="0"/>
      <c r="AE509" s="21" t="s">
        <v>238</v>
      </c>
    </row>
    <row r="510" customFormat="false" ht="15" hidden="false" customHeight="false" outlineLevel="0" collapsed="false">
      <c r="A510" s="13" t="n">
        <f aca="false">1+A509</f>
        <v>508</v>
      </c>
      <c r="B510" s="14" t="n">
        <v>1009279745</v>
      </c>
      <c r="C510" s="15" t="s">
        <v>75</v>
      </c>
      <c r="D510" s="16" t="s">
        <v>64</v>
      </c>
      <c r="E510" s="17" t="s">
        <v>33</v>
      </c>
      <c r="F510" s="18" t="s">
        <v>34</v>
      </c>
      <c r="G510" s="19" t="n">
        <v>865278286568</v>
      </c>
      <c r="H510" s="17" t="s">
        <v>35</v>
      </c>
      <c r="I510" s="17" t="s">
        <v>72</v>
      </c>
      <c r="J510" s="17" t="s">
        <v>111</v>
      </c>
      <c r="K510" s="17" t="str">
        <f aca="false">VLOOKUP(J510,Sheet2!A:B,2,0)</f>
        <v>NITIN PRANAMI</v>
      </c>
      <c r="L510" s="17" t="n">
        <v>1</v>
      </c>
      <c r="M510" s="17" t="str">
        <f aca="false">VLOOKUP(L510,Sheet2!D:E,2,0)</f>
        <v>Power Supply Section</v>
      </c>
      <c r="N510" s="17" t="n">
        <v>1</v>
      </c>
      <c r="O510" s="17" t="str">
        <f aca="false">VLOOKUP(N510,Sheet2!G:H,2,0)</f>
        <v>Dead</v>
      </c>
      <c r="P510" s="17" t="n">
        <v>11</v>
      </c>
      <c r="Q510" s="17" t="str">
        <f aca="false">VLOOKUP(P510,Sheet2!J:K,2,0)</f>
        <v>IR Declared due to CID -TA</v>
      </c>
      <c r="R510" s="17" t="s">
        <v>35</v>
      </c>
      <c r="S510" s="17" t="str">
        <f aca="false">VLOOKUP(R510,Sheet2!N:O,2,0)</f>
        <v>IREPARABLE</v>
      </c>
      <c r="T510" s="18" t="str">
        <f aca="false">VLOOKUP(P510,Sheet2!Q:R,2,0)</f>
        <v>IR Normal - Track burn out</v>
      </c>
      <c r="U510" s="18" t="s">
        <v>122</v>
      </c>
      <c r="V510" s="17" t="n">
        <v>2</v>
      </c>
      <c r="W510" s="20" t="str">
        <f aca="false">VLOOKUP(V510,Sheet2!Q:R,2,0)</f>
        <v>IR CID -  Water log from other area</v>
      </c>
      <c r="X510" s="17" t="str">
        <f aca="false">J510</f>
        <v>A031</v>
      </c>
      <c r="Y510" s="17" t="str">
        <f aca="false">VLOOKUP(X510,Sheet2!A:B,2,0)</f>
        <v>NITIN PRANAMI</v>
      </c>
      <c r="Z510" s="17" t="s">
        <v>339</v>
      </c>
      <c r="AA510" s="17" t="s">
        <v>237</v>
      </c>
      <c r="AB510" s="17" t="s">
        <v>41</v>
      </c>
      <c r="AC510" s="0" t="str">
        <f aca="false">LEFT(G510,2)</f>
        <v>86</v>
      </c>
      <c r="AD510" s="0"/>
      <c r="AE510" s="21" t="s">
        <v>238</v>
      </c>
    </row>
    <row r="511" customFormat="false" ht="15" hidden="false" customHeight="false" outlineLevel="0" collapsed="false">
      <c r="A511" s="13" t="n">
        <f aca="false">1+A510</f>
        <v>509</v>
      </c>
      <c r="B511" s="14" t="n">
        <v>1009579063</v>
      </c>
      <c r="C511" s="15" t="s">
        <v>139</v>
      </c>
      <c r="D511" s="16" t="s">
        <v>143</v>
      </c>
      <c r="E511" s="17" t="s">
        <v>33</v>
      </c>
      <c r="F511" s="18" t="s">
        <v>34</v>
      </c>
      <c r="G511" s="19" t="n">
        <v>864333154069</v>
      </c>
      <c r="H511" s="17" t="s">
        <v>35</v>
      </c>
      <c r="I511" s="17" t="s">
        <v>72</v>
      </c>
      <c r="J511" s="17" t="s">
        <v>239</v>
      </c>
      <c r="K511" s="17" t="str">
        <f aca="false">VLOOKUP(J511,Sheet2!A:B,2,0)</f>
        <v>VASANT PARMAR</v>
      </c>
      <c r="L511" s="17" t="n">
        <v>5</v>
      </c>
      <c r="M511" s="17" t="str">
        <f aca="false">VLOOKUP(L511,Sheet2!D:E,2,0)</f>
        <v>Main Processor CPU BGA</v>
      </c>
      <c r="N511" s="17" t="n">
        <v>24</v>
      </c>
      <c r="O511" s="17" t="str">
        <f aca="false">VLOOKUP(N511,Sheet2!G:H,2,0)</f>
        <v>STB Auto moving -Stand by mode</v>
      </c>
      <c r="P511" s="17" t="n">
        <v>11</v>
      </c>
      <c r="Q511" s="17" t="str">
        <f aca="false">VLOOKUP(P511,Sheet2!J:K,2,0)</f>
        <v>IR Declared due to CID -TA</v>
      </c>
      <c r="R511" s="17" t="s">
        <v>35</v>
      </c>
      <c r="S511" s="17" t="str">
        <f aca="false">VLOOKUP(R511,Sheet2!N:O,2,0)</f>
        <v>IREPARABLE</v>
      </c>
      <c r="T511" s="18" t="str">
        <f aca="false">VLOOKUP(P511,Sheet2!Q:R,2,0)</f>
        <v>IR Normal - Track burn out</v>
      </c>
      <c r="U511" s="18" t="s">
        <v>122</v>
      </c>
      <c r="V511" s="17" t="n">
        <v>2</v>
      </c>
      <c r="W511" s="20" t="str">
        <f aca="false">VLOOKUP(V511,Sheet2!Q:R,2,0)</f>
        <v>IR CID -  Water log from other area</v>
      </c>
      <c r="X511" s="17" t="str">
        <f aca="false">J511</f>
        <v>A005</v>
      </c>
      <c r="Y511" s="17" t="str">
        <f aca="false">VLOOKUP(X511,Sheet2!A:B,2,0)</f>
        <v>VASANT PARMAR</v>
      </c>
      <c r="Z511" s="17" t="s">
        <v>240</v>
      </c>
      <c r="AA511" s="17" t="s">
        <v>237</v>
      </c>
      <c r="AB511" s="17" t="s">
        <v>41</v>
      </c>
      <c r="AC511" s="0" t="str">
        <f aca="false">LEFT(G511,2)</f>
        <v>86</v>
      </c>
      <c r="AD511" s="0"/>
      <c r="AE511" s="21" t="s">
        <v>238</v>
      </c>
    </row>
    <row r="512" customFormat="false" ht="15" hidden="false" customHeight="false" outlineLevel="0" collapsed="false">
      <c r="A512" s="13" t="n">
        <f aca="false">1+A511</f>
        <v>510</v>
      </c>
      <c r="B512" s="14" t="n">
        <v>1009584074</v>
      </c>
      <c r="C512" s="15" t="s">
        <v>139</v>
      </c>
      <c r="D512" s="16" t="s">
        <v>143</v>
      </c>
      <c r="E512" s="17" t="s">
        <v>47</v>
      </c>
      <c r="F512" s="18" t="s">
        <v>34</v>
      </c>
      <c r="G512" s="19" t="n">
        <v>867228180537</v>
      </c>
      <c r="H512" s="17" t="s">
        <v>35</v>
      </c>
      <c r="I512" s="17" t="s">
        <v>72</v>
      </c>
      <c r="J512" s="17" t="s">
        <v>241</v>
      </c>
      <c r="K512" s="17" t="str">
        <f aca="false">VLOOKUP(J512,Sheet2!A:B,2,0)</f>
        <v>NILESH NAGAR</v>
      </c>
      <c r="L512" s="17" t="n">
        <v>5</v>
      </c>
      <c r="M512" s="17" t="str">
        <f aca="false">VLOOKUP(L512,Sheet2!D:E,2,0)</f>
        <v>Main Processor CPU BGA</v>
      </c>
      <c r="N512" s="17" t="n">
        <v>1</v>
      </c>
      <c r="O512" s="17" t="str">
        <f aca="false">VLOOKUP(N512,Sheet2!G:H,2,0)</f>
        <v>Dead</v>
      </c>
      <c r="P512" s="17" t="n">
        <v>12</v>
      </c>
      <c r="Q512" s="17" t="str">
        <f aca="false">VLOOKUP(P512,Sheet2!J:K,2,0)</f>
        <v>IR Declared due to Others ( IR Normal)TB</v>
      </c>
      <c r="R512" s="17" t="s">
        <v>35</v>
      </c>
      <c r="S512" s="17" t="str">
        <f aca="false">VLOOKUP(R512,Sheet2!N:O,2,0)</f>
        <v>IREPARABLE</v>
      </c>
      <c r="T512" s="18" t="str">
        <f aca="false">VLOOKUP(P512,Sheet2!Q:R,2,0)</f>
        <v>IR Normal - BER to IR</v>
      </c>
      <c r="U512" s="18" t="s">
        <v>101</v>
      </c>
      <c r="V512" s="17" t="n">
        <v>8</v>
      </c>
      <c r="W512" s="20" t="str">
        <f aca="false">VLOOKUP(V512,Sheet2!Q:R,2,0)</f>
        <v>IR Normal -TrackRust/InternalDamage/open</v>
      </c>
      <c r="X512" s="17" t="str">
        <f aca="false">J512</f>
        <v>A008</v>
      </c>
      <c r="Y512" s="17" t="str">
        <f aca="false">VLOOKUP(X512,Sheet2!A:B,2,0)</f>
        <v>NILESH NAGAR</v>
      </c>
      <c r="Z512" s="17" t="s">
        <v>340</v>
      </c>
      <c r="AA512" s="17" t="s">
        <v>237</v>
      </c>
      <c r="AB512" s="17" t="s">
        <v>41</v>
      </c>
      <c r="AC512" s="0" t="str">
        <f aca="false">LEFT(G512,2)</f>
        <v>86</v>
      </c>
      <c r="AD512" s="0"/>
      <c r="AE512" s="21" t="s">
        <v>238</v>
      </c>
    </row>
    <row r="513" customFormat="false" ht="15" hidden="false" customHeight="false" outlineLevel="0" collapsed="false">
      <c r="A513" s="13" t="n">
        <f aca="false">1+A512</f>
        <v>511</v>
      </c>
      <c r="B513" s="14" t="n">
        <v>1009556591</v>
      </c>
      <c r="C513" s="15" t="s">
        <v>192</v>
      </c>
      <c r="D513" s="16" t="s">
        <v>64</v>
      </c>
      <c r="E513" s="17" t="s">
        <v>64</v>
      </c>
      <c r="F513" s="18" t="s">
        <v>70</v>
      </c>
      <c r="G513" s="19" t="n">
        <v>868113106199</v>
      </c>
      <c r="H513" s="17" t="s">
        <v>35</v>
      </c>
      <c r="I513" s="17" t="s">
        <v>72</v>
      </c>
      <c r="J513" s="17" t="s">
        <v>111</v>
      </c>
      <c r="K513" s="17" t="str">
        <f aca="false">VLOOKUP(J513,Sheet2!A:B,2,0)</f>
        <v>NITIN PRANAMI</v>
      </c>
      <c r="L513" s="17" t="n">
        <v>1</v>
      </c>
      <c r="M513" s="17" t="str">
        <f aca="false">VLOOKUP(L513,Sheet2!D:E,2,0)</f>
        <v>Power Supply Section</v>
      </c>
      <c r="N513" s="17" t="n">
        <v>1</v>
      </c>
      <c r="O513" s="17" t="str">
        <f aca="false">VLOOKUP(N513,Sheet2!G:H,2,0)</f>
        <v>Dead</v>
      </c>
      <c r="P513" s="17" t="n">
        <v>12</v>
      </c>
      <c r="Q513" s="17" t="str">
        <f aca="false">VLOOKUP(P513,Sheet2!J:K,2,0)</f>
        <v>IR Declared due to Others ( IR Normal)TB</v>
      </c>
      <c r="R513" s="17" t="s">
        <v>35</v>
      </c>
      <c r="S513" s="17" t="str">
        <f aca="false">VLOOKUP(R513,Sheet2!N:O,2,0)</f>
        <v>IREPARABLE</v>
      </c>
      <c r="T513" s="18" t="str">
        <f aca="false">VLOOKUP(P513,Sheet2!Q:R,2,0)</f>
        <v>IR Normal - BER to IR</v>
      </c>
      <c r="U513" s="18" t="s">
        <v>101</v>
      </c>
      <c r="V513" s="17" t="n">
        <v>8</v>
      </c>
      <c r="W513" s="20" t="str">
        <f aca="false">VLOOKUP(V513,Sheet2!Q:R,2,0)</f>
        <v>IR Normal -TrackRust/InternalDamage/open</v>
      </c>
      <c r="X513" s="17" t="str">
        <f aca="false">J513</f>
        <v>A031</v>
      </c>
      <c r="Y513" s="17" t="str">
        <f aca="false">VLOOKUP(X513,Sheet2!A:B,2,0)</f>
        <v>NITIN PRANAMI</v>
      </c>
      <c r="Z513" s="17" t="s">
        <v>341</v>
      </c>
      <c r="AA513" s="17" t="s">
        <v>237</v>
      </c>
      <c r="AB513" s="17" t="s">
        <v>41</v>
      </c>
      <c r="AC513" s="0" t="str">
        <f aca="false">LEFT(G513,2)</f>
        <v>86</v>
      </c>
      <c r="AD513" s="0"/>
      <c r="AE513" s="21" t="s">
        <v>238</v>
      </c>
    </row>
    <row r="514" customFormat="false" ht="15" hidden="false" customHeight="false" outlineLevel="0" collapsed="false">
      <c r="A514" s="13" t="n">
        <f aca="false">1+A513</f>
        <v>512</v>
      </c>
      <c r="B514" s="14" t="n">
        <v>1009582177</v>
      </c>
      <c r="C514" s="15" t="s">
        <v>104</v>
      </c>
      <c r="D514" s="16" t="s">
        <v>342</v>
      </c>
      <c r="E514" s="17" t="s">
        <v>208</v>
      </c>
      <c r="F514" s="18" t="s">
        <v>34</v>
      </c>
      <c r="G514" s="19" t="n">
        <v>864337143720</v>
      </c>
      <c r="H514" s="17" t="s">
        <v>35</v>
      </c>
      <c r="I514" s="17" t="s">
        <v>72</v>
      </c>
      <c r="J514" s="17" t="s">
        <v>241</v>
      </c>
      <c r="K514" s="17" t="str">
        <f aca="false">VLOOKUP(J514,Sheet2!A:B,2,0)</f>
        <v>NILESH NAGAR</v>
      </c>
      <c r="L514" s="17" t="n">
        <v>5</v>
      </c>
      <c r="M514" s="17" t="str">
        <f aca="false">VLOOKUP(L514,Sheet2!D:E,2,0)</f>
        <v>Main Processor CPU BGA</v>
      </c>
      <c r="N514" s="17" t="n">
        <v>1</v>
      </c>
      <c r="O514" s="17" t="str">
        <f aca="false">VLOOKUP(N514,Sheet2!G:H,2,0)</f>
        <v>Dead</v>
      </c>
      <c r="P514" s="17" t="n">
        <v>12</v>
      </c>
      <c r="Q514" s="17" t="str">
        <f aca="false">VLOOKUP(P514,Sheet2!J:K,2,0)</f>
        <v>IR Declared due to Others ( IR Normal)TB</v>
      </c>
      <c r="R514" s="17" t="s">
        <v>35</v>
      </c>
      <c r="S514" s="17" t="str">
        <f aca="false">VLOOKUP(R514,Sheet2!N:O,2,0)</f>
        <v>IREPARABLE</v>
      </c>
      <c r="T514" s="18" t="str">
        <f aca="false">VLOOKUP(P514,Sheet2!Q:R,2,0)</f>
        <v>IR Normal - BER to IR</v>
      </c>
      <c r="U514" s="20" t="s">
        <v>110</v>
      </c>
      <c r="V514" s="17" t="n">
        <v>9</v>
      </c>
      <c r="W514" s="20" t="str">
        <f aca="false">VLOOKUP(V514,Sheet2!Q:R,2,0)</f>
        <v>IR Normal - Multiple time repair </v>
      </c>
      <c r="X514" s="17" t="str">
        <f aca="false">J514</f>
        <v>A008</v>
      </c>
      <c r="Y514" s="17" t="str">
        <f aca="false">VLOOKUP(X514,Sheet2!A:B,2,0)</f>
        <v>NILESH NAGAR</v>
      </c>
      <c r="Z514" s="17" t="s">
        <v>343</v>
      </c>
      <c r="AA514" s="17" t="s">
        <v>237</v>
      </c>
      <c r="AB514" s="17" t="s">
        <v>41</v>
      </c>
      <c r="AC514" s="0" t="str">
        <f aca="false">LEFT(G514,2)</f>
        <v>86</v>
      </c>
      <c r="AD514" s="0"/>
      <c r="AE514" s="21" t="s">
        <v>238</v>
      </c>
    </row>
    <row r="515" customFormat="false" ht="15" hidden="false" customHeight="false" outlineLevel="0" collapsed="false">
      <c r="A515" s="13" t="n">
        <f aca="false">1+A514</f>
        <v>513</v>
      </c>
      <c r="B515" s="14" t="n">
        <v>1009522457</v>
      </c>
      <c r="C515" s="15" t="s">
        <v>93</v>
      </c>
      <c r="D515" s="16" t="s">
        <v>64</v>
      </c>
      <c r="E515" s="17" t="s">
        <v>64</v>
      </c>
      <c r="F515" s="18" t="s">
        <v>70</v>
      </c>
      <c r="G515" s="19" t="n">
        <v>865278288507</v>
      </c>
      <c r="H515" s="17" t="s">
        <v>35</v>
      </c>
      <c r="I515" s="17" t="s">
        <v>72</v>
      </c>
      <c r="J515" s="17" t="s">
        <v>115</v>
      </c>
      <c r="K515" s="17" t="str">
        <f aca="false">VLOOKUP(J515,Sheet2!A:B,2,0)</f>
        <v>ANKIT RANA</v>
      </c>
      <c r="L515" s="17" t="n">
        <v>1</v>
      </c>
      <c r="M515" s="17" t="str">
        <f aca="false">VLOOKUP(L515,Sheet2!D:E,2,0)</f>
        <v>Power Supply Section</v>
      </c>
      <c r="N515" s="17" t="n">
        <v>1</v>
      </c>
      <c r="O515" s="17" t="str">
        <f aca="false">VLOOKUP(N515,Sheet2!G:H,2,0)</f>
        <v>Dead</v>
      </c>
      <c r="P515" s="17" t="n">
        <v>12</v>
      </c>
      <c r="Q515" s="17" t="str">
        <f aca="false">VLOOKUP(P515,Sheet2!J:K,2,0)</f>
        <v>IR Declared due to Others ( IR Normal)TB</v>
      </c>
      <c r="R515" s="17" t="s">
        <v>35</v>
      </c>
      <c r="S515" s="17" t="str">
        <f aca="false">VLOOKUP(R515,Sheet2!N:O,2,0)</f>
        <v>IREPARABLE</v>
      </c>
      <c r="T515" s="18" t="str">
        <f aca="false">VLOOKUP(P515,Sheet2!Q:R,2,0)</f>
        <v>IR Normal - BER to IR</v>
      </c>
      <c r="U515" s="18" t="s">
        <v>101</v>
      </c>
      <c r="V515" s="17" t="n">
        <v>8</v>
      </c>
      <c r="W515" s="20" t="str">
        <f aca="false">VLOOKUP(V515,Sheet2!Q:R,2,0)</f>
        <v>IR Normal -TrackRust/InternalDamage/open</v>
      </c>
      <c r="X515" s="17" t="str">
        <f aca="false">J515</f>
        <v>A042</v>
      </c>
      <c r="Y515" s="17" t="str">
        <f aca="false">VLOOKUP(X515,Sheet2!A:B,2,0)</f>
        <v>ANKIT RANA</v>
      </c>
      <c r="Z515" s="17" t="s">
        <v>266</v>
      </c>
      <c r="AA515" s="17" t="s">
        <v>237</v>
      </c>
      <c r="AB515" s="17" t="s">
        <v>41</v>
      </c>
      <c r="AC515" s="0" t="str">
        <f aca="false">LEFT(G515,2)</f>
        <v>86</v>
      </c>
      <c r="AD515" s="0"/>
      <c r="AE515" s="21" t="s">
        <v>238</v>
      </c>
    </row>
    <row r="516" customFormat="false" ht="15" hidden="false" customHeight="false" outlineLevel="0" collapsed="false">
      <c r="A516" s="13" t="n">
        <f aca="false">1+A515</f>
        <v>514</v>
      </c>
      <c r="B516" s="14" t="n">
        <v>1009602315</v>
      </c>
      <c r="C516" s="15" t="s">
        <v>159</v>
      </c>
      <c r="D516" s="16" t="s">
        <v>64</v>
      </c>
      <c r="E516" s="17" t="s">
        <v>64</v>
      </c>
      <c r="F516" s="18" t="s">
        <v>70</v>
      </c>
      <c r="G516" s="19" t="n">
        <v>866173124649</v>
      </c>
      <c r="H516" s="17" t="s">
        <v>35</v>
      </c>
      <c r="I516" s="17" t="s">
        <v>72</v>
      </c>
      <c r="J516" s="17" t="s">
        <v>118</v>
      </c>
      <c r="K516" s="17" t="str">
        <f aca="false">VLOOKUP(J516,Sheet2!A:B,2,0)</f>
        <v>DEVENDRA RAJPUT</v>
      </c>
      <c r="L516" s="17" t="n">
        <v>7</v>
      </c>
      <c r="M516" s="17" t="str">
        <f aca="false">VLOOKUP(L516,Sheet2!D:E,2,0)</f>
        <v>Card Reader Section</v>
      </c>
      <c r="N516" s="17" t="n">
        <v>36</v>
      </c>
      <c r="O516" s="17" t="str">
        <f aca="false">VLOOKUP(N516,Sheet2!G:H,2,0)</f>
        <v>Error -1</v>
      </c>
      <c r="P516" s="17" t="n">
        <v>11</v>
      </c>
      <c r="Q516" s="17" t="str">
        <f aca="false">VLOOKUP(P516,Sheet2!J:K,2,0)</f>
        <v>IR Declared due to CID -TA</v>
      </c>
      <c r="R516" s="17" t="s">
        <v>35</v>
      </c>
      <c r="S516" s="17" t="str">
        <f aca="false">VLOOKUP(R516,Sheet2!N:O,2,0)</f>
        <v>IREPARABLE</v>
      </c>
      <c r="T516" s="18" t="str">
        <f aca="false">VLOOKUP(P516,Sheet2!Q:R,2,0)</f>
        <v>IR Normal - Track burn out</v>
      </c>
      <c r="U516" s="18" t="s">
        <v>122</v>
      </c>
      <c r="V516" s="17" t="n">
        <v>2</v>
      </c>
      <c r="W516" s="20" t="str">
        <f aca="false">VLOOKUP(V516,Sheet2!Q:R,2,0)</f>
        <v>IR CID -  Water log from other area</v>
      </c>
      <c r="X516" s="17" t="str">
        <f aca="false">J516</f>
        <v>A053</v>
      </c>
      <c r="Y516" s="17" t="str">
        <f aca="false">VLOOKUP(X516,Sheet2!A:B,2,0)</f>
        <v>DEVENDRA RAJPUT</v>
      </c>
      <c r="Z516" s="17" t="s">
        <v>246</v>
      </c>
      <c r="AA516" s="17" t="s">
        <v>237</v>
      </c>
      <c r="AB516" s="17" t="s">
        <v>41</v>
      </c>
      <c r="AC516" s="0" t="str">
        <f aca="false">LEFT(G516,2)</f>
        <v>86</v>
      </c>
      <c r="AD516" s="0"/>
      <c r="AE516" s="21" t="s">
        <v>238</v>
      </c>
    </row>
    <row r="517" customFormat="false" ht="15" hidden="false" customHeight="false" outlineLevel="0" collapsed="false">
      <c r="A517" s="13" t="n">
        <f aca="false">1+A516</f>
        <v>515</v>
      </c>
      <c r="B517" s="14" t="n">
        <v>1009574454</v>
      </c>
      <c r="C517" s="15" t="s">
        <v>104</v>
      </c>
      <c r="D517" s="16" t="s">
        <v>105</v>
      </c>
      <c r="E517" s="17" t="s">
        <v>47</v>
      </c>
      <c r="F517" s="18" t="s">
        <v>34</v>
      </c>
      <c r="G517" s="19" t="n">
        <v>867096141033</v>
      </c>
      <c r="H517" s="17" t="s">
        <v>35</v>
      </c>
      <c r="I517" s="17" t="s">
        <v>72</v>
      </c>
      <c r="J517" s="17" t="s">
        <v>289</v>
      </c>
      <c r="K517" s="17" t="str">
        <f aca="false">VLOOKUP(J517,Sheet2!A:B,2,0)</f>
        <v>AJAY KOSHTI</v>
      </c>
      <c r="L517" s="17" t="n">
        <v>1</v>
      </c>
      <c r="M517" s="17" t="str">
        <f aca="false">VLOOKUP(L517,Sheet2!D:E,2,0)</f>
        <v>Power Supply Section</v>
      </c>
      <c r="N517" s="17" t="n">
        <v>1</v>
      </c>
      <c r="O517" s="17" t="str">
        <f aca="false">VLOOKUP(N517,Sheet2!G:H,2,0)</f>
        <v>Dead</v>
      </c>
      <c r="P517" s="17" t="n">
        <v>11</v>
      </c>
      <c r="Q517" s="17" t="str">
        <f aca="false">VLOOKUP(P517,Sheet2!J:K,2,0)</f>
        <v>IR Declared due to CID -TA</v>
      </c>
      <c r="R517" s="17" t="s">
        <v>35</v>
      </c>
      <c r="S517" s="17" t="str">
        <f aca="false">VLOOKUP(R517,Sheet2!N:O,2,0)</f>
        <v>IREPARABLE</v>
      </c>
      <c r="T517" s="18" t="str">
        <f aca="false">VLOOKUP(P517,Sheet2!Q:R,2,0)</f>
        <v>IR Normal - Track burn out</v>
      </c>
      <c r="U517" s="18" t="s">
        <v>122</v>
      </c>
      <c r="V517" s="17" t="n">
        <v>2</v>
      </c>
      <c r="W517" s="20" t="str">
        <f aca="false">VLOOKUP(V517,Sheet2!Q:R,2,0)</f>
        <v>IR CID -  Water log from other area</v>
      </c>
      <c r="X517" s="17" t="str">
        <f aca="false">J517</f>
        <v>A051</v>
      </c>
      <c r="Y517" s="17" t="str">
        <f aca="false">VLOOKUP(X517,Sheet2!A:B,2,0)</f>
        <v>AJAY KOSHTI</v>
      </c>
      <c r="Z517" s="17" t="s">
        <v>344</v>
      </c>
      <c r="AA517" s="17" t="s">
        <v>237</v>
      </c>
      <c r="AB517" s="17" t="s">
        <v>41</v>
      </c>
      <c r="AC517" s="0" t="str">
        <f aca="false">LEFT(G517,2)</f>
        <v>86</v>
      </c>
      <c r="AD517" s="0"/>
      <c r="AE517" s="21" t="s">
        <v>238</v>
      </c>
    </row>
    <row r="518" customFormat="false" ht="15" hidden="false" customHeight="false" outlineLevel="0" collapsed="false">
      <c r="A518" s="13" t="n">
        <f aca="false">1+A517</f>
        <v>516</v>
      </c>
      <c r="B518" s="14" t="n">
        <v>1009584917</v>
      </c>
      <c r="C518" s="15" t="s">
        <v>139</v>
      </c>
      <c r="D518" s="16" t="s">
        <v>64</v>
      </c>
      <c r="E518" s="17" t="s">
        <v>47</v>
      </c>
      <c r="F518" s="18" t="s">
        <v>34</v>
      </c>
      <c r="G518" s="19" t="n">
        <v>867185109289</v>
      </c>
      <c r="H518" s="17" t="s">
        <v>35</v>
      </c>
      <c r="I518" s="17" t="s">
        <v>72</v>
      </c>
      <c r="J518" s="17" t="s">
        <v>118</v>
      </c>
      <c r="K518" s="17" t="str">
        <f aca="false">VLOOKUP(J518,Sheet2!A:B,2,0)</f>
        <v>DEVENDRA RAJPUT</v>
      </c>
      <c r="L518" s="17" t="n">
        <v>7</v>
      </c>
      <c r="M518" s="17" t="str">
        <f aca="false">VLOOKUP(L518,Sheet2!D:E,2,0)</f>
        <v>Card Reader Section</v>
      </c>
      <c r="N518" s="17" t="n">
        <v>36</v>
      </c>
      <c r="O518" s="17" t="str">
        <f aca="false">VLOOKUP(N518,Sheet2!G:H,2,0)</f>
        <v>Error -1</v>
      </c>
      <c r="P518" s="17" t="n">
        <v>11</v>
      </c>
      <c r="Q518" s="17" t="str">
        <f aca="false">VLOOKUP(P518,Sheet2!J:K,2,0)</f>
        <v>IR Declared due to CID -TA</v>
      </c>
      <c r="R518" s="17" t="s">
        <v>35</v>
      </c>
      <c r="S518" s="17" t="str">
        <f aca="false">VLOOKUP(R518,Sheet2!N:O,2,0)</f>
        <v>IREPARABLE</v>
      </c>
      <c r="T518" s="18" t="str">
        <f aca="false">VLOOKUP(P518,Sheet2!Q:R,2,0)</f>
        <v>IR Normal - Track burn out</v>
      </c>
      <c r="U518" s="18" t="s">
        <v>122</v>
      </c>
      <c r="V518" s="17" t="n">
        <v>2</v>
      </c>
      <c r="W518" s="20" t="str">
        <f aca="false">VLOOKUP(V518,Sheet2!Q:R,2,0)</f>
        <v>IR CID -  Water log from other area</v>
      </c>
      <c r="X518" s="17" t="str">
        <f aca="false">J518</f>
        <v>A053</v>
      </c>
      <c r="Y518" s="17" t="str">
        <f aca="false">VLOOKUP(X518,Sheet2!A:B,2,0)</f>
        <v>DEVENDRA RAJPUT</v>
      </c>
      <c r="Z518" s="17" t="s">
        <v>345</v>
      </c>
      <c r="AA518" s="17" t="s">
        <v>237</v>
      </c>
      <c r="AB518" s="17" t="s">
        <v>41</v>
      </c>
      <c r="AC518" s="0" t="str">
        <f aca="false">LEFT(G518,2)</f>
        <v>86</v>
      </c>
      <c r="AD518" s="0"/>
      <c r="AE518" s="21" t="s">
        <v>238</v>
      </c>
    </row>
    <row r="519" customFormat="false" ht="15" hidden="false" customHeight="false" outlineLevel="0" collapsed="false">
      <c r="A519" s="13" t="n">
        <f aca="false">1+A518</f>
        <v>517</v>
      </c>
      <c r="B519" s="14" t="n">
        <v>1009582349</v>
      </c>
      <c r="C519" s="15" t="s">
        <v>139</v>
      </c>
      <c r="D519" s="16" t="s">
        <v>142</v>
      </c>
      <c r="E519" s="17" t="s">
        <v>114</v>
      </c>
      <c r="F519" s="18" t="s">
        <v>34</v>
      </c>
      <c r="G519" s="19" t="n">
        <v>864318284089</v>
      </c>
      <c r="H519" s="17" t="s">
        <v>35</v>
      </c>
      <c r="I519" s="17" t="s">
        <v>72</v>
      </c>
      <c r="J519" s="17" t="s">
        <v>115</v>
      </c>
      <c r="K519" s="17" t="str">
        <f aca="false">VLOOKUP(J519,Sheet2!A:B,2,0)</f>
        <v>ANKIT RANA</v>
      </c>
      <c r="L519" s="17" t="n">
        <v>5</v>
      </c>
      <c r="M519" s="17" t="str">
        <f aca="false">VLOOKUP(L519,Sheet2!D:E,2,0)</f>
        <v>Main Processor CPU BGA</v>
      </c>
      <c r="N519" s="17" t="n">
        <v>24</v>
      </c>
      <c r="O519" s="17" t="str">
        <f aca="false">VLOOKUP(N519,Sheet2!G:H,2,0)</f>
        <v>STB Auto moving -Stand by mode</v>
      </c>
      <c r="P519" s="17" t="n">
        <v>12</v>
      </c>
      <c r="Q519" s="17" t="str">
        <f aca="false">VLOOKUP(P519,Sheet2!J:K,2,0)</f>
        <v>IR Declared due to Others ( IR Normal)TB</v>
      </c>
      <c r="R519" s="17" t="s">
        <v>35</v>
      </c>
      <c r="S519" s="17" t="str">
        <f aca="false">VLOOKUP(R519,Sheet2!N:O,2,0)</f>
        <v>IREPARABLE</v>
      </c>
      <c r="T519" s="18" t="str">
        <f aca="false">VLOOKUP(P519,Sheet2!Q:R,2,0)</f>
        <v>IR Normal - BER to IR</v>
      </c>
      <c r="U519" s="18" t="s">
        <v>101</v>
      </c>
      <c r="V519" s="17" t="n">
        <v>8</v>
      </c>
      <c r="W519" s="20" t="str">
        <f aca="false">VLOOKUP(V519,Sheet2!Q:R,2,0)</f>
        <v>IR Normal -TrackRust/InternalDamage/open</v>
      </c>
      <c r="X519" s="17" t="str">
        <f aca="false">J519</f>
        <v>A042</v>
      </c>
      <c r="Y519" s="17" t="str">
        <f aca="false">VLOOKUP(X519,Sheet2!A:B,2,0)</f>
        <v>ANKIT RANA</v>
      </c>
      <c r="Z519" s="17" t="s">
        <v>346</v>
      </c>
      <c r="AA519" s="17" t="s">
        <v>237</v>
      </c>
      <c r="AB519" s="17" t="s">
        <v>41</v>
      </c>
      <c r="AC519" s="0" t="str">
        <f aca="false">LEFT(G519,2)</f>
        <v>86</v>
      </c>
      <c r="AD519" s="0"/>
      <c r="AE519" s="21" t="s">
        <v>238</v>
      </c>
    </row>
    <row r="520" customFormat="false" ht="15" hidden="false" customHeight="false" outlineLevel="0" collapsed="false">
      <c r="A520" s="13" t="n">
        <f aca="false">1+A519</f>
        <v>518</v>
      </c>
      <c r="B520" s="14" t="n">
        <v>1009583972</v>
      </c>
      <c r="C520" s="15" t="s">
        <v>139</v>
      </c>
      <c r="D520" s="16" t="s">
        <v>347</v>
      </c>
      <c r="E520" s="17" t="s">
        <v>47</v>
      </c>
      <c r="F520" s="18" t="s">
        <v>34</v>
      </c>
      <c r="G520" s="19" t="n">
        <v>865147185132</v>
      </c>
      <c r="H520" s="17" t="s">
        <v>35</v>
      </c>
      <c r="I520" s="17" t="s">
        <v>72</v>
      </c>
      <c r="J520" s="17" t="s">
        <v>115</v>
      </c>
      <c r="K520" s="17" t="str">
        <f aca="false">VLOOKUP(J520,Sheet2!A:B,2,0)</f>
        <v>ANKIT RANA</v>
      </c>
      <c r="L520" s="17" t="n">
        <v>5</v>
      </c>
      <c r="M520" s="17" t="str">
        <f aca="false">VLOOKUP(L520,Sheet2!D:E,2,0)</f>
        <v>Main Processor CPU BGA</v>
      </c>
      <c r="N520" s="17" t="n">
        <v>24</v>
      </c>
      <c r="O520" s="17" t="str">
        <f aca="false">VLOOKUP(N520,Sheet2!G:H,2,0)</f>
        <v>STB Auto moving -Stand by mode</v>
      </c>
      <c r="P520" s="17" t="n">
        <v>12</v>
      </c>
      <c r="Q520" s="17" t="str">
        <f aca="false">VLOOKUP(P520,Sheet2!J:K,2,0)</f>
        <v>IR Declared due to Others ( IR Normal)TB</v>
      </c>
      <c r="R520" s="17" t="s">
        <v>35</v>
      </c>
      <c r="S520" s="17" t="str">
        <f aca="false">VLOOKUP(R520,Sheet2!N:O,2,0)</f>
        <v>IREPARABLE</v>
      </c>
      <c r="T520" s="18" t="str">
        <f aca="false">VLOOKUP(P520,Sheet2!Q:R,2,0)</f>
        <v>IR Normal - BER to IR</v>
      </c>
      <c r="U520" s="18" t="s">
        <v>101</v>
      </c>
      <c r="V520" s="17" t="n">
        <v>8</v>
      </c>
      <c r="W520" s="20" t="str">
        <f aca="false">VLOOKUP(V520,Sheet2!Q:R,2,0)</f>
        <v>IR Normal -TrackRust/InternalDamage/open</v>
      </c>
      <c r="X520" s="17" t="str">
        <f aca="false">J520</f>
        <v>A042</v>
      </c>
      <c r="Y520" s="17" t="str">
        <f aca="false">VLOOKUP(X520,Sheet2!A:B,2,0)</f>
        <v>ANKIT RANA</v>
      </c>
      <c r="Z520" s="17" t="s">
        <v>348</v>
      </c>
      <c r="AA520" s="17" t="s">
        <v>237</v>
      </c>
      <c r="AB520" s="17" t="s">
        <v>41</v>
      </c>
      <c r="AC520" s="0" t="str">
        <f aca="false">LEFT(G520,2)</f>
        <v>86</v>
      </c>
      <c r="AD520" s="0"/>
      <c r="AE520" s="21" t="s">
        <v>238</v>
      </c>
    </row>
    <row r="521" customFormat="false" ht="15" hidden="false" customHeight="false" outlineLevel="0" collapsed="false">
      <c r="A521" s="13" t="n">
        <f aca="false">1+A520</f>
        <v>519</v>
      </c>
      <c r="B521" s="14" t="n">
        <v>1009571276</v>
      </c>
      <c r="C521" s="15" t="s">
        <v>102</v>
      </c>
      <c r="D521" s="16" t="s">
        <v>64</v>
      </c>
      <c r="E521" s="17" t="s">
        <v>64</v>
      </c>
      <c r="F521" s="18" t="s">
        <v>70</v>
      </c>
      <c r="G521" s="19" t="n">
        <v>867318152909</v>
      </c>
      <c r="H521" s="17" t="s">
        <v>35</v>
      </c>
      <c r="I521" s="17" t="s">
        <v>72</v>
      </c>
      <c r="J521" s="17" t="s">
        <v>106</v>
      </c>
      <c r="K521" s="17" t="str">
        <f aca="false">VLOOKUP(J521,Sheet2!A:B,2,0)</f>
        <v>PRAKASH CHAVDA</v>
      </c>
      <c r="L521" s="17" t="n">
        <v>5</v>
      </c>
      <c r="M521" s="17" t="str">
        <f aca="false">VLOOKUP(L521,Sheet2!D:E,2,0)</f>
        <v>Main Processor CPU BGA</v>
      </c>
      <c r="N521" s="17" t="n">
        <v>24</v>
      </c>
      <c r="O521" s="17" t="str">
        <f aca="false">VLOOKUP(N521,Sheet2!G:H,2,0)</f>
        <v>STB Auto moving -Stand by mode</v>
      </c>
      <c r="P521" s="17" t="n">
        <v>12</v>
      </c>
      <c r="Q521" s="17" t="str">
        <f aca="false">VLOOKUP(P521,Sheet2!J:K,2,0)</f>
        <v>IR Declared due to Others ( IR Normal)TB</v>
      </c>
      <c r="R521" s="17" t="s">
        <v>35</v>
      </c>
      <c r="S521" s="17" t="str">
        <f aca="false">VLOOKUP(R521,Sheet2!N:O,2,0)</f>
        <v>IREPARABLE</v>
      </c>
      <c r="T521" s="18" t="str">
        <f aca="false">VLOOKUP(P521,Sheet2!Q:R,2,0)</f>
        <v>IR Normal - BER to IR</v>
      </c>
      <c r="U521" s="18" t="s">
        <v>101</v>
      </c>
      <c r="V521" s="17" t="n">
        <v>8</v>
      </c>
      <c r="W521" s="20" t="str">
        <f aca="false">VLOOKUP(V521,Sheet2!Q:R,2,0)</f>
        <v>IR Normal -TrackRust/InternalDamage/open</v>
      </c>
      <c r="X521" s="17" t="str">
        <f aca="false">J521</f>
        <v>A018</v>
      </c>
      <c r="Y521" s="17" t="str">
        <f aca="false">VLOOKUP(X521,Sheet2!A:B,2,0)</f>
        <v>PRAKASH CHAVDA</v>
      </c>
      <c r="Z521" s="17" t="s">
        <v>349</v>
      </c>
      <c r="AA521" s="17" t="s">
        <v>237</v>
      </c>
      <c r="AB521" s="17" t="s">
        <v>41</v>
      </c>
      <c r="AC521" s="0" t="str">
        <f aca="false">LEFT(G521,2)</f>
        <v>86</v>
      </c>
      <c r="AD521" s="0"/>
      <c r="AE521" s="21" t="s">
        <v>238</v>
      </c>
    </row>
    <row r="522" customFormat="false" ht="15" hidden="false" customHeight="false" outlineLevel="0" collapsed="false">
      <c r="A522" s="13" t="n">
        <f aca="false">1+A521</f>
        <v>520</v>
      </c>
      <c r="B522" s="14" t="n">
        <v>1009565265</v>
      </c>
      <c r="C522" s="15" t="s">
        <v>102</v>
      </c>
      <c r="D522" s="16" t="s">
        <v>64</v>
      </c>
      <c r="E522" s="17" t="s">
        <v>274</v>
      </c>
      <c r="F522" s="18" t="s">
        <v>34</v>
      </c>
      <c r="G522" s="19" t="n">
        <v>865324128939</v>
      </c>
      <c r="H522" s="17" t="s">
        <v>35</v>
      </c>
      <c r="I522" s="17" t="s">
        <v>72</v>
      </c>
      <c r="J522" s="17" t="s">
        <v>133</v>
      </c>
      <c r="K522" s="17" t="str">
        <f aca="false">VLOOKUP(J522,Sheet2!A:B,2,0)</f>
        <v>AKASH BAROT</v>
      </c>
      <c r="L522" s="17" t="n">
        <v>5</v>
      </c>
      <c r="M522" s="17" t="str">
        <f aca="false">VLOOKUP(L522,Sheet2!D:E,2,0)</f>
        <v>Main Processor CPU BGA</v>
      </c>
      <c r="N522" s="17" t="n">
        <v>1</v>
      </c>
      <c r="O522" s="17" t="str">
        <f aca="false">VLOOKUP(N522,Sheet2!G:H,2,0)</f>
        <v>Dead</v>
      </c>
      <c r="P522" s="17" t="n">
        <v>12</v>
      </c>
      <c r="Q522" s="17" t="str">
        <f aca="false">VLOOKUP(P522,Sheet2!J:K,2,0)</f>
        <v>IR Declared due to Others ( IR Normal)TB</v>
      </c>
      <c r="R522" s="17" t="s">
        <v>35</v>
      </c>
      <c r="S522" s="17" t="str">
        <f aca="false">VLOOKUP(R522,Sheet2!N:O,2,0)</f>
        <v>IREPARABLE</v>
      </c>
      <c r="T522" s="18" t="str">
        <f aca="false">VLOOKUP(P522,Sheet2!Q:R,2,0)</f>
        <v>IR Normal - BER to IR</v>
      </c>
      <c r="U522" s="18" t="s">
        <v>101</v>
      </c>
      <c r="V522" s="17" t="n">
        <v>8</v>
      </c>
      <c r="W522" s="20" t="str">
        <f aca="false">VLOOKUP(V522,Sheet2!Q:R,2,0)</f>
        <v>IR Normal -TrackRust/InternalDamage/open</v>
      </c>
      <c r="X522" s="17" t="str">
        <f aca="false">J522</f>
        <v>A009</v>
      </c>
      <c r="Y522" s="17" t="str">
        <f aca="false">VLOOKUP(X522,Sheet2!A:B,2,0)</f>
        <v>AKASH BAROT</v>
      </c>
      <c r="Z522" s="17" t="s">
        <v>349</v>
      </c>
      <c r="AA522" s="17" t="s">
        <v>237</v>
      </c>
      <c r="AB522" s="17" t="s">
        <v>41</v>
      </c>
      <c r="AC522" s="0" t="str">
        <f aca="false">LEFT(G522,2)</f>
        <v>86</v>
      </c>
      <c r="AD522" s="0"/>
      <c r="AE522" s="21" t="s">
        <v>238</v>
      </c>
    </row>
    <row r="523" customFormat="false" ht="15" hidden="false" customHeight="false" outlineLevel="0" collapsed="false">
      <c r="A523" s="13" t="n">
        <f aca="false">1+A522</f>
        <v>521</v>
      </c>
      <c r="B523" s="14" t="n">
        <v>1009587701</v>
      </c>
      <c r="C523" s="15" t="s">
        <v>159</v>
      </c>
      <c r="D523" s="16" t="s">
        <v>64</v>
      </c>
      <c r="E523" s="17" t="s">
        <v>64</v>
      </c>
      <c r="F523" s="18" t="s">
        <v>70</v>
      </c>
      <c r="G523" s="19" t="n">
        <v>865278297318</v>
      </c>
      <c r="H523" s="17" t="s">
        <v>35</v>
      </c>
      <c r="I523" s="17" t="s">
        <v>72</v>
      </c>
      <c r="J523" s="17" t="s">
        <v>241</v>
      </c>
      <c r="K523" s="17" t="str">
        <f aca="false">VLOOKUP(J523,Sheet2!A:B,2,0)</f>
        <v>NILESH NAGAR</v>
      </c>
      <c r="L523" s="17" t="n">
        <v>5</v>
      </c>
      <c r="M523" s="17" t="str">
        <f aca="false">VLOOKUP(L523,Sheet2!D:E,2,0)</f>
        <v>Main Processor CPU BGA</v>
      </c>
      <c r="N523" s="17" t="n">
        <v>1</v>
      </c>
      <c r="O523" s="17" t="str">
        <f aca="false">VLOOKUP(N523,Sheet2!G:H,2,0)</f>
        <v>Dead</v>
      </c>
      <c r="P523" s="17" t="n">
        <v>12</v>
      </c>
      <c r="Q523" s="17" t="str">
        <f aca="false">VLOOKUP(P523,Sheet2!J:K,2,0)</f>
        <v>IR Declared due to Others ( IR Normal)TB</v>
      </c>
      <c r="R523" s="17" t="s">
        <v>35</v>
      </c>
      <c r="S523" s="17" t="str">
        <f aca="false">VLOOKUP(R523,Sheet2!N:O,2,0)</f>
        <v>IREPARABLE</v>
      </c>
      <c r="T523" s="18" t="str">
        <f aca="false">VLOOKUP(P523,Sheet2!Q:R,2,0)</f>
        <v>IR Normal - BER to IR</v>
      </c>
      <c r="U523" s="18" t="s">
        <v>101</v>
      </c>
      <c r="V523" s="17" t="n">
        <v>8</v>
      </c>
      <c r="W523" s="20" t="str">
        <f aca="false">VLOOKUP(V523,Sheet2!Q:R,2,0)</f>
        <v>IR Normal -TrackRust/InternalDamage/open</v>
      </c>
      <c r="X523" s="17" t="str">
        <f aca="false">J523</f>
        <v>A008</v>
      </c>
      <c r="Y523" s="17" t="str">
        <f aca="false">VLOOKUP(X523,Sheet2!A:B,2,0)</f>
        <v>NILESH NAGAR</v>
      </c>
      <c r="Z523" s="17" t="s">
        <v>349</v>
      </c>
      <c r="AA523" s="17" t="s">
        <v>237</v>
      </c>
      <c r="AB523" s="17" t="s">
        <v>41</v>
      </c>
      <c r="AC523" s="0" t="str">
        <f aca="false">LEFT(G523,2)</f>
        <v>86</v>
      </c>
      <c r="AD523" s="0"/>
      <c r="AE523" s="21" t="s">
        <v>238</v>
      </c>
    </row>
    <row r="524" customFormat="false" ht="15" hidden="false" customHeight="false" outlineLevel="0" collapsed="false">
      <c r="A524" s="13" t="n">
        <f aca="false">1+A523</f>
        <v>522</v>
      </c>
      <c r="B524" s="14" t="n">
        <v>1009602548</v>
      </c>
      <c r="C524" s="15" t="s">
        <v>159</v>
      </c>
      <c r="D524" s="16" t="s">
        <v>64</v>
      </c>
      <c r="E524" s="17" t="s">
        <v>64</v>
      </c>
      <c r="F524" s="18" t="s">
        <v>70</v>
      </c>
      <c r="G524" s="19" t="n">
        <v>864333220605</v>
      </c>
      <c r="H524" s="17" t="s">
        <v>35</v>
      </c>
      <c r="I524" s="17" t="s">
        <v>72</v>
      </c>
      <c r="J524" s="17" t="s">
        <v>241</v>
      </c>
      <c r="K524" s="17" t="str">
        <f aca="false">VLOOKUP(J524,Sheet2!A:B,2,0)</f>
        <v>NILESH NAGAR</v>
      </c>
      <c r="L524" s="17" t="n">
        <v>5</v>
      </c>
      <c r="M524" s="17" t="str">
        <f aca="false">VLOOKUP(L524,Sheet2!D:E,2,0)</f>
        <v>Main Processor CPU BGA</v>
      </c>
      <c r="N524" s="17" t="n">
        <v>1</v>
      </c>
      <c r="O524" s="17" t="str">
        <f aca="false">VLOOKUP(N524,Sheet2!G:H,2,0)</f>
        <v>Dead</v>
      </c>
      <c r="P524" s="17" t="n">
        <v>12</v>
      </c>
      <c r="Q524" s="17" t="str">
        <f aca="false">VLOOKUP(P524,Sheet2!J:K,2,0)</f>
        <v>IR Declared due to Others ( IR Normal)TB</v>
      </c>
      <c r="R524" s="17" t="s">
        <v>35</v>
      </c>
      <c r="S524" s="17" t="str">
        <f aca="false">VLOOKUP(R524,Sheet2!N:O,2,0)</f>
        <v>IREPARABLE</v>
      </c>
      <c r="T524" s="18" t="str">
        <f aca="false">VLOOKUP(P524,Sheet2!Q:R,2,0)</f>
        <v>IR Normal - BER to IR</v>
      </c>
      <c r="U524" s="18" t="s">
        <v>101</v>
      </c>
      <c r="V524" s="17" t="n">
        <v>8</v>
      </c>
      <c r="W524" s="20" t="str">
        <f aca="false">VLOOKUP(V524,Sheet2!Q:R,2,0)</f>
        <v>IR Normal -TrackRust/InternalDamage/open</v>
      </c>
      <c r="X524" s="17" t="str">
        <f aca="false">J524</f>
        <v>A008</v>
      </c>
      <c r="Y524" s="17" t="str">
        <f aca="false">VLOOKUP(X524,Sheet2!A:B,2,0)</f>
        <v>NILESH NAGAR</v>
      </c>
      <c r="Z524" s="17" t="s">
        <v>350</v>
      </c>
      <c r="AA524" s="17" t="s">
        <v>237</v>
      </c>
      <c r="AB524" s="17" t="s">
        <v>41</v>
      </c>
      <c r="AC524" s="0" t="str">
        <f aca="false">LEFT(G524,2)</f>
        <v>86</v>
      </c>
      <c r="AD524" s="0"/>
      <c r="AE524" s="21" t="s">
        <v>238</v>
      </c>
    </row>
    <row r="525" customFormat="false" ht="15" hidden="false" customHeight="false" outlineLevel="0" collapsed="false">
      <c r="A525" s="13" t="n">
        <f aca="false">1+A524</f>
        <v>523</v>
      </c>
      <c r="B525" s="14" t="n">
        <v>1009305993</v>
      </c>
      <c r="C525" s="15" t="s">
        <v>185</v>
      </c>
      <c r="D525" s="16" t="s">
        <v>64</v>
      </c>
      <c r="E525" s="17" t="s">
        <v>114</v>
      </c>
      <c r="F525" s="18" t="s">
        <v>34</v>
      </c>
      <c r="G525" s="19" t="n">
        <v>865296166974</v>
      </c>
      <c r="H525" s="17" t="s">
        <v>35</v>
      </c>
      <c r="I525" s="17" t="s">
        <v>72</v>
      </c>
      <c r="J525" s="17" t="s">
        <v>100</v>
      </c>
      <c r="K525" s="17" t="str">
        <f aca="false">VLOOKUP(J525,Sheet2!A:B,2,0)</f>
        <v>PIYUSH CHAVDA</v>
      </c>
      <c r="L525" s="17" t="n">
        <v>1</v>
      </c>
      <c r="M525" s="17" t="str">
        <f aca="false">VLOOKUP(L525,Sheet2!D:E,2,0)</f>
        <v>Power Supply Section</v>
      </c>
      <c r="N525" s="17" t="n">
        <v>1</v>
      </c>
      <c r="O525" s="17" t="str">
        <f aca="false">VLOOKUP(N525,Sheet2!G:H,2,0)</f>
        <v>Dead</v>
      </c>
      <c r="P525" s="17" t="n">
        <v>11</v>
      </c>
      <c r="Q525" s="17" t="str">
        <f aca="false">VLOOKUP(P525,Sheet2!J:K,2,0)</f>
        <v>IR Declared due to CID -TA</v>
      </c>
      <c r="R525" s="17" t="s">
        <v>35</v>
      </c>
      <c r="S525" s="17" t="str">
        <f aca="false">VLOOKUP(R525,Sheet2!N:O,2,0)</f>
        <v>IREPARABLE</v>
      </c>
      <c r="T525" s="18" t="str">
        <f aca="false">VLOOKUP(P525,Sheet2!Q:R,2,0)</f>
        <v>IR Normal - Track burn out</v>
      </c>
      <c r="U525" s="18" t="s">
        <v>122</v>
      </c>
      <c r="V525" s="17" t="n">
        <v>2</v>
      </c>
      <c r="W525" s="20" t="str">
        <f aca="false">VLOOKUP(V525,Sheet2!Q:R,2,0)</f>
        <v>IR CID -  Water log from other area</v>
      </c>
      <c r="X525" s="17" t="str">
        <f aca="false">J525</f>
        <v>A050</v>
      </c>
      <c r="Y525" s="17" t="str">
        <f aca="false">VLOOKUP(X525,Sheet2!A:B,2,0)</f>
        <v>PIYUSH CHAVDA</v>
      </c>
      <c r="Z525" s="17" t="s">
        <v>351</v>
      </c>
      <c r="AA525" s="17" t="s">
        <v>237</v>
      </c>
      <c r="AB525" s="17" t="s">
        <v>41</v>
      </c>
      <c r="AC525" s="0" t="str">
        <f aca="false">LEFT(G525,2)</f>
        <v>86</v>
      </c>
      <c r="AD525" s="0"/>
      <c r="AE525" s="21" t="s">
        <v>238</v>
      </c>
    </row>
    <row r="526" customFormat="false" ht="15" hidden="false" customHeight="false" outlineLevel="0" collapsed="false">
      <c r="A526" s="13" t="n">
        <f aca="false">1+A525</f>
        <v>524</v>
      </c>
      <c r="B526" s="14" t="n">
        <v>1009572011</v>
      </c>
      <c r="C526" s="15" t="s">
        <v>104</v>
      </c>
      <c r="D526" s="16" t="s">
        <v>195</v>
      </c>
      <c r="E526" s="17" t="s">
        <v>176</v>
      </c>
      <c r="F526" s="18" t="s">
        <v>34</v>
      </c>
      <c r="G526" s="19" t="n">
        <v>867279102646</v>
      </c>
      <c r="H526" s="17" t="s">
        <v>35</v>
      </c>
      <c r="I526" s="17" t="s">
        <v>72</v>
      </c>
      <c r="J526" s="17" t="s">
        <v>111</v>
      </c>
      <c r="K526" s="17" t="str">
        <f aca="false">VLOOKUP(J526,Sheet2!A:B,2,0)</f>
        <v>NITIN PRANAMI</v>
      </c>
      <c r="L526" s="17" t="n">
        <v>5</v>
      </c>
      <c r="M526" s="17" t="str">
        <f aca="false">VLOOKUP(L526,Sheet2!D:E,2,0)</f>
        <v>Main Processor CPU BGA</v>
      </c>
      <c r="N526" s="17" t="n">
        <v>24</v>
      </c>
      <c r="O526" s="17" t="str">
        <f aca="false">VLOOKUP(N526,Sheet2!G:H,2,0)</f>
        <v>STB Auto moving -Stand by mode</v>
      </c>
      <c r="P526" s="17" t="n">
        <v>11</v>
      </c>
      <c r="Q526" s="17" t="str">
        <f aca="false">VLOOKUP(P526,Sheet2!J:K,2,0)</f>
        <v>IR Declared due to CID -TA</v>
      </c>
      <c r="R526" s="17" t="s">
        <v>35</v>
      </c>
      <c r="S526" s="17" t="str">
        <f aca="false">VLOOKUP(R526,Sheet2!N:O,2,0)</f>
        <v>IREPARABLE</v>
      </c>
      <c r="T526" s="18" t="str">
        <f aca="false">VLOOKUP(P526,Sheet2!Q:R,2,0)</f>
        <v>IR Normal - Track burn out</v>
      </c>
      <c r="U526" s="18" t="s">
        <v>122</v>
      </c>
      <c r="V526" s="17" t="n">
        <v>2</v>
      </c>
      <c r="W526" s="20" t="str">
        <f aca="false">VLOOKUP(V526,Sheet2!Q:R,2,0)</f>
        <v>IR CID -  Water log from other area</v>
      </c>
      <c r="X526" s="17" t="str">
        <f aca="false">J526</f>
        <v>A031</v>
      </c>
      <c r="Y526" s="17" t="str">
        <f aca="false">VLOOKUP(X526,Sheet2!A:B,2,0)</f>
        <v>NITIN PRANAMI</v>
      </c>
      <c r="Z526" s="17" t="s">
        <v>352</v>
      </c>
      <c r="AA526" s="17" t="s">
        <v>237</v>
      </c>
      <c r="AB526" s="17" t="s">
        <v>41</v>
      </c>
      <c r="AC526" s="0" t="str">
        <f aca="false">LEFT(G526,2)</f>
        <v>86</v>
      </c>
      <c r="AD526" s="0"/>
      <c r="AE526" s="21" t="s">
        <v>238</v>
      </c>
    </row>
    <row r="527" customFormat="false" ht="15" hidden="false" customHeight="false" outlineLevel="0" collapsed="false">
      <c r="A527" s="13" t="n">
        <f aca="false">1+A526</f>
        <v>525</v>
      </c>
      <c r="B527" s="14" t="n">
        <v>1009566363</v>
      </c>
      <c r="C527" s="15" t="s">
        <v>102</v>
      </c>
      <c r="D527" s="16" t="s">
        <v>205</v>
      </c>
      <c r="E527" s="17" t="s">
        <v>33</v>
      </c>
      <c r="F527" s="18" t="s">
        <v>34</v>
      </c>
      <c r="G527" s="19" t="n">
        <v>864268212387</v>
      </c>
      <c r="H527" s="17" t="s">
        <v>35</v>
      </c>
      <c r="I527" s="17" t="s">
        <v>72</v>
      </c>
      <c r="J527" s="17" t="s">
        <v>100</v>
      </c>
      <c r="K527" s="17" t="str">
        <f aca="false">VLOOKUP(J527,Sheet2!A:B,2,0)</f>
        <v>PIYUSH CHAVDA</v>
      </c>
      <c r="L527" s="17" t="n">
        <v>5</v>
      </c>
      <c r="M527" s="17" t="str">
        <f aca="false">VLOOKUP(L527,Sheet2!D:E,2,0)</f>
        <v>Main Processor CPU BGA</v>
      </c>
      <c r="N527" s="17" t="n">
        <v>1</v>
      </c>
      <c r="O527" s="17" t="str">
        <f aca="false">VLOOKUP(N527,Sheet2!G:H,2,0)</f>
        <v>Dead</v>
      </c>
      <c r="P527" s="17" t="n">
        <v>11</v>
      </c>
      <c r="Q527" s="17" t="str">
        <f aca="false">VLOOKUP(P527,Sheet2!J:K,2,0)</f>
        <v>IR Declared due to CID -TA</v>
      </c>
      <c r="R527" s="17" t="s">
        <v>35</v>
      </c>
      <c r="S527" s="17" t="str">
        <f aca="false">VLOOKUP(R527,Sheet2!N:O,2,0)</f>
        <v>IREPARABLE</v>
      </c>
      <c r="T527" s="18" t="str">
        <f aca="false">VLOOKUP(P527,Sheet2!Q:R,2,0)</f>
        <v>IR Normal - Track burn out</v>
      </c>
      <c r="U527" s="18" t="s">
        <v>256</v>
      </c>
      <c r="V527" s="17" t="n">
        <v>1</v>
      </c>
      <c r="W527" s="20" t="str">
        <f aca="false">VLOOKUP(V527,Sheet2!Q:R,2,0)</f>
        <v>IR CID -  Water log from IF port</v>
      </c>
      <c r="X527" s="17" t="str">
        <f aca="false">J527</f>
        <v>A050</v>
      </c>
      <c r="Y527" s="17" t="str">
        <f aca="false">VLOOKUP(X527,Sheet2!A:B,2,0)</f>
        <v>PIYUSH CHAVDA</v>
      </c>
      <c r="Z527" s="17" t="s">
        <v>353</v>
      </c>
      <c r="AA527" s="17" t="s">
        <v>237</v>
      </c>
      <c r="AB527" s="17" t="s">
        <v>41</v>
      </c>
      <c r="AC527" s="0" t="str">
        <f aca="false">LEFT(G527,2)</f>
        <v>86</v>
      </c>
      <c r="AD527" s="0"/>
      <c r="AE527" s="21" t="s">
        <v>238</v>
      </c>
    </row>
    <row r="528" customFormat="false" ht="15" hidden="false" customHeight="false" outlineLevel="0" collapsed="false">
      <c r="A528" s="13" t="n">
        <f aca="false">1+A527</f>
        <v>526</v>
      </c>
      <c r="B528" s="14" t="n">
        <v>1009599834</v>
      </c>
      <c r="C528" s="15" t="s">
        <v>159</v>
      </c>
      <c r="D528" s="16" t="s">
        <v>64</v>
      </c>
      <c r="E528" s="17" t="s">
        <v>47</v>
      </c>
      <c r="F528" s="18" t="s">
        <v>34</v>
      </c>
      <c r="G528" s="19" t="n">
        <v>867003104652</v>
      </c>
      <c r="H528" s="17" t="s">
        <v>35</v>
      </c>
      <c r="I528" s="17" t="s">
        <v>72</v>
      </c>
      <c r="J528" s="17" t="s">
        <v>96</v>
      </c>
      <c r="K528" s="17" t="str">
        <f aca="false">VLOOKUP(J528,Sheet2!A:B,2,0)</f>
        <v>JAYESH NAI</v>
      </c>
      <c r="L528" s="17" t="n">
        <v>7</v>
      </c>
      <c r="M528" s="17" t="str">
        <f aca="false">VLOOKUP(L528,Sheet2!D:E,2,0)</f>
        <v>Card Reader Section</v>
      </c>
      <c r="N528" s="17" t="n">
        <v>37</v>
      </c>
      <c r="O528" s="17" t="str">
        <f aca="false">VLOOKUP(N528,Sheet2!G:H,2,0)</f>
        <v>Error -2</v>
      </c>
      <c r="P528" s="17" t="n">
        <v>12</v>
      </c>
      <c r="Q528" s="17" t="str">
        <f aca="false">VLOOKUP(P528,Sheet2!J:K,2,0)</f>
        <v>IR Declared due to Others ( IR Normal)TB</v>
      </c>
      <c r="R528" s="17" t="s">
        <v>35</v>
      </c>
      <c r="S528" s="17" t="str">
        <f aca="false">VLOOKUP(R528,Sheet2!N:O,2,0)</f>
        <v>IREPARABLE</v>
      </c>
      <c r="T528" s="18" t="str">
        <f aca="false">VLOOKUP(P528,Sheet2!Q:R,2,0)</f>
        <v>IR Normal - BER to IR</v>
      </c>
      <c r="U528" s="18" t="s">
        <v>101</v>
      </c>
      <c r="V528" s="17" t="n">
        <v>8</v>
      </c>
      <c r="W528" s="20" t="str">
        <f aca="false">VLOOKUP(V528,Sheet2!Q:R,2,0)</f>
        <v>IR Normal -TrackRust/InternalDamage/open</v>
      </c>
      <c r="X528" s="17" t="str">
        <f aca="false">J528</f>
        <v>A004</v>
      </c>
      <c r="Y528" s="17" t="str">
        <f aca="false">VLOOKUP(X528,Sheet2!A:B,2,0)</f>
        <v>JAYESH NAI</v>
      </c>
      <c r="Z528" s="17" t="s">
        <v>354</v>
      </c>
      <c r="AA528" s="17" t="s">
        <v>237</v>
      </c>
      <c r="AB528" s="17" t="s">
        <v>41</v>
      </c>
      <c r="AC528" s="0" t="str">
        <f aca="false">LEFT(G528,2)</f>
        <v>86</v>
      </c>
      <c r="AD528" s="0"/>
      <c r="AE528" s="21" t="s">
        <v>238</v>
      </c>
    </row>
    <row r="529" customFormat="false" ht="15" hidden="false" customHeight="false" outlineLevel="0" collapsed="false">
      <c r="A529" s="13" t="n">
        <f aca="false">1+A528</f>
        <v>527</v>
      </c>
      <c r="B529" s="14" t="n">
        <v>1009602519</v>
      </c>
      <c r="C529" s="15" t="s">
        <v>159</v>
      </c>
      <c r="D529" s="16" t="s">
        <v>64</v>
      </c>
      <c r="E529" s="17" t="s">
        <v>33</v>
      </c>
      <c r="F529" s="18" t="s">
        <v>34</v>
      </c>
      <c r="G529" s="19" t="n">
        <v>864329149867</v>
      </c>
      <c r="H529" s="17" t="s">
        <v>35</v>
      </c>
      <c r="I529" s="17" t="s">
        <v>72</v>
      </c>
      <c r="J529" s="17" t="s">
        <v>118</v>
      </c>
      <c r="K529" s="17" t="str">
        <f aca="false">VLOOKUP(J529,Sheet2!A:B,2,0)</f>
        <v>DEVENDRA RAJPUT</v>
      </c>
      <c r="L529" s="17" t="n">
        <v>5</v>
      </c>
      <c r="M529" s="17" t="str">
        <f aca="false">VLOOKUP(L529,Sheet2!D:E,2,0)</f>
        <v>Main Processor CPU BGA</v>
      </c>
      <c r="N529" s="17" t="n">
        <v>24</v>
      </c>
      <c r="O529" s="17" t="str">
        <f aca="false">VLOOKUP(N529,Sheet2!G:H,2,0)</f>
        <v>STB Auto moving -Stand by mode</v>
      </c>
      <c r="P529" s="17" t="n">
        <v>11</v>
      </c>
      <c r="Q529" s="17" t="str">
        <f aca="false">VLOOKUP(P529,Sheet2!J:K,2,0)</f>
        <v>IR Declared due to CID -TA</v>
      </c>
      <c r="R529" s="17" t="s">
        <v>35</v>
      </c>
      <c r="S529" s="17" t="str">
        <f aca="false">VLOOKUP(R529,Sheet2!N:O,2,0)</f>
        <v>IREPARABLE</v>
      </c>
      <c r="T529" s="18" t="str">
        <f aca="false">VLOOKUP(P529,Sheet2!Q:R,2,0)</f>
        <v>IR Normal - Track burn out</v>
      </c>
      <c r="U529" s="18" t="s">
        <v>122</v>
      </c>
      <c r="V529" s="17" t="n">
        <v>2</v>
      </c>
      <c r="W529" s="20" t="str">
        <f aca="false">VLOOKUP(V529,Sheet2!Q:R,2,0)</f>
        <v>IR CID -  Water log from other area</v>
      </c>
      <c r="X529" s="17" t="str">
        <f aca="false">J529</f>
        <v>A053</v>
      </c>
      <c r="Y529" s="17" t="str">
        <f aca="false">VLOOKUP(X529,Sheet2!A:B,2,0)</f>
        <v>DEVENDRA RAJPUT</v>
      </c>
      <c r="Z529" s="17" t="s">
        <v>247</v>
      </c>
      <c r="AA529" s="17" t="s">
        <v>237</v>
      </c>
      <c r="AB529" s="17" t="s">
        <v>41</v>
      </c>
      <c r="AC529" s="0" t="str">
        <f aca="false">LEFT(G529,2)</f>
        <v>86</v>
      </c>
      <c r="AD529" s="0"/>
      <c r="AE529" s="21" t="s">
        <v>238</v>
      </c>
    </row>
    <row r="530" customFormat="false" ht="15" hidden="false" customHeight="false" outlineLevel="0" collapsed="false">
      <c r="A530" s="13" t="n">
        <f aca="false">1+A529</f>
        <v>528</v>
      </c>
      <c r="B530" s="14" t="n">
        <v>1009460774</v>
      </c>
      <c r="C530" s="15" t="s">
        <v>55</v>
      </c>
      <c r="D530" s="16" t="s">
        <v>32</v>
      </c>
      <c r="E530" s="17" t="s">
        <v>47</v>
      </c>
      <c r="F530" s="18" t="s">
        <v>34</v>
      </c>
      <c r="G530" s="19" t="n">
        <v>867322145238</v>
      </c>
      <c r="H530" s="17" t="s">
        <v>35</v>
      </c>
      <c r="I530" s="17" t="s">
        <v>72</v>
      </c>
      <c r="J530" s="17" t="s">
        <v>106</v>
      </c>
      <c r="K530" s="17" t="str">
        <f aca="false">VLOOKUP(J530,Sheet2!A:B,2,0)</f>
        <v>PRAKASH CHAVDA</v>
      </c>
      <c r="L530" s="17" t="n">
        <v>1</v>
      </c>
      <c r="M530" s="17" t="str">
        <f aca="false">VLOOKUP(L530,Sheet2!D:E,2,0)</f>
        <v>Power Supply Section</v>
      </c>
      <c r="N530" s="17" t="n">
        <v>1</v>
      </c>
      <c r="O530" s="17" t="str">
        <f aca="false">VLOOKUP(N530,Sheet2!G:H,2,0)</f>
        <v>Dead</v>
      </c>
      <c r="P530" s="17" t="n">
        <v>12</v>
      </c>
      <c r="Q530" s="17" t="str">
        <f aca="false">VLOOKUP(P530,Sheet2!J:K,2,0)</f>
        <v>IR Declared due to Others ( IR Normal)TB</v>
      </c>
      <c r="R530" s="17" t="s">
        <v>35</v>
      </c>
      <c r="S530" s="17" t="str">
        <f aca="false">VLOOKUP(R530,Sheet2!N:O,2,0)</f>
        <v>IREPARABLE</v>
      </c>
      <c r="T530" s="18" t="str">
        <f aca="false">VLOOKUP(P530,Sheet2!Q:R,2,0)</f>
        <v>IR Normal - BER to IR</v>
      </c>
      <c r="U530" s="18" t="s">
        <v>101</v>
      </c>
      <c r="V530" s="17" t="n">
        <v>8</v>
      </c>
      <c r="W530" s="20" t="str">
        <f aca="false">VLOOKUP(V530,Sheet2!Q:R,2,0)</f>
        <v>IR Normal -TrackRust/InternalDamage/open</v>
      </c>
      <c r="X530" s="17" t="str">
        <f aca="false">J530</f>
        <v>A018</v>
      </c>
      <c r="Y530" s="17" t="str">
        <f aca="false">VLOOKUP(X530,Sheet2!A:B,2,0)</f>
        <v>PRAKASH CHAVDA</v>
      </c>
      <c r="Z530" s="17" t="s">
        <v>355</v>
      </c>
      <c r="AA530" s="17" t="s">
        <v>237</v>
      </c>
      <c r="AB530" s="17" t="s">
        <v>41</v>
      </c>
      <c r="AC530" s="0" t="str">
        <f aca="false">LEFT(G530,2)</f>
        <v>86</v>
      </c>
      <c r="AD530" s="0"/>
      <c r="AE530" s="21" t="s">
        <v>238</v>
      </c>
    </row>
    <row r="531" customFormat="false" ht="15" hidden="false" customHeight="false" outlineLevel="0" collapsed="false">
      <c r="A531" s="13" t="n">
        <f aca="false">1+A530</f>
        <v>529</v>
      </c>
      <c r="B531" s="14" t="n">
        <v>1009584445</v>
      </c>
      <c r="C531" s="15" t="s">
        <v>139</v>
      </c>
      <c r="D531" s="16" t="s">
        <v>167</v>
      </c>
      <c r="E531" s="17" t="s">
        <v>47</v>
      </c>
      <c r="F531" s="18" t="s">
        <v>34</v>
      </c>
      <c r="G531" s="19" t="n">
        <v>866153120938</v>
      </c>
      <c r="H531" s="17" t="s">
        <v>35</v>
      </c>
      <c r="I531" s="17" t="s">
        <v>72</v>
      </c>
      <c r="J531" s="17" t="s">
        <v>96</v>
      </c>
      <c r="K531" s="17" t="str">
        <f aca="false">VLOOKUP(J531,Sheet2!A:B,2,0)</f>
        <v>JAYESH NAI</v>
      </c>
      <c r="L531" s="17" t="n">
        <v>7</v>
      </c>
      <c r="M531" s="17" t="str">
        <f aca="false">VLOOKUP(L531,Sheet2!D:E,2,0)</f>
        <v>Card Reader Section</v>
      </c>
      <c r="N531" s="17" t="n">
        <v>37</v>
      </c>
      <c r="O531" s="17" t="str">
        <f aca="false">VLOOKUP(N531,Sheet2!G:H,2,0)</f>
        <v>Error -2</v>
      </c>
      <c r="P531" s="17" t="n">
        <v>12</v>
      </c>
      <c r="Q531" s="17" t="str">
        <f aca="false">VLOOKUP(P531,Sheet2!J:K,2,0)</f>
        <v>IR Declared due to Others ( IR Normal)TB</v>
      </c>
      <c r="R531" s="17" t="s">
        <v>35</v>
      </c>
      <c r="S531" s="17" t="str">
        <f aca="false">VLOOKUP(R531,Sheet2!N:O,2,0)</f>
        <v>IREPARABLE</v>
      </c>
      <c r="T531" s="18" t="str">
        <f aca="false">VLOOKUP(P531,Sheet2!Q:R,2,0)</f>
        <v>IR Normal - BER to IR</v>
      </c>
      <c r="U531" s="18" t="s">
        <v>101</v>
      </c>
      <c r="V531" s="17" t="n">
        <v>8</v>
      </c>
      <c r="W531" s="20" t="str">
        <f aca="false">VLOOKUP(V531,Sheet2!Q:R,2,0)</f>
        <v>IR Normal -TrackRust/InternalDamage/open</v>
      </c>
      <c r="X531" s="17" t="str">
        <f aca="false">J531</f>
        <v>A004</v>
      </c>
      <c r="Y531" s="17" t="str">
        <f aca="false">VLOOKUP(X531,Sheet2!A:B,2,0)</f>
        <v>JAYESH NAI</v>
      </c>
      <c r="Z531" s="17" t="s">
        <v>354</v>
      </c>
      <c r="AA531" s="17" t="s">
        <v>237</v>
      </c>
      <c r="AB531" s="17" t="s">
        <v>41</v>
      </c>
      <c r="AC531" s="0" t="str">
        <f aca="false">LEFT(G531,2)</f>
        <v>86</v>
      </c>
      <c r="AD531" s="0"/>
      <c r="AE531" s="21" t="s">
        <v>238</v>
      </c>
    </row>
    <row r="532" customFormat="false" ht="15" hidden="false" customHeight="false" outlineLevel="0" collapsed="false">
      <c r="A532" s="13" t="n">
        <f aca="false">1+A531</f>
        <v>530</v>
      </c>
      <c r="B532" s="14" t="n">
        <v>1009587532</v>
      </c>
      <c r="C532" s="15" t="s">
        <v>159</v>
      </c>
      <c r="D532" s="16" t="s">
        <v>183</v>
      </c>
      <c r="E532" s="17" t="s">
        <v>47</v>
      </c>
      <c r="F532" s="18" t="s">
        <v>34</v>
      </c>
      <c r="G532" s="19" t="n">
        <v>867294143492</v>
      </c>
      <c r="H532" s="17" t="s">
        <v>35</v>
      </c>
      <c r="I532" s="17" t="s">
        <v>72</v>
      </c>
      <c r="J532" s="17" t="s">
        <v>106</v>
      </c>
      <c r="K532" s="17" t="str">
        <f aca="false">VLOOKUP(J532,Sheet2!A:B,2,0)</f>
        <v>PRAKASH CHAVDA</v>
      </c>
      <c r="L532" s="17" t="n">
        <v>1</v>
      </c>
      <c r="M532" s="17" t="str">
        <f aca="false">VLOOKUP(L532,Sheet2!D:E,2,0)</f>
        <v>Power Supply Section</v>
      </c>
      <c r="N532" s="17" t="n">
        <v>1</v>
      </c>
      <c r="O532" s="17" t="str">
        <f aca="false">VLOOKUP(N532,Sheet2!G:H,2,0)</f>
        <v>Dead</v>
      </c>
      <c r="P532" s="17" t="n">
        <v>12</v>
      </c>
      <c r="Q532" s="17" t="str">
        <f aca="false">VLOOKUP(P532,Sheet2!J:K,2,0)</f>
        <v>IR Declared due to Others ( IR Normal)TB</v>
      </c>
      <c r="R532" s="17" t="s">
        <v>35</v>
      </c>
      <c r="S532" s="17" t="str">
        <f aca="false">VLOOKUP(R532,Sheet2!N:O,2,0)</f>
        <v>IREPARABLE</v>
      </c>
      <c r="T532" s="18" t="str">
        <f aca="false">VLOOKUP(P532,Sheet2!Q:R,2,0)</f>
        <v>IR Normal - BER to IR</v>
      </c>
      <c r="U532" s="18" t="s">
        <v>101</v>
      </c>
      <c r="V532" s="17" t="n">
        <v>8</v>
      </c>
      <c r="W532" s="20" t="str">
        <f aca="false">VLOOKUP(V532,Sheet2!Q:R,2,0)</f>
        <v>IR Normal -TrackRust/InternalDamage/open</v>
      </c>
      <c r="X532" s="17" t="str">
        <f aca="false">J532</f>
        <v>A018</v>
      </c>
      <c r="Y532" s="17" t="str">
        <f aca="false">VLOOKUP(X532,Sheet2!A:B,2,0)</f>
        <v>PRAKASH CHAVDA</v>
      </c>
      <c r="Z532" s="17" t="s">
        <v>273</v>
      </c>
      <c r="AA532" s="17" t="s">
        <v>237</v>
      </c>
      <c r="AB532" s="17" t="s">
        <v>41</v>
      </c>
      <c r="AC532" s="0" t="str">
        <f aca="false">LEFT(G532,2)</f>
        <v>86</v>
      </c>
      <c r="AD532" s="0"/>
      <c r="AE532" s="21" t="s">
        <v>238</v>
      </c>
    </row>
    <row r="533" customFormat="false" ht="15" hidden="false" customHeight="false" outlineLevel="0" collapsed="false">
      <c r="A533" s="13" t="n">
        <f aca="false">1+A532</f>
        <v>531</v>
      </c>
      <c r="B533" s="14" t="n">
        <v>1009606240</v>
      </c>
      <c r="C533" s="15" t="s">
        <v>181</v>
      </c>
      <c r="D533" s="16" t="s">
        <v>64</v>
      </c>
      <c r="E533" s="17" t="s">
        <v>64</v>
      </c>
      <c r="F533" s="18" t="s">
        <v>70</v>
      </c>
      <c r="G533" s="19" t="n">
        <v>865240224170</v>
      </c>
      <c r="H533" s="17" t="s">
        <v>35</v>
      </c>
      <c r="I533" s="17" t="s">
        <v>72</v>
      </c>
      <c r="J533" s="17" t="s">
        <v>241</v>
      </c>
      <c r="K533" s="17" t="str">
        <f aca="false">VLOOKUP(J533,Sheet2!A:B,2,0)</f>
        <v>NILESH NAGAR</v>
      </c>
      <c r="L533" s="17" t="n">
        <v>5</v>
      </c>
      <c r="M533" s="17" t="str">
        <f aca="false">VLOOKUP(L533,Sheet2!D:E,2,0)</f>
        <v>Main Processor CPU BGA</v>
      </c>
      <c r="N533" s="17" t="n">
        <v>1</v>
      </c>
      <c r="O533" s="17" t="str">
        <f aca="false">VLOOKUP(N533,Sheet2!G:H,2,0)</f>
        <v>Dead</v>
      </c>
      <c r="P533" s="17" t="n">
        <v>12</v>
      </c>
      <c r="Q533" s="17" t="str">
        <f aca="false">VLOOKUP(P533,Sheet2!J:K,2,0)</f>
        <v>IR Declared due to Others ( IR Normal)TB</v>
      </c>
      <c r="R533" s="17" t="s">
        <v>35</v>
      </c>
      <c r="S533" s="17" t="str">
        <f aca="false">VLOOKUP(R533,Sheet2!N:O,2,0)</f>
        <v>IREPARABLE</v>
      </c>
      <c r="T533" s="18" t="str">
        <f aca="false">VLOOKUP(P533,Sheet2!Q:R,2,0)</f>
        <v>IR Normal - BER to IR</v>
      </c>
      <c r="U533" s="18" t="s">
        <v>101</v>
      </c>
      <c r="V533" s="17" t="n">
        <v>8</v>
      </c>
      <c r="W533" s="20" t="str">
        <f aca="false">VLOOKUP(V533,Sheet2!Q:R,2,0)</f>
        <v>IR Normal -TrackRust/InternalDamage/open</v>
      </c>
      <c r="X533" s="17" t="str">
        <f aca="false">J533</f>
        <v>A008</v>
      </c>
      <c r="Y533" s="17" t="str">
        <f aca="false">VLOOKUP(X533,Sheet2!A:B,2,0)</f>
        <v>NILESH NAGAR</v>
      </c>
      <c r="Z533" s="17" t="s">
        <v>349</v>
      </c>
      <c r="AA533" s="17" t="s">
        <v>237</v>
      </c>
      <c r="AB533" s="17" t="s">
        <v>41</v>
      </c>
      <c r="AC533" s="0" t="str">
        <f aca="false">LEFT(G533,2)</f>
        <v>86</v>
      </c>
      <c r="AD533" s="0"/>
      <c r="AE533" s="21" t="s">
        <v>238</v>
      </c>
    </row>
    <row r="534" customFormat="false" ht="15" hidden="false" customHeight="false" outlineLevel="0" collapsed="false">
      <c r="A534" s="13" t="n">
        <f aca="false">1+A533</f>
        <v>532</v>
      </c>
      <c r="B534" s="14" t="n">
        <v>1009583959</v>
      </c>
      <c r="C534" s="15" t="s">
        <v>139</v>
      </c>
      <c r="D534" s="16" t="s">
        <v>64</v>
      </c>
      <c r="E534" s="17" t="s">
        <v>33</v>
      </c>
      <c r="F534" s="18" t="s">
        <v>34</v>
      </c>
      <c r="G534" s="19" t="n">
        <v>866027140791</v>
      </c>
      <c r="H534" s="17" t="s">
        <v>35</v>
      </c>
      <c r="I534" s="17" t="s">
        <v>72</v>
      </c>
      <c r="J534" s="17" t="s">
        <v>111</v>
      </c>
      <c r="K534" s="17" t="str">
        <f aca="false">VLOOKUP(J534,Sheet2!A:B,2,0)</f>
        <v>NITIN PRANAMI</v>
      </c>
      <c r="L534" s="17" t="n">
        <v>5</v>
      </c>
      <c r="M534" s="17" t="str">
        <f aca="false">VLOOKUP(L534,Sheet2!D:E,2,0)</f>
        <v>Main Processor CPU BGA</v>
      </c>
      <c r="N534" s="17" t="n">
        <v>24</v>
      </c>
      <c r="O534" s="17" t="str">
        <f aca="false">VLOOKUP(N534,Sheet2!G:H,2,0)</f>
        <v>STB Auto moving -Stand by mode</v>
      </c>
      <c r="P534" s="17" t="n">
        <v>12</v>
      </c>
      <c r="Q534" s="17" t="str">
        <f aca="false">VLOOKUP(P534,Sheet2!J:K,2,0)</f>
        <v>IR Declared due to Others ( IR Normal)TB</v>
      </c>
      <c r="R534" s="17" t="s">
        <v>35</v>
      </c>
      <c r="S534" s="17" t="str">
        <f aca="false">VLOOKUP(R534,Sheet2!N:O,2,0)</f>
        <v>IREPARABLE</v>
      </c>
      <c r="T534" s="18" t="str">
        <f aca="false">VLOOKUP(P534,Sheet2!Q:R,2,0)</f>
        <v>IR Normal - BER to IR</v>
      </c>
      <c r="U534" s="18" t="s">
        <v>101</v>
      </c>
      <c r="V534" s="17" t="n">
        <v>8</v>
      </c>
      <c r="W534" s="20" t="str">
        <f aca="false">VLOOKUP(V534,Sheet2!Q:R,2,0)</f>
        <v>IR Normal -TrackRust/InternalDamage/open</v>
      </c>
      <c r="X534" s="17" t="str">
        <f aca="false">J534</f>
        <v>A031</v>
      </c>
      <c r="Y534" s="17" t="str">
        <f aca="false">VLOOKUP(X534,Sheet2!A:B,2,0)</f>
        <v>NITIN PRANAMI</v>
      </c>
      <c r="Z534" s="17" t="s">
        <v>356</v>
      </c>
      <c r="AA534" s="17" t="s">
        <v>237</v>
      </c>
      <c r="AB534" s="17" t="s">
        <v>41</v>
      </c>
      <c r="AC534" s="0" t="str">
        <f aca="false">LEFT(G534,2)</f>
        <v>86</v>
      </c>
      <c r="AD534" s="0"/>
      <c r="AE534" s="21" t="s">
        <v>238</v>
      </c>
    </row>
    <row r="535" customFormat="false" ht="15" hidden="false" customHeight="false" outlineLevel="0" collapsed="false">
      <c r="A535" s="13" t="n">
        <f aca="false">1+A534</f>
        <v>533</v>
      </c>
      <c r="B535" s="14" t="n">
        <v>1009607485</v>
      </c>
      <c r="C535" s="15" t="s">
        <v>181</v>
      </c>
      <c r="D535" s="16" t="s">
        <v>88</v>
      </c>
      <c r="E535" s="17" t="s">
        <v>47</v>
      </c>
      <c r="F535" s="18" t="s">
        <v>34</v>
      </c>
      <c r="G535" s="19" t="n">
        <v>865271189637</v>
      </c>
      <c r="H535" s="17" t="s">
        <v>35</v>
      </c>
      <c r="I535" s="17" t="s">
        <v>72</v>
      </c>
      <c r="J535" s="17" t="s">
        <v>239</v>
      </c>
      <c r="K535" s="17" t="str">
        <f aca="false">VLOOKUP(J535,Sheet2!A:B,2,0)</f>
        <v>VASANT PARMAR</v>
      </c>
      <c r="L535" s="17" t="n">
        <v>5</v>
      </c>
      <c r="M535" s="17" t="str">
        <f aca="false">VLOOKUP(L535,Sheet2!D:E,2,0)</f>
        <v>Main Processor CPU BGA</v>
      </c>
      <c r="N535" s="17" t="n">
        <v>1</v>
      </c>
      <c r="O535" s="17" t="str">
        <f aca="false">VLOOKUP(N535,Sheet2!G:H,2,0)</f>
        <v>Dead</v>
      </c>
      <c r="P535" s="17" t="n">
        <v>11</v>
      </c>
      <c r="Q535" s="17" t="str">
        <f aca="false">VLOOKUP(P535,Sheet2!J:K,2,0)</f>
        <v>IR Declared due to CID -TA</v>
      </c>
      <c r="R535" s="17" t="s">
        <v>35</v>
      </c>
      <c r="S535" s="17" t="str">
        <f aca="false">VLOOKUP(R535,Sheet2!N:O,2,0)</f>
        <v>IREPARABLE</v>
      </c>
      <c r="T535" s="18" t="str">
        <f aca="false">VLOOKUP(P535,Sheet2!Q:R,2,0)</f>
        <v>IR Normal - Track burn out</v>
      </c>
      <c r="U535" s="18" t="s">
        <v>122</v>
      </c>
      <c r="V535" s="17" t="n">
        <v>2</v>
      </c>
      <c r="W535" s="20" t="str">
        <f aca="false">VLOOKUP(V535,Sheet2!Q:R,2,0)</f>
        <v>IR CID -  Water log from other area</v>
      </c>
      <c r="X535" s="17" t="str">
        <f aca="false">J535</f>
        <v>A005</v>
      </c>
      <c r="Y535" s="17" t="str">
        <f aca="false">VLOOKUP(X535,Sheet2!A:B,2,0)</f>
        <v>VASANT PARMAR</v>
      </c>
      <c r="Z535" s="17" t="s">
        <v>254</v>
      </c>
      <c r="AA535" s="17" t="s">
        <v>237</v>
      </c>
      <c r="AB535" s="17" t="s">
        <v>41</v>
      </c>
      <c r="AC535" s="0" t="str">
        <f aca="false">LEFT(G535,2)</f>
        <v>86</v>
      </c>
      <c r="AD535" s="0"/>
      <c r="AE535" s="21" t="s">
        <v>238</v>
      </c>
    </row>
    <row r="536" customFormat="false" ht="15" hidden="false" customHeight="false" outlineLevel="0" collapsed="false">
      <c r="A536" s="13" t="n">
        <f aca="false">1+A535</f>
        <v>534</v>
      </c>
      <c r="B536" s="14" t="n">
        <v>1009602544</v>
      </c>
      <c r="C536" s="15" t="s">
        <v>159</v>
      </c>
      <c r="D536" s="16" t="s">
        <v>64</v>
      </c>
      <c r="E536" s="17" t="s">
        <v>64</v>
      </c>
      <c r="F536" s="18" t="s">
        <v>70</v>
      </c>
      <c r="G536" s="19" t="n">
        <v>866020238352</v>
      </c>
      <c r="H536" s="17" t="s">
        <v>35</v>
      </c>
      <c r="I536" s="17" t="s">
        <v>72</v>
      </c>
      <c r="J536" s="17" t="s">
        <v>239</v>
      </c>
      <c r="K536" s="17" t="str">
        <f aca="false">VLOOKUP(J536,Sheet2!A:B,2,0)</f>
        <v>VASANT PARMAR</v>
      </c>
      <c r="L536" s="17" t="n">
        <v>5</v>
      </c>
      <c r="M536" s="17" t="str">
        <f aca="false">VLOOKUP(L536,Sheet2!D:E,2,0)</f>
        <v>Main Processor CPU BGA</v>
      </c>
      <c r="N536" s="17" t="n">
        <v>1</v>
      </c>
      <c r="O536" s="17" t="str">
        <f aca="false">VLOOKUP(N536,Sheet2!G:H,2,0)</f>
        <v>Dead</v>
      </c>
      <c r="P536" s="17" t="n">
        <v>12</v>
      </c>
      <c r="Q536" s="17" t="str">
        <f aca="false">VLOOKUP(P536,Sheet2!J:K,2,0)</f>
        <v>IR Declared due to Others ( IR Normal)TB</v>
      </c>
      <c r="R536" s="17" t="s">
        <v>35</v>
      </c>
      <c r="S536" s="17" t="str">
        <f aca="false">VLOOKUP(R536,Sheet2!N:O,2,0)</f>
        <v>IREPARABLE</v>
      </c>
      <c r="T536" s="18" t="str">
        <f aca="false">VLOOKUP(P536,Sheet2!Q:R,2,0)</f>
        <v>IR Normal - BER to IR</v>
      </c>
      <c r="U536" s="18" t="s">
        <v>101</v>
      </c>
      <c r="V536" s="17" t="n">
        <v>8</v>
      </c>
      <c r="W536" s="20" t="str">
        <f aca="false">VLOOKUP(V536,Sheet2!Q:R,2,0)</f>
        <v>IR Normal -TrackRust/InternalDamage/open</v>
      </c>
      <c r="X536" s="17" t="str">
        <f aca="false">J536</f>
        <v>A005</v>
      </c>
      <c r="Y536" s="17" t="str">
        <f aca="false">VLOOKUP(X536,Sheet2!A:B,2,0)</f>
        <v>VASANT PARMAR</v>
      </c>
      <c r="Z536" s="17" t="s">
        <v>254</v>
      </c>
      <c r="AA536" s="17" t="s">
        <v>237</v>
      </c>
      <c r="AB536" s="17" t="s">
        <v>41</v>
      </c>
      <c r="AC536" s="0" t="str">
        <f aca="false">LEFT(G536,2)</f>
        <v>86</v>
      </c>
      <c r="AD536" s="0"/>
      <c r="AE536" s="21" t="s">
        <v>238</v>
      </c>
    </row>
    <row r="537" customFormat="false" ht="15" hidden="false" customHeight="false" outlineLevel="0" collapsed="false">
      <c r="A537" s="13" t="n">
        <f aca="false">1+A536</f>
        <v>535</v>
      </c>
      <c r="B537" s="14" t="n">
        <v>1009584501</v>
      </c>
      <c r="C537" s="15" t="s">
        <v>139</v>
      </c>
      <c r="D537" s="16" t="s">
        <v>190</v>
      </c>
      <c r="E537" s="17" t="s">
        <v>64</v>
      </c>
      <c r="F537" s="18" t="s">
        <v>70</v>
      </c>
      <c r="G537" s="19" t="n">
        <v>868082100330</v>
      </c>
      <c r="H537" s="17" t="s">
        <v>35</v>
      </c>
      <c r="I537" s="17" t="s">
        <v>72</v>
      </c>
      <c r="J537" s="17" t="s">
        <v>118</v>
      </c>
      <c r="K537" s="17" t="str">
        <f aca="false">VLOOKUP(J537,Sheet2!A:B,2,0)</f>
        <v>DEVENDRA RAJPUT</v>
      </c>
      <c r="L537" s="17" t="n">
        <v>2</v>
      </c>
      <c r="M537" s="17" t="str">
        <f aca="false">VLOOKUP(L537,Sheet2!D:E,2,0)</f>
        <v>Tuner Section</v>
      </c>
      <c r="N537" s="17" t="n">
        <v>6</v>
      </c>
      <c r="O537" s="17" t="str">
        <f aca="false">VLOOKUP(N537,Sheet2!G:H,2,0)</f>
        <v>No Signal</v>
      </c>
      <c r="P537" s="17" t="n">
        <v>11</v>
      </c>
      <c r="Q537" s="17" t="str">
        <f aca="false">VLOOKUP(P537,Sheet2!J:K,2,0)</f>
        <v>IR Declared due to CID -TA</v>
      </c>
      <c r="R537" s="17" t="s">
        <v>35</v>
      </c>
      <c r="S537" s="17" t="str">
        <f aca="false">VLOOKUP(R537,Sheet2!N:O,2,0)</f>
        <v>IREPARABLE</v>
      </c>
      <c r="T537" s="18" t="str">
        <f aca="false">VLOOKUP(P537,Sheet2!Q:R,2,0)</f>
        <v>IR Normal - Track burn out</v>
      </c>
      <c r="U537" s="18" t="s">
        <v>122</v>
      </c>
      <c r="V537" s="17" t="n">
        <v>2</v>
      </c>
      <c r="W537" s="20" t="str">
        <f aca="false">VLOOKUP(V537,Sheet2!Q:R,2,0)</f>
        <v>IR CID -  Water log from other area</v>
      </c>
      <c r="X537" s="17" t="str">
        <f aca="false">J537</f>
        <v>A053</v>
      </c>
      <c r="Y537" s="17" t="str">
        <f aca="false">VLOOKUP(X537,Sheet2!A:B,2,0)</f>
        <v>DEVENDRA RAJPUT</v>
      </c>
      <c r="Z537" s="17" t="s">
        <v>276</v>
      </c>
      <c r="AA537" s="17" t="s">
        <v>237</v>
      </c>
      <c r="AB537" s="17" t="s">
        <v>41</v>
      </c>
      <c r="AC537" s="0" t="str">
        <f aca="false">LEFT(G537,2)</f>
        <v>86</v>
      </c>
      <c r="AD537" s="0"/>
      <c r="AE537" s="21" t="s">
        <v>238</v>
      </c>
    </row>
    <row r="538" customFormat="false" ht="15" hidden="false" customHeight="false" outlineLevel="0" collapsed="false">
      <c r="A538" s="13" t="n">
        <f aca="false">1+A537</f>
        <v>536</v>
      </c>
      <c r="B538" s="14" t="n">
        <v>1009599539</v>
      </c>
      <c r="C538" s="15" t="s">
        <v>159</v>
      </c>
      <c r="D538" s="16" t="s">
        <v>157</v>
      </c>
      <c r="E538" s="17" t="s">
        <v>33</v>
      </c>
      <c r="F538" s="18" t="s">
        <v>34</v>
      </c>
      <c r="G538" s="19" t="n">
        <v>865241298195</v>
      </c>
      <c r="H538" s="17" t="s">
        <v>35</v>
      </c>
      <c r="I538" s="17" t="s">
        <v>72</v>
      </c>
      <c r="J538" s="17" t="s">
        <v>106</v>
      </c>
      <c r="K538" s="17" t="str">
        <f aca="false">VLOOKUP(J538,Sheet2!A:B,2,0)</f>
        <v>PRAKASH CHAVDA</v>
      </c>
      <c r="L538" s="17" t="n">
        <v>5</v>
      </c>
      <c r="M538" s="17" t="str">
        <f aca="false">VLOOKUP(L538,Sheet2!D:E,2,0)</f>
        <v>Main Processor CPU BGA</v>
      </c>
      <c r="N538" s="17" t="n">
        <v>24</v>
      </c>
      <c r="O538" s="17" t="str">
        <f aca="false">VLOOKUP(N538,Sheet2!G:H,2,0)</f>
        <v>STB Auto moving -Stand by mode</v>
      </c>
      <c r="P538" s="17" t="n">
        <v>12</v>
      </c>
      <c r="Q538" s="17" t="str">
        <f aca="false">VLOOKUP(P538,Sheet2!J:K,2,0)</f>
        <v>IR Declared due to Others ( IR Normal)TB</v>
      </c>
      <c r="R538" s="17" t="s">
        <v>35</v>
      </c>
      <c r="S538" s="17" t="str">
        <f aca="false">VLOOKUP(R538,Sheet2!N:O,2,0)</f>
        <v>IREPARABLE</v>
      </c>
      <c r="T538" s="18" t="str">
        <f aca="false">VLOOKUP(P538,Sheet2!Q:R,2,0)</f>
        <v>IR Normal - BER to IR</v>
      </c>
      <c r="U538" s="18" t="s">
        <v>101</v>
      </c>
      <c r="V538" s="17" t="n">
        <v>8</v>
      </c>
      <c r="W538" s="20" t="str">
        <f aca="false">VLOOKUP(V538,Sheet2!Q:R,2,0)</f>
        <v>IR Normal -TrackRust/InternalDamage/open</v>
      </c>
      <c r="X538" s="17" t="str">
        <f aca="false">J538</f>
        <v>A018</v>
      </c>
      <c r="Y538" s="17" t="str">
        <f aca="false">VLOOKUP(X538,Sheet2!A:B,2,0)</f>
        <v>PRAKASH CHAVDA</v>
      </c>
      <c r="Z538" s="17" t="s">
        <v>357</v>
      </c>
      <c r="AA538" s="17" t="s">
        <v>237</v>
      </c>
      <c r="AB538" s="17" t="s">
        <v>41</v>
      </c>
      <c r="AC538" s="0" t="str">
        <f aca="false">LEFT(G538,2)</f>
        <v>86</v>
      </c>
      <c r="AD538" s="0"/>
      <c r="AE538" s="21" t="s">
        <v>238</v>
      </c>
    </row>
    <row r="539" customFormat="false" ht="15" hidden="false" customHeight="false" outlineLevel="0" collapsed="false">
      <c r="A539" s="13" t="n">
        <f aca="false">1+A538</f>
        <v>537</v>
      </c>
      <c r="B539" s="14" t="n">
        <v>1009602538</v>
      </c>
      <c r="C539" s="15" t="s">
        <v>159</v>
      </c>
      <c r="D539" s="16" t="s">
        <v>64</v>
      </c>
      <c r="E539" s="17" t="s">
        <v>64</v>
      </c>
      <c r="F539" s="18" t="s">
        <v>70</v>
      </c>
      <c r="G539" s="19" t="n">
        <v>865143268973</v>
      </c>
      <c r="H539" s="17" t="s">
        <v>35</v>
      </c>
      <c r="I539" s="17" t="s">
        <v>72</v>
      </c>
      <c r="J539" s="17" t="s">
        <v>118</v>
      </c>
      <c r="K539" s="17" t="str">
        <f aca="false">VLOOKUP(J539,Sheet2!A:B,2,0)</f>
        <v>DEVENDRA RAJPUT</v>
      </c>
      <c r="L539" s="17" t="n">
        <v>1</v>
      </c>
      <c r="M539" s="17" t="str">
        <f aca="false">VLOOKUP(L539,Sheet2!D:E,2,0)</f>
        <v>Power Supply Section</v>
      </c>
      <c r="N539" s="17" t="n">
        <v>1</v>
      </c>
      <c r="O539" s="17" t="str">
        <f aca="false">VLOOKUP(N539,Sheet2!G:H,2,0)</f>
        <v>Dead</v>
      </c>
      <c r="P539" s="17" t="n">
        <v>11</v>
      </c>
      <c r="Q539" s="17" t="str">
        <f aca="false">VLOOKUP(P539,Sheet2!J:K,2,0)</f>
        <v>IR Declared due to CID -TA</v>
      </c>
      <c r="R539" s="17" t="s">
        <v>35</v>
      </c>
      <c r="S539" s="17" t="str">
        <f aca="false">VLOOKUP(R539,Sheet2!N:O,2,0)</f>
        <v>IREPARABLE</v>
      </c>
      <c r="T539" s="18" t="str">
        <f aca="false">VLOOKUP(P539,Sheet2!Q:R,2,0)</f>
        <v>IR Normal - Track burn out</v>
      </c>
      <c r="U539" s="18" t="s">
        <v>122</v>
      </c>
      <c r="V539" s="17" t="n">
        <v>2</v>
      </c>
      <c r="W539" s="20" t="str">
        <f aca="false">VLOOKUP(V539,Sheet2!Q:R,2,0)</f>
        <v>IR CID -  Water log from other area</v>
      </c>
      <c r="X539" s="17" t="str">
        <f aca="false">J539</f>
        <v>A053</v>
      </c>
      <c r="Y539" s="17" t="str">
        <f aca="false">VLOOKUP(X539,Sheet2!A:B,2,0)</f>
        <v>DEVENDRA RAJPUT</v>
      </c>
      <c r="Z539" s="17" t="s">
        <v>276</v>
      </c>
      <c r="AA539" s="17" t="s">
        <v>237</v>
      </c>
      <c r="AB539" s="17" t="s">
        <v>41</v>
      </c>
      <c r="AC539" s="0" t="str">
        <f aca="false">LEFT(G539,2)</f>
        <v>86</v>
      </c>
      <c r="AD539" s="0"/>
      <c r="AE539" s="21" t="s">
        <v>238</v>
      </c>
    </row>
    <row r="540" customFormat="false" ht="15" hidden="false" customHeight="false" outlineLevel="0" collapsed="false">
      <c r="A540" s="13" t="n">
        <f aca="false">1+A539</f>
        <v>538</v>
      </c>
      <c r="B540" s="14" t="n">
        <v>1009517332</v>
      </c>
      <c r="C540" s="15" t="s">
        <v>93</v>
      </c>
      <c r="D540" s="16" t="s">
        <v>64</v>
      </c>
      <c r="E540" s="17" t="s">
        <v>64</v>
      </c>
      <c r="F540" s="18" t="s">
        <v>70</v>
      </c>
      <c r="G540" s="19" t="n">
        <v>775320157453</v>
      </c>
      <c r="H540" s="17" t="s">
        <v>35</v>
      </c>
      <c r="I540" s="17" t="s">
        <v>69</v>
      </c>
      <c r="J540" s="17" t="s">
        <v>115</v>
      </c>
      <c r="K540" s="17" t="str">
        <f aca="false">VLOOKUP(J540,Sheet2!A:B,2,0)</f>
        <v>ANKIT RANA</v>
      </c>
      <c r="L540" s="17" t="n">
        <v>2</v>
      </c>
      <c r="M540" s="17" t="str">
        <f aca="false">VLOOKUP(L540,Sheet2!D:E,2,0)</f>
        <v>Tuner Section</v>
      </c>
      <c r="N540" s="17" t="n">
        <v>6</v>
      </c>
      <c r="O540" s="17" t="str">
        <f aca="false">VLOOKUP(N540,Sheet2!G:H,2,0)</f>
        <v>No Signal</v>
      </c>
      <c r="P540" s="17" t="n">
        <v>12</v>
      </c>
      <c r="Q540" s="17" t="str">
        <f aca="false">VLOOKUP(P540,Sheet2!J:K,2,0)</f>
        <v>IR Declared due to Others ( IR Normal)TB</v>
      </c>
      <c r="R540" s="17" t="s">
        <v>35</v>
      </c>
      <c r="S540" s="17" t="str">
        <f aca="false">VLOOKUP(R540,Sheet2!N:O,2,0)</f>
        <v>IREPARABLE</v>
      </c>
      <c r="T540" s="18" t="str">
        <f aca="false">VLOOKUP(P540,Sheet2!Q:R,2,0)</f>
        <v>IR Normal - BER to IR</v>
      </c>
      <c r="U540" s="18" t="s">
        <v>101</v>
      </c>
      <c r="V540" s="17" t="n">
        <v>8</v>
      </c>
      <c r="W540" s="20" t="str">
        <f aca="false">VLOOKUP(V540,Sheet2!Q:R,2,0)</f>
        <v>IR Normal -TrackRust/InternalDamage/open</v>
      </c>
      <c r="X540" s="17" t="str">
        <f aca="false">J540</f>
        <v>A042</v>
      </c>
      <c r="Y540" s="17" t="str">
        <f aca="false">VLOOKUP(X540,Sheet2!A:B,2,0)</f>
        <v>ANKIT RANA</v>
      </c>
      <c r="Z540" s="17" t="s">
        <v>130</v>
      </c>
      <c r="AA540" s="17" t="s">
        <v>237</v>
      </c>
      <c r="AB540" s="17" t="s">
        <v>41</v>
      </c>
      <c r="AC540" s="0" t="str">
        <f aca="false">LEFT(G540,2)</f>
        <v>77</v>
      </c>
      <c r="AD540" s="0"/>
      <c r="AE540" s="21" t="s">
        <v>238</v>
      </c>
    </row>
    <row r="541" customFormat="false" ht="15" hidden="false" customHeight="false" outlineLevel="0" collapsed="false">
      <c r="A541" s="13" t="n">
        <f aca="false">1+A540</f>
        <v>539</v>
      </c>
      <c r="B541" s="14" t="n">
        <v>1009580744</v>
      </c>
      <c r="C541" s="15" t="s">
        <v>139</v>
      </c>
      <c r="D541" s="16" t="s">
        <v>64</v>
      </c>
      <c r="E541" s="17" t="s">
        <v>64</v>
      </c>
      <c r="F541" s="18" t="s">
        <v>70</v>
      </c>
      <c r="G541" s="19" t="n">
        <v>429295287800</v>
      </c>
      <c r="H541" s="17" t="s">
        <v>35</v>
      </c>
      <c r="I541" s="17" t="s">
        <v>82</v>
      </c>
      <c r="J541" s="17" t="s">
        <v>118</v>
      </c>
      <c r="K541" s="17" t="str">
        <f aca="false">VLOOKUP(J541,Sheet2!A:B,2,0)</f>
        <v>DEVENDRA RAJPUT</v>
      </c>
      <c r="L541" s="17" t="n">
        <v>4</v>
      </c>
      <c r="M541" s="17" t="str">
        <f aca="false">VLOOKUP(L541,Sheet2!D:E,2,0)</f>
        <v>Audio Section</v>
      </c>
      <c r="N541" s="17" t="n">
        <v>9</v>
      </c>
      <c r="O541" s="17" t="str">
        <f aca="false">VLOOKUP(N541,Sheet2!G:H,2,0)</f>
        <v>No Audio - AV</v>
      </c>
      <c r="P541" s="17" t="n">
        <v>11</v>
      </c>
      <c r="Q541" s="17" t="str">
        <f aca="false">VLOOKUP(P541,Sheet2!J:K,2,0)</f>
        <v>IR Declared due to CID -TA</v>
      </c>
      <c r="R541" s="17" t="s">
        <v>35</v>
      </c>
      <c r="S541" s="17" t="str">
        <f aca="false">VLOOKUP(R541,Sheet2!N:O,2,0)</f>
        <v>IREPARABLE</v>
      </c>
      <c r="T541" s="18" t="str">
        <f aca="false">VLOOKUP(P541,Sheet2!Q:R,2,0)</f>
        <v>IR Normal - Track burn out</v>
      </c>
      <c r="U541" s="18" t="s">
        <v>122</v>
      </c>
      <c r="V541" s="17" t="n">
        <v>2</v>
      </c>
      <c r="W541" s="20" t="str">
        <f aca="false">VLOOKUP(V541,Sheet2!Q:R,2,0)</f>
        <v>IR CID -  Water log from other area</v>
      </c>
      <c r="X541" s="17" t="str">
        <f aca="false">J541</f>
        <v>A053</v>
      </c>
      <c r="Y541" s="17" t="str">
        <f aca="false">VLOOKUP(X541,Sheet2!A:B,2,0)</f>
        <v>DEVENDRA RAJPUT</v>
      </c>
      <c r="Z541" s="17" t="s">
        <v>358</v>
      </c>
      <c r="AA541" s="17" t="s">
        <v>237</v>
      </c>
      <c r="AB541" s="17" t="s">
        <v>41</v>
      </c>
      <c r="AC541" s="0" t="str">
        <f aca="false">LEFT(G541,2)</f>
        <v>42</v>
      </c>
      <c r="AD541" s="0"/>
      <c r="AE541" s="21" t="s">
        <v>238</v>
      </c>
    </row>
    <row r="542" customFormat="false" ht="15" hidden="false" customHeight="false" outlineLevel="0" collapsed="false">
      <c r="A542" s="13" t="n">
        <f aca="false">1+A541</f>
        <v>540</v>
      </c>
      <c r="B542" s="14" t="n">
        <v>1009585317</v>
      </c>
      <c r="C542" s="15" t="s">
        <v>139</v>
      </c>
      <c r="D542" s="16" t="s">
        <v>64</v>
      </c>
      <c r="E542" s="17" t="s">
        <v>47</v>
      </c>
      <c r="F542" s="18" t="s">
        <v>34</v>
      </c>
      <c r="G542" s="19" t="n">
        <v>429232132564</v>
      </c>
      <c r="H542" s="17" t="s">
        <v>35</v>
      </c>
      <c r="I542" s="17" t="s">
        <v>82</v>
      </c>
      <c r="J542" s="17" t="s">
        <v>133</v>
      </c>
      <c r="K542" s="17" t="str">
        <f aca="false">VLOOKUP(J542,Sheet2!A:B,2,0)</f>
        <v>AKASH BAROT</v>
      </c>
      <c r="L542" s="17" t="n">
        <v>1</v>
      </c>
      <c r="M542" s="17" t="str">
        <f aca="false">VLOOKUP(L542,Sheet2!D:E,2,0)</f>
        <v>Power Supply Section</v>
      </c>
      <c r="N542" s="17" t="n">
        <v>1</v>
      </c>
      <c r="O542" s="17" t="str">
        <f aca="false">VLOOKUP(N542,Sheet2!G:H,2,0)</f>
        <v>Dead</v>
      </c>
      <c r="P542" s="17" t="n">
        <v>12</v>
      </c>
      <c r="Q542" s="17" t="str">
        <f aca="false">VLOOKUP(P542,Sheet2!J:K,2,0)</f>
        <v>IR Declared due to Others ( IR Normal)TB</v>
      </c>
      <c r="R542" s="17" t="s">
        <v>35</v>
      </c>
      <c r="S542" s="17" t="str">
        <f aca="false">VLOOKUP(R542,Sheet2!N:O,2,0)</f>
        <v>IREPARABLE</v>
      </c>
      <c r="T542" s="18" t="str">
        <f aca="false">VLOOKUP(P542,Sheet2!Q:R,2,0)</f>
        <v>IR Normal - BER to IR</v>
      </c>
      <c r="U542" s="18" t="s">
        <v>101</v>
      </c>
      <c r="V542" s="17" t="n">
        <v>8</v>
      </c>
      <c r="W542" s="20" t="str">
        <f aca="false">VLOOKUP(V542,Sheet2!Q:R,2,0)</f>
        <v>IR Normal -TrackRust/InternalDamage/open</v>
      </c>
      <c r="X542" s="17" t="str">
        <f aca="false">J542</f>
        <v>A009</v>
      </c>
      <c r="Y542" s="17" t="str">
        <f aca="false">VLOOKUP(X542,Sheet2!A:B,2,0)</f>
        <v>AKASH BAROT</v>
      </c>
      <c r="Z542" s="17" t="s">
        <v>303</v>
      </c>
      <c r="AA542" s="17" t="s">
        <v>237</v>
      </c>
      <c r="AB542" s="17" t="s">
        <v>41</v>
      </c>
      <c r="AC542" s="0" t="str">
        <f aca="false">LEFT(G542,2)</f>
        <v>42</v>
      </c>
      <c r="AD542" s="0"/>
      <c r="AE542" s="21" t="s">
        <v>238</v>
      </c>
    </row>
    <row r="543" customFormat="false" ht="15" hidden="false" customHeight="false" outlineLevel="0" collapsed="false">
      <c r="A543" s="13" t="n">
        <f aca="false">1+A542</f>
        <v>541</v>
      </c>
      <c r="B543" s="14" t="n">
        <v>1009330984</v>
      </c>
      <c r="C543" s="15" t="s">
        <v>59</v>
      </c>
      <c r="D543" s="16" t="s">
        <v>359</v>
      </c>
      <c r="E543" s="17" t="s">
        <v>114</v>
      </c>
      <c r="F543" s="18" t="s">
        <v>34</v>
      </c>
      <c r="G543" s="19" t="n">
        <v>429243294742</v>
      </c>
      <c r="H543" s="17" t="s">
        <v>35</v>
      </c>
      <c r="I543" s="17" t="s">
        <v>82</v>
      </c>
      <c r="J543" s="17" t="s">
        <v>111</v>
      </c>
      <c r="K543" s="17" t="str">
        <f aca="false">VLOOKUP(J543,Sheet2!A:B,2,0)</f>
        <v>NITIN PRANAMI</v>
      </c>
      <c r="L543" s="17" t="n">
        <v>2</v>
      </c>
      <c r="M543" s="17" t="str">
        <f aca="false">VLOOKUP(L543,Sheet2!D:E,2,0)</f>
        <v>Tuner Section</v>
      </c>
      <c r="N543" s="17" t="n">
        <v>6</v>
      </c>
      <c r="O543" s="17" t="str">
        <f aca="false">VLOOKUP(N543,Sheet2!G:H,2,0)</f>
        <v>No Signal</v>
      </c>
      <c r="P543" s="17" t="n">
        <v>11</v>
      </c>
      <c r="Q543" s="17" t="str">
        <f aca="false">VLOOKUP(P543,Sheet2!J:K,2,0)</f>
        <v>IR Declared due to CID -TA</v>
      </c>
      <c r="R543" s="17" t="s">
        <v>35</v>
      </c>
      <c r="S543" s="17" t="str">
        <f aca="false">VLOOKUP(R543,Sheet2!N:O,2,0)</f>
        <v>IREPARABLE</v>
      </c>
      <c r="T543" s="18" t="str">
        <f aca="false">VLOOKUP(P543,Sheet2!Q:R,2,0)</f>
        <v>IR Normal - Track burn out</v>
      </c>
      <c r="U543" s="18" t="s">
        <v>122</v>
      </c>
      <c r="V543" s="17" t="n">
        <v>2</v>
      </c>
      <c r="W543" s="20" t="str">
        <f aca="false">VLOOKUP(V543,Sheet2!Q:R,2,0)</f>
        <v>IR CID -  Water log from other area</v>
      </c>
      <c r="X543" s="17" t="str">
        <f aca="false">J543</f>
        <v>A031</v>
      </c>
      <c r="Y543" s="17" t="str">
        <f aca="false">VLOOKUP(X543,Sheet2!A:B,2,0)</f>
        <v>NITIN PRANAMI</v>
      </c>
      <c r="Z543" s="17" t="s">
        <v>303</v>
      </c>
      <c r="AA543" s="17" t="s">
        <v>237</v>
      </c>
      <c r="AB543" s="17" t="s">
        <v>41</v>
      </c>
      <c r="AC543" s="0" t="str">
        <f aca="false">LEFT(G543,2)</f>
        <v>42</v>
      </c>
      <c r="AD543" s="0"/>
      <c r="AE543" s="21" t="s">
        <v>238</v>
      </c>
    </row>
    <row r="544" customFormat="false" ht="15" hidden="false" customHeight="false" outlineLevel="0" collapsed="false">
      <c r="A544" s="13" t="n">
        <f aca="false">1+A543</f>
        <v>542</v>
      </c>
      <c r="B544" s="14" t="n">
        <v>1009608498</v>
      </c>
      <c r="C544" s="15" t="s">
        <v>181</v>
      </c>
      <c r="D544" s="16" t="s">
        <v>190</v>
      </c>
      <c r="E544" s="17" t="s">
        <v>47</v>
      </c>
      <c r="F544" s="18" t="s">
        <v>34</v>
      </c>
      <c r="G544" s="19" t="n">
        <v>879096137903</v>
      </c>
      <c r="H544" s="17" t="s">
        <v>35</v>
      </c>
      <c r="I544" s="17" t="s">
        <v>79</v>
      </c>
      <c r="J544" s="17" t="s">
        <v>111</v>
      </c>
      <c r="K544" s="17" t="str">
        <f aca="false">VLOOKUP(J544,Sheet2!A:B,2,0)</f>
        <v>NITIN PRANAMI</v>
      </c>
      <c r="L544" s="17" t="n">
        <v>1</v>
      </c>
      <c r="M544" s="17" t="str">
        <f aca="false">VLOOKUP(L544,Sheet2!D:E,2,0)</f>
        <v>Power Supply Section</v>
      </c>
      <c r="N544" s="17" t="n">
        <v>1</v>
      </c>
      <c r="O544" s="17" t="str">
        <f aca="false">VLOOKUP(N544,Sheet2!G:H,2,0)</f>
        <v>Dead</v>
      </c>
      <c r="P544" s="17" t="n">
        <v>12</v>
      </c>
      <c r="Q544" s="17" t="str">
        <f aca="false">VLOOKUP(P544,Sheet2!J:K,2,0)</f>
        <v>IR Declared due to Others ( IR Normal)TB</v>
      </c>
      <c r="R544" s="17" t="s">
        <v>35</v>
      </c>
      <c r="S544" s="17" t="str">
        <f aca="false">VLOOKUP(R544,Sheet2!N:O,2,0)</f>
        <v>IREPARABLE</v>
      </c>
      <c r="T544" s="18" t="s">
        <v>248</v>
      </c>
      <c r="U544" s="15" t="s">
        <v>38</v>
      </c>
      <c r="V544" s="17" t="n">
        <v>11</v>
      </c>
      <c r="W544" s="20" t="str">
        <f aca="false">VLOOKUP(V544,Sheet2!Q:R,2,0)</f>
        <v>IR Normal - Track burn out</v>
      </c>
      <c r="X544" s="17" t="str">
        <f aca="false">J544</f>
        <v>A031</v>
      </c>
      <c r="Y544" s="17" t="str">
        <f aca="false">VLOOKUP(X544,Sheet2!A:B,2,0)</f>
        <v>NITIN PRANAMI</v>
      </c>
      <c r="Z544" s="17" t="s">
        <v>302</v>
      </c>
      <c r="AA544" s="17" t="s">
        <v>237</v>
      </c>
      <c r="AB544" s="17" t="s">
        <v>41</v>
      </c>
      <c r="AC544" s="0" t="str">
        <f aca="false">LEFT(G544,2)</f>
        <v>87</v>
      </c>
      <c r="AD544" s="0"/>
      <c r="AE544" s="21" t="s">
        <v>238</v>
      </c>
    </row>
    <row r="545" customFormat="false" ht="15" hidden="false" customHeight="false" outlineLevel="0" collapsed="false">
      <c r="A545" s="13" t="n">
        <f aca="false">1+A544</f>
        <v>543</v>
      </c>
      <c r="B545" s="14" t="n">
        <v>1009575997</v>
      </c>
      <c r="C545" s="15" t="s">
        <v>104</v>
      </c>
      <c r="D545" s="16" t="s">
        <v>64</v>
      </c>
      <c r="E545" s="17" t="s">
        <v>148</v>
      </c>
      <c r="F545" s="18" t="s">
        <v>34</v>
      </c>
      <c r="G545" s="19" t="n">
        <v>879236268873</v>
      </c>
      <c r="H545" s="17" t="s">
        <v>35</v>
      </c>
      <c r="I545" s="17" t="s">
        <v>79</v>
      </c>
      <c r="J545" s="17" t="s">
        <v>241</v>
      </c>
      <c r="K545" s="17" t="str">
        <f aca="false">VLOOKUP(J545,Sheet2!A:B,2,0)</f>
        <v>NILESH NAGAR</v>
      </c>
      <c r="L545" s="17" t="n">
        <v>5</v>
      </c>
      <c r="M545" s="17" t="str">
        <f aca="false">VLOOKUP(L545,Sheet2!D:E,2,0)</f>
        <v>Main Processor CPU BGA</v>
      </c>
      <c r="N545" s="17" t="n">
        <v>1</v>
      </c>
      <c r="O545" s="17" t="str">
        <f aca="false">VLOOKUP(N545,Sheet2!G:H,2,0)</f>
        <v>Dead</v>
      </c>
      <c r="P545" s="17" t="n">
        <v>11</v>
      </c>
      <c r="Q545" s="17" t="str">
        <f aca="false">VLOOKUP(P545,Sheet2!J:K,2,0)</f>
        <v>IR Declared due to CID -TA</v>
      </c>
      <c r="R545" s="17" t="s">
        <v>35</v>
      </c>
      <c r="S545" s="17" t="str">
        <f aca="false">VLOOKUP(R545,Sheet2!N:O,2,0)</f>
        <v>IREPARABLE</v>
      </c>
      <c r="T545" s="18" t="str">
        <f aca="false">VLOOKUP(P545,Sheet2!Q:R,2,0)</f>
        <v>IR Normal - Track burn out</v>
      </c>
      <c r="U545" s="18" t="s">
        <v>122</v>
      </c>
      <c r="V545" s="17" t="n">
        <v>2</v>
      </c>
      <c r="W545" s="20" t="str">
        <f aca="false">VLOOKUP(V545,Sheet2!Q:R,2,0)</f>
        <v>IR CID -  Water log from other area</v>
      </c>
      <c r="X545" s="17" t="str">
        <f aca="false">J545</f>
        <v>A008</v>
      </c>
      <c r="Y545" s="17" t="str">
        <f aca="false">VLOOKUP(X545,Sheet2!A:B,2,0)</f>
        <v>NILESH NAGAR</v>
      </c>
      <c r="Z545" s="17" t="s">
        <v>360</v>
      </c>
      <c r="AA545" s="17" t="s">
        <v>237</v>
      </c>
      <c r="AB545" s="17" t="s">
        <v>41</v>
      </c>
      <c r="AC545" s="0" t="str">
        <f aca="false">LEFT(G545,2)</f>
        <v>87</v>
      </c>
      <c r="AD545" s="0"/>
      <c r="AE545" s="21" t="s">
        <v>238</v>
      </c>
    </row>
    <row r="546" customFormat="false" ht="15" hidden="false" customHeight="false" outlineLevel="0" collapsed="false">
      <c r="A546" s="13" t="n">
        <f aca="false">1+A545</f>
        <v>544</v>
      </c>
      <c r="B546" s="14" t="n">
        <v>1009578674</v>
      </c>
      <c r="C546" s="15" t="s">
        <v>139</v>
      </c>
      <c r="D546" s="16" t="s">
        <v>64</v>
      </c>
      <c r="E546" s="17" t="s">
        <v>148</v>
      </c>
      <c r="F546" s="18" t="s">
        <v>34</v>
      </c>
      <c r="G546" s="19" t="n">
        <v>879002157367</v>
      </c>
      <c r="H546" s="17" t="s">
        <v>35</v>
      </c>
      <c r="I546" s="17" t="s">
        <v>79</v>
      </c>
      <c r="J546" s="17" t="s">
        <v>111</v>
      </c>
      <c r="K546" s="17" t="str">
        <f aca="false">VLOOKUP(J546,Sheet2!A:B,2,0)</f>
        <v>NITIN PRANAMI</v>
      </c>
      <c r="L546" s="17" t="n">
        <v>3</v>
      </c>
      <c r="M546" s="17" t="str">
        <f aca="false">VLOOKUP(L546,Sheet2!D:E,2,0)</f>
        <v>Video Section</v>
      </c>
      <c r="N546" s="17" t="n">
        <v>16</v>
      </c>
      <c r="O546" s="17" t="str">
        <f aca="false">VLOOKUP(N546,Sheet2!G:H,2,0)</f>
        <v>No Video - HDMI</v>
      </c>
      <c r="P546" s="17" t="n">
        <v>12</v>
      </c>
      <c r="Q546" s="17" t="str">
        <f aca="false">VLOOKUP(P546,Sheet2!J:K,2,0)</f>
        <v>IR Declared due to Others ( IR Normal)TB</v>
      </c>
      <c r="R546" s="17" t="s">
        <v>35</v>
      </c>
      <c r="S546" s="17" t="str">
        <f aca="false">VLOOKUP(R546,Sheet2!N:O,2,0)</f>
        <v>IREPARABLE</v>
      </c>
      <c r="T546" s="18" t="s">
        <v>248</v>
      </c>
      <c r="U546" s="15" t="s">
        <v>38</v>
      </c>
      <c r="V546" s="17" t="n">
        <v>11</v>
      </c>
      <c r="W546" s="20" t="str">
        <f aca="false">VLOOKUP(V546,Sheet2!Q:R,2,0)</f>
        <v>IR Normal - Track burn out</v>
      </c>
      <c r="X546" s="17" t="str">
        <f aca="false">J546</f>
        <v>A031</v>
      </c>
      <c r="Y546" s="17" t="str">
        <f aca="false">VLOOKUP(X546,Sheet2!A:B,2,0)</f>
        <v>NITIN PRANAMI</v>
      </c>
      <c r="Z546" s="17" t="s">
        <v>361</v>
      </c>
      <c r="AA546" s="17" t="s">
        <v>237</v>
      </c>
      <c r="AB546" s="17" t="s">
        <v>41</v>
      </c>
      <c r="AC546" s="0" t="str">
        <f aca="false">LEFT(G546,2)</f>
        <v>87</v>
      </c>
      <c r="AD546" s="0"/>
      <c r="AE546" s="21" t="s">
        <v>238</v>
      </c>
    </row>
    <row r="547" customFormat="false" ht="15" hidden="false" customHeight="false" outlineLevel="0" collapsed="false">
      <c r="A547" s="13" t="n">
        <f aca="false">1+A546</f>
        <v>545</v>
      </c>
      <c r="B547" s="14" t="n">
        <v>1009587413</v>
      </c>
      <c r="C547" s="15" t="s">
        <v>181</v>
      </c>
      <c r="D547" s="16" t="s">
        <v>64</v>
      </c>
      <c r="E547" s="17" t="s">
        <v>47</v>
      </c>
      <c r="F547" s="18" t="s">
        <v>34</v>
      </c>
      <c r="G547" s="19" t="n">
        <v>878152151071</v>
      </c>
      <c r="H547" s="17" t="s">
        <v>35</v>
      </c>
      <c r="I547" s="17" t="s">
        <v>79</v>
      </c>
      <c r="J547" s="17" t="s">
        <v>289</v>
      </c>
      <c r="K547" s="17" t="str">
        <f aca="false">VLOOKUP(J547,Sheet2!A:B,2,0)</f>
        <v>AJAY KOSHTI</v>
      </c>
      <c r="L547" s="17" t="n">
        <v>1</v>
      </c>
      <c r="M547" s="17" t="str">
        <f aca="false">VLOOKUP(L547,Sheet2!D:E,2,0)</f>
        <v>Power Supply Section</v>
      </c>
      <c r="N547" s="17" t="n">
        <v>1</v>
      </c>
      <c r="O547" s="17" t="str">
        <f aca="false">VLOOKUP(N547,Sheet2!G:H,2,0)</f>
        <v>Dead</v>
      </c>
      <c r="P547" s="17" t="n">
        <v>12</v>
      </c>
      <c r="Q547" s="17" t="str">
        <f aca="false">VLOOKUP(P547,Sheet2!J:K,2,0)</f>
        <v>IR Declared due to Others ( IR Normal)TB</v>
      </c>
      <c r="R547" s="17" t="s">
        <v>35</v>
      </c>
      <c r="S547" s="17" t="str">
        <f aca="false">VLOOKUP(R547,Sheet2!N:O,2,0)</f>
        <v>IREPARABLE</v>
      </c>
      <c r="T547" s="18" t="str">
        <f aca="false">VLOOKUP(P547,Sheet2!Q:R,2,0)</f>
        <v>IR Normal - BER to IR</v>
      </c>
      <c r="U547" s="18" t="s">
        <v>101</v>
      </c>
      <c r="V547" s="17" t="n">
        <v>8</v>
      </c>
      <c r="W547" s="20" t="str">
        <f aca="false">VLOOKUP(V547,Sheet2!Q:R,2,0)</f>
        <v>IR Normal -TrackRust/InternalDamage/open</v>
      </c>
      <c r="X547" s="17" t="str">
        <f aca="false">J547</f>
        <v>A051</v>
      </c>
      <c r="Y547" s="17" t="str">
        <f aca="false">VLOOKUP(X547,Sheet2!A:B,2,0)</f>
        <v>AJAY KOSHTI</v>
      </c>
      <c r="Z547" s="17" t="s">
        <v>361</v>
      </c>
      <c r="AA547" s="17" t="s">
        <v>237</v>
      </c>
      <c r="AB547" s="17" t="s">
        <v>41</v>
      </c>
      <c r="AC547" s="0" t="str">
        <f aca="false">LEFT(G547,2)</f>
        <v>87</v>
      </c>
      <c r="AD547" s="0"/>
      <c r="AE547" s="21" t="s">
        <v>238</v>
      </c>
    </row>
    <row r="548" customFormat="false" ht="15" hidden="false" customHeight="false" outlineLevel="0" collapsed="false">
      <c r="A548" s="13" t="n">
        <f aca="false">1+A547</f>
        <v>546</v>
      </c>
      <c r="B548" s="14" t="n">
        <v>1009576297</v>
      </c>
      <c r="C548" s="15" t="s">
        <v>104</v>
      </c>
      <c r="D548" s="16" t="s">
        <v>195</v>
      </c>
      <c r="E548" s="17" t="s">
        <v>176</v>
      </c>
      <c r="F548" s="18" t="s">
        <v>34</v>
      </c>
      <c r="G548" s="19" t="n">
        <v>167315912417</v>
      </c>
      <c r="H548" s="17" t="s">
        <v>35</v>
      </c>
      <c r="I548" s="17" t="s">
        <v>76</v>
      </c>
      <c r="J548" s="17" t="s">
        <v>118</v>
      </c>
      <c r="K548" s="17" t="str">
        <f aca="false">VLOOKUP(J548,Sheet2!A:B,2,0)</f>
        <v>DEVENDRA RAJPUT</v>
      </c>
      <c r="L548" s="17" t="n">
        <v>2</v>
      </c>
      <c r="M548" s="17" t="str">
        <f aca="false">VLOOKUP(L548,Sheet2!D:E,2,0)</f>
        <v>Tuner Section</v>
      </c>
      <c r="N548" s="17" t="n">
        <v>6</v>
      </c>
      <c r="O548" s="17" t="str">
        <f aca="false">VLOOKUP(N548,Sheet2!G:H,2,0)</f>
        <v>No Signal</v>
      </c>
      <c r="P548" s="17" t="n">
        <v>11</v>
      </c>
      <c r="Q548" s="17" t="str">
        <f aca="false">VLOOKUP(P548,Sheet2!J:K,2,0)</f>
        <v>IR Declared due to CID -TA</v>
      </c>
      <c r="R548" s="17" t="s">
        <v>35</v>
      </c>
      <c r="S548" s="17" t="str">
        <f aca="false">VLOOKUP(R548,Sheet2!N:O,2,0)</f>
        <v>IREPARABLE</v>
      </c>
      <c r="T548" s="18" t="str">
        <f aca="false">VLOOKUP(P548,Sheet2!Q:R,2,0)</f>
        <v>IR Normal - Track burn out</v>
      </c>
      <c r="U548" s="18" t="s">
        <v>122</v>
      </c>
      <c r="V548" s="17" t="n">
        <v>2</v>
      </c>
      <c r="W548" s="20" t="str">
        <f aca="false">VLOOKUP(V548,Sheet2!Q:R,2,0)</f>
        <v>IR CID -  Water log from other area</v>
      </c>
      <c r="X548" s="17" t="str">
        <f aca="false">J548</f>
        <v>A053</v>
      </c>
      <c r="Y548" s="17" t="str">
        <f aca="false">VLOOKUP(X548,Sheet2!A:B,2,0)</f>
        <v>DEVENDRA RAJPUT</v>
      </c>
      <c r="Z548" s="17" t="s">
        <v>362</v>
      </c>
      <c r="AA548" s="17" t="s">
        <v>237</v>
      </c>
      <c r="AB548" s="17" t="s">
        <v>41</v>
      </c>
      <c r="AC548" s="0" t="str">
        <f aca="false">LEFT(G548,2)</f>
        <v>16</v>
      </c>
      <c r="AD548" s="0"/>
      <c r="AE548" s="21" t="s">
        <v>238</v>
      </c>
    </row>
    <row r="549" customFormat="false" ht="15" hidden="false" customHeight="false" outlineLevel="0" collapsed="false">
      <c r="A549" s="13" t="n">
        <f aca="false">1+A548</f>
        <v>547</v>
      </c>
      <c r="B549" s="14" t="n">
        <v>1009572219</v>
      </c>
      <c r="C549" s="15" t="s">
        <v>104</v>
      </c>
      <c r="D549" s="16" t="s">
        <v>32</v>
      </c>
      <c r="E549" s="17" t="s">
        <v>255</v>
      </c>
      <c r="F549" s="18" t="s">
        <v>34</v>
      </c>
      <c r="G549" s="19" t="n">
        <v>167193964373</v>
      </c>
      <c r="H549" s="17" t="s">
        <v>35</v>
      </c>
      <c r="I549" s="17" t="s">
        <v>76</v>
      </c>
      <c r="J549" s="17" t="s">
        <v>100</v>
      </c>
      <c r="K549" s="17" t="str">
        <f aca="false">VLOOKUP(J549,Sheet2!A:B,2,0)</f>
        <v>PIYUSH CHAVDA</v>
      </c>
      <c r="L549" s="17" t="n">
        <v>5</v>
      </c>
      <c r="M549" s="17" t="str">
        <f aca="false">VLOOKUP(L549,Sheet2!D:E,2,0)</f>
        <v>Main Processor CPU BGA</v>
      </c>
      <c r="N549" s="17" t="n">
        <v>1</v>
      </c>
      <c r="O549" s="17" t="str">
        <f aca="false">VLOOKUP(N549,Sheet2!G:H,2,0)</f>
        <v>Dead</v>
      </c>
      <c r="P549" s="17" t="n">
        <v>12</v>
      </c>
      <c r="Q549" s="17" t="str">
        <f aca="false">VLOOKUP(P549,Sheet2!J:K,2,0)</f>
        <v>IR Declared due to Others ( IR Normal)TB</v>
      </c>
      <c r="R549" s="17" t="s">
        <v>35</v>
      </c>
      <c r="S549" s="17" t="str">
        <f aca="false">VLOOKUP(R549,Sheet2!N:O,2,0)</f>
        <v>IREPARABLE</v>
      </c>
      <c r="T549" s="18" t="str">
        <f aca="false">VLOOKUP(P549,Sheet2!Q:R,2,0)</f>
        <v>IR Normal - BER to IR</v>
      </c>
      <c r="U549" s="18" t="s">
        <v>101</v>
      </c>
      <c r="V549" s="17" t="n">
        <v>8</v>
      </c>
      <c r="W549" s="20" t="str">
        <f aca="false">VLOOKUP(V549,Sheet2!Q:R,2,0)</f>
        <v>IR Normal -TrackRust/InternalDamage/open</v>
      </c>
      <c r="X549" s="17" t="str">
        <f aca="false">J549</f>
        <v>A050</v>
      </c>
      <c r="Y549" s="17" t="str">
        <f aca="false">VLOOKUP(X549,Sheet2!A:B,2,0)</f>
        <v>PIYUSH CHAVDA</v>
      </c>
      <c r="Z549" s="17" t="s">
        <v>362</v>
      </c>
      <c r="AA549" s="17" t="s">
        <v>237</v>
      </c>
      <c r="AB549" s="17" t="s">
        <v>41</v>
      </c>
      <c r="AC549" s="0" t="str">
        <f aca="false">LEFT(G549,2)</f>
        <v>16</v>
      </c>
      <c r="AD549" s="0"/>
      <c r="AE549" s="21" t="s">
        <v>238</v>
      </c>
    </row>
    <row r="550" customFormat="false" ht="15" hidden="false" customHeight="false" outlineLevel="0" collapsed="false">
      <c r="A550" s="13" t="n">
        <f aca="false">1+A549</f>
        <v>548</v>
      </c>
      <c r="B550" s="14" t="n">
        <v>1009550701</v>
      </c>
      <c r="C550" s="15" t="s">
        <v>126</v>
      </c>
      <c r="D550" s="16" t="s">
        <v>113</v>
      </c>
      <c r="E550" s="17" t="s">
        <v>47</v>
      </c>
      <c r="F550" s="18" t="s">
        <v>34</v>
      </c>
      <c r="G550" s="19" t="n">
        <v>169118184905</v>
      </c>
      <c r="H550" s="17" t="s">
        <v>35</v>
      </c>
      <c r="I550" s="17" t="s">
        <v>76</v>
      </c>
      <c r="J550" s="17" t="s">
        <v>252</v>
      </c>
      <c r="K550" s="17" t="str">
        <f aca="false">VLOOKUP(J550,Sheet2!A:B,2,0)</f>
        <v>TAKHAT SOLANKI</v>
      </c>
      <c r="L550" s="17" t="n">
        <v>5</v>
      </c>
      <c r="M550" s="17" t="str">
        <f aca="false">VLOOKUP(L550,Sheet2!D:E,2,0)</f>
        <v>Main Processor CPU BGA</v>
      </c>
      <c r="N550" s="17" t="n">
        <v>24</v>
      </c>
      <c r="O550" s="17" t="str">
        <f aca="false">VLOOKUP(N550,Sheet2!G:H,2,0)</f>
        <v>STB Auto moving -Stand by mode</v>
      </c>
      <c r="P550" s="17" t="n">
        <v>12</v>
      </c>
      <c r="Q550" s="17" t="str">
        <f aca="false">VLOOKUP(P550,Sheet2!J:K,2,0)</f>
        <v>IR Declared due to Others ( IR Normal)TB</v>
      </c>
      <c r="R550" s="17" t="s">
        <v>35</v>
      </c>
      <c r="S550" s="17" t="str">
        <f aca="false">VLOOKUP(R550,Sheet2!N:O,2,0)</f>
        <v>IREPARABLE</v>
      </c>
      <c r="T550" s="18" t="str">
        <f aca="false">VLOOKUP(P550,Sheet2!Q:R,2,0)</f>
        <v>IR Normal - BER to IR</v>
      </c>
      <c r="U550" s="18" t="s">
        <v>101</v>
      </c>
      <c r="V550" s="17" t="n">
        <v>8</v>
      </c>
      <c r="W550" s="20" t="str">
        <f aca="false">VLOOKUP(V550,Sheet2!Q:R,2,0)</f>
        <v>IR Normal -TrackRust/InternalDamage/open</v>
      </c>
      <c r="X550" s="17" t="str">
        <f aca="false">J550</f>
        <v>A006</v>
      </c>
      <c r="Y550" s="17" t="str">
        <f aca="false">VLOOKUP(X550,Sheet2!A:B,2,0)</f>
        <v>TAKHAT SOLANKI</v>
      </c>
      <c r="Z550" s="17" t="s">
        <v>363</v>
      </c>
      <c r="AA550" s="17" t="s">
        <v>237</v>
      </c>
      <c r="AB550" s="17" t="s">
        <v>41</v>
      </c>
      <c r="AC550" s="0" t="str">
        <f aca="false">LEFT(G550,2)</f>
        <v>16</v>
      </c>
      <c r="AD550" s="0"/>
      <c r="AE550" s="21" t="s">
        <v>238</v>
      </c>
    </row>
    <row r="551" customFormat="false" ht="15" hidden="false" customHeight="false" outlineLevel="0" collapsed="false">
      <c r="A551" s="13" t="n">
        <f aca="false">1+A550</f>
        <v>549</v>
      </c>
      <c r="B551" s="14" t="n">
        <v>1009452339</v>
      </c>
      <c r="C551" s="15" t="s">
        <v>212</v>
      </c>
      <c r="D551" s="16" t="s">
        <v>64</v>
      </c>
      <c r="E551" s="17" t="s">
        <v>47</v>
      </c>
      <c r="F551" s="18" t="s">
        <v>34</v>
      </c>
      <c r="G551" s="19" t="n">
        <v>987195131394</v>
      </c>
      <c r="H551" s="17" t="s">
        <v>35</v>
      </c>
      <c r="I551" s="17" t="s">
        <v>44</v>
      </c>
      <c r="J551" s="17" t="s">
        <v>106</v>
      </c>
      <c r="K551" s="17" t="str">
        <f aca="false">VLOOKUP(J551,Sheet2!A:B,2,0)</f>
        <v>PRAKASH CHAVDA</v>
      </c>
      <c r="L551" s="17" t="n">
        <v>7</v>
      </c>
      <c r="M551" s="17" t="str">
        <f aca="false">VLOOKUP(L551,Sheet2!D:E,2,0)</f>
        <v>Card Reader Section</v>
      </c>
      <c r="N551" s="17" t="n">
        <v>36</v>
      </c>
      <c r="O551" s="17" t="str">
        <f aca="false">VLOOKUP(N551,Sheet2!G:H,2,0)</f>
        <v>Error -1</v>
      </c>
      <c r="P551" s="17" t="n">
        <v>12</v>
      </c>
      <c r="Q551" s="17" t="str">
        <f aca="false">VLOOKUP(P551,Sheet2!J:K,2,0)</f>
        <v>IR Declared due to Others ( IR Normal)TB</v>
      </c>
      <c r="R551" s="17" t="s">
        <v>35</v>
      </c>
      <c r="S551" s="17" t="str">
        <f aca="false">VLOOKUP(R551,Sheet2!N:O,2,0)</f>
        <v>IREPARABLE</v>
      </c>
      <c r="T551" s="18" t="s">
        <v>248</v>
      </c>
      <c r="U551" s="15" t="s">
        <v>38</v>
      </c>
      <c r="V551" s="17" t="n">
        <v>11</v>
      </c>
      <c r="W551" s="20" t="str">
        <f aca="false">VLOOKUP(V551,Sheet2!Q:R,2,0)</f>
        <v>IR Normal - Track burn out</v>
      </c>
      <c r="X551" s="17" t="str">
        <f aca="false">J551</f>
        <v>A018</v>
      </c>
      <c r="Y551" s="17" t="str">
        <f aca="false">VLOOKUP(X551,Sheet2!A:B,2,0)</f>
        <v>PRAKASH CHAVDA</v>
      </c>
      <c r="Z551" s="17" t="s">
        <v>125</v>
      </c>
      <c r="AA551" s="17" t="s">
        <v>237</v>
      </c>
      <c r="AB551" s="17" t="s">
        <v>41</v>
      </c>
      <c r="AC551" s="0" t="str">
        <f aca="false">LEFT(G551,2)</f>
        <v>98</v>
      </c>
      <c r="AD551" s="0"/>
      <c r="AE551" s="21" t="s">
        <v>238</v>
      </c>
    </row>
    <row r="552" customFormat="false" ht="15" hidden="false" customHeight="false" outlineLevel="0" collapsed="false">
      <c r="A552" s="13" t="n">
        <f aca="false">1+A551</f>
        <v>550</v>
      </c>
      <c r="B552" s="14" t="n">
        <v>1009611366</v>
      </c>
      <c r="C552" s="15" t="s">
        <v>181</v>
      </c>
      <c r="D552" s="16" t="s">
        <v>64</v>
      </c>
      <c r="E552" s="17" t="s">
        <v>64</v>
      </c>
      <c r="F552" s="18" t="s">
        <v>70</v>
      </c>
      <c r="G552" s="19" t="n">
        <v>985299165151</v>
      </c>
      <c r="H552" s="17" t="s">
        <v>35</v>
      </c>
      <c r="I552" s="17" t="s">
        <v>44</v>
      </c>
      <c r="J552" s="17" t="s">
        <v>239</v>
      </c>
      <c r="K552" s="17" t="str">
        <f aca="false">VLOOKUP(J552,Sheet2!A:B,2,0)</f>
        <v>VASANT PARMAR</v>
      </c>
      <c r="L552" s="17" t="n">
        <v>5</v>
      </c>
      <c r="M552" s="17" t="str">
        <f aca="false">VLOOKUP(L552,Sheet2!D:E,2,0)</f>
        <v>Main Processor CPU BGA</v>
      </c>
      <c r="N552" s="17" t="n">
        <v>24</v>
      </c>
      <c r="O552" s="17" t="str">
        <f aca="false">VLOOKUP(N552,Sheet2!G:H,2,0)</f>
        <v>STB Auto moving -Stand by mode</v>
      </c>
      <c r="P552" s="17" t="n">
        <v>12</v>
      </c>
      <c r="Q552" s="17" t="str">
        <f aca="false">VLOOKUP(P552,Sheet2!J:K,2,0)</f>
        <v>IR Declared due to Others ( IR Normal)TB</v>
      </c>
      <c r="R552" s="17" t="s">
        <v>35</v>
      </c>
      <c r="S552" s="17" t="str">
        <f aca="false">VLOOKUP(R552,Sheet2!N:O,2,0)</f>
        <v>IREPARABLE</v>
      </c>
      <c r="T552" s="18" t="str">
        <f aca="false">VLOOKUP(P552,Sheet2!Q:R,2,0)</f>
        <v>IR Normal - BER to IR</v>
      </c>
      <c r="U552" s="18" t="s">
        <v>101</v>
      </c>
      <c r="V552" s="17" t="n">
        <v>8</v>
      </c>
      <c r="W552" s="20" t="str">
        <f aca="false">VLOOKUP(V552,Sheet2!Q:R,2,0)</f>
        <v>IR Normal -TrackRust/InternalDamage/open</v>
      </c>
      <c r="X552" s="17" t="str">
        <f aca="false">J552</f>
        <v>A005</v>
      </c>
      <c r="Y552" s="17" t="str">
        <f aca="false">VLOOKUP(X552,Sheet2!A:B,2,0)</f>
        <v>VASANT PARMAR</v>
      </c>
      <c r="Z552" s="17" t="s">
        <v>125</v>
      </c>
      <c r="AA552" s="17" t="s">
        <v>237</v>
      </c>
      <c r="AB552" s="17" t="s">
        <v>41</v>
      </c>
      <c r="AC552" s="0" t="str">
        <f aca="false">LEFT(G552,2)</f>
        <v>98</v>
      </c>
      <c r="AD552" s="0"/>
      <c r="AE552" s="21" t="s">
        <v>238</v>
      </c>
    </row>
    <row r="553" customFormat="false" ht="15" hidden="false" customHeight="false" outlineLevel="0" collapsed="false">
      <c r="A553" s="13" t="n">
        <f aca="false">1+A552</f>
        <v>551</v>
      </c>
      <c r="B553" s="14" t="n">
        <v>1009577189</v>
      </c>
      <c r="C553" s="15" t="s">
        <v>139</v>
      </c>
      <c r="D553" s="16" t="s">
        <v>142</v>
      </c>
      <c r="E553" s="17" t="s">
        <v>114</v>
      </c>
      <c r="F553" s="18" t="s">
        <v>34</v>
      </c>
      <c r="G553" s="19" t="n">
        <v>986021200717</v>
      </c>
      <c r="H553" s="17" t="s">
        <v>35</v>
      </c>
      <c r="I553" s="17" t="s">
        <v>44</v>
      </c>
      <c r="J553" s="17" t="s">
        <v>111</v>
      </c>
      <c r="K553" s="17" t="str">
        <f aca="false">VLOOKUP(J553,Sheet2!A:B,2,0)</f>
        <v>NITIN PRANAMI</v>
      </c>
      <c r="L553" s="17" t="n">
        <v>2</v>
      </c>
      <c r="M553" s="17" t="str">
        <f aca="false">VLOOKUP(L553,Sheet2!D:E,2,0)</f>
        <v>Tuner Section</v>
      </c>
      <c r="N553" s="17" t="n">
        <v>6</v>
      </c>
      <c r="O553" s="17" t="str">
        <f aca="false">VLOOKUP(N553,Sheet2!G:H,2,0)</f>
        <v>No Signal</v>
      </c>
      <c r="P553" s="17" t="n">
        <v>12</v>
      </c>
      <c r="Q553" s="17" t="str">
        <f aca="false">VLOOKUP(P553,Sheet2!J:K,2,0)</f>
        <v>IR Declared due to Others ( IR Normal)TB</v>
      </c>
      <c r="R553" s="17" t="s">
        <v>35</v>
      </c>
      <c r="S553" s="17" t="str">
        <f aca="false">VLOOKUP(R553,Sheet2!N:O,2,0)</f>
        <v>IREPARABLE</v>
      </c>
      <c r="T553" s="18" t="s">
        <v>248</v>
      </c>
      <c r="U553" s="15" t="s">
        <v>38</v>
      </c>
      <c r="V553" s="17" t="n">
        <v>11</v>
      </c>
      <c r="W553" s="20" t="str">
        <f aca="false">VLOOKUP(V553,Sheet2!Q:R,2,0)</f>
        <v>IR Normal - Track burn out</v>
      </c>
      <c r="X553" s="17" t="str">
        <f aca="false">J553</f>
        <v>A031</v>
      </c>
      <c r="Y553" s="17" t="str">
        <f aca="false">VLOOKUP(X553,Sheet2!A:B,2,0)</f>
        <v>NITIN PRANAMI</v>
      </c>
      <c r="Z553" s="17" t="s">
        <v>364</v>
      </c>
      <c r="AA553" s="17" t="s">
        <v>237</v>
      </c>
      <c r="AB553" s="17" t="s">
        <v>41</v>
      </c>
      <c r="AC553" s="0" t="str">
        <f aca="false">LEFT(G553,2)</f>
        <v>98</v>
      </c>
      <c r="AD553" s="0"/>
      <c r="AE553" s="21" t="s">
        <v>238</v>
      </c>
    </row>
    <row r="554" customFormat="false" ht="15" hidden="false" customHeight="false" outlineLevel="0" collapsed="false">
      <c r="A554" s="13" t="n">
        <f aca="false">1+A553</f>
        <v>552</v>
      </c>
      <c r="B554" s="14" t="n">
        <v>1009575411</v>
      </c>
      <c r="C554" s="15" t="s">
        <v>104</v>
      </c>
      <c r="D554" s="16" t="s">
        <v>64</v>
      </c>
      <c r="E554" s="17" t="s">
        <v>91</v>
      </c>
      <c r="F554" s="18" t="s">
        <v>92</v>
      </c>
      <c r="G554" s="19" t="n">
        <v>985300297051</v>
      </c>
      <c r="H554" s="17" t="s">
        <v>35</v>
      </c>
      <c r="I554" s="17" t="s">
        <v>44</v>
      </c>
      <c r="J554" s="17" t="s">
        <v>289</v>
      </c>
      <c r="K554" s="17" t="str">
        <f aca="false">VLOOKUP(J554,Sheet2!A:B,2,0)</f>
        <v>AJAY KOSHTI</v>
      </c>
      <c r="L554" s="17" t="n">
        <v>1</v>
      </c>
      <c r="M554" s="17" t="str">
        <f aca="false">VLOOKUP(L554,Sheet2!D:E,2,0)</f>
        <v>Power Supply Section</v>
      </c>
      <c r="N554" s="17" t="n">
        <v>1</v>
      </c>
      <c r="O554" s="17" t="str">
        <f aca="false">VLOOKUP(N554,Sheet2!G:H,2,0)</f>
        <v>Dead</v>
      </c>
      <c r="P554" s="17" t="n">
        <v>12</v>
      </c>
      <c r="Q554" s="17" t="str">
        <f aca="false">VLOOKUP(P554,Sheet2!J:K,2,0)</f>
        <v>IR Declared due to Others ( IR Normal)TB</v>
      </c>
      <c r="R554" s="17" t="s">
        <v>35</v>
      </c>
      <c r="S554" s="17" t="str">
        <f aca="false">VLOOKUP(R554,Sheet2!N:O,2,0)</f>
        <v>IREPARABLE</v>
      </c>
      <c r="T554" s="18" t="str">
        <f aca="false">VLOOKUP(P554,Sheet2!Q:R,2,0)</f>
        <v>IR Normal - BER to IR</v>
      </c>
      <c r="U554" s="18" t="s">
        <v>101</v>
      </c>
      <c r="V554" s="17" t="n">
        <v>8</v>
      </c>
      <c r="W554" s="20" t="str">
        <f aca="false">VLOOKUP(V554,Sheet2!Q:R,2,0)</f>
        <v>IR Normal -TrackRust/InternalDamage/open</v>
      </c>
      <c r="X554" s="17" t="str">
        <f aca="false">J554</f>
        <v>A051</v>
      </c>
      <c r="Y554" s="17" t="str">
        <f aca="false">VLOOKUP(X554,Sheet2!A:B,2,0)</f>
        <v>AJAY KOSHTI</v>
      </c>
      <c r="Z554" s="17" t="s">
        <v>294</v>
      </c>
      <c r="AA554" s="17" t="s">
        <v>237</v>
      </c>
      <c r="AB554" s="17" t="s">
        <v>41</v>
      </c>
      <c r="AC554" s="0" t="str">
        <f aca="false">LEFT(G554,2)</f>
        <v>98</v>
      </c>
      <c r="AD554" s="0"/>
      <c r="AE554" s="21" t="s">
        <v>238</v>
      </c>
    </row>
    <row r="555" customFormat="false" ht="15" hidden="false" customHeight="false" outlineLevel="0" collapsed="false">
      <c r="A555" s="13" t="n">
        <f aca="false">1+A554</f>
        <v>553</v>
      </c>
      <c r="B555" s="14" t="n">
        <v>1009573215</v>
      </c>
      <c r="C555" s="15" t="s">
        <v>104</v>
      </c>
      <c r="D555" s="16" t="s">
        <v>137</v>
      </c>
      <c r="E555" s="17" t="s">
        <v>91</v>
      </c>
      <c r="F555" s="18" t="s">
        <v>92</v>
      </c>
      <c r="G555" s="19" t="n">
        <v>985307356768</v>
      </c>
      <c r="H555" s="17" t="s">
        <v>35</v>
      </c>
      <c r="I555" s="17" t="s">
        <v>44</v>
      </c>
      <c r="J555" s="17" t="s">
        <v>111</v>
      </c>
      <c r="K555" s="17" t="str">
        <f aca="false">VLOOKUP(J555,Sheet2!A:B,2,0)</f>
        <v>NITIN PRANAMI</v>
      </c>
      <c r="L555" s="17" t="n">
        <v>2</v>
      </c>
      <c r="M555" s="17" t="str">
        <f aca="false">VLOOKUP(L555,Sheet2!D:E,2,0)</f>
        <v>Tuner Section</v>
      </c>
      <c r="N555" s="17" t="n">
        <v>6</v>
      </c>
      <c r="O555" s="17" t="str">
        <f aca="false">VLOOKUP(N555,Sheet2!G:H,2,0)</f>
        <v>No Signal</v>
      </c>
      <c r="P555" s="17" t="n">
        <v>12</v>
      </c>
      <c r="Q555" s="17" t="str">
        <f aca="false">VLOOKUP(P555,Sheet2!J:K,2,0)</f>
        <v>IR Declared due to Others ( IR Normal)TB</v>
      </c>
      <c r="R555" s="17" t="s">
        <v>35</v>
      </c>
      <c r="S555" s="17" t="str">
        <f aca="false">VLOOKUP(R555,Sheet2!N:O,2,0)</f>
        <v>IREPARABLE</v>
      </c>
      <c r="T555" s="18" t="str">
        <f aca="false">VLOOKUP(P555,Sheet2!Q:R,2,0)</f>
        <v>IR Normal - BER to IR</v>
      </c>
      <c r="U555" s="18" t="s">
        <v>101</v>
      </c>
      <c r="V555" s="17" t="n">
        <v>8</v>
      </c>
      <c r="W555" s="20" t="str">
        <f aca="false">VLOOKUP(V555,Sheet2!Q:R,2,0)</f>
        <v>IR Normal -TrackRust/InternalDamage/open</v>
      </c>
      <c r="X555" s="17" t="str">
        <f aca="false">J555</f>
        <v>A031</v>
      </c>
      <c r="Y555" s="17" t="str">
        <f aca="false">VLOOKUP(X555,Sheet2!A:B,2,0)</f>
        <v>NITIN PRANAMI</v>
      </c>
      <c r="Z555" s="17" t="s">
        <v>365</v>
      </c>
      <c r="AA555" s="17" t="s">
        <v>237</v>
      </c>
      <c r="AB555" s="17" t="s">
        <v>41</v>
      </c>
      <c r="AC555" s="0" t="str">
        <f aca="false">LEFT(G555,2)</f>
        <v>98</v>
      </c>
      <c r="AD555" s="0"/>
      <c r="AE555" s="21" t="s">
        <v>238</v>
      </c>
    </row>
    <row r="556" customFormat="false" ht="15" hidden="false" customHeight="false" outlineLevel="0" collapsed="false">
      <c r="A556" s="13" t="n">
        <f aca="false">1+A555</f>
        <v>554</v>
      </c>
      <c r="B556" s="14" t="n">
        <v>1009529402</v>
      </c>
      <c r="C556" s="15" t="s">
        <v>174</v>
      </c>
      <c r="D556" s="16" t="s">
        <v>131</v>
      </c>
      <c r="E556" s="17" t="s">
        <v>274</v>
      </c>
      <c r="F556" s="18" t="s">
        <v>34</v>
      </c>
      <c r="G556" s="19" t="n">
        <v>987296160946</v>
      </c>
      <c r="H556" s="17" t="s">
        <v>366</v>
      </c>
      <c r="I556" s="17" t="s">
        <v>44</v>
      </c>
      <c r="J556" s="17" t="s">
        <v>121</v>
      </c>
      <c r="K556" s="17" t="str">
        <f aca="false">VLOOKUP(J556,Sheet2!A:B,2,0)</f>
        <v>SHANI GOHIL</v>
      </c>
      <c r="L556" s="17" t="n">
        <v>1</v>
      </c>
      <c r="M556" s="17" t="str">
        <f aca="false">VLOOKUP(L556,Sheet2!D:E,2,0)</f>
        <v>Power Supply Section</v>
      </c>
      <c r="N556" s="17" t="n">
        <v>2</v>
      </c>
      <c r="O556" s="17" t="str">
        <f aca="false">VLOOKUP(N556,Sheet2!G:H,2,0)</f>
        <v>Dead Intermittent</v>
      </c>
      <c r="P556" s="17" t="n">
        <v>12</v>
      </c>
      <c r="Q556" s="17" t="str">
        <f aca="false">VLOOKUP(P556,Sheet2!J:K,2,0)</f>
        <v>IR Declared due to Others ( IR Normal)TB</v>
      </c>
      <c r="R556" s="17" t="s">
        <v>35</v>
      </c>
      <c r="S556" s="17" t="str">
        <f aca="false">VLOOKUP(R556,Sheet2!N:O,2,0)</f>
        <v>IREPARABLE</v>
      </c>
      <c r="T556" s="18" t="str">
        <f aca="false">VLOOKUP(P556,Sheet2!Q:R,2,0)</f>
        <v>IR Normal - BER to IR</v>
      </c>
      <c r="U556" s="18" t="s">
        <v>101</v>
      </c>
      <c r="V556" s="17" t="n">
        <v>8</v>
      </c>
      <c r="W556" s="20" t="str">
        <f aca="false">VLOOKUP(V556,Sheet2!Q:R,2,0)</f>
        <v>IR Normal -TrackRust/InternalDamage/open</v>
      </c>
      <c r="X556" s="17" t="str">
        <f aca="false">J556</f>
        <v>A063</v>
      </c>
      <c r="Y556" s="17" t="str">
        <f aca="false">VLOOKUP(X556,Sheet2!A:B,2,0)</f>
        <v>SHANI GOHIL</v>
      </c>
      <c r="Z556" s="17" t="s">
        <v>367</v>
      </c>
      <c r="AA556" s="17" t="s">
        <v>237</v>
      </c>
      <c r="AB556" s="17" t="s">
        <v>41</v>
      </c>
      <c r="AC556" s="0" t="str">
        <f aca="false">LEFT(G556,2)</f>
        <v>98</v>
      </c>
      <c r="AD556" s="0"/>
      <c r="AE556" s="21" t="s">
        <v>238</v>
      </c>
    </row>
    <row r="557" customFormat="false" ht="15" hidden="false" customHeight="false" outlineLevel="0" collapsed="false">
      <c r="A557" s="13" t="n">
        <f aca="false">1+A556</f>
        <v>555</v>
      </c>
      <c r="B557" s="14" t="n">
        <v>1009565571</v>
      </c>
      <c r="C557" s="15" t="s">
        <v>102</v>
      </c>
      <c r="D557" s="16" t="s">
        <v>64</v>
      </c>
      <c r="E557" s="17" t="s">
        <v>64</v>
      </c>
      <c r="F557" s="18" t="s">
        <v>70</v>
      </c>
      <c r="G557" s="19" t="n">
        <v>987107176768</v>
      </c>
      <c r="H557" s="17" t="s">
        <v>35</v>
      </c>
      <c r="I557" s="17" t="s">
        <v>44</v>
      </c>
      <c r="J557" s="17" t="s">
        <v>121</v>
      </c>
      <c r="K557" s="17" t="str">
        <f aca="false">VLOOKUP(J557,Sheet2!A:B,2,0)</f>
        <v>SHANI GOHIL</v>
      </c>
      <c r="L557" s="17" t="n">
        <v>7</v>
      </c>
      <c r="M557" s="17" t="str">
        <f aca="false">VLOOKUP(L557,Sheet2!D:E,2,0)</f>
        <v>Card Reader Section</v>
      </c>
      <c r="N557" s="17" t="n">
        <v>36</v>
      </c>
      <c r="O557" s="17" t="str">
        <f aca="false">VLOOKUP(N557,Sheet2!G:H,2,0)</f>
        <v>Error -1</v>
      </c>
      <c r="P557" s="17" t="n">
        <v>11</v>
      </c>
      <c r="Q557" s="17" t="str">
        <f aca="false">VLOOKUP(P557,Sheet2!J:K,2,0)</f>
        <v>IR Declared due to CID -TA</v>
      </c>
      <c r="R557" s="17" t="s">
        <v>35</v>
      </c>
      <c r="S557" s="17" t="str">
        <f aca="false">VLOOKUP(R557,Sheet2!N:O,2,0)</f>
        <v>IREPARABLE</v>
      </c>
      <c r="T557" s="18" t="str">
        <f aca="false">VLOOKUP(P557,Sheet2!Q:R,2,0)</f>
        <v>IR Normal - Track burn out</v>
      </c>
      <c r="U557" s="18" t="s">
        <v>122</v>
      </c>
      <c r="V557" s="17" t="n">
        <v>2</v>
      </c>
      <c r="W557" s="20" t="str">
        <f aca="false">VLOOKUP(V557,Sheet2!Q:R,2,0)</f>
        <v>IR CID -  Water log from other area</v>
      </c>
      <c r="X557" s="17" t="str">
        <f aca="false">J557</f>
        <v>A063</v>
      </c>
      <c r="Y557" s="17" t="str">
        <f aca="false">VLOOKUP(X557,Sheet2!A:B,2,0)</f>
        <v>SHANI GOHIL</v>
      </c>
      <c r="Z557" s="17" t="s">
        <v>125</v>
      </c>
      <c r="AA557" s="17" t="s">
        <v>237</v>
      </c>
      <c r="AB557" s="17" t="s">
        <v>41</v>
      </c>
      <c r="AC557" s="0" t="str">
        <f aca="false">LEFT(G557,2)</f>
        <v>98</v>
      </c>
      <c r="AD557" s="0"/>
      <c r="AE557" s="21" t="s">
        <v>238</v>
      </c>
    </row>
    <row r="558" customFormat="false" ht="15" hidden="false" customHeight="false" outlineLevel="0" collapsed="false">
      <c r="A558" s="13" t="n">
        <f aca="false">1+A557</f>
        <v>556</v>
      </c>
      <c r="B558" s="14" t="n">
        <v>1009577325</v>
      </c>
      <c r="C558" s="15" t="s">
        <v>139</v>
      </c>
      <c r="D558" s="16" t="s">
        <v>144</v>
      </c>
      <c r="E558" s="17" t="s">
        <v>47</v>
      </c>
      <c r="F558" s="18" t="s">
        <v>34</v>
      </c>
      <c r="G558" s="19" t="n">
        <v>986165214669</v>
      </c>
      <c r="H558" s="17" t="s">
        <v>35</v>
      </c>
      <c r="I558" s="17" t="s">
        <v>44</v>
      </c>
      <c r="J558" s="17" t="s">
        <v>111</v>
      </c>
      <c r="K558" s="17" t="str">
        <f aca="false">VLOOKUP(J558,Sheet2!A:B,2,0)</f>
        <v>NITIN PRANAMI</v>
      </c>
      <c r="L558" s="17" t="n">
        <v>1</v>
      </c>
      <c r="M558" s="17" t="str">
        <f aca="false">VLOOKUP(L558,Sheet2!D:E,2,0)</f>
        <v>Power Supply Section</v>
      </c>
      <c r="N558" s="17" t="n">
        <v>1</v>
      </c>
      <c r="O558" s="17" t="str">
        <f aca="false">VLOOKUP(N558,Sheet2!G:H,2,0)</f>
        <v>Dead</v>
      </c>
      <c r="P558" s="17" t="n">
        <v>12</v>
      </c>
      <c r="Q558" s="17" t="str">
        <f aca="false">VLOOKUP(P558,Sheet2!J:K,2,0)</f>
        <v>IR Declared due to Others ( IR Normal)TB</v>
      </c>
      <c r="R558" s="17" t="s">
        <v>35</v>
      </c>
      <c r="S558" s="17" t="str">
        <f aca="false">VLOOKUP(R558,Sheet2!N:O,2,0)</f>
        <v>IREPARABLE</v>
      </c>
      <c r="T558" s="18" t="str">
        <f aca="false">VLOOKUP(P558,Sheet2!Q:R,2,0)</f>
        <v>IR Normal - BER to IR</v>
      </c>
      <c r="U558" s="18" t="s">
        <v>101</v>
      </c>
      <c r="V558" s="17" t="n">
        <v>8</v>
      </c>
      <c r="W558" s="20" t="str">
        <f aca="false">VLOOKUP(V558,Sheet2!Q:R,2,0)</f>
        <v>IR Normal -TrackRust/InternalDamage/open</v>
      </c>
      <c r="X558" s="17" t="str">
        <f aca="false">J558</f>
        <v>A031</v>
      </c>
      <c r="Y558" s="17" t="str">
        <f aca="false">VLOOKUP(X558,Sheet2!A:B,2,0)</f>
        <v>NITIN PRANAMI</v>
      </c>
      <c r="Z558" s="17" t="s">
        <v>368</v>
      </c>
      <c r="AA558" s="17" t="s">
        <v>237</v>
      </c>
      <c r="AB558" s="17" t="s">
        <v>41</v>
      </c>
      <c r="AC558" s="0" t="str">
        <f aca="false">LEFT(G558,2)</f>
        <v>98</v>
      </c>
      <c r="AD558" s="0"/>
      <c r="AE558" s="21" t="s">
        <v>238</v>
      </c>
    </row>
    <row r="559" customFormat="false" ht="15" hidden="false" customHeight="false" outlineLevel="0" collapsed="false">
      <c r="A559" s="13" t="n">
        <f aca="false">1+A558</f>
        <v>557</v>
      </c>
      <c r="B559" s="14" t="n">
        <v>1009567815</v>
      </c>
      <c r="C559" s="15" t="s">
        <v>102</v>
      </c>
      <c r="D559" s="16" t="s">
        <v>154</v>
      </c>
      <c r="E559" s="17" t="s">
        <v>91</v>
      </c>
      <c r="F559" s="18" t="s">
        <v>92</v>
      </c>
      <c r="G559" s="19" t="n">
        <v>134106129825</v>
      </c>
      <c r="H559" s="17" t="s">
        <v>35</v>
      </c>
      <c r="I559" s="17" t="s">
        <v>44</v>
      </c>
      <c r="J559" s="17" t="s">
        <v>111</v>
      </c>
      <c r="K559" s="17" t="str">
        <f aca="false">VLOOKUP(J559,Sheet2!A:B,2,0)</f>
        <v>NITIN PRANAMI</v>
      </c>
      <c r="L559" s="17" t="n">
        <v>1</v>
      </c>
      <c r="M559" s="17" t="str">
        <f aca="false">VLOOKUP(L559,Sheet2!D:E,2,0)</f>
        <v>Power Supply Section</v>
      </c>
      <c r="N559" s="17" t="n">
        <v>1</v>
      </c>
      <c r="O559" s="17" t="str">
        <f aca="false">VLOOKUP(N559,Sheet2!G:H,2,0)</f>
        <v>Dead</v>
      </c>
      <c r="P559" s="17" t="n">
        <v>12</v>
      </c>
      <c r="Q559" s="17" t="str">
        <f aca="false">VLOOKUP(P559,Sheet2!J:K,2,0)</f>
        <v>IR Declared due to Others ( IR Normal)TB</v>
      </c>
      <c r="R559" s="17" t="s">
        <v>35</v>
      </c>
      <c r="S559" s="17" t="str">
        <f aca="false">VLOOKUP(R559,Sheet2!N:O,2,0)</f>
        <v>IREPARABLE</v>
      </c>
      <c r="T559" s="18" t="str">
        <f aca="false">VLOOKUP(P559,Sheet2!Q:R,2,0)</f>
        <v>IR Normal - BER to IR</v>
      </c>
      <c r="U559" s="18" t="s">
        <v>101</v>
      </c>
      <c r="V559" s="17" t="n">
        <v>8</v>
      </c>
      <c r="W559" s="20" t="str">
        <f aca="false">VLOOKUP(V559,Sheet2!Q:R,2,0)</f>
        <v>IR Normal -TrackRust/InternalDamage/open</v>
      </c>
      <c r="X559" s="17" t="str">
        <f aca="false">J559</f>
        <v>A031</v>
      </c>
      <c r="Y559" s="17" t="str">
        <f aca="false">VLOOKUP(X559,Sheet2!A:B,2,0)</f>
        <v>NITIN PRANAMI</v>
      </c>
      <c r="Z559" s="17" t="s">
        <v>369</v>
      </c>
      <c r="AA559" s="17" t="s">
        <v>237</v>
      </c>
      <c r="AB559" s="17" t="s">
        <v>41</v>
      </c>
      <c r="AC559" s="0" t="str">
        <f aca="false">LEFT(G559,2)</f>
        <v>13</v>
      </c>
      <c r="AD559" s="0"/>
      <c r="AE559" s="21" t="s">
        <v>238</v>
      </c>
    </row>
    <row r="560" customFormat="false" ht="15" hidden="false" customHeight="false" outlineLevel="0" collapsed="false">
      <c r="A560" s="13" t="n">
        <f aca="false">1+A559</f>
        <v>558</v>
      </c>
      <c r="B560" s="14" t="n">
        <v>1009580395</v>
      </c>
      <c r="C560" s="15" t="s">
        <v>104</v>
      </c>
      <c r="D560" s="16" t="s">
        <v>60</v>
      </c>
      <c r="E560" s="17" t="s">
        <v>370</v>
      </c>
      <c r="F560" s="18" t="s">
        <v>34</v>
      </c>
      <c r="G560" s="19" t="n">
        <v>775318212237</v>
      </c>
      <c r="H560" s="17" t="s">
        <v>35</v>
      </c>
      <c r="I560" s="17" t="s">
        <v>69</v>
      </c>
      <c r="J560" s="17" t="s">
        <v>118</v>
      </c>
      <c r="K560" s="17" t="str">
        <f aca="false">VLOOKUP(J560,Sheet2!A:B,2,0)</f>
        <v>DEVENDRA RAJPUT</v>
      </c>
      <c r="L560" s="17" t="n">
        <v>7</v>
      </c>
      <c r="M560" s="17" t="str">
        <f aca="false">VLOOKUP(L560,Sheet2!D:E,2,0)</f>
        <v>Card Reader Section</v>
      </c>
      <c r="N560" s="17" t="n">
        <v>6</v>
      </c>
      <c r="O560" s="17" t="str">
        <f aca="false">VLOOKUP(N560,Sheet2!G:H,2,0)</f>
        <v>No Signal</v>
      </c>
      <c r="P560" s="17" t="n">
        <v>12</v>
      </c>
      <c r="Q560" s="17" t="str">
        <f aca="false">VLOOKUP(P560,Sheet2!J:K,2,0)</f>
        <v>IR Declared due to Others ( IR Normal)TB</v>
      </c>
      <c r="R560" s="17" t="s">
        <v>35</v>
      </c>
      <c r="S560" s="17" t="str">
        <f aca="false">VLOOKUP(R560,Sheet2!N:O,2,0)</f>
        <v>IREPARABLE</v>
      </c>
      <c r="T560" s="18" t="s">
        <v>248</v>
      </c>
      <c r="U560" s="15" t="s">
        <v>38</v>
      </c>
      <c r="V560" s="17" t="n">
        <v>11</v>
      </c>
      <c r="W560" s="20" t="str">
        <f aca="false">VLOOKUP(V560,Sheet2!Q:R,2,0)</f>
        <v>IR Normal - Track burn out</v>
      </c>
      <c r="X560" s="17" t="str">
        <f aca="false">J560</f>
        <v>A053</v>
      </c>
      <c r="Y560" s="17" t="str">
        <f aca="false">VLOOKUP(X560,Sheet2!A:B,2,0)</f>
        <v>DEVENDRA RAJPUT</v>
      </c>
      <c r="Z560" s="17" t="s">
        <v>130</v>
      </c>
      <c r="AA560" s="17" t="s">
        <v>237</v>
      </c>
      <c r="AB560" s="17" t="s">
        <v>41</v>
      </c>
      <c r="AC560" s="0" t="str">
        <f aca="false">LEFT(G560,2)</f>
        <v>77</v>
      </c>
      <c r="AD560" s="0"/>
      <c r="AE560" s="21" t="s">
        <v>238</v>
      </c>
    </row>
    <row r="561" customFormat="false" ht="15" hidden="false" customHeight="false" outlineLevel="0" collapsed="false">
      <c r="A561" s="13" t="n">
        <f aca="false">1+A560</f>
        <v>559</v>
      </c>
      <c r="B561" s="14" t="n">
        <v>1009582544</v>
      </c>
      <c r="C561" s="15" t="s">
        <v>104</v>
      </c>
      <c r="D561" s="16" t="s">
        <v>64</v>
      </c>
      <c r="E561" s="17" t="s">
        <v>64</v>
      </c>
      <c r="F561" s="18" t="s">
        <v>70</v>
      </c>
      <c r="G561" s="19" t="n">
        <v>954298149566</v>
      </c>
      <c r="H561" s="17" t="s">
        <v>35</v>
      </c>
      <c r="I561" s="17" t="s">
        <v>44</v>
      </c>
      <c r="J561" s="17" t="s">
        <v>121</v>
      </c>
      <c r="K561" s="17" t="str">
        <f aca="false">VLOOKUP(J561,Sheet2!A:B,2,0)</f>
        <v>SHANI GOHIL</v>
      </c>
      <c r="L561" s="17" t="n">
        <v>1</v>
      </c>
      <c r="M561" s="17" t="str">
        <f aca="false">VLOOKUP(L561,Sheet2!D:E,2,0)</f>
        <v>Power Supply Section</v>
      </c>
      <c r="N561" s="17" t="n">
        <v>1</v>
      </c>
      <c r="O561" s="17" t="str">
        <f aca="false">VLOOKUP(N561,Sheet2!G:H,2,0)</f>
        <v>Dead</v>
      </c>
      <c r="P561" s="17" t="n">
        <v>12</v>
      </c>
      <c r="Q561" s="17" t="str">
        <f aca="false">VLOOKUP(P561,Sheet2!J:K,2,0)</f>
        <v>IR Declared due to Others ( IR Normal)TB</v>
      </c>
      <c r="R561" s="17" t="s">
        <v>35</v>
      </c>
      <c r="S561" s="17" t="str">
        <f aca="false">VLOOKUP(R561,Sheet2!N:O,2,0)</f>
        <v>IREPARABLE</v>
      </c>
      <c r="T561" s="18" t="str">
        <f aca="false">VLOOKUP(P561,Sheet2!Q:R,2,0)</f>
        <v>IR Normal - BER to IR</v>
      </c>
      <c r="U561" s="18" t="s">
        <v>101</v>
      </c>
      <c r="V561" s="17" t="n">
        <v>8</v>
      </c>
      <c r="W561" s="20" t="str">
        <f aca="false">VLOOKUP(V561,Sheet2!Q:R,2,0)</f>
        <v>IR Normal -TrackRust/InternalDamage/open</v>
      </c>
      <c r="X561" s="17" t="str">
        <f aca="false">J561</f>
        <v>A063</v>
      </c>
      <c r="Y561" s="17" t="str">
        <f aca="false">VLOOKUP(X561,Sheet2!A:B,2,0)</f>
        <v>SHANI GOHIL</v>
      </c>
      <c r="Z561" s="17" t="s">
        <v>371</v>
      </c>
      <c r="AA561" s="17" t="s">
        <v>237</v>
      </c>
      <c r="AB561" s="17" t="s">
        <v>41</v>
      </c>
      <c r="AC561" s="0" t="str">
        <f aca="false">LEFT(G561,2)</f>
        <v>95</v>
      </c>
      <c r="AD561" s="0"/>
      <c r="AE561" s="21" t="s">
        <v>238</v>
      </c>
    </row>
    <row r="562" customFormat="false" ht="15" hidden="false" customHeight="false" outlineLevel="0" collapsed="false">
      <c r="A562" s="13" t="n">
        <f aca="false">1+A561</f>
        <v>560</v>
      </c>
      <c r="B562" s="14" t="n">
        <v>1009584375</v>
      </c>
      <c r="C562" s="15" t="s">
        <v>139</v>
      </c>
      <c r="D562" s="16" t="s">
        <v>64</v>
      </c>
      <c r="E562" s="17" t="s">
        <v>64</v>
      </c>
      <c r="F562" s="18" t="s">
        <v>70</v>
      </c>
      <c r="G562" s="19" t="n">
        <v>955183139936</v>
      </c>
      <c r="H562" s="17" t="s">
        <v>35</v>
      </c>
      <c r="I562" s="17" t="s">
        <v>44</v>
      </c>
      <c r="J562" s="17" t="s">
        <v>287</v>
      </c>
      <c r="K562" s="17" t="str">
        <f aca="false">VLOOKUP(J562,Sheet2!A:B,2,0)</f>
        <v>BHUPENDRA  DABHI</v>
      </c>
      <c r="L562" s="17" t="n">
        <v>1</v>
      </c>
      <c r="M562" s="17" t="str">
        <f aca="false">VLOOKUP(L562,Sheet2!D:E,2,0)</f>
        <v>Power Supply Section</v>
      </c>
      <c r="N562" s="17" t="n">
        <v>1</v>
      </c>
      <c r="O562" s="17" t="str">
        <f aca="false">VLOOKUP(N562,Sheet2!G:H,2,0)</f>
        <v>Dead</v>
      </c>
      <c r="P562" s="17" t="n">
        <v>12</v>
      </c>
      <c r="Q562" s="17" t="str">
        <f aca="false">VLOOKUP(P562,Sheet2!J:K,2,0)</f>
        <v>IR Declared due to Others ( IR Normal)TB</v>
      </c>
      <c r="R562" s="17" t="s">
        <v>35</v>
      </c>
      <c r="S562" s="17" t="str">
        <f aca="false">VLOOKUP(R562,Sheet2!N:O,2,0)</f>
        <v>IREPARABLE</v>
      </c>
      <c r="T562" s="18" t="str">
        <f aca="false">VLOOKUP(P562,Sheet2!Q:R,2,0)</f>
        <v>IR Normal - BER to IR</v>
      </c>
      <c r="U562" s="18" t="s">
        <v>101</v>
      </c>
      <c r="V562" s="17" t="n">
        <v>8</v>
      </c>
      <c r="W562" s="20" t="str">
        <f aca="false">VLOOKUP(V562,Sheet2!Q:R,2,0)</f>
        <v>IR Normal -TrackRust/InternalDamage/open</v>
      </c>
      <c r="X562" s="17" t="str">
        <f aca="false">J562</f>
        <v>A010</v>
      </c>
      <c r="Y562" s="17" t="str">
        <f aca="false">VLOOKUP(X562,Sheet2!A:B,2,0)</f>
        <v>BHUPENDRA  DABHI</v>
      </c>
      <c r="Z562" s="17" t="s">
        <v>372</v>
      </c>
      <c r="AA562" s="17" t="s">
        <v>237</v>
      </c>
      <c r="AB562" s="17" t="s">
        <v>41</v>
      </c>
      <c r="AC562" s="0" t="str">
        <f aca="false">LEFT(G562,2)</f>
        <v>95</v>
      </c>
      <c r="AD562" s="0"/>
      <c r="AE562" s="21" t="s">
        <v>238</v>
      </c>
    </row>
    <row r="563" customFormat="false" ht="15" hidden="false" customHeight="false" outlineLevel="0" collapsed="false">
      <c r="A563" s="13" t="n">
        <f aca="false">1+A562</f>
        <v>561</v>
      </c>
      <c r="B563" s="14" t="n">
        <v>1009529639</v>
      </c>
      <c r="C563" s="15" t="s">
        <v>174</v>
      </c>
      <c r="D563" s="16" t="s">
        <v>103</v>
      </c>
      <c r="E563" s="17" t="s">
        <v>91</v>
      </c>
      <c r="F563" s="18" t="s">
        <v>92</v>
      </c>
      <c r="G563" s="19" t="n">
        <v>954254101098</v>
      </c>
      <c r="H563" s="17" t="s">
        <v>366</v>
      </c>
      <c r="I563" s="17" t="s">
        <v>44</v>
      </c>
      <c r="J563" s="17" t="s">
        <v>96</v>
      </c>
      <c r="K563" s="17" t="str">
        <f aca="false">VLOOKUP(J563,Sheet2!A:B,2,0)</f>
        <v>JAYESH NAI</v>
      </c>
      <c r="L563" s="17" t="n">
        <v>1</v>
      </c>
      <c r="M563" s="17" t="str">
        <f aca="false">VLOOKUP(L563,Sheet2!D:E,2,0)</f>
        <v>Power Supply Section</v>
      </c>
      <c r="N563" s="17" t="n">
        <v>2</v>
      </c>
      <c r="O563" s="17" t="str">
        <f aca="false">VLOOKUP(N563,Sheet2!G:H,2,0)</f>
        <v>Dead Intermittent</v>
      </c>
      <c r="P563" s="17" t="n">
        <v>12</v>
      </c>
      <c r="Q563" s="17" t="str">
        <f aca="false">VLOOKUP(P563,Sheet2!J:K,2,0)</f>
        <v>IR Declared due to Others ( IR Normal)TB</v>
      </c>
      <c r="R563" s="17" t="s">
        <v>35</v>
      </c>
      <c r="S563" s="17" t="str">
        <f aca="false">VLOOKUP(R563,Sheet2!N:O,2,0)</f>
        <v>IREPARABLE</v>
      </c>
      <c r="T563" s="18" t="s">
        <v>248</v>
      </c>
      <c r="U563" s="15" t="s">
        <v>38</v>
      </c>
      <c r="V563" s="17" t="n">
        <v>11</v>
      </c>
      <c r="W563" s="20" t="str">
        <f aca="false">VLOOKUP(V563,Sheet2!Q:R,2,0)</f>
        <v>IR Normal - Track burn out</v>
      </c>
      <c r="X563" s="17" t="str">
        <f aca="false">J563</f>
        <v>A004</v>
      </c>
      <c r="Y563" s="17" t="str">
        <f aca="false">VLOOKUP(X563,Sheet2!A:B,2,0)</f>
        <v>JAYESH NAI</v>
      </c>
      <c r="Z563" s="17" t="s">
        <v>373</v>
      </c>
      <c r="AA563" s="17" t="s">
        <v>237</v>
      </c>
      <c r="AB563" s="17" t="s">
        <v>41</v>
      </c>
      <c r="AC563" s="0" t="str">
        <f aca="false">LEFT(G563,2)</f>
        <v>95</v>
      </c>
      <c r="AD563" s="0"/>
      <c r="AE563" s="21" t="s">
        <v>238</v>
      </c>
    </row>
    <row r="564" customFormat="false" ht="15" hidden="false" customHeight="false" outlineLevel="0" collapsed="false">
      <c r="A564" s="13" t="n">
        <f aca="false">1+A563</f>
        <v>562</v>
      </c>
      <c r="B564" s="14" t="n">
        <v>1009549030</v>
      </c>
      <c r="C564" s="15" t="s">
        <v>126</v>
      </c>
      <c r="D564" s="16" t="s">
        <v>144</v>
      </c>
      <c r="E564" s="17" t="s">
        <v>47</v>
      </c>
      <c r="F564" s="18" t="s">
        <v>34</v>
      </c>
      <c r="G564" s="19" t="n">
        <v>954334142674</v>
      </c>
      <c r="H564" s="17" t="s">
        <v>35</v>
      </c>
      <c r="I564" s="17" t="s">
        <v>44</v>
      </c>
      <c r="J564" s="17" t="s">
        <v>289</v>
      </c>
      <c r="K564" s="17" t="str">
        <f aca="false">VLOOKUP(J564,Sheet2!A:B,2,0)</f>
        <v>AJAY KOSHTI</v>
      </c>
      <c r="L564" s="17" t="n">
        <v>1</v>
      </c>
      <c r="M564" s="17" t="str">
        <f aca="false">VLOOKUP(L564,Sheet2!D:E,2,0)</f>
        <v>Power Supply Section</v>
      </c>
      <c r="N564" s="17" t="n">
        <v>1</v>
      </c>
      <c r="O564" s="17" t="str">
        <f aca="false">VLOOKUP(N564,Sheet2!G:H,2,0)</f>
        <v>Dead</v>
      </c>
      <c r="P564" s="17" t="n">
        <v>12</v>
      </c>
      <c r="Q564" s="17" t="str">
        <f aca="false">VLOOKUP(P564,Sheet2!J:K,2,0)</f>
        <v>IR Declared due to Others ( IR Normal)TB</v>
      </c>
      <c r="R564" s="17" t="s">
        <v>35</v>
      </c>
      <c r="S564" s="17" t="str">
        <f aca="false">VLOOKUP(R564,Sheet2!N:O,2,0)</f>
        <v>IREPARABLE</v>
      </c>
      <c r="T564" s="18" t="str">
        <f aca="false">VLOOKUP(P564,Sheet2!Q:R,2,0)</f>
        <v>IR Normal - BER to IR</v>
      </c>
      <c r="U564" s="18" t="s">
        <v>101</v>
      </c>
      <c r="V564" s="17" t="n">
        <v>8</v>
      </c>
      <c r="W564" s="20" t="str">
        <f aca="false">VLOOKUP(V564,Sheet2!Q:R,2,0)</f>
        <v>IR Normal -TrackRust/InternalDamage/open</v>
      </c>
      <c r="X564" s="17" t="str">
        <f aca="false">J564</f>
        <v>A051</v>
      </c>
      <c r="Y564" s="17" t="str">
        <f aca="false">VLOOKUP(X564,Sheet2!A:B,2,0)</f>
        <v>AJAY KOSHTI</v>
      </c>
      <c r="Z564" s="17" t="s">
        <v>374</v>
      </c>
      <c r="AA564" s="17" t="s">
        <v>237</v>
      </c>
      <c r="AB564" s="17" t="s">
        <v>41</v>
      </c>
      <c r="AC564" s="0" t="str">
        <f aca="false">LEFT(G564,2)</f>
        <v>95</v>
      </c>
      <c r="AD564" s="0"/>
      <c r="AE564" s="21" t="s">
        <v>238</v>
      </c>
    </row>
    <row r="565" customFormat="false" ht="15" hidden="false" customHeight="false" outlineLevel="0" collapsed="false">
      <c r="A565" s="13" t="n">
        <f aca="false">1+A564</f>
        <v>563</v>
      </c>
      <c r="B565" s="14" t="n">
        <v>1009582385</v>
      </c>
      <c r="C565" s="15" t="s">
        <v>139</v>
      </c>
      <c r="D565" s="16" t="s">
        <v>142</v>
      </c>
      <c r="E565" s="17" t="s">
        <v>337</v>
      </c>
      <c r="F565" s="18" t="s">
        <v>34</v>
      </c>
      <c r="G565" s="19" t="n">
        <v>943196922794</v>
      </c>
      <c r="H565" s="17" t="s">
        <v>35</v>
      </c>
      <c r="I565" s="17" t="s">
        <v>44</v>
      </c>
      <c r="J565" s="17" t="s">
        <v>118</v>
      </c>
      <c r="K565" s="17" t="str">
        <f aca="false">VLOOKUP(J565,Sheet2!A:B,2,0)</f>
        <v>DEVENDRA RAJPUT</v>
      </c>
      <c r="L565" s="17" t="n">
        <v>5</v>
      </c>
      <c r="M565" s="17" t="str">
        <f aca="false">VLOOKUP(L565,Sheet2!D:E,2,0)</f>
        <v>Main Processor CPU BGA</v>
      </c>
      <c r="N565" s="17" t="n">
        <v>24</v>
      </c>
      <c r="O565" s="17" t="str">
        <f aca="false">VLOOKUP(N565,Sheet2!G:H,2,0)</f>
        <v>STB Auto moving -Stand by mode</v>
      </c>
      <c r="P565" s="17" t="n">
        <v>12</v>
      </c>
      <c r="Q565" s="17" t="str">
        <f aca="false">VLOOKUP(P565,Sheet2!J:K,2,0)</f>
        <v>IR Declared due to Others ( IR Normal)TB</v>
      </c>
      <c r="R565" s="17" t="s">
        <v>35</v>
      </c>
      <c r="S565" s="17" t="str">
        <f aca="false">VLOOKUP(R565,Sheet2!N:O,2,0)</f>
        <v>IREPARABLE</v>
      </c>
      <c r="T565" s="18" t="str">
        <f aca="false">VLOOKUP(P565,Sheet2!Q:R,2,0)</f>
        <v>IR Normal - BER to IR</v>
      </c>
      <c r="U565" s="18" t="s">
        <v>101</v>
      </c>
      <c r="V565" s="17" t="n">
        <v>8</v>
      </c>
      <c r="W565" s="20" t="str">
        <f aca="false">VLOOKUP(V565,Sheet2!Q:R,2,0)</f>
        <v>IR Normal -TrackRust/InternalDamage/open</v>
      </c>
      <c r="X565" s="17" t="str">
        <f aca="false">J565</f>
        <v>A053</v>
      </c>
      <c r="Y565" s="17" t="str">
        <f aca="false">VLOOKUP(X565,Sheet2!A:B,2,0)</f>
        <v>DEVENDRA RAJPUT</v>
      </c>
      <c r="Z565" s="17" t="s">
        <v>375</v>
      </c>
      <c r="AA565" s="17" t="s">
        <v>237</v>
      </c>
      <c r="AB565" s="17" t="s">
        <v>41</v>
      </c>
      <c r="AC565" s="0" t="str">
        <f aca="false">LEFT(G565,2)</f>
        <v>94</v>
      </c>
      <c r="AD565" s="0"/>
      <c r="AE565" s="21" t="s">
        <v>238</v>
      </c>
    </row>
    <row r="566" customFormat="false" ht="15" hidden="false" customHeight="false" outlineLevel="0" collapsed="false">
      <c r="A566" s="13" t="n">
        <f aca="false">1+A565</f>
        <v>564</v>
      </c>
      <c r="B566" s="14" t="n">
        <v>1009459945</v>
      </c>
      <c r="C566" s="15" t="s">
        <v>268</v>
      </c>
      <c r="D566" s="16" t="s">
        <v>64</v>
      </c>
      <c r="E566" s="17" t="s">
        <v>64</v>
      </c>
      <c r="F566" s="18" t="s">
        <v>70</v>
      </c>
      <c r="G566" s="19" t="n">
        <v>942331960180</v>
      </c>
      <c r="H566" s="17" t="s">
        <v>35</v>
      </c>
      <c r="I566" s="17" t="s">
        <v>44</v>
      </c>
      <c r="J566" s="17" t="s">
        <v>121</v>
      </c>
      <c r="K566" s="17" t="str">
        <f aca="false">VLOOKUP(J566,Sheet2!A:B,2,0)</f>
        <v>SHANI GOHIL</v>
      </c>
      <c r="L566" s="17" t="n">
        <v>2</v>
      </c>
      <c r="M566" s="17" t="str">
        <f aca="false">VLOOKUP(L566,Sheet2!D:E,2,0)</f>
        <v>Tuner Section</v>
      </c>
      <c r="N566" s="17" t="n">
        <v>6</v>
      </c>
      <c r="O566" s="17" t="str">
        <f aca="false">VLOOKUP(N566,Sheet2!G:H,2,0)</f>
        <v>No Signal</v>
      </c>
      <c r="P566" s="17" t="n">
        <v>11</v>
      </c>
      <c r="Q566" s="17" t="str">
        <f aca="false">VLOOKUP(P566,Sheet2!J:K,2,0)</f>
        <v>IR Declared due to CID -TA</v>
      </c>
      <c r="R566" s="17" t="s">
        <v>35</v>
      </c>
      <c r="S566" s="17" t="str">
        <f aca="false">VLOOKUP(R566,Sheet2!N:O,2,0)</f>
        <v>IREPARABLE</v>
      </c>
      <c r="T566" s="18" t="str">
        <f aca="false">VLOOKUP(P566,Sheet2!Q:R,2,0)</f>
        <v>IR Normal - Track burn out</v>
      </c>
      <c r="U566" s="18" t="s">
        <v>256</v>
      </c>
      <c r="V566" s="17" t="n">
        <v>1</v>
      </c>
      <c r="W566" s="20" t="str">
        <f aca="false">VLOOKUP(V566,Sheet2!Q:R,2,0)</f>
        <v>IR CID -  Water log from IF port</v>
      </c>
      <c r="X566" s="17" t="str">
        <f aca="false">J566</f>
        <v>A063</v>
      </c>
      <c r="Y566" s="17" t="str">
        <f aca="false">VLOOKUP(X566,Sheet2!A:B,2,0)</f>
        <v>SHANI GOHIL</v>
      </c>
      <c r="Z566" s="17" t="s">
        <v>376</v>
      </c>
      <c r="AA566" s="17" t="s">
        <v>237</v>
      </c>
      <c r="AB566" s="17" t="s">
        <v>41</v>
      </c>
      <c r="AC566" s="0" t="str">
        <f aca="false">LEFT(G566,2)</f>
        <v>94</v>
      </c>
      <c r="AD566" s="0"/>
      <c r="AE566" s="21" t="s">
        <v>238</v>
      </c>
    </row>
    <row r="567" customFormat="false" ht="15" hidden="false" customHeight="false" outlineLevel="0" collapsed="false">
      <c r="A567" s="13" t="n">
        <f aca="false">1+A566</f>
        <v>565</v>
      </c>
      <c r="B567" s="14" t="n">
        <v>100504299</v>
      </c>
      <c r="C567" s="15" t="s">
        <v>95</v>
      </c>
      <c r="D567" s="16" t="s">
        <v>144</v>
      </c>
      <c r="E567" s="17" t="s">
        <v>91</v>
      </c>
      <c r="F567" s="18" t="s">
        <v>92</v>
      </c>
      <c r="G567" s="19" t="n">
        <v>942274996589</v>
      </c>
      <c r="H567" s="17" t="s">
        <v>366</v>
      </c>
      <c r="I567" s="17" t="s">
        <v>44</v>
      </c>
      <c r="J567" s="17" t="s">
        <v>111</v>
      </c>
      <c r="K567" s="17" t="str">
        <f aca="false">VLOOKUP(J567,Sheet2!A:B,2,0)</f>
        <v>NITIN PRANAMI</v>
      </c>
      <c r="L567" s="17" t="n">
        <v>2</v>
      </c>
      <c r="M567" s="17" t="str">
        <f aca="false">VLOOKUP(L567,Sheet2!D:E,2,0)</f>
        <v>Tuner Section</v>
      </c>
      <c r="N567" s="17" t="n">
        <v>6</v>
      </c>
      <c r="O567" s="17" t="str">
        <f aca="false">VLOOKUP(N567,Sheet2!G:H,2,0)</f>
        <v>No Signal</v>
      </c>
      <c r="P567" s="17" t="n">
        <v>12</v>
      </c>
      <c r="Q567" s="17" t="str">
        <f aca="false">VLOOKUP(P567,Sheet2!J:K,2,0)</f>
        <v>IR Declared due to Others ( IR Normal)TB</v>
      </c>
      <c r="R567" s="17" t="s">
        <v>35</v>
      </c>
      <c r="S567" s="17" t="str">
        <f aca="false">VLOOKUP(R567,Sheet2!N:O,2,0)</f>
        <v>IREPARABLE</v>
      </c>
      <c r="T567" s="18" t="str">
        <f aca="false">VLOOKUP(P567,Sheet2!Q:R,2,0)</f>
        <v>IR Normal - BER to IR</v>
      </c>
      <c r="U567" s="20" t="s">
        <v>110</v>
      </c>
      <c r="V567" s="17" t="n">
        <v>9</v>
      </c>
      <c r="W567" s="20" t="str">
        <f aca="false">VLOOKUP(V567,Sheet2!Q:R,2,0)</f>
        <v>IR Normal - Multiple time repair </v>
      </c>
      <c r="X567" s="17" t="str">
        <f aca="false">J567</f>
        <v>A031</v>
      </c>
      <c r="Y567" s="17" t="str">
        <f aca="false">VLOOKUP(X567,Sheet2!A:B,2,0)</f>
        <v>NITIN PRANAMI</v>
      </c>
      <c r="Z567" s="17" t="s">
        <v>127</v>
      </c>
      <c r="AA567" s="17" t="s">
        <v>237</v>
      </c>
      <c r="AB567" s="17" t="s">
        <v>41</v>
      </c>
      <c r="AC567" s="0" t="str">
        <f aca="false">LEFT(G567,2)</f>
        <v>94</v>
      </c>
      <c r="AD567" s="0"/>
      <c r="AE567" s="21" t="s">
        <v>238</v>
      </c>
    </row>
    <row r="568" customFormat="false" ht="15" hidden="false" customHeight="false" outlineLevel="0" collapsed="false">
      <c r="A568" s="13" t="n">
        <f aca="false">1+A567</f>
        <v>566</v>
      </c>
      <c r="B568" s="14" t="n">
        <v>1009572550</v>
      </c>
      <c r="C568" s="15" t="s">
        <v>104</v>
      </c>
      <c r="D568" s="16" t="s">
        <v>64</v>
      </c>
      <c r="E568" s="17" t="s">
        <v>91</v>
      </c>
      <c r="F568" s="18" t="s">
        <v>92</v>
      </c>
      <c r="G568" s="19" t="n">
        <v>943186919024</v>
      </c>
      <c r="H568" s="17" t="s">
        <v>35</v>
      </c>
      <c r="I568" s="17" t="s">
        <v>44</v>
      </c>
      <c r="J568" s="17" t="s">
        <v>111</v>
      </c>
      <c r="K568" s="17" t="str">
        <f aca="false">VLOOKUP(J568,Sheet2!A:B,2,0)</f>
        <v>NITIN PRANAMI</v>
      </c>
      <c r="L568" s="17" t="n">
        <v>3</v>
      </c>
      <c r="M568" s="17" t="str">
        <f aca="false">VLOOKUP(L568,Sheet2!D:E,2,0)</f>
        <v>Video Section</v>
      </c>
      <c r="N568" s="17" t="n">
        <v>15</v>
      </c>
      <c r="O568" s="17" t="str">
        <f aca="false">VLOOKUP(N568,Sheet2!G:H,2,0)</f>
        <v>No Video - AV</v>
      </c>
      <c r="P568" s="17" t="n">
        <v>12</v>
      </c>
      <c r="Q568" s="17" t="str">
        <f aca="false">VLOOKUP(P568,Sheet2!J:K,2,0)</f>
        <v>IR Declared due to Others ( IR Normal)TB</v>
      </c>
      <c r="R568" s="17" t="s">
        <v>35</v>
      </c>
      <c r="S568" s="17" t="str">
        <f aca="false">VLOOKUP(R568,Sheet2!N:O,2,0)</f>
        <v>IREPARABLE</v>
      </c>
      <c r="T568" s="18" t="str">
        <f aca="false">VLOOKUP(P568,Sheet2!Q:R,2,0)</f>
        <v>IR Normal - BER to IR</v>
      </c>
      <c r="U568" s="18" t="s">
        <v>101</v>
      </c>
      <c r="V568" s="17" t="n">
        <v>8</v>
      </c>
      <c r="W568" s="20" t="str">
        <f aca="false">VLOOKUP(V568,Sheet2!Q:R,2,0)</f>
        <v>IR Normal -TrackRust/InternalDamage/open</v>
      </c>
      <c r="X568" s="17" t="str">
        <f aca="false">J568</f>
        <v>A031</v>
      </c>
      <c r="Y568" s="17" t="str">
        <f aca="false">VLOOKUP(X568,Sheet2!A:B,2,0)</f>
        <v>NITIN PRANAMI</v>
      </c>
      <c r="Z568" s="17" t="s">
        <v>377</v>
      </c>
      <c r="AA568" s="17" t="s">
        <v>237</v>
      </c>
      <c r="AB568" s="17" t="s">
        <v>41</v>
      </c>
      <c r="AC568" s="0" t="str">
        <f aca="false">LEFT(G568,2)</f>
        <v>94</v>
      </c>
      <c r="AD568" s="0"/>
      <c r="AE568" s="21" t="s">
        <v>238</v>
      </c>
    </row>
    <row r="569" customFormat="false" ht="15" hidden="false" customHeight="false" outlineLevel="0" collapsed="false">
      <c r="A569" s="13" t="n">
        <f aca="false">1+A568</f>
        <v>567</v>
      </c>
      <c r="B569" s="14" t="n">
        <v>1009607805</v>
      </c>
      <c r="C569" s="15" t="s">
        <v>181</v>
      </c>
      <c r="D569" s="16" t="s">
        <v>198</v>
      </c>
      <c r="E569" s="17" t="s">
        <v>47</v>
      </c>
      <c r="F569" s="18" t="s">
        <v>34</v>
      </c>
      <c r="G569" s="19" t="n">
        <v>413171213478</v>
      </c>
      <c r="H569" s="17" t="s">
        <v>35</v>
      </c>
      <c r="I569" s="17" t="s">
        <v>44</v>
      </c>
      <c r="J569" s="17" t="s">
        <v>289</v>
      </c>
      <c r="K569" s="17" t="str">
        <f aca="false">VLOOKUP(J569,Sheet2!A:B,2,0)</f>
        <v>AJAY KOSHTI</v>
      </c>
      <c r="L569" s="17" t="n">
        <v>1</v>
      </c>
      <c r="M569" s="17" t="str">
        <f aca="false">VLOOKUP(L569,Sheet2!D:E,2,0)</f>
        <v>Power Supply Section</v>
      </c>
      <c r="N569" s="17" t="n">
        <v>1</v>
      </c>
      <c r="O569" s="17" t="str">
        <f aca="false">VLOOKUP(N569,Sheet2!G:H,2,0)</f>
        <v>Dead</v>
      </c>
      <c r="P569" s="17" t="n">
        <v>12</v>
      </c>
      <c r="Q569" s="17" t="str">
        <f aca="false">VLOOKUP(P569,Sheet2!J:K,2,0)</f>
        <v>IR Declared due to Others ( IR Normal)TB</v>
      </c>
      <c r="R569" s="17" t="s">
        <v>35</v>
      </c>
      <c r="S569" s="17" t="str">
        <f aca="false">VLOOKUP(R569,Sheet2!N:O,2,0)</f>
        <v>IREPARABLE</v>
      </c>
      <c r="T569" s="18" t="str">
        <f aca="false">VLOOKUP(P569,Sheet2!Q:R,2,0)</f>
        <v>IR Normal - BER to IR</v>
      </c>
      <c r="U569" s="18" t="s">
        <v>101</v>
      </c>
      <c r="V569" s="17" t="n">
        <v>8</v>
      </c>
      <c r="W569" s="20" t="str">
        <f aca="false">VLOOKUP(V569,Sheet2!Q:R,2,0)</f>
        <v>IR Normal -TrackRust/InternalDamage/open</v>
      </c>
      <c r="X569" s="17" t="str">
        <f aca="false">J569</f>
        <v>A051</v>
      </c>
      <c r="Y569" s="17" t="str">
        <f aca="false">VLOOKUP(X569,Sheet2!A:B,2,0)</f>
        <v>AJAY KOSHTI</v>
      </c>
      <c r="Z569" s="17" t="s">
        <v>378</v>
      </c>
      <c r="AA569" s="17" t="s">
        <v>237</v>
      </c>
      <c r="AB569" s="17" t="s">
        <v>41</v>
      </c>
      <c r="AC569" s="0" t="str">
        <f aca="false">LEFT(G569,2)</f>
        <v>41</v>
      </c>
      <c r="AD569" s="0"/>
      <c r="AE569" s="21" t="s">
        <v>238</v>
      </c>
    </row>
    <row r="570" customFormat="false" ht="15" hidden="false" customHeight="false" outlineLevel="0" collapsed="false">
      <c r="A570" s="13" t="n">
        <f aca="false">1+A569</f>
        <v>568</v>
      </c>
      <c r="B570" s="14" t="n">
        <v>1009584839</v>
      </c>
      <c r="C570" s="15" t="s">
        <v>139</v>
      </c>
      <c r="D570" s="16" t="s">
        <v>64</v>
      </c>
      <c r="E570" s="17" t="s">
        <v>33</v>
      </c>
      <c r="F570" s="18" t="s">
        <v>34</v>
      </c>
      <c r="G570" s="19" t="n">
        <v>414098115283</v>
      </c>
      <c r="H570" s="17" t="s">
        <v>35</v>
      </c>
      <c r="I570" s="17" t="s">
        <v>44</v>
      </c>
      <c r="J570" s="17" t="s">
        <v>100</v>
      </c>
      <c r="K570" s="17" t="str">
        <f aca="false">VLOOKUP(J570,Sheet2!A:B,2,0)</f>
        <v>PIYUSH CHAVDA</v>
      </c>
      <c r="L570" s="17" t="n">
        <v>1</v>
      </c>
      <c r="M570" s="17" t="str">
        <f aca="false">VLOOKUP(L570,Sheet2!D:E,2,0)</f>
        <v>Power Supply Section</v>
      </c>
      <c r="N570" s="17" t="n">
        <v>1</v>
      </c>
      <c r="O570" s="17" t="str">
        <f aca="false">VLOOKUP(N570,Sheet2!G:H,2,0)</f>
        <v>Dead</v>
      </c>
      <c r="P570" s="17" t="n">
        <v>12</v>
      </c>
      <c r="Q570" s="17" t="str">
        <f aca="false">VLOOKUP(P570,Sheet2!J:K,2,0)</f>
        <v>IR Declared due to Others ( IR Normal)TB</v>
      </c>
      <c r="R570" s="17" t="s">
        <v>35</v>
      </c>
      <c r="S570" s="17" t="str">
        <f aca="false">VLOOKUP(R570,Sheet2!N:O,2,0)</f>
        <v>IREPARABLE</v>
      </c>
      <c r="T570" s="18" t="str">
        <f aca="false">VLOOKUP(P570,Sheet2!Q:R,2,0)</f>
        <v>IR Normal - BER to IR</v>
      </c>
      <c r="U570" s="20" t="s">
        <v>110</v>
      </c>
      <c r="V570" s="17" t="n">
        <v>9</v>
      </c>
      <c r="W570" s="20" t="str">
        <f aca="false">VLOOKUP(V570,Sheet2!Q:R,2,0)</f>
        <v>IR Normal - Multiple time repair </v>
      </c>
      <c r="X570" s="17" t="str">
        <f aca="false">J570</f>
        <v>A050</v>
      </c>
      <c r="Y570" s="17" t="str">
        <f aca="false">VLOOKUP(X570,Sheet2!A:B,2,0)</f>
        <v>PIYUSH CHAVDA</v>
      </c>
      <c r="Z570" s="17" t="s">
        <v>378</v>
      </c>
      <c r="AA570" s="17" t="s">
        <v>237</v>
      </c>
      <c r="AB570" s="17" t="s">
        <v>41</v>
      </c>
      <c r="AC570" s="0" t="str">
        <f aca="false">LEFT(G570,2)</f>
        <v>41</v>
      </c>
      <c r="AD570" s="0"/>
      <c r="AE570" s="21" t="s">
        <v>238</v>
      </c>
    </row>
    <row r="571" customFormat="false" ht="15" hidden="false" customHeight="false" outlineLevel="0" collapsed="false">
      <c r="A571" s="13" t="n">
        <f aca="false">1+A570</f>
        <v>569</v>
      </c>
      <c r="B571" s="14" t="n">
        <v>1009575574</v>
      </c>
      <c r="C571" s="15" t="s">
        <v>104</v>
      </c>
      <c r="D571" s="16" t="s">
        <v>175</v>
      </c>
      <c r="E571" s="17" t="s">
        <v>176</v>
      </c>
      <c r="F571" s="18" t="s">
        <v>34</v>
      </c>
      <c r="G571" s="19" t="n">
        <v>277351104538</v>
      </c>
      <c r="H571" s="17" t="s">
        <v>35</v>
      </c>
      <c r="I571" s="17" t="s">
        <v>74</v>
      </c>
      <c r="J571" s="17" t="s">
        <v>241</v>
      </c>
      <c r="K571" s="17" t="str">
        <f aca="false">VLOOKUP(J571,Sheet2!A:B,2,0)</f>
        <v>NILESH NAGAR</v>
      </c>
      <c r="L571" s="17" t="n">
        <v>5</v>
      </c>
      <c r="M571" s="17" t="str">
        <f aca="false">VLOOKUP(L571,Sheet2!D:E,2,0)</f>
        <v>Main Processor CPU BGA</v>
      </c>
      <c r="N571" s="17" t="n">
        <v>1</v>
      </c>
      <c r="O571" s="17" t="str">
        <f aca="false">VLOOKUP(N571,Sheet2!G:H,2,0)</f>
        <v>Dead</v>
      </c>
      <c r="P571" s="17" t="n">
        <v>11</v>
      </c>
      <c r="Q571" s="17" t="str">
        <f aca="false">VLOOKUP(P571,Sheet2!J:K,2,0)</f>
        <v>IR Declared due to CID -TA</v>
      </c>
      <c r="R571" s="17" t="s">
        <v>35</v>
      </c>
      <c r="S571" s="17" t="str">
        <f aca="false">VLOOKUP(R571,Sheet2!N:O,2,0)</f>
        <v>IREPARABLE</v>
      </c>
      <c r="T571" s="18" t="str">
        <f aca="false">VLOOKUP(P571,Sheet2!Q:R,2,0)</f>
        <v>IR Normal - Track burn out</v>
      </c>
      <c r="U571" s="18" t="s">
        <v>122</v>
      </c>
      <c r="V571" s="17" t="n">
        <v>2</v>
      </c>
      <c r="W571" s="20" t="str">
        <f aca="false">VLOOKUP(V571,Sheet2!Q:R,2,0)</f>
        <v>IR CID -  Water log from other area</v>
      </c>
      <c r="X571" s="17" t="str">
        <f aca="false">J571</f>
        <v>A008</v>
      </c>
      <c r="Y571" s="17" t="str">
        <f aca="false">VLOOKUP(X571,Sheet2!A:B,2,0)</f>
        <v>NILESH NAGAR</v>
      </c>
      <c r="Z571" s="17" t="s">
        <v>379</v>
      </c>
      <c r="AA571" s="17" t="s">
        <v>237</v>
      </c>
      <c r="AB571" s="17" t="s">
        <v>41</v>
      </c>
      <c r="AC571" s="0" t="str">
        <f aca="false">LEFT(G571,2)</f>
        <v>27</v>
      </c>
      <c r="AD571" s="0"/>
      <c r="AE571" s="21" t="s">
        <v>238</v>
      </c>
    </row>
    <row r="572" customFormat="false" ht="15" hidden="false" customHeight="false" outlineLevel="0" collapsed="false">
      <c r="A572" s="13" t="n">
        <f aca="false">1+A571</f>
        <v>570</v>
      </c>
      <c r="B572" s="14" t="n">
        <v>1009214557</v>
      </c>
      <c r="C572" s="15" t="s">
        <v>83</v>
      </c>
      <c r="D572" s="16" t="s">
        <v>144</v>
      </c>
      <c r="E572" s="17" t="s">
        <v>380</v>
      </c>
      <c r="F572" s="18" t="s">
        <v>34</v>
      </c>
      <c r="G572" s="19" t="n">
        <v>288085200922</v>
      </c>
      <c r="H572" s="17" t="s">
        <v>35</v>
      </c>
      <c r="I572" s="17" t="s">
        <v>74</v>
      </c>
      <c r="J572" s="17" t="s">
        <v>323</v>
      </c>
      <c r="K572" s="17" t="str">
        <f aca="false">VLOOKUP(J572,Sheet2!A:B,2,0)</f>
        <v>GHANSHYAM VYAS</v>
      </c>
      <c r="L572" s="17" t="n">
        <v>5</v>
      </c>
      <c r="M572" s="17" t="str">
        <f aca="false">VLOOKUP(L572,Sheet2!D:E,2,0)</f>
        <v>Main Processor CPU BGA</v>
      </c>
      <c r="N572" s="17" t="n">
        <v>1</v>
      </c>
      <c r="O572" s="17" t="str">
        <f aca="false">VLOOKUP(N572,Sheet2!G:H,2,0)</f>
        <v>Dead</v>
      </c>
      <c r="P572" s="17" t="n">
        <v>11</v>
      </c>
      <c r="Q572" s="17" t="str">
        <f aca="false">VLOOKUP(P572,Sheet2!J:K,2,0)</f>
        <v>IR Declared due to CID -TA</v>
      </c>
      <c r="R572" s="17" t="s">
        <v>35</v>
      </c>
      <c r="S572" s="17" t="str">
        <f aca="false">VLOOKUP(R572,Sheet2!N:O,2,0)</f>
        <v>IREPARABLE</v>
      </c>
      <c r="T572" s="18" t="str">
        <f aca="false">VLOOKUP(P572,Sheet2!Q:R,2,0)</f>
        <v>IR Normal - Track burn out</v>
      </c>
      <c r="U572" s="18" t="s">
        <v>122</v>
      </c>
      <c r="V572" s="17" t="n">
        <v>2</v>
      </c>
      <c r="W572" s="20" t="str">
        <f aca="false">VLOOKUP(V572,Sheet2!Q:R,2,0)</f>
        <v>IR CID -  Water log from other area</v>
      </c>
      <c r="X572" s="17" t="str">
        <f aca="false">J572</f>
        <v>A068</v>
      </c>
      <c r="Y572" s="17" t="str">
        <f aca="false">VLOOKUP(X572,Sheet2!A:B,2,0)</f>
        <v>GHANSHYAM VYAS</v>
      </c>
      <c r="Z572" s="17" t="s">
        <v>381</v>
      </c>
      <c r="AA572" s="17" t="s">
        <v>237</v>
      </c>
      <c r="AB572" s="17" t="s">
        <v>41</v>
      </c>
      <c r="AC572" s="0" t="str">
        <f aca="false">LEFT(G572,2)</f>
        <v>28</v>
      </c>
      <c r="AD572" s="0"/>
      <c r="AE572" s="21" t="s">
        <v>238</v>
      </c>
    </row>
    <row r="573" customFormat="false" ht="15" hidden="false" customHeight="false" outlineLevel="0" collapsed="false">
      <c r="A573" s="13" t="n">
        <f aca="false">1+A572</f>
        <v>571</v>
      </c>
      <c r="B573" s="14" t="n">
        <v>1009429342</v>
      </c>
      <c r="C573" s="15" t="s">
        <v>31</v>
      </c>
      <c r="D573" s="16" t="s">
        <v>64</v>
      </c>
      <c r="E573" s="17" t="s">
        <v>47</v>
      </c>
      <c r="F573" s="18" t="s">
        <v>34</v>
      </c>
      <c r="G573" s="19" t="n">
        <v>277316104540</v>
      </c>
      <c r="H573" s="17" t="s">
        <v>35</v>
      </c>
      <c r="I573" s="17" t="s">
        <v>74</v>
      </c>
      <c r="J573" s="17" t="s">
        <v>100</v>
      </c>
      <c r="K573" s="17" t="str">
        <f aca="false">VLOOKUP(J573,Sheet2!A:B,2,0)</f>
        <v>PIYUSH CHAVDA</v>
      </c>
      <c r="L573" s="17" t="n">
        <v>5</v>
      </c>
      <c r="M573" s="17" t="str">
        <f aca="false">VLOOKUP(L573,Sheet2!D:E,2,0)</f>
        <v>Main Processor CPU BGA</v>
      </c>
      <c r="N573" s="17" t="n">
        <v>1</v>
      </c>
      <c r="O573" s="17" t="str">
        <f aca="false">VLOOKUP(N573,Sheet2!G:H,2,0)</f>
        <v>Dead</v>
      </c>
      <c r="P573" s="17" t="n">
        <v>11</v>
      </c>
      <c r="Q573" s="17" t="str">
        <f aca="false">VLOOKUP(P573,Sheet2!J:K,2,0)</f>
        <v>IR Declared due to CID -TA</v>
      </c>
      <c r="R573" s="17" t="s">
        <v>35</v>
      </c>
      <c r="S573" s="17" t="str">
        <f aca="false">VLOOKUP(R573,Sheet2!N:O,2,0)</f>
        <v>IREPARABLE</v>
      </c>
      <c r="T573" s="18" t="str">
        <f aca="false">VLOOKUP(P573,Sheet2!Q:R,2,0)</f>
        <v>IR Normal - Track burn out</v>
      </c>
      <c r="U573" s="18" t="s">
        <v>122</v>
      </c>
      <c r="V573" s="17" t="n">
        <v>2</v>
      </c>
      <c r="W573" s="20" t="str">
        <f aca="false">VLOOKUP(V573,Sheet2!Q:R,2,0)</f>
        <v>IR CID -  Water log from other area</v>
      </c>
      <c r="X573" s="17" t="str">
        <f aca="false">J573</f>
        <v>A050</v>
      </c>
      <c r="Y573" s="17" t="str">
        <f aca="false">VLOOKUP(X573,Sheet2!A:B,2,0)</f>
        <v>PIYUSH CHAVDA</v>
      </c>
      <c r="Z573" s="17" t="s">
        <v>382</v>
      </c>
      <c r="AA573" s="17" t="s">
        <v>237</v>
      </c>
      <c r="AB573" s="17" t="s">
        <v>41</v>
      </c>
      <c r="AC573" s="0" t="str">
        <f aca="false">LEFT(G573,2)</f>
        <v>27</v>
      </c>
      <c r="AD573" s="0"/>
      <c r="AE573" s="21" t="s">
        <v>238</v>
      </c>
    </row>
    <row r="574" customFormat="false" ht="15" hidden="false" customHeight="false" outlineLevel="0" collapsed="false">
      <c r="A574" s="13" t="n">
        <f aca="false">1+A573</f>
        <v>572</v>
      </c>
      <c r="B574" s="14" t="n">
        <v>1009405519</v>
      </c>
      <c r="C574" s="15" t="s">
        <v>383</v>
      </c>
      <c r="D574" s="16" t="s">
        <v>88</v>
      </c>
      <c r="E574" s="17" t="s">
        <v>47</v>
      </c>
      <c r="F574" s="18" t="s">
        <v>34</v>
      </c>
      <c r="G574" s="19" t="n">
        <v>288084111856</v>
      </c>
      <c r="H574" s="17" t="s">
        <v>35</v>
      </c>
      <c r="I574" s="17" t="s">
        <v>74</v>
      </c>
      <c r="J574" s="17" t="s">
        <v>267</v>
      </c>
      <c r="K574" s="17" t="str">
        <f aca="false">VLOOKUP(J574,Sheet2!A:B,2,0)</f>
        <v>HARIRAM GUPTA</v>
      </c>
      <c r="L574" s="17" t="n">
        <v>5</v>
      </c>
      <c r="M574" s="17" t="str">
        <f aca="false">VLOOKUP(L574,Sheet2!D:E,2,0)</f>
        <v>Main Processor CPU BGA</v>
      </c>
      <c r="N574" s="17" t="n">
        <v>1</v>
      </c>
      <c r="O574" s="17" t="str">
        <f aca="false">VLOOKUP(N574,Sheet2!G:H,2,0)</f>
        <v>Dead</v>
      </c>
      <c r="P574" s="17" t="n">
        <v>11</v>
      </c>
      <c r="Q574" s="17" t="str">
        <f aca="false">VLOOKUP(P574,Sheet2!J:K,2,0)</f>
        <v>IR Declared due to CID -TA</v>
      </c>
      <c r="R574" s="17" t="s">
        <v>35</v>
      </c>
      <c r="S574" s="17" t="str">
        <f aca="false">VLOOKUP(R574,Sheet2!N:O,2,0)</f>
        <v>IREPARABLE</v>
      </c>
      <c r="T574" s="18" t="str">
        <f aca="false">VLOOKUP(P574,Sheet2!Q:R,2,0)</f>
        <v>IR Normal - Track burn out</v>
      </c>
      <c r="U574" s="18" t="s">
        <v>122</v>
      </c>
      <c r="V574" s="17" t="n">
        <v>2</v>
      </c>
      <c r="W574" s="20" t="str">
        <f aca="false">VLOOKUP(V574,Sheet2!Q:R,2,0)</f>
        <v>IR CID -  Water log from other area</v>
      </c>
      <c r="X574" s="17" t="str">
        <f aca="false">J574</f>
        <v>A007</v>
      </c>
      <c r="Y574" s="17" t="str">
        <f aca="false">VLOOKUP(X574,Sheet2!A:B,2,0)</f>
        <v>HARIRAM GUPTA</v>
      </c>
      <c r="Z574" s="17" t="s">
        <v>381</v>
      </c>
      <c r="AA574" s="17" t="s">
        <v>237</v>
      </c>
      <c r="AB574" s="17" t="s">
        <v>41</v>
      </c>
      <c r="AC574" s="0" t="str">
        <f aca="false">LEFT(G574,2)</f>
        <v>28</v>
      </c>
      <c r="AD574" s="0"/>
      <c r="AE574" s="21" t="s">
        <v>238</v>
      </c>
    </row>
    <row r="575" customFormat="false" ht="15" hidden="false" customHeight="false" outlineLevel="0" collapsed="false">
      <c r="A575" s="13" t="n">
        <f aca="false">1+A574</f>
        <v>573</v>
      </c>
      <c r="B575" s="14" t="n">
        <v>1009582794</v>
      </c>
      <c r="C575" s="15" t="s">
        <v>139</v>
      </c>
      <c r="D575" s="16" t="s">
        <v>64</v>
      </c>
      <c r="E575" s="17" t="s">
        <v>64</v>
      </c>
      <c r="F575" s="18" t="s">
        <v>70</v>
      </c>
      <c r="G575" s="19" t="n">
        <v>277317125163</v>
      </c>
      <c r="H575" s="17" t="s">
        <v>35</v>
      </c>
      <c r="I575" s="17" t="s">
        <v>74</v>
      </c>
      <c r="J575" s="17" t="s">
        <v>100</v>
      </c>
      <c r="K575" s="17" t="str">
        <f aca="false">VLOOKUP(J575,Sheet2!A:B,2,0)</f>
        <v>PIYUSH CHAVDA</v>
      </c>
      <c r="L575" s="17" t="n">
        <v>1</v>
      </c>
      <c r="M575" s="17" t="str">
        <f aca="false">VLOOKUP(L575,Sheet2!D:E,2,0)</f>
        <v>Power Supply Section</v>
      </c>
      <c r="N575" s="17" t="n">
        <v>1</v>
      </c>
      <c r="O575" s="17" t="str">
        <f aca="false">VLOOKUP(N575,Sheet2!G:H,2,0)</f>
        <v>Dead</v>
      </c>
      <c r="P575" s="17" t="n">
        <v>12</v>
      </c>
      <c r="Q575" s="17" t="str">
        <f aca="false">VLOOKUP(P575,Sheet2!J:K,2,0)</f>
        <v>IR Declared due to Others ( IR Normal)TB</v>
      </c>
      <c r="R575" s="17" t="s">
        <v>35</v>
      </c>
      <c r="S575" s="17" t="str">
        <f aca="false">VLOOKUP(R575,Sheet2!N:O,2,0)</f>
        <v>IREPARABLE</v>
      </c>
      <c r="T575" s="18" t="str">
        <f aca="false">VLOOKUP(P575,Sheet2!Q:R,2,0)</f>
        <v>IR Normal - BER to IR</v>
      </c>
      <c r="U575" s="18" t="s">
        <v>101</v>
      </c>
      <c r="V575" s="17" t="n">
        <v>8</v>
      </c>
      <c r="W575" s="20" t="str">
        <f aca="false">VLOOKUP(V575,Sheet2!Q:R,2,0)</f>
        <v>IR Normal -TrackRust/InternalDamage/open</v>
      </c>
      <c r="X575" s="17" t="str">
        <f aca="false">J575</f>
        <v>A050</v>
      </c>
      <c r="Y575" s="17" t="str">
        <f aca="false">VLOOKUP(X575,Sheet2!A:B,2,0)</f>
        <v>PIYUSH CHAVDA</v>
      </c>
      <c r="Z575" s="17" t="s">
        <v>381</v>
      </c>
      <c r="AA575" s="17" t="s">
        <v>237</v>
      </c>
      <c r="AB575" s="17" t="s">
        <v>41</v>
      </c>
      <c r="AC575" s="0" t="str">
        <f aca="false">LEFT(G575,2)</f>
        <v>27</v>
      </c>
      <c r="AD575" s="0"/>
      <c r="AE575" s="21" t="s">
        <v>238</v>
      </c>
    </row>
    <row r="576" customFormat="false" ht="15" hidden="false" customHeight="false" outlineLevel="0" collapsed="false">
      <c r="A576" s="13" t="n">
        <f aca="false">1+A575</f>
        <v>574</v>
      </c>
      <c r="B576" s="14" t="n">
        <v>1009311443</v>
      </c>
      <c r="C576" s="15" t="s">
        <v>185</v>
      </c>
      <c r="D576" s="16" t="s">
        <v>180</v>
      </c>
      <c r="E576" s="17" t="s">
        <v>47</v>
      </c>
      <c r="F576" s="18" t="s">
        <v>34</v>
      </c>
      <c r="G576" s="19" t="n">
        <v>277248140596</v>
      </c>
      <c r="H576" s="17" t="s">
        <v>35</v>
      </c>
      <c r="I576" s="17" t="s">
        <v>74</v>
      </c>
      <c r="J576" s="17" t="s">
        <v>111</v>
      </c>
      <c r="K576" s="17" t="str">
        <f aca="false">VLOOKUP(J576,Sheet2!A:B,2,0)</f>
        <v>NITIN PRANAMI</v>
      </c>
      <c r="L576" s="17" t="n">
        <v>1</v>
      </c>
      <c r="M576" s="17" t="str">
        <f aca="false">VLOOKUP(L576,Sheet2!D:E,2,0)</f>
        <v>Power Supply Section</v>
      </c>
      <c r="N576" s="17" t="n">
        <v>1</v>
      </c>
      <c r="O576" s="17" t="str">
        <f aca="false">VLOOKUP(N576,Sheet2!G:H,2,0)</f>
        <v>Dead</v>
      </c>
      <c r="P576" s="17" t="n">
        <v>11</v>
      </c>
      <c r="Q576" s="17" t="str">
        <f aca="false">VLOOKUP(P576,Sheet2!J:K,2,0)</f>
        <v>IR Declared due to CID -TA</v>
      </c>
      <c r="R576" s="17" t="s">
        <v>35</v>
      </c>
      <c r="S576" s="17" t="str">
        <f aca="false">VLOOKUP(R576,Sheet2!N:O,2,0)</f>
        <v>IREPARABLE</v>
      </c>
      <c r="T576" s="18" t="str">
        <f aca="false">VLOOKUP(P576,Sheet2!Q:R,2,0)</f>
        <v>IR Normal - Track burn out</v>
      </c>
      <c r="U576" s="18" t="s">
        <v>256</v>
      </c>
      <c r="V576" s="17" t="n">
        <v>1</v>
      </c>
      <c r="W576" s="20" t="str">
        <f aca="false">VLOOKUP(V576,Sheet2!Q:R,2,0)</f>
        <v>IR CID -  Water log from IF port</v>
      </c>
      <c r="X576" s="17" t="str">
        <f aca="false">J576</f>
        <v>A031</v>
      </c>
      <c r="Y576" s="17" t="str">
        <f aca="false">VLOOKUP(X576,Sheet2!A:B,2,0)</f>
        <v>NITIN PRANAMI</v>
      </c>
      <c r="Z576" s="17" t="s">
        <v>384</v>
      </c>
      <c r="AA576" s="17" t="s">
        <v>237</v>
      </c>
      <c r="AB576" s="17" t="s">
        <v>41</v>
      </c>
      <c r="AC576" s="0" t="str">
        <f aca="false">LEFT(G576,2)</f>
        <v>27</v>
      </c>
      <c r="AD576" s="0"/>
      <c r="AE576" s="21" t="s">
        <v>238</v>
      </c>
    </row>
    <row r="577" customFormat="false" ht="15" hidden="false" customHeight="false" outlineLevel="0" collapsed="false">
      <c r="A577" s="13" t="n">
        <f aca="false">1+A576</f>
        <v>575</v>
      </c>
      <c r="B577" s="14" t="n">
        <v>1009570605</v>
      </c>
      <c r="C577" s="15" t="s">
        <v>102</v>
      </c>
      <c r="D577" s="16" t="s">
        <v>64</v>
      </c>
      <c r="E577" s="17" t="s">
        <v>64</v>
      </c>
      <c r="F577" s="18" t="s">
        <v>70</v>
      </c>
      <c r="G577" s="19" t="n">
        <v>288077100171</v>
      </c>
      <c r="H577" s="17" t="s">
        <v>35</v>
      </c>
      <c r="I577" s="17" t="s">
        <v>74</v>
      </c>
      <c r="J577" s="17" t="s">
        <v>118</v>
      </c>
      <c r="K577" s="17" t="str">
        <f aca="false">VLOOKUP(J577,Sheet2!A:B,2,0)</f>
        <v>DEVENDRA RAJPUT</v>
      </c>
      <c r="L577" s="17" t="n">
        <v>5</v>
      </c>
      <c r="M577" s="17" t="str">
        <f aca="false">VLOOKUP(L577,Sheet2!D:E,2,0)</f>
        <v>Main Processor CPU BGA</v>
      </c>
      <c r="N577" s="17" t="n">
        <v>24</v>
      </c>
      <c r="O577" s="17" t="str">
        <f aca="false">VLOOKUP(N577,Sheet2!G:H,2,0)</f>
        <v>STB Auto moving -Stand by mode</v>
      </c>
      <c r="P577" s="17" t="n">
        <v>12</v>
      </c>
      <c r="Q577" s="17" t="str">
        <f aca="false">VLOOKUP(P577,Sheet2!J:K,2,0)</f>
        <v>IR Declared due to Others ( IR Normal)TB</v>
      </c>
      <c r="R577" s="17" t="s">
        <v>35</v>
      </c>
      <c r="S577" s="17" t="str">
        <f aca="false">VLOOKUP(R577,Sheet2!N:O,2,0)</f>
        <v>IREPARABLE</v>
      </c>
      <c r="T577" s="18" t="str">
        <f aca="false">VLOOKUP(P577,Sheet2!Q:R,2,0)</f>
        <v>IR Normal - BER to IR</v>
      </c>
      <c r="U577" s="18" t="s">
        <v>101</v>
      </c>
      <c r="V577" s="17" t="n">
        <v>8</v>
      </c>
      <c r="W577" s="20" t="str">
        <f aca="false">VLOOKUP(V577,Sheet2!Q:R,2,0)</f>
        <v>IR Normal -TrackRust/InternalDamage/open</v>
      </c>
      <c r="X577" s="17" t="str">
        <f aca="false">J577</f>
        <v>A053</v>
      </c>
      <c r="Y577" s="17" t="str">
        <f aca="false">VLOOKUP(X577,Sheet2!A:B,2,0)</f>
        <v>DEVENDRA RAJPUT</v>
      </c>
      <c r="Z577" s="17" t="s">
        <v>385</v>
      </c>
      <c r="AA577" s="17" t="s">
        <v>237</v>
      </c>
      <c r="AB577" s="17" t="s">
        <v>41</v>
      </c>
      <c r="AC577" s="0" t="str">
        <f aca="false">LEFT(G577,2)</f>
        <v>28</v>
      </c>
      <c r="AD577" s="0"/>
      <c r="AE577" s="21" t="s">
        <v>238</v>
      </c>
    </row>
    <row r="578" customFormat="false" ht="15" hidden="false" customHeight="false" outlineLevel="0" collapsed="false">
      <c r="A578" s="13" t="n">
        <f aca="false">1+A577</f>
        <v>576</v>
      </c>
      <c r="B578" s="14" t="n">
        <v>1009311438</v>
      </c>
      <c r="C578" s="15" t="s">
        <v>185</v>
      </c>
      <c r="D578" s="16" t="s">
        <v>154</v>
      </c>
      <c r="E578" s="17" t="s">
        <v>47</v>
      </c>
      <c r="F578" s="18" t="s">
        <v>34</v>
      </c>
      <c r="G578" s="19" t="n">
        <v>277316203128</v>
      </c>
      <c r="H578" s="17" t="s">
        <v>35</v>
      </c>
      <c r="I578" s="17" t="s">
        <v>74</v>
      </c>
      <c r="J578" s="17" t="s">
        <v>111</v>
      </c>
      <c r="K578" s="17" t="str">
        <f aca="false">VLOOKUP(J578,Sheet2!A:B,2,0)</f>
        <v>NITIN PRANAMI</v>
      </c>
      <c r="L578" s="17" t="n">
        <v>1</v>
      </c>
      <c r="M578" s="17" t="str">
        <f aca="false">VLOOKUP(L578,Sheet2!D:E,2,0)</f>
        <v>Power Supply Section</v>
      </c>
      <c r="N578" s="17" t="n">
        <v>1</v>
      </c>
      <c r="O578" s="17" t="str">
        <f aca="false">VLOOKUP(N578,Sheet2!G:H,2,0)</f>
        <v>Dead</v>
      </c>
      <c r="P578" s="17" t="n">
        <v>12</v>
      </c>
      <c r="Q578" s="17" t="str">
        <f aca="false">VLOOKUP(P578,Sheet2!J:K,2,0)</f>
        <v>IR Declared due to Others ( IR Normal)TB</v>
      </c>
      <c r="R578" s="17" t="s">
        <v>35</v>
      </c>
      <c r="S578" s="17" t="str">
        <f aca="false">VLOOKUP(R578,Sheet2!N:O,2,0)</f>
        <v>IREPARABLE</v>
      </c>
      <c r="T578" s="18" t="str">
        <f aca="false">VLOOKUP(P578,Sheet2!Q:R,2,0)</f>
        <v>IR Normal - BER to IR</v>
      </c>
      <c r="U578" s="18" t="s">
        <v>101</v>
      </c>
      <c r="V578" s="17" t="n">
        <v>8</v>
      </c>
      <c r="W578" s="20" t="str">
        <f aca="false">VLOOKUP(V578,Sheet2!Q:R,2,0)</f>
        <v>IR Normal -TrackRust/InternalDamage/open</v>
      </c>
      <c r="X578" s="17" t="str">
        <f aca="false">J578</f>
        <v>A031</v>
      </c>
      <c r="Y578" s="17" t="str">
        <f aca="false">VLOOKUP(X578,Sheet2!A:B,2,0)</f>
        <v>NITIN PRANAMI</v>
      </c>
      <c r="Z578" s="17" t="s">
        <v>381</v>
      </c>
      <c r="AA578" s="17" t="s">
        <v>237</v>
      </c>
      <c r="AB578" s="17" t="s">
        <v>41</v>
      </c>
      <c r="AC578" s="0" t="str">
        <f aca="false">LEFT(G578,2)</f>
        <v>27</v>
      </c>
      <c r="AD578" s="0"/>
      <c r="AE578" s="21" t="s">
        <v>238</v>
      </c>
    </row>
    <row r="579" customFormat="false" ht="15" hidden="false" customHeight="false" outlineLevel="0" collapsed="false">
      <c r="A579" s="13" t="n">
        <f aca="false">1+A578</f>
        <v>577</v>
      </c>
      <c r="B579" s="14" t="n">
        <v>1009509655</v>
      </c>
      <c r="C579" s="15" t="s">
        <v>95</v>
      </c>
      <c r="D579" s="16" t="s">
        <v>64</v>
      </c>
      <c r="E579" s="17" t="s">
        <v>47</v>
      </c>
      <c r="F579" s="18" t="s">
        <v>34</v>
      </c>
      <c r="G579" s="19" t="n">
        <v>277325130916</v>
      </c>
      <c r="H579" s="17" t="s">
        <v>35</v>
      </c>
      <c r="I579" s="17" t="s">
        <v>74</v>
      </c>
      <c r="J579" s="17" t="s">
        <v>239</v>
      </c>
      <c r="K579" s="17" t="str">
        <f aca="false">VLOOKUP(J579,Sheet2!A:B,2,0)</f>
        <v>VASANT PARMAR</v>
      </c>
      <c r="L579" s="17" t="n">
        <v>5</v>
      </c>
      <c r="M579" s="17" t="str">
        <f aca="false">VLOOKUP(L579,Sheet2!D:E,2,0)</f>
        <v>Main Processor CPU BGA</v>
      </c>
      <c r="N579" s="17" t="n">
        <v>24</v>
      </c>
      <c r="O579" s="17" t="str">
        <f aca="false">VLOOKUP(N579,Sheet2!G:H,2,0)</f>
        <v>STB Auto moving -Stand by mode</v>
      </c>
      <c r="P579" s="17" t="n">
        <v>11</v>
      </c>
      <c r="Q579" s="17" t="str">
        <f aca="false">VLOOKUP(P579,Sheet2!J:K,2,0)</f>
        <v>IR Declared due to CID -TA</v>
      </c>
      <c r="R579" s="17" t="s">
        <v>35</v>
      </c>
      <c r="S579" s="17" t="str">
        <f aca="false">VLOOKUP(R579,Sheet2!N:O,2,0)</f>
        <v>IREPARABLE</v>
      </c>
      <c r="T579" s="18" t="str">
        <f aca="false">VLOOKUP(P579,Sheet2!Q:R,2,0)</f>
        <v>IR Normal - Track burn out</v>
      </c>
      <c r="U579" s="18" t="s">
        <v>122</v>
      </c>
      <c r="V579" s="17" t="n">
        <v>2</v>
      </c>
      <c r="W579" s="20" t="str">
        <f aca="false">VLOOKUP(V579,Sheet2!Q:R,2,0)</f>
        <v>IR CID -  Water log from other area</v>
      </c>
      <c r="X579" s="17" t="str">
        <f aca="false">J579</f>
        <v>A005</v>
      </c>
      <c r="Y579" s="17" t="str">
        <f aca="false">VLOOKUP(X579,Sheet2!A:B,2,0)</f>
        <v>VASANT PARMAR</v>
      </c>
      <c r="Z579" s="17" t="s">
        <v>386</v>
      </c>
      <c r="AA579" s="17" t="s">
        <v>237</v>
      </c>
      <c r="AB579" s="17" t="s">
        <v>41</v>
      </c>
      <c r="AC579" s="0" t="str">
        <f aca="false">LEFT(G579,2)</f>
        <v>27</v>
      </c>
      <c r="AD579" s="0"/>
      <c r="AE579" s="21" t="s">
        <v>238</v>
      </c>
    </row>
    <row r="580" customFormat="false" ht="15" hidden="false" customHeight="false" outlineLevel="0" collapsed="false">
      <c r="A580" s="13" t="n">
        <f aca="false">1+A579</f>
        <v>578</v>
      </c>
      <c r="B580" s="14" t="n">
        <v>1009295116</v>
      </c>
      <c r="C580" s="15" t="s">
        <v>201</v>
      </c>
      <c r="D580" s="16" t="s">
        <v>180</v>
      </c>
      <c r="E580" s="17" t="s">
        <v>114</v>
      </c>
      <c r="F580" s="18" t="s">
        <v>34</v>
      </c>
      <c r="G580" s="19" t="n">
        <v>277234139164</v>
      </c>
      <c r="H580" s="17" t="s">
        <v>35</v>
      </c>
      <c r="I580" s="17" t="s">
        <v>74</v>
      </c>
      <c r="J580" s="17" t="s">
        <v>100</v>
      </c>
      <c r="K580" s="17" t="str">
        <f aca="false">VLOOKUP(J580,Sheet2!A:B,2,0)</f>
        <v>PIYUSH CHAVDA</v>
      </c>
      <c r="L580" s="17" t="n">
        <v>2</v>
      </c>
      <c r="M580" s="17" t="str">
        <f aca="false">VLOOKUP(L580,Sheet2!D:E,2,0)</f>
        <v>Tuner Section</v>
      </c>
      <c r="N580" s="17" t="n">
        <v>6</v>
      </c>
      <c r="O580" s="17" t="str">
        <f aca="false">VLOOKUP(N580,Sheet2!G:H,2,0)</f>
        <v>No Signal</v>
      </c>
      <c r="P580" s="17" t="n">
        <v>11</v>
      </c>
      <c r="Q580" s="17" t="str">
        <f aca="false">VLOOKUP(P580,Sheet2!J:K,2,0)</f>
        <v>IR Declared due to CID -TA</v>
      </c>
      <c r="R580" s="17" t="s">
        <v>35</v>
      </c>
      <c r="S580" s="17" t="str">
        <f aca="false">VLOOKUP(R580,Sheet2!N:O,2,0)</f>
        <v>IREPARABLE</v>
      </c>
      <c r="T580" s="18" t="str">
        <f aca="false">VLOOKUP(P580,Sheet2!Q:R,2,0)</f>
        <v>IR Normal - Track burn out</v>
      </c>
      <c r="U580" s="18" t="s">
        <v>256</v>
      </c>
      <c r="V580" s="17" t="n">
        <v>1</v>
      </c>
      <c r="W580" s="20" t="str">
        <f aca="false">VLOOKUP(V580,Sheet2!Q:R,2,0)</f>
        <v>IR CID -  Water log from IF port</v>
      </c>
      <c r="X580" s="17" t="str">
        <f aca="false">J580</f>
        <v>A050</v>
      </c>
      <c r="Y580" s="17" t="str">
        <f aca="false">VLOOKUP(X580,Sheet2!A:B,2,0)</f>
        <v>PIYUSH CHAVDA</v>
      </c>
      <c r="Z580" s="17" t="s">
        <v>384</v>
      </c>
      <c r="AA580" s="17" t="s">
        <v>237</v>
      </c>
      <c r="AB580" s="17" t="s">
        <v>41</v>
      </c>
      <c r="AC580" s="0" t="str">
        <f aca="false">LEFT(G580,2)</f>
        <v>27</v>
      </c>
      <c r="AD580" s="0"/>
      <c r="AE580" s="21" t="s">
        <v>238</v>
      </c>
    </row>
    <row r="581" customFormat="false" ht="15" hidden="false" customHeight="false" outlineLevel="0" collapsed="false">
      <c r="A581" s="13" t="n">
        <f aca="false">1+A580</f>
        <v>579</v>
      </c>
      <c r="B581" s="14" t="n">
        <v>1009306620</v>
      </c>
      <c r="C581" s="15" t="s">
        <v>185</v>
      </c>
      <c r="D581" s="16" t="s">
        <v>64</v>
      </c>
      <c r="E581" s="17" t="s">
        <v>47</v>
      </c>
      <c r="F581" s="18" t="s">
        <v>34</v>
      </c>
      <c r="G581" s="19" t="n">
        <v>844074771917</v>
      </c>
      <c r="H581" s="17" t="s">
        <v>35</v>
      </c>
      <c r="I581" s="17" t="s">
        <v>36</v>
      </c>
      <c r="J581" s="17" t="s">
        <v>323</v>
      </c>
      <c r="K581" s="17" t="str">
        <f aca="false">VLOOKUP(J581,Sheet2!A:B,2,0)</f>
        <v>GHANSHYAM VYAS</v>
      </c>
      <c r="L581" s="17" t="n">
        <v>1</v>
      </c>
      <c r="M581" s="17" t="str">
        <f aca="false">VLOOKUP(L581,Sheet2!D:E,2,0)</f>
        <v>Power Supply Section</v>
      </c>
      <c r="N581" s="17" t="n">
        <v>1</v>
      </c>
      <c r="O581" s="17" t="str">
        <f aca="false">VLOOKUP(N581,Sheet2!G:H,2,0)</f>
        <v>Dead</v>
      </c>
      <c r="P581" s="17" t="n">
        <v>12</v>
      </c>
      <c r="Q581" s="17" t="str">
        <f aca="false">VLOOKUP(P581,Sheet2!J:K,2,0)</f>
        <v>IR Declared due to Others ( IR Normal)TB</v>
      </c>
      <c r="R581" s="17" t="s">
        <v>35</v>
      </c>
      <c r="S581" s="17" t="str">
        <f aca="false">VLOOKUP(R581,Sheet2!N:O,2,0)</f>
        <v>IREPARABLE</v>
      </c>
      <c r="T581" s="18" t="str">
        <f aca="false">VLOOKUP(P581,Sheet2!Q:R,2,0)</f>
        <v>IR Normal - BER to IR</v>
      </c>
      <c r="U581" s="20" t="s">
        <v>135</v>
      </c>
      <c r="V581" s="17" t="n">
        <v>12</v>
      </c>
      <c r="W581" s="20" t="str">
        <f aca="false">VLOOKUP(V581,Sheet2!Q:R,2,0)</f>
        <v>IR Normal - BER to IR</v>
      </c>
      <c r="X581" s="17" t="str">
        <f aca="false">J581</f>
        <v>A068</v>
      </c>
      <c r="Y581" s="17" t="str">
        <f aca="false">VLOOKUP(X581,Sheet2!A:B,2,0)</f>
        <v>GHANSHYAM VYAS</v>
      </c>
      <c r="Z581" s="17" t="s">
        <v>387</v>
      </c>
      <c r="AA581" s="17" t="s">
        <v>237</v>
      </c>
      <c r="AB581" s="17" t="s">
        <v>41</v>
      </c>
      <c r="AC581" s="0" t="str">
        <f aca="false">LEFT(G581,2)</f>
        <v>84</v>
      </c>
      <c r="AD581" s="0"/>
      <c r="AE581" s="21" t="s">
        <v>238</v>
      </c>
    </row>
    <row r="582" customFormat="false" ht="15" hidden="false" customHeight="false" outlineLevel="0" collapsed="false">
      <c r="A582" s="13" t="n">
        <f aca="false">1+A581</f>
        <v>580</v>
      </c>
      <c r="B582" s="14" t="n">
        <v>1009306698</v>
      </c>
      <c r="C582" s="15" t="s">
        <v>185</v>
      </c>
      <c r="D582" s="16" t="s">
        <v>64</v>
      </c>
      <c r="E582" s="17" t="s">
        <v>114</v>
      </c>
      <c r="F582" s="18" t="s">
        <v>34</v>
      </c>
      <c r="G582" s="19" t="n">
        <v>854157706300</v>
      </c>
      <c r="H582" s="17" t="s">
        <v>35</v>
      </c>
      <c r="I582" s="17" t="s">
        <v>36</v>
      </c>
      <c r="J582" s="17" t="s">
        <v>323</v>
      </c>
      <c r="K582" s="17" t="str">
        <f aca="false">VLOOKUP(J582,Sheet2!A:B,2,0)</f>
        <v>GHANSHYAM VYAS</v>
      </c>
      <c r="L582" s="17" t="n">
        <v>1</v>
      </c>
      <c r="M582" s="17" t="str">
        <f aca="false">VLOOKUP(L582,Sheet2!D:E,2,0)</f>
        <v>Power Supply Section</v>
      </c>
      <c r="N582" s="17" t="n">
        <v>1</v>
      </c>
      <c r="O582" s="17" t="str">
        <f aca="false">VLOOKUP(N582,Sheet2!G:H,2,0)</f>
        <v>Dead</v>
      </c>
      <c r="P582" s="17" t="n">
        <v>12</v>
      </c>
      <c r="Q582" s="17" t="str">
        <f aca="false">VLOOKUP(P582,Sheet2!J:K,2,0)</f>
        <v>IR Declared due to Others ( IR Normal)TB</v>
      </c>
      <c r="R582" s="17" t="s">
        <v>35</v>
      </c>
      <c r="S582" s="17" t="str">
        <f aca="false">VLOOKUP(R582,Sheet2!N:O,2,0)</f>
        <v>IREPARABLE</v>
      </c>
      <c r="T582" s="18" t="str">
        <f aca="false">VLOOKUP(P582,Sheet2!Q:R,2,0)</f>
        <v>IR Normal - BER to IR</v>
      </c>
      <c r="U582" s="20" t="s">
        <v>135</v>
      </c>
      <c r="V582" s="17" t="n">
        <v>12</v>
      </c>
      <c r="W582" s="20" t="str">
        <f aca="false">VLOOKUP(V582,Sheet2!Q:R,2,0)</f>
        <v>IR Normal - BER to IR</v>
      </c>
      <c r="X582" s="17" t="str">
        <f aca="false">J582</f>
        <v>A068</v>
      </c>
      <c r="Y582" s="17" t="str">
        <f aca="false">VLOOKUP(X582,Sheet2!A:B,2,0)</f>
        <v>GHANSHYAM VYAS</v>
      </c>
      <c r="Z582" s="17" t="s">
        <v>387</v>
      </c>
      <c r="AA582" s="17" t="s">
        <v>237</v>
      </c>
      <c r="AB582" s="17" t="s">
        <v>41</v>
      </c>
      <c r="AC582" s="0" t="str">
        <f aca="false">LEFT(G582,2)</f>
        <v>85</v>
      </c>
      <c r="AD582" s="0"/>
      <c r="AE582" s="21" t="s">
        <v>238</v>
      </c>
    </row>
    <row r="583" customFormat="false" ht="15" hidden="false" customHeight="false" outlineLevel="0" collapsed="false">
      <c r="A583" s="13" t="n">
        <f aca="false">1+A582</f>
        <v>581</v>
      </c>
      <c r="B583" s="14" t="n">
        <v>1009576431</v>
      </c>
      <c r="C583" s="15" t="s">
        <v>104</v>
      </c>
      <c r="D583" s="16" t="s">
        <v>175</v>
      </c>
      <c r="E583" s="17" t="s">
        <v>176</v>
      </c>
      <c r="F583" s="18" t="s">
        <v>34</v>
      </c>
      <c r="G583" s="19" t="n">
        <v>852351727700</v>
      </c>
      <c r="H583" s="17" t="s">
        <v>35</v>
      </c>
      <c r="I583" s="17" t="s">
        <v>36</v>
      </c>
      <c r="J583" s="17" t="s">
        <v>100</v>
      </c>
      <c r="K583" s="17" t="str">
        <f aca="false">VLOOKUP(J583,Sheet2!A:B,2,0)</f>
        <v>PIYUSH CHAVDA</v>
      </c>
      <c r="L583" s="17" t="n">
        <v>1</v>
      </c>
      <c r="M583" s="17" t="str">
        <f aca="false">VLOOKUP(L583,Sheet2!D:E,2,0)</f>
        <v>Power Supply Section</v>
      </c>
      <c r="N583" s="17" t="n">
        <v>1</v>
      </c>
      <c r="O583" s="17" t="str">
        <f aca="false">VLOOKUP(N583,Sheet2!G:H,2,0)</f>
        <v>Dead</v>
      </c>
      <c r="P583" s="17" t="n">
        <v>12</v>
      </c>
      <c r="Q583" s="17" t="str">
        <f aca="false">VLOOKUP(P583,Sheet2!J:K,2,0)</f>
        <v>IR Declared due to Others ( IR Normal)TB</v>
      </c>
      <c r="R583" s="17" t="s">
        <v>35</v>
      </c>
      <c r="S583" s="17" t="str">
        <f aca="false">VLOOKUP(R583,Sheet2!N:O,2,0)</f>
        <v>IREPARABLE</v>
      </c>
      <c r="T583" s="18" t="str">
        <f aca="false">VLOOKUP(P583,Sheet2!Q:R,2,0)</f>
        <v>IR Normal - BER to IR</v>
      </c>
      <c r="U583" s="20" t="s">
        <v>110</v>
      </c>
      <c r="V583" s="17" t="n">
        <v>9</v>
      </c>
      <c r="W583" s="20" t="str">
        <f aca="false">VLOOKUP(V583,Sheet2!Q:R,2,0)</f>
        <v>IR Normal - Multiple time repair </v>
      </c>
      <c r="X583" s="17" t="str">
        <f aca="false">J583</f>
        <v>A050</v>
      </c>
      <c r="Y583" s="17" t="str">
        <f aca="false">VLOOKUP(X583,Sheet2!A:B,2,0)</f>
        <v>PIYUSH CHAVDA</v>
      </c>
      <c r="Z583" s="17" t="s">
        <v>387</v>
      </c>
      <c r="AA583" s="17" t="s">
        <v>237</v>
      </c>
      <c r="AB583" s="17" t="s">
        <v>41</v>
      </c>
      <c r="AC583" s="0" t="str">
        <f aca="false">LEFT(G583,2)</f>
        <v>85</v>
      </c>
      <c r="AD583" s="0"/>
      <c r="AE583" s="21" t="s">
        <v>238</v>
      </c>
    </row>
    <row r="584" customFormat="false" ht="15" hidden="false" customHeight="false" outlineLevel="0" collapsed="false">
      <c r="A584" s="13" t="n">
        <f aca="false">1+A583</f>
        <v>582</v>
      </c>
      <c r="B584" s="14" t="n">
        <v>1009611859</v>
      </c>
      <c r="C584" s="15" t="s">
        <v>181</v>
      </c>
      <c r="D584" s="16" t="s">
        <v>196</v>
      </c>
      <c r="E584" s="17" t="s">
        <v>47</v>
      </c>
      <c r="F584" s="18" t="s">
        <v>34</v>
      </c>
      <c r="G584" s="19" t="n">
        <v>853253707394</v>
      </c>
      <c r="H584" s="17" t="s">
        <v>35</v>
      </c>
      <c r="I584" s="17" t="s">
        <v>36</v>
      </c>
      <c r="J584" s="17" t="s">
        <v>111</v>
      </c>
      <c r="K584" s="17" t="str">
        <f aca="false">VLOOKUP(J584,Sheet2!A:B,2,0)</f>
        <v>NITIN PRANAMI</v>
      </c>
      <c r="L584" s="17" t="n">
        <v>1</v>
      </c>
      <c r="M584" s="17" t="str">
        <f aca="false">VLOOKUP(L584,Sheet2!D:E,2,0)</f>
        <v>Power Supply Section</v>
      </c>
      <c r="N584" s="17" t="n">
        <v>1</v>
      </c>
      <c r="O584" s="17" t="str">
        <f aca="false">VLOOKUP(N584,Sheet2!G:H,2,0)</f>
        <v>Dead</v>
      </c>
      <c r="P584" s="17" t="n">
        <v>12</v>
      </c>
      <c r="Q584" s="17" t="str">
        <f aca="false">VLOOKUP(P584,Sheet2!J:K,2,0)</f>
        <v>IR Declared due to Others ( IR Normal)TB</v>
      </c>
      <c r="R584" s="17" t="s">
        <v>35</v>
      </c>
      <c r="S584" s="17" t="str">
        <f aca="false">VLOOKUP(R584,Sheet2!N:O,2,0)</f>
        <v>IREPARABLE</v>
      </c>
      <c r="T584" s="18" t="str">
        <f aca="false">VLOOKUP(P584,Sheet2!Q:R,2,0)</f>
        <v>IR Normal - BER to IR</v>
      </c>
      <c r="U584" s="18" t="s">
        <v>101</v>
      </c>
      <c r="V584" s="17" t="n">
        <v>8</v>
      </c>
      <c r="W584" s="20" t="str">
        <f aca="false">VLOOKUP(V584,Sheet2!Q:R,2,0)</f>
        <v>IR Normal -TrackRust/InternalDamage/open</v>
      </c>
      <c r="X584" s="17" t="str">
        <f aca="false">J584</f>
        <v>A031</v>
      </c>
      <c r="Y584" s="17" t="str">
        <f aca="false">VLOOKUP(X584,Sheet2!A:B,2,0)</f>
        <v>NITIN PRANAMI</v>
      </c>
      <c r="Z584" s="17" t="s">
        <v>388</v>
      </c>
      <c r="AA584" s="17" t="s">
        <v>237</v>
      </c>
      <c r="AB584" s="17" t="s">
        <v>41</v>
      </c>
      <c r="AC584" s="0" t="str">
        <f aca="false">LEFT(G584,2)</f>
        <v>85</v>
      </c>
      <c r="AD584" s="0"/>
      <c r="AE584" s="21" t="s">
        <v>238</v>
      </c>
    </row>
    <row r="585" customFormat="false" ht="15" hidden="false" customHeight="false" outlineLevel="0" collapsed="false">
      <c r="A585" s="13" t="n">
        <f aca="false">1+A584</f>
        <v>583</v>
      </c>
      <c r="B585" s="14" t="n">
        <v>1009525316</v>
      </c>
      <c r="C585" s="15" t="s">
        <v>162</v>
      </c>
      <c r="D585" s="16" t="s">
        <v>119</v>
      </c>
      <c r="E585" s="17" t="s">
        <v>47</v>
      </c>
      <c r="F585" s="18" t="s">
        <v>34</v>
      </c>
      <c r="G585" s="19" t="n">
        <v>853187773470</v>
      </c>
      <c r="H585" s="17" t="s">
        <v>35</v>
      </c>
      <c r="I585" s="17" t="s">
        <v>36</v>
      </c>
      <c r="J585" s="17" t="s">
        <v>239</v>
      </c>
      <c r="K585" s="17" t="str">
        <f aca="false">VLOOKUP(J585,Sheet2!A:B,2,0)</f>
        <v>VASANT PARMAR</v>
      </c>
      <c r="L585" s="17" t="n">
        <v>5</v>
      </c>
      <c r="M585" s="17" t="str">
        <f aca="false">VLOOKUP(L585,Sheet2!D:E,2,0)</f>
        <v>Main Processor CPU BGA</v>
      </c>
      <c r="N585" s="17" t="n">
        <v>1</v>
      </c>
      <c r="O585" s="17" t="str">
        <f aca="false">VLOOKUP(N585,Sheet2!G:H,2,0)</f>
        <v>Dead</v>
      </c>
      <c r="P585" s="17" t="n">
        <v>11</v>
      </c>
      <c r="Q585" s="17" t="str">
        <f aca="false">VLOOKUP(P585,Sheet2!J:K,2,0)</f>
        <v>IR Declared due to CID -TA</v>
      </c>
      <c r="R585" s="17" t="s">
        <v>35</v>
      </c>
      <c r="S585" s="17" t="str">
        <f aca="false">VLOOKUP(R585,Sheet2!N:O,2,0)</f>
        <v>IREPARABLE</v>
      </c>
      <c r="T585" s="18" t="str">
        <f aca="false">VLOOKUP(P585,Sheet2!Q:R,2,0)</f>
        <v>IR Normal - Track burn out</v>
      </c>
      <c r="U585" s="18" t="s">
        <v>122</v>
      </c>
      <c r="V585" s="17" t="n">
        <v>2</v>
      </c>
      <c r="W585" s="20" t="str">
        <f aca="false">VLOOKUP(V585,Sheet2!Q:R,2,0)</f>
        <v>IR CID -  Water log from other area</v>
      </c>
      <c r="X585" s="17" t="str">
        <f aca="false">J585</f>
        <v>A005</v>
      </c>
      <c r="Y585" s="17" t="str">
        <f aca="false">VLOOKUP(X585,Sheet2!A:B,2,0)</f>
        <v>VASANT PARMAR</v>
      </c>
      <c r="Z585" s="17" t="s">
        <v>127</v>
      </c>
      <c r="AA585" s="17" t="s">
        <v>237</v>
      </c>
      <c r="AB585" s="17" t="s">
        <v>41</v>
      </c>
      <c r="AC585" s="0" t="str">
        <f aca="false">LEFT(G585,2)</f>
        <v>85</v>
      </c>
      <c r="AD585" s="0"/>
      <c r="AE585" s="21" t="s">
        <v>238</v>
      </c>
    </row>
    <row r="586" customFormat="false" ht="15" hidden="false" customHeight="false" outlineLevel="0" collapsed="false">
      <c r="A586" s="13" t="n">
        <f aca="false">1+A585</f>
        <v>584</v>
      </c>
      <c r="B586" s="14" t="n">
        <v>1009543756</v>
      </c>
      <c r="C586" s="15" t="s">
        <v>126</v>
      </c>
      <c r="D586" s="16" t="s">
        <v>64</v>
      </c>
      <c r="E586" s="17" t="s">
        <v>64</v>
      </c>
      <c r="F586" s="18" t="s">
        <v>70</v>
      </c>
      <c r="G586" s="19" t="n">
        <v>853294739141</v>
      </c>
      <c r="H586" s="17" t="s">
        <v>35</v>
      </c>
      <c r="I586" s="17" t="s">
        <v>36</v>
      </c>
      <c r="J586" s="17" t="s">
        <v>37</v>
      </c>
      <c r="K586" s="17" t="str">
        <f aca="false">VLOOKUP(J586,Sheet2!A:B,2,0)</f>
        <v>PRASHANT,AKASH</v>
      </c>
      <c r="L586" s="17" t="n">
        <v>1</v>
      </c>
      <c r="M586" s="17" t="str">
        <f aca="false">VLOOKUP(L586,Sheet2!D:E,2,0)</f>
        <v>Power Supply Section</v>
      </c>
      <c r="N586" s="17" t="n">
        <v>1</v>
      </c>
      <c r="O586" s="17" t="str">
        <f aca="false">VLOOKUP(N586,Sheet2!G:H,2,0)</f>
        <v>Dead</v>
      </c>
      <c r="P586" s="17" t="n">
        <v>12</v>
      </c>
      <c r="Q586" s="17" t="str">
        <f aca="false">VLOOKUP(P586,Sheet2!J:K,2,0)</f>
        <v>IR Declared due to Others ( IR Normal)TB</v>
      </c>
      <c r="R586" s="17" t="s">
        <v>35</v>
      </c>
      <c r="S586" s="17" t="str">
        <f aca="false">VLOOKUP(R586,Sheet2!N:O,2,0)</f>
        <v>IREPARABLE</v>
      </c>
      <c r="T586" s="18" t="str">
        <f aca="false">VLOOKUP(P586,Sheet2!Q:R,2,0)</f>
        <v>IR Normal - BER to IR</v>
      </c>
      <c r="U586" s="18" t="s">
        <v>101</v>
      </c>
      <c r="V586" s="17" t="n">
        <v>8</v>
      </c>
      <c r="W586" s="20" t="str">
        <f aca="false">VLOOKUP(V586,Sheet2!Q:R,2,0)</f>
        <v>IR Normal -TrackRust/InternalDamage/open</v>
      </c>
      <c r="X586" s="17" t="str">
        <f aca="false">J586</f>
        <v>A041</v>
      </c>
      <c r="Y586" s="17" t="str">
        <f aca="false">VLOOKUP(X586,Sheet2!A:B,2,0)</f>
        <v>PRASHANT,AKASH</v>
      </c>
      <c r="Z586" s="17" t="s">
        <v>389</v>
      </c>
      <c r="AA586" s="17" t="s">
        <v>237</v>
      </c>
      <c r="AB586" s="17" t="s">
        <v>41</v>
      </c>
      <c r="AC586" s="0" t="str">
        <f aca="false">LEFT(G586,2)</f>
        <v>85</v>
      </c>
      <c r="AD586" s="0"/>
      <c r="AE586" s="21" t="s">
        <v>238</v>
      </c>
    </row>
    <row r="587" customFormat="false" ht="15" hidden="false" customHeight="false" outlineLevel="0" collapsed="false">
      <c r="A587" s="13" t="n">
        <f aca="false">1+A586</f>
        <v>585</v>
      </c>
      <c r="B587" s="14" t="n">
        <v>1009570918</v>
      </c>
      <c r="C587" s="15" t="s">
        <v>102</v>
      </c>
      <c r="D587" s="16" t="s">
        <v>64</v>
      </c>
      <c r="E587" s="17" t="s">
        <v>64</v>
      </c>
      <c r="F587" s="18" t="s">
        <v>70</v>
      </c>
      <c r="G587" s="19" t="n">
        <v>853268730449</v>
      </c>
      <c r="H587" s="17" t="s">
        <v>35</v>
      </c>
      <c r="I587" s="17" t="s">
        <v>36</v>
      </c>
      <c r="J587" s="17" t="s">
        <v>37</v>
      </c>
      <c r="K587" s="17" t="str">
        <f aca="false">VLOOKUP(J587,Sheet2!A:B,2,0)</f>
        <v>PRASHANT,AKASH</v>
      </c>
      <c r="L587" s="17" t="n">
        <v>5</v>
      </c>
      <c r="M587" s="17" t="str">
        <f aca="false">VLOOKUP(L587,Sheet2!D:E,2,0)</f>
        <v>Main Processor CPU BGA</v>
      </c>
      <c r="N587" s="17" t="n">
        <v>24</v>
      </c>
      <c r="O587" s="17" t="str">
        <f aca="false">VLOOKUP(N587,Sheet2!G:H,2,0)</f>
        <v>STB Auto moving -Stand by mode</v>
      </c>
      <c r="P587" s="17" t="n">
        <v>12</v>
      </c>
      <c r="Q587" s="17" t="str">
        <f aca="false">VLOOKUP(P587,Sheet2!J:K,2,0)</f>
        <v>IR Declared due to Others ( IR Normal)TB</v>
      </c>
      <c r="R587" s="17" t="s">
        <v>35</v>
      </c>
      <c r="S587" s="17" t="str">
        <f aca="false">VLOOKUP(R587,Sheet2!N:O,2,0)</f>
        <v>IREPARABLE</v>
      </c>
      <c r="T587" s="18" t="str">
        <f aca="false">VLOOKUP(P587,Sheet2!Q:R,2,0)</f>
        <v>IR Normal - BER to IR</v>
      </c>
      <c r="U587" s="18" t="s">
        <v>101</v>
      </c>
      <c r="V587" s="17" t="n">
        <v>8</v>
      </c>
      <c r="W587" s="20" t="str">
        <f aca="false">VLOOKUP(V587,Sheet2!Q:R,2,0)</f>
        <v>IR Normal -TrackRust/InternalDamage/open</v>
      </c>
      <c r="X587" s="17" t="str">
        <f aca="false">J587</f>
        <v>A041</v>
      </c>
      <c r="Y587" s="17" t="str">
        <f aca="false">VLOOKUP(X587,Sheet2!A:B,2,0)</f>
        <v>PRASHANT,AKASH</v>
      </c>
      <c r="Z587" s="17" t="s">
        <v>127</v>
      </c>
      <c r="AA587" s="17" t="s">
        <v>237</v>
      </c>
      <c r="AB587" s="17" t="s">
        <v>41</v>
      </c>
      <c r="AC587" s="0" t="str">
        <f aca="false">LEFT(G587,2)</f>
        <v>85</v>
      </c>
      <c r="AD587" s="0"/>
      <c r="AE587" s="21" t="s">
        <v>238</v>
      </c>
    </row>
    <row r="588" customFormat="false" ht="15" hidden="false" customHeight="false" outlineLevel="0" collapsed="false">
      <c r="A588" s="13" t="n">
        <f aca="false">1+A587</f>
        <v>586</v>
      </c>
      <c r="B588" s="14" t="n">
        <v>1009350466</v>
      </c>
      <c r="C588" s="15" t="s">
        <v>87</v>
      </c>
      <c r="D588" s="16" t="s">
        <v>180</v>
      </c>
      <c r="E588" s="17" t="s">
        <v>47</v>
      </c>
      <c r="F588" s="18" t="s">
        <v>34</v>
      </c>
      <c r="G588" s="19" t="n">
        <v>853302732732</v>
      </c>
      <c r="H588" s="17" t="s">
        <v>35</v>
      </c>
      <c r="I588" s="17" t="s">
        <v>36</v>
      </c>
      <c r="J588" s="17" t="s">
        <v>111</v>
      </c>
      <c r="K588" s="17" t="str">
        <f aca="false">VLOOKUP(J588,Sheet2!A:B,2,0)</f>
        <v>NITIN PRANAMI</v>
      </c>
      <c r="L588" s="17" t="n">
        <v>1</v>
      </c>
      <c r="M588" s="17" t="str">
        <f aca="false">VLOOKUP(L588,Sheet2!D:E,2,0)</f>
        <v>Power Supply Section</v>
      </c>
      <c r="N588" s="17" t="n">
        <v>1</v>
      </c>
      <c r="O588" s="17" t="str">
        <f aca="false">VLOOKUP(N588,Sheet2!G:H,2,0)</f>
        <v>Dead</v>
      </c>
      <c r="P588" s="17" t="n">
        <v>12</v>
      </c>
      <c r="Q588" s="17" t="str">
        <f aca="false">VLOOKUP(P588,Sheet2!J:K,2,0)</f>
        <v>IR Declared due to Others ( IR Normal)TB</v>
      </c>
      <c r="R588" s="17" t="s">
        <v>35</v>
      </c>
      <c r="S588" s="17" t="str">
        <f aca="false">VLOOKUP(R588,Sheet2!N:O,2,0)</f>
        <v>IREPARABLE</v>
      </c>
      <c r="T588" s="18" t="str">
        <f aca="false">VLOOKUP(P588,Sheet2!Q:R,2,0)</f>
        <v>IR Normal - BER to IR</v>
      </c>
      <c r="U588" s="20" t="s">
        <v>110</v>
      </c>
      <c r="V588" s="17" t="n">
        <v>9</v>
      </c>
      <c r="W588" s="20" t="str">
        <f aca="false">VLOOKUP(V588,Sheet2!Q:R,2,0)</f>
        <v>IR Normal - Multiple time repair </v>
      </c>
      <c r="X588" s="17" t="str">
        <f aca="false">J588</f>
        <v>A031</v>
      </c>
      <c r="Y588" s="17" t="str">
        <f aca="false">VLOOKUP(X588,Sheet2!A:B,2,0)</f>
        <v>NITIN PRANAMI</v>
      </c>
      <c r="Z588" s="17" t="s">
        <v>127</v>
      </c>
      <c r="AA588" s="17" t="s">
        <v>237</v>
      </c>
      <c r="AB588" s="17" t="s">
        <v>41</v>
      </c>
      <c r="AC588" s="0" t="str">
        <f aca="false">LEFT(G588,2)</f>
        <v>85</v>
      </c>
      <c r="AD588" s="0"/>
      <c r="AE588" s="21" t="s">
        <v>238</v>
      </c>
    </row>
    <row r="589" customFormat="false" ht="15" hidden="false" customHeight="false" outlineLevel="0" collapsed="false">
      <c r="A589" s="13" t="n">
        <f aca="false">1+A588</f>
        <v>587</v>
      </c>
      <c r="B589" s="14" t="n">
        <v>1009571317</v>
      </c>
      <c r="C589" s="15" t="s">
        <v>102</v>
      </c>
      <c r="D589" s="16" t="s">
        <v>64</v>
      </c>
      <c r="E589" s="17" t="s">
        <v>64</v>
      </c>
      <c r="F589" s="18" t="s">
        <v>70</v>
      </c>
      <c r="G589" s="19" t="n">
        <v>853237710936</v>
      </c>
      <c r="H589" s="17" t="s">
        <v>35</v>
      </c>
      <c r="I589" s="17" t="s">
        <v>36</v>
      </c>
      <c r="J589" s="17" t="s">
        <v>37</v>
      </c>
      <c r="K589" s="17" t="str">
        <f aca="false">VLOOKUP(J589,Sheet2!A:B,2,0)</f>
        <v>PRASHANT,AKASH</v>
      </c>
      <c r="L589" s="17" t="n">
        <v>1</v>
      </c>
      <c r="M589" s="17" t="str">
        <f aca="false">VLOOKUP(L589,Sheet2!D:E,2,0)</f>
        <v>Power Supply Section</v>
      </c>
      <c r="N589" s="17" t="n">
        <v>1</v>
      </c>
      <c r="O589" s="17" t="str">
        <f aca="false">VLOOKUP(N589,Sheet2!G:H,2,0)</f>
        <v>Dead</v>
      </c>
      <c r="P589" s="17" t="n">
        <v>12</v>
      </c>
      <c r="Q589" s="17" t="str">
        <f aca="false">VLOOKUP(P589,Sheet2!J:K,2,0)</f>
        <v>IR Declared due to Others ( IR Normal)TB</v>
      </c>
      <c r="R589" s="17" t="s">
        <v>35</v>
      </c>
      <c r="S589" s="17" t="str">
        <f aca="false">VLOOKUP(R589,Sheet2!N:O,2,0)</f>
        <v>IREPARABLE</v>
      </c>
      <c r="T589" s="18" t="str">
        <f aca="false">VLOOKUP(P589,Sheet2!Q:R,2,0)</f>
        <v>IR Normal - BER to IR</v>
      </c>
      <c r="U589" s="20" t="s">
        <v>135</v>
      </c>
      <c r="V589" s="17" t="n">
        <v>12</v>
      </c>
      <c r="W589" s="20" t="str">
        <f aca="false">VLOOKUP(V589,Sheet2!Q:R,2,0)</f>
        <v>IR Normal - BER to IR</v>
      </c>
      <c r="X589" s="17" t="str">
        <f aca="false">J589</f>
        <v>A041</v>
      </c>
      <c r="Y589" s="17" t="str">
        <f aca="false">VLOOKUP(X589,Sheet2!A:B,2,0)</f>
        <v>PRASHANT,AKASH</v>
      </c>
      <c r="Z589" s="17" t="s">
        <v>390</v>
      </c>
      <c r="AA589" s="17" t="s">
        <v>237</v>
      </c>
      <c r="AB589" s="17" t="s">
        <v>41</v>
      </c>
      <c r="AC589" s="0" t="str">
        <f aca="false">LEFT(G589,2)</f>
        <v>85</v>
      </c>
      <c r="AD589" s="0"/>
      <c r="AE589" s="21" t="s">
        <v>238</v>
      </c>
    </row>
    <row r="590" customFormat="false" ht="15" hidden="false" customHeight="false" outlineLevel="0" collapsed="false">
      <c r="A590" s="13" t="n">
        <f aca="false">1+A589</f>
        <v>588</v>
      </c>
      <c r="B590" s="14" t="n">
        <v>1009331908</v>
      </c>
      <c r="C590" s="15" t="s">
        <v>59</v>
      </c>
      <c r="D590" s="16" t="s">
        <v>64</v>
      </c>
      <c r="E590" s="17" t="s">
        <v>47</v>
      </c>
      <c r="F590" s="18" t="s">
        <v>34</v>
      </c>
      <c r="G590" s="19" t="n">
        <v>853221717749</v>
      </c>
      <c r="H590" s="17" t="s">
        <v>35</v>
      </c>
      <c r="I590" s="17" t="s">
        <v>36</v>
      </c>
      <c r="J590" s="17" t="s">
        <v>111</v>
      </c>
      <c r="K590" s="17" t="str">
        <f aca="false">VLOOKUP(J590,Sheet2!A:B,2,0)</f>
        <v>NITIN PRANAMI</v>
      </c>
      <c r="L590" s="17" t="n">
        <v>1</v>
      </c>
      <c r="M590" s="17" t="str">
        <f aca="false">VLOOKUP(L590,Sheet2!D:E,2,0)</f>
        <v>Power Supply Section</v>
      </c>
      <c r="N590" s="17" t="n">
        <v>1</v>
      </c>
      <c r="O590" s="17" t="str">
        <f aca="false">VLOOKUP(N590,Sheet2!G:H,2,0)</f>
        <v>Dead</v>
      </c>
      <c r="P590" s="17" t="n">
        <v>11</v>
      </c>
      <c r="Q590" s="17" t="str">
        <f aca="false">VLOOKUP(P590,Sheet2!J:K,2,0)</f>
        <v>IR Declared due to CID -TA</v>
      </c>
      <c r="R590" s="17" t="s">
        <v>35</v>
      </c>
      <c r="S590" s="17" t="str">
        <f aca="false">VLOOKUP(R590,Sheet2!N:O,2,0)</f>
        <v>IREPARABLE</v>
      </c>
      <c r="T590" s="18" t="str">
        <f aca="false">VLOOKUP(P590,Sheet2!Q:R,2,0)</f>
        <v>IR Normal - Track burn out</v>
      </c>
      <c r="U590" s="18" t="s">
        <v>122</v>
      </c>
      <c r="V590" s="17" t="n">
        <v>2</v>
      </c>
      <c r="W590" s="20" t="str">
        <f aca="false">VLOOKUP(V590,Sheet2!Q:R,2,0)</f>
        <v>IR CID -  Water log from other area</v>
      </c>
      <c r="X590" s="17" t="str">
        <f aca="false">J590</f>
        <v>A031</v>
      </c>
      <c r="Y590" s="17" t="str">
        <f aca="false">VLOOKUP(X590,Sheet2!A:B,2,0)</f>
        <v>NITIN PRANAMI</v>
      </c>
      <c r="Z590" s="17" t="s">
        <v>391</v>
      </c>
      <c r="AA590" s="17" t="s">
        <v>237</v>
      </c>
      <c r="AB590" s="17" t="s">
        <v>41</v>
      </c>
      <c r="AC590" s="0" t="str">
        <f aca="false">LEFT(G590,2)</f>
        <v>85</v>
      </c>
      <c r="AD590" s="0"/>
      <c r="AE590" s="21" t="s">
        <v>238</v>
      </c>
    </row>
    <row r="591" customFormat="false" ht="15" hidden="false" customHeight="false" outlineLevel="0" collapsed="false">
      <c r="A591" s="13" t="n">
        <f aca="false">1+A590</f>
        <v>589</v>
      </c>
      <c r="B591" s="14" t="n">
        <v>1009584537</v>
      </c>
      <c r="C591" s="15" t="s">
        <v>139</v>
      </c>
      <c r="D591" s="16" t="s">
        <v>143</v>
      </c>
      <c r="E591" s="17" t="s">
        <v>33</v>
      </c>
      <c r="F591" s="18" t="s">
        <v>34</v>
      </c>
      <c r="G591" s="19" t="n">
        <v>844042700543</v>
      </c>
      <c r="H591" s="17" t="s">
        <v>35</v>
      </c>
      <c r="I591" s="17" t="s">
        <v>36</v>
      </c>
      <c r="J591" s="17" t="s">
        <v>100</v>
      </c>
      <c r="K591" s="17" t="str">
        <f aca="false">VLOOKUP(J591,Sheet2!A:B,2,0)</f>
        <v>PIYUSH CHAVDA</v>
      </c>
      <c r="L591" s="17" t="n">
        <v>5</v>
      </c>
      <c r="M591" s="17" t="str">
        <f aca="false">VLOOKUP(L591,Sheet2!D:E,2,0)</f>
        <v>Main Processor CPU BGA</v>
      </c>
      <c r="N591" s="17" t="n">
        <v>1</v>
      </c>
      <c r="O591" s="17" t="str">
        <f aca="false">VLOOKUP(N591,Sheet2!G:H,2,0)</f>
        <v>Dead</v>
      </c>
      <c r="P591" s="17" t="n">
        <v>12</v>
      </c>
      <c r="Q591" s="17" t="str">
        <f aca="false">VLOOKUP(P591,Sheet2!J:K,2,0)</f>
        <v>IR Declared due to Others ( IR Normal)TB</v>
      </c>
      <c r="R591" s="17" t="s">
        <v>35</v>
      </c>
      <c r="S591" s="17" t="str">
        <f aca="false">VLOOKUP(R591,Sheet2!N:O,2,0)</f>
        <v>IREPARABLE</v>
      </c>
      <c r="T591" s="18" t="str">
        <f aca="false">VLOOKUP(P591,Sheet2!Q:R,2,0)</f>
        <v>IR Normal - BER to IR</v>
      </c>
      <c r="U591" s="18" t="s">
        <v>101</v>
      </c>
      <c r="V591" s="17" t="n">
        <v>8</v>
      </c>
      <c r="W591" s="20" t="str">
        <f aca="false">VLOOKUP(V591,Sheet2!Q:R,2,0)</f>
        <v>IR Normal -TrackRust/InternalDamage/open</v>
      </c>
      <c r="X591" s="17" t="str">
        <f aca="false">J591</f>
        <v>A050</v>
      </c>
      <c r="Y591" s="17" t="str">
        <f aca="false">VLOOKUP(X591,Sheet2!A:B,2,0)</f>
        <v>PIYUSH CHAVDA</v>
      </c>
      <c r="Z591" s="17" t="s">
        <v>391</v>
      </c>
      <c r="AA591" s="17" t="s">
        <v>237</v>
      </c>
      <c r="AB591" s="17" t="s">
        <v>41</v>
      </c>
      <c r="AC591" s="0" t="str">
        <f aca="false">LEFT(G591,2)</f>
        <v>84</v>
      </c>
      <c r="AD591" s="0"/>
      <c r="AE591" s="21" t="s">
        <v>238</v>
      </c>
    </row>
    <row r="592" customFormat="false" ht="15" hidden="false" customHeight="false" outlineLevel="0" collapsed="false">
      <c r="A592" s="13" t="n">
        <f aca="false">1+A591</f>
        <v>590</v>
      </c>
      <c r="B592" s="14" t="n">
        <v>1009583760</v>
      </c>
      <c r="C592" s="15" t="s">
        <v>139</v>
      </c>
      <c r="D592" s="16" t="s">
        <v>60</v>
      </c>
      <c r="E592" s="17" t="s">
        <v>392</v>
      </c>
      <c r="F592" s="18" t="s">
        <v>34</v>
      </c>
      <c r="G592" s="19" t="n">
        <v>844142704783</v>
      </c>
      <c r="H592" s="17" t="s">
        <v>35</v>
      </c>
      <c r="I592" s="17" t="s">
        <v>36</v>
      </c>
      <c r="J592" s="17" t="s">
        <v>118</v>
      </c>
      <c r="K592" s="17" t="str">
        <f aca="false">VLOOKUP(J592,Sheet2!A:B,2,0)</f>
        <v>DEVENDRA RAJPUT</v>
      </c>
      <c r="L592" s="17" t="n">
        <v>1</v>
      </c>
      <c r="M592" s="17" t="str">
        <f aca="false">VLOOKUP(L592,Sheet2!D:E,2,0)</f>
        <v>Power Supply Section</v>
      </c>
      <c r="N592" s="17" t="n">
        <v>1</v>
      </c>
      <c r="O592" s="17" t="str">
        <f aca="false">VLOOKUP(N592,Sheet2!G:H,2,0)</f>
        <v>Dead</v>
      </c>
      <c r="P592" s="17" t="n">
        <v>12</v>
      </c>
      <c r="Q592" s="17" t="str">
        <f aca="false">VLOOKUP(P592,Sheet2!J:K,2,0)</f>
        <v>IR Declared due to Others ( IR Normal)TB</v>
      </c>
      <c r="R592" s="17" t="s">
        <v>35</v>
      </c>
      <c r="S592" s="17" t="str">
        <f aca="false">VLOOKUP(R592,Sheet2!N:O,2,0)</f>
        <v>IREPARABLE</v>
      </c>
      <c r="T592" s="18" t="str">
        <f aca="false">VLOOKUP(P592,Sheet2!Q:R,2,0)</f>
        <v>IR Normal - BER to IR</v>
      </c>
      <c r="U592" s="18" t="s">
        <v>101</v>
      </c>
      <c r="V592" s="17" t="n">
        <v>8</v>
      </c>
      <c r="W592" s="20" t="str">
        <f aca="false">VLOOKUP(V592,Sheet2!Q:R,2,0)</f>
        <v>IR Normal -TrackRust/InternalDamage/open</v>
      </c>
      <c r="X592" s="17" t="str">
        <f aca="false">J592</f>
        <v>A053</v>
      </c>
      <c r="Y592" s="17" t="str">
        <f aca="false">VLOOKUP(X592,Sheet2!A:B,2,0)</f>
        <v>DEVENDRA RAJPUT</v>
      </c>
      <c r="Z592" s="17" t="s">
        <v>393</v>
      </c>
      <c r="AA592" s="17" t="s">
        <v>237</v>
      </c>
      <c r="AB592" s="17" t="s">
        <v>41</v>
      </c>
      <c r="AC592" s="0" t="str">
        <f aca="false">LEFT(G592,2)</f>
        <v>84</v>
      </c>
      <c r="AD592" s="0"/>
      <c r="AE592" s="21" t="s">
        <v>238</v>
      </c>
    </row>
    <row r="593" customFormat="false" ht="15" hidden="false" customHeight="false" outlineLevel="0" collapsed="false">
      <c r="A593" s="13" t="n">
        <f aca="false">1+A592</f>
        <v>591</v>
      </c>
      <c r="B593" s="14" t="n">
        <v>1009492727</v>
      </c>
      <c r="C593" s="15" t="s">
        <v>146</v>
      </c>
      <c r="D593" s="16" t="s">
        <v>64</v>
      </c>
      <c r="E593" s="17" t="s">
        <v>64</v>
      </c>
      <c r="F593" s="18" t="s">
        <v>70</v>
      </c>
      <c r="G593" s="19" t="n">
        <v>844093778000</v>
      </c>
      <c r="H593" s="17" t="s">
        <v>35</v>
      </c>
      <c r="I593" s="17" t="s">
        <v>36</v>
      </c>
      <c r="J593" s="17" t="s">
        <v>100</v>
      </c>
      <c r="K593" s="17" t="str">
        <f aca="false">VLOOKUP(J593,Sheet2!A:B,2,0)</f>
        <v>PIYUSH CHAVDA</v>
      </c>
      <c r="L593" s="17" t="n">
        <v>5</v>
      </c>
      <c r="M593" s="17" t="str">
        <f aca="false">VLOOKUP(L593,Sheet2!D:E,2,0)</f>
        <v>Main Processor CPU BGA</v>
      </c>
      <c r="N593" s="17" t="n">
        <v>1</v>
      </c>
      <c r="O593" s="17" t="str">
        <f aca="false">VLOOKUP(N593,Sheet2!G:H,2,0)</f>
        <v>Dead</v>
      </c>
      <c r="P593" s="17" t="n">
        <v>11</v>
      </c>
      <c r="Q593" s="17" t="str">
        <f aca="false">VLOOKUP(P593,Sheet2!J:K,2,0)</f>
        <v>IR Declared due to CID -TA</v>
      </c>
      <c r="R593" s="17" t="s">
        <v>35</v>
      </c>
      <c r="S593" s="17" t="str">
        <f aca="false">VLOOKUP(R593,Sheet2!N:O,2,0)</f>
        <v>IREPARABLE</v>
      </c>
      <c r="T593" s="18" t="str">
        <f aca="false">VLOOKUP(P593,Sheet2!Q:R,2,0)</f>
        <v>IR Normal - Track burn out</v>
      </c>
      <c r="U593" s="18" t="s">
        <v>122</v>
      </c>
      <c r="V593" s="17" t="n">
        <v>2</v>
      </c>
      <c r="W593" s="20" t="str">
        <f aca="false">VLOOKUP(V593,Sheet2!Q:R,2,0)</f>
        <v>IR CID -  Water log from other area</v>
      </c>
      <c r="X593" s="17" t="str">
        <f aca="false">J593</f>
        <v>A050</v>
      </c>
      <c r="Y593" s="17" t="str">
        <f aca="false">VLOOKUP(X593,Sheet2!A:B,2,0)</f>
        <v>PIYUSH CHAVDA</v>
      </c>
      <c r="Z593" s="17" t="s">
        <v>394</v>
      </c>
      <c r="AA593" s="17" t="s">
        <v>237</v>
      </c>
      <c r="AB593" s="17" t="s">
        <v>41</v>
      </c>
      <c r="AC593" s="0" t="str">
        <f aca="false">LEFT(G593,2)</f>
        <v>84</v>
      </c>
      <c r="AD593" s="0"/>
      <c r="AE593" s="21" t="s">
        <v>238</v>
      </c>
    </row>
    <row r="594" customFormat="false" ht="15" hidden="false" customHeight="false" outlineLevel="0" collapsed="false">
      <c r="A594" s="13" t="n">
        <f aca="false">1+A593</f>
        <v>592</v>
      </c>
      <c r="B594" s="14" t="n">
        <v>1009374119</v>
      </c>
      <c r="C594" s="15" t="s">
        <v>395</v>
      </c>
      <c r="D594" s="16" t="s">
        <v>64</v>
      </c>
      <c r="E594" s="17" t="s">
        <v>47</v>
      </c>
      <c r="F594" s="18" t="s">
        <v>34</v>
      </c>
      <c r="G594" s="19" t="n">
        <v>852355797410</v>
      </c>
      <c r="H594" s="17" t="s">
        <v>35</v>
      </c>
      <c r="I594" s="17" t="s">
        <v>36</v>
      </c>
      <c r="J594" s="17" t="s">
        <v>267</v>
      </c>
      <c r="K594" s="17" t="str">
        <f aca="false">VLOOKUP(J594,Sheet2!A:B,2,0)</f>
        <v>HARIRAM GUPTA</v>
      </c>
      <c r="L594" s="17" t="n">
        <v>1</v>
      </c>
      <c r="M594" s="17" t="str">
        <f aca="false">VLOOKUP(L594,Sheet2!D:E,2,0)</f>
        <v>Power Supply Section</v>
      </c>
      <c r="N594" s="17" t="n">
        <v>1</v>
      </c>
      <c r="O594" s="17" t="str">
        <f aca="false">VLOOKUP(N594,Sheet2!G:H,2,0)</f>
        <v>Dead</v>
      </c>
      <c r="P594" s="17" t="n">
        <v>12</v>
      </c>
      <c r="Q594" s="17" t="str">
        <f aca="false">VLOOKUP(P594,Sheet2!J:K,2,0)</f>
        <v>IR Declared due to Others ( IR Normal)TB</v>
      </c>
      <c r="R594" s="17" t="s">
        <v>35</v>
      </c>
      <c r="S594" s="17" t="str">
        <f aca="false">VLOOKUP(R594,Sheet2!N:O,2,0)</f>
        <v>IREPARABLE</v>
      </c>
      <c r="T594" s="18" t="str">
        <f aca="false">VLOOKUP(P594,Sheet2!Q:R,2,0)</f>
        <v>IR Normal - BER to IR</v>
      </c>
      <c r="U594" s="20" t="s">
        <v>110</v>
      </c>
      <c r="V594" s="17" t="n">
        <v>9</v>
      </c>
      <c r="W594" s="20" t="str">
        <f aca="false">VLOOKUP(V594,Sheet2!Q:R,2,0)</f>
        <v>IR Normal - Multiple time repair </v>
      </c>
      <c r="X594" s="17" t="str">
        <f aca="false">J594</f>
        <v>A007</v>
      </c>
      <c r="Y594" s="17" t="str">
        <f aca="false">VLOOKUP(X594,Sheet2!A:B,2,0)</f>
        <v>HARIRAM GUPTA</v>
      </c>
      <c r="Z594" s="17" t="s">
        <v>394</v>
      </c>
      <c r="AA594" s="17" t="s">
        <v>237</v>
      </c>
      <c r="AB594" s="17" t="s">
        <v>41</v>
      </c>
      <c r="AC594" s="0" t="str">
        <f aca="false">LEFT(G594,2)</f>
        <v>85</v>
      </c>
      <c r="AD594" s="0"/>
      <c r="AE594" s="21" t="s">
        <v>238</v>
      </c>
    </row>
    <row r="595" customFormat="false" ht="15" hidden="false" customHeight="false" outlineLevel="0" collapsed="false">
      <c r="A595" s="13" t="n">
        <f aca="false">1+A594</f>
        <v>593</v>
      </c>
      <c r="B595" s="14" t="n">
        <v>1009586708</v>
      </c>
      <c r="C595" s="15" t="s">
        <v>139</v>
      </c>
      <c r="D595" s="16" t="s">
        <v>64</v>
      </c>
      <c r="E595" s="17" t="s">
        <v>64</v>
      </c>
      <c r="F595" s="18" t="s">
        <v>70</v>
      </c>
      <c r="G595" s="19" t="n">
        <v>844095796562</v>
      </c>
      <c r="H595" s="17" t="s">
        <v>35</v>
      </c>
      <c r="I595" s="17" t="s">
        <v>36</v>
      </c>
      <c r="J595" s="17" t="s">
        <v>241</v>
      </c>
      <c r="K595" s="17" t="str">
        <f aca="false">VLOOKUP(J595,Sheet2!A:B,2,0)</f>
        <v>NILESH NAGAR</v>
      </c>
      <c r="L595" s="17" t="n">
        <v>5</v>
      </c>
      <c r="M595" s="17" t="str">
        <f aca="false">VLOOKUP(L595,Sheet2!D:E,2,0)</f>
        <v>Main Processor CPU BGA</v>
      </c>
      <c r="N595" s="17" t="n">
        <v>1</v>
      </c>
      <c r="O595" s="17" t="str">
        <f aca="false">VLOOKUP(N595,Sheet2!G:H,2,0)</f>
        <v>Dead</v>
      </c>
      <c r="P595" s="17" t="n">
        <v>12</v>
      </c>
      <c r="Q595" s="17" t="str">
        <f aca="false">VLOOKUP(P595,Sheet2!J:K,2,0)</f>
        <v>IR Declared due to Others ( IR Normal)TB</v>
      </c>
      <c r="R595" s="17" t="s">
        <v>35</v>
      </c>
      <c r="S595" s="17" t="str">
        <f aca="false">VLOOKUP(R595,Sheet2!N:O,2,0)</f>
        <v>IREPARABLE</v>
      </c>
      <c r="T595" s="18" t="str">
        <f aca="false">VLOOKUP(P595,Sheet2!Q:R,2,0)</f>
        <v>IR Normal - BER to IR</v>
      </c>
      <c r="U595" s="20" t="s">
        <v>110</v>
      </c>
      <c r="V595" s="17" t="n">
        <v>9</v>
      </c>
      <c r="W595" s="20" t="str">
        <f aca="false">VLOOKUP(V595,Sheet2!Q:R,2,0)</f>
        <v>IR Normal - Multiple time repair </v>
      </c>
      <c r="X595" s="17" t="str">
        <f aca="false">J595</f>
        <v>A008</v>
      </c>
      <c r="Y595" s="17" t="str">
        <f aca="false">VLOOKUP(X595,Sheet2!A:B,2,0)</f>
        <v>NILESH NAGAR</v>
      </c>
      <c r="Z595" s="17" t="s">
        <v>394</v>
      </c>
      <c r="AA595" s="17" t="s">
        <v>237</v>
      </c>
      <c r="AB595" s="17" t="s">
        <v>41</v>
      </c>
      <c r="AC595" s="0" t="str">
        <f aca="false">LEFT(G595,2)</f>
        <v>84</v>
      </c>
      <c r="AD595" s="0"/>
      <c r="AE595" s="21" t="s">
        <v>238</v>
      </c>
    </row>
    <row r="596" customFormat="false" ht="15" hidden="false" customHeight="false" outlineLevel="0" collapsed="false">
      <c r="A596" s="13" t="n">
        <f aca="false">1+A595</f>
        <v>594</v>
      </c>
      <c r="B596" s="14" t="n">
        <v>1009583716</v>
      </c>
      <c r="C596" s="15" t="s">
        <v>139</v>
      </c>
      <c r="D596" s="16" t="s">
        <v>64</v>
      </c>
      <c r="E596" s="17" t="s">
        <v>64</v>
      </c>
      <c r="F596" s="18" t="s">
        <v>70</v>
      </c>
      <c r="G596" s="19" t="n">
        <v>853243767201</v>
      </c>
      <c r="H596" s="17" t="s">
        <v>35</v>
      </c>
      <c r="I596" s="17" t="s">
        <v>36</v>
      </c>
      <c r="J596" s="17" t="s">
        <v>118</v>
      </c>
      <c r="K596" s="17" t="str">
        <f aca="false">VLOOKUP(J596,Sheet2!A:B,2,0)</f>
        <v>DEVENDRA RAJPUT</v>
      </c>
      <c r="L596" s="17" t="n">
        <v>1</v>
      </c>
      <c r="M596" s="17" t="str">
        <f aca="false">VLOOKUP(L596,Sheet2!D:E,2,0)</f>
        <v>Power Supply Section</v>
      </c>
      <c r="N596" s="17" t="n">
        <v>1</v>
      </c>
      <c r="O596" s="17" t="str">
        <f aca="false">VLOOKUP(N596,Sheet2!G:H,2,0)</f>
        <v>Dead</v>
      </c>
      <c r="P596" s="17" t="n">
        <v>12</v>
      </c>
      <c r="Q596" s="17" t="str">
        <f aca="false">VLOOKUP(P596,Sheet2!J:K,2,0)</f>
        <v>IR Declared due to Others ( IR Normal)TB</v>
      </c>
      <c r="R596" s="17" t="s">
        <v>35</v>
      </c>
      <c r="S596" s="17" t="str">
        <f aca="false">VLOOKUP(R596,Sheet2!N:O,2,0)</f>
        <v>IREPARABLE</v>
      </c>
      <c r="T596" s="18" t="str">
        <f aca="false">VLOOKUP(P596,Sheet2!Q:R,2,0)</f>
        <v>IR Normal - BER to IR</v>
      </c>
      <c r="U596" s="18" t="s">
        <v>101</v>
      </c>
      <c r="V596" s="17" t="n">
        <v>8</v>
      </c>
      <c r="W596" s="20" t="str">
        <f aca="false">VLOOKUP(V596,Sheet2!Q:R,2,0)</f>
        <v>IR Normal -TrackRust/InternalDamage/open</v>
      </c>
      <c r="X596" s="17" t="str">
        <f aca="false">J596</f>
        <v>A053</v>
      </c>
      <c r="Y596" s="17" t="str">
        <f aca="false">VLOOKUP(X596,Sheet2!A:B,2,0)</f>
        <v>DEVENDRA RAJPUT</v>
      </c>
      <c r="Z596" s="17" t="s">
        <v>127</v>
      </c>
      <c r="AA596" s="17" t="s">
        <v>237</v>
      </c>
      <c r="AB596" s="17" t="s">
        <v>41</v>
      </c>
      <c r="AC596" s="0" t="str">
        <f aca="false">LEFT(G596,2)</f>
        <v>85</v>
      </c>
      <c r="AD596" s="0"/>
      <c r="AE596" s="21" t="s">
        <v>238</v>
      </c>
    </row>
    <row r="597" customFormat="false" ht="15" hidden="false" customHeight="false" outlineLevel="0" collapsed="false">
      <c r="A597" s="13" t="n">
        <f aca="false">1+A596</f>
        <v>595</v>
      </c>
      <c r="B597" s="14" t="n">
        <v>1009583712</v>
      </c>
      <c r="C597" s="15" t="s">
        <v>139</v>
      </c>
      <c r="D597" s="16" t="s">
        <v>64</v>
      </c>
      <c r="E597" s="17" t="s">
        <v>64</v>
      </c>
      <c r="F597" s="18" t="s">
        <v>70</v>
      </c>
      <c r="G597" s="19" t="n">
        <v>853243761402</v>
      </c>
      <c r="H597" s="17" t="s">
        <v>35</v>
      </c>
      <c r="I597" s="17" t="s">
        <v>36</v>
      </c>
      <c r="J597" s="17" t="s">
        <v>111</v>
      </c>
      <c r="K597" s="17" t="str">
        <f aca="false">VLOOKUP(J597,Sheet2!A:B,2,0)</f>
        <v>NITIN PRANAMI</v>
      </c>
      <c r="L597" s="17" t="n">
        <v>1</v>
      </c>
      <c r="M597" s="17" t="str">
        <f aca="false">VLOOKUP(L597,Sheet2!D:E,2,0)</f>
        <v>Power Supply Section</v>
      </c>
      <c r="N597" s="17" t="n">
        <v>1</v>
      </c>
      <c r="O597" s="17" t="str">
        <f aca="false">VLOOKUP(N597,Sheet2!G:H,2,0)</f>
        <v>Dead</v>
      </c>
      <c r="P597" s="17" t="n">
        <v>12</v>
      </c>
      <c r="Q597" s="17" t="str">
        <f aca="false">VLOOKUP(P597,Sheet2!J:K,2,0)</f>
        <v>IR Declared due to Others ( IR Normal)TB</v>
      </c>
      <c r="R597" s="17" t="s">
        <v>35</v>
      </c>
      <c r="S597" s="17" t="str">
        <f aca="false">VLOOKUP(R597,Sheet2!N:O,2,0)</f>
        <v>IREPARABLE</v>
      </c>
      <c r="T597" s="18" t="str">
        <f aca="false">VLOOKUP(P597,Sheet2!Q:R,2,0)</f>
        <v>IR Normal - BER to IR</v>
      </c>
      <c r="U597" s="18" t="s">
        <v>101</v>
      </c>
      <c r="V597" s="17" t="n">
        <v>8</v>
      </c>
      <c r="W597" s="20" t="str">
        <f aca="false">VLOOKUP(V597,Sheet2!Q:R,2,0)</f>
        <v>IR Normal -TrackRust/InternalDamage/open</v>
      </c>
      <c r="X597" s="17" t="str">
        <f aca="false">J597</f>
        <v>A031</v>
      </c>
      <c r="Y597" s="17" t="str">
        <f aca="false">VLOOKUP(X597,Sheet2!A:B,2,0)</f>
        <v>NITIN PRANAMI</v>
      </c>
      <c r="Z597" s="17" t="s">
        <v>396</v>
      </c>
      <c r="AA597" s="17" t="s">
        <v>237</v>
      </c>
      <c r="AB597" s="17" t="s">
        <v>41</v>
      </c>
      <c r="AC597" s="0" t="str">
        <f aca="false">LEFT(G597,2)</f>
        <v>85</v>
      </c>
      <c r="AD597" s="0"/>
      <c r="AE597" s="21" t="s">
        <v>238</v>
      </c>
    </row>
    <row r="598" customFormat="false" ht="15" hidden="false" customHeight="false" outlineLevel="0" collapsed="false">
      <c r="A598" s="13" t="n">
        <f aca="false">1+A597</f>
        <v>596</v>
      </c>
      <c r="B598" s="14" t="n">
        <v>1009583384</v>
      </c>
      <c r="C598" s="15" t="s">
        <v>139</v>
      </c>
      <c r="D598" s="16" t="s">
        <v>64</v>
      </c>
      <c r="E598" s="17" t="s">
        <v>64</v>
      </c>
      <c r="F598" s="18" t="s">
        <v>70</v>
      </c>
      <c r="G598" s="19" t="n">
        <v>853073786313</v>
      </c>
      <c r="H598" s="17" t="s">
        <v>35</v>
      </c>
      <c r="I598" s="17" t="s">
        <v>36</v>
      </c>
      <c r="J598" s="17" t="s">
        <v>111</v>
      </c>
      <c r="K598" s="17" t="str">
        <f aca="false">VLOOKUP(J598,Sheet2!A:B,2,0)</f>
        <v>NITIN PRANAMI</v>
      </c>
      <c r="L598" s="17" t="n">
        <v>1</v>
      </c>
      <c r="M598" s="17" t="str">
        <f aca="false">VLOOKUP(L598,Sheet2!D:E,2,0)</f>
        <v>Power Supply Section</v>
      </c>
      <c r="N598" s="17" t="n">
        <v>1</v>
      </c>
      <c r="O598" s="17" t="str">
        <f aca="false">VLOOKUP(N598,Sheet2!G:H,2,0)</f>
        <v>Dead</v>
      </c>
      <c r="P598" s="17" t="n">
        <v>12</v>
      </c>
      <c r="Q598" s="17" t="str">
        <f aca="false">VLOOKUP(P598,Sheet2!J:K,2,0)</f>
        <v>IR Declared due to Others ( IR Normal)TB</v>
      </c>
      <c r="R598" s="17" t="s">
        <v>35</v>
      </c>
      <c r="S598" s="17" t="str">
        <f aca="false">VLOOKUP(R598,Sheet2!N:O,2,0)</f>
        <v>IREPARABLE</v>
      </c>
      <c r="T598" s="18" t="str">
        <f aca="false">VLOOKUP(P598,Sheet2!Q:R,2,0)</f>
        <v>IR Normal - BER to IR</v>
      </c>
      <c r="U598" s="20" t="s">
        <v>110</v>
      </c>
      <c r="V598" s="17" t="n">
        <v>9</v>
      </c>
      <c r="W598" s="20" t="str">
        <f aca="false">VLOOKUP(V598,Sheet2!Q:R,2,0)</f>
        <v>IR Normal - Multiple time repair </v>
      </c>
      <c r="X598" s="17" t="str">
        <f aca="false">J598</f>
        <v>A031</v>
      </c>
      <c r="Y598" s="17" t="str">
        <f aca="false">VLOOKUP(X598,Sheet2!A:B,2,0)</f>
        <v>NITIN PRANAMI</v>
      </c>
      <c r="Z598" s="17" t="s">
        <v>127</v>
      </c>
      <c r="AA598" s="17" t="s">
        <v>237</v>
      </c>
      <c r="AB598" s="17" t="s">
        <v>41</v>
      </c>
      <c r="AC598" s="0" t="str">
        <f aca="false">LEFT(G598,2)</f>
        <v>85</v>
      </c>
      <c r="AD598" s="0"/>
      <c r="AE598" s="21" t="s">
        <v>238</v>
      </c>
    </row>
    <row r="599" customFormat="false" ht="15" hidden="false" customHeight="false" outlineLevel="0" collapsed="false">
      <c r="A599" s="13" t="n">
        <f aca="false">1+A598</f>
        <v>597</v>
      </c>
      <c r="B599" s="14" t="n">
        <v>1009583733</v>
      </c>
      <c r="C599" s="15" t="s">
        <v>139</v>
      </c>
      <c r="D599" s="16" t="s">
        <v>64</v>
      </c>
      <c r="E599" s="17" t="s">
        <v>64</v>
      </c>
      <c r="F599" s="18" t="s">
        <v>70</v>
      </c>
      <c r="G599" s="19" t="n">
        <v>853237769825</v>
      </c>
      <c r="H599" s="17" t="s">
        <v>35</v>
      </c>
      <c r="I599" s="17" t="s">
        <v>36</v>
      </c>
      <c r="J599" s="17" t="s">
        <v>241</v>
      </c>
      <c r="K599" s="17" t="str">
        <f aca="false">VLOOKUP(J599,Sheet2!A:B,2,0)</f>
        <v>NILESH NAGAR</v>
      </c>
      <c r="L599" s="17" t="n">
        <v>5</v>
      </c>
      <c r="M599" s="17" t="str">
        <f aca="false">VLOOKUP(L599,Sheet2!D:E,2,0)</f>
        <v>Main Processor CPU BGA</v>
      </c>
      <c r="N599" s="17" t="n">
        <v>1</v>
      </c>
      <c r="O599" s="17" t="str">
        <f aca="false">VLOOKUP(N599,Sheet2!G:H,2,0)</f>
        <v>Dead</v>
      </c>
      <c r="P599" s="17" t="n">
        <v>11</v>
      </c>
      <c r="Q599" s="17" t="str">
        <f aca="false">VLOOKUP(P599,Sheet2!J:K,2,0)</f>
        <v>IR Declared due to CID -TA</v>
      </c>
      <c r="R599" s="17" t="s">
        <v>35</v>
      </c>
      <c r="S599" s="17" t="str">
        <f aca="false">VLOOKUP(R599,Sheet2!N:O,2,0)</f>
        <v>IREPARABLE</v>
      </c>
      <c r="T599" s="18" t="str">
        <f aca="false">VLOOKUP(P599,Sheet2!Q:R,2,0)</f>
        <v>IR Normal - Track burn out</v>
      </c>
      <c r="U599" s="18" t="s">
        <v>122</v>
      </c>
      <c r="V599" s="17" t="n">
        <v>2</v>
      </c>
      <c r="W599" s="20" t="str">
        <f aca="false">VLOOKUP(V599,Sheet2!Q:R,2,0)</f>
        <v>IR CID -  Water log from other area</v>
      </c>
      <c r="X599" s="17" t="str">
        <f aca="false">J599</f>
        <v>A008</v>
      </c>
      <c r="Y599" s="17" t="str">
        <f aca="false">VLOOKUP(X599,Sheet2!A:B,2,0)</f>
        <v>NILESH NAGAR</v>
      </c>
      <c r="Z599" s="17" t="s">
        <v>397</v>
      </c>
      <c r="AA599" s="17" t="s">
        <v>237</v>
      </c>
      <c r="AB599" s="17" t="s">
        <v>41</v>
      </c>
      <c r="AC599" s="0" t="str">
        <f aca="false">LEFT(G599,2)</f>
        <v>85</v>
      </c>
      <c r="AD599" s="0"/>
      <c r="AE599" s="21" t="s">
        <v>238</v>
      </c>
    </row>
    <row r="600" customFormat="false" ht="15" hidden="false" customHeight="false" outlineLevel="0" collapsed="false">
      <c r="A600" s="13" t="n">
        <f aca="false">1+A599</f>
        <v>598</v>
      </c>
      <c r="B600" s="14" t="n">
        <v>1009563472</v>
      </c>
      <c r="C600" s="15" t="s">
        <v>192</v>
      </c>
      <c r="D600" s="16" t="s">
        <v>202</v>
      </c>
      <c r="E600" s="17" t="s">
        <v>33</v>
      </c>
      <c r="F600" s="18" t="s">
        <v>34</v>
      </c>
      <c r="G600" s="19" t="n">
        <v>844122743686</v>
      </c>
      <c r="H600" s="17" t="s">
        <v>35</v>
      </c>
      <c r="I600" s="17" t="s">
        <v>36</v>
      </c>
      <c r="J600" s="17" t="s">
        <v>37</v>
      </c>
      <c r="K600" s="17" t="str">
        <f aca="false">VLOOKUP(J600,Sheet2!A:B,2,0)</f>
        <v>PRASHANT,AKASH</v>
      </c>
      <c r="L600" s="17" t="n">
        <v>5</v>
      </c>
      <c r="M600" s="17" t="str">
        <f aca="false">VLOOKUP(L600,Sheet2!D:E,2,0)</f>
        <v>Main Processor CPU BGA</v>
      </c>
      <c r="N600" s="17" t="n">
        <v>24</v>
      </c>
      <c r="O600" s="17" t="str">
        <f aca="false">VLOOKUP(N600,Sheet2!G:H,2,0)</f>
        <v>STB Auto moving -Stand by mode</v>
      </c>
      <c r="P600" s="17" t="n">
        <v>12</v>
      </c>
      <c r="Q600" s="17" t="str">
        <f aca="false">VLOOKUP(P600,Sheet2!J:K,2,0)</f>
        <v>IR Declared due to Others ( IR Normal)TB</v>
      </c>
      <c r="R600" s="17" t="s">
        <v>35</v>
      </c>
      <c r="S600" s="17" t="str">
        <f aca="false">VLOOKUP(R600,Sheet2!N:O,2,0)</f>
        <v>IREPARABLE</v>
      </c>
      <c r="T600" s="18" t="str">
        <f aca="false">VLOOKUP(P600,Sheet2!Q:R,2,0)</f>
        <v>IR Normal - BER to IR</v>
      </c>
      <c r="U600" s="18" t="s">
        <v>101</v>
      </c>
      <c r="V600" s="17" t="n">
        <v>8</v>
      </c>
      <c r="W600" s="20" t="str">
        <f aca="false">VLOOKUP(V600,Sheet2!Q:R,2,0)</f>
        <v>IR Normal -TrackRust/InternalDamage/open</v>
      </c>
      <c r="X600" s="17" t="str">
        <f aca="false">J600</f>
        <v>A041</v>
      </c>
      <c r="Y600" s="17" t="str">
        <f aca="false">VLOOKUP(X600,Sheet2!A:B,2,0)</f>
        <v>PRASHANT,AKASH</v>
      </c>
      <c r="Z600" s="17" t="s">
        <v>127</v>
      </c>
      <c r="AA600" s="17" t="s">
        <v>237</v>
      </c>
      <c r="AB600" s="17" t="s">
        <v>41</v>
      </c>
      <c r="AC600" s="0" t="str">
        <f aca="false">LEFT(G600,2)</f>
        <v>84</v>
      </c>
      <c r="AD600" s="0"/>
      <c r="AE600" s="21" t="s">
        <v>238</v>
      </c>
    </row>
    <row r="601" customFormat="false" ht="15" hidden="false" customHeight="false" outlineLevel="0" collapsed="false">
      <c r="A601" s="13" t="n">
        <f aca="false">1+A600</f>
        <v>599</v>
      </c>
      <c r="B601" s="14" t="n">
        <v>1009583300</v>
      </c>
      <c r="C601" s="15" t="s">
        <v>139</v>
      </c>
      <c r="D601" s="16" t="s">
        <v>64</v>
      </c>
      <c r="E601" s="17" t="s">
        <v>47</v>
      </c>
      <c r="F601" s="18" t="s">
        <v>34</v>
      </c>
      <c r="G601" s="19" t="n">
        <v>844136753432</v>
      </c>
      <c r="H601" s="17" t="s">
        <v>35</v>
      </c>
      <c r="I601" s="17" t="s">
        <v>36</v>
      </c>
      <c r="J601" s="17" t="s">
        <v>118</v>
      </c>
      <c r="K601" s="17" t="str">
        <f aca="false">VLOOKUP(J601,Sheet2!A:B,2,0)</f>
        <v>DEVENDRA RAJPUT</v>
      </c>
      <c r="L601" s="17" t="n">
        <v>5</v>
      </c>
      <c r="M601" s="17" t="str">
        <f aca="false">VLOOKUP(L601,Sheet2!D:E,2,0)</f>
        <v>Main Processor CPU BGA</v>
      </c>
      <c r="N601" s="17" t="n">
        <v>24</v>
      </c>
      <c r="O601" s="17" t="str">
        <f aca="false">VLOOKUP(N601,Sheet2!G:H,2,0)</f>
        <v>STB Auto moving -Stand by mode</v>
      </c>
      <c r="P601" s="17" t="n">
        <v>12</v>
      </c>
      <c r="Q601" s="17" t="str">
        <f aca="false">VLOOKUP(P601,Sheet2!J:K,2,0)</f>
        <v>IR Declared due to Others ( IR Normal)TB</v>
      </c>
      <c r="R601" s="17" t="s">
        <v>35</v>
      </c>
      <c r="S601" s="17" t="str">
        <f aca="false">VLOOKUP(R601,Sheet2!N:O,2,0)</f>
        <v>IREPARABLE</v>
      </c>
      <c r="T601" s="18" t="str">
        <f aca="false">VLOOKUP(P601,Sheet2!Q:R,2,0)</f>
        <v>IR Normal - BER to IR</v>
      </c>
      <c r="U601" s="18" t="s">
        <v>101</v>
      </c>
      <c r="V601" s="17" t="n">
        <v>8</v>
      </c>
      <c r="W601" s="20" t="str">
        <f aca="false">VLOOKUP(V601,Sheet2!Q:R,2,0)</f>
        <v>IR Normal -TrackRust/InternalDamage/open</v>
      </c>
      <c r="X601" s="17" t="str">
        <f aca="false">J601</f>
        <v>A053</v>
      </c>
      <c r="Y601" s="17" t="str">
        <f aca="false">VLOOKUP(X601,Sheet2!A:B,2,0)</f>
        <v>DEVENDRA RAJPUT</v>
      </c>
      <c r="Z601" s="17" t="s">
        <v>127</v>
      </c>
      <c r="AA601" s="17" t="s">
        <v>237</v>
      </c>
      <c r="AB601" s="17" t="s">
        <v>41</v>
      </c>
      <c r="AC601" s="0" t="str">
        <f aca="false">LEFT(G601,2)</f>
        <v>84</v>
      </c>
      <c r="AD601" s="0"/>
      <c r="AE601" s="21" t="s">
        <v>238</v>
      </c>
    </row>
    <row r="602" customFormat="false" ht="15" hidden="false" customHeight="false" outlineLevel="0" collapsed="false">
      <c r="A602" s="13" t="n">
        <f aca="false">1+A601</f>
        <v>600</v>
      </c>
      <c r="B602" s="14" t="n">
        <v>1009583499</v>
      </c>
      <c r="C602" s="15" t="s">
        <v>139</v>
      </c>
      <c r="D602" s="16" t="s">
        <v>142</v>
      </c>
      <c r="E602" s="17" t="s">
        <v>64</v>
      </c>
      <c r="F602" s="18" t="s">
        <v>70</v>
      </c>
      <c r="G602" s="19" t="n">
        <v>853084739459</v>
      </c>
      <c r="H602" s="17" t="s">
        <v>35</v>
      </c>
      <c r="I602" s="17" t="s">
        <v>36</v>
      </c>
      <c r="J602" s="17" t="s">
        <v>115</v>
      </c>
      <c r="K602" s="17" t="str">
        <f aca="false">VLOOKUP(J602,Sheet2!A:B,2,0)</f>
        <v>ANKIT RANA</v>
      </c>
      <c r="L602" s="17" t="n">
        <v>1</v>
      </c>
      <c r="M602" s="17" t="str">
        <f aca="false">VLOOKUP(L602,Sheet2!D:E,2,0)</f>
        <v>Power Supply Section</v>
      </c>
      <c r="N602" s="17" t="n">
        <v>1</v>
      </c>
      <c r="O602" s="17" t="str">
        <f aca="false">VLOOKUP(N602,Sheet2!G:H,2,0)</f>
        <v>Dead</v>
      </c>
      <c r="P602" s="17" t="n">
        <v>12</v>
      </c>
      <c r="Q602" s="17" t="str">
        <f aca="false">VLOOKUP(P602,Sheet2!J:K,2,0)</f>
        <v>IR Declared due to Others ( IR Normal)TB</v>
      </c>
      <c r="R602" s="17" t="s">
        <v>35</v>
      </c>
      <c r="S602" s="17" t="str">
        <f aca="false">VLOOKUP(R602,Sheet2!N:O,2,0)</f>
        <v>IREPARABLE</v>
      </c>
      <c r="T602" s="18" t="str">
        <f aca="false">VLOOKUP(P602,Sheet2!Q:R,2,0)</f>
        <v>IR Normal - BER to IR</v>
      </c>
      <c r="U602" s="18" t="s">
        <v>101</v>
      </c>
      <c r="V602" s="17" t="n">
        <v>8</v>
      </c>
      <c r="W602" s="20" t="str">
        <f aca="false">VLOOKUP(V602,Sheet2!Q:R,2,0)</f>
        <v>IR Normal -TrackRust/InternalDamage/open</v>
      </c>
      <c r="X602" s="17" t="str">
        <f aca="false">J602</f>
        <v>A042</v>
      </c>
      <c r="Y602" s="17" t="str">
        <f aca="false">VLOOKUP(X602,Sheet2!A:B,2,0)</f>
        <v>ANKIT RANA</v>
      </c>
      <c r="Z602" s="17" t="s">
        <v>398</v>
      </c>
      <c r="AA602" s="17" t="s">
        <v>237</v>
      </c>
      <c r="AB602" s="17" t="s">
        <v>41</v>
      </c>
      <c r="AC602" s="0" t="str">
        <f aca="false">LEFT(G602,2)</f>
        <v>85</v>
      </c>
      <c r="AD602" s="0"/>
      <c r="AE602" s="21" t="s">
        <v>238</v>
      </c>
    </row>
    <row r="603" customFormat="false" ht="15" hidden="false" customHeight="false" outlineLevel="0" collapsed="false">
      <c r="A603" s="13" t="n">
        <f aca="false">1+A602</f>
        <v>601</v>
      </c>
      <c r="B603" s="14" t="n">
        <v>1009599308</v>
      </c>
      <c r="C603" s="15" t="s">
        <v>159</v>
      </c>
      <c r="D603" s="16" t="s">
        <v>183</v>
      </c>
      <c r="E603" s="17" t="s">
        <v>47</v>
      </c>
      <c r="F603" s="18" t="s">
        <v>34</v>
      </c>
      <c r="G603" s="19" t="n">
        <v>853338780630</v>
      </c>
      <c r="H603" s="17" t="s">
        <v>35</v>
      </c>
      <c r="I603" s="17" t="s">
        <v>36</v>
      </c>
      <c r="J603" s="17" t="s">
        <v>100</v>
      </c>
      <c r="K603" s="17" t="str">
        <f aca="false">VLOOKUP(J603,Sheet2!A:B,2,0)</f>
        <v>PIYUSH CHAVDA</v>
      </c>
      <c r="L603" s="17" t="n">
        <v>1</v>
      </c>
      <c r="M603" s="17" t="str">
        <f aca="false">VLOOKUP(L603,Sheet2!D:E,2,0)</f>
        <v>Power Supply Section</v>
      </c>
      <c r="N603" s="17" t="n">
        <v>1</v>
      </c>
      <c r="O603" s="17" t="str">
        <f aca="false">VLOOKUP(N603,Sheet2!G:H,2,0)</f>
        <v>Dead</v>
      </c>
      <c r="P603" s="17" t="n">
        <v>12</v>
      </c>
      <c r="Q603" s="17" t="str">
        <f aca="false">VLOOKUP(P603,Sheet2!J:K,2,0)</f>
        <v>IR Declared due to Others ( IR Normal)TB</v>
      </c>
      <c r="R603" s="17" t="s">
        <v>35</v>
      </c>
      <c r="S603" s="17" t="str">
        <f aca="false">VLOOKUP(R603,Sheet2!N:O,2,0)</f>
        <v>IREPARABLE</v>
      </c>
      <c r="T603" s="18" t="str">
        <f aca="false">VLOOKUP(P603,Sheet2!Q:R,2,0)</f>
        <v>IR Normal - BER to IR</v>
      </c>
      <c r="U603" s="20" t="s">
        <v>110</v>
      </c>
      <c r="V603" s="17" t="n">
        <v>9</v>
      </c>
      <c r="W603" s="20" t="str">
        <f aca="false">VLOOKUP(V603,Sheet2!Q:R,2,0)</f>
        <v>IR Normal - Multiple time repair </v>
      </c>
      <c r="X603" s="17" t="str">
        <f aca="false">J603</f>
        <v>A050</v>
      </c>
      <c r="Y603" s="17" t="str">
        <f aca="false">VLOOKUP(X603,Sheet2!A:B,2,0)</f>
        <v>PIYUSH CHAVDA</v>
      </c>
      <c r="Z603" s="17" t="s">
        <v>127</v>
      </c>
      <c r="AA603" s="17" t="s">
        <v>237</v>
      </c>
      <c r="AB603" s="17" t="s">
        <v>41</v>
      </c>
      <c r="AC603" s="0" t="str">
        <f aca="false">LEFT(G603,2)</f>
        <v>85</v>
      </c>
      <c r="AD603" s="0"/>
      <c r="AE603" s="21" t="s">
        <v>238</v>
      </c>
    </row>
    <row r="604" customFormat="false" ht="15" hidden="false" customHeight="false" outlineLevel="0" collapsed="false">
      <c r="A604" s="13" t="n">
        <f aca="false">1+A603</f>
        <v>602</v>
      </c>
      <c r="B604" s="14" t="n">
        <v>1009570554</v>
      </c>
      <c r="C604" s="15" t="s">
        <v>102</v>
      </c>
      <c r="D604" s="16" t="s">
        <v>64</v>
      </c>
      <c r="E604" s="17" t="s">
        <v>64</v>
      </c>
      <c r="F604" s="18" t="s">
        <v>70</v>
      </c>
      <c r="G604" s="19" t="n">
        <v>853252786035</v>
      </c>
      <c r="H604" s="17" t="s">
        <v>35</v>
      </c>
      <c r="I604" s="17" t="s">
        <v>36</v>
      </c>
      <c r="J604" s="17" t="s">
        <v>111</v>
      </c>
      <c r="K604" s="17" t="str">
        <f aca="false">VLOOKUP(J604,Sheet2!A:B,2,0)</f>
        <v>NITIN PRANAMI</v>
      </c>
      <c r="L604" s="17" t="n">
        <v>1</v>
      </c>
      <c r="M604" s="17" t="str">
        <f aca="false">VLOOKUP(L604,Sheet2!D:E,2,0)</f>
        <v>Power Supply Section</v>
      </c>
      <c r="N604" s="17" t="n">
        <v>1</v>
      </c>
      <c r="O604" s="17" t="str">
        <f aca="false">VLOOKUP(N604,Sheet2!G:H,2,0)</f>
        <v>Dead</v>
      </c>
      <c r="P604" s="17" t="n">
        <v>12</v>
      </c>
      <c r="Q604" s="17" t="str">
        <f aca="false">VLOOKUP(P604,Sheet2!J:K,2,0)</f>
        <v>IR Declared due to Others ( IR Normal)TB</v>
      </c>
      <c r="R604" s="17" t="s">
        <v>35</v>
      </c>
      <c r="S604" s="17" t="str">
        <f aca="false">VLOOKUP(R604,Sheet2!N:O,2,0)</f>
        <v>IREPARABLE</v>
      </c>
      <c r="T604" s="18" t="str">
        <f aca="false">VLOOKUP(P604,Sheet2!Q:R,2,0)</f>
        <v>IR Normal - BER to IR</v>
      </c>
      <c r="U604" s="18" t="s">
        <v>101</v>
      </c>
      <c r="V604" s="17" t="n">
        <v>8</v>
      </c>
      <c r="W604" s="20" t="str">
        <f aca="false">VLOOKUP(V604,Sheet2!Q:R,2,0)</f>
        <v>IR Normal -TrackRust/InternalDamage/open</v>
      </c>
      <c r="X604" s="17" t="str">
        <f aca="false">J604</f>
        <v>A031</v>
      </c>
      <c r="Y604" s="17" t="str">
        <f aca="false">VLOOKUP(X604,Sheet2!A:B,2,0)</f>
        <v>NITIN PRANAMI</v>
      </c>
      <c r="Z604" s="17" t="s">
        <v>399</v>
      </c>
      <c r="AA604" s="17" t="s">
        <v>237</v>
      </c>
      <c r="AB604" s="17" t="s">
        <v>41</v>
      </c>
      <c r="AC604" s="0" t="str">
        <f aca="false">LEFT(G604,2)</f>
        <v>85</v>
      </c>
      <c r="AD604" s="0"/>
      <c r="AE604" s="21" t="s">
        <v>238</v>
      </c>
    </row>
    <row r="605" customFormat="false" ht="15" hidden="false" customHeight="false" outlineLevel="0" collapsed="false">
      <c r="A605" s="13" t="n">
        <f aca="false">1+A604</f>
        <v>603</v>
      </c>
      <c r="B605" s="14" t="n">
        <v>1009569967</v>
      </c>
      <c r="C605" s="15" t="s">
        <v>102</v>
      </c>
      <c r="D605" s="16" t="s">
        <v>64</v>
      </c>
      <c r="E605" s="17" t="s">
        <v>33</v>
      </c>
      <c r="F605" s="18" t="s">
        <v>34</v>
      </c>
      <c r="G605" s="19" t="n">
        <v>844115708720</v>
      </c>
      <c r="H605" s="17" t="s">
        <v>35</v>
      </c>
      <c r="I605" s="17" t="s">
        <v>36</v>
      </c>
      <c r="J605" s="17" t="s">
        <v>37</v>
      </c>
      <c r="K605" s="17" t="str">
        <f aca="false">VLOOKUP(J605,Sheet2!A:B,2,0)</f>
        <v>PRASHANT,AKASH</v>
      </c>
      <c r="L605" s="17" t="n">
        <v>1</v>
      </c>
      <c r="M605" s="17" t="str">
        <f aca="false">VLOOKUP(L605,Sheet2!D:E,2,0)</f>
        <v>Power Supply Section</v>
      </c>
      <c r="N605" s="17" t="n">
        <v>1</v>
      </c>
      <c r="O605" s="17" t="str">
        <f aca="false">VLOOKUP(N605,Sheet2!G:H,2,0)</f>
        <v>Dead</v>
      </c>
      <c r="P605" s="17" t="n">
        <v>12</v>
      </c>
      <c r="Q605" s="17" t="str">
        <f aca="false">VLOOKUP(P605,Sheet2!J:K,2,0)</f>
        <v>IR Declared due to Others ( IR Normal)TB</v>
      </c>
      <c r="R605" s="17" t="s">
        <v>35</v>
      </c>
      <c r="S605" s="17" t="str">
        <f aca="false">VLOOKUP(R605,Sheet2!N:O,2,0)</f>
        <v>IREPARABLE</v>
      </c>
      <c r="T605" s="18" t="s">
        <v>248</v>
      </c>
      <c r="U605" s="15" t="s">
        <v>38</v>
      </c>
      <c r="V605" s="17" t="n">
        <v>11</v>
      </c>
      <c r="W605" s="20" t="str">
        <f aca="false">VLOOKUP(V605,Sheet2!Q:R,2,0)</f>
        <v>IR Normal - Track burn out</v>
      </c>
      <c r="X605" s="17" t="str">
        <f aca="false">J605</f>
        <v>A041</v>
      </c>
      <c r="Y605" s="17" t="str">
        <f aca="false">VLOOKUP(X605,Sheet2!A:B,2,0)</f>
        <v>PRASHANT,AKASH</v>
      </c>
      <c r="Z605" s="17" t="s">
        <v>39</v>
      </c>
      <c r="AA605" s="17" t="s">
        <v>237</v>
      </c>
      <c r="AB605" s="17" t="s">
        <v>41</v>
      </c>
      <c r="AC605" s="0" t="str">
        <f aca="false">LEFT(G605,2)</f>
        <v>84</v>
      </c>
      <c r="AD605" s="0"/>
      <c r="AE605" s="21" t="s">
        <v>238</v>
      </c>
    </row>
    <row r="606" customFormat="false" ht="15" hidden="false" customHeight="false" outlineLevel="0" collapsed="false">
      <c r="A606" s="13" t="n">
        <f aca="false">1+A605</f>
        <v>604</v>
      </c>
      <c r="B606" s="14" t="n">
        <v>1009601632</v>
      </c>
      <c r="C606" s="15" t="s">
        <v>159</v>
      </c>
      <c r="D606" s="16" t="s">
        <v>64</v>
      </c>
      <c r="E606" s="17" t="s">
        <v>178</v>
      </c>
      <c r="F606" s="18" t="s">
        <v>34</v>
      </c>
      <c r="G606" s="19" t="n">
        <v>853167747288</v>
      </c>
      <c r="H606" s="17" t="s">
        <v>35</v>
      </c>
      <c r="I606" s="17" t="s">
        <v>36</v>
      </c>
      <c r="J606" s="17" t="s">
        <v>115</v>
      </c>
      <c r="K606" s="17" t="str">
        <f aca="false">VLOOKUP(J606,Sheet2!A:B,2,0)</f>
        <v>ANKIT RANA</v>
      </c>
      <c r="L606" s="17" t="n">
        <v>5</v>
      </c>
      <c r="M606" s="17" t="str">
        <f aca="false">VLOOKUP(L606,Sheet2!D:E,2,0)</f>
        <v>Main Processor CPU BGA</v>
      </c>
      <c r="N606" s="17" t="n">
        <v>24</v>
      </c>
      <c r="O606" s="17" t="str">
        <f aca="false">VLOOKUP(N606,Sheet2!G:H,2,0)</f>
        <v>STB Auto moving -Stand by mode</v>
      </c>
      <c r="P606" s="17" t="n">
        <v>12</v>
      </c>
      <c r="Q606" s="17" t="str">
        <f aca="false">VLOOKUP(P606,Sheet2!J:K,2,0)</f>
        <v>IR Declared due to Others ( IR Normal)TB</v>
      </c>
      <c r="R606" s="17" t="s">
        <v>35</v>
      </c>
      <c r="S606" s="17" t="str">
        <f aca="false">VLOOKUP(R606,Sheet2!N:O,2,0)</f>
        <v>IREPARABLE</v>
      </c>
      <c r="T606" s="18" t="str">
        <f aca="false">VLOOKUP(P606,Sheet2!Q:R,2,0)</f>
        <v>IR Normal - BER to IR</v>
      </c>
      <c r="U606" s="18" t="s">
        <v>101</v>
      </c>
      <c r="V606" s="17" t="n">
        <v>8</v>
      </c>
      <c r="W606" s="20" t="str">
        <f aca="false">VLOOKUP(V606,Sheet2!Q:R,2,0)</f>
        <v>IR Normal -TrackRust/InternalDamage/open</v>
      </c>
      <c r="X606" s="17" t="str">
        <f aca="false">J606</f>
        <v>A042</v>
      </c>
      <c r="Y606" s="17" t="str">
        <f aca="false">VLOOKUP(X606,Sheet2!A:B,2,0)</f>
        <v>ANKIT RANA</v>
      </c>
      <c r="Z606" s="17" t="s">
        <v>400</v>
      </c>
      <c r="AA606" s="17" t="s">
        <v>237</v>
      </c>
      <c r="AB606" s="17" t="s">
        <v>41</v>
      </c>
      <c r="AC606" s="0" t="str">
        <f aca="false">LEFT(G606,2)</f>
        <v>85</v>
      </c>
      <c r="AD606" s="0"/>
      <c r="AE606" s="21" t="s">
        <v>238</v>
      </c>
    </row>
    <row r="607" customFormat="false" ht="15" hidden="false" customHeight="false" outlineLevel="0" collapsed="false">
      <c r="A607" s="13" t="n">
        <f aca="false">1+A606</f>
        <v>605</v>
      </c>
      <c r="B607" s="14" t="n">
        <v>1009583376</v>
      </c>
      <c r="C607" s="15" t="s">
        <v>139</v>
      </c>
      <c r="D607" s="16" t="s">
        <v>147</v>
      </c>
      <c r="E607" s="17" t="s">
        <v>47</v>
      </c>
      <c r="F607" s="18" t="s">
        <v>34</v>
      </c>
      <c r="G607" s="19" t="n">
        <v>844103755105</v>
      </c>
      <c r="H607" s="17" t="s">
        <v>35</v>
      </c>
      <c r="I607" s="17" t="s">
        <v>36</v>
      </c>
      <c r="J607" s="17" t="s">
        <v>100</v>
      </c>
      <c r="K607" s="17" t="str">
        <f aca="false">VLOOKUP(J607,Sheet2!A:B,2,0)</f>
        <v>PIYUSH CHAVDA</v>
      </c>
      <c r="L607" s="17" t="n">
        <v>1</v>
      </c>
      <c r="M607" s="17" t="str">
        <f aca="false">VLOOKUP(L607,Sheet2!D:E,2,0)</f>
        <v>Power Supply Section</v>
      </c>
      <c r="N607" s="17" t="n">
        <v>1</v>
      </c>
      <c r="O607" s="17" t="str">
        <f aca="false">VLOOKUP(N607,Sheet2!G:H,2,0)</f>
        <v>Dead</v>
      </c>
      <c r="P607" s="17" t="n">
        <v>12</v>
      </c>
      <c r="Q607" s="17" t="str">
        <f aca="false">VLOOKUP(P607,Sheet2!J:K,2,0)</f>
        <v>IR Declared due to Others ( IR Normal)TB</v>
      </c>
      <c r="R607" s="17" t="s">
        <v>35</v>
      </c>
      <c r="S607" s="17" t="str">
        <f aca="false">VLOOKUP(R607,Sheet2!N:O,2,0)</f>
        <v>IREPARABLE</v>
      </c>
      <c r="T607" s="18" t="str">
        <f aca="false">VLOOKUP(P607,Sheet2!Q:R,2,0)</f>
        <v>IR Normal - BER to IR</v>
      </c>
      <c r="U607" s="18" t="s">
        <v>101</v>
      </c>
      <c r="V607" s="17" t="n">
        <v>8</v>
      </c>
      <c r="W607" s="20" t="str">
        <f aca="false">VLOOKUP(V607,Sheet2!Q:R,2,0)</f>
        <v>IR Normal -TrackRust/InternalDamage/open</v>
      </c>
      <c r="X607" s="17" t="str">
        <f aca="false">J607</f>
        <v>A050</v>
      </c>
      <c r="Y607" s="17" t="str">
        <f aca="false">VLOOKUP(X607,Sheet2!A:B,2,0)</f>
        <v>PIYUSH CHAVDA</v>
      </c>
      <c r="Z607" s="17" t="s">
        <v>400</v>
      </c>
      <c r="AA607" s="17" t="s">
        <v>237</v>
      </c>
      <c r="AB607" s="17" t="s">
        <v>41</v>
      </c>
      <c r="AC607" s="0" t="str">
        <f aca="false">LEFT(G607,2)</f>
        <v>84</v>
      </c>
      <c r="AD607" s="0"/>
      <c r="AE607" s="21" t="s">
        <v>238</v>
      </c>
    </row>
    <row r="608" customFormat="false" ht="15" hidden="false" customHeight="false" outlineLevel="0" collapsed="false">
      <c r="A608" s="13" t="n">
        <f aca="false">1+A607</f>
        <v>606</v>
      </c>
      <c r="B608" s="14" t="n">
        <v>1009563757</v>
      </c>
      <c r="C608" s="15" t="s">
        <v>192</v>
      </c>
      <c r="D608" s="16" t="s">
        <v>64</v>
      </c>
      <c r="E608" s="17" t="s">
        <v>47</v>
      </c>
      <c r="F608" s="18" t="s">
        <v>34</v>
      </c>
      <c r="G608" s="19" t="n">
        <v>844037713675</v>
      </c>
      <c r="H608" s="17" t="s">
        <v>35</v>
      </c>
      <c r="I608" s="17" t="s">
        <v>36</v>
      </c>
      <c r="J608" s="17" t="s">
        <v>133</v>
      </c>
      <c r="K608" s="17" t="str">
        <f aca="false">VLOOKUP(J608,Sheet2!A:B,2,0)</f>
        <v>AKASH BAROT</v>
      </c>
      <c r="L608" s="17" t="n">
        <v>1</v>
      </c>
      <c r="M608" s="17" t="str">
        <f aca="false">VLOOKUP(L608,Sheet2!D:E,2,0)</f>
        <v>Power Supply Section</v>
      </c>
      <c r="N608" s="17" t="n">
        <v>1</v>
      </c>
      <c r="O608" s="17" t="str">
        <f aca="false">VLOOKUP(N608,Sheet2!G:H,2,0)</f>
        <v>Dead</v>
      </c>
      <c r="P608" s="17" t="n">
        <v>12</v>
      </c>
      <c r="Q608" s="17" t="str">
        <f aca="false">VLOOKUP(P608,Sheet2!J:K,2,0)</f>
        <v>IR Declared due to Others ( IR Normal)TB</v>
      </c>
      <c r="R608" s="17" t="s">
        <v>35</v>
      </c>
      <c r="S608" s="17" t="str">
        <f aca="false">VLOOKUP(R608,Sheet2!N:O,2,0)</f>
        <v>IREPARABLE</v>
      </c>
      <c r="T608" s="18" t="str">
        <f aca="false">VLOOKUP(P608,Sheet2!Q:R,2,0)</f>
        <v>IR Normal - BER to IR</v>
      </c>
      <c r="U608" s="18" t="s">
        <v>101</v>
      </c>
      <c r="V608" s="17" t="n">
        <v>8</v>
      </c>
      <c r="W608" s="20" t="str">
        <f aca="false">VLOOKUP(V608,Sheet2!Q:R,2,0)</f>
        <v>IR Normal -TrackRust/InternalDamage/open</v>
      </c>
      <c r="X608" s="17" t="str">
        <f aca="false">J608</f>
        <v>A009</v>
      </c>
      <c r="Y608" s="17" t="str">
        <f aca="false">VLOOKUP(X608,Sheet2!A:B,2,0)</f>
        <v>AKASH BAROT</v>
      </c>
      <c r="Z608" s="17" t="s">
        <v>401</v>
      </c>
      <c r="AA608" s="17" t="s">
        <v>237</v>
      </c>
      <c r="AB608" s="17" t="s">
        <v>41</v>
      </c>
      <c r="AC608" s="0" t="str">
        <f aca="false">LEFT(G608,2)</f>
        <v>84</v>
      </c>
      <c r="AD608" s="0"/>
      <c r="AE608" s="21" t="s">
        <v>238</v>
      </c>
    </row>
    <row r="609" customFormat="false" ht="15" hidden="false" customHeight="false" outlineLevel="0" collapsed="false">
      <c r="A609" s="13" t="n">
        <f aca="false">1+A608</f>
        <v>607</v>
      </c>
      <c r="B609" s="14" t="n">
        <v>1009570685</v>
      </c>
      <c r="C609" s="15" t="s">
        <v>102</v>
      </c>
      <c r="D609" s="16" t="s">
        <v>131</v>
      </c>
      <c r="E609" s="17" t="s">
        <v>274</v>
      </c>
      <c r="F609" s="18" t="s">
        <v>34</v>
      </c>
      <c r="G609" s="19" t="n">
        <v>844056737571</v>
      </c>
      <c r="H609" s="17" t="s">
        <v>35</v>
      </c>
      <c r="I609" s="17" t="s">
        <v>36</v>
      </c>
      <c r="J609" s="17" t="s">
        <v>37</v>
      </c>
      <c r="K609" s="17" t="str">
        <f aca="false">VLOOKUP(J609,Sheet2!A:B,2,0)</f>
        <v>PRASHANT,AKASH</v>
      </c>
      <c r="L609" s="17" t="n">
        <v>1</v>
      </c>
      <c r="M609" s="17" t="str">
        <f aca="false">VLOOKUP(L609,Sheet2!D:E,2,0)</f>
        <v>Power Supply Section</v>
      </c>
      <c r="N609" s="17" t="n">
        <v>1</v>
      </c>
      <c r="O609" s="17" t="str">
        <f aca="false">VLOOKUP(N609,Sheet2!G:H,2,0)</f>
        <v>Dead</v>
      </c>
      <c r="P609" s="17" t="n">
        <v>12</v>
      </c>
      <c r="Q609" s="17" t="str">
        <f aca="false">VLOOKUP(P609,Sheet2!J:K,2,0)</f>
        <v>IR Declared due to Others ( IR Normal)TB</v>
      </c>
      <c r="R609" s="17" t="s">
        <v>35</v>
      </c>
      <c r="S609" s="17" t="str">
        <f aca="false">VLOOKUP(R609,Sheet2!N:O,2,0)</f>
        <v>IREPARABLE</v>
      </c>
      <c r="T609" s="18" t="str">
        <f aca="false">VLOOKUP(P609,Sheet2!Q:R,2,0)</f>
        <v>IR Normal - BER to IR</v>
      </c>
      <c r="U609" s="20" t="s">
        <v>135</v>
      </c>
      <c r="V609" s="17" t="n">
        <v>12</v>
      </c>
      <c r="W609" s="20" t="str">
        <f aca="false">VLOOKUP(V609,Sheet2!Q:R,2,0)</f>
        <v>IR Normal - BER to IR</v>
      </c>
      <c r="X609" s="17" t="str">
        <f aca="false">J609</f>
        <v>A041</v>
      </c>
      <c r="Y609" s="17" t="str">
        <f aca="false">VLOOKUP(X609,Sheet2!A:B,2,0)</f>
        <v>PRASHANT,AKASH</v>
      </c>
      <c r="Z609" s="17" t="s">
        <v>39</v>
      </c>
      <c r="AA609" s="17" t="s">
        <v>237</v>
      </c>
      <c r="AB609" s="17" t="s">
        <v>41</v>
      </c>
      <c r="AC609" s="0" t="str">
        <f aca="false">LEFT(G609,2)</f>
        <v>84</v>
      </c>
      <c r="AD609" s="0"/>
      <c r="AE609" s="21" t="s">
        <v>238</v>
      </c>
    </row>
    <row r="610" customFormat="false" ht="15" hidden="false" customHeight="false" outlineLevel="0" collapsed="false">
      <c r="A610" s="13" t="n">
        <f aca="false">1+A609</f>
        <v>608</v>
      </c>
      <c r="B610" s="14" t="n">
        <v>1009558537</v>
      </c>
      <c r="C610" s="15" t="s">
        <v>192</v>
      </c>
      <c r="D610" s="16" t="s">
        <v>64</v>
      </c>
      <c r="E610" s="17" t="s">
        <v>64</v>
      </c>
      <c r="F610" s="18" t="s">
        <v>70</v>
      </c>
      <c r="G610" s="19" t="n">
        <v>844070750873</v>
      </c>
      <c r="H610" s="17" t="s">
        <v>35</v>
      </c>
      <c r="I610" s="17" t="s">
        <v>36</v>
      </c>
      <c r="J610" s="17" t="s">
        <v>133</v>
      </c>
      <c r="K610" s="17" t="str">
        <f aca="false">VLOOKUP(J610,Sheet2!A:B,2,0)</f>
        <v>AKASH BAROT</v>
      </c>
      <c r="L610" s="17" t="n">
        <v>1</v>
      </c>
      <c r="M610" s="17" t="str">
        <f aca="false">VLOOKUP(L610,Sheet2!D:E,2,0)</f>
        <v>Power Supply Section</v>
      </c>
      <c r="N610" s="17" t="n">
        <v>1</v>
      </c>
      <c r="O610" s="17" t="str">
        <f aca="false">VLOOKUP(N610,Sheet2!G:H,2,0)</f>
        <v>Dead</v>
      </c>
      <c r="P610" s="17" t="n">
        <v>12</v>
      </c>
      <c r="Q610" s="17" t="str">
        <f aca="false">VLOOKUP(P610,Sheet2!J:K,2,0)</f>
        <v>IR Declared due to Others ( IR Normal)TB</v>
      </c>
      <c r="R610" s="17" t="s">
        <v>35</v>
      </c>
      <c r="S610" s="17" t="str">
        <f aca="false">VLOOKUP(R610,Sheet2!N:O,2,0)</f>
        <v>IREPARABLE</v>
      </c>
      <c r="T610" s="18" t="str">
        <f aca="false">VLOOKUP(P610,Sheet2!Q:R,2,0)</f>
        <v>IR Normal - BER to IR</v>
      </c>
      <c r="U610" s="18" t="s">
        <v>101</v>
      </c>
      <c r="V610" s="17" t="n">
        <v>8</v>
      </c>
      <c r="W610" s="20" t="str">
        <f aca="false">VLOOKUP(V610,Sheet2!Q:R,2,0)</f>
        <v>IR Normal -TrackRust/InternalDamage/open</v>
      </c>
      <c r="X610" s="17" t="str">
        <f aca="false">J610</f>
        <v>A009</v>
      </c>
      <c r="Y610" s="17" t="str">
        <f aca="false">VLOOKUP(X610,Sheet2!A:B,2,0)</f>
        <v>AKASH BAROT</v>
      </c>
      <c r="Z610" s="17" t="s">
        <v>402</v>
      </c>
      <c r="AA610" s="17" t="s">
        <v>237</v>
      </c>
      <c r="AB610" s="17" t="s">
        <v>41</v>
      </c>
      <c r="AC610" s="0" t="str">
        <f aca="false">LEFT(G610,2)</f>
        <v>84</v>
      </c>
      <c r="AD610" s="0"/>
      <c r="AE610" s="21" t="s">
        <v>238</v>
      </c>
    </row>
    <row r="611" customFormat="false" ht="15" hidden="false" customHeight="false" outlineLevel="0" collapsed="false">
      <c r="A611" s="13" t="n">
        <f aca="false">1+A610</f>
        <v>609</v>
      </c>
      <c r="B611" s="14" t="n">
        <v>1009365088</v>
      </c>
      <c r="C611" s="15" t="s">
        <v>278</v>
      </c>
      <c r="D611" s="16" t="s">
        <v>64</v>
      </c>
      <c r="E611" s="17" t="s">
        <v>47</v>
      </c>
      <c r="F611" s="18" t="s">
        <v>34</v>
      </c>
      <c r="G611" s="19" t="n">
        <v>853038710903</v>
      </c>
      <c r="H611" s="17" t="s">
        <v>35</v>
      </c>
      <c r="I611" s="17" t="s">
        <v>36</v>
      </c>
      <c r="J611" s="17" t="s">
        <v>37</v>
      </c>
      <c r="K611" s="17" t="str">
        <f aca="false">VLOOKUP(J611,Sheet2!A:B,2,0)</f>
        <v>PRASHANT,AKASH</v>
      </c>
      <c r="L611" s="17" t="n">
        <v>1</v>
      </c>
      <c r="M611" s="17" t="str">
        <f aca="false">VLOOKUP(L611,Sheet2!D:E,2,0)</f>
        <v>Power Supply Section</v>
      </c>
      <c r="N611" s="17" t="n">
        <v>1</v>
      </c>
      <c r="O611" s="17" t="str">
        <f aca="false">VLOOKUP(N611,Sheet2!G:H,2,0)</f>
        <v>Dead</v>
      </c>
      <c r="P611" s="17" t="n">
        <v>12</v>
      </c>
      <c r="Q611" s="17" t="str">
        <f aca="false">VLOOKUP(P611,Sheet2!J:K,2,0)</f>
        <v>IR Declared due to Others ( IR Normal)TB</v>
      </c>
      <c r="R611" s="17" t="s">
        <v>35</v>
      </c>
      <c r="S611" s="17" t="str">
        <f aca="false">VLOOKUP(R611,Sheet2!N:O,2,0)</f>
        <v>IREPARABLE</v>
      </c>
      <c r="T611" s="18" t="str">
        <f aca="false">VLOOKUP(P611,Sheet2!Q:R,2,0)</f>
        <v>IR Normal - BER to IR</v>
      </c>
      <c r="U611" s="20" t="s">
        <v>135</v>
      </c>
      <c r="V611" s="17" t="n">
        <v>12</v>
      </c>
      <c r="W611" s="20" t="str">
        <f aca="false">VLOOKUP(V611,Sheet2!Q:R,2,0)</f>
        <v>IR Normal - BER to IR</v>
      </c>
      <c r="X611" s="17" t="str">
        <f aca="false">J611</f>
        <v>A041</v>
      </c>
      <c r="Y611" s="17" t="str">
        <f aca="false">VLOOKUP(X611,Sheet2!A:B,2,0)</f>
        <v>PRASHANT,AKASH</v>
      </c>
      <c r="Z611" s="17" t="s">
        <v>39</v>
      </c>
      <c r="AA611" s="17" t="s">
        <v>237</v>
      </c>
      <c r="AB611" s="17" t="s">
        <v>41</v>
      </c>
      <c r="AC611" s="0" t="str">
        <f aca="false">LEFT(G611,2)</f>
        <v>85</v>
      </c>
      <c r="AD611" s="0"/>
      <c r="AE611" s="21" t="s">
        <v>238</v>
      </c>
    </row>
    <row r="612" customFormat="false" ht="15" hidden="false" customHeight="false" outlineLevel="0" collapsed="false">
      <c r="A612" s="13" t="n">
        <f aca="false">1+A611</f>
        <v>610</v>
      </c>
      <c r="B612" s="14" t="n">
        <v>1009563956</v>
      </c>
      <c r="C612" s="15" t="s">
        <v>192</v>
      </c>
      <c r="D612" s="16" t="s">
        <v>32</v>
      </c>
      <c r="E612" s="17" t="s">
        <v>47</v>
      </c>
      <c r="F612" s="18" t="s">
        <v>34</v>
      </c>
      <c r="G612" s="19" t="n">
        <v>854174723601</v>
      </c>
      <c r="H612" s="17" t="s">
        <v>35</v>
      </c>
      <c r="I612" s="17" t="s">
        <v>36</v>
      </c>
      <c r="J612" s="17" t="s">
        <v>37</v>
      </c>
      <c r="K612" s="17" t="str">
        <f aca="false">VLOOKUP(J612,Sheet2!A:B,2,0)</f>
        <v>PRASHANT,AKASH</v>
      </c>
      <c r="L612" s="17" t="n">
        <v>1</v>
      </c>
      <c r="M612" s="17" t="str">
        <f aca="false">VLOOKUP(L612,Sheet2!D:E,2,0)</f>
        <v>Power Supply Section</v>
      </c>
      <c r="N612" s="17" t="n">
        <v>1</v>
      </c>
      <c r="O612" s="17" t="str">
        <f aca="false">VLOOKUP(N612,Sheet2!G:H,2,0)</f>
        <v>Dead</v>
      </c>
      <c r="P612" s="17" t="n">
        <v>12</v>
      </c>
      <c r="Q612" s="17" t="str">
        <f aca="false">VLOOKUP(P612,Sheet2!J:K,2,0)</f>
        <v>IR Declared due to Others ( IR Normal)TB</v>
      </c>
      <c r="R612" s="17" t="s">
        <v>35</v>
      </c>
      <c r="S612" s="17" t="str">
        <f aca="false">VLOOKUP(R612,Sheet2!N:O,2,0)</f>
        <v>IREPARABLE</v>
      </c>
      <c r="T612" s="18" t="str">
        <f aca="false">VLOOKUP(P612,Sheet2!Q:R,2,0)</f>
        <v>IR Normal - BER to IR</v>
      </c>
      <c r="U612" s="20" t="s">
        <v>135</v>
      </c>
      <c r="V612" s="17" t="n">
        <v>12</v>
      </c>
      <c r="W612" s="20" t="str">
        <f aca="false">VLOOKUP(V612,Sheet2!Q:R,2,0)</f>
        <v>IR Normal - BER to IR</v>
      </c>
      <c r="X612" s="17" t="str">
        <f aca="false">J612</f>
        <v>A041</v>
      </c>
      <c r="Y612" s="17" t="str">
        <f aca="false">VLOOKUP(X612,Sheet2!A:B,2,0)</f>
        <v>PRASHANT,AKASH</v>
      </c>
      <c r="Z612" s="17" t="s">
        <v>39</v>
      </c>
      <c r="AA612" s="17" t="s">
        <v>237</v>
      </c>
      <c r="AB612" s="17" t="s">
        <v>41</v>
      </c>
      <c r="AC612" s="0" t="str">
        <f aca="false">LEFT(G612,2)</f>
        <v>85</v>
      </c>
      <c r="AD612" s="0"/>
      <c r="AE612" s="21" t="s">
        <v>238</v>
      </c>
    </row>
    <row r="613" customFormat="false" ht="15" hidden="false" customHeight="false" outlineLevel="0" collapsed="false">
      <c r="A613" s="13" t="n">
        <f aca="false">1+A612</f>
        <v>611</v>
      </c>
      <c r="B613" s="14" t="n">
        <v>1009584762</v>
      </c>
      <c r="C613" s="15" t="s">
        <v>139</v>
      </c>
      <c r="D613" s="16" t="s">
        <v>64</v>
      </c>
      <c r="E613" s="17" t="s">
        <v>47</v>
      </c>
      <c r="F613" s="18" t="s">
        <v>34</v>
      </c>
      <c r="G613" s="19" t="n">
        <v>853074749179</v>
      </c>
      <c r="H613" s="17" t="s">
        <v>35</v>
      </c>
      <c r="I613" s="17" t="s">
        <v>36</v>
      </c>
      <c r="J613" s="17" t="s">
        <v>111</v>
      </c>
      <c r="K613" s="17" t="str">
        <f aca="false">VLOOKUP(J613,Sheet2!A:B,2,0)</f>
        <v>NITIN PRANAMI</v>
      </c>
      <c r="L613" s="17" t="n">
        <v>1</v>
      </c>
      <c r="M613" s="17" t="str">
        <f aca="false">VLOOKUP(L613,Sheet2!D:E,2,0)</f>
        <v>Power Supply Section</v>
      </c>
      <c r="N613" s="17" t="n">
        <v>1</v>
      </c>
      <c r="O613" s="17" t="str">
        <f aca="false">VLOOKUP(N613,Sheet2!G:H,2,0)</f>
        <v>Dead</v>
      </c>
      <c r="P613" s="17" t="n">
        <v>12</v>
      </c>
      <c r="Q613" s="17" t="str">
        <f aca="false">VLOOKUP(P613,Sheet2!J:K,2,0)</f>
        <v>IR Declared due to Others ( IR Normal)TB</v>
      </c>
      <c r="R613" s="17" t="s">
        <v>35</v>
      </c>
      <c r="S613" s="17" t="str">
        <f aca="false">VLOOKUP(R613,Sheet2!N:O,2,0)</f>
        <v>IREPARABLE</v>
      </c>
      <c r="T613" s="18" t="str">
        <f aca="false">VLOOKUP(P613,Sheet2!Q:R,2,0)</f>
        <v>IR Normal - BER to IR</v>
      </c>
      <c r="U613" s="18" t="s">
        <v>101</v>
      </c>
      <c r="V613" s="17" t="n">
        <v>8</v>
      </c>
      <c r="W613" s="20" t="str">
        <f aca="false">VLOOKUP(V613,Sheet2!Q:R,2,0)</f>
        <v>IR Normal -TrackRust/InternalDamage/open</v>
      </c>
      <c r="X613" s="17" t="str">
        <f aca="false">J613</f>
        <v>A031</v>
      </c>
      <c r="Y613" s="17" t="str">
        <f aca="false">VLOOKUP(X613,Sheet2!A:B,2,0)</f>
        <v>NITIN PRANAMI</v>
      </c>
      <c r="Z613" s="17" t="s">
        <v>403</v>
      </c>
      <c r="AA613" s="17" t="s">
        <v>237</v>
      </c>
      <c r="AB613" s="17" t="s">
        <v>41</v>
      </c>
      <c r="AC613" s="0" t="str">
        <f aca="false">LEFT(G613,2)</f>
        <v>85</v>
      </c>
      <c r="AD613" s="0"/>
      <c r="AE613" s="21" t="s">
        <v>238</v>
      </c>
    </row>
    <row r="614" customFormat="false" ht="15" hidden="false" customHeight="false" outlineLevel="0" collapsed="false">
      <c r="A614" s="13" t="n">
        <f aca="false">1+A613</f>
        <v>612</v>
      </c>
      <c r="B614" s="14" t="n">
        <v>1009575989</v>
      </c>
      <c r="C614" s="15" t="s">
        <v>104</v>
      </c>
      <c r="D614" s="16" t="s">
        <v>64</v>
      </c>
      <c r="E614" s="17" t="s">
        <v>47</v>
      </c>
      <c r="F614" s="18" t="s">
        <v>34</v>
      </c>
      <c r="G614" s="19" t="n">
        <v>854195728423</v>
      </c>
      <c r="H614" s="17" t="s">
        <v>35</v>
      </c>
      <c r="I614" s="17" t="s">
        <v>36</v>
      </c>
      <c r="J614" s="17" t="s">
        <v>37</v>
      </c>
      <c r="K614" s="17" t="str">
        <f aca="false">VLOOKUP(J614,Sheet2!A:B,2,0)</f>
        <v>PRASHANT,AKASH</v>
      </c>
      <c r="L614" s="17" t="n">
        <v>1</v>
      </c>
      <c r="M614" s="17" t="str">
        <f aca="false">VLOOKUP(L614,Sheet2!D:E,2,0)</f>
        <v>Power Supply Section</v>
      </c>
      <c r="N614" s="17" t="n">
        <v>1</v>
      </c>
      <c r="O614" s="17" t="str">
        <f aca="false">VLOOKUP(N614,Sheet2!G:H,2,0)</f>
        <v>Dead</v>
      </c>
      <c r="P614" s="17" t="n">
        <v>12</v>
      </c>
      <c r="Q614" s="17" t="str">
        <f aca="false">VLOOKUP(P614,Sheet2!J:K,2,0)</f>
        <v>IR Declared due to Others ( IR Normal)TB</v>
      </c>
      <c r="R614" s="17" t="s">
        <v>35</v>
      </c>
      <c r="S614" s="17" t="str">
        <f aca="false">VLOOKUP(R614,Sheet2!N:O,2,0)</f>
        <v>IREPARABLE</v>
      </c>
      <c r="T614" s="18" t="str">
        <f aca="false">VLOOKUP(P614,Sheet2!Q:R,2,0)</f>
        <v>IR Normal - BER to IR</v>
      </c>
      <c r="U614" s="20" t="s">
        <v>135</v>
      </c>
      <c r="V614" s="17" t="n">
        <v>12</v>
      </c>
      <c r="W614" s="20" t="str">
        <f aca="false">VLOOKUP(V614,Sheet2!Q:R,2,0)</f>
        <v>IR Normal - BER to IR</v>
      </c>
      <c r="X614" s="17" t="str">
        <f aca="false">J614</f>
        <v>A041</v>
      </c>
      <c r="Y614" s="17" t="str">
        <f aca="false">VLOOKUP(X614,Sheet2!A:B,2,0)</f>
        <v>PRASHANT,AKASH</v>
      </c>
      <c r="Z614" s="17" t="s">
        <v>39</v>
      </c>
      <c r="AA614" s="17" t="s">
        <v>237</v>
      </c>
      <c r="AB614" s="17" t="s">
        <v>41</v>
      </c>
      <c r="AC614" s="0" t="str">
        <f aca="false">LEFT(G614,2)</f>
        <v>85</v>
      </c>
      <c r="AD614" s="0"/>
      <c r="AE614" s="21" t="s">
        <v>238</v>
      </c>
    </row>
    <row r="615" customFormat="false" ht="15" hidden="false" customHeight="false" outlineLevel="0" collapsed="false">
      <c r="A615" s="13" t="n">
        <f aca="false">1+A614</f>
        <v>613</v>
      </c>
      <c r="B615" s="14" t="n">
        <v>1009563900</v>
      </c>
      <c r="C615" s="15" t="s">
        <v>192</v>
      </c>
      <c r="D615" s="16" t="s">
        <v>64</v>
      </c>
      <c r="E615" s="17" t="s">
        <v>47</v>
      </c>
      <c r="F615" s="18" t="s">
        <v>34</v>
      </c>
      <c r="G615" s="19" t="n">
        <v>844045787893</v>
      </c>
      <c r="H615" s="17" t="s">
        <v>35</v>
      </c>
      <c r="I615" s="17" t="s">
        <v>36</v>
      </c>
      <c r="J615" s="17" t="s">
        <v>100</v>
      </c>
      <c r="K615" s="17" t="str">
        <f aca="false">VLOOKUP(J615,Sheet2!A:B,2,0)</f>
        <v>PIYUSH CHAVDA</v>
      </c>
      <c r="L615" s="17" t="n">
        <v>5</v>
      </c>
      <c r="M615" s="17" t="str">
        <f aca="false">VLOOKUP(L615,Sheet2!D:E,2,0)</f>
        <v>Main Processor CPU BGA</v>
      </c>
      <c r="N615" s="17" t="n">
        <v>1</v>
      </c>
      <c r="O615" s="17" t="str">
        <f aca="false">VLOOKUP(N615,Sheet2!G:H,2,0)</f>
        <v>Dead</v>
      </c>
      <c r="P615" s="17" t="n">
        <v>12</v>
      </c>
      <c r="Q615" s="17" t="str">
        <f aca="false">VLOOKUP(P615,Sheet2!J:K,2,0)</f>
        <v>IR Declared due to Others ( IR Normal)TB</v>
      </c>
      <c r="R615" s="17" t="s">
        <v>35</v>
      </c>
      <c r="S615" s="17" t="str">
        <f aca="false">VLOOKUP(R615,Sheet2!N:O,2,0)</f>
        <v>IREPARABLE</v>
      </c>
      <c r="T615" s="18" t="str">
        <f aca="false">VLOOKUP(P615,Sheet2!Q:R,2,0)</f>
        <v>IR Normal - BER to IR</v>
      </c>
      <c r="U615" s="18" t="s">
        <v>101</v>
      </c>
      <c r="V615" s="17" t="n">
        <v>8</v>
      </c>
      <c r="W615" s="20" t="str">
        <f aca="false">VLOOKUP(V615,Sheet2!Q:R,2,0)</f>
        <v>IR Normal -TrackRust/InternalDamage/open</v>
      </c>
      <c r="X615" s="17" t="str">
        <f aca="false">J615</f>
        <v>A050</v>
      </c>
      <c r="Y615" s="17" t="str">
        <f aca="false">VLOOKUP(X615,Sheet2!A:B,2,0)</f>
        <v>PIYUSH CHAVDA</v>
      </c>
      <c r="Z615" s="17" t="s">
        <v>127</v>
      </c>
      <c r="AA615" s="17" t="s">
        <v>237</v>
      </c>
      <c r="AB615" s="17" t="s">
        <v>41</v>
      </c>
      <c r="AC615" s="0" t="str">
        <f aca="false">LEFT(G615,2)</f>
        <v>84</v>
      </c>
      <c r="AD615" s="0"/>
      <c r="AE615" s="21" t="s">
        <v>238</v>
      </c>
    </row>
    <row r="616" customFormat="false" ht="15" hidden="false" customHeight="false" outlineLevel="0" collapsed="false">
      <c r="A616" s="13" t="n">
        <f aca="false">1+A615</f>
        <v>614</v>
      </c>
      <c r="B616" s="14" t="n">
        <v>1009575561</v>
      </c>
      <c r="C616" s="15" t="s">
        <v>104</v>
      </c>
      <c r="D616" s="16" t="s">
        <v>64</v>
      </c>
      <c r="E616" s="17" t="s">
        <v>64</v>
      </c>
      <c r="F616" s="18" t="s">
        <v>70</v>
      </c>
      <c r="G616" s="19" t="n">
        <v>844044728351</v>
      </c>
      <c r="H616" s="17" t="s">
        <v>35</v>
      </c>
      <c r="I616" s="17" t="s">
        <v>36</v>
      </c>
      <c r="J616" s="17" t="s">
        <v>239</v>
      </c>
      <c r="K616" s="17" t="str">
        <f aca="false">VLOOKUP(J616,Sheet2!A:B,2,0)</f>
        <v>VASANT PARMAR</v>
      </c>
      <c r="L616" s="17" t="n">
        <v>5</v>
      </c>
      <c r="M616" s="17" t="str">
        <f aca="false">VLOOKUP(L616,Sheet2!D:E,2,0)</f>
        <v>Main Processor CPU BGA</v>
      </c>
      <c r="N616" s="17" t="n">
        <v>1</v>
      </c>
      <c r="O616" s="17" t="str">
        <f aca="false">VLOOKUP(N616,Sheet2!G:H,2,0)</f>
        <v>Dead</v>
      </c>
      <c r="P616" s="17" t="n">
        <v>12</v>
      </c>
      <c r="Q616" s="17" t="str">
        <f aca="false">VLOOKUP(P616,Sheet2!J:K,2,0)</f>
        <v>IR Declared due to Others ( IR Normal)TB</v>
      </c>
      <c r="R616" s="17" t="s">
        <v>35</v>
      </c>
      <c r="S616" s="17" t="str">
        <f aca="false">VLOOKUP(R616,Sheet2!N:O,2,0)</f>
        <v>IREPARABLE</v>
      </c>
      <c r="T616" s="18" t="str">
        <f aca="false">VLOOKUP(P616,Sheet2!Q:R,2,0)</f>
        <v>IR Normal - BER to IR</v>
      </c>
      <c r="U616" s="18" t="s">
        <v>101</v>
      </c>
      <c r="V616" s="17" t="n">
        <v>8</v>
      </c>
      <c r="W616" s="20" t="str">
        <f aca="false">VLOOKUP(V616,Sheet2!Q:R,2,0)</f>
        <v>IR Normal -TrackRust/InternalDamage/open</v>
      </c>
      <c r="X616" s="17" t="str">
        <f aca="false">J616</f>
        <v>A005</v>
      </c>
      <c r="Y616" s="17" t="str">
        <f aca="false">VLOOKUP(X616,Sheet2!A:B,2,0)</f>
        <v>VASANT PARMAR</v>
      </c>
      <c r="Z616" s="17" t="s">
        <v>127</v>
      </c>
      <c r="AA616" s="17" t="s">
        <v>237</v>
      </c>
      <c r="AB616" s="17" t="s">
        <v>41</v>
      </c>
      <c r="AC616" s="0" t="str">
        <f aca="false">LEFT(G616,2)</f>
        <v>84</v>
      </c>
      <c r="AD616" s="0"/>
      <c r="AE616" s="21" t="s">
        <v>238</v>
      </c>
    </row>
    <row r="617" customFormat="false" ht="15" hidden="false" customHeight="false" outlineLevel="0" collapsed="false">
      <c r="A617" s="13" t="n">
        <f aca="false">1+A616</f>
        <v>615</v>
      </c>
      <c r="B617" s="14" t="n">
        <v>1009536737</v>
      </c>
      <c r="C617" s="15" t="s">
        <v>174</v>
      </c>
      <c r="D617" s="16" t="s">
        <v>404</v>
      </c>
      <c r="E617" s="17" t="s">
        <v>47</v>
      </c>
      <c r="F617" s="18" t="s">
        <v>34</v>
      </c>
      <c r="G617" s="19" t="n">
        <v>854182719542</v>
      </c>
      <c r="H617" s="17" t="s">
        <v>35</v>
      </c>
      <c r="I617" s="17" t="s">
        <v>36</v>
      </c>
      <c r="J617" s="17" t="s">
        <v>267</v>
      </c>
      <c r="K617" s="17" t="str">
        <f aca="false">VLOOKUP(J617,Sheet2!A:B,2,0)</f>
        <v>HARIRAM GUPTA</v>
      </c>
      <c r="L617" s="17" t="n">
        <v>5</v>
      </c>
      <c r="M617" s="17" t="str">
        <f aca="false">VLOOKUP(L617,Sheet2!D:E,2,0)</f>
        <v>Main Processor CPU BGA</v>
      </c>
      <c r="N617" s="17" t="n">
        <v>4</v>
      </c>
      <c r="O617" s="17" t="str">
        <f aca="false">VLOOKUP(N617,Sheet2!G:H,2,0)</f>
        <v>All LED glow</v>
      </c>
      <c r="P617" s="17" t="n">
        <v>12</v>
      </c>
      <c r="Q617" s="17" t="str">
        <f aca="false">VLOOKUP(P617,Sheet2!J:K,2,0)</f>
        <v>IR Declared due to Others ( IR Normal)TB</v>
      </c>
      <c r="R617" s="17" t="s">
        <v>35</v>
      </c>
      <c r="S617" s="17" t="str">
        <f aca="false">VLOOKUP(R617,Sheet2!N:O,2,0)</f>
        <v>IREPARABLE</v>
      </c>
      <c r="T617" s="18" t="str">
        <f aca="false">VLOOKUP(P617,Sheet2!Q:R,2,0)</f>
        <v>IR Normal - BER to IR</v>
      </c>
      <c r="U617" s="18" t="s">
        <v>101</v>
      </c>
      <c r="V617" s="17" t="n">
        <v>8</v>
      </c>
      <c r="W617" s="20" t="str">
        <f aca="false">VLOOKUP(V617,Sheet2!Q:R,2,0)</f>
        <v>IR Normal -TrackRust/InternalDamage/open</v>
      </c>
      <c r="X617" s="17" t="str">
        <f aca="false">J617</f>
        <v>A007</v>
      </c>
      <c r="Y617" s="17" t="str">
        <f aca="false">VLOOKUP(X617,Sheet2!A:B,2,0)</f>
        <v>HARIRAM GUPTA</v>
      </c>
      <c r="Z617" s="17" t="s">
        <v>387</v>
      </c>
      <c r="AA617" s="17" t="s">
        <v>237</v>
      </c>
      <c r="AB617" s="17" t="s">
        <v>41</v>
      </c>
      <c r="AC617" s="0" t="str">
        <f aca="false">LEFT(G617,2)</f>
        <v>85</v>
      </c>
      <c r="AD617" s="0"/>
      <c r="AE617" s="21" t="s">
        <v>238</v>
      </c>
    </row>
    <row r="618" customFormat="false" ht="15" hidden="false" customHeight="false" outlineLevel="0" collapsed="false">
      <c r="A618" s="13" t="n">
        <f aca="false">1+A617</f>
        <v>616</v>
      </c>
      <c r="B618" s="14" t="n">
        <v>1009563929</v>
      </c>
      <c r="C618" s="15" t="s">
        <v>192</v>
      </c>
      <c r="D618" s="16" t="s">
        <v>221</v>
      </c>
      <c r="E618" s="17" t="s">
        <v>178</v>
      </c>
      <c r="F618" s="18" t="s">
        <v>34</v>
      </c>
      <c r="G618" s="19" t="n">
        <v>844103778578</v>
      </c>
      <c r="H618" s="17" t="s">
        <v>35</v>
      </c>
      <c r="I618" s="17" t="s">
        <v>36</v>
      </c>
      <c r="J618" s="17" t="s">
        <v>37</v>
      </c>
      <c r="K618" s="17" t="str">
        <f aca="false">VLOOKUP(J618,Sheet2!A:B,2,0)</f>
        <v>PRASHANT,AKASH</v>
      </c>
      <c r="L618" s="17" t="n">
        <v>5</v>
      </c>
      <c r="M618" s="17" t="str">
        <f aca="false">VLOOKUP(L618,Sheet2!D:E,2,0)</f>
        <v>Main Processor CPU BGA</v>
      </c>
      <c r="N618" s="17" t="n">
        <v>24</v>
      </c>
      <c r="O618" s="17" t="str">
        <f aca="false">VLOOKUP(N618,Sheet2!G:H,2,0)</f>
        <v>STB Auto moving -Stand by mode</v>
      </c>
      <c r="P618" s="17" t="n">
        <v>12</v>
      </c>
      <c r="Q618" s="17" t="str">
        <f aca="false">VLOOKUP(P618,Sheet2!J:K,2,0)</f>
        <v>IR Declared due to Others ( IR Normal)TB</v>
      </c>
      <c r="R618" s="17" t="s">
        <v>35</v>
      </c>
      <c r="S618" s="17" t="str">
        <f aca="false">VLOOKUP(R618,Sheet2!N:O,2,0)</f>
        <v>IREPARABLE</v>
      </c>
      <c r="T618" s="18" t="str">
        <f aca="false">VLOOKUP(P618,Sheet2!Q:R,2,0)</f>
        <v>IR Normal - BER to IR</v>
      </c>
      <c r="U618" s="18" t="s">
        <v>101</v>
      </c>
      <c r="V618" s="17" t="n">
        <v>8</v>
      </c>
      <c r="W618" s="20" t="str">
        <f aca="false">VLOOKUP(V618,Sheet2!Q:R,2,0)</f>
        <v>IR Normal -TrackRust/InternalDamage/open</v>
      </c>
      <c r="X618" s="17" t="str">
        <f aca="false">J618</f>
        <v>A041</v>
      </c>
      <c r="Y618" s="17" t="str">
        <f aca="false">VLOOKUP(X618,Sheet2!A:B,2,0)</f>
        <v>PRASHANT,AKASH</v>
      </c>
      <c r="Z618" s="17" t="s">
        <v>39</v>
      </c>
      <c r="AA618" s="17" t="s">
        <v>237</v>
      </c>
      <c r="AB618" s="17" t="s">
        <v>41</v>
      </c>
      <c r="AC618" s="0" t="str">
        <f aca="false">LEFT(G618,2)</f>
        <v>84</v>
      </c>
      <c r="AD618" s="0"/>
      <c r="AE618" s="21" t="s">
        <v>238</v>
      </c>
    </row>
    <row r="619" customFormat="false" ht="15" hidden="false" customHeight="false" outlineLevel="0" collapsed="false">
      <c r="A619" s="13" t="n">
        <f aca="false">1+A618</f>
        <v>617</v>
      </c>
      <c r="B619" s="14" t="n">
        <v>1009584529</v>
      </c>
      <c r="C619" s="15" t="s">
        <v>139</v>
      </c>
      <c r="D619" s="16" t="s">
        <v>143</v>
      </c>
      <c r="E619" s="17" t="s">
        <v>33</v>
      </c>
      <c r="F619" s="18" t="s">
        <v>34</v>
      </c>
      <c r="G619" s="19" t="n">
        <v>853186752780</v>
      </c>
      <c r="H619" s="17" t="s">
        <v>35</v>
      </c>
      <c r="I619" s="17" t="s">
        <v>36</v>
      </c>
      <c r="J619" s="17" t="s">
        <v>239</v>
      </c>
      <c r="K619" s="17" t="str">
        <f aca="false">VLOOKUP(J619,Sheet2!A:B,2,0)</f>
        <v>VASANT PARMAR</v>
      </c>
      <c r="L619" s="17" t="n">
        <v>5</v>
      </c>
      <c r="M619" s="17" t="str">
        <f aca="false">VLOOKUP(L619,Sheet2!D:E,2,0)</f>
        <v>Main Processor CPU BGA</v>
      </c>
      <c r="N619" s="17" t="n">
        <v>1</v>
      </c>
      <c r="O619" s="17" t="str">
        <f aca="false">VLOOKUP(N619,Sheet2!G:H,2,0)</f>
        <v>Dead</v>
      </c>
      <c r="P619" s="17" t="n">
        <v>12</v>
      </c>
      <c r="Q619" s="17" t="str">
        <f aca="false">VLOOKUP(P619,Sheet2!J:K,2,0)</f>
        <v>IR Declared due to Others ( IR Normal)TB</v>
      </c>
      <c r="R619" s="17" t="s">
        <v>35</v>
      </c>
      <c r="S619" s="17" t="str">
        <f aca="false">VLOOKUP(R619,Sheet2!N:O,2,0)</f>
        <v>IREPARABLE</v>
      </c>
      <c r="T619" s="18" t="str">
        <f aca="false">VLOOKUP(P619,Sheet2!Q:R,2,0)</f>
        <v>IR Normal - BER to IR</v>
      </c>
      <c r="U619" s="18" t="s">
        <v>101</v>
      </c>
      <c r="V619" s="17" t="n">
        <v>8</v>
      </c>
      <c r="W619" s="20" t="str">
        <f aca="false">VLOOKUP(V619,Sheet2!Q:R,2,0)</f>
        <v>IR Normal -TrackRust/InternalDamage/open</v>
      </c>
      <c r="X619" s="17" t="str">
        <f aca="false">J619</f>
        <v>A005</v>
      </c>
      <c r="Y619" s="17" t="str">
        <f aca="false">VLOOKUP(X619,Sheet2!A:B,2,0)</f>
        <v>VASANT PARMAR</v>
      </c>
      <c r="Z619" s="17" t="s">
        <v>127</v>
      </c>
      <c r="AA619" s="17" t="s">
        <v>237</v>
      </c>
      <c r="AB619" s="17" t="s">
        <v>41</v>
      </c>
      <c r="AC619" s="0" t="str">
        <f aca="false">LEFT(G619,2)</f>
        <v>85</v>
      </c>
      <c r="AD619" s="0"/>
      <c r="AE619" s="21" t="s">
        <v>238</v>
      </c>
    </row>
    <row r="620" customFormat="false" ht="15" hidden="false" customHeight="false" outlineLevel="0" collapsed="false">
      <c r="A620" s="13" t="n">
        <f aca="false">1+A619</f>
        <v>618</v>
      </c>
      <c r="B620" s="14" t="n">
        <v>1009563375</v>
      </c>
      <c r="C620" s="15" t="s">
        <v>192</v>
      </c>
      <c r="D620" s="16" t="s">
        <v>64</v>
      </c>
      <c r="E620" s="17" t="s">
        <v>114</v>
      </c>
      <c r="F620" s="18" t="s">
        <v>34</v>
      </c>
      <c r="G620" s="19" t="n">
        <v>854147788103</v>
      </c>
      <c r="H620" s="17" t="s">
        <v>35</v>
      </c>
      <c r="I620" s="17" t="s">
        <v>36</v>
      </c>
      <c r="J620" s="17" t="s">
        <v>111</v>
      </c>
      <c r="K620" s="17" t="str">
        <f aca="false">VLOOKUP(J620,Sheet2!A:B,2,0)</f>
        <v>NITIN PRANAMI</v>
      </c>
      <c r="L620" s="17" t="n">
        <v>1</v>
      </c>
      <c r="M620" s="17" t="str">
        <f aca="false">VLOOKUP(L620,Sheet2!D:E,2,0)</f>
        <v>Power Supply Section</v>
      </c>
      <c r="N620" s="17" t="n">
        <v>1</v>
      </c>
      <c r="O620" s="17" t="str">
        <f aca="false">VLOOKUP(N620,Sheet2!G:H,2,0)</f>
        <v>Dead</v>
      </c>
      <c r="P620" s="17" t="n">
        <v>12</v>
      </c>
      <c r="Q620" s="17" t="str">
        <f aca="false">VLOOKUP(P620,Sheet2!J:K,2,0)</f>
        <v>IR Declared due to Others ( IR Normal)TB</v>
      </c>
      <c r="R620" s="17" t="s">
        <v>35</v>
      </c>
      <c r="S620" s="17" t="str">
        <f aca="false">VLOOKUP(R620,Sheet2!N:O,2,0)</f>
        <v>IREPARABLE</v>
      </c>
      <c r="T620" s="18" t="str">
        <f aca="false">VLOOKUP(P620,Sheet2!Q:R,2,0)</f>
        <v>IR Normal - BER to IR</v>
      </c>
      <c r="U620" s="18" t="s">
        <v>101</v>
      </c>
      <c r="V620" s="17" t="n">
        <v>8</v>
      </c>
      <c r="W620" s="20" t="str">
        <f aca="false">VLOOKUP(V620,Sheet2!Q:R,2,0)</f>
        <v>IR Normal -TrackRust/InternalDamage/open</v>
      </c>
      <c r="X620" s="17" t="str">
        <f aca="false">J620</f>
        <v>A031</v>
      </c>
      <c r="Y620" s="17" t="str">
        <f aca="false">VLOOKUP(X620,Sheet2!A:B,2,0)</f>
        <v>NITIN PRANAMI</v>
      </c>
      <c r="Z620" s="17" t="s">
        <v>405</v>
      </c>
      <c r="AA620" s="17" t="s">
        <v>237</v>
      </c>
      <c r="AB620" s="17" t="s">
        <v>41</v>
      </c>
      <c r="AC620" s="0" t="str">
        <f aca="false">LEFT(G620,2)</f>
        <v>85</v>
      </c>
      <c r="AD620" s="0"/>
      <c r="AE620" s="21" t="s">
        <v>238</v>
      </c>
    </row>
    <row r="621" customFormat="false" ht="15" hidden="false" customHeight="false" outlineLevel="0" collapsed="false">
      <c r="A621" s="13" t="n">
        <f aca="false">1+A620</f>
        <v>619</v>
      </c>
      <c r="B621" s="14" t="n">
        <v>1009576424</v>
      </c>
      <c r="C621" s="15" t="s">
        <v>104</v>
      </c>
      <c r="D621" s="16" t="s">
        <v>32</v>
      </c>
      <c r="E621" s="17" t="s">
        <v>47</v>
      </c>
      <c r="F621" s="18" t="s">
        <v>34</v>
      </c>
      <c r="G621" s="19" t="n">
        <v>844037745461</v>
      </c>
      <c r="H621" s="17" t="s">
        <v>35</v>
      </c>
      <c r="I621" s="17" t="s">
        <v>36</v>
      </c>
      <c r="J621" s="17" t="s">
        <v>37</v>
      </c>
      <c r="K621" s="17" t="str">
        <f aca="false">VLOOKUP(J621,Sheet2!A:B,2,0)</f>
        <v>PRASHANT,AKASH</v>
      </c>
      <c r="L621" s="17" t="n">
        <v>1</v>
      </c>
      <c r="M621" s="17" t="str">
        <f aca="false">VLOOKUP(L621,Sheet2!D:E,2,0)</f>
        <v>Power Supply Section</v>
      </c>
      <c r="N621" s="17" t="n">
        <v>1</v>
      </c>
      <c r="O621" s="17" t="str">
        <f aca="false">VLOOKUP(N621,Sheet2!G:H,2,0)</f>
        <v>Dead</v>
      </c>
      <c r="P621" s="17" t="n">
        <v>12</v>
      </c>
      <c r="Q621" s="17" t="str">
        <f aca="false">VLOOKUP(P621,Sheet2!J:K,2,0)</f>
        <v>IR Declared due to Others ( IR Normal)TB</v>
      </c>
      <c r="R621" s="17" t="s">
        <v>35</v>
      </c>
      <c r="S621" s="17" t="str">
        <f aca="false">VLOOKUP(R621,Sheet2!N:O,2,0)</f>
        <v>IREPARABLE</v>
      </c>
      <c r="T621" s="18" t="str">
        <f aca="false">VLOOKUP(P621,Sheet2!Q:R,2,0)</f>
        <v>IR Normal - BER to IR</v>
      </c>
      <c r="U621" s="20" t="s">
        <v>135</v>
      </c>
      <c r="V621" s="17" t="n">
        <v>12</v>
      </c>
      <c r="W621" s="20" t="str">
        <f aca="false">VLOOKUP(V621,Sheet2!Q:R,2,0)</f>
        <v>IR Normal - BER to IR</v>
      </c>
      <c r="X621" s="17" t="str">
        <f aca="false">J621</f>
        <v>A041</v>
      </c>
      <c r="Y621" s="17" t="str">
        <f aca="false">VLOOKUP(X621,Sheet2!A:B,2,0)</f>
        <v>PRASHANT,AKASH</v>
      </c>
      <c r="Z621" s="17" t="s">
        <v>39</v>
      </c>
      <c r="AA621" s="17" t="s">
        <v>237</v>
      </c>
      <c r="AB621" s="17" t="s">
        <v>41</v>
      </c>
      <c r="AC621" s="0" t="str">
        <f aca="false">LEFT(G621,2)</f>
        <v>84</v>
      </c>
      <c r="AD621" s="0"/>
      <c r="AE621" s="21" t="s">
        <v>238</v>
      </c>
    </row>
    <row r="622" customFormat="false" ht="15" hidden="false" customHeight="false" outlineLevel="0" collapsed="false">
      <c r="A622" s="13" t="n">
        <f aca="false">1+A621</f>
        <v>620</v>
      </c>
      <c r="B622" s="14" t="n">
        <v>1009528111</v>
      </c>
      <c r="C622" s="15" t="s">
        <v>162</v>
      </c>
      <c r="D622" s="16" t="s">
        <v>64</v>
      </c>
      <c r="E622" s="17" t="s">
        <v>64</v>
      </c>
      <c r="F622" s="18" t="s">
        <v>70</v>
      </c>
      <c r="G622" s="19" t="n">
        <v>853260794187</v>
      </c>
      <c r="H622" s="17" t="s">
        <v>35</v>
      </c>
      <c r="I622" s="17" t="s">
        <v>36</v>
      </c>
      <c r="J622" s="17" t="s">
        <v>115</v>
      </c>
      <c r="K622" s="17" t="str">
        <f aca="false">VLOOKUP(J622,Sheet2!A:B,2,0)</f>
        <v>ANKIT RANA</v>
      </c>
      <c r="L622" s="17" t="n">
        <v>1</v>
      </c>
      <c r="M622" s="17" t="str">
        <f aca="false">VLOOKUP(L622,Sheet2!D:E,2,0)</f>
        <v>Power Supply Section</v>
      </c>
      <c r="N622" s="17" t="n">
        <v>1</v>
      </c>
      <c r="O622" s="17" t="str">
        <f aca="false">VLOOKUP(N622,Sheet2!G:H,2,0)</f>
        <v>Dead</v>
      </c>
      <c r="P622" s="17" t="n">
        <v>12</v>
      </c>
      <c r="Q622" s="17" t="str">
        <f aca="false">VLOOKUP(P622,Sheet2!J:K,2,0)</f>
        <v>IR Declared due to Others ( IR Normal)TB</v>
      </c>
      <c r="R622" s="17" t="s">
        <v>35</v>
      </c>
      <c r="S622" s="17" t="str">
        <f aca="false">VLOOKUP(R622,Sheet2!N:O,2,0)</f>
        <v>IREPARABLE</v>
      </c>
      <c r="T622" s="18" t="str">
        <f aca="false">VLOOKUP(P622,Sheet2!Q:R,2,0)</f>
        <v>IR Normal - BER to IR</v>
      </c>
      <c r="U622" s="18" t="s">
        <v>101</v>
      </c>
      <c r="V622" s="17" t="n">
        <v>8</v>
      </c>
      <c r="W622" s="20" t="str">
        <f aca="false">VLOOKUP(V622,Sheet2!Q:R,2,0)</f>
        <v>IR Normal -TrackRust/InternalDamage/open</v>
      </c>
      <c r="X622" s="17" t="str">
        <f aca="false">J622</f>
        <v>A042</v>
      </c>
      <c r="Y622" s="17" t="str">
        <f aca="false">VLOOKUP(X622,Sheet2!A:B,2,0)</f>
        <v>ANKIT RANA</v>
      </c>
      <c r="Z622" s="17" t="s">
        <v>387</v>
      </c>
      <c r="AA622" s="17" t="s">
        <v>237</v>
      </c>
      <c r="AB622" s="17" t="s">
        <v>41</v>
      </c>
      <c r="AC622" s="0" t="str">
        <f aca="false">LEFT(G622,2)</f>
        <v>85</v>
      </c>
      <c r="AD622" s="0"/>
      <c r="AE622" s="21" t="s">
        <v>238</v>
      </c>
    </row>
    <row r="623" customFormat="false" ht="15" hidden="false" customHeight="false" outlineLevel="0" collapsed="false">
      <c r="A623" s="13" t="n">
        <f aca="false">1+A622</f>
        <v>621</v>
      </c>
      <c r="B623" s="14" t="n">
        <v>1009570483</v>
      </c>
      <c r="C623" s="15" t="s">
        <v>102</v>
      </c>
      <c r="D623" s="16" t="s">
        <v>64</v>
      </c>
      <c r="E623" s="17" t="s">
        <v>64</v>
      </c>
      <c r="F623" s="18" t="s">
        <v>70</v>
      </c>
      <c r="G623" s="19" t="n">
        <v>853240743270</v>
      </c>
      <c r="H623" s="17" t="s">
        <v>35</v>
      </c>
      <c r="I623" s="17" t="s">
        <v>36</v>
      </c>
      <c r="J623" s="17" t="s">
        <v>37</v>
      </c>
      <c r="K623" s="17" t="str">
        <f aca="false">VLOOKUP(J623,Sheet2!A:B,2,0)</f>
        <v>PRASHANT,AKASH</v>
      </c>
      <c r="L623" s="17" t="n">
        <v>1</v>
      </c>
      <c r="M623" s="17" t="str">
        <f aca="false">VLOOKUP(L623,Sheet2!D:E,2,0)</f>
        <v>Power Supply Section</v>
      </c>
      <c r="N623" s="17" t="n">
        <v>1</v>
      </c>
      <c r="O623" s="17" t="str">
        <f aca="false">VLOOKUP(N623,Sheet2!G:H,2,0)</f>
        <v>Dead</v>
      </c>
      <c r="P623" s="17" t="n">
        <v>12</v>
      </c>
      <c r="Q623" s="17" t="str">
        <f aca="false">VLOOKUP(P623,Sheet2!J:K,2,0)</f>
        <v>IR Declared due to Others ( IR Normal)TB</v>
      </c>
      <c r="R623" s="17" t="s">
        <v>35</v>
      </c>
      <c r="S623" s="17" t="str">
        <f aca="false">VLOOKUP(R623,Sheet2!N:O,2,0)</f>
        <v>IREPARABLE</v>
      </c>
      <c r="T623" s="18" t="str">
        <f aca="false">VLOOKUP(P623,Sheet2!Q:R,2,0)</f>
        <v>IR Normal - BER to IR</v>
      </c>
      <c r="U623" s="20" t="s">
        <v>135</v>
      </c>
      <c r="V623" s="17" t="n">
        <v>12</v>
      </c>
      <c r="W623" s="20" t="str">
        <f aca="false">VLOOKUP(V623,Sheet2!Q:R,2,0)</f>
        <v>IR Normal - BER to IR</v>
      </c>
      <c r="X623" s="17" t="str">
        <f aca="false">J623</f>
        <v>A041</v>
      </c>
      <c r="Y623" s="17" t="str">
        <f aca="false">VLOOKUP(X623,Sheet2!A:B,2,0)</f>
        <v>PRASHANT,AKASH</v>
      </c>
      <c r="Z623" s="17" t="s">
        <v>39</v>
      </c>
      <c r="AA623" s="17" t="s">
        <v>237</v>
      </c>
      <c r="AB623" s="17" t="s">
        <v>41</v>
      </c>
      <c r="AC623" s="0" t="str">
        <f aca="false">LEFT(G623,2)</f>
        <v>85</v>
      </c>
      <c r="AD623" s="0"/>
      <c r="AE623" s="21" t="s">
        <v>238</v>
      </c>
    </row>
    <row r="624" customFormat="false" ht="15" hidden="false" customHeight="false" outlineLevel="0" collapsed="false">
      <c r="A624" s="13" t="n">
        <f aca="false">1+A623</f>
        <v>622</v>
      </c>
      <c r="B624" s="14" t="n">
        <v>1009384126</v>
      </c>
      <c r="C624" s="15" t="s">
        <v>406</v>
      </c>
      <c r="D624" s="16" t="s">
        <v>206</v>
      </c>
      <c r="E624" s="17" t="s">
        <v>47</v>
      </c>
      <c r="F624" s="18" t="s">
        <v>34</v>
      </c>
      <c r="G624" s="19" t="n">
        <v>752125309852</v>
      </c>
      <c r="H624" s="17" t="s">
        <v>35</v>
      </c>
      <c r="I624" s="17" t="s">
        <v>54</v>
      </c>
      <c r="J624" s="17" t="s">
        <v>239</v>
      </c>
      <c r="K624" s="17" t="str">
        <f aca="false">VLOOKUP(J624,Sheet2!A:B,2,0)</f>
        <v>VASANT PARMAR</v>
      </c>
      <c r="L624" s="17" t="n">
        <v>2</v>
      </c>
      <c r="M624" s="17" t="str">
        <f aca="false">VLOOKUP(L624,Sheet2!D:E,2,0)</f>
        <v>Tuner Section</v>
      </c>
      <c r="N624" s="17" t="n">
        <v>6</v>
      </c>
      <c r="O624" s="17" t="str">
        <f aca="false">VLOOKUP(N624,Sheet2!G:H,2,0)</f>
        <v>No Signal</v>
      </c>
      <c r="P624" s="17" t="n">
        <v>11</v>
      </c>
      <c r="Q624" s="17" t="str">
        <f aca="false">VLOOKUP(P624,Sheet2!J:K,2,0)</f>
        <v>IR Declared due to CID -TA</v>
      </c>
      <c r="R624" s="17" t="s">
        <v>35</v>
      </c>
      <c r="S624" s="17" t="str">
        <f aca="false">VLOOKUP(R624,Sheet2!N:O,2,0)</f>
        <v>IREPARABLE</v>
      </c>
      <c r="T624" s="18" t="str">
        <f aca="false">VLOOKUP(P624,Sheet2!Q:R,2,0)</f>
        <v>IR Normal - Track burn out</v>
      </c>
      <c r="U624" s="18" t="s">
        <v>38</v>
      </c>
      <c r="V624" s="17" t="n">
        <v>4</v>
      </c>
      <c r="W624" s="20" t="str">
        <f aca="false">VLOOKUP(V624,Sheet2!Q:R,2,0)</f>
        <v>IR CID - Tampered Track burn out</v>
      </c>
      <c r="X624" s="17" t="str">
        <f aca="false">J624</f>
        <v>A005</v>
      </c>
      <c r="Y624" s="17" t="str">
        <f aca="false">VLOOKUP(X624,Sheet2!A:B,2,0)</f>
        <v>VASANT PARMAR</v>
      </c>
      <c r="Z624" s="17" t="s">
        <v>407</v>
      </c>
      <c r="AA624" s="17" t="s">
        <v>237</v>
      </c>
      <c r="AB624" s="17" t="s">
        <v>41</v>
      </c>
      <c r="AC624" s="0" t="str">
        <f aca="false">LEFT(G624,2)</f>
        <v>75</v>
      </c>
      <c r="AD624" s="0"/>
      <c r="AE624" s="21" t="s">
        <v>238</v>
      </c>
    </row>
    <row r="625" customFormat="false" ht="15" hidden="false" customHeight="false" outlineLevel="0" collapsed="false">
      <c r="A625" s="13" t="n">
        <f aca="false">1+A624</f>
        <v>623</v>
      </c>
      <c r="B625" s="14" t="n">
        <v>1009486408</v>
      </c>
      <c r="C625" s="15" t="s">
        <v>408</v>
      </c>
      <c r="D625" s="16" t="s">
        <v>64</v>
      </c>
      <c r="E625" s="17" t="s">
        <v>64</v>
      </c>
      <c r="F625" s="18" t="s">
        <v>70</v>
      </c>
      <c r="G625" s="19" t="n">
        <v>743032610425</v>
      </c>
      <c r="H625" s="17" t="s">
        <v>35</v>
      </c>
      <c r="I625" s="17" t="s">
        <v>54</v>
      </c>
      <c r="J625" s="17" t="s">
        <v>100</v>
      </c>
      <c r="K625" s="17" t="str">
        <f aca="false">VLOOKUP(J625,Sheet2!A:B,2,0)</f>
        <v>PIYUSH CHAVDA</v>
      </c>
      <c r="L625" s="17" t="n">
        <v>1</v>
      </c>
      <c r="M625" s="17" t="str">
        <f aca="false">VLOOKUP(L625,Sheet2!D:E,2,0)</f>
        <v>Power Supply Section</v>
      </c>
      <c r="N625" s="17" t="n">
        <v>1</v>
      </c>
      <c r="O625" s="17" t="str">
        <f aca="false">VLOOKUP(N625,Sheet2!G:H,2,0)</f>
        <v>Dead</v>
      </c>
      <c r="P625" s="17" t="n">
        <v>11</v>
      </c>
      <c r="Q625" s="17" t="str">
        <f aca="false">VLOOKUP(P625,Sheet2!J:K,2,0)</f>
        <v>IR Declared due to CID -TA</v>
      </c>
      <c r="R625" s="17" t="s">
        <v>35</v>
      </c>
      <c r="S625" s="17" t="str">
        <f aca="false">VLOOKUP(R625,Sheet2!N:O,2,0)</f>
        <v>IREPARABLE</v>
      </c>
      <c r="T625" s="18" t="str">
        <f aca="false">VLOOKUP(P625,Sheet2!Q:R,2,0)</f>
        <v>IR Normal - Track burn out</v>
      </c>
      <c r="U625" s="18" t="s">
        <v>122</v>
      </c>
      <c r="V625" s="17" t="n">
        <v>2</v>
      </c>
      <c r="W625" s="20" t="str">
        <f aca="false">VLOOKUP(V625,Sheet2!Q:R,2,0)</f>
        <v>IR CID -  Water log from other area</v>
      </c>
      <c r="X625" s="17" t="str">
        <f aca="false">J625</f>
        <v>A050</v>
      </c>
      <c r="Y625" s="17" t="str">
        <f aca="false">VLOOKUP(X625,Sheet2!A:B,2,0)</f>
        <v>PIYUSH CHAVDA</v>
      </c>
      <c r="Z625" s="17" t="s">
        <v>409</v>
      </c>
      <c r="AA625" s="17" t="s">
        <v>237</v>
      </c>
      <c r="AB625" s="17" t="s">
        <v>41</v>
      </c>
      <c r="AC625" s="0" t="str">
        <f aca="false">LEFT(G625,2)</f>
        <v>74</v>
      </c>
      <c r="AD625" s="0"/>
      <c r="AE625" s="21" t="s">
        <v>238</v>
      </c>
    </row>
    <row r="626" customFormat="false" ht="15" hidden="false" customHeight="false" outlineLevel="0" collapsed="false">
      <c r="A626" s="13" t="n">
        <f aca="false">1+A625</f>
        <v>624</v>
      </c>
      <c r="B626" s="14" t="n">
        <v>1009309011</v>
      </c>
      <c r="C626" s="15" t="s">
        <v>185</v>
      </c>
      <c r="D626" s="16" t="s">
        <v>64</v>
      </c>
      <c r="E626" s="17" t="s">
        <v>410</v>
      </c>
      <c r="F626" s="18" t="s">
        <v>34</v>
      </c>
      <c r="G626" s="19" t="n">
        <v>651047008248</v>
      </c>
      <c r="H626" s="17" t="s">
        <v>35</v>
      </c>
      <c r="I626" s="17" t="s">
        <v>50</v>
      </c>
      <c r="J626" s="17" t="s">
        <v>106</v>
      </c>
      <c r="K626" s="17" t="str">
        <f aca="false">VLOOKUP(J626,Sheet2!A:B,2,0)</f>
        <v>PRAKASH CHAVDA</v>
      </c>
      <c r="L626" s="17" t="n">
        <v>5</v>
      </c>
      <c r="M626" s="17" t="str">
        <f aca="false">VLOOKUP(L626,Sheet2!D:E,2,0)</f>
        <v>Main Processor CPU BGA</v>
      </c>
      <c r="N626" s="17" t="n">
        <v>33</v>
      </c>
      <c r="O626" s="17" t="str">
        <f aca="false">VLOOKUP(N626,Sheet2!G:H,2,0)</f>
        <v>Software download failure</v>
      </c>
      <c r="P626" s="17" t="n">
        <v>12</v>
      </c>
      <c r="Q626" s="17" t="str">
        <f aca="false">VLOOKUP(P626,Sheet2!J:K,2,0)</f>
        <v>IR Declared due to Others ( IR Normal)TB</v>
      </c>
      <c r="R626" s="17" t="s">
        <v>35</v>
      </c>
      <c r="S626" s="17" t="str">
        <f aca="false">VLOOKUP(R626,Sheet2!N:O,2,0)</f>
        <v>IREPARABLE</v>
      </c>
      <c r="T626" s="18" t="str">
        <f aca="false">VLOOKUP(P626,Sheet2!Q:R,2,0)</f>
        <v>IR Normal - BER to IR</v>
      </c>
      <c r="U626" s="20" t="s">
        <v>135</v>
      </c>
      <c r="V626" s="17" t="n">
        <v>12</v>
      </c>
      <c r="W626" s="20" t="str">
        <f aca="false">VLOOKUP(V626,Sheet2!Q:R,2,0)</f>
        <v>IR Normal - BER to IR</v>
      </c>
      <c r="X626" s="17" t="str">
        <f aca="false">J626</f>
        <v>A018</v>
      </c>
      <c r="Y626" s="17" t="str">
        <f aca="false">VLOOKUP(X626,Sheet2!A:B,2,0)</f>
        <v>PRAKASH CHAVDA</v>
      </c>
      <c r="Z626" s="17" t="s">
        <v>149</v>
      </c>
      <c r="AA626" s="17" t="s">
        <v>237</v>
      </c>
      <c r="AB626" s="17" t="s">
        <v>41</v>
      </c>
      <c r="AC626" s="0" t="str">
        <f aca="false">LEFT(G626,2)</f>
        <v>65</v>
      </c>
      <c r="AD626" s="0"/>
      <c r="AE626" s="21" t="s">
        <v>238</v>
      </c>
    </row>
    <row r="627" customFormat="false" ht="15" hidden="false" customHeight="false" outlineLevel="0" collapsed="false">
      <c r="A627" s="13" t="n">
        <f aca="false">1+A626</f>
        <v>625</v>
      </c>
      <c r="B627" s="14" t="n">
        <v>1009586832</v>
      </c>
      <c r="C627" s="15" t="s">
        <v>139</v>
      </c>
      <c r="D627" s="16" t="s">
        <v>64</v>
      </c>
      <c r="E627" s="17" t="s">
        <v>47</v>
      </c>
      <c r="F627" s="18" t="s">
        <v>34</v>
      </c>
      <c r="G627" s="19" t="n">
        <v>651172016149</v>
      </c>
      <c r="H627" s="17" t="s">
        <v>35</v>
      </c>
      <c r="I627" s="17" t="s">
        <v>50</v>
      </c>
      <c r="J627" s="17" t="s">
        <v>111</v>
      </c>
      <c r="K627" s="17" t="str">
        <f aca="false">VLOOKUP(J627,Sheet2!A:B,2,0)</f>
        <v>NITIN PRANAMI</v>
      </c>
      <c r="L627" s="17" t="n">
        <v>2</v>
      </c>
      <c r="M627" s="17" t="str">
        <f aca="false">VLOOKUP(L627,Sheet2!D:E,2,0)</f>
        <v>Tuner Section</v>
      </c>
      <c r="N627" s="17" t="n">
        <v>6</v>
      </c>
      <c r="O627" s="17" t="str">
        <f aca="false">VLOOKUP(N627,Sheet2!G:H,2,0)</f>
        <v>No Signal</v>
      </c>
      <c r="P627" s="17" t="n">
        <v>12</v>
      </c>
      <c r="Q627" s="17" t="str">
        <f aca="false">VLOOKUP(P627,Sheet2!J:K,2,0)</f>
        <v>IR Declared due to Others ( IR Normal)TB</v>
      </c>
      <c r="R627" s="17" t="s">
        <v>35</v>
      </c>
      <c r="S627" s="17" t="str">
        <f aca="false">VLOOKUP(R627,Sheet2!N:O,2,0)</f>
        <v>IREPARABLE</v>
      </c>
      <c r="T627" s="18" t="s">
        <v>248</v>
      </c>
      <c r="U627" s="15" t="s">
        <v>38</v>
      </c>
      <c r="V627" s="17" t="n">
        <v>11</v>
      </c>
      <c r="W627" s="20" t="str">
        <f aca="false">VLOOKUP(V627,Sheet2!Q:R,2,0)</f>
        <v>IR Normal - Track burn out</v>
      </c>
      <c r="X627" s="17" t="str">
        <f aca="false">J627</f>
        <v>A031</v>
      </c>
      <c r="Y627" s="17" t="str">
        <f aca="false">VLOOKUP(X627,Sheet2!A:B,2,0)</f>
        <v>NITIN PRANAMI</v>
      </c>
      <c r="Z627" s="17" t="s">
        <v>411</v>
      </c>
      <c r="AA627" s="17" t="s">
        <v>237</v>
      </c>
      <c r="AB627" s="17" t="s">
        <v>41</v>
      </c>
      <c r="AC627" s="0" t="str">
        <f aca="false">LEFT(G627,2)</f>
        <v>65</v>
      </c>
      <c r="AD627" s="0"/>
      <c r="AE627" s="21" t="s">
        <v>238</v>
      </c>
    </row>
    <row r="628" customFormat="false" ht="15" hidden="false" customHeight="false" outlineLevel="0" collapsed="false">
      <c r="A628" s="13" t="n">
        <f aca="false">1+A627</f>
        <v>626</v>
      </c>
      <c r="B628" s="14" t="n">
        <v>1009570673</v>
      </c>
      <c r="C628" s="15" t="s">
        <v>412</v>
      </c>
      <c r="D628" s="16" t="s">
        <v>304</v>
      </c>
      <c r="E628" s="17" t="s">
        <v>91</v>
      </c>
      <c r="F628" s="18" t="s">
        <v>92</v>
      </c>
      <c r="G628" s="19" t="n">
        <v>651016005985</v>
      </c>
      <c r="H628" s="17" t="s">
        <v>35</v>
      </c>
      <c r="I628" s="17" t="s">
        <v>50</v>
      </c>
      <c r="J628" s="17" t="s">
        <v>267</v>
      </c>
      <c r="K628" s="17" t="str">
        <f aca="false">VLOOKUP(J628,Sheet2!A:B,2,0)</f>
        <v>HARIRAM GUPTA</v>
      </c>
      <c r="L628" s="17" t="n">
        <v>1</v>
      </c>
      <c r="M628" s="17" t="str">
        <f aca="false">VLOOKUP(L628,Sheet2!D:E,2,0)</f>
        <v>Power Supply Section</v>
      </c>
      <c r="N628" s="17" t="n">
        <v>1</v>
      </c>
      <c r="O628" s="17" t="str">
        <f aca="false">VLOOKUP(N628,Sheet2!G:H,2,0)</f>
        <v>Dead</v>
      </c>
      <c r="P628" s="17" t="n">
        <v>12</v>
      </c>
      <c r="Q628" s="17" t="str">
        <f aca="false">VLOOKUP(P628,Sheet2!J:K,2,0)</f>
        <v>IR Declared due to Others ( IR Normal)TB</v>
      </c>
      <c r="R628" s="17" t="s">
        <v>35</v>
      </c>
      <c r="S628" s="17" t="str">
        <f aca="false">VLOOKUP(R628,Sheet2!N:O,2,0)</f>
        <v>IREPARABLE</v>
      </c>
      <c r="T628" s="18" t="str">
        <f aca="false">VLOOKUP(P628,Sheet2!Q:R,2,0)</f>
        <v>IR Normal - BER to IR</v>
      </c>
      <c r="U628" s="18" t="s">
        <v>101</v>
      </c>
      <c r="V628" s="17" t="n">
        <v>8</v>
      </c>
      <c r="W628" s="20" t="str">
        <f aca="false">VLOOKUP(V628,Sheet2!Q:R,2,0)</f>
        <v>IR Normal -TrackRust/InternalDamage/open</v>
      </c>
      <c r="X628" s="17" t="str">
        <f aca="false">J628</f>
        <v>A007</v>
      </c>
      <c r="Y628" s="17" t="str">
        <f aca="false">VLOOKUP(X628,Sheet2!A:B,2,0)</f>
        <v>HARIRAM GUPTA</v>
      </c>
      <c r="Z628" s="17" t="s">
        <v>411</v>
      </c>
      <c r="AA628" s="17" t="s">
        <v>237</v>
      </c>
      <c r="AB628" s="17" t="s">
        <v>41</v>
      </c>
      <c r="AC628" s="0" t="str">
        <f aca="false">LEFT(G628,2)</f>
        <v>65</v>
      </c>
      <c r="AD628" s="0"/>
      <c r="AE628" s="21" t="s">
        <v>238</v>
      </c>
    </row>
    <row r="629" customFormat="false" ht="15" hidden="false" customHeight="false" outlineLevel="0" collapsed="false">
      <c r="A629" s="13" t="n">
        <f aca="false">1+A628</f>
        <v>627</v>
      </c>
      <c r="B629" s="14" t="n">
        <v>1009570652</v>
      </c>
      <c r="C629" s="15" t="s">
        <v>102</v>
      </c>
      <c r="D629" s="16" t="s">
        <v>119</v>
      </c>
      <c r="E629" s="17" t="s">
        <v>64</v>
      </c>
      <c r="F629" s="18" t="s">
        <v>70</v>
      </c>
      <c r="G629" s="19" t="n">
        <v>651023018302</v>
      </c>
      <c r="H629" s="17" t="s">
        <v>35</v>
      </c>
      <c r="I629" s="17" t="s">
        <v>50</v>
      </c>
      <c r="J629" s="17" t="s">
        <v>239</v>
      </c>
      <c r="K629" s="17" t="str">
        <f aca="false">VLOOKUP(J629,Sheet2!A:B,2,0)</f>
        <v>VASANT PARMAR</v>
      </c>
      <c r="L629" s="17" t="n">
        <v>2</v>
      </c>
      <c r="M629" s="17" t="str">
        <f aca="false">VLOOKUP(L629,Sheet2!D:E,2,0)</f>
        <v>Tuner Section</v>
      </c>
      <c r="N629" s="17" t="n">
        <v>6</v>
      </c>
      <c r="O629" s="17" t="str">
        <f aca="false">VLOOKUP(N629,Sheet2!G:H,2,0)</f>
        <v>No Signal</v>
      </c>
      <c r="P629" s="17" t="n">
        <v>11</v>
      </c>
      <c r="Q629" s="17" t="str">
        <f aca="false">VLOOKUP(P629,Sheet2!J:K,2,0)</f>
        <v>IR Declared due to CID -TA</v>
      </c>
      <c r="R629" s="17" t="s">
        <v>35</v>
      </c>
      <c r="S629" s="17" t="str">
        <f aca="false">VLOOKUP(R629,Sheet2!N:O,2,0)</f>
        <v>IREPARABLE</v>
      </c>
      <c r="T629" s="18" t="str">
        <f aca="false">VLOOKUP(P629,Sheet2!Q:R,2,0)</f>
        <v>IR Normal - Track burn out</v>
      </c>
      <c r="U629" s="18" t="s">
        <v>122</v>
      </c>
      <c r="V629" s="17" t="n">
        <v>2</v>
      </c>
      <c r="W629" s="20" t="str">
        <f aca="false">VLOOKUP(V629,Sheet2!Q:R,2,0)</f>
        <v>IR CID -  Water log from other area</v>
      </c>
      <c r="X629" s="17" t="str">
        <f aca="false">J629</f>
        <v>A005</v>
      </c>
      <c r="Y629" s="17" t="str">
        <f aca="false">VLOOKUP(X629,Sheet2!A:B,2,0)</f>
        <v>VASANT PARMAR</v>
      </c>
      <c r="Z629" s="17" t="s">
        <v>411</v>
      </c>
      <c r="AA629" s="17" t="s">
        <v>237</v>
      </c>
      <c r="AB629" s="17" t="s">
        <v>41</v>
      </c>
      <c r="AC629" s="0" t="str">
        <f aca="false">LEFT(G629,2)</f>
        <v>65</v>
      </c>
      <c r="AD629" s="0"/>
      <c r="AE629" s="21" t="s">
        <v>238</v>
      </c>
    </row>
    <row r="630" customFormat="false" ht="15" hidden="false" customHeight="false" outlineLevel="0" collapsed="false">
      <c r="A630" s="13" t="n">
        <f aca="false">1+A629</f>
        <v>628</v>
      </c>
      <c r="B630" s="17" t="n">
        <v>1009566378</v>
      </c>
      <c r="C630" s="17" t="s">
        <v>102</v>
      </c>
      <c r="D630" s="17" t="s">
        <v>32</v>
      </c>
      <c r="E630" s="17" t="s">
        <v>47</v>
      </c>
      <c r="F630" s="18" t="s">
        <v>34</v>
      </c>
      <c r="G630" s="19" t="n">
        <v>134127506365</v>
      </c>
      <c r="H630" s="17" t="s">
        <v>134</v>
      </c>
      <c r="I630" s="17" t="s">
        <v>44</v>
      </c>
      <c r="J630" s="17" t="s">
        <v>106</v>
      </c>
      <c r="K630" s="17" t="str">
        <f aca="false">VLOOKUP(J630,Sheet2!A:B,2,0)</f>
        <v>PRAKASH CHAVDA</v>
      </c>
      <c r="L630" s="17" t="n">
        <v>5</v>
      </c>
      <c r="M630" s="17" t="str">
        <f aca="false">VLOOKUP(L630,Sheet2!D:E,2,0)</f>
        <v>Main Processor CPU BGA</v>
      </c>
      <c r="N630" s="17" t="n">
        <v>1</v>
      </c>
      <c r="O630" s="17" t="str">
        <f aca="false">VLOOKUP(N630,Sheet2!G:H,2,0)</f>
        <v>Dead</v>
      </c>
      <c r="P630" s="17" t="n">
        <v>12</v>
      </c>
      <c r="Q630" s="17" t="str">
        <f aca="false">VLOOKUP(P630,Sheet2!J:K,2,0)</f>
        <v>IR Declared due to Others ( IR Normal)TB</v>
      </c>
      <c r="R630" s="17" t="s">
        <v>35</v>
      </c>
      <c r="S630" s="17" t="str">
        <f aca="false">VLOOKUP(R630,Sheet2!N:O,2,0)</f>
        <v>IREPARABLE</v>
      </c>
      <c r="T630" s="18" t="str">
        <f aca="false">VLOOKUP(P630,Sheet2!Q:R,2,0)</f>
        <v>IR Normal - BER to IR</v>
      </c>
      <c r="U630" s="20" t="s">
        <v>135</v>
      </c>
      <c r="V630" s="17" t="n">
        <v>12</v>
      </c>
      <c r="W630" s="20" t="str">
        <f aca="false">VLOOKUP(V630,Sheet2!Q:R,2,0)</f>
        <v>IR Normal - BER to IR</v>
      </c>
      <c r="X630" s="17" t="str">
        <f aca="false">J630</f>
        <v>A018</v>
      </c>
      <c r="Y630" s="17" t="str">
        <f aca="false">VLOOKUP(X630,Sheet2!A:B,2,0)</f>
        <v>PRAKASH CHAVDA</v>
      </c>
      <c r="Z630" s="17" t="s">
        <v>136</v>
      </c>
      <c r="AA630" s="17" t="s">
        <v>413</v>
      </c>
      <c r="AB630" s="17" t="s">
        <v>41</v>
      </c>
      <c r="AC630" s="0" t="str">
        <f aca="false">LEFT(G630,2)</f>
        <v>13</v>
      </c>
      <c r="AD630" s="0"/>
      <c r="AE630" s="21" t="s">
        <v>42</v>
      </c>
    </row>
    <row r="631" customFormat="false" ht="15" hidden="false" customHeight="false" outlineLevel="0" collapsed="false">
      <c r="A631" s="13" t="n">
        <f aca="false">1+A630</f>
        <v>629</v>
      </c>
      <c r="B631" s="17" t="n">
        <v>1009572695</v>
      </c>
      <c r="C631" s="17" t="s">
        <v>104</v>
      </c>
      <c r="D631" s="17" t="s">
        <v>64</v>
      </c>
      <c r="E631" s="17" t="s">
        <v>33</v>
      </c>
      <c r="F631" s="18" t="s">
        <v>34</v>
      </c>
      <c r="G631" s="19" t="n">
        <v>135237101195</v>
      </c>
      <c r="H631" s="17" t="s">
        <v>134</v>
      </c>
      <c r="I631" s="17" t="s">
        <v>44</v>
      </c>
      <c r="J631" s="17" t="s">
        <v>106</v>
      </c>
      <c r="K631" s="17" t="str">
        <f aca="false">VLOOKUP(J631,Sheet2!A:B,2,0)</f>
        <v>PRAKASH CHAVDA</v>
      </c>
      <c r="L631" s="17" t="n">
        <v>5</v>
      </c>
      <c r="M631" s="17" t="str">
        <f aca="false">VLOOKUP(L631,Sheet2!D:E,2,0)</f>
        <v>Main Processor CPU BGA</v>
      </c>
      <c r="N631" s="17" t="n">
        <v>1</v>
      </c>
      <c r="O631" s="17" t="str">
        <f aca="false">VLOOKUP(N631,Sheet2!G:H,2,0)</f>
        <v>Dead</v>
      </c>
      <c r="P631" s="17" t="n">
        <v>12</v>
      </c>
      <c r="Q631" s="17" t="str">
        <f aca="false">VLOOKUP(P631,Sheet2!J:K,2,0)</f>
        <v>IR Declared due to Others ( IR Normal)TB</v>
      </c>
      <c r="R631" s="17" t="s">
        <v>35</v>
      </c>
      <c r="S631" s="17" t="str">
        <f aca="false">VLOOKUP(R631,Sheet2!N:O,2,0)</f>
        <v>IREPARABLE</v>
      </c>
      <c r="T631" s="18" t="str">
        <f aca="false">VLOOKUP(P631,Sheet2!Q:R,2,0)</f>
        <v>IR Normal - BER to IR</v>
      </c>
      <c r="U631" s="20" t="s">
        <v>135</v>
      </c>
      <c r="V631" s="17" t="n">
        <v>12</v>
      </c>
      <c r="W631" s="20" t="str">
        <f aca="false">VLOOKUP(V631,Sheet2!Q:R,2,0)</f>
        <v>IR Normal - BER to IR</v>
      </c>
      <c r="X631" s="17" t="str">
        <f aca="false">J631</f>
        <v>A018</v>
      </c>
      <c r="Y631" s="17" t="str">
        <f aca="false">VLOOKUP(X631,Sheet2!A:B,2,0)</f>
        <v>PRAKASH CHAVDA</v>
      </c>
      <c r="Z631" s="17" t="s">
        <v>136</v>
      </c>
      <c r="AA631" s="17" t="s">
        <v>413</v>
      </c>
      <c r="AB631" s="17" t="s">
        <v>41</v>
      </c>
      <c r="AC631" s="0" t="str">
        <f aca="false">LEFT(G631,2)</f>
        <v>13</v>
      </c>
      <c r="AD631" s="0"/>
      <c r="AE631" s="21" t="s">
        <v>42</v>
      </c>
    </row>
    <row r="632" customFormat="false" ht="15" hidden="false" customHeight="false" outlineLevel="0" collapsed="false">
      <c r="A632" s="13" t="n">
        <f aca="false">1+A631</f>
        <v>630</v>
      </c>
      <c r="B632" s="17" t="n">
        <v>1009091236</v>
      </c>
      <c r="C632" s="17" t="s">
        <v>414</v>
      </c>
      <c r="D632" s="17" t="s">
        <v>64</v>
      </c>
      <c r="E632" s="17" t="s">
        <v>91</v>
      </c>
      <c r="F632" s="18" t="s">
        <v>92</v>
      </c>
      <c r="G632" s="19" t="n">
        <v>134230155514</v>
      </c>
      <c r="H632" s="17" t="s">
        <v>134</v>
      </c>
      <c r="I632" s="17" t="s">
        <v>44</v>
      </c>
      <c r="J632" s="17" t="s">
        <v>106</v>
      </c>
      <c r="K632" s="17" t="str">
        <f aca="false">VLOOKUP(J632,Sheet2!A:B,2,0)</f>
        <v>PRAKASH CHAVDA</v>
      </c>
      <c r="L632" s="17" t="n">
        <v>5</v>
      </c>
      <c r="M632" s="17" t="str">
        <f aca="false">VLOOKUP(L632,Sheet2!D:E,2,0)</f>
        <v>Main Processor CPU BGA</v>
      </c>
      <c r="N632" s="17" t="n">
        <v>24</v>
      </c>
      <c r="O632" s="17" t="str">
        <f aca="false">VLOOKUP(N632,Sheet2!G:H,2,0)</f>
        <v>STB Auto moving -Stand by mode</v>
      </c>
      <c r="P632" s="17" t="n">
        <v>12</v>
      </c>
      <c r="Q632" s="17" t="str">
        <f aca="false">VLOOKUP(P632,Sheet2!J:K,2,0)</f>
        <v>IR Declared due to Others ( IR Normal)TB</v>
      </c>
      <c r="R632" s="17" t="s">
        <v>35</v>
      </c>
      <c r="S632" s="17" t="str">
        <f aca="false">VLOOKUP(R632,Sheet2!N:O,2,0)</f>
        <v>IREPARABLE</v>
      </c>
      <c r="T632" s="18" t="str">
        <f aca="false">VLOOKUP(P632,Sheet2!Q:R,2,0)</f>
        <v>IR Normal - BER to IR</v>
      </c>
      <c r="U632" s="20" t="s">
        <v>135</v>
      </c>
      <c r="V632" s="17" t="n">
        <v>12</v>
      </c>
      <c r="W632" s="20" t="str">
        <f aca="false">VLOOKUP(V632,Sheet2!Q:R,2,0)</f>
        <v>IR Normal - BER to IR</v>
      </c>
      <c r="X632" s="17" t="str">
        <f aca="false">J632</f>
        <v>A018</v>
      </c>
      <c r="Y632" s="17" t="str">
        <f aca="false">VLOOKUP(X632,Sheet2!A:B,2,0)</f>
        <v>PRAKASH CHAVDA</v>
      </c>
      <c r="Z632" s="17" t="s">
        <v>136</v>
      </c>
      <c r="AA632" s="17" t="s">
        <v>413</v>
      </c>
      <c r="AB632" s="17" t="s">
        <v>41</v>
      </c>
      <c r="AC632" s="0" t="str">
        <f aca="false">LEFT(G632,2)</f>
        <v>13</v>
      </c>
      <c r="AD632" s="0"/>
      <c r="AE632" s="21" t="s">
        <v>42</v>
      </c>
    </row>
    <row r="633" customFormat="false" ht="15" hidden="false" customHeight="false" outlineLevel="0" collapsed="false">
      <c r="A633" s="13" t="n">
        <f aca="false">1+A632</f>
        <v>631</v>
      </c>
      <c r="B633" s="17" t="n">
        <v>1007735586</v>
      </c>
      <c r="C633" s="17" t="s">
        <v>415</v>
      </c>
      <c r="D633" s="17" t="s">
        <v>64</v>
      </c>
      <c r="E633" s="17" t="s">
        <v>33</v>
      </c>
      <c r="F633" s="18" t="s">
        <v>34</v>
      </c>
      <c r="G633" s="19" t="n">
        <v>134127432323</v>
      </c>
      <c r="H633" s="17" t="s">
        <v>134</v>
      </c>
      <c r="I633" s="17" t="s">
        <v>44</v>
      </c>
      <c r="J633" s="17" t="s">
        <v>106</v>
      </c>
      <c r="K633" s="17" t="str">
        <f aca="false">VLOOKUP(J633,Sheet2!A:B,2,0)</f>
        <v>PRAKASH CHAVDA</v>
      </c>
      <c r="L633" s="17" t="n">
        <v>5</v>
      </c>
      <c r="M633" s="17" t="str">
        <f aca="false">VLOOKUP(L633,Sheet2!D:E,2,0)</f>
        <v>Main Processor CPU BGA</v>
      </c>
      <c r="N633" s="17" t="n">
        <v>9</v>
      </c>
      <c r="O633" s="17" t="str">
        <f aca="false">VLOOKUP(N633,Sheet2!G:H,2,0)</f>
        <v>No Audio - AV</v>
      </c>
      <c r="P633" s="17" t="n">
        <v>12</v>
      </c>
      <c r="Q633" s="17" t="str">
        <f aca="false">VLOOKUP(P633,Sheet2!J:K,2,0)</f>
        <v>IR Declared due to Others ( IR Normal)TB</v>
      </c>
      <c r="R633" s="17" t="s">
        <v>35</v>
      </c>
      <c r="S633" s="17" t="str">
        <f aca="false">VLOOKUP(R633,Sheet2!N:O,2,0)</f>
        <v>IREPARABLE</v>
      </c>
      <c r="T633" s="18" t="str">
        <f aca="false">VLOOKUP(P633,Sheet2!Q:R,2,0)</f>
        <v>IR Normal - BER to IR</v>
      </c>
      <c r="U633" s="20" t="s">
        <v>135</v>
      </c>
      <c r="V633" s="17" t="n">
        <v>12</v>
      </c>
      <c r="W633" s="20" t="str">
        <f aca="false">VLOOKUP(V633,Sheet2!Q:R,2,0)</f>
        <v>IR Normal - BER to IR</v>
      </c>
      <c r="X633" s="17" t="str">
        <f aca="false">J633</f>
        <v>A018</v>
      </c>
      <c r="Y633" s="17" t="str">
        <f aca="false">VLOOKUP(X633,Sheet2!A:B,2,0)</f>
        <v>PRAKASH CHAVDA</v>
      </c>
      <c r="Z633" s="17" t="s">
        <v>136</v>
      </c>
      <c r="AA633" s="17" t="s">
        <v>413</v>
      </c>
      <c r="AB633" s="17" t="s">
        <v>41</v>
      </c>
      <c r="AC633" s="0" t="str">
        <f aca="false">LEFT(G633,2)</f>
        <v>13</v>
      </c>
      <c r="AD633" s="0"/>
      <c r="AE633" s="21" t="s">
        <v>42</v>
      </c>
    </row>
    <row r="634" customFormat="false" ht="15" hidden="false" customHeight="false" outlineLevel="0" collapsed="false">
      <c r="A634" s="13" t="n">
        <f aca="false">1+A633</f>
        <v>632</v>
      </c>
      <c r="B634" s="17" t="n">
        <v>1009091242</v>
      </c>
      <c r="C634" s="17" t="s">
        <v>414</v>
      </c>
      <c r="D634" s="17" t="s">
        <v>64</v>
      </c>
      <c r="E634" s="17" t="s">
        <v>47</v>
      </c>
      <c r="F634" s="18" t="s">
        <v>34</v>
      </c>
      <c r="G634" s="19" t="n">
        <v>134255332709</v>
      </c>
      <c r="H634" s="17" t="s">
        <v>134</v>
      </c>
      <c r="I634" s="17" t="s">
        <v>44</v>
      </c>
      <c r="J634" s="17" t="s">
        <v>106</v>
      </c>
      <c r="K634" s="17" t="str">
        <f aca="false">VLOOKUP(J634,Sheet2!A:B,2,0)</f>
        <v>PRAKASH CHAVDA</v>
      </c>
      <c r="L634" s="17" t="n">
        <v>5</v>
      </c>
      <c r="M634" s="17" t="str">
        <f aca="false">VLOOKUP(L634,Sheet2!D:E,2,0)</f>
        <v>Main Processor CPU BGA</v>
      </c>
      <c r="N634" s="17" t="n">
        <v>1</v>
      </c>
      <c r="O634" s="17" t="str">
        <f aca="false">VLOOKUP(N634,Sheet2!G:H,2,0)</f>
        <v>Dead</v>
      </c>
      <c r="P634" s="17" t="n">
        <v>12</v>
      </c>
      <c r="Q634" s="17" t="str">
        <f aca="false">VLOOKUP(P634,Sheet2!J:K,2,0)</f>
        <v>IR Declared due to Others ( IR Normal)TB</v>
      </c>
      <c r="R634" s="17" t="s">
        <v>35</v>
      </c>
      <c r="S634" s="17" t="str">
        <f aca="false">VLOOKUP(R634,Sheet2!N:O,2,0)</f>
        <v>IREPARABLE</v>
      </c>
      <c r="T634" s="18" t="str">
        <f aca="false">VLOOKUP(P634,Sheet2!Q:R,2,0)</f>
        <v>IR Normal - BER to IR</v>
      </c>
      <c r="U634" s="20" t="s">
        <v>135</v>
      </c>
      <c r="V634" s="17" t="n">
        <v>12</v>
      </c>
      <c r="W634" s="20" t="str">
        <f aca="false">VLOOKUP(V634,Sheet2!Q:R,2,0)</f>
        <v>IR Normal - BER to IR</v>
      </c>
      <c r="X634" s="17" t="str">
        <f aca="false">J634</f>
        <v>A018</v>
      </c>
      <c r="Y634" s="17" t="str">
        <f aca="false">VLOOKUP(X634,Sheet2!A:B,2,0)</f>
        <v>PRAKASH CHAVDA</v>
      </c>
      <c r="Z634" s="17" t="s">
        <v>136</v>
      </c>
      <c r="AA634" s="17" t="s">
        <v>413</v>
      </c>
      <c r="AB634" s="17" t="s">
        <v>41</v>
      </c>
      <c r="AC634" s="0" t="str">
        <f aca="false">LEFT(G634,2)</f>
        <v>13</v>
      </c>
      <c r="AD634" s="0"/>
      <c r="AE634" s="21" t="s">
        <v>42</v>
      </c>
    </row>
    <row r="635" customFormat="false" ht="15" hidden="false" customHeight="false" outlineLevel="0" collapsed="false">
      <c r="A635" s="13" t="n">
        <f aca="false">1+A634</f>
        <v>633</v>
      </c>
      <c r="B635" s="17" t="n">
        <v>1009091803</v>
      </c>
      <c r="C635" s="17" t="s">
        <v>414</v>
      </c>
      <c r="D635" s="17" t="s">
        <v>416</v>
      </c>
      <c r="E635" s="17" t="s">
        <v>47</v>
      </c>
      <c r="F635" s="18" t="s">
        <v>34</v>
      </c>
      <c r="G635" s="19" t="n">
        <v>134063115411</v>
      </c>
      <c r="H635" s="17" t="s">
        <v>134</v>
      </c>
      <c r="I635" s="17" t="s">
        <v>44</v>
      </c>
      <c r="J635" s="17" t="s">
        <v>106</v>
      </c>
      <c r="K635" s="17" t="str">
        <f aca="false">VLOOKUP(J635,Sheet2!A:B,2,0)</f>
        <v>PRAKASH CHAVDA</v>
      </c>
      <c r="L635" s="17" t="n">
        <v>5</v>
      </c>
      <c r="M635" s="17" t="str">
        <f aca="false">VLOOKUP(L635,Sheet2!D:E,2,0)</f>
        <v>Main Processor CPU BGA</v>
      </c>
      <c r="N635" s="17" t="n">
        <v>1</v>
      </c>
      <c r="O635" s="17" t="str">
        <f aca="false">VLOOKUP(N635,Sheet2!G:H,2,0)</f>
        <v>Dead</v>
      </c>
      <c r="P635" s="17" t="n">
        <v>12</v>
      </c>
      <c r="Q635" s="17" t="str">
        <f aca="false">VLOOKUP(P635,Sheet2!J:K,2,0)</f>
        <v>IR Declared due to Others ( IR Normal)TB</v>
      </c>
      <c r="R635" s="17" t="s">
        <v>35</v>
      </c>
      <c r="S635" s="17" t="str">
        <f aca="false">VLOOKUP(R635,Sheet2!N:O,2,0)</f>
        <v>IREPARABLE</v>
      </c>
      <c r="T635" s="18" t="str">
        <f aca="false">VLOOKUP(P635,Sheet2!Q:R,2,0)</f>
        <v>IR Normal - BER to IR</v>
      </c>
      <c r="U635" s="20" t="s">
        <v>135</v>
      </c>
      <c r="V635" s="17" t="n">
        <v>12</v>
      </c>
      <c r="W635" s="20" t="str">
        <f aca="false">VLOOKUP(V635,Sheet2!Q:R,2,0)</f>
        <v>IR Normal - BER to IR</v>
      </c>
      <c r="X635" s="17" t="str">
        <f aca="false">J635</f>
        <v>A018</v>
      </c>
      <c r="Y635" s="17" t="str">
        <f aca="false">VLOOKUP(X635,Sheet2!A:B,2,0)</f>
        <v>PRAKASH CHAVDA</v>
      </c>
      <c r="Z635" s="17" t="s">
        <v>136</v>
      </c>
      <c r="AA635" s="17" t="s">
        <v>413</v>
      </c>
      <c r="AB635" s="17" t="s">
        <v>41</v>
      </c>
      <c r="AC635" s="0" t="str">
        <f aca="false">LEFT(G635,2)</f>
        <v>13</v>
      </c>
      <c r="AD635" s="0"/>
      <c r="AE635" s="21" t="s">
        <v>42</v>
      </c>
    </row>
    <row r="636" customFormat="false" ht="15" hidden="false" customHeight="false" outlineLevel="0" collapsed="false">
      <c r="A636" s="13" t="n">
        <f aca="false">1+A635</f>
        <v>634</v>
      </c>
      <c r="B636" s="17" t="n">
        <v>1009091237</v>
      </c>
      <c r="C636" s="17" t="s">
        <v>414</v>
      </c>
      <c r="D636" s="17" t="s">
        <v>64</v>
      </c>
      <c r="E636" s="17" t="s">
        <v>64</v>
      </c>
      <c r="F636" s="18" t="s">
        <v>70</v>
      </c>
      <c r="G636" s="19" t="n">
        <v>134301147226</v>
      </c>
      <c r="H636" s="17" t="s">
        <v>134</v>
      </c>
      <c r="I636" s="17" t="s">
        <v>44</v>
      </c>
      <c r="J636" s="17" t="s">
        <v>106</v>
      </c>
      <c r="K636" s="17" t="str">
        <f aca="false">VLOOKUP(J636,Sheet2!A:B,2,0)</f>
        <v>PRAKASH CHAVDA</v>
      </c>
      <c r="L636" s="17" t="n">
        <v>5</v>
      </c>
      <c r="M636" s="17" t="str">
        <f aca="false">VLOOKUP(L636,Sheet2!D:E,2,0)</f>
        <v>Main Processor CPU BGA</v>
      </c>
      <c r="N636" s="17" t="n">
        <v>1</v>
      </c>
      <c r="O636" s="17" t="str">
        <f aca="false">VLOOKUP(N636,Sheet2!G:H,2,0)</f>
        <v>Dead</v>
      </c>
      <c r="P636" s="17" t="n">
        <v>12</v>
      </c>
      <c r="Q636" s="17" t="str">
        <f aca="false">VLOOKUP(P636,Sheet2!J:K,2,0)</f>
        <v>IR Declared due to Others ( IR Normal)TB</v>
      </c>
      <c r="R636" s="17" t="s">
        <v>35</v>
      </c>
      <c r="S636" s="17" t="str">
        <f aca="false">VLOOKUP(R636,Sheet2!N:O,2,0)</f>
        <v>IREPARABLE</v>
      </c>
      <c r="T636" s="18" t="str">
        <f aca="false">VLOOKUP(P636,Sheet2!Q:R,2,0)</f>
        <v>IR Normal - BER to IR</v>
      </c>
      <c r="U636" s="20" t="s">
        <v>135</v>
      </c>
      <c r="V636" s="17" t="n">
        <v>12</v>
      </c>
      <c r="W636" s="20" t="str">
        <f aca="false">VLOOKUP(V636,Sheet2!Q:R,2,0)</f>
        <v>IR Normal - BER to IR</v>
      </c>
      <c r="X636" s="17" t="str">
        <f aca="false">J636</f>
        <v>A018</v>
      </c>
      <c r="Y636" s="17" t="str">
        <f aca="false">VLOOKUP(X636,Sheet2!A:B,2,0)</f>
        <v>PRAKASH CHAVDA</v>
      </c>
      <c r="Z636" s="17" t="s">
        <v>136</v>
      </c>
      <c r="AA636" s="17" t="s">
        <v>413</v>
      </c>
      <c r="AB636" s="17" t="s">
        <v>41</v>
      </c>
      <c r="AC636" s="0" t="str">
        <f aca="false">LEFT(G636,2)</f>
        <v>13</v>
      </c>
      <c r="AD636" s="0"/>
      <c r="AE636" s="21" t="s">
        <v>42</v>
      </c>
    </row>
    <row r="637" customFormat="false" ht="15" hidden="false" customHeight="false" outlineLevel="0" collapsed="false">
      <c r="A637" s="13" t="n">
        <f aca="false">1+A636</f>
        <v>635</v>
      </c>
      <c r="B637" s="17" t="n">
        <v>1009091518</v>
      </c>
      <c r="C637" s="17" t="s">
        <v>414</v>
      </c>
      <c r="D637" s="17" t="s">
        <v>64</v>
      </c>
      <c r="E637" s="17" t="s">
        <v>91</v>
      </c>
      <c r="F637" s="18" t="s">
        <v>92</v>
      </c>
      <c r="G637" s="19" t="n">
        <v>134106025742</v>
      </c>
      <c r="H637" s="17" t="s">
        <v>134</v>
      </c>
      <c r="I637" s="17" t="s">
        <v>44</v>
      </c>
      <c r="J637" s="17" t="s">
        <v>106</v>
      </c>
      <c r="K637" s="17" t="str">
        <f aca="false">VLOOKUP(J637,Sheet2!A:B,2,0)</f>
        <v>PRAKASH CHAVDA</v>
      </c>
      <c r="L637" s="17" t="n">
        <v>5</v>
      </c>
      <c r="M637" s="17" t="str">
        <f aca="false">VLOOKUP(L637,Sheet2!D:E,2,0)</f>
        <v>Main Processor CPU BGA</v>
      </c>
      <c r="N637" s="17" t="n">
        <v>1</v>
      </c>
      <c r="O637" s="17" t="str">
        <f aca="false">VLOOKUP(N637,Sheet2!G:H,2,0)</f>
        <v>Dead</v>
      </c>
      <c r="P637" s="17" t="n">
        <v>12</v>
      </c>
      <c r="Q637" s="17" t="str">
        <f aca="false">VLOOKUP(P637,Sheet2!J:K,2,0)</f>
        <v>IR Declared due to Others ( IR Normal)TB</v>
      </c>
      <c r="R637" s="17" t="s">
        <v>35</v>
      </c>
      <c r="S637" s="17" t="str">
        <f aca="false">VLOOKUP(R637,Sheet2!N:O,2,0)</f>
        <v>IREPARABLE</v>
      </c>
      <c r="T637" s="18" t="str">
        <f aca="false">VLOOKUP(P637,Sheet2!Q:R,2,0)</f>
        <v>IR Normal - BER to IR</v>
      </c>
      <c r="U637" s="20" t="s">
        <v>135</v>
      </c>
      <c r="V637" s="17" t="n">
        <v>12</v>
      </c>
      <c r="W637" s="20" t="str">
        <f aca="false">VLOOKUP(V637,Sheet2!Q:R,2,0)</f>
        <v>IR Normal - BER to IR</v>
      </c>
      <c r="X637" s="17" t="str">
        <f aca="false">J637</f>
        <v>A018</v>
      </c>
      <c r="Y637" s="17" t="str">
        <f aca="false">VLOOKUP(X637,Sheet2!A:B,2,0)</f>
        <v>PRAKASH CHAVDA</v>
      </c>
      <c r="Z637" s="17" t="s">
        <v>136</v>
      </c>
      <c r="AA637" s="17" t="s">
        <v>413</v>
      </c>
      <c r="AB637" s="17" t="s">
        <v>41</v>
      </c>
      <c r="AC637" s="0" t="str">
        <f aca="false">LEFT(G637,2)</f>
        <v>13</v>
      </c>
      <c r="AD637" s="0"/>
      <c r="AE637" s="21" t="s">
        <v>42</v>
      </c>
    </row>
    <row r="638" customFormat="false" ht="15" hidden="false" customHeight="false" outlineLevel="0" collapsed="false">
      <c r="A638" s="13" t="n">
        <f aca="false">1+A637</f>
        <v>636</v>
      </c>
      <c r="B638" s="17" t="n">
        <v>1009091527</v>
      </c>
      <c r="C638" s="17" t="s">
        <v>414</v>
      </c>
      <c r="D638" s="17" t="s">
        <v>417</v>
      </c>
      <c r="E638" s="17" t="s">
        <v>418</v>
      </c>
      <c r="F638" s="18" t="s">
        <v>34</v>
      </c>
      <c r="G638" s="19" t="n">
        <v>134119223417</v>
      </c>
      <c r="H638" s="17" t="s">
        <v>134</v>
      </c>
      <c r="I638" s="17" t="s">
        <v>44</v>
      </c>
      <c r="J638" s="17" t="s">
        <v>106</v>
      </c>
      <c r="K638" s="17" t="str">
        <f aca="false">VLOOKUP(J638,Sheet2!A:B,2,0)</f>
        <v>PRAKASH CHAVDA</v>
      </c>
      <c r="L638" s="17" t="n">
        <v>5</v>
      </c>
      <c r="M638" s="17" t="str">
        <f aca="false">VLOOKUP(L638,Sheet2!D:E,2,0)</f>
        <v>Main Processor CPU BGA</v>
      </c>
      <c r="N638" s="17" t="n">
        <v>24</v>
      </c>
      <c r="O638" s="17" t="str">
        <f aca="false">VLOOKUP(N638,Sheet2!G:H,2,0)</f>
        <v>STB Auto moving -Stand by mode</v>
      </c>
      <c r="P638" s="17" t="n">
        <v>12</v>
      </c>
      <c r="Q638" s="17" t="str">
        <f aca="false">VLOOKUP(P638,Sheet2!J:K,2,0)</f>
        <v>IR Declared due to Others ( IR Normal)TB</v>
      </c>
      <c r="R638" s="17" t="s">
        <v>35</v>
      </c>
      <c r="S638" s="17" t="str">
        <f aca="false">VLOOKUP(R638,Sheet2!N:O,2,0)</f>
        <v>IREPARABLE</v>
      </c>
      <c r="T638" s="18" t="str">
        <f aca="false">VLOOKUP(P638,Sheet2!Q:R,2,0)</f>
        <v>IR Normal - BER to IR</v>
      </c>
      <c r="U638" s="20" t="s">
        <v>135</v>
      </c>
      <c r="V638" s="17" t="n">
        <v>12</v>
      </c>
      <c r="W638" s="20" t="str">
        <f aca="false">VLOOKUP(V638,Sheet2!Q:R,2,0)</f>
        <v>IR Normal - BER to IR</v>
      </c>
      <c r="X638" s="17" t="str">
        <f aca="false">J638</f>
        <v>A018</v>
      </c>
      <c r="Y638" s="17" t="str">
        <f aca="false">VLOOKUP(X638,Sheet2!A:B,2,0)</f>
        <v>PRAKASH CHAVDA</v>
      </c>
      <c r="Z638" s="17" t="s">
        <v>136</v>
      </c>
      <c r="AA638" s="17" t="s">
        <v>413</v>
      </c>
      <c r="AB638" s="17" t="s">
        <v>41</v>
      </c>
      <c r="AC638" s="0" t="str">
        <f aca="false">LEFT(G638,2)</f>
        <v>13</v>
      </c>
      <c r="AD638" s="0"/>
      <c r="AE638" s="21" t="s">
        <v>42</v>
      </c>
    </row>
    <row r="639" customFormat="false" ht="15" hidden="false" customHeight="false" outlineLevel="0" collapsed="false">
      <c r="A639" s="13" t="n">
        <f aca="false">1+A638</f>
        <v>637</v>
      </c>
      <c r="B639" s="17" t="n">
        <v>1009091818</v>
      </c>
      <c r="C639" s="17" t="s">
        <v>414</v>
      </c>
      <c r="D639" s="17" t="s">
        <v>419</v>
      </c>
      <c r="E639" s="17" t="s">
        <v>64</v>
      </c>
      <c r="F639" s="18" t="s">
        <v>70</v>
      </c>
      <c r="G639" s="19" t="n">
        <v>134119107677</v>
      </c>
      <c r="H639" s="17" t="s">
        <v>134</v>
      </c>
      <c r="I639" s="17" t="s">
        <v>44</v>
      </c>
      <c r="J639" s="17" t="s">
        <v>106</v>
      </c>
      <c r="K639" s="17" t="str">
        <f aca="false">VLOOKUP(J639,Sheet2!A:B,2,0)</f>
        <v>PRAKASH CHAVDA</v>
      </c>
      <c r="L639" s="17" t="n">
        <v>5</v>
      </c>
      <c r="M639" s="17" t="str">
        <f aca="false">VLOOKUP(L639,Sheet2!D:E,2,0)</f>
        <v>Main Processor CPU BGA</v>
      </c>
      <c r="N639" s="17" t="n">
        <v>24</v>
      </c>
      <c r="O639" s="17" t="str">
        <f aca="false">VLOOKUP(N639,Sheet2!G:H,2,0)</f>
        <v>STB Auto moving -Stand by mode</v>
      </c>
      <c r="P639" s="17" t="n">
        <v>12</v>
      </c>
      <c r="Q639" s="17" t="str">
        <f aca="false">VLOOKUP(P639,Sheet2!J:K,2,0)</f>
        <v>IR Declared due to Others ( IR Normal)TB</v>
      </c>
      <c r="R639" s="17" t="s">
        <v>35</v>
      </c>
      <c r="S639" s="17" t="str">
        <f aca="false">VLOOKUP(R639,Sheet2!N:O,2,0)</f>
        <v>IREPARABLE</v>
      </c>
      <c r="T639" s="18" t="str">
        <f aca="false">VLOOKUP(P639,Sheet2!Q:R,2,0)</f>
        <v>IR Normal - BER to IR</v>
      </c>
      <c r="U639" s="20" t="s">
        <v>135</v>
      </c>
      <c r="V639" s="17" t="n">
        <v>12</v>
      </c>
      <c r="W639" s="20" t="str">
        <f aca="false">VLOOKUP(V639,Sheet2!Q:R,2,0)</f>
        <v>IR Normal - BER to IR</v>
      </c>
      <c r="X639" s="17" t="str">
        <f aca="false">J639</f>
        <v>A018</v>
      </c>
      <c r="Y639" s="17" t="str">
        <f aca="false">VLOOKUP(X639,Sheet2!A:B,2,0)</f>
        <v>PRAKASH CHAVDA</v>
      </c>
      <c r="Z639" s="17" t="s">
        <v>136</v>
      </c>
      <c r="AA639" s="17" t="s">
        <v>413</v>
      </c>
      <c r="AB639" s="17" t="s">
        <v>41</v>
      </c>
      <c r="AC639" s="0" t="str">
        <f aca="false">LEFT(G639,2)</f>
        <v>13</v>
      </c>
      <c r="AD639" s="0"/>
      <c r="AE639" s="21" t="s">
        <v>42</v>
      </c>
    </row>
    <row r="640" customFormat="false" ht="15" hidden="false" customHeight="false" outlineLevel="0" collapsed="false">
      <c r="A640" s="13" t="n">
        <f aca="false">1+A639</f>
        <v>638</v>
      </c>
      <c r="B640" s="17" t="n">
        <v>1009091564</v>
      </c>
      <c r="C640" s="17" t="s">
        <v>414</v>
      </c>
      <c r="D640" s="17" t="s">
        <v>64</v>
      </c>
      <c r="E640" s="17" t="s">
        <v>64</v>
      </c>
      <c r="F640" s="18" t="s">
        <v>70</v>
      </c>
      <c r="G640" s="19" t="n">
        <v>134255065861</v>
      </c>
      <c r="H640" s="17" t="s">
        <v>134</v>
      </c>
      <c r="I640" s="17" t="s">
        <v>44</v>
      </c>
      <c r="J640" s="17" t="s">
        <v>106</v>
      </c>
      <c r="K640" s="17" t="str">
        <f aca="false">VLOOKUP(J640,Sheet2!A:B,2,0)</f>
        <v>PRAKASH CHAVDA</v>
      </c>
      <c r="L640" s="17" t="n">
        <v>5</v>
      </c>
      <c r="M640" s="17" t="str">
        <f aca="false">VLOOKUP(L640,Sheet2!D:E,2,0)</f>
        <v>Main Processor CPU BGA</v>
      </c>
      <c r="N640" s="17" t="n">
        <v>1</v>
      </c>
      <c r="O640" s="17" t="str">
        <f aca="false">VLOOKUP(N640,Sheet2!G:H,2,0)</f>
        <v>Dead</v>
      </c>
      <c r="P640" s="17" t="n">
        <v>12</v>
      </c>
      <c r="Q640" s="17" t="str">
        <f aca="false">VLOOKUP(P640,Sheet2!J:K,2,0)</f>
        <v>IR Declared due to Others ( IR Normal)TB</v>
      </c>
      <c r="R640" s="17" t="s">
        <v>35</v>
      </c>
      <c r="S640" s="17" t="str">
        <f aca="false">VLOOKUP(R640,Sheet2!N:O,2,0)</f>
        <v>IREPARABLE</v>
      </c>
      <c r="T640" s="18" t="str">
        <f aca="false">VLOOKUP(P640,Sheet2!Q:R,2,0)</f>
        <v>IR Normal - BER to IR</v>
      </c>
      <c r="U640" s="20" t="s">
        <v>135</v>
      </c>
      <c r="V640" s="17" t="n">
        <v>12</v>
      </c>
      <c r="W640" s="20" t="str">
        <f aca="false">VLOOKUP(V640,Sheet2!Q:R,2,0)</f>
        <v>IR Normal - BER to IR</v>
      </c>
      <c r="X640" s="17" t="str">
        <f aca="false">J640</f>
        <v>A018</v>
      </c>
      <c r="Y640" s="17" t="str">
        <f aca="false">VLOOKUP(X640,Sheet2!A:B,2,0)</f>
        <v>PRAKASH CHAVDA</v>
      </c>
      <c r="Z640" s="17" t="s">
        <v>136</v>
      </c>
      <c r="AA640" s="17" t="s">
        <v>413</v>
      </c>
      <c r="AB640" s="17" t="s">
        <v>41</v>
      </c>
      <c r="AC640" s="0" t="str">
        <f aca="false">LEFT(G640,2)</f>
        <v>13</v>
      </c>
      <c r="AD640" s="0"/>
      <c r="AE640" s="21" t="s">
        <v>42</v>
      </c>
    </row>
    <row r="641" customFormat="false" ht="15" hidden="false" customHeight="false" outlineLevel="0" collapsed="false">
      <c r="A641" s="13" t="n">
        <f aca="false">1+A640</f>
        <v>639</v>
      </c>
      <c r="B641" s="17" t="n">
        <v>1009091569</v>
      </c>
      <c r="C641" s="17" t="s">
        <v>414</v>
      </c>
      <c r="D641" s="17" t="s">
        <v>64</v>
      </c>
      <c r="E641" s="17" t="s">
        <v>47</v>
      </c>
      <c r="F641" s="18" t="s">
        <v>34</v>
      </c>
      <c r="G641" s="19" t="n">
        <v>134273132263</v>
      </c>
      <c r="H641" s="17" t="s">
        <v>134</v>
      </c>
      <c r="I641" s="17" t="s">
        <v>44</v>
      </c>
      <c r="J641" s="17" t="s">
        <v>106</v>
      </c>
      <c r="K641" s="17" t="str">
        <f aca="false">VLOOKUP(J641,Sheet2!A:B,2,0)</f>
        <v>PRAKASH CHAVDA</v>
      </c>
      <c r="L641" s="17" t="n">
        <v>5</v>
      </c>
      <c r="M641" s="17" t="str">
        <f aca="false">VLOOKUP(L641,Sheet2!D:E,2,0)</f>
        <v>Main Processor CPU BGA</v>
      </c>
      <c r="N641" s="17" t="n">
        <v>1</v>
      </c>
      <c r="O641" s="17" t="str">
        <f aca="false">VLOOKUP(N641,Sheet2!G:H,2,0)</f>
        <v>Dead</v>
      </c>
      <c r="P641" s="17" t="n">
        <v>12</v>
      </c>
      <c r="Q641" s="17" t="str">
        <f aca="false">VLOOKUP(P641,Sheet2!J:K,2,0)</f>
        <v>IR Declared due to Others ( IR Normal)TB</v>
      </c>
      <c r="R641" s="17" t="s">
        <v>35</v>
      </c>
      <c r="S641" s="17" t="str">
        <f aca="false">VLOOKUP(R641,Sheet2!N:O,2,0)</f>
        <v>IREPARABLE</v>
      </c>
      <c r="T641" s="18" t="str">
        <f aca="false">VLOOKUP(P641,Sheet2!Q:R,2,0)</f>
        <v>IR Normal - BER to IR</v>
      </c>
      <c r="U641" s="20" t="s">
        <v>135</v>
      </c>
      <c r="V641" s="17" t="n">
        <v>12</v>
      </c>
      <c r="W641" s="20" t="str">
        <f aca="false">VLOOKUP(V641,Sheet2!Q:R,2,0)</f>
        <v>IR Normal - BER to IR</v>
      </c>
      <c r="X641" s="17" t="str">
        <f aca="false">J641</f>
        <v>A018</v>
      </c>
      <c r="Y641" s="17" t="str">
        <f aca="false">VLOOKUP(X641,Sheet2!A:B,2,0)</f>
        <v>PRAKASH CHAVDA</v>
      </c>
      <c r="Z641" s="17" t="s">
        <v>136</v>
      </c>
      <c r="AA641" s="17" t="s">
        <v>413</v>
      </c>
      <c r="AB641" s="17" t="s">
        <v>41</v>
      </c>
      <c r="AC641" s="0" t="str">
        <f aca="false">LEFT(G641,2)</f>
        <v>13</v>
      </c>
      <c r="AD641" s="0"/>
      <c r="AE641" s="21" t="s">
        <v>42</v>
      </c>
    </row>
    <row r="642" customFormat="false" ht="15" hidden="false" customHeight="false" outlineLevel="0" collapsed="false">
      <c r="A642" s="13" t="n">
        <f aca="false">1+A641</f>
        <v>640</v>
      </c>
      <c r="B642" s="17" t="n">
        <v>1009091489</v>
      </c>
      <c r="C642" s="17" t="s">
        <v>414</v>
      </c>
      <c r="D642" s="17" t="s">
        <v>64</v>
      </c>
      <c r="E642" s="17" t="s">
        <v>64</v>
      </c>
      <c r="F642" s="18" t="s">
        <v>70</v>
      </c>
      <c r="G642" s="19" t="n">
        <v>134283315767</v>
      </c>
      <c r="H642" s="17" t="s">
        <v>134</v>
      </c>
      <c r="I642" s="17" t="s">
        <v>44</v>
      </c>
      <c r="J642" s="17" t="s">
        <v>106</v>
      </c>
      <c r="K642" s="17" t="str">
        <f aca="false">VLOOKUP(J642,Sheet2!A:B,2,0)</f>
        <v>PRAKASH CHAVDA</v>
      </c>
      <c r="L642" s="17" t="n">
        <v>5</v>
      </c>
      <c r="M642" s="17" t="str">
        <f aca="false">VLOOKUP(L642,Sheet2!D:E,2,0)</f>
        <v>Main Processor CPU BGA</v>
      </c>
      <c r="N642" s="17" t="n">
        <v>1</v>
      </c>
      <c r="O642" s="17" t="str">
        <f aca="false">VLOOKUP(N642,Sheet2!G:H,2,0)</f>
        <v>Dead</v>
      </c>
      <c r="P642" s="17" t="n">
        <v>12</v>
      </c>
      <c r="Q642" s="17" t="str">
        <f aca="false">VLOOKUP(P642,Sheet2!J:K,2,0)</f>
        <v>IR Declared due to Others ( IR Normal)TB</v>
      </c>
      <c r="R642" s="17" t="s">
        <v>35</v>
      </c>
      <c r="S642" s="17" t="str">
        <f aca="false">VLOOKUP(R642,Sheet2!N:O,2,0)</f>
        <v>IREPARABLE</v>
      </c>
      <c r="T642" s="18" t="str">
        <f aca="false">VLOOKUP(P642,Sheet2!Q:R,2,0)</f>
        <v>IR Normal - BER to IR</v>
      </c>
      <c r="U642" s="20" t="s">
        <v>135</v>
      </c>
      <c r="V642" s="17" t="n">
        <v>12</v>
      </c>
      <c r="W642" s="20" t="str">
        <f aca="false">VLOOKUP(V642,Sheet2!Q:R,2,0)</f>
        <v>IR Normal - BER to IR</v>
      </c>
      <c r="X642" s="17" t="s">
        <v>289</v>
      </c>
      <c r="Y642" s="17" t="str">
        <f aca="false">VLOOKUP(X642,Sheet2!A:B,2,0)</f>
        <v>AJAY KOSHTI</v>
      </c>
      <c r="Z642" s="17" t="s">
        <v>136</v>
      </c>
      <c r="AA642" s="17" t="s">
        <v>413</v>
      </c>
      <c r="AB642" s="17" t="s">
        <v>41</v>
      </c>
      <c r="AC642" s="0" t="str">
        <f aca="false">LEFT(G642,2)</f>
        <v>13</v>
      </c>
      <c r="AD642" s="0"/>
      <c r="AE642" s="21" t="s">
        <v>42</v>
      </c>
    </row>
    <row r="643" customFormat="false" ht="15" hidden="false" customHeight="false" outlineLevel="0" collapsed="false">
      <c r="A643" s="13" t="n">
        <f aca="false">1+A642</f>
        <v>641</v>
      </c>
      <c r="B643" s="17" t="n">
        <v>1009092239</v>
      </c>
      <c r="C643" s="17" t="s">
        <v>414</v>
      </c>
      <c r="D643" s="17" t="s">
        <v>64</v>
      </c>
      <c r="E643" s="17" t="s">
        <v>64</v>
      </c>
      <c r="F643" s="18" t="s">
        <v>70</v>
      </c>
      <c r="G643" s="19" t="n">
        <v>134268005631</v>
      </c>
      <c r="H643" s="17" t="s">
        <v>134</v>
      </c>
      <c r="I643" s="17" t="s">
        <v>44</v>
      </c>
      <c r="J643" s="17" t="s">
        <v>106</v>
      </c>
      <c r="K643" s="17" t="str">
        <f aca="false">VLOOKUP(J643,Sheet2!A:B,2,0)</f>
        <v>PRAKASH CHAVDA</v>
      </c>
      <c r="L643" s="17" t="n">
        <v>1</v>
      </c>
      <c r="M643" s="17" t="str">
        <f aca="false">VLOOKUP(L643,Sheet2!D:E,2,0)</f>
        <v>Power Supply Section</v>
      </c>
      <c r="N643" s="17" t="n">
        <v>1</v>
      </c>
      <c r="O643" s="17" t="str">
        <f aca="false">VLOOKUP(N643,Sheet2!G:H,2,0)</f>
        <v>Dead</v>
      </c>
      <c r="P643" s="17" t="n">
        <v>12</v>
      </c>
      <c r="Q643" s="17" t="str">
        <f aca="false">VLOOKUP(P643,Sheet2!J:K,2,0)</f>
        <v>IR Declared due to Others ( IR Normal)TB</v>
      </c>
      <c r="R643" s="17" t="s">
        <v>35</v>
      </c>
      <c r="S643" s="17" t="str">
        <f aca="false">VLOOKUP(R643,Sheet2!N:O,2,0)</f>
        <v>IREPARABLE</v>
      </c>
      <c r="T643" s="18" t="str">
        <f aca="false">VLOOKUP(P643,Sheet2!Q:R,2,0)</f>
        <v>IR Normal - BER to IR</v>
      </c>
      <c r="U643" s="20" t="s">
        <v>135</v>
      </c>
      <c r="V643" s="17" t="n">
        <v>12</v>
      </c>
      <c r="W643" s="20" t="str">
        <f aca="false">VLOOKUP(V643,Sheet2!Q:R,2,0)</f>
        <v>IR Normal - BER to IR</v>
      </c>
      <c r="X643" s="17" t="str">
        <f aca="false">J643</f>
        <v>A018</v>
      </c>
      <c r="Y643" s="17" t="str">
        <f aca="false">VLOOKUP(X643,Sheet2!A:B,2,0)</f>
        <v>PRAKASH CHAVDA</v>
      </c>
      <c r="Z643" s="17" t="s">
        <v>136</v>
      </c>
      <c r="AA643" s="17" t="s">
        <v>413</v>
      </c>
      <c r="AB643" s="17" t="s">
        <v>41</v>
      </c>
      <c r="AC643" s="0" t="str">
        <f aca="false">LEFT(G643,2)</f>
        <v>13</v>
      </c>
      <c r="AD643" s="0"/>
      <c r="AE643" s="21" t="s">
        <v>42</v>
      </c>
    </row>
    <row r="644" customFormat="false" ht="15" hidden="false" customHeight="false" outlineLevel="0" collapsed="false">
      <c r="A644" s="13" t="n">
        <f aca="false">1+A643</f>
        <v>642</v>
      </c>
      <c r="B644" s="17" t="n">
        <v>1009637845</v>
      </c>
      <c r="C644" s="17" t="s">
        <v>414</v>
      </c>
      <c r="D644" s="17" t="s">
        <v>64</v>
      </c>
      <c r="E644" s="17" t="s">
        <v>47</v>
      </c>
      <c r="F644" s="18" t="s">
        <v>34</v>
      </c>
      <c r="G644" s="19" t="n">
        <v>134325135074</v>
      </c>
      <c r="H644" s="17" t="s">
        <v>134</v>
      </c>
      <c r="I644" s="17" t="s">
        <v>44</v>
      </c>
      <c r="J644" s="17" t="s">
        <v>106</v>
      </c>
      <c r="K644" s="17" t="str">
        <f aca="false">VLOOKUP(J644,Sheet2!A:B,2,0)</f>
        <v>PRAKASH CHAVDA</v>
      </c>
      <c r="L644" s="17" t="n">
        <v>5</v>
      </c>
      <c r="M644" s="17" t="str">
        <f aca="false">VLOOKUP(L644,Sheet2!D:E,2,0)</f>
        <v>Main Processor CPU BGA</v>
      </c>
      <c r="N644" s="17" t="n">
        <v>1</v>
      </c>
      <c r="O644" s="17" t="str">
        <f aca="false">VLOOKUP(N644,Sheet2!G:H,2,0)</f>
        <v>Dead</v>
      </c>
      <c r="P644" s="17" t="n">
        <v>12</v>
      </c>
      <c r="Q644" s="17" t="str">
        <f aca="false">VLOOKUP(P644,Sheet2!J:K,2,0)</f>
        <v>IR Declared due to Others ( IR Normal)TB</v>
      </c>
      <c r="R644" s="17" t="s">
        <v>35</v>
      </c>
      <c r="S644" s="17" t="str">
        <f aca="false">VLOOKUP(R644,Sheet2!N:O,2,0)</f>
        <v>IREPARABLE</v>
      </c>
      <c r="T644" s="18" t="str">
        <f aca="false">VLOOKUP(P644,Sheet2!Q:R,2,0)</f>
        <v>IR Normal - BER to IR</v>
      </c>
      <c r="U644" s="20" t="s">
        <v>135</v>
      </c>
      <c r="V644" s="17" t="n">
        <v>12</v>
      </c>
      <c r="W644" s="20" t="str">
        <f aca="false">VLOOKUP(V644,Sheet2!Q:R,2,0)</f>
        <v>IR Normal - BER to IR</v>
      </c>
      <c r="X644" s="17" t="str">
        <f aca="false">J644</f>
        <v>A018</v>
      </c>
      <c r="Y644" s="17" t="str">
        <f aca="false">VLOOKUP(X644,Sheet2!A:B,2,0)</f>
        <v>PRAKASH CHAVDA</v>
      </c>
      <c r="Z644" s="17" t="s">
        <v>136</v>
      </c>
      <c r="AA644" s="17" t="s">
        <v>413</v>
      </c>
      <c r="AB644" s="17" t="s">
        <v>41</v>
      </c>
      <c r="AC644" s="0" t="str">
        <f aca="false">LEFT(G644,2)</f>
        <v>13</v>
      </c>
      <c r="AD644" s="0"/>
      <c r="AE644" s="21" t="s">
        <v>42</v>
      </c>
    </row>
    <row r="645" customFormat="false" ht="15" hidden="false" customHeight="false" outlineLevel="0" collapsed="false">
      <c r="A645" s="13" t="n">
        <f aca="false">1+A644</f>
        <v>643</v>
      </c>
      <c r="B645" s="17" t="n">
        <v>1009091255</v>
      </c>
      <c r="C645" s="17" t="s">
        <v>414</v>
      </c>
      <c r="D645" s="17" t="s">
        <v>64</v>
      </c>
      <c r="E645" s="17" t="s">
        <v>33</v>
      </c>
      <c r="F645" s="18" t="s">
        <v>34</v>
      </c>
      <c r="G645" s="19" t="n">
        <v>135226078735</v>
      </c>
      <c r="H645" s="17" t="s">
        <v>134</v>
      </c>
      <c r="I645" s="17" t="s">
        <v>44</v>
      </c>
      <c r="J645" s="17" t="s">
        <v>106</v>
      </c>
      <c r="K645" s="17" t="str">
        <f aca="false">VLOOKUP(J645,Sheet2!A:B,2,0)</f>
        <v>PRAKASH CHAVDA</v>
      </c>
      <c r="L645" s="17" t="n">
        <v>5</v>
      </c>
      <c r="M645" s="17" t="str">
        <f aca="false">VLOOKUP(L645,Sheet2!D:E,2,0)</f>
        <v>Main Processor CPU BGA</v>
      </c>
      <c r="N645" s="17" t="n">
        <v>24</v>
      </c>
      <c r="O645" s="17" t="str">
        <f aca="false">VLOOKUP(N645,Sheet2!G:H,2,0)</f>
        <v>STB Auto moving -Stand by mode</v>
      </c>
      <c r="P645" s="17" t="n">
        <v>12</v>
      </c>
      <c r="Q645" s="17" t="str">
        <f aca="false">VLOOKUP(P645,Sheet2!J:K,2,0)</f>
        <v>IR Declared due to Others ( IR Normal)TB</v>
      </c>
      <c r="R645" s="17" t="s">
        <v>35</v>
      </c>
      <c r="S645" s="17" t="str">
        <f aca="false">VLOOKUP(R645,Sheet2!N:O,2,0)</f>
        <v>IREPARABLE</v>
      </c>
      <c r="T645" s="18" t="str">
        <f aca="false">VLOOKUP(P645,Sheet2!Q:R,2,0)</f>
        <v>IR Normal - BER to IR</v>
      </c>
      <c r="U645" s="20" t="s">
        <v>135</v>
      </c>
      <c r="V645" s="17" t="n">
        <v>12</v>
      </c>
      <c r="W645" s="20" t="str">
        <f aca="false">VLOOKUP(V645,Sheet2!Q:R,2,0)</f>
        <v>IR Normal - BER to IR</v>
      </c>
      <c r="X645" s="17" t="str">
        <f aca="false">J645</f>
        <v>A018</v>
      </c>
      <c r="Y645" s="17" t="str">
        <f aca="false">VLOOKUP(X645,Sheet2!A:B,2,0)</f>
        <v>PRAKASH CHAVDA</v>
      </c>
      <c r="Z645" s="17" t="s">
        <v>136</v>
      </c>
      <c r="AA645" s="17" t="s">
        <v>413</v>
      </c>
      <c r="AB645" s="17" t="s">
        <v>41</v>
      </c>
      <c r="AC645" s="0" t="str">
        <f aca="false">LEFT(G645,2)</f>
        <v>13</v>
      </c>
      <c r="AD645" s="0"/>
      <c r="AE645" s="21" t="s">
        <v>42</v>
      </c>
    </row>
    <row r="646" customFormat="false" ht="15" hidden="false" customHeight="false" outlineLevel="0" collapsed="false">
      <c r="A646" s="13" t="n">
        <f aca="false">1+A645</f>
        <v>644</v>
      </c>
      <c r="B646" s="17" t="n">
        <v>1009338102</v>
      </c>
      <c r="C646" s="17" t="s">
        <v>414</v>
      </c>
      <c r="D646" s="17" t="s">
        <v>64</v>
      </c>
      <c r="E646" s="17" t="s">
        <v>47</v>
      </c>
      <c r="F646" s="18" t="s">
        <v>34</v>
      </c>
      <c r="G646" s="19" t="n">
        <v>134056032748</v>
      </c>
      <c r="H646" s="17" t="s">
        <v>134</v>
      </c>
      <c r="I646" s="17" t="s">
        <v>44</v>
      </c>
      <c r="J646" s="17" t="s">
        <v>106</v>
      </c>
      <c r="K646" s="17" t="str">
        <f aca="false">VLOOKUP(J646,Sheet2!A:B,2,0)</f>
        <v>PRAKASH CHAVDA</v>
      </c>
      <c r="L646" s="17" t="n">
        <v>1</v>
      </c>
      <c r="M646" s="17" t="str">
        <f aca="false">VLOOKUP(L646,Sheet2!D:E,2,0)</f>
        <v>Power Supply Section</v>
      </c>
      <c r="N646" s="17" t="n">
        <v>1</v>
      </c>
      <c r="O646" s="17" t="str">
        <f aca="false">VLOOKUP(N646,Sheet2!G:H,2,0)</f>
        <v>Dead</v>
      </c>
      <c r="P646" s="17" t="n">
        <v>12</v>
      </c>
      <c r="Q646" s="17" t="str">
        <f aca="false">VLOOKUP(P646,Sheet2!J:K,2,0)</f>
        <v>IR Declared due to Others ( IR Normal)TB</v>
      </c>
      <c r="R646" s="17" t="s">
        <v>35</v>
      </c>
      <c r="S646" s="17" t="str">
        <f aca="false">VLOOKUP(R646,Sheet2!N:O,2,0)</f>
        <v>IREPARABLE</v>
      </c>
      <c r="T646" s="18" t="str">
        <f aca="false">VLOOKUP(P646,Sheet2!Q:R,2,0)</f>
        <v>IR Normal - BER to IR</v>
      </c>
      <c r="U646" s="20" t="s">
        <v>135</v>
      </c>
      <c r="V646" s="17" t="n">
        <v>12</v>
      </c>
      <c r="W646" s="20" t="str">
        <f aca="false">VLOOKUP(V646,Sheet2!Q:R,2,0)</f>
        <v>IR Normal - BER to IR</v>
      </c>
      <c r="X646" s="17" t="str">
        <f aca="false">J646</f>
        <v>A018</v>
      </c>
      <c r="Y646" s="17" t="str">
        <f aca="false">VLOOKUP(X646,Sheet2!A:B,2,0)</f>
        <v>PRAKASH CHAVDA</v>
      </c>
      <c r="Z646" s="17" t="s">
        <v>136</v>
      </c>
      <c r="AA646" s="17" t="s">
        <v>413</v>
      </c>
      <c r="AB646" s="17" t="s">
        <v>41</v>
      </c>
      <c r="AC646" s="0" t="str">
        <f aca="false">LEFT(G646,2)</f>
        <v>13</v>
      </c>
      <c r="AD646" s="0"/>
      <c r="AE646" s="21" t="s">
        <v>42</v>
      </c>
    </row>
    <row r="647" customFormat="false" ht="15" hidden="false" customHeight="false" outlineLevel="0" collapsed="false">
      <c r="A647" s="13" t="n">
        <f aca="false">1+A646</f>
        <v>645</v>
      </c>
      <c r="B647" s="17" t="n">
        <v>1009092195</v>
      </c>
      <c r="C647" s="17" t="s">
        <v>414</v>
      </c>
      <c r="D647" s="17" t="s">
        <v>64</v>
      </c>
      <c r="E647" s="17" t="s">
        <v>64</v>
      </c>
      <c r="F647" s="18" t="s">
        <v>70</v>
      </c>
      <c r="G647" s="19" t="n">
        <v>135210089565</v>
      </c>
      <c r="H647" s="17" t="s">
        <v>134</v>
      </c>
      <c r="I647" s="17" t="s">
        <v>44</v>
      </c>
      <c r="J647" s="17" t="s">
        <v>106</v>
      </c>
      <c r="K647" s="17" t="str">
        <f aca="false">VLOOKUP(J647,Sheet2!A:B,2,0)</f>
        <v>PRAKASH CHAVDA</v>
      </c>
      <c r="L647" s="17" t="n">
        <v>5</v>
      </c>
      <c r="M647" s="17" t="str">
        <f aca="false">VLOOKUP(L647,Sheet2!D:E,2,0)</f>
        <v>Main Processor CPU BGA</v>
      </c>
      <c r="N647" s="17" t="n">
        <v>1</v>
      </c>
      <c r="O647" s="17" t="str">
        <f aca="false">VLOOKUP(N647,Sheet2!G:H,2,0)</f>
        <v>Dead</v>
      </c>
      <c r="P647" s="17" t="n">
        <v>12</v>
      </c>
      <c r="Q647" s="17" t="str">
        <f aca="false">VLOOKUP(P647,Sheet2!J:K,2,0)</f>
        <v>IR Declared due to Others ( IR Normal)TB</v>
      </c>
      <c r="R647" s="17" t="s">
        <v>35</v>
      </c>
      <c r="S647" s="17" t="str">
        <f aca="false">VLOOKUP(R647,Sheet2!N:O,2,0)</f>
        <v>IREPARABLE</v>
      </c>
      <c r="T647" s="18" t="str">
        <f aca="false">VLOOKUP(P647,Sheet2!Q:R,2,0)</f>
        <v>IR Normal - BER to IR</v>
      </c>
      <c r="U647" s="20" t="s">
        <v>135</v>
      </c>
      <c r="V647" s="17" t="n">
        <v>12</v>
      </c>
      <c r="W647" s="20" t="str">
        <f aca="false">VLOOKUP(V647,Sheet2!Q:R,2,0)</f>
        <v>IR Normal - BER to IR</v>
      </c>
      <c r="X647" s="17" t="str">
        <f aca="false">J647</f>
        <v>A018</v>
      </c>
      <c r="Y647" s="17" t="str">
        <f aca="false">VLOOKUP(X647,Sheet2!A:B,2,0)</f>
        <v>PRAKASH CHAVDA</v>
      </c>
      <c r="Z647" s="17" t="s">
        <v>136</v>
      </c>
      <c r="AA647" s="17" t="s">
        <v>413</v>
      </c>
      <c r="AB647" s="17" t="s">
        <v>41</v>
      </c>
      <c r="AC647" s="0" t="str">
        <f aca="false">LEFT(G647,2)</f>
        <v>13</v>
      </c>
      <c r="AD647" s="0"/>
      <c r="AE647" s="21" t="s">
        <v>42</v>
      </c>
    </row>
    <row r="648" customFormat="false" ht="15" hidden="false" customHeight="false" outlineLevel="0" collapsed="false">
      <c r="A648" s="13" t="n">
        <f aca="false">1+A647</f>
        <v>646</v>
      </c>
      <c r="B648" s="17" t="n">
        <v>1009092265</v>
      </c>
      <c r="C648" s="17" t="s">
        <v>414</v>
      </c>
      <c r="D648" s="17" t="s">
        <v>420</v>
      </c>
      <c r="E648" s="17" t="s">
        <v>47</v>
      </c>
      <c r="F648" s="18" t="s">
        <v>34</v>
      </c>
      <c r="G648" s="19" t="n">
        <v>134283343470</v>
      </c>
      <c r="H648" s="17" t="s">
        <v>134</v>
      </c>
      <c r="I648" s="17" t="s">
        <v>44</v>
      </c>
      <c r="J648" s="17" t="s">
        <v>106</v>
      </c>
      <c r="K648" s="17" t="str">
        <f aca="false">VLOOKUP(J648,Sheet2!A:B,2,0)</f>
        <v>PRAKASH CHAVDA</v>
      </c>
      <c r="L648" s="17" t="n">
        <v>5</v>
      </c>
      <c r="M648" s="17" t="str">
        <f aca="false">VLOOKUP(L648,Sheet2!D:E,2,0)</f>
        <v>Main Processor CPU BGA</v>
      </c>
      <c r="N648" s="17" t="n">
        <v>1</v>
      </c>
      <c r="O648" s="17" t="str">
        <f aca="false">VLOOKUP(N648,Sheet2!G:H,2,0)</f>
        <v>Dead</v>
      </c>
      <c r="P648" s="17" t="n">
        <v>12</v>
      </c>
      <c r="Q648" s="17" t="str">
        <f aca="false">VLOOKUP(P648,Sheet2!J:K,2,0)</f>
        <v>IR Declared due to Others ( IR Normal)TB</v>
      </c>
      <c r="R648" s="17" t="s">
        <v>35</v>
      </c>
      <c r="S648" s="17" t="str">
        <f aca="false">VLOOKUP(R648,Sheet2!N:O,2,0)</f>
        <v>IREPARABLE</v>
      </c>
      <c r="T648" s="18" t="str">
        <f aca="false">VLOOKUP(P648,Sheet2!Q:R,2,0)</f>
        <v>IR Normal - BER to IR</v>
      </c>
      <c r="U648" s="20" t="s">
        <v>135</v>
      </c>
      <c r="V648" s="17" t="n">
        <v>12</v>
      </c>
      <c r="W648" s="20" t="str">
        <f aca="false">VLOOKUP(V648,Sheet2!Q:R,2,0)</f>
        <v>IR Normal - BER to IR</v>
      </c>
      <c r="X648" s="17" t="str">
        <f aca="false">J648</f>
        <v>A018</v>
      </c>
      <c r="Y648" s="17" t="str">
        <f aca="false">VLOOKUP(X648,Sheet2!A:B,2,0)</f>
        <v>PRAKASH CHAVDA</v>
      </c>
      <c r="Z648" s="17" t="s">
        <v>136</v>
      </c>
      <c r="AA648" s="17" t="s">
        <v>413</v>
      </c>
      <c r="AB648" s="17" t="s">
        <v>41</v>
      </c>
      <c r="AC648" s="0" t="str">
        <f aca="false">LEFT(G648,2)</f>
        <v>13</v>
      </c>
      <c r="AD648" s="0"/>
      <c r="AE648" s="21" t="s">
        <v>42</v>
      </c>
    </row>
    <row r="649" customFormat="false" ht="15" hidden="false" customHeight="false" outlineLevel="0" collapsed="false">
      <c r="A649" s="13" t="n">
        <f aca="false">1+A648</f>
        <v>647</v>
      </c>
      <c r="B649" s="17" t="n">
        <v>1009092271</v>
      </c>
      <c r="C649" s="17" t="s">
        <v>414</v>
      </c>
      <c r="D649" s="17" t="s">
        <v>64</v>
      </c>
      <c r="E649" s="17" t="s">
        <v>64</v>
      </c>
      <c r="F649" s="18" t="s">
        <v>70</v>
      </c>
      <c r="G649" s="19" t="n">
        <v>134085189931</v>
      </c>
      <c r="H649" s="17" t="s">
        <v>134</v>
      </c>
      <c r="I649" s="17" t="s">
        <v>44</v>
      </c>
      <c r="J649" s="17" t="s">
        <v>106</v>
      </c>
      <c r="K649" s="17" t="str">
        <f aca="false">VLOOKUP(J649,Sheet2!A:B,2,0)</f>
        <v>PRAKASH CHAVDA</v>
      </c>
      <c r="L649" s="17" t="n">
        <v>5</v>
      </c>
      <c r="M649" s="17" t="str">
        <f aca="false">VLOOKUP(L649,Sheet2!D:E,2,0)</f>
        <v>Main Processor CPU BGA</v>
      </c>
      <c r="N649" s="17" t="n">
        <v>1</v>
      </c>
      <c r="O649" s="17" t="str">
        <f aca="false">VLOOKUP(N649,Sheet2!G:H,2,0)</f>
        <v>Dead</v>
      </c>
      <c r="P649" s="17" t="n">
        <v>12</v>
      </c>
      <c r="Q649" s="17" t="str">
        <f aca="false">VLOOKUP(P649,Sheet2!J:K,2,0)</f>
        <v>IR Declared due to Others ( IR Normal)TB</v>
      </c>
      <c r="R649" s="17" t="s">
        <v>35</v>
      </c>
      <c r="S649" s="17" t="str">
        <f aca="false">VLOOKUP(R649,Sheet2!N:O,2,0)</f>
        <v>IREPARABLE</v>
      </c>
      <c r="T649" s="18" t="str">
        <f aca="false">VLOOKUP(P649,Sheet2!Q:R,2,0)</f>
        <v>IR Normal - BER to IR</v>
      </c>
      <c r="U649" s="20" t="s">
        <v>135</v>
      </c>
      <c r="V649" s="17" t="n">
        <v>12</v>
      </c>
      <c r="W649" s="20" t="str">
        <f aca="false">VLOOKUP(V649,Sheet2!Q:R,2,0)</f>
        <v>IR Normal - BER to IR</v>
      </c>
      <c r="X649" s="17" t="str">
        <f aca="false">J649</f>
        <v>A018</v>
      </c>
      <c r="Y649" s="17" t="str">
        <f aca="false">VLOOKUP(X649,Sheet2!A:B,2,0)</f>
        <v>PRAKASH CHAVDA</v>
      </c>
      <c r="Z649" s="17" t="s">
        <v>136</v>
      </c>
      <c r="AA649" s="17" t="s">
        <v>413</v>
      </c>
      <c r="AB649" s="17" t="s">
        <v>41</v>
      </c>
      <c r="AC649" s="0" t="str">
        <f aca="false">LEFT(G649,2)</f>
        <v>13</v>
      </c>
      <c r="AD649" s="0"/>
      <c r="AE649" s="21" t="s">
        <v>42</v>
      </c>
    </row>
    <row r="650" customFormat="false" ht="15" hidden="false" customHeight="false" outlineLevel="0" collapsed="false">
      <c r="A650" s="13" t="n">
        <f aca="false">1+A649</f>
        <v>648</v>
      </c>
      <c r="B650" s="17" t="n">
        <v>1009092147</v>
      </c>
      <c r="C650" s="17" t="s">
        <v>414</v>
      </c>
      <c r="D650" s="17" t="s">
        <v>64</v>
      </c>
      <c r="E650" s="17" t="s">
        <v>91</v>
      </c>
      <c r="F650" s="18" t="s">
        <v>92</v>
      </c>
      <c r="G650" s="19" t="n">
        <v>134310036048</v>
      </c>
      <c r="H650" s="17" t="s">
        <v>134</v>
      </c>
      <c r="I650" s="17" t="s">
        <v>44</v>
      </c>
      <c r="J650" s="17" t="s">
        <v>106</v>
      </c>
      <c r="K650" s="17" t="str">
        <f aca="false">VLOOKUP(J650,Sheet2!A:B,2,0)</f>
        <v>PRAKASH CHAVDA</v>
      </c>
      <c r="L650" s="17" t="n">
        <v>5</v>
      </c>
      <c r="M650" s="17" t="str">
        <f aca="false">VLOOKUP(L650,Sheet2!D:E,2,0)</f>
        <v>Main Processor CPU BGA</v>
      </c>
      <c r="N650" s="17" t="n">
        <v>24</v>
      </c>
      <c r="O650" s="17" t="str">
        <f aca="false">VLOOKUP(N650,Sheet2!G:H,2,0)</f>
        <v>STB Auto moving -Stand by mode</v>
      </c>
      <c r="P650" s="17" t="n">
        <v>12</v>
      </c>
      <c r="Q650" s="17" t="str">
        <f aca="false">VLOOKUP(P650,Sheet2!J:K,2,0)</f>
        <v>IR Declared due to Others ( IR Normal)TB</v>
      </c>
      <c r="R650" s="17" t="s">
        <v>35</v>
      </c>
      <c r="S650" s="17" t="str">
        <f aca="false">VLOOKUP(R650,Sheet2!N:O,2,0)</f>
        <v>IREPARABLE</v>
      </c>
      <c r="T650" s="18" t="str">
        <f aca="false">VLOOKUP(P650,Sheet2!Q:R,2,0)</f>
        <v>IR Normal - BER to IR</v>
      </c>
      <c r="U650" s="20" t="s">
        <v>135</v>
      </c>
      <c r="V650" s="17" t="n">
        <v>12</v>
      </c>
      <c r="W650" s="20" t="str">
        <f aca="false">VLOOKUP(V650,Sheet2!Q:R,2,0)</f>
        <v>IR Normal - BER to IR</v>
      </c>
      <c r="X650" s="17" t="str">
        <f aca="false">J650</f>
        <v>A018</v>
      </c>
      <c r="Y650" s="17" t="str">
        <f aca="false">VLOOKUP(X650,Sheet2!A:B,2,0)</f>
        <v>PRAKASH CHAVDA</v>
      </c>
      <c r="Z650" s="17" t="s">
        <v>136</v>
      </c>
      <c r="AA650" s="17" t="s">
        <v>413</v>
      </c>
      <c r="AB650" s="17" t="s">
        <v>41</v>
      </c>
      <c r="AC650" s="0" t="str">
        <f aca="false">LEFT(G650,2)</f>
        <v>13</v>
      </c>
      <c r="AD650" s="0"/>
      <c r="AE650" s="21" t="s">
        <v>42</v>
      </c>
    </row>
    <row r="651" customFormat="false" ht="15" hidden="false" customHeight="false" outlineLevel="0" collapsed="false">
      <c r="A651" s="13" t="n">
        <f aca="false">1+A650</f>
        <v>649</v>
      </c>
      <c r="B651" s="17" t="n">
        <v>1009092189</v>
      </c>
      <c r="C651" s="17" t="s">
        <v>414</v>
      </c>
      <c r="D651" s="17" t="s">
        <v>144</v>
      </c>
      <c r="E651" s="17" t="s">
        <v>47</v>
      </c>
      <c r="F651" s="18" t="s">
        <v>34</v>
      </c>
      <c r="G651" s="19" t="n">
        <v>135192016644</v>
      </c>
      <c r="H651" s="17" t="s">
        <v>134</v>
      </c>
      <c r="I651" s="17" t="s">
        <v>44</v>
      </c>
      <c r="J651" s="17" t="s">
        <v>106</v>
      </c>
      <c r="K651" s="17" t="str">
        <f aca="false">VLOOKUP(J651,Sheet2!A:B,2,0)</f>
        <v>PRAKASH CHAVDA</v>
      </c>
      <c r="L651" s="17" t="n">
        <v>5</v>
      </c>
      <c r="M651" s="17" t="str">
        <f aca="false">VLOOKUP(L651,Sheet2!D:E,2,0)</f>
        <v>Main Processor CPU BGA</v>
      </c>
      <c r="N651" s="17" t="n">
        <v>1</v>
      </c>
      <c r="O651" s="17" t="str">
        <f aca="false">VLOOKUP(N651,Sheet2!G:H,2,0)</f>
        <v>Dead</v>
      </c>
      <c r="P651" s="17" t="n">
        <v>12</v>
      </c>
      <c r="Q651" s="17" t="str">
        <f aca="false">VLOOKUP(P651,Sheet2!J:K,2,0)</f>
        <v>IR Declared due to Others ( IR Normal)TB</v>
      </c>
      <c r="R651" s="17" t="s">
        <v>35</v>
      </c>
      <c r="S651" s="17" t="str">
        <f aca="false">VLOOKUP(R651,Sheet2!N:O,2,0)</f>
        <v>IREPARABLE</v>
      </c>
      <c r="T651" s="18" t="str">
        <f aca="false">VLOOKUP(P651,Sheet2!Q:R,2,0)</f>
        <v>IR Normal - BER to IR</v>
      </c>
      <c r="U651" s="20" t="s">
        <v>135</v>
      </c>
      <c r="V651" s="17" t="n">
        <v>12</v>
      </c>
      <c r="W651" s="20" t="str">
        <f aca="false">VLOOKUP(V651,Sheet2!Q:R,2,0)</f>
        <v>IR Normal - BER to IR</v>
      </c>
      <c r="X651" s="17" t="str">
        <f aca="false">J651</f>
        <v>A018</v>
      </c>
      <c r="Y651" s="17" t="str">
        <f aca="false">VLOOKUP(X651,Sheet2!A:B,2,0)</f>
        <v>PRAKASH CHAVDA</v>
      </c>
      <c r="Z651" s="17" t="s">
        <v>136</v>
      </c>
      <c r="AA651" s="17" t="s">
        <v>413</v>
      </c>
      <c r="AB651" s="17" t="s">
        <v>41</v>
      </c>
      <c r="AC651" s="0" t="str">
        <f aca="false">LEFT(G651,2)</f>
        <v>13</v>
      </c>
      <c r="AD651" s="0"/>
      <c r="AE651" s="21" t="s">
        <v>42</v>
      </c>
    </row>
    <row r="652" customFormat="false" ht="15" hidden="false" customHeight="false" outlineLevel="0" collapsed="false">
      <c r="A652" s="13" t="n">
        <f aca="false">1+A651</f>
        <v>650</v>
      </c>
      <c r="B652" s="17" t="n">
        <v>1009092151</v>
      </c>
      <c r="C652" s="17" t="s">
        <v>414</v>
      </c>
      <c r="D652" s="17" t="s">
        <v>64</v>
      </c>
      <c r="E652" s="17" t="s">
        <v>91</v>
      </c>
      <c r="F652" s="18" t="s">
        <v>92</v>
      </c>
      <c r="G652" s="19" t="n">
        <v>134317099460</v>
      </c>
      <c r="H652" s="17" t="s">
        <v>134</v>
      </c>
      <c r="I652" s="17" t="s">
        <v>44</v>
      </c>
      <c r="J652" s="17" t="s">
        <v>106</v>
      </c>
      <c r="K652" s="17" t="str">
        <f aca="false">VLOOKUP(J652,Sheet2!A:B,2,0)</f>
        <v>PRAKASH CHAVDA</v>
      </c>
      <c r="L652" s="17" t="n">
        <v>5</v>
      </c>
      <c r="M652" s="17" t="str">
        <f aca="false">VLOOKUP(L652,Sheet2!D:E,2,0)</f>
        <v>Main Processor CPU BGA</v>
      </c>
      <c r="N652" s="17" t="n">
        <v>1</v>
      </c>
      <c r="O652" s="17" t="str">
        <f aca="false">VLOOKUP(N652,Sheet2!G:H,2,0)</f>
        <v>Dead</v>
      </c>
      <c r="P652" s="17" t="n">
        <v>12</v>
      </c>
      <c r="Q652" s="17" t="str">
        <f aca="false">VLOOKUP(P652,Sheet2!J:K,2,0)</f>
        <v>IR Declared due to Others ( IR Normal)TB</v>
      </c>
      <c r="R652" s="17" t="s">
        <v>35</v>
      </c>
      <c r="S652" s="17" t="str">
        <f aca="false">VLOOKUP(R652,Sheet2!N:O,2,0)</f>
        <v>IREPARABLE</v>
      </c>
      <c r="T652" s="18" t="str">
        <f aca="false">VLOOKUP(P652,Sheet2!Q:R,2,0)</f>
        <v>IR Normal - BER to IR</v>
      </c>
      <c r="U652" s="20" t="s">
        <v>135</v>
      </c>
      <c r="V652" s="17" t="n">
        <v>12</v>
      </c>
      <c r="W652" s="20" t="str">
        <f aca="false">VLOOKUP(V652,Sheet2!Q:R,2,0)</f>
        <v>IR Normal - BER to IR</v>
      </c>
      <c r="X652" s="17" t="str">
        <f aca="false">J652</f>
        <v>A018</v>
      </c>
      <c r="Y652" s="17" t="str">
        <f aca="false">VLOOKUP(X652,Sheet2!A:B,2,0)</f>
        <v>PRAKASH CHAVDA</v>
      </c>
      <c r="Z652" s="17" t="s">
        <v>136</v>
      </c>
      <c r="AA652" s="17" t="s">
        <v>413</v>
      </c>
      <c r="AB652" s="17" t="s">
        <v>41</v>
      </c>
      <c r="AC652" s="0" t="str">
        <f aca="false">LEFT(G652,2)</f>
        <v>13</v>
      </c>
      <c r="AD652" s="0"/>
      <c r="AE652" s="21" t="s">
        <v>42</v>
      </c>
    </row>
    <row r="653" customFormat="false" ht="15" hidden="false" customHeight="false" outlineLevel="0" collapsed="false">
      <c r="A653" s="13" t="n">
        <f aca="false">1+A652</f>
        <v>651</v>
      </c>
      <c r="B653" s="17" t="n">
        <v>1009092153</v>
      </c>
      <c r="C653" s="17" t="s">
        <v>414</v>
      </c>
      <c r="D653" s="17" t="s">
        <v>64</v>
      </c>
      <c r="E653" s="17" t="s">
        <v>64</v>
      </c>
      <c r="F653" s="18" t="s">
        <v>70</v>
      </c>
      <c r="G653" s="19" t="n">
        <v>135202050740</v>
      </c>
      <c r="H653" s="17" t="s">
        <v>134</v>
      </c>
      <c r="I653" s="17" t="s">
        <v>44</v>
      </c>
      <c r="J653" s="17" t="s">
        <v>106</v>
      </c>
      <c r="K653" s="17" t="str">
        <f aca="false">VLOOKUP(J653,Sheet2!A:B,2,0)</f>
        <v>PRAKASH CHAVDA</v>
      </c>
      <c r="L653" s="17" t="n">
        <v>5</v>
      </c>
      <c r="M653" s="17" t="str">
        <f aca="false">VLOOKUP(L653,Sheet2!D:E,2,0)</f>
        <v>Main Processor CPU BGA</v>
      </c>
      <c r="N653" s="17" t="n">
        <v>24</v>
      </c>
      <c r="O653" s="17" t="str">
        <f aca="false">VLOOKUP(N653,Sheet2!G:H,2,0)</f>
        <v>STB Auto moving -Stand by mode</v>
      </c>
      <c r="P653" s="17" t="n">
        <v>12</v>
      </c>
      <c r="Q653" s="17" t="str">
        <f aca="false">VLOOKUP(P653,Sheet2!J:K,2,0)</f>
        <v>IR Declared due to Others ( IR Normal)TB</v>
      </c>
      <c r="R653" s="17" t="s">
        <v>35</v>
      </c>
      <c r="S653" s="17" t="str">
        <f aca="false">VLOOKUP(R653,Sheet2!N:O,2,0)</f>
        <v>IREPARABLE</v>
      </c>
      <c r="T653" s="18" t="str">
        <f aca="false">VLOOKUP(P653,Sheet2!Q:R,2,0)</f>
        <v>IR Normal - BER to IR</v>
      </c>
      <c r="U653" s="20" t="s">
        <v>135</v>
      </c>
      <c r="V653" s="17" t="n">
        <v>12</v>
      </c>
      <c r="W653" s="20" t="str">
        <f aca="false">VLOOKUP(V653,Sheet2!Q:R,2,0)</f>
        <v>IR Normal - BER to IR</v>
      </c>
      <c r="X653" s="17" t="str">
        <f aca="false">J653</f>
        <v>A018</v>
      </c>
      <c r="Y653" s="17" t="str">
        <f aca="false">VLOOKUP(X653,Sheet2!A:B,2,0)</f>
        <v>PRAKASH CHAVDA</v>
      </c>
      <c r="Z653" s="17" t="s">
        <v>136</v>
      </c>
      <c r="AA653" s="17" t="s">
        <v>413</v>
      </c>
      <c r="AB653" s="17" t="s">
        <v>41</v>
      </c>
      <c r="AC653" s="0" t="str">
        <f aca="false">LEFT(G653,2)</f>
        <v>13</v>
      </c>
      <c r="AD653" s="0"/>
      <c r="AE653" s="21" t="s">
        <v>42</v>
      </c>
    </row>
    <row r="654" customFormat="false" ht="15" hidden="false" customHeight="false" outlineLevel="0" collapsed="false">
      <c r="A654" s="13" t="n">
        <f aca="false">1+A653</f>
        <v>652</v>
      </c>
      <c r="B654" s="17" t="n">
        <v>1008901661</v>
      </c>
      <c r="C654" s="17" t="s">
        <v>421</v>
      </c>
      <c r="D654" s="17" t="s">
        <v>64</v>
      </c>
      <c r="E654" s="17" t="s">
        <v>64</v>
      </c>
      <c r="F654" s="18" t="s">
        <v>70</v>
      </c>
      <c r="G654" s="19" t="n">
        <v>134211007775</v>
      </c>
      <c r="H654" s="17" t="s">
        <v>134</v>
      </c>
      <c r="I654" s="17" t="s">
        <v>44</v>
      </c>
      <c r="J654" s="17" t="s">
        <v>106</v>
      </c>
      <c r="K654" s="17" t="str">
        <f aca="false">VLOOKUP(J654,Sheet2!A:B,2,0)</f>
        <v>PRAKASH CHAVDA</v>
      </c>
      <c r="L654" s="17" t="n">
        <v>5</v>
      </c>
      <c r="M654" s="17" t="str">
        <f aca="false">VLOOKUP(L654,Sheet2!D:E,2,0)</f>
        <v>Main Processor CPU BGA</v>
      </c>
      <c r="N654" s="17" t="n">
        <v>24</v>
      </c>
      <c r="O654" s="17" t="str">
        <f aca="false">VLOOKUP(N654,Sheet2!G:H,2,0)</f>
        <v>STB Auto moving -Stand by mode</v>
      </c>
      <c r="P654" s="17" t="n">
        <v>12</v>
      </c>
      <c r="Q654" s="17" t="str">
        <f aca="false">VLOOKUP(P654,Sheet2!J:K,2,0)</f>
        <v>IR Declared due to Others ( IR Normal)TB</v>
      </c>
      <c r="R654" s="17" t="s">
        <v>35</v>
      </c>
      <c r="S654" s="17" t="str">
        <f aca="false">VLOOKUP(R654,Sheet2!N:O,2,0)</f>
        <v>IREPARABLE</v>
      </c>
      <c r="T654" s="18" t="str">
        <f aca="false">VLOOKUP(P654,Sheet2!Q:R,2,0)</f>
        <v>IR Normal - BER to IR</v>
      </c>
      <c r="U654" s="20" t="s">
        <v>135</v>
      </c>
      <c r="V654" s="17" t="n">
        <v>12</v>
      </c>
      <c r="W654" s="20" t="str">
        <f aca="false">VLOOKUP(V654,Sheet2!Q:R,2,0)</f>
        <v>IR Normal - BER to IR</v>
      </c>
      <c r="X654" s="17" t="str">
        <f aca="false">J654</f>
        <v>A018</v>
      </c>
      <c r="Y654" s="17" t="str">
        <f aca="false">VLOOKUP(X654,Sheet2!A:B,2,0)</f>
        <v>PRAKASH CHAVDA</v>
      </c>
      <c r="Z654" s="17" t="s">
        <v>136</v>
      </c>
      <c r="AA654" s="17" t="s">
        <v>413</v>
      </c>
      <c r="AB654" s="17" t="s">
        <v>41</v>
      </c>
      <c r="AC654" s="0" t="str">
        <f aca="false">LEFT(G654,2)</f>
        <v>13</v>
      </c>
      <c r="AD654" s="0"/>
      <c r="AE654" s="21" t="s">
        <v>42</v>
      </c>
    </row>
    <row r="655" customFormat="false" ht="15" hidden="false" customHeight="false" outlineLevel="0" collapsed="false">
      <c r="A655" s="13" t="n">
        <f aca="false">1+A654</f>
        <v>653</v>
      </c>
      <c r="B655" s="17" t="n">
        <v>1009091505</v>
      </c>
      <c r="C655" s="17" t="s">
        <v>414</v>
      </c>
      <c r="D655" s="17" t="s">
        <v>64</v>
      </c>
      <c r="E655" s="17" t="s">
        <v>64</v>
      </c>
      <c r="F655" s="18" t="s">
        <v>70</v>
      </c>
      <c r="G655" s="19" t="n">
        <v>134301203284</v>
      </c>
      <c r="H655" s="17" t="s">
        <v>134</v>
      </c>
      <c r="I655" s="17" t="s">
        <v>44</v>
      </c>
      <c r="J655" s="17" t="s">
        <v>106</v>
      </c>
      <c r="K655" s="17" t="str">
        <f aca="false">VLOOKUP(J655,Sheet2!A:B,2,0)</f>
        <v>PRAKASH CHAVDA</v>
      </c>
      <c r="L655" s="17" t="n">
        <v>5</v>
      </c>
      <c r="M655" s="17" t="str">
        <f aca="false">VLOOKUP(L655,Sheet2!D:E,2,0)</f>
        <v>Main Processor CPU BGA</v>
      </c>
      <c r="N655" s="17" t="n">
        <v>1</v>
      </c>
      <c r="O655" s="17" t="str">
        <f aca="false">VLOOKUP(N655,Sheet2!G:H,2,0)</f>
        <v>Dead</v>
      </c>
      <c r="P655" s="17" t="n">
        <v>12</v>
      </c>
      <c r="Q655" s="17" t="str">
        <f aca="false">VLOOKUP(P655,Sheet2!J:K,2,0)</f>
        <v>IR Declared due to Others ( IR Normal)TB</v>
      </c>
      <c r="R655" s="17" t="s">
        <v>35</v>
      </c>
      <c r="S655" s="17" t="str">
        <f aca="false">VLOOKUP(R655,Sheet2!N:O,2,0)</f>
        <v>IREPARABLE</v>
      </c>
      <c r="T655" s="18" t="str">
        <f aca="false">VLOOKUP(P655,Sheet2!Q:R,2,0)</f>
        <v>IR Normal - BER to IR</v>
      </c>
      <c r="U655" s="20" t="s">
        <v>135</v>
      </c>
      <c r="V655" s="17" t="n">
        <v>12</v>
      </c>
      <c r="W655" s="20" t="str">
        <f aca="false">VLOOKUP(V655,Sheet2!Q:R,2,0)</f>
        <v>IR Normal - BER to IR</v>
      </c>
      <c r="X655" s="17" t="str">
        <f aca="false">J655</f>
        <v>A018</v>
      </c>
      <c r="Y655" s="17" t="str">
        <f aca="false">VLOOKUP(X655,Sheet2!A:B,2,0)</f>
        <v>PRAKASH CHAVDA</v>
      </c>
      <c r="Z655" s="17" t="s">
        <v>136</v>
      </c>
      <c r="AA655" s="17" t="s">
        <v>413</v>
      </c>
      <c r="AB655" s="17" t="s">
        <v>41</v>
      </c>
      <c r="AC655" s="0" t="str">
        <f aca="false">LEFT(G655,2)</f>
        <v>13</v>
      </c>
      <c r="AD655" s="0"/>
      <c r="AE655" s="21" t="s">
        <v>42</v>
      </c>
    </row>
    <row r="656" customFormat="false" ht="15" hidden="false" customHeight="false" outlineLevel="0" collapsed="false">
      <c r="A656" s="13" t="n">
        <f aca="false">1+A655</f>
        <v>654</v>
      </c>
      <c r="B656" s="17" t="n">
        <v>1009091764</v>
      </c>
      <c r="C656" s="17" t="s">
        <v>414</v>
      </c>
      <c r="D656" s="17" t="s">
        <v>422</v>
      </c>
      <c r="E656" s="17" t="s">
        <v>109</v>
      </c>
      <c r="F656" s="18" t="s">
        <v>34</v>
      </c>
      <c r="G656" s="19" t="n">
        <v>134106425439</v>
      </c>
      <c r="H656" s="17" t="s">
        <v>134</v>
      </c>
      <c r="I656" s="17" t="s">
        <v>44</v>
      </c>
      <c r="J656" s="17" t="s">
        <v>106</v>
      </c>
      <c r="K656" s="17" t="str">
        <f aca="false">VLOOKUP(J656,Sheet2!A:B,2,0)</f>
        <v>PRAKASH CHAVDA</v>
      </c>
      <c r="L656" s="17" t="n">
        <v>5</v>
      </c>
      <c r="M656" s="17" t="str">
        <f aca="false">VLOOKUP(L656,Sheet2!D:E,2,0)</f>
        <v>Main Processor CPU BGA</v>
      </c>
      <c r="N656" s="17" t="n">
        <v>1</v>
      </c>
      <c r="O656" s="17" t="str">
        <f aca="false">VLOOKUP(N656,Sheet2!G:H,2,0)</f>
        <v>Dead</v>
      </c>
      <c r="P656" s="17" t="n">
        <v>12</v>
      </c>
      <c r="Q656" s="17" t="str">
        <f aca="false">VLOOKUP(P656,Sheet2!J:K,2,0)</f>
        <v>IR Declared due to Others ( IR Normal)TB</v>
      </c>
      <c r="R656" s="17" t="s">
        <v>35</v>
      </c>
      <c r="S656" s="17" t="str">
        <f aca="false">VLOOKUP(R656,Sheet2!N:O,2,0)</f>
        <v>IREPARABLE</v>
      </c>
      <c r="T656" s="18" t="str">
        <f aca="false">VLOOKUP(P656,Sheet2!Q:R,2,0)</f>
        <v>IR Normal - BER to IR</v>
      </c>
      <c r="U656" s="20" t="s">
        <v>135</v>
      </c>
      <c r="V656" s="17" t="n">
        <v>12</v>
      </c>
      <c r="W656" s="20" t="str">
        <f aca="false">VLOOKUP(V656,Sheet2!Q:R,2,0)</f>
        <v>IR Normal - BER to IR</v>
      </c>
      <c r="X656" s="17" t="str">
        <f aca="false">J656</f>
        <v>A018</v>
      </c>
      <c r="Y656" s="17" t="str">
        <f aca="false">VLOOKUP(X656,Sheet2!A:B,2,0)</f>
        <v>PRAKASH CHAVDA</v>
      </c>
      <c r="Z656" s="17" t="s">
        <v>136</v>
      </c>
      <c r="AA656" s="17" t="s">
        <v>413</v>
      </c>
      <c r="AB656" s="17" t="s">
        <v>41</v>
      </c>
      <c r="AC656" s="0" t="str">
        <f aca="false">LEFT(G656,2)</f>
        <v>13</v>
      </c>
      <c r="AD656" s="0"/>
      <c r="AE656" s="21" t="s">
        <v>42</v>
      </c>
    </row>
    <row r="657" customFormat="false" ht="15" hidden="false" customHeight="false" outlineLevel="0" collapsed="false">
      <c r="A657" s="13" t="n">
        <f aca="false">1+A656</f>
        <v>655</v>
      </c>
      <c r="B657" s="17" t="n">
        <v>1009569936</v>
      </c>
      <c r="C657" s="17" t="s">
        <v>102</v>
      </c>
      <c r="D657" s="17" t="s">
        <v>64</v>
      </c>
      <c r="E657" s="17" t="s">
        <v>64</v>
      </c>
      <c r="F657" s="18" t="s">
        <v>70</v>
      </c>
      <c r="G657" s="19" t="n">
        <v>134230235191</v>
      </c>
      <c r="H657" s="17" t="s">
        <v>134</v>
      </c>
      <c r="I657" s="17" t="s">
        <v>44</v>
      </c>
      <c r="J657" s="17" t="s">
        <v>106</v>
      </c>
      <c r="K657" s="17" t="str">
        <f aca="false">VLOOKUP(J657,Sheet2!A:B,2,0)</f>
        <v>PRAKASH CHAVDA</v>
      </c>
      <c r="L657" s="17" t="n">
        <v>5</v>
      </c>
      <c r="M657" s="17" t="str">
        <f aca="false">VLOOKUP(L657,Sheet2!D:E,2,0)</f>
        <v>Main Processor CPU BGA</v>
      </c>
      <c r="N657" s="17" t="n">
        <v>24</v>
      </c>
      <c r="O657" s="17" t="str">
        <f aca="false">VLOOKUP(N657,Sheet2!G:H,2,0)</f>
        <v>STB Auto moving -Stand by mode</v>
      </c>
      <c r="P657" s="17" t="n">
        <v>12</v>
      </c>
      <c r="Q657" s="17" t="str">
        <f aca="false">VLOOKUP(P657,Sheet2!J:K,2,0)</f>
        <v>IR Declared due to Others ( IR Normal)TB</v>
      </c>
      <c r="R657" s="17" t="s">
        <v>35</v>
      </c>
      <c r="S657" s="17" t="str">
        <f aca="false">VLOOKUP(R657,Sheet2!N:O,2,0)</f>
        <v>IREPARABLE</v>
      </c>
      <c r="T657" s="18" t="str">
        <f aca="false">VLOOKUP(P657,Sheet2!Q:R,2,0)</f>
        <v>IR Normal - BER to IR</v>
      </c>
      <c r="U657" s="20" t="s">
        <v>135</v>
      </c>
      <c r="V657" s="17" t="n">
        <v>12</v>
      </c>
      <c r="W657" s="20" t="str">
        <f aca="false">VLOOKUP(V657,Sheet2!Q:R,2,0)</f>
        <v>IR Normal - BER to IR</v>
      </c>
      <c r="X657" s="17" t="str">
        <f aca="false">J657</f>
        <v>A018</v>
      </c>
      <c r="Y657" s="17" t="str">
        <f aca="false">VLOOKUP(X657,Sheet2!A:B,2,0)</f>
        <v>PRAKASH CHAVDA</v>
      </c>
      <c r="Z657" s="17" t="s">
        <v>136</v>
      </c>
      <c r="AA657" s="17" t="s">
        <v>413</v>
      </c>
      <c r="AB657" s="17" t="s">
        <v>41</v>
      </c>
      <c r="AC657" s="0" t="str">
        <f aca="false">LEFT(G657,2)</f>
        <v>13</v>
      </c>
      <c r="AD657" s="0"/>
      <c r="AE657" s="21" t="s">
        <v>42</v>
      </c>
    </row>
    <row r="658" customFormat="false" ht="15" hidden="false" customHeight="false" outlineLevel="0" collapsed="false">
      <c r="A658" s="13" t="n">
        <f aca="false">1+A657</f>
        <v>656</v>
      </c>
      <c r="B658" s="17" t="n">
        <v>1009091538</v>
      </c>
      <c r="C658" s="17" t="s">
        <v>414</v>
      </c>
      <c r="D658" s="17" t="s">
        <v>64</v>
      </c>
      <c r="E658" s="17" t="s">
        <v>64</v>
      </c>
      <c r="F658" s="18" t="s">
        <v>70</v>
      </c>
      <c r="G658" s="19" t="n">
        <v>134063139049</v>
      </c>
      <c r="H658" s="17" t="s">
        <v>134</v>
      </c>
      <c r="I658" s="17" t="s">
        <v>44</v>
      </c>
      <c r="J658" s="17" t="s">
        <v>106</v>
      </c>
      <c r="K658" s="17" t="str">
        <f aca="false">VLOOKUP(J658,Sheet2!A:B,2,0)</f>
        <v>PRAKASH CHAVDA</v>
      </c>
      <c r="L658" s="17" t="n">
        <v>5</v>
      </c>
      <c r="M658" s="17" t="str">
        <f aca="false">VLOOKUP(L658,Sheet2!D:E,2,0)</f>
        <v>Main Processor CPU BGA</v>
      </c>
      <c r="N658" s="17" t="n">
        <v>1</v>
      </c>
      <c r="O658" s="17" t="str">
        <f aca="false">VLOOKUP(N658,Sheet2!G:H,2,0)</f>
        <v>Dead</v>
      </c>
      <c r="P658" s="17" t="n">
        <v>12</v>
      </c>
      <c r="Q658" s="17" t="str">
        <f aca="false">VLOOKUP(P658,Sheet2!J:K,2,0)</f>
        <v>IR Declared due to Others ( IR Normal)TB</v>
      </c>
      <c r="R658" s="17" t="s">
        <v>35</v>
      </c>
      <c r="S658" s="17" t="str">
        <f aca="false">VLOOKUP(R658,Sheet2!N:O,2,0)</f>
        <v>IREPARABLE</v>
      </c>
      <c r="T658" s="18" t="str">
        <f aca="false">VLOOKUP(P658,Sheet2!Q:R,2,0)</f>
        <v>IR Normal - BER to IR</v>
      </c>
      <c r="U658" s="20" t="s">
        <v>135</v>
      </c>
      <c r="V658" s="17" t="n">
        <v>12</v>
      </c>
      <c r="W658" s="20" t="str">
        <f aca="false">VLOOKUP(V658,Sheet2!Q:R,2,0)</f>
        <v>IR Normal - BER to IR</v>
      </c>
      <c r="X658" s="17" t="str">
        <f aca="false">J658</f>
        <v>A018</v>
      </c>
      <c r="Y658" s="17" t="str">
        <f aca="false">VLOOKUP(X658,Sheet2!A:B,2,0)</f>
        <v>PRAKASH CHAVDA</v>
      </c>
      <c r="Z658" s="17" t="s">
        <v>136</v>
      </c>
      <c r="AA658" s="17" t="s">
        <v>413</v>
      </c>
      <c r="AB658" s="17" t="s">
        <v>41</v>
      </c>
      <c r="AC658" s="0" t="str">
        <f aca="false">LEFT(G658,2)</f>
        <v>13</v>
      </c>
      <c r="AD658" s="0"/>
      <c r="AE658" s="21" t="s">
        <v>42</v>
      </c>
    </row>
    <row r="659" customFormat="false" ht="15" hidden="false" customHeight="false" outlineLevel="0" collapsed="false">
      <c r="A659" s="13" t="n">
        <f aca="false">1+A658</f>
        <v>657</v>
      </c>
      <c r="B659" s="17" t="n">
        <v>1009387475</v>
      </c>
      <c r="C659" s="17" t="s">
        <v>423</v>
      </c>
      <c r="D659" s="17" t="s">
        <v>64</v>
      </c>
      <c r="E659" s="17" t="s">
        <v>424</v>
      </c>
      <c r="F659" s="18" t="s">
        <v>34</v>
      </c>
      <c r="G659" s="19" t="n">
        <v>134255029271</v>
      </c>
      <c r="H659" s="17" t="s">
        <v>134</v>
      </c>
      <c r="I659" s="17" t="s">
        <v>44</v>
      </c>
      <c r="J659" s="17" t="s">
        <v>106</v>
      </c>
      <c r="K659" s="17" t="str">
        <f aca="false">VLOOKUP(J659,Sheet2!A:B,2,0)</f>
        <v>PRAKASH CHAVDA</v>
      </c>
      <c r="L659" s="17" t="n">
        <v>5</v>
      </c>
      <c r="M659" s="17" t="str">
        <f aca="false">VLOOKUP(L659,Sheet2!D:E,2,0)</f>
        <v>Main Processor CPU BGA</v>
      </c>
      <c r="N659" s="17" t="n">
        <v>33</v>
      </c>
      <c r="O659" s="17" t="str">
        <f aca="false">VLOOKUP(N659,Sheet2!G:H,2,0)</f>
        <v>Software download failure</v>
      </c>
      <c r="P659" s="17" t="n">
        <v>12</v>
      </c>
      <c r="Q659" s="17" t="str">
        <f aca="false">VLOOKUP(P659,Sheet2!J:K,2,0)</f>
        <v>IR Declared due to Others ( IR Normal)TB</v>
      </c>
      <c r="R659" s="17" t="s">
        <v>35</v>
      </c>
      <c r="S659" s="17" t="str">
        <f aca="false">VLOOKUP(R659,Sheet2!N:O,2,0)</f>
        <v>IREPARABLE</v>
      </c>
      <c r="T659" s="18" t="str">
        <f aca="false">VLOOKUP(P659,Sheet2!Q:R,2,0)</f>
        <v>IR Normal - BER to IR</v>
      </c>
      <c r="U659" s="20" t="s">
        <v>135</v>
      </c>
      <c r="V659" s="17" t="n">
        <v>12</v>
      </c>
      <c r="W659" s="20" t="str">
        <f aca="false">VLOOKUP(V659,Sheet2!Q:R,2,0)</f>
        <v>IR Normal - BER to IR</v>
      </c>
      <c r="X659" s="17" t="str">
        <f aca="false">J659</f>
        <v>A018</v>
      </c>
      <c r="Y659" s="17" t="str">
        <f aca="false">VLOOKUP(X659,Sheet2!A:B,2,0)</f>
        <v>PRAKASH CHAVDA</v>
      </c>
      <c r="Z659" s="17" t="s">
        <v>136</v>
      </c>
      <c r="AA659" s="17" t="s">
        <v>413</v>
      </c>
      <c r="AB659" s="17" t="s">
        <v>41</v>
      </c>
      <c r="AC659" s="0" t="str">
        <f aca="false">LEFT(G659,2)</f>
        <v>13</v>
      </c>
      <c r="AD659" s="0"/>
      <c r="AE659" s="21" t="s">
        <v>42</v>
      </c>
    </row>
    <row r="660" customFormat="false" ht="15" hidden="false" customHeight="false" outlineLevel="0" collapsed="false">
      <c r="A660" s="13" t="n">
        <f aca="false">1+A659</f>
        <v>658</v>
      </c>
      <c r="B660" s="17" t="n">
        <v>1009091515</v>
      </c>
      <c r="C660" s="17" t="s">
        <v>414</v>
      </c>
      <c r="D660" s="17" t="s">
        <v>64</v>
      </c>
      <c r="E660" s="17" t="s">
        <v>33</v>
      </c>
      <c r="F660" s="18" t="s">
        <v>34</v>
      </c>
      <c r="G660" s="19" t="n">
        <v>134106011528</v>
      </c>
      <c r="H660" s="17" t="s">
        <v>134</v>
      </c>
      <c r="I660" s="17" t="s">
        <v>44</v>
      </c>
      <c r="J660" s="17" t="s">
        <v>106</v>
      </c>
      <c r="K660" s="17" t="str">
        <f aca="false">VLOOKUP(J660,Sheet2!A:B,2,0)</f>
        <v>PRAKASH CHAVDA</v>
      </c>
      <c r="L660" s="17" t="n">
        <v>5</v>
      </c>
      <c r="M660" s="17" t="str">
        <f aca="false">VLOOKUP(L660,Sheet2!D:E,2,0)</f>
        <v>Main Processor CPU BGA</v>
      </c>
      <c r="N660" s="17" t="n">
        <v>24</v>
      </c>
      <c r="O660" s="17" t="str">
        <f aca="false">VLOOKUP(N660,Sheet2!G:H,2,0)</f>
        <v>STB Auto moving -Stand by mode</v>
      </c>
      <c r="P660" s="17" t="n">
        <v>12</v>
      </c>
      <c r="Q660" s="17" t="str">
        <f aca="false">VLOOKUP(P660,Sheet2!J:K,2,0)</f>
        <v>IR Declared due to Others ( IR Normal)TB</v>
      </c>
      <c r="R660" s="17" t="s">
        <v>35</v>
      </c>
      <c r="S660" s="17" t="str">
        <f aca="false">VLOOKUP(R660,Sheet2!N:O,2,0)</f>
        <v>IREPARABLE</v>
      </c>
      <c r="T660" s="18" t="str">
        <f aca="false">VLOOKUP(P660,Sheet2!Q:R,2,0)</f>
        <v>IR Normal - BER to IR</v>
      </c>
      <c r="U660" s="20" t="s">
        <v>135</v>
      </c>
      <c r="V660" s="17" t="n">
        <v>12</v>
      </c>
      <c r="W660" s="20" t="str">
        <f aca="false">VLOOKUP(V660,Sheet2!Q:R,2,0)</f>
        <v>IR Normal - BER to IR</v>
      </c>
      <c r="X660" s="17" t="str">
        <f aca="false">J660</f>
        <v>A018</v>
      </c>
      <c r="Y660" s="17" t="str">
        <f aca="false">VLOOKUP(X660,Sheet2!A:B,2,0)</f>
        <v>PRAKASH CHAVDA</v>
      </c>
      <c r="Z660" s="17" t="s">
        <v>136</v>
      </c>
      <c r="AA660" s="17" t="s">
        <v>413</v>
      </c>
      <c r="AB660" s="17" t="s">
        <v>41</v>
      </c>
      <c r="AC660" s="0" t="str">
        <f aca="false">LEFT(G660,2)</f>
        <v>13</v>
      </c>
      <c r="AD660" s="0"/>
      <c r="AE660" s="21" t="s">
        <v>42</v>
      </c>
    </row>
    <row r="661" customFormat="false" ht="15" hidden="false" customHeight="false" outlineLevel="0" collapsed="false">
      <c r="A661" s="13" t="n">
        <f aca="false">1+A660</f>
        <v>659</v>
      </c>
      <c r="B661" s="17" t="n">
        <v>1009091757</v>
      </c>
      <c r="C661" s="17" t="s">
        <v>414</v>
      </c>
      <c r="D661" s="17" t="s">
        <v>64</v>
      </c>
      <c r="E661" s="17" t="s">
        <v>64</v>
      </c>
      <c r="F661" s="18" t="s">
        <v>70</v>
      </c>
      <c r="G661" s="19" t="n">
        <v>134063003328</v>
      </c>
      <c r="H661" s="17" t="s">
        <v>134</v>
      </c>
      <c r="I661" s="17" t="s">
        <v>44</v>
      </c>
      <c r="J661" s="17" t="s">
        <v>106</v>
      </c>
      <c r="K661" s="17" t="str">
        <f aca="false">VLOOKUP(J661,Sheet2!A:B,2,0)</f>
        <v>PRAKASH CHAVDA</v>
      </c>
      <c r="L661" s="17" t="n">
        <v>5</v>
      </c>
      <c r="M661" s="17" t="str">
        <f aca="false">VLOOKUP(L661,Sheet2!D:E,2,0)</f>
        <v>Main Processor CPU BGA</v>
      </c>
      <c r="N661" s="17" t="n">
        <v>1</v>
      </c>
      <c r="O661" s="17" t="str">
        <f aca="false">VLOOKUP(N661,Sheet2!G:H,2,0)</f>
        <v>Dead</v>
      </c>
      <c r="P661" s="17" t="n">
        <v>12</v>
      </c>
      <c r="Q661" s="17" t="str">
        <f aca="false">VLOOKUP(P661,Sheet2!J:K,2,0)</f>
        <v>IR Declared due to Others ( IR Normal)TB</v>
      </c>
      <c r="R661" s="17" t="s">
        <v>35</v>
      </c>
      <c r="S661" s="17" t="str">
        <f aca="false">VLOOKUP(R661,Sheet2!N:O,2,0)</f>
        <v>IREPARABLE</v>
      </c>
      <c r="T661" s="18" t="str">
        <f aca="false">VLOOKUP(P661,Sheet2!Q:R,2,0)</f>
        <v>IR Normal - BER to IR</v>
      </c>
      <c r="U661" s="20" t="s">
        <v>135</v>
      </c>
      <c r="V661" s="17" t="n">
        <v>12</v>
      </c>
      <c r="W661" s="20" t="str">
        <f aca="false">VLOOKUP(V661,Sheet2!Q:R,2,0)</f>
        <v>IR Normal - BER to IR</v>
      </c>
      <c r="X661" s="17" t="str">
        <f aca="false">J661</f>
        <v>A018</v>
      </c>
      <c r="Y661" s="17" t="str">
        <f aca="false">VLOOKUP(X661,Sheet2!A:B,2,0)</f>
        <v>PRAKASH CHAVDA</v>
      </c>
      <c r="Z661" s="17" t="s">
        <v>136</v>
      </c>
      <c r="AA661" s="17" t="s">
        <v>413</v>
      </c>
      <c r="AB661" s="17" t="s">
        <v>41</v>
      </c>
      <c r="AC661" s="0" t="str">
        <f aca="false">LEFT(G661,2)</f>
        <v>13</v>
      </c>
      <c r="AD661" s="0"/>
      <c r="AE661" s="21" t="s">
        <v>42</v>
      </c>
    </row>
    <row r="662" customFormat="false" ht="15" hidden="false" customHeight="false" outlineLevel="0" collapsed="false">
      <c r="A662" s="13" t="n">
        <f aca="false">1+A661</f>
        <v>660</v>
      </c>
      <c r="B662" s="17" t="n">
        <v>1009091889</v>
      </c>
      <c r="C662" s="17" t="s">
        <v>414</v>
      </c>
      <c r="D662" s="17" t="s">
        <v>64</v>
      </c>
      <c r="E662" s="17" t="s">
        <v>47</v>
      </c>
      <c r="F662" s="18" t="s">
        <v>34</v>
      </c>
      <c r="G662" s="19" t="n">
        <v>134230501378</v>
      </c>
      <c r="H662" s="17" t="s">
        <v>134</v>
      </c>
      <c r="I662" s="17" t="s">
        <v>44</v>
      </c>
      <c r="J662" s="17" t="s">
        <v>106</v>
      </c>
      <c r="K662" s="17" t="str">
        <f aca="false">VLOOKUP(J662,Sheet2!A:B,2,0)</f>
        <v>PRAKASH CHAVDA</v>
      </c>
      <c r="L662" s="17" t="n">
        <v>5</v>
      </c>
      <c r="M662" s="17" t="str">
        <f aca="false">VLOOKUP(L662,Sheet2!D:E,2,0)</f>
        <v>Main Processor CPU BGA</v>
      </c>
      <c r="N662" s="17" t="n">
        <v>1</v>
      </c>
      <c r="O662" s="17" t="str">
        <f aca="false">VLOOKUP(N662,Sheet2!G:H,2,0)</f>
        <v>Dead</v>
      </c>
      <c r="P662" s="17" t="n">
        <v>12</v>
      </c>
      <c r="Q662" s="17" t="str">
        <f aca="false">VLOOKUP(P662,Sheet2!J:K,2,0)</f>
        <v>IR Declared due to Others ( IR Normal)TB</v>
      </c>
      <c r="R662" s="17" t="s">
        <v>35</v>
      </c>
      <c r="S662" s="17" t="str">
        <f aca="false">VLOOKUP(R662,Sheet2!N:O,2,0)</f>
        <v>IREPARABLE</v>
      </c>
      <c r="T662" s="18" t="str">
        <f aca="false">VLOOKUP(P662,Sheet2!Q:R,2,0)</f>
        <v>IR Normal - BER to IR</v>
      </c>
      <c r="U662" s="20" t="s">
        <v>135</v>
      </c>
      <c r="V662" s="17" t="n">
        <v>12</v>
      </c>
      <c r="W662" s="20" t="str">
        <f aca="false">VLOOKUP(V662,Sheet2!Q:R,2,0)</f>
        <v>IR Normal - BER to IR</v>
      </c>
      <c r="X662" s="17" t="str">
        <f aca="false">J662</f>
        <v>A018</v>
      </c>
      <c r="Y662" s="17" t="str">
        <f aca="false">VLOOKUP(X662,Sheet2!A:B,2,0)</f>
        <v>PRAKASH CHAVDA</v>
      </c>
      <c r="Z662" s="17" t="s">
        <v>136</v>
      </c>
      <c r="AA662" s="17" t="s">
        <v>413</v>
      </c>
      <c r="AB662" s="17" t="s">
        <v>41</v>
      </c>
      <c r="AC662" s="0" t="str">
        <f aca="false">LEFT(G662,2)</f>
        <v>13</v>
      </c>
      <c r="AD662" s="0"/>
      <c r="AE662" s="21" t="s">
        <v>42</v>
      </c>
    </row>
    <row r="663" customFormat="false" ht="15" hidden="false" customHeight="false" outlineLevel="0" collapsed="false">
      <c r="A663" s="13" t="n">
        <f aca="false">1+A662</f>
        <v>661</v>
      </c>
      <c r="B663" s="17" t="n">
        <v>1009091774</v>
      </c>
      <c r="C663" s="17" t="s">
        <v>414</v>
      </c>
      <c r="D663" s="17" t="s">
        <v>64</v>
      </c>
      <c r="E663" s="17" t="s">
        <v>47</v>
      </c>
      <c r="F663" s="18" t="s">
        <v>34</v>
      </c>
      <c r="G663" s="19" t="n">
        <v>134283332556</v>
      </c>
      <c r="H663" s="17" t="s">
        <v>134</v>
      </c>
      <c r="I663" s="17" t="s">
        <v>44</v>
      </c>
      <c r="J663" s="17" t="s">
        <v>106</v>
      </c>
      <c r="K663" s="17" t="str">
        <f aca="false">VLOOKUP(J663,Sheet2!A:B,2,0)</f>
        <v>PRAKASH CHAVDA</v>
      </c>
      <c r="L663" s="17" t="n">
        <v>5</v>
      </c>
      <c r="M663" s="17" t="str">
        <f aca="false">VLOOKUP(L663,Sheet2!D:E,2,0)</f>
        <v>Main Processor CPU BGA</v>
      </c>
      <c r="N663" s="17" t="n">
        <v>1</v>
      </c>
      <c r="O663" s="17" t="str">
        <f aca="false">VLOOKUP(N663,Sheet2!G:H,2,0)</f>
        <v>Dead</v>
      </c>
      <c r="P663" s="17" t="n">
        <v>12</v>
      </c>
      <c r="Q663" s="17" t="str">
        <f aca="false">VLOOKUP(P663,Sheet2!J:K,2,0)</f>
        <v>IR Declared due to Others ( IR Normal)TB</v>
      </c>
      <c r="R663" s="17" t="s">
        <v>35</v>
      </c>
      <c r="S663" s="17" t="str">
        <f aca="false">VLOOKUP(R663,Sheet2!N:O,2,0)</f>
        <v>IREPARABLE</v>
      </c>
      <c r="T663" s="18" t="str">
        <f aca="false">VLOOKUP(P663,Sheet2!Q:R,2,0)</f>
        <v>IR Normal - BER to IR</v>
      </c>
      <c r="U663" s="20" t="s">
        <v>135</v>
      </c>
      <c r="V663" s="17" t="n">
        <v>12</v>
      </c>
      <c r="W663" s="20" t="str">
        <f aca="false">VLOOKUP(V663,Sheet2!Q:R,2,0)</f>
        <v>IR Normal - BER to IR</v>
      </c>
      <c r="X663" s="17" t="str">
        <f aca="false">J663</f>
        <v>A018</v>
      </c>
      <c r="Y663" s="17" t="str">
        <f aca="false">VLOOKUP(X663,Sheet2!A:B,2,0)</f>
        <v>PRAKASH CHAVDA</v>
      </c>
      <c r="Z663" s="17" t="s">
        <v>136</v>
      </c>
      <c r="AA663" s="17" t="s">
        <v>413</v>
      </c>
      <c r="AB663" s="17" t="s">
        <v>41</v>
      </c>
      <c r="AC663" s="0" t="str">
        <f aca="false">LEFT(G663,2)</f>
        <v>13</v>
      </c>
      <c r="AD663" s="0"/>
      <c r="AE663" s="21" t="s">
        <v>42</v>
      </c>
    </row>
    <row r="664" customFormat="false" ht="15" hidden="false" customHeight="false" outlineLevel="0" collapsed="false">
      <c r="A664" s="13" t="n">
        <f aca="false">1+A663</f>
        <v>662</v>
      </c>
      <c r="B664" s="17" t="n">
        <v>1009599975</v>
      </c>
      <c r="C664" s="17" t="s">
        <v>425</v>
      </c>
      <c r="D664" s="17" t="s">
        <v>64</v>
      </c>
      <c r="E664" s="17" t="s">
        <v>91</v>
      </c>
      <c r="F664" s="18" t="s">
        <v>92</v>
      </c>
      <c r="G664" s="19" t="n">
        <v>134211045395</v>
      </c>
      <c r="H664" s="17" t="s">
        <v>134</v>
      </c>
      <c r="I664" s="17" t="s">
        <v>44</v>
      </c>
      <c r="J664" s="17" t="s">
        <v>106</v>
      </c>
      <c r="K664" s="17" t="str">
        <f aca="false">VLOOKUP(J664,Sheet2!A:B,2,0)</f>
        <v>PRAKASH CHAVDA</v>
      </c>
      <c r="L664" s="17" t="n">
        <v>5</v>
      </c>
      <c r="M664" s="17" t="str">
        <f aca="false">VLOOKUP(L664,Sheet2!D:E,2,0)</f>
        <v>Main Processor CPU BGA</v>
      </c>
      <c r="N664" s="17" t="n">
        <v>24</v>
      </c>
      <c r="O664" s="17" t="str">
        <f aca="false">VLOOKUP(N664,Sheet2!G:H,2,0)</f>
        <v>STB Auto moving -Stand by mode</v>
      </c>
      <c r="P664" s="17" t="n">
        <v>12</v>
      </c>
      <c r="Q664" s="17" t="str">
        <f aca="false">VLOOKUP(P664,Sheet2!J:K,2,0)</f>
        <v>IR Declared due to Others ( IR Normal)TB</v>
      </c>
      <c r="R664" s="17" t="s">
        <v>35</v>
      </c>
      <c r="S664" s="17" t="str">
        <f aca="false">VLOOKUP(R664,Sheet2!N:O,2,0)</f>
        <v>IREPARABLE</v>
      </c>
      <c r="T664" s="18" t="str">
        <f aca="false">VLOOKUP(P664,Sheet2!Q:R,2,0)</f>
        <v>IR Normal - BER to IR</v>
      </c>
      <c r="U664" s="20" t="s">
        <v>135</v>
      </c>
      <c r="V664" s="17" t="n">
        <v>12</v>
      </c>
      <c r="W664" s="20" t="str">
        <f aca="false">VLOOKUP(V664,Sheet2!Q:R,2,0)</f>
        <v>IR Normal - BER to IR</v>
      </c>
      <c r="X664" s="17" t="str">
        <f aca="false">J664</f>
        <v>A018</v>
      </c>
      <c r="Y664" s="17" t="str">
        <f aca="false">VLOOKUP(X664,Sheet2!A:B,2,0)</f>
        <v>PRAKASH CHAVDA</v>
      </c>
      <c r="Z664" s="17" t="s">
        <v>136</v>
      </c>
      <c r="AA664" s="17" t="s">
        <v>413</v>
      </c>
      <c r="AB664" s="17" t="s">
        <v>41</v>
      </c>
      <c r="AC664" s="0" t="str">
        <f aca="false">LEFT(G664,2)</f>
        <v>13</v>
      </c>
      <c r="AD664" s="0"/>
      <c r="AE664" s="21" t="s">
        <v>42</v>
      </c>
    </row>
    <row r="665" customFormat="false" ht="15" hidden="false" customHeight="false" outlineLevel="0" collapsed="false">
      <c r="A665" s="13" t="n">
        <f aca="false">1+A664</f>
        <v>663</v>
      </c>
      <c r="B665" s="17" t="n">
        <v>1009092107</v>
      </c>
      <c r="C665" s="17" t="s">
        <v>414</v>
      </c>
      <c r="D665" s="17" t="s">
        <v>64</v>
      </c>
      <c r="E665" s="17" t="s">
        <v>64</v>
      </c>
      <c r="F665" s="18" t="s">
        <v>70</v>
      </c>
      <c r="G665" s="19" t="n">
        <v>134268077929</v>
      </c>
      <c r="H665" s="17" t="s">
        <v>134</v>
      </c>
      <c r="I665" s="17" t="s">
        <v>44</v>
      </c>
      <c r="J665" s="17" t="s">
        <v>106</v>
      </c>
      <c r="K665" s="17" t="str">
        <f aca="false">VLOOKUP(J665,Sheet2!A:B,2,0)</f>
        <v>PRAKASH CHAVDA</v>
      </c>
      <c r="L665" s="17" t="n">
        <v>5</v>
      </c>
      <c r="M665" s="17" t="str">
        <f aca="false">VLOOKUP(L665,Sheet2!D:E,2,0)</f>
        <v>Main Processor CPU BGA</v>
      </c>
      <c r="N665" s="17" t="n">
        <v>1</v>
      </c>
      <c r="O665" s="17" t="str">
        <f aca="false">VLOOKUP(N665,Sheet2!G:H,2,0)</f>
        <v>Dead</v>
      </c>
      <c r="P665" s="17" t="n">
        <v>12</v>
      </c>
      <c r="Q665" s="17" t="str">
        <f aca="false">VLOOKUP(P665,Sheet2!J:K,2,0)</f>
        <v>IR Declared due to Others ( IR Normal)TB</v>
      </c>
      <c r="R665" s="17" t="s">
        <v>35</v>
      </c>
      <c r="S665" s="17" t="str">
        <f aca="false">VLOOKUP(R665,Sheet2!N:O,2,0)</f>
        <v>IREPARABLE</v>
      </c>
      <c r="T665" s="18" t="str">
        <f aca="false">VLOOKUP(P665,Sheet2!Q:R,2,0)</f>
        <v>IR Normal - BER to IR</v>
      </c>
      <c r="U665" s="20" t="s">
        <v>135</v>
      </c>
      <c r="V665" s="17" t="n">
        <v>12</v>
      </c>
      <c r="W665" s="20" t="str">
        <f aca="false">VLOOKUP(V665,Sheet2!Q:R,2,0)</f>
        <v>IR Normal - BER to IR</v>
      </c>
      <c r="X665" s="17" t="str">
        <f aca="false">J665</f>
        <v>A018</v>
      </c>
      <c r="Y665" s="17" t="str">
        <f aca="false">VLOOKUP(X665,Sheet2!A:B,2,0)</f>
        <v>PRAKASH CHAVDA</v>
      </c>
      <c r="Z665" s="17" t="s">
        <v>136</v>
      </c>
      <c r="AA665" s="17" t="s">
        <v>413</v>
      </c>
      <c r="AB665" s="17" t="s">
        <v>41</v>
      </c>
      <c r="AC665" s="0" t="str">
        <f aca="false">LEFT(G665,2)</f>
        <v>13</v>
      </c>
      <c r="AD665" s="0"/>
      <c r="AE665" s="21" t="s">
        <v>42</v>
      </c>
    </row>
    <row r="666" customFormat="false" ht="15" hidden="false" customHeight="false" outlineLevel="0" collapsed="false">
      <c r="A666" s="13" t="n">
        <f aca="false">1+A665</f>
        <v>664</v>
      </c>
      <c r="B666" s="17" t="n">
        <v>1009092164</v>
      </c>
      <c r="C666" s="17" t="s">
        <v>414</v>
      </c>
      <c r="D666" s="17" t="s">
        <v>64</v>
      </c>
      <c r="E666" s="17" t="s">
        <v>47</v>
      </c>
      <c r="F666" s="18" t="s">
        <v>34</v>
      </c>
      <c r="G666" s="19" t="n">
        <v>134106218164</v>
      </c>
      <c r="H666" s="17" t="s">
        <v>134</v>
      </c>
      <c r="I666" s="17" t="s">
        <v>44</v>
      </c>
      <c r="J666" s="17" t="s">
        <v>106</v>
      </c>
      <c r="K666" s="17" t="str">
        <f aca="false">VLOOKUP(J666,Sheet2!A:B,2,0)</f>
        <v>PRAKASH CHAVDA</v>
      </c>
      <c r="L666" s="17" t="n">
        <v>5</v>
      </c>
      <c r="M666" s="17" t="str">
        <f aca="false">VLOOKUP(L666,Sheet2!D:E,2,0)</f>
        <v>Main Processor CPU BGA</v>
      </c>
      <c r="N666" s="17" t="n">
        <v>1</v>
      </c>
      <c r="O666" s="17" t="str">
        <f aca="false">VLOOKUP(N666,Sheet2!G:H,2,0)</f>
        <v>Dead</v>
      </c>
      <c r="P666" s="17" t="n">
        <v>12</v>
      </c>
      <c r="Q666" s="17" t="str">
        <f aca="false">VLOOKUP(P666,Sheet2!J:K,2,0)</f>
        <v>IR Declared due to Others ( IR Normal)TB</v>
      </c>
      <c r="R666" s="17" t="s">
        <v>35</v>
      </c>
      <c r="S666" s="17" t="str">
        <f aca="false">VLOOKUP(R666,Sheet2!N:O,2,0)</f>
        <v>IREPARABLE</v>
      </c>
      <c r="T666" s="18" t="str">
        <f aca="false">VLOOKUP(P666,Sheet2!Q:R,2,0)</f>
        <v>IR Normal - BER to IR</v>
      </c>
      <c r="U666" s="20" t="s">
        <v>135</v>
      </c>
      <c r="V666" s="17" t="n">
        <v>12</v>
      </c>
      <c r="W666" s="20" t="str">
        <f aca="false">VLOOKUP(V666,Sheet2!Q:R,2,0)</f>
        <v>IR Normal - BER to IR</v>
      </c>
      <c r="X666" s="17" t="str">
        <f aca="false">J666</f>
        <v>A018</v>
      </c>
      <c r="Y666" s="17" t="str">
        <f aca="false">VLOOKUP(X666,Sheet2!A:B,2,0)</f>
        <v>PRAKASH CHAVDA</v>
      </c>
      <c r="Z666" s="17" t="s">
        <v>136</v>
      </c>
      <c r="AA666" s="17" t="s">
        <v>413</v>
      </c>
      <c r="AB666" s="17" t="s">
        <v>41</v>
      </c>
      <c r="AC666" s="0" t="str">
        <f aca="false">LEFT(G666,2)</f>
        <v>13</v>
      </c>
      <c r="AD666" s="0"/>
      <c r="AE666" s="21" t="s">
        <v>42</v>
      </c>
    </row>
    <row r="667" customFormat="false" ht="15" hidden="false" customHeight="false" outlineLevel="0" collapsed="false">
      <c r="A667" s="13" t="n">
        <f aca="false">1+A666</f>
        <v>665</v>
      </c>
      <c r="B667" s="17" t="n">
        <v>1009091829</v>
      </c>
      <c r="C667" s="17" t="s">
        <v>414</v>
      </c>
      <c r="D667" s="17" t="s">
        <v>64</v>
      </c>
      <c r="E667" s="17" t="s">
        <v>33</v>
      </c>
      <c r="F667" s="18" t="s">
        <v>34</v>
      </c>
      <c r="G667" s="19" t="n">
        <v>134283355904</v>
      </c>
      <c r="H667" s="17" t="s">
        <v>134</v>
      </c>
      <c r="I667" s="17" t="s">
        <v>44</v>
      </c>
      <c r="J667" s="17" t="s">
        <v>106</v>
      </c>
      <c r="K667" s="17" t="str">
        <f aca="false">VLOOKUP(J667,Sheet2!A:B,2,0)</f>
        <v>PRAKASH CHAVDA</v>
      </c>
      <c r="L667" s="17" t="n">
        <v>5</v>
      </c>
      <c r="M667" s="17" t="str">
        <f aca="false">VLOOKUP(L667,Sheet2!D:E,2,0)</f>
        <v>Main Processor CPU BGA</v>
      </c>
      <c r="N667" s="17" t="n">
        <v>1</v>
      </c>
      <c r="O667" s="17" t="str">
        <f aca="false">VLOOKUP(N667,Sheet2!G:H,2,0)</f>
        <v>Dead</v>
      </c>
      <c r="P667" s="17" t="n">
        <v>12</v>
      </c>
      <c r="Q667" s="17" t="str">
        <f aca="false">VLOOKUP(P667,Sheet2!J:K,2,0)</f>
        <v>IR Declared due to Others ( IR Normal)TB</v>
      </c>
      <c r="R667" s="17" t="s">
        <v>35</v>
      </c>
      <c r="S667" s="17" t="str">
        <f aca="false">VLOOKUP(R667,Sheet2!N:O,2,0)</f>
        <v>IREPARABLE</v>
      </c>
      <c r="T667" s="18" t="str">
        <f aca="false">VLOOKUP(P667,Sheet2!Q:R,2,0)</f>
        <v>IR Normal - BER to IR</v>
      </c>
      <c r="U667" s="20" t="s">
        <v>135</v>
      </c>
      <c r="V667" s="17" t="n">
        <v>12</v>
      </c>
      <c r="W667" s="20" t="str">
        <f aca="false">VLOOKUP(V667,Sheet2!Q:R,2,0)</f>
        <v>IR Normal - BER to IR</v>
      </c>
      <c r="X667" s="17" t="str">
        <f aca="false">J667</f>
        <v>A018</v>
      </c>
      <c r="Y667" s="17" t="str">
        <f aca="false">VLOOKUP(X667,Sheet2!A:B,2,0)</f>
        <v>PRAKASH CHAVDA</v>
      </c>
      <c r="Z667" s="17" t="s">
        <v>136</v>
      </c>
      <c r="AA667" s="17" t="s">
        <v>413</v>
      </c>
      <c r="AB667" s="17" t="s">
        <v>41</v>
      </c>
      <c r="AC667" s="0" t="str">
        <f aca="false">LEFT(G667,2)</f>
        <v>13</v>
      </c>
      <c r="AD667" s="0"/>
      <c r="AE667" s="21" t="s">
        <v>42</v>
      </c>
    </row>
    <row r="668" customFormat="false" ht="15" hidden="false" customHeight="false" outlineLevel="0" collapsed="false">
      <c r="A668" s="13" t="n">
        <f aca="false">1+A667</f>
        <v>666</v>
      </c>
      <c r="B668" s="17" t="n">
        <v>1009091532</v>
      </c>
      <c r="C668" s="17" t="s">
        <v>414</v>
      </c>
      <c r="D668" s="17" t="s">
        <v>64</v>
      </c>
      <c r="E668" s="17" t="s">
        <v>64</v>
      </c>
      <c r="F668" s="18" t="s">
        <v>70</v>
      </c>
      <c r="G668" s="19" t="n">
        <v>135204043891</v>
      </c>
      <c r="H668" s="17" t="s">
        <v>134</v>
      </c>
      <c r="I668" s="17" t="s">
        <v>44</v>
      </c>
      <c r="J668" s="17" t="s">
        <v>106</v>
      </c>
      <c r="K668" s="17" t="str">
        <f aca="false">VLOOKUP(J668,Sheet2!A:B,2,0)</f>
        <v>PRAKASH CHAVDA</v>
      </c>
      <c r="L668" s="17" t="n">
        <v>5</v>
      </c>
      <c r="M668" s="17" t="str">
        <f aca="false">VLOOKUP(L668,Sheet2!D:E,2,0)</f>
        <v>Main Processor CPU BGA</v>
      </c>
      <c r="N668" s="17" t="n">
        <v>24</v>
      </c>
      <c r="O668" s="17" t="str">
        <f aca="false">VLOOKUP(N668,Sheet2!G:H,2,0)</f>
        <v>STB Auto moving -Stand by mode</v>
      </c>
      <c r="P668" s="17" t="n">
        <v>12</v>
      </c>
      <c r="Q668" s="17" t="str">
        <f aca="false">VLOOKUP(P668,Sheet2!J:K,2,0)</f>
        <v>IR Declared due to Others ( IR Normal)TB</v>
      </c>
      <c r="R668" s="17" t="s">
        <v>35</v>
      </c>
      <c r="S668" s="17" t="str">
        <f aca="false">VLOOKUP(R668,Sheet2!N:O,2,0)</f>
        <v>IREPARABLE</v>
      </c>
      <c r="T668" s="18" t="str">
        <f aca="false">VLOOKUP(P668,Sheet2!Q:R,2,0)</f>
        <v>IR Normal - BER to IR</v>
      </c>
      <c r="U668" s="20" t="s">
        <v>135</v>
      </c>
      <c r="V668" s="17" t="n">
        <v>12</v>
      </c>
      <c r="W668" s="20" t="str">
        <f aca="false">VLOOKUP(V668,Sheet2!Q:R,2,0)</f>
        <v>IR Normal - BER to IR</v>
      </c>
      <c r="X668" s="17" t="str">
        <f aca="false">J668</f>
        <v>A018</v>
      </c>
      <c r="Y668" s="17" t="str">
        <f aca="false">VLOOKUP(X668,Sheet2!A:B,2,0)</f>
        <v>PRAKASH CHAVDA</v>
      </c>
      <c r="Z668" s="17" t="s">
        <v>136</v>
      </c>
      <c r="AA668" s="17" t="s">
        <v>413</v>
      </c>
      <c r="AB668" s="17" t="s">
        <v>41</v>
      </c>
      <c r="AC668" s="0" t="str">
        <f aca="false">LEFT(G668,2)</f>
        <v>13</v>
      </c>
      <c r="AD668" s="0"/>
      <c r="AE668" s="21" t="s">
        <v>42</v>
      </c>
    </row>
    <row r="669" customFormat="false" ht="15" hidden="false" customHeight="false" outlineLevel="0" collapsed="false">
      <c r="A669" s="13" t="n">
        <f aca="false">1+A668</f>
        <v>667</v>
      </c>
      <c r="B669" s="17" t="n">
        <v>1008012666</v>
      </c>
      <c r="C669" s="17" t="s">
        <v>151</v>
      </c>
      <c r="D669" s="17" t="s">
        <v>64</v>
      </c>
      <c r="E669" s="17" t="s">
        <v>64</v>
      </c>
      <c r="F669" s="18" t="s">
        <v>70</v>
      </c>
      <c r="G669" s="19" t="n">
        <v>133324170553</v>
      </c>
      <c r="H669" s="17" t="s">
        <v>134</v>
      </c>
      <c r="I669" s="17" t="s">
        <v>44</v>
      </c>
      <c r="J669" s="17" t="s">
        <v>106</v>
      </c>
      <c r="K669" s="17" t="str">
        <f aca="false">VLOOKUP(J669,Sheet2!A:B,2,0)</f>
        <v>PRAKASH CHAVDA</v>
      </c>
      <c r="L669" s="17" t="n">
        <v>5</v>
      </c>
      <c r="M669" s="17" t="str">
        <f aca="false">VLOOKUP(L669,Sheet2!D:E,2,0)</f>
        <v>Main Processor CPU BGA</v>
      </c>
      <c r="N669" s="17" t="n">
        <v>24</v>
      </c>
      <c r="O669" s="17" t="str">
        <f aca="false">VLOOKUP(N669,Sheet2!G:H,2,0)</f>
        <v>STB Auto moving -Stand by mode</v>
      </c>
      <c r="P669" s="17" t="n">
        <v>12</v>
      </c>
      <c r="Q669" s="17" t="str">
        <f aca="false">VLOOKUP(P669,Sheet2!J:K,2,0)</f>
        <v>IR Declared due to Others ( IR Normal)TB</v>
      </c>
      <c r="R669" s="17" t="s">
        <v>35</v>
      </c>
      <c r="S669" s="17" t="str">
        <f aca="false">VLOOKUP(R669,Sheet2!N:O,2,0)</f>
        <v>IREPARABLE</v>
      </c>
      <c r="T669" s="18" t="str">
        <f aca="false">VLOOKUP(P669,Sheet2!Q:R,2,0)</f>
        <v>IR Normal - BER to IR</v>
      </c>
      <c r="U669" s="20" t="s">
        <v>135</v>
      </c>
      <c r="V669" s="17" t="n">
        <v>12</v>
      </c>
      <c r="W669" s="20" t="str">
        <f aca="false">VLOOKUP(V669,Sheet2!Q:R,2,0)</f>
        <v>IR Normal - BER to IR</v>
      </c>
      <c r="X669" s="17" t="str">
        <f aca="false">J669</f>
        <v>A018</v>
      </c>
      <c r="Y669" s="17" t="str">
        <f aca="false">VLOOKUP(X669,Sheet2!A:B,2,0)</f>
        <v>PRAKASH CHAVDA</v>
      </c>
      <c r="Z669" s="17" t="s">
        <v>136</v>
      </c>
      <c r="AA669" s="17" t="s">
        <v>413</v>
      </c>
      <c r="AB669" s="17" t="s">
        <v>41</v>
      </c>
      <c r="AC669" s="0" t="str">
        <f aca="false">LEFT(G669,2)</f>
        <v>13</v>
      </c>
      <c r="AD669" s="0"/>
      <c r="AE669" s="21" t="s">
        <v>42</v>
      </c>
    </row>
    <row r="670" customFormat="false" ht="15" hidden="false" customHeight="false" outlineLevel="0" collapsed="false">
      <c r="A670" s="13" t="n">
        <f aca="false">1+A669</f>
        <v>668</v>
      </c>
      <c r="B670" s="17" t="n">
        <v>1009092216</v>
      </c>
      <c r="C670" s="17" t="s">
        <v>414</v>
      </c>
      <c r="D670" s="17" t="s">
        <v>64</v>
      </c>
      <c r="E670" s="17" t="s">
        <v>64</v>
      </c>
      <c r="F670" s="18" t="s">
        <v>70</v>
      </c>
      <c r="G670" s="19" t="n">
        <v>134063087826</v>
      </c>
      <c r="H670" s="17" t="s">
        <v>134</v>
      </c>
      <c r="I670" s="17" t="s">
        <v>44</v>
      </c>
      <c r="J670" s="17" t="s">
        <v>106</v>
      </c>
      <c r="K670" s="17" t="str">
        <f aca="false">VLOOKUP(J670,Sheet2!A:B,2,0)</f>
        <v>PRAKASH CHAVDA</v>
      </c>
      <c r="L670" s="17" t="n">
        <v>5</v>
      </c>
      <c r="M670" s="17" t="str">
        <f aca="false">VLOOKUP(L670,Sheet2!D:E,2,0)</f>
        <v>Main Processor CPU BGA</v>
      </c>
      <c r="N670" s="17" t="n">
        <v>1</v>
      </c>
      <c r="O670" s="17" t="str">
        <f aca="false">VLOOKUP(N670,Sheet2!G:H,2,0)</f>
        <v>Dead</v>
      </c>
      <c r="P670" s="17" t="n">
        <v>12</v>
      </c>
      <c r="Q670" s="17" t="str">
        <f aca="false">VLOOKUP(P670,Sheet2!J:K,2,0)</f>
        <v>IR Declared due to Others ( IR Normal)TB</v>
      </c>
      <c r="R670" s="17" t="s">
        <v>35</v>
      </c>
      <c r="S670" s="17" t="str">
        <f aca="false">VLOOKUP(R670,Sheet2!N:O,2,0)</f>
        <v>IREPARABLE</v>
      </c>
      <c r="T670" s="18" t="str">
        <f aca="false">VLOOKUP(P670,Sheet2!Q:R,2,0)</f>
        <v>IR Normal - BER to IR</v>
      </c>
      <c r="U670" s="20" t="s">
        <v>135</v>
      </c>
      <c r="V670" s="17" t="n">
        <v>12</v>
      </c>
      <c r="W670" s="20" t="str">
        <f aca="false">VLOOKUP(V670,Sheet2!Q:R,2,0)</f>
        <v>IR Normal - BER to IR</v>
      </c>
      <c r="X670" s="17" t="str">
        <f aca="false">J670</f>
        <v>A018</v>
      </c>
      <c r="Y670" s="17" t="str">
        <f aca="false">VLOOKUP(X670,Sheet2!A:B,2,0)</f>
        <v>PRAKASH CHAVDA</v>
      </c>
      <c r="Z670" s="17" t="s">
        <v>136</v>
      </c>
      <c r="AA670" s="17" t="s">
        <v>413</v>
      </c>
      <c r="AB670" s="17" t="s">
        <v>41</v>
      </c>
      <c r="AC670" s="0" t="str">
        <f aca="false">LEFT(G670,2)</f>
        <v>13</v>
      </c>
      <c r="AD670" s="0"/>
      <c r="AE670" s="21" t="s">
        <v>42</v>
      </c>
    </row>
    <row r="671" customFormat="false" ht="15" hidden="false" customHeight="false" outlineLevel="0" collapsed="false">
      <c r="A671" s="13" t="n">
        <f aca="false">1+A670</f>
        <v>669</v>
      </c>
      <c r="B671" s="17" t="n">
        <v>1007764736</v>
      </c>
      <c r="C671" s="17" t="s">
        <v>426</v>
      </c>
      <c r="D671" s="17" t="s">
        <v>64</v>
      </c>
      <c r="E671" s="17" t="s">
        <v>33</v>
      </c>
      <c r="F671" s="18" t="s">
        <v>34</v>
      </c>
      <c r="G671" s="19" t="n">
        <v>134127379862</v>
      </c>
      <c r="H671" s="17" t="s">
        <v>134</v>
      </c>
      <c r="I671" s="17" t="s">
        <v>44</v>
      </c>
      <c r="J671" s="17" t="s">
        <v>106</v>
      </c>
      <c r="K671" s="17" t="str">
        <f aca="false">VLOOKUP(J671,Sheet2!A:B,2,0)</f>
        <v>PRAKASH CHAVDA</v>
      </c>
      <c r="L671" s="17" t="n">
        <v>5</v>
      </c>
      <c r="M671" s="17" t="str">
        <f aca="false">VLOOKUP(L671,Sheet2!D:E,2,0)</f>
        <v>Main Processor CPU BGA</v>
      </c>
      <c r="N671" s="17" t="n">
        <v>24</v>
      </c>
      <c r="O671" s="17" t="str">
        <f aca="false">VLOOKUP(N671,Sheet2!G:H,2,0)</f>
        <v>STB Auto moving -Stand by mode</v>
      </c>
      <c r="P671" s="17" t="n">
        <v>12</v>
      </c>
      <c r="Q671" s="17" t="str">
        <f aca="false">VLOOKUP(P671,Sheet2!J:K,2,0)</f>
        <v>IR Declared due to Others ( IR Normal)TB</v>
      </c>
      <c r="R671" s="17" t="s">
        <v>35</v>
      </c>
      <c r="S671" s="17" t="str">
        <f aca="false">VLOOKUP(R671,Sheet2!N:O,2,0)</f>
        <v>IREPARABLE</v>
      </c>
      <c r="T671" s="18" t="str">
        <f aca="false">VLOOKUP(P671,Sheet2!Q:R,2,0)</f>
        <v>IR Normal - BER to IR</v>
      </c>
      <c r="U671" s="20" t="s">
        <v>135</v>
      </c>
      <c r="V671" s="17" t="n">
        <v>12</v>
      </c>
      <c r="W671" s="20" t="str">
        <f aca="false">VLOOKUP(V671,Sheet2!Q:R,2,0)</f>
        <v>IR Normal - BER to IR</v>
      </c>
      <c r="X671" s="17" t="str">
        <f aca="false">J671</f>
        <v>A018</v>
      </c>
      <c r="Y671" s="17" t="str">
        <f aca="false">VLOOKUP(X671,Sheet2!A:B,2,0)</f>
        <v>PRAKASH CHAVDA</v>
      </c>
      <c r="Z671" s="17" t="s">
        <v>136</v>
      </c>
      <c r="AA671" s="17" t="s">
        <v>413</v>
      </c>
      <c r="AB671" s="17" t="s">
        <v>41</v>
      </c>
      <c r="AC671" s="0" t="str">
        <f aca="false">LEFT(G671,2)</f>
        <v>13</v>
      </c>
      <c r="AD671" s="0"/>
      <c r="AE671" s="21" t="s">
        <v>42</v>
      </c>
    </row>
    <row r="672" customFormat="false" ht="15" hidden="false" customHeight="false" outlineLevel="0" collapsed="false">
      <c r="A672" s="13" t="n">
        <f aca="false">1+A671</f>
        <v>670</v>
      </c>
      <c r="B672" s="17" t="n">
        <v>1009091512</v>
      </c>
      <c r="C672" s="17" t="s">
        <v>414</v>
      </c>
      <c r="D672" s="17" t="s">
        <v>64</v>
      </c>
      <c r="E672" s="17" t="s">
        <v>47</v>
      </c>
      <c r="F672" s="18" t="s">
        <v>34</v>
      </c>
      <c r="G672" s="19" t="n">
        <v>134063091810</v>
      </c>
      <c r="H672" s="17" t="s">
        <v>134</v>
      </c>
      <c r="I672" s="17" t="s">
        <v>44</v>
      </c>
      <c r="J672" s="17" t="s">
        <v>106</v>
      </c>
      <c r="K672" s="17" t="str">
        <f aca="false">VLOOKUP(J672,Sheet2!A:B,2,0)</f>
        <v>PRAKASH CHAVDA</v>
      </c>
      <c r="L672" s="17" t="n">
        <v>5</v>
      </c>
      <c r="M672" s="17" t="str">
        <f aca="false">VLOOKUP(L672,Sheet2!D:E,2,0)</f>
        <v>Main Processor CPU BGA</v>
      </c>
      <c r="N672" s="17" t="n">
        <v>1</v>
      </c>
      <c r="O672" s="17" t="str">
        <f aca="false">VLOOKUP(N672,Sheet2!G:H,2,0)</f>
        <v>Dead</v>
      </c>
      <c r="P672" s="17" t="n">
        <v>12</v>
      </c>
      <c r="Q672" s="17" t="str">
        <f aca="false">VLOOKUP(P672,Sheet2!J:K,2,0)</f>
        <v>IR Declared due to Others ( IR Normal)TB</v>
      </c>
      <c r="R672" s="17" t="s">
        <v>35</v>
      </c>
      <c r="S672" s="17" t="str">
        <f aca="false">VLOOKUP(R672,Sheet2!N:O,2,0)</f>
        <v>IREPARABLE</v>
      </c>
      <c r="T672" s="18" t="str">
        <f aca="false">VLOOKUP(P672,Sheet2!Q:R,2,0)</f>
        <v>IR Normal - BER to IR</v>
      </c>
      <c r="U672" s="20" t="s">
        <v>135</v>
      </c>
      <c r="V672" s="17" t="n">
        <v>12</v>
      </c>
      <c r="W672" s="20" t="str">
        <f aca="false">VLOOKUP(V672,Sheet2!Q:R,2,0)</f>
        <v>IR Normal - BER to IR</v>
      </c>
      <c r="X672" s="17" t="str">
        <f aca="false">J672</f>
        <v>A018</v>
      </c>
      <c r="Y672" s="17" t="str">
        <f aca="false">VLOOKUP(X672,Sheet2!A:B,2,0)</f>
        <v>PRAKASH CHAVDA</v>
      </c>
      <c r="Z672" s="17" t="s">
        <v>136</v>
      </c>
      <c r="AA672" s="17" t="s">
        <v>413</v>
      </c>
      <c r="AB672" s="17" t="s">
        <v>41</v>
      </c>
      <c r="AC672" s="0" t="str">
        <f aca="false">LEFT(G672,2)</f>
        <v>13</v>
      </c>
      <c r="AD672" s="0"/>
      <c r="AE672" s="21" t="s">
        <v>42</v>
      </c>
    </row>
    <row r="673" customFormat="false" ht="15" hidden="false" customHeight="false" outlineLevel="0" collapsed="false">
      <c r="A673" s="13" t="n">
        <f aca="false">1+A672</f>
        <v>671</v>
      </c>
      <c r="B673" s="17" t="n">
        <v>1009091413</v>
      </c>
      <c r="C673" s="17" t="s">
        <v>414</v>
      </c>
      <c r="D673" s="17" t="s">
        <v>427</v>
      </c>
      <c r="E673" s="17" t="s">
        <v>33</v>
      </c>
      <c r="F673" s="18" t="s">
        <v>34</v>
      </c>
      <c r="G673" s="19" t="n">
        <v>134283356746</v>
      </c>
      <c r="H673" s="17" t="s">
        <v>134</v>
      </c>
      <c r="I673" s="17" t="s">
        <v>44</v>
      </c>
      <c r="J673" s="17" t="s">
        <v>106</v>
      </c>
      <c r="K673" s="17" t="str">
        <f aca="false">VLOOKUP(J673,Sheet2!A:B,2,0)</f>
        <v>PRAKASH CHAVDA</v>
      </c>
      <c r="L673" s="17" t="n">
        <v>5</v>
      </c>
      <c r="M673" s="17" t="str">
        <f aca="false">VLOOKUP(L673,Sheet2!D:E,2,0)</f>
        <v>Main Processor CPU BGA</v>
      </c>
      <c r="N673" s="17" t="n">
        <v>1</v>
      </c>
      <c r="O673" s="17" t="str">
        <f aca="false">VLOOKUP(N673,Sheet2!G:H,2,0)</f>
        <v>Dead</v>
      </c>
      <c r="P673" s="17" t="n">
        <v>12</v>
      </c>
      <c r="Q673" s="17" t="str">
        <f aca="false">VLOOKUP(P673,Sheet2!J:K,2,0)</f>
        <v>IR Declared due to Others ( IR Normal)TB</v>
      </c>
      <c r="R673" s="17" t="s">
        <v>35</v>
      </c>
      <c r="S673" s="17" t="str">
        <f aca="false">VLOOKUP(R673,Sheet2!N:O,2,0)</f>
        <v>IREPARABLE</v>
      </c>
      <c r="T673" s="18" t="str">
        <f aca="false">VLOOKUP(P673,Sheet2!Q:R,2,0)</f>
        <v>IR Normal - BER to IR</v>
      </c>
      <c r="U673" s="20" t="s">
        <v>135</v>
      </c>
      <c r="V673" s="17" t="n">
        <v>12</v>
      </c>
      <c r="W673" s="20" t="str">
        <f aca="false">VLOOKUP(V673,Sheet2!Q:R,2,0)</f>
        <v>IR Normal - BER to IR</v>
      </c>
      <c r="X673" s="17" t="str">
        <f aca="false">J673</f>
        <v>A018</v>
      </c>
      <c r="Y673" s="17" t="str">
        <f aca="false">VLOOKUP(X673,Sheet2!A:B,2,0)</f>
        <v>PRAKASH CHAVDA</v>
      </c>
      <c r="Z673" s="17" t="s">
        <v>136</v>
      </c>
      <c r="AA673" s="17" t="s">
        <v>413</v>
      </c>
      <c r="AB673" s="17" t="s">
        <v>41</v>
      </c>
      <c r="AC673" s="0" t="str">
        <f aca="false">LEFT(G673,2)</f>
        <v>13</v>
      </c>
      <c r="AD673" s="0"/>
      <c r="AE673" s="21" t="s">
        <v>42</v>
      </c>
    </row>
    <row r="674" customFormat="false" ht="15" hidden="false" customHeight="false" outlineLevel="0" collapsed="false">
      <c r="A674" s="13" t="n">
        <f aca="false">1+A673</f>
        <v>672</v>
      </c>
      <c r="B674" s="17" t="n">
        <v>1005577325</v>
      </c>
      <c r="C674" s="17" t="s">
        <v>428</v>
      </c>
      <c r="D674" s="17" t="s">
        <v>64</v>
      </c>
      <c r="E674" s="17" t="s">
        <v>47</v>
      </c>
      <c r="F674" s="18" t="s">
        <v>34</v>
      </c>
      <c r="G674" s="19" t="n">
        <v>134063434176</v>
      </c>
      <c r="H674" s="17" t="s">
        <v>134</v>
      </c>
      <c r="I674" s="17" t="s">
        <v>44</v>
      </c>
      <c r="J674" s="17" t="s">
        <v>106</v>
      </c>
      <c r="K674" s="17" t="str">
        <f aca="false">VLOOKUP(J674,Sheet2!A:B,2,0)</f>
        <v>PRAKASH CHAVDA</v>
      </c>
      <c r="L674" s="17" t="n">
        <v>9</v>
      </c>
      <c r="M674" s="17" t="str">
        <f aca="false">VLOOKUP(L674,Sheet2!D:E,2,0)</f>
        <v>HDD</v>
      </c>
      <c r="N674" s="17" t="n">
        <v>1</v>
      </c>
      <c r="O674" s="17" t="str">
        <f aca="false">VLOOKUP(N674,Sheet2!G:H,2,0)</f>
        <v>Dead</v>
      </c>
      <c r="P674" s="17" t="n">
        <v>12</v>
      </c>
      <c r="Q674" s="17" t="str">
        <f aca="false">VLOOKUP(P674,Sheet2!J:K,2,0)</f>
        <v>IR Declared due to Others ( IR Normal)TB</v>
      </c>
      <c r="R674" s="17" t="s">
        <v>35</v>
      </c>
      <c r="S674" s="17" t="str">
        <f aca="false">VLOOKUP(R674,Sheet2!N:O,2,0)</f>
        <v>IREPARABLE</v>
      </c>
      <c r="T674" s="18" t="str">
        <f aca="false">VLOOKUP(P674,Sheet2!Q:R,2,0)</f>
        <v>IR Normal - BER to IR</v>
      </c>
      <c r="U674" s="20" t="s">
        <v>135</v>
      </c>
      <c r="V674" s="17" t="n">
        <v>12</v>
      </c>
      <c r="W674" s="20" t="str">
        <f aca="false">VLOOKUP(V674,Sheet2!Q:R,2,0)</f>
        <v>IR Normal - BER to IR</v>
      </c>
      <c r="X674" s="17" t="str">
        <f aca="false">J674</f>
        <v>A018</v>
      </c>
      <c r="Y674" s="17" t="str">
        <f aca="false">VLOOKUP(X674,Sheet2!A:B,2,0)</f>
        <v>PRAKASH CHAVDA</v>
      </c>
      <c r="Z674" s="17" t="s">
        <v>136</v>
      </c>
      <c r="AA674" s="17" t="s">
        <v>413</v>
      </c>
      <c r="AB674" s="17" t="s">
        <v>41</v>
      </c>
      <c r="AC674" s="0" t="str">
        <f aca="false">LEFT(G674,2)</f>
        <v>13</v>
      </c>
      <c r="AD674" s="0"/>
      <c r="AE674" s="21" t="s">
        <v>42</v>
      </c>
    </row>
    <row r="675" customFormat="false" ht="15" hidden="false" customHeight="false" outlineLevel="0" collapsed="false">
      <c r="A675" s="13" t="n">
        <f aca="false">1+A674</f>
        <v>673</v>
      </c>
      <c r="B675" s="17" t="n">
        <v>1009621733</v>
      </c>
      <c r="C675" s="17" t="s">
        <v>184</v>
      </c>
      <c r="D675" s="17" t="s">
        <v>64</v>
      </c>
      <c r="E675" s="17" t="s">
        <v>64</v>
      </c>
      <c r="F675" s="18" t="s">
        <v>70</v>
      </c>
      <c r="G675" s="19" t="n">
        <v>775133026390</v>
      </c>
      <c r="H675" s="17" t="s">
        <v>134</v>
      </c>
      <c r="I675" s="17" t="s">
        <v>69</v>
      </c>
      <c r="J675" s="17" t="s">
        <v>106</v>
      </c>
      <c r="K675" s="17" t="str">
        <f aca="false">VLOOKUP(J675,Sheet2!A:B,2,0)</f>
        <v>PRAKASH CHAVDA</v>
      </c>
      <c r="L675" s="17" t="n">
        <v>5</v>
      </c>
      <c r="M675" s="17" t="str">
        <f aca="false">VLOOKUP(L675,Sheet2!D:E,2,0)</f>
        <v>Main Processor CPU BGA</v>
      </c>
      <c r="N675" s="17" t="n">
        <v>24</v>
      </c>
      <c r="O675" s="17" t="str">
        <f aca="false">VLOOKUP(N675,Sheet2!G:H,2,0)</f>
        <v>STB Auto moving -Stand by mode</v>
      </c>
      <c r="P675" s="17" t="n">
        <v>12</v>
      </c>
      <c r="Q675" s="17" t="str">
        <f aca="false">VLOOKUP(P675,Sheet2!J:K,2,0)</f>
        <v>IR Declared due to Others ( IR Normal)TB</v>
      </c>
      <c r="R675" s="17" t="s">
        <v>35</v>
      </c>
      <c r="S675" s="17" t="str">
        <f aca="false">VLOOKUP(R675,Sheet2!N:O,2,0)</f>
        <v>IREPARABLE</v>
      </c>
      <c r="T675" s="18" t="str">
        <f aca="false">VLOOKUP(P675,Sheet2!Q:R,2,0)</f>
        <v>IR Normal - BER to IR</v>
      </c>
      <c r="U675" s="20" t="s">
        <v>135</v>
      </c>
      <c r="V675" s="17" t="n">
        <v>12</v>
      </c>
      <c r="W675" s="20" t="str">
        <f aca="false">VLOOKUP(V675,Sheet2!Q:R,2,0)</f>
        <v>IR Normal - BER to IR</v>
      </c>
      <c r="X675" s="17" t="str">
        <f aca="false">J675</f>
        <v>A018</v>
      </c>
      <c r="Y675" s="17" t="str">
        <f aca="false">VLOOKUP(X675,Sheet2!A:B,2,0)</f>
        <v>PRAKASH CHAVDA</v>
      </c>
      <c r="Z675" s="17" t="s">
        <v>136</v>
      </c>
      <c r="AA675" s="17" t="s">
        <v>413</v>
      </c>
      <c r="AB675" s="17" t="s">
        <v>41</v>
      </c>
      <c r="AC675" s="0" t="str">
        <f aca="false">LEFT(G675,2)</f>
        <v>77</v>
      </c>
      <c r="AD675" s="0"/>
      <c r="AE675" s="21" t="s">
        <v>42</v>
      </c>
    </row>
    <row r="676" customFormat="false" ht="15" hidden="false" customHeight="false" outlineLevel="0" collapsed="false">
      <c r="A676" s="13" t="n">
        <f aca="false">1+A675</f>
        <v>674</v>
      </c>
      <c r="B676" s="17" t="n">
        <v>1009628097</v>
      </c>
      <c r="C676" s="17" t="s">
        <v>229</v>
      </c>
      <c r="D676" s="17" t="s">
        <v>64</v>
      </c>
      <c r="E676" s="17" t="s">
        <v>33</v>
      </c>
      <c r="F676" s="18" t="s">
        <v>34</v>
      </c>
      <c r="G676" s="19" t="n">
        <v>775079002082</v>
      </c>
      <c r="H676" s="17" t="s">
        <v>134</v>
      </c>
      <c r="I676" s="17" t="s">
        <v>69</v>
      </c>
      <c r="J676" s="17" t="s">
        <v>106</v>
      </c>
      <c r="K676" s="17" t="str">
        <f aca="false">VLOOKUP(J676,Sheet2!A:B,2,0)</f>
        <v>PRAKASH CHAVDA</v>
      </c>
      <c r="L676" s="17" t="n">
        <v>5</v>
      </c>
      <c r="M676" s="17" t="str">
        <f aca="false">VLOOKUP(L676,Sheet2!D:E,2,0)</f>
        <v>Main Processor CPU BGA</v>
      </c>
      <c r="N676" s="17" t="n">
        <v>1</v>
      </c>
      <c r="O676" s="17" t="str">
        <f aca="false">VLOOKUP(N676,Sheet2!G:H,2,0)</f>
        <v>Dead</v>
      </c>
      <c r="P676" s="17" t="n">
        <v>12</v>
      </c>
      <c r="Q676" s="17" t="str">
        <f aca="false">VLOOKUP(P676,Sheet2!J:K,2,0)</f>
        <v>IR Declared due to Others ( IR Normal)TB</v>
      </c>
      <c r="R676" s="17" t="s">
        <v>35</v>
      </c>
      <c r="S676" s="17" t="str">
        <f aca="false">VLOOKUP(R676,Sheet2!N:O,2,0)</f>
        <v>IREPARABLE</v>
      </c>
      <c r="T676" s="18" t="str">
        <f aca="false">VLOOKUP(P676,Sheet2!Q:R,2,0)</f>
        <v>IR Normal - BER to IR</v>
      </c>
      <c r="U676" s="20" t="s">
        <v>135</v>
      </c>
      <c r="V676" s="17" t="n">
        <v>12</v>
      </c>
      <c r="W676" s="20" t="str">
        <f aca="false">VLOOKUP(V676,Sheet2!Q:R,2,0)</f>
        <v>IR Normal - BER to IR</v>
      </c>
      <c r="X676" s="17" t="str">
        <f aca="false">J676</f>
        <v>A018</v>
      </c>
      <c r="Y676" s="17" t="str">
        <f aca="false">VLOOKUP(X676,Sheet2!A:B,2,0)</f>
        <v>PRAKASH CHAVDA</v>
      </c>
      <c r="Z676" s="17" t="s">
        <v>136</v>
      </c>
      <c r="AA676" s="17" t="s">
        <v>413</v>
      </c>
      <c r="AB676" s="17" t="s">
        <v>41</v>
      </c>
      <c r="AC676" s="0" t="str">
        <f aca="false">LEFT(G676,2)</f>
        <v>77</v>
      </c>
      <c r="AD676" s="0"/>
      <c r="AE676" s="21" t="s">
        <v>42</v>
      </c>
    </row>
    <row r="677" customFormat="false" ht="15" hidden="false" customHeight="false" outlineLevel="0" collapsed="false">
      <c r="A677" s="13" t="n">
        <f aca="false">1+A676</f>
        <v>675</v>
      </c>
      <c r="B677" s="17" t="n">
        <v>1009630011</v>
      </c>
      <c r="C677" s="17" t="s">
        <v>182</v>
      </c>
      <c r="D677" s="17" t="s">
        <v>64</v>
      </c>
      <c r="E677" s="17" t="s">
        <v>33</v>
      </c>
      <c r="F677" s="18" t="s">
        <v>34</v>
      </c>
      <c r="G677" s="19" t="n">
        <v>775309110200</v>
      </c>
      <c r="H677" s="17" t="s">
        <v>134</v>
      </c>
      <c r="I677" s="17" t="s">
        <v>69</v>
      </c>
      <c r="J677" s="17" t="s">
        <v>106</v>
      </c>
      <c r="K677" s="17" t="str">
        <f aca="false">VLOOKUP(J677,Sheet2!A:B,2,0)</f>
        <v>PRAKASH CHAVDA</v>
      </c>
      <c r="L677" s="17" t="n">
        <v>5</v>
      </c>
      <c r="M677" s="17" t="str">
        <f aca="false">VLOOKUP(L677,Sheet2!D:E,2,0)</f>
        <v>Main Processor CPU BGA</v>
      </c>
      <c r="N677" s="17" t="n">
        <v>24</v>
      </c>
      <c r="O677" s="17" t="str">
        <f aca="false">VLOOKUP(N677,Sheet2!G:H,2,0)</f>
        <v>STB Auto moving -Stand by mode</v>
      </c>
      <c r="P677" s="17" t="n">
        <v>12</v>
      </c>
      <c r="Q677" s="17" t="str">
        <f aca="false">VLOOKUP(P677,Sheet2!J:K,2,0)</f>
        <v>IR Declared due to Others ( IR Normal)TB</v>
      </c>
      <c r="R677" s="17" t="s">
        <v>35</v>
      </c>
      <c r="S677" s="17" t="str">
        <f aca="false">VLOOKUP(R677,Sheet2!N:O,2,0)</f>
        <v>IREPARABLE</v>
      </c>
      <c r="T677" s="18" t="str">
        <f aca="false">VLOOKUP(P677,Sheet2!Q:R,2,0)</f>
        <v>IR Normal - BER to IR</v>
      </c>
      <c r="U677" s="20" t="s">
        <v>135</v>
      </c>
      <c r="V677" s="17" t="n">
        <v>12</v>
      </c>
      <c r="W677" s="20" t="str">
        <f aca="false">VLOOKUP(V677,Sheet2!Q:R,2,0)</f>
        <v>IR Normal - BER to IR</v>
      </c>
      <c r="X677" s="17" t="str">
        <f aca="false">J677</f>
        <v>A018</v>
      </c>
      <c r="Y677" s="17" t="str">
        <f aca="false">VLOOKUP(X677,Sheet2!A:B,2,0)</f>
        <v>PRAKASH CHAVDA</v>
      </c>
      <c r="Z677" s="17" t="s">
        <v>136</v>
      </c>
      <c r="AA677" s="17" t="s">
        <v>413</v>
      </c>
      <c r="AB677" s="17" t="s">
        <v>41</v>
      </c>
      <c r="AC677" s="0" t="str">
        <f aca="false">LEFT(G677,2)</f>
        <v>77</v>
      </c>
      <c r="AD677" s="0"/>
      <c r="AE677" s="21" t="s">
        <v>42</v>
      </c>
    </row>
    <row r="678" customFormat="false" ht="15" hidden="false" customHeight="false" outlineLevel="0" collapsed="false">
      <c r="A678" s="13" t="n">
        <f aca="false">1+A677</f>
        <v>676</v>
      </c>
      <c r="B678" s="17" t="n">
        <v>1009628603</v>
      </c>
      <c r="C678" s="17" t="s">
        <v>229</v>
      </c>
      <c r="D678" s="17" t="s">
        <v>64</v>
      </c>
      <c r="E678" s="17" t="s">
        <v>64</v>
      </c>
      <c r="F678" s="18" t="s">
        <v>70</v>
      </c>
      <c r="G678" s="19" t="n">
        <v>775084087813</v>
      </c>
      <c r="H678" s="17" t="s">
        <v>134</v>
      </c>
      <c r="I678" s="17" t="s">
        <v>69</v>
      </c>
      <c r="J678" s="17" t="s">
        <v>106</v>
      </c>
      <c r="K678" s="17" t="str">
        <f aca="false">VLOOKUP(J678,Sheet2!A:B,2,0)</f>
        <v>PRAKASH CHAVDA</v>
      </c>
      <c r="L678" s="17" t="n">
        <v>5</v>
      </c>
      <c r="M678" s="17" t="str">
        <f aca="false">VLOOKUP(L678,Sheet2!D:E,2,0)</f>
        <v>Main Processor CPU BGA</v>
      </c>
      <c r="N678" s="17" t="n">
        <v>1</v>
      </c>
      <c r="O678" s="17" t="str">
        <f aca="false">VLOOKUP(N678,Sheet2!G:H,2,0)</f>
        <v>Dead</v>
      </c>
      <c r="P678" s="17" t="n">
        <v>12</v>
      </c>
      <c r="Q678" s="17" t="str">
        <f aca="false">VLOOKUP(P678,Sheet2!J:K,2,0)</f>
        <v>IR Declared due to Others ( IR Normal)TB</v>
      </c>
      <c r="R678" s="17" t="s">
        <v>35</v>
      </c>
      <c r="S678" s="17" t="str">
        <f aca="false">VLOOKUP(R678,Sheet2!N:O,2,0)</f>
        <v>IREPARABLE</v>
      </c>
      <c r="T678" s="18" t="str">
        <f aca="false">VLOOKUP(P678,Sheet2!Q:R,2,0)</f>
        <v>IR Normal - BER to IR</v>
      </c>
      <c r="U678" s="20" t="s">
        <v>135</v>
      </c>
      <c r="V678" s="17" t="n">
        <v>12</v>
      </c>
      <c r="W678" s="20" t="str">
        <f aca="false">VLOOKUP(V678,Sheet2!Q:R,2,0)</f>
        <v>IR Normal - BER to IR</v>
      </c>
      <c r="X678" s="17" t="str">
        <f aca="false">J678</f>
        <v>A018</v>
      </c>
      <c r="Y678" s="17" t="str">
        <f aca="false">VLOOKUP(X678,Sheet2!A:B,2,0)</f>
        <v>PRAKASH CHAVDA</v>
      </c>
      <c r="Z678" s="17" t="s">
        <v>136</v>
      </c>
      <c r="AA678" s="17" t="s">
        <v>413</v>
      </c>
      <c r="AB678" s="17" t="s">
        <v>41</v>
      </c>
      <c r="AC678" s="0" t="str">
        <f aca="false">LEFT(G678,2)</f>
        <v>77</v>
      </c>
      <c r="AD678" s="0"/>
      <c r="AE678" s="21" t="s">
        <v>42</v>
      </c>
    </row>
    <row r="679" customFormat="false" ht="15" hidden="false" customHeight="false" outlineLevel="0" collapsed="false">
      <c r="A679" s="13" t="n">
        <f aca="false">1+A678</f>
        <v>677</v>
      </c>
      <c r="B679" s="17" t="n">
        <v>1009628279</v>
      </c>
      <c r="C679" s="17" t="s">
        <v>229</v>
      </c>
      <c r="D679" s="17" t="s">
        <v>64</v>
      </c>
      <c r="E679" s="17" t="s">
        <v>47</v>
      </c>
      <c r="F679" s="18" t="s">
        <v>34</v>
      </c>
      <c r="G679" s="19" t="n">
        <v>775316115803</v>
      </c>
      <c r="H679" s="17" t="s">
        <v>134</v>
      </c>
      <c r="I679" s="17" t="s">
        <v>69</v>
      </c>
      <c r="J679" s="17" t="s">
        <v>106</v>
      </c>
      <c r="K679" s="17" t="str">
        <f aca="false">VLOOKUP(J679,Sheet2!A:B,2,0)</f>
        <v>PRAKASH CHAVDA</v>
      </c>
      <c r="L679" s="17" t="n">
        <v>5</v>
      </c>
      <c r="M679" s="17" t="str">
        <f aca="false">VLOOKUP(L679,Sheet2!D:E,2,0)</f>
        <v>Main Processor CPU BGA</v>
      </c>
      <c r="N679" s="17" t="n">
        <v>1</v>
      </c>
      <c r="O679" s="17" t="str">
        <f aca="false">VLOOKUP(N679,Sheet2!G:H,2,0)</f>
        <v>Dead</v>
      </c>
      <c r="P679" s="17" t="n">
        <v>12</v>
      </c>
      <c r="Q679" s="17" t="str">
        <f aca="false">VLOOKUP(P679,Sheet2!J:K,2,0)</f>
        <v>IR Declared due to Others ( IR Normal)TB</v>
      </c>
      <c r="R679" s="17" t="s">
        <v>35</v>
      </c>
      <c r="S679" s="17" t="str">
        <f aca="false">VLOOKUP(R679,Sheet2!N:O,2,0)</f>
        <v>IREPARABLE</v>
      </c>
      <c r="T679" s="18" t="str">
        <f aca="false">VLOOKUP(P679,Sheet2!Q:R,2,0)</f>
        <v>IR Normal - BER to IR</v>
      </c>
      <c r="U679" s="20" t="s">
        <v>135</v>
      </c>
      <c r="V679" s="17" t="n">
        <v>12</v>
      </c>
      <c r="W679" s="20" t="str">
        <f aca="false">VLOOKUP(V679,Sheet2!Q:R,2,0)</f>
        <v>IR Normal - BER to IR</v>
      </c>
      <c r="X679" s="17" t="str">
        <f aca="false">J679</f>
        <v>A018</v>
      </c>
      <c r="Y679" s="17" t="str">
        <f aca="false">VLOOKUP(X679,Sheet2!A:B,2,0)</f>
        <v>PRAKASH CHAVDA</v>
      </c>
      <c r="Z679" s="17" t="s">
        <v>136</v>
      </c>
      <c r="AA679" s="17" t="s">
        <v>413</v>
      </c>
      <c r="AB679" s="17" t="s">
        <v>41</v>
      </c>
      <c r="AC679" s="0" t="str">
        <f aca="false">LEFT(G679,2)</f>
        <v>77</v>
      </c>
      <c r="AD679" s="0"/>
      <c r="AE679" s="21" t="s">
        <v>42</v>
      </c>
    </row>
    <row r="680" customFormat="false" ht="15" hidden="false" customHeight="false" outlineLevel="0" collapsed="false">
      <c r="A680" s="13" t="n">
        <f aca="false">1+A679</f>
        <v>678</v>
      </c>
      <c r="B680" s="17" t="n">
        <v>1009623779</v>
      </c>
      <c r="C680" s="17" t="s">
        <v>163</v>
      </c>
      <c r="D680" s="17" t="s">
        <v>64</v>
      </c>
      <c r="E680" s="17" t="s">
        <v>33</v>
      </c>
      <c r="F680" s="18" t="s">
        <v>34</v>
      </c>
      <c r="G680" s="19" t="n">
        <v>775084097275</v>
      </c>
      <c r="H680" s="17" t="s">
        <v>134</v>
      </c>
      <c r="I680" s="17" t="s">
        <v>69</v>
      </c>
      <c r="J680" s="17" t="s">
        <v>106</v>
      </c>
      <c r="K680" s="17" t="str">
        <f aca="false">VLOOKUP(J680,Sheet2!A:B,2,0)</f>
        <v>PRAKASH CHAVDA</v>
      </c>
      <c r="L680" s="17" t="n">
        <v>5</v>
      </c>
      <c r="M680" s="17" t="str">
        <f aca="false">VLOOKUP(L680,Sheet2!D:E,2,0)</f>
        <v>Main Processor CPU BGA</v>
      </c>
      <c r="N680" s="17" t="n">
        <v>1</v>
      </c>
      <c r="O680" s="17" t="str">
        <f aca="false">VLOOKUP(N680,Sheet2!G:H,2,0)</f>
        <v>Dead</v>
      </c>
      <c r="P680" s="17" t="n">
        <v>12</v>
      </c>
      <c r="Q680" s="17" t="str">
        <f aca="false">VLOOKUP(P680,Sheet2!J:K,2,0)</f>
        <v>IR Declared due to Others ( IR Normal)TB</v>
      </c>
      <c r="R680" s="17" t="s">
        <v>35</v>
      </c>
      <c r="S680" s="17" t="str">
        <f aca="false">VLOOKUP(R680,Sheet2!N:O,2,0)</f>
        <v>IREPARABLE</v>
      </c>
      <c r="T680" s="18" t="str">
        <f aca="false">VLOOKUP(P680,Sheet2!Q:R,2,0)</f>
        <v>IR Normal - BER to IR</v>
      </c>
      <c r="U680" s="20" t="s">
        <v>135</v>
      </c>
      <c r="V680" s="17" t="n">
        <v>12</v>
      </c>
      <c r="W680" s="20" t="str">
        <f aca="false">VLOOKUP(V680,Sheet2!Q:R,2,0)</f>
        <v>IR Normal - BER to IR</v>
      </c>
      <c r="X680" s="17" t="str">
        <f aca="false">J680</f>
        <v>A018</v>
      </c>
      <c r="Y680" s="17" t="str">
        <f aca="false">VLOOKUP(X680,Sheet2!A:B,2,0)</f>
        <v>PRAKASH CHAVDA</v>
      </c>
      <c r="Z680" s="17" t="s">
        <v>136</v>
      </c>
      <c r="AA680" s="17" t="s">
        <v>413</v>
      </c>
      <c r="AB680" s="17" t="s">
        <v>41</v>
      </c>
      <c r="AC680" s="0" t="str">
        <f aca="false">LEFT(G680,2)</f>
        <v>77</v>
      </c>
      <c r="AD680" s="0"/>
      <c r="AE680" s="21" t="s">
        <v>42</v>
      </c>
    </row>
    <row r="681" customFormat="false" ht="15" hidden="false" customHeight="false" outlineLevel="0" collapsed="false">
      <c r="A681" s="13" t="n">
        <f aca="false">1+A680</f>
        <v>679</v>
      </c>
      <c r="B681" s="17" t="n">
        <v>1009628290</v>
      </c>
      <c r="C681" s="17" t="s">
        <v>229</v>
      </c>
      <c r="D681" s="17" t="s">
        <v>64</v>
      </c>
      <c r="E681" s="17" t="s">
        <v>47</v>
      </c>
      <c r="F681" s="18" t="s">
        <v>34</v>
      </c>
      <c r="G681" s="19" t="n">
        <v>775237056533</v>
      </c>
      <c r="H681" s="17" t="s">
        <v>134</v>
      </c>
      <c r="I681" s="17" t="s">
        <v>69</v>
      </c>
      <c r="J681" s="17" t="s">
        <v>106</v>
      </c>
      <c r="K681" s="17" t="str">
        <f aca="false">VLOOKUP(J681,Sheet2!A:B,2,0)</f>
        <v>PRAKASH CHAVDA</v>
      </c>
      <c r="L681" s="17" t="n">
        <v>5</v>
      </c>
      <c r="M681" s="17" t="str">
        <f aca="false">VLOOKUP(L681,Sheet2!D:E,2,0)</f>
        <v>Main Processor CPU BGA</v>
      </c>
      <c r="N681" s="17" t="n">
        <v>24</v>
      </c>
      <c r="O681" s="17" t="str">
        <f aca="false">VLOOKUP(N681,Sheet2!G:H,2,0)</f>
        <v>STB Auto moving -Stand by mode</v>
      </c>
      <c r="P681" s="17" t="n">
        <v>12</v>
      </c>
      <c r="Q681" s="17" t="str">
        <f aca="false">VLOOKUP(P681,Sheet2!J:K,2,0)</f>
        <v>IR Declared due to Others ( IR Normal)TB</v>
      </c>
      <c r="R681" s="17" t="s">
        <v>35</v>
      </c>
      <c r="S681" s="17" t="str">
        <f aca="false">VLOOKUP(R681,Sheet2!N:O,2,0)</f>
        <v>IREPARABLE</v>
      </c>
      <c r="T681" s="18" t="str">
        <f aca="false">VLOOKUP(P681,Sheet2!Q:R,2,0)</f>
        <v>IR Normal - BER to IR</v>
      </c>
      <c r="U681" s="20" t="s">
        <v>135</v>
      </c>
      <c r="V681" s="17" t="n">
        <v>12</v>
      </c>
      <c r="W681" s="20" t="str">
        <f aca="false">VLOOKUP(V681,Sheet2!Q:R,2,0)</f>
        <v>IR Normal - BER to IR</v>
      </c>
      <c r="X681" s="17" t="str">
        <f aca="false">J681</f>
        <v>A018</v>
      </c>
      <c r="Y681" s="17" t="str">
        <f aca="false">VLOOKUP(X681,Sheet2!A:B,2,0)</f>
        <v>PRAKASH CHAVDA</v>
      </c>
      <c r="Z681" s="17" t="s">
        <v>136</v>
      </c>
      <c r="AA681" s="17" t="s">
        <v>413</v>
      </c>
      <c r="AB681" s="17" t="s">
        <v>41</v>
      </c>
      <c r="AC681" s="0" t="str">
        <f aca="false">LEFT(G681,2)</f>
        <v>77</v>
      </c>
      <c r="AD681" s="0"/>
      <c r="AE681" s="21" t="s">
        <v>42</v>
      </c>
    </row>
    <row r="682" customFormat="false" ht="15" hidden="false" customHeight="false" outlineLevel="0" collapsed="false">
      <c r="A682" s="13" t="n">
        <f aca="false">1+A681</f>
        <v>680</v>
      </c>
      <c r="B682" s="17" t="n">
        <v>1009626972</v>
      </c>
      <c r="C682" s="17" t="s">
        <v>163</v>
      </c>
      <c r="D682" s="17" t="s">
        <v>64</v>
      </c>
      <c r="E682" s="17" t="s">
        <v>64</v>
      </c>
      <c r="F682" s="18" t="s">
        <v>70</v>
      </c>
      <c r="G682" s="19" t="n">
        <v>775161012908</v>
      </c>
      <c r="H682" s="17" t="s">
        <v>134</v>
      </c>
      <c r="I682" s="17" t="s">
        <v>69</v>
      </c>
      <c r="J682" s="17" t="s">
        <v>106</v>
      </c>
      <c r="K682" s="17" t="str">
        <f aca="false">VLOOKUP(J682,Sheet2!A:B,2,0)</f>
        <v>PRAKASH CHAVDA</v>
      </c>
      <c r="L682" s="17" t="n">
        <v>5</v>
      </c>
      <c r="M682" s="17" t="str">
        <f aca="false">VLOOKUP(L682,Sheet2!D:E,2,0)</f>
        <v>Main Processor CPU BGA</v>
      </c>
      <c r="N682" s="17" t="n">
        <v>1</v>
      </c>
      <c r="O682" s="17" t="str">
        <f aca="false">VLOOKUP(N682,Sheet2!G:H,2,0)</f>
        <v>Dead</v>
      </c>
      <c r="P682" s="17" t="n">
        <v>12</v>
      </c>
      <c r="Q682" s="17" t="str">
        <f aca="false">VLOOKUP(P682,Sheet2!J:K,2,0)</f>
        <v>IR Declared due to Others ( IR Normal)TB</v>
      </c>
      <c r="R682" s="17" t="s">
        <v>35</v>
      </c>
      <c r="S682" s="17" t="str">
        <f aca="false">VLOOKUP(R682,Sheet2!N:O,2,0)</f>
        <v>IREPARABLE</v>
      </c>
      <c r="T682" s="18" t="str">
        <f aca="false">VLOOKUP(P682,Sheet2!Q:R,2,0)</f>
        <v>IR Normal - BER to IR</v>
      </c>
      <c r="U682" s="20" t="s">
        <v>135</v>
      </c>
      <c r="V682" s="17" t="n">
        <v>12</v>
      </c>
      <c r="W682" s="20" t="str">
        <f aca="false">VLOOKUP(V682,Sheet2!Q:R,2,0)</f>
        <v>IR Normal - BER to IR</v>
      </c>
      <c r="X682" s="17" t="str">
        <f aca="false">J682</f>
        <v>A018</v>
      </c>
      <c r="Y682" s="17" t="str">
        <f aca="false">VLOOKUP(X682,Sheet2!A:B,2,0)</f>
        <v>PRAKASH CHAVDA</v>
      </c>
      <c r="Z682" s="17" t="s">
        <v>136</v>
      </c>
      <c r="AA682" s="17" t="s">
        <v>413</v>
      </c>
      <c r="AB682" s="17" t="s">
        <v>41</v>
      </c>
      <c r="AC682" s="0" t="str">
        <f aca="false">LEFT(G682,2)</f>
        <v>77</v>
      </c>
      <c r="AD682" s="0"/>
      <c r="AE682" s="21" t="s">
        <v>42</v>
      </c>
    </row>
    <row r="683" customFormat="false" ht="15" hidden="false" customHeight="false" outlineLevel="0" collapsed="false">
      <c r="A683" s="13" t="n">
        <f aca="false">1+A682</f>
        <v>681</v>
      </c>
      <c r="B683" s="17" t="n">
        <v>1009633246</v>
      </c>
      <c r="C683" s="17" t="s">
        <v>182</v>
      </c>
      <c r="D683" s="17" t="s">
        <v>64</v>
      </c>
      <c r="E683" s="17" t="s">
        <v>64</v>
      </c>
      <c r="F683" s="18" t="s">
        <v>70</v>
      </c>
      <c r="G683" s="19" t="n">
        <v>774310071295</v>
      </c>
      <c r="H683" s="17" t="s">
        <v>134</v>
      </c>
      <c r="I683" s="17" t="s">
        <v>69</v>
      </c>
      <c r="J683" s="17" t="s">
        <v>106</v>
      </c>
      <c r="K683" s="17" t="str">
        <f aca="false">VLOOKUP(J683,Sheet2!A:B,2,0)</f>
        <v>PRAKASH CHAVDA</v>
      </c>
      <c r="L683" s="17" t="n">
        <v>5</v>
      </c>
      <c r="M683" s="17" t="str">
        <f aca="false">VLOOKUP(L683,Sheet2!D:E,2,0)</f>
        <v>Main Processor CPU BGA</v>
      </c>
      <c r="N683" s="17" t="n">
        <v>1</v>
      </c>
      <c r="O683" s="17" t="str">
        <f aca="false">VLOOKUP(N683,Sheet2!G:H,2,0)</f>
        <v>Dead</v>
      </c>
      <c r="P683" s="17" t="n">
        <v>12</v>
      </c>
      <c r="Q683" s="17" t="str">
        <f aca="false">VLOOKUP(P683,Sheet2!J:K,2,0)</f>
        <v>IR Declared due to Others ( IR Normal)TB</v>
      </c>
      <c r="R683" s="17" t="s">
        <v>35</v>
      </c>
      <c r="S683" s="17" t="str">
        <f aca="false">VLOOKUP(R683,Sheet2!N:O,2,0)</f>
        <v>IREPARABLE</v>
      </c>
      <c r="T683" s="18" t="str">
        <f aca="false">VLOOKUP(P683,Sheet2!Q:R,2,0)</f>
        <v>IR Normal - BER to IR</v>
      </c>
      <c r="U683" s="20" t="s">
        <v>135</v>
      </c>
      <c r="V683" s="17" t="n">
        <v>12</v>
      </c>
      <c r="W683" s="20" t="str">
        <f aca="false">VLOOKUP(V683,Sheet2!Q:R,2,0)</f>
        <v>IR Normal - BER to IR</v>
      </c>
      <c r="X683" s="17" t="str">
        <f aca="false">J683</f>
        <v>A018</v>
      </c>
      <c r="Y683" s="17" t="str">
        <f aca="false">VLOOKUP(X683,Sheet2!A:B,2,0)</f>
        <v>PRAKASH CHAVDA</v>
      </c>
      <c r="Z683" s="17" t="s">
        <v>136</v>
      </c>
      <c r="AA683" s="17" t="s">
        <v>413</v>
      </c>
      <c r="AB683" s="17" t="s">
        <v>41</v>
      </c>
      <c r="AC683" s="0" t="str">
        <f aca="false">LEFT(G683,2)</f>
        <v>77</v>
      </c>
      <c r="AD683" s="0"/>
      <c r="AE683" s="21" t="s">
        <v>42</v>
      </c>
    </row>
    <row r="684" customFormat="false" ht="15" hidden="false" customHeight="false" outlineLevel="0" collapsed="false">
      <c r="A684" s="13" t="n">
        <f aca="false">1+A683</f>
        <v>682</v>
      </c>
      <c r="B684" s="17" t="n">
        <v>1009627011</v>
      </c>
      <c r="C684" s="17" t="s">
        <v>163</v>
      </c>
      <c r="D684" s="17" t="s">
        <v>64</v>
      </c>
      <c r="E684" s="17" t="s">
        <v>47</v>
      </c>
      <c r="F684" s="18" t="s">
        <v>34</v>
      </c>
      <c r="G684" s="19" t="n">
        <v>774338004799</v>
      </c>
      <c r="H684" s="17" t="s">
        <v>134</v>
      </c>
      <c r="I684" s="17" t="s">
        <v>69</v>
      </c>
      <c r="J684" s="17" t="s">
        <v>106</v>
      </c>
      <c r="K684" s="17" t="str">
        <f aca="false">VLOOKUP(J684,Sheet2!A:B,2,0)</f>
        <v>PRAKASH CHAVDA</v>
      </c>
      <c r="L684" s="17" t="n">
        <v>5</v>
      </c>
      <c r="M684" s="17" t="str">
        <f aca="false">VLOOKUP(L684,Sheet2!D:E,2,0)</f>
        <v>Main Processor CPU BGA</v>
      </c>
      <c r="N684" s="17" t="n">
        <v>24</v>
      </c>
      <c r="O684" s="17" t="str">
        <f aca="false">VLOOKUP(N684,Sheet2!G:H,2,0)</f>
        <v>STB Auto moving -Stand by mode</v>
      </c>
      <c r="P684" s="17" t="n">
        <v>12</v>
      </c>
      <c r="Q684" s="17" t="str">
        <f aca="false">VLOOKUP(P684,Sheet2!J:K,2,0)</f>
        <v>IR Declared due to Others ( IR Normal)TB</v>
      </c>
      <c r="R684" s="17" t="s">
        <v>35</v>
      </c>
      <c r="S684" s="17" t="str">
        <f aca="false">VLOOKUP(R684,Sheet2!N:O,2,0)</f>
        <v>IREPARABLE</v>
      </c>
      <c r="T684" s="18" t="str">
        <f aca="false">VLOOKUP(P684,Sheet2!Q:R,2,0)</f>
        <v>IR Normal - BER to IR</v>
      </c>
      <c r="U684" s="20" t="s">
        <v>135</v>
      </c>
      <c r="V684" s="17" t="n">
        <v>12</v>
      </c>
      <c r="W684" s="20" t="str">
        <f aca="false">VLOOKUP(V684,Sheet2!Q:R,2,0)</f>
        <v>IR Normal - BER to IR</v>
      </c>
      <c r="X684" s="17" t="str">
        <f aca="false">J684</f>
        <v>A018</v>
      </c>
      <c r="Y684" s="17" t="str">
        <f aca="false">VLOOKUP(X684,Sheet2!A:B,2,0)</f>
        <v>PRAKASH CHAVDA</v>
      </c>
      <c r="Z684" s="17" t="s">
        <v>136</v>
      </c>
      <c r="AA684" s="17" t="s">
        <v>413</v>
      </c>
      <c r="AB684" s="17" t="s">
        <v>41</v>
      </c>
      <c r="AC684" s="0" t="str">
        <f aca="false">LEFT(G684,2)</f>
        <v>77</v>
      </c>
      <c r="AD684" s="0"/>
      <c r="AE684" s="21" t="s">
        <v>42</v>
      </c>
    </row>
    <row r="685" customFormat="false" ht="15" hidden="false" customHeight="false" outlineLevel="0" collapsed="false">
      <c r="A685" s="13" t="n">
        <f aca="false">1+A684</f>
        <v>683</v>
      </c>
      <c r="B685" s="17" t="n">
        <v>1009642614</v>
      </c>
      <c r="C685" s="17" t="s">
        <v>429</v>
      </c>
      <c r="D685" s="17" t="s">
        <v>64</v>
      </c>
      <c r="E685" s="17" t="s">
        <v>64</v>
      </c>
      <c r="F685" s="18" t="s">
        <v>70</v>
      </c>
      <c r="G685" s="19" t="n">
        <v>774289021743</v>
      </c>
      <c r="H685" s="17" t="s">
        <v>134</v>
      </c>
      <c r="I685" s="17" t="s">
        <v>69</v>
      </c>
      <c r="J685" s="17" t="s">
        <v>106</v>
      </c>
      <c r="K685" s="17" t="str">
        <f aca="false">VLOOKUP(J685,Sheet2!A:B,2,0)</f>
        <v>PRAKASH CHAVDA</v>
      </c>
      <c r="L685" s="17" t="n">
        <v>5</v>
      </c>
      <c r="M685" s="17" t="str">
        <f aca="false">VLOOKUP(L685,Sheet2!D:E,2,0)</f>
        <v>Main Processor CPU BGA</v>
      </c>
      <c r="N685" s="17" t="n">
        <v>1</v>
      </c>
      <c r="O685" s="17" t="str">
        <f aca="false">VLOOKUP(N685,Sheet2!G:H,2,0)</f>
        <v>Dead</v>
      </c>
      <c r="P685" s="17" t="n">
        <v>12</v>
      </c>
      <c r="Q685" s="17" t="str">
        <f aca="false">VLOOKUP(P685,Sheet2!J:K,2,0)</f>
        <v>IR Declared due to Others ( IR Normal)TB</v>
      </c>
      <c r="R685" s="17" t="s">
        <v>35</v>
      </c>
      <c r="S685" s="17" t="str">
        <f aca="false">VLOOKUP(R685,Sheet2!N:O,2,0)</f>
        <v>IREPARABLE</v>
      </c>
      <c r="T685" s="18" t="str">
        <f aca="false">VLOOKUP(P685,Sheet2!Q:R,2,0)</f>
        <v>IR Normal - BER to IR</v>
      </c>
      <c r="U685" s="20" t="s">
        <v>135</v>
      </c>
      <c r="V685" s="17" t="n">
        <v>12</v>
      </c>
      <c r="W685" s="20" t="str">
        <f aca="false">VLOOKUP(V685,Sheet2!Q:R,2,0)</f>
        <v>IR Normal - BER to IR</v>
      </c>
      <c r="X685" s="17" t="str">
        <f aca="false">J685</f>
        <v>A018</v>
      </c>
      <c r="Y685" s="17" t="str">
        <f aca="false">VLOOKUP(X685,Sheet2!A:B,2,0)</f>
        <v>PRAKASH CHAVDA</v>
      </c>
      <c r="Z685" s="17" t="s">
        <v>136</v>
      </c>
      <c r="AA685" s="17" t="s">
        <v>413</v>
      </c>
      <c r="AB685" s="17" t="s">
        <v>41</v>
      </c>
      <c r="AC685" s="0" t="str">
        <f aca="false">LEFT(G685,2)</f>
        <v>77</v>
      </c>
      <c r="AD685" s="0"/>
      <c r="AE685" s="21" t="s">
        <v>42</v>
      </c>
    </row>
    <row r="686" customFormat="false" ht="15" hidden="false" customHeight="false" outlineLevel="0" collapsed="false">
      <c r="A686" s="13" t="n">
        <f aca="false">1+A685</f>
        <v>684</v>
      </c>
      <c r="B686" s="17" t="n">
        <v>1009628298</v>
      </c>
      <c r="C686" s="17" t="s">
        <v>229</v>
      </c>
      <c r="D686" s="17" t="s">
        <v>64</v>
      </c>
      <c r="E686" s="17" t="s">
        <v>64</v>
      </c>
      <c r="F686" s="18" t="s">
        <v>70</v>
      </c>
      <c r="G686" s="19" t="n">
        <v>775322139566</v>
      </c>
      <c r="H686" s="17" t="s">
        <v>134</v>
      </c>
      <c r="I686" s="17" t="s">
        <v>69</v>
      </c>
      <c r="J686" s="17" t="s">
        <v>106</v>
      </c>
      <c r="K686" s="17" t="str">
        <f aca="false">VLOOKUP(J686,Sheet2!A:B,2,0)</f>
        <v>PRAKASH CHAVDA</v>
      </c>
      <c r="L686" s="17" t="n">
        <v>5</v>
      </c>
      <c r="M686" s="17" t="str">
        <f aca="false">VLOOKUP(L686,Sheet2!D:E,2,0)</f>
        <v>Main Processor CPU BGA</v>
      </c>
      <c r="N686" s="17" t="n">
        <v>24</v>
      </c>
      <c r="O686" s="17" t="str">
        <f aca="false">VLOOKUP(N686,Sheet2!G:H,2,0)</f>
        <v>STB Auto moving -Stand by mode</v>
      </c>
      <c r="P686" s="17" t="n">
        <v>12</v>
      </c>
      <c r="Q686" s="17" t="str">
        <f aca="false">VLOOKUP(P686,Sheet2!J:K,2,0)</f>
        <v>IR Declared due to Others ( IR Normal)TB</v>
      </c>
      <c r="R686" s="17" t="s">
        <v>35</v>
      </c>
      <c r="S686" s="17" t="str">
        <f aca="false">VLOOKUP(R686,Sheet2!N:O,2,0)</f>
        <v>IREPARABLE</v>
      </c>
      <c r="T686" s="18" t="str">
        <f aca="false">VLOOKUP(P686,Sheet2!Q:R,2,0)</f>
        <v>IR Normal - BER to IR</v>
      </c>
      <c r="U686" s="20" t="s">
        <v>135</v>
      </c>
      <c r="V686" s="17" t="n">
        <v>12</v>
      </c>
      <c r="W686" s="20" t="str">
        <f aca="false">VLOOKUP(V686,Sheet2!Q:R,2,0)</f>
        <v>IR Normal - BER to IR</v>
      </c>
      <c r="X686" s="17" t="str">
        <f aca="false">J686</f>
        <v>A018</v>
      </c>
      <c r="Y686" s="17" t="str">
        <f aca="false">VLOOKUP(X686,Sheet2!A:B,2,0)</f>
        <v>PRAKASH CHAVDA</v>
      </c>
      <c r="Z686" s="17" t="s">
        <v>136</v>
      </c>
      <c r="AA686" s="17" t="s">
        <v>413</v>
      </c>
      <c r="AB686" s="17" t="s">
        <v>41</v>
      </c>
      <c r="AC686" s="0" t="str">
        <f aca="false">LEFT(G686,2)</f>
        <v>77</v>
      </c>
      <c r="AD686" s="0"/>
      <c r="AE686" s="21" t="s">
        <v>42</v>
      </c>
    </row>
    <row r="687" customFormat="false" ht="15" hidden="false" customHeight="false" outlineLevel="0" collapsed="false">
      <c r="A687" s="13" t="n">
        <f aca="false">1+A686</f>
        <v>685</v>
      </c>
      <c r="B687" s="17" t="n">
        <v>1009628295</v>
      </c>
      <c r="C687" s="17" t="s">
        <v>229</v>
      </c>
      <c r="D687" s="17" t="s">
        <v>64</v>
      </c>
      <c r="E687" s="17" t="s">
        <v>47</v>
      </c>
      <c r="F687" s="18" t="s">
        <v>34</v>
      </c>
      <c r="G687" s="19" t="n">
        <v>775311193996</v>
      </c>
      <c r="H687" s="17" t="s">
        <v>134</v>
      </c>
      <c r="I687" s="17" t="s">
        <v>69</v>
      </c>
      <c r="J687" s="17" t="s">
        <v>106</v>
      </c>
      <c r="K687" s="17" t="str">
        <f aca="false">VLOOKUP(J687,Sheet2!A:B,2,0)</f>
        <v>PRAKASH CHAVDA</v>
      </c>
      <c r="L687" s="17" t="n">
        <v>5</v>
      </c>
      <c r="M687" s="17" t="str">
        <f aca="false">VLOOKUP(L687,Sheet2!D:E,2,0)</f>
        <v>Main Processor CPU BGA</v>
      </c>
      <c r="N687" s="17" t="n">
        <v>1</v>
      </c>
      <c r="O687" s="17" t="str">
        <f aca="false">VLOOKUP(N687,Sheet2!G:H,2,0)</f>
        <v>Dead</v>
      </c>
      <c r="P687" s="17" t="n">
        <v>12</v>
      </c>
      <c r="Q687" s="17" t="str">
        <f aca="false">VLOOKUP(P687,Sheet2!J:K,2,0)</f>
        <v>IR Declared due to Others ( IR Normal)TB</v>
      </c>
      <c r="R687" s="17" t="s">
        <v>35</v>
      </c>
      <c r="S687" s="17" t="str">
        <f aca="false">VLOOKUP(R687,Sheet2!N:O,2,0)</f>
        <v>IREPARABLE</v>
      </c>
      <c r="T687" s="18" t="str">
        <f aca="false">VLOOKUP(P687,Sheet2!Q:R,2,0)</f>
        <v>IR Normal - BER to IR</v>
      </c>
      <c r="U687" s="20" t="s">
        <v>135</v>
      </c>
      <c r="V687" s="17" t="n">
        <v>12</v>
      </c>
      <c r="W687" s="20" t="str">
        <f aca="false">VLOOKUP(V687,Sheet2!Q:R,2,0)</f>
        <v>IR Normal - BER to IR</v>
      </c>
      <c r="X687" s="17" t="str">
        <f aca="false">J687</f>
        <v>A018</v>
      </c>
      <c r="Y687" s="17" t="str">
        <f aca="false">VLOOKUP(X687,Sheet2!A:B,2,0)</f>
        <v>PRAKASH CHAVDA</v>
      </c>
      <c r="Z687" s="17" t="s">
        <v>136</v>
      </c>
      <c r="AA687" s="17" t="s">
        <v>413</v>
      </c>
      <c r="AB687" s="17" t="s">
        <v>41</v>
      </c>
      <c r="AC687" s="0" t="str">
        <f aca="false">LEFT(G687,2)</f>
        <v>77</v>
      </c>
      <c r="AD687" s="0"/>
      <c r="AE687" s="21" t="s">
        <v>42</v>
      </c>
    </row>
    <row r="688" customFormat="false" ht="15" hidden="false" customHeight="false" outlineLevel="0" collapsed="false">
      <c r="A688" s="13" t="n">
        <f aca="false">1+A687</f>
        <v>686</v>
      </c>
      <c r="B688" s="17" t="n">
        <v>1009628282</v>
      </c>
      <c r="C688" s="17" t="s">
        <v>229</v>
      </c>
      <c r="D688" s="17" t="s">
        <v>281</v>
      </c>
      <c r="E688" s="17" t="s">
        <v>200</v>
      </c>
      <c r="F688" s="18" t="s">
        <v>34</v>
      </c>
      <c r="G688" s="19" t="n">
        <v>775310137515</v>
      </c>
      <c r="H688" s="17" t="s">
        <v>134</v>
      </c>
      <c r="I688" s="17" t="s">
        <v>69</v>
      </c>
      <c r="J688" s="17" t="s">
        <v>106</v>
      </c>
      <c r="K688" s="17" t="str">
        <f aca="false">VLOOKUP(J688,Sheet2!A:B,2,0)</f>
        <v>PRAKASH CHAVDA</v>
      </c>
      <c r="L688" s="17" t="n">
        <v>5</v>
      </c>
      <c r="M688" s="17" t="str">
        <f aca="false">VLOOKUP(L688,Sheet2!D:E,2,0)</f>
        <v>Main Processor CPU BGA</v>
      </c>
      <c r="N688" s="17" t="n">
        <v>1</v>
      </c>
      <c r="O688" s="17" t="str">
        <f aca="false">VLOOKUP(N688,Sheet2!G:H,2,0)</f>
        <v>Dead</v>
      </c>
      <c r="P688" s="17" t="n">
        <v>12</v>
      </c>
      <c r="Q688" s="17" t="str">
        <f aca="false">VLOOKUP(P688,Sheet2!J:K,2,0)</f>
        <v>IR Declared due to Others ( IR Normal)TB</v>
      </c>
      <c r="R688" s="17" t="s">
        <v>35</v>
      </c>
      <c r="S688" s="17" t="str">
        <f aca="false">VLOOKUP(R688,Sheet2!N:O,2,0)</f>
        <v>IREPARABLE</v>
      </c>
      <c r="T688" s="18" t="str">
        <f aca="false">VLOOKUP(P688,Sheet2!Q:R,2,0)</f>
        <v>IR Normal - BER to IR</v>
      </c>
      <c r="U688" s="20" t="s">
        <v>135</v>
      </c>
      <c r="V688" s="17" t="n">
        <v>12</v>
      </c>
      <c r="W688" s="20" t="str">
        <f aca="false">VLOOKUP(V688,Sheet2!Q:R,2,0)</f>
        <v>IR Normal - BER to IR</v>
      </c>
      <c r="X688" s="17" t="str">
        <f aca="false">J688</f>
        <v>A018</v>
      </c>
      <c r="Y688" s="17" t="str">
        <f aca="false">VLOOKUP(X688,Sheet2!A:B,2,0)</f>
        <v>PRAKASH CHAVDA</v>
      </c>
      <c r="Z688" s="17" t="s">
        <v>136</v>
      </c>
      <c r="AA688" s="17" t="s">
        <v>413</v>
      </c>
      <c r="AB688" s="17" t="s">
        <v>41</v>
      </c>
      <c r="AC688" s="0" t="str">
        <f aca="false">LEFT(G688,2)</f>
        <v>77</v>
      </c>
      <c r="AD688" s="0"/>
      <c r="AE688" s="21" t="s">
        <v>42</v>
      </c>
    </row>
    <row r="689" customFormat="false" ht="15" hidden="false" customHeight="false" outlineLevel="0" collapsed="false">
      <c r="A689" s="13" t="n">
        <f aca="false">1+A688</f>
        <v>687</v>
      </c>
      <c r="B689" s="17" t="n">
        <v>1009627017</v>
      </c>
      <c r="C689" s="17" t="s">
        <v>163</v>
      </c>
      <c r="D689" s="17" t="s">
        <v>64</v>
      </c>
      <c r="E689" s="17" t="s">
        <v>64</v>
      </c>
      <c r="F689" s="18" t="s">
        <v>70</v>
      </c>
      <c r="G689" s="19" t="n">
        <v>775243045322</v>
      </c>
      <c r="H689" s="17" t="s">
        <v>134</v>
      </c>
      <c r="I689" s="17" t="s">
        <v>69</v>
      </c>
      <c r="J689" s="17" t="s">
        <v>106</v>
      </c>
      <c r="K689" s="17" t="str">
        <f aca="false">VLOOKUP(J689,Sheet2!A:B,2,0)</f>
        <v>PRAKASH CHAVDA</v>
      </c>
      <c r="L689" s="17" t="n">
        <v>5</v>
      </c>
      <c r="M689" s="17" t="str">
        <f aca="false">VLOOKUP(L689,Sheet2!D:E,2,0)</f>
        <v>Main Processor CPU BGA</v>
      </c>
      <c r="N689" s="17" t="n">
        <v>1</v>
      </c>
      <c r="O689" s="17" t="str">
        <f aca="false">VLOOKUP(N689,Sheet2!G:H,2,0)</f>
        <v>Dead</v>
      </c>
      <c r="P689" s="17" t="n">
        <v>12</v>
      </c>
      <c r="Q689" s="17" t="str">
        <f aca="false">VLOOKUP(P689,Sheet2!J:K,2,0)</f>
        <v>IR Declared due to Others ( IR Normal)TB</v>
      </c>
      <c r="R689" s="17" t="s">
        <v>35</v>
      </c>
      <c r="S689" s="17" t="str">
        <f aca="false">VLOOKUP(R689,Sheet2!N:O,2,0)</f>
        <v>IREPARABLE</v>
      </c>
      <c r="T689" s="18" t="str">
        <f aca="false">VLOOKUP(P689,Sheet2!Q:R,2,0)</f>
        <v>IR Normal - BER to IR</v>
      </c>
      <c r="U689" s="20" t="s">
        <v>135</v>
      </c>
      <c r="V689" s="17" t="n">
        <v>12</v>
      </c>
      <c r="W689" s="20" t="str">
        <f aca="false">VLOOKUP(V689,Sheet2!Q:R,2,0)</f>
        <v>IR Normal - BER to IR</v>
      </c>
      <c r="X689" s="17" t="str">
        <f aca="false">J689</f>
        <v>A018</v>
      </c>
      <c r="Y689" s="17" t="str">
        <f aca="false">VLOOKUP(X689,Sheet2!A:B,2,0)</f>
        <v>PRAKASH CHAVDA</v>
      </c>
      <c r="Z689" s="17" t="s">
        <v>136</v>
      </c>
      <c r="AA689" s="17" t="s">
        <v>413</v>
      </c>
      <c r="AB689" s="17" t="s">
        <v>41</v>
      </c>
      <c r="AC689" s="0" t="str">
        <f aca="false">LEFT(G689,2)</f>
        <v>77</v>
      </c>
      <c r="AD689" s="0"/>
      <c r="AE689" s="21" t="s">
        <v>42</v>
      </c>
    </row>
    <row r="690" customFormat="false" ht="15" hidden="false" customHeight="false" outlineLevel="0" collapsed="false">
      <c r="A690" s="13" t="n">
        <f aca="false">1+A689</f>
        <v>688</v>
      </c>
      <c r="B690" s="17" t="n">
        <v>1009630826</v>
      </c>
      <c r="C690" s="17" t="s">
        <v>233</v>
      </c>
      <c r="D690" s="17" t="s">
        <v>64</v>
      </c>
      <c r="E690" s="17" t="s">
        <v>64</v>
      </c>
      <c r="F690" s="18" t="s">
        <v>70</v>
      </c>
      <c r="G690" s="19" t="n">
        <v>775311171893</v>
      </c>
      <c r="H690" s="17" t="s">
        <v>134</v>
      </c>
      <c r="I690" s="17" t="s">
        <v>69</v>
      </c>
      <c r="J690" s="17" t="s">
        <v>106</v>
      </c>
      <c r="K690" s="17" t="str">
        <f aca="false">VLOOKUP(J690,Sheet2!A:B,2,0)</f>
        <v>PRAKASH CHAVDA</v>
      </c>
      <c r="L690" s="17" t="n">
        <v>5</v>
      </c>
      <c r="M690" s="17" t="str">
        <f aca="false">VLOOKUP(L690,Sheet2!D:E,2,0)</f>
        <v>Main Processor CPU BGA</v>
      </c>
      <c r="N690" s="17" t="n">
        <v>24</v>
      </c>
      <c r="O690" s="17" t="str">
        <f aca="false">VLOOKUP(N690,Sheet2!G:H,2,0)</f>
        <v>STB Auto moving -Stand by mode</v>
      </c>
      <c r="P690" s="17" t="n">
        <v>12</v>
      </c>
      <c r="Q690" s="17" t="str">
        <f aca="false">VLOOKUP(P690,Sheet2!J:K,2,0)</f>
        <v>IR Declared due to Others ( IR Normal)TB</v>
      </c>
      <c r="R690" s="17" t="s">
        <v>35</v>
      </c>
      <c r="S690" s="17" t="str">
        <f aca="false">VLOOKUP(R690,Sheet2!N:O,2,0)</f>
        <v>IREPARABLE</v>
      </c>
      <c r="T690" s="18" t="str">
        <f aca="false">VLOOKUP(P690,Sheet2!Q:R,2,0)</f>
        <v>IR Normal - BER to IR</v>
      </c>
      <c r="U690" s="20" t="s">
        <v>135</v>
      </c>
      <c r="V690" s="17" t="n">
        <v>12</v>
      </c>
      <c r="W690" s="20" t="str">
        <f aca="false">VLOOKUP(V690,Sheet2!Q:R,2,0)</f>
        <v>IR Normal - BER to IR</v>
      </c>
      <c r="X690" s="17" t="str">
        <f aca="false">J690</f>
        <v>A018</v>
      </c>
      <c r="Y690" s="17" t="str">
        <f aca="false">VLOOKUP(X690,Sheet2!A:B,2,0)</f>
        <v>PRAKASH CHAVDA</v>
      </c>
      <c r="Z690" s="17" t="s">
        <v>136</v>
      </c>
      <c r="AA690" s="17" t="s">
        <v>413</v>
      </c>
      <c r="AB690" s="17" t="s">
        <v>41</v>
      </c>
      <c r="AC690" s="0" t="str">
        <f aca="false">LEFT(G690,2)</f>
        <v>77</v>
      </c>
      <c r="AD690" s="0"/>
      <c r="AE690" s="21" t="s">
        <v>42</v>
      </c>
    </row>
    <row r="691" customFormat="false" ht="15" hidden="false" customHeight="false" outlineLevel="0" collapsed="false">
      <c r="A691" s="13" t="n">
        <f aca="false">1+A690</f>
        <v>689</v>
      </c>
      <c r="B691" s="17" t="n">
        <v>1009622256</v>
      </c>
      <c r="C691" s="17" t="s">
        <v>184</v>
      </c>
      <c r="D691" s="17" t="s">
        <v>64</v>
      </c>
      <c r="E691" s="17" t="s">
        <v>47</v>
      </c>
      <c r="F691" s="18" t="s">
        <v>34</v>
      </c>
      <c r="G691" s="19" t="n">
        <v>775330126894</v>
      </c>
      <c r="H691" s="17" t="s">
        <v>134</v>
      </c>
      <c r="I691" s="17" t="s">
        <v>69</v>
      </c>
      <c r="J691" s="17" t="s">
        <v>106</v>
      </c>
      <c r="K691" s="17" t="str">
        <f aca="false">VLOOKUP(J691,Sheet2!A:B,2,0)</f>
        <v>PRAKASH CHAVDA</v>
      </c>
      <c r="L691" s="17" t="n">
        <v>5</v>
      </c>
      <c r="M691" s="17" t="str">
        <f aca="false">VLOOKUP(L691,Sheet2!D:E,2,0)</f>
        <v>Main Processor CPU BGA</v>
      </c>
      <c r="N691" s="17" t="n">
        <v>1</v>
      </c>
      <c r="O691" s="17" t="str">
        <f aca="false">VLOOKUP(N691,Sheet2!G:H,2,0)</f>
        <v>Dead</v>
      </c>
      <c r="P691" s="17" t="n">
        <v>12</v>
      </c>
      <c r="Q691" s="17" t="str">
        <f aca="false">VLOOKUP(P691,Sheet2!J:K,2,0)</f>
        <v>IR Declared due to Others ( IR Normal)TB</v>
      </c>
      <c r="R691" s="17" t="s">
        <v>35</v>
      </c>
      <c r="S691" s="17" t="str">
        <f aca="false">VLOOKUP(R691,Sheet2!N:O,2,0)</f>
        <v>IREPARABLE</v>
      </c>
      <c r="T691" s="18" t="str">
        <f aca="false">VLOOKUP(P691,Sheet2!Q:R,2,0)</f>
        <v>IR Normal - BER to IR</v>
      </c>
      <c r="U691" s="20" t="s">
        <v>135</v>
      </c>
      <c r="V691" s="17" t="n">
        <v>12</v>
      </c>
      <c r="W691" s="20" t="str">
        <f aca="false">VLOOKUP(V691,Sheet2!Q:R,2,0)</f>
        <v>IR Normal - BER to IR</v>
      </c>
      <c r="X691" s="17" t="str">
        <f aca="false">J691</f>
        <v>A018</v>
      </c>
      <c r="Y691" s="17" t="str">
        <f aca="false">VLOOKUP(X691,Sheet2!A:B,2,0)</f>
        <v>PRAKASH CHAVDA</v>
      </c>
      <c r="Z691" s="17" t="s">
        <v>136</v>
      </c>
      <c r="AA691" s="17" t="s">
        <v>413</v>
      </c>
      <c r="AB691" s="17" t="s">
        <v>41</v>
      </c>
      <c r="AC691" s="0" t="str">
        <f aca="false">LEFT(G691,2)</f>
        <v>77</v>
      </c>
      <c r="AD691" s="0"/>
      <c r="AE691" s="21" t="s">
        <v>42</v>
      </c>
    </row>
    <row r="692" customFormat="false" ht="15" hidden="false" customHeight="false" outlineLevel="0" collapsed="false">
      <c r="A692" s="13" t="n">
        <f aca="false">1+A691</f>
        <v>690</v>
      </c>
      <c r="B692" s="17" t="n">
        <v>1009608107</v>
      </c>
      <c r="C692" s="17" t="s">
        <v>181</v>
      </c>
      <c r="D692" s="17" t="s">
        <v>64</v>
      </c>
      <c r="E692" s="17" t="s">
        <v>64</v>
      </c>
      <c r="F692" s="18" t="s">
        <v>70</v>
      </c>
      <c r="G692" s="19" t="n">
        <v>775078036859</v>
      </c>
      <c r="H692" s="17" t="s">
        <v>134</v>
      </c>
      <c r="I692" s="17" t="s">
        <v>69</v>
      </c>
      <c r="J692" s="17" t="s">
        <v>106</v>
      </c>
      <c r="K692" s="17" t="str">
        <f aca="false">VLOOKUP(J692,Sheet2!A:B,2,0)</f>
        <v>PRAKASH CHAVDA</v>
      </c>
      <c r="L692" s="17" t="n">
        <v>5</v>
      </c>
      <c r="M692" s="17" t="str">
        <f aca="false">VLOOKUP(L692,Sheet2!D:E,2,0)</f>
        <v>Main Processor CPU BGA</v>
      </c>
      <c r="N692" s="17" t="n">
        <v>24</v>
      </c>
      <c r="O692" s="17" t="str">
        <f aca="false">VLOOKUP(N692,Sheet2!G:H,2,0)</f>
        <v>STB Auto moving -Stand by mode</v>
      </c>
      <c r="P692" s="17" t="n">
        <v>12</v>
      </c>
      <c r="Q692" s="17" t="str">
        <f aca="false">VLOOKUP(P692,Sheet2!J:K,2,0)</f>
        <v>IR Declared due to Others ( IR Normal)TB</v>
      </c>
      <c r="R692" s="17" t="s">
        <v>35</v>
      </c>
      <c r="S692" s="17" t="str">
        <f aca="false">VLOOKUP(R692,Sheet2!N:O,2,0)</f>
        <v>IREPARABLE</v>
      </c>
      <c r="T692" s="18" t="str">
        <f aca="false">VLOOKUP(P692,Sheet2!Q:R,2,0)</f>
        <v>IR Normal - BER to IR</v>
      </c>
      <c r="U692" s="20" t="s">
        <v>135</v>
      </c>
      <c r="V692" s="17" t="n">
        <v>12</v>
      </c>
      <c r="W692" s="20" t="str">
        <f aca="false">VLOOKUP(V692,Sheet2!Q:R,2,0)</f>
        <v>IR Normal - BER to IR</v>
      </c>
      <c r="X692" s="17" t="str">
        <f aca="false">J692</f>
        <v>A018</v>
      </c>
      <c r="Y692" s="17" t="str">
        <f aca="false">VLOOKUP(X692,Sheet2!A:B,2,0)</f>
        <v>PRAKASH CHAVDA</v>
      </c>
      <c r="Z692" s="17" t="s">
        <v>136</v>
      </c>
      <c r="AA692" s="17" t="s">
        <v>413</v>
      </c>
      <c r="AB692" s="17" t="s">
        <v>41</v>
      </c>
      <c r="AC692" s="0" t="str">
        <f aca="false">LEFT(G692,2)</f>
        <v>77</v>
      </c>
      <c r="AD692" s="0"/>
      <c r="AE692" s="21" t="s">
        <v>42</v>
      </c>
    </row>
    <row r="693" customFormat="false" ht="15" hidden="false" customHeight="false" outlineLevel="0" collapsed="false">
      <c r="A693" s="13" t="n">
        <f aca="false">1+A692</f>
        <v>691</v>
      </c>
      <c r="B693" s="17" t="n">
        <v>1009620989</v>
      </c>
      <c r="C693" s="17" t="s">
        <v>184</v>
      </c>
      <c r="D693" s="17" t="s">
        <v>64</v>
      </c>
      <c r="E693" s="17" t="s">
        <v>64</v>
      </c>
      <c r="F693" s="18" t="s">
        <v>70</v>
      </c>
      <c r="G693" s="19" t="n">
        <v>774338102072</v>
      </c>
      <c r="H693" s="17" t="s">
        <v>134</v>
      </c>
      <c r="I693" s="17" t="s">
        <v>69</v>
      </c>
      <c r="J693" s="17" t="s">
        <v>106</v>
      </c>
      <c r="K693" s="17" t="str">
        <f aca="false">VLOOKUP(J693,Sheet2!A:B,2,0)</f>
        <v>PRAKASH CHAVDA</v>
      </c>
      <c r="L693" s="17" t="n">
        <v>5</v>
      </c>
      <c r="M693" s="17" t="str">
        <f aca="false">VLOOKUP(L693,Sheet2!D:E,2,0)</f>
        <v>Main Processor CPU BGA</v>
      </c>
      <c r="N693" s="17" t="n">
        <v>1</v>
      </c>
      <c r="O693" s="17" t="str">
        <f aca="false">VLOOKUP(N693,Sheet2!G:H,2,0)</f>
        <v>Dead</v>
      </c>
      <c r="P693" s="17" t="n">
        <v>12</v>
      </c>
      <c r="Q693" s="17" t="str">
        <f aca="false">VLOOKUP(P693,Sheet2!J:K,2,0)</f>
        <v>IR Declared due to Others ( IR Normal)TB</v>
      </c>
      <c r="R693" s="17" t="s">
        <v>35</v>
      </c>
      <c r="S693" s="17" t="str">
        <f aca="false">VLOOKUP(R693,Sheet2!N:O,2,0)</f>
        <v>IREPARABLE</v>
      </c>
      <c r="T693" s="18" t="str">
        <f aca="false">VLOOKUP(P693,Sheet2!Q:R,2,0)</f>
        <v>IR Normal - BER to IR</v>
      </c>
      <c r="U693" s="20" t="s">
        <v>135</v>
      </c>
      <c r="V693" s="17" t="n">
        <v>12</v>
      </c>
      <c r="W693" s="20" t="str">
        <f aca="false">VLOOKUP(V693,Sheet2!Q:R,2,0)</f>
        <v>IR Normal - BER to IR</v>
      </c>
      <c r="X693" s="17" t="str">
        <f aca="false">J693</f>
        <v>A018</v>
      </c>
      <c r="Y693" s="17" t="str">
        <f aca="false">VLOOKUP(X693,Sheet2!A:B,2,0)</f>
        <v>PRAKASH CHAVDA</v>
      </c>
      <c r="Z693" s="17" t="s">
        <v>136</v>
      </c>
      <c r="AA693" s="17" t="s">
        <v>413</v>
      </c>
      <c r="AB693" s="17" t="s">
        <v>41</v>
      </c>
      <c r="AC693" s="0" t="str">
        <f aca="false">LEFT(G693,2)</f>
        <v>77</v>
      </c>
      <c r="AD693" s="0"/>
      <c r="AE693" s="21" t="s">
        <v>42</v>
      </c>
    </row>
    <row r="694" customFormat="false" ht="15" hidden="false" customHeight="false" outlineLevel="0" collapsed="false">
      <c r="A694" s="13" t="n">
        <f aca="false">1+A693</f>
        <v>692</v>
      </c>
      <c r="B694" s="17" t="n">
        <v>1009651154</v>
      </c>
      <c r="C694" s="17" t="s">
        <v>204</v>
      </c>
      <c r="D694" s="17" t="s">
        <v>64</v>
      </c>
      <c r="E694" s="17" t="s">
        <v>33</v>
      </c>
      <c r="F694" s="18" t="s">
        <v>34</v>
      </c>
      <c r="G694" s="19" t="n">
        <v>775187003915</v>
      </c>
      <c r="H694" s="17" t="s">
        <v>134</v>
      </c>
      <c r="I694" s="17" t="s">
        <v>69</v>
      </c>
      <c r="J694" s="17" t="s">
        <v>106</v>
      </c>
      <c r="K694" s="17" t="str">
        <f aca="false">VLOOKUP(J694,Sheet2!A:B,2,0)</f>
        <v>PRAKASH CHAVDA</v>
      </c>
      <c r="L694" s="17" t="n">
        <v>5</v>
      </c>
      <c r="M694" s="17" t="str">
        <f aca="false">VLOOKUP(L694,Sheet2!D:E,2,0)</f>
        <v>Main Processor CPU BGA</v>
      </c>
      <c r="N694" s="17" t="n">
        <v>24</v>
      </c>
      <c r="O694" s="17" t="str">
        <f aca="false">VLOOKUP(N694,Sheet2!G:H,2,0)</f>
        <v>STB Auto moving -Stand by mode</v>
      </c>
      <c r="P694" s="17" t="n">
        <v>12</v>
      </c>
      <c r="Q694" s="17" t="str">
        <f aca="false">VLOOKUP(P694,Sheet2!J:K,2,0)</f>
        <v>IR Declared due to Others ( IR Normal)TB</v>
      </c>
      <c r="R694" s="17" t="s">
        <v>35</v>
      </c>
      <c r="S694" s="17" t="str">
        <f aca="false">VLOOKUP(R694,Sheet2!N:O,2,0)</f>
        <v>IREPARABLE</v>
      </c>
      <c r="T694" s="18" t="str">
        <f aca="false">VLOOKUP(P694,Sheet2!Q:R,2,0)</f>
        <v>IR Normal - BER to IR</v>
      </c>
      <c r="U694" s="20" t="s">
        <v>135</v>
      </c>
      <c r="V694" s="17" t="n">
        <v>12</v>
      </c>
      <c r="W694" s="20" t="str">
        <f aca="false">VLOOKUP(V694,Sheet2!Q:R,2,0)</f>
        <v>IR Normal - BER to IR</v>
      </c>
      <c r="X694" s="17" t="str">
        <f aca="false">J694</f>
        <v>A018</v>
      </c>
      <c r="Y694" s="17" t="str">
        <f aca="false">VLOOKUP(X694,Sheet2!A:B,2,0)</f>
        <v>PRAKASH CHAVDA</v>
      </c>
      <c r="Z694" s="17" t="s">
        <v>136</v>
      </c>
      <c r="AA694" s="17" t="s">
        <v>413</v>
      </c>
      <c r="AB694" s="17" t="s">
        <v>41</v>
      </c>
      <c r="AC694" s="0" t="str">
        <f aca="false">LEFT(G694,2)</f>
        <v>77</v>
      </c>
      <c r="AD694" s="0"/>
      <c r="AE694" s="21" t="s">
        <v>42</v>
      </c>
    </row>
    <row r="695" customFormat="false" ht="15" hidden="false" customHeight="false" outlineLevel="0" collapsed="false">
      <c r="A695" s="13" t="n">
        <f aca="false">1+A694</f>
        <v>693</v>
      </c>
      <c r="B695" s="17" t="n">
        <v>1009651109</v>
      </c>
      <c r="C695" s="17" t="s">
        <v>204</v>
      </c>
      <c r="D695" s="17" t="s">
        <v>64</v>
      </c>
      <c r="E695" s="17" t="s">
        <v>47</v>
      </c>
      <c r="F695" s="19" t="s">
        <v>34</v>
      </c>
      <c r="G695" s="19" t="n">
        <v>775320187799</v>
      </c>
      <c r="H695" s="17" t="s">
        <v>134</v>
      </c>
      <c r="I695" s="17" t="s">
        <v>69</v>
      </c>
      <c r="J695" s="17" t="s">
        <v>106</v>
      </c>
      <c r="K695" s="17" t="str">
        <f aca="false">VLOOKUP(J695,Sheet2!A:B,2,0)</f>
        <v>PRAKASH CHAVDA</v>
      </c>
      <c r="L695" s="17" t="n">
        <v>5</v>
      </c>
      <c r="M695" s="17" t="str">
        <f aca="false">VLOOKUP(L695,Sheet2!D:E,2,0)</f>
        <v>Main Processor CPU BGA</v>
      </c>
      <c r="N695" s="17" t="n">
        <v>1</v>
      </c>
      <c r="O695" s="17" t="str">
        <f aca="false">VLOOKUP(N695,Sheet2!G:H,2,0)</f>
        <v>Dead</v>
      </c>
      <c r="P695" s="17" t="n">
        <v>12</v>
      </c>
      <c r="Q695" s="17" t="str">
        <f aca="false">VLOOKUP(P695,Sheet2!J:K,2,0)</f>
        <v>IR Declared due to Others ( IR Normal)TB</v>
      </c>
      <c r="R695" s="17" t="s">
        <v>35</v>
      </c>
      <c r="S695" s="17" t="str">
        <f aca="false">VLOOKUP(R695,Sheet2!N:O,2,0)</f>
        <v>IREPARABLE</v>
      </c>
      <c r="T695" s="18" t="str">
        <f aca="false">VLOOKUP(P695,Sheet2!Q:R,2,0)</f>
        <v>IR Normal - BER to IR</v>
      </c>
      <c r="U695" s="20" t="s">
        <v>135</v>
      </c>
      <c r="V695" s="17" t="n">
        <v>12</v>
      </c>
      <c r="W695" s="20" t="str">
        <f aca="false">VLOOKUP(V695,Sheet2!Q:R,2,0)</f>
        <v>IR Normal - BER to IR</v>
      </c>
      <c r="X695" s="17" t="str">
        <f aca="false">J695</f>
        <v>A018</v>
      </c>
      <c r="Y695" s="17" t="str">
        <f aca="false">VLOOKUP(X695,Sheet2!A:B,2,0)</f>
        <v>PRAKASH CHAVDA</v>
      </c>
      <c r="Z695" s="17" t="s">
        <v>136</v>
      </c>
      <c r="AA695" s="17" t="s">
        <v>430</v>
      </c>
      <c r="AB695" s="17" t="s">
        <v>41</v>
      </c>
      <c r="AC695" s="0" t="str">
        <f aca="false">LEFT(G695,2)</f>
        <v>77</v>
      </c>
      <c r="AD695" s="0"/>
      <c r="AE695" s="21" t="s">
        <v>42</v>
      </c>
    </row>
    <row r="696" customFormat="false" ht="15" hidden="false" customHeight="false" outlineLevel="0" collapsed="false">
      <c r="A696" s="13" t="n">
        <f aca="false">1+A695</f>
        <v>694</v>
      </c>
      <c r="B696" s="17" t="n">
        <v>1009651279</v>
      </c>
      <c r="C696" s="17" t="s">
        <v>204</v>
      </c>
      <c r="D696" s="17" t="s">
        <v>64</v>
      </c>
      <c r="E696" s="17" t="s">
        <v>47</v>
      </c>
      <c r="F696" s="19" t="s">
        <v>34</v>
      </c>
      <c r="G696" s="19" t="n">
        <v>775329166059</v>
      </c>
      <c r="H696" s="17" t="s">
        <v>134</v>
      </c>
      <c r="I696" s="17" t="s">
        <v>69</v>
      </c>
      <c r="J696" s="17" t="s">
        <v>106</v>
      </c>
      <c r="K696" s="17" t="str">
        <f aca="false">VLOOKUP(J696,Sheet2!A:B,2,0)</f>
        <v>PRAKASH CHAVDA</v>
      </c>
      <c r="L696" s="17" t="n">
        <v>5</v>
      </c>
      <c r="M696" s="17" t="str">
        <f aca="false">VLOOKUP(L696,Sheet2!D:E,2,0)</f>
        <v>Main Processor CPU BGA</v>
      </c>
      <c r="N696" s="17" t="n">
        <v>1</v>
      </c>
      <c r="O696" s="17" t="str">
        <f aca="false">VLOOKUP(N696,Sheet2!G:H,2,0)</f>
        <v>Dead</v>
      </c>
      <c r="P696" s="17" t="n">
        <v>12</v>
      </c>
      <c r="Q696" s="17" t="str">
        <f aca="false">VLOOKUP(P696,Sheet2!J:K,2,0)</f>
        <v>IR Declared due to Others ( IR Normal)TB</v>
      </c>
      <c r="R696" s="17" t="s">
        <v>35</v>
      </c>
      <c r="S696" s="17" t="str">
        <f aca="false">VLOOKUP(R696,Sheet2!N:O,2,0)</f>
        <v>IREPARABLE</v>
      </c>
      <c r="T696" s="18" t="str">
        <f aca="false">VLOOKUP(P696,Sheet2!Q:R,2,0)</f>
        <v>IR Normal - BER to IR</v>
      </c>
      <c r="U696" s="20" t="s">
        <v>135</v>
      </c>
      <c r="V696" s="17" t="n">
        <v>12</v>
      </c>
      <c r="W696" s="20" t="str">
        <f aca="false">VLOOKUP(V696,Sheet2!Q:R,2,0)</f>
        <v>IR Normal - BER to IR</v>
      </c>
      <c r="X696" s="17" t="str">
        <f aca="false">J696</f>
        <v>A018</v>
      </c>
      <c r="Y696" s="17" t="str">
        <f aca="false">VLOOKUP(X696,Sheet2!A:B,2,0)</f>
        <v>PRAKASH CHAVDA</v>
      </c>
      <c r="Z696" s="17" t="s">
        <v>136</v>
      </c>
      <c r="AA696" s="17" t="s">
        <v>430</v>
      </c>
      <c r="AB696" s="17" t="s">
        <v>41</v>
      </c>
      <c r="AC696" s="0" t="str">
        <f aca="false">LEFT(G696,2)</f>
        <v>77</v>
      </c>
      <c r="AD696" s="0"/>
      <c r="AE696" s="21" t="s">
        <v>42</v>
      </c>
    </row>
    <row r="697" customFormat="false" ht="15" hidden="false" customHeight="false" outlineLevel="0" collapsed="false">
      <c r="A697" s="13" t="n">
        <f aca="false">1+A696</f>
        <v>695</v>
      </c>
      <c r="B697" s="17" t="n">
        <v>1009476692</v>
      </c>
      <c r="C697" s="17" t="s">
        <v>90</v>
      </c>
      <c r="D697" s="17" t="s">
        <v>64</v>
      </c>
      <c r="E697" s="17" t="s">
        <v>64</v>
      </c>
      <c r="F697" s="18" t="s">
        <v>70</v>
      </c>
      <c r="G697" s="19" t="n">
        <v>775328187676</v>
      </c>
      <c r="H697" s="17" t="s">
        <v>134</v>
      </c>
      <c r="I697" s="17" t="s">
        <v>69</v>
      </c>
      <c r="J697" s="17" t="s">
        <v>106</v>
      </c>
      <c r="K697" s="17" t="str">
        <f aca="false">VLOOKUP(J697,Sheet2!A:B,2,0)</f>
        <v>PRAKASH CHAVDA</v>
      </c>
      <c r="L697" s="17" t="n">
        <v>5</v>
      </c>
      <c r="M697" s="17" t="str">
        <f aca="false">VLOOKUP(L697,Sheet2!D:E,2,0)</f>
        <v>Main Processor CPU BGA</v>
      </c>
      <c r="N697" s="17" t="n">
        <v>10</v>
      </c>
      <c r="O697" s="17" t="str">
        <f aca="false">VLOOKUP(N697,Sheet2!G:H,2,0)</f>
        <v>No Audio - HDMI</v>
      </c>
      <c r="P697" s="17" t="n">
        <v>12</v>
      </c>
      <c r="Q697" s="17" t="str">
        <f aca="false">VLOOKUP(P697,Sheet2!J:K,2,0)</f>
        <v>IR Declared due to Others ( IR Normal)TB</v>
      </c>
      <c r="R697" s="17" t="s">
        <v>35</v>
      </c>
      <c r="S697" s="17" t="str">
        <f aca="false">VLOOKUP(R697,Sheet2!N:O,2,0)</f>
        <v>IREPARABLE</v>
      </c>
      <c r="T697" s="18" t="str">
        <f aca="false">VLOOKUP(P697,Sheet2!Q:R,2,0)</f>
        <v>IR Normal - BER to IR</v>
      </c>
      <c r="U697" s="20" t="s">
        <v>135</v>
      </c>
      <c r="V697" s="17" t="n">
        <v>12</v>
      </c>
      <c r="W697" s="20" t="str">
        <f aca="false">VLOOKUP(V697,Sheet2!Q:R,2,0)</f>
        <v>IR Normal - BER to IR</v>
      </c>
      <c r="X697" s="17" t="str">
        <f aca="false">J697</f>
        <v>A018</v>
      </c>
      <c r="Y697" s="17" t="str">
        <f aca="false">VLOOKUP(X697,Sheet2!A:B,2,0)</f>
        <v>PRAKASH CHAVDA</v>
      </c>
      <c r="Z697" s="17" t="s">
        <v>136</v>
      </c>
      <c r="AA697" s="17" t="s">
        <v>430</v>
      </c>
      <c r="AB697" s="17" t="s">
        <v>41</v>
      </c>
      <c r="AC697" s="0" t="str">
        <f aca="false">LEFT(G697,2)</f>
        <v>77</v>
      </c>
      <c r="AD697" s="0"/>
      <c r="AE697" s="21" t="s">
        <v>42</v>
      </c>
    </row>
    <row r="698" customFormat="false" ht="15" hidden="false" customHeight="false" outlineLevel="0" collapsed="false">
      <c r="A698" s="13" t="n">
        <f aca="false">1+A697</f>
        <v>696</v>
      </c>
      <c r="B698" s="17" t="n">
        <v>1009503020</v>
      </c>
      <c r="C698" s="17" t="s">
        <v>95</v>
      </c>
      <c r="D698" s="17" t="s">
        <v>64</v>
      </c>
      <c r="E698" s="17" t="s">
        <v>64</v>
      </c>
      <c r="F698" s="18" t="s">
        <v>70</v>
      </c>
      <c r="G698" s="19" t="n">
        <v>775091012424</v>
      </c>
      <c r="H698" s="17" t="s">
        <v>134</v>
      </c>
      <c r="I698" s="17" t="s">
        <v>69</v>
      </c>
      <c r="J698" s="17" t="s">
        <v>106</v>
      </c>
      <c r="K698" s="17" t="str">
        <f aca="false">VLOOKUP(J698,Sheet2!A:B,2,0)</f>
        <v>PRAKASH CHAVDA</v>
      </c>
      <c r="L698" s="17" t="n">
        <v>5</v>
      </c>
      <c r="M698" s="17" t="str">
        <f aca="false">VLOOKUP(L698,Sheet2!D:E,2,0)</f>
        <v>Main Processor CPU BGA</v>
      </c>
      <c r="N698" s="17" t="n">
        <v>1</v>
      </c>
      <c r="O698" s="17" t="str">
        <f aca="false">VLOOKUP(N698,Sheet2!G:H,2,0)</f>
        <v>Dead</v>
      </c>
      <c r="P698" s="17" t="n">
        <v>12</v>
      </c>
      <c r="Q698" s="17" t="str">
        <f aca="false">VLOOKUP(P698,Sheet2!J:K,2,0)</f>
        <v>IR Declared due to Others ( IR Normal)TB</v>
      </c>
      <c r="R698" s="17" t="s">
        <v>35</v>
      </c>
      <c r="S698" s="17" t="str">
        <f aca="false">VLOOKUP(R698,Sheet2!N:O,2,0)</f>
        <v>IREPARABLE</v>
      </c>
      <c r="T698" s="18" t="str">
        <f aca="false">VLOOKUP(P698,Sheet2!Q:R,2,0)</f>
        <v>IR Normal - BER to IR</v>
      </c>
      <c r="U698" s="20" t="s">
        <v>135</v>
      </c>
      <c r="V698" s="17" t="n">
        <v>12</v>
      </c>
      <c r="W698" s="20" t="str">
        <f aca="false">VLOOKUP(V698,Sheet2!Q:R,2,0)</f>
        <v>IR Normal - BER to IR</v>
      </c>
      <c r="X698" s="17" t="str">
        <f aca="false">J698</f>
        <v>A018</v>
      </c>
      <c r="Y698" s="17" t="str">
        <f aca="false">VLOOKUP(X698,Sheet2!A:B,2,0)</f>
        <v>PRAKASH CHAVDA</v>
      </c>
      <c r="Z698" s="17" t="s">
        <v>136</v>
      </c>
      <c r="AA698" s="17" t="s">
        <v>430</v>
      </c>
      <c r="AB698" s="17" t="s">
        <v>41</v>
      </c>
      <c r="AC698" s="0" t="str">
        <f aca="false">LEFT(G698,2)</f>
        <v>77</v>
      </c>
      <c r="AD698" s="0"/>
      <c r="AE698" s="21" t="s">
        <v>42</v>
      </c>
    </row>
    <row r="699" customFormat="false" ht="15" hidden="false" customHeight="false" outlineLevel="0" collapsed="false">
      <c r="A699" s="13" t="n">
        <f aca="false">1+A698</f>
        <v>697</v>
      </c>
      <c r="B699" s="17" t="n">
        <v>1009633259</v>
      </c>
      <c r="C699" s="17" t="s">
        <v>174</v>
      </c>
      <c r="D699" s="17" t="s">
        <v>64</v>
      </c>
      <c r="E699" s="17" t="s">
        <v>64</v>
      </c>
      <c r="F699" s="18" t="s">
        <v>70</v>
      </c>
      <c r="G699" s="19" t="n">
        <v>775240036589</v>
      </c>
      <c r="H699" s="17" t="s">
        <v>134</v>
      </c>
      <c r="I699" s="17" t="s">
        <v>69</v>
      </c>
      <c r="J699" s="17" t="s">
        <v>106</v>
      </c>
      <c r="K699" s="17" t="str">
        <f aca="false">VLOOKUP(J699,Sheet2!A:B,2,0)</f>
        <v>PRAKASH CHAVDA</v>
      </c>
      <c r="L699" s="17" t="n">
        <v>5</v>
      </c>
      <c r="M699" s="17" t="str">
        <f aca="false">VLOOKUP(L699,Sheet2!D:E,2,0)</f>
        <v>Main Processor CPU BGA</v>
      </c>
      <c r="N699" s="17" t="n">
        <v>1</v>
      </c>
      <c r="O699" s="17" t="str">
        <f aca="false">VLOOKUP(N699,Sheet2!G:H,2,0)</f>
        <v>Dead</v>
      </c>
      <c r="P699" s="17" t="n">
        <v>12</v>
      </c>
      <c r="Q699" s="17" t="str">
        <f aca="false">VLOOKUP(P699,Sheet2!J:K,2,0)</f>
        <v>IR Declared due to Others ( IR Normal)TB</v>
      </c>
      <c r="R699" s="17" t="s">
        <v>35</v>
      </c>
      <c r="S699" s="17" t="str">
        <f aca="false">VLOOKUP(R699,Sheet2!N:O,2,0)</f>
        <v>IREPARABLE</v>
      </c>
      <c r="T699" s="18" t="str">
        <f aca="false">VLOOKUP(P699,Sheet2!Q:R,2,0)</f>
        <v>IR Normal - BER to IR</v>
      </c>
      <c r="U699" s="20" t="s">
        <v>135</v>
      </c>
      <c r="V699" s="17" t="n">
        <v>12</v>
      </c>
      <c r="W699" s="20" t="str">
        <f aca="false">VLOOKUP(V699,Sheet2!Q:R,2,0)</f>
        <v>IR Normal - BER to IR</v>
      </c>
      <c r="X699" s="17" t="str">
        <f aca="false">J699</f>
        <v>A018</v>
      </c>
      <c r="Y699" s="17" t="str">
        <f aca="false">VLOOKUP(X699,Sheet2!A:B,2,0)</f>
        <v>PRAKASH CHAVDA</v>
      </c>
      <c r="Z699" s="17" t="s">
        <v>136</v>
      </c>
      <c r="AA699" s="17" t="s">
        <v>430</v>
      </c>
      <c r="AB699" s="17" t="s">
        <v>41</v>
      </c>
      <c r="AC699" s="0" t="str">
        <f aca="false">LEFT(G699,2)</f>
        <v>77</v>
      </c>
      <c r="AD699" s="0"/>
      <c r="AE699" s="21" t="s">
        <v>42</v>
      </c>
    </row>
    <row r="700" customFormat="false" ht="15" hidden="false" customHeight="false" outlineLevel="0" collapsed="false">
      <c r="A700" s="13" t="n">
        <f aca="false">1+A699</f>
        <v>698</v>
      </c>
      <c r="B700" s="17" t="n">
        <v>1009628271</v>
      </c>
      <c r="C700" s="17" t="s">
        <v>229</v>
      </c>
      <c r="D700" s="17" t="s">
        <v>64</v>
      </c>
      <c r="E700" s="17" t="s">
        <v>64</v>
      </c>
      <c r="F700" s="18" t="s">
        <v>70</v>
      </c>
      <c r="G700" s="19" t="n">
        <v>775078001119</v>
      </c>
      <c r="H700" s="17" t="s">
        <v>134</v>
      </c>
      <c r="I700" s="17" t="s">
        <v>69</v>
      </c>
      <c r="J700" s="17" t="s">
        <v>106</v>
      </c>
      <c r="K700" s="17" t="str">
        <f aca="false">VLOOKUP(J700,Sheet2!A:B,2,0)</f>
        <v>PRAKASH CHAVDA</v>
      </c>
      <c r="L700" s="17" t="n">
        <v>5</v>
      </c>
      <c r="M700" s="17" t="str">
        <f aca="false">VLOOKUP(L700,Sheet2!D:E,2,0)</f>
        <v>Main Processor CPU BGA</v>
      </c>
      <c r="N700" s="17" t="n">
        <v>24</v>
      </c>
      <c r="O700" s="17" t="str">
        <f aca="false">VLOOKUP(N700,Sheet2!G:H,2,0)</f>
        <v>STB Auto moving -Stand by mode</v>
      </c>
      <c r="P700" s="17" t="n">
        <v>12</v>
      </c>
      <c r="Q700" s="17" t="str">
        <f aca="false">VLOOKUP(P700,Sheet2!J:K,2,0)</f>
        <v>IR Declared due to Others ( IR Normal)TB</v>
      </c>
      <c r="R700" s="17" t="s">
        <v>35</v>
      </c>
      <c r="S700" s="17" t="str">
        <f aca="false">VLOOKUP(R700,Sheet2!N:O,2,0)</f>
        <v>IREPARABLE</v>
      </c>
      <c r="T700" s="18" t="str">
        <f aca="false">VLOOKUP(P700,Sheet2!Q:R,2,0)</f>
        <v>IR Normal - BER to IR</v>
      </c>
      <c r="U700" s="20" t="s">
        <v>135</v>
      </c>
      <c r="V700" s="17" t="n">
        <v>12</v>
      </c>
      <c r="W700" s="20" t="str">
        <f aca="false">VLOOKUP(V700,Sheet2!Q:R,2,0)</f>
        <v>IR Normal - BER to IR</v>
      </c>
      <c r="X700" s="17" t="str">
        <f aca="false">J700</f>
        <v>A018</v>
      </c>
      <c r="Y700" s="17" t="str">
        <f aca="false">VLOOKUP(X700,Sheet2!A:B,2,0)</f>
        <v>PRAKASH CHAVDA</v>
      </c>
      <c r="Z700" s="17" t="s">
        <v>136</v>
      </c>
      <c r="AA700" s="17" t="s">
        <v>430</v>
      </c>
      <c r="AB700" s="17" t="s">
        <v>41</v>
      </c>
      <c r="AC700" s="0" t="str">
        <f aca="false">LEFT(G700,2)</f>
        <v>77</v>
      </c>
      <c r="AD700" s="0"/>
      <c r="AE700" s="21" t="s">
        <v>42</v>
      </c>
    </row>
    <row r="701" customFormat="false" ht="15" hidden="false" customHeight="false" outlineLevel="0" collapsed="false">
      <c r="A701" s="13" t="n">
        <f aca="false">1+A700</f>
        <v>699</v>
      </c>
      <c r="B701" s="17" t="n">
        <v>1009562922</v>
      </c>
      <c r="C701" s="17" t="s">
        <v>192</v>
      </c>
      <c r="D701" s="17" t="s">
        <v>64</v>
      </c>
      <c r="E701" s="17" t="s">
        <v>64</v>
      </c>
      <c r="F701" s="18" t="s">
        <v>70</v>
      </c>
      <c r="G701" s="19" t="n">
        <v>774338080542</v>
      </c>
      <c r="H701" s="17" t="s">
        <v>134</v>
      </c>
      <c r="I701" s="17" t="s">
        <v>69</v>
      </c>
      <c r="J701" s="17" t="s">
        <v>106</v>
      </c>
      <c r="K701" s="17" t="str">
        <f aca="false">VLOOKUP(J701,Sheet2!A:B,2,0)</f>
        <v>PRAKASH CHAVDA</v>
      </c>
      <c r="L701" s="17" t="n">
        <v>5</v>
      </c>
      <c r="M701" s="17" t="str">
        <f aca="false">VLOOKUP(L701,Sheet2!D:E,2,0)</f>
        <v>Main Processor CPU BGA</v>
      </c>
      <c r="N701" s="17" t="n">
        <v>1</v>
      </c>
      <c r="O701" s="17" t="str">
        <f aca="false">VLOOKUP(N701,Sheet2!G:H,2,0)</f>
        <v>Dead</v>
      </c>
      <c r="P701" s="17" t="n">
        <v>12</v>
      </c>
      <c r="Q701" s="17" t="str">
        <f aca="false">VLOOKUP(P701,Sheet2!J:K,2,0)</f>
        <v>IR Declared due to Others ( IR Normal)TB</v>
      </c>
      <c r="R701" s="17" t="s">
        <v>35</v>
      </c>
      <c r="S701" s="17" t="str">
        <f aca="false">VLOOKUP(R701,Sheet2!N:O,2,0)</f>
        <v>IREPARABLE</v>
      </c>
      <c r="T701" s="18" t="str">
        <f aca="false">VLOOKUP(P701,Sheet2!Q:R,2,0)</f>
        <v>IR Normal - BER to IR</v>
      </c>
      <c r="U701" s="20" t="s">
        <v>135</v>
      </c>
      <c r="V701" s="17" t="n">
        <v>12</v>
      </c>
      <c r="W701" s="20" t="str">
        <f aca="false">VLOOKUP(V701,Sheet2!Q:R,2,0)</f>
        <v>IR Normal - BER to IR</v>
      </c>
      <c r="X701" s="17" t="str">
        <f aca="false">J701</f>
        <v>A018</v>
      </c>
      <c r="Y701" s="17" t="str">
        <f aca="false">VLOOKUP(X701,Sheet2!A:B,2,0)</f>
        <v>PRAKASH CHAVDA</v>
      </c>
      <c r="Z701" s="17" t="s">
        <v>136</v>
      </c>
      <c r="AA701" s="17" t="s">
        <v>430</v>
      </c>
      <c r="AB701" s="17" t="s">
        <v>41</v>
      </c>
      <c r="AC701" s="0" t="str">
        <f aca="false">LEFT(G701,2)</f>
        <v>77</v>
      </c>
      <c r="AD701" s="0"/>
      <c r="AE701" s="21" t="s">
        <v>42</v>
      </c>
    </row>
    <row r="702" customFormat="false" ht="15" hidden="false" customHeight="false" outlineLevel="0" collapsed="false">
      <c r="A702" s="13" t="n">
        <f aca="false">1+A701</f>
        <v>700</v>
      </c>
      <c r="B702" s="17" t="n">
        <v>1009562778</v>
      </c>
      <c r="C702" s="17" t="s">
        <v>192</v>
      </c>
      <c r="D702" s="17" t="s">
        <v>64</v>
      </c>
      <c r="E702" s="17" t="s">
        <v>47</v>
      </c>
      <c r="F702" s="19" t="s">
        <v>34</v>
      </c>
      <c r="G702" s="19" t="n">
        <v>774324039965</v>
      </c>
      <c r="H702" s="17" t="s">
        <v>134</v>
      </c>
      <c r="I702" s="17" t="s">
        <v>69</v>
      </c>
      <c r="J702" s="17" t="s">
        <v>106</v>
      </c>
      <c r="K702" s="17" t="str">
        <f aca="false">VLOOKUP(J702,Sheet2!A:B,2,0)</f>
        <v>PRAKASH CHAVDA</v>
      </c>
      <c r="L702" s="17" t="n">
        <v>5</v>
      </c>
      <c r="M702" s="17" t="str">
        <f aca="false">VLOOKUP(L702,Sheet2!D:E,2,0)</f>
        <v>Main Processor CPU BGA</v>
      </c>
      <c r="N702" s="17" t="n">
        <v>1</v>
      </c>
      <c r="O702" s="17" t="str">
        <f aca="false">VLOOKUP(N702,Sheet2!G:H,2,0)</f>
        <v>Dead</v>
      </c>
      <c r="P702" s="17" t="n">
        <v>12</v>
      </c>
      <c r="Q702" s="17" t="str">
        <f aca="false">VLOOKUP(P702,Sheet2!J:K,2,0)</f>
        <v>IR Declared due to Others ( IR Normal)TB</v>
      </c>
      <c r="R702" s="17" t="s">
        <v>35</v>
      </c>
      <c r="S702" s="17" t="str">
        <f aca="false">VLOOKUP(R702,Sheet2!N:O,2,0)</f>
        <v>IREPARABLE</v>
      </c>
      <c r="T702" s="18" t="str">
        <f aca="false">VLOOKUP(P702,Sheet2!Q:R,2,0)</f>
        <v>IR Normal - BER to IR</v>
      </c>
      <c r="U702" s="20" t="s">
        <v>135</v>
      </c>
      <c r="V702" s="17" t="n">
        <v>12</v>
      </c>
      <c r="W702" s="20" t="str">
        <f aca="false">VLOOKUP(V702,Sheet2!Q:R,2,0)</f>
        <v>IR Normal - BER to IR</v>
      </c>
      <c r="X702" s="17" t="str">
        <f aca="false">J702</f>
        <v>A018</v>
      </c>
      <c r="Y702" s="17" t="str">
        <f aca="false">VLOOKUP(X702,Sheet2!A:B,2,0)</f>
        <v>PRAKASH CHAVDA</v>
      </c>
      <c r="Z702" s="17" t="s">
        <v>136</v>
      </c>
      <c r="AA702" s="17" t="s">
        <v>430</v>
      </c>
      <c r="AB702" s="17" t="s">
        <v>41</v>
      </c>
      <c r="AC702" s="0" t="str">
        <f aca="false">LEFT(G702,2)</f>
        <v>77</v>
      </c>
      <c r="AD702" s="0"/>
      <c r="AE702" s="21" t="s">
        <v>42</v>
      </c>
    </row>
    <row r="703" customFormat="false" ht="15" hidden="false" customHeight="false" outlineLevel="0" collapsed="false">
      <c r="A703" s="13" t="n">
        <f aca="false">1+A702</f>
        <v>701</v>
      </c>
      <c r="B703" s="17" t="n">
        <v>1009571971</v>
      </c>
      <c r="C703" s="17" t="s">
        <v>431</v>
      </c>
      <c r="D703" s="17" t="s">
        <v>196</v>
      </c>
      <c r="E703" s="17" t="s">
        <v>47</v>
      </c>
      <c r="F703" s="19" t="s">
        <v>34</v>
      </c>
      <c r="G703" s="19" t="n">
        <v>775132047058</v>
      </c>
      <c r="H703" s="17" t="s">
        <v>134</v>
      </c>
      <c r="I703" s="17" t="s">
        <v>69</v>
      </c>
      <c r="J703" s="17" t="s">
        <v>106</v>
      </c>
      <c r="K703" s="17" t="str">
        <f aca="false">VLOOKUP(J703,Sheet2!A:B,2,0)</f>
        <v>PRAKASH CHAVDA</v>
      </c>
      <c r="L703" s="17" t="n">
        <v>5</v>
      </c>
      <c r="M703" s="17" t="str">
        <f aca="false">VLOOKUP(L703,Sheet2!D:E,2,0)</f>
        <v>Main Processor CPU BGA</v>
      </c>
      <c r="N703" s="17" t="n">
        <v>33</v>
      </c>
      <c r="O703" s="17" t="str">
        <f aca="false">VLOOKUP(N703,Sheet2!G:H,2,0)</f>
        <v>Software download failure</v>
      </c>
      <c r="P703" s="17" t="n">
        <v>12</v>
      </c>
      <c r="Q703" s="17" t="str">
        <f aca="false">VLOOKUP(P703,Sheet2!J:K,2,0)</f>
        <v>IR Declared due to Others ( IR Normal)TB</v>
      </c>
      <c r="R703" s="17" t="s">
        <v>35</v>
      </c>
      <c r="S703" s="17" t="str">
        <f aca="false">VLOOKUP(R703,Sheet2!N:O,2,0)</f>
        <v>IREPARABLE</v>
      </c>
      <c r="T703" s="18" t="str">
        <f aca="false">VLOOKUP(P703,Sheet2!Q:R,2,0)</f>
        <v>IR Normal - BER to IR</v>
      </c>
      <c r="U703" s="20" t="s">
        <v>135</v>
      </c>
      <c r="V703" s="17" t="n">
        <v>12</v>
      </c>
      <c r="W703" s="20" t="str">
        <f aca="false">VLOOKUP(V703,Sheet2!Q:R,2,0)</f>
        <v>IR Normal - BER to IR</v>
      </c>
      <c r="X703" s="17" t="str">
        <f aca="false">J703</f>
        <v>A018</v>
      </c>
      <c r="Y703" s="17" t="str">
        <f aca="false">VLOOKUP(X703,Sheet2!A:B,2,0)</f>
        <v>PRAKASH CHAVDA</v>
      </c>
      <c r="Z703" s="17" t="s">
        <v>136</v>
      </c>
      <c r="AA703" s="17" t="s">
        <v>430</v>
      </c>
      <c r="AB703" s="17" t="s">
        <v>41</v>
      </c>
      <c r="AC703" s="0" t="str">
        <f aca="false">LEFT(G703,2)</f>
        <v>77</v>
      </c>
      <c r="AD703" s="0"/>
      <c r="AE703" s="21" t="s">
        <v>42</v>
      </c>
    </row>
    <row r="704" customFormat="false" ht="15" hidden="false" customHeight="false" outlineLevel="0" collapsed="false">
      <c r="A704" s="13" t="n">
        <f aca="false">1+A703</f>
        <v>702</v>
      </c>
      <c r="B704" s="17" t="n">
        <v>1009447680</v>
      </c>
      <c r="C704" s="17" t="s">
        <v>189</v>
      </c>
      <c r="D704" s="17" t="s">
        <v>64</v>
      </c>
      <c r="E704" s="17" t="s">
        <v>178</v>
      </c>
      <c r="F704" s="19" t="s">
        <v>34</v>
      </c>
      <c r="G704" s="19" t="n">
        <v>775325155148</v>
      </c>
      <c r="H704" s="17" t="s">
        <v>134</v>
      </c>
      <c r="I704" s="17" t="s">
        <v>69</v>
      </c>
      <c r="J704" s="17" t="s">
        <v>106</v>
      </c>
      <c r="K704" s="17" t="str">
        <f aca="false">VLOOKUP(J704,Sheet2!A:B,2,0)</f>
        <v>PRAKASH CHAVDA</v>
      </c>
      <c r="L704" s="17" t="n">
        <v>5</v>
      </c>
      <c r="M704" s="17" t="str">
        <f aca="false">VLOOKUP(L704,Sheet2!D:E,2,0)</f>
        <v>Main Processor CPU BGA</v>
      </c>
      <c r="N704" s="17" t="n">
        <v>33</v>
      </c>
      <c r="O704" s="17" t="str">
        <f aca="false">VLOOKUP(N704,Sheet2!G:H,2,0)</f>
        <v>Software download failure</v>
      </c>
      <c r="P704" s="17" t="n">
        <v>12</v>
      </c>
      <c r="Q704" s="17" t="str">
        <f aca="false">VLOOKUP(P704,Sheet2!J:K,2,0)</f>
        <v>IR Declared due to Others ( IR Normal)TB</v>
      </c>
      <c r="R704" s="17" t="s">
        <v>35</v>
      </c>
      <c r="S704" s="17" t="str">
        <f aca="false">VLOOKUP(R704,Sheet2!N:O,2,0)</f>
        <v>IREPARABLE</v>
      </c>
      <c r="T704" s="18" t="str">
        <f aca="false">VLOOKUP(P704,Sheet2!Q:R,2,0)</f>
        <v>IR Normal - BER to IR</v>
      </c>
      <c r="U704" s="20" t="s">
        <v>135</v>
      </c>
      <c r="V704" s="17" t="n">
        <v>12</v>
      </c>
      <c r="W704" s="20" t="str">
        <f aca="false">VLOOKUP(V704,Sheet2!Q:R,2,0)</f>
        <v>IR Normal - BER to IR</v>
      </c>
      <c r="X704" s="17" t="str">
        <f aca="false">J704</f>
        <v>A018</v>
      </c>
      <c r="Y704" s="17" t="str">
        <f aca="false">VLOOKUP(X704,Sheet2!A:B,2,0)</f>
        <v>PRAKASH CHAVDA</v>
      </c>
      <c r="Z704" s="17" t="s">
        <v>136</v>
      </c>
      <c r="AA704" s="17" t="s">
        <v>430</v>
      </c>
      <c r="AB704" s="17" t="s">
        <v>41</v>
      </c>
      <c r="AC704" s="0" t="str">
        <f aca="false">LEFT(G704,2)</f>
        <v>77</v>
      </c>
      <c r="AD704" s="0"/>
      <c r="AE704" s="21" t="s">
        <v>42</v>
      </c>
    </row>
    <row r="705" customFormat="false" ht="15" hidden="false" customHeight="false" outlineLevel="0" collapsed="false">
      <c r="A705" s="13" t="n">
        <f aca="false">1+A704</f>
        <v>703</v>
      </c>
      <c r="B705" s="17" t="n">
        <v>1009513194</v>
      </c>
      <c r="C705" s="17" t="s">
        <v>93</v>
      </c>
      <c r="D705" s="17" t="s">
        <v>81</v>
      </c>
      <c r="E705" s="17" t="s">
        <v>47</v>
      </c>
      <c r="F705" s="19" t="s">
        <v>34</v>
      </c>
      <c r="G705" s="19" t="n">
        <v>775285023542</v>
      </c>
      <c r="H705" s="17" t="s">
        <v>134</v>
      </c>
      <c r="I705" s="17" t="s">
        <v>69</v>
      </c>
      <c r="J705" s="17" t="s">
        <v>106</v>
      </c>
      <c r="K705" s="17" t="str">
        <f aca="false">VLOOKUP(J705,Sheet2!A:B,2,0)</f>
        <v>PRAKASH CHAVDA</v>
      </c>
      <c r="L705" s="17" t="n">
        <v>5</v>
      </c>
      <c r="M705" s="17" t="str">
        <f aca="false">VLOOKUP(L705,Sheet2!D:E,2,0)</f>
        <v>Main Processor CPU BGA</v>
      </c>
      <c r="N705" s="17" t="n">
        <v>33</v>
      </c>
      <c r="O705" s="17" t="str">
        <f aca="false">VLOOKUP(N705,Sheet2!G:H,2,0)</f>
        <v>Software download failure</v>
      </c>
      <c r="P705" s="17" t="n">
        <v>12</v>
      </c>
      <c r="Q705" s="17" t="str">
        <f aca="false">VLOOKUP(P705,Sheet2!J:K,2,0)</f>
        <v>IR Declared due to Others ( IR Normal)TB</v>
      </c>
      <c r="R705" s="17" t="s">
        <v>35</v>
      </c>
      <c r="S705" s="17" t="str">
        <f aca="false">VLOOKUP(R705,Sheet2!N:O,2,0)</f>
        <v>IREPARABLE</v>
      </c>
      <c r="T705" s="18" t="str">
        <f aca="false">VLOOKUP(P705,Sheet2!Q:R,2,0)</f>
        <v>IR Normal - BER to IR</v>
      </c>
      <c r="U705" s="20" t="s">
        <v>135</v>
      </c>
      <c r="V705" s="17" t="n">
        <v>12</v>
      </c>
      <c r="W705" s="20" t="str">
        <f aca="false">VLOOKUP(V705,Sheet2!Q:R,2,0)</f>
        <v>IR Normal - BER to IR</v>
      </c>
      <c r="X705" s="17" t="str">
        <f aca="false">J705</f>
        <v>A018</v>
      </c>
      <c r="Y705" s="17" t="str">
        <f aca="false">VLOOKUP(X705,Sheet2!A:B,2,0)</f>
        <v>PRAKASH CHAVDA</v>
      </c>
      <c r="Z705" s="17" t="s">
        <v>136</v>
      </c>
      <c r="AA705" s="17" t="s">
        <v>430</v>
      </c>
      <c r="AB705" s="17" t="s">
        <v>41</v>
      </c>
      <c r="AC705" s="0" t="str">
        <f aca="false">LEFT(G705,2)</f>
        <v>77</v>
      </c>
      <c r="AD705" s="0"/>
      <c r="AE705" s="21" t="s">
        <v>42</v>
      </c>
    </row>
    <row r="706" customFormat="false" ht="15" hidden="false" customHeight="false" outlineLevel="0" collapsed="false">
      <c r="A706" s="13" t="n">
        <f aca="false">1+A705</f>
        <v>704</v>
      </c>
      <c r="B706" s="17" t="n">
        <v>1009648238</v>
      </c>
      <c r="C706" s="17" t="s">
        <v>204</v>
      </c>
      <c r="D706" s="17" t="s">
        <v>64</v>
      </c>
      <c r="E706" s="17" t="s">
        <v>64</v>
      </c>
      <c r="F706" s="18" t="s">
        <v>70</v>
      </c>
      <c r="G706" s="19" t="n">
        <v>774310078456</v>
      </c>
      <c r="H706" s="17" t="s">
        <v>134</v>
      </c>
      <c r="I706" s="17" t="s">
        <v>69</v>
      </c>
      <c r="J706" s="17" t="s">
        <v>106</v>
      </c>
      <c r="K706" s="17" t="str">
        <f aca="false">VLOOKUP(J706,Sheet2!A:B,2,0)</f>
        <v>PRAKASH CHAVDA</v>
      </c>
      <c r="L706" s="17" t="n">
        <v>5</v>
      </c>
      <c r="M706" s="17" t="str">
        <f aca="false">VLOOKUP(L706,Sheet2!D:E,2,0)</f>
        <v>Main Processor CPU BGA</v>
      </c>
      <c r="N706" s="17" t="n">
        <v>1</v>
      </c>
      <c r="O706" s="17" t="str">
        <f aca="false">VLOOKUP(N706,Sheet2!G:H,2,0)</f>
        <v>Dead</v>
      </c>
      <c r="P706" s="17" t="n">
        <v>12</v>
      </c>
      <c r="Q706" s="17" t="str">
        <f aca="false">VLOOKUP(P706,Sheet2!J:K,2,0)</f>
        <v>IR Declared due to Others ( IR Normal)TB</v>
      </c>
      <c r="R706" s="17" t="s">
        <v>35</v>
      </c>
      <c r="S706" s="17" t="str">
        <f aca="false">VLOOKUP(R706,Sheet2!N:O,2,0)</f>
        <v>IREPARABLE</v>
      </c>
      <c r="T706" s="18" t="str">
        <f aca="false">VLOOKUP(P706,Sheet2!Q:R,2,0)</f>
        <v>IR Normal - BER to IR</v>
      </c>
      <c r="U706" s="20" t="s">
        <v>135</v>
      </c>
      <c r="V706" s="17" t="n">
        <v>12</v>
      </c>
      <c r="W706" s="20" t="str">
        <f aca="false">VLOOKUP(V706,Sheet2!Q:R,2,0)</f>
        <v>IR Normal - BER to IR</v>
      </c>
      <c r="X706" s="17" t="str">
        <f aca="false">J706</f>
        <v>A018</v>
      </c>
      <c r="Y706" s="17" t="str">
        <f aca="false">VLOOKUP(X706,Sheet2!A:B,2,0)</f>
        <v>PRAKASH CHAVDA</v>
      </c>
      <c r="Z706" s="17" t="s">
        <v>136</v>
      </c>
      <c r="AA706" s="17" t="s">
        <v>430</v>
      </c>
      <c r="AB706" s="17" t="s">
        <v>41</v>
      </c>
      <c r="AC706" s="0" t="str">
        <f aca="false">LEFT(G706,2)</f>
        <v>77</v>
      </c>
      <c r="AD706" s="0"/>
      <c r="AE706" s="21" t="s">
        <v>42</v>
      </c>
    </row>
    <row r="707" customFormat="false" ht="15" hidden="false" customHeight="false" outlineLevel="0" collapsed="false">
      <c r="A707" s="13" t="n">
        <f aca="false">1+A706</f>
        <v>705</v>
      </c>
      <c r="B707" s="17" t="n">
        <v>1009091477</v>
      </c>
      <c r="C707" s="17" t="s">
        <v>414</v>
      </c>
      <c r="D707" s="17" t="s">
        <v>432</v>
      </c>
      <c r="E707" s="17" t="s">
        <v>47</v>
      </c>
      <c r="F707" s="19" t="s">
        <v>34</v>
      </c>
      <c r="G707" s="19" t="n">
        <v>134230008440</v>
      </c>
      <c r="H707" s="17" t="s">
        <v>134</v>
      </c>
      <c r="I707" s="17" t="s">
        <v>44</v>
      </c>
      <c r="J707" s="17" t="s">
        <v>106</v>
      </c>
      <c r="K707" s="17" t="str">
        <f aca="false">VLOOKUP(J707,Sheet2!A:B,2,0)</f>
        <v>PRAKASH CHAVDA</v>
      </c>
      <c r="L707" s="17" t="n">
        <v>5</v>
      </c>
      <c r="M707" s="17" t="str">
        <f aca="false">VLOOKUP(L707,Sheet2!D:E,2,0)</f>
        <v>Main Processor CPU BGA</v>
      </c>
      <c r="N707" s="17" t="n">
        <v>1</v>
      </c>
      <c r="O707" s="17" t="str">
        <f aca="false">VLOOKUP(N707,Sheet2!G:H,2,0)</f>
        <v>Dead</v>
      </c>
      <c r="P707" s="17" t="n">
        <v>12</v>
      </c>
      <c r="Q707" s="17" t="str">
        <f aca="false">VLOOKUP(P707,Sheet2!J:K,2,0)</f>
        <v>IR Declared due to Others ( IR Normal)TB</v>
      </c>
      <c r="R707" s="17" t="s">
        <v>35</v>
      </c>
      <c r="S707" s="17" t="str">
        <f aca="false">VLOOKUP(R707,Sheet2!N:O,2,0)</f>
        <v>IREPARABLE</v>
      </c>
      <c r="T707" s="18" t="str">
        <f aca="false">VLOOKUP(P707,Sheet2!Q:R,2,0)</f>
        <v>IR Normal - BER to IR</v>
      </c>
      <c r="U707" s="20" t="s">
        <v>135</v>
      </c>
      <c r="V707" s="17" t="n">
        <v>12</v>
      </c>
      <c r="W707" s="20" t="str">
        <f aca="false">VLOOKUP(V707,Sheet2!Q:R,2,0)</f>
        <v>IR Normal - BER to IR</v>
      </c>
      <c r="X707" s="17" t="str">
        <f aca="false">J707</f>
        <v>A018</v>
      </c>
      <c r="Y707" s="17" t="str">
        <f aca="false">VLOOKUP(X707,Sheet2!A:B,2,0)</f>
        <v>PRAKASH CHAVDA</v>
      </c>
      <c r="Z707" s="17" t="s">
        <v>136</v>
      </c>
      <c r="AA707" s="17" t="s">
        <v>430</v>
      </c>
      <c r="AB707" s="17" t="s">
        <v>41</v>
      </c>
      <c r="AC707" s="0" t="str">
        <f aca="false">LEFT(G707,2)</f>
        <v>13</v>
      </c>
      <c r="AD707" s="0"/>
      <c r="AE707" s="21" t="s">
        <v>42</v>
      </c>
    </row>
    <row r="708" customFormat="false" ht="15" hidden="false" customHeight="false" outlineLevel="0" collapsed="false">
      <c r="A708" s="13" t="n">
        <f aca="false">1+A707</f>
        <v>706</v>
      </c>
      <c r="B708" s="17" t="n">
        <v>1009092075</v>
      </c>
      <c r="C708" s="17" t="s">
        <v>414</v>
      </c>
      <c r="D708" s="17" t="s">
        <v>64</v>
      </c>
      <c r="E708" s="17" t="s">
        <v>33</v>
      </c>
      <c r="F708" s="19" t="s">
        <v>34</v>
      </c>
      <c r="G708" s="19" t="n">
        <v>134053482375</v>
      </c>
      <c r="H708" s="17" t="s">
        <v>134</v>
      </c>
      <c r="I708" s="17" t="s">
        <v>44</v>
      </c>
      <c r="J708" s="17" t="s">
        <v>106</v>
      </c>
      <c r="K708" s="17" t="str">
        <f aca="false">VLOOKUP(J708,Sheet2!A:B,2,0)</f>
        <v>PRAKASH CHAVDA</v>
      </c>
      <c r="L708" s="17" t="n">
        <v>5</v>
      </c>
      <c r="M708" s="17" t="str">
        <f aca="false">VLOOKUP(L708,Sheet2!D:E,2,0)</f>
        <v>Main Processor CPU BGA</v>
      </c>
      <c r="N708" s="17" t="n">
        <v>1</v>
      </c>
      <c r="O708" s="17" t="str">
        <f aca="false">VLOOKUP(N708,Sheet2!G:H,2,0)</f>
        <v>Dead</v>
      </c>
      <c r="P708" s="17" t="n">
        <v>12</v>
      </c>
      <c r="Q708" s="17" t="str">
        <f aca="false">VLOOKUP(P708,Sheet2!J:K,2,0)</f>
        <v>IR Declared due to Others ( IR Normal)TB</v>
      </c>
      <c r="R708" s="17" t="s">
        <v>35</v>
      </c>
      <c r="S708" s="17" t="str">
        <f aca="false">VLOOKUP(R708,Sheet2!N:O,2,0)</f>
        <v>IREPARABLE</v>
      </c>
      <c r="T708" s="18" t="str">
        <f aca="false">VLOOKUP(P708,Sheet2!Q:R,2,0)</f>
        <v>IR Normal - BER to IR</v>
      </c>
      <c r="U708" s="20" t="s">
        <v>135</v>
      </c>
      <c r="V708" s="17" t="n">
        <v>12</v>
      </c>
      <c r="W708" s="20" t="str">
        <f aca="false">VLOOKUP(V708,Sheet2!Q:R,2,0)</f>
        <v>IR Normal - BER to IR</v>
      </c>
      <c r="X708" s="17" t="str">
        <f aca="false">J708</f>
        <v>A018</v>
      </c>
      <c r="Y708" s="17" t="str">
        <f aca="false">VLOOKUP(X708,Sheet2!A:B,2,0)</f>
        <v>PRAKASH CHAVDA</v>
      </c>
      <c r="Z708" s="17" t="s">
        <v>136</v>
      </c>
      <c r="AA708" s="17" t="s">
        <v>430</v>
      </c>
      <c r="AB708" s="17" t="s">
        <v>41</v>
      </c>
      <c r="AC708" s="0" t="str">
        <f aca="false">LEFT(G708,2)</f>
        <v>13</v>
      </c>
      <c r="AD708" s="0"/>
      <c r="AE708" s="21" t="s">
        <v>42</v>
      </c>
    </row>
    <row r="709" customFormat="false" ht="15" hidden="false" customHeight="false" outlineLevel="0" collapsed="false">
      <c r="A709" s="13" t="n">
        <f aca="false">1+A708</f>
        <v>707</v>
      </c>
      <c r="B709" s="17" t="n">
        <v>1009091381</v>
      </c>
      <c r="C709" s="17" t="s">
        <v>414</v>
      </c>
      <c r="D709" s="17" t="s">
        <v>64</v>
      </c>
      <c r="E709" s="17" t="s">
        <v>47</v>
      </c>
      <c r="F709" s="19" t="s">
        <v>34</v>
      </c>
      <c r="G709" s="19" t="n">
        <v>134119269592</v>
      </c>
      <c r="H709" s="17" t="s">
        <v>134</v>
      </c>
      <c r="I709" s="17" t="s">
        <v>44</v>
      </c>
      <c r="J709" s="17" t="s">
        <v>106</v>
      </c>
      <c r="K709" s="17" t="str">
        <f aca="false">VLOOKUP(J709,Sheet2!A:B,2,0)</f>
        <v>PRAKASH CHAVDA</v>
      </c>
      <c r="L709" s="17" t="n">
        <v>5</v>
      </c>
      <c r="M709" s="17" t="str">
        <f aca="false">VLOOKUP(L709,Sheet2!D:E,2,0)</f>
        <v>Main Processor CPU BGA</v>
      </c>
      <c r="N709" s="17" t="n">
        <v>1</v>
      </c>
      <c r="O709" s="17" t="str">
        <f aca="false">VLOOKUP(N709,Sheet2!G:H,2,0)</f>
        <v>Dead</v>
      </c>
      <c r="P709" s="17" t="n">
        <v>12</v>
      </c>
      <c r="Q709" s="17" t="str">
        <f aca="false">VLOOKUP(P709,Sheet2!J:K,2,0)</f>
        <v>IR Declared due to Others ( IR Normal)TB</v>
      </c>
      <c r="R709" s="17" t="s">
        <v>35</v>
      </c>
      <c r="S709" s="17" t="str">
        <f aca="false">VLOOKUP(R709,Sheet2!N:O,2,0)</f>
        <v>IREPARABLE</v>
      </c>
      <c r="T709" s="18" t="str">
        <f aca="false">VLOOKUP(P709,Sheet2!Q:R,2,0)</f>
        <v>IR Normal - BER to IR</v>
      </c>
      <c r="U709" s="20" t="s">
        <v>135</v>
      </c>
      <c r="V709" s="17" t="n">
        <v>12</v>
      </c>
      <c r="W709" s="20" t="str">
        <f aca="false">VLOOKUP(V709,Sheet2!Q:R,2,0)</f>
        <v>IR Normal - BER to IR</v>
      </c>
      <c r="X709" s="17" t="str">
        <f aca="false">J709</f>
        <v>A018</v>
      </c>
      <c r="Y709" s="17" t="str">
        <f aca="false">VLOOKUP(X709,Sheet2!A:B,2,0)</f>
        <v>PRAKASH CHAVDA</v>
      </c>
      <c r="Z709" s="17" t="s">
        <v>136</v>
      </c>
      <c r="AA709" s="17" t="s">
        <v>430</v>
      </c>
      <c r="AB709" s="17" t="s">
        <v>41</v>
      </c>
      <c r="AC709" s="0" t="str">
        <f aca="false">LEFT(G709,2)</f>
        <v>13</v>
      </c>
      <c r="AD709" s="0"/>
      <c r="AE709" s="21" t="s">
        <v>42</v>
      </c>
    </row>
    <row r="710" customFormat="false" ht="15" hidden="false" customHeight="false" outlineLevel="0" collapsed="false">
      <c r="A710" s="13" t="n">
        <f aca="false">1+A709</f>
        <v>708</v>
      </c>
      <c r="B710" s="17" t="n">
        <v>1009638109</v>
      </c>
      <c r="C710" s="17" t="s">
        <v>414</v>
      </c>
      <c r="D710" s="17" t="s">
        <v>64</v>
      </c>
      <c r="E710" s="17" t="s">
        <v>64</v>
      </c>
      <c r="F710" s="18" t="s">
        <v>70</v>
      </c>
      <c r="G710" s="19" t="n">
        <v>134283335955</v>
      </c>
      <c r="H710" s="17" t="s">
        <v>134</v>
      </c>
      <c r="I710" s="17" t="s">
        <v>44</v>
      </c>
      <c r="J710" s="17" t="s">
        <v>106</v>
      </c>
      <c r="K710" s="17" t="str">
        <f aca="false">VLOOKUP(J710,Sheet2!A:B,2,0)</f>
        <v>PRAKASH CHAVDA</v>
      </c>
      <c r="L710" s="17" t="n">
        <v>1</v>
      </c>
      <c r="M710" s="17" t="str">
        <f aca="false">VLOOKUP(L710,Sheet2!D:E,2,0)</f>
        <v>Power Supply Section</v>
      </c>
      <c r="N710" s="17" t="n">
        <v>1</v>
      </c>
      <c r="O710" s="17" t="str">
        <f aca="false">VLOOKUP(N710,Sheet2!G:H,2,0)</f>
        <v>Dead</v>
      </c>
      <c r="P710" s="17" t="n">
        <v>12</v>
      </c>
      <c r="Q710" s="17" t="str">
        <f aca="false">VLOOKUP(P710,Sheet2!J:K,2,0)</f>
        <v>IR Declared due to Others ( IR Normal)TB</v>
      </c>
      <c r="R710" s="17" t="s">
        <v>35</v>
      </c>
      <c r="S710" s="17" t="str">
        <f aca="false">VLOOKUP(R710,Sheet2!N:O,2,0)</f>
        <v>IREPARABLE</v>
      </c>
      <c r="T710" s="18" t="str">
        <f aca="false">VLOOKUP(P710,Sheet2!Q:R,2,0)</f>
        <v>IR Normal - BER to IR</v>
      </c>
      <c r="U710" s="20" t="s">
        <v>135</v>
      </c>
      <c r="V710" s="17" t="n">
        <v>12</v>
      </c>
      <c r="W710" s="20" t="str">
        <f aca="false">VLOOKUP(V710,Sheet2!Q:R,2,0)</f>
        <v>IR Normal - BER to IR</v>
      </c>
      <c r="X710" s="17" t="str">
        <f aca="false">J710</f>
        <v>A018</v>
      </c>
      <c r="Y710" s="17" t="str">
        <f aca="false">VLOOKUP(X710,Sheet2!A:B,2,0)</f>
        <v>PRAKASH CHAVDA</v>
      </c>
      <c r="Z710" s="17" t="s">
        <v>136</v>
      </c>
      <c r="AA710" s="17" t="s">
        <v>430</v>
      </c>
      <c r="AB710" s="17" t="s">
        <v>41</v>
      </c>
      <c r="AC710" s="0" t="str">
        <f aca="false">LEFT(G710,2)</f>
        <v>13</v>
      </c>
      <c r="AD710" s="0"/>
      <c r="AE710" s="21" t="s">
        <v>42</v>
      </c>
    </row>
    <row r="711" customFormat="false" ht="15" hidden="false" customHeight="false" outlineLevel="0" collapsed="false">
      <c r="A711" s="13" t="n">
        <f aca="false">1+A710</f>
        <v>709</v>
      </c>
      <c r="B711" s="17" t="n">
        <v>1009092217</v>
      </c>
      <c r="C711" s="17" t="s">
        <v>414</v>
      </c>
      <c r="D711" s="17" t="s">
        <v>64</v>
      </c>
      <c r="E711" s="17" t="s">
        <v>64</v>
      </c>
      <c r="F711" s="18" t="s">
        <v>70</v>
      </c>
      <c r="G711" s="19" t="n">
        <v>134268099220</v>
      </c>
      <c r="H711" s="17" t="s">
        <v>134</v>
      </c>
      <c r="I711" s="17" t="s">
        <v>44</v>
      </c>
      <c r="J711" s="17" t="s">
        <v>106</v>
      </c>
      <c r="K711" s="17" t="str">
        <f aca="false">VLOOKUP(J711,Sheet2!A:B,2,0)</f>
        <v>PRAKASH CHAVDA</v>
      </c>
      <c r="L711" s="17" t="n">
        <v>5</v>
      </c>
      <c r="M711" s="17" t="str">
        <f aca="false">VLOOKUP(L711,Sheet2!D:E,2,0)</f>
        <v>Main Processor CPU BGA</v>
      </c>
      <c r="N711" s="17" t="n">
        <v>1</v>
      </c>
      <c r="O711" s="17" t="str">
        <f aca="false">VLOOKUP(N711,Sheet2!G:H,2,0)</f>
        <v>Dead</v>
      </c>
      <c r="P711" s="17" t="n">
        <v>12</v>
      </c>
      <c r="Q711" s="17" t="str">
        <f aca="false">VLOOKUP(P711,Sheet2!J:K,2,0)</f>
        <v>IR Declared due to Others ( IR Normal)TB</v>
      </c>
      <c r="R711" s="17" t="s">
        <v>35</v>
      </c>
      <c r="S711" s="17" t="str">
        <f aca="false">VLOOKUP(R711,Sheet2!N:O,2,0)</f>
        <v>IREPARABLE</v>
      </c>
      <c r="T711" s="18" t="str">
        <f aca="false">VLOOKUP(P711,Sheet2!Q:R,2,0)</f>
        <v>IR Normal - BER to IR</v>
      </c>
      <c r="U711" s="20" t="s">
        <v>135</v>
      </c>
      <c r="V711" s="17" t="n">
        <v>12</v>
      </c>
      <c r="W711" s="20" t="str">
        <f aca="false">VLOOKUP(V711,Sheet2!Q:R,2,0)</f>
        <v>IR Normal - BER to IR</v>
      </c>
      <c r="X711" s="17" t="str">
        <f aca="false">J711</f>
        <v>A018</v>
      </c>
      <c r="Y711" s="17" t="str">
        <f aca="false">VLOOKUP(X711,Sheet2!A:B,2,0)</f>
        <v>PRAKASH CHAVDA</v>
      </c>
      <c r="Z711" s="17" t="s">
        <v>136</v>
      </c>
      <c r="AA711" s="17" t="s">
        <v>430</v>
      </c>
      <c r="AB711" s="17" t="s">
        <v>41</v>
      </c>
      <c r="AC711" s="0" t="str">
        <f aca="false">LEFT(G711,2)</f>
        <v>13</v>
      </c>
      <c r="AD711" s="0"/>
      <c r="AE711" s="21" t="s">
        <v>42</v>
      </c>
    </row>
    <row r="712" customFormat="false" ht="15" hidden="false" customHeight="false" outlineLevel="0" collapsed="false">
      <c r="A712" s="13" t="n">
        <f aca="false">1+A711</f>
        <v>710</v>
      </c>
      <c r="B712" s="17" t="n">
        <v>1009091494</v>
      </c>
      <c r="C712" s="17" t="s">
        <v>414</v>
      </c>
      <c r="D712" s="17" t="s">
        <v>64</v>
      </c>
      <c r="E712" s="17" t="s">
        <v>47</v>
      </c>
      <c r="F712" s="19" t="s">
        <v>34</v>
      </c>
      <c r="G712" s="19" t="n">
        <v>134211229395</v>
      </c>
      <c r="H712" s="17" t="s">
        <v>134</v>
      </c>
      <c r="I712" s="17" t="s">
        <v>44</v>
      </c>
      <c r="J712" s="17" t="s">
        <v>106</v>
      </c>
      <c r="K712" s="17" t="str">
        <f aca="false">VLOOKUP(J712,Sheet2!A:B,2,0)</f>
        <v>PRAKASH CHAVDA</v>
      </c>
      <c r="L712" s="17" t="n">
        <v>5</v>
      </c>
      <c r="M712" s="17" t="str">
        <f aca="false">VLOOKUP(L712,Sheet2!D:E,2,0)</f>
        <v>Main Processor CPU BGA</v>
      </c>
      <c r="N712" s="17" t="n">
        <v>1</v>
      </c>
      <c r="O712" s="17" t="str">
        <f aca="false">VLOOKUP(N712,Sheet2!G:H,2,0)</f>
        <v>Dead</v>
      </c>
      <c r="P712" s="17" t="n">
        <v>12</v>
      </c>
      <c r="Q712" s="17" t="str">
        <f aca="false">VLOOKUP(P712,Sheet2!J:K,2,0)</f>
        <v>IR Declared due to Others ( IR Normal)TB</v>
      </c>
      <c r="R712" s="17" t="s">
        <v>35</v>
      </c>
      <c r="S712" s="17" t="str">
        <f aca="false">VLOOKUP(R712,Sheet2!N:O,2,0)</f>
        <v>IREPARABLE</v>
      </c>
      <c r="T712" s="18" t="str">
        <f aca="false">VLOOKUP(P712,Sheet2!Q:R,2,0)</f>
        <v>IR Normal - BER to IR</v>
      </c>
      <c r="U712" s="20" t="s">
        <v>135</v>
      </c>
      <c r="V712" s="17" t="n">
        <v>12</v>
      </c>
      <c r="W712" s="20" t="str">
        <f aca="false">VLOOKUP(V712,Sheet2!Q:R,2,0)</f>
        <v>IR Normal - BER to IR</v>
      </c>
      <c r="X712" s="17" t="str">
        <f aca="false">J712</f>
        <v>A018</v>
      </c>
      <c r="Y712" s="17" t="str">
        <f aca="false">VLOOKUP(X712,Sheet2!A:B,2,0)</f>
        <v>PRAKASH CHAVDA</v>
      </c>
      <c r="Z712" s="17" t="s">
        <v>136</v>
      </c>
      <c r="AA712" s="17" t="s">
        <v>430</v>
      </c>
      <c r="AB712" s="17" t="s">
        <v>41</v>
      </c>
      <c r="AC712" s="0" t="str">
        <f aca="false">LEFT(G712,2)</f>
        <v>13</v>
      </c>
      <c r="AD712" s="0"/>
      <c r="AE712" s="21" t="s">
        <v>42</v>
      </c>
    </row>
    <row r="713" customFormat="false" ht="15" hidden="false" customHeight="false" outlineLevel="0" collapsed="false">
      <c r="A713" s="13" t="n">
        <f aca="false">1+A712</f>
        <v>711</v>
      </c>
      <c r="B713" s="17" t="n">
        <v>1009091555</v>
      </c>
      <c r="C713" s="17" t="s">
        <v>414</v>
      </c>
      <c r="D713" s="17" t="s">
        <v>64</v>
      </c>
      <c r="E713" s="17" t="s">
        <v>64</v>
      </c>
      <c r="F713" s="18" t="s">
        <v>70</v>
      </c>
      <c r="G713" s="19" t="n">
        <v>134023485110</v>
      </c>
      <c r="H713" s="17" t="s">
        <v>134</v>
      </c>
      <c r="I713" s="17" t="s">
        <v>44</v>
      </c>
      <c r="J713" s="17" t="s">
        <v>106</v>
      </c>
      <c r="K713" s="17" t="str">
        <f aca="false">VLOOKUP(J713,Sheet2!A:B,2,0)</f>
        <v>PRAKASH CHAVDA</v>
      </c>
      <c r="L713" s="17" t="n">
        <v>5</v>
      </c>
      <c r="M713" s="17" t="str">
        <f aca="false">VLOOKUP(L713,Sheet2!D:E,2,0)</f>
        <v>Main Processor CPU BGA</v>
      </c>
      <c r="N713" s="17" t="n">
        <v>1</v>
      </c>
      <c r="O713" s="17" t="str">
        <f aca="false">VLOOKUP(N713,Sheet2!G:H,2,0)</f>
        <v>Dead</v>
      </c>
      <c r="P713" s="17" t="n">
        <v>12</v>
      </c>
      <c r="Q713" s="17" t="str">
        <f aca="false">VLOOKUP(P713,Sheet2!J:K,2,0)</f>
        <v>IR Declared due to Others ( IR Normal)TB</v>
      </c>
      <c r="R713" s="17" t="s">
        <v>35</v>
      </c>
      <c r="S713" s="17" t="str">
        <f aca="false">VLOOKUP(R713,Sheet2!N:O,2,0)</f>
        <v>IREPARABLE</v>
      </c>
      <c r="T713" s="18" t="str">
        <f aca="false">VLOOKUP(P713,Sheet2!Q:R,2,0)</f>
        <v>IR Normal - BER to IR</v>
      </c>
      <c r="U713" s="20" t="s">
        <v>135</v>
      </c>
      <c r="V713" s="17" t="n">
        <v>12</v>
      </c>
      <c r="W713" s="20" t="str">
        <f aca="false">VLOOKUP(V713,Sheet2!Q:R,2,0)</f>
        <v>IR Normal - BER to IR</v>
      </c>
      <c r="X713" s="17" t="str">
        <f aca="false">J713</f>
        <v>A018</v>
      </c>
      <c r="Y713" s="17" t="str">
        <f aca="false">VLOOKUP(X713,Sheet2!A:B,2,0)</f>
        <v>PRAKASH CHAVDA</v>
      </c>
      <c r="Z713" s="17" t="s">
        <v>136</v>
      </c>
      <c r="AA713" s="17" t="s">
        <v>430</v>
      </c>
      <c r="AB713" s="17" t="s">
        <v>41</v>
      </c>
      <c r="AC713" s="0" t="str">
        <f aca="false">LEFT(G713,2)</f>
        <v>13</v>
      </c>
      <c r="AD713" s="0"/>
      <c r="AE713" s="21" t="s">
        <v>42</v>
      </c>
    </row>
    <row r="714" customFormat="false" ht="15" hidden="false" customHeight="false" outlineLevel="0" collapsed="false">
      <c r="A714" s="13" t="n">
        <f aca="false">1+A713</f>
        <v>712</v>
      </c>
      <c r="B714" s="17" t="n">
        <v>1009091435</v>
      </c>
      <c r="C714" s="17" t="s">
        <v>414</v>
      </c>
      <c r="D714" s="17" t="s">
        <v>64</v>
      </c>
      <c r="E714" s="17" t="s">
        <v>47</v>
      </c>
      <c r="F714" s="19" t="s">
        <v>34</v>
      </c>
      <c r="G714" s="19" t="n">
        <v>135202002709</v>
      </c>
      <c r="H714" s="17" t="s">
        <v>134</v>
      </c>
      <c r="I714" s="17" t="s">
        <v>44</v>
      </c>
      <c r="J714" s="17" t="s">
        <v>106</v>
      </c>
      <c r="K714" s="17" t="str">
        <f aca="false">VLOOKUP(J714,Sheet2!A:B,2,0)</f>
        <v>PRAKASH CHAVDA</v>
      </c>
      <c r="L714" s="17" t="n">
        <v>5</v>
      </c>
      <c r="M714" s="17" t="str">
        <f aca="false">VLOOKUP(L714,Sheet2!D:E,2,0)</f>
        <v>Main Processor CPU BGA</v>
      </c>
      <c r="N714" s="17" t="n">
        <v>1</v>
      </c>
      <c r="O714" s="17" t="str">
        <f aca="false">VLOOKUP(N714,Sheet2!G:H,2,0)</f>
        <v>Dead</v>
      </c>
      <c r="P714" s="17" t="n">
        <v>12</v>
      </c>
      <c r="Q714" s="17" t="str">
        <f aca="false">VLOOKUP(P714,Sheet2!J:K,2,0)</f>
        <v>IR Declared due to Others ( IR Normal)TB</v>
      </c>
      <c r="R714" s="17" t="s">
        <v>35</v>
      </c>
      <c r="S714" s="17" t="str">
        <f aca="false">VLOOKUP(R714,Sheet2!N:O,2,0)</f>
        <v>IREPARABLE</v>
      </c>
      <c r="T714" s="18" t="str">
        <f aca="false">VLOOKUP(P714,Sheet2!Q:R,2,0)</f>
        <v>IR Normal - BER to IR</v>
      </c>
      <c r="U714" s="20" t="s">
        <v>135</v>
      </c>
      <c r="V714" s="17" t="n">
        <v>12</v>
      </c>
      <c r="W714" s="20" t="str">
        <f aca="false">VLOOKUP(V714,Sheet2!Q:R,2,0)</f>
        <v>IR Normal - BER to IR</v>
      </c>
      <c r="X714" s="17" t="str">
        <f aca="false">J714</f>
        <v>A018</v>
      </c>
      <c r="Y714" s="17" t="str">
        <f aca="false">VLOOKUP(X714,Sheet2!A:B,2,0)</f>
        <v>PRAKASH CHAVDA</v>
      </c>
      <c r="Z714" s="17" t="s">
        <v>136</v>
      </c>
      <c r="AA714" s="17" t="s">
        <v>430</v>
      </c>
      <c r="AB714" s="17" t="s">
        <v>41</v>
      </c>
      <c r="AC714" s="0" t="str">
        <f aca="false">LEFT(G714,2)</f>
        <v>13</v>
      </c>
      <c r="AD714" s="0"/>
      <c r="AE714" s="21" t="s">
        <v>42</v>
      </c>
    </row>
    <row r="715" customFormat="false" ht="15" hidden="false" customHeight="false" outlineLevel="0" collapsed="false">
      <c r="A715" s="13" t="n">
        <f aca="false">1+A714</f>
        <v>713</v>
      </c>
      <c r="B715" s="17" t="n">
        <v>1009092119</v>
      </c>
      <c r="C715" s="17" t="s">
        <v>414</v>
      </c>
      <c r="D715" s="17" t="s">
        <v>64</v>
      </c>
      <c r="E715" s="17" t="s">
        <v>64</v>
      </c>
      <c r="F715" s="18" t="s">
        <v>70</v>
      </c>
      <c r="G715" s="19" t="n">
        <v>134255292374</v>
      </c>
      <c r="H715" s="17" t="s">
        <v>134</v>
      </c>
      <c r="I715" s="17" t="s">
        <v>44</v>
      </c>
      <c r="J715" s="17" t="s">
        <v>106</v>
      </c>
      <c r="K715" s="17" t="str">
        <f aca="false">VLOOKUP(J715,Sheet2!A:B,2,0)</f>
        <v>PRAKASH CHAVDA</v>
      </c>
      <c r="L715" s="17" t="n">
        <v>5</v>
      </c>
      <c r="M715" s="17" t="str">
        <f aca="false">VLOOKUP(L715,Sheet2!D:E,2,0)</f>
        <v>Main Processor CPU BGA</v>
      </c>
      <c r="N715" s="17" t="n">
        <v>1</v>
      </c>
      <c r="O715" s="17" t="str">
        <f aca="false">VLOOKUP(N715,Sheet2!G:H,2,0)</f>
        <v>Dead</v>
      </c>
      <c r="P715" s="17" t="n">
        <v>12</v>
      </c>
      <c r="Q715" s="17" t="str">
        <f aca="false">VLOOKUP(P715,Sheet2!J:K,2,0)</f>
        <v>IR Declared due to Others ( IR Normal)TB</v>
      </c>
      <c r="R715" s="17" t="s">
        <v>35</v>
      </c>
      <c r="S715" s="17" t="str">
        <f aca="false">VLOOKUP(R715,Sheet2!N:O,2,0)</f>
        <v>IREPARABLE</v>
      </c>
      <c r="T715" s="18" t="str">
        <f aca="false">VLOOKUP(P715,Sheet2!Q:R,2,0)</f>
        <v>IR Normal - BER to IR</v>
      </c>
      <c r="U715" s="20" t="s">
        <v>135</v>
      </c>
      <c r="V715" s="17" t="n">
        <v>12</v>
      </c>
      <c r="W715" s="20" t="str">
        <f aca="false">VLOOKUP(V715,Sheet2!Q:R,2,0)</f>
        <v>IR Normal - BER to IR</v>
      </c>
      <c r="X715" s="17" t="str">
        <f aca="false">J715</f>
        <v>A018</v>
      </c>
      <c r="Y715" s="17" t="str">
        <f aca="false">VLOOKUP(X715,Sheet2!A:B,2,0)</f>
        <v>PRAKASH CHAVDA</v>
      </c>
      <c r="Z715" s="17" t="s">
        <v>136</v>
      </c>
      <c r="AA715" s="17" t="s">
        <v>430</v>
      </c>
      <c r="AB715" s="17" t="s">
        <v>41</v>
      </c>
      <c r="AC715" s="0" t="str">
        <f aca="false">LEFT(G715,2)</f>
        <v>13</v>
      </c>
      <c r="AD715" s="0"/>
      <c r="AE715" s="21" t="s">
        <v>42</v>
      </c>
    </row>
    <row r="716" customFormat="false" ht="15" hidden="false" customHeight="false" outlineLevel="0" collapsed="false">
      <c r="A716" s="13" t="n">
        <f aca="false">1+A715</f>
        <v>714</v>
      </c>
      <c r="B716" s="17" t="n">
        <v>1009091639</v>
      </c>
      <c r="C716" s="17" t="s">
        <v>414</v>
      </c>
      <c r="D716" s="17" t="s">
        <v>64</v>
      </c>
      <c r="E716" s="17" t="s">
        <v>33</v>
      </c>
      <c r="F716" s="19" t="s">
        <v>34</v>
      </c>
      <c r="G716" s="19" t="n">
        <v>134106094029</v>
      </c>
      <c r="H716" s="17" t="s">
        <v>134</v>
      </c>
      <c r="I716" s="17" t="s">
        <v>44</v>
      </c>
      <c r="J716" s="17" t="s">
        <v>106</v>
      </c>
      <c r="K716" s="17" t="str">
        <f aca="false">VLOOKUP(J716,Sheet2!A:B,2,0)</f>
        <v>PRAKASH CHAVDA</v>
      </c>
      <c r="L716" s="17" t="n">
        <v>5</v>
      </c>
      <c r="M716" s="17" t="str">
        <f aca="false">VLOOKUP(L716,Sheet2!D:E,2,0)</f>
        <v>Main Processor CPU BGA</v>
      </c>
      <c r="N716" s="17" t="n">
        <v>24</v>
      </c>
      <c r="O716" s="17" t="str">
        <f aca="false">VLOOKUP(N716,Sheet2!G:H,2,0)</f>
        <v>STB Auto moving -Stand by mode</v>
      </c>
      <c r="P716" s="17" t="n">
        <v>12</v>
      </c>
      <c r="Q716" s="17" t="str">
        <f aca="false">VLOOKUP(P716,Sheet2!J:K,2,0)</f>
        <v>IR Declared due to Others ( IR Normal)TB</v>
      </c>
      <c r="R716" s="17" t="s">
        <v>35</v>
      </c>
      <c r="S716" s="17" t="str">
        <f aca="false">VLOOKUP(R716,Sheet2!N:O,2,0)</f>
        <v>IREPARABLE</v>
      </c>
      <c r="T716" s="18" t="str">
        <f aca="false">VLOOKUP(P716,Sheet2!Q:R,2,0)</f>
        <v>IR Normal - BER to IR</v>
      </c>
      <c r="U716" s="20" t="s">
        <v>135</v>
      </c>
      <c r="V716" s="17" t="n">
        <v>12</v>
      </c>
      <c r="W716" s="20" t="str">
        <f aca="false">VLOOKUP(V716,Sheet2!Q:R,2,0)</f>
        <v>IR Normal - BER to IR</v>
      </c>
      <c r="X716" s="17" t="str">
        <f aca="false">J716</f>
        <v>A018</v>
      </c>
      <c r="Y716" s="17" t="str">
        <f aca="false">VLOOKUP(X716,Sheet2!A:B,2,0)</f>
        <v>PRAKASH CHAVDA</v>
      </c>
      <c r="Z716" s="17" t="s">
        <v>136</v>
      </c>
      <c r="AA716" s="17" t="s">
        <v>430</v>
      </c>
      <c r="AB716" s="17" t="s">
        <v>41</v>
      </c>
      <c r="AC716" s="0" t="str">
        <f aca="false">LEFT(G716,2)</f>
        <v>13</v>
      </c>
      <c r="AD716" s="0"/>
      <c r="AE716" s="21" t="s">
        <v>42</v>
      </c>
    </row>
    <row r="717" customFormat="false" ht="15" hidden="false" customHeight="false" outlineLevel="0" collapsed="false">
      <c r="A717" s="13" t="n">
        <f aca="false">1+A716</f>
        <v>715</v>
      </c>
      <c r="B717" s="17" t="n">
        <v>1009091536</v>
      </c>
      <c r="C717" s="17" t="s">
        <v>414</v>
      </c>
      <c r="D717" s="17" t="s">
        <v>64</v>
      </c>
      <c r="E717" s="17" t="s">
        <v>33</v>
      </c>
      <c r="F717" s="19" t="s">
        <v>34</v>
      </c>
      <c r="G717" s="19" t="n">
        <v>134037550610</v>
      </c>
      <c r="H717" s="17" t="s">
        <v>134</v>
      </c>
      <c r="I717" s="17" t="s">
        <v>44</v>
      </c>
      <c r="J717" s="17" t="s">
        <v>106</v>
      </c>
      <c r="K717" s="17" t="str">
        <f aca="false">VLOOKUP(J717,Sheet2!A:B,2,0)</f>
        <v>PRAKASH CHAVDA</v>
      </c>
      <c r="L717" s="17" t="n">
        <v>5</v>
      </c>
      <c r="M717" s="17" t="str">
        <f aca="false">VLOOKUP(L717,Sheet2!D:E,2,0)</f>
        <v>Main Processor CPU BGA</v>
      </c>
      <c r="N717" s="17" t="n">
        <v>24</v>
      </c>
      <c r="O717" s="17" t="str">
        <f aca="false">VLOOKUP(N717,Sheet2!G:H,2,0)</f>
        <v>STB Auto moving -Stand by mode</v>
      </c>
      <c r="P717" s="17" t="n">
        <v>12</v>
      </c>
      <c r="Q717" s="17" t="str">
        <f aca="false">VLOOKUP(P717,Sheet2!J:K,2,0)</f>
        <v>IR Declared due to Others ( IR Normal)TB</v>
      </c>
      <c r="R717" s="17" t="s">
        <v>35</v>
      </c>
      <c r="S717" s="17" t="str">
        <f aca="false">VLOOKUP(R717,Sheet2!N:O,2,0)</f>
        <v>IREPARABLE</v>
      </c>
      <c r="T717" s="18" t="str">
        <f aca="false">VLOOKUP(P717,Sheet2!Q:R,2,0)</f>
        <v>IR Normal - BER to IR</v>
      </c>
      <c r="U717" s="20" t="s">
        <v>135</v>
      </c>
      <c r="V717" s="17" t="n">
        <v>12</v>
      </c>
      <c r="W717" s="20" t="str">
        <f aca="false">VLOOKUP(V717,Sheet2!Q:R,2,0)</f>
        <v>IR Normal - BER to IR</v>
      </c>
      <c r="X717" s="17" t="str">
        <f aca="false">J717</f>
        <v>A018</v>
      </c>
      <c r="Y717" s="17" t="str">
        <f aca="false">VLOOKUP(X717,Sheet2!A:B,2,0)</f>
        <v>PRAKASH CHAVDA</v>
      </c>
      <c r="Z717" s="17" t="s">
        <v>136</v>
      </c>
      <c r="AA717" s="17" t="s">
        <v>430</v>
      </c>
      <c r="AB717" s="17" t="s">
        <v>41</v>
      </c>
      <c r="AC717" s="0" t="str">
        <f aca="false">LEFT(G717,2)</f>
        <v>13</v>
      </c>
      <c r="AD717" s="0"/>
      <c r="AE717" s="21" t="s">
        <v>42</v>
      </c>
    </row>
    <row r="718" customFormat="false" ht="15" hidden="false" customHeight="false" outlineLevel="0" collapsed="false">
      <c r="A718" s="13" t="n">
        <f aca="false">1+A717</f>
        <v>716</v>
      </c>
      <c r="B718" s="17" t="n">
        <v>1009662862</v>
      </c>
      <c r="C718" s="17" t="s">
        <v>433</v>
      </c>
      <c r="D718" s="17" t="s">
        <v>209</v>
      </c>
      <c r="E718" s="17" t="s">
        <v>33</v>
      </c>
      <c r="F718" s="19" t="s">
        <v>34</v>
      </c>
      <c r="G718" s="19" t="n">
        <v>134268097430</v>
      </c>
      <c r="H718" s="17" t="s">
        <v>134</v>
      </c>
      <c r="I718" s="17" t="s">
        <v>44</v>
      </c>
      <c r="J718" s="17" t="s">
        <v>106</v>
      </c>
      <c r="K718" s="17" t="str">
        <f aca="false">VLOOKUP(J718,Sheet2!A:B,2,0)</f>
        <v>PRAKASH CHAVDA</v>
      </c>
      <c r="L718" s="17" t="n">
        <v>5</v>
      </c>
      <c r="M718" s="17" t="str">
        <f aca="false">VLOOKUP(L718,Sheet2!D:E,2,0)</f>
        <v>Main Processor CPU BGA</v>
      </c>
      <c r="N718" s="17" t="n">
        <v>24</v>
      </c>
      <c r="O718" s="17" t="str">
        <f aca="false">VLOOKUP(N718,Sheet2!G:H,2,0)</f>
        <v>STB Auto moving -Stand by mode</v>
      </c>
      <c r="P718" s="17" t="n">
        <v>12</v>
      </c>
      <c r="Q718" s="17" t="str">
        <f aca="false">VLOOKUP(P718,Sheet2!J:K,2,0)</f>
        <v>IR Declared due to Others ( IR Normal)TB</v>
      </c>
      <c r="R718" s="17" t="s">
        <v>35</v>
      </c>
      <c r="S718" s="17" t="str">
        <f aca="false">VLOOKUP(R718,Sheet2!N:O,2,0)</f>
        <v>IREPARABLE</v>
      </c>
      <c r="T718" s="18" t="str">
        <f aca="false">VLOOKUP(P718,Sheet2!Q:R,2,0)</f>
        <v>IR Normal - BER to IR</v>
      </c>
      <c r="U718" s="20" t="s">
        <v>135</v>
      </c>
      <c r="V718" s="17" t="n">
        <v>12</v>
      </c>
      <c r="W718" s="20" t="str">
        <f aca="false">VLOOKUP(V718,Sheet2!Q:R,2,0)</f>
        <v>IR Normal - BER to IR</v>
      </c>
      <c r="X718" s="17" t="str">
        <f aca="false">J718</f>
        <v>A018</v>
      </c>
      <c r="Y718" s="17" t="str">
        <f aca="false">VLOOKUP(X718,Sheet2!A:B,2,0)</f>
        <v>PRAKASH CHAVDA</v>
      </c>
      <c r="Z718" s="17" t="s">
        <v>136</v>
      </c>
      <c r="AA718" s="17" t="s">
        <v>430</v>
      </c>
      <c r="AB718" s="17" t="s">
        <v>41</v>
      </c>
      <c r="AC718" s="0" t="str">
        <f aca="false">LEFT(G718,2)</f>
        <v>13</v>
      </c>
      <c r="AD718" s="0"/>
      <c r="AE718" s="21" t="s">
        <v>42</v>
      </c>
    </row>
    <row r="719" customFormat="false" ht="15" hidden="false" customHeight="false" outlineLevel="0" collapsed="false">
      <c r="A719" s="13" t="n">
        <f aca="false">1+A718</f>
        <v>717</v>
      </c>
      <c r="B719" s="17" t="n">
        <v>1009091888</v>
      </c>
      <c r="C719" s="17" t="s">
        <v>414</v>
      </c>
      <c r="D719" s="17" t="s">
        <v>64</v>
      </c>
      <c r="E719" s="17" t="s">
        <v>33</v>
      </c>
      <c r="F719" s="19" t="s">
        <v>34</v>
      </c>
      <c r="G719" s="19" t="n">
        <v>134273122595</v>
      </c>
      <c r="H719" s="17" t="s">
        <v>134</v>
      </c>
      <c r="I719" s="17" t="s">
        <v>44</v>
      </c>
      <c r="J719" s="17" t="s">
        <v>106</v>
      </c>
      <c r="K719" s="17" t="str">
        <f aca="false">VLOOKUP(J719,Sheet2!A:B,2,0)</f>
        <v>PRAKASH CHAVDA</v>
      </c>
      <c r="L719" s="17" t="n">
        <v>5</v>
      </c>
      <c r="M719" s="17" t="str">
        <f aca="false">VLOOKUP(L719,Sheet2!D:E,2,0)</f>
        <v>Main Processor CPU BGA</v>
      </c>
      <c r="N719" s="17" t="n">
        <v>1</v>
      </c>
      <c r="O719" s="17" t="str">
        <f aca="false">VLOOKUP(N719,Sheet2!G:H,2,0)</f>
        <v>Dead</v>
      </c>
      <c r="P719" s="17" t="n">
        <v>12</v>
      </c>
      <c r="Q719" s="17" t="str">
        <f aca="false">VLOOKUP(P719,Sheet2!J:K,2,0)</f>
        <v>IR Declared due to Others ( IR Normal)TB</v>
      </c>
      <c r="R719" s="17" t="s">
        <v>35</v>
      </c>
      <c r="S719" s="17" t="str">
        <f aca="false">VLOOKUP(R719,Sheet2!N:O,2,0)</f>
        <v>IREPARABLE</v>
      </c>
      <c r="T719" s="18" t="str">
        <f aca="false">VLOOKUP(P719,Sheet2!Q:R,2,0)</f>
        <v>IR Normal - BER to IR</v>
      </c>
      <c r="U719" s="20" t="s">
        <v>135</v>
      </c>
      <c r="V719" s="17" t="n">
        <v>12</v>
      </c>
      <c r="W719" s="20" t="str">
        <f aca="false">VLOOKUP(V719,Sheet2!Q:R,2,0)</f>
        <v>IR Normal - BER to IR</v>
      </c>
      <c r="X719" s="17" t="str">
        <f aca="false">J719</f>
        <v>A018</v>
      </c>
      <c r="Y719" s="17" t="str">
        <f aca="false">VLOOKUP(X719,Sheet2!A:B,2,0)</f>
        <v>PRAKASH CHAVDA</v>
      </c>
      <c r="Z719" s="17" t="s">
        <v>136</v>
      </c>
      <c r="AA719" s="17" t="s">
        <v>430</v>
      </c>
      <c r="AB719" s="17" t="s">
        <v>41</v>
      </c>
      <c r="AC719" s="0" t="str">
        <f aca="false">LEFT(G719,2)</f>
        <v>13</v>
      </c>
      <c r="AD719" s="0"/>
      <c r="AE719" s="21" t="s">
        <v>42</v>
      </c>
    </row>
    <row r="720" customFormat="false" ht="15" hidden="false" customHeight="false" outlineLevel="0" collapsed="false">
      <c r="A720" s="13" t="n">
        <f aca="false">1+A719</f>
        <v>718</v>
      </c>
      <c r="B720" s="17" t="n">
        <v>1008808979</v>
      </c>
      <c r="C720" s="17" t="s">
        <v>434</v>
      </c>
      <c r="D720" s="17" t="s">
        <v>64</v>
      </c>
      <c r="E720" s="17" t="s">
        <v>47</v>
      </c>
      <c r="F720" s="19" t="s">
        <v>34</v>
      </c>
      <c r="G720" s="19" t="n">
        <v>134127157029</v>
      </c>
      <c r="H720" s="17" t="s">
        <v>134</v>
      </c>
      <c r="I720" s="17" t="s">
        <v>44</v>
      </c>
      <c r="J720" s="17" t="s">
        <v>106</v>
      </c>
      <c r="K720" s="17" t="str">
        <f aca="false">VLOOKUP(J720,Sheet2!A:B,2,0)</f>
        <v>PRAKASH CHAVDA</v>
      </c>
      <c r="L720" s="17" t="n">
        <v>5</v>
      </c>
      <c r="M720" s="17" t="str">
        <f aca="false">VLOOKUP(L720,Sheet2!D:E,2,0)</f>
        <v>Main Processor CPU BGA</v>
      </c>
      <c r="N720" s="17" t="n">
        <v>1</v>
      </c>
      <c r="O720" s="17" t="str">
        <f aca="false">VLOOKUP(N720,Sheet2!G:H,2,0)</f>
        <v>Dead</v>
      </c>
      <c r="P720" s="17" t="n">
        <v>12</v>
      </c>
      <c r="Q720" s="17" t="str">
        <f aca="false">VLOOKUP(P720,Sheet2!J:K,2,0)</f>
        <v>IR Declared due to Others ( IR Normal)TB</v>
      </c>
      <c r="R720" s="17" t="s">
        <v>35</v>
      </c>
      <c r="S720" s="17" t="str">
        <f aca="false">VLOOKUP(R720,Sheet2!N:O,2,0)</f>
        <v>IREPARABLE</v>
      </c>
      <c r="T720" s="18" t="str">
        <f aca="false">VLOOKUP(P720,Sheet2!Q:R,2,0)</f>
        <v>IR Normal - BER to IR</v>
      </c>
      <c r="U720" s="20" t="s">
        <v>135</v>
      </c>
      <c r="V720" s="17" t="n">
        <v>12</v>
      </c>
      <c r="W720" s="20" t="str">
        <f aca="false">VLOOKUP(V720,Sheet2!Q:R,2,0)</f>
        <v>IR Normal - BER to IR</v>
      </c>
      <c r="X720" s="17" t="str">
        <f aca="false">J720</f>
        <v>A018</v>
      </c>
      <c r="Y720" s="17" t="str">
        <f aca="false">VLOOKUP(X720,Sheet2!A:B,2,0)</f>
        <v>PRAKASH CHAVDA</v>
      </c>
      <c r="Z720" s="17" t="s">
        <v>136</v>
      </c>
      <c r="AA720" s="17" t="s">
        <v>430</v>
      </c>
      <c r="AB720" s="17" t="s">
        <v>41</v>
      </c>
      <c r="AC720" s="0" t="str">
        <f aca="false">LEFT(G720,2)</f>
        <v>13</v>
      </c>
      <c r="AD720" s="0"/>
      <c r="AE720" s="21" t="s">
        <v>42</v>
      </c>
    </row>
    <row r="721" customFormat="false" ht="15" hidden="false" customHeight="false" outlineLevel="0" collapsed="false">
      <c r="A721" s="13" t="n">
        <f aca="false">1+A720</f>
        <v>719</v>
      </c>
      <c r="B721" s="17" t="n">
        <v>1009638025</v>
      </c>
      <c r="C721" s="17" t="s">
        <v>414</v>
      </c>
      <c r="D721" s="17" t="s">
        <v>64</v>
      </c>
      <c r="E721" s="17" t="s">
        <v>64</v>
      </c>
      <c r="F721" s="18" t="s">
        <v>70</v>
      </c>
      <c r="G721" s="19" t="n">
        <v>134053485980</v>
      </c>
      <c r="H721" s="17" t="s">
        <v>134</v>
      </c>
      <c r="I721" s="17" t="s">
        <v>44</v>
      </c>
      <c r="J721" s="17" t="s">
        <v>106</v>
      </c>
      <c r="K721" s="17" t="str">
        <f aca="false">VLOOKUP(J721,Sheet2!A:B,2,0)</f>
        <v>PRAKASH CHAVDA</v>
      </c>
      <c r="L721" s="17" t="n">
        <v>1</v>
      </c>
      <c r="M721" s="17" t="str">
        <f aca="false">VLOOKUP(L721,Sheet2!D:E,2,0)</f>
        <v>Power Supply Section</v>
      </c>
      <c r="N721" s="17" t="n">
        <v>1</v>
      </c>
      <c r="O721" s="17" t="str">
        <f aca="false">VLOOKUP(N721,Sheet2!G:H,2,0)</f>
        <v>Dead</v>
      </c>
      <c r="P721" s="17" t="n">
        <v>12</v>
      </c>
      <c r="Q721" s="17" t="str">
        <f aca="false">VLOOKUP(P721,Sheet2!J:K,2,0)</f>
        <v>IR Declared due to Others ( IR Normal)TB</v>
      </c>
      <c r="R721" s="17" t="s">
        <v>35</v>
      </c>
      <c r="S721" s="17" t="str">
        <f aca="false">VLOOKUP(R721,Sheet2!N:O,2,0)</f>
        <v>IREPARABLE</v>
      </c>
      <c r="T721" s="18" t="str">
        <f aca="false">VLOOKUP(P721,Sheet2!Q:R,2,0)</f>
        <v>IR Normal - BER to IR</v>
      </c>
      <c r="U721" s="20" t="s">
        <v>135</v>
      </c>
      <c r="V721" s="17" t="n">
        <v>12</v>
      </c>
      <c r="W721" s="20" t="str">
        <f aca="false">VLOOKUP(V721,Sheet2!Q:R,2,0)</f>
        <v>IR Normal - BER to IR</v>
      </c>
      <c r="X721" s="17" t="str">
        <f aca="false">J721</f>
        <v>A018</v>
      </c>
      <c r="Y721" s="17" t="str">
        <f aca="false">VLOOKUP(X721,Sheet2!A:B,2,0)</f>
        <v>PRAKASH CHAVDA</v>
      </c>
      <c r="Z721" s="17" t="s">
        <v>136</v>
      </c>
      <c r="AA721" s="17" t="s">
        <v>430</v>
      </c>
      <c r="AB721" s="17" t="s">
        <v>41</v>
      </c>
      <c r="AC721" s="0" t="str">
        <f aca="false">LEFT(G721,2)</f>
        <v>13</v>
      </c>
      <c r="AD721" s="0"/>
      <c r="AE721" s="21" t="s">
        <v>42</v>
      </c>
    </row>
    <row r="722" customFormat="false" ht="15" hidden="false" customHeight="false" outlineLevel="0" collapsed="false">
      <c r="A722" s="13" t="n">
        <f aca="false">1+A721</f>
        <v>720</v>
      </c>
      <c r="B722" s="17" t="n">
        <v>1009533272</v>
      </c>
      <c r="C722" s="17" t="s">
        <v>174</v>
      </c>
      <c r="D722" s="17" t="s">
        <v>64</v>
      </c>
      <c r="E722" s="17" t="s">
        <v>64</v>
      </c>
      <c r="F722" s="18" t="s">
        <v>70</v>
      </c>
      <c r="G722" s="19" t="n">
        <v>134247157537</v>
      </c>
      <c r="H722" s="17" t="s">
        <v>134</v>
      </c>
      <c r="I722" s="17" t="s">
        <v>44</v>
      </c>
      <c r="J722" s="17" t="s">
        <v>106</v>
      </c>
      <c r="K722" s="17" t="str">
        <f aca="false">VLOOKUP(J722,Sheet2!A:B,2,0)</f>
        <v>PRAKASH CHAVDA</v>
      </c>
      <c r="L722" s="17" t="n">
        <v>5</v>
      </c>
      <c r="M722" s="17" t="str">
        <f aca="false">VLOOKUP(L722,Sheet2!D:E,2,0)</f>
        <v>Main Processor CPU BGA</v>
      </c>
      <c r="N722" s="17" t="n">
        <v>1</v>
      </c>
      <c r="O722" s="17" t="str">
        <f aca="false">VLOOKUP(N722,Sheet2!G:H,2,0)</f>
        <v>Dead</v>
      </c>
      <c r="P722" s="17" t="n">
        <v>12</v>
      </c>
      <c r="Q722" s="17" t="str">
        <f aca="false">VLOOKUP(P722,Sheet2!J:K,2,0)</f>
        <v>IR Declared due to Others ( IR Normal)TB</v>
      </c>
      <c r="R722" s="17" t="s">
        <v>35</v>
      </c>
      <c r="S722" s="17" t="str">
        <f aca="false">VLOOKUP(R722,Sheet2!N:O,2,0)</f>
        <v>IREPARABLE</v>
      </c>
      <c r="T722" s="18" t="str">
        <f aca="false">VLOOKUP(P722,Sheet2!Q:R,2,0)</f>
        <v>IR Normal - BER to IR</v>
      </c>
      <c r="U722" s="20" t="s">
        <v>135</v>
      </c>
      <c r="V722" s="17" t="n">
        <v>12</v>
      </c>
      <c r="W722" s="20" t="str">
        <f aca="false">VLOOKUP(V722,Sheet2!Q:R,2,0)</f>
        <v>IR Normal - BER to IR</v>
      </c>
      <c r="X722" s="17" t="str">
        <f aca="false">J722</f>
        <v>A018</v>
      </c>
      <c r="Y722" s="17" t="str">
        <f aca="false">VLOOKUP(X722,Sheet2!A:B,2,0)</f>
        <v>PRAKASH CHAVDA</v>
      </c>
      <c r="Z722" s="17" t="s">
        <v>136</v>
      </c>
      <c r="AA722" s="17" t="s">
        <v>430</v>
      </c>
      <c r="AB722" s="17" t="s">
        <v>41</v>
      </c>
      <c r="AC722" s="0" t="str">
        <f aca="false">LEFT(G722,2)</f>
        <v>13</v>
      </c>
      <c r="AD722" s="0"/>
      <c r="AE722" s="21" t="s">
        <v>42</v>
      </c>
    </row>
    <row r="723" customFormat="false" ht="15" hidden="false" customHeight="false" outlineLevel="0" collapsed="false">
      <c r="A723" s="13" t="n">
        <f aca="false">1+A722</f>
        <v>721</v>
      </c>
      <c r="B723" s="17" t="n">
        <v>1009091870</v>
      </c>
      <c r="C723" s="17" t="s">
        <v>414</v>
      </c>
      <c r="D723" s="17" t="s">
        <v>64</v>
      </c>
      <c r="E723" s="17" t="s">
        <v>64</v>
      </c>
      <c r="F723" s="18" t="s">
        <v>70</v>
      </c>
      <c r="G723" s="19" t="n">
        <v>135213044690</v>
      </c>
      <c r="H723" s="17" t="s">
        <v>134</v>
      </c>
      <c r="I723" s="17" t="s">
        <v>44</v>
      </c>
      <c r="J723" s="17" t="s">
        <v>106</v>
      </c>
      <c r="K723" s="17" t="str">
        <f aca="false">VLOOKUP(J723,Sheet2!A:B,2,0)</f>
        <v>PRAKASH CHAVDA</v>
      </c>
      <c r="L723" s="17" t="n">
        <v>5</v>
      </c>
      <c r="M723" s="17" t="str">
        <f aca="false">VLOOKUP(L723,Sheet2!D:E,2,0)</f>
        <v>Main Processor CPU BGA</v>
      </c>
      <c r="N723" s="17" t="n">
        <v>10</v>
      </c>
      <c r="O723" s="17" t="str">
        <f aca="false">VLOOKUP(N723,Sheet2!G:H,2,0)</f>
        <v>No Audio - HDMI</v>
      </c>
      <c r="P723" s="17" t="n">
        <v>12</v>
      </c>
      <c r="Q723" s="17" t="str">
        <f aca="false">VLOOKUP(P723,Sheet2!J:K,2,0)</f>
        <v>IR Declared due to Others ( IR Normal)TB</v>
      </c>
      <c r="R723" s="17" t="s">
        <v>35</v>
      </c>
      <c r="S723" s="17" t="str">
        <f aca="false">VLOOKUP(R723,Sheet2!N:O,2,0)</f>
        <v>IREPARABLE</v>
      </c>
      <c r="T723" s="18" t="str">
        <f aca="false">VLOOKUP(P723,Sheet2!Q:R,2,0)</f>
        <v>IR Normal - BER to IR</v>
      </c>
      <c r="U723" s="20" t="s">
        <v>135</v>
      </c>
      <c r="V723" s="17" t="n">
        <v>12</v>
      </c>
      <c r="W723" s="20" t="str">
        <f aca="false">VLOOKUP(V723,Sheet2!Q:R,2,0)</f>
        <v>IR Normal - BER to IR</v>
      </c>
      <c r="X723" s="17" t="str">
        <f aca="false">J723</f>
        <v>A018</v>
      </c>
      <c r="Y723" s="17" t="str">
        <f aca="false">VLOOKUP(X723,Sheet2!A:B,2,0)</f>
        <v>PRAKASH CHAVDA</v>
      </c>
      <c r="Z723" s="17" t="s">
        <v>136</v>
      </c>
      <c r="AA723" s="17" t="s">
        <v>430</v>
      </c>
      <c r="AB723" s="17" t="s">
        <v>41</v>
      </c>
      <c r="AC723" s="0" t="str">
        <f aca="false">LEFT(G723,2)</f>
        <v>13</v>
      </c>
      <c r="AD723" s="0"/>
      <c r="AE723" s="21" t="s">
        <v>42</v>
      </c>
    </row>
    <row r="724" customFormat="false" ht="15" hidden="false" customHeight="false" outlineLevel="0" collapsed="false">
      <c r="A724" s="13" t="n">
        <f aca="false">1+A723</f>
        <v>722</v>
      </c>
      <c r="B724" s="17" t="n">
        <v>1009610410</v>
      </c>
      <c r="C724" s="17" t="s">
        <v>181</v>
      </c>
      <c r="D724" s="17" t="s">
        <v>88</v>
      </c>
      <c r="E724" s="17" t="s">
        <v>47</v>
      </c>
      <c r="F724" s="19" t="s">
        <v>34</v>
      </c>
      <c r="G724" s="19" t="n">
        <v>134087016926</v>
      </c>
      <c r="H724" s="17" t="s">
        <v>134</v>
      </c>
      <c r="I724" s="17" t="s">
        <v>44</v>
      </c>
      <c r="J724" s="17" t="s">
        <v>106</v>
      </c>
      <c r="K724" s="17" t="str">
        <f aca="false">VLOOKUP(J724,Sheet2!A:B,2,0)</f>
        <v>PRAKASH CHAVDA</v>
      </c>
      <c r="L724" s="17" t="n">
        <v>5</v>
      </c>
      <c r="M724" s="17" t="str">
        <f aca="false">VLOOKUP(L724,Sheet2!D:E,2,0)</f>
        <v>Main Processor CPU BGA</v>
      </c>
      <c r="N724" s="17" t="n">
        <v>1</v>
      </c>
      <c r="O724" s="17" t="str">
        <f aca="false">VLOOKUP(N724,Sheet2!G:H,2,0)</f>
        <v>Dead</v>
      </c>
      <c r="P724" s="17" t="n">
        <v>12</v>
      </c>
      <c r="Q724" s="17" t="str">
        <f aca="false">VLOOKUP(P724,Sheet2!J:K,2,0)</f>
        <v>IR Declared due to Others ( IR Normal)TB</v>
      </c>
      <c r="R724" s="17" t="s">
        <v>35</v>
      </c>
      <c r="S724" s="17" t="str">
        <f aca="false">VLOOKUP(R724,Sheet2!N:O,2,0)</f>
        <v>IREPARABLE</v>
      </c>
      <c r="T724" s="18" t="str">
        <f aca="false">VLOOKUP(P724,Sheet2!Q:R,2,0)</f>
        <v>IR Normal - BER to IR</v>
      </c>
      <c r="U724" s="20" t="s">
        <v>135</v>
      </c>
      <c r="V724" s="17" t="n">
        <v>12</v>
      </c>
      <c r="W724" s="20" t="str">
        <f aca="false">VLOOKUP(V724,Sheet2!Q:R,2,0)</f>
        <v>IR Normal - BER to IR</v>
      </c>
      <c r="X724" s="17" t="str">
        <f aca="false">J724</f>
        <v>A018</v>
      </c>
      <c r="Y724" s="17" t="str">
        <f aca="false">VLOOKUP(X724,Sheet2!A:B,2,0)</f>
        <v>PRAKASH CHAVDA</v>
      </c>
      <c r="Z724" s="17" t="s">
        <v>136</v>
      </c>
      <c r="AA724" s="17" t="s">
        <v>430</v>
      </c>
      <c r="AB724" s="17" t="s">
        <v>41</v>
      </c>
      <c r="AC724" s="0" t="str">
        <f aca="false">LEFT(G724,2)</f>
        <v>13</v>
      </c>
      <c r="AD724" s="0"/>
      <c r="AE724" s="21" t="s">
        <v>42</v>
      </c>
    </row>
    <row r="725" customFormat="false" ht="15" hidden="false" customHeight="false" outlineLevel="0" collapsed="false">
      <c r="A725" s="13" t="n">
        <f aca="false">1+A724</f>
        <v>723</v>
      </c>
      <c r="B725" s="17" t="n">
        <v>1009091471</v>
      </c>
      <c r="C725" s="17" t="s">
        <v>414</v>
      </c>
      <c r="D725" s="17" t="s">
        <v>64</v>
      </c>
      <c r="E725" s="17" t="s">
        <v>64</v>
      </c>
      <c r="F725" s="18" t="s">
        <v>70</v>
      </c>
      <c r="G725" s="19" t="n">
        <v>134056603340</v>
      </c>
      <c r="H725" s="17" t="s">
        <v>134</v>
      </c>
      <c r="I725" s="17" t="s">
        <v>44</v>
      </c>
      <c r="J725" s="17" t="s">
        <v>106</v>
      </c>
      <c r="K725" s="17" t="str">
        <f aca="false">VLOOKUP(J725,Sheet2!A:B,2,0)</f>
        <v>PRAKASH CHAVDA</v>
      </c>
      <c r="L725" s="17" t="n">
        <v>5</v>
      </c>
      <c r="M725" s="17" t="str">
        <f aca="false">VLOOKUP(L725,Sheet2!D:E,2,0)</f>
        <v>Main Processor CPU BGA</v>
      </c>
      <c r="N725" s="17" t="n">
        <v>1</v>
      </c>
      <c r="O725" s="17" t="str">
        <f aca="false">VLOOKUP(N725,Sheet2!G:H,2,0)</f>
        <v>Dead</v>
      </c>
      <c r="P725" s="17" t="n">
        <v>12</v>
      </c>
      <c r="Q725" s="17" t="str">
        <f aca="false">VLOOKUP(P725,Sheet2!J:K,2,0)</f>
        <v>IR Declared due to Others ( IR Normal)TB</v>
      </c>
      <c r="R725" s="17" t="s">
        <v>35</v>
      </c>
      <c r="S725" s="17" t="str">
        <f aca="false">VLOOKUP(R725,Sheet2!N:O,2,0)</f>
        <v>IREPARABLE</v>
      </c>
      <c r="T725" s="18" t="str">
        <f aca="false">VLOOKUP(P725,Sheet2!Q:R,2,0)</f>
        <v>IR Normal - BER to IR</v>
      </c>
      <c r="U725" s="20" t="s">
        <v>135</v>
      </c>
      <c r="V725" s="17" t="n">
        <v>12</v>
      </c>
      <c r="W725" s="20" t="str">
        <f aca="false">VLOOKUP(V725,Sheet2!Q:R,2,0)</f>
        <v>IR Normal - BER to IR</v>
      </c>
      <c r="X725" s="17" t="str">
        <f aca="false">J725</f>
        <v>A018</v>
      </c>
      <c r="Y725" s="17" t="str">
        <f aca="false">VLOOKUP(X725,Sheet2!A:B,2,0)</f>
        <v>PRAKASH CHAVDA</v>
      </c>
      <c r="Z725" s="17" t="s">
        <v>136</v>
      </c>
      <c r="AA725" s="17" t="s">
        <v>430</v>
      </c>
      <c r="AB725" s="17" t="s">
        <v>41</v>
      </c>
      <c r="AC725" s="0" t="str">
        <f aca="false">LEFT(G725,2)</f>
        <v>13</v>
      </c>
      <c r="AD725" s="0"/>
      <c r="AE725" s="21" t="s">
        <v>42</v>
      </c>
    </row>
    <row r="726" customFormat="false" ht="15" hidden="false" customHeight="false" outlineLevel="0" collapsed="false">
      <c r="A726" s="13" t="n">
        <f aca="false">1+A725</f>
        <v>724</v>
      </c>
      <c r="B726" s="17" t="n">
        <v>1009340706</v>
      </c>
      <c r="C726" s="17" t="s">
        <v>191</v>
      </c>
      <c r="D726" s="17" t="s">
        <v>64</v>
      </c>
      <c r="E726" s="17" t="s">
        <v>91</v>
      </c>
      <c r="F726" s="18" t="s">
        <v>92</v>
      </c>
      <c r="G726" s="19" t="n">
        <v>954190177574</v>
      </c>
      <c r="H726" s="17" t="s">
        <v>134</v>
      </c>
      <c r="I726" s="17" t="s">
        <v>44</v>
      </c>
      <c r="J726" s="17" t="s">
        <v>106</v>
      </c>
      <c r="K726" s="17" t="str">
        <f aca="false">VLOOKUP(J726,Sheet2!A:B,2,0)</f>
        <v>PRAKASH CHAVDA</v>
      </c>
      <c r="L726" s="17" t="n">
        <v>1</v>
      </c>
      <c r="M726" s="17" t="str">
        <f aca="false">VLOOKUP(L726,Sheet2!D:E,2,0)</f>
        <v>Power Supply Section</v>
      </c>
      <c r="N726" s="17" t="n">
        <v>1</v>
      </c>
      <c r="O726" s="17" t="str">
        <f aca="false">VLOOKUP(N726,Sheet2!G:H,2,0)</f>
        <v>Dead</v>
      </c>
      <c r="P726" s="17" t="n">
        <v>12</v>
      </c>
      <c r="Q726" s="17" t="str">
        <f aca="false">VLOOKUP(P726,Sheet2!J:K,2,0)</f>
        <v>IR Declared due to Others ( IR Normal)TB</v>
      </c>
      <c r="R726" s="17" t="s">
        <v>35</v>
      </c>
      <c r="S726" s="17" t="str">
        <f aca="false">VLOOKUP(R726,Sheet2!N:O,2,0)</f>
        <v>IREPARABLE</v>
      </c>
      <c r="T726" s="18" t="str">
        <f aca="false">VLOOKUP(P726,Sheet2!Q:R,2,0)</f>
        <v>IR Normal - BER to IR</v>
      </c>
      <c r="U726" s="20" t="s">
        <v>135</v>
      </c>
      <c r="V726" s="17" t="n">
        <v>12</v>
      </c>
      <c r="W726" s="20" t="str">
        <f aca="false">VLOOKUP(V726,Sheet2!Q:R,2,0)</f>
        <v>IR Normal - BER to IR</v>
      </c>
      <c r="X726" s="17" t="str">
        <f aca="false">J726</f>
        <v>A018</v>
      </c>
      <c r="Y726" s="17" t="str">
        <f aca="false">VLOOKUP(X726,Sheet2!A:B,2,0)</f>
        <v>PRAKASH CHAVDA</v>
      </c>
      <c r="Z726" s="17" t="s">
        <v>136</v>
      </c>
      <c r="AA726" s="17" t="s">
        <v>430</v>
      </c>
      <c r="AB726" s="17" t="s">
        <v>41</v>
      </c>
      <c r="AC726" s="0" t="str">
        <f aca="false">LEFT(G726,2)</f>
        <v>95</v>
      </c>
      <c r="AD726" s="0"/>
      <c r="AE726" s="21" t="s">
        <v>42</v>
      </c>
    </row>
    <row r="727" customFormat="false" ht="15" hidden="false" customHeight="false" outlineLevel="0" collapsed="false">
      <c r="A727" s="13" t="n">
        <f aca="false">1+A726</f>
        <v>725</v>
      </c>
      <c r="B727" s="17" t="n">
        <v>1009546810</v>
      </c>
      <c r="C727" s="17" t="s">
        <v>126</v>
      </c>
      <c r="D727" s="17" t="s">
        <v>86</v>
      </c>
      <c r="E727" s="17" t="s">
        <v>47</v>
      </c>
      <c r="F727" s="19" t="s">
        <v>34</v>
      </c>
      <c r="G727" s="19" t="n">
        <v>942077966078</v>
      </c>
      <c r="H727" s="17" t="s">
        <v>134</v>
      </c>
      <c r="I727" s="17" t="s">
        <v>44</v>
      </c>
      <c r="J727" s="17" t="s">
        <v>106</v>
      </c>
      <c r="K727" s="17" t="str">
        <f aca="false">VLOOKUP(J727,Sheet2!A:B,2,0)</f>
        <v>PRAKASH CHAVDA</v>
      </c>
      <c r="L727" s="17" t="n">
        <v>5</v>
      </c>
      <c r="M727" s="17" t="str">
        <f aca="false">VLOOKUP(L727,Sheet2!D:E,2,0)</f>
        <v>Main Processor CPU BGA</v>
      </c>
      <c r="N727" s="17" t="n">
        <v>24</v>
      </c>
      <c r="O727" s="17" t="str">
        <f aca="false">VLOOKUP(N727,Sheet2!G:H,2,0)</f>
        <v>STB Auto moving -Stand by mode</v>
      </c>
      <c r="P727" s="17" t="n">
        <v>12</v>
      </c>
      <c r="Q727" s="17" t="str">
        <f aca="false">VLOOKUP(P727,Sheet2!J:K,2,0)</f>
        <v>IR Declared due to Others ( IR Normal)TB</v>
      </c>
      <c r="R727" s="17" t="s">
        <v>35</v>
      </c>
      <c r="S727" s="17" t="str">
        <f aca="false">VLOOKUP(R727,Sheet2!N:O,2,0)</f>
        <v>IREPARABLE</v>
      </c>
      <c r="T727" s="18" t="str">
        <f aca="false">VLOOKUP(P727,Sheet2!Q:R,2,0)</f>
        <v>IR Normal - BER to IR</v>
      </c>
      <c r="U727" s="20" t="s">
        <v>135</v>
      </c>
      <c r="V727" s="17" t="n">
        <v>12</v>
      </c>
      <c r="W727" s="20" t="str">
        <f aca="false">VLOOKUP(V727,Sheet2!Q:R,2,0)</f>
        <v>IR Normal - BER to IR</v>
      </c>
      <c r="X727" s="17" t="str">
        <f aca="false">J727</f>
        <v>A018</v>
      </c>
      <c r="Y727" s="17" t="str">
        <f aca="false">VLOOKUP(X727,Sheet2!A:B,2,0)</f>
        <v>PRAKASH CHAVDA</v>
      </c>
      <c r="Z727" s="17" t="s">
        <v>136</v>
      </c>
      <c r="AA727" s="17" t="s">
        <v>430</v>
      </c>
      <c r="AB727" s="17" t="s">
        <v>41</v>
      </c>
      <c r="AC727" s="0" t="str">
        <f aca="false">LEFT(G727,2)</f>
        <v>94</v>
      </c>
      <c r="AD727" s="0"/>
      <c r="AE727" s="21" t="s">
        <v>42</v>
      </c>
    </row>
    <row r="728" customFormat="false" ht="15" hidden="false" customHeight="false" outlineLevel="0" collapsed="false">
      <c r="A728" s="13" t="n">
        <f aca="false">1+A727</f>
        <v>726</v>
      </c>
      <c r="B728" s="17" t="n">
        <v>1009443794</v>
      </c>
      <c r="C728" s="17" t="s">
        <v>189</v>
      </c>
      <c r="D728" s="17" t="s">
        <v>64</v>
      </c>
      <c r="E728" s="17" t="s">
        <v>64</v>
      </c>
      <c r="F728" s="18" t="s">
        <v>70</v>
      </c>
      <c r="G728" s="19" t="n">
        <v>943162958350</v>
      </c>
      <c r="H728" s="17" t="s">
        <v>134</v>
      </c>
      <c r="I728" s="17" t="s">
        <v>44</v>
      </c>
      <c r="J728" s="17" t="s">
        <v>106</v>
      </c>
      <c r="K728" s="17" t="str">
        <f aca="false">VLOOKUP(J728,Sheet2!A:B,2,0)</f>
        <v>PRAKASH CHAVDA</v>
      </c>
      <c r="L728" s="17" t="n">
        <v>5</v>
      </c>
      <c r="M728" s="17" t="str">
        <f aca="false">VLOOKUP(L728,Sheet2!D:E,2,0)</f>
        <v>Main Processor CPU BGA</v>
      </c>
      <c r="N728" s="17" t="n">
        <v>1</v>
      </c>
      <c r="O728" s="17" t="str">
        <f aca="false">VLOOKUP(N728,Sheet2!G:H,2,0)</f>
        <v>Dead</v>
      </c>
      <c r="P728" s="17" t="n">
        <v>12</v>
      </c>
      <c r="Q728" s="17" t="str">
        <f aca="false">VLOOKUP(P728,Sheet2!J:K,2,0)</f>
        <v>IR Declared due to Others ( IR Normal)TB</v>
      </c>
      <c r="R728" s="17" t="s">
        <v>35</v>
      </c>
      <c r="S728" s="17" t="str">
        <f aca="false">VLOOKUP(R728,Sheet2!N:O,2,0)</f>
        <v>IREPARABLE</v>
      </c>
      <c r="T728" s="18" t="str">
        <f aca="false">VLOOKUP(P728,Sheet2!Q:R,2,0)</f>
        <v>IR Normal - BER to IR</v>
      </c>
      <c r="U728" s="20" t="s">
        <v>135</v>
      </c>
      <c r="V728" s="17" t="n">
        <v>12</v>
      </c>
      <c r="W728" s="20" t="str">
        <f aca="false">VLOOKUP(V728,Sheet2!Q:R,2,0)</f>
        <v>IR Normal - BER to IR</v>
      </c>
      <c r="X728" s="17" t="str">
        <f aca="false">J728</f>
        <v>A018</v>
      </c>
      <c r="Y728" s="17" t="str">
        <f aca="false">VLOOKUP(X728,Sheet2!A:B,2,0)</f>
        <v>PRAKASH CHAVDA</v>
      </c>
      <c r="Z728" s="17" t="s">
        <v>136</v>
      </c>
      <c r="AA728" s="17" t="s">
        <v>430</v>
      </c>
      <c r="AB728" s="17" t="s">
        <v>41</v>
      </c>
      <c r="AC728" s="0" t="str">
        <f aca="false">LEFT(G728,2)</f>
        <v>94</v>
      </c>
      <c r="AD728" s="0"/>
      <c r="AE728" s="21" t="s">
        <v>42</v>
      </c>
    </row>
    <row r="729" customFormat="false" ht="15" hidden="false" customHeight="false" outlineLevel="0" collapsed="false">
      <c r="A729" s="13" t="n">
        <f aca="false">1+A728</f>
        <v>727</v>
      </c>
      <c r="B729" s="17" t="n">
        <v>1009529779</v>
      </c>
      <c r="C729" s="17" t="s">
        <v>174</v>
      </c>
      <c r="D729" s="17" t="s">
        <v>64</v>
      </c>
      <c r="E729" s="17" t="s">
        <v>64</v>
      </c>
      <c r="F729" s="18" t="s">
        <v>70</v>
      </c>
      <c r="G729" s="19" t="n">
        <v>942103912062</v>
      </c>
      <c r="H729" s="17" t="s">
        <v>134</v>
      </c>
      <c r="I729" s="17" t="s">
        <v>44</v>
      </c>
      <c r="J729" s="17" t="s">
        <v>106</v>
      </c>
      <c r="K729" s="17" t="str">
        <f aca="false">VLOOKUP(J729,Sheet2!A:B,2,0)</f>
        <v>PRAKASH CHAVDA</v>
      </c>
      <c r="L729" s="17" t="n">
        <v>5</v>
      </c>
      <c r="M729" s="17" t="str">
        <f aca="false">VLOOKUP(L729,Sheet2!D:E,2,0)</f>
        <v>Main Processor CPU BGA</v>
      </c>
      <c r="N729" s="17" t="n">
        <v>1</v>
      </c>
      <c r="O729" s="17" t="str">
        <f aca="false">VLOOKUP(N729,Sheet2!G:H,2,0)</f>
        <v>Dead</v>
      </c>
      <c r="P729" s="17" t="n">
        <v>12</v>
      </c>
      <c r="Q729" s="17" t="str">
        <f aca="false">VLOOKUP(P729,Sheet2!J:K,2,0)</f>
        <v>IR Declared due to Others ( IR Normal)TB</v>
      </c>
      <c r="R729" s="17" t="s">
        <v>35</v>
      </c>
      <c r="S729" s="17" t="str">
        <f aca="false">VLOOKUP(R729,Sheet2!N:O,2,0)</f>
        <v>IREPARABLE</v>
      </c>
      <c r="T729" s="18" t="str">
        <f aca="false">VLOOKUP(P729,Sheet2!Q:R,2,0)</f>
        <v>IR Normal - BER to IR</v>
      </c>
      <c r="U729" s="20" t="s">
        <v>135</v>
      </c>
      <c r="V729" s="17" t="n">
        <v>12</v>
      </c>
      <c r="W729" s="20" t="str">
        <f aca="false">VLOOKUP(V729,Sheet2!Q:R,2,0)</f>
        <v>IR Normal - BER to IR</v>
      </c>
      <c r="X729" s="17" t="str">
        <f aca="false">J729</f>
        <v>A018</v>
      </c>
      <c r="Y729" s="17" t="str">
        <f aca="false">VLOOKUP(X729,Sheet2!A:B,2,0)</f>
        <v>PRAKASH CHAVDA</v>
      </c>
      <c r="Z729" s="17" t="s">
        <v>136</v>
      </c>
      <c r="AA729" s="17" t="s">
        <v>430</v>
      </c>
      <c r="AB729" s="17" t="s">
        <v>41</v>
      </c>
      <c r="AC729" s="0" t="str">
        <f aca="false">LEFT(G729,2)</f>
        <v>94</v>
      </c>
      <c r="AD729" s="0"/>
      <c r="AE729" s="21" t="s">
        <v>42</v>
      </c>
    </row>
    <row r="730" customFormat="false" ht="15" hidden="false" customHeight="false" outlineLevel="0" collapsed="false">
      <c r="A730" s="13" t="n">
        <f aca="false">1+A729</f>
        <v>728</v>
      </c>
      <c r="B730" s="17" t="n">
        <v>1009662892</v>
      </c>
      <c r="C730" s="17" t="s">
        <v>433</v>
      </c>
      <c r="D730" s="17" t="s">
        <v>175</v>
      </c>
      <c r="E730" s="17" t="s">
        <v>176</v>
      </c>
      <c r="F730" s="18" t="s">
        <v>34</v>
      </c>
      <c r="G730" s="19" t="n">
        <v>987218167292</v>
      </c>
      <c r="H730" s="17" t="s">
        <v>134</v>
      </c>
      <c r="I730" s="17" t="s">
        <v>44</v>
      </c>
      <c r="J730" s="17" t="s">
        <v>106</v>
      </c>
      <c r="K730" s="17" t="str">
        <f aca="false">VLOOKUP(J730,Sheet2!A:B,2,0)</f>
        <v>PRAKASH CHAVDA</v>
      </c>
      <c r="L730" s="17" t="n">
        <v>5</v>
      </c>
      <c r="M730" s="17" t="str">
        <f aca="false">VLOOKUP(L730,Sheet2!D:E,2,0)</f>
        <v>Main Processor CPU BGA</v>
      </c>
      <c r="N730" s="17" t="n">
        <v>1</v>
      </c>
      <c r="O730" s="17" t="str">
        <f aca="false">VLOOKUP(N730,Sheet2!G:H,2,0)</f>
        <v>Dead</v>
      </c>
      <c r="P730" s="17" t="n">
        <v>12</v>
      </c>
      <c r="Q730" s="17" t="str">
        <f aca="false">VLOOKUP(P730,Sheet2!J:K,2,0)</f>
        <v>IR Declared due to Others ( IR Normal)TB</v>
      </c>
      <c r="R730" s="17" t="s">
        <v>35</v>
      </c>
      <c r="S730" s="17" t="str">
        <f aca="false">VLOOKUP(R730,Sheet2!N:O,2,0)</f>
        <v>IREPARABLE</v>
      </c>
      <c r="T730" s="18" t="str">
        <f aca="false">VLOOKUP(P730,Sheet2!Q:R,2,0)</f>
        <v>IR Normal - BER to IR</v>
      </c>
      <c r="U730" s="20" t="s">
        <v>135</v>
      </c>
      <c r="V730" s="17" t="n">
        <v>12</v>
      </c>
      <c r="W730" s="20" t="str">
        <f aca="false">VLOOKUP(V730,Sheet2!Q:R,2,0)</f>
        <v>IR Normal - BER to IR</v>
      </c>
      <c r="X730" s="17" t="str">
        <f aca="false">J730</f>
        <v>A018</v>
      </c>
      <c r="Y730" s="17" t="str">
        <f aca="false">VLOOKUP(X730,Sheet2!A:B,2,0)</f>
        <v>PRAKASH CHAVDA</v>
      </c>
      <c r="Z730" s="17" t="s">
        <v>141</v>
      </c>
      <c r="AA730" s="17" t="s">
        <v>435</v>
      </c>
      <c r="AB730" s="17" t="s">
        <v>41</v>
      </c>
      <c r="AC730" s="0" t="str">
        <f aca="false">LEFT(G730,2)</f>
        <v>98</v>
      </c>
      <c r="AD730" s="0"/>
      <c r="AE730" s="21" t="s">
        <v>42</v>
      </c>
    </row>
    <row r="731" customFormat="false" ht="15" hidden="false" customHeight="false" outlineLevel="0" collapsed="false">
      <c r="A731" s="13" t="n">
        <f aca="false">1+A730</f>
        <v>729</v>
      </c>
      <c r="B731" s="17" t="n">
        <v>1009665855</v>
      </c>
      <c r="C731" s="17" t="s">
        <v>436</v>
      </c>
      <c r="D731" s="17" t="s">
        <v>64</v>
      </c>
      <c r="E731" s="17" t="s">
        <v>64</v>
      </c>
      <c r="F731" s="18" t="s">
        <v>70</v>
      </c>
      <c r="G731" s="19" t="n">
        <v>986256136078</v>
      </c>
      <c r="H731" s="17" t="s">
        <v>134</v>
      </c>
      <c r="I731" s="17" t="s">
        <v>44</v>
      </c>
      <c r="J731" s="17" t="s">
        <v>106</v>
      </c>
      <c r="K731" s="17" t="str">
        <f aca="false">VLOOKUP(J731,Sheet2!A:B,2,0)</f>
        <v>PRAKASH CHAVDA</v>
      </c>
      <c r="L731" s="17" t="n">
        <v>5</v>
      </c>
      <c r="M731" s="17" t="str">
        <f aca="false">VLOOKUP(L731,Sheet2!D:E,2,0)</f>
        <v>Main Processor CPU BGA</v>
      </c>
      <c r="N731" s="17" t="n">
        <v>1</v>
      </c>
      <c r="O731" s="17" t="str">
        <f aca="false">VLOOKUP(N731,Sheet2!G:H,2,0)</f>
        <v>Dead</v>
      </c>
      <c r="P731" s="17" t="n">
        <v>12</v>
      </c>
      <c r="Q731" s="17" t="str">
        <f aca="false">VLOOKUP(P731,Sheet2!J:K,2,0)</f>
        <v>IR Declared due to Others ( IR Normal)TB</v>
      </c>
      <c r="R731" s="17" t="s">
        <v>35</v>
      </c>
      <c r="S731" s="17" t="str">
        <f aca="false">VLOOKUP(R731,Sheet2!N:O,2,0)</f>
        <v>IREPARABLE</v>
      </c>
      <c r="T731" s="18" t="str">
        <f aca="false">VLOOKUP(P731,Sheet2!Q:R,2,0)</f>
        <v>IR Normal - BER to IR</v>
      </c>
      <c r="U731" s="20" t="s">
        <v>135</v>
      </c>
      <c r="V731" s="17" t="n">
        <v>12</v>
      </c>
      <c r="W731" s="20" t="str">
        <f aca="false">VLOOKUP(V731,Sheet2!Q:R,2,0)</f>
        <v>IR Normal - BER to IR</v>
      </c>
      <c r="X731" s="17" t="str">
        <f aca="false">J731</f>
        <v>A018</v>
      </c>
      <c r="Y731" s="17" t="str">
        <f aca="false">VLOOKUP(X731,Sheet2!A:B,2,0)</f>
        <v>PRAKASH CHAVDA</v>
      </c>
      <c r="Z731" s="17" t="s">
        <v>141</v>
      </c>
      <c r="AA731" s="17" t="s">
        <v>435</v>
      </c>
      <c r="AB731" s="17" t="s">
        <v>41</v>
      </c>
      <c r="AC731" s="0" t="str">
        <f aca="false">LEFT(G731,2)</f>
        <v>98</v>
      </c>
      <c r="AD731" s="0"/>
      <c r="AE731" s="21" t="s">
        <v>42</v>
      </c>
    </row>
    <row r="732" customFormat="false" ht="15" hidden="false" customHeight="false" outlineLevel="0" collapsed="false">
      <c r="A732" s="13" t="n">
        <f aca="false">1+A731</f>
        <v>730</v>
      </c>
      <c r="B732" s="17" t="n">
        <v>1009565541</v>
      </c>
      <c r="C732" s="17" t="s">
        <v>102</v>
      </c>
      <c r="D732" s="17" t="s">
        <v>108</v>
      </c>
      <c r="E732" s="17" t="s">
        <v>91</v>
      </c>
      <c r="F732" s="18" t="s">
        <v>92</v>
      </c>
      <c r="G732" s="19" t="n">
        <v>987256110436</v>
      </c>
      <c r="H732" s="17" t="s">
        <v>134</v>
      </c>
      <c r="I732" s="17" t="s">
        <v>44</v>
      </c>
      <c r="J732" s="17" t="s">
        <v>106</v>
      </c>
      <c r="K732" s="17" t="str">
        <f aca="false">VLOOKUP(J732,Sheet2!A:B,2,0)</f>
        <v>PRAKASH CHAVDA</v>
      </c>
      <c r="L732" s="17" t="n">
        <v>5</v>
      </c>
      <c r="M732" s="17" t="str">
        <f aca="false">VLOOKUP(L732,Sheet2!D:E,2,0)</f>
        <v>Main Processor CPU BGA</v>
      </c>
      <c r="N732" s="17" t="n">
        <v>24</v>
      </c>
      <c r="O732" s="17" t="str">
        <f aca="false">VLOOKUP(N732,Sheet2!G:H,2,0)</f>
        <v>STB Auto moving -Stand by mode</v>
      </c>
      <c r="P732" s="17" t="n">
        <v>12</v>
      </c>
      <c r="Q732" s="17" t="str">
        <f aca="false">VLOOKUP(P732,Sheet2!J:K,2,0)</f>
        <v>IR Declared due to Others ( IR Normal)TB</v>
      </c>
      <c r="R732" s="17" t="s">
        <v>35</v>
      </c>
      <c r="S732" s="17" t="str">
        <f aca="false">VLOOKUP(R732,Sheet2!N:O,2,0)</f>
        <v>IREPARABLE</v>
      </c>
      <c r="T732" s="18" t="str">
        <f aca="false">VLOOKUP(P732,Sheet2!Q:R,2,0)</f>
        <v>IR Normal - BER to IR</v>
      </c>
      <c r="U732" s="20" t="s">
        <v>135</v>
      </c>
      <c r="V732" s="17" t="n">
        <v>12</v>
      </c>
      <c r="W732" s="20" t="str">
        <f aca="false">VLOOKUP(V732,Sheet2!Q:R,2,0)</f>
        <v>IR Normal - BER to IR</v>
      </c>
      <c r="X732" s="17" t="str">
        <f aca="false">J732</f>
        <v>A018</v>
      </c>
      <c r="Y732" s="17" t="str">
        <f aca="false">VLOOKUP(X732,Sheet2!A:B,2,0)</f>
        <v>PRAKASH CHAVDA</v>
      </c>
      <c r="Z732" s="17" t="s">
        <v>141</v>
      </c>
      <c r="AA732" s="17" t="s">
        <v>435</v>
      </c>
      <c r="AB732" s="17" t="s">
        <v>41</v>
      </c>
      <c r="AC732" s="0" t="str">
        <f aca="false">LEFT(G732,2)</f>
        <v>98</v>
      </c>
      <c r="AD732" s="0"/>
      <c r="AE732" s="21" t="s">
        <v>42</v>
      </c>
    </row>
    <row r="733" customFormat="false" ht="15" hidden="false" customHeight="false" outlineLevel="0" collapsed="false">
      <c r="A733" s="13" t="n">
        <f aca="false">1+A732</f>
        <v>731</v>
      </c>
      <c r="B733" s="17" t="n">
        <v>1009666554</v>
      </c>
      <c r="C733" s="17" t="s">
        <v>436</v>
      </c>
      <c r="D733" s="17" t="s">
        <v>88</v>
      </c>
      <c r="E733" s="17" t="s">
        <v>47</v>
      </c>
      <c r="F733" s="18" t="s">
        <v>34</v>
      </c>
      <c r="G733" s="19" t="n">
        <v>986021162680</v>
      </c>
      <c r="H733" s="17" t="s">
        <v>134</v>
      </c>
      <c r="I733" s="17" t="s">
        <v>44</v>
      </c>
      <c r="J733" s="17" t="s">
        <v>106</v>
      </c>
      <c r="K733" s="17" t="str">
        <f aca="false">VLOOKUP(J733,Sheet2!A:B,2,0)</f>
        <v>PRAKASH CHAVDA</v>
      </c>
      <c r="L733" s="17" t="n">
        <v>5</v>
      </c>
      <c r="M733" s="17" t="str">
        <f aca="false">VLOOKUP(L733,Sheet2!D:E,2,0)</f>
        <v>Main Processor CPU BGA</v>
      </c>
      <c r="N733" s="17" t="n">
        <v>1</v>
      </c>
      <c r="O733" s="17" t="str">
        <f aca="false">VLOOKUP(N733,Sheet2!G:H,2,0)</f>
        <v>Dead</v>
      </c>
      <c r="P733" s="17" t="n">
        <v>12</v>
      </c>
      <c r="Q733" s="17" t="str">
        <f aca="false">VLOOKUP(P733,Sheet2!J:K,2,0)</f>
        <v>IR Declared due to Others ( IR Normal)TB</v>
      </c>
      <c r="R733" s="17" t="s">
        <v>35</v>
      </c>
      <c r="S733" s="17" t="str">
        <f aca="false">VLOOKUP(R733,Sheet2!N:O,2,0)</f>
        <v>IREPARABLE</v>
      </c>
      <c r="T733" s="18" t="str">
        <f aca="false">VLOOKUP(P733,Sheet2!Q:R,2,0)</f>
        <v>IR Normal - BER to IR</v>
      </c>
      <c r="U733" s="20" t="s">
        <v>135</v>
      </c>
      <c r="V733" s="17" t="n">
        <v>12</v>
      </c>
      <c r="W733" s="20" t="str">
        <f aca="false">VLOOKUP(V733,Sheet2!Q:R,2,0)</f>
        <v>IR Normal - BER to IR</v>
      </c>
      <c r="X733" s="17" t="str">
        <f aca="false">J733</f>
        <v>A018</v>
      </c>
      <c r="Y733" s="17" t="str">
        <f aca="false">VLOOKUP(X733,Sheet2!A:B,2,0)</f>
        <v>PRAKASH CHAVDA</v>
      </c>
      <c r="Z733" s="17" t="s">
        <v>141</v>
      </c>
      <c r="AA733" s="17" t="s">
        <v>435</v>
      </c>
      <c r="AB733" s="17" t="s">
        <v>41</v>
      </c>
      <c r="AC733" s="0" t="str">
        <f aca="false">LEFT(G733,2)</f>
        <v>98</v>
      </c>
      <c r="AD733" s="0"/>
      <c r="AE733" s="21" t="s">
        <v>42</v>
      </c>
    </row>
    <row r="734" customFormat="false" ht="15" hidden="false" customHeight="false" outlineLevel="0" collapsed="false">
      <c r="A734" s="13" t="n">
        <f aca="false">1+A733</f>
        <v>732</v>
      </c>
      <c r="B734" s="17" t="n">
        <v>1009662492</v>
      </c>
      <c r="C734" s="17" t="s">
        <v>433</v>
      </c>
      <c r="D734" s="17" t="s">
        <v>210</v>
      </c>
      <c r="E734" s="17" t="s">
        <v>91</v>
      </c>
      <c r="F734" s="18" t="s">
        <v>92</v>
      </c>
      <c r="G734" s="19" t="n">
        <v>987256103506</v>
      </c>
      <c r="H734" s="17" t="s">
        <v>134</v>
      </c>
      <c r="I734" s="17" t="s">
        <v>44</v>
      </c>
      <c r="J734" s="17" t="s">
        <v>106</v>
      </c>
      <c r="K734" s="17" t="str">
        <f aca="false">VLOOKUP(J734,Sheet2!A:B,2,0)</f>
        <v>PRAKASH CHAVDA</v>
      </c>
      <c r="L734" s="17" t="n">
        <v>5</v>
      </c>
      <c r="M734" s="17" t="str">
        <f aca="false">VLOOKUP(L734,Sheet2!D:E,2,0)</f>
        <v>Main Processor CPU BGA</v>
      </c>
      <c r="N734" s="17" t="n">
        <v>24</v>
      </c>
      <c r="O734" s="17" t="str">
        <f aca="false">VLOOKUP(N734,Sheet2!G:H,2,0)</f>
        <v>STB Auto moving -Stand by mode</v>
      </c>
      <c r="P734" s="17" t="n">
        <v>12</v>
      </c>
      <c r="Q734" s="17" t="str">
        <f aca="false">VLOOKUP(P734,Sheet2!J:K,2,0)</f>
        <v>IR Declared due to Others ( IR Normal)TB</v>
      </c>
      <c r="R734" s="17" t="s">
        <v>35</v>
      </c>
      <c r="S734" s="17" t="str">
        <f aca="false">VLOOKUP(R734,Sheet2!N:O,2,0)</f>
        <v>IREPARABLE</v>
      </c>
      <c r="T734" s="18" t="str">
        <f aca="false">VLOOKUP(P734,Sheet2!Q:R,2,0)</f>
        <v>IR Normal - BER to IR</v>
      </c>
      <c r="U734" s="20" t="s">
        <v>135</v>
      </c>
      <c r="V734" s="17" t="n">
        <v>12</v>
      </c>
      <c r="W734" s="20" t="str">
        <f aca="false">VLOOKUP(V734,Sheet2!Q:R,2,0)</f>
        <v>IR Normal - BER to IR</v>
      </c>
      <c r="X734" s="17" t="str">
        <f aca="false">J734</f>
        <v>A018</v>
      </c>
      <c r="Y734" s="17" t="str">
        <f aca="false">VLOOKUP(X734,Sheet2!A:B,2,0)</f>
        <v>PRAKASH CHAVDA</v>
      </c>
      <c r="Z734" s="17" t="s">
        <v>141</v>
      </c>
      <c r="AA734" s="17" t="s">
        <v>435</v>
      </c>
      <c r="AB734" s="17" t="s">
        <v>41</v>
      </c>
      <c r="AC734" s="0" t="str">
        <f aca="false">LEFT(G734,2)</f>
        <v>98</v>
      </c>
      <c r="AD734" s="0"/>
      <c r="AE734" s="21" t="s">
        <v>42</v>
      </c>
    </row>
    <row r="735" customFormat="false" ht="15" hidden="false" customHeight="false" outlineLevel="0" collapsed="false">
      <c r="A735" s="13" t="n">
        <f aca="false">1+A734</f>
        <v>733</v>
      </c>
      <c r="B735" s="17" t="n">
        <v>1009665529</v>
      </c>
      <c r="C735" s="17" t="s">
        <v>436</v>
      </c>
      <c r="D735" s="17" t="s">
        <v>32</v>
      </c>
      <c r="E735" s="17" t="s">
        <v>47</v>
      </c>
      <c r="F735" s="18" t="s">
        <v>34</v>
      </c>
      <c r="G735" s="19" t="n">
        <v>985294471786</v>
      </c>
      <c r="H735" s="17" t="s">
        <v>134</v>
      </c>
      <c r="I735" s="17" t="s">
        <v>44</v>
      </c>
      <c r="J735" s="17" t="s">
        <v>106</v>
      </c>
      <c r="K735" s="17" t="str">
        <f aca="false">VLOOKUP(J735,Sheet2!A:B,2,0)</f>
        <v>PRAKASH CHAVDA</v>
      </c>
      <c r="L735" s="17" t="n">
        <v>5</v>
      </c>
      <c r="M735" s="17" t="str">
        <f aca="false">VLOOKUP(L735,Sheet2!D:E,2,0)</f>
        <v>Main Processor CPU BGA</v>
      </c>
      <c r="N735" s="17" t="n">
        <v>1</v>
      </c>
      <c r="O735" s="17" t="str">
        <f aca="false">VLOOKUP(N735,Sheet2!G:H,2,0)</f>
        <v>Dead</v>
      </c>
      <c r="P735" s="17" t="n">
        <v>12</v>
      </c>
      <c r="Q735" s="17" t="str">
        <f aca="false">VLOOKUP(P735,Sheet2!J:K,2,0)</f>
        <v>IR Declared due to Others ( IR Normal)TB</v>
      </c>
      <c r="R735" s="17" t="s">
        <v>35</v>
      </c>
      <c r="S735" s="17" t="str">
        <f aca="false">VLOOKUP(R735,Sheet2!N:O,2,0)</f>
        <v>IREPARABLE</v>
      </c>
      <c r="T735" s="18" t="str">
        <f aca="false">VLOOKUP(P735,Sheet2!Q:R,2,0)</f>
        <v>IR Normal - BER to IR</v>
      </c>
      <c r="U735" s="20" t="s">
        <v>135</v>
      </c>
      <c r="V735" s="17" t="n">
        <v>12</v>
      </c>
      <c r="W735" s="20" t="str">
        <f aca="false">VLOOKUP(V735,Sheet2!Q:R,2,0)</f>
        <v>IR Normal - BER to IR</v>
      </c>
      <c r="X735" s="17" t="str">
        <f aca="false">J735</f>
        <v>A018</v>
      </c>
      <c r="Y735" s="17" t="str">
        <f aca="false">VLOOKUP(X735,Sheet2!A:B,2,0)</f>
        <v>PRAKASH CHAVDA</v>
      </c>
      <c r="Z735" s="17" t="s">
        <v>141</v>
      </c>
      <c r="AA735" s="17" t="s">
        <v>435</v>
      </c>
      <c r="AB735" s="17" t="s">
        <v>41</v>
      </c>
      <c r="AC735" s="0" t="str">
        <f aca="false">LEFT(G735,2)</f>
        <v>98</v>
      </c>
      <c r="AD735" s="0"/>
      <c r="AE735" s="21" t="s">
        <v>42</v>
      </c>
    </row>
    <row r="736" customFormat="false" ht="15" hidden="false" customHeight="false" outlineLevel="0" collapsed="false">
      <c r="A736" s="13" t="n">
        <f aca="false">1+A735</f>
        <v>734</v>
      </c>
      <c r="B736" s="17" t="n">
        <v>1009667772</v>
      </c>
      <c r="C736" s="17" t="s">
        <v>436</v>
      </c>
      <c r="D736" s="17" t="s">
        <v>64</v>
      </c>
      <c r="E736" s="17" t="s">
        <v>33</v>
      </c>
      <c r="F736" s="18" t="s">
        <v>34</v>
      </c>
      <c r="G736" s="19" t="n">
        <v>985295109252</v>
      </c>
      <c r="H736" s="17" t="s">
        <v>134</v>
      </c>
      <c r="I736" s="17" t="s">
        <v>44</v>
      </c>
      <c r="J736" s="17" t="s">
        <v>106</v>
      </c>
      <c r="K736" s="17" t="str">
        <f aca="false">VLOOKUP(J736,Sheet2!A:B,2,0)</f>
        <v>PRAKASH CHAVDA</v>
      </c>
      <c r="L736" s="17" t="n">
        <v>5</v>
      </c>
      <c r="M736" s="17" t="str">
        <f aca="false">VLOOKUP(L736,Sheet2!D:E,2,0)</f>
        <v>Main Processor CPU BGA</v>
      </c>
      <c r="N736" s="17" t="n">
        <v>24</v>
      </c>
      <c r="O736" s="17" t="str">
        <f aca="false">VLOOKUP(N736,Sheet2!G:H,2,0)</f>
        <v>STB Auto moving -Stand by mode</v>
      </c>
      <c r="P736" s="17" t="n">
        <v>12</v>
      </c>
      <c r="Q736" s="17" t="str">
        <f aca="false">VLOOKUP(P736,Sheet2!J:K,2,0)</f>
        <v>IR Declared due to Others ( IR Normal)TB</v>
      </c>
      <c r="R736" s="17" t="s">
        <v>35</v>
      </c>
      <c r="S736" s="17" t="str">
        <f aca="false">VLOOKUP(R736,Sheet2!N:O,2,0)</f>
        <v>IREPARABLE</v>
      </c>
      <c r="T736" s="18" t="str">
        <f aca="false">VLOOKUP(P736,Sheet2!Q:R,2,0)</f>
        <v>IR Normal - BER to IR</v>
      </c>
      <c r="U736" s="20" t="s">
        <v>135</v>
      </c>
      <c r="V736" s="17" t="n">
        <v>12</v>
      </c>
      <c r="W736" s="20" t="str">
        <f aca="false">VLOOKUP(V736,Sheet2!Q:R,2,0)</f>
        <v>IR Normal - BER to IR</v>
      </c>
      <c r="X736" s="17" t="str">
        <f aca="false">J736</f>
        <v>A018</v>
      </c>
      <c r="Y736" s="17" t="str">
        <f aca="false">VLOOKUP(X736,Sheet2!A:B,2,0)</f>
        <v>PRAKASH CHAVDA</v>
      </c>
      <c r="Z736" s="17" t="s">
        <v>141</v>
      </c>
      <c r="AA736" s="17" t="s">
        <v>435</v>
      </c>
      <c r="AB736" s="17" t="s">
        <v>41</v>
      </c>
      <c r="AC736" s="0" t="str">
        <f aca="false">LEFT(G736,2)</f>
        <v>98</v>
      </c>
      <c r="AD736" s="0"/>
      <c r="AE736" s="21" t="s">
        <v>42</v>
      </c>
    </row>
    <row r="737" customFormat="false" ht="15" hidden="false" customHeight="false" outlineLevel="0" collapsed="false">
      <c r="A737" s="13" t="n">
        <f aca="false">1+A736</f>
        <v>735</v>
      </c>
      <c r="B737" s="17" t="n">
        <v>1009666502</v>
      </c>
      <c r="C737" s="17" t="s">
        <v>436</v>
      </c>
      <c r="D737" s="17" t="s">
        <v>88</v>
      </c>
      <c r="E737" s="17" t="s">
        <v>47</v>
      </c>
      <c r="F737" s="18" t="s">
        <v>34</v>
      </c>
      <c r="G737" s="19" t="n">
        <v>942108969448</v>
      </c>
      <c r="H737" s="17" t="s">
        <v>134</v>
      </c>
      <c r="I737" s="17" t="s">
        <v>44</v>
      </c>
      <c r="J737" s="17" t="s">
        <v>106</v>
      </c>
      <c r="K737" s="17" t="str">
        <f aca="false">VLOOKUP(J737,Sheet2!A:B,2,0)</f>
        <v>PRAKASH CHAVDA</v>
      </c>
      <c r="L737" s="17" t="n">
        <v>5</v>
      </c>
      <c r="M737" s="17" t="str">
        <f aca="false">VLOOKUP(L737,Sheet2!D:E,2,0)</f>
        <v>Main Processor CPU BGA</v>
      </c>
      <c r="N737" s="17" t="n">
        <v>1</v>
      </c>
      <c r="O737" s="17" t="str">
        <f aca="false">VLOOKUP(N737,Sheet2!G:H,2,0)</f>
        <v>Dead</v>
      </c>
      <c r="P737" s="17" t="n">
        <v>12</v>
      </c>
      <c r="Q737" s="17" t="str">
        <f aca="false">VLOOKUP(P737,Sheet2!J:K,2,0)</f>
        <v>IR Declared due to Others ( IR Normal)TB</v>
      </c>
      <c r="R737" s="17" t="s">
        <v>35</v>
      </c>
      <c r="S737" s="17" t="str">
        <f aca="false">VLOOKUP(R737,Sheet2!N:O,2,0)</f>
        <v>IREPARABLE</v>
      </c>
      <c r="T737" s="18" t="str">
        <f aca="false">VLOOKUP(P737,Sheet2!Q:R,2,0)</f>
        <v>IR Normal - BER to IR</v>
      </c>
      <c r="U737" s="20" t="s">
        <v>135</v>
      </c>
      <c r="V737" s="17" t="n">
        <v>12</v>
      </c>
      <c r="W737" s="20" t="str">
        <f aca="false">VLOOKUP(V737,Sheet2!Q:R,2,0)</f>
        <v>IR Normal - BER to IR</v>
      </c>
      <c r="X737" s="17" t="str">
        <f aca="false">J737</f>
        <v>A018</v>
      </c>
      <c r="Y737" s="17" t="str">
        <f aca="false">VLOOKUP(X737,Sheet2!A:B,2,0)</f>
        <v>PRAKASH CHAVDA</v>
      </c>
      <c r="Z737" s="17" t="s">
        <v>127</v>
      </c>
      <c r="AA737" s="17" t="s">
        <v>435</v>
      </c>
      <c r="AB737" s="17" t="s">
        <v>41</v>
      </c>
      <c r="AC737" s="0" t="str">
        <f aca="false">LEFT(G737,2)</f>
        <v>94</v>
      </c>
      <c r="AD737" s="0"/>
      <c r="AE737" s="21" t="s">
        <v>42</v>
      </c>
    </row>
    <row r="738" customFormat="false" ht="15" hidden="false" customHeight="false" outlineLevel="0" collapsed="false">
      <c r="A738" s="13" t="n">
        <f aca="false">1+A737</f>
        <v>736</v>
      </c>
      <c r="B738" s="17" t="n">
        <v>1009665730</v>
      </c>
      <c r="C738" s="17" t="s">
        <v>436</v>
      </c>
      <c r="D738" s="17" t="s">
        <v>88</v>
      </c>
      <c r="E738" s="17" t="s">
        <v>47</v>
      </c>
      <c r="F738" s="18" t="s">
        <v>34</v>
      </c>
      <c r="G738" s="19" t="n">
        <v>943027907576</v>
      </c>
      <c r="H738" s="17" t="s">
        <v>134</v>
      </c>
      <c r="I738" s="17" t="s">
        <v>44</v>
      </c>
      <c r="J738" s="17" t="s">
        <v>106</v>
      </c>
      <c r="K738" s="17" t="str">
        <f aca="false">VLOOKUP(J738,Sheet2!A:B,2,0)</f>
        <v>PRAKASH CHAVDA</v>
      </c>
      <c r="L738" s="17" t="n">
        <v>5</v>
      </c>
      <c r="M738" s="17" t="str">
        <f aca="false">VLOOKUP(L738,Sheet2!D:E,2,0)</f>
        <v>Main Processor CPU BGA</v>
      </c>
      <c r="N738" s="17" t="n">
        <v>1</v>
      </c>
      <c r="O738" s="17" t="str">
        <f aca="false">VLOOKUP(N738,Sheet2!G:H,2,0)</f>
        <v>Dead</v>
      </c>
      <c r="P738" s="17" t="n">
        <v>12</v>
      </c>
      <c r="Q738" s="17" t="str">
        <f aca="false">VLOOKUP(P738,Sheet2!J:K,2,0)</f>
        <v>IR Declared due to Others ( IR Normal)TB</v>
      </c>
      <c r="R738" s="17" t="s">
        <v>35</v>
      </c>
      <c r="S738" s="17" t="str">
        <f aca="false">VLOOKUP(R738,Sheet2!N:O,2,0)</f>
        <v>IREPARABLE</v>
      </c>
      <c r="T738" s="18" t="str">
        <f aca="false">VLOOKUP(P738,Sheet2!Q:R,2,0)</f>
        <v>IR Normal - BER to IR</v>
      </c>
      <c r="U738" s="20" t="s">
        <v>135</v>
      </c>
      <c r="V738" s="17" t="n">
        <v>12</v>
      </c>
      <c r="W738" s="20" t="str">
        <f aca="false">VLOOKUP(V738,Sheet2!Q:R,2,0)</f>
        <v>IR Normal - BER to IR</v>
      </c>
      <c r="X738" s="17" t="str">
        <f aca="false">J738</f>
        <v>A018</v>
      </c>
      <c r="Y738" s="17" t="str">
        <f aca="false">VLOOKUP(X738,Sheet2!A:B,2,0)</f>
        <v>PRAKASH CHAVDA</v>
      </c>
      <c r="Z738" s="17" t="s">
        <v>127</v>
      </c>
      <c r="AA738" s="17" t="s">
        <v>435</v>
      </c>
      <c r="AB738" s="17" t="s">
        <v>41</v>
      </c>
      <c r="AC738" s="0" t="str">
        <f aca="false">LEFT(G738,2)</f>
        <v>94</v>
      </c>
      <c r="AD738" s="0"/>
      <c r="AE738" s="21" t="s">
        <v>42</v>
      </c>
    </row>
    <row r="739" customFormat="false" ht="15" hidden="false" customHeight="false" outlineLevel="0" collapsed="false">
      <c r="A739" s="13" t="n">
        <f aca="false">1+A738</f>
        <v>737</v>
      </c>
      <c r="B739" s="17" t="n">
        <v>1009666516</v>
      </c>
      <c r="C739" s="17" t="s">
        <v>436</v>
      </c>
      <c r="D739" s="17" t="s">
        <v>88</v>
      </c>
      <c r="E739" s="17" t="s">
        <v>47</v>
      </c>
      <c r="F739" s="18" t="s">
        <v>34</v>
      </c>
      <c r="G739" s="19" t="n">
        <v>942055932878</v>
      </c>
      <c r="H739" s="17" t="s">
        <v>134</v>
      </c>
      <c r="I739" s="17" t="s">
        <v>44</v>
      </c>
      <c r="J739" s="17" t="s">
        <v>106</v>
      </c>
      <c r="K739" s="17" t="str">
        <f aca="false">VLOOKUP(J739,Sheet2!A:B,2,0)</f>
        <v>PRAKASH CHAVDA</v>
      </c>
      <c r="L739" s="17" t="n">
        <v>5</v>
      </c>
      <c r="M739" s="17" t="str">
        <f aca="false">VLOOKUP(L739,Sheet2!D:E,2,0)</f>
        <v>Main Processor CPU BGA</v>
      </c>
      <c r="N739" s="17" t="n">
        <v>1</v>
      </c>
      <c r="O739" s="17" t="str">
        <f aca="false">VLOOKUP(N739,Sheet2!G:H,2,0)</f>
        <v>Dead</v>
      </c>
      <c r="P739" s="17" t="n">
        <v>12</v>
      </c>
      <c r="Q739" s="17" t="str">
        <f aca="false">VLOOKUP(P739,Sheet2!J:K,2,0)</f>
        <v>IR Declared due to Others ( IR Normal)TB</v>
      </c>
      <c r="R739" s="17" t="s">
        <v>35</v>
      </c>
      <c r="S739" s="17" t="str">
        <f aca="false">VLOOKUP(R739,Sheet2!N:O,2,0)</f>
        <v>IREPARABLE</v>
      </c>
      <c r="T739" s="18" t="str">
        <f aca="false">VLOOKUP(P739,Sheet2!Q:R,2,0)</f>
        <v>IR Normal - BER to IR</v>
      </c>
      <c r="U739" s="20" t="s">
        <v>135</v>
      </c>
      <c r="V739" s="17" t="n">
        <v>12</v>
      </c>
      <c r="W739" s="20" t="str">
        <f aca="false">VLOOKUP(V739,Sheet2!Q:R,2,0)</f>
        <v>IR Normal - BER to IR</v>
      </c>
      <c r="X739" s="17" t="str">
        <f aca="false">J739</f>
        <v>A018</v>
      </c>
      <c r="Y739" s="17" t="str">
        <f aca="false">VLOOKUP(X739,Sheet2!A:B,2,0)</f>
        <v>PRAKASH CHAVDA</v>
      </c>
      <c r="Z739" s="17" t="s">
        <v>127</v>
      </c>
      <c r="AA739" s="17" t="s">
        <v>435</v>
      </c>
      <c r="AB739" s="17" t="s">
        <v>41</v>
      </c>
      <c r="AC739" s="0" t="str">
        <f aca="false">LEFT(G739,2)</f>
        <v>94</v>
      </c>
      <c r="AD739" s="0"/>
      <c r="AE739" s="21" t="s">
        <v>42</v>
      </c>
    </row>
    <row r="740" customFormat="false" ht="15" hidden="false" customHeight="false" outlineLevel="0" collapsed="false">
      <c r="A740" s="13" t="n">
        <f aca="false">1+A739</f>
        <v>738</v>
      </c>
      <c r="B740" s="17" t="n">
        <v>1009665422</v>
      </c>
      <c r="C740" s="17" t="s">
        <v>436</v>
      </c>
      <c r="D740" s="17" t="s">
        <v>210</v>
      </c>
      <c r="E740" s="17" t="s">
        <v>47</v>
      </c>
      <c r="F740" s="18" t="s">
        <v>34</v>
      </c>
      <c r="G740" s="19" t="n">
        <v>942364909328</v>
      </c>
      <c r="H740" s="17" t="s">
        <v>134</v>
      </c>
      <c r="I740" s="17" t="s">
        <v>44</v>
      </c>
      <c r="J740" s="17" t="s">
        <v>106</v>
      </c>
      <c r="K740" s="17" t="str">
        <f aca="false">VLOOKUP(J740,Sheet2!A:B,2,0)</f>
        <v>PRAKASH CHAVDA</v>
      </c>
      <c r="L740" s="17" t="n">
        <v>5</v>
      </c>
      <c r="M740" s="17" t="str">
        <f aca="false">VLOOKUP(L740,Sheet2!D:E,2,0)</f>
        <v>Main Processor CPU BGA</v>
      </c>
      <c r="N740" s="17" t="n">
        <v>24</v>
      </c>
      <c r="O740" s="17" t="str">
        <f aca="false">VLOOKUP(N740,Sheet2!G:H,2,0)</f>
        <v>STB Auto moving -Stand by mode</v>
      </c>
      <c r="P740" s="17" t="n">
        <v>12</v>
      </c>
      <c r="Q740" s="17" t="str">
        <f aca="false">VLOOKUP(P740,Sheet2!J:K,2,0)</f>
        <v>IR Declared due to Others ( IR Normal)TB</v>
      </c>
      <c r="R740" s="17" t="s">
        <v>35</v>
      </c>
      <c r="S740" s="17" t="str">
        <f aca="false">VLOOKUP(R740,Sheet2!N:O,2,0)</f>
        <v>IREPARABLE</v>
      </c>
      <c r="T740" s="18" t="str">
        <f aca="false">VLOOKUP(P740,Sheet2!Q:R,2,0)</f>
        <v>IR Normal - BER to IR</v>
      </c>
      <c r="U740" s="20" t="s">
        <v>135</v>
      </c>
      <c r="V740" s="17" t="n">
        <v>12</v>
      </c>
      <c r="W740" s="20" t="str">
        <f aca="false">VLOOKUP(V740,Sheet2!Q:R,2,0)</f>
        <v>IR Normal - BER to IR</v>
      </c>
      <c r="X740" s="17" t="str">
        <f aca="false">J740</f>
        <v>A018</v>
      </c>
      <c r="Y740" s="17" t="str">
        <f aca="false">VLOOKUP(X740,Sheet2!A:B,2,0)</f>
        <v>PRAKASH CHAVDA</v>
      </c>
      <c r="Z740" s="17" t="s">
        <v>127</v>
      </c>
      <c r="AA740" s="17" t="s">
        <v>435</v>
      </c>
      <c r="AB740" s="17" t="s">
        <v>41</v>
      </c>
      <c r="AC740" s="0" t="str">
        <f aca="false">LEFT(G740,2)</f>
        <v>94</v>
      </c>
      <c r="AD740" s="0"/>
      <c r="AE740" s="21" t="s">
        <v>42</v>
      </c>
    </row>
    <row r="741" customFormat="false" ht="15" hidden="false" customHeight="false" outlineLevel="0" collapsed="false">
      <c r="A741" s="13" t="n">
        <f aca="false">1+A740</f>
        <v>739</v>
      </c>
      <c r="B741" s="17" t="n">
        <v>1009663325</v>
      </c>
      <c r="C741" s="17" t="s">
        <v>433</v>
      </c>
      <c r="D741" s="17" t="s">
        <v>64</v>
      </c>
      <c r="E741" s="17" t="s">
        <v>47</v>
      </c>
      <c r="F741" s="18" t="s">
        <v>34</v>
      </c>
      <c r="G741" s="19" t="n">
        <v>413275400526</v>
      </c>
      <c r="H741" s="17" t="s">
        <v>134</v>
      </c>
      <c r="I741" s="17" t="s">
        <v>44</v>
      </c>
      <c r="J741" s="17" t="s">
        <v>106</v>
      </c>
      <c r="K741" s="17" t="str">
        <f aca="false">VLOOKUP(J741,Sheet2!A:B,2,0)</f>
        <v>PRAKASH CHAVDA</v>
      </c>
      <c r="L741" s="17" t="n">
        <v>5</v>
      </c>
      <c r="M741" s="17" t="str">
        <f aca="false">VLOOKUP(L741,Sheet2!D:E,2,0)</f>
        <v>Main Processor CPU BGA</v>
      </c>
      <c r="N741" s="17" t="n">
        <v>1</v>
      </c>
      <c r="O741" s="17" t="str">
        <f aca="false">VLOOKUP(N741,Sheet2!G:H,2,0)</f>
        <v>Dead</v>
      </c>
      <c r="P741" s="17" t="n">
        <v>12</v>
      </c>
      <c r="Q741" s="17" t="str">
        <f aca="false">VLOOKUP(P741,Sheet2!J:K,2,0)</f>
        <v>IR Declared due to Others ( IR Normal)TB</v>
      </c>
      <c r="R741" s="17" t="s">
        <v>35</v>
      </c>
      <c r="S741" s="17" t="str">
        <f aca="false">VLOOKUP(R741,Sheet2!N:O,2,0)</f>
        <v>IREPARABLE</v>
      </c>
      <c r="T741" s="18" t="str">
        <f aca="false">VLOOKUP(P741,Sheet2!Q:R,2,0)</f>
        <v>IR Normal - BER to IR</v>
      </c>
      <c r="U741" s="20" t="s">
        <v>135</v>
      </c>
      <c r="V741" s="17" t="n">
        <v>12</v>
      </c>
      <c r="W741" s="20" t="str">
        <f aca="false">VLOOKUP(V741,Sheet2!Q:R,2,0)</f>
        <v>IR Normal - BER to IR</v>
      </c>
      <c r="X741" s="17" t="str">
        <f aca="false">J741</f>
        <v>A018</v>
      </c>
      <c r="Y741" s="17" t="str">
        <f aca="false">VLOOKUP(X741,Sheet2!A:B,2,0)</f>
        <v>PRAKASH CHAVDA</v>
      </c>
      <c r="Z741" s="17" t="s">
        <v>149</v>
      </c>
      <c r="AA741" s="17" t="s">
        <v>435</v>
      </c>
      <c r="AB741" s="17" t="s">
        <v>41</v>
      </c>
      <c r="AC741" s="0" t="str">
        <f aca="false">LEFT(G741,2)</f>
        <v>41</v>
      </c>
      <c r="AD741" s="0"/>
      <c r="AE741" s="21" t="s">
        <v>42</v>
      </c>
    </row>
    <row r="742" customFormat="false" ht="15" hidden="false" customHeight="false" outlineLevel="0" collapsed="false">
      <c r="A742" s="13" t="n">
        <f aca="false">1+A741</f>
        <v>740</v>
      </c>
      <c r="B742" s="17" t="n">
        <v>1009092186</v>
      </c>
      <c r="C742" s="17" t="s">
        <v>414</v>
      </c>
      <c r="D742" s="17" t="s">
        <v>437</v>
      </c>
      <c r="E742" s="17" t="s">
        <v>33</v>
      </c>
      <c r="F742" s="18" t="s">
        <v>34</v>
      </c>
      <c r="G742" s="19" t="n">
        <v>134106339663</v>
      </c>
      <c r="H742" s="17" t="s">
        <v>134</v>
      </c>
      <c r="I742" s="17" t="s">
        <v>44</v>
      </c>
      <c r="J742" s="17" t="s">
        <v>106</v>
      </c>
      <c r="K742" s="17" t="str">
        <f aca="false">VLOOKUP(J742,Sheet2!A:B,2,0)</f>
        <v>PRAKASH CHAVDA</v>
      </c>
      <c r="L742" s="17" t="n">
        <v>5</v>
      </c>
      <c r="M742" s="17" t="str">
        <f aca="false">VLOOKUP(L742,Sheet2!D:E,2,0)</f>
        <v>Main Processor CPU BGA</v>
      </c>
      <c r="N742" s="17" t="n">
        <v>1</v>
      </c>
      <c r="O742" s="17" t="str">
        <f aca="false">VLOOKUP(N742,Sheet2!G:H,2,0)</f>
        <v>Dead</v>
      </c>
      <c r="P742" s="17" t="n">
        <v>12</v>
      </c>
      <c r="Q742" s="17" t="str">
        <f aca="false">VLOOKUP(P742,Sheet2!J:K,2,0)</f>
        <v>IR Declared due to Others ( IR Normal)TB</v>
      </c>
      <c r="R742" s="17" t="s">
        <v>35</v>
      </c>
      <c r="S742" s="17" t="str">
        <f aca="false">VLOOKUP(R742,Sheet2!N:O,2,0)</f>
        <v>IREPARABLE</v>
      </c>
      <c r="T742" s="18" t="str">
        <f aca="false">VLOOKUP(P742,Sheet2!Q:R,2,0)</f>
        <v>IR Normal - BER to IR</v>
      </c>
      <c r="U742" s="20" t="s">
        <v>135</v>
      </c>
      <c r="V742" s="17" t="n">
        <v>12</v>
      </c>
      <c r="W742" s="20" t="str">
        <f aca="false">VLOOKUP(V742,Sheet2!Q:R,2,0)</f>
        <v>IR Normal - BER to IR</v>
      </c>
      <c r="X742" s="17" t="str">
        <f aca="false">J742</f>
        <v>A018</v>
      </c>
      <c r="Y742" s="17" t="str">
        <f aca="false">VLOOKUP(X742,Sheet2!A:B,2,0)</f>
        <v>PRAKASH CHAVDA</v>
      </c>
      <c r="Z742" s="17" t="s">
        <v>136</v>
      </c>
      <c r="AA742" s="17" t="s">
        <v>435</v>
      </c>
      <c r="AB742" s="17" t="s">
        <v>41</v>
      </c>
      <c r="AC742" s="0" t="str">
        <f aca="false">LEFT(G742,2)</f>
        <v>13</v>
      </c>
      <c r="AD742" s="0"/>
      <c r="AE742" s="21" t="s">
        <v>42</v>
      </c>
    </row>
    <row r="743" customFormat="false" ht="15" hidden="false" customHeight="false" outlineLevel="0" collapsed="false">
      <c r="A743" s="13" t="n">
        <f aca="false">1+A742</f>
        <v>741</v>
      </c>
      <c r="B743" s="17" t="n">
        <v>1008824163</v>
      </c>
      <c r="C743" s="17" t="s">
        <v>438</v>
      </c>
      <c r="D743" s="17" t="s">
        <v>64</v>
      </c>
      <c r="E743" s="17" t="s">
        <v>47</v>
      </c>
      <c r="F743" s="18" t="s">
        <v>34</v>
      </c>
      <c r="G743" s="19" t="n">
        <v>134127231485</v>
      </c>
      <c r="H743" s="17" t="s">
        <v>134</v>
      </c>
      <c r="I743" s="17" t="s">
        <v>44</v>
      </c>
      <c r="J743" s="17" t="s">
        <v>106</v>
      </c>
      <c r="K743" s="17" t="str">
        <f aca="false">VLOOKUP(J743,Sheet2!A:B,2,0)</f>
        <v>PRAKASH CHAVDA</v>
      </c>
      <c r="L743" s="17" t="n">
        <v>5</v>
      </c>
      <c r="M743" s="17" t="str">
        <f aca="false">VLOOKUP(L743,Sheet2!D:E,2,0)</f>
        <v>Main Processor CPU BGA</v>
      </c>
      <c r="N743" s="17" t="n">
        <v>1</v>
      </c>
      <c r="O743" s="17" t="str">
        <f aca="false">VLOOKUP(N743,Sheet2!G:H,2,0)</f>
        <v>Dead</v>
      </c>
      <c r="P743" s="17" t="n">
        <v>12</v>
      </c>
      <c r="Q743" s="17" t="str">
        <f aca="false">VLOOKUP(P743,Sheet2!J:K,2,0)</f>
        <v>IR Declared due to Others ( IR Normal)TB</v>
      </c>
      <c r="R743" s="17" t="s">
        <v>35</v>
      </c>
      <c r="S743" s="17" t="str">
        <f aca="false">VLOOKUP(R743,Sheet2!N:O,2,0)</f>
        <v>IREPARABLE</v>
      </c>
      <c r="T743" s="18" t="str">
        <f aca="false">VLOOKUP(P743,Sheet2!Q:R,2,0)</f>
        <v>IR Normal - BER to IR</v>
      </c>
      <c r="U743" s="20" t="s">
        <v>135</v>
      </c>
      <c r="V743" s="17" t="n">
        <v>12</v>
      </c>
      <c r="W743" s="20" t="str">
        <f aca="false">VLOOKUP(V743,Sheet2!Q:R,2,0)</f>
        <v>IR Normal - BER to IR</v>
      </c>
      <c r="X743" s="17" t="str">
        <f aca="false">J743</f>
        <v>A018</v>
      </c>
      <c r="Y743" s="17" t="str">
        <f aca="false">VLOOKUP(X743,Sheet2!A:B,2,0)</f>
        <v>PRAKASH CHAVDA</v>
      </c>
      <c r="Z743" s="17" t="s">
        <v>136</v>
      </c>
      <c r="AA743" s="17" t="s">
        <v>435</v>
      </c>
      <c r="AB743" s="17" t="s">
        <v>41</v>
      </c>
      <c r="AC743" s="0" t="str">
        <f aca="false">LEFT(G743,2)</f>
        <v>13</v>
      </c>
      <c r="AD743" s="0"/>
      <c r="AE743" s="21" t="s">
        <v>42</v>
      </c>
    </row>
    <row r="744" customFormat="false" ht="15" hidden="false" customHeight="false" outlineLevel="0" collapsed="false">
      <c r="A744" s="13" t="n">
        <f aca="false">1+A743</f>
        <v>742</v>
      </c>
      <c r="B744" s="17" t="n">
        <v>1008387955</v>
      </c>
      <c r="C744" s="17" t="s">
        <v>228</v>
      </c>
      <c r="D744" s="17" t="s">
        <v>64</v>
      </c>
      <c r="E744" s="17" t="s">
        <v>47</v>
      </c>
      <c r="F744" s="18" t="s">
        <v>34</v>
      </c>
      <c r="G744" s="19" t="n">
        <v>135191022411</v>
      </c>
      <c r="H744" s="17" t="s">
        <v>134</v>
      </c>
      <c r="I744" s="17" t="s">
        <v>44</v>
      </c>
      <c r="J744" s="17" t="s">
        <v>106</v>
      </c>
      <c r="K744" s="17" t="str">
        <f aca="false">VLOOKUP(J744,Sheet2!A:B,2,0)</f>
        <v>PRAKASH CHAVDA</v>
      </c>
      <c r="L744" s="17" t="n">
        <v>5</v>
      </c>
      <c r="M744" s="17" t="str">
        <f aca="false">VLOOKUP(L744,Sheet2!D:E,2,0)</f>
        <v>Main Processor CPU BGA</v>
      </c>
      <c r="N744" s="17" t="n">
        <v>1</v>
      </c>
      <c r="O744" s="17" t="str">
        <f aca="false">VLOOKUP(N744,Sheet2!G:H,2,0)</f>
        <v>Dead</v>
      </c>
      <c r="P744" s="17" t="n">
        <v>12</v>
      </c>
      <c r="Q744" s="17" t="str">
        <f aca="false">VLOOKUP(P744,Sheet2!J:K,2,0)</f>
        <v>IR Declared due to Others ( IR Normal)TB</v>
      </c>
      <c r="R744" s="17" t="s">
        <v>35</v>
      </c>
      <c r="S744" s="17" t="str">
        <f aca="false">VLOOKUP(R744,Sheet2!N:O,2,0)</f>
        <v>IREPARABLE</v>
      </c>
      <c r="T744" s="18" t="str">
        <f aca="false">VLOOKUP(P744,Sheet2!Q:R,2,0)</f>
        <v>IR Normal - BER to IR</v>
      </c>
      <c r="U744" s="20" t="s">
        <v>135</v>
      </c>
      <c r="V744" s="17" t="n">
        <v>12</v>
      </c>
      <c r="W744" s="20" t="str">
        <f aca="false">VLOOKUP(V744,Sheet2!Q:R,2,0)</f>
        <v>IR Normal - BER to IR</v>
      </c>
      <c r="X744" s="17" t="str">
        <f aca="false">J744</f>
        <v>A018</v>
      </c>
      <c r="Y744" s="17" t="str">
        <f aca="false">VLOOKUP(X744,Sheet2!A:B,2,0)</f>
        <v>PRAKASH CHAVDA</v>
      </c>
      <c r="Z744" s="17" t="s">
        <v>136</v>
      </c>
      <c r="AA744" s="17" t="s">
        <v>435</v>
      </c>
      <c r="AB744" s="17" t="s">
        <v>41</v>
      </c>
      <c r="AC744" s="0" t="str">
        <f aca="false">LEFT(G744,2)</f>
        <v>13</v>
      </c>
      <c r="AD744" s="0"/>
      <c r="AE744" s="21" t="s">
        <v>42</v>
      </c>
    </row>
    <row r="745" customFormat="false" ht="15" hidden="false" customHeight="false" outlineLevel="0" collapsed="false">
      <c r="A745" s="13" t="n">
        <f aca="false">1+A744</f>
        <v>743</v>
      </c>
      <c r="B745" s="17" t="n">
        <v>1009092121</v>
      </c>
      <c r="C745" s="17" t="s">
        <v>414</v>
      </c>
      <c r="D745" s="17" t="s">
        <v>64</v>
      </c>
      <c r="E745" s="17" t="s">
        <v>47</v>
      </c>
      <c r="F745" s="18" t="s">
        <v>34</v>
      </c>
      <c r="G745" s="19" t="n">
        <v>133352447816</v>
      </c>
      <c r="H745" s="17" t="s">
        <v>134</v>
      </c>
      <c r="I745" s="17" t="s">
        <v>44</v>
      </c>
      <c r="J745" s="17" t="s">
        <v>106</v>
      </c>
      <c r="K745" s="17" t="str">
        <f aca="false">VLOOKUP(J745,Sheet2!A:B,2,0)</f>
        <v>PRAKASH CHAVDA</v>
      </c>
      <c r="L745" s="17" t="n">
        <v>5</v>
      </c>
      <c r="M745" s="17" t="str">
        <f aca="false">VLOOKUP(L745,Sheet2!D:E,2,0)</f>
        <v>Main Processor CPU BGA</v>
      </c>
      <c r="N745" s="17" t="n">
        <v>1</v>
      </c>
      <c r="O745" s="17" t="str">
        <f aca="false">VLOOKUP(N745,Sheet2!G:H,2,0)</f>
        <v>Dead</v>
      </c>
      <c r="P745" s="17" t="n">
        <v>12</v>
      </c>
      <c r="Q745" s="17" t="str">
        <f aca="false">VLOOKUP(P745,Sheet2!J:K,2,0)</f>
        <v>IR Declared due to Others ( IR Normal)TB</v>
      </c>
      <c r="R745" s="17" t="s">
        <v>35</v>
      </c>
      <c r="S745" s="17" t="str">
        <f aca="false">VLOOKUP(R745,Sheet2!N:O,2,0)</f>
        <v>IREPARABLE</v>
      </c>
      <c r="T745" s="18" t="str">
        <f aca="false">VLOOKUP(P745,Sheet2!Q:R,2,0)</f>
        <v>IR Normal - BER to IR</v>
      </c>
      <c r="U745" s="20" t="s">
        <v>135</v>
      </c>
      <c r="V745" s="17" t="n">
        <v>12</v>
      </c>
      <c r="W745" s="20" t="str">
        <f aca="false">VLOOKUP(V745,Sheet2!Q:R,2,0)</f>
        <v>IR Normal - BER to IR</v>
      </c>
      <c r="X745" s="17" t="str">
        <f aca="false">J745</f>
        <v>A018</v>
      </c>
      <c r="Y745" s="17" t="str">
        <f aca="false">VLOOKUP(X745,Sheet2!A:B,2,0)</f>
        <v>PRAKASH CHAVDA</v>
      </c>
      <c r="Z745" s="17" t="s">
        <v>136</v>
      </c>
      <c r="AA745" s="17" t="s">
        <v>435</v>
      </c>
      <c r="AB745" s="17" t="s">
        <v>41</v>
      </c>
      <c r="AC745" s="0" t="str">
        <f aca="false">LEFT(G745,2)</f>
        <v>13</v>
      </c>
      <c r="AD745" s="0"/>
      <c r="AE745" s="21" t="s">
        <v>42</v>
      </c>
    </row>
    <row r="746" customFormat="false" ht="15" hidden="false" customHeight="false" outlineLevel="0" collapsed="false">
      <c r="A746" s="13" t="n">
        <f aca="false">1+A745</f>
        <v>744</v>
      </c>
      <c r="B746" s="17" t="n">
        <v>1009091379</v>
      </c>
      <c r="C746" s="17" t="s">
        <v>414</v>
      </c>
      <c r="D746" s="17" t="s">
        <v>439</v>
      </c>
      <c r="E746" s="17" t="s">
        <v>91</v>
      </c>
      <c r="F746" s="18" t="s">
        <v>92</v>
      </c>
      <c r="G746" s="19" t="n">
        <v>134255270115</v>
      </c>
      <c r="H746" s="17" t="s">
        <v>134</v>
      </c>
      <c r="I746" s="17" t="s">
        <v>44</v>
      </c>
      <c r="J746" s="17" t="s">
        <v>106</v>
      </c>
      <c r="K746" s="17" t="str">
        <f aca="false">VLOOKUP(J746,Sheet2!A:B,2,0)</f>
        <v>PRAKASH CHAVDA</v>
      </c>
      <c r="L746" s="17" t="n">
        <v>5</v>
      </c>
      <c r="M746" s="17" t="str">
        <f aca="false">VLOOKUP(L746,Sheet2!D:E,2,0)</f>
        <v>Main Processor CPU BGA</v>
      </c>
      <c r="N746" s="17" t="n">
        <v>1</v>
      </c>
      <c r="O746" s="17" t="str">
        <f aca="false">VLOOKUP(N746,Sheet2!G:H,2,0)</f>
        <v>Dead</v>
      </c>
      <c r="P746" s="17" t="n">
        <v>12</v>
      </c>
      <c r="Q746" s="17" t="str">
        <f aca="false">VLOOKUP(P746,Sheet2!J:K,2,0)</f>
        <v>IR Declared due to Others ( IR Normal)TB</v>
      </c>
      <c r="R746" s="17" t="s">
        <v>35</v>
      </c>
      <c r="S746" s="17" t="str">
        <f aca="false">VLOOKUP(R746,Sheet2!N:O,2,0)</f>
        <v>IREPARABLE</v>
      </c>
      <c r="T746" s="18" t="str">
        <f aca="false">VLOOKUP(P746,Sheet2!Q:R,2,0)</f>
        <v>IR Normal - BER to IR</v>
      </c>
      <c r="U746" s="20" t="s">
        <v>135</v>
      </c>
      <c r="V746" s="17" t="n">
        <v>12</v>
      </c>
      <c r="W746" s="20" t="str">
        <f aca="false">VLOOKUP(V746,Sheet2!Q:R,2,0)</f>
        <v>IR Normal - BER to IR</v>
      </c>
      <c r="X746" s="17" t="str">
        <f aca="false">J746</f>
        <v>A018</v>
      </c>
      <c r="Y746" s="17" t="str">
        <f aca="false">VLOOKUP(X746,Sheet2!A:B,2,0)</f>
        <v>PRAKASH CHAVDA</v>
      </c>
      <c r="Z746" s="17" t="s">
        <v>136</v>
      </c>
      <c r="AA746" s="17" t="s">
        <v>435</v>
      </c>
      <c r="AB746" s="17" t="s">
        <v>41</v>
      </c>
      <c r="AC746" s="0" t="str">
        <f aca="false">LEFT(G746,2)</f>
        <v>13</v>
      </c>
      <c r="AD746" s="0"/>
      <c r="AE746" s="21" t="s">
        <v>42</v>
      </c>
    </row>
    <row r="747" customFormat="false" ht="15" hidden="false" customHeight="false" outlineLevel="0" collapsed="false">
      <c r="A747" s="13" t="n">
        <f aca="false">1+A746</f>
        <v>745</v>
      </c>
      <c r="B747" s="17" t="n">
        <v>1009092287</v>
      </c>
      <c r="C747" s="17" t="s">
        <v>414</v>
      </c>
      <c r="D747" s="17" t="s">
        <v>64</v>
      </c>
      <c r="E747" s="17" t="s">
        <v>33</v>
      </c>
      <c r="F747" s="18" t="s">
        <v>34</v>
      </c>
      <c r="G747" s="19" t="n">
        <v>134283088687</v>
      </c>
      <c r="H747" s="17" t="s">
        <v>134</v>
      </c>
      <c r="I747" s="17" t="s">
        <v>44</v>
      </c>
      <c r="J747" s="17" t="s">
        <v>106</v>
      </c>
      <c r="K747" s="17" t="str">
        <f aca="false">VLOOKUP(J747,Sheet2!A:B,2,0)</f>
        <v>PRAKASH CHAVDA</v>
      </c>
      <c r="L747" s="17" t="n">
        <v>5</v>
      </c>
      <c r="M747" s="17" t="str">
        <f aca="false">VLOOKUP(L747,Sheet2!D:E,2,0)</f>
        <v>Main Processor CPU BGA</v>
      </c>
      <c r="N747" s="17" t="n">
        <v>24</v>
      </c>
      <c r="O747" s="17" t="str">
        <f aca="false">VLOOKUP(N747,Sheet2!G:H,2,0)</f>
        <v>STB Auto moving -Stand by mode</v>
      </c>
      <c r="P747" s="17" t="n">
        <v>12</v>
      </c>
      <c r="Q747" s="17" t="str">
        <f aca="false">VLOOKUP(P747,Sheet2!J:K,2,0)</f>
        <v>IR Declared due to Others ( IR Normal)TB</v>
      </c>
      <c r="R747" s="17" t="s">
        <v>35</v>
      </c>
      <c r="S747" s="17" t="str">
        <f aca="false">VLOOKUP(R747,Sheet2!N:O,2,0)</f>
        <v>IREPARABLE</v>
      </c>
      <c r="T747" s="18" t="str">
        <f aca="false">VLOOKUP(P747,Sheet2!Q:R,2,0)</f>
        <v>IR Normal - BER to IR</v>
      </c>
      <c r="U747" s="20" t="s">
        <v>135</v>
      </c>
      <c r="V747" s="17" t="n">
        <v>12</v>
      </c>
      <c r="W747" s="20" t="str">
        <f aca="false">VLOOKUP(V747,Sheet2!Q:R,2,0)</f>
        <v>IR Normal - BER to IR</v>
      </c>
      <c r="X747" s="17" t="str">
        <f aca="false">J747</f>
        <v>A018</v>
      </c>
      <c r="Y747" s="17" t="str">
        <f aca="false">VLOOKUP(X747,Sheet2!A:B,2,0)</f>
        <v>PRAKASH CHAVDA</v>
      </c>
      <c r="Z747" s="17" t="s">
        <v>136</v>
      </c>
      <c r="AA747" s="17" t="s">
        <v>435</v>
      </c>
      <c r="AB747" s="17" t="s">
        <v>41</v>
      </c>
      <c r="AC747" s="0" t="str">
        <f aca="false">LEFT(G747,2)</f>
        <v>13</v>
      </c>
      <c r="AD747" s="0"/>
      <c r="AE747" s="21" t="s">
        <v>42</v>
      </c>
    </row>
    <row r="748" customFormat="false" ht="15" hidden="false" customHeight="false" outlineLevel="0" collapsed="false">
      <c r="A748" s="13" t="n">
        <f aca="false">1+A747</f>
        <v>746</v>
      </c>
      <c r="B748" s="17" t="n">
        <v>1009092155</v>
      </c>
      <c r="C748" s="17" t="s">
        <v>414</v>
      </c>
      <c r="D748" s="17" t="s">
        <v>64</v>
      </c>
      <c r="E748" s="17" t="s">
        <v>64</v>
      </c>
      <c r="F748" s="18" t="s">
        <v>70</v>
      </c>
      <c r="G748" s="19" t="n">
        <v>134203205320</v>
      </c>
      <c r="H748" s="17" t="s">
        <v>134</v>
      </c>
      <c r="I748" s="17" t="s">
        <v>44</v>
      </c>
      <c r="J748" s="17" t="s">
        <v>106</v>
      </c>
      <c r="K748" s="17" t="str">
        <f aca="false">VLOOKUP(J748,Sheet2!A:B,2,0)</f>
        <v>PRAKASH CHAVDA</v>
      </c>
      <c r="L748" s="17" t="n">
        <v>5</v>
      </c>
      <c r="M748" s="17" t="str">
        <f aca="false">VLOOKUP(L748,Sheet2!D:E,2,0)</f>
        <v>Main Processor CPU BGA</v>
      </c>
      <c r="N748" s="17" t="n">
        <v>24</v>
      </c>
      <c r="O748" s="17" t="str">
        <f aca="false">VLOOKUP(N748,Sheet2!G:H,2,0)</f>
        <v>STB Auto moving -Stand by mode</v>
      </c>
      <c r="P748" s="17" t="n">
        <v>12</v>
      </c>
      <c r="Q748" s="17" t="str">
        <f aca="false">VLOOKUP(P748,Sheet2!J:K,2,0)</f>
        <v>IR Declared due to Others ( IR Normal)TB</v>
      </c>
      <c r="R748" s="17" t="s">
        <v>35</v>
      </c>
      <c r="S748" s="17" t="str">
        <f aca="false">VLOOKUP(R748,Sheet2!N:O,2,0)</f>
        <v>IREPARABLE</v>
      </c>
      <c r="T748" s="18" t="str">
        <f aca="false">VLOOKUP(P748,Sheet2!Q:R,2,0)</f>
        <v>IR Normal - BER to IR</v>
      </c>
      <c r="U748" s="20" t="s">
        <v>135</v>
      </c>
      <c r="V748" s="17" t="n">
        <v>12</v>
      </c>
      <c r="W748" s="20" t="str">
        <f aca="false">VLOOKUP(V748,Sheet2!Q:R,2,0)</f>
        <v>IR Normal - BER to IR</v>
      </c>
      <c r="X748" s="17" t="str">
        <f aca="false">J748</f>
        <v>A018</v>
      </c>
      <c r="Y748" s="17" t="str">
        <f aca="false">VLOOKUP(X748,Sheet2!A:B,2,0)</f>
        <v>PRAKASH CHAVDA</v>
      </c>
      <c r="Z748" s="17" t="s">
        <v>136</v>
      </c>
      <c r="AA748" s="17" t="s">
        <v>435</v>
      </c>
      <c r="AB748" s="17" t="s">
        <v>41</v>
      </c>
      <c r="AC748" s="0" t="str">
        <f aca="false">LEFT(G748,2)</f>
        <v>13</v>
      </c>
      <c r="AD748" s="0"/>
      <c r="AE748" s="21" t="s">
        <v>42</v>
      </c>
    </row>
    <row r="749" customFormat="false" ht="15" hidden="false" customHeight="false" outlineLevel="0" collapsed="false">
      <c r="A749" s="13" t="n">
        <f aca="false">1+A748</f>
        <v>747</v>
      </c>
      <c r="B749" s="17" t="n">
        <v>1009092191</v>
      </c>
      <c r="C749" s="17" t="s">
        <v>414</v>
      </c>
      <c r="D749" s="17" t="s">
        <v>64</v>
      </c>
      <c r="E749" s="17" t="s">
        <v>114</v>
      </c>
      <c r="F749" s="18" t="s">
        <v>34</v>
      </c>
      <c r="G749" s="19" t="n">
        <v>135210079434</v>
      </c>
      <c r="H749" s="17" t="s">
        <v>134</v>
      </c>
      <c r="I749" s="17" t="s">
        <v>44</v>
      </c>
      <c r="J749" s="17" t="s">
        <v>106</v>
      </c>
      <c r="K749" s="17" t="str">
        <f aca="false">VLOOKUP(J749,Sheet2!A:B,2,0)</f>
        <v>PRAKASH CHAVDA</v>
      </c>
      <c r="L749" s="17" t="n">
        <v>5</v>
      </c>
      <c r="M749" s="17" t="str">
        <f aca="false">VLOOKUP(L749,Sheet2!D:E,2,0)</f>
        <v>Main Processor CPU BGA</v>
      </c>
      <c r="N749" s="17" t="n">
        <v>24</v>
      </c>
      <c r="O749" s="17" t="str">
        <f aca="false">VLOOKUP(N749,Sheet2!G:H,2,0)</f>
        <v>STB Auto moving -Stand by mode</v>
      </c>
      <c r="P749" s="17" t="n">
        <v>12</v>
      </c>
      <c r="Q749" s="17" t="str">
        <f aca="false">VLOOKUP(P749,Sheet2!J:K,2,0)</f>
        <v>IR Declared due to Others ( IR Normal)TB</v>
      </c>
      <c r="R749" s="17" t="s">
        <v>35</v>
      </c>
      <c r="S749" s="17" t="str">
        <f aca="false">VLOOKUP(R749,Sheet2!N:O,2,0)</f>
        <v>IREPARABLE</v>
      </c>
      <c r="T749" s="18" t="str">
        <f aca="false">VLOOKUP(P749,Sheet2!Q:R,2,0)</f>
        <v>IR Normal - BER to IR</v>
      </c>
      <c r="U749" s="20" t="s">
        <v>135</v>
      </c>
      <c r="V749" s="17" t="n">
        <v>12</v>
      </c>
      <c r="W749" s="20" t="str">
        <f aca="false">VLOOKUP(V749,Sheet2!Q:R,2,0)</f>
        <v>IR Normal - BER to IR</v>
      </c>
      <c r="X749" s="17" t="str">
        <f aca="false">J749</f>
        <v>A018</v>
      </c>
      <c r="Y749" s="17" t="str">
        <f aca="false">VLOOKUP(X749,Sheet2!A:B,2,0)</f>
        <v>PRAKASH CHAVDA</v>
      </c>
      <c r="Z749" s="17" t="s">
        <v>136</v>
      </c>
      <c r="AA749" s="17" t="s">
        <v>435</v>
      </c>
      <c r="AB749" s="17" t="s">
        <v>41</v>
      </c>
      <c r="AC749" s="0" t="str">
        <f aca="false">LEFT(G749,2)</f>
        <v>13</v>
      </c>
      <c r="AD749" s="0"/>
      <c r="AE749" s="21" t="s">
        <v>42</v>
      </c>
    </row>
    <row r="750" customFormat="false" ht="15" hidden="false" customHeight="false" outlineLevel="0" collapsed="false">
      <c r="A750" s="13" t="n">
        <f aca="false">1+A749</f>
        <v>748</v>
      </c>
      <c r="B750" s="17" t="n">
        <v>1009091502</v>
      </c>
      <c r="C750" s="17" t="s">
        <v>414</v>
      </c>
      <c r="D750" s="17" t="s">
        <v>64</v>
      </c>
      <c r="E750" s="17" t="s">
        <v>47</v>
      </c>
      <c r="F750" s="18" t="s">
        <v>34</v>
      </c>
      <c r="G750" s="19" t="n">
        <v>134273179926</v>
      </c>
      <c r="H750" s="17" t="s">
        <v>134</v>
      </c>
      <c r="I750" s="17" t="s">
        <v>44</v>
      </c>
      <c r="J750" s="17" t="s">
        <v>106</v>
      </c>
      <c r="K750" s="17" t="str">
        <f aca="false">VLOOKUP(J750,Sheet2!A:B,2,0)</f>
        <v>PRAKASH CHAVDA</v>
      </c>
      <c r="L750" s="17" t="n">
        <v>5</v>
      </c>
      <c r="M750" s="17" t="str">
        <f aca="false">VLOOKUP(L750,Sheet2!D:E,2,0)</f>
        <v>Main Processor CPU BGA</v>
      </c>
      <c r="N750" s="17" t="n">
        <v>1</v>
      </c>
      <c r="O750" s="17" t="str">
        <f aca="false">VLOOKUP(N750,Sheet2!G:H,2,0)</f>
        <v>Dead</v>
      </c>
      <c r="P750" s="17" t="n">
        <v>12</v>
      </c>
      <c r="Q750" s="17" t="str">
        <f aca="false">VLOOKUP(P750,Sheet2!J:K,2,0)</f>
        <v>IR Declared due to Others ( IR Normal)TB</v>
      </c>
      <c r="R750" s="17" t="s">
        <v>35</v>
      </c>
      <c r="S750" s="17" t="str">
        <f aca="false">VLOOKUP(R750,Sheet2!N:O,2,0)</f>
        <v>IREPARABLE</v>
      </c>
      <c r="T750" s="18" t="str">
        <f aca="false">VLOOKUP(P750,Sheet2!Q:R,2,0)</f>
        <v>IR Normal - BER to IR</v>
      </c>
      <c r="U750" s="20" t="s">
        <v>135</v>
      </c>
      <c r="V750" s="17" t="n">
        <v>12</v>
      </c>
      <c r="W750" s="20" t="str">
        <f aca="false">VLOOKUP(V750,Sheet2!Q:R,2,0)</f>
        <v>IR Normal - BER to IR</v>
      </c>
      <c r="X750" s="17" t="str">
        <f aca="false">J750</f>
        <v>A018</v>
      </c>
      <c r="Y750" s="17" t="str">
        <f aca="false">VLOOKUP(X750,Sheet2!A:B,2,0)</f>
        <v>PRAKASH CHAVDA</v>
      </c>
      <c r="Z750" s="17" t="s">
        <v>136</v>
      </c>
      <c r="AA750" s="17" t="s">
        <v>435</v>
      </c>
      <c r="AB750" s="17" t="s">
        <v>41</v>
      </c>
      <c r="AC750" s="0" t="str">
        <f aca="false">LEFT(G750,2)</f>
        <v>13</v>
      </c>
      <c r="AD750" s="0"/>
      <c r="AE750" s="21" t="s">
        <v>42</v>
      </c>
    </row>
    <row r="751" customFormat="false" ht="15" hidden="false" customHeight="false" outlineLevel="0" collapsed="false">
      <c r="A751" s="13" t="n">
        <f aca="false">1+A750</f>
        <v>749</v>
      </c>
      <c r="B751" s="17" t="n">
        <v>1009091419</v>
      </c>
      <c r="C751" s="17" t="s">
        <v>414</v>
      </c>
      <c r="D751" s="17" t="s">
        <v>64</v>
      </c>
      <c r="E751" s="17" t="s">
        <v>33</v>
      </c>
      <c r="F751" s="18" t="s">
        <v>34</v>
      </c>
      <c r="G751" s="19" t="n">
        <v>134106546275</v>
      </c>
      <c r="H751" s="17" t="s">
        <v>134</v>
      </c>
      <c r="I751" s="17" t="s">
        <v>44</v>
      </c>
      <c r="J751" s="17" t="s">
        <v>106</v>
      </c>
      <c r="K751" s="17" t="str">
        <f aca="false">VLOOKUP(J751,Sheet2!A:B,2,0)</f>
        <v>PRAKASH CHAVDA</v>
      </c>
      <c r="L751" s="17" t="n">
        <v>5</v>
      </c>
      <c r="M751" s="17" t="str">
        <f aca="false">VLOOKUP(L751,Sheet2!D:E,2,0)</f>
        <v>Main Processor CPU BGA</v>
      </c>
      <c r="N751" s="17" t="n">
        <v>24</v>
      </c>
      <c r="O751" s="17" t="str">
        <f aca="false">VLOOKUP(N751,Sheet2!G:H,2,0)</f>
        <v>STB Auto moving -Stand by mode</v>
      </c>
      <c r="P751" s="17" t="n">
        <v>12</v>
      </c>
      <c r="Q751" s="17" t="str">
        <f aca="false">VLOOKUP(P751,Sheet2!J:K,2,0)</f>
        <v>IR Declared due to Others ( IR Normal)TB</v>
      </c>
      <c r="R751" s="17" t="s">
        <v>35</v>
      </c>
      <c r="S751" s="17" t="str">
        <f aca="false">VLOOKUP(R751,Sheet2!N:O,2,0)</f>
        <v>IREPARABLE</v>
      </c>
      <c r="T751" s="18" t="str">
        <f aca="false">VLOOKUP(P751,Sheet2!Q:R,2,0)</f>
        <v>IR Normal - BER to IR</v>
      </c>
      <c r="U751" s="20" t="s">
        <v>135</v>
      </c>
      <c r="V751" s="17" t="n">
        <v>12</v>
      </c>
      <c r="W751" s="20" t="str">
        <f aca="false">VLOOKUP(V751,Sheet2!Q:R,2,0)</f>
        <v>IR Normal - BER to IR</v>
      </c>
      <c r="X751" s="17" t="str">
        <f aca="false">J751</f>
        <v>A018</v>
      </c>
      <c r="Y751" s="17" t="str">
        <f aca="false">VLOOKUP(X751,Sheet2!A:B,2,0)</f>
        <v>PRAKASH CHAVDA</v>
      </c>
      <c r="Z751" s="17" t="s">
        <v>136</v>
      </c>
      <c r="AA751" s="17" t="s">
        <v>435</v>
      </c>
      <c r="AB751" s="17" t="s">
        <v>41</v>
      </c>
      <c r="AC751" s="0" t="str">
        <f aca="false">LEFT(G751,2)</f>
        <v>13</v>
      </c>
      <c r="AD751" s="0"/>
      <c r="AE751" s="21" t="s">
        <v>42</v>
      </c>
    </row>
    <row r="752" customFormat="false" ht="15" hidden="false" customHeight="false" outlineLevel="0" collapsed="false">
      <c r="A752" s="13" t="n">
        <f aca="false">1+A751</f>
        <v>750</v>
      </c>
      <c r="B752" s="17" t="n">
        <v>1008103848</v>
      </c>
      <c r="C752" s="17" t="s">
        <v>440</v>
      </c>
      <c r="D752" s="17" t="s">
        <v>205</v>
      </c>
      <c r="E752" s="17" t="s">
        <v>114</v>
      </c>
      <c r="F752" s="18" t="s">
        <v>34</v>
      </c>
      <c r="G752" s="19" t="n">
        <v>134063411935</v>
      </c>
      <c r="H752" s="17" t="s">
        <v>134</v>
      </c>
      <c r="I752" s="17" t="s">
        <v>44</v>
      </c>
      <c r="J752" s="17" t="s">
        <v>106</v>
      </c>
      <c r="K752" s="17" t="str">
        <f aca="false">VLOOKUP(J752,Sheet2!A:B,2,0)</f>
        <v>PRAKASH CHAVDA</v>
      </c>
      <c r="L752" s="17" t="n">
        <v>5</v>
      </c>
      <c r="M752" s="17" t="str">
        <f aca="false">VLOOKUP(L752,Sheet2!D:E,2,0)</f>
        <v>Main Processor CPU BGA</v>
      </c>
      <c r="N752" s="17" t="n">
        <v>24</v>
      </c>
      <c r="O752" s="17" t="str">
        <f aca="false">VLOOKUP(N752,Sheet2!G:H,2,0)</f>
        <v>STB Auto moving -Stand by mode</v>
      </c>
      <c r="P752" s="17" t="n">
        <v>12</v>
      </c>
      <c r="Q752" s="17" t="str">
        <f aca="false">VLOOKUP(P752,Sheet2!J:K,2,0)</f>
        <v>IR Declared due to Others ( IR Normal)TB</v>
      </c>
      <c r="R752" s="17" t="s">
        <v>35</v>
      </c>
      <c r="S752" s="17" t="str">
        <f aca="false">VLOOKUP(R752,Sheet2!N:O,2,0)</f>
        <v>IREPARABLE</v>
      </c>
      <c r="T752" s="18" t="str">
        <f aca="false">VLOOKUP(P752,Sheet2!Q:R,2,0)</f>
        <v>IR Normal - BER to IR</v>
      </c>
      <c r="U752" s="20" t="s">
        <v>135</v>
      </c>
      <c r="V752" s="17" t="n">
        <v>12</v>
      </c>
      <c r="W752" s="20" t="str">
        <f aca="false">VLOOKUP(V752,Sheet2!Q:R,2,0)</f>
        <v>IR Normal - BER to IR</v>
      </c>
      <c r="X752" s="17" t="str">
        <f aca="false">J752</f>
        <v>A018</v>
      </c>
      <c r="Y752" s="17" t="str">
        <f aca="false">VLOOKUP(X752,Sheet2!A:B,2,0)</f>
        <v>PRAKASH CHAVDA</v>
      </c>
      <c r="Z752" s="17" t="s">
        <v>136</v>
      </c>
      <c r="AA752" s="17" t="s">
        <v>435</v>
      </c>
      <c r="AB752" s="17" t="s">
        <v>41</v>
      </c>
      <c r="AC752" s="0" t="str">
        <f aca="false">LEFT(G752,2)</f>
        <v>13</v>
      </c>
      <c r="AD752" s="0"/>
      <c r="AE752" s="21" t="s">
        <v>42</v>
      </c>
    </row>
    <row r="753" customFormat="false" ht="15" hidden="false" customHeight="false" outlineLevel="0" collapsed="false">
      <c r="A753" s="13" t="n">
        <f aca="false">1+A752</f>
        <v>751</v>
      </c>
      <c r="B753" s="17" t="n">
        <v>1009091938</v>
      </c>
      <c r="C753" s="17" t="s">
        <v>414</v>
      </c>
      <c r="D753" s="17" t="s">
        <v>64</v>
      </c>
      <c r="E753" s="17" t="s">
        <v>64</v>
      </c>
      <c r="F753" s="18" t="s">
        <v>70</v>
      </c>
      <c r="G753" s="19" t="n">
        <v>134119206693</v>
      </c>
      <c r="H753" s="17" t="s">
        <v>134</v>
      </c>
      <c r="I753" s="17" t="s">
        <v>44</v>
      </c>
      <c r="J753" s="17" t="s">
        <v>106</v>
      </c>
      <c r="K753" s="17" t="str">
        <f aca="false">VLOOKUP(J753,Sheet2!A:B,2,0)</f>
        <v>PRAKASH CHAVDA</v>
      </c>
      <c r="L753" s="17" t="n">
        <v>5</v>
      </c>
      <c r="M753" s="17" t="str">
        <f aca="false">VLOOKUP(L753,Sheet2!D:E,2,0)</f>
        <v>Main Processor CPU BGA</v>
      </c>
      <c r="N753" s="17" t="n">
        <v>24</v>
      </c>
      <c r="O753" s="17" t="str">
        <f aca="false">VLOOKUP(N753,Sheet2!G:H,2,0)</f>
        <v>STB Auto moving -Stand by mode</v>
      </c>
      <c r="P753" s="17" t="n">
        <v>12</v>
      </c>
      <c r="Q753" s="17" t="str">
        <f aca="false">VLOOKUP(P753,Sheet2!J:K,2,0)</f>
        <v>IR Declared due to Others ( IR Normal)TB</v>
      </c>
      <c r="R753" s="17" t="s">
        <v>35</v>
      </c>
      <c r="S753" s="17" t="str">
        <f aca="false">VLOOKUP(R753,Sheet2!N:O,2,0)</f>
        <v>IREPARABLE</v>
      </c>
      <c r="T753" s="18" t="str">
        <f aca="false">VLOOKUP(P753,Sheet2!Q:R,2,0)</f>
        <v>IR Normal - BER to IR</v>
      </c>
      <c r="U753" s="20" t="s">
        <v>135</v>
      </c>
      <c r="V753" s="17" t="n">
        <v>12</v>
      </c>
      <c r="W753" s="20" t="str">
        <f aca="false">VLOOKUP(V753,Sheet2!Q:R,2,0)</f>
        <v>IR Normal - BER to IR</v>
      </c>
      <c r="X753" s="17" t="str">
        <f aca="false">J753</f>
        <v>A018</v>
      </c>
      <c r="Y753" s="17" t="str">
        <f aca="false">VLOOKUP(X753,Sheet2!A:B,2,0)</f>
        <v>PRAKASH CHAVDA</v>
      </c>
      <c r="Z753" s="17" t="s">
        <v>136</v>
      </c>
      <c r="AA753" s="17" t="s">
        <v>435</v>
      </c>
      <c r="AB753" s="17" t="s">
        <v>41</v>
      </c>
      <c r="AC753" s="0" t="str">
        <f aca="false">LEFT(G753,2)</f>
        <v>13</v>
      </c>
      <c r="AD753" s="0"/>
      <c r="AE753" s="21" t="s">
        <v>42</v>
      </c>
    </row>
    <row r="754" customFormat="false" ht="15" hidden="false" customHeight="false" outlineLevel="0" collapsed="false">
      <c r="A754" s="13" t="n">
        <f aca="false">1+A753</f>
        <v>752</v>
      </c>
      <c r="B754" s="17" t="n">
        <v>1009628600</v>
      </c>
      <c r="C754" s="17" t="s">
        <v>229</v>
      </c>
      <c r="D754" s="17" t="s">
        <v>64</v>
      </c>
      <c r="E754" s="17" t="s">
        <v>47</v>
      </c>
      <c r="F754" s="18" t="s">
        <v>34</v>
      </c>
      <c r="G754" s="19" t="n">
        <v>775243061360</v>
      </c>
      <c r="H754" s="17" t="s">
        <v>134</v>
      </c>
      <c r="I754" s="17" t="s">
        <v>69</v>
      </c>
      <c r="J754" s="17" t="s">
        <v>106</v>
      </c>
      <c r="K754" s="17" t="str">
        <f aca="false">VLOOKUP(J754,Sheet2!A:B,2,0)</f>
        <v>PRAKASH CHAVDA</v>
      </c>
      <c r="L754" s="17" t="n">
        <v>5</v>
      </c>
      <c r="M754" s="17" t="str">
        <f aca="false">VLOOKUP(L754,Sheet2!D:E,2,0)</f>
        <v>Main Processor CPU BGA</v>
      </c>
      <c r="N754" s="17" t="n">
        <v>24</v>
      </c>
      <c r="O754" s="17" t="str">
        <f aca="false">VLOOKUP(N754,Sheet2!G:H,2,0)</f>
        <v>STB Auto moving -Stand by mode</v>
      </c>
      <c r="P754" s="17" t="n">
        <v>12</v>
      </c>
      <c r="Q754" s="17" t="str">
        <f aca="false">VLOOKUP(P754,Sheet2!J:K,2,0)</f>
        <v>IR Declared due to Others ( IR Normal)TB</v>
      </c>
      <c r="R754" s="17" t="s">
        <v>35</v>
      </c>
      <c r="S754" s="17" t="str">
        <f aca="false">VLOOKUP(R754,Sheet2!N:O,2,0)</f>
        <v>IREPARABLE</v>
      </c>
      <c r="T754" s="18" t="str">
        <f aca="false">VLOOKUP(P754,Sheet2!Q:R,2,0)</f>
        <v>IR Normal - BER to IR</v>
      </c>
      <c r="U754" s="20" t="s">
        <v>135</v>
      </c>
      <c r="V754" s="17" t="n">
        <v>12</v>
      </c>
      <c r="W754" s="20" t="str">
        <f aca="false">VLOOKUP(V754,Sheet2!Q:R,2,0)</f>
        <v>IR Normal - BER to IR</v>
      </c>
      <c r="X754" s="17" t="str">
        <f aca="false">J754</f>
        <v>A018</v>
      </c>
      <c r="Y754" s="17" t="str">
        <f aca="false">VLOOKUP(X754,Sheet2!A:B,2,0)</f>
        <v>PRAKASH CHAVDA</v>
      </c>
      <c r="Z754" s="17" t="s">
        <v>136</v>
      </c>
      <c r="AA754" s="17" t="s">
        <v>435</v>
      </c>
      <c r="AB754" s="17" t="s">
        <v>41</v>
      </c>
      <c r="AC754" s="0" t="str">
        <f aca="false">LEFT(G754,2)</f>
        <v>77</v>
      </c>
      <c r="AD754" s="0"/>
      <c r="AE754" s="21" t="s">
        <v>42</v>
      </c>
    </row>
    <row r="755" customFormat="false" ht="15" hidden="false" customHeight="false" outlineLevel="0" collapsed="false">
      <c r="A755" s="13" t="n">
        <f aca="false">1+A754</f>
        <v>753</v>
      </c>
      <c r="B755" s="17" t="n">
        <v>1009443827</v>
      </c>
      <c r="C755" s="17" t="s">
        <v>189</v>
      </c>
      <c r="D755" s="17" t="s">
        <v>64</v>
      </c>
      <c r="E755" s="17" t="s">
        <v>64</v>
      </c>
      <c r="F755" s="18" t="s">
        <v>70</v>
      </c>
      <c r="G755" s="19" t="n">
        <v>775084079935</v>
      </c>
      <c r="H755" s="17" t="s">
        <v>134</v>
      </c>
      <c r="I755" s="17" t="s">
        <v>69</v>
      </c>
      <c r="J755" s="17" t="s">
        <v>106</v>
      </c>
      <c r="K755" s="17" t="str">
        <f aca="false">VLOOKUP(J755,Sheet2!A:B,2,0)</f>
        <v>PRAKASH CHAVDA</v>
      </c>
      <c r="L755" s="17" t="n">
        <v>5</v>
      </c>
      <c r="M755" s="17" t="str">
        <f aca="false">VLOOKUP(L755,Sheet2!D:E,2,0)</f>
        <v>Main Processor CPU BGA</v>
      </c>
      <c r="N755" s="17" t="n">
        <v>33</v>
      </c>
      <c r="O755" s="17" t="str">
        <f aca="false">VLOOKUP(N755,Sheet2!G:H,2,0)</f>
        <v>Software download failure</v>
      </c>
      <c r="P755" s="17" t="n">
        <v>12</v>
      </c>
      <c r="Q755" s="17" t="str">
        <f aca="false">VLOOKUP(P755,Sheet2!J:K,2,0)</f>
        <v>IR Declared due to Others ( IR Normal)TB</v>
      </c>
      <c r="R755" s="17" t="s">
        <v>35</v>
      </c>
      <c r="S755" s="17" t="str">
        <f aca="false">VLOOKUP(R755,Sheet2!N:O,2,0)</f>
        <v>IREPARABLE</v>
      </c>
      <c r="T755" s="18" t="str">
        <f aca="false">VLOOKUP(P755,Sheet2!Q:R,2,0)</f>
        <v>IR Normal - BER to IR</v>
      </c>
      <c r="U755" s="20" t="s">
        <v>135</v>
      </c>
      <c r="V755" s="17" t="n">
        <v>12</v>
      </c>
      <c r="W755" s="20" t="str">
        <f aca="false">VLOOKUP(V755,Sheet2!Q:R,2,0)</f>
        <v>IR Normal - BER to IR</v>
      </c>
      <c r="X755" s="17" t="str">
        <f aca="false">J755</f>
        <v>A018</v>
      </c>
      <c r="Y755" s="17" t="str">
        <f aca="false">VLOOKUP(X755,Sheet2!A:B,2,0)</f>
        <v>PRAKASH CHAVDA</v>
      </c>
      <c r="Z755" s="17" t="s">
        <v>136</v>
      </c>
      <c r="AA755" s="17" t="s">
        <v>435</v>
      </c>
      <c r="AB755" s="17" t="s">
        <v>41</v>
      </c>
      <c r="AC755" s="0" t="str">
        <f aca="false">LEFT(G755,2)</f>
        <v>77</v>
      </c>
      <c r="AD755" s="0"/>
      <c r="AE755" s="21" t="s">
        <v>42</v>
      </c>
    </row>
    <row r="756" customFormat="false" ht="15" hidden="false" customHeight="false" outlineLevel="0" collapsed="false">
      <c r="A756" s="13" t="n">
        <f aca="false">1+A755</f>
        <v>754</v>
      </c>
      <c r="B756" s="17" t="n">
        <v>1009418671</v>
      </c>
      <c r="C756" s="17" t="s">
        <v>179</v>
      </c>
      <c r="D756" s="17" t="s">
        <v>64</v>
      </c>
      <c r="E756" s="17" t="s">
        <v>47</v>
      </c>
      <c r="F756" s="18" t="s">
        <v>34</v>
      </c>
      <c r="G756" s="19" t="n">
        <v>775306174308</v>
      </c>
      <c r="H756" s="17" t="s">
        <v>134</v>
      </c>
      <c r="I756" s="17" t="s">
        <v>69</v>
      </c>
      <c r="J756" s="17" t="s">
        <v>106</v>
      </c>
      <c r="K756" s="17" t="str">
        <f aca="false">VLOOKUP(J756,Sheet2!A:B,2,0)</f>
        <v>PRAKASH CHAVDA</v>
      </c>
      <c r="L756" s="17" t="n">
        <v>5</v>
      </c>
      <c r="M756" s="17" t="str">
        <f aca="false">VLOOKUP(L756,Sheet2!D:E,2,0)</f>
        <v>Main Processor CPU BGA</v>
      </c>
      <c r="N756" s="17" t="n">
        <v>33</v>
      </c>
      <c r="O756" s="17" t="str">
        <f aca="false">VLOOKUP(N756,Sheet2!G:H,2,0)</f>
        <v>Software download failure</v>
      </c>
      <c r="P756" s="17" t="n">
        <v>12</v>
      </c>
      <c r="Q756" s="17" t="str">
        <f aca="false">VLOOKUP(P756,Sheet2!J:K,2,0)</f>
        <v>IR Declared due to Others ( IR Normal)TB</v>
      </c>
      <c r="R756" s="17" t="s">
        <v>35</v>
      </c>
      <c r="S756" s="17" t="str">
        <f aca="false">VLOOKUP(R756,Sheet2!N:O,2,0)</f>
        <v>IREPARABLE</v>
      </c>
      <c r="T756" s="18" t="str">
        <f aca="false">VLOOKUP(P756,Sheet2!Q:R,2,0)</f>
        <v>IR Normal - BER to IR</v>
      </c>
      <c r="U756" s="20" t="s">
        <v>135</v>
      </c>
      <c r="V756" s="17" t="n">
        <v>12</v>
      </c>
      <c r="W756" s="20" t="str">
        <f aca="false">VLOOKUP(V756,Sheet2!Q:R,2,0)</f>
        <v>IR Normal - BER to IR</v>
      </c>
      <c r="X756" s="17" t="str">
        <f aca="false">J756</f>
        <v>A018</v>
      </c>
      <c r="Y756" s="17" t="str">
        <f aca="false">VLOOKUP(X756,Sheet2!A:B,2,0)</f>
        <v>PRAKASH CHAVDA</v>
      </c>
      <c r="Z756" s="17" t="s">
        <v>136</v>
      </c>
      <c r="AA756" s="17" t="s">
        <v>435</v>
      </c>
      <c r="AB756" s="17" t="s">
        <v>41</v>
      </c>
      <c r="AC756" s="0" t="str">
        <f aca="false">LEFT(G756,2)</f>
        <v>77</v>
      </c>
      <c r="AD756" s="0"/>
      <c r="AE756" s="21" t="s">
        <v>42</v>
      </c>
    </row>
    <row r="757" customFormat="false" ht="15" hidden="false" customHeight="false" outlineLevel="0" collapsed="false">
      <c r="A757" s="13" t="n">
        <f aca="false">1+A756</f>
        <v>755</v>
      </c>
      <c r="B757" s="17" t="n">
        <v>1009466872</v>
      </c>
      <c r="C757" s="17" t="s">
        <v>151</v>
      </c>
      <c r="D757" s="17" t="s">
        <v>147</v>
      </c>
      <c r="E757" s="17" t="s">
        <v>47</v>
      </c>
      <c r="F757" s="18" t="s">
        <v>34</v>
      </c>
      <c r="G757" s="19" t="n">
        <v>775352241548</v>
      </c>
      <c r="H757" s="17" t="s">
        <v>134</v>
      </c>
      <c r="I757" s="17" t="s">
        <v>69</v>
      </c>
      <c r="J757" s="17" t="s">
        <v>106</v>
      </c>
      <c r="K757" s="17" t="str">
        <f aca="false">VLOOKUP(J757,Sheet2!A:B,2,0)</f>
        <v>PRAKASH CHAVDA</v>
      </c>
      <c r="L757" s="17" t="n">
        <v>5</v>
      </c>
      <c r="M757" s="17" t="str">
        <f aca="false">VLOOKUP(L757,Sheet2!D:E,2,0)</f>
        <v>Main Processor CPU BGA</v>
      </c>
      <c r="N757" s="17" t="n">
        <v>33</v>
      </c>
      <c r="O757" s="17" t="str">
        <f aca="false">VLOOKUP(N757,Sheet2!G:H,2,0)</f>
        <v>Software download failure</v>
      </c>
      <c r="P757" s="17" t="n">
        <v>12</v>
      </c>
      <c r="Q757" s="17" t="str">
        <f aca="false">VLOOKUP(P757,Sheet2!J:K,2,0)</f>
        <v>IR Declared due to Others ( IR Normal)TB</v>
      </c>
      <c r="R757" s="17" t="s">
        <v>35</v>
      </c>
      <c r="S757" s="17" t="str">
        <f aca="false">VLOOKUP(R757,Sheet2!N:O,2,0)</f>
        <v>IREPARABLE</v>
      </c>
      <c r="T757" s="18" t="str">
        <f aca="false">VLOOKUP(P757,Sheet2!Q:R,2,0)</f>
        <v>IR Normal - BER to IR</v>
      </c>
      <c r="U757" s="20" t="s">
        <v>135</v>
      </c>
      <c r="V757" s="17" t="n">
        <v>12</v>
      </c>
      <c r="W757" s="20" t="str">
        <f aca="false">VLOOKUP(V757,Sheet2!Q:R,2,0)</f>
        <v>IR Normal - BER to IR</v>
      </c>
      <c r="X757" s="17" t="str">
        <f aca="false">J757</f>
        <v>A018</v>
      </c>
      <c r="Y757" s="17" t="str">
        <f aca="false">VLOOKUP(X757,Sheet2!A:B,2,0)</f>
        <v>PRAKASH CHAVDA</v>
      </c>
      <c r="Z757" s="17" t="s">
        <v>136</v>
      </c>
      <c r="AA757" s="17" t="s">
        <v>435</v>
      </c>
      <c r="AB757" s="17" t="s">
        <v>41</v>
      </c>
      <c r="AC757" s="0" t="str">
        <f aca="false">LEFT(G757,2)</f>
        <v>77</v>
      </c>
      <c r="AD757" s="0"/>
      <c r="AE757" s="21" t="s">
        <v>42</v>
      </c>
    </row>
    <row r="758" customFormat="false" ht="15" hidden="false" customHeight="false" outlineLevel="0" collapsed="false">
      <c r="A758" s="13" t="n">
        <f aca="false">1+A757</f>
        <v>756</v>
      </c>
      <c r="B758" s="17" t="n">
        <v>1009305846</v>
      </c>
      <c r="C758" s="17" t="s">
        <v>185</v>
      </c>
      <c r="D758" s="17" t="s">
        <v>64</v>
      </c>
      <c r="E758" s="17" t="s">
        <v>441</v>
      </c>
      <c r="F758" s="18" t="s">
        <v>34</v>
      </c>
      <c r="G758" s="19" t="n">
        <v>775285019904</v>
      </c>
      <c r="H758" s="17" t="s">
        <v>134</v>
      </c>
      <c r="I758" s="17" t="s">
        <v>69</v>
      </c>
      <c r="J758" s="17" t="s">
        <v>106</v>
      </c>
      <c r="K758" s="17" t="str">
        <f aca="false">VLOOKUP(J758,Sheet2!A:B,2,0)</f>
        <v>PRAKASH CHAVDA</v>
      </c>
      <c r="L758" s="17" t="n">
        <v>5</v>
      </c>
      <c r="M758" s="17" t="str">
        <f aca="false">VLOOKUP(L758,Sheet2!D:E,2,0)</f>
        <v>Main Processor CPU BGA</v>
      </c>
      <c r="N758" s="17" t="n">
        <v>33</v>
      </c>
      <c r="O758" s="17" t="str">
        <f aca="false">VLOOKUP(N758,Sheet2!G:H,2,0)</f>
        <v>Software download failure</v>
      </c>
      <c r="P758" s="17" t="n">
        <v>12</v>
      </c>
      <c r="Q758" s="17" t="str">
        <f aca="false">VLOOKUP(P758,Sheet2!J:K,2,0)</f>
        <v>IR Declared due to Others ( IR Normal)TB</v>
      </c>
      <c r="R758" s="17" t="s">
        <v>35</v>
      </c>
      <c r="S758" s="17" t="str">
        <f aca="false">VLOOKUP(R758,Sheet2!N:O,2,0)</f>
        <v>IREPARABLE</v>
      </c>
      <c r="T758" s="18" t="str">
        <f aca="false">VLOOKUP(P758,Sheet2!Q:R,2,0)</f>
        <v>IR Normal - BER to IR</v>
      </c>
      <c r="U758" s="20" t="s">
        <v>135</v>
      </c>
      <c r="V758" s="17" t="n">
        <v>12</v>
      </c>
      <c r="W758" s="20" t="str">
        <f aca="false">VLOOKUP(V758,Sheet2!Q:R,2,0)</f>
        <v>IR Normal - BER to IR</v>
      </c>
      <c r="X758" s="17" t="str">
        <f aca="false">J758</f>
        <v>A018</v>
      </c>
      <c r="Y758" s="17" t="str">
        <f aca="false">VLOOKUP(X758,Sheet2!A:B,2,0)</f>
        <v>PRAKASH CHAVDA</v>
      </c>
      <c r="Z758" s="17" t="s">
        <v>136</v>
      </c>
      <c r="AA758" s="17" t="s">
        <v>435</v>
      </c>
      <c r="AB758" s="17" t="s">
        <v>41</v>
      </c>
      <c r="AC758" s="0" t="str">
        <f aca="false">LEFT(G758,2)</f>
        <v>77</v>
      </c>
      <c r="AD758" s="0"/>
      <c r="AE758" s="21" t="s">
        <v>42</v>
      </c>
    </row>
    <row r="759" customFormat="false" ht="15" hidden="false" customHeight="false" outlineLevel="0" collapsed="false">
      <c r="A759" s="13" t="n">
        <f aca="false">1+A758</f>
        <v>757</v>
      </c>
      <c r="B759" s="17" t="n">
        <v>1009666792</v>
      </c>
      <c r="C759" s="17" t="s">
        <v>436</v>
      </c>
      <c r="D759" s="17" t="s">
        <v>64</v>
      </c>
      <c r="E759" s="17" t="s">
        <v>33</v>
      </c>
      <c r="F759" s="18" t="s">
        <v>34</v>
      </c>
      <c r="G759" s="19" t="n">
        <v>775156140854</v>
      </c>
      <c r="H759" s="17" t="s">
        <v>134</v>
      </c>
      <c r="I759" s="17" t="s">
        <v>69</v>
      </c>
      <c r="J759" s="17" t="s">
        <v>106</v>
      </c>
      <c r="K759" s="17" t="str">
        <f aca="false">VLOOKUP(J759,Sheet2!A:B,2,0)</f>
        <v>PRAKASH CHAVDA</v>
      </c>
      <c r="L759" s="17" t="n">
        <v>2</v>
      </c>
      <c r="M759" s="17" t="str">
        <f aca="false">VLOOKUP(L759,Sheet2!D:E,2,0)</f>
        <v>Tuner Section</v>
      </c>
      <c r="N759" s="17" t="n">
        <v>6</v>
      </c>
      <c r="O759" s="17" t="str">
        <f aca="false">VLOOKUP(N759,Sheet2!G:H,2,0)</f>
        <v>No Signal</v>
      </c>
      <c r="P759" s="17" t="n">
        <v>12</v>
      </c>
      <c r="Q759" s="17" t="str">
        <f aca="false">VLOOKUP(P759,Sheet2!J:K,2,0)</f>
        <v>IR Declared due to Others ( IR Normal)TB</v>
      </c>
      <c r="R759" s="17" t="s">
        <v>35</v>
      </c>
      <c r="S759" s="17" t="str">
        <f aca="false">VLOOKUP(R759,Sheet2!N:O,2,0)</f>
        <v>IREPARABLE</v>
      </c>
      <c r="T759" s="18" t="str">
        <f aca="false">VLOOKUP(P759,Sheet2!Q:R,2,0)</f>
        <v>IR Normal - BER to IR</v>
      </c>
      <c r="U759" s="20" t="s">
        <v>135</v>
      </c>
      <c r="V759" s="17" t="n">
        <v>12</v>
      </c>
      <c r="W759" s="20" t="str">
        <f aca="false">VLOOKUP(V759,Sheet2!Q:R,2,0)</f>
        <v>IR Normal - BER to IR</v>
      </c>
      <c r="X759" s="17" t="str">
        <f aca="false">J759</f>
        <v>A018</v>
      </c>
      <c r="Y759" s="17" t="str">
        <f aca="false">VLOOKUP(X759,Sheet2!A:B,2,0)</f>
        <v>PRAKASH CHAVDA</v>
      </c>
      <c r="Z759" s="17" t="s">
        <v>136</v>
      </c>
      <c r="AA759" s="17" t="s">
        <v>435</v>
      </c>
      <c r="AB759" s="17" t="s">
        <v>41</v>
      </c>
      <c r="AC759" s="0" t="str">
        <f aca="false">LEFT(G759,2)</f>
        <v>77</v>
      </c>
      <c r="AD759" s="0"/>
      <c r="AE759" s="21" t="s">
        <v>42</v>
      </c>
    </row>
    <row r="760" customFormat="false" ht="15" hidden="false" customHeight="false" outlineLevel="0" collapsed="false">
      <c r="A760" s="13" t="n">
        <f aca="false">1+A759</f>
        <v>758</v>
      </c>
      <c r="B760" s="17" t="n">
        <v>1009666598</v>
      </c>
      <c r="C760" s="17" t="s">
        <v>436</v>
      </c>
      <c r="D760" s="17" t="s">
        <v>88</v>
      </c>
      <c r="E760" s="17" t="s">
        <v>47</v>
      </c>
      <c r="F760" s="18" t="s">
        <v>34</v>
      </c>
      <c r="G760" s="19" t="n">
        <v>774324084037</v>
      </c>
      <c r="H760" s="17" t="s">
        <v>134</v>
      </c>
      <c r="I760" s="17" t="s">
        <v>69</v>
      </c>
      <c r="J760" s="17" t="s">
        <v>106</v>
      </c>
      <c r="K760" s="17" t="str">
        <f aca="false">VLOOKUP(J760,Sheet2!A:B,2,0)</f>
        <v>PRAKASH CHAVDA</v>
      </c>
      <c r="L760" s="17" t="n">
        <v>5</v>
      </c>
      <c r="M760" s="17" t="str">
        <f aca="false">VLOOKUP(L760,Sheet2!D:E,2,0)</f>
        <v>Main Processor CPU BGA</v>
      </c>
      <c r="N760" s="17" t="n">
        <v>1</v>
      </c>
      <c r="O760" s="17" t="str">
        <f aca="false">VLOOKUP(N760,Sheet2!G:H,2,0)</f>
        <v>Dead</v>
      </c>
      <c r="P760" s="17" t="n">
        <v>12</v>
      </c>
      <c r="Q760" s="17" t="str">
        <f aca="false">VLOOKUP(P760,Sheet2!J:K,2,0)</f>
        <v>IR Declared due to Others ( IR Normal)TB</v>
      </c>
      <c r="R760" s="17" t="s">
        <v>35</v>
      </c>
      <c r="S760" s="17" t="str">
        <f aca="false">VLOOKUP(R760,Sheet2!N:O,2,0)</f>
        <v>IREPARABLE</v>
      </c>
      <c r="T760" s="18" t="str">
        <f aca="false">VLOOKUP(P760,Sheet2!Q:R,2,0)</f>
        <v>IR Normal - BER to IR</v>
      </c>
      <c r="U760" s="20" t="s">
        <v>135</v>
      </c>
      <c r="V760" s="17" t="n">
        <v>12</v>
      </c>
      <c r="W760" s="20" t="str">
        <f aca="false">VLOOKUP(V760,Sheet2!Q:R,2,0)</f>
        <v>IR Normal - BER to IR</v>
      </c>
      <c r="X760" s="17" t="str">
        <f aca="false">J760</f>
        <v>A018</v>
      </c>
      <c r="Y760" s="17" t="str">
        <f aca="false">VLOOKUP(X760,Sheet2!A:B,2,0)</f>
        <v>PRAKASH CHAVDA</v>
      </c>
      <c r="Z760" s="17" t="s">
        <v>136</v>
      </c>
      <c r="AA760" s="17" t="s">
        <v>435</v>
      </c>
      <c r="AB760" s="17" t="s">
        <v>41</v>
      </c>
      <c r="AC760" s="0" t="str">
        <f aca="false">LEFT(G760,2)</f>
        <v>77</v>
      </c>
      <c r="AD760" s="0"/>
      <c r="AE760" s="21" t="s">
        <v>42</v>
      </c>
    </row>
    <row r="761" customFormat="false" ht="15" hidden="false" customHeight="false" outlineLevel="0" collapsed="false">
      <c r="A761" s="13" t="n">
        <f aca="false">1+A760</f>
        <v>759</v>
      </c>
      <c r="B761" s="17" t="n">
        <v>1009302487</v>
      </c>
      <c r="C761" s="17" t="s">
        <v>45</v>
      </c>
      <c r="D761" s="17" t="s">
        <v>195</v>
      </c>
      <c r="E761" s="17" t="s">
        <v>64</v>
      </c>
      <c r="F761" s="18" t="s">
        <v>70</v>
      </c>
      <c r="G761" s="19" t="n">
        <v>775265057007</v>
      </c>
      <c r="H761" s="17" t="s">
        <v>134</v>
      </c>
      <c r="I761" s="17" t="s">
        <v>69</v>
      </c>
      <c r="J761" s="17" t="s">
        <v>106</v>
      </c>
      <c r="K761" s="17" t="str">
        <f aca="false">VLOOKUP(J761,Sheet2!A:B,2,0)</f>
        <v>PRAKASH CHAVDA</v>
      </c>
      <c r="L761" s="17" t="n">
        <v>5</v>
      </c>
      <c r="M761" s="17" t="str">
        <f aca="false">VLOOKUP(L761,Sheet2!D:E,2,0)</f>
        <v>Main Processor CPU BGA</v>
      </c>
      <c r="N761" s="17" t="n">
        <v>1</v>
      </c>
      <c r="O761" s="17" t="str">
        <f aca="false">VLOOKUP(N761,Sheet2!G:H,2,0)</f>
        <v>Dead</v>
      </c>
      <c r="P761" s="17" t="n">
        <v>12</v>
      </c>
      <c r="Q761" s="17" t="str">
        <f aca="false">VLOOKUP(P761,Sheet2!J:K,2,0)</f>
        <v>IR Declared due to Others ( IR Normal)TB</v>
      </c>
      <c r="R761" s="17" t="s">
        <v>35</v>
      </c>
      <c r="S761" s="17" t="str">
        <f aca="false">VLOOKUP(R761,Sheet2!N:O,2,0)</f>
        <v>IREPARABLE</v>
      </c>
      <c r="T761" s="18" t="str">
        <f aca="false">VLOOKUP(P761,Sheet2!Q:R,2,0)</f>
        <v>IR Normal - BER to IR</v>
      </c>
      <c r="U761" s="20" t="s">
        <v>135</v>
      </c>
      <c r="V761" s="17" t="n">
        <v>12</v>
      </c>
      <c r="W761" s="20" t="str">
        <f aca="false">VLOOKUP(V761,Sheet2!Q:R,2,0)</f>
        <v>IR Normal - BER to IR</v>
      </c>
      <c r="X761" s="17" t="str">
        <f aca="false">J761</f>
        <v>A018</v>
      </c>
      <c r="Y761" s="17" t="str">
        <f aca="false">VLOOKUP(X761,Sheet2!A:B,2,0)</f>
        <v>PRAKASH CHAVDA</v>
      </c>
      <c r="Z761" s="17" t="s">
        <v>136</v>
      </c>
      <c r="AA761" s="17" t="s">
        <v>435</v>
      </c>
      <c r="AB761" s="17" t="s">
        <v>41</v>
      </c>
      <c r="AC761" s="0" t="str">
        <f aca="false">LEFT(G761,2)</f>
        <v>77</v>
      </c>
      <c r="AD761" s="0"/>
      <c r="AE761" s="21" t="s">
        <v>42</v>
      </c>
    </row>
    <row r="762" customFormat="false" ht="15" hidden="false" customHeight="false" outlineLevel="0" collapsed="false">
      <c r="A762" s="13" t="n">
        <f aca="false">1+A761</f>
        <v>760</v>
      </c>
      <c r="B762" s="17" t="n">
        <v>1009646435</v>
      </c>
      <c r="C762" s="17" t="s">
        <v>204</v>
      </c>
      <c r="D762" s="17" t="s">
        <v>64</v>
      </c>
      <c r="E762" s="17" t="s">
        <v>33</v>
      </c>
      <c r="F762" s="18" t="s">
        <v>34</v>
      </c>
      <c r="G762" s="19" t="n">
        <v>775084102158</v>
      </c>
      <c r="H762" s="17" t="s">
        <v>134</v>
      </c>
      <c r="I762" s="17" t="s">
        <v>69</v>
      </c>
      <c r="J762" s="17" t="s">
        <v>106</v>
      </c>
      <c r="K762" s="17" t="str">
        <f aca="false">VLOOKUP(J762,Sheet2!A:B,2,0)</f>
        <v>PRAKASH CHAVDA</v>
      </c>
      <c r="L762" s="17" t="n">
        <v>5</v>
      </c>
      <c r="M762" s="17" t="str">
        <f aca="false">VLOOKUP(L762,Sheet2!D:E,2,0)</f>
        <v>Main Processor CPU BGA</v>
      </c>
      <c r="N762" s="17" t="n">
        <v>1</v>
      </c>
      <c r="O762" s="17" t="str">
        <f aca="false">VLOOKUP(N762,Sheet2!G:H,2,0)</f>
        <v>Dead</v>
      </c>
      <c r="P762" s="17" t="n">
        <v>12</v>
      </c>
      <c r="Q762" s="17" t="str">
        <f aca="false">VLOOKUP(P762,Sheet2!J:K,2,0)</f>
        <v>IR Declared due to Others ( IR Normal)TB</v>
      </c>
      <c r="R762" s="17" t="s">
        <v>35</v>
      </c>
      <c r="S762" s="17" t="str">
        <f aca="false">VLOOKUP(R762,Sheet2!N:O,2,0)</f>
        <v>IREPARABLE</v>
      </c>
      <c r="T762" s="18" t="str">
        <f aca="false">VLOOKUP(P762,Sheet2!Q:R,2,0)</f>
        <v>IR Normal - BER to IR</v>
      </c>
      <c r="U762" s="20" t="s">
        <v>135</v>
      </c>
      <c r="V762" s="17" t="n">
        <v>12</v>
      </c>
      <c r="W762" s="20" t="str">
        <f aca="false">VLOOKUP(V762,Sheet2!Q:R,2,0)</f>
        <v>IR Normal - BER to IR</v>
      </c>
      <c r="X762" s="17" t="str">
        <f aca="false">J762</f>
        <v>A018</v>
      </c>
      <c r="Y762" s="17" t="str">
        <f aca="false">VLOOKUP(X762,Sheet2!A:B,2,0)</f>
        <v>PRAKASH CHAVDA</v>
      </c>
      <c r="Z762" s="17" t="s">
        <v>136</v>
      </c>
      <c r="AA762" s="17" t="s">
        <v>435</v>
      </c>
      <c r="AB762" s="17" t="s">
        <v>41</v>
      </c>
      <c r="AC762" s="0" t="str">
        <f aca="false">LEFT(G762,2)</f>
        <v>77</v>
      </c>
      <c r="AD762" s="0"/>
      <c r="AE762" s="21" t="s">
        <v>42</v>
      </c>
    </row>
    <row r="763" customFormat="false" ht="15" hidden="false" customHeight="false" outlineLevel="0" collapsed="false">
      <c r="A763" s="13" t="n">
        <f aca="false">1+A762</f>
        <v>761</v>
      </c>
      <c r="B763" s="17" t="n">
        <v>1009642962</v>
      </c>
      <c r="C763" s="17" t="s">
        <v>429</v>
      </c>
      <c r="D763" s="17" t="s">
        <v>175</v>
      </c>
      <c r="E763" s="17" t="s">
        <v>176</v>
      </c>
      <c r="F763" s="18" t="s">
        <v>34</v>
      </c>
      <c r="G763" s="19" t="n">
        <v>774338047376</v>
      </c>
      <c r="H763" s="17" t="s">
        <v>134</v>
      </c>
      <c r="I763" s="17" t="s">
        <v>69</v>
      </c>
      <c r="J763" s="17" t="s">
        <v>106</v>
      </c>
      <c r="K763" s="17" t="str">
        <f aca="false">VLOOKUP(J763,Sheet2!A:B,2,0)</f>
        <v>PRAKASH CHAVDA</v>
      </c>
      <c r="L763" s="17" t="n">
        <v>5</v>
      </c>
      <c r="M763" s="17" t="str">
        <f aca="false">VLOOKUP(L763,Sheet2!D:E,2,0)</f>
        <v>Main Processor CPU BGA</v>
      </c>
      <c r="N763" s="17" t="n">
        <v>1</v>
      </c>
      <c r="O763" s="17" t="str">
        <f aca="false">VLOOKUP(N763,Sheet2!G:H,2,0)</f>
        <v>Dead</v>
      </c>
      <c r="P763" s="17" t="n">
        <v>12</v>
      </c>
      <c r="Q763" s="17" t="str">
        <f aca="false">VLOOKUP(P763,Sheet2!J:K,2,0)</f>
        <v>IR Declared due to Others ( IR Normal)TB</v>
      </c>
      <c r="R763" s="17" t="s">
        <v>35</v>
      </c>
      <c r="S763" s="17" t="str">
        <f aca="false">VLOOKUP(R763,Sheet2!N:O,2,0)</f>
        <v>IREPARABLE</v>
      </c>
      <c r="T763" s="18" t="str">
        <f aca="false">VLOOKUP(P763,Sheet2!Q:R,2,0)</f>
        <v>IR Normal - BER to IR</v>
      </c>
      <c r="U763" s="20" t="s">
        <v>135</v>
      </c>
      <c r="V763" s="17" t="n">
        <v>12</v>
      </c>
      <c r="W763" s="20" t="str">
        <f aca="false">VLOOKUP(V763,Sheet2!Q:R,2,0)</f>
        <v>IR Normal - BER to IR</v>
      </c>
      <c r="X763" s="17" t="str">
        <f aca="false">J763</f>
        <v>A018</v>
      </c>
      <c r="Y763" s="17" t="str">
        <f aca="false">VLOOKUP(X763,Sheet2!A:B,2,0)</f>
        <v>PRAKASH CHAVDA</v>
      </c>
      <c r="Z763" s="17" t="s">
        <v>136</v>
      </c>
      <c r="AA763" s="17" t="s">
        <v>435</v>
      </c>
      <c r="AB763" s="17" t="s">
        <v>41</v>
      </c>
      <c r="AC763" s="0" t="str">
        <f aca="false">LEFT(G763,2)</f>
        <v>77</v>
      </c>
      <c r="AD763" s="0"/>
      <c r="AE763" s="21" t="s">
        <v>42</v>
      </c>
    </row>
    <row r="764" customFormat="false" ht="15" hidden="false" customHeight="false" outlineLevel="0" collapsed="false">
      <c r="A764" s="13" t="n">
        <f aca="false">1+A763</f>
        <v>762</v>
      </c>
      <c r="B764" s="17" t="n">
        <v>1009361268</v>
      </c>
      <c r="C764" s="17" t="s">
        <v>442</v>
      </c>
      <c r="D764" s="17" t="s">
        <v>60</v>
      </c>
      <c r="E764" s="17" t="s">
        <v>33</v>
      </c>
      <c r="F764" s="18" t="s">
        <v>34</v>
      </c>
      <c r="G764" s="19" t="n">
        <v>775242091723</v>
      </c>
      <c r="H764" s="17" t="s">
        <v>134</v>
      </c>
      <c r="I764" s="17" t="s">
        <v>69</v>
      </c>
      <c r="J764" s="17" t="s">
        <v>106</v>
      </c>
      <c r="K764" s="17" t="str">
        <f aca="false">VLOOKUP(J764,Sheet2!A:B,2,0)</f>
        <v>PRAKASH CHAVDA</v>
      </c>
      <c r="L764" s="17" t="n">
        <v>5</v>
      </c>
      <c r="M764" s="17" t="str">
        <f aca="false">VLOOKUP(L764,Sheet2!D:E,2,0)</f>
        <v>Main Processor CPU BGA</v>
      </c>
      <c r="N764" s="17" t="n">
        <v>33</v>
      </c>
      <c r="O764" s="17" t="str">
        <f aca="false">VLOOKUP(N764,Sheet2!G:H,2,0)</f>
        <v>Software download failure</v>
      </c>
      <c r="P764" s="17" t="n">
        <v>12</v>
      </c>
      <c r="Q764" s="17" t="str">
        <f aca="false">VLOOKUP(P764,Sheet2!J:K,2,0)</f>
        <v>IR Declared due to Others ( IR Normal)TB</v>
      </c>
      <c r="R764" s="17" t="s">
        <v>35</v>
      </c>
      <c r="S764" s="17" t="str">
        <f aca="false">VLOOKUP(R764,Sheet2!N:O,2,0)</f>
        <v>IREPARABLE</v>
      </c>
      <c r="T764" s="18" t="str">
        <f aca="false">VLOOKUP(P764,Sheet2!Q:R,2,0)</f>
        <v>IR Normal - BER to IR</v>
      </c>
      <c r="U764" s="20" t="s">
        <v>135</v>
      </c>
      <c r="V764" s="17" t="n">
        <v>12</v>
      </c>
      <c r="W764" s="20" t="str">
        <f aca="false">VLOOKUP(V764,Sheet2!Q:R,2,0)</f>
        <v>IR Normal - BER to IR</v>
      </c>
      <c r="X764" s="17" t="str">
        <f aca="false">J764</f>
        <v>A018</v>
      </c>
      <c r="Y764" s="17" t="str">
        <f aca="false">VLOOKUP(X764,Sheet2!A:B,2,0)</f>
        <v>PRAKASH CHAVDA</v>
      </c>
      <c r="Z764" s="17" t="s">
        <v>136</v>
      </c>
      <c r="AA764" s="17" t="s">
        <v>435</v>
      </c>
      <c r="AB764" s="17" t="s">
        <v>41</v>
      </c>
      <c r="AC764" s="0" t="str">
        <f aca="false">LEFT(G764,2)</f>
        <v>77</v>
      </c>
      <c r="AD764" s="0"/>
      <c r="AE764" s="21" t="s">
        <v>42</v>
      </c>
    </row>
    <row r="765" customFormat="false" ht="15" hidden="false" customHeight="false" outlineLevel="0" collapsed="false">
      <c r="A765" s="13" t="n">
        <f aca="false">1+A764</f>
        <v>763</v>
      </c>
      <c r="B765" s="17" t="n">
        <v>1009145186</v>
      </c>
      <c r="C765" s="17" t="s">
        <v>443</v>
      </c>
      <c r="D765" s="17" t="s">
        <v>142</v>
      </c>
      <c r="E765" s="17" t="s">
        <v>64</v>
      </c>
      <c r="F765" s="18" t="s">
        <v>70</v>
      </c>
      <c r="G765" s="19" t="n">
        <v>775079016447</v>
      </c>
      <c r="H765" s="17" t="s">
        <v>134</v>
      </c>
      <c r="I765" s="17" t="s">
        <v>69</v>
      </c>
      <c r="J765" s="17" t="s">
        <v>106</v>
      </c>
      <c r="K765" s="17" t="str">
        <f aca="false">VLOOKUP(J765,Sheet2!A:B,2,0)</f>
        <v>PRAKASH CHAVDA</v>
      </c>
      <c r="L765" s="17" t="n">
        <v>5</v>
      </c>
      <c r="M765" s="17" t="str">
        <f aca="false">VLOOKUP(L765,Sheet2!D:E,2,0)</f>
        <v>Main Processor CPU BGA</v>
      </c>
      <c r="N765" s="17" t="n">
        <v>24</v>
      </c>
      <c r="O765" s="17" t="str">
        <f aca="false">VLOOKUP(N765,Sheet2!G:H,2,0)</f>
        <v>STB Auto moving -Stand by mode</v>
      </c>
      <c r="P765" s="17" t="n">
        <v>12</v>
      </c>
      <c r="Q765" s="17" t="str">
        <f aca="false">VLOOKUP(P765,Sheet2!J:K,2,0)</f>
        <v>IR Declared due to Others ( IR Normal)TB</v>
      </c>
      <c r="R765" s="17" t="s">
        <v>35</v>
      </c>
      <c r="S765" s="17" t="str">
        <f aca="false">VLOOKUP(R765,Sheet2!N:O,2,0)</f>
        <v>IREPARABLE</v>
      </c>
      <c r="T765" s="18" t="str">
        <f aca="false">VLOOKUP(P765,Sheet2!Q:R,2,0)</f>
        <v>IR Normal - BER to IR</v>
      </c>
      <c r="U765" s="20" t="s">
        <v>135</v>
      </c>
      <c r="V765" s="17" t="n">
        <v>12</v>
      </c>
      <c r="W765" s="20" t="str">
        <f aca="false">VLOOKUP(V765,Sheet2!Q:R,2,0)</f>
        <v>IR Normal - BER to IR</v>
      </c>
      <c r="X765" s="17" t="str">
        <f aca="false">J765</f>
        <v>A018</v>
      </c>
      <c r="Y765" s="17" t="str">
        <f aca="false">VLOOKUP(X765,Sheet2!A:B,2,0)</f>
        <v>PRAKASH CHAVDA</v>
      </c>
      <c r="Z765" s="17" t="s">
        <v>136</v>
      </c>
      <c r="AA765" s="17" t="s">
        <v>435</v>
      </c>
      <c r="AB765" s="17" t="s">
        <v>41</v>
      </c>
      <c r="AC765" s="0" t="str">
        <f aca="false">LEFT(G765,2)</f>
        <v>77</v>
      </c>
      <c r="AD765" s="0"/>
      <c r="AE765" s="21" t="s">
        <v>42</v>
      </c>
    </row>
    <row r="766" customFormat="false" ht="15" hidden="false" customHeight="false" outlineLevel="0" collapsed="false">
      <c r="A766" s="13" t="n">
        <f aca="false">1+A765</f>
        <v>764</v>
      </c>
      <c r="B766" s="17" t="n">
        <v>1009502900</v>
      </c>
      <c r="C766" s="17" t="s">
        <v>192</v>
      </c>
      <c r="D766" s="17" t="s">
        <v>64</v>
      </c>
      <c r="E766" s="17" t="s">
        <v>47</v>
      </c>
      <c r="F766" s="18" t="s">
        <v>34</v>
      </c>
      <c r="G766" s="19" t="n">
        <v>775307140225</v>
      </c>
      <c r="H766" s="17" t="s">
        <v>134</v>
      </c>
      <c r="I766" s="17" t="s">
        <v>69</v>
      </c>
      <c r="J766" s="17" t="s">
        <v>106</v>
      </c>
      <c r="K766" s="17" t="str">
        <f aca="false">VLOOKUP(J766,Sheet2!A:B,2,0)</f>
        <v>PRAKASH CHAVDA</v>
      </c>
      <c r="L766" s="17" t="n">
        <v>5</v>
      </c>
      <c r="M766" s="17" t="str">
        <f aca="false">VLOOKUP(L766,Sheet2!D:E,2,0)</f>
        <v>Main Processor CPU BGA</v>
      </c>
      <c r="N766" s="17" t="n">
        <v>33</v>
      </c>
      <c r="O766" s="17" t="str">
        <f aca="false">VLOOKUP(N766,Sheet2!G:H,2,0)</f>
        <v>Software download failure</v>
      </c>
      <c r="P766" s="17" t="n">
        <v>12</v>
      </c>
      <c r="Q766" s="17" t="str">
        <f aca="false">VLOOKUP(P766,Sheet2!J:K,2,0)</f>
        <v>IR Declared due to Others ( IR Normal)TB</v>
      </c>
      <c r="R766" s="17" t="s">
        <v>35</v>
      </c>
      <c r="S766" s="17" t="str">
        <f aca="false">VLOOKUP(R766,Sheet2!N:O,2,0)</f>
        <v>IREPARABLE</v>
      </c>
      <c r="T766" s="18" t="str">
        <f aca="false">VLOOKUP(P766,Sheet2!Q:R,2,0)</f>
        <v>IR Normal - BER to IR</v>
      </c>
      <c r="U766" s="20" t="s">
        <v>135</v>
      </c>
      <c r="V766" s="17" t="n">
        <v>12</v>
      </c>
      <c r="W766" s="20" t="str">
        <f aca="false">VLOOKUP(V766,Sheet2!Q:R,2,0)</f>
        <v>IR Normal - BER to IR</v>
      </c>
      <c r="X766" s="17" t="str">
        <f aca="false">J766</f>
        <v>A018</v>
      </c>
      <c r="Y766" s="17" t="str">
        <f aca="false">VLOOKUP(X766,Sheet2!A:B,2,0)</f>
        <v>PRAKASH CHAVDA</v>
      </c>
      <c r="Z766" s="17" t="s">
        <v>136</v>
      </c>
      <c r="AA766" s="17" t="s">
        <v>435</v>
      </c>
      <c r="AB766" s="17" t="s">
        <v>41</v>
      </c>
      <c r="AC766" s="0" t="str">
        <f aca="false">LEFT(G766,2)</f>
        <v>77</v>
      </c>
      <c r="AD766" s="0"/>
      <c r="AE766" s="21" t="s">
        <v>42</v>
      </c>
    </row>
    <row r="767" customFormat="false" ht="15" hidden="false" customHeight="false" outlineLevel="0" collapsed="false">
      <c r="A767" s="13" t="n">
        <f aca="false">1+A766</f>
        <v>765</v>
      </c>
      <c r="B767" s="17" t="n">
        <v>1009664102</v>
      </c>
      <c r="C767" s="17" t="s">
        <v>433</v>
      </c>
      <c r="D767" s="17" t="s">
        <v>78</v>
      </c>
      <c r="E767" s="17" t="s">
        <v>47</v>
      </c>
      <c r="F767" s="18" t="s">
        <v>34</v>
      </c>
      <c r="G767" s="19" t="n">
        <v>651069028041</v>
      </c>
      <c r="H767" s="17" t="s">
        <v>134</v>
      </c>
      <c r="I767" s="17" t="s">
        <v>50</v>
      </c>
      <c r="J767" s="17" t="s">
        <v>106</v>
      </c>
      <c r="K767" s="17" t="str">
        <f aca="false">VLOOKUP(J767,Sheet2!A:B,2,0)</f>
        <v>PRAKASH CHAVDA</v>
      </c>
      <c r="L767" s="17" t="n">
        <v>5</v>
      </c>
      <c r="M767" s="17" t="str">
        <f aca="false">VLOOKUP(L767,Sheet2!D:E,2,0)</f>
        <v>Main Processor CPU BGA</v>
      </c>
      <c r="N767" s="17" t="n">
        <v>1</v>
      </c>
      <c r="O767" s="17" t="str">
        <f aca="false">VLOOKUP(N767,Sheet2!G:H,2,0)</f>
        <v>Dead</v>
      </c>
      <c r="P767" s="17" t="n">
        <v>12</v>
      </c>
      <c r="Q767" s="17" t="str">
        <f aca="false">VLOOKUP(P767,Sheet2!J:K,2,0)</f>
        <v>IR Declared due to Others ( IR Normal)TB</v>
      </c>
      <c r="R767" s="17" t="s">
        <v>35</v>
      </c>
      <c r="S767" s="17" t="str">
        <f aca="false">VLOOKUP(R767,Sheet2!N:O,2,0)</f>
        <v>IREPARABLE</v>
      </c>
      <c r="T767" s="18" t="str">
        <f aca="false">VLOOKUP(P767,Sheet2!Q:R,2,0)</f>
        <v>IR Normal - BER to IR</v>
      </c>
      <c r="U767" s="20" t="s">
        <v>135</v>
      </c>
      <c r="V767" s="17" t="n">
        <v>12</v>
      </c>
      <c r="W767" s="20" t="str">
        <f aca="false">VLOOKUP(V767,Sheet2!Q:R,2,0)</f>
        <v>IR Normal - BER to IR</v>
      </c>
      <c r="X767" s="17" t="str">
        <f aca="false">J767</f>
        <v>A018</v>
      </c>
      <c r="Y767" s="17" t="str">
        <f aca="false">VLOOKUP(X767,Sheet2!A:B,2,0)</f>
        <v>PRAKASH CHAVDA</v>
      </c>
      <c r="Z767" s="17" t="s">
        <v>149</v>
      </c>
      <c r="AA767" s="17" t="s">
        <v>435</v>
      </c>
      <c r="AB767" s="17" t="s">
        <v>41</v>
      </c>
      <c r="AC767" s="0" t="str">
        <f aca="false">LEFT(G767,2)</f>
        <v>65</v>
      </c>
      <c r="AD767" s="0"/>
      <c r="AE767" s="21" t="s">
        <v>42</v>
      </c>
    </row>
    <row r="768" customFormat="false" ht="15" hidden="false" customHeight="false" outlineLevel="0" collapsed="false">
      <c r="A768" s="13" t="n">
        <f aca="false">1+A767</f>
        <v>766</v>
      </c>
      <c r="B768" s="17" t="n">
        <v>1009664106</v>
      </c>
      <c r="C768" s="17" t="s">
        <v>433</v>
      </c>
      <c r="D768" s="17" t="s">
        <v>209</v>
      </c>
      <c r="E768" s="17" t="s">
        <v>114</v>
      </c>
      <c r="F768" s="18" t="s">
        <v>34</v>
      </c>
      <c r="G768" s="19" t="n">
        <v>651090006636</v>
      </c>
      <c r="H768" s="17" t="s">
        <v>134</v>
      </c>
      <c r="I768" s="17" t="s">
        <v>50</v>
      </c>
      <c r="J768" s="17" t="s">
        <v>106</v>
      </c>
      <c r="K768" s="17" t="str">
        <f aca="false">VLOOKUP(J768,Sheet2!A:B,2,0)</f>
        <v>PRAKASH CHAVDA</v>
      </c>
      <c r="L768" s="17" t="n">
        <v>5</v>
      </c>
      <c r="M768" s="17" t="str">
        <f aca="false">VLOOKUP(L768,Sheet2!D:E,2,0)</f>
        <v>Main Processor CPU BGA</v>
      </c>
      <c r="N768" s="17" t="n">
        <v>1</v>
      </c>
      <c r="O768" s="17" t="str">
        <f aca="false">VLOOKUP(N768,Sheet2!G:H,2,0)</f>
        <v>Dead</v>
      </c>
      <c r="P768" s="17" t="n">
        <v>12</v>
      </c>
      <c r="Q768" s="17" t="str">
        <f aca="false">VLOOKUP(P768,Sheet2!J:K,2,0)</f>
        <v>IR Declared due to Others ( IR Normal)TB</v>
      </c>
      <c r="R768" s="17" t="s">
        <v>35</v>
      </c>
      <c r="S768" s="17" t="str">
        <f aca="false">VLOOKUP(R768,Sheet2!N:O,2,0)</f>
        <v>IREPARABLE</v>
      </c>
      <c r="T768" s="18" t="str">
        <f aca="false">VLOOKUP(P768,Sheet2!Q:R,2,0)</f>
        <v>IR Normal - BER to IR</v>
      </c>
      <c r="U768" s="20" t="s">
        <v>135</v>
      </c>
      <c r="V768" s="17" t="n">
        <v>12</v>
      </c>
      <c r="W768" s="20" t="str">
        <f aca="false">VLOOKUP(V768,Sheet2!Q:R,2,0)</f>
        <v>IR Normal - BER to IR</v>
      </c>
      <c r="X768" s="17" t="str">
        <f aca="false">J768</f>
        <v>A018</v>
      </c>
      <c r="Y768" s="17" t="str">
        <f aca="false">VLOOKUP(X768,Sheet2!A:B,2,0)</f>
        <v>PRAKASH CHAVDA</v>
      </c>
      <c r="Z768" s="17" t="s">
        <v>149</v>
      </c>
      <c r="AA768" s="17" t="s">
        <v>435</v>
      </c>
      <c r="AB768" s="17" t="s">
        <v>41</v>
      </c>
      <c r="AC768" s="0" t="str">
        <f aca="false">LEFT(G768,2)</f>
        <v>65</v>
      </c>
      <c r="AD768" s="0"/>
      <c r="AE768" s="21" t="s">
        <v>42</v>
      </c>
    </row>
    <row r="769" customFormat="false" ht="15" hidden="false" customHeight="false" outlineLevel="0" collapsed="false">
      <c r="A769" s="13" t="n">
        <f aca="false">1+A768</f>
        <v>767</v>
      </c>
      <c r="B769" s="17" t="n">
        <v>1009628241</v>
      </c>
      <c r="C769" s="17" t="s">
        <v>229</v>
      </c>
      <c r="D769" s="17" t="s">
        <v>64</v>
      </c>
      <c r="E769" s="17" t="s">
        <v>64</v>
      </c>
      <c r="F769" s="18" t="s">
        <v>70</v>
      </c>
      <c r="G769" s="19" t="n">
        <v>651169013083</v>
      </c>
      <c r="H769" s="17" t="s">
        <v>134</v>
      </c>
      <c r="I769" s="17" t="s">
        <v>50</v>
      </c>
      <c r="J769" s="17" t="s">
        <v>106</v>
      </c>
      <c r="K769" s="17" t="str">
        <f aca="false">VLOOKUP(J769,Sheet2!A:B,2,0)</f>
        <v>PRAKASH CHAVDA</v>
      </c>
      <c r="L769" s="17" t="n">
        <v>5</v>
      </c>
      <c r="M769" s="17" t="str">
        <f aca="false">VLOOKUP(L769,Sheet2!D:E,2,0)</f>
        <v>Main Processor CPU BGA</v>
      </c>
      <c r="N769" s="17" t="n">
        <v>1</v>
      </c>
      <c r="O769" s="17" t="str">
        <f aca="false">VLOOKUP(N769,Sheet2!G:H,2,0)</f>
        <v>Dead</v>
      </c>
      <c r="P769" s="17" t="n">
        <v>12</v>
      </c>
      <c r="Q769" s="17" t="str">
        <f aca="false">VLOOKUP(P769,Sheet2!J:K,2,0)</f>
        <v>IR Declared due to Others ( IR Normal)TB</v>
      </c>
      <c r="R769" s="17" t="s">
        <v>35</v>
      </c>
      <c r="S769" s="17" t="str">
        <f aca="false">VLOOKUP(R769,Sheet2!N:O,2,0)</f>
        <v>IREPARABLE</v>
      </c>
      <c r="T769" s="18" t="str">
        <f aca="false">VLOOKUP(P769,Sheet2!Q:R,2,0)</f>
        <v>IR Normal - BER to IR</v>
      </c>
      <c r="U769" s="20" t="s">
        <v>135</v>
      </c>
      <c r="V769" s="17" t="n">
        <v>12</v>
      </c>
      <c r="W769" s="20" t="str">
        <f aca="false">VLOOKUP(V769,Sheet2!Q:R,2,0)</f>
        <v>IR Normal - BER to IR</v>
      </c>
      <c r="X769" s="17" t="str">
        <f aca="false">J769</f>
        <v>A018</v>
      </c>
      <c r="Y769" s="17" t="str">
        <f aca="false">VLOOKUP(X769,Sheet2!A:B,2,0)</f>
        <v>PRAKASH CHAVDA</v>
      </c>
      <c r="Z769" s="17" t="s">
        <v>149</v>
      </c>
      <c r="AA769" s="17" t="s">
        <v>435</v>
      </c>
      <c r="AB769" s="17" t="s">
        <v>41</v>
      </c>
      <c r="AC769" s="0" t="str">
        <f aca="false">LEFT(G769,2)</f>
        <v>65</v>
      </c>
      <c r="AD769" s="0"/>
      <c r="AE769" s="21" t="s">
        <v>42</v>
      </c>
    </row>
    <row r="770" customFormat="false" ht="15" hidden="false" customHeight="false" outlineLevel="0" collapsed="false">
      <c r="A770" s="13" t="n">
        <f aca="false">1+A769</f>
        <v>768</v>
      </c>
      <c r="B770" s="17" t="n">
        <v>1009628607</v>
      </c>
      <c r="C770" s="17" t="s">
        <v>229</v>
      </c>
      <c r="D770" s="17" t="s">
        <v>64</v>
      </c>
      <c r="E770" s="17" t="s">
        <v>47</v>
      </c>
      <c r="F770" s="18" t="s">
        <v>34</v>
      </c>
      <c r="G770" s="19" t="n">
        <v>651155018500</v>
      </c>
      <c r="H770" s="17" t="s">
        <v>134</v>
      </c>
      <c r="I770" s="17" t="s">
        <v>50</v>
      </c>
      <c r="J770" s="17" t="s">
        <v>106</v>
      </c>
      <c r="K770" s="17" t="str">
        <f aca="false">VLOOKUP(J770,Sheet2!A:B,2,0)</f>
        <v>PRAKASH CHAVDA</v>
      </c>
      <c r="L770" s="17" t="n">
        <v>5</v>
      </c>
      <c r="M770" s="17" t="str">
        <f aca="false">VLOOKUP(L770,Sheet2!D:E,2,0)</f>
        <v>Main Processor CPU BGA</v>
      </c>
      <c r="N770" s="17" t="n">
        <v>1</v>
      </c>
      <c r="O770" s="17" t="str">
        <f aca="false">VLOOKUP(N770,Sheet2!G:H,2,0)</f>
        <v>Dead</v>
      </c>
      <c r="P770" s="17" t="n">
        <v>12</v>
      </c>
      <c r="Q770" s="17" t="str">
        <f aca="false">VLOOKUP(P770,Sheet2!J:K,2,0)</f>
        <v>IR Declared due to Others ( IR Normal)TB</v>
      </c>
      <c r="R770" s="17" t="s">
        <v>35</v>
      </c>
      <c r="S770" s="17" t="str">
        <f aca="false">VLOOKUP(R770,Sheet2!N:O,2,0)</f>
        <v>IREPARABLE</v>
      </c>
      <c r="T770" s="18" t="str">
        <f aca="false">VLOOKUP(P770,Sheet2!Q:R,2,0)</f>
        <v>IR Normal - BER to IR</v>
      </c>
      <c r="U770" s="20" t="s">
        <v>135</v>
      </c>
      <c r="V770" s="17" t="n">
        <v>12</v>
      </c>
      <c r="W770" s="20" t="str">
        <f aca="false">VLOOKUP(V770,Sheet2!Q:R,2,0)</f>
        <v>IR Normal - BER to IR</v>
      </c>
      <c r="X770" s="17" t="str">
        <f aca="false">J770</f>
        <v>A018</v>
      </c>
      <c r="Y770" s="17" t="str">
        <f aca="false">VLOOKUP(X770,Sheet2!A:B,2,0)</f>
        <v>PRAKASH CHAVDA</v>
      </c>
      <c r="Z770" s="17" t="s">
        <v>149</v>
      </c>
      <c r="AA770" s="17" t="s">
        <v>435</v>
      </c>
      <c r="AB770" s="17" t="s">
        <v>41</v>
      </c>
      <c r="AC770" s="0" t="str">
        <f aca="false">LEFT(G770,2)</f>
        <v>65</v>
      </c>
      <c r="AD770" s="0"/>
      <c r="AE770" s="21" t="s">
        <v>42</v>
      </c>
    </row>
    <row r="771" customFormat="false" ht="15" hidden="false" customHeight="false" outlineLevel="0" collapsed="false">
      <c r="A771" s="13" t="n">
        <f aca="false">1+A770</f>
        <v>769</v>
      </c>
      <c r="B771" s="17" t="n">
        <v>1009642170</v>
      </c>
      <c r="C771" s="17" t="s">
        <v>429</v>
      </c>
      <c r="D771" s="17" t="s">
        <v>64</v>
      </c>
      <c r="E771" s="17" t="s">
        <v>33</v>
      </c>
      <c r="F771" s="18" t="s">
        <v>34</v>
      </c>
      <c r="G771" s="19" t="n">
        <v>651299017715</v>
      </c>
      <c r="H771" s="17" t="s">
        <v>134</v>
      </c>
      <c r="I771" s="17" t="s">
        <v>50</v>
      </c>
      <c r="J771" s="17" t="s">
        <v>106</v>
      </c>
      <c r="K771" s="17" t="str">
        <f aca="false">VLOOKUP(J771,Sheet2!A:B,2,0)</f>
        <v>PRAKASH CHAVDA</v>
      </c>
      <c r="L771" s="17" t="n">
        <v>5</v>
      </c>
      <c r="M771" s="17" t="str">
        <f aca="false">VLOOKUP(L771,Sheet2!D:E,2,0)</f>
        <v>Main Processor CPU BGA</v>
      </c>
      <c r="N771" s="17" t="n">
        <v>1</v>
      </c>
      <c r="O771" s="17" t="str">
        <f aca="false">VLOOKUP(N771,Sheet2!G:H,2,0)</f>
        <v>Dead</v>
      </c>
      <c r="P771" s="17" t="n">
        <v>12</v>
      </c>
      <c r="Q771" s="17" t="str">
        <f aca="false">VLOOKUP(P771,Sheet2!J:K,2,0)</f>
        <v>IR Declared due to Others ( IR Normal)TB</v>
      </c>
      <c r="R771" s="17" t="s">
        <v>35</v>
      </c>
      <c r="S771" s="17" t="str">
        <f aca="false">VLOOKUP(R771,Sheet2!N:O,2,0)</f>
        <v>IREPARABLE</v>
      </c>
      <c r="T771" s="18" t="str">
        <f aca="false">VLOOKUP(P771,Sheet2!Q:R,2,0)</f>
        <v>IR Normal - BER to IR</v>
      </c>
      <c r="U771" s="20" t="s">
        <v>135</v>
      </c>
      <c r="V771" s="17" t="n">
        <v>12</v>
      </c>
      <c r="W771" s="20" t="str">
        <f aca="false">VLOOKUP(V771,Sheet2!Q:R,2,0)</f>
        <v>IR Normal - BER to IR</v>
      </c>
      <c r="X771" s="17" t="str">
        <f aca="false">J771</f>
        <v>A018</v>
      </c>
      <c r="Y771" s="17" t="str">
        <f aca="false">VLOOKUP(X771,Sheet2!A:B,2,0)</f>
        <v>PRAKASH CHAVDA</v>
      </c>
      <c r="Z771" s="17" t="s">
        <v>149</v>
      </c>
      <c r="AA771" s="17" t="s">
        <v>435</v>
      </c>
      <c r="AB771" s="17" t="s">
        <v>41</v>
      </c>
      <c r="AC771" s="0" t="str">
        <f aca="false">LEFT(G771,2)</f>
        <v>65</v>
      </c>
      <c r="AD771" s="0"/>
      <c r="AE771" s="21" t="s">
        <v>42</v>
      </c>
    </row>
    <row r="772" customFormat="false" ht="15" hidden="false" customHeight="false" outlineLevel="0" collapsed="false">
      <c r="A772" s="13" t="n">
        <f aca="false">1+A771</f>
        <v>770</v>
      </c>
      <c r="B772" s="17" t="n">
        <v>1009408699</v>
      </c>
      <c r="C772" s="17" t="s">
        <v>189</v>
      </c>
      <c r="D772" s="17" t="s">
        <v>64</v>
      </c>
      <c r="E772" s="17" t="s">
        <v>200</v>
      </c>
      <c r="F772" s="18" t="s">
        <v>34</v>
      </c>
      <c r="G772" s="19" t="n">
        <v>651048004790</v>
      </c>
      <c r="H772" s="17" t="s">
        <v>134</v>
      </c>
      <c r="I772" s="17" t="s">
        <v>50</v>
      </c>
      <c r="J772" s="17" t="s">
        <v>106</v>
      </c>
      <c r="K772" s="17" t="str">
        <f aca="false">VLOOKUP(J772,Sheet2!A:B,2,0)</f>
        <v>PRAKASH CHAVDA</v>
      </c>
      <c r="L772" s="17" t="n">
        <v>11</v>
      </c>
      <c r="M772" s="17" t="str">
        <f aca="false">VLOOKUP(L772,Sheet2!D:E,2,0)</f>
        <v>HDMI Section</v>
      </c>
      <c r="N772" s="17" t="n">
        <v>16</v>
      </c>
      <c r="O772" s="17" t="str">
        <f aca="false">VLOOKUP(N772,Sheet2!G:H,2,0)</f>
        <v>No Video - HDMI</v>
      </c>
      <c r="P772" s="17" t="n">
        <v>12</v>
      </c>
      <c r="Q772" s="17" t="str">
        <f aca="false">VLOOKUP(P772,Sheet2!J:K,2,0)</f>
        <v>IR Declared due to Others ( IR Normal)TB</v>
      </c>
      <c r="R772" s="17" t="s">
        <v>35</v>
      </c>
      <c r="S772" s="17" t="str">
        <f aca="false">VLOOKUP(R772,Sheet2!N:O,2,0)</f>
        <v>IREPARABLE</v>
      </c>
      <c r="T772" s="18" t="str">
        <f aca="false">VLOOKUP(P772,Sheet2!Q:R,2,0)</f>
        <v>IR Normal - BER to IR</v>
      </c>
      <c r="U772" s="20" t="s">
        <v>135</v>
      </c>
      <c r="V772" s="17" t="n">
        <v>12</v>
      </c>
      <c r="W772" s="20" t="str">
        <f aca="false">VLOOKUP(V772,Sheet2!Q:R,2,0)</f>
        <v>IR Normal - BER to IR</v>
      </c>
      <c r="X772" s="17" t="str">
        <f aca="false">J772</f>
        <v>A018</v>
      </c>
      <c r="Y772" s="17" t="str">
        <f aca="false">VLOOKUP(X772,Sheet2!A:B,2,0)</f>
        <v>PRAKASH CHAVDA</v>
      </c>
      <c r="Z772" s="17" t="s">
        <v>149</v>
      </c>
      <c r="AA772" s="17" t="s">
        <v>435</v>
      </c>
      <c r="AB772" s="17" t="s">
        <v>41</v>
      </c>
      <c r="AC772" s="0" t="str">
        <f aca="false">LEFT(G772,2)</f>
        <v>65</v>
      </c>
      <c r="AD772" s="0"/>
      <c r="AE772" s="21" t="s">
        <v>42</v>
      </c>
    </row>
    <row r="773" customFormat="false" ht="15" hidden="false" customHeight="false" outlineLevel="0" collapsed="false">
      <c r="A773" s="13" t="n">
        <f aca="false">1+A772</f>
        <v>771</v>
      </c>
      <c r="B773" s="17" t="n">
        <v>1009642167</v>
      </c>
      <c r="C773" s="17" t="s">
        <v>429</v>
      </c>
      <c r="D773" s="17" t="s">
        <v>175</v>
      </c>
      <c r="E773" s="17" t="s">
        <v>176</v>
      </c>
      <c r="F773" s="18" t="s">
        <v>34</v>
      </c>
      <c r="G773" s="19" t="n">
        <v>651127016673</v>
      </c>
      <c r="H773" s="17" t="s">
        <v>134</v>
      </c>
      <c r="I773" s="17" t="s">
        <v>50</v>
      </c>
      <c r="J773" s="17" t="s">
        <v>106</v>
      </c>
      <c r="K773" s="17" t="str">
        <f aca="false">VLOOKUP(J773,Sheet2!A:B,2,0)</f>
        <v>PRAKASH CHAVDA</v>
      </c>
      <c r="L773" s="17" t="n">
        <v>5</v>
      </c>
      <c r="M773" s="17" t="str">
        <f aca="false">VLOOKUP(L773,Sheet2!D:E,2,0)</f>
        <v>Main Processor CPU BGA</v>
      </c>
      <c r="N773" s="17" t="n">
        <v>1</v>
      </c>
      <c r="O773" s="17" t="str">
        <f aca="false">VLOOKUP(N773,Sheet2!G:H,2,0)</f>
        <v>Dead</v>
      </c>
      <c r="P773" s="17" t="n">
        <v>12</v>
      </c>
      <c r="Q773" s="17" t="str">
        <f aca="false">VLOOKUP(P773,Sheet2!J:K,2,0)</f>
        <v>IR Declared due to Others ( IR Normal)TB</v>
      </c>
      <c r="R773" s="17" t="s">
        <v>35</v>
      </c>
      <c r="S773" s="17" t="str">
        <f aca="false">VLOOKUP(R773,Sheet2!N:O,2,0)</f>
        <v>IREPARABLE</v>
      </c>
      <c r="T773" s="18" t="str">
        <f aca="false">VLOOKUP(P773,Sheet2!Q:R,2,0)</f>
        <v>IR Normal - BER to IR</v>
      </c>
      <c r="U773" s="20" t="s">
        <v>135</v>
      </c>
      <c r="V773" s="17" t="n">
        <v>12</v>
      </c>
      <c r="W773" s="20" t="str">
        <f aca="false">VLOOKUP(V773,Sheet2!Q:R,2,0)</f>
        <v>IR Normal - BER to IR</v>
      </c>
      <c r="X773" s="17" t="str">
        <f aca="false">J773</f>
        <v>A018</v>
      </c>
      <c r="Y773" s="17" t="str">
        <f aca="false">VLOOKUP(X773,Sheet2!A:B,2,0)</f>
        <v>PRAKASH CHAVDA</v>
      </c>
      <c r="Z773" s="17" t="s">
        <v>149</v>
      </c>
      <c r="AA773" s="17" t="s">
        <v>435</v>
      </c>
      <c r="AB773" s="17" t="s">
        <v>41</v>
      </c>
      <c r="AC773" s="0" t="str">
        <f aca="false">LEFT(G773,2)</f>
        <v>65</v>
      </c>
      <c r="AD773" s="0"/>
      <c r="AE773" s="21" t="s">
        <v>42</v>
      </c>
    </row>
    <row r="774" customFormat="false" ht="15" hidden="false" customHeight="false" outlineLevel="0" collapsed="false">
      <c r="A774" s="13" t="n">
        <f aca="false">1+A773</f>
        <v>772</v>
      </c>
      <c r="B774" s="17" t="n">
        <v>1009502710</v>
      </c>
      <c r="C774" s="17" t="s">
        <v>95</v>
      </c>
      <c r="D774" s="17" t="s">
        <v>64</v>
      </c>
      <c r="E774" s="17" t="s">
        <v>91</v>
      </c>
      <c r="F774" s="18" t="s">
        <v>92</v>
      </c>
      <c r="G774" s="19" t="n">
        <v>651169021599</v>
      </c>
      <c r="H774" s="17" t="s">
        <v>134</v>
      </c>
      <c r="I774" s="17" t="s">
        <v>50</v>
      </c>
      <c r="J774" s="17" t="s">
        <v>106</v>
      </c>
      <c r="K774" s="17" t="str">
        <f aca="false">VLOOKUP(J774,Sheet2!A:B,2,0)</f>
        <v>PRAKASH CHAVDA</v>
      </c>
      <c r="L774" s="17" t="n">
        <v>5</v>
      </c>
      <c r="M774" s="17" t="str">
        <f aca="false">VLOOKUP(L774,Sheet2!D:E,2,0)</f>
        <v>Main Processor CPU BGA</v>
      </c>
      <c r="N774" s="17" t="n">
        <v>28</v>
      </c>
      <c r="O774" s="17" t="str">
        <f aca="false">VLOOKUP(N774,Sheet2!G:H,2,0)</f>
        <v>Hang and Freeze video - AV</v>
      </c>
      <c r="P774" s="17" t="n">
        <v>12</v>
      </c>
      <c r="Q774" s="17" t="str">
        <f aca="false">VLOOKUP(P774,Sheet2!J:K,2,0)</f>
        <v>IR Declared due to Others ( IR Normal)TB</v>
      </c>
      <c r="R774" s="17" t="s">
        <v>35</v>
      </c>
      <c r="S774" s="17" t="str">
        <f aca="false">VLOOKUP(R774,Sheet2!N:O,2,0)</f>
        <v>IREPARABLE</v>
      </c>
      <c r="T774" s="18" t="str">
        <f aca="false">VLOOKUP(P774,Sheet2!Q:R,2,0)</f>
        <v>IR Normal - BER to IR</v>
      </c>
      <c r="U774" s="20" t="s">
        <v>135</v>
      </c>
      <c r="V774" s="17" t="n">
        <v>12</v>
      </c>
      <c r="W774" s="20" t="str">
        <f aca="false">VLOOKUP(V774,Sheet2!Q:R,2,0)</f>
        <v>IR Normal - BER to IR</v>
      </c>
      <c r="X774" s="17" t="str">
        <f aca="false">J774</f>
        <v>A018</v>
      </c>
      <c r="Y774" s="17" t="str">
        <f aca="false">VLOOKUP(X774,Sheet2!A:B,2,0)</f>
        <v>PRAKASH CHAVDA</v>
      </c>
      <c r="Z774" s="17" t="s">
        <v>149</v>
      </c>
      <c r="AA774" s="17" t="s">
        <v>435</v>
      </c>
      <c r="AB774" s="17" t="s">
        <v>41</v>
      </c>
      <c r="AC774" s="0" t="str">
        <f aca="false">LEFT(G774,2)</f>
        <v>65</v>
      </c>
      <c r="AD774" s="0"/>
      <c r="AE774" s="21" t="s">
        <v>42</v>
      </c>
    </row>
    <row r="775" customFormat="false" ht="15" hidden="false" customHeight="false" outlineLevel="0" collapsed="false">
      <c r="A775" s="13" t="n">
        <f aca="false">1+A774</f>
        <v>773</v>
      </c>
      <c r="B775" s="17" t="n">
        <v>1009634942</v>
      </c>
      <c r="C775" s="17" t="s">
        <v>182</v>
      </c>
      <c r="D775" s="17" t="s">
        <v>64</v>
      </c>
      <c r="E775" s="17" t="s">
        <v>47</v>
      </c>
      <c r="F775" s="18" t="s">
        <v>34</v>
      </c>
      <c r="G775" s="19" t="n">
        <v>651049005762</v>
      </c>
      <c r="H775" s="17" t="s">
        <v>134</v>
      </c>
      <c r="I775" s="17" t="s">
        <v>50</v>
      </c>
      <c r="J775" s="17" t="s">
        <v>106</v>
      </c>
      <c r="K775" s="17" t="str">
        <f aca="false">VLOOKUP(J775,Sheet2!A:B,2,0)</f>
        <v>PRAKASH CHAVDA</v>
      </c>
      <c r="L775" s="17" t="n">
        <v>5</v>
      </c>
      <c r="M775" s="17" t="str">
        <f aca="false">VLOOKUP(L775,Sheet2!D:E,2,0)</f>
        <v>Main Processor CPU BGA</v>
      </c>
      <c r="N775" s="17" t="n">
        <v>1</v>
      </c>
      <c r="O775" s="17" t="str">
        <f aca="false">VLOOKUP(N775,Sheet2!G:H,2,0)</f>
        <v>Dead</v>
      </c>
      <c r="P775" s="17" t="n">
        <v>12</v>
      </c>
      <c r="Q775" s="17" t="str">
        <f aca="false">VLOOKUP(P775,Sheet2!J:K,2,0)</f>
        <v>IR Declared due to Others ( IR Normal)TB</v>
      </c>
      <c r="R775" s="17" t="s">
        <v>35</v>
      </c>
      <c r="S775" s="17" t="str">
        <f aca="false">VLOOKUP(R775,Sheet2!N:O,2,0)</f>
        <v>IREPARABLE</v>
      </c>
      <c r="T775" s="18" t="str">
        <f aca="false">VLOOKUP(P775,Sheet2!Q:R,2,0)</f>
        <v>IR Normal - BER to IR</v>
      </c>
      <c r="U775" s="20" t="s">
        <v>135</v>
      </c>
      <c r="V775" s="17" t="n">
        <v>12</v>
      </c>
      <c r="W775" s="20" t="str">
        <f aca="false">VLOOKUP(V775,Sheet2!Q:R,2,0)</f>
        <v>IR Normal - BER to IR</v>
      </c>
      <c r="X775" s="17" t="str">
        <f aca="false">J775</f>
        <v>A018</v>
      </c>
      <c r="Y775" s="17" t="str">
        <f aca="false">VLOOKUP(X775,Sheet2!A:B,2,0)</f>
        <v>PRAKASH CHAVDA</v>
      </c>
      <c r="Z775" s="17" t="s">
        <v>149</v>
      </c>
      <c r="AA775" s="17" t="s">
        <v>435</v>
      </c>
      <c r="AB775" s="17" t="s">
        <v>41</v>
      </c>
      <c r="AC775" s="0" t="str">
        <f aca="false">LEFT(G775,2)</f>
        <v>65</v>
      </c>
      <c r="AD775" s="0"/>
      <c r="AE775" s="21" t="s">
        <v>42</v>
      </c>
    </row>
    <row r="776" customFormat="false" ht="15" hidden="false" customHeight="false" outlineLevel="0" collapsed="false">
      <c r="A776" s="13" t="n">
        <f aca="false">1+A775</f>
        <v>774</v>
      </c>
      <c r="B776" s="17" t="n">
        <v>1009641755</v>
      </c>
      <c r="C776" s="17" t="s">
        <v>429</v>
      </c>
      <c r="D776" s="17" t="s">
        <v>158</v>
      </c>
      <c r="E776" s="17" t="s">
        <v>91</v>
      </c>
      <c r="F776" s="18" t="s">
        <v>92</v>
      </c>
      <c r="G776" s="19" t="n">
        <v>651300006772</v>
      </c>
      <c r="H776" s="17" t="s">
        <v>134</v>
      </c>
      <c r="I776" s="17" t="s">
        <v>50</v>
      </c>
      <c r="J776" s="17" t="s">
        <v>106</v>
      </c>
      <c r="K776" s="17" t="str">
        <f aca="false">VLOOKUP(J776,Sheet2!A:B,2,0)</f>
        <v>PRAKASH CHAVDA</v>
      </c>
      <c r="L776" s="17" t="n">
        <v>5</v>
      </c>
      <c r="M776" s="17" t="str">
        <f aca="false">VLOOKUP(L776,Sheet2!D:E,2,0)</f>
        <v>Main Processor CPU BGA</v>
      </c>
      <c r="N776" s="17" t="n">
        <v>1</v>
      </c>
      <c r="O776" s="17" t="str">
        <f aca="false">VLOOKUP(N776,Sheet2!G:H,2,0)</f>
        <v>Dead</v>
      </c>
      <c r="P776" s="17" t="n">
        <v>12</v>
      </c>
      <c r="Q776" s="17" t="str">
        <f aca="false">VLOOKUP(P776,Sheet2!J:K,2,0)</f>
        <v>IR Declared due to Others ( IR Normal)TB</v>
      </c>
      <c r="R776" s="17" t="s">
        <v>35</v>
      </c>
      <c r="S776" s="17" t="str">
        <f aca="false">VLOOKUP(R776,Sheet2!N:O,2,0)</f>
        <v>IREPARABLE</v>
      </c>
      <c r="T776" s="18" t="str">
        <f aca="false">VLOOKUP(P776,Sheet2!Q:R,2,0)</f>
        <v>IR Normal - BER to IR</v>
      </c>
      <c r="U776" s="20" t="s">
        <v>135</v>
      </c>
      <c r="V776" s="17" t="n">
        <v>12</v>
      </c>
      <c r="W776" s="20" t="str">
        <f aca="false">VLOOKUP(V776,Sheet2!Q:R,2,0)</f>
        <v>IR Normal - BER to IR</v>
      </c>
      <c r="X776" s="17" t="str">
        <f aca="false">J776</f>
        <v>A018</v>
      </c>
      <c r="Y776" s="17" t="str">
        <f aca="false">VLOOKUP(X776,Sheet2!A:B,2,0)</f>
        <v>PRAKASH CHAVDA</v>
      </c>
      <c r="Z776" s="17" t="s">
        <v>149</v>
      </c>
      <c r="AA776" s="17" t="s">
        <v>435</v>
      </c>
      <c r="AB776" s="17" t="s">
        <v>41</v>
      </c>
      <c r="AC776" s="0" t="str">
        <f aca="false">LEFT(G776,2)</f>
        <v>65</v>
      </c>
      <c r="AD776" s="0"/>
      <c r="AE776" s="21" t="s">
        <v>42</v>
      </c>
    </row>
    <row r="777" customFormat="false" ht="15" hidden="false" customHeight="false" outlineLevel="0" collapsed="false">
      <c r="A777" s="13" t="n">
        <f aca="false">1+A776</f>
        <v>775</v>
      </c>
      <c r="B777" s="17" t="n">
        <v>1009555582</v>
      </c>
      <c r="C777" s="17" t="s">
        <v>444</v>
      </c>
      <c r="D777" s="17" t="s">
        <v>64</v>
      </c>
      <c r="E777" s="17" t="s">
        <v>91</v>
      </c>
      <c r="F777" s="18" t="s">
        <v>92</v>
      </c>
      <c r="G777" s="19" t="n">
        <v>651119009702</v>
      </c>
      <c r="H777" s="17" t="s">
        <v>134</v>
      </c>
      <c r="I777" s="17" t="s">
        <v>50</v>
      </c>
      <c r="J777" s="17" t="s">
        <v>106</v>
      </c>
      <c r="K777" s="17" t="str">
        <f aca="false">VLOOKUP(J777,Sheet2!A:B,2,0)</f>
        <v>PRAKASH CHAVDA</v>
      </c>
      <c r="L777" s="17" t="n">
        <v>5</v>
      </c>
      <c r="M777" s="17" t="str">
        <f aca="false">VLOOKUP(L777,Sheet2!D:E,2,0)</f>
        <v>Main Processor CPU BGA</v>
      </c>
      <c r="N777" s="17" t="n">
        <v>1</v>
      </c>
      <c r="O777" s="17" t="str">
        <f aca="false">VLOOKUP(N777,Sheet2!G:H,2,0)</f>
        <v>Dead</v>
      </c>
      <c r="P777" s="17" t="n">
        <v>12</v>
      </c>
      <c r="Q777" s="17" t="str">
        <f aca="false">VLOOKUP(P777,Sheet2!J:K,2,0)</f>
        <v>IR Declared due to Others ( IR Normal)TB</v>
      </c>
      <c r="R777" s="17" t="s">
        <v>35</v>
      </c>
      <c r="S777" s="17" t="str">
        <f aca="false">VLOOKUP(R777,Sheet2!N:O,2,0)</f>
        <v>IREPARABLE</v>
      </c>
      <c r="T777" s="18" t="str">
        <f aca="false">VLOOKUP(P777,Sheet2!Q:R,2,0)</f>
        <v>IR Normal - BER to IR</v>
      </c>
      <c r="U777" s="20" t="s">
        <v>135</v>
      </c>
      <c r="V777" s="17" t="n">
        <v>12</v>
      </c>
      <c r="W777" s="20" t="str">
        <f aca="false">VLOOKUP(V777,Sheet2!Q:R,2,0)</f>
        <v>IR Normal - BER to IR</v>
      </c>
      <c r="X777" s="17" t="str">
        <f aca="false">J777</f>
        <v>A018</v>
      </c>
      <c r="Y777" s="17" t="str">
        <f aca="false">VLOOKUP(X777,Sheet2!A:B,2,0)</f>
        <v>PRAKASH CHAVDA</v>
      </c>
      <c r="Z777" s="17" t="s">
        <v>149</v>
      </c>
      <c r="AA777" s="17" t="s">
        <v>435</v>
      </c>
      <c r="AB777" s="17" t="s">
        <v>41</v>
      </c>
      <c r="AC777" s="0" t="str">
        <f aca="false">LEFT(G777,2)</f>
        <v>65</v>
      </c>
      <c r="AD777" s="0"/>
      <c r="AE777" s="21" t="s">
        <v>42</v>
      </c>
    </row>
    <row r="778" customFormat="false" ht="15" hidden="false" customHeight="false" outlineLevel="0" collapsed="false">
      <c r="A778" s="13" t="n">
        <f aca="false">1+A777</f>
        <v>776</v>
      </c>
      <c r="B778" s="17" t="n">
        <v>1009432981</v>
      </c>
      <c r="C778" s="17" t="s">
        <v>55</v>
      </c>
      <c r="D778" s="17" t="s">
        <v>64</v>
      </c>
      <c r="E778" s="17" t="s">
        <v>33</v>
      </c>
      <c r="F778" s="18" t="s">
        <v>34</v>
      </c>
      <c r="G778" s="19" t="n">
        <v>651103007134</v>
      </c>
      <c r="H778" s="17" t="s">
        <v>134</v>
      </c>
      <c r="I778" s="17" t="s">
        <v>50</v>
      </c>
      <c r="J778" s="17" t="s">
        <v>106</v>
      </c>
      <c r="K778" s="17" t="str">
        <f aca="false">VLOOKUP(J778,Sheet2!A:B,2,0)</f>
        <v>PRAKASH CHAVDA</v>
      </c>
      <c r="L778" s="17" t="n">
        <v>5</v>
      </c>
      <c r="M778" s="17" t="str">
        <f aca="false">VLOOKUP(L778,Sheet2!D:E,2,0)</f>
        <v>Main Processor CPU BGA</v>
      </c>
      <c r="N778" s="17" t="n">
        <v>16</v>
      </c>
      <c r="O778" s="17" t="str">
        <f aca="false">VLOOKUP(N778,Sheet2!G:H,2,0)</f>
        <v>No Video - HDMI</v>
      </c>
      <c r="P778" s="17" t="n">
        <v>12</v>
      </c>
      <c r="Q778" s="17" t="str">
        <f aca="false">VLOOKUP(P778,Sheet2!J:K,2,0)</f>
        <v>IR Declared due to Others ( IR Normal)TB</v>
      </c>
      <c r="R778" s="17" t="s">
        <v>35</v>
      </c>
      <c r="S778" s="17" t="str">
        <f aca="false">VLOOKUP(R778,Sheet2!N:O,2,0)</f>
        <v>IREPARABLE</v>
      </c>
      <c r="T778" s="18" t="str">
        <f aca="false">VLOOKUP(P778,Sheet2!Q:R,2,0)</f>
        <v>IR Normal - BER to IR</v>
      </c>
      <c r="U778" s="20" t="s">
        <v>135</v>
      </c>
      <c r="V778" s="17" t="n">
        <v>12</v>
      </c>
      <c r="W778" s="20" t="str">
        <f aca="false">VLOOKUP(V778,Sheet2!Q:R,2,0)</f>
        <v>IR Normal - BER to IR</v>
      </c>
      <c r="X778" s="17" t="str">
        <f aca="false">J778</f>
        <v>A018</v>
      </c>
      <c r="Y778" s="17" t="str">
        <f aca="false">VLOOKUP(X778,Sheet2!A:B,2,0)</f>
        <v>PRAKASH CHAVDA</v>
      </c>
      <c r="Z778" s="17" t="s">
        <v>149</v>
      </c>
      <c r="AA778" s="17" t="s">
        <v>435</v>
      </c>
      <c r="AB778" s="17" t="s">
        <v>41</v>
      </c>
      <c r="AC778" s="0" t="str">
        <f aca="false">LEFT(G778,2)</f>
        <v>65</v>
      </c>
      <c r="AD778" s="0"/>
      <c r="AE778" s="21" t="s">
        <v>42</v>
      </c>
    </row>
    <row r="779" customFormat="false" ht="15" hidden="false" customHeight="false" outlineLevel="0" collapsed="false">
      <c r="A779" s="13" t="n">
        <f aca="false">1+A778</f>
        <v>777</v>
      </c>
      <c r="B779" s="17" t="n">
        <v>1009295721</v>
      </c>
      <c r="C779" s="17" t="s">
        <v>201</v>
      </c>
      <c r="D779" s="17" t="s">
        <v>64</v>
      </c>
      <c r="E779" s="17" t="s">
        <v>114</v>
      </c>
      <c r="F779" s="18" t="s">
        <v>34</v>
      </c>
      <c r="G779" s="19" t="n">
        <v>651125003285</v>
      </c>
      <c r="H779" s="17" t="s">
        <v>134</v>
      </c>
      <c r="I779" s="17" t="s">
        <v>50</v>
      </c>
      <c r="J779" s="17" t="s">
        <v>106</v>
      </c>
      <c r="K779" s="17" t="str">
        <f aca="false">VLOOKUP(J779,Sheet2!A:B,2,0)</f>
        <v>PRAKASH CHAVDA</v>
      </c>
      <c r="L779" s="17" t="n">
        <v>5</v>
      </c>
      <c r="M779" s="17" t="str">
        <f aca="false">VLOOKUP(L779,Sheet2!D:E,2,0)</f>
        <v>Main Processor CPU BGA</v>
      </c>
      <c r="N779" s="17" t="n">
        <v>36</v>
      </c>
      <c r="O779" s="17" t="str">
        <f aca="false">VLOOKUP(N779,Sheet2!G:H,2,0)</f>
        <v>Error -1</v>
      </c>
      <c r="P779" s="17" t="n">
        <v>12</v>
      </c>
      <c r="Q779" s="17" t="str">
        <f aca="false">VLOOKUP(P779,Sheet2!J:K,2,0)</f>
        <v>IR Declared due to Others ( IR Normal)TB</v>
      </c>
      <c r="R779" s="17" t="s">
        <v>35</v>
      </c>
      <c r="S779" s="17" t="str">
        <f aca="false">VLOOKUP(R779,Sheet2!N:O,2,0)</f>
        <v>IREPARABLE</v>
      </c>
      <c r="T779" s="18" t="str">
        <f aca="false">VLOOKUP(P779,Sheet2!Q:R,2,0)</f>
        <v>IR Normal - BER to IR</v>
      </c>
      <c r="U779" s="20" t="s">
        <v>135</v>
      </c>
      <c r="V779" s="17" t="n">
        <v>12</v>
      </c>
      <c r="W779" s="20" t="str">
        <f aca="false">VLOOKUP(V779,Sheet2!Q:R,2,0)</f>
        <v>IR Normal - BER to IR</v>
      </c>
      <c r="X779" s="17" t="str">
        <f aca="false">J779</f>
        <v>A018</v>
      </c>
      <c r="Y779" s="17" t="str">
        <f aca="false">VLOOKUP(X779,Sheet2!A:B,2,0)</f>
        <v>PRAKASH CHAVDA</v>
      </c>
      <c r="Z779" s="17" t="s">
        <v>149</v>
      </c>
      <c r="AA779" s="17" t="s">
        <v>435</v>
      </c>
      <c r="AB779" s="17" t="s">
        <v>41</v>
      </c>
      <c r="AC779" s="0" t="str">
        <f aca="false">LEFT(G779,2)</f>
        <v>65</v>
      </c>
      <c r="AD779" s="0"/>
      <c r="AE779" s="21" t="s">
        <v>42</v>
      </c>
    </row>
    <row r="780" customFormat="false" ht="15" hidden="false" customHeight="false" outlineLevel="0" collapsed="false">
      <c r="A780" s="13" t="n">
        <f aca="false">1+A779</f>
        <v>778</v>
      </c>
      <c r="B780" s="17" t="n">
        <v>1009163529</v>
      </c>
      <c r="C780" s="17" t="s">
        <v>445</v>
      </c>
      <c r="D780" s="17" t="s">
        <v>446</v>
      </c>
      <c r="E780" s="17" t="s">
        <v>47</v>
      </c>
      <c r="F780" s="18" t="s">
        <v>34</v>
      </c>
      <c r="G780" s="19" t="n">
        <v>651151013588</v>
      </c>
      <c r="H780" s="17" t="s">
        <v>134</v>
      </c>
      <c r="I780" s="17" t="s">
        <v>50</v>
      </c>
      <c r="J780" s="17" t="s">
        <v>106</v>
      </c>
      <c r="K780" s="17" t="str">
        <f aca="false">VLOOKUP(J780,Sheet2!A:B,2,0)</f>
        <v>PRAKASH CHAVDA</v>
      </c>
      <c r="L780" s="17" t="n">
        <v>5</v>
      </c>
      <c r="M780" s="17" t="str">
        <f aca="false">VLOOKUP(L780,Sheet2!D:E,2,0)</f>
        <v>Main Processor CPU BGA</v>
      </c>
      <c r="N780" s="17" t="n">
        <v>19</v>
      </c>
      <c r="O780" s="17" t="str">
        <f aca="false">VLOOKUP(N780,Sheet2!G:H,2,0)</f>
        <v>No Video - Intermittent</v>
      </c>
      <c r="P780" s="17" t="n">
        <v>12</v>
      </c>
      <c r="Q780" s="17" t="str">
        <f aca="false">VLOOKUP(P780,Sheet2!J:K,2,0)</f>
        <v>IR Declared due to Others ( IR Normal)TB</v>
      </c>
      <c r="R780" s="17" t="s">
        <v>35</v>
      </c>
      <c r="S780" s="17" t="str">
        <f aca="false">VLOOKUP(R780,Sheet2!N:O,2,0)</f>
        <v>IREPARABLE</v>
      </c>
      <c r="T780" s="18" t="str">
        <f aca="false">VLOOKUP(P780,Sheet2!Q:R,2,0)</f>
        <v>IR Normal - BER to IR</v>
      </c>
      <c r="U780" s="20" t="s">
        <v>135</v>
      </c>
      <c r="V780" s="17" t="n">
        <v>12</v>
      </c>
      <c r="W780" s="20" t="str">
        <f aca="false">VLOOKUP(V780,Sheet2!Q:R,2,0)</f>
        <v>IR Normal - BER to IR</v>
      </c>
      <c r="X780" s="17" t="str">
        <f aca="false">J780</f>
        <v>A018</v>
      </c>
      <c r="Y780" s="17" t="str">
        <f aca="false">VLOOKUP(X780,Sheet2!A:B,2,0)</f>
        <v>PRAKASH CHAVDA</v>
      </c>
      <c r="Z780" s="17" t="s">
        <v>149</v>
      </c>
      <c r="AA780" s="17" t="s">
        <v>435</v>
      </c>
      <c r="AB780" s="17" t="s">
        <v>41</v>
      </c>
      <c r="AC780" s="0" t="str">
        <f aca="false">LEFT(G780,2)</f>
        <v>65</v>
      </c>
      <c r="AD780" s="0"/>
      <c r="AE780" s="21" t="s">
        <v>42</v>
      </c>
    </row>
    <row r="781" customFormat="false" ht="15" hidden="false" customHeight="false" outlineLevel="0" collapsed="false">
      <c r="A781" s="13" t="n">
        <f aca="false">1+A780</f>
        <v>779</v>
      </c>
      <c r="B781" s="17" t="n">
        <v>1009634916</v>
      </c>
      <c r="C781" s="17" t="s">
        <v>182</v>
      </c>
      <c r="D781" s="17" t="s">
        <v>64</v>
      </c>
      <c r="E781" s="17" t="s">
        <v>47</v>
      </c>
      <c r="F781" s="18" t="s">
        <v>34</v>
      </c>
      <c r="G781" s="19" t="n">
        <v>651160000568</v>
      </c>
      <c r="H781" s="17" t="s">
        <v>134</v>
      </c>
      <c r="I781" s="17" t="s">
        <v>50</v>
      </c>
      <c r="J781" s="17" t="s">
        <v>106</v>
      </c>
      <c r="K781" s="17" t="str">
        <f aca="false">VLOOKUP(J781,Sheet2!A:B,2,0)</f>
        <v>PRAKASH CHAVDA</v>
      </c>
      <c r="L781" s="17" t="n">
        <v>5</v>
      </c>
      <c r="M781" s="17" t="str">
        <f aca="false">VLOOKUP(L781,Sheet2!D:E,2,0)</f>
        <v>Main Processor CPU BGA</v>
      </c>
      <c r="N781" s="17" t="n">
        <v>1</v>
      </c>
      <c r="O781" s="17" t="str">
        <f aca="false">VLOOKUP(N781,Sheet2!G:H,2,0)</f>
        <v>Dead</v>
      </c>
      <c r="P781" s="17" t="n">
        <v>12</v>
      </c>
      <c r="Q781" s="17" t="str">
        <f aca="false">VLOOKUP(P781,Sheet2!J:K,2,0)</f>
        <v>IR Declared due to Others ( IR Normal)TB</v>
      </c>
      <c r="R781" s="17" t="s">
        <v>35</v>
      </c>
      <c r="S781" s="17" t="str">
        <f aca="false">VLOOKUP(R781,Sheet2!N:O,2,0)</f>
        <v>IREPARABLE</v>
      </c>
      <c r="T781" s="18" t="str">
        <f aca="false">VLOOKUP(P781,Sheet2!Q:R,2,0)</f>
        <v>IR Normal - BER to IR</v>
      </c>
      <c r="U781" s="20" t="s">
        <v>135</v>
      </c>
      <c r="V781" s="17" t="n">
        <v>12</v>
      </c>
      <c r="W781" s="20" t="str">
        <f aca="false">VLOOKUP(V781,Sheet2!Q:R,2,0)</f>
        <v>IR Normal - BER to IR</v>
      </c>
      <c r="X781" s="17" t="str">
        <f aca="false">J781</f>
        <v>A018</v>
      </c>
      <c r="Y781" s="17" t="str">
        <f aca="false">VLOOKUP(X781,Sheet2!A:B,2,0)</f>
        <v>PRAKASH CHAVDA</v>
      </c>
      <c r="Z781" s="17" t="s">
        <v>149</v>
      </c>
      <c r="AA781" s="17" t="s">
        <v>435</v>
      </c>
      <c r="AB781" s="17" t="s">
        <v>41</v>
      </c>
      <c r="AC781" s="0" t="str">
        <f aca="false">LEFT(G781,2)</f>
        <v>65</v>
      </c>
      <c r="AD781" s="0"/>
      <c r="AE781" s="21" t="s">
        <v>42</v>
      </c>
    </row>
    <row r="782" customFormat="false" ht="15" hidden="false" customHeight="false" outlineLevel="0" collapsed="false">
      <c r="A782" s="13" t="n">
        <f aca="false">1+A781</f>
        <v>780</v>
      </c>
      <c r="B782" s="17" t="n">
        <v>1009649679</v>
      </c>
      <c r="C782" s="17" t="s">
        <v>204</v>
      </c>
      <c r="D782" s="17" t="s">
        <v>64</v>
      </c>
      <c r="E782" s="17" t="s">
        <v>64</v>
      </c>
      <c r="F782" s="18" t="s">
        <v>70</v>
      </c>
      <c r="G782" s="19" t="n">
        <v>651073018392</v>
      </c>
      <c r="H782" s="17" t="s">
        <v>134</v>
      </c>
      <c r="I782" s="17" t="s">
        <v>50</v>
      </c>
      <c r="J782" s="17" t="s">
        <v>106</v>
      </c>
      <c r="K782" s="17" t="str">
        <f aca="false">VLOOKUP(J782,Sheet2!A:B,2,0)</f>
        <v>PRAKASH CHAVDA</v>
      </c>
      <c r="L782" s="17" t="n">
        <v>5</v>
      </c>
      <c r="M782" s="17" t="str">
        <f aca="false">VLOOKUP(L782,Sheet2!D:E,2,0)</f>
        <v>Main Processor CPU BGA</v>
      </c>
      <c r="N782" s="17" t="n">
        <v>1</v>
      </c>
      <c r="O782" s="17" t="str">
        <f aca="false">VLOOKUP(N782,Sheet2!G:H,2,0)</f>
        <v>Dead</v>
      </c>
      <c r="P782" s="17" t="n">
        <v>12</v>
      </c>
      <c r="Q782" s="17" t="str">
        <f aca="false">VLOOKUP(P782,Sheet2!J:K,2,0)</f>
        <v>IR Declared due to Others ( IR Normal)TB</v>
      </c>
      <c r="R782" s="17" t="s">
        <v>35</v>
      </c>
      <c r="S782" s="17" t="str">
        <f aca="false">VLOOKUP(R782,Sheet2!N:O,2,0)</f>
        <v>IREPARABLE</v>
      </c>
      <c r="T782" s="18" t="str">
        <f aca="false">VLOOKUP(P782,Sheet2!Q:R,2,0)</f>
        <v>IR Normal - BER to IR</v>
      </c>
      <c r="U782" s="20" t="s">
        <v>135</v>
      </c>
      <c r="V782" s="17" t="n">
        <v>12</v>
      </c>
      <c r="W782" s="20" t="str">
        <f aca="false">VLOOKUP(V782,Sheet2!Q:R,2,0)</f>
        <v>IR Normal - BER to IR</v>
      </c>
      <c r="X782" s="17" t="str">
        <f aca="false">J782</f>
        <v>A018</v>
      </c>
      <c r="Y782" s="17" t="str">
        <f aca="false">VLOOKUP(X782,Sheet2!A:B,2,0)</f>
        <v>PRAKASH CHAVDA</v>
      </c>
      <c r="Z782" s="17" t="s">
        <v>149</v>
      </c>
      <c r="AA782" s="17" t="s">
        <v>435</v>
      </c>
      <c r="AB782" s="17" t="s">
        <v>41</v>
      </c>
      <c r="AC782" s="0" t="str">
        <f aca="false">LEFT(G782,2)</f>
        <v>65</v>
      </c>
      <c r="AD782" s="0"/>
      <c r="AE782" s="21" t="s">
        <v>42</v>
      </c>
    </row>
    <row r="783" customFormat="false" ht="15" hidden="false" customHeight="false" outlineLevel="0" collapsed="false">
      <c r="A783" s="13" t="n">
        <f aca="false">1+A782</f>
        <v>781</v>
      </c>
      <c r="B783" s="17" t="n">
        <v>1008983681</v>
      </c>
      <c r="C783" s="17" t="s">
        <v>447</v>
      </c>
      <c r="D783" s="17" t="s">
        <v>64</v>
      </c>
      <c r="E783" s="17" t="s">
        <v>91</v>
      </c>
      <c r="F783" s="18" t="s">
        <v>92</v>
      </c>
      <c r="G783" s="19" t="n">
        <v>986200132868</v>
      </c>
      <c r="H783" s="17" t="s">
        <v>134</v>
      </c>
      <c r="I783" s="17" t="s">
        <v>44</v>
      </c>
      <c r="J783" s="17" t="s">
        <v>106</v>
      </c>
      <c r="K783" s="17" t="str">
        <f aca="false">VLOOKUP(J783,Sheet2!A:B,2,0)</f>
        <v>PRAKASH CHAVDA</v>
      </c>
      <c r="L783" s="17" t="n">
        <v>5</v>
      </c>
      <c r="M783" s="17" t="str">
        <f aca="false">VLOOKUP(L783,Sheet2!D:E,2,0)</f>
        <v>Main Processor CPU BGA</v>
      </c>
      <c r="N783" s="17" t="n">
        <v>1</v>
      </c>
      <c r="O783" s="17" t="str">
        <f aca="false">VLOOKUP(N783,Sheet2!G:H,2,0)</f>
        <v>Dead</v>
      </c>
      <c r="P783" s="17" t="n">
        <v>12</v>
      </c>
      <c r="Q783" s="17" t="str">
        <f aca="false">VLOOKUP(P783,Sheet2!J:K,2,0)</f>
        <v>IR Declared due to Others ( IR Normal)TB</v>
      </c>
      <c r="R783" s="17" t="s">
        <v>35</v>
      </c>
      <c r="S783" s="17" t="str">
        <f aca="false">VLOOKUP(R783,Sheet2!N:O,2,0)</f>
        <v>IREPARABLE</v>
      </c>
      <c r="T783" s="18" t="str">
        <f aca="false">VLOOKUP(P783,Sheet2!Q:R,2,0)</f>
        <v>IR Normal - BER to IR</v>
      </c>
      <c r="U783" s="20" t="s">
        <v>135</v>
      </c>
      <c r="V783" s="17" t="n">
        <v>12</v>
      </c>
      <c r="W783" s="20" t="str">
        <f aca="false">VLOOKUP(V783,Sheet2!Q:R,2,0)</f>
        <v>IR Normal - BER to IR</v>
      </c>
      <c r="X783" s="17" t="str">
        <f aca="false">J783</f>
        <v>A018</v>
      </c>
      <c r="Y783" s="17" t="str">
        <f aca="false">VLOOKUP(X783,Sheet2!A:B,2,0)</f>
        <v>PRAKASH CHAVDA</v>
      </c>
      <c r="Z783" s="17" t="s">
        <v>141</v>
      </c>
      <c r="AA783" s="17" t="s">
        <v>435</v>
      </c>
      <c r="AB783" s="17" t="s">
        <v>41</v>
      </c>
      <c r="AC783" s="0" t="str">
        <f aca="false">LEFT(G783,2)</f>
        <v>98</v>
      </c>
      <c r="AD783" s="0"/>
      <c r="AE783" s="21" t="s">
        <v>42</v>
      </c>
    </row>
    <row r="784" customFormat="false" ht="15" hidden="false" customHeight="false" outlineLevel="0" collapsed="false">
      <c r="A784" s="13" t="n">
        <f aca="false">1+A783</f>
        <v>782</v>
      </c>
      <c r="B784" s="17" t="n">
        <v>1008730998</v>
      </c>
      <c r="C784" s="17" t="s">
        <v>448</v>
      </c>
      <c r="D784" s="17" t="s">
        <v>64</v>
      </c>
      <c r="E784" s="17" t="s">
        <v>91</v>
      </c>
      <c r="F784" s="18" t="s">
        <v>92</v>
      </c>
      <c r="G784" s="19" t="n">
        <v>134325374202</v>
      </c>
      <c r="H784" s="17" t="s">
        <v>134</v>
      </c>
      <c r="I784" s="17" t="s">
        <v>44</v>
      </c>
      <c r="J784" s="17" t="s">
        <v>106</v>
      </c>
      <c r="K784" s="17" t="str">
        <f aca="false">VLOOKUP(J784,Sheet2!A:B,2,0)</f>
        <v>PRAKASH CHAVDA</v>
      </c>
      <c r="L784" s="17" t="n">
        <v>5</v>
      </c>
      <c r="M784" s="17" t="str">
        <f aca="false">VLOOKUP(L784,Sheet2!D:E,2,0)</f>
        <v>Main Processor CPU BGA</v>
      </c>
      <c r="N784" s="17" t="n">
        <v>1</v>
      </c>
      <c r="O784" s="17" t="str">
        <f aca="false">VLOOKUP(N784,Sheet2!G:H,2,0)</f>
        <v>Dead</v>
      </c>
      <c r="P784" s="17" t="n">
        <v>12</v>
      </c>
      <c r="Q784" s="17" t="str">
        <f aca="false">VLOOKUP(P784,Sheet2!J:K,2,0)</f>
        <v>IR Declared due to Others ( IR Normal)TB</v>
      </c>
      <c r="R784" s="17" t="s">
        <v>35</v>
      </c>
      <c r="S784" s="17" t="str">
        <f aca="false">VLOOKUP(R784,Sheet2!N:O,2,0)</f>
        <v>IREPARABLE</v>
      </c>
      <c r="T784" s="18" t="str">
        <f aca="false">VLOOKUP(P784,Sheet2!Q:R,2,0)</f>
        <v>IR Normal - BER to IR</v>
      </c>
      <c r="U784" s="20" t="s">
        <v>135</v>
      </c>
      <c r="V784" s="17" t="n">
        <v>12</v>
      </c>
      <c r="W784" s="20" t="str">
        <f aca="false">VLOOKUP(V784,Sheet2!Q:R,2,0)</f>
        <v>IR Normal - BER to IR</v>
      </c>
      <c r="X784" s="17" t="str">
        <f aca="false">J784</f>
        <v>A018</v>
      </c>
      <c r="Y784" s="17" t="str">
        <f aca="false">VLOOKUP(X784,Sheet2!A:B,2,0)</f>
        <v>PRAKASH CHAVDA</v>
      </c>
      <c r="Z784" s="17" t="s">
        <v>136</v>
      </c>
      <c r="AA784" s="17" t="s">
        <v>449</v>
      </c>
      <c r="AB784" s="17" t="s">
        <v>41</v>
      </c>
      <c r="AC784" s="0" t="str">
        <f aca="false">LEFT(G784,2)</f>
        <v>13</v>
      </c>
      <c r="AD784" s="0"/>
      <c r="AE784" s="21" t="s">
        <v>42</v>
      </c>
    </row>
    <row r="785" customFormat="false" ht="15" hidden="false" customHeight="false" outlineLevel="0" collapsed="false">
      <c r="A785" s="13" t="n">
        <f aca="false">1+A784</f>
        <v>783</v>
      </c>
      <c r="B785" s="17" t="n">
        <v>1009091493</v>
      </c>
      <c r="C785" s="17" t="s">
        <v>414</v>
      </c>
      <c r="D785" s="17" t="s">
        <v>450</v>
      </c>
      <c r="E785" s="17" t="s">
        <v>47</v>
      </c>
      <c r="F785" s="18" t="s">
        <v>34</v>
      </c>
      <c r="G785" s="19" t="n">
        <v>134106041491</v>
      </c>
      <c r="H785" s="17" t="s">
        <v>134</v>
      </c>
      <c r="I785" s="17" t="s">
        <v>44</v>
      </c>
      <c r="J785" s="17" t="s">
        <v>106</v>
      </c>
      <c r="K785" s="17" t="str">
        <f aca="false">VLOOKUP(J785,Sheet2!A:B,2,0)</f>
        <v>PRAKASH CHAVDA</v>
      </c>
      <c r="L785" s="17" t="n">
        <v>5</v>
      </c>
      <c r="M785" s="17" t="str">
        <f aca="false">VLOOKUP(L785,Sheet2!D:E,2,0)</f>
        <v>Main Processor CPU BGA</v>
      </c>
      <c r="N785" s="17" t="n">
        <v>1</v>
      </c>
      <c r="O785" s="17" t="str">
        <f aca="false">VLOOKUP(N785,Sheet2!G:H,2,0)</f>
        <v>Dead</v>
      </c>
      <c r="P785" s="17" t="n">
        <v>12</v>
      </c>
      <c r="Q785" s="17" t="str">
        <f aca="false">VLOOKUP(P785,Sheet2!J:K,2,0)</f>
        <v>IR Declared due to Others ( IR Normal)TB</v>
      </c>
      <c r="R785" s="17" t="s">
        <v>35</v>
      </c>
      <c r="S785" s="17" t="str">
        <f aca="false">VLOOKUP(R785,Sheet2!N:O,2,0)</f>
        <v>IREPARABLE</v>
      </c>
      <c r="T785" s="18" t="str">
        <f aca="false">VLOOKUP(P785,Sheet2!Q:R,2,0)</f>
        <v>IR Normal - BER to IR</v>
      </c>
      <c r="U785" s="20" t="s">
        <v>135</v>
      </c>
      <c r="V785" s="17" t="n">
        <v>12</v>
      </c>
      <c r="W785" s="20" t="str">
        <f aca="false">VLOOKUP(V785,Sheet2!Q:R,2,0)</f>
        <v>IR Normal - BER to IR</v>
      </c>
      <c r="X785" s="17" t="str">
        <f aca="false">J785</f>
        <v>A018</v>
      </c>
      <c r="Y785" s="17" t="str">
        <f aca="false">VLOOKUP(X785,Sheet2!A:B,2,0)</f>
        <v>PRAKASH CHAVDA</v>
      </c>
      <c r="Z785" s="17" t="s">
        <v>136</v>
      </c>
      <c r="AA785" s="17" t="s">
        <v>449</v>
      </c>
      <c r="AB785" s="17" t="s">
        <v>41</v>
      </c>
      <c r="AC785" s="0" t="str">
        <f aca="false">LEFT(G785,2)</f>
        <v>13</v>
      </c>
      <c r="AD785" s="0"/>
      <c r="AE785" s="21" t="s">
        <v>42</v>
      </c>
    </row>
    <row r="786" customFormat="false" ht="15" hidden="false" customHeight="false" outlineLevel="0" collapsed="false">
      <c r="A786" s="13" t="n">
        <f aca="false">1+A785</f>
        <v>784</v>
      </c>
      <c r="B786" s="17" t="n">
        <v>1009662011</v>
      </c>
      <c r="C786" s="17" t="s">
        <v>433</v>
      </c>
      <c r="D786" s="17" t="s">
        <v>64</v>
      </c>
      <c r="E786" s="17" t="s">
        <v>91</v>
      </c>
      <c r="F786" s="18" t="s">
        <v>92</v>
      </c>
      <c r="G786" s="19" t="n">
        <v>134211192981</v>
      </c>
      <c r="H786" s="17" t="s">
        <v>134</v>
      </c>
      <c r="I786" s="17" t="s">
        <v>44</v>
      </c>
      <c r="J786" s="17" t="s">
        <v>106</v>
      </c>
      <c r="K786" s="17" t="str">
        <f aca="false">VLOOKUP(J786,Sheet2!A:B,2,0)</f>
        <v>PRAKASH CHAVDA</v>
      </c>
      <c r="L786" s="17" t="n">
        <v>5</v>
      </c>
      <c r="M786" s="17" t="str">
        <f aca="false">VLOOKUP(L786,Sheet2!D:E,2,0)</f>
        <v>Main Processor CPU BGA</v>
      </c>
      <c r="N786" s="17" t="n">
        <v>1</v>
      </c>
      <c r="O786" s="17" t="str">
        <f aca="false">VLOOKUP(N786,Sheet2!G:H,2,0)</f>
        <v>Dead</v>
      </c>
      <c r="P786" s="17" t="n">
        <v>12</v>
      </c>
      <c r="Q786" s="17" t="str">
        <f aca="false">VLOOKUP(P786,Sheet2!J:K,2,0)</f>
        <v>IR Declared due to Others ( IR Normal)TB</v>
      </c>
      <c r="R786" s="17" t="s">
        <v>35</v>
      </c>
      <c r="S786" s="17" t="str">
        <f aca="false">VLOOKUP(R786,Sheet2!N:O,2,0)</f>
        <v>IREPARABLE</v>
      </c>
      <c r="T786" s="18" t="str">
        <f aca="false">VLOOKUP(P786,Sheet2!Q:R,2,0)</f>
        <v>IR Normal - BER to IR</v>
      </c>
      <c r="U786" s="20" t="s">
        <v>135</v>
      </c>
      <c r="V786" s="17" t="n">
        <v>12</v>
      </c>
      <c r="W786" s="20" t="str">
        <f aca="false">VLOOKUP(V786,Sheet2!Q:R,2,0)</f>
        <v>IR Normal - BER to IR</v>
      </c>
      <c r="X786" s="17" t="str">
        <f aca="false">J786</f>
        <v>A018</v>
      </c>
      <c r="Y786" s="17" t="str">
        <f aca="false">VLOOKUP(X786,Sheet2!A:B,2,0)</f>
        <v>PRAKASH CHAVDA</v>
      </c>
      <c r="Z786" s="17" t="s">
        <v>136</v>
      </c>
      <c r="AA786" s="17" t="s">
        <v>449</v>
      </c>
      <c r="AB786" s="17" t="s">
        <v>41</v>
      </c>
      <c r="AC786" s="0" t="str">
        <f aca="false">LEFT(G786,2)</f>
        <v>13</v>
      </c>
      <c r="AD786" s="0"/>
      <c r="AE786" s="21" t="s">
        <v>42</v>
      </c>
    </row>
    <row r="787" customFormat="false" ht="15" hidden="false" customHeight="false" outlineLevel="0" collapsed="false">
      <c r="A787" s="13" t="n">
        <f aca="false">1+A786</f>
        <v>785</v>
      </c>
      <c r="B787" s="17" t="n">
        <v>1009092145</v>
      </c>
      <c r="C787" s="17" t="s">
        <v>414</v>
      </c>
      <c r="D787" s="17" t="s">
        <v>64</v>
      </c>
      <c r="E787" s="17" t="s">
        <v>47</v>
      </c>
      <c r="F787" s="18" t="s">
        <v>34</v>
      </c>
      <c r="G787" s="19" t="n">
        <v>134230066273</v>
      </c>
      <c r="H787" s="17" t="s">
        <v>134</v>
      </c>
      <c r="I787" s="17" t="s">
        <v>44</v>
      </c>
      <c r="J787" s="17" t="s">
        <v>106</v>
      </c>
      <c r="K787" s="17" t="str">
        <f aca="false">VLOOKUP(J787,Sheet2!A:B,2,0)</f>
        <v>PRAKASH CHAVDA</v>
      </c>
      <c r="L787" s="17" t="n">
        <v>5</v>
      </c>
      <c r="M787" s="17" t="str">
        <f aca="false">VLOOKUP(L787,Sheet2!D:E,2,0)</f>
        <v>Main Processor CPU BGA</v>
      </c>
      <c r="N787" s="17" t="n">
        <v>1</v>
      </c>
      <c r="O787" s="17" t="str">
        <f aca="false">VLOOKUP(N787,Sheet2!G:H,2,0)</f>
        <v>Dead</v>
      </c>
      <c r="P787" s="17" t="n">
        <v>12</v>
      </c>
      <c r="Q787" s="17" t="str">
        <f aca="false">VLOOKUP(P787,Sheet2!J:K,2,0)</f>
        <v>IR Declared due to Others ( IR Normal)TB</v>
      </c>
      <c r="R787" s="17" t="s">
        <v>35</v>
      </c>
      <c r="S787" s="17" t="str">
        <f aca="false">VLOOKUP(R787,Sheet2!N:O,2,0)</f>
        <v>IREPARABLE</v>
      </c>
      <c r="T787" s="18" t="str">
        <f aca="false">VLOOKUP(P787,Sheet2!Q:R,2,0)</f>
        <v>IR Normal - BER to IR</v>
      </c>
      <c r="U787" s="20" t="s">
        <v>135</v>
      </c>
      <c r="V787" s="17" t="n">
        <v>12</v>
      </c>
      <c r="W787" s="20" t="str">
        <f aca="false">VLOOKUP(V787,Sheet2!Q:R,2,0)</f>
        <v>IR Normal - BER to IR</v>
      </c>
      <c r="X787" s="17" t="str">
        <f aca="false">J787</f>
        <v>A018</v>
      </c>
      <c r="Y787" s="17" t="str">
        <f aca="false">VLOOKUP(X787,Sheet2!A:B,2,0)</f>
        <v>PRAKASH CHAVDA</v>
      </c>
      <c r="Z787" s="17" t="s">
        <v>136</v>
      </c>
      <c r="AA787" s="17" t="s">
        <v>449</v>
      </c>
      <c r="AB787" s="17" t="s">
        <v>41</v>
      </c>
      <c r="AC787" s="0" t="str">
        <f aca="false">LEFT(G787,2)</f>
        <v>13</v>
      </c>
      <c r="AD787" s="0"/>
      <c r="AE787" s="21" t="s">
        <v>42</v>
      </c>
    </row>
    <row r="788" customFormat="false" ht="15" hidden="false" customHeight="false" outlineLevel="0" collapsed="false">
      <c r="A788" s="13" t="n">
        <f aca="false">1+A787</f>
        <v>786</v>
      </c>
      <c r="B788" s="17" t="n">
        <v>1009091837</v>
      </c>
      <c r="C788" s="17" t="s">
        <v>414</v>
      </c>
      <c r="D788" s="17" t="s">
        <v>64</v>
      </c>
      <c r="E788" s="17" t="s">
        <v>64</v>
      </c>
      <c r="F788" s="18" t="s">
        <v>70</v>
      </c>
      <c r="G788" s="19" t="n">
        <v>135225040967</v>
      </c>
      <c r="H788" s="17" t="s">
        <v>134</v>
      </c>
      <c r="I788" s="17" t="s">
        <v>44</v>
      </c>
      <c r="J788" s="17" t="s">
        <v>106</v>
      </c>
      <c r="K788" s="17" t="str">
        <f aca="false">VLOOKUP(J788,Sheet2!A:B,2,0)</f>
        <v>PRAKASH CHAVDA</v>
      </c>
      <c r="L788" s="17" t="n">
        <v>5</v>
      </c>
      <c r="M788" s="17" t="str">
        <f aca="false">VLOOKUP(L788,Sheet2!D:E,2,0)</f>
        <v>Main Processor CPU BGA</v>
      </c>
      <c r="N788" s="17" t="n">
        <v>1</v>
      </c>
      <c r="O788" s="17" t="str">
        <f aca="false">VLOOKUP(N788,Sheet2!G:H,2,0)</f>
        <v>Dead</v>
      </c>
      <c r="P788" s="17" t="n">
        <v>12</v>
      </c>
      <c r="Q788" s="17" t="str">
        <f aca="false">VLOOKUP(P788,Sheet2!J:K,2,0)</f>
        <v>IR Declared due to Others ( IR Normal)TB</v>
      </c>
      <c r="R788" s="17" t="s">
        <v>35</v>
      </c>
      <c r="S788" s="17" t="str">
        <f aca="false">VLOOKUP(R788,Sheet2!N:O,2,0)</f>
        <v>IREPARABLE</v>
      </c>
      <c r="T788" s="18" t="str">
        <f aca="false">VLOOKUP(P788,Sheet2!Q:R,2,0)</f>
        <v>IR Normal - BER to IR</v>
      </c>
      <c r="U788" s="20" t="s">
        <v>135</v>
      </c>
      <c r="V788" s="17" t="n">
        <v>12</v>
      </c>
      <c r="W788" s="20" t="str">
        <f aca="false">VLOOKUP(V788,Sheet2!Q:R,2,0)</f>
        <v>IR Normal - BER to IR</v>
      </c>
      <c r="X788" s="17" t="str">
        <f aca="false">J788</f>
        <v>A018</v>
      </c>
      <c r="Y788" s="17" t="str">
        <f aca="false">VLOOKUP(X788,Sheet2!A:B,2,0)</f>
        <v>PRAKASH CHAVDA</v>
      </c>
      <c r="Z788" s="17" t="s">
        <v>136</v>
      </c>
      <c r="AA788" s="17" t="s">
        <v>449</v>
      </c>
      <c r="AB788" s="17" t="s">
        <v>41</v>
      </c>
      <c r="AC788" s="0" t="str">
        <f aca="false">LEFT(G788,2)</f>
        <v>13</v>
      </c>
      <c r="AD788" s="0"/>
      <c r="AE788" s="21" t="s">
        <v>42</v>
      </c>
    </row>
    <row r="789" customFormat="false" ht="15" hidden="false" customHeight="false" outlineLevel="0" collapsed="false">
      <c r="A789" s="13" t="n">
        <f aca="false">1+A788</f>
        <v>787</v>
      </c>
      <c r="B789" s="17" t="n">
        <v>1009091560</v>
      </c>
      <c r="C789" s="17" t="s">
        <v>414</v>
      </c>
      <c r="D789" s="17" t="s">
        <v>420</v>
      </c>
      <c r="E789" s="17" t="s">
        <v>47</v>
      </c>
      <c r="F789" s="18" t="s">
        <v>34</v>
      </c>
      <c r="G789" s="19" t="n">
        <v>135199062427</v>
      </c>
      <c r="H789" s="17" t="s">
        <v>134</v>
      </c>
      <c r="I789" s="17" t="s">
        <v>44</v>
      </c>
      <c r="J789" s="17" t="s">
        <v>106</v>
      </c>
      <c r="K789" s="17" t="str">
        <f aca="false">VLOOKUP(J789,Sheet2!A:B,2,0)</f>
        <v>PRAKASH CHAVDA</v>
      </c>
      <c r="L789" s="17" t="n">
        <v>5</v>
      </c>
      <c r="M789" s="17" t="str">
        <f aca="false">VLOOKUP(L789,Sheet2!D:E,2,0)</f>
        <v>Main Processor CPU BGA</v>
      </c>
      <c r="N789" s="17" t="n">
        <v>1</v>
      </c>
      <c r="O789" s="17" t="str">
        <f aca="false">VLOOKUP(N789,Sheet2!G:H,2,0)</f>
        <v>Dead</v>
      </c>
      <c r="P789" s="17" t="n">
        <v>12</v>
      </c>
      <c r="Q789" s="17" t="str">
        <f aca="false">VLOOKUP(P789,Sheet2!J:K,2,0)</f>
        <v>IR Declared due to Others ( IR Normal)TB</v>
      </c>
      <c r="R789" s="17" t="s">
        <v>35</v>
      </c>
      <c r="S789" s="17" t="str">
        <f aca="false">VLOOKUP(R789,Sheet2!N:O,2,0)</f>
        <v>IREPARABLE</v>
      </c>
      <c r="T789" s="18" t="str">
        <f aca="false">VLOOKUP(P789,Sheet2!Q:R,2,0)</f>
        <v>IR Normal - BER to IR</v>
      </c>
      <c r="U789" s="20" t="s">
        <v>135</v>
      </c>
      <c r="V789" s="17" t="n">
        <v>12</v>
      </c>
      <c r="W789" s="20" t="str">
        <f aca="false">VLOOKUP(V789,Sheet2!Q:R,2,0)</f>
        <v>IR Normal - BER to IR</v>
      </c>
      <c r="X789" s="17" t="str">
        <f aca="false">J789</f>
        <v>A018</v>
      </c>
      <c r="Y789" s="17" t="str">
        <f aca="false">VLOOKUP(X789,Sheet2!A:B,2,0)</f>
        <v>PRAKASH CHAVDA</v>
      </c>
      <c r="Z789" s="17" t="s">
        <v>136</v>
      </c>
      <c r="AA789" s="17" t="s">
        <v>449</v>
      </c>
      <c r="AB789" s="17" t="s">
        <v>41</v>
      </c>
      <c r="AC789" s="0" t="str">
        <f aca="false">LEFT(G789,2)</f>
        <v>13</v>
      </c>
      <c r="AD789" s="0"/>
      <c r="AE789" s="21" t="s">
        <v>42</v>
      </c>
    </row>
    <row r="790" customFormat="false" ht="15" hidden="false" customHeight="false" outlineLevel="0" collapsed="false">
      <c r="A790" s="13" t="n">
        <f aca="false">1+A789</f>
        <v>788</v>
      </c>
      <c r="B790" s="17" t="n">
        <v>1009091649</v>
      </c>
      <c r="C790" s="17" t="s">
        <v>414</v>
      </c>
      <c r="D790" s="17" t="s">
        <v>451</v>
      </c>
      <c r="E790" s="17" t="s">
        <v>33</v>
      </c>
      <c r="F790" s="18" t="s">
        <v>34</v>
      </c>
      <c r="G790" s="19" t="n">
        <v>134106172635</v>
      </c>
      <c r="H790" s="17" t="s">
        <v>134</v>
      </c>
      <c r="I790" s="17" t="s">
        <v>44</v>
      </c>
      <c r="J790" s="17" t="s">
        <v>106</v>
      </c>
      <c r="K790" s="17" t="str">
        <f aca="false">VLOOKUP(J790,Sheet2!A:B,2,0)</f>
        <v>PRAKASH CHAVDA</v>
      </c>
      <c r="L790" s="17" t="n">
        <v>5</v>
      </c>
      <c r="M790" s="17" t="str">
        <f aca="false">VLOOKUP(L790,Sheet2!D:E,2,0)</f>
        <v>Main Processor CPU BGA</v>
      </c>
      <c r="N790" s="17" t="n">
        <v>24</v>
      </c>
      <c r="O790" s="17" t="str">
        <f aca="false">VLOOKUP(N790,Sheet2!G:H,2,0)</f>
        <v>STB Auto moving -Stand by mode</v>
      </c>
      <c r="P790" s="17" t="n">
        <v>12</v>
      </c>
      <c r="Q790" s="17" t="str">
        <f aca="false">VLOOKUP(P790,Sheet2!J:K,2,0)</f>
        <v>IR Declared due to Others ( IR Normal)TB</v>
      </c>
      <c r="R790" s="17" t="s">
        <v>35</v>
      </c>
      <c r="S790" s="17" t="str">
        <f aca="false">VLOOKUP(R790,Sheet2!N:O,2,0)</f>
        <v>IREPARABLE</v>
      </c>
      <c r="T790" s="18" t="str">
        <f aca="false">VLOOKUP(P790,Sheet2!Q:R,2,0)</f>
        <v>IR Normal - BER to IR</v>
      </c>
      <c r="U790" s="20" t="s">
        <v>135</v>
      </c>
      <c r="V790" s="17" t="n">
        <v>12</v>
      </c>
      <c r="W790" s="20" t="str">
        <f aca="false">VLOOKUP(V790,Sheet2!Q:R,2,0)</f>
        <v>IR Normal - BER to IR</v>
      </c>
      <c r="X790" s="17" t="str">
        <f aca="false">J790</f>
        <v>A018</v>
      </c>
      <c r="Y790" s="17" t="str">
        <f aca="false">VLOOKUP(X790,Sheet2!A:B,2,0)</f>
        <v>PRAKASH CHAVDA</v>
      </c>
      <c r="Z790" s="17" t="s">
        <v>136</v>
      </c>
      <c r="AA790" s="17" t="s">
        <v>449</v>
      </c>
      <c r="AB790" s="17" t="s">
        <v>41</v>
      </c>
      <c r="AC790" s="0" t="str">
        <f aca="false">LEFT(G790,2)</f>
        <v>13</v>
      </c>
      <c r="AD790" s="0"/>
      <c r="AE790" s="21" t="s">
        <v>42</v>
      </c>
    </row>
    <row r="791" customFormat="false" ht="15" hidden="false" customHeight="false" outlineLevel="0" collapsed="false">
      <c r="A791" s="13" t="n">
        <f aca="false">1+A790</f>
        <v>789</v>
      </c>
      <c r="B791" s="17" t="n">
        <v>1009691854</v>
      </c>
      <c r="C791" s="17" t="s">
        <v>414</v>
      </c>
      <c r="D791" s="17" t="s">
        <v>64</v>
      </c>
      <c r="E791" s="17" t="s">
        <v>33</v>
      </c>
      <c r="F791" s="18" t="s">
        <v>34</v>
      </c>
      <c r="G791" s="19" t="n">
        <v>134052528095</v>
      </c>
      <c r="H791" s="17" t="s">
        <v>134</v>
      </c>
      <c r="I791" s="17" t="s">
        <v>44</v>
      </c>
      <c r="J791" s="17" t="s">
        <v>106</v>
      </c>
      <c r="K791" s="17" t="str">
        <f aca="false">VLOOKUP(J791,Sheet2!A:B,2,0)</f>
        <v>PRAKASH CHAVDA</v>
      </c>
      <c r="L791" s="17" t="n">
        <v>5</v>
      </c>
      <c r="M791" s="17" t="str">
        <f aca="false">VLOOKUP(L791,Sheet2!D:E,2,0)</f>
        <v>Main Processor CPU BGA</v>
      </c>
      <c r="N791" s="17" t="n">
        <v>24</v>
      </c>
      <c r="O791" s="17" t="str">
        <f aca="false">VLOOKUP(N791,Sheet2!G:H,2,0)</f>
        <v>STB Auto moving -Stand by mode</v>
      </c>
      <c r="P791" s="17" t="n">
        <v>12</v>
      </c>
      <c r="Q791" s="17" t="str">
        <f aca="false">VLOOKUP(P791,Sheet2!J:K,2,0)</f>
        <v>IR Declared due to Others ( IR Normal)TB</v>
      </c>
      <c r="R791" s="17" t="s">
        <v>35</v>
      </c>
      <c r="S791" s="17" t="str">
        <f aca="false">VLOOKUP(R791,Sheet2!N:O,2,0)</f>
        <v>IREPARABLE</v>
      </c>
      <c r="T791" s="18" t="str">
        <f aca="false">VLOOKUP(P791,Sheet2!Q:R,2,0)</f>
        <v>IR Normal - BER to IR</v>
      </c>
      <c r="U791" s="20" t="s">
        <v>135</v>
      </c>
      <c r="V791" s="17" t="n">
        <v>12</v>
      </c>
      <c r="W791" s="20" t="str">
        <f aca="false">VLOOKUP(V791,Sheet2!Q:R,2,0)</f>
        <v>IR Normal - BER to IR</v>
      </c>
      <c r="X791" s="17" t="str">
        <f aca="false">J791</f>
        <v>A018</v>
      </c>
      <c r="Y791" s="17" t="str">
        <f aca="false">VLOOKUP(X791,Sheet2!A:B,2,0)</f>
        <v>PRAKASH CHAVDA</v>
      </c>
      <c r="Z791" s="17" t="s">
        <v>136</v>
      </c>
      <c r="AA791" s="17" t="s">
        <v>449</v>
      </c>
      <c r="AB791" s="17" t="s">
        <v>41</v>
      </c>
      <c r="AC791" s="0" t="str">
        <f aca="false">LEFT(G791,2)</f>
        <v>13</v>
      </c>
      <c r="AD791" s="0"/>
      <c r="AE791" s="21" t="s">
        <v>42</v>
      </c>
    </row>
    <row r="792" customFormat="false" ht="15" hidden="false" customHeight="false" outlineLevel="0" collapsed="false">
      <c r="A792" s="13" t="n">
        <f aca="false">1+A791</f>
        <v>790</v>
      </c>
      <c r="B792" s="17" t="n">
        <v>1009091234</v>
      </c>
      <c r="C792" s="17" t="s">
        <v>414</v>
      </c>
      <c r="D792" s="17" t="s">
        <v>64</v>
      </c>
      <c r="E792" s="17" t="s">
        <v>64</v>
      </c>
      <c r="F792" s="18" t="s">
        <v>70</v>
      </c>
      <c r="G792" s="19" t="n">
        <v>135220079184</v>
      </c>
      <c r="H792" s="17" t="s">
        <v>134</v>
      </c>
      <c r="I792" s="17" t="s">
        <v>44</v>
      </c>
      <c r="J792" s="17" t="s">
        <v>106</v>
      </c>
      <c r="K792" s="17" t="str">
        <f aca="false">VLOOKUP(J792,Sheet2!A:B,2,0)</f>
        <v>PRAKASH CHAVDA</v>
      </c>
      <c r="L792" s="17" t="n">
        <v>5</v>
      </c>
      <c r="M792" s="17" t="str">
        <f aca="false">VLOOKUP(L792,Sheet2!D:E,2,0)</f>
        <v>Main Processor CPU BGA</v>
      </c>
      <c r="N792" s="17" t="n">
        <v>1</v>
      </c>
      <c r="O792" s="17" t="str">
        <f aca="false">VLOOKUP(N792,Sheet2!G:H,2,0)</f>
        <v>Dead</v>
      </c>
      <c r="P792" s="17" t="n">
        <v>12</v>
      </c>
      <c r="Q792" s="17" t="str">
        <f aca="false">VLOOKUP(P792,Sheet2!J:K,2,0)</f>
        <v>IR Declared due to Others ( IR Normal)TB</v>
      </c>
      <c r="R792" s="17" t="s">
        <v>35</v>
      </c>
      <c r="S792" s="17" t="str">
        <f aca="false">VLOOKUP(R792,Sheet2!N:O,2,0)</f>
        <v>IREPARABLE</v>
      </c>
      <c r="T792" s="18" t="str">
        <f aca="false">VLOOKUP(P792,Sheet2!Q:R,2,0)</f>
        <v>IR Normal - BER to IR</v>
      </c>
      <c r="U792" s="20" t="s">
        <v>135</v>
      </c>
      <c r="V792" s="17" t="n">
        <v>12</v>
      </c>
      <c r="W792" s="20" t="str">
        <f aca="false">VLOOKUP(V792,Sheet2!Q:R,2,0)</f>
        <v>IR Normal - BER to IR</v>
      </c>
      <c r="X792" s="17" t="str">
        <f aca="false">J792</f>
        <v>A018</v>
      </c>
      <c r="Y792" s="17" t="str">
        <f aca="false">VLOOKUP(X792,Sheet2!A:B,2,0)</f>
        <v>PRAKASH CHAVDA</v>
      </c>
      <c r="Z792" s="17" t="s">
        <v>136</v>
      </c>
      <c r="AA792" s="17" t="s">
        <v>449</v>
      </c>
      <c r="AB792" s="17" t="s">
        <v>41</v>
      </c>
      <c r="AC792" s="0" t="str">
        <f aca="false">LEFT(G792,2)</f>
        <v>13</v>
      </c>
      <c r="AD792" s="0"/>
      <c r="AE792" s="21" t="s">
        <v>42</v>
      </c>
    </row>
    <row r="793" customFormat="false" ht="15" hidden="false" customHeight="false" outlineLevel="0" collapsed="false">
      <c r="A793" s="13" t="n">
        <f aca="false">1+A792</f>
        <v>791</v>
      </c>
      <c r="B793" s="17" t="n">
        <v>1009091843</v>
      </c>
      <c r="C793" s="17" t="s">
        <v>414</v>
      </c>
      <c r="D793" s="17" t="s">
        <v>64</v>
      </c>
      <c r="E793" s="17" t="s">
        <v>47</v>
      </c>
      <c r="F793" s="18" t="s">
        <v>34</v>
      </c>
      <c r="G793" s="19" t="n">
        <v>134263040054</v>
      </c>
      <c r="H793" s="17" t="s">
        <v>134</v>
      </c>
      <c r="I793" s="17" t="s">
        <v>44</v>
      </c>
      <c r="J793" s="17" t="s">
        <v>106</v>
      </c>
      <c r="K793" s="17" t="str">
        <f aca="false">VLOOKUP(J793,Sheet2!A:B,2,0)</f>
        <v>PRAKASH CHAVDA</v>
      </c>
      <c r="L793" s="17" t="n">
        <v>5</v>
      </c>
      <c r="M793" s="17" t="str">
        <f aca="false">VLOOKUP(L793,Sheet2!D:E,2,0)</f>
        <v>Main Processor CPU BGA</v>
      </c>
      <c r="N793" s="17" t="n">
        <v>24</v>
      </c>
      <c r="O793" s="17" t="str">
        <f aca="false">VLOOKUP(N793,Sheet2!G:H,2,0)</f>
        <v>STB Auto moving -Stand by mode</v>
      </c>
      <c r="P793" s="17" t="n">
        <v>12</v>
      </c>
      <c r="Q793" s="17" t="str">
        <f aca="false">VLOOKUP(P793,Sheet2!J:K,2,0)</f>
        <v>IR Declared due to Others ( IR Normal)TB</v>
      </c>
      <c r="R793" s="17" t="s">
        <v>35</v>
      </c>
      <c r="S793" s="17" t="str">
        <f aca="false">VLOOKUP(R793,Sheet2!N:O,2,0)</f>
        <v>IREPARABLE</v>
      </c>
      <c r="T793" s="18" t="str">
        <f aca="false">VLOOKUP(P793,Sheet2!Q:R,2,0)</f>
        <v>IR Normal - BER to IR</v>
      </c>
      <c r="U793" s="20" t="s">
        <v>135</v>
      </c>
      <c r="V793" s="17" t="n">
        <v>12</v>
      </c>
      <c r="W793" s="20" t="str">
        <f aca="false">VLOOKUP(V793,Sheet2!Q:R,2,0)</f>
        <v>IR Normal - BER to IR</v>
      </c>
      <c r="X793" s="17" t="str">
        <f aca="false">J793</f>
        <v>A018</v>
      </c>
      <c r="Y793" s="17" t="str">
        <f aca="false">VLOOKUP(X793,Sheet2!A:B,2,0)</f>
        <v>PRAKASH CHAVDA</v>
      </c>
      <c r="Z793" s="17" t="s">
        <v>136</v>
      </c>
      <c r="AA793" s="17" t="s">
        <v>449</v>
      </c>
      <c r="AB793" s="17" t="s">
        <v>41</v>
      </c>
      <c r="AC793" s="0" t="str">
        <f aca="false">LEFT(G793,2)</f>
        <v>13</v>
      </c>
      <c r="AD793" s="0"/>
      <c r="AE793" s="21" t="s">
        <v>42</v>
      </c>
    </row>
    <row r="794" customFormat="false" ht="15" hidden="false" customHeight="false" outlineLevel="0" collapsed="false">
      <c r="A794" s="13" t="n">
        <f aca="false">1+A793</f>
        <v>792</v>
      </c>
      <c r="B794" s="17" t="n">
        <v>1009662917</v>
      </c>
      <c r="C794" s="17" t="s">
        <v>433</v>
      </c>
      <c r="D794" s="17" t="s">
        <v>64</v>
      </c>
      <c r="E794" s="17" t="s">
        <v>64</v>
      </c>
      <c r="F794" s="18" t="s">
        <v>70</v>
      </c>
      <c r="G794" s="19" t="n">
        <v>134211046518</v>
      </c>
      <c r="H794" s="17" t="s">
        <v>134</v>
      </c>
      <c r="I794" s="17" t="s">
        <v>44</v>
      </c>
      <c r="J794" s="17" t="s">
        <v>106</v>
      </c>
      <c r="K794" s="17" t="str">
        <f aca="false">VLOOKUP(J794,Sheet2!A:B,2,0)</f>
        <v>PRAKASH CHAVDA</v>
      </c>
      <c r="L794" s="17" t="n">
        <v>5</v>
      </c>
      <c r="M794" s="17" t="str">
        <f aca="false">VLOOKUP(L794,Sheet2!D:E,2,0)</f>
        <v>Main Processor CPU BGA</v>
      </c>
      <c r="N794" s="17" t="n">
        <v>24</v>
      </c>
      <c r="O794" s="17" t="str">
        <f aca="false">VLOOKUP(N794,Sheet2!G:H,2,0)</f>
        <v>STB Auto moving -Stand by mode</v>
      </c>
      <c r="P794" s="17" t="n">
        <v>12</v>
      </c>
      <c r="Q794" s="17" t="str">
        <f aca="false">VLOOKUP(P794,Sheet2!J:K,2,0)</f>
        <v>IR Declared due to Others ( IR Normal)TB</v>
      </c>
      <c r="R794" s="17" t="s">
        <v>35</v>
      </c>
      <c r="S794" s="17" t="str">
        <f aca="false">VLOOKUP(R794,Sheet2!N:O,2,0)</f>
        <v>IREPARABLE</v>
      </c>
      <c r="T794" s="18" t="str">
        <f aca="false">VLOOKUP(P794,Sheet2!Q:R,2,0)</f>
        <v>IR Normal - BER to IR</v>
      </c>
      <c r="U794" s="20" t="s">
        <v>135</v>
      </c>
      <c r="V794" s="17" t="n">
        <v>12</v>
      </c>
      <c r="W794" s="20" t="str">
        <f aca="false">VLOOKUP(V794,Sheet2!Q:R,2,0)</f>
        <v>IR Normal - BER to IR</v>
      </c>
      <c r="X794" s="17" t="str">
        <f aca="false">J794</f>
        <v>A018</v>
      </c>
      <c r="Y794" s="17" t="str">
        <f aca="false">VLOOKUP(X794,Sheet2!A:B,2,0)</f>
        <v>PRAKASH CHAVDA</v>
      </c>
      <c r="Z794" s="17" t="s">
        <v>136</v>
      </c>
      <c r="AA794" s="17" t="s">
        <v>449</v>
      </c>
      <c r="AB794" s="17" t="s">
        <v>41</v>
      </c>
      <c r="AC794" s="0" t="str">
        <f aca="false">LEFT(G794,2)</f>
        <v>13</v>
      </c>
      <c r="AD794" s="0"/>
      <c r="AE794" s="21" t="s">
        <v>42</v>
      </c>
    </row>
    <row r="795" customFormat="false" ht="15" hidden="false" customHeight="false" outlineLevel="0" collapsed="false">
      <c r="A795" s="13" t="n">
        <f aca="false">1+A794</f>
        <v>793</v>
      </c>
      <c r="B795" s="17" t="n">
        <v>1009092238</v>
      </c>
      <c r="C795" s="17" t="s">
        <v>414</v>
      </c>
      <c r="D795" s="17" t="s">
        <v>64</v>
      </c>
      <c r="E795" s="17" t="s">
        <v>33</v>
      </c>
      <c r="F795" s="18" t="s">
        <v>34</v>
      </c>
      <c r="G795" s="19" t="n">
        <v>134230151372</v>
      </c>
      <c r="H795" s="17" t="s">
        <v>134</v>
      </c>
      <c r="I795" s="17" t="s">
        <v>44</v>
      </c>
      <c r="J795" s="17" t="s">
        <v>106</v>
      </c>
      <c r="K795" s="17" t="str">
        <f aca="false">VLOOKUP(J795,Sheet2!A:B,2,0)</f>
        <v>PRAKASH CHAVDA</v>
      </c>
      <c r="L795" s="17" t="n">
        <v>5</v>
      </c>
      <c r="M795" s="17" t="str">
        <f aca="false">VLOOKUP(L795,Sheet2!D:E,2,0)</f>
        <v>Main Processor CPU BGA</v>
      </c>
      <c r="N795" s="17" t="n">
        <v>24</v>
      </c>
      <c r="O795" s="17" t="str">
        <f aca="false">VLOOKUP(N795,Sheet2!G:H,2,0)</f>
        <v>STB Auto moving -Stand by mode</v>
      </c>
      <c r="P795" s="17" t="n">
        <v>12</v>
      </c>
      <c r="Q795" s="17" t="str">
        <f aca="false">VLOOKUP(P795,Sheet2!J:K,2,0)</f>
        <v>IR Declared due to Others ( IR Normal)TB</v>
      </c>
      <c r="R795" s="17" t="s">
        <v>35</v>
      </c>
      <c r="S795" s="17" t="str">
        <f aca="false">VLOOKUP(R795,Sheet2!N:O,2,0)</f>
        <v>IREPARABLE</v>
      </c>
      <c r="T795" s="18" t="str">
        <f aca="false">VLOOKUP(P795,Sheet2!Q:R,2,0)</f>
        <v>IR Normal - BER to IR</v>
      </c>
      <c r="U795" s="20" t="s">
        <v>135</v>
      </c>
      <c r="V795" s="17" t="n">
        <v>12</v>
      </c>
      <c r="W795" s="20" t="str">
        <f aca="false">VLOOKUP(V795,Sheet2!Q:R,2,0)</f>
        <v>IR Normal - BER to IR</v>
      </c>
      <c r="X795" s="17" t="str">
        <f aca="false">J795</f>
        <v>A018</v>
      </c>
      <c r="Y795" s="17" t="str">
        <f aca="false">VLOOKUP(X795,Sheet2!A:B,2,0)</f>
        <v>PRAKASH CHAVDA</v>
      </c>
      <c r="Z795" s="17" t="s">
        <v>136</v>
      </c>
      <c r="AA795" s="17" t="s">
        <v>449</v>
      </c>
      <c r="AB795" s="17" t="s">
        <v>41</v>
      </c>
      <c r="AC795" s="0" t="str">
        <f aca="false">LEFT(G795,2)</f>
        <v>13</v>
      </c>
      <c r="AD795" s="0"/>
      <c r="AE795" s="21" t="s">
        <v>42</v>
      </c>
    </row>
    <row r="796" customFormat="false" ht="15" hidden="false" customHeight="false" outlineLevel="0" collapsed="false">
      <c r="A796" s="13" t="n">
        <f aca="false">1+A795</f>
        <v>794</v>
      </c>
      <c r="B796" s="17" t="n">
        <v>1009092092</v>
      </c>
      <c r="C796" s="17" t="s">
        <v>414</v>
      </c>
      <c r="D796" s="17" t="s">
        <v>64</v>
      </c>
      <c r="E796" s="17" t="s">
        <v>64</v>
      </c>
      <c r="F796" s="18" t="s">
        <v>70</v>
      </c>
      <c r="G796" s="19" t="n">
        <v>134255246446</v>
      </c>
      <c r="H796" s="17" t="s">
        <v>134</v>
      </c>
      <c r="I796" s="17" t="s">
        <v>44</v>
      </c>
      <c r="J796" s="17" t="s">
        <v>106</v>
      </c>
      <c r="K796" s="17" t="str">
        <f aca="false">VLOOKUP(J796,Sheet2!A:B,2,0)</f>
        <v>PRAKASH CHAVDA</v>
      </c>
      <c r="L796" s="17" t="n">
        <v>5</v>
      </c>
      <c r="M796" s="17" t="str">
        <f aca="false">VLOOKUP(L796,Sheet2!D:E,2,0)</f>
        <v>Main Processor CPU BGA</v>
      </c>
      <c r="N796" s="17" t="n">
        <v>1</v>
      </c>
      <c r="O796" s="17" t="str">
        <f aca="false">VLOOKUP(N796,Sheet2!G:H,2,0)</f>
        <v>Dead</v>
      </c>
      <c r="P796" s="17" t="n">
        <v>12</v>
      </c>
      <c r="Q796" s="17" t="str">
        <f aca="false">VLOOKUP(P796,Sheet2!J:K,2,0)</f>
        <v>IR Declared due to Others ( IR Normal)TB</v>
      </c>
      <c r="R796" s="17" t="s">
        <v>35</v>
      </c>
      <c r="S796" s="17" t="str">
        <f aca="false">VLOOKUP(R796,Sheet2!N:O,2,0)</f>
        <v>IREPARABLE</v>
      </c>
      <c r="T796" s="18" t="str">
        <f aca="false">VLOOKUP(P796,Sheet2!Q:R,2,0)</f>
        <v>IR Normal - BER to IR</v>
      </c>
      <c r="U796" s="20" t="s">
        <v>135</v>
      </c>
      <c r="V796" s="17" t="n">
        <v>12</v>
      </c>
      <c r="W796" s="20" t="str">
        <f aca="false">VLOOKUP(V796,Sheet2!Q:R,2,0)</f>
        <v>IR Normal - BER to IR</v>
      </c>
      <c r="X796" s="17" t="str">
        <f aca="false">J796</f>
        <v>A018</v>
      </c>
      <c r="Y796" s="17" t="str">
        <f aca="false">VLOOKUP(X796,Sheet2!A:B,2,0)</f>
        <v>PRAKASH CHAVDA</v>
      </c>
      <c r="Z796" s="17" t="s">
        <v>136</v>
      </c>
      <c r="AA796" s="17" t="s">
        <v>449</v>
      </c>
      <c r="AB796" s="17" t="s">
        <v>41</v>
      </c>
      <c r="AC796" s="0" t="str">
        <f aca="false">LEFT(G796,2)</f>
        <v>13</v>
      </c>
      <c r="AD796" s="0"/>
      <c r="AE796" s="21" t="s">
        <v>42</v>
      </c>
    </row>
    <row r="797" customFormat="false" ht="15" hidden="false" customHeight="false" outlineLevel="0" collapsed="false">
      <c r="A797" s="13" t="n">
        <f aca="false">1+A796</f>
        <v>795</v>
      </c>
      <c r="B797" s="17" t="n">
        <v>1008875469</v>
      </c>
      <c r="C797" s="17" t="s">
        <v>452</v>
      </c>
      <c r="D797" s="17" t="s">
        <v>453</v>
      </c>
      <c r="E797" s="17" t="s">
        <v>47</v>
      </c>
      <c r="F797" s="18" t="s">
        <v>34</v>
      </c>
      <c r="G797" s="19" t="n">
        <v>134331005295</v>
      </c>
      <c r="H797" s="17" t="s">
        <v>134</v>
      </c>
      <c r="I797" s="17" t="s">
        <v>44</v>
      </c>
      <c r="J797" s="17" t="s">
        <v>106</v>
      </c>
      <c r="K797" s="17" t="str">
        <f aca="false">VLOOKUP(J797,Sheet2!A:B,2,0)</f>
        <v>PRAKASH CHAVDA</v>
      </c>
      <c r="L797" s="17" t="n">
        <v>5</v>
      </c>
      <c r="M797" s="17" t="str">
        <f aca="false">VLOOKUP(L797,Sheet2!D:E,2,0)</f>
        <v>Main Processor CPU BGA</v>
      </c>
      <c r="N797" s="17" t="n">
        <v>1</v>
      </c>
      <c r="O797" s="17" t="str">
        <f aca="false">VLOOKUP(N797,Sheet2!G:H,2,0)</f>
        <v>Dead</v>
      </c>
      <c r="P797" s="17" t="n">
        <v>12</v>
      </c>
      <c r="Q797" s="17" t="str">
        <f aca="false">VLOOKUP(P797,Sheet2!J:K,2,0)</f>
        <v>IR Declared due to Others ( IR Normal)TB</v>
      </c>
      <c r="R797" s="17" t="s">
        <v>35</v>
      </c>
      <c r="S797" s="17" t="str">
        <f aca="false">VLOOKUP(R797,Sheet2!N:O,2,0)</f>
        <v>IREPARABLE</v>
      </c>
      <c r="T797" s="18" t="str">
        <f aca="false">VLOOKUP(P797,Sheet2!Q:R,2,0)</f>
        <v>IR Normal - BER to IR</v>
      </c>
      <c r="U797" s="20" t="s">
        <v>135</v>
      </c>
      <c r="V797" s="17" t="n">
        <v>12</v>
      </c>
      <c r="W797" s="20" t="str">
        <f aca="false">VLOOKUP(V797,Sheet2!Q:R,2,0)</f>
        <v>IR Normal - BER to IR</v>
      </c>
      <c r="X797" s="17" t="str">
        <f aca="false">J797</f>
        <v>A018</v>
      </c>
      <c r="Y797" s="17" t="str">
        <f aca="false">VLOOKUP(X797,Sheet2!A:B,2,0)</f>
        <v>PRAKASH CHAVDA</v>
      </c>
      <c r="Z797" s="17" t="s">
        <v>136</v>
      </c>
      <c r="AA797" s="17" t="s">
        <v>449</v>
      </c>
      <c r="AB797" s="17" t="s">
        <v>41</v>
      </c>
      <c r="AC797" s="0" t="str">
        <f aca="false">LEFT(G797,2)</f>
        <v>13</v>
      </c>
      <c r="AD797" s="0"/>
      <c r="AE797" s="21" t="s">
        <v>42</v>
      </c>
    </row>
    <row r="798" customFormat="false" ht="15" hidden="false" customHeight="false" outlineLevel="0" collapsed="false">
      <c r="A798" s="13" t="n">
        <f aca="false">1+A797</f>
        <v>796</v>
      </c>
      <c r="B798" s="17" t="n">
        <v>1008907081</v>
      </c>
      <c r="C798" s="17" t="s">
        <v>454</v>
      </c>
      <c r="D798" s="17" t="s">
        <v>154</v>
      </c>
      <c r="E798" s="17" t="s">
        <v>91</v>
      </c>
      <c r="F798" s="18" t="s">
        <v>92</v>
      </c>
      <c r="G798" s="19" t="n">
        <v>134056423244</v>
      </c>
      <c r="H798" s="17" t="s">
        <v>134</v>
      </c>
      <c r="I798" s="17" t="s">
        <v>44</v>
      </c>
      <c r="J798" s="17" t="s">
        <v>106</v>
      </c>
      <c r="K798" s="17" t="str">
        <f aca="false">VLOOKUP(J798,Sheet2!A:B,2,0)</f>
        <v>PRAKASH CHAVDA</v>
      </c>
      <c r="L798" s="17" t="n">
        <v>5</v>
      </c>
      <c r="M798" s="17" t="str">
        <f aca="false">VLOOKUP(L798,Sheet2!D:E,2,0)</f>
        <v>Main Processor CPU BGA</v>
      </c>
      <c r="N798" s="17" t="n">
        <v>1</v>
      </c>
      <c r="O798" s="17" t="str">
        <f aca="false">VLOOKUP(N798,Sheet2!G:H,2,0)</f>
        <v>Dead</v>
      </c>
      <c r="P798" s="17" t="n">
        <v>12</v>
      </c>
      <c r="Q798" s="17" t="str">
        <f aca="false">VLOOKUP(P798,Sheet2!J:K,2,0)</f>
        <v>IR Declared due to Others ( IR Normal)TB</v>
      </c>
      <c r="R798" s="17" t="s">
        <v>35</v>
      </c>
      <c r="S798" s="17" t="str">
        <f aca="false">VLOOKUP(R798,Sheet2!N:O,2,0)</f>
        <v>IREPARABLE</v>
      </c>
      <c r="T798" s="18" t="str">
        <f aca="false">VLOOKUP(P798,Sheet2!Q:R,2,0)</f>
        <v>IR Normal - BER to IR</v>
      </c>
      <c r="U798" s="20" t="s">
        <v>135</v>
      </c>
      <c r="V798" s="17" t="n">
        <v>12</v>
      </c>
      <c r="W798" s="20" t="str">
        <f aca="false">VLOOKUP(V798,Sheet2!Q:R,2,0)</f>
        <v>IR Normal - BER to IR</v>
      </c>
      <c r="X798" s="17" t="str">
        <f aca="false">J798</f>
        <v>A018</v>
      </c>
      <c r="Y798" s="17" t="str">
        <f aca="false">VLOOKUP(X798,Sheet2!A:B,2,0)</f>
        <v>PRAKASH CHAVDA</v>
      </c>
      <c r="Z798" s="17" t="s">
        <v>136</v>
      </c>
      <c r="AA798" s="17" t="s">
        <v>449</v>
      </c>
      <c r="AB798" s="17" t="s">
        <v>41</v>
      </c>
      <c r="AC798" s="0" t="str">
        <f aca="false">LEFT(G798,2)</f>
        <v>13</v>
      </c>
      <c r="AD798" s="0"/>
      <c r="AE798" s="21" t="s">
        <v>42</v>
      </c>
    </row>
    <row r="799" customFormat="false" ht="15" hidden="false" customHeight="false" outlineLevel="0" collapsed="false">
      <c r="A799" s="13" t="n">
        <f aca="false">1+A798</f>
        <v>797</v>
      </c>
      <c r="B799" s="17" t="n">
        <v>1008829404</v>
      </c>
      <c r="C799" s="17" t="s">
        <v>455</v>
      </c>
      <c r="D799" s="17" t="s">
        <v>60</v>
      </c>
      <c r="E799" s="17" t="s">
        <v>47</v>
      </c>
      <c r="F799" s="18" t="s">
        <v>34</v>
      </c>
      <c r="G799" s="19" t="n">
        <v>134114055533</v>
      </c>
      <c r="H799" s="17" t="s">
        <v>134</v>
      </c>
      <c r="I799" s="17" t="s">
        <v>44</v>
      </c>
      <c r="J799" s="17" t="s">
        <v>106</v>
      </c>
      <c r="K799" s="17" t="str">
        <f aca="false">VLOOKUP(J799,Sheet2!A:B,2,0)</f>
        <v>PRAKASH CHAVDA</v>
      </c>
      <c r="L799" s="17" t="n">
        <v>5</v>
      </c>
      <c r="M799" s="17" t="str">
        <f aca="false">VLOOKUP(L799,Sheet2!D:E,2,0)</f>
        <v>Main Processor CPU BGA</v>
      </c>
      <c r="N799" s="17" t="n">
        <v>1</v>
      </c>
      <c r="O799" s="17" t="str">
        <f aca="false">VLOOKUP(N799,Sheet2!G:H,2,0)</f>
        <v>Dead</v>
      </c>
      <c r="P799" s="17" t="n">
        <v>12</v>
      </c>
      <c r="Q799" s="17" t="str">
        <f aca="false">VLOOKUP(P799,Sheet2!J:K,2,0)</f>
        <v>IR Declared due to Others ( IR Normal)TB</v>
      </c>
      <c r="R799" s="17" t="s">
        <v>35</v>
      </c>
      <c r="S799" s="17" t="str">
        <f aca="false">VLOOKUP(R799,Sheet2!N:O,2,0)</f>
        <v>IREPARABLE</v>
      </c>
      <c r="T799" s="18" t="str">
        <f aca="false">VLOOKUP(P799,Sheet2!Q:R,2,0)</f>
        <v>IR Normal - BER to IR</v>
      </c>
      <c r="U799" s="20" t="s">
        <v>135</v>
      </c>
      <c r="V799" s="17" t="n">
        <v>12</v>
      </c>
      <c r="W799" s="20" t="str">
        <f aca="false">VLOOKUP(V799,Sheet2!Q:R,2,0)</f>
        <v>IR Normal - BER to IR</v>
      </c>
      <c r="X799" s="17" t="str">
        <f aca="false">J799</f>
        <v>A018</v>
      </c>
      <c r="Y799" s="17" t="str">
        <f aca="false">VLOOKUP(X799,Sheet2!A:B,2,0)</f>
        <v>PRAKASH CHAVDA</v>
      </c>
      <c r="Z799" s="17" t="s">
        <v>136</v>
      </c>
      <c r="AA799" s="17" t="s">
        <v>449</v>
      </c>
      <c r="AB799" s="17" t="s">
        <v>41</v>
      </c>
      <c r="AC799" s="0" t="str">
        <f aca="false">LEFT(G799,2)</f>
        <v>13</v>
      </c>
      <c r="AD799" s="0"/>
      <c r="AE799" s="21" t="s">
        <v>42</v>
      </c>
    </row>
    <row r="800" customFormat="false" ht="15" hidden="false" customHeight="false" outlineLevel="0" collapsed="false">
      <c r="A800" s="13" t="n">
        <f aca="false">1+A799</f>
        <v>798</v>
      </c>
      <c r="B800" s="17" t="n">
        <v>1009092233</v>
      </c>
      <c r="C800" s="17" t="s">
        <v>414</v>
      </c>
      <c r="D800" s="17" t="s">
        <v>420</v>
      </c>
      <c r="E800" s="17" t="s">
        <v>47</v>
      </c>
      <c r="F800" s="18" t="s">
        <v>34</v>
      </c>
      <c r="G800" s="19" t="n">
        <v>134106078642</v>
      </c>
      <c r="H800" s="17" t="s">
        <v>134</v>
      </c>
      <c r="I800" s="17" t="s">
        <v>44</v>
      </c>
      <c r="J800" s="17" t="s">
        <v>106</v>
      </c>
      <c r="K800" s="17" t="str">
        <f aca="false">VLOOKUP(J800,Sheet2!A:B,2,0)</f>
        <v>PRAKASH CHAVDA</v>
      </c>
      <c r="L800" s="17" t="n">
        <v>5</v>
      </c>
      <c r="M800" s="17" t="str">
        <f aca="false">VLOOKUP(L800,Sheet2!D:E,2,0)</f>
        <v>Main Processor CPU BGA</v>
      </c>
      <c r="N800" s="17" t="n">
        <v>1</v>
      </c>
      <c r="O800" s="17" t="str">
        <f aca="false">VLOOKUP(N800,Sheet2!G:H,2,0)</f>
        <v>Dead</v>
      </c>
      <c r="P800" s="17" t="n">
        <v>12</v>
      </c>
      <c r="Q800" s="17" t="str">
        <f aca="false">VLOOKUP(P800,Sheet2!J:K,2,0)</f>
        <v>IR Declared due to Others ( IR Normal)TB</v>
      </c>
      <c r="R800" s="17" t="s">
        <v>35</v>
      </c>
      <c r="S800" s="17" t="str">
        <f aca="false">VLOOKUP(R800,Sheet2!N:O,2,0)</f>
        <v>IREPARABLE</v>
      </c>
      <c r="T800" s="18" t="str">
        <f aca="false">VLOOKUP(P800,Sheet2!Q:R,2,0)</f>
        <v>IR Normal - BER to IR</v>
      </c>
      <c r="U800" s="20" t="s">
        <v>135</v>
      </c>
      <c r="V800" s="17" t="n">
        <v>12</v>
      </c>
      <c r="W800" s="20" t="str">
        <f aca="false">VLOOKUP(V800,Sheet2!Q:R,2,0)</f>
        <v>IR Normal - BER to IR</v>
      </c>
      <c r="X800" s="17" t="str">
        <f aca="false">J800</f>
        <v>A018</v>
      </c>
      <c r="Y800" s="17" t="str">
        <f aca="false">VLOOKUP(X800,Sheet2!A:B,2,0)</f>
        <v>PRAKASH CHAVDA</v>
      </c>
      <c r="Z800" s="17" t="s">
        <v>136</v>
      </c>
      <c r="AA800" s="17" t="s">
        <v>449</v>
      </c>
      <c r="AB800" s="17" t="s">
        <v>41</v>
      </c>
      <c r="AC800" s="0" t="str">
        <f aca="false">LEFT(G800,2)</f>
        <v>13</v>
      </c>
      <c r="AD800" s="0"/>
      <c r="AE800" s="21" t="s">
        <v>42</v>
      </c>
    </row>
    <row r="801" customFormat="false" ht="15" hidden="false" customHeight="false" outlineLevel="0" collapsed="false">
      <c r="A801" s="13" t="n">
        <f aca="false">1+A800</f>
        <v>799</v>
      </c>
      <c r="B801" s="17" t="n">
        <v>1008370104</v>
      </c>
      <c r="C801" s="17" t="s">
        <v>456</v>
      </c>
      <c r="D801" s="17" t="s">
        <v>64</v>
      </c>
      <c r="E801" s="17" t="s">
        <v>91</v>
      </c>
      <c r="F801" s="18" t="s">
        <v>92</v>
      </c>
      <c r="G801" s="19" t="n">
        <v>134127263876</v>
      </c>
      <c r="H801" s="17" t="s">
        <v>134</v>
      </c>
      <c r="I801" s="17" t="s">
        <v>44</v>
      </c>
      <c r="J801" s="17" t="s">
        <v>106</v>
      </c>
      <c r="K801" s="17" t="str">
        <f aca="false">VLOOKUP(J801,Sheet2!A:B,2,0)</f>
        <v>PRAKASH CHAVDA</v>
      </c>
      <c r="L801" s="17" t="n">
        <v>5</v>
      </c>
      <c r="M801" s="17" t="str">
        <f aca="false">VLOOKUP(L801,Sheet2!D:E,2,0)</f>
        <v>Main Processor CPU BGA</v>
      </c>
      <c r="N801" s="17" t="n">
        <v>1</v>
      </c>
      <c r="O801" s="17" t="str">
        <f aca="false">VLOOKUP(N801,Sheet2!G:H,2,0)</f>
        <v>Dead</v>
      </c>
      <c r="P801" s="17" t="n">
        <v>12</v>
      </c>
      <c r="Q801" s="17" t="str">
        <f aca="false">VLOOKUP(P801,Sheet2!J:K,2,0)</f>
        <v>IR Declared due to Others ( IR Normal)TB</v>
      </c>
      <c r="R801" s="17" t="s">
        <v>35</v>
      </c>
      <c r="S801" s="17" t="str">
        <f aca="false">VLOOKUP(R801,Sheet2!N:O,2,0)</f>
        <v>IREPARABLE</v>
      </c>
      <c r="T801" s="18" t="str">
        <f aca="false">VLOOKUP(P801,Sheet2!Q:R,2,0)</f>
        <v>IR Normal - BER to IR</v>
      </c>
      <c r="U801" s="20" t="s">
        <v>135</v>
      </c>
      <c r="V801" s="17" t="n">
        <v>12</v>
      </c>
      <c r="W801" s="20" t="str">
        <f aca="false">VLOOKUP(V801,Sheet2!Q:R,2,0)</f>
        <v>IR Normal - BER to IR</v>
      </c>
      <c r="X801" s="17" t="str">
        <f aca="false">J801</f>
        <v>A018</v>
      </c>
      <c r="Y801" s="17" t="str">
        <f aca="false">VLOOKUP(X801,Sheet2!A:B,2,0)</f>
        <v>PRAKASH CHAVDA</v>
      </c>
      <c r="Z801" s="17" t="s">
        <v>136</v>
      </c>
      <c r="AA801" s="17" t="s">
        <v>449</v>
      </c>
      <c r="AB801" s="17" t="s">
        <v>41</v>
      </c>
      <c r="AC801" s="0" t="str">
        <f aca="false">LEFT(G801,2)</f>
        <v>13</v>
      </c>
      <c r="AD801" s="0"/>
      <c r="AE801" s="21" t="s">
        <v>42</v>
      </c>
    </row>
    <row r="802" customFormat="false" ht="15" hidden="false" customHeight="false" outlineLevel="0" collapsed="false">
      <c r="A802" s="13" t="n">
        <f aca="false">1+A801</f>
        <v>800</v>
      </c>
      <c r="B802" s="17" t="n">
        <v>1008869692</v>
      </c>
      <c r="C802" s="17" t="s">
        <v>457</v>
      </c>
      <c r="D802" s="17" t="s">
        <v>64</v>
      </c>
      <c r="E802" s="17" t="s">
        <v>64</v>
      </c>
      <c r="F802" s="18" t="s">
        <v>70</v>
      </c>
      <c r="G802" s="19" t="n">
        <v>134127114038</v>
      </c>
      <c r="H802" s="17" t="s">
        <v>134</v>
      </c>
      <c r="I802" s="17" t="s">
        <v>44</v>
      </c>
      <c r="J802" s="17" t="s">
        <v>106</v>
      </c>
      <c r="K802" s="17" t="str">
        <f aca="false">VLOOKUP(J802,Sheet2!A:B,2,0)</f>
        <v>PRAKASH CHAVDA</v>
      </c>
      <c r="L802" s="17" t="n">
        <v>5</v>
      </c>
      <c r="M802" s="17" t="str">
        <f aca="false">VLOOKUP(L802,Sheet2!D:E,2,0)</f>
        <v>Main Processor CPU BGA</v>
      </c>
      <c r="N802" s="17" t="n">
        <v>1</v>
      </c>
      <c r="O802" s="17" t="str">
        <f aca="false">VLOOKUP(N802,Sheet2!G:H,2,0)</f>
        <v>Dead</v>
      </c>
      <c r="P802" s="17" t="n">
        <v>12</v>
      </c>
      <c r="Q802" s="17" t="str">
        <f aca="false">VLOOKUP(P802,Sheet2!J:K,2,0)</f>
        <v>IR Declared due to Others ( IR Normal)TB</v>
      </c>
      <c r="R802" s="17" t="s">
        <v>35</v>
      </c>
      <c r="S802" s="17" t="str">
        <f aca="false">VLOOKUP(R802,Sheet2!N:O,2,0)</f>
        <v>IREPARABLE</v>
      </c>
      <c r="T802" s="18" t="str">
        <f aca="false">VLOOKUP(P802,Sheet2!Q:R,2,0)</f>
        <v>IR Normal - BER to IR</v>
      </c>
      <c r="U802" s="20" t="s">
        <v>135</v>
      </c>
      <c r="V802" s="17" t="n">
        <v>12</v>
      </c>
      <c r="W802" s="20" t="str">
        <f aca="false">VLOOKUP(V802,Sheet2!Q:R,2,0)</f>
        <v>IR Normal - BER to IR</v>
      </c>
      <c r="X802" s="17" t="str">
        <f aca="false">J802</f>
        <v>A018</v>
      </c>
      <c r="Y802" s="17" t="str">
        <f aca="false">VLOOKUP(X802,Sheet2!A:B,2,0)</f>
        <v>PRAKASH CHAVDA</v>
      </c>
      <c r="Z802" s="17" t="s">
        <v>136</v>
      </c>
      <c r="AA802" s="17" t="s">
        <v>449</v>
      </c>
      <c r="AB802" s="17" t="s">
        <v>41</v>
      </c>
      <c r="AC802" s="0" t="str">
        <f aca="false">LEFT(G802,2)</f>
        <v>13</v>
      </c>
      <c r="AD802" s="0"/>
      <c r="AE802" s="21" t="s">
        <v>42</v>
      </c>
    </row>
    <row r="803" customFormat="false" ht="15" hidden="false" customHeight="false" outlineLevel="0" collapsed="false">
      <c r="A803" s="13" t="n">
        <f aca="false">1+A802</f>
        <v>801</v>
      </c>
      <c r="B803" s="17" t="n">
        <v>1009092167</v>
      </c>
      <c r="C803" s="17" t="s">
        <v>414</v>
      </c>
      <c r="D803" s="17" t="s">
        <v>458</v>
      </c>
      <c r="E803" s="17" t="s">
        <v>33</v>
      </c>
      <c r="F803" s="18" t="s">
        <v>34</v>
      </c>
      <c r="G803" s="19" t="n">
        <v>134106423194</v>
      </c>
      <c r="H803" s="17" t="s">
        <v>134</v>
      </c>
      <c r="I803" s="17" t="s">
        <v>44</v>
      </c>
      <c r="J803" s="17" t="s">
        <v>106</v>
      </c>
      <c r="K803" s="17" t="str">
        <f aca="false">VLOOKUP(J803,Sheet2!A:B,2,0)</f>
        <v>PRAKASH CHAVDA</v>
      </c>
      <c r="L803" s="17" t="n">
        <v>5</v>
      </c>
      <c r="M803" s="17" t="str">
        <f aca="false">VLOOKUP(L803,Sheet2!D:E,2,0)</f>
        <v>Main Processor CPU BGA</v>
      </c>
      <c r="N803" s="17" t="n">
        <v>24</v>
      </c>
      <c r="O803" s="17" t="str">
        <f aca="false">VLOOKUP(N803,Sheet2!G:H,2,0)</f>
        <v>STB Auto moving -Stand by mode</v>
      </c>
      <c r="P803" s="17" t="n">
        <v>12</v>
      </c>
      <c r="Q803" s="17" t="str">
        <f aca="false">VLOOKUP(P803,Sheet2!J:K,2,0)</f>
        <v>IR Declared due to Others ( IR Normal)TB</v>
      </c>
      <c r="R803" s="17" t="s">
        <v>35</v>
      </c>
      <c r="S803" s="17" t="str">
        <f aca="false">VLOOKUP(R803,Sheet2!N:O,2,0)</f>
        <v>IREPARABLE</v>
      </c>
      <c r="T803" s="18" t="str">
        <f aca="false">VLOOKUP(P803,Sheet2!Q:R,2,0)</f>
        <v>IR Normal - BER to IR</v>
      </c>
      <c r="U803" s="20" t="s">
        <v>135</v>
      </c>
      <c r="V803" s="17" t="n">
        <v>12</v>
      </c>
      <c r="W803" s="20" t="str">
        <f aca="false">VLOOKUP(V803,Sheet2!Q:R,2,0)</f>
        <v>IR Normal - BER to IR</v>
      </c>
      <c r="X803" s="17" t="str">
        <f aca="false">J803</f>
        <v>A018</v>
      </c>
      <c r="Y803" s="17" t="str">
        <f aca="false">VLOOKUP(X803,Sheet2!A:B,2,0)</f>
        <v>PRAKASH CHAVDA</v>
      </c>
      <c r="Z803" s="17" t="s">
        <v>136</v>
      </c>
      <c r="AA803" s="17" t="s">
        <v>449</v>
      </c>
      <c r="AB803" s="17" t="s">
        <v>41</v>
      </c>
      <c r="AC803" s="0" t="str">
        <f aca="false">LEFT(G803,2)</f>
        <v>13</v>
      </c>
      <c r="AD803" s="0"/>
      <c r="AE803" s="21" t="s">
        <v>42</v>
      </c>
    </row>
    <row r="804" customFormat="false" ht="15" hidden="false" customHeight="false" outlineLevel="0" collapsed="false">
      <c r="A804" s="13" t="n">
        <f aca="false">1+A803</f>
        <v>802</v>
      </c>
      <c r="B804" s="17" t="n">
        <v>1009091679</v>
      </c>
      <c r="C804" s="17" t="s">
        <v>414</v>
      </c>
      <c r="D804" s="17" t="s">
        <v>64</v>
      </c>
      <c r="E804" s="17" t="s">
        <v>47</v>
      </c>
      <c r="F804" s="18" t="s">
        <v>34</v>
      </c>
      <c r="G804" s="19" t="n">
        <v>134230037886</v>
      </c>
      <c r="H804" s="17" t="s">
        <v>134</v>
      </c>
      <c r="I804" s="17" t="s">
        <v>44</v>
      </c>
      <c r="J804" s="17" t="s">
        <v>106</v>
      </c>
      <c r="K804" s="17" t="str">
        <f aca="false">VLOOKUP(J804,Sheet2!A:B,2,0)</f>
        <v>PRAKASH CHAVDA</v>
      </c>
      <c r="L804" s="17" t="n">
        <v>5</v>
      </c>
      <c r="M804" s="17" t="str">
        <f aca="false">VLOOKUP(L804,Sheet2!D:E,2,0)</f>
        <v>Main Processor CPU BGA</v>
      </c>
      <c r="N804" s="17" t="n">
        <v>1</v>
      </c>
      <c r="O804" s="17" t="str">
        <f aca="false">VLOOKUP(N804,Sheet2!G:H,2,0)</f>
        <v>Dead</v>
      </c>
      <c r="P804" s="17" t="n">
        <v>12</v>
      </c>
      <c r="Q804" s="17" t="str">
        <f aca="false">VLOOKUP(P804,Sheet2!J:K,2,0)</f>
        <v>IR Declared due to Others ( IR Normal)TB</v>
      </c>
      <c r="R804" s="17" t="s">
        <v>35</v>
      </c>
      <c r="S804" s="17" t="str">
        <f aca="false">VLOOKUP(R804,Sheet2!N:O,2,0)</f>
        <v>IREPARABLE</v>
      </c>
      <c r="T804" s="18" t="str">
        <f aca="false">VLOOKUP(P804,Sheet2!Q:R,2,0)</f>
        <v>IR Normal - BER to IR</v>
      </c>
      <c r="U804" s="20" t="s">
        <v>135</v>
      </c>
      <c r="V804" s="17" t="n">
        <v>12</v>
      </c>
      <c r="W804" s="20" t="str">
        <f aca="false">VLOOKUP(V804,Sheet2!Q:R,2,0)</f>
        <v>IR Normal - BER to IR</v>
      </c>
      <c r="X804" s="17" t="str">
        <f aca="false">J804</f>
        <v>A018</v>
      </c>
      <c r="Y804" s="17" t="str">
        <f aca="false">VLOOKUP(X804,Sheet2!A:B,2,0)</f>
        <v>PRAKASH CHAVDA</v>
      </c>
      <c r="Z804" s="17" t="s">
        <v>136</v>
      </c>
      <c r="AA804" s="17" t="s">
        <v>449</v>
      </c>
      <c r="AB804" s="17" t="s">
        <v>41</v>
      </c>
      <c r="AC804" s="0" t="str">
        <f aca="false">LEFT(G804,2)</f>
        <v>13</v>
      </c>
      <c r="AD804" s="0"/>
      <c r="AE804" s="21" t="s">
        <v>42</v>
      </c>
    </row>
    <row r="805" customFormat="false" ht="15" hidden="false" customHeight="false" outlineLevel="0" collapsed="false">
      <c r="A805" s="13" t="n">
        <f aca="false">1+A804</f>
        <v>803</v>
      </c>
      <c r="B805" s="17" t="n">
        <v>1009561225</v>
      </c>
      <c r="C805" s="17" t="s">
        <v>192</v>
      </c>
      <c r="D805" s="17" t="s">
        <v>64</v>
      </c>
      <c r="E805" s="17" t="s">
        <v>33</v>
      </c>
      <c r="F805" s="18" t="s">
        <v>34</v>
      </c>
      <c r="G805" s="19" t="n">
        <v>134056285593</v>
      </c>
      <c r="H805" s="17" t="s">
        <v>134</v>
      </c>
      <c r="I805" s="17" t="s">
        <v>44</v>
      </c>
      <c r="J805" s="17" t="s">
        <v>106</v>
      </c>
      <c r="K805" s="17" t="str">
        <f aca="false">VLOOKUP(J805,Sheet2!A:B,2,0)</f>
        <v>PRAKASH CHAVDA</v>
      </c>
      <c r="L805" s="17" t="n">
        <v>5</v>
      </c>
      <c r="M805" s="17" t="str">
        <f aca="false">VLOOKUP(L805,Sheet2!D:E,2,0)</f>
        <v>Main Processor CPU BGA</v>
      </c>
      <c r="N805" s="17" t="n">
        <v>24</v>
      </c>
      <c r="O805" s="17" t="str">
        <f aca="false">VLOOKUP(N805,Sheet2!G:H,2,0)</f>
        <v>STB Auto moving -Stand by mode</v>
      </c>
      <c r="P805" s="17" t="n">
        <v>12</v>
      </c>
      <c r="Q805" s="17" t="str">
        <f aca="false">VLOOKUP(P805,Sheet2!J:K,2,0)</f>
        <v>IR Declared due to Others ( IR Normal)TB</v>
      </c>
      <c r="R805" s="17" t="s">
        <v>35</v>
      </c>
      <c r="S805" s="17" t="str">
        <f aca="false">VLOOKUP(R805,Sheet2!N:O,2,0)</f>
        <v>IREPARABLE</v>
      </c>
      <c r="T805" s="18" t="str">
        <f aca="false">VLOOKUP(P805,Sheet2!Q:R,2,0)</f>
        <v>IR Normal - BER to IR</v>
      </c>
      <c r="U805" s="20" t="s">
        <v>135</v>
      </c>
      <c r="V805" s="17" t="n">
        <v>12</v>
      </c>
      <c r="W805" s="20" t="str">
        <f aca="false">VLOOKUP(V805,Sheet2!Q:R,2,0)</f>
        <v>IR Normal - BER to IR</v>
      </c>
      <c r="X805" s="17" t="str">
        <f aca="false">J805</f>
        <v>A018</v>
      </c>
      <c r="Y805" s="17" t="str">
        <f aca="false">VLOOKUP(X805,Sheet2!A:B,2,0)</f>
        <v>PRAKASH CHAVDA</v>
      </c>
      <c r="Z805" s="17" t="s">
        <v>136</v>
      </c>
      <c r="AA805" s="17" t="s">
        <v>449</v>
      </c>
      <c r="AB805" s="17" t="s">
        <v>41</v>
      </c>
      <c r="AC805" s="0" t="str">
        <f aca="false">LEFT(G805,2)</f>
        <v>13</v>
      </c>
      <c r="AD805" s="0"/>
      <c r="AE805" s="21" t="s">
        <v>42</v>
      </c>
    </row>
    <row r="806" customFormat="false" ht="15" hidden="false" customHeight="false" outlineLevel="0" collapsed="false">
      <c r="A806" s="13" t="n">
        <f aca="false">1+A805</f>
        <v>804</v>
      </c>
      <c r="B806" s="17" t="n">
        <v>1009091902</v>
      </c>
      <c r="C806" s="17" t="s">
        <v>414</v>
      </c>
      <c r="D806" s="17" t="s">
        <v>64</v>
      </c>
      <c r="E806" s="17" t="s">
        <v>64</v>
      </c>
      <c r="F806" s="18" t="s">
        <v>70</v>
      </c>
      <c r="G806" s="19" t="n">
        <v>134119285697</v>
      </c>
      <c r="H806" s="17" t="s">
        <v>134</v>
      </c>
      <c r="I806" s="17" t="s">
        <v>44</v>
      </c>
      <c r="J806" s="17" t="s">
        <v>106</v>
      </c>
      <c r="K806" s="17" t="str">
        <f aca="false">VLOOKUP(J806,Sheet2!A:B,2,0)</f>
        <v>PRAKASH CHAVDA</v>
      </c>
      <c r="L806" s="17" t="n">
        <v>5</v>
      </c>
      <c r="M806" s="17" t="str">
        <f aca="false">VLOOKUP(L806,Sheet2!D:E,2,0)</f>
        <v>Main Processor CPU BGA</v>
      </c>
      <c r="N806" s="17" t="n">
        <v>1</v>
      </c>
      <c r="O806" s="17" t="str">
        <f aca="false">VLOOKUP(N806,Sheet2!G:H,2,0)</f>
        <v>Dead</v>
      </c>
      <c r="P806" s="17" t="n">
        <v>12</v>
      </c>
      <c r="Q806" s="17" t="str">
        <f aca="false">VLOOKUP(P806,Sheet2!J:K,2,0)</f>
        <v>IR Declared due to Others ( IR Normal)TB</v>
      </c>
      <c r="R806" s="17" t="s">
        <v>35</v>
      </c>
      <c r="S806" s="17" t="str">
        <f aca="false">VLOOKUP(R806,Sheet2!N:O,2,0)</f>
        <v>IREPARABLE</v>
      </c>
      <c r="T806" s="18" t="str">
        <f aca="false">VLOOKUP(P806,Sheet2!Q:R,2,0)</f>
        <v>IR Normal - BER to IR</v>
      </c>
      <c r="U806" s="20" t="s">
        <v>135</v>
      </c>
      <c r="V806" s="17" t="n">
        <v>12</v>
      </c>
      <c r="W806" s="20" t="str">
        <f aca="false">VLOOKUP(V806,Sheet2!Q:R,2,0)</f>
        <v>IR Normal - BER to IR</v>
      </c>
      <c r="X806" s="17" t="str">
        <f aca="false">J806</f>
        <v>A018</v>
      </c>
      <c r="Y806" s="17" t="str">
        <f aca="false">VLOOKUP(X806,Sheet2!A:B,2,0)</f>
        <v>PRAKASH CHAVDA</v>
      </c>
      <c r="Z806" s="17" t="s">
        <v>136</v>
      </c>
      <c r="AA806" s="17" t="s">
        <v>449</v>
      </c>
      <c r="AB806" s="17" t="s">
        <v>41</v>
      </c>
      <c r="AC806" s="0" t="str">
        <f aca="false">LEFT(G806,2)</f>
        <v>13</v>
      </c>
      <c r="AD806" s="0"/>
      <c r="AE806" s="21" t="s">
        <v>42</v>
      </c>
    </row>
    <row r="807" customFormat="false" ht="15" hidden="false" customHeight="false" outlineLevel="0" collapsed="false">
      <c r="A807" s="13" t="n">
        <f aca="false">1+A806</f>
        <v>805</v>
      </c>
      <c r="B807" s="17" t="n">
        <v>1009524697</v>
      </c>
      <c r="C807" s="17" t="s">
        <v>162</v>
      </c>
      <c r="D807" s="17" t="s">
        <v>158</v>
      </c>
      <c r="E807" s="17" t="s">
        <v>91</v>
      </c>
      <c r="F807" s="18" t="s">
        <v>92</v>
      </c>
      <c r="G807" s="19" t="n">
        <v>134283129333</v>
      </c>
      <c r="H807" s="17" t="s">
        <v>134</v>
      </c>
      <c r="I807" s="17" t="s">
        <v>44</v>
      </c>
      <c r="J807" s="17" t="s">
        <v>106</v>
      </c>
      <c r="K807" s="17" t="str">
        <f aca="false">VLOOKUP(J807,Sheet2!A:B,2,0)</f>
        <v>PRAKASH CHAVDA</v>
      </c>
      <c r="L807" s="17" t="n">
        <v>5</v>
      </c>
      <c r="M807" s="17" t="str">
        <f aca="false">VLOOKUP(L807,Sheet2!D:E,2,0)</f>
        <v>Main Processor CPU BGA</v>
      </c>
      <c r="N807" s="17" t="n">
        <v>1</v>
      </c>
      <c r="O807" s="17" t="str">
        <f aca="false">VLOOKUP(N807,Sheet2!G:H,2,0)</f>
        <v>Dead</v>
      </c>
      <c r="P807" s="17" t="n">
        <v>12</v>
      </c>
      <c r="Q807" s="17" t="str">
        <f aca="false">VLOOKUP(P807,Sheet2!J:K,2,0)</f>
        <v>IR Declared due to Others ( IR Normal)TB</v>
      </c>
      <c r="R807" s="17" t="s">
        <v>35</v>
      </c>
      <c r="S807" s="17" t="str">
        <f aca="false">VLOOKUP(R807,Sheet2!N:O,2,0)</f>
        <v>IREPARABLE</v>
      </c>
      <c r="T807" s="18" t="str">
        <f aca="false">VLOOKUP(P807,Sheet2!Q:R,2,0)</f>
        <v>IR Normal - BER to IR</v>
      </c>
      <c r="U807" s="20" t="s">
        <v>135</v>
      </c>
      <c r="V807" s="17" t="n">
        <v>12</v>
      </c>
      <c r="W807" s="20" t="str">
        <f aca="false">VLOOKUP(V807,Sheet2!Q:R,2,0)</f>
        <v>IR Normal - BER to IR</v>
      </c>
      <c r="X807" s="17" t="str">
        <f aca="false">J807</f>
        <v>A018</v>
      </c>
      <c r="Y807" s="17" t="str">
        <f aca="false">VLOOKUP(X807,Sheet2!A:B,2,0)</f>
        <v>PRAKASH CHAVDA</v>
      </c>
      <c r="Z807" s="17" t="s">
        <v>136</v>
      </c>
      <c r="AA807" s="17" t="s">
        <v>449</v>
      </c>
      <c r="AB807" s="17" t="s">
        <v>41</v>
      </c>
      <c r="AC807" s="0" t="str">
        <f aca="false">LEFT(G807,2)</f>
        <v>13</v>
      </c>
      <c r="AD807" s="0"/>
      <c r="AE807" s="21" t="s">
        <v>42</v>
      </c>
    </row>
    <row r="808" customFormat="false" ht="15" hidden="false" customHeight="false" outlineLevel="0" collapsed="false">
      <c r="A808" s="13" t="n">
        <f aca="false">1+A807</f>
        <v>806</v>
      </c>
      <c r="B808" s="17" t="n">
        <v>1009091565</v>
      </c>
      <c r="C808" s="17" t="s">
        <v>414</v>
      </c>
      <c r="D808" s="17" t="s">
        <v>64</v>
      </c>
      <c r="E808" s="17" t="s">
        <v>47</v>
      </c>
      <c r="F808" s="18" t="s">
        <v>34</v>
      </c>
      <c r="G808" s="19" t="n">
        <v>134106522342</v>
      </c>
      <c r="H808" s="17" t="s">
        <v>134</v>
      </c>
      <c r="I808" s="17" t="s">
        <v>44</v>
      </c>
      <c r="J808" s="17" t="s">
        <v>106</v>
      </c>
      <c r="K808" s="17" t="str">
        <f aca="false">VLOOKUP(J808,Sheet2!A:B,2,0)</f>
        <v>PRAKASH CHAVDA</v>
      </c>
      <c r="L808" s="17" t="n">
        <v>5</v>
      </c>
      <c r="M808" s="17" t="str">
        <f aca="false">VLOOKUP(L808,Sheet2!D:E,2,0)</f>
        <v>Main Processor CPU BGA</v>
      </c>
      <c r="N808" s="17" t="n">
        <v>1</v>
      </c>
      <c r="O808" s="17" t="str">
        <f aca="false">VLOOKUP(N808,Sheet2!G:H,2,0)</f>
        <v>Dead</v>
      </c>
      <c r="P808" s="17" t="n">
        <v>12</v>
      </c>
      <c r="Q808" s="17" t="str">
        <f aca="false">VLOOKUP(P808,Sheet2!J:K,2,0)</f>
        <v>IR Declared due to Others ( IR Normal)TB</v>
      </c>
      <c r="R808" s="17" t="s">
        <v>35</v>
      </c>
      <c r="S808" s="17" t="str">
        <f aca="false">VLOOKUP(R808,Sheet2!N:O,2,0)</f>
        <v>IREPARABLE</v>
      </c>
      <c r="T808" s="18" t="str">
        <f aca="false">VLOOKUP(P808,Sheet2!Q:R,2,0)</f>
        <v>IR Normal - BER to IR</v>
      </c>
      <c r="U808" s="20" t="s">
        <v>135</v>
      </c>
      <c r="V808" s="17" t="n">
        <v>12</v>
      </c>
      <c r="W808" s="20" t="str">
        <f aca="false">VLOOKUP(V808,Sheet2!Q:R,2,0)</f>
        <v>IR Normal - BER to IR</v>
      </c>
      <c r="X808" s="17" t="str">
        <f aca="false">J808</f>
        <v>A018</v>
      </c>
      <c r="Y808" s="17" t="str">
        <f aca="false">VLOOKUP(X808,Sheet2!A:B,2,0)</f>
        <v>PRAKASH CHAVDA</v>
      </c>
      <c r="Z808" s="17" t="s">
        <v>136</v>
      </c>
      <c r="AA808" s="17" t="s">
        <v>449</v>
      </c>
      <c r="AB808" s="17" t="s">
        <v>41</v>
      </c>
      <c r="AC808" s="0" t="str">
        <f aca="false">LEFT(G808,2)</f>
        <v>13</v>
      </c>
      <c r="AD808" s="0"/>
      <c r="AE808" s="21" t="s">
        <v>42</v>
      </c>
    </row>
    <row r="809" customFormat="false" ht="15" hidden="false" customHeight="false" outlineLevel="0" collapsed="false">
      <c r="A809" s="13" t="n">
        <f aca="false">1+A808</f>
        <v>807</v>
      </c>
      <c r="B809" s="17" t="n">
        <v>1009092304</v>
      </c>
      <c r="C809" s="17" t="s">
        <v>414</v>
      </c>
      <c r="D809" s="17" t="s">
        <v>64</v>
      </c>
      <c r="E809" s="17" t="s">
        <v>64</v>
      </c>
      <c r="F809" s="18" t="s">
        <v>70</v>
      </c>
      <c r="G809" s="19" t="n">
        <v>134247219162</v>
      </c>
      <c r="H809" s="17" t="s">
        <v>134</v>
      </c>
      <c r="I809" s="17" t="s">
        <v>44</v>
      </c>
      <c r="J809" s="17" t="s">
        <v>106</v>
      </c>
      <c r="K809" s="17" t="str">
        <f aca="false">VLOOKUP(J809,Sheet2!A:B,2,0)</f>
        <v>PRAKASH CHAVDA</v>
      </c>
      <c r="L809" s="17" t="n">
        <v>5</v>
      </c>
      <c r="M809" s="17" t="str">
        <f aca="false">VLOOKUP(L809,Sheet2!D:E,2,0)</f>
        <v>Main Processor CPU BGA</v>
      </c>
      <c r="N809" s="17" t="n">
        <v>1</v>
      </c>
      <c r="O809" s="17" t="str">
        <f aca="false">VLOOKUP(N809,Sheet2!G:H,2,0)</f>
        <v>Dead</v>
      </c>
      <c r="P809" s="17" t="n">
        <v>12</v>
      </c>
      <c r="Q809" s="17" t="str">
        <f aca="false">VLOOKUP(P809,Sheet2!J:K,2,0)</f>
        <v>IR Declared due to Others ( IR Normal)TB</v>
      </c>
      <c r="R809" s="17" t="s">
        <v>35</v>
      </c>
      <c r="S809" s="17" t="str">
        <f aca="false">VLOOKUP(R809,Sheet2!N:O,2,0)</f>
        <v>IREPARABLE</v>
      </c>
      <c r="T809" s="18" t="str">
        <f aca="false">VLOOKUP(P809,Sheet2!Q:R,2,0)</f>
        <v>IR Normal - BER to IR</v>
      </c>
      <c r="U809" s="20" t="s">
        <v>135</v>
      </c>
      <c r="V809" s="17" t="n">
        <v>12</v>
      </c>
      <c r="W809" s="20" t="str">
        <f aca="false">VLOOKUP(V809,Sheet2!Q:R,2,0)</f>
        <v>IR Normal - BER to IR</v>
      </c>
      <c r="X809" s="17" t="str">
        <f aca="false">J809</f>
        <v>A018</v>
      </c>
      <c r="Y809" s="17" t="str">
        <f aca="false">VLOOKUP(X809,Sheet2!A:B,2,0)</f>
        <v>PRAKASH CHAVDA</v>
      </c>
      <c r="Z809" s="17" t="s">
        <v>136</v>
      </c>
      <c r="AA809" s="17" t="s">
        <v>449</v>
      </c>
      <c r="AB809" s="17" t="s">
        <v>41</v>
      </c>
      <c r="AC809" s="0" t="str">
        <f aca="false">LEFT(G809,2)</f>
        <v>13</v>
      </c>
      <c r="AD809" s="0"/>
      <c r="AE809" s="21" t="s">
        <v>42</v>
      </c>
    </row>
    <row r="810" customFormat="false" ht="15" hidden="false" customHeight="false" outlineLevel="0" collapsed="false">
      <c r="A810" s="13" t="n">
        <f aca="false">1+A809</f>
        <v>808</v>
      </c>
      <c r="B810" s="17" t="n">
        <v>1009092260</v>
      </c>
      <c r="C810" s="17" t="s">
        <v>414</v>
      </c>
      <c r="D810" s="17" t="s">
        <v>64</v>
      </c>
      <c r="E810" s="17" t="s">
        <v>64</v>
      </c>
      <c r="F810" s="18" t="s">
        <v>70</v>
      </c>
      <c r="G810" s="19" t="n">
        <v>134268117394</v>
      </c>
      <c r="H810" s="17" t="s">
        <v>134</v>
      </c>
      <c r="I810" s="17" t="s">
        <v>44</v>
      </c>
      <c r="J810" s="17" t="s">
        <v>106</v>
      </c>
      <c r="K810" s="17" t="str">
        <f aca="false">VLOOKUP(J810,Sheet2!A:B,2,0)</f>
        <v>PRAKASH CHAVDA</v>
      </c>
      <c r="L810" s="17" t="n">
        <v>5</v>
      </c>
      <c r="M810" s="17" t="str">
        <f aca="false">VLOOKUP(L810,Sheet2!D:E,2,0)</f>
        <v>Main Processor CPU BGA</v>
      </c>
      <c r="N810" s="17" t="n">
        <v>1</v>
      </c>
      <c r="O810" s="17" t="str">
        <f aca="false">VLOOKUP(N810,Sheet2!G:H,2,0)</f>
        <v>Dead</v>
      </c>
      <c r="P810" s="17" t="n">
        <v>12</v>
      </c>
      <c r="Q810" s="17" t="str">
        <f aca="false">VLOOKUP(P810,Sheet2!J:K,2,0)</f>
        <v>IR Declared due to Others ( IR Normal)TB</v>
      </c>
      <c r="R810" s="17" t="s">
        <v>35</v>
      </c>
      <c r="S810" s="17" t="str">
        <f aca="false">VLOOKUP(R810,Sheet2!N:O,2,0)</f>
        <v>IREPARABLE</v>
      </c>
      <c r="T810" s="18" t="str">
        <f aca="false">VLOOKUP(P810,Sheet2!Q:R,2,0)</f>
        <v>IR Normal - BER to IR</v>
      </c>
      <c r="U810" s="20" t="s">
        <v>135</v>
      </c>
      <c r="V810" s="17" t="n">
        <v>12</v>
      </c>
      <c r="W810" s="20" t="str">
        <f aca="false">VLOOKUP(V810,Sheet2!Q:R,2,0)</f>
        <v>IR Normal - BER to IR</v>
      </c>
      <c r="X810" s="17" t="str">
        <f aca="false">J810</f>
        <v>A018</v>
      </c>
      <c r="Y810" s="17" t="str">
        <f aca="false">VLOOKUP(X810,Sheet2!A:B,2,0)</f>
        <v>PRAKASH CHAVDA</v>
      </c>
      <c r="Z810" s="17" t="s">
        <v>136</v>
      </c>
      <c r="AA810" s="17" t="s">
        <v>449</v>
      </c>
      <c r="AB810" s="17" t="s">
        <v>41</v>
      </c>
      <c r="AC810" s="0" t="str">
        <f aca="false">LEFT(G810,2)</f>
        <v>13</v>
      </c>
      <c r="AD810" s="0"/>
      <c r="AE810" s="21" t="s">
        <v>42</v>
      </c>
    </row>
    <row r="811" customFormat="false" ht="15" hidden="false" customHeight="false" outlineLevel="0" collapsed="false">
      <c r="A811" s="13" t="n">
        <f aca="false">1+A810</f>
        <v>809</v>
      </c>
      <c r="B811" s="17" t="n">
        <v>1009091377</v>
      </c>
      <c r="C811" s="17" t="s">
        <v>414</v>
      </c>
      <c r="D811" s="17" t="s">
        <v>64</v>
      </c>
      <c r="E811" s="17" t="s">
        <v>47</v>
      </c>
      <c r="F811" s="18" t="s">
        <v>34</v>
      </c>
      <c r="G811" s="19" t="n">
        <v>135226094088</v>
      </c>
      <c r="H811" s="17" t="s">
        <v>134</v>
      </c>
      <c r="I811" s="17" t="s">
        <v>44</v>
      </c>
      <c r="J811" s="17" t="s">
        <v>106</v>
      </c>
      <c r="K811" s="17" t="str">
        <f aca="false">VLOOKUP(J811,Sheet2!A:B,2,0)</f>
        <v>PRAKASH CHAVDA</v>
      </c>
      <c r="L811" s="17" t="n">
        <v>5</v>
      </c>
      <c r="M811" s="17" t="str">
        <f aca="false">VLOOKUP(L811,Sheet2!D:E,2,0)</f>
        <v>Main Processor CPU BGA</v>
      </c>
      <c r="N811" s="17" t="n">
        <v>1</v>
      </c>
      <c r="O811" s="17" t="str">
        <f aca="false">VLOOKUP(N811,Sheet2!G:H,2,0)</f>
        <v>Dead</v>
      </c>
      <c r="P811" s="17" t="n">
        <v>12</v>
      </c>
      <c r="Q811" s="17" t="str">
        <f aca="false">VLOOKUP(P811,Sheet2!J:K,2,0)</f>
        <v>IR Declared due to Others ( IR Normal)TB</v>
      </c>
      <c r="R811" s="17" t="s">
        <v>35</v>
      </c>
      <c r="S811" s="17" t="str">
        <f aca="false">VLOOKUP(R811,Sheet2!N:O,2,0)</f>
        <v>IREPARABLE</v>
      </c>
      <c r="T811" s="18" t="str">
        <f aca="false">VLOOKUP(P811,Sheet2!Q:R,2,0)</f>
        <v>IR Normal - BER to IR</v>
      </c>
      <c r="U811" s="20" t="s">
        <v>135</v>
      </c>
      <c r="V811" s="17" t="n">
        <v>12</v>
      </c>
      <c r="W811" s="20" t="str">
        <f aca="false">VLOOKUP(V811,Sheet2!Q:R,2,0)</f>
        <v>IR Normal - BER to IR</v>
      </c>
      <c r="X811" s="17" t="str">
        <f aca="false">J811</f>
        <v>A018</v>
      </c>
      <c r="Y811" s="17" t="str">
        <f aca="false">VLOOKUP(X811,Sheet2!A:B,2,0)</f>
        <v>PRAKASH CHAVDA</v>
      </c>
      <c r="Z811" s="17" t="s">
        <v>136</v>
      </c>
      <c r="AA811" s="17" t="s">
        <v>449</v>
      </c>
      <c r="AB811" s="17" t="s">
        <v>41</v>
      </c>
      <c r="AC811" s="0" t="str">
        <f aca="false">LEFT(G811,2)</f>
        <v>13</v>
      </c>
      <c r="AD811" s="0"/>
      <c r="AE811" s="21" t="s">
        <v>42</v>
      </c>
    </row>
    <row r="812" customFormat="false" ht="15" hidden="false" customHeight="false" outlineLevel="0" collapsed="false">
      <c r="A812" s="13" t="n">
        <f aca="false">1+A811</f>
        <v>810</v>
      </c>
      <c r="B812" s="17" t="n">
        <v>1009091681</v>
      </c>
      <c r="C812" s="17" t="s">
        <v>414</v>
      </c>
      <c r="D812" s="17" t="s">
        <v>64</v>
      </c>
      <c r="E812" s="17" t="s">
        <v>47</v>
      </c>
      <c r="F812" s="18" t="s">
        <v>34</v>
      </c>
      <c r="G812" s="19" t="n">
        <v>134297002468</v>
      </c>
      <c r="H812" s="17" t="s">
        <v>134</v>
      </c>
      <c r="I812" s="17" t="s">
        <v>44</v>
      </c>
      <c r="J812" s="17" t="s">
        <v>106</v>
      </c>
      <c r="K812" s="17" t="str">
        <f aca="false">VLOOKUP(J812,Sheet2!A:B,2,0)</f>
        <v>PRAKASH CHAVDA</v>
      </c>
      <c r="L812" s="17" t="n">
        <v>5</v>
      </c>
      <c r="M812" s="17" t="str">
        <f aca="false">VLOOKUP(L812,Sheet2!D:E,2,0)</f>
        <v>Main Processor CPU BGA</v>
      </c>
      <c r="N812" s="17" t="n">
        <v>1</v>
      </c>
      <c r="O812" s="17" t="str">
        <f aca="false">VLOOKUP(N812,Sheet2!G:H,2,0)</f>
        <v>Dead</v>
      </c>
      <c r="P812" s="17" t="n">
        <v>12</v>
      </c>
      <c r="Q812" s="17" t="str">
        <f aca="false">VLOOKUP(P812,Sheet2!J:K,2,0)</f>
        <v>IR Declared due to Others ( IR Normal)TB</v>
      </c>
      <c r="R812" s="17" t="s">
        <v>35</v>
      </c>
      <c r="S812" s="17" t="str">
        <f aca="false">VLOOKUP(R812,Sheet2!N:O,2,0)</f>
        <v>IREPARABLE</v>
      </c>
      <c r="T812" s="18" t="str">
        <f aca="false">VLOOKUP(P812,Sheet2!Q:R,2,0)</f>
        <v>IR Normal - BER to IR</v>
      </c>
      <c r="U812" s="20" t="s">
        <v>135</v>
      </c>
      <c r="V812" s="17" t="n">
        <v>12</v>
      </c>
      <c r="W812" s="20" t="str">
        <f aca="false">VLOOKUP(V812,Sheet2!Q:R,2,0)</f>
        <v>IR Normal - BER to IR</v>
      </c>
      <c r="X812" s="17" t="str">
        <f aca="false">J812</f>
        <v>A018</v>
      </c>
      <c r="Y812" s="17" t="str">
        <f aca="false">VLOOKUP(X812,Sheet2!A:B,2,0)</f>
        <v>PRAKASH CHAVDA</v>
      </c>
      <c r="Z812" s="17" t="s">
        <v>136</v>
      </c>
      <c r="AA812" s="17" t="s">
        <v>449</v>
      </c>
      <c r="AB812" s="17" t="s">
        <v>41</v>
      </c>
      <c r="AC812" s="0" t="str">
        <f aca="false">LEFT(G812,2)</f>
        <v>13</v>
      </c>
      <c r="AD812" s="0"/>
      <c r="AE812" s="21" t="s">
        <v>42</v>
      </c>
    </row>
    <row r="813" customFormat="false" ht="15" hidden="false" customHeight="false" outlineLevel="0" collapsed="false">
      <c r="A813" s="13" t="n">
        <f aca="false">1+A812</f>
        <v>811</v>
      </c>
      <c r="B813" s="17" t="n">
        <v>1008439887</v>
      </c>
      <c r="C813" s="17" t="s">
        <v>459</v>
      </c>
      <c r="D813" s="17" t="s">
        <v>131</v>
      </c>
      <c r="E813" s="17" t="s">
        <v>33</v>
      </c>
      <c r="F813" s="18" t="s">
        <v>34</v>
      </c>
      <c r="G813" s="19" t="n">
        <v>134268532311</v>
      </c>
      <c r="H813" s="17" t="s">
        <v>134</v>
      </c>
      <c r="I813" s="17" t="s">
        <v>44</v>
      </c>
      <c r="J813" s="17" t="s">
        <v>106</v>
      </c>
      <c r="K813" s="17" t="str">
        <f aca="false">VLOOKUP(J813,Sheet2!A:B,2,0)</f>
        <v>PRAKASH CHAVDA</v>
      </c>
      <c r="L813" s="17" t="n">
        <v>5</v>
      </c>
      <c r="M813" s="17" t="str">
        <f aca="false">VLOOKUP(L813,Sheet2!D:E,2,0)</f>
        <v>Main Processor CPU BGA</v>
      </c>
      <c r="N813" s="17" t="n">
        <v>1</v>
      </c>
      <c r="O813" s="17" t="str">
        <f aca="false">VLOOKUP(N813,Sheet2!G:H,2,0)</f>
        <v>Dead</v>
      </c>
      <c r="P813" s="17" t="n">
        <v>12</v>
      </c>
      <c r="Q813" s="17" t="str">
        <f aca="false">VLOOKUP(P813,Sheet2!J:K,2,0)</f>
        <v>IR Declared due to Others ( IR Normal)TB</v>
      </c>
      <c r="R813" s="17" t="s">
        <v>35</v>
      </c>
      <c r="S813" s="17" t="str">
        <f aca="false">VLOOKUP(R813,Sheet2!N:O,2,0)</f>
        <v>IREPARABLE</v>
      </c>
      <c r="T813" s="18" t="str">
        <f aca="false">VLOOKUP(P813,Sheet2!Q:R,2,0)</f>
        <v>IR Normal - BER to IR</v>
      </c>
      <c r="U813" s="20" t="s">
        <v>135</v>
      </c>
      <c r="V813" s="17" t="n">
        <v>12</v>
      </c>
      <c r="W813" s="20" t="str">
        <f aca="false">VLOOKUP(V813,Sheet2!Q:R,2,0)</f>
        <v>IR Normal - BER to IR</v>
      </c>
      <c r="X813" s="17" t="str">
        <f aca="false">J813</f>
        <v>A018</v>
      </c>
      <c r="Y813" s="17" t="str">
        <f aca="false">VLOOKUP(X813,Sheet2!A:B,2,0)</f>
        <v>PRAKASH CHAVDA</v>
      </c>
      <c r="Z813" s="17" t="s">
        <v>136</v>
      </c>
      <c r="AA813" s="17" t="s">
        <v>449</v>
      </c>
      <c r="AB813" s="17" t="s">
        <v>41</v>
      </c>
      <c r="AC813" s="0" t="str">
        <f aca="false">LEFT(G813,2)</f>
        <v>13</v>
      </c>
      <c r="AD813" s="0"/>
      <c r="AE813" s="21" t="s">
        <v>42</v>
      </c>
    </row>
    <row r="814" customFormat="false" ht="15" hidden="false" customHeight="false" outlineLevel="0" collapsed="false">
      <c r="A814" s="13" t="n">
        <f aca="false">1+A813</f>
        <v>812</v>
      </c>
      <c r="B814" s="17" t="n">
        <v>1009091740</v>
      </c>
      <c r="C814" s="17" t="s">
        <v>414</v>
      </c>
      <c r="D814" s="17" t="s">
        <v>64</v>
      </c>
      <c r="E814" s="17" t="s">
        <v>460</v>
      </c>
      <c r="F814" s="18" t="s">
        <v>34</v>
      </c>
      <c r="G814" s="19" t="n">
        <v>135202052613</v>
      </c>
      <c r="H814" s="17" t="s">
        <v>134</v>
      </c>
      <c r="I814" s="17" t="s">
        <v>44</v>
      </c>
      <c r="J814" s="17" t="s">
        <v>106</v>
      </c>
      <c r="K814" s="17" t="str">
        <f aca="false">VLOOKUP(J814,Sheet2!A:B,2,0)</f>
        <v>PRAKASH CHAVDA</v>
      </c>
      <c r="L814" s="17" t="n">
        <v>5</v>
      </c>
      <c r="M814" s="17" t="str">
        <f aca="false">VLOOKUP(L814,Sheet2!D:E,2,0)</f>
        <v>Main Processor CPU BGA</v>
      </c>
      <c r="N814" s="17" t="n">
        <v>1</v>
      </c>
      <c r="O814" s="17" t="str">
        <f aca="false">VLOOKUP(N814,Sheet2!G:H,2,0)</f>
        <v>Dead</v>
      </c>
      <c r="P814" s="17" t="n">
        <v>12</v>
      </c>
      <c r="Q814" s="17" t="str">
        <f aca="false">VLOOKUP(P814,Sheet2!J:K,2,0)</f>
        <v>IR Declared due to Others ( IR Normal)TB</v>
      </c>
      <c r="R814" s="17" t="s">
        <v>35</v>
      </c>
      <c r="S814" s="17" t="str">
        <f aca="false">VLOOKUP(R814,Sheet2!N:O,2,0)</f>
        <v>IREPARABLE</v>
      </c>
      <c r="T814" s="18" t="str">
        <f aca="false">VLOOKUP(P814,Sheet2!Q:R,2,0)</f>
        <v>IR Normal - BER to IR</v>
      </c>
      <c r="U814" s="20" t="s">
        <v>135</v>
      </c>
      <c r="V814" s="17" t="n">
        <v>12</v>
      </c>
      <c r="W814" s="20" t="str">
        <f aca="false">VLOOKUP(V814,Sheet2!Q:R,2,0)</f>
        <v>IR Normal - BER to IR</v>
      </c>
      <c r="X814" s="17" t="str">
        <f aca="false">J814</f>
        <v>A018</v>
      </c>
      <c r="Y814" s="17" t="str">
        <f aca="false">VLOOKUP(X814,Sheet2!A:B,2,0)</f>
        <v>PRAKASH CHAVDA</v>
      </c>
      <c r="Z814" s="17" t="s">
        <v>136</v>
      </c>
      <c r="AA814" s="17" t="s">
        <v>449</v>
      </c>
      <c r="AB814" s="17" t="s">
        <v>41</v>
      </c>
      <c r="AC814" s="0" t="str">
        <f aca="false">LEFT(G814,2)</f>
        <v>13</v>
      </c>
      <c r="AD814" s="0"/>
      <c r="AE814" s="21" t="s">
        <v>42</v>
      </c>
    </row>
    <row r="815" customFormat="false" ht="15" hidden="false" customHeight="false" outlineLevel="0" collapsed="false">
      <c r="A815" s="13" t="n">
        <f aca="false">1+A814</f>
        <v>813</v>
      </c>
      <c r="B815" s="17" t="n">
        <v>1009092209</v>
      </c>
      <c r="C815" s="17" t="s">
        <v>414</v>
      </c>
      <c r="D815" s="17" t="s">
        <v>64</v>
      </c>
      <c r="E815" s="17" t="s">
        <v>47</v>
      </c>
      <c r="F815" s="18" t="s">
        <v>34</v>
      </c>
      <c r="G815" s="19" t="n">
        <v>134106530626</v>
      </c>
      <c r="H815" s="17" t="s">
        <v>134</v>
      </c>
      <c r="I815" s="17" t="s">
        <v>44</v>
      </c>
      <c r="J815" s="17" t="s">
        <v>106</v>
      </c>
      <c r="K815" s="17" t="str">
        <f aca="false">VLOOKUP(J815,Sheet2!A:B,2,0)</f>
        <v>PRAKASH CHAVDA</v>
      </c>
      <c r="L815" s="17" t="n">
        <v>5</v>
      </c>
      <c r="M815" s="17" t="str">
        <f aca="false">VLOOKUP(L815,Sheet2!D:E,2,0)</f>
        <v>Main Processor CPU BGA</v>
      </c>
      <c r="N815" s="17" t="n">
        <v>1</v>
      </c>
      <c r="O815" s="17" t="str">
        <f aca="false">VLOOKUP(N815,Sheet2!G:H,2,0)</f>
        <v>Dead</v>
      </c>
      <c r="P815" s="17" t="n">
        <v>12</v>
      </c>
      <c r="Q815" s="17" t="str">
        <f aca="false">VLOOKUP(P815,Sheet2!J:K,2,0)</f>
        <v>IR Declared due to Others ( IR Normal)TB</v>
      </c>
      <c r="R815" s="17" t="s">
        <v>35</v>
      </c>
      <c r="S815" s="17" t="str">
        <f aca="false">VLOOKUP(R815,Sheet2!N:O,2,0)</f>
        <v>IREPARABLE</v>
      </c>
      <c r="T815" s="18" t="str">
        <f aca="false">VLOOKUP(P815,Sheet2!Q:R,2,0)</f>
        <v>IR Normal - BER to IR</v>
      </c>
      <c r="U815" s="20" t="s">
        <v>135</v>
      </c>
      <c r="V815" s="17" t="n">
        <v>12</v>
      </c>
      <c r="W815" s="20" t="str">
        <f aca="false">VLOOKUP(V815,Sheet2!Q:R,2,0)</f>
        <v>IR Normal - BER to IR</v>
      </c>
      <c r="X815" s="17" t="str">
        <f aca="false">J815</f>
        <v>A018</v>
      </c>
      <c r="Y815" s="17" t="str">
        <f aca="false">VLOOKUP(X815,Sheet2!A:B,2,0)</f>
        <v>PRAKASH CHAVDA</v>
      </c>
      <c r="Z815" s="17" t="s">
        <v>136</v>
      </c>
      <c r="AA815" s="17" t="s">
        <v>449</v>
      </c>
      <c r="AB815" s="17" t="s">
        <v>41</v>
      </c>
      <c r="AC815" s="0" t="str">
        <f aca="false">LEFT(G815,2)</f>
        <v>13</v>
      </c>
      <c r="AD815" s="0"/>
      <c r="AE815" s="21" t="s">
        <v>42</v>
      </c>
    </row>
    <row r="816" customFormat="false" ht="15" hidden="false" customHeight="false" outlineLevel="0" collapsed="false">
      <c r="A816" s="13" t="n">
        <f aca="false">1+A815</f>
        <v>814</v>
      </c>
      <c r="B816" s="17" t="n">
        <v>1009092259</v>
      </c>
      <c r="C816" s="17" t="s">
        <v>414</v>
      </c>
      <c r="D816" s="17" t="s">
        <v>60</v>
      </c>
      <c r="E816" s="17" t="s">
        <v>33</v>
      </c>
      <c r="F816" s="18" t="s">
        <v>34</v>
      </c>
      <c r="G816" s="19" t="n">
        <v>134273196250</v>
      </c>
      <c r="H816" s="17" t="s">
        <v>134</v>
      </c>
      <c r="I816" s="17" t="s">
        <v>44</v>
      </c>
      <c r="J816" s="17" t="s">
        <v>106</v>
      </c>
      <c r="K816" s="17" t="str">
        <f aca="false">VLOOKUP(J816,Sheet2!A:B,2,0)</f>
        <v>PRAKASH CHAVDA</v>
      </c>
      <c r="L816" s="17" t="n">
        <v>5</v>
      </c>
      <c r="M816" s="17" t="str">
        <f aca="false">VLOOKUP(L816,Sheet2!D:E,2,0)</f>
        <v>Main Processor CPU BGA</v>
      </c>
      <c r="N816" s="17" t="n">
        <v>24</v>
      </c>
      <c r="O816" s="17" t="str">
        <f aca="false">VLOOKUP(N816,Sheet2!G:H,2,0)</f>
        <v>STB Auto moving -Stand by mode</v>
      </c>
      <c r="P816" s="17" t="n">
        <v>12</v>
      </c>
      <c r="Q816" s="17" t="str">
        <f aca="false">VLOOKUP(P816,Sheet2!J:K,2,0)</f>
        <v>IR Declared due to Others ( IR Normal)TB</v>
      </c>
      <c r="R816" s="17" t="s">
        <v>35</v>
      </c>
      <c r="S816" s="17" t="str">
        <f aca="false">VLOOKUP(R816,Sheet2!N:O,2,0)</f>
        <v>IREPARABLE</v>
      </c>
      <c r="T816" s="18" t="str">
        <f aca="false">VLOOKUP(P816,Sheet2!Q:R,2,0)</f>
        <v>IR Normal - BER to IR</v>
      </c>
      <c r="U816" s="20" t="s">
        <v>135</v>
      </c>
      <c r="V816" s="17" t="n">
        <v>12</v>
      </c>
      <c r="W816" s="20" t="str">
        <f aca="false">VLOOKUP(V816,Sheet2!Q:R,2,0)</f>
        <v>IR Normal - BER to IR</v>
      </c>
      <c r="X816" s="17" t="str">
        <f aca="false">J816</f>
        <v>A018</v>
      </c>
      <c r="Y816" s="17" t="str">
        <f aca="false">VLOOKUP(X816,Sheet2!A:B,2,0)</f>
        <v>PRAKASH CHAVDA</v>
      </c>
      <c r="Z816" s="17" t="s">
        <v>136</v>
      </c>
      <c r="AA816" s="17" t="s">
        <v>449</v>
      </c>
      <c r="AB816" s="17" t="s">
        <v>41</v>
      </c>
      <c r="AC816" s="0" t="str">
        <f aca="false">LEFT(G816,2)</f>
        <v>13</v>
      </c>
      <c r="AD816" s="0"/>
      <c r="AE816" s="21" t="s">
        <v>42</v>
      </c>
    </row>
    <row r="817" customFormat="false" ht="15" hidden="false" customHeight="false" outlineLevel="0" collapsed="false">
      <c r="A817" s="13" t="n">
        <f aca="false">1+A816</f>
        <v>815</v>
      </c>
      <c r="B817" s="17" t="n">
        <v>1009092038</v>
      </c>
      <c r="C817" s="17" t="s">
        <v>414</v>
      </c>
      <c r="D817" s="17" t="s">
        <v>64</v>
      </c>
      <c r="E817" s="17" t="s">
        <v>64</v>
      </c>
      <c r="F817" s="18" t="s">
        <v>70</v>
      </c>
      <c r="G817" s="19" t="n">
        <v>134268447635</v>
      </c>
      <c r="H817" s="17" t="s">
        <v>134</v>
      </c>
      <c r="I817" s="17" t="s">
        <v>44</v>
      </c>
      <c r="J817" s="17" t="s">
        <v>106</v>
      </c>
      <c r="K817" s="17" t="str">
        <f aca="false">VLOOKUP(J817,Sheet2!A:B,2,0)</f>
        <v>PRAKASH CHAVDA</v>
      </c>
      <c r="L817" s="17" t="n">
        <v>5</v>
      </c>
      <c r="M817" s="17" t="str">
        <f aca="false">VLOOKUP(L817,Sheet2!D:E,2,0)</f>
        <v>Main Processor CPU BGA</v>
      </c>
      <c r="N817" s="17" t="n">
        <v>1</v>
      </c>
      <c r="O817" s="17" t="str">
        <f aca="false">VLOOKUP(N817,Sheet2!G:H,2,0)</f>
        <v>Dead</v>
      </c>
      <c r="P817" s="17" t="n">
        <v>12</v>
      </c>
      <c r="Q817" s="17" t="str">
        <f aca="false">VLOOKUP(P817,Sheet2!J:K,2,0)</f>
        <v>IR Declared due to Others ( IR Normal)TB</v>
      </c>
      <c r="R817" s="17" t="s">
        <v>35</v>
      </c>
      <c r="S817" s="17" t="str">
        <f aca="false">VLOOKUP(R817,Sheet2!N:O,2,0)</f>
        <v>IREPARABLE</v>
      </c>
      <c r="T817" s="18" t="str">
        <f aca="false">VLOOKUP(P817,Sheet2!Q:R,2,0)</f>
        <v>IR Normal - BER to IR</v>
      </c>
      <c r="U817" s="20" t="s">
        <v>135</v>
      </c>
      <c r="V817" s="17" t="n">
        <v>12</v>
      </c>
      <c r="W817" s="20" t="str">
        <f aca="false">VLOOKUP(V817,Sheet2!Q:R,2,0)</f>
        <v>IR Normal - BER to IR</v>
      </c>
      <c r="X817" s="17" t="str">
        <f aca="false">J817</f>
        <v>A018</v>
      </c>
      <c r="Y817" s="17" t="str">
        <f aca="false">VLOOKUP(X817,Sheet2!A:B,2,0)</f>
        <v>PRAKASH CHAVDA</v>
      </c>
      <c r="Z817" s="17" t="s">
        <v>136</v>
      </c>
      <c r="AA817" s="17" t="s">
        <v>449</v>
      </c>
      <c r="AB817" s="17" t="s">
        <v>41</v>
      </c>
      <c r="AC817" s="0" t="str">
        <f aca="false">LEFT(G817,2)</f>
        <v>13</v>
      </c>
      <c r="AD817" s="0"/>
      <c r="AE817" s="21" t="s">
        <v>42</v>
      </c>
    </row>
    <row r="818" customFormat="false" ht="15" hidden="false" customHeight="false" outlineLevel="0" collapsed="false">
      <c r="A818" s="13" t="n">
        <f aca="false">1+A817</f>
        <v>816</v>
      </c>
      <c r="B818" s="17" t="n">
        <v>1009661672</v>
      </c>
      <c r="C818" s="17" t="s">
        <v>433</v>
      </c>
      <c r="D818" s="17" t="s">
        <v>64</v>
      </c>
      <c r="E818" s="17" t="s">
        <v>64</v>
      </c>
      <c r="F818" s="18" t="s">
        <v>70</v>
      </c>
      <c r="G818" s="19" t="n">
        <v>134127502745</v>
      </c>
      <c r="H818" s="17" t="s">
        <v>134</v>
      </c>
      <c r="I818" s="17" t="s">
        <v>44</v>
      </c>
      <c r="J818" s="17" t="s">
        <v>106</v>
      </c>
      <c r="K818" s="17" t="str">
        <f aca="false">VLOOKUP(J818,Sheet2!A:B,2,0)</f>
        <v>PRAKASH CHAVDA</v>
      </c>
      <c r="L818" s="17" t="n">
        <v>5</v>
      </c>
      <c r="M818" s="17" t="str">
        <f aca="false">VLOOKUP(L818,Sheet2!D:E,2,0)</f>
        <v>Main Processor CPU BGA</v>
      </c>
      <c r="N818" s="17" t="n">
        <v>1</v>
      </c>
      <c r="O818" s="17" t="str">
        <f aca="false">VLOOKUP(N818,Sheet2!G:H,2,0)</f>
        <v>Dead</v>
      </c>
      <c r="P818" s="17" t="n">
        <v>12</v>
      </c>
      <c r="Q818" s="17" t="str">
        <f aca="false">VLOOKUP(P818,Sheet2!J:K,2,0)</f>
        <v>IR Declared due to Others ( IR Normal)TB</v>
      </c>
      <c r="R818" s="17" t="s">
        <v>35</v>
      </c>
      <c r="S818" s="17" t="str">
        <f aca="false">VLOOKUP(R818,Sheet2!N:O,2,0)</f>
        <v>IREPARABLE</v>
      </c>
      <c r="T818" s="18" t="str">
        <f aca="false">VLOOKUP(P818,Sheet2!Q:R,2,0)</f>
        <v>IR Normal - BER to IR</v>
      </c>
      <c r="U818" s="20" t="s">
        <v>135</v>
      </c>
      <c r="V818" s="17" t="n">
        <v>12</v>
      </c>
      <c r="W818" s="20" t="str">
        <f aca="false">VLOOKUP(V818,Sheet2!Q:R,2,0)</f>
        <v>IR Normal - BER to IR</v>
      </c>
      <c r="X818" s="17" t="str">
        <f aca="false">J818</f>
        <v>A018</v>
      </c>
      <c r="Y818" s="17" t="str">
        <f aca="false">VLOOKUP(X818,Sheet2!A:B,2,0)</f>
        <v>PRAKASH CHAVDA</v>
      </c>
      <c r="Z818" s="17" t="s">
        <v>136</v>
      </c>
      <c r="AA818" s="17" t="s">
        <v>449</v>
      </c>
      <c r="AB818" s="17" t="s">
        <v>41</v>
      </c>
      <c r="AC818" s="0" t="str">
        <f aca="false">LEFT(G818,2)</f>
        <v>13</v>
      </c>
      <c r="AD818" s="0"/>
      <c r="AE818" s="21" t="s">
        <v>42</v>
      </c>
    </row>
    <row r="819" customFormat="false" ht="15" hidden="false" customHeight="false" outlineLevel="0" collapsed="false">
      <c r="A819" s="13" t="n">
        <f aca="false">1+A818</f>
        <v>817</v>
      </c>
      <c r="B819" s="17" t="n">
        <v>1009091453</v>
      </c>
      <c r="C819" s="17" t="s">
        <v>414</v>
      </c>
      <c r="D819" s="17" t="s">
        <v>461</v>
      </c>
      <c r="E819" s="17" t="s">
        <v>114</v>
      </c>
      <c r="F819" s="18" t="s">
        <v>34</v>
      </c>
      <c r="G819" s="19" t="n">
        <v>134255270156</v>
      </c>
      <c r="H819" s="17" t="s">
        <v>134</v>
      </c>
      <c r="I819" s="17" t="s">
        <v>44</v>
      </c>
      <c r="J819" s="17" t="s">
        <v>106</v>
      </c>
      <c r="K819" s="17" t="str">
        <f aca="false">VLOOKUP(J819,Sheet2!A:B,2,0)</f>
        <v>PRAKASH CHAVDA</v>
      </c>
      <c r="L819" s="17" t="n">
        <v>5</v>
      </c>
      <c r="M819" s="17" t="str">
        <f aca="false">VLOOKUP(L819,Sheet2!D:E,2,0)</f>
        <v>Main Processor CPU BGA</v>
      </c>
      <c r="N819" s="17" t="n">
        <v>24</v>
      </c>
      <c r="O819" s="17" t="str">
        <f aca="false">VLOOKUP(N819,Sheet2!G:H,2,0)</f>
        <v>STB Auto moving -Stand by mode</v>
      </c>
      <c r="P819" s="17" t="n">
        <v>12</v>
      </c>
      <c r="Q819" s="17" t="str">
        <f aca="false">VLOOKUP(P819,Sheet2!J:K,2,0)</f>
        <v>IR Declared due to Others ( IR Normal)TB</v>
      </c>
      <c r="R819" s="17" t="s">
        <v>35</v>
      </c>
      <c r="S819" s="17" t="str">
        <f aca="false">VLOOKUP(R819,Sheet2!N:O,2,0)</f>
        <v>IREPARABLE</v>
      </c>
      <c r="T819" s="18" t="str">
        <f aca="false">VLOOKUP(P819,Sheet2!Q:R,2,0)</f>
        <v>IR Normal - BER to IR</v>
      </c>
      <c r="U819" s="20" t="s">
        <v>135</v>
      </c>
      <c r="V819" s="17" t="n">
        <v>12</v>
      </c>
      <c r="W819" s="20" t="str">
        <f aca="false">VLOOKUP(V819,Sheet2!Q:R,2,0)</f>
        <v>IR Normal - BER to IR</v>
      </c>
      <c r="X819" s="17" t="str">
        <f aca="false">J819</f>
        <v>A018</v>
      </c>
      <c r="Y819" s="17" t="str">
        <f aca="false">VLOOKUP(X819,Sheet2!A:B,2,0)</f>
        <v>PRAKASH CHAVDA</v>
      </c>
      <c r="Z819" s="17" t="s">
        <v>136</v>
      </c>
      <c r="AA819" s="17" t="s">
        <v>449</v>
      </c>
      <c r="AB819" s="17" t="s">
        <v>41</v>
      </c>
      <c r="AC819" s="0" t="str">
        <f aca="false">LEFT(G819,2)</f>
        <v>13</v>
      </c>
      <c r="AD819" s="0"/>
      <c r="AE819" s="21" t="s">
        <v>42</v>
      </c>
    </row>
    <row r="820" customFormat="false" ht="15" hidden="false" customHeight="false" outlineLevel="0" collapsed="false">
      <c r="A820" s="13" t="n">
        <f aca="false">1+A819</f>
        <v>818</v>
      </c>
      <c r="B820" s="17" t="n">
        <v>1009091546</v>
      </c>
      <c r="C820" s="17" t="s">
        <v>414</v>
      </c>
      <c r="D820" s="17" t="s">
        <v>64</v>
      </c>
      <c r="E820" s="17" t="s">
        <v>64</v>
      </c>
      <c r="F820" s="18" t="s">
        <v>70</v>
      </c>
      <c r="G820" s="19" t="n">
        <v>134106103481</v>
      </c>
      <c r="H820" s="17" t="s">
        <v>134</v>
      </c>
      <c r="I820" s="17" t="s">
        <v>44</v>
      </c>
      <c r="J820" s="17" t="s">
        <v>106</v>
      </c>
      <c r="K820" s="17" t="str">
        <f aca="false">VLOOKUP(J820,Sheet2!A:B,2,0)</f>
        <v>PRAKASH CHAVDA</v>
      </c>
      <c r="L820" s="17" t="n">
        <v>5</v>
      </c>
      <c r="M820" s="17" t="str">
        <f aca="false">VLOOKUP(L820,Sheet2!D:E,2,0)</f>
        <v>Main Processor CPU BGA</v>
      </c>
      <c r="N820" s="17" t="n">
        <v>28</v>
      </c>
      <c r="O820" s="17" t="str">
        <f aca="false">VLOOKUP(N820,Sheet2!G:H,2,0)</f>
        <v>Hang and Freeze video - AV</v>
      </c>
      <c r="P820" s="17" t="n">
        <v>12</v>
      </c>
      <c r="Q820" s="17" t="str">
        <f aca="false">VLOOKUP(P820,Sheet2!J:K,2,0)</f>
        <v>IR Declared due to Others ( IR Normal)TB</v>
      </c>
      <c r="R820" s="17" t="s">
        <v>35</v>
      </c>
      <c r="S820" s="17" t="str">
        <f aca="false">VLOOKUP(R820,Sheet2!N:O,2,0)</f>
        <v>IREPARABLE</v>
      </c>
      <c r="T820" s="18" t="str">
        <f aca="false">VLOOKUP(P820,Sheet2!Q:R,2,0)</f>
        <v>IR Normal - BER to IR</v>
      </c>
      <c r="U820" s="20" t="s">
        <v>135</v>
      </c>
      <c r="V820" s="17" t="n">
        <v>12</v>
      </c>
      <c r="W820" s="20" t="str">
        <f aca="false">VLOOKUP(V820,Sheet2!Q:R,2,0)</f>
        <v>IR Normal - BER to IR</v>
      </c>
      <c r="X820" s="17" t="str">
        <f aca="false">J820</f>
        <v>A018</v>
      </c>
      <c r="Y820" s="17" t="str">
        <f aca="false">VLOOKUP(X820,Sheet2!A:B,2,0)</f>
        <v>PRAKASH CHAVDA</v>
      </c>
      <c r="Z820" s="17" t="s">
        <v>136</v>
      </c>
      <c r="AA820" s="17" t="s">
        <v>449</v>
      </c>
      <c r="AB820" s="17" t="s">
        <v>41</v>
      </c>
      <c r="AC820" s="0" t="str">
        <f aca="false">LEFT(G820,2)</f>
        <v>13</v>
      </c>
      <c r="AD820" s="0"/>
      <c r="AE820" s="21" t="s">
        <v>42</v>
      </c>
    </row>
    <row r="821" customFormat="false" ht="15" hidden="false" customHeight="false" outlineLevel="0" collapsed="false">
      <c r="A821" s="13" t="n">
        <f aca="false">1+A820</f>
        <v>819</v>
      </c>
      <c r="B821" s="17" t="n">
        <v>1009091554</v>
      </c>
      <c r="C821" s="17" t="s">
        <v>414</v>
      </c>
      <c r="D821" s="17" t="s">
        <v>462</v>
      </c>
      <c r="E821" s="17" t="s">
        <v>47</v>
      </c>
      <c r="F821" s="18" t="s">
        <v>34</v>
      </c>
      <c r="G821" s="19" t="n">
        <v>134230158054</v>
      </c>
      <c r="H821" s="17" t="s">
        <v>134</v>
      </c>
      <c r="I821" s="17" t="s">
        <v>44</v>
      </c>
      <c r="J821" s="17" t="s">
        <v>106</v>
      </c>
      <c r="K821" s="17" t="str">
        <f aca="false">VLOOKUP(J821,Sheet2!A:B,2,0)</f>
        <v>PRAKASH CHAVDA</v>
      </c>
      <c r="L821" s="17" t="n">
        <v>5</v>
      </c>
      <c r="M821" s="17" t="str">
        <f aca="false">VLOOKUP(L821,Sheet2!D:E,2,0)</f>
        <v>Main Processor CPU BGA</v>
      </c>
      <c r="N821" s="17" t="n">
        <v>24</v>
      </c>
      <c r="O821" s="17" t="str">
        <f aca="false">VLOOKUP(N821,Sheet2!G:H,2,0)</f>
        <v>STB Auto moving -Stand by mode</v>
      </c>
      <c r="P821" s="17" t="n">
        <v>12</v>
      </c>
      <c r="Q821" s="17" t="str">
        <f aca="false">VLOOKUP(P821,Sheet2!J:K,2,0)</f>
        <v>IR Declared due to Others ( IR Normal)TB</v>
      </c>
      <c r="R821" s="17" t="s">
        <v>35</v>
      </c>
      <c r="S821" s="17" t="str">
        <f aca="false">VLOOKUP(R821,Sheet2!N:O,2,0)</f>
        <v>IREPARABLE</v>
      </c>
      <c r="T821" s="18" t="str">
        <f aca="false">VLOOKUP(P821,Sheet2!Q:R,2,0)</f>
        <v>IR Normal - BER to IR</v>
      </c>
      <c r="U821" s="20" t="s">
        <v>135</v>
      </c>
      <c r="V821" s="17" t="n">
        <v>12</v>
      </c>
      <c r="W821" s="20" t="str">
        <f aca="false">VLOOKUP(V821,Sheet2!Q:R,2,0)</f>
        <v>IR Normal - BER to IR</v>
      </c>
      <c r="X821" s="17" t="str">
        <f aca="false">J821</f>
        <v>A018</v>
      </c>
      <c r="Y821" s="17" t="str">
        <f aca="false">VLOOKUP(X821,Sheet2!A:B,2,0)</f>
        <v>PRAKASH CHAVDA</v>
      </c>
      <c r="Z821" s="17" t="s">
        <v>136</v>
      </c>
      <c r="AA821" s="17" t="s">
        <v>449</v>
      </c>
      <c r="AB821" s="17" t="s">
        <v>41</v>
      </c>
      <c r="AC821" s="0" t="str">
        <f aca="false">LEFT(G821,2)</f>
        <v>13</v>
      </c>
      <c r="AD821" s="0"/>
      <c r="AE821" s="21" t="s">
        <v>42</v>
      </c>
    </row>
    <row r="822" customFormat="false" ht="15" hidden="false" customHeight="false" outlineLevel="0" collapsed="false">
      <c r="A822" s="13" t="n">
        <f aca="false">1+A821</f>
        <v>820</v>
      </c>
      <c r="B822" s="17" t="n">
        <v>1009651138</v>
      </c>
      <c r="C822" s="17" t="s">
        <v>204</v>
      </c>
      <c r="D822" s="17" t="s">
        <v>64</v>
      </c>
      <c r="E822" s="17" t="s">
        <v>64</v>
      </c>
      <c r="F822" s="18" t="s">
        <v>70</v>
      </c>
      <c r="G822" s="19" t="n">
        <v>775323174448</v>
      </c>
      <c r="H822" s="17" t="s">
        <v>134</v>
      </c>
      <c r="I822" s="17" t="s">
        <v>69</v>
      </c>
      <c r="J822" s="17" t="s">
        <v>106</v>
      </c>
      <c r="K822" s="17" t="str">
        <f aca="false">VLOOKUP(J822,Sheet2!A:B,2,0)</f>
        <v>PRAKASH CHAVDA</v>
      </c>
      <c r="L822" s="17" t="n">
        <v>5</v>
      </c>
      <c r="M822" s="17" t="str">
        <f aca="false">VLOOKUP(L822,Sheet2!D:E,2,0)</f>
        <v>Main Processor CPU BGA</v>
      </c>
      <c r="N822" s="17" t="n">
        <v>1</v>
      </c>
      <c r="O822" s="17" t="str">
        <f aca="false">VLOOKUP(N822,Sheet2!G:H,2,0)</f>
        <v>Dead</v>
      </c>
      <c r="P822" s="17" t="n">
        <v>12</v>
      </c>
      <c r="Q822" s="17" t="str">
        <f aca="false">VLOOKUP(P822,Sheet2!J:K,2,0)</f>
        <v>IR Declared due to Others ( IR Normal)TB</v>
      </c>
      <c r="R822" s="17" t="s">
        <v>35</v>
      </c>
      <c r="S822" s="17" t="str">
        <f aca="false">VLOOKUP(R822,Sheet2!N:O,2,0)</f>
        <v>IREPARABLE</v>
      </c>
      <c r="T822" s="18" t="str">
        <f aca="false">VLOOKUP(P822,Sheet2!Q:R,2,0)</f>
        <v>IR Normal - BER to IR</v>
      </c>
      <c r="U822" s="20" t="s">
        <v>135</v>
      </c>
      <c r="V822" s="17" t="n">
        <v>12</v>
      </c>
      <c r="W822" s="20" t="str">
        <f aca="false">VLOOKUP(V822,Sheet2!Q:R,2,0)</f>
        <v>IR Normal - BER to IR</v>
      </c>
      <c r="X822" s="17" t="str">
        <f aca="false">J822</f>
        <v>A018</v>
      </c>
      <c r="Y822" s="17" t="str">
        <f aca="false">VLOOKUP(X822,Sheet2!A:B,2,0)</f>
        <v>PRAKASH CHAVDA</v>
      </c>
      <c r="Z822" s="17" t="s">
        <v>136</v>
      </c>
      <c r="AA822" s="17" t="s">
        <v>449</v>
      </c>
      <c r="AB822" s="17" t="s">
        <v>41</v>
      </c>
      <c r="AC822" s="0" t="str">
        <f aca="false">LEFT(G822,2)</f>
        <v>77</v>
      </c>
      <c r="AD822" s="0"/>
      <c r="AE822" s="21" t="s">
        <v>42</v>
      </c>
    </row>
    <row r="823" customFormat="false" ht="15" hidden="false" customHeight="false" outlineLevel="0" collapsed="false">
      <c r="A823" s="13" t="n">
        <f aca="false">1+A822</f>
        <v>821</v>
      </c>
      <c r="B823" s="17" t="n">
        <v>1009091262</v>
      </c>
      <c r="C823" s="17" t="s">
        <v>414</v>
      </c>
      <c r="D823" s="17" t="s">
        <v>64</v>
      </c>
      <c r="E823" s="17" t="s">
        <v>64</v>
      </c>
      <c r="F823" s="18" t="s">
        <v>70</v>
      </c>
      <c r="G823" s="19" t="n">
        <v>134263037498</v>
      </c>
      <c r="H823" s="17" t="s">
        <v>134</v>
      </c>
      <c r="I823" s="17" t="s">
        <v>44</v>
      </c>
      <c r="J823" s="17" t="s">
        <v>106</v>
      </c>
      <c r="K823" s="17" t="str">
        <f aca="false">VLOOKUP(J823,Sheet2!A:B,2,0)</f>
        <v>PRAKASH CHAVDA</v>
      </c>
      <c r="L823" s="17" t="n">
        <v>5</v>
      </c>
      <c r="M823" s="17" t="str">
        <f aca="false">VLOOKUP(L823,Sheet2!D:E,2,0)</f>
        <v>Main Processor CPU BGA</v>
      </c>
      <c r="N823" s="17" t="n">
        <v>33</v>
      </c>
      <c r="O823" s="17" t="str">
        <f aca="false">VLOOKUP(N823,Sheet2!G:H,2,0)</f>
        <v>Software download failure</v>
      </c>
      <c r="P823" s="17" t="n">
        <v>12</v>
      </c>
      <c r="Q823" s="17" t="str">
        <f aca="false">VLOOKUP(P823,Sheet2!J:K,2,0)</f>
        <v>IR Declared due to Others ( IR Normal)TB</v>
      </c>
      <c r="R823" s="17" t="s">
        <v>35</v>
      </c>
      <c r="S823" s="17" t="str">
        <f aca="false">VLOOKUP(R823,Sheet2!N:O,2,0)</f>
        <v>IREPARABLE</v>
      </c>
      <c r="T823" s="18" t="str">
        <f aca="false">VLOOKUP(P823,Sheet2!Q:R,2,0)</f>
        <v>IR Normal - BER to IR</v>
      </c>
      <c r="U823" s="20" t="s">
        <v>135</v>
      </c>
      <c r="V823" s="17" t="n">
        <v>12</v>
      </c>
      <c r="W823" s="20" t="str">
        <f aca="false">VLOOKUP(V823,Sheet2!Q:R,2,0)</f>
        <v>IR Normal - BER to IR</v>
      </c>
      <c r="X823" s="17" t="str">
        <f aca="false">J823</f>
        <v>A018</v>
      </c>
      <c r="Y823" s="17" t="str">
        <f aca="false">VLOOKUP(X823,Sheet2!A:B,2,0)</f>
        <v>PRAKASH CHAVDA</v>
      </c>
      <c r="Z823" s="17" t="s">
        <v>136</v>
      </c>
      <c r="AA823" s="17" t="s">
        <v>449</v>
      </c>
      <c r="AB823" s="17" t="s">
        <v>41</v>
      </c>
      <c r="AC823" s="0" t="str">
        <f aca="false">LEFT(G823,2)</f>
        <v>13</v>
      </c>
      <c r="AD823" s="0"/>
      <c r="AE823" s="21" t="s">
        <v>42</v>
      </c>
    </row>
    <row r="824" customFormat="false" ht="15" hidden="false" customHeight="false" outlineLevel="0" collapsed="false">
      <c r="A824" s="13" t="n">
        <f aca="false">1+A823</f>
        <v>822</v>
      </c>
      <c r="B824" s="17" t="n">
        <v>1009092143</v>
      </c>
      <c r="C824" s="17" t="s">
        <v>414</v>
      </c>
      <c r="D824" s="17" t="s">
        <v>64</v>
      </c>
      <c r="E824" s="17" t="s">
        <v>64</v>
      </c>
      <c r="F824" s="18" t="s">
        <v>70</v>
      </c>
      <c r="G824" s="19" t="n">
        <v>134263185636</v>
      </c>
      <c r="H824" s="17" t="s">
        <v>134</v>
      </c>
      <c r="I824" s="17" t="s">
        <v>44</v>
      </c>
      <c r="J824" s="17" t="s">
        <v>106</v>
      </c>
      <c r="K824" s="17" t="str">
        <f aca="false">VLOOKUP(J824,Sheet2!A:B,2,0)</f>
        <v>PRAKASH CHAVDA</v>
      </c>
      <c r="L824" s="17" t="n">
        <v>5</v>
      </c>
      <c r="M824" s="17" t="str">
        <f aca="false">VLOOKUP(L824,Sheet2!D:E,2,0)</f>
        <v>Main Processor CPU BGA</v>
      </c>
      <c r="N824" s="17" t="n">
        <v>1</v>
      </c>
      <c r="O824" s="17" t="str">
        <f aca="false">VLOOKUP(N824,Sheet2!G:H,2,0)</f>
        <v>Dead</v>
      </c>
      <c r="P824" s="17" t="n">
        <v>12</v>
      </c>
      <c r="Q824" s="17" t="str">
        <f aca="false">VLOOKUP(P824,Sheet2!J:K,2,0)</f>
        <v>IR Declared due to Others ( IR Normal)TB</v>
      </c>
      <c r="R824" s="17" t="s">
        <v>35</v>
      </c>
      <c r="S824" s="17" t="str">
        <f aca="false">VLOOKUP(R824,Sheet2!N:O,2,0)</f>
        <v>IREPARABLE</v>
      </c>
      <c r="T824" s="18" t="str">
        <f aca="false">VLOOKUP(P824,Sheet2!Q:R,2,0)</f>
        <v>IR Normal - BER to IR</v>
      </c>
      <c r="U824" s="20" t="s">
        <v>135</v>
      </c>
      <c r="V824" s="17" t="n">
        <v>12</v>
      </c>
      <c r="W824" s="20" t="str">
        <f aca="false">VLOOKUP(V824,Sheet2!Q:R,2,0)</f>
        <v>IR Normal - BER to IR</v>
      </c>
      <c r="X824" s="17" t="str">
        <f aca="false">J824</f>
        <v>A018</v>
      </c>
      <c r="Y824" s="17" t="str">
        <f aca="false">VLOOKUP(X824,Sheet2!A:B,2,0)</f>
        <v>PRAKASH CHAVDA</v>
      </c>
      <c r="Z824" s="17" t="s">
        <v>136</v>
      </c>
      <c r="AA824" s="17" t="s">
        <v>449</v>
      </c>
      <c r="AB824" s="17" t="s">
        <v>41</v>
      </c>
      <c r="AC824" s="0" t="str">
        <f aca="false">LEFT(G824,2)</f>
        <v>13</v>
      </c>
      <c r="AD824" s="0"/>
      <c r="AE824" s="21" t="s">
        <v>42</v>
      </c>
    </row>
    <row r="825" customFormat="false" ht="15" hidden="false" customHeight="false" outlineLevel="0" collapsed="false">
      <c r="A825" s="13" t="n">
        <f aca="false">1+A824</f>
        <v>823</v>
      </c>
      <c r="B825" s="17" t="n">
        <v>1008855580</v>
      </c>
      <c r="C825" s="17" t="s">
        <v>463</v>
      </c>
      <c r="D825" s="17" t="s">
        <v>64</v>
      </c>
      <c r="E825" s="17" t="s">
        <v>47</v>
      </c>
      <c r="F825" s="18" t="s">
        <v>34</v>
      </c>
      <c r="G825" s="19" t="n">
        <v>133351263073</v>
      </c>
      <c r="H825" s="17" t="s">
        <v>134</v>
      </c>
      <c r="I825" s="17" t="s">
        <v>44</v>
      </c>
      <c r="J825" s="17" t="s">
        <v>106</v>
      </c>
      <c r="K825" s="17" t="str">
        <f aca="false">VLOOKUP(J825,Sheet2!A:B,2,0)</f>
        <v>PRAKASH CHAVDA</v>
      </c>
      <c r="L825" s="17" t="n">
        <v>5</v>
      </c>
      <c r="M825" s="17" t="str">
        <f aca="false">VLOOKUP(L825,Sheet2!D:E,2,0)</f>
        <v>Main Processor CPU BGA</v>
      </c>
      <c r="N825" s="17" t="n">
        <v>1</v>
      </c>
      <c r="O825" s="17" t="str">
        <f aca="false">VLOOKUP(N825,Sheet2!G:H,2,0)</f>
        <v>Dead</v>
      </c>
      <c r="P825" s="17" t="n">
        <v>12</v>
      </c>
      <c r="Q825" s="17" t="str">
        <f aca="false">VLOOKUP(P825,Sheet2!J:K,2,0)</f>
        <v>IR Declared due to Others ( IR Normal)TB</v>
      </c>
      <c r="R825" s="17" t="s">
        <v>35</v>
      </c>
      <c r="S825" s="17" t="str">
        <f aca="false">VLOOKUP(R825,Sheet2!N:O,2,0)</f>
        <v>IREPARABLE</v>
      </c>
      <c r="T825" s="18" t="str">
        <f aca="false">VLOOKUP(P825,Sheet2!Q:R,2,0)</f>
        <v>IR Normal - BER to IR</v>
      </c>
      <c r="U825" s="20" t="s">
        <v>135</v>
      </c>
      <c r="V825" s="17" t="n">
        <v>12</v>
      </c>
      <c r="W825" s="20" t="str">
        <f aca="false">VLOOKUP(V825,Sheet2!Q:R,2,0)</f>
        <v>IR Normal - BER to IR</v>
      </c>
      <c r="X825" s="17" t="str">
        <f aca="false">J825</f>
        <v>A018</v>
      </c>
      <c r="Y825" s="17" t="str">
        <f aca="false">VLOOKUP(X825,Sheet2!A:B,2,0)</f>
        <v>PRAKASH CHAVDA</v>
      </c>
      <c r="Z825" s="17" t="s">
        <v>136</v>
      </c>
      <c r="AA825" s="17" t="s">
        <v>449</v>
      </c>
      <c r="AB825" s="17" t="s">
        <v>41</v>
      </c>
      <c r="AC825" s="0" t="str">
        <f aca="false">LEFT(G825,2)</f>
        <v>13</v>
      </c>
      <c r="AD825" s="0"/>
      <c r="AE825" s="21" t="s">
        <v>42</v>
      </c>
    </row>
    <row r="826" customFormat="false" ht="15" hidden="false" customHeight="false" outlineLevel="0" collapsed="false">
      <c r="A826" s="13" t="n">
        <f aca="false">1+A825</f>
        <v>824</v>
      </c>
      <c r="B826" s="17" t="n">
        <v>1008483699</v>
      </c>
      <c r="C826" s="17" t="s">
        <v>464</v>
      </c>
      <c r="D826" s="17" t="s">
        <v>64</v>
      </c>
      <c r="E826" s="17" t="s">
        <v>47</v>
      </c>
      <c r="F826" s="18" t="s">
        <v>34</v>
      </c>
      <c r="G826" s="19" t="n">
        <v>134230227222</v>
      </c>
      <c r="H826" s="17" t="s">
        <v>134</v>
      </c>
      <c r="I826" s="17" t="s">
        <v>44</v>
      </c>
      <c r="J826" s="17" t="s">
        <v>106</v>
      </c>
      <c r="K826" s="17" t="str">
        <f aca="false">VLOOKUP(J826,Sheet2!A:B,2,0)</f>
        <v>PRAKASH CHAVDA</v>
      </c>
      <c r="L826" s="17" t="n">
        <v>5</v>
      </c>
      <c r="M826" s="17" t="str">
        <f aca="false">VLOOKUP(L826,Sheet2!D:E,2,0)</f>
        <v>Main Processor CPU BGA</v>
      </c>
      <c r="N826" s="17" t="n">
        <v>1</v>
      </c>
      <c r="O826" s="17" t="str">
        <f aca="false">VLOOKUP(N826,Sheet2!G:H,2,0)</f>
        <v>Dead</v>
      </c>
      <c r="P826" s="17" t="n">
        <v>12</v>
      </c>
      <c r="Q826" s="17" t="str">
        <f aca="false">VLOOKUP(P826,Sheet2!J:K,2,0)</f>
        <v>IR Declared due to Others ( IR Normal)TB</v>
      </c>
      <c r="R826" s="17" t="s">
        <v>35</v>
      </c>
      <c r="S826" s="17" t="str">
        <f aca="false">VLOOKUP(R826,Sheet2!N:O,2,0)</f>
        <v>IREPARABLE</v>
      </c>
      <c r="T826" s="18" t="str">
        <f aca="false">VLOOKUP(P826,Sheet2!Q:R,2,0)</f>
        <v>IR Normal - BER to IR</v>
      </c>
      <c r="U826" s="20" t="s">
        <v>135</v>
      </c>
      <c r="V826" s="17" t="n">
        <v>12</v>
      </c>
      <c r="W826" s="20" t="str">
        <f aca="false">VLOOKUP(V826,Sheet2!Q:R,2,0)</f>
        <v>IR Normal - BER to IR</v>
      </c>
      <c r="X826" s="17" t="str">
        <f aca="false">J826</f>
        <v>A018</v>
      </c>
      <c r="Y826" s="17" t="str">
        <f aca="false">VLOOKUP(X826,Sheet2!A:B,2,0)</f>
        <v>PRAKASH CHAVDA</v>
      </c>
      <c r="Z826" s="17" t="s">
        <v>136</v>
      </c>
      <c r="AA826" s="17" t="s">
        <v>449</v>
      </c>
      <c r="AB826" s="17" t="s">
        <v>41</v>
      </c>
      <c r="AC826" s="0" t="str">
        <f aca="false">LEFT(G826,2)</f>
        <v>13</v>
      </c>
      <c r="AD826" s="0"/>
      <c r="AE826" s="21" t="s">
        <v>42</v>
      </c>
    </row>
    <row r="827" customFormat="false" ht="15" hidden="false" customHeight="false" outlineLevel="0" collapsed="false">
      <c r="A827" s="13" t="n">
        <f aca="false">1+A826</f>
        <v>825</v>
      </c>
      <c r="B827" s="17" t="n">
        <v>1009639866</v>
      </c>
      <c r="C827" s="17" t="s">
        <v>414</v>
      </c>
      <c r="D827" s="17" t="s">
        <v>64</v>
      </c>
      <c r="E827" s="17" t="s">
        <v>47</v>
      </c>
      <c r="F827" s="18" t="s">
        <v>34</v>
      </c>
      <c r="G827" s="19" t="n">
        <v>133322128975</v>
      </c>
      <c r="H827" s="17" t="s">
        <v>134</v>
      </c>
      <c r="I827" s="17" t="s">
        <v>44</v>
      </c>
      <c r="J827" s="17" t="s">
        <v>106</v>
      </c>
      <c r="K827" s="17" t="str">
        <f aca="false">VLOOKUP(J827,Sheet2!A:B,2,0)</f>
        <v>PRAKASH CHAVDA</v>
      </c>
      <c r="L827" s="17" t="n">
        <v>5</v>
      </c>
      <c r="M827" s="17" t="str">
        <f aca="false">VLOOKUP(L827,Sheet2!D:E,2,0)</f>
        <v>Main Processor CPU BGA</v>
      </c>
      <c r="N827" s="17" t="n">
        <v>1</v>
      </c>
      <c r="O827" s="17" t="str">
        <f aca="false">VLOOKUP(N827,Sheet2!G:H,2,0)</f>
        <v>Dead</v>
      </c>
      <c r="P827" s="17" t="n">
        <v>12</v>
      </c>
      <c r="Q827" s="17" t="str">
        <f aca="false">VLOOKUP(P827,Sheet2!J:K,2,0)</f>
        <v>IR Declared due to Others ( IR Normal)TB</v>
      </c>
      <c r="R827" s="17" t="s">
        <v>35</v>
      </c>
      <c r="S827" s="17" t="str">
        <f aca="false">VLOOKUP(R827,Sheet2!N:O,2,0)</f>
        <v>IREPARABLE</v>
      </c>
      <c r="T827" s="18" t="str">
        <f aca="false">VLOOKUP(P827,Sheet2!Q:R,2,0)</f>
        <v>IR Normal - BER to IR</v>
      </c>
      <c r="U827" s="20" t="s">
        <v>135</v>
      </c>
      <c r="V827" s="17" t="n">
        <v>12</v>
      </c>
      <c r="W827" s="20" t="str">
        <f aca="false">VLOOKUP(V827,Sheet2!Q:R,2,0)</f>
        <v>IR Normal - BER to IR</v>
      </c>
      <c r="X827" s="17" t="str">
        <f aca="false">J827</f>
        <v>A018</v>
      </c>
      <c r="Y827" s="17" t="str">
        <f aca="false">VLOOKUP(X827,Sheet2!A:B,2,0)</f>
        <v>PRAKASH CHAVDA</v>
      </c>
      <c r="Z827" s="17" t="s">
        <v>136</v>
      </c>
      <c r="AA827" s="17" t="s">
        <v>449</v>
      </c>
      <c r="AB827" s="17" t="s">
        <v>41</v>
      </c>
      <c r="AC827" s="0" t="str">
        <f aca="false">LEFT(G827,2)</f>
        <v>13</v>
      </c>
      <c r="AD827" s="0"/>
      <c r="AE827" s="21" t="s">
        <v>42</v>
      </c>
    </row>
    <row r="828" customFormat="false" ht="15" hidden="false" customHeight="false" outlineLevel="0" collapsed="false">
      <c r="A828" s="13" t="n">
        <f aca="false">1+A827</f>
        <v>826</v>
      </c>
      <c r="B828" s="17" t="n">
        <v>1009663333</v>
      </c>
      <c r="C828" s="17" t="s">
        <v>433</v>
      </c>
      <c r="D828" s="17" t="s">
        <v>64</v>
      </c>
      <c r="E828" s="17" t="s">
        <v>64</v>
      </c>
      <c r="F828" s="18" t="s">
        <v>70</v>
      </c>
      <c r="G828" s="19" t="n">
        <v>134127276290</v>
      </c>
      <c r="H828" s="17" t="s">
        <v>134</v>
      </c>
      <c r="I828" s="17" t="s">
        <v>44</v>
      </c>
      <c r="J828" s="17" t="s">
        <v>106</v>
      </c>
      <c r="K828" s="17" t="str">
        <f aca="false">VLOOKUP(J828,Sheet2!A:B,2,0)</f>
        <v>PRAKASH CHAVDA</v>
      </c>
      <c r="L828" s="17" t="n">
        <v>5</v>
      </c>
      <c r="M828" s="17" t="str">
        <f aca="false">VLOOKUP(L828,Sheet2!D:E,2,0)</f>
        <v>Main Processor CPU BGA</v>
      </c>
      <c r="N828" s="17" t="n">
        <v>24</v>
      </c>
      <c r="O828" s="17" t="str">
        <f aca="false">VLOOKUP(N828,Sheet2!G:H,2,0)</f>
        <v>STB Auto moving -Stand by mode</v>
      </c>
      <c r="P828" s="17" t="n">
        <v>12</v>
      </c>
      <c r="Q828" s="17" t="str">
        <f aca="false">VLOOKUP(P828,Sheet2!J:K,2,0)</f>
        <v>IR Declared due to Others ( IR Normal)TB</v>
      </c>
      <c r="R828" s="17" t="s">
        <v>35</v>
      </c>
      <c r="S828" s="17" t="str">
        <f aca="false">VLOOKUP(R828,Sheet2!N:O,2,0)</f>
        <v>IREPARABLE</v>
      </c>
      <c r="T828" s="18" t="str">
        <f aca="false">VLOOKUP(P828,Sheet2!Q:R,2,0)</f>
        <v>IR Normal - BER to IR</v>
      </c>
      <c r="U828" s="20" t="s">
        <v>135</v>
      </c>
      <c r="V828" s="17" t="n">
        <v>12</v>
      </c>
      <c r="W828" s="20" t="str">
        <f aca="false">VLOOKUP(V828,Sheet2!Q:R,2,0)</f>
        <v>IR Normal - BER to IR</v>
      </c>
      <c r="X828" s="17" t="str">
        <f aca="false">J828</f>
        <v>A018</v>
      </c>
      <c r="Y828" s="17" t="str">
        <f aca="false">VLOOKUP(X828,Sheet2!A:B,2,0)</f>
        <v>PRAKASH CHAVDA</v>
      </c>
      <c r="Z828" s="17" t="s">
        <v>136</v>
      </c>
      <c r="AA828" s="17" t="s">
        <v>449</v>
      </c>
      <c r="AB828" s="17" t="s">
        <v>41</v>
      </c>
      <c r="AC828" s="0" t="str">
        <f aca="false">LEFT(G828,2)</f>
        <v>13</v>
      </c>
      <c r="AD828" s="0"/>
      <c r="AE828" s="21" t="s">
        <v>42</v>
      </c>
    </row>
    <row r="829" customFormat="false" ht="15" hidden="false" customHeight="false" outlineLevel="0" collapsed="false">
      <c r="A829" s="13" t="n">
        <f aca="false">1+A828</f>
        <v>827</v>
      </c>
      <c r="B829" s="17" t="n">
        <v>1008725615</v>
      </c>
      <c r="C829" s="17" t="s">
        <v>465</v>
      </c>
      <c r="D829" s="17" t="s">
        <v>64</v>
      </c>
      <c r="E829" s="17" t="s">
        <v>91</v>
      </c>
      <c r="F829" s="18" t="s">
        <v>92</v>
      </c>
      <c r="G829" s="19" t="n">
        <v>134325239793</v>
      </c>
      <c r="H829" s="17" t="s">
        <v>134</v>
      </c>
      <c r="I829" s="17" t="s">
        <v>44</v>
      </c>
      <c r="J829" s="17" t="s">
        <v>106</v>
      </c>
      <c r="K829" s="17" t="str">
        <f aca="false">VLOOKUP(J829,Sheet2!A:B,2,0)</f>
        <v>PRAKASH CHAVDA</v>
      </c>
      <c r="L829" s="17" t="n">
        <v>5</v>
      </c>
      <c r="M829" s="17" t="str">
        <f aca="false">VLOOKUP(L829,Sheet2!D:E,2,0)</f>
        <v>Main Processor CPU BGA</v>
      </c>
      <c r="N829" s="17" t="n">
        <v>1</v>
      </c>
      <c r="O829" s="17" t="str">
        <f aca="false">VLOOKUP(N829,Sheet2!G:H,2,0)</f>
        <v>Dead</v>
      </c>
      <c r="P829" s="17" t="n">
        <v>12</v>
      </c>
      <c r="Q829" s="17" t="str">
        <f aca="false">VLOOKUP(P829,Sheet2!J:K,2,0)</f>
        <v>IR Declared due to Others ( IR Normal)TB</v>
      </c>
      <c r="R829" s="17" t="s">
        <v>35</v>
      </c>
      <c r="S829" s="17" t="str">
        <f aca="false">VLOOKUP(R829,Sheet2!N:O,2,0)</f>
        <v>IREPARABLE</v>
      </c>
      <c r="T829" s="18" t="str">
        <f aca="false">VLOOKUP(P829,Sheet2!Q:R,2,0)</f>
        <v>IR Normal - BER to IR</v>
      </c>
      <c r="U829" s="20" t="s">
        <v>135</v>
      </c>
      <c r="V829" s="17" t="n">
        <v>12</v>
      </c>
      <c r="W829" s="20" t="str">
        <f aca="false">VLOOKUP(V829,Sheet2!Q:R,2,0)</f>
        <v>IR Normal - BER to IR</v>
      </c>
      <c r="X829" s="17" t="str">
        <f aca="false">J829</f>
        <v>A018</v>
      </c>
      <c r="Y829" s="17" t="str">
        <f aca="false">VLOOKUP(X829,Sheet2!A:B,2,0)</f>
        <v>PRAKASH CHAVDA</v>
      </c>
      <c r="Z829" s="17" t="s">
        <v>136</v>
      </c>
      <c r="AA829" s="17" t="s">
        <v>449</v>
      </c>
      <c r="AB829" s="17" t="s">
        <v>41</v>
      </c>
      <c r="AC829" s="0" t="str">
        <f aca="false">LEFT(G829,2)</f>
        <v>13</v>
      </c>
      <c r="AD829" s="0"/>
      <c r="AE829" s="21" t="s">
        <v>42</v>
      </c>
    </row>
    <row r="830" customFormat="false" ht="15" hidden="false" customHeight="false" outlineLevel="0" collapsed="false">
      <c r="A830" s="13" t="n">
        <f aca="false">1+A829</f>
        <v>828</v>
      </c>
      <c r="B830" s="17" t="n">
        <v>1009092274</v>
      </c>
      <c r="C830" s="17" t="s">
        <v>466</v>
      </c>
      <c r="D830" s="17" t="s">
        <v>467</v>
      </c>
      <c r="E830" s="17" t="s">
        <v>178</v>
      </c>
      <c r="F830" s="18" t="s">
        <v>34</v>
      </c>
      <c r="G830" s="19" t="n">
        <v>134056017228</v>
      </c>
      <c r="H830" s="17" t="s">
        <v>134</v>
      </c>
      <c r="I830" s="17" t="s">
        <v>44</v>
      </c>
      <c r="J830" s="17" t="s">
        <v>106</v>
      </c>
      <c r="K830" s="17" t="str">
        <f aca="false">VLOOKUP(J830,Sheet2!A:B,2,0)</f>
        <v>PRAKASH CHAVDA</v>
      </c>
      <c r="L830" s="17" t="n">
        <v>5</v>
      </c>
      <c r="M830" s="17" t="str">
        <f aca="false">VLOOKUP(L830,Sheet2!D:E,2,0)</f>
        <v>Main Processor CPU BGA</v>
      </c>
      <c r="N830" s="17" t="n">
        <v>1</v>
      </c>
      <c r="O830" s="17" t="str">
        <f aca="false">VLOOKUP(N830,Sheet2!G:H,2,0)</f>
        <v>Dead</v>
      </c>
      <c r="P830" s="17" t="n">
        <v>12</v>
      </c>
      <c r="Q830" s="17" t="str">
        <f aca="false">VLOOKUP(P830,Sheet2!J:K,2,0)</f>
        <v>IR Declared due to Others ( IR Normal)TB</v>
      </c>
      <c r="R830" s="17" t="s">
        <v>35</v>
      </c>
      <c r="S830" s="17" t="str">
        <f aca="false">VLOOKUP(R830,Sheet2!N:O,2,0)</f>
        <v>IREPARABLE</v>
      </c>
      <c r="T830" s="18" t="str">
        <f aca="false">VLOOKUP(P830,Sheet2!Q:R,2,0)</f>
        <v>IR Normal - BER to IR</v>
      </c>
      <c r="U830" s="20" t="s">
        <v>135</v>
      </c>
      <c r="V830" s="17" t="n">
        <v>12</v>
      </c>
      <c r="W830" s="20" t="str">
        <f aca="false">VLOOKUP(V830,Sheet2!Q:R,2,0)</f>
        <v>IR Normal - BER to IR</v>
      </c>
      <c r="X830" s="17" t="str">
        <f aca="false">J830</f>
        <v>A018</v>
      </c>
      <c r="Y830" s="17" t="str">
        <f aca="false">VLOOKUP(X830,Sheet2!A:B,2,0)</f>
        <v>PRAKASH CHAVDA</v>
      </c>
      <c r="Z830" s="17" t="s">
        <v>136</v>
      </c>
      <c r="AA830" s="17" t="s">
        <v>449</v>
      </c>
      <c r="AB830" s="17" t="s">
        <v>41</v>
      </c>
      <c r="AC830" s="0" t="str">
        <f aca="false">LEFT(G830,2)</f>
        <v>13</v>
      </c>
      <c r="AD830" s="0"/>
      <c r="AE830" s="21" t="s">
        <v>42</v>
      </c>
    </row>
    <row r="831" customFormat="false" ht="15" hidden="false" customHeight="false" outlineLevel="0" collapsed="false">
      <c r="A831" s="13" t="n">
        <f aca="false">1+A830</f>
        <v>829</v>
      </c>
      <c r="B831" s="17" t="n">
        <v>1009526645</v>
      </c>
      <c r="C831" s="17" t="s">
        <v>162</v>
      </c>
      <c r="D831" s="17" t="s">
        <v>64</v>
      </c>
      <c r="E831" s="17" t="s">
        <v>64</v>
      </c>
      <c r="F831" s="18" t="s">
        <v>70</v>
      </c>
      <c r="G831" s="19" t="n">
        <v>134106174037</v>
      </c>
      <c r="H831" s="17" t="s">
        <v>134</v>
      </c>
      <c r="I831" s="17" t="s">
        <v>44</v>
      </c>
      <c r="J831" s="17" t="s">
        <v>106</v>
      </c>
      <c r="K831" s="17" t="str">
        <f aca="false">VLOOKUP(J831,Sheet2!A:B,2,0)</f>
        <v>PRAKASH CHAVDA</v>
      </c>
      <c r="L831" s="17" t="n">
        <v>5</v>
      </c>
      <c r="M831" s="17" t="str">
        <f aca="false">VLOOKUP(L831,Sheet2!D:E,2,0)</f>
        <v>Main Processor CPU BGA</v>
      </c>
      <c r="N831" s="17" t="n">
        <v>1</v>
      </c>
      <c r="O831" s="17" t="str">
        <f aca="false">VLOOKUP(N831,Sheet2!G:H,2,0)</f>
        <v>Dead</v>
      </c>
      <c r="P831" s="17" t="n">
        <v>12</v>
      </c>
      <c r="Q831" s="17" t="str">
        <f aca="false">VLOOKUP(P831,Sheet2!J:K,2,0)</f>
        <v>IR Declared due to Others ( IR Normal)TB</v>
      </c>
      <c r="R831" s="17" t="s">
        <v>35</v>
      </c>
      <c r="S831" s="17" t="str">
        <f aca="false">VLOOKUP(R831,Sheet2!N:O,2,0)</f>
        <v>IREPARABLE</v>
      </c>
      <c r="T831" s="18" t="str">
        <f aca="false">VLOOKUP(P831,Sheet2!Q:R,2,0)</f>
        <v>IR Normal - BER to IR</v>
      </c>
      <c r="U831" s="20" t="s">
        <v>135</v>
      </c>
      <c r="V831" s="17" t="n">
        <v>12</v>
      </c>
      <c r="W831" s="20" t="str">
        <f aca="false">VLOOKUP(V831,Sheet2!Q:R,2,0)</f>
        <v>IR Normal - BER to IR</v>
      </c>
      <c r="X831" s="17" t="str">
        <f aca="false">J831</f>
        <v>A018</v>
      </c>
      <c r="Y831" s="17" t="str">
        <f aca="false">VLOOKUP(X831,Sheet2!A:B,2,0)</f>
        <v>PRAKASH CHAVDA</v>
      </c>
      <c r="Z831" s="17" t="s">
        <v>136</v>
      </c>
      <c r="AA831" s="17" t="s">
        <v>449</v>
      </c>
      <c r="AB831" s="17" t="s">
        <v>41</v>
      </c>
      <c r="AC831" s="0" t="str">
        <f aca="false">LEFT(G831,2)</f>
        <v>13</v>
      </c>
      <c r="AD831" s="0"/>
      <c r="AE831" s="21" t="s">
        <v>42</v>
      </c>
    </row>
    <row r="832" customFormat="false" ht="15" hidden="false" customHeight="false" outlineLevel="0" collapsed="false">
      <c r="A832" s="13" t="n">
        <f aca="false">1+A831</f>
        <v>830</v>
      </c>
      <c r="B832" s="17" t="n">
        <v>1008472622</v>
      </c>
      <c r="C832" s="17" t="s">
        <v>468</v>
      </c>
      <c r="D832" s="17" t="s">
        <v>32</v>
      </c>
      <c r="E832" s="17" t="s">
        <v>47</v>
      </c>
      <c r="F832" s="18" t="s">
        <v>34</v>
      </c>
      <c r="G832" s="19" t="n">
        <v>133351124200</v>
      </c>
      <c r="H832" s="17" t="s">
        <v>134</v>
      </c>
      <c r="I832" s="17" t="s">
        <v>44</v>
      </c>
      <c r="J832" s="17" t="s">
        <v>106</v>
      </c>
      <c r="K832" s="17" t="str">
        <f aca="false">VLOOKUP(J832,Sheet2!A:B,2,0)</f>
        <v>PRAKASH CHAVDA</v>
      </c>
      <c r="L832" s="17" t="n">
        <v>5</v>
      </c>
      <c r="M832" s="17" t="str">
        <f aca="false">VLOOKUP(L832,Sheet2!D:E,2,0)</f>
        <v>Main Processor CPU BGA</v>
      </c>
      <c r="N832" s="17" t="n">
        <v>1</v>
      </c>
      <c r="O832" s="17" t="str">
        <f aca="false">VLOOKUP(N832,Sheet2!G:H,2,0)</f>
        <v>Dead</v>
      </c>
      <c r="P832" s="17" t="n">
        <v>12</v>
      </c>
      <c r="Q832" s="17" t="str">
        <f aca="false">VLOOKUP(P832,Sheet2!J:K,2,0)</f>
        <v>IR Declared due to Others ( IR Normal)TB</v>
      </c>
      <c r="R832" s="17" t="s">
        <v>35</v>
      </c>
      <c r="S832" s="17" t="str">
        <f aca="false">VLOOKUP(R832,Sheet2!N:O,2,0)</f>
        <v>IREPARABLE</v>
      </c>
      <c r="T832" s="18" t="str">
        <f aca="false">VLOOKUP(P832,Sheet2!Q:R,2,0)</f>
        <v>IR Normal - BER to IR</v>
      </c>
      <c r="U832" s="20" t="s">
        <v>135</v>
      </c>
      <c r="V832" s="17" t="n">
        <v>12</v>
      </c>
      <c r="W832" s="20" t="str">
        <f aca="false">VLOOKUP(V832,Sheet2!Q:R,2,0)</f>
        <v>IR Normal - BER to IR</v>
      </c>
      <c r="X832" s="17" t="str">
        <f aca="false">J832</f>
        <v>A018</v>
      </c>
      <c r="Y832" s="17" t="str">
        <f aca="false">VLOOKUP(X832,Sheet2!A:B,2,0)</f>
        <v>PRAKASH CHAVDA</v>
      </c>
      <c r="Z832" s="17" t="s">
        <v>136</v>
      </c>
      <c r="AA832" s="17" t="s">
        <v>449</v>
      </c>
      <c r="AB832" s="17" t="s">
        <v>41</v>
      </c>
      <c r="AC832" s="0" t="str">
        <f aca="false">LEFT(G832,2)</f>
        <v>13</v>
      </c>
      <c r="AD832" s="0"/>
      <c r="AE832" s="21" t="s">
        <v>42</v>
      </c>
    </row>
    <row r="833" customFormat="false" ht="15" hidden="false" customHeight="false" outlineLevel="0" collapsed="false">
      <c r="A833" s="13" t="n">
        <f aca="false">1+A832</f>
        <v>831</v>
      </c>
      <c r="B833" s="17" t="n">
        <v>1009662371</v>
      </c>
      <c r="C833" s="17" t="s">
        <v>433</v>
      </c>
      <c r="D833" s="17" t="s">
        <v>64</v>
      </c>
      <c r="E833" s="17" t="s">
        <v>64</v>
      </c>
      <c r="F833" s="18" t="s">
        <v>70</v>
      </c>
      <c r="G833" s="19" t="n">
        <v>134283212949</v>
      </c>
      <c r="H833" s="17" t="s">
        <v>134</v>
      </c>
      <c r="I833" s="17" t="s">
        <v>44</v>
      </c>
      <c r="J833" s="17" t="s">
        <v>106</v>
      </c>
      <c r="K833" s="17" t="str">
        <f aca="false">VLOOKUP(J833,Sheet2!A:B,2,0)</f>
        <v>PRAKASH CHAVDA</v>
      </c>
      <c r="L833" s="17" t="n">
        <v>5</v>
      </c>
      <c r="M833" s="17" t="str">
        <f aca="false">VLOOKUP(L833,Sheet2!D:E,2,0)</f>
        <v>Main Processor CPU BGA</v>
      </c>
      <c r="N833" s="17" t="n">
        <v>1</v>
      </c>
      <c r="O833" s="17" t="str">
        <f aca="false">VLOOKUP(N833,Sheet2!G:H,2,0)</f>
        <v>Dead</v>
      </c>
      <c r="P833" s="17" t="n">
        <v>12</v>
      </c>
      <c r="Q833" s="17" t="str">
        <f aca="false">VLOOKUP(P833,Sheet2!J:K,2,0)</f>
        <v>IR Declared due to Others ( IR Normal)TB</v>
      </c>
      <c r="R833" s="17" t="s">
        <v>35</v>
      </c>
      <c r="S833" s="17" t="str">
        <f aca="false">VLOOKUP(R833,Sheet2!N:O,2,0)</f>
        <v>IREPARABLE</v>
      </c>
      <c r="T833" s="18" t="str">
        <f aca="false">VLOOKUP(P833,Sheet2!Q:R,2,0)</f>
        <v>IR Normal - BER to IR</v>
      </c>
      <c r="U833" s="20" t="s">
        <v>135</v>
      </c>
      <c r="V833" s="17" t="n">
        <v>12</v>
      </c>
      <c r="W833" s="20" t="str">
        <f aca="false">VLOOKUP(V833,Sheet2!Q:R,2,0)</f>
        <v>IR Normal - BER to IR</v>
      </c>
      <c r="X833" s="17" t="str">
        <f aca="false">J833</f>
        <v>A018</v>
      </c>
      <c r="Y833" s="17" t="str">
        <f aca="false">VLOOKUP(X833,Sheet2!A:B,2,0)</f>
        <v>PRAKASH CHAVDA</v>
      </c>
      <c r="Z833" s="17" t="s">
        <v>136</v>
      </c>
      <c r="AA833" s="17" t="s">
        <v>449</v>
      </c>
      <c r="AB833" s="17" t="s">
        <v>41</v>
      </c>
      <c r="AC833" s="0" t="str">
        <f aca="false">LEFT(G833,2)</f>
        <v>13</v>
      </c>
      <c r="AD833" s="0"/>
      <c r="AE833" s="21" t="s">
        <v>42</v>
      </c>
    </row>
    <row r="834" customFormat="false" ht="15" hidden="false" customHeight="false" outlineLevel="0" collapsed="false">
      <c r="A834" s="13" t="n">
        <f aca="false">1+A833</f>
        <v>832</v>
      </c>
      <c r="B834" s="17" t="n">
        <v>1009092102</v>
      </c>
      <c r="C834" s="17" t="s">
        <v>414</v>
      </c>
      <c r="D834" s="17" t="s">
        <v>64</v>
      </c>
      <c r="E834" s="17" t="s">
        <v>64</v>
      </c>
      <c r="F834" s="18" t="s">
        <v>70</v>
      </c>
      <c r="G834" s="19" t="n">
        <v>134310132243</v>
      </c>
      <c r="H834" s="17" t="s">
        <v>134</v>
      </c>
      <c r="I834" s="17" t="s">
        <v>44</v>
      </c>
      <c r="J834" s="17" t="s">
        <v>106</v>
      </c>
      <c r="K834" s="17" t="str">
        <f aca="false">VLOOKUP(J834,Sheet2!A:B,2,0)</f>
        <v>PRAKASH CHAVDA</v>
      </c>
      <c r="L834" s="17" t="n">
        <v>5</v>
      </c>
      <c r="M834" s="17" t="str">
        <f aca="false">VLOOKUP(L834,Sheet2!D:E,2,0)</f>
        <v>Main Processor CPU BGA</v>
      </c>
      <c r="N834" s="17" t="n">
        <v>24</v>
      </c>
      <c r="O834" s="17" t="str">
        <f aca="false">VLOOKUP(N834,Sheet2!G:H,2,0)</f>
        <v>STB Auto moving -Stand by mode</v>
      </c>
      <c r="P834" s="17" t="n">
        <v>12</v>
      </c>
      <c r="Q834" s="17" t="str">
        <f aca="false">VLOOKUP(P834,Sheet2!J:K,2,0)</f>
        <v>IR Declared due to Others ( IR Normal)TB</v>
      </c>
      <c r="R834" s="17" t="s">
        <v>35</v>
      </c>
      <c r="S834" s="17" t="str">
        <f aca="false">VLOOKUP(R834,Sheet2!N:O,2,0)</f>
        <v>IREPARABLE</v>
      </c>
      <c r="T834" s="18" t="str">
        <f aca="false">VLOOKUP(P834,Sheet2!Q:R,2,0)</f>
        <v>IR Normal - BER to IR</v>
      </c>
      <c r="U834" s="20" t="s">
        <v>135</v>
      </c>
      <c r="V834" s="17" t="n">
        <v>12</v>
      </c>
      <c r="W834" s="20" t="str">
        <f aca="false">VLOOKUP(V834,Sheet2!Q:R,2,0)</f>
        <v>IR Normal - BER to IR</v>
      </c>
      <c r="X834" s="17" t="str">
        <f aca="false">J834</f>
        <v>A018</v>
      </c>
      <c r="Y834" s="17" t="str">
        <f aca="false">VLOOKUP(X834,Sheet2!A:B,2,0)</f>
        <v>PRAKASH CHAVDA</v>
      </c>
      <c r="Z834" s="17" t="s">
        <v>136</v>
      </c>
      <c r="AA834" s="17" t="s">
        <v>449</v>
      </c>
      <c r="AB834" s="17" t="s">
        <v>41</v>
      </c>
      <c r="AC834" s="0" t="str">
        <f aca="false">LEFT(G834,2)</f>
        <v>13</v>
      </c>
      <c r="AD834" s="0"/>
      <c r="AE834" s="21" t="s">
        <v>42</v>
      </c>
    </row>
    <row r="835" customFormat="false" ht="15" hidden="false" customHeight="false" outlineLevel="0" collapsed="false">
      <c r="A835" s="13" t="n">
        <f aca="false">1+A834</f>
        <v>833</v>
      </c>
      <c r="B835" s="17" t="n">
        <v>1008855593</v>
      </c>
      <c r="C835" s="17" t="s">
        <v>463</v>
      </c>
      <c r="D835" s="17" t="s">
        <v>64</v>
      </c>
      <c r="E835" s="17" t="s">
        <v>47</v>
      </c>
      <c r="F835" s="18" t="s">
        <v>34</v>
      </c>
      <c r="G835" s="19" t="n">
        <v>134247057521</v>
      </c>
      <c r="H835" s="17" t="s">
        <v>134</v>
      </c>
      <c r="I835" s="17" t="s">
        <v>44</v>
      </c>
      <c r="J835" s="17" t="s">
        <v>106</v>
      </c>
      <c r="K835" s="17" t="str">
        <f aca="false">VLOOKUP(J835,Sheet2!A:B,2,0)</f>
        <v>PRAKASH CHAVDA</v>
      </c>
      <c r="L835" s="17" t="n">
        <v>5</v>
      </c>
      <c r="M835" s="17" t="str">
        <f aca="false">VLOOKUP(L835,Sheet2!D:E,2,0)</f>
        <v>Main Processor CPU BGA</v>
      </c>
      <c r="N835" s="17" t="n">
        <v>1</v>
      </c>
      <c r="O835" s="17" t="str">
        <f aca="false">VLOOKUP(N835,Sheet2!G:H,2,0)</f>
        <v>Dead</v>
      </c>
      <c r="P835" s="17" t="n">
        <v>12</v>
      </c>
      <c r="Q835" s="17" t="str">
        <f aca="false">VLOOKUP(P835,Sheet2!J:K,2,0)</f>
        <v>IR Declared due to Others ( IR Normal)TB</v>
      </c>
      <c r="R835" s="17" t="s">
        <v>35</v>
      </c>
      <c r="S835" s="17" t="str">
        <f aca="false">VLOOKUP(R835,Sheet2!N:O,2,0)</f>
        <v>IREPARABLE</v>
      </c>
      <c r="T835" s="18" t="str">
        <f aca="false">VLOOKUP(P835,Sheet2!Q:R,2,0)</f>
        <v>IR Normal - BER to IR</v>
      </c>
      <c r="U835" s="20" t="s">
        <v>135</v>
      </c>
      <c r="V835" s="17" t="n">
        <v>12</v>
      </c>
      <c r="W835" s="20" t="str">
        <f aca="false">VLOOKUP(V835,Sheet2!Q:R,2,0)</f>
        <v>IR Normal - BER to IR</v>
      </c>
      <c r="X835" s="17" t="str">
        <f aca="false">J835</f>
        <v>A018</v>
      </c>
      <c r="Y835" s="17" t="str">
        <f aca="false">VLOOKUP(X835,Sheet2!A:B,2,0)</f>
        <v>PRAKASH CHAVDA</v>
      </c>
      <c r="Z835" s="17" t="s">
        <v>136</v>
      </c>
      <c r="AA835" s="17" t="s">
        <v>449</v>
      </c>
      <c r="AB835" s="17" t="s">
        <v>41</v>
      </c>
      <c r="AC835" s="0" t="str">
        <f aca="false">LEFT(G835,2)</f>
        <v>13</v>
      </c>
      <c r="AD835" s="0"/>
      <c r="AE835" s="21" t="s">
        <v>42</v>
      </c>
    </row>
    <row r="836" customFormat="false" ht="15" hidden="false" customHeight="false" outlineLevel="0" collapsed="false">
      <c r="A836" s="13" t="n">
        <f aca="false">1+A835</f>
        <v>834</v>
      </c>
      <c r="B836" s="17" t="n">
        <v>1009092255</v>
      </c>
      <c r="C836" s="17" t="s">
        <v>414</v>
      </c>
      <c r="D836" s="17" t="s">
        <v>437</v>
      </c>
      <c r="E836" s="17" t="s">
        <v>33</v>
      </c>
      <c r="F836" s="18" t="s">
        <v>34</v>
      </c>
      <c r="G836" s="19" t="n">
        <v>134106057562</v>
      </c>
      <c r="H836" s="17" t="s">
        <v>134</v>
      </c>
      <c r="I836" s="17" t="s">
        <v>44</v>
      </c>
      <c r="J836" s="17" t="s">
        <v>106</v>
      </c>
      <c r="K836" s="17" t="str">
        <f aca="false">VLOOKUP(J836,Sheet2!A:B,2,0)</f>
        <v>PRAKASH CHAVDA</v>
      </c>
      <c r="L836" s="17" t="n">
        <v>5</v>
      </c>
      <c r="M836" s="17" t="str">
        <f aca="false">VLOOKUP(L836,Sheet2!D:E,2,0)</f>
        <v>Main Processor CPU BGA</v>
      </c>
      <c r="N836" s="17" t="n">
        <v>1</v>
      </c>
      <c r="O836" s="17" t="str">
        <f aca="false">VLOOKUP(N836,Sheet2!G:H,2,0)</f>
        <v>Dead</v>
      </c>
      <c r="P836" s="17" t="n">
        <v>12</v>
      </c>
      <c r="Q836" s="17" t="str">
        <f aca="false">VLOOKUP(P836,Sheet2!J:K,2,0)</f>
        <v>IR Declared due to Others ( IR Normal)TB</v>
      </c>
      <c r="R836" s="17" t="s">
        <v>35</v>
      </c>
      <c r="S836" s="17" t="str">
        <f aca="false">VLOOKUP(R836,Sheet2!N:O,2,0)</f>
        <v>IREPARABLE</v>
      </c>
      <c r="T836" s="18" t="str">
        <f aca="false">VLOOKUP(P836,Sheet2!Q:R,2,0)</f>
        <v>IR Normal - BER to IR</v>
      </c>
      <c r="U836" s="20" t="s">
        <v>135</v>
      </c>
      <c r="V836" s="17" t="n">
        <v>12</v>
      </c>
      <c r="W836" s="20" t="str">
        <f aca="false">VLOOKUP(V836,Sheet2!Q:R,2,0)</f>
        <v>IR Normal - BER to IR</v>
      </c>
      <c r="X836" s="17" t="str">
        <f aca="false">J836</f>
        <v>A018</v>
      </c>
      <c r="Y836" s="17" t="str">
        <f aca="false">VLOOKUP(X836,Sheet2!A:B,2,0)</f>
        <v>PRAKASH CHAVDA</v>
      </c>
      <c r="Z836" s="17" t="s">
        <v>136</v>
      </c>
      <c r="AA836" s="17" t="s">
        <v>449</v>
      </c>
      <c r="AB836" s="17" t="s">
        <v>41</v>
      </c>
      <c r="AC836" s="0" t="str">
        <f aca="false">LEFT(G836,2)</f>
        <v>13</v>
      </c>
      <c r="AD836" s="0"/>
      <c r="AE836" s="21" t="s">
        <v>42</v>
      </c>
    </row>
    <row r="837" customFormat="false" ht="15" hidden="false" customHeight="false" outlineLevel="0" collapsed="false">
      <c r="A837" s="13" t="n">
        <f aca="false">1+A836</f>
        <v>835</v>
      </c>
      <c r="B837" s="17" t="n">
        <v>1004866956</v>
      </c>
      <c r="C837" s="17" t="s">
        <v>469</v>
      </c>
      <c r="D837" s="17" t="s">
        <v>64</v>
      </c>
      <c r="E837" s="17" t="s">
        <v>91</v>
      </c>
      <c r="F837" s="18" t="s">
        <v>92</v>
      </c>
      <c r="G837" s="19" t="n">
        <v>135218022915</v>
      </c>
      <c r="H837" s="17" t="s">
        <v>134</v>
      </c>
      <c r="I837" s="17" t="s">
        <v>44</v>
      </c>
      <c r="J837" s="17" t="s">
        <v>106</v>
      </c>
      <c r="K837" s="17" t="str">
        <f aca="false">VLOOKUP(J837,Sheet2!A:B,2,0)</f>
        <v>PRAKASH CHAVDA</v>
      </c>
      <c r="L837" s="17" t="n">
        <v>5</v>
      </c>
      <c r="M837" s="17" t="str">
        <f aca="false">VLOOKUP(L837,Sheet2!D:E,2,0)</f>
        <v>Main Processor CPU BGA</v>
      </c>
      <c r="N837" s="17" t="n">
        <v>1</v>
      </c>
      <c r="O837" s="17" t="str">
        <f aca="false">VLOOKUP(N837,Sheet2!G:H,2,0)</f>
        <v>Dead</v>
      </c>
      <c r="P837" s="17" t="n">
        <v>12</v>
      </c>
      <c r="Q837" s="17" t="str">
        <f aca="false">VLOOKUP(P837,Sheet2!J:K,2,0)</f>
        <v>IR Declared due to Others ( IR Normal)TB</v>
      </c>
      <c r="R837" s="17" t="s">
        <v>35</v>
      </c>
      <c r="S837" s="17" t="str">
        <f aca="false">VLOOKUP(R837,Sheet2!N:O,2,0)</f>
        <v>IREPARABLE</v>
      </c>
      <c r="T837" s="18" t="str">
        <f aca="false">VLOOKUP(P837,Sheet2!Q:R,2,0)</f>
        <v>IR Normal - BER to IR</v>
      </c>
      <c r="U837" s="20" t="s">
        <v>135</v>
      </c>
      <c r="V837" s="17" t="n">
        <v>12</v>
      </c>
      <c r="W837" s="20" t="str">
        <f aca="false">VLOOKUP(V837,Sheet2!Q:R,2,0)</f>
        <v>IR Normal - BER to IR</v>
      </c>
      <c r="X837" s="17" t="str">
        <f aca="false">J837</f>
        <v>A018</v>
      </c>
      <c r="Y837" s="17" t="str">
        <f aca="false">VLOOKUP(X837,Sheet2!A:B,2,0)</f>
        <v>PRAKASH CHAVDA</v>
      </c>
      <c r="Z837" s="17" t="s">
        <v>136</v>
      </c>
      <c r="AA837" s="17" t="s">
        <v>449</v>
      </c>
      <c r="AB837" s="17" t="s">
        <v>41</v>
      </c>
      <c r="AC837" s="0" t="str">
        <f aca="false">LEFT(G837,2)</f>
        <v>13</v>
      </c>
      <c r="AD837" s="0"/>
      <c r="AE837" s="21" t="s">
        <v>42</v>
      </c>
    </row>
    <row r="838" customFormat="false" ht="15" hidden="false" customHeight="false" outlineLevel="0" collapsed="false">
      <c r="A838" s="13" t="n">
        <f aca="false">1+A837</f>
        <v>836</v>
      </c>
      <c r="B838" s="17" t="n">
        <v>1009091382</v>
      </c>
      <c r="C838" s="17" t="s">
        <v>414</v>
      </c>
      <c r="D838" s="17" t="s">
        <v>64</v>
      </c>
      <c r="E838" s="17" t="s">
        <v>64</v>
      </c>
      <c r="F838" s="18" t="s">
        <v>70</v>
      </c>
      <c r="G838" s="19" t="n">
        <v>134056008235</v>
      </c>
      <c r="H838" s="17" t="s">
        <v>134</v>
      </c>
      <c r="I838" s="17" t="s">
        <v>44</v>
      </c>
      <c r="J838" s="17" t="s">
        <v>106</v>
      </c>
      <c r="K838" s="17" t="str">
        <f aca="false">VLOOKUP(J838,Sheet2!A:B,2,0)</f>
        <v>PRAKASH CHAVDA</v>
      </c>
      <c r="L838" s="17" t="n">
        <v>5</v>
      </c>
      <c r="M838" s="17" t="str">
        <f aca="false">VLOOKUP(L838,Sheet2!D:E,2,0)</f>
        <v>Main Processor CPU BGA</v>
      </c>
      <c r="N838" s="17" t="n">
        <v>1</v>
      </c>
      <c r="O838" s="17" t="str">
        <f aca="false">VLOOKUP(N838,Sheet2!G:H,2,0)</f>
        <v>Dead</v>
      </c>
      <c r="P838" s="17" t="n">
        <v>12</v>
      </c>
      <c r="Q838" s="17" t="str">
        <f aca="false">VLOOKUP(P838,Sheet2!J:K,2,0)</f>
        <v>IR Declared due to Others ( IR Normal)TB</v>
      </c>
      <c r="R838" s="17" t="s">
        <v>35</v>
      </c>
      <c r="S838" s="17" t="str">
        <f aca="false">VLOOKUP(R838,Sheet2!N:O,2,0)</f>
        <v>IREPARABLE</v>
      </c>
      <c r="T838" s="18" t="str">
        <f aca="false">VLOOKUP(P838,Sheet2!Q:R,2,0)</f>
        <v>IR Normal - BER to IR</v>
      </c>
      <c r="U838" s="20" t="s">
        <v>135</v>
      </c>
      <c r="V838" s="17" t="n">
        <v>12</v>
      </c>
      <c r="W838" s="20" t="str">
        <f aca="false">VLOOKUP(V838,Sheet2!Q:R,2,0)</f>
        <v>IR Normal - BER to IR</v>
      </c>
      <c r="X838" s="17" t="str">
        <f aca="false">J838</f>
        <v>A018</v>
      </c>
      <c r="Y838" s="17" t="str">
        <f aca="false">VLOOKUP(X838,Sheet2!A:B,2,0)</f>
        <v>PRAKASH CHAVDA</v>
      </c>
      <c r="Z838" s="17" t="s">
        <v>136</v>
      </c>
      <c r="AA838" s="17" t="s">
        <v>449</v>
      </c>
      <c r="AB838" s="17" t="s">
        <v>41</v>
      </c>
      <c r="AC838" s="0" t="str">
        <f aca="false">LEFT(G838,2)</f>
        <v>13</v>
      </c>
      <c r="AD838" s="0"/>
      <c r="AE838" s="21" t="s">
        <v>42</v>
      </c>
    </row>
    <row r="839" customFormat="false" ht="15" hidden="false" customHeight="false" outlineLevel="0" collapsed="false">
      <c r="A839" s="13" t="n">
        <f aca="false">1+A838</f>
        <v>837</v>
      </c>
      <c r="B839" s="17" t="n">
        <v>1009091486</v>
      </c>
      <c r="C839" s="17" t="s">
        <v>414</v>
      </c>
      <c r="D839" s="17" t="s">
        <v>64</v>
      </c>
      <c r="E839" s="17" t="s">
        <v>47</v>
      </c>
      <c r="F839" s="18" t="s">
        <v>34</v>
      </c>
      <c r="G839" s="19" t="n">
        <v>134230165869</v>
      </c>
      <c r="H839" s="17" t="s">
        <v>134</v>
      </c>
      <c r="I839" s="17" t="s">
        <v>44</v>
      </c>
      <c r="J839" s="17" t="s">
        <v>106</v>
      </c>
      <c r="K839" s="17" t="str">
        <f aca="false">VLOOKUP(J839,Sheet2!A:B,2,0)</f>
        <v>PRAKASH CHAVDA</v>
      </c>
      <c r="L839" s="17" t="n">
        <v>5</v>
      </c>
      <c r="M839" s="17" t="str">
        <f aca="false">VLOOKUP(L839,Sheet2!D:E,2,0)</f>
        <v>Main Processor CPU BGA</v>
      </c>
      <c r="N839" s="17" t="n">
        <v>1</v>
      </c>
      <c r="O839" s="17" t="str">
        <f aca="false">VLOOKUP(N839,Sheet2!G:H,2,0)</f>
        <v>Dead</v>
      </c>
      <c r="P839" s="17" t="n">
        <v>12</v>
      </c>
      <c r="Q839" s="17" t="str">
        <f aca="false">VLOOKUP(P839,Sheet2!J:K,2,0)</f>
        <v>IR Declared due to Others ( IR Normal)TB</v>
      </c>
      <c r="R839" s="17" t="s">
        <v>35</v>
      </c>
      <c r="S839" s="17" t="str">
        <f aca="false">VLOOKUP(R839,Sheet2!N:O,2,0)</f>
        <v>IREPARABLE</v>
      </c>
      <c r="T839" s="18" t="str">
        <f aca="false">VLOOKUP(P839,Sheet2!Q:R,2,0)</f>
        <v>IR Normal - BER to IR</v>
      </c>
      <c r="U839" s="20" t="s">
        <v>135</v>
      </c>
      <c r="V839" s="17" t="n">
        <v>12</v>
      </c>
      <c r="W839" s="20" t="str">
        <f aca="false">VLOOKUP(V839,Sheet2!Q:R,2,0)</f>
        <v>IR Normal - BER to IR</v>
      </c>
      <c r="X839" s="17" t="str">
        <f aca="false">J839</f>
        <v>A018</v>
      </c>
      <c r="Y839" s="17" t="str">
        <f aca="false">VLOOKUP(X839,Sheet2!A:B,2,0)</f>
        <v>PRAKASH CHAVDA</v>
      </c>
      <c r="Z839" s="17" t="s">
        <v>136</v>
      </c>
      <c r="AA839" s="17" t="s">
        <v>449</v>
      </c>
      <c r="AB839" s="17" t="s">
        <v>41</v>
      </c>
      <c r="AC839" s="0" t="str">
        <f aca="false">LEFT(G839,2)</f>
        <v>13</v>
      </c>
      <c r="AD839" s="0"/>
      <c r="AE839" s="21" t="s">
        <v>42</v>
      </c>
    </row>
    <row r="840" customFormat="false" ht="15" hidden="false" customHeight="false" outlineLevel="0" collapsed="false">
      <c r="A840" s="13" t="n">
        <f aca="false">1+A839</f>
        <v>838</v>
      </c>
      <c r="B840" s="17" t="n">
        <v>1009092122</v>
      </c>
      <c r="C840" s="17" t="s">
        <v>414</v>
      </c>
      <c r="D840" s="17" t="s">
        <v>64</v>
      </c>
      <c r="E840" s="17" t="s">
        <v>64</v>
      </c>
      <c r="F840" s="18" t="s">
        <v>70</v>
      </c>
      <c r="G840" s="19" t="n">
        <v>134052511643</v>
      </c>
      <c r="H840" s="17" t="s">
        <v>134</v>
      </c>
      <c r="I840" s="17" t="s">
        <v>44</v>
      </c>
      <c r="J840" s="17" t="s">
        <v>106</v>
      </c>
      <c r="K840" s="17" t="str">
        <f aca="false">VLOOKUP(J840,Sheet2!A:B,2,0)</f>
        <v>PRAKASH CHAVDA</v>
      </c>
      <c r="L840" s="17" t="n">
        <v>5</v>
      </c>
      <c r="M840" s="17" t="str">
        <f aca="false">VLOOKUP(L840,Sheet2!D:E,2,0)</f>
        <v>Main Processor CPU BGA</v>
      </c>
      <c r="N840" s="17" t="n">
        <v>1</v>
      </c>
      <c r="O840" s="17" t="str">
        <f aca="false">VLOOKUP(N840,Sheet2!G:H,2,0)</f>
        <v>Dead</v>
      </c>
      <c r="P840" s="17" t="n">
        <v>12</v>
      </c>
      <c r="Q840" s="17" t="str">
        <f aca="false">VLOOKUP(P840,Sheet2!J:K,2,0)</f>
        <v>IR Declared due to Others ( IR Normal)TB</v>
      </c>
      <c r="R840" s="17" t="s">
        <v>35</v>
      </c>
      <c r="S840" s="17" t="str">
        <f aca="false">VLOOKUP(R840,Sheet2!N:O,2,0)</f>
        <v>IREPARABLE</v>
      </c>
      <c r="T840" s="18" t="str">
        <f aca="false">VLOOKUP(P840,Sheet2!Q:R,2,0)</f>
        <v>IR Normal - BER to IR</v>
      </c>
      <c r="U840" s="20" t="s">
        <v>135</v>
      </c>
      <c r="V840" s="17" t="n">
        <v>12</v>
      </c>
      <c r="W840" s="20" t="str">
        <f aca="false">VLOOKUP(V840,Sheet2!Q:R,2,0)</f>
        <v>IR Normal - BER to IR</v>
      </c>
      <c r="X840" s="17" t="str">
        <f aca="false">J840</f>
        <v>A018</v>
      </c>
      <c r="Y840" s="17" t="str">
        <f aca="false">VLOOKUP(X840,Sheet2!A:B,2,0)</f>
        <v>PRAKASH CHAVDA</v>
      </c>
      <c r="Z840" s="17" t="s">
        <v>136</v>
      </c>
      <c r="AA840" s="17" t="s">
        <v>449</v>
      </c>
      <c r="AB840" s="17" t="s">
        <v>41</v>
      </c>
      <c r="AC840" s="0" t="str">
        <f aca="false">LEFT(G840,2)</f>
        <v>13</v>
      </c>
      <c r="AD840" s="0"/>
      <c r="AE840" s="21" t="s">
        <v>42</v>
      </c>
    </row>
    <row r="841" customFormat="false" ht="15" hidden="false" customHeight="false" outlineLevel="0" collapsed="false">
      <c r="A841" s="13" t="n">
        <f aca="false">1+A840</f>
        <v>839</v>
      </c>
      <c r="B841" s="17" t="n">
        <v>1009092232</v>
      </c>
      <c r="C841" s="17" t="s">
        <v>414</v>
      </c>
      <c r="D841" s="17" t="s">
        <v>64</v>
      </c>
      <c r="E841" s="17" t="s">
        <v>47</v>
      </c>
      <c r="F841" s="18" t="s">
        <v>34</v>
      </c>
      <c r="G841" s="19" t="n">
        <v>134283036298</v>
      </c>
      <c r="H841" s="17" t="s">
        <v>134</v>
      </c>
      <c r="I841" s="17" t="s">
        <v>44</v>
      </c>
      <c r="J841" s="17" t="s">
        <v>106</v>
      </c>
      <c r="K841" s="17" t="str">
        <f aca="false">VLOOKUP(J841,Sheet2!A:B,2,0)</f>
        <v>PRAKASH CHAVDA</v>
      </c>
      <c r="L841" s="17" t="n">
        <v>5</v>
      </c>
      <c r="M841" s="17" t="str">
        <f aca="false">VLOOKUP(L841,Sheet2!D:E,2,0)</f>
        <v>Main Processor CPU BGA</v>
      </c>
      <c r="N841" s="17" t="n">
        <v>1</v>
      </c>
      <c r="O841" s="17" t="str">
        <f aca="false">VLOOKUP(N841,Sheet2!G:H,2,0)</f>
        <v>Dead</v>
      </c>
      <c r="P841" s="17" t="n">
        <v>12</v>
      </c>
      <c r="Q841" s="17" t="str">
        <f aca="false">VLOOKUP(P841,Sheet2!J:K,2,0)</f>
        <v>IR Declared due to Others ( IR Normal)TB</v>
      </c>
      <c r="R841" s="17" t="s">
        <v>35</v>
      </c>
      <c r="S841" s="17" t="str">
        <f aca="false">VLOOKUP(R841,Sheet2!N:O,2,0)</f>
        <v>IREPARABLE</v>
      </c>
      <c r="T841" s="18" t="str">
        <f aca="false">VLOOKUP(P841,Sheet2!Q:R,2,0)</f>
        <v>IR Normal - BER to IR</v>
      </c>
      <c r="U841" s="20" t="s">
        <v>135</v>
      </c>
      <c r="V841" s="17" t="n">
        <v>12</v>
      </c>
      <c r="W841" s="20" t="str">
        <f aca="false">VLOOKUP(V841,Sheet2!Q:R,2,0)</f>
        <v>IR Normal - BER to IR</v>
      </c>
      <c r="X841" s="17" t="str">
        <f aca="false">J841</f>
        <v>A018</v>
      </c>
      <c r="Y841" s="17" t="str">
        <f aca="false">VLOOKUP(X841,Sheet2!A:B,2,0)</f>
        <v>PRAKASH CHAVDA</v>
      </c>
      <c r="Z841" s="17" t="s">
        <v>136</v>
      </c>
      <c r="AA841" s="17" t="s">
        <v>449</v>
      </c>
      <c r="AB841" s="17" t="s">
        <v>41</v>
      </c>
      <c r="AC841" s="0" t="str">
        <f aca="false">LEFT(G841,2)</f>
        <v>13</v>
      </c>
      <c r="AD841" s="0"/>
      <c r="AE841" s="21" t="s">
        <v>42</v>
      </c>
    </row>
    <row r="842" customFormat="false" ht="15" hidden="false" customHeight="false" outlineLevel="0" collapsed="false">
      <c r="A842" s="13" t="n">
        <f aca="false">1+A841</f>
        <v>840</v>
      </c>
      <c r="B842" s="17" t="n">
        <v>1009091402</v>
      </c>
      <c r="C842" s="17" t="s">
        <v>414</v>
      </c>
      <c r="D842" s="17" t="s">
        <v>64</v>
      </c>
      <c r="E842" s="17" t="s">
        <v>33</v>
      </c>
      <c r="F842" s="18" t="s">
        <v>34</v>
      </c>
      <c r="G842" s="19" t="n">
        <v>134297046432</v>
      </c>
      <c r="H842" s="17" t="s">
        <v>134</v>
      </c>
      <c r="I842" s="17" t="s">
        <v>44</v>
      </c>
      <c r="J842" s="17" t="s">
        <v>106</v>
      </c>
      <c r="K842" s="17" t="str">
        <f aca="false">VLOOKUP(J842,Sheet2!A:B,2,0)</f>
        <v>PRAKASH CHAVDA</v>
      </c>
      <c r="L842" s="17" t="n">
        <v>5</v>
      </c>
      <c r="M842" s="17" t="str">
        <f aca="false">VLOOKUP(L842,Sheet2!D:E,2,0)</f>
        <v>Main Processor CPU BGA</v>
      </c>
      <c r="N842" s="17" t="n">
        <v>24</v>
      </c>
      <c r="O842" s="17" t="str">
        <f aca="false">VLOOKUP(N842,Sheet2!G:H,2,0)</f>
        <v>STB Auto moving -Stand by mode</v>
      </c>
      <c r="P842" s="17" t="n">
        <v>12</v>
      </c>
      <c r="Q842" s="17" t="str">
        <f aca="false">VLOOKUP(P842,Sheet2!J:K,2,0)</f>
        <v>IR Declared due to Others ( IR Normal)TB</v>
      </c>
      <c r="R842" s="17" t="s">
        <v>35</v>
      </c>
      <c r="S842" s="17" t="str">
        <f aca="false">VLOOKUP(R842,Sheet2!N:O,2,0)</f>
        <v>IREPARABLE</v>
      </c>
      <c r="T842" s="18" t="str">
        <f aca="false">VLOOKUP(P842,Sheet2!Q:R,2,0)</f>
        <v>IR Normal - BER to IR</v>
      </c>
      <c r="U842" s="20" t="s">
        <v>135</v>
      </c>
      <c r="V842" s="17" t="n">
        <v>12</v>
      </c>
      <c r="W842" s="20" t="str">
        <f aca="false">VLOOKUP(V842,Sheet2!Q:R,2,0)</f>
        <v>IR Normal - BER to IR</v>
      </c>
      <c r="X842" s="17" t="str">
        <f aca="false">J842</f>
        <v>A018</v>
      </c>
      <c r="Y842" s="17" t="str">
        <f aca="false">VLOOKUP(X842,Sheet2!A:B,2,0)</f>
        <v>PRAKASH CHAVDA</v>
      </c>
      <c r="Z842" s="17" t="s">
        <v>136</v>
      </c>
      <c r="AA842" s="17" t="s">
        <v>449</v>
      </c>
      <c r="AB842" s="17" t="s">
        <v>41</v>
      </c>
      <c r="AC842" s="0" t="str">
        <f aca="false">LEFT(G842,2)</f>
        <v>13</v>
      </c>
      <c r="AD842" s="0"/>
      <c r="AE842" s="21" t="s">
        <v>42</v>
      </c>
    </row>
    <row r="843" customFormat="false" ht="15" hidden="false" customHeight="false" outlineLevel="0" collapsed="false">
      <c r="A843" s="13" t="n">
        <f aca="false">1+A842</f>
        <v>841</v>
      </c>
      <c r="B843" s="17" t="n">
        <v>1009091923</v>
      </c>
      <c r="C843" s="17" t="s">
        <v>414</v>
      </c>
      <c r="D843" s="17" t="s">
        <v>64</v>
      </c>
      <c r="E843" s="17" t="s">
        <v>47</v>
      </c>
      <c r="F843" s="18" t="s">
        <v>34</v>
      </c>
      <c r="G843" s="19" t="n">
        <v>135232057251</v>
      </c>
      <c r="H843" s="17" t="s">
        <v>134</v>
      </c>
      <c r="I843" s="17" t="s">
        <v>44</v>
      </c>
      <c r="J843" s="17" t="s">
        <v>106</v>
      </c>
      <c r="K843" s="17" t="str">
        <f aca="false">VLOOKUP(J843,Sheet2!A:B,2,0)</f>
        <v>PRAKASH CHAVDA</v>
      </c>
      <c r="L843" s="17" t="n">
        <v>5</v>
      </c>
      <c r="M843" s="17" t="str">
        <f aca="false">VLOOKUP(L843,Sheet2!D:E,2,0)</f>
        <v>Main Processor CPU BGA</v>
      </c>
      <c r="N843" s="17" t="n">
        <v>1</v>
      </c>
      <c r="O843" s="17" t="str">
        <f aca="false">VLOOKUP(N843,Sheet2!G:H,2,0)</f>
        <v>Dead</v>
      </c>
      <c r="P843" s="17" t="n">
        <v>12</v>
      </c>
      <c r="Q843" s="17" t="str">
        <f aca="false">VLOOKUP(P843,Sheet2!J:K,2,0)</f>
        <v>IR Declared due to Others ( IR Normal)TB</v>
      </c>
      <c r="R843" s="17" t="s">
        <v>35</v>
      </c>
      <c r="S843" s="17" t="str">
        <f aca="false">VLOOKUP(R843,Sheet2!N:O,2,0)</f>
        <v>IREPARABLE</v>
      </c>
      <c r="T843" s="18" t="str">
        <f aca="false">VLOOKUP(P843,Sheet2!Q:R,2,0)</f>
        <v>IR Normal - BER to IR</v>
      </c>
      <c r="U843" s="20" t="s">
        <v>135</v>
      </c>
      <c r="V843" s="17" t="n">
        <v>12</v>
      </c>
      <c r="W843" s="20" t="str">
        <f aca="false">VLOOKUP(V843,Sheet2!Q:R,2,0)</f>
        <v>IR Normal - BER to IR</v>
      </c>
      <c r="X843" s="17" t="str">
        <f aca="false">J843</f>
        <v>A018</v>
      </c>
      <c r="Y843" s="17" t="str">
        <f aca="false">VLOOKUP(X843,Sheet2!A:B,2,0)</f>
        <v>PRAKASH CHAVDA</v>
      </c>
      <c r="Z843" s="17" t="s">
        <v>136</v>
      </c>
      <c r="AA843" s="17" t="s">
        <v>449</v>
      </c>
      <c r="AB843" s="17" t="s">
        <v>41</v>
      </c>
      <c r="AC843" s="0" t="str">
        <f aca="false">LEFT(G843,2)</f>
        <v>13</v>
      </c>
      <c r="AD843" s="0"/>
      <c r="AE843" s="21" t="s">
        <v>42</v>
      </c>
    </row>
    <row r="844" customFormat="false" ht="15" hidden="false" customHeight="false" outlineLevel="0" collapsed="false">
      <c r="A844" s="13" t="n">
        <f aca="false">1+A843</f>
        <v>842</v>
      </c>
      <c r="B844" s="17" t="n">
        <v>1009583905</v>
      </c>
      <c r="C844" s="17" t="s">
        <v>139</v>
      </c>
      <c r="D844" s="17" t="s">
        <v>64</v>
      </c>
      <c r="E844" s="17" t="s">
        <v>64</v>
      </c>
      <c r="F844" s="18" t="s">
        <v>70</v>
      </c>
      <c r="G844" s="19" t="n">
        <v>985352304325</v>
      </c>
      <c r="H844" s="17" t="s">
        <v>134</v>
      </c>
      <c r="I844" s="17" t="s">
        <v>44</v>
      </c>
      <c r="J844" s="17" t="s">
        <v>106</v>
      </c>
      <c r="K844" s="17" t="str">
        <f aca="false">VLOOKUP(J844,Sheet2!A:B,2,0)</f>
        <v>PRAKASH CHAVDA</v>
      </c>
      <c r="L844" s="17" t="n">
        <v>5</v>
      </c>
      <c r="M844" s="17" t="str">
        <f aca="false">VLOOKUP(L844,Sheet2!D:E,2,0)</f>
        <v>Main Processor CPU BGA</v>
      </c>
      <c r="N844" s="17" t="n">
        <v>24</v>
      </c>
      <c r="O844" s="17" t="str">
        <f aca="false">VLOOKUP(N844,Sheet2!G:H,2,0)</f>
        <v>STB Auto moving -Stand by mode</v>
      </c>
      <c r="P844" s="17" t="n">
        <v>12</v>
      </c>
      <c r="Q844" s="17" t="str">
        <f aca="false">VLOOKUP(P844,Sheet2!J:K,2,0)</f>
        <v>IR Declared due to Others ( IR Normal)TB</v>
      </c>
      <c r="R844" s="17" t="s">
        <v>35</v>
      </c>
      <c r="S844" s="17" t="str">
        <f aca="false">VLOOKUP(R844,Sheet2!N:O,2,0)</f>
        <v>IREPARABLE</v>
      </c>
      <c r="T844" s="18" t="str">
        <f aca="false">VLOOKUP(P844,Sheet2!Q:R,2,0)</f>
        <v>IR Normal - BER to IR</v>
      </c>
      <c r="U844" s="20" t="s">
        <v>135</v>
      </c>
      <c r="V844" s="17" t="n">
        <v>12</v>
      </c>
      <c r="W844" s="20" t="str">
        <f aca="false">VLOOKUP(V844,Sheet2!Q:R,2,0)</f>
        <v>IR Normal - BER to IR</v>
      </c>
      <c r="X844" s="17" t="str">
        <f aca="false">J844</f>
        <v>A018</v>
      </c>
      <c r="Y844" s="17" t="str">
        <f aca="false">VLOOKUP(X844,Sheet2!A:B,2,0)</f>
        <v>PRAKASH CHAVDA</v>
      </c>
      <c r="Z844" s="17" t="s">
        <v>141</v>
      </c>
      <c r="AA844" s="17" t="s">
        <v>449</v>
      </c>
      <c r="AB844" s="17" t="s">
        <v>41</v>
      </c>
      <c r="AC844" s="0" t="str">
        <f aca="false">LEFT(G844,2)</f>
        <v>98</v>
      </c>
      <c r="AD844" s="0"/>
      <c r="AE844" s="21" t="s">
        <v>42</v>
      </c>
    </row>
    <row r="845" customFormat="false" ht="15" hidden="false" customHeight="false" outlineLevel="0" collapsed="false">
      <c r="A845" s="13" t="n">
        <f aca="false">1+A844</f>
        <v>843</v>
      </c>
      <c r="B845" s="17" t="n">
        <v>1009566487</v>
      </c>
      <c r="C845" s="17" t="s">
        <v>102</v>
      </c>
      <c r="D845" s="17" t="s">
        <v>154</v>
      </c>
      <c r="E845" s="17" t="s">
        <v>91</v>
      </c>
      <c r="F845" s="18" t="s">
        <v>92</v>
      </c>
      <c r="G845" s="19" t="n">
        <v>987233158318</v>
      </c>
      <c r="H845" s="17" t="s">
        <v>134</v>
      </c>
      <c r="I845" s="17" t="s">
        <v>44</v>
      </c>
      <c r="J845" s="17" t="s">
        <v>106</v>
      </c>
      <c r="K845" s="17" t="str">
        <f aca="false">VLOOKUP(J845,Sheet2!A:B,2,0)</f>
        <v>PRAKASH CHAVDA</v>
      </c>
      <c r="L845" s="17" t="n">
        <v>5</v>
      </c>
      <c r="M845" s="17" t="str">
        <f aca="false">VLOOKUP(L845,Sheet2!D:E,2,0)</f>
        <v>Main Processor CPU BGA</v>
      </c>
      <c r="N845" s="17" t="n">
        <v>37</v>
      </c>
      <c r="O845" s="17" t="str">
        <f aca="false">VLOOKUP(N845,Sheet2!G:H,2,0)</f>
        <v>Error -2</v>
      </c>
      <c r="P845" s="17" t="n">
        <v>12</v>
      </c>
      <c r="Q845" s="17" t="str">
        <f aca="false">VLOOKUP(P845,Sheet2!J:K,2,0)</f>
        <v>IR Declared due to Others ( IR Normal)TB</v>
      </c>
      <c r="R845" s="17" t="s">
        <v>35</v>
      </c>
      <c r="S845" s="17" t="str">
        <f aca="false">VLOOKUP(R845,Sheet2!N:O,2,0)</f>
        <v>IREPARABLE</v>
      </c>
      <c r="T845" s="18" t="str">
        <f aca="false">VLOOKUP(P845,Sheet2!Q:R,2,0)</f>
        <v>IR Normal - BER to IR</v>
      </c>
      <c r="U845" s="20" t="s">
        <v>135</v>
      </c>
      <c r="V845" s="17" t="n">
        <v>12</v>
      </c>
      <c r="W845" s="20" t="str">
        <f aca="false">VLOOKUP(V845,Sheet2!Q:R,2,0)</f>
        <v>IR Normal - BER to IR</v>
      </c>
      <c r="X845" s="17" t="str">
        <f aca="false">J845</f>
        <v>A018</v>
      </c>
      <c r="Y845" s="17" t="str">
        <f aca="false">VLOOKUP(X845,Sheet2!A:B,2,0)</f>
        <v>PRAKASH CHAVDA</v>
      </c>
      <c r="Z845" s="17" t="s">
        <v>141</v>
      </c>
      <c r="AA845" s="17" t="s">
        <v>449</v>
      </c>
      <c r="AB845" s="17" t="s">
        <v>41</v>
      </c>
      <c r="AC845" s="0" t="str">
        <f aca="false">LEFT(G845,2)</f>
        <v>98</v>
      </c>
      <c r="AD845" s="0"/>
      <c r="AE845" s="21" t="s">
        <v>42</v>
      </c>
    </row>
    <row r="846" customFormat="false" ht="15" hidden="false" customHeight="false" outlineLevel="0" collapsed="false">
      <c r="A846" s="13" t="n">
        <f aca="false">1+A845</f>
        <v>844</v>
      </c>
      <c r="B846" s="17" t="n">
        <v>1009571930</v>
      </c>
      <c r="C846" s="17" t="s">
        <v>104</v>
      </c>
      <c r="D846" s="17" t="s">
        <v>64</v>
      </c>
      <c r="E846" s="17" t="s">
        <v>64</v>
      </c>
      <c r="F846" s="18" t="s">
        <v>70</v>
      </c>
      <c r="G846" s="19" t="n">
        <v>987243110069</v>
      </c>
      <c r="H846" s="17" t="s">
        <v>134</v>
      </c>
      <c r="I846" s="17" t="s">
        <v>44</v>
      </c>
      <c r="J846" s="17" t="s">
        <v>106</v>
      </c>
      <c r="K846" s="17" t="str">
        <f aca="false">VLOOKUP(J846,Sheet2!A:B,2,0)</f>
        <v>PRAKASH CHAVDA</v>
      </c>
      <c r="L846" s="17" t="n">
        <v>5</v>
      </c>
      <c r="M846" s="17" t="str">
        <f aca="false">VLOOKUP(L846,Sheet2!D:E,2,0)</f>
        <v>Main Processor CPU BGA</v>
      </c>
      <c r="N846" s="17" t="n">
        <v>1</v>
      </c>
      <c r="O846" s="17" t="str">
        <f aca="false">VLOOKUP(N846,Sheet2!G:H,2,0)</f>
        <v>Dead</v>
      </c>
      <c r="P846" s="17" t="n">
        <v>12</v>
      </c>
      <c r="Q846" s="17" t="str">
        <f aca="false">VLOOKUP(P846,Sheet2!J:K,2,0)</f>
        <v>IR Declared due to Others ( IR Normal)TB</v>
      </c>
      <c r="R846" s="17" t="s">
        <v>35</v>
      </c>
      <c r="S846" s="17" t="str">
        <f aca="false">VLOOKUP(R846,Sheet2!N:O,2,0)</f>
        <v>IREPARABLE</v>
      </c>
      <c r="T846" s="18" t="str">
        <f aca="false">VLOOKUP(P846,Sheet2!Q:R,2,0)</f>
        <v>IR Normal - BER to IR</v>
      </c>
      <c r="U846" s="20" t="s">
        <v>135</v>
      </c>
      <c r="V846" s="17" t="n">
        <v>12</v>
      </c>
      <c r="W846" s="20" t="str">
        <f aca="false">VLOOKUP(V846,Sheet2!Q:R,2,0)</f>
        <v>IR Normal - BER to IR</v>
      </c>
      <c r="X846" s="17" t="str">
        <f aca="false">J846</f>
        <v>A018</v>
      </c>
      <c r="Y846" s="17" t="str">
        <f aca="false">VLOOKUP(X846,Sheet2!A:B,2,0)</f>
        <v>PRAKASH CHAVDA</v>
      </c>
      <c r="Z846" s="17" t="s">
        <v>141</v>
      </c>
      <c r="AA846" s="17" t="s">
        <v>449</v>
      </c>
      <c r="AB846" s="17" t="s">
        <v>41</v>
      </c>
      <c r="AC846" s="0" t="str">
        <f aca="false">LEFT(G846,2)</f>
        <v>98</v>
      </c>
      <c r="AD846" s="0"/>
      <c r="AE846" s="21" t="s">
        <v>42</v>
      </c>
    </row>
    <row r="847" customFormat="false" ht="15" hidden="false" customHeight="false" outlineLevel="0" collapsed="false">
      <c r="A847" s="13" t="n">
        <f aca="false">1+A846</f>
        <v>845</v>
      </c>
      <c r="B847" s="17" t="n">
        <v>1009571990</v>
      </c>
      <c r="C847" s="17" t="s">
        <v>104</v>
      </c>
      <c r="D847" s="17" t="s">
        <v>56</v>
      </c>
      <c r="E847" s="17" t="s">
        <v>91</v>
      </c>
      <c r="F847" s="18" t="s">
        <v>92</v>
      </c>
      <c r="G847" s="19" t="n">
        <v>987217149358</v>
      </c>
      <c r="H847" s="17" t="s">
        <v>134</v>
      </c>
      <c r="I847" s="17" t="s">
        <v>44</v>
      </c>
      <c r="J847" s="17" t="s">
        <v>106</v>
      </c>
      <c r="K847" s="17" t="str">
        <f aca="false">VLOOKUP(J847,Sheet2!A:B,2,0)</f>
        <v>PRAKASH CHAVDA</v>
      </c>
      <c r="L847" s="17" t="n">
        <v>5</v>
      </c>
      <c r="M847" s="17" t="str">
        <f aca="false">VLOOKUP(L847,Sheet2!D:E,2,0)</f>
        <v>Main Processor CPU BGA</v>
      </c>
      <c r="N847" s="17" t="n">
        <v>36</v>
      </c>
      <c r="O847" s="17" t="str">
        <f aca="false">VLOOKUP(N847,Sheet2!G:H,2,0)</f>
        <v>Error -1</v>
      </c>
      <c r="P847" s="17" t="n">
        <v>12</v>
      </c>
      <c r="Q847" s="17" t="str">
        <f aca="false">VLOOKUP(P847,Sheet2!J:K,2,0)</f>
        <v>IR Declared due to Others ( IR Normal)TB</v>
      </c>
      <c r="R847" s="17" t="s">
        <v>35</v>
      </c>
      <c r="S847" s="17" t="str">
        <f aca="false">VLOOKUP(R847,Sheet2!N:O,2,0)</f>
        <v>IREPARABLE</v>
      </c>
      <c r="T847" s="18" t="str">
        <f aca="false">VLOOKUP(P847,Sheet2!Q:R,2,0)</f>
        <v>IR Normal - BER to IR</v>
      </c>
      <c r="U847" s="20" t="s">
        <v>135</v>
      </c>
      <c r="V847" s="17" t="n">
        <v>12</v>
      </c>
      <c r="W847" s="20" t="str">
        <f aca="false">VLOOKUP(V847,Sheet2!Q:R,2,0)</f>
        <v>IR Normal - BER to IR</v>
      </c>
      <c r="X847" s="17" t="str">
        <f aca="false">J847</f>
        <v>A018</v>
      </c>
      <c r="Y847" s="17" t="str">
        <f aca="false">VLOOKUP(X847,Sheet2!A:B,2,0)</f>
        <v>PRAKASH CHAVDA</v>
      </c>
      <c r="Z847" s="17" t="s">
        <v>141</v>
      </c>
      <c r="AA847" s="17" t="s">
        <v>449</v>
      </c>
      <c r="AB847" s="17" t="s">
        <v>41</v>
      </c>
      <c r="AC847" s="0" t="str">
        <f aca="false">LEFT(G847,2)</f>
        <v>98</v>
      </c>
      <c r="AD847" s="0"/>
      <c r="AE847" s="21" t="s">
        <v>42</v>
      </c>
    </row>
    <row r="848" customFormat="false" ht="15" hidden="false" customHeight="false" outlineLevel="0" collapsed="false">
      <c r="A848" s="13" t="n">
        <f aca="false">1+A847</f>
        <v>846</v>
      </c>
      <c r="B848" s="17" t="n">
        <v>1009524648</v>
      </c>
      <c r="C848" s="17" t="s">
        <v>162</v>
      </c>
      <c r="D848" s="17" t="s">
        <v>158</v>
      </c>
      <c r="E848" s="17" t="s">
        <v>91</v>
      </c>
      <c r="F848" s="18" t="s">
        <v>92</v>
      </c>
      <c r="G848" s="19" t="n">
        <v>987296180829</v>
      </c>
      <c r="H848" s="17" t="s">
        <v>134</v>
      </c>
      <c r="I848" s="17" t="s">
        <v>44</v>
      </c>
      <c r="J848" s="17" t="s">
        <v>106</v>
      </c>
      <c r="K848" s="17" t="str">
        <f aca="false">VLOOKUP(J848,Sheet2!A:B,2,0)</f>
        <v>PRAKASH CHAVDA</v>
      </c>
      <c r="L848" s="17" t="n">
        <v>5</v>
      </c>
      <c r="M848" s="17" t="str">
        <f aca="false">VLOOKUP(L848,Sheet2!D:E,2,0)</f>
        <v>Main Processor CPU BGA</v>
      </c>
      <c r="N848" s="17" t="n">
        <v>1</v>
      </c>
      <c r="O848" s="17" t="str">
        <f aca="false">VLOOKUP(N848,Sheet2!G:H,2,0)</f>
        <v>Dead</v>
      </c>
      <c r="P848" s="17" t="n">
        <v>12</v>
      </c>
      <c r="Q848" s="17" t="str">
        <f aca="false">VLOOKUP(P848,Sheet2!J:K,2,0)</f>
        <v>IR Declared due to Others ( IR Normal)TB</v>
      </c>
      <c r="R848" s="17" t="s">
        <v>35</v>
      </c>
      <c r="S848" s="17" t="str">
        <f aca="false">VLOOKUP(R848,Sheet2!N:O,2,0)</f>
        <v>IREPARABLE</v>
      </c>
      <c r="T848" s="18" t="str">
        <f aca="false">VLOOKUP(P848,Sheet2!Q:R,2,0)</f>
        <v>IR Normal - BER to IR</v>
      </c>
      <c r="U848" s="20" t="s">
        <v>135</v>
      </c>
      <c r="V848" s="17" t="n">
        <v>12</v>
      </c>
      <c r="W848" s="20" t="str">
        <f aca="false">VLOOKUP(V848,Sheet2!Q:R,2,0)</f>
        <v>IR Normal - BER to IR</v>
      </c>
      <c r="X848" s="17" t="str">
        <f aca="false">J848</f>
        <v>A018</v>
      </c>
      <c r="Y848" s="17" t="str">
        <f aca="false">VLOOKUP(X848,Sheet2!A:B,2,0)</f>
        <v>PRAKASH CHAVDA</v>
      </c>
      <c r="Z848" s="17" t="s">
        <v>141</v>
      </c>
      <c r="AA848" s="17" t="s">
        <v>449</v>
      </c>
      <c r="AB848" s="17" t="s">
        <v>41</v>
      </c>
      <c r="AC848" s="0" t="str">
        <f aca="false">LEFT(G848,2)</f>
        <v>98</v>
      </c>
      <c r="AD848" s="0"/>
      <c r="AE848" s="21" t="s">
        <v>42</v>
      </c>
    </row>
    <row r="849" customFormat="false" ht="15" hidden="false" customHeight="false" outlineLevel="0" collapsed="false">
      <c r="A849" s="13" t="n">
        <f aca="false">1+A848</f>
        <v>847</v>
      </c>
      <c r="B849" s="17" t="n">
        <v>1009418641</v>
      </c>
      <c r="C849" s="17" t="s">
        <v>179</v>
      </c>
      <c r="D849" s="17" t="s">
        <v>64</v>
      </c>
      <c r="E849" s="17" t="s">
        <v>64</v>
      </c>
      <c r="F849" s="18" t="s">
        <v>70</v>
      </c>
      <c r="G849" s="19" t="n">
        <v>987073143891</v>
      </c>
      <c r="H849" s="17" t="s">
        <v>134</v>
      </c>
      <c r="I849" s="17" t="s">
        <v>44</v>
      </c>
      <c r="J849" s="17" t="s">
        <v>106</v>
      </c>
      <c r="K849" s="17" t="str">
        <f aca="false">VLOOKUP(J849,Sheet2!A:B,2,0)</f>
        <v>PRAKASH CHAVDA</v>
      </c>
      <c r="L849" s="17" t="n">
        <v>5</v>
      </c>
      <c r="M849" s="17" t="str">
        <f aca="false">VLOOKUP(L849,Sheet2!D:E,2,0)</f>
        <v>Main Processor CPU BGA</v>
      </c>
      <c r="N849" s="17" t="n">
        <v>1</v>
      </c>
      <c r="O849" s="17" t="str">
        <f aca="false">VLOOKUP(N849,Sheet2!G:H,2,0)</f>
        <v>Dead</v>
      </c>
      <c r="P849" s="17" t="n">
        <v>12</v>
      </c>
      <c r="Q849" s="17" t="str">
        <f aca="false">VLOOKUP(P849,Sheet2!J:K,2,0)</f>
        <v>IR Declared due to Others ( IR Normal)TB</v>
      </c>
      <c r="R849" s="17" t="s">
        <v>35</v>
      </c>
      <c r="S849" s="17" t="str">
        <f aca="false">VLOOKUP(R849,Sheet2!N:O,2,0)</f>
        <v>IREPARABLE</v>
      </c>
      <c r="T849" s="18" t="str">
        <f aca="false">VLOOKUP(P849,Sheet2!Q:R,2,0)</f>
        <v>IR Normal - BER to IR</v>
      </c>
      <c r="U849" s="20" t="s">
        <v>135</v>
      </c>
      <c r="V849" s="17" t="n">
        <v>12</v>
      </c>
      <c r="W849" s="20" t="str">
        <f aca="false">VLOOKUP(V849,Sheet2!Q:R,2,0)</f>
        <v>IR Normal - BER to IR</v>
      </c>
      <c r="X849" s="17" t="str">
        <f aca="false">J849</f>
        <v>A018</v>
      </c>
      <c r="Y849" s="17" t="str">
        <f aca="false">VLOOKUP(X849,Sheet2!A:B,2,0)</f>
        <v>PRAKASH CHAVDA</v>
      </c>
      <c r="Z849" s="17" t="s">
        <v>141</v>
      </c>
      <c r="AA849" s="17" t="s">
        <v>449</v>
      </c>
      <c r="AB849" s="17" t="s">
        <v>41</v>
      </c>
      <c r="AC849" s="0" t="str">
        <f aca="false">LEFT(G849,2)</f>
        <v>98</v>
      </c>
      <c r="AD849" s="0"/>
      <c r="AE849" s="21" t="s">
        <v>42</v>
      </c>
    </row>
    <row r="850" customFormat="false" ht="15" hidden="false" customHeight="false" outlineLevel="0" collapsed="false">
      <c r="A850" s="13" t="n">
        <f aca="false">1+A849</f>
        <v>848</v>
      </c>
      <c r="B850" s="17" t="n">
        <v>1009661585</v>
      </c>
      <c r="C850" s="17" t="s">
        <v>433</v>
      </c>
      <c r="D850" s="17" t="s">
        <v>64</v>
      </c>
      <c r="E850" s="17" t="s">
        <v>64</v>
      </c>
      <c r="F850" s="18" t="s">
        <v>70</v>
      </c>
      <c r="G850" s="19" t="n">
        <v>987107116491</v>
      </c>
      <c r="H850" s="17" t="s">
        <v>134</v>
      </c>
      <c r="I850" s="17" t="s">
        <v>44</v>
      </c>
      <c r="J850" s="17" t="s">
        <v>106</v>
      </c>
      <c r="K850" s="17" t="str">
        <f aca="false">VLOOKUP(J850,Sheet2!A:B,2,0)</f>
        <v>PRAKASH CHAVDA</v>
      </c>
      <c r="L850" s="17" t="n">
        <v>5</v>
      </c>
      <c r="M850" s="17" t="str">
        <f aca="false">VLOOKUP(L850,Sheet2!D:E,2,0)</f>
        <v>Main Processor CPU BGA</v>
      </c>
      <c r="N850" s="17" t="n">
        <v>1</v>
      </c>
      <c r="O850" s="17" t="str">
        <f aca="false">VLOOKUP(N850,Sheet2!G:H,2,0)</f>
        <v>Dead</v>
      </c>
      <c r="P850" s="17" t="n">
        <v>12</v>
      </c>
      <c r="Q850" s="17" t="str">
        <f aca="false">VLOOKUP(P850,Sheet2!J:K,2,0)</f>
        <v>IR Declared due to Others ( IR Normal)TB</v>
      </c>
      <c r="R850" s="17" t="s">
        <v>35</v>
      </c>
      <c r="S850" s="17" t="str">
        <f aca="false">VLOOKUP(R850,Sheet2!N:O,2,0)</f>
        <v>IREPARABLE</v>
      </c>
      <c r="T850" s="18" t="str">
        <f aca="false">VLOOKUP(P850,Sheet2!Q:R,2,0)</f>
        <v>IR Normal - BER to IR</v>
      </c>
      <c r="U850" s="20" t="s">
        <v>135</v>
      </c>
      <c r="V850" s="17" t="n">
        <v>12</v>
      </c>
      <c r="W850" s="20" t="str">
        <f aca="false">VLOOKUP(V850,Sheet2!Q:R,2,0)</f>
        <v>IR Normal - BER to IR</v>
      </c>
      <c r="X850" s="17" t="str">
        <f aca="false">J850</f>
        <v>A018</v>
      </c>
      <c r="Y850" s="17" t="str">
        <f aca="false">VLOOKUP(X850,Sheet2!A:B,2,0)</f>
        <v>PRAKASH CHAVDA</v>
      </c>
      <c r="Z850" s="17" t="s">
        <v>141</v>
      </c>
      <c r="AA850" s="17" t="s">
        <v>449</v>
      </c>
      <c r="AB850" s="17" t="s">
        <v>41</v>
      </c>
      <c r="AC850" s="0" t="str">
        <f aca="false">LEFT(G850,2)</f>
        <v>98</v>
      </c>
      <c r="AD850" s="0"/>
      <c r="AE850" s="21" t="s">
        <v>42</v>
      </c>
    </row>
    <row r="851" customFormat="false" ht="15" hidden="false" customHeight="false" outlineLevel="0" collapsed="false">
      <c r="A851" s="13" t="n">
        <f aca="false">1+A850</f>
        <v>849</v>
      </c>
      <c r="B851" s="17" t="n">
        <v>1009533467</v>
      </c>
      <c r="C851" s="17" t="s">
        <v>174</v>
      </c>
      <c r="D851" s="17" t="s">
        <v>64</v>
      </c>
      <c r="E851" s="17" t="s">
        <v>47</v>
      </c>
      <c r="F851" s="18" t="s">
        <v>34</v>
      </c>
      <c r="G851" s="19" t="n">
        <v>986258144831</v>
      </c>
      <c r="H851" s="17" t="s">
        <v>134</v>
      </c>
      <c r="I851" s="17" t="s">
        <v>44</v>
      </c>
      <c r="J851" s="17" t="s">
        <v>106</v>
      </c>
      <c r="K851" s="17" t="str">
        <f aca="false">VLOOKUP(J851,Sheet2!A:B,2,0)</f>
        <v>PRAKASH CHAVDA</v>
      </c>
      <c r="L851" s="17" t="n">
        <v>5</v>
      </c>
      <c r="M851" s="17" t="str">
        <f aca="false">VLOOKUP(L851,Sheet2!D:E,2,0)</f>
        <v>Main Processor CPU BGA</v>
      </c>
      <c r="N851" s="17" t="n">
        <v>1</v>
      </c>
      <c r="O851" s="17" t="str">
        <f aca="false">VLOOKUP(N851,Sheet2!G:H,2,0)</f>
        <v>Dead</v>
      </c>
      <c r="P851" s="17" t="n">
        <v>12</v>
      </c>
      <c r="Q851" s="17" t="str">
        <f aca="false">VLOOKUP(P851,Sheet2!J:K,2,0)</f>
        <v>IR Declared due to Others ( IR Normal)TB</v>
      </c>
      <c r="R851" s="17" t="s">
        <v>35</v>
      </c>
      <c r="S851" s="17" t="str">
        <f aca="false">VLOOKUP(R851,Sheet2!N:O,2,0)</f>
        <v>IREPARABLE</v>
      </c>
      <c r="T851" s="18" t="str">
        <f aca="false">VLOOKUP(P851,Sheet2!Q:R,2,0)</f>
        <v>IR Normal - BER to IR</v>
      </c>
      <c r="U851" s="20" t="s">
        <v>135</v>
      </c>
      <c r="V851" s="17" t="n">
        <v>12</v>
      </c>
      <c r="W851" s="20" t="str">
        <f aca="false">VLOOKUP(V851,Sheet2!Q:R,2,0)</f>
        <v>IR Normal - BER to IR</v>
      </c>
      <c r="X851" s="17" t="str">
        <f aca="false">J851</f>
        <v>A018</v>
      </c>
      <c r="Y851" s="17" t="str">
        <f aca="false">VLOOKUP(X851,Sheet2!A:B,2,0)</f>
        <v>PRAKASH CHAVDA</v>
      </c>
      <c r="Z851" s="17" t="s">
        <v>141</v>
      </c>
      <c r="AA851" s="17" t="s">
        <v>449</v>
      </c>
      <c r="AB851" s="17" t="s">
        <v>41</v>
      </c>
      <c r="AC851" s="0" t="str">
        <f aca="false">LEFT(G851,2)</f>
        <v>98</v>
      </c>
      <c r="AD851" s="0"/>
      <c r="AE851" s="21" t="s">
        <v>42</v>
      </c>
    </row>
    <row r="852" customFormat="false" ht="15" hidden="false" customHeight="false" outlineLevel="0" collapsed="false">
      <c r="A852" s="13" t="n">
        <f aca="false">1+A851</f>
        <v>850</v>
      </c>
      <c r="B852" s="17" t="n">
        <v>1009507607</v>
      </c>
      <c r="C852" s="17" t="s">
        <v>181</v>
      </c>
      <c r="D852" s="17" t="s">
        <v>198</v>
      </c>
      <c r="E852" s="17" t="s">
        <v>47</v>
      </c>
      <c r="F852" s="18" t="s">
        <v>34</v>
      </c>
      <c r="G852" s="19" t="n">
        <v>987107188607</v>
      </c>
      <c r="H852" s="17" t="s">
        <v>134</v>
      </c>
      <c r="I852" s="17" t="s">
        <v>44</v>
      </c>
      <c r="J852" s="17" t="s">
        <v>106</v>
      </c>
      <c r="K852" s="17" t="str">
        <f aca="false">VLOOKUP(J852,Sheet2!A:B,2,0)</f>
        <v>PRAKASH CHAVDA</v>
      </c>
      <c r="L852" s="17" t="n">
        <v>5</v>
      </c>
      <c r="M852" s="17" t="str">
        <f aca="false">VLOOKUP(L852,Sheet2!D:E,2,0)</f>
        <v>Main Processor CPU BGA</v>
      </c>
      <c r="N852" s="17" t="n">
        <v>1</v>
      </c>
      <c r="O852" s="17" t="str">
        <f aca="false">VLOOKUP(N852,Sheet2!G:H,2,0)</f>
        <v>Dead</v>
      </c>
      <c r="P852" s="17" t="n">
        <v>12</v>
      </c>
      <c r="Q852" s="17" t="str">
        <f aca="false">VLOOKUP(P852,Sheet2!J:K,2,0)</f>
        <v>IR Declared due to Others ( IR Normal)TB</v>
      </c>
      <c r="R852" s="17" t="s">
        <v>35</v>
      </c>
      <c r="S852" s="17" t="str">
        <f aca="false">VLOOKUP(R852,Sheet2!N:O,2,0)</f>
        <v>IREPARABLE</v>
      </c>
      <c r="T852" s="18" t="str">
        <f aca="false">VLOOKUP(P852,Sheet2!Q:R,2,0)</f>
        <v>IR Normal - BER to IR</v>
      </c>
      <c r="U852" s="20" t="s">
        <v>135</v>
      </c>
      <c r="V852" s="17" t="n">
        <v>12</v>
      </c>
      <c r="W852" s="20" t="str">
        <f aca="false">VLOOKUP(V852,Sheet2!Q:R,2,0)</f>
        <v>IR Normal - BER to IR</v>
      </c>
      <c r="X852" s="17" t="str">
        <f aca="false">J852</f>
        <v>A018</v>
      </c>
      <c r="Y852" s="17" t="str">
        <f aca="false">VLOOKUP(X852,Sheet2!A:B,2,0)</f>
        <v>PRAKASH CHAVDA</v>
      </c>
      <c r="Z852" s="17" t="s">
        <v>141</v>
      </c>
      <c r="AA852" s="17" t="s">
        <v>449</v>
      </c>
      <c r="AB852" s="17" t="s">
        <v>41</v>
      </c>
      <c r="AC852" s="0" t="str">
        <f aca="false">LEFT(G852,2)</f>
        <v>98</v>
      </c>
      <c r="AD852" s="0"/>
      <c r="AE852" s="21" t="s">
        <v>42</v>
      </c>
    </row>
    <row r="853" customFormat="false" ht="15" hidden="false" customHeight="false" outlineLevel="0" collapsed="false">
      <c r="A853" s="13" t="n">
        <f aca="false">1+A852</f>
        <v>851</v>
      </c>
      <c r="B853" s="17" t="n">
        <v>1009533395</v>
      </c>
      <c r="C853" s="17" t="s">
        <v>174</v>
      </c>
      <c r="D853" s="17" t="s">
        <v>64</v>
      </c>
      <c r="E853" s="17" t="s">
        <v>91</v>
      </c>
      <c r="F853" s="18" t="s">
        <v>92</v>
      </c>
      <c r="G853" s="19" t="n">
        <v>987278115967</v>
      </c>
      <c r="H853" s="17" t="s">
        <v>134</v>
      </c>
      <c r="I853" s="17" t="s">
        <v>44</v>
      </c>
      <c r="J853" s="17" t="s">
        <v>106</v>
      </c>
      <c r="K853" s="17" t="str">
        <f aca="false">VLOOKUP(J853,Sheet2!A:B,2,0)</f>
        <v>PRAKASH CHAVDA</v>
      </c>
      <c r="L853" s="17" t="n">
        <v>5</v>
      </c>
      <c r="M853" s="17" t="str">
        <f aca="false">VLOOKUP(L853,Sheet2!D:E,2,0)</f>
        <v>Main Processor CPU BGA</v>
      </c>
      <c r="N853" s="17" t="n">
        <v>1</v>
      </c>
      <c r="O853" s="17" t="str">
        <f aca="false">VLOOKUP(N853,Sheet2!G:H,2,0)</f>
        <v>Dead</v>
      </c>
      <c r="P853" s="17" t="n">
        <v>12</v>
      </c>
      <c r="Q853" s="17" t="str">
        <f aca="false">VLOOKUP(P853,Sheet2!J:K,2,0)</f>
        <v>IR Declared due to Others ( IR Normal)TB</v>
      </c>
      <c r="R853" s="17" t="s">
        <v>35</v>
      </c>
      <c r="S853" s="17" t="str">
        <f aca="false">VLOOKUP(R853,Sheet2!N:O,2,0)</f>
        <v>IREPARABLE</v>
      </c>
      <c r="T853" s="18" t="str">
        <f aca="false">VLOOKUP(P853,Sheet2!Q:R,2,0)</f>
        <v>IR Normal - BER to IR</v>
      </c>
      <c r="U853" s="20" t="s">
        <v>135</v>
      </c>
      <c r="V853" s="17" t="n">
        <v>12</v>
      </c>
      <c r="W853" s="20" t="str">
        <f aca="false">VLOOKUP(V853,Sheet2!Q:R,2,0)</f>
        <v>IR Normal - BER to IR</v>
      </c>
      <c r="X853" s="17" t="str">
        <f aca="false">J853</f>
        <v>A018</v>
      </c>
      <c r="Y853" s="17" t="str">
        <f aca="false">VLOOKUP(X853,Sheet2!A:B,2,0)</f>
        <v>PRAKASH CHAVDA</v>
      </c>
      <c r="Z853" s="17" t="s">
        <v>141</v>
      </c>
      <c r="AA853" s="17" t="s">
        <v>449</v>
      </c>
      <c r="AB853" s="17" t="s">
        <v>41</v>
      </c>
      <c r="AC853" s="0" t="str">
        <f aca="false">LEFT(G853,2)</f>
        <v>98</v>
      </c>
      <c r="AD853" s="0"/>
      <c r="AE853" s="21" t="s">
        <v>42</v>
      </c>
    </row>
    <row r="854" customFormat="false" ht="15" hidden="false" customHeight="false" outlineLevel="0" collapsed="false">
      <c r="A854" s="13" t="n">
        <f aca="false">1+A853</f>
        <v>852</v>
      </c>
      <c r="B854" s="17" t="n">
        <v>1006161867</v>
      </c>
      <c r="C854" s="17" t="s">
        <v>433</v>
      </c>
      <c r="D854" s="17" t="s">
        <v>196</v>
      </c>
      <c r="E854" s="17" t="s">
        <v>47</v>
      </c>
      <c r="F854" s="18" t="s">
        <v>34</v>
      </c>
      <c r="G854" s="19" t="n">
        <v>986016110231</v>
      </c>
      <c r="H854" s="17" t="s">
        <v>134</v>
      </c>
      <c r="I854" s="17" t="s">
        <v>44</v>
      </c>
      <c r="J854" s="17" t="s">
        <v>106</v>
      </c>
      <c r="K854" s="17" t="str">
        <f aca="false">VLOOKUP(J854,Sheet2!A:B,2,0)</f>
        <v>PRAKASH CHAVDA</v>
      </c>
      <c r="L854" s="17" t="n">
        <v>5</v>
      </c>
      <c r="M854" s="17" t="str">
        <f aca="false">VLOOKUP(L854,Sheet2!D:E,2,0)</f>
        <v>Main Processor CPU BGA</v>
      </c>
      <c r="N854" s="17" t="n">
        <v>1</v>
      </c>
      <c r="O854" s="17" t="str">
        <f aca="false">VLOOKUP(N854,Sheet2!G:H,2,0)</f>
        <v>Dead</v>
      </c>
      <c r="P854" s="17" t="n">
        <v>12</v>
      </c>
      <c r="Q854" s="17" t="str">
        <f aca="false">VLOOKUP(P854,Sheet2!J:K,2,0)</f>
        <v>IR Declared due to Others ( IR Normal)TB</v>
      </c>
      <c r="R854" s="17" t="s">
        <v>35</v>
      </c>
      <c r="S854" s="17" t="str">
        <f aca="false">VLOOKUP(R854,Sheet2!N:O,2,0)</f>
        <v>IREPARABLE</v>
      </c>
      <c r="T854" s="18" t="str">
        <f aca="false">VLOOKUP(P854,Sheet2!Q:R,2,0)</f>
        <v>IR Normal - BER to IR</v>
      </c>
      <c r="U854" s="20" t="s">
        <v>135</v>
      </c>
      <c r="V854" s="17" t="n">
        <v>12</v>
      </c>
      <c r="W854" s="20" t="str">
        <f aca="false">VLOOKUP(V854,Sheet2!Q:R,2,0)</f>
        <v>IR Normal - BER to IR</v>
      </c>
      <c r="X854" s="17" t="str">
        <f aca="false">J854</f>
        <v>A018</v>
      </c>
      <c r="Y854" s="17" t="str">
        <f aca="false">VLOOKUP(X854,Sheet2!A:B,2,0)</f>
        <v>PRAKASH CHAVDA</v>
      </c>
      <c r="Z854" s="17" t="s">
        <v>141</v>
      </c>
      <c r="AA854" s="17" t="s">
        <v>449</v>
      </c>
      <c r="AB854" s="17" t="s">
        <v>41</v>
      </c>
      <c r="AC854" s="0" t="str">
        <f aca="false">LEFT(G854,2)</f>
        <v>98</v>
      </c>
      <c r="AD854" s="0"/>
      <c r="AE854" s="21" t="s">
        <v>42</v>
      </c>
    </row>
    <row r="855" customFormat="false" ht="15" hidden="false" customHeight="false" outlineLevel="0" collapsed="false">
      <c r="A855" s="13" t="n">
        <f aca="false">1+A854</f>
        <v>853</v>
      </c>
      <c r="B855" s="17" t="n">
        <v>1009663397</v>
      </c>
      <c r="C855" s="17" t="s">
        <v>433</v>
      </c>
      <c r="D855" s="17" t="s">
        <v>78</v>
      </c>
      <c r="E855" s="17" t="s">
        <v>47</v>
      </c>
      <c r="F855" s="18" t="s">
        <v>34</v>
      </c>
      <c r="G855" s="19" t="n">
        <v>986237126438</v>
      </c>
      <c r="H855" s="17" t="s">
        <v>134</v>
      </c>
      <c r="I855" s="17" t="s">
        <v>44</v>
      </c>
      <c r="J855" s="17" t="s">
        <v>106</v>
      </c>
      <c r="K855" s="17" t="str">
        <f aca="false">VLOOKUP(J855,Sheet2!A:B,2,0)</f>
        <v>PRAKASH CHAVDA</v>
      </c>
      <c r="L855" s="17" t="n">
        <v>5</v>
      </c>
      <c r="M855" s="17" t="str">
        <f aca="false">VLOOKUP(L855,Sheet2!D:E,2,0)</f>
        <v>Main Processor CPU BGA</v>
      </c>
      <c r="N855" s="17" t="n">
        <v>1</v>
      </c>
      <c r="O855" s="17" t="str">
        <f aca="false">VLOOKUP(N855,Sheet2!G:H,2,0)</f>
        <v>Dead</v>
      </c>
      <c r="P855" s="17" t="n">
        <v>12</v>
      </c>
      <c r="Q855" s="17" t="str">
        <f aca="false">VLOOKUP(P855,Sheet2!J:K,2,0)</f>
        <v>IR Declared due to Others ( IR Normal)TB</v>
      </c>
      <c r="R855" s="17" t="s">
        <v>35</v>
      </c>
      <c r="S855" s="17" t="str">
        <f aca="false">VLOOKUP(R855,Sheet2!N:O,2,0)</f>
        <v>IREPARABLE</v>
      </c>
      <c r="T855" s="18" t="str">
        <f aca="false">VLOOKUP(P855,Sheet2!Q:R,2,0)</f>
        <v>IR Normal - BER to IR</v>
      </c>
      <c r="U855" s="20" t="s">
        <v>135</v>
      </c>
      <c r="V855" s="17" t="n">
        <v>12</v>
      </c>
      <c r="W855" s="20" t="str">
        <f aca="false">VLOOKUP(V855,Sheet2!Q:R,2,0)</f>
        <v>IR Normal - BER to IR</v>
      </c>
      <c r="X855" s="17" t="str">
        <f aca="false">J855</f>
        <v>A018</v>
      </c>
      <c r="Y855" s="17" t="str">
        <f aca="false">VLOOKUP(X855,Sheet2!A:B,2,0)</f>
        <v>PRAKASH CHAVDA</v>
      </c>
      <c r="Z855" s="17" t="s">
        <v>141</v>
      </c>
      <c r="AA855" s="17" t="s">
        <v>449</v>
      </c>
      <c r="AB855" s="17" t="s">
        <v>41</v>
      </c>
      <c r="AC855" s="0" t="str">
        <f aca="false">LEFT(G855,2)</f>
        <v>98</v>
      </c>
      <c r="AD855" s="0"/>
      <c r="AE855" s="21" t="s">
        <v>42</v>
      </c>
    </row>
    <row r="856" customFormat="false" ht="15" hidden="false" customHeight="false" outlineLevel="0" collapsed="false">
      <c r="A856" s="13" t="n">
        <f aca="false">1+A855</f>
        <v>854</v>
      </c>
      <c r="B856" s="17" t="n">
        <v>1009613521</v>
      </c>
      <c r="C856" s="17" t="s">
        <v>184</v>
      </c>
      <c r="D856" s="17" t="s">
        <v>56</v>
      </c>
      <c r="E856" s="17" t="s">
        <v>91</v>
      </c>
      <c r="F856" s="18" t="s">
        <v>92</v>
      </c>
      <c r="G856" s="19" t="n">
        <v>987255216937</v>
      </c>
      <c r="H856" s="17" t="s">
        <v>134</v>
      </c>
      <c r="I856" s="17" t="s">
        <v>44</v>
      </c>
      <c r="J856" s="17" t="s">
        <v>106</v>
      </c>
      <c r="K856" s="17" t="str">
        <f aca="false">VLOOKUP(J856,Sheet2!A:B,2,0)</f>
        <v>PRAKASH CHAVDA</v>
      </c>
      <c r="L856" s="17" t="n">
        <v>5</v>
      </c>
      <c r="M856" s="17" t="str">
        <f aca="false">VLOOKUP(L856,Sheet2!D:E,2,0)</f>
        <v>Main Processor CPU BGA</v>
      </c>
      <c r="N856" s="17" t="n">
        <v>24</v>
      </c>
      <c r="O856" s="17" t="str">
        <f aca="false">VLOOKUP(N856,Sheet2!G:H,2,0)</f>
        <v>STB Auto moving -Stand by mode</v>
      </c>
      <c r="P856" s="17" t="n">
        <v>12</v>
      </c>
      <c r="Q856" s="17" t="str">
        <f aca="false">VLOOKUP(P856,Sheet2!J:K,2,0)</f>
        <v>IR Declared due to Others ( IR Normal)TB</v>
      </c>
      <c r="R856" s="17" t="s">
        <v>35</v>
      </c>
      <c r="S856" s="17" t="str">
        <f aca="false">VLOOKUP(R856,Sheet2!N:O,2,0)</f>
        <v>IREPARABLE</v>
      </c>
      <c r="T856" s="18" t="str">
        <f aca="false">VLOOKUP(P856,Sheet2!Q:R,2,0)</f>
        <v>IR Normal - BER to IR</v>
      </c>
      <c r="U856" s="20" t="s">
        <v>135</v>
      </c>
      <c r="V856" s="17" t="n">
        <v>12</v>
      </c>
      <c r="W856" s="20" t="str">
        <f aca="false">VLOOKUP(V856,Sheet2!Q:R,2,0)</f>
        <v>IR Normal - BER to IR</v>
      </c>
      <c r="X856" s="17" t="str">
        <f aca="false">J856</f>
        <v>A018</v>
      </c>
      <c r="Y856" s="17" t="str">
        <f aca="false">VLOOKUP(X856,Sheet2!A:B,2,0)</f>
        <v>PRAKASH CHAVDA</v>
      </c>
      <c r="Z856" s="17" t="s">
        <v>141</v>
      </c>
      <c r="AA856" s="17" t="s">
        <v>449</v>
      </c>
      <c r="AB856" s="17" t="s">
        <v>41</v>
      </c>
      <c r="AC856" s="0" t="str">
        <f aca="false">LEFT(G856,2)</f>
        <v>98</v>
      </c>
      <c r="AD856" s="0"/>
      <c r="AE856" s="21" t="s">
        <v>42</v>
      </c>
    </row>
    <row r="857" customFormat="false" ht="15" hidden="false" customHeight="false" outlineLevel="0" collapsed="false">
      <c r="A857" s="13" t="n">
        <f aca="false">1+A856</f>
        <v>855</v>
      </c>
      <c r="B857" s="17" t="n">
        <v>1009662859</v>
      </c>
      <c r="C857" s="17" t="s">
        <v>433</v>
      </c>
      <c r="D857" s="17" t="s">
        <v>64</v>
      </c>
      <c r="E857" s="17" t="s">
        <v>64</v>
      </c>
      <c r="F857" s="18" t="s">
        <v>70</v>
      </c>
      <c r="G857" s="19" t="n">
        <v>985286278199</v>
      </c>
      <c r="H857" s="17" t="s">
        <v>134</v>
      </c>
      <c r="I857" s="17" t="s">
        <v>44</v>
      </c>
      <c r="J857" s="17" t="s">
        <v>106</v>
      </c>
      <c r="K857" s="17" t="str">
        <f aca="false">VLOOKUP(J857,Sheet2!A:B,2,0)</f>
        <v>PRAKASH CHAVDA</v>
      </c>
      <c r="L857" s="17" t="n">
        <v>5</v>
      </c>
      <c r="M857" s="17" t="str">
        <f aca="false">VLOOKUP(L857,Sheet2!D:E,2,0)</f>
        <v>Main Processor CPU BGA</v>
      </c>
      <c r="N857" s="17" t="n">
        <v>1</v>
      </c>
      <c r="O857" s="17" t="str">
        <f aca="false">VLOOKUP(N857,Sheet2!G:H,2,0)</f>
        <v>Dead</v>
      </c>
      <c r="P857" s="17" t="n">
        <v>12</v>
      </c>
      <c r="Q857" s="17" t="str">
        <f aca="false">VLOOKUP(P857,Sheet2!J:K,2,0)</f>
        <v>IR Declared due to Others ( IR Normal)TB</v>
      </c>
      <c r="R857" s="17" t="s">
        <v>35</v>
      </c>
      <c r="S857" s="17" t="str">
        <f aca="false">VLOOKUP(R857,Sheet2!N:O,2,0)</f>
        <v>IREPARABLE</v>
      </c>
      <c r="T857" s="18" t="str">
        <f aca="false">VLOOKUP(P857,Sheet2!Q:R,2,0)</f>
        <v>IR Normal - BER to IR</v>
      </c>
      <c r="U857" s="20" t="s">
        <v>135</v>
      </c>
      <c r="V857" s="17" t="n">
        <v>12</v>
      </c>
      <c r="W857" s="20" t="str">
        <f aca="false">VLOOKUP(V857,Sheet2!Q:R,2,0)</f>
        <v>IR Normal - BER to IR</v>
      </c>
      <c r="X857" s="17" t="str">
        <f aca="false">J857</f>
        <v>A018</v>
      </c>
      <c r="Y857" s="17" t="str">
        <f aca="false">VLOOKUP(X857,Sheet2!A:B,2,0)</f>
        <v>PRAKASH CHAVDA</v>
      </c>
      <c r="Z857" s="17" t="s">
        <v>141</v>
      </c>
      <c r="AA857" s="17" t="s">
        <v>449</v>
      </c>
      <c r="AB857" s="17" t="s">
        <v>41</v>
      </c>
      <c r="AC857" s="0" t="str">
        <f aca="false">LEFT(G857,2)</f>
        <v>98</v>
      </c>
      <c r="AD857" s="0"/>
      <c r="AE857" s="21" t="s">
        <v>42</v>
      </c>
    </row>
    <row r="858" customFormat="false" ht="15" hidden="false" customHeight="false" outlineLevel="0" collapsed="false">
      <c r="A858" s="13" t="n">
        <f aca="false">1+A857</f>
        <v>856</v>
      </c>
      <c r="B858" s="17" t="n">
        <v>1008682100</v>
      </c>
      <c r="C858" s="17" t="s">
        <v>470</v>
      </c>
      <c r="D858" s="17" t="s">
        <v>64</v>
      </c>
      <c r="E858" s="17" t="s">
        <v>47</v>
      </c>
      <c r="F858" s="18" t="s">
        <v>34</v>
      </c>
      <c r="G858" s="19" t="n">
        <v>987243244363</v>
      </c>
      <c r="H858" s="17" t="s">
        <v>134</v>
      </c>
      <c r="I858" s="17" t="s">
        <v>44</v>
      </c>
      <c r="J858" s="17" t="s">
        <v>106</v>
      </c>
      <c r="K858" s="17" t="str">
        <f aca="false">VLOOKUP(J858,Sheet2!A:B,2,0)</f>
        <v>PRAKASH CHAVDA</v>
      </c>
      <c r="L858" s="17" t="n">
        <v>5</v>
      </c>
      <c r="M858" s="17" t="str">
        <f aca="false">VLOOKUP(L858,Sheet2!D:E,2,0)</f>
        <v>Main Processor CPU BGA</v>
      </c>
      <c r="N858" s="17" t="n">
        <v>1</v>
      </c>
      <c r="O858" s="17" t="str">
        <f aca="false">VLOOKUP(N858,Sheet2!G:H,2,0)</f>
        <v>Dead</v>
      </c>
      <c r="P858" s="17" t="n">
        <v>12</v>
      </c>
      <c r="Q858" s="17" t="str">
        <f aca="false">VLOOKUP(P858,Sheet2!J:K,2,0)</f>
        <v>IR Declared due to Others ( IR Normal)TB</v>
      </c>
      <c r="R858" s="17" t="s">
        <v>35</v>
      </c>
      <c r="S858" s="17" t="str">
        <f aca="false">VLOOKUP(R858,Sheet2!N:O,2,0)</f>
        <v>IREPARABLE</v>
      </c>
      <c r="T858" s="18" t="str">
        <f aca="false">VLOOKUP(P858,Sheet2!Q:R,2,0)</f>
        <v>IR Normal - BER to IR</v>
      </c>
      <c r="U858" s="20" t="s">
        <v>135</v>
      </c>
      <c r="V858" s="17" t="n">
        <v>12</v>
      </c>
      <c r="W858" s="20" t="str">
        <f aca="false">VLOOKUP(V858,Sheet2!Q:R,2,0)</f>
        <v>IR Normal - BER to IR</v>
      </c>
      <c r="X858" s="17" t="str">
        <f aca="false">J858</f>
        <v>A018</v>
      </c>
      <c r="Y858" s="17" t="str">
        <f aca="false">VLOOKUP(X858,Sheet2!A:B,2,0)</f>
        <v>PRAKASH CHAVDA</v>
      </c>
      <c r="Z858" s="17" t="s">
        <v>141</v>
      </c>
      <c r="AA858" s="17" t="s">
        <v>449</v>
      </c>
      <c r="AB858" s="17" t="s">
        <v>41</v>
      </c>
      <c r="AC858" s="0" t="str">
        <f aca="false">LEFT(G858,2)</f>
        <v>98</v>
      </c>
      <c r="AD858" s="0"/>
      <c r="AE858" s="21" t="s">
        <v>42</v>
      </c>
    </row>
    <row r="859" customFormat="false" ht="15" hidden="false" customHeight="false" outlineLevel="0" collapsed="false">
      <c r="A859" s="13" t="n">
        <f aca="false">1+A858</f>
        <v>857</v>
      </c>
      <c r="B859" s="17" t="n">
        <v>1009549834</v>
      </c>
      <c r="C859" s="17" t="s">
        <v>126</v>
      </c>
      <c r="D859" s="17" t="s">
        <v>64</v>
      </c>
      <c r="E859" s="17" t="s">
        <v>64</v>
      </c>
      <c r="F859" s="18" t="s">
        <v>70</v>
      </c>
      <c r="G859" s="19" t="n">
        <v>987199124338</v>
      </c>
      <c r="H859" s="17" t="s">
        <v>134</v>
      </c>
      <c r="I859" s="17" t="s">
        <v>44</v>
      </c>
      <c r="J859" s="17" t="s">
        <v>106</v>
      </c>
      <c r="K859" s="17" t="str">
        <f aca="false">VLOOKUP(J859,Sheet2!A:B,2,0)</f>
        <v>PRAKASH CHAVDA</v>
      </c>
      <c r="L859" s="17" t="n">
        <v>5</v>
      </c>
      <c r="M859" s="17" t="str">
        <f aca="false">VLOOKUP(L859,Sheet2!D:E,2,0)</f>
        <v>Main Processor CPU BGA</v>
      </c>
      <c r="N859" s="17" t="n">
        <v>24</v>
      </c>
      <c r="O859" s="17" t="str">
        <f aca="false">VLOOKUP(N859,Sheet2!G:H,2,0)</f>
        <v>STB Auto moving -Stand by mode</v>
      </c>
      <c r="P859" s="17" t="n">
        <v>12</v>
      </c>
      <c r="Q859" s="17" t="str">
        <f aca="false">VLOOKUP(P859,Sheet2!J:K,2,0)</f>
        <v>IR Declared due to Others ( IR Normal)TB</v>
      </c>
      <c r="R859" s="17" t="s">
        <v>35</v>
      </c>
      <c r="S859" s="17" t="str">
        <f aca="false">VLOOKUP(R859,Sheet2!N:O,2,0)</f>
        <v>IREPARABLE</v>
      </c>
      <c r="T859" s="18" t="str">
        <f aca="false">VLOOKUP(P859,Sheet2!Q:R,2,0)</f>
        <v>IR Normal - BER to IR</v>
      </c>
      <c r="U859" s="20" t="s">
        <v>135</v>
      </c>
      <c r="V859" s="17" t="n">
        <v>12</v>
      </c>
      <c r="W859" s="20" t="str">
        <f aca="false">VLOOKUP(V859,Sheet2!Q:R,2,0)</f>
        <v>IR Normal - BER to IR</v>
      </c>
      <c r="X859" s="17" t="str">
        <f aca="false">J859</f>
        <v>A018</v>
      </c>
      <c r="Y859" s="17" t="str">
        <f aca="false">VLOOKUP(X859,Sheet2!A:B,2,0)</f>
        <v>PRAKASH CHAVDA</v>
      </c>
      <c r="Z859" s="17" t="s">
        <v>141</v>
      </c>
      <c r="AA859" s="17" t="s">
        <v>449</v>
      </c>
      <c r="AB859" s="17" t="s">
        <v>41</v>
      </c>
      <c r="AC859" s="0" t="str">
        <f aca="false">LEFT(G859,2)</f>
        <v>98</v>
      </c>
      <c r="AD859" s="0"/>
      <c r="AE859" s="21" t="s">
        <v>42</v>
      </c>
    </row>
    <row r="860" customFormat="false" ht="15" hidden="false" customHeight="false" outlineLevel="0" collapsed="false">
      <c r="A860" s="13" t="n">
        <f aca="false">1+A859</f>
        <v>858</v>
      </c>
      <c r="B860" s="17" t="n">
        <v>1009505033</v>
      </c>
      <c r="C860" s="17" t="s">
        <v>95</v>
      </c>
      <c r="D860" s="17" t="s">
        <v>64</v>
      </c>
      <c r="E860" s="17" t="s">
        <v>64</v>
      </c>
      <c r="F860" s="18" t="s">
        <v>70</v>
      </c>
      <c r="G860" s="19" t="n">
        <v>775342207559</v>
      </c>
      <c r="H860" s="17" t="s">
        <v>134</v>
      </c>
      <c r="I860" s="17" t="s">
        <v>69</v>
      </c>
      <c r="J860" s="17" t="s">
        <v>106</v>
      </c>
      <c r="K860" s="17" t="str">
        <f aca="false">VLOOKUP(J860,Sheet2!A:B,2,0)</f>
        <v>PRAKASH CHAVDA</v>
      </c>
      <c r="L860" s="17" t="n">
        <v>5</v>
      </c>
      <c r="M860" s="17" t="str">
        <f aca="false">VLOOKUP(L860,Sheet2!D:E,2,0)</f>
        <v>Main Processor CPU BGA</v>
      </c>
      <c r="N860" s="17" t="n">
        <v>24</v>
      </c>
      <c r="O860" s="17" t="str">
        <f aca="false">VLOOKUP(N860,Sheet2!G:H,2,0)</f>
        <v>STB Auto moving -Stand by mode</v>
      </c>
      <c r="P860" s="17" t="n">
        <v>12</v>
      </c>
      <c r="Q860" s="17" t="str">
        <f aca="false">VLOOKUP(P860,Sheet2!J:K,2,0)</f>
        <v>IR Declared due to Others ( IR Normal)TB</v>
      </c>
      <c r="R860" s="17" t="s">
        <v>35</v>
      </c>
      <c r="S860" s="17" t="str">
        <f aca="false">VLOOKUP(R860,Sheet2!N:O,2,0)</f>
        <v>IREPARABLE</v>
      </c>
      <c r="T860" s="18" t="str">
        <f aca="false">VLOOKUP(P860,Sheet2!Q:R,2,0)</f>
        <v>IR Normal - BER to IR</v>
      </c>
      <c r="U860" s="20" t="s">
        <v>135</v>
      </c>
      <c r="V860" s="17" t="n">
        <v>12</v>
      </c>
      <c r="W860" s="20" t="str">
        <f aca="false">VLOOKUP(V860,Sheet2!Q:R,2,0)</f>
        <v>IR Normal - BER to IR</v>
      </c>
      <c r="X860" s="17" t="str">
        <f aca="false">J860</f>
        <v>A018</v>
      </c>
      <c r="Y860" s="17" t="str">
        <f aca="false">VLOOKUP(X860,Sheet2!A:B,2,0)</f>
        <v>PRAKASH CHAVDA</v>
      </c>
      <c r="Z860" s="17" t="s">
        <v>136</v>
      </c>
      <c r="AA860" s="17" t="s">
        <v>449</v>
      </c>
      <c r="AB860" s="17" t="s">
        <v>41</v>
      </c>
      <c r="AC860" s="0" t="str">
        <f aca="false">LEFT(G860,2)</f>
        <v>77</v>
      </c>
      <c r="AD860" s="0"/>
      <c r="AE860" s="21" t="s">
        <v>42</v>
      </c>
    </row>
    <row r="861" customFormat="false" ht="15" hidden="false" customHeight="false" outlineLevel="0" collapsed="false">
      <c r="A861" s="13" t="n">
        <f aca="false">1+A860</f>
        <v>859</v>
      </c>
      <c r="B861" s="17" t="n">
        <v>1009571727</v>
      </c>
      <c r="C861" s="17" t="s">
        <v>104</v>
      </c>
      <c r="D861" s="17" t="s">
        <v>64</v>
      </c>
      <c r="E861" s="17" t="s">
        <v>64</v>
      </c>
      <c r="F861" s="18" t="s">
        <v>70</v>
      </c>
      <c r="G861" s="19" t="n">
        <v>775181012946</v>
      </c>
      <c r="H861" s="17" t="s">
        <v>134</v>
      </c>
      <c r="I861" s="17" t="s">
        <v>69</v>
      </c>
      <c r="J861" s="17" t="s">
        <v>106</v>
      </c>
      <c r="K861" s="17" t="str">
        <f aca="false">VLOOKUP(J861,Sheet2!A:B,2,0)</f>
        <v>PRAKASH CHAVDA</v>
      </c>
      <c r="L861" s="17" t="n">
        <v>5</v>
      </c>
      <c r="M861" s="17" t="str">
        <f aca="false">VLOOKUP(L861,Sheet2!D:E,2,0)</f>
        <v>Main Processor CPU BGA</v>
      </c>
      <c r="N861" s="17" t="n">
        <v>24</v>
      </c>
      <c r="O861" s="17" t="str">
        <f aca="false">VLOOKUP(N861,Sheet2!G:H,2,0)</f>
        <v>STB Auto moving -Stand by mode</v>
      </c>
      <c r="P861" s="17" t="n">
        <v>12</v>
      </c>
      <c r="Q861" s="17" t="str">
        <f aca="false">VLOOKUP(P861,Sheet2!J:K,2,0)</f>
        <v>IR Declared due to Others ( IR Normal)TB</v>
      </c>
      <c r="R861" s="17" t="s">
        <v>35</v>
      </c>
      <c r="S861" s="17" t="str">
        <f aca="false">VLOOKUP(R861,Sheet2!N:O,2,0)</f>
        <v>IREPARABLE</v>
      </c>
      <c r="T861" s="18" t="str">
        <f aca="false">VLOOKUP(P861,Sheet2!Q:R,2,0)</f>
        <v>IR Normal - BER to IR</v>
      </c>
      <c r="U861" s="20" t="s">
        <v>135</v>
      </c>
      <c r="V861" s="17" t="n">
        <v>12</v>
      </c>
      <c r="W861" s="20" t="str">
        <f aca="false">VLOOKUP(V861,Sheet2!Q:R,2,0)</f>
        <v>IR Normal - BER to IR</v>
      </c>
      <c r="X861" s="17" t="str">
        <f aca="false">J861</f>
        <v>A018</v>
      </c>
      <c r="Y861" s="17" t="str">
        <f aca="false">VLOOKUP(X861,Sheet2!A:B,2,0)</f>
        <v>PRAKASH CHAVDA</v>
      </c>
      <c r="Z861" s="17" t="s">
        <v>136</v>
      </c>
      <c r="AA861" s="17" t="s">
        <v>449</v>
      </c>
      <c r="AB861" s="17" t="s">
        <v>41</v>
      </c>
      <c r="AC861" s="0" t="str">
        <f aca="false">LEFT(G861,2)</f>
        <v>77</v>
      </c>
      <c r="AD861" s="0"/>
      <c r="AE861" s="21" t="s">
        <v>42</v>
      </c>
    </row>
    <row r="862" customFormat="false" ht="15" hidden="false" customHeight="false" outlineLevel="0" collapsed="false">
      <c r="A862" s="13" t="n">
        <f aca="false">1+A861</f>
        <v>860</v>
      </c>
      <c r="B862" s="17" t="n">
        <v>1009534226</v>
      </c>
      <c r="C862" s="17" t="s">
        <v>311</v>
      </c>
      <c r="D862" s="17" t="s">
        <v>64</v>
      </c>
      <c r="E862" s="17" t="s">
        <v>114</v>
      </c>
      <c r="F862" s="18" t="s">
        <v>34</v>
      </c>
      <c r="G862" s="19" t="n">
        <v>774302116082</v>
      </c>
      <c r="H862" s="17" t="s">
        <v>134</v>
      </c>
      <c r="I862" s="17" t="s">
        <v>69</v>
      </c>
      <c r="J862" s="17" t="s">
        <v>106</v>
      </c>
      <c r="K862" s="17" t="str">
        <f aca="false">VLOOKUP(J862,Sheet2!A:B,2,0)</f>
        <v>PRAKASH CHAVDA</v>
      </c>
      <c r="L862" s="17" t="n">
        <v>5</v>
      </c>
      <c r="M862" s="17" t="str">
        <f aca="false">VLOOKUP(L862,Sheet2!D:E,2,0)</f>
        <v>Main Processor CPU BGA</v>
      </c>
      <c r="N862" s="17" t="n">
        <v>1</v>
      </c>
      <c r="O862" s="17" t="str">
        <f aca="false">VLOOKUP(N862,Sheet2!G:H,2,0)</f>
        <v>Dead</v>
      </c>
      <c r="P862" s="17" t="n">
        <v>12</v>
      </c>
      <c r="Q862" s="17" t="str">
        <f aca="false">VLOOKUP(P862,Sheet2!J:K,2,0)</f>
        <v>IR Declared due to Others ( IR Normal)TB</v>
      </c>
      <c r="R862" s="17" t="s">
        <v>35</v>
      </c>
      <c r="S862" s="17" t="str">
        <f aca="false">VLOOKUP(R862,Sheet2!N:O,2,0)</f>
        <v>IREPARABLE</v>
      </c>
      <c r="T862" s="18" t="str">
        <f aca="false">VLOOKUP(P862,Sheet2!Q:R,2,0)</f>
        <v>IR Normal - BER to IR</v>
      </c>
      <c r="U862" s="20" t="s">
        <v>135</v>
      </c>
      <c r="V862" s="17" t="n">
        <v>12</v>
      </c>
      <c r="W862" s="20" t="str">
        <f aca="false">VLOOKUP(V862,Sheet2!Q:R,2,0)</f>
        <v>IR Normal - BER to IR</v>
      </c>
      <c r="X862" s="17" t="str">
        <f aca="false">J862</f>
        <v>A018</v>
      </c>
      <c r="Y862" s="17" t="str">
        <f aca="false">VLOOKUP(X862,Sheet2!A:B,2,0)</f>
        <v>PRAKASH CHAVDA</v>
      </c>
      <c r="Z862" s="17" t="s">
        <v>136</v>
      </c>
      <c r="AA862" s="17" t="s">
        <v>449</v>
      </c>
      <c r="AB862" s="17" t="s">
        <v>41</v>
      </c>
      <c r="AC862" s="0" t="str">
        <f aca="false">LEFT(G862,2)</f>
        <v>77</v>
      </c>
      <c r="AD862" s="0"/>
      <c r="AE862" s="21" t="s">
        <v>42</v>
      </c>
    </row>
    <row r="863" customFormat="false" ht="15" hidden="false" customHeight="false" outlineLevel="0" collapsed="false">
      <c r="A863" s="13" t="n">
        <f aca="false">1+A862</f>
        <v>861</v>
      </c>
      <c r="B863" s="17" t="n">
        <v>1009530029</v>
      </c>
      <c r="C863" s="17" t="s">
        <v>174</v>
      </c>
      <c r="D863" s="17" t="s">
        <v>60</v>
      </c>
      <c r="E863" s="17" t="s">
        <v>33</v>
      </c>
      <c r="F863" s="18" t="s">
        <v>34</v>
      </c>
      <c r="G863" s="19" t="n">
        <v>775328156911</v>
      </c>
      <c r="H863" s="17" t="s">
        <v>134</v>
      </c>
      <c r="I863" s="17" t="s">
        <v>69</v>
      </c>
      <c r="J863" s="17" t="s">
        <v>106</v>
      </c>
      <c r="K863" s="17" t="str">
        <f aca="false">VLOOKUP(J863,Sheet2!A:B,2,0)</f>
        <v>PRAKASH CHAVDA</v>
      </c>
      <c r="L863" s="17" t="n">
        <v>5</v>
      </c>
      <c r="M863" s="17" t="str">
        <f aca="false">VLOOKUP(L863,Sheet2!D:E,2,0)</f>
        <v>Main Processor CPU BGA</v>
      </c>
      <c r="N863" s="17" t="n">
        <v>1</v>
      </c>
      <c r="O863" s="17" t="str">
        <f aca="false">VLOOKUP(N863,Sheet2!G:H,2,0)</f>
        <v>Dead</v>
      </c>
      <c r="P863" s="17" t="n">
        <v>12</v>
      </c>
      <c r="Q863" s="17" t="str">
        <f aca="false">VLOOKUP(P863,Sheet2!J:K,2,0)</f>
        <v>IR Declared due to Others ( IR Normal)TB</v>
      </c>
      <c r="R863" s="17" t="s">
        <v>35</v>
      </c>
      <c r="S863" s="17" t="str">
        <f aca="false">VLOOKUP(R863,Sheet2!N:O,2,0)</f>
        <v>IREPARABLE</v>
      </c>
      <c r="T863" s="18" t="str">
        <f aca="false">VLOOKUP(P863,Sheet2!Q:R,2,0)</f>
        <v>IR Normal - BER to IR</v>
      </c>
      <c r="U863" s="20" t="s">
        <v>135</v>
      </c>
      <c r="V863" s="17" t="n">
        <v>12</v>
      </c>
      <c r="W863" s="20" t="str">
        <f aca="false">VLOOKUP(V863,Sheet2!Q:R,2,0)</f>
        <v>IR Normal - BER to IR</v>
      </c>
      <c r="X863" s="17" t="str">
        <f aca="false">J863</f>
        <v>A018</v>
      </c>
      <c r="Y863" s="17" t="str">
        <f aca="false">VLOOKUP(X863,Sheet2!A:B,2,0)</f>
        <v>PRAKASH CHAVDA</v>
      </c>
      <c r="Z863" s="17" t="s">
        <v>136</v>
      </c>
      <c r="AA863" s="17" t="s">
        <v>449</v>
      </c>
      <c r="AB863" s="17" t="s">
        <v>41</v>
      </c>
      <c r="AC863" s="0" t="str">
        <f aca="false">LEFT(G863,2)</f>
        <v>77</v>
      </c>
      <c r="AD863" s="0"/>
      <c r="AE863" s="21" t="s">
        <v>42</v>
      </c>
    </row>
    <row r="864" customFormat="false" ht="15" hidden="false" customHeight="false" outlineLevel="0" collapsed="false">
      <c r="A864" s="13" t="n">
        <f aca="false">1+A863</f>
        <v>862</v>
      </c>
      <c r="B864" s="17" t="n">
        <v>1009613358</v>
      </c>
      <c r="C864" s="17" t="s">
        <v>184</v>
      </c>
      <c r="D864" s="17" t="s">
        <v>64</v>
      </c>
      <c r="E864" s="17" t="s">
        <v>114</v>
      </c>
      <c r="F864" s="18" t="s">
        <v>34</v>
      </c>
      <c r="G864" s="19" t="n">
        <v>774338018534</v>
      </c>
      <c r="H864" s="17" t="s">
        <v>134</v>
      </c>
      <c r="I864" s="17" t="s">
        <v>69</v>
      </c>
      <c r="J864" s="17" t="s">
        <v>106</v>
      </c>
      <c r="K864" s="17" t="str">
        <f aca="false">VLOOKUP(J864,Sheet2!A:B,2,0)</f>
        <v>PRAKASH CHAVDA</v>
      </c>
      <c r="L864" s="17" t="n">
        <v>5</v>
      </c>
      <c r="M864" s="17" t="str">
        <f aca="false">VLOOKUP(L864,Sheet2!D:E,2,0)</f>
        <v>Main Processor CPU BGA</v>
      </c>
      <c r="N864" s="17" t="n">
        <v>9</v>
      </c>
      <c r="O864" s="17" t="str">
        <f aca="false">VLOOKUP(N864,Sheet2!G:H,2,0)</f>
        <v>No Audio - AV</v>
      </c>
      <c r="P864" s="17" t="n">
        <v>12</v>
      </c>
      <c r="Q864" s="17" t="str">
        <f aca="false">VLOOKUP(P864,Sheet2!J:K,2,0)</f>
        <v>IR Declared due to Others ( IR Normal)TB</v>
      </c>
      <c r="R864" s="17" t="s">
        <v>35</v>
      </c>
      <c r="S864" s="17" t="str">
        <f aca="false">VLOOKUP(R864,Sheet2!N:O,2,0)</f>
        <v>IREPARABLE</v>
      </c>
      <c r="T864" s="18" t="str">
        <f aca="false">VLOOKUP(P864,Sheet2!Q:R,2,0)</f>
        <v>IR Normal - BER to IR</v>
      </c>
      <c r="U864" s="20" t="s">
        <v>135</v>
      </c>
      <c r="V864" s="17" t="n">
        <v>12</v>
      </c>
      <c r="W864" s="20" t="str">
        <f aca="false">VLOOKUP(V864,Sheet2!Q:R,2,0)</f>
        <v>IR Normal - BER to IR</v>
      </c>
      <c r="X864" s="17" t="str">
        <f aca="false">J864</f>
        <v>A018</v>
      </c>
      <c r="Y864" s="17" t="str">
        <f aca="false">VLOOKUP(X864,Sheet2!A:B,2,0)</f>
        <v>PRAKASH CHAVDA</v>
      </c>
      <c r="Z864" s="17" t="s">
        <v>136</v>
      </c>
      <c r="AA864" s="17" t="s">
        <v>449</v>
      </c>
      <c r="AB864" s="17" t="s">
        <v>41</v>
      </c>
      <c r="AC864" s="0" t="str">
        <f aca="false">LEFT(G864,2)</f>
        <v>77</v>
      </c>
      <c r="AD864" s="0"/>
      <c r="AE864" s="21" t="s">
        <v>42</v>
      </c>
    </row>
    <row r="865" customFormat="false" ht="15" hidden="false" customHeight="false" outlineLevel="0" collapsed="false">
      <c r="A865" s="13" t="n">
        <f aca="false">1+A864</f>
        <v>863</v>
      </c>
      <c r="B865" s="17" t="n">
        <v>1009646449</v>
      </c>
      <c r="C865" s="17" t="s">
        <v>204</v>
      </c>
      <c r="D865" s="17" t="s">
        <v>64</v>
      </c>
      <c r="E865" s="17" t="s">
        <v>64</v>
      </c>
      <c r="F865" s="18" t="s">
        <v>70</v>
      </c>
      <c r="G865" s="19" t="n">
        <v>774302138375</v>
      </c>
      <c r="H865" s="17" t="s">
        <v>134</v>
      </c>
      <c r="I865" s="17" t="s">
        <v>69</v>
      </c>
      <c r="J865" s="17" t="s">
        <v>106</v>
      </c>
      <c r="K865" s="17" t="str">
        <f aca="false">VLOOKUP(J865,Sheet2!A:B,2,0)</f>
        <v>PRAKASH CHAVDA</v>
      </c>
      <c r="L865" s="17" t="n">
        <v>5</v>
      </c>
      <c r="M865" s="17" t="str">
        <f aca="false">VLOOKUP(L865,Sheet2!D:E,2,0)</f>
        <v>Main Processor CPU BGA</v>
      </c>
      <c r="N865" s="17" t="n">
        <v>1</v>
      </c>
      <c r="O865" s="17" t="str">
        <f aca="false">VLOOKUP(N865,Sheet2!G:H,2,0)</f>
        <v>Dead</v>
      </c>
      <c r="P865" s="17" t="n">
        <v>12</v>
      </c>
      <c r="Q865" s="17" t="str">
        <f aca="false">VLOOKUP(P865,Sheet2!J:K,2,0)</f>
        <v>IR Declared due to Others ( IR Normal)TB</v>
      </c>
      <c r="R865" s="17" t="s">
        <v>35</v>
      </c>
      <c r="S865" s="17" t="str">
        <f aca="false">VLOOKUP(R865,Sheet2!N:O,2,0)</f>
        <v>IREPARABLE</v>
      </c>
      <c r="T865" s="18" t="str">
        <f aca="false">VLOOKUP(P865,Sheet2!Q:R,2,0)</f>
        <v>IR Normal - BER to IR</v>
      </c>
      <c r="U865" s="20" t="s">
        <v>135</v>
      </c>
      <c r="V865" s="17" t="n">
        <v>12</v>
      </c>
      <c r="W865" s="20" t="str">
        <f aca="false">VLOOKUP(V865,Sheet2!Q:R,2,0)</f>
        <v>IR Normal - BER to IR</v>
      </c>
      <c r="X865" s="17" t="str">
        <f aca="false">J865</f>
        <v>A018</v>
      </c>
      <c r="Y865" s="17" t="str">
        <f aca="false">VLOOKUP(X865,Sheet2!A:B,2,0)</f>
        <v>PRAKASH CHAVDA</v>
      </c>
      <c r="Z865" s="17" t="s">
        <v>136</v>
      </c>
      <c r="AA865" s="17" t="s">
        <v>449</v>
      </c>
      <c r="AB865" s="17" t="s">
        <v>41</v>
      </c>
      <c r="AC865" s="0" t="str">
        <f aca="false">LEFT(G865,2)</f>
        <v>77</v>
      </c>
      <c r="AD865" s="0"/>
      <c r="AE865" s="21" t="s">
        <v>42</v>
      </c>
    </row>
    <row r="866" customFormat="false" ht="15" hidden="false" customHeight="false" outlineLevel="0" collapsed="false">
      <c r="A866" s="13" t="n">
        <f aca="false">1+A865</f>
        <v>864</v>
      </c>
      <c r="B866" s="17" t="n">
        <v>1009622639</v>
      </c>
      <c r="C866" s="17" t="s">
        <v>184</v>
      </c>
      <c r="D866" s="17" t="s">
        <v>64</v>
      </c>
      <c r="E866" s="17" t="s">
        <v>64</v>
      </c>
      <c r="F866" s="18" t="s">
        <v>70</v>
      </c>
      <c r="G866" s="19" t="n">
        <v>774345058119</v>
      </c>
      <c r="H866" s="17" t="s">
        <v>134</v>
      </c>
      <c r="I866" s="17" t="s">
        <v>69</v>
      </c>
      <c r="J866" s="17" t="s">
        <v>106</v>
      </c>
      <c r="K866" s="17" t="str">
        <f aca="false">VLOOKUP(J866,Sheet2!A:B,2,0)</f>
        <v>PRAKASH CHAVDA</v>
      </c>
      <c r="L866" s="17" t="n">
        <v>5</v>
      </c>
      <c r="M866" s="17" t="str">
        <f aca="false">VLOOKUP(L866,Sheet2!D:E,2,0)</f>
        <v>Main Processor CPU BGA</v>
      </c>
      <c r="N866" s="17" t="n">
        <v>1</v>
      </c>
      <c r="O866" s="17" t="str">
        <f aca="false">VLOOKUP(N866,Sheet2!G:H,2,0)</f>
        <v>Dead</v>
      </c>
      <c r="P866" s="17" t="n">
        <v>12</v>
      </c>
      <c r="Q866" s="17" t="str">
        <f aca="false">VLOOKUP(P866,Sheet2!J:K,2,0)</f>
        <v>IR Declared due to Others ( IR Normal)TB</v>
      </c>
      <c r="R866" s="17" t="s">
        <v>35</v>
      </c>
      <c r="S866" s="17" t="str">
        <f aca="false">VLOOKUP(R866,Sheet2!N:O,2,0)</f>
        <v>IREPARABLE</v>
      </c>
      <c r="T866" s="18" t="str">
        <f aca="false">VLOOKUP(P866,Sheet2!Q:R,2,0)</f>
        <v>IR Normal - BER to IR</v>
      </c>
      <c r="U866" s="20" t="s">
        <v>135</v>
      </c>
      <c r="V866" s="17" t="n">
        <v>12</v>
      </c>
      <c r="W866" s="20" t="str">
        <f aca="false">VLOOKUP(V866,Sheet2!Q:R,2,0)</f>
        <v>IR Normal - BER to IR</v>
      </c>
      <c r="X866" s="17" t="str">
        <f aca="false">J866</f>
        <v>A018</v>
      </c>
      <c r="Y866" s="17" t="str">
        <f aca="false">VLOOKUP(X866,Sheet2!A:B,2,0)</f>
        <v>PRAKASH CHAVDA</v>
      </c>
      <c r="Z866" s="17" t="s">
        <v>136</v>
      </c>
      <c r="AA866" s="17" t="s">
        <v>449</v>
      </c>
      <c r="AB866" s="17" t="s">
        <v>41</v>
      </c>
      <c r="AC866" s="0" t="str">
        <f aca="false">LEFT(G866,2)</f>
        <v>77</v>
      </c>
      <c r="AD866" s="0"/>
      <c r="AE866" s="21" t="s">
        <v>42</v>
      </c>
    </row>
    <row r="867" customFormat="false" ht="15" hidden="false" customHeight="false" outlineLevel="0" collapsed="false">
      <c r="A867" s="13" t="n">
        <f aca="false">1+A866</f>
        <v>865</v>
      </c>
      <c r="B867" s="17" t="n">
        <v>1009599579</v>
      </c>
      <c r="C867" s="17" t="s">
        <v>159</v>
      </c>
      <c r="D867" s="17" t="s">
        <v>471</v>
      </c>
      <c r="E867" s="17" t="s">
        <v>64</v>
      </c>
      <c r="F867" s="18" t="s">
        <v>70</v>
      </c>
      <c r="G867" s="19" t="n">
        <v>775132077030</v>
      </c>
      <c r="H867" s="17" t="s">
        <v>134</v>
      </c>
      <c r="I867" s="17" t="s">
        <v>69</v>
      </c>
      <c r="J867" s="17" t="s">
        <v>106</v>
      </c>
      <c r="K867" s="17" t="str">
        <f aca="false">VLOOKUP(J867,Sheet2!A:B,2,0)</f>
        <v>PRAKASH CHAVDA</v>
      </c>
      <c r="L867" s="17" t="n">
        <v>5</v>
      </c>
      <c r="M867" s="17" t="str">
        <f aca="false">VLOOKUP(L867,Sheet2!D:E,2,0)</f>
        <v>Main Processor CPU BGA</v>
      </c>
      <c r="N867" s="17" t="n">
        <v>24</v>
      </c>
      <c r="O867" s="17" t="str">
        <f aca="false">VLOOKUP(N867,Sheet2!G:H,2,0)</f>
        <v>STB Auto moving -Stand by mode</v>
      </c>
      <c r="P867" s="17" t="n">
        <v>12</v>
      </c>
      <c r="Q867" s="17" t="str">
        <f aca="false">VLOOKUP(P867,Sheet2!J:K,2,0)</f>
        <v>IR Declared due to Others ( IR Normal)TB</v>
      </c>
      <c r="R867" s="17" t="s">
        <v>35</v>
      </c>
      <c r="S867" s="17" t="str">
        <f aca="false">VLOOKUP(R867,Sheet2!N:O,2,0)</f>
        <v>IREPARABLE</v>
      </c>
      <c r="T867" s="18" t="str">
        <f aca="false">VLOOKUP(P867,Sheet2!Q:R,2,0)</f>
        <v>IR Normal - BER to IR</v>
      </c>
      <c r="U867" s="20" t="s">
        <v>135</v>
      </c>
      <c r="V867" s="17" t="n">
        <v>12</v>
      </c>
      <c r="W867" s="20" t="str">
        <f aca="false">VLOOKUP(V867,Sheet2!Q:R,2,0)</f>
        <v>IR Normal - BER to IR</v>
      </c>
      <c r="X867" s="17" t="str">
        <f aca="false">J867</f>
        <v>A018</v>
      </c>
      <c r="Y867" s="17" t="str">
        <f aca="false">VLOOKUP(X867,Sheet2!A:B,2,0)</f>
        <v>PRAKASH CHAVDA</v>
      </c>
      <c r="Z867" s="17" t="s">
        <v>136</v>
      </c>
      <c r="AA867" s="17" t="s">
        <v>449</v>
      </c>
      <c r="AB867" s="17" t="s">
        <v>41</v>
      </c>
      <c r="AC867" s="0" t="str">
        <f aca="false">LEFT(G867,2)</f>
        <v>77</v>
      </c>
      <c r="AD867" s="0"/>
      <c r="AE867" s="21" t="s">
        <v>42</v>
      </c>
    </row>
    <row r="868" customFormat="false" ht="15" hidden="false" customHeight="false" outlineLevel="0" collapsed="false">
      <c r="A868" s="13" t="n">
        <f aca="false">1+A867</f>
        <v>866</v>
      </c>
      <c r="B868" s="17" t="n">
        <v>1009533208</v>
      </c>
      <c r="C868" s="17" t="s">
        <v>174</v>
      </c>
      <c r="D868" s="17" t="s">
        <v>143</v>
      </c>
      <c r="E868" s="17" t="s">
        <v>33</v>
      </c>
      <c r="F868" s="18" t="s">
        <v>34</v>
      </c>
      <c r="G868" s="19" t="n">
        <v>775332254702</v>
      </c>
      <c r="H868" s="17" t="s">
        <v>134</v>
      </c>
      <c r="I868" s="17" t="s">
        <v>69</v>
      </c>
      <c r="J868" s="17" t="s">
        <v>106</v>
      </c>
      <c r="K868" s="17" t="str">
        <f aca="false">VLOOKUP(J868,Sheet2!A:B,2,0)</f>
        <v>PRAKASH CHAVDA</v>
      </c>
      <c r="L868" s="17" t="n">
        <v>5</v>
      </c>
      <c r="M868" s="17" t="str">
        <f aca="false">VLOOKUP(L868,Sheet2!D:E,2,0)</f>
        <v>Main Processor CPU BGA</v>
      </c>
      <c r="N868" s="17" t="n">
        <v>1</v>
      </c>
      <c r="O868" s="17" t="str">
        <f aca="false">VLOOKUP(N868,Sheet2!G:H,2,0)</f>
        <v>Dead</v>
      </c>
      <c r="P868" s="17" t="n">
        <v>12</v>
      </c>
      <c r="Q868" s="17" t="str">
        <f aca="false">VLOOKUP(P868,Sheet2!J:K,2,0)</f>
        <v>IR Declared due to Others ( IR Normal)TB</v>
      </c>
      <c r="R868" s="17" t="s">
        <v>35</v>
      </c>
      <c r="S868" s="17" t="str">
        <f aca="false">VLOOKUP(R868,Sheet2!N:O,2,0)</f>
        <v>IREPARABLE</v>
      </c>
      <c r="T868" s="18" t="str">
        <f aca="false">VLOOKUP(P868,Sheet2!Q:R,2,0)</f>
        <v>IR Normal - BER to IR</v>
      </c>
      <c r="U868" s="20" t="s">
        <v>135</v>
      </c>
      <c r="V868" s="17" t="n">
        <v>12</v>
      </c>
      <c r="W868" s="20" t="str">
        <f aca="false">VLOOKUP(V868,Sheet2!Q:R,2,0)</f>
        <v>IR Normal - BER to IR</v>
      </c>
      <c r="X868" s="17" t="str">
        <f aca="false">J868</f>
        <v>A018</v>
      </c>
      <c r="Y868" s="17" t="str">
        <f aca="false">VLOOKUP(X868,Sheet2!A:B,2,0)</f>
        <v>PRAKASH CHAVDA</v>
      </c>
      <c r="Z868" s="17" t="s">
        <v>136</v>
      </c>
      <c r="AA868" s="17" t="s">
        <v>449</v>
      </c>
      <c r="AB868" s="17" t="s">
        <v>41</v>
      </c>
      <c r="AC868" s="0" t="str">
        <f aca="false">LEFT(G868,2)</f>
        <v>77</v>
      </c>
      <c r="AD868" s="0"/>
      <c r="AE868" s="21" t="s">
        <v>42</v>
      </c>
    </row>
    <row r="869" customFormat="false" ht="15" hidden="false" customHeight="false" outlineLevel="0" collapsed="false">
      <c r="A869" s="13" t="n">
        <f aca="false">1+A868</f>
        <v>867</v>
      </c>
      <c r="B869" s="17" t="n">
        <v>1009651147</v>
      </c>
      <c r="C869" s="17" t="s">
        <v>204</v>
      </c>
      <c r="D869" s="17" t="s">
        <v>64</v>
      </c>
      <c r="E869" s="17" t="s">
        <v>47</v>
      </c>
      <c r="F869" s="18" t="s">
        <v>34</v>
      </c>
      <c r="G869" s="19" t="n">
        <v>774352090807</v>
      </c>
      <c r="H869" s="17" t="s">
        <v>134</v>
      </c>
      <c r="I869" s="17" t="s">
        <v>69</v>
      </c>
      <c r="J869" s="17" t="s">
        <v>106</v>
      </c>
      <c r="K869" s="17" t="str">
        <f aca="false">VLOOKUP(J869,Sheet2!A:B,2,0)</f>
        <v>PRAKASH CHAVDA</v>
      </c>
      <c r="L869" s="17" t="n">
        <v>5</v>
      </c>
      <c r="M869" s="17" t="str">
        <f aca="false">VLOOKUP(L869,Sheet2!D:E,2,0)</f>
        <v>Main Processor CPU BGA</v>
      </c>
      <c r="N869" s="17" t="n">
        <v>1</v>
      </c>
      <c r="O869" s="17" t="str">
        <f aca="false">VLOOKUP(N869,Sheet2!G:H,2,0)</f>
        <v>Dead</v>
      </c>
      <c r="P869" s="17" t="n">
        <v>12</v>
      </c>
      <c r="Q869" s="17" t="str">
        <f aca="false">VLOOKUP(P869,Sheet2!J:K,2,0)</f>
        <v>IR Declared due to Others ( IR Normal)TB</v>
      </c>
      <c r="R869" s="17" t="s">
        <v>35</v>
      </c>
      <c r="S869" s="17" t="str">
        <f aca="false">VLOOKUP(R869,Sheet2!N:O,2,0)</f>
        <v>IREPARABLE</v>
      </c>
      <c r="T869" s="18" t="str">
        <f aca="false">VLOOKUP(P869,Sheet2!Q:R,2,0)</f>
        <v>IR Normal - BER to IR</v>
      </c>
      <c r="U869" s="20" t="s">
        <v>135</v>
      </c>
      <c r="V869" s="17" t="n">
        <v>12</v>
      </c>
      <c r="W869" s="20" t="str">
        <f aca="false">VLOOKUP(V869,Sheet2!Q:R,2,0)</f>
        <v>IR Normal - BER to IR</v>
      </c>
      <c r="X869" s="17" t="str">
        <f aca="false">J869</f>
        <v>A018</v>
      </c>
      <c r="Y869" s="17" t="str">
        <f aca="false">VLOOKUP(X869,Sheet2!A:B,2,0)</f>
        <v>PRAKASH CHAVDA</v>
      </c>
      <c r="Z869" s="17" t="s">
        <v>136</v>
      </c>
      <c r="AA869" s="17" t="s">
        <v>449</v>
      </c>
      <c r="AB869" s="17" t="s">
        <v>41</v>
      </c>
      <c r="AC869" s="0" t="str">
        <f aca="false">LEFT(G869,2)</f>
        <v>77</v>
      </c>
      <c r="AD869" s="0"/>
      <c r="AE869" s="21" t="s">
        <v>42</v>
      </c>
    </row>
    <row r="870" customFormat="false" ht="15" hidden="false" customHeight="false" outlineLevel="0" collapsed="false">
      <c r="A870" s="13" t="n">
        <f aca="false">1+A869</f>
        <v>868</v>
      </c>
      <c r="B870" s="17" t="n">
        <v>1009648252</v>
      </c>
      <c r="C870" s="17" t="s">
        <v>204</v>
      </c>
      <c r="D870" s="17" t="s">
        <v>64</v>
      </c>
      <c r="E870" s="17" t="s">
        <v>47</v>
      </c>
      <c r="F870" s="18" t="s">
        <v>34</v>
      </c>
      <c r="G870" s="19" t="n">
        <v>774298016700</v>
      </c>
      <c r="H870" s="17" t="s">
        <v>134</v>
      </c>
      <c r="I870" s="17" t="s">
        <v>69</v>
      </c>
      <c r="J870" s="17" t="s">
        <v>106</v>
      </c>
      <c r="K870" s="17" t="str">
        <f aca="false">VLOOKUP(J870,Sheet2!A:B,2,0)</f>
        <v>PRAKASH CHAVDA</v>
      </c>
      <c r="L870" s="17" t="n">
        <v>5</v>
      </c>
      <c r="M870" s="17" t="str">
        <f aca="false">VLOOKUP(L870,Sheet2!D:E,2,0)</f>
        <v>Main Processor CPU BGA</v>
      </c>
      <c r="N870" s="17" t="n">
        <v>1</v>
      </c>
      <c r="O870" s="17" t="str">
        <f aca="false">VLOOKUP(N870,Sheet2!G:H,2,0)</f>
        <v>Dead</v>
      </c>
      <c r="P870" s="17" t="n">
        <v>12</v>
      </c>
      <c r="Q870" s="17" t="str">
        <f aca="false">VLOOKUP(P870,Sheet2!J:K,2,0)</f>
        <v>IR Declared due to Others ( IR Normal)TB</v>
      </c>
      <c r="R870" s="17" t="s">
        <v>35</v>
      </c>
      <c r="S870" s="17" t="str">
        <f aca="false">VLOOKUP(R870,Sheet2!N:O,2,0)</f>
        <v>IREPARABLE</v>
      </c>
      <c r="T870" s="18" t="str">
        <f aca="false">VLOOKUP(P870,Sheet2!Q:R,2,0)</f>
        <v>IR Normal - BER to IR</v>
      </c>
      <c r="U870" s="20" t="s">
        <v>135</v>
      </c>
      <c r="V870" s="17" t="n">
        <v>12</v>
      </c>
      <c r="W870" s="20" t="str">
        <f aca="false">VLOOKUP(V870,Sheet2!Q:R,2,0)</f>
        <v>IR Normal - BER to IR</v>
      </c>
      <c r="X870" s="17" t="str">
        <f aca="false">J870</f>
        <v>A018</v>
      </c>
      <c r="Y870" s="17" t="str">
        <f aca="false">VLOOKUP(X870,Sheet2!A:B,2,0)</f>
        <v>PRAKASH CHAVDA</v>
      </c>
      <c r="Z870" s="17" t="s">
        <v>136</v>
      </c>
      <c r="AA870" s="17" t="s">
        <v>449</v>
      </c>
      <c r="AB870" s="17" t="s">
        <v>41</v>
      </c>
      <c r="AC870" s="0" t="str">
        <f aca="false">LEFT(G870,2)</f>
        <v>77</v>
      </c>
      <c r="AD870" s="0"/>
      <c r="AE870" s="21" t="s">
        <v>42</v>
      </c>
    </row>
    <row r="871" customFormat="false" ht="15" hidden="false" customHeight="false" outlineLevel="0" collapsed="false">
      <c r="A871" s="13" t="n">
        <f aca="false">1+A870</f>
        <v>869</v>
      </c>
      <c r="B871" s="17" t="n">
        <v>1009648235</v>
      </c>
      <c r="C871" s="17" t="s">
        <v>204</v>
      </c>
      <c r="D871" s="17" t="s">
        <v>64</v>
      </c>
      <c r="E871" s="17" t="s">
        <v>64</v>
      </c>
      <c r="F871" s="18" t="s">
        <v>70</v>
      </c>
      <c r="G871" s="19" t="n">
        <v>775156139120</v>
      </c>
      <c r="H871" s="17" t="s">
        <v>134</v>
      </c>
      <c r="I871" s="17" t="s">
        <v>69</v>
      </c>
      <c r="J871" s="17" t="s">
        <v>106</v>
      </c>
      <c r="K871" s="17" t="str">
        <f aca="false">VLOOKUP(J871,Sheet2!A:B,2,0)</f>
        <v>PRAKASH CHAVDA</v>
      </c>
      <c r="L871" s="17" t="n">
        <v>5</v>
      </c>
      <c r="M871" s="17" t="str">
        <f aca="false">VLOOKUP(L871,Sheet2!D:E,2,0)</f>
        <v>Main Processor CPU BGA</v>
      </c>
      <c r="N871" s="17" t="n">
        <v>24</v>
      </c>
      <c r="O871" s="17" t="str">
        <f aca="false">VLOOKUP(N871,Sheet2!G:H,2,0)</f>
        <v>STB Auto moving -Stand by mode</v>
      </c>
      <c r="P871" s="17" t="n">
        <v>12</v>
      </c>
      <c r="Q871" s="17" t="str">
        <f aca="false">VLOOKUP(P871,Sheet2!J:K,2,0)</f>
        <v>IR Declared due to Others ( IR Normal)TB</v>
      </c>
      <c r="R871" s="17" t="s">
        <v>35</v>
      </c>
      <c r="S871" s="17" t="str">
        <f aca="false">VLOOKUP(R871,Sheet2!N:O,2,0)</f>
        <v>IREPARABLE</v>
      </c>
      <c r="T871" s="18" t="str">
        <f aca="false">VLOOKUP(P871,Sheet2!Q:R,2,0)</f>
        <v>IR Normal - BER to IR</v>
      </c>
      <c r="U871" s="20" t="s">
        <v>135</v>
      </c>
      <c r="V871" s="17" t="n">
        <v>12</v>
      </c>
      <c r="W871" s="20" t="str">
        <f aca="false">VLOOKUP(V871,Sheet2!Q:R,2,0)</f>
        <v>IR Normal - BER to IR</v>
      </c>
      <c r="X871" s="17" t="str">
        <f aca="false">J871</f>
        <v>A018</v>
      </c>
      <c r="Y871" s="17" t="str">
        <f aca="false">VLOOKUP(X871,Sheet2!A:B,2,0)</f>
        <v>PRAKASH CHAVDA</v>
      </c>
      <c r="Z871" s="17" t="s">
        <v>136</v>
      </c>
      <c r="AA871" s="17" t="s">
        <v>449</v>
      </c>
      <c r="AB871" s="17" t="s">
        <v>41</v>
      </c>
      <c r="AC871" s="0" t="str">
        <f aca="false">LEFT(G871,2)</f>
        <v>77</v>
      </c>
      <c r="AD871" s="0"/>
      <c r="AE871" s="21" t="s">
        <v>42</v>
      </c>
    </row>
    <row r="872" customFormat="false" ht="15" hidden="false" customHeight="false" outlineLevel="0" collapsed="false">
      <c r="A872" s="13" t="n">
        <f aca="false">1+A871</f>
        <v>870</v>
      </c>
      <c r="B872" s="17" t="n">
        <v>1009531206</v>
      </c>
      <c r="C872" s="17" t="s">
        <v>174</v>
      </c>
      <c r="D872" s="17" t="s">
        <v>64</v>
      </c>
      <c r="E872" s="17" t="s">
        <v>64</v>
      </c>
      <c r="F872" s="18" t="s">
        <v>70</v>
      </c>
      <c r="G872" s="19" t="n">
        <v>775316098893</v>
      </c>
      <c r="H872" s="17" t="s">
        <v>134</v>
      </c>
      <c r="I872" s="17" t="s">
        <v>69</v>
      </c>
      <c r="J872" s="17" t="s">
        <v>106</v>
      </c>
      <c r="K872" s="17" t="str">
        <f aca="false">VLOOKUP(J872,Sheet2!A:B,2,0)</f>
        <v>PRAKASH CHAVDA</v>
      </c>
      <c r="L872" s="17" t="n">
        <v>5</v>
      </c>
      <c r="M872" s="17" t="str">
        <f aca="false">VLOOKUP(L872,Sheet2!D:E,2,0)</f>
        <v>Main Processor CPU BGA</v>
      </c>
      <c r="N872" s="17" t="n">
        <v>24</v>
      </c>
      <c r="O872" s="17" t="str">
        <f aca="false">VLOOKUP(N872,Sheet2!G:H,2,0)</f>
        <v>STB Auto moving -Stand by mode</v>
      </c>
      <c r="P872" s="17" t="n">
        <v>12</v>
      </c>
      <c r="Q872" s="17" t="str">
        <f aca="false">VLOOKUP(P872,Sheet2!J:K,2,0)</f>
        <v>IR Declared due to Others ( IR Normal)TB</v>
      </c>
      <c r="R872" s="17" t="s">
        <v>35</v>
      </c>
      <c r="S872" s="17" t="str">
        <f aca="false">VLOOKUP(R872,Sheet2!N:O,2,0)</f>
        <v>IREPARABLE</v>
      </c>
      <c r="T872" s="18" t="str">
        <f aca="false">VLOOKUP(P872,Sheet2!Q:R,2,0)</f>
        <v>IR Normal - BER to IR</v>
      </c>
      <c r="U872" s="20" t="s">
        <v>135</v>
      </c>
      <c r="V872" s="17" t="n">
        <v>12</v>
      </c>
      <c r="W872" s="20" t="str">
        <f aca="false">VLOOKUP(V872,Sheet2!Q:R,2,0)</f>
        <v>IR Normal - BER to IR</v>
      </c>
      <c r="X872" s="17" t="str">
        <f aca="false">J872</f>
        <v>A018</v>
      </c>
      <c r="Y872" s="17" t="str">
        <f aca="false">VLOOKUP(X872,Sheet2!A:B,2,0)</f>
        <v>PRAKASH CHAVDA</v>
      </c>
      <c r="Z872" s="17" t="s">
        <v>136</v>
      </c>
      <c r="AA872" s="17" t="s">
        <v>449</v>
      </c>
      <c r="AB872" s="17" t="s">
        <v>41</v>
      </c>
      <c r="AC872" s="0" t="str">
        <f aca="false">LEFT(G872,2)</f>
        <v>77</v>
      </c>
      <c r="AD872" s="0"/>
      <c r="AE872" s="21" t="s">
        <v>42</v>
      </c>
    </row>
    <row r="873" customFormat="false" ht="15" hidden="false" customHeight="false" outlineLevel="0" collapsed="false">
      <c r="A873" s="13" t="n">
        <f aca="false">1+A872</f>
        <v>871</v>
      </c>
      <c r="B873" s="17" t="n">
        <v>1009646486</v>
      </c>
      <c r="C873" s="17" t="s">
        <v>204</v>
      </c>
      <c r="D873" s="17" t="s">
        <v>231</v>
      </c>
      <c r="E873" s="17" t="s">
        <v>47</v>
      </c>
      <c r="F873" s="18" t="s">
        <v>34</v>
      </c>
      <c r="G873" s="19" t="n">
        <v>775084016101</v>
      </c>
      <c r="H873" s="17" t="s">
        <v>134</v>
      </c>
      <c r="I873" s="17" t="s">
        <v>69</v>
      </c>
      <c r="J873" s="17" t="s">
        <v>106</v>
      </c>
      <c r="K873" s="17" t="str">
        <f aca="false">VLOOKUP(J873,Sheet2!A:B,2,0)</f>
        <v>PRAKASH CHAVDA</v>
      </c>
      <c r="L873" s="17" t="n">
        <v>5</v>
      </c>
      <c r="M873" s="17" t="str">
        <f aca="false">VLOOKUP(L873,Sheet2!D:E,2,0)</f>
        <v>Main Processor CPU BGA</v>
      </c>
      <c r="N873" s="17" t="n">
        <v>6</v>
      </c>
      <c r="O873" s="17" t="str">
        <f aca="false">VLOOKUP(N873,Sheet2!G:H,2,0)</f>
        <v>No Signal</v>
      </c>
      <c r="P873" s="17" t="n">
        <v>12</v>
      </c>
      <c r="Q873" s="17" t="str">
        <f aca="false">VLOOKUP(P873,Sheet2!J:K,2,0)</f>
        <v>IR Declared due to Others ( IR Normal)TB</v>
      </c>
      <c r="R873" s="17" t="s">
        <v>35</v>
      </c>
      <c r="S873" s="17" t="str">
        <f aca="false">VLOOKUP(R873,Sheet2!N:O,2,0)</f>
        <v>IREPARABLE</v>
      </c>
      <c r="T873" s="18" t="str">
        <f aca="false">VLOOKUP(P873,Sheet2!Q:R,2,0)</f>
        <v>IR Normal - BER to IR</v>
      </c>
      <c r="U873" s="20" t="s">
        <v>135</v>
      </c>
      <c r="V873" s="17" t="n">
        <v>12</v>
      </c>
      <c r="W873" s="20" t="str">
        <f aca="false">VLOOKUP(V873,Sheet2!Q:R,2,0)</f>
        <v>IR Normal - BER to IR</v>
      </c>
      <c r="X873" s="17" t="str">
        <f aca="false">J873</f>
        <v>A018</v>
      </c>
      <c r="Y873" s="17" t="str">
        <f aca="false">VLOOKUP(X873,Sheet2!A:B,2,0)</f>
        <v>PRAKASH CHAVDA</v>
      </c>
      <c r="Z873" s="17" t="s">
        <v>136</v>
      </c>
      <c r="AA873" s="17" t="s">
        <v>449</v>
      </c>
      <c r="AB873" s="17" t="s">
        <v>41</v>
      </c>
      <c r="AC873" s="0" t="str">
        <f aca="false">LEFT(G873,2)</f>
        <v>77</v>
      </c>
      <c r="AD873" s="0"/>
      <c r="AE873" s="21" t="s">
        <v>42</v>
      </c>
    </row>
    <row r="874" customFormat="false" ht="15" hidden="false" customHeight="false" outlineLevel="0" collapsed="false">
      <c r="A874" s="13" t="n">
        <f aca="false">1+A873</f>
        <v>872</v>
      </c>
      <c r="B874" s="17" t="n">
        <v>1009646476</v>
      </c>
      <c r="C874" s="17" t="s">
        <v>204</v>
      </c>
      <c r="D874" s="17" t="s">
        <v>64</v>
      </c>
      <c r="E874" s="17" t="s">
        <v>64</v>
      </c>
      <c r="F874" s="18" t="s">
        <v>70</v>
      </c>
      <c r="G874" s="19" t="n">
        <v>775323168960</v>
      </c>
      <c r="H874" s="17" t="s">
        <v>134</v>
      </c>
      <c r="I874" s="17" t="s">
        <v>69</v>
      </c>
      <c r="J874" s="17" t="s">
        <v>106</v>
      </c>
      <c r="K874" s="17" t="str">
        <f aca="false">VLOOKUP(J874,Sheet2!A:B,2,0)</f>
        <v>PRAKASH CHAVDA</v>
      </c>
      <c r="L874" s="17" t="n">
        <v>5</v>
      </c>
      <c r="M874" s="17" t="str">
        <f aca="false">VLOOKUP(L874,Sheet2!D:E,2,0)</f>
        <v>Main Processor CPU BGA</v>
      </c>
      <c r="N874" s="17" t="n">
        <v>24</v>
      </c>
      <c r="O874" s="17" t="str">
        <f aca="false">VLOOKUP(N874,Sheet2!G:H,2,0)</f>
        <v>STB Auto moving -Stand by mode</v>
      </c>
      <c r="P874" s="17" t="n">
        <v>12</v>
      </c>
      <c r="Q874" s="17" t="str">
        <f aca="false">VLOOKUP(P874,Sheet2!J:K,2,0)</f>
        <v>IR Declared due to Others ( IR Normal)TB</v>
      </c>
      <c r="R874" s="17" t="s">
        <v>35</v>
      </c>
      <c r="S874" s="17" t="str">
        <f aca="false">VLOOKUP(R874,Sheet2!N:O,2,0)</f>
        <v>IREPARABLE</v>
      </c>
      <c r="T874" s="18" t="str">
        <f aca="false">VLOOKUP(P874,Sheet2!Q:R,2,0)</f>
        <v>IR Normal - BER to IR</v>
      </c>
      <c r="U874" s="20" t="s">
        <v>135</v>
      </c>
      <c r="V874" s="17" t="n">
        <v>12</v>
      </c>
      <c r="W874" s="20" t="str">
        <f aca="false">VLOOKUP(V874,Sheet2!Q:R,2,0)</f>
        <v>IR Normal - BER to IR</v>
      </c>
      <c r="X874" s="17" t="str">
        <f aca="false">J874</f>
        <v>A018</v>
      </c>
      <c r="Y874" s="17" t="str">
        <f aca="false">VLOOKUP(X874,Sheet2!A:B,2,0)</f>
        <v>PRAKASH CHAVDA</v>
      </c>
      <c r="Z874" s="17" t="s">
        <v>136</v>
      </c>
      <c r="AA874" s="17" t="s">
        <v>449</v>
      </c>
      <c r="AB874" s="17" t="s">
        <v>41</v>
      </c>
      <c r="AC874" s="0" t="str">
        <f aca="false">LEFT(G874,2)</f>
        <v>77</v>
      </c>
      <c r="AD874" s="0"/>
      <c r="AE874" s="21" t="s">
        <v>42</v>
      </c>
    </row>
    <row r="875" customFormat="false" ht="15" hidden="false" customHeight="false" outlineLevel="0" collapsed="false">
      <c r="A875" s="13" t="n">
        <f aca="false">1+A874</f>
        <v>873</v>
      </c>
      <c r="B875" s="17" t="n">
        <v>1009663345</v>
      </c>
      <c r="C875" s="17" t="s">
        <v>433</v>
      </c>
      <c r="D875" s="17" t="s">
        <v>64</v>
      </c>
      <c r="E875" s="17" t="s">
        <v>64</v>
      </c>
      <c r="F875" s="18" t="s">
        <v>70</v>
      </c>
      <c r="G875" s="19" t="n">
        <v>775240054236</v>
      </c>
      <c r="H875" s="17" t="s">
        <v>134</v>
      </c>
      <c r="I875" s="17" t="s">
        <v>69</v>
      </c>
      <c r="J875" s="17" t="s">
        <v>106</v>
      </c>
      <c r="K875" s="17" t="str">
        <f aca="false">VLOOKUP(J875,Sheet2!A:B,2,0)</f>
        <v>PRAKASH CHAVDA</v>
      </c>
      <c r="L875" s="17" t="n">
        <v>5</v>
      </c>
      <c r="M875" s="17" t="str">
        <f aca="false">VLOOKUP(L875,Sheet2!D:E,2,0)</f>
        <v>Main Processor CPU BGA</v>
      </c>
      <c r="N875" s="17" t="n">
        <v>24</v>
      </c>
      <c r="O875" s="17" t="str">
        <f aca="false">VLOOKUP(N875,Sheet2!G:H,2,0)</f>
        <v>STB Auto moving -Stand by mode</v>
      </c>
      <c r="P875" s="17" t="n">
        <v>12</v>
      </c>
      <c r="Q875" s="17" t="str">
        <f aca="false">VLOOKUP(P875,Sheet2!J:K,2,0)</f>
        <v>IR Declared due to Others ( IR Normal)TB</v>
      </c>
      <c r="R875" s="17" t="s">
        <v>35</v>
      </c>
      <c r="S875" s="17" t="str">
        <f aca="false">VLOOKUP(R875,Sheet2!N:O,2,0)</f>
        <v>IREPARABLE</v>
      </c>
      <c r="T875" s="18" t="str">
        <f aca="false">VLOOKUP(P875,Sheet2!Q:R,2,0)</f>
        <v>IR Normal - BER to IR</v>
      </c>
      <c r="U875" s="20" t="s">
        <v>135</v>
      </c>
      <c r="V875" s="17" t="n">
        <v>12</v>
      </c>
      <c r="W875" s="20" t="str">
        <f aca="false">VLOOKUP(V875,Sheet2!Q:R,2,0)</f>
        <v>IR Normal - BER to IR</v>
      </c>
      <c r="X875" s="17" t="str">
        <f aca="false">J875</f>
        <v>A018</v>
      </c>
      <c r="Y875" s="17" t="str">
        <f aca="false">VLOOKUP(X875,Sheet2!A:B,2,0)</f>
        <v>PRAKASH CHAVDA</v>
      </c>
      <c r="Z875" s="17" t="s">
        <v>136</v>
      </c>
      <c r="AA875" s="17" t="s">
        <v>449</v>
      </c>
      <c r="AB875" s="17" t="s">
        <v>41</v>
      </c>
      <c r="AC875" s="0" t="str">
        <f aca="false">LEFT(G875,2)</f>
        <v>77</v>
      </c>
      <c r="AD875" s="0"/>
      <c r="AE875" s="21" t="s">
        <v>42</v>
      </c>
    </row>
    <row r="876" customFormat="false" ht="15" hidden="false" customHeight="false" outlineLevel="0" collapsed="false">
      <c r="A876" s="13" t="n">
        <f aca="false">1+A875</f>
        <v>874</v>
      </c>
      <c r="B876" s="17" t="n">
        <v>1009534247</v>
      </c>
      <c r="C876" s="17" t="s">
        <v>311</v>
      </c>
      <c r="D876" s="17" t="s">
        <v>64</v>
      </c>
      <c r="E876" s="17" t="s">
        <v>47</v>
      </c>
      <c r="F876" s="18" t="s">
        <v>34</v>
      </c>
      <c r="G876" s="19" t="n">
        <v>775309068101</v>
      </c>
      <c r="H876" s="17" t="s">
        <v>134</v>
      </c>
      <c r="I876" s="17" t="s">
        <v>69</v>
      </c>
      <c r="J876" s="17" t="s">
        <v>106</v>
      </c>
      <c r="K876" s="17" t="str">
        <f aca="false">VLOOKUP(J876,Sheet2!A:B,2,0)</f>
        <v>PRAKASH CHAVDA</v>
      </c>
      <c r="L876" s="17" t="n">
        <v>5</v>
      </c>
      <c r="M876" s="17" t="str">
        <f aca="false">VLOOKUP(L876,Sheet2!D:E,2,0)</f>
        <v>Main Processor CPU BGA</v>
      </c>
      <c r="N876" s="17" t="n">
        <v>24</v>
      </c>
      <c r="O876" s="17" t="str">
        <f aca="false">VLOOKUP(N876,Sheet2!G:H,2,0)</f>
        <v>STB Auto moving -Stand by mode</v>
      </c>
      <c r="P876" s="17" t="n">
        <v>12</v>
      </c>
      <c r="Q876" s="17" t="str">
        <f aca="false">VLOOKUP(P876,Sheet2!J:K,2,0)</f>
        <v>IR Declared due to Others ( IR Normal)TB</v>
      </c>
      <c r="R876" s="17" t="s">
        <v>35</v>
      </c>
      <c r="S876" s="17" t="str">
        <f aca="false">VLOOKUP(R876,Sheet2!N:O,2,0)</f>
        <v>IREPARABLE</v>
      </c>
      <c r="T876" s="18" t="str">
        <f aca="false">VLOOKUP(P876,Sheet2!Q:R,2,0)</f>
        <v>IR Normal - BER to IR</v>
      </c>
      <c r="U876" s="20" t="s">
        <v>135</v>
      </c>
      <c r="V876" s="17" t="n">
        <v>12</v>
      </c>
      <c r="W876" s="20" t="str">
        <f aca="false">VLOOKUP(V876,Sheet2!Q:R,2,0)</f>
        <v>IR Normal - BER to IR</v>
      </c>
      <c r="X876" s="17" t="str">
        <f aca="false">J876</f>
        <v>A018</v>
      </c>
      <c r="Y876" s="17" t="str">
        <f aca="false">VLOOKUP(X876,Sheet2!A:B,2,0)</f>
        <v>PRAKASH CHAVDA</v>
      </c>
      <c r="Z876" s="17" t="s">
        <v>136</v>
      </c>
      <c r="AA876" s="17" t="s">
        <v>449</v>
      </c>
      <c r="AB876" s="17" t="s">
        <v>41</v>
      </c>
      <c r="AC876" s="0" t="str">
        <f aca="false">LEFT(G876,2)</f>
        <v>77</v>
      </c>
      <c r="AD876" s="0"/>
      <c r="AE876" s="21" t="s">
        <v>42</v>
      </c>
    </row>
    <row r="877" customFormat="false" ht="15" hidden="false" customHeight="false" outlineLevel="0" collapsed="false">
      <c r="A877" s="13" t="n">
        <f aca="false">1+A876</f>
        <v>875</v>
      </c>
      <c r="B877" s="17" t="n">
        <v>1009534604</v>
      </c>
      <c r="C877" s="17" t="s">
        <v>311</v>
      </c>
      <c r="D877" s="17" t="s">
        <v>64</v>
      </c>
      <c r="E877" s="17" t="s">
        <v>64</v>
      </c>
      <c r="F877" s="18" t="s">
        <v>70</v>
      </c>
      <c r="G877" s="19" t="n">
        <v>774284011434</v>
      </c>
      <c r="H877" s="17" t="s">
        <v>134</v>
      </c>
      <c r="I877" s="17" t="s">
        <v>69</v>
      </c>
      <c r="J877" s="17" t="s">
        <v>106</v>
      </c>
      <c r="K877" s="17" t="str">
        <f aca="false">VLOOKUP(J877,Sheet2!A:B,2,0)</f>
        <v>PRAKASH CHAVDA</v>
      </c>
      <c r="L877" s="17" t="n">
        <v>5</v>
      </c>
      <c r="M877" s="17" t="str">
        <f aca="false">VLOOKUP(L877,Sheet2!D:E,2,0)</f>
        <v>Main Processor CPU BGA</v>
      </c>
      <c r="N877" s="17" t="n">
        <v>1</v>
      </c>
      <c r="O877" s="17" t="str">
        <f aca="false">VLOOKUP(N877,Sheet2!G:H,2,0)</f>
        <v>Dead</v>
      </c>
      <c r="P877" s="17" t="n">
        <v>12</v>
      </c>
      <c r="Q877" s="17" t="str">
        <f aca="false">VLOOKUP(P877,Sheet2!J:K,2,0)</f>
        <v>IR Declared due to Others ( IR Normal)TB</v>
      </c>
      <c r="R877" s="17" t="s">
        <v>35</v>
      </c>
      <c r="S877" s="17" t="str">
        <f aca="false">VLOOKUP(R877,Sheet2!N:O,2,0)</f>
        <v>IREPARABLE</v>
      </c>
      <c r="T877" s="18" t="str">
        <f aca="false">VLOOKUP(P877,Sheet2!Q:R,2,0)</f>
        <v>IR Normal - BER to IR</v>
      </c>
      <c r="U877" s="20" t="s">
        <v>135</v>
      </c>
      <c r="V877" s="17" t="n">
        <v>12</v>
      </c>
      <c r="W877" s="20" t="str">
        <f aca="false">VLOOKUP(V877,Sheet2!Q:R,2,0)</f>
        <v>IR Normal - BER to IR</v>
      </c>
      <c r="X877" s="17" t="str">
        <f aca="false">J877</f>
        <v>A018</v>
      </c>
      <c r="Y877" s="17" t="str">
        <f aca="false">VLOOKUP(X877,Sheet2!A:B,2,0)</f>
        <v>PRAKASH CHAVDA</v>
      </c>
      <c r="Z877" s="17" t="s">
        <v>136</v>
      </c>
      <c r="AA877" s="17" t="s">
        <v>449</v>
      </c>
      <c r="AB877" s="17" t="s">
        <v>41</v>
      </c>
      <c r="AC877" s="0" t="str">
        <f aca="false">LEFT(G877,2)</f>
        <v>77</v>
      </c>
      <c r="AD877" s="0"/>
      <c r="AE877" s="21" t="s">
        <v>42</v>
      </c>
    </row>
    <row r="878" customFormat="false" ht="15" hidden="false" customHeight="false" outlineLevel="0" collapsed="false">
      <c r="A878" s="13" t="n">
        <f aca="false">1+A877</f>
        <v>876</v>
      </c>
      <c r="B878" s="17" t="n">
        <v>1009634174</v>
      </c>
      <c r="C878" s="17" t="s">
        <v>163</v>
      </c>
      <c r="D878" s="17" t="s">
        <v>64</v>
      </c>
      <c r="E878" s="17" t="s">
        <v>64</v>
      </c>
      <c r="F878" s="18" t="s">
        <v>70</v>
      </c>
      <c r="G878" s="19" t="n">
        <v>775313186469</v>
      </c>
      <c r="H878" s="17" t="s">
        <v>134</v>
      </c>
      <c r="I878" s="17" t="s">
        <v>69</v>
      </c>
      <c r="J878" s="17" t="s">
        <v>106</v>
      </c>
      <c r="K878" s="17" t="str">
        <f aca="false">VLOOKUP(J878,Sheet2!A:B,2,0)</f>
        <v>PRAKASH CHAVDA</v>
      </c>
      <c r="L878" s="17" t="n">
        <v>5</v>
      </c>
      <c r="M878" s="17" t="str">
        <f aca="false">VLOOKUP(L878,Sheet2!D:E,2,0)</f>
        <v>Main Processor CPU BGA</v>
      </c>
      <c r="N878" s="17" t="n">
        <v>1</v>
      </c>
      <c r="O878" s="17" t="str">
        <f aca="false">VLOOKUP(N878,Sheet2!G:H,2,0)</f>
        <v>Dead</v>
      </c>
      <c r="P878" s="17" t="n">
        <v>12</v>
      </c>
      <c r="Q878" s="17" t="str">
        <f aca="false">VLOOKUP(P878,Sheet2!J:K,2,0)</f>
        <v>IR Declared due to Others ( IR Normal)TB</v>
      </c>
      <c r="R878" s="17" t="s">
        <v>35</v>
      </c>
      <c r="S878" s="17" t="str">
        <f aca="false">VLOOKUP(R878,Sheet2!N:O,2,0)</f>
        <v>IREPARABLE</v>
      </c>
      <c r="T878" s="18" t="str">
        <f aca="false">VLOOKUP(P878,Sheet2!Q:R,2,0)</f>
        <v>IR Normal - BER to IR</v>
      </c>
      <c r="U878" s="20" t="s">
        <v>135</v>
      </c>
      <c r="V878" s="17" t="n">
        <v>12</v>
      </c>
      <c r="W878" s="20" t="str">
        <f aca="false">VLOOKUP(V878,Sheet2!Q:R,2,0)</f>
        <v>IR Normal - BER to IR</v>
      </c>
      <c r="X878" s="17" t="str">
        <f aca="false">J878</f>
        <v>A018</v>
      </c>
      <c r="Y878" s="17" t="str">
        <f aca="false">VLOOKUP(X878,Sheet2!A:B,2,0)</f>
        <v>PRAKASH CHAVDA</v>
      </c>
      <c r="Z878" s="17" t="s">
        <v>136</v>
      </c>
      <c r="AA878" s="17" t="s">
        <v>449</v>
      </c>
      <c r="AB878" s="17" t="s">
        <v>41</v>
      </c>
      <c r="AC878" s="0" t="str">
        <f aca="false">LEFT(G878,2)</f>
        <v>77</v>
      </c>
      <c r="AD878" s="0"/>
      <c r="AE878" s="21" t="s">
        <v>42</v>
      </c>
    </row>
    <row r="879" customFormat="false" ht="15" hidden="false" customHeight="false" outlineLevel="0" collapsed="false">
      <c r="A879" s="13" t="n">
        <f aca="false">1+A878</f>
        <v>877</v>
      </c>
      <c r="B879" s="17" t="n">
        <v>1009662016</v>
      </c>
      <c r="C879" s="17" t="s">
        <v>433</v>
      </c>
      <c r="D879" s="17" t="s">
        <v>78</v>
      </c>
      <c r="E879" s="17" t="s">
        <v>47</v>
      </c>
      <c r="F879" s="18" t="s">
        <v>34</v>
      </c>
      <c r="G879" s="19" t="n">
        <v>775324201463</v>
      </c>
      <c r="H879" s="17" t="s">
        <v>134</v>
      </c>
      <c r="I879" s="17" t="s">
        <v>69</v>
      </c>
      <c r="J879" s="17" t="s">
        <v>106</v>
      </c>
      <c r="K879" s="17" t="str">
        <f aca="false">VLOOKUP(J879,Sheet2!A:B,2,0)</f>
        <v>PRAKASH CHAVDA</v>
      </c>
      <c r="L879" s="17" t="n">
        <v>5</v>
      </c>
      <c r="M879" s="17" t="str">
        <f aca="false">VLOOKUP(L879,Sheet2!D:E,2,0)</f>
        <v>Main Processor CPU BGA</v>
      </c>
      <c r="N879" s="17" t="n">
        <v>1</v>
      </c>
      <c r="O879" s="17" t="str">
        <f aca="false">VLOOKUP(N879,Sheet2!G:H,2,0)</f>
        <v>Dead</v>
      </c>
      <c r="P879" s="17" t="n">
        <v>12</v>
      </c>
      <c r="Q879" s="17" t="str">
        <f aca="false">VLOOKUP(P879,Sheet2!J:K,2,0)</f>
        <v>IR Declared due to Others ( IR Normal)TB</v>
      </c>
      <c r="R879" s="17" t="s">
        <v>35</v>
      </c>
      <c r="S879" s="17" t="str">
        <f aca="false">VLOOKUP(R879,Sheet2!N:O,2,0)</f>
        <v>IREPARABLE</v>
      </c>
      <c r="T879" s="18" t="str">
        <f aca="false">VLOOKUP(P879,Sheet2!Q:R,2,0)</f>
        <v>IR Normal - BER to IR</v>
      </c>
      <c r="U879" s="20" t="s">
        <v>135</v>
      </c>
      <c r="V879" s="17" t="n">
        <v>12</v>
      </c>
      <c r="W879" s="20" t="str">
        <f aca="false">VLOOKUP(V879,Sheet2!Q:R,2,0)</f>
        <v>IR Normal - BER to IR</v>
      </c>
      <c r="X879" s="17" t="str">
        <f aca="false">J879</f>
        <v>A018</v>
      </c>
      <c r="Y879" s="17" t="str">
        <f aca="false">VLOOKUP(X879,Sheet2!A:B,2,0)</f>
        <v>PRAKASH CHAVDA</v>
      </c>
      <c r="Z879" s="17" t="s">
        <v>136</v>
      </c>
      <c r="AA879" s="17" t="s">
        <v>449</v>
      </c>
      <c r="AB879" s="17" t="s">
        <v>41</v>
      </c>
      <c r="AC879" s="0" t="str">
        <f aca="false">LEFT(G879,2)</f>
        <v>77</v>
      </c>
      <c r="AD879" s="0"/>
      <c r="AE879" s="21" t="s">
        <v>42</v>
      </c>
    </row>
    <row r="880" customFormat="false" ht="15" hidden="false" customHeight="false" outlineLevel="0" collapsed="false">
      <c r="A880" s="13" t="n">
        <f aca="false">1+A879</f>
        <v>878</v>
      </c>
      <c r="B880" s="17" t="n">
        <v>1009540556</v>
      </c>
      <c r="C880" s="17" t="s">
        <v>126</v>
      </c>
      <c r="D880" s="17" t="s">
        <v>64</v>
      </c>
      <c r="E880" s="17" t="s">
        <v>64</v>
      </c>
      <c r="F880" s="18" t="s">
        <v>70</v>
      </c>
      <c r="G880" s="19" t="n">
        <v>775352248923</v>
      </c>
      <c r="H880" s="17" t="s">
        <v>134</v>
      </c>
      <c r="I880" s="17" t="s">
        <v>69</v>
      </c>
      <c r="J880" s="17" t="s">
        <v>106</v>
      </c>
      <c r="K880" s="17" t="str">
        <f aca="false">VLOOKUP(J880,Sheet2!A:B,2,0)</f>
        <v>PRAKASH CHAVDA</v>
      </c>
      <c r="L880" s="17" t="n">
        <v>5</v>
      </c>
      <c r="M880" s="17" t="str">
        <f aca="false">VLOOKUP(L880,Sheet2!D:E,2,0)</f>
        <v>Main Processor CPU BGA</v>
      </c>
      <c r="N880" s="17" t="n">
        <v>1</v>
      </c>
      <c r="O880" s="17" t="str">
        <f aca="false">VLOOKUP(N880,Sheet2!G:H,2,0)</f>
        <v>Dead</v>
      </c>
      <c r="P880" s="17" t="n">
        <v>12</v>
      </c>
      <c r="Q880" s="17" t="str">
        <f aca="false">VLOOKUP(P880,Sheet2!J:K,2,0)</f>
        <v>IR Declared due to Others ( IR Normal)TB</v>
      </c>
      <c r="R880" s="17" t="s">
        <v>35</v>
      </c>
      <c r="S880" s="17" t="str">
        <f aca="false">VLOOKUP(R880,Sheet2!N:O,2,0)</f>
        <v>IREPARABLE</v>
      </c>
      <c r="T880" s="18" t="str">
        <f aca="false">VLOOKUP(P880,Sheet2!Q:R,2,0)</f>
        <v>IR Normal - BER to IR</v>
      </c>
      <c r="U880" s="20" t="s">
        <v>135</v>
      </c>
      <c r="V880" s="17" t="n">
        <v>12</v>
      </c>
      <c r="W880" s="20" t="str">
        <f aca="false">VLOOKUP(V880,Sheet2!Q:R,2,0)</f>
        <v>IR Normal - BER to IR</v>
      </c>
      <c r="X880" s="17" t="str">
        <f aca="false">J880</f>
        <v>A018</v>
      </c>
      <c r="Y880" s="17" t="str">
        <f aca="false">VLOOKUP(X880,Sheet2!A:B,2,0)</f>
        <v>PRAKASH CHAVDA</v>
      </c>
      <c r="Z880" s="17" t="s">
        <v>136</v>
      </c>
      <c r="AA880" s="17" t="s">
        <v>449</v>
      </c>
      <c r="AB880" s="17" t="s">
        <v>41</v>
      </c>
      <c r="AC880" s="0" t="str">
        <f aca="false">LEFT(G880,2)</f>
        <v>77</v>
      </c>
      <c r="AD880" s="0"/>
      <c r="AE880" s="21" t="s">
        <v>42</v>
      </c>
    </row>
    <row r="881" customFormat="false" ht="15" hidden="false" customHeight="false" outlineLevel="0" collapsed="false">
      <c r="A881" s="13" t="n">
        <f aca="false">1+A880</f>
        <v>879</v>
      </c>
      <c r="B881" s="17" t="n">
        <v>1009547064</v>
      </c>
      <c r="C881" s="17" t="s">
        <v>126</v>
      </c>
      <c r="D881" s="17" t="s">
        <v>64</v>
      </c>
      <c r="E881" s="17" t="s">
        <v>64</v>
      </c>
      <c r="F881" s="18" t="s">
        <v>70</v>
      </c>
      <c r="G881" s="19" t="n">
        <v>775332214771</v>
      </c>
      <c r="H881" s="17" t="s">
        <v>134</v>
      </c>
      <c r="I881" s="17" t="s">
        <v>69</v>
      </c>
      <c r="J881" s="17" t="s">
        <v>106</v>
      </c>
      <c r="K881" s="17" t="str">
        <f aca="false">VLOOKUP(J881,Sheet2!A:B,2,0)</f>
        <v>PRAKASH CHAVDA</v>
      </c>
      <c r="L881" s="17" t="n">
        <v>5</v>
      </c>
      <c r="M881" s="17" t="str">
        <f aca="false">VLOOKUP(L881,Sheet2!D:E,2,0)</f>
        <v>Main Processor CPU BGA</v>
      </c>
      <c r="N881" s="17" t="n">
        <v>24</v>
      </c>
      <c r="O881" s="17" t="str">
        <f aca="false">VLOOKUP(N881,Sheet2!G:H,2,0)</f>
        <v>STB Auto moving -Stand by mode</v>
      </c>
      <c r="P881" s="17" t="n">
        <v>12</v>
      </c>
      <c r="Q881" s="17" t="str">
        <f aca="false">VLOOKUP(P881,Sheet2!J:K,2,0)</f>
        <v>IR Declared due to Others ( IR Normal)TB</v>
      </c>
      <c r="R881" s="17" t="s">
        <v>35</v>
      </c>
      <c r="S881" s="17" t="str">
        <f aca="false">VLOOKUP(R881,Sheet2!N:O,2,0)</f>
        <v>IREPARABLE</v>
      </c>
      <c r="T881" s="18" t="str">
        <f aca="false">VLOOKUP(P881,Sheet2!Q:R,2,0)</f>
        <v>IR Normal - BER to IR</v>
      </c>
      <c r="U881" s="20" t="s">
        <v>135</v>
      </c>
      <c r="V881" s="17" t="n">
        <v>12</v>
      </c>
      <c r="W881" s="20" t="str">
        <f aca="false">VLOOKUP(V881,Sheet2!Q:R,2,0)</f>
        <v>IR Normal - BER to IR</v>
      </c>
      <c r="X881" s="17" t="str">
        <f aca="false">J881</f>
        <v>A018</v>
      </c>
      <c r="Y881" s="17" t="str">
        <f aca="false">VLOOKUP(X881,Sheet2!A:B,2,0)</f>
        <v>PRAKASH CHAVDA</v>
      </c>
      <c r="Z881" s="17" t="s">
        <v>136</v>
      </c>
      <c r="AA881" s="17" t="s">
        <v>449</v>
      </c>
      <c r="AB881" s="17" t="s">
        <v>41</v>
      </c>
      <c r="AC881" s="0" t="str">
        <f aca="false">LEFT(G881,2)</f>
        <v>77</v>
      </c>
      <c r="AD881" s="0"/>
      <c r="AE881" s="21" t="s">
        <v>42</v>
      </c>
    </row>
    <row r="882" customFormat="false" ht="15" hidden="false" customHeight="false" outlineLevel="0" collapsed="false">
      <c r="A882" s="13" t="n">
        <f aca="false">1+A881</f>
        <v>880</v>
      </c>
      <c r="B882" s="17" t="n">
        <v>1009648250</v>
      </c>
      <c r="C882" s="17" t="s">
        <v>204</v>
      </c>
      <c r="D882" s="17" t="s">
        <v>472</v>
      </c>
      <c r="E882" s="17" t="s">
        <v>33</v>
      </c>
      <c r="F882" s="18" t="s">
        <v>34</v>
      </c>
      <c r="G882" s="19" t="n">
        <v>775318204366</v>
      </c>
      <c r="H882" s="17" t="s">
        <v>134</v>
      </c>
      <c r="I882" s="17" t="s">
        <v>69</v>
      </c>
      <c r="J882" s="17" t="s">
        <v>106</v>
      </c>
      <c r="K882" s="17" t="str">
        <f aca="false">VLOOKUP(J882,Sheet2!A:B,2,0)</f>
        <v>PRAKASH CHAVDA</v>
      </c>
      <c r="L882" s="17" t="n">
        <v>5</v>
      </c>
      <c r="M882" s="17" t="str">
        <f aca="false">VLOOKUP(L882,Sheet2!D:E,2,0)</f>
        <v>Main Processor CPU BGA</v>
      </c>
      <c r="N882" s="17" t="n">
        <v>24</v>
      </c>
      <c r="O882" s="17" t="str">
        <f aca="false">VLOOKUP(N882,Sheet2!G:H,2,0)</f>
        <v>STB Auto moving -Stand by mode</v>
      </c>
      <c r="P882" s="17" t="n">
        <v>12</v>
      </c>
      <c r="Q882" s="17" t="str">
        <f aca="false">VLOOKUP(P882,Sheet2!J:K,2,0)</f>
        <v>IR Declared due to Others ( IR Normal)TB</v>
      </c>
      <c r="R882" s="17" t="s">
        <v>35</v>
      </c>
      <c r="S882" s="17" t="str">
        <f aca="false">VLOOKUP(R882,Sheet2!N:O,2,0)</f>
        <v>IREPARABLE</v>
      </c>
      <c r="T882" s="18" t="str">
        <f aca="false">VLOOKUP(P882,Sheet2!Q:R,2,0)</f>
        <v>IR Normal - BER to IR</v>
      </c>
      <c r="U882" s="20" t="s">
        <v>135</v>
      </c>
      <c r="V882" s="17" t="n">
        <v>12</v>
      </c>
      <c r="W882" s="20" t="str">
        <f aca="false">VLOOKUP(V882,Sheet2!Q:R,2,0)</f>
        <v>IR Normal - BER to IR</v>
      </c>
      <c r="X882" s="17" t="str">
        <f aca="false">J882</f>
        <v>A018</v>
      </c>
      <c r="Y882" s="17" t="str">
        <f aca="false">VLOOKUP(X882,Sheet2!A:B,2,0)</f>
        <v>PRAKASH CHAVDA</v>
      </c>
      <c r="Z882" s="17" t="s">
        <v>136</v>
      </c>
      <c r="AA882" s="17" t="s">
        <v>449</v>
      </c>
      <c r="AB882" s="17" t="s">
        <v>41</v>
      </c>
      <c r="AC882" s="0" t="str">
        <f aca="false">LEFT(G882,2)</f>
        <v>77</v>
      </c>
      <c r="AD882" s="0"/>
      <c r="AE882" s="21" t="s">
        <v>42</v>
      </c>
    </row>
    <row r="883" customFormat="false" ht="15" hidden="false" customHeight="false" outlineLevel="0" collapsed="false">
      <c r="A883" s="13" t="n">
        <f aca="false">1+A882</f>
        <v>881</v>
      </c>
      <c r="B883" s="17" t="n">
        <v>1009538624</v>
      </c>
      <c r="C883" s="17" t="s">
        <v>311</v>
      </c>
      <c r="D883" s="17" t="s">
        <v>64</v>
      </c>
      <c r="E883" s="17" t="s">
        <v>33</v>
      </c>
      <c r="F883" s="18" t="s">
        <v>34</v>
      </c>
      <c r="G883" s="19" t="n">
        <v>774345201065</v>
      </c>
      <c r="H883" s="17" t="s">
        <v>134</v>
      </c>
      <c r="I883" s="17" t="s">
        <v>69</v>
      </c>
      <c r="J883" s="17" t="s">
        <v>106</v>
      </c>
      <c r="K883" s="17" t="str">
        <f aca="false">VLOOKUP(J883,Sheet2!A:B,2,0)</f>
        <v>PRAKASH CHAVDA</v>
      </c>
      <c r="L883" s="17" t="n">
        <v>5</v>
      </c>
      <c r="M883" s="17" t="str">
        <f aca="false">VLOOKUP(L883,Sheet2!D:E,2,0)</f>
        <v>Main Processor CPU BGA</v>
      </c>
      <c r="N883" s="17" t="n">
        <v>1</v>
      </c>
      <c r="O883" s="17" t="str">
        <f aca="false">VLOOKUP(N883,Sheet2!G:H,2,0)</f>
        <v>Dead</v>
      </c>
      <c r="P883" s="17" t="n">
        <v>12</v>
      </c>
      <c r="Q883" s="17" t="str">
        <f aca="false">VLOOKUP(P883,Sheet2!J:K,2,0)</f>
        <v>IR Declared due to Others ( IR Normal)TB</v>
      </c>
      <c r="R883" s="17" t="s">
        <v>35</v>
      </c>
      <c r="S883" s="17" t="str">
        <f aca="false">VLOOKUP(R883,Sheet2!N:O,2,0)</f>
        <v>IREPARABLE</v>
      </c>
      <c r="T883" s="18" t="str">
        <f aca="false">VLOOKUP(P883,Sheet2!Q:R,2,0)</f>
        <v>IR Normal - BER to IR</v>
      </c>
      <c r="U883" s="20" t="s">
        <v>135</v>
      </c>
      <c r="V883" s="17" t="n">
        <v>12</v>
      </c>
      <c r="W883" s="20" t="str">
        <f aca="false">VLOOKUP(V883,Sheet2!Q:R,2,0)</f>
        <v>IR Normal - BER to IR</v>
      </c>
      <c r="X883" s="17" t="str">
        <f aca="false">J883</f>
        <v>A018</v>
      </c>
      <c r="Y883" s="17" t="str">
        <f aca="false">VLOOKUP(X883,Sheet2!A:B,2,0)</f>
        <v>PRAKASH CHAVDA</v>
      </c>
      <c r="Z883" s="17" t="s">
        <v>136</v>
      </c>
      <c r="AA883" s="17" t="s">
        <v>449</v>
      </c>
      <c r="AB883" s="17" t="s">
        <v>41</v>
      </c>
      <c r="AC883" s="0" t="str">
        <f aca="false">LEFT(G883,2)</f>
        <v>77</v>
      </c>
      <c r="AD883" s="0"/>
      <c r="AE883" s="21" t="s">
        <v>42</v>
      </c>
    </row>
    <row r="884" customFormat="false" ht="15" hidden="false" customHeight="false" outlineLevel="0" collapsed="false">
      <c r="A884" s="13" t="n">
        <f aca="false">1+A883</f>
        <v>882</v>
      </c>
      <c r="B884" s="17" t="n">
        <v>1009540181</v>
      </c>
      <c r="C884" s="17" t="s">
        <v>126</v>
      </c>
      <c r="D884" s="17" t="s">
        <v>64</v>
      </c>
      <c r="E884" s="17" t="s">
        <v>64</v>
      </c>
      <c r="F884" s="18" t="s">
        <v>70</v>
      </c>
      <c r="G884" s="19" t="n">
        <v>775079097660</v>
      </c>
      <c r="H884" s="17" t="s">
        <v>134</v>
      </c>
      <c r="I884" s="17" t="s">
        <v>69</v>
      </c>
      <c r="J884" s="17" t="s">
        <v>106</v>
      </c>
      <c r="K884" s="17" t="str">
        <f aca="false">VLOOKUP(J884,Sheet2!A:B,2,0)</f>
        <v>PRAKASH CHAVDA</v>
      </c>
      <c r="L884" s="17" t="n">
        <v>5</v>
      </c>
      <c r="M884" s="17" t="str">
        <f aca="false">VLOOKUP(L884,Sheet2!D:E,2,0)</f>
        <v>Main Processor CPU BGA</v>
      </c>
      <c r="N884" s="17" t="n">
        <v>1</v>
      </c>
      <c r="O884" s="17" t="str">
        <f aca="false">VLOOKUP(N884,Sheet2!G:H,2,0)</f>
        <v>Dead</v>
      </c>
      <c r="P884" s="17" t="n">
        <v>12</v>
      </c>
      <c r="Q884" s="17" t="str">
        <f aca="false">VLOOKUP(P884,Sheet2!J:K,2,0)</f>
        <v>IR Declared due to Others ( IR Normal)TB</v>
      </c>
      <c r="R884" s="17" t="s">
        <v>35</v>
      </c>
      <c r="S884" s="17" t="str">
        <f aca="false">VLOOKUP(R884,Sheet2!N:O,2,0)</f>
        <v>IREPARABLE</v>
      </c>
      <c r="T884" s="18" t="str">
        <f aca="false">VLOOKUP(P884,Sheet2!Q:R,2,0)</f>
        <v>IR Normal - BER to IR</v>
      </c>
      <c r="U884" s="20" t="s">
        <v>135</v>
      </c>
      <c r="V884" s="17" t="n">
        <v>12</v>
      </c>
      <c r="W884" s="20" t="str">
        <f aca="false">VLOOKUP(V884,Sheet2!Q:R,2,0)</f>
        <v>IR Normal - BER to IR</v>
      </c>
      <c r="X884" s="17" t="str">
        <f aca="false">J884</f>
        <v>A018</v>
      </c>
      <c r="Y884" s="17" t="str">
        <f aca="false">VLOOKUP(X884,Sheet2!A:B,2,0)</f>
        <v>PRAKASH CHAVDA</v>
      </c>
      <c r="Z884" s="17" t="s">
        <v>136</v>
      </c>
      <c r="AA884" s="17" t="s">
        <v>449</v>
      </c>
      <c r="AB884" s="17" t="s">
        <v>41</v>
      </c>
      <c r="AC884" s="0" t="str">
        <f aca="false">LEFT(G884,2)</f>
        <v>77</v>
      </c>
      <c r="AD884" s="0"/>
      <c r="AE884" s="21" t="s">
        <v>42</v>
      </c>
    </row>
    <row r="885" customFormat="false" ht="15" hidden="false" customHeight="false" outlineLevel="0" collapsed="false">
      <c r="A885" s="13" t="n">
        <f aca="false">1+A884</f>
        <v>883</v>
      </c>
      <c r="B885" s="17" t="n">
        <v>1009662394</v>
      </c>
      <c r="C885" s="17" t="s">
        <v>433</v>
      </c>
      <c r="D885" s="17" t="s">
        <v>64</v>
      </c>
      <c r="E885" s="17" t="s">
        <v>47</v>
      </c>
      <c r="F885" s="18" t="s">
        <v>34</v>
      </c>
      <c r="G885" s="19" t="n">
        <v>774324096197</v>
      </c>
      <c r="H885" s="17" t="s">
        <v>134</v>
      </c>
      <c r="I885" s="17" t="s">
        <v>69</v>
      </c>
      <c r="J885" s="17" t="s">
        <v>106</v>
      </c>
      <c r="K885" s="17" t="str">
        <f aca="false">VLOOKUP(J885,Sheet2!A:B,2,0)</f>
        <v>PRAKASH CHAVDA</v>
      </c>
      <c r="L885" s="17" t="n">
        <v>5</v>
      </c>
      <c r="M885" s="17" t="str">
        <f aca="false">VLOOKUP(L885,Sheet2!D:E,2,0)</f>
        <v>Main Processor CPU BGA</v>
      </c>
      <c r="N885" s="17" t="n">
        <v>1</v>
      </c>
      <c r="O885" s="17" t="str">
        <f aca="false">VLOOKUP(N885,Sheet2!G:H,2,0)</f>
        <v>Dead</v>
      </c>
      <c r="P885" s="17" t="n">
        <v>12</v>
      </c>
      <c r="Q885" s="17" t="str">
        <f aca="false">VLOOKUP(P885,Sheet2!J:K,2,0)</f>
        <v>IR Declared due to Others ( IR Normal)TB</v>
      </c>
      <c r="R885" s="17" t="s">
        <v>35</v>
      </c>
      <c r="S885" s="17" t="str">
        <f aca="false">VLOOKUP(R885,Sheet2!N:O,2,0)</f>
        <v>IREPARABLE</v>
      </c>
      <c r="T885" s="18" t="str">
        <f aca="false">VLOOKUP(P885,Sheet2!Q:R,2,0)</f>
        <v>IR Normal - BER to IR</v>
      </c>
      <c r="U885" s="20" t="s">
        <v>135</v>
      </c>
      <c r="V885" s="17" t="n">
        <v>12</v>
      </c>
      <c r="W885" s="20" t="str">
        <f aca="false">VLOOKUP(V885,Sheet2!Q:R,2,0)</f>
        <v>IR Normal - BER to IR</v>
      </c>
      <c r="X885" s="17" t="str">
        <f aca="false">J885</f>
        <v>A018</v>
      </c>
      <c r="Y885" s="17" t="str">
        <f aca="false">VLOOKUP(X885,Sheet2!A:B,2,0)</f>
        <v>PRAKASH CHAVDA</v>
      </c>
      <c r="Z885" s="17" t="s">
        <v>136</v>
      </c>
      <c r="AA885" s="17" t="s">
        <v>449</v>
      </c>
      <c r="AB885" s="17" t="s">
        <v>41</v>
      </c>
      <c r="AC885" s="0" t="str">
        <f aca="false">LEFT(G885,2)</f>
        <v>77</v>
      </c>
      <c r="AD885" s="0"/>
      <c r="AE885" s="21" t="s">
        <v>42</v>
      </c>
    </row>
    <row r="886" customFormat="false" ht="15" hidden="false" customHeight="false" outlineLevel="0" collapsed="false">
      <c r="A886" s="13" t="n">
        <f aca="false">1+A885</f>
        <v>884</v>
      </c>
      <c r="B886" s="17" t="n">
        <v>1009630818</v>
      </c>
      <c r="C886" s="17" t="s">
        <v>233</v>
      </c>
      <c r="D886" s="17" t="s">
        <v>64</v>
      </c>
      <c r="E886" s="17" t="s">
        <v>64</v>
      </c>
      <c r="F886" s="18" t="s">
        <v>70</v>
      </c>
      <c r="G886" s="19" t="n">
        <v>775112003337</v>
      </c>
      <c r="H886" s="17" t="s">
        <v>134</v>
      </c>
      <c r="I886" s="17" t="s">
        <v>69</v>
      </c>
      <c r="J886" s="17" t="s">
        <v>106</v>
      </c>
      <c r="K886" s="17" t="str">
        <f aca="false">VLOOKUP(J886,Sheet2!A:B,2,0)</f>
        <v>PRAKASH CHAVDA</v>
      </c>
      <c r="L886" s="17" t="n">
        <v>5</v>
      </c>
      <c r="M886" s="17" t="str">
        <f aca="false">VLOOKUP(L886,Sheet2!D:E,2,0)</f>
        <v>Main Processor CPU BGA</v>
      </c>
      <c r="N886" s="17" t="n">
        <v>24</v>
      </c>
      <c r="O886" s="17" t="str">
        <f aca="false">VLOOKUP(N886,Sheet2!G:H,2,0)</f>
        <v>STB Auto moving -Stand by mode</v>
      </c>
      <c r="P886" s="17" t="n">
        <v>12</v>
      </c>
      <c r="Q886" s="17" t="str">
        <f aca="false">VLOOKUP(P886,Sheet2!J:K,2,0)</f>
        <v>IR Declared due to Others ( IR Normal)TB</v>
      </c>
      <c r="R886" s="17" t="s">
        <v>35</v>
      </c>
      <c r="S886" s="17" t="str">
        <f aca="false">VLOOKUP(R886,Sheet2!N:O,2,0)</f>
        <v>IREPARABLE</v>
      </c>
      <c r="T886" s="18" t="str">
        <f aca="false">VLOOKUP(P886,Sheet2!Q:R,2,0)</f>
        <v>IR Normal - BER to IR</v>
      </c>
      <c r="U886" s="20" t="s">
        <v>135</v>
      </c>
      <c r="V886" s="17" t="n">
        <v>12</v>
      </c>
      <c r="W886" s="20" t="str">
        <f aca="false">VLOOKUP(V886,Sheet2!Q:R,2,0)</f>
        <v>IR Normal - BER to IR</v>
      </c>
      <c r="X886" s="17" t="str">
        <f aca="false">J886</f>
        <v>A018</v>
      </c>
      <c r="Y886" s="17" t="str">
        <f aca="false">VLOOKUP(X886,Sheet2!A:B,2,0)</f>
        <v>PRAKASH CHAVDA</v>
      </c>
      <c r="Z886" s="17" t="s">
        <v>136</v>
      </c>
      <c r="AA886" s="17" t="s">
        <v>449</v>
      </c>
      <c r="AB886" s="17" t="s">
        <v>41</v>
      </c>
      <c r="AC886" s="0" t="str">
        <f aca="false">LEFT(G886,2)</f>
        <v>77</v>
      </c>
      <c r="AD886" s="0"/>
      <c r="AE886" s="21" t="s">
        <v>42</v>
      </c>
    </row>
    <row r="887" customFormat="false" ht="15" hidden="false" customHeight="false" outlineLevel="0" collapsed="false">
      <c r="A887" s="13" t="n">
        <f aca="false">1+A886</f>
        <v>885</v>
      </c>
      <c r="B887" s="17" t="n">
        <v>1009661740</v>
      </c>
      <c r="C887" s="17" t="s">
        <v>433</v>
      </c>
      <c r="D887" s="17" t="s">
        <v>64</v>
      </c>
      <c r="E887" s="17" t="s">
        <v>64</v>
      </c>
      <c r="F887" s="18" t="s">
        <v>70</v>
      </c>
      <c r="G887" s="19" t="n">
        <v>954072341827</v>
      </c>
      <c r="H887" s="17" t="s">
        <v>134</v>
      </c>
      <c r="I887" s="17" t="s">
        <v>44</v>
      </c>
      <c r="J887" s="17" t="s">
        <v>106</v>
      </c>
      <c r="K887" s="17" t="str">
        <f aca="false">VLOOKUP(J887,Sheet2!A:B,2,0)</f>
        <v>PRAKASH CHAVDA</v>
      </c>
      <c r="L887" s="17" t="n">
        <v>5</v>
      </c>
      <c r="M887" s="17" t="str">
        <f aca="false">VLOOKUP(L887,Sheet2!D:E,2,0)</f>
        <v>Main Processor CPU BGA</v>
      </c>
      <c r="N887" s="17" t="n">
        <v>24</v>
      </c>
      <c r="O887" s="17" t="str">
        <f aca="false">VLOOKUP(N887,Sheet2!G:H,2,0)</f>
        <v>STB Auto moving -Stand by mode</v>
      </c>
      <c r="P887" s="17" t="n">
        <v>12</v>
      </c>
      <c r="Q887" s="17" t="str">
        <f aca="false">VLOOKUP(P887,Sheet2!J:K,2,0)</f>
        <v>IR Declared due to Others ( IR Normal)TB</v>
      </c>
      <c r="R887" s="17" t="s">
        <v>35</v>
      </c>
      <c r="S887" s="17" t="str">
        <f aca="false">VLOOKUP(R887,Sheet2!N:O,2,0)</f>
        <v>IREPARABLE</v>
      </c>
      <c r="T887" s="18" t="str">
        <f aca="false">VLOOKUP(P887,Sheet2!Q:R,2,0)</f>
        <v>IR Normal - BER to IR</v>
      </c>
      <c r="U887" s="20" t="s">
        <v>135</v>
      </c>
      <c r="V887" s="17" t="n">
        <v>12</v>
      </c>
      <c r="W887" s="20" t="str">
        <f aca="false">VLOOKUP(V887,Sheet2!Q:R,2,0)</f>
        <v>IR Normal - BER to IR</v>
      </c>
      <c r="X887" s="17" t="str">
        <f aca="false">J887</f>
        <v>A018</v>
      </c>
      <c r="Y887" s="17" t="str">
        <f aca="false">VLOOKUP(X887,Sheet2!A:B,2,0)</f>
        <v>PRAKASH CHAVDA</v>
      </c>
      <c r="Z887" s="17" t="s">
        <v>150</v>
      </c>
      <c r="AA887" s="17" t="s">
        <v>449</v>
      </c>
      <c r="AB887" s="17" t="s">
        <v>41</v>
      </c>
      <c r="AC887" s="0" t="str">
        <f aca="false">LEFT(G887,2)</f>
        <v>95</v>
      </c>
      <c r="AD887" s="0"/>
      <c r="AE887" s="21" t="s">
        <v>42</v>
      </c>
    </row>
    <row r="888" customFormat="false" ht="15" hidden="false" customHeight="false" outlineLevel="0" collapsed="false">
      <c r="A888" s="13" t="n">
        <f aca="false">1+A887</f>
        <v>886</v>
      </c>
      <c r="B888" s="17" t="n">
        <v>1009662378</v>
      </c>
      <c r="C888" s="17" t="s">
        <v>433</v>
      </c>
      <c r="D888" s="17" t="s">
        <v>196</v>
      </c>
      <c r="E888" s="17" t="s">
        <v>47</v>
      </c>
      <c r="F888" s="18" t="s">
        <v>34</v>
      </c>
      <c r="G888" s="19" t="n">
        <v>954346143777</v>
      </c>
      <c r="H888" s="17" t="s">
        <v>134</v>
      </c>
      <c r="I888" s="17" t="s">
        <v>44</v>
      </c>
      <c r="J888" s="17" t="s">
        <v>106</v>
      </c>
      <c r="K888" s="17" t="str">
        <f aca="false">VLOOKUP(J888,Sheet2!A:B,2,0)</f>
        <v>PRAKASH CHAVDA</v>
      </c>
      <c r="L888" s="17" t="n">
        <v>5</v>
      </c>
      <c r="M888" s="17" t="str">
        <f aca="false">VLOOKUP(L888,Sheet2!D:E,2,0)</f>
        <v>Main Processor CPU BGA</v>
      </c>
      <c r="N888" s="17" t="n">
        <v>1</v>
      </c>
      <c r="O888" s="17" t="str">
        <f aca="false">VLOOKUP(N888,Sheet2!G:H,2,0)</f>
        <v>Dead</v>
      </c>
      <c r="P888" s="17" t="n">
        <v>12</v>
      </c>
      <c r="Q888" s="17" t="str">
        <f aca="false">VLOOKUP(P888,Sheet2!J:K,2,0)</f>
        <v>IR Declared due to Others ( IR Normal)TB</v>
      </c>
      <c r="R888" s="17" t="s">
        <v>35</v>
      </c>
      <c r="S888" s="17" t="str">
        <f aca="false">VLOOKUP(R888,Sheet2!N:O,2,0)</f>
        <v>IREPARABLE</v>
      </c>
      <c r="T888" s="18" t="str">
        <f aca="false">VLOOKUP(P888,Sheet2!Q:R,2,0)</f>
        <v>IR Normal - BER to IR</v>
      </c>
      <c r="U888" s="20" t="s">
        <v>135</v>
      </c>
      <c r="V888" s="17" t="n">
        <v>12</v>
      </c>
      <c r="W888" s="20" t="str">
        <f aca="false">VLOOKUP(V888,Sheet2!Q:R,2,0)</f>
        <v>IR Normal - BER to IR</v>
      </c>
      <c r="X888" s="17" t="str">
        <f aca="false">J888</f>
        <v>A018</v>
      </c>
      <c r="Y888" s="17" t="str">
        <f aca="false">VLOOKUP(X888,Sheet2!A:B,2,0)</f>
        <v>PRAKASH CHAVDA</v>
      </c>
      <c r="Z888" s="17" t="s">
        <v>150</v>
      </c>
      <c r="AA888" s="17" t="s">
        <v>449</v>
      </c>
      <c r="AB888" s="17" t="s">
        <v>41</v>
      </c>
      <c r="AC888" s="0" t="str">
        <f aca="false">LEFT(G888,2)</f>
        <v>95</v>
      </c>
      <c r="AD888" s="0"/>
      <c r="AE888" s="21" t="s">
        <v>42</v>
      </c>
    </row>
    <row r="889" customFormat="false" ht="15" hidden="false" customHeight="false" outlineLevel="0" collapsed="false">
      <c r="A889" s="13" t="n">
        <f aca="false">1+A888</f>
        <v>887</v>
      </c>
      <c r="B889" s="17" t="n">
        <v>1009662665</v>
      </c>
      <c r="C889" s="17" t="s">
        <v>433</v>
      </c>
      <c r="D889" s="17" t="s">
        <v>175</v>
      </c>
      <c r="E889" s="17" t="s">
        <v>176</v>
      </c>
      <c r="F889" s="18" t="s">
        <v>34</v>
      </c>
      <c r="G889" s="19" t="n">
        <v>954257136786</v>
      </c>
      <c r="H889" s="17" t="s">
        <v>134</v>
      </c>
      <c r="I889" s="17" t="s">
        <v>44</v>
      </c>
      <c r="J889" s="17" t="s">
        <v>106</v>
      </c>
      <c r="K889" s="17" t="str">
        <f aca="false">VLOOKUP(J889,Sheet2!A:B,2,0)</f>
        <v>PRAKASH CHAVDA</v>
      </c>
      <c r="L889" s="17" t="n">
        <v>5</v>
      </c>
      <c r="M889" s="17" t="str">
        <f aca="false">VLOOKUP(L889,Sheet2!D:E,2,0)</f>
        <v>Main Processor CPU BGA</v>
      </c>
      <c r="N889" s="17" t="n">
        <v>24</v>
      </c>
      <c r="O889" s="17" t="str">
        <f aca="false">VLOOKUP(N889,Sheet2!G:H,2,0)</f>
        <v>STB Auto moving -Stand by mode</v>
      </c>
      <c r="P889" s="17" t="n">
        <v>12</v>
      </c>
      <c r="Q889" s="17" t="str">
        <f aca="false">VLOOKUP(P889,Sheet2!J:K,2,0)</f>
        <v>IR Declared due to Others ( IR Normal)TB</v>
      </c>
      <c r="R889" s="17" t="s">
        <v>35</v>
      </c>
      <c r="S889" s="17" t="str">
        <f aca="false">VLOOKUP(R889,Sheet2!N:O,2,0)</f>
        <v>IREPARABLE</v>
      </c>
      <c r="T889" s="18" t="str">
        <f aca="false">VLOOKUP(P889,Sheet2!Q:R,2,0)</f>
        <v>IR Normal - BER to IR</v>
      </c>
      <c r="U889" s="20" t="s">
        <v>135</v>
      </c>
      <c r="V889" s="17" t="n">
        <v>12</v>
      </c>
      <c r="W889" s="20" t="str">
        <f aca="false">VLOOKUP(V889,Sheet2!Q:R,2,0)</f>
        <v>IR Normal - BER to IR</v>
      </c>
      <c r="X889" s="17" t="str">
        <f aca="false">J889</f>
        <v>A018</v>
      </c>
      <c r="Y889" s="17" t="str">
        <f aca="false">VLOOKUP(X889,Sheet2!A:B,2,0)</f>
        <v>PRAKASH CHAVDA</v>
      </c>
      <c r="Z889" s="17" t="s">
        <v>150</v>
      </c>
      <c r="AA889" s="17" t="s">
        <v>449</v>
      </c>
      <c r="AB889" s="17" t="s">
        <v>41</v>
      </c>
      <c r="AC889" s="0" t="str">
        <f aca="false">LEFT(G889,2)</f>
        <v>95</v>
      </c>
      <c r="AD889" s="0"/>
      <c r="AE889" s="21" t="s">
        <v>42</v>
      </c>
    </row>
    <row r="890" customFormat="false" ht="15" hidden="false" customHeight="false" outlineLevel="0" collapsed="false">
      <c r="A890" s="13" t="n">
        <f aca="false">1+A889</f>
        <v>888</v>
      </c>
      <c r="B890" s="17" t="n">
        <v>1009616637</v>
      </c>
      <c r="C890" s="17" t="s">
        <v>184</v>
      </c>
      <c r="D890" s="17" t="s">
        <v>119</v>
      </c>
      <c r="E890" s="17" t="s">
        <v>33</v>
      </c>
      <c r="F890" s="18" t="s">
        <v>34</v>
      </c>
      <c r="G890" s="19" t="n">
        <v>954252129976</v>
      </c>
      <c r="H890" s="17" t="s">
        <v>134</v>
      </c>
      <c r="I890" s="17" t="s">
        <v>44</v>
      </c>
      <c r="J890" s="17" t="s">
        <v>106</v>
      </c>
      <c r="K890" s="17" t="str">
        <f aca="false">VLOOKUP(J890,Sheet2!A:B,2,0)</f>
        <v>PRAKASH CHAVDA</v>
      </c>
      <c r="L890" s="17" t="n">
        <v>5</v>
      </c>
      <c r="M890" s="17" t="str">
        <f aca="false">VLOOKUP(L890,Sheet2!D:E,2,0)</f>
        <v>Main Processor CPU BGA</v>
      </c>
      <c r="N890" s="17" t="n">
        <v>24</v>
      </c>
      <c r="O890" s="17" t="str">
        <f aca="false">VLOOKUP(N890,Sheet2!G:H,2,0)</f>
        <v>STB Auto moving -Stand by mode</v>
      </c>
      <c r="P890" s="17" t="n">
        <v>12</v>
      </c>
      <c r="Q890" s="17" t="str">
        <f aca="false">VLOOKUP(P890,Sheet2!J:K,2,0)</f>
        <v>IR Declared due to Others ( IR Normal)TB</v>
      </c>
      <c r="R890" s="17" t="s">
        <v>35</v>
      </c>
      <c r="S890" s="17" t="str">
        <f aca="false">VLOOKUP(R890,Sheet2!N:O,2,0)</f>
        <v>IREPARABLE</v>
      </c>
      <c r="T890" s="18" t="str">
        <f aca="false">VLOOKUP(P890,Sheet2!Q:R,2,0)</f>
        <v>IR Normal - BER to IR</v>
      </c>
      <c r="U890" s="20" t="s">
        <v>135</v>
      </c>
      <c r="V890" s="17" t="n">
        <v>12</v>
      </c>
      <c r="W890" s="20" t="str">
        <f aca="false">VLOOKUP(V890,Sheet2!Q:R,2,0)</f>
        <v>IR Normal - BER to IR</v>
      </c>
      <c r="X890" s="17" t="str">
        <f aca="false">J890</f>
        <v>A018</v>
      </c>
      <c r="Y890" s="17" t="str">
        <f aca="false">VLOOKUP(X890,Sheet2!A:B,2,0)</f>
        <v>PRAKASH CHAVDA</v>
      </c>
      <c r="Z890" s="17" t="s">
        <v>150</v>
      </c>
      <c r="AA890" s="17" t="s">
        <v>449</v>
      </c>
      <c r="AB890" s="17" t="s">
        <v>41</v>
      </c>
      <c r="AC890" s="0" t="str">
        <f aca="false">LEFT(G890,2)</f>
        <v>95</v>
      </c>
      <c r="AD890" s="0"/>
      <c r="AE890" s="21" t="s">
        <v>42</v>
      </c>
    </row>
    <row r="891" customFormat="false" ht="15" hidden="false" customHeight="false" outlineLevel="0" collapsed="false">
      <c r="A891" s="13" t="n">
        <f aca="false">1+A890</f>
        <v>889</v>
      </c>
      <c r="B891" s="17" t="n">
        <v>1009524623</v>
      </c>
      <c r="C891" s="17" t="s">
        <v>162</v>
      </c>
      <c r="D891" s="17" t="s">
        <v>64</v>
      </c>
      <c r="E891" s="17" t="s">
        <v>64</v>
      </c>
      <c r="F891" s="18" t="s">
        <v>70</v>
      </c>
      <c r="G891" s="19" t="n">
        <v>942174990757</v>
      </c>
      <c r="H891" s="17" t="s">
        <v>134</v>
      </c>
      <c r="I891" s="17" t="s">
        <v>44</v>
      </c>
      <c r="J891" s="17" t="s">
        <v>106</v>
      </c>
      <c r="K891" s="17" t="str">
        <f aca="false">VLOOKUP(J891,Sheet2!A:B,2,0)</f>
        <v>PRAKASH CHAVDA</v>
      </c>
      <c r="L891" s="17" t="n">
        <v>5</v>
      </c>
      <c r="M891" s="17" t="str">
        <f aca="false">VLOOKUP(L891,Sheet2!D:E,2,0)</f>
        <v>Main Processor CPU BGA</v>
      </c>
      <c r="N891" s="17" t="n">
        <v>1</v>
      </c>
      <c r="O891" s="17" t="str">
        <f aca="false">VLOOKUP(N891,Sheet2!G:H,2,0)</f>
        <v>Dead</v>
      </c>
      <c r="P891" s="17" t="n">
        <v>12</v>
      </c>
      <c r="Q891" s="17" t="str">
        <f aca="false">VLOOKUP(P891,Sheet2!J:K,2,0)</f>
        <v>IR Declared due to Others ( IR Normal)TB</v>
      </c>
      <c r="R891" s="17" t="s">
        <v>35</v>
      </c>
      <c r="S891" s="17" t="str">
        <f aca="false">VLOOKUP(R891,Sheet2!N:O,2,0)</f>
        <v>IREPARABLE</v>
      </c>
      <c r="T891" s="18" t="str">
        <f aca="false">VLOOKUP(P891,Sheet2!Q:R,2,0)</f>
        <v>IR Normal - BER to IR</v>
      </c>
      <c r="U891" s="20" t="s">
        <v>135</v>
      </c>
      <c r="V891" s="17" t="n">
        <v>12</v>
      </c>
      <c r="W891" s="20" t="str">
        <f aca="false">VLOOKUP(V891,Sheet2!Q:R,2,0)</f>
        <v>IR Normal - BER to IR</v>
      </c>
      <c r="X891" s="17" t="str">
        <f aca="false">J891</f>
        <v>A018</v>
      </c>
      <c r="Y891" s="17" t="str">
        <f aca="false">VLOOKUP(X891,Sheet2!A:B,2,0)</f>
        <v>PRAKASH CHAVDA</v>
      </c>
      <c r="Z891" s="17" t="s">
        <v>127</v>
      </c>
      <c r="AA891" s="17" t="s">
        <v>449</v>
      </c>
      <c r="AB891" s="17" t="s">
        <v>41</v>
      </c>
      <c r="AC891" s="0" t="str">
        <f aca="false">LEFT(G891,2)</f>
        <v>94</v>
      </c>
      <c r="AD891" s="0"/>
      <c r="AE891" s="21" t="s">
        <v>42</v>
      </c>
    </row>
    <row r="892" customFormat="false" ht="15" hidden="false" customHeight="false" outlineLevel="0" collapsed="false">
      <c r="A892" s="13" t="n">
        <f aca="false">1+A891</f>
        <v>890</v>
      </c>
      <c r="B892" s="17" t="n">
        <v>1009531459</v>
      </c>
      <c r="C892" s="17" t="s">
        <v>174</v>
      </c>
      <c r="D892" s="17" t="s">
        <v>64</v>
      </c>
      <c r="E892" s="17" t="s">
        <v>64</v>
      </c>
      <c r="F892" s="18" t="s">
        <v>70</v>
      </c>
      <c r="G892" s="19" t="n">
        <v>943197973085</v>
      </c>
      <c r="H892" s="17" t="s">
        <v>134</v>
      </c>
      <c r="I892" s="17" t="s">
        <v>44</v>
      </c>
      <c r="J892" s="17" t="s">
        <v>106</v>
      </c>
      <c r="K892" s="17" t="str">
        <f aca="false">VLOOKUP(J892,Sheet2!A:B,2,0)</f>
        <v>PRAKASH CHAVDA</v>
      </c>
      <c r="L892" s="17" t="n">
        <v>5</v>
      </c>
      <c r="M892" s="17" t="str">
        <f aca="false">VLOOKUP(L892,Sheet2!D:E,2,0)</f>
        <v>Main Processor CPU BGA</v>
      </c>
      <c r="N892" s="17" t="n">
        <v>1</v>
      </c>
      <c r="O892" s="17" t="str">
        <f aca="false">VLOOKUP(N892,Sheet2!G:H,2,0)</f>
        <v>Dead</v>
      </c>
      <c r="P892" s="17" t="n">
        <v>12</v>
      </c>
      <c r="Q892" s="17" t="str">
        <f aca="false">VLOOKUP(P892,Sheet2!J:K,2,0)</f>
        <v>IR Declared due to Others ( IR Normal)TB</v>
      </c>
      <c r="R892" s="17" t="s">
        <v>35</v>
      </c>
      <c r="S892" s="17" t="str">
        <f aca="false">VLOOKUP(R892,Sheet2!N:O,2,0)</f>
        <v>IREPARABLE</v>
      </c>
      <c r="T892" s="18" t="str">
        <f aca="false">VLOOKUP(P892,Sheet2!Q:R,2,0)</f>
        <v>IR Normal - BER to IR</v>
      </c>
      <c r="U892" s="20" t="s">
        <v>135</v>
      </c>
      <c r="V892" s="17" t="n">
        <v>12</v>
      </c>
      <c r="W892" s="20" t="str">
        <f aca="false">VLOOKUP(V892,Sheet2!Q:R,2,0)</f>
        <v>IR Normal - BER to IR</v>
      </c>
      <c r="X892" s="17" t="str">
        <f aca="false">J892</f>
        <v>A018</v>
      </c>
      <c r="Y892" s="17" t="str">
        <f aca="false">VLOOKUP(X892,Sheet2!A:B,2,0)</f>
        <v>PRAKASH CHAVDA</v>
      </c>
      <c r="Z892" s="17" t="s">
        <v>127</v>
      </c>
      <c r="AA892" s="17" t="s">
        <v>449</v>
      </c>
      <c r="AB892" s="17" t="s">
        <v>41</v>
      </c>
      <c r="AC892" s="0" t="str">
        <f aca="false">LEFT(G892,2)</f>
        <v>94</v>
      </c>
      <c r="AD892" s="0"/>
      <c r="AE892" s="21" t="s">
        <v>42</v>
      </c>
    </row>
    <row r="893" customFormat="false" ht="15" hidden="false" customHeight="false" outlineLevel="0" collapsed="false">
      <c r="A893" s="13" t="n">
        <f aca="false">1+A892</f>
        <v>891</v>
      </c>
      <c r="B893" s="17" t="n">
        <v>1009645239</v>
      </c>
      <c r="C893" s="17" t="s">
        <v>473</v>
      </c>
      <c r="D893" s="17" t="s">
        <v>64</v>
      </c>
      <c r="E893" s="17" t="s">
        <v>47</v>
      </c>
      <c r="F893" s="18" t="s">
        <v>34</v>
      </c>
      <c r="G893" s="19" t="n">
        <v>942354150446</v>
      </c>
      <c r="H893" s="17" t="s">
        <v>134</v>
      </c>
      <c r="I893" s="17" t="s">
        <v>44</v>
      </c>
      <c r="J893" s="17" t="s">
        <v>106</v>
      </c>
      <c r="K893" s="17" t="str">
        <f aca="false">VLOOKUP(J893,Sheet2!A:B,2,0)</f>
        <v>PRAKASH CHAVDA</v>
      </c>
      <c r="L893" s="17" t="n">
        <v>5</v>
      </c>
      <c r="M893" s="17" t="str">
        <f aca="false">VLOOKUP(L893,Sheet2!D:E,2,0)</f>
        <v>Main Processor CPU BGA</v>
      </c>
      <c r="N893" s="17" t="n">
        <v>1</v>
      </c>
      <c r="O893" s="17" t="str">
        <f aca="false">VLOOKUP(N893,Sheet2!G:H,2,0)</f>
        <v>Dead</v>
      </c>
      <c r="P893" s="17" t="n">
        <v>12</v>
      </c>
      <c r="Q893" s="17" t="str">
        <f aca="false">VLOOKUP(P893,Sheet2!J:K,2,0)</f>
        <v>IR Declared due to Others ( IR Normal)TB</v>
      </c>
      <c r="R893" s="17" t="s">
        <v>35</v>
      </c>
      <c r="S893" s="17" t="str">
        <f aca="false">VLOOKUP(R893,Sheet2!N:O,2,0)</f>
        <v>IREPARABLE</v>
      </c>
      <c r="T893" s="18" t="str">
        <f aca="false">VLOOKUP(P893,Sheet2!Q:R,2,0)</f>
        <v>IR Normal - BER to IR</v>
      </c>
      <c r="U893" s="20" t="s">
        <v>135</v>
      </c>
      <c r="V893" s="17" t="n">
        <v>12</v>
      </c>
      <c r="W893" s="20" t="str">
        <f aca="false">VLOOKUP(V893,Sheet2!Q:R,2,0)</f>
        <v>IR Normal - BER to IR</v>
      </c>
      <c r="X893" s="17" t="str">
        <f aca="false">J893</f>
        <v>A018</v>
      </c>
      <c r="Y893" s="17" t="str">
        <f aca="false">VLOOKUP(X893,Sheet2!A:B,2,0)</f>
        <v>PRAKASH CHAVDA</v>
      </c>
      <c r="Z893" s="17" t="s">
        <v>127</v>
      </c>
      <c r="AA893" s="17" t="s">
        <v>449</v>
      </c>
      <c r="AB893" s="17" t="s">
        <v>41</v>
      </c>
      <c r="AC893" s="0" t="str">
        <f aca="false">LEFT(G893,2)</f>
        <v>94</v>
      </c>
      <c r="AD893" s="0"/>
      <c r="AE893" s="21" t="s">
        <v>42</v>
      </c>
    </row>
    <row r="894" customFormat="false" ht="15" hidden="false" customHeight="false" outlineLevel="0" collapsed="false">
      <c r="A894" s="13" t="n">
        <f aca="false">1+A893</f>
        <v>892</v>
      </c>
      <c r="B894" s="17" t="n">
        <v>1009607608</v>
      </c>
      <c r="C894" s="17" t="s">
        <v>181</v>
      </c>
      <c r="D894" s="17" t="s">
        <v>64</v>
      </c>
      <c r="E894" s="17" t="s">
        <v>64</v>
      </c>
      <c r="F894" s="18" t="s">
        <v>70</v>
      </c>
      <c r="G894" s="19" t="n">
        <v>942360954559</v>
      </c>
      <c r="H894" s="17" t="s">
        <v>134</v>
      </c>
      <c r="I894" s="17" t="s">
        <v>44</v>
      </c>
      <c r="J894" s="17" t="s">
        <v>106</v>
      </c>
      <c r="K894" s="17" t="str">
        <f aca="false">VLOOKUP(J894,Sheet2!A:B,2,0)</f>
        <v>PRAKASH CHAVDA</v>
      </c>
      <c r="L894" s="17" t="n">
        <v>5</v>
      </c>
      <c r="M894" s="17" t="str">
        <f aca="false">VLOOKUP(L894,Sheet2!D:E,2,0)</f>
        <v>Main Processor CPU BGA</v>
      </c>
      <c r="N894" s="17" t="n">
        <v>28</v>
      </c>
      <c r="O894" s="17" t="str">
        <f aca="false">VLOOKUP(N894,Sheet2!G:H,2,0)</f>
        <v>Hang and Freeze video - AV</v>
      </c>
      <c r="P894" s="17" t="n">
        <v>12</v>
      </c>
      <c r="Q894" s="17" t="str">
        <f aca="false">VLOOKUP(P894,Sheet2!J:K,2,0)</f>
        <v>IR Declared due to Others ( IR Normal)TB</v>
      </c>
      <c r="R894" s="17" t="s">
        <v>35</v>
      </c>
      <c r="S894" s="17" t="str">
        <f aca="false">VLOOKUP(R894,Sheet2!N:O,2,0)</f>
        <v>IREPARABLE</v>
      </c>
      <c r="T894" s="18" t="str">
        <f aca="false">VLOOKUP(P894,Sheet2!Q:R,2,0)</f>
        <v>IR Normal - BER to IR</v>
      </c>
      <c r="U894" s="20" t="s">
        <v>135</v>
      </c>
      <c r="V894" s="17" t="n">
        <v>12</v>
      </c>
      <c r="W894" s="20" t="str">
        <f aca="false">VLOOKUP(V894,Sheet2!Q:R,2,0)</f>
        <v>IR Normal - BER to IR</v>
      </c>
      <c r="X894" s="17" t="str">
        <f aca="false">J894</f>
        <v>A018</v>
      </c>
      <c r="Y894" s="17" t="str">
        <f aca="false">VLOOKUP(X894,Sheet2!A:B,2,0)</f>
        <v>PRAKASH CHAVDA</v>
      </c>
      <c r="Z894" s="17" t="s">
        <v>127</v>
      </c>
      <c r="AA894" s="17" t="s">
        <v>449</v>
      </c>
      <c r="AB894" s="17" t="s">
        <v>41</v>
      </c>
      <c r="AC894" s="0" t="str">
        <f aca="false">LEFT(G894,2)</f>
        <v>94</v>
      </c>
      <c r="AD894" s="0"/>
      <c r="AE894" s="21" t="s">
        <v>42</v>
      </c>
    </row>
    <row r="895" customFormat="false" ht="15" hidden="false" customHeight="false" outlineLevel="0" collapsed="false">
      <c r="A895" s="13" t="n">
        <f aca="false">1+A894</f>
        <v>893</v>
      </c>
      <c r="B895" s="17" t="n">
        <v>1009661933</v>
      </c>
      <c r="C895" s="17" t="s">
        <v>433</v>
      </c>
      <c r="D895" s="17" t="s">
        <v>64</v>
      </c>
      <c r="E895" s="17" t="s">
        <v>64</v>
      </c>
      <c r="F895" s="18" t="s">
        <v>70</v>
      </c>
      <c r="G895" s="19" t="n">
        <v>942276962571</v>
      </c>
      <c r="H895" s="17" t="s">
        <v>134</v>
      </c>
      <c r="I895" s="17" t="s">
        <v>44</v>
      </c>
      <c r="J895" s="17" t="s">
        <v>106</v>
      </c>
      <c r="K895" s="17" t="str">
        <f aca="false">VLOOKUP(J895,Sheet2!A:B,2,0)</f>
        <v>PRAKASH CHAVDA</v>
      </c>
      <c r="L895" s="17" t="n">
        <v>1</v>
      </c>
      <c r="M895" s="17" t="str">
        <f aca="false">VLOOKUP(L895,Sheet2!D:E,2,0)</f>
        <v>Power Supply Section</v>
      </c>
      <c r="N895" s="17" t="n">
        <v>1</v>
      </c>
      <c r="O895" s="17" t="str">
        <f aca="false">VLOOKUP(N895,Sheet2!G:H,2,0)</f>
        <v>Dead</v>
      </c>
      <c r="P895" s="17" t="n">
        <v>12</v>
      </c>
      <c r="Q895" s="17" t="str">
        <f aca="false">VLOOKUP(P895,Sheet2!J:K,2,0)</f>
        <v>IR Declared due to Others ( IR Normal)TB</v>
      </c>
      <c r="R895" s="17" t="s">
        <v>35</v>
      </c>
      <c r="S895" s="17" t="str">
        <f aca="false">VLOOKUP(R895,Sheet2!N:O,2,0)</f>
        <v>IREPARABLE</v>
      </c>
      <c r="T895" s="18" t="str">
        <f aca="false">VLOOKUP(P895,Sheet2!Q:R,2,0)</f>
        <v>IR Normal - BER to IR</v>
      </c>
      <c r="U895" s="20" t="s">
        <v>135</v>
      </c>
      <c r="V895" s="17" t="n">
        <v>12</v>
      </c>
      <c r="W895" s="20" t="str">
        <f aca="false">VLOOKUP(V895,Sheet2!Q:R,2,0)</f>
        <v>IR Normal - BER to IR</v>
      </c>
      <c r="X895" s="17" t="str">
        <f aca="false">J895</f>
        <v>A018</v>
      </c>
      <c r="Y895" s="17" t="str">
        <f aca="false">VLOOKUP(X895,Sheet2!A:B,2,0)</f>
        <v>PRAKASH CHAVDA</v>
      </c>
      <c r="Z895" s="17" t="s">
        <v>127</v>
      </c>
      <c r="AA895" s="17" t="s">
        <v>449</v>
      </c>
      <c r="AB895" s="17" t="s">
        <v>41</v>
      </c>
      <c r="AC895" s="0" t="str">
        <f aca="false">LEFT(G895,2)</f>
        <v>94</v>
      </c>
      <c r="AD895" s="0"/>
      <c r="AE895" s="21" t="s">
        <v>42</v>
      </c>
    </row>
    <row r="896" customFormat="false" ht="15" hidden="false" customHeight="false" outlineLevel="0" collapsed="false">
      <c r="A896" s="13" t="n">
        <f aca="false">1+A895</f>
        <v>894</v>
      </c>
      <c r="B896" s="17" t="n">
        <v>1009661710</v>
      </c>
      <c r="C896" s="17" t="s">
        <v>433</v>
      </c>
      <c r="D896" s="17" t="s">
        <v>64</v>
      </c>
      <c r="E896" s="17" t="s">
        <v>33</v>
      </c>
      <c r="F896" s="18" t="s">
        <v>34</v>
      </c>
      <c r="G896" s="19" t="n">
        <v>942366918723</v>
      </c>
      <c r="H896" s="17" t="s">
        <v>134</v>
      </c>
      <c r="I896" s="17" t="s">
        <v>44</v>
      </c>
      <c r="J896" s="17" t="s">
        <v>106</v>
      </c>
      <c r="K896" s="17" t="str">
        <f aca="false">VLOOKUP(J896,Sheet2!A:B,2,0)</f>
        <v>PRAKASH CHAVDA</v>
      </c>
      <c r="L896" s="17" t="n">
        <v>5</v>
      </c>
      <c r="M896" s="17" t="str">
        <f aca="false">VLOOKUP(L896,Sheet2!D:E,2,0)</f>
        <v>Main Processor CPU BGA</v>
      </c>
      <c r="N896" s="17" t="n">
        <v>24</v>
      </c>
      <c r="O896" s="17" t="str">
        <f aca="false">VLOOKUP(N896,Sheet2!G:H,2,0)</f>
        <v>STB Auto moving -Stand by mode</v>
      </c>
      <c r="P896" s="17" t="n">
        <v>12</v>
      </c>
      <c r="Q896" s="17" t="str">
        <f aca="false">VLOOKUP(P896,Sheet2!J:K,2,0)</f>
        <v>IR Declared due to Others ( IR Normal)TB</v>
      </c>
      <c r="R896" s="17" t="s">
        <v>35</v>
      </c>
      <c r="S896" s="17" t="str">
        <f aca="false">VLOOKUP(R896,Sheet2!N:O,2,0)</f>
        <v>IREPARABLE</v>
      </c>
      <c r="T896" s="18" t="str">
        <f aca="false">VLOOKUP(P896,Sheet2!Q:R,2,0)</f>
        <v>IR Normal - BER to IR</v>
      </c>
      <c r="U896" s="20" t="s">
        <v>135</v>
      </c>
      <c r="V896" s="17" t="n">
        <v>12</v>
      </c>
      <c r="W896" s="20" t="str">
        <f aca="false">VLOOKUP(V896,Sheet2!Q:R,2,0)</f>
        <v>IR Normal - BER to IR</v>
      </c>
      <c r="X896" s="17" t="str">
        <f aca="false">J896</f>
        <v>A018</v>
      </c>
      <c r="Y896" s="17" t="str">
        <f aca="false">VLOOKUP(X896,Sheet2!A:B,2,0)</f>
        <v>PRAKASH CHAVDA</v>
      </c>
      <c r="Z896" s="17" t="s">
        <v>127</v>
      </c>
      <c r="AA896" s="17" t="s">
        <v>449</v>
      </c>
      <c r="AB896" s="17" t="s">
        <v>41</v>
      </c>
      <c r="AC896" s="0" t="str">
        <f aca="false">LEFT(G896,2)</f>
        <v>94</v>
      </c>
      <c r="AD896" s="0"/>
      <c r="AE896" s="21" t="s">
        <v>42</v>
      </c>
    </row>
    <row r="897" customFormat="false" ht="15" hidden="false" customHeight="false" outlineLevel="0" collapsed="false">
      <c r="A897" s="13" t="n">
        <f aca="false">1+A896</f>
        <v>895</v>
      </c>
      <c r="B897" s="17" t="n">
        <v>1009503435</v>
      </c>
      <c r="C897" s="17" t="s">
        <v>95</v>
      </c>
      <c r="D897" s="17" t="s">
        <v>221</v>
      </c>
      <c r="E897" s="17" t="s">
        <v>47</v>
      </c>
      <c r="F897" s="18" t="s">
        <v>34</v>
      </c>
      <c r="G897" s="19" t="n">
        <v>775322074896</v>
      </c>
      <c r="H897" s="17" t="s">
        <v>134</v>
      </c>
      <c r="I897" s="17" t="s">
        <v>44</v>
      </c>
      <c r="J897" s="17" t="s">
        <v>106</v>
      </c>
      <c r="K897" s="17" t="str">
        <f aca="false">VLOOKUP(J897,Sheet2!A:B,2,0)</f>
        <v>PRAKASH CHAVDA</v>
      </c>
      <c r="L897" s="17" t="n">
        <v>5</v>
      </c>
      <c r="M897" s="17" t="str">
        <f aca="false">VLOOKUP(L897,Sheet2!D:E,2,0)</f>
        <v>Main Processor CPU BGA</v>
      </c>
      <c r="N897" s="17" t="n">
        <v>24</v>
      </c>
      <c r="O897" s="17" t="str">
        <f aca="false">VLOOKUP(N897,Sheet2!G:H,2,0)</f>
        <v>STB Auto moving -Stand by mode</v>
      </c>
      <c r="P897" s="17" t="n">
        <v>12</v>
      </c>
      <c r="Q897" s="17" t="str">
        <f aca="false">VLOOKUP(P897,Sheet2!J:K,2,0)</f>
        <v>IR Declared due to Others ( IR Normal)TB</v>
      </c>
      <c r="R897" s="17" t="s">
        <v>35</v>
      </c>
      <c r="S897" s="17" t="str">
        <f aca="false">VLOOKUP(R897,Sheet2!N:O,2,0)</f>
        <v>IREPARABLE</v>
      </c>
      <c r="T897" s="18" t="str">
        <f aca="false">VLOOKUP(P897,Sheet2!Q:R,2,0)</f>
        <v>IR Normal - BER to IR</v>
      </c>
      <c r="U897" s="20" t="s">
        <v>135</v>
      </c>
      <c r="V897" s="17" t="n">
        <v>12</v>
      </c>
      <c r="W897" s="20" t="str">
        <f aca="false">VLOOKUP(V897,Sheet2!Q:R,2,0)</f>
        <v>IR Normal - BER to IR</v>
      </c>
      <c r="X897" s="17" t="str">
        <f aca="false">J897</f>
        <v>A018</v>
      </c>
      <c r="Y897" s="17" t="str">
        <f aca="false">VLOOKUP(X897,Sheet2!A:B,2,0)</f>
        <v>PRAKASH CHAVDA</v>
      </c>
      <c r="Z897" s="17" t="s">
        <v>136</v>
      </c>
      <c r="AA897" s="17" t="s">
        <v>449</v>
      </c>
      <c r="AB897" s="17" t="s">
        <v>41</v>
      </c>
      <c r="AC897" s="0" t="str">
        <f aca="false">LEFT(G897,2)</f>
        <v>77</v>
      </c>
      <c r="AD897" s="0"/>
      <c r="AE897" s="21" t="s">
        <v>42</v>
      </c>
    </row>
    <row r="898" customFormat="false" ht="15" hidden="false" customHeight="false" outlineLevel="0" collapsed="false">
      <c r="A898" s="13" t="n">
        <f aca="false">1+A897</f>
        <v>896</v>
      </c>
      <c r="B898" s="17" t="n">
        <v>1009631232</v>
      </c>
      <c r="C898" s="17" t="s">
        <v>232</v>
      </c>
      <c r="D898" s="17" t="s">
        <v>64</v>
      </c>
      <c r="E898" s="17" t="s">
        <v>64</v>
      </c>
      <c r="F898" s="18" t="s">
        <v>70</v>
      </c>
      <c r="G898" s="19" t="n">
        <v>775324201935</v>
      </c>
      <c r="H898" s="17" t="s">
        <v>134</v>
      </c>
      <c r="I898" s="17" t="s">
        <v>44</v>
      </c>
      <c r="J898" s="17" t="s">
        <v>106</v>
      </c>
      <c r="K898" s="17" t="str">
        <f aca="false">VLOOKUP(J898,Sheet2!A:B,2,0)</f>
        <v>PRAKASH CHAVDA</v>
      </c>
      <c r="L898" s="17" t="n">
        <v>5</v>
      </c>
      <c r="M898" s="17" t="str">
        <f aca="false">VLOOKUP(L898,Sheet2!D:E,2,0)</f>
        <v>Main Processor CPU BGA</v>
      </c>
      <c r="N898" s="17" t="n">
        <v>1</v>
      </c>
      <c r="O898" s="17" t="str">
        <f aca="false">VLOOKUP(N898,Sheet2!G:H,2,0)</f>
        <v>Dead</v>
      </c>
      <c r="P898" s="17" t="n">
        <v>12</v>
      </c>
      <c r="Q898" s="17" t="str">
        <f aca="false">VLOOKUP(P898,Sheet2!J:K,2,0)</f>
        <v>IR Declared due to Others ( IR Normal)TB</v>
      </c>
      <c r="R898" s="17" t="s">
        <v>35</v>
      </c>
      <c r="S898" s="17" t="str">
        <f aca="false">VLOOKUP(R898,Sheet2!N:O,2,0)</f>
        <v>IREPARABLE</v>
      </c>
      <c r="T898" s="18" t="str">
        <f aca="false">VLOOKUP(P898,Sheet2!Q:R,2,0)</f>
        <v>IR Normal - BER to IR</v>
      </c>
      <c r="U898" s="20" t="s">
        <v>135</v>
      </c>
      <c r="V898" s="17" t="n">
        <v>12</v>
      </c>
      <c r="W898" s="20" t="str">
        <f aca="false">VLOOKUP(V898,Sheet2!Q:R,2,0)</f>
        <v>IR Normal - BER to IR</v>
      </c>
      <c r="X898" s="17" t="str">
        <f aca="false">J898</f>
        <v>A018</v>
      </c>
      <c r="Y898" s="17" t="str">
        <f aca="false">VLOOKUP(X898,Sheet2!A:B,2,0)</f>
        <v>PRAKASH CHAVDA</v>
      </c>
      <c r="Z898" s="17" t="s">
        <v>136</v>
      </c>
      <c r="AA898" s="17" t="s">
        <v>449</v>
      </c>
      <c r="AB898" s="17" t="s">
        <v>41</v>
      </c>
      <c r="AC898" s="0" t="str">
        <f aca="false">LEFT(G898,2)</f>
        <v>77</v>
      </c>
      <c r="AD898" s="0"/>
      <c r="AE898" s="21" t="s">
        <v>42</v>
      </c>
    </row>
    <row r="899" customFormat="false" ht="15" hidden="false" customHeight="false" outlineLevel="0" collapsed="false">
      <c r="A899" s="13" t="n">
        <f aca="false">1+A898</f>
        <v>897</v>
      </c>
      <c r="B899" s="17" t="n">
        <v>1009606268</v>
      </c>
      <c r="C899" s="17" t="s">
        <v>181</v>
      </c>
      <c r="D899" s="17" t="s">
        <v>64</v>
      </c>
      <c r="E899" s="17" t="s">
        <v>64</v>
      </c>
      <c r="F899" s="18" t="s">
        <v>70</v>
      </c>
      <c r="G899" s="19" t="n">
        <v>775352237165</v>
      </c>
      <c r="H899" s="17" t="s">
        <v>134</v>
      </c>
      <c r="I899" s="17" t="s">
        <v>44</v>
      </c>
      <c r="J899" s="17" t="s">
        <v>106</v>
      </c>
      <c r="K899" s="17" t="str">
        <f aca="false">VLOOKUP(J899,Sheet2!A:B,2,0)</f>
        <v>PRAKASH CHAVDA</v>
      </c>
      <c r="L899" s="17" t="n">
        <v>5</v>
      </c>
      <c r="M899" s="17" t="str">
        <f aca="false">VLOOKUP(L899,Sheet2!D:E,2,0)</f>
        <v>Main Processor CPU BGA</v>
      </c>
      <c r="N899" s="17" t="n">
        <v>24</v>
      </c>
      <c r="O899" s="17" t="str">
        <f aca="false">VLOOKUP(N899,Sheet2!G:H,2,0)</f>
        <v>STB Auto moving -Stand by mode</v>
      </c>
      <c r="P899" s="17" t="n">
        <v>12</v>
      </c>
      <c r="Q899" s="17" t="str">
        <f aca="false">VLOOKUP(P899,Sheet2!J:K,2,0)</f>
        <v>IR Declared due to Others ( IR Normal)TB</v>
      </c>
      <c r="R899" s="17" t="s">
        <v>35</v>
      </c>
      <c r="S899" s="17" t="str">
        <f aca="false">VLOOKUP(R899,Sheet2!N:O,2,0)</f>
        <v>IREPARABLE</v>
      </c>
      <c r="T899" s="18" t="str">
        <f aca="false">VLOOKUP(P899,Sheet2!Q:R,2,0)</f>
        <v>IR Normal - BER to IR</v>
      </c>
      <c r="U899" s="20" t="s">
        <v>135</v>
      </c>
      <c r="V899" s="17" t="n">
        <v>12</v>
      </c>
      <c r="W899" s="20" t="str">
        <f aca="false">VLOOKUP(V899,Sheet2!Q:R,2,0)</f>
        <v>IR Normal - BER to IR</v>
      </c>
      <c r="X899" s="17" t="str">
        <f aca="false">J899</f>
        <v>A018</v>
      </c>
      <c r="Y899" s="17" t="str">
        <f aca="false">VLOOKUP(X899,Sheet2!A:B,2,0)</f>
        <v>PRAKASH CHAVDA</v>
      </c>
      <c r="Z899" s="17" t="s">
        <v>136</v>
      </c>
      <c r="AA899" s="17" t="s">
        <v>449</v>
      </c>
      <c r="AB899" s="17" t="s">
        <v>41</v>
      </c>
      <c r="AC899" s="0" t="str">
        <f aca="false">LEFT(G899,2)</f>
        <v>77</v>
      </c>
      <c r="AD899" s="0"/>
      <c r="AE899" s="21" t="s">
        <v>42</v>
      </c>
    </row>
    <row r="900" customFormat="false" ht="15" hidden="false" customHeight="false" outlineLevel="0" collapsed="false">
      <c r="A900" s="13" t="n">
        <f aca="false">1+A899</f>
        <v>898</v>
      </c>
      <c r="B900" s="17" t="n">
        <v>1009449347</v>
      </c>
      <c r="C900" s="17" t="s">
        <v>268</v>
      </c>
      <c r="D900" s="17" t="s">
        <v>64</v>
      </c>
      <c r="E900" s="17" t="s">
        <v>109</v>
      </c>
      <c r="F900" s="18" t="s">
        <v>34</v>
      </c>
      <c r="G900" s="19" t="n">
        <v>413219310559</v>
      </c>
      <c r="H900" s="17" t="s">
        <v>134</v>
      </c>
      <c r="I900" s="17" t="s">
        <v>44</v>
      </c>
      <c r="J900" s="17" t="s">
        <v>106</v>
      </c>
      <c r="K900" s="17" t="str">
        <f aca="false">VLOOKUP(J900,Sheet2!A:B,2,0)</f>
        <v>PRAKASH CHAVDA</v>
      </c>
      <c r="L900" s="17" t="n">
        <v>5</v>
      </c>
      <c r="M900" s="17" t="str">
        <f aca="false">VLOOKUP(L900,Sheet2!D:E,2,0)</f>
        <v>Main Processor CPU BGA</v>
      </c>
      <c r="N900" s="17" t="n">
        <v>15</v>
      </c>
      <c r="O900" s="17" t="str">
        <f aca="false">VLOOKUP(N900,Sheet2!G:H,2,0)</f>
        <v>No Video - AV</v>
      </c>
      <c r="P900" s="17" t="n">
        <v>12</v>
      </c>
      <c r="Q900" s="17" t="str">
        <f aca="false">VLOOKUP(P900,Sheet2!J:K,2,0)</f>
        <v>IR Declared due to Others ( IR Normal)TB</v>
      </c>
      <c r="R900" s="17" t="s">
        <v>35</v>
      </c>
      <c r="S900" s="17" t="str">
        <f aca="false">VLOOKUP(R900,Sheet2!N:O,2,0)</f>
        <v>IREPARABLE</v>
      </c>
      <c r="T900" s="18" t="str">
        <f aca="false">VLOOKUP(P900,Sheet2!Q:R,2,0)</f>
        <v>IR Normal - BER to IR</v>
      </c>
      <c r="U900" s="20" t="s">
        <v>135</v>
      </c>
      <c r="V900" s="17" t="n">
        <v>12</v>
      </c>
      <c r="W900" s="20" t="str">
        <f aca="false">VLOOKUP(V900,Sheet2!Q:R,2,0)</f>
        <v>IR Normal - BER to IR</v>
      </c>
      <c r="X900" s="17" t="str">
        <f aca="false">J900</f>
        <v>A018</v>
      </c>
      <c r="Y900" s="17" t="str">
        <f aca="false">VLOOKUP(X900,Sheet2!A:B,2,0)</f>
        <v>PRAKASH CHAVDA</v>
      </c>
      <c r="Z900" s="17" t="s">
        <v>149</v>
      </c>
      <c r="AA900" s="17" t="s">
        <v>449</v>
      </c>
      <c r="AB900" s="17" t="s">
        <v>41</v>
      </c>
      <c r="AC900" s="0" t="str">
        <f aca="false">LEFT(G900,2)</f>
        <v>41</v>
      </c>
      <c r="AD900" s="0"/>
      <c r="AE900" s="21" t="s">
        <v>42</v>
      </c>
    </row>
    <row r="901" customFormat="false" ht="15" hidden="false" customHeight="false" outlineLevel="0" collapsed="false">
      <c r="A901" s="13" t="n">
        <f aca="false">1+A900</f>
        <v>899</v>
      </c>
      <c r="B901" s="17" t="n">
        <v>1009343541</v>
      </c>
      <c r="C901" s="17" t="s">
        <v>191</v>
      </c>
      <c r="D901" s="17" t="s">
        <v>64</v>
      </c>
      <c r="E901" s="17" t="s">
        <v>474</v>
      </c>
      <c r="F901" s="18" t="s">
        <v>34</v>
      </c>
      <c r="G901" s="19" t="n">
        <v>651183007418</v>
      </c>
      <c r="H901" s="17" t="s">
        <v>134</v>
      </c>
      <c r="I901" s="17" t="s">
        <v>50</v>
      </c>
      <c r="J901" s="17" t="s">
        <v>106</v>
      </c>
      <c r="K901" s="17" t="str">
        <f aca="false">VLOOKUP(J901,Sheet2!A:B,2,0)</f>
        <v>PRAKASH CHAVDA</v>
      </c>
      <c r="L901" s="17" t="n">
        <v>5</v>
      </c>
      <c r="M901" s="17" t="str">
        <f aca="false">VLOOKUP(L901,Sheet2!D:E,2,0)</f>
        <v>Main Processor CPU BGA</v>
      </c>
      <c r="N901" s="17" t="n">
        <v>1</v>
      </c>
      <c r="O901" s="17" t="str">
        <f aca="false">VLOOKUP(N901,Sheet2!G:H,2,0)</f>
        <v>Dead</v>
      </c>
      <c r="P901" s="17" t="n">
        <v>12</v>
      </c>
      <c r="Q901" s="17" t="str">
        <f aca="false">VLOOKUP(P901,Sheet2!J:K,2,0)</f>
        <v>IR Declared due to Others ( IR Normal)TB</v>
      </c>
      <c r="R901" s="17" t="s">
        <v>35</v>
      </c>
      <c r="S901" s="17" t="str">
        <f aca="false">VLOOKUP(R901,Sheet2!N:O,2,0)</f>
        <v>IREPARABLE</v>
      </c>
      <c r="T901" s="18" t="str">
        <f aca="false">VLOOKUP(P901,Sheet2!Q:R,2,0)</f>
        <v>IR Normal - BER to IR</v>
      </c>
      <c r="U901" s="20" t="s">
        <v>135</v>
      </c>
      <c r="V901" s="17" t="n">
        <v>12</v>
      </c>
      <c r="W901" s="20" t="str">
        <f aca="false">VLOOKUP(V901,Sheet2!Q:R,2,0)</f>
        <v>IR Normal - BER to IR</v>
      </c>
      <c r="X901" s="17" t="str">
        <f aca="false">J901</f>
        <v>A018</v>
      </c>
      <c r="Y901" s="17" t="str">
        <f aca="false">VLOOKUP(X901,Sheet2!A:B,2,0)</f>
        <v>PRAKASH CHAVDA</v>
      </c>
      <c r="Z901" s="17" t="s">
        <v>149</v>
      </c>
      <c r="AA901" s="17" t="s">
        <v>449</v>
      </c>
      <c r="AB901" s="17" t="s">
        <v>41</v>
      </c>
      <c r="AC901" s="0" t="str">
        <f aca="false">LEFT(G901,2)</f>
        <v>65</v>
      </c>
      <c r="AD901" s="0"/>
      <c r="AE901" s="21" t="s">
        <v>42</v>
      </c>
    </row>
    <row r="902" customFormat="false" ht="15" hidden="false" customHeight="false" outlineLevel="0" collapsed="false">
      <c r="A902" s="13" t="n">
        <f aca="false">1+A901</f>
        <v>900</v>
      </c>
      <c r="B902" s="17" t="n">
        <v>1009627119</v>
      </c>
      <c r="C902" s="17" t="s">
        <v>163</v>
      </c>
      <c r="D902" s="17" t="s">
        <v>250</v>
      </c>
      <c r="E902" s="17" t="s">
        <v>47</v>
      </c>
      <c r="F902" s="18" t="s">
        <v>34</v>
      </c>
      <c r="G902" s="19" t="n">
        <v>651016015372</v>
      </c>
      <c r="H902" s="17" t="s">
        <v>134</v>
      </c>
      <c r="I902" s="17" t="s">
        <v>50</v>
      </c>
      <c r="J902" s="17" t="s">
        <v>106</v>
      </c>
      <c r="K902" s="17" t="str">
        <f aca="false">VLOOKUP(J902,Sheet2!A:B,2,0)</f>
        <v>PRAKASH CHAVDA</v>
      </c>
      <c r="L902" s="17" t="n">
        <v>5</v>
      </c>
      <c r="M902" s="17" t="str">
        <f aca="false">VLOOKUP(L902,Sheet2!D:E,2,0)</f>
        <v>Main Processor CPU BGA</v>
      </c>
      <c r="N902" s="17" t="n">
        <v>1</v>
      </c>
      <c r="O902" s="17" t="str">
        <f aca="false">VLOOKUP(N902,Sheet2!G:H,2,0)</f>
        <v>Dead</v>
      </c>
      <c r="P902" s="17" t="n">
        <v>12</v>
      </c>
      <c r="Q902" s="17" t="str">
        <f aca="false">VLOOKUP(P902,Sheet2!J:K,2,0)</f>
        <v>IR Declared due to Others ( IR Normal)TB</v>
      </c>
      <c r="R902" s="17" t="s">
        <v>35</v>
      </c>
      <c r="S902" s="17" t="str">
        <f aca="false">VLOOKUP(R902,Sheet2!N:O,2,0)</f>
        <v>IREPARABLE</v>
      </c>
      <c r="T902" s="18" t="str">
        <f aca="false">VLOOKUP(P902,Sheet2!Q:R,2,0)</f>
        <v>IR Normal - BER to IR</v>
      </c>
      <c r="U902" s="20" t="s">
        <v>135</v>
      </c>
      <c r="V902" s="17" t="n">
        <v>12</v>
      </c>
      <c r="W902" s="20" t="str">
        <f aca="false">VLOOKUP(V902,Sheet2!Q:R,2,0)</f>
        <v>IR Normal - BER to IR</v>
      </c>
      <c r="X902" s="17" t="str">
        <f aca="false">J902</f>
        <v>A018</v>
      </c>
      <c r="Y902" s="17" t="str">
        <f aca="false">VLOOKUP(X902,Sheet2!A:B,2,0)</f>
        <v>PRAKASH CHAVDA</v>
      </c>
      <c r="Z902" s="17" t="s">
        <v>149</v>
      </c>
      <c r="AA902" s="17" t="s">
        <v>449</v>
      </c>
      <c r="AB902" s="17" t="s">
        <v>41</v>
      </c>
      <c r="AC902" s="0" t="str">
        <f aca="false">LEFT(G902,2)</f>
        <v>65</v>
      </c>
      <c r="AD902" s="0"/>
      <c r="AE902" s="21" t="s">
        <v>42</v>
      </c>
    </row>
    <row r="903" customFormat="false" ht="15" hidden="false" customHeight="false" outlineLevel="0" collapsed="false">
      <c r="A903" s="13" t="n">
        <f aca="false">1+A902</f>
        <v>901</v>
      </c>
      <c r="B903" s="17" t="n">
        <v>1009627123</v>
      </c>
      <c r="C903" s="17" t="s">
        <v>163</v>
      </c>
      <c r="D903" s="17" t="s">
        <v>250</v>
      </c>
      <c r="E903" s="17" t="s">
        <v>47</v>
      </c>
      <c r="F903" s="18" t="s">
        <v>34</v>
      </c>
      <c r="G903" s="19" t="n">
        <v>651046010245</v>
      </c>
      <c r="H903" s="17" t="s">
        <v>134</v>
      </c>
      <c r="I903" s="17" t="s">
        <v>50</v>
      </c>
      <c r="J903" s="17" t="s">
        <v>106</v>
      </c>
      <c r="K903" s="17" t="str">
        <f aca="false">VLOOKUP(J903,Sheet2!A:B,2,0)</f>
        <v>PRAKASH CHAVDA</v>
      </c>
      <c r="L903" s="17" t="n">
        <v>5</v>
      </c>
      <c r="M903" s="17" t="str">
        <f aca="false">VLOOKUP(L903,Sheet2!D:E,2,0)</f>
        <v>Main Processor CPU BGA</v>
      </c>
      <c r="N903" s="17" t="n">
        <v>1</v>
      </c>
      <c r="O903" s="17" t="str">
        <f aca="false">VLOOKUP(N903,Sheet2!G:H,2,0)</f>
        <v>Dead</v>
      </c>
      <c r="P903" s="17" t="n">
        <v>12</v>
      </c>
      <c r="Q903" s="17" t="str">
        <f aca="false">VLOOKUP(P903,Sheet2!J:K,2,0)</f>
        <v>IR Declared due to Others ( IR Normal)TB</v>
      </c>
      <c r="R903" s="17" t="s">
        <v>35</v>
      </c>
      <c r="S903" s="17" t="str">
        <f aca="false">VLOOKUP(R903,Sheet2!N:O,2,0)</f>
        <v>IREPARABLE</v>
      </c>
      <c r="T903" s="18" t="str">
        <f aca="false">VLOOKUP(P903,Sheet2!Q:R,2,0)</f>
        <v>IR Normal - BER to IR</v>
      </c>
      <c r="U903" s="20" t="s">
        <v>135</v>
      </c>
      <c r="V903" s="17" t="n">
        <v>12</v>
      </c>
      <c r="W903" s="20" t="str">
        <f aca="false">VLOOKUP(V903,Sheet2!Q:R,2,0)</f>
        <v>IR Normal - BER to IR</v>
      </c>
      <c r="X903" s="17" t="str">
        <f aca="false">J903</f>
        <v>A018</v>
      </c>
      <c r="Y903" s="17" t="str">
        <f aca="false">VLOOKUP(X903,Sheet2!A:B,2,0)</f>
        <v>PRAKASH CHAVDA</v>
      </c>
      <c r="Z903" s="17" t="s">
        <v>149</v>
      </c>
      <c r="AA903" s="17" t="s">
        <v>449</v>
      </c>
      <c r="AB903" s="17" t="s">
        <v>41</v>
      </c>
      <c r="AC903" s="0" t="str">
        <f aca="false">LEFT(G903,2)</f>
        <v>65</v>
      </c>
      <c r="AD903" s="0"/>
      <c r="AE903" s="21" t="s">
        <v>42</v>
      </c>
    </row>
    <row r="904" customFormat="false" ht="15" hidden="false" customHeight="false" outlineLevel="0" collapsed="false">
      <c r="A904" s="13" t="n">
        <f aca="false">1+A903</f>
        <v>902</v>
      </c>
      <c r="B904" s="17" t="n">
        <v>1009627128</v>
      </c>
      <c r="C904" s="17" t="s">
        <v>163</v>
      </c>
      <c r="D904" s="17" t="s">
        <v>64</v>
      </c>
      <c r="E904" s="17" t="s">
        <v>47</v>
      </c>
      <c r="F904" s="18" t="s">
        <v>34</v>
      </c>
      <c r="G904" s="19" t="n">
        <v>651102003639</v>
      </c>
      <c r="H904" s="17" t="s">
        <v>134</v>
      </c>
      <c r="I904" s="17" t="s">
        <v>50</v>
      </c>
      <c r="J904" s="17" t="s">
        <v>106</v>
      </c>
      <c r="K904" s="17" t="str">
        <f aca="false">VLOOKUP(J904,Sheet2!A:B,2,0)</f>
        <v>PRAKASH CHAVDA</v>
      </c>
      <c r="L904" s="17" t="n">
        <v>5</v>
      </c>
      <c r="M904" s="17" t="str">
        <f aca="false">VLOOKUP(L904,Sheet2!D:E,2,0)</f>
        <v>Main Processor CPU BGA</v>
      </c>
      <c r="N904" s="17" t="n">
        <v>1</v>
      </c>
      <c r="O904" s="17" t="str">
        <f aca="false">VLOOKUP(N904,Sheet2!G:H,2,0)</f>
        <v>Dead</v>
      </c>
      <c r="P904" s="17" t="n">
        <v>12</v>
      </c>
      <c r="Q904" s="17" t="str">
        <f aca="false">VLOOKUP(P904,Sheet2!J:K,2,0)</f>
        <v>IR Declared due to Others ( IR Normal)TB</v>
      </c>
      <c r="R904" s="17" t="s">
        <v>35</v>
      </c>
      <c r="S904" s="17" t="str">
        <f aca="false">VLOOKUP(R904,Sheet2!N:O,2,0)</f>
        <v>IREPARABLE</v>
      </c>
      <c r="T904" s="18" t="str">
        <f aca="false">VLOOKUP(P904,Sheet2!Q:R,2,0)</f>
        <v>IR Normal - BER to IR</v>
      </c>
      <c r="U904" s="20" t="s">
        <v>135</v>
      </c>
      <c r="V904" s="17" t="n">
        <v>12</v>
      </c>
      <c r="W904" s="20" t="str">
        <f aca="false">VLOOKUP(V904,Sheet2!Q:R,2,0)</f>
        <v>IR Normal - BER to IR</v>
      </c>
      <c r="X904" s="17" t="str">
        <f aca="false">J904</f>
        <v>A018</v>
      </c>
      <c r="Y904" s="17" t="str">
        <f aca="false">VLOOKUP(X904,Sheet2!A:B,2,0)</f>
        <v>PRAKASH CHAVDA</v>
      </c>
      <c r="Z904" s="17" t="s">
        <v>149</v>
      </c>
      <c r="AA904" s="17" t="s">
        <v>449</v>
      </c>
      <c r="AB904" s="17" t="s">
        <v>41</v>
      </c>
      <c r="AC904" s="0" t="str">
        <f aca="false">LEFT(G904,2)</f>
        <v>65</v>
      </c>
      <c r="AD904" s="0"/>
      <c r="AE904" s="21" t="s">
        <v>42</v>
      </c>
    </row>
    <row r="905" customFormat="false" ht="15" hidden="false" customHeight="false" outlineLevel="0" collapsed="false">
      <c r="A905" s="13" t="n">
        <f aca="false">1+A904</f>
        <v>903</v>
      </c>
      <c r="B905" s="17" t="n">
        <v>1009514007</v>
      </c>
      <c r="C905" s="17" t="s">
        <v>232</v>
      </c>
      <c r="D905" s="17" t="s">
        <v>64</v>
      </c>
      <c r="E905" s="17" t="s">
        <v>64</v>
      </c>
      <c r="F905" s="18" t="s">
        <v>70</v>
      </c>
      <c r="G905" s="19" t="n">
        <v>651047005798</v>
      </c>
      <c r="H905" s="17" t="s">
        <v>134</v>
      </c>
      <c r="I905" s="17" t="s">
        <v>50</v>
      </c>
      <c r="J905" s="17" t="s">
        <v>106</v>
      </c>
      <c r="K905" s="17" t="str">
        <f aca="false">VLOOKUP(J905,Sheet2!A:B,2,0)</f>
        <v>PRAKASH CHAVDA</v>
      </c>
      <c r="L905" s="17" t="n">
        <v>5</v>
      </c>
      <c r="M905" s="17" t="str">
        <f aca="false">VLOOKUP(L905,Sheet2!D:E,2,0)</f>
        <v>Main Processor CPU BGA</v>
      </c>
      <c r="N905" s="17" t="n">
        <v>18</v>
      </c>
      <c r="O905" s="17" t="str">
        <f aca="false">VLOOKUP(N905,Sheet2!G:H,2,0)</f>
        <v>No Video- RF</v>
      </c>
      <c r="P905" s="17" t="n">
        <v>12</v>
      </c>
      <c r="Q905" s="17" t="str">
        <f aca="false">VLOOKUP(P905,Sheet2!J:K,2,0)</f>
        <v>IR Declared due to Others ( IR Normal)TB</v>
      </c>
      <c r="R905" s="17" t="s">
        <v>35</v>
      </c>
      <c r="S905" s="17" t="str">
        <f aca="false">VLOOKUP(R905,Sheet2!N:O,2,0)</f>
        <v>IREPARABLE</v>
      </c>
      <c r="T905" s="18" t="str">
        <f aca="false">VLOOKUP(P905,Sheet2!Q:R,2,0)</f>
        <v>IR Normal - BER to IR</v>
      </c>
      <c r="U905" s="20" t="s">
        <v>135</v>
      </c>
      <c r="V905" s="17" t="n">
        <v>12</v>
      </c>
      <c r="W905" s="20" t="str">
        <f aca="false">VLOOKUP(V905,Sheet2!Q:R,2,0)</f>
        <v>IR Normal - BER to IR</v>
      </c>
      <c r="X905" s="17" t="str">
        <f aca="false">J905</f>
        <v>A018</v>
      </c>
      <c r="Y905" s="17" t="str">
        <f aca="false">VLOOKUP(X905,Sheet2!A:B,2,0)</f>
        <v>PRAKASH CHAVDA</v>
      </c>
      <c r="Z905" s="17" t="s">
        <v>149</v>
      </c>
      <c r="AA905" s="17" t="s">
        <v>449</v>
      </c>
      <c r="AB905" s="17" t="s">
        <v>41</v>
      </c>
      <c r="AC905" s="0" t="str">
        <f aca="false">LEFT(G905,2)</f>
        <v>65</v>
      </c>
      <c r="AD905" s="0"/>
      <c r="AE905" s="21" t="s">
        <v>42</v>
      </c>
    </row>
    <row r="906" customFormat="false" ht="15" hidden="false" customHeight="false" outlineLevel="0" collapsed="false">
      <c r="A906" s="13" t="n">
        <f aca="false">1+A905</f>
        <v>904</v>
      </c>
      <c r="B906" s="17" t="n">
        <v>1009586834</v>
      </c>
      <c r="C906" s="17" t="s">
        <v>139</v>
      </c>
      <c r="D906" s="17" t="s">
        <v>64</v>
      </c>
      <c r="E906" s="17" t="s">
        <v>64</v>
      </c>
      <c r="F906" s="18" t="s">
        <v>70</v>
      </c>
      <c r="G906" s="19" t="n">
        <v>651023001258</v>
      </c>
      <c r="H906" s="17" t="s">
        <v>134</v>
      </c>
      <c r="I906" s="17" t="s">
        <v>50</v>
      </c>
      <c r="J906" s="17" t="s">
        <v>106</v>
      </c>
      <c r="K906" s="17" t="str">
        <f aca="false">VLOOKUP(J906,Sheet2!A:B,2,0)</f>
        <v>PRAKASH CHAVDA</v>
      </c>
      <c r="L906" s="17" t="n">
        <v>5</v>
      </c>
      <c r="M906" s="17" t="str">
        <f aca="false">VLOOKUP(L906,Sheet2!D:E,2,0)</f>
        <v>Main Processor CPU BGA</v>
      </c>
      <c r="N906" s="17" t="n">
        <v>1</v>
      </c>
      <c r="O906" s="17" t="str">
        <f aca="false">VLOOKUP(N906,Sheet2!G:H,2,0)</f>
        <v>Dead</v>
      </c>
      <c r="P906" s="17" t="n">
        <v>12</v>
      </c>
      <c r="Q906" s="17" t="str">
        <f aca="false">VLOOKUP(P906,Sheet2!J:K,2,0)</f>
        <v>IR Declared due to Others ( IR Normal)TB</v>
      </c>
      <c r="R906" s="17" t="s">
        <v>35</v>
      </c>
      <c r="S906" s="17" t="str">
        <f aca="false">VLOOKUP(R906,Sheet2!N:O,2,0)</f>
        <v>IREPARABLE</v>
      </c>
      <c r="T906" s="18" t="str">
        <f aca="false">VLOOKUP(P906,Sheet2!Q:R,2,0)</f>
        <v>IR Normal - BER to IR</v>
      </c>
      <c r="U906" s="20" t="s">
        <v>135</v>
      </c>
      <c r="V906" s="17" t="n">
        <v>12</v>
      </c>
      <c r="W906" s="20" t="str">
        <f aca="false">VLOOKUP(V906,Sheet2!Q:R,2,0)</f>
        <v>IR Normal - BER to IR</v>
      </c>
      <c r="X906" s="17" t="str">
        <f aca="false">J906</f>
        <v>A018</v>
      </c>
      <c r="Y906" s="17" t="str">
        <f aca="false">VLOOKUP(X906,Sheet2!A:B,2,0)</f>
        <v>PRAKASH CHAVDA</v>
      </c>
      <c r="Z906" s="17" t="s">
        <v>149</v>
      </c>
      <c r="AA906" s="17" t="s">
        <v>449</v>
      </c>
      <c r="AB906" s="17" t="s">
        <v>41</v>
      </c>
      <c r="AC906" s="0" t="str">
        <f aca="false">LEFT(G906,2)</f>
        <v>65</v>
      </c>
      <c r="AD906" s="0"/>
      <c r="AE906" s="21" t="s">
        <v>42</v>
      </c>
    </row>
    <row r="907" customFormat="false" ht="15" hidden="false" customHeight="false" outlineLevel="0" collapsed="false">
      <c r="A907" s="13" t="n">
        <f aca="false">1+A906</f>
        <v>905</v>
      </c>
      <c r="B907" s="17" t="n">
        <v>1007251705</v>
      </c>
      <c r="C907" s="17" t="s">
        <v>475</v>
      </c>
      <c r="D907" s="17" t="s">
        <v>103</v>
      </c>
      <c r="E907" s="17" t="s">
        <v>47</v>
      </c>
      <c r="F907" s="18" t="s">
        <v>34</v>
      </c>
      <c r="G907" s="19" t="n">
        <v>651015008121</v>
      </c>
      <c r="H907" s="17" t="s">
        <v>134</v>
      </c>
      <c r="I907" s="17" t="s">
        <v>50</v>
      </c>
      <c r="J907" s="17" t="s">
        <v>106</v>
      </c>
      <c r="K907" s="17" t="str">
        <f aca="false">VLOOKUP(J907,Sheet2!A:B,2,0)</f>
        <v>PRAKASH CHAVDA</v>
      </c>
      <c r="L907" s="17" t="n">
        <v>5</v>
      </c>
      <c r="M907" s="17" t="str">
        <f aca="false">VLOOKUP(L907,Sheet2!D:E,2,0)</f>
        <v>Main Processor CPU BGA</v>
      </c>
      <c r="N907" s="17" t="n">
        <v>33</v>
      </c>
      <c r="O907" s="17" t="str">
        <f aca="false">VLOOKUP(N907,Sheet2!G:H,2,0)</f>
        <v>Software download failure</v>
      </c>
      <c r="P907" s="17" t="n">
        <v>12</v>
      </c>
      <c r="Q907" s="17" t="str">
        <f aca="false">VLOOKUP(P907,Sheet2!J:K,2,0)</f>
        <v>IR Declared due to Others ( IR Normal)TB</v>
      </c>
      <c r="R907" s="17" t="s">
        <v>35</v>
      </c>
      <c r="S907" s="17" t="str">
        <f aca="false">VLOOKUP(R907,Sheet2!N:O,2,0)</f>
        <v>IREPARABLE</v>
      </c>
      <c r="T907" s="18" t="str">
        <f aca="false">VLOOKUP(P907,Sheet2!Q:R,2,0)</f>
        <v>IR Normal - BER to IR</v>
      </c>
      <c r="U907" s="20" t="s">
        <v>135</v>
      </c>
      <c r="V907" s="17" t="n">
        <v>12</v>
      </c>
      <c r="W907" s="20" t="str">
        <f aca="false">VLOOKUP(V907,Sheet2!Q:R,2,0)</f>
        <v>IR Normal - BER to IR</v>
      </c>
      <c r="X907" s="17" t="str">
        <f aca="false">J907</f>
        <v>A018</v>
      </c>
      <c r="Y907" s="17" t="str">
        <f aca="false">VLOOKUP(X907,Sheet2!A:B,2,0)</f>
        <v>PRAKASH CHAVDA</v>
      </c>
      <c r="Z907" s="17" t="s">
        <v>149</v>
      </c>
      <c r="AA907" s="17" t="s">
        <v>449</v>
      </c>
      <c r="AB907" s="17" t="s">
        <v>41</v>
      </c>
      <c r="AC907" s="0" t="str">
        <f aca="false">LEFT(G907,2)</f>
        <v>65</v>
      </c>
      <c r="AD907" s="0"/>
      <c r="AE907" s="21" t="s">
        <v>42</v>
      </c>
    </row>
    <row r="908" customFormat="false" ht="15" hidden="false" customHeight="false" outlineLevel="0" collapsed="false">
      <c r="A908" s="13" t="n">
        <f aca="false">1+A907</f>
        <v>906</v>
      </c>
      <c r="B908" s="17" t="n">
        <v>1009623755</v>
      </c>
      <c r="C908" s="17" t="s">
        <v>184</v>
      </c>
      <c r="D908" s="17" t="s">
        <v>64</v>
      </c>
      <c r="E908" s="17" t="s">
        <v>91</v>
      </c>
      <c r="F908" s="18" t="s">
        <v>92</v>
      </c>
      <c r="G908" s="19" t="n">
        <v>651119007490</v>
      </c>
      <c r="H908" s="17" t="s">
        <v>134</v>
      </c>
      <c r="I908" s="17" t="s">
        <v>50</v>
      </c>
      <c r="J908" s="17" t="s">
        <v>106</v>
      </c>
      <c r="K908" s="17" t="str">
        <f aca="false">VLOOKUP(J908,Sheet2!A:B,2,0)</f>
        <v>PRAKASH CHAVDA</v>
      </c>
      <c r="L908" s="17" t="n">
        <v>5</v>
      </c>
      <c r="M908" s="17" t="str">
        <f aca="false">VLOOKUP(L908,Sheet2!D:E,2,0)</f>
        <v>Main Processor CPU BGA</v>
      </c>
      <c r="N908" s="17" t="n">
        <v>1</v>
      </c>
      <c r="O908" s="17" t="str">
        <f aca="false">VLOOKUP(N908,Sheet2!G:H,2,0)</f>
        <v>Dead</v>
      </c>
      <c r="P908" s="17" t="n">
        <v>12</v>
      </c>
      <c r="Q908" s="17" t="str">
        <f aca="false">VLOOKUP(P908,Sheet2!J:K,2,0)</f>
        <v>IR Declared due to Others ( IR Normal)TB</v>
      </c>
      <c r="R908" s="17" t="s">
        <v>35</v>
      </c>
      <c r="S908" s="17" t="str">
        <f aca="false">VLOOKUP(R908,Sheet2!N:O,2,0)</f>
        <v>IREPARABLE</v>
      </c>
      <c r="T908" s="18" t="str">
        <f aca="false">VLOOKUP(P908,Sheet2!Q:R,2,0)</f>
        <v>IR Normal - BER to IR</v>
      </c>
      <c r="U908" s="20" t="s">
        <v>135</v>
      </c>
      <c r="V908" s="17" t="n">
        <v>12</v>
      </c>
      <c r="W908" s="20" t="str">
        <f aca="false">VLOOKUP(V908,Sheet2!Q:R,2,0)</f>
        <v>IR Normal - BER to IR</v>
      </c>
      <c r="X908" s="17" t="str">
        <f aca="false">J908</f>
        <v>A018</v>
      </c>
      <c r="Y908" s="17" t="str">
        <f aca="false">VLOOKUP(X908,Sheet2!A:B,2,0)</f>
        <v>PRAKASH CHAVDA</v>
      </c>
      <c r="Z908" s="17" t="s">
        <v>149</v>
      </c>
      <c r="AA908" s="17" t="s">
        <v>449</v>
      </c>
      <c r="AB908" s="17" t="s">
        <v>41</v>
      </c>
      <c r="AC908" s="0" t="str">
        <f aca="false">LEFT(G908,2)</f>
        <v>65</v>
      </c>
      <c r="AD908" s="0"/>
      <c r="AE908" s="21" t="s">
        <v>42</v>
      </c>
    </row>
    <row r="909" customFormat="false" ht="15" hidden="false" customHeight="false" outlineLevel="0" collapsed="false">
      <c r="A909" s="13" t="n">
        <f aca="false">1+A908</f>
        <v>907</v>
      </c>
      <c r="B909" s="17" t="n">
        <v>1009642165</v>
      </c>
      <c r="C909" s="17" t="s">
        <v>429</v>
      </c>
      <c r="D909" s="17" t="s">
        <v>105</v>
      </c>
      <c r="E909" s="17" t="s">
        <v>47</v>
      </c>
      <c r="F909" s="18" t="s">
        <v>34</v>
      </c>
      <c r="G909" s="19" t="n">
        <v>651155015928</v>
      </c>
      <c r="H909" s="17" t="s">
        <v>134</v>
      </c>
      <c r="I909" s="17" t="s">
        <v>50</v>
      </c>
      <c r="J909" s="17" t="s">
        <v>106</v>
      </c>
      <c r="K909" s="17" t="str">
        <f aca="false">VLOOKUP(J909,Sheet2!A:B,2,0)</f>
        <v>PRAKASH CHAVDA</v>
      </c>
      <c r="L909" s="17" t="n">
        <v>5</v>
      </c>
      <c r="M909" s="17" t="str">
        <f aca="false">VLOOKUP(L909,Sheet2!D:E,2,0)</f>
        <v>Main Processor CPU BGA</v>
      </c>
      <c r="N909" s="17" t="n">
        <v>1</v>
      </c>
      <c r="O909" s="17" t="str">
        <f aca="false">VLOOKUP(N909,Sheet2!G:H,2,0)</f>
        <v>Dead</v>
      </c>
      <c r="P909" s="17" t="n">
        <v>12</v>
      </c>
      <c r="Q909" s="17" t="str">
        <f aca="false">VLOOKUP(P909,Sheet2!J:K,2,0)</f>
        <v>IR Declared due to Others ( IR Normal)TB</v>
      </c>
      <c r="R909" s="17" t="s">
        <v>35</v>
      </c>
      <c r="S909" s="17" t="str">
        <f aca="false">VLOOKUP(R909,Sheet2!N:O,2,0)</f>
        <v>IREPARABLE</v>
      </c>
      <c r="T909" s="18" t="str">
        <f aca="false">VLOOKUP(P909,Sheet2!Q:R,2,0)</f>
        <v>IR Normal - BER to IR</v>
      </c>
      <c r="U909" s="20" t="s">
        <v>135</v>
      </c>
      <c r="V909" s="17" t="n">
        <v>12</v>
      </c>
      <c r="W909" s="20" t="str">
        <f aca="false">VLOOKUP(V909,Sheet2!Q:R,2,0)</f>
        <v>IR Normal - BER to IR</v>
      </c>
      <c r="X909" s="17" t="str">
        <f aca="false">J909</f>
        <v>A018</v>
      </c>
      <c r="Y909" s="17" t="str">
        <f aca="false">VLOOKUP(X909,Sheet2!A:B,2,0)</f>
        <v>PRAKASH CHAVDA</v>
      </c>
      <c r="Z909" s="17" t="s">
        <v>149</v>
      </c>
      <c r="AA909" s="17" t="s">
        <v>449</v>
      </c>
      <c r="AB909" s="17" t="s">
        <v>41</v>
      </c>
      <c r="AC909" s="0" t="str">
        <f aca="false">LEFT(G909,2)</f>
        <v>65</v>
      </c>
      <c r="AD909" s="0"/>
      <c r="AE909" s="21" t="s">
        <v>42</v>
      </c>
    </row>
    <row r="910" customFormat="false" ht="15" hidden="false" customHeight="false" outlineLevel="0" collapsed="false">
      <c r="A910" s="13" t="n">
        <f aca="false">1+A909</f>
        <v>908</v>
      </c>
      <c r="B910" s="17" t="n">
        <v>1009540050</v>
      </c>
      <c r="C910" s="17" t="s">
        <v>126</v>
      </c>
      <c r="D910" s="17" t="s">
        <v>64</v>
      </c>
      <c r="E910" s="17" t="s">
        <v>109</v>
      </c>
      <c r="F910" s="18" t="s">
        <v>34</v>
      </c>
      <c r="G910" s="19" t="n">
        <v>652040001941</v>
      </c>
      <c r="H910" s="17" t="s">
        <v>134</v>
      </c>
      <c r="I910" s="17" t="s">
        <v>50</v>
      </c>
      <c r="J910" s="17" t="s">
        <v>106</v>
      </c>
      <c r="K910" s="17" t="str">
        <f aca="false">VLOOKUP(J910,Sheet2!A:B,2,0)</f>
        <v>PRAKASH CHAVDA</v>
      </c>
      <c r="L910" s="17" t="n">
        <v>5</v>
      </c>
      <c r="M910" s="17" t="str">
        <f aca="false">VLOOKUP(L910,Sheet2!D:E,2,0)</f>
        <v>Main Processor CPU BGA</v>
      </c>
      <c r="N910" s="17" t="n">
        <v>1</v>
      </c>
      <c r="O910" s="17" t="str">
        <f aca="false">VLOOKUP(N910,Sheet2!G:H,2,0)</f>
        <v>Dead</v>
      </c>
      <c r="P910" s="17" t="n">
        <v>12</v>
      </c>
      <c r="Q910" s="17" t="str">
        <f aca="false">VLOOKUP(P910,Sheet2!J:K,2,0)</f>
        <v>IR Declared due to Others ( IR Normal)TB</v>
      </c>
      <c r="R910" s="17" t="s">
        <v>35</v>
      </c>
      <c r="S910" s="17" t="str">
        <f aca="false">VLOOKUP(R910,Sheet2!N:O,2,0)</f>
        <v>IREPARABLE</v>
      </c>
      <c r="T910" s="18" t="str">
        <f aca="false">VLOOKUP(P910,Sheet2!Q:R,2,0)</f>
        <v>IR Normal - BER to IR</v>
      </c>
      <c r="U910" s="20" t="s">
        <v>135</v>
      </c>
      <c r="V910" s="17" t="n">
        <v>12</v>
      </c>
      <c r="W910" s="20" t="str">
        <f aca="false">VLOOKUP(V910,Sheet2!Q:R,2,0)</f>
        <v>IR Normal - BER to IR</v>
      </c>
      <c r="X910" s="17" t="str">
        <f aca="false">J910</f>
        <v>A018</v>
      </c>
      <c r="Y910" s="17" t="str">
        <f aca="false">VLOOKUP(X910,Sheet2!A:B,2,0)</f>
        <v>PRAKASH CHAVDA</v>
      </c>
      <c r="Z910" s="17" t="s">
        <v>149</v>
      </c>
      <c r="AA910" s="17" t="s">
        <v>449</v>
      </c>
      <c r="AB910" s="17" t="s">
        <v>41</v>
      </c>
      <c r="AC910" s="0" t="str">
        <f aca="false">LEFT(G910,2)</f>
        <v>65</v>
      </c>
      <c r="AD910" s="0"/>
      <c r="AE910" s="21" t="s">
        <v>42</v>
      </c>
    </row>
    <row r="911" customFormat="false" ht="15" hidden="false" customHeight="false" outlineLevel="0" collapsed="false">
      <c r="A911" s="13" t="n">
        <f aca="false">1+A910</f>
        <v>909</v>
      </c>
      <c r="B911" s="17" t="n">
        <v>1009473253</v>
      </c>
      <c r="C911" s="17" t="s">
        <v>90</v>
      </c>
      <c r="D911" s="17" t="s">
        <v>64</v>
      </c>
      <c r="E911" s="17" t="s">
        <v>476</v>
      </c>
      <c r="F911" s="18" t="s">
        <v>34</v>
      </c>
      <c r="G911" s="19" t="n">
        <v>651074030792</v>
      </c>
      <c r="H911" s="17" t="s">
        <v>134</v>
      </c>
      <c r="I911" s="17" t="s">
        <v>50</v>
      </c>
      <c r="J911" s="17" t="s">
        <v>106</v>
      </c>
      <c r="K911" s="17" t="str">
        <f aca="false">VLOOKUP(J911,Sheet2!A:B,2,0)</f>
        <v>PRAKASH CHAVDA</v>
      </c>
      <c r="L911" s="17" t="n">
        <v>5</v>
      </c>
      <c r="M911" s="17" t="str">
        <f aca="false">VLOOKUP(L911,Sheet2!D:E,2,0)</f>
        <v>Main Processor CPU BGA</v>
      </c>
      <c r="N911" s="17" t="n">
        <v>1</v>
      </c>
      <c r="O911" s="17" t="str">
        <f aca="false">VLOOKUP(N911,Sheet2!G:H,2,0)</f>
        <v>Dead</v>
      </c>
      <c r="P911" s="17" t="n">
        <v>12</v>
      </c>
      <c r="Q911" s="17" t="str">
        <f aca="false">VLOOKUP(P911,Sheet2!J:K,2,0)</f>
        <v>IR Declared due to Others ( IR Normal)TB</v>
      </c>
      <c r="R911" s="17" t="s">
        <v>35</v>
      </c>
      <c r="S911" s="17" t="str">
        <f aca="false">VLOOKUP(R911,Sheet2!N:O,2,0)</f>
        <v>IREPARABLE</v>
      </c>
      <c r="T911" s="18" t="str">
        <f aca="false">VLOOKUP(P911,Sheet2!Q:R,2,0)</f>
        <v>IR Normal - BER to IR</v>
      </c>
      <c r="U911" s="20" t="s">
        <v>135</v>
      </c>
      <c r="V911" s="17" t="n">
        <v>12</v>
      </c>
      <c r="W911" s="20" t="str">
        <f aca="false">VLOOKUP(V911,Sheet2!Q:R,2,0)</f>
        <v>IR Normal - BER to IR</v>
      </c>
      <c r="X911" s="17" t="str">
        <f aca="false">J911</f>
        <v>A018</v>
      </c>
      <c r="Y911" s="17" t="str">
        <f aca="false">VLOOKUP(X911,Sheet2!A:B,2,0)</f>
        <v>PRAKASH CHAVDA</v>
      </c>
      <c r="Z911" s="17" t="s">
        <v>149</v>
      </c>
      <c r="AA911" s="17" t="s">
        <v>449</v>
      </c>
      <c r="AB911" s="17" t="s">
        <v>41</v>
      </c>
      <c r="AC911" s="0" t="str">
        <f aca="false">LEFT(G911,2)</f>
        <v>65</v>
      </c>
      <c r="AD911" s="0"/>
      <c r="AE911" s="21" t="s">
        <v>42</v>
      </c>
    </row>
    <row r="912" customFormat="false" ht="15" hidden="false" customHeight="false" outlineLevel="0" collapsed="false">
      <c r="A912" s="13" t="n">
        <f aca="false">1+A911</f>
        <v>910</v>
      </c>
      <c r="B912" s="17" t="n">
        <v>1009448131</v>
      </c>
      <c r="C912" s="17" t="s">
        <v>189</v>
      </c>
      <c r="D912" s="17" t="s">
        <v>64</v>
      </c>
      <c r="E912" s="17" t="s">
        <v>64</v>
      </c>
      <c r="F912" s="18" t="s">
        <v>70</v>
      </c>
      <c r="G912" s="19" t="n">
        <v>651183007111</v>
      </c>
      <c r="H912" s="17" t="s">
        <v>134</v>
      </c>
      <c r="I912" s="17" t="s">
        <v>50</v>
      </c>
      <c r="J912" s="17" t="s">
        <v>106</v>
      </c>
      <c r="K912" s="17" t="str">
        <f aca="false">VLOOKUP(J912,Sheet2!A:B,2,0)</f>
        <v>PRAKASH CHAVDA</v>
      </c>
      <c r="L912" s="17" t="n">
        <v>5</v>
      </c>
      <c r="M912" s="17" t="str">
        <f aca="false">VLOOKUP(L912,Sheet2!D:E,2,0)</f>
        <v>Main Processor CPU BGA</v>
      </c>
      <c r="N912" s="17" t="n">
        <v>6</v>
      </c>
      <c r="O912" s="17" t="str">
        <f aca="false">VLOOKUP(N912,Sheet2!G:H,2,0)</f>
        <v>No Signal</v>
      </c>
      <c r="P912" s="17" t="n">
        <v>12</v>
      </c>
      <c r="Q912" s="17" t="str">
        <f aca="false">VLOOKUP(P912,Sheet2!J:K,2,0)</f>
        <v>IR Declared due to Others ( IR Normal)TB</v>
      </c>
      <c r="R912" s="17" t="s">
        <v>35</v>
      </c>
      <c r="S912" s="17" t="str">
        <f aca="false">VLOOKUP(R912,Sheet2!N:O,2,0)</f>
        <v>IREPARABLE</v>
      </c>
      <c r="T912" s="18" t="str">
        <f aca="false">VLOOKUP(P912,Sheet2!Q:R,2,0)</f>
        <v>IR Normal - BER to IR</v>
      </c>
      <c r="U912" s="20" t="s">
        <v>135</v>
      </c>
      <c r="V912" s="17" t="n">
        <v>12</v>
      </c>
      <c r="W912" s="20" t="str">
        <f aca="false">VLOOKUP(V912,Sheet2!Q:R,2,0)</f>
        <v>IR Normal - BER to IR</v>
      </c>
      <c r="X912" s="17" t="str">
        <f aca="false">J912</f>
        <v>A018</v>
      </c>
      <c r="Y912" s="17" t="str">
        <f aca="false">VLOOKUP(X912,Sheet2!A:B,2,0)</f>
        <v>PRAKASH CHAVDA</v>
      </c>
      <c r="Z912" s="17" t="s">
        <v>149</v>
      </c>
      <c r="AA912" s="17" t="s">
        <v>449</v>
      </c>
      <c r="AB912" s="17" t="s">
        <v>41</v>
      </c>
      <c r="AC912" s="0" t="str">
        <f aca="false">LEFT(G912,2)</f>
        <v>65</v>
      </c>
      <c r="AD912" s="0"/>
      <c r="AE912" s="21" t="s">
        <v>42</v>
      </c>
    </row>
    <row r="913" customFormat="false" ht="15" hidden="false" customHeight="false" outlineLevel="0" collapsed="false">
      <c r="A913" s="13" t="n">
        <f aca="false">1+A912</f>
        <v>911</v>
      </c>
      <c r="B913" s="17" t="n">
        <v>1009350752</v>
      </c>
      <c r="C913" s="17" t="s">
        <v>423</v>
      </c>
      <c r="D913" s="17" t="s">
        <v>180</v>
      </c>
      <c r="E913" s="17" t="s">
        <v>47</v>
      </c>
      <c r="F913" s="18" t="s">
        <v>34</v>
      </c>
      <c r="G913" s="19" t="n">
        <v>652015006313</v>
      </c>
      <c r="H913" s="17" t="s">
        <v>134</v>
      </c>
      <c r="I913" s="17" t="s">
        <v>50</v>
      </c>
      <c r="J913" s="17" t="s">
        <v>106</v>
      </c>
      <c r="K913" s="17" t="str">
        <f aca="false">VLOOKUP(J913,Sheet2!A:B,2,0)</f>
        <v>PRAKASH CHAVDA</v>
      </c>
      <c r="L913" s="17" t="n">
        <v>5</v>
      </c>
      <c r="M913" s="17" t="str">
        <f aca="false">VLOOKUP(L913,Sheet2!D:E,2,0)</f>
        <v>Main Processor CPU BGA</v>
      </c>
      <c r="N913" s="17" t="n">
        <v>33</v>
      </c>
      <c r="O913" s="17" t="str">
        <f aca="false">VLOOKUP(N913,Sheet2!G:H,2,0)</f>
        <v>Software download failure</v>
      </c>
      <c r="P913" s="17" t="n">
        <v>12</v>
      </c>
      <c r="Q913" s="17" t="str">
        <f aca="false">VLOOKUP(P913,Sheet2!J:K,2,0)</f>
        <v>IR Declared due to Others ( IR Normal)TB</v>
      </c>
      <c r="R913" s="17" t="s">
        <v>35</v>
      </c>
      <c r="S913" s="17" t="str">
        <f aca="false">VLOOKUP(R913,Sheet2!N:O,2,0)</f>
        <v>IREPARABLE</v>
      </c>
      <c r="T913" s="18" t="str">
        <f aca="false">VLOOKUP(P913,Sheet2!Q:R,2,0)</f>
        <v>IR Normal - BER to IR</v>
      </c>
      <c r="U913" s="20" t="s">
        <v>135</v>
      </c>
      <c r="V913" s="17" t="n">
        <v>12</v>
      </c>
      <c r="W913" s="20" t="str">
        <f aca="false">VLOOKUP(V913,Sheet2!Q:R,2,0)</f>
        <v>IR Normal - BER to IR</v>
      </c>
      <c r="X913" s="17" t="str">
        <f aca="false">J913</f>
        <v>A018</v>
      </c>
      <c r="Y913" s="17" t="str">
        <f aca="false">VLOOKUP(X913,Sheet2!A:B,2,0)</f>
        <v>PRAKASH CHAVDA</v>
      </c>
      <c r="Z913" s="17" t="s">
        <v>149</v>
      </c>
      <c r="AA913" s="17" t="s">
        <v>449</v>
      </c>
      <c r="AB913" s="17" t="s">
        <v>41</v>
      </c>
      <c r="AC913" s="0" t="str">
        <f aca="false">LEFT(G913,2)</f>
        <v>65</v>
      </c>
      <c r="AD913" s="0"/>
      <c r="AE913" s="21" t="s">
        <v>42</v>
      </c>
    </row>
    <row r="914" customFormat="false" ht="15" hidden="false" customHeight="false" outlineLevel="0" collapsed="false">
      <c r="A914" s="13" t="n">
        <f aca="false">1+A913</f>
        <v>912</v>
      </c>
      <c r="B914" s="17" t="n">
        <v>1009623758</v>
      </c>
      <c r="C914" s="17" t="s">
        <v>184</v>
      </c>
      <c r="D914" s="17" t="s">
        <v>64</v>
      </c>
      <c r="E914" s="17" t="s">
        <v>64</v>
      </c>
      <c r="F914" s="18" t="s">
        <v>70</v>
      </c>
      <c r="G914" s="19" t="n">
        <v>651066000530</v>
      </c>
      <c r="H914" s="17" t="s">
        <v>134</v>
      </c>
      <c r="I914" s="17" t="s">
        <v>50</v>
      </c>
      <c r="J914" s="17" t="s">
        <v>106</v>
      </c>
      <c r="K914" s="17" t="str">
        <f aca="false">VLOOKUP(J914,Sheet2!A:B,2,0)</f>
        <v>PRAKASH CHAVDA</v>
      </c>
      <c r="L914" s="17" t="n">
        <v>5</v>
      </c>
      <c r="M914" s="17" t="str">
        <f aca="false">VLOOKUP(L914,Sheet2!D:E,2,0)</f>
        <v>Main Processor CPU BGA</v>
      </c>
      <c r="N914" s="17" t="n">
        <v>1</v>
      </c>
      <c r="O914" s="17" t="str">
        <f aca="false">VLOOKUP(N914,Sheet2!G:H,2,0)</f>
        <v>Dead</v>
      </c>
      <c r="P914" s="17" t="n">
        <v>12</v>
      </c>
      <c r="Q914" s="17" t="str">
        <f aca="false">VLOOKUP(P914,Sheet2!J:K,2,0)</f>
        <v>IR Declared due to Others ( IR Normal)TB</v>
      </c>
      <c r="R914" s="17" t="s">
        <v>35</v>
      </c>
      <c r="S914" s="17" t="str">
        <f aca="false">VLOOKUP(R914,Sheet2!N:O,2,0)</f>
        <v>IREPARABLE</v>
      </c>
      <c r="T914" s="18" t="str">
        <f aca="false">VLOOKUP(P914,Sheet2!Q:R,2,0)</f>
        <v>IR Normal - BER to IR</v>
      </c>
      <c r="U914" s="20" t="s">
        <v>135</v>
      </c>
      <c r="V914" s="17" t="n">
        <v>12</v>
      </c>
      <c r="W914" s="20" t="str">
        <f aca="false">VLOOKUP(V914,Sheet2!Q:R,2,0)</f>
        <v>IR Normal - BER to IR</v>
      </c>
      <c r="X914" s="17" t="str">
        <f aca="false">J914</f>
        <v>A018</v>
      </c>
      <c r="Y914" s="17" t="str">
        <f aca="false">VLOOKUP(X914,Sheet2!A:B,2,0)</f>
        <v>PRAKASH CHAVDA</v>
      </c>
      <c r="Z914" s="17" t="s">
        <v>149</v>
      </c>
      <c r="AA914" s="17" t="s">
        <v>449</v>
      </c>
      <c r="AB914" s="17" t="s">
        <v>41</v>
      </c>
      <c r="AC914" s="0" t="str">
        <f aca="false">LEFT(G914,2)</f>
        <v>65</v>
      </c>
      <c r="AD914" s="0"/>
      <c r="AE914" s="21" t="s">
        <v>42</v>
      </c>
    </row>
    <row r="915" customFormat="false" ht="15" hidden="false" customHeight="false" outlineLevel="0" collapsed="false">
      <c r="A915" s="13" t="n">
        <f aca="false">1+A914</f>
        <v>913</v>
      </c>
      <c r="B915" s="17" t="n">
        <v>1009618577</v>
      </c>
      <c r="C915" s="17" t="s">
        <v>184</v>
      </c>
      <c r="D915" s="17" t="s">
        <v>64</v>
      </c>
      <c r="E915" s="17" t="s">
        <v>64</v>
      </c>
      <c r="F915" s="18" t="s">
        <v>70</v>
      </c>
      <c r="G915" s="19" t="n">
        <v>867272134687</v>
      </c>
      <c r="H915" s="17" t="s">
        <v>134</v>
      </c>
      <c r="I915" s="17" t="s">
        <v>44</v>
      </c>
      <c r="J915" s="17" t="s">
        <v>106</v>
      </c>
      <c r="K915" s="17" t="str">
        <f aca="false">VLOOKUP(J915,Sheet2!A:B,2,0)</f>
        <v>PRAKASH CHAVDA</v>
      </c>
      <c r="L915" s="17" t="n">
        <v>5</v>
      </c>
      <c r="M915" s="17" t="str">
        <f aca="false">VLOOKUP(L915,Sheet2!D:E,2,0)</f>
        <v>Main Processor CPU BGA</v>
      </c>
      <c r="N915" s="17" t="n">
        <v>1</v>
      </c>
      <c r="O915" s="17" t="str">
        <f aca="false">VLOOKUP(N915,Sheet2!G:H,2,0)</f>
        <v>Dead</v>
      </c>
      <c r="P915" s="17" t="n">
        <v>12</v>
      </c>
      <c r="Q915" s="17" t="str">
        <f aca="false">VLOOKUP(P915,Sheet2!J:K,2,0)</f>
        <v>IR Declared due to Others ( IR Normal)TB</v>
      </c>
      <c r="R915" s="17" t="s">
        <v>35</v>
      </c>
      <c r="S915" s="17" t="str">
        <f aca="false">VLOOKUP(R915,Sheet2!N:O,2,0)</f>
        <v>IREPARABLE</v>
      </c>
      <c r="T915" s="18" t="str">
        <f aca="false">VLOOKUP(P915,Sheet2!Q:R,2,0)</f>
        <v>IR Normal - BER to IR</v>
      </c>
      <c r="U915" s="20" t="s">
        <v>135</v>
      </c>
      <c r="V915" s="17" t="n">
        <v>12</v>
      </c>
      <c r="W915" s="20" t="str">
        <f aca="false">VLOOKUP(V915,Sheet2!Q:R,2,0)</f>
        <v>IR Normal - BER to IR</v>
      </c>
      <c r="X915" s="17" t="str">
        <f aca="false">J915</f>
        <v>A018</v>
      </c>
      <c r="Y915" s="17" t="str">
        <f aca="false">VLOOKUP(X915,Sheet2!A:B,2,0)</f>
        <v>PRAKASH CHAVDA</v>
      </c>
      <c r="Z915" s="17" t="s">
        <v>222</v>
      </c>
      <c r="AA915" s="17" t="s">
        <v>449</v>
      </c>
      <c r="AB915" s="17" t="s">
        <v>41</v>
      </c>
      <c r="AC915" s="0" t="str">
        <f aca="false">LEFT(G915,2)</f>
        <v>86</v>
      </c>
      <c r="AD915" s="0"/>
      <c r="AE915" s="21" t="s">
        <v>42</v>
      </c>
    </row>
    <row r="916" customFormat="false" ht="15" hidden="false" customHeight="false" outlineLevel="0" collapsed="false">
      <c r="A916" s="13" t="n">
        <f aca="false">1+A915</f>
        <v>914</v>
      </c>
      <c r="B916" s="17" t="n">
        <v>1009671239</v>
      </c>
      <c r="C916" s="17" t="s">
        <v>436</v>
      </c>
      <c r="D916" s="17" t="s">
        <v>190</v>
      </c>
      <c r="E916" s="17" t="s">
        <v>33</v>
      </c>
      <c r="F916" s="18" t="s">
        <v>34</v>
      </c>
      <c r="G916" s="19" t="n">
        <v>867151137793</v>
      </c>
      <c r="H916" s="17" t="s">
        <v>134</v>
      </c>
      <c r="I916" s="17" t="s">
        <v>44</v>
      </c>
      <c r="J916" s="17" t="s">
        <v>106</v>
      </c>
      <c r="K916" s="17" t="str">
        <f aca="false">VLOOKUP(J916,Sheet2!A:B,2,0)</f>
        <v>PRAKASH CHAVDA</v>
      </c>
      <c r="L916" s="17" t="n">
        <v>5</v>
      </c>
      <c r="M916" s="17" t="str">
        <f aca="false">VLOOKUP(L916,Sheet2!D:E,2,0)</f>
        <v>Main Processor CPU BGA</v>
      </c>
      <c r="N916" s="17" t="n">
        <v>1</v>
      </c>
      <c r="O916" s="17" t="str">
        <f aca="false">VLOOKUP(N916,Sheet2!G:H,2,0)</f>
        <v>Dead</v>
      </c>
      <c r="P916" s="17" t="n">
        <v>12</v>
      </c>
      <c r="Q916" s="17" t="str">
        <f aca="false">VLOOKUP(P916,Sheet2!J:K,2,0)</f>
        <v>IR Declared due to Others ( IR Normal)TB</v>
      </c>
      <c r="R916" s="17" t="s">
        <v>35</v>
      </c>
      <c r="S916" s="17" t="str">
        <f aca="false">VLOOKUP(R916,Sheet2!N:O,2,0)</f>
        <v>IREPARABLE</v>
      </c>
      <c r="T916" s="18" t="str">
        <f aca="false">VLOOKUP(P916,Sheet2!Q:R,2,0)</f>
        <v>IR Normal - BER to IR</v>
      </c>
      <c r="U916" s="20" t="s">
        <v>135</v>
      </c>
      <c r="V916" s="17" t="n">
        <v>12</v>
      </c>
      <c r="W916" s="20" t="str">
        <f aca="false">VLOOKUP(V916,Sheet2!Q:R,2,0)</f>
        <v>IR Normal - BER to IR</v>
      </c>
      <c r="X916" s="17" t="str">
        <f aca="false">J916</f>
        <v>A018</v>
      </c>
      <c r="Y916" s="17" t="str">
        <f aca="false">VLOOKUP(X916,Sheet2!A:B,2,0)</f>
        <v>PRAKASH CHAVDA</v>
      </c>
      <c r="Z916" s="17" t="s">
        <v>222</v>
      </c>
      <c r="AA916" s="17" t="s">
        <v>449</v>
      </c>
      <c r="AB916" s="17" t="s">
        <v>41</v>
      </c>
      <c r="AC916" s="0" t="str">
        <f aca="false">LEFT(G916,2)</f>
        <v>86</v>
      </c>
      <c r="AD916" s="0"/>
      <c r="AE916" s="21" t="s">
        <v>42</v>
      </c>
    </row>
    <row r="917" customFormat="false" ht="15" hidden="false" customHeight="false" outlineLevel="0" collapsed="false">
      <c r="A917" s="13" t="n">
        <f aca="false">1+A916</f>
        <v>915</v>
      </c>
      <c r="B917" s="17" t="n">
        <v>1009668072</v>
      </c>
      <c r="C917" s="17" t="s">
        <v>436</v>
      </c>
      <c r="D917" s="17" t="s">
        <v>78</v>
      </c>
      <c r="E917" s="17" t="s">
        <v>47</v>
      </c>
      <c r="F917" s="18" t="s">
        <v>34</v>
      </c>
      <c r="G917" s="19" t="n">
        <v>865150283659</v>
      </c>
      <c r="H917" s="17" t="s">
        <v>134</v>
      </c>
      <c r="I917" s="17" t="s">
        <v>44</v>
      </c>
      <c r="J917" s="17" t="s">
        <v>106</v>
      </c>
      <c r="K917" s="17" t="str">
        <f aca="false">VLOOKUP(J917,Sheet2!A:B,2,0)</f>
        <v>PRAKASH CHAVDA</v>
      </c>
      <c r="L917" s="17" t="n">
        <v>5</v>
      </c>
      <c r="M917" s="17" t="str">
        <f aca="false">VLOOKUP(L917,Sheet2!D:E,2,0)</f>
        <v>Main Processor CPU BGA</v>
      </c>
      <c r="N917" s="17" t="n">
        <v>1</v>
      </c>
      <c r="O917" s="17" t="str">
        <f aca="false">VLOOKUP(N917,Sheet2!G:H,2,0)</f>
        <v>Dead</v>
      </c>
      <c r="P917" s="17" t="n">
        <v>12</v>
      </c>
      <c r="Q917" s="17" t="str">
        <f aca="false">VLOOKUP(P917,Sheet2!J:K,2,0)</f>
        <v>IR Declared due to Others ( IR Normal)TB</v>
      </c>
      <c r="R917" s="17" t="s">
        <v>35</v>
      </c>
      <c r="S917" s="17" t="str">
        <f aca="false">VLOOKUP(R917,Sheet2!N:O,2,0)</f>
        <v>IREPARABLE</v>
      </c>
      <c r="T917" s="18" t="str">
        <f aca="false">VLOOKUP(P917,Sheet2!Q:R,2,0)</f>
        <v>IR Normal - BER to IR</v>
      </c>
      <c r="U917" s="20" t="s">
        <v>135</v>
      </c>
      <c r="V917" s="17" t="n">
        <v>12</v>
      </c>
      <c r="W917" s="20" t="str">
        <f aca="false">VLOOKUP(V917,Sheet2!Q:R,2,0)</f>
        <v>IR Normal - BER to IR</v>
      </c>
      <c r="X917" s="17" t="str">
        <f aca="false">J917</f>
        <v>A018</v>
      </c>
      <c r="Y917" s="17" t="str">
        <f aca="false">VLOOKUP(X917,Sheet2!A:B,2,0)</f>
        <v>PRAKASH CHAVDA</v>
      </c>
      <c r="Z917" s="17" t="s">
        <v>222</v>
      </c>
      <c r="AA917" s="17" t="s">
        <v>449</v>
      </c>
      <c r="AB917" s="17" t="s">
        <v>41</v>
      </c>
      <c r="AC917" s="0" t="str">
        <f aca="false">LEFT(G917,2)</f>
        <v>86</v>
      </c>
      <c r="AD917" s="0"/>
      <c r="AE917" s="21" t="s">
        <v>42</v>
      </c>
    </row>
    <row r="918" customFormat="false" ht="15" hidden="false" customHeight="false" outlineLevel="0" collapsed="false">
      <c r="A918" s="13" t="n">
        <f aca="false">1+A917</f>
        <v>916</v>
      </c>
      <c r="B918" s="17" t="n">
        <v>1009667892</v>
      </c>
      <c r="C918" s="17" t="s">
        <v>436</v>
      </c>
      <c r="D918" s="17" t="s">
        <v>64</v>
      </c>
      <c r="E918" s="17" t="s">
        <v>64</v>
      </c>
      <c r="F918" s="18" t="s">
        <v>70</v>
      </c>
      <c r="G918" s="19" t="n">
        <v>987093322962</v>
      </c>
      <c r="H918" s="17" t="s">
        <v>134</v>
      </c>
      <c r="I918" s="17" t="s">
        <v>44</v>
      </c>
      <c r="J918" s="17" t="s">
        <v>106</v>
      </c>
      <c r="K918" s="17" t="str">
        <f aca="false">VLOOKUP(J918,Sheet2!A:B,2,0)</f>
        <v>PRAKASH CHAVDA</v>
      </c>
      <c r="L918" s="17" t="n">
        <v>5</v>
      </c>
      <c r="M918" s="17" t="str">
        <f aca="false">VLOOKUP(L918,Sheet2!D:E,2,0)</f>
        <v>Main Processor CPU BGA</v>
      </c>
      <c r="N918" s="17" t="n">
        <v>1</v>
      </c>
      <c r="O918" s="17" t="str">
        <f aca="false">VLOOKUP(N918,Sheet2!G:H,2,0)</f>
        <v>Dead</v>
      </c>
      <c r="P918" s="17" t="n">
        <v>12</v>
      </c>
      <c r="Q918" s="17" t="str">
        <f aca="false">VLOOKUP(P918,Sheet2!J:K,2,0)</f>
        <v>IR Declared due to Others ( IR Normal)TB</v>
      </c>
      <c r="R918" s="17" t="s">
        <v>35</v>
      </c>
      <c r="S918" s="17" t="str">
        <f aca="false">VLOOKUP(R918,Sheet2!N:O,2,0)</f>
        <v>IREPARABLE</v>
      </c>
      <c r="T918" s="18" t="str">
        <f aca="false">VLOOKUP(P918,Sheet2!Q:R,2,0)</f>
        <v>IR Normal - BER to IR</v>
      </c>
      <c r="U918" s="20" t="s">
        <v>135</v>
      </c>
      <c r="V918" s="17" t="n">
        <v>12</v>
      </c>
      <c r="W918" s="20" t="str">
        <f aca="false">VLOOKUP(V918,Sheet2!Q:R,2,0)</f>
        <v>IR Normal - BER to IR</v>
      </c>
      <c r="X918" s="17" t="str">
        <f aca="false">J918</f>
        <v>A018</v>
      </c>
      <c r="Y918" s="17" t="str">
        <f aca="false">VLOOKUP(X918,Sheet2!A:B,2,0)</f>
        <v>PRAKASH CHAVDA</v>
      </c>
      <c r="Z918" s="17" t="s">
        <v>141</v>
      </c>
      <c r="AA918" s="17" t="s">
        <v>477</v>
      </c>
      <c r="AB918" s="17" t="s">
        <v>41</v>
      </c>
      <c r="AC918" s="0" t="str">
        <f aca="false">LEFT(G918,2)</f>
        <v>98</v>
      </c>
      <c r="AD918" s="0"/>
      <c r="AE918" s="21" t="s">
        <v>42</v>
      </c>
    </row>
    <row r="919" customFormat="false" ht="15" hidden="false" customHeight="false" outlineLevel="0" collapsed="false">
      <c r="A919" s="13" t="n">
        <f aca="false">1+A918</f>
        <v>917</v>
      </c>
      <c r="B919" s="17" t="n">
        <v>1009665607</v>
      </c>
      <c r="C919" s="17" t="s">
        <v>436</v>
      </c>
      <c r="D919" s="17" t="s">
        <v>64</v>
      </c>
      <c r="E919" s="17" t="s">
        <v>64</v>
      </c>
      <c r="F919" s="18" t="s">
        <v>70</v>
      </c>
      <c r="G919" s="19" t="n">
        <v>987199122043</v>
      </c>
      <c r="H919" s="17" t="s">
        <v>134</v>
      </c>
      <c r="I919" s="17" t="s">
        <v>44</v>
      </c>
      <c r="J919" s="17" t="s">
        <v>106</v>
      </c>
      <c r="K919" s="17" t="str">
        <f aca="false">VLOOKUP(J919,Sheet2!A:B,2,0)</f>
        <v>PRAKASH CHAVDA</v>
      </c>
      <c r="L919" s="17" t="n">
        <v>5</v>
      </c>
      <c r="M919" s="17" t="str">
        <f aca="false">VLOOKUP(L919,Sheet2!D:E,2,0)</f>
        <v>Main Processor CPU BGA</v>
      </c>
      <c r="N919" s="17" t="n">
        <v>24</v>
      </c>
      <c r="O919" s="17" t="str">
        <f aca="false">VLOOKUP(N919,Sheet2!G:H,2,0)</f>
        <v>STB Auto moving -Stand by mode</v>
      </c>
      <c r="P919" s="17" t="n">
        <v>12</v>
      </c>
      <c r="Q919" s="17" t="str">
        <f aca="false">VLOOKUP(P919,Sheet2!J:K,2,0)</f>
        <v>IR Declared due to Others ( IR Normal)TB</v>
      </c>
      <c r="R919" s="17" t="s">
        <v>35</v>
      </c>
      <c r="S919" s="17" t="str">
        <f aca="false">VLOOKUP(R919,Sheet2!N:O,2,0)</f>
        <v>IREPARABLE</v>
      </c>
      <c r="T919" s="18" t="str">
        <f aca="false">VLOOKUP(P919,Sheet2!Q:R,2,0)</f>
        <v>IR Normal - BER to IR</v>
      </c>
      <c r="U919" s="20" t="s">
        <v>135</v>
      </c>
      <c r="V919" s="17" t="n">
        <v>12</v>
      </c>
      <c r="W919" s="20" t="str">
        <f aca="false">VLOOKUP(V919,Sheet2!Q:R,2,0)</f>
        <v>IR Normal - BER to IR</v>
      </c>
      <c r="X919" s="17" t="str">
        <f aca="false">J919</f>
        <v>A018</v>
      </c>
      <c r="Y919" s="17" t="str">
        <f aca="false">VLOOKUP(X919,Sheet2!A:B,2,0)</f>
        <v>PRAKASH CHAVDA</v>
      </c>
      <c r="Z919" s="17" t="s">
        <v>141</v>
      </c>
      <c r="AA919" s="17" t="s">
        <v>477</v>
      </c>
      <c r="AB919" s="17" t="s">
        <v>41</v>
      </c>
      <c r="AC919" s="0" t="str">
        <f aca="false">LEFT(G919,2)</f>
        <v>98</v>
      </c>
      <c r="AD919" s="0"/>
      <c r="AE919" s="21" t="s">
        <v>42</v>
      </c>
    </row>
    <row r="920" customFormat="false" ht="15" hidden="false" customHeight="false" outlineLevel="0" collapsed="false">
      <c r="A920" s="13" t="n">
        <f aca="false">1+A919</f>
        <v>918</v>
      </c>
      <c r="B920" s="17" t="n">
        <v>1009665622</v>
      </c>
      <c r="C920" s="17" t="s">
        <v>436</v>
      </c>
      <c r="D920" s="17" t="s">
        <v>64</v>
      </c>
      <c r="E920" s="17" t="s">
        <v>33</v>
      </c>
      <c r="F920" s="18" t="s">
        <v>34</v>
      </c>
      <c r="G920" s="19" t="n">
        <v>985310159209</v>
      </c>
      <c r="H920" s="17" t="s">
        <v>134</v>
      </c>
      <c r="I920" s="17" t="s">
        <v>44</v>
      </c>
      <c r="J920" s="17" t="s">
        <v>106</v>
      </c>
      <c r="K920" s="17" t="str">
        <f aca="false">VLOOKUP(J920,Sheet2!A:B,2,0)</f>
        <v>PRAKASH CHAVDA</v>
      </c>
      <c r="L920" s="17" t="n">
        <v>5</v>
      </c>
      <c r="M920" s="17" t="str">
        <f aca="false">VLOOKUP(L920,Sheet2!D:E,2,0)</f>
        <v>Main Processor CPU BGA</v>
      </c>
      <c r="N920" s="17" t="n">
        <v>24</v>
      </c>
      <c r="O920" s="17" t="str">
        <f aca="false">VLOOKUP(N920,Sheet2!G:H,2,0)</f>
        <v>STB Auto moving -Stand by mode</v>
      </c>
      <c r="P920" s="17" t="n">
        <v>12</v>
      </c>
      <c r="Q920" s="17" t="str">
        <f aca="false">VLOOKUP(P920,Sheet2!J:K,2,0)</f>
        <v>IR Declared due to Others ( IR Normal)TB</v>
      </c>
      <c r="R920" s="17" t="s">
        <v>35</v>
      </c>
      <c r="S920" s="17" t="str">
        <f aca="false">VLOOKUP(R920,Sheet2!N:O,2,0)</f>
        <v>IREPARABLE</v>
      </c>
      <c r="T920" s="18" t="str">
        <f aca="false">VLOOKUP(P920,Sheet2!Q:R,2,0)</f>
        <v>IR Normal - BER to IR</v>
      </c>
      <c r="U920" s="20" t="s">
        <v>135</v>
      </c>
      <c r="V920" s="17" t="n">
        <v>12</v>
      </c>
      <c r="W920" s="20" t="str">
        <f aca="false">VLOOKUP(V920,Sheet2!Q:R,2,0)</f>
        <v>IR Normal - BER to IR</v>
      </c>
      <c r="X920" s="17" t="str">
        <f aca="false">J920</f>
        <v>A018</v>
      </c>
      <c r="Y920" s="17" t="str">
        <f aca="false">VLOOKUP(X920,Sheet2!A:B,2,0)</f>
        <v>PRAKASH CHAVDA</v>
      </c>
      <c r="Z920" s="17" t="s">
        <v>141</v>
      </c>
      <c r="AA920" s="17" t="s">
        <v>477</v>
      </c>
      <c r="AB920" s="17" t="s">
        <v>41</v>
      </c>
      <c r="AC920" s="0" t="str">
        <f aca="false">LEFT(G920,2)</f>
        <v>98</v>
      </c>
      <c r="AD920" s="0"/>
      <c r="AE920" s="21" t="s">
        <v>42</v>
      </c>
    </row>
    <row r="921" customFormat="false" ht="15" hidden="false" customHeight="false" outlineLevel="0" collapsed="false">
      <c r="A921" s="13" t="n">
        <f aca="false">1+A920</f>
        <v>919</v>
      </c>
      <c r="B921" s="17" t="n">
        <v>1009667636</v>
      </c>
      <c r="C921" s="17" t="s">
        <v>436</v>
      </c>
      <c r="D921" s="17" t="s">
        <v>64</v>
      </c>
      <c r="E921" s="17" t="s">
        <v>33</v>
      </c>
      <c r="F921" s="18" t="s">
        <v>34</v>
      </c>
      <c r="G921" s="19" t="n">
        <v>987296158783</v>
      </c>
      <c r="H921" s="17" t="s">
        <v>134</v>
      </c>
      <c r="I921" s="17" t="s">
        <v>44</v>
      </c>
      <c r="J921" s="17" t="s">
        <v>106</v>
      </c>
      <c r="K921" s="17" t="str">
        <f aca="false">VLOOKUP(J921,Sheet2!A:B,2,0)</f>
        <v>PRAKASH CHAVDA</v>
      </c>
      <c r="L921" s="17" t="n">
        <v>5</v>
      </c>
      <c r="M921" s="17" t="str">
        <f aca="false">VLOOKUP(L921,Sheet2!D:E,2,0)</f>
        <v>Main Processor CPU BGA</v>
      </c>
      <c r="N921" s="17" t="n">
        <v>24</v>
      </c>
      <c r="O921" s="17" t="str">
        <f aca="false">VLOOKUP(N921,Sheet2!G:H,2,0)</f>
        <v>STB Auto moving -Stand by mode</v>
      </c>
      <c r="P921" s="17" t="n">
        <v>12</v>
      </c>
      <c r="Q921" s="17" t="str">
        <f aca="false">VLOOKUP(P921,Sheet2!J:K,2,0)</f>
        <v>IR Declared due to Others ( IR Normal)TB</v>
      </c>
      <c r="R921" s="17" t="s">
        <v>35</v>
      </c>
      <c r="S921" s="17" t="str">
        <f aca="false">VLOOKUP(R921,Sheet2!N:O,2,0)</f>
        <v>IREPARABLE</v>
      </c>
      <c r="T921" s="18" t="str">
        <f aca="false">VLOOKUP(P921,Sheet2!Q:R,2,0)</f>
        <v>IR Normal - BER to IR</v>
      </c>
      <c r="U921" s="20" t="s">
        <v>135</v>
      </c>
      <c r="V921" s="17" t="n">
        <v>12</v>
      </c>
      <c r="W921" s="20" t="str">
        <f aca="false">VLOOKUP(V921,Sheet2!Q:R,2,0)</f>
        <v>IR Normal - BER to IR</v>
      </c>
      <c r="X921" s="17" t="str">
        <f aca="false">J921</f>
        <v>A018</v>
      </c>
      <c r="Y921" s="17" t="str">
        <f aca="false">VLOOKUP(X921,Sheet2!A:B,2,0)</f>
        <v>PRAKASH CHAVDA</v>
      </c>
      <c r="Z921" s="17" t="s">
        <v>141</v>
      </c>
      <c r="AA921" s="17" t="s">
        <v>477</v>
      </c>
      <c r="AB921" s="17" t="s">
        <v>41</v>
      </c>
      <c r="AC921" s="0" t="str">
        <f aca="false">LEFT(G921,2)</f>
        <v>98</v>
      </c>
      <c r="AD921" s="0"/>
      <c r="AE921" s="21" t="s">
        <v>42</v>
      </c>
    </row>
    <row r="922" customFormat="false" ht="15" hidden="false" customHeight="false" outlineLevel="0" collapsed="false">
      <c r="A922" s="13" t="n">
        <f aca="false">1+A921</f>
        <v>920</v>
      </c>
      <c r="B922" s="17" t="n">
        <v>1009668041</v>
      </c>
      <c r="C922" s="17" t="s">
        <v>436</v>
      </c>
      <c r="D922" s="17" t="s">
        <v>138</v>
      </c>
      <c r="E922" s="17" t="s">
        <v>91</v>
      </c>
      <c r="F922" s="18" t="s">
        <v>92</v>
      </c>
      <c r="G922" s="19" t="n">
        <v>986249120999</v>
      </c>
      <c r="H922" s="17" t="s">
        <v>134</v>
      </c>
      <c r="I922" s="17" t="s">
        <v>44</v>
      </c>
      <c r="J922" s="17" t="s">
        <v>106</v>
      </c>
      <c r="K922" s="17" t="str">
        <f aca="false">VLOOKUP(J922,Sheet2!A:B,2,0)</f>
        <v>PRAKASH CHAVDA</v>
      </c>
      <c r="L922" s="17" t="n">
        <v>5</v>
      </c>
      <c r="M922" s="17" t="str">
        <f aca="false">VLOOKUP(L922,Sheet2!D:E,2,0)</f>
        <v>Main Processor CPU BGA</v>
      </c>
      <c r="N922" s="17" t="n">
        <v>1</v>
      </c>
      <c r="O922" s="17" t="str">
        <f aca="false">VLOOKUP(N922,Sheet2!G:H,2,0)</f>
        <v>Dead</v>
      </c>
      <c r="P922" s="17" t="n">
        <v>12</v>
      </c>
      <c r="Q922" s="17" t="str">
        <f aca="false">VLOOKUP(P922,Sheet2!J:K,2,0)</f>
        <v>IR Declared due to Others ( IR Normal)TB</v>
      </c>
      <c r="R922" s="17" t="s">
        <v>35</v>
      </c>
      <c r="S922" s="17" t="str">
        <f aca="false">VLOOKUP(R922,Sheet2!N:O,2,0)</f>
        <v>IREPARABLE</v>
      </c>
      <c r="T922" s="18" t="str">
        <f aca="false">VLOOKUP(P922,Sheet2!Q:R,2,0)</f>
        <v>IR Normal - BER to IR</v>
      </c>
      <c r="U922" s="20" t="s">
        <v>135</v>
      </c>
      <c r="V922" s="17" t="n">
        <v>12</v>
      </c>
      <c r="W922" s="20" t="str">
        <f aca="false">VLOOKUP(V922,Sheet2!Q:R,2,0)</f>
        <v>IR Normal - BER to IR</v>
      </c>
      <c r="X922" s="17" t="str">
        <f aca="false">J922</f>
        <v>A018</v>
      </c>
      <c r="Y922" s="17" t="str">
        <f aca="false">VLOOKUP(X922,Sheet2!A:B,2,0)</f>
        <v>PRAKASH CHAVDA</v>
      </c>
      <c r="Z922" s="17" t="s">
        <v>141</v>
      </c>
      <c r="AA922" s="17" t="s">
        <v>477</v>
      </c>
      <c r="AB922" s="17" t="s">
        <v>41</v>
      </c>
      <c r="AC922" s="0" t="str">
        <f aca="false">LEFT(G922,2)</f>
        <v>98</v>
      </c>
      <c r="AD922" s="0"/>
      <c r="AE922" s="21" t="s">
        <v>42</v>
      </c>
    </row>
    <row r="923" customFormat="false" ht="15" hidden="false" customHeight="false" outlineLevel="0" collapsed="false">
      <c r="A923" s="13" t="n">
        <f aca="false">1+A922</f>
        <v>921</v>
      </c>
      <c r="B923" s="17" t="n">
        <v>1009667942</v>
      </c>
      <c r="C923" s="17" t="s">
        <v>436</v>
      </c>
      <c r="D923" s="17" t="s">
        <v>138</v>
      </c>
      <c r="E923" s="17" t="s">
        <v>91</v>
      </c>
      <c r="F923" s="18" t="s">
        <v>92</v>
      </c>
      <c r="G923" s="19" t="n">
        <v>986165139155</v>
      </c>
      <c r="H923" s="17" t="s">
        <v>134</v>
      </c>
      <c r="I923" s="17" t="s">
        <v>44</v>
      </c>
      <c r="J923" s="17" t="s">
        <v>106</v>
      </c>
      <c r="K923" s="17" t="str">
        <f aca="false">VLOOKUP(J923,Sheet2!A:B,2,0)</f>
        <v>PRAKASH CHAVDA</v>
      </c>
      <c r="L923" s="17" t="n">
        <v>5</v>
      </c>
      <c r="M923" s="17" t="str">
        <f aca="false">VLOOKUP(L923,Sheet2!D:E,2,0)</f>
        <v>Main Processor CPU BGA</v>
      </c>
      <c r="N923" s="17" t="n">
        <v>24</v>
      </c>
      <c r="O923" s="17" t="str">
        <f aca="false">VLOOKUP(N923,Sheet2!G:H,2,0)</f>
        <v>STB Auto moving -Stand by mode</v>
      </c>
      <c r="P923" s="17" t="n">
        <v>12</v>
      </c>
      <c r="Q923" s="17" t="str">
        <f aca="false">VLOOKUP(P923,Sheet2!J:K,2,0)</f>
        <v>IR Declared due to Others ( IR Normal)TB</v>
      </c>
      <c r="R923" s="17" t="s">
        <v>35</v>
      </c>
      <c r="S923" s="17" t="str">
        <f aca="false">VLOOKUP(R923,Sheet2!N:O,2,0)</f>
        <v>IREPARABLE</v>
      </c>
      <c r="T923" s="18" t="str">
        <f aca="false">VLOOKUP(P923,Sheet2!Q:R,2,0)</f>
        <v>IR Normal - BER to IR</v>
      </c>
      <c r="U923" s="20" t="s">
        <v>135</v>
      </c>
      <c r="V923" s="17" t="n">
        <v>12</v>
      </c>
      <c r="W923" s="20" t="str">
        <f aca="false">VLOOKUP(V923,Sheet2!Q:R,2,0)</f>
        <v>IR Normal - BER to IR</v>
      </c>
      <c r="X923" s="17" t="str">
        <f aca="false">J923</f>
        <v>A018</v>
      </c>
      <c r="Y923" s="17" t="str">
        <f aca="false">VLOOKUP(X923,Sheet2!A:B,2,0)</f>
        <v>PRAKASH CHAVDA</v>
      </c>
      <c r="Z923" s="17" t="s">
        <v>141</v>
      </c>
      <c r="AA923" s="17" t="s">
        <v>477</v>
      </c>
      <c r="AB923" s="17" t="s">
        <v>41</v>
      </c>
      <c r="AC923" s="0" t="str">
        <f aca="false">LEFT(G923,2)</f>
        <v>98</v>
      </c>
      <c r="AD923" s="0"/>
      <c r="AE923" s="21" t="s">
        <v>42</v>
      </c>
    </row>
    <row r="924" customFormat="false" ht="15" hidden="false" customHeight="false" outlineLevel="0" collapsed="false">
      <c r="A924" s="13" t="n">
        <f aca="false">1+A923</f>
        <v>922</v>
      </c>
      <c r="B924" s="17" t="n">
        <v>1009666066</v>
      </c>
      <c r="C924" s="17" t="s">
        <v>436</v>
      </c>
      <c r="D924" s="17" t="s">
        <v>88</v>
      </c>
      <c r="E924" s="17" t="s">
        <v>47</v>
      </c>
      <c r="F924" s="18" t="s">
        <v>34</v>
      </c>
      <c r="G924" s="19" t="n">
        <v>987235200811</v>
      </c>
      <c r="H924" s="17" t="s">
        <v>134</v>
      </c>
      <c r="I924" s="17" t="s">
        <v>44</v>
      </c>
      <c r="J924" s="17" t="s">
        <v>106</v>
      </c>
      <c r="K924" s="17" t="str">
        <f aca="false">VLOOKUP(J924,Sheet2!A:B,2,0)</f>
        <v>PRAKASH CHAVDA</v>
      </c>
      <c r="L924" s="17" t="n">
        <v>5</v>
      </c>
      <c r="M924" s="17" t="str">
        <f aca="false">VLOOKUP(L924,Sheet2!D:E,2,0)</f>
        <v>Main Processor CPU BGA</v>
      </c>
      <c r="N924" s="17" t="n">
        <v>24</v>
      </c>
      <c r="O924" s="17" t="str">
        <f aca="false">VLOOKUP(N924,Sheet2!G:H,2,0)</f>
        <v>STB Auto moving -Stand by mode</v>
      </c>
      <c r="P924" s="17" t="n">
        <v>12</v>
      </c>
      <c r="Q924" s="17" t="str">
        <f aca="false">VLOOKUP(P924,Sheet2!J:K,2,0)</f>
        <v>IR Declared due to Others ( IR Normal)TB</v>
      </c>
      <c r="R924" s="17" t="s">
        <v>35</v>
      </c>
      <c r="S924" s="17" t="str">
        <f aca="false">VLOOKUP(R924,Sheet2!N:O,2,0)</f>
        <v>IREPARABLE</v>
      </c>
      <c r="T924" s="18" t="str">
        <f aca="false">VLOOKUP(P924,Sheet2!Q:R,2,0)</f>
        <v>IR Normal - BER to IR</v>
      </c>
      <c r="U924" s="20" t="s">
        <v>135</v>
      </c>
      <c r="V924" s="17" t="n">
        <v>12</v>
      </c>
      <c r="W924" s="20" t="str">
        <f aca="false">VLOOKUP(V924,Sheet2!Q:R,2,0)</f>
        <v>IR Normal - BER to IR</v>
      </c>
      <c r="X924" s="17" t="str">
        <f aca="false">J924</f>
        <v>A018</v>
      </c>
      <c r="Y924" s="17" t="str">
        <f aca="false">VLOOKUP(X924,Sheet2!A:B,2,0)</f>
        <v>PRAKASH CHAVDA</v>
      </c>
      <c r="Z924" s="17" t="s">
        <v>141</v>
      </c>
      <c r="AA924" s="17" t="s">
        <v>477</v>
      </c>
      <c r="AB924" s="17" t="s">
        <v>41</v>
      </c>
      <c r="AC924" s="0" t="str">
        <f aca="false">LEFT(G924,2)</f>
        <v>98</v>
      </c>
      <c r="AD924" s="0"/>
      <c r="AE924" s="21" t="s">
        <v>42</v>
      </c>
    </row>
    <row r="925" customFormat="false" ht="15" hidden="false" customHeight="false" outlineLevel="0" collapsed="false">
      <c r="A925" s="13" t="n">
        <f aca="false">1+A924</f>
        <v>923</v>
      </c>
      <c r="B925" s="17" t="n">
        <v>1009665649</v>
      </c>
      <c r="C925" s="17" t="s">
        <v>436</v>
      </c>
      <c r="D925" s="17" t="s">
        <v>88</v>
      </c>
      <c r="E925" s="17" t="s">
        <v>47</v>
      </c>
      <c r="F925" s="18" t="s">
        <v>34</v>
      </c>
      <c r="G925" s="19" t="n">
        <v>987284128434</v>
      </c>
      <c r="H925" s="17" t="s">
        <v>134</v>
      </c>
      <c r="I925" s="17" t="s">
        <v>44</v>
      </c>
      <c r="J925" s="17" t="s">
        <v>106</v>
      </c>
      <c r="K925" s="17" t="str">
        <f aca="false">VLOOKUP(J925,Sheet2!A:B,2,0)</f>
        <v>PRAKASH CHAVDA</v>
      </c>
      <c r="L925" s="17" t="n">
        <v>5</v>
      </c>
      <c r="M925" s="17" t="str">
        <f aca="false">VLOOKUP(L925,Sheet2!D:E,2,0)</f>
        <v>Main Processor CPU BGA</v>
      </c>
      <c r="N925" s="17" t="n">
        <v>1</v>
      </c>
      <c r="O925" s="17" t="str">
        <f aca="false">VLOOKUP(N925,Sheet2!G:H,2,0)</f>
        <v>Dead</v>
      </c>
      <c r="P925" s="17" t="n">
        <v>12</v>
      </c>
      <c r="Q925" s="17" t="str">
        <f aca="false">VLOOKUP(P925,Sheet2!J:K,2,0)</f>
        <v>IR Declared due to Others ( IR Normal)TB</v>
      </c>
      <c r="R925" s="17" t="s">
        <v>35</v>
      </c>
      <c r="S925" s="17" t="str">
        <f aca="false">VLOOKUP(R925,Sheet2!N:O,2,0)</f>
        <v>IREPARABLE</v>
      </c>
      <c r="T925" s="18" t="str">
        <f aca="false">VLOOKUP(P925,Sheet2!Q:R,2,0)</f>
        <v>IR Normal - BER to IR</v>
      </c>
      <c r="U925" s="20" t="s">
        <v>135</v>
      </c>
      <c r="V925" s="17" t="n">
        <v>12</v>
      </c>
      <c r="W925" s="20" t="str">
        <f aca="false">VLOOKUP(V925,Sheet2!Q:R,2,0)</f>
        <v>IR Normal - BER to IR</v>
      </c>
      <c r="X925" s="17" t="str">
        <f aca="false">J925</f>
        <v>A018</v>
      </c>
      <c r="Y925" s="17" t="str">
        <f aca="false">VLOOKUP(X925,Sheet2!A:B,2,0)</f>
        <v>PRAKASH CHAVDA</v>
      </c>
      <c r="Z925" s="17" t="s">
        <v>141</v>
      </c>
      <c r="AA925" s="17" t="s">
        <v>477</v>
      </c>
      <c r="AB925" s="17" t="s">
        <v>41</v>
      </c>
      <c r="AC925" s="0" t="str">
        <f aca="false">LEFT(G925,2)</f>
        <v>98</v>
      </c>
      <c r="AD925" s="0"/>
      <c r="AE925" s="21" t="s">
        <v>42</v>
      </c>
    </row>
    <row r="926" customFormat="false" ht="15" hidden="false" customHeight="false" outlineLevel="0" collapsed="false">
      <c r="A926" s="13" t="n">
        <f aca="false">1+A925</f>
        <v>924</v>
      </c>
      <c r="B926" s="17" t="n">
        <v>1009666093</v>
      </c>
      <c r="C926" s="17" t="s">
        <v>436</v>
      </c>
      <c r="D926" s="17" t="s">
        <v>88</v>
      </c>
      <c r="E926" s="17" t="s">
        <v>47</v>
      </c>
      <c r="F926" s="18" t="s">
        <v>34</v>
      </c>
      <c r="G926" s="19" t="n">
        <v>985290307331</v>
      </c>
      <c r="H926" s="17" t="s">
        <v>134</v>
      </c>
      <c r="I926" s="17" t="s">
        <v>44</v>
      </c>
      <c r="J926" s="17" t="s">
        <v>106</v>
      </c>
      <c r="K926" s="17" t="str">
        <f aca="false">VLOOKUP(J926,Sheet2!A:B,2,0)</f>
        <v>PRAKASH CHAVDA</v>
      </c>
      <c r="L926" s="17" t="n">
        <v>5</v>
      </c>
      <c r="M926" s="17" t="str">
        <f aca="false">VLOOKUP(L926,Sheet2!D:E,2,0)</f>
        <v>Main Processor CPU BGA</v>
      </c>
      <c r="N926" s="17" t="n">
        <v>24</v>
      </c>
      <c r="O926" s="17" t="str">
        <f aca="false">VLOOKUP(N926,Sheet2!G:H,2,0)</f>
        <v>STB Auto moving -Stand by mode</v>
      </c>
      <c r="P926" s="17" t="n">
        <v>12</v>
      </c>
      <c r="Q926" s="17" t="str">
        <f aca="false">VLOOKUP(P926,Sheet2!J:K,2,0)</f>
        <v>IR Declared due to Others ( IR Normal)TB</v>
      </c>
      <c r="R926" s="17" t="s">
        <v>35</v>
      </c>
      <c r="S926" s="17" t="str">
        <f aca="false">VLOOKUP(R926,Sheet2!N:O,2,0)</f>
        <v>IREPARABLE</v>
      </c>
      <c r="T926" s="18" t="str">
        <f aca="false">VLOOKUP(P926,Sheet2!Q:R,2,0)</f>
        <v>IR Normal - BER to IR</v>
      </c>
      <c r="U926" s="20" t="s">
        <v>135</v>
      </c>
      <c r="V926" s="17" t="n">
        <v>12</v>
      </c>
      <c r="W926" s="20" t="str">
        <f aca="false">VLOOKUP(V926,Sheet2!Q:R,2,0)</f>
        <v>IR Normal - BER to IR</v>
      </c>
      <c r="X926" s="17" t="str">
        <f aca="false">J926</f>
        <v>A018</v>
      </c>
      <c r="Y926" s="17" t="str">
        <f aca="false">VLOOKUP(X926,Sheet2!A:B,2,0)</f>
        <v>PRAKASH CHAVDA</v>
      </c>
      <c r="Z926" s="17" t="s">
        <v>141</v>
      </c>
      <c r="AA926" s="17" t="s">
        <v>477</v>
      </c>
      <c r="AB926" s="17" t="s">
        <v>41</v>
      </c>
      <c r="AC926" s="0" t="str">
        <f aca="false">LEFT(G926,2)</f>
        <v>98</v>
      </c>
      <c r="AD926" s="0"/>
      <c r="AE926" s="21" t="s">
        <v>42</v>
      </c>
    </row>
    <row r="927" customFormat="false" ht="15" hidden="false" customHeight="false" outlineLevel="0" collapsed="false">
      <c r="A927" s="13" t="n">
        <f aca="false">1+A926</f>
        <v>925</v>
      </c>
      <c r="B927" s="17" t="n">
        <v>1009666558</v>
      </c>
      <c r="C927" s="17" t="s">
        <v>436</v>
      </c>
      <c r="D927" s="17" t="s">
        <v>119</v>
      </c>
      <c r="E927" s="17" t="s">
        <v>64</v>
      </c>
      <c r="F927" s="18" t="s">
        <v>70</v>
      </c>
      <c r="G927" s="19" t="n">
        <v>987234333688</v>
      </c>
      <c r="H927" s="17" t="s">
        <v>134</v>
      </c>
      <c r="I927" s="17" t="s">
        <v>44</v>
      </c>
      <c r="J927" s="17" t="s">
        <v>106</v>
      </c>
      <c r="K927" s="17" t="str">
        <f aca="false">VLOOKUP(J927,Sheet2!A:B,2,0)</f>
        <v>PRAKASH CHAVDA</v>
      </c>
      <c r="L927" s="17" t="n">
        <v>5</v>
      </c>
      <c r="M927" s="17" t="str">
        <f aca="false">VLOOKUP(L927,Sheet2!D:E,2,0)</f>
        <v>Main Processor CPU BGA</v>
      </c>
      <c r="N927" s="17" t="n">
        <v>1</v>
      </c>
      <c r="O927" s="17" t="str">
        <f aca="false">VLOOKUP(N927,Sheet2!G:H,2,0)</f>
        <v>Dead</v>
      </c>
      <c r="P927" s="17" t="n">
        <v>12</v>
      </c>
      <c r="Q927" s="17" t="str">
        <f aca="false">VLOOKUP(P927,Sheet2!J:K,2,0)</f>
        <v>IR Declared due to Others ( IR Normal)TB</v>
      </c>
      <c r="R927" s="17" t="s">
        <v>35</v>
      </c>
      <c r="S927" s="17" t="str">
        <f aca="false">VLOOKUP(R927,Sheet2!N:O,2,0)</f>
        <v>IREPARABLE</v>
      </c>
      <c r="T927" s="18" t="str">
        <f aca="false">VLOOKUP(P927,Sheet2!Q:R,2,0)</f>
        <v>IR Normal - BER to IR</v>
      </c>
      <c r="U927" s="20" t="s">
        <v>135</v>
      </c>
      <c r="V927" s="17" t="n">
        <v>12</v>
      </c>
      <c r="W927" s="20" t="str">
        <f aca="false">VLOOKUP(V927,Sheet2!Q:R,2,0)</f>
        <v>IR Normal - BER to IR</v>
      </c>
      <c r="X927" s="17" t="str">
        <f aca="false">J927</f>
        <v>A018</v>
      </c>
      <c r="Y927" s="17" t="str">
        <f aca="false">VLOOKUP(X927,Sheet2!A:B,2,0)</f>
        <v>PRAKASH CHAVDA</v>
      </c>
      <c r="Z927" s="17" t="s">
        <v>141</v>
      </c>
      <c r="AA927" s="17" t="s">
        <v>477</v>
      </c>
      <c r="AB927" s="17" t="s">
        <v>41</v>
      </c>
      <c r="AC927" s="0" t="str">
        <f aca="false">LEFT(G927,2)</f>
        <v>98</v>
      </c>
      <c r="AD927" s="0"/>
      <c r="AE927" s="21" t="s">
        <v>42</v>
      </c>
    </row>
    <row r="928" customFormat="false" ht="15" hidden="false" customHeight="false" outlineLevel="0" collapsed="false">
      <c r="A928" s="13" t="n">
        <f aca="false">1+A927</f>
        <v>926</v>
      </c>
      <c r="B928" s="17" t="n">
        <v>1009661620</v>
      </c>
      <c r="C928" s="17" t="s">
        <v>433</v>
      </c>
      <c r="D928" s="17" t="s">
        <v>217</v>
      </c>
      <c r="E928" s="17" t="s">
        <v>33</v>
      </c>
      <c r="F928" s="18" t="s">
        <v>34</v>
      </c>
      <c r="G928" s="19" t="n">
        <v>985349240657</v>
      </c>
      <c r="H928" s="17" t="s">
        <v>134</v>
      </c>
      <c r="I928" s="17" t="s">
        <v>44</v>
      </c>
      <c r="J928" s="17" t="s">
        <v>106</v>
      </c>
      <c r="K928" s="17" t="str">
        <f aca="false">VLOOKUP(J928,Sheet2!A:B,2,0)</f>
        <v>PRAKASH CHAVDA</v>
      </c>
      <c r="L928" s="17" t="n">
        <v>5</v>
      </c>
      <c r="M928" s="17" t="str">
        <f aca="false">VLOOKUP(L928,Sheet2!D:E,2,0)</f>
        <v>Main Processor CPU BGA</v>
      </c>
      <c r="N928" s="17" t="n">
        <v>24</v>
      </c>
      <c r="O928" s="17" t="str">
        <f aca="false">VLOOKUP(N928,Sheet2!G:H,2,0)</f>
        <v>STB Auto moving -Stand by mode</v>
      </c>
      <c r="P928" s="17" t="n">
        <v>12</v>
      </c>
      <c r="Q928" s="17" t="str">
        <f aca="false">VLOOKUP(P928,Sheet2!J:K,2,0)</f>
        <v>IR Declared due to Others ( IR Normal)TB</v>
      </c>
      <c r="R928" s="17" t="s">
        <v>35</v>
      </c>
      <c r="S928" s="17" t="str">
        <f aca="false">VLOOKUP(R928,Sheet2!N:O,2,0)</f>
        <v>IREPARABLE</v>
      </c>
      <c r="T928" s="18" t="str">
        <f aca="false">VLOOKUP(P928,Sheet2!Q:R,2,0)</f>
        <v>IR Normal - BER to IR</v>
      </c>
      <c r="U928" s="20" t="s">
        <v>135</v>
      </c>
      <c r="V928" s="17" t="n">
        <v>12</v>
      </c>
      <c r="W928" s="20" t="str">
        <f aca="false">VLOOKUP(V928,Sheet2!Q:R,2,0)</f>
        <v>IR Normal - BER to IR</v>
      </c>
      <c r="X928" s="17" t="str">
        <f aca="false">J928</f>
        <v>A018</v>
      </c>
      <c r="Y928" s="17" t="str">
        <f aca="false">VLOOKUP(X928,Sheet2!A:B,2,0)</f>
        <v>PRAKASH CHAVDA</v>
      </c>
      <c r="Z928" s="17" t="s">
        <v>141</v>
      </c>
      <c r="AA928" s="17" t="s">
        <v>477</v>
      </c>
      <c r="AB928" s="17" t="s">
        <v>41</v>
      </c>
      <c r="AC928" s="0" t="str">
        <f aca="false">LEFT(G928,2)</f>
        <v>98</v>
      </c>
      <c r="AD928" s="0"/>
      <c r="AE928" s="21" t="s">
        <v>42</v>
      </c>
    </row>
    <row r="929" customFormat="false" ht="15" hidden="false" customHeight="false" outlineLevel="0" collapsed="false">
      <c r="A929" s="13" t="n">
        <f aca="false">1+A928</f>
        <v>927</v>
      </c>
      <c r="B929" s="17" t="n">
        <v>1009607699</v>
      </c>
      <c r="C929" s="17" t="s">
        <v>181</v>
      </c>
      <c r="D929" s="17" t="s">
        <v>64</v>
      </c>
      <c r="E929" s="17" t="s">
        <v>64</v>
      </c>
      <c r="F929" s="18" t="s">
        <v>70</v>
      </c>
      <c r="G929" s="19" t="n">
        <v>985283187716</v>
      </c>
      <c r="H929" s="17" t="s">
        <v>134</v>
      </c>
      <c r="I929" s="17" t="s">
        <v>44</v>
      </c>
      <c r="J929" s="17" t="s">
        <v>106</v>
      </c>
      <c r="K929" s="17" t="str">
        <f aca="false">VLOOKUP(J929,Sheet2!A:B,2,0)</f>
        <v>PRAKASH CHAVDA</v>
      </c>
      <c r="L929" s="17" t="n">
        <v>5</v>
      </c>
      <c r="M929" s="17" t="str">
        <f aca="false">VLOOKUP(L929,Sheet2!D:E,2,0)</f>
        <v>Main Processor CPU BGA</v>
      </c>
      <c r="N929" s="17" t="n">
        <v>1</v>
      </c>
      <c r="O929" s="17" t="str">
        <f aca="false">VLOOKUP(N929,Sheet2!G:H,2,0)</f>
        <v>Dead</v>
      </c>
      <c r="P929" s="17" t="n">
        <v>12</v>
      </c>
      <c r="Q929" s="17" t="str">
        <f aca="false">VLOOKUP(P929,Sheet2!J:K,2,0)</f>
        <v>IR Declared due to Others ( IR Normal)TB</v>
      </c>
      <c r="R929" s="17" t="s">
        <v>35</v>
      </c>
      <c r="S929" s="17" t="str">
        <f aca="false">VLOOKUP(R929,Sheet2!N:O,2,0)</f>
        <v>IREPARABLE</v>
      </c>
      <c r="T929" s="18" t="str">
        <f aca="false">VLOOKUP(P929,Sheet2!Q:R,2,0)</f>
        <v>IR Normal - BER to IR</v>
      </c>
      <c r="U929" s="20" t="s">
        <v>135</v>
      </c>
      <c r="V929" s="17" t="n">
        <v>12</v>
      </c>
      <c r="W929" s="20" t="str">
        <f aca="false">VLOOKUP(V929,Sheet2!Q:R,2,0)</f>
        <v>IR Normal - BER to IR</v>
      </c>
      <c r="X929" s="17" t="str">
        <f aca="false">J929</f>
        <v>A018</v>
      </c>
      <c r="Y929" s="17" t="str">
        <f aca="false">VLOOKUP(X929,Sheet2!A:B,2,0)</f>
        <v>PRAKASH CHAVDA</v>
      </c>
      <c r="Z929" s="17" t="s">
        <v>141</v>
      </c>
      <c r="AA929" s="17" t="s">
        <v>477</v>
      </c>
      <c r="AB929" s="17" t="s">
        <v>41</v>
      </c>
      <c r="AC929" s="0" t="str">
        <f aca="false">LEFT(G929,2)</f>
        <v>98</v>
      </c>
      <c r="AD929" s="0"/>
      <c r="AE929" s="21" t="s">
        <v>42</v>
      </c>
    </row>
    <row r="930" customFormat="false" ht="15" hidden="false" customHeight="false" outlineLevel="0" collapsed="false">
      <c r="A930" s="13" t="n">
        <f aca="false">1+A929</f>
        <v>928</v>
      </c>
      <c r="B930" s="17" t="n">
        <v>1009671569</v>
      </c>
      <c r="C930" s="17" t="s">
        <v>436</v>
      </c>
      <c r="D930" s="17" t="s">
        <v>190</v>
      </c>
      <c r="E930" s="17" t="s">
        <v>64</v>
      </c>
      <c r="F930" s="18" t="s">
        <v>70</v>
      </c>
      <c r="G930" s="19" t="n">
        <v>986129141370</v>
      </c>
      <c r="H930" s="17" t="s">
        <v>134</v>
      </c>
      <c r="I930" s="17" t="s">
        <v>44</v>
      </c>
      <c r="J930" s="17" t="s">
        <v>106</v>
      </c>
      <c r="K930" s="17" t="str">
        <f aca="false">VLOOKUP(J930,Sheet2!A:B,2,0)</f>
        <v>PRAKASH CHAVDA</v>
      </c>
      <c r="L930" s="17" t="n">
        <v>5</v>
      </c>
      <c r="M930" s="17" t="str">
        <f aca="false">VLOOKUP(L930,Sheet2!D:E,2,0)</f>
        <v>Main Processor CPU BGA</v>
      </c>
      <c r="N930" s="17" t="n">
        <v>1</v>
      </c>
      <c r="O930" s="17" t="str">
        <f aca="false">VLOOKUP(N930,Sheet2!G:H,2,0)</f>
        <v>Dead</v>
      </c>
      <c r="P930" s="17" t="n">
        <v>12</v>
      </c>
      <c r="Q930" s="17" t="str">
        <f aca="false">VLOOKUP(P930,Sheet2!J:K,2,0)</f>
        <v>IR Declared due to Others ( IR Normal)TB</v>
      </c>
      <c r="R930" s="17" t="s">
        <v>35</v>
      </c>
      <c r="S930" s="17" t="str">
        <f aca="false">VLOOKUP(R930,Sheet2!N:O,2,0)</f>
        <v>IREPARABLE</v>
      </c>
      <c r="T930" s="18" t="str">
        <f aca="false">VLOOKUP(P930,Sheet2!Q:R,2,0)</f>
        <v>IR Normal - BER to IR</v>
      </c>
      <c r="U930" s="20" t="s">
        <v>135</v>
      </c>
      <c r="V930" s="17" t="n">
        <v>12</v>
      </c>
      <c r="W930" s="20" t="str">
        <f aca="false">VLOOKUP(V930,Sheet2!Q:R,2,0)</f>
        <v>IR Normal - BER to IR</v>
      </c>
      <c r="X930" s="17" t="str">
        <f aca="false">J930</f>
        <v>A018</v>
      </c>
      <c r="Y930" s="17" t="str">
        <f aca="false">VLOOKUP(X930,Sheet2!A:B,2,0)</f>
        <v>PRAKASH CHAVDA</v>
      </c>
      <c r="Z930" s="17" t="s">
        <v>141</v>
      </c>
      <c r="AA930" s="17" t="s">
        <v>477</v>
      </c>
      <c r="AB930" s="17" t="s">
        <v>41</v>
      </c>
      <c r="AC930" s="0" t="str">
        <f aca="false">LEFT(G930,2)</f>
        <v>98</v>
      </c>
      <c r="AD930" s="0"/>
      <c r="AE930" s="21" t="s">
        <v>42</v>
      </c>
    </row>
    <row r="931" customFormat="false" ht="15" hidden="false" customHeight="false" outlineLevel="0" collapsed="false">
      <c r="A931" s="13" t="n">
        <f aca="false">1+A930</f>
        <v>929</v>
      </c>
      <c r="B931" s="17" t="n">
        <v>1009668282</v>
      </c>
      <c r="C931" s="17" t="s">
        <v>436</v>
      </c>
      <c r="D931" s="17" t="s">
        <v>64</v>
      </c>
      <c r="E931" s="17" t="s">
        <v>64</v>
      </c>
      <c r="F931" s="18" t="s">
        <v>70</v>
      </c>
      <c r="G931" s="19" t="n">
        <v>986014175020</v>
      </c>
      <c r="H931" s="17" t="s">
        <v>134</v>
      </c>
      <c r="I931" s="17" t="s">
        <v>44</v>
      </c>
      <c r="J931" s="17" t="s">
        <v>106</v>
      </c>
      <c r="K931" s="17" t="str">
        <f aca="false">VLOOKUP(J931,Sheet2!A:B,2,0)</f>
        <v>PRAKASH CHAVDA</v>
      </c>
      <c r="L931" s="17" t="n">
        <v>5</v>
      </c>
      <c r="M931" s="17" t="str">
        <f aca="false">VLOOKUP(L931,Sheet2!D:E,2,0)</f>
        <v>Main Processor CPU BGA</v>
      </c>
      <c r="N931" s="17" t="n">
        <v>1</v>
      </c>
      <c r="O931" s="17" t="str">
        <f aca="false">VLOOKUP(N931,Sheet2!G:H,2,0)</f>
        <v>Dead</v>
      </c>
      <c r="P931" s="17" t="n">
        <v>12</v>
      </c>
      <c r="Q931" s="17" t="str">
        <f aca="false">VLOOKUP(P931,Sheet2!J:K,2,0)</f>
        <v>IR Declared due to Others ( IR Normal)TB</v>
      </c>
      <c r="R931" s="17" t="s">
        <v>35</v>
      </c>
      <c r="S931" s="17" t="str">
        <f aca="false">VLOOKUP(R931,Sheet2!N:O,2,0)</f>
        <v>IREPARABLE</v>
      </c>
      <c r="T931" s="18" t="str">
        <f aca="false">VLOOKUP(P931,Sheet2!Q:R,2,0)</f>
        <v>IR Normal - BER to IR</v>
      </c>
      <c r="U931" s="20" t="s">
        <v>135</v>
      </c>
      <c r="V931" s="17" t="n">
        <v>12</v>
      </c>
      <c r="W931" s="20" t="str">
        <f aca="false">VLOOKUP(V931,Sheet2!Q:R,2,0)</f>
        <v>IR Normal - BER to IR</v>
      </c>
      <c r="X931" s="17" t="str">
        <f aca="false">J931</f>
        <v>A018</v>
      </c>
      <c r="Y931" s="17" t="str">
        <f aca="false">VLOOKUP(X931,Sheet2!A:B,2,0)</f>
        <v>PRAKASH CHAVDA</v>
      </c>
      <c r="Z931" s="17" t="s">
        <v>141</v>
      </c>
      <c r="AA931" s="17" t="s">
        <v>477</v>
      </c>
      <c r="AB931" s="17" t="s">
        <v>41</v>
      </c>
      <c r="AC931" s="0" t="str">
        <f aca="false">LEFT(G931,2)</f>
        <v>98</v>
      </c>
      <c r="AD931" s="0"/>
      <c r="AE931" s="21" t="s">
        <v>42</v>
      </c>
    </row>
    <row r="932" customFormat="false" ht="15" hidden="false" customHeight="false" outlineLevel="0" collapsed="false">
      <c r="A932" s="13" t="n">
        <f aca="false">1+A931</f>
        <v>930</v>
      </c>
      <c r="B932" s="17" t="n">
        <v>1009662929</v>
      </c>
      <c r="C932" s="17" t="s">
        <v>433</v>
      </c>
      <c r="D932" s="17" t="s">
        <v>478</v>
      </c>
      <c r="E932" s="17" t="s">
        <v>176</v>
      </c>
      <c r="F932" s="18" t="s">
        <v>34</v>
      </c>
      <c r="G932" s="19" t="n">
        <v>986193100435</v>
      </c>
      <c r="H932" s="17" t="s">
        <v>134</v>
      </c>
      <c r="I932" s="17" t="s">
        <v>44</v>
      </c>
      <c r="J932" s="17" t="s">
        <v>106</v>
      </c>
      <c r="K932" s="17" t="str">
        <f aca="false">VLOOKUP(J932,Sheet2!A:B,2,0)</f>
        <v>PRAKASH CHAVDA</v>
      </c>
      <c r="L932" s="17" t="n">
        <v>5</v>
      </c>
      <c r="M932" s="17" t="str">
        <f aca="false">VLOOKUP(L932,Sheet2!D:E,2,0)</f>
        <v>Main Processor CPU BGA</v>
      </c>
      <c r="N932" s="17" t="n">
        <v>24</v>
      </c>
      <c r="O932" s="17" t="str">
        <f aca="false">VLOOKUP(N932,Sheet2!G:H,2,0)</f>
        <v>STB Auto moving -Stand by mode</v>
      </c>
      <c r="P932" s="17" t="n">
        <v>12</v>
      </c>
      <c r="Q932" s="17" t="str">
        <f aca="false">VLOOKUP(P932,Sheet2!J:K,2,0)</f>
        <v>IR Declared due to Others ( IR Normal)TB</v>
      </c>
      <c r="R932" s="17" t="s">
        <v>35</v>
      </c>
      <c r="S932" s="17" t="str">
        <f aca="false">VLOOKUP(R932,Sheet2!N:O,2,0)</f>
        <v>IREPARABLE</v>
      </c>
      <c r="T932" s="18" t="str">
        <f aca="false">VLOOKUP(P932,Sheet2!Q:R,2,0)</f>
        <v>IR Normal - BER to IR</v>
      </c>
      <c r="U932" s="20" t="s">
        <v>135</v>
      </c>
      <c r="V932" s="17" t="n">
        <v>12</v>
      </c>
      <c r="W932" s="20" t="str">
        <f aca="false">VLOOKUP(V932,Sheet2!Q:R,2,0)</f>
        <v>IR Normal - BER to IR</v>
      </c>
      <c r="X932" s="17" t="str">
        <f aca="false">J932</f>
        <v>A018</v>
      </c>
      <c r="Y932" s="17" t="str">
        <f aca="false">VLOOKUP(X932,Sheet2!A:B,2,0)</f>
        <v>PRAKASH CHAVDA</v>
      </c>
      <c r="Z932" s="17" t="s">
        <v>141</v>
      </c>
      <c r="AA932" s="17" t="s">
        <v>477</v>
      </c>
      <c r="AB932" s="17" t="s">
        <v>41</v>
      </c>
      <c r="AC932" s="0" t="str">
        <f aca="false">LEFT(G932,2)</f>
        <v>98</v>
      </c>
      <c r="AD932" s="0"/>
      <c r="AE932" s="21" t="s">
        <v>42</v>
      </c>
    </row>
    <row r="933" customFormat="false" ht="15" hidden="false" customHeight="false" outlineLevel="0" collapsed="false">
      <c r="A933" s="13" t="n">
        <f aca="false">1+A932</f>
        <v>931</v>
      </c>
      <c r="B933" s="17" t="n">
        <v>1009674051</v>
      </c>
      <c r="C933" s="17" t="s">
        <v>436</v>
      </c>
      <c r="D933" s="17" t="s">
        <v>143</v>
      </c>
      <c r="E933" s="17" t="s">
        <v>47</v>
      </c>
      <c r="F933" s="18" t="s">
        <v>34</v>
      </c>
      <c r="G933" s="19" t="n">
        <v>987233226826</v>
      </c>
      <c r="H933" s="17" t="s">
        <v>134</v>
      </c>
      <c r="I933" s="17" t="s">
        <v>44</v>
      </c>
      <c r="J933" s="17" t="s">
        <v>106</v>
      </c>
      <c r="K933" s="17" t="str">
        <f aca="false">VLOOKUP(J933,Sheet2!A:B,2,0)</f>
        <v>PRAKASH CHAVDA</v>
      </c>
      <c r="L933" s="17" t="n">
        <v>5</v>
      </c>
      <c r="M933" s="17" t="str">
        <f aca="false">VLOOKUP(L933,Sheet2!D:E,2,0)</f>
        <v>Main Processor CPU BGA</v>
      </c>
      <c r="N933" s="17" t="n">
        <v>1</v>
      </c>
      <c r="O933" s="17" t="str">
        <f aca="false">VLOOKUP(N933,Sheet2!G:H,2,0)</f>
        <v>Dead</v>
      </c>
      <c r="P933" s="17" t="n">
        <v>12</v>
      </c>
      <c r="Q933" s="17" t="str">
        <f aca="false">VLOOKUP(P933,Sheet2!J:K,2,0)</f>
        <v>IR Declared due to Others ( IR Normal)TB</v>
      </c>
      <c r="R933" s="17" t="s">
        <v>35</v>
      </c>
      <c r="S933" s="17" t="str">
        <f aca="false">VLOOKUP(R933,Sheet2!N:O,2,0)</f>
        <v>IREPARABLE</v>
      </c>
      <c r="T933" s="18" t="str">
        <f aca="false">VLOOKUP(P933,Sheet2!Q:R,2,0)</f>
        <v>IR Normal - BER to IR</v>
      </c>
      <c r="U933" s="20" t="s">
        <v>135</v>
      </c>
      <c r="V933" s="17" t="n">
        <v>12</v>
      </c>
      <c r="W933" s="20" t="str">
        <f aca="false">VLOOKUP(V933,Sheet2!Q:R,2,0)</f>
        <v>IR Normal - BER to IR</v>
      </c>
      <c r="X933" s="17" t="str">
        <f aca="false">J933</f>
        <v>A018</v>
      </c>
      <c r="Y933" s="17" t="str">
        <f aca="false">VLOOKUP(X933,Sheet2!A:B,2,0)</f>
        <v>PRAKASH CHAVDA</v>
      </c>
      <c r="Z933" s="17" t="s">
        <v>141</v>
      </c>
      <c r="AA933" s="17" t="s">
        <v>477</v>
      </c>
      <c r="AB933" s="17" t="s">
        <v>41</v>
      </c>
      <c r="AC933" s="0" t="str">
        <f aca="false">LEFT(G933,2)</f>
        <v>98</v>
      </c>
      <c r="AD933" s="0"/>
      <c r="AE933" s="21" t="s">
        <v>42</v>
      </c>
    </row>
    <row r="934" customFormat="false" ht="15" hidden="false" customHeight="false" outlineLevel="0" collapsed="false">
      <c r="A934" s="13" t="n">
        <f aca="false">1+A933</f>
        <v>932</v>
      </c>
      <c r="B934" s="17" t="n">
        <v>1009671659</v>
      </c>
      <c r="C934" s="17" t="s">
        <v>436</v>
      </c>
      <c r="D934" s="17" t="s">
        <v>190</v>
      </c>
      <c r="E934" s="17" t="s">
        <v>33</v>
      </c>
      <c r="F934" s="18" t="s">
        <v>34</v>
      </c>
      <c r="G934" s="19" t="n">
        <v>987218154514</v>
      </c>
      <c r="H934" s="17" t="s">
        <v>134</v>
      </c>
      <c r="I934" s="17" t="s">
        <v>44</v>
      </c>
      <c r="J934" s="17" t="s">
        <v>106</v>
      </c>
      <c r="K934" s="17" t="str">
        <f aca="false">VLOOKUP(J934,Sheet2!A:B,2,0)</f>
        <v>PRAKASH CHAVDA</v>
      </c>
      <c r="L934" s="17" t="n">
        <v>5</v>
      </c>
      <c r="M934" s="17" t="str">
        <f aca="false">VLOOKUP(L934,Sheet2!D:E,2,0)</f>
        <v>Main Processor CPU BGA</v>
      </c>
      <c r="N934" s="17" t="n">
        <v>1</v>
      </c>
      <c r="O934" s="17" t="str">
        <f aca="false">VLOOKUP(N934,Sheet2!G:H,2,0)</f>
        <v>Dead</v>
      </c>
      <c r="P934" s="17" t="n">
        <v>12</v>
      </c>
      <c r="Q934" s="17" t="str">
        <f aca="false">VLOOKUP(P934,Sheet2!J:K,2,0)</f>
        <v>IR Declared due to Others ( IR Normal)TB</v>
      </c>
      <c r="R934" s="17" t="s">
        <v>35</v>
      </c>
      <c r="S934" s="17" t="str">
        <f aca="false">VLOOKUP(R934,Sheet2!N:O,2,0)</f>
        <v>IREPARABLE</v>
      </c>
      <c r="T934" s="18" t="str">
        <f aca="false">VLOOKUP(P934,Sheet2!Q:R,2,0)</f>
        <v>IR Normal - BER to IR</v>
      </c>
      <c r="U934" s="20" t="s">
        <v>135</v>
      </c>
      <c r="V934" s="17" t="n">
        <v>12</v>
      </c>
      <c r="W934" s="20" t="str">
        <f aca="false">VLOOKUP(V934,Sheet2!Q:R,2,0)</f>
        <v>IR Normal - BER to IR</v>
      </c>
      <c r="X934" s="17" t="str">
        <f aca="false">J934</f>
        <v>A018</v>
      </c>
      <c r="Y934" s="17" t="str">
        <f aca="false">VLOOKUP(X934,Sheet2!A:B,2,0)</f>
        <v>PRAKASH CHAVDA</v>
      </c>
      <c r="Z934" s="17" t="s">
        <v>141</v>
      </c>
      <c r="AA934" s="17" t="s">
        <v>477</v>
      </c>
      <c r="AB934" s="17" t="s">
        <v>41</v>
      </c>
      <c r="AC934" s="0" t="str">
        <f aca="false">LEFT(G934,2)</f>
        <v>98</v>
      </c>
      <c r="AD934" s="0"/>
      <c r="AE934" s="21" t="s">
        <v>42</v>
      </c>
    </row>
    <row r="935" customFormat="false" ht="15" hidden="false" customHeight="false" outlineLevel="0" collapsed="false">
      <c r="A935" s="13" t="n">
        <f aca="false">1+A934</f>
        <v>933</v>
      </c>
      <c r="B935" s="17" t="n">
        <v>1009668564</v>
      </c>
      <c r="C935" s="17" t="s">
        <v>436</v>
      </c>
      <c r="D935" s="17" t="s">
        <v>190</v>
      </c>
      <c r="E935" s="17" t="s">
        <v>33</v>
      </c>
      <c r="F935" s="18" t="s">
        <v>34</v>
      </c>
      <c r="G935" s="19" t="n">
        <v>987282164555</v>
      </c>
      <c r="H935" s="17" t="s">
        <v>134</v>
      </c>
      <c r="I935" s="17" t="s">
        <v>44</v>
      </c>
      <c r="J935" s="17" t="s">
        <v>106</v>
      </c>
      <c r="K935" s="17" t="str">
        <f aca="false">VLOOKUP(J935,Sheet2!A:B,2,0)</f>
        <v>PRAKASH CHAVDA</v>
      </c>
      <c r="L935" s="17" t="n">
        <v>5</v>
      </c>
      <c r="M935" s="17" t="str">
        <f aca="false">VLOOKUP(L935,Sheet2!D:E,2,0)</f>
        <v>Main Processor CPU BGA</v>
      </c>
      <c r="N935" s="17" t="n">
        <v>1</v>
      </c>
      <c r="O935" s="17" t="str">
        <f aca="false">VLOOKUP(N935,Sheet2!G:H,2,0)</f>
        <v>Dead</v>
      </c>
      <c r="P935" s="17" t="n">
        <v>12</v>
      </c>
      <c r="Q935" s="17" t="str">
        <f aca="false">VLOOKUP(P935,Sheet2!J:K,2,0)</f>
        <v>IR Declared due to Others ( IR Normal)TB</v>
      </c>
      <c r="R935" s="17" t="s">
        <v>35</v>
      </c>
      <c r="S935" s="17" t="str">
        <f aca="false">VLOOKUP(R935,Sheet2!N:O,2,0)</f>
        <v>IREPARABLE</v>
      </c>
      <c r="T935" s="18" t="str">
        <f aca="false">VLOOKUP(P935,Sheet2!Q:R,2,0)</f>
        <v>IR Normal - BER to IR</v>
      </c>
      <c r="U935" s="20" t="s">
        <v>135</v>
      </c>
      <c r="V935" s="17" t="n">
        <v>12</v>
      </c>
      <c r="W935" s="20" t="str">
        <f aca="false">VLOOKUP(V935,Sheet2!Q:R,2,0)</f>
        <v>IR Normal - BER to IR</v>
      </c>
      <c r="X935" s="17" t="str">
        <f aca="false">J935</f>
        <v>A018</v>
      </c>
      <c r="Y935" s="17" t="str">
        <f aca="false">VLOOKUP(X935,Sheet2!A:B,2,0)</f>
        <v>PRAKASH CHAVDA</v>
      </c>
      <c r="Z935" s="17" t="s">
        <v>141</v>
      </c>
      <c r="AA935" s="17" t="s">
        <v>477</v>
      </c>
      <c r="AB935" s="17" t="s">
        <v>41</v>
      </c>
      <c r="AC935" s="0" t="str">
        <f aca="false">LEFT(G935,2)</f>
        <v>98</v>
      </c>
      <c r="AD935" s="0"/>
      <c r="AE935" s="21" t="s">
        <v>42</v>
      </c>
    </row>
    <row r="936" customFormat="false" ht="15" hidden="false" customHeight="false" outlineLevel="0" collapsed="false">
      <c r="A936" s="13" t="n">
        <f aca="false">1+A935</f>
        <v>934</v>
      </c>
      <c r="B936" s="17" t="n">
        <v>1009668293</v>
      </c>
      <c r="C936" s="17" t="s">
        <v>436</v>
      </c>
      <c r="D936" s="17" t="s">
        <v>64</v>
      </c>
      <c r="E936" s="17" t="s">
        <v>47</v>
      </c>
      <c r="F936" s="18" t="s">
        <v>34</v>
      </c>
      <c r="G936" s="19" t="n">
        <v>986267105237</v>
      </c>
      <c r="H936" s="17" t="s">
        <v>134</v>
      </c>
      <c r="I936" s="17" t="s">
        <v>44</v>
      </c>
      <c r="J936" s="17" t="s">
        <v>106</v>
      </c>
      <c r="K936" s="17" t="str">
        <f aca="false">VLOOKUP(J936,Sheet2!A:B,2,0)</f>
        <v>PRAKASH CHAVDA</v>
      </c>
      <c r="L936" s="17" t="n">
        <v>5</v>
      </c>
      <c r="M936" s="17" t="str">
        <f aca="false">VLOOKUP(L936,Sheet2!D:E,2,0)</f>
        <v>Main Processor CPU BGA</v>
      </c>
      <c r="N936" s="17" t="n">
        <v>1</v>
      </c>
      <c r="O936" s="17" t="str">
        <f aca="false">VLOOKUP(N936,Sheet2!G:H,2,0)</f>
        <v>Dead</v>
      </c>
      <c r="P936" s="17" t="n">
        <v>12</v>
      </c>
      <c r="Q936" s="17" t="str">
        <f aca="false">VLOOKUP(P936,Sheet2!J:K,2,0)</f>
        <v>IR Declared due to Others ( IR Normal)TB</v>
      </c>
      <c r="R936" s="17" t="s">
        <v>35</v>
      </c>
      <c r="S936" s="17" t="str">
        <f aca="false">VLOOKUP(R936,Sheet2!N:O,2,0)</f>
        <v>IREPARABLE</v>
      </c>
      <c r="T936" s="18" t="str">
        <f aca="false">VLOOKUP(P936,Sheet2!Q:R,2,0)</f>
        <v>IR Normal - BER to IR</v>
      </c>
      <c r="U936" s="20" t="s">
        <v>135</v>
      </c>
      <c r="V936" s="17" t="n">
        <v>12</v>
      </c>
      <c r="W936" s="20" t="str">
        <f aca="false">VLOOKUP(V936,Sheet2!Q:R,2,0)</f>
        <v>IR Normal - BER to IR</v>
      </c>
      <c r="X936" s="17" t="str">
        <f aca="false">J936</f>
        <v>A018</v>
      </c>
      <c r="Y936" s="17" t="str">
        <f aca="false">VLOOKUP(X936,Sheet2!A:B,2,0)</f>
        <v>PRAKASH CHAVDA</v>
      </c>
      <c r="Z936" s="17" t="s">
        <v>141</v>
      </c>
      <c r="AA936" s="17" t="s">
        <v>477</v>
      </c>
      <c r="AB936" s="17" t="s">
        <v>41</v>
      </c>
      <c r="AC936" s="0" t="str">
        <f aca="false">LEFT(G936,2)</f>
        <v>98</v>
      </c>
      <c r="AD936" s="0"/>
      <c r="AE936" s="21" t="s">
        <v>42</v>
      </c>
    </row>
    <row r="937" customFormat="false" ht="15" hidden="false" customHeight="false" outlineLevel="0" collapsed="false">
      <c r="A937" s="13" t="n">
        <f aca="false">1+A936</f>
        <v>935</v>
      </c>
      <c r="B937" s="17" t="n">
        <v>1009677501</v>
      </c>
      <c r="C937" s="17" t="s">
        <v>436</v>
      </c>
      <c r="D937" s="17" t="s">
        <v>64</v>
      </c>
      <c r="E937" s="17" t="s">
        <v>91</v>
      </c>
      <c r="F937" s="18" t="s">
        <v>92</v>
      </c>
      <c r="G937" s="19" t="n">
        <v>987235107586</v>
      </c>
      <c r="H937" s="17" t="s">
        <v>134</v>
      </c>
      <c r="I937" s="17" t="s">
        <v>44</v>
      </c>
      <c r="J937" s="17" t="s">
        <v>106</v>
      </c>
      <c r="K937" s="17" t="str">
        <f aca="false">VLOOKUP(J937,Sheet2!A:B,2,0)</f>
        <v>PRAKASH CHAVDA</v>
      </c>
      <c r="L937" s="17" t="n">
        <v>5</v>
      </c>
      <c r="M937" s="17" t="str">
        <f aca="false">VLOOKUP(L937,Sheet2!D:E,2,0)</f>
        <v>Main Processor CPU BGA</v>
      </c>
      <c r="N937" s="17" t="n">
        <v>21</v>
      </c>
      <c r="O937" s="17" t="str">
        <f aca="false">VLOOKUP(N937,Sheet2!G:H,2,0)</f>
        <v>No Audio /Video - HDMI</v>
      </c>
      <c r="P937" s="17" t="n">
        <v>12</v>
      </c>
      <c r="Q937" s="17" t="str">
        <f aca="false">VLOOKUP(P937,Sheet2!J:K,2,0)</f>
        <v>IR Declared due to Others ( IR Normal)TB</v>
      </c>
      <c r="R937" s="17" t="s">
        <v>35</v>
      </c>
      <c r="S937" s="17" t="str">
        <f aca="false">VLOOKUP(R937,Sheet2!N:O,2,0)</f>
        <v>IREPARABLE</v>
      </c>
      <c r="T937" s="18" t="str">
        <f aca="false">VLOOKUP(P937,Sheet2!Q:R,2,0)</f>
        <v>IR Normal - BER to IR</v>
      </c>
      <c r="U937" s="20" t="s">
        <v>135</v>
      </c>
      <c r="V937" s="17" t="n">
        <v>12</v>
      </c>
      <c r="W937" s="20" t="str">
        <f aca="false">VLOOKUP(V937,Sheet2!Q:R,2,0)</f>
        <v>IR Normal - BER to IR</v>
      </c>
      <c r="X937" s="17" t="str">
        <f aca="false">J937</f>
        <v>A018</v>
      </c>
      <c r="Y937" s="17" t="str">
        <f aca="false">VLOOKUP(X937,Sheet2!A:B,2,0)</f>
        <v>PRAKASH CHAVDA</v>
      </c>
      <c r="Z937" s="17" t="s">
        <v>141</v>
      </c>
      <c r="AA937" s="17" t="s">
        <v>477</v>
      </c>
      <c r="AB937" s="17" t="s">
        <v>41</v>
      </c>
      <c r="AC937" s="0" t="str">
        <f aca="false">LEFT(G937,2)</f>
        <v>98</v>
      </c>
      <c r="AD937" s="0"/>
      <c r="AE937" s="21" t="s">
        <v>42</v>
      </c>
    </row>
    <row r="938" customFormat="false" ht="15" hidden="false" customHeight="false" outlineLevel="0" collapsed="false">
      <c r="A938" s="13" t="n">
        <f aca="false">1+A937</f>
        <v>936</v>
      </c>
      <c r="B938" s="17" t="n">
        <v>1009612777</v>
      </c>
      <c r="C938" s="17" t="s">
        <v>184</v>
      </c>
      <c r="D938" s="17" t="s">
        <v>209</v>
      </c>
      <c r="E938" s="17" t="s">
        <v>33</v>
      </c>
      <c r="F938" s="18" t="s">
        <v>34</v>
      </c>
      <c r="G938" s="19" t="n">
        <v>985306157092</v>
      </c>
      <c r="H938" s="17" t="s">
        <v>134</v>
      </c>
      <c r="I938" s="17" t="s">
        <v>44</v>
      </c>
      <c r="J938" s="17" t="s">
        <v>106</v>
      </c>
      <c r="K938" s="17" t="str">
        <f aca="false">VLOOKUP(J938,Sheet2!A:B,2,0)</f>
        <v>PRAKASH CHAVDA</v>
      </c>
      <c r="L938" s="17" t="n">
        <v>5</v>
      </c>
      <c r="M938" s="17" t="str">
        <f aca="false">VLOOKUP(L938,Sheet2!D:E,2,0)</f>
        <v>Main Processor CPU BGA</v>
      </c>
      <c r="N938" s="17" t="n">
        <v>24</v>
      </c>
      <c r="O938" s="17" t="str">
        <f aca="false">VLOOKUP(N938,Sheet2!G:H,2,0)</f>
        <v>STB Auto moving -Stand by mode</v>
      </c>
      <c r="P938" s="17" t="n">
        <v>12</v>
      </c>
      <c r="Q938" s="17" t="str">
        <f aca="false">VLOOKUP(P938,Sheet2!J:K,2,0)</f>
        <v>IR Declared due to Others ( IR Normal)TB</v>
      </c>
      <c r="R938" s="17" t="s">
        <v>35</v>
      </c>
      <c r="S938" s="17" t="str">
        <f aca="false">VLOOKUP(R938,Sheet2!N:O,2,0)</f>
        <v>IREPARABLE</v>
      </c>
      <c r="T938" s="18" t="str">
        <f aca="false">VLOOKUP(P938,Sheet2!Q:R,2,0)</f>
        <v>IR Normal - BER to IR</v>
      </c>
      <c r="U938" s="20" t="s">
        <v>135</v>
      </c>
      <c r="V938" s="17" t="n">
        <v>12</v>
      </c>
      <c r="W938" s="20" t="str">
        <f aca="false">VLOOKUP(V938,Sheet2!Q:R,2,0)</f>
        <v>IR Normal - BER to IR</v>
      </c>
      <c r="X938" s="17" t="str">
        <f aca="false">J938</f>
        <v>A018</v>
      </c>
      <c r="Y938" s="17" t="str">
        <f aca="false">VLOOKUP(X938,Sheet2!A:B,2,0)</f>
        <v>PRAKASH CHAVDA</v>
      </c>
      <c r="Z938" s="17" t="s">
        <v>141</v>
      </c>
      <c r="AA938" s="17" t="s">
        <v>477</v>
      </c>
      <c r="AB938" s="17" t="s">
        <v>41</v>
      </c>
      <c r="AC938" s="0" t="str">
        <f aca="false">LEFT(G938,2)</f>
        <v>98</v>
      </c>
      <c r="AD938" s="0"/>
      <c r="AE938" s="21" t="s">
        <v>42</v>
      </c>
    </row>
    <row r="939" customFormat="false" ht="15" hidden="false" customHeight="false" outlineLevel="0" collapsed="false">
      <c r="A939" s="13" t="n">
        <f aca="false">1+A938</f>
        <v>937</v>
      </c>
      <c r="B939" s="17" t="n">
        <v>1009665535</v>
      </c>
      <c r="C939" s="17" t="s">
        <v>436</v>
      </c>
      <c r="D939" s="17" t="s">
        <v>88</v>
      </c>
      <c r="E939" s="17" t="s">
        <v>47</v>
      </c>
      <c r="F939" s="18" t="s">
        <v>34</v>
      </c>
      <c r="G939" s="19" t="n">
        <v>986083123505</v>
      </c>
      <c r="H939" s="17" t="s">
        <v>134</v>
      </c>
      <c r="I939" s="17" t="s">
        <v>44</v>
      </c>
      <c r="J939" s="17" t="s">
        <v>106</v>
      </c>
      <c r="K939" s="17" t="str">
        <f aca="false">VLOOKUP(J939,Sheet2!A:B,2,0)</f>
        <v>PRAKASH CHAVDA</v>
      </c>
      <c r="L939" s="17" t="n">
        <v>5</v>
      </c>
      <c r="M939" s="17" t="str">
        <f aca="false">VLOOKUP(L939,Sheet2!D:E,2,0)</f>
        <v>Main Processor CPU BGA</v>
      </c>
      <c r="N939" s="17" t="n">
        <v>16</v>
      </c>
      <c r="O939" s="17" t="str">
        <f aca="false">VLOOKUP(N939,Sheet2!G:H,2,0)</f>
        <v>No Video - HDMI</v>
      </c>
      <c r="P939" s="17" t="n">
        <v>12</v>
      </c>
      <c r="Q939" s="17" t="str">
        <f aca="false">VLOOKUP(P939,Sheet2!J:K,2,0)</f>
        <v>IR Declared due to Others ( IR Normal)TB</v>
      </c>
      <c r="R939" s="17" t="s">
        <v>35</v>
      </c>
      <c r="S939" s="17" t="str">
        <f aca="false">VLOOKUP(R939,Sheet2!N:O,2,0)</f>
        <v>IREPARABLE</v>
      </c>
      <c r="T939" s="18" t="str">
        <f aca="false">VLOOKUP(P939,Sheet2!Q:R,2,0)</f>
        <v>IR Normal - BER to IR</v>
      </c>
      <c r="U939" s="20" t="s">
        <v>135</v>
      </c>
      <c r="V939" s="17" t="n">
        <v>12</v>
      </c>
      <c r="W939" s="20" t="str">
        <f aca="false">VLOOKUP(V939,Sheet2!Q:R,2,0)</f>
        <v>IR Normal - BER to IR</v>
      </c>
      <c r="X939" s="17" t="str">
        <f aca="false">J939</f>
        <v>A018</v>
      </c>
      <c r="Y939" s="17" t="str">
        <f aca="false">VLOOKUP(X939,Sheet2!A:B,2,0)</f>
        <v>PRAKASH CHAVDA</v>
      </c>
      <c r="Z939" s="17" t="s">
        <v>141</v>
      </c>
      <c r="AA939" s="17" t="s">
        <v>477</v>
      </c>
      <c r="AB939" s="17" t="s">
        <v>41</v>
      </c>
      <c r="AC939" s="0" t="str">
        <f aca="false">LEFT(G939,2)</f>
        <v>98</v>
      </c>
      <c r="AD939" s="0"/>
      <c r="AE939" s="21" t="s">
        <v>42</v>
      </c>
    </row>
    <row r="940" customFormat="false" ht="15" hidden="false" customHeight="false" outlineLevel="0" collapsed="false">
      <c r="A940" s="13" t="n">
        <f aca="false">1+A939</f>
        <v>938</v>
      </c>
      <c r="B940" s="17" t="n">
        <v>1009665866</v>
      </c>
      <c r="C940" s="17" t="s">
        <v>436</v>
      </c>
      <c r="D940" s="17" t="s">
        <v>64</v>
      </c>
      <c r="E940" s="17" t="s">
        <v>64</v>
      </c>
      <c r="F940" s="18" t="s">
        <v>70</v>
      </c>
      <c r="G940" s="19" t="n">
        <v>986196169296</v>
      </c>
      <c r="H940" s="17" t="s">
        <v>134</v>
      </c>
      <c r="I940" s="17" t="s">
        <v>44</v>
      </c>
      <c r="J940" s="17" t="s">
        <v>106</v>
      </c>
      <c r="K940" s="17" t="str">
        <f aca="false">VLOOKUP(J940,Sheet2!A:B,2,0)</f>
        <v>PRAKASH CHAVDA</v>
      </c>
      <c r="L940" s="17" t="n">
        <v>2</v>
      </c>
      <c r="M940" s="17" t="str">
        <f aca="false">VLOOKUP(L940,Sheet2!D:E,2,0)</f>
        <v>Tuner Section</v>
      </c>
      <c r="N940" s="17" t="n">
        <v>6</v>
      </c>
      <c r="O940" s="17" t="str">
        <f aca="false">VLOOKUP(N940,Sheet2!G:H,2,0)</f>
        <v>No Signal</v>
      </c>
      <c r="P940" s="17" t="n">
        <v>12</v>
      </c>
      <c r="Q940" s="17" t="str">
        <f aca="false">VLOOKUP(P940,Sheet2!J:K,2,0)</f>
        <v>IR Declared due to Others ( IR Normal)TB</v>
      </c>
      <c r="R940" s="17" t="s">
        <v>35</v>
      </c>
      <c r="S940" s="17" t="str">
        <f aca="false">VLOOKUP(R940,Sheet2!N:O,2,0)</f>
        <v>IREPARABLE</v>
      </c>
      <c r="T940" s="18" t="str">
        <f aca="false">VLOOKUP(P940,Sheet2!Q:R,2,0)</f>
        <v>IR Normal - BER to IR</v>
      </c>
      <c r="U940" s="20" t="s">
        <v>135</v>
      </c>
      <c r="V940" s="17" t="n">
        <v>12</v>
      </c>
      <c r="W940" s="20" t="str">
        <f aca="false">VLOOKUP(V940,Sheet2!Q:R,2,0)</f>
        <v>IR Normal - BER to IR</v>
      </c>
      <c r="X940" s="17" t="str">
        <f aca="false">J940</f>
        <v>A018</v>
      </c>
      <c r="Y940" s="17" t="str">
        <f aca="false">VLOOKUP(X940,Sheet2!A:B,2,0)</f>
        <v>PRAKASH CHAVDA</v>
      </c>
      <c r="Z940" s="17" t="s">
        <v>141</v>
      </c>
      <c r="AA940" s="17" t="s">
        <v>477</v>
      </c>
      <c r="AB940" s="17" t="s">
        <v>41</v>
      </c>
      <c r="AC940" s="0" t="str">
        <f aca="false">LEFT(G940,2)</f>
        <v>98</v>
      </c>
      <c r="AD940" s="0"/>
      <c r="AE940" s="21" t="s">
        <v>42</v>
      </c>
    </row>
    <row r="941" customFormat="false" ht="15" hidden="false" customHeight="false" outlineLevel="0" collapsed="false">
      <c r="A941" s="13" t="n">
        <f aca="false">1+A940</f>
        <v>939</v>
      </c>
      <c r="B941" s="17" t="n">
        <v>1009629557</v>
      </c>
      <c r="C941" s="17" t="s">
        <v>174</v>
      </c>
      <c r="D941" s="17" t="s">
        <v>64</v>
      </c>
      <c r="E941" s="17" t="s">
        <v>33</v>
      </c>
      <c r="F941" s="18" t="s">
        <v>34</v>
      </c>
      <c r="G941" s="19" t="n">
        <v>987249330497</v>
      </c>
      <c r="H941" s="17" t="s">
        <v>134</v>
      </c>
      <c r="I941" s="17" t="s">
        <v>44</v>
      </c>
      <c r="J941" s="17" t="s">
        <v>106</v>
      </c>
      <c r="K941" s="17" t="str">
        <f aca="false">VLOOKUP(J941,Sheet2!A:B,2,0)</f>
        <v>PRAKASH CHAVDA</v>
      </c>
      <c r="L941" s="17" t="n">
        <v>5</v>
      </c>
      <c r="M941" s="17" t="str">
        <f aca="false">VLOOKUP(L941,Sheet2!D:E,2,0)</f>
        <v>Main Processor CPU BGA</v>
      </c>
      <c r="N941" s="17" t="n">
        <v>1</v>
      </c>
      <c r="O941" s="17" t="str">
        <f aca="false">VLOOKUP(N941,Sheet2!G:H,2,0)</f>
        <v>Dead</v>
      </c>
      <c r="P941" s="17" t="n">
        <v>12</v>
      </c>
      <c r="Q941" s="17" t="str">
        <f aca="false">VLOOKUP(P941,Sheet2!J:K,2,0)</f>
        <v>IR Declared due to Others ( IR Normal)TB</v>
      </c>
      <c r="R941" s="17" t="s">
        <v>35</v>
      </c>
      <c r="S941" s="17" t="str">
        <f aca="false">VLOOKUP(R941,Sheet2!N:O,2,0)</f>
        <v>IREPARABLE</v>
      </c>
      <c r="T941" s="18" t="str">
        <f aca="false">VLOOKUP(P941,Sheet2!Q:R,2,0)</f>
        <v>IR Normal - BER to IR</v>
      </c>
      <c r="U941" s="20" t="s">
        <v>135</v>
      </c>
      <c r="V941" s="17" t="n">
        <v>12</v>
      </c>
      <c r="W941" s="20" t="str">
        <f aca="false">VLOOKUP(V941,Sheet2!Q:R,2,0)</f>
        <v>IR Normal - BER to IR</v>
      </c>
      <c r="X941" s="17" t="str">
        <f aca="false">J941</f>
        <v>A018</v>
      </c>
      <c r="Y941" s="17" t="str">
        <f aca="false">VLOOKUP(X941,Sheet2!A:B,2,0)</f>
        <v>PRAKASH CHAVDA</v>
      </c>
      <c r="Z941" s="17" t="s">
        <v>141</v>
      </c>
      <c r="AA941" s="17" t="s">
        <v>477</v>
      </c>
      <c r="AB941" s="17" t="s">
        <v>41</v>
      </c>
      <c r="AC941" s="0" t="str">
        <f aca="false">LEFT(G941,2)</f>
        <v>98</v>
      </c>
      <c r="AD941" s="0"/>
      <c r="AE941" s="21" t="s">
        <v>42</v>
      </c>
    </row>
    <row r="942" customFormat="false" ht="15" hidden="false" customHeight="false" outlineLevel="0" collapsed="false">
      <c r="A942" s="13" t="n">
        <f aca="false">1+A941</f>
        <v>940</v>
      </c>
      <c r="B942" s="17" t="n">
        <v>1009668573</v>
      </c>
      <c r="C942" s="17" t="s">
        <v>436</v>
      </c>
      <c r="D942" s="17" t="s">
        <v>143</v>
      </c>
      <c r="E942" s="17" t="s">
        <v>33</v>
      </c>
      <c r="F942" s="18" t="s">
        <v>34</v>
      </c>
      <c r="G942" s="19" t="n">
        <v>986163138761</v>
      </c>
      <c r="H942" s="17" t="s">
        <v>134</v>
      </c>
      <c r="I942" s="17" t="s">
        <v>44</v>
      </c>
      <c r="J942" s="17" t="s">
        <v>106</v>
      </c>
      <c r="K942" s="17" t="str">
        <f aca="false">VLOOKUP(J942,Sheet2!A:B,2,0)</f>
        <v>PRAKASH CHAVDA</v>
      </c>
      <c r="L942" s="17" t="n">
        <v>5</v>
      </c>
      <c r="M942" s="17" t="str">
        <f aca="false">VLOOKUP(L942,Sheet2!D:E,2,0)</f>
        <v>Main Processor CPU BGA</v>
      </c>
      <c r="N942" s="17" t="n">
        <v>24</v>
      </c>
      <c r="O942" s="17" t="str">
        <f aca="false">VLOOKUP(N942,Sheet2!G:H,2,0)</f>
        <v>STB Auto moving -Stand by mode</v>
      </c>
      <c r="P942" s="17" t="n">
        <v>12</v>
      </c>
      <c r="Q942" s="17" t="str">
        <f aca="false">VLOOKUP(P942,Sheet2!J:K,2,0)</f>
        <v>IR Declared due to Others ( IR Normal)TB</v>
      </c>
      <c r="R942" s="17" t="s">
        <v>35</v>
      </c>
      <c r="S942" s="17" t="str">
        <f aca="false">VLOOKUP(R942,Sheet2!N:O,2,0)</f>
        <v>IREPARABLE</v>
      </c>
      <c r="T942" s="18" t="str">
        <f aca="false">VLOOKUP(P942,Sheet2!Q:R,2,0)</f>
        <v>IR Normal - BER to IR</v>
      </c>
      <c r="U942" s="20" t="s">
        <v>135</v>
      </c>
      <c r="V942" s="17" t="n">
        <v>12</v>
      </c>
      <c r="W942" s="20" t="str">
        <f aca="false">VLOOKUP(V942,Sheet2!Q:R,2,0)</f>
        <v>IR Normal - BER to IR</v>
      </c>
      <c r="X942" s="17" t="str">
        <f aca="false">J942</f>
        <v>A018</v>
      </c>
      <c r="Y942" s="17" t="str">
        <f aca="false">VLOOKUP(X942,Sheet2!A:B,2,0)</f>
        <v>PRAKASH CHAVDA</v>
      </c>
      <c r="Z942" s="17" t="s">
        <v>141</v>
      </c>
      <c r="AA942" s="17" t="s">
        <v>477</v>
      </c>
      <c r="AB942" s="17" t="s">
        <v>41</v>
      </c>
      <c r="AC942" s="0" t="str">
        <f aca="false">LEFT(G942,2)</f>
        <v>98</v>
      </c>
      <c r="AD942" s="0"/>
      <c r="AE942" s="21" t="s">
        <v>42</v>
      </c>
    </row>
    <row r="943" customFormat="false" ht="15" hidden="false" customHeight="false" outlineLevel="0" collapsed="false">
      <c r="A943" s="13" t="n">
        <f aca="false">1+A942</f>
        <v>941</v>
      </c>
      <c r="B943" s="17" t="n">
        <v>1009423239</v>
      </c>
      <c r="C943" s="17" t="s">
        <v>179</v>
      </c>
      <c r="D943" s="17" t="s">
        <v>64</v>
      </c>
      <c r="E943" s="17" t="s">
        <v>47</v>
      </c>
      <c r="F943" s="18" t="s">
        <v>34</v>
      </c>
      <c r="G943" s="19" t="n">
        <v>987282108776</v>
      </c>
      <c r="H943" s="17" t="s">
        <v>134</v>
      </c>
      <c r="I943" s="17" t="s">
        <v>44</v>
      </c>
      <c r="J943" s="17" t="s">
        <v>106</v>
      </c>
      <c r="K943" s="17" t="str">
        <f aca="false">VLOOKUP(J943,Sheet2!A:B,2,0)</f>
        <v>PRAKASH CHAVDA</v>
      </c>
      <c r="L943" s="17" t="n">
        <v>5</v>
      </c>
      <c r="M943" s="17" t="str">
        <f aca="false">VLOOKUP(L943,Sheet2!D:E,2,0)</f>
        <v>Main Processor CPU BGA</v>
      </c>
      <c r="N943" s="17" t="n">
        <v>24</v>
      </c>
      <c r="O943" s="17" t="str">
        <f aca="false">VLOOKUP(N943,Sheet2!G:H,2,0)</f>
        <v>STB Auto moving -Stand by mode</v>
      </c>
      <c r="P943" s="17" t="n">
        <v>12</v>
      </c>
      <c r="Q943" s="17" t="str">
        <f aca="false">VLOOKUP(P943,Sheet2!J:K,2,0)</f>
        <v>IR Declared due to Others ( IR Normal)TB</v>
      </c>
      <c r="R943" s="17" t="s">
        <v>35</v>
      </c>
      <c r="S943" s="17" t="str">
        <f aca="false">VLOOKUP(R943,Sheet2!N:O,2,0)</f>
        <v>IREPARABLE</v>
      </c>
      <c r="T943" s="18" t="str">
        <f aca="false">VLOOKUP(P943,Sheet2!Q:R,2,0)</f>
        <v>IR Normal - BER to IR</v>
      </c>
      <c r="U943" s="20" t="s">
        <v>135</v>
      </c>
      <c r="V943" s="17" t="n">
        <v>12</v>
      </c>
      <c r="W943" s="20" t="str">
        <f aca="false">VLOOKUP(V943,Sheet2!Q:R,2,0)</f>
        <v>IR Normal - BER to IR</v>
      </c>
      <c r="X943" s="17" t="str">
        <f aca="false">J943</f>
        <v>A018</v>
      </c>
      <c r="Y943" s="17" t="str">
        <f aca="false">VLOOKUP(X943,Sheet2!A:B,2,0)</f>
        <v>PRAKASH CHAVDA</v>
      </c>
      <c r="Z943" s="17" t="s">
        <v>141</v>
      </c>
      <c r="AA943" s="17" t="s">
        <v>477</v>
      </c>
      <c r="AB943" s="17" t="s">
        <v>41</v>
      </c>
      <c r="AC943" s="0" t="str">
        <f aca="false">LEFT(G943,2)</f>
        <v>98</v>
      </c>
      <c r="AD943" s="0"/>
      <c r="AE943" s="21" t="s">
        <v>42</v>
      </c>
    </row>
    <row r="944" customFormat="false" ht="15" hidden="false" customHeight="false" outlineLevel="0" collapsed="false">
      <c r="A944" s="13" t="n">
        <f aca="false">1+A943</f>
        <v>942</v>
      </c>
      <c r="B944" s="17" t="n">
        <v>1009666170</v>
      </c>
      <c r="C944" s="17" t="s">
        <v>179</v>
      </c>
      <c r="D944" s="17" t="s">
        <v>479</v>
      </c>
      <c r="E944" s="17" t="s">
        <v>114</v>
      </c>
      <c r="F944" s="18" t="s">
        <v>34</v>
      </c>
      <c r="G944" s="19" t="n">
        <v>986220134183</v>
      </c>
      <c r="H944" s="17" t="s">
        <v>134</v>
      </c>
      <c r="I944" s="17" t="s">
        <v>44</v>
      </c>
      <c r="J944" s="17" t="s">
        <v>106</v>
      </c>
      <c r="K944" s="17" t="str">
        <f aca="false">VLOOKUP(J944,Sheet2!A:B,2,0)</f>
        <v>PRAKASH CHAVDA</v>
      </c>
      <c r="L944" s="17" t="n">
        <v>5</v>
      </c>
      <c r="M944" s="17" t="str">
        <f aca="false">VLOOKUP(L944,Sheet2!D:E,2,0)</f>
        <v>Main Processor CPU BGA</v>
      </c>
      <c r="N944" s="17" t="n">
        <v>6</v>
      </c>
      <c r="O944" s="17" t="str">
        <f aca="false">VLOOKUP(N944,Sheet2!G:H,2,0)</f>
        <v>No Signal</v>
      </c>
      <c r="P944" s="17" t="n">
        <v>12</v>
      </c>
      <c r="Q944" s="17" t="str">
        <f aca="false">VLOOKUP(P944,Sheet2!J:K,2,0)</f>
        <v>IR Declared due to Others ( IR Normal)TB</v>
      </c>
      <c r="R944" s="17" t="s">
        <v>35</v>
      </c>
      <c r="S944" s="17" t="str">
        <f aca="false">VLOOKUP(R944,Sheet2!N:O,2,0)</f>
        <v>IREPARABLE</v>
      </c>
      <c r="T944" s="18" t="str">
        <f aca="false">VLOOKUP(P944,Sheet2!Q:R,2,0)</f>
        <v>IR Normal - BER to IR</v>
      </c>
      <c r="U944" s="20" t="s">
        <v>135</v>
      </c>
      <c r="V944" s="17" t="n">
        <v>12</v>
      </c>
      <c r="W944" s="20" t="str">
        <f aca="false">VLOOKUP(V944,Sheet2!Q:R,2,0)</f>
        <v>IR Normal - BER to IR</v>
      </c>
      <c r="X944" s="17" t="str">
        <f aca="false">J944</f>
        <v>A018</v>
      </c>
      <c r="Y944" s="17" t="str">
        <f aca="false">VLOOKUP(X944,Sheet2!A:B,2,0)</f>
        <v>PRAKASH CHAVDA</v>
      </c>
      <c r="Z944" s="17" t="s">
        <v>141</v>
      </c>
      <c r="AA944" s="17" t="s">
        <v>477</v>
      </c>
      <c r="AB944" s="17" t="s">
        <v>41</v>
      </c>
      <c r="AC944" s="0" t="str">
        <f aca="false">LEFT(G944,2)</f>
        <v>98</v>
      </c>
      <c r="AD944" s="0"/>
      <c r="AE944" s="21" t="s">
        <v>42</v>
      </c>
    </row>
    <row r="945" customFormat="false" ht="15" hidden="false" customHeight="false" outlineLevel="0" collapsed="false">
      <c r="A945" s="13" t="n">
        <f aca="false">1+A944</f>
        <v>943</v>
      </c>
      <c r="B945" s="17" t="n">
        <v>1009340810</v>
      </c>
      <c r="C945" s="17" t="s">
        <v>406</v>
      </c>
      <c r="D945" s="17" t="s">
        <v>64</v>
      </c>
      <c r="E945" s="17" t="s">
        <v>64</v>
      </c>
      <c r="F945" s="18" t="s">
        <v>70</v>
      </c>
      <c r="G945" s="19" t="n">
        <v>413175412902</v>
      </c>
      <c r="H945" s="17" t="s">
        <v>134</v>
      </c>
      <c r="I945" s="17" t="s">
        <v>44</v>
      </c>
      <c r="J945" s="17" t="s">
        <v>106</v>
      </c>
      <c r="K945" s="17" t="str">
        <f aca="false">VLOOKUP(J945,Sheet2!A:B,2,0)</f>
        <v>PRAKASH CHAVDA</v>
      </c>
      <c r="L945" s="17" t="n">
        <v>2</v>
      </c>
      <c r="M945" s="17" t="str">
        <f aca="false">VLOOKUP(L945,Sheet2!D:E,2,0)</f>
        <v>Tuner Section</v>
      </c>
      <c r="N945" s="17" t="n">
        <v>6</v>
      </c>
      <c r="O945" s="17" t="str">
        <f aca="false">VLOOKUP(N945,Sheet2!G:H,2,0)</f>
        <v>No Signal</v>
      </c>
      <c r="P945" s="17" t="n">
        <v>12</v>
      </c>
      <c r="Q945" s="17" t="str">
        <f aca="false">VLOOKUP(P945,Sheet2!J:K,2,0)</f>
        <v>IR Declared due to Others ( IR Normal)TB</v>
      </c>
      <c r="R945" s="17" t="s">
        <v>35</v>
      </c>
      <c r="S945" s="17" t="str">
        <f aca="false">VLOOKUP(R945,Sheet2!N:O,2,0)</f>
        <v>IREPARABLE</v>
      </c>
      <c r="T945" s="18" t="str">
        <f aca="false">VLOOKUP(P945,Sheet2!Q:R,2,0)</f>
        <v>IR Normal - BER to IR</v>
      </c>
      <c r="U945" s="20" t="s">
        <v>135</v>
      </c>
      <c r="V945" s="17" t="n">
        <v>12</v>
      </c>
      <c r="W945" s="20" t="str">
        <f aca="false">VLOOKUP(V945,Sheet2!Q:R,2,0)</f>
        <v>IR Normal - BER to IR</v>
      </c>
      <c r="X945" s="17" t="str">
        <f aca="false">J945</f>
        <v>A018</v>
      </c>
      <c r="Y945" s="17" t="str">
        <f aca="false">VLOOKUP(X945,Sheet2!A:B,2,0)</f>
        <v>PRAKASH CHAVDA</v>
      </c>
      <c r="Z945" s="17" t="s">
        <v>374</v>
      </c>
      <c r="AA945" s="17" t="s">
        <v>477</v>
      </c>
      <c r="AB945" s="17" t="s">
        <v>41</v>
      </c>
      <c r="AC945" s="0" t="str">
        <f aca="false">LEFT(G945,2)</f>
        <v>41</v>
      </c>
      <c r="AD945" s="0"/>
      <c r="AE945" s="21" t="s">
        <v>42</v>
      </c>
    </row>
    <row r="946" customFormat="false" ht="15" hidden="false" customHeight="false" outlineLevel="0" collapsed="false">
      <c r="A946" s="13" t="n">
        <f aca="false">1+A945</f>
        <v>944</v>
      </c>
      <c r="B946" s="17" t="n">
        <v>1009674110</v>
      </c>
      <c r="C946" s="17" t="s">
        <v>436</v>
      </c>
      <c r="D946" s="17" t="s">
        <v>167</v>
      </c>
      <c r="E946" s="17" t="s">
        <v>47</v>
      </c>
      <c r="F946" s="18" t="s">
        <v>34</v>
      </c>
      <c r="G946" s="19" t="n">
        <v>413207108924</v>
      </c>
      <c r="H946" s="17" t="s">
        <v>134</v>
      </c>
      <c r="I946" s="17" t="s">
        <v>44</v>
      </c>
      <c r="J946" s="17" t="s">
        <v>106</v>
      </c>
      <c r="K946" s="17" t="str">
        <f aca="false">VLOOKUP(J946,Sheet2!A:B,2,0)</f>
        <v>PRAKASH CHAVDA</v>
      </c>
      <c r="L946" s="17" t="n">
        <v>5</v>
      </c>
      <c r="M946" s="17" t="str">
        <f aca="false">VLOOKUP(L946,Sheet2!D:E,2,0)</f>
        <v>Main Processor CPU BGA</v>
      </c>
      <c r="N946" s="17" t="n">
        <v>1</v>
      </c>
      <c r="O946" s="17" t="str">
        <f aca="false">VLOOKUP(N946,Sheet2!G:H,2,0)</f>
        <v>Dead</v>
      </c>
      <c r="P946" s="17" t="n">
        <v>12</v>
      </c>
      <c r="Q946" s="17" t="str">
        <f aca="false">VLOOKUP(P946,Sheet2!J:K,2,0)</f>
        <v>IR Declared due to Others ( IR Normal)TB</v>
      </c>
      <c r="R946" s="17" t="s">
        <v>35</v>
      </c>
      <c r="S946" s="17" t="str">
        <f aca="false">VLOOKUP(R946,Sheet2!N:O,2,0)</f>
        <v>IREPARABLE</v>
      </c>
      <c r="T946" s="18" t="str">
        <f aca="false">VLOOKUP(P946,Sheet2!Q:R,2,0)</f>
        <v>IR Normal - BER to IR</v>
      </c>
      <c r="U946" s="20" t="s">
        <v>135</v>
      </c>
      <c r="V946" s="17" t="n">
        <v>12</v>
      </c>
      <c r="W946" s="20" t="str">
        <f aca="false">VLOOKUP(V946,Sheet2!Q:R,2,0)</f>
        <v>IR Normal - BER to IR</v>
      </c>
      <c r="X946" s="17" t="str">
        <f aca="false">J946</f>
        <v>A018</v>
      </c>
      <c r="Y946" s="17" t="str">
        <f aca="false">VLOOKUP(X946,Sheet2!A:B,2,0)</f>
        <v>PRAKASH CHAVDA</v>
      </c>
      <c r="Z946" s="17" t="s">
        <v>149</v>
      </c>
      <c r="AA946" s="17" t="s">
        <v>477</v>
      </c>
      <c r="AB946" s="17" t="s">
        <v>41</v>
      </c>
      <c r="AC946" s="0" t="str">
        <f aca="false">LEFT(G946,2)</f>
        <v>41</v>
      </c>
      <c r="AD946" s="0"/>
      <c r="AE946" s="21" t="s">
        <v>42</v>
      </c>
    </row>
    <row r="947" customFormat="false" ht="15" hidden="false" customHeight="false" outlineLevel="0" collapsed="false">
      <c r="A947" s="13" t="n">
        <f aca="false">1+A946</f>
        <v>945</v>
      </c>
      <c r="B947" s="17" t="n">
        <v>1009450951</v>
      </c>
      <c r="C947" s="17" t="s">
        <v>268</v>
      </c>
      <c r="D947" s="17" t="s">
        <v>64</v>
      </c>
      <c r="E947" s="17" t="s">
        <v>64</v>
      </c>
      <c r="F947" s="18" t="s">
        <v>70</v>
      </c>
      <c r="G947" s="19" t="n">
        <v>413256116166</v>
      </c>
      <c r="H947" s="17" t="s">
        <v>134</v>
      </c>
      <c r="I947" s="17" t="s">
        <v>44</v>
      </c>
      <c r="J947" s="17" t="s">
        <v>106</v>
      </c>
      <c r="K947" s="17" t="str">
        <f aca="false">VLOOKUP(J947,Sheet2!A:B,2,0)</f>
        <v>PRAKASH CHAVDA</v>
      </c>
      <c r="L947" s="17" t="n">
        <v>5</v>
      </c>
      <c r="M947" s="17" t="str">
        <f aca="false">VLOOKUP(L947,Sheet2!D:E,2,0)</f>
        <v>Main Processor CPU BGA</v>
      </c>
      <c r="N947" s="17" t="n">
        <v>9</v>
      </c>
      <c r="O947" s="17" t="str">
        <f aca="false">VLOOKUP(N947,Sheet2!G:H,2,0)</f>
        <v>No Audio - AV</v>
      </c>
      <c r="P947" s="17" t="n">
        <v>12</v>
      </c>
      <c r="Q947" s="17" t="str">
        <f aca="false">VLOOKUP(P947,Sheet2!J:K,2,0)</f>
        <v>IR Declared due to Others ( IR Normal)TB</v>
      </c>
      <c r="R947" s="17" t="s">
        <v>35</v>
      </c>
      <c r="S947" s="17" t="str">
        <f aca="false">VLOOKUP(R947,Sheet2!N:O,2,0)</f>
        <v>IREPARABLE</v>
      </c>
      <c r="T947" s="18" t="str">
        <f aca="false">VLOOKUP(P947,Sheet2!Q:R,2,0)</f>
        <v>IR Normal - BER to IR</v>
      </c>
      <c r="U947" s="20" t="s">
        <v>135</v>
      </c>
      <c r="V947" s="17" t="n">
        <v>12</v>
      </c>
      <c r="W947" s="20" t="str">
        <f aca="false">VLOOKUP(V947,Sheet2!Q:R,2,0)</f>
        <v>IR Normal - BER to IR</v>
      </c>
      <c r="X947" s="17" t="str">
        <f aca="false">J947</f>
        <v>A018</v>
      </c>
      <c r="Y947" s="17" t="str">
        <f aca="false">VLOOKUP(X947,Sheet2!A:B,2,0)</f>
        <v>PRAKASH CHAVDA</v>
      </c>
      <c r="Z947" s="17" t="s">
        <v>149</v>
      </c>
      <c r="AA947" s="17" t="s">
        <v>477</v>
      </c>
      <c r="AB947" s="17" t="s">
        <v>41</v>
      </c>
      <c r="AC947" s="0" t="str">
        <f aca="false">LEFT(G947,2)</f>
        <v>41</v>
      </c>
      <c r="AD947" s="0"/>
      <c r="AE947" s="21" t="s">
        <v>42</v>
      </c>
    </row>
    <row r="948" customFormat="false" ht="15" hidden="false" customHeight="false" outlineLevel="0" collapsed="false">
      <c r="A948" s="13" t="n">
        <f aca="false">1+A947</f>
        <v>946</v>
      </c>
      <c r="B948" s="17" t="n">
        <v>1009668583</v>
      </c>
      <c r="C948" s="17" t="s">
        <v>436</v>
      </c>
      <c r="D948" s="17" t="s">
        <v>190</v>
      </c>
      <c r="E948" s="17" t="s">
        <v>33</v>
      </c>
      <c r="F948" s="18" t="s">
        <v>34</v>
      </c>
      <c r="G948" s="19" t="n">
        <v>413303208131</v>
      </c>
      <c r="H948" s="17" t="s">
        <v>134</v>
      </c>
      <c r="I948" s="17" t="s">
        <v>44</v>
      </c>
      <c r="J948" s="17" t="s">
        <v>106</v>
      </c>
      <c r="K948" s="17" t="str">
        <f aca="false">VLOOKUP(J948,Sheet2!A:B,2,0)</f>
        <v>PRAKASH CHAVDA</v>
      </c>
      <c r="L948" s="17" t="n">
        <v>5</v>
      </c>
      <c r="M948" s="17" t="str">
        <f aca="false">VLOOKUP(L948,Sheet2!D:E,2,0)</f>
        <v>Main Processor CPU BGA</v>
      </c>
      <c r="N948" s="17" t="n">
        <v>1</v>
      </c>
      <c r="O948" s="17" t="str">
        <f aca="false">VLOOKUP(N948,Sheet2!G:H,2,0)</f>
        <v>Dead</v>
      </c>
      <c r="P948" s="17" t="n">
        <v>12</v>
      </c>
      <c r="Q948" s="17" t="str">
        <f aca="false">VLOOKUP(P948,Sheet2!J:K,2,0)</f>
        <v>IR Declared due to Others ( IR Normal)TB</v>
      </c>
      <c r="R948" s="17" t="s">
        <v>35</v>
      </c>
      <c r="S948" s="17" t="str">
        <f aca="false">VLOOKUP(R948,Sheet2!N:O,2,0)</f>
        <v>IREPARABLE</v>
      </c>
      <c r="T948" s="18" t="str">
        <f aca="false">VLOOKUP(P948,Sheet2!Q:R,2,0)</f>
        <v>IR Normal - BER to IR</v>
      </c>
      <c r="U948" s="20" t="s">
        <v>135</v>
      </c>
      <c r="V948" s="17" t="n">
        <v>12</v>
      </c>
      <c r="W948" s="20" t="str">
        <f aca="false">VLOOKUP(V948,Sheet2!Q:R,2,0)</f>
        <v>IR Normal - BER to IR</v>
      </c>
      <c r="X948" s="17" t="str">
        <f aca="false">J948</f>
        <v>A018</v>
      </c>
      <c r="Y948" s="17" t="str">
        <f aca="false">VLOOKUP(X948,Sheet2!A:B,2,0)</f>
        <v>PRAKASH CHAVDA</v>
      </c>
      <c r="Z948" s="17" t="s">
        <v>149</v>
      </c>
      <c r="AA948" s="17" t="s">
        <v>477</v>
      </c>
      <c r="AB948" s="17" t="s">
        <v>41</v>
      </c>
      <c r="AC948" s="0" t="str">
        <f aca="false">LEFT(G948,2)</f>
        <v>41</v>
      </c>
      <c r="AD948" s="0"/>
      <c r="AE948" s="21" t="s">
        <v>42</v>
      </c>
    </row>
    <row r="949" customFormat="false" ht="15" hidden="false" customHeight="false" outlineLevel="0" collapsed="false">
      <c r="A949" s="13" t="n">
        <f aca="false">1+A948</f>
        <v>947</v>
      </c>
      <c r="B949" s="17" t="n">
        <v>1009663323</v>
      </c>
      <c r="C949" s="17" t="s">
        <v>433</v>
      </c>
      <c r="D949" s="17" t="s">
        <v>64</v>
      </c>
      <c r="E949" s="17" t="s">
        <v>64</v>
      </c>
      <c r="F949" s="18" t="s">
        <v>70</v>
      </c>
      <c r="G949" s="19" t="n">
        <v>413332413132</v>
      </c>
      <c r="H949" s="17" t="s">
        <v>134</v>
      </c>
      <c r="I949" s="17" t="s">
        <v>44</v>
      </c>
      <c r="J949" s="17" t="s">
        <v>106</v>
      </c>
      <c r="K949" s="17" t="str">
        <f aca="false">VLOOKUP(J949,Sheet2!A:B,2,0)</f>
        <v>PRAKASH CHAVDA</v>
      </c>
      <c r="L949" s="17" t="n">
        <v>5</v>
      </c>
      <c r="M949" s="17" t="str">
        <f aca="false">VLOOKUP(L949,Sheet2!D:E,2,0)</f>
        <v>Main Processor CPU BGA</v>
      </c>
      <c r="N949" s="17" t="n">
        <v>33</v>
      </c>
      <c r="O949" s="17" t="str">
        <f aca="false">VLOOKUP(N949,Sheet2!G:H,2,0)</f>
        <v>Software download failure</v>
      </c>
      <c r="P949" s="17" t="n">
        <v>12</v>
      </c>
      <c r="Q949" s="17" t="str">
        <f aca="false">VLOOKUP(P949,Sheet2!J:K,2,0)</f>
        <v>IR Declared due to Others ( IR Normal)TB</v>
      </c>
      <c r="R949" s="17" t="s">
        <v>35</v>
      </c>
      <c r="S949" s="17" t="str">
        <f aca="false">VLOOKUP(R949,Sheet2!N:O,2,0)</f>
        <v>IREPARABLE</v>
      </c>
      <c r="T949" s="18" t="str">
        <f aca="false">VLOOKUP(P949,Sheet2!Q:R,2,0)</f>
        <v>IR Normal - BER to IR</v>
      </c>
      <c r="U949" s="20" t="s">
        <v>135</v>
      </c>
      <c r="V949" s="17" t="n">
        <v>12</v>
      </c>
      <c r="W949" s="20" t="str">
        <f aca="false">VLOOKUP(V949,Sheet2!Q:R,2,0)</f>
        <v>IR Normal - BER to IR</v>
      </c>
      <c r="X949" s="17" t="str">
        <f aca="false">J949</f>
        <v>A018</v>
      </c>
      <c r="Y949" s="17" t="str">
        <f aca="false">VLOOKUP(X949,Sheet2!A:B,2,0)</f>
        <v>PRAKASH CHAVDA</v>
      </c>
      <c r="Z949" s="17" t="s">
        <v>149</v>
      </c>
      <c r="AA949" s="17" t="s">
        <v>477</v>
      </c>
      <c r="AB949" s="17" t="s">
        <v>41</v>
      </c>
      <c r="AC949" s="0" t="str">
        <f aca="false">LEFT(G949,2)</f>
        <v>41</v>
      </c>
      <c r="AD949" s="0"/>
      <c r="AE949" s="21" t="s">
        <v>42</v>
      </c>
    </row>
    <row r="950" customFormat="false" ht="15" hidden="false" customHeight="false" outlineLevel="0" collapsed="false">
      <c r="A950" s="13" t="n">
        <f aca="false">1+A949</f>
        <v>948</v>
      </c>
      <c r="B950" s="17" t="n">
        <v>1009663448</v>
      </c>
      <c r="C950" s="17" t="s">
        <v>433</v>
      </c>
      <c r="D950" s="17" t="s">
        <v>196</v>
      </c>
      <c r="E950" s="17" t="s">
        <v>47</v>
      </c>
      <c r="F950" s="18" t="s">
        <v>34</v>
      </c>
      <c r="G950" s="19" t="n">
        <v>413331212733</v>
      </c>
      <c r="H950" s="17" t="s">
        <v>134</v>
      </c>
      <c r="I950" s="17" t="s">
        <v>44</v>
      </c>
      <c r="J950" s="17" t="s">
        <v>106</v>
      </c>
      <c r="K950" s="17" t="str">
        <f aca="false">VLOOKUP(J950,Sheet2!A:B,2,0)</f>
        <v>PRAKASH CHAVDA</v>
      </c>
      <c r="L950" s="17" t="n">
        <v>5</v>
      </c>
      <c r="M950" s="17" t="str">
        <f aca="false">VLOOKUP(L950,Sheet2!D:E,2,0)</f>
        <v>Main Processor CPU BGA</v>
      </c>
      <c r="N950" s="17" t="n">
        <v>1</v>
      </c>
      <c r="O950" s="17" t="str">
        <f aca="false">VLOOKUP(N950,Sheet2!G:H,2,0)</f>
        <v>Dead</v>
      </c>
      <c r="P950" s="17" t="n">
        <v>12</v>
      </c>
      <c r="Q950" s="17" t="str">
        <f aca="false">VLOOKUP(P950,Sheet2!J:K,2,0)</f>
        <v>IR Declared due to Others ( IR Normal)TB</v>
      </c>
      <c r="R950" s="17" t="s">
        <v>35</v>
      </c>
      <c r="S950" s="17" t="str">
        <f aca="false">VLOOKUP(R950,Sheet2!N:O,2,0)</f>
        <v>IREPARABLE</v>
      </c>
      <c r="T950" s="18" t="str">
        <f aca="false">VLOOKUP(P950,Sheet2!Q:R,2,0)</f>
        <v>IR Normal - BER to IR</v>
      </c>
      <c r="U950" s="20" t="s">
        <v>135</v>
      </c>
      <c r="V950" s="17" t="n">
        <v>12</v>
      </c>
      <c r="W950" s="20" t="str">
        <f aca="false">VLOOKUP(V950,Sheet2!Q:R,2,0)</f>
        <v>IR Normal - BER to IR</v>
      </c>
      <c r="X950" s="17" t="str">
        <f aca="false">J950</f>
        <v>A018</v>
      </c>
      <c r="Y950" s="17" t="str">
        <f aca="false">VLOOKUP(X950,Sheet2!A:B,2,0)</f>
        <v>PRAKASH CHAVDA</v>
      </c>
      <c r="Z950" s="17" t="s">
        <v>149</v>
      </c>
      <c r="AA950" s="17" t="s">
        <v>477</v>
      </c>
      <c r="AB950" s="17" t="s">
        <v>41</v>
      </c>
      <c r="AC950" s="0" t="str">
        <f aca="false">LEFT(G950,2)</f>
        <v>41</v>
      </c>
      <c r="AD950" s="0"/>
      <c r="AE950" s="21" t="s">
        <v>42</v>
      </c>
    </row>
    <row r="951" customFormat="false" ht="15" hidden="false" customHeight="false" outlineLevel="0" collapsed="false">
      <c r="A951" s="13" t="n">
        <f aca="false">1+A950</f>
        <v>949</v>
      </c>
      <c r="B951" s="17" t="n">
        <v>1009610522</v>
      </c>
      <c r="C951" s="17" t="s">
        <v>181</v>
      </c>
      <c r="D951" s="17" t="s">
        <v>64</v>
      </c>
      <c r="E951" s="17" t="s">
        <v>64</v>
      </c>
      <c r="F951" s="18" t="s">
        <v>70</v>
      </c>
      <c r="G951" s="19" t="n">
        <v>955197205466</v>
      </c>
      <c r="H951" s="17" t="s">
        <v>134</v>
      </c>
      <c r="I951" s="17" t="s">
        <v>44</v>
      </c>
      <c r="J951" s="17" t="s">
        <v>106</v>
      </c>
      <c r="K951" s="17" t="str">
        <f aca="false">VLOOKUP(J951,Sheet2!A:B,2,0)</f>
        <v>PRAKASH CHAVDA</v>
      </c>
      <c r="L951" s="17" t="n">
        <v>5</v>
      </c>
      <c r="M951" s="17" t="str">
        <f aca="false">VLOOKUP(L951,Sheet2!D:E,2,0)</f>
        <v>Main Processor CPU BGA</v>
      </c>
      <c r="N951" s="17" t="n">
        <v>24</v>
      </c>
      <c r="O951" s="17" t="str">
        <f aca="false">VLOOKUP(N951,Sheet2!G:H,2,0)</f>
        <v>STB Auto moving -Stand by mode</v>
      </c>
      <c r="P951" s="17" t="n">
        <v>12</v>
      </c>
      <c r="Q951" s="17" t="str">
        <f aca="false">VLOOKUP(P951,Sheet2!J:K,2,0)</f>
        <v>IR Declared due to Others ( IR Normal)TB</v>
      </c>
      <c r="R951" s="17" t="s">
        <v>35</v>
      </c>
      <c r="S951" s="17" t="str">
        <f aca="false">VLOOKUP(R951,Sheet2!N:O,2,0)</f>
        <v>IREPARABLE</v>
      </c>
      <c r="T951" s="18" t="str">
        <f aca="false">VLOOKUP(P951,Sheet2!Q:R,2,0)</f>
        <v>IR Normal - BER to IR</v>
      </c>
      <c r="U951" s="20" t="s">
        <v>135</v>
      </c>
      <c r="V951" s="17" t="n">
        <v>12</v>
      </c>
      <c r="W951" s="20" t="str">
        <f aca="false">VLOOKUP(V951,Sheet2!Q:R,2,0)</f>
        <v>IR Normal - BER to IR</v>
      </c>
      <c r="X951" s="17" t="str">
        <f aca="false">J951</f>
        <v>A018</v>
      </c>
      <c r="Y951" s="17" t="str">
        <f aca="false">VLOOKUP(X951,Sheet2!A:B,2,0)</f>
        <v>PRAKASH CHAVDA</v>
      </c>
      <c r="Z951" s="17" t="s">
        <v>150</v>
      </c>
      <c r="AA951" s="17" t="s">
        <v>477</v>
      </c>
      <c r="AB951" s="17" t="s">
        <v>41</v>
      </c>
      <c r="AC951" s="0" t="str">
        <f aca="false">LEFT(G951,2)</f>
        <v>95</v>
      </c>
      <c r="AD951" s="0"/>
      <c r="AE951" s="21" t="s">
        <v>42</v>
      </c>
    </row>
    <row r="952" customFormat="false" ht="15" hidden="false" customHeight="false" outlineLevel="0" collapsed="false">
      <c r="A952" s="13" t="n">
        <f aca="false">1+A951</f>
        <v>950</v>
      </c>
      <c r="B952" s="17" t="n">
        <v>1009574408</v>
      </c>
      <c r="C952" s="17" t="s">
        <v>104</v>
      </c>
      <c r="D952" s="17" t="s">
        <v>64</v>
      </c>
      <c r="E952" s="17" t="s">
        <v>47</v>
      </c>
      <c r="F952" s="18" t="s">
        <v>34</v>
      </c>
      <c r="G952" s="19" t="n">
        <v>954115143628</v>
      </c>
      <c r="H952" s="17" t="s">
        <v>134</v>
      </c>
      <c r="I952" s="17" t="s">
        <v>44</v>
      </c>
      <c r="J952" s="17" t="s">
        <v>106</v>
      </c>
      <c r="K952" s="17" t="str">
        <f aca="false">VLOOKUP(J952,Sheet2!A:B,2,0)</f>
        <v>PRAKASH CHAVDA</v>
      </c>
      <c r="L952" s="17" t="n">
        <v>5</v>
      </c>
      <c r="M952" s="17" t="str">
        <f aca="false">VLOOKUP(L952,Sheet2!D:E,2,0)</f>
        <v>Main Processor CPU BGA</v>
      </c>
      <c r="N952" s="17" t="n">
        <v>24</v>
      </c>
      <c r="O952" s="17" t="str">
        <f aca="false">VLOOKUP(N952,Sheet2!G:H,2,0)</f>
        <v>STB Auto moving -Stand by mode</v>
      </c>
      <c r="P952" s="17" t="n">
        <v>12</v>
      </c>
      <c r="Q952" s="17" t="str">
        <f aca="false">VLOOKUP(P952,Sheet2!J:K,2,0)</f>
        <v>IR Declared due to Others ( IR Normal)TB</v>
      </c>
      <c r="R952" s="17" t="s">
        <v>35</v>
      </c>
      <c r="S952" s="17" t="str">
        <f aca="false">VLOOKUP(R952,Sheet2!N:O,2,0)</f>
        <v>IREPARABLE</v>
      </c>
      <c r="T952" s="18" t="str">
        <f aca="false">VLOOKUP(P952,Sheet2!Q:R,2,0)</f>
        <v>IR Normal - BER to IR</v>
      </c>
      <c r="U952" s="20" t="s">
        <v>135</v>
      </c>
      <c r="V952" s="17" t="n">
        <v>12</v>
      </c>
      <c r="W952" s="20" t="str">
        <f aca="false">VLOOKUP(V952,Sheet2!Q:R,2,0)</f>
        <v>IR Normal - BER to IR</v>
      </c>
      <c r="X952" s="17" t="str">
        <f aca="false">J952</f>
        <v>A018</v>
      </c>
      <c r="Y952" s="17" t="str">
        <f aca="false">VLOOKUP(X952,Sheet2!A:B,2,0)</f>
        <v>PRAKASH CHAVDA</v>
      </c>
      <c r="Z952" s="17" t="s">
        <v>150</v>
      </c>
      <c r="AA952" s="17" t="s">
        <v>477</v>
      </c>
      <c r="AB952" s="17" t="s">
        <v>41</v>
      </c>
      <c r="AC952" s="0" t="str">
        <f aca="false">LEFT(G952,2)</f>
        <v>95</v>
      </c>
      <c r="AD952" s="0"/>
      <c r="AE952" s="21" t="s">
        <v>42</v>
      </c>
    </row>
    <row r="953" customFormat="false" ht="15" hidden="false" customHeight="false" outlineLevel="0" collapsed="false">
      <c r="A953" s="13" t="n">
        <f aca="false">1+A952</f>
        <v>951</v>
      </c>
      <c r="B953" s="17" t="n">
        <v>1009566187</v>
      </c>
      <c r="C953" s="17" t="s">
        <v>102</v>
      </c>
      <c r="D953" s="17" t="s">
        <v>138</v>
      </c>
      <c r="E953" s="17" t="s">
        <v>177</v>
      </c>
      <c r="F953" s="18" t="s">
        <v>34</v>
      </c>
      <c r="G953" s="19" t="n">
        <v>954126253507</v>
      </c>
      <c r="H953" s="17" t="s">
        <v>134</v>
      </c>
      <c r="I953" s="17" t="s">
        <v>44</v>
      </c>
      <c r="J953" s="17" t="s">
        <v>106</v>
      </c>
      <c r="K953" s="17" t="str">
        <f aca="false">VLOOKUP(J953,Sheet2!A:B,2,0)</f>
        <v>PRAKASH CHAVDA</v>
      </c>
      <c r="L953" s="17" t="n">
        <v>5</v>
      </c>
      <c r="M953" s="17" t="str">
        <f aca="false">VLOOKUP(L953,Sheet2!D:E,2,0)</f>
        <v>Main Processor CPU BGA</v>
      </c>
      <c r="N953" s="17" t="n">
        <v>36</v>
      </c>
      <c r="O953" s="17" t="str">
        <f aca="false">VLOOKUP(N953,Sheet2!G:H,2,0)</f>
        <v>Error -1</v>
      </c>
      <c r="P953" s="17" t="n">
        <v>12</v>
      </c>
      <c r="Q953" s="17" t="str">
        <f aca="false">VLOOKUP(P953,Sheet2!J:K,2,0)</f>
        <v>IR Declared due to Others ( IR Normal)TB</v>
      </c>
      <c r="R953" s="17" t="s">
        <v>35</v>
      </c>
      <c r="S953" s="17" t="str">
        <f aca="false">VLOOKUP(R953,Sheet2!N:O,2,0)</f>
        <v>IREPARABLE</v>
      </c>
      <c r="T953" s="18" t="str">
        <f aca="false">VLOOKUP(P953,Sheet2!Q:R,2,0)</f>
        <v>IR Normal - BER to IR</v>
      </c>
      <c r="U953" s="20" t="s">
        <v>135</v>
      </c>
      <c r="V953" s="17" t="n">
        <v>12</v>
      </c>
      <c r="W953" s="20" t="str">
        <f aca="false">VLOOKUP(V953,Sheet2!Q:R,2,0)</f>
        <v>IR Normal - BER to IR</v>
      </c>
      <c r="X953" s="17" t="str">
        <f aca="false">J953</f>
        <v>A018</v>
      </c>
      <c r="Y953" s="17" t="str">
        <f aca="false">VLOOKUP(X953,Sheet2!A:B,2,0)</f>
        <v>PRAKASH CHAVDA</v>
      </c>
      <c r="Z953" s="17" t="s">
        <v>150</v>
      </c>
      <c r="AA953" s="17" t="s">
        <v>477</v>
      </c>
      <c r="AB953" s="17" t="s">
        <v>41</v>
      </c>
      <c r="AC953" s="0" t="str">
        <f aca="false">LEFT(G953,2)</f>
        <v>95</v>
      </c>
      <c r="AD953" s="0"/>
      <c r="AE953" s="21" t="s">
        <v>42</v>
      </c>
    </row>
    <row r="954" customFormat="false" ht="15" hidden="false" customHeight="false" outlineLevel="0" collapsed="false">
      <c r="A954" s="13" t="n">
        <f aca="false">1+A953</f>
        <v>952</v>
      </c>
      <c r="B954" s="17" t="n">
        <v>1009661686</v>
      </c>
      <c r="C954" s="17" t="s">
        <v>192</v>
      </c>
      <c r="D954" s="17" t="s">
        <v>64</v>
      </c>
      <c r="E954" s="17" t="s">
        <v>47</v>
      </c>
      <c r="F954" s="18" t="s">
        <v>34</v>
      </c>
      <c r="G954" s="19" t="n">
        <v>954335165674</v>
      </c>
      <c r="H954" s="17" t="s">
        <v>134</v>
      </c>
      <c r="I954" s="17" t="s">
        <v>44</v>
      </c>
      <c r="J954" s="17" t="s">
        <v>106</v>
      </c>
      <c r="K954" s="17" t="str">
        <f aca="false">VLOOKUP(J954,Sheet2!A:B,2,0)</f>
        <v>PRAKASH CHAVDA</v>
      </c>
      <c r="L954" s="17" t="n">
        <v>5</v>
      </c>
      <c r="M954" s="17" t="str">
        <f aca="false">VLOOKUP(L954,Sheet2!D:E,2,0)</f>
        <v>Main Processor CPU BGA</v>
      </c>
      <c r="N954" s="17" t="n">
        <v>24</v>
      </c>
      <c r="O954" s="17" t="str">
        <f aca="false">VLOOKUP(N954,Sheet2!G:H,2,0)</f>
        <v>STB Auto moving -Stand by mode</v>
      </c>
      <c r="P954" s="17" t="n">
        <v>12</v>
      </c>
      <c r="Q954" s="17" t="str">
        <f aca="false">VLOOKUP(P954,Sheet2!J:K,2,0)</f>
        <v>IR Declared due to Others ( IR Normal)TB</v>
      </c>
      <c r="R954" s="17" t="s">
        <v>35</v>
      </c>
      <c r="S954" s="17" t="str">
        <f aca="false">VLOOKUP(R954,Sheet2!N:O,2,0)</f>
        <v>IREPARABLE</v>
      </c>
      <c r="T954" s="18" t="str">
        <f aca="false">VLOOKUP(P954,Sheet2!Q:R,2,0)</f>
        <v>IR Normal - BER to IR</v>
      </c>
      <c r="U954" s="20" t="s">
        <v>135</v>
      </c>
      <c r="V954" s="17" t="n">
        <v>12</v>
      </c>
      <c r="W954" s="20" t="str">
        <f aca="false">VLOOKUP(V954,Sheet2!Q:R,2,0)</f>
        <v>IR Normal - BER to IR</v>
      </c>
      <c r="X954" s="17" t="str">
        <f aca="false">J954</f>
        <v>A018</v>
      </c>
      <c r="Y954" s="17" t="str">
        <f aca="false">VLOOKUP(X954,Sheet2!A:B,2,0)</f>
        <v>PRAKASH CHAVDA</v>
      </c>
      <c r="Z954" s="17" t="s">
        <v>150</v>
      </c>
      <c r="AA954" s="17" t="s">
        <v>477</v>
      </c>
      <c r="AB954" s="17" t="s">
        <v>41</v>
      </c>
      <c r="AC954" s="0" t="str">
        <f aca="false">LEFT(G954,2)</f>
        <v>95</v>
      </c>
      <c r="AD954" s="0"/>
      <c r="AE954" s="21" t="s">
        <v>42</v>
      </c>
    </row>
    <row r="955" customFormat="false" ht="15" hidden="false" customHeight="false" outlineLevel="0" collapsed="false">
      <c r="A955" s="13" t="n">
        <f aca="false">1+A954</f>
        <v>953</v>
      </c>
      <c r="B955" s="17" t="n">
        <v>1009606818</v>
      </c>
      <c r="C955" s="17" t="s">
        <v>181</v>
      </c>
      <c r="D955" s="17" t="s">
        <v>64</v>
      </c>
      <c r="E955" s="17" t="s">
        <v>64</v>
      </c>
      <c r="F955" s="18" t="s">
        <v>70</v>
      </c>
      <c r="G955" s="19" t="n">
        <v>954288101858</v>
      </c>
      <c r="H955" s="17" t="s">
        <v>134</v>
      </c>
      <c r="I955" s="17" t="s">
        <v>44</v>
      </c>
      <c r="J955" s="17" t="s">
        <v>106</v>
      </c>
      <c r="K955" s="17" t="str">
        <f aca="false">VLOOKUP(J955,Sheet2!A:B,2,0)</f>
        <v>PRAKASH CHAVDA</v>
      </c>
      <c r="L955" s="17" t="n">
        <v>5</v>
      </c>
      <c r="M955" s="17" t="str">
        <f aca="false">VLOOKUP(L955,Sheet2!D:E,2,0)</f>
        <v>Main Processor CPU BGA</v>
      </c>
      <c r="N955" s="17" t="n">
        <v>24</v>
      </c>
      <c r="O955" s="17" t="str">
        <f aca="false">VLOOKUP(N955,Sheet2!G:H,2,0)</f>
        <v>STB Auto moving -Stand by mode</v>
      </c>
      <c r="P955" s="17" t="n">
        <v>12</v>
      </c>
      <c r="Q955" s="17" t="str">
        <f aca="false">VLOOKUP(P955,Sheet2!J:K,2,0)</f>
        <v>IR Declared due to Others ( IR Normal)TB</v>
      </c>
      <c r="R955" s="17" t="s">
        <v>35</v>
      </c>
      <c r="S955" s="17" t="str">
        <f aca="false">VLOOKUP(R955,Sheet2!N:O,2,0)</f>
        <v>IREPARABLE</v>
      </c>
      <c r="T955" s="18" t="str">
        <f aca="false">VLOOKUP(P955,Sheet2!Q:R,2,0)</f>
        <v>IR Normal - BER to IR</v>
      </c>
      <c r="U955" s="20" t="s">
        <v>135</v>
      </c>
      <c r="V955" s="17" t="n">
        <v>12</v>
      </c>
      <c r="W955" s="20" t="str">
        <f aca="false">VLOOKUP(V955,Sheet2!Q:R,2,0)</f>
        <v>IR Normal - BER to IR</v>
      </c>
      <c r="X955" s="17" t="str">
        <f aca="false">J955</f>
        <v>A018</v>
      </c>
      <c r="Y955" s="17" t="str">
        <f aca="false">VLOOKUP(X955,Sheet2!A:B,2,0)</f>
        <v>PRAKASH CHAVDA</v>
      </c>
      <c r="Z955" s="17" t="s">
        <v>150</v>
      </c>
      <c r="AA955" s="17" t="s">
        <v>477</v>
      </c>
      <c r="AB955" s="17" t="s">
        <v>41</v>
      </c>
      <c r="AC955" s="0" t="str">
        <f aca="false">LEFT(G955,2)</f>
        <v>95</v>
      </c>
      <c r="AD955" s="0"/>
      <c r="AE955" s="21" t="s">
        <v>42</v>
      </c>
    </row>
    <row r="956" customFormat="false" ht="15" hidden="false" customHeight="false" outlineLevel="0" collapsed="false">
      <c r="A956" s="13" t="n">
        <f aca="false">1+A955</f>
        <v>954</v>
      </c>
      <c r="B956" s="17" t="n">
        <v>1009663363</v>
      </c>
      <c r="C956" s="17" t="s">
        <v>433</v>
      </c>
      <c r="D956" s="17" t="s">
        <v>478</v>
      </c>
      <c r="E956" s="17" t="s">
        <v>176</v>
      </c>
      <c r="F956" s="18" t="s">
        <v>34</v>
      </c>
      <c r="G956" s="19" t="n">
        <v>955227136475</v>
      </c>
      <c r="H956" s="17" t="s">
        <v>134</v>
      </c>
      <c r="I956" s="17" t="s">
        <v>44</v>
      </c>
      <c r="J956" s="17" t="s">
        <v>106</v>
      </c>
      <c r="K956" s="17" t="str">
        <f aca="false">VLOOKUP(J956,Sheet2!A:B,2,0)</f>
        <v>PRAKASH CHAVDA</v>
      </c>
      <c r="L956" s="17" t="n">
        <v>5</v>
      </c>
      <c r="M956" s="17" t="str">
        <f aca="false">VLOOKUP(L956,Sheet2!D:E,2,0)</f>
        <v>Main Processor CPU BGA</v>
      </c>
      <c r="N956" s="17" t="n">
        <v>24</v>
      </c>
      <c r="O956" s="17" t="str">
        <f aca="false">VLOOKUP(N956,Sheet2!G:H,2,0)</f>
        <v>STB Auto moving -Stand by mode</v>
      </c>
      <c r="P956" s="17" t="n">
        <v>12</v>
      </c>
      <c r="Q956" s="17" t="str">
        <f aca="false">VLOOKUP(P956,Sheet2!J:K,2,0)</f>
        <v>IR Declared due to Others ( IR Normal)TB</v>
      </c>
      <c r="R956" s="17" t="s">
        <v>35</v>
      </c>
      <c r="S956" s="17" t="str">
        <f aca="false">VLOOKUP(R956,Sheet2!N:O,2,0)</f>
        <v>IREPARABLE</v>
      </c>
      <c r="T956" s="18" t="str">
        <f aca="false">VLOOKUP(P956,Sheet2!Q:R,2,0)</f>
        <v>IR Normal - BER to IR</v>
      </c>
      <c r="U956" s="20" t="s">
        <v>135</v>
      </c>
      <c r="V956" s="17" t="n">
        <v>12</v>
      </c>
      <c r="W956" s="20" t="str">
        <f aca="false">VLOOKUP(V956,Sheet2!Q:R,2,0)</f>
        <v>IR Normal - BER to IR</v>
      </c>
      <c r="X956" s="17" t="str">
        <f aca="false">J956</f>
        <v>A018</v>
      </c>
      <c r="Y956" s="17" t="str">
        <f aca="false">VLOOKUP(X956,Sheet2!A:B,2,0)</f>
        <v>PRAKASH CHAVDA</v>
      </c>
      <c r="Z956" s="17" t="s">
        <v>150</v>
      </c>
      <c r="AA956" s="17" t="s">
        <v>477</v>
      </c>
      <c r="AB956" s="17" t="s">
        <v>41</v>
      </c>
      <c r="AC956" s="0" t="str">
        <f aca="false">LEFT(G956,2)</f>
        <v>95</v>
      </c>
      <c r="AD956" s="0"/>
      <c r="AE956" s="21" t="s">
        <v>42</v>
      </c>
    </row>
    <row r="957" customFormat="false" ht="15" hidden="false" customHeight="false" outlineLevel="0" collapsed="false">
      <c r="A957" s="13" t="n">
        <f aca="false">1+A956</f>
        <v>955</v>
      </c>
      <c r="B957" s="17" t="n">
        <v>1009414918</v>
      </c>
      <c r="C957" s="17" t="s">
        <v>179</v>
      </c>
      <c r="D957" s="17" t="s">
        <v>64</v>
      </c>
      <c r="E957" s="17" t="s">
        <v>91</v>
      </c>
      <c r="F957" s="18" t="s">
        <v>92</v>
      </c>
      <c r="G957" s="19" t="n">
        <v>954200179305</v>
      </c>
      <c r="H957" s="17" t="s">
        <v>134</v>
      </c>
      <c r="I957" s="17" t="s">
        <v>44</v>
      </c>
      <c r="J957" s="17" t="s">
        <v>106</v>
      </c>
      <c r="K957" s="17" t="str">
        <f aca="false">VLOOKUP(J957,Sheet2!A:B,2,0)</f>
        <v>PRAKASH CHAVDA</v>
      </c>
      <c r="L957" s="17" t="n">
        <v>5</v>
      </c>
      <c r="M957" s="17" t="str">
        <f aca="false">VLOOKUP(L957,Sheet2!D:E,2,0)</f>
        <v>Main Processor CPU BGA</v>
      </c>
      <c r="N957" s="17" t="n">
        <v>9</v>
      </c>
      <c r="O957" s="17" t="str">
        <f aca="false">VLOOKUP(N957,Sheet2!G:H,2,0)</f>
        <v>No Audio - AV</v>
      </c>
      <c r="P957" s="17" t="n">
        <v>12</v>
      </c>
      <c r="Q957" s="17" t="str">
        <f aca="false">VLOOKUP(P957,Sheet2!J:K,2,0)</f>
        <v>IR Declared due to Others ( IR Normal)TB</v>
      </c>
      <c r="R957" s="17" t="s">
        <v>35</v>
      </c>
      <c r="S957" s="17" t="str">
        <f aca="false">VLOOKUP(R957,Sheet2!N:O,2,0)</f>
        <v>IREPARABLE</v>
      </c>
      <c r="T957" s="18" t="str">
        <f aca="false">VLOOKUP(P957,Sheet2!Q:R,2,0)</f>
        <v>IR Normal - BER to IR</v>
      </c>
      <c r="U957" s="20" t="s">
        <v>135</v>
      </c>
      <c r="V957" s="17" t="n">
        <v>12</v>
      </c>
      <c r="W957" s="20" t="str">
        <f aca="false">VLOOKUP(V957,Sheet2!Q:R,2,0)</f>
        <v>IR Normal - BER to IR</v>
      </c>
      <c r="X957" s="17" t="str">
        <f aca="false">J957</f>
        <v>A018</v>
      </c>
      <c r="Y957" s="17" t="str">
        <f aca="false">VLOOKUP(X957,Sheet2!A:B,2,0)</f>
        <v>PRAKASH CHAVDA</v>
      </c>
      <c r="Z957" s="17" t="s">
        <v>150</v>
      </c>
      <c r="AA957" s="17" t="s">
        <v>477</v>
      </c>
      <c r="AB957" s="17" t="s">
        <v>41</v>
      </c>
      <c r="AC957" s="0" t="str">
        <f aca="false">LEFT(G957,2)</f>
        <v>95</v>
      </c>
      <c r="AD957" s="0"/>
      <c r="AE957" s="21" t="s">
        <v>42</v>
      </c>
    </row>
    <row r="958" customFormat="false" ht="15" hidden="false" customHeight="false" outlineLevel="0" collapsed="false">
      <c r="A958" s="13" t="n">
        <f aca="false">1+A957</f>
        <v>956</v>
      </c>
      <c r="B958" s="17" t="n">
        <v>1009672084</v>
      </c>
      <c r="C958" s="17" t="s">
        <v>436</v>
      </c>
      <c r="D958" s="17" t="s">
        <v>190</v>
      </c>
      <c r="E958" s="17" t="s">
        <v>91</v>
      </c>
      <c r="F958" s="18" t="s">
        <v>92</v>
      </c>
      <c r="G958" s="19" t="n">
        <v>955222211620</v>
      </c>
      <c r="H958" s="17" t="s">
        <v>134</v>
      </c>
      <c r="I958" s="17" t="s">
        <v>44</v>
      </c>
      <c r="J958" s="17" t="s">
        <v>106</v>
      </c>
      <c r="K958" s="17" t="str">
        <f aca="false">VLOOKUP(J958,Sheet2!A:B,2,0)</f>
        <v>PRAKASH CHAVDA</v>
      </c>
      <c r="L958" s="17" t="n">
        <v>5</v>
      </c>
      <c r="M958" s="17" t="str">
        <f aca="false">VLOOKUP(L958,Sheet2!D:E,2,0)</f>
        <v>Main Processor CPU BGA</v>
      </c>
      <c r="N958" s="17" t="n">
        <v>1</v>
      </c>
      <c r="O958" s="17" t="str">
        <f aca="false">VLOOKUP(N958,Sheet2!G:H,2,0)</f>
        <v>Dead</v>
      </c>
      <c r="P958" s="17" t="n">
        <v>12</v>
      </c>
      <c r="Q958" s="17" t="str">
        <f aca="false">VLOOKUP(P958,Sheet2!J:K,2,0)</f>
        <v>IR Declared due to Others ( IR Normal)TB</v>
      </c>
      <c r="R958" s="17" t="s">
        <v>35</v>
      </c>
      <c r="S958" s="17" t="str">
        <f aca="false">VLOOKUP(R958,Sheet2!N:O,2,0)</f>
        <v>IREPARABLE</v>
      </c>
      <c r="T958" s="18" t="str">
        <f aca="false">VLOOKUP(P958,Sheet2!Q:R,2,0)</f>
        <v>IR Normal - BER to IR</v>
      </c>
      <c r="U958" s="20" t="s">
        <v>135</v>
      </c>
      <c r="V958" s="17" t="n">
        <v>12</v>
      </c>
      <c r="W958" s="20" t="str">
        <f aca="false">VLOOKUP(V958,Sheet2!Q:R,2,0)</f>
        <v>IR Normal - BER to IR</v>
      </c>
      <c r="X958" s="17" t="str">
        <f aca="false">J958</f>
        <v>A018</v>
      </c>
      <c r="Y958" s="17" t="str">
        <f aca="false">VLOOKUP(X958,Sheet2!A:B,2,0)</f>
        <v>PRAKASH CHAVDA</v>
      </c>
      <c r="Z958" s="17" t="s">
        <v>150</v>
      </c>
      <c r="AA958" s="17" t="s">
        <v>477</v>
      </c>
      <c r="AB958" s="17" t="s">
        <v>41</v>
      </c>
      <c r="AC958" s="0" t="str">
        <f aca="false">LEFT(G958,2)</f>
        <v>95</v>
      </c>
      <c r="AD958" s="0"/>
      <c r="AE958" s="21" t="s">
        <v>42</v>
      </c>
    </row>
    <row r="959" customFormat="false" ht="15" hidden="false" customHeight="false" outlineLevel="0" collapsed="false">
      <c r="A959" s="13" t="n">
        <f aca="false">1+A958</f>
        <v>957</v>
      </c>
      <c r="B959" s="17" t="n">
        <v>1009665890</v>
      </c>
      <c r="C959" s="17" t="s">
        <v>436</v>
      </c>
      <c r="D959" s="17" t="s">
        <v>138</v>
      </c>
      <c r="E959" s="17" t="s">
        <v>91</v>
      </c>
      <c r="F959" s="18" t="s">
        <v>92</v>
      </c>
      <c r="G959" s="19" t="n">
        <v>954228106157</v>
      </c>
      <c r="H959" s="17" t="s">
        <v>134</v>
      </c>
      <c r="I959" s="17" t="s">
        <v>44</v>
      </c>
      <c r="J959" s="17" t="s">
        <v>106</v>
      </c>
      <c r="K959" s="17" t="str">
        <f aca="false">VLOOKUP(J959,Sheet2!A:B,2,0)</f>
        <v>PRAKASH CHAVDA</v>
      </c>
      <c r="L959" s="17" t="n">
        <v>5</v>
      </c>
      <c r="M959" s="17" t="str">
        <f aca="false">VLOOKUP(L959,Sheet2!D:E,2,0)</f>
        <v>Main Processor CPU BGA</v>
      </c>
      <c r="N959" s="17" t="n">
        <v>24</v>
      </c>
      <c r="O959" s="17" t="str">
        <f aca="false">VLOOKUP(N959,Sheet2!G:H,2,0)</f>
        <v>STB Auto moving -Stand by mode</v>
      </c>
      <c r="P959" s="17" t="n">
        <v>12</v>
      </c>
      <c r="Q959" s="17" t="str">
        <f aca="false">VLOOKUP(P959,Sheet2!J:K,2,0)</f>
        <v>IR Declared due to Others ( IR Normal)TB</v>
      </c>
      <c r="R959" s="17" t="s">
        <v>35</v>
      </c>
      <c r="S959" s="17" t="str">
        <f aca="false">VLOOKUP(R959,Sheet2!N:O,2,0)</f>
        <v>IREPARABLE</v>
      </c>
      <c r="T959" s="18" t="str">
        <f aca="false">VLOOKUP(P959,Sheet2!Q:R,2,0)</f>
        <v>IR Normal - BER to IR</v>
      </c>
      <c r="U959" s="20" t="s">
        <v>135</v>
      </c>
      <c r="V959" s="17" t="n">
        <v>12</v>
      </c>
      <c r="W959" s="20" t="str">
        <f aca="false">VLOOKUP(V959,Sheet2!Q:R,2,0)</f>
        <v>IR Normal - BER to IR</v>
      </c>
      <c r="X959" s="17" t="str">
        <f aca="false">J959</f>
        <v>A018</v>
      </c>
      <c r="Y959" s="17" t="str">
        <f aca="false">VLOOKUP(X959,Sheet2!A:B,2,0)</f>
        <v>PRAKASH CHAVDA</v>
      </c>
      <c r="Z959" s="17" t="s">
        <v>150</v>
      </c>
      <c r="AA959" s="17" t="s">
        <v>477</v>
      </c>
      <c r="AB959" s="17" t="s">
        <v>41</v>
      </c>
      <c r="AC959" s="0" t="str">
        <f aca="false">LEFT(G959,2)</f>
        <v>95</v>
      </c>
      <c r="AD959" s="0"/>
      <c r="AE959" s="21" t="s">
        <v>42</v>
      </c>
    </row>
    <row r="960" customFormat="false" ht="15" hidden="false" customHeight="false" outlineLevel="0" collapsed="false">
      <c r="A960" s="13" t="n">
        <f aca="false">1+A959</f>
        <v>958</v>
      </c>
      <c r="B960" s="17" t="n">
        <v>1009668587</v>
      </c>
      <c r="C960" s="17" t="s">
        <v>436</v>
      </c>
      <c r="D960" s="17" t="s">
        <v>64</v>
      </c>
      <c r="E960" s="17" t="s">
        <v>64</v>
      </c>
      <c r="F960" s="18" t="s">
        <v>70</v>
      </c>
      <c r="G960" s="19" t="n">
        <v>954145134456</v>
      </c>
      <c r="H960" s="17" t="s">
        <v>134</v>
      </c>
      <c r="I960" s="17" t="s">
        <v>44</v>
      </c>
      <c r="J960" s="17" t="s">
        <v>106</v>
      </c>
      <c r="K960" s="17" t="str">
        <f aca="false">VLOOKUP(J960,Sheet2!A:B,2,0)</f>
        <v>PRAKASH CHAVDA</v>
      </c>
      <c r="L960" s="17" t="n">
        <v>5</v>
      </c>
      <c r="M960" s="17" t="str">
        <f aca="false">VLOOKUP(L960,Sheet2!D:E,2,0)</f>
        <v>Main Processor CPU BGA</v>
      </c>
      <c r="N960" s="17" t="n">
        <v>24</v>
      </c>
      <c r="O960" s="17" t="str">
        <f aca="false">VLOOKUP(N960,Sheet2!G:H,2,0)</f>
        <v>STB Auto moving -Stand by mode</v>
      </c>
      <c r="P960" s="17" t="n">
        <v>12</v>
      </c>
      <c r="Q960" s="17" t="str">
        <f aca="false">VLOOKUP(P960,Sheet2!J:K,2,0)</f>
        <v>IR Declared due to Others ( IR Normal)TB</v>
      </c>
      <c r="R960" s="17" t="s">
        <v>35</v>
      </c>
      <c r="S960" s="17" t="str">
        <f aca="false">VLOOKUP(R960,Sheet2!N:O,2,0)</f>
        <v>IREPARABLE</v>
      </c>
      <c r="T960" s="18" t="str">
        <f aca="false">VLOOKUP(P960,Sheet2!Q:R,2,0)</f>
        <v>IR Normal - BER to IR</v>
      </c>
      <c r="U960" s="20" t="s">
        <v>135</v>
      </c>
      <c r="V960" s="17" t="n">
        <v>12</v>
      </c>
      <c r="W960" s="20" t="str">
        <f aca="false">VLOOKUP(V960,Sheet2!Q:R,2,0)</f>
        <v>IR Normal - BER to IR</v>
      </c>
      <c r="X960" s="17" t="str">
        <f aca="false">J960</f>
        <v>A018</v>
      </c>
      <c r="Y960" s="17" t="str">
        <f aca="false">VLOOKUP(X960,Sheet2!A:B,2,0)</f>
        <v>PRAKASH CHAVDA</v>
      </c>
      <c r="Z960" s="17" t="s">
        <v>150</v>
      </c>
      <c r="AA960" s="17" t="s">
        <v>477</v>
      </c>
      <c r="AB960" s="17" t="s">
        <v>41</v>
      </c>
      <c r="AC960" s="0" t="str">
        <f aca="false">LEFT(G960,2)</f>
        <v>95</v>
      </c>
      <c r="AD960" s="0"/>
      <c r="AE960" s="21" t="s">
        <v>42</v>
      </c>
    </row>
    <row r="961" customFormat="false" ht="15" hidden="false" customHeight="false" outlineLevel="0" collapsed="false">
      <c r="A961" s="13" t="n">
        <f aca="false">1+A960</f>
        <v>959</v>
      </c>
      <c r="B961" s="17" t="n">
        <v>1009674107</v>
      </c>
      <c r="C961" s="17" t="s">
        <v>436</v>
      </c>
      <c r="D961" s="17" t="s">
        <v>64</v>
      </c>
      <c r="E961" s="17" t="s">
        <v>64</v>
      </c>
      <c r="F961" s="18" t="s">
        <v>70</v>
      </c>
      <c r="G961" s="19" t="n">
        <v>954138169436</v>
      </c>
      <c r="H961" s="17" t="s">
        <v>134</v>
      </c>
      <c r="I961" s="17" t="s">
        <v>44</v>
      </c>
      <c r="J961" s="17" t="s">
        <v>106</v>
      </c>
      <c r="K961" s="17" t="str">
        <f aca="false">VLOOKUP(J961,Sheet2!A:B,2,0)</f>
        <v>PRAKASH CHAVDA</v>
      </c>
      <c r="L961" s="17" t="n">
        <v>5</v>
      </c>
      <c r="M961" s="17" t="str">
        <f aca="false">VLOOKUP(L961,Sheet2!D:E,2,0)</f>
        <v>Main Processor CPU BGA</v>
      </c>
      <c r="N961" s="17" t="n">
        <v>1</v>
      </c>
      <c r="O961" s="17" t="str">
        <f aca="false">VLOOKUP(N961,Sheet2!G:H,2,0)</f>
        <v>Dead</v>
      </c>
      <c r="P961" s="17" t="n">
        <v>12</v>
      </c>
      <c r="Q961" s="17" t="str">
        <f aca="false">VLOOKUP(P961,Sheet2!J:K,2,0)</f>
        <v>IR Declared due to Others ( IR Normal)TB</v>
      </c>
      <c r="R961" s="17" t="s">
        <v>35</v>
      </c>
      <c r="S961" s="17" t="str">
        <f aca="false">VLOOKUP(R961,Sheet2!N:O,2,0)</f>
        <v>IREPARABLE</v>
      </c>
      <c r="T961" s="18" t="str">
        <f aca="false">VLOOKUP(P961,Sheet2!Q:R,2,0)</f>
        <v>IR Normal - BER to IR</v>
      </c>
      <c r="U961" s="20" t="s">
        <v>135</v>
      </c>
      <c r="V961" s="17" t="n">
        <v>12</v>
      </c>
      <c r="W961" s="20" t="str">
        <f aca="false">VLOOKUP(V961,Sheet2!Q:R,2,0)</f>
        <v>IR Normal - BER to IR</v>
      </c>
      <c r="X961" s="17" t="str">
        <f aca="false">J961</f>
        <v>A018</v>
      </c>
      <c r="Y961" s="17" t="str">
        <f aca="false">VLOOKUP(X961,Sheet2!A:B,2,0)</f>
        <v>PRAKASH CHAVDA</v>
      </c>
      <c r="Z961" s="17" t="s">
        <v>150</v>
      </c>
      <c r="AA961" s="17" t="s">
        <v>477</v>
      </c>
      <c r="AB961" s="17" t="s">
        <v>41</v>
      </c>
      <c r="AC961" s="0" t="str">
        <f aca="false">LEFT(G961,2)</f>
        <v>95</v>
      </c>
      <c r="AD961" s="0"/>
      <c r="AE961" s="21" t="s">
        <v>42</v>
      </c>
    </row>
    <row r="962" customFormat="false" ht="15" hidden="false" customHeight="false" outlineLevel="0" collapsed="false">
      <c r="A962" s="13" t="n">
        <f aca="false">1+A961</f>
        <v>960</v>
      </c>
      <c r="B962" s="17" t="n">
        <v>1009294091</v>
      </c>
      <c r="C962" s="17" t="s">
        <v>201</v>
      </c>
      <c r="D962" s="17" t="s">
        <v>64</v>
      </c>
      <c r="E962" s="17" t="s">
        <v>64</v>
      </c>
      <c r="F962" s="18" t="s">
        <v>70</v>
      </c>
      <c r="G962" s="19" t="n">
        <v>955219121865</v>
      </c>
      <c r="H962" s="17" t="s">
        <v>134</v>
      </c>
      <c r="I962" s="17" t="s">
        <v>44</v>
      </c>
      <c r="J962" s="17" t="s">
        <v>106</v>
      </c>
      <c r="K962" s="17" t="str">
        <f aca="false">VLOOKUP(J962,Sheet2!A:B,2,0)</f>
        <v>PRAKASH CHAVDA</v>
      </c>
      <c r="L962" s="17" t="n">
        <v>5</v>
      </c>
      <c r="M962" s="17" t="str">
        <f aca="false">VLOOKUP(L962,Sheet2!D:E,2,0)</f>
        <v>Main Processor CPU BGA</v>
      </c>
      <c r="N962" s="17" t="n">
        <v>24</v>
      </c>
      <c r="O962" s="17" t="str">
        <f aca="false">VLOOKUP(N962,Sheet2!G:H,2,0)</f>
        <v>STB Auto moving -Stand by mode</v>
      </c>
      <c r="P962" s="17" t="n">
        <v>12</v>
      </c>
      <c r="Q962" s="17" t="str">
        <f aca="false">VLOOKUP(P962,Sheet2!J:K,2,0)</f>
        <v>IR Declared due to Others ( IR Normal)TB</v>
      </c>
      <c r="R962" s="17" t="s">
        <v>35</v>
      </c>
      <c r="S962" s="17" t="str">
        <f aca="false">VLOOKUP(R962,Sheet2!N:O,2,0)</f>
        <v>IREPARABLE</v>
      </c>
      <c r="T962" s="18" t="str">
        <f aca="false">VLOOKUP(P962,Sheet2!Q:R,2,0)</f>
        <v>IR Normal - BER to IR</v>
      </c>
      <c r="U962" s="20" t="s">
        <v>135</v>
      </c>
      <c r="V962" s="17" t="n">
        <v>12</v>
      </c>
      <c r="W962" s="20" t="str">
        <f aca="false">VLOOKUP(V962,Sheet2!Q:R,2,0)</f>
        <v>IR Normal - BER to IR</v>
      </c>
      <c r="X962" s="17" t="str">
        <f aca="false">J962</f>
        <v>A018</v>
      </c>
      <c r="Y962" s="17" t="str">
        <f aca="false">VLOOKUP(X962,Sheet2!A:B,2,0)</f>
        <v>PRAKASH CHAVDA</v>
      </c>
      <c r="Z962" s="17" t="s">
        <v>150</v>
      </c>
      <c r="AA962" s="17" t="s">
        <v>477</v>
      </c>
      <c r="AB962" s="17" t="s">
        <v>41</v>
      </c>
      <c r="AC962" s="0" t="str">
        <f aca="false">LEFT(G962,2)</f>
        <v>95</v>
      </c>
      <c r="AD962" s="0"/>
      <c r="AE962" s="21" t="s">
        <v>42</v>
      </c>
    </row>
    <row r="963" customFormat="false" ht="15" hidden="false" customHeight="false" outlineLevel="0" collapsed="false">
      <c r="A963" s="13" t="n">
        <f aca="false">1+A962</f>
        <v>961</v>
      </c>
      <c r="B963" s="17" t="n">
        <v>1009548683</v>
      </c>
      <c r="C963" s="17" t="s">
        <v>126</v>
      </c>
      <c r="D963" s="17" t="s">
        <v>131</v>
      </c>
      <c r="E963" s="17" t="s">
        <v>33</v>
      </c>
      <c r="F963" s="18" t="s">
        <v>34</v>
      </c>
      <c r="G963" s="19" t="n">
        <v>954132176478</v>
      </c>
      <c r="H963" s="17" t="s">
        <v>134</v>
      </c>
      <c r="I963" s="17" t="s">
        <v>44</v>
      </c>
      <c r="J963" s="17" t="s">
        <v>106</v>
      </c>
      <c r="K963" s="17" t="str">
        <f aca="false">VLOOKUP(J963,Sheet2!A:B,2,0)</f>
        <v>PRAKASH CHAVDA</v>
      </c>
      <c r="L963" s="17" t="n">
        <v>5</v>
      </c>
      <c r="M963" s="17" t="str">
        <f aca="false">VLOOKUP(L963,Sheet2!D:E,2,0)</f>
        <v>Main Processor CPU BGA</v>
      </c>
      <c r="N963" s="17" t="n">
        <v>9</v>
      </c>
      <c r="O963" s="17" t="str">
        <f aca="false">VLOOKUP(N963,Sheet2!G:H,2,0)</f>
        <v>No Audio - AV</v>
      </c>
      <c r="P963" s="17" t="n">
        <v>12</v>
      </c>
      <c r="Q963" s="17" t="str">
        <f aca="false">VLOOKUP(P963,Sheet2!J:K,2,0)</f>
        <v>IR Declared due to Others ( IR Normal)TB</v>
      </c>
      <c r="R963" s="17" t="s">
        <v>35</v>
      </c>
      <c r="S963" s="17" t="str">
        <f aca="false">VLOOKUP(R963,Sheet2!N:O,2,0)</f>
        <v>IREPARABLE</v>
      </c>
      <c r="T963" s="18" t="str">
        <f aca="false">VLOOKUP(P963,Sheet2!Q:R,2,0)</f>
        <v>IR Normal - BER to IR</v>
      </c>
      <c r="U963" s="20" t="s">
        <v>135</v>
      </c>
      <c r="V963" s="17" t="n">
        <v>12</v>
      </c>
      <c r="W963" s="20" t="str">
        <f aca="false">VLOOKUP(V963,Sheet2!Q:R,2,0)</f>
        <v>IR Normal - BER to IR</v>
      </c>
      <c r="X963" s="17" t="str">
        <f aca="false">J963</f>
        <v>A018</v>
      </c>
      <c r="Y963" s="17" t="str">
        <f aca="false">VLOOKUP(X963,Sheet2!A:B,2,0)</f>
        <v>PRAKASH CHAVDA</v>
      </c>
      <c r="Z963" s="17" t="s">
        <v>150</v>
      </c>
      <c r="AA963" s="17" t="s">
        <v>477</v>
      </c>
      <c r="AB963" s="17" t="s">
        <v>41</v>
      </c>
      <c r="AC963" s="0" t="str">
        <f aca="false">LEFT(G963,2)</f>
        <v>95</v>
      </c>
      <c r="AD963" s="0"/>
      <c r="AE963" s="21" t="s">
        <v>42</v>
      </c>
    </row>
    <row r="964" customFormat="false" ht="15" hidden="false" customHeight="false" outlineLevel="0" collapsed="false">
      <c r="A964" s="13" t="n">
        <f aca="false">1+A963</f>
        <v>962</v>
      </c>
      <c r="B964" s="17" t="n">
        <v>1009570303</v>
      </c>
      <c r="C964" s="17" t="s">
        <v>102</v>
      </c>
      <c r="D964" s="17" t="s">
        <v>64</v>
      </c>
      <c r="E964" s="17" t="s">
        <v>91</v>
      </c>
      <c r="F964" s="18" t="s">
        <v>92</v>
      </c>
      <c r="G964" s="19" t="n">
        <v>954169206560</v>
      </c>
      <c r="H964" s="17" t="s">
        <v>134</v>
      </c>
      <c r="I964" s="17" t="s">
        <v>44</v>
      </c>
      <c r="J964" s="17" t="s">
        <v>106</v>
      </c>
      <c r="K964" s="17" t="str">
        <f aca="false">VLOOKUP(J964,Sheet2!A:B,2,0)</f>
        <v>PRAKASH CHAVDA</v>
      </c>
      <c r="L964" s="17" t="n">
        <v>5</v>
      </c>
      <c r="M964" s="17" t="str">
        <f aca="false">VLOOKUP(L964,Sheet2!D:E,2,0)</f>
        <v>Main Processor CPU BGA</v>
      </c>
      <c r="N964" s="17" t="n">
        <v>37</v>
      </c>
      <c r="O964" s="17" t="str">
        <f aca="false">VLOOKUP(N964,Sheet2!G:H,2,0)</f>
        <v>Error -2</v>
      </c>
      <c r="P964" s="17" t="n">
        <v>12</v>
      </c>
      <c r="Q964" s="17" t="str">
        <f aca="false">VLOOKUP(P964,Sheet2!J:K,2,0)</f>
        <v>IR Declared due to Others ( IR Normal)TB</v>
      </c>
      <c r="R964" s="17" t="s">
        <v>35</v>
      </c>
      <c r="S964" s="17" t="str">
        <f aca="false">VLOOKUP(R964,Sheet2!N:O,2,0)</f>
        <v>IREPARABLE</v>
      </c>
      <c r="T964" s="18" t="str">
        <f aca="false">VLOOKUP(P964,Sheet2!Q:R,2,0)</f>
        <v>IR Normal - BER to IR</v>
      </c>
      <c r="U964" s="20" t="s">
        <v>135</v>
      </c>
      <c r="V964" s="17" t="n">
        <v>12</v>
      </c>
      <c r="W964" s="20" t="str">
        <f aca="false">VLOOKUP(V964,Sheet2!Q:R,2,0)</f>
        <v>IR Normal - BER to IR</v>
      </c>
      <c r="X964" s="17" t="str">
        <f aca="false">J964</f>
        <v>A018</v>
      </c>
      <c r="Y964" s="17" t="str">
        <f aca="false">VLOOKUP(X964,Sheet2!A:B,2,0)</f>
        <v>PRAKASH CHAVDA</v>
      </c>
      <c r="Z964" s="17" t="s">
        <v>150</v>
      </c>
      <c r="AA964" s="17" t="s">
        <v>477</v>
      </c>
      <c r="AB964" s="17" t="s">
        <v>41</v>
      </c>
      <c r="AC964" s="0" t="str">
        <f aca="false">LEFT(G964,2)</f>
        <v>95</v>
      </c>
      <c r="AD964" s="0"/>
      <c r="AE964" s="21" t="s">
        <v>42</v>
      </c>
    </row>
    <row r="965" customFormat="false" ht="15" hidden="false" customHeight="false" outlineLevel="0" collapsed="false">
      <c r="A965" s="13" t="n">
        <f aca="false">1+A964</f>
        <v>963</v>
      </c>
      <c r="B965" s="17" t="n">
        <v>1009546461</v>
      </c>
      <c r="C965" s="17" t="s">
        <v>126</v>
      </c>
      <c r="D965" s="17" t="s">
        <v>206</v>
      </c>
      <c r="E965" s="17" t="s">
        <v>47</v>
      </c>
      <c r="F965" s="18" t="s">
        <v>34</v>
      </c>
      <c r="G965" s="19" t="n">
        <v>955182107727</v>
      </c>
      <c r="H965" s="17" t="s">
        <v>134</v>
      </c>
      <c r="I965" s="17" t="s">
        <v>44</v>
      </c>
      <c r="J965" s="17" t="s">
        <v>106</v>
      </c>
      <c r="K965" s="17" t="str">
        <f aca="false">VLOOKUP(J965,Sheet2!A:B,2,0)</f>
        <v>PRAKASH CHAVDA</v>
      </c>
      <c r="L965" s="17" t="n">
        <v>5</v>
      </c>
      <c r="M965" s="17" t="str">
        <f aca="false">VLOOKUP(L965,Sheet2!D:E,2,0)</f>
        <v>Main Processor CPU BGA</v>
      </c>
      <c r="N965" s="17" t="n">
        <v>24</v>
      </c>
      <c r="O965" s="17" t="str">
        <f aca="false">VLOOKUP(N965,Sheet2!G:H,2,0)</f>
        <v>STB Auto moving -Stand by mode</v>
      </c>
      <c r="P965" s="17" t="n">
        <v>12</v>
      </c>
      <c r="Q965" s="17" t="str">
        <f aca="false">VLOOKUP(P965,Sheet2!J:K,2,0)</f>
        <v>IR Declared due to Others ( IR Normal)TB</v>
      </c>
      <c r="R965" s="17" t="s">
        <v>35</v>
      </c>
      <c r="S965" s="17" t="str">
        <f aca="false">VLOOKUP(R965,Sheet2!N:O,2,0)</f>
        <v>IREPARABLE</v>
      </c>
      <c r="T965" s="18" t="str">
        <f aca="false">VLOOKUP(P965,Sheet2!Q:R,2,0)</f>
        <v>IR Normal - BER to IR</v>
      </c>
      <c r="U965" s="20" t="s">
        <v>135</v>
      </c>
      <c r="V965" s="17" t="n">
        <v>12</v>
      </c>
      <c r="W965" s="20" t="str">
        <f aca="false">VLOOKUP(V965,Sheet2!Q:R,2,0)</f>
        <v>IR Normal - BER to IR</v>
      </c>
      <c r="X965" s="17" t="str">
        <f aca="false">J965</f>
        <v>A018</v>
      </c>
      <c r="Y965" s="17" t="str">
        <f aca="false">VLOOKUP(X965,Sheet2!A:B,2,0)</f>
        <v>PRAKASH CHAVDA</v>
      </c>
      <c r="Z965" s="17" t="s">
        <v>150</v>
      </c>
      <c r="AA965" s="17" t="s">
        <v>477</v>
      </c>
      <c r="AB965" s="17" t="s">
        <v>41</v>
      </c>
      <c r="AC965" s="0" t="str">
        <f aca="false">LEFT(G965,2)</f>
        <v>95</v>
      </c>
      <c r="AD965" s="0"/>
      <c r="AE965" s="21" t="s">
        <v>42</v>
      </c>
    </row>
    <row r="966" customFormat="false" ht="15" hidden="false" customHeight="false" outlineLevel="0" collapsed="false">
      <c r="A966" s="13" t="n">
        <f aca="false">1+A965</f>
        <v>964</v>
      </c>
      <c r="B966" s="17" t="n">
        <v>1009091934</v>
      </c>
      <c r="C966" s="17" t="s">
        <v>414</v>
      </c>
      <c r="D966" s="17" t="s">
        <v>64</v>
      </c>
      <c r="E966" s="17" t="s">
        <v>460</v>
      </c>
      <c r="F966" s="18" t="s">
        <v>34</v>
      </c>
      <c r="G966" s="19" t="n">
        <v>134106006791</v>
      </c>
      <c r="H966" s="17" t="s">
        <v>134</v>
      </c>
      <c r="I966" s="17" t="s">
        <v>44</v>
      </c>
      <c r="J966" s="17" t="s">
        <v>106</v>
      </c>
      <c r="K966" s="17" t="str">
        <f aca="false">VLOOKUP(J966,Sheet2!A:B,2,0)</f>
        <v>PRAKASH CHAVDA</v>
      </c>
      <c r="L966" s="17" t="n">
        <v>5</v>
      </c>
      <c r="M966" s="17" t="str">
        <f aca="false">VLOOKUP(L966,Sheet2!D:E,2,0)</f>
        <v>Main Processor CPU BGA</v>
      </c>
      <c r="N966" s="17" t="n">
        <v>6</v>
      </c>
      <c r="O966" s="17" t="str">
        <f aca="false">VLOOKUP(N966,Sheet2!G:H,2,0)</f>
        <v>No Signal</v>
      </c>
      <c r="P966" s="17" t="n">
        <v>12</v>
      </c>
      <c r="Q966" s="17" t="str">
        <f aca="false">VLOOKUP(P966,Sheet2!J:K,2,0)</f>
        <v>IR Declared due to Others ( IR Normal)TB</v>
      </c>
      <c r="R966" s="17" t="s">
        <v>35</v>
      </c>
      <c r="S966" s="17" t="str">
        <f aca="false">VLOOKUP(R966,Sheet2!N:O,2,0)</f>
        <v>IREPARABLE</v>
      </c>
      <c r="T966" s="18" t="str">
        <f aca="false">VLOOKUP(P966,Sheet2!Q:R,2,0)</f>
        <v>IR Normal - BER to IR</v>
      </c>
      <c r="U966" s="20" t="s">
        <v>135</v>
      </c>
      <c r="V966" s="17" t="n">
        <v>12</v>
      </c>
      <c r="W966" s="20" t="str">
        <f aca="false">VLOOKUP(V966,Sheet2!Q:R,2,0)</f>
        <v>IR Normal - BER to IR</v>
      </c>
      <c r="X966" s="17" t="str">
        <f aca="false">J966</f>
        <v>A018</v>
      </c>
      <c r="Y966" s="17" t="str">
        <f aca="false">VLOOKUP(X966,Sheet2!A:B,2,0)</f>
        <v>PRAKASH CHAVDA</v>
      </c>
      <c r="Z966" s="17" t="s">
        <v>136</v>
      </c>
      <c r="AA966" s="17" t="s">
        <v>477</v>
      </c>
      <c r="AB966" s="17" t="s">
        <v>41</v>
      </c>
      <c r="AC966" s="0" t="str">
        <f aca="false">LEFT(G966,2)</f>
        <v>13</v>
      </c>
      <c r="AD966" s="0"/>
      <c r="AE966" s="21" t="s">
        <v>42</v>
      </c>
    </row>
    <row r="967" customFormat="false" ht="15" hidden="false" customHeight="false" outlineLevel="0" collapsed="false">
      <c r="A967" s="13" t="n">
        <f aca="false">1+A966</f>
        <v>965</v>
      </c>
      <c r="B967" s="17" t="n">
        <v>1008522573</v>
      </c>
      <c r="C967" s="17" t="s">
        <v>480</v>
      </c>
      <c r="D967" s="17" t="s">
        <v>304</v>
      </c>
      <c r="E967" s="17" t="s">
        <v>424</v>
      </c>
      <c r="F967" s="18" t="s">
        <v>34</v>
      </c>
      <c r="G967" s="19" t="n">
        <v>134268583199</v>
      </c>
      <c r="H967" s="17" t="s">
        <v>134</v>
      </c>
      <c r="I967" s="17" t="s">
        <v>44</v>
      </c>
      <c r="J967" s="17" t="s">
        <v>106</v>
      </c>
      <c r="K967" s="17" t="str">
        <f aca="false">VLOOKUP(J967,Sheet2!A:B,2,0)</f>
        <v>PRAKASH CHAVDA</v>
      </c>
      <c r="L967" s="17" t="n">
        <v>5</v>
      </c>
      <c r="M967" s="17" t="str">
        <f aca="false">VLOOKUP(L967,Sheet2!D:E,2,0)</f>
        <v>Main Processor CPU BGA</v>
      </c>
      <c r="N967" s="17" t="n">
        <v>33</v>
      </c>
      <c r="O967" s="17" t="str">
        <f aca="false">VLOOKUP(N967,Sheet2!G:H,2,0)</f>
        <v>Software download failure</v>
      </c>
      <c r="P967" s="17" t="n">
        <v>12</v>
      </c>
      <c r="Q967" s="17" t="str">
        <f aca="false">VLOOKUP(P967,Sheet2!J:K,2,0)</f>
        <v>IR Declared due to Others ( IR Normal)TB</v>
      </c>
      <c r="R967" s="17" t="s">
        <v>35</v>
      </c>
      <c r="S967" s="17" t="str">
        <f aca="false">VLOOKUP(R967,Sheet2!N:O,2,0)</f>
        <v>IREPARABLE</v>
      </c>
      <c r="T967" s="18" t="str">
        <f aca="false">VLOOKUP(P967,Sheet2!Q:R,2,0)</f>
        <v>IR Normal - BER to IR</v>
      </c>
      <c r="U967" s="20" t="s">
        <v>135</v>
      </c>
      <c r="V967" s="17" t="n">
        <v>12</v>
      </c>
      <c r="W967" s="20" t="str">
        <f aca="false">VLOOKUP(V967,Sheet2!Q:R,2,0)</f>
        <v>IR Normal - BER to IR</v>
      </c>
      <c r="X967" s="17" t="str">
        <f aca="false">J967</f>
        <v>A018</v>
      </c>
      <c r="Y967" s="17" t="str">
        <f aca="false">VLOOKUP(X967,Sheet2!A:B,2,0)</f>
        <v>PRAKASH CHAVDA</v>
      </c>
      <c r="Z967" s="17" t="s">
        <v>136</v>
      </c>
      <c r="AA967" s="17" t="s">
        <v>477</v>
      </c>
      <c r="AB967" s="17" t="s">
        <v>41</v>
      </c>
      <c r="AC967" s="0" t="str">
        <f aca="false">LEFT(G967,2)</f>
        <v>13</v>
      </c>
      <c r="AD967" s="0"/>
      <c r="AE967" s="21" t="s">
        <v>42</v>
      </c>
    </row>
    <row r="968" customFormat="false" ht="15" hidden="false" customHeight="false" outlineLevel="0" collapsed="false">
      <c r="A968" s="13" t="n">
        <f aca="false">1+A967</f>
        <v>966</v>
      </c>
      <c r="B968" s="17" t="n">
        <v>1008457362</v>
      </c>
      <c r="C968" s="17" t="s">
        <v>481</v>
      </c>
      <c r="D968" s="17" t="s">
        <v>78</v>
      </c>
      <c r="E968" s="17" t="s">
        <v>91</v>
      </c>
      <c r="F968" s="18" t="s">
        <v>92</v>
      </c>
      <c r="G968" s="19" t="n">
        <v>134106127068</v>
      </c>
      <c r="H968" s="17" t="s">
        <v>134</v>
      </c>
      <c r="I968" s="17" t="s">
        <v>44</v>
      </c>
      <c r="J968" s="17" t="s">
        <v>106</v>
      </c>
      <c r="K968" s="17" t="str">
        <f aca="false">VLOOKUP(J968,Sheet2!A:B,2,0)</f>
        <v>PRAKASH CHAVDA</v>
      </c>
      <c r="L968" s="17" t="n">
        <v>5</v>
      </c>
      <c r="M968" s="17" t="str">
        <f aca="false">VLOOKUP(L968,Sheet2!D:E,2,0)</f>
        <v>Main Processor CPU BGA</v>
      </c>
      <c r="N968" s="17" t="n">
        <v>28</v>
      </c>
      <c r="O968" s="17" t="str">
        <f aca="false">VLOOKUP(N968,Sheet2!G:H,2,0)</f>
        <v>Hang and Freeze video - AV</v>
      </c>
      <c r="P968" s="17" t="n">
        <v>12</v>
      </c>
      <c r="Q968" s="17" t="str">
        <f aca="false">VLOOKUP(P968,Sheet2!J:K,2,0)</f>
        <v>IR Declared due to Others ( IR Normal)TB</v>
      </c>
      <c r="R968" s="17" t="s">
        <v>35</v>
      </c>
      <c r="S968" s="17" t="str">
        <f aca="false">VLOOKUP(R968,Sheet2!N:O,2,0)</f>
        <v>IREPARABLE</v>
      </c>
      <c r="T968" s="18" t="str">
        <f aca="false">VLOOKUP(P968,Sheet2!Q:R,2,0)</f>
        <v>IR Normal - BER to IR</v>
      </c>
      <c r="U968" s="20" t="s">
        <v>135</v>
      </c>
      <c r="V968" s="17" t="n">
        <v>12</v>
      </c>
      <c r="W968" s="20" t="str">
        <f aca="false">VLOOKUP(V968,Sheet2!Q:R,2,0)</f>
        <v>IR Normal - BER to IR</v>
      </c>
      <c r="X968" s="17" t="str">
        <f aca="false">J968</f>
        <v>A018</v>
      </c>
      <c r="Y968" s="17" t="str">
        <f aca="false">VLOOKUP(X968,Sheet2!A:B,2,0)</f>
        <v>PRAKASH CHAVDA</v>
      </c>
      <c r="Z968" s="17" t="s">
        <v>136</v>
      </c>
      <c r="AA968" s="17" t="s">
        <v>477</v>
      </c>
      <c r="AB968" s="17" t="s">
        <v>41</v>
      </c>
      <c r="AC968" s="0" t="str">
        <f aca="false">LEFT(G968,2)</f>
        <v>13</v>
      </c>
      <c r="AD968" s="0"/>
      <c r="AE968" s="21" t="s">
        <v>42</v>
      </c>
    </row>
    <row r="969" customFormat="false" ht="15" hidden="false" customHeight="false" outlineLevel="0" collapsed="false">
      <c r="A969" s="13" t="n">
        <f aca="false">1+A968</f>
        <v>967</v>
      </c>
      <c r="B969" s="17" t="n">
        <v>1009091260</v>
      </c>
      <c r="C969" s="17" t="s">
        <v>414</v>
      </c>
      <c r="D969" s="17" t="s">
        <v>64</v>
      </c>
      <c r="E969" s="17" t="s">
        <v>47</v>
      </c>
      <c r="F969" s="18" t="s">
        <v>34</v>
      </c>
      <c r="G969" s="19" t="n">
        <v>134230131366</v>
      </c>
      <c r="H969" s="17" t="s">
        <v>134</v>
      </c>
      <c r="I969" s="17" t="s">
        <v>44</v>
      </c>
      <c r="J969" s="17" t="s">
        <v>106</v>
      </c>
      <c r="K969" s="17" t="str">
        <f aca="false">VLOOKUP(J969,Sheet2!A:B,2,0)</f>
        <v>PRAKASH CHAVDA</v>
      </c>
      <c r="L969" s="17" t="n">
        <v>5</v>
      </c>
      <c r="M969" s="17" t="str">
        <f aca="false">VLOOKUP(L969,Sheet2!D:E,2,0)</f>
        <v>Main Processor CPU BGA</v>
      </c>
      <c r="N969" s="17" t="n">
        <v>24</v>
      </c>
      <c r="O969" s="17" t="str">
        <f aca="false">VLOOKUP(N969,Sheet2!G:H,2,0)</f>
        <v>STB Auto moving -Stand by mode</v>
      </c>
      <c r="P969" s="17" t="n">
        <v>12</v>
      </c>
      <c r="Q969" s="17" t="str">
        <f aca="false">VLOOKUP(P969,Sheet2!J:K,2,0)</f>
        <v>IR Declared due to Others ( IR Normal)TB</v>
      </c>
      <c r="R969" s="17" t="s">
        <v>35</v>
      </c>
      <c r="S969" s="17" t="str">
        <f aca="false">VLOOKUP(R969,Sheet2!N:O,2,0)</f>
        <v>IREPARABLE</v>
      </c>
      <c r="T969" s="18" t="str">
        <f aca="false">VLOOKUP(P969,Sheet2!Q:R,2,0)</f>
        <v>IR Normal - BER to IR</v>
      </c>
      <c r="U969" s="20" t="s">
        <v>135</v>
      </c>
      <c r="V969" s="17" t="n">
        <v>12</v>
      </c>
      <c r="W969" s="20" t="str">
        <f aca="false">VLOOKUP(V969,Sheet2!Q:R,2,0)</f>
        <v>IR Normal - BER to IR</v>
      </c>
      <c r="X969" s="17" t="str">
        <f aca="false">J969</f>
        <v>A018</v>
      </c>
      <c r="Y969" s="17" t="str">
        <f aca="false">VLOOKUP(X969,Sheet2!A:B,2,0)</f>
        <v>PRAKASH CHAVDA</v>
      </c>
      <c r="Z969" s="17" t="s">
        <v>136</v>
      </c>
      <c r="AA969" s="17" t="s">
        <v>477</v>
      </c>
      <c r="AB969" s="17" t="s">
        <v>41</v>
      </c>
      <c r="AC969" s="0" t="str">
        <f aca="false">LEFT(G969,2)</f>
        <v>13</v>
      </c>
      <c r="AD969" s="0"/>
      <c r="AE969" s="21" t="s">
        <v>42</v>
      </c>
    </row>
    <row r="970" customFormat="false" ht="15" hidden="false" customHeight="false" outlineLevel="0" collapsed="false">
      <c r="A970" s="13" t="n">
        <f aca="false">1+A969</f>
        <v>968</v>
      </c>
      <c r="B970" s="17" t="n">
        <v>1008507294</v>
      </c>
      <c r="C970" s="17" t="s">
        <v>482</v>
      </c>
      <c r="D970" s="17" t="s">
        <v>64</v>
      </c>
      <c r="E970" s="17" t="s">
        <v>47</v>
      </c>
      <c r="F970" s="18" t="s">
        <v>34</v>
      </c>
      <c r="G970" s="19" t="n">
        <v>134037518575</v>
      </c>
      <c r="H970" s="17" t="s">
        <v>134</v>
      </c>
      <c r="I970" s="17" t="s">
        <v>44</v>
      </c>
      <c r="J970" s="17" t="s">
        <v>106</v>
      </c>
      <c r="K970" s="17" t="str">
        <f aca="false">VLOOKUP(J970,Sheet2!A:B,2,0)</f>
        <v>PRAKASH CHAVDA</v>
      </c>
      <c r="L970" s="17" t="n">
        <v>5</v>
      </c>
      <c r="M970" s="17" t="str">
        <f aca="false">VLOOKUP(L970,Sheet2!D:E,2,0)</f>
        <v>Main Processor CPU BGA</v>
      </c>
      <c r="N970" s="17" t="n">
        <v>24</v>
      </c>
      <c r="O970" s="17" t="str">
        <f aca="false">VLOOKUP(N970,Sheet2!G:H,2,0)</f>
        <v>STB Auto moving -Stand by mode</v>
      </c>
      <c r="P970" s="17" t="n">
        <v>12</v>
      </c>
      <c r="Q970" s="17" t="str">
        <f aca="false">VLOOKUP(P970,Sheet2!J:K,2,0)</f>
        <v>IR Declared due to Others ( IR Normal)TB</v>
      </c>
      <c r="R970" s="17" t="s">
        <v>35</v>
      </c>
      <c r="S970" s="17" t="str">
        <f aca="false">VLOOKUP(R970,Sheet2!N:O,2,0)</f>
        <v>IREPARABLE</v>
      </c>
      <c r="T970" s="18" t="str">
        <f aca="false">VLOOKUP(P970,Sheet2!Q:R,2,0)</f>
        <v>IR Normal - BER to IR</v>
      </c>
      <c r="U970" s="20" t="s">
        <v>135</v>
      </c>
      <c r="V970" s="17" t="n">
        <v>12</v>
      </c>
      <c r="W970" s="20" t="str">
        <f aca="false">VLOOKUP(V970,Sheet2!Q:R,2,0)</f>
        <v>IR Normal - BER to IR</v>
      </c>
      <c r="X970" s="17" t="str">
        <f aca="false">J970</f>
        <v>A018</v>
      </c>
      <c r="Y970" s="17" t="str">
        <f aca="false">VLOOKUP(X970,Sheet2!A:B,2,0)</f>
        <v>PRAKASH CHAVDA</v>
      </c>
      <c r="Z970" s="17" t="s">
        <v>136</v>
      </c>
      <c r="AA970" s="17" t="s">
        <v>477</v>
      </c>
      <c r="AB970" s="17" t="s">
        <v>41</v>
      </c>
      <c r="AC970" s="0" t="str">
        <f aca="false">LEFT(G970,2)</f>
        <v>13</v>
      </c>
      <c r="AD970" s="0"/>
      <c r="AE970" s="21" t="s">
        <v>42</v>
      </c>
    </row>
    <row r="971" customFormat="false" ht="15" hidden="false" customHeight="false" outlineLevel="0" collapsed="false">
      <c r="A971" s="13" t="n">
        <f aca="false">1+A970</f>
        <v>969</v>
      </c>
      <c r="B971" s="17" t="n">
        <v>1009091424</v>
      </c>
      <c r="C971" s="17" t="s">
        <v>414</v>
      </c>
      <c r="D971" s="17" t="s">
        <v>64</v>
      </c>
      <c r="E971" s="17" t="s">
        <v>64</v>
      </c>
      <c r="F971" s="18" t="s">
        <v>70</v>
      </c>
      <c r="G971" s="19" t="n">
        <v>134230526730</v>
      </c>
      <c r="H971" s="17" t="s">
        <v>134</v>
      </c>
      <c r="I971" s="17" t="s">
        <v>44</v>
      </c>
      <c r="J971" s="17" t="s">
        <v>106</v>
      </c>
      <c r="K971" s="17" t="str">
        <f aca="false">VLOOKUP(J971,Sheet2!A:B,2,0)</f>
        <v>PRAKASH CHAVDA</v>
      </c>
      <c r="L971" s="17" t="n">
        <v>5</v>
      </c>
      <c r="M971" s="17" t="str">
        <f aca="false">VLOOKUP(L971,Sheet2!D:E,2,0)</f>
        <v>Main Processor CPU BGA</v>
      </c>
      <c r="N971" s="17" t="n">
        <v>24</v>
      </c>
      <c r="O971" s="17" t="str">
        <f aca="false">VLOOKUP(N971,Sheet2!G:H,2,0)</f>
        <v>STB Auto moving -Stand by mode</v>
      </c>
      <c r="P971" s="17" t="n">
        <v>12</v>
      </c>
      <c r="Q971" s="17" t="str">
        <f aca="false">VLOOKUP(P971,Sheet2!J:K,2,0)</f>
        <v>IR Declared due to Others ( IR Normal)TB</v>
      </c>
      <c r="R971" s="17" t="s">
        <v>35</v>
      </c>
      <c r="S971" s="17" t="str">
        <f aca="false">VLOOKUP(R971,Sheet2!N:O,2,0)</f>
        <v>IREPARABLE</v>
      </c>
      <c r="T971" s="18" t="str">
        <f aca="false">VLOOKUP(P971,Sheet2!Q:R,2,0)</f>
        <v>IR Normal - BER to IR</v>
      </c>
      <c r="U971" s="20" t="s">
        <v>135</v>
      </c>
      <c r="V971" s="17" t="n">
        <v>12</v>
      </c>
      <c r="W971" s="20" t="str">
        <f aca="false">VLOOKUP(V971,Sheet2!Q:R,2,0)</f>
        <v>IR Normal - BER to IR</v>
      </c>
      <c r="X971" s="17" t="str">
        <f aca="false">J971</f>
        <v>A018</v>
      </c>
      <c r="Y971" s="17" t="str">
        <f aca="false">VLOOKUP(X971,Sheet2!A:B,2,0)</f>
        <v>PRAKASH CHAVDA</v>
      </c>
      <c r="Z971" s="17" t="s">
        <v>136</v>
      </c>
      <c r="AA971" s="17" t="s">
        <v>477</v>
      </c>
      <c r="AB971" s="17" t="s">
        <v>41</v>
      </c>
      <c r="AC971" s="0" t="str">
        <f aca="false">LEFT(G971,2)</f>
        <v>13</v>
      </c>
      <c r="AD971" s="0"/>
      <c r="AE971" s="21" t="s">
        <v>42</v>
      </c>
    </row>
    <row r="972" customFormat="false" ht="15" hidden="false" customHeight="false" outlineLevel="0" collapsed="false">
      <c r="A972" s="13" t="n">
        <f aca="false">1+A971</f>
        <v>970</v>
      </c>
      <c r="B972" s="17" t="n">
        <v>1009092073</v>
      </c>
      <c r="C972" s="17" t="s">
        <v>414</v>
      </c>
      <c r="D972" s="17" t="s">
        <v>64</v>
      </c>
      <c r="E972" s="17" t="s">
        <v>47</v>
      </c>
      <c r="F972" s="18" t="s">
        <v>34</v>
      </c>
      <c r="G972" s="19" t="n">
        <v>134023502054</v>
      </c>
      <c r="H972" s="17" t="s">
        <v>134</v>
      </c>
      <c r="I972" s="17" t="s">
        <v>44</v>
      </c>
      <c r="J972" s="17" t="s">
        <v>106</v>
      </c>
      <c r="K972" s="17" t="str">
        <f aca="false">VLOOKUP(J972,Sheet2!A:B,2,0)</f>
        <v>PRAKASH CHAVDA</v>
      </c>
      <c r="L972" s="17" t="n">
        <v>5</v>
      </c>
      <c r="M972" s="17" t="str">
        <f aca="false">VLOOKUP(L972,Sheet2!D:E,2,0)</f>
        <v>Main Processor CPU BGA</v>
      </c>
      <c r="N972" s="17" t="n">
        <v>24</v>
      </c>
      <c r="O972" s="17" t="str">
        <f aca="false">VLOOKUP(N972,Sheet2!G:H,2,0)</f>
        <v>STB Auto moving -Stand by mode</v>
      </c>
      <c r="P972" s="17" t="n">
        <v>12</v>
      </c>
      <c r="Q972" s="17" t="str">
        <f aca="false">VLOOKUP(P972,Sheet2!J:K,2,0)</f>
        <v>IR Declared due to Others ( IR Normal)TB</v>
      </c>
      <c r="R972" s="17" t="s">
        <v>35</v>
      </c>
      <c r="S972" s="17" t="str">
        <f aca="false">VLOOKUP(R972,Sheet2!N:O,2,0)</f>
        <v>IREPARABLE</v>
      </c>
      <c r="T972" s="18" t="str">
        <f aca="false">VLOOKUP(P972,Sheet2!Q:R,2,0)</f>
        <v>IR Normal - BER to IR</v>
      </c>
      <c r="U972" s="20" t="s">
        <v>135</v>
      </c>
      <c r="V972" s="17" t="n">
        <v>12</v>
      </c>
      <c r="W972" s="20" t="str">
        <f aca="false">VLOOKUP(V972,Sheet2!Q:R,2,0)</f>
        <v>IR Normal - BER to IR</v>
      </c>
      <c r="X972" s="17" t="str">
        <f aca="false">J972</f>
        <v>A018</v>
      </c>
      <c r="Y972" s="17" t="str">
        <f aca="false">VLOOKUP(X972,Sheet2!A:B,2,0)</f>
        <v>PRAKASH CHAVDA</v>
      </c>
      <c r="Z972" s="17" t="s">
        <v>136</v>
      </c>
      <c r="AA972" s="17" t="s">
        <v>477</v>
      </c>
      <c r="AB972" s="17" t="s">
        <v>41</v>
      </c>
      <c r="AC972" s="0" t="str">
        <f aca="false">LEFT(G972,2)</f>
        <v>13</v>
      </c>
      <c r="AD972" s="0"/>
      <c r="AE972" s="21" t="s">
        <v>42</v>
      </c>
    </row>
    <row r="973" customFormat="false" ht="15" hidden="false" customHeight="false" outlineLevel="0" collapsed="false">
      <c r="A973" s="13" t="n">
        <f aca="false">1+A972</f>
        <v>971</v>
      </c>
      <c r="B973" s="17" t="n">
        <v>1009672499</v>
      </c>
      <c r="C973" s="17" t="s">
        <v>436</v>
      </c>
      <c r="D973" s="17" t="s">
        <v>143</v>
      </c>
      <c r="E973" s="17" t="s">
        <v>33</v>
      </c>
      <c r="F973" s="18" t="s">
        <v>34</v>
      </c>
      <c r="G973" s="19" t="n">
        <v>134106183426</v>
      </c>
      <c r="H973" s="17" t="s">
        <v>134</v>
      </c>
      <c r="I973" s="17" t="s">
        <v>44</v>
      </c>
      <c r="J973" s="17" t="s">
        <v>106</v>
      </c>
      <c r="K973" s="17" t="str">
        <f aca="false">VLOOKUP(J973,Sheet2!A:B,2,0)</f>
        <v>PRAKASH CHAVDA</v>
      </c>
      <c r="L973" s="17" t="n">
        <v>5</v>
      </c>
      <c r="M973" s="17" t="str">
        <f aca="false">VLOOKUP(L973,Sheet2!D:E,2,0)</f>
        <v>Main Processor CPU BGA</v>
      </c>
      <c r="N973" s="17" t="n">
        <v>1</v>
      </c>
      <c r="O973" s="17" t="str">
        <f aca="false">VLOOKUP(N973,Sheet2!G:H,2,0)</f>
        <v>Dead</v>
      </c>
      <c r="P973" s="17" t="n">
        <v>12</v>
      </c>
      <c r="Q973" s="17" t="str">
        <f aca="false">VLOOKUP(P973,Sheet2!J:K,2,0)</f>
        <v>IR Declared due to Others ( IR Normal)TB</v>
      </c>
      <c r="R973" s="17" t="s">
        <v>35</v>
      </c>
      <c r="S973" s="17" t="str">
        <f aca="false">VLOOKUP(R973,Sheet2!N:O,2,0)</f>
        <v>IREPARABLE</v>
      </c>
      <c r="T973" s="18" t="str">
        <f aca="false">VLOOKUP(P973,Sheet2!Q:R,2,0)</f>
        <v>IR Normal - BER to IR</v>
      </c>
      <c r="U973" s="20" t="s">
        <v>135</v>
      </c>
      <c r="V973" s="17" t="n">
        <v>12</v>
      </c>
      <c r="W973" s="20" t="str">
        <f aca="false">VLOOKUP(V973,Sheet2!Q:R,2,0)</f>
        <v>IR Normal - BER to IR</v>
      </c>
      <c r="X973" s="17" t="str">
        <f aca="false">J973</f>
        <v>A018</v>
      </c>
      <c r="Y973" s="17" t="str">
        <f aca="false">VLOOKUP(X973,Sheet2!A:B,2,0)</f>
        <v>PRAKASH CHAVDA</v>
      </c>
      <c r="Z973" s="17" t="s">
        <v>136</v>
      </c>
      <c r="AA973" s="17" t="s">
        <v>477</v>
      </c>
      <c r="AB973" s="17" t="s">
        <v>41</v>
      </c>
      <c r="AC973" s="0" t="str">
        <f aca="false">LEFT(G973,2)</f>
        <v>13</v>
      </c>
      <c r="AD973" s="0"/>
      <c r="AE973" s="21" t="s">
        <v>42</v>
      </c>
    </row>
    <row r="974" customFormat="false" ht="15" hidden="false" customHeight="false" outlineLevel="0" collapsed="false">
      <c r="A974" s="13" t="n">
        <f aca="false">1+A973</f>
        <v>972</v>
      </c>
      <c r="B974" s="17" t="n">
        <v>1009568231</v>
      </c>
      <c r="C974" s="17" t="s">
        <v>102</v>
      </c>
      <c r="D974" s="17" t="s">
        <v>108</v>
      </c>
      <c r="E974" s="17" t="s">
        <v>91</v>
      </c>
      <c r="F974" s="18" t="s">
        <v>92</v>
      </c>
      <c r="G974" s="19" t="n">
        <v>134106249334</v>
      </c>
      <c r="H974" s="17" t="s">
        <v>134</v>
      </c>
      <c r="I974" s="17" t="s">
        <v>44</v>
      </c>
      <c r="J974" s="17" t="s">
        <v>106</v>
      </c>
      <c r="K974" s="17" t="str">
        <f aca="false">VLOOKUP(J974,Sheet2!A:B,2,0)</f>
        <v>PRAKASH CHAVDA</v>
      </c>
      <c r="L974" s="17" t="n">
        <v>5</v>
      </c>
      <c r="M974" s="17" t="str">
        <f aca="false">VLOOKUP(L974,Sheet2!D:E,2,0)</f>
        <v>Main Processor CPU BGA</v>
      </c>
      <c r="N974" s="17" t="n">
        <v>24</v>
      </c>
      <c r="O974" s="17" t="str">
        <f aca="false">VLOOKUP(N974,Sheet2!G:H,2,0)</f>
        <v>STB Auto moving -Stand by mode</v>
      </c>
      <c r="P974" s="17" t="n">
        <v>12</v>
      </c>
      <c r="Q974" s="17" t="str">
        <f aca="false">VLOOKUP(P974,Sheet2!J:K,2,0)</f>
        <v>IR Declared due to Others ( IR Normal)TB</v>
      </c>
      <c r="R974" s="17" t="s">
        <v>35</v>
      </c>
      <c r="S974" s="17" t="str">
        <f aca="false">VLOOKUP(R974,Sheet2!N:O,2,0)</f>
        <v>IREPARABLE</v>
      </c>
      <c r="T974" s="18" t="str">
        <f aca="false">VLOOKUP(P974,Sheet2!Q:R,2,0)</f>
        <v>IR Normal - BER to IR</v>
      </c>
      <c r="U974" s="20" t="s">
        <v>135</v>
      </c>
      <c r="V974" s="17" t="n">
        <v>12</v>
      </c>
      <c r="W974" s="20" t="str">
        <f aca="false">VLOOKUP(V974,Sheet2!Q:R,2,0)</f>
        <v>IR Normal - BER to IR</v>
      </c>
      <c r="X974" s="17" t="str">
        <f aca="false">J974</f>
        <v>A018</v>
      </c>
      <c r="Y974" s="17" t="str">
        <f aca="false">VLOOKUP(X974,Sheet2!A:B,2,0)</f>
        <v>PRAKASH CHAVDA</v>
      </c>
      <c r="Z974" s="17" t="s">
        <v>136</v>
      </c>
      <c r="AA974" s="17" t="s">
        <v>477</v>
      </c>
      <c r="AB974" s="17" t="s">
        <v>41</v>
      </c>
      <c r="AC974" s="0" t="str">
        <f aca="false">LEFT(G974,2)</f>
        <v>13</v>
      </c>
      <c r="AD974" s="0"/>
      <c r="AE974" s="21" t="s">
        <v>42</v>
      </c>
    </row>
    <row r="975" customFormat="false" ht="15" hidden="false" customHeight="false" outlineLevel="0" collapsed="false">
      <c r="A975" s="13" t="n">
        <f aca="false">1+A974</f>
        <v>973</v>
      </c>
      <c r="B975" s="17" t="n">
        <v>1009672491</v>
      </c>
      <c r="C975" s="17" t="s">
        <v>436</v>
      </c>
      <c r="D975" s="17" t="s">
        <v>64</v>
      </c>
      <c r="E975" s="17" t="s">
        <v>64</v>
      </c>
      <c r="F975" s="18" t="s">
        <v>70</v>
      </c>
      <c r="G975" s="19" t="n">
        <v>134056106294</v>
      </c>
      <c r="H975" s="17" t="s">
        <v>134</v>
      </c>
      <c r="I975" s="17" t="s">
        <v>44</v>
      </c>
      <c r="J975" s="17" t="s">
        <v>106</v>
      </c>
      <c r="K975" s="17" t="str">
        <f aca="false">VLOOKUP(J975,Sheet2!A:B,2,0)</f>
        <v>PRAKASH CHAVDA</v>
      </c>
      <c r="L975" s="17" t="n">
        <v>5</v>
      </c>
      <c r="M975" s="17" t="str">
        <f aca="false">VLOOKUP(L975,Sheet2!D:E,2,0)</f>
        <v>Main Processor CPU BGA</v>
      </c>
      <c r="N975" s="17" t="n">
        <v>6</v>
      </c>
      <c r="O975" s="17" t="str">
        <f aca="false">VLOOKUP(N975,Sheet2!G:H,2,0)</f>
        <v>No Signal</v>
      </c>
      <c r="P975" s="17" t="n">
        <v>12</v>
      </c>
      <c r="Q975" s="17" t="str">
        <f aca="false">VLOOKUP(P975,Sheet2!J:K,2,0)</f>
        <v>IR Declared due to Others ( IR Normal)TB</v>
      </c>
      <c r="R975" s="17" t="s">
        <v>35</v>
      </c>
      <c r="S975" s="17" t="str">
        <f aca="false">VLOOKUP(R975,Sheet2!N:O,2,0)</f>
        <v>IREPARABLE</v>
      </c>
      <c r="T975" s="18" t="str">
        <f aca="false">VLOOKUP(P975,Sheet2!Q:R,2,0)</f>
        <v>IR Normal - BER to IR</v>
      </c>
      <c r="U975" s="20" t="s">
        <v>135</v>
      </c>
      <c r="V975" s="17" t="n">
        <v>12</v>
      </c>
      <c r="W975" s="20" t="str">
        <f aca="false">VLOOKUP(V975,Sheet2!Q:R,2,0)</f>
        <v>IR Normal - BER to IR</v>
      </c>
      <c r="X975" s="17" t="str">
        <f aca="false">J975</f>
        <v>A018</v>
      </c>
      <c r="Y975" s="17" t="str">
        <f aca="false">VLOOKUP(X975,Sheet2!A:B,2,0)</f>
        <v>PRAKASH CHAVDA</v>
      </c>
      <c r="Z975" s="17" t="s">
        <v>136</v>
      </c>
      <c r="AA975" s="17" t="s">
        <v>477</v>
      </c>
      <c r="AB975" s="17" t="s">
        <v>41</v>
      </c>
      <c r="AC975" s="0" t="str">
        <f aca="false">LEFT(G975,2)</f>
        <v>13</v>
      </c>
      <c r="AD975" s="0"/>
      <c r="AE975" s="21" t="s">
        <v>42</v>
      </c>
    </row>
    <row r="976" customFormat="false" ht="15" hidden="false" customHeight="false" outlineLevel="0" collapsed="false">
      <c r="A976" s="13" t="n">
        <f aca="false">1+A975</f>
        <v>974</v>
      </c>
      <c r="B976" s="17" t="n">
        <v>1009092212</v>
      </c>
      <c r="C976" s="17" t="s">
        <v>414</v>
      </c>
      <c r="D976" s="17" t="s">
        <v>64</v>
      </c>
      <c r="E976" s="17" t="s">
        <v>64</v>
      </c>
      <c r="F976" s="18" t="s">
        <v>70</v>
      </c>
      <c r="G976" s="19" t="n">
        <v>134056373969</v>
      </c>
      <c r="H976" s="17" t="s">
        <v>134</v>
      </c>
      <c r="I976" s="17" t="s">
        <v>44</v>
      </c>
      <c r="J976" s="17" t="s">
        <v>106</v>
      </c>
      <c r="K976" s="17" t="str">
        <f aca="false">VLOOKUP(J976,Sheet2!A:B,2,0)</f>
        <v>PRAKASH CHAVDA</v>
      </c>
      <c r="L976" s="17" t="n">
        <v>5</v>
      </c>
      <c r="M976" s="17" t="str">
        <f aca="false">VLOOKUP(L976,Sheet2!D:E,2,0)</f>
        <v>Main Processor CPU BGA</v>
      </c>
      <c r="N976" s="17" t="n">
        <v>24</v>
      </c>
      <c r="O976" s="17" t="str">
        <f aca="false">VLOOKUP(N976,Sheet2!G:H,2,0)</f>
        <v>STB Auto moving -Stand by mode</v>
      </c>
      <c r="P976" s="17" t="n">
        <v>12</v>
      </c>
      <c r="Q976" s="17" t="str">
        <f aca="false">VLOOKUP(P976,Sheet2!J:K,2,0)</f>
        <v>IR Declared due to Others ( IR Normal)TB</v>
      </c>
      <c r="R976" s="17" t="s">
        <v>35</v>
      </c>
      <c r="S976" s="17" t="str">
        <f aca="false">VLOOKUP(R976,Sheet2!N:O,2,0)</f>
        <v>IREPARABLE</v>
      </c>
      <c r="T976" s="18" t="str">
        <f aca="false">VLOOKUP(P976,Sheet2!Q:R,2,0)</f>
        <v>IR Normal - BER to IR</v>
      </c>
      <c r="U976" s="20" t="s">
        <v>135</v>
      </c>
      <c r="V976" s="17" t="n">
        <v>12</v>
      </c>
      <c r="W976" s="20" t="str">
        <f aca="false">VLOOKUP(V976,Sheet2!Q:R,2,0)</f>
        <v>IR Normal - BER to IR</v>
      </c>
      <c r="X976" s="17" t="str">
        <f aca="false">J976</f>
        <v>A018</v>
      </c>
      <c r="Y976" s="17" t="str">
        <f aca="false">VLOOKUP(X976,Sheet2!A:B,2,0)</f>
        <v>PRAKASH CHAVDA</v>
      </c>
      <c r="Z976" s="17" t="s">
        <v>136</v>
      </c>
      <c r="AA976" s="17" t="s">
        <v>477</v>
      </c>
      <c r="AB976" s="17" t="s">
        <v>41</v>
      </c>
      <c r="AC976" s="0" t="str">
        <f aca="false">LEFT(G976,2)</f>
        <v>13</v>
      </c>
      <c r="AD976" s="0"/>
      <c r="AE976" s="21" t="s">
        <v>42</v>
      </c>
    </row>
    <row r="977" customFormat="false" ht="15" hidden="false" customHeight="false" outlineLevel="0" collapsed="false">
      <c r="A977" s="13" t="n">
        <f aca="false">1+A976</f>
        <v>975</v>
      </c>
      <c r="B977" s="17" t="n">
        <v>1009092263</v>
      </c>
      <c r="C977" s="17" t="s">
        <v>414</v>
      </c>
      <c r="D977" s="17" t="s">
        <v>64</v>
      </c>
      <c r="E977" s="17" t="s">
        <v>64</v>
      </c>
      <c r="F977" s="18" t="s">
        <v>70</v>
      </c>
      <c r="G977" s="19" t="n">
        <v>134056146258</v>
      </c>
      <c r="H977" s="17" t="s">
        <v>134</v>
      </c>
      <c r="I977" s="17" t="s">
        <v>44</v>
      </c>
      <c r="J977" s="17" t="s">
        <v>106</v>
      </c>
      <c r="K977" s="17" t="str">
        <f aca="false">VLOOKUP(J977,Sheet2!A:B,2,0)</f>
        <v>PRAKASH CHAVDA</v>
      </c>
      <c r="L977" s="17" t="n">
        <v>5</v>
      </c>
      <c r="M977" s="17" t="str">
        <f aca="false">VLOOKUP(L977,Sheet2!D:E,2,0)</f>
        <v>Main Processor CPU BGA</v>
      </c>
      <c r="N977" s="17" t="n">
        <v>24</v>
      </c>
      <c r="O977" s="17" t="str">
        <f aca="false">VLOOKUP(N977,Sheet2!G:H,2,0)</f>
        <v>STB Auto moving -Stand by mode</v>
      </c>
      <c r="P977" s="17" t="n">
        <v>12</v>
      </c>
      <c r="Q977" s="17" t="str">
        <f aca="false">VLOOKUP(P977,Sheet2!J:K,2,0)</f>
        <v>IR Declared due to Others ( IR Normal)TB</v>
      </c>
      <c r="R977" s="17" t="s">
        <v>35</v>
      </c>
      <c r="S977" s="17" t="str">
        <f aca="false">VLOOKUP(R977,Sheet2!N:O,2,0)</f>
        <v>IREPARABLE</v>
      </c>
      <c r="T977" s="18" t="str">
        <f aca="false">VLOOKUP(P977,Sheet2!Q:R,2,0)</f>
        <v>IR Normal - BER to IR</v>
      </c>
      <c r="U977" s="20" t="s">
        <v>135</v>
      </c>
      <c r="V977" s="17" t="n">
        <v>12</v>
      </c>
      <c r="W977" s="20" t="str">
        <f aca="false">VLOOKUP(V977,Sheet2!Q:R,2,0)</f>
        <v>IR Normal - BER to IR</v>
      </c>
      <c r="X977" s="17" t="str">
        <f aca="false">J977</f>
        <v>A018</v>
      </c>
      <c r="Y977" s="17" t="str">
        <f aca="false">VLOOKUP(X977,Sheet2!A:B,2,0)</f>
        <v>PRAKASH CHAVDA</v>
      </c>
      <c r="Z977" s="17" t="s">
        <v>136</v>
      </c>
      <c r="AA977" s="17" t="s">
        <v>477</v>
      </c>
      <c r="AB977" s="17" t="s">
        <v>41</v>
      </c>
      <c r="AC977" s="0" t="str">
        <f aca="false">LEFT(G977,2)</f>
        <v>13</v>
      </c>
      <c r="AE977" s="21" t="s">
        <v>42</v>
      </c>
    </row>
    <row r="978" customFormat="false" ht="15" hidden="false" customHeight="false" outlineLevel="0" collapsed="false">
      <c r="A978" s="13" t="n">
        <f aca="false">1+A977</f>
        <v>976</v>
      </c>
      <c r="B978" s="17" t="n">
        <v>1009673959</v>
      </c>
      <c r="C978" s="17" t="s">
        <v>436</v>
      </c>
      <c r="D978" s="17" t="s">
        <v>190</v>
      </c>
      <c r="E978" s="17" t="s">
        <v>33</v>
      </c>
      <c r="F978" s="18" t="s">
        <v>34</v>
      </c>
      <c r="G978" s="19" t="n">
        <v>134268104830</v>
      </c>
      <c r="H978" s="17" t="s">
        <v>134</v>
      </c>
      <c r="I978" s="17" t="s">
        <v>44</v>
      </c>
      <c r="J978" s="17" t="s">
        <v>106</v>
      </c>
      <c r="K978" s="17" t="str">
        <f aca="false">VLOOKUP(J978,Sheet2!A:B,2,0)</f>
        <v>PRAKASH CHAVDA</v>
      </c>
      <c r="L978" s="17" t="n">
        <v>5</v>
      </c>
      <c r="M978" s="17" t="str">
        <f aca="false">VLOOKUP(L978,Sheet2!D:E,2,0)</f>
        <v>Main Processor CPU BGA</v>
      </c>
      <c r="N978" s="17" t="n">
        <v>1</v>
      </c>
      <c r="O978" s="17" t="str">
        <f aca="false">VLOOKUP(N978,Sheet2!G:H,2,0)</f>
        <v>Dead</v>
      </c>
      <c r="P978" s="17" t="n">
        <v>12</v>
      </c>
      <c r="Q978" s="17" t="str">
        <f aca="false">VLOOKUP(P978,Sheet2!J:K,2,0)</f>
        <v>IR Declared due to Others ( IR Normal)TB</v>
      </c>
      <c r="R978" s="17" t="s">
        <v>35</v>
      </c>
      <c r="S978" s="17" t="str">
        <f aca="false">VLOOKUP(R978,Sheet2!N:O,2,0)</f>
        <v>IREPARABLE</v>
      </c>
      <c r="T978" s="18" t="str">
        <f aca="false">VLOOKUP(P978,Sheet2!Q:R,2,0)</f>
        <v>IR Normal - BER to IR</v>
      </c>
      <c r="U978" s="20" t="s">
        <v>135</v>
      </c>
      <c r="V978" s="17" t="n">
        <v>12</v>
      </c>
      <c r="W978" s="20" t="str">
        <f aca="false">VLOOKUP(V978,Sheet2!Q:R,2,0)</f>
        <v>IR Normal - BER to IR</v>
      </c>
      <c r="X978" s="17" t="str">
        <f aca="false">J978</f>
        <v>A018</v>
      </c>
      <c r="Y978" s="17" t="str">
        <f aca="false">VLOOKUP(X978,Sheet2!A:B,2,0)</f>
        <v>PRAKASH CHAVDA</v>
      </c>
      <c r="Z978" s="17" t="s">
        <v>136</v>
      </c>
      <c r="AA978" s="17" t="s">
        <v>477</v>
      </c>
      <c r="AB978" s="17" t="s">
        <v>41</v>
      </c>
      <c r="AC978" s="0" t="str">
        <f aca="false">LEFT(G978,2)</f>
        <v>13</v>
      </c>
      <c r="AE978" s="21" t="s">
        <v>42</v>
      </c>
    </row>
    <row r="979" customFormat="false" ht="15" hidden="false" customHeight="false" outlineLevel="0" collapsed="false">
      <c r="A979" s="13" t="n">
        <f aca="false">1+A978</f>
        <v>977</v>
      </c>
      <c r="B979" s="17" t="n">
        <v>1008489049</v>
      </c>
      <c r="C979" s="17" t="s">
        <v>483</v>
      </c>
      <c r="D979" s="17" t="s">
        <v>64</v>
      </c>
      <c r="E979" s="17" t="s">
        <v>64</v>
      </c>
      <c r="F979" s="18" t="s">
        <v>70</v>
      </c>
      <c r="G979" s="19" t="n">
        <v>134127231386</v>
      </c>
      <c r="H979" s="17" t="s">
        <v>134</v>
      </c>
      <c r="I979" s="17" t="s">
        <v>44</v>
      </c>
      <c r="J979" s="17" t="s">
        <v>106</v>
      </c>
      <c r="K979" s="17" t="str">
        <f aca="false">VLOOKUP(J979,Sheet2!A:B,2,0)</f>
        <v>PRAKASH CHAVDA</v>
      </c>
      <c r="L979" s="17" t="n">
        <v>5</v>
      </c>
      <c r="M979" s="17" t="str">
        <f aca="false">VLOOKUP(L979,Sheet2!D:E,2,0)</f>
        <v>Main Processor CPU BGA</v>
      </c>
      <c r="N979" s="17" t="n">
        <v>24</v>
      </c>
      <c r="O979" s="17" t="str">
        <f aca="false">VLOOKUP(N979,Sheet2!G:H,2,0)</f>
        <v>STB Auto moving -Stand by mode</v>
      </c>
      <c r="P979" s="17" t="n">
        <v>12</v>
      </c>
      <c r="Q979" s="17" t="str">
        <f aca="false">VLOOKUP(P979,Sheet2!J:K,2,0)</f>
        <v>IR Declared due to Others ( IR Normal)TB</v>
      </c>
      <c r="R979" s="17" t="s">
        <v>35</v>
      </c>
      <c r="S979" s="17" t="str">
        <f aca="false">VLOOKUP(R979,Sheet2!N:O,2,0)</f>
        <v>IREPARABLE</v>
      </c>
      <c r="T979" s="18" t="str">
        <f aca="false">VLOOKUP(P979,Sheet2!Q:R,2,0)</f>
        <v>IR Normal - BER to IR</v>
      </c>
      <c r="U979" s="20" t="s">
        <v>135</v>
      </c>
      <c r="V979" s="17" t="n">
        <v>12</v>
      </c>
      <c r="W979" s="20" t="str">
        <f aca="false">VLOOKUP(V979,Sheet2!Q:R,2,0)</f>
        <v>IR Normal - BER to IR</v>
      </c>
      <c r="X979" s="17" t="str">
        <f aca="false">J979</f>
        <v>A018</v>
      </c>
      <c r="Y979" s="17" t="str">
        <f aca="false">VLOOKUP(X979,Sheet2!A:B,2,0)</f>
        <v>PRAKASH CHAVDA</v>
      </c>
      <c r="Z979" s="17" t="s">
        <v>136</v>
      </c>
      <c r="AA979" s="17" t="s">
        <v>477</v>
      </c>
      <c r="AB979" s="17" t="s">
        <v>41</v>
      </c>
      <c r="AC979" s="0" t="str">
        <f aca="false">LEFT(G979,2)</f>
        <v>13</v>
      </c>
      <c r="AE979" s="21" t="s">
        <v>42</v>
      </c>
    </row>
    <row r="980" customFormat="false" ht="15" hidden="false" customHeight="false" outlineLevel="0" collapsed="false">
      <c r="A980" s="13" t="n">
        <f aca="false">1+A979</f>
        <v>978</v>
      </c>
      <c r="B980" s="17" t="n">
        <v>1008477138</v>
      </c>
      <c r="C980" s="17" t="s">
        <v>464</v>
      </c>
      <c r="D980" s="17" t="s">
        <v>158</v>
      </c>
      <c r="E980" s="17" t="s">
        <v>47</v>
      </c>
      <c r="F980" s="18" t="s">
        <v>34</v>
      </c>
      <c r="G980" s="19" t="n">
        <v>134119613732</v>
      </c>
      <c r="H980" s="17" t="s">
        <v>134</v>
      </c>
      <c r="I980" s="17" t="s">
        <v>44</v>
      </c>
      <c r="J980" s="17" t="s">
        <v>106</v>
      </c>
      <c r="K980" s="17" t="str">
        <f aca="false">VLOOKUP(J980,Sheet2!A:B,2,0)</f>
        <v>PRAKASH CHAVDA</v>
      </c>
      <c r="L980" s="17" t="n">
        <v>5</v>
      </c>
      <c r="M980" s="17" t="str">
        <f aca="false">VLOOKUP(L980,Sheet2!D:E,2,0)</f>
        <v>Main Processor CPU BGA</v>
      </c>
      <c r="N980" s="17" t="n">
        <v>1</v>
      </c>
      <c r="O980" s="17" t="str">
        <f aca="false">VLOOKUP(N980,Sheet2!G:H,2,0)</f>
        <v>Dead</v>
      </c>
      <c r="P980" s="17" t="n">
        <v>12</v>
      </c>
      <c r="Q980" s="17" t="str">
        <f aca="false">VLOOKUP(P980,Sheet2!J:K,2,0)</f>
        <v>IR Declared due to Others ( IR Normal)TB</v>
      </c>
      <c r="R980" s="17" t="s">
        <v>35</v>
      </c>
      <c r="S980" s="17" t="str">
        <f aca="false">VLOOKUP(R980,Sheet2!N:O,2,0)</f>
        <v>IREPARABLE</v>
      </c>
      <c r="T980" s="18" t="str">
        <f aca="false">VLOOKUP(P980,Sheet2!Q:R,2,0)</f>
        <v>IR Normal - BER to IR</v>
      </c>
      <c r="U980" s="20" t="s">
        <v>135</v>
      </c>
      <c r="V980" s="17" t="n">
        <v>12</v>
      </c>
      <c r="W980" s="20" t="str">
        <f aca="false">VLOOKUP(V980,Sheet2!Q:R,2,0)</f>
        <v>IR Normal - BER to IR</v>
      </c>
      <c r="X980" s="17" t="str">
        <f aca="false">J980</f>
        <v>A018</v>
      </c>
      <c r="Y980" s="17" t="str">
        <f aca="false">VLOOKUP(X980,Sheet2!A:B,2,0)</f>
        <v>PRAKASH CHAVDA</v>
      </c>
      <c r="Z980" s="17" t="s">
        <v>136</v>
      </c>
      <c r="AA980" s="17" t="s">
        <v>477</v>
      </c>
      <c r="AB980" s="17" t="s">
        <v>41</v>
      </c>
      <c r="AC980" s="0" t="str">
        <f aca="false">LEFT(G980,2)</f>
        <v>13</v>
      </c>
      <c r="AE980" s="21" t="s">
        <v>42</v>
      </c>
    </row>
    <row r="981" customFormat="false" ht="15" hidden="false" customHeight="false" outlineLevel="0" collapsed="false">
      <c r="A981" s="13" t="n">
        <f aca="false">1+A980</f>
        <v>979</v>
      </c>
      <c r="B981" s="17" t="n">
        <v>1009606685</v>
      </c>
      <c r="C981" s="17" t="s">
        <v>181</v>
      </c>
      <c r="D981" s="17" t="s">
        <v>64</v>
      </c>
      <c r="E981" s="17" t="s">
        <v>91</v>
      </c>
      <c r="F981" s="18" t="s">
        <v>92</v>
      </c>
      <c r="G981" s="19" t="n">
        <v>134268149876</v>
      </c>
      <c r="H981" s="17" t="s">
        <v>134</v>
      </c>
      <c r="I981" s="17" t="s">
        <v>44</v>
      </c>
      <c r="J981" s="17" t="s">
        <v>106</v>
      </c>
      <c r="K981" s="17" t="str">
        <f aca="false">VLOOKUP(J981,Sheet2!A:B,2,0)</f>
        <v>PRAKASH CHAVDA</v>
      </c>
      <c r="L981" s="17" t="n">
        <v>5</v>
      </c>
      <c r="M981" s="17" t="str">
        <f aca="false">VLOOKUP(L981,Sheet2!D:E,2,0)</f>
        <v>Main Processor CPU BGA</v>
      </c>
      <c r="N981" s="17" t="n">
        <v>24</v>
      </c>
      <c r="O981" s="17" t="str">
        <f aca="false">VLOOKUP(N981,Sheet2!G:H,2,0)</f>
        <v>STB Auto moving -Stand by mode</v>
      </c>
      <c r="P981" s="17" t="n">
        <v>12</v>
      </c>
      <c r="Q981" s="17" t="str">
        <f aca="false">VLOOKUP(P981,Sheet2!J:K,2,0)</f>
        <v>IR Declared due to Others ( IR Normal)TB</v>
      </c>
      <c r="R981" s="17" t="s">
        <v>35</v>
      </c>
      <c r="S981" s="17" t="str">
        <f aca="false">VLOOKUP(R981,Sheet2!N:O,2,0)</f>
        <v>IREPARABLE</v>
      </c>
      <c r="T981" s="18" t="str">
        <f aca="false">VLOOKUP(P981,Sheet2!Q:R,2,0)</f>
        <v>IR Normal - BER to IR</v>
      </c>
      <c r="U981" s="20" t="s">
        <v>135</v>
      </c>
      <c r="V981" s="17" t="n">
        <v>12</v>
      </c>
      <c r="W981" s="20" t="str">
        <f aca="false">VLOOKUP(V981,Sheet2!Q:R,2,0)</f>
        <v>IR Normal - BER to IR</v>
      </c>
      <c r="X981" s="17" t="str">
        <f aca="false">J981</f>
        <v>A018</v>
      </c>
      <c r="Y981" s="17" t="str">
        <f aca="false">VLOOKUP(X981,Sheet2!A:B,2,0)</f>
        <v>PRAKASH CHAVDA</v>
      </c>
      <c r="Z981" s="17" t="s">
        <v>136</v>
      </c>
      <c r="AA981" s="17" t="s">
        <v>477</v>
      </c>
      <c r="AB981" s="17" t="s">
        <v>41</v>
      </c>
      <c r="AC981" s="0" t="str">
        <f aca="false">LEFT(G981,2)</f>
        <v>13</v>
      </c>
      <c r="AE981" s="21" t="s">
        <v>42</v>
      </c>
    </row>
    <row r="982" customFormat="false" ht="15" hidden="false" customHeight="false" outlineLevel="0" collapsed="false">
      <c r="A982" s="13" t="n">
        <f aca="false">1+A981</f>
        <v>980</v>
      </c>
      <c r="B982" s="17" t="n">
        <v>1008756120</v>
      </c>
      <c r="C982" s="17" t="s">
        <v>484</v>
      </c>
      <c r="D982" s="17" t="s">
        <v>64</v>
      </c>
      <c r="E982" s="17" t="s">
        <v>47</v>
      </c>
      <c r="F982" s="18" t="s">
        <v>34</v>
      </c>
      <c r="G982" s="19" t="n">
        <v>134283205182</v>
      </c>
      <c r="H982" s="17" t="s">
        <v>134</v>
      </c>
      <c r="I982" s="17" t="s">
        <v>44</v>
      </c>
      <c r="J982" s="17" t="s">
        <v>106</v>
      </c>
      <c r="K982" s="17" t="str">
        <f aca="false">VLOOKUP(J982,Sheet2!A:B,2,0)</f>
        <v>PRAKASH CHAVDA</v>
      </c>
      <c r="L982" s="17" t="n">
        <v>5</v>
      </c>
      <c r="M982" s="17" t="str">
        <f aca="false">VLOOKUP(L982,Sheet2!D:E,2,0)</f>
        <v>Main Processor CPU BGA</v>
      </c>
      <c r="N982" s="17" t="n">
        <v>1</v>
      </c>
      <c r="O982" s="17" t="str">
        <f aca="false">VLOOKUP(N982,Sheet2!G:H,2,0)</f>
        <v>Dead</v>
      </c>
      <c r="P982" s="17" t="n">
        <v>12</v>
      </c>
      <c r="Q982" s="17" t="str">
        <f aca="false">VLOOKUP(P982,Sheet2!J:K,2,0)</f>
        <v>IR Declared due to Others ( IR Normal)TB</v>
      </c>
      <c r="R982" s="17" t="s">
        <v>35</v>
      </c>
      <c r="S982" s="17" t="str">
        <f aca="false">VLOOKUP(R982,Sheet2!N:O,2,0)</f>
        <v>IREPARABLE</v>
      </c>
      <c r="T982" s="18" t="str">
        <f aca="false">VLOOKUP(P982,Sheet2!Q:R,2,0)</f>
        <v>IR Normal - BER to IR</v>
      </c>
      <c r="U982" s="20" t="s">
        <v>135</v>
      </c>
      <c r="V982" s="17" t="n">
        <v>12</v>
      </c>
      <c r="W982" s="20" t="str">
        <f aca="false">VLOOKUP(V982,Sheet2!Q:R,2,0)</f>
        <v>IR Normal - BER to IR</v>
      </c>
      <c r="X982" s="17" t="str">
        <f aca="false">J982</f>
        <v>A018</v>
      </c>
      <c r="Y982" s="17" t="str">
        <f aca="false">VLOOKUP(X982,Sheet2!A:B,2,0)</f>
        <v>PRAKASH CHAVDA</v>
      </c>
      <c r="Z982" s="17" t="s">
        <v>136</v>
      </c>
      <c r="AA982" s="17" t="s">
        <v>477</v>
      </c>
      <c r="AB982" s="17" t="s">
        <v>41</v>
      </c>
      <c r="AC982" s="0" t="str">
        <f aca="false">LEFT(G982,2)</f>
        <v>13</v>
      </c>
      <c r="AE982" s="21" t="s">
        <v>42</v>
      </c>
    </row>
    <row r="983" customFormat="false" ht="15" hidden="false" customHeight="false" outlineLevel="0" collapsed="false">
      <c r="A983" s="13" t="n">
        <f aca="false">1+A982</f>
        <v>981</v>
      </c>
      <c r="B983" s="17" t="n">
        <v>1007978685</v>
      </c>
      <c r="C983" s="17" t="s">
        <v>485</v>
      </c>
      <c r="D983" s="17" t="s">
        <v>64</v>
      </c>
      <c r="E983" s="17" t="s">
        <v>47</v>
      </c>
      <c r="F983" s="18" t="s">
        <v>34</v>
      </c>
      <c r="G983" s="19" t="n">
        <v>133338142671</v>
      </c>
      <c r="H983" s="17" t="s">
        <v>134</v>
      </c>
      <c r="I983" s="17" t="s">
        <v>44</v>
      </c>
      <c r="J983" s="17" t="s">
        <v>106</v>
      </c>
      <c r="K983" s="17" t="str">
        <f aca="false">VLOOKUP(J983,Sheet2!A:B,2,0)</f>
        <v>PRAKASH CHAVDA</v>
      </c>
      <c r="L983" s="17" t="n">
        <v>5</v>
      </c>
      <c r="M983" s="17" t="str">
        <f aca="false">VLOOKUP(L983,Sheet2!D:E,2,0)</f>
        <v>Main Processor CPU BGA</v>
      </c>
      <c r="N983" s="17" t="n">
        <v>1</v>
      </c>
      <c r="O983" s="17" t="str">
        <f aca="false">VLOOKUP(N983,Sheet2!G:H,2,0)</f>
        <v>Dead</v>
      </c>
      <c r="P983" s="17" t="n">
        <v>12</v>
      </c>
      <c r="Q983" s="17" t="str">
        <f aca="false">VLOOKUP(P983,Sheet2!J:K,2,0)</f>
        <v>IR Declared due to Others ( IR Normal)TB</v>
      </c>
      <c r="R983" s="17" t="s">
        <v>35</v>
      </c>
      <c r="S983" s="17" t="str">
        <f aca="false">VLOOKUP(R983,Sheet2!N:O,2,0)</f>
        <v>IREPARABLE</v>
      </c>
      <c r="T983" s="18" t="str">
        <f aca="false">VLOOKUP(P983,Sheet2!Q:R,2,0)</f>
        <v>IR Normal - BER to IR</v>
      </c>
      <c r="U983" s="20" t="s">
        <v>135</v>
      </c>
      <c r="V983" s="17" t="n">
        <v>12</v>
      </c>
      <c r="W983" s="20" t="str">
        <f aca="false">VLOOKUP(V983,Sheet2!Q:R,2,0)</f>
        <v>IR Normal - BER to IR</v>
      </c>
      <c r="X983" s="17" t="str">
        <f aca="false">J983</f>
        <v>A018</v>
      </c>
      <c r="Y983" s="17" t="str">
        <f aca="false">VLOOKUP(X983,Sheet2!A:B,2,0)</f>
        <v>PRAKASH CHAVDA</v>
      </c>
      <c r="Z983" s="17" t="s">
        <v>136</v>
      </c>
      <c r="AA983" s="17" t="s">
        <v>477</v>
      </c>
      <c r="AB983" s="17" t="s">
        <v>41</v>
      </c>
      <c r="AC983" s="0" t="str">
        <f aca="false">LEFT(G983,2)</f>
        <v>13</v>
      </c>
      <c r="AE983" s="21" t="s">
        <v>42</v>
      </c>
    </row>
    <row r="984" customFormat="false" ht="15" hidden="false" customHeight="false" outlineLevel="0" collapsed="false">
      <c r="A984" s="13" t="n">
        <f aca="false">1+A983</f>
        <v>982</v>
      </c>
      <c r="B984" s="17" t="n">
        <v>1009092100</v>
      </c>
      <c r="C984" s="17" t="s">
        <v>414</v>
      </c>
      <c r="D984" s="17" t="s">
        <v>64</v>
      </c>
      <c r="E984" s="17" t="s">
        <v>33</v>
      </c>
      <c r="F984" s="18" t="s">
        <v>34</v>
      </c>
      <c r="G984" s="19" t="n">
        <v>134024502038</v>
      </c>
      <c r="H984" s="17" t="s">
        <v>134</v>
      </c>
      <c r="I984" s="17" t="s">
        <v>44</v>
      </c>
      <c r="J984" s="17" t="s">
        <v>106</v>
      </c>
      <c r="K984" s="17" t="str">
        <f aca="false">VLOOKUP(J984,Sheet2!A:B,2,0)</f>
        <v>PRAKASH CHAVDA</v>
      </c>
      <c r="L984" s="17" t="n">
        <v>5</v>
      </c>
      <c r="M984" s="17" t="str">
        <f aca="false">VLOOKUP(L984,Sheet2!D:E,2,0)</f>
        <v>Main Processor CPU BGA</v>
      </c>
      <c r="N984" s="17" t="n">
        <v>24</v>
      </c>
      <c r="O984" s="17" t="str">
        <f aca="false">VLOOKUP(N984,Sheet2!G:H,2,0)</f>
        <v>STB Auto moving -Stand by mode</v>
      </c>
      <c r="P984" s="17" t="n">
        <v>12</v>
      </c>
      <c r="Q984" s="17" t="str">
        <f aca="false">VLOOKUP(P984,Sheet2!J:K,2,0)</f>
        <v>IR Declared due to Others ( IR Normal)TB</v>
      </c>
      <c r="R984" s="17" t="s">
        <v>35</v>
      </c>
      <c r="S984" s="17" t="str">
        <f aca="false">VLOOKUP(R984,Sheet2!N:O,2,0)</f>
        <v>IREPARABLE</v>
      </c>
      <c r="T984" s="18" t="str">
        <f aca="false">VLOOKUP(P984,Sheet2!Q:R,2,0)</f>
        <v>IR Normal - BER to IR</v>
      </c>
      <c r="U984" s="20" t="s">
        <v>135</v>
      </c>
      <c r="V984" s="17" t="n">
        <v>12</v>
      </c>
      <c r="W984" s="20" t="str">
        <f aca="false">VLOOKUP(V984,Sheet2!Q:R,2,0)</f>
        <v>IR Normal - BER to IR</v>
      </c>
      <c r="X984" s="17" t="str">
        <f aca="false">J984</f>
        <v>A018</v>
      </c>
      <c r="Y984" s="17" t="str">
        <f aca="false">VLOOKUP(X984,Sheet2!A:B,2,0)</f>
        <v>PRAKASH CHAVDA</v>
      </c>
      <c r="Z984" s="17" t="s">
        <v>136</v>
      </c>
      <c r="AA984" s="17" t="s">
        <v>477</v>
      </c>
      <c r="AB984" s="17" t="s">
        <v>41</v>
      </c>
      <c r="AC984" s="0" t="str">
        <f aca="false">LEFT(G984,2)</f>
        <v>13</v>
      </c>
      <c r="AE984" s="21" t="s">
        <v>42</v>
      </c>
    </row>
    <row r="985" customFormat="false" ht="15" hidden="false" customHeight="false" outlineLevel="0" collapsed="false">
      <c r="A985" s="13" t="n">
        <f aca="false">1+A984</f>
        <v>983</v>
      </c>
      <c r="B985" s="17" t="n">
        <v>1009092272</v>
      </c>
      <c r="C985" s="17" t="s">
        <v>414</v>
      </c>
      <c r="D985" s="17" t="s">
        <v>64</v>
      </c>
      <c r="E985" s="17" t="s">
        <v>64</v>
      </c>
      <c r="F985" s="18" t="s">
        <v>70</v>
      </c>
      <c r="G985" s="19" t="n">
        <v>134085018114</v>
      </c>
      <c r="H985" s="17" t="s">
        <v>134</v>
      </c>
      <c r="I985" s="17" t="s">
        <v>44</v>
      </c>
      <c r="J985" s="17" t="s">
        <v>106</v>
      </c>
      <c r="K985" s="17" t="str">
        <f aca="false">VLOOKUP(J985,Sheet2!A:B,2,0)</f>
        <v>PRAKASH CHAVDA</v>
      </c>
      <c r="L985" s="17" t="n">
        <v>5</v>
      </c>
      <c r="M985" s="17" t="str">
        <f aca="false">VLOOKUP(L985,Sheet2!D:E,2,0)</f>
        <v>Main Processor CPU BGA</v>
      </c>
      <c r="N985" s="17" t="n">
        <v>24</v>
      </c>
      <c r="O985" s="17" t="str">
        <f aca="false">VLOOKUP(N985,Sheet2!G:H,2,0)</f>
        <v>STB Auto moving -Stand by mode</v>
      </c>
      <c r="P985" s="17" t="n">
        <v>12</v>
      </c>
      <c r="Q985" s="17" t="str">
        <f aca="false">VLOOKUP(P985,Sheet2!J:K,2,0)</f>
        <v>IR Declared due to Others ( IR Normal)TB</v>
      </c>
      <c r="R985" s="17" t="s">
        <v>35</v>
      </c>
      <c r="S985" s="17" t="str">
        <f aca="false">VLOOKUP(R985,Sheet2!N:O,2,0)</f>
        <v>IREPARABLE</v>
      </c>
      <c r="T985" s="18" t="str">
        <f aca="false">VLOOKUP(P985,Sheet2!Q:R,2,0)</f>
        <v>IR Normal - BER to IR</v>
      </c>
      <c r="U985" s="20" t="s">
        <v>135</v>
      </c>
      <c r="V985" s="17" t="n">
        <v>12</v>
      </c>
      <c r="W985" s="20" t="str">
        <f aca="false">VLOOKUP(V985,Sheet2!Q:R,2,0)</f>
        <v>IR Normal - BER to IR</v>
      </c>
      <c r="X985" s="17" t="str">
        <f aca="false">J985</f>
        <v>A018</v>
      </c>
      <c r="Y985" s="17" t="str">
        <f aca="false">VLOOKUP(X985,Sheet2!A:B,2,0)</f>
        <v>PRAKASH CHAVDA</v>
      </c>
      <c r="Z985" s="17" t="s">
        <v>136</v>
      </c>
      <c r="AA985" s="17" t="s">
        <v>477</v>
      </c>
      <c r="AB985" s="17" t="s">
        <v>41</v>
      </c>
      <c r="AC985" s="0" t="str">
        <f aca="false">LEFT(G985,2)</f>
        <v>13</v>
      </c>
      <c r="AE985" s="21" t="s">
        <v>42</v>
      </c>
    </row>
    <row r="986" customFormat="false" ht="15" hidden="false" customHeight="false" outlineLevel="0" collapsed="false">
      <c r="A986" s="13" t="n">
        <f aca="false">1+A985</f>
        <v>984</v>
      </c>
      <c r="B986" s="17" t="n">
        <v>1009673934</v>
      </c>
      <c r="C986" s="17" t="s">
        <v>436</v>
      </c>
      <c r="D986" s="17" t="s">
        <v>64</v>
      </c>
      <c r="E986" s="17" t="s">
        <v>64</v>
      </c>
      <c r="F986" s="18" t="s">
        <v>70</v>
      </c>
      <c r="G986" s="19" t="n">
        <v>134106478172</v>
      </c>
      <c r="H986" s="17" t="s">
        <v>134</v>
      </c>
      <c r="I986" s="17" t="s">
        <v>44</v>
      </c>
      <c r="J986" s="17" t="s">
        <v>106</v>
      </c>
      <c r="K986" s="17" t="str">
        <f aca="false">VLOOKUP(J986,Sheet2!A:B,2,0)</f>
        <v>PRAKASH CHAVDA</v>
      </c>
      <c r="L986" s="17" t="n">
        <v>5</v>
      </c>
      <c r="M986" s="17" t="str">
        <f aca="false">VLOOKUP(L986,Sheet2!D:E,2,0)</f>
        <v>Main Processor CPU BGA</v>
      </c>
      <c r="N986" s="17" t="n">
        <v>1</v>
      </c>
      <c r="O986" s="17" t="str">
        <f aca="false">VLOOKUP(N986,Sheet2!G:H,2,0)</f>
        <v>Dead</v>
      </c>
      <c r="P986" s="17" t="n">
        <v>12</v>
      </c>
      <c r="Q986" s="17" t="str">
        <f aca="false">VLOOKUP(P986,Sheet2!J:K,2,0)</f>
        <v>IR Declared due to Others ( IR Normal)TB</v>
      </c>
      <c r="R986" s="17" t="s">
        <v>35</v>
      </c>
      <c r="S986" s="17" t="str">
        <f aca="false">VLOOKUP(R986,Sheet2!N:O,2,0)</f>
        <v>IREPARABLE</v>
      </c>
      <c r="T986" s="18" t="str">
        <f aca="false">VLOOKUP(P986,Sheet2!Q:R,2,0)</f>
        <v>IR Normal - BER to IR</v>
      </c>
      <c r="U986" s="20" t="s">
        <v>135</v>
      </c>
      <c r="V986" s="17" t="n">
        <v>12</v>
      </c>
      <c r="W986" s="20" t="str">
        <f aca="false">VLOOKUP(V986,Sheet2!Q:R,2,0)</f>
        <v>IR Normal - BER to IR</v>
      </c>
      <c r="X986" s="17" t="str">
        <f aca="false">J986</f>
        <v>A018</v>
      </c>
      <c r="Y986" s="17" t="str">
        <f aca="false">VLOOKUP(X986,Sheet2!A:B,2,0)</f>
        <v>PRAKASH CHAVDA</v>
      </c>
      <c r="Z986" s="17" t="s">
        <v>136</v>
      </c>
      <c r="AA986" s="17" t="s">
        <v>477</v>
      </c>
      <c r="AB986" s="17" t="s">
        <v>41</v>
      </c>
      <c r="AC986" s="0" t="str">
        <f aca="false">LEFT(G986,2)</f>
        <v>13</v>
      </c>
      <c r="AE986" s="21" t="s">
        <v>42</v>
      </c>
    </row>
    <row r="987" customFormat="false" ht="15" hidden="false" customHeight="false" outlineLevel="0" collapsed="false">
      <c r="A987" s="13" t="n">
        <f aca="false">1+A986</f>
        <v>985</v>
      </c>
      <c r="B987" s="17" t="n">
        <v>1009092090</v>
      </c>
      <c r="C987" s="17" t="s">
        <v>414</v>
      </c>
      <c r="D987" s="17" t="s">
        <v>486</v>
      </c>
      <c r="E987" s="17" t="s">
        <v>487</v>
      </c>
      <c r="F987" s="18" t="s">
        <v>34</v>
      </c>
      <c r="G987" s="19" t="n">
        <v>134056092429</v>
      </c>
      <c r="H987" s="17" t="s">
        <v>134</v>
      </c>
      <c r="I987" s="17" t="s">
        <v>44</v>
      </c>
      <c r="J987" s="17" t="s">
        <v>106</v>
      </c>
      <c r="K987" s="17" t="str">
        <f aca="false">VLOOKUP(J987,Sheet2!A:B,2,0)</f>
        <v>PRAKASH CHAVDA</v>
      </c>
      <c r="L987" s="17" t="n">
        <v>5</v>
      </c>
      <c r="M987" s="17" t="str">
        <f aca="false">VLOOKUP(L987,Sheet2!D:E,2,0)</f>
        <v>Main Processor CPU BGA</v>
      </c>
      <c r="N987" s="17" t="n">
        <v>24</v>
      </c>
      <c r="O987" s="17" t="str">
        <f aca="false">VLOOKUP(N987,Sheet2!G:H,2,0)</f>
        <v>STB Auto moving -Stand by mode</v>
      </c>
      <c r="P987" s="17" t="n">
        <v>12</v>
      </c>
      <c r="Q987" s="17" t="str">
        <f aca="false">VLOOKUP(P987,Sheet2!J:K,2,0)</f>
        <v>IR Declared due to Others ( IR Normal)TB</v>
      </c>
      <c r="R987" s="17" t="s">
        <v>35</v>
      </c>
      <c r="S987" s="17" t="str">
        <f aca="false">VLOOKUP(R987,Sheet2!N:O,2,0)</f>
        <v>IREPARABLE</v>
      </c>
      <c r="T987" s="18" t="str">
        <f aca="false">VLOOKUP(P987,Sheet2!Q:R,2,0)</f>
        <v>IR Normal - BER to IR</v>
      </c>
      <c r="U987" s="20" t="s">
        <v>135</v>
      </c>
      <c r="V987" s="17" t="n">
        <v>12</v>
      </c>
      <c r="W987" s="20" t="str">
        <f aca="false">VLOOKUP(V987,Sheet2!Q:R,2,0)</f>
        <v>IR Normal - BER to IR</v>
      </c>
      <c r="X987" s="17" t="str">
        <f aca="false">J987</f>
        <v>A018</v>
      </c>
      <c r="Y987" s="17" t="str">
        <f aca="false">VLOOKUP(X987,Sheet2!A:B,2,0)</f>
        <v>PRAKASH CHAVDA</v>
      </c>
      <c r="Z987" s="17" t="s">
        <v>136</v>
      </c>
      <c r="AA987" s="17" t="s">
        <v>477</v>
      </c>
      <c r="AB987" s="17" t="s">
        <v>41</v>
      </c>
      <c r="AC987" s="0" t="str">
        <f aca="false">LEFT(G987,2)</f>
        <v>13</v>
      </c>
      <c r="AE987" s="21" t="s">
        <v>42</v>
      </c>
    </row>
    <row r="988" customFormat="false" ht="15" hidden="false" customHeight="false" outlineLevel="0" collapsed="false">
      <c r="A988" s="13" t="n">
        <f aca="false">1+A987</f>
        <v>986</v>
      </c>
      <c r="B988" s="17" t="n">
        <v>1008750481</v>
      </c>
      <c r="C988" s="17" t="s">
        <v>484</v>
      </c>
      <c r="D988" s="17" t="s">
        <v>131</v>
      </c>
      <c r="E988" s="17" t="s">
        <v>33</v>
      </c>
      <c r="F988" s="18" t="s">
        <v>34</v>
      </c>
      <c r="G988" s="19" t="n">
        <v>134283286042</v>
      </c>
      <c r="H988" s="17" t="s">
        <v>134</v>
      </c>
      <c r="I988" s="17" t="s">
        <v>44</v>
      </c>
      <c r="J988" s="17" t="s">
        <v>106</v>
      </c>
      <c r="K988" s="17" t="str">
        <f aca="false">VLOOKUP(J988,Sheet2!A:B,2,0)</f>
        <v>PRAKASH CHAVDA</v>
      </c>
      <c r="L988" s="17" t="n">
        <v>5</v>
      </c>
      <c r="M988" s="17" t="str">
        <f aca="false">VLOOKUP(L988,Sheet2!D:E,2,0)</f>
        <v>Main Processor CPU BGA</v>
      </c>
      <c r="N988" s="17" t="n">
        <v>1</v>
      </c>
      <c r="O988" s="17" t="str">
        <f aca="false">VLOOKUP(N988,Sheet2!G:H,2,0)</f>
        <v>Dead</v>
      </c>
      <c r="P988" s="17" t="n">
        <v>12</v>
      </c>
      <c r="Q988" s="17" t="str">
        <f aca="false">VLOOKUP(P988,Sheet2!J:K,2,0)</f>
        <v>IR Declared due to Others ( IR Normal)TB</v>
      </c>
      <c r="R988" s="17" t="s">
        <v>35</v>
      </c>
      <c r="S988" s="17" t="str">
        <f aca="false">VLOOKUP(R988,Sheet2!N:O,2,0)</f>
        <v>IREPARABLE</v>
      </c>
      <c r="T988" s="18" t="str">
        <f aca="false">VLOOKUP(P988,Sheet2!Q:R,2,0)</f>
        <v>IR Normal - BER to IR</v>
      </c>
      <c r="U988" s="20" t="s">
        <v>135</v>
      </c>
      <c r="V988" s="17" t="n">
        <v>12</v>
      </c>
      <c r="W988" s="20" t="str">
        <f aca="false">VLOOKUP(V988,Sheet2!Q:R,2,0)</f>
        <v>IR Normal - BER to IR</v>
      </c>
      <c r="X988" s="17" t="str">
        <f aca="false">J988</f>
        <v>A018</v>
      </c>
      <c r="Y988" s="17" t="str">
        <f aca="false">VLOOKUP(X988,Sheet2!A:B,2,0)</f>
        <v>PRAKASH CHAVDA</v>
      </c>
      <c r="Z988" s="17" t="s">
        <v>136</v>
      </c>
      <c r="AA988" s="17" t="s">
        <v>477</v>
      </c>
      <c r="AB988" s="17" t="s">
        <v>41</v>
      </c>
      <c r="AC988" s="0" t="str">
        <f aca="false">LEFT(G988,2)</f>
        <v>13</v>
      </c>
      <c r="AE988" s="21" t="s">
        <v>42</v>
      </c>
    </row>
    <row r="989" customFormat="false" ht="15" hidden="false" customHeight="false" outlineLevel="0" collapsed="false">
      <c r="A989" s="13" t="n">
        <f aca="false">1+A988</f>
        <v>987</v>
      </c>
      <c r="B989" s="17" t="n">
        <v>1008439748</v>
      </c>
      <c r="C989" s="17" t="s">
        <v>459</v>
      </c>
      <c r="D989" s="17" t="s">
        <v>64</v>
      </c>
      <c r="E989" s="17" t="s">
        <v>47</v>
      </c>
      <c r="F989" s="18" t="s">
        <v>34</v>
      </c>
      <c r="G989" s="19" t="n">
        <v>134114057125</v>
      </c>
      <c r="H989" s="17" t="s">
        <v>134</v>
      </c>
      <c r="I989" s="17" t="s">
        <v>44</v>
      </c>
      <c r="J989" s="17" t="s">
        <v>106</v>
      </c>
      <c r="K989" s="17" t="str">
        <f aca="false">VLOOKUP(J989,Sheet2!A:B,2,0)</f>
        <v>PRAKASH CHAVDA</v>
      </c>
      <c r="L989" s="17" t="n">
        <v>5</v>
      </c>
      <c r="M989" s="17" t="str">
        <f aca="false">VLOOKUP(L989,Sheet2!D:E,2,0)</f>
        <v>Main Processor CPU BGA</v>
      </c>
      <c r="N989" s="17" t="n">
        <v>24</v>
      </c>
      <c r="O989" s="17" t="str">
        <f aca="false">VLOOKUP(N989,Sheet2!G:H,2,0)</f>
        <v>STB Auto moving -Stand by mode</v>
      </c>
      <c r="P989" s="17" t="n">
        <v>12</v>
      </c>
      <c r="Q989" s="17" t="str">
        <f aca="false">VLOOKUP(P989,Sheet2!J:K,2,0)</f>
        <v>IR Declared due to Others ( IR Normal)TB</v>
      </c>
      <c r="R989" s="17" t="s">
        <v>35</v>
      </c>
      <c r="S989" s="17" t="str">
        <f aca="false">VLOOKUP(R989,Sheet2!N:O,2,0)</f>
        <v>IREPARABLE</v>
      </c>
      <c r="T989" s="18" t="str">
        <f aca="false">VLOOKUP(P989,Sheet2!Q:R,2,0)</f>
        <v>IR Normal - BER to IR</v>
      </c>
      <c r="U989" s="20" t="s">
        <v>135</v>
      </c>
      <c r="V989" s="17" t="n">
        <v>12</v>
      </c>
      <c r="W989" s="20" t="str">
        <f aca="false">VLOOKUP(V989,Sheet2!Q:R,2,0)</f>
        <v>IR Normal - BER to IR</v>
      </c>
      <c r="X989" s="17" t="str">
        <f aca="false">J989</f>
        <v>A018</v>
      </c>
      <c r="Y989" s="17" t="str">
        <f aca="false">VLOOKUP(X989,Sheet2!A:B,2,0)</f>
        <v>PRAKASH CHAVDA</v>
      </c>
      <c r="Z989" s="17" t="s">
        <v>136</v>
      </c>
      <c r="AA989" s="17" t="s">
        <v>477</v>
      </c>
      <c r="AB989" s="17" t="s">
        <v>41</v>
      </c>
      <c r="AC989" s="0" t="str">
        <f aca="false">LEFT(G989,2)</f>
        <v>13</v>
      </c>
      <c r="AE989" s="21" t="s">
        <v>42</v>
      </c>
    </row>
    <row r="990" customFormat="false" ht="15" hidden="false" customHeight="false" outlineLevel="0" collapsed="false">
      <c r="A990" s="13" t="n">
        <f aca="false">1+A989</f>
        <v>988</v>
      </c>
      <c r="B990" s="17" t="n">
        <v>1009662364</v>
      </c>
      <c r="C990" s="17" t="s">
        <v>433</v>
      </c>
      <c r="D990" s="17" t="s">
        <v>209</v>
      </c>
      <c r="E990" s="17" t="s">
        <v>33</v>
      </c>
      <c r="F990" s="18" t="s">
        <v>34</v>
      </c>
      <c r="G990" s="19" t="n">
        <v>135210090431</v>
      </c>
      <c r="H990" s="17" t="s">
        <v>134</v>
      </c>
      <c r="I990" s="17" t="s">
        <v>44</v>
      </c>
      <c r="J990" s="17" t="s">
        <v>106</v>
      </c>
      <c r="K990" s="17" t="str">
        <f aca="false">VLOOKUP(J990,Sheet2!A:B,2,0)</f>
        <v>PRAKASH CHAVDA</v>
      </c>
      <c r="L990" s="17" t="n">
        <v>5</v>
      </c>
      <c r="M990" s="17" t="str">
        <f aca="false">VLOOKUP(L990,Sheet2!D:E,2,0)</f>
        <v>Main Processor CPU BGA</v>
      </c>
      <c r="N990" s="17" t="n">
        <v>1</v>
      </c>
      <c r="O990" s="17" t="str">
        <f aca="false">VLOOKUP(N990,Sheet2!G:H,2,0)</f>
        <v>Dead</v>
      </c>
      <c r="P990" s="17" t="n">
        <v>12</v>
      </c>
      <c r="Q990" s="17" t="str">
        <f aca="false">VLOOKUP(P990,Sheet2!J:K,2,0)</f>
        <v>IR Declared due to Others ( IR Normal)TB</v>
      </c>
      <c r="R990" s="17" t="s">
        <v>35</v>
      </c>
      <c r="S990" s="17" t="str">
        <f aca="false">VLOOKUP(R990,Sheet2!N:O,2,0)</f>
        <v>IREPARABLE</v>
      </c>
      <c r="T990" s="18" t="str">
        <f aca="false">VLOOKUP(P990,Sheet2!Q:R,2,0)</f>
        <v>IR Normal - BER to IR</v>
      </c>
      <c r="U990" s="20" t="s">
        <v>135</v>
      </c>
      <c r="V990" s="17" t="n">
        <v>12</v>
      </c>
      <c r="W990" s="20" t="str">
        <f aca="false">VLOOKUP(V990,Sheet2!Q:R,2,0)</f>
        <v>IR Normal - BER to IR</v>
      </c>
      <c r="X990" s="17" t="str">
        <f aca="false">J990</f>
        <v>A018</v>
      </c>
      <c r="Y990" s="17" t="str">
        <f aca="false">VLOOKUP(X990,Sheet2!A:B,2,0)</f>
        <v>PRAKASH CHAVDA</v>
      </c>
      <c r="Z990" s="17" t="s">
        <v>136</v>
      </c>
      <c r="AA990" s="17" t="s">
        <v>477</v>
      </c>
      <c r="AB990" s="17" t="s">
        <v>41</v>
      </c>
      <c r="AC990" s="0" t="str">
        <f aca="false">LEFT(G990,2)</f>
        <v>13</v>
      </c>
      <c r="AE990" s="21" t="s">
        <v>42</v>
      </c>
    </row>
    <row r="991" customFormat="false" ht="15" hidden="false" customHeight="false" outlineLevel="0" collapsed="false">
      <c r="A991" s="13" t="n">
        <f aca="false">1+A990</f>
        <v>989</v>
      </c>
      <c r="B991" s="17" t="n">
        <v>1009091817</v>
      </c>
      <c r="C991" s="17" t="s">
        <v>488</v>
      </c>
      <c r="D991" s="17" t="s">
        <v>489</v>
      </c>
      <c r="E991" s="17" t="s">
        <v>424</v>
      </c>
      <c r="F991" s="18" t="s">
        <v>34</v>
      </c>
      <c r="G991" s="19" t="n">
        <v>134273158102</v>
      </c>
      <c r="H991" s="17" t="s">
        <v>134</v>
      </c>
      <c r="I991" s="17" t="s">
        <v>44</v>
      </c>
      <c r="J991" s="17" t="s">
        <v>106</v>
      </c>
      <c r="K991" s="17" t="str">
        <f aca="false">VLOOKUP(J991,Sheet2!A:B,2,0)</f>
        <v>PRAKASH CHAVDA</v>
      </c>
      <c r="L991" s="17" t="n">
        <v>5</v>
      </c>
      <c r="M991" s="17" t="str">
        <f aca="false">VLOOKUP(L991,Sheet2!D:E,2,0)</f>
        <v>Main Processor CPU BGA</v>
      </c>
      <c r="N991" s="17" t="n">
        <v>33</v>
      </c>
      <c r="O991" s="17" t="str">
        <f aca="false">VLOOKUP(N991,Sheet2!G:H,2,0)</f>
        <v>Software download failure</v>
      </c>
      <c r="P991" s="17" t="n">
        <v>12</v>
      </c>
      <c r="Q991" s="17" t="str">
        <f aca="false">VLOOKUP(P991,Sheet2!J:K,2,0)</f>
        <v>IR Declared due to Others ( IR Normal)TB</v>
      </c>
      <c r="R991" s="17" t="s">
        <v>35</v>
      </c>
      <c r="S991" s="17" t="str">
        <f aca="false">VLOOKUP(R991,Sheet2!N:O,2,0)</f>
        <v>IREPARABLE</v>
      </c>
      <c r="T991" s="18" t="str">
        <f aca="false">VLOOKUP(P991,Sheet2!Q:R,2,0)</f>
        <v>IR Normal - BER to IR</v>
      </c>
      <c r="U991" s="20" t="s">
        <v>135</v>
      </c>
      <c r="V991" s="17" t="n">
        <v>12</v>
      </c>
      <c r="W991" s="20" t="str">
        <f aca="false">VLOOKUP(V991,Sheet2!Q:R,2,0)</f>
        <v>IR Normal - BER to IR</v>
      </c>
      <c r="X991" s="17" t="str">
        <f aca="false">J991</f>
        <v>A018</v>
      </c>
      <c r="Y991" s="17" t="str">
        <f aca="false">VLOOKUP(X991,Sheet2!A:B,2,0)</f>
        <v>PRAKASH CHAVDA</v>
      </c>
      <c r="Z991" s="17" t="s">
        <v>136</v>
      </c>
      <c r="AA991" s="17" t="s">
        <v>477</v>
      </c>
      <c r="AB991" s="17" t="s">
        <v>41</v>
      </c>
      <c r="AC991" s="0" t="str">
        <f aca="false">LEFT(G991,2)</f>
        <v>13</v>
      </c>
      <c r="AE991" s="21" t="s">
        <v>42</v>
      </c>
    </row>
    <row r="992" customFormat="false" ht="15" hidden="false" customHeight="false" outlineLevel="0" collapsed="false">
      <c r="A992" s="13" t="n">
        <f aca="false">1+A991</f>
        <v>990</v>
      </c>
      <c r="B992" s="17" t="n">
        <v>1009092116</v>
      </c>
      <c r="C992" s="17" t="s">
        <v>414</v>
      </c>
      <c r="D992" s="17" t="s">
        <v>64</v>
      </c>
      <c r="E992" s="17" t="s">
        <v>64</v>
      </c>
      <c r="F992" s="18" t="s">
        <v>70</v>
      </c>
      <c r="G992" s="19" t="n">
        <v>134037551881</v>
      </c>
      <c r="H992" s="17" t="s">
        <v>134</v>
      </c>
      <c r="I992" s="17" t="s">
        <v>44</v>
      </c>
      <c r="J992" s="17" t="s">
        <v>106</v>
      </c>
      <c r="K992" s="17" t="str">
        <f aca="false">VLOOKUP(J992,Sheet2!A:B,2,0)</f>
        <v>PRAKASH CHAVDA</v>
      </c>
      <c r="L992" s="17" t="n">
        <v>5</v>
      </c>
      <c r="M992" s="17" t="str">
        <f aca="false">VLOOKUP(L992,Sheet2!D:E,2,0)</f>
        <v>Main Processor CPU BGA</v>
      </c>
      <c r="N992" s="17" t="n">
        <v>24</v>
      </c>
      <c r="O992" s="17" t="str">
        <f aca="false">VLOOKUP(N992,Sheet2!G:H,2,0)</f>
        <v>STB Auto moving -Stand by mode</v>
      </c>
      <c r="P992" s="17" t="n">
        <v>12</v>
      </c>
      <c r="Q992" s="17" t="str">
        <f aca="false">VLOOKUP(P992,Sheet2!J:K,2,0)</f>
        <v>IR Declared due to Others ( IR Normal)TB</v>
      </c>
      <c r="R992" s="17" t="s">
        <v>35</v>
      </c>
      <c r="S992" s="17" t="str">
        <f aca="false">VLOOKUP(R992,Sheet2!N:O,2,0)</f>
        <v>IREPARABLE</v>
      </c>
      <c r="T992" s="18" t="str">
        <f aca="false">VLOOKUP(P992,Sheet2!Q:R,2,0)</f>
        <v>IR Normal - BER to IR</v>
      </c>
      <c r="U992" s="20" t="s">
        <v>135</v>
      </c>
      <c r="V992" s="17" t="n">
        <v>12</v>
      </c>
      <c r="W992" s="20" t="str">
        <f aca="false">VLOOKUP(V992,Sheet2!Q:R,2,0)</f>
        <v>IR Normal - BER to IR</v>
      </c>
      <c r="X992" s="17" t="str">
        <f aca="false">J992</f>
        <v>A018</v>
      </c>
      <c r="Y992" s="17" t="str">
        <f aca="false">VLOOKUP(X992,Sheet2!A:B,2,0)</f>
        <v>PRAKASH CHAVDA</v>
      </c>
      <c r="Z992" s="17" t="s">
        <v>136</v>
      </c>
      <c r="AA992" s="17" t="s">
        <v>477</v>
      </c>
      <c r="AB992" s="17" t="s">
        <v>41</v>
      </c>
      <c r="AC992" s="0" t="str">
        <f aca="false">LEFT(G992,2)</f>
        <v>13</v>
      </c>
      <c r="AE992" s="21" t="s">
        <v>42</v>
      </c>
    </row>
    <row r="993" customFormat="false" ht="15" hidden="false" customHeight="false" outlineLevel="0" collapsed="false">
      <c r="A993" s="13" t="n">
        <f aca="false">1+A992</f>
        <v>991</v>
      </c>
      <c r="B993" s="17" t="n">
        <v>1009091458</v>
      </c>
      <c r="C993" s="17" t="s">
        <v>414</v>
      </c>
      <c r="D993" s="17" t="s">
        <v>490</v>
      </c>
      <c r="E993" s="17" t="s">
        <v>33</v>
      </c>
      <c r="F993" s="18" t="s">
        <v>34</v>
      </c>
      <c r="G993" s="19" t="n">
        <v>134106467589</v>
      </c>
      <c r="H993" s="17" t="s">
        <v>134</v>
      </c>
      <c r="I993" s="17" t="s">
        <v>44</v>
      </c>
      <c r="J993" s="17" t="s">
        <v>106</v>
      </c>
      <c r="K993" s="17" t="str">
        <f aca="false">VLOOKUP(J993,Sheet2!A:B,2,0)</f>
        <v>PRAKASH CHAVDA</v>
      </c>
      <c r="L993" s="17" t="n">
        <v>5</v>
      </c>
      <c r="M993" s="17" t="str">
        <f aca="false">VLOOKUP(L993,Sheet2!D:E,2,0)</f>
        <v>Main Processor CPU BGA</v>
      </c>
      <c r="N993" s="17" t="n">
        <v>24</v>
      </c>
      <c r="O993" s="17" t="str">
        <f aca="false">VLOOKUP(N993,Sheet2!G:H,2,0)</f>
        <v>STB Auto moving -Stand by mode</v>
      </c>
      <c r="P993" s="17" t="n">
        <v>12</v>
      </c>
      <c r="Q993" s="17" t="str">
        <f aca="false">VLOOKUP(P993,Sheet2!J:K,2,0)</f>
        <v>IR Declared due to Others ( IR Normal)TB</v>
      </c>
      <c r="R993" s="17" t="s">
        <v>35</v>
      </c>
      <c r="S993" s="17" t="str">
        <f aca="false">VLOOKUP(R993,Sheet2!N:O,2,0)</f>
        <v>IREPARABLE</v>
      </c>
      <c r="T993" s="18" t="str">
        <f aca="false">VLOOKUP(P993,Sheet2!Q:R,2,0)</f>
        <v>IR Normal - BER to IR</v>
      </c>
      <c r="U993" s="20" t="s">
        <v>135</v>
      </c>
      <c r="V993" s="17" t="n">
        <v>12</v>
      </c>
      <c r="W993" s="20" t="str">
        <f aca="false">VLOOKUP(V993,Sheet2!Q:R,2,0)</f>
        <v>IR Normal - BER to IR</v>
      </c>
      <c r="X993" s="17" t="str">
        <f aca="false">J993</f>
        <v>A018</v>
      </c>
      <c r="Y993" s="17" t="str">
        <f aca="false">VLOOKUP(X993,Sheet2!A:B,2,0)</f>
        <v>PRAKASH CHAVDA</v>
      </c>
      <c r="Z993" s="17" t="s">
        <v>136</v>
      </c>
      <c r="AA993" s="17" t="s">
        <v>477</v>
      </c>
      <c r="AB993" s="17" t="s">
        <v>41</v>
      </c>
      <c r="AC993" s="0" t="str">
        <f aca="false">LEFT(G993,2)</f>
        <v>13</v>
      </c>
      <c r="AE993" s="21" t="s">
        <v>42</v>
      </c>
    </row>
    <row r="994" customFormat="false" ht="15" hidden="false" customHeight="false" outlineLevel="0" collapsed="false">
      <c r="A994" s="13" t="n">
        <f aca="false">1+A993</f>
        <v>992</v>
      </c>
      <c r="B994" s="17" t="n">
        <v>1008809797</v>
      </c>
      <c r="C994" s="17" t="s">
        <v>438</v>
      </c>
      <c r="D994" s="17" t="s">
        <v>491</v>
      </c>
      <c r="E994" s="17" t="s">
        <v>47</v>
      </c>
      <c r="F994" s="18" t="s">
        <v>34</v>
      </c>
      <c r="G994" s="19" t="n">
        <v>134247157248</v>
      </c>
      <c r="H994" s="17" t="s">
        <v>134</v>
      </c>
      <c r="I994" s="17" t="s">
        <v>44</v>
      </c>
      <c r="J994" s="17" t="s">
        <v>106</v>
      </c>
      <c r="K994" s="17" t="str">
        <f aca="false">VLOOKUP(J994,Sheet2!A:B,2,0)</f>
        <v>PRAKASH CHAVDA</v>
      </c>
      <c r="L994" s="17" t="n">
        <v>5</v>
      </c>
      <c r="M994" s="17" t="str">
        <f aca="false">VLOOKUP(L994,Sheet2!D:E,2,0)</f>
        <v>Main Processor CPU BGA</v>
      </c>
      <c r="N994" s="17" t="n">
        <v>24</v>
      </c>
      <c r="O994" s="17" t="str">
        <f aca="false">VLOOKUP(N994,Sheet2!G:H,2,0)</f>
        <v>STB Auto moving -Stand by mode</v>
      </c>
      <c r="P994" s="17" t="n">
        <v>12</v>
      </c>
      <c r="Q994" s="17" t="str">
        <f aca="false">VLOOKUP(P994,Sheet2!J:K,2,0)</f>
        <v>IR Declared due to Others ( IR Normal)TB</v>
      </c>
      <c r="R994" s="17" t="s">
        <v>35</v>
      </c>
      <c r="S994" s="17" t="str">
        <f aca="false">VLOOKUP(R994,Sheet2!N:O,2,0)</f>
        <v>IREPARABLE</v>
      </c>
      <c r="T994" s="18" t="str">
        <f aca="false">VLOOKUP(P994,Sheet2!Q:R,2,0)</f>
        <v>IR Normal - BER to IR</v>
      </c>
      <c r="U994" s="20" t="s">
        <v>135</v>
      </c>
      <c r="V994" s="17" t="n">
        <v>12</v>
      </c>
      <c r="W994" s="20" t="str">
        <f aca="false">VLOOKUP(V994,Sheet2!Q:R,2,0)</f>
        <v>IR Normal - BER to IR</v>
      </c>
      <c r="X994" s="17" t="str">
        <f aca="false">J994</f>
        <v>A018</v>
      </c>
      <c r="Y994" s="17" t="str">
        <f aca="false">VLOOKUP(X994,Sheet2!A:B,2,0)</f>
        <v>PRAKASH CHAVDA</v>
      </c>
      <c r="Z994" s="17" t="s">
        <v>136</v>
      </c>
      <c r="AA994" s="17" t="s">
        <v>477</v>
      </c>
      <c r="AB994" s="17" t="s">
        <v>41</v>
      </c>
      <c r="AC994" s="0" t="str">
        <f aca="false">LEFT(G994,2)</f>
        <v>13</v>
      </c>
      <c r="AE994" s="21" t="s">
        <v>42</v>
      </c>
    </row>
    <row r="995" customFormat="false" ht="15" hidden="false" customHeight="false" outlineLevel="0" collapsed="false">
      <c r="A995" s="13" t="n">
        <f aca="false">1+A994</f>
        <v>993</v>
      </c>
      <c r="B995" s="17" t="n">
        <v>1009091841</v>
      </c>
      <c r="C995" s="17" t="s">
        <v>414</v>
      </c>
      <c r="D995" s="17" t="s">
        <v>64</v>
      </c>
      <c r="E995" s="17" t="s">
        <v>33</v>
      </c>
      <c r="F995" s="18" t="s">
        <v>34</v>
      </c>
      <c r="G995" s="19" t="n">
        <v>134063602988</v>
      </c>
      <c r="H995" s="17" t="s">
        <v>134</v>
      </c>
      <c r="I995" s="17" t="s">
        <v>44</v>
      </c>
      <c r="J995" s="17" t="s">
        <v>106</v>
      </c>
      <c r="K995" s="17" t="str">
        <f aca="false">VLOOKUP(J995,Sheet2!A:B,2,0)</f>
        <v>PRAKASH CHAVDA</v>
      </c>
      <c r="L995" s="17" t="n">
        <v>5</v>
      </c>
      <c r="M995" s="17" t="str">
        <f aca="false">VLOOKUP(L995,Sheet2!D:E,2,0)</f>
        <v>Main Processor CPU BGA</v>
      </c>
      <c r="N995" s="17" t="n">
        <v>24</v>
      </c>
      <c r="O995" s="17" t="str">
        <f aca="false">VLOOKUP(N995,Sheet2!G:H,2,0)</f>
        <v>STB Auto moving -Stand by mode</v>
      </c>
      <c r="P995" s="17" t="n">
        <v>12</v>
      </c>
      <c r="Q995" s="17" t="str">
        <f aca="false">VLOOKUP(P995,Sheet2!J:K,2,0)</f>
        <v>IR Declared due to Others ( IR Normal)TB</v>
      </c>
      <c r="R995" s="17" t="s">
        <v>35</v>
      </c>
      <c r="S995" s="17" t="str">
        <f aca="false">VLOOKUP(R995,Sheet2!N:O,2,0)</f>
        <v>IREPARABLE</v>
      </c>
      <c r="T995" s="18" t="str">
        <f aca="false">VLOOKUP(P995,Sheet2!Q:R,2,0)</f>
        <v>IR Normal - BER to IR</v>
      </c>
      <c r="U995" s="20" t="s">
        <v>135</v>
      </c>
      <c r="V995" s="17" t="n">
        <v>12</v>
      </c>
      <c r="W995" s="20" t="str">
        <f aca="false">VLOOKUP(V995,Sheet2!Q:R,2,0)</f>
        <v>IR Normal - BER to IR</v>
      </c>
      <c r="X995" s="17" t="str">
        <f aca="false">J995</f>
        <v>A018</v>
      </c>
      <c r="Y995" s="17" t="str">
        <f aca="false">VLOOKUP(X995,Sheet2!A:B,2,0)</f>
        <v>PRAKASH CHAVDA</v>
      </c>
      <c r="Z995" s="17" t="s">
        <v>136</v>
      </c>
      <c r="AA995" s="17" t="s">
        <v>477</v>
      </c>
      <c r="AB995" s="17" t="s">
        <v>41</v>
      </c>
      <c r="AC995" s="0" t="str">
        <f aca="false">LEFT(G995,2)</f>
        <v>13</v>
      </c>
      <c r="AE995" s="21" t="s">
        <v>42</v>
      </c>
    </row>
    <row r="996" customFormat="false" ht="15" hidden="false" customHeight="false" outlineLevel="0" collapsed="false">
      <c r="A996" s="13" t="n">
        <f aca="false">1+A995</f>
        <v>994</v>
      </c>
      <c r="B996" s="17" t="n">
        <v>1009091393</v>
      </c>
      <c r="C996" s="17" t="s">
        <v>414</v>
      </c>
      <c r="D996" s="17" t="s">
        <v>64</v>
      </c>
      <c r="E996" s="17" t="s">
        <v>64</v>
      </c>
      <c r="F996" s="18" t="s">
        <v>70</v>
      </c>
      <c r="G996" s="19" t="n">
        <v>134056436311</v>
      </c>
      <c r="H996" s="17" t="s">
        <v>134</v>
      </c>
      <c r="I996" s="17" t="s">
        <v>44</v>
      </c>
      <c r="J996" s="17" t="s">
        <v>106</v>
      </c>
      <c r="K996" s="17" t="str">
        <f aca="false">VLOOKUP(J996,Sheet2!A:B,2,0)</f>
        <v>PRAKASH CHAVDA</v>
      </c>
      <c r="L996" s="17" t="n">
        <v>5</v>
      </c>
      <c r="M996" s="17" t="str">
        <f aca="false">VLOOKUP(L996,Sheet2!D:E,2,0)</f>
        <v>Main Processor CPU BGA</v>
      </c>
      <c r="N996" s="17" t="n">
        <v>28</v>
      </c>
      <c r="O996" s="17" t="str">
        <f aca="false">VLOOKUP(N996,Sheet2!G:H,2,0)</f>
        <v>Hang and Freeze video - AV</v>
      </c>
      <c r="P996" s="17" t="n">
        <v>12</v>
      </c>
      <c r="Q996" s="17" t="str">
        <f aca="false">VLOOKUP(P996,Sheet2!J:K,2,0)</f>
        <v>IR Declared due to Others ( IR Normal)TB</v>
      </c>
      <c r="R996" s="17" t="s">
        <v>35</v>
      </c>
      <c r="S996" s="17" t="str">
        <f aca="false">VLOOKUP(R996,Sheet2!N:O,2,0)</f>
        <v>IREPARABLE</v>
      </c>
      <c r="T996" s="18" t="str">
        <f aca="false">VLOOKUP(P996,Sheet2!Q:R,2,0)</f>
        <v>IR Normal - BER to IR</v>
      </c>
      <c r="U996" s="20" t="s">
        <v>135</v>
      </c>
      <c r="V996" s="17" t="n">
        <v>12</v>
      </c>
      <c r="W996" s="20" t="str">
        <f aca="false">VLOOKUP(V996,Sheet2!Q:R,2,0)</f>
        <v>IR Normal - BER to IR</v>
      </c>
      <c r="X996" s="17" t="str">
        <f aca="false">J996</f>
        <v>A018</v>
      </c>
      <c r="Y996" s="17" t="str">
        <f aca="false">VLOOKUP(X996,Sheet2!A:B,2,0)</f>
        <v>PRAKASH CHAVDA</v>
      </c>
      <c r="Z996" s="17" t="s">
        <v>136</v>
      </c>
      <c r="AA996" s="17" t="s">
        <v>477</v>
      </c>
      <c r="AB996" s="17" t="s">
        <v>41</v>
      </c>
      <c r="AC996" s="0" t="str">
        <f aca="false">LEFT(G996,2)</f>
        <v>13</v>
      </c>
      <c r="AE996" s="21" t="s">
        <v>42</v>
      </c>
    </row>
    <row r="997" customFormat="false" ht="15" hidden="false" customHeight="false" outlineLevel="0" collapsed="false">
      <c r="A997" s="13" t="n">
        <f aca="false">1+A996</f>
        <v>995</v>
      </c>
      <c r="B997" s="17" t="n">
        <v>1008822384</v>
      </c>
      <c r="C997" s="17" t="s">
        <v>438</v>
      </c>
      <c r="D997" s="17" t="s">
        <v>64</v>
      </c>
      <c r="E997" s="17" t="s">
        <v>33</v>
      </c>
      <c r="F997" s="18" t="s">
        <v>34</v>
      </c>
      <c r="G997" s="19" t="n">
        <v>134023480194</v>
      </c>
      <c r="H997" s="17" t="s">
        <v>134</v>
      </c>
      <c r="I997" s="17" t="s">
        <v>44</v>
      </c>
      <c r="J997" s="17" t="s">
        <v>106</v>
      </c>
      <c r="K997" s="17" t="str">
        <f aca="false">VLOOKUP(J997,Sheet2!A:B,2,0)</f>
        <v>PRAKASH CHAVDA</v>
      </c>
      <c r="L997" s="17" t="n">
        <v>5</v>
      </c>
      <c r="M997" s="17" t="str">
        <f aca="false">VLOOKUP(L997,Sheet2!D:E,2,0)</f>
        <v>Main Processor CPU BGA</v>
      </c>
      <c r="N997" s="17" t="n">
        <v>24</v>
      </c>
      <c r="O997" s="17" t="str">
        <f aca="false">VLOOKUP(N997,Sheet2!G:H,2,0)</f>
        <v>STB Auto moving -Stand by mode</v>
      </c>
      <c r="P997" s="17" t="n">
        <v>12</v>
      </c>
      <c r="Q997" s="17" t="str">
        <f aca="false">VLOOKUP(P997,Sheet2!J:K,2,0)</f>
        <v>IR Declared due to Others ( IR Normal)TB</v>
      </c>
      <c r="R997" s="17" t="s">
        <v>35</v>
      </c>
      <c r="S997" s="17" t="str">
        <f aca="false">VLOOKUP(R997,Sheet2!N:O,2,0)</f>
        <v>IREPARABLE</v>
      </c>
      <c r="T997" s="18" t="str">
        <f aca="false">VLOOKUP(P997,Sheet2!Q:R,2,0)</f>
        <v>IR Normal - BER to IR</v>
      </c>
      <c r="U997" s="20" t="s">
        <v>135</v>
      </c>
      <c r="V997" s="17" t="n">
        <v>12</v>
      </c>
      <c r="W997" s="20" t="str">
        <f aca="false">VLOOKUP(V997,Sheet2!Q:R,2,0)</f>
        <v>IR Normal - BER to IR</v>
      </c>
      <c r="X997" s="17" t="str">
        <f aca="false">J997</f>
        <v>A018</v>
      </c>
      <c r="Y997" s="17" t="str">
        <f aca="false">VLOOKUP(X997,Sheet2!A:B,2,0)</f>
        <v>PRAKASH CHAVDA</v>
      </c>
      <c r="Z997" s="17" t="s">
        <v>136</v>
      </c>
      <c r="AA997" s="17" t="s">
        <v>477</v>
      </c>
      <c r="AB997" s="17" t="s">
        <v>41</v>
      </c>
      <c r="AC997" s="0" t="str">
        <f aca="false">LEFT(G997,2)</f>
        <v>13</v>
      </c>
      <c r="AE997" s="21" t="s">
        <v>42</v>
      </c>
    </row>
    <row r="998" customFormat="false" ht="15" hidden="false" customHeight="false" outlineLevel="0" collapsed="false">
      <c r="A998" s="13" t="n">
        <f aca="false">1+A997</f>
        <v>996</v>
      </c>
      <c r="B998" s="17" t="n">
        <v>1009665856</v>
      </c>
      <c r="C998" s="17" t="s">
        <v>436</v>
      </c>
      <c r="D998" s="17" t="s">
        <v>64</v>
      </c>
      <c r="E998" s="17" t="s">
        <v>47</v>
      </c>
      <c r="F998" s="18" t="s">
        <v>34</v>
      </c>
      <c r="G998" s="19" t="n">
        <v>134050415398</v>
      </c>
      <c r="H998" s="17" t="s">
        <v>134</v>
      </c>
      <c r="I998" s="17" t="s">
        <v>44</v>
      </c>
      <c r="J998" s="17" t="s">
        <v>106</v>
      </c>
      <c r="K998" s="17" t="str">
        <f aca="false">VLOOKUP(J998,Sheet2!A:B,2,0)</f>
        <v>PRAKASH CHAVDA</v>
      </c>
      <c r="L998" s="17" t="n">
        <v>5</v>
      </c>
      <c r="M998" s="17" t="str">
        <f aca="false">VLOOKUP(L998,Sheet2!D:E,2,0)</f>
        <v>Main Processor CPU BGA</v>
      </c>
      <c r="N998" s="17" t="n">
        <v>24</v>
      </c>
      <c r="O998" s="17" t="str">
        <f aca="false">VLOOKUP(N998,Sheet2!G:H,2,0)</f>
        <v>STB Auto moving -Stand by mode</v>
      </c>
      <c r="P998" s="17" t="n">
        <v>12</v>
      </c>
      <c r="Q998" s="17" t="str">
        <f aca="false">VLOOKUP(P998,Sheet2!J:K,2,0)</f>
        <v>IR Declared due to Others ( IR Normal)TB</v>
      </c>
      <c r="R998" s="17" t="s">
        <v>35</v>
      </c>
      <c r="S998" s="17" t="str">
        <f aca="false">VLOOKUP(R998,Sheet2!N:O,2,0)</f>
        <v>IREPARABLE</v>
      </c>
      <c r="T998" s="18" t="str">
        <f aca="false">VLOOKUP(P998,Sheet2!Q:R,2,0)</f>
        <v>IR Normal - BER to IR</v>
      </c>
      <c r="U998" s="20" t="s">
        <v>135</v>
      </c>
      <c r="V998" s="17" t="n">
        <v>12</v>
      </c>
      <c r="W998" s="20" t="str">
        <f aca="false">VLOOKUP(V998,Sheet2!Q:R,2,0)</f>
        <v>IR Normal - BER to IR</v>
      </c>
      <c r="X998" s="17" t="str">
        <f aca="false">J998</f>
        <v>A018</v>
      </c>
      <c r="Y998" s="17" t="str">
        <f aca="false">VLOOKUP(X998,Sheet2!A:B,2,0)</f>
        <v>PRAKASH CHAVDA</v>
      </c>
      <c r="Z998" s="17" t="s">
        <v>136</v>
      </c>
      <c r="AA998" s="17" t="s">
        <v>477</v>
      </c>
      <c r="AB998" s="17" t="s">
        <v>41</v>
      </c>
      <c r="AC998" s="0" t="str">
        <f aca="false">LEFT(G998,2)</f>
        <v>13</v>
      </c>
      <c r="AE998" s="21" t="s">
        <v>42</v>
      </c>
    </row>
    <row r="999" customFormat="false" ht="15" hidden="false" customHeight="false" outlineLevel="0" collapsed="false">
      <c r="A999" s="13" t="n">
        <f aca="false">1+A998</f>
        <v>997</v>
      </c>
      <c r="B999" s="17" t="n">
        <v>1009665734</v>
      </c>
      <c r="C999" s="17" t="s">
        <v>436</v>
      </c>
      <c r="D999" s="17" t="s">
        <v>64</v>
      </c>
      <c r="E999" s="17" t="s">
        <v>492</v>
      </c>
      <c r="F999" s="18" t="s">
        <v>34</v>
      </c>
      <c r="G999" s="19" t="n">
        <v>134127327200</v>
      </c>
      <c r="H999" s="17" t="s">
        <v>134</v>
      </c>
      <c r="I999" s="17" t="s">
        <v>44</v>
      </c>
      <c r="J999" s="17" t="s">
        <v>106</v>
      </c>
      <c r="K999" s="17" t="str">
        <f aca="false">VLOOKUP(J999,Sheet2!A:B,2,0)</f>
        <v>PRAKASH CHAVDA</v>
      </c>
      <c r="L999" s="17" t="n">
        <v>5</v>
      </c>
      <c r="M999" s="17" t="str">
        <f aca="false">VLOOKUP(L999,Sheet2!D:E,2,0)</f>
        <v>Main Processor CPU BGA</v>
      </c>
      <c r="N999" s="17" t="n">
        <v>24</v>
      </c>
      <c r="O999" s="17" t="str">
        <f aca="false">VLOOKUP(N999,Sheet2!G:H,2,0)</f>
        <v>STB Auto moving -Stand by mode</v>
      </c>
      <c r="P999" s="17" t="n">
        <v>12</v>
      </c>
      <c r="Q999" s="17" t="str">
        <f aca="false">VLOOKUP(P999,Sheet2!J:K,2,0)</f>
        <v>IR Declared due to Others ( IR Normal)TB</v>
      </c>
      <c r="R999" s="17" t="s">
        <v>35</v>
      </c>
      <c r="S999" s="17" t="str">
        <f aca="false">VLOOKUP(R999,Sheet2!N:O,2,0)</f>
        <v>IREPARABLE</v>
      </c>
      <c r="T999" s="18" t="str">
        <f aca="false">VLOOKUP(P999,Sheet2!Q:R,2,0)</f>
        <v>IR Normal - BER to IR</v>
      </c>
      <c r="U999" s="20" t="s">
        <v>135</v>
      </c>
      <c r="V999" s="17" t="n">
        <v>12</v>
      </c>
      <c r="W999" s="20" t="str">
        <f aca="false">VLOOKUP(V999,Sheet2!Q:R,2,0)</f>
        <v>IR Normal - BER to IR</v>
      </c>
      <c r="X999" s="17" t="str">
        <f aca="false">J999</f>
        <v>A018</v>
      </c>
      <c r="Y999" s="17" t="str">
        <f aca="false">VLOOKUP(X999,Sheet2!A:B,2,0)</f>
        <v>PRAKASH CHAVDA</v>
      </c>
      <c r="Z999" s="17" t="s">
        <v>136</v>
      </c>
      <c r="AA999" s="17" t="s">
        <v>477</v>
      </c>
      <c r="AB999" s="17" t="s">
        <v>41</v>
      </c>
      <c r="AC999" s="0" t="str">
        <f aca="false">LEFT(G999,2)</f>
        <v>13</v>
      </c>
      <c r="AE999" s="21" t="s">
        <v>42</v>
      </c>
    </row>
    <row r="1000" customFormat="false" ht="15" hidden="false" customHeight="false" outlineLevel="0" collapsed="false">
      <c r="A1000" s="13" t="n">
        <f aca="false">1+A999</f>
        <v>998</v>
      </c>
      <c r="B1000" s="17" t="n">
        <v>1009092178</v>
      </c>
      <c r="C1000" s="17" t="s">
        <v>414</v>
      </c>
      <c r="D1000" s="17" t="s">
        <v>64</v>
      </c>
      <c r="E1000" s="17" t="s">
        <v>114</v>
      </c>
      <c r="F1000" s="18" t="s">
        <v>34</v>
      </c>
      <c r="G1000" s="19" t="n">
        <v>134106076174</v>
      </c>
      <c r="H1000" s="17" t="s">
        <v>134</v>
      </c>
      <c r="I1000" s="17" t="s">
        <v>44</v>
      </c>
      <c r="J1000" s="17" t="s">
        <v>106</v>
      </c>
      <c r="K1000" s="17" t="str">
        <f aca="false">VLOOKUP(J1000,Sheet2!A:B,2,0)</f>
        <v>PRAKASH CHAVDA</v>
      </c>
      <c r="L1000" s="17" t="n">
        <v>5</v>
      </c>
      <c r="M1000" s="17" t="str">
        <f aca="false">VLOOKUP(L1000,Sheet2!D:E,2,0)</f>
        <v>Main Processor CPU BGA</v>
      </c>
      <c r="N1000" s="17" t="n">
        <v>24</v>
      </c>
      <c r="O1000" s="17" t="str">
        <f aca="false">VLOOKUP(N1000,Sheet2!G:H,2,0)</f>
        <v>STB Auto moving -Stand by mode</v>
      </c>
      <c r="P1000" s="17" t="n">
        <v>12</v>
      </c>
      <c r="Q1000" s="17" t="str">
        <f aca="false">VLOOKUP(P1000,Sheet2!J:K,2,0)</f>
        <v>IR Declared due to Others ( IR Normal)TB</v>
      </c>
      <c r="R1000" s="17" t="s">
        <v>35</v>
      </c>
      <c r="S1000" s="17" t="str">
        <f aca="false">VLOOKUP(R1000,Sheet2!N:O,2,0)</f>
        <v>IREPARABLE</v>
      </c>
      <c r="T1000" s="18" t="str">
        <f aca="false">VLOOKUP(P1000,Sheet2!Q:R,2,0)</f>
        <v>IR Normal - BER to IR</v>
      </c>
      <c r="U1000" s="20" t="s">
        <v>135</v>
      </c>
      <c r="V1000" s="17" t="n">
        <v>12</v>
      </c>
      <c r="W1000" s="20" t="str">
        <f aca="false">VLOOKUP(V1000,Sheet2!Q:R,2,0)</f>
        <v>IR Normal - BER to IR</v>
      </c>
      <c r="X1000" s="17" t="str">
        <f aca="false">J1000</f>
        <v>A018</v>
      </c>
      <c r="Y1000" s="17" t="str">
        <f aca="false">VLOOKUP(X1000,Sheet2!A:B,2,0)</f>
        <v>PRAKASH CHAVDA</v>
      </c>
      <c r="Z1000" s="17" t="s">
        <v>136</v>
      </c>
      <c r="AA1000" s="17" t="s">
        <v>477</v>
      </c>
      <c r="AB1000" s="17" t="s">
        <v>41</v>
      </c>
      <c r="AC1000" s="0" t="str">
        <f aca="false">LEFT(G1000,2)</f>
        <v>13</v>
      </c>
      <c r="AE1000" s="21" t="s">
        <v>42</v>
      </c>
    </row>
    <row r="1001" customFormat="false" ht="15" hidden="false" customHeight="false" outlineLevel="0" collapsed="false">
      <c r="A1001" s="13" t="n">
        <f aca="false">1+A1000</f>
        <v>999</v>
      </c>
      <c r="B1001" s="17" t="n">
        <v>1008749936</v>
      </c>
      <c r="C1001" s="17" t="s">
        <v>493</v>
      </c>
      <c r="D1001" s="17" t="s">
        <v>64</v>
      </c>
      <c r="E1001" s="17" t="s">
        <v>64</v>
      </c>
      <c r="F1001" s="18" t="s">
        <v>70</v>
      </c>
      <c r="G1001" s="19" t="n">
        <v>134087003262</v>
      </c>
      <c r="H1001" s="17" t="s">
        <v>134</v>
      </c>
      <c r="I1001" s="17" t="s">
        <v>44</v>
      </c>
      <c r="J1001" s="17" t="s">
        <v>106</v>
      </c>
      <c r="K1001" s="17" t="str">
        <f aca="false">VLOOKUP(J1001,Sheet2!A:B,2,0)</f>
        <v>PRAKASH CHAVDA</v>
      </c>
      <c r="L1001" s="17" t="n">
        <v>5</v>
      </c>
      <c r="M1001" s="17" t="str">
        <f aca="false">VLOOKUP(L1001,Sheet2!D:E,2,0)</f>
        <v>Main Processor CPU BGA</v>
      </c>
      <c r="N1001" s="17" t="n">
        <v>1</v>
      </c>
      <c r="O1001" s="17" t="str">
        <f aca="false">VLOOKUP(N1001,Sheet2!G:H,2,0)</f>
        <v>Dead</v>
      </c>
      <c r="P1001" s="17" t="n">
        <v>12</v>
      </c>
      <c r="Q1001" s="17" t="str">
        <f aca="false">VLOOKUP(P1001,Sheet2!J:K,2,0)</f>
        <v>IR Declared due to Others ( IR Normal)TB</v>
      </c>
      <c r="R1001" s="17" t="s">
        <v>35</v>
      </c>
      <c r="S1001" s="17" t="str">
        <f aca="false">VLOOKUP(R1001,Sheet2!N:O,2,0)</f>
        <v>IREPARABLE</v>
      </c>
      <c r="T1001" s="18" t="str">
        <f aca="false">VLOOKUP(P1001,Sheet2!Q:R,2,0)</f>
        <v>IR Normal - BER to IR</v>
      </c>
      <c r="U1001" s="20" t="s">
        <v>135</v>
      </c>
      <c r="V1001" s="17" t="n">
        <v>12</v>
      </c>
      <c r="W1001" s="20" t="str">
        <f aca="false">VLOOKUP(V1001,Sheet2!Q:R,2,0)</f>
        <v>IR Normal - BER to IR</v>
      </c>
      <c r="X1001" s="17" t="str">
        <f aca="false">J1001</f>
        <v>A018</v>
      </c>
      <c r="Y1001" s="17" t="str">
        <f aca="false">VLOOKUP(X1001,Sheet2!A:B,2,0)</f>
        <v>PRAKASH CHAVDA</v>
      </c>
      <c r="Z1001" s="17" t="s">
        <v>136</v>
      </c>
      <c r="AA1001" s="17" t="s">
        <v>477</v>
      </c>
      <c r="AB1001" s="17" t="s">
        <v>41</v>
      </c>
      <c r="AC1001" s="0" t="str">
        <f aca="false">LEFT(G1001,2)</f>
        <v>13</v>
      </c>
      <c r="AE1001" s="21" t="s">
        <v>42</v>
      </c>
    </row>
    <row r="1002" customFormat="false" ht="15" hidden="false" customHeight="false" outlineLevel="0" collapsed="false">
      <c r="A1002" s="13" t="n">
        <f aca="false">1+A1001</f>
        <v>1000</v>
      </c>
      <c r="B1002" s="17" t="n">
        <v>1009664100</v>
      </c>
      <c r="C1002" s="17" t="s">
        <v>433</v>
      </c>
      <c r="D1002" s="17" t="s">
        <v>64</v>
      </c>
      <c r="E1002" s="17" t="s">
        <v>47</v>
      </c>
      <c r="F1002" s="18" t="s">
        <v>34</v>
      </c>
      <c r="G1002" s="19" t="n">
        <v>651154010391</v>
      </c>
      <c r="H1002" s="17" t="s">
        <v>134</v>
      </c>
      <c r="I1002" s="17" t="s">
        <v>50</v>
      </c>
      <c r="J1002" s="17" t="s">
        <v>106</v>
      </c>
      <c r="K1002" s="17" t="str">
        <f aca="false">VLOOKUP(J1002,Sheet2!A:B,2,0)</f>
        <v>PRAKASH CHAVDA</v>
      </c>
      <c r="L1002" s="17" t="n">
        <v>5</v>
      </c>
      <c r="M1002" s="17" t="str">
        <f aca="false">VLOOKUP(L1002,Sheet2!D:E,2,0)</f>
        <v>Main Processor CPU BGA</v>
      </c>
      <c r="N1002" s="17" t="n">
        <v>28</v>
      </c>
      <c r="O1002" s="17" t="str">
        <f aca="false">VLOOKUP(N1002,Sheet2!G:H,2,0)</f>
        <v>Hang and Freeze video - AV</v>
      </c>
      <c r="P1002" s="17" t="n">
        <v>12</v>
      </c>
      <c r="Q1002" s="17" t="str">
        <f aca="false">VLOOKUP(P1002,Sheet2!J:K,2,0)</f>
        <v>IR Declared due to Others ( IR Normal)TB</v>
      </c>
      <c r="R1002" s="17" t="s">
        <v>35</v>
      </c>
      <c r="S1002" s="17" t="str">
        <f aca="false">VLOOKUP(R1002,Sheet2!N:O,2,0)</f>
        <v>IREPARABLE</v>
      </c>
      <c r="T1002" s="18" t="str">
        <f aca="false">VLOOKUP(P1002,Sheet2!Q:R,2,0)</f>
        <v>IR Normal - BER to IR</v>
      </c>
      <c r="U1002" s="20" t="s">
        <v>135</v>
      </c>
      <c r="V1002" s="17" t="n">
        <v>12</v>
      </c>
      <c r="W1002" s="20" t="str">
        <f aca="false">VLOOKUP(V1002,Sheet2!Q:R,2,0)</f>
        <v>IR Normal - BER to IR</v>
      </c>
      <c r="X1002" s="17" t="str">
        <f aca="false">J1002</f>
        <v>A018</v>
      </c>
      <c r="Y1002" s="17" t="str">
        <f aca="false">VLOOKUP(X1002,Sheet2!A:B,2,0)</f>
        <v>PRAKASH CHAVDA</v>
      </c>
      <c r="Z1002" s="17" t="s">
        <v>149</v>
      </c>
      <c r="AA1002" s="17" t="s">
        <v>477</v>
      </c>
      <c r="AB1002" s="17" t="s">
        <v>41</v>
      </c>
      <c r="AC1002" s="0" t="str">
        <f aca="false">LEFT(G1002,2)</f>
        <v>65</v>
      </c>
      <c r="AE1002" s="21" t="s">
        <v>42</v>
      </c>
    </row>
    <row r="1003" customFormat="false" ht="15" hidden="false" customHeight="false" outlineLevel="0" collapsed="false">
      <c r="A1003" s="13" t="n">
        <f aca="false">1+A1002</f>
        <v>1001</v>
      </c>
      <c r="B1003" s="17" t="n">
        <v>1009677485</v>
      </c>
      <c r="C1003" s="17" t="s">
        <v>436</v>
      </c>
      <c r="D1003" s="17" t="s">
        <v>143</v>
      </c>
      <c r="E1003" s="17" t="s">
        <v>47</v>
      </c>
      <c r="F1003" s="18" t="s">
        <v>34</v>
      </c>
      <c r="G1003" s="19" t="n">
        <v>652040017335</v>
      </c>
      <c r="H1003" s="17" t="s">
        <v>134</v>
      </c>
      <c r="I1003" s="17" t="s">
        <v>50</v>
      </c>
      <c r="J1003" s="17" t="s">
        <v>106</v>
      </c>
      <c r="K1003" s="17" t="str">
        <f aca="false">VLOOKUP(J1003,Sheet2!A:B,2,0)</f>
        <v>PRAKASH CHAVDA</v>
      </c>
      <c r="L1003" s="17" t="n">
        <v>5</v>
      </c>
      <c r="M1003" s="17" t="str">
        <f aca="false">VLOOKUP(L1003,Sheet2!D:E,2,0)</f>
        <v>Main Processor CPU BGA</v>
      </c>
      <c r="N1003" s="17" t="n">
        <v>1</v>
      </c>
      <c r="O1003" s="17" t="str">
        <f aca="false">VLOOKUP(N1003,Sheet2!G:H,2,0)</f>
        <v>Dead</v>
      </c>
      <c r="P1003" s="17" t="n">
        <v>12</v>
      </c>
      <c r="Q1003" s="17" t="str">
        <f aca="false">VLOOKUP(P1003,Sheet2!J:K,2,0)</f>
        <v>IR Declared due to Others ( IR Normal)TB</v>
      </c>
      <c r="R1003" s="17" t="s">
        <v>35</v>
      </c>
      <c r="S1003" s="17" t="str">
        <f aca="false">VLOOKUP(R1003,Sheet2!N:O,2,0)</f>
        <v>IREPARABLE</v>
      </c>
      <c r="T1003" s="18" t="str">
        <f aca="false">VLOOKUP(P1003,Sheet2!Q:R,2,0)</f>
        <v>IR Normal - BER to IR</v>
      </c>
      <c r="U1003" s="20" t="s">
        <v>135</v>
      </c>
      <c r="V1003" s="17" t="n">
        <v>12</v>
      </c>
      <c r="W1003" s="20" t="str">
        <f aca="false">VLOOKUP(V1003,Sheet2!Q:R,2,0)</f>
        <v>IR Normal - BER to IR</v>
      </c>
      <c r="X1003" s="17" t="str">
        <f aca="false">J1003</f>
        <v>A018</v>
      </c>
      <c r="Y1003" s="17" t="str">
        <f aca="false">VLOOKUP(X1003,Sheet2!A:B,2,0)</f>
        <v>PRAKASH CHAVDA</v>
      </c>
      <c r="Z1003" s="17" t="s">
        <v>149</v>
      </c>
      <c r="AA1003" s="17" t="s">
        <v>477</v>
      </c>
      <c r="AB1003" s="17" t="s">
        <v>41</v>
      </c>
      <c r="AC1003" s="0" t="str">
        <f aca="false">LEFT(G1003,2)</f>
        <v>65</v>
      </c>
      <c r="AE1003" s="21" t="s">
        <v>42</v>
      </c>
    </row>
    <row r="1004" customFormat="false" ht="15" hidden="false" customHeight="false" outlineLevel="0" collapsed="false">
      <c r="A1004" s="13" t="n">
        <f aca="false">1+A1003</f>
        <v>1002</v>
      </c>
      <c r="B1004" s="17" t="n">
        <v>1009683347</v>
      </c>
      <c r="C1004" s="17" t="s">
        <v>413</v>
      </c>
      <c r="D1004" s="17" t="s">
        <v>64</v>
      </c>
      <c r="E1004" s="17" t="s">
        <v>47</v>
      </c>
      <c r="F1004" s="18" t="s">
        <v>34</v>
      </c>
      <c r="G1004" s="19" t="n">
        <v>651126033471</v>
      </c>
      <c r="H1004" s="17" t="s">
        <v>134</v>
      </c>
      <c r="I1004" s="17" t="s">
        <v>50</v>
      </c>
      <c r="J1004" s="17" t="s">
        <v>106</v>
      </c>
      <c r="K1004" s="17" t="str">
        <f aca="false">VLOOKUP(J1004,Sheet2!A:B,2,0)</f>
        <v>PRAKASH CHAVDA</v>
      </c>
      <c r="L1004" s="17" t="n">
        <v>5</v>
      </c>
      <c r="M1004" s="17" t="str">
        <f aca="false">VLOOKUP(L1004,Sheet2!D:E,2,0)</f>
        <v>Main Processor CPU BGA</v>
      </c>
      <c r="N1004" s="17" t="n">
        <v>1</v>
      </c>
      <c r="O1004" s="17" t="str">
        <f aca="false">VLOOKUP(N1004,Sheet2!G:H,2,0)</f>
        <v>Dead</v>
      </c>
      <c r="P1004" s="17" t="n">
        <v>12</v>
      </c>
      <c r="Q1004" s="17" t="str">
        <f aca="false">VLOOKUP(P1004,Sheet2!J:K,2,0)</f>
        <v>IR Declared due to Others ( IR Normal)TB</v>
      </c>
      <c r="R1004" s="17" t="s">
        <v>35</v>
      </c>
      <c r="S1004" s="17" t="str">
        <f aca="false">VLOOKUP(R1004,Sheet2!N:O,2,0)</f>
        <v>IREPARABLE</v>
      </c>
      <c r="T1004" s="18" t="str">
        <f aca="false">VLOOKUP(P1004,Sheet2!Q:R,2,0)</f>
        <v>IR Normal - BER to IR</v>
      </c>
      <c r="U1004" s="20" t="s">
        <v>135</v>
      </c>
      <c r="V1004" s="17" t="n">
        <v>12</v>
      </c>
      <c r="W1004" s="20" t="str">
        <f aca="false">VLOOKUP(V1004,Sheet2!Q:R,2,0)</f>
        <v>IR Normal - BER to IR</v>
      </c>
      <c r="X1004" s="17" t="str">
        <f aca="false">J1004</f>
        <v>A018</v>
      </c>
      <c r="Y1004" s="17" t="str">
        <f aca="false">VLOOKUP(X1004,Sheet2!A:B,2,0)</f>
        <v>PRAKASH CHAVDA</v>
      </c>
      <c r="Z1004" s="17" t="s">
        <v>149</v>
      </c>
      <c r="AA1004" s="17" t="s">
        <v>477</v>
      </c>
      <c r="AB1004" s="17" t="s">
        <v>41</v>
      </c>
      <c r="AC1004" s="0" t="str">
        <f aca="false">LEFT(G1004,2)</f>
        <v>65</v>
      </c>
      <c r="AE1004" s="21" t="s">
        <v>42</v>
      </c>
    </row>
    <row r="1005" customFormat="false" ht="15" hidden="false" customHeight="false" outlineLevel="0" collapsed="false">
      <c r="A1005" s="13" t="n">
        <f aca="false">1+A1004</f>
        <v>1003</v>
      </c>
      <c r="B1005" s="17" t="n">
        <v>1009677492</v>
      </c>
      <c r="C1005" s="17" t="s">
        <v>436</v>
      </c>
      <c r="D1005" s="17" t="s">
        <v>64</v>
      </c>
      <c r="E1005" s="17" t="s">
        <v>47</v>
      </c>
      <c r="F1005" s="18" t="s">
        <v>34</v>
      </c>
      <c r="G1005" s="19" t="n">
        <v>651018010793</v>
      </c>
      <c r="H1005" s="17" t="s">
        <v>134</v>
      </c>
      <c r="I1005" s="17" t="s">
        <v>50</v>
      </c>
      <c r="J1005" s="17" t="s">
        <v>106</v>
      </c>
      <c r="K1005" s="17" t="str">
        <f aca="false">VLOOKUP(J1005,Sheet2!A:B,2,0)</f>
        <v>PRAKASH CHAVDA</v>
      </c>
      <c r="L1005" s="17" t="n">
        <v>5</v>
      </c>
      <c r="M1005" s="17" t="str">
        <f aca="false">VLOOKUP(L1005,Sheet2!D:E,2,0)</f>
        <v>Main Processor CPU BGA</v>
      </c>
      <c r="N1005" s="17" t="n">
        <v>16</v>
      </c>
      <c r="O1005" s="17" t="str">
        <f aca="false">VLOOKUP(N1005,Sheet2!G:H,2,0)</f>
        <v>No Video - HDMI</v>
      </c>
      <c r="P1005" s="17" t="n">
        <v>12</v>
      </c>
      <c r="Q1005" s="17" t="str">
        <f aca="false">VLOOKUP(P1005,Sheet2!J:K,2,0)</f>
        <v>IR Declared due to Others ( IR Normal)TB</v>
      </c>
      <c r="R1005" s="17" t="s">
        <v>35</v>
      </c>
      <c r="S1005" s="17" t="str">
        <f aca="false">VLOOKUP(R1005,Sheet2!N:O,2,0)</f>
        <v>IREPARABLE</v>
      </c>
      <c r="T1005" s="18" t="str">
        <f aca="false">VLOOKUP(P1005,Sheet2!Q:R,2,0)</f>
        <v>IR Normal - BER to IR</v>
      </c>
      <c r="U1005" s="20" t="s">
        <v>135</v>
      </c>
      <c r="V1005" s="17" t="n">
        <v>12</v>
      </c>
      <c r="W1005" s="20" t="str">
        <f aca="false">VLOOKUP(V1005,Sheet2!Q:R,2,0)</f>
        <v>IR Normal - BER to IR</v>
      </c>
      <c r="X1005" s="17" t="str">
        <f aca="false">J1005</f>
        <v>A018</v>
      </c>
      <c r="Y1005" s="17" t="str">
        <f aca="false">VLOOKUP(X1005,Sheet2!A:B,2,0)</f>
        <v>PRAKASH CHAVDA</v>
      </c>
      <c r="Z1005" s="17" t="s">
        <v>149</v>
      </c>
      <c r="AA1005" s="17" t="s">
        <v>477</v>
      </c>
      <c r="AB1005" s="17" t="s">
        <v>41</v>
      </c>
      <c r="AC1005" s="0" t="str">
        <f aca="false">LEFT(G1005,2)</f>
        <v>65</v>
      </c>
      <c r="AE1005" s="21" t="s">
        <v>42</v>
      </c>
    </row>
    <row r="1006" customFormat="false" ht="15" hidden="false" customHeight="false" outlineLevel="0" collapsed="false">
      <c r="A1006" s="13" t="n">
        <f aca="false">1+A1005</f>
        <v>1004</v>
      </c>
      <c r="B1006" s="17" t="n">
        <v>1009525271</v>
      </c>
      <c r="C1006" s="17" t="s">
        <v>162</v>
      </c>
      <c r="D1006" s="17" t="s">
        <v>64</v>
      </c>
      <c r="E1006" s="17" t="s">
        <v>47</v>
      </c>
      <c r="F1006" s="18" t="s">
        <v>34</v>
      </c>
      <c r="G1006" s="19" t="n">
        <v>651061016432</v>
      </c>
      <c r="H1006" s="17" t="s">
        <v>134</v>
      </c>
      <c r="I1006" s="17" t="s">
        <v>50</v>
      </c>
      <c r="J1006" s="17" t="s">
        <v>106</v>
      </c>
      <c r="K1006" s="17" t="str">
        <f aca="false">VLOOKUP(J1006,Sheet2!A:B,2,0)</f>
        <v>PRAKASH CHAVDA</v>
      </c>
      <c r="L1006" s="17" t="n">
        <v>5</v>
      </c>
      <c r="M1006" s="17" t="str">
        <f aca="false">VLOOKUP(L1006,Sheet2!D:E,2,0)</f>
        <v>Main Processor CPU BGA</v>
      </c>
      <c r="N1006" s="17" t="n">
        <v>16</v>
      </c>
      <c r="O1006" s="17" t="str">
        <f aca="false">VLOOKUP(N1006,Sheet2!G:H,2,0)</f>
        <v>No Video - HDMI</v>
      </c>
      <c r="P1006" s="17" t="n">
        <v>12</v>
      </c>
      <c r="Q1006" s="17" t="str">
        <f aca="false">VLOOKUP(P1006,Sheet2!J:K,2,0)</f>
        <v>IR Declared due to Others ( IR Normal)TB</v>
      </c>
      <c r="R1006" s="17" t="s">
        <v>35</v>
      </c>
      <c r="S1006" s="17" t="str">
        <f aca="false">VLOOKUP(R1006,Sheet2!N:O,2,0)</f>
        <v>IREPARABLE</v>
      </c>
      <c r="T1006" s="18" t="str">
        <f aca="false">VLOOKUP(P1006,Sheet2!Q:R,2,0)</f>
        <v>IR Normal - BER to IR</v>
      </c>
      <c r="U1006" s="20" t="s">
        <v>135</v>
      </c>
      <c r="V1006" s="17" t="n">
        <v>12</v>
      </c>
      <c r="W1006" s="20" t="str">
        <f aca="false">VLOOKUP(V1006,Sheet2!Q:R,2,0)</f>
        <v>IR Normal - BER to IR</v>
      </c>
      <c r="X1006" s="17" t="str">
        <f aca="false">J1006</f>
        <v>A018</v>
      </c>
      <c r="Y1006" s="17" t="str">
        <f aca="false">VLOOKUP(X1006,Sheet2!A:B,2,0)</f>
        <v>PRAKASH CHAVDA</v>
      </c>
      <c r="Z1006" s="17" t="s">
        <v>149</v>
      </c>
      <c r="AA1006" s="17" t="s">
        <v>477</v>
      </c>
      <c r="AB1006" s="17" t="s">
        <v>41</v>
      </c>
      <c r="AC1006" s="0" t="str">
        <f aca="false">LEFT(G1006,2)</f>
        <v>65</v>
      </c>
      <c r="AE1006" s="21" t="s">
        <v>42</v>
      </c>
    </row>
    <row r="1007" customFormat="false" ht="15" hidden="false" customHeight="false" outlineLevel="0" collapsed="false">
      <c r="A1007" s="13" t="n">
        <f aca="false">1+A1006</f>
        <v>1005</v>
      </c>
      <c r="B1007" s="17" t="n">
        <v>1009677487</v>
      </c>
      <c r="C1007" s="17" t="s">
        <v>436</v>
      </c>
      <c r="D1007" s="17" t="s">
        <v>143</v>
      </c>
      <c r="E1007" s="17" t="s">
        <v>47</v>
      </c>
      <c r="F1007" s="18" t="s">
        <v>34</v>
      </c>
      <c r="G1007" s="19" t="n">
        <v>651152006540</v>
      </c>
      <c r="H1007" s="17" t="s">
        <v>134</v>
      </c>
      <c r="I1007" s="17" t="s">
        <v>50</v>
      </c>
      <c r="J1007" s="17" t="s">
        <v>106</v>
      </c>
      <c r="K1007" s="17" t="str">
        <f aca="false">VLOOKUP(J1007,Sheet2!A:B,2,0)</f>
        <v>PRAKASH CHAVDA</v>
      </c>
      <c r="L1007" s="17" t="n">
        <v>5</v>
      </c>
      <c r="M1007" s="17" t="str">
        <f aca="false">VLOOKUP(L1007,Sheet2!D:E,2,0)</f>
        <v>Main Processor CPU BGA</v>
      </c>
      <c r="N1007" s="17" t="n">
        <v>1</v>
      </c>
      <c r="O1007" s="17" t="str">
        <f aca="false">VLOOKUP(N1007,Sheet2!G:H,2,0)</f>
        <v>Dead</v>
      </c>
      <c r="P1007" s="17" t="n">
        <v>12</v>
      </c>
      <c r="Q1007" s="17" t="str">
        <f aca="false">VLOOKUP(P1007,Sheet2!J:K,2,0)</f>
        <v>IR Declared due to Others ( IR Normal)TB</v>
      </c>
      <c r="R1007" s="17" t="s">
        <v>35</v>
      </c>
      <c r="S1007" s="17" t="str">
        <f aca="false">VLOOKUP(R1007,Sheet2!N:O,2,0)</f>
        <v>IREPARABLE</v>
      </c>
      <c r="T1007" s="18" t="str">
        <f aca="false">VLOOKUP(P1007,Sheet2!Q:R,2,0)</f>
        <v>IR Normal - BER to IR</v>
      </c>
      <c r="U1007" s="20" t="s">
        <v>135</v>
      </c>
      <c r="V1007" s="17" t="n">
        <v>12</v>
      </c>
      <c r="W1007" s="20" t="str">
        <f aca="false">VLOOKUP(V1007,Sheet2!Q:R,2,0)</f>
        <v>IR Normal - BER to IR</v>
      </c>
      <c r="X1007" s="17" t="str">
        <f aca="false">J1007</f>
        <v>A018</v>
      </c>
      <c r="Y1007" s="17" t="str">
        <f aca="false">VLOOKUP(X1007,Sheet2!A:B,2,0)</f>
        <v>PRAKASH CHAVDA</v>
      </c>
      <c r="Z1007" s="17" t="s">
        <v>149</v>
      </c>
      <c r="AA1007" s="17" t="s">
        <v>477</v>
      </c>
      <c r="AB1007" s="17" t="s">
        <v>41</v>
      </c>
      <c r="AC1007" s="0" t="str">
        <f aca="false">LEFT(G1007,2)</f>
        <v>65</v>
      </c>
      <c r="AE1007" s="21" t="s">
        <v>42</v>
      </c>
    </row>
    <row r="1008" customFormat="false" ht="15" hidden="false" customHeight="false" outlineLevel="0" collapsed="false">
      <c r="A1008" s="13" t="n">
        <f aca="false">1+A1007</f>
        <v>1006</v>
      </c>
      <c r="B1008" s="17" t="n">
        <v>1009678034</v>
      </c>
      <c r="C1008" s="17" t="s">
        <v>436</v>
      </c>
      <c r="D1008" s="17" t="s">
        <v>64</v>
      </c>
      <c r="E1008" s="17" t="s">
        <v>64</v>
      </c>
      <c r="F1008" s="18" t="s">
        <v>70</v>
      </c>
      <c r="G1008" s="19" t="n">
        <v>651160009908</v>
      </c>
      <c r="H1008" s="17" t="s">
        <v>134</v>
      </c>
      <c r="I1008" s="17" t="s">
        <v>50</v>
      </c>
      <c r="J1008" s="17" t="s">
        <v>106</v>
      </c>
      <c r="K1008" s="17" t="str">
        <f aca="false">VLOOKUP(J1008,Sheet2!A:B,2,0)</f>
        <v>PRAKASH CHAVDA</v>
      </c>
      <c r="L1008" s="17" t="n">
        <v>5</v>
      </c>
      <c r="M1008" s="17" t="str">
        <f aca="false">VLOOKUP(L1008,Sheet2!D:E,2,0)</f>
        <v>Main Processor CPU BGA</v>
      </c>
      <c r="N1008" s="17" t="n">
        <v>1</v>
      </c>
      <c r="O1008" s="17" t="str">
        <f aca="false">VLOOKUP(N1008,Sheet2!G:H,2,0)</f>
        <v>Dead</v>
      </c>
      <c r="P1008" s="17" t="n">
        <v>12</v>
      </c>
      <c r="Q1008" s="17" t="str">
        <f aca="false">VLOOKUP(P1008,Sheet2!J:K,2,0)</f>
        <v>IR Declared due to Others ( IR Normal)TB</v>
      </c>
      <c r="R1008" s="17" t="s">
        <v>35</v>
      </c>
      <c r="S1008" s="17" t="str">
        <f aca="false">VLOOKUP(R1008,Sheet2!N:O,2,0)</f>
        <v>IREPARABLE</v>
      </c>
      <c r="T1008" s="18" t="str">
        <f aca="false">VLOOKUP(P1008,Sheet2!Q:R,2,0)</f>
        <v>IR Normal - BER to IR</v>
      </c>
      <c r="U1008" s="20" t="s">
        <v>135</v>
      </c>
      <c r="V1008" s="17" t="n">
        <v>12</v>
      </c>
      <c r="W1008" s="20" t="str">
        <f aca="false">VLOOKUP(V1008,Sheet2!Q:R,2,0)</f>
        <v>IR Normal - BER to IR</v>
      </c>
      <c r="X1008" s="17" t="str">
        <f aca="false">J1008</f>
        <v>A018</v>
      </c>
      <c r="Y1008" s="17" t="str">
        <f aca="false">VLOOKUP(X1008,Sheet2!A:B,2,0)</f>
        <v>PRAKASH CHAVDA</v>
      </c>
      <c r="Z1008" s="17" t="s">
        <v>149</v>
      </c>
      <c r="AA1008" s="17" t="s">
        <v>477</v>
      </c>
      <c r="AB1008" s="17" t="s">
        <v>41</v>
      </c>
      <c r="AC1008" s="0" t="str">
        <f aca="false">LEFT(G1008,2)</f>
        <v>65</v>
      </c>
      <c r="AE1008" s="21" t="s">
        <v>42</v>
      </c>
    </row>
    <row r="1009" customFormat="false" ht="15" hidden="false" customHeight="false" outlineLevel="0" collapsed="false">
      <c r="A1009" s="13" t="n">
        <f aca="false">1+A1008</f>
        <v>1007</v>
      </c>
      <c r="B1009" s="17" t="n">
        <v>1009677488</v>
      </c>
      <c r="C1009" s="17" t="s">
        <v>436</v>
      </c>
      <c r="D1009" s="17" t="s">
        <v>32</v>
      </c>
      <c r="E1009" s="17" t="s">
        <v>91</v>
      </c>
      <c r="F1009" s="18" t="s">
        <v>92</v>
      </c>
      <c r="G1009" s="19" t="n">
        <v>651158003582</v>
      </c>
      <c r="H1009" s="17" t="s">
        <v>134</v>
      </c>
      <c r="I1009" s="17" t="s">
        <v>50</v>
      </c>
      <c r="J1009" s="17" t="s">
        <v>106</v>
      </c>
      <c r="K1009" s="17" t="str">
        <f aca="false">VLOOKUP(J1009,Sheet2!A:B,2,0)</f>
        <v>PRAKASH CHAVDA</v>
      </c>
      <c r="L1009" s="17" t="n">
        <v>5</v>
      </c>
      <c r="M1009" s="17" t="str">
        <f aca="false">VLOOKUP(L1009,Sheet2!D:E,2,0)</f>
        <v>Main Processor CPU BGA</v>
      </c>
      <c r="N1009" s="17" t="n">
        <v>37</v>
      </c>
      <c r="O1009" s="17" t="str">
        <f aca="false">VLOOKUP(N1009,Sheet2!G:H,2,0)</f>
        <v>Error -2</v>
      </c>
      <c r="P1009" s="17" t="n">
        <v>12</v>
      </c>
      <c r="Q1009" s="17" t="str">
        <f aca="false">VLOOKUP(P1009,Sheet2!J:K,2,0)</f>
        <v>IR Declared due to Others ( IR Normal)TB</v>
      </c>
      <c r="R1009" s="17" t="s">
        <v>35</v>
      </c>
      <c r="S1009" s="17" t="str">
        <f aca="false">VLOOKUP(R1009,Sheet2!N:O,2,0)</f>
        <v>IREPARABLE</v>
      </c>
      <c r="T1009" s="18" t="str">
        <f aca="false">VLOOKUP(P1009,Sheet2!Q:R,2,0)</f>
        <v>IR Normal - BER to IR</v>
      </c>
      <c r="U1009" s="20" t="s">
        <v>135</v>
      </c>
      <c r="V1009" s="17" t="n">
        <v>12</v>
      </c>
      <c r="W1009" s="20" t="str">
        <f aca="false">VLOOKUP(V1009,Sheet2!Q:R,2,0)</f>
        <v>IR Normal - BER to IR</v>
      </c>
      <c r="X1009" s="17" t="str">
        <f aca="false">J1009</f>
        <v>A018</v>
      </c>
      <c r="Y1009" s="17" t="str">
        <f aca="false">VLOOKUP(X1009,Sheet2!A:B,2,0)</f>
        <v>PRAKASH CHAVDA</v>
      </c>
      <c r="Z1009" s="17" t="s">
        <v>149</v>
      </c>
      <c r="AA1009" s="17" t="s">
        <v>477</v>
      </c>
      <c r="AB1009" s="17" t="s">
        <v>41</v>
      </c>
      <c r="AC1009" s="0" t="str">
        <f aca="false">LEFT(G1009,2)</f>
        <v>65</v>
      </c>
      <c r="AD1009" s="0"/>
      <c r="AE1009" s="21" t="s">
        <v>42</v>
      </c>
    </row>
    <row r="1010" customFormat="false" ht="15" hidden="false" customHeight="false" outlineLevel="0" collapsed="false">
      <c r="A1010" s="13" t="n">
        <f aca="false">1+A1009</f>
        <v>1008</v>
      </c>
      <c r="B1010" s="17" t="n">
        <v>1009677494</v>
      </c>
      <c r="C1010" s="17" t="s">
        <v>436</v>
      </c>
      <c r="D1010" s="17" t="s">
        <v>64</v>
      </c>
      <c r="E1010" s="17" t="s">
        <v>492</v>
      </c>
      <c r="F1010" s="18" t="s">
        <v>34</v>
      </c>
      <c r="G1010" s="19" t="n">
        <v>651295005144</v>
      </c>
      <c r="H1010" s="17" t="s">
        <v>134</v>
      </c>
      <c r="I1010" s="17" t="s">
        <v>50</v>
      </c>
      <c r="J1010" s="17" t="s">
        <v>106</v>
      </c>
      <c r="K1010" s="17" t="str">
        <f aca="false">VLOOKUP(J1010,Sheet2!A:B,2,0)</f>
        <v>PRAKASH CHAVDA</v>
      </c>
      <c r="L1010" s="17" t="n">
        <v>5</v>
      </c>
      <c r="M1010" s="17" t="str">
        <f aca="false">VLOOKUP(L1010,Sheet2!D:E,2,0)</f>
        <v>Main Processor CPU BGA</v>
      </c>
      <c r="N1010" s="17" t="n">
        <v>1</v>
      </c>
      <c r="O1010" s="17" t="str">
        <f aca="false">VLOOKUP(N1010,Sheet2!G:H,2,0)</f>
        <v>Dead</v>
      </c>
      <c r="P1010" s="17" t="n">
        <v>12</v>
      </c>
      <c r="Q1010" s="17" t="str">
        <f aca="false">VLOOKUP(P1010,Sheet2!J:K,2,0)</f>
        <v>IR Declared due to Others ( IR Normal)TB</v>
      </c>
      <c r="R1010" s="17" t="s">
        <v>35</v>
      </c>
      <c r="S1010" s="17" t="str">
        <f aca="false">VLOOKUP(R1010,Sheet2!N:O,2,0)</f>
        <v>IREPARABLE</v>
      </c>
      <c r="T1010" s="18" t="str">
        <f aca="false">VLOOKUP(P1010,Sheet2!Q:R,2,0)</f>
        <v>IR Normal - BER to IR</v>
      </c>
      <c r="U1010" s="20" t="s">
        <v>135</v>
      </c>
      <c r="V1010" s="17" t="n">
        <v>12</v>
      </c>
      <c r="W1010" s="20" t="str">
        <f aca="false">VLOOKUP(V1010,Sheet2!Q:R,2,0)</f>
        <v>IR Normal - BER to IR</v>
      </c>
      <c r="X1010" s="17" t="str">
        <f aca="false">J1010</f>
        <v>A018</v>
      </c>
      <c r="Y1010" s="17" t="str">
        <f aca="false">VLOOKUP(X1010,Sheet2!A:B,2,0)</f>
        <v>PRAKASH CHAVDA</v>
      </c>
      <c r="Z1010" s="17" t="s">
        <v>149</v>
      </c>
      <c r="AA1010" s="17" t="s">
        <v>477</v>
      </c>
      <c r="AB1010" s="17" t="s">
        <v>41</v>
      </c>
      <c r="AC1010" s="0" t="str">
        <f aca="false">LEFT(G1010,2)</f>
        <v>65</v>
      </c>
      <c r="AD1010" s="0"/>
      <c r="AE1010" s="21" t="s">
        <v>42</v>
      </c>
    </row>
    <row r="1011" customFormat="false" ht="15" hidden="false" customHeight="false" outlineLevel="0" collapsed="false">
      <c r="A1011" s="13" t="n">
        <f aca="false">1+A1010</f>
        <v>1009</v>
      </c>
      <c r="B1011" s="17" t="n">
        <v>1009678038</v>
      </c>
      <c r="C1011" s="17" t="s">
        <v>436</v>
      </c>
      <c r="D1011" s="17" t="s">
        <v>32</v>
      </c>
      <c r="E1011" s="17" t="s">
        <v>47</v>
      </c>
      <c r="F1011" s="18" t="s">
        <v>34</v>
      </c>
      <c r="G1011" s="19" t="n">
        <v>651097009518</v>
      </c>
      <c r="H1011" s="17" t="s">
        <v>134</v>
      </c>
      <c r="I1011" s="17" t="s">
        <v>50</v>
      </c>
      <c r="J1011" s="17" t="s">
        <v>106</v>
      </c>
      <c r="K1011" s="17" t="str">
        <f aca="false">VLOOKUP(J1011,Sheet2!A:B,2,0)</f>
        <v>PRAKASH CHAVDA</v>
      </c>
      <c r="L1011" s="17" t="n">
        <v>5</v>
      </c>
      <c r="M1011" s="17" t="str">
        <f aca="false">VLOOKUP(L1011,Sheet2!D:E,2,0)</f>
        <v>Main Processor CPU BGA</v>
      </c>
      <c r="N1011" s="17" t="n">
        <v>1</v>
      </c>
      <c r="O1011" s="17" t="str">
        <f aca="false">VLOOKUP(N1011,Sheet2!G:H,2,0)</f>
        <v>Dead</v>
      </c>
      <c r="P1011" s="17" t="n">
        <v>12</v>
      </c>
      <c r="Q1011" s="17" t="str">
        <f aca="false">VLOOKUP(P1011,Sheet2!J:K,2,0)</f>
        <v>IR Declared due to Others ( IR Normal)TB</v>
      </c>
      <c r="R1011" s="17" t="s">
        <v>35</v>
      </c>
      <c r="S1011" s="17" t="str">
        <f aca="false">VLOOKUP(R1011,Sheet2!N:O,2,0)</f>
        <v>IREPARABLE</v>
      </c>
      <c r="T1011" s="18" t="str">
        <f aca="false">VLOOKUP(P1011,Sheet2!Q:R,2,0)</f>
        <v>IR Normal - BER to IR</v>
      </c>
      <c r="U1011" s="20" t="s">
        <v>135</v>
      </c>
      <c r="V1011" s="17" t="n">
        <v>12</v>
      </c>
      <c r="W1011" s="20" t="str">
        <f aca="false">VLOOKUP(V1011,Sheet2!Q:R,2,0)</f>
        <v>IR Normal - BER to IR</v>
      </c>
      <c r="X1011" s="17" t="str">
        <f aca="false">J1011</f>
        <v>A018</v>
      </c>
      <c r="Y1011" s="17" t="str">
        <f aca="false">VLOOKUP(X1011,Sheet2!A:B,2,0)</f>
        <v>PRAKASH CHAVDA</v>
      </c>
      <c r="Z1011" s="17" t="s">
        <v>149</v>
      </c>
      <c r="AA1011" s="17" t="s">
        <v>477</v>
      </c>
      <c r="AB1011" s="17" t="s">
        <v>41</v>
      </c>
      <c r="AC1011" s="0" t="str">
        <f aca="false">LEFT(G1011,2)</f>
        <v>65</v>
      </c>
      <c r="AD1011" s="0"/>
      <c r="AE1011" s="21" t="s">
        <v>42</v>
      </c>
    </row>
    <row r="1012" customFormat="false" ht="15" hidden="false" customHeight="false" outlineLevel="0" collapsed="false">
      <c r="A1012" s="13" t="n">
        <f aca="false">1+A1011</f>
        <v>1010</v>
      </c>
      <c r="B1012" s="17" t="n">
        <v>1009677497</v>
      </c>
      <c r="C1012" s="17" t="s">
        <v>436</v>
      </c>
      <c r="D1012" s="17" t="s">
        <v>190</v>
      </c>
      <c r="E1012" s="17" t="s">
        <v>64</v>
      </c>
      <c r="F1012" s="18" t="s">
        <v>70</v>
      </c>
      <c r="G1012" s="19" t="n">
        <v>651090008871</v>
      </c>
      <c r="H1012" s="17" t="s">
        <v>134</v>
      </c>
      <c r="I1012" s="17" t="s">
        <v>50</v>
      </c>
      <c r="J1012" s="17" t="s">
        <v>106</v>
      </c>
      <c r="K1012" s="17" t="str">
        <f aca="false">VLOOKUP(J1012,Sheet2!A:B,2,0)</f>
        <v>PRAKASH CHAVDA</v>
      </c>
      <c r="L1012" s="17" t="n">
        <v>5</v>
      </c>
      <c r="M1012" s="17" t="str">
        <f aca="false">VLOOKUP(L1012,Sheet2!D:E,2,0)</f>
        <v>Main Processor CPU BGA</v>
      </c>
      <c r="N1012" s="17" t="n">
        <v>28</v>
      </c>
      <c r="O1012" s="17" t="str">
        <f aca="false">VLOOKUP(N1012,Sheet2!G:H,2,0)</f>
        <v>Hang and Freeze video - AV</v>
      </c>
      <c r="P1012" s="17" t="n">
        <v>12</v>
      </c>
      <c r="Q1012" s="17" t="str">
        <f aca="false">VLOOKUP(P1012,Sheet2!J:K,2,0)</f>
        <v>IR Declared due to Others ( IR Normal)TB</v>
      </c>
      <c r="R1012" s="17" t="s">
        <v>35</v>
      </c>
      <c r="S1012" s="17" t="str">
        <f aca="false">VLOOKUP(R1012,Sheet2!N:O,2,0)</f>
        <v>IREPARABLE</v>
      </c>
      <c r="T1012" s="18" t="str">
        <f aca="false">VLOOKUP(P1012,Sheet2!Q:R,2,0)</f>
        <v>IR Normal - BER to IR</v>
      </c>
      <c r="U1012" s="20" t="s">
        <v>135</v>
      </c>
      <c r="V1012" s="17" t="n">
        <v>12</v>
      </c>
      <c r="W1012" s="20" t="str">
        <f aca="false">VLOOKUP(V1012,Sheet2!Q:R,2,0)</f>
        <v>IR Normal - BER to IR</v>
      </c>
      <c r="X1012" s="17" t="str">
        <f aca="false">J1012</f>
        <v>A018</v>
      </c>
      <c r="Y1012" s="17" t="str">
        <f aca="false">VLOOKUP(X1012,Sheet2!A:B,2,0)</f>
        <v>PRAKASH CHAVDA</v>
      </c>
      <c r="Z1012" s="17" t="s">
        <v>149</v>
      </c>
      <c r="AA1012" s="17" t="s">
        <v>477</v>
      </c>
      <c r="AB1012" s="17" t="s">
        <v>41</v>
      </c>
      <c r="AC1012" s="0" t="str">
        <f aca="false">LEFT(G1012,2)</f>
        <v>65</v>
      </c>
      <c r="AD1012" s="0"/>
      <c r="AE1012" s="21" t="s">
        <v>42</v>
      </c>
    </row>
    <row r="1013" customFormat="false" ht="15" hidden="false" customHeight="false" outlineLevel="0" collapsed="false">
      <c r="A1013" s="13" t="n">
        <f aca="false">1+A1012</f>
        <v>1011</v>
      </c>
      <c r="B1013" s="17" t="n">
        <v>1009677500</v>
      </c>
      <c r="C1013" s="17" t="s">
        <v>436</v>
      </c>
      <c r="D1013" s="17" t="s">
        <v>143</v>
      </c>
      <c r="E1013" s="17" t="s">
        <v>47</v>
      </c>
      <c r="F1013" s="18" t="s">
        <v>34</v>
      </c>
      <c r="G1013" s="19" t="n">
        <v>651160036695</v>
      </c>
      <c r="H1013" s="17" t="s">
        <v>134</v>
      </c>
      <c r="I1013" s="17" t="s">
        <v>50</v>
      </c>
      <c r="J1013" s="17" t="s">
        <v>106</v>
      </c>
      <c r="K1013" s="17" t="str">
        <f aca="false">VLOOKUP(J1013,Sheet2!A:B,2,0)</f>
        <v>PRAKASH CHAVDA</v>
      </c>
      <c r="L1013" s="17" t="n">
        <v>5</v>
      </c>
      <c r="M1013" s="17" t="str">
        <f aca="false">VLOOKUP(L1013,Sheet2!D:E,2,0)</f>
        <v>Main Processor CPU BGA</v>
      </c>
      <c r="N1013" s="17" t="n">
        <v>1</v>
      </c>
      <c r="O1013" s="17" t="str">
        <f aca="false">VLOOKUP(N1013,Sheet2!G:H,2,0)</f>
        <v>Dead</v>
      </c>
      <c r="P1013" s="17" t="n">
        <v>12</v>
      </c>
      <c r="Q1013" s="17" t="str">
        <f aca="false">VLOOKUP(P1013,Sheet2!J:K,2,0)</f>
        <v>IR Declared due to Others ( IR Normal)TB</v>
      </c>
      <c r="R1013" s="17" t="s">
        <v>35</v>
      </c>
      <c r="S1013" s="17" t="str">
        <f aca="false">VLOOKUP(R1013,Sheet2!N:O,2,0)</f>
        <v>IREPARABLE</v>
      </c>
      <c r="T1013" s="18" t="str">
        <f aca="false">VLOOKUP(P1013,Sheet2!Q:R,2,0)</f>
        <v>IR Normal - BER to IR</v>
      </c>
      <c r="U1013" s="20" t="s">
        <v>135</v>
      </c>
      <c r="V1013" s="17" t="n">
        <v>12</v>
      </c>
      <c r="W1013" s="20" t="str">
        <f aca="false">VLOOKUP(V1013,Sheet2!Q:R,2,0)</f>
        <v>IR Normal - BER to IR</v>
      </c>
      <c r="X1013" s="17" t="str">
        <f aca="false">J1013</f>
        <v>A018</v>
      </c>
      <c r="Y1013" s="17" t="str">
        <f aca="false">VLOOKUP(X1013,Sheet2!A:B,2,0)</f>
        <v>PRAKASH CHAVDA</v>
      </c>
      <c r="Z1013" s="17" t="s">
        <v>149</v>
      </c>
      <c r="AA1013" s="17" t="s">
        <v>477</v>
      </c>
      <c r="AB1013" s="17" t="s">
        <v>41</v>
      </c>
      <c r="AC1013" s="0" t="str">
        <f aca="false">LEFT(G1013,2)</f>
        <v>65</v>
      </c>
      <c r="AD1013" s="0"/>
      <c r="AE1013" s="21" t="s">
        <v>42</v>
      </c>
    </row>
    <row r="1014" customFormat="false" ht="15" hidden="false" customHeight="false" outlineLevel="0" collapsed="false">
      <c r="A1014" s="13" t="n">
        <f aca="false">1+A1013</f>
        <v>1012</v>
      </c>
      <c r="B1014" s="17" t="n">
        <v>1009509389</v>
      </c>
      <c r="C1014" s="17" t="s">
        <v>95</v>
      </c>
      <c r="D1014" s="17" t="s">
        <v>64</v>
      </c>
      <c r="E1014" s="17" t="s">
        <v>64</v>
      </c>
      <c r="F1014" s="18" t="s">
        <v>70</v>
      </c>
      <c r="G1014" s="19" t="n">
        <v>651160024683</v>
      </c>
      <c r="H1014" s="17" t="s">
        <v>134</v>
      </c>
      <c r="I1014" s="17" t="s">
        <v>50</v>
      </c>
      <c r="J1014" s="17" t="s">
        <v>106</v>
      </c>
      <c r="K1014" s="17" t="str">
        <f aca="false">VLOOKUP(J1014,Sheet2!A:B,2,0)</f>
        <v>PRAKASH CHAVDA</v>
      </c>
      <c r="L1014" s="17" t="n">
        <v>5</v>
      </c>
      <c r="M1014" s="17" t="str">
        <f aca="false">VLOOKUP(L1014,Sheet2!D:E,2,0)</f>
        <v>Main Processor CPU BGA</v>
      </c>
      <c r="N1014" s="17" t="n">
        <v>33</v>
      </c>
      <c r="O1014" s="17" t="str">
        <f aca="false">VLOOKUP(N1014,Sheet2!G:H,2,0)</f>
        <v>Software download failure</v>
      </c>
      <c r="P1014" s="17" t="n">
        <v>12</v>
      </c>
      <c r="Q1014" s="17" t="str">
        <f aca="false">VLOOKUP(P1014,Sheet2!J:K,2,0)</f>
        <v>IR Declared due to Others ( IR Normal)TB</v>
      </c>
      <c r="R1014" s="17" t="s">
        <v>35</v>
      </c>
      <c r="S1014" s="17" t="str">
        <f aca="false">VLOOKUP(R1014,Sheet2!N:O,2,0)</f>
        <v>IREPARABLE</v>
      </c>
      <c r="T1014" s="18" t="str">
        <f aca="false">VLOOKUP(P1014,Sheet2!Q:R,2,0)</f>
        <v>IR Normal - BER to IR</v>
      </c>
      <c r="U1014" s="20" t="s">
        <v>135</v>
      </c>
      <c r="V1014" s="17" t="n">
        <v>12</v>
      </c>
      <c r="W1014" s="20" t="str">
        <f aca="false">VLOOKUP(V1014,Sheet2!Q:R,2,0)</f>
        <v>IR Normal - BER to IR</v>
      </c>
      <c r="X1014" s="17" t="str">
        <f aca="false">J1014</f>
        <v>A018</v>
      </c>
      <c r="Y1014" s="17" t="str">
        <f aca="false">VLOOKUP(X1014,Sheet2!A:B,2,0)</f>
        <v>PRAKASH CHAVDA</v>
      </c>
      <c r="Z1014" s="17" t="s">
        <v>149</v>
      </c>
      <c r="AA1014" s="17" t="s">
        <v>477</v>
      </c>
      <c r="AB1014" s="17" t="s">
        <v>41</v>
      </c>
      <c r="AC1014" s="0" t="str">
        <f aca="false">LEFT(G1014,2)</f>
        <v>65</v>
      </c>
      <c r="AD1014" s="0"/>
      <c r="AE1014" s="21" t="s">
        <v>42</v>
      </c>
    </row>
    <row r="1015" customFormat="false" ht="15" hidden="false" customHeight="false" outlineLevel="0" collapsed="false">
      <c r="A1015" s="13" t="n">
        <f aca="false">1+A1014</f>
        <v>1013</v>
      </c>
      <c r="B1015" s="17" t="n">
        <v>1009603840</v>
      </c>
      <c r="C1015" s="17" t="s">
        <v>95</v>
      </c>
      <c r="D1015" s="17" t="s">
        <v>64</v>
      </c>
      <c r="E1015" s="17" t="s">
        <v>47</v>
      </c>
      <c r="F1015" s="18" t="s">
        <v>34</v>
      </c>
      <c r="G1015" s="19" t="n">
        <v>651117002303</v>
      </c>
      <c r="H1015" s="17" t="s">
        <v>134</v>
      </c>
      <c r="I1015" s="17" t="s">
        <v>50</v>
      </c>
      <c r="J1015" s="17" t="s">
        <v>106</v>
      </c>
      <c r="K1015" s="17" t="str">
        <f aca="false">VLOOKUP(J1015,Sheet2!A:B,2,0)</f>
        <v>PRAKASH CHAVDA</v>
      </c>
      <c r="L1015" s="17" t="n">
        <v>5</v>
      </c>
      <c r="M1015" s="17" t="str">
        <f aca="false">VLOOKUP(L1015,Sheet2!D:E,2,0)</f>
        <v>Main Processor CPU BGA</v>
      </c>
      <c r="N1015" s="17" t="n">
        <v>1</v>
      </c>
      <c r="O1015" s="17" t="str">
        <f aca="false">VLOOKUP(N1015,Sheet2!G:H,2,0)</f>
        <v>Dead</v>
      </c>
      <c r="P1015" s="17" t="n">
        <v>12</v>
      </c>
      <c r="Q1015" s="17" t="str">
        <f aca="false">VLOOKUP(P1015,Sheet2!J:K,2,0)</f>
        <v>IR Declared due to Others ( IR Normal)TB</v>
      </c>
      <c r="R1015" s="17" t="s">
        <v>35</v>
      </c>
      <c r="S1015" s="17" t="str">
        <f aca="false">VLOOKUP(R1015,Sheet2!N:O,2,0)</f>
        <v>IREPARABLE</v>
      </c>
      <c r="T1015" s="18" t="str">
        <f aca="false">VLOOKUP(P1015,Sheet2!Q:R,2,0)</f>
        <v>IR Normal - BER to IR</v>
      </c>
      <c r="U1015" s="20" t="s">
        <v>135</v>
      </c>
      <c r="V1015" s="17" t="n">
        <v>12</v>
      </c>
      <c r="W1015" s="20" t="str">
        <f aca="false">VLOOKUP(V1015,Sheet2!Q:R,2,0)</f>
        <v>IR Normal - BER to IR</v>
      </c>
      <c r="X1015" s="17" t="str">
        <f aca="false">J1015</f>
        <v>A018</v>
      </c>
      <c r="Y1015" s="17" t="str">
        <f aca="false">VLOOKUP(X1015,Sheet2!A:B,2,0)</f>
        <v>PRAKASH CHAVDA</v>
      </c>
      <c r="Z1015" s="17" t="s">
        <v>149</v>
      </c>
      <c r="AA1015" s="17" t="s">
        <v>477</v>
      </c>
      <c r="AB1015" s="17" t="s">
        <v>41</v>
      </c>
      <c r="AC1015" s="0" t="str">
        <f aca="false">LEFT(G1015,2)</f>
        <v>65</v>
      </c>
      <c r="AD1015" s="0"/>
      <c r="AE1015" s="21" t="s">
        <v>42</v>
      </c>
    </row>
    <row r="1016" customFormat="false" ht="15" hidden="false" customHeight="false" outlineLevel="0" collapsed="false">
      <c r="A1016" s="13" t="n">
        <f aca="false">1+A1015</f>
        <v>1014</v>
      </c>
      <c r="B1016" s="17" t="n">
        <v>10096665601</v>
      </c>
      <c r="C1016" s="17" t="s">
        <v>436</v>
      </c>
      <c r="D1016" s="17" t="s">
        <v>147</v>
      </c>
      <c r="E1016" s="17" t="s">
        <v>494</v>
      </c>
      <c r="F1016" s="18" t="s">
        <v>34</v>
      </c>
      <c r="G1016" s="19" t="n">
        <v>942060962548</v>
      </c>
      <c r="H1016" s="17" t="s">
        <v>134</v>
      </c>
      <c r="I1016" s="17" t="s">
        <v>44</v>
      </c>
      <c r="J1016" s="17" t="s">
        <v>106</v>
      </c>
      <c r="K1016" s="17" t="str">
        <f aca="false">VLOOKUP(J1016,Sheet2!A:B,2,0)</f>
        <v>PRAKASH CHAVDA</v>
      </c>
      <c r="L1016" s="17" t="n">
        <v>1</v>
      </c>
      <c r="M1016" s="17" t="str">
        <f aca="false">VLOOKUP(L1016,Sheet2!D:E,2,0)</f>
        <v>Power Supply Section</v>
      </c>
      <c r="N1016" s="17" t="n">
        <v>1</v>
      </c>
      <c r="O1016" s="17" t="str">
        <f aca="false">VLOOKUP(N1016,Sheet2!G:H,2,0)</f>
        <v>Dead</v>
      </c>
      <c r="P1016" s="17" t="n">
        <v>12</v>
      </c>
      <c r="Q1016" s="17" t="str">
        <f aca="false">VLOOKUP(P1016,Sheet2!J:K,2,0)</f>
        <v>IR Declared due to Others ( IR Normal)TB</v>
      </c>
      <c r="R1016" s="17" t="s">
        <v>35</v>
      </c>
      <c r="S1016" s="17" t="str">
        <f aca="false">VLOOKUP(R1016,Sheet2!N:O,2,0)</f>
        <v>IREPARABLE</v>
      </c>
      <c r="T1016" s="18" t="str">
        <f aca="false">VLOOKUP(P1016,Sheet2!Q:R,2,0)</f>
        <v>IR Normal - BER to IR</v>
      </c>
      <c r="U1016" s="20" t="s">
        <v>135</v>
      </c>
      <c r="V1016" s="17" t="n">
        <v>12</v>
      </c>
      <c r="W1016" s="20" t="str">
        <f aca="false">VLOOKUP(V1016,Sheet2!Q:R,2,0)</f>
        <v>IR Normal - BER to IR</v>
      </c>
      <c r="X1016" s="17" t="str">
        <f aca="false">J1016</f>
        <v>A018</v>
      </c>
      <c r="Y1016" s="17" t="str">
        <f aca="false">VLOOKUP(X1016,Sheet2!A:B,2,0)</f>
        <v>PRAKASH CHAVDA</v>
      </c>
      <c r="Z1016" s="17" t="s">
        <v>127</v>
      </c>
      <c r="AA1016" s="17" t="s">
        <v>477</v>
      </c>
      <c r="AB1016" s="17" t="s">
        <v>41</v>
      </c>
      <c r="AC1016" s="0" t="str">
        <f aca="false">LEFT(G1016,2)</f>
        <v>94</v>
      </c>
      <c r="AD1016" s="0"/>
      <c r="AE1016" s="21" t="s">
        <v>42</v>
      </c>
    </row>
    <row r="1017" customFormat="false" ht="15" hidden="false" customHeight="false" outlineLevel="0" collapsed="false">
      <c r="A1017" s="13" t="n">
        <f aca="false">1+A1016</f>
        <v>1015</v>
      </c>
      <c r="B1017" s="17" t="n">
        <v>1009665611</v>
      </c>
      <c r="C1017" s="17" t="s">
        <v>436</v>
      </c>
      <c r="D1017" s="17" t="s">
        <v>88</v>
      </c>
      <c r="E1017" s="17" t="s">
        <v>47</v>
      </c>
      <c r="F1017" s="18" t="s">
        <v>34</v>
      </c>
      <c r="G1017" s="19" t="n">
        <v>942365910291</v>
      </c>
      <c r="H1017" s="17" t="s">
        <v>134</v>
      </c>
      <c r="I1017" s="17" t="s">
        <v>44</v>
      </c>
      <c r="J1017" s="17" t="s">
        <v>106</v>
      </c>
      <c r="K1017" s="17" t="str">
        <f aca="false">VLOOKUP(J1017,Sheet2!A:B,2,0)</f>
        <v>PRAKASH CHAVDA</v>
      </c>
      <c r="L1017" s="17" t="n">
        <v>5</v>
      </c>
      <c r="M1017" s="17" t="str">
        <f aca="false">VLOOKUP(L1017,Sheet2!D:E,2,0)</f>
        <v>Main Processor CPU BGA</v>
      </c>
      <c r="N1017" s="17" t="n">
        <v>28</v>
      </c>
      <c r="O1017" s="17" t="str">
        <f aca="false">VLOOKUP(N1017,Sheet2!G:H,2,0)</f>
        <v>Hang and Freeze video - AV</v>
      </c>
      <c r="P1017" s="17" t="n">
        <v>12</v>
      </c>
      <c r="Q1017" s="17" t="str">
        <f aca="false">VLOOKUP(P1017,Sheet2!J:K,2,0)</f>
        <v>IR Declared due to Others ( IR Normal)TB</v>
      </c>
      <c r="R1017" s="17" t="s">
        <v>35</v>
      </c>
      <c r="S1017" s="17" t="str">
        <f aca="false">VLOOKUP(R1017,Sheet2!N:O,2,0)</f>
        <v>IREPARABLE</v>
      </c>
      <c r="T1017" s="18" t="str">
        <f aca="false">VLOOKUP(P1017,Sheet2!Q:R,2,0)</f>
        <v>IR Normal - BER to IR</v>
      </c>
      <c r="U1017" s="20" t="s">
        <v>135</v>
      </c>
      <c r="V1017" s="17" t="n">
        <v>12</v>
      </c>
      <c r="W1017" s="20" t="str">
        <f aca="false">VLOOKUP(V1017,Sheet2!Q:R,2,0)</f>
        <v>IR Normal - BER to IR</v>
      </c>
      <c r="X1017" s="17" t="str">
        <f aca="false">J1017</f>
        <v>A018</v>
      </c>
      <c r="Y1017" s="17" t="str">
        <f aca="false">VLOOKUP(X1017,Sheet2!A:B,2,0)</f>
        <v>PRAKASH CHAVDA</v>
      </c>
      <c r="Z1017" s="17" t="s">
        <v>127</v>
      </c>
      <c r="AA1017" s="17" t="s">
        <v>477</v>
      </c>
      <c r="AB1017" s="17" t="s">
        <v>41</v>
      </c>
      <c r="AC1017" s="0" t="str">
        <f aca="false">LEFT(G1017,2)</f>
        <v>94</v>
      </c>
      <c r="AD1017" s="0"/>
      <c r="AE1017" s="21" t="s">
        <v>42</v>
      </c>
    </row>
    <row r="1018" customFormat="false" ht="15" hidden="false" customHeight="false" outlineLevel="0" collapsed="false">
      <c r="A1018" s="13" t="n">
        <f aca="false">1+A1017</f>
        <v>1016</v>
      </c>
      <c r="B1018" s="17" t="n">
        <v>1009668014</v>
      </c>
      <c r="C1018" s="17" t="s">
        <v>436</v>
      </c>
      <c r="D1018" s="17" t="s">
        <v>347</v>
      </c>
      <c r="E1018" s="17" t="s">
        <v>33</v>
      </c>
      <c r="F1018" s="18" t="s">
        <v>34</v>
      </c>
      <c r="G1018" s="19" t="n">
        <v>943105927355</v>
      </c>
      <c r="H1018" s="17" t="s">
        <v>134</v>
      </c>
      <c r="I1018" s="17" t="s">
        <v>44</v>
      </c>
      <c r="J1018" s="17" t="s">
        <v>106</v>
      </c>
      <c r="K1018" s="17" t="str">
        <f aca="false">VLOOKUP(J1018,Sheet2!A:B,2,0)</f>
        <v>PRAKASH CHAVDA</v>
      </c>
      <c r="L1018" s="17" t="n">
        <v>5</v>
      </c>
      <c r="M1018" s="17" t="str">
        <f aca="false">VLOOKUP(L1018,Sheet2!D:E,2,0)</f>
        <v>Main Processor CPU BGA</v>
      </c>
      <c r="N1018" s="17" t="n">
        <v>24</v>
      </c>
      <c r="O1018" s="17" t="str">
        <f aca="false">VLOOKUP(N1018,Sheet2!G:H,2,0)</f>
        <v>STB Auto moving -Stand by mode</v>
      </c>
      <c r="P1018" s="17" t="n">
        <v>12</v>
      </c>
      <c r="Q1018" s="17" t="str">
        <f aca="false">VLOOKUP(P1018,Sheet2!J:K,2,0)</f>
        <v>IR Declared due to Others ( IR Normal)TB</v>
      </c>
      <c r="R1018" s="17" t="s">
        <v>35</v>
      </c>
      <c r="S1018" s="17" t="str">
        <f aca="false">VLOOKUP(R1018,Sheet2!N:O,2,0)</f>
        <v>IREPARABLE</v>
      </c>
      <c r="T1018" s="18" t="str">
        <f aca="false">VLOOKUP(P1018,Sheet2!Q:R,2,0)</f>
        <v>IR Normal - BER to IR</v>
      </c>
      <c r="U1018" s="20" t="s">
        <v>135</v>
      </c>
      <c r="V1018" s="17" t="n">
        <v>12</v>
      </c>
      <c r="W1018" s="20" t="str">
        <f aca="false">VLOOKUP(V1018,Sheet2!Q:R,2,0)</f>
        <v>IR Normal - BER to IR</v>
      </c>
      <c r="X1018" s="17" t="str">
        <f aca="false">J1018</f>
        <v>A018</v>
      </c>
      <c r="Y1018" s="17" t="str">
        <f aca="false">VLOOKUP(X1018,Sheet2!A:B,2,0)</f>
        <v>PRAKASH CHAVDA</v>
      </c>
      <c r="Z1018" s="17" t="s">
        <v>127</v>
      </c>
      <c r="AA1018" s="17" t="s">
        <v>477</v>
      </c>
      <c r="AB1018" s="17" t="s">
        <v>41</v>
      </c>
      <c r="AC1018" s="0" t="str">
        <f aca="false">LEFT(G1018,2)</f>
        <v>94</v>
      </c>
      <c r="AD1018" s="0"/>
      <c r="AE1018" s="21" t="s">
        <v>42</v>
      </c>
    </row>
    <row r="1019" customFormat="false" ht="15" hidden="false" customHeight="false" outlineLevel="0" collapsed="false">
      <c r="A1019" s="13" t="n">
        <f aca="false">1+A1018</f>
        <v>1017</v>
      </c>
      <c r="B1019" s="17" t="n">
        <v>1009666594</v>
      </c>
      <c r="C1019" s="17" t="s">
        <v>436</v>
      </c>
      <c r="D1019" s="17" t="s">
        <v>64</v>
      </c>
      <c r="E1019" s="17" t="s">
        <v>47</v>
      </c>
      <c r="F1019" s="18" t="s">
        <v>34</v>
      </c>
      <c r="G1019" s="19" t="n">
        <v>943014479324</v>
      </c>
      <c r="H1019" s="17" t="s">
        <v>134</v>
      </c>
      <c r="I1019" s="17" t="s">
        <v>44</v>
      </c>
      <c r="J1019" s="17" t="s">
        <v>106</v>
      </c>
      <c r="K1019" s="17" t="str">
        <f aca="false">VLOOKUP(J1019,Sheet2!A:B,2,0)</f>
        <v>PRAKASH CHAVDA</v>
      </c>
      <c r="L1019" s="17" t="n">
        <v>5</v>
      </c>
      <c r="M1019" s="17" t="str">
        <f aca="false">VLOOKUP(L1019,Sheet2!D:E,2,0)</f>
        <v>Main Processor CPU BGA</v>
      </c>
      <c r="N1019" s="17" t="n">
        <v>1</v>
      </c>
      <c r="O1019" s="17" t="str">
        <f aca="false">VLOOKUP(N1019,Sheet2!G:H,2,0)</f>
        <v>Dead</v>
      </c>
      <c r="P1019" s="17" t="n">
        <v>12</v>
      </c>
      <c r="Q1019" s="17" t="str">
        <f aca="false">VLOOKUP(P1019,Sheet2!J:K,2,0)</f>
        <v>IR Declared due to Others ( IR Normal)TB</v>
      </c>
      <c r="R1019" s="17" t="s">
        <v>35</v>
      </c>
      <c r="S1019" s="17" t="str">
        <f aca="false">VLOOKUP(R1019,Sheet2!N:O,2,0)</f>
        <v>IREPARABLE</v>
      </c>
      <c r="T1019" s="18" t="str">
        <f aca="false">VLOOKUP(P1019,Sheet2!Q:R,2,0)</f>
        <v>IR Normal - BER to IR</v>
      </c>
      <c r="U1019" s="20" t="s">
        <v>135</v>
      </c>
      <c r="V1019" s="17" t="n">
        <v>12</v>
      </c>
      <c r="W1019" s="20" t="str">
        <f aca="false">VLOOKUP(V1019,Sheet2!Q:R,2,0)</f>
        <v>IR Normal - BER to IR</v>
      </c>
      <c r="X1019" s="17" t="str">
        <f aca="false">J1019</f>
        <v>A018</v>
      </c>
      <c r="Y1019" s="17" t="str">
        <f aca="false">VLOOKUP(X1019,Sheet2!A:B,2,0)</f>
        <v>PRAKASH CHAVDA</v>
      </c>
      <c r="Z1019" s="17" t="s">
        <v>127</v>
      </c>
      <c r="AA1019" s="17" t="s">
        <v>477</v>
      </c>
      <c r="AB1019" s="17" t="s">
        <v>41</v>
      </c>
      <c r="AC1019" s="0" t="str">
        <f aca="false">LEFT(G1019,2)</f>
        <v>94</v>
      </c>
      <c r="AD1019" s="0"/>
      <c r="AE1019" s="21" t="s">
        <v>42</v>
      </c>
    </row>
    <row r="1020" customFormat="false" ht="15" hidden="false" customHeight="false" outlineLevel="0" collapsed="false">
      <c r="A1020" s="13" t="n">
        <f aca="false">1+A1019</f>
        <v>1018</v>
      </c>
      <c r="B1020" s="17" t="n">
        <v>1009668026</v>
      </c>
      <c r="C1020" s="17" t="s">
        <v>436</v>
      </c>
      <c r="D1020" s="17" t="s">
        <v>88</v>
      </c>
      <c r="E1020" s="17" t="s">
        <v>47</v>
      </c>
      <c r="F1020" s="18" t="s">
        <v>34</v>
      </c>
      <c r="G1020" s="19" t="n">
        <v>942329981370</v>
      </c>
      <c r="H1020" s="17" t="s">
        <v>134</v>
      </c>
      <c r="I1020" s="17" t="s">
        <v>44</v>
      </c>
      <c r="J1020" s="17" t="s">
        <v>106</v>
      </c>
      <c r="K1020" s="17" t="str">
        <f aca="false">VLOOKUP(J1020,Sheet2!A:B,2,0)</f>
        <v>PRAKASH CHAVDA</v>
      </c>
      <c r="L1020" s="17" t="n">
        <v>5</v>
      </c>
      <c r="M1020" s="17" t="str">
        <f aca="false">VLOOKUP(L1020,Sheet2!D:E,2,0)</f>
        <v>Main Processor CPU BGA</v>
      </c>
      <c r="N1020" s="17" t="n">
        <v>24</v>
      </c>
      <c r="O1020" s="17" t="str">
        <f aca="false">VLOOKUP(N1020,Sheet2!G:H,2,0)</f>
        <v>STB Auto moving -Stand by mode</v>
      </c>
      <c r="P1020" s="17" t="n">
        <v>12</v>
      </c>
      <c r="Q1020" s="17" t="str">
        <f aca="false">VLOOKUP(P1020,Sheet2!J:K,2,0)</f>
        <v>IR Declared due to Others ( IR Normal)TB</v>
      </c>
      <c r="R1020" s="17" t="s">
        <v>35</v>
      </c>
      <c r="S1020" s="17" t="str">
        <f aca="false">VLOOKUP(R1020,Sheet2!N:O,2,0)</f>
        <v>IREPARABLE</v>
      </c>
      <c r="T1020" s="18" t="str">
        <f aca="false">VLOOKUP(P1020,Sheet2!Q:R,2,0)</f>
        <v>IR Normal - BER to IR</v>
      </c>
      <c r="U1020" s="20" t="s">
        <v>135</v>
      </c>
      <c r="V1020" s="17" t="n">
        <v>12</v>
      </c>
      <c r="W1020" s="20" t="str">
        <f aca="false">VLOOKUP(V1020,Sheet2!Q:R,2,0)</f>
        <v>IR Normal - BER to IR</v>
      </c>
      <c r="X1020" s="17" t="str">
        <f aca="false">J1020</f>
        <v>A018</v>
      </c>
      <c r="Y1020" s="17" t="str">
        <f aca="false">VLOOKUP(X1020,Sheet2!A:B,2,0)</f>
        <v>PRAKASH CHAVDA</v>
      </c>
      <c r="Z1020" s="17" t="s">
        <v>127</v>
      </c>
      <c r="AA1020" s="17" t="s">
        <v>477</v>
      </c>
      <c r="AB1020" s="17" t="s">
        <v>41</v>
      </c>
      <c r="AC1020" s="0" t="str">
        <f aca="false">LEFT(G1020,2)</f>
        <v>94</v>
      </c>
      <c r="AD1020" s="0"/>
      <c r="AE1020" s="21" t="s">
        <v>42</v>
      </c>
    </row>
    <row r="1021" customFormat="false" ht="15" hidden="false" customHeight="false" outlineLevel="0" collapsed="false">
      <c r="A1021" s="13" t="n">
        <f aca="false">1+A1020</f>
        <v>1019</v>
      </c>
      <c r="B1021" s="17" t="n">
        <v>1009667840</v>
      </c>
      <c r="C1021" s="17" t="s">
        <v>436</v>
      </c>
      <c r="D1021" s="17" t="s">
        <v>190</v>
      </c>
      <c r="E1021" s="17" t="s">
        <v>64</v>
      </c>
      <c r="F1021" s="18" t="s">
        <v>70</v>
      </c>
      <c r="G1021" s="19" t="n">
        <v>942253928330</v>
      </c>
      <c r="H1021" s="17" t="s">
        <v>134</v>
      </c>
      <c r="I1021" s="17" t="s">
        <v>44</v>
      </c>
      <c r="J1021" s="17" t="s">
        <v>106</v>
      </c>
      <c r="K1021" s="17" t="str">
        <f aca="false">VLOOKUP(J1021,Sheet2!A:B,2,0)</f>
        <v>PRAKASH CHAVDA</v>
      </c>
      <c r="L1021" s="17" t="n">
        <v>5</v>
      </c>
      <c r="M1021" s="17" t="str">
        <f aca="false">VLOOKUP(L1021,Sheet2!D:E,2,0)</f>
        <v>Main Processor CPU BGA</v>
      </c>
      <c r="N1021" s="17" t="n">
        <v>1</v>
      </c>
      <c r="O1021" s="17" t="str">
        <f aca="false">VLOOKUP(N1021,Sheet2!G:H,2,0)</f>
        <v>Dead</v>
      </c>
      <c r="P1021" s="17" t="n">
        <v>12</v>
      </c>
      <c r="Q1021" s="17" t="str">
        <f aca="false">VLOOKUP(P1021,Sheet2!J:K,2,0)</f>
        <v>IR Declared due to Others ( IR Normal)TB</v>
      </c>
      <c r="R1021" s="17" t="s">
        <v>35</v>
      </c>
      <c r="S1021" s="17" t="str">
        <f aca="false">VLOOKUP(R1021,Sheet2!N:O,2,0)</f>
        <v>IREPARABLE</v>
      </c>
      <c r="T1021" s="18" t="str">
        <f aca="false">VLOOKUP(P1021,Sheet2!Q:R,2,0)</f>
        <v>IR Normal - BER to IR</v>
      </c>
      <c r="U1021" s="20" t="s">
        <v>135</v>
      </c>
      <c r="V1021" s="17" t="n">
        <v>12</v>
      </c>
      <c r="W1021" s="20" t="str">
        <f aca="false">VLOOKUP(V1021,Sheet2!Q:R,2,0)</f>
        <v>IR Normal - BER to IR</v>
      </c>
      <c r="X1021" s="17" t="str">
        <f aca="false">J1021</f>
        <v>A018</v>
      </c>
      <c r="Y1021" s="17" t="str">
        <f aca="false">VLOOKUP(X1021,Sheet2!A:B,2,0)</f>
        <v>PRAKASH CHAVDA</v>
      </c>
      <c r="Z1021" s="17" t="s">
        <v>127</v>
      </c>
      <c r="AA1021" s="17" t="s">
        <v>477</v>
      </c>
      <c r="AB1021" s="17" t="s">
        <v>41</v>
      </c>
      <c r="AC1021" s="0" t="str">
        <f aca="false">LEFT(G1021,2)</f>
        <v>94</v>
      </c>
      <c r="AD1021" s="0"/>
      <c r="AE1021" s="21" t="s">
        <v>42</v>
      </c>
    </row>
    <row r="1022" customFormat="false" ht="15" hidden="false" customHeight="false" outlineLevel="0" collapsed="false">
      <c r="A1022" s="13" t="n">
        <f aca="false">1+A1021</f>
        <v>1020</v>
      </c>
      <c r="B1022" s="17" t="n">
        <v>1009443831</v>
      </c>
      <c r="C1022" s="17" t="s">
        <v>189</v>
      </c>
      <c r="D1022" s="17" t="s">
        <v>64</v>
      </c>
      <c r="E1022" s="17" t="s">
        <v>91</v>
      </c>
      <c r="F1022" s="18" t="s">
        <v>92</v>
      </c>
      <c r="G1022" s="19" t="n">
        <v>942279927100</v>
      </c>
      <c r="H1022" s="17" t="s">
        <v>134</v>
      </c>
      <c r="I1022" s="17" t="s">
        <v>44</v>
      </c>
      <c r="J1022" s="17" t="s">
        <v>106</v>
      </c>
      <c r="K1022" s="17" t="str">
        <f aca="false">VLOOKUP(J1022,Sheet2!A:B,2,0)</f>
        <v>PRAKASH CHAVDA</v>
      </c>
      <c r="L1022" s="17" t="n">
        <v>5</v>
      </c>
      <c r="M1022" s="17" t="str">
        <f aca="false">VLOOKUP(L1022,Sheet2!D:E,2,0)</f>
        <v>Main Processor CPU BGA</v>
      </c>
      <c r="N1022" s="17" t="n">
        <v>24</v>
      </c>
      <c r="O1022" s="17" t="str">
        <f aca="false">VLOOKUP(N1022,Sheet2!G:H,2,0)</f>
        <v>STB Auto moving -Stand by mode</v>
      </c>
      <c r="P1022" s="17" t="n">
        <v>12</v>
      </c>
      <c r="Q1022" s="17" t="str">
        <f aca="false">VLOOKUP(P1022,Sheet2!J:K,2,0)</f>
        <v>IR Declared due to Others ( IR Normal)TB</v>
      </c>
      <c r="R1022" s="17" t="s">
        <v>35</v>
      </c>
      <c r="S1022" s="17" t="str">
        <f aca="false">VLOOKUP(R1022,Sheet2!N:O,2,0)</f>
        <v>IREPARABLE</v>
      </c>
      <c r="T1022" s="18" t="str">
        <f aca="false">VLOOKUP(P1022,Sheet2!Q:R,2,0)</f>
        <v>IR Normal - BER to IR</v>
      </c>
      <c r="U1022" s="20" t="s">
        <v>135</v>
      </c>
      <c r="V1022" s="17" t="n">
        <v>12</v>
      </c>
      <c r="W1022" s="20" t="str">
        <f aca="false">VLOOKUP(V1022,Sheet2!Q:R,2,0)</f>
        <v>IR Normal - BER to IR</v>
      </c>
      <c r="X1022" s="17" t="str">
        <f aca="false">J1022</f>
        <v>A018</v>
      </c>
      <c r="Y1022" s="17" t="str">
        <f aca="false">VLOOKUP(X1022,Sheet2!A:B,2,0)</f>
        <v>PRAKASH CHAVDA</v>
      </c>
      <c r="Z1022" s="17" t="s">
        <v>127</v>
      </c>
      <c r="AA1022" s="17" t="s">
        <v>477</v>
      </c>
      <c r="AB1022" s="17" t="s">
        <v>41</v>
      </c>
      <c r="AC1022" s="0" t="str">
        <f aca="false">LEFT(G1022,2)</f>
        <v>94</v>
      </c>
      <c r="AD1022" s="0"/>
      <c r="AE1022" s="21" t="s">
        <v>42</v>
      </c>
    </row>
    <row r="1023" customFormat="false" ht="15" hidden="false" customHeight="false" outlineLevel="0" collapsed="false">
      <c r="A1023" s="13" t="n">
        <f aca="false">1+A1022</f>
        <v>1021</v>
      </c>
      <c r="B1023" s="17" t="n">
        <v>1009673843</v>
      </c>
      <c r="C1023" s="17" t="s">
        <v>436</v>
      </c>
      <c r="D1023" s="17" t="s">
        <v>64</v>
      </c>
      <c r="E1023" s="17" t="s">
        <v>33</v>
      </c>
      <c r="F1023" s="18" t="s">
        <v>34</v>
      </c>
      <c r="G1023" s="19" t="n">
        <v>943200943646</v>
      </c>
      <c r="H1023" s="17" t="s">
        <v>134</v>
      </c>
      <c r="I1023" s="17" t="s">
        <v>44</v>
      </c>
      <c r="J1023" s="17" t="s">
        <v>106</v>
      </c>
      <c r="K1023" s="17" t="str">
        <f aca="false">VLOOKUP(J1023,Sheet2!A:B,2,0)</f>
        <v>PRAKASH CHAVDA</v>
      </c>
      <c r="L1023" s="17" t="n">
        <v>5</v>
      </c>
      <c r="M1023" s="17" t="str">
        <f aca="false">VLOOKUP(L1023,Sheet2!D:E,2,0)</f>
        <v>Main Processor CPU BGA</v>
      </c>
      <c r="N1023" s="17" t="n">
        <v>24</v>
      </c>
      <c r="O1023" s="17" t="str">
        <f aca="false">VLOOKUP(N1023,Sheet2!G:H,2,0)</f>
        <v>STB Auto moving -Stand by mode</v>
      </c>
      <c r="P1023" s="17" t="n">
        <v>12</v>
      </c>
      <c r="Q1023" s="17" t="str">
        <f aca="false">VLOOKUP(P1023,Sheet2!J:K,2,0)</f>
        <v>IR Declared due to Others ( IR Normal)TB</v>
      </c>
      <c r="R1023" s="17" t="s">
        <v>35</v>
      </c>
      <c r="S1023" s="17" t="str">
        <f aca="false">VLOOKUP(R1023,Sheet2!N:O,2,0)</f>
        <v>IREPARABLE</v>
      </c>
      <c r="T1023" s="18" t="str">
        <f aca="false">VLOOKUP(P1023,Sheet2!Q:R,2,0)</f>
        <v>IR Normal - BER to IR</v>
      </c>
      <c r="U1023" s="20" t="s">
        <v>135</v>
      </c>
      <c r="V1023" s="17" t="n">
        <v>12</v>
      </c>
      <c r="W1023" s="20" t="str">
        <f aca="false">VLOOKUP(V1023,Sheet2!Q:R,2,0)</f>
        <v>IR Normal - BER to IR</v>
      </c>
      <c r="X1023" s="17" t="str">
        <f aca="false">J1023</f>
        <v>A018</v>
      </c>
      <c r="Y1023" s="17" t="str">
        <f aca="false">VLOOKUP(X1023,Sheet2!A:B,2,0)</f>
        <v>PRAKASH CHAVDA</v>
      </c>
      <c r="Z1023" s="17" t="s">
        <v>127</v>
      </c>
      <c r="AA1023" s="17" t="s">
        <v>477</v>
      </c>
      <c r="AB1023" s="17" t="s">
        <v>41</v>
      </c>
      <c r="AC1023" s="0" t="str">
        <f aca="false">LEFT(G1023,2)</f>
        <v>94</v>
      </c>
      <c r="AD1023" s="0"/>
      <c r="AE1023" s="21" t="s">
        <v>42</v>
      </c>
    </row>
    <row r="1024" customFormat="false" ht="15" hidden="false" customHeight="false" outlineLevel="0" collapsed="false">
      <c r="A1024" s="13" t="n">
        <f aca="false">1+A1023</f>
        <v>1022</v>
      </c>
      <c r="B1024" s="17" t="n">
        <v>1009667604</v>
      </c>
      <c r="C1024" s="17" t="s">
        <v>436</v>
      </c>
      <c r="D1024" s="17" t="s">
        <v>138</v>
      </c>
      <c r="E1024" s="17" t="s">
        <v>91</v>
      </c>
      <c r="F1024" s="18" t="s">
        <v>92</v>
      </c>
      <c r="G1024" s="19" t="n">
        <v>942358186909</v>
      </c>
      <c r="H1024" s="17" t="s">
        <v>134</v>
      </c>
      <c r="I1024" s="17" t="s">
        <v>44</v>
      </c>
      <c r="J1024" s="17" t="s">
        <v>106</v>
      </c>
      <c r="K1024" s="17" t="str">
        <f aca="false">VLOOKUP(J1024,Sheet2!A:B,2,0)</f>
        <v>PRAKASH CHAVDA</v>
      </c>
      <c r="L1024" s="17" t="n">
        <v>5</v>
      </c>
      <c r="M1024" s="17" t="str">
        <f aca="false">VLOOKUP(L1024,Sheet2!D:E,2,0)</f>
        <v>Main Processor CPU BGA</v>
      </c>
      <c r="N1024" s="17" t="n">
        <v>24</v>
      </c>
      <c r="O1024" s="17" t="str">
        <f aca="false">VLOOKUP(N1024,Sheet2!G:H,2,0)</f>
        <v>STB Auto moving -Stand by mode</v>
      </c>
      <c r="P1024" s="17" t="n">
        <v>12</v>
      </c>
      <c r="Q1024" s="17" t="str">
        <f aca="false">VLOOKUP(P1024,Sheet2!J:K,2,0)</f>
        <v>IR Declared due to Others ( IR Normal)TB</v>
      </c>
      <c r="R1024" s="17" t="s">
        <v>35</v>
      </c>
      <c r="S1024" s="17" t="str">
        <f aca="false">VLOOKUP(R1024,Sheet2!N:O,2,0)</f>
        <v>IREPARABLE</v>
      </c>
      <c r="T1024" s="18" t="str">
        <f aca="false">VLOOKUP(P1024,Sheet2!Q:R,2,0)</f>
        <v>IR Normal - BER to IR</v>
      </c>
      <c r="U1024" s="20" t="s">
        <v>135</v>
      </c>
      <c r="V1024" s="17" t="n">
        <v>12</v>
      </c>
      <c r="W1024" s="20" t="str">
        <f aca="false">VLOOKUP(V1024,Sheet2!Q:R,2,0)</f>
        <v>IR Normal - BER to IR</v>
      </c>
      <c r="X1024" s="17" t="str">
        <f aca="false">J1024</f>
        <v>A018</v>
      </c>
      <c r="Y1024" s="17" t="str">
        <f aca="false">VLOOKUP(X1024,Sheet2!A:B,2,0)</f>
        <v>PRAKASH CHAVDA</v>
      </c>
      <c r="Z1024" s="17" t="s">
        <v>127</v>
      </c>
      <c r="AA1024" s="17" t="s">
        <v>477</v>
      </c>
      <c r="AB1024" s="17" t="s">
        <v>41</v>
      </c>
      <c r="AC1024" s="0" t="str">
        <f aca="false">LEFT(G1024,2)</f>
        <v>94</v>
      </c>
      <c r="AD1024" s="0"/>
      <c r="AE1024" s="21" t="s">
        <v>42</v>
      </c>
    </row>
    <row r="1025" customFormat="false" ht="15" hidden="false" customHeight="false" outlineLevel="0" collapsed="false">
      <c r="A1025" s="13" t="n">
        <f aca="false">1+A1024</f>
        <v>1023</v>
      </c>
      <c r="B1025" s="17" t="n">
        <v>1009668123</v>
      </c>
      <c r="C1025" s="17" t="s">
        <v>436</v>
      </c>
      <c r="D1025" s="17" t="s">
        <v>143</v>
      </c>
      <c r="E1025" s="17" t="s">
        <v>64</v>
      </c>
      <c r="F1025" s="18" t="s">
        <v>70</v>
      </c>
      <c r="G1025" s="19" t="n">
        <v>942147943453</v>
      </c>
      <c r="H1025" s="17" t="s">
        <v>134</v>
      </c>
      <c r="I1025" s="17" t="s">
        <v>44</v>
      </c>
      <c r="J1025" s="17" t="s">
        <v>106</v>
      </c>
      <c r="K1025" s="17" t="str">
        <f aca="false">VLOOKUP(J1025,Sheet2!A:B,2,0)</f>
        <v>PRAKASH CHAVDA</v>
      </c>
      <c r="L1025" s="17" t="n">
        <v>5</v>
      </c>
      <c r="M1025" s="17" t="str">
        <f aca="false">VLOOKUP(L1025,Sheet2!D:E,2,0)</f>
        <v>Main Processor CPU BGA</v>
      </c>
      <c r="N1025" s="17" t="n">
        <v>24</v>
      </c>
      <c r="O1025" s="17" t="str">
        <f aca="false">VLOOKUP(N1025,Sheet2!G:H,2,0)</f>
        <v>STB Auto moving -Stand by mode</v>
      </c>
      <c r="P1025" s="17" t="n">
        <v>12</v>
      </c>
      <c r="Q1025" s="17" t="str">
        <f aca="false">VLOOKUP(P1025,Sheet2!J:K,2,0)</f>
        <v>IR Declared due to Others ( IR Normal)TB</v>
      </c>
      <c r="R1025" s="17" t="s">
        <v>35</v>
      </c>
      <c r="S1025" s="17" t="str">
        <f aca="false">VLOOKUP(R1025,Sheet2!N:O,2,0)</f>
        <v>IREPARABLE</v>
      </c>
      <c r="T1025" s="18" t="str">
        <f aca="false">VLOOKUP(P1025,Sheet2!Q:R,2,0)</f>
        <v>IR Normal - BER to IR</v>
      </c>
      <c r="U1025" s="20" t="s">
        <v>135</v>
      </c>
      <c r="V1025" s="17" t="n">
        <v>12</v>
      </c>
      <c r="W1025" s="20" t="str">
        <f aca="false">VLOOKUP(V1025,Sheet2!Q:R,2,0)</f>
        <v>IR Normal - BER to IR</v>
      </c>
      <c r="X1025" s="17" t="str">
        <f aca="false">J1025</f>
        <v>A018</v>
      </c>
      <c r="Y1025" s="17" t="str">
        <f aca="false">VLOOKUP(X1025,Sheet2!A:B,2,0)</f>
        <v>PRAKASH CHAVDA</v>
      </c>
      <c r="Z1025" s="17" t="s">
        <v>127</v>
      </c>
      <c r="AA1025" s="17" t="s">
        <v>477</v>
      </c>
      <c r="AB1025" s="17" t="s">
        <v>41</v>
      </c>
      <c r="AC1025" s="0" t="str">
        <f aca="false">LEFT(G1025,2)</f>
        <v>94</v>
      </c>
      <c r="AE1025" s="21" t="s">
        <v>42</v>
      </c>
    </row>
    <row r="1026" customFormat="false" ht="15" hidden="false" customHeight="false" outlineLevel="0" collapsed="false">
      <c r="A1026" s="13" t="n">
        <f aca="false">1+A1025</f>
        <v>1024</v>
      </c>
      <c r="B1026" s="17" t="n">
        <v>1009668028</v>
      </c>
      <c r="C1026" s="17" t="s">
        <v>436</v>
      </c>
      <c r="D1026" s="17" t="s">
        <v>88</v>
      </c>
      <c r="E1026" s="17" t="s">
        <v>47</v>
      </c>
      <c r="F1026" s="18" t="s">
        <v>34</v>
      </c>
      <c r="G1026" s="19" t="n">
        <v>942365911836</v>
      </c>
      <c r="H1026" s="17" t="s">
        <v>134</v>
      </c>
      <c r="I1026" s="17" t="s">
        <v>44</v>
      </c>
      <c r="J1026" s="17" t="s">
        <v>106</v>
      </c>
      <c r="K1026" s="17" t="str">
        <f aca="false">VLOOKUP(J1026,Sheet2!A:B,2,0)</f>
        <v>PRAKASH CHAVDA</v>
      </c>
      <c r="L1026" s="17" t="n">
        <v>5</v>
      </c>
      <c r="M1026" s="17" t="str">
        <f aca="false">VLOOKUP(L1026,Sheet2!D:E,2,0)</f>
        <v>Main Processor CPU BGA</v>
      </c>
      <c r="N1026" s="17" t="n">
        <v>1</v>
      </c>
      <c r="O1026" s="17" t="str">
        <f aca="false">VLOOKUP(N1026,Sheet2!G:H,2,0)</f>
        <v>Dead</v>
      </c>
      <c r="P1026" s="17" t="n">
        <v>12</v>
      </c>
      <c r="Q1026" s="17" t="str">
        <f aca="false">VLOOKUP(P1026,Sheet2!J:K,2,0)</f>
        <v>IR Declared due to Others ( IR Normal)TB</v>
      </c>
      <c r="R1026" s="17" t="s">
        <v>35</v>
      </c>
      <c r="S1026" s="17" t="str">
        <f aca="false">VLOOKUP(R1026,Sheet2!N:O,2,0)</f>
        <v>IREPARABLE</v>
      </c>
      <c r="T1026" s="18" t="str">
        <f aca="false">VLOOKUP(P1026,Sheet2!Q:R,2,0)</f>
        <v>IR Normal - BER to IR</v>
      </c>
      <c r="U1026" s="20" t="s">
        <v>135</v>
      </c>
      <c r="V1026" s="17" t="n">
        <v>12</v>
      </c>
      <c r="W1026" s="20" t="str">
        <f aca="false">VLOOKUP(V1026,Sheet2!Q:R,2,0)</f>
        <v>IR Normal - BER to IR</v>
      </c>
      <c r="X1026" s="17" t="str">
        <f aca="false">J1026</f>
        <v>A018</v>
      </c>
      <c r="Y1026" s="17" t="str">
        <f aca="false">VLOOKUP(X1026,Sheet2!A:B,2,0)</f>
        <v>PRAKASH CHAVDA</v>
      </c>
      <c r="Z1026" s="17" t="s">
        <v>127</v>
      </c>
      <c r="AA1026" s="17" t="s">
        <v>477</v>
      </c>
      <c r="AB1026" s="17" t="s">
        <v>41</v>
      </c>
      <c r="AC1026" s="0" t="str">
        <f aca="false">LEFT(G1026,2)</f>
        <v>94</v>
      </c>
      <c r="AE1026" s="21" t="s">
        <v>42</v>
      </c>
    </row>
    <row r="1027" customFormat="false" ht="15" hidden="false" customHeight="false" outlineLevel="0" collapsed="false">
      <c r="A1027" s="13" t="n">
        <f aca="false">1+A1026</f>
        <v>1025</v>
      </c>
      <c r="B1027" s="17" t="n">
        <v>1009674064</v>
      </c>
      <c r="C1027" s="17" t="s">
        <v>436</v>
      </c>
      <c r="D1027" s="17" t="s">
        <v>190</v>
      </c>
      <c r="E1027" s="17" t="s">
        <v>33</v>
      </c>
      <c r="F1027" s="18" t="s">
        <v>34</v>
      </c>
      <c r="G1027" s="19" t="n">
        <v>943079959012</v>
      </c>
      <c r="H1027" s="17" t="s">
        <v>134</v>
      </c>
      <c r="I1027" s="17" t="s">
        <v>44</v>
      </c>
      <c r="J1027" s="17" t="s">
        <v>106</v>
      </c>
      <c r="K1027" s="17" t="str">
        <f aca="false">VLOOKUP(J1027,Sheet2!A:B,2,0)</f>
        <v>PRAKASH CHAVDA</v>
      </c>
      <c r="L1027" s="17" t="n">
        <v>5</v>
      </c>
      <c r="M1027" s="17" t="str">
        <f aca="false">VLOOKUP(L1027,Sheet2!D:E,2,0)</f>
        <v>Main Processor CPU BGA</v>
      </c>
      <c r="N1027" s="17" t="n">
        <v>24</v>
      </c>
      <c r="O1027" s="17" t="str">
        <f aca="false">VLOOKUP(N1027,Sheet2!G:H,2,0)</f>
        <v>STB Auto moving -Stand by mode</v>
      </c>
      <c r="P1027" s="17" t="n">
        <v>12</v>
      </c>
      <c r="Q1027" s="17" t="str">
        <f aca="false">VLOOKUP(P1027,Sheet2!J:K,2,0)</f>
        <v>IR Declared due to Others ( IR Normal)TB</v>
      </c>
      <c r="R1027" s="17" t="s">
        <v>35</v>
      </c>
      <c r="S1027" s="17" t="str">
        <f aca="false">VLOOKUP(R1027,Sheet2!N:O,2,0)</f>
        <v>IREPARABLE</v>
      </c>
      <c r="T1027" s="18" t="str">
        <f aca="false">VLOOKUP(P1027,Sheet2!Q:R,2,0)</f>
        <v>IR Normal - BER to IR</v>
      </c>
      <c r="U1027" s="20" t="s">
        <v>135</v>
      </c>
      <c r="V1027" s="17" t="n">
        <v>12</v>
      </c>
      <c r="W1027" s="20" t="str">
        <f aca="false">VLOOKUP(V1027,Sheet2!Q:R,2,0)</f>
        <v>IR Normal - BER to IR</v>
      </c>
      <c r="X1027" s="17" t="str">
        <f aca="false">J1027</f>
        <v>A018</v>
      </c>
      <c r="Y1027" s="17" t="str">
        <f aca="false">VLOOKUP(X1027,Sheet2!A:B,2,0)</f>
        <v>PRAKASH CHAVDA</v>
      </c>
      <c r="Z1027" s="17" t="s">
        <v>127</v>
      </c>
      <c r="AA1027" s="17" t="s">
        <v>477</v>
      </c>
      <c r="AB1027" s="17" t="s">
        <v>41</v>
      </c>
      <c r="AC1027" s="0" t="str">
        <f aca="false">LEFT(G1027,2)</f>
        <v>94</v>
      </c>
      <c r="AE1027" s="21" t="s">
        <v>42</v>
      </c>
    </row>
    <row r="1028" customFormat="false" ht="15" hidden="false" customHeight="false" outlineLevel="0" collapsed="false">
      <c r="A1028" s="13" t="n">
        <f aca="false">1+A1027</f>
        <v>1026</v>
      </c>
      <c r="B1028" s="17" t="n">
        <v>1009673467</v>
      </c>
      <c r="C1028" s="17" t="s">
        <v>436</v>
      </c>
      <c r="D1028" s="17" t="s">
        <v>190</v>
      </c>
      <c r="E1028" s="17" t="s">
        <v>33</v>
      </c>
      <c r="F1028" s="18" t="s">
        <v>34</v>
      </c>
      <c r="G1028" s="19" t="n">
        <v>943212702675</v>
      </c>
      <c r="H1028" s="17" t="s">
        <v>134</v>
      </c>
      <c r="I1028" s="17" t="s">
        <v>44</v>
      </c>
      <c r="J1028" s="17" t="s">
        <v>106</v>
      </c>
      <c r="K1028" s="17" t="str">
        <f aca="false">VLOOKUP(J1028,Sheet2!A:B,2,0)</f>
        <v>PRAKASH CHAVDA</v>
      </c>
      <c r="L1028" s="17" t="n">
        <v>5</v>
      </c>
      <c r="M1028" s="17" t="str">
        <f aca="false">VLOOKUP(L1028,Sheet2!D:E,2,0)</f>
        <v>Main Processor CPU BGA</v>
      </c>
      <c r="N1028" s="17" t="n">
        <v>1</v>
      </c>
      <c r="O1028" s="17" t="str">
        <f aca="false">VLOOKUP(N1028,Sheet2!G:H,2,0)</f>
        <v>Dead</v>
      </c>
      <c r="P1028" s="17" t="n">
        <v>12</v>
      </c>
      <c r="Q1028" s="17" t="str">
        <f aca="false">VLOOKUP(P1028,Sheet2!J:K,2,0)</f>
        <v>IR Declared due to Others ( IR Normal)TB</v>
      </c>
      <c r="R1028" s="17" t="s">
        <v>35</v>
      </c>
      <c r="S1028" s="17" t="str">
        <f aca="false">VLOOKUP(R1028,Sheet2!N:O,2,0)</f>
        <v>IREPARABLE</v>
      </c>
      <c r="T1028" s="18" t="str">
        <f aca="false">VLOOKUP(P1028,Sheet2!Q:R,2,0)</f>
        <v>IR Normal - BER to IR</v>
      </c>
      <c r="U1028" s="20" t="s">
        <v>135</v>
      </c>
      <c r="V1028" s="17" t="n">
        <v>12</v>
      </c>
      <c r="W1028" s="20" t="str">
        <f aca="false">VLOOKUP(V1028,Sheet2!Q:R,2,0)</f>
        <v>IR Normal - BER to IR</v>
      </c>
      <c r="X1028" s="17" t="str">
        <f aca="false">J1028</f>
        <v>A018</v>
      </c>
      <c r="Y1028" s="17" t="str">
        <f aca="false">VLOOKUP(X1028,Sheet2!A:B,2,0)</f>
        <v>PRAKASH CHAVDA</v>
      </c>
      <c r="Z1028" s="17" t="s">
        <v>127</v>
      </c>
      <c r="AA1028" s="17" t="s">
        <v>477</v>
      </c>
      <c r="AB1028" s="17" t="s">
        <v>41</v>
      </c>
      <c r="AC1028" s="0" t="str">
        <f aca="false">LEFT(G1028,2)</f>
        <v>94</v>
      </c>
      <c r="AE1028" s="21" t="s">
        <v>42</v>
      </c>
    </row>
    <row r="1029" customFormat="false" ht="15" hidden="false" customHeight="false" outlineLevel="0" collapsed="false">
      <c r="A1029" s="13" t="n">
        <f aca="false">1+A1028</f>
        <v>1027</v>
      </c>
      <c r="B1029" s="17" t="n">
        <v>1009674114</v>
      </c>
      <c r="C1029" s="17" t="s">
        <v>436</v>
      </c>
      <c r="D1029" s="17" t="s">
        <v>190</v>
      </c>
      <c r="E1029" s="17" t="s">
        <v>33</v>
      </c>
      <c r="F1029" s="18" t="s">
        <v>34</v>
      </c>
      <c r="G1029" s="19" t="n">
        <v>943212957246</v>
      </c>
      <c r="H1029" s="17" t="s">
        <v>134</v>
      </c>
      <c r="I1029" s="17" t="s">
        <v>44</v>
      </c>
      <c r="J1029" s="17" t="s">
        <v>106</v>
      </c>
      <c r="K1029" s="17" t="str">
        <f aca="false">VLOOKUP(J1029,Sheet2!A:B,2,0)</f>
        <v>PRAKASH CHAVDA</v>
      </c>
      <c r="L1029" s="17" t="n">
        <v>5</v>
      </c>
      <c r="M1029" s="17" t="str">
        <f aca="false">VLOOKUP(L1029,Sheet2!D:E,2,0)</f>
        <v>Main Processor CPU BGA</v>
      </c>
      <c r="N1029" s="17" t="n">
        <v>24</v>
      </c>
      <c r="O1029" s="17" t="str">
        <f aca="false">VLOOKUP(N1029,Sheet2!G:H,2,0)</f>
        <v>STB Auto moving -Stand by mode</v>
      </c>
      <c r="P1029" s="17" t="n">
        <v>12</v>
      </c>
      <c r="Q1029" s="17" t="str">
        <f aca="false">VLOOKUP(P1029,Sheet2!J:K,2,0)</f>
        <v>IR Declared due to Others ( IR Normal)TB</v>
      </c>
      <c r="R1029" s="17" t="s">
        <v>35</v>
      </c>
      <c r="S1029" s="17" t="str">
        <f aca="false">VLOOKUP(R1029,Sheet2!N:O,2,0)</f>
        <v>IREPARABLE</v>
      </c>
      <c r="T1029" s="18" t="str">
        <f aca="false">VLOOKUP(P1029,Sheet2!Q:R,2,0)</f>
        <v>IR Normal - BER to IR</v>
      </c>
      <c r="U1029" s="20" t="s">
        <v>135</v>
      </c>
      <c r="V1029" s="17" t="n">
        <v>12</v>
      </c>
      <c r="W1029" s="20" t="str">
        <f aca="false">VLOOKUP(V1029,Sheet2!Q:R,2,0)</f>
        <v>IR Normal - BER to IR</v>
      </c>
      <c r="X1029" s="17" t="str">
        <f aca="false">J1029</f>
        <v>A018</v>
      </c>
      <c r="Y1029" s="17" t="str">
        <f aca="false">VLOOKUP(X1029,Sheet2!A:B,2,0)</f>
        <v>PRAKASH CHAVDA</v>
      </c>
      <c r="Z1029" s="17" t="s">
        <v>127</v>
      </c>
      <c r="AA1029" s="17" t="s">
        <v>477</v>
      </c>
      <c r="AB1029" s="17" t="s">
        <v>41</v>
      </c>
      <c r="AC1029" s="0" t="str">
        <f aca="false">LEFT(G1029,2)</f>
        <v>94</v>
      </c>
      <c r="AE1029" s="21" t="s">
        <v>42</v>
      </c>
    </row>
    <row r="1030" customFormat="false" ht="15" hidden="false" customHeight="false" outlineLevel="0" collapsed="false">
      <c r="A1030" s="13" t="n">
        <f aca="false">1+A1029</f>
        <v>1028</v>
      </c>
      <c r="B1030" s="17" t="n">
        <v>1009674112</v>
      </c>
      <c r="C1030" s="17" t="s">
        <v>436</v>
      </c>
      <c r="D1030" s="17" t="s">
        <v>143</v>
      </c>
      <c r="E1030" s="17" t="s">
        <v>33</v>
      </c>
      <c r="F1030" s="18" t="s">
        <v>34</v>
      </c>
      <c r="G1030" s="19" t="n">
        <v>942364901770</v>
      </c>
      <c r="H1030" s="17" t="s">
        <v>134</v>
      </c>
      <c r="I1030" s="17" t="s">
        <v>44</v>
      </c>
      <c r="J1030" s="17" t="s">
        <v>106</v>
      </c>
      <c r="K1030" s="17" t="str">
        <f aca="false">VLOOKUP(J1030,Sheet2!A:B,2,0)</f>
        <v>PRAKASH CHAVDA</v>
      </c>
      <c r="L1030" s="17" t="n">
        <v>5</v>
      </c>
      <c r="M1030" s="17" t="str">
        <f aca="false">VLOOKUP(L1030,Sheet2!D:E,2,0)</f>
        <v>Main Processor CPU BGA</v>
      </c>
      <c r="N1030" s="17" t="n">
        <v>24</v>
      </c>
      <c r="O1030" s="17" t="str">
        <f aca="false">VLOOKUP(N1030,Sheet2!G:H,2,0)</f>
        <v>STB Auto moving -Stand by mode</v>
      </c>
      <c r="P1030" s="17" t="n">
        <v>12</v>
      </c>
      <c r="Q1030" s="17" t="str">
        <f aca="false">VLOOKUP(P1030,Sheet2!J:K,2,0)</f>
        <v>IR Declared due to Others ( IR Normal)TB</v>
      </c>
      <c r="R1030" s="17" t="s">
        <v>35</v>
      </c>
      <c r="S1030" s="17" t="str">
        <f aca="false">VLOOKUP(R1030,Sheet2!N:O,2,0)</f>
        <v>IREPARABLE</v>
      </c>
      <c r="T1030" s="18" t="str">
        <f aca="false">VLOOKUP(P1030,Sheet2!Q:R,2,0)</f>
        <v>IR Normal - BER to IR</v>
      </c>
      <c r="U1030" s="20" t="s">
        <v>135</v>
      </c>
      <c r="V1030" s="17" t="n">
        <v>12</v>
      </c>
      <c r="W1030" s="20" t="str">
        <f aca="false">VLOOKUP(V1030,Sheet2!Q:R,2,0)</f>
        <v>IR Normal - BER to IR</v>
      </c>
      <c r="X1030" s="17" t="str">
        <f aca="false">J1030</f>
        <v>A018</v>
      </c>
      <c r="Y1030" s="17" t="str">
        <f aca="false">VLOOKUP(X1030,Sheet2!A:B,2,0)</f>
        <v>PRAKASH CHAVDA</v>
      </c>
      <c r="Z1030" s="17" t="s">
        <v>127</v>
      </c>
      <c r="AA1030" s="17" t="s">
        <v>477</v>
      </c>
      <c r="AB1030" s="17" t="s">
        <v>41</v>
      </c>
      <c r="AC1030" s="0" t="str">
        <f aca="false">LEFT(G1030,2)</f>
        <v>94</v>
      </c>
      <c r="AE1030" s="21" t="s">
        <v>42</v>
      </c>
    </row>
    <row r="1031" customFormat="false" ht="15" hidden="false" customHeight="false" outlineLevel="0" collapsed="false">
      <c r="A1031" s="13" t="n">
        <f aca="false">1+A1030</f>
        <v>1029</v>
      </c>
      <c r="B1031" s="17" t="n">
        <v>1009667957</v>
      </c>
      <c r="C1031" s="17" t="s">
        <v>436</v>
      </c>
      <c r="D1031" s="17" t="s">
        <v>88</v>
      </c>
      <c r="E1031" s="17" t="s">
        <v>47</v>
      </c>
      <c r="F1031" s="18" t="s">
        <v>34</v>
      </c>
      <c r="G1031" s="19" t="n">
        <v>942360150505</v>
      </c>
      <c r="H1031" s="17" t="s">
        <v>134</v>
      </c>
      <c r="I1031" s="17" t="s">
        <v>44</v>
      </c>
      <c r="J1031" s="17" t="s">
        <v>106</v>
      </c>
      <c r="K1031" s="17" t="str">
        <f aca="false">VLOOKUP(J1031,Sheet2!A:B,2,0)</f>
        <v>PRAKASH CHAVDA</v>
      </c>
      <c r="L1031" s="17" t="n">
        <v>5</v>
      </c>
      <c r="M1031" s="17" t="str">
        <f aca="false">VLOOKUP(L1031,Sheet2!D:E,2,0)</f>
        <v>Main Processor CPU BGA</v>
      </c>
      <c r="N1031" s="17" t="n">
        <v>1</v>
      </c>
      <c r="O1031" s="17" t="str">
        <f aca="false">VLOOKUP(N1031,Sheet2!G:H,2,0)</f>
        <v>Dead</v>
      </c>
      <c r="P1031" s="17" t="n">
        <v>12</v>
      </c>
      <c r="Q1031" s="17" t="str">
        <f aca="false">VLOOKUP(P1031,Sheet2!J:K,2,0)</f>
        <v>IR Declared due to Others ( IR Normal)TB</v>
      </c>
      <c r="R1031" s="17" t="s">
        <v>35</v>
      </c>
      <c r="S1031" s="17" t="str">
        <f aca="false">VLOOKUP(R1031,Sheet2!N:O,2,0)</f>
        <v>IREPARABLE</v>
      </c>
      <c r="T1031" s="18" t="str">
        <f aca="false">VLOOKUP(P1031,Sheet2!Q:R,2,0)</f>
        <v>IR Normal - BER to IR</v>
      </c>
      <c r="U1031" s="20" t="s">
        <v>135</v>
      </c>
      <c r="V1031" s="17" t="n">
        <v>12</v>
      </c>
      <c r="W1031" s="20" t="str">
        <f aca="false">VLOOKUP(V1031,Sheet2!Q:R,2,0)</f>
        <v>IR Normal - BER to IR</v>
      </c>
      <c r="X1031" s="17" t="str">
        <f aca="false">J1031</f>
        <v>A018</v>
      </c>
      <c r="Y1031" s="17" t="str">
        <f aca="false">VLOOKUP(X1031,Sheet2!A:B,2,0)</f>
        <v>PRAKASH CHAVDA</v>
      </c>
      <c r="Z1031" s="17" t="s">
        <v>127</v>
      </c>
      <c r="AA1031" s="17" t="s">
        <v>477</v>
      </c>
      <c r="AB1031" s="17" t="s">
        <v>41</v>
      </c>
      <c r="AC1031" s="0" t="str">
        <f aca="false">LEFT(G1031,2)</f>
        <v>94</v>
      </c>
      <c r="AE1031" s="21" t="s">
        <v>42</v>
      </c>
    </row>
    <row r="1032" customFormat="false" ht="15" hidden="false" customHeight="false" outlineLevel="0" collapsed="false">
      <c r="A1032" s="13" t="n">
        <f aca="false">1+A1031</f>
        <v>1030</v>
      </c>
      <c r="B1032" s="17" t="n">
        <v>1009668418</v>
      </c>
      <c r="C1032" s="17" t="s">
        <v>436</v>
      </c>
      <c r="D1032" s="17" t="s">
        <v>190</v>
      </c>
      <c r="E1032" s="17" t="s">
        <v>91</v>
      </c>
      <c r="F1032" s="18" t="s">
        <v>92</v>
      </c>
      <c r="G1032" s="19" t="n">
        <v>943110915437</v>
      </c>
      <c r="H1032" s="17" t="s">
        <v>134</v>
      </c>
      <c r="I1032" s="17" t="s">
        <v>44</v>
      </c>
      <c r="J1032" s="17" t="s">
        <v>106</v>
      </c>
      <c r="K1032" s="17" t="str">
        <f aca="false">VLOOKUP(J1032,Sheet2!A:B,2,0)</f>
        <v>PRAKASH CHAVDA</v>
      </c>
      <c r="L1032" s="17" t="n">
        <v>5</v>
      </c>
      <c r="M1032" s="17" t="str">
        <f aca="false">VLOOKUP(L1032,Sheet2!D:E,2,0)</f>
        <v>Main Processor CPU BGA</v>
      </c>
      <c r="N1032" s="17" t="n">
        <v>24</v>
      </c>
      <c r="O1032" s="17" t="str">
        <f aca="false">VLOOKUP(N1032,Sheet2!G:H,2,0)</f>
        <v>STB Auto moving -Stand by mode</v>
      </c>
      <c r="P1032" s="17" t="n">
        <v>12</v>
      </c>
      <c r="Q1032" s="17" t="str">
        <f aca="false">VLOOKUP(P1032,Sheet2!J:K,2,0)</f>
        <v>IR Declared due to Others ( IR Normal)TB</v>
      </c>
      <c r="R1032" s="17" t="s">
        <v>35</v>
      </c>
      <c r="S1032" s="17" t="str">
        <f aca="false">VLOOKUP(R1032,Sheet2!N:O,2,0)</f>
        <v>IREPARABLE</v>
      </c>
      <c r="T1032" s="18" t="str">
        <f aca="false">VLOOKUP(P1032,Sheet2!Q:R,2,0)</f>
        <v>IR Normal - BER to IR</v>
      </c>
      <c r="U1032" s="20" t="s">
        <v>135</v>
      </c>
      <c r="V1032" s="17" t="n">
        <v>12</v>
      </c>
      <c r="W1032" s="20" t="str">
        <f aca="false">VLOOKUP(V1032,Sheet2!Q:R,2,0)</f>
        <v>IR Normal - BER to IR</v>
      </c>
      <c r="X1032" s="17" t="str">
        <f aca="false">J1032</f>
        <v>A018</v>
      </c>
      <c r="Y1032" s="17" t="str">
        <f aca="false">VLOOKUP(X1032,Sheet2!A:B,2,0)</f>
        <v>PRAKASH CHAVDA</v>
      </c>
      <c r="Z1032" s="17" t="s">
        <v>127</v>
      </c>
      <c r="AA1032" s="17" t="s">
        <v>477</v>
      </c>
      <c r="AB1032" s="17" t="s">
        <v>41</v>
      </c>
      <c r="AC1032" s="0" t="str">
        <f aca="false">LEFT(G1032,2)</f>
        <v>94</v>
      </c>
      <c r="AE1032" s="21" t="s">
        <v>42</v>
      </c>
    </row>
    <row r="1033" customFormat="false" ht="15" hidden="false" customHeight="false" outlineLevel="0" collapsed="false">
      <c r="A1033" s="13" t="n">
        <f aca="false">1+A1032</f>
        <v>1031</v>
      </c>
      <c r="B1033" s="17" t="n">
        <v>1009673445</v>
      </c>
      <c r="C1033" s="17" t="s">
        <v>436</v>
      </c>
      <c r="D1033" s="17" t="s">
        <v>190</v>
      </c>
      <c r="E1033" s="17" t="s">
        <v>33</v>
      </c>
      <c r="F1033" s="18" t="s">
        <v>34</v>
      </c>
      <c r="G1033" s="19" t="n">
        <v>942055938339</v>
      </c>
      <c r="H1033" s="17" t="s">
        <v>134</v>
      </c>
      <c r="I1033" s="17" t="s">
        <v>44</v>
      </c>
      <c r="J1033" s="17" t="s">
        <v>106</v>
      </c>
      <c r="K1033" s="17" t="str">
        <f aca="false">VLOOKUP(J1033,Sheet2!A:B,2,0)</f>
        <v>PRAKASH CHAVDA</v>
      </c>
      <c r="L1033" s="17" t="n">
        <v>5</v>
      </c>
      <c r="M1033" s="17" t="str">
        <f aca="false">VLOOKUP(L1033,Sheet2!D:E,2,0)</f>
        <v>Main Processor CPU BGA</v>
      </c>
      <c r="N1033" s="17" t="n">
        <v>1</v>
      </c>
      <c r="O1033" s="17" t="str">
        <f aca="false">VLOOKUP(N1033,Sheet2!G:H,2,0)</f>
        <v>Dead</v>
      </c>
      <c r="P1033" s="17" t="n">
        <v>12</v>
      </c>
      <c r="Q1033" s="17" t="str">
        <f aca="false">VLOOKUP(P1033,Sheet2!J:K,2,0)</f>
        <v>IR Declared due to Others ( IR Normal)TB</v>
      </c>
      <c r="R1033" s="17" t="s">
        <v>35</v>
      </c>
      <c r="S1033" s="17" t="str">
        <f aca="false">VLOOKUP(R1033,Sheet2!N:O,2,0)</f>
        <v>IREPARABLE</v>
      </c>
      <c r="T1033" s="18" t="str">
        <f aca="false">VLOOKUP(P1033,Sheet2!Q:R,2,0)</f>
        <v>IR Normal - BER to IR</v>
      </c>
      <c r="U1033" s="20" t="s">
        <v>135</v>
      </c>
      <c r="V1033" s="17" t="n">
        <v>12</v>
      </c>
      <c r="W1033" s="20" t="str">
        <f aca="false">VLOOKUP(V1033,Sheet2!Q:R,2,0)</f>
        <v>IR Normal - BER to IR</v>
      </c>
      <c r="X1033" s="17" t="str">
        <f aca="false">J1033</f>
        <v>A018</v>
      </c>
      <c r="Y1033" s="17" t="str">
        <f aca="false">VLOOKUP(X1033,Sheet2!A:B,2,0)</f>
        <v>PRAKASH CHAVDA</v>
      </c>
      <c r="Z1033" s="17" t="s">
        <v>127</v>
      </c>
      <c r="AA1033" s="17" t="s">
        <v>477</v>
      </c>
      <c r="AB1033" s="17" t="s">
        <v>41</v>
      </c>
      <c r="AC1033" s="0" t="str">
        <f aca="false">LEFT(G1033,2)</f>
        <v>94</v>
      </c>
      <c r="AE1033" s="21" t="s">
        <v>42</v>
      </c>
    </row>
    <row r="1034" customFormat="false" ht="15" hidden="false" customHeight="false" outlineLevel="0" collapsed="false">
      <c r="A1034" s="13" t="n">
        <f aca="false">1+A1033</f>
        <v>1032</v>
      </c>
      <c r="B1034" s="17" t="n">
        <v>1009668010</v>
      </c>
      <c r="C1034" s="17" t="s">
        <v>436</v>
      </c>
      <c r="D1034" s="17" t="s">
        <v>190</v>
      </c>
      <c r="E1034" s="17" t="s">
        <v>33</v>
      </c>
      <c r="F1034" s="18" t="s">
        <v>34</v>
      </c>
      <c r="G1034" s="19" t="n">
        <v>942153915932</v>
      </c>
      <c r="H1034" s="17" t="s">
        <v>134</v>
      </c>
      <c r="I1034" s="17" t="s">
        <v>44</v>
      </c>
      <c r="J1034" s="17" t="s">
        <v>106</v>
      </c>
      <c r="K1034" s="17" t="str">
        <f aca="false">VLOOKUP(J1034,Sheet2!A:B,2,0)</f>
        <v>PRAKASH CHAVDA</v>
      </c>
      <c r="L1034" s="17" t="n">
        <v>5</v>
      </c>
      <c r="M1034" s="17" t="str">
        <f aca="false">VLOOKUP(L1034,Sheet2!D:E,2,0)</f>
        <v>Main Processor CPU BGA</v>
      </c>
      <c r="N1034" s="17" t="n">
        <v>1</v>
      </c>
      <c r="O1034" s="17" t="str">
        <f aca="false">VLOOKUP(N1034,Sheet2!G:H,2,0)</f>
        <v>Dead</v>
      </c>
      <c r="P1034" s="17" t="n">
        <v>12</v>
      </c>
      <c r="Q1034" s="17" t="str">
        <f aca="false">VLOOKUP(P1034,Sheet2!J:K,2,0)</f>
        <v>IR Declared due to Others ( IR Normal)TB</v>
      </c>
      <c r="R1034" s="17" t="s">
        <v>35</v>
      </c>
      <c r="S1034" s="17" t="str">
        <f aca="false">VLOOKUP(R1034,Sheet2!N:O,2,0)</f>
        <v>IREPARABLE</v>
      </c>
      <c r="T1034" s="18" t="str">
        <f aca="false">VLOOKUP(P1034,Sheet2!Q:R,2,0)</f>
        <v>IR Normal - BER to IR</v>
      </c>
      <c r="U1034" s="20" t="s">
        <v>135</v>
      </c>
      <c r="V1034" s="17" t="n">
        <v>12</v>
      </c>
      <c r="W1034" s="20" t="str">
        <f aca="false">VLOOKUP(V1034,Sheet2!Q:R,2,0)</f>
        <v>IR Normal - BER to IR</v>
      </c>
      <c r="X1034" s="17" t="str">
        <f aca="false">J1034</f>
        <v>A018</v>
      </c>
      <c r="Y1034" s="17" t="str">
        <f aca="false">VLOOKUP(X1034,Sheet2!A:B,2,0)</f>
        <v>PRAKASH CHAVDA</v>
      </c>
      <c r="Z1034" s="17" t="s">
        <v>127</v>
      </c>
      <c r="AA1034" s="17" t="s">
        <v>477</v>
      </c>
      <c r="AB1034" s="17" t="s">
        <v>41</v>
      </c>
      <c r="AC1034" s="0" t="str">
        <f aca="false">LEFT(G1034,2)</f>
        <v>94</v>
      </c>
      <c r="AE1034" s="21" t="s">
        <v>42</v>
      </c>
    </row>
    <row r="1035" customFormat="false" ht="15" hidden="false" customHeight="false" outlineLevel="0" collapsed="false">
      <c r="A1035" s="13" t="n">
        <f aca="false">1+A1034</f>
        <v>1033</v>
      </c>
      <c r="B1035" s="17" t="n">
        <v>1009667992</v>
      </c>
      <c r="C1035" s="17" t="s">
        <v>436</v>
      </c>
      <c r="D1035" s="17" t="s">
        <v>143</v>
      </c>
      <c r="E1035" s="17" t="s">
        <v>33</v>
      </c>
      <c r="F1035" s="18" t="s">
        <v>34</v>
      </c>
      <c r="G1035" s="19" t="n">
        <v>943212951595</v>
      </c>
      <c r="H1035" s="17" t="s">
        <v>134</v>
      </c>
      <c r="I1035" s="17" t="s">
        <v>44</v>
      </c>
      <c r="J1035" s="17" t="s">
        <v>106</v>
      </c>
      <c r="K1035" s="17" t="str">
        <f aca="false">VLOOKUP(J1035,Sheet2!A:B,2,0)</f>
        <v>PRAKASH CHAVDA</v>
      </c>
      <c r="L1035" s="17" t="n">
        <v>5</v>
      </c>
      <c r="M1035" s="17" t="str">
        <f aca="false">VLOOKUP(L1035,Sheet2!D:E,2,0)</f>
        <v>Main Processor CPU BGA</v>
      </c>
      <c r="N1035" s="17" t="n">
        <v>24</v>
      </c>
      <c r="O1035" s="17" t="str">
        <f aca="false">VLOOKUP(N1035,Sheet2!G:H,2,0)</f>
        <v>STB Auto moving -Stand by mode</v>
      </c>
      <c r="P1035" s="17" t="n">
        <v>12</v>
      </c>
      <c r="Q1035" s="17" t="str">
        <f aca="false">VLOOKUP(P1035,Sheet2!J:K,2,0)</f>
        <v>IR Declared due to Others ( IR Normal)TB</v>
      </c>
      <c r="R1035" s="17" t="s">
        <v>35</v>
      </c>
      <c r="S1035" s="17" t="str">
        <f aca="false">VLOOKUP(R1035,Sheet2!N:O,2,0)</f>
        <v>IREPARABLE</v>
      </c>
      <c r="T1035" s="18" t="str">
        <f aca="false">VLOOKUP(P1035,Sheet2!Q:R,2,0)</f>
        <v>IR Normal - BER to IR</v>
      </c>
      <c r="U1035" s="20" t="s">
        <v>135</v>
      </c>
      <c r="V1035" s="17" t="n">
        <v>12</v>
      </c>
      <c r="W1035" s="20" t="str">
        <f aca="false">VLOOKUP(V1035,Sheet2!Q:R,2,0)</f>
        <v>IR Normal - BER to IR</v>
      </c>
      <c r="X1035" s="17" t="str">
        <f aca="false">J1035</f>
        <v>A018</v>
      </c>
      <c r="Y1035" s="17" t="str">
        <f aca="false">VLOOKUP(X1035,Sheet2!A:B,2,0)</f>
        <v>PRAKASH CHAVDA</v>
      </c>
      <c r="Z1035" s="17" t="s">
        <v>127</v>
      </c>
      <c r="AA1035" s="17" t="s">
        <v>477</v>
      </c>
      <c r="AB1035" s="17" t="s">
        <v>41</v>
      </c>
      <c r="AC1035" s="0" t="str">
        <f aca="false">LEFT(G1035,2)</f>
        <v>94</v>
      </c>
      <c r="AE1035" s="21" t="s">
        <v>42</v>
      </c>
    </row>
    <row r="1036" customFormat="false" ht="15" hidden="false" customHeight="false" outlineLevel="0" collapsed="false">
      <c r="A1036" s="13" t="n">
        <f aca="false">1+A1035</f>
        <v>1034</v>
      </c>
      <c r="B1036" s="17" t="n">
        <v>1009668056</v>
      </c>
      <c r="C1036" s="17" t="s">
        <v>436</v>
      </c>
      <c r="D1036" s="17" t="s">
        <v>495</v>
      </c>
      <c r="E1036" s="17" t="s">
        <v>33</v>
      </c>
      <c r="F1036" s="18" t="s">
        <v>34</v>
      </c>
      <c r="G1036" s="19" t="n">
        <v>943202909793</v>
      </c>
      <c r="H1036" s="17" t="s">
        <v>134</v>
      </c>
      <c r="I1036" s="17" t="s">
        <v>44</v>
      </c>
      <c r="J1036" s="17" t="s">
        <v>106</v>
      </c>
      <c r="K1036" s="17" t="str">
        <f aca="false">VLOOKUP(J1036,Sheet2!A:B,2,0)</f>
        <v>PRAKASH CHAVDA</v>
      </c>
      <c r="L1036" s="17" t="n">
        <v>5</v>
      </c>
      <c r="M1036" s="17" t="str">
        <f aca="false">VLOOKUP(L1036,Sheet2!D:E,2,0)</f>
        <v>Main Processor CPU BGA</v>
      </c>
      <c r="N1036" s="17" t="n">
        <v>24</v>
      </c>
      <c r="O1036" s="17" t="str">
        <f aca="false">VLOOKUP(N1036,Sheet2!G:H,2,0)</f>
        <v>STB Auto moving -Stand by mode</v>
      </c>
      <c r="P1036" s="17" t="n">
        <v>12</v>
      </c>
      <c r="Q1036" s="17" t="str">
        <f aca="false">VLOOKUP(P1036,Sheet2!J:K,2,0)</f>
        <v>IR Declared due to Others ( IR Normal)TB</v>
      </c>
      <c r="R1036" s="17" t="s">
        <v>35</v>
      </c>
      <c r="S1036" s="17" t="str">
        <f aca="false">VLOOKUP(R1036,Sheet2!N:O,2,0)</f>
        <v>IREPARABLE</v>
      </c>
      <c r="T1036" s="18" t="str">
        <f aca="false">VLOOKUP(P1036,Sheet2!Q:R,2,0)</f>
        <v>IR Normal - BER to IR</v>
      </c>
      <c r="U1036" s="20" t="s">
        <v>135</v>
      </c>
      <c r="V1036" s="17" t="n">
        <v>12</v>
      </c>
      <c r="W1036" s="20" t="str">
        <f aca="false">VLOOKUP(V1036,Sheet2!Q:R,2,0)</f>
        <v>IR Normal - BER to IR</v>
      </c>
      <c r="X1036" s="17" t="str">
        <f aca="false">J1036</f>
        <v>A018</v>
      </c>
      <c r="Y1036" s="17" t="str">
        <f aca="false">VLOOKUP(X1036,Sheet2!A:B,2,0)</f>
        <v>PRAKASH CHAVDA</v>
      </c>
      <c r="Z1036" s="17" t="s">
        <v>127</v>
      </c>
      <c r="AA1036" s="17" t="s">
        <v>477</v>
      </c>
      <c r="AB1036" s="17" t="s">
        <v>41</v>
      </c>
      <c r="AC1036" s="0" t="str">
        <f aca="false">LEFT(G1036,2)</f>
        <v>94</v>
      </c>
      <c r="AE1036" s="21" t="s">
        <v>42</v>
      </c>
    </row>
    <row r="1037" customFormat="false" ht="15" hidden="false" customHeight="false" outlineLevel="0" collapsed="false">
      <c r="A1037" s="13" t="n">
        <f aca="false">1+A1036</f>
        <v>1035</v>
      </c>
      <c r="B1037" s="17" t="n">
        <v>1009673533</v>
      </c>
      <c r="C1037" s="17" t="s">
        <v>436</v>
      </c>
      <c r="D1037" s="17" t="s">
        <v>64</v>
      </c>
      <c r="E1037" s="17" t="s">
        <v>64</v>
      </c>
      <c r="F1037" s="18" t="s">
        <v>70</v>
      </c>
      <c r="G1037" s="19" t="n">
        <v>942147945342</v>
      </c>
      <c r="H1037" s="17" t="s">
        <v>134</v>
      </c>
      <c r="I1037" s="17" t="s">
        <v>44</v>
      </c>
      <c r="J1037" s="17" t="s">
        <v>106</v>
      </c>
      <c r="K1037" s="17" t="str">
        <f aca="false">VLOOKUP(J1037,Sheet2!A:B,2,0)</f>
        <v>PRAKASH CHAVDA</v>
      </c>
      <c r="L1037" s="17" t="n">
        <v>5</v>
      </c>
      <c r="M1037" s="17" t="str">
        <f aca="false">VLOOKUP(L1037,Sheet2!D:E,2,0)</f>
        <v>Main Processor CPU BGA</v>
      </c>
      <c r="N1037" s="17" t="n">
        <v>1</v>
      </c>
      <c r="O1037" s="17" t="str">
        <f aca="false">VLOOKUP(N1037,Sheet2!G:H,2,0)</f>
        <v>Dead</v>
      </c>
      <c r="P1037" s="17" t="n">
        <v>12</v>
      </c>
      <c r="Q1037" s="17" t="str">
        <f aca="false">VLOOKUP(P1037,Sheet2!J:K,2,0)</f>
        <v>IR Declared due to Others ( IR Normal)TB</v>
      </c>
      <c r="R1037" s="17" t="s">
        <v>35</v>
      </c>
      <c r="S1037" s="17" t="str">
        <f aca="false">VLOOKUP(R1037,Sheet2!N:O,2,0)</f>
        <v>IREPARABLE</v>
      </c>
      <c r="T1037" s="18" t="str">
        <f aca="false">VLOOKUP(P1037,Sheet2!Q:R,2,0)</f>
        <v>IR Normal - BER to IR</v>
      </c>
      <c r="U1037" s="20" t="s">
        <v>135</v>
      </c>
      <c r="V1037" s="17" t="n">
        <v>12</v>
      </c>
      <c r="W1037" s="20" t="str">
        <f aca="false">VLOOKUP(V1037,Sheet2!Q:R,2,0)</f>
        <v>IR Normal - BER to IR</v>
      </c>
      <c r="X1037" s="17" t="str">
        <f aca="false">J1037</f>
        <v>A018</v>
      </c>
      <c r="Y1037" s="17" t="str">
        <f aca="false">VLOOKUP(X1037,Sheet2!A:B,2,0)</f>
        <v>PRAKASH CHAVDA</v>
      </c>
      <c r="Z1037" s="17" t="s">
        <v>127</v>
      </c>
      <c r="AA1037" s="17" t="s">
        <v>477</v>
      </c>
      <c r="AB1037" s="17" t="s">
        <v>41</v>
      </c>
      <c r="AC1037" s="0" t="str">
        <f aca="false">LEFT(G1037,2)</f>
        <v>94</v>
      </c>
      <c r="AE1037" s="21" t="s">
        <v>42</v>
      </c>
    </row>
    <row r="1038" customFormat="false" ht="15" hidden="false" customHeight="false" outlineLevel="0" collapsed="false">
      <c r="A1038" s="13" t="n">
        <f aca="false">1+A1037</f>
        <v>1036</v>
      </c>
      <c r="B1038" s="17" t="n">
        <v>1009673146</v>
      </c>
      <c r="C1038" s="17" t="s">
        <v>436</v>
      </c>
      <c r="D1038" s="17" t="s">
        <v>32</v>
      </c>
      <c r="E1038" s="17" t="s">
        <v>33</v>
      </c>
      <c r="F1038" s="18" t="s">
        <v>34</v>
      </c>
      <c r="G1038" s="19" t="n">
        <v>942279914603</v>
      </c>
      <c r="H1038" s="17" t="s">
        <v>134</v>
      </c>
      <c r="I1038" s="17" t="s">
        <v>44</v>
      </c>
      <c r="J1038" s="17" t="s">
        <v>106</v>
      </c>
      <c r="K1038" s="17" t="str">
        <f aca="false">VLOOKUP(J1038,Sheet2!A:B,2,0)</f>
        <v>PRAKASH CHAVDA</v>
      </c>
      <c r="L1038" s="17" t="n">
        <v>5</v>
      </c>
      <c r="M1038" s="17" t="str">
        <f aca="false">VLOOKUP(L1038,Sheet2!D:E,2,0)</f>
        <v>Main Processor CPU BGA</v>
      </c>
      <c r="N1038" s="17" t="n">
        <v>24</v>
      </c>
      <c r="O1038" s="17" t="str">
        <f aca="false">VLOOKUP(N1038,Sheet2!G:H,2,0)</f>
        <v>STB Auto moving -Stand by mode</v>
      </c>
      <c r="P1038" s="17" t="n">
        <v>12</v>
      </c>
      <c r="Q1038" s="17" t="str">
        <f aca="false">VLOOKUP(P1038,Sheet2!J:K,2,0)</f>
        <v>IR Declared due to Others ( IR Normal)TB</v>
      </c>
      <c r="R1038" s="17" t="s">
        <v>35</v>
      </c>
      <c r="S1038" s="17" t="str">
        <f aca="false">VLOOKUP(R1038,Sheet2!N:O,2,0)</f>
        <v>IREPARABLE</v>
      </c>
      <c r="T1038" s="18" t="str">
        <f aca="false">VLOOKUP(P1038,Sheet2!Q:R,2,0)</f>
        <v>IR Normal - BER to IR</v>
      </c>
      <c r="U1038" s="20" t="s">
        <v>135</v>
      </c>
      <c r="V1038" s="17" t="n">
        <v>12</v>
      </c>
      <c r="W1038" s="20" t="str">
        <f aca="false">VLOOKUP(V1038,Sheet2!Q:R,2,0)</f>
        <v>IR Normal - BER to IR</v>
      </c>
      <c r="X1038" s="17" t="str">
        <f aca="false">J1038</f>
        <v>A018</v>
      </c>
      <c r="Y1038" s="17" t="str">
        <f aca="false">VLOOKUP(X1038,Sheet2!A:B,2,0)</f>
        <v>PRAKASH CHAVDA</v>
      </c>
      <c r="Z1038" s="17" t="s">
        <v>127</v>
      </c>
      <c r="AA1038" s="17" t="s">
        <v>477</v>
      </c>
      <c r="AB1038" s="17" t="s">
        <v>41</v>
      </c>
      <c r="AC1038" s="0" t="str">
        <f aca="false">LEFT(G1038,2)</f>
        <v>94</v>
      </c>
      <c r="AE1038" s="21" t="s">
        <v>42</v>
      </c>
    </row>
    <row r="1039" customFormat="false" ht="15" hidden="false" customHeight="false" outlineLevel="0" collapsed="false">
      <c r="A1039" s="13" t="n">
        <f aca="false">1+A1038</f>
        <v>1037</v>
      </c>
      <c r="B1039" s="17" t="n">
        <v>1009670630</v>
      </c>
      <c r="C1039" s="17" t="s">
        <v>436</v>
      </c>
      <c r="D1039" s="17" t="s">
        <v>119</v>
      </c>
      <c r="E1039" s="17" t="s">
        <v>47</v>
      </c>
      <c r="F1039" s="18" t="s">
        <v>34</v>
      </c>
      <c r="G1039" s="19" t="n">
        <v>775161033474</v>
      </c>
      <c r="H1039" s="17" t="s">
        <v>134</v>
      </c>
      <c r="I1039" s="17" t="s">
        <v>69</v>
      </c>
      <c r="J1039" s="17" t="s">
        <v>106</v>
      </c>
      <c r="K1039" s="17" t="str">
        <f aca="false">VLOOKUP(J1039,Sheet2!A:B,2,0)</f>
        <v>PRAKASH CHAVDA</v>
      </c>
      <c r="L1039" s="17" t="n">
        <v>5</v>
      </c>
      <c r="M1039" s="17" t="str">
        <f aca="false">VLOOKUP(L1039,Sheet2!D:E,2,0)</f>
        <v>Main Processor CPU BGA</v>
      </c>
      <c r="N1039" s="17" t="n">
        <v>1</v>
      </c>
      <c r="O1039" s="17" t="str">
        <f aca="false">VLOOKUP(N1039,Sheet2!G:H,2,0)</f>
        <v>Dead</v>
      </c>
      <c r="P1039" s="17" t="n">
        <v>12</v>
      </c>
      <c r="Q1039" s="17" t="str">
        <f aca="false">VLOOKUP(P1039,Sheet2!J:K,2,0)</f>
        <v>IR Declared due to Others ( IR Normal)TB</v>
      </c>
      <c r="R1039" s="17" t="s">
        <v>35</v>
      </c>
      <c r="S1039" s="17" t="str">
        <f aca="false">VLOOKUP(R1039,Sheet2!N:O,2,0)</f>
        <v>IREPARABLE</v>
      </c>
      <c r="T1039" s="18" t="str">
        <f aca="false">VLOOKUP(P1039,Sheet2!Q:R,2,0)</f>
        <v>IR Normal - BER to IR</v>
      </c>
      <c r="U1039" s="20" t="s">
        <v>135</v>
      </c>
      <c r="V1039" s="17" t="n">
        <v>12</v>
      </c>
      <c r="W1039" s="20" t="str">
        <f aca="false">VLOOKUP(V1039,Sheet2!Q:R,2,0)</f>
        <v>IR Normal - BER to IR</v>
      </c>
      <c r="X1039" s="17" t="str">
        <f aca="false">J1039</f>
        <v>A018</v>
      </c>
      <c r="Y1039" s="17" t="str">
        <f aca="false">VLOOKUP(X1039,Sheet2!A:B,2,0)</f>
        <v>PRAKASH CHAVDA</v>
      </c>
      <c r="Z1039" s="17" t="s">
        <v>136</v>
      </c>
      <c r="AA1039" s="17" t="s">
        <v>477</v>
      </c>
      <c r="AB1039" s="17" t="s">
        <v>41</v>
      </c>
      <c r="AC1039" s="0" t="str">
        <f aca="false">LEFT(G1039,2)</f>
        <v>77</v>
      </c>
      <c r="AE1039" s="21" t="s">
        <v>42</v>
      </c>
    </row>
    <row r="1040" customFormat="false" ht="15" hidden="false" customHeight="false" outlineLevel="0" collapsed="false">
      <c r="A1040" s="13" t="n">
        <f aca="false">1+A1039</f>
        <v>1038</v>
      </c>
      <c r="B1040" s="17" t="n">
        <v>1009640667</v>
      </c>
      <c r="C1040" s="17" t="s">
        <v>429</v>
      </c>
      <c r="D1040" s="17" t="s">
        <v>64</v>
      </c>
      <c r="E1040" s="17" t="s">
        <v>64</v>
      </c>
      <c r="F1040" s="18" t="s">
        <v>70</v>
      </c>
      <c r="G1040" s="19" t="n">
        <v>774324104876</v>
      </c>
      <c r="H1040" s="17" t="s">
        <v>134</v>
      </c>
      <c r="I1040" s="17" t="s">
        <v>69</v>
      </c>
      <c r="J1040" s="17" t="s">
        <v>106</v>
      </c>
      <c r="K1040" s="17" t="str">
        <f aca="false">VLOOKUP(J1040,Sheet2!A:B,2,0)</f>
        <v>PRAKASH CHAVDA</v>
      </c>
      <c r="L1040" s="17" t="n">
        <v>1</v>
      </c>
      <c r="M1040" s="17" t="str">
        <f aca="false">VLOOKUP(L1040,Sheet2!D:E,2,0)</f>
        <v>Power Supply Section</v>
      </c>
      <c r="N1040" s="17" t="n">
        <v>1</v>
      </c>
      <c r="O1040" s="17" t="str">
        <f aca="false">VLOOKUP(N1040,Sheet2!G:H,2,0)</f>
        <v>Dead</v>
      </c>
      <c r="P1040" s="17" t="n">
        <v>12</v>
      </c>
      <c r="Q1040" s="17" t="str">
        <f aca="false">VLOOKUP(P1040,Sheet2!J:K,2,0)</f>
        <v>IR Declared due to Others ( IR Normal)TB</v>
      </c>
      <c r="R1040" s="17" t="s">
        <v>35</v>
      </c>
      <c r="S1040" s="17" t="str">
        <f aca="false">VLOOKUP(R1040,Sheet2!N:O,2,0)</f>
        <v>IREPARABLE</v>
      </c>
      <c r="T1040" s="18" t="str">
        <f aca="false">VLOOKUP(P1040,Sheet2!Q:R,2,0)</f>
        <v>IR Normal - BER to IR</v>
      </c>
      <c r="U1040" s="20" t="s">
        <v>135</v>
      </c>
      <c r="V1040" s="17" t="n">
        <v>12</v>
      </c>
      <c r="W1040" s="20" t="str">
        <f aca="false">VLOOKUP(V1040,Sheet2!Q:R,2,0)</f>
        <v>IR Normal - BER to IR</v>
      </c>
      <c r="X1040" s="17" t="str">
        <f aca="false">J1040</f>
        <v>A018</v>
      </c>
      <c r="Y1040" s="17" t="str">
        <f aca="false">VLOOKUP(X1040,Sheet2!A:B,2,0)</f>
        <v>PRAKASH CHAVDA</v>
      </c>
      <c r="Z1040" s="17" t="s">
        <v>136</v>
      </c>
      <c r="AA1040" s="17" t="s">
        <v>477</v>
      </c>
      <c r="AB1040" s="17" t="s">
        <v>41</v>
      </c>
      <c r="AC1040" s="0" t="str">
        <f aca="false">LEFT(G1040,2)</f>
        <v>77</v>
      </c>
      <c r="AE1040" s="21" t="s">
        <v>42</v>
      </c>
    </row>
    <row r="1041" customFormat="false" ht="15" hidden="false" customHeight="false" outlineLevel="0" collapsed="false">
      <c r="A1041" s="13" t="n">
        <f aca="false">1+A1040</f>
        <v>1039</v>
      </c>
      <c r="B1041" s="17" t="n">
        <v>1009671314</v>
      </c>
      <c r="C1041" s="17" t="s">
        <v>436</v>
      </c>
      <c r="D1041" s="17" t="s">
        <v>64</v>
      </c>
      <c r="E1041" s="17" t="s">
        <v>47</v>
      </c>
      <c r="F1041" s="18" t="s">
        <v>34</v>
      </c>
      <c r="G1041" s="19" t="n">
        <v>775324197844</v>
      </c>
      <c r="H1041" s="17" t="s">
        <v>134</v>
      </c>
      <c r="I1041" s="17" t="s">
        <v>69</v>
      </c>
      <c r="J1041" s="17" t="s">
        <v>106</v>
      </c>
      <c r="K1041" s="17" t="str">
        <f aca="false">VLOOKUP(J1041,Sheet2!A:B,2,0)</f>
        <v>PRAKASH CHAVDA</v>
      </c>
      <c r="L1041" s="17" t="n">
        <v>5</v>
      </c>
      <c r="M1041" s="17" t="str">
        <f aca="false">VLOOKUP(L1041,Sheet2!D:E,2,0)</f>
        <v>Main Processor CPU BGA</v>
      </c>
      <c r="N1041" s="17" t="n">
        <v>1</v>
      </c>
      <c r="O1041" s="17" t="str">
        <f aca="false">VLOOKUP(N1041,Sheet2!G:H,2,0)</f>
        <v>Dead</v>
      </c>
      <c r="P1041" s="17" t="n">
        <v>12</v>
      </c>
      <c r="Q1041" s="17" t="str">
        <f aca="false">VLOOKUP(P1041,Sheet2!J:K,2,0)</f>
        <v>IR Declared due to Others ( IR Normal)TB</v>
      </c>
      <c r="R1041" s="17" t="s">
        <v>35</v>
      </c>
      <c r="S1041" s="17" t="str">
        <f aca="false">VLOOKUP(R1041,Sheet2!N:O,2,0)</f>
        <v>IREPARABLE</v>
      </c>
      <c r="T1041" s="18" t="str">
        <f aca="false">VLOOKUP(P1041,Sheet2!Q:R,2,0)</f>
        <v>IR Normal - BER to IR</v>
      </c>
      <c r="U1041" s="20" t="s">
        <v>135</v>
      </c>
      <c r="V1041" s="17" t="n">
        <v>12</v>
      </c>
      <c r="W1041" s="20" t="str">
        <f aca="false">VLOOKUP(V1041,Sheet2!Q:R,2,0)</f>
        <v>IR Normal - BER to IR</v>
      </c>
      <c r="X1041" s="17" t="str">
        <f aca="false">J1041</f>
        <v>A018</v>
      </c>
      <c r="Y1041" s="17" t="str">
        <f aca="false">VLOOKUP(X1041,Sheet2!A:B,2,0)</f>
        <v>PRAKASH CHAVDA</v>
      </c>
      <c r="Z1041" s="17" t="s">
        <v>136</v>
      </c>
      <c r="AA1041" s="17" t="s">
        <v>477</v>
      </c>
      <c r="AB1041" s="17" t="s">
        <v>41</v>
      </c>
      <c r="AC1041" s="0" t="str">
        <f aca="false">LEFT(G1041,2)</f>
        <v>77</v>
      </c>
      <c r="AE1041" s="21" t="s">
        <v>42</v>
      </c>
    </row>
    <row r="1042" customFormat="false" ht="15" hidden="false" customHeight="false" outlineLevel="0" collapsed="false">
      <c r="A1042" s="13" t="n">
        <f aca="false">1+A1041</f>
        <v>1040</v>
      </c>
      <c r="B1042" s="17" t="n">
        <v>1009540143</v>
      </c>
      <c r="C1042" s="17" t="s">
        <v>126</v>
      </c>
      <c r="D1042" s="17" t="s">
        <v>496</v>
      </c>
      <c r="E1042" s="17" t="s">
        <v>47</v>
      </c>
      <c r="F1042" s="18" t="s">
        <v>34</v>
      </c>
      <c r="G1042" s="19" t="n">
        <v>775330190973</v>
      </c>
      <c r="H1042" s="17" t="s">
        <v>134</v>
      </c>
      <c r="I1042" s="17" t="s">
        <v>69</v>
      </c>
      <c r="J1042" s="17" t="s">
        <v>106</v>
      </c>
      <c r="K1042" s="17" t="str">
        <f aca="false">VLOOKUP(J1042,Sheet2!A:B,2,0)</f>
        <v>PRAKASH CHAVDA</v>
      </c>
      <c r="L1042" s="17" t="n">
        <v>5</v>
      </c>
      <c r="M1042" s="17" t="str">
        <f aca="false">VLOOKUP(L1042,Sheet2!D:E,2,0)</f>
        <v>Main Processor CPU BGA</v>
      </c>
      <c r="N1042" s="17" t="n">
        <v>1</v>
      </c>
      <c r="O1042" s="17" t="str">
        <f aca="false">VLOOKUP(N1042,Sheet2!G:H,2,0)</f>
        <v>Dead</v>
      </c>
      <c r="P1042" s="17" t="n">
        <v>12</v>
      </c>
      <c r="Q1042" s="17" t="str">
        <f aca="false">VLOOKUP(P1042,Sheet2!J:K,2,0)</f>
        <v>IR Declared due to Others ( IR Normal)TB</v>
      </c>
      <c r="R1042" s="17" t="s">
        <v>35</v>
      </c>
      <c r="S1042" s="17" t="str">
        <f aca="false">VLOOKUP(R1042,Sheet2!N:O,2,0)</f>
        <v>IREPARABLE</v>
      </c>
      <c r="T1042" s="18" t="str">
        <f aca="false">VLOOKUP(P1042,Sheet2!Q:R,2,0)</f>
        <v>IR Normal - BER to IR</v>
      </c>
      <c r="U1042" s="20" t="s">
        <v>135</v>
      </c>
      <c r="V1042" s="17" t="n">
        <v>12</v>
      </c>
      <c r="W1042" s="20" t="str">
        <f aca="false">VLOOKUP(V1042,Sheet2!Q:R,2,0)</f>
        <v>IR Normal - BER to IR</v>
      </c>
      <c r="X1042" s="17" t="str">
        <f aca="false">J1042</f>
        <v>A018</v>
      </c>
      <c r="Y1042" s="17" t="str">
        <f aca="false">VLOOKUP(X1042,Sheet2!A:B,2,0)</f>
        <v>PRAKASH CHAVDA</v>
      </c>
      <c r="Z1042" s="17" t="s">
        <v>136</v>
      </c>
      <c r="AA1042" s="17" t="s">
        <v>477</v>
      </c>
      <c r="AB1042" s="17" t="s">
        <v>41</v>
      </c>
      <c r="AC1042" s="0" t="str">
        <f aca="false">LEFT(G1042,2)</f>
        <v>77</v>
      </c>
      <c r="AE1042" s="21" t="s">
        <v>42</v>
      </c>
    </row>
    <row r="1043" customFormat="false" ht="15" hidden="false" customHeight="false" outlineLevel="0" collapsed="false">
      <c r="A1043" s="13" t="n">
        <f aca="false">1+A1042</f>
        <v>1041</v>
      </c>
      <c r="B1043" s="17" t="n">
        <v>1009555606</v>
      </c>
      <c r="C1043" s="17" t="s">
        <v>444</v>
      </c>
      <c r="D1043" s="17" t="s">
        <v>64</v>
      </c>
      <c r="E1043" s="17" t="s">
        <v>47</v>
      </c>
      <c r="F1043" s="18" t="s">
        <v>34</v>
      </c>
      <c r="G1043" s="19" t="n">
        <v>775319132236</v>
      </c>
      <c r="H1043" s="17" t="s">
        <v>134</v>
      </c>
      <c r="I1043" s="17" t="s">
        <v>69</v>
      </c>
      <c r="J1043" s="17" t="s">
        <v>106</v>
      </c>
      <c r="K1043" s="17" t="str">
        <f aca="false">VLOOKUP(J1043,Sheet2!A:B,2,0)</f>
        <v>PRAKASH CHAVDA</v>
      </c>
      <c r="L1043" s="17" t="n">
        <v>5</v>
      </c>
      <c r="M1043" s="17" t="str">
        <f aca="false">VLOOKUP(L1043,Sheet2!D:E,2,0)</f>
        <v>Main Processor CPU BGA</v>
      </c>
      <c r="N1043" s="17" t="n">
        <v>1</v>
      </c>
      <c r="O1043" s="17" t="str">
        <f aca="false">VLOOKUP(N1043,Sheet2!G:H,2,0)</f>
        <v>Dead</v>
      </c>
      <c r="P1043" s="17" t="n">
        <v>12</v>
      </c>
      <c r="Q1043" s="17" t="str">
        <f aca="false">VLOOKUP(P1043,Sheet2!J:K,2,0)</f>
        <v>IR Declared due to Others ( IR Normal)TB</v>
      </c>
      <c r="R1043" s="17" t="s">
        <v>35</v>
      </c>
      <c r="S1043" s="17" t="str">
        <f aca="false">VLOOKUP(R1043,Sheet2!N:O,2,0)</f>
        <v>IREPARABLE</v>
      </c>
      <c r="T1043" s="18" t="str">
        <f aca="false">VLOOKUP(P1043,Sheet2!Q:R,2,0)</f>
        <v>IR Normal - BER to IR</v>
      </c>
      <c r="U1043" s="20" t="s">
        <v>135</v>
      </c>
      <c r="V1043" s="17" t="n">
        <v>12</v>
      </c>
      <c r="W1043" s="20" t="str">
        <f aca="false">VLOOKUP(V1043,Sheet2!Q:R,2,0)</f>
        <v>IR Normal - BER to IR</v>
      </c>
      <c r="X1043" s="17" t="str">
        <f aca="false">J1043</f>
        <v>A018</v>
      </c>
      <c r="Y1043" s="17" t="str">
        <f aca="false">VLOOKUP(X1043,Sheet2!A:B,2,0)</f>
        <v>PRAKASH CHAVDA</v>
      </c>
      <c r="Z1043" s="17" t="s">
        <v>136</v>
      </c>
      <c r="AA1043" s="17" t="s">
        <v>477</v>
      </c>
      <c r="AB1043" s="17" t="s">
        <v>41</v>
      </c>
      <c r="AC1043" s="0" t="str">
        <f aca="false">LEFT(G1043,2)</f>
        <v>77</v>
      </c>
      <c r="AE1043" s="21" t="s">
        <v>42</v>
      </c>
    </row>
    <row r="1044" customFormat="false" ht="15" hidden="false" customHeight="false" outlineLevel="0" collapsed="false">
      <c r="A1044" s="13" t="n">
        <f aca="false">1+A1043</f>
        <v>1042</v>
      </c>
      <c r="B1044" s="17" t="n">
        <v>1009558602</v>
      </c>
      <c r="C1044" s="17" t="s">
        <v>192</v>
      </c>
      <c r="D1044" s="17" t="s">
        <v>64</v>
      </c>
      <c r="E1044" s="17" t="s">
        <v>64</v>
      </c>
      <c r="F1044" s="18" t="s">
        <v>70</v>
      </c>
      <c r="G1044" s="19" t="n">
        <v>774338237555</v>
      </c>
      <c r="H1044" s="17" t="s">
        <v>134</v>
      </c>
      <c r="I1044" s="17" t="s">
        <v>69</v>
      </c>
      <c r="J1044" s="17" t="s">
        <v>106</v>
      </c>
      <c r="K1044" s="17" t="str">
        <f aca="false">VLOOKUP(J1044,Sheet2!A:B,2,0)</f>
        <v>PRAKASH CHAVDA</v>
      </c>
      <c r="L1044" s="17" t="n">
        <v>5</v>
      </c>
      <c r="M1044" s="17" t="str">
        <f aca="false">VLOOKUP(L1044,Sheet2!D:E,2,0)</f>
        <v>Main Processor CPU BGA</v>
      </c>
      <c r="N1044" s="17" t="n">
        <v>1</v>
      </c>
      <c r="O1044" s="17" t="str">
        <f aca="false">VLOOKUP(N1044,Sheet2!G:H,2,0)</f>
        <v>Dead</v>
      </c>
      <c r="P1044" s="17" t="n">
        <v>12</v>
      </c>
      <c r="Q1044" s="17" t="str">
        <f aca="false">VLOOKUP(P1044,Sheet2!J:K,2,0)</f>
        <v>IR Declared due to Others ( IR Normal)TB</v>
      </c>
      <c r="R1044" s="17" t="s">
        <v>35</v>
      </c>
      <c r="S1044" s="17" t="str">
        <f aca="false">VLOOKUP(R1044,Sheet2!N:O,2,0)</f>
        <v>IREPARABLE</v>
      </c>
      <c r="T1044" s="18" t="str">
        <f aca="false">VLOOKUP(P1044,Sheet2!Q:R,2,0)</f>
        <v>IR Normal - BER to IR</v>
      </c>
      <c r="U1044" s="20" t="s">
        <v>135</v>
      </c>
      <c r="V1044" s="17" t="n">
        <v>12</v>
      </c>
      <c r="W1044" s="20" t="str">
        <f aca="false">VLOOKUP(V1044,Sheet2!Q:R,2,0)</f>
        <v>IR Normal - BER to IR</v>
      </c>
      <c r="X1044" s="17" t="str">
        <f aca="false">J1044</f>
        <v>A018</v>
      </c>
      <c r="Y1044" s="17" t="str">
        <f aca="false">VLOOKUP(X1044,Sheet2!A:B,2,0)</f>
        <v>PRAKASH CHAVDA</v>
      </c>
      <c r="Z1044" s="17" t="s">
        <v>136</v>
      </c>
      <c r="AA1044" s="17" t="s">
        <v>477</v>
      </c>
      <c r="AB1044" s="17" t="s">
        <v>41</v>
      </c>
      <c r="AC1044" s="0" t="str">
        <f aca="false">LEFT(G1044,2)</f>
        <v>77</v>
      </c>
      <c r="AE1044" s="21" t="s">
        <v>42</v>
      </c>
    </row>
    <row r="1045" customFormat="false" ht="15" hidden="false" customHeight="false" outlineLevel="0" collapsed="false">
      <c r="A1045" s="13" t="n">
        <f aca="false">1+A1044</f>
        <v>1043</v>
      </c>
      <c r="B1045" s="17" t="n">
        <v>1009632865</v>
      </c>
      <c r="C1045" s="17" t="s">
        <v>232</v>
      </c>
      <c r="D1045" s="17" t="s">
        <v>64</v>
      </c>
      <c r="E1045" s="17" t="s">
        <v>64</v>
      </c>
      <c r="F1045" s="18" t="s">
        <v>70</v>
      </c>
      <c r="G1045" s="19" t="n">
        <v>775211080921</v>
      </c>
      <c r="H1045" s="17" t="s">
        <v>134</v>
      </c>
      <c r="I1045" s="17" t="s">
        <v>69</v>
      </c>
      <c r="J1045" s="17" t="s">
        <v>106</v>
      </c>
      <c r="K1045" s="17" t="str">
        <f aca="false">VLOOKUP(J1045,Sheet2!A:B,2,0)</f>
        <v>PRAKASH CHAVDA</v>
      </c>
      <c r="L1045" s="17" t="n">
        <v>5</v>
      </c>
      <c r="M1045" s="17" t="str">
        <f aca="false">VLOOKUP(L1045,Sheet2!D:E,2,0)</f>
        <v>Main Processor CPU BGA</v>
      </c>
      <c r="N1045" s="17" t="n">
        <v>24</v>
      </c>
      <c r="O1045" s="17" t="str">
        <f aca="false">VLOOKUP(N1045,Sheet2!G:H,2,0)</f>
        <v>STB Auto moving -Stand by mode</v>
      </c>
      <c r="P1045" s="17" t="n">
        <v>12</v>
      </c>
      <c r="Q1045" s="17" t="str">
        <f aca="false">VLOOKUP(P1045,Sheet2!J:K,2,0)</f>
        <v>IR Declared due to Others ( IR Normal)TB</v>
      </c>
      <c r="R1045" s="17" t="s">
        <v>35</v>
      </c>
      <c r="S1045" s="17" t="str">
        <f aca="false">VLOOKUP(R1045,Sheet2!N:O,2,0)</f>
        <v>IREPARABLE</v>
      </c>
      <c r="T1045" s="18" t="str">
        <f aca="false">VLOOKUP(P1045,Sheet2!Q:R,2,0)</f>
        <v>IR Normal - BER to IR</v>
      </c>
      <c r="U1045" s="20" t="s">
        <v>135</v>
      </c>
      <c r="V1045" s="17" t="n">
        <v>12</v>
      </c>
      <c r="W1045" s="20" t="str">
        <f aca="false">VLOOKUP(V1045,Sheet2!Q:R,2,0)</f>
        <v>IR Normal - BER to IR</v>
      </c>
      <c r="X1045" s="17" t="str">
        <f aca="false">J1045</f>
        <v>A018</v>
      </c>
      <c r="Y1045" s="17" t="str">
        <f aca="false">VLOOKUP(X1045,Sheet2!A:B,2,0)</f>
        <v>PRAKASH CHAVDA</v>
      </c>
      <c r="Z1045" s="17" t="s">
        <v>136</v>
      </c>
      <c r="AA1045" s="17" t="s">
        <v>477</v>
      </c>
      <c r="AB1045" s="17" t="s">
        <v>41</v>
      </c>
      <c r="AC1045" s="0" t="str">
        <f aca="false">LEFT(G1045,2)</f>
        <v>77</v>
      </c>
      <c r="AE1045" s="21" t="s">
        <v>42</v>
      </c>
    </row>
    <row r="1046" customFormat="false" ht="15" hidden="false" customHeight="false" outlineLevel="0" collapsed="false">
      <c r="A1046" s="13" t="n">
        <f aca="false">1+A1045</f>
        <v>1044</v>
      </c>
      <c r="B1046" s="17" t="n">
        <v>1009624238</v>
      </c>
      <c r="C1046" s="17" t="s">
        <v>163</v>
      </c>
      <c r="D1046" s="17" t="s">
        <v>64</v>
      </c>
      <c r="E1046" s="17" t="s">
        <v>47</v>
      </c>
      <c r="F1046" s="18" t="s">
        <v>34</v>
      </c>
      <c r="G1046" s="19" t="n">
        <v>775330135754</v>
      </c>
      <c r="H1046" s="17" t="s">
        <v>134</v>
      </c>
      <c r="I1046" s="17" t="s">
        <v>69</v>
      </c>
      <c r="J1046" s="17" t="s">
        <v>106</v>
      </c>
      <c r="K1046" s="17" t="str">
        <f aca="false">VLOOKUP(J1046,Sheet2!A:B,2,0)</f>
        <v>PRAKASH CHAVDA</v>
      </c>
      <c r="L1046" s="17" t="n">
        <v>5</v>
      </c>
      <c r="M1046" s="17" t="str">
        <f aca="false">VLOOKUP(L1046,Sheet2!D:E,2,0)</f>
        <v>Main Processor CPU BGA</v>
      </c>
      <c r="N1046" s="17" t="n">
        <v>1</v>
      </c>
      <c r="O1046" s="17" t="str">
        <f aca="false">VLOOKUP(N1046,Sheet2!G:H,2,0)</f>
        <v>Dead</v>
      </c>
      <c r="P1046" s="17" t="n">
        <v>12</v>
      </c>
      <c r="Q1046" s="17" t="str">
        <f aca="false">VLOOKUP(P1046,Sheet2!J:K,2,0)</f>
        <v>IR Declared due to Others ( IR Normal)TB</v>
      </c>
      <c r="R1046" s="17" t="s">
        <v>35</v>
      </c>
      <c r="S1046" s="17" t="str">
        <f aca="false">VLOOKUP(R1046,Sheet2!N:O,2,0)</f>
        <v>IREPARABLE</v>
      </c>
      <c r="T1046" s="18" t="str">
        <f aca="false">VLOOKUP(P1046,Sheet2!Q:R,2,0)</f>
        <v>IR Normal - BER to IR</v>
      </c>
      <c r="U1046" s="20" t="s">
        <v>135</v>
      </c>
      <c r="V1046" s="17" t="n">
        <v>12</v>
      </c>
      <c r="W1046" s="20" t="str">
        <f aca="false">VLOOKUP(V1046,Sheet2!Q:R,2,0)</f>
        <v>IR Normal - BER to IR</v>
      </c>
      <c r="X1046" s="17" t="str">
        <f aca="false">J1046</f>
        <v>A018</v>
      </c>
      <c r="Y1046" s="17" t="str">
        <f aca="false">VLOOKUP(X1046,Sheet2!A:B,2,0)</f>
        <v>PRAKASH CHAVDA</v>
      </c>
      <c r="Z1046" s="17" t="s">
        <v>136</v>
      </c>
      <c r="AA1046" s="17" t="s">
        <v>477</v>
      </c>
      <c r="AB1046" s="17" t="s">
        <v>41</v>
      </c>
      <c r="AC1046" s="0" t="str">
        <f aca="false">LEFT(G1046,2)</f>
        <v>77</v>
      </c>
      <c r="AE1046" s="21" t="s">
        <v>42</v>
      </c>
    </row>
    <row r="1047" customFormat="false" ht="15" hidden="false" customHeight="false" outlineLevel="0" collapsed="false">
      <c r="A1047" s="13" t="n">
        <f aca="false">1+A1046</f>
        <v>1045</v>
      </c>
      <c r="B1047" s="17" t="n">
        <v>1009607518</v>
      </c>
      <c r="C1047" s="17" t="s">
        <v>181</v>
      </c>
      <c r="D1047" s="17" t="s">
        <v>78</v>
      </c>
      <c r="E1047" s="17" t="s">
        <v>47</v>
      </c>
      <c r="F1047" s="18" t="s">
        <v>34</v>
      </c>
      <c r="G1047" s="19" t="n">
        <v>775237058828</v>
      </c>
      <c r="H1047" s="17" t="s">
        <v>134</v>
      </c>
      <c r="I1047" s="17" t="s">
        <v>69</v>
      </c>
      <c r="J1047" s="17" t="s">
        <v>106</v>
      </c>
      <c r="K1047" s="17" t="str">
        <f aca="false">VLOOKUP(J1047,Sheet2!A:B,2,0)</f>
        <v>PRAKASH CHAVDA</v>
      </c>
      <c r="L1047" s="17" t="n">
        <v>5</v>
      </c>
      <c r="M1047" s="17" t="str">
        <f aca="false">VLOOKUP(L1047,Sheet2!D:E,2,0)</f>
        <v>Main Processor CPU BGA</v>
      </c>
      <c r="N1047" s="17" t="n">
        <v>1</v>
      </c>
      <c r="O1047" s="17" t="str">
        <f aca="false">VLOOKUP(N1047,Sheet2!G:H,2,0)</f>
        <v>Dead</v>
      </c>
      <c r="P1047" s="17" t="n">
        <v>12</v>
      </c>
      <c r="Q1047" s="17" t="str">
        <f aca="false">VLOOKUP(P1047,Sheet2!J:K,2,0)</f>
        <v>IR Declared due to Others ( IR Normal)TB</v>
      </c>
      <c r="R1047" s="17" t="s">
        <v>35</v>
      </c>
      <c r="S1047" s="17" t="str">
        <f aca="false">VLOOKUP(R1047,Sheet2!N:O,2,0)</f>
        <v>IREPARABLE</v>
      </c>
      <c r="T1047" s="18" t="str">
        <f aca="false">VLOOKUP(P1047,Sheet2!Q:R,2,0)</f>
        <v>IR Normal - BER to IR</v>
      </c>
      <c r="U1047" s="20" t="s">
        <v>135</v>
      </c>
      <c r="V1047" s="17" t="n">
        <v>12</v>
      </c>
      <c r="W1047" s="20" t="str">
        <f aca="false">VLOOKUP(V1047,Sheet2!Q:R,2,0)</f>
        <v>IR Normal - BER to IR</v>
      </c>
      <c r="X1047" s="17" t="str">
        <f aca="false">J1047</f>
        <v>A018</v>
      </c>
      <c r="Y1047" s="17" t="str">
        <f aca="false">VLOOKUP(X1047,Sheet2!A:B,2,0)</f>
        <v>PRAKASH CHAVDA</v>
      </c>
      <c r="Z1047" s="17" t="s">
        <v>136</v>
      </c>
      <c r="AA1047" s="17" t="s">
        <v>477</v>
      </c>
      <c r="AB1047" s="17" t="s">
        <v>41</v>
      </c>
      <c r="AC1047" s="0" t="str">
        <f aca="false">LEFT(G1047,2)</f>
        <v>77</v>
      </c>
      <c r="AE1047" s="21" t="s">
        <v>42</v>
      </c>
    </row>
    <row r="1048" customFormat="false" ht="15" hidden="false" customHeight="false" outlineLevel="0" collapsed="false">
      <c r="A1048" s="13" t="n">
        <f aca="false">1+A1047</f>
        <v>1046</v>
      </c>
      <c r="B1048" s="17" t="n">
        <v>1009668288</v>
      </c>
      <c r="C1048" s="17" t="s">
        <v>436</v>
      </c>
      <c r="D1048" s="17" t="s">
        <v>32</v>
      </c>
      <c r="E1048" s="17" t="s">
        <v>33</v>
      </c>
      <c r="F1048" s="18" t="s">
        <v>34</v>
      </c>
      <c r="G1048" s="19" t="n">
        <v>775161045049</v>
      </c>
      <c r="H1048" s="17" t="s">
        <v>134</v>
      </c>
      <c r="I1048" s="17" t="s">
        <v>69</v>
      </c>
      <c r="J1048" s="17" t="s">
        <v>106</v>
      </c>
      <c r="K1048" s="17" t="str">
        <f aca="false">VLOOKUP(J1048,Sheet2!A:B,2,0)</f>
        <v>PRAKASH CHAVDA</v>
      </c>
      <c r="L1048" s="17" t="n">
        <v>5</v>
      </c>
      <c r="M1048" s="17" t="str">
        <f aca="false">VLOOKUP(L1048,Sheet2!D:E,2,0)</f>
        <v>Main Processor CPU BGA</v>
      </c>
      <c r="N1048" s="17" t="n">
        <v>24</v>
      </c>
      <c r="O1048" s="17" t="str">
        <f aca="false">VLOOKUP(N1048,Sheet2!G:H,2,0)</f>
        <v>STB Auto moving -Stand by mode</v>
      </c>
      <c r="P1048" s="17" t="n">
        <v>12</v>
      </c>
      <c r="Q1048" s="17" t="str">
        <f aca="false">VLOOKUP(P1048,Sheet2!J:K,2,0)</f>
        <v>IR Declared due to Others ( IR Normal)TB</v>
      </c>
      <c r="R1048" s="17" t="s">
        <v>35</v>
      </c>
      <c r="S1048" s="17" t="str">
        <f aca="false">VLOOKUP(R1048,Sheet2!N:O,2,0)</f>
        <v>IREPARABLE</v>
      </c>
      <c r="T1048" s="18" t="str">
        <f aca="false">VLOOKUP(P1048,Sheet2!Q:R,2,0)</f>
        <v>IR Normal - BER to IR</v>
      </c>
      <c r="U1048" s="20" t="s">
        <v>135</v>
      </c>
      <c r="V1048" s="17" t="n">
        <v>12</v>
      </c>
      <c r="W1048" s="20" t="str">
        <f aca="false">VLOOKUP(V1048,Sheet2!Q:R,2,0)</f>
        <v>IR Normal - BER to IR</v>
      </c>
      <c r="X1048" s="17" t="str">
        <f aca="false">J1048</f>
        <v>A018</v>
      </c>
      <c r="Y1048" s="17" t="str">
        <f aca="false">VLOOKUP(X1048,Sheet2!A:B,2,0)</f>
        <v>PRAKASH CHAVDA</v>
      </c>
      <c r="Z1048" s="17" t="s">
        <v>136</v>
      </c>
      <c r="AA1048" s="17" t="s">
        <v>477</v>
      </c>
      <c r="AB1048" s="17" t="s">
        <v>41</v>
      </c>
      <c r="AC1048" s="0" t="str">
        <f aca="false">LEFT(G1048,2)</f>
        <v>77</v>
      </c>
      <c r="AE1048" s="21" t="s">
        <v>42</v>
      </c>
    </row>
    <row r="1049" customFormat="false" ht="15" hidden="false" customHeight="false" outlineLevel="0" collapsed="false">
      <c r="A1049" s="13" t="n">
        <f aca="false">1+A1048</f>
        <v>1047</v>
      </c>
      <c r="B1049" s="17" t="n">
        <v>1009606542</v>
      </c>
      <c r="C1049" s="17" t="s">
        <v>181</v>
      </c>
      <c r="D1049" s="17" t="s">
        <v>64</v>
      </c>
      <c r="E1049" s="17" t="s">
        <v>64</v>
      </c>
      <c r="F1049" s="18" t="s">
        <v>70</v>
      </c>
      <c r="G1049" s="19" t="n">
        <v>775376146296</v>
      </c>
      <c r="H1049" s="17" t="s">
        <v>134</v>
      </c>
      <c r="I1049" s="17" t="s">
        <v>69</v>
      </c>
      <c r="J1049" s="17" t="s">
        <v>106</v>
      </c>
      <c r="K1049" s="17" t="str">
        <f aca="false">VLOOKUP(J1049,Sheet2!A:B,2,0)</f>
        <v>PRAKASH CHAVDA</v>
      </c>
      <c r="L1049" s="17" t="n">
        <v>5</v>
      </c>
      <c r="M1049" s="17" t="str">
        <f aca="false">VLOOKUP(L1049,Sheet2!D:E,2,0)</f>
        <v>Main Processor CPU BGA</v>
      </c>
      <c r="N1049" s="17" t="n">
        <v>28</v>
      </c>
      <c r="O1049" s="17" t="str">
        <f aca="false">VLOOKUP(N1049,Sheet2!G:H,2,0)</f>
        <v>Hang and Freeze video - AV</v>
      </c>
      <c r="P1049" s="17" t="n">
        <v>12</v>
      </c>
      <c r="Q1049" s="17" t="str">
        <f aca="false">VLOOKUP(P1049,Sheet2!J:K,2,0)</f>
        <v>IR Declared due to Others ( IR Normal)TB</v>
      </c>
      <c r="R1049" s="17" t="s">
        <v>35</v>
      </c>
      <c r="S1049" s="17" t="str">
        <f aca="false">VLOOKUP(R1049,Sheet2!N:O,2,0)</f>
        <v>IREPARABLE</v>
      </c>
      <c r="T1049" s="18" t="str">
        <f aca="false">VLOOKUP(P1049,Sheet2!Q:R,2,0)</f>
        <v>IR Normal - BER to IR</v>
      </c>
      <c r="U1049" s="20" t="s">
        <v>135</v>
      </c>
      <c r="V1049" s="17" t="n">
        <v>12</v>
      </c>
      <c r="W1049" s="20" t="str">
        <f aca="false">VLOOKUP(V1049,Sheet2!Q:R,2,0)</f>
        <v>IR Normal - BER to IR</v>
      </c>
      <c r="X1049" s="17" t="str">
        <f aca="false">J1049</f>
        <v>A018</v>
      </c>
      <c r="Y1049" s="17" t="str">
        <f aca="false">VLOOKUP(X1049,Sheet2!A:B,2,0)</f>
        <v>PRAKASH CHAVDA</v>
      </c>
      <c r="Z1049" s="17" t="s">
        <v>136</v>
      </c>
      <c r="AA1049" s="17" t="s">
        <v>477</v>
      </c>
      <c r="AB1049" s="17" t="s">
        <v>41</v>
      </c>
      <c r="AC1049" s="0" t="str">
        <f aca="false">LEFT(G1049,2)</f>
        <v>77</v>
      </c>
      <c r="AE1049" s="21" t="s">
        <v>42</v>
      </c>
    </row>
    <row r="1050" customFormat="false" ht="15" hidden="false" customHeight="false" outlineLevel="0" collapsed="false">
      <c r="A1050" s="13" t="n">
        <f aca="false">1+A1049</f>
        <v>1048</v>
      </c>
      <c r="B1050" s="14" t="n">
        <v>1009378786</v>
      </c>
      <c r="C1050" s="15" t="s">
        <v>406</v>
      </c>
      <c r="D1050" s="16" t="s">
        <v>64</v>
      </c>
      <c r="E1050" s="17" t="s">
        <v>64</v>
      </c>
      <c r="F1050" s="18" t="s">
        <v>70</v>
      </c>
      <c r="G1050" s="19" t="n">
        <v>134127099270</v>
      </c>
      <c r="H1050" s="17" t="s">
        <v>497</v>
      </c>
      <c r="I1050" s="17" t="s">
        <v>44</v>
      </c>
      <c r="J1050" s="17" t="s">
        <v>106</v>
      </c>
      <c r="K1050" s="17" t="str">
        <f aca="false">VLOOKUP(J1050,Sheet2!A:B,2,0)</f>
        <v>PRAKASH CHAVDA</v>
      </c>
      <c r="L1050" s="17" t="n">
        <v>5</v>
      </c>
      <c r="M1050" s="17" t="str">
        <f aca="false">VLOOKUP(L1050,Sheet2!D:E,2,0)</f>
        <v>Main Processor CPU BGA</v>
      </c>
      <c r="N1050" s="17" t="n">
        <v>24</v>
      </c>
      <c r="O1050" s="17" t="str">
        <f aca="false">VLOOKUP(N1050,Sheet2!G:H,2,0)</f>
        <v>STB Auto moving -Stand by mode</v>
      </c>
      <c r="P1050" s="17" t="n">
        <v>12</v>
      </c>
      <c r="Q1050" s="17" t="str">
        <f aca="false">VLOOKUP(P1050,Sheet2!J:K,2,0)</f>
        <v>IR Declared due to Others ( IR Normal)TB</v>
      </c>
      <c r="R1050" s="17" t="s">
        <v>35</v>
      </c>
      <c r="S1050" s="17" t="str">
        <f aca="false">VLOOKUP(R1050,Sheet2!N:O,2,0)</f>
        <v>IREPARABLE</v>
      </c>
      <c r="T1050" s="18" t="str">
        <f aca="false">VLOOKUP(P1050,Sheet2!Q:R,2,0)</f>
        <v>IR Normal - BER to IR</v>
      </c>
      <c r="U1050" s="20" t="s">
        <v>135</v>
      </c>
      <c r="V1050" s="17" t="n">
        <v>12</v>
      </c>
      <c r="W1050" s="20" t="str">
        <f aca="false">VLOOKUP(V1050,Sheet2!Q:R,2,0)</f>
        <v>IR Normal - BER to IR</v>
      </c>
      <c r="X1050" s="17" t="str">
        <f aca="false">J1050</f>
        <v>A018</v>
      </c>
      <c r="Y1050" s="17" t="str">
        <f aca="false">VLOOKUP(X1050,Sheet2!A:B,2,0)</f>
        <v>PRAKASH CHAVDA</v>
      </c>
      <c r="Z1050" s="17" t="s">
        <v>136</v>
      </c>
      <c r="AA1050" s="17" t="s">
        <v>498</v>
      </c>
      <c r="AB1050" s="17" t="s">
        <v>41</v>
      </c>
      <c r="AC1050" s="0" t="str">
        <f aca="false">LEFT(G1050,2)</f>
        <v>13</v>
      </c>
      <c r="AE1050" s="21" t="s">
        <v>238</v>
      </c>
    </row>
    <row r="1051" customFormat="false" ht="15" hidden="false" customHeight="false" outlineLevel="0" collapsed="false">
      <c r="A1051" s="13" t="n">
        <f aca="false">1+A1050</f>
        <v>1049</v>
      </c>
      <c r="B1051" s="14" t="n">
        <v>1009091800</v>
      </c>
      <c r="C1051" s="15" t="s">
        <v>414</v>
      </c>
      <c r="D1051" s="16" t="s">
        <v>490</v>
      </c>
      <c r="E1051" s="17" t="s">
        <v>33</v>
      </c>
      <c r="F1051" s="18" t="s">
        <v>34</v>
      </c>
      <c r="G1051" s="19" t="n">
        <v>134119291836</v>
      </c>
      <c r="H1051" s="17" t="s">
        <v>134</v>
      </c>
      <c r="I1051" s="17" t="s">
        <v>44</v>
      </c>
      <c r="J1051" s="17" t="s">
        <v>106</v>
      </c>
      <c r="K1051" s="17" t="str">
        <f aca="false">VLOOKUP(J1051,Sheet2!A:B,2,0)</f>
        <v>PRAKASH CHAVDA</v>
      </c>
      <c r="L1051" s="17" t="n">
        <v>5</v>
      </c>
      <c r="M1051" s="17" t="str">
        <f aca="false">VLOOKUP(L1051,Sheet2!D:E,2,0)</f>
        <v>Main Processor CPU BGA</v>
      </c>
      <c r="N1051" s="17" t="n">
        <v>28</v>
      </c>
      <c r="O1051" s="17" t="str">
        <f aca="false">VLOOKUP(N1051,Sheet2!G:H,2,0)</f>
        <v>Hang and Freeze video - AV</v>
      </c>
      <c r="P1051" s="17" t="n">
        <v>12</v>
      </c>
      <c r="Q1051" s="17" t="str">
        <f aca="false">VLOOKUP(P1051,Sheet2!J:K,2,0)</f>
        <v>IR Declared due to Others ( IR Normal)TB</v>
      </c>
      <c r="R1051" s="17" t="s">
        <v>35</v>
      </c>
      <c r="S1051" s="17" t="str">
        <f aca="false">VLOOKUP(R1051,Sheet2!N:O,2,0)</f>
        <v>IREPARABLE</v>
      </c>
      <c r="T1051" s="18" t="str">
        <f aca="false">VLOOKUP(P1051,Sheet2!Q:R,2,0)</f>
        <v>IR Normal - BER to IR</v>
      </c>
      <c r="U1051" s="20" t="s">
        <v>135</v>
      </c>
      <c r="V1051" s="17" t="n">
        <v>12</v>
      </c>
      <c r="W1051" s="20" t="str">
        <f aca="false">VLOOKUP(V1051,Sheet2!Q:R,2,0)</f>
        <v>IR Normal - BER to IR</v>
      </c>
      <c r="X1051" s="17" t="str">
        <f aca="false">J1051</f>
        <v>A018</v>
      </c>
      <c r="Y1051" s="17" t="str">
        <f aca="false">VLOOKUP(X1051,Sheet2!A:B,2,0)</f>
        <v>PRAKASH CHAVDA</v>
      </c>
      <c r="Z1051" s="17" t="s">
        <v>136</v>
      </c>
      <c r="AA1051" s="17" t="s">
        <v>498</v>
      </c>
      <c r="AB1051" s="17" t="s">
        <v>41</v>
      </c>
      <c r="AC1051" s="0" t="str">
        <f aca="false">LEFT(G1051,2)</f>
        <v>13</v>
      </c>
      <c r="AE1051" s="21" t="s">
        <v>238</v>
      </c>
    </row>
    <row r="1052" customFormat="false" ht="15" hidden="false" customHeight="false" outlineLevel="0" collapsed="false">
      <c r="A1052" s="13" t="n">
        <f aca="false">1+A1051</f>
        <v>1050</v>
      </c>
      <c r="B1052" s="14" t="n">
        <v>1009092086</v>
      </c>
      <c r="C1052" s="15" t="s">
        <v>414</v>
      </c>
      <c r="D1052" s="16" t="s">
        <v>64</v>
      </c>
      <c r="E1052" s="17" t="s">
        <v>33</v>
      </c>
      <c r="F1052" s="18" t="s">
        <v>34</v>
      </c>
      <c r="G1052" s="19" t="n">
        <v>134063324864</v>
      </c>
      <c r="H1052" s="17" t="s">
        <v>134</v>
      </c>
      <c r="I1052" s="17" t="s">
        <v>44</v>
      </c>
      <c r="J1052" s="17" t="s">
        <v>106</v>
      </c>
      <c r="K1052" s="17" t="str">
        <f aca="false">VLOOKUP(J1052,Sheet2!A:B,2,0)</f>
        <v>PRAKASH CHAVDA</v>
      </c>
      <c r="L1052" s="17" t="n">
        <v>5</v>
      </c>
      <c r="M1052" s="17" t="str">
        <f aca="false">VLOOKUP(L1052,Sheet2!D:E,2,0)</f>
        <v>Main Processor CPU BGA</v>
      </c>
      <c r="N1052" s="17" t="n">
        <v>24</v>
      </c>
      <c r="O1052" s="17" t="str">
        <f aca="false">VLOOKUP(N1052,Sheet2!G:H,2,0)</f>
        <v>STB Auto moving -Stand by mode</v>
      </c>
      <c r="P1052" s="17" t="n">
        <v>12</v>
      </c>
      <c r="Q1052" s="17" t="str">
        <f aca="false">VLOOKUP(P1052,Sheet2!J:K,2,0)</f>
        <v>IR Declared due to Others ( IR Normal)TB</v>
      </c>
      <c r="R1052" s="17" t="s">
        <v>35</v>
      </c>
      <c r="S1052" s="17" t="str">
        <f aca="false">VLOOKUP(R1052,Sheet2!N:O,2,0)</f>
        <v>IREPARABLE</v>
      </c>
      <c r="T1052" s="18" t="str">
        <f aca="false">VLOOKUP(P1052,Sheet2!Q:R,2,0)</f>
        <v>IR Normal - BER to IR</v>
      </c>
      <c r="U1052" s="20" t="s">
        <v>135</v>
      </c>
      <c r="V1052" s="17" t="n">
        <v>12</v>
      </c>
      <c r="W1052" s="20" t="str">
        <f aca="false">VLOOKUP(V1052,Sheet2!Q:R,2,0)</f>
        <v>IR Normal - BER to IR</v>
      </c>
      <c r="X1052" s="17" t="str">
        <f aca="false">J1052</f>
        <v>A018</v>
      </c>
      <c r="Y1052" s="17" t="str">
        <f aca="false">VLOOKUP(X1052,Sheet2!A:B,2,0)</f>
        <v>PRAKASH CHAVDA</v>
      </c>
      <c r="Z1052" s="17" t="s">
        <v>136</v>
      </c>
      <c r="AA1052" s="17" t="s">
        <v>498</v>
      </c>
      <c r="AB1052" s="17" t="s">
        <v>41</v>
      </c>
      <c r="AC1052" s="0" t="str">
        <f aca="false">LEFT(G1052,2)</f>
        <v>13</v>
      </c>
      <c r="AE1052" s="21" t="s">
        <v>238</v>
      </c>
    </row>
    <row r="1053" customFormat="false" ht="15" hidden="false" customHeight="false" outlineLevel="0" collapsed="false">
      <c r="A1053" s="13" t="n">
        <f aca="false">1+A1052</f>
        <v>1051</v>
      </c>
      <c r="B1053" s="14" t="n">
        <v>1007460484</v>
      </c>
      <c r="C1053" s="15" t="s">
        <v>499</v>
      </c>
      <c r="D1053" s="16" t="s">
        <v>167</v>
      </c>
      <c r="E1053" s="17" t="s">
        <v>91</v>
      </c>
      <c r="F1053" s="18" t="s">
        <v>92</v>
      </c>
      <c r="G1053" s="19" t="n">
        <v>134087025778</v>
      </c>
      <c r="H1053" s="17" t="s">
        <v>366</v>
      </c>
      <c r="I1053" s="17" t="s">
        <v>44</v>
      </c>
      <c r="J1053" s="17" t="s">
        <v>106</v>
      </c>
      <c r="K1053" s="17" t="str">
        <f aca="false">VLOOKUP(J1053,Sheet2!A:B,2,0)</f>
        <v>PRAKASH CHAVDA</v>
      </c>
      <c r="L1053" s="17" t="n">
        <v>5</v>
      </c>
      <c r="M1053" s="17" t="str">
        <f aca="false">VLOOKUP(L1053,Sheet2!D:E,2,0)</f>
        <v>Main Processor CPU BGA</v>
      </c>
      <c r="N1053" s="17" t="n">
        <v>24</v>
      </c>
      <c r="O1053" s="17" t="str">
        <f aca="false">VLOOKUP(N1053,Sheet2!G:H,2,0)</f>
        <v>STB Auto moving -Stand by mode</v>
      </c>
      <c r="P1053" s="17" t="n">
        <v>12</v>
      </c>
      <c r="Q1053" s="17" t="str">
        <f aca="false">VLOOKUP(P1053,Sheet2!J:K,2,0)</f>
        <v>IR Declared due to Others ( IR Normal)TB</v>
      </c>
      <c r="R1053" s="17" t="s">
        <v>35</v>
      </c>
      <c r="S1053" s="17" t="str">
        <f aca="false">VLOOKUP(R1053,Sheet2!N:O,2,0)</f>
        <v>IREPARABLE</v>
      </c>
      <c r="T1053" s="18" t="str">
        <f aca="false">VLOOKUP(P1053,Sheet2!Q:R,2,0)</f>
        <v>IR Normal - BER to IR</v>
      </c>
      <c r="U1053" s="20" t="s">
        <v>135</v>
      </c>
      <c r="V1053" s="17" t="n">
        <v>12</v>
      </c>
      <c r="W1053" s="20" t="str">
        <f aca="false">VLOOKUP(V1053,Sheet2!Q:R,2,0)</f>
        <v>IR Normal - BER to IR</v>
      </c>
      <c r="X1053" s="17" t="str">
        <f aca="false">J1053</f>
        <v>A018</v>
      </c>
      <c r="Y1053" s="17" t="str">
        <f aca="false">VLOOKUP(X1053,Sheet2!A:B,2,0)</f>
        <v>PRAKASH CHAVDA</v>
      </c>
      <c r="Z1053" s="17" t="s">
        <v>136</v>
      </c>
      <c r="AA1053" s="17" t="s">
        <v>498</v>
      </c>
      <c r="AB1053" s="17" t="s">
        <v>41</v>
      </c>
      <c r="AC1053" s="0" t="str">
        <f aca="false">LEFT(G1053,2)</f>
        <v>13</v>
      </c>
      <c r="AE1053" s="21" t="s">
        <v>238</v>
      </c>
    </row>
    <row r="1054" customFormat="false" ht="15" hidden="false" customHeight="false" outlineLevel="0" collapsed="false">
      <c r="A1054" s="13" t="n">
        <f aca="false">1+A1053</f>
        <v>1052</v>
      </c>
      <c r="B1054" s="14" t="n">
        <v>1009678735</v>
      </c>
      <c r="C1054" s="15" t="s">
        <v>436</v>
      </c>
      <c r="D1054" s="16" t="s">
        <v>64</v>
      </c>
      <c r="E1054" s="17" t="s">
        <v>64</v>
      </c>
      <c r="F1054" s="18" t="s">
        <v>70</v>
      </c>
      <c r="G1054" s="19" t="n">
        <v>134127383476</v>
      </c>
      <c r="H1054" s="17" t="s">
        <v>134</v>
      </c>
      <c r="I1054" s="17" t="s">
        <v>44</v>
      </c>
      <c r="J1054" s="17" t="s">
        <v>106</v>
      </c>
      <c r="K1054" s="17" t="str">
        <f aca="false">VLOOKUP(J1054,Sheet2!A:B,2,0)</f>
        <v>PRAKASH CHAVDA</v>
      </c>
      <c r="L1054" s="17" t="n">
        <v>5</v>
      </c>
      <c r="M1054" s="17" t="str">
        <f aca="false">VLOOKUP(L1054,Sheet2!D:E,2,0)</f>
        <v>Main Processor CPU BGA</v>
      </c>
      <c r="N1054" s="17" t="n">
        <v>1</v>
      </c>
      <c r="O1054" s="17" t="str">
        <f aca="false">VLOOKUP(N1054,Sheet2!G:H,2,0)</f>
        <v>Dead</v>
      </c>
      <c r="P1054" s="17" t="n">
        <v>12</v>
      </c>
      <c r="Q1054" s="17" t="str">
        <f aca="false">VLOOKUP(P1054,Sheet2!J:K,2,0)</f>
        <v>IR Declared due to Others ( IR Normal)TB</v>
      </c>
      <c r="R1054" s="17" t="s">
        <v>35</v>
      </c>
      <c r="S1054" s="17" t="str">
        <f aca="false">VLOOKUP(R1054,Sheet2!N:O,2,0)</f>
        <v>IREPARABLE</v>
      </c>
      <c r="T1054" s="18" t="str">
        <f aca="false">VLOOKUP(P1054,Sheet2!Q:R,2,0)</f>
        <v>IR Normal - BER to IR</v>
      </c>
      <c r="U1054" s="20" t="s">
        <v>135</v>
      </c>
      <c r="V1054" s="17" t="n">
        <v>12</v>
      </c>
      <c r="W1054" s="20" t="str">
        <f aca="false">VLOOKUP(V1054,Sheet2!Q:R,2,0)</f>
        <v>IR Normal - BER to IR</v>
      </c>
      <c r="X1054" s="17" t="str">
        <f aca="false">J1054</f>
        <v>A018</v>
      </c>
      <c r="Y1054" s="17" t="str">
        <f aca="false">VLOOKUP(X1054,Sheet2!A:B,2,0)</f>
        <v>PRAKASH CHAVDA</v>
      </c>
      <c r="Z1054" s="17" t="s">
        <v>136</v>
      </c>
      <c r="AA1054" s="17" t="s">
        <v>498</v>
      </c>
      <c r="AB1054" s="17" t="s">
        <v>41</v>
      </c>
      <c r="AC1054" s="0" t="str">
        <f aca="false">LEFT(G1054,2)</f>
        <v>13</v>
      </c>
      <c r="AE1054" s="21" t="s">
        <v>238</v>
      </c>
    </row>
    <row r="1055" customFormat="false" ht="15" hidden="false" customHeight="false" outlineLevel="0" collapsed="false">
      <c r="A1055" s="13" t="n">
        <f aca="false">1+A1054</f>
        <v>1053</v>
      </c>
      <c r="B1055" s="14" t="n">
        <v>1009092187</v>
      </c>
      <c r="C1055" s="15" t="s">
        <v>414</v>
      </c>
      <c r="D1055" s="16" t="s">
        <v>64</v>
      </c>
      <c r="E1055" s="17" t="s">
        <v>47</v>
      </c>
      <c r="F1055" s="18" t="s">
        <v>34</v>
      </c>
      <c r="G1055" s="19" t="n">
        <v>134106103317</v>
      </c>
      <c r="H1055" s="17" t="s">
        <v>134</v>
      </c>
      <c r="I1055" s="17" t="s">
        <v>44</v>
      </c>
      <c r="J1055" s="17" t="s">
        <v>106</v>
      </c>
      <c r="K1055" s="17" t="str">
        <f aca="false">VLOOKUP(J1055,Sheet2!A:B,2,0)</f>
        <v>PRAKASH CHAVDA</v>
      </c>
      <c r="L1055" s="17" t="n">
        <v>5</v>
      </c>
      <c r="M1055" s="17" t="str">
        <f aca="false">VLOOKUP(L1055,Sheet2!D:E,2,0)</f>
        <v>Main Processor CPU BGA</v>
      </c>
      <c r="N1055" s="17" t="n">
        <v>24</v>
      </c>
      <c r="O1055" s="17" t="str">
        <f aca="false">VLOOKUP(N1055,Sheet2!G:H,2,0)</f>
        <v>STB Auto moving -Stand by mode</v>
      </c>
      <c r="P1055" s="17" t="n">
        <v>12</v>
      </c>
      <c r="Q1055" s="17" t="str">
        <f aca="false">VLOOKUP(P1055,Sheet2!J:K,2,0)</f>
        <v>IR Declared due to Others ( IR Normal)TB</v>
      </c>
      <c r="R1055" s="17" t="s">
        <v>35</v>
      </c>
      <c r="S1055" s="17" t="str">
        <f aca="false">VLOOKUP(R1055,Sheet2!N:O,2,0)</f>
        <v>IREPARABLE</v>
      </c>
      <c r="T1055" s="18" t="str">
        <f aca="false">VLOOKUP(P1055,Sheet2!Q:R,2,0)</f>
        <v>IR Normal - BER to IR</v>
      </c>
      <c r="U1055" s="20" t="s">
        <v>135</v>
      </c>
      <c r="V1055" s="17" t="n">
        <v>12</v>
      </c>
      <c r="W1055" s="20" t="str">
        <f aca="false">VLOOKUP(V1055,Sheet2!Q:R,2,0)</f>
        <v>IR Normal - BER to IR</v>
      </c>
      <c r="X1055" s="17" t="str">
        <f aca="false">J1055</f>
        <v>A018</v>
      </c>
      <c r="Y1055" s="17" t="str">
        <f aca="false">VLOOKUP(X1055,Sheet2!A:B,2,0)</f>
        <v>PRAKASH CHAVDA</v>
      </c>
      <c r="Z1055" s="17" t="s">
        <v>136</v>
      </c>
      <c r="AA1055" s="17" t="s">
        <v>498</v>
      </c>
      <c r="AB1055" s="17" t="s">
        <v>41</v>
      </c>
      <c r="AC1055" s="0" t="str">
        <f aca="false">LEFT(G1055,2)</f>
        <v>13</v>
      </c>
      <c r="AE1055" s="21" t="s">
        <v>238</v>
      </c>
    </row>
    <row r="1056" customFormat="false" ht="15" hidden="false" customHeight="false" outlineLevel="0" collapsed="false">
      <c r="A1056" s="13" t="n">
        <f aca="false">1+A1055</f>
        <v>1054</v>
      </c>
      <c r="B1056" s="14" t="n">
        <v>1009678733</v>
      </c>
      <c r="C1056" s="15" t="s">
        <v>436</v>
      </c>
      <c r="D1056" s="16" t="s">
        <v>64</v>
      </c>
      <c r="E1056" s="17" t="s">
        <v>64</v>
      </c>
      <c r="F1056" s="18" t="s">
        <v>70</v>
      </c>
      <c r="G1056" s="19" t="n">
        <v>134268405252</v>
      </c>
      <c r="H1056" s="17" t="s">
        <v>134</v>
      </c>
      <c r="I1056" s="17" t="s">
        <v>44</v>
      </c>
      <c r="J1056" s="17" t="s">
        <v>106</v>
      </c>
      <c r="K1056" s="17" t="str">
        <f aca="false">VLOOKUP(J1056,Sheet2!A:B,2,0)</f>
        <v>PRAKASH CHAVDA</v>
      </c>
      <c r="L1056" s="17" t="n">
        <v>5</v>
      </c>
      <c r="M1056" s="17" t="str">
        <f aca="false">VLOOKUP(L1056,Sheet2!D:E,2,0)</f>
        <v>Main Processor CPU BGA</v>
      </c>
      <c r="N1056" s="17" t="n">
        <v>24</v>
      </c>
      <c r="O1056" s="17" t="str">
        <f aca="false">VLOOKUP(N1056,Sheet2!G:H,2,0)</f>
        <v>STB Auto moving -Stand by mode</v>
      </c>
      <c r="P1056" s="17" t="n">
        <v>12</v>
      </c>
      <c r="Q1056" s="17" t="str">
        <f aca="false">VLOOKUP(P1056,Sheet2!J:K,2,0)</f>
        <v>IR Declared due to Others ( IR Normal)TB</v>
      </c>
      <c r="R1056" s="17" t="s">
        <v>35</v>
      </c>
      <c r="S1056" s="17" t="str">
        <f aca="false">VLOOKUP(R1056,Sheet2!N:O,2,0)</f>
        <v>IREPARABLE</v>
      </c>
      <c r="T1056" s="18" t="str">
        <f aca="false">VLOOKUP(P1056,Sheet2!Q:R,2,0)</f>
        <v>IR Normal - BER to IR</v>
      </c>
      <c r="U1056" s="20" t="s">
        <v>135</v>
      </c>
      <c r="V1056" s="17" t="n">
        <v>12</v>
      </c>
      <c r="W1056" s="20" t="str">
        <f aca="false">VLOOKUP(V1056,Sheet2!Q:R,2,0)</f>
        <v>IR Normal - BER to IR</v>
      </c>
      <c r="X1056" s="17" t="str">
        <f aca="false">J1056</f>
        <v>A018</v>
      </c>
      <c r="Y1056" s="17" t="str">
        <f aca="false">VLOOKUP(X1056,Sheet2!A:B,2,0)</f>
        <v>PRAKASH CHAVDA</v>
      </c>
      <c r="Z1056" s="17" t="s">
        <v>136</v>
      </c>
      <c r="AA1056" s="17" t="s">
        <v>498</v>
      </c>
      <c r="AB1056" s="17" t="s">
        <v>41</v>
      </c>
      <c r="AC1056" s="0" t="str">
        <f aca="false">LEFT(G1056,2)</f>
        <v>13</v>
      </c>
      <c r="AE1056" s="21" t="s">
        <v>238</v>
      </c>
    </row>
    <row r="1057" customFormat="false" ht="15" hidden="false" customHeight="false" outlineLevel="0" collapsed="false">
      <c r="A1057" s="13" t="n">
        <f aca="false">1+A1056</f>
        <v>1055</v>
      </c>
      <c r="B1057" s="14" t="n">
        <v>1008737066</v>
      </c>
      <c r="C1057" s="15" t="s">
        <v>500</v>
      </c>
      <c r="D1057" s="16" t="s">
        <v>64</v>
      </c>
      <c r="E1057" s="17" t="s">
        <v>64</v>
      </c>
      <c r="F1057" s="18" t="s">
        <v>70</v>
      </c>
      <c r="G1057" s="19" t="n">
        <v>134127229059</v>
      </c>
      <c r="H1057" s="17" t="s">
        <v>134</v>
      </c>
      <c r="I1057" s="17" t="s">
        <v>44</v>
      </c>
      <c r="J1057" s="17" t="s">
        <v>106</v>
      </c>
      <c r="K1057" s="17" t="str">
        <f aca="false">VLOOKUP(J1057,Sheet2!A:B,2,0)</f>
        <v>PRAKASH CHAVDA</v>
      </c>
      <c r="L1057" s="17" t="n">
        <v>5</v>
      </c>
      <c r="M1057" s="17" t="str">
        <f aca="false">VLOOKUP(L1057,Sheet2!D:E,2,0)</f>
        <v>Main Processor CPU BGA</v>
      </c>
      <c r="N1057" s="17" t="n">
        <v>24</v>
      </c>
      <c r="O1057" s="17" t="str">
        <f aca="false">VLOOKUP(N1057,Sheet2!G:H,2,0)</f>
        <v>STB Auto moving -Stand by mode</v>
      </c>
      <c r="P1057" s="17" t="n">
        <v>12</v>
      </c>
      <c r="Q1057" s="17" t="str">
        <f aca="false">VLOOKUP(P1057,Sheet2!J:K,2,0)</f>
        <v>IR Declared due to Others ( IR Normal)TB</v>
      </c>
      <c r="R1057" s="17" t="s">
        <v>35</v>
      </c>
      <c r="S1057" s="17" t="str">
        <f aca="false">VLOOKUP(R1057,Sheet2!N:O,2,0)</f>
        <v>IREPARABLE</v>
      </c>
      <c r="T1057" s="18" t="str">
        <f aca="false">VLOOKUP(P1057,Sheet2!Q:R,2,0)</f>
        <v>IR Normal - BER to IR</v>
      </c>
      <c r="U1057" s="20" t="s">
        <v>135</v>
      </c>
      <c r="V1057" s="17" t="n">
        <v>12</v>
      </c>
      <c r="W1057" s="20" t="str">
        <f aca="false">VLOOKUP(V1057,Sheet2!Q:R,2,0)</f>
        <v>IR Normal - BER to IR</v>
      </c>
      <c r="X1057" s="17" t="str">
        <f aca="false">J1057</f>
        <v>A018</v>
      </c>
      <c r="Y1057" s="17" t="str">
        <f aca="false">VLOOKUP(X1057,Sheet2!A:B,2,0)</f>
        <v>PRAKASH CHAVDA</v>
      </c>
      <c r="Z1057" s="17" t="s">
        <v>136</v>
      </c>
      <c r="AA1057" s="17" t="s">
        <v>498</v>
      </c>
      <c r="AB1057" s="17" t="s">
        <v>41</v>
      </c>
      <c r="AC1057" s="0" t="str">
        <f aca="false">LEFT(G1057,2)</f>
        <v>13</v>
      </c>
      <c r="AE1057" s="21" t="s">
        <v>238</v>
      </c>
    </row>
    <row r="1058" customFormat="false" ht="15" hidden="false" customHeight="false" outlineLevel="0" collapsed="false">
      <c r="A1058" s="13" t="n">
        <f aca="false">1+A1057</f>
        <v>1056</v>
      </c>
      <c r="B1058" s="14" t="n">
        <v>1009665882</v>
      </c>
      <c r="C1058" s="15" t="s">
        <v>436</v>
      </c>
      <c r="D1058" s="16" t="s">
        <v>64</v>
      </c>
      <c r="E1058" s="17" t="s">
        <v>33</v>
      </c>
      <c r="F1058" s="18" t="s">
        <v>34</v>
      </c>
      <c r="G1058" s="19" t="n">
        <v>134127191200</v>
      </c>
      <c r="H1058" s="17" t="s">
        <v>134</v>
      </c>
      <c r="I1058" s="17" t="s">
        <v>44</v>
      </c>
      <c r="J1058" s="17" t="s">
        <v>106</v>
      </c>
      <c r="K1058" s="17" t="str">
        <f aca="false">VLOOKUP(J1058,Sheet2!A:B,2,0)</f>
        <v>PRAKASH CHAVDA</v>
      </c>
      <c r="L1058" s="17" t="n">
        <v>5</v>
      </c>
      <c r="M1058" s="17" t="str">
        <f aca="false">VLOOKUP(L1058,Sheet2!D:E,2,0)</f>
        <v>Main Processor CPU BGA</v>
      </c>
      <c r="N1058" s="17" t="n">
        <v>24</v>
      </c>
      <c r="O1058" s="17" t="str">
        <f aca="false">VLOOKUP(N1058,Sheet2!G:H,2,0)</f>
        <v>STB Auto moving -Stand by mode</v>
      </c>
      <c r="P1058" s="17" t="n">
        <v>12</v>
      </c>
      <c r="Q1058" s="17" t="str">
        <f aca="false">VLOOKUP(P1058,Sheet2!J:K,2,0)</f>
        <v>IR Declared due to Others ( IR Normal)TB</v>
      </c>
      <c r="R1058" s="17" t="s">
        <v>35</v>
      </c>
      <c r="S1058" s="17" t="str">
        <f aca="false">VLOOKUP(R1058,Sheet2!N:O,2,0)</f>
        <v>IREPARABLE</v>
      </c>
      <c r="T1058" s="18" t="str">
        <f aca="false">VLOOKUP(P1058,Sheet2!Q:R,2,0)</f>
        <v>IR Normal - BER to IR</v>
      </c>
      <c r="U1058" s="20" t="s">
        <v>135</v>
      </c>
      <c r="V1058" s="17" t="n">
        <v>12</v>
      </c>
      <c r="W1058" s="20" t="str">
        <f aca="false">VLOOKUP(V1058,Sheet2!Q:R,2,0)</f>
        <v>IR Normal - BER to IR</v>
      </c>
      <c r="X1058" s="17" t="str">
        <f aca="false">J1058</f>
        <v>A018</v>
      </c>
      <c r="Y1058" s="17" t="str">
        <f aca="false">VLOOKUP(X1058,Sheet2!A:B,2,0)</f>
        <v>PRAKASH CHAVDA</v>
      </c>
      <c r="Z1058" s="17" t="s">
        <v>136</v>
      </c>
      <c r="AA1058" s="17" t="s">
        <v>498</v>
      </c>
      <c r="AB1058" s="17" t="s">
        <v>41</v>
      </c>
      <c r="AC1058" s="0" t="str">
        <f aca="false">LEFT(G1058,2)</f>
        <v>13</v>
      </c>
      <c r="AE1058" s="21" t="s">
        <v>238</v>
      </c>
    </row>
    <row r="1059" customFormat="false" ht="15" hidden="false" customHeight="false" outlineLevel="0" collapsed="false">
      <c r="A1059" s="13" t="n">
        <f aca="false">1+A1058</f>
        <v>1057</v>
      </c>
      <c r="B1059" s="14" t="n">
        <v>1009091373</v>
      </c>
      <c r="C1059" s="15" t="s">
        <v>414</v>
      </c>
      <c r="D1059" s="16" t="s">
        <v>64</v>
      </c>
      <c r="E1059" s="17" t="s">
        <v>64</v>
      </c>
      <c r="F1059" s="18" t="s">
        <v>70</v>
      </c>
      <c r="G1059" s="19" t="n">
        <v>134063073388</v>
      </c>
      <c r="H1059" s="17" t="s">
        <v>134</v>
      </c>
      <c r="I1059" s="17" t="s">
        <v>44</v>
      </c>
      <c r="J1059" s="17" t="s">
        <v>106</v>
      </c>
      <c r="K1059" s="17" t="str">
        <f aca="false">VLOOKUP(J1059,Sheet2!A:B,2,0)</f>
        <v>PRAKASH CHAVDA</v>
      </c>
      <c r="L1059" s="17" t="n">
        <v>5</v>
      </c>
      <c r="M1059" s="17" t="str">
        <f aca="false">VLOOKUP(L1059,Sheet2!D:E,2,0)</f>
        <v>Main Processor CPU BGA</v>
      </c>
      <c r="N1059" s="17" t="n">
        <v>24</v>
      </c>
      <c r="O1059" s="17" t="str">
        <f aca="false">VLOOKUP(N1059,Sheet2!G:H,2,0)</f>
        <v>STB Auto moving -Stand by mode</v>
      </c>
      <c r="P1059" s="17" t="n">
        <v>12</v>
      </c>
      <c r="Q1059" s="17" t="str">
        <f aca="false">VLOOKUP(P1059,Sheet2!J:K,2,0)</f>
        <v>IR Declared due to Others ( IR Normal)TB</v>
      </c>
      <c r="R1059" s="17" t="s">
        <v>35</v>
      </c>
      <c r="S1059" s="17" t="str">
        <f aca="false">VLOOKUP(R1059,Sheet2!N:O,2,0)</f>
        <v>IREPARABLE</v>
      </c>
      <c r="T1059" s="18" t="str">
        <f aca="false">VLOOKUP(P1059,Sheet2!Q:R,2,0)</f>
        <v>IR Normal - BER to IR</v>
      </c>
      <c r="U1059" s="20" t="s">
        <v>135</v>
      </c>
      <c r="V1059" s="17" t="n">
        <v>12</v>
      </c>
      <c r="W1059" s="20" t="str">
        <f aca="false">VLOOKUP(V1059,Sheet2!Q:R,2,0)</f>
        <v>IR Normal - BER to IR</v>
      </c>
      <c r="X1059" s="17" t="str">
        <f aca="false">J1059</f>
        <v>A018</v>
      </c>
      <c r="Y1059" s="17" t="str">
        <f aca="false">VLOOKUP(X1059,Sheet2!A:B,2,0)</f>
        <v>PRAKASH CHAVDA</v>
      </c>
      <c r="Z1059" s="17" t="s">
        <v>136</v>
      </c>
      <c r="AA1059" s="17" t="s">
        <v>498</v>
      </c>
      <c r="AB1059" s="17" t="s">
        <v>41</v>
      </c>
      <c r="AC1059" s="0" t="str">
        <f aca="false">LEFT(G1059,2)</f>
        <v>13</v>
      </c>
      <c r="AE1059" s="21" t="s">
        <v>238</v>
      </c>
    </row>
    <row r="1060" customFormat="false" ht="15" hidden="false" customHeight="false" outlineLevel="0" collapsed="false">
      <c r="A1060" s="13" t="n">
        <f aca="false">1+A1059</f>
        <v>1058</v>
      </c>
      <c r="B1060" s="14" t="n">
        <v>1009091725</v>
      </c>
      <c r="C1060" s="15" t="s">
        <v>414</v>
      </c>
      <c r="D1060" s="16" t="s">
        <v>64</v>
      </c>
      <c r="E1060" s="17" t="s">
        <v>91</v>
      </c>
      <c r="F1060" s="18" t="s">
        <v>92</v>
      </c>
      <c r="G1060" s="19" t="n">
        <v>134053470982</v>
      </c>
      <c r="H1060" s="17" t="s">
        <v>134</v>
      </c>
      <c r="I1060" s="17" t="s">
        <v>44</v>
      </c>
      <c r="J1060" s="17" t="s">
        <v>106</v>
      </c>
      <c r="K1060" s="17" t="str">
        <f aca="false">VLOOKUP(J1060,Sheet2!A:B,2,0)</f>
        <v>PRAKASH CHAVDA</v>
      </c>
      <c r="L1060" s="17" t="n">
        <v>5</v>
      </c>
      <c r="M1060" s="17" t="str">
        <f aca="false">VLOOKUP(L1060,Sheet2!D:E,2,0)</f>
        <v>Main Processor CPU BGA</v>
      </c>
      <c r="N1060" s="17" t="n">
        <v>24</v>
      </c>
      <c r="O1060" s="17" t="str">
        <f aca="false">VLOOKUP(N1060,Sheet2!G:H,2,0)</f>
        <v>STB Auto moving -Stand by mode</v>
      </c>
      <c r="P1060" s="17" t="n">
        <v>12</v>
      </c>
      <c r="Q1060" s="17" t="str">
        <f aca="false">VLOOKUP(P1060,Sheet2!J:K,2,0)</f>
        <v>IR Declared due to Others ( IR Normal)TB</v>
      </c>
      <c r="R1060" s="17" t="s">
        <v>35</v>
      </c>
      <c r="S1060" s="17" t="str">
        <f aca="false">VLOOKUP(R1060,Sheet2!N:O,2,0)</f>
        <v>IREPARABLE</v>
      </c>
      <c r="T1060" s="18" t="str">
        <f aca="false">VLOOKUP(P1060,Sheet2!Q:R,2,0)</f>
        <v>IR Normal - BER to IR</v>
      </c>
      <c r="U1060" s="20" t="s">
        <v>135</v>
      </c>
      <c r="V1060" s="17" t="n">
        <v>12</v>
      </c>
      <c r="W1060" s="20" t="str">
        <f aca="false">VLOOKUP(V1060,Sheet2!Q:R,2,0)</f>
        <v>IR Normal - BER to IR</v>
      </c>
      <c r="X1060" s="17" t="str">
        <f aca="false">J1060</f>
        <v>A018</v>
      </c>
      <c r="Y1060" s="17" t="str">
        <f aca="false">VLOOKUP(X1060,Sheet2!A:B,2,0)</f>
        <v>PRAKASH CHAVDA</v>
      </c>
      <c r="Z1060" s="17" t="s">
        <v>136</v>
      </c>
      <c r="AA1060" s="17" t="s">
        <v>498</v>
      </c>
      <c r="AB1060" s="17" t="s">
        <v>41</v>
      </c>
      <c r="AC1060" s="0" t="str">
        <f aca="false">LEFT(G1060,2)</f>
        <v>13</v>
      </c>
      <c r="AE1060" s="21" t="s">
        <v>238</v>
      </c>
    </row>
    <row r="1061" customFormat="false" ht="15" hidden="false" customHeight="false" outlineLevel="0" collapsed="false">
      <c r="A1061" s="13" t="n">
        <f aca="false">1+A1060</f>
        <v>1059</v>
      </c>
      <c r="B1061" s="14" t="n">
        <v>1009091369</v>
      </c>
      <c r="C1061" s="15" t="s">
        <v>414</v>
      </c>
      <c r="D1061" s="16" t="s">
        <v>64</v>
      </c>
      <c r="E1061" s="17" t="s">
        <v>91</v>
      </c>
      <c r="F1061" s="18" t="s">
        <v>92</v>
      </c>
      <c r="G1061" s="19" t="n">
        <v>134106589473</v>
      </c>
      <c r="H1061" s="17" t="s">
        <v>134</v>
      </c>
      <c r="I1061" s="17" t="s">
        <v>44</v>
      </c>
      <c r="J1061" s="17" t="s">
        <v>106</v>
      </c>
      <c r="K1061" s="17" t="str">
        <f aca="false">VLOOKUP(J1061,Sheet2!A:B,2,0)</f>
        <v>PRAKASH CHAVDA</v>
      </c>
      <c r="L1061" s="17" t="n">
        <v>5</v>
      </c>
      <c r="M1061" s="17" t="str">
        <f aca="false">VLOOKUP(L1061,Sheet2!D:E,2,0)</f>
        <v>Main Processor CPU BGA</v>
      </c>
      <c r="N1061" s="17" t="n">
        <v>24</v>
      </c>
      <c r="O1061" s="17" t="str">
        <f aca="false">VLOOKUP(N1061,Sheet2!G:H,2,0)</f>
        <v>STB Auto moving -Stand by mode</v>
      </c>
      <c r="P1061" s="17" t="n">
        <v>12</v>
      </c>
      <c r="Q1061" s="17" t="str">
        <f aca="false">VLOOKUP(P1061,Sheet2!J:K,2,0)</f>
        <v>IR Declared due to Others ( IR Normal)TB</v>
      </c>
      <c r="R1061" s="17" t="s">
        <v>35</v>
      </c>
      <c r="S1061" s="17" t="str">
        <f aca="false">VLOOKUP(R1061,Sheet2!N:O,2,0)</f>
        <v>IREPARABLE</v>
      </c>
      <c r="T1061" s="18" t="str">
        <f aca="false">VLOOKUP(P1061,Sheet2!Q:R,2,0)</f>
        <v>IR Normal - BER to IR</v>
      </c>
      <c r="U1061" s="20" t="s">
        <v>135</v>
      </c>
      <c r="V1061" s="17" t="n">
        <v>12</v>
      </c>
      <c r="W1061" s="20" t="str">
        <f aca="false">VLOOKUP(V1061,Sheet2!Q:R,2,0)</f>
        <v>IR Normal - BER to IR</v>
      </c>
      <c r="X1061" s="17" t="str">
        <f aca="false">J1061</f>
        <v>A018</v>
      </c>
      <c r="Y1061" s="17" t="str">
        <f aca="false">VLOOKUP(X1061,Sheet2!A:B,2,0)</f>
        <v>PRAKASH CHAVDA</v>
      </c>
      <c r="Z1061" s="17" t="s">
        <v>136</v>
      </c>
      <c r="AA1061" s="17" t="s">
        <v>498</v>
      </c>
      <c r="AB1061" s="17" t="s">
        <v>41</v>
      </c>
      <c r="AC1061" s="0" t="str">
        <f aca="false">LEFT(G1061,2)</f>
        <v>13</v>
      </c>
      <c r="AE1061" s="21" t="s">
        <v>238</v>
      </c>
    </row>
    <row r="1062" customFormat="false" ht="15" hidden="false" customHeight="false" outlineLevel="0" collapsed="false">
      <c r="A1062" s="13" t="n">
        <f aca="false">1+A1061</f>
        <v>1060</v>
      </c>
      <c r="B1062" s="14" t="n">
        <v>1009563342</v>
      </c>
      <c r="C1062" s="15" t="s">
        <v>192</v>
      </c>
      <c r="D1062" s="16" t="s">
        <v>64</v>
      </c>
      <c r="E1062" s="17" t="s">
        <v>47</v>
      </c>
      <c r="F1062" s="18" t="s">
        <v>34</v>
      </c>
      <c r="G1062" s="19" t="n">
        <v>985352240412</v>
      </c>
      <c r="H1062" s="17" t="s">
        <v>366</v>
      </c>
      <c r="I1062" s="17" t="s">
        <v>44</v>
      </c>
      <c r="J1062" s="17" t="s">
        <v>106</v>
      </c>
      <c r="K1062" s="17" t="str">
        <f aca="false">VLOOKUP(J1062,Sheet2!A:B,2,0)</f>
        <v>PRAKASH CHAVDA</v>
      </c>
      <c r="L1062" s="17" t="n">
        <v>5</v>
      </c>
      <c r="M1062" s="17" t="str">
        <f aca="false">VLOOKUP(L1062,Sheet2!D:E,2,0)</f>
        <v>Main Processor CPU BGA</v>
      </c>
      <c r="N1062" s="17" t="n">
        <v>6</v>
      </c>
      <c r="O1062" s="17" t="str">
        <f aca="false">VLOOKUP(N1062,Sheet2!G:H,2,0)</f>
        <v>No Signal</v>
      </c>
      <c r="P1062" s="17" t="n">
        <v>12</v>
      </c>
      <c r="Q1062" s="17" t="str">
        <f aca="false">VLOOKUP(P1062,Sheet2!J:K,2,0)</f>
        <v>IR Declared due to Others ( IR Normal)TB</v>
      </c>
      <c r="R1062" s="17" t="s">
        <v>35</v>
      </c>
      <c r="S1062" s="17" t="str">
        <f aca="false">VLOOKUP(R1062,Sheet2!N:O,2,0)</f>
        <v>IREPARABLE</v>
      </c>
      <c r="T1062" s="18" t="str">
        <f aca="false">VLOOKUP(P1062,Sheet2!Q:R,2,0)</f>
        <v>IR Normal - BER to IR</v>
      </c>
      <c r="U1062" s="20" t="s">
        <v>135</v>
      </c>
      <c r="V1062" s="17" t="n">
        <v>12</v>
      </c>
      <c r="W1062" s="20" t="str">
        <f aca="false">VLOOKUP(V1062,Sheet2!Q:R,2,0)</f>
        <v>IR Normal - BER to IR</v>
      </c>
      <c r="X1062" s="17" t="str">
        <f aca="false">J1062</f>
        <v>A018</v>
      </c>
      <c r="Y1062" s="17" t="str">
        <f aca="false">VLOOKUP(X1062,Sheet2!A:B,2,0)</f>
        <v>PRAKASH CHAVDA</v>
      </c>
      <c r="Z1062" s="17" t="s">
        <v>141</v>
      </c>
      <c r="AA1062" s="17" t="s">
        <v>498</v>
      </c>
      <c r="AB1062" s="17" t="s">
        <v>41</v>
      </c>
      <c r="AC1062" s="0" t="str">
        <f aca="false">LEFT(G1062,2)</f>
        <v>98</v>
      </c>
      <c r="AE1062" s="21" t="s">
        <v>238</v>
      </c>
    </row>
    <row r="1063" customFormat="false" ht="15" hidden="false" customHeight="false" outlineLevel="0" collapsed="false">
      <c r="A1063" s="13" t="n">
        <f aca="false">1+A1062</f>
        <v>1061</v>
      </c>
      <c r="B1063" s="14" t="n">
        <v>1009678533</v>
      </c>
      <c r="C1063" s="15" t="s">
        <v>436</v>
      </c>
      <c r="D1063" s="16" t="s">
        <v>64</v>
      </c>
      <c r="E1063" s="17" t="s">
        <v>64</v>
      </c>
      <c r="F1063" s="18" t="s">
        <v>70</v>
      </c>
      <c r="G1063" s="19" t="n">
        <v>942121940152</v>
      </c>
      <c r="H1063" s="17" t="s">
        <v>134</v>
      </c>
      <c r="I1063" s="17" t="s">
        <v>44</v>
      </c>
      <c r="J1063" s="17" t="s">
        <v>106</v>
      </c>
      <c r="K1063" s="17" t="str">
        <f aca="false">VLOOKUP(J1063,Sheet2!A:B,2,0)</f>
        <v>PRAKASH CHAVDA</v>
      </c>
      <c r="L1063" s="17" t="n">
        <v>5</v>
      </c>
      <c r="M1063" s="17" t="str">
        <f aca="false">VLOOKUP(L1063,Sheet2!D:E,2,0)</f>
        <v>Main Processor CPU BGA</v>
      </c>
      <c r="N1063" s="17" t="n">
        <v>24</v>
      </c>
      <c r="O1063" s="17" t="str">
        <f aca="false">VLOOKUP(N1063,Sheet2!G:H,2,0)</f>
        <v>STB Auto moving -Stand by mode</v>
      </c>
      <c r="P1063" s="17" t="n">
        <v>12</v>
      </c>
      <c r="Q1063" s="17" t="str">
        <f aca="false">VLOOKUP(P1063,Sheet2!J:K,2,0)</f>
        <v>IR Declared due to Others ( IR Normal)TB</v>
      </c>
      <c r="R1063" s="17" t="s">
        <v>35</v>
      </c>
      <c r="S1063" s="17" t="str">
        <f aca="false">VLOOKUP(R1063,Sheet2!N:O,2,0)</f>
        <v>IREPARABLE</v>
      </c>
      <c r="T1063" s="18" t="str">
        <f aca="false">VLOOKUP(P1063,Sheet2!Q:R,2,0)</f>
        <v>IR Normal - BER to IR</v>
      </c>
      <c r="U1063" s="20" t="s">
        <v>135</v>
      </c>
      <c r="V1063" s="17" t="n">
        <v>12</v>
      </c>
      <c r="W1063" s="20" t="str">
        <f aca="false">VLOOKUP(V1063,Sheet2!Q:R,2,0)</f>
        <v>IR Normal - BER to IR</v>
      </c>
      <c r="X1063" s="17" t="str">
        <f aca="false">J1063</f>
        <v>A018</v>
      </c>
      <c r="Y1063" s="17" t="str">
        <f aca="false">VLOOKUP(X1063,Sheet2!A:B,2,0)</f>
        <v>PRAKASH CHAVDA</v>
      </c>
      <c r="Z1063" s="17" t="s">
        <v>127</v>
      </c>
      <c r="AA1063" s="17" t="s">
        <v>498</v>
      </c>
      <c r="AB1063" s="17" t="s">
        <v>41</v>
      </c>
      <c r="AC1063" s="0" t="str">
        <f aca="false">LEFT(G1063,2)</f>
        <v>94</v>
      </c>
      <c r="AE1063" s="21" t="s">
        <v>238</v>
      </c>
    </row>
    <row r="1064" customFormat="false" ht="15" hidden="false" customHeight="false" outlineLevel="0" collapsed="false">
      <c r="A1064" s="13" t="n">
        <f aca="false">1+A1063</f>
        <v>1062</v>
      </c>
      <c r="B1064" s="14" t="n">
        <v>1009678619</v>
      </c>
      <c r="C1064" s="15" t="s">
        <v>436</v>
      </c>
      <c r="D1064" s="16" t="s">
        <v>190</v>
      </c>
      <c r="E1064" s="17" t="s">
        <v>47</v>
      </c>
      <c r="F1064" s="18" t="s">
        <v>34</v>
      </c>
      <c r="G1064" s="19" t="n">
        <v>942361132221</v>
      </c>
      <c r="H1064" s="17" t="s">
        <v>134</v>
      </c>
      <c r="I1064" s="17" t="s">
        <v>44</v>
      </c>
      <c r="J1064" s="17" t="s">
        <v>106</v>
      </c>
      <c r="K1064" s="17" t="str">
        <f aca="false">VLOOKUP(J1064,Sheet2!A:B,2,0)</f>
        <v>PRAKASH CHAVDA</v>
      </c>
      <c r="L1064" s="17" t="n">
        <v>5</v>
      </c>
      <c r="M1064" s="17" t="str">
        <f aca="false">VLOOKUP(L1064,Sheet2!D:E,2,0)</f>
        <v>Main Processor CPU BGA</v>
      </c>
      <c r="N1064" s="17" t="n">
        <v>24</v>
      </c>
      <c r="O1064" s="17" t="str">
        <f aca="false">VLOOKUP(N1064,Sheet2!G:H,2,0)</f>
        <v>STB Auto moving -Stand by mode</v>
      </c>
      <c r="P1064" s="17" t="n">
        <v>12</v>
      </c>
      <c r="Q1064" s="17" t="str">
        <f aca="false">VLOOKUP(P1064,Sheet2!J:K,2,0)</f>
        <v>IR Declared due to Others ( IR Normal)TB</v>
      </c>
      <c r="R1064" s="17" t="s">
        <v>35</v>
      </c>
      <c r="S1064" s="17" t="str">
        <f aca="false">VLOOKUP(R1064,Sheet2!N:O,2,0)</f>
        <v>IREPARABLE</v>
      </c>
      <c r="T1064" s="18" t="str">
        <f aca="false">VLOOKUP(P1064,Sheet2!Q:R,2,0)</f>
        <v>IR Normal - BER to IR</v>
      </c>
      <c r="U1064" s="20" t="s">
        <v>135</v>
      </c>
      <c r="V1064" s="17" t="n">
        <v>12</v>
      </c>
      <c r="W1064" s="20" t="str">
        <f aca="false">VLOOKUP(V1064,Sheet2!Q:R,2,0)</f>
        <v>IR Normal - BER to IR</v>
      </c>
      <c r="X1064" s="17" t="str">
        <f aca="false">J1064</f>
        <v>A018</v>
      </c>
      <c r="Y1064" s="17" t="str">
        <f aca="false">VLOOKUP(X1064,Sheet2!A:B,2,0)</f>
        <v>PRAKASH CHAVDA</v>
      </c>
      <c r="Z1064" s="17" t="s">
        <v>127</v>
      </c>
      <c r="AA1064" s="17" t="s">
        <v>498</v>
      </c>
      <c r="AB1064" s="17" t="s">
        <v>41</v>
      </c>
      <c r="AC1064" s="0" t="str">
        <f aca="false">LEFT(G1064,2)</f>
        <v>94</v>
      </c>
      <c r="AE1064" s="21" t="s">
        <v>238</v>
      </c>
    </row>
    <row r="1065" customFormat="false" ht="15" hidden="false" customHeight="false" outlineLevel="0" collapsed="false">
      <c r="A1065" s="13" t="n">
        <f aca="false">1+A1064</f>
        <v>1063</v>
      </c>
      <c r="B1065" s="14" t="n">
        <v>1009678784</v>
      </c>
      <c r="C1065" s="15" t="s">
        <v>436</v>
      </c>
      <c r="D1065" s="16" t="s">
        <v>64</v>
      </c>
      <c r="E1065" s="17" t="s">
        <v>176</v>
      </c>
      <c r="F1065" s="18" t="s">
        <v>34</v>
      </c>
      <c r="G1065" s="19" t="n">
        <v>954344180003</v>
      </c>
      <c r="H1065" s="17" t="s">
        <v>134</v>
      </c>
      <c r="I1065" s="17" t="s">
        <v>44</v>
      </c>
      <c r="J1065" s="17" t="s">
        <v>106</v>
      </c>
      <c r="K1065" s="17" t="str">
        <f aca="false">VLOOKUP(J1065,Sheet2!A:B,2,0)</f>
        <v>PRAKASH CHAVDA</v>
      </c>
      <c r="L1065" s="17" t="n">
        <v>5</v>
      </c>
      <c r="M1065" s="17" t="str">
        <f aca="false">VLOOKUP(L1065,Sheet2!D:E,2,0)</f>
        <v>Main Processor CPU BGA</v>
      </c>
      <c r="N1065" s="17" t="n">
        <v>1</v>
      </c>
      <c r="O1065" s="17" t="str">
        <f aca="false">VLOOKUP(N1065,Sheet2!G:H,2,0)</f>
        <v>Dead</v>
      </c>
      <c r="P1065" s="17" t="n">
        <v>12</v>
      </c>
      <c r="Q1065" s="17" t="str">
        <f aca="false">VLOOKUP(P1065,Sheet2!J:K,2,0)</f>
        <v>IR Declared due to Others ( IR Normal)TB</v>
      </c>
      <c r="R1065" s="17" t="s">
        <v>35</v>
      </c>
      <c r="S1065" s="17" t="str">
        <f aca="false">VLOOKUP(R1065,Sheet2!N:O,2,0)</f>
        <v>IREPARABLE</v>
      </c>
      <c r="T1065" s="18" t="str">
        <f aca="false">VLOOKUP(P1065,Sheet2!Q:R,2,0)</f>
        <v>IR Normal - BER to IR</v>
      </c>
      <c r="U1065" s="20" t="s">
        <v>135</v>
      </c>
      <c r="V1065" s="17" t="n">
        <v>12</v>
      </c>
      <c r="W1065" s="20" t="str">
        <f aca="false">VLOOKUP(V1065,Sheet2!Q:R,2,0)</f>
        <v>IR Normal - BER to IR</v>
      </c>
      <c r="X1065" s="17" t="str">
        <f aca="false">J1065</f>
        <v>A018</v>
      </c>
      <c r="Y1065" s="17" t="str">
        <f aca="false">VLOOKUP(X1065,Sheet2!A:B,2,0)</f>
        <v>PRAKASH CHAVDA</v>
      </c>
      <c r="Z1065" s="17" t="s">
        <v>150</v>
      </c>
      <c r="AA1065" s="17" t="s">
        <v>498</v>
      </c>
      <c r="AB1065" s="17" t="s">
        <v>41</v>
      </c>
      <c r="AC1065" s="0" t="str">
        <f aca="false">LEFT(G1065,2)</f>
        <v>95</v>
      </c>
      <c r="AE1065" s="21" t="s">
        <v>238</v>
      </c>
    </row>
    <row r="1066" customFormat="false" ht="15" hidden="false" customHeight="false" outlineLevel="0" collapsed="false">
      <c r="A1066" s="13" t="n">
        <f aca="false">1+A1065</f>
        <v>1064</v>
      </c>
      <c r="B1066" s="14" t="n">
        <v>1009682186</v>
      </c>
      <c r="C1066" s="15" t="s">
        <v>413</v>
      </c>
      <c r="D1066" s="16" t="s">
        <v>64</v>
      </c>
      <c r="E1066" s="17" t="s">
        <v>64</v>
      </c>
      <c r="F1066" s="18" t="s">
        <v>70</v>
      </c>
      <c r="G1066" s="19" t="n">
        <v>775328188963</v>
      </c>
      <c r="H1066" s="17" t="s">
        <v>134</v>
      </c>
      <c r="I1066" s="17" t="s">
        <v>69</v>
      </c>
      <c r="J1066" s="17" t="s">
        <v>106</v>
      </c>
      <c r="K1066" s="17" t="str">
        <f aca="false">VLOOKUP(J1066,Sheet2!A:B,2,0)</f>
        <v>PRAKASH CHAVDA</v>
      </c>
      <c r="L1066" s="17" t="n">
        <v>5</v>
      </c>
      <c r="M1066" s="17" t="str">
        <f aca="false">VLOOKUP(L1066,Sheet2!D:E,2,0)</f>
        <v>Main Processor CPU BGA</v>
      </c>
      <c r="N1066" s="17" t="n">
        <v>1</v>
      </c>
      <c r="O1066" s="17" t="str">
        <f aca="false">VLOOKUP(N1066,Sheet2!G:H,2,0)</f>
        <v>Dead</v>
      </c>
      <c r="P1066" s="17" t="n">
        <v>12</v>
      </c>
      <c r="Q1066" s="17" t="str">
        <f aca="false">VLOOKUP(P1066,Sheet2!J:K,2,0)</f>
        <v>IR Declared due to Others ( IR Normal)TB</v>
      </c>
      <c r="R1066" s="17" t="s">
        <v>35</v>
      </c>
      <c r="S1066" s="17" t="str">
        <f aca="false">VLOOKUP(R1066,Sheet2!N:O,2,0)</f>
        <v>IREPARABLE</v>
      </c>
      <c r="T1066" s="18" t="str">
        <f aca="false">VLOOKUP(P1066,Sheet2!Q:R,2,0)</f>
        <v>IR Normal - BER to IR</v>
      </c>
      <c r="U1066" s="20" t="s">
        <v>135</v>
      </c>
      <c r="V1066" s="17" t="n">
        <v>12</v>
      </c>
      <c r="W1066" s="20" t="str">
        <f aca="false">VLOOKUP(V1066,Sheet2!Q:R,2,0)</f>
        <v>IR Normal - BER to IR</v>
      </c>
      <c r="X1066" s="17" t="str">
        <f aca="false">J1066</f>
        <v>A018</v>
      </c>
      <c r="Y1066" s="17" t="str">
        <f aca="false">VLOOKUP(X1066,Sheet2!A:B,2,0)</f>
        <v>PRAKASH CHAVDA</v>
      </c>
      <c r="Z1066" s="17" t="s">
        <v>150</v>
      </c>
      <c r="AA1066" s="17" t="s">
        <v>498</v>
      </c>
      <c r="AB1066" s="17" t="s">
        <v>41</v>
      </c>
      <c r="AC1066" s="0" t="str">
        <f aca="false">LEFT(G1066,2)</f>
        <v>77</v>
      </c>
      <c r="AE1066" s="21" t="s">
        <v>238</v>
      </c>
    </row>
    <row r="1067" customFormat="false" ht="15" hidden="false" customHeight="false" outlineLevel="0" collapsed="false">
      <c r="A1067" s="13" t="n">
        <f aca="false">1+A1066</f>
        <v>1065</v>
      </c>
      <c r="B1067" s="14" t="n">
        <v>1009680557</v>
      </c>
      <c r="C1067" s="15" t="s">
        <v>413</v>
      </c>
      <c r="D1067" s="16" t="s">
        <v>64</v>
      </c>
      <c r="E1067" s="17" t="s">
        <v>64</v>
      </c>
      <c r="F1067" s="18" t="s">
        <v>70</v>
      </c>
      <c r="G1067" s="19" t="n">
        <v>775084050043</v>
      </c>
      <c r="H1067" s="17" t="s">
        <v>134</v>
      </c>
      <c r="I1067" s="17" t="s">
        <v>69</v>
      </c>
      <c r="J1067" s="17" t="s">
        <v>106</v>
      </c>
      <c r="K1067" s="17" t="str">
        <f aca="false">VLOOKUP(J1067,Sheet2!A:B,2,0)</f>
        <v>PRAKASH CHAVDA</v>
      </c>
      <c r="L1067" s="17" t="n">
        <v>5</v>
      </c>
      <c r="M1067" s="17" t="str">
        <f aca="false">VLOOKUP(L1067,Sheet2!D:E,2,0)</f>
        <v>Main Processor CPU BGA</v>
      </c>
      <c r="N1067" s="17" t="n">
        <v>24</v>
      </c>
      <c r="O1067" s="17" t="str">
        <f aca="false">VLOOKUP(N1067,Sheet2!G:H,2,0)</f>
        <v>STB Auto moving -Stand by mode</v>
      </c>
      <c r="P1067" s="17" t="n">
        <v>12</v>
      </c>
      <c r="Q1067" s="17" t="str">
        <f aca="false">VLOOKUP(P1067,Sheet2!J:K,2,0)</f>
        <v>IR Declared due to Others ( IR Normal)TB</v>
      </c>
      <c r="R1067" s="17" t="s">
        <v>35</v>
      </c>
      <c r="S1067" s="17" t="str">
        <f aca="false">VLOOKUP(R1067,Sheet2!N:O,2,0)</f>
        <v>IREPARABLE</v>
      </c>
      <c r="T1067" s="18" t="str">
        <f aca="false">VLOOKUP(P1067,Sheet2!Q:R,2,0)</f>
        <v>IR Normal - BER to IR</v>
      </c>
      <c r="U1067" s="20" t="s">
        <v>135</v>
      </c>
      <c r="V1067" s="17" t="n">
        <v>12</v>
      </c>
      <c r="W1067" s="20" t="str">
        <f aca="false">VLOOKUP(V1067,Sheet2!Q:R,2,0)</f>
        <v>IR Normal - BER to IR</v>
      </c>
      <c r="X1067" s="17" t="str">
        <f aca="false">J1067</f>
        <v>A018</v>
      </c>
      <c r="Y1067" s="17" t="str">
        <f aca="false">VLOOKUP(X1067,Sheet2!A:B,2,0)</f>
        <v>PRAKASH CHAVDA</v>
      </c>
      <c r="Z1067" s="17" t="s">
        <v>136</v>
      </c>
      <c r="AA1067" s="17" t="s">
        <v>498</v>
      </c>
      <c r="AB1067" s="17" t="s">
        <v>41</v>
      </c>
      <c r="AC1067" s="0" t="str">
        <f aca="false">LEFT(G1067,2)</f>
        <v>77</v>
      </c>
      <c r="AE1067" s="21" t="s">
        <v>238</v>
      </c>
    </row>
    <row r="1068" customFormat="false" ht="15" hidden="false" customHeight="false" outlineLevel="0" collapsed="false">
      <c r="A1068" s="13" t="n">
        <f aca="false">1+A1067</f>
        <v>1066</v>
      </c>
      <c r="B1068" s="14" t="n">
        <v>1009679543</v>
      </c>
      <c r="C1068" s="15" t="s">
        <v>413</v>
      </c>
      <c r="D1068" s="16" t="s">
        <v>64</v>
      </c>
      <c r="E1068" s="17" t="s">
        <v>64</v>
      </c>
      <c r="F1068" s="18" t="s">
        <v>70</v>
      </c>
      <c r="G1068" s="19" t="n">
        <v>775243064075</v>
      </c>
      <c r="H1068" s="17" t="s">
        <v>134</v>
      </c>
      <c r="I1068" s="17" t="s">
        <v>69</v>
      </c>
      <c r="J1068" s="17" t="s">
        <v>106</v>
      </c>
      <c r="K1068" s="17" t="str">
        <f aca="false">VLOOKUP(J1068,Sheet2!A:B,2,0)</f>
        <v>PRAKASH CHAVDA</v>
      </c>
      <c r="L1068" s="17" t="n">
        <v>5</v>
      </c>
      <c r="M1068" s="17" t="str">
        <f aca="false">VLOOKUP(L1068,Sheet2!D:E,2,0)</f>
        <v>Main Processor CPU BGA</v>
      </c>
      <c r="N1068" s="17" t="n">
        <v>1</v>
      </c>
      <c r="O1068" s="17" t="str">
        <f aca="false">VLOOKUP(N1068,Sheet2!G:H,2,0)</f>
        <v>Dead</v>
      </c>
      <c r="P1068" s="17" t="n">
        <v>12</v>
      </c>
      <c r="Q1068" s="17" t="str">
        <f aca="false">VLOOKUP(P1068,Sheet2!J:K,2,0)</f>
        <v>IR Declared due to Others ( IR Normal)TB</v>
      </c>
      <c r="R1068" s="17" t="s">
        <v>35</v>
      </c>
      <c r="S1068" s="17" t="str">
        <f aca="false">VLOOKUP(R1068,Sheet2!N:O,2,0)</f>
        <v>IREPARABLE</v>
      </c>
      <c r="T1068" s="18" t="str">
        <f aca="false">VLOOKUP(P1068,Sheet2!Q:R,2,0)</f>
        <v>IR Normal - BER to IR</v>
      </c>
      <c r="U1068" s="20" t="s">
        <v>135</v>
      </c>
      <c r="V1068" s="17" t="n">
        <v>12</v>
      </c>
      <c r="W1068" s="20" t="str">
        <f aca="false">VLOOKUP(V1068,Sheet2!Q:R,2,0)</f>
        <v>IR Normal - BER to IR</v>
      </c>
      <c r="X1068" s="17" t="str">
        <f aca="false">J1068</f>
        <v>A018</v>
      </c>
      <c r="Y1068" s="17" t="str">
        <f aca="false">VLOOKUP(X1068,Sheet2!A:B,2,0)</f>
        <v>PRAKASH CHAVDA</v>
      </c>
      <c r="Z1068" s="17" t="s">
        <v>136</v>
      </c>
      <c r="AA1068" s="17" t="s">
        <v>498</v>
      </c>
      <c r="AB1068" s="17" t="s">
        <v>41</v>
      </c>
      <c r="AC1068" s="0" t="str">
        <f aca="false">LEFT(G1068,2)</f>
        <v>77</v>
      </c>
      <c r="AE1068" s="21" t="s">
        <v>238</v>
      </c>
    </row>
    <row r="1069" customFormat="false" ht="15" hidden="false" customHeight="false" outlineLevel="0" collapsed="false">
      <c r="A1069" s="13" t="n">
        <f aca="false">1+A1068</f>
        <v>1067</v>
      </c>
      <c r="B1069" s="14" t="n">
        <v>1009679397</v>
      </c>
      <c r="C1069" s="15" t="s">
        <v>413</v>
      </c>
      <c r="D1069" s="16" t="s">
        <v>64</v>
      </c>
      <c r="E1069" s="17" t="s">
        <v>47</v>
      </c>
      <c r="F1069" s="18" t="s">
        <v>34</v>
      </c>
      <c r="G1069" s="19" t="n">
        <v>775084019154</v>
      </c>
      <c r="H1069" s="17" t="s">
        <v>134</v>
      </c>
      <c r="I1069" s="17" t="s">
        <v>69</v>
      </c>
      <c r="J1069" s="17" t="s">
        <v>106</v>
      </c>
      <c r="K1069" s="17" t="str">
        <f aca="false">VLOOKUP(J1069,Sheet2!A:B,2,0)</f>
        <v>PRAKASH CHAVDA</v>
      </c>
      <c r="L1069" s="17" t="n">
        <v>5</v>
      </c>
      <c r="M1069" s="17" t="str">
        <f aca="false">VLOOKUP(L1069,Sheet2!D:E,2,0)</f>
        <v>Main Processor CPU BGA</v>
      </c>
      <c r="N1069" s="17" t="n">
        <v>1</v>
      </c>
      <c r="O1069" s="17" t="str">
        <f aca="false">VLOOKUP(N1069,Sheet2!G:H,2,0)</f>
        <v>Dead</v>
      </c>
      <c r="P1069" s="17" t="n">
        <v>12</v>
      </c>
      <c r="Q1069" s="17" t="str">
        <f aca="false">VLOOKUP(P1069,Sheet2!J:K,2,0)</f>
        <v>IR Declared due to Others ( IR Normal)TB</v>
      </c>
      <c r="R1069" s="17" t="s">
        <v>35</v>
      </c>
      <c r="S1069" s="17" t="str">
        <f aca="false">VLOOKUP(R1069,Sheet2!N:O,2,0)</f>
        <v>IREPARABLE</v>
      </c>
      <c r="T1069" s="18" t="str">
        <f aca="false">VLOOKUP(P1069,Sheet2!Q:R,2,0)</f>
        <v>IR Normal - BER to IR</v>
      </c>
      <c r="U1069" s="20" t="s">
        <v>135</v>
      </c>
      <c r="V1069" s="17" t="n">
        <v>12</v>
      </c>
      <c r="W1069" s="20" t="str">
        <f aca="false">VLOOKUP(V1069,Sheet2!Q:R,2,0)</f>
        <v>IR Normal - BER to IR</v>
      </c>
      <c r="X1069" s="17" t="str">
        <f aca="false">J1069</f>
        <v>A018</v>
      </c>
      <c r="Y1069" s="17" t="str">
        <f aca="false">VLOOKUP(X1069,Sheet2!A:B,2,0)</f>
        <v>PRAKASH CHAVDA</v>
      </c>
      <c r="Z1069" s="17" t="s">
        <v>136</v>
      </c>
      <c r="AA1069" s="17" t="s">
        <v>498</v>
      </c>
      <c r="AB1069" s="17" t="s">
        <v>41</v>
      </c>
      <c r="AC1069" s="0" t="str">
        <f aca="false">LEFT(G1069,2)</f>
        <v>77</v>
      </c>
      <c r="AE1069" s="21" t="s">
        <v>238</v>
      </c>
    </row>
    <row r="1070" customFormat="false" ht="15" hidden="false" customHeight="false" outlineLevel="0" collapsed="false">
      <c r="A1070" s="13" t="n">
        <f aca="false">1+A1069</f>
        <v>1068</v>
      </c>
      <c r="B1070" s="14" t="n">
        <v>1009683176</v>
      </c>
      <c r="C1070" s="15" t="s">
        <v>413</v>
      </c>
      <c r="D1070" s="16" t="s">
        <v>64</v>
      </c>
      <c r="E1070" s="17" t="s">
        <v>33</v>
      </c>
      <c r="F1070" s="18" t="s">
        <v>34</v>
      </c>
      <c r="G1070" s="19" t="n">
        <v>774338188840</v>
      </c>
      <c r="H1070" s="17" t="s">
        <v>134</v>
      </c>
      <c r="I1070" s="17" t="s">
        <v>69</v>
      </c>
      <c r="J1070" s="17" t="s">
        <v>106</v>
      </c>
      <c r="K1070" s="17" t="str">
        <f aca="false">VLOOKUP(J1070,Sheet2!A:B,2,0)</f>
        <v>PRAKASH CHAVDA</v>
      </c>
      <c r="L1070" s="17" t="n">
        <v>5</v>
      </c>
      <c r="M1070" s="17" t="str">
        <f aca="false">VLOOKUP(L1070,Sheet2!D:E,2,0)</f>
        <v>Main Processor CPU BGA</v>
      </c>
      <c r="N1070" s="17" t="n">
        <v>1</v>
      </c>
      <c r="O1070" s="17" t="str">
        <f aca="false">VLOOKUP(N1070,Sheet2!G:H,2,0)</f>
        <v>Dead</v>
      </c>
      <c r="P1070" s="17" t="n">
        <v>12</v>
      </c>
      <c r="Q1070" s="17" t="str">
        <f aca="false">VLOOKUP(P1070,Sheet2!J:K,2,0)</f>
        <v>IR Declared due to Others ( IR Normal)TB</v>
      </c>
      <c r="R1070" s="17" t="s">
        <v>35</v>
      </c>
      <c r="S1070" s="17" t="str">
        <f aca="false">VLOOKUP(R1070,Sheet2!N:O,2,0)</f>
        <v>IREPARABLE</v>
      </c>
      <c r="T1070" s="18" t="str">
        <f aca="false">VLOOKUP(P1070,Sheet2!Q:R,2,0)</f>
        <v>IR Normal - BER to IR</v>
      </c>
      <c r="U1070" s="20" t="s">
        <v>135</v>
      </c>
      <c r="V1070" s="17" t="n">
        <v>12</v>
      </c>
      <c r="W1070" s="20" t="str">
        <f aca="false">VLOOKUP(V1070,Sheet2!Q:R,2,0)</f>
        <v>IR Normal - BER to IR</v>
      </c>
      <c r="X1070" s="17" t="str">
        <f aca="false">J1070</f>
        <v>A018</v>
      </c>
      <c r="Y1070" s="17" t="str">
        <f aca="false">VLOOKUP(X1070,Sheet2!A:B,2,0)</f>
        <v>PRAKASH CHAVDA</v>
      </c>
      <c r="Z1070" s="17" t="s">
        <v>136</v>
      </c>
      <c r="AA1070" s="17" t="s">
        <v>498</v>
      </c>
      <c r="AB1070" s="17" t="s">
        <v>41</v>
      </c>
      <c r="AC1070" s="0" t="str">
        <f aca="false">LEFT(G1070,2)</f>
        <v>77</v>
      </c>
      <c r="AE1070" s="21" t="s">
        <v>238</v>
      </c>
    </row>
    <row r="1071" customFormat="false" ht="15" hidden="false" customHeight="false" outlineLevel="0" collapsed="false">
      <c r="A1071" s="13" t="n">
        <f aca="false">1+A1070</f>
        <v>1069</v>
      </c>
      <c r="B1071" s="14" t="n">
        <v>1009679390</v>
      </c>
      <c r="C1071" s="15" t="s">
        <v>413</v>
      </c>
      <c r="D1071" s="16" t="s">
        <v>250</v>
      </c>
      <c r="E1071" s="17" t="s">
        <v>47</v>
      </c>
      <c r="F1071" s="18" t="s">
        <v>34</v>
      </c>
      <c r="G1071" s="19" t="n">
        <v>774345416440</v>
      </c>
      <c r="H1071" s="17" t="s">
        <v>134</v>
      </c>
      <c r="I1071" s="17" t="s">
        <v>69</v>
      </c>
      <c r="J1071" s="17" t="s">
        <v>106</v>
      </c>
      <c r="K1071" s="17" t="str">
        <f aca="false">VLOOKUP(J1071,Sheet2!A:B,2,0)</f>
        <v>PRAKASH CHAVDA</v>
      </c>
      <c r="L1071" s="17" t="n">
        <v>5</v>
      </c>
      <c r="M1071" s="17" t="str">
        <f aca="false">VLOOKUP(L1071,Sheet2!D:E,2,0)</f>
        <v>Main Processor CPU BGA</v>
      </c>
      <c r="N1071" s="17" t="n">
        <v>1</v>
      </c>
      <c r="O1071" s="17" t="str">
        <f aca="false">VLOOKUP(N1071,Sheet2!G:H,2,0)</f>
        <v>Dead</v>
      </c>
      <c r="P1071" s="17" t="n">
        <v>12</v>
      </c>
      <c r="Q1071" s="17" t="str">
        <f aca="false">VLOOKUP(P1071,Sheet2!J:K,2,0)</f>
        <v>IR Declared due to Others ( IR Normal)TB</v>
      </c>
      <c r="R1071" s="17" t="s">
        <v>35</v>
      </c>
      <c r="S1071" s="17" t="str">
        <f aca="false">VLOOKUP(R1071,Sheet2!N:O,2,0)</f>
        <v>IREPARABLE</v>
      </c>
      <c r="T1071" s="18" t="str">
        <f aca="false">VLOOKUP(P1071,Sheet2!Q:R,2,0)</f>
        <v>IR Normal - BER to IR</v>
      </c>
      <c r="U1071" s="20" t="s">
        <v>135</v>
      </c>
      <c r="V1071" s="17" t="n">
        <v>12</v>
      </c>
      <c r="W1071" s="20" t="str">
        <f aca="false">VLOOKUP(V1071,Sheet2!Q:R,2,0)</f>
        <v>IR Normal - BER to IR</v>
      </c>
      <c r="X1071" s="17" t="str">
        <f aca="false">J1071</f>
        <v>A018</v>
      </c>
      <c r="Y1071" s="17" t="str">
        <f aca="false">VLOOKUP(X1071,Sheet2!A:B,2,0)</f>
        <v>PRAKASH CHAVDA</v>
      </c>
      <c r="Z1071" s="17" t="s">
        <v>136</v>
      </c>
      <c r="AA1071" s="17" t="s">
        <v>498</v>
      </c>
      <c r="AB1071" s="17" t="s">
        <v>41</v>
      </c>
      <c r="AC1071" s="0" t="str">
        <f aca="false">LEFT(G1071,2)</f>
        <v>77</v>
      </c>
      <c r="AE1071" s="21" t="s">
        <v>238</v>
      </c>
    </row>
    <row r="1072" customFormat="false" ht="15" hidden="false" customHeight="false" outlineLevel="0" collapsed="false">
      <c r="A1072" s="13" t="n">
        <f aca="false">1+A1071</f>
        <v>1070</v>
      </c>
      <c r="B1072" s="14" t="n">
        <v>1009667952</v>
      </c>
      <c r="C1072" s="15" t="s">
        <v>436</v>
      </c>
      <c r="D1072" s="16" t="s">
        <v>88</v>
      </c>
      <c r="E1072" s="17" t="s">
        <v>47</v>
      </c>
      <c r="F1072" s="18" t="s">
        <v>34</v>
      </c>
      <c r="G1072" s="19" t="n">
        <v>775180009646</v>
      </c>
      <c r="H1072" s="17" t="s">
        <v>134</v>
      </c>
      <c r="I1072" s="17" t="s">
        <v>69</v>
      </c>
      <c r="J1072" s="17" t="s">
        <v>106</v>
      </c>
      <c r="K1072" s="17" t="str">
        <f aca="false">VLOOKUP(J1072,Sheet2!A:B,2,0)</f>
        <v>PRAKASH CHAVDA</v>
      </c>
      <c r="L1072" s="17" t="n">
        <v>5</v>
      </c>
      <c r="M1072" s="17" t="str">
        <f aca="false">VLOOKUP(L1072,Sheet2!D:E,2,0)</f>
        <v>Main Processor CPU BGA</v>
      </c>
      <c r="N1072" s="17" t="n">
        <v>24</v>
      </c>
      <c r="O1072" s="17" t="str">
        <f aca="false">VLOOKUP(N1072,Sheet2!G:H,2,0)</f>
        <v>STB Auto moving -Stand by mode</v>
      </c>
      <c r="P1072" s="17" t="n">
        <v>12</v>
      </c>
      <c r="Q1072" s="17" t="str">
        <f aca="false">VLOOKUP(P1072,Sheet2!J:K,2,0)</f>
        <v>IR Declared due to Others ( IR Normal)TB</v>
      </c>
      <c r="R1072" s="17" t="s">
        <v>35</v>
      </c>
      <c r="S1072" s="17" t="str">
        <f aca="false">VLOOKUP(R1072,Sheet2!N:O,2,0)</f>
        <v>IREPARABLE</v>
      </c>
      <c r="T1072" s="18" t="str">
        <f aca="false">VLOOKUP(P1072,Sheet2!Q:R,2,0)</f>
        <v>IR Normal - BER to IR</v>
      </c>
      <c r="U1072" s="20" t="s">
        <v>135</v>
      </c>
      <c r="V1072" s="17" t="n">
        <v>12</v>
      </c>
      <c r="W1072" s="20" t="str">
        <f aca="false">VLOOKUP(V1072,Sheet2!Q:R,2,0)</f>
        <v>IR Normal - BER to IR</v>
      </c>
      <c r="X1072" s="17" t="str">
        <f aca="false">J1072</f>
        <v>A018</v>
      </c>
      <c r="Y1072" s="17" t="str">
        <f aca="false">VLOOKUP(X1072,Sheet2!A:B,2,0)</f>
        <v>PRAKASH CHAVDA</v>
      </c>
      <c r="Z1072" s="17" t="s">
        <v>136</v>
      </c>
      <c r="AA1072" s="17" t="s">
        <v>498</v>
      </c>
      <c r="AB1072" s="17" t="s">
        <v>41</v>
      </c>
      <c r="AC1072" s="0" t="str">
        <f aca="false">LEFT(G1072,2)</f>
        <v>77</v>
      </c>
      <c r="AE1072" s="21" t="s">
        <v>238</v>
      </c>
    </row>
    <row r="1073" customFormat="false" ht="15" hidden="false" customHeight="false" outlineLevel="0" collapsed="false">
      <c r="A1073" s="13" t="n">
        <f aca="false">1+A1072</f>
        <v>1071</v>
      </c>
      <c r="B1073" s="14" t="n">
        <v>1009685315</v>
      </c>
      <c r="C1073" s="15" t="s">
        <v>449</v>
      </c>
      <c r="D1073" s="16" t="s">
        <v>64</v>
      </c>
      <c r="E1073" s="17" t="s">
        <v>64</v>
      </c>
      <c r="F1073" s="18" t="s">
        <v>70</v>
      </c>
      <c r="G1073" s="19" t="n">
        <v>774338078363</v>
      </c>
      <c r="H1073" s="17" t="s">
        <v>134</v>
      </c>
      <c r="I1073" s="17" t="s">
        <v>69</v>
      </c>
      <c r="J1073" s="17" t="s">
        <v>106</v>
      </c>
      <c r="K1073" s="17" t="str">
        <f aca="false">VLOOKUP(J1073,Sheet2!A:B,2,0)</f>
        <v>PRAKASH CHAVDA</v>
      </c>
      <c r="L1073" s="17" t="n">
        <v>5</v>
      </c>
      <c r="M1073" s="17" t="str">
        <f aca="false">VLOOKUP(L1073,Sheet2!D:E,2,0)</f>
        <v>Main Processor CPU BGA</v>
      </c>
      <c r="N1073" s="17" t="n">
        <v>1</v>
      </c>
      <c r="O1073" s="17" t="str">
        <f aca="false">VLOOKUP(N1073,Sheet2!G:H,2,0)</f>
        <v>Dead</v>
      </c>
      <c r="P1073" s="17" t="n">
        <v>12</v>
      </c>
      <c r="Q1073" s="17" t="str">
        <f aca="false">VLOOKUP(P1073,Sheet2!J:K,2,0)</f>
        <v>IR Declared due to Others ( IR Normal)TB</v>
      </c>
      <c r="R1073" s="17" t="s">
        <v>35</v>
      </c>
      <c r="S1073" s="17" t="str">
        <f aca="false">VLOOKUP(R1073,Sheet2!N:O,2,0)</f>
        <v>IREPARABLE</v>
      </c>
      <c r="T1073" s="18" t="str">
        <f aca="false">VLOOKUP(P1073,Sheet2!Q:R,2,0)</f>
        <v>IR Normal - BER to IR</v>
      </c>
      <c r="U1073" s="20" t="s">
        <v>135</v>
      </c>
      <c r="V1073" s="17" t="n">
        <v>12</v>
      </c>
      <c r="W1073" s="20" t="str">
        <f aca="false">VLOOKUP(V1073,Sheet2!Q:R,2,0)</f>
        <v>IR Normal - BER to IR</v>
      </c>
      <c r="X1073" s="17" t="str">
        <f aca="false">J1073</f>
        <v>A018</v>
      </c>
      <c r="Y1073" s="17" t="str">
        <f aca="false">VLOOKUP(X1073,Sheet2!A:B,2,0)</f>
        <v>PRAKASH CHAVDA</v>
      </c>
      <c r="Z1073" s="17" t="s">
        <v>136</v>
      </c>
      <c r="AA1073" s="17" t="s">
        <v>498</v>
      </c>
      <c r="AB1073" s="17" t="s">
        <v>41</v>
      </c>
      <c r="AC1073" s="0" t="str">
        <f aca="false">LEFT(G1073,2)</f>
        <v>77</v>
      </c>
      <c r="AE1073" s="21" t="s">
        <v>238</v>
      </c>
    </row>
    <row r="1074" customFormat="false" ht="15" hidden="false" customHeight="false" outlineLevel="0" collapsed="false">
      <c r="A1074" s="13" t="n">
        <f aca="false">1+A1073</f>
        <v>1072</v>
      </c>
      <c r="B1074" s="14" t="n">
        <v>1009680221</v>
      </c>
      <c r="C1074" s="15" t="s">
        <v>413</v>
      </c>
      <c r="D1074" s="16" t="s">
        <v>64</v>
      </c>
      <c r="E1074" s="17" t="s">
        <v>64</v>
      </c>
      <c r="F1074" s="18" t="s">
        <v>70</v>
      </c>
      <c r="G1074" s="19" t="n">
        <v>775329168758</v>
      </c>
      <c r="H1074" s="17" t="s">
        <v>134</v>
      </c>
      <c r="I1074" s="17" t="s">
        <v>69</v>
      </c>
      <c r="J1074" s="17" t="s">
        <v>106</v>
      </c>
      <c r="K1074" s="17" t="str">
        <f aca="false">VLOOKUP(J1074,Sheet2!A:B,2,0)</f>
        <v>PRAKASH CHAVDA</v>
      </c>
      <c r="L1074" s="17" t="n">
        <v>5</v>
      </c>
      <c r="M1074" s="17" t="str">
        <f aca="false">VLOOKUP(L1074,Sheet2!D:E,2,0)</f>
        <v>Main Processor CPU BGA</v>
      </c>
      <c r="N1074" s="17" t="n">
        <v>1</v>
      </c>
      <c r="O1074" s="17" t="str">
        <f aca="false">VLOOKUP(N1074,Sheet2!G:H,2,0)</f>
        <v>Dead</v>
      </c>
      <c r="P1074" s="17" t="n">
        <v>12</v>
      </c>
      <c r="Q1074" s="17" t="str">
        <f aca="false">VLOOKUP(P1074,Sheet2!J:K,2,0)</f>
        <v>IR Declared due to Others ( IR Normal)TB</v>
      </c>
      <c r="R1074" s="17" t="s">
        <v>35</v>
      </c>
      <c r="S1074" s="17" t="str">
        <f aca="false">VLOOKUP(R1074,Sheet2!N:O,2,0)</f>
        <v>IREPARABLE</v>
      </c>
      <c r="T1074" s="18" t="str">
        <f aca="false">VLOOKUP(P1074,Sheet2!Q:R,2,0)</f>
        <v>IR Normal - BER to IR</v>
      </c>
      <c r="U1074" s="20" t="s">
        <v>135</v>
      </c>
      <c r="V1074" s="17" t="n">
        <v>12</v>
      </c>
      <c r="W1074" s="20" t="str">
        <f aca="false">VLOOKUP(V1074,Sheet2!Q:R,2,0)</f>
        <v>IR Normal - BER to IR</v>
      </c>
      <c r="X1074" s="17" t="str">
        <f aca="false">J1074</f>
        <v>A018</v>
      </c>
      <c r="Y1074" s="17" t="str">
        <f aca="false">VLOOKUP(X1074,Sheet2!A:B,2,0)</f>
        <v>PRAKASH CHAVDA</v>
      </c>
      <c r="Z1074" s="17" t="s">
        <v>136</v>
      </c>
      <c r="AA1074" s="17" t="s">
        <v>498</v>
      </c>
      <c r="AB1074" s="17" t="s">
        <v>41</v>
      </c>
      <c r="AC1074" s="0" t="str">
        <f aca="false">LEFT(G1074,2)</f>
        <v>77</v>
      </c>
      <c r="AE1074" s="21" t="s">
        <v>238</v>
      </c>
    </row>
    <row r="1075" customFormat="false" ht="15" hidden="false" customHeight="false" outlineLevel="0" collapsed="false">
      <c r="A1075" s="13" t="n">
        <f aca="false">1+A1074</f>
        <v>1073</v>
      </c>
      <c r="B1075" s="14" t="n">
        <v>1009682599</v>
      </c>
      <c r="C1075" s="15" t="s">
        <v>413</v>
      </c>
      <c r="D1075" s="16" t="s">
        <v>64</v>
      </c>
      <c r="E1075" s="17" t="s">
        <v>47</v>
      </c>
      <c r="F1075" s="18" t="s">
        <v>34</v>
      </c>
      <c r="G1075" s="19" t="n">
        <v>775084005849</v>
      </c>
      <c r="H1075" s="17" t="s">
        <v>134</v>
      </c>
      <c r="I1075" s="17" t="s">
        <v>69</v>
      </c>
      <c r="J1075" s="17" t="s">
        <v>106</v>
      </c>
      <c r="K1075" s="17" t="str">
        <f aca="false">VLOOKUP(J1075,Sheet2!A:B,2,0)</f>
        <v>PRAKASH CHAVDA</v>
      </c>
      <c r="L1075" s="17" t="n">
        <v>5</v>
      </c>
      <c r="M1075" s="17" t="str">
        <f aca="false">VLOOKUP(L1075,Sheet2!D:E,2,0)</f>
        <v>Main Processor CPU BGA</v>
      </c>
      <c r="N1075" s="17" t="n">
        <v>24</v>
      </c>
      <c r="O1075" s="17" t="str">
        <f aca="false">VLOOKUP(N1075,Sheet2!G:H,2,0)</f>
        <v>STB Auto moving -Stand by mode</v>
      </c>
      <c r="P1075" s="17" t="n">
        <v>12</v>
      </c>
      <c r="Q1075" s="17" t="str">
        <f aca="false">VLOOKUP(P1075,Sheet2!J:K,2,0)</f>
        <v>IR Declared due to Others ( IR Normal)TB</v>
      </c>
      <c r="R1075" s="17" t="s">
        <v>35</v>
      </c>
      <c r="S1075" s="17" t="str">
        <f aca="false">VLOOKUP(R1075,Sheet2!N:O,2,0)</f>
        <v>IREPARABLE</v>
      </c>
      <c r="T1075" s="18" t="str">
        <f aca="false">VLOOKUP(P1075,Sheet2!Q:R,2,0)</f>
        <v>IR Normal - BER to IR</v>
      </c>
      <c r="U1075" s="20" t="s">
        <v>135</v>
      </c>
      <c r="V1075" s="17" t="n">
        <v>12</v>
      </c>
      <c r="W1075" s="20" t="str">
        <f aca="false">VLOOKUP(V1075,Sheet2!Q:R,2,0)</f>
        <v>IR Normal - BER to IR</v>
      </c>
      <c r="X1075" s="17" t="str">
        <f aca="false">J1075</f>
        <v>A018</v>
      </c>
      <c r="Y1075" s="17" t="str">
        <f aca="false">VLOOKUP(X1075,Sheet2!A:B,2,0)</f>
        <v>PRAKASH CHAVDA</v>
      </c>
      <c r="Z1075" s="17" t="s">
        <v>136</v>
      </c>
      <c r="AA1075" s="17" t="s">
        <v>498</v>
      </c>
      <c r="AB1075" s="17" t="s">
        <v>41</v>
      </c>
      <c r="AC1075" s="0" t="str">
        <f aca="false">LEFT(G1075,2)</f>
        <v>77</v>
      </c>
      <c r="AE1075" s="21" t="s">
        <v>238</v>
      </c>
    </row>
    <row r="1076" customFormat="false" ht="15" hidden="false" customHeight="false" outlineLevel="0" collapsed="false">
      <c r="A1076" s="13" t="n">
        <f aca="false">1+A1075</f>
        <v>1074</v>
      </c>
      <c r="B1076" s="14" t="n">
        <v>1009686181</v>
      </c>
      <c r="C1076" s="15" t="s">
        <v>449</v>
      </c>
      <c r="D1076" s="16" t="s">
        <v>32</v>
      </c>
      <c r="E1076" s="17" t="s">
        <v>33</v>
      </c>
      <c r="F1076" s="18" t="s">
        <v>34</v>
      </c>
      <c r="G1076" s="19" t="n">
        <v>943049970594</v>
      </c>
      <c r="H1076" s="17" t="s">
        <v>134</v>
      </c>
      <c r="I1076" s="17" t="s">
        <v>44</v>
      </c>
      <c r="J1076" s="17" t="s">
        <v>106</v>
      </c>
      <c r="K1076" s="17" t="str">
        <f aca="false">VLOOKUP(J1076,Sheet2!A:B,2,0)</f>
        <v>PRAKASH CHAVDA</v>
      </c>
      <c r="L1076" s="17" t="n">
        <v>5</v>
      </c>
      <c r="M1076" s="17" t="str">
        <f aca="false">VLOOKUP(L1076,Sheet2!D:E,2,0)</f>
        <v>Main Processor CPU BGA</v>
      </c>
      <c r="N1076" s="17" t="n">
        <v>24</v>
      </c>
      <c r="O1076" s="17" t="str">
        <f aca="false">VLOOKUP(N1076,Sheet2!G:H,2,0)</f>
        <v>STB Auto moving -Stand by mode</v>
      </c>
      <c r="P1076" s="17" t="n">
        <v>12</v>
      </c>
      <c r="Q1076" s="17" t="str">
        <f aca="false">VLOOKUP(P1076,Sheet2!J:K,2,0)</f>
        <v>IR Declared due to Others ( IR Normal)TB</v>
      </c>
      <c r="R1076" s="17" t="s">
        <v>35</v>
      </c>
      <c r="S1076" s="17" t="str">
        <f aca="false">VLOOKUP(R1076,Sheet2!N:O,2,0)</f>
        <v>IREPARABLE</v>
      </c>
      <c r="T1076" s="18" t="str">
        <f aca="false">VLOOKUP(P1076,Sheet2!Q:R,2,0)</f>
        <v>IR Normal - BER to IR</v>
      </c>
      <c r="U1076" s="20" t="s">
        <v>135</v>
      </c>
      <c r="V1076" s="17" t="n">
        <v>12</v>
      </c>
      <c r="W1076" s="20" t="str">
        <f aca="false">VLOOKUP(V1076,Sheet2!Q:R,2,0)</f>
        <v>IR Normal - BER to IR</v>
      </c>
      <c r="X1076" s="17" t="str">
        <f aca="false">J1076</f>
        <v>A018</v>
      </c>
      <c r="Y1076" s="17" t="str">
        <f aca="false">VLOOKUP(X1076,Sheet2!A:B,2,0)</f>
        <v>PRAKASH CHAVDA</v>
      </c>
      <c r="Z1076" s="17" t="s">
        <v>127</v>
      </c>
      <c r="AA1076" s="17" t="s">
        <v>498</v>
      </c>
      <c r="AB1076" s="17" t="s">
        <v>41</v>
      </c>
      <c r="AC1076" s="0" t="str">
        <f aca="false">LEFT(G1076,2)</f>
        <v>94</v>
      </c>
      <c r="AE1076" s="21" t="s">
        <v>238</v>
      </c>
    </row>
    <row r="1077" customFormat="false" ht="15" hidden="false" customHeight="false" outlineLevel="0" collapsed="false">
      <c r="A1077" s="13" t="n">
        <f aca="false">1+A1076</f>
        <v>1075</v>
      </c>
      <c r="B1077" s="14" t="n">
        <v>1009684973</v>
      </c>
      <c r="C1077" s="15" t="s">
        <v>449</v>
      </c>
      <c r="D1077" s="16" t="s">
        <v>64</v>
      </c>
      <c r="E1077" s="17" t="s">
        <v>91</v>
      </c>
      <c r="F1077" s="18" t="s">
        <v>92</v>
      </c>
      <c r="G1077" s="19" t="n">
        <v>943184976018</v>
      </c>
      <c r="H1077" s="17" t="s">
        <v>134</v>
      </c>
      <c r="I1077" s="17" t="s">
        <v>44</v>
      </c>
      <c r="J1077" s="17" t="s">
        <v>106</v>
      </c>
      <c r="K1077" s="17" t="str">
        <f aca="false">VLOOKUP(J1077,Sheet2!A:B,2,0)</f>
        <v>PRAKASH CHAVDA</v>
      </c>
      <c r="L1077" s="17" t="n">
        <v>5</v>
      </c>
      <c r="M1077" s="17" t="str">
        <f aca="false">VLOOKUP(L1077,Sheet2!D:E,2,0)</f>
        <v>Main Processor CPU BGA</v>
      </c>
      <c r="N1077" s="17" t="n">
        <v>4</v>
      </c>
      <c r="O1077" s="17" t="str">
        <f aca="false">VLOOKUP(N1077,Sheet2!G:H,2,0)</f>
        <v>All LED glow</v>
      </c>
      <c r="P1077" s="17" t="n">
        <v>12</v>
      </c>
      <c r="Q1077" s="17" t="str">
        <f aca="false">VLOOKUP(P1077,Sheet2!J:K,2,0)</f>
        <v>IR Declared due to Others ( IR Normal)TB</v>
      </c>
      <c r="R1077" s="17" t="s">
        <v>35</v>
      </c>
      <c r="S1077" s="17" t="str">
        <f aca="false">VLOOKUP(R1077,Sheet2!N:O,2,0)</f>
        <v>IREPARABLE</v>
      </c>
      <c r="T1077" s="18" t="str">
        <f aca="false">VLOOKUP(P1077,Sheet2!Q:R,2,0)</f>
        <v>IR Normal - BER to IR</v>
      </c>
      <c r="U1077" s="20" t="s">
        <v>135</v>
      </c>
      <c r="V1077" s="17" t="n">
        <v>12</v>
      </c>
      <c r="W1077" s="20" t="str">
        <f aca="false">VLOOKUP(V1077,Sheet2!Q:R,2,0)</f>
        <v>IR Normal - BER to IR</v>
      </c>
      <c r="X1077" s="17" t="str">
        <f aca="false">J1077</f>
        <v>A018</v>
      </c>
      <c r="Y1077" s="17" t="str">
        <f aca="false">VLOOKUP(X1077,Sheet2!A:B,2,0)</f>
        <v>PRAKASH CHAVDA</v>
      </c>
      <c r="Z1077" s="17" t="s">
        <v>127</v>
      </c>
      <c r="AA1077" s="17" t="s">
        <v>498</v>
      </c>
      <c r="AB1077" s="17" t="s">
        <v>41</v>
      </c>
      <c r="AC1077" s="0" t="str">
        <f aca="false">LEFT(G1077,2)</f>
        <v>94</v>
      </c>
      <c r="AE1077" s="21" t="s">
        <v>238</v>
      </c>
    </row>
    <row r="1078" customFormat="false" ht="15" hidden="false" customHeight="false" outlineLevel="0" collapsed="false">
      <c r="A1078" s="13" t="n">
        <f aca="false">1+A1077</f>
        <v>1076</v>
      </c>
      <c r="B1078" s="14" t="n">
        <v>1009685876</v>
      </c>
      <c r="C1078" s="15" t="s">
        <v>449</v>
      </c>
      <c r="D1078" s="16" t="s">
        <v>32</v>
      </c>
      <c r="E1078" s="17" t="s">
        <v>255</v>
      </c>
      <c r="F1078" s="18" t="s">
        <v>34</v>
      </c>
      <c r="G1078" s="19" t="n">
        <v>943213926000</v>
      </c>
      <c r="H1078" s="17" t="s">
        <v>134</v>
      </c>
      <c r="I1078" s="17" t="s">
        <v>44</v>
      </c>
      <c r="J1078" s="17" t="s">
        <v>106</v>
      </c>
      <c r="K1078" s="17" t="str">
        <f aca="false">VLOOKUP(J1078,Sheet2!A:B,2,0)</f>
        <v>PRAKASH CHAVDA</v>
      </c>
      <c r="L1078" s="17" t="n">
        <v>1</v>
      </c>
      <c r="M1078" s="17" t="str">
        <f aca="false">VLOOKUP(L1078,Sheet2!D:E,2,0)</f>
        <v>Power Supply Section</v>
      </c>
      <c r="N1078" s="17" t="n">
        <v>24</v>
      </c>
      <c r="O1078" s="17" t="str">
        <f aca="false">VLOOKUP(N1078,Sheet2!G:H,2,0)</f>
        <v>STB Auto moving -Stand by mode</v>
      </c>
      <c r="P1078" s="17" t="n">
        <v>12</v>
      </c>
      <c r="Q1078" s="17" t="str">
        <f aca="false">VLOOKUP(P1078,Sheet2!J:K,2,0)</f>
        <v>IR Declared due to Others ( IR Normal)TB</v>
      </c>
      <c r="R1078" s="17" t="s">
        <v>35</v>
      </c>
      <c r="S1078" s="17" t="str">
        <f aca="false">VLOOKUP(R1078,Sheet2!N:O,2,0)</f>
        <v>IREPARABLE</v>
      </c>
      <c r="T1078" s="18" t="str">
        <f aca="false">VLOOKUP(P1078,Sheet2!Q:R,2,0)</f>
        <v>IR Normal - BER to IR</v>
      </c>
      <c r="U1078" s="20" t="s">
        <v>135</v>
      </c>
      <c r="V1078" s="17" t="n">
        <v>12</v>
      </c>
      <c r="W1078" s="20" t="str">
        <f aca="false">VLOOKUP(V1078,Sheet2!Q:R,2,0)</f>
        <v>IR Normal - BER to IR</v>
      </c>
      <c r="X1078" s="17" t="str">
        <f aca="false">J1078</f>
        <v>A018</v>
      </c>
      <c r="Y1078" s="17" t="str">
        <f aca="false">VLOOKUP(X1078,Sheet2!A:B,2,0)</f>
        <v>PRAKASH CHAVDA</v>
      </c>
      <c r="Z1078" s="17" t="s">
        <v>501</v>
      </c>
      <c r="AA1078" s="17" t="s">
        <v>498</v>
      </c>
      <c r="AB1078" s="17" t="s">
        <v>41</v>
      </c>
      <c r="AC1078" s="0" t="str">
        <f aca="false">LEFT(G1078,2)</f>
        <v>94</v>
      </c>
      <c r="AE1078" s="21" t="s">
        <v>238</v>
      </c>
    </row>
    <row r="1079" customFormat="false" ht="15" hidden="false" customHeight="false" outlineLevel="0" collapsed="false">
      <c r="A1079" s="13" t="n">
        <f aca="false">1+A1078</f>
        <v>1077</v>
      </c>
      <c r="B1079" s="14" t="n">
        <v>1009684744</v>
      </c>
      <c r="C1079" s="15" t="s">
        <v>449</v>
      </c>
      <c r="D1079" s="16" t="s">
        <v>64</v>
      </c>
      <c r="E1079" s="17" t="s">
        <v>255</v>
      </c>
      <c r="F1079" s="18" t="s">
        <v>34</v>
      </c>
      <c r="G1079" s="19" t="n">
        <v>943194415205</v>
      </c>
      <c r="H1079" s="17" t="s">
        <v>134</v>
      </c>
      <c r="I1079" s="17" t="s">
        <v>44</v>
      </c>
      <c r="J1079" s="17" t="s">
        <v>106</v>
      </c>
      <c r="K1079" s="17" t="str">
        <f aca="false">VLOOKUP(J1079,Sheet2!A:B,2,0)</f>
        <v>PRAKASH CHAVDA</v>
      </c>
      <c r="L1079" s="17" t="n">
        <v>5</v>
      </c>
      <c r="M1079" s="17" t="str">
        <f aca="false">VLOOKUP(L1079,Sheet2!D:E,2,0)</f>
        <v>Main Processor CPU BGA</v>
      </c>
      <c r="N1079" s="17" t="n">
        <v>24</v>
      </c>
      <c r="O1079" s="17" t="str">
        <f aca="false">VLOOKUP(N1079,Sheet2!G:H,2,0)</f>
        <v>STB Auto moving -Stand by mode</v>
      </c>
      <c r="P1079" s="17" t="n">
        <v>12</v>
      </c>
      <c r="Q1079" s="17" t="str">
        <f aca="false">VLOOKUP(P1079,Sheet2!J:K,2,0)</f>
        <v>IR Declared due to Others ( IR Normal)TB</v>
      </c>
      <c r="R1079" s="17" t="s">
        <v>35</v>
      </c>
      <c r="S1079" s="17" t="str">
        <f aca="false">VLOOKUP(R1079,Sheet2!N:O,2,0)</f>
        <v>IREPARABLE</v>
      </c>
      <c r="T1079" s="18" t="str">
        <f aca="false">VLOOKUP(P1079,Sheet2!Q:R,2,0)</f>
        <v>IR Normal - BER to IR</v>
      </c>
      <c r="U1079" s="20" t="s">
        <v>135</v>
      </c>
      <c r="V1079" s="17" t="n">
        <v>12</v>
      </c>
      <c r="W1079" s="20" t="str">
        <f aca="false">VLOOKUP(V1079,Sheet2!Q:R,2,0)</f>
        <v>IR Normal - BER to IR</v>
      </c>
      <c r="X1079" s="17" t="str">
        <f aca="false">J1079</f>
        <v>A018</v>
      </c>
      <c r="Y1079" s="17" t="str">
        <f aca="false">VLOOKUP(X1079,Sheet2!A:B,2,0)</f>
        <v>PRAKASH CHAVDA</v>
      </c>
      <c r="Z1079" s="17" t="s">
        <v>127</v>
      </c>
      <c r="AA1079" s="17" t="s">
        <v>498</v>
      </c>
      <c r="AB1079" s="17" t="s">
        <v>41</v>
      </c>
      <c r="AC1079" s="0" t="str">
        <f aca="false">LEFT(G1079,2)</f>
        <v>94</v>
      </c>
      <c r="AE1079" s="21" t="s">
        <v>238</v>
      </c>
    </row>
    <row r="1080" customFormat="false" ht="15" hidden="false" customHeight="false" outlineLevel="0" collapsed="false">
      <c r="A1080" s="13" t="n">
        <f aca="false">1+A1079</f>
        <v>1078</v>
      </c>
      <c r="B1080" s="14" t="n">
        <v>1009685671</v>
      </c>
      <c r="C1080" s="15" t="s">
        <v>449</v>
      </c>
      <c r="D1080" s="16" t="s">
        <v>32</v>
      </c>
      <c r="E1080" s="17" t="s">
        <v>502</v>
      </c>
      <c r="F1080" s="18" t="s">
        <v>34</v>
      </c>
      <c r="G1080" s="19" t="n">
        <v>943111983087</v>
      </c>
      <c r="H1080" s="17" t="s">
        <v>134</v>
      </c>
      <c r="I1080" s="17" t="s">
        <v>44</v>
      </c>
      <c r="J1080" s="17" t="s">
        <v>106</v>
      </c>
      <c r="K1080" s="17" t="str">
        <f aca="false">VLOOKUP(J1080,Sheet2!A:B,2,0)</f>
        <v>PRAKASH CHAVDA</v>
      </c>
      <c r="L1080" s="17" t="n">
        <v>5</v>
      </c>
      <c r="M1080" s="17" t="str">
        <f aca="false">VLOOKUP(L1080,Sheet2!D:E,2,0)</f>
        <v>Main Processor CPU BGA</v>
      </c>
      <c r="N1080" s="17" t="n">
        <v>24</v>
      </c>
      <c r="O1080" s="17" t="str">
        <f aca="false">VLOOKUP(N1080,Sheet2!G:H,2,0)</f>
        <v>STB Auto moving -Stand by mode</v>
      </c>
      <c r="P1080" s="17" t="n">
        <v>12</v>
      </c>
      <c r="Q1080" s="17" t="str">
        <f aca="false">VLOOKUP(P1080,Sheet2!J:K,2,0)</f>
        <v>IR Declared due to Others ( IR Normal)TB</v>
      </c>
      <c r="R1080" s="17" t="s">
        <v>35</v>
      </c>
      <c r="S1080" s="17" t="str">
        <f aca="false">VLOOKUP(R1080,Sheet2!N:O,2,0)</f>
        <v>IREPARABLE</v>
      </c>
      <c r="T1080" s="18" t="str">
        <f aca="false">VLOOKUP(P1080,Sheet2!Q:R,2,0)</f>
        <v>IR Normal - BER to IR</v>
      </c>
      <c r="U1080" s="20" t="s">
        <v>135</v>
      </c>
      <c r="V1080" s="17" t="n">
        <v>12</v>
      </c>
      <c r="W1080" s="20" t="str">
        <f aca="false">VLOOKUP(V1080,Sheet2!Q:R,2,0)</f>
        <v>IR Normal - BER to IR</v>
      </c>
      <c r="X1080" s="17" t="str">
        <f aca="false">J1080</f>
        <v>A018</v>
      </c>
      <c r="Y1080" s="17" t="str">
        <f aca="false">VLOOKUP(X1080,Sheet2!A:B,2,0)</f>
        <v>PRAKASH CHAVDA</v>
      </c>
      <c r="Z1080" s="17" t="s">
        <v>127</v>
      </c>
      <c r="AA1080" s="17" t="s">
        <v>498</v>
      </c>
      <c r="AB1080" s="17" t="s">
        <v>41</v>
      </c>
      <c r="AC1080" s="0" t="str">
        <f aca="false">LEFT(G1080,2)</f>
        <v>94</v>
      </c>
      <c r="AE1080" s="21" t="s">
        <v>238</v>
      </c>
    </row>
    <row r="1081" customFormat="false" ht="15" hidden="false" customHeight="false" outlineLevel="0" collapsed="false">
      <c r="A1081" s="13" t="n">
        <f aca="false">1+A1080</f>
        <v>1079</v>
      </c>
      <c r="B1081" s="14" t="n">
        <v>1009685994</v>
      </c>
      <c r="C1081" s="15" t="s">
        <v>449</v>
      </c>
      <c r="D1081" s="16" t="s">
        <v>137</v>
      </c>
      <c r="E1081" s="17" t="s">
        <v>91</v>
      </c>
      <c r="F1081" s="18" t="s">
        <v>92</v>
      </c>
      <c r="G1081" s="19" t="n">
        <v>955194137795</v>
      </c>
      <c r="H1081" s="17" t="s">
        <v>134</v>
      </c>
      <c r="I1081" s="17" t="s">
        <v>44</v>
      </c>
      <c r="J1081" s="17" t="s">
        <v>106</v>
      </c>
      <c r="K1081" s="17" t="str">
        <f aca="false">VLOOKUP(J1081,Sheet2!A:B,2,0)</f>
        <v>PRAKASH CHAVDA</v>
      </c>
      <c r="L1081" s="17" t="n">
        <v>5</v>
      </c>
      <c r="M1081" s="17" t="str">
        <f aca="false">VLOOKUP(L1081,Sheet2!D:E,2,0)</f>
        <v>Main Processor CPU BGA</v>
      </c>
      <c r="N1081" s="17" t="n">
        <v>1</v>
      </c>
      <c r="O1081" s="17" t="str">
        <f aca="false">VLOOKUP(N1081,Sheet2!G:H,2,0)</f>
        <v>Dead</v>
      </c>
      <c r="P1081" s="17" t="n">
        <v>12</v>
      </c>
      <c r="Q1081" s="17" t="str">
        <f aca="false">VLOOKUP(P1081,Sheet2!J:K,2,0)</f>
        <v>IR Declared due to Others ( IR Normal)TB</v>
      </c>
      <c r="R1081" s="17" t="s">
        <v>35</v>
      </c>
      <c r="S1081" s="17" t="str">
        <f aca="false">VLOOKUP(R1081,Sheet2!N:O,2,0)</f>
        <v>IREPARABLE</v>
      </c>
      <c r="T1081" s="18" t="str">
        <f aca="false">VLOOKUP(P1081,Sheet2!Q:R,2,0)</f>
        <v>IR Normal - BER to IR</v>
      </c>
      <c r="U1081" s="20" t="s">
        <v>135</v>
      </c>
      <c r="V1081" s="17" t="n">
        <v>12</v>
      </c>
      <c r="W1081" s="20" t="str">
        <f aca="false">VLOOKUP(V1081,Sheet2!Q:R,2,0)</f>
        <v>IR Normal - BER to IR</v>
      </c>
      <c r="X1081" s="17" t="str">
        <f aca="false">J1081</f>
        <v>A018</v>
      </c>
      <c r="Y1081" s="17" t="str">
        <f aca="false">VLOOKUP(X1081,Sheet2!A:B,2,0)</f>
        <v>PRAKASH CHAVDA</v>
      </c>
      <c r="Z1081" s="17" t="s">
        <v>150</v>
      </c>
      <c r="AA1081" s="17" t="s">
        <v>498</v>
      </c>
      <c r="AB1081" s="17" t="s">
        <v>41</v>
      </c>
      <c r="AC1081" s="0" t="str">
        <f aca="false">LEFT(G1081,2)</f>
        <v>95</v>
      </c>
      <c r="AE1081" s="21" t="s">
        <v>238</v>
      </c>
    </row>
    <row r="1082" customFormat="false" ht="15" hidden="false" customHeight="false" outlineLevel="0" collapsed="false">
      <c r="A1082" s="13" t="n">
        <f aca="false">1+A1081</f>
        <v>1080</v>
      </c>
      <c r="B1082" s="14" t="n">
        <v>1009680578</v>
      </c>
      <c r="C1082" s="15" t="s">
        <v>233</v>
      </c>
      <c r="D1082" s="16" t="s">
        <v>64</v>
      </c>
      <c r="E1082" s="17" t="s">
        <v>47</v>
      </c>
      <c r="F1082" s="18" t="s">
        <v>34</v>
      </c>
      <c r="G1082" s="19" t="n">
        <v>775329166117</v>
      </c>
      <c r="H1082" s="17" t="s">
        <v>134</v>
      </c>
      <c r="I1082" s="17" t="s">
        <v>69</v>
      </c>
      <c r="J1082" s="17" t="s">
        <v>106</v>
      </c>
      <c r="K1082" s="17" t="str">
        <f aca="false">VLOOKUP(J1082,Sheet2!A:B,2,0)</f>
        <v>PRAKASH CHAVDA</v>
      </c>
      <c r="L1082" s="17" t="n">
        <v>5</v>
      </c>
      <c r="M1082" s="17" t="str">
        <f aca="false">VLOOKUP(L1082,Sheet2!D:E,2,0)</f>
        <v>Main Processor CPU BGA</v>
      </c>
      <c r="N1082" s="17" t="n">
        <v>1</v>
      </c>
      <c r="O1082" s="17" t="str">
        <f aca="false">VLOOKUP(N1082,Sheet2!G:H,2,0)</f>
        <v>Dead</v>
      </c>
      <c r="P1082" s="17" t="n">
        <v>12</v>
      </c>
      <c r="Q1082" s="17" t="str">
        <f aca="false">VLOOKUP(P1082,Sheet2!J:K,2,0)</f>
        <v>IR Declared due to Others ( IR Normal)TB</v>
      </c>
      <c r="R1082" s="17" t="s">
        <v>35</v>
      </c>
      <c r="S1082" s="17" t="str">
        <f aca="false">VLOOKUP(R1082,Sheet2!N:O,2,0)</f>
        <v>IREPARABLE</v>
      </c>
      <c r="T1082" s="18" t="str">
        <f aca="false">VLOOKUP(P1082,Sheet2!Q:R,2,0)</f>
        <v>IR Normal - BER to IR</v>
      </c>
      <c r="U1082" s="20" t="s">
        <v>135</v>
      </c>
      <c r="V1082" s="17" t="n">
        <v>12</v>
      </c>
      <c r="W1082" s="20" t="str">
        <f aca="false">VLOOKUP(V1082,Sheet2!Q:R,2,0)</f>
        <v>IR Normal - BER to IR</v>
      </c>
      <c r="X1082" s="17" t="str">
        <f aca="false">J1082</f>
        <v>A018</v>
      </c>
      <c r="Y1082" s="17" t="str">
        <f aca="false">VLOOKUP(X1082,Sheet2!A:B,2,0)</f>
        <v>PRAKASH CHAVDA</v>
      </c>
      <c r="Z1082" s="17" t="s">
        <v>136</v>
      </c>
      <c r="AA1082" s="17" t="s">
        <v>498</v>
      </c>
      <c r="AB1082" s="17" t="s">
        <v>41</v>
      </c>
      <c r="AC1082" s="0" t="str">
        <f aca="false">LEFT(G1082,2)</f>
        <v>77</v>
      </c>
      <c r="AE1082" s="21" t="s">
        <v>238</v>
      </c>
    </row>
    <row r="1083" customFormat="false" ht="15" hidden="false" customHeight="false" outlineLevel="0" collapsed="false">
      <c r="A1083" s="13" t="n">
        <f aca="false">1+A1082</f>
        <v>1081</v>
      </c>
      <c r="B1083" s="14" t="n">
        <v>1009686032</v>
      </c>
      <c r="C1083" s="15" t="s">
        <v>233</v>
      </c>
      <c r="D1083" s="16" t="s">
        <v>64</v>
      </c>
      <c r="E1083" s="17" t="s">
        <v>47</v>
      </c>
      <c r="F1083" s="18" t="s">
        <v>34</v>
      </c>
      <c r="G1083" s="19" t="n">
        <v>775181026672</v>
      </c>
      <c r="H1083" s="17" t="s">
        <v>134</v>
      </c>
      <c r="I1083" s="17" t="s">
        <v>69</v>
      </c>
      <c r="J1083" s="17" t="s">
        <v>106</v>
      </c>
      <c r="K1083" s="17" t="str">
        <f aca="false">VLOOKUP(J1083,Sheet2!A:B,2,0)</f>
        <v>PRAKASH CHAVDA</v>
      </c>
      <c r="L1083" s="17" t="n">
        <v>5</v>
      </c>
      <c r="M1083" s="17" t="str">
        <f aca="false">VLOOKUP(L1083,Sheet2!D:E,2,0)</f>
        <v>Main Processor CPU BGA</v>
      </c>
      <c r="N1083" s="17" t="n">
        <v>1</v>
      </c>
      <c r="O1083" s="17" t="str">
        <f aca="false">VLOOKUP(N1083,Sheet2!G:H,2,0)</f>
        <v>Dead</v>
      </c>
      <c r="P1083" s="17" t="n">
        <v>12</v>
      </c>
      <c r="Q1083" s="17" t="str">
        <f aca="false">VLOOKUP(P1083,Sheet2!J:K,2,0)</f>
        <v>IR Declared due to Others ( IR Normal)TB</v>
      </c>
      <c r="R1083" s="17" t="s">
        <v>35</v>
      </c>
      <c r="S1083" s="17" t="str">
        <f aca="false">VLOOKUP(R1083,Sheet2!N:O,2,0)</f>
        <v>IREPARABLE</v>
      </c>
      <c r="T1083" s="18" t="str">
        <f aca="false">VLOOKUP(P1083,Sheet2!Q:R,2,0)</f>
        <v>IR Normal - BER to IR</v>
      </c>
      <c r="U1083" s="20" t="s">
        <v>135</v>
      </c>
      <c r="V1083" s="17" t="n">
        <v>12</v>
      </c>
      <c r="W1083" s="20" t="str">
        <f aca="false">VLOOKUP(V1083,Sheet2!Q:R,2,0)</f>
        <v>IR Normal - BER to IR</v>
      </c>
      <c r="X1083" s="17" t="str">
        <f aca="false">J1083</f>
        <v>A018</v>
      </c>
      <c r="Y1083" s="17" t="str">
        <f aca="false">VLOOKUP(X1083,Sheet2!A:B,2,0)</f>
        <v>PRAKASH CHAVDA</v>
      </c>
      <c r="Z1083" s="17" t="s">
        <v>136</v>
      </c>
      <c r="AA1083" s="17" t="s">
        <v>498</v>
      </c>
      <c r="AB1083" s="17" t="s">
        <v>41</v>
      </c>
      <c r="AC1083" s="0" t="str">
        <f aca="false">LEFT(G1083,2)</f>
        <v>77</v>
      </c>
      <c r="AE1083" s="21" t="s">
        <v>238</v>
      </c>
    </row>
    <row r="1084" customFormat="false" ht="15" hidden="false" customHeight="false" outlineLevel="0" collapsed="false">
      <c r="A1084" s="13" t="n">
        <f aca="false">1+A1083</f>
        <v>1082</v>
      </c>
      <c r="B1084" s="14" t="n">
        <v>1009684097</v>
      </c>
      <c r="C1084" s="15" t="s">
        <v>413</v>
      </c>
      <c r="D1084" s="16" t="s">
        <v>64</v>
      </c>
      <c r="E1084" s="17" t="s">
        <v>64</v>
      </c>
      <c r="F1084" s="18" t="s">
        <v>70</v>
      </c>
      <c r="G1084" s="19" t="n">
        <v>775325173257</v>
      </c>
      <c r="H1084" s="17" t="s">
        <v>134</v>
      </c>
      <c r="I1084" s="17" t="s">
        <v>69</v>
      </c>
      <c r="J1084" s="17" t="s">
        <v>106</v>
      </c>
      <c r="K1084" s="17" t="str">
        <f aca="false">VLOOKUP(J1084,Sheet2!A:B,2,0)</f>
        <v>PRAKASH CHAVDA</v>
      </c>
      <c r="L1084" s="17" t="n">
        <v>5</v>
      </c>
      <c r="M1084" s="17" t="str">
        <f aca="false">VLOOKUP(L1084,Sheet2!D:E,2,0)</f>
        <v>Main Processor CPU BGA</v>
      </c>
      <c r="N1084" s="17" t="n">
        <v>24</v>
      </c>
      <c r="O1084" s="17" t="str">
        <f aca="false">VLOOKUP(N1084,Sheet2!G:H,2,0)</f>
        <v>STB Auto moving -Stand by mode</v>
      </c>
      <c r="P1084" s="17" t="n">
        <v>12</v>
      </c>
      <c r="Q1084" s="17" t="str">
        <f aca="false">VLOOKUP(P1084,Sheet2!J:K,2,0)</f>
        <v>IR Declared due to Others ( IR Normal)TB</v>
      </c>
      <c r="R1084" s="17" t="s">
        <v>35</v>
      </c>
      <c r="S1084" s="17" t="str">
        <f aca="false">VLOOKUP(R1084,Sheet2!N:O,2,0)</f>
        <v>IREPARABLE</v>
      </c>
      <c r="T1084" s="18" t="str">
        <f aca="false">VLOOKUP(P1084,Sheet2!Q:R,2,0)</f>
        <v>IR Normal - BER to IR</v>
      </c>
      <c r="U1084" s="20" t="s">
        <v>135</v>
      </c>
      <c r="V1084" s="17" t="n">
        <v>12</v>
      </c>
      <c r="W1084" s="20" t="str">
        <f aca="false">VLOOKUP(V1084,Sheet2!Q:R,2,0)</f>
        <v>IR Normal - BER to IR</v>
      </c>
      <c r="X1084" s="17" t="str">
        <f aca="false">J1084</f>
        <v>A018</v>
      </c>
      <c r="Y1084" s="17" t="str">
        <f aca="false">VLOOKUP(X1084,Sheet2!A:B,2,0)</f>
        <v>PRAKASH CHAVDA</v>
      </c>
      <c r="Z1084" s="17" t="s">
        <v>136</v>
      </c>
      <c r="AA1084" s="17" t="s">
        <v>498</v>
      </c>
      <c r="AB1084" s="17" t="s">
        <v>41</v>
      </c>
      <c r="AC1084" s="0" t="str">
        <f aca="false">LEFT(G1084,2)</f>
        <v>77</v>
      </c>
      <c r="AE1084" s="21" t="s">
        <v>238</v>
      </c>
    </row>
    <row r="1085" customFormat="false" ht="15" hidden="false" customHeight="false" outlineLevel="0" collapsed="false">
      <c r="A1085" s="13" t="n">
        <f aca="false">1+A1084</f>
        <v>1083</v>
      </c>
      <c r="B1085" s="14" t="n">
        <v>1009682198</v>
      </c>
      <c r="C1085" s="15" t="s">
        <v>413</v>
      </c>
      <c r="D1085" s="16" t="s">
        <v>64</v>
      </c>
      <c r="E1085" s="17" t="s">
        <v>64</v>
      </c>
      <c r="F1085" s="18" t="s">
        <v>70</v>
      </c>
      <c r="G1085" s="19" t="n">
        <v>774338059819</v>
      </c>
      <c r="H1085" s="17" t="s">
        <v>134</v>
      </c>
      <c r="I1085" s="17" t="s">
        <v>69</v>
      </c>
      <c r="J1085" s="17" t="s">
        <v>106</v>
      </c>
      <c r="K1085" s="17" t="str">
        <f aca="false">VLOOKUP(J1085,Sheet2!A:B,2,0)</f>
        <v>PRAKASH CHAVDA</v>
      </c>
      <c r="L1085" s="17" t="n">
        <v>5</v>
      </c>
      <c r="M1085" s="17" t="str">
        <f aca="false">VLOOKUP(L1085,Sheet2!D:E,2,0)</f>
        <v>Main Processor CPU BGA</v>
      </c>
      <c r="N1085" s="17" t="n">
        <v>1</v>
      </c>
      <c r="O1085" s="17" t="str">
        <f aca="false">VLOOKUP(N1085,Sheet2!G:H,2,0)</f>
        <v>Dead</v>
      </c>
      <c r="P1085" s="17" t="n">
        <v>12</v>
      </c>
      <c r="Q1085" s="17" t="str">
        <f aca="false">VLOOKUP(P1085,Sheet2!J:K,2,0)</f>
        <v>IR Declared due to Others ( IR Normal)TB</v>
      </c>
      <c r="R1085" s="17" t="s">
        <v>35</v>
      </c>
      <c r="S1085" s="17" t="str">
        <f aca="false">VLOOKUP(R1085,Sheet2!N:O,2,0)</f>
        <v>IREPARABLE</v>
      </c>
      <c r="T1085" s="18" t="str">
        <f aca="false">VLOOKUP(P1085,Sheet2!Q:R,2,0)</f>
        <v>IR Normal - BER to IR</v>
      </c>
      <c r="U1085" s="20" t="s">
        <v>135</v>
      </c>
      <c r="V1085" s="17" t="n">
        <v>12</v>
      </c>
      <c r="W1085" s="20" t="str">
        <f aca="false">VLOOKUP(V1085,Sheet2!Q:R,2,0)</f>
        <v>IR Normal - BER to IR</v>
      </c>
      <c r="X1085" s="17" t="str">
        <f aca="false">J1085</f>
        <v>A018</v>
      </c>
      <c r="Y1085" s="17" t="str">
        <f aca="false">VLOOKUP(X1085,Sheet2!A:B,2,0)</f>
        <v>PRAKASH CHAVDA</v>
      </c>
      <c r="Z1085" s="17" t="s">
        <v>136</v>
      </c>
      <c r="AA1085" s="17" t="s">
        <v>498</v>
      </c>
      <c r="AB1085" s="17" t="s">
        <v>41</v>
      </c>
      <c r="AC1085" s="0" t="str">
        <f aca="false">LEFT(G1085,2)</f>
        <v>77</v>
      </c>
      <c r="AE1085" s="21" t="s">
        <v>238</v>
      </c>
    </row>
    <row r="1086" customFormat="false" ht="15" hidden="false" customHeight="false" outlineLevel="0" collapsed="false">
      <c r="A1086" s="13" t="n">
        <f aca="false">1+A1085</f>
        <v>1084</v>
      </c>
      <c r="B1086" s="14" t="n">
        <v>1009682481</v>
      </c>
      <c r="C1086" s="15" t="s">
        <v>413</v>
      </c>
      <c r="D1086" s="16" t="s">
        <v>52</v>
      </c>
      <c r="E1086" s="17" t="s">
        <v>33</v>
      </c>
      <c r="F1086" s="18" t="s">
        <v>34</v>
      </c>
      <c r="G1086" s="19" t="n">
        <v>775181013423</v>
      </c>
      <c r="H1086" s="17" t="s">
        <v>134</v>
      </c>
      <c r="I1086" s="17" t="s">
        <v>69</v>
      </c>
      <c r="J1086" s="17" t="s">
        <v>106</v>
      </c>
      <c r="K1086" s="17" t="str">
        <f aca="false">VLOOKUP(J1086,Sheet2!A:B,2,0)</f>
        <v>PRAKASH CHAVDA</v>
      </c>
      <c r="L1086" s="17" t="n">
        <v>5</v>
      </c>
      <c r="M1086" s="17" t="str">
        <f aca="false">VLOOKUP(L1086,Sheet2!D:E,2,0)</f>
        <v>Main Processor CPU BGA</v>
      </c>
      <c r="N1086" s="17" t="n">
        <v>1</v>
      </c>
      <c r="O1086" s="17" t="str">
        <f aca="false">VLOOKUP(N1086,Sheet2!G:H,2,0)</f>
        <v>Dead</v>
      </c>
      <c r="P1086" s="17" t="n">
        <v>12</v>
      </c>
      <c r="Q1086" s="17" t="str">
        <f aca="false">VLOOKUP(P1086,Sheet2!J:K,2,0)</f>
        <v>IR Declared due to Others ( IR Normal)TB</v>
      </c>
      <c r="R1086" s="17" t="s">
        <v>35</v>
      </c>
      <c r="S1086" s="17" t="str">
        <f aca="false">VLOOKUP(R1086,Sheet2!N:O,2,0)</f>
        <v>IREPARABLE</v>
      </c>
      <c r="T1086" s="18" t="str">
        <f aca="false">VLOOKUP(P1086,Sheet2!Q:R,2,0)</f>
        <v>IR Normal - BER to IR</v>
      </c>
      <c r="U1086" s="20" t="s">
        <v>135</v>
      </c>
      <c r="V1086" s="17" t="n">
        <v>12</v>
      </c>
      <c r="W1086" s="20" t="str">
        <f aca="false">VLOOKUP(V1086,Sheet2!Q:R,2,0)</f>
        <v>IR Normal - BER to IR</v>
      </c>
      <c r="X1086" s="17" t="str">
        <f aca="false">J1086</f>
        <v>A018</v>
      </c>
      <c r="Y1086" s="17" t="str">
        <f aca="false">VLOOKUP(X1086,Sheet2!A:B,2,0)</f>
        <v>PRAKASH CHAVDA</v>
      </c>
      <c r="Z1086" s="17" t="s">
        <v>136</v>
      </c>
      <c r="AA1086" s="17" t="s">
        <v>498</v>
      </c>
      <c r="AB1086" s="17" t="s">
        <v>41</v>
      </c>
      <c r="AC1086" s="0" t="str">
        <f aca="false">LEFT(G1086,2)</f>
        <v>77</v>
      </c>
      <c r="AE1086" s="21" t="s">
        <v>238</v>
      </c>
    </row>
    <row r="1087" customFormat="false" ht="15" hidden="false" customHeight="false" outlineLevel="0" collapsed="false">
      <c r="A1087" s="13" t="n">
        <f aca="false">1+A1086</f>
        <v>1085</v>
      </c>
      <c r="B1087" s="14" t="n">
        <v>1009685705</v>
      </c>
      <c r="C1087" s="15" t="s">
        <v>449</v>
      </c>
      <c r="D1087" s="16" t="s">
        <v>304</v>
      </c>
      <c r="E1087" s="17" t="s">
        <v>33</v>
      </c>
      <c r="F1087" s="18" t="s">
        <v>34</v>
      </c>
      <c r="G1087" s="19" t="n">
        <v>775240042579</v>
      </c>
      <c r="H1087" s="17" t="s">
        <v>134</v>
      </c>
      <c r="I1087" s="17" t="s">
        <v>69</v>
      </c>
      <c r="J1087" s="17" t="s">
        <v>106</v>
      </c>
      <c r="K1087" s="17" t="str">
        <f aca="false">VLOOKUP(J1087,Sheet2!A:B,2,0)</f>
        <v>PRAKASH CHAVDA</v>
      </c>
      <c r="L1087" s="17" t="n">
        <v>5</v>
      </c>
      <c r="M1087" s="17" t="str">
        <f aca="false">VLOOKUP(L1087,Sheet2!D:E,2,0)</f>
        <v>Main Processor CPU BGA</v>
      </c>
      <c r="N1087" s="17" t="n">
        <v>1</v>
      </c>
      <c r="O1087" s="17" t="str">
        <f aca="false">VLOOKUP(N1087,Sheet2!G:H,2,0)</f>
        <v>Dead</v>
      </c>
      <c r="P1087" s="17" t="n">
        <v>12</v>
      </c>
      <c r="Q1087" s="17" t="str">
        <f aca="false">VLOOKUP(P1087,Sheet2!J:K,2,0)</f>
        <v>IR Declared due to Others ( IR Normal)TB</v>
      </c>
      <c r="R1087" s="17" t="s">
        <v>35</v>
      </c>
      <c r="S1087" s="17" t="str">
        <f aca="false">VLOOKUP(R1087,Sheet2!N:O,2,0)</f>
        <v>IREPARABLE</v>
      </c>
      <c r="T1087" s="18" t="str">
        <f aca="false">VLOOKUP(P1087,Sheet2!Q:R,2,0)</f>
        <v>IR Normal - BER to IR</v>
      </c>
      <c r="U1087" s="20" t="s">
        <v>135</v>
      </c>
      <c r="V1087" s="17" t="n">
        <v>12</v>
      </c>
      <c r="W1087" s="20" t="str">
        <f aca="false">VLOOKUP(V1087,Sheet2!Q:R,2,0)</f>
        <v>IR Normal - BER to IR</v>
      </c>
      <c r="X1087" s="17" t="str">
        <f aca="false">J1087</f>
        <v>A018</v>
      </c>
      <c r="Y1087" s="17" t="str">
        <f aca="false">VLOOKUP(X1087,Sheet2!A:B,2,0)</f>
        <v>PRAKASH CHAVDA</v>
      </c>
      <c r="Z1087" s="17" t="s">
        <v>136</v>
      </c>
      <c r="AA1087" s="17" t="s">
        <v>498</v>
      </c>
      <c r="AB1087" s="17" t="s">
        <v>41</v>
      </c>
      <c r="AC1087" s="0" t="str">
        <f aca="false">LEFT(G1087,2)</f>
        <v>77</v>
      </c>
      <c r="AE1087" s="21" t="s">
        <v>238</v>
      </c>
    </row>
    <row r="1088" customFormat="false" ht="15" hidden="false" customHeight="false" outlineLevel="0" collapsed="false">
      <c r="A1088" s="13" t="n">
        <f aca="false">1+A1087</f>
        <v>1086</v>
      </c>
      <c r="B1088" s="14" t="n">
        <v>1009682842</v>
      </c>
      <c r="C1088" s="15" t="s">
        <v>413</v>
      </c>
      <c r="D1088" s="16" t="s">
        <v>64</v>
      </c>
      <c r="E1088" s="17" t="s">
        <v>64</v>
      </c>
      <c r="F1088" s="18" t="s">
        <v>70</v>
      </c>
      <c r="G1088" s="19" t="n">
        <v>775238034950</v>
      </c>
      <c r="H1088" s="17" t="s">
        <v>134</v>
      </c>
      <c r="I1088" s="17" t="s">
        <v>69</v>
      </c>
      <c r="J1088" s="17" t="s">
        <v>106</v>
      </c>
      <c r="K1088" s="17" t="str">
        <f aca="false">VLOOKUP(J1088,Sheet2!A:B,2,0)</f>
        <v>PRAKASH CHAVDA</v>
      </c>
      <c r="L1088" s="17" t="n">
        <v>5</v>
      </c>
      <c r="M1088" s="17" t="str">
        <f aca="false">VLOOKUP(L1088,Sheet2!D:E,2,0)</f>
        <v>Main Processor CPU BGA</v>
      </c>
      <c r="N1088" s="17" t="n">
        <v>24</v>
      </c>
      <c r="O1088" s="17" t="str">
        <f aca="false">VLOOKUP(N1088,Sheet2!G:H,2,0)</f>
        <v>STB Auto moving -Stand by mode</v>
      </c>
      <c r="P1088" s="17" t="n">
        <v>12</v>
      </c>
      <c r="Q1088" s="17" t="str">
        <f aca="false">VLOOKUP(P1088,Sheet2!J:K,2,0)</f>
        <v>IR Declared due to Others ( IR Normal)TB</v>
      </c>
      <c r="R1088" s="17" t="s">
        <v>35</v>
      </c>
      <c r="S1088" s="17" t="str">
        <f aca="false">VLOOKUP(R1088,Sheet2!N:O,2,0)</f>
        <v>IREPARABLE</v>
      </c>
      <c r="T1088" s="18" t="str">
        <f aca="false">VLOOKUP(P1088,Sheet2!Q:R,2,0)</f>
        <v>IR Normal - BER to IR</v>
      </c>
      <c r="U1088" s="20" t="s">
        <v>135</v>
      </c>
      <c r="V1088" s="17" t="n">
        <v>12</v>
      </c>
      <c r="W1088" s="20" t="str">
        <f aca="false">VLOOKUP(V1088,Sheet2!Q:R,2,0)</f>
        <v>IR Normal - BER to IR</v>
      </c>
      <c r="X1088" s="17" t="str">
        <f aca="false">J1088</f>
        <v>A018</v>
      </c>
      <c r="Y1088" s="17" t="str">
        <f aca="false">VLOOKUP(X1088,Sheet2!A:B,2,0)</f>
        <v>PRAKASH CHAVDA</v>
      </c>
      <c r="Z1088" s="17" t="s">
        <v>136</v>
      </c>
      <c r="AA1088" s="17" t="s">
        <v>498</v>
      </c>
      <c r="AB1088" s="17" t="s">
        <v>41</v>
      </c>
      <c r="AC1088" s="0" t="str">
        <f aca="false">LEFT(G1088,2)</f>
        <v>77</v>
      </c>
      <c r="AE1088" s="21" t="s">
        <v>238</v>
      </c>
    </row>
    <row r="1089" customFormat="false" ht="15" hidden="false" customHeight="false" outlineLevel="0" collapsed="false">
      <c r="A1089" s="13" t="n">
        <f aca="false">1+A1088</f>
        <v>1087</v>
      </c>
      <c r="B1089" s="14" t="n">
        <v>1009680562</v>
      </c>
      <c r="C1089" s="15" t="s">
        <v>413</v>
      </c>
      <c r="D1089" s="16" t="s">
        <v>64</v>
      </c>
      <c r="E1089" s="17" t="s">
        <v>64</v>
      </c>
      <c r="F1089" s="18" t="s">
        <v>70</v>
      </c>
      <c r="G1089" s="19" t="n">
        <v>774352149009</v>
      </c>
      <c r="H1089" s="17" t="s">
        <v>134</v>
      </c>
      <c r="I1089" s="17" t="s">
        <v>69</v>
      </c>
      <c r="J1089" s="17" t="s">
        <v>106</v>
      </c>
      <c r="K1089" s="17" t="str">
        <f aca="false">VLOOKUP(J1089,Sheet2!A:B,2,0)</f>
        <v>PRAKASH CHAVDA</v>
      </c>
      <c r="L1089" s="17" t="n">
        <v>5</v>
      </c>
      <c r="M1089" s="17" t="str">
        <f aca="false">VLOOKUP(L1089,Sheet2!D:E,2,0)</f>
        <v>Main Processor CPU BGA</v>
      </c>
      <c r="N1089" s="17" t="n">
        <v>1</v>
      </c>
      <c r="O1089" s="17" t="str">
        <f aca="false">VLOOKUP(N1089,Sheet2!G:H,2,0)</f>
        <v>Dead</v>
      </c>
      <c r="P1089" s="17" t="n">
        <v>12</v>
      </c>
      <c r="Q1089" s="17" t="str">
        <f aca="false">VLOOKUP(P1089,Sheet2!J:K,2,0)</f>
        <v>IR Declared due to Others ( IR Normal)TB</v>
      </c>
      <c r="R1089" s="17" t="s">
        <v>35</v>
      </c>
      <c r="S1089" s="17" t="str">
        <f aca="false">VLOOKUP(R1089,Sheet2!N:O,2,0)</f>
        <v>IREPARABLE</v>
      </c>
      <c r="T1089" s="18" t="str">
        <f aca="false">VLOOKUP(P1089,Sheet2!Q:R,2,0)</f>
        <v>IR Normal - BER to IR</v>
      </c>
      <c r="U1089" s="20" t="s">
        <v>135</v>
      </c>
      <c r="V1089" s="17" t="n">
        <v>12</v>
      </c>
      <c r="W1089" s="20" t="str">
        <f aca="false">VLOOKUP(V1089,Sheet2!Q:R,2,0)</f>
        <v>IR Normal - BER to IR</v>
      </c>
      <c r="X1089" s="17" t="str">
        <f aca="false">J1089</f>
        <v>A018</v>
      </c>
      <c r="Y1089" s="17" t="str">
        <f aca="false">VLOOKUP(X1089,Sheet2!A:B,2,0)</f>
        <v>PRAKASH CHAVDA</v>
      </c>
      <c r="Z1089" s="17" t="s">
        <v>136</v>
      </c>
      <c r="AA1089" s="17" t="s">
        <v>498</v>
      </c>
      <c r="AB1089" s="17" t="s">
        <v>41</v>
      </c>
      <c r="AC1089" s="0" t="str">
        <f aca="false">LEFT(G1089,2)</f>
        <v>77</v>
      </c>
      <c r="AE1089" s="21" t="s">
        <v>238</v>
      </c>
    </row>
    <row r="1090" customFormat="false" ht="15" hidden="false" customHeight="false" outlineLevel="0" collapsed="false">
      <c r="A1090" s="13" t="n">
        <f aca="false">1+A1089</f>
        <v>1088</v>
      </c>
      <c r="B1090" s="14" t="n">
        <v>1009685904</v>
      </c>
      <c r="C1090" s="15" t="s">
        <v>449</v>
      </c>
      <c r="D1090" s="16" t="s">
        <v>175</v>
      </c>
      <c r="E1090" s="17" t="s">
        <v>176</v>
      </c>
      <c r="F1090" s="18" t="s">
        <v>34</v>
      </c>
      <c r="G1090" s="19" t="n">
        <v>775246081621</v>
      </c>
      <c r="H1090" s="17" t="s">
        <v>134</v>
      </c>
      <c r="I1090" s="17" t="s">
        <v>69</v>
      </c>
      <c r="J1090" s="17" t="s">
        <v>106</v>
      </c>
      <c r="K1090" s="17" t="str">
        <f aca="false">VLOOKUP(J1090,Sheet2!A:B,2,0)</f>
        <v>PRAKASH CHAVDA</v>
      </c>
      <c r="L1090" s="17" t="n">
        <v>5</v>
      </c>
      <c r="M1090" s="17" t="str">
        <f aca="false">VLOOKUP(L1090,Sheet2!D:E,2,0)</f>
        <v>Main Processor CPU BGA</v>
      </c>
      <c r="N1090" s="17" t="n">
        <v>1</v>
      </c>
      <c r="O1090" s="17" t="str">
        <f aca="false">VLOOKUP(N1090,Sheet2!G:H,2,0)</f>
        <v>Dead</v>
      </c>
      <c r="P1090" s="17" t="n">
        <v>12</v>
      </c>
      <c r="Q1090" s="17" t="str">
        <f aca="false">VLOOKUP(P1090,Sheet2!J:K,2,0)</f>
        <v>IR Declared due to Others ( IR Normal)TB</v>
      </c>
      <c r="R1090" s="17" t="s">
        <v>35</v>
      </c>
      <c r="S1090" s="17" t="str">
        <f aca="false">VLOOKUP(R1090,Sheet2!N:O,2,0)</f>
        <v>IREPARABLE</v>
      </c>
      <c r="T1090" s="18" t="str">
        <f aca="false">VLOOKUP(P1090,Sheet2!Q:R,2,0)</f>
        <v>IR Normal - BER to IR</v>
      </c>
      <c r="U1090" s="20" t="s">
        <v>135</v>
      </c>
      <c r="V1090" s="17" t="n">
        <v>12</v>
      </c>
      <c r="W1090" s="20" t="str">
        <f aca="false">VLOOKUP(V1090,Sheet2!Q:R,2,0)</f>
        <v>IR Normal - BER to IR</v>
      </c>
      <c r="X1090" s="17" t="str">
        <f aca="false">J1090</f>
        <v>A018</v>
      </c>
      <c r="Y1090" s="17" t="str">
        <f aca="false">VLOOKUP(X1090,Sheet2!A:B,2,0)</f>
        <v>PRAKASH CHAVDA</v>
      </c>
      <c r="Z1090" s="17" t="s">
        <v>136</v>
      </c>
      <c r="AA1090" s="17" t="s">
        <v>498</v>
      </c>
      <c r="AB1090" s="17" t="s">
        <v>41</v>
      </c>
      <c r="AC1090" s="0" t="str">
        <f aca="false">LEFT(G1090,2)</f>
        <v>77</v>
      </c>
      <c r="AE1090" s="21" t="s">
        <v>238</v>
      </c>
    </row>
    <row r="1091" customFormat="false" ht="15" hidden="false" customHeight="false" outlineLevel="0" collapsed="false">
      <c r="A1091" s="13" t="n">
        <f aca="false">1+A1090</f>
        <v>1089</v>
      </c>
      <c r="B1091" s="14" t="n">
        <v>1009685679</v>
      </c>
      <c r="C1091" s="15" t="s">
        <v>449</v>
      </c>
      <c r="D1091" s="16" t="s">
        <v>64</v>
      </c>
      <c r="E1091" s="17" t="s">
        <v>255</v>
      </c>
      <c r="F1091" s="18" t="s">
        <v>34</v>
      </c>
      <c r="G1091" s="19" t="n">
        <v>987252174584</v>
      </c>
      <c r="H1091" s="17" t="s">
        <v>134</v>
      </c>
      <c r="I1091" s="17" t="s">
        <v>44</v>
      </c>
      <c r="J1091" s="17" t="s">
        <v>106</v>
      </c>
      <c r="K1091" s="17" t="str">
        <f aca="false">VLOOKUP(J1091,Sheet2!A:B,2,0)</f>
        <v>PRAKASH CHAVDA</v>
      </c>
      <c r="L1091" s="17" t="n">
        <v>5</v>
      </c>
      <c r="M1091" s="17" t="str">
        <f aca="false">VLOOKUP(L1091,Sheet2!D:E,2,0)</f>
        <v>Main Processor CPU BGA</v>
      </c>
      <c r="N1091" s="17" t="n">
        <v>1</v>
      </c>
      <c r="O1091" s="17" t="str">
        <f aca="false">VLOOKUP(N1091,Sheet2!G:H,2,0)</f>
        <v>Dead</v>
      </c>
      <c r="P1091" s="17" t="n">
        <v>12</v>
      </c>
      <c r="Q1091" s="17" t="str">
        <f aca="false">VLOOKUP(P1091,Sheet2!J:K,2,0)</f>
        <v>IR Declared due to Others ( IR Normal)TB</v>
      </c>
      <c r="R1091" s="17" t="s">
        <v>35</v>
      </c>
      <c r="S1091" s="17" t="str">
        <f aca="false">VLOOKUP(R1091,Sheet2!N:O,2,0)</f>
        <v>IREPARABLE</v>
      </c>
      <c r="T1091" s="18" t="str">
        <f aca="false">VLOOKUP(P1091,Sheet2!Q:R,2,0)</f>
        <v>IR Normal - BER to IR</v>
      </c>
      <c r="U1091" s="20" t="s">
        <v>135</v>
      </c>
      <c r="V1091" s="17" t="n">
        <v>12</v>
      </c>
      <c r="W1091" s="20" t="str">
        <f aca="false">VLOOKUP(V1091,Sheet2!Q:R,2,0)</f>
        <v>IR Normal - BER to IR</v>
      </c>
      <c r="X1091" s="17" t="str">
        <f aca="false">J1091</f>
        <v>A018</v>
      </c>
      <c r="Y1091" s="17" t="str">
        <f aca="false">VLOOKUP(X1091,Sheet2!A:B,2,0)</f>
        <v>PRAKASH CHAVDA</v>
      </c>
      <c r="Z1091" s="17" t="s">
        <v>141</v>
      </c>
      <c r="AA1091" s="17" t="s">
        <v>498</v>
      </c>
      <c r="AB1091" s="17" t="s">
        <v>41</v>
      </c>
      <c r="AC1091" s="0" t="str">
        <f aca="false">LEFT(G1091,2)</f>
        <v>98</v>
      </c>
      <c r="AE1091" s="21" t="s">
        <v>238</v>
      </c>
    </row>
    <row r="1092" customFormat="false" ht="15" hidden="false" customHeight="false" outlineLevel="0" collapsed="false">
      <c r="A1092" s="13" t="n">
        <f aca="false">1+A1091</f>
        <v>1090</v>
      </c>
      <c r="B1092" s="14" t="n">
        <v>1009685673</v>
      </c>
      <c r="C1092" s="15" t="s">
        <v>449</v>
      </c>
      <c r="D1092" s="16" t="s">
        <v>209</v>
      </c>
      <c r="E1092" s="17" t="s">
        <v>91</v>
      </c>
      <c r="F1092" s="18" t="s">
        <v>92</v>
      </c>
      <c r="G1092" s="19" t="n">
        <v>987220332504</v>
      </c>
      <c r="H1092" s="17" t="s">
        <v>134</v>
      </c>
      <c r="I1092" s="17" t="s">
        <v>44</v>
      </c>
      <c r="J1092" s="17" t="s">
        <v>106</v>
      </c>
      <c r="K1092" s="17" t="str">
        <f aca="false">VLOOKUP(J1092,Sheet2!A:B,2,0)</f>
        <v>PRAKASH CHAVDA</v>
      </c>
      <c r="L1092" s="17" t="n">
        <v>5</v>
      </c>
      <c r="M1092" s="17" t="str">
        <f aca="false">VLOOKUP(L1092,Sheet2!D:E,2,0)</f>
        <v>Main Processor CPU BGA</v>
      </c>
      <c r="N1092" s="17" t="n">
        <v>1</v>
      </c>
      <c r="O1092" s="17" t="str">
        <f aca="false">VLOOKUP(N1092,Sheet2!G:H,2,0)</f>
        <v>Dead</v>
      </c>
      <c r="P1092" s="17" t="n">
        <v>12</v>
      </c>
      <c r="Q1092" s="17" t="str">
        <f aca="false">VLOOKUP(P1092,Sheet2!J:K,2,0)</f>
        <v>IR Declared due to Others ( IR Normal)TB</v>
      </c>
      <c r="R1092" s="17" t="s">
        <v>35</v>
      </c>
      <c r="S1092" s="17" t="str">
        <f aca="false">VLOOKUP(R1092,Sheet2!N:O,2,0)</f>
        <v>IREPARABLE</v>
      </c>
      <c r="T1092" s="18" t="str">
        <f aca="false">VLOOKUP(P1092,Sheet2!Q:R,2,0)</f>
        <v>IR Normal - BER to IR</v>
      </c>
      <c r="U1092" s="20" t="s">
        <v>135</v>
      </c>
      <c r="V1092" s="17" t="n">
        <v>12</v>
      </c>
      <c r="W1092" s="20" t="str">
        <f aca="false">VLOOKUP(V1092,Sheet2!Q:R,2,0)</f>
        <v>IR Normal - BER to IR</v>
      </c>
      <c r="X1092" s="17" t="str">
        <f aca="false">J1092</f>
        <v>A018</v>
      </c>
      <c r="Y1092" s="17" t="str">
        <f aca="false">VLOOKUP(X1092,Sheet2!A:B,2,0)</f>
        <v>PRAKASH CHAVDA</v>
      </c>
      <c r="Z1092" s="17" t="s">
        <v>141</v>
      </c>
      <c r="AA1092" s="17" t="s">
        <v>498</v>
      </c>
      <c r="AB1092" s="17" t="s">
        <v>41</v>
      </c>
      <c r="AC1092" s="0" t="str">
        <f aca="false">LEFT(G1092,2)</f>
        <v>98</v>
      </c>
      <c r="AE1092" s="21" t="s">
        <v>238</v>
      </c>
    </row>
    <row r="1093" customFormat="false" ht="15" hidden="false" customHeight="false" outlineLevel="0" collapsed="false">
      <c r="A1093" s="13" t="n">
        <f aca="false">1+A1092</f>
        <v>1091</v>
      </c>
      <c r="B1093" s="14" t="n">
        <v>1008375021</v>
      </c>
      <c r="C1093" s="15" t="s">
        <v>436</v>
      </c>
      <c r="D1093" s="16" t="s">
        <v>131</v>
      </c>
      <c r="E1093" s="17" t="s">
        <v>503</v>
      </c>
      <c r="F1093" s="18" t="s">
        <v>34</v>
      </c>
      <c r="G1093" s="19" t="n">
        <v>134063331349</v>
      </c>
      <c r="H1093" s="17" t="s">
        <v>134</v>
      </c>
      <c r="I1093" s="17" t="s">
        <v>44</v>
      </c>
      <c r="J1093" s="17" t="s">
        <v>106</v>
      </c>
      <c r="K1093" s="17" t="str">
        <f aca="false">VLOOKUP(J1093,Sheet2!A:B,2,0)</f>
        <v>PRAKASH CHAVDA</v>
      </c>
      <c r="L1093" s="17" t="n">
        <v>1</v>
      </c>
      <c r="M1093" s="17" t="str">
        <f aca="false">VLOOKUP(L1093,Sheet2!D:E,2,0)</f>
        <v>Power Supply Section</v>
      </c>
      <c r="N1093" s="17" t="n">
        <v>9</v>
      </c>
      <c r="O1093" s="17" t="str">
        <f aca="false">VLOOKUP(N1093,Sheet2!G:H,2,0)</f>
        <v>No Audio - AV</v>
      </c>
      <c r="P1093" s="17" t="n">
        <v>12</v>
      </c>
      <c r="Q1093" s="17" t="str">
        <f aca="false">VLOOKUP(P1093,Sheet2!J:K,2,0)</f>
        <v>IR Declared due to Others ( IR Normal)TB</v>
      </c>
      <c r="R1093" s="17" t="s">
        <v>35</v>
      </c>
      <c r="S1093" s="17" t="str">
        <f aca="false">VLOOKUP(R1093,Sheet2!N:O,2,0)</f>
        <v>IREPARABLE</v>
      </c>
      <c r="T1093" s="18" t="str">
        <f aca="false">VLOOKUP(P1093,Sheet2!Q:R,2,0)</f>
        <v>IR Normal - BER to IR</v>
      </c>
      <c r="U1093" s="20" t="s">
        <v>135</v>
      </c>
      <c r="V1093" s="17" t="n">
        <v>12</v>
      </c>
      <c r="W1093" s="20" t="str">
        <f aca="false">VLOOKUP(V1093,Sheet2!Q:R,2,0)</f>
        <v>IR Normal - BER to IR</v>
      </c>
      <c r="X1093" s="17" t="str">
        <f aca="false">J1093</f>
        <v>A018</v>
      </c>
      <c r="Y1093" s="17" t="str">
        <f aca="false">VLOOKUP(X1093,Sheet2!A:B,2,0)</f>
        <v>PRAKASH CHAVDA</v>
      </c>
      <c r="Z1093" s="17" t="s">
        <v>504</v>
      </c>
      <c r="AA1093" s="17" t="s">
        <v>498</v>
      </c>
      <c r="AB1093" s="17" t="s">
        <v>41</v>
      </c>
      <c r="AC1093" s="0" t="str">
        <f aca="false">LEFT(G1093,2)</f>
        <v>13</v>
      </c>
      <c r="AE1093" s="21" t="s">
        <v>238</v>
      </c>
    </row>
    <row r="1094" customFormat="false" ht="15" hidden="false" customHeight="false" outlineLevel="0" collapsed="false">
      <c r="A1094" s="13" t="n">
        <f aca="false">1+A1093</f>
        <v>1092</v>
      </c>
      <c r="B1094" s="14" t="n">
        <v>1009613961</v>
      </c>
      <c r="C1094" s="15" t="s">
        <v>184</v>
      </c>
      <c r="D1094" s="16" t="s">
        <v>138</v>
      </c>
      <c r="E1094" s="17" t="s">
        <v>91</v>
      </c>
      <c r="F1094" s="18" t="s">
        <v>92</v>
      </c>
      <c r="G1094" s="19" t="n">
        <v>134283287271</v>
      </c>
      <c r="H1094" s="17" t="s">
        <v>366</v>
      </c>
      <c r="I1094" s="17" t="s">
        <v>44</v>
      </c>
      <c r="J1094" s="17" t="s">
        <v>106</v>
      </c>
      <c r="K1094" s="17" t="str">
        <f aca="false">VLOOKUP(J1094,Sheet2!A:B,2,0)</f>
        <v>PRAKASH CHAVDA</v>
      </c>
      <c r="L1094" s="17" t="n">
        <v>5</v>
      </c>
      <c r="M1094" s="17" t="str">
        <f aca="false">VLOOKUP(L1094,Sheet2!D:E,2,0)</f>
        <v>Main Processor CPU BGA</v>
      </c>
      <c r="N1094" s="17" t="n">
        <v>1</v>
      </c>
      <c r="O1094" s="17" t="str">
        <f aca="false">VLOOKUP(N1094,Sheet2!G:H,2,0)</f>
        <v>Dead</v>
      </c>
      <c r="P1094" s="17" t="n">
        <v>12</v>
      </c>
      <c r="Q1094" s="17" t="str">
        <f aca="false">VLOOKUP(P1094,Sheet2!J:K,2,0)</f>
        <v>IR Declared due to Others ( IR Normal)TB</v>
      </c>
      <c r="R1094" s="17" t="s">
        <v>35</v>
      </c>
      <c r="S1094" s="17" t="str">
        <f aca="false">VLOOKUP(R1094,Sheet2!N:O,2,0)</f>
        <v>IREPARABLE</v>
      </c>
      <c r="T1094" s="18" t="str">
        <f aca="false">VLOOKUP(P1094,Sheet2!Q:R,2,0)</f>
        <v>IR Normal - BER to IR</v>
      </c>
      <c r="U1094" s="20" t="s">
        <v>135</v>
      </c>
      <c r="V1094" s="17" t="n">
        <v>12</v>
      </c>
      <c r="W1094" s="20" t="str">
        <f aca="false">VLOOKUP(V1094,Sheet2!Q:R,2,0)</f>
        <v>IR Normal - BER to IR</v>
      </c>
      <c r="X1094" s="17" t="str">
        <f aca="false">J1094</f>
        <v>A018</v>
      </c>
      <c r="Y1094" s="17" t="str">
        <f aca="false">VLOOKUP(X1094,Sheet2!A:B,2,0)</f>
        <v>PRAKASH CHAVDA</v>
      </c>
      <c r="Z1094" s="17" t="s">
        <v>136</v>
      </c>
      <c r="AA1094" s="17" t="s">
        <v>498</v>
      </c>
      <c r="AB1094" s="17" t="s">
        <v>41</v>
      </c>
      <c r="AC1094" s="0" t="str">
        <f aca="false">LEFT(G1094,2)</f>
        <v>13</v>
      </c>
      <c r="AE1094" s="21" t="s">
        <v>238</v>
      </c>
    </row>
    <row r="1095" customFormat="false" ht="15" hidden="false" customHeight="false" outlineLevel="0" collapsed="false">
      <c r="A1095" s="13" t="n">
        <f aca="false">1+A1094</f>
        <v>1093</v>
      </c>
      <c r="B1095" s="14" t="n">
        <v>1009685481</v>
      </c>
      <c r="C1095" s="15" t="s">
        <v>449</v>
      </c>
      <c r="D1095" s="16" t="s">
        <v>64</v>
      </c>
      <c r="E1095" s="17" t="s">
        <v>64</v>
      </c>
      <c r="F1095" s="18" t="s">
        <v>70</v>
      </c>
      <c r="G1095" s="19" t="n">
        <v>134268197503</v>
      </c>
      <c r="H1095" s="17" t="s">
        <v>134</v>
      </c>
      <c r="I1095" s="17" t="s">
        <v>44</v>
      </c>
      <c r="J1095" s="17" t="s">
        <v>106</v>
      </c>
      <c r="K1095" s="17" t="str">
        <f aca="false">VLOOKUP(J1095,Sheet2!A:B,2,0)</f>
        <v>PRAKASH CHAVDA</v>
      </c>
      <c r="L1095" s="17" t="n">
        <v>5</v>
      </c>
      <c r="M1095" s="17" t="str">
        <f aca="false">VLOOKUP(L1095,Sheet2!D:E,2,0)</f>
        <v>Main Processor CPU BGA</v>
      </c>
      <c r="N1095" s="17" t="n">
        <v>1</v>
      </c>
      <c r="O1095" s="17" t="str">
        <f aca="false">VLOOKUP(N1095,Sheet2!G:H,2,0)</f>
        <v>Dead</v>
      </c>
      <c r="P1095" s="17" t="n">
        <v>12</v>
      </c>
      <c r="Q1095" s="17" t="str">
        <f aca="false">VLOOKUP(P1095,Sheet2!J:K,2,0)</f>
        <v>IR Declared due to Others ( IR Normal)TB</v>
      </c>
      <c r="R1095" s="17" t="s">
        <v>35</v>
      </c>
      <c r="S1095" s="17" t="str">
        <f aca="false">VLOOKUP(R1095,Sheet2!N:O,2,0)</f>
        <v>IREPARABLE</v>
      </c>
      <c r="T1095" s="18" t="str">
        <f aca="false">VLOOKUP(P1095,Sheet2!Q:R,2,0)</f>
        <v>IR Normal - BER to IR</v>
      </c>
      <c r="U1095" s="20" t="s">
        <v>135</v>
      </c>
      <c r="V1095" s="17" t="n">
        <v>12</v>
      </c>
      <c r="W1095" s="20" t="str">
        <f aca="false">VLOOKUP(V1095,Sheet2!Q:R,2,0)</f>
        <v>IR Normal - BER to IR</v>
      </c>
      <c r="X1095" s="17" t="str">
        <f aca="false">J1095</f>
        <v>A018</v>
      </c>
      <c r="Y1095" s="17" t="str">
        <f aca="false">VLOOKUP(X1095,Sheet2!A:B,2,0)</f>
        <v>PRAKASH CHAVDA</v>
      </c>
      <c r="Z1095" s="17" t="s">
        <v>136</v>
      </c>
      <c r="AA1095" s="17" t="s">
        <v>498</v>
      </c>
      <c r="AB1095" s="17" t="s">
        <v>41</v>
      </c>
      <c r="AC1095" s="0" t="str">
        <f aca="false">LEFT(G1095,2)</f>
        <v>13</v>
      </c>
      <c r="AE1095" s="21" t="s">
        <v>238</v>
      </c>
    </row>
    <row r="1096" customFormat="false" ht="15" hidden="false" customHeight="false" outlineLevel="0" collapsed="false">
      <c r="A1096" s="13" t="n">
        <f aca="false">1+A1095</f>
        <v>1094</v>
      </c>
      <c r="B1096" s="14" t="n">
        <v>1009674153</v>
      </c>
      <c r="C1096" s="15" t="s">
        <v>436</v>
      </c>
      <c r="D1096" s="16" t="s">
        <v>144</v>
      </c>
      <c r="E1096" s="17" t="s">
        <v>47</v>
      </c>
      <c r="F1096" s="18" t="s">
        <v>34</v>
      </c>
      <c r="G1096" s="19" t="n">
        <v>413255420536</v>
      </c>
      <c r="H1096" s="17" t="s">
        <v>134</v>
      </c>
      <c r="I1096" s="17" t="s">
        <v>44</v>
      </c>
      <c r="J1096" s="17" t="s">
        <v>106</v>
      </c>
      <c r="K1096" s="17" t="str">
        <f aca="false">VLOOKUP(J1096,Sheet2!A:B,2,0)</f>
        <v>PRAKASH CHAVDA</v>
      </c>
      <c r="L1096" s="17" t="n">
        <v>5</v>
      </c>
      <c r="M1096" s="17" t="str">
        <f aca="false">VLOOKUP(L1096,Sheet2!D:E,2,0)</f>
        <v>Main Processor CPU BGA</v>
      </c>
      <c r="N1096" s="17" t="n">
        <v>1</v>
      </c>
      <c r="O1096" s="17" t="str">
        <f aca="false">VLOOKUP(N1096,Sheet2!G:H,2,0)</f>
        <v>Dead</v>
      </c>
      <c r="P1096" s="17" t="n">
        <v>12</v>
      </c>
      <c r="Q1096" s="17" t="str">
        <f aca="false">VLOOKUP(P1096,Sheet2!J:K,2,0)</f>
        <v>IR Declared due to Others ( IR Normal)TB</v>
      </c>
      <c r="R1096" s="17" t="s">
        <v>35</v>
      </c>
      <c r="S1096" s="17" t="str">
        <f aca="false">VLOOKUP(R1096,Sheet2!N:O,2,0)</f>
        <v>IREPARABLE</v>
      </c>
      <c r="T1096" s="18" t="str">
        <f aca="false">VLOOKUP(P1096,Sheet2!Q:R,2,0)</f>
        <v>IR Normal - BER to IR</v>
      </c>
      <c r="U1096" s="20" t="s">
        <v>135</v>
      </c>
      <c r="V1096" s="17" t="n">
        <v>12</v>
      </c>
      <c r="W1096" s="20" t="str">
        <f aca="false">VLOOKUP(V1096,Sheet2!Q:R,2,0)</f>
        <v>IR Normal - BER to IR</v>
      </c>
      <c r="X1096" s="17" t="str">
        <f aca="false">J1096</f>
        <v>A018</v>
      </c>
      <c r="Y1096" s="17" t="str">
        <f aca="false">VLOOKUP(X1096,Sheet2!A:B,2,0)</f>
        <v>PRAKASH CHAVDA</v>
      </c>
      <c r="Z1096" s="17" t="s">
        <v>149</v>
      </c>
      <c r="AA1096" s="17" t="s">
        <v>498</v>
      </c>
      <c r="AB1096" s="17" t="s">
        <v>41</v>
      </c>
      <c r="AC1096" s="0" t="str">
        <f aca="false">LEFT(G1096,2)</f>
        <v>41</v>
      </c>
      <c r="AE1096" s="21" t="s">
        <v>238</v>
      </c>
    </row>
    <row r="1097" customFormat="false" ht="15" hidden="false" customHeight="false" outlineLevel="0" collapsed="false">
      <c r="A1097" s="13" t="n">
        <f aca="false">1+A1096</f>
        <v>1095</v>
      </c>
      <c r="B1097" s="14" t="n">
        <v>1009688786</v>
      </c>
      <c r="C1097" s="15" t="s">
        <v>449</v>
      </c>
      <c r="D1097" s="16" t="s">
        <v>60</v>
      </c>
      <c r="E1097" s="17" t="s">
        <v>114</v>
      </c>
      <c r="F1097" s="18" t="s">
        <v>34</v>
      </c>
      <c r="G1097" s="19" t="n">
        <v>651027000926</v>
      </c>
      <c r="H1097" s="17" t="s">
        <v>134</v>
      </c>
      <c r="I1097" s="17" t="s">
        <v>50</v>
      </c>
      <c r="J1097" s="17" t="s">
        <v>106</v>
      </c>
      <c r="K1097" s="17" t="str">
        <f aca="false">VLOOKUP(J1097,Sheet2!A:B,2,0)</f>
        <v>PRAKASH CHAVDA</v>
      </c>
      <c r="L1097" s="17" t="n">
        <v>5</v>
      </c>
      <c r="M1097" s="17" t="str">
        <f aca="false">VLOOKUP(L1097,Sheet2!D:E,2,0)</f>
        <v>Main Processor CPU BGA</v>
      </c>
      <c r="N1097" s="17" t="n">
        <v>33</v>
      </c>
      <c r="O1097" s="17" t="str">
        <f aca="false">VLOOKUP(N1097,Sheet2!G:H,2,0)</f>
        <v>Software download failure</v>
      </c>
      <c r="P1097" s="17" t="n">
        <v>12</v>
      </c>
      <c r="Q1097" s="17" t="str">
        <f aca="false">VLOOKUP(P1097,Sheet2!J:K,2,0)</f>
        <v>IR Declared due to Others ( IR Normal)TB</v>
      </c>
      <c r="R1097" s="17" t="s">
        <v>35</v>
      </c>
      <c r="S1097" s="17" t="str">
        <f aca="false">VLOOKUP(R1097,Sheet2!N:O,2,0)</f>
        <v>IREPARABLE</v>
      </c>
      <c r="T1097" s="18" t="str">
        <f aca="false">VLOOKUP(P1097,Sheet2!Q:R,2,0)</f>
        <v>IR Normal - BER to IR</v>
      </c>
      <c r="U1097" s="20" t="s">
        <v>135</v>
      </c>
      <c r="V1097" s="17" t="n">
        <v>12</v>
      </c>
      <c r="W1097" s="20" t="str">
        <f aca="false">VLOOKUP(V1097,Sheet2!Q:R,2,0)</f>
        <v>IR Normal - BER to IR</v>
      </c>
      <c r="X1097" s="17" t="str">
        <f aca="false">J1097</f>
        <v>A018</v>
      </c>
      <c r="Y1097" s="17" t="str">
        <f aca="false">VLOOKUP(X1097,Sheet2!A:B,2,0)</f>
        <v>PRAKASH CHAVDA</v>
      </c>
      <c r="Z1097" s="17" t="s">
        <v>149</v>
      </c>
      <c r="AA1097" s="17" t="s">
        <v>498</v>
      </c>
      <c r="AB1097" s="17" t="s">
        <v>41</v>
      </c>
      <c r="AC1097" s="0" t="str">
        <f aca="false">LEFT(G1097,2)</f>
        <v>65</v>
      </c>
      <c r="AE1097" s="21" t="s">
        <v>238</v>
      </c>
    </row>
    <row r="1098" customFormat="false" ht="15" hidden="false" customHeight="false" outlineLevel="0" collapsed="false">
      <c r="A1098" s="13" t="n">
        <f aca="false">1+A1097</f>
        <v>1096</v>
      </c>
      <c r="B1098" s="14" t="n">
        <v>1009687263</v>
      </c>
      <c r="C1098" s="15" t="s">
        <v>449</v>
      </c>
      <c r="D1098" s="16" t="s">
        <v>304</v>
      </c>
      <c r="E1098" s="17" t="s">
        <v>114</v>
      </c>
      <c r="F1098" s="18" t="s">
        <v>34</v>
      </c>
      <c r="G1098" s="19" t="n">
        <v>651049015894</v>
      </c>
      <c r="H1098" s="17" t="s">
        <v>134</v>
      </c>
      <c r="I1098" s="17" t="s">
        <v>50</v>
      </c>
      <c r="J1098" s="17" t="s">
        <v>106</v>
      </c>
      <c r="K1098" s="17" t="str">
        <f aca="false">VLOOKUP(J1098,Sheet2!A:B,2,0)</f>
        <v>PRAKASH CHAVDA</v>
      </c>
      <c r="L1098" s="17" t="n">
        <v>13</v>
      </c>
      <c r="M1098" s="17" t="str">
        <f aca="false">VLOOKUP(L1098,Sheet2!D:E,2,0)</f>
        <v>Software</v>
      </c>
      <c r="N1098" s="17" t="n">
        <v>1</v>
      </c>
      <c r="O1098" s="17" t="str">
        <f aca="false">VLOOKUP(N1098,Sheet2!G:H,2,0)</f>
        <v>Dead</v>
      </c>
      <c r="P1098" s="17" t="n">
        <v>12</v>
      </c>
      <c r="Q1098" s="17" t="str">
        <f aca="false">VLOOKUP(P1098,Sheet2!J:K,2,0)</f>
        <v>IR Declared due to Others ( IR Normal)TB</v>
      </c>
      <c r="R1098" s="17" t="s">
        <v>35</v>
      </c>
      <c r="S1098" s="17" t="str">
        <f aca="false">VLOOKUP(R1098,Sheet2!N:O,2,0)</f>
        <v>IREPARABLE</v>
      </c>
      <c r="T1098" s="18" t="str">
        <f aca="false">VLOOKUP(P1098,Sheet2!Q:R,2,0)</f>
        <v>IR Normal - BER to IR</v>
      </c>
      <c r="U1098" s="20" t="s">
        <v>135</v>
      </c>
      <c r="V1098" s="17" t="n">
        <v>12</v>
      </c>
      <c r="W1098" s="20" t="str">
        <f aca="false">VLOOKUP(V1098,Sheet2!Q:R,2,0)</f>
        <v>IR Normal - BER to IR</v>
      </c>
      <c r="X1098" s="17" t="str">
        <f aca="false">J1098</f>
        <v>A018</v>
      </c>
      <c r="Y1098" s="17" t="str">
        <f aca="false">VLOOKUP(X1098,Sheet2!A:B,2,0)</f>
        <v>PRAKASH CHAVDA</v>
      </c>
      <c r="Z1098" s="17" t="s">
        <v>149</v>
      </c>
      <c r="AA1098" s="17" t="s">
        <v>498</v>
      </c>
      <c r="AB1098" s="17" t="s">
        <v>41</v>
      </c>
      <c r="AC1098" s="0" t="str">
        <f aca="false">LEFT(G1098,2)</f>
        <v>65</v>
      </c>
      <c r="AE1098" s="21" t="s">
        <v>238</v>
      </c>
    </row>
    <row r="1099" customFormat="false" ht="15" hidden="false" customHeight="false" outlineLevel="0" collapsed="false">
      <c r="A1099" s="13" t="n">
        <f aca="false">1+A1098</f>
        <v>1097</v>
      </c>
      <c r="B1099" s="14" t="n">
        <v>1009683353</v>
      </c>
      <c r="C1099" s="15" t="s">
        <v>413</v>
      </c>
      <c r="D1099" s="16" t="s">
        <v>64</v>
      </c>
      <c r="E1099" s="17" t="s">
        <v>64</v>
      </c>
      <c r="F1099" s="18" t="s">
        <v>70</v>
      </c>
      <c r="G1099" s="19" t="n">
        <v>651130006018</v>
      </c>
      <c r="H1099" s="17" t="s">
        <v>134</v>
      </c>
      <c r="I1099" s="17" t="s">
        <v>50</v>
      </c>
      <c r="J1099" s="17" t="s">
        <v>106</v>
      </c>
      <c r="K1099" s="17" t="str">
        <f aca="false">VLOOKUP(J1099,Sheet2!A:B,2,0)</f>
        <v>PRAKASH CHAVDA</v>
      </c>
      <c r="L1099" s="17" t="n">
        <v>5</v>
      </c>
      <c r="M1099" s="17" t="str">
        <f aca="false">VLOOKUP(L1099,Sheet2!D:E,2,0)</f>
        <v>Main Processor CPU BGA</v>
      </c>
      <c r="N1099" s="17" t="n">
        <v>1</v>
      </c>
      <c r="O1099" s="17" t="str">
        <f aca="false">VLOOKUP(N1099,Sheet2!G:H,2,0)</f>
        <v>Dead</v>
      </c>
      <c r="P1099" s="17" t="n">
        <v>12</v>
      </c>
      <c r="Q1099" s="17" t="str">
        <f aca="false">VLOOKUP(P1099,Sheet2!J:K,2,0)</f>
        <v>IR Declared due to Others ( IR Normal)TB</v>
      </c>
      <c r="R1099" s="17" t="s">
        <v>35</v>
      </c>
      <c r="S1099" s="17" t="str">
        <f aca="false">VLOOKUP(R1099,Sheet2!N:O,2,0)</f>
        <v>IREPARABLE</v>
      </c>
      <c r="T1099" s="18" t="str">
        <f aca="false">VLOOKUP(P1099,Sheet2!Q:R,2,0)</f>
        <v>IR Normal - BER to IR</v>
      </c>
      <c r="U1099" s="20" t="s">
        <v>135</v>
      </c>
      <c r="V1099" s="17" t="n">
        <v>12</v>
      </c>
      <c r="W1099" s="20" t="str">
        <f aca="false">VLOOKUP(V1099,Sheet2!Q:R,2,0)</f>
        <v>IR Normal - BER to IR</v>
      </c>
      <c r="X1099" s="17" t="str">
        <f aca="false">J1099</f>
        <v>A018</v>
      </c>
      <c r="Y1099" s="17" t="str">
        <f aca="false">VLOOKUP(X1099,Sheet2!A:B,2,0)</f>
        <v>PRAKASH CHAVDA</v>
      </c>
      <c r="Z1099" s="17" t="s">
        <v>149</v>
      </c>
      <c r="AA1099" s="17" t="s">
        <v>498</v>
      </c>
      <c r="AB1099" s="17" t="s">
        <v>41</v>
      </c>
      <c r="AC1099" s="0" t="str">
        <f aca="false">LEFT(G1099,2)</f>
        <v>65</v>
      </c>
      <c r="AE1099" s="21" t="s">
        <v>238</v>
      </c>
    </row>
    <row r="1100" customFormat="false" ht="15" hidden="false" customHeight="false" outlineLevel="0" collapsed="false">
      <c r="A1100" s="13" t="n">
        <f aca="false">1+A1099</f>
        <v>1098</v>
      </c>
      <c r="B1100" s="14" t="n">
        <v>1009555627</v>
      </c>
      <c r="C1100" s="15" t="s">
        <v>444</v>
      </c>
      <c r="D1100" s="16" t="s">
        <v>64</v>
      </c>
      <c r="E1100" s="17" t="s">
        <v>200</v>
      </c>
      <c r="F1100" s="18" t="s">
        <v>34</v>
      </c>
      <c r="G1100" s="19" t="n">
        <v>853224778110</v>
      </c>
      <c r="H1100" s="17" t="s">
        <v>35</v>
      </c>
      <c r="I1100" s="17" t="s">
        <v>36</v>
      </c>
      <c r="J1100" s="17" t="s">
        <v>121</v>
      </c>
      <c r="K1100" s="17" t="str">
        <f aca="false">VLOOKUP(J1100,Sheet2!A:B,2,0)</f>
        <v>SHANI GOHIL</v>
      </c>
      <c r="L1100" s="17" t="n">
        <v>1</v>
      </c>
      <c r="M1100" s="17" t="str">
        <f aca="false">VLOOKUP(L1100,Sheet2!D:E,2,0)</f>
        <v>Power Supply Section</v>
      </c>
      <c r="N1100" s="17" t="n">
        <v>1</v>
      </c>
      <c r="O1100" s="17" t="str">
        <f aca="false">VLOOKUP(N1100,Sheet2!G:H,2,0)</f>
        <v>Dead</v>
      </c>
      <c r="P1100" s="17" t="n">
        <v>11</v>
      </c>
      <c r="Q1100" s="17" t="str">
        <f aca="false">VLOOKUP(P1100,Sheet2!J:K,2,0)</f>
        <v>IR Declared due to CID -TA</v>
      </c>
      <c r="R1100" s="17" t="s">
        <v>35</v>
      </c>
      <c r="S1100" s="17" t="str">
        <f aca="false">VLOOKUP(R1100,Sheet2!N:O,2,0)</f>
        <v>IREPARABLE</v>
      </c>
      <c r="T1100" s="18" t="str">
        <f aca="false">VLOOKUP(P1100,Sheet2!Q:R,2,0)</f>
        <v>IR Normal - Track burn out</v>
      </c>
      <c r="U1100" s="18" t="s">
        <v>38</v>
      </c>
      <c r="V1100" s="17" t="n">
        <v>4</v>
      </c>
      <c r="W1100" s="20" t="str">
        <f aca="false">VLOOKUP(V1100,Sheet2!Q:R,2,0)</f>
        <v>IR CID - Tampered Track burn out</v>
      </c>
      <c r="X1100" s="17" t="str">
        <f aca="false">J1100</f>
        <v>A063</v>
      </c>
      <c r="Y1100" s="17" t="str">
        <f aca="false">VLOOKUP(X1100,Sheet2!A:B,2,0)</f>
        <v>SHANI GOHIL</v>
      </c>
      <c r="Z1100" s="17" t="s">
        <v>505</v>
      </c>
      <c r="AA1100" s="17" t="s">
        <v>498</v>
      </c>
      <c r="AB1100" s="17" t="s">
        <v>41</v>
      </c>
      <c r="AC1100" s="0" t="str">
        <f aca="false">LEFT(G1100,2)</f>
        <v>85</v>
      </c>
      <c r="AE1100" s="21" t="s">
        <v>506</v>
      </c>
    </row>
    <row r="1101" customFormat="false" ht="15" hidden="false" customHeight="false" outlineLevel="0" collapsed="false">
      <c r="A1101" s="13" t="n">
        <f aca="false">1+A1100</f>
        <v>1099</v>
      </c>
      <c r="B1101" s="14" t="n">
        <v>1009617421</v>
      </c>
      <c r="C1101" s="15" t="s">
        <v>184</v>
      </c>
      <c r="D1101" s="16" t="s">
        <v>64</v>
      </c>
      <c r="E1101" s="17" t="s">
        <v>47</v>
      </c>
      <c r="F1101" s="18" t="s">
        <v>34</v>
      </c>
      <c r="G1101" s="19" t="n">
        <v>853263714935</v>
      </c>
      <c r="H1101" s="17" t="s">
        <v>35</v>
      </c>
      <c r="I1101" s="17" t="s">
        <v>36</v>
      </c>
      <c r="J1101" s="17" t="s">
        <v>239</v>
      </c>
      <c r="K1101" s="17" t="str">
        <f aca="false">VLOOKUP(J1101,Sheet2!A:B,2,0)</f>
        <v>VASANT PARMAR</v>
      </c>
      <c r="L1101" s="17" t="n">
        <v>5</v>
      </c>
      <c r="M1101" s="17" t="str">
        <f aca="false">VLOOKUP(L1101,Sheet2!D:E,2,0)</f>
        <v>Main Processor CPU BGA</v>
      </c>
      <c r="N1101" s="17" t="n">
        <v>1</v>
      </c>
      <c r="O1101" s="17" t="str">
        <f aca="false">VLOOKUP(N1101,Sheet2!G:H,2,0)</f>
        <v>Dead</v>
      </c>
      <c r="P1101" s="17" t="n">
        <v>11</v>
      </c>
      <c r="Q1101" s="17" t="str">
        <f aca="false">VLOOKUP(P1101,Sheet2!J:K,2,0)</f>
        <v>IR Declared due to CID -TA</v>
      </c>
      <c r="R1101" s="17" t="s">
        <v>35</v>
      </c>
      <c r="S1101" s="17" t="str">
        <f aca="false">VLOOKUP(R1101,Sheet2!N:O,2,0)</f>
        <v>IREPARABLE</v>
      </c>
      <c r="T1101" s="18" t="str">
        <f aca="false">VLOOKUP(P1101,Sheet2!Q:R,2,0)</f>
        <v>IR Normal - Track burn out</v>
      </c>
      <c r="U1101" s="18" t="s">
        <v>122</v>
      </c>
      <c r="V1101" s="17" t="n">
        <v>2</v>
      </c>
      <c r="W1101" s="20" t="str">
        <f aca="false">VLOOKUP(V1101,Sheet2!Q:R,2,0)</f>
        <v>IR CID -  Water log from other area</v>
      </c>
      <c r="X1101" s="17" t="str">
        <f aca="false">J1101</f>
        <v>A005</v>
      </c>
      <c r="Y1101" s="17" t="str">
        <f aca="false">VLOOKUP(X1101,Sheet2!A:B,2,0)</f>
        <v>VASANT PARMAR</v>
      </c>
      <c r="Z1101" s="17" t="s">
        <v>507</v>
      </c>
      <c r="AA1101" s="17" t="s">
        <v>498</v>
      </c>
      <c r="AB1101" s="17" t="s">
        <v>41</v>
      </c>
      <c r="AC1101" s="0" t="str">
        <f aca="false">LEFT(G1101,2)</f>
        <v>85</v>
      </c>
      <c r="AE1101" s="21" t="s">
        <v>506</v>
      </c>
    </row>
    <row r="1102" customFormat="false" ht="15" hidden="false" customHeight="false" outlineLevel="0" collapsed="false">
      <c r="A1102" s="13" t="n">
        <f aca="false">1+A1101</f>
        <v>1100</v>
      </c>
      <c r="B1102" s="14" t="n">
        <v>1009640617</v>
      </c>
      <c r="C1102" s="17" t="s">
        <v>429</v>
      </c>
      <c r="D1102" s="16" t="s">
        <v>137</v>
      </c>
      <c r="E1102" s="17" t="s">
        <v>47</v>
      </c>
      <c r="F1102" s="18" t="s">
        <v>34</v>
      </c>
      <c r="G1102" s="19" t="n">
        <v>853295746939</v>
      </c>
      <c r="H1102" s="17" t="s">
        <v>35</v>
      </c>
      <c r="I1102" s="17" t="s">
        <v>36</v>
      </c>
      <c r="J1102" s="17" t="s">
        <v>100</v>
      </c>
      <c r="K1102" s="17" t="str">
        <f aca="false">VLOOKUP(J1102,Sheet2!A:B,2,0)</f>
        <v>PIYUSH CHAVDA</v>
      </c>
      <c r="L1102" s="17" t="n">
        <v>1</v>
      </c>
      <c r="M1102" s="17" t="str">
        <f aca="false">VLOOKUP(L1102,Sheet2!D:E,2,0)</f>
        <v>Power Supply Section</v>
      </c>
      <c r="N1102" s="17" t="n">
        <v>1</v>
      </c>
      <c r="O1102" s="17" t="str">
        <f aca="false">VLOOKUP(N1102,Sheet2!G:H,2,0)</f>
        <v>Dead</v>
      </c>
      <c r="P1102" s="17" t="n">
        <v>11</v>
      </c>
      <c r="Q1102" s="17" t="str">
        <f aca="false">VLOOKUP(P1102,Sheet2!J:K,2,0)</f>
        <v>IR Declared due to CID -TA</v>
      </c>
      <c r="R1102" s="17" t="s">
        <v>35</v>
      </c>
      <c r="S1102" s="17" t="str">
        <f aca="false">VLOOKUP(R1102,Sheet2!N:O,2,0)</f>
        <v>IREPARABLE</v>
      </c>
      <c r="T1102" s="18" t="str">
        <f aca="false">VLOOKUP(P1102,Sheet2!Q:R,2,0)</f>
        <v>IR Normal - Track burn out</v>
      </c>
      <c r="U1102" s="18" t="s">
        <v>122</v>
      </c>
      <c r="V1102" s="17" t="n">
        <v>2</v>
      </c>
      <c r="W1102" s="20" t="str">
        <f aca="false">VLOOKUP(V1102,Sheet2!Q:R,2,0)</f>
        <v>IR CID -  Water log from other area</v>
      </c>
      <c r="X1102" s="17" t="str">
        <f aca="false">J1102</f>
        <v>A050</v>
      </c>
      <c r="Y1102" s="17" t="str">
        <f aca="false">VLOOKUP(X1102,Sheet2!A:B,2,0)</f>
        <v>PIYUSH CHAVDA</v>
      </c>
      <c r="Z1102" s="17" t="s">
        <v>508</v>
      </c>
      <c r="AA1102" s="17" t="s">
        <v>498</v>
      </c>
      <c r="AB1102" s="17" t="s">
        <v>41</v>
      </c>
      <c r="AC1102" s="0" t="str">
        <f aca="false">LEFT(G1102,2)</f>
        <v>85</v>
      </c>
      <c r="AE1102" s="21" t="s">
        <v>506</v>
      </c>
    </row>
    <row r="1103" customFormat="false" ht="15" hidden="false" customHeight="false" outlineLevel="0" collapsed="false">
      <c r="A1103" s="13" t="n">
        <f aca="false">1+A1102</f>
        <v>1101</v>
      </c>
      <c r="B1103" s="14" t="n">
        <v>1009625757</v>
      </c>
      <c r="C1103" s="17" t="s">
        <v>163</v>
      </c>
      <c r="D1103" s="16" t="s">
        <v>52</v>
      </c>
      <c r="E1103" s="17" t="s">
        <v>64</v>
      </c>
      <c r="F1103" s="18" t="s">
        <v>34</v>
      </c>
      <c r="G1103" s="19" t="n">
        <v>844123791726</v>
      </c>
      <c r="H1103" s="17" t="s">
        <v>35</v>
      </c>
      <c r="I1103" s="17" t="s">
        <v>36</v>
      </c>
      <c r="J1103" s="17" t="s">
        <v>289</v>
      </c>
      <c r="K1103" s="17" t="str">
        <f aca="false">VLOOKUP(J1103,Sheet2!A:B,2,0)</f>
        <v>AJAY KOSHTI</v>
      </c>
      <c r="L1103" s="17" t="n">
        <v>1</v>
      </c>
      <c r="M1103" s="17" t="str">
        <f aca="false">VLOOKUP(L1103,Sheet2!D:E,2,0)</f>
        <v>Power Supply Section</v>
      </c>
      <c r="N1103" s="17" t="n">
        <v>1</v>
      </c>
      <c r="O1103" s="17" t="str">
        <f aca="false">VLOOKUP(N1103,Sheet2!G:H,2,0)</f>
        <v>Dead</v>
      </c>
      <c r="P1103" s="17" t="n">
        <v>11</v>
      </c>
      <c r="Q1103" s="17" t="str">
        <f aca="false">VLOOKUP(P1103,Sheet2!J:K,2,0)</f>
        <v>IR Declared due to CID -TA</v>
      </c>
      <c r="R1103" s="17" t="s">
        <v>35</v>
      </c>
      <c r="S1103" s="17" t="str">
        <f aca="false">VLOOKUP(R1103,Sheet2!N:O,2,0)</f>
        <v>IREPARABLE</v>
      </c>
      <c r="T1103" s="18" t="str">
        <f aca="false">VLOOKUP(P1103,Sheet2!Q:R,2,0)</f>
        <v>IR Normal - Track burn out</v>
      </c>
      <c r="U1103" s="18" t="s">
        <v>122</v>
      </c>
      <c r="V1103" s="17" t="n">
        <v>2</v>
      </c>
      <c r="W1103" s="20" t="str">
        <f aca="false">VLOOKUP(V1103,Sheet2!Q:R,2,0)</f>
        <v>IR CID -  Water log from other area</v>
      </c>
      <c r="X1103" s="17" t="str">
        <f aca="false">J1103</f>
        <v>A051</v>
      </c>
      <c r="Y1103" s="17" t="str">
        <f aca="false">VLOOKUP(X1103,Sheet2!A:B,2,0)</f>
        <v>AJAY KOSHTI</v>
      </c>
      <c r="Z1103" s="17" t="s">
        <v>509</v>
      </c>
      <c r="AA1103" s="17" t="s">
        <v>498</v>
      </c>
      <c r="AB1103" s="17" t="s">
        <v>41</v>
      </c>
      <c r="AC1103" s="0" t="str">
        <f aca="false">LEFT(G1103,2)</f>
        <v>84</v>
      </c>
      <c r="AE1103" s="21" t="s">
        <v>506</v>
      </c>
    </row>
    <row r="1104" customFormat="false" ht="15" hidden="false" customHeight="false" outlineLevel="0" collapsed="false">
      <c r="A1104" s="13" t="n">
        <f aca="false">1+A1103</f>
        <v>1102</v>
      </c>
      <c r="B1104" s="14" t="n">
        <v>1009618198</v>
      </c>
      <c r="C1104" s="17" t="s">
        <v>184</v>
      </c>
      <c r="D1104" s="16" t="s">
        <v>64</v>
      </c>
      <c r="E1104" s="17" t="s">
        <v>64</v>
      </c>
      <c r="F1104" s="18" t="s">
        <v>34</v>
      </c>
      <c r="G1104" s="19" t="n">
        <v>853337742870</v>
      </c>
      <c r="H1104" s="17" t="s">
        <v>35</v>
      </c>
      <c r="I1104" s="17" t="s">
        <v>36</v>
      </c>
      <c r="J1104" s="17" t="s">
        <v>241</v>
      </c>
      <c r="K1104" s="17" t="str">
        <f aca="false">VLOOKUP(J1104,Sheet2!A:B,2,0)</f>
        <v>NILESH NAGAR</v>
      </c>
      <c r="L1104" s="17" t="n">
        <v>5</v>
      </c>
      <c r="M1104" s="17" t="str">
        <f aca="false">VLOOKUP(L1104,Sheet2!D:E,2,0)</f>
        <v>Main Processor CPU BGA</v>
      </c>
      <c r="N1104" s="17" t="n">
        <v>1</v>
      </c>
      <c r="O1104" s="17" t="str">
        <f aca="false">VLOOKUP(N1104,Sheet2!G:H,2,0)</f>
        <v>Dead</v>
      </c>
      <c r="P1104" s="17" t="n">
        <v>11</v>
      </c>
      <c r="Q1104" s="17" t="str">
        <f aca="false">VLOOKUP(P1104,Sheet2!J:K,2,0)</f>
        <v>IR Declared due to CID -TA</v>
      </c>
      <c r="R1104" s="17" t="s">
        <v>35</v>
      </c>
      <c r="S1104" s="17" t="str">
        <f aca="false">VLOOKUP(R1104,Sheet2!N:O,2,0)</f>
        <v>IREPARABLE</v>
      </c>
      <c r="T1104" s="18" t="str">
        <f aca="false">VLOOKUP(P1104,Sheet2!Q:R,2,0)</f>
        <v>IR Normal - Track burn out</v>
      </c>
      <c r="U1104" s="18" t="s">
        <v>122</v>
      </c>
      <c r="V1104" s="17" t="n">
        <v>2</v>
      </c>
      <c r="W1104" s="20" t="str">
        <f aca="false">VLOOKUP(V1104,Sheet2!Q:R,2,0)</f>
        <v>IR CID -  Water log from other area</v>
      </c>
      <c r="X1104" s="17" t="str">
        <f aca="false">J1104</f>
        <v>A008</v>
      </c>
      <c r="Y1104" s="17" t="str">
        <f aca="false">VLOOKUP(X1104,Sheet2!A:B,2,0)</f>
        <v>NILESH NAGAR</v>
      </c>
      <c r="Z1104" s="17" t="s">
        <v>293</v>
      </c>
      <c r="AA1104" s="17" t="s">
        <v>498</v>
      </c>
      <c r="AB1104" s="17" t="s">
        <v>41</v>
      </c>
      <c r="AC1104" s="0" t="str">
        <f aca="false">LEFT(G1104,2)</f>
        <v>85</v>
      </c>
      <c r="AE1104" s="21" t="s">
        <v>506</v>
      </c>
    </row>
    <row r="1105" customFormat="false" ht="15" hidden="false" customHeight="false" outlineLevel="0" collapsed="false">
      <c r="A1105" s="13" t="n">
        <f aca="false">1+A1104</f>
        <v>1103</v>
      </c>
      <c r="B1105" s="14" t="n">
        <v>1009625996</v>
      </c>
      <c r="C1105" s="17" t="s">
        <v>163</v>
      </c>
      <c r="D1105" s="16" t="s">
        <v>64</v>
      </c>
      <c r="E1105" s="17" t="s">
        <v>64</v>
      </c>
      <c r="F1105" s="18" t="s">
        <v>34</v>
      </c>
      <c r="G1105" s="19" t="n">
        <v>844128748192</v>
      </c>
      <c r="H1105" s="17" t="s">
        <v>35</v>
      </c>
      <c r="I1105" s="17" t="s">
        <v>36</v>
      </c>
      <c r="J1105" s="17" t="s">
        <v>121</v>
      </c>
      <c r="K1105" s="17" t="str">
        <f aca="false">VLOOKUP(J1105,Sheet2!A:B,2,0)</f>
        <v>SHANI GOHIL</v>
      </c>
      <c r="L1105" s="17" t="n">
        <v>2</v>
      </c>
      <c r="M1105" s="17" t="str">
        <f aca="false">VLOOKUP(L1105,Sheet2!D:E,2,0)</f>
        <v>Tuner Section</v>
      </c>
      <c r="N1105" s="17" t="n">
        <v>6</v>
      </c>
      <c r="O1105" s="17" t="str">
        <f aca="false">VLOOKUP(N1105,Sheet2!G:H,2,0)</f>
        <v>No Signal</v>
      </c>
      <c r="P1105" s="17" t="n">
        <v>11</v>
      </c>
      <c r="Q1105" s="17" t="str">
        <f aca="false">VLOOKUP(P1105,Sheet2!J:K,2,0)</f>
        <v>IR Declared due to CID -TA</v>
      </c>
      <c r="R1105" s="17" t="s">
        <v>35</v>
      </c>
      <c r="S1105" s="17" t="str">
        <f aca="false">VLOOKUP(R1105,Sheet2!N:O,2,0)</f>
        <v>IREPARABLE</v>
      </c>
      <c r="T1105" s="18" t="str">
        <f aca="false">VLOOKUP(P1105,Sheet2!Q:R,2,0)</f>
        <v>IR Normal - Track burn out</v>
      </c>
      <c r="U1105" s="18" t="s">
        <v>122</v>
      </c>
      <c r="V1105" s="17" t="n">
        <v>2</v>
      </c>
      <c r="W1105" s="20" t="str">
        <f aca="false">VLOOKUP(V1105,Sheet2!Q:R,2,0)</f>
        <v>IR CID -  Water log from other area</v>
      </c>
      <c r="X1105" s="17" t="str">
        <f aca="false">J1105</f>
        <v>A063</v>
      </c>
      <c r="Y1105" s="17" t="str">
        <f aca="false">VLOOKUP(X1105,Sheet2!A:B,2,0)</f>
        <v>SHANI GOHIL</v>
      </c>
      <c r="Z1105" s="17" t="s">
        <v>387</v>
      </c>
      <c r="AA1105" s="17" t="s">
        <v>498</v>
      </c>
      <c r="AB1105" s="17" t="s">
        <v>41</v>
      </c>
      <c r="AC1105" s="0" t="str">
        <f aca="false">LEFT(G1105,2)</f>
        <v>84</v>
      </c>
      <c r="AE1105" s="21" t="s">
        <v>506</v>
      </c>
    </row>
    <row r="1106" customFormat="false" ht="15" hidden="false" customHeight="false" outlineLevel="0" collapsed="false">
      <c r="A1106" s="13" t="n">
        <f aca="false">1+A1105</f>
        <v>1104</v>
      </c>
      <c r="B1106" s="14" t="n">
        <v>1009625268</v>
      </c>
      <c r="C1106" s="17" t="s">
        <v>163</v>
      </c>
      <c r="D1106" s="16" t="s">
        <v>64</v>
      </c>
      <c r="E1106" s="17" t="s">
        <v>47</v>
      </c>
      <c r="F1106" s="18" t="s">
        <v>34</v>
      </c>
      <c r="G1106" s="19" t="n">
        <v>853216778631</v>
      </c>
      <c r="H1106" s="17" t="s">
        <v>35</v>
      </c>
      <c r="I1106" s="17" t="s">
        <v>36</v>
      </c>
      <c r="J1106" s="17" t="s">
        <v>241</v>
      </c>
      <c r="K1106" s="17" t="str">
        <f aca="false">VLOOKUP(J1106,Sheet2!A:B,2,0)</f>
        <v>NILESH NAGAR</v>
      </c>
      <c r="L1106" s="17" t="n">
        <v>5</v>
      </c>
      <c r="M1106" s="17" t="str">
        <f aca="false">VLOOKUP(L1106,Sheet2!D:E,2,0)</f>
        <v>Main Processor CPU BGA</v>
      </c>
      <c r="N1106" s="17" t="n">
        <v>1</v>
      </c>
      <c r="O1106" s="17" t="str">
        <f aca="false">VLOOKUP(N1106,Sheet2!G:H,2,0)</f>
        <v>Dead</v>
      </c>
      <c r="P1106" s="17" t="n">
        <v>11</v>
      </c>
      <c r="Q1106" s="17" t="str">
        <f aca="false">VLOOKUP(P1106,Sheet2!J:K,2,0)</f>
        <v>IR Declared due to CID -TA</v>
      </c>
      <c r="R1106" s="17" t="s">
        <v>35</v>
      </c>
      <c r="S1106" s="17" t="str">
        <f aca="false">VLOOKUP(R1106,Sheet2!N:O,2,0)</f>
        <v>IREPARABLE</v>
      </c>
      <c r="T1106" s="18" t="str">
        <f aca="false">VLOOKUP(P1106,Sheet2!Q:R,2,0)</f>
        <v>IR Normal - Track burn out</v>
      </c>
      <c r="U1106" s="20" t="s">
        <v>256</v>
      </c>
      <c r="V1106" s="17" t="n">
        <v>1</v>
      </c>
      <c r="W1106" s="20" t="str">
        <f aca="false">VLOOKUP(V1106,Sheet2!Q:R,2,0)</f>
        <v>IR CID -  Water log from IF port</v>
      </c>
      <c r="X1106" s="17" t="str">
        <f aca="false">J1106</f>
        <v>A008</v>
      </c>
      <c r="Y1106" s="17" t="str">
        <f aca="false">VLOOKUP(X1106,Sheet2!A:B,2,0)</f>
        <v>NILESH NAGAR</v>
      </c>
      <c r="Z1106" s="17" t="s">
        <v>510</v>
      </c>
      <c r="AA1106" s="17" t="s">
        <v>498</v>
      </c>
      <c r="AB1106" s="17" t="s">
        <v>41</v>
      </c>
      <c r="AC1106" s="0" t="str">
        <f aca="false">LEFT(G1106,2)</f>
        <v>85</v>
      </c>
      <c r="AE1106" s="21" t="s">
        <v>506</v>
      </c>
    </row>
    <row r="1107" customFormat="false" ht="15" hidden="false" customHeight="false" outlineLevel="0" collapsed="false">
      <c r="A1107" s="13" t="n">
        <f aca="false">1+A1106</f>
        <v>1105</v>
      </c>
      <c r="B1107" s="14" t="n">
        <v>1009628148</v>
      </c>
      <c r="C1107" s="17" t="s">
        <v>511</v>
      </c>
      <c r="D1107" s="16" t="s">
        <v>64</v>
      </c>
      <c r="E1107" s="17" t="s">
        <v>47</v>
      </c>
      <c r="F1107" s="18" t="s">
        <v>34</v>
      </c>
      <c r="G1107" s="19" t="n">
        <v>853225723594</v>
      </c>
      <c r="H1107" s="17" t="s">
        <v>35</v>
      </c>
      <c r="I1107" s="17" t="s">
        <v>36</v>
      </c>
      <c r="J1107" s="17" t="s">
        <v>241</v>
      </c>
      <c r="K1107" s="17" t="str">
        <f aca="false">VLOOKUP(J1107,Sheet2!A:B,2,0)</f>
        <v>NILESH NAGAR</v>
      </c>
      <c r="L1107" s="17" t="n">
        <v>1</v>
      </c>
      <c r="M1107" s="17" t="str">
        <f aca="false">VLOOKUP(L1107,Sheet2!D:E,2,0)</f>
        <v>Power Supply Section</v>
      </c>
      <c r="N1107" s="17" t="n">
        <v>1</v>
      </c>
      <c r="O1107" s="17" t="str">
        <f aca="false">VLOOKUP(N1107,Sheet2!G:H,2,0)</f>
        <v>Dead</v>
      </c>
      <c r="P1107" s="17" t="n">
        <v>11</v>
      </c>
      <c r="Q1107" s="17" t="str">
        <f aca="false">VLOOKUP(P1107,Sheet2!J:K,2,0)</f>
        <v>IR Declared due to CID -TA</v>
      </c>
      <c r="R1107" s="17" t="s">
        <v>35</v>
      </c>
      <c r="S1107" s="17" t="str">
        <f aca="false">VLOOKUP(R1107,Sheet2!N:O,2,0)</f>
        <v>IREPARABLE</v>
      </c>
      <c r="T1107" s="18" t="str">
        <f aca="false">VLOOKUP(P1107,Sheet2!Q:R,2,0)</f>
        <v>IR Normal - Track burn out</v>
      </c>
      <c r="U1107" s="18" t="s">
        <v>122</v>
      </c>
      <c r="V1107" s="17" t="n">
        <v>2</v>
      </c>
      <c r="W1107" s="20" t="str">
        <f aca="false">VLOOKUP(V1107,Sheet2!Q:R,2,0)</f>
        <v>IR CID -  Water log from other area</v>
      </c>
      <c r="X1107" s="17" t="str">
        <f aca="false">J1107</f>
        <v>A008</v>
      </c>
      <c r="Y1107" s="17" t="str">
        <f aca="false">VLOOKUP(X1107,Sheet2!A:B,2,0)</f>
        <v>NILESH NAGAR</v>
      </c>
      <c r="Z1107" s="17" t="s">
        <v>512</v>
      </c>
      <c r="AA1107" s="17" t="s">
        <v>498</v>
      </c>
      <c r="AB1107" s="17" t="s">
        <v>41</v>
      </c>
      <c r="AC1107" s="0" t="str">
        <f aca="false">LEFT(G1107,2)</f>
        <v>85</v>
      </c>
      <c r="AE1107" s="21" t="s">
        <v>506</v>
      </c>
    </row>
    <row r="1108" customFormat="false" ht="15" hidden="false" customHeight="false" outlineLevel="0" collapsed="false">
      <c r="A1108" s="13" t="n">
        <f aca="false">1+A1107</f>
        <v>1106</v>
      </c>
      <c r="B1108" s="14" t="n">
        <v>1009648132</v>
      </c>
      <c r="C1108" s="17" t="s">
        <v>204</v>
      </c>
      <c r="D1108" s="16" t="s">
        <v>64</v>
      </c>
      <c r="E1108" s="17" t="s">
        <v>200</v>
      </c>
      <c r="F1108" s="18" t="s">
        <v>34</v>
      </c>
      <c r="G1108" s="19" t="n">
        <v>844037758472</v>
      </c>
      <c r="H1108" s="17" t="s">
        <v>35</v>
      </c>
      <c r="I1108" s="17" t="s">
        <v>36</v>
      </c>
      <c r="J1108" s="17" t="s">
        <v>100</v>
      </c>
      <c r="K1108" s="17" t="str">
        <f aca="false">VLOOKUP(J1108,Sheet2!A:B,2,0)</f>
        <v>PIYUSH CHAVDA</v>
      </c>
      <c r="L1108" s="17" t="n">
        <v>1</v>
      </c>
      <c r="M1108" s="17" t="str">
        <f aca="false">VLOOKUP(L1108,Sheet2!D:E,2,0)</f>
        <v>Power Supply Section</v>
      </c>
      <c r="N1108" s="17" t="n">
        <v>1</v>
      </c>
      <c r="O1108" s="17" t="str">
        <f aca="false">VLOOKUP(N1108,Sheet2!G:H,2,0)</f>
        <v>Dead</v>
      </c>
      <c r="P1108" s="17" t="n">
        <v>11</v>
      </c>
      <c r="Q1108" s="17" t="str">
        <f aca="false">VLOOKUP(P1108,Sheet2!J:K,2,0)</f>
        <v>IR Declared due to CID -TA</v>
      </c>
      <c r="R1108" s="17" t="s">
        <v>35</v>
      </c>
      <c r="S1108" s="17" t="str">
        <f aca="false">VLOOKUP(R1108,Sheet2!N:O,2,0)</f>
        <v>IREPARABLE</v>
      </c>
      <c r="T1108" s="18" t="str">
        <f aca="false">VLOOKUP(P1108,Sheet2!Q:R,2,0)</f>
        <v>IR Normal - Track burn out</v>
      </c>
      <c r="U1108" s="18" t="s">
        <v>122</v>
      </c>
      <c r="V1108" s="17" t="n">
        <v>2</v>
      </c>
      <c r="W1108" s="20" t="str">
        <f aca="false">VLOOKUP(V1108,Sheet2!Q:R,2,0)</f>
        <v>IR CID -  Water log from other area</v>
      </c>
      <c r="X1108" s="17" t="str">
        <f aca="false">J1108</f>
        <v>A050</v>
      </c>
      <c r="Y1108" s="17" t="str">
        <f aca="false">VLOOKUP(X1108,Sheet2!A:B,2,0)</f>
        <v>PIYUSH CHAVDA</v>
      </c>
      <c r="Z1108" s="17" t="s">
        <v>513</v>
      </c>
      <c r="AA1108" s="17" t="s">
        <v>498</v>
      </c>
      <c r="AB1108" s="17" t="s">
        <v>41</v>
      </c>
      <c r="AC1108" s="0" t="str">
        <f aca="false">LEFT(G1108,2)</f>
        <v>84</v>
      </c>
      <c r="AE1108" s="21" t="s">
        <v>506</v>
      </c>
    </row>
    <row r="1109" customFormat="false" ht="15" hidden="false" customHeight="false" outlineLevel="0" collapsed="false">
      <c r="A1109" s="13" t="n">
        <f aca="false">1+A1108</f>
        <v>1107</v>
      </c>
      <c r="B1109" s="14" t="n">
        <v>1009285904</v>
      </c>
      <c r="C1109" s="17" t="s">
        <v>514</v>
      </c>
      <c r="D1109" s="16" t="s">
        <v>64</v>
      </c>
      <c r="E1109" s="17" t="s">
        <v>64</v>
      </c>
      <c r="F1109" s="18" t="s">
        <v>34</v>
      </c>
      <c r="G1109" s="19" t="n">
        <v>844046784428</v>
      </c>
      <c r="H1109" s="17" t="s">
        <v>35</v>
      </c>
      <c r="I1109" s="17" t="s">
        <v>36</v>
      </c>
      <c r="J1109" s="17" t="s">
        <v>239</v>
      </c>
      <c r="K1109" s="17" t="str">
        <f aca="false">VLOOKUP(J1109,Sheet2!A:B,2,0)</f>
        <v>VASANT PARMAR</v>
      </c>
      <c r="L1109" s="17" t="n">
        <v>1</v>
      </c>
      <c r="M1109" s="17" t="str">
        <f aca="false">VLOOKUP(L1109,Sheet2!D:E,2,0)</f>
        <v>Power Supply Section</v>
      </c>
      <c r="N1109" s="17" t="n">
        <v>1</v>
      </c>
      <c r="O1109" s="17" t="str">
        <f aca="false">VLOOKUP(N1109,Sheet2!G:H,2,0)</f>
        <v>Dead</v>
      </c>
      <c r="P1109" s="17" t="n">
        <v>11</v>
      </c>
      <c r="Q1109" s="17" t="str">
        <f aca="false">VLOOKUP(P1109,Sheet2!J:K,2,0)</f>
        <v>IR Declared due to CID -TA</v>
      </c>
      <c r="R1109" s="17" t="s">
        <v>35</v>
      </c>
      <c r="S1109" s="17" t="str">
        <f aca="false">VLOOKUP(R1109,Sheet2!N:O,2,0)</f>
        <v>IREPARABLE</v>
      </c>
      <c r="T1109" s="18" t="str">
        <f aca="false">VLOOKUP(P1109,Sheet2!Q:R,2,0)</f>
        <v>IR Normal - Track burn out</v>
      </c>
      <c r="U1109" s="18" t="s">
        <v>122</v>
      </c>
      <c r="V1109" s="17" t="n">
        <v>2</v>
      </c>
      <c r="W1109" s="20" t="str">
        <f aca="false">VLOOKUP(V1109,Sheet2!Q:R,2,0)</f>
        <v>IR CID -  Water log from other area</v>
      </c>
      <c r="X1109" s="17" t="str">
        <f aca="false">J1109</f>
        <v>A005</v>
      </c>
      <c r="Y1109" s="17" t="str">
        <f aca="false">VLOOKUP(X1109,Sheet2!A:B,2,0)</f>
        <v>VASANT PARMAR</v>
      </c>
      <c r="Z1109" s="17" t="s">
        <v>387</v>
      </c>
      <c r="AA1109" s="17" t="s">
        <v>498</v>
      </c>
      <c r="AB1109" s="17" t="s">
        <v>41</v>
      </c>
      <c r="AC1109" s="0" t="str">
        <f aca="false">LEFT(G1109,2)</f>
        <v>84</v>
      </c>
      <c r="AE1109" s="21" t="s">
        <v>506</v>
      </c>
    </row>
    <row r="1110" customFormat="false" ht="15" hidden="false" customHeight="false" outlineLevel="0" collapsed="false">
      <c r="A1110" s="13" t="n">
        <f aca="false">1+A1109</f>
        <v>1108</v>
      </c>
      <c r="B1110" s="14" t="n">
        <v>1009479829</v>
      </c>
      <c r="C1110" s="17" t="s">
        <v>90</v>
      </c>
      <c r="D1110" s="16" t="s">
        <v>64</v>
      </c>
      <c r="E1110" s="17" t="s">
        <v>64</v>
      </c>
      <c r="F1110" s="18" t="s">
        <v>34</v>
      </c>
      <c r="G1110" s="19" t="n">
        <v>854166755116</v>
      </c>
      <c r="H1110" s="17" t="s">
        <v>35</v>
      </c>
      <c r="I1110" s="17" t="s">
        <v>36</v>
      </c>
      <c r="J1110" s="17" t="s">
        <v>106</v>
      </c>
      <c r="K1110" s="17" t="str">
        <f aca="false">VLOOKUP(J1110,Sheet2!A:B,2,0)</f>
        <v>PRAKASH CHAVDA</v>
      </c>
      <c r="L1110" s="17" t="n">
        <v>1</v>
      </c>
      <c r="M1110" s="17" t="str">
        <f aca="false">VLOOKUP(L1110,Sheet2!D:E,2,0)</f>
        <v>Power Supply Section</v>
      </c>
      <c r="N1110" s="17" t="n">
        <v>1</v>
      </c>
      <c r="O1110" s="17" t="str">
        <f aca="false">VLOOKUP(N1110,Sheet2!G:H,2,0)</f>
        <v>Dead</v>
      </c>
      <c r="P1110" s="17" t="n">
        <v>12</v>
      </c>
      <c r="Q1110" s="17" t="str">
        <f aca="false">VLOOKUP(P1110,Sheet2!J:K,2,0)</f>
        <v>IR Declared due to Others ( IR Normal)TB</v>
      </c>
      <c r="R1110" s="17" t="s">
        <v>35</v>
      </c>
      <c r="S1110" s="17" t="str">
        <f aca="false">VLOOKUP(R1110,Sheet2!N:O,2,0)</f>
        <v>IREPARABLE</v>
      </c>
      <c r="T1110" s="18" t="str">
        <f aca="false">VLOOKUP(P1110,Sheet2!Q:R,2,0)</f>
        <v>IR Normal - BER to IR</v>
      </c>
      <c r="U1110" s="18" t="s">
        <v>101</v>
      </c>
      <c r="V1110" s="17" t="n">
        <v>8</v>
      </c>
      <c r="W1110" s="20" t="str">
        <f aca="false">VLOOKUP(V1110,Sheet2!Q:R,2,0)</f>
        <v>IR Normal -TrackRust/InternalDamage/open</v>
      </c>
      <c r="X1110" s="17" t="str">
        <f aca="false">J1110</f>
        <v>A018</v>
      </c>
      <c r="Y1110" s="17" t="str">
        <f aca="false">VLOOKUP(X1110,Sheet2!A:B,2,0)</f>
        <v>PRAKASH CHAVDA</v>
      </c>
      <c r="Z1110" s="17" t="s">
        <v>515</v>
      </c>
      <c r="AA1110" s="17" t="s">
        <v>498</v>
      </c>
      <c r="AB1110" s="17" t="s">
        <v>41</v>
      </c>
      <c r="AC1110" s="0" t="str">
        <f aca="false">LEFT(G1110,2)</f>
        <v>85</v>
      </c>
      <c r="AE1110" s="21" t="s">
        <v>506</v>
      </c>
    </row>
    <row r="1111" customFormat="false" ht="15" hidden="false" customHeight="false" outlineLevel="0" collapsed="false">
      <c r="A1111" s="13" t="n">
        <f aca="false">1+A1110</f>
        <v>1109</v>
      </c>
      <c r="B1111" s="14" t="n">
        <v>1009605204</v>
      </c>
      <c r="C1111" s="17" t="s">
        <v>181</v>
      </c>
      <c r="D1111" s="16" t="s">
        <v>64</v>
      </c>
      <c r="E1111" s="17" t="s">
        <v>33</v>
      </c>
      <c r="F1111" s="18" t="s">
        <v>34</v>
      </c>
      <c r="G1111" s="19" t="n">
        <v>844084763961</v>
      </c>
      <c r="H1111" s="17" t="s">
        <v>35</v>
      </c>
      <c r="I1111" s="17" t="s">
        <v>36</v>
      </c>
      <c r="J1111" s="17" t="s">
        <v>289</v>
      </c>
      <c r="K1111" s="17" t="str">
        <f aca="false">VLOOKUP(J1111,Sheet2!A:B,2,0)</f>
        <v>AJAY KOSHTI</v>
      </c>
      <c r="L1111" s="17" t="n">
        <v>1</v>
      </c>
      <c r="M1111" s="17" t="str">
        <f aca="false">VLOOKUP(L1111,Sheet2!D:E,2,0)</f>
        <v>Power Supply Section</v>
      </c>
      <c r="N1111" s="17" t="n">
        <v>1</v>
      </c>
      <c r="O1111" s="17" t="str">
        <f aca="false">VLOOKUP(N1111,Sheet2!G:H,2,0)</f>
        <v>Dead</v>
      </c>
      <c r="P1111" s="17" t="n">
        <v>11</v>
      </c>
      <c r="Q1111" s="17" t="str">
        <f aca="false">VLOOKUP(P1111,Sheet2!J:K,2,0)</f>
        <v>IR Declared due to CID -TA</v>
      </c>
      <c r="R1111" s="17" t="s">
        <v>35</v>
      </c>
      <c r="S1111" s="17" t="str">
        <f aca="false">VLOOKUP(R1111,Sheet2!N:O,2,0)</f>
        <v>IREPARABLE</v>
      </c>
      <c r="T1111" s="18" t="str">
        <f aca="false">VLOOKUP(P1111,Sheet2!Q:R,2,0)</f>
        <v>IR Normal - Track burn out</v>
      </c>
      <c r="U1111" s="18" t="s">
        <v>122</v>
      </c>
      <c r="V1111" s="17" t="n">
        <v>2</v>
      </c>
      <c r="W1111" s="20" t="str">
        <f aca="false">VLOOKUP(V1111,Sheet2!Q:R,2,0)</f>
        <v>IR CID -  Water log from other area</v>
      </c>
      <c r="X1111" s="17" t="str">
        <f aca="false">J1111</f>
        <v>A051</v>
      </c>
      <c r="Y1111" s="17" t="str">
        <f aca="false">VLOOKUP(X1111,Sheet2!A:B,2,0)</f>
        <v>AJAY KOSHTI</v>
      </c>
      <c r="Z1111" s="17" t="s">
        <v>516</v>
      </c>
      <c r="AA1111" s="17" t="s">
        <v>498</v>
      </c>
      <c r="AB1111" s="17" t="s">
        <v>41</v>
      </c>
      <c r="AC1111" s="0" t="str">
        <f aca="false">LEFT(G1111,2)</f>
        <v>84</v>
      </c>
      <c r="AE1111" s="21" t="s">
        <v>506</v>
      </c>
    </row>
    <row r="1112" customFormat="false" ht="15" hidden="false" customHeight="false" outlineLevel="0" collapsed="false">
      <c r="A1112" s="13" t="n">
        <f aca="false">1+A1111</f>
        <v>1110</v>
      </c>
      <c r="B1112" s="14" t="n">
        <v>1009601919</v>
      </c>
      <c r="C1112" s="17" t="s">
        <v>159</v>
      </c>
      <c r="D1112" s="16" t="s">
        <v>64</v>
      </c>
      <c r="E1112" s="17" t="s">
        <v>47</v>
      </c>
      <c r="F1112" s="18" t="s">
        <v>34</v>
      </c>
      <c r="G1112" s="19" t="n">
        <v>853225720392</v>
      </c>
      <c r="H1112" s="17" t="s">
        <v>35</v>
      </c>
      <c r="I1112" s="17" t="s">
        <v>36</v>
      </c>
      <c r="J1112" s="17" t="s">
        <v>111</v>
      </c>
      <c r="K1112" s="17" t="str">
        <f aca="false">VLOOKUP(J1112,Sheet2!A:B,2,0)</f>
        <v>NITIN PRANAMI</v>
      </c>
      <c r="L1112" s="17" t="n">
        <v>5</v>
      </c>
      <c r="M1112" s="17" t="str">
        <f aca="false">VLOOKUP(L1112,Sheet2!D:E,2,0)</f>
        <v>Main Processor CPU BGA</v>
      </c>
      <c r="N1112" s="17" t="n">
        <v>24</v>
      </c>
      <c r="O1112" s="17" t="str">
        <f aca="false">VLOOKUP(N1112,Sheet2!G:H,2,0)</f>
        <v>STB Auto moving -Stand by mode</v>
      </c>
      <c r="P1112" s="17" t="n">
        <v>11</v>
      </c>
      <c r="Q1112" s="17" t="str">
        <f aca="false">VLOOKUP(P1112,Sheet2!J:K,2,0)</f>
        <v>IR Declared due to CID -TA</v>
      </c>
      <c r="R1112" s="17" t="s">
        <v>35</v>
      </c>
      <c r="S1112" s="17" t="str">
        <f aca="false">VLOOKUP(R1112,Sheet2!N:O,2,0)</f>
        <v>IREPARABLE</v>
      </c>
      <c r="T1112" s="18" t="str">
        <f aca="false">VLOOKUP(P1112,Sheet2!Q:R,2,0)</f>
        <v>IR Normal - Track burn out</v>
      </c>
      <c r="U1112" s="18" t="s">
        <v>122</v>
      </c>
      <c r="V1112" s="17" t="n">
        <v>2</v>
      </c>
      <c r="W1112" s="20" t="str">
        <f aca="false">VLOOKUP(V1112,Sheet2!Q:R,2,0)</f>
        <v>IR CID -  Water log from other area</v>
      </c>
      <c r="X1112" s="17" t="str">
        <f aca="false">J1112</f>
        <v>A031</v>
      </c>
      <c r="Y1112" s="17" t="str">
        <f aca="false">VLOOKUP(X1112,Sheet2!A:B,2,0)</f>
        <v>NITIN PRANAMI</v>
      </c>
      <c r="Z1112" s="17" t="s">
        <v>517</v>
      </c>
      <c r="AA1112" s="17" t="s">
        <v>498</v>
      </c>
      <c r="AB1112" s="17" t="s">
        <v>41</v>
      </c>
      <c r="AC1112" s="0" t="str">
        <f aca="false">LEFT(G1112,2)</f>
        <v>85</v>
      </c>
      <c r="AE1112" s="21" t="s">
        <v>506</v>
      </c>
    </row>
    <row r="1113" customFormat="false" ht="15" hidden="false" customHeight="false" outlineLevel="0" collapsed="false">
      <c r="A1113" s="13" t="n">
        <f aca="false">1+A1112</f>
        <v>1111</v>
      </c>
      <c r="B1113" s="14" t="n">
        <v>1009383992</v>
      </c>
      <c r="C1113" s="17" t="s">
        <v>406</v>
      </c>
      <c r="D1113" s="16" t="s">
        <v>138</v>
      </c>
      <c r="E1113" s="17" t="s">
        <v>109</v>
      </c>
      <c r="F1113" s="18" t="s">
        <v>34</v>
      </c>
      <c r="G1113" s="19" t="n">
        <v>277264103205</v>
      </c>
      <c r="H1113" s="17" t="s">
        <v>35</v>
      </c>
      <c r="I1113" s="17" t="s">
        <v>74</v>
      </c>
      <c r="J1113" s="17" t="s">
        <v>267</v>
      </c>
      <c r="K1113" s="17" t="str">
        <f aca="false">VLOOKUP(J1113,Sheet2!A:B,2,0)</f>
        <v>HARIRAM GUPTA</v>
      </c>
      <c r="L1113" s="17" t="n">
        <v>3</v>
      </c>
      <c r="M1113" s="17" t="str">
        <f aca="false">VLOOKUP(L1113,Sheet2!D:E,2,0)</f>
        <v>Video Section</v>
      </c>
      <c r="N1113" s="17" t="n">
        <v>16</v>
      </c>
      <c r="O1113" s="17" t="str">
        <f aca="false">VLOOKUP(N1113,Sheet2!G:H,2,0)</f>
        <v>No Video - HDMI</v>
      </c>
      <c r="P1113" s="17" t="n">
        <v>12</v>
      </c>
      <c r="Q1113" s="17" t="str">
        <f aca="false">VLOOKUP(P1113,Sheet2!J:K,2,0)</f>
        <v>IR Declared due to Others ( IR Normal)TB</v>
      </c>
      <c r="R1113" s="17" t="s">
        <v>35</v>
      </c>
      <c r="S1113" s="17" t="str">
        <f aca="false">VLOOKUP(R1113,Sheet2!N:O,2,0)</f>
        <v>IREPARABLE</v>
      </c>
      <c r="T1113" s="18" t="str">
        <f aca="false">VLOOKUP(P1113,Sheet2!Q:R,2,0)</f>
        <v>IR Normal - BER to IR</v>
      </c>
      <c r="U1113" s="18" t="s">
        <v>101</v>
      </c>
      <c r="V1113" s="17" t="n">
        <v>8</v>
      </c>
      <c r="W1113" s="20" t="str">
        <f aca="false">VLOOKUP(V1113,Sheet2!Q:R,2,0)</f>
        <v>IR Normal -TrackRust/InternalDamage/open</v>
      </c>
      <c r="X1113" s="17" t="str">
        <f aca="false">J1113</f>
        <v>A007</v>
      </c>
      <c r="Y1113" s="17" t="str">
        <f aca="false">VLOOKUP(X1113,Sheet2!A:B,2,0)</f>
        <v>HARIRAM GUPTA</v>
      </c>
      <c r="Z1113" s="17" t="s">
        <v>518</v>
      </c>
      <c r="AA1113" s="17" t="s">
        <v>498</v>
      </c>
      <c r="AB1113" s="17" t="s">
        <v>41</v>
      </c>
      <c r="AC1113" s="0" t="str">
        <f aca="false">LEFT(G1113,2)</f>
        <v>27</v>
      </c>
      <c r="AE1113" s="21" t="s">
        <v>506</v>
      </c>
    </row>
    <row r="1114" customFormat="false" ht="15" hidden="false" customHeight="false" outlineLevel="0" collapsed="false">
      <c r="A1114" s="13" t="n">
        <f aca="false">1+A1113</f>
        <v>1112</v>
      </c>
      <c r="B1114" s="14" t="n">
        <v>1009648104</v>
      </c>
      <c r="C1114" s="17" t="s">
        <v>204</v>
      </c>
      <c r="D1114" s="16" t="s">
        <v>64</v>
      </c>
      <c r="E1114" s="17" t="s">
        <v>64</v>
      </c>
      <c r="F1114" s="18" t="s">
        <v>34</v>
      </c>
      <c r="G1114" s="19" t="n">
        <v>277321118519</v>
      </c>
      <c r="H1114" s="17" t="s">
        <v>35</v>
      </c>
      <c r="I1114" s="17" t="s">
        <v>74</v>
      </c>
      <c r="J1114" s="17" t="s">
        <v>239</v>
      </c>
      <c r="K1114" s="17" t="str">
        <f aca="false">VLOOKUP(J1114,Sheet2!A:B,2,0)</f>
        <v>VASANT PARMAR</v>
      </c>
      <c r="L1114" s="17" t="n">
        <v>5</v>
      </c>
      <c r="M1114" s="17" t="str">
        <f aca="false">VLOOKUP(L1114,Sheet2!D:E,2,0)</f>
        <v>Main Processor CPU BGA</v>
      </c>
      <c r="N1114" s="17" t="n">
        <v>24</v>
      </c>
      <c r="O1114" s="17" t="str">
        <f aca="false">VLOOKUP(N1114,Sheet2!G:H,2,0)</f>
        <v>STB Auto moving -Stand by mode</v>
      </c>
      <c r="P1114" s="17" t="n">
        <v>11</v>
      </c>
      <c r="Q1114" s="17" t="str">
        <f aca="false">VLOOKUP(P1114,Sheet2!J:K,2,0)</f>
        <v>IR Declared due to CID -TA</v>
      </c>
      <c r="R1114" s="17" t="s">
        <v>35</v>
      </c>
      <c r="S1114" s="17" t="str">
        <f aca="false">VLOOKUP(R1114,Sheet2!N:O,2,0)</f>
        <v>IREPARABLE</v>
      </c>
      <c r="T1114" s="18" t="str">
        <f aca="false">VLOOKUP(P1114,Sheet2!Q:R,2,0)</f>
        <v>IR Normal - Track burn out</v>
      </c>
      <c r="U1114" s="18" t="s">
        <v>122</v>
      </c>
      <c r="V1114" s="17" t="n">
        <v>2</v>
      </c>
      <c r="W1114" s="20" t="str">
        <f aca="false">VLOOKUP(V1114,Sheet2!Q:R,2,0)</f>
        <v>IR CID -  Water log from other area</v>
      </c>
      <c r="X1114" s="17" t="str">
        <f aca="false">J1114</f>
        <v>A005</v>
      </c>
      <c r="Y1114" s="17" t="str">
        <f aca="false">VLOOKUP(X1114,Sheet2!A:B,2,0)</f>
        <v>VASANT PARMAR</v>
      </c>
      <c r="Z1114" s="17" t="s">
        <v>519</v>
      </c>
      <c r="AA1114" s="17" t="s">
        <v>498</v>
      </c>
      <c r="AB1114" s="17" t="s">
        <v>41</v>
      </c>
      <c r="AC1114" s="0" t="str">
        <f aca="false">LEFT(G1114,2)</f>
        <v>27</v>
      </c>
      <c r="AE1114" s="21" t="s">
        <v>506</v>
      </c>
    </row>
    <row r="1115" customFormat="false" ht="15" hidden="false" customHeight="false" outlineLevel="0" collapsed="false">
      <c r="A1115" s="13" t="n">
        <f aca="false">1+A1114</f>
        <v>1113</v>
      </c>
      <c r="B1115" s="14" t="n">
        <v>1009635440</v>
      </c>
      <c r="C1115" s="17" t="s">
        <v>182</v>
      </c>
      <c r="D1115" s="16" t="s">
        <v>64</v>
      </c>
      <c r="E1115" s="17" t="s">
        <v>33</v>
      </c>
      <c r="F1115" s="18" t="s">
        <v>34</v>
      </c>
      <c r="G1115" s="19" t="n">
        <v>278010121806</v>
      </c>
      <c r="H1115" s="17" t="s">
        <v>35</v>
      </c>
      <c r="I1115" s="17" t="s">
        <v>74</v>
      </c>
      <c r="J1115" s="17" t="s">
        <v>239</v>
      </c>
      <c r="K1115" s="17" t="str">
        <f aca="false">VLOOKUP(J1115,Sheet2!A:B,2,0)</f>
        <v>VASANT PARMAR</v>
      </c>
      <c r="L1115" s="17" t="n">
        <v>5</v>
      </c>
      <c r="M1115" s="17" t="str">
        <f aca="false">VLOOKUP(L1115,Sheet2!D:E,2,0)</f>
        <v>Main Processor CPU BGA</v>
      </c>
      <c r="N1115" s="17" t="n">
        <v>1</v>
      </c>
      <c r="O1115" s="17" t="str">
        <f aca="false">VLOOKUP(N1115,Sheet2!G:H,2,0)</f>
        <v>Dead</v>
      </c>
      <c r="P1115" s="17" t="n">
        <v>11</v>
      </c>
      <c r="Q1115" s="17" t="str">
        <f aca="false">VLOOKUP(P1115,Sheet2!J:K,2,0)</f>
        <v>IR Declared due to CID -TA</v>
      </c>
      <c r="R1115" s="17" t="s">
        <v>35</v>
      </c>
      <c r="S1115" s="17" t="str">
        <f aca="false">VLOOKUP(R1115,Sheet2!N:O,2,0)</f>
        <v>IREPARABLE</v>
      </c>
      <c r="T1115" s="18" t="str">
        <f aca="false">VLOOKUP(P1115,Sheet2!Q:R,2,0)</f>
        <v>IR Normal - Track burn out</v>
      </c>
      <c r="U1115" s="18" t="s">
        <v>122</v>
      </c>
      <c r="V1115" s="17" t="n">
        <v>2</v>
      </c>
      <c r="W1115" s="20" t="str">
        <f aca="false">VLOOKUP(V1115,Sheet2!Q:R,2,0)</f>
        <v>IR CID -  Water log from other area</v>
      </c>
      <c r="X1115" s="17" t="str">
        <f aca="false">J1115</f>
        <v>A005</v>
      </c>
      <c r="Y1115" s="17" t="str">
        <f aca="false">VLOOKUP(X1115,Sheet2!A:B,2,0)</f>
        <v>VASANT PARMAR</v>
      </c>
      <c r="Z1115" s="17" t="s">
        <v>520</v>
      </c>
      <c r="AA1115" s="17" t="s">
        <v>498</v>
      </c>
      <c r="AB1115" s="17" t="s">
        <v>41</v>
      </c>
      <c r="AC1115" s="0" t="str">
        <f aca="false">LEFT(G1115,2)</f>
        <v>27</v>
      </c>
      <c r="AE1115" s="21" t="s">
        <v>506</v>
      </c>
    </row>
    <row r="1116" customFormat="false" ht="15" hidden="false" customHeight="false" outlineLevel="0" collapsed="false">
      <c r="A1116" s="13" t="n">
        <f aca="false">1+A1115</f>
        <v>1114</v>
      </c>
      <c r="B1116" s="14" t="n">
        <v>1009641946</v>
      </c>
      <c r="C1116" s="17" t="s">
        <v>429</v>
      </c>
      <c r="D1116" s="16" t="s">
        <v>210</v>
      </c>
      <c r="E1116" s="17" t="s">
        <v>47</v>
      </c>
      <c r="F1116" s="18" t="s">
        <v>34</v>
      </c>
      <c r="G1116" s="19" t="n">
        <v>277350221036</v>
      </c>
      <c r="H1116" s="17" t="s">
        <v>35</v>
      </c>
      <c r="I1116" s="17" t="s">
        <v>74</v>
      </c>
      <c r="J1116" s="17" t="s">
        <v>241</v>
      </c>
      <c r="K1116" s="17" t="str">
        <f aca="false">VLOOKUP(J1116,Sheet2!A:B,2,0)</f>
        <v>NILESH NAGAR</v>
      </c>
      <c r="L1116" s="17" t="n">
        <v>5</v>
      </c>
      <c r="M1116" s="17" t="str">
        <f aca="false">VLOOKUP(L1116,Sheet2!D:E,2,0)</f>
        <v>Main Processor CPU BGA</v>
      </c>
      <c r="N1116" s="17" t="n">
        <v>1</v>
      </c>
      <c r="O1116" s="17" t="str">
        <f aca="false">VLOOKUP(N1116,Sheet2!G:H,2,0)</f>
        <v>Dead</v>
      </c>
      <c r="P1116" s="17" t="n">
        <v>11</v>
      </c>
      <c r="Q1116" s="17" t="str">
        <f aca="false">VLOOKUP(P1116,Sheet2!J:K,2,0)</f>
        <v>IR Declared due to CID -TA</v>
      </c>
      <c r="R1116" s="17" t="s">
        <v>35</v>
      </c>
      <c r="S1116" s="17" t="str">
        <f aca="false">VLOOKUP(R1116,Sheet2!N:O,2,0)</f>
        <v>IREPARABLE</v>
      </c>
      <c r="T1116" s="18" t="str">
        <f aca="false">VLOOKUP(P1116,Sheet2!Q:R,2,0)</f>
        <v>IR Normal - Track burn out</v>
      </c>
      <c r="U1116" s="18" t="s">
        <v>122</v>
      </c>
      <c r="V1116" s="17" t="n">
        <v>2</v>
      </c>
      <c r="W1116" s="20" t="str">
        <f aca="false">VLOOKUP(V1116,Sheet2!Q:R,2,0)</f>
        <v>IR CID -  Water log from other area</v>
      </c>
      <c r="X1116" s="17" t="str">
        <f aca="false">J1116</f>
        <v>A008</v>
      </c>
      <c r="Y1116" s="17" t="str">
        <f aca="false">VLOOKUP(X1116,Sheet2!A:B,2,0)</f>
        <v>NILESH NAGAR</v>
      </c>
      <c r="Z1116" s="17" t="s">
        <v>521</v>
      </c>
      <c r="AA1116" s="17" t="s">
        <v>498</v>
      </c>
      <c r="AB1116" s="17" t="s">
        <v>41</v>
      </c>
      <c r="AC1116" s="0" t="str">
        <f aca="false">LEFT(G1116,2)</f>
        <v>27</v>
      </c>
      <c r="AE1116" s="21" t="s">
        <v>506</v>
      </c>
    </row>
    <row r="1117" customFormat="false" ht="15" hidden="false" customHeight="false" outlineLevel="0" collapsed="false">
      <c r="A1117" s="13" t="n">
        <f aca="false">1+A1116</f>
        <v>1115</v>
      </c>
      <c r="B1117" s="14" t="n">
        <v>1009477019</v>
      </c>
      <c r="C1117" s="17" t="s">
        <v>90</v>
      </c>
      <c r="D1117" s="16" t="s">
        <v>64</v>
      </c>
      <c r="E1117" s="17" t="s">
        <v>33</v>
      </c>
      <c r="F1117" s="18" t="s">
        <v>34</v>
      </c>
      <c r="G1117" s="19" t="n">
        <v>288126205245</v>
      </c>
      <c r="H1117" s="17" t="s">
        <v>35</v>
      </c>
      <c r="I1117" s="17" t="s">
        <v>74</v>
      </c>
      <c r="J1117" s="17" t="s">
        <v>241</v>
      </c>
      <c r="K1117" s="17" t="str">
        <f aca="false">VLOOKUP(J1117,Sheet2!A:B,2,0)</f>
        <v>NILESH NAGAR</v>
      </c>
      <c r="L1117" s="17" t="n">
        <v>5</v>
      </c>
      <c r="M1117" s="17" t="str">
        <f aca="false">VLOOKUP(L1117,Sheet2!D:E,2,0)</f>
        <v>Main Processor CPU BGA</v>
      </c>
      <c r="N1117" s="17" t="n">
        <v>1</v>
      </c>
      <c r="O1117" s="17" t="str">
        <f aca="false">VLOOKUP(N1117,Sheet2!G:H,2,0)</f>
        <v>Dead</v>
      </c>
      <c r="P1117" s="17" t="n">
        <v>11</v>
      </c>
      <c r="Q1117" s="17" t="str">
        <f aca="false">VLOOKUP(P1117,Sheet2!J:K,2,0)</f>
        <v>IR Declared due to CID -TA</v>
      </c>
      <c r="R1117" s="17" t="s">
        <v>35</v>
      </c>
      <c r="S1117" s="17" t="str">
        <f aca="false">VLOOKUP(R1117,Sheet2!N:O,2,0)</f>
        <v>IREPARABLE</v>
      </c>
      <c r="T1117" s="18" t="str">
        <f aca="false">VLOOKUP(P1117,Sheet2!Q:R,2,0)</f>
        <v>IR Normal - Track burn out</v>
      </c>
      <c r="U1117" s="18" t="s">
        <v>122</v>
      </c>
      <c r="V1117" s="17" t="n">
        <v>2</v>
      </c>
      <c r="W1117" s="20" t="str">
        <f aca="false">VLOOKUP(V1117,Sheet2!Q:R,2,0)</f>
        <v>IR CID -  Water log from other area</v>
      </c>
      <c r="X1117" s="17" t="str">
        <f aca="false">J1117</f>
        <v>A008</v>
      </c>
      <c r="Y1117" s="17" t="str">
        <f aca="false">VLOOKUP(X1117,Sheet2!A:B,2,0)</f>
        <v>NILESH NAGAR</v>
      </c>
      <c r="Z1117" s="17" t="s">
        <v>522</v>
      </c>
      <c r="AA1117" s="17" t="s">
        <v>498</v>
      </c>
      <c r="AB1117" s="17" t="s">
        <v>41</v>
      </c>
      <c r="AC1117" s="0" t="str">
        <f aca="false">LEFT(G1117,2)</f>
        <v>28</v>
      </c>
      <c r="AE1117" s="21" t="s">
        <v>506</v>
      </c>
    </row>
    <row r="1118" customFormat="false" ht="15" hidden="false" customHeight="false" outlineLevel="0" collapsed="false">
      <c r="A1118" s="13" t="n">
        <f aca="false">1+A1117</f>
        <v>1116</v>
      </c>
      <c r="B1118" s="14" t="n">
        <v>1009625296</v>
      </c>
      <c r="C1118" s="17" t="s">
        <v>163</v>
      </c>
      <c r="D1118" s="16" t="s">
        <v>64</v>
      </c>
      <c r="E1118" s="17" t="s">
        <v>47</v>
      </c>
      <c r="F1118" s="18" t="s">
        <v>34</v>
      </c>
      <c r="G1118" s="19" t="n">
        <v>288140107807</v>
      </c>
      <c r="H1118" s="17" t="s">
        <v>35</v>
      </c>
      <c r="I1118" s="17" t="s">
        <v>74</v>
      </c>
      <c r="J1118" s="17" t="s">
        <v>241</v>
      </c>
      <c r="K1118" s="17" t="str">
        <f aca="false">VLOOKUP(J1118,Sheet2!A:B,2,0)</f>
        <v>NILESH NAGAR</v>
      </c>
      <c r="L1118" s="17" t="n">
        <v>5</v>
      </c>
      <c r="M1118" s="17" t="str">
        <f aca="false">VLOOKUP(L1118,Sheet2!D:E,2,0)</f>
        <v>Main Processor CPU BGA</v>
      </c>
      <c r="N1118" s="17" t="n">
        <v>1</v>
      </c>
      <c r="O1118" s="17" t="str">
        <f aca="false">VLOOKUP(N1118,Sheet2!G:H,2,0)</f>
        <v>Dead</v>
      </c>
      <c r="P1118" s="17" t="n">
        <v>11</v>
      </c>
      <c r="Q1118" s="17" t="str">
        <f aca="false">VLOOKUP(P1118,Sheet2!J:K,2,0)</f>
        <v>IR Declared due to CID -TA</v>
      </c>
      <c r="R1118" s="17" t="s">
        <v>35</v>
      </c>
      <c r="S1118" s="17" t="str">
        <f aca="false">VLOOKUP(R1118,Sheet2!N:O,2,0)</f>
        <v>IREPARABLE</v>
      </c>
      <c r="T1118" s="18" t="str">
        <f aca="false">VLOOKUP(P1118,Sheet2!Q:R,2,0)</f>
        <v>IR Normal - Track burn out</v>
      </c>
      <c r="U1118" s="18" t="s">
        <v>122</v>
      </c>
      <c r="V1118" s="17" t="n">
        <v>2</v>
      </c>
      <c r="W1118" s="20" t="str">
        <f aca="false">VLOOKUP(V1118,Sheet2!Q:R,2,0)</f>
        <v>IR CID -  Water log from other area</v>
      </c>
      <c r="X1118" s="17" t="str">
        <f aca="false">J1118</f>
        <v>A008</v>
      </c>
      <c r="Y1118" s="17" t="str">
        <f aca="false">VLOOKUP(X1118,Sheet2!A:B,2,0)</f>
        <v>NILESH NAGAR</v>
      </c>
      <c r="Z1118" s="17" t="s">
        <v>381</v>
      </c>
      <c r="AA1118" s="17" t="s">
        <v>498</v>
      </c>
      <c r="AB1118" s="17" t="s">
        <v>41</v>
      </c>
      <c r="AC1118" s="0" t="str">
        <f aca="false">LEFT(G1118,2)</f>
        <v>28</v>
      </c>
      <c r="AE1118" s="21" t="s">
        <v>506</v>
      </c>
    </row>
    <row r="1119" customFormat="false" ht="15" hidden="false" customHeight="false" outlineLevel="0" collapsed="false">
      <c r="A1119" s="13" t="n">
        <f aca="false">1+A1118</f>
        <v>1117</v>
      </c>
      <c r="B1119" s="14" t="n">
        <v>1009648107</v>
      </c>
      <c r="C1119" s="17" t="s">
        <v>204</v>
      </c>
      <c r="D1119" s="16" t="s">
        <v>64</v>
      </c>
      <c r="E1119" s="17" t="s">
        <v>64</v>
      </c>
      <c r="F1119" s="18" t="s">
        <v>34</v>
      </c>
      <c r="G1119" s="19" t="n">
        <v>277278139815</v>
      </c>
      <c r="H1119" s="17" t="s">
        <v>35</v>
      </c>
      <c r="I1119" s="17" t="s">
        <v>74</v>
      </c>
      <c r="J1119" s="17" t="s">
        <v>111</v>
      </c>
      <c r="K1119" s="17" t="str">
        <f aca="false">VLOOKUP(J1119,Sheet2!A:B,2,0)</f>
        <v>NITIN PRANAMI</v>
      </c>
      <c r="L1119" s="17" t="n">
        <v>1</v>
      </c>
      <c r="M1119" s="17" t="str">
        <f aca="false">VLOOKUP(L1119,Sheet2!D:E,2,0)</f>
        <v>Power Supply Section</v>
      </c>
      <c r="N1119" s="17" t="n">
        <v>1</v>
      </c>
      <c r="O1119" s="17" t="str">
        <f aca="false">VLOOKUP(N1119,Sheet2!G:H,2,0)</f>
        <v>Dead</v>
      </c>
      <c r="P1119" s="17" t="n">
        <v>11</v>
      </c>
      <c r="Q1119" s="17" t="str">
        <f aca="false">VLOOKUP(P1119,Sheet2!J:K,2,0)</f>
        <v>IR Declared due to CID -TA</v>
      </c>
      <c r="R1119" s="17" t="s">
        <v>35</v>
      </c>
      <c r="S1119" s="17" t="str">
        <f aca="false">VLOOKUP(R1119,Sheet2!N:O,2,0)</f>
        <v>IREPARABLE</v>
      </c>
      <c r="T1119" s="18" t="str">
        <f aca="false">VLOOKUP(P1119,Sheet2!Q:R,2,0)</f>
        <v>IR Normal - Track burn out</v>
      </c>
      <c r="U1119" s="18" t="s">
        <v>122</v>
      </c>
      <c r="V1119" s="17" t="n">
        <v>2</v>
      </c>
      <c r="W1119" s="20" t="str">
        <f aca="false">VLOOKUP(V1119,Sheet2!Q:R,2,0)</f>
        <v>IR CID -  Water log from other area</v>
      </c>
      <c r="X1119" s="17" t="str">
        <f aca="false">J1119</f>
        <v>A031</v>
      </c>
      <c r="Y1119" s="17" t="str">
        <f aca="false">VLOOKUP(X1119,Sheet2!A:B,2,0)</f>
        <v>NITIN PRANAMI</v>
      </c>
      <c r="Z1119" s="17" t="s">
        <v>523</v>
      </c>
      <c r="AA1119" s="17" t="s">
        <v>498</v>
      </c>
      <c r="AB1119" s="17" t="s">
        <v>41</v>
      </c>
      <c r="AC1119" s="0" t="str">
        <f aca="false">LEFT(G1119,2)</f>
        <v>27</v>
      </c>
      <c r="AE1119" s="21" t="s">
        <v>506</v>
      </c>
    </row>
    <row r="1120" customFormat="false" ht="15" hidden="false" customHeight="false" outlineLevel="0" collapsed="false">
      <c r="A1120" s="13" t="n">
        <f aca="false">1+A1119</f>
        <v>1118</v>
      </c>
      <c r="B1120" s="14" t="n">
        <v>1009466338</v>
      </c>
      <c r="C1120" s="17" t="s">
        <v>151</v>
      </c>
      <c r="D1120" s="16" t="s">
        <v>119</v>
      </c>
      <c r="E1120" s="17" t="s">
        <v>47</v>
      </c>
      <c r="F1120" s="18" t="s">
        <v>34</v>
      </c>
      <c r="G1120" s="19" t="n">
        <v>278023142963</v>
      </c>
      <c r="H1120" s="17" t="s">
        <v>35</v>
      </c>
      <c r="I1120" s="17" t="s">
        <v>74</v>
      </c>
      <c r="J1120" s="17" t="s">
        <v>118</v>
      </c>
      <c r="K1120" s="17" t="str">
        <f aca="false">VLOOKUP(J1120,Sheet2!A:B,2,0)</f>
        <v>DEVENDRA RAJPUT</v>
      </c>
      <c r="L1120" s="17" t="n">
        <v>2</v>
      </c>
      <c r="M1120" s="17" t="str">
        <f aca="false">VLOOKUP(L1120,Sheet2!D:E,2,0)</f>
        <v>Tuner Section</v>
      </c>
      <c r="N1120" s="17" t="n">
        <v>6</v>
      </c>
      <c r="O1120" s="17" t="str">
        <f aca="false">VLOOKUP(N1120,Sheet2!G:H,2,0)</f>
        <v>No Signal</v>
      </c>
      <c r="P1120" s="17" t="n">
        <v>12</v>
      </c>
      <c r="Q1120" s="17" t="str">
        <f aca="false">VLOOKUP(P1120,Sheet2!J:K,2,0)</f>
        <v>IR Declared due to Others ( IR Normal)TB</v>
      </c>
      <c r="R1120" s="17" t="s">
        <v>35</v>
      </c>
      <c r="S1120" s="17" t="str">
        <f aca="false">VLOOKUP(R1120,Sheet2!N:O,2,0)</f>
        <v>IREPARABLE</v>
      </c>
      <c r="T1120" s="18" t="str">
        <f aca="false">VLOOKUP(P1120,Sheet2!Q:R,2,0)</f>
        <v>IR Normal - BER to IR</v>
      </c>
      <c r="U1120" s="15" t="s">
        <v>38</v>
      </c>
      <c r="V1120" s="17" t="n">
        <v>11</v>
      </c>
      <c r="W1120" s="20" t="str">
        <f aca="false">VLOOKUP(V1120,Sheet2!Q:R,2,0)</f>
        <v>IR Normal - Track burn out</v>
      </c>
      <c r="X1120" s="17" t="str">
        <f aca="false">J1120</f>
        <v>A053</v>
      </c>
      <c r="Y1120" s="17" t="str">
        <f aca="false">VLOOKUP(X1120,Sheet2!A:B,2,0)</f>
        <v>DEVENDRA RAJPUT</v>
      </c>
      <c r="Z1120" s="17" t="s">
        <v>381</v>
      </c>
      <c r="AA1120" s="17" t="s">
        <v>498</v>
      </c>
      <c r="AB1120" s="17" t="s">
        <v>41</v>
      </c>
      <c r="AC1120" s="0" t="str">
        <f aca="false">LEFT(G1120,2)</f>
        <v>27</v>
      </c>
      <c r="AE1120" s="21" t="s">
        <v>506</v>
      </c>
    </row>
    <row r="1121" customFormat="false" ht="15" hidden="false" customHeight="false" outlineLevel="0" collapsed="false">
      <c r="A1121" s="13" t="n">
        <f aca="false">1+A1120</f>
        <v>1119</v>
      </c>
      <c r="B1121" s="14" t="n">
        <v>1009645763</v>
      </c>
      <c r="C1121" s="17" t="s">
        <v>204</v>
      </c>
      <c r="D1121" s="16" t="s">
        <v>64</v>
      </c>
      <c r="E1121" s="17" t="s">
        <v>64</v>
      </c>
      <c r="F1121" s="18" t="s">
        <v>34</v>
      </c>
      <c r="G1121" s="19" t="n">
        <v>853238712246</v>
      </c>
      <c r="H1121" s="17" t="s">
        <v>35</v>
      </c>
      <c r="I1121" s="17" t="s">
        <v>36</v>
      </c>
      <c r="J1121" s="17" t="s">
        <v>111</v>
      </c>
      <c r="K1121" s="17" t="str">
        <f aca="false">VLOOKUP(J1121,Sheet2!A:B,2,0)</f>
        <v>NITIN PRANAMI</v>
      </c>
      <c r="L1121" s="17" t="n">
        <v>1</v>
      </c>
      <c r="M1121" s="17" t="str">
        <f aca="false">VLOOKUP(L1121,Sheet2!D:E,2,0)</f>
        <v>Power Supply Section</v>
      </c>
      <c r="N1121" s="17" t="n">
        <v>1</v>
      </c>
      <c r="O1121" s="17" t="str">
        <f aca="false">VLOOKUP(N1121,Sheet2!G:H,2,0)</f>
        <v>Dead</v>
      </c>
      <c r="P1121" s="17" t="n">
        <v>12</v>
      </c>
      <c r="Q1121" s="17" t="str">
        <f aca="false">VLOOKUP(P1121,Sheet2!J:K,2,0)</f>
        <v>IR Declared due to Others ( IR Normal)TB</v>
      </c>
      <c r="R1121" s="17" t="s">
        <v>35</v>
      </c>
      <c r="S1121" s="17" t="str">
        <f aca="false">VLOOKUP(R1121,Sheet2!N:O,2,0)</f>
        <v>IREPARABLE</v>
      </c>
      <c r="T1121" s="18" t="str">
        <f aca="false">VLOOKUP(P1121,Sheet2!Q:R,2,0)</f>
        <v>IR Normal - BER to IR</v>
      </c>
      <c r="U1121" s="18" t="s">
        <v>101</v>
      </c>
      <c r="V1121" s="17" t="n">
        <v>8</v>
      </c>
      <c r="W1121" s="20" t="str">
        <f aca="false">VLOOKUP(V1121,Sheet2!Q:R,2,0)</f>
        <v>IR Normal -TrackRust/InternalDamage/open</v>
      </c>
      <c r="X1121" s="17" t="str">
        <f aca="false">J1121</f>
        <v>A031</v>
      </c>
      <c r="Y1121" s="17" t="str">
        <f aca="false">VLOOKUP(X1121,Sheet2!A:B,2,0)</f>
        <v>NITIN PRANAMI</v>
      </c>
      <c r="Z1121" s="17" t="s">
        <v>524</v>
      </c>
      <c r="AA1121" s="17" t="s">
        <v>498</v>
      </c>
      <c r="AB1121" s="17" t="s">
        <v>41</v>
      </c>
      <c r="AC1121" s="0" t="str">
        <f aca="false">LEFT(G1121,2)</f>
        <v>85</v>
      </c>
      <c r="AE1121" s="21" t="s">
        <v>506</v>
      </c>
    </row>
    <row r="1122" customFormat="false" ht="15" hidden="false" customHeight="false" outlineLevel="0" collapsed="false">
      <c r="A1122" s="13" t="n">
        <f aca="false">1+A1121</f>
        <v>1120</v>
      </c>
      <c r="B1122" s="14" t="n">
        <v>1009633856</v>
      </c>
      <c r="C1122" s="17" t="s">
        <v>182</v>
      </c>
      <c r="D1122" s="16" t="s">
        <v>64</v>
      </c>
      <c r="E1122" s="17" t="s">
        <v>47</v>
      </c>
      <c r="F1122" s="18" t="s">
        <v>34</v>
      </c>
      <c r="G1122" s="19" t="n">
        <v>853213754981</v>
      </c>
      <c r="H1122" s="17" t="s">
        <v>35</v>
      </c>
      <c r="I1122" s="17" t="s">
        <v>36</v>
      </c>
      <c r="J1122" s="17" t="s">
        <v>118</v>
      </c>
      <c r="K1122" s="17" t="str">
        <f aca="false">VLOOKUP(J1122,Sheet2!A:B,2,0)</f>
        <v>DEVENDRA RAJPUT</v>
      </c>
      <c r="L1122" s="17" t="n">
        <v>1</v>
      </c>
      <c r="M1122" s="17" t="str">
        <f aca="false">VLOOKUP(L1122,Sheet2!D:E,2,0)</f>
        <v>Power Supply Section</v>
      </c>
      <c r="N1122" s="17" t="n">
        <v>1</v>
      </c>
      <c r="O1122" s="17" t="str">
        <f aca="false">VLOOKUP(N1122,Sheet2!G:H,2,0)</f>
        <v>Dead</v>
      </c>
      <c r="P1122" s="17" t="n">
        <v>11</v>
      </c>
      <c r="Q1122" s="17" t="str">
        <f aca="false">VLOOKUP(P1122,Sheet2!J:K,2,0)</f>
        <v>IR Declared due to CID -TA</v>
      </c>
      <c r="R1122" s="17" t="s">
        <v>35</v>
      </c>
      <c r="S1122" s="17" t="str">
        <f aca="false">VLOOKUP(R1122,Sheet2!N:O,2,0)</f>
        <v>IREPARABLE</v>
      </c>
      <c r="T1122" s="18" t="str">
        <f aca="false">VLOOKUP(P1122,Sheet2!Q:R,2,0)</f>
        <v>IR Normal - Track burn out</v>
      </c>
      <c r="U1122" s="18" t="s">
        <v>122</v>
      </c>
      <c r="V1122" s="17" t="n">
        <v>2</v>
      </c>
      <c r="W1122" s="20" t="str">
        <f aca="false">VLOOKUP(V1122,Sheet2!Q:R,2,0)</f>
        <v>IR CID -  Water log from other area</v>
      </c>
      <c r="X1122" s="17" t="str">
        <f aca="false">J1122</f>
        <v>A053</v>
      </c>
      <c r="Y1122" s="17" t="str">
        <f aca="false">VLOOKUP(X1122,Sheet2!A:B,2,0)</f>
        <v>DEVENDRA RAJPUT</v>
      </c>
      <c r="Z1122" s="17" t="s">
        <v>525</v>
      </c>
      <c r="AA1122" s="17" t="s">
        <v>498</v>
      </c>
      <c r="AB1122" s="17" t="s">
        <v>41</v>
      </c>
      <c r="AC1122" s="0" t="str">
        <f aca="false">LEFT(G1122,2)</f>
        <v>85</v>
      </c>
      <c r="AE1122" s="21" t="s">
        <v>506</v>
      </c>
    </row>
    <row r="1123" customFormat="false" ht="15" hidden="false" customHeight="false" outlineLevel="0" collapsed="false">
      <c r="A1123" s="13" t="n">
        <f aca="false">1+A1122</f>
        <v>1121</v>
      </c>
      <c r="B1123" s="14" t="n">
        <v>1009635468</v>
      </c>
      <c r="C1123" s="17" t="s">
        <v>182</v>
      </c>
      <c r="D1123" s="16" t="s">
        <v>64</v>
      </c>
      <c r="E1123" s="17" t="s">
        <v>64</v>
      </c>
      <c r="F1123" s="18" t="s">
        <v>34</v>
      </c>
      <c r="G1123" s="19" t="n">
        <v>844081737117</v>
      </c>
      <c r="H1123" s="17" t="s">
        <v>35</v>
      </c>
      <c r="I1123" s="17" t="s">
        <v>36</v>
      </c>
      <c r="J1123" s="17" t="s">
        <v>111</v>
      </c>
      <c r="K1123" s="17" t="str">
        <f aca="false">VLOOKUP(J1123,Sheet2!A:B,2,0)</f>
        <v>NITIN PRANAMI</v>
      </c>
      <c r="L1123" s="17" t="n">
        <v>1</v>
      </c>
      <c r="M1123" s="17" t="str">
        <f aca="false">VLOOKUP(L1123,Sheet2!D:E,2,0)</f>
        <v>Power Supply Section</v>
      </c>
      <c r="N1123" s="17" t="n">
        <v>1</v>
      </c>
      <c r="O1123" s="17" t="str">
        <f aca="false">VLOOKUP(N1123,Sheet2!G:H,2,0)</f>
        <v>Dead</v>
      </c>
      <c r="P1123" s="17" t="n">
        <v>11</v>
      </c>
      <c r="Q1123" s="17" t="str">
        <f aca="false">VLOOKUP(P1123,Sheet2!J:K,2,0)</f>
        <v>IR Declared due to CID -TA</v>
      </c>
      <c r="R1123" s="17" t="s">
        <v>35</v>
      </c>
      <c r="S1123" s="17" t="str">
        <f aca="false">VLOOKUP(R1123,Sheet2!N:O,2,0)</f>
        <v>IREPARABLE</v>
      </c>
      <c r="T1123" s="18" t="str">
        <f aca="false">VLOOKUP(P1123,Sheet2!Q:R,2,0)</f>
        <v>IR Normal - Track burn out</v>
      </c>
      <c r="U1123" s="18" t="s">
        <v>38</v>
      </c>
      <c r="V1123" s="17" t="n">
        <v>4</v>
      </c>
      <c r="W1123" s="20" t="str">
        <f aca="false">VLOOKUP(V1123,Sheet2!Q:R,2,0)</f>
        <v>IR CID - Tampered Track burn out</v>
      </c>
      <c r="X1123" s="17" t="str">
        <f aca="false">J1123</f>
        <v>A031</v>
      </c>
      <c r="Y1123" s="17" t="str">
        <f aca="false">VLOOKUP(X1123,Sheet2!A:B,2,0)</f>
        <v>NITIN PRANAMI</v>
      </c>
      <c r="Z1123" s="17" t="s">
        <v>526</v>
      </c>
      <c r="AA1123" s="17" t="s">
        <v>498</v>
      </c>
      <c r="AB1123" s="17" t="s">
        <v>41</v>
      </c>
      <c r="AC1123" s="0" t="str">
        <f aca="false">LEFT(G1123,2)</f>
        <v>84</v>
      </c>
      <c r="AE1123" s="21" t="s">
        <v>506</v>
      </c>
    </row>
    <row r="1124" customFormat="false" ht="15" hidden="false" customHeight="false" outlineLevel="0" collapsed="false">
      <c r="A1124" s="13" t="n">
        <f aca="false">1+A1123</f>
        <v>1122</v>
      </c>
      <c r="B1124" s="14" t="n">
        <v>1009633963</v>
      </c>
      <c r="C1124" s="17" t="s">
        <v>182</v>
      </c>
      <c r="D1124" s="16" t="s">
        <v>64</v>
      </c>
      <c r="E1124" s="17" t="s">
        <v>47</v>
      </c>
      <c r="F1124" s="18" t="s">
        <v>34</v>
      </c>
      <c r="G1124" s="19" t="n">
        <v>853207700115</v>
      </c>
      <c r="H1124" s="17" t="s">
        <v>35</v>
      </c>
      <c r="I1124" s="17" t="s">
        <v>36</v>
      </c>
      <c r="J1124" s="17" t="s">
        <v>100</v>
      </c>
      <c r="K1124" s="17" t="str">
        <f aca="false">VLOOKUP(J1124,Sheet2!A:B,2,0)</f>
        <v>PIYUSH CHAVDA</v>
      </c>
      <c r="L1124" s="17" t="n">
        <v>1</v>
      </c>
      <c r="M1124" s="17" t="str">
        <f aca="false">VLOOKUP(L1124,Sheet2!D:E,2,0)</f>
        <v>Power Supply Section</v>
      </c>
      <c r="N1124" s="17" t="n">
        <v>1</v>
      </c>
      <c r="O1124" s="17" t="str">
        <f aca="false">VLOOKUP(N1124,Sheet2!G:H,2,0)</f>
        <v>Dead</v>
      </c>
      <c r="P1124" s="17" t="n">
        <v>11</v>
      </c>
      <c r="Q1124" s="17" t="str">
        <f aca="false">VLOOKUP(P1124,Sheet2!J:K,2,0)</f>
        <v>IR Declared due to CID -TA</v>
      </c>
      <c r="R1124" s="17" t="s">
        <v>35</v>
      </c>
      <c r="S1124" s="17" t="str">
        <f aca="false">VLOOKUP(R1124,Sheet2!N:O,2,0)</f>
        <v>IREPARABLE</v>
      </c>
      <c r="T1124" s="18" t="str">
        <f aca="false">VLOOKUP(P1124,Sheet2!Q:R,2,0)</f>
        <v>IR Normal - Track burn out</v>
      </c>
      <c r="U1124" s="18" t="s">
        <v>122</v>
      </c>
      <c r="V1124" s="17" t="n">
        <v>2</v>
      </c>
      <c r="W1124" s="20" t="str">
        <f aca="false">VLOOKUP(V1124,Sheet2!Q:R,2,0)</f>
        <v>IR CID -  Water log from other area</v>
      </c>
      <c r="X1124" s="17" t="str">
        <f aca="false">J1124</f>
        <v>A050</v>
      </c>
      <c r="Y1124" s="17" t="str">
        <f aca="false">VLOOKUP(X1124,Sheet2!A:B,2,0)</f>
        <v>PIYUSH CHAVDA</v>
      </c>
      <c r="Z1124" s="17" t="s">
        <v>527</v>
      </c>
      <c r="AA1124" s="17" t="s">
        <v>498</v>
      </c>
      <c r="AB1124" s="17" t="s">
        <v>41</v>
      </c>
      <c r="AC1124" s="0" t="str">
        <f aca="false">LEFT(G1124,2)</f>
        <v>85</v>
      </c>
      <c r="AE1124" s="21" t="s">
        <v>506</v>
      </c>
    </row>
    <row r="1125" customFormat="false" ht="15" hidden="false" customHeight="false" outlineLevel="0" collapsed="false">
      <c r="A1125" s="13" t="n">
        <f aca="false">1+A1124</f>
        <v>1123</v>
      </c>
      <c r="B1125" s="14" t="n">
        <v>1009633933</v>
      </c>
      <c r="C1125" s="17" t="s">
        <v>182</v>
      </c>
      <c r="D1125" s="16" t="s">
        <v>64</v>
      </c>
      <c r="E1125" s="17" t="s">
        <v>64</v>
      </c>
      <c r="F1125" s="18" t="s">
        <v>34</v>
      </c>
      <c r="G1125" s="19" t="n">
        <v>853315743619</v>
      </c>
      <c r="H1125" s="17" t="s">
        <v>35</v>
      </c>
      <c r="I1125" s="17" t="s">
        <v>36</v>
      </c>
      <c r="J1125" s="17" t="s">
        <v>121</v>
      </c>
      <c r="K1125" s="17" t="str">
        <f aca="false">VLOOKUP(J1125,Sheet2!A:B,2,0)</f>
        <v>SHANI GOHIL</v>
      </c>
      <c r="L1125" s="17" t="n">
        <v>1</v>
      </c>
      <c r="M1125" s="17" t="str">
        <f aca="false">VLOOKUP(L1125,Sheet2!D:E,2,0)</f>
        <v>Power Supply Section</v>
      </c>
      <c r="N1125" s="17" t="n">
        <v>1</v>
      </c>
      <c r="O1125" s="17" t="str">
        <f aca="false">VLOOKUP(N1125,Sheet2!G:H,2,0)</f>
        <v>Dead</v>
      </c>
      <c r="P1125" s="17" t="n">
        <v>11</v>
      </c>
      <c r="Q1125" s="17" t="str">
        <f aca="false">VLOOKUP(P1125,Sheet2!J:K,2,0)</f>
        <v>IR Declared due to CID -TA</v>
      </c>
      <c r="R1125" s="17" t="s">
        <v>35</v>
      </c>
      <c r="S1125" s="17" t="str">
        <f aca="false">VLOOKUP(R1125,Sheet2!N:O,2,0)</f>
        <v>IREPARABLE</v>
      </c>
      <c r="T1125" s="18" t="str">
        <f aca="false">VLOOKUP(P1125,Sheet2!Q:R,2,0)</f>
        <v>IR Normal - Track burn out</v>
      </c>
      <c r="U1125" s="18" t="s">
        <v>122</v>
      </c>
      <c r="V1125" s="17" t="n">
        <v>2</v>
      </c>
      <c r="W1125" s="20" t="str">
        <f aca="false">VLOOKUP(V1125,Sheet2!Q:R,2,0)</f>
        <v>IR CID -  Water log from other area</v>
      </c>
      <c r="X1125" s="17" t="str">
        <f aca="false">J1125</f>
        <v>A063</v>
      </c>
      <c r="Y1125" s="17" t="str">
        <f aca="false">VLOOKUP(X1125,Sheet2!A:B,2,0)</f>
        <v>SHANI GOHIL</v>
      </c>
      <c r="Z1125" s="17" t="s">
        <v>528</v>
      </c>
      <c r="AA1125" s="17" t="s">
        <v>498</v>
      </c>
      <c r="AB1125" s="17" t="s">
        <v>41</v>
      </c>
      <c r="AC1125" s="0" t="str">
        <f aca="false">LEFT(G1125,2)</f>
        <v>85</v>
      </c>
      <c r="AE1125" s="21" t="s">
        <v>506</v>
      </c>
    </row>
    <row r="1126" customFormat="false" ht="15" hidden="false" customHeight="false" outlineLevel="0" collapsed="false">
      <c r="A1126" s="13" t="n">
        <f aca="false">1+A1125</f>
        <v>1124</v>
      </c>
      <c r="B1126" s="14" t="n">
        <v>1009641588</v>
      </c>
      <c r="C1126" s="17" t="s">
        <v>429</v>
      </c>
      <c r="D1126" s="16" t="s">
        <v>175</v>
      </c>
      <c r="E1126" s="17" t="s">
        <v>176</v>
      </c>
      <c r="F1126" s="18" t="s">
        <v>34</v>
      </c>
      <c r="G1126" s="19" t="n">
        <v>853207724800</v>
      </c>
      <c r="H1126" s="17" t="s">
        <v>35</v>
      </c>
      <c r="I1126" s="17" t="s">
        <v>36</v>
      </c>
      <c r="J1126" s="17" t="s">
        <v>100</v>
      </c>
      <c r="K1126" s="17" t="str">
        <f aca="false">VLOOKUP(J1126,Sheet2!A:B,2,0)</f>
        <v>PIYUSH CHAVDA</v>
      </c>
      <c r="L1126" s="17" t="n">
        <v>1</v>
      </c>
      <c r="M1126" s="17" t="str">
        <f aca="false">VLOOKUP(L1126,Sheet2!D:E,2,0)</f>
        <v>Power Supply Section</v>
      </c>
      <c r="N1126" s="17" t="n">
        <v>1</v>
      </c>
      <c r="O1126" s="17" t="str">
        <f aca="false">VLOOKUP(N1126,Sheet2!G:H,2,0)</f>
        <v>Dead</v>
      </c>
      <c r="P1126" s="17" t="n">
        <v>11</v>
      </c>
      <c r="Q1126" s="17" t="str">
        <f aca="false">VLOOKUP(P1126,Sheet2!J:K,2,0)</f>
        <v>IR Declared due to CID -TA</v>
      </c>
      <c r="R1126" s="17" t="s">
        <v>35</v>
      </c>
      <c r="S1126" s="17" t="str">
        <f aca="false">VLOOKUP(R1126,Sheet2!N:O,2,0)</f>
        <v>IREPARABLE</v>
      </c>
      <c r="T1126" s="18" t="str">
        <f aca="false">VLOOKUP(P1126,Sheet2!Q:R,2,0)</f>
        <v>IR Normal - Track burn out</v>
      </c>
      <c r="U1126" s="18" t="s">
        <v>122</v>
      </c>
      <c r="V1126" s="17" t="n">
        <v>2</v>
      </c>
      <c r="W1126" s="20" t="str">
        <f aca="false">VLOOKUP(V1126,Sheet2!Q:R,2,0)</f>
        <v>IR CID -  Water log from other area</v>
      </c>
      <c r="X1126" s="17" t="str">
        <f aca="false">J1126</f>
        <v>A050</v>
      </c>
      <c r="Y1126" s="17" t="str">
        <f aca="false">VLOOKUP(X1126,Sheet2!A:B,2,0)</f>
        <v>PIYUSH CHAVDA</v>
      </c>
      <c r="Z1126" s="17" t="s">
        <v>529</v>
      </c>
      <c r="AA1126" s="17" t="s">
        <v>498</v>
      </c>
      <c r="AB1126" s="17" t="s">
        <v>41</v>
      </c>
      <c r="AC1126" s="0" t="str">
        <f aca="false">LEFT(G1126,2)</f>
        <v>85</v>
      </c>
      <c r="AE1126" s="21" t="s">
        <v>506</v>
      </c>
    </row>
    <row r="1127" customFormat="false" ht="15" hidden="false" customHeight="false" outlineLevel="0" collapsed="false">
      <c r="A1127" s="13" t="n">
        <f aca="false">1+A1126</f>
        <v>1125</v>
      </c>
      <c r="B1127" s="14" t="n">
        <v>1009647980</v>
      </c>
      <c r="C1127" s="17" t="s">
        <v>204</v>
      </c>
      <c r="D1127" s="16" t="s">
        <v>64</v>
      </c>
      <c r="E1127" s="17" t="s">
        <v>64</v>
      </c>
      <c r="F1127" s="18" t="s">
        <v>34</v>
      </c>
      <c r="G1127" s="19" t="n">
        <v>844094701241</v>
      </c>
      <c r="H1127" s="17" t="s">
        <v>35</v>
      </c>
      <c r="I1127" s="17" t="s">
        <v>36</v>
      </c>
      <c r="J1127" s="17" t="s">
        <v>239</v>
      </c>
      <c r="K1127" s="17" t="str">
        <f aca="false">VLOOKUP(J1127,Sheet2!A:B,2,0)</f>
        <v>VASANT PARMAR</v>
      </c>
      <c r="L1127" s="17" t="n">
        <v>5</v>
      </c>
      <c r="M1127" s="17" t="str">
        <f aca="false">VLOOKUP(L1127,Sheet2!D:E,2,0)</f>
        <v>Main Processor CPU BGA</v>
      </c>
      <c r="N1127" s="17" t="n">
        <v>1</v>
      </c>
      <c r="O1127" s="17" t="str">
        <f aca="false">VLOOKUP(N1127,Sheet2!G:H,2,0)</f>
        <v>Dead</v>
      </c>
      <c r="P1127" s="17" t="n">
        <v>11</v>
      </c>
      <c r="Q1127" s="17" t="str">
        <f aca="false">VLOOKUP(P1127,Sheet2!J:K,2,0)</f>
        <v>IR Declared due to CID -TA</v>
      </c>
      <c r="R1127" s="17" t="s">
        <v>35</v>
      </c>
      <c r="S1127" s="17" t="str">
        <f aca="false">VLOOKUP(R1127,Sheet2!N:O,2,0)</f>
        <v>IREPARABLE</v>
      </c>
      <c r="T1127" s="18" t="str">
        <f aca="false">VLOOKUP(P1127,Sheet2!Q:R,2,0)</f>
        <v>IR Normal - Track burn out</v>
      </c>
      <c r="U1127" s="18" t="s">
        <v>122</v>
      </c>
      <c r="V1127" s="17" t="n">
        <v>2</v>
      </c>
      <c r="W1127" s="20" t="str">
        <f aca="false">VLOOKUP(V1127,Sheet2!Q:R,2,0)</f>
        <v>IR CID -  Water log from other area</v>
      </c>
      <c r="X1127" s="17" t="str">
        <f aca="false">J1127</f>
        <v>A005</v>
      </c>
      <c r="Y1127" s="17" t="str">
        <f aca="false">VLOOKUP(X1127,Sheet2!A:B,2,0)</f>
        <v>VASANT PARMAR</v>
      </c>
      <c r="Z1127" s="17" t="s">
        <v>530</v>
      </c>
      <c r="AA1127" s="17" t="s">
        <v>498</v>
      </c>
      <c r="AB1127" s="17" t="s">
        <v>41</v>
      </c>
      <c r="AC1127" s="0" t="str">
        <f aca="false">LEFT(G1127,2)</f>
        <v>84</v>
      </c>
      <c r="AE1127" s="21" t="s">
        <v>506</v>
      </c>
    </row>
    <row r="1128" customFormat="false" ht="15" hidden="false" customHeight="false" outlineLevel="0" collapsed="false">
      <c r="A1128" s="13" t="n">
        <f aca="false">1+A1127</f>
        <v>1126</v>
      </c>
      <c r="B1128" s="14" t="n">
        <v>1009635072</v>
      </c>
      <c r="C1128" s="17" t="s">
        <v>182</v>
      </c>
      <c r="D1128" s="16" t="s">
        <v>230</v>
      </c>
      <c r="E1128" s="17" t="s">
        <v>47</v>
      </c>
      <c r="F1128" s="18" t="s">
        <v>34</v>
      </c>
      <c r="G1128" s="19" t="n">
        <v>277317100901</v>
      </c>
      <c r="H1128" s="17" t="s">
        <v>35</v>
      </c>
      <c r="I1128" s="17" t="s">
        <v>74</v>
      </c>
      <c r="J1128" s="17" t="s">
        <v>100</v>
      </c>
      <c r="K1128" s="17" t="str">
        <f aca="false">VLOOKUP(J1128,Sheet2!A:B,2,0)</f>
        <v>PIYUSH CHAVDA</v>
      </c>
      <c r="L1128" s="17" t="n">
        <v>1</v>
      </c>
      <c r="M1128" s="17" t="str">
        <f aca="false">VLOOKUP(L1128,Sheet2!D:E,2,0)</f>
        <v>Power Supply Section</v>
      </c>
      <c r="N1128" s="17" t="n">
        <v>1</v>
      </c>
      <c r="O1128" s="17" t="str">
        <f aca="false">VLOOKUP(N1128,Sheet2!G:H,2,0)</f>
        <v>Dead</v>
      </c>
      <c r="P1128" s="17" t="n">
        <v>11</v>
      </c>
      <c r="Q1128" s="17" t="str">
        <f aca="false">VLOOKUP(P1128,Sheet2!J:K,2,0)</f>
        <v>IR Declared due to CID -TA</v>
      </c>
      <c r="R1128" s="17" t="s">
        <v>35</v>
      </c>
      <c r="S1128" s="17" t="str">
        <f aca="false">VLOOKUP(R1128,Sheet2!N:O,2,0)</f>
        <v>IREPARABLE</v>
      </c>
      <c r="T1128" s="18" t="str">
        <f aca="false">VLOOKUP(P1128,Sheet2!Q:R,2,0)</f>
        <v>IR Normal - Track burn out</v>
      </c>
      <c r="U1128" s="18" t="s">
        <v>122</v>
      </c>
      <c r="V1128" s="17" t="n">
        <v>2</v>
      </c>
      <c r="W1128" s="20" t="str">
        <f aca="false">VLOOKUP(V1128,Sheet2!Q:R,2,0)</f>
        <v>IR CID -  Water log from other area</v>
      </c>
      <c r="X1128" s="17" t="str">
        <f aca="false">J1128</f>
        <v>A050</v>
      </c>
      <c r="Y1128" s="17" t="str">
        <f aca="false">VLOOKUP(X1128,Sheet2!A:B,2,0)</f>
        <v>PIYUSH CHAVDA</v>
      </c>
      <c r="Z1128" s="17" t="s">
        <v>531</v>
      </c>
      <c r="AA1128" s="17" t="s">
        <v>498</v>
      </c>
      <c r="AB1128" s="17" t="s">
        <v>41</v>
      </c>
      <c r="AC1128" s="0" t="str">
        <f aca="false">LEFT(G1128,2)</f>
        <v>27</v>
      </c>
      <c r="AE1128" s="21" t="s">
        <v>506</v>
      </c>
    </row>
    <row r="1129" customFormat="false" ht="15" hidden="false" customHeight="false" outlineLevel="0" collapsed="false">
      <c r="A1129" s="13" t="n">
        <f aca="false">1+A1128</f>
        <v>1127</v>
      </c>
      <c r="B1129" s="14" t="n">
        <v>1009605121</v>
      </c>
      <c r="C1129" s="17" t="s">
        <v>181</v>
      </c>
      <c r="D1129" s="16" t="s">
        <v>64</v>
      </c>
      <c r="E1129" s="17" t="s">
        <v>33</v>
      </c>
      <c r="F1129" s="18" t="s">
        <v>34</v>
      </c>
      <c r="G1129" s="19" t="n">
        <v>277321205845</v>
      </c>
      <c r="H1129" s="17" t="s">
        <v>35</v>
      </c>
      <c r="I1129" s="17" t="s">
        <v>74</v>
      </c>
      <c r="J1129" s="17" t="s">
        <v>111</v>
      </c>
      <c r="K1129" s="17" t="str">
        <f aca="false">VLOOKUP(J1129,Sheet2!A:B,2,0)</f>
        <v>NITIN PRANAMI</v>
      </c>
      <c r="L1129" s="17" t="n">
        <v>1</v>
      </c>
      <c r="M1129" s="17" t="str">
        <f aca="false">VLOOKUP(L1129,Sheet2!D:E,2,0)</f>
        <v>Power Supply Section</v>
      </c>
      <c r="N1129" s="17" t="n">
        <v>1</v>
      </c>
      <c r="O1129" s="17" t="str">
        <f aca="false">VLOOKUP(N1129,Sheet2!G:H,2,0)</f>
        <v>Dead</v>
      </c>
      <c r="P1129" s="17" t="n">
        <v>11</v>
      </c>
      <c r="Q1129" s="17" t="str">
        <f aca="false">VLOOKUP(P1129,Sheet2!J:K,2,0)</f>
        <v>IR Declared due to CID -TA</v>
      </c>
      <c r="R1129" s="17" t="s">
        <v>35</v>
      </c>
      <c r="S1129" s="17" t="str">
        <f aca="false">VLOOKUP(R1129,Sheet2!N:O,2,0)</f>
        <v>IREPARABLE</v>
      </c>
      <c r="T1129" s="18" t="str">
        <f aca="false">VLOOKUP(P1129,Sheet2!Q:R,2,0)</f>
        <v>IR Normal - Track burn out</v>
      </c>
      <c r="U1129" s="18" t="s">
        <v>122</v>
      </c>
      <c r="V1129" s="17" t="n">
        <v>2</v>
      </c>
      <c r="W1129" s="20" t="str">
        <f aca="false">VLOOKUP(V1129,Sheet2!Q:R,2,0)</f>
        <v>IR CID -  Water log from other area</v>
      </c>
      <c r="X1129" s="17" t="str">
        <f aca="false">J1129</f>
        <v>A031</v>
      </c>
      <c r="Y1129" s="17" t="str">
        <f aca="false">VLOOKUP(X1129,Sheet2!A:B,2,0)</f>
        <v>NITIN PRANAMI</v>
      </c>
      <c r="Z1129" s="17" t="s">
        <v>532</v>
      </c>
      <c r="AA1129" s="17" t="s">
        <v>498</v>
      </c>
      <c r="AB1129" s="17" t="s">
        <v>41</v>
      </c>
      <c r="AC1129" s="0" t="str">
        <f aca="false">LEFT(G1129,2)</f>
        <v>27</v>
      </c>
      <c r="AE1129" s="21" t="s">
        <v>506</v>
      </c>
    </row>
    <row r="1130" customFormat="false" ht="15" hidden="false" customHeight="false" outlineLevel="0" collapsed="false">
      <c r="A1130" s="13" t="n">
        <f aca="false">1+A1129</f>
        <v>1128</v>
      </c>
      <c r="B1130" s="14" t="n">
        <v>1009611188</v>
      </c>
      <c r="C1130" s="17" t="s">
        <v>181</v>
      </c>
      <c r="D1130" s="16" t="s">
        <v>119</v>
      </c>
      <c r="E1130" s="17" t="s">
        <v>33</v>
      </c>
      <c r="F1130" s="18" t="s">
        <v>34</v>
      </c>
      <c r="G1130" s="19" t="n">
        <v>277283128951</v>
      </c>
      <c r="H1130" s="17" t="s">
        <v>35</v>
      </c>
      <c r="I1130" s="17" t="s">
        <v>74</v>
      </c>
      <c r="J1130" s="17" t="s">
        <v>111</v>
      </c>
      <c r="K1130" s="17" t="str">
        <f aca="false">VLOOKUP(J1130,Sheet2!A:B,2,0)</f>
        <v>NITIN PRANAMI</v>
      </c>
      <c r="L1130" s="17" t="n">
        <v>5</v>
      </c>
      <c r="M1130" s="17" t="str">
        <f aca="false">VLOOKUP(L1130,Sheet2!D:E,2,0)</f>
        <v>Main Processor CPU BGA</v>
      </c>
      <c r="N1130" s="17" t="n">
        <v>24</v>
      </c>
      <c r="O1130" s="17" t="str">
        <f aca="false">VLOOKUP(N1130,Sheet2!G:H,2,0)</f>
        <v>STB Auto moving -Stand by mode</v>
      </c>
      <c r="P1130" s="17" t="n">
        <v>11</v>
      </c>
      <c r="Q1130" s="17" t="str">
        <f aca="false">VLOOKUP(P1130,Sheet2!J:K,2,0)</f>
        <v>IR Declared due to CID -TA</v>
      </c>
      <c r="R1130" s="17" t="s">
        <v>35</v>
      </c>
      <c r="S1130" s="17" t="str">
        <f aca="false">VLOOKUP(R1130,Sheet2!N:O,2,0)</f>
        <v>IREPARABLE</v>
      </c>
      <c r="T1130" s="18" t="str">
        <f aca="false">VLOOKUP(P1130,Sheet2!Q:R,2,0)</f>
        <v>IR Normal - Track burn out</v>
      </c>
      <c r="U1130" s="18" t="s">
        <v>122</v>
      </c>
      <c r="V1130" s="17" t="n">
        <v>2</v>
      </c>
      <c r="W1130" s="20" t="str">
        <f aca="false">VLOOKUP(V1130,Sheet2!Q:R,2,0)</f>
        <v>IR CID -  Water log from other area</v>
      </c>
      <c r="X1130" s="17" t="str">
        <f aca="false">J1130</f>
        <v>A031</v>
      </c>
      <c r="Y1130" s="17" t="str">
        <f aca="false">VLOOKUP(X1130,Sheet2!A:B,2,0)</f>
        <v>NITIN PRANAMI</v>
      </c>
      <c r="Z1130" s="17" t="s">
        <v>533</v>
      </c>
      <c r="AA1130" s="17" t="s">
        <v>498</v>
      </c>
      <c r="AB1130" s="17" t="s">
        <v>41</v>
      </c>
      <c r="AC1130" s="0" t="str">
        <f aca="false">LEFT(G1130,2)</f>
        <v>27</v>
      </c>
      <c r="AE1130" s="21" t="s">
        <v>506</v>
      </c>
    </row>
    <row r="1131" customFormat="false" ht="15" hidden="false" customHeight="false" outlineLevel="0" collapsed="false">
      <c r="A1131" s="13" t="n">
        <f aca="false">1+A1130</f>
        <v>1129</v>
      </c>
      <c r="B1131" s="14" t="n">
        <v>1009648049</v>
      </c>
      <c r="C1131" s="17" t="s">
        <v>204</v>
      </c>
      <c r="D1131" s="16" t="s">
        <v>219</v>
      </c>
      <c r="E1131" s="17" t="s">
        <v>47</v>
      </c>
      <c r="F1131" s="18" t="s">
        <v>34</v>
      </c>
      <c r="G1131" s="19" t="n">
        <v>288095127966</v>
      </c>
      <c r="H1131" s="17" t="s">
        <v>35</v>
      </c>
      <c r="I1131" s="17" t="s">
        <v>74</v>
      </c>
      <c r="J1131" s="17" t="s">
        <v>100</v>
      </c>
      <c r="K1131" s="17" t="str">
        <f aca="false">VLOOKUP(J1131,Sheet2!A:B,2,0)</f>
        <v>PIYUSH CHAVDA</v>
      </c>
      <c r="L1131" s="17" t="n">
        <v>1</v>
      </c>
      <c r="M1131" s="17" t="str">
        <f aca="false">VLOOKUP(L1131,Sheet2!D:E,2,0)</f>
        <v>Power Supply Section</v>
      </c>
      <c r="N1131" s="17" t="n">
        <v>1</v>
      </c>
      <c r="O1131" s="17" t="str">
        <f aca="false">VLOOKUP(N1131,Sheet2!G:H,2,0)</f>
        <v>Dead</v>
      </c>
      <c r="P1131" s="17" t="n">
        <v>11</v>
      </c>
      <c r="Q1131" s="17" t="str">
        <f aca="false">VLOOKUP(P1131,Sheet2!J:K,2,0)</f>
        <v>IR Declared due to CID -TA</v>
      </c>
      <c r="R1131" s="17" t="s">
        <v>35</v>
      </c>
      <c r="S1131" s="17" t="str">
        <f aca="false">VLOOKUP(R1131,Sheet2!N:O,2,0)</f>
        <v>IREPARABLE</v>
      </c>
      <c r="T1131" s="18" t="str">
        <f aca="false">VLOOKUP(P1131,Sheet2!Q:R,2,0)</f>
        <v>IR Normal - Track burn out</v>
      </c>
      <c r="U1131" s="18" t="s">
        <v>122</v>
      </c>
      <c r="V1131" s="17" t="n">
        <v>2</v>
      </c>
      <c r="W1131" s="20" t="str">
        <f aca="false">VLOOKUP(V1131,Sheet2!Q:R,2,0)</f>
        <v>IR CID -  Water log from other area</v>
      </c>
      <c r="X1131" s="17" t="str">
        <f aca="false">J1131</f>
        <v>A050</v>
      </c>
      <c r="Y1131" s="17" t="str">
        <f aca="false">VLOOKUP(X1131,Sheet2!A:B,2,0)</f>
        <v>PIYUSH CHAVDA</v>
      </c>
      <c r="Z1131" s="17" t="s">
        <v>534</v>
      </c>
      <c r="AA1131" s="17" t="s">
        <v>498</v>
      </c>
      <c r="AB1131" s="17" t="s">
        <v>41</v>
      </c>
      <c r="AC1131" s="0" t="str">
        <f aca="false">LEFT(G1131,2)</f>
        <v>28</v>
      </c>
      <c r="AE1131" s="21" t="s">
        <v>506</v>
      </c>
    </row>
    <row r="1132" customFormat="false" ht="15" hidden="false" customHeight="false" outlineLevel="0" collapsed="false">
      <c r="A1132" s="13" t="n">
        <f aca="false">1+A1131</f>
        <v>1130</v>
      </c>
      <c r="B1132" s="14" t="n">
        <v>1009492381</v>
      </c>
      <c r="C1132" s="17" t="s">
        <v>220</v>
      </c>
      <c r="D1132" s="16" t="s">
        <v>64</v>
      </c>
      <c r="E1132" s="17" t="s">
        <v>64</v>
      </c>
      <c r="F1132" s="18" t="s">
        <v>34</v>
      </c>
      <c r="G1132" s="19" t="n">
        <v>288146227773</v>
      </c>
      <c r="H1132" s="17" t="s">
        <v>35</v>
      </c>
      <c r="I1132" s="17" t="s">
        <v>74</v>
      </c>
      <c r="J1132" s="17" t="s">
        <v>115</v>
      </c>
      <c r="K1132" s="17" t="str">
        <f aca="false">VLOOKUP(J1132,Sheet2!A:B,2,0)</f>
        <v>ANKIT RANA</v>
      </c>
      <c r="L1132" s="17" t="n">
        <v>1</v>
      </c>
      <c r="M1132" s="17" t="str">
        <f aca="false">VLOOKUP(L1132,Sheet2!D:E,2,0)</f>
        <v>Power Supply Section</v>
      </c>
      <c r="N1132" s="17" t="n">
        <v>1</v>
      </c>
      <c r="O1132" s="17" t="str">
        <f aca="false">VLOOKUP(N1132,Sheet2!G:H,2,0)</f>
        <v>Dead</v>
      </c>
      <c r="P1132" s="17" t="n">
        <v>11</v>
      </c>
      <c r="Q1132" s="17" t="str">
        <f aca="false">VLOOKUP(P1132,Sheet2!J:K,2,0)</f>
        <v>IR Declared due to CID -TA</v>
      </c>
      <c r="R1132" s="17" t="s">
        <v>35</v>
      </c>
      <c r="S1132" s="17" t="str">
        <f aca="false">VLOOKUP(R1132,Sheet2!N:O,2,0)</f>
        <v>IREPARABLE</v>
      </c>
      <c r="T1132" s="18" t="str">
        <f aca="false">VLOOKUP(P1132,Sheet2!Q:R,2,0)</f>
        <v>IR Normal - Track burn out</v>
      </c>
      <c r="U1132" s="18" t="s">
        <v>122</v>
      </c>
      <c r="V1132" s="17" t="n">
        <v>2</v>
      </c>
      <c r="W1132" s="20" t="str">
        <f aca="false">VLOOKUP(V1132,Sheet2!Q:R,2,0)</f>
        <v>IR CID -  Water log from other area</v>
      </c>
      <c r="X1132" s="17" t="str">
        <f aca="false">J1132</f>
        <v>A042</v>
      </c>
      <c r="Y1132" s="17" t="str">
        <f aca="false">VLOOKUP(X1132,Sheet2!A:B,2,0)</f>
        <v>ANKIT RANA</v>
      </c>
      <c r="Z1132" s="17" t="s">
        <v>535</v>
      </c>
      <c r="AA1132" s="17" t="s">
        <v>498</v>
      </c>
      <c r="AB1132" s="17" t="s">
        <v>41</v>
      </c>
      <c r="AC1132" s="0" t="str">
        <f aca="false">LEFT(G1132,2)</f>
        <v>28</v>
      </c>
      <c r="AE1132" s="21" t="s">
        <v>506</v>
      </c>
    </row>
    <row r="1133" customFormat="false" ht="15" hidden="false" customHeight="false" outlineLevel="0" collapsed="false">
      <c r="A1133" s="13" t="n">
        <f aca="false">1+A1132</f>
        <v>1131</v>
      </c>
      <c r="B1133" s="14" t="n">
        <v>1009648164</v>
      </c>
      <c r="C1133" s="17" t="s">
        <v>204</v>
      </c>
      <c r="D1133" s="16" t="s">
        <v>64</v>
      </c>
      <c r="E1133" s="17" t="s">
        <v>64</v>
      </c>
      <c r="F1133" s="18" t="s">
        <v>34</v>
      </c>
      <c r="G1133" s="19" t="n">
        <v>844046755378</v>
      </c>
      <c r="H1133" s="17" t="s">
        <v>35</v>
      </c>
      <c r="I1133" s="17" t="s">
        <v>36</v>
      </c>
      <c r="J1133" s="17" t="s">
        <v>239</v>
      </c>
      <c r="K1133" s="17" t="str">
        <f aca="false">VLOOKUP(J1133,Sheet2!A:B,2,0)</f>
        <v>VASANT PARMAR</v>
      </c>
      <c r="L1133" s="17" t="n">
        <v>5</v>
      </c>
      <c r="M1133" s="17" t="str">
        <f aca="false">VLOOKUP(L1133,Sheet2!D:E,2,0)</f>
        <v>Main Processor CPU BGA</v>
      </c>
      <c r="N1133" s="17" t="n">
        <v>1</v>
      </c>
      <c r="O1133" s="17" t="str">
        <f aca="false">VLOOKUP(N1133,Sheet2!G:H,2,0)</f>
        <v>Dead</v>
      </c>
      <c r="P1133" s="17" t="n">
        <v>11</v>
      </c>
      <c r="Q1133" s="17" t="str">
        <f aca="false">VLOOKUP(P1133,Sheet2!J:K,2,0)</f>
        <v>IR Declared due to CID -TA</v>
      </c>
      <c r="R1133" s="17" t="s">
        <v>35</v>
      </c>
      <c r="S1133" s="17" t="str">
        <f aca="false">VLOOKUP(R1133,Sheet2!N:O,2,0)</f>
        <v>IREPARABLE</v>
      </c>
      <c r="T1133" s="18" t="str">
        <f aca="false">VLOOKUP(P1133,Sheet2!Q:R,2,0)</f>
        <v>IR Normal - Track burn out</v>
      </c>
      <c r="U1133" s="18" t="s">
        <v>199</v>
      </c>
      <c r="V1133" s="17" t="n">
        <v>3</v>
      </c>
      <c r="W1133" s="20" t="str">
        <f aca="false">VLOOKUP(V1133,Sheet2!Q:R,2,0)</f>
        <v>IR CID - Tampered TrackOpen/Reworkdone </v>
      </c>
      <c r="X1133" s="17" t="str">
        <f aca="false">J1133</f>
        <v>A005</v>
      </c>
      <c r="Y1133" s="17" t="str">
        <f aca="false">VLOOKUP(X1133,Sheet2!A:B,2,0)</f>
        <v>VASANT PARMAR</v>
      </c>
      <c r="Z1133" s="17" t="s">
        <v>149</v>
      </c>
      <c r="AA1133" s="17" t="s">
        <v>498</v>
      </c>
      <c r="AB1133" s="17" t="s">
        <v>41</v>
      </c>
      <c r="AC1133" s="0" t="str">
        <f aca="false">LEFT(G1133,2)</f>
        <v>84</v>
      </c>
      <c r="AE1133" s="21" t="s">
        <v>506</v>
      </c>
    </row>
    <row r="1134" customFormat="false" ht="15" hidden="false" customHeight="false" outlineLevel="0" collapsed="false">
      <c r="A1134" s="13" t="n">
        <f aca="false">1+A1133</f>
        <v>1132</v>
      </c>
      <c r="B1134" s="14" t="n">
        <v>1009642905</v>
      </c>
      <c r="C1134" s="17" t="s">
        <v>429</v>
      </c>
      <c r="D1134" s="16" t="s">
        <v>56</v>
      </c>
      <c r="E1134" s="17" t="s">
        <v>47</v>
      </c>
      <c r="F1134" s="18" t="s">
        <v>34</v>
      </c>
      <c r="G1134" s="19" t="n">
        <v>853280736457</v>
      </c>
      <c r="H1134" s="17" t="s">
        <v>35</v>
      </c>
      <c r="I1134" s="17" t="s">
        <v>36</v>
      </c>
      <c r="J1134" s="17" t="s">
        <v>239</v>
      </c>
      <c r="K1134" s="17" t="str">
        <f aca="false">VLOOKUP(J1134,Sheet2!A:B,2,0)</f>
        <v>VASANT PARMAR</v>
      </c>
      <c r="L1134" s="17" t="n">
        <v>5</v>
      </c>
      <c r="M1134" s="17" t="str">
        <f aca="false">VLOOKUP(L1134,Sheet2!D:E,2,0)</f>
        <v>Main Processor CPU BGA</v>
      </c>
      <c r="N1134" s="17" t="n">
        <v>1</v>
      </c>
      <c r="O1134" s="17" t="str">
        <f aca="false">VLOOKUP(N1134,Sheet2!G:H,2,0)</f>
        <v>Dead</v>
      </c>
      <c r="P1134" s="17" t="n">
        <v>11</v>
      </c>
      <c r="Q1134" s="17" t="str">
        <f aca="false">VLOOKUP(P1134,Sheet2!J:K,2,0)</f>
        <v>IR Declared due to CID -TA</v>
      </c>
      <c r="R1134" s="17" t="s">
        <v>35</v>
      </c>
      <c r="S1134" s="17" t="str">
        <f aca="false">VLOOKUP(R1134,Sheet2!N:O,2,0)</f>
        <v>IREPARABLE</v>
      </c>
      <c r="T1134" s="18" t="str">
        <f aca="false">VLOOKUP(P1134,Sheet2!Q:R,2,0)</f>
        <v>IR Normal - Track burn out</v>
      </c>
      <c r="U1134" s="18" t="s">
        <v>122</v>
      </c>
      <c r="V1134" s="17" t="n">
        <v>2</v>
      </c>
      <c r="W1134" s="20" t="str">
        <f aca="false">VLOOKUP(V1134,Sheet2!Q:R,2,0)</f>
        <v>IR CID -  Water log from other area</v>
      </c>
      <c r="X1134" s="17" t="str">
        <f aca="false">J1134</f>
        <v>A005</v>
      </c>
      <c r="Y1134" s="17" t="str">
        <f aca="false">VLOOKUP(X1134,Sheet2!A:B,2,0)</f>
        <v>VASANT PARMAR</v>
      </c>
      <c r="Z1134" s="17" t="s">
        <v>536</v>
      </c>
      <c r="AA1134" s="17" t="s">
        <v>498</v>
      </c>
      <c r="AB1134" s="17" t="s">
        <v>41</v>
      </c>
      <c r="AC1134" s="0" t="str">
        <f aca="false">LEFT(G1134,2)</f>
        <v>85</v>
      </c>
      <c r="AE1134" s="21" t="s">
        <v>506</v>
      </c>
    </row>
    <row r="1135" customFormat="false" ht="15" hidden="false" customHeight="false" outlineLevel="0" collapsed="false">
      <c r="A1135" s="13" t="n">
        <f aca="false">1+A1134</f>
        <v>1133</v>
      </c>
      <c r="B1135" s="14" t="n">
        <v>1009641971</v>
      </c>
      <c r="C1135" s="17" t="s">
        <v>429</v>
      </c>
      <c r="D1135" s="16" t="s">
        <v>537</v>
      </c>
      <c r="E1135" s="17" t="s">
        <v>33</v>
      </c>
      <c r="F1135" s="18" t="s">
        <v>34</v>
      </c>
      <c r="G1135" s="19" t="n">
        <v>288126104869</v>
      </c>
      <c r="H1135" s="17" t="s">
        <v>35</v>
      </c>
      <c r="I1135" s="17" t="s">
        <v>74</v>
      </c>
      <c r="J1135" s="17" t="s">
        <v>118</v>
      </c>
      <c r="K1135" s="17" t="str">
        <f aca="false">VLOOKUP(J1135,Sheet2!A:B,2,0)</f>
        <v>DEVENDRA RAJPUT</v>
      </c>
      <c r="L1135" s="17" t="n">
        <v>5</v>
      </c>
      <c r="M1135" s="17" t="str">
        <f aca="false">VLOOKUP(L1135,Sheet2!D:E,2,0)</f>
        <v>Main Processor CPU BGA</v>
      </c>
      <c r="N1135" s="17" t="n">
        <v>24</v>
      </c>
      <c r="O1135" s="17" t="str">
        <f aca="false">VLOOKUP(N1135,Sheet2!G:H,2,0)</f>
        <v>STB Auto moving -Stand by mode</v>
      </c>
      <c r="P1135" s="17" t="n">
        <v>11</v>
      </c>
      <c r="Q1135" s="17" t="str">
        <f aca="false">VLOOKUP(P1135,Sheet2!J:K,2,0)</f>
        <v>IR Declared due to CID -TA</v>
      </c>
      <c r="R1135" s="17" t="s">
        <v>35</v>
      </c>
      <c r="S1135" s="17" t="str">
        <f aca="false">VLOOKUP(R1135,Sheet2!N:O,2,0)</f>
        <v>IREPARABLE</v>
      </c>
      <c r="T1135" s="18" t="str">
        <f aca="false">VLOOKUP(P1135,Sheet2!Q:R,2,0)</f>
        <v>IR Normal - Track burn out</v>
      </c>
      <c r="U1135" s="18" t="s">
        <v>122</v>
      </c>
      <c r="V1135" s="17" t="n">
        <v>2</v>
      </c>
      <c r="W1135" s="20" t="str">
        <f aca="false">VLOOKUP(V1135,Sheet2!Q:R,2,0)</f>
        <v>IR CID -  Water log from other area</v>
      </c>
      <c r="X1135" s="17" t="str">
        <f aca="false">J1135</f>
        <v>A053</v>
      </c>
      <c r="Y1135" s="17" t="str">
        <f aca="false">VLOOKUP(X1135,Sheet2!A:B,2,0)</f>
        <v>DEVENDRA RAJPUT</v>
      </c>
      <c r="Z1135" s="17" t="s">
        <v>538</v>
      </c>
      <c r="AA1135" s="17" t="s">
        <v>498</v>
      </c>
      <c r="AB1135" s="17" t="s">
        <v>41</v>
      </c>
      <c r="AC1135" s="0" t="str">
        <f aca="false">LEFT(G1135,2)</f>
        <v>28</v>
      </c>
      <c r="AE1135" s="21" t="s">
        <v>506</v>
      </c>
    </row>
    <row r="1136" customFormat="false" ht="15" hidden="false" customHeight="false" outlineLevel="0" collapsed="false">
      <c r="A1136" s="13" t="n">
        <f aca="false">1+A1135</f>
        <v>1134</v>
      </c>
      <c r="B1136" s="14" t="n">
        <v>1009364328</v>
      </c>
      <c r="C1136" s="17" t="s">
        <v>442</v>
      </c>
      <c r="D1136" s="16" t="s">
        <v>131</v>
      </c>
      <c r="E1136" s="17" t="s">
        <v>33</v>
      </c>
      <c r="F1136" s="18" t="s">
        <v>34</v>
      </c>
      <c r="G1136" s="19" t="n">
        <v>742311027954</v>
      </c>
      <c r="H1136" s="17" t="s">
        <v>35</v>
      </c>
      <c r="I1136" s="17" t="s">
        <v>54</v>
      </c>
      <c r="J1136" s="17" t="s">
        <v>106</v>
      </c>
      <c r="K1136" s="17" t="str">
        <f aca="false">VLOOKUP(J1136,Sheet2!A:B,2,0)</f>
        <v>PRAKASH CHAVDA</v>
      </c>
      <c r="L1136" s="17" t="n">
        <v>1</v>
      </c>
      <c r="M1136" s="17" t="str">
        <f aca="false">VLOOKUP(L1136,Sheet2!D:E,2,0)</f>
        <v>Power Supply Section</v>
      </c>
      <c r="N1136" s="17" t="n">
        <v>1</v>
      </c>
      <c r="O1136" s="17" t="str">
        <f aca="false">VLOOKUP(N1136,Sheet2!G:H,2,0)</f>
        <v>Dead</v>
      </c>
      <c r="P1136" s="17" t="n">
        <v>11</v>
      </c>
      <c r="Q1136" s="17" t="str">
        <f aca="false">VLOOKUP(P1136,Sheet2!J:K,2,0)</f>
        <v>IR Declared due to CID -TA</v>
      </c>
      <c r="R1136" s="17" t="s">
        <v>35</v>
      </c>
      <c r="S1136" s="17" t="str">
        <f aca="false">VLOOKUP(R1136,Sheet2!N:O,2,0)</f>
        <v>IREPARABLE</v>
      </c>
      <c r="T1136" s="18" t="str">
        <f aca="false">VLOOKUP(P1136,Sheet2!Q:R,2,0)</f>
        <v>IR Normal - Track burn out</v>
      </c>
      <c r="U1136" s="18" t="s">
        <v>122</v>
      </c>
      <c r="V1136" s="17" t="n">
        <v>2</v>
      </c>
      <c r="W1136" s="20" t="str">
        <f aca="false">VLOOKUP(V1136,Sheet2!Q:R,2,0)</f>
        <v>IR CID -  Water log from other area</v>
      </c>
      <c r="X1136" s="17" t="str">
        <f aca="false">J1136</f>
        <v>A018</v>
      </c>
      <c r="Y1136" s="17" t="str">
        <f aca="false">VLOOKUP(X1136,Sheet2!A:B,2,0)</f>
        <v>PRAKASH CHAVDA</v>
      </c>
      <c r="Z1136" s="17" t="s">
        <v>539</v>
      </c>
      <c r="AA1136" s="17" t="s">
        <v>498</v>
      </c>
      <c r="AB1136" s="17" t="s">
        <v>41</v>
      </c>
      <c r="AC1136" s="0" t="str">
        <f aca="false">LEFT(G1136,2)</f>
        <v>74</v>
      </c>
      <c r="AE1136" s="21" t="s">
        <v>506</v>
      </c>
    </row>
    <row r="1137" customFormat="false" ht="15" hidden="false" customHeight="false" outlineLevel="0" collapsed="false">
      <c r="A1137" s="13" t="n">
        <f aca="false">1+A1136</f>
        <v>1135</v>
      </c>
      <c r="B1137" s="14" t="n">
        <v>1009641766</v>
      </c>
      <c r="C1137" s="17" t="s">
        <v>429</v>
      </c>
      <c r="D1137" s="16" t="s">
        <v>342</v>
      </c>
      <c r="E1137" s="17" t="s">
        <v>47</v>
      </c>
      <c r="F1137" s="18" t="s">
        <v>34</v>
      </c>
      <c r="G1137" s="19" t="n">
        <v>854164734931</v>
      </c>
      <c r="H1137" s="17" t="s">
        <v>35</v>
      </c>
      <c r="I1137" s="17" t="s">
        <v>36</v>
      </c>
      <c r="J1137" s="17" t="s">
        <v>239</v>
      </c>
      <c r="K1137" s="17" t="str">
        <f aca="false">VLOOKUP(J1137,Sheet2!A:B,2,0)</f>
        <v>VASANT PARMAR</v>
      </c>
      <c r="L1137" s="17" t="n">
        <v>5</v>
      </c>
      <c r="M1137" s="17" t="str">
        <f aca="false">VLOOKUP(L1137,Sheet2!D:E,2,0)</f>
        <v>Main Processor CPU BGA</v>
      </c>
      <c r="N1137" s="17" t="n">
        <v>1</v>
      </c>
      <c r="O1137" s="17" t="str">
        <f aca="false">VLOOKUP(N1137,Sheet2!G:H,2,0)</f>
        <v>Dead</v>
      </c>
      <c r="P1137" s="17" t="n">
        <v>11</v>
      </c>
      <c r="Q1137" s="17" t="str">
        <f aca="false">VLOOKUP(P1137,Sheet2!J:K,2,0)</f>
        <v>IR Declared due to CID -TA</v>
      </c>
      <c r="R1137" s="17" t="s">
        <v>35</v>
      </c>
      <c r="S1137" s="17" t="str">
        <f aca="false">VLOOKUP(R1137,Sheet2!N:O,2,0)</f>
        <v>IREPARABLE</v>
      </c>
      <c r="T1137" s="18" t="str">
        <f aca="false">VLOOKUP(P1137,Sheet2!Q:R,2,0)</f>
        <v>IR Normal - Track burn out</v>
      </c>
      <c r="U1137" s="18" t="s">
        <v>122</v>
      </c>
      <c r="V1137" s="17" t="n">
        <v>2</v>
      </c>
      <c r="W1137" s="20" t="str">
        <f aca="false">VLOOKUP(V1137,Sheet2!Q:R,2,0)</f>
        <v>IR CID -  Water log from other area</v>
      </c>
      <c r="X1137" s="17" t="str">
        <f aca="false">J1137</f>
        <v>A005</v>
      </c>
      <c r="Y1137" s="17" t="str">
        <f aca="false">VLOOKUP(X1137,Sheet2!A:B,2,0)</f>
        <v>VASANT PARMAR</v>
      </c>
      <c r="Z1137" s="17" t="s">
        <v>540</v>
      </c>
      <c r="AA1137" s="17" t="s">
        <v>498</v>
      </c>
      <c r="AB1137" s="17" t="s">
        <v>41</v>
      </c>
      <c r="AC1137" s="0" t="str">
        <f aca="false">LEFT(G1137,2)</f>
        <v>85</v>
      </c>
      <c r="AE1137" s="21" t="s">
        <v>506</v>
      </c>
    </row>
    <row r="1138" customFormat="false" ht="15" hidden="false" customHeight="false" outlineLevel="0" collapsed="false">
      <c r="A1138" s="13" t="n">
        <f aca="false">1+A1137</f>
        <v>1136</v>
      </c>
      <c r="B1138" s="14" t="n">
        <v>1009648193</v>
      </c>
      <c r="C1138" s="17" t="s">
        <v>204</v>
      </c>
      <c r="D1138" s="16" t="s">
        <v>64</v>
      </c>
      <c r="E1138" s="17" t="s">
        <v>47</v>
      </c>
      <c r="F1138" s="18" t="s">
        <v>34</v>
      </c>
      <c r="G1138" s="19" t="n">
        <v>844025768608</v>
      </c>
      <c r="H1138" s="17" t="s">
        <v>35</v>
      </c>
      <c r="I1138" s="17" t="s">
        <v>36</v>
      </c>
      <c r="J1138" s="17" t="s">
        <v>239</v>
      </c>
      <c r="K1138" s="17" t="str">
        <f aca="false">VLOOKUP(J1138,Sheet2!A:B,2,0)</f>
        <v>VASANT PARMAR</v>
      </c>
      <c r="L1138" s="17" t="n">
        <v>5</v>
      </c>
      <c r="M1138" s="17" t="str">
        <f aca="false">VLOOKUP(L1138,Sheet2!D:E,2,0)</f>
        <v>Main Processor CPU BGA</v>
      </c>
      <c r="N1138" s="17" t="n">
        <v>1</v>
      </c>
      <c r="O1138" s="17" t="str">
        <f aca="false">VLOOKUP(N1138,Sheet2!G:H,2,0)</f>
        <v>Dead</v>
      </c>
      <c r="P1138" s="17" t="n">
        <v>11</v>
      </c>
      <c r="Q1138" s="17" t="str">
        <f aca="false">VLOOKUP(P1138,Sheet2!J:K,2,0)</f>
        <v>IR Declared due to CID -TA</v>
      </c>
      <c r="R1138" s="17" t="s">
        <v>35</v>
      </c>
      <c r="S1138" s="17" t="str">
        <f aca="false">VLOOKUP(R1138,Sheet2!N:O,2,0)</f>
        <v>IREPARABLE</v>
      </c>
      <c r="T1138" s="18" t="str">
        <f aca="false">VLOOKUP(P1138,Sheet2!Q:R,2,0)</f>
        <v>IR Normal - Track burn out</v>
      </c>
      <c r="U1138" s="18" t="s">
        <v>122</v>
      </c>
      <c r="V1138" s="17" t="n">
        <v>2</v>
      </c>
      <c r="W1138" s="20" t="str">
        <f aca="false">VLOOKUP(V1138,Sheet2!Q:R,2,0)</f>
        <v>IR CID -  Water log from other area</v>
      </c>
      <c r="X1138" s="17" t="str">
        <f aca="false">J1138</f>
        <v>A005</v>
      </c>
      <c r="Y1138" s="17" t="str">
        <f aca="false">VLOOKUP(X1138,Sheet2!A:B,2,0)</f>
        <v>VASANT PARMAR</v>
      </c>
      <c r="Z1138" s="17" t="s">
        <v>541</v>
      </c>
      <c r="AA1138" s="17" t="s">
        <v>498</v>
      </c>
      <c r="AB1138" s="17" t="s">
        <v>41</v>
      </c>
      <c r="AC1138" s="0" t="str">
        <f aca="false">LEFT(G1138,2)</f>
        <v>84</v>
      </c>
      <c r="AE1138" s="21" t="s">
        <v>506</v>
      </c>
    </row>
    <row r="1139" customFormat="false" ht="15" hidden="false" customHeight="false" outlineLevel="0" collapsed="false">
      <c r="A1139" s="13" t="n">
        <f aca="false">1+A1138</f>
        <v>1137</v>
      </c>
      <c r="B1139" s="14" t="n">
        <v>1009635416</v>
      </c>
      <c r="C1139" s="17" t="s">
        <v>182</v>
      </c>
      <c r="D1139" s="16" t="s">
        <v>542</v>
      </c>
      <c r="E1139" s="17" t="s">
        <v>543</v>
      </c>
      <c r="F1139" s="18" t="s">
        <v>34</v>
      </c>
      <c r="G1139" s="19" t="n">
        <v>288137149085</v>
      </c>
      <c r="H1139" s="17" t="s">
        <v>35</v>
      </c>
      <c r="I1139" s="17" t="s">
        <v>36</v>
      </c>
      <c r="J1139" s="17" t="s">
        <v>118</v>
      </c>
      <c r="K1139" s="17" t="str">
        <f aca="false">VLOOKUP(J1139,Sheet2!A:B,2,0)</f>
        <v>DEVENDRA RAJPUT</v>
      </c>
      <c r="L1139" s="17" t="n">
        <v>5</v>
      </c>
      <c r="M1139" s="17" t="str">
        <f aca="false">VLOOKUP(L1139,Sheet2!D:E,2,0)</f>
        <v>Main Processor CPU BGA</v>
      </c>
      <c r="N1139" s="17" t="n">
        <v>24</v>
      </c>
      <c r="O1139" s="17" t="str">
        <f aca="false">VLOOKUP(N1139,Sheet2!G:H,2,0)</f>
        <v>STB Auto moving -Stand by mode</v>
      </c>
      <c r="P1139" s="17" t="n">
        <v>11</v>
      </c>
      <c r="Q1139" s="17" t="str">
        <f aca="false">VLOOKUP(P1139,Sheet2!J:K,2,0)</f>
        <v>IR Declared due to CID -TA</v>
      </c>
      <c r="R1139" s="17" t="s">
        <v>35</v>
      </c>
      <c r="S1139" s="17" t="str">
        <f aca="false">VLOOKUP(R1139,Sheet2!N:O,2,0)</f>
        <v>IREPARABLE</v>
      </c>
      <c r="T1139" s="18" t="str">
        <f aca="false">VLOOKUP(P1139,Sheet2!Q:R,2,0)</f>
        <v>IR Normal - Track burn out</v>
      </c>
      <c r="U1139" s="18" t="s">
        <v>122</v>
      </c>
      <c r="V1139" s="17" t="n">
        <v>2</v>
      </c>
      <c r="W1139" s="20" t="str">
        <f aca="false">VLOOKUP(V1139,Sheet2!Q:R,2,0)</f>
        <v>IR CID -  Water log from other area</v>
      </c>
      <c r="X1139" s="17" t="str">
        <f aca="false">J1139</f>
        <v>A053</v>
      </c>
      <c r="Y1139" s="17" t="str">
        <f aca="false">VLOOKUP(X1139,Sheet2!A:B,2,0)</f>
        <v>DEVENDRA RAJPUT</v>
      </c>
      <c r="Z1139" s="17" t="s">
        <v>544</v>
      </c>
      <c r="AA1139" s="17" t="s">
        <v>498</v>
      </c>
      <c r="AB1139" s="17" t="s">
        <v>41</v>
      </c>
      <c r="AC1139" s="0" t="str">
        <f aca="false">LEFT(G1139,2)</f>
        <v>28</v>
      </c>
      <c r="AE1139" s="21" t="s">
        <v>506</v>
      </c>
    </row>
    <row r="1140" customFormat="false" ht="15" hidden="false" customHeight="false" outlineLevel="0" collapsed="false">
      <c r="A1140" s="13" t="n">
        <f aca="false">1+A1139</f>
        <v>1138</v>
      </c>
      <c r="B1140" s="14" t="n">
        <v>1009642497</v>
      </c>
      <c r="C1140" s="17" t="s">
        <v>429</v>
      </c>
      <c r="D1140" s="16" t="s">
        <v>64</v>
      </c>
      <c r="E1140" s="17" t="s">
        <v>178</v>
      </c>
      <c r="F1140" s="18" t="s">
        <v>34</v>
      </c>
      <c r="G1140" s="19" t="n">
        <v>278019125774</v>
      </c>
      <c r="H1140" s="17" t="s">
        <v>35</v>
      </c>
      <c r="I1140" s="17" t="s">
        <v>74</v>
      </c>
      <c r="J1140" s="17" t="s">
        <v>118</v>
      </c>
      <c r="K1140" s="17" t="str">
        <f aca="false">VLOOKUP(J1140,Sheet2!A:B,2,0)</f>
        <v>DEVENDRA RAJPUT</v>
      </c>
      <c r="L1140" s="17" t="n">
        <v>1</v>
      </c>
      <c r="M1140" s="17" t="str">
        <f aca="false">VLOOKUP(L1140,Sheet2!D:E,2,0)</f>
        <v>Power Supply Section</v>
      </c>
      <c r="N1140" s="17" t="n">
        <v>1</v>
      </c>
      <c r="O1140" s="17" t="str">
        <f aca="false">VLOOKUP(N1140,Sheet2!G:H,2,0)</f>
        <v>Dead</v>
      </c>
      <c r="P1140" s="17" t="n">
        <v>11</v>
      </c>
      <c r="Q1140" s="17" t="str">
        <f aca="false">VLOOKUP(P1140,Sheet2!J:K,2,0)</f>
        <v>IR Declared due to CID -TA</v>
      </c>
      <c r="R1140" s="17" t="s">
        <v>35</v>
      </c>
      <c r="S1140" s="17" t="str">
        <f aca="false">VLOOKUP(R1140,Sheet2!N:O,2,0)</f>
        <v>IREPARABLE</v>
      </c>
      <c r="T1140" s="18" t="str">
        <f aca="false">VLOOKUP(P1140,Sheet2!Q:R,2,0)</f>
        <v>IR Normal - Track burn out</v>
      </c>
      <c r="U1140" s="18" t="s">
        <v>122</v>
      </c>
      <c r="V1140" s="17" t="n">
        <v>2</v>
      </c>
      <c r="W1140" s="20" t="str">
        <f aca="false">VLOOKUP(V1140,Sheet2!Q:R,2,0)</f>
        <v>IR CID -  Water log from other area</v>
      </c>
      <c r="X1140" s="17" t="str">
        <f aca="false">J1140</f>
        <v>A053</v>
      </c>
      <c r="Y1140" s="17" t="str">
        <f aca="false">VLOOKUP(X1140,Sheet2!A:B,2,0)</f>
        <v>DEVENDRA RAJPUT</v>
      </c>
      <c r="Z1140" s="17" t="s">
        <v>545</v>
      </c>
      <c r="AA1140" s="17" t="s">
        <v>498</v>
      </c>
      <c r="AB1140" s="17" t="s">
        <v>41</v>
      </c>
      <c r="AC1140" s="0" t="str">
        <f aca="false">LEFT(G1140,2)</f>
        <v>27</v>
      </c>
      <c r="AE1140" s="21" t="s">
        <v>506</v>
      </c>
    </row>
    <row r="1141" customFormat="false" ht="15" hidden="false" customHeight="false" outlineLevel="0" collapsed="false">
      <c r="A1141" s="13" t="n">
        <f aca="false">1+A1140</f>
        <v>1139</v>
      </c>
      <c r="B1141" s="14" t="n">
        <v>1009642490</v>
      </c>
      <c r="C1141" s="17" t="s">
        <v>429</v>
      </c>
      <c r="D1141" s="16" t="s">
        <v>64</v>
      </c>
      <c r="E1141" s="17" t="s">
        <v>47</v>
      </c>
      <c r="F1141" s="18" t="s">
        <v>34</v>
      </c>
      <c r="G1141" s="19" t="n">
        <v>853130713466</v>
      </c>
      <c r="H1141" s="17" t="s">
        <v>35</v>
      </c>
      <c r="I1141" s="17" t="s">
        <v>36</v>
      </c>
      <c r="J1141" s="17" t="s">
        <v>241</v>
      </c>
      <c r="K1141" s="17" t="str">
        <f aca="false">VLOOKUP(J1141,Sheet2!A:B,2,0)</f>
        <v>NILESH NAGAR</v>
      </c>
      <c r="L1141" s="17" t="n">
        <v>5</v>
      </c>
      <c r="M1141" s="17" t="str">
        <f aca="false">VLOOKUP(L1141,Sheet2!D:E,2,0)</f>
        <v>Main Processor CPU BGA</v>
      </c>
      <c r="N1141" s="17" t="n">
        <v>1</v>
      </c>
      <c r="O1141" s="17" t="str">
        <f aca="false">VLOOKUP(N1141,Sheet2!G:H,2,0)</f>
        <v>Dead</v>
      </c>
      <c r="P1141" s="17" t="n">
        <v>11</v>
      </c>
      <c r="Q1141" s="17" t="str">
        <f aca="false">VLOOKUP(P1141,Sheet2!J:K,2,0)</f>
        <v>IR Declared due to CID -TA</v>
      </c>
      <c r="R1141" s="17" t="s">
        <v>35</v>
      </c>
      <c r="S1141" s="17" t="str">
        <f aca="false">VLOOKUP(R1141,Sheet2!N:O,2,0)</f>
        <v>IREPARABLE</v>
      </c>
      <c r="T1141" s="18" t="str">
        <f aca="false">VLOOKUP(P1141,Sheet2!Q:R,2,0)</f>
        <v>IR Normal - Track burn out</v>
      </c>
      <c r="U1141" s="18" t="s">
        <v>122</v>
      </c>
      <c r="V1141" s="17" t="n">
        <v>2</v>
      </c>
      <c r="W1141" s="20" t="str">
        <f aca="false">VLOOKUP(V1141,Sheet2!Q:R,2,0)</f>
        <v>IR CID -  Water log from other area</v>
      </c>
      <c r="X1141" s="17" t="str">
        <f aca="false">J1141</f>
        <v>A008</v>
      </c>
      <c r="Y1141" s="17" t="str">
        <f aca="false">VLOOKUP(X1141,Sheet2!A:B,2,0)</f>
        <v>NILESH NAGAR</v>
      </c>
      <c r="Z1141" s="17" t="s">
        <v>546</v>
      </c>
      <c r="AA1141" s="17" t="s">
        <v>547</v>
      </c>
      <c r="AB1141" s="17" t="s">
        <v>41</v>
      </c>
      <c r="AC1141" s="0" t="str">
        <f aca="false">LEFT(G1141,2)</f>
        <v>85</v>
      </c>
      <c r="AE1141" s="21" t="s">
        <v>506</v>
      </c>
    </row>
    <row r="1142" customFormat="false" ht="15" hidden="false" customHeight="false" outlineLevel="0" collapsed="false">
      <c r="A1142" s="13" t="n">
        <f aca="false">1+A1141</f>
        <v>1140</v>
      </c>
      <c r="B1142" s="14" t="n">
        <v>1009599260</v>
      </c>
      <c r="C1142" s="17" t="s">
        <v>159</v>
      </c>
      <c r="D1142" s="16" t="s">
        <v>64</v>
      </c>
      <c r="E1142" s="17" t="s">
        <v>64</v>
      </c>
      <c r="F1142" s="18" t="s">
        <v>34</v>
      </c>
      <c r="G1142" s="19" t="n">
        <v>853166757353</v>
      </c>
      <c r="H1142" s="17" t="s">
        <v>35</v>
      </c>
      <c r="I1142" s="17" t="s">
        <v>36</v>
      </c>
      <c r="J1142" s="17" t="s">
        <v>267</v>
      </c>
      <c r="K1142" s="17" t="str">
        <f aca="false">VLOOKUP(J1142,Sheet2!A:B,2,0)</f>
        <v>HARIRAM GUPTA</v>
      </c>
      <c r="L1142" s="17" t="n">
        <v>1</v>
      </c>
      <c r="M1142" s="17" t="str">
        <f aca="false">VLOOKUP(L1142,Sheet2!D:E,2,0)</f>
        <v>Power Supply Section</v>
      </c>
      <c r="N1142" s="17" t="n">
        <v>1</v>
      </c>
      <c r="O1142" s="17" t="str">
        <f aca="false">VLOOKUP(N1142,Sheet2!G:H,2,0)</f>
        <v>Dead</v>
      </c>
      <c r="P1142" s="17" t="n">
        <v>11</v>
      </c>
      <c r="Q1142" s="17" t="str">
        <f aca="false">VLOOKUP(P1142,Sheet2!J:K,2,0)</f>
        <v>IR Declared due to CID -TA</v>
      </c>
      <c r="R1142" s="17" t="s">
        <v>35</v>
      </c>
      <c r="S1142" s="17" t="str">
        <f aca="false">VLOOKUP(R1142,Sheet2!N:O,2,0)</f>
        <v>IREPARABLE</v>
      </c>
      <c r="T1142" s="18" t="str">
        <f aca="false">VLOOKUP(P1142,Sheet2!Q:R,2,0)</f>
        <v>IR Normal - Track burn out</v>
      </c>
      <c r="U1142" s="18" t="s">
        <v>122</v>
      </c>
      <c r="V1142" s="17" t="n">
        <v>2</v>
      </c>
      <c r="W1142" s="20" t="str">
        <f aca="false">VLOOKUP(V1142,Sheet2!Q:R,2,0)</f>
        <v>IR CID -  Water log from other area</v>
      </c>
      <c r="X1142" s="17" t="str">
        <f aca="false">J1142</f>
        <v>A007</v>
      </c>
      <c r="Y1142" s="17" t="str">
        <f aca="false">VLOOKUP(X1142,Sheet2!A:B,2,0)</f>
        <v>HARIRAM GUPTA</v>
      </c>
      <c r="Z1142" s="17" t="s">
        <v>548</v>
      </c>
      <c r="AA1142" s="17" t="s">
        <v>547</v>
      </c>
      <c r="AB1142" s="17" t="s">
        <v>41</v>
      </c>
      <c r="AC1142" s="0" t="str">
        <f aca="false">LEFT(G1142,2)</f>
        <v>85</v>
      </c>
      <c r="AE1142" s="21" t="s">
        <v>506</v>
      </c>
    </row>
    <row r="1143" customFormat="false" ht="15" hidden="false" customHeight="false" outlineLevel="0" collapsed="false">
      <c r="A1143" s="13" t="n">
        <f aca="false">1+A1142</f>
        <v>1141</v>
      </c>
      <c r="B1143" s="14" t="n">
        <v>1009626022</v>
      </c>
      <c r="C1143" s="17" t="s">
        <v>163</v>
      </c>
      <c r="D1143" s="16" t="s">
        <v>64</v>
      </c>
      <c r="E1143" s="17" t="s">
        <v>64</v>
      </c>
      <c r="F1143" s="18" t="s">
        <v>34</v>
      </c>
      <c r="G1143" s="19" t="n">
        <v>853179735222</v>
      </c>
      <c r="H1143" s="17" t="s">
        <v>35</v>
      </c>
      <c r="I1143" s="17" t="s">
        <v>36</v>
      </c>
      <c r="J1143" s="17" t="s">
        <v>239</v>
      </c>
      <c r="K1143" s="17" t="str">
        <f aca="false">VLOOKUP(J1143,Sheet2!A:B,2,0)</f>
        <v>VASANT PARMAR</v>
      </c>
      <c r="L1143" s="17" t="n">
        <v>5</v>
      </c>
      <c r="M1143" s="17" t="str">
        <f aca="false">VLOOKUP(L1143,Sheet2!D:E,2,0)</f>
        <v>Main Processor CPU BGA</v>
      </c>
      <c r="N1143" s="17" t="n">
        <v>1</v>
      </c>
      <c r="O1143" s="17" t="str">
        <f aca="false">VLOOKUP(N1143,Sheet2!G:H,2,0)</f>
        <v>Dead</v>
      </c>
      <c r="P1143" s="17" t="n">
        <v>11</v>
      </c>
      <c r="Q1143" s="17" t="str">
        <f aca="false">VLOOKUP(P1143,Sheet2!J:K,2,0)</f>
        <v>IR Declared due to CID -TA</v>
      </c>
      <c r="R1143" s="17" t="s">
        <v>35</v>
      </c>
      <c r="S1143" s="17" t="str">
        <f aca="false">VLOOKUP(R1143,Sheet2!N:O,2,0)</f>
        <v>IREPARABLE</v>
      </c>
      <c r="T1143" s="18" t="str">
        <f aca="false">VLOOKUP(P1143,Sheet2!Q:R,2,0)</f>
        <v>IR Normal - Track burn out</v>
      </c>
      <c r="U1143" s="18" t="s">
        <v>122</v>
      </c>
      <c r="V1143" s="17" t="n">
        <v>2</v>
      </c>
      <c r="W1143" s="20" t="str">
        <f aca="false">VLOOKUP(V1143,Sheet2!Q:R,2,0)</f>
        <v>IR CID -  Water log from other area</v>
      </c>
      <c r="X1143" s="17" t="str">
        <f aca="false">J1143</f>
        <v>A005</v>
      </c>
      <c r="Y1143" s="17" t="str">
        <f aca="false">VLOOKUP(X1143,Sheet2!A:B,2,0)</f>
        <v>VASANT PARMAR</v>
      </c>
      <c r="Z1143" s="17" t="s">
        <v>549</v>
      </c>
      <c r="AA1143" s="17" t="s">
        <v>547</v>
      </c>
      <c r="AB1143" s="17" t="s">
        <v>41</v>
      </c>
      <c r="AC1143" s="0" t="str">
        <f aca="false">LEFT(G1143,2)</f>
        <v>85</v>
      </c>
      <c r="AE1143" s="21" t="s">
        <v>506</v>
      </c>
    </row>
    <row r="1144" customFormat="false" ht="15" hidden="false" customHeight="false" outlineLevel="0" collapsed="false">
      <c r="A1144" s="13" t="n">
        <f aca="false">1+A1143</f>
        <v>1142</v>
      </c>
      <c r="B1144" s="14" t="n">
        <v>1009618827</v>
      </c>
      <c r="C1144" s="17" t="s">
        <v>184</v>
      </c>
      <c r="D1144" s="16" t="s">
        <v>64</v>
      </c>
      <c r="E1144" s="17" t="s">
        <v>64</v>
      </c>
      <c r="F1144" s="18" t="s">
        <v>34</v>
      </c>
      <c r="G1144" s="19" t="n">
        <v>844103748464</v>
      </c>
      <c r="H1144" s="17" t="s">
        <v>35</v>
      </c>
      <c r="I1144" s="17" t="s">
        <v>36</v>
      </c>
      <c r="J1144" s="17" t="s">
        <v>241</v>
      </c>
      <c r="K1144" s="17" t="str">
        <f aca="false">VLOOKUP(J1144,Sheet2!A:B,2,0)</f>
        <v>NILESH NAGAR</v>
      </c>
      <c r="L1144" s="17" t="n">
        <v>5</v>
      </c>
      <c r="M1144" s="17" t="str">
        <f aca="false">VLOOKUP(L1144,Sheet2!D:E,2,0)</f>
        <v>Main Processor CPU BGA</v>
      </c>
      <c r="N1144" s="17" t="n">
        <v>6</v>
      </c>
      <c r="O1144" s="17" t="str">
        <f aca="false">VLOOKUP(N1144,Sheet2!G:H,2,0)</f>
        <v>No Signal</v>
      </c>
      <c r="P1144" s="17" t="n">
        <v>11</v>
      </c>
      <c r="Q1144" s="17" t="str">
        <f aca="false">VLOOKUP(P1144,Sheet2!J:K,2,0)</f>
        <v>IR Declared due to CID -TA</v>
      </c>
      <c r="R1144" s="17" t="s">
        <v>35</v>
      </c>
      <c r="S1144" s="17" t="str">
        <f aca="false">VLOOKUP(R1144,Sheet2!N:O,2,0)</f>
        <v>IREPARABLE</v>
      </c>
      <c r="T1144" s="18" t="str">
        <f aca="false">VLOOKUP(P1144,Sheet2!Q:R,2,0)</f>
        <v>IR Normal - Track burn out</v>
      </c>
      <c r="U1144" s="20" t="s">
        <v>256</v>
      </c>
      <c r="V1144" s="17" t="n">
        <v>1</v>
      </c>
      <c r="W1144" s="20" t="str">
        <f aca="false">VLOOKUP(V1144,Sheet2!Q:R,2,0)</f>
        <v>IR CID -  Water log from IF port</v>
      </c>
      <c r="X1144" s="17" t="str">
        <f aca="false">J1144</f>
        <v>A008</v>
      </c>
      <c r="Y1144" s="17" t="str">
        <f aca="false">VLOOKUP(X1144,Sheet2!A:B,2,0)</f>
        <v>NILESH NAGAR</v>
      </c>
      <c r="Z1144" s="17" t="s">
        <v>550</v>
      </c>
      <c r="AA1144" s="17" t="s">
        <v>547</v>
      </c>
      <c r="AB1144" s="17" t="s">
        <v>41</v>
      </c>
      <c r="AC1144" s="0" t="str">
        <f aca="false">LEFT(G1144,2)</f>
        <v>84</v>
      </c>
      <c r="AE1144" s="21" t="s">
        <v>506</v>
      </c>
    </row>
    <row r="1145" customFormat="false" ht="15" hidden="false" customHeight="false" outlineLevel="0" collapsed="false">
      <c r="A1145" s="13" t="n">
        <f aca="false">1+A1144</f>
        <v>1143</v>
      </c>
      <c r="B1145" s="14" t="n">
        <v>1009648129</v>
      </c>
      <c r="C1145" s="17" t="s">
        <v>204</v>
      </c>
      <c r="D1145" s="16" t="s">
        <v>64</v>
      </c>
      <c r="E1145" s="17" t="s">
        <v>33</v>
      </c>
      <c r="F1145" s="18" t="s">
        <v>34</v>
      </c>
      <c r="G1145" s="19" t="n">
        <v>853219799725</v>
      </c>
      <c r="H1145" s="17" t="s">
        <v>35</v>
      </c>
      <c r="I1145" s="17" t="s">
        <v>36</v>
      </c>
      <c r="J1145" s="17" t="s">
        <v>111</v>
      </c>
      <c r="K1145" s="17" t="str">
        <f aca="false">VLOOKUP(J1145,Sheet2!A:B,2,0)</f>
        <v>NITIN PRANAMI</v>
      </c>
      <c r="L1145" s="17" t="n">
        <v>1</v>
      </c>
      <c r="M1145" s="17" t="str">
        <f aca="false">VLOOKUP(L1145,Sheet2!D:E,2,0)</f>
        <v>Power Supply Section</v>
      </c>
      <c r="N1145" s="17" t="n">
        <v>1</v>
      </c>
      <c r="O1145" s="17" t="str">
        <f aca="false">VLOOKUP(N1145,Sheet2!G:H,2,0)</f>
        <v>Dead</v>
      </c>
      <c r="P1145" s="17" t="n">
        <v>11</v>
      </c>
      <c r="Q1145" s="17" t="str">
        <f aca="false">VLOOKUP(P1145,Sheet2!J:K,2,0)</f>
        <v>IR Declared due to CID -TA</v>
      </c>
      <c r="R1145" s="17" t="s">
        <v>35</v>
      </c>
      <c r="S1145" s="17" t="str">
        <f aca="false">VLOOKUP(R1145,Sheet2!N:O,2,0)</f>
        <v>IREPARABLE</v>
      </c>
      <c r="T1145" s="18" t="str">
        <f aca="false">VLOOKUP(P1145,Sheet2!Q:R,2,0)</f>
        <v>IR Normal - Track burn out</v>
      </c>
      <c r="U1145" s="18" t="s">
        <v>122</v>
      </c>
      <c r="V1145" s="17" t="n">
        <v>2</v>
      </c>
      <c r="W1145" s="20" t="str">
        <f aca="false">VLOOKUP(V1145,Sheet2!Q:R,2,0)</f>
        <v>IR CID -  Water log from other area</v>
      </c>
      <c r="X1145" s="17" t="str">
        <f aca="false">J1145</f>
        <v>A031</v>
      </c>
      <c r="Y1145" s="17" t="str">
        <f aca="false">VLOOKUP(X1145,Sheet2!A:B,2,0)</f>
        <v>NITIN PRANAMI</v>
      </c>
      <c r="Z1145" s="17" t="s">
        <v>551</v>
      </c>
      <c r="AA1145" s="17" t="s">
        <v>547</v>
      </c>
      <c r="AB1145" s="17" t="s">
        <v>41</v>
      </c>
      <c r="AC1145" s="0" t="str">
        <f aca="false">LEFT(G1145,2)</f>
        <v>85</v>
      </c>
      <c r="AE1145" s="21" t="s">
        <v>506</v>
      </c>
    </row>
    <row r="1146" customFormat="false" ht="15" hidden="false" customHeight="false" outlineLevel="0" collapsed="false">
      <c r="A1146" s="13" t="n">
        <f aca="false">1+A1145</f>
        <v>1144</v>
      </c>
      <c r="B1146" s="14" t="n">
        <v>1009611565</v>
      </c>
      <c r="C1146" s="17" t="s">
        <v>181</v>
      </c>
      <c r="D1146" s="16" t="s">
        <v>88</v>
      </c>
      <c r="E1146" s="17" t="s">
        <v>47</v>
      </c>
      <c r="F1146" s="18" t="s">
        <v>34</v>
      </c>
      <c r="G1146" s="19" t="n">
        <v>854179728548</v>
      </c>
      <c r="H1146" s="17" t="s">
        <v>35</v>
      </c>
      <c r="I1146" s="17" t="s">
        <v>36</v>
      </c>
      <c r="J1146" s="17" t="s">
        <v>100</v>
      </c>
      <c r="K1146" s="17" t="str">
        <f aca="false">VLOOKUP(J1146,Sheet2!A:B,2,0)</f>
        <v>PIYUSH CHAVDA</v>
      </c>
      <c r="L1146" s="17" t="n">
        <v>1</v>
      </c>
      <c r="M1146" s="17" t="str">
        <f aca="false">VLOOKUP(L1146,Sheet2!D:E,2,0)</f>
        <v>Power Supply Section</v>
      </c>
      <c r="N1146" s="17" t="n">
        <v>1</v>
      </c>
      <c r="O1146" s="17" t="str">
        <f aca="false">VLOOKUP(N1146,Sheet2!G:H,2,0)</f>
        <v>Dead</v>
      </c>
      <c r="P1146" s="17" t="n">
        <v>11</v>
      </c>
      <c r="Q1146" s="17" t="str">
        <f aca="false">VLOOKUP(P1146,Sheet2!J:K,2,0)</f>
        <v>IR Declared due to CID -TA</v>
      </c>
      <c r="R1146" s="17" t="s">
        <v>35</v>
      </c>
      <c r="S1146" s="17" t="str">
        <f aca="false">VLOOKUP(R1146,Sheet2!N:O,2,0)</f>
        <v>IREPARABLE</v>
      </c>
      <c r="T1146" s="18" t="str">
        <f aca="false">VLOOKUP(P1146,Sheet2!Q:R,2,0)</f>
        <v>IR Normal - Track burn out</v>
      </c>
      <c r="U1146" s="18" t="s">
        <v>122</v>
      </c>
      <c r="V1146" s="17" t="n">
        <v>2</v>
      </c>
      <c r="W1146" s="20" t="str">
        <f aca="false">VLOOKUP(V1146,Sheet2!Q:R,2,0)</f>
        <v>IR CID -  Water log from other area</v>
      </c>
      <c r="X1146" s="17" t="str">
        <f aca="false">J1146</f>
        <v>A050</v>
      </c>
      <c r="Y1146" s="17" t="str">
        <f aca="false">VLOOKUP(X1146,Sheet2!A:B,2,0)</f>
        <v>PIYUSH CHAVDA</v>
      </c>
      <c r="Z1146" s="17" t="s">
        <v>319</v>
      </c>
      <c r="AA1146" s="17" t="s">
        <v>547</v>
      </c>
      <c r="AB1146" s="17" t="s">
        <v>41</v>
      </c>
      <c r="AC1146" s="0" t="str">
        <f aca="false">LEFT(G1146,2)</f>
        <v>85</v>
      </c>
      <c r="AE1146" s="21" t="s">
        <v>506</v>
      </c>
    </row>
    <row r="1147" customFormat="false" ht="15" hidden="false" customHeight="false" outlineLevel="0" collapsed="false">
      <c r="A1147" s="13" t="n">
        <f aca="false">1+A1146</f>
        <v>1145</v>
      </c>
      <c r="B1147" s="14" t="n">
        <v>1009648172</v>
      </c>
      <c r="C1147" s="17" t="s">
        <v>204</v>
      </c>
      <c r="D1147" s="16" t="s">
        <v>64</v>
      </c>
      <c r="E1147" s="17" t="s">
        <v>33</v>
      </c>
      <c r="F1147" s="18" t="s">
        <v>34</v>
      </c>
      <c r="G1147" s="19" t="n">
        <v>853186780310</v>
      </c>
      <c r="H1147" s="17" t="s">
        <v>35</v>
      </c>
      <c r="I1147" s="17" t="s">
        <v>36</v>
      </c>
      <c r="J1147" s="17" t="s">
        <v>267</v>
      </c>
      <c r="K1147" s="17" t="str">
        <f aca="false">VLOOKUP(J1147,Sheet2!A:B,2,0)</f>
        <v>HARIRAM GUPTA</v>
      </c>
      <c r="L1147" s="17" t="n">
        <v>5</v>
      </c>
      <c r="M1147" s="17" t="str">
        <f aca="false">VLOOKUP(L1147,Sheet2!D:E,2,0)</f>
        <v>Main Processor CPU BGA</v>
      </c>
      <c r="N1147" s="17" t="n">
        <v>1</v>
      </c>
      <c r="O1147" s="17" t="str">
        <f aca="false">VLOOKUP(N1147,Sheet2!G:H,2,0)</f>
        <v>Dead</v>
      </c>
      <c r="P1147" s="17" t="n">
        <v>11</v>
      </c>
      <c r="Q1147" s="17" t="str">
        <f aca="false">VLOOKUP(P1147,Sheet2!J:K,2,0)</f>
        <v>IR Declared due to CID -TA</v>
      </c>
      <c r="R1147" s="17" t="s">
        <v>35</v>
      </c>
      <c r="S1147" s="17" t="str">
        <f aca="false">VLOOKUP(R1147,Sheet2!N:O,2,0)</f>
        <v>IREPARABLE</v>
      </c>
      <c r="T1147" s="18" t="str">
        <f aca="false">VLOOKUP(P1147,Sheet2!Q:R,2,0)</f>
        <v>IR Normal - Track burn out</v>
      </c>
      <c r="U1147" s="18" t="s">
        <v>122</v>
      </c>
      <c r="V1147" s="17" t="n">
        <v>2</v>
      </c>
      <c r="W1147" s="20" t="str">
        <f aca="false">VLOOKUP(V1147,Sheet2!Q:R,2,0)</f>
        <v>IR CID -  Water log from other area</v>
      </c>
      <c r="X1147" s="17" t="str">
        <f aca="false">J1147</f>
        <v>A007</v>
      </c>
      <c r="Y1147" s="17" t="str">
        <f aca="false">VLOOKUP(X1147,Sheet2!A:B,2,0)</f>
        <v>HARIRAM GUPTA</v>
      </c>
      <c r="Z1147" s="17" t="s">
        <v>529</v>
      </c>
      <c r="AA1147" s="17" t="s">
        <v>547</v>
      </c>
      <c r="AB1147" s="17" t="s">
        <v>41</v>
      </c>
      <c r="AC1147" s="0" t="str">
        <f aca="false">LEFT(G1147,2)</f>
        <v>85</v>
      </c>
      <c r="AE1147" s="21" t="s">
        <v>506</v>
      </c>
    </row>
    <row r="1148" customFormat="false" ht="15" hidden="false" customHeight="false" outlineLevel="0" collapsed="false">
      <c r="A1148" s="13" t="n">
        <f aca="false">1+A1147</f>
        <v>1146</v>
      </c>
      <c r="B1148" s="14" t="n">
        <v>1009633738</v>
      </c>
      <c r="C1148" s="17" t="s">
        <v>182</v>
      </c>
      <c r="D1148" s="16" t="s">
        <v>64</v>
      </c>
      <c r="E1148" s="17" t="s">
        <v>64</v>
      </c>
      <c r="F1148" s="18" t="s">
        <v>34</v>
      </c>
      <c r="G1148" s="19" t="n">
        <v>853215790199</v>
      </c>
      <c r="H1148" s="17" t="s">
        <v>35</v>
      </c>
      <c r="I1148" s="17" t="s">
        <v>36</v>
      </c>
      <c r="J1148" s="17" t="s">
        <v>241</v>
      </c>
      <c r="K1148" s="17" t="str">
        <f aca="false">VLOOKUP(J1148,Sheet2!A:B,2,0)</f>
        <v>NILESH NAGAR</v>
      </c>
      <c r="L1148" s="17" t="n">
        <v>5</v>
      </c>
      <c r="M1148" s="17" t="str">
        <f aca="false">VLOOKUP(L1148,Sheet2!D:E,2,0)</f>
        <v>Main Processor CPU BGA</v>
      </c>
      <c r="N1148" s="17" t="n">
        <v>1</v>
      </c>
      <c r="O1148" s="17" t="str">
        <f aca="false">VLOOKUP(N1148,Sheet2!G:H,2,0)</f>
        <v>Dead</v>
      </c>
      <c r="P1148" s="17" t="n">
        <v>11</v>
      </c>
      <c r="Q1148" s="17" t="str">
        <f aca="false">VLOOKUP(P1148,Sheet2!J:K,2,0)</f>
        <v>IR Declared due to CID -TA</v>
      </c>
      <c r="R1148" s="17" t="s">
        <v>35</v>
      </c>
      <c r="S1148" s="17" t="str">
        <f aca="false">VLOOKUP(R1148,Sheet2!N:O,2,0)</f>
        <v>IREPARABLE</v>
      </c>
      <c r="T1148" s="18" t="str">
        <f aca="false">VLOOKUP(P1148,Sheet2!Q:R,2,0)</f>
        <v>IR Normal - Track burn out</v>
      </c>
      <c r="U1148" s="18" t="s">
        <v>38</v>
      </c>
      <c r="V1148" s="17" t="n">
        <v>4</v>
      </c>
      <c r="W1148" s="20" t="str">
        <f aca="false">VLOOKUP(V1148,Sheet2!Q:R,2,0)</f>
        <v>IR CID - Tampered Track burn out</v>
      </c>
      <c r="X1148" s="17" t="str">
        <f aca="false">J1148</f>
        <v>A008</v>
      </c>
      <c r="Y1148" s="17" t="str">
        <f aca="false">VLOOKUP(X1148,Sheet2!A:B,2,0)</f>
        <v>NILESH NAGAR</v>
      </c>
      <c r="Z1148" s="17" t="s">
        <v>552</v>
      </c>
      <c r="AA1148" s="17" t="s">
        <v>547</v>
      </c>
      <c r="AB1148" s="17" t="s">
        <v>41</v>
      </c>
      <c r="AC1148" s="0" t="str">
        <f aca="false">LEFT(G1148,2)</f>
        <v>85</v>
      </c>
      <c r="AE1148" s="21" t="s">
        <v>506</v>
      </c>
    </row>
    <row r="1149" customFormat="false" ht="15" hidden="false" customHeight="false" outlineLevel="0" collapsed="false">
      <c r="A1149" s="13" t="n">
        <f aca="false">1+A1148</f>
        <v>1147</v>
      </c>
      <c r="B1149" s="14" t="n">
        <v>1009634049</v>
      </c>
      <c r="C1149" s="17" t="s">
        <v>182</v>
      </c>
      <c r="D1149" s="16" t="s">
        <v>64</v>
      </c>
      <c r="E1149" s="17" t="s">
        <v>47</v>
      </c>
      <c r="F1149" s="18" t="s">
        <v>34</v>
      </c>
      <c r="G1149" s="19" t="n">
        <v>844046764412</v>
      </c>
      <c r="H1149" s="17" t="s">
        <v>35</v>
      </c>
      <c r="I1149" s="17" t="s">
        <v>36</v>
      </c>
      <c r="J1149" s="17" t="s">
        <v>111</v>
      </c>
      <c r="K1149" s="17" t="str">
        <f aca="false">VLOOKUP(J1149,Sheet2!A:B,2,0)</f>
        <v>NITIN PRANAMI</v>
      </c>
      <c r="L1149" s="17" t="n">
        <v>1</v>
      </c>
      <c r="M1149" s="17" t="str">
        <f aca="false">VLOOKUP(L1149,Sheet2!D:E,2,0)</f>
        <v>Power Supply Section</v>
      </c>
      <c r="N1149" s="17" t="n">
        <v>1</v>
      </c>
      <c r="O1149" s="17" t="str">
        <f aca="false">VLOOKUP(N1149,Sheet2!G:H,2,0)</f>
        <v>Dead</v>
      </c>
      <c r="P1149" s="17" t="n">
        <v>11</v>
      </c>
      <c r="Q1149" s="17" t="str">
        <f aca="false">VLOOKUP(P1149,Sheet2!J:K,2,0)</f>
        <v>IR Declared due to CID -TA</v>
      </c>
      <c r="R1149" s="17" t="s">
        <v>35</v>
      </c>
      <c r="S1149" s="17" t="str">
        <f aca="false">VLOOKUP(R1149,Sheet2!N:O,2,0)</f>
        <v>IREPARABLE</v>
      </c>
      <c r="T1149" s="18" t="str">
        <f aca="false">VLOOKUP(P1149,Sheet2!Q:R,2,0)</f>
        <v>IR Normal - Track burn out</v>
      </c>
      <c r="U1149" s="18" t="s">
        <v>122</v>
      </c>
      <c r="V1149" s="17" t="n">
        <v>2</v>
      </c>
      <c r="W1149" s="20" t="str">
        <f aca="false">VLOOKUP(V1149,Sheet2!Q:R,2,0)</f>
        <v>IR CID -  Water log from other area</v>
      </c>
      <c r="X1149" s="17" t="str">
        <f aca="false">J1149</f>
        <v>A031</v>
      </c>
      <c r="Y1149" s="17" t="str">
        <f aca="false">VLOOKUP(X1149,Sheet2!A:B,2,0)</f>
        <v>NITIN PRANAMI</v>
      </c>
      <c r="Z1149" s="17" t="s">
        <v>553</v>
      </c>
      <c r="AA1149" s="17" t="s">
        <v>547</v>
      </c>
      <c r="AB1149" s="17" t="s">
        <v>41</v>
      </c>
      <c r="AC1149" s="0" t="str">
        <f aca="false">LEFT(G1149,2)</f>
        <v>84</v>
      </c>
      <c r="AE1149" s="21" t="s">
        <v>506</v>
      </c>
    </row>
    <row r="1150" customFormat="false" ht="15" hidden="false" customHeight="false" outlineLevel="0" collapsed="false">
      <c r="A1150" s="13" t="n">
        <f aca="false">1+A1149</f>
        <v>1148</v>
      </c>
      <c r="B1150" s="14" t="n">
        <v>1009633940</v>
      </c>
      <c r="C1150" s="17" t="s">
        <v>182</v>
      </c>
      <c r="D1150" s="16" t="s">
        <v>64</v>
      </c>
      <c r="E1150" s="17" t="s">
        <v>47</v>
      </c>
      <c r="F1150" s="18" t="s">
        <v>34</v>
      </c>
      <c r="G1150" s="19" t="n">
        <v>853160766483</v>
      </c>
      <c r="H1150" s="17" t="s">
        <v>35</v>
      </c>
      <c r="I1150" s="17" t="s">
        <v>36</v>
      </c>
      <c r="J1150" s="17" t="s">
        <v>241</v>
      </c>
      <c r="K1150" s="17" t="str">
        <f aca="false">VLOOKUP(J1150,Sheet2!A:B,2,0)</f>
        <v>NILESH NAGAR</v>
      </c>
      <c r="L1150" s="17" t="n">
        <v>5</v>
      </c>
      <c r="M1150" s="17" t="str">
        <f aca="false">VLOOKUP(L1150,Sheet2!D:E,2,0)</f>
        <v>Main Processor CPU BGA</v>
      </c>
      <c r="N1150" s="17" t="n">
        <v>1</v>
      </c>
      <c r="O1150" s="17" t="str">
        <f aca="false">VLOOKUP(N1150,Sheet2!G:H,2,0)</f>
        <v>Dead</v>
      </c>
      <c r="P1150" s="17" t="n">
        <v>11</v>
      </c>
      <c r="Q1150" s="17" t="str">
        <f aca="false">VLOOKUP(P1150,Sheet2!J:K,2,0)</f>
        <v>IR Declared due to CID -TA</v>
      </c>
      <c r="R1150" s="17" t="s">
        <v>35</v>
      </c>
      <c r="S1150" s="17" t="str">
        <f aca="false">VLOOKUP(R1150,Sheet2!N:O,2,0)</f>
        <v>IREPARABLE</v>
      </c>
      <c r="T1150" s="18" t="str">
        <f aca="false">VLOOKUP(P1150,Sheet2!Q:R,2,0)</f>
        <v>IR Normal - Track burn out</v>
      </c>
      <c r="U1150" s="18" t="s">
        <v>122</v>
      </c>
      <c r="V1150" s="17" t="n">
        <v>2</v>
      </c>
      <c r="W1150" s="20" t="str">
        <f aca="false">VLOOKUP(V1150,Sheet2!Q:R,2,0)</f>
        <v>IR CID -  Water log from other area</v>
      </c>
      <c r="X1150" s="17" t="str">
        <f aca="false">J1150</f>
        <v>A008</v>
      </c>
      <c r="Y1150" s="17" t="str">
        <f aca="false">VLOOKUP(X1150,Sheet2!A:B,2,0)</f>
        <v>NILESH NAGAR</v>
      </c>
      <c r="Z1150" s="17" t="s">
        <v>554</v>
      </c>
      <c r="AA1150" s="17" t="s">
        <v>547</v>
      </c>
      <c r="AB1150" s="17" t="s">
        <v>41</v>
      </c>
      <c r="AC1150" s="0" t="str">
        <f aca="false">LEFT(G1150,2)</f>
        <v>85</v>
      </c>
      <c r="AE1150" s="21" t="s">
        <v>506</v>
      </c>
    </row>
    <row r="1151" customFormat="false" ht="15" hidden="false" customHeight="false" outlineLevel="0" collapsed="false">
      <c r="A1151" s="13" t="n">
        <f aca="false">1+A1150</f>
        <v>1149</v>
      </c>
      <c r="B1151" s="14" t="n">
        <v>1009641773</v>
      </c>
      <c r="C1151" s="17" t="s">
        <v>429</v>
      </c>
      <c r="D1151" s="16" t="s">
        <v>64</v>
      </c>
      <c r="E1151" s="17" t="s">
        <v>64</v>
      </c>
      <c r="F1151" s="18" t="s">
        <v>34</v>
      </c>
      <c r="G1151" s="19" t="n">
        <v>844131752983</v>
      </c>
      <c r="H1151" s="17" t="s">
        <v>35</v>
      </c>
      <c r="I1151" s="17" t="s">
        <v>36</v>
      </c>
      <c r="J1151" s="17" t="s">
        <v>111</v>
      </c>
      <c r="K1151" s="17" t="str">
        <f aca="false">VLOOKUP(J1151,Sheet2!A:B,2,0)</f>
        <v>NITIN PRANAMI</v>
      </c>
      <c r="L1151" s="17" t="n">
        <v>2</v>
      </c>
      <c r="M1151" s="17" t="str">
        <f aca="false">VLOOKUP(L1151,Sheet2!D:E,2,0)</f>
        <v>Tuner Section</v>
      </c>
      <c r="N1151" s="17" t="n">
        <v>6</v>
      </c>
      <c r="O1151" s="17" t="str">
        <f aca="false">VLOOKUP(N1151,Sheet2!G:H,2,0)</f>
        <v>No Signal</v>
      </c>
      <c r="P1151" s="17" t="n">
        <v>11</v>
      </c>
      <c r="Q1151" s="17" t="str">
        <f aca="false">VLOOKUP(P1151,Sheet2!J:K,2,0)</f>
        <v>IR Declared due to CID -TA</v>
      </c>
      <c r="R1151" s="17" t="s">
        <v>35</v>
      </c>
      <c r="S1151" s="17" t="str">
        <f aca="false">VLOOKUP(R1151,Sheet2!N:O,2,0)</f>
        <v>IREPARABLE</v>
      </c>
      <c r="T1151" s="18" t="str">
        <f aca="false">VLOOKUP(P1151,Sheet2!Q:R,2,0)</f>
        <v>IR Normal - Track burn out</v>
      </c>
      <c r="U1151" s="20" t="s">
        <v>256</v>
      </c>
      <c r="V1151" s="17" t="n">
        <v>1</v>
      </c>
      <c r="W1151" s="20" t="str">
        <f aca="false">VLOOKUP(V1151,Sheet2!Q:R,2,0)</f>
        <v>IR CID -  Water log from IF port</v>
      </c>
      <c r="X1151" s="17" t="str">
        <f aca="false">J1151</f>
        <v>A031</v>
      </c>
      <c r="Y1151" s="17" t="str">
        <f aca="false">VLOOKUP(X1151,Sheet2!A:B,2,0)</f>
        <v>NITIN PRANAMI</v>
      </c>
      <c r="Z1151" s="17" t="s">
        <v>555</v>
      </c>
      <c r="AA1151" s="17" t="s">
        <v>547</v>
      </c>
      <c r="AB1151" s="17" t="s">
        <v>41</v>
      </c>
      <c r="AC1151" s="0" t="str">
        <f aca="false">LEFT(G1151,2)</f>
        <v>84</v>
      </c>
      <c r="AE1151" s="21" t="s">
        <v>506</v>
      </c>
    </row>
    <row r="1152" customFormat="false" ht="15" hidden="false" customHeight="false" outlineLevel="0" collapsed="false">
      <c r="A1152" s="13" t="n">
        <f aca="false">1+A1151</f>
        <v>1150</v>
      </c>
      <c r="B1152" s="14" t="n">
        <v>1009525333</v>
      </c>
      <c r="C1152" s="17" t="s">
        <v>162</v>
      </c>
      <c r="D1152" s="16" t="s">
        <v>105</v>
      </c>
      <c r="E1152" s="17" t="s">
        <v>47</v>
      </c>
      <c r="F1152" s="18" t="s">
        <v>34</v>
      </c>
      <c r="G1152" s="19" t="n">
        <v>844113741095</v>
      </c>
      <c r="H1152" s="17" t="s">
        <v>35</v>
      </c>
      <c r="I1152" s="17" t="s">
        <v>36</v>
      </c>
      <c r="J1152" s="17" t="s">
        <v>115</v>
      </c>
      <c r="K1152" s="17" t="str">
        <f aca="false">VLOOKUP(J1152,Sheet2!A:B,2,0)</f>
        <v>ANKIT RANA</v>
      </c>
      <c r="L1152" s="17" t="n">
        <v>1</v>
      </c>
      <c r="M1152" s="17" t="str">
        <f aca="false">VLOOKUP(L1152,Sheet2!D:E,2,0)</f>
        <v>Power Supply Section</v>
      </c>
      <c r="N1152" s="17" t="n">
        <v>1</v>
      </c>
      <c r="O1152" s="17" t="str">
        <f aca="false">VLOOKUP(N1152,Sheet2!G:H,2,0)</f>
        <v>Dead</v>
      </c>
      <c r="P1152" s="17" t="n">
        <v>11</v>
      </c>
      <c r="Q1152" s="17" t="str">
        <f aca="false">VLOOKUP(P1152,Sheet2!J:K,2,0)</f>
        <v>IR Declared due to CID -TA</v>
      </c>
      <c r="R1152" s="17" t="s">
        <v>35</v>
      </c>
      <c r="S1152" s="17" t="str">
        <f aca="false">VLOOKUP(R1152,Sheet2!N:O,2,0)</f>
        <v>IREPARABLE</v>
      </c>
      <c r="T1152" s="18" t="str">
        <f aca="false">VLOOKUP(P1152,Sheet2!Q:R,2,0)</f>
        <v>IR Normal - Track burn out</v>
      </c>
      <c r="U1152" s="18" t="s">
        <v>122</v>
      </c>
      <c r="V1152" s="17" t="n">
        <v>2</v>
      </c>
      <c r="W1152" s="20" t="str">
        <f aca="false">VLOOKUP(V1152,Sheet2!Q:R,2,0)</f>
        <v>IR CID -  Water log from other area</v>
      </c>
      <c r="X1152" s="17" t="str">
        <f aca="false">J1152</f>
        <v>A042</v>
      </c>
      <c r="Y1152" s="17" t="str">
        <f aca="false">VLOOKUP(X1152,Sheet2!A:B,2,0)</f>
        <v>ANKIT RANA</v>
      </c>
      <c r="Z1152" s="17" t="s">
        <v>397</v>
      </c>
      <c r="AA1152" s="17" t="s">
        <v>547</v>
      </c>
      <c r="AB1152" s="17" t="s">
        <v>41</v>
      </c>
      <c r="AC1152" s="0" t="str">
        <f aca="false">LEFT(G1152,2)</f>
        <v>84</v>
      </c>
      <c r="AE1152" s="21" t="s">
        <v>506</v>
      </c>
    </row>
    <row r="1153" customFormat="false" ht="15" hidden="false" customHeight="false" outlineLevel="0" collapsed="false">
      <c r="A1153" s="13" t="n">
        <f aca="false">1+A1152</f>
        <v>1151</v>
      </c>
      <c r="B1153" s="14" t="n">
        <v>1009533321</v>
      </c>
      <c r="C1153" s="17" t="s">
        <v>174</v>
      </c>
      <c r="D1153" s="16" t="s">
        <v>175</v>
      </c>
      <c r="E1153" s="17" t="s">
        <v>176</v>
      </c>
      <c r="F1153" s="18" t="s">
        <v>34</v>
      </c>
      <c r="G1153" s="19" t="n">
        <v>853309733394</v>
      </c>
      <c r="H1153" s="17" t="s">
        <v>35</v>
      </c>
      <c r="I1153" s="17" t="s">
        <v>36</v>
      </c>
      <c r="J1153" s="17" t="s">
        <v>115</v>
      </c>
      <c r="K1153" s="17" t="str">
        <f aca="false">VLOOKUP(J1153,Sheet2!A:B,2,0)</f>
        <v>ANKIT RANA</v>
      </c>
      <c r="L1153" s="17" t="n">
        <v>1</v>
      </c>
      <c r="M1153" s="17" t="str">
        <f aca="false">VLOOKUP(L1153,Sheet2!D:E,2,0)</f>
        <v>Power Supply Section</v>
      </c>
      <c r="N1153" s="17" t="n">
        <v>1</v>
      </c>
      <c r="O1153" s="17" t="str">
        <f aca="false">VLOOKUP(N1153,Sheet2!G:H,2,0)</f>
        <v>Dead</v>
      </c>
      <c r="P1153" s="17" t="n">
        <v>11</v>
      </c>
      <c r="Q1153" s="17" t="str">
        <f aca="false">VLOOKUP(P1153,Sheet2!J:K,2,0)</f>
        <v>IR Declared due to CID -TA</v>
      </c>
      <c r="R1153" s="17" t="s">
        <v>35</v>
      </c>
      <c r="S1153" s="17" t="str">
        <f aca="false">VLOOKUP(R1153,Sheet2!N:O,2,0)</f>
        <v>IREPARABLE</v>
      </c>
      <c r="T1153" s="18" t="str">
        <f aca="false">VLOOKUP(P1153,Sheet2!Q:R,2,0)</f>
        <v>IR Normal - Track burn out</v>
      </c>
      <c r="U1153" s="18" t="s">
        <v>122</v>
      </c>
      <c r="V1153" s="17" t="n">
        <v>2</v>
      </c>
      <c r="W1153" s="20" t="str">
        <f aca="false">VLOOKUP(V1153,Sheet2!Q:R,2,0)</f>
        <v>IR CID -  Water log from other area</v>
      </c>
      <c r="X1153" s="17" t="str">
        <f aca="false">J1153</f>
        <v>A042</v>
      </c>
      <c r="Y1153" s="17" t="str">
        <f aca="false">VLOOKUP(X1153,Sheet2!A:B,2,0)</f>
        <v>ANKIT RANA</v>
      </c>
      <c r="Z1153" s="17" t="s">
        <v>556</v>
      </c>
      <c r="AA1153" s="17" t="s">
        <v>547</v>
      </c>
      <c r="AB1153" s="17" t="s">
        <v>41</v>
      </c>
      <c r="AC1153" s="0" t="str">
        <f aca="false">LEFT(G1153,2)</f>
        <v>85</v>
      </c>
      <c r="AE1153" s="21" t="s">
        <v>506</v>
      </c>
    </row>
    <row r="1154" customFormat="false" ht="15" hidden="false" customHeight="false" outlineLevel="0" collapsed="false">
      <c r="A1154" s="13" t="n">
        <f aca="false">1+A1153</f>
        <v>1152</v>
      </c>
      <c r="B1154" s="14" t="n">
        <v>1009666791</v>
      </c>
      <c r="C1154" s="17" t="s">
        <v>436</v>
      </c>
      <c r="D1154" s="16" t="s">
        <v>78</v>
      </c>
      <c r="E1154" s="17" t="s">
        <v>47</v>
      </c>
      <c r="F1154" s="18" t="s">
        <v>34</v>
      </c>
      <c r="G1154" s="19" t="n">
        <v>879240170933</v>
      </c>
      <c r="H1154" s="17" t="s">
        <v>35</v>
      </c>
      <c r="I1154" s="17" t="s">
        <v>79</v>
      </c>
      <c r="J1154" s="17" t="s">
        <v>100</v>
      </c>
      <c r="K1154" s="17" t="str">
        <f aca="false">VLOOKUP(J1154,Sheet2!A:B,2,0)</f>
        <v>PIYUSH CHAVDA</v>
      </c>
      <c r="L1154" s="17" t="n">
        <v>5</v>
      </c>
      <c r="M1154" s="17" t="str">
        <f aca="false">VLOOKUP(L1154,Sheet2!D:E,2,0)</f>
        <v>Main Processor CPU BGA</v>
      </c>
      <c r="N1154" s="17" t="n">
        <v>1</v>
      </c>
      <c r="O1154" s="17" t="str">
        <f aca="false">VLOOKUP(N1154,Sheet2!G:H,2,0)</f>
        <v>Dead</v>
      </c>
      <c r="P1154" s="17" t="n">
        <v>12</v>
      </c>
      <c r="Q1154" s="17" t="str">
        <f aca="false">VLOOKUP(P1154,Sheet2!J:K,2,0)</f>
        <v>IR Declared due to Others ( IR Normal)TB</v>
      </c>
      <c r="R1154" s="17" t="s">
        <v>35</v>
      </c>
      <c r="S1154" s="17" t="str">
        <f aca="false">VLOOKUP(R1154,Sheet2!N:O,2,0)</f>
        <v>IREPARABLE</v>
      </c>
      <c r="T1154" s="18" t="str">
        <f aca="false">VLOOKUP(P1154,Sheet2!Q:R,2,0)</f>
        <v>IR Normal - BER to IR</v>
      </c>
      <c r="U1154" s="15" t="s">
        <v>38</v>
      </c>
      <c r="V1154" s="17" t="n">
        <v>11</v>
      </c>
      <c r="W1154" s="20" t="str">
        <f aca="false">VLOOKUP(V1154,Sheet2!Q:R,2,0)</f>
        <v>IR Normal - Track burn out</v>
      </c>
      <c r="X1154" s="17" t="str">
        <f aca="false">J1154</f>
        <v>A050</v>
      </c>
      <c r="Y1154" s="17" t="str">
        <f aca="false">VLOOKUP(X1154,Sheet2!A:B,2,0)</f>
        <v>PIYUSH CHAVDA</v>
      </c>
      <c r="Z1154" s="17" t="s">
        <v>557</v>
      </c>
      <c r="AA1154" s="17" t="s">
        <v>547</v>
      </c>
      <c r="AB1154" s="17" t="s">
        <v>41</v>
      </c>
      <c r="AC1154" s="0" t="str">
        <f aca="false">LEFT(G1154,2)</f>
        <v>87</v>
      </c>
      <c r="AE1154" s="21" t="s">
        <v>506</v>
      </c>
    </row>
    <row r="1155" customFormat="false" ht="15" hidden="false" customHeight="false" outlineLevel="0" collapsed="false">
      <c r="A1155" s="13" t="n">
        <f aca="false">1+A1154</f>
        <v>1153</v>
      </c>
      <c r="B1155" s="14" t="n">
        <v>1009603965</v>
      </c>
      <c r="C1155" s="17" t="s">
        <v>146</v>
      </c>
      <c r="D1155" s="16" t="s">
        <v>64</v>
      </c>
      <c r="E1155" s="17" t="s">
        <v>64</v>
      </c>
      <c r="F1155" s="18" t="s">
        <v>34</v>
      </c>
      <c r="G1155" s="19" t="n">
        <v>300341244667</v>
      </c>
      <c r="H1155" s="17" t="s">
        <v>35</v>
      </c>
      <c r="I1155" s="17" t="s">
        <v>79</v>
      </c>
      <c r="J1155" s="17" t="s">
        <v>241</v>
      </c>
      <c r="K1155" s="17" t="str">
        <f aca="false">VLOOKUP(J1155,Sheet2!A:B,2,0)</f>
        <v>NILESH NAGAR</v>
      </c>
      <c r="L1155" s="17" t="n">
        <v>5</v>
      </c>
      <c r="M1155" s="17" t="str">
        <f aca="false">VLOOKUP(L1155,Sheet2!D:E,2,0)</f>
        <v>Main Processor CPU BGA</v>
      </c>
      <c r="N1155" s="17" t="n">
        <v>1</v>
      </c>
      <c r="O1155" s="17" t="str">
        <f aca="false">VLOOKUP(N1155,Sheet2!G:H,2,0)</f>
        <v>Dead</v>
      </c>
      <c r="P1155" s="17" t="n">
        <v>11</v>
      </c>
      <c r="Q1155" s="17" t="str">
        <f aca="false">VLOOKUP(P1155,Sheet2!J:K,2,0)</f>
        <v>IR Declared due to CID -TA</v>
      </c>
      <c r="R1155" s="17" t="s">
        <v>35</v>
      </c>
      <c r="S1155" s="17" t="str">
        <f aca="false">VLOOKUP(R1155,Sheet2!N:O,2,0)</f>
        <v>IREPARABLE</v>
      </c>
      <c r="T1155" s="18" t="str">
        <f aca="false">VLOOKUP(P1155,Sheet2!Q:R,2,0)</f>
        <v>IR Normal - Track burn out</v>
      </c>
      <c r="U1155" s="20" t="s">
        <v>256</v>
      </c>
      <c r="V1155" s="17" t="n">
        <v>1</v>
      </c>
      <c r="W1155" s="20" t="str">
        <f aca="false">VLOOKUP(V1155,Sheet2!Q:R,2,0)</f>
        <v>IR CID -  Water log from IF port</v>
      </c>
      <c r="X1155" s="17" t="str">
        <f aca="false">J1155</f>
        <v>A008</v>
      </c>
      <c r="Y1155" s="17" t="str">
        <f aca="false">VLOOKUP(X1155,Sheet2!A:B,2,0)</f>
        <v>NILESH NAGAR</v>
      </c>
      <c r="Z1155" s="17" t="s">
        <v>306</v>
      </c>
      <c r="AA1155" s="17" t="s">
        <v>547</v>
      </c>
      <c r="AB1155" s="17" t="s">
        <v>41</v>
      </c>
      <c r="AC1155" s="0" t="str">
        <f aca="false">LEFT(G1155,2)</f>
        <v>30</v>
      </c>
      <c r="AE1155" s="21" t="s">
        <v>506</v>
      </c>
    </row>
    <row r="1156" customFormat="false" ht="15" hidden="false" customHeight="false" outlineLevel="0" collapsed="false">
      <c r="A1156" s="13" t="n">
        <f aca="false">1+A1155</f>
        <v>1154</v>
      </c>
      <c r="B1156" s="14" t="n">
        <v>1009647715</v>
      </c>
      <c r="C1156" s="17" t="s">
        <v>204</v>
      </c>
      <c r="D1156" s="16" t="s">
        <v>64</v>
      </c>
      <c r="E1156" s="17" t="s">
        <v>47</v>
      </c>
      <c r="F1156" s="18" t="s">
        <v>34</v>
      </c>
      <c r="G1156" s="19" t="n">
        <v>889258154778</v>
      </c>
      <c r="H1156" s="17" t="s">
        <v>35</v>
      </c>
      <c r="I1156" s="17" t="s">
        <v>79</v>
      </c>
      <c r="J1156" s="17" t="s">
        <v>289</v>
      </c>
      <c r="K1156" s="17" t="str">
        <f aca="false">VLOOKUP(J1156,Sheet2!A:B,2,0)</f>
        <v>AJAY KOSHTI</v>
      </c>
      <c r="L1156" s="17" t="n">
        <v>1</v>
      </c>
      <c r="M1156" s="17" t="str">
        <f aca="false">VLOOKUP(L1156,Sheet2!D:E,2,0)</f>
        <v>Power Supply Section</v>
      </c>
      <c r="N1156" s="17" t="n">
        <v>1</v>
      </c>
      <c r="O1156" s="17" t="str">
        <f aca="false">VLOOKUP(N1156,Sheet2!G:H,2,0)</f>
        <v>Dead</v>
      </c>
      <c r="P1156" s="17" t="n">
        <v>11</v>
      </c>
      <c r="Q1156" s="17" t="str">
        <f aca="false">VLOOKUP(P1156,Sheet2!J:K,2,0)</f>
        <v>IR Declared due to CID -TA</v>
      </c>
      <c r="R1156" s="17" t="s">
        <v>35</v>
      </c>
      <c r="S1156" s="17" t="str">
        <f aca="false">VLOOKUP(R1156,Sheet2!N:O,2,0)</f>
        <v>IREPARABLE</v>
      </c>
      <c r="T1156" s="18" t="str">
        <f aca="false">VLOOKUP(P1156,Sheet2!Q:R,2,0)</f>
        <v>IR Normal - Track burn out</v>
      </c>
      <c r="U1156" s="20" t="s">
        <v>256</v>
      </c>
      <c r="V1156" s="17" t="n">
        <v>1</v>
      </c>
      <c r="W1156" s="20" t="str">
        <f aca="false">VLOOKUP(V1156,Sheet2!Q:R,2,0)</f>
        <v>IR CID -  Water log from IF port</v>
      </c>
      <c r="X1156" s="17" t="str">
        <f aca="false">J1156</f>
        <v>A051</v>
      </c>
      <c r="Y1156" s="17" t="str">
        <f aca="false">VLOOKUP(X1156,Sheet2!A:B,2,0)</f>
        <v>AJAY KOSHTI</v>
      </c>
      <c r="Z1156" s="17" t="s">
        <v>306</v>
      </c>
      <c r="AA1156" s="17" t="s">
        <v>547</v>
      </c>
      <c r="AB1156" s="17" t="s">
        <v>41</v>
      </c>
      <c r="AC1156" s="0" t="str">
        <f aca="false">LEFT(G1156,2)</f>
        <v>88</v>
      </c>
      <c r="AE1156" s="21" t="s">
        <v>506</v>
      </c>
    </row>
    <row r="1157" customFormat="false" ht="15" hidden="false" customHeight="false" outlineLevel="0" collapsed="false">
      <c r="A1157" s="13" t="n">
        <f aca="false">1+A1156</f>
        <v>1155</v>
      </c>
      <c r="B1157" s="14" t="n">
        <v>1009626937</v>
      </c>
      <c r="C1157" s="17" t="s">
        <v>163</v>
      </c>
      <c r="D1157" s="16" t="s">
        <v>64</v>
      </c>
      <c r="E1157" s="17" t="s">
        <v>47</v>
      </c>
      <c r="F1157" s="18" t="s">
        <v>34</v>
      </c>
      <c r="G1157" s="19" t="n">
        <v>879190140605</v>
      </c>
      <c r="H1157" s="17" t="s">
        <v>35</v>
      </c>
      <c r="I1157" s="17" t="s">
        <v>79</v>
      </c>
      <c r="J1157" s="17" t="s">
        <v>267</v>
      </c>
      <c r="K1157" s="17" t="str">
        <f aca="false">VLOOKUP(J1157,Sheet2!A:B,2,0)</f>
        <v>HARIRAM GUPTA</v>
      </c>
      <c r="L1157" s="17" t="n">
        <v>1</v>
      </c>
      <c r="M1157" s="17" t="str">
        <f aca="false">VLOOKUP(L1157,Sheet2!D:E,2,0)</f>
        <v>Power Supply Section</v>
      </c>
      <c r="N1157" s="17" t="n">
        <v>1</v>
      </c>
      <c r="O1157" s="17" t="str">
        <f aca="false">VLOOKUP(N1157,Sheet2!G:H,2,0)</f>
        <v>Dead</v>
      </c>
      <c r="P1157" s="17" t="n">
        <v>12</v>
      </c>
      <c r="Q1157" s="17" t="str">
        <f aca="false">VLOOKUP(P1157,Sheet2!J:K,2,0)</f>
        <v>IR Declared due to Others ( IR Normal)TB</v>
      </c>
      <c r="R1157" s="17" t="s">
        <v>35</v>
      </c>
      <c r="S1157" s="17" t="str">
        <f aca="false">VLOOKUP(R1157,Sheet2!N:O,2,0)</f>
        <v>IREPARABLE</v>
      </c>
      <c r="T1157" s="18" t="str">
        <f aca="false">VLOOKUP(P1157,Sheet2!Q:R,2,0)</f>
        <v>IR Normal - BER to IR</v>
      </c>
      <c r="U1157" s="15" t="s">
        <v>38</v>
      </c>
      <c r="V1157" s="17" t="n">
        <v>11</v>
      </c>
      <c r="W1157" s="20" t="str">
        <f aca="false">VLOOKUP(V1157,Sheet2!Q:R,2,0)</f>
        <v>IR Normal - Track burn out</v>
      </c>
      <c r="X1157" s="17" t="str">
        <f aca="false">J1157</f>
        <v>A007</v>
      </c>
      <c r="Y1157" s="17" t="str">
        <f aca="false">VLOOKUP(X1157,Sheet2!A:B,2,0)</f>
        <v>HARIRAM GUPTA</v>
      </c>
      <c r="Z1157" s="17" t="s">
        <v>558</v>
      </c>
      <c r="AA1157" s="17" t="s">
        <v>547</v>
      </c>
      <c r="AB1157" s="17" t="s">
        <v>41</v>
      </c>
      <c r="AC1157" s="0" t="str">
        <f aca="false">LEFT(G1157,2)</f>
        <v>87</v>
      </c>
      <c r="AE1157" s="21" t="s">
        <v>506</v>
      </c>
    </row>
    <row r="1158" customFormat="false" ht="15" hidden="false" customHeight="false" outlineLevel="0" collapsed="false">
      <c r="A1158" s="13" t="n">
        <f aca="false">1+A1157</f>
        <v>1156</v>
      </c>
      <c r="B1158" s="14" t="n">
        <v>1009662493</v>
      </c>
      <c r="C1158" s="17" t="s">
        <v>433</v>
      </c>
      <c r="D1158" s="16" t="s">
        <v>64</v>
      </c>
      <c r="E1158" s="17" t="s">
        <v>47</v>
      </c>
      <c r="F1158" s="18" t="s">
        <v>34</v>
      </c>
      <c r="G1158" s="19" t="n">
        <v>878314323402</v>
      </c>
      <c r="H1158" s="17" t="s">
        <v>35</v>
      </c>
      <c r="I1158" s="17" t="s">
        <v>79</v>
      </c>
      <c r="J1158" s="17" t="s">
        <v>100</v>
      </c>
      <c r="K1158" s="17" t="str">
        <f aca="false">VLOOKUP(J1158,Sheet2!A:B,2,0)</f>
        <v>PIYUSH CHAVDA</v>
      </c>
      <c r="L1158" s="17" t="n">
        <v>1</v>
      </c>
      <c r="M1158" s="17" t="str">
        <f aca="false">VLOOKUP(L1158,Sheet2!D:E,2,0)</f>
        <v>Power Supply Section</v>
      </c>
      <c r="N1158" s="17" t="n">
        <v>1</v>
      </c>
      <c r="O1158" s="17" t="str">
        <f aca="false">VLOOKUP(N1158,Sheet2!G:H,2,0)</f>
        <v>Dead</v>
      </c>
      <c r="P1158" s="17" t="n">
        <v>12</v>
      </c>
      <c r="Q1158" s="17" t="str">
        <f aca="false">VLOOKUP(P1158,Sheet2!J:K,2,0)</f>
        <v>IR Declared due to Others ( IR Normal)TB</v>
      </c>
      <c r="R1158" s="17" t="s">
        <v>35</v>
      </c>
      <c r="S1158" s="17" t="str">
        <f aca="false">VLOOKUP(R1158,Sheet2!N:O,2,0)</f>
        <v>IREPARABLE</v>
      </c>
      <c r="T1158" s="18" t="str">
        <f aca="false">VLOOKUP(P1158,Sheet2!Q:R,2,0)</f>
        <v>IR Normal - BER to IR</v>
      </c>
      <c r="U1158" s="18" t="s">
        <v>101</v>
      </c>
      <c r="V1158" s="17" t="n">
        <v>8</v>
      </c>
      <c r="W1158" s="20" t="str">
        <f aca="false">VLOOKUP(V1158,Sheet2!Q:R,2,0)</f>
        <v>IR Normal -TrackRust/InternalDamage/open</v>
      </c>
      <c r="X1158" s="17" t="str">
        <f aca="false">J1158</f>
        <v>A050</v>
      </c>
      <c r="Y1158" s="17" t="str">
        <f aca="false">VLOOKUP(X1158,Sheet2!A:B,2,0)</f>
        <v>PIYUSH CHAVDA</v>
      </c>
      <c r="Z1158" s="17" t="s">
        <v>558</v>
      </c>
      <c r="AA1158" s="17" t="s">
        <v>547</v>
      </c>
      <c r="AB1158" s="17" t="s">
        <v>41</v>
      </c>
      <c r="AC1158" s="0" t="str">
        <f aca="false">LEFT(G1158,2)</f>
        <v>87</v>
      </c>
      <c r="AE1158" s="21" t="s">
        <v>506</v>
      </c>
    </row>
    <row r="1159" customFormat="false" ht="15" hidden="false" customHeight="false" outlineLevel="0" collapsed="false">
      <c r="A1159" s="13" t="n">
        <f aca="false">1+A1158</f>
        <v>1157</v>
      </c>
      <c r="B1159" s="14" t="n">
        <v>1009607492</v>
      </c>
      <c r="C1159" s="17" t="s">
        <v>181</v>
      </c>
      <c r="D1159" s="16" t="s">
        <v>64</v>
      </c>
      <c r="E1159" s="17" t="s">
        <v>64</v>
      </c>
      <c r="F1159" s="18" t="s">
        <v>34</v>
      </c>
      <c r="G1159" s="19" t="n">
        <v>889236131856</v>
      </c>
      <c r="H1159" s="17" t="s">
        <v>35</v>
      </c>
      <c r="I1159" s="17" t="s">
        <v>79</v>
      </c>
      <c r="J1159" s="17" t="s">
        <v>239</v>
      </c>
      <c r="K1159" s="17" t="str">
        <f aca="false">VLOOKUP(J1159,Sheet2!A:B,2,0)</f>
        <v>VASANT PARMAR</v>
      </c>
      <c r="L1159" s="17" t="n">
        <v>5</v>
      </c>
      <c r="M1159" s="17" t="str">
        <f aca="false">VLOOKUP(L1159,Sheet2!D:E,2,0)</f>
        <v>Main Processor CPU BGA</v>
      </c>
      <c r="N1159" s="17" t="n">
        <v>1</v>
      </c>
      <c r="O1159" s="17" t="str">
        <f aca="false">VLOOKUP(N1159,Sheet2!G:H,2,0)</f>
        <v>Dead</v>
      </c>
      <c r="P1159" s="17" t="n">
        <v>11</v>
      </c>
      <c r="Q1159" s="17" t="str">
        <f aca="false">VLOOKUP(P1159,Sheet2!J:K,2,0)</f>
        <v>IR Declared due to CID -TA</v>
      </c>
      <c r="R1159" s="17" t="s">
        <v>35</v>
      </c>
      <c r="S1159" s="17" t="str">
        <f aca="false">VLOOKUP(R1159,Sheet2!N:O,2,0)</f>
        <v>IREPARABLE</v>
      </c>
      <c r="T1159" s="18" t="str">
        <f aca="false">VLOOKUP(P1159,Sheet2!Q:R,2,0)</f>
        <v>IR Normal - Track burn out</v>
      </c>
      <c r="U1159" s="18" t="s">
        <v>38</v>
      </c>
      <c r="V1159" s="17" t="n">
        <v>4</v>
      </c>
      <c r="W1159" s="20" t="str">
        <f aca="false">VLOOKUP(V1159,Sheet2!Q:R,2,0)</f>
        <v>IR CID - Tampered Track burn out</v>
      </c>
      <c r="X1159" s="17" t="str">
        <f aca="false">J1159</f>
        <v>A005</v>
      </c>
      <c r="Y1159" s="17" t="str">
        <f aca="false">VLOOKUP(X1159,Sheet2!A:B,2,0)</f>
        <v>VASANT PARMAR</v>
      </c>
      <c r="Z1159" s="17" t="s">
        <v>559</v>
      </c>
      <c r="AA1159" s="17" t="s">
        <v>547</v>
      </c>
      <c r="AB1159" s="17" t="s">
        <v>41</v>
      </c>
      <c r="AC1159" s="0" t="str">
        <f aca="false">LEFT(G1159,2)</f>
        <v>88</v>
      </c>
      <c r="AE1159" s="21" t="s">
        <v>506</v>
      </c>
    </row>
    <row r="1160" customFormat="false" ht="15" hidden="false" customHeight="false" outlineLevel="0" collapsed="false">
      <c r="A1160" s="13" t="n">
        <f aca="false">1+A1159</f>
        <v>1158</v>
      </c>
      <c r="B1160" s="14" t="n">
        <v>1009648217</v>
      </c>
      <c r="C1160" s="17" t="s">
        <v>204</v>
      </c>
      <c r="D1160" s="16" t="s">
        <v>64</v>
      </c>
      <c r="E1160" s="17" t="s">
        <v>64</v>
      </c>
      <c r="F1160" s="18" t="s">
        <v>34</v>
      </c>
      <c r="G1160" s="19" t="n">
        <v>879135180856</v>
      </c>
      <c r="H1160" s="17" t="s">
        <v>35</v>
      </c>
      <c r="I1160" s="17" t="s">
        <v>79</v>
      </c>
      <c r="J1160" s="17" t="s">
        <v>267</v>
      </c>
      <c r="K1160" s="17" t="str">
        <f aca="false">VLOOKUP(J1160,Sheet2!A:B,2,0)</f>
        <v>HARIRAM GUPTA</v>
      </c>
      <c r="L1160" s="17" t="n">
        <v>1</v>
      </c>
      <c r="M1160" s="17" t="str">
        <f aca="false">VLOOKUP(L1160,Sheet2!D:E,2,0)</f>
        <v>Power Supply Section</v>
      </c>
      <c r="N1160" s="17" t="n">
        <v>1</v>
      </c>
      <c r="O1160" s="17" t="str">
        <f aca="false">VLOOKUP(N1160,Sheet2!G:H,2,0)</f>
        <v>Dead</v>
      </c>
      <c r="P1160" s="17" t="n">
        <v>11</v>
      </c>
      <c r="Q1160" s="17" t="str">
        <f aca="false">VLOOKUP(P1160,Sheet2!J:K,2,0)</f>
        <v>IR Declared due to CID -TA</v>
      </c>
      <c r="R1160" s="17" t="s">
        <v>35</v>
      </c>
      <c r="S1160" s="17" t="str">
        <f aca="false">VLOOKUP(R1160,Sheet2!N:O,2,0)</f>
        <v>IREPARABLE</v>
      </c>
      <c r="T1160" s="18" t="str">
        <f aca="false">VLOOKUP(P1160,Sheet2!Q:R,2,0)</f>
        <v>IR Normal - Track burn out</v>
      </c>
      <c r="U1160" s="18" t="s">
        <v>122</v>
      </c>
      <c r="V1160" s="17" t="n">
        <v>2</v>
      </c>
      <c r="W1160" s="20" t="str">
        <f aca="false">VLOOKUP(V1160,Sheet2!Q:R,2,0)</f>
        <v>IR CID -  Water log from other area</v>
      </c>
      <c r="X1160" s="17" t="str">
        <f aca="false">J1160</f>
        <v>A007</v>
      </c>
      <c r="Y1160" s="17" t="str">
        <f aca="false">VLOOKUP(X1160,Sheet2!A:B,2,0)</f>
        <v>HARIRAM GUPTA</v>
      </c>
      <c r="Z1160" s="17" t="s">
        <v>302</v>
      </c>
      <c r="AA1160" s="17" t="s">
        <v>547</v>
      </c>
      <c r="AB1160" s="17" t="s">
        <v>41</v>
      </c>
      <c r="AC1160" s="0" t="str">
        <f aca="false">LEFT(G1160,2)</f>
        <v>87</v>
      </c>
      <c r="AE1160" s="21" t="s">
        <v>506</v>
      </c>
    </row>
    <row r="1161" customFormat="false" ht="15" hidden="false" customHeight="false" outlineLevel="0" collapsed="false">
      <c r="A1161" s="13" t="n">
        <f aca="false">1+A1160</f>
        <v>1159</v>
      </c>
      <c r="B1161" s="14" t="n">
        <v>1009606733</v>
      </c>
      <c r="C1161" s="17" t="s">
        <v>181</v>
      </c>
      <c r="D1161" s="16" t="s">
        <v>88</v>
      </c>
      <c r="E1161" s="17" t="s">
        <v>47</v>
      </c>
      <c r="F1161" s="18" t="s">
        <v>34</v>
      </c>
      <c r="G1161" s="19" t="n">
        <v>878227132957</v>
      </c>
      <c r="H1161" s="17" t="s">
        <v>35</v>
      </c>
      <c r="I1161" s="17" t="s">
        <v>79</v>
      </c>
      <c r="J1161" s="17" t="s">
        <v>111</v>
      </c>
      <c r="K1161" s="17" t="str">
        <f aca="false">VLOOKUP(J1161,Sheet2!A:B,2,0)</f>
        <v>NITIN PRANAMI</v>
      </c>
      <c r="L1161" s="17" t="n">
        <v>1</v>
      </c>
      <c r="M1161" s="17" t="str">
        <f aca="false">VLOOKUP(L1161,Sheet2!D:E,2,0)</f>
        <v>Power Supply Section</v>
      </c>
      <c r="N1161" s="17" t="n">
        <v>1</v>
      </c>
      <c r="O1161" s="17" t="str">
        <f aca="false">VLOOKUP(N1161,Sheet2!G:H,2,0)</f>
        <v>Dead</v>
      </c>
      <c r="P1161" s="17" t="n">
        <v>11</v>
      </c>
      <c r="Q1161" s="17" t="str">
        <f aca="false">VLOOKUP(P1161,Sheet2!J:K,2,0)</f>
        <v>IR Declared due to CID -TA</v>
      </c>
      <c r="R1161" s="17" t="s">
        <v>35</v>
      </c>
      <c r="S1161" s="17" t="str">
        <f aca="false">VLOOKUP(R1161,Sheet2!N:O,2,0)</f>
        <v>IREPARABLE</v>
      </c>
      <c r="T1161" s="18" t="str">
        <f aca="false">VLOOKUP(P1161,Sheet2!Q:R,2,0)</f>
        <v>IR Normal - Track burn out</v>
      </c>
      <c r="U1161" s="18" t="s">
        <v>122</v>
      </c>
      <c r="V1161" s="17" t="n">
        <v>2</v>
      </c>
      <c r="W1161" s="20" t="str">
        <f aca="false">VLOOKUP(V1161,Sheet2!Q:R,2,0)</f>
        <v>IR CID -  Water log from other area</v>
      </c>
      <c r="X1161" s="17" t="str">
        <f aca="false">J1161</f>
        <v>A031</v>
      </c>
      <c r="Y1161" s="17" t="str">
        <f aca="false">VLOOKUP(X1161,Sheet2!A:B,2,0)</f>
        <v>NITIN PRANAMI</v>
      </c>
      <c r="Z1161" s="17" t="s">
        <v>560</v>
      </c>
      <c r="AA1161" s="17" t="s">
        <v>547</v>
      </c>
      <c r="AB1161" s="17" t="s">
        <v>41</v>
      </c>
      <c r="AC1161" s="0" t="str">
        <f aca="false">LEFT(G1161,2)</f>
        <v>87</v>
      </c>
      <c r="AE1161" s="21" t="s">
        <v>506</v>
      </c>
    </row>
    <row r="1162" customFormat="false" ht="15" hidden="false" customHeight="false" outlineLevel="0" collapsed="false">
      <c r="A1162" s="13" t="n">
        <f aca="false">1+A1161</f>
        <v>1160</v>
      </c>
      <c r="B1162" s="14" t="n">
        <v>1009603337</v>
      </c>
      <c r="C1162" s="17" t="s">
        <v>181</v>
      </c>
      <c r="D1162" s="16" t="s">
        <v>64</v>
      </c>
      <c r="E1162" s="17" t="s">
        <v>64</v>
      </c>
      <c r="F1162" s="18" t="s">
        <v>34</v>
      </c>
      <c r="G1162" s="19" t="n">
        <v>300349316145</v>
      </c>
      <c r="H1162" s="17" t="s">
        <v>35</v>
      </c>
      <c r="I1162" s="17" t="s">
        <v>79</v>
      </c>
      <c r="J1162" s="17" t="s">
        <v>289</v>
      </c>
      <c r="K1162" s="17" t="str">
        <f aca="false">VLOOKUP(J1162,Sheet2!A:B,2,0)</f>
        <v>AJAY KOSHTI</v>
      </c>
      <c r="L1162" s="17" t="n">
        <v>1</v>
      </c>
      <c r="M1162" s="17" t="str">
        <f aca="false">VLOOKUP(L1162,Sheet2!D:E,2,0)</f>
        <v>Power Supply Section</v>
      </c>
      <c r="N1162" s="17" t="n">
        <v>1</v>
      </c>
      <c r="O1162" s="17" t="str">
        <f aca="false">VLOOKUP(N1162,Sheet2!G:H,2,0)</f>
        <v>Dead</v>
      </c>
      <c r="P1162" s="17" t="n">
        <v>11</v>
      </c>
      <c r="Q1162" s="17" t="str">
        <f aca="false">VLOOKUP(P1162,Sheet2!J:K,2,0)</f>
        <v>IR Declared due to CID -TA</v>
      </c>
      <c r="R1162" s="17" t="s">
        <v>35</v>
      </c>
      <c r="S1162" s="17" t="str">
        <f aca="false">VLOOKUP(R1162,Sheet2!N:O,2,0)</f>
        <v>IREPARABLE</v>
      </c>
      <c r="T1162" s="18" t="str">
        <f aca="false">VLOOKUP(P1162,Sheet2!Q:R,2,0)</f>
        <v>IR Normal - Track burn out</v>
      </c>
      <c r="U1162" s="18" t="s">
        <v>122</v>
      </c>
      <c r="V1162" s="17" t="n">
        <v>2</v>
      </c>
      <c r="W1162" s="20" t="str">
        <f aca="false">VLOOKUP(V1162,Sheet2!Q:R,2,0)</f>
        <v>IR CID -  Water log from other area</v>
      </c>
      <c r="X1162" s="17" t="str">
        <f aca="false">J1162</f>
        <v>A051</v>
      </c>
      <c r="Y1162" s="17" t="str">
        <f aca="false">VLOOKUP(X1162,Sheet2!A:B,2,0)</f>
        <v>AJAY KOSHTI</v>
      </c>
      <c r="Z1162" s="17" t="s">
        <v>306</v>
      </c>
      <c r="AA1162" s="17" t="s">
        <v>547</v>
      </c>
      <c r="AB1162" s="17" t="s">
        <v>41</v>
      </c>
      <c r="AC1162" s="0" t="str">
        <f aca="false">LEFT(G1162,2)</f>
        <v>30</v>
      </c>
      <c r="AE1162" s="21" t="s">
        <v>506</v>
      </c>
    </row>
    <row r="1163" customFormat="false" ht="15" hidden="false" customHeight="false" outlineLevel="0" collapsed="false">
      <c r="A1163" s="13" t="n">
        <f aca="false">1+A1162</f>
        <v>1161</v>
      </c>
      <c r="B1163" s="14" t="n">
        <v>1009487965</v>
      </c>
      <c r="C1163" s="17" t="s">
        <v>220</v>
      </c>
      <c r="D1163" s="16" t="s">
        <v>64</v>
      </c>
      <c r="E1163" s="17" t="s">
        <v>64</v>
      </c>
      <c r="F1163" s="18" t="s">
        <v>34</v>
      </c>
      <c r="G1163" s="19" t="n">
        <v>844086731974</v>
      </c>
      <c r="H1163" s="17" t="s">
        <v>35</v>
      </c>
      <c r="I1163" s="17" t="s">
        <v>36</v>
      </c>
      <c r="J1163" s="17" t="s">
        <v>267</v>
      </c>
      <c r="K1163" s="17" t="str">
        <f aca="false">VLOOKUP(J1163,Sheet2!A:B,2,0)</f>
        <v>HARIRAM GUPTA</v>
      </c>
      <c r="L1163" s="17" t="n">
        <v>1</v>
      </c>
      <c r="M1163" s="17" t="str">
        <f aca="false">VLOOKUP(L1163,Sheet2!D:E,2,0)</f>
        <v>Power Supply Section</v>
      </c>
      <c r="N1163" s="17" t="n">
        <v>1</v>
      </c>
      <c r="O1163" s="17" t="str">
        <f aca="false">VLOOKUP(N1163,Sheet2!G:H,2,0)</f>
        <v>Dead</v>
      </c>
      <c r="P1163" s="17" t="n">
        <v>11</v>
      </c>
      <c r="Q1163" s="17" t="str">
        <f aca="false">VLOOKUP(P1163,Sheet2!J:K,2,0)</f>
        <v>IR Declared due to CID -TA</v>
      </c>
      <c r="R1163" s="17" t="s">
        <v>35</v>
      </c>
      <c r="S1163" s="17" t="str">
        <f aca="false">VLOOKUP(R1163,Sheet2!N:O,2,0)</f>
        <v>IREPARABLE</v>
      </c>
      <c r="T1163" s="18" t="str">
        <f aca="false">VLOOKUP(P1163,Sheet2!Q:R,2,0)</f>
        <v>IR Normal - Track burn out</v>
      </c>
      <c r="U1163" s="18" t="s">
        <v>122</v>
      </c>
      <c r="V1163" s="17" t="n">
        <v>2</v>
      </c>
      <c r="W1163" s="20" t="str">
        <f aca="false">VLOOKUP(V1163,Sheet2!Q:R,2,0)</f>
        <v>IR CID -  Water log from other area</v>
      </c>
      <c r="X1163" s="17" t="str">
        <f aca="false">J1163</f>
        <v>A007</v>
      </c>
      <c r="Y1163" s="17" t="str">
        <f aca="false">VLOOKUP(X1163,Sheet2!A:B,2,0)</f>
        <v>HARIRAM GUPTA</v>
      </c>
      <c r="Z1163" s="17" t="s">
        <v>127</v>
      </c>
      <c r="AA1163" s="17" t="s">
        <v>547</v>
      </c>
      <c r="AB1163" s="17" t="s">
        <v>41</v>
      </c>
      <c r="AC1163" s="0" t="str">
        <f aca="false">LEFT(G1163,2)</f>
        <v>84</v>
      </c>
      <c r="AE1163" s="21" t="s">
        <v>506</v>
      </c>
    </row>
    <row r="1164" customFormat="false" ht="15" hidden="false" customHeight="false" outlineLevel="0" collapsed="false">
      <c r="A1164" s="13" t="n">
        <f aca="false">1+A1163</f>
        <v>1162</v>
      </c>
      <c r="B1164" s="14" t="n">
        <v>1009642911</v>
      </c>
      <c r="C1164" s="17" t="s">
        <v>429</v>
      </c>
      <c r="D1164" s="16" t="s">
        <v>64</v>
      </c>
      <c r="E1164" s="17" t="s">
        <v>47</v>
      </c>
      <c r="F1164" s="18" t="s">
        <v>34</v>
      </c>
      <c r="G1164" s="19" t="n">
        <v>853160749695</v>
      </c>
      <c r="H1164" s="17" t="s">
        <v>35</v>
      </c>
      <c r="I1164" s="17" t="s">
        <v>36</v>
      </c>
      <c r="J1164" s="17" t="s">
        <v>267</v>
      </c>
      <c r="K1164" s="17" t="str">
        <f aca="false">VLOOKUP(J1164,Sheet2!A:B,2,0)</f>
        <v>HARIRAM GUPTA</v>
      </c>
      <c r="L1164" s="17" t="n">
        <v>1</v>
      </c>
      <c r="M1164" s="17" t="str">
        <f aca="false">VLOOKUP(L1164,Sheet2!D:E,2,0)</f>
        <v>Power Supply Section</v>
      </c>
      <c r="N1164" s="17" t="n">
        <v>1</v>
      </c>
      <c r="O1164" s="17" t="str">
        <f aca="false">VLOOKUP(N1164,Sheet2!G:H,2,0)</f>
        <v>Dead</v>
      </c>
      <c r="P1164" s="17" t="n">
        <v>11</v>
      </c>
      <c r="Q1164" s="17" t="str">
        <f aca="false">VLOOKUP(P1164,Sheet2!J:K,2,0)</f>
        <v>IR Declared due to CID -TA</v>
      </c>
      <c r="R1164" s="17" t="s">
        <v>35</v>
      </c>
      <c r="S1164" s="17" t="str">
        <f aca="false">VLOOKUP(R1164,Sheet2!N:O,2,0)</f>
        <v>IREPARABLE</v>
      </c>
      <c r="T1164" s="18" t="str">
        <f aca="false">VLOOKUP(P1164,Sheet2!Q:R,2,0)</f>
        <v>IR Normal - Track burn out</v>
      </c>
      <c r="U1164" s="18" t="s">
        <v>122</v>
      </c>
      <c r="V1164" s="17" t="n">
        <v>2</v>
      </c>
      <c r="W1164" s="20" t="str">
        <f aca="false">VLOOKUP(V1164,Sheet2!Q:R,2,0)</f>
        <v>IR CID -  Water log from other area</v>
      </c>
      <c r="X1164" s="17" t="str">
        <f aca="false">J1164</f>
        <v>A007</v>
      </c>
      <c r="Y1164" s="17" t="str">
        <f aca="false">VLOOKUP(X1164,Sheet2!A:B,2,0)</f>
        <v>HARIRAM GUPTA</v>
      </c>
      <c r="Z1164" s="17" t="s">
        <v>561</v>
      </c>
      <c r="AA1164" s="17" t="s">
        <v>547</v>
      </c>
      <c r="AB1164" s="17" t="s">
        <v>41</v>
      </c>
      <c r="AC1164" s="0" t="str">
        <f aca="false">LEFT(G1164,2)</f>
        <v>85</v>
      </c>
      <c r="AE1164" s="21" t="s">
        <v>506</v>
      </c>
    </row>
    <row r="1165" customFormat="false" ht="15" hidden="false" customHeight="false" outlineLevel="0" collapsed="false">
      <c r="A1165" s="13" t="n">
        <f aca="false">1+A1164</f>
        <v>1163</v>
      </c>
      <c r="B1165" s="14" t="n">
        <v>1009621032</v>
      </c>
      <c r="C1165" s="17" t="s">
        <v>184</v>
      </c>
      <c r="D1165" s="16" t="s">
        <v>359</v>
      </c>
      <c r="E1165" s="17" t="s">
        <v>47</v>
      </c>
      <c r="F1165" s="18" t="s">
        <v>34</v>
      </c>
      <c r="G1165" s="19" t="n">
        <v>853051723916</v>
      </c>
      <c r="H1165" s="17" t="s">
        <v>35</v>
      </c>
      <c r="I1165" s="17" t="s">
        <v>36</v>
      </c>
      <c r="J1165" s="17" t="s">
        <v>267</v>
      </c>
      <c r="K1165" s="17" t="str">
        <f aca="false">VLOOKUP(J1165,Sheet2!A:B,2,0)</f>
        <v>HARIRAM GUPTA</v>
      </c>
      <c r="L1165" s="17" t="n">
        <v>5</v>
      </c>
      <c r="M1165" s="17" t="str">
        <f aca="false">VLOOKUP(L1165,Sheet2!D:E,2,0)</f>
        <v>Main Processor CPU BGA</v>
      </c>
      <c r="N1165" s="17" t="n">
        <v>1</v>
      </c>
      <c r="O1165" s="17" t="str">
        <f aca="false">VLOOKUP(N1165,Sheet2!G:H,2,0)</f>
        <v>Dead</v>
      </c>
      <c r="P1165" s="17" t="n">
        <v>11</v>
      </c>
      <c r="Q1165" s="17" t="str">
        <f aca="false">VLOOKUP(P1165,Sheet2!J:K,2,0)</f>
        <v>IR Declared due to CID -TA</v>
      </c>
      <c r="R1165" s="17" t="s">
        <v>35</v>
      </c>
      <c r="S1165" s="17" t="str">
        <f aca="false">VLOOKUP(R1165,Sheet2!N:O,2,0)</f>
        <v>IREPARABLE</v>
      </c>
      <c r="T1165" s="18" t="str">
        <f aca="false">VLOOKUP(P1165,Sheet2!Q:R,2,0)</f>
        <v>IR Normal - Track burn out</v>
      </c>
      <c r="U1165" s="18" t="s">
        <v>122</v>
      </c>
      <c r="V1165" s="17" t="n">
        <v>2</v>
      </c>
      <c r="W1165" s="20" t="str">
        <f aca="false">VLOOKUP(V1165,Sheet2!Q:R,2,0)</f>
        <v>IR CID -  Water log from other area</v>
      </c>
      <c r="X1165" s="17" t="str">
        <f aca="false">J1165</f>
        <v>A007</v>
      </c>
      <c r="Y1165" s="17" t="str">
        <f aca="false">VLOOKUP(X1165,Sheet2!A:B,2,0)</f>
        <v>HARIRAM GUPTA</v>
      </c>
      <c r="Z1165" s="17" t="s">
        <v>562</v>
      </c>
      <c r="AA1165" s="17" t="s">
        <v>547</v>
      </c>
      <c r="AB1165" s="17" t="s">
        <v>41</v>
      </c>
      <c r="AC1165" s="0" t="str">
        <f aca="false">LEFT(G1165,2)</f>
        <v>85</v>
      </c>
      <c r="AE1165" s="21" t="s">
        <v>506</v>
      </c>
    </row>
    <row r="1166" customFormat="false" ht="15" hidden="false" customHeight="false" outlineLevel="0" collapsed="false">
      <c r="A1166" s="13" t="n">
        <f aca="false">1+A1165</f>
        <v>1164</v>
      </c>
      <c r="B1166" s="14" t="n">
        <v>1009636218</v>
      </c>
      <c r="C1166" s="17" t="s">
        <v>182</v>
      </c>
      <c r="D1166" s="16" t="s">
        <v>64</v>
      </c>
      <c r="E1166" s="17" t="s">
        <v>47</v>
      </c>
      <c r="F1166" s="18" t="s">
        <v>34</v>
      </c>
      <c r="G1166" s="19" t="n">
        <v>853302710480</v>
      </c>
      <c r="H1166" s="17" t="s">
        <v>35</v>
      </c>
      <c r="I1166" s="17" t="s">
        <v>36</v>
      </c>
      <c r="J1166" s="17" t="s">
        <v>267</v>
      </c>
      <c r="K1166" s="17" t="str">
        <f aca="false">VLOOKUP(J1166,Sheet2!A:B,2,0)</f>
        <v>HARIRAM GUPTA</v>
      </c>
      <c r="L1166" s="17" t="n">
        <v>5</v>
      </c>
      <c r="M1166" s="17" t="str">
        <f aca="false">VLOOKUP(L1166,Sheet2!D:E,2,0)</f>
        <v>Main Processor CPU BGA</v>
      </c>
      <c r="N1166" s="17" t="n">
        <v>19</v>
      </c>
      <c r="O1166" s="17" t="str">
        <f aca="false">VLOOKUP(N1166,Sheet2!G:H,2,0)</f>
        <v>No Video - Intermittent</v>
      </c>
      <c r="P1166" s="17" t="n">
        <v>11</v>
      </c>
      <c r="Q1166" s="17" t="str">
        <f aca="false">VLOOKUP(P1166,Sheet2!J:K,2,0)</f>
        <v>IR Declared due to CID -TA</v>
      </c>
      <c r="R1166" s="17" t="s">
        <v>35</v>
      </c>
      <c r="S1166" s="17" t="str">
        <f aca="false">VLOOKUP(R1166,Sheet2!N:O,2,0)</f>
        <v>IREPARABLE</v>
      </c>
      <c r="T1166" s="18" t="str">
        <f aca="false">VLOOKUP(P1166,Sheet2!Q:R,2,0)</f>
        <v>IR Normal - Track burn out</v>
      </c>
      <c r="U1166" s="18" t="s">
        <v>122</v>
      </c>
      <c r="V1166" s="17" t="n">
        <v>2</v>
      </c>
      <c r="W1166" s="20" t="str">
        <f aca="false">VLOOKUP(V1166,Sheet2!Q:R,2,0)</f>
        <v>IR CID -  Water log from other area</v>
      </c>
      <c r="X1166" s="17" t="str">
        <f aca="false">J1166</f>
        <v>A007</v>
      </c>
      <c r="Y1166" s="17" t="str">
        <f aca="false">VLOOKUP(X1166,Sheet2!A:B,2,0)</f>
        <v>HARIRAM GUPTA</v>
      </c>
      <c r="Z1166" s="17" t="s">
        <v>562</v>
      </c>
      <c r="AA1166" s="17" t="s">
        <v>547</v>
      </c>
      <c r="AB1166" s="17" t="s">
        <v>41</v>
      </c>
      <c r="AC1166" s="0" t="str">
        <f aca="false">LEFT(G1166,2)</f>
        <v>85</v>
      </c>
      <c r="AE1166" s="21" t="s">
        <v>506</v>
      </c>
    </row>
    <row r="1167" customFormat="false" ht="15" hidden="false" customHeight="false" outlineLevel="0" collapsed="false">
      <c r="A1167" s="13" t="n">
        <f aca="false">1+A1166</f>
        <v>1165</v>
      </c>
      <c r="B1167" s="14" t="n">
        <v>1009635351</v>
      </c>
      <c r="C1167" s="17" t="s">
        <v>182</v>
      </c>
      <c r="D1167" s="16" t="s">
        <v>64</v>
      </c>
      <c r="E1167" s="17" t="s">
        <v>64</v>
      </c>
      <c r="F1167" s="18" t="s">
        <v>34</v>
      </c>
      <c r="G1167" s="19" t="n">
        <v>844079774833</v>
      </c>
      <c r="H1167" s="17" t="s">
        <v>35</v>
      </c>
      <c r="I1167" s="17" t="s">
        <v>36</v>
      </c>
      <c r="J1167" s="17" t="s">
        <v>115</v>
      </c>
      <c r="K1167" s="17" t="str">
        <f aca="false">VLOOKUP(J1167,Sheet2!A:B,2,0)</f>
        <v>ANKIT RANA</v>
      </c>
      <c r="L1167" s="17" t="n">
        <v>1</v>
      </c>
      <c r="M1167" s="17" t="str">
        <f aca="false">VLOOKUP(L1167,Sheet2!D:E,2,0)</f>
        <v>Power Supply Section</v>
      </c>
      <c r="N1167" s="17" t="n">
        <v>1</v>
      </c>
      <c r="O1167" s="17" t="str">
        <f aca="false">VLOOKUP(N1167,Sheet2!G:H,2,0)</f>
        <v>Dead</v>
      </c>
      <c r="P1167" s="17" t="n">
        <v>11</v>
      </c>
      <c r="Q1167" s="17" t="str">
        <f aca="false">VLOOKUP(P1167,Sheet2!J:K,2,0)</f>
        <v>IR Declared due to CID -TA</v>
      </c>
      <c r="R1167" s="17" t="s">
        <v>35</v>
      </c>
      <c r="S1167" s="17" t="str">
        <f aca="false">VLOOKUP(R1167,Sheet2!N:O,2,0)</f>
        <v>IREPARABLE</v>
      </c>
      <c r="T1167" s="18" t="str">
        <f aca="false">VLOOKUP(P1167,Sheet2!Q:R,2,0)</f>
        <v>IR Normal - Track burn out</v>
      </c>
      <c r="U1167" s="18" t="s">
        <v>122</v>
      </c>
      <c r="V1167" s="17" t="n">
        <v>2</v>
      </c>
      <c r="W1167" s="20" t="str">
        <f aca="false">VLOOKUP(V1167,Sheet2!Q:R,2,0)</f>
        <v>IR CID -  Water log from other area</v>
      </c>
      <c r="X1167" s="17" t="str">
        <f aca="false">J1167</f>
        <v>A042</v>
      </c>
      <c r="Y1167" s="17" t="str">
        <f aca="false">VLOOKUP(X1167,Sheet2!A:B,2,0)</f>
        <v>ANKIT RANA</v>
      </c>
      <c r="Z1167" s="17" t="s">
        <v>563</v>
      </c>
      <c r="AA1167" s="17" t="s">
        <v>547</v>
      </c>
      <c r="AB1167" s="17" t="s">
        <v>41</v>
      </c>
      <c r="AC1167" s="0" t="str">
        <f aca="false">LEFT(G1167,2)</f>
        <v>84</v>
      </c>
      <c r="AE1167" s="21" t="s">
        <v>506</v>
      </c>
    </row>
    <row r="1168" customFormat="false" ht="15" hidden="false" customHeight="false" outlineLevel="0" collapsed="false">
      <c r="A1168" s="13" t="n">
        <f aca="false">1+A1167</f>
        <v>1166</v>
      </c>
      <c r="B1168" s="14" t="n">
        <v>1009570628</v>
      </c>
      <c r="C1168" s="17" t="s">
        <v>102</v>
      </c>
      <c r="D1168" s="16" t="s">
        <v>64</v>
      </c>
      <c r="E1168" s="17" t="s">
        <v>64</v>
      </c>
      <c r="F1168" s="18" t="s">
        <v>34</v>
      </c>
      <c r="G1168" s="19" t="n">
        <v>853243743574</v>
      </c>
      <c r="H1168" s="17" t="s">
        <v>35</v>
      </c>
      <c r="I1168" s="17" t="s">
        <v>36</v>
      </c>
      <c r="J1168" s="17" t="s">
        <v>115</v>
      </c>
      <c r="K1168" s="17" t="str">
        <f aca="false">VLOOKUP(J1168,Sheet2!A:B,2,0)</f>
        <v>ANKIT RANA</v>
      </c>
      <c r="L1168" s="17" t="n">
        <v>1</v>
      </c>
      <c r="M1168" s="17" t="str">
        <f aca="false">VLOOKUP(L1168,Sheet2!D:E,2,0)</f>
        <v>Power Supply Section</v>
      </c>
      <c r="N1168" s="17" t="n">
        <v>1</v>
      </c>
      <c r="O1168" s="17" t="str">
        <f aca="false">VLOOKUP(N1168,Sheet2!G:H,2,0)</f>
        <v>Dead</v>
      </c>
      <c r="P1168" s="17" t="n">
        <v>11</v>
      </c>
      <c r="Q1168" s="17" t="str">
        <f aca="false">VLOOKUP(P1168,Sheet2!J:K,2,0)</f>
        <v>IR Declared due to CID -TA</v>
      </c>
      <c r="R1168" s="17" t="s">
        <v>35</v>
      </c>
      <c r="S1168" s="17" t="str">
        <f aca="false">VLOOKUP(R1168,Sheet2!N:O,2,0)</f>
        <v>IREPARABLE</v>
      </c>
      <c r="T1168" s="18" t="str">
        <f aca="false">VLOOKUP(P1168,Sheet2!Q:R,2,0)</f>
        <v>IR Normal - Track burn out</v>
      </c>
      <c r="U1168" s="18" t="s">
        <v>122</v>
      </c>
      <c r="V1168" s="17" t="n">
        <v>2</v>
      </c>
      <c r="W1168" s="20" t="str">
        <f aca="false">VLOOKUP(V1168,Sheet2!Q:R,2,0)</f>
        <v>IR CID -  Water log from other area</v>
      </c>
      <c r="X1168" s="17" t="str">
        <f aca="false">J1168</f>
        <v>A042</v>
      </c>
      <c r="Y1168" s="17" t="str">
        <f aca="false">VLOOKUP(X1168,Sheet2!A:B,2,0)</f>
        <v>ANKIT RANA</v>
      </c>
      <c r="Z1168" s="17" t="s">
        <v>564</v>
      </c>
      <c r="AA1168" s="17" t="s">
        <v>547</v>
      </c>
      <c r="AB1168" s="17" t="s">
        <v>41</v>
      </c>
      <c r="AC1168" s="0" t="str">
        <f aca="false">LEFT(G1168,2)</f>
        <v>85</v>
      </c>
      <c r="AE1168" s="21" t="s">
        <v>506</v>
      </c>
    </row>
    <row r="1169" customFormat="false" ht="15" hidden="false" customHeight="false" outlineLevel="0" collapsed="false">
      <c r="A1169" s="13" t="n">
        <f aca="false">1+A1168</f>
        <v>1167</v>
      </c>
      <c r="B1169" s="14" t="n">
        <v>1009373224</v>
      </c>
      <c r="C1169" s="17" t="s">
        <v>395</v>
      </c>
      <c r="D1169" s="16" t="s">
        <v>64</v>
      </c>
      <c r="E1169" s="17" t="s">
        <v>114</v>
      </c>
      <c r="F1169" s="18" t="s">
        <v>34</v>
      </c>
      <c r="G1169" s="19" t="n">
        <v>854163753445</v>
      </c>
      <c r="H1169" s="17" t="s">
        <v>35</v>
      </c>
      <c r="I1169" s="17" t="s">
        <v>36</v>
      </c>
      <c r="J1169" s="17" t="s">
        <v>267</v>
      </c>
      <c r="K1169" s="17" t="str">
        <f aca="false">VLOOKUP(J1169,Sheet2!A:B,2,0)</f>
        <v>HARIRAM GUPTA</v>
      </c>
      <c r="L1169" s="17" t="n">
        <v>1</v>
      </c>
      <c r="M1169" s="17" t="str">
        <f aca="false">VLOOKUP(L1169,Sheet2!D:E,2,0)</f>
        <v>Power Supply Section</v>
      </c>
      <c r="N1169" s="17" t="n">
        <v>1</v>
      </c>
      <c r="O1169" s="17" t="str">
        <f aca="false">VLOOKUP(N1169,Sheet2!G:H,2,0)</f>
        <v>Dead</v>
      </c>
      <c r="P1169" s="17" t="n">
        <v>11</v>
      </c>
      <c r="Q1169" s="17" t="str">
        <f aca="false">VLOOKUP(P1169,Sheet2!J:K,2,0)</f>
        <v>IR Declared due to CID -TA</v>
      </c>
      <c r="R1169" s="17" t="s">
        <v>35</v>
      </c>
      <c r="S1169" s="17" t="str">
        <f aca="false">VLOOKUP(R1169,Sheet2!N:O,2,0)</f>
        <v>IREPARABLE</v>
      </c>
      <c r="T1169" s="18" t="str">
        <f aca="false">VLOOKUP(P1169,Sheet2!Q:R,2,0)</f>
        <v>IR Normal - Track burn out</v>
      </c>
      <c r="U1169" s="18" t="s">
        <v>122</v>
      </c>
      <c r="V1169" s="17" t="n">
        <v>2</v>
      </c>
      <c r="W1169" s="20" t="str">
        <f aca="false">VLOOKUP(V1169,Sheet2!Q:R,2,0)</f>
        <v>IR CID -  Water log from other area</v>
      </c>
      <c r="X1169" s="17" t="str">
        <f aca="false">J1169</f>
        <v>A007</v>
      </c>
      <c r="Y1169" s="17" t="str">
        <f aca="false">VLOOKUP(X1169,Sheet2!A:B,2,0)</f>
        <v>HARIRAM GUPTA</v>
      </c>
      <c r="Z1169" s="17" t="s">
        <v>376</v>
      </c>
      <c r="AA1169" s="17" t="s">
        <v>547</v>
      </c>
      <c r="AB1169" s="17" t="s">
        <v>41</v>
      </c>
      <c r="AC1169" s="0" t="str">
        <f aca="false">LEFT(G1169,2)</f>
        <v>85</v>
      </c>
      <c r="AE1169" s="21" t="s">
        <v>506</v>
      </c>
    </row>
    <row r="1170" customFormat="false" ht="15" hidden="false" customHeight="false" outlineLevel="0" collapsed="false">
      <c r="A1170" s="13" t="n">
        <f aca="false">1+A1169</f>
        <v>1168</v>
      </c>
      <c r="B1170" s="14" t="n">
        <v>1009664077</v>
      </c>
      <c r="C1170" s="17" t="s">
        <v>433</v>
      </c>
      <c r="D1170" s="16" t="s">
        <v>196</v>
      </c>
      <c r="E1170" s="17" t="s">
        <v>47</v>
      </c>
      <c r="F1170" s="18" t="s">
        <v>34</v>
      </c>
      <c r="G1170" s="19" t="n">
        <v>853315731267</v>
      </c>
      <c r="H1170" s="17" t="s">
        <v>35</v>
      </c>
      <c r="I1170" s="17" t="s">
        <v>36</v>
      </c>
      <c r="J1170" s="17" t="s">
        <v>100</v>
      </c>
      <c r="K1170" s="17" t="str">
        <f aca="false">VLOOKUP(J1170,Sheet2!A:B,2,0)</f>
        <v>PIYUSH CHAVDA</v>
      </c>
      <c r="L1170" s="17" t="n">
        <v>1</v>
      </c>
      <c r="M1170" s="17" t="str">
        <f aca="false">VLOOKUP(L1170,Sheet2!D:E,2,0)</f>
        <v>Power Supply Section</v>
      </c>
      <c r="N1170" s="17" t="n">
        <v>1</v>
      </c>
      <c r="O1170" s="17" t="str">
        <f aca="false">VLOOKUP(N1170,Sheet2!G:H,2,0)</f>
        <v>Dead</v>
      </c>
      <c r="P1170" s="17" t="n">
        <v>12</v>
      </c>
      <c r="Q1170" s="17" t="str">
        <f aca="false">VLOOKUP(P1170,Sheet2!J:K,2,0)</f>
        <v>IR Declared due to Others ( IR Normal)TB</v>
      </c>
      <c r="R1170" s="17" t="s">
        <v>35</v>
      </c>
      <c r="S1170" s="17" t="str">
        <f aca="false">VLOOKUP(R1170,Sheet2!N:O,2,0)</f>
        <v>IREPARABLE</v>
      </c>
      <c r="T1170" s="18" t="str">
        <f aca="false">VLOOKUP(P1170,Sheet2!Q:R,2,0)</f>
        <v>IR Normal - BER to IR</v>
      </c>
      <c r="U1170" s="18" t="s">
        <v>101</v>
      </c>
      <c r="V1170" s="17" t="n">
        <v>8</v>
      </c>
      <c r="W1170" s="20" t="str">
        <f aca="false">VLOOKUP(V1170,Sheet2!Q:R,2,0)</f>
        <v>IR Normal -TrackRust/InternalDamage/open</v>
      </c>
      <c r="X1170" s="17" t="str">
        <f aca="false">J1170</f>
        <v>A050</v>
      </c>
      <c r="Y1170" s="17" t="str">
        <f aca="false">VLOOKUP(X1170,Sheet2!A:B,2,0)</f>
        <v>PIYUSH CHAVDA</v>
      </c>
      <c r="Z1170" s="17" t="s">
        <v>376</v>
      </c>
      <c r="AA1170" s="17" t="s">
        <v>547</v>
      </c>
      <c r="AB1170" s="17" t="s">
        <v>41</v>
      </c>
      <c r="AC1170" s="0" t="str">
        <f aca="false">LEFT(G1170,2)</f>
        <v>85</v>
      </c>
      <c r="AE1170" s="21" t="s">
        <v>506</v>
      </c>
    </row>
    <row r="1171" customFormat="false" ht="15" hidden="false" customHeight="false" outlineLevel="0" collapsed="false">
      <c r="A1171" s="13" t="n">
        <f aca="false">1+A1170</f>
        <v>1169</v>
      </c>
      <c r="B1171" s="14" t="n">
        <v>1009645724</v>
      </c>
      <c r="C1171" s="17" t="s">
        <v>204</v>
      </c>
      <c r="D1171" s="16" t="s">
        <v>64</v>
      </c>
      <c r="E1171" s="17" t="s">
        <v>565</v>
      </c>
      <c r="F1171" s="18" t="s">
        <v>34</v>
      </c>
      <c r="G1171" s="19" t="n">
        <v>867245166212</v>
      </c>
      <c r="H1171" s="17" t="s">
        <v>35</v>
      </c>
      <c r="I1171" s="17" t="s">
        <v>72</v>
      </c>
      <c r="J1171" s="17" t="s">
        <v>241</v>
      </c>
      <c r="K1171" s="17" t="str">
        <f aca="false">VLOOKUP(J1171,Sheet2!A:B,2,0)</f>
        <v>NILESH NAGAR</v>
      </c>
      <c r="L1171" s="17" t="n">
        <v>8</v>
      </c>
      <c r="M1171" s="17" t="str">
        <f aca="false">VLOOKUP(L1171,Sheet2!D:E,2,0)</f>
        <v>Front Panel PCB Section</v>
      </c>
      <c r="N1171" s="17" t="n">
        <v>1</v>
      </c>
      <c r="O1171" s="17" t="str">
        <f aca="false">VLOOKUP(N1171,Sheet2!G:H,2,0)</f>
        <v>Dead</v>
      </c>
      <c r="P1171" s="17" t="n">
        <v>11</v>
      </c>
      <c r="Q1171" s="17" t="str">
        <f aca="false">VLOOKUP(P1171,Sheet2!J:K,2,0)</f>
        <v>IR Declared due to CID -TA</v>
      </c>
      <c r="R1171" s="17" t="s">
        <v>35</v>
      </c>
      <c r="S1171" s="17" t="str">
        <f aca="false">VLOOKUP(R1171,Sheet2!N:O,2,0)</f>
        <v>IREPARABLE</v>
      </c>
      <c r="T1171" s="18" t="str">
        <f aca="false">VLOOKUP(P1171,Sheet2!Q:R,2,0)</f>
        <v>IR Normal - Track burn out</v>
      </c>
      <c r="U1171" s="18" t="s">
        <v>122</v>
      </c>
      <c r="V1171" s="17" t="n">
        <v>2</v>
      </c>
      <c r="W1171" s="20" t="str">
        <f aca="false">VLOOKUP(V1171,Sheet2!Q:R,2,0)</f>
        <v>IR CID -  Water log from other area</v>
      </c>
      <c r="X1171" s="17" t="str">
        <f aca="false">J1171</f>
        <v>A008</v>
      </c>
      <c r="Y1171" s="17" t="str">
        <f aca="false">VLOOKUP(X1171,Sheet2!A:B,2,0)</f>
        <v>NILESH NAGAR</v>
      </c>
      <c r="Z1171" s="17" t="s">
        <v>566</v>
      </c>
      <c r="AA1171" s="17" t="s">
        <v>547</v>
      </c>
      <c r="AB1171" s="17" t="s">
        <v>41</v>
      </c>
      <c r="AC1171" s="0" t="str">
        <f aca="false">LEFT(G1171,2)</f>
        <v>86</v>
      </c>
      <c r="AE1171" s="21" t="s">
        <v>506</v>
      </c>
    </row>
    <row r="1172" customFormat="false" ht="15" hidden="false" customHeight="false" outlineLevel="0" collapsed="false">
      <c r="A1172" s="13" t="n">
        <f aca="false">1+A1171</f>
        <v>1170</v>
      </c>
      <c r="B1172" s="14" t="n">
        <v>1009649804</v>
      </c>
      <c r="C1172" s="17" t="s">
        <v>204</v>
      </c>
      <c r="D1172" s="16" t="s">
        <v>183</v>
      </c>
      <c r="E1172" s="17" t="s">
        <v>47</v>
      </c>
      <c r="F1172" s="18" t="s">
        <v>34</v>
      </c>
      <c r="G1172" s="19" t="n">
        <v>865231246469</v>
      </c>
      <c r="H1172" s="17" t="s">
        <v>35</v>
      </c>
      <c r="I1172" s="17" t="s">
        <v>72</v>
      </c>
      <c r="J1172" s="17" t="s">
        <v>118</v>
      </c>
      <c r="K1172" s="17" t="str">
        <f aca="false">VLOOKUP(J1172,Sheet2!A:B,2,0)</f>
        <v>DEVENDRA RAJPUT</v>
      </c>
      <c r="L1172" s="17" t="n">
        <v>1</v>
      </c>
      <c r="M1172" s="17" t="str">
        <f aca="false">VLOOKUP(L1172,Sheet2!D:E,2,0)</f>
        <v>Power Supply Section</v>
      </c>
      <c r="N1172" s="17" t="n">
        <v>1</v>
      </c>
      <c r="O1172" s="17" t="str">
        <f aca="false">VLOOKUP(N1172,Sheet2!G:H,2,0)</f>
        <v>Dead</v>
      </c>
      <c r="P1172" s="17" t="n">
        <v>11</v>
      </c>
      <c r="Q1172" s="17" t="str">
        <f aca="false">VLOOKUP(P1172,Sheet2!J:K,2,0)</f>
        <v>IR Declared due to CID -TA</v>
      </c>
      <c r="R1172" s="17" t="s">
        <v>35</v>
      </c>
      <c r="S1172" s="17" t="str">
        <f aca="false">VLOOKUP(R1172,Sheet2!N:O,2,0)</f>
        <v>IREPARABLE</v>
      </c>
      <c r="T1172" s="18" t="str">
        <f aca="false">VLOOKUP(P1172,Sheet2!Q:R,2,0)</f>
        <v>IR Normal - Track burn out</v>
      </c>
      <c r="U1172" s="18" t="s">
        <v>122</v>
      </c>
      <c r="V1172" s="17" t="n">
        <v>2</v>
      </c>
      <c r="W1172" s="20" t="str">
        <f aca="false">VLOOKUP(V1172,Sheet2!Q:R,2,0)</f>
        <v>IR CID -  Water log from other area</v>
      </c>
      <c r="X1172" s="17" t="str">
        <f aca="false">J1172</f>
        <v>A053</v>
      </c>
      <c r="Y1172" s="17" t="str">
        <f aca="false">VLOOKUP(X1172,Sheet2!A:B,2,0)</f>
        <v>DEVENDRA RAJPUT</v>
      </c>
      <c r="Z1172" s="17" t="s">
        <v>567</v>
      </c>
      <c r="AA1172" s="17" t="s">
        <v>547</v>
      </c>
      <c r="AB1172" s="17" t="s">
        <v>41</v>
      </c>
      <c r="AC1172" s="0" t="str">
        <f aca="false">LEFT(G1172,2)</f>
        <v>86</v>
      </c>
      <c r="AE1172" s="21" t="s">
        <v>506</v>
      </c>
    </row>
    <row r="1173" customFormat="false" ht="15" hidden="false" customHeight="false" outlineLevel="0" collapsed="false">
      <c r="A1173" s="13" t="n">
        <f aca="false">1+A1172</f>
        <v>1171</v>
      </c>
      <c r="B1173" s="14" t="n">
        <v>1009619620</v>
      </c>
      <c r="C1173" s="17" t="s">
        <v>184</v>
      </c>
      <c r="D1173" s="16" t="s">
        <v>64</v>
      </c>
      <c r="E1173" s="17" t="s">
        <v>64</v>
      </c>
      <c r="F1173" s="18" t="s">
        <v>34</v>
      </c>
      <c r="G1173" s="19" t="n">
        <v>865174154308</v>
      </c>
      <c r="H1173" s="17" t="s">
        <v>35</v>
      </c>
      <c r="I1173" s="17" t="s">
        <v>72</v>
      </c>
      <c r="J1173" s="17" t="s">
        <v>241</v>
      </c>
      <c r="K1173" s="17" t="str">
        <f aca="false">VLOOKUP(J1173,Sheet2!A:B,2,0)</f>
        <v>NILESH NAGAR</v>
      </c>
      <c r="L1173" s="17" t="n">
        <v>5</v>
      </c>
      <c r="M1173" s="17" t="str">
        <f aca="false">VLOOKUP(L1173,Sheet2!D:E,2,0)</f>
        <v>Main Processor CPU BGA</v>
      </c>
      <c r="N1173" s="17" t="n">
        <v>1</v>
      </c>
      <c r="O1173" s="17" t="str">
        <f aca="false">VLOOKUP(N1173,Sheet2!G:H,2,0)</f>
        <v>Dead</v>
      </c>
      <c r="P1173" s="17" t="n">
        <v>12</v>
      </c>
      <c r="Q1173" s="17" t="str">
        <f aca="false">VLOOKUP(P1173,Sheet2!J:K,2,0)</f>
        <v>IR Declared due to Others ( IR Normal)TB</v>
      </c>
      <c r="R1173" s="17" t="s">
        <v>35</v>
      </c>
      <c r="S1173" s="17" t="str">
        <f aca="false">VLOOKUP(R1173,Sheet2!N:O,2,0)</f>
        <v>IREPARABLE</v>
      </c>
      <c r="T1173" s="18" t="str">
        <f aca="false">VLOOKUP(P1173,Sheet2!Q:R,2,0)</f>
        <v>IR Normal - BER to IR</v>
      </c>
      <c r="U1173" s="18" t="s">
        <v>101</v>
      </c>
      <c r="V1173" s="17" t="n">
        <v>8</v>
      </c>
      <c r="W1173" s="20" t="str">
        <f aca="false">VLOOKUP(V1173,Sheet2!Q:R,2,0)</f>
        <v>IR Normal -TrackRust/InternalDamage/open</v>
      </c>
      <c r="X1173" s="17" t="str">
        <f aca="false">J1173</f>
        <v>A008</v>
      </c>
      <c r="Y1173" s="17" t="str">
        <f aca="false">VLOOKUP(X1173,Sheet2!A:B,2,0)</f>
        <v>NILESH NAGAR</v>
      </c>
      <c r="Z1173" s="17" t="s">
        <v>242</v>
      </c>
      <c r="AA1173" s="17" t="s">
        <v>547</v>
      </c>
      <c r="AB1173" s="17" t="s">
        <v>41</v>
      </c>
      <c r="AC1173" s="0" t="str">
        <f aca="false">LEFT(G1173,2)</f>
        <v>86</v>
      </c>
      <c r="AE1173" s="21" t="s">
        <v>506</v>
      </c>
    </row>
    <row r="1174" customFormat="false" ht="15" hidden="false" customHeight="false" outlineLevel="0" collapsed="false">
      <c r="A1174" s="13" t="n">
        <f aca="false">1+A1173</f>
        <v>1172</v>
      </c>
      <c r="B1174" s="14" t="n">
        <v>1009666096</v>
      </c>
      <c r="C1174" s="17" t="s">
        <v>436</v>
      </c>
      <c r="D1174" s="16" t="s">
        <v>64</v>
      </c>
      <c r="E1174" s="17" t="s">
        <v>64</v>
      </c>
      <c r="F1174" s="18" t="s">
        <v>34</v>
      </c>
      <c r="G1174" s="19" t="n">
        <v>865318133556</v>
      </c>
      <c r="H1174" s="17" t="s">
        <v>35</v>
      </c>
      <c r="I1174" s="17" t="s">
        <v>72</v>
      </c>
      <c r="J1174" s="17" t="s">
        <v>118</v>
      </c>
      <c r="K1174" s="17" t="str">
        <f aca="false">VLOOKUP(J1174,Sheet2!A:B,2,0)</f>
        <v>DEVENDRA RAJPUT</v>
      </c>
      <c r="L1174" s="17" t="n">
        <v>1</v>
      </c>
      <c r="M1174" s="17" t="str">
        <f aca="false">VLOOKUP(L1174,Sheet2!D:E,2,0)</f>
        <v>Power Supply Section</v>
      </c>
      <c r="N1174" s="17" t="n">
        <v>1</v>
      </c>
      <c r="O1174" s="17" t="str">
        <f aca="false">VLOOKUP(N1174,Sheet2!G:H,2,0)</f>
        <v>Dead</v>
      </c>
      <c r="P1174" s="17" t="n">
        <v>12</v>
      </c>
      <c r="Q1174" s="17" t="str">
        <f aca="false">VLOOKUP(P1174,Sheet2!J:K,2,0)</f>
        <v>IR Declared due to Others ( IR Normal)TB</v>
      </c>
      <c r="R1174" s="17" t="s">
        <v>35</v>
      </c>
      <c r="S1174" s="17" t="str">
        <f aca="false">VLOOKUP(R1174,Sheet2!N:O,2,0)</f>
        <v>IREPARABLE</v>
      </c>
      <c r="T1174" s="18" t="str">
        <f aca="false">VLOOKUP(P1174,Sheet2!Q:R,2,0)</f>
        <v>IR Normal - BER to IR</v>
      </c>
      <c r="U1174" s="18" t="s">
        <v>101</v>
      </c>
      <c r="V1174" s="17" t="n">
        <v>8</v>
      </c>
      <c r="W1174" s="20" t="str">
        <f aca="false">VLOOKUP(V1174,Sheet2!Q:R,2,0)</f>
        <v>IR Normal -TrackRust/InternalDamage/open</v>
      </c>
      <c r="X1174" s="17" t="str">
        <f aca="false">J1174</f>
        <v>A053</v>
      </c>
      <c r="Y1174" s="17" t="str">
        <f aca="false">VLOOKUP(X1174,Sheet2!A:B,2,0)</f>
        <v>DEVENDRA RAJPUT</v>
      </c>
      <c r="Z1174" s="17" t="s">
        <v>246</v>
      </c>
      <c r="AA1174" s="17" t="s">
        <v>547</v>
      </c>
      <c r="AB1174" s="17" t="s">
        <v>41</v>
      </c>
      <c r="AC1174" s="0" t="str">
        <f aca="false">LEFT(G1174,2)</f>
        <v>86</v>
      </c>
      <c r="AE1174" s="21" t="s">
        <v>506</v>
      </c>
    </row>
    <row r="1175" customFormat="false" ht="15" hidden="false" customHeight="false" outlineLevel="0" collapsed="false">
      <c r="A1175" s="13" t="n">
        <f aca="false">1+A1174</f>
        <v>1173</v>
      </c>
      <c r="B1175" s="14" t="n">
        <v>1009623492</v>
      </c>
      <c r="C1175" s="17" t="s">
        <v>184</v>
      </c>
      <c r="D1175" s="16" t="s">
        <v>64</v>
      </c>
      <c r="E1175" s="17" t="s">
        <v>47</v>
      </c>
      <c r="F1175" s="18" t="s">
        <v>34</v>
      </c>
      <c r="G1175" s="19" t="n">
        <v>865154119578</v>
      </c>
      <c r="H1175" s="17" t="s">
        <v>35</v>
      </c>
      <c r="I1175" s="17" t="s">
        <v>72</v>
      </c>
      <c r="J1175" s="17" t="s">
        <v>118</v>
      </c>
      <c r="K1175" s="17" t="str">
        <f aca="false">VLOOKUP(J1175,Sheet2!A:B,2,0)</f>
        <v>DEVENDRA RAJPUT</v>
      </c>
      <c r="L1175" s="17" t="n">
        <v>1</v>
      </c>
      <c r="M1175" s="17" t="str">
        <f aca="false">VLOOKUP(L1175,Sheet2!D:E,2,0)</f>
        <v>Power Supply Section</v>
      </c>
      <c r="N1175" s="17" t="n">
        <v>1</v>
      </c>
      <c r="O1175" s="17" t="str">
        <f aca="false">VLOOKUP(N1175,Sheet2!G:H,2,0)</f>
        <v>Dead</v>
      </c>
      <c r="P1175" s="17" t="n">
        <v>11</v>
      </c>
      <c r="Q1175" s="17" t="str">
        <f aca="false">VLOOKUP(P1175,Sheet2!J:K,2,0)</f>
        <v>IR Declared due to CID -TA</v>
      </c>
      <c r="R1175" s="17" t="s">
        <v>35</v>
      </c>
      <c r="S1175" s="17" t="str">
        <f aca="false">VLOOKUP(R1175,Sheet2!N:O,2,0)</f>
        <v>IREPARABLE</v>
      </c>
      <c r="T1175" s="18" t="str">
        <f aca="false">VLOOKUP(P1175,Sheet2!Q:R,2,0)</f>
        <v>IR Normal - Track burn out</v>
      </c>
      <c r="U1175" s="18" t="s">
        <v>122</v>
      </c>
      <c r="V1175" s="17" t="n">
        <v>2</v>
      </c>
      <c r="W1175" s="20" t="str">
        <f aca="false">VLOOKUP(V1175,Sheet2!Q:R,2,0)</f>
        <v>IR CID -  Water log from other area</v>
      </c>
      <c r="X1175" s="17" t="str">
        <f aca="false">J1175</f>
        <v>A053</v>
      </c>
      <c r="Y1175" s="17" t="str">
        <f aca="false">VLOOKUP(X1175,Sheet2!A:B,2,0)</f>
        <v>DEVENDRA RAJPUT</v>
      </c>
      <c r="Z1175" s="17" t="s">
        <v>568</v>
      </c>
      <c r="AA1175" s="17" t="s">
        <v>547</v>
      </c>
      <c r="AB1175" s="17" t="s">
        <v>41</v>
      </c>
      <c r="AC1175" s="0" t="str">
        <f aca="false">LEFT(G1175,2)</f>
        <v>86</v>
      </c>
      <c r="AE1175" s="21" t="s">
        <v>506</v>
      </c>
    </row>
    <row r="1176" customFormat="false" ht="15" hidden="false" customHeight="false" outlineLevel="0" collapsed="false">
      <c r="A1176" s="13" t="n">
        <f aca="false">1+A1175</f>
        <v>1174</v>
      </c>
      <c r="B1176" s="14" t="n">
        <v>1009666519</v>
      </c>
      <c r="C1176" s="17" t="s">
        <v>436</v>
      </c>
      <c r="D1176" s="16" t="s">
        <v>119</v>
      </c>
      <c r="E1176" s="17" t="s">
        <v>33</v>
      </c>
      <c r="F1176" s="18" t="s">
        <v>34</v>
      </c>
      <c r="G1176" s="19" t="n">
        <v>865314127297</v>
      </c>
      <c r="H1176" s="17" t="s">
        <v>35</v>
      </c>
      <c r="I1176" s="17" t="s">
        <v>72</v>
      </c>
      <c r="J1176" s="17" t="s">
        <v>111</v>
      </c>
      <c r="K1176" s="17" t="str">
        <f aca="false">VLOOKUP(J1176,Sheet2!A:B,2,0)</f>
        <v>NITIN PRANAMI</v>
      </c>
      <c r="L1176" s="17" t="n">
        <v>1</v>
      </c>
      <c r="M1176" s="17" t="str">
        <f aca="false">VLOOKUP(L1176,Sheet2!D:E,2,0)</f>
        <v>Power Supply Section</v>
      </c>
      <c r="N1176" s="17" t="n">
        <v>1</v>
      </c>
      <c r="O1176" s="17" t="str">
        <f aca="false">VLOOKUP(N1176,Sheet2!G:H,2,0)</f>
        <v>Dead</v>
      </c>
      <c r="P1176" s="17" t="n">
        <v>12</v>
      </c>
      <c r="Q1176" s="17" t="str">
        <f aca="false">VLOOKUP(P1176,Sheet2!J:K,2,0)</f>
        <v>IR Declared due to Others ( IR Normal)TB</v>
      </c>
      <c r="R1176" s="17" t="s">
        <v>35</v>
      </c>
      <c r="S1176" s="17" t="str">
        <f aca="false">VLOOKUP(R1176,Sheet2!N:O,2,0)</f>
        <v>IREPARABLE</v>
      </c>
      <c r="T1176" s="18" t="str">
        <f aca="false">VLOOKUP(P1176,Sheet2!Q:R,2,0)</f>
        <v>IR Normal - BER to IR</v>
      </c>
      <c r="U1176" s="18" t="s">
        <v>101</v>
      </c>
      <c r="V1176" s="17" t="n">
        <v>8</v>
      </c>
      <c r="W1176" s="20" t="str">
        <f aca="false">VLOOKUP(V1176,Sheet2!Q:R,2,0)</f>
        <v>IR Normal -TrackRust/InternalDamage/open</v>
      </c>
      <c r="X1176" s="17" t="str">
        <f aca="false">J1176</f>
        <v>A031</v>
      </c>
      <c r="Y1176" s="17" t="str">
        <f aca="false">VLOOKUP(X1176,Sheet2!A:B,2,0)</f>
        <v>NITIN PRANAMI</v>
      </c>
      <c r="Z1176" s="17" t="s">
        <v>569</v>
      </c>
      <c r="AA1176" s="17" t="s">
        <v>547</v>
      </c>
      <c r="AB1176" s="17" t="s">
        <v>41</v>
      </c>
      <c r="AC1176" s="0" t="str">
        <f aca="false">LEFT(G1176,2)</f>
        <v>86</v>
      </c>
      <c r="AE1176" s="21" t="s">
        <v>506</v>
      </c>
    </row>
    <row r="1177" customFormat="false" ht="15" hidden="false" customHeight="false" outlineLevel="0" collapsed="false">
      <c r="A1177" s="13" t="n">
        <f aca="false">1+A1176</f>
        <v>1175</v>
      </c>
      <c r="B1177" s="14" t="n">
        <v>1009673064</v>
      </c>
      <c r="C1177" s="17" t="s">
        <v>436</v>
      </c>
      <c r="D1177" s="16" t="s">
        <v>64</v>
      </c>
      <c r="E1177" s="17" t="s">
        <v>64</v>
      </c>
      <c r="F1177" s="18" t="s">
        <v>34</v>
      </c>
      <c r="G1177" s="19" t="n">
        <v>865146176850</v>
      </c>
      <c r="H1177" s="17" t="s">
        <v>35</v>
      </c>
      <c r="I1177" s="17" t="s">
        <v>72</v>
      </c>
      <c r="J1177" s="17" t="s">
        <v>239</v>
      </c>
      <c r="K1177" s="17" t="str">
        <f aca="false">VLOOKUP(J1177,Sheet2!A:B,2,0)</f>
        <v>VASANT PARMAR</v>
      </c>
      <c r="L1177" s="17" t="n">
        <v>5</v>
      </c>
      <c r="M1177" s="17" t="str">
        <f aca="false">VLOOKUP(L1177,Sheet2!D:E,2,0)</f>
        <v>Main Processor CPU BGA</v>
      </c>
      <c r="N1177" s="17" t="n">
        <v>1</v>
      </c>
      <c r="O1177" s="17" t="str">
        <f aca="false">VLOOKUP(N1177,Sheet2!G:H,2,0)</f>
        <v>Dead</v>
      </c>
      <c r="P1177" s="17" t="n">
        <v>12</v>
      </c>
      <c r="Q1177" s="17" t="str">
        <f aca="false">VLOOKUP(P1177,Sheet2!J:K,2,0)</f>
        <v>IR Declared due to Others ( IR Normal)TB</v>
      </c>
      <c r="R1177" s="17" t="s">
        <v>35</v>
      </c>
      <c r="S1177" s="17" t="str">
        <f aca="false">VLOOKUP(R1177,Sheet2!N:O,2,0)</f>
        <v>IREPARABLE</v>
      </c>
      <c r="T1177" s="18" t="str">
        <f aca="false">VLOOKUP(P1177,Sheet2!Q:R,2,0)</f>
        <v>IR Normal - BER to IR</v>
      </c>
      <c r="U1177" s="18" t="s">
        <v>101</v>
      </c>
      <c r="V1177" s="17" t="n">
        <v>8</v>
      </c>
      <c r="W1177" s="20" t="str">
        <f aca="false">VLOOKUP(V1177,Sheet2!Q:R,2,0)</f>
        <v>IR Normal -TrackRust/InternalDamage/open</v>
      </c>
      <c r="X1177" s="17" t="str">
        <f aca="false">J1177</f>
        <v>A005</v>
      </c>
      <c r="Y1177" s="17" t="str">
        <f aca="false">VLOOKUP(X1177,Sheet2!A:B,2,0)</f>
        <v>VASANT PARMAR</v>
      </c>
      <c r="Z1177" s="17" t="s">
        <v>569</v>
      </c>
      <c r="AA1177" s="17" t="s">
        <v>547</v>
      </c>
      <c r="AB1177" s="17" t="s">
        <v>41</v>
      </c>
      <c r="AC1177" s="0" t="str">
        <f aca="false">LEFT(G1177,2)</f>
        <v>86</v>
      </c>
      <c r="AE1177" s="21" t="s">
        <v>506</v>
      </c>
    </row>
    <row r="1178" customFormat="false" ht="15" hidden="false" customHeight="false" outlineLevel="0" collapsed="false">
      <c r="A1178" s="13" t="n">
        <f aca="false">1+A1177</f>
        <v>1176</v>
      </c>
      <c r="B1178" s="14" t="n">
        <v>1009619623</v>
      </c>
      <c r="C1178" s="17" t="s">
        <v>184</v>
      </c>
      <c r="D1178" s="16" t="s">
        <v>64</v>
      </c>
      <c r="E1178" s="17" t="s">
        <v>64</v>
      </c>
      <c r="F1178" s="18" t="s">
        <v>34</v>
      </c>
      <c r="G1178" s="19" t="n">
        <v>865349135562</v>
      </c>
      <c r="H1178" s="17" t="s">
        <v>35</v>
      </c>
      <c r="I1178" s="17" t="s">
        <v>72</v>
      </c>
      <c r="J1178" s="17" t="s">
        <v>239</v>
      </c>
      <c r="K1178" s="17" t="str">
        <f aca="false">VLOOKUP(J1178,Sheet2!A:B,2,0)</f>
        <v>VASANT PARMAR</v>
      </c>
      <c r="L1178" s="17" t="n">
        <v>5</v>
      </c>
      <c r="M1178" s="17" t="str">
        <f aca="false">VLOOKUP(L1178,Sheet2!D:E,2,0)</f>
        <v>Main Processor CPU BGA</v>
      </c>
      <c r="N1178" s="17" t="n">
        <v>1</v>
      </c>
      <c r="O1178" s="17" t="str">
        <f aca="false">VLOOKUP(N1178,Sheet2!G:H,2,0)</f>
        <v>Dead</v>
      </c>
      <c r="P1178" s="17" t="n">
        <v>11</v>
      </c>
      <c r="Q1178" s="17" t="str">
        <f aca="false">VLOOKUP(P1178,Sheet2!J:K,2,0)</f>
        <v>IR Declared due to CID -TA</v>
      </c>
      <c r="R1178" s="17" t="s">
        <v>35</v>
      </c>
      <c r="S1178" s="17" t="str">
        <f aca="false">VLOOKUP(R1178,Sheet2!N:O,2,0)</f>
        <v>IREPARABLE</v>
      </c>
      <c r="T1178" s="18" t="str">
        <f aca="false">VLOOKUP(P1178,Sheet2!Q:R,2,0)</f>
        <v>IR Normal - Track burn out</v>
      </c>
      <c r="U1178" s="18" t="s">
        <v>122</v>
      </c>
      <c r="V1178" s="17" t="n">
        <v>2</v>
      </c>
      <c r="W1178" s="20" t="str">
        <f aca="false">VLOOKUP(V1178,Sheet2!Q:R,2,0)</f>
        <v>IR CID -  Water log from other area</v>
      </c>
      <c r="X1178" s="17" t="str">
        <f aca="false">J1178</f>
        <v>A005</v>
      </c>
      <c r="Y1178" s="17" t="str">
        <f aca="false">VLOOKUP(X1178,Sheet2!A:B,2,0)</f>
        <v>VASANT PARMAR</v>
      </c>
      <c r="Z1178" s="17" t="s">
        <v>570</v>
      </c>
      <c r="AA1178" s="17" t="s">
        <v>547</v>
      </c>
      <c r="AB1178" s="17" t="s">
        <v>41</v>
      </c>
      <c r="AC1178" s="0" t="str">
        <f aca="false">LEFT(G1178,2)</f>
        <v>86</v>
      </c>
      <c r="AE1178" s="21" t="s">
        <v>506</v>
      </c>
    </row>
    <row r="1179" customFormat="false" ht="15" hidden="false" customHeight="false" outlineLevel="0" collapsed="false">
      <c r="A1179" s="13" t="n">
        <f aca="false">1+A1178</f>
        <v>1177</v>
      </c>
      <c r="B1179" s="14" t="n">
        <v>1009661502</v>
      </c>
      <c r="C1179" s="17" t="s">
        <v>433</v>
      </c>
      <c r="D1179" s="16" t="s">
        <v>64</v>
      </c>
      <c r="E1179" s="17" t="s">
        <v>33</v>
      </c>
      <c r="F1179" s="18" t="s">
        <v>34</v>
      </c>
      <c r="G1179" s="19" t="n">
        <v>868155151343</v>
      </c>
      <c r="H1179" s="17" t="s">
        <v>35</v>
      </c>
      <c r="I1179" s="17" t="s">
        <v>72</v>
      </c>
      <c r="J1179" s="17" t="s">
        <v>118</v>
      </c>
      <c r="K1179" s="17" t="str">
        <f aca="false">VLOOKUP(J1179,Sheet2!A:B,2,0)</f>
        <v>DEVENDRA RAJPUT</v>
      </c>
      <c r="L1179" s="17" t="n">
        <v>5</v>
      </c>
      <c r="M1179" s="17" t="str">
        <f aca="false">VLOOKUP(L1179,Sheet2!D:E,2,0)</f>
        <v>Main Processor CPU BGA</v>
      </c>
      <c r="N1179" s="17" t="n">
        <v>24</v>
      </c>
      <c r="O1179" s="17" t="str">
        <f aca="false">VLOOKUP(N1179,Sheet2!G:H,2,0)</f>
        <v>STB Auto moving -Stand by mode</v>
      </c>
      <c r="P1179" s="17" t="n">
        <v>11</v>
      </c>
      <c r="Q1179" s="17" t="str">
        <f aca="false">VLOOKUP(P1179,Sheet2!J:K,2,0)</f>
        <v>IR Declared due to CID -TA</v>
      </c>
      <c r="R1179" s="17" t="s">
        <v>35</v>
      </c>
      <c r="S1179" s="17" t="str">
        <f aca="false">VLOOKUP(R1179,Sheet2!N:O,2,0)</f>
        <v>IREPARABLE</v>
      </c>
      <c r="T1179" s="18" t="str">
        <f aca="false">VLOOKUP(P1179,Sheet2!Q:R,2,0)</f>
        <v>IR Normal - Track burn out</v>
      </c>
      <c r="U1179" s="18" t="s">
        <v>122</v>
      </c>
      <c r="V1179" s="17" t="n">
        <v>2</v>
      </c>
      <c r="W1179" s="20" t="str">
        <f aca="false">VLOOKUP(V1179,Sheet2!Q:R,2,0)</f>
        <v>IR CID -  Water log from other area</v>
      </c>
      <c r="X1179" s="17" t="str">
        <f aca="false">J1179</f>
        <v>A053</v>
      </c>
      <c r="Y1179" s="17" t="str">
        <f aca="false">VLOOKUP(X1179,Sheet2!A:B,2,0)</f>
        <v>DEVENDRA RAJPUT</v>
      </c>
      <c r="Z1179" s="17" t="s">
        <v>571</v>
      </c>
      <c r="AA1179" s="17" t="s">
        <v>547</v>
      </c>
      <c r="AB1179" s="17" t="s">
        <v>41</v>
      </c>
      <c r="AC1179" s="0" t="str">
        <f aca="false">LEFT(G1179,2)</f>
        <v>86</v>
      </c>
      <c r="AE1179" s="21" t="s">
        <v>506</v>
      </c>
    </row>
    <row r="1180" customFormat="false" ht="15" hidden="false" customHeight="false" outlineLevel="0" collapsed="false">
      <c r="A1180" s="13" t="n">
        <f aca="false">1+A1179</f>
        <v>1178</v>
      </c>
      <c r="B1180" s="14" t="n">
        <v>1009634159</v>
      </c>
      <c r="C1180" s="17" t="s">
        <v>435</v>
      </c>
      <c r="D1180" s="16" t="s">
        <v>64</v>
      </c>
      <c r="E1180" s="17" t="s">
        <v>64</v>
      </c>
      <c r="F1180" s="18" t="s">
        <v>34</v>
      </c>
      <c r="G1180" s="19" t="n">
        <v>866286115526</v>
      </c>
      <c r="H1180" s="17" t="s">
        <v>35</v>
      </c>
      <c r="I1180" s="17" t="s">
        <v>72</v>
      </c>
      <c r="J1180" s="17" t="s">
        <v>241</v>
      </c>
      <c r="K1180" s="17" t="str">
        <f aca="false">VLOOKUP(J1180,Sheet2!A:B,2,0)</f>
        <v>NILESH NAGAR</v>
      </c>
      <c r="L1180" s="17" t="n">
        <v>5</v>
      </c>
      <c r="M1180" s="17" t="str">
        <f aca="false">VLOOKUP(L1180,Sheet2!D:E,2,0)</f>
        <v>Main Processor CPU BGA</v>
      </c>
      <c r="N1180" s="17" t="n">
        <v>1</v>
      </c>
      <c r="O1180" s="17" t="str">
        <f aca="false">VLOOKUP(N1180,Sheet2!G:H,2,0)</f>
        <v>Dead</v>
      </c>
      <c r="P1180" s="17" t="n">
        <v>12</v>
      </c>
      <c r="Q1180" s="17" t="str">
        <f aca="false">VLOOKUP(P1180,Sheet2!J:K,2,0)</f>
        <v>IR Declared due to Others ( IR Normal)TB</v>
      </c>
      <c r="R1180" s="17" t="s">
        <v>35</v>
      </c>
      <c r="S1180" s="17" t="str">
        <f aca="false">VLOOKUP(R1180,Sheet2!N:O,2,0)</f>
        <v>IREPARABLE</v>
      </c>
      <c r="T1180" s="18" t="str">
        <f aca="false">VLOOKUP(P1180,Sheet2!Q:R,2,0)</f>
        <v>IR Normal - BER to IR</v>
      </c>
      <c r="U1180" s="15" t="s">
        <v>38</v>
      </c>
      <c r="V1180" s="17" t="n">
        <v>11</v>
      </c>
      <c r="W1180" s="20" t="str">
        <f aca="false">VLOOKUP(V1180,Sheet2!Q:R,2,0)</f>
        <v>IR Normal - Track burn out</v>
      </c>
      <c r="X1180" s="17" t="str">
        <f aca="false">J1180</f>
        <v>A008</v>
      </c>
      <c r="Y1180" s="17" t="str">
        <f aca="false">VLOOKUP(X1180,Sheet2!A:B,2,0)</f>
        <v>NILESH NAGAR</v>
      </c>
      <c r="Z1180" s="17" t="s">
        <v>249</v>
      </c>
      <c r="AA1180" s="17" t="s">
        <v>547</v>
      </c>
      <c r="AB1180" s="17" t="s">
        <v>41</v>
      </c>
      <c r="AC1180" s="0" t="str">
        <f aca="false">LEFT(G1180,2)</f>
        <v>86</v>
      </c>
      <c r="AE1180" s="21" t="s">
        <v>506</v>
      </c>
    </row>
    <row r="1181" customFormat="false" ht="15" hidden="false" customHeight="false" outlineLevel="0" collapsed="false">
      <c r="A1181" s="13" t="n">
        <f aca="false">1+A1180</f>
        <v>1179</v>
      </c>
      <c r="B1181" s="14" t="n">
        <v>1009607508</v>
      </c>
      <c r="C1181" s="17" t="s">
        <v>181</v>
      </c>
      <c r="D1181" s="16" t="s">
        <v>64</v>
      </c>
      <c r="E1181" s="17" t="s">
        <v>47</v>
      </c>
      <c r="F1181" s="18" t="s">
        <v>34</v>
      </c>
      <c r="G1181" s="19" t="n">
        <v>865134126834</v>
      </c>
      <c r="H1181" s="17" t="s">
        <v>35</v>
      </c>
      <c r="I1181" s="17" t="s">
        <v>72</v>
      </c>
      <c r="J1181" s="17" t="s">
        <v>267</v>
      </c>
      <c r="K1181" s="17" t="str">
        <f aca="false">VLOOKUP(J1181,Sheet2!A:B,2,0)</f>
        <v>HARIRAM GUPTA</v>
      </c>
      <c r="L1181" s="17" t="n">
        <v>5</v>
      </c>
      <c r="M1181" s="17" t="str">
        <f aca="false">VLOOKUP(L1181,Sheet2!D:E,2,0)</f>
        <v>Main Processor CPU BGA</v>
      </c>
      <c r="N1181" s="17" t="n">
        <v>24</v>
      </c>
      <c r="O1181" s="17" t="str">
        <f aca="false">VLOOKUP(N1181,Sheet2!G:H,2,0)</f>
        <v>STB Auto moving -Stand by mode</v>
      </c>
      <c r="P1181" s="17" t="n">
        <v>11</v>
      </c>
      <c r="Q1181" s="17" t="str">
        <f aca="false">VLOOKUP(P1181,Sheet2!J:K,2,0)</f>
        <v>IR Declared due to CID -TA</v>
      </c>
      <c r="R1181" s="17" t="s">
        <v>35</v>
      </c>
      <c r="S1181" s="17" t="str">
        <f aca="false">VLOOKUP(R1181,Sheet2!N:O,2,0)</f>
        <v>IREPARABLE</v>
      </c>
      <c r="T1181" s="18" t="str">
        <f aca="false">VLOOKUP(P1181,Sheet2!Q:R,2,0)</f>
        <v>IR Normal - Track burn out</v>
      </c>
      <c r="U1181" s="18" t="s">
        <v>122</v>
      </c>
      <c r="V1181" s="17" t="n">
        <v>2</v>
      </c>
      <c r="W1181" s="20" t="str">
        <f aca="false">VLOOKUP(V1181,Sheet2!Q:R,2,0)</f>
        <v>IR CID -  Water log from other area</v>
      </c>
      <c r="X1181" s="17" t="str">
        <f aca="false">J1181</f>
        <v>A007</v>
      </c>
      <c r="Y1181" s="17" t="str">
        <f aca="false">VLOOKUP(X1181,Sheet2!A:B,2,0)</f>
        <v>HARIRAM GUPTA</v>
      </c>
      <c r="Z1181" s="17" t="s">
        <v>251</v>
      </c>
      <c r="AA1181" s="17" t="s">
        <v>547</v>
      </c>
      <c r="AB1181" s="17" t="s">
        <v>41</v>
      </c>
      <c r="AC1181" s="0" t="str">
        <f aca="false">LEFT(G1181,2)</f>
        <v>86</v>
      </c>
      <c r="AE1181" s="21" t="s">
        <v>506</v>
      </c>
    </row>
    <row r="1182" customFormat="false" ht="15" hidden="false" customHeight="false" outlineLevel="0" collapsed="false">
      <c r="A1182" s="13" t="n">
        <f aca="false">1+A1181</f>
        <v>1180</v>
      </c>
      <c r="B1182" s="14" t="n">
        <v>1009670154</v>
      </c>
      <c r="C1182" s="17" t="s">
        <v>436</v>
      </c>
      <c r="D1182" s="16" t="s">
        <v>113</v>
      </c>
      <c r="E1182" s="17" t="s">
        <v>572</v>
      </c>
      <c r="F1182" s="18" t="s">
        <v>34</v>
      </c>
      <c r="G1182" s="19" t="n">
        <v>867279102083</v>
      </c>
      <c r="H1182" s="17" t="s">
        <v>35</v>
      </c>
      <c r="I1182" s="17" t="s">
        <v>72</v>
      </c>
      <c r="J1182" s="17" t="s">
        <v>100</v>
      </c>
      <c r="K1182" s="17" t="str">
        <f aca="false">VLOOKUP(J1182,Sheet2!A:B,2,0)</f>
        <v>PIYUSH CHAVDA</v>
      </c>
      <c r="L1182" s="17" t="n">
        <v>1</v>
      </c>
      <c r="M1182" s="17" t="str">
        <f aca="false">VLOOKUP(L1182,Sheet2!D:E,2,0)</f>
        <v>Power Supply Section</v>
      </c>
      <c r="N1182" s="17" t="n">
        <v>1</v>
      </c>
      <c r="O1182" s="17" t="str">
        <f aca="false">VLOOKUP(N1182,Sheet2!G:H,2,0)</f>
        <v>Dead</v>
      </c>
      <c r="P1182" s="17" t="n">
        <v>12</v>
      </c>
      <c r="Q1182" s="17" t="str">
        <f aca="false">VLOOKUP(P1182,Sheet2!J:K,2,0)</f>
        <v>IR Declared due to Others ( IR Normal)TB</v>
      </c>
      <c r="R1182" s="17" t="s">
        <v>35</v>
      </c>
      <c r="S1182" s="17" t="str">
        <f aca="false">VLOOKUP(R1182,Sheet2!N:O,2,0)</f>
        <v>IREPARABLE</v>
      </c>
      <c r="T1182" s="18" t="str">
        <f aca="false">VLOOKUP(P1182,Sheet2!Q:R,2,0)</f>
        <v>IR Normal - BER to IR</v>
      </c>
      <c r="U1182" s="18" t="s">
        <v>101</v>
      </c>
      <c r="V1182" s="17" t="n">
        <v>8</v>
      </c>
      <c r="W1182" s="20" t="str">
        <f aca="false">VLOOKUP(V1182,Sheet2!Q:R,2,0)</f>
        <v>IR Normal -TrackRust/InternalDamage/open</v>
      </c>
      <c r="X1182" s="17" t="str">
        <f aca="false">J1182</f>
        <v>A050</v>
      </c>
      <c r="Y1182" s="17" t="str">
        <f aca="false">VLOOKUP(X1182,Sheet2!A:B,2,0)</f>
        <v>PIYUSH CHAVDA</v>
      </c>
      <c r="Z1182" s="17" t="s">
        <v>251</v>
      </c>
      <c r="AA1182" s="17" t="s">
        <v>547</v>
      </c>
      <c r="AB1182" s="17" t="s">
        <v>41</v>
      </c>
      <c r="AC1182" s="0" t="str">
        <f aca="false">LEFT(G1182,2)</f>
        <v>86</v>
      </c>
      <c r="AE1182" s="21" t="s">
        <v>506</v>
      </c>
    </row>
    <row r="1183" customFormat="false" ht="15" hidden="false" customHeight="false" outlineLevel="0" collapsed="false">
      <c r="A1183" s="13" t="n">
        <f aca="false">1+A1182</f>
        <v>1181</v>
      </c>
      <c r="B1183" s="14" t="n">
        <v>1009620573</v>
      </c>
      <c r="C1183" s="17" t="s">
        <v>184</v>
      </c>
      <c r="D1183" s="16" t="s">
        <v>64</v>
      </c>
      <c r="E1183" s="17" t="s">
        <v>47</v>
      </c>
      <c r="F1183" s="18" t="s">
        <v>34</v>
      </c>
      <c r="G1183" s="19" t="n">
        <v>868079126595</v>
      </c>
      <c r="H1183" s="17" t="s">
        <v>35</v>
      </c>
      <c r="I1183" s="17" t="s">
        <v>72</v>
      </c>
      <c r="J1183" s="17" t="s">
        <v>267</v>
      </c>
      <c r="K1183" s="17" t="str">
        <f aca="false">VLOOKUP(J1183,Sheet2!A:B,2,0)</f>
        <v>HARIRAM GUPTA</v>
      </c>
      <c r="L1183" s="17" t="n">
        <v>1</v>
      </c>
      <c r="M1183" s="17" t="str">
        <f aca="false">VLOOKUP(L1183,Sheet2!D:E,2,0)</f>
        <v>Power Supply Section</v>
      </c>
      <c r="N1183" s="17" t="n">
        <v>1</v>
      </c>
      <c r="O1183" s="17" t="str">
        <f aca="false">VLOOKUP(N1183,Sheet2!G:H,2,0)</f>
        <v>Dead</v>
      </c>
      <c r="P1183" s="17" t="n">
        <v>11</v>
      </c>
      <c r="Q1183" s="17" t="str">
        <f aca="false">VLOOKUP(P1183,Sheet2!J:K,2,0)</f>
        <v>IR Declared due to CID -TA</v>
      </c>
      <c r="R1183" s="17" t="s">
        <v>35</v>
      </c>
      <c r="S1183" s="17" t="str">
        <f aca="false">VLOOKUP(R1183,Sheet2!N:O,2,0)</f>
        <v>IREPARABLE</v>
      </c>
      <c r="T1183" s="18" t="str">
        <f aca="false">VLOOKUP(P1183,Sheet2!Q:R,2,0)</f>
        <v>IR Normal - Track burn out</v>
      </c>
      <c r="U1183" s="18" t="s">
        <v>122</v>
      </c>
      <c r="V1183" s="17" t="n">
        <v>2</v>
      </c>
      <c r="W1183" s="20" t="str">
        <f aca="false">VLOOKUP(V1183,Sheet2!Q:R,2,0)</f>
        <v>IR CID -  Water log from other area</v>
      </c>
      <c r="X1183" s="17" t="str">
        <f aca="false">J1183</f>
        <v>A007</v>
      </c>
      <c r="Y1183" s="17" t="str">
        <f aca="false">VLOOKUP(X1183,Sheet2!A:B,2,0)</f>
        <v>HARIRAM GUPTA</v>
      </c>
      <c r="Z1183" s="17" t="s">
        <v>573</v>
      </c>
      <c r="AA1183" s="17" t="s">
        <v>547</v>
      </c>
      <c r="AB1183" s="17" t="s">
        <v>41</v>
      </c>
      <c r="AC1183" s="0" t="str">
        <f aca="false">LEFT(G1183,2)</f>
        <v>86</v>
      </c>
      <c r="AE1183" s="21" t="s">
        <v>506</v>
      </c>
    </row>
    <row r="1184" customFormat="false" ht="15" hidden="false" customHeight="false" outlineLevel="0" collapsed="false">
      <c r="A1184" s="13" t="n">
        <f aca="false">1+A1183</f>
        <v>1182</v>
      </c>
      <c r="B1184" s="14" t="n">
        <v>1009636079</v>
      </c>
      <c r="C1184" s="17" t="s">
        <v>232</v>
      </c>
      <c r="D1184" s="16" t="s">
        <v>64</v>
      </c>
      <c r="E1184" s="17" t="s">
        <v>64</v>
      </c>
      <c r="F1184" s="18" t="s">
        <v>34</v>
      </c>
      <c r="G1184" s="19" t="n">
        <v>867245151453</v>
      </c>
      <c r="H1184" s="17" t="s">
        <v>35</v>
      </c>
      <c r="I1184" s="17" t="s">
        <v>72</v>
      </c>
      <c r="J1184" s="17" t="s">
        <v>267</v>
      </c>
      <c r="K1184" s="17" t="str">
        <f aca="false">VLOOKUP(J1184,Sheet2!A:B,2,0)</f>
        <v>HARIRAM GUPTA</v>
      </c>
      <c r="L1184" s="17" t="n">
        <v>2</v>
      </c>
      <c r="M1184" s="17" t="str">
        <f aca="false">VLOOKUP(L1184,Sheet2!D:E,2,0)</f>
        <v>Tuner Section</v>
      </c>
      <c r="N1184" s="17" t="n">
        <v>6</v>
      </c>
      <c r="O1184" s="17" t="str">
        <f aca="false">VLOOKUP(N1184,Sheet2!G:H,2,0)</f>
        <v>No Signal</v>
      </c>
      <c r="P1184" s="17" t="n">
        <v>11</v>
      </c>
      <c r="Q1184" s="17" t="str">
        <f aca="false">VLOOKUP(P1184,Sheet2!J:K,2,0)</f>
        <v>IR Declared due to CID -TA</v>
      </c>
      <c r="R1184" s="17" t="s">
        <v>35</v>
      </c>
      <c r="S1184" s="17" t="str">
        <f aca="false">VLOOKUP(R1184,Sheet2!N:O,2,0)</f>
        <v>IREPARABLE</v>
      </c>
      <c r="T1184" s="18" t="str">
        <f aca="false">VLOOKUP(P1184,Sheet2!Q:R,2,0)</f>
        <v>IR Normal - Track burn out</v>
      </c>
      <c r="U1184" s="18" t="s">
        <v>122</v>
      </c>
      <c r="V1184" s="17" t="n">
        <v>2</v>
      </c>
      <c r="W1184" s="20" t="str">
        <f aca="false">VLOOKUP(V1184,Sheet2!Q:R,2,0)</f>
        <v>IR CID -  Water log from other area</v>
      </c>
      <c r="X1184" s="17" t="str">
        <f aca="false">J1184</f>
        <v>A007</v>
      </c>
      <c r="Y1184" s="17" t="str">
        <f aca="false">VLOOKUP(X1184,Sheet2!A:B,2,0)</f>
        <v>HARIRAM GUPTA</v>
      </c>
      <c r="Z1184" s="17" t="s">
        <v>284</v>
      </c>
      <c r="AA1184" s="17" t="s">
        <v>547</v>
      </c>
      <c r="AB1184" s="17" t="s">
        <v>41</v>
      </c>
      <c r="AC1184" s="0" t="str">
        <f aca="false">LEFT(G1184,2)</f>
        <v>86</v>
      </c>
      <c r="AE1184" s="21" t="s">
        <v>506</v>
      </c>
    </row>
    <row r="1185" customFormat="false" ht="15" hidden="false" customHeight="false" outlineLevel="0" collapsed="false">
      <c r="A1185" s="13" t="n">
        <f aca="false">1+A1184</f>
        <v>1183</v>
      </c>
      <c r="B1185" s="14" t="n">
        <v>1009606198</v>
      </c>
      <c r="C1185" s="17" t="s">
        <v>181</v>
      </c>
      <c r="D1185" s="16" t="s">
        <v>64</v>
      </c>
      <c r="E1185" s="17" t="s">
        <v>64</v>
      </c>
      <c r="F1185" s="18" t="s">
        <v>34</v>
      </c>
      <c r="G1185" s="19" t="n">
        <v>867116107329</v>
      </c>
      <c r="H1185" s="17" t="s">
        <v>35</v>
      </c>
      <c r="I1185" s="17" t="s">
        <v>72</v>
      </c>
      <c r="J1185" s="17" t="s">
        <v>241</v>
      </c>
      <c r="K1185" s="17" t="str">
        <f aca="false">VLOOKUP(J1185,Sheet2!A:B,2,0)</f>
        <v>NILESH NAGAR</v>
      </c>
      <c r="L1185" s="17" t="n">
        <v>5</v>
      </c>
      <c r="M1185" s="17" t="str">
        <f aca="false">VLOOKUP(L1185,Sheet2!D:E,2,0)</f>
        <v>Main Processor CPU BGA</v>
      </c>
      <c r="N1185" s="17" t="n">
        <v>1</v>
      </c>
      <c r="O1185" s="17" t="str">
        <f aca="false">VLOOKUP(N1185,Sheet2!G:H,2,0)</f>
        <v>Dead</v>
      </c>
      <c r="P1185" s="17" t="n">
        <v>11</v>
      </c>
      <c r="Q1185" s="17" t="str">
        <f aca="false">VLOOKUP(P1185,Sheet2!J:K,2,0)</f>
        <v>IR Declared due to CID -TA</v>
      </c>
      <c r="R1185" s="17" t="s">
        <v>35</v>
      </c>
      <c r="S1185" s="17" t="str">
        <f aca="false">VLOOKUP(R1185,Sheet2!N:O,2,0)</f>
        <v>IREPARABLE</v>
      </c>
      <c r="T1185" s="18" t="str">
        <f aca="false">VLOOKUP(P1185,Sheet2!Q:R,2,0)</f>
        <v>IR Normal - Track burn out</v>
      </c>
      <c r="U1185" s="18" t="s">
        <v>122</v>
      </c>
      <c r="V1185" s="17" t="n">
        <v>2</v>
      </c>
      <c r="W1185" s="20" t="str">
        <f aca="false">VLOOKUP(V1185,Sheet2!Q:R,2,0)</f>
        <v>IR CID -  Water log from other area</v>
      </c>
      <c r="X1185" s="17" t="str">
        <f aca="false">J1185</f>
        <v>A008</v>
      </c>
      <c r="Y1185" s="17" t="str">
        <f aca="false">VLOOKUP(X1185,Sheet2!A:B,2,0)</f>
        <v>NILESH NAGAR</v>
      </c>
      <c r="Z1185" s="17" t="s">
        <v>574</v>
      </c>
      <c r="AA1185" s="17" t="s">
        <v>547</v>
      </c>
      <c r="AB1185" s="17" t="s">
        <v>41</v>
      </c>
      <c r="AC1185" s="0" t="str">
        <f aca="false">LEFT(G1185,2)</f>
        <v>86</v>
      </c>
      <c r="AD1185" s="0"/>
      <c r="AE1185" s="21" t="s">
        <v>506</v>
      </c>
    </row>
    <row r="1186" customFormat="false" ht="15" hidden="false" customHeight="false" outlineLevel="0" collapsed="false">
      <c r="A1186" s="13" t="n">
        <f aca="false">1+A1185</f>
        <v>1184</v>
      </c>
      <c r="B1186" s="14" t="n">
        <v>1009623343</v>
      </c>
      <c r="C1186" s="17" t="s">
        <v>184</v>
      </c>
      <c r="D1186" s="16" t="s">
        <v>64</v>
      </c>
      <c r="E1186" s="17" t="s">
        <v>114</v>
      </c>
      <c r="F1186" s="18" t="s">
        <v>34</v>
      </c>
      <c r="G1186" s="19" t="n">
        <v>866258159783</v>
      </c>
      <c r="H1186" s="17" t="s">
        <v>35</v>
      </c>
      <c r="I1186" s="17" t="s">
        <v>72</v>
      </c>
      <c r="J1186" s="17" t="s">
        <v>575</v>
      </c>
      <c r="K1186" s="17" t="str">
        <f aca="false">VLOOKUP(J1186,Sheet2!A:B,2,0)</f>
        <v>VIJAY RANA</v>
      </c>
      <c r="L1186" s="17" t="n">
        <v>1</v>
      </c>
      <c r="M1186" s="17" t="str">
        <f aca="false">VLOOKUP(L1186,Sheet2!D:E,2,0)</f>
        <v>Power Supply Section</v>
      </c>
      <c r="N1186" s="17" t="n">
        <v>1</v>
      </c>
      <c r="O1186" s="17" t="str">
        <f aca="false">VLOOKUP(N1186,Sheet2!G:H,2,0)</f>
        <v>Dead</v>
      </c>
      <c r="P1186" s="17" t="n">
        <v>11</v>
      </c>
      <c r="Q1186" s="17" t="str">
        <f aca="false">VLOOKUP(P1186,Sheet2!J:K,2,0)</f>
        <v>IR Declared due to CID -TA</v>
      </c>
      <c r="R1186" s="17" t="s">
        <v>35</v>
      </c>
      <c r="S1186" s="17" t="str">
        <f aca="false">VLOOKUP(R1186,Sheet2!N:O,2,0)</f>
        <v>IREPARABLE</v>
      </c>
      <c r="T1186" s="18" t="str">
        <f aca="false">VLOOKUP(P1186,Sheet2!Q:R,2,0)</f>
        <v>IR Normal - Track burn out</v>
      </c>
      <c r="U1186" s="18" t="s">
        <v>199</v>
      </c>
      <c r="V1186" s="17" t="n">
        <v>3</v>
      </c>
      <c r="W1186" s="20" t="str">
        <f aca="false">VLOOKUP(V1186,Sheet2!Q:R,2,0)</f>
        <v>IR CID - Tampered TrackOpen/Reworkdone </v>
      </c>
      <c r="X1186" s="17" t="str">
        <f aca="false">J1186</f>
        <v>A002</v>
      </c>
      <c r="Y1186" s="17" t="str">
        <f aca="false">VLOOKUP(X1186,Sheet2!A:B,2,0)</f>
        <v>VIJAY RANA</v>
      </c>
      <c r="Z1186" s="17" t="s">
        <v>251</v>
      </c>
      <c r="AA1186" s="17" t="s">
        <v>547</v>
      </c>
      <c r="AB1186" s="17" t="s">
        <v>41</v>
      </c>
      <c r="AC1186" s="0" t="str">
        <f aca="false">LEFT(G1186,2)</f>
        <v>86</v>
      </c>
      <c r="AD1186" s="0"/>
      <c r="AE1186" s="21" t="s">
        <v>506</v>
      </c>
    </row>
    <row r="1187" customFormat="false" ht="15" hidden="false" customHeight="false" outlineLevel="0" collapsed="false">
      <c r="A1187" s="13" t="n">
        <f aca="false">1+A1186</f>
        <v>1185</v>
      </c>
      <c r="B1187" s="14" t="n">
        <v>1009627479</v>
      </c>
      <c r="C1187" s="17" t="s">
        <v>429</v>
      </c>
      <c r="D1187" s="16" t="s">
        <v>576</v>
      </c>
      <c r="E1187" s="17" t="s">
        <v>47</v>
      </c>
      <c r="F1187" s="18" t="s">
        <v>34</v>
      </c>
      <c r="G1187" s="19" t="n">
        <v>865278169855</v>
      </c>
      <c r="H1187" s="17" t="s">
        <v>35</v>
      </c>
      <c r="I1187" s="17" t="s">
        <v>72</v>
      </c>
      <c r="J1187" s="17" t="s">
        <v>267</v>
      </c>
      <c r="K1187" s="17" t="str">
        <f aca="false">VLOOKUP(J1187,Sheet2!A:B,2,0)</f>
        <v>HARIRAM GUPTA</v>
      </c>
      <c r="L1187" s="17" t="n">
        <v>5</v>
      </c>
      <c r="M1187" s="17" t="str">
        <f aca="false">VLOOKUP(L1187,Sheet2!D:E,2,0)</f>
        <v>Main Processor CPU BGA</v>
      </c>
      <c r="N1187" s="17" t="n">
        <v>24</v>
      </c>
      <c r="O1187" s="17" t="str">
        <f aca="false">VLOOKUP(N1187,Sheet2!G:H,2,0)</f>
        <v>STB Auto moving -Stand by mode</v>
      </c>
      <c r="P1187" s="17" t="n">
        <v>12</v>
      </c>
      <c r="Q1187" s="17" t="str">
        <f aca="false">VLOOKUP(P1187,Sheet2!J:K,2,0)</f>
        <v>IR Declared due to Others ( IR Normal)TB</v>
      </c>
      <c r="R1187" s="17" t="s">
        <v>35</v>
      </c>
      <c r="S1187" s="17" t="str">
        <f aca="false">VLOOKUP(R1187,Sheet2!N:O,2,0)</f>
        <v>IREPARABLE</v>
      </c>
      <c r="T1187" s="18" t="str">
        <f aca="false">VLOOKUP(P1187,Sheet2!Q:R,2,0)</f>
        <v>IR Normal - BER to IR</v>
      </c>
      <c r="U1187" s="18" t="s">
        <v>101</v>
      </c>
      <c r="V1187" s="17" t="n">
        <v>8</v>
      </c>
      <c r="W1187" s="20" t="str">
        <f aca="false">VLOOKUP(V1187,Sheet2!Q:R,2,0)</f>
        <v>IR Normal -TrackRust/InternalDamage/open</v>
      </c>
      <c r="X1187" s="17" t="str">
        <f aca="false">J1187</f>
        <v>A007</v>
      </c>
      <c r="Y1187" s="17" t="str">
        <f aca="false">VLOOKUP(X1187,Sheet2!A:B,2,0)</f>
        <v>HARIRAM GUPTA</v>
      </c>
      <c r="Z1187" s="17" t="s">
        <v>276</v>
      </c>
      <c r="AA1187" s="17" t="s">
        <v>547</v>
      </c>
      <c r="AB1187" s="17" t="s">
        <v>41</v>
      </c>
      <c r="AC1187" s="0" t="str">
        <f aca="false">LEFT(G1187,2)</f>
        <v>86</v>
      </c>
      <c r="AD1187" s="0"/>
      <c r="AE1187" s="21" t="s">
        <v>506</v>
      </c>
    </row>
    <row r="1188" customFormat="false" ht="15" hidden="false" customHeight="false" outlineLevel="0" collapsed="false">
      <c r="A1188" s="13" t="n">
        <f aca="false">1+A1187</f>
        <v>1186</v>
      </c>
      <c r="B1188" s="14" t="n">
        <v>1009619749</v>
      </c>
      <c r="C1188" s="17" t="s">
        <v>184</v>
      </c>
      <c r="D1188" s="16" t="s">
        <v>64</v>
      </c>
      <c r="E1188" s="17" t="s">
        <v>47</v>
      </c>
      <c r="F1188" s="18" t="s">
        <v>34</v>
      </c>
      <c r="G1188" s="19" t="n">
        <v>865342199441</v>
      </c>
      <c r="H1188" s="17" t="s">
        <v>35</v>
      </c>
      <c r="I1188" s="17" t="s">
        <v>72</v>
      </c>
      <c r="J1188" s="17" t="s">
        <v>241</v>
      </c>
      <c r="K1188" s="17" t="str">
        <f aca="false">VLOOKUP(J1188,Sheet2!A:B,2,0)</f>
        <v>NILESH NAGAR</v>
      </c>
      <c r="L1188" s="17" t="n">
        <v>5</v>
      </c>
      <c r="M1188" s="17" t="str">
        <f aca="false">VLOOKUP(L1188,Sheet2!D:E,2,0)</f>
        <v>Main Processor CPU BGA</v>
      </c>
      <c r="N1188" s="17" t="n">
        <v>11</v>
      </c>
      <c r="O1188" s="17" t="str">
        <f aca="false">VLOOKUP(N1188,Sheet2!G:H,2,0)</f>
        <v>No Audio - RF</v>
      </c>
      <c r="P1188" s="17" t="n">
        <v>11</v>
      </c>
      <c r="Q1188" s="17" t="str">
        <f aca="false">VLOOKUP(P1188,Sheet2!J:K,2,0)</f>
        <v>IR Declared due to CID -TA</v>
      </c>
      <c r="R1188" s="17" t="s">
        <v>35</v>
      </c>
      <c r="S1188" s="17" t="str">
        <f aca="false">VLOOKUP(R1188,Sheet2!N:O,2,0)</f>
        <v>IREPARABLE</v>
      </c>
      <c r="T1188" s="18" t="str">
        <f aca="false">VLOOKUP(P1188,Sheet2!Q:R,2,0)</f>
        <v>IR Normal - Track burn out</v>
      </c>
      <c r="U1188" s="18" t="s">
        <v>122</v>
      </c>
      <c r="V1188" s="17" t="n">
        <v>2</v>
      </c>
      <c r="W1188" s="20" t="str">
        <f aca="false">VLOOKUP(V1188,Sheet2!Q:R,2,0)</f>
        <v>IR CID -  Water log from other area</v>
      </c>
      <c r="X1188" s="17" t="str">
        <f aca="false">J1188</f>
        <v>A008</v>
      </c>
      <c r="Y1188" s="17" t="str">
        <f aca="false">VLOOKUP(X1188,Sheet2!A:B,2,0)</f>
        <v>NILESH NAGAR</v>
      </c>
      <c r="Z1188" s="17" t="s">
        <v>577</v>
      </c>
      <c r="AA1188" s="17" t="s">
        <v>547</v>
      </c>
      <c r="AB1188" s="17" t="s">
        <v>41</v>
      </c>
      <c r="AC1188" s="0" t="str">
        <f aca="false">LEFT(G1188,2)</f>
        <v>86</v>
      </c>
      <c r="AD1188" s="0"/>
      <c r="AE1188" s="21" t="s">
        <v>506</v>
      </c>
    </row>
    <row r="1189" customFormat="false" ht="15" hidden="false" customHeight="false" outlineLevel="0" collapsed="false">
      <c r="A1189" s="13" t="n">
        <f aca="false">1+A1188</f>
        <v>1187</v>
      </c>
      <c r="B1189" s="14" t="n">
        <v>1009662538</v>
      </c>
      <c r="C1189" s="17" t="s">
        <v>433</v>
      </c>
      <c r="D1189" s="16" t="s">
        <v>175</v>
      </c>
      <c r="E1189" s="17" t="s">
        <v>176</v>
      </c>
      <c r="F1189" s="18" t="s">
        <v>34</v>
      </c>
      <c r="G1189" s="19" t="n">
        <v>865153173246</v>
      </c>
      <c r="H1189" s="17" t="s">
        <v>35</v>
      </c>
      <c r="I1189" s="17" t="s">
        <v>72</v>
      </c>
      <c r="J1189" s="17" t="s">
        <v>111</v>
      </c>
      <c r="K1189" s="17" t="str">
        <f aca="false">VLOOKUP(J1189,Sheet2!A:B,2,0)</f>
        <v>NITIN PRANAMI</v>
      </c>
      <c r="L1189" s="17" t="n">
        <v>1</v>
      </c>
      <c r="M1189" s="17" t="str">
        <f aca="false">VLOOKUP(L1189,Sheet2!D:E,2,0)</f>
        <v>Power Supply Section</v>
      </c>
      <c r="N1189" s="17" t="n">
        <v>1</v>
      </c>
      <c r="O1189" s="17" t="str">
        <f aca="false">VLOOKUP(N1189,Sheet2!G:H,2,0)</f>
        <v>Dead</v>
      </c>
      <c r="P1189" s="17" t="n">
        <v>12</v>
      </c>
      <c r="Q1189" s="17" t="str">
        <f aca="false">VLOOKUP(P1189,Sheet2!J:K,2,0)</f>
        <v>IR Declared due to Others ( IR Normal)TB</v>
      </c>
      <c r="R1189" s="17" t="s">
        <v>35</v>
      </c>
      <c r="S1189" s="17" t="str">
        <f aca="false">VLOOKUP(R1189,Sheet2!N:O,2,0)</f>
        <v>IREPARABLE</v>
      </c>
      <c r="T1189" s="18" t="str">
        <f aca="false">VLOOKUP(P1189,Sheet2!Q:R,2,0)</f>
        <v>IR Normal - BER to IR</v>
      </c>
      <c r="U1189" s="18" t="s">
        <v>101</v>
      </c>
      <c r="V1189" s="17" t="n">
        <v>8</v>
      </c>
      <c r="W1189" s="20" t="str">
        <f aca="false">VLOOKUP(V1189,Sheet2!Q:R,2,0)</f>
        <v>IR Normal -TrackRust/InternalDamage/open</v>
      </c>
      <c r="X1189" s="17" t="str">
        <f aca="false">J1189</f>
        <v>A031</v>
      </c>
      <c r="Y1189" s="17" t="str">
        <f aca="false">VLOOKUP(X1189,Sheet2!A:B,2,0)</f>
        <v>NITIN PRANAMI</v>
      </c>
      <c r="Z1189" s="17" t="s">
        <v>569</v>
      </c>
      <c r="AA1189" s="17" t="s">
        <v>547</v>
      </c>
      <c r="AB1189" s="17" t="s">
        <v>41</v>
      </c>
      <c r="AC1189" s="0" t="str">
        <f aca="false">LEFT(G1189,2)</f>
        <v>86</v>
      </c>
      <c r="AD1189" s="0"/>
      <c r="AE1189" s="21" t="s">
        <v>506</v>
      </c>
    </row>
    <row r="1190" customFormat="false" ht="15" hidden="false" customHeight="false" outlineLevel="0" collapsed="false">
      <c r="A1190" s="13" t="n">
        <f aca="false">1+A1189</f>
        <v>1188</v>
      </c>
      <c r="B1190" s="14" t="n">
        <v>1009612359</v>
      </c>
      <c r="C1190" s="17" t="s">
        <v>181</v>
      </c>
      <c r="D1190" s="16" t="s">
        <v>64</v>
      </c>
      <c r="E1190" s="17" t="s">
        <v>64</v>
      </c>
      <c r="F1190" s="18" t="s">
        <v>34</v>
      </c>
      <c r="G1190" s="19" t="n">
        <v>867160140697</v>
      </c>
      <c r="H1190" s="17" t="s">
        <v>35</v>
      </c>
      <c r="I1190" s="17" t="s">
        <v>72</v>
      </c>
      <c r="J1190" s="17" t="s">
        <v>267</v>
      </c>
      <c r="K1190" s="17" t="str">
        <f aca="false">VLOOKUP(J1190,Sheet2!A:B,2,0)</f>
        <v>HARIRAM GUPTA</v>
      </c>
      <c r="L1190" s="17" t="n">
        <v>1</v>
      </c>
      <c r="M1190" s="17" t="str">
        <f aca="false">VLOOKUP(L1190,Sheet2!D:E,2,0)</f>
        <v>Power Supply Section</v>
      </c>
      <c r="N1190" s="17" t="n">
        <v>1</v>
      </c>
      <c r="O1190" s="17" t="str">
        <f aca="false">VLOOKUP(N1190,Sheet2!G:H,2,0)</f>
        <v>Dead</v>
      </c>
      <c r="P1190" s="17" t="n">
        <v>11</v>
      </c>
      <c r="Q1190" s="17" t="str">
        <f aca="false">VLOOKUP(P1190,Sheet2!J:K,2,0)</f>
        <v>IR Declared due to CID -TA</v>
      </c>
      <c r="R1190" s="17" t="s">
        <v>35</v>
      </c>
      <c r="S1190" s="17" t="str">
        <f aca="false">VLOOKUP(R1190,Sheet2!N:O,2,0)</f>
        <v>IREPARABLE</v>
      </c>
      <c r="T1190" s="18" t="str">
        <f aca="false">VLOOKUP(P1190,Sheet2!Q:R,2,0)</f>
        <v>IR Normal - Track burn out</v>
      </c>
      <c r="U1190" s="18" t="s">
        <v>122</v>
      </c>
      <c r="V1190" s="17" t="n">
        <v>2</v>
      </c>
      <c r="W1190" s="20" t="str">
        <f aca="false">VLOOKUP(V1190,Sheet2!Q:R,2,0)</f>
        <v>IR CID -  Water log from other area</v>
      </c>
      <c r="X1190" s="17" t="str">
        <f aca="false">J1190</f>
        <v>A007</v>
      </c>
      <c r="Y1190" s="17" t="str">
        <f aca="false">VLOOKUP(X1190,Sheet2!A:B,2,0)</f>
        <v>HARIRAM GUPTA</v>
      </c>
      <c r="Z1190" s="17" t="s">
        <v>284</v>
      </c>
      <c r="AA1190" s="17" t="s">
        <v>547</v>
      </c>
      <c r="AB1190" s="17" t="s">
        <v>41</v>
      </c>
      <c r="AC1190" s="0" t="str">
        <f aca="false">LEFT(G1190,2)</f>
        <v>86</v>
      </c>
      <c r="AD1190" s="0"/>
      <c r="AE1190" s="21" t="s">
        <v>506</v>
      </c>
    </row>
    <row r="1191" customFormat="false" ht="15" hidden="false" customHeight="false" outlineLevel="0" collapsed="false">
      <c r="A1191" s="13" t="n">
        <f aca="false">1+A1190</f>
        <v>1189</v>
      </c>
      <c r="B1191" s="14" t="n">
        <v>1009603302</v>
      </c>
      <c r="C1191" s="17" t="s">
        <v>181</v>
      </c>
      <c r="D1191" s="16" t="s">
        <v>64</v>
      </c>
      <c r="E1191" s="17" t="s">
        <v>64</v>
      </c>
      <c r="F1191" s="18" t="s">
        <v>34</v>
      </c>
      <c r="G1191" s="19" t="n">
        <v>867255118145</v>
      </c>
      <c r="H1191" s="17" t="s">
        <v>35</v>
      </c>
      <c r="I1191" s="17" t="s">
        <v>72</v>
      </c>
      <c r="J1191" s="17" t="s">
        <v>118</v>
      </c>
      <c r="K1191" s="17" t="str">
        <f aca="false">VLOOKUP(J1191,Sheet2!A:B,2,0)</f>
        <v>DEVENDRA RAJPUT</v>
      </c>
      <c r="L1191" s="17" t="n">
        <v>1</v>
      </c>
      <c r="M1191" s="17" t="str">
        <f aca="false">VLOOKUP(L1191,Sheet2!D:E,2,0)</f>
        <v>Power Supply Section</v>
      </c>
      <c r="N1191" s="17" t="n">
        <v>1</v>
      </c>
      <c r="O1191" s="17" t="str">
        <f aca="false">VLOOKUP(N1191,Sheet2!G:H,2,0)</f>
        <v>Dead</v>
      </c>
      <c r="P1191" s="17" t="n">
        <v>11</v>
      </c>
      <c r="Q1191" s="17" t="str">
        <f aca="false">VLOOKUP(P1191,Sheet2!J:K,2,0)</f>
        <v>IR Declared due to CID -TA</v>
      </c>
      <c r="R1191" s="17" t="s">
        <v>35</v>
      </c>
      <c r="S1191" s="17" t="str">
        <f aca="false">VLOOKUP(R1191,Sheet2!N:O,2,0)</f>
        <v>IREPARABLE</v>
      </c>
      <c r="T1191" s="18" t="str">
        <f aca="false">VLOOKUP(P1191,Sheet2!Q:R,2,0)</f>
        <v>IR Normal - Track burn out</v>
      </c>
      <c r="U1191" s="18" t="s">
        <v>122</v>
      </c>
      <c r="V1191" s="17" t="n">
        <v>2</v>
      </c>
      <c r="W1191" s="20" t="str">
        <f aca="false">VLOOKUP(V1191,Sheet2!Q:R,2,0)</f>
        <v>IR CID -  Water log from other area</v>
      </c>
      <c r="X1191" s="17" t="str">
        <f aca="false">J1191</f>
        <v>A053</v>
      </c>
      <c r="Y1191" s="17" t="str">
        <f aca="false">VLOOKUP(X1191,Sheet2!A:B,2,0)</f>
        <v>DEVENDRA RAJPUT</v>
      </c>
      <c r="Z1191" s="17" t="s">
        <v>578</v>
      </c>
      <c r="AA1191" s="17" t="s">
        <v>547</v>
      </c>
      <c r="AB1191" s="17" t="s">
        <v>41</v>
      </c>
      <c r="AC1191" s="0" t="str">
        <f aca="false">LEFT(G1191,2)</f>
        <v>86</v>
      </c>
      <c r="AD1191" s="0"/>
      <c r="AE1191" s="21" t="s">
        <v>506</v>
      </c>
    </row>
    <row r="1192" customFormat="false" ht="15" hidden="false" customHeight="false" outlineLevel="0" collapsed="false">
      <c r="A1192" s="13" t="n">
        <f aca="false">1+A1191</f>
        <v>1190</v>
      </c>
      <c r="B1192" s="14" t="n">
        <v>1009642975</v>
      </c>
      <c r="C1192" s="17" t="s">
        <v>429</v>
      </c>
      <c r="D1192" s="16" t="s">
        <v>64</v>
      </c>
      <c r="E1192" s="17" t="s">
        <v>64</v>
      </c>
      <c r="F1192" s="18" t="s">
        <v>34</v>
      </c>
      <c r="G1192" s="19" t="n">
        <v>865302243668</v>
      </c>
      <c r="H1192" s="17" t="s">
        <v>35</v>
      </c>
      <c r="I1192" s="17" t="s">
        <v>72</v>
      </c>
      <c r="J1192" s="17" t="s">
        <v>100</v>
      </c>
      <c r="K1192" s="17" t="str">
        <f aca="false">VLOOKUP(J1192,Sheet2!A:B,2,0)</f>
        <v>PIYUSH CHAVDA</v>
      </c>
      <c r="L1192" s="17" t="n">
        <v>1</v>
      </c>
      <c r="M1192" s="17" t="str">
        <f aca="false">VLOOKUP(L1192,Sheet2!D:E,2,0)</f>
        <v>Power Supply Section</v>
      </c>
      <c r="N1192" s="17" t="n">
        <v>1</v>
      </c>
      <c r="O1192" s="17" t="str">
        <f aca="false">VLOOKUP(N1192,Sheet2!G:H,2,0)</f>
        <v>Dead</v>
      </c>
      <c r="P1192" s="17" t="n">
        <v>11</v>
      </c>
      <c r="Q1192" s="17" t="str">
        <f aca="false">VLOOKUP(P1192,Sheet2!J:K,2,0)</f>
        <v>IR Declared due to CID -TA</v>
      </c>
      <c r="R1192" s="17" t="s">
        <v>35</v>
      </c>
      <c r="S1192" s="17" t="str">
        <f aca="false">VLOOKUP(R1192,Sheet2!N:O,2,0)</f>
        <v>IREPARABLE</v>
      </c>
      <c r="T1192" s="18" t="str">
        <f aca="false">VLOOKUP(P1192,Sheet2!Q:R,2,0)</f>
        <v>IR Normal - Track burn out</v>
      </c>
      <c r="U1192" s="18" t="s">
        <v>122</v>
      </c>
      <c r="V1192" s="17" t="n">
        <v>2</v>
      </c>
      <c r="W1192" s="20" t="str">
        <f aca="false">VLOOKUP(V1192,Sheet2!Q:R,2,0)</f>
        <v>IR CID -  Water log from other area</v>
      </c>
      <c r="X1192" s="17" t="str">
        <f aca="false">J1192</f>
        <v>A050</v>
      </c>
      <c r="Y1192" s="17" t="str">
        <f aca="false">VLOOKUP(X1192,Sheet2!A:B,2,0)</f>
        <v>PIYUSH CHAVDA</v>
      </c>
      <c r="Z1192" s="17" t="s">
        <v>579</v>
      </c>
      <c r="AA1192" s="17" t="s">
        <v>547</v>
      </c>
      <c r="AB1192" s="17" t="s">
        <v>41</v>
      </c>
      <c r="AC1192" s="0" t="str">
        <f aca="false">LEFT(G1192,2)</f>
        <v>86</v>
      </c>
      <c r="AD1192" s="0"/>
      <c r="AE1192" s="21" t="s">
        <v>506</v>
      </c>
    </row>
    <row r="1193" customFormat="false" ht="15" hidden="false" customHeight="false" outlineLevel="0" collapsed="false">
      <c r="A1193" s="13" t="n">
        <f aca="false">1+A1192</f>
        <v>1191</v>
      </c>
      <c r="B1193" s="14" t="n">
        <v>1009632799</v>
      </c>
      <c r="C1193" s="17" t="s">
        <v>233</v>
      </c>
      <c r="D1193" s="16" t="s">
        <v>64</v>
      </c>
      <c r="E1193" s="17" t="s">
        <v>47</v>
      </c>
      <c r="F1193" s="18" t="s">
        <v>34</v>
      </c>
      <c r="G1193" s="19" t="n">
        <v>867012116499</v>
      </c>
      <c r="H1193" s="17" t="s">
        <v>35</v>
      </c>
      <c r="I1193" s="17" t="s">
        <v>72</v>
      </c>
      <c r="J1193" s="17" t="s">
        <v>289</v>
      </c>
      <c r="K1193" s="17" t="str">
        <f aca="false">VLOOKUP(J1193,Sheet2!A:B,2,0)</f>
        <v>AJAY KOSHTI</v>
      </c>
      <c r="L1193" s="17" t="n">
        <v>1</v>
      </c>
      <c r="M1193" s="17" t="str">
        <f aca="false">VLOOKUP(L1193,Sheet2!D:E,2,0)</f>
        <v>Power Supply Section</v>
      </c>
      <c r="N1193" s="17" t="n">
        <v>1</v>
      </c>
      <c r="O1193" s="17" t="str">
        <f aca="false">VLOOKUP(N1193,Sheet2!G:H,2,0)</f>
        <v>Dead</v>
      </c>
      <c r="P1193" s="17" t="n">
        <v>11</v>
      </c>
      <c r="Q1193" s="17" t="str">
        <f aca="false">VLOOKUP(P1193,Sheet2!J:K,2,0)</f>
        <v>IR Declared due to CID -TA</v>
      </c>
      <c r="R1193" s="17" t="s">
        <v>35</v>
      </c>
      <c r="S1193" s="17" t="str">
        <f aca="false">VLOOKUP(R1193,Sheet2!N:O,2,0)</f>
        <v>IREPARABLE</v>
      </c>
      <c r="T1193" s="18" t="str">
        <f aca="false">VLOOKUP(P1193,Sheet2!Q:R,2,0)</f>
        <v>IR Normal - Track burn out</v>
      </c>
      <c r="U1193" s="18" t="s">
        <v>122</v>
      </c>
      <c r="V1193" s="17" t="n">
        <v>2</v>
      </c>
      <c r="W1193" s="20" t="str">
        <f aca="false">VLOOKUP(V1193,Sheet2!Q:R,2,0)</f>
        <v>IR CID -  Water log from other area</v>
      </c>
      <c r="X1193" s="17" t="str">
        <f aca="false">J1193</f>
        <v>A051</v>
      </c>
      <c r="Y1193" s="17" t="str">
        <f aca="false">VLOOKUP(X1193,Sheet2!A:B,2,0)</f>
        <v>AJAY KOSHTI</v>
      </c>
      <c r="Z1193" s="17" t="s">
        <v>580</v>
      </c>
      <c r="AA1193" s="17" t="s">
        <v>547</v>
      </c>
      <c r="AB1193" s="17" t="s">
        <v>41</v>
      </c>
      <c r="AC1193" s="0" t="str">
        <f aca="false">LEFT(G1193,2)</f>
        <v>86</v>
      </c>
      <c r="AD1193" s="0"/>
      <c r="AE1193" s="21" t="s">
        <v>506</v>
      </c>
    </row>
    <row r="1194" customFormat="false" ht="15" hidden="false" customHeight="false" outlineLevel="0" collapsed="false">
      <c r="A1194" s="13" t="n">
        <f aca="false">1+A1193</f>
        <v>1192</v>
      </c>
      <c r="B1194" s="14" t="n">
        <v>1009607963</v>
      </c>
      <c r="C1194" s="17" t="s">
        <v>181</v>
      </c>
      <c r="D1194" s="16" t="s">
        <v>64</v>
      </c>
      <c r="E1194" s="17" t="s">
        <v>47</v>
      </c>
      <c r="F1194" s="18" t="s">
        <v>34</v>
      </c>
      <c r="G1194" s="19" t="n">
        <v>866084145303</v>
      </c>
      <c r="H1194" s="17" t="s">
        <v>35</v>
      </c>
      <c r="I1194" s="17" t="s">
        <v>72</v>
      </c>
      <c r="J1194" s="17" t="s">
        <v>289</v>
      </c>
      <c r="K1194" s="17" t="str">
        <f aca="false">VLOOKUP(J1194,Sheet2!A:B,2,0)</f>
        <v>AJAY KOSHTI</v>
      </c>
      <c r="L1194" s="17" t="n">
        <v>1</v>
      </c>
      <c r="M1194" s="17" t="str">
        <f aca="false">VLOOKUP(L1194,Sheet2!D:E,2,0)</f>
        <v>Power Supply Section</v>
      </c>
      <c r="N1194" s="17" t="n">
        <v>1</v>
      </c>
      <c r="O1194" s="17" t="str">
        <f aca="false">VLOOKUP(N1194,Sheet2!G:H,2,0)</f>
        <v>Dead</v>
      </c>
      <c r="P1194" s="17" t="n">
        <v>11</v>
      </c>
      <c r="Q1194" s="17" t="str">
        <f aca="false">VLOOKUP(P1194,Sheet2!J:K,2,0)</f>
        <v>IR Declared due to CID -TA</v>
      </c>
      <c r="R1194" s="17" t="s">
        <v>35</v>
      </c>
      <c r="S1194" s="17" t="str">
        <f aca="false">VLOOKUP(R1194,Sheet2!N:O,2,0)</f>
        <v>IREPARABLE</v>
      </c>
      <c r="T1194" s="18" t="str">
        <f aca="false">VLOOKUP(P1194,Sheet2!Q:R,2,0)</f>
        <v>IR Normal - Track burn out</v>
      </c>
      <c r="U1194" s="18" t="s">
        <v>122</v>
      </c>
      <c r="V1194" s="17" t="n">
        <v>2</v>
      </c>
      <c r="W1194" s="20" t="str">
        <f aca="false">VLOOKUP(V1194,Sheet2!Q:R,2,0)</f>
        <v>IR CID -  Water log from other area</v>
      </c>
      <c r="X1194" s="17" t="str">
        <f aca="false">J1194</f>
        <v>A051</v>
      </c>
      <c r="Y1194" s="17" t="str">
        <f aca="false">VLOOKUP(X1194,Sheet2!A:B,2,0)</f>
        <v>AJAY KOSHTI</v>
      </c>
      <c r="Z1194" s="17" t="s">
        <v>581</v>
      </c>
      <c r="AA1194" s="17" t="s">
        <v>547</v>
      </c>
      <c r="AB1194" s="17" t="s">
        <v>41</v>
      </c>
      <c r="AC1194" s="0" t="str">
        <f aca="false">LEFT(G1194,2)</f>
        <v>86</v>
      </c>
      <c r="AD1194" s="0"/>
      <c r="AE1194" s="21" t="s">
        <v>506</v>
      </c>
    </row>
    <row r="1195" customFormat="false" ht="15" hidden="false" customHeight="false" outlineLevel="0" collapsed="false">
      <c r="A1195" s="13" t="n">
        <f aca="false">1+A1194</f>
        <v>1193</v>
      </c>
      <c r="B1195" s="14" t="n">
        <v>1009628416</v>
      </c>
      <c r="C1195" s="17" t="s">
        <v>229</v>
      </c>
      <c r="D1195" s="16" t="s">
        <v>64</v>
      </c>
      <c r="E1195" s="17" t="s">
        <v>64</v>
      </c>
      <c r="F1195" s="18" t="s">
        <v>34</v>
      </c>
      <c r="G1195" s="19" t="n">
        <v>866133141824</v>
      </c>
      <c r="H1195" s="17" t="s">
        <v>35</v>
      </c>
      <c r="I1195" s="17" t="s">
        <v>72</v>
      </c>
      <c r="J1195" s="17" t="s">
        <v>289</v>
      </c>
      <c r="K1195" s="17" t="str">
        <f aca="false">VLOOKUP(J1195,Sheet2!A:B,2,0)</f>
        <v>AJAY KOSHTI</v>
      </c>
      <c r="L1195" s="17" t="n">
        <v>1</v>
      </c>
      <c r="M1195" s="17" t="str">
        <f aca="false">VLOOKUP(L1195,Sheet2!D:E,2,0)</f>
        <v>Power Supply Section</v>
      </c>
      <c r="N1195" s="17" t="n">
        <v>1</v>
      </c>
      <c r="O1195" s="17" t="str">
        <f aca="false">VLOOKUP(N1195,Sheet2!G:H,2,0)</f>
        <v>Dead</v>
      </c>
      <c r="P1195" s="17" t="n">
        <v>11</v>
      </c>
      <c r="Q1195" s="17" t="str">
        <f aca="false">VLOOKUP(P1195,Sheet2!J:K,2,0)</f>
        <v>IR Declared due to CID -TA</v>
      </c>
      <c r="R1195" s="17" t="s">
        <v>35</v>
      </c>
      <c r="S1195" s="17" t="str">
        <f aca="false">VLOOKUP(R1195,Sheet2!N:O,2,0)</f>
        <v>IREPARABLE</v>
      </c>
      <c r="T1195" s="18" t="str">
        <f aca="false">VLOOKUP(P1195,Sheet2!Q:R,2,0)</f>
        <v>IR Normal - Track burn out</v>
      </c>
      <c r="U1195" s="18" t="s">
        <v>122</v>
      </c>
      <c r="V1195" s="17" t="n">
        <v>2</v>
      </c>
      <c r="W1195" s="20" t="str">
        <f aca="false">VLOOKUP(V1195,Sheet2!Q:R,2,0)</f>
        <v>IR CID -  Water log from other area</v>
      </c>
      <c r="X1195" s="17" t="str">
        <f aca="false">J1195</f>
        <v>A051</v>
      </c>
      <c r="Y1195" s="17" t="str">
        <f aca="false">VLOOKUP(X1195,Sheet2!A:B,2,0)</f>
        <v>AJAY KOSHTI</v>
      </c>
      <c r="Z1195" s="17" t="s">
        <v>580</v>
      </c>
      <c r="AA1195" s="17" t="s">
        <v>547</v>
      </c>
      <c r="AB1195" s="17" t="s">
        <v>41</v>
      </c>
      <c r="AC1195" s="0" t="str">
        <f aca="false">LEFT(G1195,2)</f>
        <v>86</v>
      </c>
      <c r="AD1195" s="0"/>
      <c r="AE1195" s="21" t="s">
        <v>506</v>
      </c>
    </row>
    <row r="1196" customFormat="false" ht="15" hidden="false" customHeight="false" outlineLevel="0" collapsed="false">
      <c r="A1196" s="13" t="n">
        <f aca="false">1+A1195</f>
        <v>1194</v>
      </c>
      <c r="B1196" s="14" t="n">
        <v>1009668121</v>
      </c>
      <c r="C1196" s="17" t="s">
        <v>436</v>
      </c>
      <c r="D1196" s="16" t="s">
        <v>64</v>
      </c>
      <c r="E1196" s="17" t="s">
        <v>114</v>
      </c>
      <c r="F1196" s="18" t="s">
        <v>34</v>
      </c>
      <c r="G1196" s="19" t="n">
        <v>865346396472</v>
      </c>
      <c r="H1196" s="17" t="s">
        <v>35</v>
      </c>
      <c r="I1196" s="17" t="s">
        <v>72</v>
      </c>
      <c r="J1196" s="17" t="s">
        <v>239</v>
      </c>
      <c r="K1196" s="17" t="str">
        <f aca="false">VLOOKUP(J1196,Sheet2!A:B,2,0)</f>
        <v>VASANT PARMAR</v>
      </c>
      <c r="L1196" s="17" t="n">
        <v>5</v>
      </c>
      <c r="M1196" s="17" t="str">
        <f aca="false">VLOOKUP(L1196,Sheet2!D:E,2,0)</f>
        <v>Main Processor CPU BGA</v>
      </c>
      <c r="N1196" s="17" t="n">
        <v>1</v>
      </c>
      <c r="O1196" s="17" t="str">
        <f aca="false">VLOOKUP(N1196,Sheet2!G:H,2,0)</f>
        <v>Dead</v>
      </c>
      <c r="P1196" s="17" t="n">
        <v>12</v>
      </c>
      <c r="Q1196" s="17" t="str">
        <f aca="false">VLOOKUP(P1196,Sheet2!J:K,2,0)</f>
        <v>IR Declared due to Others ( IR Normal)TB</v>
      </c>
      <c r="R1196" s="17" t="s">
        <v>35</v>
      </c>
      <c r="S1196" s="17" t="str">
        <f aca="false">VLOOKUP(R1196,Sheet2!N:O,2,0)</f>
        <v>IREPARABLE</v>
      </c>
      <c r="T1196" s="18" t="str">
        <f aca="false">VLOOKUP(P1196,Sheet2!Q:R,2,0)</f>
        <v>IR Normal - BER to IR</v>
      </c>
      <c r="U1196" s="18" t="s">
        <v>101</v>
      </c>
      <c r="V1196" s="17" t="n">
        <v>8</v>
      </c>
      <c r="W1196" s="20" t="str">
        <f aca="false">VLOOKUP(V1196,Sheet2!Q:R,2,0)</f>
        <v>IR Normal -TrackRust/InternalDamage/open</v>
      </c>
      <c r="X1196" s="17" t="str">
        <f aca="false">J1196</f>
        <v>A005</v>
      </c>
      <c r="Y1196" s="17" t="str">
        <f aca="false">VLOOKUP(X1196,Sheet2!A:B,2,0)</f>
        <v>VASANT PARMAR</v>
      </c>
      <c r="Z1196" s="17" t="s">
        <v>580</v>
      </c>
      <c r="AA1196" s="17" t="s">
        <v>547</v>
      </c>
      <c r="AB1196" s="17" t="s">
        <v>41</v>
      </c>
      <c r="AC1196" s="0" t="str">
        <f aca="false">LEFT(G1196,2)</f>
        <v>86</v>
      </c>
      <c r="AD1196" s="0"/>
      <c r="AE1196" s="21" t="s">
        <v>506</v>
      </c>
    </row>
    <row r="1197" customFormat="false" ht="15" hidden="false" customHeight="false" outlineLevel="0" collapsed="false">
      <c r="A1197" s="13" t="n">
        <f aca="false">1+A1196</f>
        <v>1195</v>
      </c>
      <c r="B1197" s="14" t="n">
        <v>1009614241</v>
      </c>
      <c r="C1197" s="17" t="s">
        <v>184</v>
      </c>
      <c r="D1197" s="16" t="s">
        <v>64</v>
      </c>
      <c r="E1197" s="17" t="s">
        <v>64</v>
      </c>
      <c r="F1197" s="18" t="s">
        <v>34</v>
      </c>
      <c r="G1197" s="19" t="n">
        <v>868153162896</v>
      </c>
      <c r="H1197" s="17" t="s">
        <v>35</v>
      </c>
      <c r="I1197" s="17" t="s">
        <v>72</v>
      </c>
      <c r="J1197" s="17" t="s">
        <v>121</v>
      </c>
      <c r="K1197" s="17" t="str">
        <f aca="false">VLOOKUP(J1197,Sheet2!A:B,2,0)</f>
        <v>SHANI GOHIL</v>
      </c>
      <c r="L1197" s="17" t="n">
        <v>1</v>
      </c>
      <c r="M1197" s="17" t="str">
        <f aca="false">VLOOKUP(L1197,Sheet2!D:E,2,0)</f>
        <v>Power Supply Section</v>
      </c>
      <c r="N1197" s="17" t="n">
        <v>1</v>
      </c>
      <c r="O1197" s="17" t="str">
        <f aca="false">VLOOKUP(N1197,Sheet2!G:H,2,0)</f>
        <v>Dead</v>
      </c>
      <c r="P1197" s="17" t="n">
        <v>11</v>
      </c>
      <c r="Q1197" s="17" t="str">
        <f aca="false">VLOOKUP(P1197,Sheet2!J:K,2,0)</f>
        <v>IR Declared due to CID -TA</v>
      </c>
      <c r="R1197" s="17" t="s">
        <v>35</v>
      </c>
      <c r="S1197" s="17" t="str">
        <f aca="false">VLOOKUP(R1197,Sheet2!N:O,2,0)</f>
        <v>IREPARABLE</v>
      </c>
      <c r="T1197" s="18" t="str">
        <f aca="false">VLOOKUP(P1197,Sheet2!Q:R,2,0)</f>
        <v>IR Normal - Track burn out</v>
      </c>
      <c r="U1197" s="18" t="s">
        <v>122</v>
      </c>
      <c r="V1197" s="17" t="n">
        <v>2</v>
      </c>
      <c r="W1197" s="20" t="str">
        <f aca="false">VLOOKUP(V1197,Sheet2!Q:R,2,0)</f>
        <v>IR CID -  Water log from other area</v>
      </c>
      <c r="X1197" s="17" t="str">
        <f aca="false">J1197</f>
        <v>A063</v>
      </c>
      <c r="Y1197" s="17" t="str">
        <f aca="false">VLOOKUP(X1197,Sheet2!A:B,2,0)</f>
        <v>SHANI GOHIL</v>
      </c>
      <c r="Z1197" s="17" t="s">
        <v>582</v>
      </c>
      <c r="AA1197" s="17" t="s">
        <v>547</v>
      </c>
      <c r="AB1197" s="17" t="s">
        <v>41</v>
      </c>
      <c r="AC1197" s="0" t="str">
        <f aca="false">LEFT(G1197,2)</f>
        <v>86</v>
      </c>
      <c r="AD1197" s="0"/>
      <c r="AE1197" s="21" t="s">
        <v>506</v>
      </c>
    </row>
    <row r="1198" customFormat="false" ht="15" hidden="false" customHeight="false" outlineLevel="0" collapsed="false">
      <c r="A1198" s="13" t="n">
        <f aca="false">1+A1197</f>
        <v>1196</v>
      </c>
      <c r="B1198" s="14" t="n">
        <v>1009662591</v>
      </c>
      <c r="C1198" s="17" t="s">
        <v>433</v>
      </c>
      <c r="D1198" s="16" t="s">
        <v>64</v>
      </c>
      <c r="E1198" s="17" t="s">
        <v>33</v>
      </c>
      <c r="F1198" s="18" t="s">
        <v>34</v>
      </c>
      <c r="G1198" s="19" t="n">
        <v>867065171938</v>
      </c>
      <c r="H1198" s="17" t="s">
        <v>35</v>
      </c>
      <c r="I1198" s="17" t="s">
        <v>72</v>
      </c>
      <c r="J1198" s="17" t="s">
        <v>111</v>
      </c>
      <c r="K1198" s="17" t="str">
        <f aca="false">VLOOKUP(J1198,Sheet2!A:B,2,0)</f>
        <v>NITIN PRANAMI</v>
      </c>
      <c r="L1198" s="17" t="n">
        <v>1</v>
      </c>
      <c r="M1198" s="17" t="str">
        <f aca="false">VLOOKUP(L1198,Sheet2!D:E,2,0)</f>
        <v>Power Supply Section</v>
      </c>
      <c r="N1198" s="17" t="n">
        <v>1</v>
      </c>
      <c r="O1198" s="17" t="str">
        <f aca="false">VLOOKUP(N1198,Sheet2!G:H,2,0)</f>
        <v>Dead</v>
      </c>
      <c r="P1198" s="17" t="n">
        <v>11</v>
      </c>
      <c r="Q1198" s="17" t="str">
        <f aca="false">VLOOKUP(P1198,Sheet2!J:K,2,0)</f>
        <v>IR Declared due to CID -TA</v>
      </c>
      <c r="R1198" s="17" t="s">
        <v>35</v>
      </c>
      <c r="S1198" s="17" t="str">
        <f aca="false">VLOOKUP(R1198,Sheet2!N:O,2,0)</f>
        <v>IREPARABLE</v>
      </c>
      <c r="T1198" s="18" t="str">
        <f aca="false">VLOOKUP(P1198,Sheet2!Q:R,2,0)</f>
        <v>IR Normal - Track burn out</v>
      </c>
      <c r="U1198" s="20" t="s">
        <v>256</v>
      </c>
      <c r="V1198" s="17" t="n">
        <v>1</v>
      </c>
      <c r="W1198" s="20" t="str">
        <f aca="false">VLOOKUP(V1198,Sheet2!Q:R,2,0)</f>
        <v>IR CID -  Water log from IF port</v>
      </c>
      <c r="X1198" s="17" t="str">
        <f aca="false">J1198</f>
        <v>A031</v>
      </c>
      <c r="Y1198" s="17" t="str">
        <f aca="false">VLOOKUP(X1198,Sheet2!A:B,2,0)</f>
        <v>NITIN PRANAMI</v>
      </c>
      <c r="Z1198" s="17" t="s">
        <v>583</v>
      </c>
      <c r="AA1198" s="17" t="s">
        <v>547</v>
      </c>
      <c r="AB1198" s="17" t="s">
        <v>41</v>
      </c>
      <c r="AC1198" s="0" t="str">
        <f aca="false">LEFT(G1198,2)</f>
        <v>86</v>
      </c>
      <c r="AD1198" s="0"/>
      <c r="AE1198" s="21" t="s">
        <v>506</v>
      </c>
    </row>
    <row r="1199" customFormat="false" ht="15" hidden="false" customHeight="false" outlineLevel="0" collapsed="false">
      <c r="A1199" s="13" t="n">
        <f aca="false">1+A1198</f>
        <v>1197</v>
      </c>
      <c r="B1199" s="14" t="n">
        <v>1009302533</v>
      </c>
      <c r="C1199" s="17" t="s">
        <v>45</v>
      </c>
      <c r="D1199" s="16" t="s">
        <v>64</v>
      </c>
      <c r="E1199" s="17" t="s">
        <v>114</v>
      </c>
      <c r="F1199" s="18" t="s">
        <v>34</v>
      </c>
      <c r="G1199" s="19" t="n">
        <v>864244136189</v>
      </c>
      <c r="H1199" s="17" t="s">
        <v>35</v>
      </c>
      <c r="I1199" s="17" t="s">
        <v>72</v>
      </c>
      <c r="J1199" s="17" t="s">
        <v>106</v>
      </c>
      <c r="K1199" s="17" t="str">
        <f aca="false">VLOOKUP(J1199,Sheet2!A:B,2,0)</f>
        <v>PRAKASH CHAVDA</v>
      </c>
      <c r="L1199" s="17" t="n">
        <v>2</v>
      </c>
      <c r="M1199" s="17" t="str">
        <f aca="false">VLOOKUP(L1199,Sheet2!D:E,2,0)</f>
        <v>Tuner Section</v>
      </c>
      <c r="N1199" s="17" t="n">
        <v>6</v>
      </c>
      <c r="O1199" s="17" t="str">
        <f aca="false">VLOOKUP(N1199,Sheet2!G:H,2,0)</f>
        <v>No Signal</v>
      </c>
      <c r="P1199" s="17" t="n">
        <v>12</v>
      </c>
      <c r="Q1199" s="17" t="str">
        <f aca="false">VLOOKUP(P1199,Sheet2!J:K,2,0)</f>
        <v>IR Declared due to Others ( IR Normal)TB</v>
      </c>
      <c r="R1199" s="17" t="s">
        <v>35</v>
      </c>
      <c r="S1199" s="17" t="str">
        <f aca="false">VLOOKUP(R1199,Sheet2!N:O,2,0)</f>
        <v>IREPARABLE</v>
      </c>
      <c r="T1199" s="18" t="str">
        <f aca="false">VLOOKUP(P1199,Sheet2!Q:R,2,0)</f>
        <v>IR Normal - BER to IR</v>
      </c>
      <c r="U1199" s="18" t="s">
        <v>101</v>
      </c>
      <c r="V1199" s="17" t="n">
        <v>8</v>
      </c>
      <c r="W1199" s="20" t="str">
        <f aca="false">VLOOKUP(V1199,Sheet2!Q:R,2,0)</f>
        <v>IR Normal -TrackRust/InternalDamage/open</v>
      </c>
      <c r="X1199" s="17" t="str">
        <f aca="false">J1199</f>
        <v>A018</v>
      </c>
      <c r="Y1199" s="17" t="str">
        <f aca="false">VLOOKUP(X1199,Sheet2!A:B,2,0)</f>
        <v>PRAKASH CHAVDA</v>
      </c>
      <c r="Z1199" s="17" t="s">
        <v>584</v>
      </c>
      <c r="AA1199" s="17" t="s">
        <v>547</v>
      </c>
      <c r="AB1199" s="17" t="s">
        <v>41</v>
      </c>
      <c r="AC1199" s="0" t="str">
        <f aca="false">LEFT(G1199,2)</f>
        <v>86</v>
      </c>
      <c r="AD1199" s="0"/>
      <c r="AE1199" s="21" t="s">
        <v>506</v>
      </c>
    </row>
    <row r="1200" customFormat="false" ht="15" hidden="false" customHeight="false" outlineLevel="0" collapsed="false">
      <c r="A1200" s="13" t="n">
        <f aca="false">1+A1199</f>
        <v>1198</v>
      </c>
      <c r="B1200" s="14" t="n">
        <v>1009668159</v>
      </c>
      <c r="C1200" s="17" t="s">
        <v>436</v>
      </c>
      <c r="D1200" s="16" t="s">
        <v>64</v>
      </c>
      <c r="E1200" s="17" t="s">
        <v>64</v>
      </c>
      <c r="F1200" s="18" t="s">
        <v>34</v>
      </c>
      <c r="G1200" s="19" t="n">
        <v>865272302023</v>
      </c>
      <c r="H1200" s="17" t="s">
        <v>35</v>
      </c>
      <c r="I1200" s="17" t="s">
        <v>72</v>
      </c>
      <c r="J1200" s="17" t="s">
        <v>267</v>
      </c>
      <c r="K1200" s="17" t="str">
        <f aca="false">VLOOKUP(J1200,Sheet2!A:B,2,0)</f>
        <v>HARIRAM GUPTA</v>
      </c>
      <c r="L1200" s="17" t="n">
        <v>1</v>
      </c>
      <c r="M1200" s="17" t="str">
        <f aca="false">VLOOKUP(L1200,Sheet2!D:E,2,0)</f>
        <v>Power Supply Section</v>
      </c>
      <c r="N1200" s="17" t="n">
        <v>1</v>
      </c>
      <c r="O1200" s="17" t="str">
        <f aca="false">VLOOKUP(N1200,Sheet2!G:H,2,0)</f>
        <v>Dead</v>
      </c>
      <c r="P1200" s="17" t="n">
        <v>12</v>
      </c>
      <c r="Q1200" s="17" t="str">
        <f aca="false">VLOOKUP(P1200,Sheet2!J:K,2,0)</f>
        <v>IR Declared due to Others ( IR Normal)TB</v>
      </c>
      <c r="R1200" s="17" t="s">
        <v>35</v>
      </c>
      <c r="S1200" s="17" t="str">
        <f aca="false">VLOOKUP(R1200,Sheet2!N:O,2,0)</f>
        <v>IREPARABLE</v>
      </c>
      <c r="T1200" s="18" t="str">
        <f aca="false">VLOOKUP(P1200,Sheet2!Q:R,2,0)</f>
        <v>IR Normal - BER to IR</v>
      </c>
      <c r="U1200" s="18" t="s">
        <v>101</v>
      </c>
      <c r="V1200" s="17" t="n">
        <v>8</v>
      </c>
      <c r="W1200" s="20" t="str">
        <f aca="false">VLOOKUP(V1200,Sheet2!Q:R,2,0)</f>
        <v>IR Normal -TrackRust/InternalDamage/open</v>
      </c>
      <c r="X1200" s="17" t="str">
        <f aca="false">J1200</f>
        <v>A007</v>
      </c>
      <c r="Y1200" s="17" t="str">
        <f aca="false">VLOOKUP(X1200,Sheet2!A:B,2,0)</f>
        <v>HARIRAM GUPTA</v>
      </c>
      <c r="Z1200" s="17" t="s">
        <v>276</v>
      </c>
      <c r="AA1200" s="17" t="s">
        <v>547</v>
      </c>
      <c r="AB1200" s="17" t="s">
        <v>41</v>
      </c>
      <c r="AC1200" s="0" t="str">
        <f aca="false">LEFT(G1200,2)</f>
        <v>86</v>
      </c>
      <c r="AD1200" s="0"/>
      <c r="AE1200" s="21" t="s">
        <v>506</v>
      </c>
    </row>
    <row r="1201" customFormat="false" ht="15" hidden="false" customHeight="false" outlineLevel="0" collapsed="false">
      <c r="A1201" s="13" t="n">
        <f aca="false">1+A1200</f>
        <v>1199</v>
      </c>
      <c r="B1201" s="14" t="n">
        <v>1009646332</v>
      </c>
      <c r="C1201" s="17" t="s">
        <v>204</v>
      </c>
      <c r="D1201" s="16" t="s">
        <v>64</v>
      </c>
      <c r="E1201" s="17" t="s">
        <v>200</v>
      </c>
      <c r="F1201" s="18" t="s">
        <v>34</v>
      </c>
      <c r="G1201" s="19" t="n">
        <v>865220145235</v>
      </c>
      <c r="H1201" s="17" t="s">
        <v>35</v>
      </c>
      <c r="I1201" s="17" t="s">
        <v>72</v>
      </c>
      <c r="J1201" s="17" t="s">
        <v>239</v>
      </c>
      <c r="K1201" s="17" t="str">
        <f aca="false">VLOOKUP(J1201,Sheet2!A:B,2,0)</f>
        <v>VASANT PARMAR</v>
      </c>
      <c r="L1201" s="17" t="n">
        <v>5</v>
      </c>
      <c r="M1201" s="17" t="str">
        <f aca="false">VLOOKUP(L1201,Sheet2!D:E,2,0)</f>
        <v>Main Processor CPU BGA</v>
      </c>
      <c r="N1201" s="17" t="n">
        <v>24</v>
      </c>
      <c r="O1201" s="17" t="str">
        <f aca="false">VLOOKUP(N1201,Sheet2!G:H,2,0)</f>
        <v>STB Auto moving -Stand by mode</v>
      </c>
      <c r="P1201" s="17" t="n">
        <v>11</v>
      </c>
      <c r="Q1201" s="17" t="str">
        <f aca="false">VLOOKUP(P1201,Sheet2!J:K,2,0)</f>
        <v>IR Declared due to CID -TA</v>
      </c>
      <c r="R1201" s="17" t="s">
        <v>35</v>
      </c>
      <c r="S1201" s="17" t="str">
        <f aca="false">VLOOKUP(R1201,Sheet2!N:O,2,0)</f>
        <v>IREPARABLE</v>
      </c>
      <c r="T1201" s="18" t="str">
        <f aca="false">VLOOKUP(P1201,Sheet2!Q:R,2,0)</f>
        <v>IR Normal - Track burn out</v>
      </c>
      <c r="U1201" s="18" t="s">
        <v>122</v>
      </c>
      <c r="V1201" s="17" t="n">
        <v>2</v>
      </c>
      <c r="W1201" s="20" t="str">
        <f aca="false">VLOOKUP(V1201,Sheet2!Q:R,2,0)</f>
        <v>IR CID -  Water log from other area</v>
      </c>
      <c r="X1201" s="17" t="str">
        <f aca="false">J1201</f>
        <v>A005</v>
      </c>
      <c r="Y1201" s="17" t="str">
        <f aca="false">VLOOKUP(X1201,Sheet2!A:B,2,0)</f>
        <v>VASANT PARMAR</v>
      </c>
      <c r="Z1201" s="17" t="s">
        <v>246</v>
      </c>
      <c r="AA1201" s="17" t="s">
        <v>547</v>
      </c>
      <c r="AB1201" s="17" t="s">
        <v>41</v>
      </c>
      <c r="AC1201" s="0" t="str">
        <f aca="false">LEFT(G1201,2)</f>
        <v>86</v>
      </c>
      <c r="AE1201" s="21" t="s">
        <v>506</v>
      </c>
    </row>
    <row r="1202" customFormat="false" ht="15" hidden="false" customHeight="false" outlineLevel="0" collapsed="false">
      <c r="A1202" s="13" t="n">
        <f aca="false">1+A1201</f>
        <v>1200</v>
      </c>
      <c r="B1202" s="14" t="n">
        <v>1008672225</v>
      </c>
      <c r="C1202" s="17" t="s">
        <v>585</v>
      </c>
      <c r="D1202" s="16" t="s">
        <v>64</v>
      </c>
      <c r="E1202" s="17" t="s">
        <v>47</v>
      </c>
      <c r="F1202" s="18" t="s">
        <v>34</v>
      </c>
      <c r="G1202" s="19" t="n">
        <v>986051225035</v>
      </c>
      <c r="H1202" s="17" t="s">
        <v>35</v>
      </c>
      <c r="I1202" s="17" t="s">
        <v>44</v>
      </c>
      <c r="J1202" s="17" t="s">
        <v>115</v>
      </c>
      <c r="K1202" s="17" t="str">
        <f aca="false">VLOOKUP(J1202,Sheet2!A:B,2,0)</f>
        <v>ANKIT RANA</v>
      </c>
      <c r="L1202" s="17" t="n">
        <v>1</v>
      </c>
      <c r="M1202" s="17" t="str">
        <f aca="false">VLOOKUP(L1202,Sheet2!D:E,2,0)</f>
        <v>Power Supply Section</v>
      </c>
      <c r="N1202" s="17" t="n">
        <v>1</v>
      </c>
      <c r="O1202" s="17" t="str">
        <f aca="false">VLOOKUP(N1202,Sheet2!G:H,2,0)</f>
        <v>Dead</v>
      </c>
      <c r="P1202" s="17" t="n">
        <v>11</v>
      </c>
      <c r="Q1202" s="17" t="str">
        <f aca="false">VLOOKUP(P1202,Sheet2!J:K,2,0)</f>
        <v>IR Declared due to CID -TA</v>
      </c>
      <c r="R1202" s="17" t="s">
        <v>35</v>
      </c>
      <c r="S1202" s="17" t="str">
        <f aca="false">VLOOKUP(R1202,Sheet2!N:O,2,0)</f>
        <v>IREPARABLE</v>
      </c>
      <c r="T1202" s="18" t="str">
        <f aca="false">VLOOKUP(P1202,Sheet2!Q:R,2,0)</f>
        <v>IR Normal - Track burn out</v>
      </c>
      <c r="U1202" s="18" t="s">
        <v>122</v>
      </c>
      <c r="V1202" s="17" t="n">
        <v>2</v>
      </c>
      <c r="W1202" s="20" t="str">
        <f aca="false">VLOOKUP(V1202,Sheet2!Q:R,2,0)</f>
        <v>IR CID -  Water log from other area</v>
      </c>
      <c r="X1202" s="17" t="str">
        <f aca="false">J1202</f>
        <v>A042</v>
      </c>
      <c r="Y1202" s="17" t="str">
        <f aca="false">VLOOKUP(X1202,Sheet2!A:B,2,0)</f>
        <v>ANKIT RANA</v>
      </c>
      <c r="Z1202" s="17" t="s">
        <v>141</v>
      </c>
      <c r="AA1202" s="17" t="s">
        <v>547</v>
      </c>
      <c r="AB1202" s="17" t="s">
        <v>41</v>
      </c>
      <c r="AC1202" s="0" t="str">
        <f aca="false">LEFT(G1202,2)</f>
        <v>98</v>
      </c>
      <c r="AE1202" s="21" t="s">
        <v>506</v>
      </c>
    </row>
    <row r="1203" customFormat="false" ht="15" hidden="false" customHeight="false" outlineLevel="0" collapsed="false">
      <c r="A1203" s="13" t="n">
        <f aca="false">1+A1202</f>
        <v>1201</v>
      </c>
      <c r="B1203" s="14" t="n">
        <v>1009668243</v>
      </c>
      <c r="C1203" s="17" t="s">
        <v>436</v>
      </c>
      <c r="D1203" s="16" t="s">
        <v>113</v>
      </c>
      <c r="E1203" s="17" t="s">
        <v>572</v>
      </c>
      <c r="F1203" s="18" t="s">
        <v>34</v>
      </c>
      <c r="G1203" s="19" t="n">
        <v>986156229643</v>
      </c>
      <c r="H1203" s="17" t="s">
        <v>35</v>
      </c>
      <c r="I1203" s="17" t="s">
        <v>44</v>
      </c>
      <c r="J1203" s="17" t="s">
        <v>239</v>
      </c>
      <c r="K1203" s="17" t="str">
        <f aca="false">VLOOKUP(J1203,Sheet2!A:B,2,0)</f>
        <v>VASANT PARMAR</v>
      </c>
      <c r="L1203" s="17" t="n">
        <v>5</v>
      </c>
      <c r="M1203" s="17" t="str">
        <f aca="false">VLOOKUP(L1203,Sheet2!D:E,2,0)</f>
        <v>Main Processor CPU BGA</v>
      </c>
      <c r="N1203" s="17" t="n">
        <v>1</v>
      </c>
      <c r="O1203" s="17" t="str">
        <f aca="false">VLOOKUP(N1203,Sheet2!G:H,2,0)</f>
        <v>Dead</v>
      </c>
      <c r="P1203" s="17" t="n">
        <v>12</v>
      </c>
      <c r="Q1203" s="17" t="str">
        <f aca="false">VLOOKUP(P1203,Sheet2!J:K,2,0)</f>
        <v>IR Declared due to Others ( IR Normal)TB</v>
      </c>
      <c r="R1203" s="17" t="s">
        <v>35</v>
      </c>
      <c r="S1203" s="17" t="str">
        <f aca="false">VLOOKUP(R1203,Sheet2!N:O,2,0)</f>
        <v>IREPARABLE</v>
      </c>
      <c r="T1203" s="18" t="str">
        <f aca="false">VLOOKUP(P1203,Sheet2!Q:R,2,0)</f>
        <v>IR Normal - BER to IR</v>
      </c>
      <c r="U1203" s="18" t="s">
        <v>101</v>
      </c>
      <c r="V1203" s="17" t="n">
        <v>8</v>
      </c>
      <c r="W1203" s="20" t="str">
        <f aca="false">VLOOKUP(V1203,Sheet2!Q:R,2,0)</f>
        <v>IR Normal -TrackRust/InternalDamage/open</v>
      </c>
      <c r="X1203" s="17" t="str">
        <f aca="false">J1203</f>
        <v>A005</v>
      </c>
      <c r="Y1203" s="17" t="str">
        <f aca="false">VLOOKUP(X1203,Sheet2!A:B,2,0)</f>
        <v>VASANT PARMAR</v>
      </c>
      <c r="Z1203" s="17" t="s">
        <v>141</v>
      </c>
      <c r="AA1203" s="17" t="s">
        <v>547</v>
      </c>
      <c r="AB1203" s="17" t="s">
        <v>41</v>
      </c>
      <c r="AC1203" s="0" t="str">
        <f aca="false">LEFT(G1203,2)</f>
        <v>98</v>
      </c>
      <c r="AE1203" s="21" t="s">
        <v>506</v>
      </c>
    </row>
    <row r="1204" customFormat="false" ht="15" hidden="false" customHeight="false" outlineLevel="0" collapsed="false">
      <c r="A1204" s="13" t="n">
        <f aca="false">1+A1203</f>
        <v>1202</v>
      </c>
      <c r="B1204" s="14" t="n">
        <v>1009667955</v>
      </c>
      <c r="C1204" s="17" t="s">
        <v>436</v>
      </c>
      <c r="D1204" s="16" t="s">
        <v>64</v>
      </c>
      <c r="E1204" s="17" t="s">
        <v>148</v>
      </c>
      <c r="F1204" s="18" t="s">
        <v>34</v>
      </c>
      <c r="G1204" s="19" t="n">
        <v>985306247265</v>
      </c>
      <c r="H1204" s="17" t="s">
        <v>35</v>
      </c>
      <c r="I1204" s="17" t="s">
        <v>44</v>
      </c>
      <c r="J1204" s="17" t="s">
        <v>118</v>
      </c>
      <c r="K1204" s="17" t="str">
        <f aca="false">VLOOKUP(J1204,Sheet2!A:B,2,0)</f>
        <v>DEVENDRA RAJPUT</v>
      </c>
      <c r="L1204" s="17" t="n">
        <v>2</v>
      </c>
      <c r="M1204" s="17" t="str">
        <f aca="false">VLOOKUP(L1204,Sheet2!D:E,2,0)</f>
        <v>Tuner Section</v>
      </c>
      <c r="N1204" s="17" t="n">
        <v>6</v>
      </c>
      <c r="O1204" s="17" t="str">
        <f aca="false">VLOOKUP(N1204,Sheet2!G:H,2,0)</f>
        <v>No Signal</v>
      </c>
      <c r="P1204" s="17" t="n">
        <v>12</v>
      </c>
      <c r="Q1204" s="17" t="str">
        <f aca="false">VLOOKUP(P1204,Sheet2!J:K,2,0)</f>
        <v>IR Declared due to Others ( IR Normal)TB</v>
      </c>
      <c r="R1204" s="17" t="s">
        <v>35</v>
      </c>
      <c r="S1204" s="17" t="str">
        <f aca="false">VLOOKUP(R1204,Sheet2!N:O,2,0)</f>
        <v>IREPARABLE</v>
      </c>
      <c r="T1204" s="18" t="str">
        <f aca="false">VLOOKUP(P1204,Sheet2!Q:R,2,0)</f>
        <v>IR Normal - BER to IR</v>
      </c>
      <c r="U1204" s="18" t="s">
        <v>101</v>
      </c>
      <c r="V1204" s="17" t="n">
        <v>8</v>
      </c>
      <c r="W1204" s="20" t="str">
        <f aca="false">VLOOKUP(V1204,Sheet2!Q:R,2,0)</f>
        <v>IR Normal -TrackRust/InternalDamage/open</v>
      </c>
      <c r="X1204" s="17" t="str">
        <f aca="false">J1204</f>
        <v>A053</v>
      </c>
      <c r="Y1204" s="17" t="str">
        <f aca="false">VLOOKUP(X1204,Sheet2!A:B,2,0)</f>
        <v>DEVENDRA RAJPUT</v>
      </c>
      <c r="Z1204" s="17" t="s">
        <v>586</v>
      </c>
      <c r="AA1204" s="17" t="s">
        <v>547</v>
      </c>
      <c r="AB1204" s="17" t="s">
        <v>41</v>
      </c>
      <c r="AC1204" s="0" t="str">
        <f aca="false">LEFT(G1204,2)</f>
        <v>98</v>
      </c>
      <c r="AE1204" s="21" t="s">
        <v>506</v>
      </c>
    </row>
    <row r="1205" customFormat="false" ht="15" hidden="false" customHeight="false" outlineLevel="0" collapsed="false">
      <c r="A1205" s="13" t="n">
        <f aca="false">1+A1204</f>
        <v>1203</v>
      </c>
      <c r="B1205" s="14" t="n">
        <v>1009671491</v>
      </c>
      <c r="C1205" s="17" t="s">
        <v>436</v>
      </c>
      <c r="D1205" s="16" t="s">
        <v>64</v>
      </c>
      <c r="E1205" s="17" t="s">
        <v>208</v>
      </c>
      <c r="F1205" s="18" t="s">
        <v>34</v>
      </c>
      <c r="G1205" s="19" t="n">
        <v>985293295988</v>
      </c>
      <c r="H1205" s="17" t="s">
        <v>35</v>
      </c>
      <c r="I1205" s="17" t="s">
        <v>44</v>
      </c>
      <c r="J1205" s="17" t="s">
        <v>111</v>
      </c>
      <c r="K1205" s="17" t="str">
        <f aca="false">VLOOKUP(J1205,Sheet2!A:B,2,0)</f>
        <v>NITIN PRANAMI</v>
      </c>
      <c r="L1205" s="17" t="n">
        <v>5</v>
      </c>
      <c r="M1205" s="17" t="str">
        <f aca="false">VLOOKUP(L1205,Sheet2!D:E,2,0)</f>
        <v>Main Processor CPU BGA</v>
      </c>
      <c r="N1205" s="17" t="n">
        <v>24</v>
      </c>
      <c r="O1205" s="17" t="str">
        <f aca="false">VLOOKUP(N1205,Sheet2!G:H,2,0)</f>
        <v>STB Auto moving -Stand by mode</v>
      </c>
      <c r="P1205" s="17" t="n">
        <v>12</v>
      </c>
      <c r="Q1205" s="17" t="str">
        <f aca="false">VLOOKUP(P1205,Sheet2!J:K,2,0)</f>
        <v>IR Declared due to Others ( IR Normal)TB</v>
      </c>
      <c r="R1205" s="17" t="s">
        <v>35</v>
      </c>
      <c r="S1205" s="17" t="str">
        <f aca="false">VLOOKUP(R1205,Sheet2!N:O,2,0)</f>
        <v>IREPARABLE</v>
      </c>
      <c r="T1205" s="18" t="str">
        <f aca="false">VLOOKUP(P1205,Sheet2!Q:R,2,0)</f>
        <v>IR Normal - BER to IR</v>
      </c>
      <c r="U1205" s="18" t="s">
        <v>101</v>
      </c>
      <c r="V1205" s="17" t="n">
        <v>8</v>
      </c>
      <c r="W1205" s="20" t="str">
        <f aca="false">VLOOKUP(V1205,Sheet2!Q:R,2,0)</f>
        <v>IR Normal -TrackRust/InternalDamage/open</v>
      </c>
      <c r="X1205" s="17" t="str">
        <f aca="false">J1205</f>
        <v>A031</v>
      </c>
      <c r="Y1205" s="17" t="str">
        <f aca="false">VLOOKUP(X1205,Sheet2!A:B,2,0)</f>
        <v>NITIN PRANAMI</v>
      </c>
      <c r="Z1205" s="17" t="s">
        <v>587</v>
      </c>
      <c r="AA1205" s="17" t="s">
        <v>547</v>
      </c>
      <c r="AB1205" s="17" t="s">
        <v>41</v>
      </c>
      <c r="AC1205" s="0" t="str">
        <f aca="false">LEFT(G1205,2)</f>
        <v>98</v>
      </c>
      <c r="AE1205" s="21" t="s">
        <v>506</v>
      </c>
    </row>
    <row r="1206" customFormat="false" ht="15" hidden="false" customHeight="false" outlineLevel="0" collapsed="false">
      <c r="A1206" s="13" t="n">
        <f aca="false">1+A1205</f>
        <v>1204</v>
      </c>
      <c r="B1206" s="14" t="n">
        <v>1009609514</v>
      </c>
      <c r="C1206" s="17" t="s">
        <v>181</v>
      </c>
      <c r="D1206" s="16" t="s">
        <v>64</v>
      </c>
      <c r="E1206" s="17" t="s">
        <v>64</v>
      </c>
      <c r="F1206" s="18" t="s">
        <v>34</v>
      </c>
      <c r="G1206" s="19" t="n">
        <v>985281221962</v>
      </c>
      <c r="H1206" s="17" t="s">
        <v>35</v>
      </c>
      <c r="I1206" s="17" t="s">
        <v>44</v>
      </c>
      <c r="J1206" s="17" t="s">
        <v>239</v>
      </c>
      <c r="K1206" s="17" t="str">
        <f aca="false">VLOOKUP(J1206,Sheet2!A:B,2,0)</f>
        <v>VASANT PARMAR</v>
      </c>
      <c r="L1206" s="17" t="n">
        <v>5</v>
      </c>
      <c r="M1206" s="17" t="str">
        <f aca="false">VLOOKUP(L1206,Sheet2!D:E,2,0)</f>
        <v>Main Processor CPU BGA</v>
      </c>
      <c r="N1206" s="17" t="n">
        <v>1</v>
      </c>
      <c r="O1206" s="17" t="str">
        <f aca="false">VLOOKUP(N1206,Sheet2!G:H,2,0)</f>
        <v>Dead</v>
      </c>
      <c r="P1206" s="17" t="n">
        <v>11</v>
      </c>
      <c r="Q1206" s="17" t="str">
        <f aca="false">VLOOKUP(P1206,Sheet2!J:K,2,0)</f>
        <v>IR Declared due to CID -TA</v>
      </c>
      <c r="R1206" s="17" t="s">
        <v>35</v>
      </c>
      <c r="S1206" s="17" t="str">
        <f aca="false">VLOOKUP(R1206,Sheet2!N:O,2,0)</f>
        <v>IREPARABLE</v>
      </c>
      <c r="T1206" s="18" t="str">
        <f aca="false">VLOOKUP(P1206,Sheet2!Q:R,2,0)</f>
        <v>IR Normal - Track burn out</v>
      </c>
      <c r="U1206" s="18" t="s">
        <v>122</v>
      </c>
      <c r="V1206" s="17" t="n">
        <v>2</v>
      </c>
      <c r="W1206" s="20" t="str">
        <f aca="false">VLOOKUP(V1206,Sheet2!Q:R,2,0)</f>
        <v>IR CID -  Water log from other area</v>
      </c>
      <c r="X1206" s="17" t="str">
        <f aca="false">J1206</f>
        <v>A005</v>
      </c>
      <c r="Y1206" s="17" t="str">
        <f aca="false">VLOOKUP(X1206,Sheet2!A:B,2,0)</f>
        <v>VASANT PARMAR</v>
      </c>
      <c r="Z1206" s="17" t="s">
        <v>141</v>
      </c>
      <c r="AA1206" s="17" t="s">
        <v>547</v>
      </c>
      <c r="AB1206" s="17" t="s">
        <v>41</v>
      </c>
      <c r="AC1206" s="0" t="str">
        <f aca="false">LEFT(G1206,2)</f>
        <v>98</v>
      </c>
      <c r="AE1206" s="21" t="s">
        <v>506</v>
      </c>
    </row>
    <row r="1207" customFormat="false" ht="15" hidden="false" customHeight="false" outlineLevel="0" collapsed="false">
      <c r="A1207" s="13" t="n">
        <f aca="false">1+A1206</f>
        <v>1205</v>
      </c>
      <c r="B1207" s="14" t="n">
        <v>1009283003</v>
      </c>
      <c r="C1207" s="17" t="s">
        <v>75</v>
      </c>
      <c r="D1207" s="16" t="s">
        <v>64</v>
      </c>
      <c r="E1207" s="17" t="s">
        <v>64</v>
      </c>
      <c r="F1207" s="18" t="s">
        <v>34</v>
      </c>
      <c r="G1207" s="19" t="n">
        <v>986016184657</v>
      </c>
      <c r="H1207" s="17" t="s">
        <v>35</v>
      </c>
      <c r="I1207" s="17" t="s">
        <v>44</v>
      </c>
      <c r="J1207" s="17" t="s">
        <v>289</v>
      </c>
      <c r="K1207" s="17" t="str">
        <f aca="false">VLOOKUP(J1207,Sheet2!A:B,2,0)</f>
        <v>AJAY KOSHTI</v>
      </c>
      <c r="L1207" s="17" t="n">
        <v>1</v>
      </c>
      <c r="M1207" s="17" t="str">
        <f aca="false">VLOOKUP(L1207,Sheet2!D:E,2,0)</f>
        <v>Power Supply Section</v>
      </c>
      <c r="N1207" s="17" t="n">
        <v>1</v>
      </c>
      <c r="O1207" s="17" t="str">
        <f aca="false">VLOOKUP(N1207,Sheet2!G:H,2,0)</f>
        <v>Dead</v>
      </c>
      <c r="P1207" s="17" t="n">
        <v>11</v>
      </c>
      <c r="Q1207" s="17" t="str">
        <f aca="false">VLOOKUP(P1207,Sheet2!J:K,2,0)</f>
        <v>IR Declared due to CID -TA</v>
      </c>
      <c r="R1207" s="17" t="s">
        <v>35</v>
      </c>
      <c r="S1207" s="17" t="str">
        <f aca="false">VLOOKUP(R1207,Sheet2!N:O,2,0)</f>
        <v>IREPARABLE</v>
      </c>
      <c r="T1207" s="18" t="str">
        <f aca="false">VLOOKUP(P1207,Sheet2!Q:R,2,0)</f>
        <v>IR Normal - Track burn out</v>
      </c>
      <c r="U1207" s="18" t="s">
        <v>120</v>
      </c>
      <c r="V1207" s="17" t="n">
        <v>6</v>
      </c>
      <c r="W1207" s="20" t="str">
        <f aca="false">VLOOKUP(V1207,Sheet2!Q:R,2,0)</f>
        <v>IR CID -Fullydamage-Broken/Dent/Burn out</v>
      </c>
      <c r="X1207" s="17" t="str">
        <f aca="false">J1207</f>
        <v>A051</v>
      </c>
      <c r="Y1207" s="17" t="str">
        <f aca="false">VLOOKUP(X1207,Sheet2!A:B,2,0)</f>
        <v>AJAY KOSHTI</v>
      </c>
      <c r="Z1207" s="17" t="s">
        <v>141</v>
      </c>
      <c r="AA1207" s="17" t="s">
        <v>547</v>
      </c>
      <c r="AB1207" s="17" t="s">
        <v>41</v>
      </c>
      <c r="AC1207" s="0" t="str">
        <f aca="false">LEFT(G1207,2)</f>
        <v>98</v>
      </c>
      <c r="AE1207" s="21" t="s">
        <v>506</v>
      </c>
    </row>
    <row r="1208" customFormat="false" ht="15" hidden="false" customHeight="false" outlineLevel="0" collapsed="false">
      <c r="A1208" s="13" t="n">
        <f aca="false">1+A1207</f>
        <v>1206</v>
      </c>
      <c r="B1208" s="14" t="n">
        <v>1009661820</v>
      </c>
      <c r="C1208" s="17" t="s">
        <v>433</v>
      </c>
      <c r="D1208" s="16" t="s">
        <v>175</v>
      </c>
      <c r="E1208" s="17" t="s">
        <v>176</v>
      </c>
      <c r="F1208" s="18" t="s">
        <v>34</v>
      </c>
      <c r="G1208" s="19" t="n">
        <v>985322231608</v>
      </c>
      <c r="H1208" s="17" t="s">
        <v>35</v>
      </c>
      <c r="I1208" s="17" t="s">
        <v>44</v>
      </c>
      <c r="J1208" s="17" t="s">
        <v>267</v>
      </c>
      <c r="K1208" s="17" t="str">
        <f aca="false">VLOOKUP(J1208,Sheet2!A:B,2,0)</f>
        <v>HARIRAM GUPTA</v>
      </c>
      <c r="L1208" s="17" t="n">
        <v>2</v>
      </c>
      <c r="M1208" s="17" t="str">
        <f aca="false">VLOOKUP(L1208,Sheet2!D:E,2,0)</f>
        <v>Tuner Section</v>
      </c>
      <c r="N1208" s="17" t="n">
        <v>6</v>
      </c>
      <c r="O1208" s="17" t="str">
        <f aca="false">VLOOKUP(N1208,Sheet2!G:H,2,0)</f>
        <v>No Signal</v>
      </c>
      <c r="P1208" s="17" t="n">
        <v>12</v>
      </c>
      <c r="Q1208" s="17" t="str">
        <f aca="false">VLOOKUP(P1208,Sheet2!J:K,2,0)</f>
        <v>IR Declared due to Others ( IR Normal)TB</v>
      </c>
      <c r="R1208" s="17" t="s">
        <v>35</v>
      </c>
      <c r="S1208" s="17" t="str">
        <f aca="false">VLOOKUP(R1208,Sheet2!N:O,2,0)</f>
        <v>IREPARABLE</v>
      </c>
      <c r="T1208" s="18" t="str">
        <f aca="false">VLOOKUP(P1208,Sheet2!Q:R,2,0)</f>
        <v>IR Normal - BER to IR</v>
      </c>
      <c r="U1208" s="18" t="s">
        <v>101</v>
      </c>
      <c r="V1208" s="17" t="n">
        <v>8</v>
      </c>
      <c r="W1208" s="20" t="str">
        <f aca="false">VLOOKUP(V1208,Sheet2!Q:R,2,0)</f>
        <v>IR Normal -TrackRust/InternalDamage/open</v>
      </c>
      <c r="X1208" s="17" t="str">
        <f aca="false">J1208</f>
        <v>A007</v>
      </c>
      <c r="Y1208" s="17" t="str">
        <f aca="false">VLOOKUP(X1208,Sheet2!A:B,2,0)</f>
        <v>HARIRAM GUPTA</v>
      </c>
      <c r="Z1208" s="17" t="s">
        <v>580</v>
      </c>
      <c r="AA1208" s="17" t="s">
        <v>547</v>
      </c>
      <c r="AB1208" s="17" t="s">
        <v>41</v>
      </c>
      <c r="AC1208" s="0" t="str">
        <f aca="false">LEFT(G1208,2)</f>
        <v>98</v>
      </c>
      <c r="AE1208" s="21" t="s">
        <v>506</v>
      </c>
    </row>
    <row r="1209" customFormat="false" ht="15" hidden="false" customHeight="false" outlineLevel="0" collapsed="false">
      <c r="A1209" s="13" t="n">
        <f aca="false">1+A1208</f>
        <v>1207</v>
      </c>
      <c r="B1209" s="14" t="n">
        <v>1008432495</v>
      </c>
      <c r="C1209" s="17" t="s">
        <v>588</v>
      </c>
      <c r="D1209" s="16" t="s">
        <v>64</v>
      </c>
      <c r="E1209" s="17" t="s">
        <v>91</v>
      </c>
      <c r="F1209" s="18" t="s">
        <v>34</v>
      </c>
      <c r="G1209" s="19" t="n">
        <v>986021303110</v>
      </c>
      <c r="H1209" s="17" t="s">
        <v>35</v>
      </c>
      <c r="I1209" s="17" t="s">
        <v>44</v>
      </c>
      <c r="J1209" s="17" t="s">
        <v>118</v>
      </c>
      <c r="K1209" s="17" t="str">
        <f aca="false">VLOOKUP(J1209,Sheet2!A:B,2,0)</f>
        <v>DEVENDRA RAJPUT</v>
      </c>
      <c r="L1209" s="17" t="n">
        <v>1</v>
      </c>
      <c r="M1209" s="17" t="str">
        <f aca="false">VLOOKUP(L1209,Sheet2!D:E,2,0)</f>
        <v>Power Supply Section</v>
      </c>
      <c r="N1209" s="17" t="n">
        <v>1</v>
      </c>
      <c r="O1209" s="17" t="str">
        <f aca="false">VLOOKUP(N1209,Sheet2!G:H,2,0)</f>
        <v>Dead</v>
      </c>
      <c r="P1209" s="17" t="n">
        <v>11</v>
      </c>
      <c r="Q1209" s="17" t="str">
        <f aca="false">VLOOKUP(P1209,Sheet2!J:K,2,0)</f>
        <v>IR Declared due to CID -TA</v>
      </c>
      <c r="R1209" s="17" t="s">
        <v>35</v>
      </c>
      <c r="S1209" s="17" t="str">
        <f aca="false">VLOOKUP(R1209,Sheet2!N:O,2,0)</f>
        <v>IREPARABLE</v>
      </c>
      <c r="T1209" s="18" t="str">
        <f aca="false">VLOOKUP(P1209,Sheet2!Q:R,2,0)</f>
        <v>IR Normal - Track burn out</v>
      </c>
      <c r="U1209" s="18" t="s">
        <v>122</v>
      </c>
      <c r="V1209" s="17" t="n">
        <v>2</v>
      </c>
      <c r="W1209" s="20" t="str">
        <f aca="false">VLOOKUP(V1209,Sheet2!Q:R,2,0)</f>
        <v>IR CID -  Water log from other area</v>
      </c>
      <c r="X1209" s="17" t="str">
        <f aca="false">J1209</f>
        <v>A053</v>
      </c>
      <c r="Y1209" s="17" t="str">
        <f aca="false">VLOOKUP(X1209,Sheet2!A:B,2,0)</f>
        <v>DEVENDRA RAJPUT</v>
      </c>
      <c r="Z1209" s="17" t="s">
        <v>589</v>
      </c>
      <c r="AA1209" s="17" t="s">
        <v>547</v>
      </c>
      <c r="AB1209" s="17" t="s">
        <v>41</v>
      </c>
      <c r="AC1209" s="0" t="str">
        <f aca="false">LEFT(G1209,2)</f>
        <v>98</v>
      </c>
      <c r="AE1209" s="21" t="s">
        <v>506</v>
      </c>
    </row>
    <row r="1210" customFormat="false" ht="15" hidden="false" customHeight="false" outlineLevel="0" collapsed="false">
      <c r="A1210" s="13" t="n">
        <f aca="false">1+A1209</f>
        <v>1208</v>
      </c>
      <c r="B1210" s="14" t="n">
        <v>1009666548</v>
      </c>
      <c r="C1210" s="17" t="s">
        <v>436</v>
      </c>
      <c r="D1210" s="16" t="s">
        <v>64</v>
      </c>
      <c r="E1210" s="17" t="s">
        <v>64</v>
      </c>
      <c r="F1210" s="18" t="s">
        <v>34</v>
      </c>
      <c r="G1210" s="19" t="n">
        <v>986016205122</v>
      </c>
      <c r="H1210" s="17" t="s">
        <v>35</v>
      </c>
      <c r="I1210" s="17" t="s">
        <v>44</v>
      </c>
      <c r="J1210" s="17" t="s">
        <v>111</v>
      </c>
      <c r="K1210" s="17" t="str">
        <f aca="false">VLOOKUP(J1210,Sheet2!A:B,2,0)</f>
        <v>NITIN PRANAMI</v>
      </c>
      <c r="L1210" s="17" t="n">
        <v>1</v>
      </c>
      <c r="M1210" s="17" t="str">
        <f aca="false">VLOOKUP(L1210,Sheet2!D:E,2,0)</f>
        <v>Power Supply Section</v>
      </c>
      <c r="N1210" s="17" t="n">
        <v>1</v>
      </c>
      <c r="O1210" s="17" t="str">
        <f aca="false">VLOOKUP(N1210,Sheet2!G:H,2,0)</f>
        <v>Dead</v>
      </c>
      <c r="P1210" s="17" t="n">
        <v>12</v>
      </c>
      <c r="Q1210" s="17" t="str">
        <f aca="false">VLOOKUP(P1210,Sheet2!J:K,2,0)</f>
        <v>IR Declared due to Others ( IR Normal)TB</v>
      </c>
      <c r="R1210" s="17" t="s">
        <v>35</v>
      </c>
      <c r="S1210" s="17" t="str">
        <f aca="false">VLOOKUP(R1210,Sheet2!N:O,2,0)</f>
        <v>IREPARABLE</v>
      </c>
      <c r="T1210" s="18" t="str">
        <f aca="false">VLOOKUP(P1210,Sheet2!Q:R,2,0)</f>
        <v>IR Normal - BER to IR</v>
      </c>
      <c r="U1210" s="18" t="s">
        <v>101</v>
      </c>
      <c r="V1210" s="17" t="n">
        <v>8</v>
      </c>
      <c r="W1210" s="20" t="str">
        <f aca="false">VLOOKUP(V1210,Sheet2!Q:R,2,0)</f>
        <v>IR Normal -TrackRust/InternalDamage/open</v>
      </c>
      <c r="X1210" s="17" t="str">
        <f aca="false">J1210</f>
        <v>A031</v>
      </c>
      <c r="Y1210" s="17" t="str">
        <f aca="false">VLOOKUP(X1210,Sheet2!A:B,2,0)</f>
        <v>NITIN PRANAMI</v>
      </c>
      <c r="Z1210" s="17" t="s">
        <v>590</v>
      </c>
      <c r="AA1210" s="17" t="s">
        <v>547</v>
      </c>
      <c r="AB1210" s="17" t="s">
        <v>41</v>
      </c>
      <c r="AC1210" s="0" t="str">
        <f aca="false">LEFT(G1210,2)</f>
        <v>98</v>
      </c>
      <c r="AE1210" s="21" t="s">
        <v>506</v>
      </c>
    </row>
    <row r="1211" customFormat="false" ht="15" hidden="false" customHeight="false" outlineLevel="0" collapsed="false">
      <c r="A1211" s="13" t="n">
        <f aca="false">1+A1210</f>
        <v>1209</v>
      </c>
      <c r="B1211" s="14" t="n">
        <v>1009672597</v>
      </c>
      <c r="C1211" s="17" t="s">
        <v>436</v>
      </c>
      <c r="D1211" s="16" t="s">
        <v>144</v>
      </c>
      <c r="E1211" s="17" t="s">
        <v>47</v>
      </c>
      <c r="F1211" s="18" t="s">
        <v>34</v>
      </c>
      <c r="G1211" s="19" t="n">
        <v>985327216943</v>
      </c>
      <c r="H1211" s="17" t="s">
        <v>35</v>
      </c>
      <c r="I1211" s="17" t="s">
        <v>44</v>
      </c>
      <c r="J1211" s="17" t="s">
        <v>121</v>
      </c>
      <c r="K1211" s="17" t="str">
        <f aca="false">VLOOKUP(J1211,Sheet2!A:B,2,0)</f>
        <v>SHANI GOHIL</v>
      </c>
      <c r="L1211" s="17" t="n">
        <v>1</v>
      </c>
      <c r="M1211" s="17" t="str">
        <f aca="false">VLOOKUP(L1211,Sheet2!D:E,2,0)</f>
        <v>Power Supply Section</v>
      </c>
      <c r="N1211" s="17" t="n">
        <v>1</v>
      </c>
      <c r="O1211" s="17" t="str">
        <f aca="false">VLOOKUP(N1211,Sheet2!G:H,2,0)</f>
        <v>Dead</v>
      </c>
      <c r="P1211" s="17" t="n">
        <v>12</v>
      </c>
      <c r="Q1211" s="17" t="str">
        <f aca="false">VLOOKUP(P1211,Sheet2!J:K,2,0)</f>
        <v>IR Declared due to Others ( IR Normal)TB</v>
      </c>
      <c r="R1211" s="17" t="s">
        <v>35</v>
      </c>
      <c r="S1211" s="17" t="str">
        <f aca="false">VLOOKUP(R1211,Sheet2!N:O,2,0)</f>
        <v>IREPARABLE</v>
      </c>
      <c r="T1211" s="18" t="str">
        <f aca="false">VLOOKUP(P1211,Sheet2!Q:R,2,0)</f>
        <v>IR Normal - BER to IR</v>
      </c>
      <c r="U1211" s="18" t="s">
        <v>101</v>
      </c>
      <c r="V1211" s="17" t="n">
        <v>8</v>
      </c>
      <c r="W1211" s="20" t="str">
        <f aca="false">VLOOKUP(V1211,Sheet2!Q:R,2,0)</f>
        <v>IR Normal -TrackRust/InternalDamage/open</v>
      </c>
      <c r="X1211" s="17" t="str">
        <f aca="false">J1211</f>
        <v>A063</v>
      </c>
      <c r="Y1211" s="17" t="str">
        <f aca="false">VLOOKUP(X1211,Sheet2!A:B,2,0)</f>
        <v>SHANI GOHIL</v>
      </c>
      <c r="Z1211" s="17" t="s">
        <v>591</v>
      </c>
      <c r="AA1211" s="17" t="s">
        <v>547</v>
      </c>
      <c r="AB1211" s="17" t="s">
        <v>41</v>
      </c>
      <c r="AC1211" s="0" t="str">
        <f aca="false">LEFT(G1211,2)</f>
        <v>98</v>
      </c>
      <c r="AE1211" s="21" t="s">
        <v>506</v>
      </c>
    </row>
    <row r="1212" customFormat="false" ht="15" hidden="false" customHeight="false" outlineLevel="0" collapsed="false">
      <c r="A1212" s="13" t="n">
        <f aca="false">1+A1211</f>
        <v>1210</v>
      </c>
      <c r="B1212" s="14" t="n">
        <v>1009671583</v>
      </c>
      <c r="C1212" s="17" t="s">
        <v>436</v>
      </c>
      <c r="D1212" s="16" t="s">
        <v>154</v>
      </c>
      <c r="E1212" s="17" t="s">
        <v>91</v>
      </c>
      <c r="F1212" s="18" t="s">
        <v>34</v>
      </c>
      <c r="G1212" s="19" t="n">
        <v>987096367014</v>
      </c>
      <c r="H1212" s="17" t="s">
        <v>35</v>
      </c>
      <c r="I1212" s="17" t="s">
        <v>44</v>
      </c>
      <c r="J1212" s="17" t="s">
        <v>121</v>
      </c>
      <c r="K1212" s="17" t="str">
        <f aca="false">VLOOKUP(J1212,Sheet2!A:B,2,0)</f>
        <v>SHANI GOHIL</v>
      </c>
      <c r="L1212" s="17" t="n">
        <v>1</v>
      </c>
      <c r="M1212" s="17" t="str">
        <f aca="false">VLOOKUP(L1212,Sheet2!D:E,2,0)</f>
        <v>Power Supply Section</v>
      </c>
      <c r="N1212" s="17" t="n">
        <v>1</v>
      </c>
      <c r="O1212" s="17" t="str">
        <f aca="false">VLOOKUP(N1212,Sheet2!G:H,2,0)</f>
        <v>Dead</v>
      </c>
      <c r="P1212" s="17" t="n">
        <v>12</v>
      </c>
      <c r="Q1212" s="17" t="str">
        <f aca="false">VLOOKUP(P1212,Sheet2!J:K,2,0)</f>
        <v>IR Declared due to Others ( IR Normal)TB</v>
      </c>
      <c r="R1212" s="17" t="s">
        <v>35</v>
      </c>
      <c r="S1212" s="17" t="str">
        <f aca="false">VLOOKUP(R1212,Sheet2!N:O,2,0)</f>
        <v>IREPARABLE</v>
      </c>
      <c r="T1212" s="18" t="str">
        <f aca="false">VLOOKUP(P1212,Sheet2!Q:R,2,0)</f>
        <v>IR Normal - BER to IR</v>
      </c>
      <c r="U1212" s="18" t="s">
        <v>101</v>
      </c>
      <c r="V1212" s="17" t="n">
        <v>8</v>
      </c>
      <c r="W1212" s="20" t="str">
        <f aca="false">VLOOKUP(V1212,Sheet2!Q:R,2,0)</f>
        <v>IR Normal -TrackRust/InternalDamage/open</v>
      </c>
      <c r="X1212" s="17" t="str">
        <f aca="false">J1212</f>
        <v>A063</v>
      </c>
      <c r="Y1212" s="17" t="str">
        <f aca="false">VLOOKUP(X1212,Sheet2!A:B,2,0)</f>
        <v>SHANI GOHIL</v>
      </c>
      <c r="Z1212" s="17" t="s">
        <v>592</v>
      </c>
      <c r="AA1212" s="17" t="s">
        <v>547</v>
      </c>
      <c r="AB1212" s="17" t="s">
        <v>41</v>
      </c>
      <c r="AC1212" s="0" t="str">
        <f aca="false">LEFT(G1212,2)</f>
        <v>98</v>
      </c>
      <c r="AE1212" s="21" t="s">
        <v>506</v>
      </c>
    </row>
    <row r="1213" customFormat="false" ht="15" hidden="false" customHeight="false" outlineLevel="0" collapsed="false">
      <c r="A1213" s="13" t="n">
        <f aca="false">1+A1212</f>
        <v>1211</v>
      </c>
      <c r="B1213" s="14" t="n">
        <v>1009616228</v>
      </c>
      <c r="C1213" s="17" t="s">
        <v>184</v>
      </c>
      <c r="D1213" s="16" t="s">
        <v>64</v>
      </c>
      <c r="E1213" s="17" t="s">
        <v>64</v>
      </c>
      <c r="F1213" s="18" t="s">
        <v>34</v>
      </c>
      <c r="G1213" s="19" t="n">
        <v>987230285353</v>
      </c>
      <c r="H1213" s="17" t="s">
        <v>35</v>
      </c>
      <c r="I1213" s="17" t="s">
        <v>44</v>
      </c>
      <c r="J1213" s="17" t="s">
        <v>121</v>
      </c>
      <c r="K1213" s="17" t="str">
        <f aca="false">VLOOKUP(J1213,Sheet2!A:B,2,0)</f>
        <v>SHANI GOHIL</v>
      </c>
      <c r="L1213" s="17" t="n">
        <v>2</v>
      </c>
      <c r="M1213" s="17" t="str">
        <f aca="false">VLOOKUP(L1213,Sheet2!D:E,2,0)</f>
        <v>Tuner Section</v>
      </c>
      <c r="N1213" s="17" t="n">
        <v>6</v>
      </c>
      <c r="O1213" s="17" t="str">
        <f aca="false">VLOOKUP(N1213,Sheet2!G:H,2,0)</f>
        <v>No Signal</v>
      </c>
      <c r="P1213" s="17" t="n">
        <v>11</v>
      </c>
      <c r="Q1213" s="17" t="str">
        <f aca="false">VLOOKUP(P1213,Sheet2!J:K,2,0)</f>
        <v>IR Declared due to CID -TA</v>
      </c>
      <c r="R1213" s="17" t="s">
        <v>35</v>
      </c>
      <c r="S1213" s="17" t="str">
        <f aca="false">VLOOKUP(R1213,Sheet2!N:O,2,0)</f>
        <v>IREPARABLE</v>
      </c>
      <c r="T1213" s="18" t="str">
        <f aca="false">VLOOKUP(P1213,Sheet2!Q:R,2,0)</f>
        <v>IR Normal - Track burn out</v>
      </c>
      <c r="U1213" s="18" t="s">
        <v>122</v>
      </c>
      <c r="V1213" s="17" t="n">
        <v>2</v>
      </c>
      <c r="W1213" s="20" t="str">
        <f aca="false">VLOOKUP(V1213,Sheet2!Q:R,2,0)</f>
        <v>IR CID -  Water log from other area</v>
      </c>
      <c r="X1213" s="17" t="str">
        <f aca="false">J1213</f>
        <v>A063</v>
      </c>
      <c r="Y1213" s="17" t="str">
        <f aca="false">VLOOKUP(X1213,Sheet2!A:B,2,0)</f>
        <v>SHANI GOHIL</v>
      </c>
      <c r="Z1213" s="17" t="s">
        <v>593</v>
      </c>
      <c r="AA1213" s="17" t="s">
        <v>547</v>
      </c>
      <c r="AB1213" s="17" t="s">
        <v>41</v>
      </c>
      <c r="AC1213" s="0" t="str">
        <f aca="false">LEFT(G1213,2)</f>
        <v>98</v>
      </c>
      <c r="AE1213" s="21" t="s">
        <v>506</v>
      </c>
    </row>
    <row r="1214" customFormat="false" ht="15" hidden="false" customHeight="false" outlineLevel="0" collapsed="false">
      <c r="A1214" s="13" t="n">
        <f aca="false">1+A1213</f>
        <v>1212</v>
      </c>
      <c r="B1214" s="14" t="n">
        <v>1008954621</v>
      </c>
      <c r="C1214" s="17" t="s">
        <v>594</v>
      </c>
      <c r="D1214" s="16" t="s">
        <v>158</v>
      </c>
      <c r="E1214" s="17" t="s">
        <v>33</v>
      </c>
      <c r="F1214" s="18" t="s">
        <v>34</v>
      </c>
      <c r="G1214" s="19" t="n">
        <v>986253231039</v>
      </c>
      <c r="H1214" s="17" t="s">
        <v>35</v>
      </c>
      <c r="I1214" s="17" t="s">
        <v>44</v>
      </c>
      <c r="J1214" s="17" t="s">
        <v>118</v>
      </c>
      <c r="K1214" s="17" t="str">
        <f aca="false">VLOOKUP(J1214,Sheet2!A:B,2,0)</f>
        <v>DEVENDRA RAJPUT</v>
      </c>
      <c r="L1214" s="17" t="n">
        <v>5</v>
      </c>
      <c r="M1214" s="17" t="str">
        <f aca="false">VLOOKUP(L1214,Sheet2!D:E,2,0)</f>
        <v>Main Processor CPU BGA</v>
      </c>
      <c r="N1214" s="17" t="n">
        <v>24</v>
      </c>
      <c r="O1214" s="17" t="str">
        <f aca="false">VLOOKUP(N1214,Sheet2!G:H,2,0)</f>
        <v>STB Auto moving -Stand by mode</v>
      </c>
      <c r="P1214" s="17" t="n">
        <v>12</v>
      </c>
      <c r="Q1214" s="17" t="str">
        <f aca="false">VLOOKUP(P1214,Sheet2!J:K,2,0)</f>
        <v>IR Declared due to Others ( IR Normal)TB</v>
      </c>
      <c r="R1214" s="17" t="s">
        <v>35</v>
      </c>
      <c r="S1214" s="17" t="str">
        <f aca="false">VLOOKUP(R1214,Sheet2!N:O,2,0)</f>
        <v>IREPARABLE</v>
      </c>
      <c r="T1214" s="18" t="str">
        <f aca="false">VLOOKUP(P1214,Sheet2!Q:R,2,0)</f>
        <v>IR Normal - BER to IR</v>
      </c>
      <c r="U1214" s="18" t="s">
        <v>101</v>
      </c>
      <c r="V1214" s="17" t="n">
        <v>8</v>
      </c>
      <c r="W1214" s="20" t="str">
        <f aca="false">VLOOKUP(V1214,Sheet2!Q:R,2,0)</f>
        <v>IR Normal -TrackRust/InternalDamage/open</v>
      </c>
      <c r="X1214" s="17" t="str">
        <f aca="false">J1214</f>
        <v>A053</v>
      </c>
      <c r="Y1214" s="17" t="str">
        <f aca="false">VLOOKUP(X1214,Sheet2!A:B,2,0)</f>
        <v>DEVENDRA RAJPUT</v>
      </c>
      <c r="Z1214" s="17" t="s">
        <v>595</v>
      </c>
      <c r="AA1214" s="17" t="s">
        <v>547</v>
      </c>
      <c r="AB1214" s="17" t="s">
        <v>41</v>
      </c>
      <c r="AC1214" s="0" t="str">
        <f aca="false">LEFT(G1214,2)</f>
        <v>98</v>
      </c>
      <c r="AE1214" s="21" t="s">
        <v>506</v>
      </c>
    </row>
    <row r="1215" customFormat="false" ht="15" hidden="false" customHeight="false" outlineLevel="0" collapsed="false">
      <c r="A1215" s="13" t="n">
        <f aca="false">1+A1214</f>
        <v>1213</v>
      </c>
      <c r="B1215" s="14" t="n">
        <v>1009610356</v>
      </c>
      <c r="C1215" s="15" t="s">
        <v>181</v>
      </c>
      <c r="D1215" s="16" t="s">
        <v>196</v>
      </c>
      <c r="E1215" s="17" t="s">
        <v>47</v>
      </c>
      <c r="F1215" s="18" t="s">
        <v>34</v>
      </c>
      <c r="G1215" s="19" t="n">
        <v>954110193107</v>
      </c>
      <c r="H1215" s="17" t="s">
        <v>35</v>
      </c>
      <c r="I1215" s="17" t="s">
        <v>44</v>
      </c>
      <c r="J1215" s="17" t="s">
        <v>241</v>
      </c>
      <c r="K1215" s="17" t="str">
        <f aca="false">VLOOKUP(J1215,Sheet2!A:B,2,0)</f>
        <v>NILESH NAGAR</v>
      </c>
      <c r="L1215" s="17" t="n">
        <v>5</v>
      </c>
      <c r="M1215" s="17" t="str">
        <f aca="false">VLOOKUP(L1215,Sheet2!D:E,2,0)</f>
        <v>Main Processor CPU BGA</v>
      </c>
      <c r="N1215" s="17" t="n">
        <v>1</v>
      </c>
      <c r="O1215" s="17" t="str">
        <f aca="false">VLOOKUP(N1215,Sheet2!G:H,2,0)</f>
        <v>Dead</v>
      </c>
      <c r="P1215" s="17" t="n">
        <v>11</v>
      </c>
      <c r="Q1215" s="17" t="str">
        <f aca="false">VLOOKUP(P1215,Sheet2!J:K,2,0)</f>
        <v>IR Declared due to CID -TA</v>
      </c>
      <c r="R1215" s="17" t="s">
        <v>35</v>
      </c>
      <c r="S1215" s="17" t="str">
        <f aca="false">VLOOKUP(R1215,Sheet2!N:O,2,0)</f>
        <v>IREPARABLE</v>
      </c>
      <c r="T1215" s="18" t="str">
        <f aca="false">VLOOKUP(P1215,Sheet2!Q:R,2,0)</f>
        <v>IR Normal - Track burn out</v>
      </c>
      <c r="U1215" s="18" t="s">
        <v>122</v>
      </c>
      <c r="V1215" s="17" t="n">
        <v>2</v>
      </c>
      <c r="W1215" s="20" t="str">
        <f aca="false">VLOOKUP(V1215,Sheet2!Q:R,2,0)</f>
        <v>IR CID -  Water log from other area</v>
      </c>
      <c r="X1215" s="17" t="str">
        <f aca="false">J1215</f>
        <v>A008</v>
      </c>
      <c r="Y1215" s="17" t="str">
        <f aca="false">VLOOKUP(X1215,Sheet2!A:B,2,0)</f>
        <v>NILESH NAGAR</v>
      </c>
      <c r="Z1215" s="17" t="s">
        <v>596</v>
      </c>
      <c r="AA1215" s="17" t="s">
        <v>547</v>
      </c>
      <c r="AB1215" s="17" t="s">
        <v>41</v>
      </c>
      <c r="AC1215" s="0" t="str">
        <f aca="false">LEFT(G1215,2)</f>
        <v>95</v>
      </c>
      <c r="AE1215" s="21" t="s">
        <v>506</v>
      </c>
    </row>
    <row r="1216" customFormat="false" ht="15" hidden="false" customHeight="false" outlineLevel="0" collapsed="false">
      <c r="A1216" s="13" t="n">
        <f aca="false">1+A1215</f>
        <v>1214</v>
      </c>
      <c r="B1216" s="14" t="n">
        <v>1009668050</v>
      </c>
      <c r="C1216" s="15" t="s">
        <v>436</v>
      </c>
      <c r="D1216" s="16" t="s">
        <v>190</v>
      </c>
      <c r="E1216" s="17" t="s">
        <v>33</v>
      </c>
      <c r="F1216" s="18" t="s">
        <v>34</v>
      </c>
      <c r="G1216" s="19" t="n">
        <v>955232175740</v>
      </c>
      <c r="H1216" s="17" t="s">
        <v>35</v>
      </c>
      <c r="I1216" s="17" t="s">
        <v>44</v>
      </c>
      <c r="J1216" s="17" t="s">
        <v>115</v>
      </c>
      <c r="K1216" s="17" t="str">
        <f aca="false">VLOOKUP(J1216,Sheet2!A:B,2,0)</f>
        <v>ANKIT RANA</v>
      </c>
      <c r="L1216" s="17" t="n">
        <v>1</v>
      </c>
      <c r="M1216" s="17" t="str">
        <f aca="false">VLOOKUP(L1216,Sheet2!D:E,2,0)</f>
        <v>Power Supply Section</v>
      </c>
      <c r="N1216" s="17" t="n">
        <v>1</v>
      </c>
      <c r="O1216" s="17" t="str">
        <f aca="false">VLOOKUP(N1216,Sheet2!G:H,2,0)</f>
        <v>Dead</v>
      </c>
      <c r="P1216" s="17" t="n">
        <v>12</v>
      </c>
      <c r="Q1216" s="17" t="str">
        <f aca="false">VLOOKUP(P1216,Sheet2!J:K,2,0)</f>
        <v>IR Declared due to Others ( IR Normal)TB</v>
      </c>
      <c r="R1216" s="17" t="s">
        <v>35</v>
      </c>
      <c r="S1216" s="17" t="str">
        <f aca="false">VLOOKUP(R1216,Sheet2!N:O,2,0)</f>
        <v>IREPARABLE</v>
      </c>
      <c r="T1216" s="18" t="str">
        <f aca="false">VLOOKUP(P1216,Sheet2!Q:R,2,0)</f>
        <v>IR Normal - BER to IR</v>
      </c>
      <c r="U1216" s="18" t="s">
        <v>101</v>
      </c>
      <c r="V1216" s="17" t="n">
        <v>8</v>
      </c>
      <c r="W1216" s="20" t="str">
        <f aca="false">VLOOKUP(V1216,Sheet2!Q:R,2,0)</f>
        <v>IR Normal -TrackRust/InternalDamage/open</v>
      </c>
      <c r="X1216" s="17" t="str">
        <f aca="false">J1216</f>
        <v>A042</v>
      </c>
      <c r="Y1216" s="17" t="str">
        <f aca="false">VLOOKUP(X1216,Sheet2!A:B,2,0)</f>
        <v>ANKIT RANA</v>
      </c>
      <c r="Z1216" s="17" t="s">
        <v>596</v>
      </c>
      <c r="AA1216" s="17" t="s">
        <v>547</v>
      </c>
      <c r="AB1216" s="17" t="s">
        <v>41</v>
      </c>
      <c r="AC1216" s="0" t="str">
        <f aca="false">LEFT(G1216,2)</f>
        <v>95</v>
      </c>
      <c r="AE1216" s="21" t="s">
        <v>506</v>
      </c>
    </row>
    <row r="1217" customFormat="false" ht="15" hidden="false" customHeight="false" outlineLevel="0" collapsed="false">
      <c r="A1217" s="13" t="n">
        <f aca="false">1+A1216</f>
        <v>1215</v>
      </c>
      <c r="B1217" s="14" t="n">
        <v>1009613455</v>
      </c>
      <c r="C1217" s="15" t="s">
        <v>184</v>
      </c>
      <c r="D1217" s="16" t="s">
        <v>64</v>
      </c>
      <c r="E1217" s="17" t="s">
        <v>47</v>
      </c>
      <c r="F1217" s="18" t="s">
        <v>34</v>
      </c>
      <c r="G1217" s="19" t="n">
        <v>954142137924</v>
      </c>
      <c r="H1217" s="17" t="s">
        <v>35</v>
      </c>
      <c r="I1217" s="17" t="s">
        <v>44</v>
      </c>
      <c r="J1217" s="17" t="s">
        <v>111</v>
      </c>
      <c r="K1217" s="17" t="str">
        <f aca="false">VLOOKUP(J1217,Sheet2!A:B,2,0)</f>
        <v>NITIN PRANAMI</v>
      </c>
      <c r="L1217" s="17" t="n">
        <v>1</v>
      </c>
      <c r="M1217" s="17" t="str">
        <f aca="false">VLOOKUP(L1217,Sheet2!D:E,2,0)</f>
        <v>Power Supply Section</v>
      </c>
      <c r="N1217" s="17" t="n">
        <v>1</v>
      </c>
      <c r="O1217" s="17" t="str">
        <f aca="false">VLOOKUP(N1217,Sheet2!G:H,2,0)</f>
        <v>Dead</v>
      </c>
      <c r="P1217" s="17" t="n">
        <v>11</v>
      </c>
      <c r="Q1217" s="17" t="str">
        <f aca="false">VLOOKUP(P1217,Sheet2!J:K,2,0)</f>
        <v>IR Declared due to CID -TA</v>
      </c>
      <c r="R1217" s="17" t="s">
        <v>35</v>
      </c>
      <c r="S1217" s="17" t="str">
        <f aca="false">VLOOKUP(R1217,Sheet2!N:O,2,0)</f>
        <v>IREPARABLE</v>
      </c>
      <c r="T1217" s="18" t="str">
        <f aca="false">VLOOKUP(P1217,Sheet2!Q:R,2,0)</f>
        <v>IR Normal - Track burn out</v>
      </c>
      <c r="U1217" s="18" t="s">
        <v>122</v>
      </c>
      <c r="V1217" s="17" t="n">
        <v>2</v>
      </c>
      <c r="W1217" s="20" t="str">
        <f aca="false">VLOOKUP(V1217,Sheet2!Q:R,2,0)</f>
        <v>IR CID -  Water log from other area</v>
      </c>
      <c r="X1217" s="17" t="str">
        <f aca="false">J1217</f>
        <v>A031</v>
      </c>
      <c r="Y1217" s="17" t="str">
        <f aca="false">VLOOKUP(X1217,Sheet2!A:B,2,0)</f>
        <v>NITIN PRANAMI</v>
      </c>
      <c r="Z1217" s="17" t="s">
        <v>597</v>
      </c>
      <c r="AA1217" s="17" t="s">
        <v>547</v>
      </c>
      <c r="AB1217" s="17" t="s">
        <v>41</v>
      </c>
      <c r="AC1217" s="0" t="str">
        <f aca="false">LEFT(G1217,2)</f>
        <v>95</v>
      </c>
      <c r="AE1217" s="21" t="s">
        <v>506</v>
      </c>
    </row>
    <row r="1218" customFormat="false" ht="15" hidden="false" customHeight="false" outlineLevel="0" collapsed="false">
      <c r="A1218" s="13" t="n">
        <f aca="false">1+A1217</f>
        <v>1216</v>
      </c>
      <c r="B1218" s="14" t="n">
        <v>1009412911</v>
      </c>
      <c r="C1218" s="15" t="s">
        <v>203</v>
      </c>
      <c r="D1218" s="16" t="s">
        <v>64</v>
      </c>
      <c r="E1218" s="17" t="s">
        <v>64</v>
      </c>
      <c r="F1218" s="18" t="s">
        <v>34</v>
      </c>
      <c r="G1218" s="19" t="n">
        <v>955220115179</v>
      </c>
      <c r="H1218" s="17" t="s">
        <v>35</v>
      </c>
      <c r="I1218" s="17" t="s">
        <v>44</v>
      </c>
      <c r="J1218" s="17" t="s">
        <v>289</v>
      </c>
      <c r="K1218" s="17" t="str">
        <f aca="false">VLOOKUP(J1218,Sheet2!A:B,2,0)</f>
        <v>AJAY KOSHTI</v>
      </c>
      <c r="L1218" s="17" t="n">
        <v>1</v>
      </c>
      <c r="M1218" s="17" t="str">
        <f aca="false">VLOOKUP(L1218,Sheet2!D:E,2,0)</f>
        <v>Power Supply Section</v>
      </c>
      <c r="N1218" s="17" t="n">
        <v>1</v>
      </c>
      <c r="O1218" s="17" t="str">
        <f aca="false">VLOOKUP(N1218,Sheet2!G:H,2,0)</f>
        <v>Dead</v>
      </c>
      <c r="P1218" s="17" t="n">
        <v>12</v>
      </c>
      <c r="Q1218" s="17" t="str">
        <f aca="false">VLOOKUP(P1218,Sheet2!J:K,2,0)</f>
        <v>IR Declared due to Others ( IR Normal)TB</v>
      </c>
      <c r="R1218" s="17" t="s">
        <v>35</v>
      </c>
      <c r="S1218" s="17" t="str">
        <f aca="false">VLOOKUP(R1218,Sheet2!N:O,2,0)</f>
        <v>IREPARABLE</v>
      </c>
      <c r="T1218" s="18" t="str">
        <f aca="false">VLOOKUP(P1218,Sheet2!Q:R,2,0)</f>
        <v>IR Normal - BER to IR</v>
      </c>
      <c r="U1218" s="18" t="s">
        <v>101</v>
      </c>
      <c r="V1218" s="17" t="n">
        <v>8</v>
      </c>
      <c r="W1218" s="20" t="str">
        <f aca="false">VLOOKUP(V1218,Sheet2!Q:R,2,0)</f>
        <v>IR Normal -TrackRust/InternalDamage/open</v>
      </c>
      <c r="X1218" s="17" t="str">
        <f aca="false">J1218</f>
        <v>A051</v>
      </c>
      <c r="Y1218" s="17" t="str">
        <f aca="false">VLOOKUP(X1218,Sheet2!A:B,2,0)</f>
        <v>AJAY KOSHTI</v>
      </c>
      <c r="Z1218" s="17" t="s">
        <v>226</v>
      </c>
      <c r="AA1218" s="17" t="s">
        <v>547</v>
      </c>
      <c r="AB1218" s="17" t="s">
        <v>41</v>
      </c>
      <c r="AC1218" s="0" t="str">
        <f aca="false">LEFT(G1218,2)</f>
        <v>95</v>
      </c>
      <c r="AE1218" s="21" t="s">
        <v>506</v>
      </c>
    </row>
    <row r="1219" customFormat="false" ht="15" hidden="false" customHeight="false" outlineLevel="0" collapsed="false">
      <c r="A1219" s="13" t="n">
        <f aca="false">1+A1218</f>
        <v>1217</v>
      </c>
      <c r="B1219" s="14" t="n">
        <v>10094142652</v>
      </c>
      <c r="C1219" s="15" t="s">
        <v>436</v>
      </c>
      <c r="D1219" s="16" t="s">
        <v>154</v>
      </c>
      <c r="E1219" s="17" t="s">
        <v>91</v>
      </c>
      <c r="F1219" s="18" t="s">
        <v>34</v>
      </c>
      <c r="G1219" s="19" t="n">
        <v>954199142652</v>
      </c>
      <c r="H1219" s="17" t="s">
        <v>35</v>
      </c>
      <c r="I1219" s="17" t="s">
        <v>44</v>
      </c>
      <c r="J1219" s="17" t="s">
        <v>267</v>
      </c>
      <c r="K1219" s="17" t="str">
        <f aca="false">VLOOKUP(J1219,Sheet2!A:B,2,0)</f>
        <v>HARIRAM GUPTA</v>
      </c>
      <c r="L1219" s="17" t="n">
        <v>7</v>
      </c>
      <c r="M1219" s="17" t="str">
        <f aca="false">VLOOKUP(L1219,Sheet2!D:E,2,0)</f>
        <v>Card Reader Section</v>
      </c>
      <c r="N1219" s="17" t="n">
        <v>36</v>
      </c>
      <c r="O1219" s="17" t="str">
        <f aca="false">VLOOKUP(N1219,Sheet2!G:H,2,0)</f>
        <v>Error -1</v>
      </c>
      <c r="P1219" s="17" t="n">
        <v>12</v>
      </c>
      <c r="Q1219" s="17" t="str">
        <f aca="false">VLOOKUP(P1219,Sheet2!J:K,2,0)</f>
        <v>IR Declared due to Others ( IR Normal)TB</v>
      </c>
      <c r="R1219" s="17" t="s">
        <v>35</v>
      </c>
      <c r="S1219" s="17" t="str">
        <f aca="false">VLOOKUP(R1219,Sheet2!N:O,2,0)</f>
        <v>IREPARABLE</v>
      </c>
      <c r="T1219" s="18" t="str">
        <f aca="false">VLOOKUP(P1219,Sheet2!Q:R,2,0)</f>
        <v>IR Normal - BER to IR</v>
      </c>
      <c r="U1219" s="18" t="s">
        <v>101</v>
      </c>
      <c r="V1219" s="17" t="n">
        <v>8</v>
      </c>
      <c r="W1219" s="20" t="str">
        <f aca="false">VLOOKUP(V1219,Sheet2!Q:R,2,0)</f>
        <v>IR Normal -TrackRust/InternalDamage/open</v>
      </c>
      <c r="X1219" s="17" t="str">
        <f aca="false">J1219</f>
        <v>A007</v>
      </c>
      <c r="Y1219" s="17" t="str">
        <f aca="false">VLOOKUP(X1219,Sheet2!A:B,2,0)</f>
        <v>HARIRAM GUPTA</v>
      </c>
      <c r="Z1219" s="17" t="s">
        <v>226</v>
      </c>
      <c r="AA1219" s="17" t="s">
        <v>547</v>
      </c>
      <c r="AB1219" s="17" t="s">
        <v>41</v>
      </c>
      <c r="AC1219" s="0" t="str">
        <f aca="false">LEFT(G1219,2)</f>
        <v>95</v>
      </c>
      <c r="AE1219" s="21" t="s">
        <v>506</v>
      </c>
    </row>
    <row r="1220" customFormat="false" ht="15" hidden="false" customHeight="false" outlineLevel="0" collapsed="false">
      <c r="A1220" s="13" t="n">
        <f aca="false">1+A1219</f>
        <v>1218</v>
      </c>
      <c r="B1220" s="14" t="n">
        <v>1009615554</v>
      </c>
      <c r="C1220" s="15" t="s">
        <v>184</v>
      </c>
      <c r="D1220" s="16" t="s">
        <v>64</v>
      </c>
      <c r="E1220" s="17" t="s">
        <v>64</v>
      </c>
      <c r="F1220" s="18" t="s">
        <v>34</v>
      </c>
      <c r="G1220" s="19" t="n">
        <v>943258947333</v>
      </c>
      <c r="H1220" s="17" t="s">
        <v>35</v>
      </c>
      <c r="I1220" s="17" t="s">
        <v>44</v>
      </c>
      <c r="J1220" s="17" t="s">
        <v>267</v>
      </c>
      <c r="K1220" s="17" t="str">
        <f aca="false">VLOOKUP(J1220,Sheet2!A:B,2,0)</f>
        <v>HARIRAM GUPTA</v>
      </c>
      <c r="L1220" s="17" t="n">
        <v>1</v>
      </c>
      <c r="M1220" s="17" t="str">
        <f aca="false">VLOOKUP(L1220,Sheet2!D:E,2,0)</f>
        <v>Power Supply Section</v>
      </c>
      <c r="N1220" s="17" t="n">
        <v>1</v>
      </c>
      <c r="O1220" s="17" t="str">
        <f aca="false">VLOOKUP(N1220,Sheet2!G:H,2,0)</f>
        <v>Dead</v>
      </c>
      <c r="P1220" s="17" t="n">
        <v>11</v>
      </c>
      <c r="Q1220" s="17" t="str">
        <f aca="false">VLOOKUP(P1220,Sheet2!J:K,2,0)</f>
        <v>IR Declared due to CID -TA</v>
      </c>
      <c r="R1220" s="17" t="s">
        <v>35</v>
      </c>
      <c r="S1220" s="17" t="str">
        <f aca="false">VLOOKUP(R1220,Sheet2!N:O,2,0)</f>
        <v>IREPARABLE</v>
      </c>
      <c r="T1220" s="18" t="str">
        <f aca="false">VLOOKUP(P1220,Sheet2!Q:R,2,0)</f>
        <v>IR Normal - Track burn out</v>
      </c>
      <c r="U1220" s="18" t="s">
        <v>122</v>
      </c>
      <c r="V1220" s="17" t="n">
        <v>2</v>
      </c>
      <c r="W1220" s="20" t="str">
        <f aca="false">VLOOKUP(V1220,Sheet2!Q:R,2,0)</f>
        <v>IR CID -  Water log from other area</v>
      </c>
      <c r="X1220" s="17" t="str">
        <f aca="false">J1220</f>
        <v>A007</v>
      </c>
      <c r="Y1220" s="17" t="str">
        <f aca="false">VLOOKUP(X1220,Sheet2!A:B,2,0)</f>
        <v>HARIRAM GUPTA</v>
      </c>
      <c r="Z1220" s="17" t="s">
        <v>598</v>
      </c>
      <c r="AA1220" s="17" t="s">
        <v>547</v>
      </c>
      <c r="AB1220" s="17" t="s">
        <v>41</v>
      </c>
      <c r="AC1220" s="0" t="str">
        <f aca="false">LEFT(G1220,2)</f>
        <v>94</v>
      </c>
      <c r="AE1220" s="21" t="s">
        <v>506</v>
      </c>
    </row>
    <row r="1221" customFormat="false" ht="15" hidden="false" customHeight="false" outlineLevel="0" collapsed="false">
      <c r="A1221" s="13" t="n">
        <f aca="false">1+A1220</f>
        <v>1219</v>
      </c>
      <c r="B1221" s="14" t="n">
        <v>1009673662</v>
      </c>
      <c r="C1221" s="15" t="s">
        <v>436</v>
      </c>
      <c r="D1221" s="16" t="s">
        <v>108</v>
      </c>
      <c r="E1221" s="17" t="s">
        <v>91</v>
      </c>
      <c r="F1221" s="18" t="s">
        <v>34</v>
      </c>
      <c r="G1221" s="19" t="n">
        <v>954262184862</v>
      </c>
      <c r="H1221" s="17" t="s">
        <v>35</v>
      </c>
      <c r="I1221" s="17" t="s">
        <v>44</v>
      </c>
      <c r="J1221" s="17" t="s">
        <v>241</v>
      </c>
      <c r="K1221" s="17" t="str">
        <f aca="false">VLOOKUP(J1221,Sheet2!A:B,2,0)</f>
        <v>NILESH NAGAR</v>
      </c>
      <c r="L1221" s="17" t="n">
        <v>5</v>
      </c>
      <c r="M1221" s="17" t="str">
        <f aca="false">VLOOKUP(L1221,Sheet2!D:E,2,0)</f>
        <v>Main Processor CPU BGA</v>
      </c>
      <c r="N1221" s="17" t="n">
        <v>1</v>
      </c>
      <c r="O1221" s="17" t="str">
        <f aca="false">VLOOKUP(N1221,Sheet2!G:H,2,0)</f>
        <v>Dead</v>
      </c>
      <c r="P1221" s="17" t="n">
        <v>11</v>
      </c>
      <c r="Q1221" s="17" t="str">
        <f aca="false">VLOOKUP(P1221,Sheet2!J:K,2,0)</f>
        <v>IR Declared due to CID -TA</v>
      </c>
      <c r="R1221" s="17" t="s">
        <v>35</v>
      </c>
      <c r="S1221" s="17" t="str">
        <f aca="false">VLOOKUP(R1221,Sheet2!N:O,2,0)</f>
        <v>IREPARABLE</v>
      </c>
      <c r="T1221" s="18" t="str">
        <f aca="false">VLOOKUP(P1221,Sheet2!Q:R,2,0)</f>
        <v>IR Normal - Track burn out</v>
      </c>
      <c r="U1221" s="18" t="s">
        <v>122</v>
      </c>
      <c r="V1221" s="17" t="n">
        <v>2</v>
      </c>
      <c r="W1221" s="20" t="str">
        <f aca="false">VLOOKUP(V1221,Sheet2!Q:R,2,0)</f>
        <v>IR CID -  Water log from other area</v>
      </c>
      <c r="X1221" s="17" t="str">
        <f aca="false">J1221</f>
        <v>A008</v>
      </c>
      <c r="Y1221" s="17" t="str">
        <f aca="false">VLOOKUP(X1221,Sheet2!A:B,2,0)</f>
        <v>NILESH NAGAR</v>
      </c>
      <c r="Z1221" s="17" t="s">
        <v>599</v>
      </c>
      <c r="AA1221" s="17" t="s">
        <v>547</v>
      </c>
      <c r="AB1221" s="17" t="s">
        <v>41</v>
      </c>
      <c r="AC1221" s="0" t="str">
        <f aca="false">LEFT(G1221,2)</f>
        <v>95</v>
      </c>
      <c r="AE1221" s="21" t="s">
        <v>506</v>
      </c>
    </row>
    <row r="1222" customFormat="false" ht="15" hidden="false" customHeight="false" outlineLevel="0" collapsed="false">
      <c r="A1222" s="13" t="n">
        <f aca="false">1+A1221</f>
        <v>1220</v>
      </c>
      <c r="B1222" s="14" t="n">
        <v>1009585267</v>
      </c>
      <c r="C1222" s="15" t="s">
        <v>139</v>
      </c>
      <c r="D1222" s="16" t="s">
        <v>64</v>
      </c>
      <c r="E1222" s="17" t="s">
        <v>47</v>
      </c>
      <c r="F1222" s="18" t="s">
        <v>34</v>
      </c>
      <c r="G1222" s="19" t="n">
        <v>168219156911</v>
      </c>
      <c r="H1222" s="17" t="s">
        <v>35</v>
      </c>
      <c r="I1222" s="17" t="s">
        <v>76</v>
      </c>
      <c r="J1222" s="17" t="s">
        <v>118</v>
      </c>
      <c r="K1222" s="17" t="str">
        <f aca="false">VLOOKUP(J1222,Sheet2!A:B,2,0)</f>
        <v>DEVENDRA RAJPUT</v>
      </c>
      <c r="L1222" s="17" t="n">
        <v>5</v>
      </c>
      <c r="M1222" s="17" t="str">
        <f aca="false">VLOOKUP(L1222,Sheet2!D:E,2,0)</f>
        <v>Main Processor CPU BGA</v>
      </c>
      <c r="N1222" s="17" t="n">
        <v>24</v>
      </c>
      <c r="O1222" s="17" t="str">
        <f aca="false">VLOOKUP(N1222,Sheet2!G:H,2,0)</f>
        <v>STB Auto moving -Stand by mode</v>
      </c>
      <c r="P1222" s="17" t="n">
        <v>11</v>
      </c>
      <c r="Q1222" s="17" t="str">
        <f aca="false">VLOOKUP(P1222,Sheet2!J:K,2,0)</f>
        <v>IR Declared due to CID -TA</v>
      </c>
      <c r="R1222" s="17" t="s">
        <v>35</v>
      </c>
      <c r="S1222" s="17" t="str">
        <f aca="false">VLOOKUP(R1222,Sheet2!N:O,2,0)</f>
        <v>IREPARABLE</v>
      </c>
      <c r="T1222" s="18" t="str">
        <f aca="false">VLOOKUP(P1222,Sheet2!Q:R,2,0)</f>
        <v>IR Normal - Track burn out</v>
      </c>
      <c r="U1222" s="20" t="s">
        <v>256</v>
      </c>
      <c r="V1222" s="17" t="n">
        <v>1</v>
      </c>
      <c r="W1222" s="20" t="str">
        <f aca="false">VLOOKUP(V1222,Sheet2!Q:R,2,0)</f>
        <v>IR CID -  Water log from IF port</v>
      </c>
      <c r="X1222" s="17" t="str">
        <f aca="false">J1222</f>
        <v>A053</v>
      </c>
      <c r="Y1222" s="17" t="str">
        <f aca="false">VLOOKUP(X1222,Sheet2!A:B,2,0)</f>
        <v>DEVENDRA RAJPUT</v>
      </c>
      <c r="Z1222" s="17" t="s">
        <v>306</v>
      </c>
      <c r="AA1222" s="17" t="s">
        <v>547</v>
      </c>
      <c r="AB1222" s="17" t="s">
        <v>41</v>
      </c>
      <c r="AC1222" s="0" t="str">
        <f aca="false">LEFT(G1222,2)</f>
        <v>16</v>
      </c>
      <c r="AE1222" s="21" t="s">
        <v>506</v>
      </c>
    </row>
    <row r="1223" customFormat="false" ht="15" hidden="false" customHeight="false" outlineLevel="0" collapsed="false">
      <c r="A1223" s="13" t="n">
        <f aca="false">1+A1222</f>
        <v>1221</v>
      </c>
      <c r="B1223" s="14" t="n">
        <v>1009666559</v>
      </c>
      <c r="C1223" s="15" t="s">
        <v>436</v>
      </c>
      <c r="D1223" s="16" t="s">
        <v>119</v>
      </c>
      <c r="E1223" s="17" t="s">
        <v>33</v>
      </c>
      <c r="F1223" s="18" t="s">
        <v>34</v>
      </c>
      <c r="G1223" s="19" t="n">
        <v>167317926688</v>
      </c>
      <c r="H1223" s="17" t="s">
        <v>35</v>
      </c>
      <c r="I1223" s="17" t="s">
        <v>76</v>
      </c>
      <c r="J1223" s="17" t="s">
        <v>111</v>
      </c>
      <c r="K1223" s="17" t="str">
        <f aca="false">VLOOKUP(J1223,Sheet2!A:B,2,0)</f>
        <v>NITIN PRANAMI</v>
      </c>
      <c r="L1223" s="17" t="n">
        <v>5</v>
      </c>
      <c r="M1223" s="17" t="str">
        <f aca="false">VLOOKUP(L1223,Sheet2!D:E,2,0)</f>
        <v>Main Processor CPU BGA</v>
      </c>
      <c r="N1223" s="17" t="n">
        <v>24</v>
      </c>
      <c r="O1223" s="17" t="str">
        <f aca="false">VLOOKUP(N1223,Sheet2!G:H,2,0)</f>
        <v>STB Auto moving -Stand by mode</v>
      </c>
      <c r="P1223" s="17" t="n">
        <v>12</v>
      </c>
      <c r="Q1223" s="17" t="str">
        <f aca="false">VLOOKUP(P1223,Sheet2!J:K,2,0)</f>
        <v>IR Declared due to Others ( IR Normal)TB</v>
      </c>
      <c r="R1223" s="17" t="s">
        <v>35</v>
      </c>
      <c r="S1223" s="17" t="str">
        <f aca="false">VLOOKUP(R1223,Sheet2!N:O,2,0)</f>
        <v>IREPARABLE</v>
      </c>
      <c r="T1223" s="18" t="str">
        <f aca="false">VLOOKUP(P1223,Sheet2!Q:R,2,0)</f>
        <v>IR Normal - BER to IR</v>
      </c>
      <c r="U1223" s="18" t="s">
        <v>101</v>
      </c>
      <c r="V1223" s="17" t="n">
        <v>8</v>
      </c>
      <c r="W1223" s="20" t="str">
        <f aca="false">VLOOKUP(V1223,Sheet2!Q:R,2,0)</f>
        <v>IR Normal -TrackRust/InternalDamage/open</v>
      </c>
      <c r="X1223" s="17" t="str">
        <f aca="false">J1223</f>
        <v>A031</v>
      </c>
      <c r="Y1223" s="17" t="str">
        <f aca="false">VLOOKUP(X1223,Sheet2!A:B,2,0)</f>
        <v>NITIN PRANAMI</v>
      </c>
      <c r="Z1223" s="17" t="s">
        <v>600</v>
      </c>
      <c r="AA1223" s="17" t="s">
        <v>547</v>
      </c>
      <c r="AB1223" s="17" t="s">
        <v>41</v>
      </c>
      <c r="AC1223" s="0" t="str">
        <f aca="false">LEFT(G1223,2)</f>
        <v>16</v>
      </c>
      <c r="AE1223" s="21" t="s">
        <v>506</v>
      </c>
    </row>
    <row r="1224" customFormat="false" ht="15" hidden="false" customHeight="false" outlineLevel="0" collapsed="false">
      <c r="A1224" s="13" t="n">
        <f aca="false">1+A1223</f>
        <v>1222</v>
      </c>
      <c r="B1224" s="14" t="n">
        <v>1009600358</v>
      </c>
      <c r="C1224" s="15" t="s">
        <v>159</v>
      </c>
      <c r="D1224" s="16" t="s">
        <v>64</v>
      </c>
      <c r="E1224" s="17" t="s">
        <v>64</v>
      </c>
      <c r="F1224" s="18" t="s">
        <v>34</v>
      </c>
      <c r="G1224" s="19" t="n">
        <v>168113913391</v>
      </c>
      <c r="H1224" s="17" t="s">
        <v>35</v>
      </c>
      <c r="I1224" s="17" t="s">
        <v>76</v>
      </c>
      <c r="J1224" s="17" t="s">
        <v>121</v>
      </c>
      <c r="K1224" s="17" t="str">
        <f aca="false">VLOOKUP(J1224,Sheet2!A:B,2,0)</f>
        <v>SHANI GOHIL</v>
      </c>
      <c r="L1224" s="17" t="n">
        <v>2</v>
      </c>
      <c r="M1224" s="17" t="str">
        <f aca="false">VLOOKUP(L1224,Sheet2!D:E,2,0)</f>
        <v>Tuner Section</v>
      </c>
      <c r="N1224" s="17" t="n">
        <v>6</v>
      </c>
      <c r="O1224" s="17" t="str">
        <f aca="false">VLOOKUP(N1224,Sheet2!G:H,2,0)</f>
        <v>No Signal</v>
      </c>
      <c r="P1224" s="17" t="n">
        <v>11</v>
      </c>
      <c r="Q1224" s="17" t="str">
        <f aca="false">VLOOKUP(P1224,Sheet2!J:K,2,0)</f>
        <v>IR Declared due to CID -TA</v>
      </c>
      <c r="R1224" s="17" t="s">
        <v>35</v>
      </c>
      <c r="S1224" s="17" t="str">
        <f aca="false">VLOOKUP(R1224,Sheet2!N:O,2,0)</f>
        <v>IREPARABLE</v>
      </c>
      <c r="T1224" s="18" t="str">
        <f aca="false">VLOOKUP(P1224,Sheet2!Q:R,2,0)</f>
        <v>IR Normal - Track burn out</v>
      </c>
      <c r="U1224" s="20" t="s">
        <v>256</v>
      </c>
      <c r="V1224" s="17" t="n">
        <v>1</v>
      </c>
      <c r="W1224" s="20" t="str">
        <f aca="false">VLOOKUP(V1224,Sheet2!Q:R,2,0)</f>
        <v>IR CID -  Water log from IF port</v>
      </c>
      <c r="X1224" s="17" t="str">
        <f aca="false">J1224</f>
        <v>A063</v>
      </c>
      <c r="Y1224" s="17" t="str">
        <f aca="false">VLOOKUP(X1224,Sheet2!A:B,2,0)</f>
        <v>SHANI GOHIL</v>
      </c>
      <c r="Z1224" s="17" t="s">
        <v>306</v>
      </c>
      <c r="AA1224" s="17" t="s">
        <v>547</v>
      </c>
      <c r="AB1224" s="17" t="s">
        <v>41</v>
      </c>
      <c r="AC1224" s="0" t="str">
        <f aca="false">LEFT(G1224,2)</f>
        <v>16</v>
      </c>
      <c r="AE1224" s="21" t="s">
        <v>506</v>
      </c>
    </row>
    <row r="1225" customFormat="false" ht="15" hidden="false" customHeight="false" outlineLevel="0" collapsed="false">
      <c r="A1225" s="13" t="n">
        <f aca="false">1+A1224</f>
        <v>1223</v>
      </c>
      <c r="B1225" s="14" t="n">
        <v>1009572222</v>
      </c>
      <c r="C1225" s="15" t="s">
        <v>104</v>
      </c>
      <c r="D1225" s="16" t="s">
        <v>479</v>
      </c>
      <c r="E1225" s="17" t="s">
        <v>114</v>
      </c>
      <c r="F1225" s="18" t="s">
        <v>34</v>
      </c>
      <c r="G1225" s="19" t="n">
        <v>169133163017</v>
      </c>
      <c r="H1225" s="17" t="s">
        <v>35</v>
      </c>
      <c r="I1225" s="17" t="s">
        <v>76</v>
      </c>
      <c r="J1225" s="17" t="s">
        <v>111</v>
      </c>
      <c r="K1225" s="17" t="str">
        <f aca="false">VLOOKUP(J1225,Sheet2!A:B,2,0)</f>
        <v>NITIN PRANAMI</v>
      </c>
      <c r="L1225" s="17" t="n">
        <v>5</v>
      </c>
      <c r="M1225" s="17" t="str">
        <f aca="false">VLOOKUP(L1225,Sheet2!D:E,2,0)</f>
        <v>Main Processor CPU BGA</v>
      </c>
      <c r="N1225" s="17" t="n">
        <v>24</v>
      </c>
      <c r="O1225" s="17" t="str">
        <f aca="false">VLOOKUP(N1225,Sheet2!G:H,2,0)</f>
        <v>STB Auto moving -Stand by mode</v>
      </c>
      <c r="P1225" s="17" t="n">
        <v>11</v>
      </c>
      <c r="Q1225" s="17" t="str">
        <f aca="false">VLOOKUP(P1225,Sheet2!J:K,2,0)</f>
        <v>IR Declared due to CID -TA</v>
      </c>
      <c r="R1225" s="17" t="s">
        <v>35</v>
      </c>
      <c r="S1225" s="17" t="str">
        <f aca="false">VLOOKUP(R1225,Sheet2!N:O,2,0)</f>
        <v>IREPARABLE</v>
      </c>
      <c r="T1225" s="18" t="str">
        <f aca="false">VLOOKUP(P1225,Sheet2!Q:R,2,0)</f>
        <v>IR Normal - Track burn out</v>
      </c>
      <c r="U1225" s="18" t="s">
        <v>122</v>
      </c>
      <c r="V1225" s="17" t="n">
        <v>2</v>
      </c>
      <c r="W1225" s="20" t="str">
        <f aca="false">VLOOKUP(V1225,Sheet2!Q:R,2,0)</f>
        <v>IR CID -  Water log from other area</v>
      </c>
      <c r="X1225" s="17" t="str">
        <f aca="false">J1225</f>
        <v>A031</v>
      </c>
      <c r="Y1225" s="17" t="str">
        <f aca="false">VLOOKUP(X1225,Sheet2!A:B,2,0)</f>
        <v>NITIN PRANAMI</v>
      </c>
      <c r="Z1225" s="17" t="s">
        <v>601</v>
      </c>
      <c r="AA1225" s="17" t="s">
        <v>547</v>
      </c>
      <c r="AB1225" s="17" t="s">
        <v>41</v>
      </c>
      <c r="AC1225" s="0" t="str">
        <f aca="false">LEFT(G1225,2)</f>
        <v>16</v>
      </c>
      <c r="AE1225" s="21" t="s">
        <v>506</v>
      </c>
    </row>
    <row r="1226" customFormat="false" ht="15" hidden="false" customHeight="false" outlineLevel="0" collapsed="false">
      <c r="A1226" s="13" t="n">
        <f aca="false">1+A1225</f>
        <v>1224</v>
      </c>
      <c r="B1226" s="14" t="n">
        <v>1009581479</v>
      </c>
      <c r="C1226" s="15" t="s">
        <v>139</v>
      </c>
      <c r="D1226" s="16" t="s">
        <v>190</v>
      </c>
      <c r="E1226" s="17" t="s">
        <v>64</v>
      </c>
      <c r="F1226" s="18" t="s">
        <v>34</v>
      </c>
      <c r="G1226" s="19" t="n">
        <v>169152175090</v>
      </c>
      <c r="H1226" s="17" t="s">
        <v>35</v>
      </c>
      <c r="I1226" s="17" t="s">
        <v>76</v>
      </c>
      <c r="J1226" s="17" t="s">
        <v>239</v>
      </c>
      <c r="K1226" s="17" t="str">
        <f aca="false">VLOOKUP(J1226,Sheet2!A:B,2,0)</f>
        <v>VASANT PARMAR</v>
      </c>
      <c r="L1226" s="17" t="n">
        <v>7</v>
      </c>
      <c r="M1226" s="17" t="str">
        <f aca="false">VLOOKUP(L1226,Sheet2!D:E,2,0)</f>
        <v>Card Reader Section</v>
      </c>
      <c r="N1226" s="17" t="n">
        <v>36</v>
      </c>
      <c r="O1226" s="17" t="str">
        <f aca="false">VLOOKUP(N1226,Sheet2!G:H,2,0)</f>
        <v>Error -1</v>
      </c>
      <c r="P1226" s="17" t="n">
        <v>12</v>
      </c>
      <c r="Q1226" s="17" t="str">
        <f aca="false">VLOOKUP(P1226,Sheet2!J:K,2,0)</f>
        <v>IR Declared due to Others ( IR Normal)TB</v>
      </c>
      <c r="R1226" s="17" t="s">
        <v>35</v>
      </c>
      <c r="S1226" s="17" t="str">
        <f aca="false">VLOOKUP(R1226,Sheet2!N:O,2,0)</f>
        <v>IREPARABLE</v>
      </c>
      <c r="T1226" s="18" t="str">
        <f aca="false">VLOOKUP(P1226,Sheet2!Q:R,2,0)</f>
        <v>IR Normal - BER to IR</v>
      </c>
      <c r="U1226" s="18" t="s">
        <v>101</v>
      </c>
      <c r="V1226" s="17" t="n">
        <v>8</v>
      </c>
      <c r="W1226" s="20" t="str">
        <f aca="false">VLOOKUP(V1226,Sheet2!Q:R,2,0)</f>
        <v>IR Normal -TrackRust/InternalDamage/open</v>
      </c>
      <c r="X1226" s="17" t="str">
        <f aca="false">J1226</f>
        <v>A005</v>
      </c>
      <c r="Y1226" s="17" t="str">
        <f aca="false">VLOOKUP(X1226,Sheet2!A:B,2,0)</f>
        <v>VASANT PARMAR</v>
      </c>
      <c r="Z1226" s="17" t="s">
        <v>601</v>
      </c>
      <c r="AA1226" s="17" t="s">
        <v>547</v>
      </c>
      <c r="AB1226" s="17" t="s">
        <v>41</v>
      </c>
      <c r="AC1226" s="0" t="str">
        <f aca="false">LEFT(G1226,2)</f>
        <v>16</v>
      </c>
      <c r="AE1226" s="21" t="s">
        <v>506</v>
      </c>
    </row>
    <row r="1227" customFormat="false" ht="15" hidden="false" customHeight="false" outlineLevel="0" collapsed="false">
      <c r="A1227" s="13" t="n">
        <f aca="false">1+A1226</f>
        <v>1225</v>
      </c>
      <c r="B1227" s="14" t="n">
        <v>1009663313</v>
      </c>
      <c r="C1227" s="15" t="s">
        <v>433</v>
      </c>
      <c r="D1227" s="16" t="s">
        <v>78</v>
      </c>
      <c r="E1227" s="17" t="s">
        <v>91</v>
      </c>
      <c r="F1227" s="18" t="s">
        <v>34</v>
      </c>
      <c r="G1227" s="19" t="n">
        <v>167191953964</v>
      </c>
      <c r="H1227" s="17" t="s">
        <v>35</v>
      </c>
      <c r="I1227" s="17" t="s">
        <v>76</v>
      </c>
      <c r="J1227" s="17" t="s">
        <v>118</v>
      </c>
      <c r="K1227" s="17" t="str">
        <f aca="false">VLOOKUP(J1227,Sheet2!A:B,2,0)</f>
        <v>DEVENDRA RAJPUT</v>
      </c>
      <c r="L1227" s="17" t="n">
        <v>5</v>
      </c>
      <c r="M1227" s="17" t="str">
        <f aca="false">VLOOKUP(L1227,Sheet2!D:E,2,0)</f>
        <v>Main Processor CPU BGA</v>
      </c>
      <c r="N1227" s="17" t="n">
        <v>24</v>
      </c>
      <c r="O1227" s="17" t="str">
        <f aca="false">VLOOKUP(N1227,Sheet2!G:H,2,0)</f>
        <v>STB Auto moving -Stand by mode</v>
      </c>
      <c r="P1227" s="17" t="n">
        <v>12</v>
      </c>
      <c r="Q1227" s="17" t="str">
        <f aca="false">VLOOKUP(P1227,Sheet2!J:K,2,0)</f>
        <v>IR Declared due to Others ( IR Normal)TB</v>
      </c>
      <c r="R1227" s="17" t="s">
        <v>35</v>
      </c>
      <c r="S1227" s="17" t="str">
        <f aca="false">VLOOKUP(R1227,Sheet2!N:O,2,0)</f>
        <v>IREPARABLE</v>
      </c>
      <c r="T1227" s="18" t="str">
        <f aca="false">VLOOKUP(P1227,Sheet2!Q:R,2,0)</f>
        <v>IR Normal - BER to IR</v>
      </c>
      <c r="U1227" s="18" t="s">
        <v>101</v>
      </c>
      <c r="V1227" s="17" t="n">
        <v>8</v>
      </c>
      <c r="W1227" s="20" t="str">
        <f aca="false">VLOOKUP(V1227,Sheet2!Q:R,2,0)</f>
        <v>IR Normal -TrackRust/InternalDamage/open</v>
      </c>
      <c r="X1227" s="17" t="str">
        <f aca="false">J1227</f>
        <v>A053</v>
      </c>
      <c r="Y1227" s="17" t="str">
        <f aca="false">VLOOKUP(X1227,Sheet2!A:B,2,0)</f>
        <v>DEVENDRA RAJPUT</v>
      </c>
      <c r="Z1227" s="17" t="s">
        <v>362</v>
      </c>
      <c r="AA1227" s="17" t="s">
        <v>547</v>
      </c>
      <c r="AB1227" s="17" t="s">
        <v>41</v>
      </c>
      <c r="AC1227" s="0" t="str">
        <f aca="false">LEFT(G1227,2)</f>
        <v>16</v>
      </c>
      <c r="AE1227" s="21" t="s">
        <v>506</v>
      </c>
    </row>
    <row r="1228" customFormat="false" ht="15" hidden="false" customHeight="false" outlineLevel="0" collapsed="false">
      <c r="A1228" s="13" t="n">
        <f aca="false">1+A1227</f>
        <v>1226</v>
      </c>
      <c r="B1228" s="14" t="n">
        <v>1009608051</v>
      </c>
      <c r="C1228" s="15" t="s">
        <v>181</v>
      </c>
      <c r="D1228" s="16" t="s">
        <v>64</v>
      </c>
      <c r="E1228" s="17" t="s">
        <v>64</v>
      </c>
      <c r="F1228" s="18" t="s">
        <v>34</v>
      </c>
      <c r="G1228" s="19" t="n">
        <v>168151927584</v>
      </c>
      <c r="H1228" s="17" t="s">
        <v>35</v>
      </c>
      <c r="I1228" s="17" t="s">
        <v>76</v>
      </c>
      <c r="J1228" s="17" t="s">
        <v>289</v>
      </c>
      <c r="K1228" s="17" t="str">
        <f aca="false">VLOOKUP(J1228,Sheet2!A:B,2,0)</f>
        <v>AJAY KOSHTI</v>
      </c>
      <c r="L1228" s="17" t="n">
        <v>2</v>
      </c>
      <c r="M1228" s="17" t="str">
        <f aca="false">VLOOKUP(L1228,Sheet2!D:E,2,0)</f>
        <v>Tuner Section</v>
      </c>
      <c r="N1228" s="17" t="n">
        <v>6</v>
      </c>
      <c r="O1228" s="17" t="str">
        <f aca="false">VLOOKUP(N1228,Sheet2!G:H,2,0)</f>
        <v>No Signal</v>
      </c>
      <c r="P1228" s="17" t="n">
        <v>11</v>
      </c>
      <c r="Q1228" s="17" t="str">
        <f aca="false">VLOOKUP(P1228,Sheet2!J:K,2,0)</f>
        <v>IR Declared due to CID -TA</v>
      </c>
      <c r="R1228" s="17" t="s">
        <v>35</v>
      </c>
      <c r="S1228" s="17" t="str">
        <f aca="false">VLOOKUP(R1228,Sheet2!N:O,2,0)</f>
        <v>IREPARABLE</v>
      </c>
      <c r="T1228" s="18" t="str">
        <f aca="false">VLOOKUP(P1228,Sheet2!Q:R,2,0)</f>
        <v>IR Normal - Track burn out</v>
      </c>
      <c r="U1228" s="18" t="s">
        <v>122</v>
      </c>
      <c r="V1228" s="17" t="n">
        <v>2</v>
      </c>
      <c r="W1228" s="20" t="str">
        <f aca="false">VLOOKUP(V1228,Sheet2!Q:R,2,0)</f>
        <v>IR CID -  Water log from other area</v>
      </c>
      <c r="X1228" s="17" t="str">
        <f aca="false">J1228</f>
        <v>A051</v>
      </c>
      <c r="Y1228" s="17" t="str">
        <f aca="false">VLOOKUP(X1228,Sheet2!A:B,2,0)</f>
        <v>AJAY KOSHTI</v>
      </c>
      <c r="Z1228" s="17" t="s">
        <v>302</v>
      </c>
      <c r="AA1228" s="17" t="s">
        <v>547</v>
      </c>
      <c r="AB1228" s="17" t="s">
        <v>41</v>
      </c>
      <c r="AC1228" s="0" t="str">
        <f aca="false">LEFT(G1228,2)</f>
        <v>16</v>
      </c>
      <c r="AE1228" s="21" t="s">
        <v>506</v>
      </c>
    </row>
    <row r="1229" customFormat="false" ht="15" hidden="false" customHeight="false" outlineLevel="0" collapsed="false">
      <c r="A1229" s="13" t="n">
        <f aca="false">1+A1228</f>
        <v>1227</v>
      </c>
      <c r="B1229" s="14" t="n">
        <v>1009600270</v>
      </c>
      <c r="C1229" s="15" t="s">
        <v>159</v>
      </c>
      <c r="D1229" s="16" t="s">
        <v>64</v>
      </c>
      <c r="E1229" s="17" t="s">
        <v>91</v>
      </c>
      <c r="F1229" s="18" t="s">
        <v>34</v>
      </c>
      <c r="G1229" s="19" t="n">
        <v>167201959415</v>
      </c>
      <c r="H1229" s="17" t="s">
        <v>35</v>
      </c>
      <c r="I1229" s="17" t="s">
        <v>76</v>
      </c>
      <c r="J1229" s="17" t="s">
        <v>241</v>
      </c>
      <c r="K1229" s="17" t="str">
        <f aca="false">VLOOKUP(J1229,Sheet2!A:B,2,0)</f>
        <v>NILESH NAGAR</v>
      </c>
      <c r="L1229" s="17" t="n">
        <v>5</v>
      </c>
      <c r="M1229" s="17" t="str">
        <f aca="false">VLOOKUP(L1229,Sheet2!D:E,2,0)</f>
        <v>Main Processor CPU BGA</v>
      </c>
      <c r="N1229" s="17" t="n">
        <v>1</v>
      </c>
      <c r="O1229" s="17" t="str">
        <f aca="false">VLOOKUP(N1229,Sheet2!G:H,2,0)</f>
        <v>Dead</v>
      </c>
      <c r="P1229" s="17" t="n">
        <v>11</v>
      </c>
      <c r="Q1229" s="17" t="str">
        <f aca="false">VLOOKUP(P1229,Sheet2!J:K,2,0)</f>
        <v>IR Declared due to CID -TA</v>
      </c>
      <c r="R1229" s="17" t="s">
        <v>35</v>
      </c>
      <c r="S1229" s="17" t="str">
        <f aca="false">VLOOKUP(R1229,Sheet2!N:O,2,0)</f>
        <v>IREPARABLE</v>
      </c>
      <c r="T1229" s="18" t="str">
        <f aca="false">VLOOKUP(P1229,Sheet2!Q:R,2,0)</f>
        <v>IR Normal - Track burn out</v>
      </c>
      <c r="U1229" s="18" t="s">
        <v>122</v>
      </c>
      <c r="V1229" s="17" t="n">
        <v>2</v>
      </c>
      <c r="W1229" s="20" t="str">
        <f aca="false">VLOOKUP(V1229,Sheet2!Q:R,2,0)</f>
        <v>IR CID -  Water log from other area</v>
      </c>
      <c r="X1229" s="17" t="str">
        <f aca="false">J1229</f>
        <v>A008</v>
      </c>
      <c r="Y1229" s="17" t="str">
        <f aca="false">VLOOKUP(X1229,Sheet2!A:B,2,0)</f>
        <v>NILESH NAGAR</v>
      </c>
      <c r="Z1229" s="17" t="s">
        <v>602</v>
      </c>
      <c r="AA1229" s="17" t="s">
        <v>547</v>
      </c>
      <c r="AB1229" s="17" t="s">
        <v>41</v>
      </c>
      <c r="AC1229" s="0" t="str">
        <f aca="false">LEFT(G1229,2)</f>
        <v>16</v>
      </c>
      <c r="AE1229" s="21" t="s">
        <v>506</v>
      </c>
    </row>
    <row r="1230" customFormat="false" ht="15" hidden="false" customHeight="false" outlineLevel="0" collapsed="false">
      <c r="A1230" s="13" t="n">
        <f aca="false">1+A1229</f>
        <v>1228</v>
      </c>
      <c r="B1230" s="14" t="n">
        <v>1009665760</v>
      </c>
      <c r="C1230" s="15" t="s">
        <v>436</v>
      </c>
      <c r="D1230" s="16" t="s">
        <v>108</v>
      </c>
      <c r="E1230" s="17" t="s">
        <v>91</v>
      </c>
      <c r="F1230" s="18" t="s">
        <v>34</v>
      </c>
      <c r="G1230" s="19" t="n">
        <v>167194933567</v>
      </c>
      <c r="H1230" s="17" t="s">
        <v>35</v>
      </c>
      <c r="I1230" s="17" t="s">
        <v>76</v>
      </c>
      <c r="J1230" s="17" t="s">
        <v>118</v>
      </c>
      <c r="K1230" s="17" t="str">
        <f aca="false">VLOOKUP(J1230,Sheet2!A:B,2,0)</f>
        <v>DEVENDRA RAJPUT</v>
      </c>
      <c r="L1230" s="17" t="n">
        <v>5</v>
      </c>
      <c r="M1230" s="17" t="str">
        <f aca="false">VLOOKUP(L1230,Sheet2!D:E,2,0)</f>
        <v>Main Processor CPU BGA</v>
      </c>
      <c r="N1230" s="17" t="n">
        <v>24</v>
      </c>
      <c r="O1230" s="17" t="str">
        <f aca="false">VLOOKUP(N1230,Sheet2!G:H,2,0)</f>
        <v>STB Auto moving -Stand by mode</v>
      </c>
      <c r="P1230" s="17" t="n">
        <v>12</v>
      </c>
      <c r="Q1230" s="17" t="str">
        <f aca="false">VLOOKUP(P1230,Sheet2!J:K,2,0)</f>
        <v>IR Declared due to Others ( IR Normal)TB</v>
      </c>
      <c r="R1230" s="17" t="s">
        <v>35</v>
      </c>
      <c r="S1230" s="17" t="str">
        <f aca="false">VLOOKUP(R1230,Sheet2!N:O,2,0)</f>
        <v>IREPARABLE</v>
      </c>
      <c r="T1230" s="18" t="str">
        <f aca="false">VLOOKUP(P1230,Sheet2!Q:R,2,0)</f>
        <v>IR Normal - BER to IR</v>
      </c>
      <c r="U1230" s="18" t="s">
        <v>101</v>
      </c>
      <c r="V1230" s="17" t="n">
        <v>8</v>
      </c>
      <c r="W1230" s="20" t="str">
        <f aca="false">VLOOKUP(V1230,Sheet2!Q:R,2,0)</f>
        <v>IR Normal -TrackRust/InternalDamage/open</v>
      </c>
      <c r="X1230" s="17" t="str">
        <f aca="false">J1230</f>
        <v>A053</v>
      </c>
      <c r="Y1230" s="17" t="str">
        <f aca="false">VLOOKUP(X1230,Sheet2!A:B,2,0)</f>
        <v>DEVENDRA RAJPUT</v>
      </c>
      <c r="Z1230" s="17" t="s">
        <v>362</v>
      </c>
      <c r="AA1230" s="17" t="s">
        <v>547</v>
      </c>
      <c r="AB1230" s="17" t="s">
        <v>41</v>
      </c>
      <c r="AC1230" s="0" t="str">
        <f aca="false">LEFT(G1230,2)</f>
        <v>16</v>
      </c>
      <c r="AE1230" s="21" t="s">
        <v>506</v>
      </c>
    </row>
    <row r="1231" customFormat="false" ht="15" hidden="false" customHeight="false" outlineLevel="0" collapsed="false">
      <c r="A1231" s="13" t="n">
        <f aca="false">1+A1230</f>
        <v>1229</v>
      </c>
      <c r="B1231" s="14" t="n">
        <v>1009606502</v>
      </c>
      <c r="C1231" s="15" t="s">
        <v>181</v>
      </c>
      <c r="D1231" s="16" t="s">
        <v>119</v>
      </c>
      <c r="E1231" s="17" t="s">
        <v>47</v>
      </c>
      <c r="F1231" s="18" t="s">
        <v>34</v>
      </c>
      <c r="G1231" s="19" t="n">
        <v>774345364749</v>
      </c>
      <c r="H1231" s="17" t="s">
        <v>35</v>
      </c>
      <c r="I1231" s="17" t="s">
        <v>69</v>
      </c>
      <c r="J1231" s="17" t="s">
        <v>111</v>
      </c>
      <c r="K1231" s="17" t="str">
        <f aca="false">VLOOKUP(J1231,Sheet2!A:B,2,0)</f>
        <v>NITIN PRANAMI</v>
      </c>
      <c r="L1231" s="17" t="n">
        <v>1</v>
      </c>
      <c r="M1231" s="17" t="str">
        <f aca="false">VLOOKUP(L1231,Sheet2!D:E,2,0)</f>
        <v>Power Supply Section</v>
      </c>
      <c r="N1231" s="17" t="n">
        <v>1</v>
      </c>
      <c r="O1231" s="17" t="str">
        <f aca="false">VLOOKUP(N1231,Sheet2!G:H,2,0)</f>
        <v>Dead</v>
      </c>
      <c r="P1231" s="17" t="n">
        <v>11</v>
      </c>
      <c r="Q1231" s="17" t="str">
        <f aca="false">VLOOKUP(P1231,Sheet2!J:K,2,0)</f>
        <v>IR Declared due to CID -TA</v>
      </c>
      <c r="R1231" s="17" t="s">
        <v>35</v>
      </c>
      <c r="S1231" s="17" t="str">
        <f aca="false">VLOOKUP(R1231,Sheet2!N:O,2,0)</f>
        <v>IREPARABLE</v>
      </c>
      <c r="T1231" s="18" t="str">
        <f aca="false">VLOOKUP(P1231,Sheet2!Q:R,2,0)</f>
        <v>IR Normal - Track burn out</v>
      </c>
      <c r="U1231" s="18" t="s">
        <v>122</v>
      </c>
      <c r="V1231" s="17" t="n">
        <v>2</v>
      </c>
      <c r="W1231" s="20" t="str">
        <f aca="false">VLOOKUP(V1231,Sheet2!Q:R,2,0)</f>
        <v>IR CID -  Water log from other area</v>
      </c>
      <c r="X1231" s="17" t="str">
        <f aca="false">J1231</f>
        <v>A031</v>
      </c>
      <c r="Y1231" s="17" t="str">
        <f aca="false">VLOOKUP(X1231,Sheet2!A:B,2,0)</f>
        <v>NITIN PRANAMI</v>
      </c>
      <c r="Z1231" s="17" t="s">
        <v>288</v>
      </c>
      <c r="AA1231" s="17" t="s">
        <v>547</v>
      </c>
      <c r="AB1231" s="17" t="s">
        <v>41</v>
      </c>
      <c r="AC1231" s="0" t="str">
        <f aca="false">LEFT(G1231,2)</f>
        <v>77</v>
      </c>
      <c r="AE1231" s="21" t="s">
        <v>506</v>
      </c>
    </row>
    <row r="1232" customFormat="false" ht="15" hidden="false" customHeight="false" outlineLevel="0" collapsed="false">
      <c r="A1232" s="13" t="n">
        <f aca="false">1+A1231</f>
        <v>1230</v>
      </c>
      <c r="B1232" s="14" t="n">
        <v>1009662351</v>
      </c>
      <c r="C1232" s="15" t="s">
        <v>433</v>
      </c>
      <c r="D1232" s="16" t="s">
        <v>78</v>
      </c>
      <c r="E1232" s="17" t="s">
        <v>47</v>
      </c>
      <c r="F1232" s="18" t="s">
        <v>34</v>
      </c>
      <c r="G1232" s="19" t="n">
        <v>774345381396</v>
      </c>
      <c r="H1232" s="17" t="s">
        <v>35</v>
      </c>
      <c r="I1232" s="17" t="s">
        <v>69</v>
      </c>
      <c r="J1232" s="17" t="s">
        <v>241</v>
      </c>
      <c r="K1232" s="17" t="str">
        <f aca="false">VLOOKUP(J1232,Sheet2!A:B,2,0)</f>
        <v>NILESH NAGAR</v>
      </c>
      <c r="L1232" s="17" t="n">
        <v>5</v>
      </c>
      <c r="M1232" s="17" t="str">
        <f aca="false">VLOOKUP(L1232,Sheet2!D:E,2,0)</f>
        <v>Main Processor CPU BGA</v>
      </c>
      <c r="N1232" s="17" t="n">
        <v>6</v>
      </c>
      <c r="O1232" s="17" t="str">
        <f aca="false">VLOOKUP(N1232,Sheet2!G:H,2,0)</f>
        <v>No Signal</v>
      </c>
      <c r="P1232" s="17" t="n">
        <v>12</v>
      </c>
      <c r="Q1232" s="17" t="str">
        <f aca="false">VLOOKUP(P1232,Sheet2!J:K,2,0)</f>
        <v>IR Declared due to Others ( IR Normal)TB</v>
      </c>
      <c r="R1232" s="17" t="s">
        <v>35</v>
      </c>
      <c r="S1232" s="17" t="str">
        <f aca="false">VLOOKUP(R1232,Sheet2!N:O,2,0)</f>
        <v>IREPARABLE</v>
      </c>
      <c r="T1232" s="18" t="str">
        <f aca="false">VLOOKUP(P1232,Sheet2!Q:R,2,0)</f>
        <v>IR Normal - BER to IR</v>
      </c>
      <c r="U1232" s="15" t="s">
        <v>38</v>
      </c>
      <c r="V1232" s="17" t="n">
        <v>11</v>
      </c>
      <c r="W1232" s="20" t="str">
        <f aca="false">VLOOKUP(V1232,Sheet2!Q:R,2,0)</f>
        <v>IR Normal - Track burn out</v>
      </c>
      <c r="X1232" s="17" t="str">
        <f aca="false">J1232</f>
        <v>A008</v>
      </c>
      <c r="Y1232" s="17" t="str">
        <f aca="false">VLOOKUP(X1232,Sheet2!A:B,2,0)</f>
        <v>NILESH NAGAR</v>
      </c>
      <c r="Z1232" s="17" t="s">
        <v>130</v>
      </c>
      <c r="AA1232" s="17" t="s">
        <v>547</v>
      </c>
      <c r="AB1232" s="17" t="s">
        <v>41</v>
      </c>
      <c r="AC1232" s="0" t="str">
        <f aca="false">LEFT(G1232,2)</f>
        <v>77</v>
      </c>
      <c r="AE1232" s="21" t="s">
        <v>506</v>
      </c>
    </row>
    <row r="1233" customFormat="false" ht="15" hidden="false" customHeight="false" outlineLevel="0" collapsed="false">
      <c r="A1233" s="13" t="n">
        <f aca="false">1+A1232</f>
        <v>1231</v>
      </c>
      <c r="B1233" s="14" t="n">
        <v>1009668345</v>
      </c>
      <c r="C1233" s="15" t="s">
        <v>436</v>
      </c>
      <c r="D1233" s="16" t="s">
        <v>143</v>
      </c>
      <c r="E1233" s="17" t="s">
        <v>47</v>
      </c>
      <c r="F1233" s="18" t="s">
        <v>34</v>
      </c>
      <c r="G1233" s="19" t="n">
        <v>775342213912</v>
      </c>
      <c r="H1233" s="17" t="s">
        <v>35</v>
      </c>
      <c r="I1233" s="17" t="s">
        <v>69</v>
      </c>
      <c r="J1233" s="17" t="s">
        <v>100</v>
      </c>
      <c r="K1233" s="17" t="str">
        <f aca="false">VLOOKUP(J1233,Sheet2!A:B,2,0)</f>
        <v>PIYUSH CHAVDA</v>
      </c>
      <c r="L1233" s="17" t="n">
        <v>1</v>
      </c>
      <c r="M1233" s="17" t="str">
        <f aca="false">VLOOKUP(L1233,Sheet2!D:E,2,0)</f>
        <v>Power Supply Section</v>
      </c>
      <c r="N1233" s="17" t="n">
        <v>1</v>
      </c>
      <c r="O1233" s="17" t="str">
        <f aca="false">VLOOKUP(N1233,Sheet2!G:H,2,0)</f>
        <v>Dead</v>
      </c>
      <c r="P1233" s="17" t="n">
        <v>12</v>
      </c>
      <c r="Q1233" s="17" t="str">
        <f aca="false">VLOOKUP(P1233,Sheet2!J:K,2,0)</f>
        <v>IR Declared due to Others ( IR Normal)TB</v>
      </c>
      <c r="R1233" s="17" t="s">
        <v>35</v>
      </c>
      <c r="S1233" s="17" t="str">
        <f aca="false">VLOOKUP(R1233,Sheet2!N:O,2,0)</f>
        <v>IREPARABLE</v>
      </c>
      <c r="T1233" s="18" t="str">
        <f aca="false">VLOOKUP(P1233,Sheet2!Q:R,2,0)</f>
        <v>IR Normal - BER to IR</v>
      </c>
      <c r="U1233" s="18" t="s">
        <v>101</v>
      </c>
      <c r="V1233" s="17" t="n">
        <v>8</v>
      </c>
      <c r="W1233" s="20" t="str">
        <f aca="false">VLOOKUP(V1233,Sheet2!Q:R,2,0)</f>
        <v>IR Normal -TrackRust/InternalDamage/open</v>
      </c>
      <c r="X1233" s="17" t="str">
        <f aca="false">J1233</f>
        <v>A050</v>
      </c>
      <c r="Y1233" s="17" t="str">
        <f aca="false">VLOOKUP(X1233,Sheet2!A:B,2,0)</f>
        <v>PIYUSH CHAVDA</v>
      </c>
      <c r="Z1233" s="17" t="s">
        <v>130</v>
      </c>
      <c r="AA1233" s="17" t="s">
        <v>547</v>
      </c>
      <c r="AB1233" s="17" t="s">
        <v>41</v>
      </c>
      <c r="AC1233" s="0" t="str">
        <f aca="false">LEFT(G1233,2)</f>
        <v>77</v>
      </c>
      <c r="AE1233" s="21" t="s">
        <v>506</v>
      </c>
    </row>
    <row r="1234" customFormat="false" ht="15" hidden="false" customHeight="false" outlineLevel="0" collapsed="false">
      <c r="A1234" s="13" t="n">
        <f aca="false">1+A1233</f>
        <v>1232</v>
      </c>
      <c r="B1234" s="14" t="n">
        <v>1009606152</v>
      </c>
      <c r="C1234" s="15" t="s">
        <v>181</v>
      </c>
      <c r="D1234" s="16" t="s">
        <v>64</v>
      </c>
      <c r="E1234" s="17" t="s">
        <v>64</v>
      </c>
      <c r="F1234" s="18" t="s">
        <v>34</v>
      </c>
      <c r="G1234" s="19" t="n">
        <v>775240039872</v>
      </c>
      <c r="H1234" s="17" t="s">
        <v>35</v>
      </c>
      <c r="I1234" s="17" t="s">
        <v>69</v>
      </c>
      <c r="J1234" s="17" t="s">
        <v>239</v>
      </c>
      <c r="K1234" s="17" t="str">
        <f aca="false">VLOOKUP(J1234,Sheet2!A:B,2,0)</f>
        <v>VASANT PARMAR</v>
      </c>
      <c r="L1234" s="17" t="n">
        <v>5</v>
      </c>
      <c r="M1234" s="17" t="str">
        <f aca="false">VLOOKUP(L1234,Sheet2!D:E,2,0)</f>
        <v>Main Processor CPU BGA</v>
      </c>
      <c r="N1234" s="17" t="n">
        <v>1</v>
      </c>
      <c r="O1234" s="17" t="str">
        <f aca="false">VLOOKUP(N1234,Sheet2!G:H,2,0)</f>
        <v>Dead</v>
      </c>
      <c r="P1234" s="17" t="n">
        <v>11</v>
      </c>
      <c r="Q1234" s="17" t="str">
        <f aca="false">VLOOKUP(P1234,Sheet2!J:K,2,0)</f>
        <v>IR Declared due to CID -TA</v>
      </c>
      <c r="R1234" s="17" t="s">
        <v>35</v>
      </c>
      <c r="S1234" s="17" t="str">
        <f aca="false">VLOOKUP(R1234,Sheet2!N:O,2,0)</f>
        <v>IREPARABLE</v>
      </c>
      <c r="T1234" s="18" t="str">
        <f aca="false">VLOOKUP(P1234,Sheet2!Q:R,2,0)</f>
        <v>IR Normal - Track burn out</v>
      </c>
      <c r="U1234" s="18" t="s">
        <v>122</v>
      </c>
      <c r="V1234" s="17" t="n">
        <v>2</v>
      </c>
      <c r="W1234" s="20" t="str">
        <f aca="false">VLOOKUP(V1234,Sheet2!Q:R,2,0)</f>
        <v>IR CID -  Water log from other area</v>
      </c>
      <c r="X1234" s="17" t="str">
        <f aca="false">J1234</f>
        <v>A005</v>
      </c>
      <c r="Y1234" s="17" t="str">
        <f aca="false">VLOOKUP(X1234,Sheet2!A:B,2,0)</f>
        <v>VASANT PARMAR</v>
      </c>
      <c r="Z1234" s="17" t="s">
        <v>603</v>
      </c>
      <c r="AA1234" s="17" t="s">
        <v>547</v>
      </c>
      <c r="AB1234" s="17" t="s">
        <v>41</v>
      </c>
      <c r="AC1234" s="0" t="str">
        <f aca="false">LEFT(G1234,2)</f>
        <v>77</v>
      </c>
      <c r="AE1234" s="21" t="s">
        <v>506</v>
      </c>
    </row>
    <row r="1235" customFormat="false" ht="15" hidden="false" customHeight="false" outlineLevel="0" collapsed="false">
      <c r="A1235" s="13" t="n">
        <f aca="false">1+A1234</f>
        <v>1233</v>
      </c>
      <c r="B1235" s="14" t="n">
        <v>1009624306</v>
      </c>
      <c r="C1235" s="15" t="s">
        <v>163</v>
      </c>
      <c r="D1235" s="16" t="s">
        <v>64</v>
      </c>
      <c r="E1235" s="17" t="s">
        <v>64</v>
      </c>
      <c r="F1235" s="18" t="s">
        <v>34</v>
      </c>
      <c r="G1235" s="19" t="n">
        <v>429245187233</v>
      </c>
      <c r="H1235" s="17" t="s">
        <v>35</v>
      </c>
      <c r="I1235" s="17" t="s">
        <v>82</v>
      </c>
      <c r="J1235" s="17" t="s">
        <v>239</v>
      </c>
      <c r="K1235" s="17" t="str">
        <f aca="false">VLOOKUP(J1235,Sheet2!A:B,2,0)</f>
        <v>VASANT PARMAR</v>
      </c>
      <c r="L1235" s="17" t="n">
        <v>2</v>
      </c>
      <c r="M1235" s="17" t="str">
        <f aca="false">VLOOKUP(L1235,Sheet2!D:E,2,0)</f>
        <v>Tuner Section</v>
      </c>
      <c r="N1235" s="17" t="n">
        <v>6</v>
      </c>
      <c r="O1235" s="17" t="str">
        <f aca="false">VLOOKUP(N1235,Sheet2!G:H,2,0)</f>
        <v>No Signal</v>
      </c>
      <c r="P1235" s="17" t="n">
        <v>11</v>
      </c>
      <c r="Q1235" s="17" t="str">
        <f aca="false">VLOOKUP(P1235,Sheet2!J:K,2,0)</f>
        <v>IR Declared due to CID -TA</v>
      </c>
      <c r="R1235" s="17" t="s">
        <v>35</v>
      </c>
      <c r="S1235" s="17" t="str">
        <f aca="false">VLOOKUP(R1235,Sheet2!N:O,2,0)</f>
        <v>IREPARABLE</v>
      </c>
      <c r="T1235" s="18" t="str">
        <f aca="false">VLOOKUP(P1235,Sheet2!Q:R,2,0)</f>
        <v>IR Normal - Track burn out</v>
      </c>
      <c r="U1235" s="20" t="s">
        <v>256</v>
      </c>
      <c r="V1235" s="17" t="n">
        <v>1</v>
      </c>
      <c r="W1235" s="20" t="str">
        <f aca="false">VLOOKUP(V1235,Sheet2!Q:R,2,0)</f>
        <v>IR CID -  Water log from IF port</v>
      </c>
      <c r="X1235" s="17" t="str">
        <f aca="false">J1235</f>
        <v>A005</v>
      </c>
      <c r="Y1235" s="17" t="str">
        <f aca="false">VLOOKUP(X1235,Sheet2!A:B,2,0)</f>
        <v>VASANT PARMAR</v>
      </c>
      <c r="Z1235" s="17" t="s">
        <v>303</v>
      </c>
      <c r="AA1235" s="17" t="s">
        <v>547</v>
      </c>
      <c r="AB1235" s="17" t="s">
        <v>41</v>
      </c>
      <c r="AC1235" s="0" t="str">
        <f aca="false">LEFT(G1235,2)</f>
        <v>42</v>
      </c>
      <c r="AE1235" s="21" t="s">
        <v>506</v>
      </c>
    </row>
    <row r="1236" customFormat="false" ht="15" hidden="false" customHeight="false" outlineLevel="0" collapsed="false">
      <c r="A1236" s="13" t="n">
        <f aca="false">1+A1235</f>
        <v>1234</v>
      </c>
      <c r="B1236" s="14" t="n">
        <v>1009636149</v>
      </c>
      <c r="C1236" s="15" t="s">
        <v>182</v>
      </c>
      <c r="D1236" s="16" t="s">
        <v>64</v>
      </c>
      <c r="E1236" s="17" t="s">
        <v>64</v>
      </c>
      <c r="F1236" s="18" t="s">
        <v>34</v>
      </c>
      <c r="G1236" s="19" t="n">
        <v>420268352952</v>
      </c>
      <c r="H1236" s="17" t="s">
        <v>35</v>
      </c>
      <c r="I1236" s="17" t="s">
        <v>82</v>
      </c>
      <c r="J1236" s="17" t="s">
        <v>239</v>
      </c>
      <c r="K1236" s="17" t="str">
        <f aca="false">VLOOKUP(J1236,Sheet2!A:B,2,0)</f>
        <v>VASANT PARMAR</v>
      </c>
      <c r="L1236" s="17" t="n">
        <v>2</v>
      </c>
      <c r="M1236" s="17" t="str">
        <f aca="false">VLOOKUP(L1236,Sheet2!D:E,2,0)</f>
        <v>Tuner Section</v>
      </c>
      <c r="N1236" s="17" t="n">
        <v>6</v>
      </c>
      <c r="O1236" s="17" t="str">
        <f aca="false">VLOOKUP(N1236,Sheet2!G:H,2,0)</f>
        <v>No Signal</v>
      </c>
      <c r="P1236" s="17" t="n">
        <v>11</v>
      </c>
      <c r="Q1236" s="17" t="str">
        <f aca="false">VLOOKUP(P1236,Sheet2!J:K,2,0)</f>
        <v>IR Declared due to CID -TA</v>
      </c>
      <c r="R1236" s="17" t="s">
        <v>35</v>
      </c>
      <c r="S1236" s="17" t="str">
        <f aca="false">VLOOKUP(R1236,Sheet2!N:O,2,0)</f>
        <v>IREPARABLE</v>
      </c>
      <c r="T1236" s="18" t="str">
        <f aca="false">VLOOKUP(P1236,Sheet2!Q:R,2,0)</f>
        <v>IR Normal - Track burn out</v>
      </c>
      <c r="U1236" s="20" t="s">
        <v>256</v>
      </c>
      <c r="V1236" s="17" t="n">
        <v>1</v>
      </c>
      <c r="W1236" s="20" t="str">
        <f aca="false">VLOOKUP(V1236,Sheet2!Q:R,2,0)</f>
        <v>IR CID -  Water log from IF port</v>
      </c>
      <c r="X1236" s="17" t="str">
        <f aca="false">J1236</f>
        <v>A005</v>
      </c>
      <c r="Y1236" s="17" t="str">
        <f aca="false">VLOOKUP(X1236,Sheet2!A:B,2,0)</f>
        <v>VASANT PARMAR</v>
      </c>
      <c r="Z1236" s="17" t="s">
        <v>303</v>
      </c>
      <c r="AA1236" s="17" t="s">
        <v>547</v>
      </c>
      <c r="AB1236" s="17" t="s">
        <v>41</v>
      </c>
      <c r="AC1236" s="0" t="str">
        <f aca="false">LEFT(G1236,2)</f>
        <v>42</v>
      </c>
      <c r="AE1236" s="21" t="s">
        <v>506</v>
      </c>
    </row>
    <row r="1237" customFormat="false" ht="15" hidden="false" customHeight="false" outlineLevel="0" collapsed="false">
      <c r="A1237" s="13" t="n">
        <f aca="false">1+A1236</f>
        <v>1235</v>
      </c>
      <c r="B1237" s="14" t="n">
        <v>1009514817</v>
      </c>
      <c r="C1237" s="15" t="s">
        <v>93</v>
      </c>
      <c r="D1237" s="16" t="s">
        <v>64</v>
      </c>
      <c r="E1237" s="17" t="s">
        <v>64</v>
      </c>
      <c r="F1237" s="18" t="s">
        <v>34</v>
      </c>
      <c r="G1237" s="19" t="n">
        <v>429245159273</v>
      </c>
      <c r="H1237" s="17" t="s">
        <v>35</v>
      </c>
      <c r="I1237" s="17" t="s">
        <v>82</v>
      </c>
      <c r="J1237" s="17" t="s">
        <v>121</v>
      </c>
      <c r="K1237" s="17" t="str">
        <f aca="false">VLOOKUP(J1237,Sheet2!A:B,2,0)</f>
        <v>SHANI GOHIL</v>
      </c>
      <c r="L1237" s="17" t="n">
        <v>1</v>
      </c>
      <c r="M1237" s="17" t="str">
        <f aca="false">VLOOKUP(L1237,Sheet2!D:E,2,0)</f>
        <v>Power Supply Section</v>
      </c>
      <c r="N1237" s="17" t="n">
        <v>1</v>
      </c>
      <c r="O1237" s="17" t="str">
        <f aca="false">VLOOKUP(N1237,Sheet2!G:H,2,0)</f>
        <v>Dead</v>
      </c>
      <c r="P1237" s="17" t="n">
        <v>11</v>
      </c>
      <c r="Q1237" s="17" t="str">
        <f aca="false">VLOOKUP(P1237,Sheet2!J:K,2,0)</f>
        <v>IR Declared due to CID -TA</v>
      </c>
      <c r="R1237" s="17" t="s">
        <v>35</v>
      </c>
      <c r="S1237" s="17" t="str">
        <f aca="false">VLOOKUP(R1237,Sheet2!N:O,2,0)</f>
        <v>IREPARABLE</v>
      </c>
      <c r="T1237" s="18" t="str">
        <f aca="false">VLOOKUP(P1237,Sheet2!Q:R,2,0)</f>
        <v>IR Normal - Track burn out</v>
      </c>
      <c r="U1237" s="18" t="s">
        <v>122</v>
      </c>
      <c r="V1237" s="17" t="n">
        <v>2</v>
      </c>
      <c r="W1237" s="20" t="str">
        <f aca="false">VLOOKUP(V1237,Sheet2!Q:R,2,0)</f>
        <v>IR CID -  Water log from other area</v>
      </c>
      <c r="X1237" s="17" t="str">
        <f aca="false">J1237</f>
        <v>A063</v>
      </c>
      <c r="Y1237" s="17" t="str">
        <f aca="false">VLOOKUP(X1237,Sheet2!A:B,2,0)</f>
        <v>SHANI GOHIL</v>
      </c>
      <c r="Z1237" s="17" t="s">
        <v>604</v>
      </c>
      <c r="AA1237" s="17" t="s">
        <v>547</v>
      </c>
      <c r="AB1237" s="17" t="s">
        <v>41</v>
      </c>
      <c r="AC1237" s="0" t="str">
        <f aca="false">LEFT(G1237,2)</f>
        <v>42</v>
      </c>
      <c r="AE1237" s="21" t="s">
        <v>506</v>
      </c>
    </row>
    <row r="1238" customFormat="false" ht="15" hidden="false" customHeight="false" outlineLevel="0" collapsed="false">
      <c r="A1238" s="13" t="n">
        <f aca="false">1+A1237</f>
        <v>1236</v>
      </c>
      <c r="B1238" s="14" t="n">
        <v>1009635757</v>
      </c>
      <c r="C1238" s="15" t="s">
        <v>182</v>
      </c>
      <c r="D1238" s="16" t="s">
        <v>81</v>
      </c>
      <c r="E1238" s="17" t="s">
        <v>33</v>
      </c>
      <c r="F1238" s="18" t="s">
        <v>34</v>
      </c>
      <c r="G1238" s="19" t="n">
        <v>878238168446</v>
      </c>
      <c r="H1238" s="17" t="s">
        <v>35</v>
      </c>
      <c r="I1238" s="17" t="s">
        <v>79</v>
      </c>
      <c r="J1238" s="17" t="s">
        <v>118</v>
      </c>
      <c r="K1238" s="17" t="str">
        <f aca="false">VLOOKUP(J1238,Sheet2!A:B,2,0)</f>
        <v>DEVENDRA RAJPUT</v>
      </c>
      <c r="L1238" s="17" t="n">
        <v>1</v>
      </c>
      <c r="M1238" s="17" t="str">
        <f aca="false">VLOOKUP(L1238,Sheet2!D:E,2,0)</f>
        <v>Power Supply Section</v>
      </c>
      <c r="N1238" s="17" t="n">
        <v>1</v>
      </c>
      <c r="O1238" s="17" t="str">
        <f aca="false">VLOOKUP(N1238,Sheet2!G:H,2,0)</f>
        <v>Dead</v>
      </c>
      <c r="P1238" s="17" t="n">
        <v>11</v>
      </c>
      <c r="Q1238" s="17" t="str">
        <f aca="false">VLOOKUP(P1238,Sheet2!J:K,2,0)</f>
        <v>IR Declared due to CID -TA</v>
      </c>
      <c r="R1238" s="17" t="s">
        <v>35</v>
      </c>
      <c r="S1238" s="17" t="str">
        <f aca="false">VLOOKUP(R1238,Sheet2!N:O,2,0)</f>
        <v>IREPARABLE</v>
      </c>
      <c r="T1238" s="18" t="str">
        <f aca="false">VLOOKUP(P1238,Sheet2!Q:R,2,0)</f>
        <v>IR Normal - Track burn out</v>
      </c>
      <c r="U1238" s="18" t="s">
        <v>122</v>
      </c>
      <c r="V1238" s="17" t="n">
        <v>2</v>
      </c>
      <c r="W1238" s="20" t="str">
        <f aca="false">VLOOKUP(V1238,Sheet2!Q:R,2,0)</f>
        <v>IR CID -  Water log from other area</v>
      </c>
      <c r="X1238" s="17" t="str">
        <f aca="false">J1238</f>
        <v>A053</v>
      </c>
      <c r="Y1238" s="17" t="str">
        <f aca="false">VLOOKUP(X1238,Sheet2!A:B,2,0)</f>
        <v>DEVENDRA RAJPUT</v>
      </c>
      <c r="Z1238" s="17" t="s">
        <v>605</v>
      </c>
      <c r="AA1238" s="17" t="s">
        <v>547</v>
      </c>
      <c r="AB1238" s="17" t="s">
        <v>41</v>
      </c>
      <c r="AC1238" s="0" t="str">
        <f aca="false">LEFT(G1238,2)</f>
        <v>87</v>
      </c>
      <c r="AE1238" s="21" t="s">
        <v>506</v>
      </c>
    </row>
    <row r="1239" customFormat="false" ht="15" hidden="false" customHeight="false" outlineLevel="0" collapsed="false">
      <c r="A1239" s="13" t="n">
        <f aca="false">1+A1238</f>
        <v>1237</v>
      </c>
      <c r="B1239" s="14" t="n">
        <v>1009376893</v>
      </c>
      <c r="C1239" s="15" t="s">
        <v>606</v>
      </c>
      <c r="D1239" s="16" t="s">
        <v>64</v>
      </c>
      <c r="E1239" s="17" t="s">
        <v>33</v>
      </c>
      <c r="F1239" s="18" t="s">
        <v>34</v>
      </c>
      <c r="G1239" s="19" t="n">
        <v>889339388833</v>
      </c>
      <c r="H1239" s="17" t="s">
        <v>35</v>
      </c>
      <c r="I1239" s="17" t="s">
        <v>79</v>
      </c>
      <c r="J1239" s="17" t="s">
        <v>267</v>
      </c>
      <c r="K1239" s="17" t="str">
        <f aca="false">VLOOKUP(J1239,Sheet2!A:B,2,0)</f>
        <v>HARIRAM GUPTA</v>
      </c>
      <c r="L1239" s="17" t="n">
        <v>2</v>
      </c>
      <c r="M1239" s="17" t="str">
        <f aca="false">VLOOKUP(L1239,Sheet2!D:E,2,0)</f>
        <v>Tuner Section</v>
      </c>
      <c r="N1239" s="17" t="n">
        <v>6</v>
      </c>
      <c r="O1239" s="17" t="str">
        <f aca="false">VLOOKUP(N1239,Sheet2!G:H,2,0)</f>
        <v>No Signal</v>
      </c>
      <c r="P1239" s="17" t="n">
        <v>11</v>
      </c>
      <c r="Q1239" s="17" t="str">
        <f aca="false">VLOOKUP(P1239,Sheet2!J:K,2,0)</f>
        <v>IR Declared due to CID -TA</v>
      </c>
      <c r="R1239" s="17" t="s">
        <v>35</v>
      </c>
      <c r="S1239" s="17" t="str">
        <f aca="false">VLOOKUP(R1239,Sheet2!N:O,2,0)</f>
        <v>IREPARABLE</v>
      </c>
      <c r="T1239" s="18" t="str">
        <f aca="false">VLOOKUP(P1239,Sheet2!Q:R,2,0)</f>
        <v>IR Normal - Track burn out</v>
      </c>
      <c r="U1239" s="18" t="s">
        <v>122</v>
      </c>
      <c r="V1239" s="17" t="n">
        <v>2</v>
      </c>
      <c r="W1239" s="20" t="str">
        <f aca="false">VLOOKUP(V1239,Sheet2!Q:R,2,0)</f>
        <v>IR CID -  Water log from other area</v>
      </c>
      <c r="X1239" s="17" t="str">
        <f aca="false">J1239</f>
        <v>A007</v>
      </c>
      <c r="Y1239" s="17" t="str">
        <f aca="false">VLOOKUP(X1239,Sheet2!A:B,2,0)</f>
        <v>HARIRAM GUPTA</v>
      </c>
      <c r="Z1239" s="17" t="s">
        <v>306</v>
      </c>
      <c r="AA1239" s="17" t="s">
        <v>547</v>
      </c>
      <c r="AB1239" s="17" t="s">
        <v>41</v>
      </c>
      <c r="AC1239" s="0" t="str">
        <f aca="false">LEFT(G1239,2)</f>
        <v>88</v>
      </c>
      <c r="AE1239" s="21" t="s">
        <v>506</v>
      </c>
    </row>
    <row r="1240" customFormat="false" ht="15" hidden="false" customHeight="false" outlineLevel="0" collapsed="false">
      <c r="A1240" s="13" t="n">
        <f aca="false">1+A1239</f>
        <v>1238</v>
      </c>
      <c r="B1240" s="14" t="n">
        <v>1009662046</v>
      </c>
      <c r="C1240" s="15" t="s">
        <v>607</v>
      </c>
      <c r="D1240" s="16" t="s">
        <v>175</v>
      </c>
      <c r="E1240" s="17" t="s">
        <v>176</v>
      </c>
      <c r="F1240" s="18" t="s">
        <v>34</v>
      </c>
      <c r="G1240" s="19" t="n">
        <v>413277418658</v>
      </c>
      <c r="H1240" s="17" t="s">
        <v>35</v>
      </c>
      <c r="I1240" s="17" t="s">
        <v>44</v>
      </c>
      <c r="J1240" s="17" t="s">
        <v>121</v>
      </c>
      <c r="K1240" s="17" t="str">
        <f aca="false">VLOOKUP(J1240,Sheet2!A:B,2,0)</f>
        <v>SHANI GOHIL</v>
      </c>
      <c r="L1240" s="17" t="n">
        <v>1</v>
      </c>
      <c r="M1240" s="17" t="str">
        <f aca="false">VLOOKUP(L1240,Sheet2!D:E,2,0)</f>
        <v>Power Supply Section</v>
      </c>
      <c r="N1240" s="17" t="n">
        <v>2</v>
      </c>
      <c r="O1240" s="17" t="str">
        <f aca="false">VLOOKUP(N1240,Sheet2!G:H,2,0)</f>
        <v>Dead Intermittent</v>
      </c>
      <c r="P1240" s="17" t="n">
        <v>12</v>
      </c>
      <c r="Q1240" s="17" t="str">
        <f aca="false">VLOOKUP(P1240,Sheet2!J:K,2,0)</f>
        <v>IR Declared due to Others ( IR Normal)TB</v>
      </c>
      <c r="R1240" s="17" t="s">
        <v>35</v>
      </c>
      <c r="S1240" s="17" t="str">
        <f aca="false">VLOOKUP(R1240,Sheet2!N:O,2,0)</f>
        <v>IREPARABLE</v>
      </c>
      <c r="T1240" s="18" t="str">
        <f aca="false">VLOOKUP(P1240,Sheet2!Q:R,2,0)</f>
        <v>IR Normal - BER to IR</v>
      </c>
      <c r="U1240" s="20" t="s">
        <v>110</v>
      </c>
      <c r="V1240" s="17" t="n">
        <v>9</v>
      </c>
      <c r="W1240" s="20" t="str">
        <f aca="false">VLOOKUP(V1240,Sheet2!Q:R,2,0)</f>
        <v>IR Normal - Multiple time repair </v>
      </c>
      <c r="X1240" s="17" t="str">
        <f aca="false">J1240</f>
        <v>A063</v>
      </c>
      <c r="Y1240" s="17" t="str">
        <f aca="false">VLOOKUP(X1240,Sheet2!A:B,2,0)</f>
        <v>SHANI GOHIL</v>
      </c>
      <c r="Z1240" s="17" t="s">
        <v>149</v>
      </c>
      <c r="AA1240" s="17" t="s">
        <v>547</v>
      </c>
      <c r="AB1240" s="17" t="s">
        <v>41</v>
      </c>
      <c r="AC1240" s="0" t="str">
        <f aca="false">LEFT(G1240,2)</f>
        <v>41</v>
      </c>
      <c r="AE1240" s="21" t="s">
        <v>506</v>
      </c>
    </row>
    <row r="1241" customFormat="false" ht="15" hidden="false" customHeight="false" outlineLevel="0" collapsed="false">
      <c r="A1241" s="13" t="n">
        <f aca="false">1+A1240</f>
        <v>1239</v>
      </c>
      <c r="B1241" s="14" t="n">
        <v>1009607591</v>
      </c>
      <c r="C1241" s="15" t="s">
        <v>181</v>
      </c>
      <c r="D1241" s="16" t="s">
        <v>113</v>
      </c>
      <c r="E1241" s="17" t="s">
        <v>114</v>
      </c>
      <c r="F1241" s="18" t="s">
        <v>34</v>
      </c>
      <c r="G1241" s="19" t="n">
        <v>413315216114</v>
      </c>
      <c r="H1241" s="17" t="s">
        <v>35</v>
      </c>
      <c r="I1241" s="17" t="s">
        <v>44</v>
      </c>
      <c r="J1241" s="17" t="s">
        <v>121</v>
      </c>
      <c r="K1241" s="17" t="str">
        <f aca="false">VLOOKUP(J1241,Sheet2!A:B,2,0)</f>
        <v>SHANI GOHIL</v>
      </c>
      <c r="L1241" s="17" t="n">
        <v>2</v>
      </c>
      <c r="M1241" s="17" t="str">
        <f aca="false">VLOOKUP(L1241,Sheet2!D:E,2,0)</f>
        <v>Tuner Section</v>
      </c>
      <c r="N1241" s="17" t="n">
        <v>6</v>
      </c>
      <c r="O1241" s="17" t="str">
        <f aca="false">VLOOKUP(N1241,Sheet2!G:H,2,0)</f>
        <v>No Signal</v>
      </c>
      <c r="P1241" s="17" t="n">
        <v>11</v>
      </c>
      <c r="Q1241" s="17" t="str">
        <f aca="false">VLOOKUP(P1241,Sheet2!J:K,2,0)</f>
        <v>IR Declared due to CID -TA</v>
      </c>
      <c r="R1241" s="17" t="s">
        <v>35</v>
      </c>
      <c r="S1241" s="17" t="str">
        <f aca="false">VLOOKUP(R1241,Sheet2!N:O,2,0)</f>
        <v>IREPARABLE</v>
      </c>
      <c r="T1241" s="18" t="str">
        <f aca="false">VLOOKUP(P1241,Sheet2!Q:R,2,0)</f>
        <v>IR Normal - Track burn out</v>
      </c>
      <c r="U1241" s="18" t="s">
        <v>122</v>
      </c>
      <c r="V1241" s="17" t="n">
        <v>2</v>
      </c>
      <c r="W1241" s="20" t="str">
        <f aca="false">VLOOKUP(V1241,Sheet2!Q:R,2,0)</f>
        <v>IR CID -  Water log from other area</v>
      </c>
      <c r="X1241" s="17" t="str">
        <f aca="false">J1241</f>
        <v>A063</v>
      </c>
      <c r="Y1241" s="17" t="str">
        <f aca="false">VLOOKUP(X1241,Sheet2!A:B,2,0)</f>
        <v>SHANI GOHIL</v>
      </c>
      <c r="Z1241" s="17" t="s">
        <v>608</v>
      </c>
      <c r="AA1241" s="17" t="s">
        <v>547</v>
      </c>
      <c r="AB1241" s="17" t="s">
        <v>41</v>
      </c>
      <c r="AC1241" s="0" t="str">
        <f aca="false">LEFT(G1241,2)</f>
        <v>41</v>
      </c>
      <c r="AE1241" s="21" t="s">
        <v>506</v>
      </c>
    </row>
    <row r="1242" customFormat="false" ht="15" hidden="false" customHeight="false" outlineLevel="0" collapsed="false">
      <c r="A1242" s="13" t="n">
        <f aca="false">1+A1241</f>
        <v>1240</v>
      </c>
      <c r="B1242" s="14" t="n">
        <v>1009634493</v>
      </c>
      <c r="C1242" s="15" t="s">
        <v>182</v>
      </c>
      <c r="D1242" s="16" t="s">
        <v>64</v>
      </c>
      <c r="E1242" s="17" t="s">
        <v>47</v>
      </c>
      <c r="F1242" s="18" t="s">
        <v>34</v>
      </c>
      <c r="G1242" s="19" t="n">
        <v>752151110570</v>
      </c>
      <c r="H1242" s="17" t="s">
        <v>35</v>
      </c>
      <c r="I1242" s="17" t="s">
        <v>54</v>
      </c>
      <c r="J1242" s="17" t="s">
        <v>118</v>
      </c>
      <c r="K1242" s="17" t="s">
        <v>609</v>
      </c>
      <c r="L1242" s="17" t="n">
        <v>1</v>
      </c>
      <c r="M1242" s="17" t="s">
        <v>610</v>
      </c>
      <c r="N1242" s="17" t="n">
        <v>1</v>
      </c>
      <c r="O1242" s="17" t="s">
        <v>611</v>
      </c>
      <c r="P1242" s="17" t="n">
        <v>12</v>
      </c>
      <c r="Q1242" s="17" t="s">
        <v>612</v>
      </c>
      <c r="R1242" s="17" t="s">
        <v>35</v>
      </c>
      <c r="S1242" s="17" t="s">
        <v>613</v>
      </c>
      <c r="T1242" s="18" t="s">
        <v>135</v>
      </c>
      <c r="U1242" s="18" t="s">
        <v>101</v>
      </c>
      <c r="V1242" s="17" t="n">
        <v>8</v>
      </c>
      <c r="W1242" s="20" t="s">
        <v>101</v>
      </c>
      <c r="X1242" s="17" t="s">
        <v>118</v>
      </c>
      <c r="Y1242" s="17" t="s">
        <v>609</v>
      </c>
      <c r="Z1242" s="17" t="s">
        <v>614</v>
      </c>
      <c r="AA1242" s="17" t="s">
        <v>547</v>
      </c>
      <c r="AB1242" s="17" t="s">
        <v>41</v>
      </c>
      <c r="AC1242" s="0" t="s">
        <v>615</v>
      </c>
      <c r="AE1242" s="21" t="s">
        <v>506</v>
      </c>
    </row>
    <row r="1243" customFormat="false" ht="15" hidden="false" customHeight="false" outlineLevel="0" collapsed="false">
      <c r="A1243" s="13" t="n">
        <f aca="false">1+A1242</f>
        <v>1241</v>
      </c>
      <c r="B1243" s="14" t="n">
        <v>1009607582</v>
      </c>
      <c r="C1243" s="15" t="s">
        <v>181</v>
      </c>
      <c r="D1243" s="16" t="s">
        <v>198</v>
      </c>
      <c r="E1243" s="17" t="s">
        <v>47</v>
      </c>
      <c r="F1243" s="18" t="s">
        <v>34</v>
      </c>
      <c r="G1243" s="19" t="n">
        <v>954173159342</v>
      </c>
      <c r="H1243" s="17" t="s">
        <v>35</v>
      </c>
      <c r="I1243" s="17" t="s">
        <v>44</v>
      </c>
      <c r="J1243" s="17" t="s">
        <v>111</v>
      </c>
      <c r="K1243" s="17" t="str">
        <f aca="false">VLOOKUP(J1243,Sheet2!A:B,2,0)</f>
        <v>NITIN PRANAMI</v>
      </c>
      <c r="L1243" s="17" t="n">
        <v>5</v>
      </c>
      <c r="M1243" s="17" t="str">
        <f aca="false">VLOOKUP(L1243,Sheet2!D:E,2,0)</f>
        <v>Main Processor CPU BGA</v>
      </c>
      <c r="N1243" s="17" t="n">
        <v>24</v>
      </c>
      <c r="O1243" s="17" t="str">
        <f aca="false">VLOOKUP(N1243,Sheet2!G:H,2,0)</f>
        <v>STB Auto moving -Stand by mode</v>
      </c>
      <c r="P1243" s="17" t="n">
        <v>11</v>
      </c>
      <c r="Q1243" s="17" t="str">
        <f aca="false">VLOOKUP(P1243,Sheet2!J:K,2,0)</f>
        <v>IR Declared due to CID -TA</v>
      </c>
      <c r="R1243" s="17" t="s">
        <v>35</v>
      </c>
      <c r="S1243" s="17" t="str">
        <f aca="false">VLOOKUP(R1243,Sheet2!N:O,2,0)</f>
        <v>IREPARABLE</v>
      </c>
      <c r="T1243" s="18" t="str">
        <f aca="false">VLOOKUP(P1243,Sheet2!Q:R,2,0)</f>
        <v>IR Normal - Track burn out</v>
      </c>
      <c r="U1243" s="18" t="s">
        <v>120</v>
      </c>
      <c r="V1243" s="17" t="n">
        <v>6</v>
      </c>
      <c r="W1243" s="20" t="str">
        <f aca="false">VLOOKUP(V1243,Sheet2!Q:R,2,0)</f>
        <v>IR CID -Fullydamage-Broken/Dent/Burn out</v>
      </c>
      <c r="X1243" s="17" t="str">
        <f aca="false">J1243</f>
        <v>A031</v>
      </c>
      <c r="Y1243" s="17" t="str">
        <f aca="false">VLOOKUP(X1243,Sheet2!A:B,2,0)</f>
        <v>NITIN PRANAMI</v>
      </c>
      <c r="Z1243" s="17" t="s">
        <v>616</v>
      </c>
      <c r="AA1243" s="17" t="s">
        <v>547</v>
      </c>
      <c r="AB1243" s="17" t="s">
        <v>41</v>
      </c>
      <c r="AC1243" s="0" t="str">
        <f aca="false">LEFT(G1243,2)</f>
        <v>95</v>
      </c>
      <c r="AE1243" s="21" t="s">
        <v>506</v>
      </c>
    </row>
    <row r="1244" customFormat="false" ht="15" hidden="false" customHeight="false" outlineLevel="0" collapsed="false">
      <c r="A1244" s="13" t="n">
        <f aca="false">1+A1243</f>
        <v>1242</v>
      </c>
      <c r="B1244" s="14" t="n">
        <v>1009662385</v>
      </c>
      <c r="C1244" s="15" t="s">
        <v>433</v>
      </c>
      <c r="D1244" s="16" t="s">
        <v>175</v>
      </c>
      <c r="E1244" s="17" t="s">
        <v>176</v>
      </c>
      <c r="F1244" s="18" t="s">
        <v>34</v>
      </c>
      <c r="G1244" s="19" t="n">
        <v>954252204241</v>
      </c>
      <c r="H1244" s="17" t="s">
        <v>35</v>
      </c>
      <c r="I1244" s="17" t="s">
        <v>44</v>
      </c>
      <c r="J1244" s="17" t="s">
        <v>121</v>
      </c>
      <c r="K1244" s="17" t="str">
        <f aca="false">VLOOKUP(J1244,Sheet2!A:B,2,0)</f>
        <v>SHANI GOHIL</v>
      </c>
      <c r="L1244" s="17" t="n">
        <v>1</v>
      </c>
      <c r="M1244" s="17" t="str">
        <f aca="false">VLOOKUP(L1244,Sheet2!D:E,2,0)</f>
        <v>Power Supply Section</v>
      </c>
      <c r="N1244" s="17" t="n">
        <v>24</v>
      </c>
      <c r="O1244" s="17" t="str">
        <f aca="false">VLOOKUP(N1244,Sheet2!G:H,2,0)</f>
        <v>STB Auto moving -Stand by mode</v>
      </c>
      <c r="P1244" s="17" t="n">
        <v>12</v>
      </c>
      <c r="Q1244" s="17" t="str">
        <f aca="false">VLOOKUP(P1244,Sheet2!J:K,2,0)</f>
        <v>IR Declared due to Others ( IR Normal)TB</v>
      </c>
      <c r="R1244" s="17" t="s">
        <v>35</v>
      </c>
      <c r="S1244" s="17" t="str">
        <f aca="false">VLOOKUP(R1244,Sheet2!N:O,2,0)</f>
        <v>IREPARABLE</v>
      </c>
      <c r="T1244" s="18" t="str">
        <f aca="false">VLOOKUP(P1244,Sheet2!Q:R,2,0)</f>
        <v>IR Normal - BER to IR</v>
      </c>
      <c r="U1244" s="18" t="s">
        <v>101</v>
      </c>
      <c r="V1244" s="17" t="n">
        <v>8</v>
      </c>
      <c r="W1244" s="20" t="str">
        <f aca="false">VLOOKUP(V1244,Sheet2!Q:R,2,0)</f>
        <v>IR Normal -TrackRust/InternalDamage/open</v>
      </c>
      <c r="X1244" s="17" t="str">
        <f aca="false">J1244</f>
        <v>A063</v>
      </c>
      <c r="Y1244" s="17" t="str">
        <f aca="false">VLOOKUP(X1244,Sheet2!A:B,2,0)</f>
        <v>SHANI GOHIL</v>
      </c>
      <c r="Z1244" s="17" t="s">
        <v>617</v>
      </c>
      <c r="AA1244" s="17" t="s">
        <v>547</v>
      </c>
      <c r="AB1244" s="17" t="s">
        <v>41</v>
      </c>
      <c r="AC1244" s="0" t="str">
        <f aca="false">LEFT(G1244,2)</f>
        <v>95</v>
      </c>
      <c r="AE1244" s="21" t="s">
        <v>506</v>
      </c>
    </row>
    <row r="1245" customFormat="false" ht="15" hidden="false" customHeight="false" outlineLevel="0" collapsed="false">
      <c r="A1245" s="13" t="n">
        <f aca="false">1+A1244</f>
        <v>1243</v>
      </c>
      <c r="B1245" s="14" t="n">
        <v>1009446290</v>
      </c>
      <c r="C1245" s="15" t="s">
        <v>189</v>
      </c>
      <c r="D1245" s="16" t="s">
        <v>64</v>
      </c>
      <c r="E1245" s="17" t="s">
        <v>91</v>
      </c>
      <c r="F1245" s="18" t="s">
        <v>34</v>
      </c>
      <c r="G1245" s="19" t="n">
        <v>943129923273</v>
      </c>
      <c r="H1245" s="17" t="s">
        <v>35</v>
      </c>
      <c r="I1245" s="17" t="s">
        <v>44</v>
      </c>
      <c r="J1245" s="17" t="s">
        <v>118</v>
      </c>
      <c r="K1245" s="17" t="str">
        <f aca="false">VLOOKUP(J1245,Sheet2!A:B,2,0)</f>
        <v>DEVENDRA RAJPUT</v>
      </c>
      <c r="L1245" s="17" t="n">
        <v>2</v>
      </c>
      <c r="M1245" s="17" t="str">
        <f aca="false">VLOOKUP(L1245,Sheet2!D:E,2,0)</f>
        <v>Tuner Section</v>
      </c>
      <c r="N1245" s="17" t="n">
        <v>6</v>
      </c>
      <c r="O1245" s="17" t="str">
        <f aca="false">VLOOKUP(N1245,Sheet2!G:H,2,0)</f>
        <v>No Signal</v>
      </c>
      <c r="P1245" s="17" t="n">
        <v>12</v>
      </c>
      <c r="Q1245" s="17" t="str">
        <f aca="false">VLOOKUP(P1245,Sheet2!J:K,2,0)</f>
        <v>IR Declared due to Others ( IR Normal)TB</v>
      </c>
      <c r="R1245" s="17" t="s">
        <v>35</v>
      </c>
      <c r="S1245" s="17" t="str">
        <f aca="false">VLOOKUP(R1245,Sheet2!N:O,2,0)</f>
        <v>IREPARABLE</v>
      </c>
      <c r="T1245" s="18" t="str">
        <f aca="false">VLOOKUP(P1245,Sheet2!Q:R,2,0)</f>
        <v>IR Normal - BER to IR</v>
      </c>
      <c r="U1245" s="18" t="s">
        <v>101</v>
      </c>
      <c r="V1245" s="17" t="n">
        <v>8</v>
      </c>
      <c r="W1245" s="20" t="str">
        <f aca="false">VLOOKUP(V1245,Sheet2!Q:R,2,0)</f>
        <v>IR Normal -TrackRust/InternalDamage/open</v>
      </c>
      <c r="X1245" s="17" t="str">
        <f aca="false">J1245</f>
        <v>A053</v>
      </c>
      <c r="Y1245" s="17" t="str">
        <f aca="false">VLOOKUP(X1245,Sheet2!A:B,2,0)</f>
        <v>DEVENDRA RAJPUT</v>
      </c>
      <c r="Z1245" s="17" t="s">
        <v>376</v>
      </c>
      <c r="AA1245" s="17" t="s">
        <v>547</v>
      </c>
      <c r="AB1245" s="17" t="s">
        <v>41</v>
      </c>
      <c r="AC1245" s="0" t="str">
        <f aca="false">LEFT(G1245,2)</f>
        <v>94</v>
      </c>
      <c r="AE1245" s="21" t="s">
        <v>506</v>
      </c>
    </row>
    <row r="1246" customFormat="false" ht="15" hidden="false" customHeight="false" outlineLevel="0" collapsed="false">
      <c r="A1246" s="13" t="n">
        <f aca="false">1+A1245</f>
        <v>1244</v>
      </c>
      <c r="B1246" s="14" t="n">
        <v>1009608000</v>
      </c>
      <c r="C1246" s="15" t="s">
        <v>181</v>
      </c>
      <c r="D1246" s="16" t="s">
        <v>167</v>
      </c>
      <c r="E1246" s="17" t="s">
        <v>47</v>
      </c>
      <c r="F1246" s="18" t="s">
        <v>34</v>
      </c>
      <c r="G1246" s="19" t="n">
        <v>942323956287</v>
      </c>
      <c r="H1246" s="17" t="s">
        <v>35</v>
      </c>
      <c r="I1246" s="17" t="s">
        <v>44</v>
      </c>
      <c r="J1246" s="17" t="s">
        <v>239</v>
      </c>
      <c r="K1246" s="17" t="str">
        <f aca="false">VLOOKUP(J1246,Sheet2!A:B,2,0)</f>
        <v>VASANT PARMAR</v>
      </c>
      <c r="L1246" s="17" t="n">
        <v>5</v>
      </c>
      <c r="M1246" s="17" t="str">
        <f aca="false">VLOOKUP(L1246,Sheet2!D:E,2,0)</f>
        <v>Main Processor CPU BGA</v>
      </c>
      <c r="N1246" s="17" t="n">
        <v>24</v>
      </c>
      <c r="O1246" s="17" t="str">
        <f aca="false">VLOOKUP(N1246,Sheet2!G:H,2,0)</f>
        <v>STB Auto moving -Stand by mode</v>
      </c>
      <c r="P1246" s="17" t="n">
        <v>11</v>
      </c>
      <c r="Q1246" s="17" t="str">
        <f aca="false">VLOOKUP(P1246,Sheet2!J:K,2,0)</f>
        <v>IR Declared due to CID -TA</v>
      </c>
      <c r="R1246" s="17" t="s">
        <v>35</v>
      </c>
      <c r="S1246" s="17" t="str">
        <f aca="false">VLOOKUP(R1246,Sheet2!N:O,2,0)</f>
        <v>IREPARABLE</v>
      </c>
      <c r="T1246" s="18" t="str">
        <f aca="false">VLOOKUP(P1246,Sheet2!Q:R,2,0)</f>
        <v>IR Normal - Track burn out</v>
      </c>
      <c r="U1246" s="18" t="s">
        <v>122</v>
      </c>
      <c r="V1246" s="17" t="n">
        <v>2</v>
      </c>
      <c r="W1246" s="20" t="str">
        <f aca="false">VLOOKUP(V1246,Sheet2!Q:R,2,0)</f>
        <v>IR CID -  Water log from other area</v>
      </c>
      <c r="X1246" s="17" t="str">
        <f aca="false">J1246</f>
        <v>A005</v>
      </c>
      <c r="Y1246" s="17" t="str">
        <f aca="false">VLOOKUP(X1246,Sheet2!A:B,2,0)</f>
        <v>VASANT PARMAR</v>
      </c>
      <c r="Z1246" s="17" t="s">
        <v>618</v>
      </c>
      <c r="AA1246" s="17" t="s">
        <v>547</v>
      </c>
      <c r="AB1246" s="17" t="s">
        <v>41</v>
      </c>
      <c r="AC1246" s="0" t="str">
        <f aca="false">LEFT(G1246,2)</f>
        <v>94</v>
      </c>
      <c r="AE1246" s="21" t="s">
        <v>506</v>
      </c>
    </row>
    <row r="1247" customFormat="false" ht="15" hidden="false" customHeight="false" outlineLevel="0" collapsed="false">
      <c r="A1247" s="13" t="n">
        <f aca="false">1+A1246</f>
        <v>1245</v>
      </c>
      <c r="B1247" s="14" t="n">
        <v>1009662374</v>
      </c>
      <c r="C1247" s="15" t="s">
        <v>433</v>
      </c>
      <c r="D1247" s="16" t="s">
        <v>138</v>
      </c>
      <c r="E1247" s="17" t="s">
        <v>91</v>
      </c>
      <c r="F1247" s="18" t="s">
        <v>34</v>
      </c>
      <c r="G1247" s="19" t="n">
        <v>954336175268</v>
      </c>
      <c r="H1247" s="17" t="s">
        <v>35</v>
      </c>
      <c r="I1247" s="17" t="s">
        <v>44</v>
      </c>
      <c r="J1247" s="17" t="s">
        <v>239</v>
      </c>
      <c r="K1247" s="17" t="str">
        <f aca="false">VLOOKUP(J1247,Sheet2!A:B,2,0)</f>
        <v>VASANT PARMAR</v>
      </c>
      <c r="L1247" s="17" t="n">
        <v>5</v>
      </c>
      <c r="M1247" s="17" t="str">
        <f aca="false">VLOOKUP(L1247,Sheet2!D:E,2,0)</f>
        <v>Main Processor CPU BGA</v>
      </c>
      <c r="N1247" s="17" t="n">
        <v>1</v>
      </c>
      <c r="O1247" s="17" t="str">
        <f aca="false">VLOOKUP(N1247,Sheet2!G:H,2,0)</f>
        <v>Dead</v>
      </c>
      <c r="P1247" s="17" t="n">
        <v>12</v>
      </c>
      <c r="Q1247" s="17" t="str">
        <f aca="false">VLOOKUP(P1247,Sheet2!J:K,2,0)</f>
        <v>IR Declared due to Others ( IR Normal)TB</v>
      </c>
      <c r="R1247" s="17" t="s">
        <v>35</v>
      </c>
      <c r="S1247" s="17" t="str">
        <f aca="false">VLOOKUP(R1247,Sheet2!N:O,2,0)</f>
        <v>IREPARABLE</v>
      </c>
      <c r="T1247" s="18" t="str">
        <f aca="false">VLOOKUP(P1247,Sheet2!Q:R,2,0)</f>
        <v>IR Normal - BER to IR</v>
      </c>
      <c r="U1247" s="18" t="s">
        <v>101</v>
      </c>
      <c r="V1247" s="17" t="n">
        <v>8</v>
      </c>
      <c r="W1247" s="20" t="str">
        <f aca="false">VLOOKUP(V1247,Sheet2!Q:R,2,0)</f>
        <v>IR Normal -TrackRust/InternalDamage/open</v>
      </c>
      <c r="X1247" s="17" t="str">
        <f aca="false">J1247</f>
        <v>A005</v>
      </c>
      <c r="Y1247" s="17" t="str">
        <f aca="false">VLOOKUP(X1247,Sheet2!A:B,2,0)</f>
        <v>VASANT PARMAR</v>
      </c>
      <c r="Z1247" s="17" t="s">
        <v>618</v>
      </c>
      <c r="AA1247" s="17" t="s">
        <v>547</v>
      </c>
      <c r="AB1247" s="17" t="s">
        <v>41</v>
      </c>
      <c r="AC1247" s="0" t="str">
        <f aca="false">LEFT(G1247,2)</f>
        <v>95</v>
      </c>
      <c r="AE1247" s="21" t="s">
        <v>506</v>
      </c>
    </row>
    <row r="1248" customFormat="false" ht="15" hidden="false" customHeight="false" outlineLevel="0" collapsed="false">
      <c r="A1248" s="13" t="n">
        <f aca="false">1+A1247</f>
        <v>1246</v>
      </c>
      <c r="B1248" s="14" t="n">
        <v>1009661766</v>
      </c>
      <c r="C1248" s="15" t="s">
        <v>433</v>
      </c>
      <c r="D1248" s="16" t="s">
        <v>56</v>
      </c>
      <c r="E1248" s="17" t="s">
        <v>91</v>
      </c>
      <c r="F1248" s="18" t="s">
        <v>34</v>
      </c>
      <c r="G1248" s="19" t="n">
        <v>953351422704</v>
      </c>
      <c r="H1248" s="17" t="s">
        <v>35</v>
      </c>
      <c r="I1248" s="17" t="s">
        <v>44</v>
      </c>
      <c r="J1248" s="17" t="s">
        <v>100</v>
      </c>
      <c r="K1248" s="17" t="str">
        <f aca="false">VLOOKUP(J1248,Sheet2!A:B,2,0)</f>
        <v>PIYUSH CHAVDA</v>
      </c>
      <c r="L1248" s="17" t="n">
        <v>1</v>
      </c>
      <c r="M1248" s="17" t="str">
        <f aca="false">VLOOKUP(L1248,Sheet2!D:E,2,0)</f>
        <v>Power Supply Section</v>
      </c>
      <c r="N1248" s="17" t="n">
        <v>1</v>
      </c>
      <c r="O1248" s="17" t="str">
        <f aca="false">VLOOKUP(N1248,Sheet2!G:H,2,0)</f>
        <v>Dead</v>
      </c>
      <c r="P1248" s="17" t="n">
        <v>12</v>
      </c>
      <c r="Q1248" s="17" t="str">
        <f aca="false">VLOOKUP(P1248,Sheet2!J:K,2,0)</f>
        <v>IR Declared due to Others ( IR Normal)TB</v>
      </c>
      <c r="R1248" s="17" t="s">
        <v>35</v>
      </c>
      <c r="S1248" s="17" t="str">
        <f aca="false">VLOOKUP(R1248,Sheet2!N:O,2,0)</f>
        <v>IREPARABLE</v>
      </c>
      <c r="T1248" s="18" t="str">
        <f aca="false">VLOOKUP(P1248,Sheet2!Q:R,2,0)</f>
        <v>IR Normal - BER to IR</v>
      </c>
      <c r="U1248" s="20" t="s">
        <v>110</v>
      </c>
      <c r="V1248" s="17" t="n">
        <v>9</v>
      </c>
      <c r="W1248" s="20" t="str">
        <f aca="false">VLOOKUP(V1248,Sheet2!Q:R,2,0)</f>
        <v>IR Normal - Multiple time repair </v>
      </c>
      <c r="X1248" s="17" t="str">
        <f aca="false">J1248</f>
        <v>A050</v>
      </c>
      <c r="Y1248" s="17" t="str">
        <f aca="false">VLOOKUP(X1248,Sheet2!A:B,2,0)</f>
        <v>PIYUSH CHAVDA</v>
      </c>
      <c r="Z1248" s="17" t="s">
        <v>618</v>
      </c>
      <c r="AA1248" s="17" t="s">
        <v>547</v>
      </c>
      <c r="AB1248" s="17" t="s">
        <v>41</v>
      </c>
      <c r="AC1248" s="0" t="str">
        <f aca="false">LEFT(G1248,2)</f>
        <v>95</v>
      </c>
      <c r="AE1248" s="21" t="s">
        <v>506</v>
      </c>
    </row>
    <row r="1249" customFormat="false" ht="15" hidden="false" customHeight="false" outlineLevel="0" collapsed="false">
      <c r="A1249" s="13" t="n">
        <f aca="false">1+A1248</f>
        <v>1247</v>
      </c>
      <c r="B1249" s="14" t="n">
        <v>1009612667</v>
      </c>
      <c r="C1249" s="15" t="s">
        <v>184</v>
      </c>
      <c r="D1249" s="16" t="s">
        <v>64</v>
      </c>
      <c r="E1249" s="17" t="s">
        <v>64</v>
      </c>
      <c r="F1249" s="18" t="s">
        <v>34</v>
      </c>
      <c r="G1249" s="19" t="n">
        <v>134211189615</v>
      </c>
      <c r="H1249" s="17" t="s">
        <v>35</v>
      </c>
      <c r="I1249" s="17" t="s">
        <v>44</v>
      </c>
      <c r="J1249" s="17" t="s">
        <v>121</v>
      </c>
      <c r="K1249" s="17" t="str">
        <f aca="false">VLOOKUP(J1249,Sheet2!A:B,2,0)</f>
        <v>SHANI GOHIL</v>
      </c>
      <c r="L1249" s="17" t="n">
        <v>1</v>
      </c>
      <c r="M1249" s="17" t="str">
        <f aca="false">VLOOKUP(L1249,Sheet2!D:E,2,0)</f>
        <v>Power Supply Section</v>
      </c>
      <c r="N1249" s="17" t="n">
        <v>1</v>
      </c>
      <c r="O1249" s="17" t="str">
        <f aca="false">VLOOKUP(N1249,Sheet2!G:H,2,0)</f>
        <v>Dead</v>
      </c>
      <c r="P1249" s="17" t="n">
        <v>11</v>
      </c>
      <c r="Q1249" s="17" t="str">
        <f aca="false">VLOOKUP(P1249,Sheet2!J:K,2,0)</f>
        <v>IR Declared due to CID -TA</v>
      </c>
      <c r="R1249" s="17" t="s">
        <v>35</v>
      </c>
      <c r="S1249" s="17" t="str">
        <f aca="false">VLOOKUP(R1249,Sheet2!N:O,2,0)</f>
        <v>IREPARABLE</v>
      </c>
      <c r="T1249" s="18" t="str">
        <f aca="false">VLOOKUP(P1249,Sheet2!Q:R,2,0)</f>
        <v>IR Normal - Track burn out</v>
      </c>
      <c r="U1249" s="18" t="s">
        <v>122</v>
      </c>
      <c r="V1249" s="17" t="n">
        <v>2</v>
      </c>
      <c r="W1249" s="20" t="str">
        <f aca="false">VLOOKUP(V1249,Sheet2!Q:R,2,0)</f>
        <v>IR CID -  Water log from other area</v>
      </c>
      <c r="X1249" s="17" t="str">
        <f aca="false">J1249</f>
        <v>A063</v>
      </c>
      <c r="Y1249" s="17" t="str">
        <f aca="false">VLOOKUP(X1249,Sheet2!A:B,2,0)</f>
        <v>SHANI GOHIL</v>
      </c>
      <c r="Z1249" s="17" t="s">
        <v>619</v>
      </c>
      <c r="AA1249" s="17" t="s">
        <v>547</v>
      </c>
      <c r="AB1249" s="17" t="s">
        <v>41</v>
      </c>
      <c r="AC1249" s="0" t="str">
        <f aca="false">LEFT(G1249,2)</f>
        <v>13</v>
      </c>
      <c r="AE1249" s="21" t="s">
        <v>506</v>
      </c>
    </row>
    <row r="1250" customFormat="false" ht="15" hidden="false" customHeight="false" outlineLevel="0" collapsed="false">
      <c r="A1250" s="13" t="n">
        <f aca="false">1+A1249</f>
        <v>1248</v>
      </c>
      <c r="B1250" s="14" t="n">
        <v>1009665759</v>
      </c>
      <c r="C1250" s="15" t="s">
        <v>436</v>
      </c>
      <c r="D1250" s="16" t="s">
        <v>64</v>
      </c>
      <c r="E1250" s="17" t="s">
        <v>64</v>
      </c>
      <c r="F1250" s="18" t="s">
        <v>34</v>
      </c>
      <c r="G1250" s="19" t="n">
        <v>134135003157</v>
      </c>
      <c r="H1250" s="17" t="s">
        <v>35</v>
      </c>
      <c r="I1250" s="17" t="s">
        <v>44</v>
      </c>
      <c r="J1250" s="17" t="s">
        <v>118</v>
      </c>
      <c r="K1250" s="17" t="str">
        <f aca="false">VLOOKUP(J1250,Sheet2!A:B,2,0)</f>
        <v>DEVENDRA RAJPUT</v>
      </c>
      <c r="L1250" s="17" t="n">
        <v>2</v>
      </c>
      <c r="M1250" s="17" t="str">
        <f aca="false">VLOOKUP(L1250,Sheet2!D:E,2,0)</f>
        <v>Tuner Section</v>
      </c>
      <c r="N1250" s="17" t="n">
        <v>6</v>
      </c>
      <c r="O1250" s="17" t="str">
        <f aca="false">VLOOKUP(N1250,Sheet2!G:H,2,0)</f>
        <v>No Signal</v>
      </c>
      <c r="P1250" s="17" t="n">
        <v>12</v>
      </c>
      <c r="Q1250" s="17" t="str">
        <f aca="false">VLOOKUP(P1250,Sheet2!J:K,2,0)</f>
        <v>IR Declared due to Others ( IR Normal)TB</v>
      </c>
      <c r="R1250" s="17" t="s">
        <v>35</v>
      </c>
      <c r="S1250" s="17" t="str">
        <f aca="false">VLOOKUP(R1250,Sheet2!N:O,2,0)</f>
        <v>IREPARABLE</v>
      </c>
      <c r="T1250" s="18" t="str">
        <f aca="false">VLOOKUP(P1250,Sheet2!Q:R,2,0)</f>
        <v>IR Normal - BER to IR</v>
      </c>
      <c r="U1250" s="18" t="s">
        <v>101</v>
      </c>
      <c r="V1250" s="17" t="n">
        <v>8</v>
      </c>
      <c r="W1250" s="20" t="str">
        <f aca="false">VLOOKUP(V1250,Sheet2!Q:R,2,0)</f>
        <v>IR Normal -TrackRust/InternalDamage/open</v>
      </c>
      <c r="X1250" s="17" t="str">
        <f aca="false">J1250</f>
        <v>A053</v>
      </c>
      <c r="Y1250" s="17" t="str">
        <f aca="false">VLOOKUP(X1250,Sheet2!A:B,2,0)</f>
        <v>DEVENDRA RAJPUT</v>
      </c>
      <c r="Z1250" s="17" t="s">
        <v>620</v>
      </c>
      <c r="AA1250" s="17" t="s">
        <v>547</v>
      </c>
      <c r="AB1250" s="17" t="s">
        <v>41</v>
      </c>
      <c r="AC1250" s="0" t="str">
        <f aca="false">LEFT(G1250,2)</f>
        <v>13</v>
      </c>
      <c r="AE1250" s="21" t="s">
        <v>506</v>
      </c>
    </row>
    <row r="1251" customFormat="false" ht="15" hidden="false" customHeight="false" outlineLevel="0" collapsed="false">
      <c r="A1251" s="13" t="n">
        <f aca="false">1+A1250</f>
        <v>1249</v>
      </c>
      <c r="B1251" s="14" t="n">
        <v>1008350450</v>
      </c>
      <c r="C1251" s="15" t="s">
        <v>433</v>
      </c>
      <c r="D1251" s="16" t="s">
        <v>108</v>
      </c>
      <c r="E1251" s="17" t="s">
        <v>621</v>
      </c>
      <c r="F1251" s="18" t="s">
        <v>34</v>
      </c>
      <c r="G1251" s="19" t="n">
        <v>134127441274</v>
      </c>
      <c r="H1251" s="17" t="s">
        <v>35</v>
      </c>
      <c r="I1251" s="17" t="s">
        <v>44</v>
      </c>
      <c r="J1251" s="17" t="s">
        <v>239</v>
      </c>
      <c r="K1251" s="17" t="str">
        <f aca="false">VLOOKUP(J1251,Sheet2!A:B,2,0)</f>
        <v>VASANT PARMAR</v>
      </c>
      <c r="L1251" s="17" t="n">
        <v>5</v>
      </c>
      <c r="M1251" s="17" t="str">
        <f aca="false">VLOOKUP(L1251,Sheet2!D:E,2,0)</f>
        <v>Main Processor CPU BGA</v>
      </c>
      <c r="N1251" s="17" t="n">
        <v>1</v>
      </c>
      <c r="O1251" s="17" t="str">
        <f aca="false">VLOOKUP(N1251,Sheet2!G:H,2,0)</f>
        <v>Dead</v>
      </c>
      <c r="P1251" s="17" t="n">
        <v>11</v>
      </c>
      <c r="Q1251" s="17" t="str">
        <f aca="false">VLOOKUP(P1251,Sheet2!J:K,2,0)</f>
        <v>IR Declared due to CID -TA</v>
      </c>
      <c r="R1251" s="17" t="s">
        <v>35</v>
      </c>
      <c r="S1251" s="17" t="str">
        <f aca="false">VLOOKUP(R1251,Sheet2!N:O,2,0)</f>
        <v>IREPARABLE</v>
      </c>
      <c r="T1251" s="18" t="str">
        <f aca="false">VLOOKUP(P1251,Sheet2!Q:R,2,0)</f>
        <v>IR Normal - Track burn out</v>
      </c>
      <c r="U1251" s="18" t="s">
        <v>122</v>
      </c>
      <c r="V1251" s="17" t="n">
        <v>2</v>
      </c>
      <c r="W1251" s="20" t="str">
        <f aca="false">VLOOKUP(V1251,Sheet2!Q:R,2,0)</f>
        <v>IR CID -  Water log from other area</v>
      </c>
      <c r="X1251" s="17" t="str">
        <f aca="false">J1251</f>
        <v>A005</v>
      </c>
      <c r="Y1251" s="17" t="str">
        <f aca="false">VLOOKUP(X1251,Sheet2!A:B,2,0)</f>
        <v>VASANT PARMAR</v>
      </c>
      <c r="Z1251" s="17" t="s">
        <v>622</v>
      </c>
      <c r="AA1251" s="17" t="s">
        <v>547</v>
      </c>
      <c r="AB1251" s="17" t="s">
        <v>41</v>
      </c>
      <c r="AC1251" s="0" t="str">
        <f aca="false">LEFT(G1251,2)</f>
        <v>13</v>
      </c>
      <c r="AE1251" s="21" t="s">
        <v>506</v>
      </c>
    </row>
    <row r="1252" customFormat="false" ht="15" hidden="false" customHeight="false" outlineLevel="0" collapsed="false">
      <c r="A1252" s="13" t="n">
        <f aca="false">1+A1251</f>
        <v>1250</v>
      </c>
      <c r="B1252" s="14" t="n">
        <v>1009092118</v>
      </c>
      <c r="C1252" s="15" t="s">
        <v>414</v>
      </c>
      <c r="D1252" s="16" t="s">
        <v>64</v>
      </c>
      <c r="E1252" s="17" t="s">
        <v>200</v>
      </c>
      <c r="F1252" s="18" t="s">
        <v>34</v>
      </c>
      <c r="G1252" s="19" t="n">
        <v>134273084381</v>
      </c>
      <c r="H1252" s="17" t="s">
        <v>35</v>
      </c>
      <c r="I1252" s="17" t="s">
        <v>44</v>
      </c>
      <c r="J1252" s="17" t="s">
        <v>111</v>
      </c>
      <c r="K1252" s="17" t="str">
        <f aca="false">VLOOKUP(J1252,Sheet2!A:B,2,0)</f>
        <v>NITIN PRANAMI</v>
      </c>
      <c r="L1252" s="17" t="n">
        <v>1</v>
      </c>
      <c r="M1252" s="17" t="str">
        <f aca="false">VLOOKUP(L1252,Sheet2!D:E,2,0)</f>
        <v>Power Supply Section</v>
      </c>
      <c r="N1252" s="17" t="n">
        <v>1</v>
      </c>
      <c r="O1252" s="17" t="str">
        <f aca="false">VLOOKUP(N1252,Sheet2!G:H,2,0)</f>
        <v>Dead</v>
      </c>
      <c r="P1252" s="17" t="n">
        <v>12</v>
      </c>
      <c r="Q1252" s="17" t="str">
        <f aca="false">VLOOKUP(P1252,Sheet2!J:K,2,0)</f>
        <v>IR Declared due to Others ( IR Normal)TB</v>
      </c>
      <c r="R1252" s="17" t="s">
        <v>35</v>
      </c>
      <c r="S1252" s="17" t="str">
        <f aca="false">VLOOKUP(R1252,Sheet2!N:O,2,0)</f>
        <v>IREPARABLE</v>
      </c>
      <c r="T1252" s="18" t="str">
        <f aca="false">VLOOKUP(P1252,Sheet2!Q:R,2,0)</f>
        <v>IR Normal - BER to IR</v>
      </c>
      <c r="U1252" s="18" t="s">
        <v>101</v>
      </c>
      <c r="V1252" s="17" t="n">
        <v>8</v>
      </c>
      <c r="W1252" s="20" t="str">
        <f aca="false">VLOOKUP(V1252,Sheet2!Q:R,2,0)</f>
        <v>IR Normal -TrackRust/InternalDamage/open</v>
      </c>
      <c r="X1252" s="17" t="str">
        <f aca="false">J1252</f>
        <v>A031</v>
      </c>
      <c r="Y1252" s="17" t="str">
        <f aca="false">VLOOKUP(X1252,Sheet2!A:B,2,0)</f>
        <v>NITIN PRANAMI</v>
      </c>
      <c r="Z1252" s="17" t="s">
        <v>623</v>
      </c>
      <c r="AA1252" s="17" t="s">
        <v>547</v>
      </c>
      <c r="AB1252" s="17" t="s">
        <v>41</v>
      </c>
      <c r="AC1252" s="0" t="str">
        <f aca="false">LEFT(G1252,2)</f>
        <v>13</v>
      </c>
      <c r="AE1252" s="21" t="s">
        <v>506</v>
      </c>
    </row>
    <row r="1253" customFormat="false" ht="15" hidden="false" customHeight="false" outlineLevel="0" collapsed="false">
      <c r="A1253" s="13" t="n">
        <f aca="false">1+A1252</f>
        <v>1251</v>
      </c>
      <c r="B1253" s="14" t="n">
        <v>1009073314</v>
      </c>
      <c r="C1253" s="15" t="s">
        <v>414</v>
      </c>
      <c r="D1253" s="16" t="s">
        <v>64</v>
      </c>
      <c r="E1253" s="17" t="s">
        <v>91</v>
      </c>
      <c r="F1253" s="18" t="s">
        <v>34</v>
      </c>
      <c r="G1253" s="19" t="n">
        <v>134255364322</v>
      </c>
      <c r="H1253" s="17" t="s">
        <v>35</v>
      </c>
      <c r="I1253" s="17" t="s">
        <v>44</v>
      </c>
      <c r="J1253" s="17" t="s">
        <v>118</v>
      </c>
      <c r="K1253" s="17" t="str">
        <f aca="false">VLOOKUP(J1253,Sheet2!A:B,2,0)</f>
        <v>DEVENDRA RAJPUT</v>
      </c>
      <c r="L1253" s="17" t="n">
        <v>2</v>
      </c>
      <c r="M1253" s="17" t="str">
        <f aca="false">VLOOKUP(L1253,Sheet2!D:E,2,0)</f>
        <v>Tuner Section</v>
      </c>
      <c r="N1253" s="17" t="n">
        <v>6</v>
      </c>
      <c r="O1253" s="17" t="str">
        <f aca="false">VLOOKUP(N1253,Sheet2!G:H,2,0)</f>
        <v>No Signal</v>
      </c>
      <c r="P1253" s="17" t="n">
        <v>12</v>
      </c>
      <c r="Q1253" s="17" t="str">
        <f aca="false">VLOOKUP(P1253,Sheet2!J:K,2,0)</f>
        <v>IR Declared due to Others ( IR Normal)TB</v>
      </c>
      <c r="R1253" s="17" t="s">
        <v>35</v>
      </c>
      <c r="S1253" s="17" t="str">
        <f aca="false">VLOOKUP(R1253,Sheet2!N:O,2,0)</f>
        <v>IREPARABLE</v>
      </c>
      <c r="T1253" s="18" t="str">
        <f aca="false">VLOOKUP(P1253,Sheet2!Q:R,2,0)</f>
        <v>IR Normal - BER to IR</v>
      </c>
      <c r="U1253" s="15" t="s">
        <v>38</v>
      </c>
      <c r="V1253" s="17" t="n">
        <v>11</v>
      </c>
      <c r="W1253" s="20" t="str">
        <f aca="false">VLOOKUP(V1253,Sheet2!Q:R,2,0)</f>
        <v>IR Normal - Track burn out</v>
      </c>
      <c r="X1253" s="17" t="str">
        <f aca="false">J1253</f>
        <v>A053</v>
      </c>
      <c r="Y1253" s="17" t="str">
        <f aca="false">VLOOKUP(X1253,Sheet2!A:B,2,0)</f>
        <v>DEVENDRA RAJPUT</v>
      </c>
      <c r="Z1253" s="17" t="s">
        <v>130</v>
      </c>
      <c r="AA1253" s="17" t="s">
        <v>547</v>
      </c>
      <c r="AB1253" s="17" t="s">
        <v>41</v>
      </c>
      <c r="AC1253" s="0" t="str">
        <f aca="false">LEFT(G1253,2)</f>
        <v>13</v>
      </c>
      <c r="AE1253" s="21" t="s">
        <v>506</v>
      </c>
    </row>
    <row r="1254" customFormat="false" ht="15" hidden="false" customHeight="false" outlineLevel="0" collapsed="false">
      <c r="A1254" s="13" t="n">
        <f aca="false">1+A1253</f>
        <v>1252</v>
      </c>
      <c r="B1254" s="14" t="n">
        <v>1009665952</v>
      </c>
      <c r="C1254" s="15" t="s">
        <v>436</v>
      </c>
      <c r="D1254" s="16" t="s">
        <v>64</v>
      </c>
      <c r="E1254" s="17" t="s">
        <v>64</v>
      </c>
      <c r="F1254" s="18" t="s">
        <v>34</v>
      </c>
      <c r="G1254" s="19" t="n">
        <v>134119575444</v>
      </c>
      <c r="H1254" s="17" t="s">
        <v>35</v>
      </c>
      <c r="I1254" s="17" t="s">
        <v>44</v>
      </c>
      <c r="J1254" s="17" t="s">
        <v>267</v>
      </c>
      <c r="K1254" s="17" t="str">
        <f aca="false">VLOOKUP(J1254,Sheet2!A:B,2,0)</f>
        <v>HARIRAM GUPTA</v>
      </c>
      <c r="L1254" s="17" t="n">
        <v>2</v>
      </c>
      <c r="M1254" s="17" t="str">
        <f aca="false">VLOOKUP(L1254,Sheet2!D:E,2,0)</f>
        <v>Tuner Section</v>
      </c>
      <c r="N1254" s="17" t="n">
        <v>6</v>
      </c>
      <c r="O1254" s="17" t="str">
        <f aca="false">VLOOKUP(N1254,Sheet2!G:H,2,0)</f>
        <v>No Signal</v>
      </c>
      <c r="P1254" s="17" t="n">
        <v>12</v>
      </c>
      <c r="Q1254" s="17" t="str">
        <f aca="false">VLOOKUP(P1254,Sheet2!J:K,2,0)</f>
        <v>IR Declared due to Others ( IR Normal)TB</v>
      </c>
      <c r="R1254" s="17" t="s">
        <v>35</v>
      </c>
      <c r="S1254" s="17" t="str">
        <f aca="false">VLOOKUP(R1254,Sheet2!N:O,2,0)</f>
        <v>IREPARABLE</v>
      </c>
      <c r="T1254" s="18" t="str">
        <f aca="false">VLOOKUP(P1254,Sheet2!Q:R,2,0)</f>
        <v>IR Normal - BER to IR</v>
      </c>
      <c r="U1254" s="15" t="s">
        <v>38</v>
      </c>
      <c r="V1254" s="17" t="n">
        <v>11</v>
      </c>
      <c r="W1254" s="20" t="str">
        <f aca="false">VLOOKUP(V1254,Sheet2!Q:R,2,0)</f>
        <v>IR Normal - Track burn out</v>
      </c>
      <c r="X1254" s="17" t="str">
        <f aca="false">J1254</f>
        <v>A007</v>
      </c>
      <c r="Y1254" s="17" t="str">
        <f aca="false">VLOOKUP(X1254,Sheet2!A:B,2,0)</f>
        <v>HARIRAM GUPTA</v>
      </c>
      <c r="Z1254" s="17" t="s">
        <v>130</v>
      </c>
      <c r="AA1254" s="17" t="s">
        <v>547</v>
      </c>
      <c r="AB1254" s="17" t="s">
        <v>41</v>
      </c>
      <c r="AC1254" s="0" t="str">
        <f aca="false">LEFT(G1254,2)</f>
        <v>13</v>
      </c>
      <c r="AE1254" s="21" t="s">
        <v>506</v>
      </c>
    </row>
    <row r="1255" customFormat="false" ht="15" hidden="false" customHeight="false" outlineLevel="0" collapsed="false">
      <c r="A1255" s="13" t="n">
        <f aca="false">1+A1254</f>
        <v>1253</v>
      </c>
      <c r="B1255" s="14" t="n">
        <v>1009672468</v>
      </c>
      <c r="C1255" s="15" t="s">
        <v>436</v>
      </c>
      <c r="D1255" s="16" t="s">
        <v>154</v>
      </c>
      <c r="E1255" s="17" t="s">
        <v>33</v>
      </c>
      <c r="F1255" s="18" t="s">
        <v>34</v>
      </c>
      <c r="G1255" s="19" t="n">
        <v>134056593996</v>
      </c>
      <c r="H1255" s="17" t="s">
        <v>35</v>
      </c>
      <c r="I1255" s="17" t="s">
        <v>44</v>
      </c>
      <c r="J1255" s="17" t="s">
        <v>111</v>
      </c>
      <c r="K1255" s="17" t="str">
        <f aca="false">VLOOKUP(J1255,Sheet2!A:B,2,0)</f>
        <v>NITIN PRANAMI</v>
      </c>
      <c r="L1255" s="17" t="n">
        <v>5</v>
      </c>
      <c r="M1255" s="17" t="str">
        <f aca="false">VLOOKUP(L1255,Sheet2!D:E,2,0)</f>
        <v>Main Processor CPU BGA</v>
      </c>
      <c r="N1255" s="17" t="n">
        <v>24</v>
      </c>
      <c r="O1255" s="17" t="str">
        <f aca="false">VLOOKUP(N1255,Sheet2!G:H,2,0)</f>
        <v>STB Auto moving -Stand by mode</v>
      </c>
      <c r="P1255" s="17" t="n">
        <v>12</v>
      </c>
      <c r="Q1255" s="17" t="str">
        <f aca="false">VLOOKUP(P1255,Sheet2!J:K,2,0)</f>
        <v>IR Declared due to Others ( IR Normal)TB</v>
      </c>
      <c r="R1255" s="17" t="s">
        <v>35</v>
      </c>
      <c r="S1255" s="17" t="str">
        <f aca="false">VLOOKUP(R1255,Sheet2!N:O,2,0)</f>
        <v>IREPARABLE</v>
      </c>
      <c r="T1255" s="18" t="str">
        <f aca="false">VLOOKUP(P1255,Sheet2!Q:R,2,0)</f>
        <v>IR Normal - BER to IR</v>
      </c>
      <c r="U1255" s="20" t="s">
        <v>110</v>
      </c>
      <c r="V1255" s="17" t="n">
        <v>9</v>
      </c>
      <c r="W1255" s="20" t="str">
        <f aca="false">VLOOKUP(V1255,Sheet2!Q:R,2,0)</f>
        <v>IR Normal - Multiple time repair </v>
      </c>
      <c r="X1255" s="17" t="str">
        <f aca="false">J1255</f>
        <v>A031</v>
      </c>
      <c r="Y1255" s="17" t="str">
        <f aca="false">VLOOKUP(X1255,Sheet2!A:B,2,0)</f>
        <v>NITIN PRANAMI</v>
      </c>
      <c r="Z1255" s="17" t="s">
        <v>136</v>
      </c>
      <c r="AA1255" s="17" t="s">
        <v>547</v>
      </c>
      <c r="AB1255" s="17" t="s">
        <v>41</v>
      </c>
      <c r="AC1255" s="0" t="str">
        <f aca="false">LEFT(G1255,2)</f>
        <v>13</v>
      </c>
      <c r="AE1255" s="21" t="s">
        <v>506</v>
      </c>
    </row>
    <row r="1256" customFormat="false" ht="15" hidden="false" customHeight="false" outlineLevel="0" collapsed="false">
      <c r="A1256" s="13" t="n">
        <f aca="false">1+A1255</f>
        <v>1254</v>
      </c>
      <c r="B1256" s="14" t="n">
        <v>1009091688</v>
      </c>
      <c r="C1256" s="15" t="s">
        <v>624</v>
      </c>
      <c r="D1256" s="16" t="s">
        <v>64</v>
      </c>
      <c r="E1256" s="17" t="s">
        <v>64</v>
      </c>
      <c r="F1256" s="18" t="s">
        <v>34</v>
      </c>
      <c r="G1256" s="19" t="n">
        <v>134255233295</v>
      </c>
      <c r="H1256" s="17" t="s">
        <v>35</v>
      </c>
      <c r="I1256" s="17" t="s">
        <v>44</v>
      </c>
      <c r="J1256" s="17" t="s">
        <v>267</v>
      </c>
      <c r="K1256" s="17" t="str">
        <f aca="false">VLOOKUP(J1256,Sheet2!A:B,2,0)</f>
        <v>HARIRAM GUPTA</v>
      </c>
      <c r="L1256" s="17" t="n">
        <v>1</v>
      </c>
      <c r="M1256" s="17" t="str">
        <f aca="false">VLOOKUP(L1256,Sheet2!D:E,2,0)</f>
        <v>Power Supply Section</v>
      </c>
      <c r="N1256" s="17" t="n">
        <v>1</v>
      </c>
      <c r="O1256" s="17" t="str">
        <f aca="false">VLOOKUP(N1256,Sheet2!G:H,2,0)</f>
        <v>Dead</v>
      </c>
      <c r="P1256" s="17" t="n">
        <v>11</v>
      </c>
      <c r="Q1256" s="17" t="str">
        <f aca="false">VLOOKUP(P1256,Sheet2!J:K,2,0)</f>
        <v>IR Declared due to CID -TA</v>
      </c>
      <c r="R1256" s="17" t="s">
        <v>35</v>
      </c>
      <c r="S1256" s="17" t="str">
        <f aca="false">VLOOKUP(R1256,Sheet2!N:O,2,0)</f>
        <v>IREPARABLE</v>
      </c>
      <c r="T1256" s="18" t="str">
        <f aca="false">VLOOKUP(P1256,Sheet2!Q:R,2,0)</f>
        <v>IR Normal - Track burn out</v>
      </c>
      <c r="U1256" s="18" t="s">
        <v>122</v>
      </c>
      <c r="V1256" s="17" t="n">
        <v>2</v>
      </c>
      <c r="W1256" s="20" t="str">
        <f aca="false">VLOOKUP(V1256,Sheet2!Q:R,2,0)</f>
        <v>IR CID -  Water log from other area</v>
      </c>
      <c r="X1256" s="17" t="str">
        <f aca="false">J1256</f>
        <v>A007</v>
      </c>
      <c r="Y1256" s="17" t="str">
        <f aca="false">VLOOKUP(X1256,Sheet2!A:B,2,0)</f>
        <v>HARIRAM GUPTA</v>
      </c>
      <c r="Z1256" s="17" t="s">
        <v>625</v>
      </c>
      <c r="AA1256" s="17" t="s">
        <v>547</v>
      </c>
      <c r="AB1256" s="17" t="s">
        <v>41</v>
      </c>
      <c r="AC1256" s="0" t="str">
        <f aca="false">LEFT(G1256,2)</f>
        <v>13</v>
      </c>
      <c r="AE1256" s="21" t="s">
        <v>506</v>
      </c>
    </row>
    <row r="1257" customFormat="false" ht="15" hidden="false" customHeight="false" outlineLevel="0" collapsed="false">
      <c r="A1257" s="13" t="n">
        <f aca="false">1+A1256</f>
        <v>1255</v>
      </c>
      <c r="B1257" s="14" t="n">
        <v>1009613265</v>
      </c>
      <c r="C1257" s="15" t="s">
        <v>184</v>
      </c>
      <c r="D1257" s="16" t="s">
        <v>64</v>
      </c>
      <c r="E1257" s="17" t="s">
        <v>91</v>
      </c>
      <c r="F1257" s="18" t="s">
        <v>34</v>
      </c>
      <c r="G1257" s="19" t="n">
        <v>134127469796</v>
      </c>
      <c r="H1257" s="17" t="s">
        <v>35</v>
      </c>
      <c r="I1257" s="17" t="s">
        <v>44</v>
      </c>
      <c r="J1257" s="17" t="s">
        <v>241</v>
      </c>
      <c r="K1257" s="17" t="str">
        <f aca="false">VLOOKUP(J1257,Sheet2!A:B,2,0)</f>
        <v>NILESH NAGAR</v>
      </c>
      <c r="L1257" s="17" t="n">
        <v>5</v>
      </c>
      <c r="M1257" s="17" t="str">
        <f aca="false">VLOOKUP(L1257,Sheet2!D:E,2,0)</f>
        <v>Main Processor CPU BGA</v>
      </c>
      <c r="N1257" s="17" t="n">
        <v>1</v>
      </c>
      <c r="O1257" s="17" t="str">
        <f aca="false">VLOOKUP(N1257,Sheet2!G:H,2,0)</f>
        <v>Dead</v>
      </c>
      <c r="P1257" s="17" t="n">
        <v>11</v>
      </c>
      <c r="Q1257" s="17" t="str">
        <f aca="false">VLOOKUP(P1257,Sheet2!J:K,2,0)</f>
        <v>IR Declared due to CID -TA</v>
      </c>
      <c r="R1257" s="17" t="s">
        <v>35</v>
      </c>
      <c r="S1257" s="17" t="str">
        <f aca="false">VLOOKUP(R1257,Sheet2!N:O,2,0)</f>
        <v>IREPARABLE</v>
      </c>
      <c r="T1257" s="18" t="str">
        <f aca="false">VLOOKUP(P1257,Sheet2!Q:R,2,0)</f>
        <v>IR Normal - Track burn out</v>
      </c>
      <c r="U1257" s="18" t="s">
        <v>122</v>
      </c>
      <c r="V1257" s="17" t="n">
        <v>2</v>
      </c>
      <c r="W1257" s="20" t="str">
        <f aca="false">VLOOKUP(V1257,Sheet2!Q:R,2,0)</f>
        <v>IR CID -  Water log from other area</v>
      </c>
      <c r="X1257" s="17" t="str">
        <f aca="false">J1257</f>
        <v>A008</v>
      </c>
      <c r="Y1257" s="17" t="str">
        <f aca="false">VLOOKUP(X1257,Sheet2!A:B,2,0)</f>
        <v>NILESH NAGAR</v>
      </c>
      <c r="Z1257" s="17" t="s">
        <v>626</v>
      </c>
      <c r="AA1257" s="17" t="s">
        <v>547</v>
      </c>
      <c r="AB1257" s="17" t="s">
        <v>41</v>
      </c>
      <c r="AC1257" s="0" t="str">
        <f aca="false">LEFT(G1257,2)</f>
        <v>13</v>
      </c>
      <c r="AE1257" s="21" t="s">
        <v>506</v>
      </c>
    </row>
    <row r="1258" customFormat="false" ht="15" hidden="false" customHeight="false" outlineLevel="0" collapsed="false">
      <c r="A1258" s="13" t="n">
        <f aca="false">1+A1257</f>
        <v>1256</v>
      </c>
      <c r="B1258" s="14" t="n">
        <v>1009091470</v>
      </c>
      <c r="C1258" s="15" t="s">
        <v>414</v>
      </c>
      <c r="D1258" s="16" t="s">
        <v>64</v>
      </c>
      <c r="E1258" s="17" t="s">
        <v>47</v>
      </c>
      <c r="F1258" s="18" t="s">
        <v>34</v>
      </c>
      <c r="G1258" s="19" t="n">
        <v>135227093741</v>
      </c>
      <c r="H1258" s="17" t="s">
        <v>35</v>
      </c>
      <c r="I1258" s="17" t="s">
        <v>44</v>
      </c>
      <c r="J1258" s="17" t="s">
        <v>111</v>
      </c>
      <c r="K1258" s="17" t="str">
        <f aca="false">VLOOKUP(J1258,Sheet2!A:B,2,0)</f>
        <v>NITIN PRANAMI</v>
      </c>
      <c r="L1258" s="17" t="n">
        <v>1</v>
      </c>
      <c r="M1258" s="17" t="str">
        <f aca="false">VLOOKUP(L1258,Sheet2!D:E,2,0)</f>
        <v>Power Supply Section</v>
      </c>
      <c r="N1258" s="17" t="n">
        <v>1</v>
      </c>
      <c r="O1258" s="17" t="str">
        <f aca="false">VLOOKUP(N1258,Sheet2!G:H,2,0)</f>
        <v>Dead</v>
      </c>
      <c r="P1258" s="17" t="n">
        <v>12</v>
      </c>
      <c r="Q1258" s="17" t="str">
        <f aca="false">VLOOKUP(P1258,Sheet2!J:K,2,0)</f>
        <v>IR Declared due to Others ( IR Normal)TB</v>
      </c>
      <c r="R1258" s="17" t="s">
        <v>35</v>
      </c>
      <c r="S1258" s="17" t="str">
        <f aca="false">VLOOKUP(R1258,Sheet2!N:O,2,0)</f>
        <v>IREPARABLE</v>
      </c>
      <c r="T1258" s="18" t="str">
        <f aca="false">VLOOKUP(P1258,Sheet2!Q:R,2,0)</f>
        <v>IR Normal - BER to IR</v>
      </c>
      <c r="U1258" s="15" t="s">
        <v>38</v>
      </c>
      <c r="V1258" s="17" t="n">
        <v>11</v>
      </c>
      <c r="W1258" s="20" t="str">
        <f aca="false">VLOOKUP(V1258,Sheet2!Q:R,2,0)</f>
        <v>IR Normal - Track burn out</v>
      </c>
      <c r="X1258" s="17" t="str">
        <f aca="false">J1258</f>
        <v>A031</v>
      </c>
      <c r="Y1258" s="17" t="str">
        <f aca="false">VLOOKUP(X1258,Sheet2!A:B,2,0)</f>
        <v>NITIN PRANAMI</v>
      </c>
      <c r="Z1258" s="17" t="s">
        <v>509</v>
      </c>
      <c r="AA1258" s="17" t="s">
        <v>547</v>
      </c>
      <c r="AB1258" s="17" t="s">
        <v>41</v>
      </c>
      <c r="AC1258" s="0" t="str">
        <f aca="false">LEFT(G1258,2)</f>
        <v>13</v>
      </c>
      <c r="AE1258" s="21" t="s">
        <v>506</v>
      </c>
    </row>
    <row r="1259" customFormat="false" ht="15" hidden="false" customHeight="false" outlineLevel="0" collapsed="false">
      <c r="A1259" s="13" t="n">
        <f aca="false">1+A1258</f>
        <v>1257</v>
      </c>
      <c r="B1259" s="14" t="n">
        <v>1009487210</v>
      </c>
      <c r="C1259" s="15" t="s">
        <v>220</v>
      </c>
      <c r="D1259" s="16" t="s">
        <v>230</v>
      </c>
      <c r="E1259" s="17" t="s">
        <v>200</v>
      </c>
      <c r="F1259" s="18" t="s">
        <v>34</v>
      </c>
      <c r="G1259" s="19" t="n">
        <v>277291229700</v>
      </c>
      <c r="H1259" s="17" t="s">
        <v>35</v>
      </c>
      <c r="I1259" s="17" t="s">
        <v>74</v>
      </c>
      <c r="J1259" s="17" t="s">
        <v>100</v>
      </c>
      <c r="K1259" s="17" t="str">
        <f aca="false">VLOOKUP(J1259,Sheet2!A:B,2,0)</f>
        <v>PIYUSH CHAVDA</v>
      </c>
      <c r="L1259" s="17" t="n">
        <v>1</v>
      </c>
      <c r="M1259" s="17" t="str">
        <f aca="false">VLOOKUP(L1259,Sheet2!D:E,2,0)</f>
        <v>Power Supply Section</v>
      </c>
      <c r="N1259" s="17" t="n">
        <v>1</v>
      </c>
      <c r="O1259" s="17" t="str">
        <f aca="false">VLOOKUP(N1259,Sheet2!G:H,2,0)</f>
        <v>Dead</v>
      </c>
      <c r="P1259" s="17" t="n">
        <v>11</v>
      </c>
      <c r="Q1259" s="17" t="str">
        <f aca="false">VLOOKUP(P1259,Sheet2!J:K,2,0)</f>
        <v>IR Declared due to CID -TA</v>
      </c>
      <c r="R1259" s="17" t="s">
        <v>35</v>
      </c>
      <c r="S1259" s="17" t="str">
        <f aca="false">VLOOKUP(R1259,Sheet2!N:O,2,0)</f>
        <v>IREPARABLE</v>
      </c>
      <c r="T1259" s="18" t="str">
        <f aca="false">VLOOKUP(P1259,Sheet2!Q:R,2,0)</f>
        <v>IR Normal - Track burn out</v>
      </c>
      <c r="U1259" s="18" t="s">
        <v>122</v>
      </c>
      <c r="V1259" s="17" t="n">
        <v>2</v>
      </c>
      <c r="W1259" s="20" t="str">
        <f aca="false">VLOOKUP(V1259,Sheet2!Q:R,2,0)</f>
        <v>IR CID -  Water log from other area</v>
      </c>
      <c r="X1259" s="17" t="str">
        <f aca="false">J1259</f>
        <v>A050</v>
      </c>
      <c r="Y1259" s="17" t="str">
        <f aca="false">VLOOKUP(X1259,Sheet2!A:B,2,0)</f>
        <v>PIYUSH CHAVDA</v>
      </c>
      <c r="Z1259" s="17" t="s">
        <v>627</v>
      </c>
      <c r="AA1259" s="17" t="s">
        <v>547</v>
      </c>
      <c r="AB1259" s="17" t="s">
        <v>41</v>
      </c>
      <c r="AC1259" s="0" t="str">
        <f aca="false">LEFT(G1259,2)</f>
        <v>27</v>
      </c>
      <c r="AE1259" s="21" t="s">
        <v>506</v>
      </c>
    </row>
    <row r="1260" customFormat="false" ht="15" hidden="false" customHeight="false" outlineLevel="0" collapsed="false">
      <c r="A1260" s="13" t="n">
        <f aca="false">1+A1259</f>
        <v>1258</v>
      </c>
      <c r="B1260" s="14" t="n">
        <v>1009488029</v>
      </c>
      <c r="C1260" s="15" t="s">
        <v>220</v>
      </c>
      <c r="D1260" s="16" t="s">
        <v>64</v>
      </c>
      <c r="E1260" s="17" t="s">
        <v>64</v>
      </c>
      <c r="F1260" s="18" t="s">
        <v>34</v>
      </c>
      <c r="G1260" s="19" t="n">
        <v>288126206524</v>
      </c>
      <c r="H1260" s="17" t="s">
        <v>35</v>
      </c>
      <c r="I1260" s="17" t="s">
        <v>74</v>
      </c>
      <c r="J1260" s="17" t="s">
        <v>241</v>
      </c>
      <c r="K1260" s="17" t="str">
        <f aca="false">VLOOKUP(J1260,Sheet2!A:B,2,0)</f>
        <v>NILESH NAGAR</v>
      </c>
      <c r="L1260" s="17" t="n">
        <v>5</v>
      </c>
      <c r="M1260" s="17" t="str">
        <f aca="false">VLOOKUP(L1260,Sheet2!D:E,2,0)</f>
        <v>Main Processor CPU BGA</v>
      </c>
      <c r="N1260" s="17" t="n">
        <v>1</v>
      </c>
      <c r="O1260" s="17" t="str">
        <f aca="false">VLOOKUP(N1260,Sheet2!G:H,2,0)</f>
        <v>Dead</v>
      </c>
      <c r="P1260" s="17" t="n">
        <v>11</v>
      </c>
      <c r="Q1260" s="17" t="str">
        <f aca="false">VLOOKUP(P1260,Sheet2!J:K,2,0)</f>
        <v>IR Declared due to CID -TA</v>
      </c>
      <c r="R1260" s="17" t="s">
        <v>35</v>
      </c>
      <c r="S1260" s="17" t="str">
        <f aca="false">VLOOKUP(R1260,Sheet2!N:O,2,0)</f>
        <v>IREPARABLE</v>
      </c>
      <c r="T1260" s="18" t="str">
        <f aca="false">VLOOKUP(P1260,Sheet2!Q:R,2,0)</f>
        <v>IR Normal - Track burn out</v>
      </c>
      <c r="U1260" s="18" t="s">
        <v>122</v>
      </c>
      <c r="V1260" s="17" t="n">
        <v>2</v>
      </c>
      <c r="W1260" s="20" t="str">
        <f aca="false">VLOOKUP(V1260,Sheet2!Q:R,2,0)</f>
        <v>IR CID -  Water log from other area</v>
      </c>
      <c r="X1260" s="17" t="str">
        <f aca="false">J1260</f>
        <v>A008</v>
      </c>
      <c r="Y1260" s="17" t="str">
        <f aca="false">VLOOKUP(X1260,Sheet2!A:B,2,0)</f>
        <v>NILESH NAGAR</v>
      </c>
      <c r="Z1260" s="17" t="s">
        <v>628</v>
      </c>
      <c r="AA1260" s="17" t="s">
        <v>547</v>
      </c>
      <c r="AB1260" s="17" t="s">
        <v>41</v>
      </c>
      <c r="AC1260" s="0" t="str">
        <f aca="false">LEFT(G1260,2)</f>
        <v>28</v>
      </c>
      <c r="AE1260" s="21" t="s">
        <v>506</v>
      </c>
    </row>
    <row r="1261" customFormat="false" ht="15" hidden="false" customHeight="false" outlineLevel="0" collapsed="false">
      <c r="A1261" s="13" t="n">
        <f aca="false">1+A1260</f>
        <v>1259</v>
      </c>
      <c r="B1261" s="14" t="n">
        <v>1009541688</v>
      </c>
      <c r="C1261" s="15" t="s">
        <v>126</v>
      </c>
      <c r="D1261" s="16" t="s">
        <v>64</v>
      </c>
      <c r="E1261" s="17" t="s">
        <v>64</v>
      </c>
      <c r="F1261" s="18" t="s">
        <v>34</v>
      </c>
      <c r="G1261" s="19" t="n">
        <v>288090175309</v>
      </c>
      <c r="H1261" s="17" t="s">
        <v>35</v>
      </c>
      <c r="I1261" s="17" t="s">
        <v>74</v>
      </c>
      <c r="J1261" s="17" t="s">
        <v>111</v>
      </c>
      <c r="K1261" s="17" t="str">
        <f aca="false">VLOOKUP(J1261,Sheet2!A:B,2,0)</f>
        <v>NITIN PRANAMI</v>
      </c>
      <c r="L1261" s="17" t="n">
        <v>1</v>
      </c>
      <c r="M1261" s="17" t="str">
        <f aca="false">VLOOKUP(L1261,Sheet2!D:E,2,0)</f>
        <v>Power Supply Section</v>
      </c>
      <c r="N1261" s="17" t="n">
        <v>1</v>
      </c>
      <c r="O1261" s="17" t="str">
        <f aca="false">VLOOKUP(N1261,Sheet2!G:H,2,0)</f>
        <v>Dead</v>
      </c>
      <c r="P1261" s="17" t="n">
        <v>11</v>
      </c>
      <c r="Q1261" s="17" t="str">
        <f aca="false">VLOOKUP(P1261,Sheet2!J:K,2,0)</f>
        <v>IR Declared due to CID -TA</v>
      </c>
      <c r="R1261" s="17" t="s">
        <v>35</v>
      </c>
      <c r="S1261" s="17" t="str">
        <f aca="false">VLOOKUP(R1261,Sheet2!N:O,2,0)</f>
        <v>IREPARABLE</v>
      </c>
      <c r="T1261" s="18" t="str">
        <f aca="false">VLOOKUP(P1261,Sheet2!Q:R,2,0)</f>
        <v>IR Normal - Track burn out</v>
      </c>
      <c r="U1261" s="18" t="s">
        <v>122</v>
      </c>
      <c r="V1261" s="17" t="n">
        <v>2</v>
      </c>
      <c r="W1261" s="20" t="str">
        <f aca="false">VLOOKUP(V1261,Sheet2!Q:R,2,0)</f>
        <v>IR CID -  Water log from other area</v>
      </c>
      <c r="X1261" s="17" t="str">
        <f aca="false">J1261</f>
        <v>A031</v>
      </c>
      <c r="Y1261" s="17" t="str">
        <f aca="false">VLOOKUP(X1261,Sheet2!A:B,2,0)</f>
        <v>NITIN PRANAMI</v>
      </c>
      <c r="Z1261" s="17" t="s">
        <v>629</v>
      </c>
      <c r="AA1261" s="17" t="s">
        <v>547</v>
      </c>
      <c r="AB1261" s="17" t="s">
        <v>41</v>
      </c>
      <c r="AC1261" s="0" t="str">
        <f aca="false">LEFT(G1261,2)</f>
        <v>28</v>
      </c>
      <c r="AE1261" s="21" t="s">
        <v>506</v>
      </c>
    </row>
    <row r="1262" customFormat="false" ht="15" hidden="false" customHeight="false" outlineLevel="0" collapsed="false">
      <c r="A1262" s="13" t="n">
        <f aca="false">1+A1261</f>
        <v>1260</v>
      </c>
      <c r="B1262" s="14" t="n">
        <v>1009626036</v>
      </c>
      <c r="C1262" s="15" t="s">
        <v>163</v>
      </c>
      <c r="D1262" s="16" t="s">
        <v>64</v>
      </c>
      <c r="E1262" s="17" t="s">
        <v>47</v>
      </c>
      <c r="F1262" s="18" t="s">
        <v>34</v>
      </c>
      <c r="G1262" s="19" t="n">
        <v>288139157698</v>
      </c>
      <c r="H1262" s="17" t="s">
        <v>35</v>
      </c>
      <c r="I1262" s="17" t="s">
        <v>74</v>
      </c>
      <c r="J1262" s="17" t="s">
        <v>239</v>
      </c>
      <c r="K1262" s="17" t="str">
        <f aca="false">VLOOKUP(J1262,Sheet2!A:B,2,0)</f>
        <v>VASANT PARMAR</v>
      </c>
      <c r="L1262" s="17" t="n">
        <v>5</v>
      </c>
      <c r="M1262" s="17" t="str">
        <f aca="false">VLOOKUP(L1262,Sheet2!D:E,2,0)</f>
        <v>Main Processor CPU BGA</v>
      </c>
      <c r="N1262" s="17" t="n">
        <v>1</v>
      </c>
      <c r="O1262" s="17" t="str">
        <f aca="false">VLOOKUP(N1262,Sheet2!G:H,2,0)</f>
        <v>Dead</v>
      </c>
      <c r="P1262" s="17" t="n">
        <v>11</v>
      </c>
      <c r="Q1262" s="17" t="str">
        <f aca="false">VLOOKUP(P1262,Sheet2!J:K,2,0)</f>
        <v>IR Declared due to CID -TA</v>
      </c>
      <c r="R1262" s="17" t="s">
        <v>35</v>
      </c>
      <c r="S1262" s="17" t="str">
        <f aca="false">VLOOKUP(R1262,Sheet2!N:O,2,0)</f>
        <v>IREPARABLE</v>
      </c>
      <c r="T1262" s="18" t="str">
        <f aca="false">VLOOKUP(P1262,Sheet2!Q:R,2,0)</f>
        <v>IR Normal - Track burn out</v>
      </c>
      <c r="U1262" s="18" t="s">
        <v>122</v>
      </c>
      <c r="V1262" s="17" t="n">
        <v>2</v>
      </c>
      <c r="W1262" s="20" t="str">
        <f aca="false">VLOOKUP(V1262,Sheet2!Q:R,2,0)</f>
        <v>IR CID -  Water log from other area</v>
      </c>
      <c r="X1262" s="17" t="str">
        <f aca="false">J1262</f>
        <v>A005</v>
      </c>
      <c r="Y1262" s="17" t="str">
        <f aca="false">VLOOKUP(X1262,Sheet2!A:B,2,0)</f>
        <v>VASANT PARMAR</v>
      </c>
      <c r="Z1262" s="17" t="s">
        <v>630</v>
      </c>
      <c r="AA1262" s="17" t="s">
        <v>547</v>
      </c>
      <c r="AB1262" s="17" t="s">
        <v>41</v>
      </c>
      <c r="AC1262" s="0" t="str">
        <f aca="false">LEFT(G1262,2)</f>
        <v>28</v>
      </c>
      <c r="AE1262" s="21" t="s">
        <v>506</v>
      </c>
    </row>
    <row r="1263" customFormat="false" ht="15" hidden="false" customHeight="false" outlineLevel="0" collapsed="false">
      <c r="A1263" s="13" t="n">
        <f aca="false">1+A1262</f>
        <v>1261</v>
      </c>
      <c r="B1263" s="14" t="n">
        <v>1009357550</v>
      </c>
      <c r="C1263" s="15" t="s">
        <v>278</v>
      </c>
      <c r="D1263" s="16" t="s">
        <v>64</v>
      </c>
      <c r="E1263" s="17" t="s">
        <v>47</v>
      </c>
      <c r="F1263" s="18" t="s">
        <v>34</v>
      </c>
      <c r="G1263" s="19" t="n">
        <v>853051714220</v>
      </c>
      <c r="H1263" s="17" t="s">
        <v>35</v>
      </c>
      <c r="I1263" s="17" t="s">
        <v>36</v>
      </c>
      <c r="J1263" s="17" t="s">
        <v>118</v>
      </c>
      <c r="K1263" s="17" t="str">
        <f aca="false">VLOOKUP(J1263,Sheet2!A:B,2,0)</f>
        <v>DEVENDRA RAJPUT</v>
      </c>
      <c r="L1263" s="17" t="n">
        <v>5</v>
      </c>
      <c r="M1263" s="17" t="str">
        <f aca="false">VLOOKUP(L1263,Sheet2!D:E,2,0)</f>
        <v>Main Processor CPU BGA</v>
      </c>
      <c r="N1263" s="17" t="n">
        <v>1</v>
      </c>
      <c r="O1263" s="17" t="str">
        <f aca="false">VLOOKUP(N1263,Sheet2!G:H,2,0)</f>
        <v>Dead</v>
      </c>
      <c r="P1263" s="17" t="n">
        <v>12</v>
      </c>
      <c r="Q1263" s="17" t="str">
        <f aca="false">VLOOKUP(P1263,Sheet2!J:K,2,0)</f>
        <v>IR Declared due to Others ( IR Normal)TB</v>
      </c>
      <c r="R1263" s="17" t="s">
        <v>35</v>
      </c>
      <c r="S1263" s="17" t="str">
        <f aca="false">VLOOKUP(R1263,Sheet2!N:O,2,0)</f>
        <v>IREPARABLE</v>
      </c>
      <c r="T1263" s="18" t="str">
        <f aca="false">VLOOKUP(P1263,Sheet2!Q:R,2,0)</f>
        <v>IR Normal - BER to IR</v>
      </c>
      <c r="U1263" s="20" t="s">
        <v>110</v>
      </c>
      <c r="V1263" s="17" t="n">
        <v>9</v>
      </c>
      <c r="W1263" s="20" t="str">
        <f aca="false">VLOOKUP(V1263,Sheet2!Q:R,2,0)</f>
        <v>IR Normal - Multiple time repair </v>
      </c>
      <c r="X1263" s="17" t="str">
        <f aca="false">J1263</f>
        <v>A053</v>
      </c>
      <c r="Y1263" s="17" t="str">
        <f aca="false">VLOOKUP(X1263,Sheet2!A:B,2,0)</f>
        <v>DEVENDRA RAJPUT</v>
      </c>
      <c r="Z1263" s="17" t="s">
        <v>127</v>
      </c>
      <c r="AA1263" s="17" t="s">
        <v>547</v>
      </c>
      <c r="AB1263" s="17" t="s">
        <v>41</v>
      </c>
      <c r="AC1263" s="0" t="str">
        <f aca="false">LEFT(G1263,2)</f>
        <v>85</v>
      </c>
      <c r="AE1263" s="21" t="s">
        <v>506</v>
      </c>
    </row>
    <row r="1264" customFormat="false" ht="15" hidden="false" customHeight="false" outlineLevel="0" collapsed="false">
      <c r="A1264" s="13" t="n">
        <f aca="false">1+A1263</f>
        <v>1262</v>
      </c>
      <c r="B1264" s="14" t="n">
        <v>1009391167</v>
      </c>
      <c r="C1264" s="15" t="s">
        <v>514</v>
      </c>
      <c r="D1264" s="16" t="s">
        <v>158</v>
      </c>
      <c r="E1264" s="17" t="s">
        <v>47</v>
      </c>
      <c r="F1264" s="18" t="s">
        <v>34</v>
      </c>
      <c r="G1264" s="19" t="n">
        <v>853344714342</v>
      </c>
      <c r="H1264" s="17" t="s">
        <v>35</v>
      </c>
      <c r="I1264" s="17" t="s">
        <v>36</v>
      </c>
      <c r="J1264" s="17" t="s">
        <v>100</v>
      </c>
      <c r="K1264" s="17" t="str">
        <f aca="false">VLOOKUP(J1264,Sheet2!A:B,2,0)</f>
        <v>PIYUSH CHAVDA</v>
      </c>
      <c r="L1264" s="17" t="n">
        <v>1</v>
      </c>
      <c r="M1264" s="17" t="str">
        <f aca="false">VLOOKUP(L1264,Sheet2!D:E,2,0)</f>
        <v>Power Supply Section</v>
      </c>
      <c r="N1264" s="17" t="n">
        <v>1</v>
      </c>
      <c r="O1264" s="17" t="str">
        <f aca="false">VLOOKUP(N1264,Sheet2!G:H,2,0)</f>
        <v>Dead</v>
      </c>
      <c r="P1264" s="17" t="n">
        <v>11</v>
      </c>
      <c r="Q1264" s="17" t="str">
        <f aca="false">VLOOKUP(P1264,Sheet2!J:K,2,0)</f>
        <v>IR Declared due to CID -TA</v>
      </c>
      <c r="R1264" s="17" t="s">
        <v>35</v>
      </c>
      <c r="S1264" s="17" t="str">
        <f aca="false">VLOOKUP(R1264,Sheet2!N:O,2,0)</f>
        <v>IREPARABLE</v>
      </c>
      <c r="T1264" s="18" t="str">
        <f aca="false">VLOOKUP(P1264,Sheet2!Q:R,2,0)</f>
        <v>IR Normal - Track burn out</v>
      </c>
      <c r="U1264" s="18" t="s">
        <v>122</v>
      </c>
      <c r="V1264" s="17" t="n">
        <v>2</v>
      </c>
      <c r="W1264" s="20" t="str">
        <f aca="false">VLOOKUP(V1264,Sheet2!Q:R,2,0)</f>
        <v>IR CID -  Water log from other area</v>
      </c>
      <c r="X1264" s="17" t="str">
        <f aca="false">J1264</f>
        <v>A050</v>
      </c>
      <c r="Y1264" s="17" t="str">
        <f aca="false">VLOOKUP(X1264,Sheet2!A:B,2,0)</f>
        <v>PIYUSH CHAVDA</v>
      </c>
      <c r="Z1264" s="17" t="s">
        <v>631</v>
      </c>
      <c r="AA1264" s="17" t="s">
        <v>547</v>
      </c>
      <c r="AB1264" s="17" t="s">
        <v>41</v>
      </c>
      <c r="AC1264" s="0" t="str">
        <f aca="false">LEFT(G1264,2)</f>
        <v>85</v>
      </c>
      <c r="AE1264" s="21" t="s">
        <v>506</v>
      </c>
    </row>
    <row r="1265" customFormat="false" ht="15" hidden="false" customHeight="false" outlineLevel="0" collapsed="false">
      <c r="A1265" s="13" t="n">
        <f aca="false">1+A1264</f>
        <v>1263</v>
      </c>
      <c r="B1265" s="14" t="n">
        <v>1009365270</v>
      </c>
      <c r="C1265" s="15" t="s">
        <v>278</v>
      </c>
      <c r="D1265" s="16" t="s">
        <v>64</v>
      </c>
      <c r="E1265" s="17" t="s">
        <v>64</v>
      </c>
      <c r="F1265" s="18" t="s">
        <v>34</v>
      </c>
      <c r="G1265" s="19" t="n">
        <v>853262738067</v>
      </c>
      <c r="H1265" s="17" t="s">
        <v>35</v>
      </c>
      <c r="I1265" s="17" t="s">
        <v>36</v>
      </c>
      <c r="J1265" s="17" t="s">
        <v>267</v>
      </c>
      <c r="K1265" s="17" t="str">
        <f aca="false">VLOOKUP(J1265,Sheet2!A:B,2,0)</f>
        <v>HARIRAM GUPTA</v>
      </c>
      <c r="L1265" s="17" t="n">
        <v>1</v>
      </c>
      <c r="M1265" s="17" t="str">
        <f aca="false">VLOOKUP(L1265,Sheet2!D:E,2,0)</f>
        <v>Power Supply Section</v>
      </c>
      <c r="N1265" s="17" t="n">
        <v>1</v>
      </c>
      <c r="O1265" s="17" t="str">
        <f aca="false">VLOOKUP(N1265,Sheet2!G:H,2,0)</f>
        <v>Dead</v>
      </c>
      <c r="P1265" s="17" t="n">
        <v>11</v>
      </c>
      <c r="Q1265" s="17" t="str">
        <f aca="false">VLOOKUP(P1265,Sheet2!J:K,2,0)</f>
        <v>IR Declared due to CID -TA</v>
      </c>
      <c r="R1265" s="17" t="s">
        <v>35</v>
      </c>
      <c r="S1265" s="17" t="str">
        <f aca="false">VLOOKUP(R1265,Sheet2!N:O,2,0)</f>
        <v>IREPARABLE</v>
      </c>
      <c r="T1265" s="18" t="str">
        <f aca="false">VLOOKUP(P1265,Sheet2!Q:R,2,0)</f>
        <v>IR Normal - Track burn out</v>
      </c>
      <c r="U1265" s="18" t="s">
        <v>122</v>
      </c>
      <c r="V1265" s="17" t="n">
        <v>2</v>
      </c>
      <c r="W1265" s="20" t="str">
        <f aca="false">VLOOKUP(V1265,Sheet2!Q:R,2,0)</f>
        <v>IR CID -  Water log from other area</v>
      </c>
      <c r="X1265" s="17" t="str">
        <f aca="false">J1265</f>
        <v>A007</v>
      </c>
      <c r="Y1265" s="17" t="str">
        <f aca="false">VLOOKUP(X1265,Sheet2!A:B,2,0)</f>
        <v>HARIRAM GUPTA</v>
      </c>
      <c r="Z1265" s="17" t="s">
        <v>632</v>
      </c>
      <c r="AA1265" s="17" t="s">
        <v>547</v>
      </c>
      <c r="AB1265" s="17" t="s">
        <v>41</v>
      </c>
      <c r="AC1265" s="0" t="str">
        <f aca="false">LEFT(G1265,2)</f>
        <v>85</v>
      </c>
      <c r="AE1265" s="21" t="s">
        <v>506</v>
      </c>
    </row>
    <row r="1266" customFormat="false" ht="15" hidden="false" customHeight="false" outlineLevel="0" collapsed="false">
      <c r="A1266" s="13" t="n">
        <f aca="false">1+A1265</f>
        <v>1264</v>
      </c>
      <c r="B1266" s="14" t="n">
        <v>1009498327</v>
      </c>
      <c r="C1266" s="15" t="s">
        <v>146</v>
      </c>
      <c r="D1266" s="16" t="s">
        <v>64</v>
      </c>
      <c r="E1266" s="17" t="s">
        <v>64</v>
      </c>
      <c r="F1266" s="18" t="s">
        <v>34</v>
      </c>
      <c r="G1266" s="19" t="n">
        <v>844093773779</v>
      </c>
      <c r="H1266" s="17" t="s">
        <v>35</v>
      </c>
      <c r="I1266" s="17" t="s">
        <v>36</v>
      </c>
      <c r="J1266" s="17" t="s">
        <v>241</v>
      </c>
      <c r="K1266" s="17" t="str">
        <f aca="false">VLOOKUP(J1266,Sheet2!A:B,2,0)</f>
        <v>NILESH NAGAR</v>
      </c>
      <c r="L1266" s="17" t="n">
        <v>5</v>
      </c>
      <c r="M1266" s="17" t="str">
        <f aca="false">VLOOKUP(L1266,Sheet2!D:E,2,0)</f>
        <v>Main Processor CPU BGA</v>
      </c>
      <c r="N1266" s="17" t="n">
        <v>1</v>
      </c>
      <c r="O1266" s="17" t="str">
        <f aca="false">VLOOKUP(N1266,Sheet2!G:H,2,0)</f>
        <v>Dead</v>
      </c>
      <c r="P1266" s="17" t="n">
        <v>11</v>
      </c>
      <c r="Q1266" s="17" t="str">
        <f aca="false">VLOOKUP(P1266,Sheet2!J:K,2,0)</f>
        <v>IR Declared due to CID -TA</v>
      </c>
      <c r="R1266" s="17" t="s">
        <v>35</v>
      </c>
      <c r="S1266" s="17" t="str">
        <f aca="false">VLOOKUP(R1266,Sheet2!N:O,2,0)</f>
        <v>IREPARABLE</v>
      </c>
      <c r="T1266" s="18" t="str">
        <f aca="false">VLOOKUP(P1266,Sheet2!Q:R,2,0)</f>
        <v>IR Normal - Track burn out</v>
      </c>
      <c r="U1266" s="18" t="s">
        <v>122</v>
      </c>
      <c r="V1266" s="17" t="n">
        <v>2</v>
      </c>
      <c r="W1266" s="20" t="str">
        <f aca="false">VLOOKUP(V1266,Sheet2!Q:R,2,0)</f>
        <v>IR CID -  Water log from other area</v>
      </c>
      <c r="X1266" s="17" t="str">
        <f aca="false">J1266</f>
        <v>A008</v>
      </c>
      <c r="Y1266" s="17" t="str">
        <f aca="false">VLOOKUP(X1266,Sheet2!A:B,2,0)</f>
        <v>NILESH NAGAR</v>
      </c>
      <c r="Z1266" s="17" t="s">
        <v>633</v>
      </c>
      <c r="AA1266" s="17" t="s">
        <v>547</v>
      </c>
      <c r="AB1266" s="17" t="s">
        <v>41</v>
      </c>
      <c r="AC1266" s="0" t="str">
        <f aca="false">LEFT(G1266,2)</f>
        <v>84</v>
      </c>
      <c r="AE1266" s="21" t="s">
        <v>506</v>
      </c>
    </row>
    <row r="1267" customFormat="false" ht="15" hidden="false" customHeight="false" outlineLevel="0" collapsed="false">
      <c r="A1267" s="13" t="n">
        <f aca="false">1+A1266</f>
        <v>1265</v>
      </c>
      <c r="B1267" s="14" t="n">
        <v>1009394805</v>
      </c>
      <c r="C1267" s="15" t="s">
        <v>80</v>
      </c>
      <c r="D1267" s="16" t="s">
        <v>64</v>
      </c>
      <c r="E1267" s="17" t="s">
        <v>64</v>
      </c>
      <c r="F1267" s="18" t="s">
        <v>34</v>
      </c>
      <c r="G1267" s="19" t="n">
        <v>743033604542</v>
      </c>
      <c r="H1267" s="17" t="s">
        <v>35</v>
      </c>
      <c r="I1267" s="17" t="s">
        <v>54</v>
      </c>
      <c r="J1267" s="17" t="s">
        <v>267</v>
      </c>
      <c r="K1267" s="17" t="str">
        <f aca="false">VLOOKUP(J1267,Sheet2!A:B,2,0)</f>
        <v>HARIRAM GUPTA</v>
      </c>
      <c r="L1267" s="17" t="n">
        <v>1</v>
      </c>
      <c r="M1267" s="17" t="str">
        <f aca="false">VLOOKUP(L1267,Sheet2!D:E,2,0)</f>
        <v>Power Supply Section</v>
      </c>
      <c r="N1267" s="17" t="n">
        <v>1</v>
      </c>
      <c r="O1267" s="17" t="str">
        <f aca="false">VLOOKUP(N1267,Sheet2!G:H,2,0)</f>
        <v>Dead</v>
      </c>
      <c r="P1267" s="17" t="n">
        <v>11</v>
      </c>
      <c r="Q1267" s="17" t="str">
        <f aca="false">VLOOKUP(P1267,Sheet2!J:K,2,0)</f>
        <v>IR Declared due to CID -TA</v>
      </c>
      <c r="R1267" s="17" t="s">
        <v>35</v>
      </c>
      <c r="S1267" s="17" t="str">
        <f aca="false">VLOOKUP(R1267,Sheet2!N:O,2,0)</f>
        <v>IREPARABLE</v>
      </c>
      <c r="T1267" s="18" t="str">
        <f aca="false">VLOOKUP(P1267,Sheet2!Q:R,2,0)</f>
        <v>IR Normal - Track burn out</v>
      </c>
      <c r="U1267" s="18" t="s">
        <v>38</v>
      </c>
      <c r="V1267" s="17" t="n">
        <v>4</v>
      </c>
      <c r="W1267" s="20" t="str">
        <f aca="false">VLOOKUP(V1267,Sheet2!Q:R,2,0)</f>
        <v>IR CID - Tampered Track burn out</v>
      </c>
      <c r="X1267" s="17" t="str">
        <f aca="false">J1267</f>
        <v>A007</v>
      </c>
      <c r="Y1267" s="17" t="str">
        <f aca="false">VLOOKUP(X1267,Sheet2!A:B,2,0)</f>
        <v>HARIRAM GUPTA</v>
      </c>
      <c r="Z1267" s="17" t="s">
        <v>407</v>
      </c>
      <c r="AA1267" s="17" t="s">
        <v>547</v>
      </c>
      <c r="AB1267" s="17" t="s">
        <v>41</v>
      </c>
      <c r="AC1267" s="0" t="str">
        <f aca="false">LEFT(G1267,2)</f>
        <v>74</v>
      </c>
      <c r="AE1267" s="21" t="s">
        <v>506</v>
      </c>
    </row>
    <row r="1268" customFormat="false" ht="15" hidden="false" customHeight="false" outlineLevel="0" collapsed="false">
      <c r="A1268" s="13" t="n">
        <f aca="false">1+A1267</f>
        <v>1266</v>
      </c>
      <c r="B1268" s="14" t="n">
        <v>1009611773</v>
      </c>
      <c r="C1268" s="15" t="s">
        <v>181</v>
      </c>
      <c r="D1268" s="16" t="s">
        <v>119</v>
      </c>
      <c r="E1268" s="17" t="s">
        <v>208</v>
      </c>
      <c r="F1268" s="18" t="s">
        <v>34</v>
      </c>
      <c r="G1268" s="19" t="n">
        <v>752044332597</v>
      </c>
      <c r="H1268" s="17" t="s">
        <v>35</v>
      </c>
      <c r="I1268" s="17" t="s">
        <v>54</v>
      </c>
      <c r="J1268" s="17" t="s">
        <v>118</v>
      </c>
      <c r="K1268" s="17" t="str">
        <f aca="false">VLOOKUP(J1268,Sheet2!A:B,2,0)</f>
        <v>DEVENDRA RAJPUT</v>
      </c>
      <c r="L1268" s="17" t="n">
        <v>1</v>
      </c>
      <c r="M1268" s="17" t="str">
        <f aca="false">VLOOKUP(L1268,Sheet2!D:E,2,0)</f>
        <v>Power Supply Section</v>
      </c>
      <c r="N1268" s="17" t="n">
        <v>1</v>
      </c>
      <c r="O1268" s="17" t="str">
        <f aca="false">VLOOKUP(N1268,Sheet2!G:H,2,0)</f>
        <v>Dead</v>
      </c>
      <c r="P1268" s="17" t="n">
        <v>11</v>
      </c>
      <c r="Q1268" s="17" t="str">
        <f aca="false">VLOOKUP(P1268,Sheet2!J:K,2,0)</f>
        <v>IR Declared due to CID -TA</v>
      </c>
      <c r="R1268" s="17" t="s">
        <v>35</v>
      </c>
      <c r="S1268" s="17" t="str">
        <f aca="false">VLOOKUP(R1268,Sheet2!N:O,2,0)</f>
        <v>IREPARABLE</v>
      </c>
      <c r="T1268" s="18" t="str">
        <f aca="false">VLOOKUP(P1268,Sheet2!Q:R,2,0)</f>
        <v>IR Normal - Track burn out</v>
      </c>
      <c r="U1268" s="18" t="s">
        <v>122</v>
      </c>
      <c r="V1268" s="17" t="n">
        <v>2</v>
      </c>
      <c r="W1268" s="20" t="str">
        <f aca="false">VLOOKUP(V1268,Sheet2!Q:R,2,0)</f>
        <v>IR CID -  Water log from other area</v>
      </c>
      <c r="X1268" s="17" t="str">
        <f aca="false">J1268</f>
        <v>A053</v>
      </c>
      <c r="Y1268" s="17" t="str">
        <f aca="false">VLOOKUP(X1268,Sheet2!A:B,2,0)</f>
        <v>DEVENDRA RAJPUT</v>
      </c>
      <c r="Z1268" s="17" t="s">
        <v>634</v>
      </c>
      <c r="AA1268" s="17" t="s">
        <v>547</v>
      </c>
      <c r="AB1268" s="17" t="s">
        <v>41</v>
      </c>
      <c r="AC1268" s="0" t="str">
        <f aca="false">LEFT(G1268,2)</f>
        <v>75</v>
      </c>
      <c r="AE1268" s="21" t="s">
        <v>506</v>
      </c>
    </row>
    <row r="1269" customFormat="false" ht="15" hidden="false" customHeight="false" outlineLevel="0" collapsed="false">
      <c r="A1269" s="13" t="n">
        <f aca="false">1+A1268</f>
        <v>1267</v>
      </c>
      <c r="B1269" s="14" t="n">
        <v>1009377236</v>
      </c>
      <c r="C1269" s="15" t="s">
        <v>606</v>
      </c>
      <c r="D1269" s="16" t="s">
        <v>119</v>
      </c>
      <c r="E1269" s="17" t="s">
        <v>47</v>
      </c>
      <c r="F1269" s="18" t="s">
        <v>34</v>
      </c>
      <c r="G1269" s="19" t="n">
        <v>742319003353</v>
      </c>
      <c r="H1269" s="17" t="s">
        <v>35</v>
      </c>
      <c r="I1269" s="17" t="s">
        <v>54</v>
      </c>
      <c r="J1269" s="17" t="s">
        <v>267</v>
      </c>
      <c r="K1269" s="17" t="str">
        <f aca="false">VLOOKUP(J1269,Sheet2!A:B,2,0)</f>
        <v>HARIRAM GUPTA</v>
      </c>
      <c r="L1269" s="17" t="n">
        <v>5</v>
      </c>
      <c r="M1269" s="17" t="str">
        <f aca="false">VLOOKUP(L1269,Sheet2!D:E,2,0)</f>
        <v>Main Processor CPU BGA</v>
      </c>
      <c r="N1269" s="17" t="n">
        <v>1</v>
      </c>
      <c r="O1269" s="17" t="str">
        <f aca="false">VLOOKUP(N1269,Sheet2!G:H,2,0)</f>
        <v>Dead</v>
      </c>
      <c r="P1269" s="17" t="n">
        <v>12</v>
      </c>
      <c r="Q1269" s="17" t="str">
        <f aca="false">VLOOKUP(P1269,Sheet2!J:K,2,0)</f>
        <v>IR Declared due to Others ( IR Normal)TB</v>
      </c>
      <c r="R1269" s="17" t="s">
        <v>35</v>
      </c>
      <c r="S1269" s="17" t="str">
        <f aca="false">VLOOKUP(R1269,Sheet2!N:O,2,0)</f>
        <v>IREPARABLE</v>
      </c>
      <c r="T1269" s="18" t="str">
        <f aca="false">VLOOKUP(P1269,Sheet2!Q:R,2,0)</f>
        <v>IR Normal - BER to IR</v>
      </c>
      <c r="U1269" s="20" t="s">
        <v>110</v>
      </c>
      <c r="V1269" s="17" t="n">
        <v>9</v>
      </c>
      <c r="W1269" s="20" t="str">
        <f aca="false">VLOOKUP(V1269,Sheet2!Q:R,2,0)</f>
        <v>IR Normal - Multiple time repair </v>
      </c>
      <c r="X1269" s="17" t="str">
        <f aca="false">J1269</f>
        <v>A007</v>
      </c>
      <c r="Y1269" s="17" t="str">
        <f aca="false">VLOOKUP(X1269,Sheet2!A:B,2,0)</f>
        <v>HARIRAM GUPTA</v>
      </c>
      <c r="Z1269" s="17" t="s">
        <v>634</v>
      </c>
      <c r="AA1269" s="17" t="s">
        <v>547</v>
      </c>
      <c r="AB1269" s="17" t="s">
        <v>41</v>
      </c>
      <c r="AC1269" s="0" t="str">
        <f aca="false">LEFT(G1269,2)</f>
        <v>74</v>
      </c>
      <c r="AE1269" s="21" t="s">
        <v>506</v>
      </c>
    </row>
    <row r="1270" customFormat="false" ht="15" hidden="false" customHeight="false" outlineLevel="0" collapsed="false">
      <c r="A1270" s="13" t="n">
        <f aca="false">1+A1269</f>
        <v>1268</v>
      </c>
      <c r="B1270" s="14" t="n">
        <v>1009570561</v>
      </c>
      <c r="C1270" s="15" t="s">
        <v>102</v>
      </c>
      <c r="D1270" s="16" t="s">
        <v>64</v>
      </c>
      <c r="E1270" s="17" t="s">
        <v>64</v>
      </c>
      <c r="F1270" s="18" t="s">
        <v>34</v>
      </c>
      <c r="G1270" s="19" t="n">
        <v>853222790497</v>
      </c>
      <c r="H1270" s="17" t="s">
        <v>35</v>
      </c>
      <c r="I1270" s="17" t="s">
        <v>36</v>
      </c>
      <c r="J1270" s="17" t="s">
        <v>267</v>
      </c>
      <c r="K1270" s="17" t="str">
        <f aca="false">VLOOKUP(J1270,Sheet2!A:B,2,0)</f>
        <v>HARIRAM GUPTA</v>
      </c>
      <c r="L1270" s="17" t="n">
        <v>10</v>
      </c>
      <c r="M1270" s="17" t="str">
        <f aca="false">VLOOKUP(L1270,Sheet2!D:E,2,0)</f>
        <v>Fan</v>
      </c>
      <c r="N1270" s="17" t="n">
        <v>1</v>
      </c>
      <c r="O1270" s="17" t="str">
        <f aca="false">VLOOKUP(N1270,Sheet2!G:H,2,0)</f>
        <v>Dead</v>
      </c>
      <c r="P1270" s="17" t="n">
        <v>11</v>
      </c>
      <c r="Q1270" s="17" t="str">
        <f aca="false">VLOOKUP(P1270,Sheet2!J:K,2,0)</f>
        <v>IR Declared due to CID -TA</v>
      </c>
      <c r="R1270" s="17" t="s">
        <v>35</v>
      </c>
      <c r="S1270" s="17" t="str">
        <f aca="false">VLOOKUP(R1270,Sheet2!N:O,2,0)</f>
        <v>IREPARABLE</v>
      </c>
      <c r="T1270" s="18" t="str">
        <f aca="false">VLOOKUP(P1270,Sheet2!Q:R,2,0)</f>
        <v>IR Normal - Track burn out</v>
      </c>
      <c r="U1270" s="20" t="s">
        <v>635</v>
      </c>
      <c r="V1270" s="17" t="n">
        <v>5</v>
      </c>
      <c r="W1270" s="20" t="str">
        <f aca="false">VLOOKUP(V1270,Sheet2!Q:R,2,0)</f>
        <v>IR CID - Water log fully due to Flood</v>
      </c>
      <c r="X1270" s="17" t="str">
        <f aca="false">J1270</f>
        <v>A007</v>
      </c>
      <c r="Y1270" s="17" t="str">
        <f aca="false">VLOOKUP(X1270,Sheet2!A:B,2,0)</f>
        <v>HARIRAM GUPTA</v>
      </c>
      <c r="Z1270" s="17" t="s">
        <v>636</v>
      </c>
      <c r="AA1270" s="17" t="s">
        <v>547</v>
      </c>
      <c r="AB1270" s="17" t="s">
        <v>41</v>
      </c>
      <c r="AC1270" s="0" t="str">
        <f aca="false">LEFT(G1270,2)</f>
        <v>85</v>
      </c>
      <c r="AE1270" s="21" t="s">
        <v>506</v>
      </c>
    </row>
    <row r="1271" customFormat="false" ht="15" hidden="false" customHeight="false" outlineLevel="0" collapsed="false">
      <c r="A1271" s="13" t="n">
        <f aca="false">1+A1270</f>
        <v>1269</v>
      </c>
      <c r="B1271" s="14" t="n">
        <v>1009625260</v>
      </c>
      <c r="C1271" s="15" t="s">
        <v>163</v>
      </c>
      <c r="D1271" s="16" t="s">
        <v>64</v>
      </c>
      <c r="E1271" s="17" t="s">
        <v>64</v>
      </c>
      <c r="F1271" s="18" t="s">
        <v>34</v>
      </c>
      <c r="G1271" s="19" t="n">
        <v>853115711923</v>
      </c>
      <c r="H1271" s="17" t="s">
        <v>35</v>
      </c>
      <c r="I1271" s="17" t="s">
        <v>36</v>
      </c>
      <c r="J1271" s="17" t="s">
        <v>267</v>
      </c>
      <c r="K1271" s="17" t="str">
        <f aca="false">VLOOKUP(J1271,Sheet2!A:B,2,0)</f>
        <v>HARIRAM GUPTA</v>
      </c>
      <c r="L1271" s="17" t="n">
        <v>5</v>
      </c>
      <c r="M1271" s="17" t="str">
        <f aca="false">VLOOKUP(L1271,Sheet2!D:E,2,0)</f>
        <v>Main Processor CPU BGA</v>
      </c>
      <c r="N1271" s="17" t="n">
        <v>1</v>
      </c>
      <c r="O1271" s="17" t="str">
        <f aca="false">VLOOKUP(N1271,Sheet2!G:H,2,0)</f>
        <v>Dead</v>
      </c>
      <c r="P1271" s="17" t="n">
        <v>12</v>
      </c>
      <c r="Q1271" s="17" t="str">
        <f aca="false">VLOOKUP(P1271,Sheet2!J:K,2,0)</f>
        <v>IR Declared due to Others ( IR Normal)TB</v>
      </c>
      <c r="R1271" s="17" t="s">
        <v>35</v>
      </c>
      <c r="S1271" s="17" t="str">
        <f aca="false">VLOOKUP(R1271,Sheet2!N:O,2,0)</f>
        <v>IREPARABLE</v>
      </c>
      <c r="T1271" s="18" t="str">
        <f aca="false">VLOOKUP(P1271,Sheet2!Q:R,2,0)</f>
        <v>IR Normal - BER to IR</v>
      </c>
      <c r="U1271" s="18" t="s">
        <v>101</v>
      </c>
      <c r="V1271" s="17" t="n">
        <v>8</v>
      </c>
      <c r="W1271" s="20" t="str">
        <f aca="false">VLOOKUP(V1271,Sheet2!Q:R,2,0)</f>
        <v>IR Normal -TrackRust/InternalDamage/open</v>
      </c>
      <c r="X1271" s="17" t="str">
        <f aca="false">J1271</f>
        <v>A007</v>
      </c>
      <c r="Y1271" s="17" t="str">
        <f aca="false">VLOOKUP(X1271,Sheet2!A:B,2,0)</f>
        <v>HARIRAM GUPTA</v>
      </c>
      <c r="Z1271" s="17" t="s">
        <v>637</v>
      </c>
      <c r="AA1271" s="17" t="s">
        <v>547</v>
      </c>
      <c r="AB1271" s="17" t="s">
        <v>41</v>
      </c>
      <c r="AC1271" s="0" t="str">
        <f aca="false">LEFT(G1271,2)</f>
        <v>85</v>
      </c>
      <c r="AE1271" s="21" t="s">
        <v>506</v>
      </c>
    </row>
    <row r="1272" customFormat="false" ht="15" hidden="false" customHeight="false" outlineLevel="0" collapsed="false">
      <c r="A1272" s="13" t="n">
        <f aca="false">1+A1271</f>
        <v>1270</v>
      </c>
      <c r="B1272" s="14" t="n">
        <v>1009641963</v>
      </c>
      <c r="C1272" s="15" t="s">
        <v>429</v>
      </c>
      <c r="D1272" s="16" t="s">
        <v>64</v>
      </c>
      <c r="E1272" s="17" t="s">
        <v>64</v>
      </c>
      <c r="F1272" s="18" t="s">
        <v>34</v>
      </c>
      <c r="G1272" s="19" t="n">
        <v>288077113349</v>
      </c>
      <c r="H1272" s="17" t="s">
        <v>35</v>
      </c>
      <c r="I1272" s="17" t="s">
        <v>74</v>
      </c>
      <c r="J1272" s="17" t="s">
        <v>241</v>
      </c>
      <c r="K1272" s="17" t="str">
        <f aca="false">VLOOKUP(J1272,Sheet2!A:B,2,0)</f>
        <v>NILESH NAGAR</v>
      </c>
      <c r="L1272" s="17" t="n">
        <v>5</v>
      </c>
      <c r="M1272" s="17" t="str">
        <f aca="false">VLOOKUP(L1272,Sheet2!D:E,2,0)</f>
        <v>Main Processor CPU BGA</v>
      </c>
      <c r="N1272" s="17" t="n">
        <v>1</v>
      </c>
      <c r="O1272" s="17" t="str">
        <f aca="false">VLOOKUP(N1272,Sheet2!G:H,2,0)</f>
        <v>Dead</v>
      </c>
      <c r="P1272" s="17" t="n">
        <v>12</v>
      </c>
      <c r="Q1272" s="17" t="str">
        <f aca="false">VLOOKUP(P1272,Sheet2!J:K,2,0)</f>
        <v>IR Declared due to Others ( IR Normal)TB</v>
      </c>
      <c r="R1272" s="17" t="s">
        <v>35</v>
      </c>
      <c r="S1272" s="17" t="str">
        <f aca="false">VLOOKUP(R1272,Sheet2!N:O,2,0)</f>
        <v>IREPARABLE</v>
      </c>
      <c r="T1272" s="18" t="str">
        <f aca="false">VLOOKUP(P1272,Sheet2!Q:R,2,0)</f>
        <v>IR Normal - BER to IR</v>
      </c>
      <c r="U1272" s="15" t="s">
        <v>38</v>
      </c>
      <c r="V1272" s="17" t="n">
        <v>11</v>
      </c>
      <c r="W1272" s="20" t="str">
        <f aca="false">VLOOKUP(V1272,Sheet2!Q:R,2,0)</f>
        <v>IR Normal - Track burn out</v>
      </c>
      <c r="X1272" s="17" t="str">
        <f aca="false">J1272</f>
        <v>A008</v>
      </c>
      <c r="Y1272" s="17" t="str">
        <f aca="false">VLOOKUP(X1272,Sheet2!A:B,2,0)</f>
        <v>NILESH NAGAR</v>
      </c>
      <c r="Z1272" s="17" t="s">
        <v>638</v>
      </c>
      <c r="AA1272" s="17" t="s">
        <v>547</v>
      </c>
      <c r="AB1272" s="17" t="s">
        <v>41</v>
      </c>
      <c r="AC1272" s="0" t="str">
        <f aca="false">LEFT(G1272,2)</f>
        <v>28</v>
      </c>
      <c r="AE1272" s="21" t="s">
        <v>506</v>
      </c>
    </row>
    <row r="1273" customFormat="false" ht="15" hidden="false" customHeight="false" outlineLevel="0" collapsed="false">
      <c r="A1273" s="13" t="n">
        <f aca="false">1+A1272</f>
        <v>1271</v>
      </c>
      <c r="B1273" s="14" t="n">
        <v>1009641965</v>
      </c>
      <c r="C1273" s="15" t="s">
        <v>429</v>
      </c>
      <c r="D1273" s="16" t="s">
        <v>119</v>
      </c>
      <c r="E1273" s="17" t="s">
        <v>639</v>
      </c>
      <c r="F1273" s="18" t="s">
        <v>34</v>
      </c>
      <c r="G1273" s="19" t="n">
        <v>278005104882</v>
      </c>
      <c r="H1273" s="17" t="s">
        <v>35</v>
      </c>
      <c r="I1273" s="17" t="s">
        <v>74</v>
      </c>
      <c r="J1273" s="17" t="s">
        <v>118</v>
      </c>
      <c r="K1273" s="17" t="str">
        <f aca="false">VLOOKUP(J1273,Sheet2!A:B,2,0)</f>
        <v>DEVENDRA RAJPUT</v>
      </c>
      <c r="L1273" s="17" t="n">
        <v>1</v>
      </c>
      <c r="M1273" s="17" t="str">
        <f aca="false">VLOOKUP(L1273,Sheet2!D:E,2,0)</f>
        <v>Power Supply Section</v>
      </c>
      <c r="N1273" s="17" t="n">
        <v>1</v>
      </c>
      <c r="O1273" s="17" t="str">
        <f aca="false">VLOOKUP(N1273,Sheet2!G:H,2,0)</f>
        <v>Dead</v>
      </c>
      <c r="P1273" s="17" t="n">
        <v>11</v>
      </c>
      <c r="Q1273" s="17" t="str">
        <f aca="false">VLOOKUP(P1273,Sheet2!J:K,2,0)</f>
        <v>IR Declared due to CID -TA</v>
      </c>
      <c r="R1273" s="17" t="s">
        <v>35</v>
      </c>
      <c r="S1273" s="17" t="str">
        <f aca="false">VLOOKUP(R1273,Sheet2!N:O,2,0)</f>
        <v>IREPARABLE</v>
      </c>
      <c r="T1273" s="18" t="str">
        <f aca="false">VLOOKUP(P1273,Sheet2!Q:R,2,0)</f>
        <v>IR Normal - Track burn out</v>
      </c>
      <c r="U1273" s="18" t="s">
        <v>122</v>
      </c>
      <c r="V1273" s="17" t="n">
        <v>2</v>
      </c>
      <c r="W1273" s="20" t="str">
        <f aca="false">VLOOKUP(V1273,Sheet2!Q:R,2,0)</f>
        <v>IR CID -  Water log from other area</v>
      </c>
      <c r="X1273" s="17" t="str">
        <f aca="false">J1273</f>
        <v>A053</v>
      </c>
      <c r="Y1273" s="17" t="str">
        <f aca="false">VLOOKUP(X1273,Sheet2!A:B,2,0)</f>
        <v>DEVENDRA RAJPUT</v>
      </c>
      <c r="Z1273" s="17" t="s">
        <v>330</v>
      </c>
      <c r="AA1273" s="17" t="s">
        <v>547</v>
      </c>
      <c r="AB1273" s="17" t="s">
        <v>41</v>
      </c>
      <c r="AC1273" s="0" t="str">
        <f aca="false">LEFT(G1273,2)</f>
        <v>27</v>
      </c>
      <c r="AE1273" s="21" t="s">
        <v>506</v>
      </c>
    </row>
    <row r="1274" customFormat="false" ht="15" hidden="false" customHeight="false" outlineLevel="0" collapsed="false">
      <c r="A1274" s="13" t="n">
        <f aca="false">1+A1273</f>
        <v>1272</v>
      </c>
      <c r="B1274" s="14" t="n">
        <v>1009337555</v>
      </c>
      <c r="C1274" s="15" t="s">
        <v>59</v>
      </c>
      <c r="D1274" s="16" t="s">
        <v>206</v>
      </c>
      <c r="E1274" s="17" t="s">
        <v>47</v>
      </c>
      <c r="F1274" s="18" t="s">
        <v>34</v>
      </c>
      <c r="G1274" s="19" t="n">
        <v>288095206950</v>
      </c>
      <c r="H1274" s="17" t="s">
        <v>35</v>
      </c>
      <c r="I1274" s="17" t="s">
        <v>74</v>
      </c>
      <c r="J1274" s="17" t="s">
        <v>106</v>
      </c>
      <c r="K1274" s="17" t="str">
        <f aca="false">VLOOKUP(J1274,Sheet2!A:B,2,0)</f>
        <v>PRAKASH CHAVDA</v>
      </c>
      <c r="L1274" s="17" t="n">
        <v>5</v>
      </c>
      <c r="M1274" s="17" t="str">
        <f aca="false">VLOOKUP(L1274,Sheet2!D:E,2,0)</f>
        <v>Main Processor CPU BGA</v>
      </c>
      <c r="N1274" s="17" t="n">
        <v>24</v>
      </c>
      <c r="O1274" s="17" t="str">
        <f aca="false">VLOOKUP(N1274,Sheet2!G:H,2,0)</f>
        <v>STB Auto moving -Stand by mode</v>
      </c>
      <c r="P1274" s="17" t="n">
        <v>11</v>
      </c>
      <c r="Q1274" s="17" t="str">
        <f aca="false">VLOOKUP(P1274,Sheet2!J:K,2,0)</f>
        <v>IR Declared due to CID -TA</v>
      </c>
      <c r="R1274" s="17" t="s">
        <v>35</v>
      </c>
      <c r="S1274" s="17" t="str">
        <f aca="false">VLOOKUP(R1274,Sheet2!N:O,2,0)</f>
        <v>IREPARABLE</v>
      </c>
      <c r="T1274" s="18" t="str">
        <f aca="false">VLOOKUP(P1274,Sheet2!Q:R,2,0)</f>
        <v>IR Normal - Track burn out</v>
      </c>
      <c r="U1274" s="18" t="s">
        <v>122</v>
      </c>
      <c r="V1274" s="17" t="n">
        <v>2</v>
      </c>
      <c r="W1274" s="20" t="str">
        <f aca="false">VLOOKUP(V1274,Sheet2!Q:R,2,0)</f>
        <v>IR CID -  Water log from other area</v>
      </c>
      <c r="X1274" s="17" t="str">
        <f aca="false">J1274</f>
        <v>A018</v>
      </c>
      <c r="Y1274" s="17" t="str">
        <f aca="false">VLOOKUP(X1274,Sheet2!A:B,2,0)</f>
        <v>PRAKASH CHAVDA</v>
      </c>
      <c r="Z1274" s="17" t="s">
        <v>640</v>
      </c>
      <c r="AA1274" s="17" t="s">
        <v>547</v>
      </c>
      <c r="AB1274" s="17" t="s">
        <v>41</v>
      </c>
      <c r="AC1274" s="0" t="str">
        <f aca="false">LEFT(G1274,2)</f>
        <v>28</v>
      </c>
      <c r="AE1274" s="21" t="s">
        <v>506</v>
      </c>
    </row>
    <row r="1275" customFormat="false" ht="15" hidden="false" customHeight="false" outlineLevel="0" collapsed="false">
      <c r="A1275" s="13" t="n">
        <f aca="false">1+A1274</f>
        <v>1273</v>
      </c>
      <c r="B1275" s="14" t="n">
        <v>1009586522</v>
      </c>
      <c r="C1275" s="15" t="s">
        <v>139</v>
      </c>
      <c r="D1275" s="16" t="s">
        <v>64</v>
      </c>
      <c r="E1275" s="17" t="s">
        <v>47</v>
      </c>
      <c r="F1275" s="18" t="s">
        <v>34</v>
      </c>
      <c r="G1275" s="19" t="n">
        <v>288140109951</v>
      </c>
      <c r="H1275" s="17" t="s">
        <v>35</v>
      </c>
      <c r="I1275" s="17" t="s">
        <v>74</v>
      </c>
      <c r="J1275" s="17" t="s">
        <v>289</v>
      </c>
      <c r="K1275" s="17" t="str">
        <f aca="false">VLOOKUP(J1275,Sheet2!A:B,2,0)</f>
        <v>AJAY KOSHTI</v>
      </c>
      <c r="L1275" s="17" t="n">
        <v>1</v>
      </c>
      <c r="M1275" s="17" t="str">
        <f aca="false">VLOOKUP(L1275,Sheet2!D:E,2,0)</f>
        <v>Power Supply Section</v>
      </c>
      <c r="N1275" s="17" t="n">
        <v>1</v>
      </c>
      <c r="O1275" s="17" t="str">
        <f aca="false">VLOOKUP(N1275,Sheet2!G:H,2,0)</f>
        <v>Dead</v>
      </c>
      <c r="P1275" s="17" t="n">
        <v>11</v>
      </c>
      <c r="Q1275" s="17" t="str">
        <f aca="false">VLOOKUP(P1275,Sheet2!J:K,2,0)</f>
        <v>IR Declared due to CID -TA</v>
      </c>
      <c r="R1275" s="17" t="s">
        <v>35</v>
      </c>
      <c r="S1275" s="17" t="str">
        <f aca="false">VLOOKUP(R1275,Sheet2!N:O,2,0)</f>
        <v>IREPARABLE</v>
      </c>
      <c r="T1275" s="18" t="str">
        <f aca="false">VLOOKUP(P1275,Sheet2!Q:R,2,0)</f>
        <v>IR Normal - Track burn out</v>
      </c>
      <c r="U1275" s="18" t="s">
        <v>122</v>
      </c>
      <c r="V1275" s="17" t="n">
        <v>2</v>
      </c>
      <c r="W1275" s="20" t="str">
        <f aca="false">VLOOKUP(V1275,Sheet2!Q:R,2,0)</f>
        <v>IR CID -  Water log from other area</v>
      </c>
      <c r="X1275" s="17" t="str">
        <f aca="false">J1275</f>
        <v>A051</v>
      </c>
      <c r="Y1275" s="17" t="str">
        <f aca="false">VLOOKUP(X1275,Sheet2!A:B,2,0)</f>
        <v>AJAY KOSHTI</v>
      </c>
      <c r="Z1275" s="17" t="s">
        <v>641</v>
      </c>
      <c r="AA1275" s="17" t="s">
        <v>547</v>
      </c>
      <c r="AB1275" s="17" t="s">
        <v>41</v>
      </c>
      <c r="AC1275" s="0" t="str">
        <f aca="false">LEFT(G1275,2)</f>
        <v>28</v>
      </c>
      <c r="AE1275" s="21" t="s">
        <v>506</v>
      </c>
    </row>
    <row r="1276" customFormat="false" ht="15" hidden="false" customHeight="false" outlineLevel="0" collapsed="false">
      <c r="A1276" s="13" t="n">
        <f aca="false">1+A1275</f>
        <v>1274</v>
      </c>
      <c r="B1276" s="14" t="n">
        <v>1009618187</v>
      </c>
      <c r="C1276" s="15" t="s">
        <v>184</v>
      </c>
      <c r="D1276" s="16" t="s">
        <v>64</v>
      </c>
      <c r="E1276" s="17" t="s">
        <v>114</v>
      </c>
      <c r="F1276" s="18" t="s">
        <v>34</v>
      </c>
      <c r="G1276" s="19" t="n">
        <v>277265112791</v>
      </c>
      <c r="H1276" s="17" t="s">
        <v>35</v>
      </c>
      <c r="I1276" s="17" t="s">
        <v>74</v>
      </c>
      <c r="J1276" s="17" t="s">
        <v>100</v>
      </c>
      <c r="K1276" s="17" t="str">
        <f aca="false">VLOOKUP(J1276,Sheet2!A:B,2,0)</f>
        <v>PIYUSH CHAVDA</v>
      </c>
      <c r="L1276" s="17" t="n">
        <v>1</v>
      </c>
      <c r="M1276" s="17" t="str">
        <f aca="false">VLOOKUP(L1276,Sheet2!D:E,2,0)</f>
        <v>Power Supply Section</v>
      </c>
      <c r="N1276" s="17" t="n">
        <v>1</v>
      </c>
      <c r="O1276" s="17" t="str">
        <f aca="false">VLOOKUP(N1276,Sheet2!G:H,2,0)</f>
        <v>Dead</v>
      </c>
      <c r="P1276" s="17" t="n">
        <v>11</v>
      </c>
      <c r="Q1276" s="17" t="str">
        <f aca="false">VLOOKUP(P1276,Sheet2!J:K,2,0)</f>
        <v>IR Declared due to CID -TA</v>
      </c>
      <c r="R1276" s="17" t="s">
        <v>35</v>
      </c>
      <c r="S1276" s="17" t="str">
        <f aca="false">VLOOKUP(R1276,Sheet2!N:O,2,0)</f>
        <v>IREPARABLE</v>
      </c>
      <c r="T1276" s="18" t="str">
        <f aca="false">VLOOKUP(P1276,Sheet2!Q:R,2,0)</f>
        <v>IR Normal - Track burn out</v>
      </c>
      <c r="U1276" s="18" t="s">
        <v>122</v>
      </c>
      <c r="V1276" s="17" t="n">
        <v>2</v>
      </c>
      <c r="W1276" s="20" t="str">
        <f aca="false">VLOOKUP(V1276,Sheet2!Q:R,2,0)</f>
        <v>IR CID -  Water log from other area</v>
      </c>
      <c r="X1276" s="17" t="str">
        <f aca="false">J1276</f>
        <v>A050</v>
      </c>
      <c r="Y1276" s="17" t="str">
        <f aca="false">VLOOKUP(X1276,Sheet2!A:B,2,0)</f>
        <v>PIYUSH CHAVDA</v>
      </c>
      <c r="Z1276" s="17" t="s">
        <v>641</v>
      </c>
      <c r="AA1276" s="17" t="s">
        <v>547</v>
      </c>
      <c r="AB1276" s="17" t="s">
        <v>41</v>
      </c>
      <c r="AC1276" s="0" t="str">
        <f aca="false">LEFT(G1276,2)</f>
        <v>27</v>
      </c>
      <c r="AE1276" s="21" t="s">
        <v>506</v>
      </c>
    </row>
    <row r="1277" customFormat="false" ht="15" hidden="false" customHeight="false" outlineLevel="0" collapsed="false">
      <c r="A1277" s="13" t="n">
        <f aca="false">1+A1276</f>
        <v>1275</v>
      </c>
      <c r="B1277" s="14" t="n">
        <v>1009617456</v>
      </c>
      <c r="C1277" s="15" t="s">
        <v>184</v>
      </c>
      <c r="D1277" s="16" t="s">
        <v>64</v>
      </c>
      <c r="E1277" s="17" t="s">
        <v>64</v>
      </c>
      <c r="F1277" s="18" t="s">
        <v>34</v>
      </c>
      <c r="G1277" s="19" t="n">
        <v>743029035479</v>
      </c>
      <c r="H1277" s="17" t="s">
        <v>35</v>
      </c>
      <c r="I1277" s="17" t="s">
        <v>54</v>
      </c>
      <c r="J1277" s="17" t="s">
        <v>111</v>
      </c>
      <c r="K1277" s="17" t="str">
        <f aca="false">VLOOKUP(J1277,Sheet2!A:B,2,0)</f>
        <v>NITIN PRANAMI</v>
      </c>
      <c r="L1277" s="17" t="n">
        <v>1</v>
      </c>
      <c r="M1277" s="17" t="str">
        <f aca="false">VLOOKUP(L1277,Sheet2!D:E,2,0)</f>
        <v>Power Supply Section</v>
      </c>
      <c r="N1277" s="17" t="n">
        <v>1</v>
      </c>
      <c r="O1277" s="17" t="str">
        <f aca="false">VLOOKUP(N1277,Sheet2!G:H,2,0)</f>
        <v>Dead</v>
      </c>
      <c r="P1277" s="17" t="n">
        <v>12</v>
      </c>
      <c r="Q1277" s="17" t="str">
        <f aca="false">VLOOKUP(P1277,Sheet2!J:K,2,0)</f>
        <v>IR Declared due to Others ( IR Normal)TB</v>
      </c>
      <c r="R1277" s="17" t="s">
        <v>35</v>
      </c>
      <c r="S1277" s="17" t="str">
        <f aca="false">VLOOKUP(R1277,Sheet2!N:O,2,0)</f>
        <v>IREPARABLE</v>
      </c>
      <c r="T1277" s="18" t="str">
        <f aca="false">VLOOKUP(P1277,Sheet2!Q:R,2,0)</f>
        <v>IR Normal - BER to IR</v>
      </c>
      <c r="U1277" s="20" t="s">
        <v>110</v>
      </c>
      <c r="V1277" s="17" t="n">
        <v>9</v>
      </c>
      <c r="W1277" s="20" t="str">
        <f aca="false">VLOOKUP(V1277,Sheet2!Q:R,2,0)</f>
        <v>IR Normal - Multiple time repair </v>
      </c>
      <c r="X1277" s="17" t="str">
        <f aca="false">J1277</f>
        <v>A031</v>
      </c>
      <c r="Y1277" s="17" t="str">
        <f aca="false">VLOOKUP(X1277,Sheet2!A:B,2,0)</f>
        <v>NITIN PRANAMI</v>
      </c>
      <c r="Z1277" s="17" t="s">
        <v>150</v>
      </c>
      <c r="AA1277" s="17" t="s">
        <v>547</v>
      </c>
      <c r="AB1277" s="17" t="s">
        <v>41</v>
      </c>
      <c r="AC1277" s="0" t="str">
        <f aca="false">LEFT(G1277,2)</f>
        <v>74</v>
      </c>
      <c r="AE1277" s="21" t="s">
        <v>506</v>
      </c>
    </row>
    <row r="1278" customFormat="false" ht="15" hidden="false" customHeight="false" outlineLevel="0" collapsed="false">
      <c r="A1278" s="13" t="n">
        <f aca="false">1+A1277</f>
        <v>1276</v>
      </c>
      <c r="B1278" s="14" t="n">
        <v>1009634474</v>
      </c>
      <c r="C1278" s="15" t="s">
        <v>182</v>
      </c>
      <c r="D1278" s="16" t="s">
        <v>64</v>
      </c>
      <c r="E1278" s="17" t="s">
        <v>114</v>
      </c>
      <c r="F1278" s="18" t="s">
        <v>34</v>
      </c>
      <c r="G1278" s="19" t="n">
        <v>743035032627</v>
      </c>
      <c r="H1278" s="17" t="s">
        <v>35</v>
      </c>
      <c r="I1278" s="17" t="s">
        <v>54</v>
      </c>
      <c r="J1278" s="17" t="s">
        <v>100</v>
      </c>
      <c r="K1278" s="17" t="str">
        <f aca="false">VLOOKUP(J1278,Sheet2!A:B,2,0)</f>
        <v>PIYUSH CHAVDA</v>
      </c>
      <c r="L1278" s="17" t="n">
        <v>2</v>
      </c>
      <c r="M1278" s="17" t="str">
        <f aca="false">VLOOKUP(L1278,Sheet2!D:E,2,0)</f>
        <v>Tuner Section</v>
      </c>
      <c r="N1278" s="17" t="n">
        <v>6</v>
      </c>
      <c r="O1278" s="17" t="str">
        <f aca="false">VLOOKUP(N1278,Sheet2!G:H,2,0)</f>
        <v>No Signal</v>
      </c>
      <c r="P1278" s="17" t="n">
        <v>12</v>
      </c>
      <c r="Q1278" s="17" t="str">
        <f aca="false">VLOOKUP(P1278,Sheet2!J:K,2,0)</f>
        <v>IR Declared due to Others ( IR Normal)TB</v>
      </c>
      <c r="R1278" s="17" t="s">
        <v>35</v>
      </c>
      <c r="S1278" s="17" t="str">
        <f aca="false">VLOOKUP(R1278,Sheet2!N:O,2,0)</f>
        <v>IREPARABLE</v>
      </c>
      <c r="T1278" s="18" t="str">
        <f aca="false">VLOOKUP(P1278,Sheet2!Q:R,2,0)</f>
        <v>IR Normal - BER to IR</v>
      </c>
      <c r="U1278" s="20" t="s">
        <v>110</v>
      </c>
      <c r="V1278" s="17" t="n">
        <v>9</v>
      </c>
      <c r="W1278" s="20" t="str">
        <f aca="false">VLOOKUP(V1278,Sheet2!Q:R,2,0)</f>
        <v>IR Normal - Multiple time repair </v>
      </c>
      <c r="X1278" s="17" t="str">
        <f aca="false">J1278</f>
        <v>A050</v>
      </c>
      <c r="Y1278" s="17" t="str">
        <f aca="false">VLOOKUP(X1278,Sheet2!A:B,2,0)</f>
        <v>PIYUSH CHAVDA</v>
      </c>
      <c r="Z1278" s="17" t="s">
        <v>150</v>
      </c>
      <c r="AA1278" s="17" t="s">
        <v>547</v>
      </c>
      <c r="AB1278" s="17" t="s">
        <v>41</v>
      </c>
      <c r="AC1278" s="0" t="str">
        <f aca="false">LEFT(G1278,2)</f>
        <v>74</v>
      </c>
      <c r="AE1278" s="21" t="s">
        <v>506</v>
      </c>
    </row>
    <row r="1279" customFormat="false" ht="15" hidden="false" customHeight="false" outlineLevel="0" collapsed="false">
      <c r="A1279" s="13" t="n">
        <f aca="false">1+A1278</f>
        <v>1277</v>
      </c>
      <c r="B1279" s="14" t="n">
        <v>1009440956</v>
      </c>
      <c r="C1279" s="15" t="s">
        <v>197</v>
      </c>
      <c r="D1279" s="16" t="s">
        <v>64</v>
      </c>
      <c r="E1279" s="17" t="s">
        <v>64</v>
      </c>
      <c r="F1279" s="18" t="s">
        <v>34</v>
      </c>
      <c r="G1279" s="19" t="n">
        <v>889290451588</v>
      </c>
      <c r="H1279" s="17" t="s">
        <v>35</v>
      </c>
      <c r="I1279" s="17" t="s">
        <v>79</v>
      </c>
      <c r="J1279" s="17" t="s">
        <v>111</v>
      </c>
      <c r="K1279" s="17" t="str">
        <f aca="false">VLOOKUP(J1279,Sheet2!A:B,2,0)</f>
        <v>NITIN PRANAMI</v>
      </c>
      <c r="L1279" s="17" t="n">
        <v>2</v>
      </c>
      <c r="M1279" s="17" t="str">
        <f aca="false">VLOOKUP(L1279,Sheet2!D:E,2,0)</f>
        <v>Tuner Section</v>
      </c>
      <c r="N1279" s="17" t="n">
        <v>6</v>
      </c>
      <c r="O1279" s="17" t="str">
        <f aca="false">VLOOKUP(N1279,Sheet2!G:H,2,0)</f>
        <v>No Signal</v>
      </c>
      <c r="P1279" s="17" t="n">
        <v>11</v>
      </c>
      <c r="Q1279" s="17" t="str">
        <f aca="false">VLOOKUP(P1279,Sheet2!J:K,2,0)</f>
        <v>IR Declared due to CID -TA</v>
      </c>
      <c r="R1279" s="17" t="s">
        <v>35</v>
      </c>
      <c r="S1279" s="17" t="str">
        <f aca="false">VLOOKUP(R1279,Sheet2!N:O,2,0)</f>
        <v>IREPARABLE</v>
      </c>
      <c r="T1279" s="18" t="str">
        <f aca="false">VLOOKUP(P1279,Sheet2!Q:R,2,0)</f>
        <v>IR Normal - Track burn out</v>
      </c>
      <c r="U1279" s="18" t="s">
        <v>122</v>
      </c>
      <c r="V1279" s="17" t="n">
        <v>2</v>
      </c>
      <c r="W1279" s="20" t="str">
        <f aca="false">VLOOKUP(V1279,Sheet2!Q:R,2,0)</f>
        <v>IR CID -  Water log from other area</v>
      </c>
      <c r="X1279" s="17" t="str">
        <f aca="false">J1279</f>
        <v>A031</v>
      </c>
      <c r="Y1279" s="17" t="str">
        <f aca="false">VLOOKUP(X1279,Sheet2!A:B,2,0)</f>
        <v>NITIN PRANAMI</v>
      </c>
      <c r="Z1279" s="17" t="s">
        <v>306</v>
      </c>
      <c r="AA1279" s="17" t="s">
        <v>642</v>
      </c>
      <c r="AB1279" s="17" t="s">
        <v>41</v>
      </c>
      <c r="AC1279" s="0" t="str">
        <f aca="false">LEFT(G1279,2)</f>
        <v>88</v>
      </c>
      <c r="AE1279" s="21" t="s">
        <v>238</v>
      </c>
    </row>
    <row r="1280" customFormat="false" ht="15" hidden="false" customHeight="false" outlineLevel="0" collapsed="false">
      <c r="A1280" s="13" t="n">
        <f aca="false">1+A1279</f>
        <v>1278</v>
      </c>
      <c r="B1280" s="14" t="n">
        <v>1009645487</v>
      </c>
      <c r="C1280" s="15" t="s">
        <v>204</v>
      </c>
      <c r="D1280" s="16" t="s">
        <v>64</v>
      </c>
      <c r="E1280" s="17" t="s">
        <v>64</v>
      </c>
      <c r="F1280" s="18" t="s">
        <v>34</v>
      </c>
      <c r="G1280" s="19" t="n">
        <v>867013275278</v>
      </c>
      <c r="H1280" s="17" t="s">
        <v>35</v>
      </c>
      <c r="I1280" s="17" t="s">
        <v>72</v>
      </c>
      <c r="J1280" s="17" t="s">
        <v>111</v>
      </c>
      <c r="K1280" s="17" t="str">
        <f aca="false">VLOOKUP(J1280,Sheet2!A:B,2,0)</f>
        <v>NITIN PRANAMI</v>
      </c>
      <c r="L1280" s="17" t="n">
        <v>1</v>
      </c>
      <c r="M1280" s="17" t="str">
        <f aca="false">VLOOKUP(L1280,Sheet2!D:E,2,0)</f>
        <v>Power Supply Section</v>
      </c>
      <c r="N1280" s="17" t="n">
        <v>1</v>
      </c>
      <c r="O1280" s="17" t="str">
        <f aca="false">VLOOKUP(N1280,Sheet2!G:H,2,0)</f>
        <v>Dead</v>
      </c>
      <c r="P1280" s="17" t="n">
        <v>12</v>
      </c>
      <c r="Q1280" s="17" t="str">
        <f aca="false">VLOOKUP(P1280,Sheet2!J:K,2,0)</f>
        <v>IR Declared due to Others ( IR Normal)TB</v>
      </c>
      <c r="R1280" s="17" t="s">
        <v>35</v>
      </c>
      <c r="S1280" s="17" t="str">
        <f aca="false">VLOOKUP(R1280,Sheet2!N:O,2,0)</f>
        <v>IREPARABLE</v>
      </c>
      <c r="T1280" s="18" t="str">
        <f aca="false">VLOOKUP(P1280,Sheet2!Q:R,2,0)</f>
        <v>IR Normal - BER to IR</v>
      </c>
      <c r="U1280" s="18" t="s">
        <v>101</v>
      </c>
      <c r="V1280" s="17" t="n">
        <v>8</v>
      </c>
      <c r="W1280" s="20" t="str">
        <f aca="false">VLOOKUP(V1280,Sheet2!Q:R,2,0)</f>
        <v>IR Normal -TrackRust/InternalDamage/open</v>
      </c>
      <c r="X1280" s="17" t="str">
        <f aca="false">J1280</f>
        <v>A031</v>
      </c>
      <c r="Y1280" s="17" t="str">
        <f aca="false">VLOOKUP(X1280,Sheet2!A:B,2,0)</f>
        <v>NITIN PRANAMI</v>
      </c>
      <c r="Z1280" s="17" t="s">
        <v>643</v>
      </c>
      <c r="AA1280" s="17" t="s">
        <v>642</v>
      </c>
      <c r="AB1280" s="17" t="s">
        <v>41</v>
      </c>
      <c r="AC1280" s="0" t="str">
        <f aca="false">LEFT(G1280,2)</f>
        <v>86</v>
      </c>
      <c r="AE1280" s="21" t="s">
        <v>238</v>
      </c>
    </row>
    <row r="1281" customFormat="false" ht="15" hidden="false" customHeight="false" outlineLevel="0" collapsed="false">
      <c r="A1281" s="13" t="n">
        <f aca="false">1+A1280</f>
        <v>1279</v>
      </c>
      <c r="B1281" s="14" t="n">
        <v>1009631474</v>
      </c>
      <c r="C1281" s="15" t="s">
        <v>182</v>
      </c>
      <c r="D1281" s="16" t="s">
        <v>64</v>
      </c>
      <c r="E1281" s="17" t="s">
        <v>64</v>
      </c>
      <c r="F1281" s="18" t="s">
        <v>34</v>
      </c>
      <c r="G1281" s="19" t="n">
        <v>867174122533</v>
      </c>
      <c r="H1281" s="17" t="s">
        <v>497</v>
      </c>
      <c r="I1281" s="17" t="s">
        <v>72</v>
      </c>
      <c r="J1281" s="17" t="s">
        <v>121</v>
      </c>
      <c r="K1281" s="17" t="str">
        <f aca="false">VLOOKUP(J1281,Sheet2!A:B,2,0)</f>
        <v>SHANI GOHIL</v>
      </c>
      <c r="L1281" s="17" t="n">
        <v>1</v>
      </c>
      <c r="M1281" s="17" t="str">
        <f aca="false">VLOOKUP(L1281,Sheet2!D:E,2,0)</f>
        <v>Power Supply Section</v>
      </c>
      <c r="N1281" s="17" t="n">
        <v>24</v>
      </c>
      <c r="O1281" s="17" t="str">
        <f aca="false">VLOOKUP(N1281,Sheet2!G:H,2,0)</f>
        <v>STB Auto moving -Stand by mode</v>
      </c>
      <c r="P1281" s="17" t="n">
        <v>12</v>
      </c>
      <c r="Q1281" s="17" t="str">
        <f aca="false">VLOOKUP(P1281,Sheet2!J:K,2,0)</f>
        <v>IR Declared due to Others ( IR Normal)TB</v>
      </c>
      <c r="R1281" s="17" t="s">
        <v>35</v>
      </c>
      <c r="S1281" s="17" t="str">
        <f aca="false">VLOOKUP(R1281,Sheet2!N:O,2,0)</f>
        <v>IREPARABLE</v>
      </c>
      <c r="T1281" s="18" t="str">
        <f aca="false">VLOOKUP(P1281,Sheet2!Q:R,2,0)</f>
        <v>IR Normal - BER to IR</v>
      </c>
      <c r="U1281" s="18" t="s">
        <v>101</v>
      </c>
      <c r="V1281" s="17" t="n">
        <v>8</v>
      </c>
      <c r="W1281" s="20" t="str">
        <f aca="false">VLOOKUP(V1281,Sheet2!Q:R,2,0)</f>
        <v>IR Normal -TrackRust/InternalDamage/open</v>
      </c>
      <c r="X1281" s="17" t="str">
        <f aca="false">J1281</f>
        <v>A063</v>
      </c>
      <c r="Y1281" s="17" t="str">
        <f aca="false">VLOOKUP(X1281,Sheet2!A:B,2,0)</f>
        <v>SHANI GOHIL</v>
      </c>
      <c r="Z1281" s="17" t="s">
        <v>644</v>
      </c>
      <c r="AA1281" s="17" t="s">
        <v>642</v>
      </c>
      <c r="AB1281" s="17" t="s">
        <v>41</v>
      </c>
      <c r="AC1281" s="0" t="str">
        <f aca="false">LEFT(G1281,2)</f>
        <v>86</v>
      </c>
      <c r="AE1281" s="21" t="s">
        <v>238</v>
      </c>
    </row>
    <row r="1282" customFormat="false" ht="15" hidden="false" customHeight="false" outlineLevel="0" collapsed="false">
      <c r="A1282" s="13" t="n">
        <f aca="false">1+A1281</f>
        <v>1280</v>
      </c>
      <c r="B1282" s="14" t="n">
        <v>1009624343</v>
      </c>
      <c r="C1282" s="15" t="s">
        <v>163</v>
      </c>
      <c r="D1282" s="16" t="s">
        <v>64</v>
      </c>
      <c r="E1282" s="17" t="s">
        <v>64</v>
      </c>
      <c r="F1282" s="18" t="s">
        <v>34</v>
      </c>
      <c r="G1282" s="19" t="n">
        <v>866026142335</v>
      </c>
      <c r="H1282" s="17" t="s">
        <v>35</v>
      </c>
      <c r="I1282" s="17" t="s">
        <v>72</v>
      </c>
      <c r="J1282" s="17" t="s">
        <v>111</v>
      </c>
      <c r="K1282" s="17" t="str">
        <f aca="false">VLOOKUP(J1282,Sheet2!A:B,2,0)</f>
        <v>NITIN PRANAMI</v>
      </c>
      <c r="L1282" s="17" t="n">
        <v>1</v>
      </c>
      <c r="M1282" s="17" t="str">
        <f aca="false">VLOOKUP(L1282,Sheet2!D:E,2,0)</f>
        <v>Power Supply Section</v>
      </c>
      <c r="N1282" s="17" t="n">
        <v>1</v>
      </c>
      <c r="O1282" s="17" t="str">
        <f aca="false">VLOOKUP(N1282,Sheet2!G:H,2,0)</f>
        <v>Dead</v>
      </c>
      <c r="P1282" s="17" t="n">
        <v>12</v>
      </c>
      <c r="Q1282" s="17" t="str">
        <f aca="false">VLOOKUP(P1282,Sheet2!J:K,2,0)</f>
        <v>IR Declared due to Others ( IR Normal)TB</v>
      </c>
      <c r="R1282" s="17" t="s">
        <v>35</v>
      </c>
      <c r="S1282" s="17" t="str">
        <f aca="false">VLOOKUP(R1282,Sheet2!N:O,2,0)</f>
        <v>IREPARABLE</v>
      </c>
      <c r="T1282" s="18" t="str">
        <f aca="false">VLOOKUP(P1282,Sheet2!Q:R,2,0)</f>
        <v>IR Normal - BER to IR</v>
      </c>
      <c r="U1282" s="18" t="s">
        <v>101</v>
      </c>
      <c r="V1282" s="17" t="n">
        <v>8</v>
      </c>
      <c r="W1282" s="20" t="str">
        <f aca="false">VLOOKUP(V1282,Sheet2!Q:R,2,0)</f>
        <v>IR Normal -TrackRust/InternalDamage/open</v>
      </c>
      <c r="X1282" s="17" t="str">
        <f aca="false">J1282</f>
        <v>A031</v>
      </c>
      <c r="Y1282" s="17" t="str">
        <f aca="false">VLOOKUP(X1282,Sheet2!A:B,2,0)</f>
        <v>NITIN PRANAMI</v>
      </c>
      <c r="Z1282" s="17" t="s">
        <v>643</v>
      </c>
      <c r="AA1282" s="17" t="s">
        <v>642</v>
      </c>
      <c r="AB1282" s="17" t="s">
        <v>41</v>
      </c>
      <c r="AC1282" s="0" t="str">
        <f aca="false">LEFT(G1282,2)</f>
        <v>86</v>
      </c>
      <c r="AE1282" s="21" t="s">
        <v>238</v>
      </c>
    </row>
    <row r="1283" customFormat="false" ht="15" hidden="false" customHeight="false" outlineLevel="0" collapsed="false">
      <c r="A1283" s="13" t="n">
        <f aca="false">1+A1282</f>
        <v>1281</v>
      </c>
      <c r="B1283" s="14" t="n">
        <v>1009616854</v>
      </c>
      <c r="C1283" s="15" t="s">
        <v>184</v>
      </c>
      <c r="D1283" s="16" t="s">
        <v>64</v>
      </c>
      <c r="E1283" s="17" t="s">
        <v>64</v>
      </c>
      <c r="F1283" s="18" t="s">
        <v>34</v>
      </c>
      <c r="G1283" s="19" t="n">
        <v>867300129030</v>
      </c>
      <c r="H1283" s="17" t="s">
        <v>35</v>
      </c>
      <c r="I1283" s="17" t="s">
        <v>72</v>
      </c>
      <c r="J1283" s="17" t="s">
        <v>118</v>
      </c>
      <c r="K1283" s="17" t="str">
        <f aca="false">VLOOKUP(J1283,Sheet2!A:B,2,0)</f>
        <v>DEVENDRA RAJPUT</v>
      </c>
      <c r="L1283" s="17" t="n">
        <v>1</v>
      </c>
      <c r="M1283" s="17" t="str">
        <f aca="false">VLOOKUP(L1283,Sheet2!D:E,2,0)</f>
        <v>Power Supply Section</v>
      </c>
      <c r="N1283" s="17" t="n">
        <v>1</v>
      </c>
      <c r="O1283" s="17" t="str">
        <f aca="false">VLOOKUP(N1283,Sheet2!G:H,2,0)</f>
        <v>Dead</v>
      </c>
      <c r="P1283" s="17" t="n">
        <v>11</v>
      </c>
      <c r="Q1283" s="17" t="str">
        <f aca="false">VLOOKUP(P1283,Sheet2!J:K,2,0)</f>
        <v>IR Declared due to CID -TA</v>
      </c>
      <c r="R1283" s="17" t="s">
        <v>35</v>
      </c>
      <c r="S1283" s="17" t="str">
        <f aca="false">VLOOKUP(R1283,Sheet2!N:O,2,0)</f>
        <v>IREPARABLE</v>
      </c>
      <c r="T1283" s="18" t="str">
        <f aca="false">VLOOKUP(P1283,Sheet2!Q:R,2,0)</f>
        <v>IR Normal - Track burn out</v>
      </c>
      <c r="U1283" s="18" t="s">
        <v>122</v>
      </c>
      <c r="V1283" s="17" t="n">
        <v>2</v>
      </c>
      <c r="W1283" s="20" t="str">
        <f aca="false">VLOOKUP(V1283,Sheet2!Q:R,2,0)</f>
        <v>IR CID -  Water log from other area</v>
      </c>
      <c r="X1283" s="17" t="str">
        <f aca="false">J1283</f>
        <v>A053</v>
      </c>
      <c r="Y1283" s="17" t="str">
        <f aca="false">VLOOKUP(X1283,Sheet2!A:B,2,0)</f>
        <v>DEVENDRA RAJPUT</v>
      </c>
      <c r="Z1283" s="17" t="s">
        <v>259</v>
      </c>
      <c r="AA1283" s="17" t="s">
        <v>642</v>
      </c>
      <c r="AB1283" s="17" t="s">
        <v>41</v>
      </c>
      <c r="AC1283" s="0" t="str">
        <f aca="false">LEFT(G1283,2)</f>
        <v>86</v>
      </c>
      <c r="AE1283" s="21" t="s">
        <v>238</v>
      </c>
    </row>
    <row r="1284" customFormat="false" ht="15" hidden="false" customHeight="false" outlineLevel="0" collapsed="false">
      <c r="A1284" s="13" t="n">
        <f aca="false">1+A1283</f>
        <v>1282</v>
      </c>
      <c r="B1284" s="14" t="n">
        <v>1009534200</v>
      </c>
      <c r="C1284" s="15" t="s">
        <v>311</v>
      </c>
      <c r="D1284" s="16" t="s">
        <v>64</v>
      </c>
      <c r="E1284" s="17" t="s">
        <v>64</v>
      </c>
      <c r="F1284" s="18" t="s">
        <v>34</v>
      </c>
      <c r="G1284" s="19" t="n">
        <v>867194155935</v>
      </c>
      <c r="H1284" s="17" t="s">
        <v>35</v>
      </c>
      <c r="I1284" s="17" t="s">
        <v>72</v>
      </c>
      <c r="J1284" s="17" t="s">
        <v>239</v>
      </c>
      <c r="K1284" s="17" t="str">
        <f aca="false">VLOOKUP(J1284,Sheet2!A:B,2,0)</f>
        <v>VASANT PARMAR</v>
      </c>
      <c r="L1284" s="17" t="n">
        <v>5</v>
      </c>
      <c r="M1284" s="17" t="str">
        <f aca="false">VLOOKUP(L1284,Sheet2!D:E,2,0)</f>
        <v>Main Processor CPU BGA</v>
      </c>
      <c r="N1284" s="17" t="n">
        <v>1</v>
      </c>
      <c r="O1284" s="17" t="str">
        <f aca="false">VLOOKUP(N1284,Sheet2!G:H,2,0)</f>
        <v>Dead</v>
      </c>
      <c r="P1284" s="17" t="n">
        <v>11</v>
      </c>
      <c r="Q1284" s="17" t="str">
        <f aca="false">VLOOKUP(P1284,Sheet2!J:K,2,0)</f>
        <v>IR Declared due to CID -TA</v>
      </c>
      <c r="R1284" s="17" t="s">
        <v>35</v>
      </c>
      <c r="S1284" s="17" t="str">
        <f aca="false">VLOOKUP(R1284,Sheet2!N:O,2,0)</f>
        <v>IREPARABLE</v>
      </c>
      <c r="T1284" s="18" t="str">
        <f aca="false">VLOOKUP(P1284,Sheet2!Q:R,2,0)</f>
        <v>IR Normal - Track burn out</v>
      </c>
      <c r="U1284" s="18" t="s">
        <v>38</v>
      </c>
      <c r="V1284" s="17" t="n">
        <v>4</v>
      </c>
      <c r="W1284" s="20" t="str">
        <f aca="false">VLOOKUP(V1284,Sheet2!Q:R,2,0)</f>
        <v>IR CID - Tampered Track burn out</v>
      </c>
      <c r="X1284" s="17" t="str">
        <f aca="false">J1284</f>
        <v>A005</v>
      </c>
      <c r="Y1284" s="17" t="str">
        <f aca="false">VLOOKUP(X1284,Sheet2!A:B,2,0)</f>
        <v>VASANT PARMAR</v>
      </c>
      <c r="Z1284" s="17" t="s">
        <v>266</v>
      </c>
      <c r="AA1284" s="17" t="s">
        <v>642</v>
      </c>
      <c r="AB1284" s="17" t="s">
        <v>41</v>
      </c>
      <c r="AC1284" s="0" t="str">
        <f aca="false">LEFT(G1284,2)</f>
        <v>86</v>
      </c>
      <c r="AE1284" s="21" t="s">
        <v>238</v>
      </c>
    </row>
    <row r="1285" customFormat="false" ht="15" hidden="false" customHeight="false" outlineLevel="0" collapsed="false">
      <c r="A1285" s="13" t="n">
        <f aca="false">1+A1284</f>
        <v>1283</v>
      </c>
      <c r="B1285" s="14" t="n">
        <v>1009646482</v>
      </c>
      <c r="C1285" s="15" t="s">
        <v>204</v>
      </c>
      <c r="D1285" s="16" t="s">
        <v>64</v>
      </c>
      <c r="E1285" s="17" t="s">
        <v>64</v>
      </c>
      <c r="F1285" s="18" t="s">
        <v>34</v>
      </c>
      <c r="G1285" s="19" t="n">
        <v>774352091078</v>
      </c>
      <c r="H1285" s="17" t="s">
        <v>35</v>
      </c>
      <c r="I1285" s="17" t="s">
        <v>69</v>
      </c>
      <c r="J1285" s="17" t="s">
        <v>100</v>
      </c>
      <c r="K1285" s="17" t="str">
        <f aca="false">VLOOKUP(J1285,Sheet2!A:B,2,0)</f>
        <v>PIYUSH CHAVDA</v>
      </c>
      <c r="L1285" s="17" t="n">
        <v>1</v>
      </c>
      <c r="M1285" s="17" t="str">
        <f aca="false">VLOOKUP(L1285,Sheet2!D:E,2,0)</f>
        <v>Power Supply Section</v>
      </c>
      <c r="N1285" s="17" t="n">
        <v>1</v>
      </c>
      <c r="O1285" s="17" t="str">
        <f aca="false">VLOOKUP(N1285,Sheet2!G:H,2,0)</f>
        <v>Dead</v>
      </c>
      <c r="P1285" s="17" t="n">
        <v>12</v>
      </c>
      <c r="Q1285" s="17" t="str">
        <f aca="false">VLOOKUP(P1285,Sheet2!J:K,2,0)</f>
        <v>IR Declared due to Others ( IR Normal)TB</v>
      </c>
      <c r="R1285" s="17" t="s">
        <v>35</v>
      </c>
      <c r="S1285" s="17" t="str">
        <f aca="false">VLOOKUP(R1285,Sheet2!N:O,2,0)</f>
        <v>IREPARABLE</v>
      </c>
      <c r="T1285" s="18" t="str">
        <f aca="false">VLOOKUP(P1285,Sheet2!Q:R,2,0)</f>
        <v>IR Normal - BER to IR</v>
      </c>
      <c r="U1285" s="15" t="s">
        <v>38</v>
      </c>
      <c r="V1285" s="17" t="n">
        <v>11</v>
      </c>
      <c r="W1285" s="20" t="str">
        <f aca="false">VLOOKUP(V1285,Sheet2!Q:R,2,0)</f>
        <v>IR Normal - Track burn out</v>
      </c>
      <c r="X1285" s="17" t="str">
        <f aca="false">J1285</f>
        <v>A050</v>
      </c>
      <c r="Y1285" s="17" t="str">
        <f aca="false">VLOOKUP(X1285,Sheet2!A:B,2,0)</f>
        <v>PIYUSH CHAVDA</v>
      </c>
      <c r="Z1285" s="17" t="s">
        <v>130</v>
      </c>
      <c r="AA1285" s="17" t="s">
        <v>642</v>
      </c>
      <c r="AB1285" s="17" t="s">
        <v>41</v>
      </c>
      <c r="AC1285" s="0" t="str">
        <f aca="false">LEFT(G1285,2)</f>
        <v>77</v>
      </c>
      <c r="AE1285" s="21" t="s">
        <v>238</v>
      </c>
    </row>
    <row r="1286" customFormat="false" ht="15" hidden="false" customHeight="false" outlineLevel="0" collapsed="false">
      <c r="A1286" s="13" t="n">
        <f aca="false">1+A1285</f>
        <v>1284</v>
      </c>
      <c r="B1286" s="14" t="n">
        <v>1009584756</v>
      </c>
      <c r="C1286" s="15" t="s">
        <v>139</v>
      </c>
      <c r="D1286" s="16" t="s">
        <v>86</v>
      </c>
      <c r="E1286" s="17" t="s">
        <v>47</v>
      </c>
      <c r="F1286" s="18" t="s">
        <v>34</v>
      </c>
      <c r="G1286" s="19" t="n">
        <v>775084042545</v>
      </c>
      <c r="H1286" s="17" t="s">
        <v>35</v>
      </c>
      <c r="I1286" s="17" t="s">
        <v>69</v>
      </c>
      <c r="J1286" s="17" t="s">
        <v>111</v>
      </c>
      <c r="K1286" s="17" t="str">
        <f aca="false">VLOOKUP(J1286,Sheet2!A:B,2,0)</f>
        <v>NITIN PRANAMI</v>
      </c>
      <c r="L1286" s="17" t="n">
        <v>5</v>
      </c>
      <c r="M1286" s="17" t="str">
        <f aca="false">VLOOKUP(L1286,Sheet2!D:E,2,0)</f>
        <v>Main Processor CPU BGA</v>
      </c>
      <c r="N1286" s="17" t="n">
        <v>28</v>
      </c>
      <c r="O1286" s="17" t="str">
        <f aca="false">VLOOKUP(N1286,Sheet2!G:H,2,0)</f>
        <v>Hang and Freeze video - AV</v>
      </c>
      <c r="P1286" s="17" t="n">
        <v>12</v>
      </c>
      <c r="Q1286" s="17" t="str">
        <f aca="false">VLOOKUP(P1286,Sheet2!J:K,2,0)</f>
        <v>IR Declared due to Others ( IR Normal)TB</v>
      </c>
      <c r="R1286" s="17" t="s">
        <v>35</v>
      </c>
      <c r="S1286" s="17" t="str">
        <f aca="false">VLOOKUP(R1286,Sheet2!N:O,2,0)</f>
        <v>IREPARABLE</v>
      </c>
      <c r="T1286" s="18" t="str">
        <f aca="false">VLOOKUP(P1286,Sheet2!Q:R,2,0)</f>
        <v>IR Normal - BER to IR</v>
      </c>
      <c r="U1286" s="20" t="s">
        <v>110</v>
      </c>
      <c r="V1286" s="17" t="n">
        <v>9</v>
      </c>
      <c r="W1286" s="20" t="str">
        <f aca="false">VLOOKUP(V1286,Sheet2!Q:R,2,0)</f>
        <v>IR Normal - Multiple time repair </v>
      </c>
      <c r="X1286" s="17" t="str">
        <f aca="false">J1286</f>
        <v>A031</v>
      </c>
      <c r="Y1286" s="17" t="str">
        <f aca="false">VLOOKUP(X1286,Sheet2!A:B,2,0)</f>
        <v>NITIN PRANAMI</v>
      </c>
      <c r="Z1286" s="17" t="s">
        <v>136</v>
      </c>
      <c r="AA1286" s="17" t="s">
        <v>642</v>
      </c>
      <c r="AB1286" s="17" t="s">
        <v>41</v>
      </c>
      <c r="AC1286" s="0" t="str">
        <f aca="false">LEFT(G1286,2)</f>
        <v>77</v>
      </c>
      <c r="AE1286" s="21" t="s">
        <v>238</v>
      </c>
    </row>
    <row r="1287" customFormat="false" ht="15" hidden="false" customHeight="false" outlineLevel="0" collapsed="false">
      <c r="A1287" s="13" t="n">
        <f aca="false">1+A1286</f>
        <v>1285</v>
      </c>
      <c r="B1287" s="14" t="n">
        <v>1007744472</v>
      </c>
      <c r="C1287" s="15" t="s">
        <v>645</v>
      </c>
      <c r="D1287" s="16" t="s">
        <v>64</v>
      </c>
      <c r="E1287" s="17" t="s">
        <v>47</v>
      </c>
      <c r="F1287" s="18" t="s">
        <v>34</v>
      </c>
      <c r="G1287" s="19" t="n">
        <v>413183104715</v>
      </c>
      <c r="H1287" s="17" t="s">
        <v>134</v>
      </c>
      <c r="I1287" s="17" t="s">
        <v>44</v>
      </c>
      <c r="J1287" s="17" t="s">
        <v>111</v>
      </c>
      <c r="K1287" s="17" t="str">
        <f aca="false">VLOOKUP(J1287,Sheet2!A:B,2,0)</f>
        <v>NITIN PRANAMI</v>
      </c>
      <c r="L1287" s="17" t="n">
        <v>5</v>
      </c>
      <c r="M1287" s="17" t="str">
        <f aca="false">VLOOKUP(L1287,Sheet2!D:E,2,0)</f>
        <v>Main Processor CPU BGA</v>
      </c>
      <c r="N1287" s="17" t="n">
        <v>49</v>
      </c>
      <c r="O1287" s="17" t="str">
        <f aca="false">VLOOKUP(N1287,Sheet2!G:H,2,0)</f>
        <v>Picture Quality</v>
      </c>
      <c r="P1287" s="17" t="n">
        <v>12</v>
      </c>
      <c r="Q1287" s="17" t="str">
        <f aca="false">VLOOKUP(P1287,Sheet2!J:K,2,0)</f>
        <v>IR Declared due to Others ( IR Normal)TB</v>
      </c>
      <c r="R1287" s="17" t="s">
        <v>35</v>
      </c>
      <c r="S1287" s="17" t="str">
        <f aca="false">VLOOKUP(R1287,Sheet2!N:O,2,0)</f>
        <v>IREPARABLE</v>
      </c>
      <c r="T1287" s="18" t="str">
        <f aca="false">VLOOKUP(P1287,Sheet2!Q:R,2,0)</f>
        <v>IR Normal - BER to IR</v>
      </c>
      <c r="U1287" s="20" t="s">
        <v>135</v>
      </c>
      <c r="V1287" s="17" t="n">
        <v>12</v>
      </c>
      <c r="W1287" s="20" t="str">
        <f aca="false">VLOOKUP(V1287,Sheet2!Q:R,2,0)</f>
        <v>IR Normal - BER to IR</v>
      </c>
      <c r="X1287" s="17" t="str">
        <f aca="false">J1287</f>
        <v>A031</v>
      </c>
      <c r="Y1287" s="17" t="str">
        <f aca="false">VLOOKUP(X1287,Sheet2!A:B,2,0)</f>
        <v>NITIN PRANAMI</v>
      </c>
      <c r="Z1287" s="17" t="s">
        <v>149</v>
      </c>
      <c r="AA1287" s="17" t="s">
        <v>642</v>
      </c>
      <c r="AB1287" s="17" t="s">
        <v>41</v>
      </c>
      <c r="AC1287" s="0" t="str">
        <f aca="false">LEFT(G1287,2)</f>
        <v>41</v>
      </c>
      <c r="AE1287" s="21" t="s">
        <v>238</v>
      </c>
    </row>
    <row r="1288" customFormat="false" ht="15" hidden="false" customHeight="false" outlineLevel="0" collapsed="false">
      <c r="A1288" s="13" t="n">
        <f aca="false">1+A1287</f>
        <v>1286</v>
      </c>
      <c r="B1288" s="14" t="n">
        <v>1009353375</v>
      </c>
      <c r="C1288" s="15" t="s">
        <v>87</v>
      </c>
      <c r="D1288" s="16" t="s">
        <v>64</v>
      </c>
      <c r="E1288" s="17" t="s">
        <v>64</v>
      </c>
      <c r="F1288" s="18" t="s">
        <v>34</v>
      </c>
      <c r="G1288" s="19" t="n">
        <v>288140103020</v>
      </c>
      <c r="H1288" s="17" t="s">
        <v>35</v>
      </c>
      <c r="I1288" s="17" t="s">
        <v>74</v>
      </c>
      <c r="J1288" s="17" t="s">
        <v>106</v>
      </c>
      <c r="K1288" s="17" t="str">
        <f aca="false">VLOOKUP(J1288,Sheet2!A:B,2,0)</f>
        <v>PRAKASH CHAVDA</v>
      </c>
      <c r="L1288" s="17" t="n">
        <v>1</v>
      </c>
      <c r="M1288" s="17" t="str">
        <f aca="false">VLOOKUP(L1288,Sheet2!D:E,2,0)</f>
        <v>Power Supply Section</v>
      </c>
      <c r="N1288" s="17" t="n">
        <v>1</v>
      </c>
      <c r="O1288" s="17" t="str">
        <f aca="false">VLOOKUP(N1288,Sheet2!G:H,2,0)</f>
        <v>Dead</v>
      </c>
      <c r="P1288" s="17" t="n">
        <v>11</v>
      </c>
      <c r="Q1288" s="17" t="str">
        <f aca="false">VLOOKUP(P1288,Sheet2!J:K,2,0)</f>
        <v>IR Declared due to CID -TA</v>
      </c>
      <c r="R1288" s="17" t="s">
        <v>35</v>
      </c>
      <c r="S1288" s="17" t="str">
        <f aca="false">VLOOKUP(R1288,Sheet2!N:O,2,0)</f>
        <v>IREPARABLE</v>
      </c>
      <c r="T1288" s="18" t="str">
        <f aca="false">VLOOKUP(P1288,Sheet2!Q:R,2,0)</f>
        <v>IR Normal - Track burn out</v>
      </c>
      <c r="U1288" s="18" t="s">
        <v>122</v>
      </c>
      <c r="V1288" s="17" t="n">
        <v>2</v>
      </c>
      <c r="W1288" s="20" t="str">
        <f aca="false">VLOOKUP(V1288,Sheet2!Q:R,2,0)</f>
        <v>IR CID -  Water log from other area</v>
      </c>
      <c r="X1288" s="17" t="str">
        <f aca="false">J1288</f>
        <v>A018</v>
      </c>
      <c r="Y1288" s="17" t="str">
        <f aca="false">VLOOKUP(X1288,Sheet2!A:B,2,0)</f>
        <v>PRAKASH CHAVDA</v>
      </c>
      <c r="Z1288" s="17" t="s">
        <v>646</v>
      </c>
      <c r="AA1288" s="17" t="s">
        <v>642</v>
      </c>
      <c r="AB1288" s="17" t="s">
        <v>41</v>
      </c>
      <c r="AC1288" s="0" t="str">
        <f aca="false">LEFT(G1288,2)</f>
        <v>28</v>
      </c>
      <c r="AE1288" s="21" t="s">
        <v>238</v>
      </c>
    </row>
    <row r="1289" customFormat="false" ht="15" hidden="false" customHeight="false" outlineLevel="0" collapsed="false">
      <c r="A1289" s="13" t="n">
        <f aca="false">1+A1288</f>
        <v>1287</v>
      </c>
      <c r="B1289" s="14" t="n">
        <v>1009624317</v>
      </c>
      <c r="C1289" s="15" t="s">
        <v>163</v>
      </c>
      <c r="D1289" s="16" t="s">
        <v>64</v>
      </c>
      <c r="E1289" s="17" t="s">
        <v>64</v>
      </c>
      <c r="F1289" s="18" t="s">
        <v>34</v>
      </c>
      <c r="G1289" s="19" t="n">
        <v>775084000899</v>
      </c>
      <c r="H1289" s="17" t="s">
        <v>134</v>
      </c>
      <c r="I1289" s="17" t="s">
        <v>69</v>
      </c>
      <c r="J1289" s="17" t="s">
        <v>106</v>
      </c>
      <c r="K1289" s="17" t="str">
        <f aca="false">VLOOKUP(J1289,Sheet2!A:B,2,0)</f>
        <v>PRAKASH CHAVDA</v>
      </c>
      <c r="L1289" s="17" t="n">
        <v>5</v>
      </c>
      <c r="M1289" s="17" t="str">
        <f aca="false">VLOOKUP(L1289,Sheet2!D:E,2,0)</f>
        <v>Main Processor CPU BGA</v>
      </c>
      <c r="N1289" s="17" t="n">
        <v>1</v>
      </c>
      <c r="O1289" s="17" t="str">
        <f aca="false">VLOOKUP(N1289,Sheet2!G:H,2,0)</f>
        <v>Dead</v>
      </c>
      <c r="P1289" s="17" t="n">
        <v>12</v>
      </c>
      <c r="Q1289" s="17" t="str">
        <f aca="false">VLOOKUP(P1289,Sheet2!J:K,2,0)</f>
        <v>IR Declared due to Others ( IR Normal)TB</v>
      </c>
      <c r="R1289" s="17" t="s">
        <v>35</v>
      </c>
      <c r="S1289" s="17" t="str">
        <f aca="false">VLOOKUP(R1289,Sheet2!N:O,2,0)</f>
        <v>IREPARABLE</v>
      </c>
      <c r="T1289" s="18" t="str">
        <f aca="false">VLOOKUP(P1289,Sheet2!Q:R,2,0)</f>
        <v>IR Normal - BER to IR</v>
      </c>
      <c r="U1289" s="20" t="s">
        <v>135</v>
      </c>
      <c r="V1289" s="17" t="n">
        <v>12</v>
      </c>
      <c r="W1289" s="20" t="str">
        <f aca="false">VLOOKUP(V1289,Sheet2!Q:R,2,0)</f>
        <v>IR Normal - BER to IR</v>
      </c>
      <c r="X1289" s="17" t="str">
        <f aca="false">J1289</f>
        <v>A018</v>
      </c>
      <c r="Y1289" s="17" t="str">
        <f aca="false">VLOOKUP(X1289,Sheet2!A:B,2,0)</f>
        <v>PRAKASH CHAVDA</v>
      </c>
      <c r="Z1289" s="17" t="s">
        <v>136</v>
      </c>
      <c r="AA1289" s="17" t="s">
        <v>642</v>
      </c>
      <c r="AB1289" s="17" t="s">
        <v>41</v>
      </c>
      <c r="AC1289" s="0" t="str">
        <f aca="false">LEFT(G1289,2)</f>
        <v>77</v>
      </c>
      <c r="AE1289" s="21" t="s">
        <v>238</v>
      </c>
    </row>
    <row r="1290" customFormat="false" ht="15" hidden="false" customHeight="false" outlineLevel="0" collapsed="false">
      <c r="A1290" s="13" t="n">
        <f aca="false">1+A1289</f>
        <v>1288</v>
      </c>
      <c r="B1290" s="14" t="n">
        <v>1009528532</v>
      </c>
      <c r="C1290" s="15" t="s">
        <v>174</v>
      </c>
      <c r="D1290" s="16" t="s">
        <v>64</v>
      </c>
      <c r="E1290" s="17" t="s">
        <v>64</v>
      </c>
      <c r="F1290" s="18" t="s">
        <v>34</v>
      </c>
      <c r="G1290" s="19" t="n">
        <v>985320242920</v>
      </c>
      <c r="H1290" s="17" t="s">
        <v>35</v>
      </c>
      <c r="I1290" s="17" t="s">
        <v>44</v>
      </c>
      <c r="J1290" s="17" t="s">
        <v>106</v>
      </c>
      <c r="K1290" s="17" t="str">
        <f aca="false">VLOOKUP(J1290,Sheet2!A:B,2,0)</f>
        <v>PRAKASH CHAVDA</v>
      </c>
      <c r="L1290" s="17" t="n">
        <v>5</v>
      </c>
      <c r="M1290" s="17" t="str">
        <f aca="false">VLOOKUP(L1290,Sheet2!D:E,2,0)</f>
        <v>Main Processor CPU BGA</v>
      </c>
      <c r="N1290" s="17" t="n">
        <v>1</v>
      </c>
      <c r="O1290" s="17" t="str">
        <f aca="false">VLOOKUP(N1290,Sheet2!G:H,2,0)</f>
        <v>Dead</v>
      </c>
      <c r="P1290" s="17" t="n">
        <v>12</v>
      </c>
      <c r="Q1290" s="17" t="str">
        <f aca="false">VLOOKUP(P1290,Sheet2!J:K,2,0)</f>
        <v>IR Declared due to Others ( IR Normal)TB</v>
      </c>
      <c r="R1290" s="17" t="s">
        <v>35</v>
      </c>
      <c r="S1290" s="17" t="str">
        <f aca="false">VLOOKUP(R1290,Sheet2!N:O,2,0)</f>
        <v>IREPARABLE</v>
      </c>
      <c r="T1290" s="18" t="str">
        <f aca="false">VLOOKUP(P1290,Sheet2!Q:R,2,0)</f>
        <v>IR Normal - BER to IR</v>
      </c>
      <c r="U1290" s="20" t="s">
        <v>135</v>
      </c>
      <c r="V1290" s="17" t="n">
        <v>12</v>
      </c>
      <c r="W1290" s="20" t="str">
        <f aca="false">VLOOKUP(V1290,Sheet2!Q:R,2,0)</f>
        <v>IR Normal - BER to IR</v>
      </c>
      <c r="X1290" s="17" t="str">
        <f aca="false">J1290</f>
        <v>A018</v>
      </c>
      <c r="Y1290" s="17" t="str">
        <f aca="false">VLOOKUP(X1290,Sheet2!A:B,2,0)</f>
        <v>PRAKASH CHAVDA</v>
      </c>
      <c r="Z1290" s="17" t="s">
        <v>141</v>
      </c>
      <c r="AA1290" s="17" t="s">
        <v>642</v>
      </c>
      <c r="AB1290" s="17" t="s">
        <v>41</v>
      </c>
      <c r="AC1290" s="0" t="str">
        <f aca="false">LEFT(G1290,2)</f>
        <v>98</v>
      </c>
      <c r="AE1290" s="21" t="s">
        <v>238</v>
      </c>
    </row>
    <row r="1291" customFormat="false" ht="15" hidden="false" customHeight="false" outlineLevel="0" collapsed="false">
      <c r="A1291" s="13" t="n">
        <f aca="false">1+A1290</f>
        <v>1289</v>
      </c>
      <c r="B1291" s="14" t="n">
        <v>1009390580</v>
      </c>
      <c r="C1291" s="15" t="s">
        <v>299</v>
      </c>
      <c r="D1291" s="16" t="s">
        <v>64</v>
      </c>
      <c r="E1291" s="17" t="s">
        <v>64</v>
      </c>
      <c r="F1291" s="18" t="s">
        <v>34</v>
      </c>
      <c r="G1291" s="19" t="n">
        <v>414100207995</v>
      </c>
      <c r="H1291" s="17" t="s">
        <v>134</v>
      </c>
      <c r="I1291" s="17" t="s">
        <v>44</v>
      </c>
      <c r="J1291" s="17" t="s">
        <v>106</v>
      </c>
      <c r="K1291" s="17" t="str">
        <f aca="false">VLOOKUP(J1291,Sheet2!A:B,2,0)</f>
        <v>PRAKASH CHAVDA</v>
      </c>
      <c r="L1291" s="17" t="n">
        <v>5</v>
      </c>
      <c r="M1291" s="17" t="str">
        <f aca="false">VLOOKUP(L1291,Sheet2!D:E,2,0)</f>
        <v>Main Processor CPU BGA</v>
      </c>
      <c r="N1291" s="17" t="n">
        <v>1</v>
      </c>
      <c r="O1291" s="17" t="str">
        <f aca="false">VLOOKUP(N1291,Sheet2!G:H,2,0)</f>
        <v>Dead</v>
      </c>
      <c r="P1291" s="17" t="n">
        <v>12</v>
      </c>
      <c r="Q1291" s="17" t="str">
        <f aca="false">VLOOKUP(P1291,Sheet2!J:K,2,0)</f>
        <v>IR Declared due to Others ( IR Normal)TB</v>
      </c>
      <c r="R1291" s="17" t="s">
        <v>35</v>
      </c>
      <c r="S1291" s="17" t="str">
        <f aca="false">VLOOKUP(R1291,Sheet2!N:O,2,0)</f>
        <v>IREPARABLE</v>
      </c>
      <c r="T1291" s="18" t="str">
        <f aca="false">VLOOKUP(P1291,Sheet2!Q:R,2,0)</f>
        <v>IR Normal - BER to IR</v>
      </c>
      <c r="U1291" s="20" t="s">
        <v>135</v>
      </c>
      <c r="V1291" s="17" t="n">
        <v>12</v>
      </c>
      <c r="W1291" s="20" t="str">
        <f aca="false">VLOOKUP(V1291,Sheet2!Q:R,2,0)</f>
        <v>IR Normal - BER to IR</v>
      </c>
      <c r="X1291" s="17" t="str">
        <f aca="false">J1291</f>
        <v>A018</v>
      </c>
      <c r="Y1291" s="17" t="str">
        <f aca="false">VLOOKUP(X1291,Sheet2!A:B,2,0)</f>
        <v>PRAKASH CHAVDA</v>
      </c>
      <c r="Z1291" s="17" t="s">
        <v>149</v>
      </c>
      <c r="AA1291" s="17" t="s">
        <v>642</v>
      </c>
      <c r="AB1291" s="17" t="s">
        <v>41</v>
      </c>
      <c r="AC1291" s="0" t="str">
        <f aca="false">LEFT(G1291,2)</f>
        <v>41</v>
      </c>
      <c r="AE1291" s="21" t="s">
        <v>238</v>
      </c>
    </row>
    <row r="1292" customFormat="false" ht="15" hidden="false" customHeight="false" outlineLevel="0" collapsed="false">
      <c r="A1292" s="13" t="n">
        <f aca="false">1+A1291</f>
        <v>1290</v>
      </c>
      <c r="B1292" s="14" t="n">
        <v>1009092159</v>
      </c>
      <c r="C1292" s="15" t="s">
        <v>414</v>
      </c>
      <c r="D1292" s="16" t="s">
        <v>64</v>
      </c>
      <c r="E1292" s="17" t="s">
        <v>33</v>
      </c>
      <c r="F1292" s="18" t="s">
        <v>34</v>
      </c>
      <c r="G1292" s="19" t="n">
        <v>134119256516</v>
      </c>
      <c r="H1292" s="17" t="s">
        <v>647</v>
      </c>
      <c r="I1292" s="17" t="s">
        <v>44</v>
      </c>
      <c r="J1292" s="17" t="s">
        <v>106</v>
      </c>
      <c r="K1292" s="17" t="str">
        <f aca="false">VLOOKUP(J1292,Sheet2!A:B,2,0)</f>
        <v>PRAKASH CHAVDA</v>
      </c>
      <c r="L1292" s="17" t="n">
        <v>5</v>
      </c>
      <c r="M1292" s="17" t="str">
        <f aca="false">VLOOKUP(L1292,Sheet2!D:E,2,0)</f>
        <v>Main Processor CPU BGA</v>
      </c>
      <c r="N1292" s="17" t="n">
        <v>1</v>
      </c>
      <c r="O1292" s="17" t="str">
        <f aca="false">VLOOKUP(N1292,Sheet2!G:H,2,0)</f>
        <v>Dead</v>
      </c>
      <c r="P1292" s="17" t="n">
        <v>12</v>
      </c>
      <c r="Q1292" s="17" t="str">
        <f aca="false">VLOOKUP(P1292,Sheet2!J:K,2,0)</f>
        <v>IR Declared due to Others ( IR Normal)TB</v>
      </c>
      <c r="R1292" s="17" t="s">
        <v>35</v>
      </c>
      <c r="S1292" s="17" t="str">
        <f aca="false">VLOOKUP(R1292,Sheet2!N:O,2,0)</f>
        <v>IREPARABLE</v>
      </c>
      <c r="T1292" s="18" t="str">
        <f aca="false">VLOOKUP(P1292,Sheet2!Q:R,2,0)</f>
        <v>IR Normal - BER to IR</v>
      </c>
      <c r="U1292" s="20" t="s">
        <v>135</v>
      </c>
      <c r="V1292" s="17" t="n">
        <v>12</v>
      </c>
      <c r="W1292" s="20" t="str">
        <f aca="false">VLOOKUP(V1292,Sheet2!Q:R,2,0)</f>
        <v>IR Normal - BER to IR</v>
      </c>
      <c r="X1292" s="17" t="str">
        <f aca="false">J1292</f>
        <v>A018</v>
      </c>
      <c r="Y1292" s="17" t="str">
        <f aca="false">VLOOKUP(X1292,Sheet2!A:B,2,0)</f>
        <v>PRAKASH CHAVDA</v>
      </c>
      <c r="Z1292" s="17" t="s">
        <v>136</v>
      </c>
      <c r="AA1292" s="17" t="s">
        <v>642</v>
      </c>
      <c r="AB1292" s="17" t="s">
        <v>41</v>
      </c>
      <c r="AC1292" s="0" t="str">
        <f aca="false">LEFT(G1292,2)</f>
        <v>13</v>
      </c>
      <c r="AE1292" s="21" t="s">
        <v>238</v>
      </c>
    </row>
    <row r="1293" customFormat="false" ht="15" hidden="false" customHeight="false" outlineLevel="0" collapsed="false">
      <c r="A1293" s="13" t="n">
        <f aca="false">1+A1292</f>
        <v>1291</v>
      </c>
      <c r="B1293" s="14" t="n">
        <v>1009684334</v>
      </c>
      <c r="C1293" s="15" t="s">
        <v>413</v>
      </c>
      <c r="D1293" s="16" t="s">
        <v>471</v>
      </c>
      <c r="E1293" s="17" t="s">
        <v>64</v>
      </c>
      <c r="F1293" s="18" t="s">
        <v>34</v>
      </c>
      <c r="G1293" s="19" t="n">
        <v>775237056194</v>
      </c>
      <c r="H1293" s="17" t="s">
        <v>134</v>
      </c>
      <c r="I1293" s="17" t="s">
        <v>69</v>
      </c>
      <c r="J1293" s="17" t="s">
        <v>106</v>
      </c>
      <c r="K1293" s="17" t="str">
        <f aca="false">VLOOKUP(J1293,Sheet2!A:B,2,0)</f>
        <v>PRAKASH CHAVDA</v>
      </c>
      <c r="L1293" s="17" t="n">
        <v>5</v>
      </c>
      <c r="M1293" s="17" t="str">
        <f aca="false">VLOOKUP(L1293,Sheet2!D:E,2,0)</f>
        <v>Main Processor CPU BGA</v>
      </c>
      <c r="N1293" s="17" t="n">
        <v>1</v>
      </c>
      <c r="O1293" s="17" t="str">
        <f aca="false">VLOOKUP(N1293,Sheet2!G:H,2,0)</f>
        <v>Dead</v>
      </c>
      <c r="P1293" s="17" t="n">
        <v>12</v>
      </c>
      <c r="Q1293" s="17" t="str">
        <f aca="false">VLOOKUP(P1293,Sheet2!J:K,2,0)</f>
        <v>IR Declared due to Others ( IR Normal)TB</v>
      </c>
      <c r="R1293" s="17" t="s">
        <v>35</v>
      </c>
      <c r="S1293" s="17" t="str">
        <f aca="false">VLOOKUP(R1293,Sheet2!N:O,2,0)</f>
        <v>IREPARABLE</v>
      </c>
      <c r="T1293" s="18" t="str">
        <f aca="false">VLOOKUP(P1293,Sheet2!Q:R,2,0)</f>
        <v>IR Normal - BER to IR</v>
      </c>
      <c r="U1293" s="20" t="s">
        <v>135</v>
      </c>
      <c r="V1293" s="17" t="n">
        <v>12</v>
      </c>
      <c r="W1293" s="20" t="str">
        <f aca="false">VLOOKUP(V1293,Sheet2!Q:R,2,0)</f>
        <v>IR Normal - BER to IR</v>
      </c>
      <c r="X1293" s="17" t="str">
        <f aca="false">J1293</f>
        <v>A018</v>
      </c>
      <c r="Y1293" s="17" t="str">
        <f aca="false">VLOOKUP(X1293,Sheet2!A:B,2,0)</f>
        <v>PRAKASH CHAVDA</v>
      </c>
      <c r="Z1293" s="17" t="s">
        <v>136</v>
      </c>
      <c r="AA1293" s="17" t="s">
        <v>642</v>
      </c>
      <c r="AB1293" s="17" t="s">
        <v>41</v>
      </c>
      <c r="AC1293" s="0" t="str">
        <f aca="false">LEFT(G1293,2)</f>
        <v>77</v>
      </c>
      <c r="AE1293" s="21" t="s">
        <v>238</v>
      </c>
    </row>
    <row r="1294" customFormat="false" ht="15" hidden="false" customHeight="false" outlineLevel="0" collapsed="false">
      <c r="A1294" s="13" t="n">
        <f aca="false">1+A1293</f>
        <v>1292</v>
      </c>
      <c r="B1294" s="14" t="n">
        <v>1009684340</v>
      </c>
      <c r="C1294" s="15" t="s">
        <v>413</v>
      </c>
      <c r="D1294" s="16" t="s">
        <v>64</v>
      </c>
      <c r="E1294" s="17" t="s">
        <v>33</v>
      </c>
      <c r="F1294" s="18" t="s">
        <v>34</v>
      </c>
      <c r="G1294" s="19" t="n">
        <v>775352245846</v>
      </c>
      <c r="H1294" s="17" t="s">
        <v>134</v>
      </c>
      <c r="I1294" s="17" t="s">
        <v>69</v>
      </c>
      <c r="J1294" s="17" t="s">
        <v>106</v>
      </c>
      <c r="K1294" s="17" t="str">
        <f aca="false">VLOOKUP(J1294,Sheet2!A:B,2,0)</f>
        <v>PRAKASH CHAVDA</v>
      </c>
      <c r="L1294" s="17" t="n">
        <v>5</v>
      </c>
      <c r="M1294" s="17" t="str">
        <f aca="false">VLOOKUP(L1294,Sheet2!D:E,2,0)</f>
        <v>Main Processor CPU BGA</v>
      </c>
      <c r="N1294" s="17" t="n">
        <v>24</v>
      </c>
      <c r="O1294" s="17" t="str">
        <f aca="false">VLOOKUP(N1294,Sheet2!G:H,2,0)</f>
        <v>STB Auto moving -Stand by mode</v>
      </c>
      <c r="P1294" s="17" t="n">
        <v>12</v>
      </c>
      <c r="Q1294" s="17" t="str">
        <f aca="false">VLOOKUP(P1294,Sheet2!J:K,2,0)</f>
        <v>IR Declared due to Others ( IR Normal)TB</v>
      </c>
      <c r="R1294" s="17" t="s">
        <v>35</v>
      </c>
      <c r="S1294" s="17" t="str">
        <f aca="false">VLOOKUP(R1294,Sheet2!N:O,2,0)</f>
        <v>IREPARABLE</v>
      </c>
      <c r="T1294" s="18" t="str">
        <f aca="false">VLOOKUP(P1294,Sheet2!Q:R,2,0)</f>
        <v>IR Normal - BER to IR</v>
      </c>
      <c r="U1294" s="20" t="s">
        <v>135</v>
      </c>
      <c r="V1294" s="17" t="n">
        <v>12</v>
      </c>
      <c r="W1294" s="20" t="str">
        <f aca="false">VLOOKUP(V1294,Sheet2!Q:R,2,0)</f>
        <v>IR Normal - BER to IR</v>
      </c>
      <c r="X1294" s="17" t="str">
        <f aca="false">J1294</f>
        <v>A018</v>
      </c>
      <c r="Y1294" s="17" t="str">
        <f aca="false">VLOOKUP(X1294,Sheet2!A:B,2,0)</f>
        <v>PRAKASH CHAVDA</v>
      </c>
      <c r="Z1294" s="17" t="s">
        <v>136</v>
      </c>
      <c r="AA1294" s="17" t="s">
        <v>642</v>
      </c>
      <c r="AB1294" s="17" t="s">
        <v>41</v>
      </c>
      <c r="AC1294" s="0" t="str">
        <f aca="false">LEFT(G1294,2)</f>
        <v>77</v>
      </c>
      <c r="AE1294" s="21" t="s">
        <v>238</v>
      </c>
    </row>
    <row r="1295" customFormat="false" ht="15" hidden="false" customHeight="false" outlineLevel="0" collapsed="false">
      <c r="A1295" s="13" t="n">
        <f aca="false">1+A1294</f>
        <v>1293</v>
      </c>
      <c r="B1295" s="14" t="n">
        <v>1007743584</v>
      </c>
      <c r="C1295" s="15" t="s">
        <v>648</v>
      </c>
      <c r="D1295" s="16" t="s">
        <v>231</v>
      </c>
      <c r="E1295" s="17" t="s">
        <v>91</v>
      </c>
      <c r="F1295" s="18" t="s">
        <v>34</v>
      </c>
      <c r="G1295" s="19" t="n">
        <v>134056511105</v>
      </c>
      <c r="H1295" s="17" t="s">
        <v>649</v>
      </c>
      <c r="I1295" s="17" t="s">
        <v>44</v>
      </c>
      <c r="J1295" s="17" t="s">
        <v>106</v>
      </c>
      <c r="K1295" s="17" t="str">
        <f aca="false">VLOOKUP(J1295,Sheet2!A:B,2,0)</f>
        <v>PRAKASH CHAVDA</v>
      </c>
      <c r="L1295" s="17" t="n">
        <v>5</v>
      </c>
      <c r="M1295" s="17" t="str">
        <f aca="false">VLOOKUP(L1295,Sheet2!D:E,2,0)</f>
        <v>Main Processor CPU BGA</v>
      </c>
      <c r="N1295" s="17" t="n">
        <v>24</v>
      </c>
      <c r="O1295" s="17" t="str">
        <f aca="false">VLOOKUP(N1295,Sheet2!G:H,2,0)</f>
        <v>STB Auto moving -Stand by mode</v>
      </c>
      <c r="P1295" s="17" t="n">
        <v>12</v>
      </c>
      <c r="Q1295" s="17" t="str">
        <f aca="false">VLOOKUP(P1295,Sheet2!J:K,2,0)</f>
        <v>IR Declared due to Others ( IR Normal)TB</v>
      </c>
      <c r="R1295" s="17" t="s">
        <v>35</v>
      </c>
      <c r="S1295" s="17" t="str">
        <f aca="false">VLOOKUP(R1295,Sheet2!N:O,2,0)</f>
        <v>IREPARABLE</v>
      </c>
      <c r="T1295" s="18" t="str">
        <f aca="false">VLOOKUP(P1295,Sheet2!Q:R,2,0)</f>
        <v>IR Normal - BER to IR</v>
      </c>
      <c r="U1295" s="20" t="s">
        <v>135</v>
      </c>
      <c r="V1295" s="17" t="n">
        <v>12</v>
      </c>
      <c r="W1295" s="20" t="str">
        <f aca="false">VLOOKUP(V1295,Sheet2!Q:R,2,0)</f>
        <v>IR Normal - BER to IR</v>
      </c>
      <c r="X1295" s="17" t="str">
        <f aca="false">J1295</f>
        <v>A018</v>
      </c>
      <c r="Y1295" s="17" t="str">
        <f aca="false">VLOOKUP(X1295,Sheet2!A:B,2,0)</f>
        <v>PRAKASH CHAVDA</v>
      </c>
      <c r="Z1295" s="17" t="s">
        <v>650</v>
      </c>
      <c r="AA1295" s="17" t="s">
        <v>642</v>
      </c>
      <c r="AB1295" s="17" t="s">
        <v>41</v>
      </c>
      <c r="AC1295" s="0" t="str">
        <f aca="false">LEFT(G1295,2)</f>
        <v>13</v>
      </c>
      <c r="AE1295" s="21" t="s">
        <v>238</v>
      </c>
    </row>
    <row r="1296" customFormat="false" ht="15" hidden="false" customHeight="false" outlineLevel="0" collapsed="false">
      <c r="A1296" s="13" t="n">
        <f aca="false">1+A1295</f>
        <v>1294</v>
      </c>
      <c r="B1296" s="14" t="n">
        <v>1005021457</v>
      </c>
      <c r="C1296" s="15" t="s">
        <v>651</v>
      </c>
      <c r="D1296" s="16" t="s">
        <v>64</v>
      </c>
      <c r="E1296" s="17" t="s">
        <v>64</v>
      </c>
      <c r="F1296" s="18" t="s">
        <v>34</v>
      </c>
      <c r="G1296" s="19" t="n">
        <v>134119385471</v>
      </c>
      <c r="H1296" s="17" t="s">
        <v>134</v>
      </c>
      <c r="I1296" s="17" t="s">
        <v>44</v>
      </c>
      <c r="J1296" s="17" t="s">
        <v>106</v>
      </c>
      <c r="K1296" s="17" t="str">
        <f aca="false">VLOOKUP(J1296,Sheet2!A:B,2,0)</f>
        <v>PRAKASH CHAVDA</v>
      </c>
      <c r="L1296" s="17" t="n">
        <v>5</v>
      </c>
      <c r="M1296" s="17" t="str">
        <f aca="false">VLOOKUP(L1296,Sheet2!D:E,2,0)</f>
        <v>Main Processor CPU BGA</v>
      </c>
      <c r="N1296" s="17" t="n">
        <v>24</v>
      </c>
      <c r="O1296" s="17" t="str">
        <f aca="false">VLOOKUP(N1296,Sheet2!G:H,2,0)</f>
        <v>STB Auto moving -Stand by mode</v>
      </c>
      <c r="P1296" s="17" t="n">
        <v>12</v>
      </c>
      <c r="Q1296" s="17" t="str">
        <f aca="false">VLOOKUP(P1296,Sheet2!J:K,2,0)</f>
        <v>IR Declared due to Others ( IR Normal)TB</v>
      </c>
      <c r="R1296" s="17" t="s">
        <v>35</v>
      </c>
      <c r="S1296" s="17" t="str">
        <f aca="false">VLOOKUP(R1296,Sheet2!N:O,2,0)</f>
        <v>IREPARABLE</v>
      </c>
      <c r="T1296" s="18" t="str">
        <f aca="false">VLOOKUP(P1296,Sheet2!Q:R,2,0)</f>
        <v>IR Normal - BER to IR</v>
      </c>
      <c r="U1296" s="20" t="s">
        <v>135</v>
      </c>
      <c r="V1296" s="17" t="n">
        <v>12</v>
      </c>
      <c r="W1296" s="20" t="str">
        <f aca="false">VLOOKUP(V1296,Sheet2!Q:R,2,0)</f>
        <v>IR Normal - BER to IR</v>
      </c>
      <c r="X1296" s="17" t="str">
        <f aca="false">J1296</f>
        <v>A018</v>
      </c>
      <c r="Y1296" s="17" t="str">
        <f aca="false">VLOOKUP(X1296,Sheet2!A:B,2,0)</f>
        <v>PRAKASH CHAVDA</v>
      </c>
      <c r="Z1296" s="17" t="s">
        <v>136</v>
      </c>
      <c r="AA1296" s="17" t="s">
        <v>642</v>
      </c>
      <c r="AB1296" s="17" t="s">
        <v>41</v>
      </c>
      <c r="AC1296" s="0" t="str">
        <f aca="false">LEFT(G1296,2)</f>
        <v>13</v>
      </c>
      <c r="AE1296" s="21" t="s">
        <v>238</v>
      </c>
    </row>
    <row r="1297" customFormat="false" ht="15" hidden="false" customHeight="false" outlineLevel="0" collapsed="false">
      <c r="A1297" s="13" t="n">
        <f aca="false">1+A1296</f>
        <v>1295</v>
      </c>
      <c r="B1297" s="14" t="n">
        <v>1009446793</v>
      </c>
      <c r="C1297" s="15" t="s">
        <v>189</v>
      </c>
      <c r="D1297" s="16" t="s">
        <v>64</v>
      </c>
      <c r="E1297" s="17" t="s">
        <v>64</v>
      </c>
      <c r="F1297" s="18" t="s">
        <v>34</v>
      </c>
      <c r="G1297" s="19" t="n">
        <v>414106116836</v>
      </c>
      <c r="H1297" s="17" t="s">
        <v>134</v>
      </c>
      <c r="I1297" s="17" t="s">
        <v>44</v>
      </c>
      <c r="J1297" s="17" t="s">
        <v>106</v>
      </c>
      <c r="K1297" s="17" t="str">
        <f aca="false">VLOOKUP(J1297,Sheet2!A:B,2,0)</f>
        <v>PRAKASH CHAVDA</v>
      </c>
      <c r="L1297" s="17" t="n">
        <v>5</v>
      </c>
      <c r="M1297" s="17" t="str">
        <f aca="false">VLOOKUP(L1297,Sheet2!D:E,2,0)</f>
        <v>Main Processor CPU BGA</v>
      </c>
      <c r="N1297" s="17" t="n">
        <v>36</v>
      </c>
      <c r="O1297" s="17" t="str">
        <f aca="false">VLOOKUP(N1297,Sheet2!G:H,2,0)</f>
        <v>Error -1</v>
      </c>
      <c r="P1297" s="17" t="n">
        <v>12</v>
      </c>
      <c r="Q1297" s="17" t="str">
        <f aca="false">VLOOKUP(P1297,Sheet2!J:K,2,0)</f>
        <v>IR Declared due to Others ( IR Normal)TB</v>
      </c>
      <c r="R1297" s="17" t="s">
        <v>35</v>
      </c>
      <c r="S1297" s="17" t="str">
        <f aca="false">VLOOKUP(R1297,Sheet2!N:O,2,0)</f>
        <v>IREPARABLE</v>
      </c>
      <c r="T1297" s="18" t="str">
        <f aca="false">VLOOKUP(P1297,Sheet2!Q:R,2,0)</f>
        <v>IR Normal - BER to IR</v>
      </c>
      <c r="U1297" s="20" t="s">
        <v>135</v>
      </c>
      <c r="V1297" s="17" t="n">
        <v>12</v>
      </c>
      <c r="W1297" s="20" t="str">
        <f aca="false">VLOOKUP(V1297,Sheet2!Q:R,2,0)</f>
        <v>IR Normal - BER to IR</v>
      </c>
      <c r="X1297" s="17" t="str">
        <f aca="false">J1297</f>
        <v>A018</v>
      </c>
      <c r="Y1297" s="17" t="str">
        <f aca="false">VLOOKUP(X1297,Sheet2!A:B,2,0)</f>
        <v>PRAKASH CHAVDA</v>
      </c>
      <c r="Z1297" s="17" t="s">
        <v>149</v>
      </c>
      <c r="AA1297" s="17" t="s">
        <v>642</v>
      </c>
      <c r="AB1297" s="17" t="s">
        <v>41</v>
      </c>
      <c r="AC1297" s="0" t="str">
        <f aca="false">LEFT(G1297,2)</f>
        <v>41</v>
      </c>
      <c r="AE1297" s="21" t="s">
        <v>238</v>
      </c>
    </row>
    <row r="1298" customFormat="false" ht="15" hidden="false" customHeight="false" outlineLevel="0" collapsed="false">
      <c r="A1298" s="13" t="n">
        <f aca="false">1+A1297</f>
        <v>1296</v>
      </c>
      <c r="B1298" s="14" t="n">
        <v>1009295731</v>
      </c>
      <c r="C1298" s="15" t="s">
        <v>201</v>
      </c>
      <c r="D1298" s="16" t="s">
        <v>64</v>
      </c>
      <c r="E1298" s="17" t="s">
        <v>64</v>
      </c>
      <c r="F1298" s="18" t="s">
        <v>34</v>
      </c>
      <c r="G1298" s="19" t="n">
        <v>954203132483</v>
      </c>
      <c r="H1298" s="17" t="s">
        <v>647</v>
      </c>
      <c r="I1298" s="17" t="s">
        <v>44</v>
      </c>
      <c r="J1298" s="17" t="s">
        <v>106</v>
      </c>
      <c r="K1298" s="17" t="str">
        <f aca="false">VLOOKUP(J1298,Sheet2!A:B,2,0)</f>
        <v>PRAKASH CHAVDA</v>
      </c>
      <c r="L1298" s="17" t="n">
        <v>5</v>
      </c>
      <c r="M1298" s="17" t="str">
        <f aca="false">VLOOKUP(L1298,Sheet2!D:E,2,0)</f>
        <v>Main Processor CPU BGA</v>
      </c>
      <c r="N1298" s="17" t="n">
        <v>24</v>
      </c>
      <c r="O1298" s="17" t="str">
        <f aca="false">VLOOKUP(N1298,Sheet2!G:H,2,0)</f>
        <v>STB Auto moving -Stand by mode</v>
      </c>
      <c r="P1298" s="17" t="n">
        <v>12</v>
      </c>
      <c r="Q1298" s="17" t="str">
        <f aca="false">VLOOKUP(P1298,Sheet2!J:K,2,0)</f>
        <v>IR Declared due to Others ( IR Normal)TB</v>
      </c>
      <c r="R1298" s="17" t="s">
        <v>35</v>
      </c>
      <c r="S1298" s="17" t="str">
        <f aca="false">VLOOKUP(R1298,Sheet2!N:O,2,0)</f>
        <v>IREPARABLE</v>
      </c>
      <c r="T1298" s="18" t="str">
        <f aca="false">VLOOKUP(P1298,Sheet2!Q:R,2,0)</f>
        <v>IR Normal - BER to IR</v>
      </c>
      <c r="U1298" s="20" t="s">
        <v>135</v>
      </c>
      <c r="V1298" s="17" t="n">
        <v>12</v>
      </c>
      <c r="W1298" s="20" t="str">
        <f aca="false">VLOOKUP(V1298,Sheet2!Q:R,2,0)</f>
        <v>IR Normal - BER to IR</v>
      </c>
      <c r="X1298" s="17" t="str">
        <f aca="false">J1298</f>
        <v>A018</v>
      </c>
      <c r="Y1298" s="17" t="str">
        <f aca="false">VLOOKUP(X1298,Sheet2!A:B,2,0)</f>
        <v>PRAKASH CHAVDA</v>
      </c>
      <c r="Z1298" s="17" t="s">
        <v>150</v>
      </c>
      <c r="AA1298" s="17" t="s">
        <v>642</v>
      </c>
      <c r="AB1298" s="17" t="s">
        <v>41</v>
      </c>
      <c r="AC1298" s="0" t="str">
        <f aca="false">LEFT(G1298,2)</f>
        <v>95</v>
      </c>
      <c r="AE1298" s="21" t="s">
        <v>238</v>
      </c>
    </row>
    <row r="1299" customFormat="false" ht="15" hidden="false" customHeight="false" outlineLevel="0" collapsed="false">
      <c r="A1299" s="13" t="n">
        <f aca="false">1+A1298</f>
        <v>1297</v>
      </c>
      <c r="B1299" s="14" t="n">
        <v>1009572309</v>
      </c>
      <c r="C1299" s="15" t="s">
        <v>104</v>
      </c>
      <c r="D1299" s="16" t="s">
        <v>138</v>
      </c>
      <c r="E1299" s="17" t="s">
        <v>91</v>
      </c>
      <c r="F1299" s="18" t="s">
        <v>34</v>
      </c>
      <c r="G1299" s="19" t="n">
        <v>954294145089</v>
      </c>
      <c r="H1299" s="17" t="s">
        <v>134</v>
      </c>
      <c r="I1299" s="17" t="s">
        <v>44</v>
      </c>
      <c r="J1299" s="17" t="s">
        <v>106</v>
      </c>
      <c r="K1299" s="17" t="str">
        <f aca="false">VLOOKUP(J1299,Sheet2!A:B,2,0)</f>
        <v>PRAKASH CHAVDA</v>
      </c>
      <c r="L1299" s="17" t="n">
        <v>5</v>
      </c>
      <c r="M1299" s="17" t="str">
        <f aca="false">VLOOKUP(L1299,Sheet2!D:E,2,0)</f>
        <v>Main Processor CPU BGA</v>
      </c>
      <c r="N1299" s="17" t="n">
        <v>36</v>
      </c>
      <c r="O1299" s="17" t="str">
        <f aca="false">VLOOKUP(N1299,Sheet2!G:H,2,0)</f>
        <v>Error -1</v>
      </c>
      <c r="P1299" s="17" t="n">
        <v>12</v>
      </c>
      <c r="Q1299" s="17" t="str">
        <f aca="false">VLOOKUP(P1299,Sheet2!J:K,2,0)</f>
        <v>IR Declared due to Others ( IR Normal)TB</v>
      </c>
      <c r="R1299" s="17" t="s">
        <v>35</v>
      </c>
      <c r="S1299" s="17" t="str">
        <f aca="false">VLOOKUP(R1299,Sheet2!N:O,2,0)</f>
        <v>IREPARABLE</v>
      </c>
      <c r="T1299" s="18" t="str">
        <f aca="false">VLOOKUP(P1299,Sheet2!Q:R,2,0)</f>
        <v>IR Normal - BER to IR</v>
      </c>
      <c r="U1299" s="20" t="s">
        <v>135</v>
      </c>
      <c r="V1299" s="17" t="n">
        <v>12</v>
      </c>
      <c r="W1299" s="20" t="str">
        <f aca="false">VLOOKUP(V1299,Sheet2!Q:R,2,0)</f>
        <v>IR Normal - BER to IR</v>
      </c>
      <c r="X1299" s="17" t="str">
        <f aca="false">J1299</f>
        <v>A018</v>
      </c>
      <c r="Y1299" s="17" t="str">
        <f aca="false">VLOOKUP(X1299,Sheet2!A:B,2,0)</f>
        <v>PRAKASH CHAVDA</v>
      </c>
      <c r="Z1299" s="17" t="s">
        <v>150</v>
      </c>
      <c r="AA1299" s="17" t="s">
        <v>642</v>
      </c>
      <c r="AB1299" s="17" t="s">
        <v>41</v>
      </c>
      <c r="AC1299" s="0" t="str">
        <f aca="false">LEFT(G1299,2)</f>
        <v>95</v>
      </c>
      <c r="AE1299" s="21" t="s">
        <v>238</v>
      </c>
    </row>
    <row r="1300" customFormat="false" ht="15" hidden="false" customHeight="false" outlineLevel="0" collapsed="false">
      <c r="A1300" s="13" t="n">
        <f aca="false">1+A1299</f>
        <v>1298</v>
      </c>
      <c r="B1300" s="14" t="n">
        <v>1009677894</v>
      </c>
      <c r="C1300" s="15" t="s">
        <v>436</v>
      </c>
      <c r="D1300" s="16" t="s">
        <v>88</v>
      </c>
      <c r="E1300" s="17" t="s">
        <v>47</v>
      </c>
      <c r="F1300" s="18" t="s">
        <v>34</v>
      </c>
      <c r="G1300" s="19" t="n">
        <v>942360143658</v>
      </c>
      <c r="H1300" s="17" t="s">
        <v>134</v>
      </c>
      <c r="I1300" s="17" t="s">
        <v>44</v>
      </c>
      <c r="J1300" s="17" t="s">
        <v>106</v>
      </c>
      <c r="K1300" s="17" t="str">
        <f aca="false">VLOOKUP(J1300,Sheet2!A:B,2,0)</f>
        <v>PRAKASH CHAVDA</v>
      </c>
      <c r="L1300" s="17" t="n">
        <v>5</v>
      </c>
      <c r="M1300" s="17" t="str">
        <f aca="false">VLOOKUP(L1300,Sheet2!D:E,2,0)</f>
        <v>Main Processor CPU BGA</v>
      </c>
      <c r="N1300" s="17" t="n">
        <v>1</v>
      </c>
      <c r="O1300" s="17" t="str">
        <f aca="false">VLOOKUP(N1300,Sheet2!G:H,2,0)</f>
        <v>Dead</v>
      </c>
      <c r="P1300" s="17" t="n">
        <v>12</v>
      </c>
      <c r="Q1300" s="17" t="str">
        <f aca="false">VLOOKUP(P1300,Sheet2!J:K,2,0)</f>
        <v>IR Declared due to Others ( IR Normal)TB</v>
      </c>
      <c r="R1300" s="17" t="s">
        <v>35</v>
      </c>
      <c r="S1300" s="17" t="str">
        <f aca="false">VLOOKUP(R1300,Sheet2!N:O,2,0)</f>
        <v>IREPARABLE</v>
      </c>
      <c r="T1300" s="18" t="str">
        <f aca="false">VLOOKUP(P1300,Sheet2!Q:R,2,0)</f>
        <v>IR Normal - BER to IR</v>
      </c>
      <c r="U1300" s="20" t="s">
        <v>135</v>
      </c>
      <c r="V1300" s="17" t="n">
        <v>12</v>
      </c>
      <c r="W1300" s="20" t="str">
        <f aca="false">VLOOKUP(V1300,Sheet2!Q:R,2,0)</f>
        <v>IR Normal - BER to IR</v>
      </c>
      <c r="X1300" s="17" t="str">
        <f aca="false">J1300</f>
        <v>A018</v>
      </c>
      <c r="Y1300" s="17" t="str">
        <f aca="false">VLOOKUP(X1300,Sheet2!A:B,2,0)</f>
        <v>PRAKASH CHAVDA</v>
      </c>
      <c r="Z1300" s="17" t="s">
        <v>127</v>
      </c>
      <c r="AA1300" s="17" t="s">
        <v>642</v>
      </c>
      <c r="AB1300" s="17" t="s">
        <v>41</v>
      </c>
      <c r="AC1300" s="0" t="str">
        <f aca="false">LEFT(G1300,2)</f>
        <v>94</v>
      </c>
      <c r="AE1300" s="21" t="s">
        <v>238</v>
      </c>
    </row>
    <row r="1301" customFormat="false" ht="15" hidden="false" customHeight="false" outlineLevel="0" collapsed="false">
      <c r="A1301" s="13" t="n">
        <f aca="false">1+A1300</f>
        <v>1299</v>
      </c>
      <c r="B1301" s="14" t="n">
        <v>1009473441</v>
      </c>
      <c r="C1301" s="15" t="s">
        <v>90</v>
      </c>
      <c r="D1301" s="16" t="s">
        <v>64</v>
      </c>
      <c r="E1301" s="17" t="s">
        <v>64</v>
      </c>
      <c r="F1301" s="18" t="s">
        <v>34</v>
      </c>
      <c r="G1301" s="19" t="n">
        <v>954135192480</v>
      </c>
      <c r="H1301" s="17" t="s">
        <v>134</v>
      </c>
      <c r="I1301" s="17" t="s">
        <v>44</v>
      </c>
      <c r="J1301" s="17" t="s">
        <v>106</v>
      </c>
      <c r="K1301" s="17" t="str">
        <f aca="false">VLOOKUP(J1301,Sheet2!A:B,2,0)</f>
        <v>PRAKASH CHAVDA</v>
      </c>
      <c r="L1301" s="17" t="n">
        <v>5</v>
      </c>
      <c r="M1301" s="17" t="str">
        <f aca="false">VLOOKUP(L1301,Sheet2!D:E,2,0)</f>
        <v>Main Processor CPU BGA</v>
      </c>
      <c r="N1301" s="17" t="n">
        <v>6</v>
      </c>
      <c r="O1301" s="17" t="str">
        <f aca="false">VLOOKUP(N1301,Sheet2!G:H,2,0)</f>
        <v>No Signal</v>
      </c>
      <c r="P1301" s="17" t="n">
        <v>12</v>
      </c>
      <c r="Q1301" s="17" t="str">
        <f aca="false">VLOOKUP(P1301,Sheet2!J:K,2,0)</f>
        <v>IR Declared due to Others ( IR Normal)TB</v>
      </c>
      <c r="R1301" s="17" t="s">
        <v>35</v>
      </c>
      <c r="S1301" s="17" t="str">
        <f aca="false">VLOOKUP(R1301,Sheet2!N:O,2,0)</f>
        <v>IREPARABLE</v>
      </c>
      <c r="T1301" s="18" t="str">
        <f aca="false">VLOOKUP(P1301,Sheet2!Q:R,2,0)</f>
        <v>IR Normal - BER to IR</v>
      </c>
      <c r="U1301" s="20" t="s">
        <v>135</v>
      </c>
      <c r="V1301" s="17" t="n">
        <v>12</v>
      </c>
      <c r="W1301" s="20" t="str">
        <f aca="false">VLOOKUP(V1301,Sheet2!Q:R,2,0)</f>
        <v>IR Normal - BER to IR</v>
      </c>
      <c r="X1301" s="17" t="str">
        <f aca="false">J1301</f>
        <v>A018</v>
      </c>
      <c r="Y1301" s="17" t="str">
        <f aca="false">VLOOKUP(X1301,Sheet2!A:B,2,0)</f>
        <v>PRAKASH CHAVDA</v>
      </c>
      <c r="Z1301" s="17" t="s">
        <v>150</v>
      </c>
      <c r="AA1301" s="17" t="s">
        <v>642</v>
      </c>
      <c r="AB1301" s="17" t="s">
        <v>41</v>
      </c>
      <c r="AC1301" s="0" t="str">
        <f aca="false">LEFT(G1301,2)</f>
        <v>95</v>
      </c>
      <c r="AE1301" s="21" t="s">
        <v>238</v>
      </c>
    </row>
    <row r="1302" customFormat="false" ht="15" hidden="false" customHeight="false" outlineLevel="0" collapsed="false">
      <c r="A1302" s="13" t="n">
        <f aca="false">1+A1301</f>
        <v>1300</v>
      </c>
      <c r="B1302" s="14" t="n">
        <v>1009546719</v>
      </c>
      <c r="C1302" s="15" t="s">
        <v>126</v>
      </c>
      <c r="D1302" s="16" t="s">
        <v>64</v>
      </c>
      <c r="E1302" s="17" t="s">
        <v>47</v>
      </c>
      <c r="F1302" s="18" t="s">
        <v>34</v>
      </c>
      <c r="G1302" s="19" t="n">
        <v>955225106488</v>
      </c>
      <c r="H1302" s="17" t="s">
        <v>647</v>
      </c>
      <c r="I1302" s="17" t="s">
        <v>44</v>
      </c>
      <c r="J1302" s="17" t="s">
        <v>106</v>
      </c>
      <c r="K1302" s="17" t="str">
        <f aca="false">VLOOKUP(J1302,Sheet2!A:B,2,0)</f>
        <v>PRAKASH CHAVDA</v>
      </c>
      <c r="L1302" s="17" t="n">
        <v>5</v>
      </c>
      <c r="M1302" s="17" t="str">
        <f aca="false">VLOOKUP(L1302,Sheet2!D:E,2,0)</f>
        <v>Main Processor CPU BGA</v>
      </c>
      <c r="N1302" s="17" t="n">
        <v>24</v>
      </c>
      <c r="O1302" s="17" t="str">
        <f aca="false">VLOOKUP(N1302,Sheet2!G:H,2,0)</f>
        <v>STB Auto moving -Stand by mode</v>
      </c>
      <c r="P1302" s="17" t="n">
        <v>12</v>
      </c>
      <c r="Q1302" s="17" t="str">
        <f aca="false">VLOOKUP(P1302,Sheet2!J:K,2,0)</f>
        <v>IR Declared due to Others ( IR Normal)TB</v>
      </c>
      <c r="R1302" s="17" t="s">
        <v>35</v>
      </c>
      <c r="S1302" s="17" t="str">
        <f aca="false">VLOOKUP(R1302,Sheet2!N:O,2,0)</f>
        <v>IREPARABLE</v>
      </c>
      <c r="T1302" s="18" t="str">
        <f aca="false">VLOOKUP(P1302,Sheet2!Q:R,2,0)</f>
        <v>IR Normal - BER to IR</v>
      </c>
      <c r="U1302" s="20" t="s">
        <v>135</v>
      </c>
      <c r="V1302" s="17" t="n">
        <v>12</v>
      </c>
      <c r="W1302" s="20" t="str">
        <f aca="false">VLOOKUP(V1302,Sheet2!Q:R,2,0)</f>
        <v>IR Normal - BER to IR</v>
      </c>
      <c r="X1302" s="17" t="str">
        <f aca="false">J1302</f>
        <v>A018</v>
      </c>
      <c r="Y1302" s="17" t="str">
        <f aca="false">VLOOKUP(X1302,Sheet2!A:B,2,0)</f>
        <v>PRAKASH CHAVDA</v>
      </c>
      <c r="Z1302" s="17" t="s">
        <v>150</v>
      </c>
      <c r="AA1302" s="17" t="s">
        <v>642</v>
      </c>
      <c r="AB1302" s="17" t="s">
        <v>41</v>
      </c>
      <c r="AC1302" s="0" t="str">
        <f aca="false">LEFT(G1302,2)</f>
        <v>95</v>
      </c>
      <c r="AE1302" s="21" t="s">
        <v>238</v>
      </c>
    </row>
    <row r="1303" customFormat="false" ht="15" hidden="false" customHeight="false" outlineLevel="0" collapsed="false">
      <c r="A1303" s="13" t="n">
        <f aca="false">1+A1302</f>
        <v>1301</v>
      </c>
      <c r="B1303" s="14" t="n">
        <v>1009668171</v>
      </c>
      <c r="C1303" s="15" t="s">
        <v>436</v>
      </c>
      <c r="D1303" s="16" t="s">
        <v>64</v>
      </c>
      <c r="E1303" s="17" t="s">
        <v>47</v>
      </c>
      <c r="F1303" s="18" t="s">
        <v>34</v>
      </c>
      <c r="G1303" s="19" t="n">
        <v>134063679507</v>
      </c>
      <c r="H1303" s="17" t="s">
        <v>134</v>
      </c>
      <c r="I1303" s="17" t="s">
        <v>44</v>
      </c>
      <c r="J1303" s="17" t="s">
        <v>106</v>
      </c>
      <c r="K1303" s="17" t="str">
        <f aca="false">VLOOKUP(J1303,Sheet2!A:B,2,0)</f>
        <v>PRAKASH CHAVDA</v>
      </c>
      <c r="L1303" s="17" t="n">
        <v>5</v>
      </c>
      <c r="M1303" s="17" t="str">
        <f aca="false">VLOOKUP(L1303,Sheet2!D:E,2,0)</f>
        <v>Main Processor CPU BGA</v>
      </c>
      <c r="N1303" s="17" t="n">
        <v>1</v>
      </c>
      <c r="O1303" s="17" t="str">
        <f aca="false">VLOOKUP(N1303,Sheet2!G:H,2,0)</f>
        <v>Dead</v>
      </c>
      <c r="P1303" s="17" t="n">
        <v>12</v>
      </c>
      <c r="Q1303" s="17" t="str">
        <f aca="false">VLOOKUP(P1303,Sheet2!J:K,2,0)</f>
        <v>IR Declared due to Others ( IR Normal)TB</v>
      </c>
      <c r="R1303" s="17" t="s">
        <v>35</v>
      </c>
      <c r="S1303" s="17" t="str">
        <f aca="false">VLOOKUP(R1303,Sheet2!N:O,2,0)</f>
        <v>IREPARABLE</v>
      </c>
      <c r="T1303" s="18" t="str">
        <f aca="false">VLOOKUP(P1303,Sheet2!Q:R,2,0)</f>
        <v>IR Normal - BER to IR</v>
      </c>
      <c r="U1303" s="20" t="s">
        <v>135</v>
      </c>
      <c r="V1303" s="17" t="n">
        <v>12</v>
      </c>
      <c r="W1303" s="20" t="str">
        <f aca="false">VLOOKUP(V1303,Sheet2!Q:R,2,0)</f>
        <v>IR Normal - BER to IR</v>
      </c>
      <c r="X1303" s="17" t="str">
        <f aca="false">J1303</f>
        <v>A018</v>
      </c>
      <c r="Y1303" s="17" t="str">
        <f aca="false">VLOOKUP(X1303,Sheet2!A:B,2,0)</f>
        <v>PRAKASH CHAVDA</v>
      </c>
      <c r="Z1303" s="17" t="s">
        <v>136</v>
      </c>
      <c r="AA1303" s="17" t="s">
        <v>642</v>
      </c>
      <c r="AB1303" s="17" t="s">
        <v>41</v>
      </c>
      <c r="AC1303" s="0" t="str">
        <f aca="false">LEFT(G1303,2)</f>
        <v>13</v>
      </c>
      <c r="AE1303" s="21" t="s">
        <v>238</v>
      </c>
    </row>
    <row r="1304" customFormat="false" ht="15" hidden="false" customHeight="false" outlineLevel="0" collapsed="false">
      <c r="A1304" s="13" t="n">
        <f aca="false">1+A1303</f>
        <v>1302</v>
      </c>
      <c r="B1304" s="14" t="n">
        <v>1009606155</v>
      </c>
      <c r="C1304" s="15" t="s">
        <v>181</v>
      </c>
      <c r="D1304" s="16" t="s">
        <v>64</v>
      </c>
      <c r="E1304" s="17" t="s">
        <v>64</v>
      </c>
      <c r="F1304" s="18" t="s">
        <v>34</v>
      </c>
      <c r="G1304" s="19" t="n">
        <v>775324248787</v>
      </c>
      <c r="H1304" s="17" t="s">
        <v>134</v>
      </c>
      <c r="I1304" s="17" t="s">
        <v>69</v>
      </c>
      <c r="J1304" s="17" t="s">
        <v>106</v>
      </c>
      <c r="K1304" s="17" t="str">
        <f aca="false">VLOOKUP(J1304,Sheet2!A:B,2,0)</f>
        <v>PRAKASH CHAVDA</v>
      </c>
      <c r="L1304" s="17" t="n">
        <v>5</v>
      </c>
      <c r="M1304" s="17" t="str">
        <f aca="false">VLOOKUP(L1304,Sheet2!D:E,2,0)</f>
        <v>Main Processor CPU BGA</v>
      </c>
      <c r="N1304" s="17" t="n">
        <v>24</v>
      </c>
      <c r="O1304" s="17" t="str">
        <f aca="false">VLOOKUP(N1304,Sheet2!G:H,2,0)</f>
        <v>STB Auto moving -Stand by mode</v>
      </c>
      <c r="P1304" s="17" t="n">
        <v>12</v>
      </c>
      <c r="Q1304" s="17" t="str">
        <f aca="false">VLOOKUP(P1304,Sheet2!J:K,2,0)</f>
        <v>IR Declared due to Others ( IR Normal)TB</v>
      </c>
      <c r="R1304" s="17" t="s">
        <v>35</v>
      </c>
      <c r="S1304" s="17" t="str">
        <f aca="false">VLOOKUP(R1304,Sheet2!N:O,2,0)</f>
        <v>IREPARABLE</v>
      </c>
      <c r="T1304" s="18" t="str">
        <f aca="false">VLOOKUP(P1304,Sheet2!Q:R,2,0)</f>
        <v>IR Normal - BER to IR</v>
      </c>
      <c r="U1304" s="20" t="s">
        <v>135</v>
      </c>
      <c r="V1304" s="17" t="n">
        <v>12</v>
      </c>
      <c r="W1304" s="20" t="str">
        <f aca="false">VLOOKUP(V1304,Sheet2!Q:R,2,0)</f>
        <v>IR Normal - BER to IR</v>
      </c>
      <c r="X1304" s="17" t="str">
        <f aca="false">J1304</f>
        <v>A018</v>
      </c>
      <c r="Y1304" s="17" t="str">
        <f aca="false">VLOOKUP(X1304,Sheet2!A:B,2,0)</f>
        <v>PRAKASH CHAVDA</v>
      </c>
      <c r="Z1304" s="17" t="s">
        <v>136</v>
      </c>
      <c r="AA1304" s="17" t="s">
        <v>642</v>
      </c>
      <c r="AB1304" s="17" t="s">
        <v>41</v>
      </c>
      <c r="AC1304" s="0" t="str">
        <f aca="false">LEFT(G1304,2)</f>
        <v>77</v>
      </c>
      <c r="AE1304" s="21" t="s">
        <v>238</v>
      </c>
    </row>
    <row r="1305" customFormat="false" ht="15" hidden="false" customHeight="false" outlineLevel="0" collapsed="false">
      <c r="A1305" s="13" t="n">
        <f aca="false">1+A1304</f>
        <v>1303</v>
      </c>
      <c r="B1305" s="14" t="n">
        <v>1009677907</v>
      </c>
      <c r="C1305" s="15" t="s">
        <v>436</v>
      </c>
      <c r="D1305" s="16" t="s">
        <v>108</v>
      </c>
      <c r="E1305" s="17" t="s">
        <v>91</v>
      </c>
      <c r="F1305" s="18" t="s">
        <v>34</v>
      </c>
      <c r="G1305" s="19" t="n">
        <v>985290233370</v>
      </c>
      <c r="H1305" s="17" t="s">
        <v>134</v>
      </c>
      <c r="I1305" s="17" t="s">
        <v>44</v>
      </c>
      <c r="J1305" s="17" t="s">
        <v>106</v>
      </c>
      <c r="K1305" s="17" t="str">
        <f aca="false">VLOOKUP(J1305,Sheet2!A:B,2,0)</f>
        <v>PRAKASH CHAVDA</v>
      </c>
      <c r="L1305" s="17" t="n">
        <v>5</v>
      </c>
      <c r="M1305" s="17" t="str">
        <f aca="false">VLOOKUP(L1305,Sheet2!D:E,2,0)</f>
        <v>Main Processor CPU BGA</v>
      </c>
      <c r="N1305" s="17" t="n">
        <v>37</v>
      </c>
      <c r="O1305" s="17" t="str">
        <f aca="false">VLOOKUP(N1305,Sheet2!G:H,2,0)</f>
        <v>Error -2</v>
      </c>
      <c r="P1305" s="17" t="n">
        <v>12</v>
      </c>
      <c r="Q1305" s="17" t="str">
        <f aca="false">VLOOKUP(P1305,Sheet2!J:K,2,0)</f>
        <v>IR Declared due to Others ( IR Normal)TB</v>
      </c>
      <c r="R1305" s="17" t="s">
        <v>35</v>
      </c>
      <c r="S1305" s="17" t="str">
        <f aca="false">VLOOKUP(R1305,Sheet2!N:O,2,0)</f>
        <v>IREPARABLE</v>
      </c>
      <c r="T1305" s="18" t="str">
        <f aca="false">VLOOKUP(P1305,Sheet2!Q:R,2,0)</f>
        <v>IR Normal - BER to IR</v>
      </c>
      <c r="U1305" s="20" t="s">
        <v>135</v>
      </c>
      <c r="V1305" s="17" t="n">
        <v>12</v>
      </c>
      <c r="W1305" s="20" t="str">
        <f aca="false">VLOOKUP(V1305,Sheet2!Q:R,2,0)</f>
        <v>IR Normal - BER to IR</v>
      </c>
      <c r="X1305" s="17" t="str">
        <f aca="false">J1305</f>
        <v>A018</v>
      </c>
      <c r="Y1305" s="17" t="str">
        <f aca="false">VLOOKUP(X1305,Sheet2!A:B,2,0)</f>
        <v>PRAKASH CHAVDA</v>
      </c>
      <c r="Z1305" s="17" t="s">
        <v>141</v>
      </c>
      <c r="AA1305" s="17" t="s">
        <v>642</v>
      </c>
      <c r="AB1305" s="17" t="s">
        <v>41</v>
      </c>
      <c r="AC1305" s="0" t="str">
        <f aca="false">LEFT(G1305,2)</f>
        <v>98</v>
      </c>
      <c r="AE1305" s="21" t="s">
        <v>238</v>
      </c>
    </row>
    <row r="1306" customFormat="false" ht="15" hidden="false" customHeight="false" outlineLevel="0" collapsed="false">
      <c r="A1306" s="13" t="n">
        <f aca="false">1+A1305</f>
        <v>1304</v>
      </c>
      <c r="B1306" s="14" t="n">
        <v>1005824161</v>
      </c>
      <c r="C1306" s="15" t="s">
        <v>652</v>
      </c>
      <c r="D1306" s="16" t="s">
        <v>64</v>
      </c>
      <c r="E1306" s="17" t="s">
        <v>91</v>
      </c>
      <c r="F1306" s="18" t="s">
        <v>34</v>
      </c>
      <c r="G1306" s="19" t="n">
        <v>134119055454</v>
      </c>
      <c r="H1306" s="17" t="s">
        <v>647</v>
      </c>
      <c r="I1306" s="17" t="s">
        <v>44</v>
      </c>
      <c r="J1306" s="17" t="s">
        <v>106</v>
      </c>
      <c r="K1306" s="17" t="str">
        <f aca="false">VLOOKUP(J1306,Sheet2!A:B,2,0)</f>
        <v>PRAKASH CHAVDA</v>
      </c>
      <c r="L1306" s="17" t="n">
        <v>5</v>
      </c>
      <c r="M1306" s="17" t="str">
        <f aca="false">VLOOKUP(L1306,Sheet2!D:E,2,0)</f>
        <v>Main Processor CPU BGA</v>
      </c>
      <c r="N1306" s="17" t="n">
        <v>24</v>
      </c>
      <c r="O1306" s="17" t="str">
        <f aca="false">VLOOKUP(N1306,Sheet2!G:H,2,0)</f>
        <v>STB Auto moving -Stand by mode</v>
      </c>
      <c r="P1306" s="17" t="n">
        <v>12</v>
      </c>
      <c r="Q1306" s="17" t="str">
        <f aca="false">VLOOKUP(P1306,Sheet2!J:K,2,0)</f>
        <v>IR Declared due to Others ( IR Normal)TB</v>
      </c>
      <c r="R1306" s="17" t="s">
        <v>35</v>
      </c>
      <c r="S1306" s="17" t="str">
        <f aca="false">VLOOKUP(R1306,Sheet2!N:O,2,0)</f>
        <v>IREPARABLE</v>
      </c>
      <c r="T1306" s="18" t="str">
        <f aca="false">VLOOKUP(P1306,Sheet2!Q:R,2,0)</f>
        <v>IR Normal - BER to IR</v>
      </c>
      <c r="U1306" s="20" t="s">
        <v>135</v>
      </c>
      <c r="V1306" s="17" t="n">
        <v>12</v>
      </c>
      <c r="W1306" s="20" t="str">
        <f aca="false">VLOOKUP(V1306,Sheet2!Q:R,2,0)</f>
        <v>IR Normal - BER to IR</v>
      </c>
      <c r="X1306" s="17" t="str">
        <f aca="false">J1306</f>
        <v>A018</v>
      </c>
      <c r="Y1306" s="17" t="str">
        <f aca="false">VLOOKUP(X1306,Sheet2!A:B,2,0)</f>
        <v>PRAKASH CHAVDA</v>
      </c>
      <c r="Z1306" s="17" t="s">
        <v>136</v>
      </c>
      <c r="AA1306" s="17" t="s">
        <v>642</v>
      </c>
      <c r="AB1306" s="17" t="s">
        <v>41</v>
      </c>
      <c r="AC1306" s="0" t="str">
        <f aca="false">LEFT(G1306,2)</f>
        <v>13</v>
      </c>
      <c r="AE1306" s="21" t="s">
        <v>238</v>
      </c>
    </row>
    <row r="1307" customFormat="false" ht="15" hidden="false" customHeight="false" outlineLevel="0" collapsed="false">
      <c r="A1307" s="13" t="n">
        <f aca="false">1+A1306</f>
        <v>1305</v>
      </c>
      <c r="B1307" s="14" t="n">
        <v>1008829920</v>
      </c>
      <c r="C1307" s="15" t="s">
        <v>455</v>
      </c>
      <c r="D1307" s="16" t="s">
        <v>653</v>
      </c>
      <c r="E1307" s="17" t="s">
        <v>337</v>
      </c>
      <c r="F1307" s="18" t="s">
        <v>34</v>
      </c>
      <c r="G1307" s="19" t="n">
        <v>134056473843</v>
      </c>
      <c r="H1307" s="17" t="s">
        <v>134</v>
      </c>
      <c r="I1307" s="17" t="s">
        <v>44</v>
      </c>
      <c r="J1307" s="17" t="s">
        <v>106</v>
      </c>
      <c r="K1307" s="17" t="str">
        <f aca="false">VLOOKUP(J1307,Sheet2!A:B,2,0)</f>
        <v>PRAKASH CHAVDA</v>
      </c>
      <c r="L1307" s="17" t="n">
        <v>5</v>
      </c>
      <c r="M1307" s="17" t="str">
        <f aca="false">VLOOKUP(L1307,Sheet2!D:E,2,0)</f>
        <v>Main Processor CPU BGA</v>
      </c>
      <c r="N1307" s="17" t="n">
        <v>24</v>
      </c>
      <c r="O1307" s="17" t="str">
        <f aca="false">VLOOKUP(N1307,Sheet2!G:H,2,0)</f>
        <v>STB Auto moving -Stand by mode</v>
      </c>
      <c r="P1307" s="17" t="n">
        <v>12</v>
      </c>
      <c r="Q1307" s="17" t="str">
        <f aca="false">VLOOKUP(P1307,Sheet2!J:K,2,0)</f>
        <v>IR Declared due to Others ( IR Normal)TB</v>
      </c>
      <c r="R1307" s="17" t="s">
        <v>35</v>
      </c>
      <c r="S1307" s="17" t="str">
        <f aca="false">VLOOKUP(R1307,Sheet2!N:O,2,0)</f>
        <v>IREPARABLE</v>
      </c>
      <c r="T1307" s="18" t="str">
        <f aca="false">VLOOKUP(P1307,Sheet2!Q:R,2,0)</f>
        <v>IR Normal - BER to IR</v>
      </c>
      <c r="U1307" s="20" t="s">
        <v>135</v>
      </c>
      <c r="V1307" s="17" t="n">
        <v>12</v>
      </c>
      <c r="W1307" s="20" t="str">
        <f aca="false">VLOOKUP(V1307,Sheet2!Q:R,2,0)</f>
        <v>IR Normal - BER to IR</v>
      </c>
      <c r="X1307" s="17" t="str">
        <f aca="false">J1307</f>
        <v>A018</v>
      </c>
      <c r="Y1307" s="17" t="str">
        <f aca="false">VLOOKUP(X1307,Sheet2!A:B,2,0)</f>
        <v>PRAKASH CHAVDA</v>
      </c>
      <c r="Z1307" s="17" t="s">
        <v>136</v>
      </c>
      <c r="AA1307" s="17" t="s">
        <v>642</v>
      </c>
      <c r="AB1307" s="17" t="s">
        <v>41</v>
      </c>
      <c r="AC1307" s="0" t="str">
        <f aca="false">LEFT(G1307,2)</f>
        <v>13</v>
      </c>
      <c r="AE1307" s="21" t="s">
        <v>238</v>
      </c>
    </row>
    <row r="1308" customFormat="false" ht="15" hidden="false" customHeight="false" outlineLevel="0" collapsed="false">
      <c r="A1308" s="13" t="n">
        <f aca="false">1+A1307</f>
        <v>1306</v>
      </c>
      <c r="B1308" s="14" t="n">
        <v>1009614031</v>
      </c>
      <c r="C1308" s="15" t="s">
        <v>184</v>
      </c>
      <c r="D1308" s="16" t="s">
        <v>138</v>
      </c>
      <c r="E1308" s="17" t="s">
        <v>91</v>
      </c>
      <c r="F1308" s="18" t="s">
        <v>34</v>
      </c>
      <c r="G1308" s="19" t="n">
        <v>985299101933</v>
      </c>
      <c r="H1308" s="17" t="s">
        <v>134</v>
      </c>
      <c r="I1308" s="17" t="s">
        <v>44</v>
      </c>
      <c r="J1308" s="17" t="s">
        <v>106</v>
      </c>
      <c r="K1308" s="17" t="str">
        <f aca="false">VLOOKUP(J1308,Sheet2!A:B,2,0)</f>
        <v>PRAKASH CHAVDA</v>
      </c>
      <c r="L1308" s="17" t="n">
        <v>7</v>
      </c>
      <c r="M1308" s="17" t="str">
        <f aca="false">VLOOKUP(L1308,Sheet2!D:E,2,0)</f>
        <v>Card Reader Section</v>
      </c>
      <c r="N1308" s="17" t="n">
        <v>37</v>
      </c>
      <c r="O1308" s="17" t="str">
        <f aca="false">VLOOKUP(N1308,Sheet2!G:H,2,0)</f>
        <v>Error -2</v>
      </c>
      <c r="P1308" s="17" t="n">
        <v>12</v>
      </c>
      <c r="Q1308" s="17" t="str">
        <f aca="false">VLOOKUP(P1308,Sheet2!J:K,2,0)</f>
        <v>IR Declared due to Others ( IR Normal)TB</v>
      </c>
      <c r="R1308" s="17" t="s">
        <v>35</v>
      </c>
      <c r="S1308" s="17" t="str">
        <f aca="false">VLOOKUP(R1308,Sheet2!N:O,2,0)</f>
        <v>IREPARABLE</v>
      </c>
      <c r="T1308" s="18" t="str">
        <f aca="false">VLOOKUP(P1308,Sheet2!Q:R,2,0)</f>
        <v>IR Normal - BER to IR</v>
      </c>
      <c r="U1308" s="20" t="s">
        <v>135</v>
      </c>
      <c r="V1308" s="17" t="n">
        <v>12</v>
      </c>
      <c r="W1308" s="20" t="str">
        <f aca="false">VLOOKUP(V1308,Sheet2!Q:R,2,0)</f>
        <v>IR Normal - BER to IR</v>
      </c>
      <c r="X1308" s="17" t="str">
        <f aca="false">J1308</f>
        <v>A018</v>
      </c>
      <c r="Y1308" s="17" t="str">
        <f aca="false">VLOOKUP(X1308,Sheet2!A:B,2,0)</f>
        <v>PRAKASH CHAVDA</v>
      </c>
      <c r="Z1308" s="17" t="s">
        <v>194</v>
      </c>
      <c r="AA1308" s="17" t="s">
        <v>642</v>
      </c>
      <c r="AB1308" s="17" t="s">
        <v>41</v>
      </c>
      <c r="AC1308" s="0" t="str">
        <f aca="false">LEFT(G1308,2)</f>
        <v>98</v>
      </c>
      <c r="AE1308" s="21" t="s">
        <v>238</v>
      </c>
    </row>
    <row r="1309" customFormat="false" ht="15" hidden="false" customHeight="false" outlineLevel="0" collapsed="false">
      <c r="A1309" s="13" t="n">
        <f aca="false">1+A1308</f>
        <v>1307</v>
      </c>
      <c r="B1309" s="14" t="n">
        <v>1009686220</v>
      </c>
      <c r="C1309" s="15" t="s">
        <v>449</v>
      </c>
      <c r="D1309" s="16" t="s">
        <v>32</v>
      </c>
      <c r="E1309" s="17" t="s">
        <v>47</v>
      </c>
      <c r="F1309" s="18" t="s">
        <v>34</v>
      </c>
      <c r="G1309" s="19" t="n">
        <v>987296182395</v>
      </c>
      <c r="H1309" s="17" t="s">
        <v>134</v>
      </c>
      <c r="I1309" s="17" t="s">
        <v>44</v>
      </c>
      <c r="J1309" s="17" t="s">
        <v>106</v>
      </c>
      <c r="K1309" s="17" t="str">
        <f aca="false">VLOOKUP(J1309,Sheet2!A:B,2,0)</f>
        <v>PRAKASH CHAVDA</v>
      </c>
      <c r="L1309" s="17" t="n">
        <v>5</v>
      </c>
      <c r="M1309" s="17" t="str">
        <f aca="false">VLOOKUP(L1309,Sheet2!D:E,2,0)</f>
        <v>Main Processor CPU BGA</v>
      </c>
      <c r="N1309" s="17" t="n">
        <v>1</v>
      </c>
      <c r="O1309" s="17" t="str">
        <f aca="false">VLOOKUP(N1309,Sheet2!G:H,2,0)</f>
        <v>Dead</v>
      </c>
      <c r="P1309" s="17" t="n">
        <v>12</v>
      </c>
      <c r="Q1309" s="17" t="str">
        <f aca="false">VLOOKUP(P1309,Sheet2!J:K,2,0)</f>
        <v>IR Declared due to Others ( IR Normal)TB</v>
      </c>
      <c r="R1309" s="17" t="s">
        <v>35</v>
      </c>
      <c r="S1309" s="17" t="str">
        <f aca="false">VLOOKUP(R1309,Sheet2!N:O,2,0)</f>
        <v>IREPARABLE</v>
      </c>
      <c r="T1309" s="18" t="str">
        <f aca="false">VLOOKUP(P1309,Sheet2!Q:R,2,0)</f>
        <v>IR Normal - BER to IR</v>
      </c>
      <c r="U1309" s="20" t="s">
        <v>135</v>
      </c>
      <c r="V1309" s="17" t="n">
        <v>12</v>
      </c>
      <c r="W1309" s="20" t="str">
        <f aca="false">VLOOKUP(V1309,Sheet2!Q:R,2,0)</f>
        <v>IR Normal - BER to IR</v>
      </c>
      <c r="X1309" s="17" t="str">
        <f aca="false">J1309</f>
        <v>A018</v>
      </c>
      <c r="Y1309" s="17" t="str">
        <f aca="false">VLOOKUP(X1309,Sheet2!A:B,2,0)</f>
        <v>PRAKASH CHAVDA</v>
      </c>
      <c r="Z1309" s="17" t="s">
        <v>141</v>
      </c>
      <c r="AA1309" s="17" t="s">
        <v>642</v>
      </c>
      <c r="AB1309" s="17" t="s">
        <v>41</v>
      </c>
      <c r="AC1309" s="0" t="str">
        <f aca="false">LEFT(G1309,2)</f>
        <v>98</v>
      </c>
      <c r="AE1309" s="21" t="s">
        <v>238</v>
      </c>
    </row>
    <row r="1310" customFormat="false" ht="15" hidden="false" customHeight="false" outlineLevel="0" collapsed="false">
      <c r="A1310" s="13" t="n">
        <f aca="false">1+A1309</f>
        <v>1308</v>
      </c>
      <c r="B1310" s="14" t="n">
        <v>1009616651</v>
      </c>
      <c r="C1310" s="15" t="s">
        <v>184</v>
      </c>
      <c r="D1310" s="16" t="s">
        <v>64</v>
      </c>
      <c r="E1310" s="17" t="s">
        <v>64</v>
      </c>
      <c r="F1310" s="18" t="s">
        <v>34</v>
      </c>
      <c r="G1310" s="19" t="n">
        <v>134211188674</v>
      </c>
      <c r="H1310" s="17" t="s">
        <v>134</v>
      </c>
      <c r="I1310" s="17" t="s">
        <v>44</v>
      </c>
      <c r="J1310" s="17" t="s">
        <v>106</v>
      </c>
      <c r="K1310" s="17" t="str">
        <f aca="false">VLOOKUP(J1310,Sheet2!A:B,2,0)</f>
        <v>PRAKASH CHAVDA</v>
      </c>
      <c r="L1310" s="17" t="n">
        <v>5</v>
      </c>
      <c r="M1310" s="17" t="str">
        <f aca="false">VLOOKUP(L1310,Sheet2!D:E,2,0)</f>
        <v>Main Processor CPU BGA</v>
      </c>
      <c r="N1310" s="17" t="n">
        <v>24</v>
      </c>
      <c r="O1310" s="17" t="str">
        <f aca="false">VLOOKUP(N1310,Sheet2!G:H,2,0)</f>
        <v>STB Auto moving -Stand by mode</v>
      </c>
      <c r="P1310" s="17" t="n">
        <v>12</v>
      </c>
      <c r="Q1310" s="17" t="str">
        <f aca="false">VLOOKUP(P1310,Sheet2!J:K,2,0)</f>
        <v>IR Declared due to Others ( IR Normal)TB</v>
      </c>
      <c r="R1310" s="17" t="s">
        <v>35</v>
      </c>
      <c r="S1310" s="17" t="str">
        <f aca="false">VLOOKUP(R1310,Sheet2!N:O,2,0)</f>
        <v>IREPARABLE</v>
      </c>
      <c r="T1310" s="18" t="str">
        <f aca="false">VLOOKUP(P1310,Sheet2!Q:R,2,0)</f>
        <v>IR Normal - BER to IR</v>
      </c>
      <c r="U1310" s="20" t="s">
        <v>135</v>
      </c>
      <c r="V1310" s="17" t="n">
        <v>12</v>
      </c>
      <c r="W1310" s="20" t="str">
        <f aca="false">VLOOKUP(V1310,Sheet2!Q:R,2,0)</f>
        <v>IR Normal - BER to IR</v>
      </c>
      <c r="X1310" s="17" t="str">
        <f aca="false">J1310</f>
        <v>A018</v>
      </c>
      <c r="Y1310" s="17" t="str">
        <f aca="false">VLOOKUP(X1310,Sheet2!A:B,2,0)</f>
        <v>PRAKASH CHAVDA</v>
      </c>
      <c r="Z1310" s="17" t="s">
        <v>136</v>
      </c>
      <c r="AA1310" s="17" t="s">
        <v>642</v>
      </c>
      <c r="AB1310" s="17" t="s">
        <v>41</v>
      </c>
      <c r="AC1310" s="0" t="str">
        <f aca="false">LEFT(G1310,2)</f>
        <v>13</v>
      </c>
      <c r="AE1310" s="21" t="s">
        <v>238</v>
      </c>
    </row>
    <row r="1311" customFormat="false" ht="15" hidden="false" customHeight="false" outlineLevel="0" collapsed="false">
      <c r="A1311" s="13" t="n">
        <f aca="false">1+A1310</f>
        <v>1309</v>
      </c>
      <c r="B1311" s="14" t="n">
        <v>1009547923</v>
      </c>
      <c r="C1311" s="15" t="s">
        <v>126</v>
      </c>
      <c r="D1311" s="16" t="s">
        <v>113</v>
      </c>
      <c r="E1311" s="17" t="s">
        <v>47</v>
      </c>
      <c r="F1311" s="18" t="s">
        <v>34</v>
      </c>
      <c r="G1311" s="19" t="n">
        <v>985317291914</v>
      </c>
      <c r="H1311" s="17" t="s">
        <v>134</v>
      </c>
      <c r="I1311" s="17" t="s">
        <v>44</v>
      </c>
      <c r="J1311" s="17" t="s">
        <v>106</v>
      </c>
      <c r="K1311" s="17" t="str">
        <f aca="false">VLOOKUP(J1311,Sheet2!A:B,2,0)</f>
        <v>PRAKASH CHAVDA</v>
      </c>
      <c r="L1311" s="17" t="n">
        <v>5</v>
      </c>
      <c r="M1311" s="17" t="str">
        <f aca="false">VLOOKUP(L1311,Sheet2!D:E,2,0)</f>
        <v>Main Processor CPU BGA</v>
      </c>
      <c r="N1311" s="17" t="n">
        <v>1</v>
      </c>
      <c r="O1311" s="17" t="str">
        <f aca="false">VLOOKUP(N1311,Sheet2!G:H,2,0)</f>
        <v>Dead</v>
      </c>
      <c r="P1311" s="17" t="n">
        <v>12</v>
      </c>
      <c r="Q1311" s="17" t="str">
        <f aca="false">VLOOKUP(P1311,Sheet2!J:K,2,0)</f>
        <v>IR Declared due to Others ( IR Normal)TB</v>
      </c>
      <c r="R1311" s="17" t="s">
        <v>35</v>
      </c>
      <c r="S1311" s="17" t="str">
        <f aca="false">VLOOKUP(R1311,Sheet2!N:O,2,0)</f>
        <v>IREPARABLE</v>
      </c>
      <c r="T1311" s="18" t="str">
        <f aca="false">VLOOKUP(P1311,Sheet2!Q:R,2,0)</f>
        <v>IR Normal - BER to IR</v>
      </c>
      <c r="U1311" s="20" t="s">
        <v>135</v>
      </c>
      <c r="V1311" s="17" t="n">
        <v>12</v>
      </c>
      <c r="W1311" s="20" t="str">
        <f aca="false">VLOOKUP(V1311,Sheet2!Q:R,2,0)</f>
        <v>IR Normal - BER to IR</v>
      </c>
      <c r="X1311" s="17" t="str">
        <f aca="false">J1311</f>
        <v>A018</v>
      </c>
      <c r="Y1311" s="17" t="str">
        <f aca="false">VLOOKUP(X1311,Sheet2!A:B,2,0)</f>
        <v>PRAKASH CHAVDA</v>
      </c>
      <c r="Z1311" s="17" t="s">
        <v>141</v>
      </c>
      <c r="AA1311" s="17" t="s">
        <v>642</v>
      </c>
      <c r="AB1311" s="17" t="s">
        <v>41</v>
      </c>
      <c r="AC1311" s="0" t="str">
        <f aca="false">LEFT(G1311,2)</f>
        <v>98</v>
      </c>
      <c r="AE1311" s="21" t="s">
        <v>238</v>
      </c>
    </row>
    <row r="1312" customFormat="false" ht="15" hidden="false" customHeight="false" outlineLevel="0" collapsed="false">
      <c r="A1312" s="13" t="n">
        <f aca="false">1+A1311</f>
        <v>1310</v>
      </c>
      <c r="B1312" s="14" t="n">
        <v>1009091196</v>
      </c>
      <c r="C1312" s="15" t="s">
        <v>414</v>
      </c>
      <c r="D1312" s="16" t="s">
        <v>64</v>
      </c>
      <c r="E1312" s="17" t="s">
        <v>64</v>
      </c>
      <c r="F1312" s="19" t="s">
        <v>34</v>
      </c>
      <c r="G1312" s="19" t="n">
        <v>134263092220</v>
      </c>
      <c r="H1312" s="17" t="s">
        <v>134</v>
      </c>
      <c r="I1312" s="17" t="s">
        <v>44</v>
      </c>
      <c r="J1312" s="17" t="s">
        <v>106</v>
      </c>
      <c r="K1312" s="17" t="str">
        <f aca="false">VLOOKUP(J1312,Sheet2!A:B,2,0)</f>
        <v>PRAKASH CHAVDA</v>
      </c>
      <c r="L1312" s="17" t="n">
        <v>5</v>
      </c>
      <c r="M1312" s="17" t="str">
        <f aca="false">VLOOKUP(L1312,Sheet2!D:E,2,0)</f>
        <v>Main Processor CPU BGA</v>
      </c>
      <c r="N1312" s="17" t="n">
        <v>24</v>
      </c>
      <c r="O1312" s="17" t="str">
        <f aca="false">VLOOKUP(N1312,Sheet2!G:H,2,0)</f>
        <v>STB Auto moving -Stand by mode</v>
      </c>
      <c r="P1312" s="17" t="n">
        <v>12</v>
      </c>
      <c r="Q1312" s="17" t="str">
        <f aca="false">VLOOKUP(P1312,Sheet2!J:K,2,0)</f>
        <v>IR Declared due to Others ( IR Normal)TB</v>
      </c>
      <c r="R1312" s="17" t="s">
        <v>35</v>
      </c>
      <c r="S1312" s="17" t="str">
        <f aca="false">VLOOKUP(R1312,Sheet2!N:O,2,0)</f>
        <v>IREPARABLE</v>
      </c>
      <c r="T1312" s="18" t="str">
        <f aca="false">VLOOKUP(P1312,Sheet2!Q:R,2,0)</f>
        <v>IR Normal - BER to IR</v>
      </c>
      <c r="U1312" s="20" t="s">
        <v>135</v>
      </c>
      <c r="V1312" s="17" t="n">
        <v>12</v>
      </c>
      <c r="W1312" s="20" t="str">
        <f aca="false">VLOOKUP(V1312,Sheet2!Q:R,2,0)</f>
        <v>IR Normal - BER to IR</v>
      </c>
      <c r="X1312" s="17" t="str">
        <f aca="false">J1312</f>
        <v>A018</v>
      </c>
      <c r="Y1312" s="17" t="str">
        <f aca="false">VLOOKUP(X1312,Sheet2!A:B,2,0)</f>
        <v>PRAKASH CHAVDA</v>
      </c>
      <c r="Z1312" s="17" t="s">
        <v>136</v>
      </c>
      <c r="AA1312" s="17" t="s">
        <v>642</v>
      </c>
      <c r="AB1312" s="17" t="s">
        <v>41</v>
      </c>
      <c r="AC1312" s="0" t="str">
        <f aca="false">LEFT(G1312,2)</f>
        <v>13</v>
      </c>
      <c r="AE1312" s="21" t="s">
        <v>238</v>
      </c>
    </row>
    <row r="1313" customFormat="false" ht="15" hidden="false" customHeight="false" outlineLevel="0" collapsed="false">
      <c r="A1313" s="13" t="n">
        <f aca="false">1+A1312</f>
        <v>1311</v>
      </c>
      <c r="B1313" s="14" t="n">
        <v>1009091405</v>
      </c>
      <c r="C1313" s="15" t="s">
        <v>414</v>
      </c>
      <c r="D1313" s="16" t="s">
        <v>654</v>
      </c>
      <c r="E1313" s="17" t="s">
        <v>91</v>
      </c>
      <c r="F1313" s="18" t="s">
        <v>34</v>
      </c>
      <c r="G1313" s="19" t="n">
        <v>134106376145</v>
      </c>
      <c r="H1313" s="17" t="s">
        <v>134</v>
      </c>
      <c r="I1313" s="17" t="s">
        <v>44</v>
      </c>
      <c r="J1313" s="17" t="s">
        <v>106</v>
      </c>
      <c r="K1313" s="17" t="str">
        <f aca="false">VLOOKUP(J1313,Sheet2!A:B,2,0)</f>
        <v>PRAKASH CHAVDA</v>
      </c>
      <c r="L1313" s="17" t="n">
        <v>5</v>
      </c>
      <c r="M1313" s="17" t="str">
        <f aca="false">VLOOKUP(L1313,Sheet2!D:E,2,0)</f>
        <v>Main Processor CPU BGA</v>
      </c>
      <c r="N1313" s="17" t="n">
        <v>24</v>
      </c>
      <c r="O1313" s="17" t="str">
        <f aca="false">VLOOKUP(N1313,Sheet2!G:H,2,0)</f>
        <v>STB Auto moving -Stand by mode</v>
      </c>
      <c r="P1313" s="17" t="n">
        <v>12</v>
      </c>
      <c r="Q1313" s="17" t="str">
        <f aca="false">VLOOKUP(P1313,Sheet2!J:K,2,0)</f>
        <v>IR Declared due to Others ( IR Normal)TB</v>
      </c>
      <c r="R1313" s="17" t="s">
        <v>35</v>
      </c>
      <c r="S1313" s="17" t="str">
        <f aca="false">VLOOKUP(R1313,Sheet2!N:O,2,0)</f>
        <v>IREPARABLE</v>
      </c>
      <c r="T1313" s="18" t="str">
        <f aca="false">VLOOKUP(P1313,Sheet2!Q:R,2,0)</f>
        <v>IR Normal - BER to IR</v>
      </c>
      <c r="U1313" s="20" t="s">
        <v>135</v>
      </c>
      <c r="V1313" s="17" t="n">
        <v>12</v>
      </c>
      <c r="W1313" s="20" t="str">
        <f aca="false">VLOOKUP(V1313,Sheet2!Q:R,2,0)</f>
        <v>IR Normal - BER to IR</v>
      </c>
      <c r="X1313" s="17" t="str">
        <f aca="false">J1313</f>
        <v>A018</v>
      </c>
      <c r="Y1313" s="17" t="str">
        <f aca="false">VLOOKUP(X1313,Sheet2!A:B,2,0)</f>
        <v>PRAKASH CHAVDA</v>
      </c>
      <c r="Z1313" s="17" t="s">
        <v>136</v>
      </c>
      <c r="AA1313" s="17" t="s">
        <v>642</v>
      </c>
      <c r="AB1313" s="17" t="s">
        <v>41</v>
      </c>
      <c r="AC1313" s="0" t="str">
        <f aca="false">LEFT(G1313,2)</f>
        <v>13</v>
      </c>
      <c r="AD1313" s="0"/>
      <c r="AE1313" s="21" t="s">
        <v>238</v>
      </c>
    </row>
    <row r="1314" customFormat="false" ht="15" hidden="false" customHeight="false" outlineLevel="0" collapsed="false">
      <c r="A1314" s="13" t="n">
        <f aca="false">1+A1313</f>
        <v>1312</v>
      </c>
      <c r="B1314" s="14" t="n">
        <v>1009390626</v>
      </c>
      <c r="C1314" s="15" t="s">
        <v>299</v>
      </c>
      <c r="D1314" s="16" t="s">
        <v>180</v>
      </c>
      <c r="E1314" s="17" t="s">
        <v>91</v>
      </c>
      <c r="F1314" s="18" t="s">
        <v>34</v>
      </c>
      <c r="G1314" s="19" t="n">
        <v>413289115102</v>
      </c>
      <c r="H1314" s="17" t="s">
        <v>134</v>
      </c>
      <c r="I1314" s="17" t="s">
        <v>44</v>
      </c>
      <c r="J1314" s="17" t="s">
        <v>106</v>
      </c>
      <c r="K1314" s="17" t="str">
        <f aca="false">VLOOKUP(J1314,Sheet2!A:B,2,0)</f>
        <v>PRAKASH CHAVDA</v>
      </c>
      <c r="L1314" s="17" t="n">
        <v>5</v>
      </c>
      <c r="M1314" s="17" t="str">
        <f aca="false">VLOOKUP(L1314,Sheet2!D:E,2,0)</f>
        <v>Main Processor CPU BGA</v>
      </c>
      <c r="N1314" s="17" t="n">
        <v>6</v>
      </c>
      <c r="O1314" s="17" t="str">
        <f aca="false">VLOOKUP(N1314,Sheet2!G:H,2,0)</f>
        <v>No Signal</v>
      </c>
      <c r="P1314" s="17" t="n">
        <v>12</v>
      </c>
      <c r="Q1314" s="17" t="str">
        <f aca="false">VLOOKUP(P1314,Sheet2!J:K,2,0)</f>
        <v>IR Declared due to Others ( IR Normal)TB</v>
      </c>
      <c r="R1314" s="17" t="s">
        <v>35</v>
      </c>
      <c r="S1314" s="17" t="str">
        <f aca="false">VLOOKUP(R1314,Sheet2!N:O,2,0)</f>
        <v>IREPARABLE</v>
      </c>
      <c r="T1314" s="18" t="str">
        <f aca="false">VLOOKUP(P1314,Sheet2!Q:R,2,0)</f>
        <v>IR Normal - BER to IR</v>
      </c>
      <c r="U1314" s="20" t="s">
        <v>135</v>
      </c>
      <c r="V1314" s="17" t="n">
        <v>12</v>
      </c>
      <c r="W1314" s="20" t="str">
        <f aca="false">VLOOKUP(V1314,Sheet2!Q:R,2,0)</f>
        <v>IR Normal - BER to IR</v>
      </c>
      <c r="X1314" s="17" t="str">
        <f aca="false">J1314</f>
        <v>A018</v>
      </c>
      <c r="Y1314" s="17" t="str">
        <f aca="false">VLOOKUP(X1314,Sheet2!A:B,2,0)</f>
        <v>PRAKASH CHAVDA</v>
      </c>
      <c r="Z1314" s="17" t="s">
        <v>149</v>
      </c>
      <c r="AA1314" s="17" t="s">
        <v>642</v>
      </c>
      <c r="AB1314" s="17" t="s">
        <v>41</v>
      </c>
      <c r="AC1314" s="0" t="str">
        <f aca="false">LEFT(G1314,2)</f>
        <v>41</v>
      </c>
      <c r="AD1314" s="0"/>
      <c r="AE1314" s="21" t="s">
        <v>238</v>
      </c>
    </row>
    <row r="1315" customFormat="false" ht="15" hidden="false" customHeight="false" outlineLevel="0" collapsed="false">
      <c r="A1315" s="13" t="n">
        <f aca="false">1+A1314</f>
        <v>1313</v>
      </c>
      <c r="B1315" s="14" t="n">
        <v>1009686167</v>
      </c>
      <c r="C1315" s="15" t="s">
        <v>449</v>
      </c>
      <c r="D1315" s="16" t="s">
        <v>655</v>
      </c>
      <c r="E1315" s="17" t="s">
        <v>33</v>
      </c>
      <c r="F1315" s="18" t="s">
        <v>34</v>
      </c>
      <c r="G1315" s="19" t="n">
        <v>954347182188</v>
      </c>
      <c r="H1315" s="17" t="s">
        <v>134</v>
      </c>
      <c r="I1315" s="17" t="s">
        <v>44</v>
      </c>
      <c r="J1315" s="17" t="s">
        <v>106</v>
      </c>
      <c r="K1315" s="17" t="str">
        <f aca="false">VLOOKUP(J1315,Sheet2!A:B,2,0)</f>
        <v>PRAKASH CHAVDA</v>
      </c>
      <c r="L1315" s="17" t="n">
        <v>5</v>
      </c>
      <c r="M1315" s="17" t="str">
        <f aca="false">VLOOKUP(L1315,Sheet2!D:E,2,0)</f>
        <v>Main Processor CPU BGA</v>
      </c>
      <c r="N1315" s="17" t="n">
        <v>24</v>
      </c>
      <c r="O1315" s="17" t="str">
        <f aca="false">VLOOKUP(N1315,Sheet2!G:H,2,0)</f>
        <v>STB Auto moving -Stand by mode</v>
      </c>
      <c r="P1315" s="17" t="n">
        <v>12</v>
      </c>
      <c r="Q1315" s="17" t="str">
        <f aca="false">VLOOKUP(P1315,Sheet2!J:K,2,0)</f>
        <v>IR Declared due to Others ( IR Normal)TB</v>
      </c>
      <c r="R1315" s="17" t="s">
        <v>35</v>
      </c>
      <c r="S1315" s="17" t="str">
        <f aca="false">VLOOKUP(R1315,Sheet2!N:O,2,0)</f>
        <v>IREPARABLE</v>
      </c>
      <c r="T1315" s="18" t="str">
        <f aca="false">VLOOKUP(P1315,Sheet2!Q:R,2,0)</f>
        <v>IR Normal - BER to IR</v>
      </c>
      <c r="U1315" s="20" t="s">
        <v>135</v>
      </c>
      <c r="V1315" s="17" t="n">
        <v>12</v>
      </c>
      <c r="W1315" s="20" t="str">
        <f aca="false">VLOOKUP(V1315,Sheet2!Q:R,2,0)</f>
        <v>IR Normal - BER to IR</v>
      </c>
      <c r="X1315" s="17" t="str">
        <f aca="false">J1315</f>
        <v>A018</v>
      </c>
      <c r="Y1315" s="17" t="str">
        <f aca="false">VLOOKUP(X1315,Sheet2!A:B,2,0)</f>
        <v>PRAKASH CHAVDA</v>
      </c>
      <c r="Z1315" s="17" t="s">
        <v>150</v>
      </c>
      <c r="AA1315" s="17" t="s">
        <v>642</v>
      </c>
      <c r="AB1315" s="17" t="s">
        <v>41</v>
      </c>
      <c r="AC1315" s="0" t="str">
        <f aca="false">LEFT(G1315,2)</f>
        <v>95</v>
      </c>
      <c r="AD1315" s="0"/>
      <c r="AE1315" s="21" t="s">
        <v>238</v>
      </c>
    </row>
    <row r="1316" customFormat="false" ht="15" hidden="false" customHeight="false" outlineLevel="0" collapsed="false">
      <c r="A1316" s="13" t="n">
        <f aca="false">1+A1315</f>
        <v>1314</v>
      </c>
      <c r="B1316" s="14" t="n">
        <v>1009686232</v>
      </c>
      <c r="C1316" s="15" t="s">
        <v>449</v>
      </c>
      <c r="D1316" s="16" t="s">
        <v>64</v>
      </c>
      <c r="E1316" s="17" t="s">
        <v>255</v>
      </c>
      <c r="F1316" s="18" t="s">
        <v>34</v>
      </c>
      <c r="G1316" s="19" t="n">
        <v>942053954338</v>
      </c>
      <c r="H1316" s="17" t="s">
        <v>134</v>
      </c>
      <c r="I1316" s="17" t="s">
        <v>44</v>
      </c>
      <c r="J1316" s="17" t="s">
        <v>106</v>
      </c>
      <c r="K1316" s="17" t="str">
        <f aca="false">VLOOKUP(J1316,Sheet2!A:B,2,0)</f>
        <v>PRAKASH CHAVDA</v>
      </c>
      <c r="L1316" s="17" t="n">
        <v>5</v>
      </c>
      <c r="M1316" s="17" t="str">
        <f aca="false">VLOOKUP(L1316,Sheet2!D:E,2,0)</f>
        <v>Main Processor CPU BGA</v>
      </c>
      <c r="N1316" s="17" t="n">
        <v>24</v>
      </c>
      <c r="O1316" s="17" t="str">
        <f aca="false">VLOOKUP(N1316,Sheet2!G:H,2,0)</f>
        <v>STB Auto moving -Stand by mode</v>
      </c>
      <c r="P1316" s="17" t="n">
        <v>12</v>
      </c>
      <c r="Q1316" s="17" t="str">
        <f aca="false">VLOOKUP(P1316,Sheet2!J:K,2,0)</f>
        <v>IR Declared due to Others ( IR Normal)TB</v>
      </c>
      <c r="R1316" s="17" t="s">
        <v>35</v>
      </c>
      <c r="S1316" s="17" t="str">
        <f aca="false">VLOOKUP(R1316,Sheet2!N:O,2,0)</f>
        <v>IREPARABLE</v>
      </c>
      <c r="T1316" s="18" t="str">
        <f aca="false">VLOOKUP(P1316,Sheet2!Q:R,2,0)</f>
        <v>IR Normal - BER to IR</v>
      </c>
      <c r="U1316" s="20" t="s">
        <v>135</v>
      </c>
      <c r="V1316" s="17" t="n">
        <v>12</v>
      </c>
      <c r="W1316" s="20" t="str">
        <f aca="false">VLOOKUP(V1316,Sheet2!Q:R,2,0)</f>
        <v>IR Normal - BER to IR</v>
      </c>
      <c r="X1316" s="17" t="str">
        <f aca="false">J1316</f>
        <v>A018</v>
      </c>
      <c r="Y1316" s="17" t="str">
        <f aca="false">VLOOKUP(X1316,Sheet2!A:B,2,0)</f>
        <v>PRAKASH CHAVDA</v>
      </c>
      <c r="Z1316" s="17" t="s">
        <v>127</v>
      </c>
      <c r="AA1316" s="17" t="s">
        <v>642</v>
      </c>
      <c r="AB1316" s="17" t="s">
        <v>41</v>
      </c>
      <c r="AC1316" s="0" t="str">
        <f aca="false">LEFT(G1316,2)</f>
        <v>94</v>
      </c>
      <c r="AD1316" s="0"/>
      <c r="AE1316" s="21" t="s">
        <v>238</v>
      </c>
    </row>
    <row r="1317" customFormat="false" ht="15" hidden="false" customHeight="false" outlineLevel="0" collapsed="false">
      <c r="A1317" s="13" t="n">
        <f aca="false">1+A1316</f>
        <v>1315</v>
      </c>
      <c r="B1317" s="14" t="n">
        <v>1009679604</v>
      </c>
      <c r="C1317" s="15" t="s">
        <v>413</v>
      </c>
      <c r="D1317" s="16" t="s">
        <v>64</v>
      </c>
      <c r="E1317" s="17" t="s">
        <v>47</v>
      </c>
      <c r="F1317" s="18" t="s">
        <v>34</v>
      </c>
      <c r="G1317" s="19" t="n">
        <v>775330135648</v>
      </c>
      <c r="H1317" s="17" t="s">
        <v>134</v>
      </c>
      <c r="I1317" s="17" t="s">
        <v>69</v>
      </c>
      <c r="J1317" s="17" t="s">
        <v>106</v>
      </c>
      <c r="K1317" s="17" t="str">
        <f aca="false">VLOOKUP(J1317,Sheet2!A:B,2,0)</f>
        <v>PRAKASH CHAVDA</v>
      </c>
      <c r="L1317" s="17" t="n">
        <v>5</v>
      </c>
      <c r="M1317" s="17" t="str">
        <f aca="false">VLOOKUP(L1317,Sheet2!D:E,2,0)</f>
        <v>Main Processor CPU BGA</v>
      </c>
      <c r="N1317" s="17" t="n">
        <v>1</v>
      </c>
      <c r="O1317" s="17" t="str">
        <f aca="false">VLOOKUP(N1317,Sheet2!G:H,2,0)</f>
        <v>Dead</v>
      </c>
      <c r="P1317" s="17" t="n">
        <v>12</v>
      </c>
      <c r="Q1317" s="17" t="str">
        <f aca="false">VLOOKUP(P1317,Sheet2!J:K,2,0)</f>
        <v>IR Declared due to Others ( IR Normal)TB</v>
      </c>
      <c r="R1317" s="17" t="s">
        <v>35</v>
      </c>
      <c r="S1317" s="17" t="str">
        <f aca="false">VLOOKUP(R1317,Sheet2!N:O,2,0)</f>
        <v>IREPARABLE</v>
      </c>
      <c r="T1317" s="18" t="str">
        <f aca="false">VLOOKUP(P1317,Sheet2!Q:R,2,0)</f>
        <v>IR Normal - BER to IR</v>
      </c>
      <c r="U1317" s="20" t="s">
        <v>135</v>
      </c>
      <c r="V1317" s="17" t="n">
        <v>12</v>
      </c>
      <c r="W1317" s="20" t="str">
        <f aca="false">VLOOKUP(V1317,Sheet2!Q:R,2,0)</f>
        <v>IR Normal - BER to IR</v>
      </c>
      <c r="X1317" s="17" t="str">
        <f aca="false">J1317</f>
        <v>A018</v>
      </c>
      <c r="Y1317" s="17" t="str">
        <f aca="false">VLOOKUP(X1317,Sheet2!A:B,2,0)</f>
        <v>PRAKASH CHAVDA</v>
      </c>
      <c r="Z1317" s="17" t="s">
        <v>136</v>
      </c>
      <c r="AA1317" s="17" t="s">
        <v>642</v>
      </c>
      <c r="AB1317" s="17" t="s">
        <v>41</v>
      </c>
      <c r="AC1317" s="0" t="str">
        <f aca="false">LEFT(G1317,2)</f>
        <v>77</v>
      </c>
      <c r="AD1317" s="0"/>
      <c r="AE1317" s="21" t="s">
        <v>238</v>
      </c>
    </row>
    <row r="1318" customFormat="false" ht="15" hidden="false" customHeight="false" outlineLevel="0" collapsed="false">
      <c r="A1318" s="13" t="n">
        <f aca="false">1+A1317</f>
        <v>1316</v>
      </c>
      <c r="B1318" s="14" t="n">
        <v>1009674122</v>
      </c>
      <c r="C1318" s="15" t="s">
        <v>436</v>
      </c>
      <c r="D1318" s="16" t="s">
        <v>64</v>
      </c>
      <c r="E1318" s="17" t="s">
        <v>91</v>
      </c>
      <c r="F1318" s="18" t="s">
        <v>34</v>
      </c>
      <c r="G1318" s="19" t="n">
        <v>134211190050</v>
      </c>
      <c r="H1318" s="17" t="s">
        <v>134</v>
      </c>
      <c r="I1318" s="17" t="s">
        <v>44</v>
      </c>
      <c r="J1318" s="17" t="s">
        <v>106</v>
      </c>
      <c r="K1318" s="17" t="str">
        <f aca="false">VLOOKUP(J1318,Sheet2!A:B,2,0)</f>
        <v>PRAKASH CHAVDA</v>
      </c>
      <c r="L1318" s="17" t="n">
        <v>7</v>
      </c>
      <c r="M1318" s="17" t="str">
        <f aca="false">VLOOKUP(L1318,Sheet2!D:E,2,0)</f>
        <v>Card Reader Section</v>
      </c>
      <c r="N1318" s="17" t="n">
        <v>36</v>
      </c>
      <c r="O1318" s="17" t="str">
        <f aca="false">VLOOKUP(N1318,Sheet2!G:H,2,0)</f>
        <v>Error -1</v>
      </c>
      <c r="P1318" s="17" t="n">
        <v>12</v>
      </c>
      <c r="Q1318" s="17" t="str">
        <f aca="false">VLOOKUP(P1318,Sheet2!J:K,2,0)</f>
        <v>IR Declared due to Others ( IR Normal)TB</v>
      </c>
      <c r="R1318" s="17" t="s">
        <v>35</v>
      </c>
      <c r="S1318" s="17" t="str">
        <f aca="false">VLOOKUP(R1318,Sheet2!N:O,2,0)</f>
        <v>IREPARABLE</v>
      </c>
      <c r="T1318" s="18" t="str">
        <f aca="false">VLOOKUP(P1318,Sheet2!Q:R,2,0)</f>
        <v>IR Normal - BER to IR</v>
      </c>
      <c r="U1318" s="20" t="s">
        <v>135</v>
      </c>
      <c r="V1318" s="17" t="n">
        <v>12</v>
      </c>
      <c r="W1318" s="20" t="str">
        <f aca="false">VLOOKUP(V1318,Sheet2!Q:R,2,0)</f>
        <v>IR Normal - BER to IR</v>
      </c>
      <c r="X1318" s="17" t="str">
        <f aca="false">J1318</f>
        <v>A018</v>
      </c>
      <c r="Y1318" s="17" t="str">
        <f aca="false">VLOOKUP(X1318,Sheet2!A:B,2,0)</f>
        <v>PRAKASH CHAVDA</v>
      </c>
      <c r="Z1318" s="17" t="s">
        <v>136</v>
      </c>
      <c r="AA1318" s="17" t="s">
        <v>642</v>
      </c>
      <c r="AB1318" s="17" t="s">
        <v>41</v>
      </c>
      <c r="AC1318" s="0" t="str">
        <f aca="false">LEFT(G1318,2)</f>
        <v>13</v>
      </c>
      <c r="AD1318" s="0"/>
      <c r="AE1318" s="21" t="s">
        <v>238</v>
      </c>
    </row>
    <row r="1319" customFormat="false" ht="15" hidden="false" customHeight="false" outlineLevel="0" collapsed="false">
      <c r="A1319" s="13" t="n">
        <f aca="false">1+A1318</f>
        <v>1317</v>
      </c>
      <c r="B1319" s="14" t="n">
        <v>1009091650</v>
      </c>
      <c r="C1319" s="15" t="s">
        <v>414</v>
      </c>
      <c r="D1319" s="16" t="s">
        <v>656</v>
      </c>
      <c r="E1319" s="17" t="s">
        <v>64</v>
      </c>
      <c r="F1319" s="18" t="s">
        <v>34</v>
      </c>
      <c r="G1319" s="19" t="n">
        <v>134255305697</v>
      </c>
      <c r="H1319" s="17" t="s">
        <v>134</v>
      </c>
      <c r="I1319" s="17" t="s">
        <v>44</v>
      </c>
      <c r="J1319" s="17" t="s">
        <v>106</v>
      </c>
      <c r="K1319" s="17" t="str">
        <f aca="false">VLOOKUP(J1319,Sheet2!A:B,2,0)</f>
        <v>PRAKASH CHAVDA</v>
      </c>
      <c r="L1319" s="17" t="n">
        <v>5</v>
      </c>
      <c r="M1319" s="17" t="str">
        <f aca="false">VLOOKUP(L1319,Sheet2!D:E,2,0)</f>
        <v>Main Processor CPU BGA</v>
      </c>
      <c r="N1319" s="17" t="n">
        <v>24</v>
      </c>
      <c r="O1319" s="17" t="str">
        <f aca="false">VLOOKUP(N1319,Sheet2!G:H,2,0)</f>
        <v>STB Auto moving -Stand by mode</v>
      </c>
      <c r="P1319" s="17" t="n">
        <v>12</v>
      </c>
      <c r="Q1319" s="17" t="str">
        <f aca="false">VLOOKUP(P1319,Sheet2!J:K,2,0)</f>
        <v>IR Declared due to Others ( IR Normal)TB</v>
      </c>
      <c r="R1319" s="17" t="s">
        <v>35</v>
      </c>
      <c r="S1319" s="17" t="str">
        <f aca="false">VLOOKUP(R1319,Sheet2!N:O,2,0)</f>
        <v>IREPARABLE</v>
      </c>
      <c r="T1319" s="18" t="str">
        <f aca="false">VLOOKUP(P1319,Sheet2!Q:R,2,0)</f>
        <v>IR Normal - BER to IR</v>
      </c>
      <c r="U1319" s="20" t="s">
        <v>135</v>
      </c>
      <c r="V1319" s="17" t="n">
        <v>12</v>
      </c>
      <c r="W1319" s="20" t="str">
        <f aca="false">VLOOKUP(V1319,Sheet2!Q:R,2,0)</f>
        <v>IR Normal - BER to IR</v>
      </c>
      <c r="X1319" s="17" t="str">
        <f aca="false">J1319</f>
        <v>A018</v>
      </c>
      <c r="Y1319" s="17" t="str">
        <f aca="false">VLOOKUP(X1319,Sheet2!A:B,2,0)</f>
        <v>PRAKASH CHAVDA</v>
      </c>
      <c r="Z1319" s="17" t="s">
        <v>136</v>
      </c>
      <c r="AA1319" s="17" t="s">
        <v>642</v>
      </c>
      <c r="AB1319" s="17" t="s">
        <v>41</v>
      </c>
      <c r="AC1319" s="0" t="str">
        <f aca="false">LEFT(G1319,2)</f>
        <v>13</v>
      </c>
      <c r="AD1319" s="0"/>
      <c r="AE1319" s="21" t="s">
        <v>238</v>
      </c>
    </row>
    <row r="1320" customFormat="false" ht="15" hidden="false" customHeight="false" outlineLevel="0" collapsed="false">
      <c r="A1320" s="13" t="n">
        <f aca="false">1+A1319</f>
        <v>1318</v>
      </c>
      <c r="B1320" s="14" t="n">
        <v>1009616173</v>
      </c>
      <c r="C1320" s="15" t="s">
        <v>184</v>
      </c>
      <c r="D1320" s="16" t="s">
        <v>64</v>
      </c>
      <c r="E1320" s="17" t="s">
        <v>47</v>
      </c>
      <c r="F1320" s="18" t="s">
        <v>34</v>
      </c>
      <c r="G1320" s="19" t="n">
        <v>413296221802</v>
      </c>
      <c r="H1320" s="17" t="s">
        <v>134</v>
      </c>
      <c r="I1320" s="17" t="s">
        <v>44</v>
      </c>
      <c r="J1320" s="17" t="s">
        <v>106</v>
      </c>
      <c r="K1320" s="17" t="str">
        <f aca="false">VLOOKUP(J1320,Sheet2!A:B,2,0)</f>
        <v>PRAKASH CHAVDA</v>
      </c>
      <c r="L1320" s="17" t="n">
        <v>1</v>
      </c>
      <c r="M1320" s="17" t="str">
        <f aca="false">VLOOKUP(L1320,Sheet2!D:E,2,0)</f>
        <v>Power Supply Section</v>
      </c>
      <c r="N1320" s="17" t="n">
        <v>1</v>
      </c>
      <c r="O1320" s="17" t="str">
        <f aca="false">VLOOKUP(N1320,Sheet2!G:H,2,0)</f>
        <v>Dead</v>
      </c>
      <c r="P1320" s="17" t="n">
        <v>12</v>
      </c>
      <c r="Q1320" s="17" t="str">
        <f aca="false">VLOOKUP(P1320,Sheet2!J:K,2,0)</f>
        <v>IR Declared due to Others ( IR Normal)TB</v>
      </c>
      <c r="R1320" s="17" t="s">
        <v>35</v>
      </c>
      <c r="S1320" s="17" t="str">
        <f aca="false">VLOOKUP(R1320,Sheet2!N:O,2,0)</f>
        <v>IREPARABLE</v>
      </c>
      <c r="T1320" s="18" t="str">
        <f aca="false">VLOOKUP(P1320,Sheet2!Q:R,2,0)</f>
        <v>IR Normal - BER to IR</v>
      </c>
      <c r="U1320" s="20" t="s">
        <v>135</v>
      </c>
      <c r="V1320" s="17" t="n">
        <v>12</v>
      </c>
      <c r="W1320" s="20" t="str">
        <f aca="false">VLOOKUP(V1320,Sheet2!Q:R,2,0)</f>
        <v>IR Normal - BER to IR</v>
      </c>
      <c r="X1320" s="17" t="str">
        <f aca="false">J1320</f>
        <v>A018</v>
      </c>
      <c r="Y1320" s="17" t="str">
        <f aca="false">VLOOKUP(X1320,Sheet2!A:B,2,0)</f>
        <v>PRAKASH CHAVDA</v>
      </c>
      <c r="Z1320" s="17" t="s">
        <v>149</v>
      </c>
      <c r="AA1320" s="17" t="s">
        <v>642</v>
      </c>
      <c r="AB1320" s="17" t="s">
        <v>41</v>
      </c>
      <c r="AC1320" s="0" t="str">
        <f aca="false">LEFT(G1320,2)</f>
        <v>41</v>
      </c>
      <c r="AD1320" s="0"/>
      <c r="AE1320" s="21" t="s">
        <v>238</v>
      </c>
    </row>
    <row r="1321" customFormat="false" ht="15" hidden="false" customHeight="false" outlineLevel="0" collapsed="false">
      <c r="A1321" s="13" t="n">
        <f aca="false">1+A1320</f>
        <v>1319</v>
      </c>
      <c r="B1321" s="14" t="n">
        <v>1009615984</v>
      </c>
      <c r="C1321" s="15" t="s">
        <v>184</v>
      </c>
      <c r="D1321" s="16" t="s">
        <v>64</v>
      </c>
      <c r="E1321" s="17" t="s">
        <v>64</v>
      </c>
      <c r="F1321" s="18" t="s">
        <v>34</v>
      </c>
      <c r="G1321" s="19" t="n">
        <v>413269204553</v>
      </c>
      <c r="H1321" s="17" t="s">
        <v>134</v>
      </c>
      <c r="I1321" s="17" t="s">
        <v>44</v>
      </c>
      <c r="J1321" s="17" t="s">
        <v>106</v>
      </c>
      <c r="K1321" s="17" t="str">
        <f aca="false">VLOOKUP(J1321,Sheet2!A:B,2,0)</f>
        <v>PRAKASH CHAVDA</v>
      </c>
      <c r="L1321" s="17" t="n">
        <v>5</v>
      </c>
      <c r="M1321" s="17" t="str">
        <f aca="false">VLOOKUP(L1321,Sheet2!D:E,2,0)</f>
        <v>Main Processor CPU BGA</v>
      </c>
      <c r="N1321" s="17" t="n">
        <v>1</v>
      </c>
      <c r="O1321" s="17" t="str">
        <f aca="false">VLOOKUP(N1321,Sheet2!G:H,2,0)</f>
        <v>Dead</v>
      </c>
      <c r="P1321" s="17" t="n">
        <v>12</v>
      </c>
      <c r="Q1321" s="17" t="str">
        <f aca="false">VLOOKUP(P1321,Sheet2!J:K,2,0)</f>
        <v>IR Declared due to Others ( IR Normal)TB</v>
      </c>
      <c r="R1321" s="17" t="s">
        <v>35</v>
      </c>
      <c r="S1321" s="17" t="str">
        <f aca="false">VLOOKUP(R1321,Sheet2!N:O,2,0)</f>
        <v>IREPARABLE</v>
      </c>
      <c r="T1321" s="18" t="str">
        <f aca="false">VLOOKUP(P1321,Sheet2!Q:R,2,0)</f>
        <v>IR Normal - BER to IR</v>
      </c>
      <c r="U1321" s="20" t="s">
        <v>135</v>
      </c>
      <c r="V1321" s="17" t="n">
        <v>12</v>
      </c>
      <c r="W1321" s="20" t="str">
        <f aca="false">VLOOKUP(V1321,Sheet2!Q:R,2,0)</f>
        <v>IR Normal - BER to IR</v>
      </c>
      <c r="X1321" s="17" t="str">
        <f aca="false">J1321</f>
        <v>A018</v>
      </c>
      <c r="Y1321" s="17" t="str">
        <f aca="false">VLOOKUP(X1321,Sheet2!A:B,2,0)</f>
        <v>PRAKASH CHAVDA</v>
      </c>
      <c r="Z1321" s="17" t="s">
        <v>149</v>
      </c>
      <c r="AA1321" s="17" t="s">
        <v>642</v>
      </c>
      <c r="AB1321" s="17" t="s">
        <v>41</v>
      </c>
      <c r="AC1321" s="0" t="str">
        <f aca="false">LEFT(G1321,2)</f>
        <v>41</v>
      </c>
      <c r="AD1321" s="0"/>
      <c r="AE1321" s="21" t="s">
        <v>238</v>
      </c>
    </row>
    <row r="1322" customFormat="false" ht="15" hidden="false" customHeight="false" outlineLevel="0" collapsed="false">
      <c r="A1322" s="13" t="n">
        <f aca="false">1+A1321</f>
        <v>1320</v>
      </c>
      <c r="B1322" s="14" t="n">
        <v>1009686224</v>
      </c>
      <c r="C1322" s="15" t="s">
        <v>449</v>
      </c>
      <c r="D1322" s="16" t="s">
        <v>32</v>
      </c>
      <c r="E1322" s="17" t="s">
        <v>255</v>
      </c>
      <c r="F1322" s="18" t="s">
        <v>34</v>
      </c>
      <c r="G1322" s="19" t="n">
        <v>942310972040</v>
      </c>
      <c r="H1322" s="17" t="s">
        <v>134</v>
      </c>
      <c r="I1322" s="17" t="s">
        <v>44</v>
      </c>
      <c r="J1322" s="17" t="s">
        <v>106</v>
      </c>
      <c r="K1322" s="17" t="str">
        <f aca="false">VLOOKUP(J1322,Sheet2!A:B,2,0)</f>
        <v>PRAKASH CHAVDA</v>
      </c>
      <c r="L1322" s="17" t="n">
        <v>5</v>
      </c>
      <c r="M1322" s="17" t="str">
        <f aca="false">VLOOKUP(L1322,Sheet2!D:E,2,0)</f>
        <v>Main Processor CPU BGA</v>
      </c>
      <c r="N1322" s="17" t="n">
        <v>24</v>
      </c>
      <c r="O1322" s="17" t="str">
        <f aca="false">VLOOKUP(N1322,Sheet2!G:H,2,0)</f>
        <v>STB Auto moving -Stand by mode</v>
      </c>
      <c r="P1322" s="17" t="n">
        <v>12</v>
      </c>
      <c r="Q1322" s="17" t="str">
        <f aca="false">VLOOKUP(P1322,Sheet2!J:K,2,0)</f>
        <v>IR Declared due to Others ( IR Normal)TB</v>
      </c>
      <c r="R1322" s="17" t="s">
        <v>35</v>
      </c>
      <c r="S1322" s="17" t="str">
        <f aca="false">VLOOKUP(R1322,Sheet2!N:O,2,0)</f>
        <v>IREPARABLE</v>
      </c>
      <c r="T1322" s="18" t="str">
        <f aca="false">VLOOKUP(P1322,Sheet2!Q:R,2,0)</f>
        <v>IR Normal - BER to IR</v>
      </c>
      <c r="U1322" s="20" t="s">
        <v>135</v>
      </c>
      <c r="V1322" s="17" t="n">
        <v>12</v>
      </c>
      <c r="W1322" s="20" t="str">
        <f aca="false">VLOOKUP(V1322,Sheet2!Q:R,2,0)</f>
        <v>IR Normal - BER to IR</v>
      </c>
      <c r="X1322" s="17" t="str">
        <f aca="false">J1322</f>
        <v>A018</v>
      </c>
      <c r="Y1322" s="17" t="str">
        <f aca="false">VLOOKUP(X1322,Sheet2!A:B,2,0)</f>
        <v>PRAKASH CHAVDA</v>
      </c>
      <c r="Z1322" s="17" t="s">
        <v>127</v>
      </c>
      <c r="AA1322" s="17" t="s">
        <v>642</v>
      </c>
      <c r="AB1322" s="17" t="s">
        <v>41</v>
      </c>
      <c r="AC1322" s="0" t="str">
        <f aca="false">LEFT(G1322,2)</f>
        <v>94</v>
      </c>
      <c r="AD1322" s="0"/>
      <c r="AE1322" s="21" t="s">
        <v>238</v>
      </c>
    </row>
    <row r="1323" customFormat="false" ht="15" hidden="false" customHeight="false" outlineLevel="0" collapsed="false">
      <c r="A1323" s="13" t="n">
        <f aca="false">1+A1322</f>
        <v>1321</v>
      </c>
      <c r="B1323" s="14" t="n">
        <v>1009686168</v>
      </c>
      <c r="C1323" s="15" t="s">
        <v>449</v>
      </c>
      <c r="D1323" s="16" t="s">
        <v>175</v>
      </c>
      <c r="E1323" s="17" t="s">
        <v>176</v>
      </c>
      <c r="F1323" s="18" t="s">
        <v>34</v>
      </c>
      <c r="G1323" s="19" t="n">
        <v>943346901672</v>
      </c>
      <c r="H1323" s="17" t="s">
        <v>134</v>
      </c>
      <c r="I1323" s="17" t="s">
        <v>44</v>
      </c>
      <c r="J1323" s="17" t="s">
        <v>106</v>
      </c>
      <c r="K1323" s="17" t="str">
        <f aca="false">VLOOKUP(J1323,Sheet2!A:B,2,0)</f>
        <v>PRAKASH CHAVDA</v>
      </c>
      <c r="L1323" s="17" t="n">
        <v>5</v>
      </c>
      <c r="M1323" s="17" t="str">
        <f aca="false">VLOOKUP(L1323,Sheet2!D:E,2,0)</f>
        <v>Main Processor CPU BGA</v>
      </c>
      <c r="N1323" s="17" t="n">
        <v>24</v>
      </c>
      <c r="O1323" s="17" t="str">
        <f aca="false">VLOOKUP(N1323,Sheet2!G:H,2,0)</f>
        <v>STB Auto moving -Stand by mode</v>
      </c>
      <c r="P1323" s="17" t="n">
        <v>12</v>
      </c>
      <c r="Q1323" s="17" t="str">
        <f aca="false">VLOOKUP(P1323,Sheet2!J:K,2,0)</f>
        <v>IR Declared due to Others ( IR Normal)TB</v>
      </c>
      <c r="R1323" s="17" t="s">
        <v>35</v>
      </c>
      <c r="S1323" s="17" t="str">
        <f aca="false">VLOOKUP(R1323,Sheet2!N:O,2,0)</f>
        <v>IREPARABLE</v>
      </c>
      <c r="T1323" s="18" t="str">
        <f aca="false">VLOOKUP(P1323,Sheet2!Q:R,2,0)</f>
        <v>IR Normal - BER to IR</v>
      </c>
      <c r="U1323" s="20" t="s">
        <v>135</v>
      </c>
      <c r="V1323" s="17" t="n">
        <v>12</v>
      </c>
      <c r="W1323" s="20" t="str">
        <f aca="false">VLOOKUP(V1323,Sheet2!Q:R,2,0)</f>
        <v>IR Normal - BER to IR</v>
      </c>
      <c r="X1323" s="17" t="str">
        <f aca="false">J1323</f>
        <v>A018</v>
      </c>
      <c r="Y1323" s="17" t="str">
        <f aca="false">VLOOKUP(X1323,Sheet2!A:B,2,0)</f>
        <v>PRAKASH CHAVDA</v>
      </c>
      <c r="Z1323" s="17" t="s">
        <v>657</v>
      </c>
      <c r="AA1323" s="17" t="s">
        <v>642</v>
      </c>
      <c r="AB1323" s="17" t="s">
        <v>41</v>
      </c>
      <c r="AC1323" s="0" t="str">
        <f aca="false">LEFT(G1323,2)</f>
        <v>94</v>
      </c>
      <c r="AD1323" s="0"/>
      <c r="AE1323" s="21" t="s">
        <v>238</v>
      </c>
    </row>
    <row r="1324" customFormat="false" ht="15" hidden="false" customHeight="false" outlineLevel="0" collapsed="false">
      <c r="A1324" s="13" t="n">
        <f aca="false">1+A1323</f>
        <v>1322</v>
      </c>
      <c r="B1324" s="14" t="n">
        <v>1009679398</v>
      </c>
      <c r="C1324" s="15" t="s">
        <v>413</v>
      </c>
      <c r="D1324" s="16" t="s">
        <v>64</v>
      </c>
      <c r="E1324" s="17" t="s">
        <v>47</v>
      </c>
      <c r="F1324" s="18" t="s">
        <v>34</v>
      </c>
      <c r="G1324" s="19" t="n">
        <v>774345367197</v>
      </c>
      <c r="H1324" s="17" t="s">
        <v>134</v>
      </c>
      <c r="I1324" s="17" t="s">
        <v>69</v>
      </c>
      <c r="J1324" s="17" t="s">
        <v>106</v>
      </c>
      <c r="K1324" s="17" t="str">
        <f aca="false">VLOOKUP(J1324,Sheet2!A:B,2,0)</f>
        <v>PRAKASH CHAVDA</v>
      </c>
      <c r="L1324" s="17" t="n">
        <v>5</v>
      </c>
      <c r="M1324" s="17" t="str">
        <f aca="false">VLOOKUP(L1324,Sheet2!D:E,2,0)</f>
        <v>Main Processor CPU BGA</v>
      </c>
      <c r="N1324" s="17" t="n">
        <v>24</v>
      </c>
      <c r="O1324" s="17" t="str">
        <f aca="false">VLOOKUP(N1324,Sheet2!G:H,2,0)</f>
        <v>STB Auto moving -Stand by mode</v>
      </c>
      <c r="P1324" s="17" t="n">
        <v>12</v>
      </c>
      <c r="Q1324" s="17" t="str">
        <f aca="false">VLOOKUP(P1324,Sheet2!J:K,2,0)</f>
        <v>IR Declared due to Others ( IR Normal)TB</v>
      </c>
      <c r="R1324" s="17" t="s">
        <v>35</v>
      </c>
      <c r="S1324" s="17" t="str">
        <f aca="false">VLOOKUP(R1324,Sheet2!N:O,2,0)</f>
        <v>IREPARABLE</v>
      </c>
      <c r="T1324" s="18" t="str">
        <f aca="false">VLOOKUP(P1324,Sheet2!Q:R,2,0)</f>
        <v>IR Normal - BER to IR</v>
      </c>
      <c r="U1324" s="20" t="s">
        <v>135</v>
      </c>
      <c r="V1324" s="17" t="n">
        <v>12</v>
      </c>
      <c r="W1324" s="20" t="str">
        <f aca="false">VLOOKUP(V1324,Sheet2!Q:R,2,0)</f>
        <v>IR Normal - BER to IR</v>
      </c>
      <c r="X1324" s="17" t="str">
        <f aca="false">J1324</f>
        <v>A018</v>
      </c>
      <c r="Y1324" s="17" t="str">
        <f aca="false">VLOOKUP(X1324,Sheet2!A:B,2,0)</f>
        <v>PRAKASH CHAVDA</v>
      </c>
      <c r="Z1324" s="17" t="s">
        <v>136</v>
      </c>
      <c r="AA1324" s="17" t="s">
        <v>642</v>
      </c>
      <c r="AB1324" s="17" t="s">
        <v>41</v>
      </c>
      <c r="AC1324" s="0" t="str">
        <f aca="false">LEFT(G1324,2)</f>
        <v>77</v>
      </c>
      <c r="AD1324" s="0"/>
      <c r="AE1324" s="21" t="s">
        <v>238</v>
      </c>
    </row>
    <row r="1325" customFormat="false" ht="15" hidden="false" customHeight="false" outlineLevel="0" collapsed="false">
      <c r="A1325" s="13" t="n">
        <f aca="false">1+A1324</f>
        <v>1323</v>
      </c>
      <c r="B1325" s="14" t="n">
        <v>1009092182</v>
      </c>
      <c r="C1325" s="15" t="s">
        <v>414</v>
      </c>
      <c r="D1325" s="16" t="s">
        <v>64</v>
      </c>
      <c r="E1325" s="17" t="s">
        <v>64</v>
      </c>
      <c r="F1325" s="18" t="s">
        <v>34</v>
      </c>
      <c r="G1325" s="19" t="n">
        <v>134127304399</v>
      </c>
      <c r="H1325" s="17" t="s">
        <v>134</v>
      </c>
      <c r="I1325" s="17" t="s">
        <v>44</v>
      </c>
      <c r="J1325" s="17" t="s">
        <v>106</v>
      </c>
      <c r="K1325" s="17" t="str">
        <f aca="false">VLOOKUP(J1325,Sheet2!A:B,2,0)</f>
        <v>PRAKASH CHAVDA</v>
      </c>
      <c r="L1325" s="17" t="n">
        <v>5</v>
      </c>
      <c r="M1325" s="17" t="str">
        <f aca="false">VLOOKUP(L1325,Sheet2!D:E,2,0)</f>
        <v>Main Processor CPU BGA</v>
      </c>
      <c r="N1325" s="17" t="n">
        <v>24</v>
      </c>
      <c r="O1325" s="17" t="str">
        <f aca="false">VLOOKUP(N1325,Sheet2!G:H,2,0)</f>
        <v>STB Auto moving -Stand by mode</v>
      </c>
      <c r="P1325" s="17" t="n">
        <v>12</v>
      </c>
      <c r="Q1325" s="17" t="str">
        <f aca="false">VLOOKUP(P1325,Sheet2!J:K,2,0)</f>
        <v>IR Declared due to Others ( IR Normal)TB</v>
      </c>
      <c r="R1325" s="17" t="s">
        <v>35</v>
      </c>
      <c r="S1325" s="17" t="str">
        <f aca="false">VLOOKUP(R1325,Sheet2!N:O,2,0)</f>
        <v>IREPARABLE</v>
      </c>
      <c r="T1325" s="18" t="str">
        <f aca="false">VLOOKUP(P1325,Sheet2!Q:R,2,0)</f>
        <v>IR Normal - BER to IR</v>
      </c>
      <c r="U1325" s="20" t="s">
        <v>135</v>
      </c>
      <c r="V1325" s="17" t="n">
        <v>12</v>
      </c>
      <c r="W1325" s="20" t="str">
        <f aca="false">VLOOKUP(V1325,Sheet2!Q:R,2,0)</f>
        <v>IR Normal - BER to IR</v>
      </c>
      <c r="X1325" s="17" t="str">
        <f aca="false">J1325</f>
        <v>A018</v>
      </c>
      <c r="Y1325" s="17" t="str">
        <f aca="false">VLOOKUP(X1325,Sheet2!A:B,2,0)</f>
        <v>PRAKASH CHAVDA</v>
      </c>
      <c r="Z1325" s="17" t="s">
        <v>136</v>
      </c>
      <c r="AA1325" s="17" t="s">
        <v>642</v>
      </c>
      <c r="AB1325" s="17" t="s">
        <v>41</v>
      </c>
      <c r="AC1325" s="0" t="str">
        <f aca="false">LEFT(G1325,2)</f>
        <v>13</v>
      </c>
      <c r="AD1325" s="0"/>
      <c r="AE1325" s="21" t="s">
        <v>238</v>
      </c>
    </row>
    <row r="1326" customFormat="false" ht="15" hidden="false" customHeight="false" outlineLevel="0" collapsed="false">
      <c r="A1326" s="13" t="n">
        <f aca="false">1+A1325</f>
        <v>1324</v>
      </c>
      <c r="B1326" s="14" t="n">
        <v>1009305870</v>
      </c>
      <c r="C1326" s="15" t="s">
        <v>185</v>
      </c>
      <c r="D1326" s="16" t="s">
        <v>230</v>
      </c>
      <c r="E1326" s="17" t="s">
        <v>47</v>
      </c>
      <c r="F1326" s="18" t="s">
        <v>34</v>
      </c>
      <c r="G1326" s="19" t="n">
        <v>413169214264</v>
      </c>
      <c r="H1326" s="17" t="s">
        <v>649</v>
      </c>
      <c r="I1326" s="17" t="s">
        <v>44</v>
      </c>
      <c r="J1326" s="17" t="s">
        <v>106</v>
      </c>
      <c r="K1326" s="17" t="str">
        <f aca="false">VLOOKUP(J1326,Sheet2!A:B,2,0)</f>
        <v>PRAKASH CHAVDA</v>
      </c>
      <c r="L1326" s="17" t="n">
        <v>5</v>
      </c>
      <c r="M1326" s="17" t="str">
        <f aca="false">VLOOKUP(L1326,Sheet2!D:E,2,0)</f>
        <v>Main Processor CPU BGA</v>
      </c>
      <c r="N1326" s="17" t="n">
        <v>1</v>
      </c>
      <c r="O1326" s="17" t="str">
        <f aca="false">VLOOKUP(N1326,Sheet2!G:H,2,0)</f>
        <v>Dead</v>
      </c>
      <c r="P1326" s="17" t="n">
        <v>12</v>
      </c>
      <c r="Q1326" s="17" t="str">
        <f aca="false">VLOOKUP(P1326,Sheet2!J:K,2,0)</f>
        <v>IR Declared due to Others ( IR Normal)TB</v>
      </c>
      <c r="R1326" s="17" t="s">
        <v>35</v>
      </c>
      <c r="S1326" s="17" t="str">
        <f aca="false">VLOOKUP(R1326,Sheet2!N:O,2,0)</f>
        <v>IREPARABLE</v>
      </c>
      <c r="T1326" s="18" t="str">
        <f aca="false">VLOOKUP(P1326,Sheet2!Q:R,2,0)</f>
        <v>IR Normal - BER to IR</v>
      </c>
      <c r="U1326" s="20" t="s">
        <v>135</v>
      </c>
      <c r="V1326" s="17" t="n">
        <v>12</v>
      </c>
      <c r="W1326" s="20" t="str">
        <f aca="false">VLOOKUP(V1326,Sheet2!Q:R,2,0)</f>
        <v>IR Normal - BER to IR</v>
      </c>
      <c r="X1326" s="17" t="str">
        <f aca="false">J1326</f>
        <v>A018</v>
      </c>
      <c r="Y1326" s="17" t="str">
        <f aca="false">VLOOKUP(X1326,Sheet2!A:B,2,0)</f>
        <v>PRAKASH CHAVDA</v>
      </c>
      <c r="Z1326" s="17" t="s">
        <v>149</v>
      </c>
      <c r="AA1326" s="17" t="s">
        <v>642</v>
      </c>
      <c r="AB1326" s="17" t="s">
        <v>41</v>
      </c>
      <c r="AC1326" s="0" t="str">
        <f aca="false">LEFT(G1326,2)</f>
        <v>41</v>
      </c>
      <c r="AD1326" s="0"/>
      <c r="AE1326" s="21" t="s">
        <v>238</v>
      </c>
    </row>
    <row r="1327" customFormat="false" ht="15" hidden="false" customHeight="false" outlineLevel="0" collapsed="false">
      <c r="A1327" s="13" t="n">
        <f aca="false">1+A1326</f>
        <v>1325</v>
      </c>
      <c r="B1327" s="14" t="n">
        <v>1008477084</v>
      </c>
      <c r="C1327" s="15" t="s">
        <v>464</v>
      </c>
      <c r="D1327" s="16" t="s">
        <v>64</v>
      </c>
      <c r="E1327" s="17" t="s">
        <v>47</v>
      </c>
      <c r="F1327" s="18" t="s">
        <v>34</v>
      </c>
      <c r="G1327" s="19" t="n">
        <v>134283042338</v>
      </c>
      <c r="H1327" s="17" t="s">
        <v>647</v>
      </c>
      <c r="I1327" s="17" t="s">
        <v>44</v>
      </c>
      <c r="J1327" s="17" t="s">
        <v>106</v>
      </c>
      <c r="K1327" s="17" t="str">
        <f aca="false">VLOOKUP(J1327,Sheet2!A:B,2,0)</f>
        <v>PRAKASH CHAVDA</v>
      </c>
      <c r="L1327" s="17" t="n">
        <v>5</v>
      </c>
      <c r="M1327" s="17" t="str">
        <f aca="false">VLOOKUP(L1327,Sheet2!D:E,2,0)</f>
        <v>Main Processor CPU BGA</v>
      </c>
      <c r="N1327" s="17" t="n">
        <v>24</v>
      </c>
      <c r="O1327" s="17" t="str">
        <f aca="false">VLOOKUP(N1327,Sheet2!G:H,2,0)</f>
        <v>STB Auto moving -Stand by mode</v>
      </c>
      <c r="P1327" s="17" t="n">
        <v>12</v>
      </c>
      <c r="Q1327" s="17" t="str">
        <f aca="false">VLOOKUP(P1327,Sheet2!J:K,2,0)</f>
        <v>IR Declared due to Others ( IR Normal)TB</v>
      </c>
      <c r="R1327" s="17" t="s">
        <v>35</v>
      </c>
      <c r="S1327" s="17" t="str">
        <f aca="false">VLOOKUP(R1327,Sheet2!N:O,2,0)</f>
        <v>IREPARABLE</v>
      </c>
      <c r="T1327" s="18" t="str">
        <f aca="false">VLOOKUP(P1327,Sheet2!Q:R,2,0)</f>
        <v>IR Normal - BER to IR</v>
      </c>
      <c r="U1327" s="20" t="s">
        <v>135</v>
      </c>
      <c r="V1327" s="17" t="n">
        <v>12</v>
      </c>
      <c r="W1327" s="20" t="str">
        <f aca="false">VLOOKUP(V1327,Sheet2!Q:R,2,0)</f>
        <v>IR Normal - BER to IR</v>
      </c>
      <c r="X1327" s="17" t="str">
        <f aca="false">J1327</f>
        <v>A018</v>
      </c>
      <c r="Y1327" s="17" t="str">
        <f aca="false">VLOOKUP(X1327,Sheet2!A:B,2,0)</f>
        <v>PRAKASH CHAVDA</v>
      </c>
      <c r="Z1327" s="17" t="s">
        <v>136</v>
      </c>
      <c r="AA1327" s="17" t="s">
        <v>642</v>
      </c>
      <c r="AB1327" s="17" t="s">
        <v>41</v>
      </c>
      <c r="AC1327" s="0" t="str">
        <f aca="false">LEFT(G1327,2)</f>
        <v>13</v>
      </c>
      <c r="AD1327" s="0"/>
      <c r="AE1327" s="21" t="s">
        <v>238</v>
      </c>
    </row>
    <row r="1328" customFormat="false" ht="15" hidden="false" customHeight="false" outlineLevel="0" collapsed="false">
      <c r="A1328" s="13" t="n">
        <f aca="false">1+A1327</f>
        <v>1326</v>
      </c>
      <c r="B1328" s="14" t="n">
        <v>1009685923</v>
      </c>
      <c r="C1328" s="15" t="s">
        <v>449</v>
      </c>
      <c r="D1328" s="16" t="s">
        <v>209</v>
      </c>
      <c r="E1328" s="17" t="s">
        <v>47</v>
      </c>
      <c r="F1328" s="18" t="s">
        <v>34</v>
      </c>
      <c r="G1328" s="19" t="n">
        <v>987198143065</v>
      </c>
      <c r="H1328" s="17" t="s">
        <v>134</v>
      </c>
      <c r="I1328" s="17" t="s">
        <v>44</v>
      </c>
      <c r="J1328" s="17" t="s">
        <v>106</v>
      </c>
      <c r="K1328" s="17" t="str">
        <f aca="false">VLOOKUP(J1328,Sheet2!A:B,2,0)</f>
        <v>PRAKASH CHAVDA</v>
      </c>
      <c r="L1328" s="17" t="n">
        <v>5</v>
      </c>
      <c r="M1328" s="17" t="str">
        <f aca="false">VLOOKUP(L1328,Sheet2!D:E,2,0)</f>
        <v>Main Processor CPU BGA</v>
      </c>
      <c r="N1328" s="17" t="n">
        <v>1</v>
      </c>
      <c r="O1328" s="17" t="str">
        <f aca="false">VLOOKUP(N1328,Sheet2!G:H,2,0)</f>
        <v>Dead</v>
      </c>
      <c r="P1328" s="17" t="n">
        <v>12</v>
      </c>
      <c r="Q1328" s="17" t="str">
        <f aca="false">VLOOKUP(P1328,Sheet2!J:K,2,0)</f>
        <v>IR Declared due to Others ( IR Normal)TB</v>
      </c>
      <c r="R1328" s="17" t="s">
        <v>35</v>
      </c>
      <c r="S1328" s="17" t="str">
        <f aca="false">VLOOKUP(R1328,Sheet2!N:O,2,0)</f>
        <v>IREPARABLE</v>
      </c>
      <c r="T1328" s="18" t="str">
        <f aca="false">VLOOKUP(P1328,Sheet2!Q:R,2,0)</f>
        <v>IR Normal - BER to IR</v>
      </c>
      <c r="U1328" s="20" t="s">
        <v>135</v>
      </c>
      <c r="V1328" s="17" t="n">
        <v>12</v>
      </c>
      <c r="W1328" s="20" t="str">
        <f aca="false">VLOOKUP(V1328,Sheet2!Q:R,2,0)</f>
        <v>IR Normal - BER to IR</v>
      </c>
      <c r="X1328" s="17" t="str">
        <f aca="false">J1328</f>
        <v>A018</v>
      </c>
      <c r="Y1328" s="17" t="str">
        <f aca="false">VLOOKUP(X1328,Sheet2!A:B,2,0)</f>
        <v>PRAKASH CHAVDA</v>
      </c>
      <c r="Z1328" s="17" t="s">
        <v>141</v>
      </c>
      <c r="AA1328" s="17" t="s">
        <v>642</v>
      </c>
      <c r="AB1328" s="17" t="s">
        <v>41</v>
      </c>
      <c r="AC1328" s="0" t="str">
        <f aca="false">LEFT(G1328,2)</f>
        <v>98</v>
      </c>
      <c r="AD1328" s="0"/>
      <c r="AE1328" s="21" t="s">
        <v>238</v>
      </c>
    </row>
    <row r="1329" customFormat="false" ht="15" hidden="false" customHeight="false" outlineLevel="0" collapsed="false">
      <c r="A1329" s="13" t="n">
        <f aca="false">1+A1328</f>
        <v>1327</v>
      </c>
      <c r="B1329" s="14" t="n">
        <v>1009606631</v>
      </c>
      <c r="C1329" s="15" t="s">
        <v>181</v>
      </c>
      <c r="D1329" s="16" t="s">
        <v>64</v>
      </c>
      <c r="E1329" s="17" t="s">
        <v>64</v>
      </c>
      <c r="F1329" s="18" t="s">
        <v>34</v>
      </c>
      <c r="G1329" s="19" t="n">
        <v>943025926180</v>
      </c>
      <c r="H1329" s="17" t="s">
        <v>134</v>
      </c>
      <c r="I1329" s="17" t="s">
        <v>44</v>
      </c>
      <c r="J1329" s="17" t="s">
        <v>106</v>
      </c>
      <c r="K1329" s="17" t="str">
        <f aca="false">VLOOKUP(J1329,Sheet2!A:B,2,0)</f>
        <v>PRAKASH CHAVDA</v>
      </c>
      <c r="L1329" s="17" t="n">
        <v>5</v>
      </c>
      <c r="M1329" s="17" t="str">
        <f aca="false">VLOOKUP(L1329,Sheet2!D:E,2,0)</f>
        <v>Main Processor CPU BGA</v>
      </c>
      <c r="N1329" s="17" t="n">
        <v>24</v>
      </c>
      <c r="O1329" s="17" t="str">
        <f aca="false">VLOOKUP(N1329,Sheet2!G:H,2,0)</f>
        <v>STB Auto moving -Stand by mode</v>
      </c>
      <c r="P1329" s="17" t="n">
        <v>12</v>
      </c>
      <c r="Q1329" s="17" t="str">
        <f aca="false">VLOOKUP(P1329,Sheet2!J:K,2,0)</f>
        <v>IR Declared due to Others ( IR Normal)TB</v>
      </c>
      <c r="R1329" s="17" t="s">
        <v>35</v>
      </c>
      <c r="S1329" s="17" t="str">
        <f aca="false">VLOOKUP(R1329,Sheet2!N:O,2,0)</f>
        <v>IREPARABLE</v>
      </c>
      <c r="T1329" s="18" t="str">
        <f aca="false">VLOOKUP(P1329,Sheet2!Q:R,2,0)</f>
        <v>IR Normal - BER to IR</v>
      </c>
      <c r="U1329" s="20" t="s">
        <v>135</v>
      </c>
      <c r="V1329" s="17" t="n">
        <v>12</v>
      </c>
      <c r="W1329" s="20" t="str">
        <f aca="false">VLOOKUP(V1329,Sheet2!Q:R,2,0)</f>
        <v>IR Normal - BER to IR</v>
      </c>
      <c r="X1329" s="17" t="str">
        <f aca="false">J1329</f>
        <v>A018</v>
      </c>
      <c r="Y1329" s="17" t="str">
        <f aca="false">VLOOKUP(X1329,Sheet2!A:B,2,0)</f>
        <v>PRAKASH CHAVDA</v>
      </c>
      <c r="Z1329" s="17" t="s">
        <v>127</v>
      </c>
      <c r="AA1329" s="17" t="s">
        <v>642</v>
      </c>
      <c r="AB1329" s="17" t="s">
        <v>41</v>
      </c>
      <c r="AC1329" s="0" t="str">
        <f aca="false">LEFT(G1329,2)</f>
        <v>94</v>
      </c>
      <c r="AE1329" s="21" t="s">
        <v>238</v>
      </c>
    </row>
    <row r="1330" customFormat="false" ht="15" hidden="false" customHeight="false" outlineLevel="0" collapsed="false">
      <c r="A1330" s="13" t="n">
        <f aca="false">1+A1329</f>
        <v>1328</v>
      </c>
      <c r="B1330" s="14" t="n">
        <v>1009686233</v>
      </c>
      <c r="C1330" s="15" t="s">
        <v>449</v>
      </c>
      <c r="D1330" s="16" t="s">
        <v>137</v>
      </c>
      <c r="E1330" s="17" t="s">
        <v>47</v>
      </c>
      <c r="F1330" s="18" t="s">
        <v>34</v>
      </c>
      <c r="G1330" s="19" t="n">
        <v>942312903233</v>
      </c>
      <c r="H1330" s="17" t="s">
        <v>134</v>
      </c>
      <c r="I1330" s="17" t="s">
        <v>44</v>
      </c>
      <c r="J1330" s="17" t="s">
        <v>106</v>
      </c>
      <c r="K1330" s="17" t="str">
        <f aca="false">VLOOKUP(J1330,Sheet2!A:B,2,0)</f>
        <v>PRAKASH CHAVDA</v>
      </c>
      <c r="L1330" s="17" t="n">
        <v>1</v>
      </c>
      <c r="M1330" s="17" t="str">
        <f aca="false">VLOOKUP(L1330,Sheet2!D:E,2,0)</f>
        <v>Power Supply Section</v>
      </c>
      <c r="N1330" s="17" t="n">
        <v>28</v>
      </c>
      <c r="O1330" s="17" t="str">
        <f aca="false">VLOOKUP(N1330,Sheet2!G:H,2,0)</f>
        <v>Hang and Freeze video - AV</v>
      </c>
      <c r="P1330" s="17" t="n">
        <v>12</v>
      </c>
      <c r="Q1330" s="17" t="str">
        <f aca="false">VLOOKUP(P1330,Sheet2!J:K,2,0)</f>
        <v>IR Declared due to Others ( IR Normal)TB</v>
      </c>
      <c r="R1330" s="17" t="s">
        <v>35</v>
      </c>
      <c r="S1330" s="17" t="str">
        <f aca="false">VLOOKUP(R1330,Sheet2!N:O,2,0)</f>
        <v>IREPARABLE</v>
      </c>
      <c r="T1330" s="18" t="str">
        <f aca="false">VLOOKUP(P1330,Sheet2!Q:R,2,0)</f>
        <v>IR Normal - BER to IR</v>
      </c>
      <c r="U1330" s="20" t="s">
        <v>135</v>
      </c>
      <c r="V1330" s="17" t="n">
        <v>12</v>
      </c>
      <c r="W1330" s="20" t="str">
        <f aca="false">VLOOKUP(V1330,Sheet2!Q:R,2,0)</f>
        <v>IR Normal - BER to IR</v>
      </c>
      <c r="X1330" s="17" t="str">
        <f aca="false">J1330</f>
        <v>A018</v>
      </c>
      <c r="Y1330" s="17" t="str">
        <f aca="false">VLOOKUP(X1330,Sheet2!A:B,2,0)</f>
        <v>PRAKASH CHAVDA</v>
      </c>
      <c r="Z1330" s="17" t="s">
        <v>658</v>
      </c>
      <c r="AA1330" s="17" t="s">
        <v>642</v>
      </c>
      <c r="AB1330" s="17" t="s">
        <v>41</v>
      </c>
      <c r="AC1330" s="0" t="str">
        <f aca="false">LEFT(G1330,2)</f>
        <v>94</v>
      </c>
      <c r="AE1330" s="21" t="s">
        <v>238</v>
      </c>
    </row>
    <row r="1331" customFormat="false" ht="15" hidden="false" customHeight="false" outlineLevel="0" collapsed="false">
      <c r="A1331" s="13" t="n">
        <f aca="false">1+A1330</f>
        <v>1329</v>
      </c>
      <c r="B1331" s="14" t="n">
        <v>1009091229</v>
      </c>
      <c r="C1331" s="15" t="s">
        <v>414</v>
      </c>
      <c r="D1331" s="16" t="s">
        <v>280</v>
      </c>
      <c r="E1331" s="17" t="s">
        <v>91</v>
      </c>
      <c r="F1331" s="18" t="s">
        <v>34</v>
      </c>
      <c r="G1331" s="19" t="n">
        <v>134325035142</v>
      </c>
      <c r="H1331" s="17" t="s">
        <v>134</v>
      </c>
      <c r="I1331" s="17" t="s">
        <v>44</v>
      </c>
      <c r="J1331" s="17" t="s">
        <v>106</v>
      </c>
      <c r="K1331" s="17" t="str">
        <f aca="false">VLOOKUP(J1331,Sheet2!A:B,2,0)</f>
        <v>PRAKASH CHAVDA</v>
      </c>
      <c r="L1331" s="17" t="n">
        <v>5</v>
      </c>
      <c r="M1331" s="17" t="str">
        <f aca="false">VLOOKUP(L1331,Sheet2!D:E,2,0)</f>
        <v>Main Processor CPU BGA</v>
      </c>
      <c r="N1331" s="17" t="n">
        <v>24</v>
      </c>
      <c r="O1331" s="17" t="str">
        <f aca="false">VLOOKUP(N1331,Sheet2!G:H,2,0)</f>
        <v>STB Auto moving -Stand by mode</v>
      </c>
      <c r="P1331" s="17" t="n">
        <v>12</v>
      </c>
      <c r="Q1331" s="17" t="str">
        <f aca="false">VLOOKUP(P1331,Sheet2!J:K,2,0)</f>
        <v>IR Declared due to Others ( IR Normal)TB</v>
      </c>
      <c r="R1331" s="17" t="s">
        <v>35</v>
      </c>
      <c r="S1331" s="17" t="str">
        <f aca="false">VLOOKUP(R1331,Sheet2!N:O,2,0)</f>
        <v>IREPARABLE</v>
      </c>
      <c r="T1331" s="18" t="str">
        <f aca="false">VLOOKUP(P1331,Sheet2!Q:R,2,0)</f>
        <v>IR Normal - BER to IR</v>
      </c>
      <c r="U1331" s="20" t="s">
        <v>135</v>
      </c>
      <c r="V1331" s="17" t="n">
        <v>12</v>
      </c>
      <c r="W1331" s="20" t="str">
        <f aca="false">VLOOKUP(V1331,Sheet2!Q:R,2,0)</f>
        <v>IR Normal - BER to IR</v>
      </c>
      <c r="X1331" s="17" t="str">
        <f aca="false">J1331</f>
        <v>A018</v>
      </c>
      <c r="Y1331" s="17" t="str">
        <f aca="false">VLOOKUP(X1331,Sheet2!A:B,2,0)</f>
        <v>PRAKASH CHAVDA</v>
      </c>
      <c r="Z1331" s="17" t="s">
        <v>136</v>
      </c>
      <c r="AA1331" s="17" t="s">
        <v>642</v>
      </c>
      <c r="AB1331" s="17" t="s">
        <v>41</v>
      </c>
      <c r="AC1331" s="0" t="str">
        <f aca="false">LEFT(G1331,2)</f>
        <v>13</v>
      </c>
      <c r="AE1331" s="21" t="s">
        <v>238</v>
      </c>
    </row>
    <row r="1332" customFormat="false" ht="15" hidden="false" customHeight="false" outlineLevel="0" collapsed="false">
      <c r="A1332" s="13" t="n">
        <f aca="false">1+A1331</f>
        <v>1330</v>
      </c>
      <c r="B1332" s="14" t="n">
        <v>1009611373</v>
      </c>
      <c r="C1332" s="15" t="s">
        <v>181</v>
      </c>
      <c r="D1332" s="16" t="s">
        <v>113</v>
      </c>
      <c r="E1332" s="17" t="s">
        <v>64</v>
      </c>
      <c r="F1332" s="18" t="s">
        <v>34</v>
      </c>
      <c r="G1332" s="19" t="n">
        <v>135230093522</v>
      </c>
      <c r="H1332" s="17" t="s">
        <v>134</v>
      </c>
      <c r="I1332" s="17" t="s">
        <v>44</v>
      </c>
      <c r="J1332" s="17" t="s">
        <v>106</v>
      </c>
      <c r="K1332" s="17" t="str">
        <f aca="false">VLOOKUP(J1332,Sheet2!A:B,2,0)</f>
        <v>PRAKASH CHAVDA</v>
      </c>
      <c r="L1332" s="17" t="n">
        <v>5</v>
      </c>
      <c r="M1332" s="17" t="str">
        <f aca="false">VLOOKUP(L1332,Sheet2!D:E,2,0)</f>
        <v>Main Processor CPU BGA</v>
      </c>
      <c r="N1332" s="17" t="n">
        <v>24</v>
      </c>
      <c r="O1332" s="17" t="str">
        <f aca="false">VLOOKUP(N1332,Sheet2!G:H,2,0)</f>
        <v>STB Auto moving -Stand by mode</v>
      </c>
      <c r="P1332" s="17" t="n">
        <v>12</v>
      </c>
      <c r="Q1332" s="17" t="str">
        <f aca="false">VLOOKUP(P1332,Sheet2!J:K,2,0)</f>
        <v>IR Declared due to Others ( IR Normal)TB</v>
      </c>
      <c r="R1332" s="17" t="s">
        <v>35</v>
      </c>
      <c r="S1332" s="17" t="str">
        <f aca="false">VLOOKUP(R1332,Sheet2!N:O,2,0)</f>
        <v>IREPARABLE</v>
      </c>
      <c r="T1332" s="18" t="str">
        <f aca="false">VLOOKUP(P1332,Sheet2!Q:R,2,0)</f>
        <v>IR Normal - BER to IR</v>
      </c>
      <c r="U1332" s="20" t="s">
        <v>135</v>
      </c>
      <c r="V1332" s="17" t="n">
        <v>12</v>
      </c>
      <c r="W1332" s="20" t="str">
        <f aca="false">VLOOKUP(V1332,Sheet2!Q:R,2,0)</f>
        <v>IR Normal - BER to IR</v>
      </c>
      <c r="X1332" s="17" t="str">
        <f aca="false">J1332</f>
        <v>A018</v>
      </c>
      <c r="Y1332" s="17" t="str">
        <f aca="false">VLOOKUP(X1332,Sheet2!A:B,2,0)</f>
        <v>PRAKASH CHAVDA</v>
      </c>
      <c r="Z1332" s="17" t="s">
        <v>136</v>
      </c>
      <c r="AA1332" s="17" t="s">
        <v>642</v>
      </c>
      <c r="AB1332" s="17" t="s">
        <v>41</v>
      </c>
      <c r="AC1332" s="0" t="str">
        <f aca="false">LEFT(G1332,2)</f>
        <v>13</v>
      </c>
      <c r="AE1332" s="21" t="s">
        <v>238</v>
      </c>
    </row>
    <row r="1333" customFormat="false" ht="15" hidden="false" customHeight="false" outlineLevel="0" collapsed="false">
      <c r="A1333" s="13" t="n">
        <f aca="false">1+A1332</f>
        <v>1331</v>
      </c>
      <c r="B1333" s="14" t="n">
        <v>1009091551</v>
      </c>
      <c r="C1333" s="15" t="s">
        <v>414</v>
      </c>
      <c r="D1333" s="16" t="s">
        <v>64</v>
      </c>
      <c r="E1333" s="17" t="s">
        <v>64</v>
      </c>
      <c r="F1333" s="18" t="s">
        <v>34</v>
      </c>
      <c r="G1333" s="19" t="n">
        <v>134283347950</v>
      </c>
      <c r="H1333" s="17" t="s">
        <v>134</v>
      </c>
      <c r="I1333" s="17" t="s">
        <v>44</v>
      </c>
      <c r="J1333" s="17" t="s">
        <v>106</v>
      </c>
      <c r="K1333" s="17" t="str">
        <f aca="false">VLOOKUP(J1333,Sheet2!A:B,2,0)</f>
        <v>PRAKASH CHAVDA</v>
      </c>
      <c r="L1333" s="17" t="n">
        <v>1</v>
      </c>
      <c r="M1333" s="17" t="str">
        <f aca="false">VLOOKUP(L1333,Sheet2!D:E,2,0)</f>
        <v>Power Supply Section</v>
      </c>
      <c r="N1333" s="17" t="n">
        <v>1</v>
      </c>
      <c r="O1333" s="17" t="str">
        <f aca="false">VLOOKUP(N1333,Sheet2!G:H,2,0)</f>
        <v>Dead</v>
      </c>
      <c r="P1333" s="17" t="n">
        <v>12</v>
      </c>
      <c r="Q1333" s="17" t="str">
        <f aca="false">VLOOKUP(P1333,Sheet2!J:K,2,0)</f>
        <v>IR Declared due to Others ( IR Normal)TB</v>
      </c>
      <c r="R1333" s="17" t="s">
        <v>35</v>
      </c>
      <c r="S1333" s="17" t="str">
        <f aca="false">VLOOKUP(R1333,Sheet2!N:O,2,0)</f>
        <v>IREPARABLE</v>
      </c>
      <c r="T1333" s="18" t="str">
        <f aca="false">VLOOKUP(P1333,Sheet2!Q:R,2,0)</f>
        <v>IR Normal - BER to IR</v>
      </c>
      <c r="U1333" s="20" t="s">
        <v>135</v>
      </c>
      <c r="V1333" s="17" t="n">
        <v>12</v>
      </c>
      <c r="W1333" s="20" t="str">
        <f aca="false">VLOOKUP(V1333,Sheet2!Q:R,2,0)</f>
        <v>IR Normal - BER to IR</v>
      </c>
      <c r="X1333" s="17" t="str">
        <f aca="false">J1333</f>
        <v>A018</v>
      </c>
      <c r="Y1333" s="17" t="str">
        <f aca="false">VLOOKUP(X1333,Sheet2!A:B,2,0)</f>
        <v>PRAKASH CHAVDA</v>
      </c>
      <c r="Z1333" s="17" t="s">
        <v>504</v>
      </c>
      <c r="AA1333" s="17" t="s">
        <v>642</v>
      </c>
      <c r="AB1333" s="17" t="s">
        <v>41</v>
      </c>
      <c r="AC1333" s="0" t="str">
        <f aca="false">LEFT(G1333,2)</f>
        <v>13</v>
      </c>
      <c r="AE1333" s="21" t="s">
        <v>238</v>
      </c>
    </row>
    <row r="1334" customFormat="false" ht="15" hidden="false" customHeight="false" outlineLevel="0" collapsed="false">
      <c r="A1334" s="13" t="n">
        <f aca="false">1+A1333</f>
        <v>1332</v>
      </c>
      <c r="B1334" s="14" t="n">
        <v>1009608515</v>
      </c>
      <c r="C1334" s="15" t="s">
        <v>181</v>
      </c>
      <c r="D1334" s="16" t="s">
        <v>190</v>
      </c>
      <c r="E1334" s="17" t="s">
        <v>47</v>
      </c>
      <c r="F1334" s="18" t="s">
        <v>34</v>
      </c>
      <c r="G1334" s="19" t="n">
        <v>987256119890</v>
      </c>
      <c r="H1334" s="17" t="s">
        <v>134</v>
      </c>
      <c r="I1334" s="17" t="s">
        <v>44</v>
      </c>
      <c r="J1334" s="17" t="s">
        <v>106</v>
      </c>
      <c r="K1334" s="17" t="str">
        <f aca="false">VLOOKUP(J1334,Sheet2!A:B,2,0)</f>
        <v>PRAKASH CHAVDA</v>
      </c>
      <c r="L1334" s="17" t="n">
        <v>1</v>
      </c>
      <c r="M1334" s="17" t="str">
        <f aca="false">VLOOKUP(L1334,Sheet2!D:E,2,0)</f>
        <v>Power Supply Section</v>
      </c>
      <c r="N1334" s="17" t="n">
        <v>1</v>
      </c>
      <c r="O1334" s="17" t="str">
        <f aca="false">VLOOKUP(N1334,Sheet2!G:H,2,0)</f>
        <v>Dead</v>
      </c>
      <c r="P1334" s="17" t="n">
        <v>12</v>
      </c>
      <c r="Q1334" s="17" t="str">
        <f aca="false">VLOOKUP(P1334,Sheet2!J:K,2,0)</f>
        <v>IR Declared due to Others ( IR Normal)TB</v>
      </c>
      <c r="R1334" s="17" t="s">
        <v>35</v>
      </c>
      <c r="S1334" s="17" t="str">
        <f aca="false">VLOOKUP(R1334,Sheet2!N:O,2,0)</f>
        <v>IREPARABLE</v>
      </c>
      <c r="T1334" s="18" t="str">
        <f aca="false">VLOOKUP(P1334,Sheet2!Q:R,2,0)</f>
        <v>IR Normal - BER to IR</v>
      </c>
      <c r="U1334" s="20" t="s">
        <v>135</v>
      </c>
      <c r="V1334" s="17" t="n">
        <v>12</v>
      </c>
      <c r="W1334" s="20" t="str">
        <f aca="false">VLOOKUP(V1334,Sheet2!Q:R,2,0)</f>
        <v>IR Normal - BER to IR</v>
      </c>
      <c r="X1334" s="17" t="str">
        <f aca="false">J1334</f>
        <v>A018</v>
      </c>
      <c r="Y1334" s="17" t="str">
        <f aca="false">VLOOKUP(X1334,Sheet2!A:B,2,0)</f>
        <v>PRAKASH CHAVDA</v>
      </c>
      <c r="Z1334" s="17" t="s">
        <v>659</v>
      </c>
      <c r="AA1334" s="17" t="s">
        <v>642</v>
      </c>
      <c r="AB1334" s="17" t="s">
        <v>41</v>
      </c>
      <c r="AC1334" s="0" t="str">
        <f aca="false">LEFT(G1334,2)</f>
        <v>98</v>
      </c>
      <c r="AE1334" s="21" t="s">
        <v>238</v>
      </c>
    </row>
    <row r="1335" customFormat="false" ht="15" hidden="false" customHeight="false" outlineLevel="0" collapsed="false">
      <c r="A1335" s="13" t="n">
        <f aca="false">1+A1334</f>
        <v>1333</v>
      </c>
      <c r="B1335" s="14" t="n">
        <v>1009562355</v>
      </c>
      <c r="C1335" s="15" t="s">
        <v>192</v>
      </c>
      <c r="D1335" s="16" t="s">
        <v>269</v>
      </c>
      <c r="E1335" s="17" t="s">
        <v>33</v>
      </c>
      <c r="F1335" s="18" t="s">
        <v>34</v>
      </c>
      <c r="G1335" s="19" t="n">
        <v>986258152834</v>
      </c>
      <c r="H1335" s="17" t="s">
        <v>647</v>
      </c>
      <c r="I1335" s="17" t="s">
        <v>44</v>
      </c>
      <c r="J1335" s="17" t="s">
        <v>106</v>
      </c>
      <c r="K1335" s="17" t="str">
        <f aca="false">VLOOKUP(J1335,Sheet2!A:B,2,0)</f>
        <v>PRAKASH CHAVDA</v>
      </c>
      <c r="L1335" s="17" t="n">
        <v>5</v>
      </c>
      <c r="M1335" s="17" t="str">
        <f aca="false">VLOOKUP(L1335,Sheet2!D:E,2,0)</f>
        <v>Main Processor CPU BGA</v>
      </c>
      <c r="N1335" s="17" t="n">
        <v>27</v>
      </c>
      <c r="O1335" s="17" t="str">
        <f aca="false">VLOOKUP(N1335,Sheet2!G:H,2,0)</f>
        <v>STB Rebooting Continuously</v>
      </c>
      <c r="P1335" s="17" t="n">
        <v>12</v>
      </c>
      <c r="Q1335" s="17" t="str">
        <f aca="false">VLOOKUP(P1335,Sheet2!J:K,2,0)</f>
        <v>IR Declared due to Others ( IR Normal)TB</v>
      </c>
      <c r="R1335" s="17" t="s">
        <v>35</v>
      </c>
      <c r="S1335" s="17" t="str">
        <f aca="false">VLOOKUP(R1335,Sheet2!N:O,2,0)</f>
        <v>IREPARABLE</v>
      </c>
      <c r="T1335" s="18" t="str">
        <f aca="false">VLOOKUP(P1335,Sheet2!Q:R,2,0)</f>
        <v>IR Normal - BER to IR</v>
      </c>
      <c r="U1335" s="20" t="s">
        <v>135</v>
      </c>
      <c r="V1335" s="17" t="n">
        <v>12</v>
      </c>
      <c r="W1335" s="20" t="str">
        <f aca="false">VLOOKUP(V1335,Sheet2!Q:R,2,0)</f>
        <v>IR Normal - BER to IR</v>
      </c>
      <c r="X1335" s="17" t="str">
        <f aca="false">J1335</f>
        <v>A018</v>
      </c>
      <c r="Y1335" s="17" t="str">
        <f aca="false">VLOOKUP(X1335,Sheet2!A:B,2,0)</f>
        <v>PRAKASH CHAVDA</v>
      </c>
      <c r="Z1335" s="17" t="s">
        <v>141</v>
      </c>
      <c r="AA1335" s="17" t="s">
        <v>642</v>
      </c>
      <c r="AB1335" s="17" t="s">
        <v>41</v>
      </c>
      <c r="AC1335" s="0" t="str">
        <f aca="false">LEFT(G1335,2)</f>
        <v>98</v>
      </c>
      <c r="AE1335" s="21" t="s">
        <v>238</v>
      </c>
    </row>
    <row r="1336" customFormat="false" ht="15" hidden="false" customHeight="false" outlineLevel="0" collapsed="false">
      <c r="A1336" s="13" t="n">
        <f aca="false">1+A1335</f>
        <v>1334</v>
      </c>
      <c r="B1336" s="14" t="n">
        <v>1007564412</v>
      </c>
      <c r="C1336" s="15" t="s">
        <v>660</v>
      </c>
      <c r="D1336" s="16" t="s">
        <v>64</v>
      </c>
      <c r="E1336" s="17" t="s">
        <v>91</v>
      </c>
      <c r="F1336" s="18" t="s">
        <v>34</v>
      </c>
      <c r="G1336" s="19" t="n">
        <v>986141127902</v>
      </c>
      <c r="H1336" s="17" t="s">
        <v>649</v>
      </c>
      <c r="I1336" s="17" t="s">
        <v>44</v>
      </c>
      <c r="J1336" s="17" t="s">
        <v>106</v>
      </c>
      <c r="K1336" s="17" t="str">
        <f aca="false">VLOOKUP(J1336,Sheet2!A:B,2,0)</f>
        <v>PRAKASH CHAVDA</v>
      </c>
      <c r="L1336" s="17" t="n">
        <v>5</v>
      </c>
      <c r="M1336" s="17" t="str">
        <f aca="false">VLOOKUP(L1336,Sheet2!D:E,2,0)</f>
        <v>Main Processor CPU BGA</v>
      </c>
      <c r="N1336" s="17" t="n">
        <v>24</v>
      </c>
      <c r="O1336" s="17" t="str">
        <f aca="false">VLOOKUP(N1336,Sheet2!G:H,2,0)</f>
        <v>STB Auto moving -Stand by mode</v>
      </c>
      <c r="P1336" s="17" t="n">
        <v>12</v>
      </c>
      <c r="Q1336" s="17" t="str">
        <f aca="false">VLOOKUP(P1336,Sheet2!J:K,2,0)</f>
        <v>IR Declared due to Others ( IR Normal)TB</v>
      </c>
      <c r="R1336" s="17" t="s">
        <v>35</v>
      </c>
      <c r="S1336" s="17" t="str">
        <f aca="false">VLOOKUP(R1336,Sheet2!N:O,2,0)</f>
        <v>IREPARABLE</v>
      </c>
      <c r="T1336" s="18" t="str">
        <f aca="false">VLOOKUP(P1336,Sheet2!Q:R,2,0)</f>
        <v>IR Normal - BER to IR</v>
      </c>
      <c r="U1336" s="20" t="s">
        <v>135</v>
      </c>
      <c r="V1336" s="17" t="n">
        <v>12</v>
      </c>
      <c r="W1336" s="20" t="str">
        <f aca="false">VLOOKUP(V1336,Sheet2!Q:R,2,0)</f>
        <v>IR Normal - BER to IR</v>
      </c>
      <c r="X1336" s="17" t="str">
        <f aca="false">J1336</f>
        <v>A018</v>
      </c>
      <c r="Y1336" s="17" t="str">
        <f aca="false">VLOOKUP(X1336,Sheet2!A:B,2,0)</f>
        <v>PRAKASH CHAVDA</v>
      </c>
      <c r="Z1336" s="17" t="s">
        <v>141</v>
      </c>
      <c r="AA1336" s="17" t="s">
        <v>642</v>
      </c>
      <c r="AB1336" s="17" t="s">
        <v>41</v>
      </c>
      <c r="AC1336" s="0" t="str">
        <f aca="false">LEFT(G1336,2)</f>
        <v>98</v>
      </c>
      <c r="AE1336" s="21" t="s">
        <v>238</v>
      </c>
    </row>
    <row r="1337" customFormat="false" ht="15" hidden="false" customHeight="false" outlineLevel="0" collapsed="false">
      <c r="A1337" s="13" t="n">
        <f aca="false">1+A1336</f>
        <v>1335</v>
      </c>
      <c r="B1337" s="14" t="n">
        <v>1009091256</v>
      </c>
      <c r="C1337" s="15" t="s">
        <v>414</v>
      </c>
      <c r="D1337" s="16" t="s">
        <v>64</v>
      </c>
      <c r="E1337" s="17" t="s">
        <v>47</v>
      </c>
      <c r="F1337" s="18" t="s">
        <v>34</v>
      </c>
      <c r="G1337" s="19" t="n">
        <v>134056140038</v>
      </c>
      <c r="H1337" s="17" t="s">
        <v>134</v>
      </c>
      <c r="I1337" s="17" t="s">
        <v>44</v>
      </c>
      <c r="J1337" s="17" t="s">
        <v>106</v>
      </c>
      <c r="K1337" s="17" t="str">
        <f aca="false">VLOOKUP(J1337,Sheet2!A:B,2,0)</f>
        <v>PRAKASH CHAVDA</v>
      </c>
      <c r="L1337" s="17" t="n">
        <v>1</v>
      </c>
      <c r="M1337" s="17" t="str">
        <f aca="false">VLOOKUP(L1337,Sheet2!D:E,2,0)</f>
        <v>Power Supply Section</v>
      </c>
      <c r="N1337" s="17" t="n">
        <v>1</v>
      </c>
      <c r="O1337" s="17" t="str">
        <f aca="false">VLOOKUP(N1337,Sheet2!G:H,2,0)</f>
        <v>Dead</v>
      </c>
      <c r="P1337" s="17" t="n">
        <v>12</v>
      </c>
      <c r="Q1337" s="17" t="str">
        <f aca="false">VLOOKUP(P1337,Sheet2!J:K,2,0)</f>
        <v>IR Declared due to Others ( IR Normal)TB</v>
      </c>
      <c r="R1337" s="17" t="s">
        <v>35</v>
      </c>
      <c r="S1337" s="17" t="str">
        <f aca="false">VLOOKUP(R1337,Sheet2!N:O,2,0)</f>
        <v>IREPARABLE</v>
      </c>
      <c r="T1337" s="18" t="str">
        <f aca="false">VLOOKUP(P1337,Sheet2!Q:R,2,0)</f>
        <v>IR Normal - BER to IR</v>
      </c>
      <c r="U1337" s="20" t="s">
        <v>135</v>
      </c>
      <c r="V1337" s="17" t="n">
        <v>12</v>
      </c>
      <c r="W1337" s="20" t="str">
        <f aca="false">VLOOKUP(V1337,Sheet2!Q:R,2,0)</f>
        <v>IR Normal - BER to IR</v>
      </c>
      <c r="X1337" s="17" t="str">
        <f aca="false">J1337</f>
        <v>A018</v>
      </c>
      <c r="Y1337" s="17" t="str">
        <f aca="false">VLOOKUP(X1337,Sheet2!A:B,2,0)</f>
        <v>PRAKASH CHAVDA</v>
      </c>
      <c r="Z1337" s="17" t="s">
        <v>504</v>
      </c>
      <c r="AA1337" s="17" t="s">
        <v>642</v>
      </c>
      <c r="AB1337" s="17" t="s">
        <v>41</v>
      </c>
      <c r="AC1337" s="0" t="str">
        <f aca="false">LEFT(G1337,2)</f>
        <v>13</v>
      </c>
      <c r="AE1337" s="21" t="s">
        <v>238</v>
      </c>
    </row>
    <row r="1338" customFormat="false" ht="15" hidden="false" customHeight="false" outlineLevel="0" collapsed="false">
      <c r="A1338" s="13" t="n">
        <f aca="false">1+A1337</f>
        <v>1336</v>
      </c>
      <c r="B1338" s="14" t="n">
        <v>1009091732</v>
      </c>
      <c r="C1338" s="15" t="s">
        <v>414</v>
      </c>
      <c r="D1338" s="16" t="s">
        <v>64</v>
      </c>
      <c r="E1338" s="17" t="s">
        <v>33</v>
      </c>
      <c r="F1338" s="18" t="s">
        <v>34</v>
      </c>
      <c r="G1338" s="19" t="n">
        <v>134052529721</v>
      </c>
      <c r="H1338" s="17" t="s">
        <v>134</v>
      </c>
      <c r="I1338" s="17" t="s">
        <v>44</v>
      </c>
      <c r="J1338" s="17" t="s">
        <v>106</v>
      </c>
      <c r="K1338" s="17" t="str">
        <f aca="false">VLOOKUP(J1338,Sheet2!A:B,2,0)</f>
        <v>PRAKASH CHAVDA</v>
      </c>
      <c r="L1338" s="17" t="n">
        <v>5</v>
      </c>
      <c r="M1338" s="17" t="str">
        <f aca="false">VLOOKUP(L1338,Sheet2!D:E,2,0)</f>
        <v>Main Processor CPU BGA</v>
      </c>
      <c r="N1338" s="17" t="n">
        <v>3</v>
      </c>
      <c r="O1338" s="17" t="str">
        <f aca="false">VLOOKUP(N1338,Sheet2!G:H,2,0)</f>
        <v>Blue/Black /Blank Screen</v>
      </c>
      <c r="P1338" s="17" t="n">
        <v>12</v>
      </c>
      <c r="Q1338" s="17" t="str">
        <f aca="false">VLOOKUP(P1338,Sheet2!J:K,2,0)</f>
        <v>IR Declared due to Others ( IR Normal)TB</v>
      </c>
      <c r="R1338" s="17" t="s">
        <v>35</v>
      </c>
      <c r="S1338" s="17" t="str">
        <f aca="false">VLOOKUP(R1338,Sheet2!N:O,2,0)</f>
        <v>IREPARABLE</v>
      </c>
      <c r="T1338" s="18" t="str">
        <f aca="false">VLOOKUP(P1338,Sheet2!Q:R,2,0)</f>
        <v>IR Normal - BER to IR</v>
      </c>
      <c r="U1338" s="20" t="s">
        <v>135</v>
      </c>
      <c r="V1338" s="17" t="n">
        <v>12</v>
      </c>
      <c r="W1338" s="20" t="str">
        <f aca="false">VLOOKUP(V1338,Sheet2!Q:R,2,0)</f>
        <v>IR Normal - BER to IR</v>
      </c>
      <c r="X1338" s="17" t="str">
        <f aca="false">J1338</f>
        <v>A018</v>
      </c>
      <c r="Y1338" s="17" t="str">
        <f aca="false">VLOOKUP(X1338,Sheet2!A:B,2,0)</f>
        <v>PRAKASH CHAVDA</v>
      </c>
      <c r="Z1338" s="17" t="s">
        <v>136</v>
      </c>
      <c r="AA1338" s="17" t="s">
        <v>642</v>
      </c>
      <c r="AB1338" s="17" t="s">
        <v>41</v>
      </c>
      <c r="AC1338" s="0" t="str">
        <f aca="false">LEFT(G1338,2)</f>
        <v>13</v>
      </c>
      <c r="AE1338" s="21" t="s">
        <v>238</v>
      </c>
    </row>
    <row r="1339" customFormat="false" ht="15" hidden="false" customHeight="false" outlineLevel="0" collapsed="false">
      <c r="A1339" s="13" t="n">
        <f aca="false">1+A1338</f>
        <v>1337</v>
      </c>
      <c r="B1339" s="14" t="n">
        <v>1009616853</v>
      </c>
      <c r="C1339" s="15" t="s">
        <v>184</v>
      </c>
      <c r="D1339" s="16" t="s">
        <v>64</v>
      </c>
      <c r="E1339" s="17" t="s">
        <v>64</v>
      </c>
      <c r="F1339" s="18" t="s">
        <v>34</v>
      </c>
      <c r="G1339" s="19" t="n">
        <v>775313186220</v>
      </c>
      <c r="H1339" s="17" t="s">
        <v>134</v>
      </c>
      <c r="I1339" s="17" t="s">
        <v>69</v>
      </c>
      <c r="J1339" s="17" t="s">
        <v>106</v>
      </c>
      <c r="K1339" s="17" t="str">
        <f aca="false">VLOOKUP(J1339,Sheet2!A:B,2,0)</f>
        <v>PRAKASH CHAVDA</v>
      </c>
      <c r="L1339" s="17" t="n">
        <v>5</v>
      </c>
      <c r="M1339" s="17" t="str">
        <f aca="false">VLOOKUP(L1339,Sheet2!D:E,2,0)</f>
        <v>Main Processor CPU BGA</v>
      </c>
      <c r="N1339" s="17" t="n">
        <v>1</v>
      </c>
      <c r="O1339" s="17" t="str">
        <f aca="false">VLOOKUP(N1339,Sheet2!G:H,2,0)</f>
        <v>Dead</v>
      </c>
      <c r="P1339" s="17" t="n">
        <v>12</v>
      </c>
      <c r="Q1339" s="17" t="str">
        <f aca="false">VLOOKUP(P1339,Sheet2!J:K,2,0)</f>
        <v>IR Declared due to Others ( IR Normal)TB</v>
      </c>
      <c r="R1339" s="17" t="s">
        <v>35</v>
      </c>
      <c r="S1339" s="17" t="str">
        <f aca="false">VLOOKUP(R1339,Sheet2!N:O,2,0)</f>
        <v>IREPARABLE</v>
      </c>
      <c r="T1339" s="18" t="str">
        <f aca="false">VLOOKUP(P1339,Sheet2!Q:R,2,0)</f>
        <v>IR Normal - BER to IR</v>
      </c>
      <c r="U1339" s="20" t="s">
        <v>135</v>
      </c>
      <c r="V1339" s="17" t="n">
        <v>12</v>
      </c>
      <c r="W1339" s="20" t="str">
        <f aca="false">VLOOKUP(V1339,Sheet2!Q:R,2,0)</f>
        <v>IR Normal - BER to IR</v>
      </c>
      <c r="X1339" s="17" t="str">
        <f aca="false">J1339</f>
        <v>A018</v>
      </c>
      <c r="Y1339" s="17" t="str">
        <f aca="false">VLOOKUP(X1339,Sheet2!A:B,2,0)</f>
        <v>PRAKASH CHAVDA</v>
      </c>
      <c r="Z1339" s="17" t="s">
        <v>136</v>
      </c>
      <c r="AA1339" s="17" t="s">
        <v>642</v>
      </c>
      <c r="AB1339" s="17" t="s">
        <v>41</v>
      </c>
      <c r="AC1339" s="0" t="str">
        <f aca="false">LEFT(G1339,2)</f>
        <v>77</v>
      </c>
      <c r="AE1339" s="21" t="s">
        <v>238</v>
      </c>
    </row>
    <row r="1340" customFormat="false" ht="15" hidden="false" customHeight="false" outlineLevel="0" collapsed="false">
      <c r="A1340" s="13" t="n">
        <f aca="false">1+A1339</f>
        <v>1338</v>
      </c>
      <c r="B1340" s="14" t="n">
        <v>1009607317</v>
      </c>
      <c r="C1340" s="15" t="s">
        <v>181</v>
      </c>
      <c r="D1340" s="16" t="s">
        <v>64</v>
      </c>
      <c r="E1340" s="17" t="s">
        <v>64</v>
      </c>
      <c r="F1340" s="18" t="s">
        <v>34</v>
      </c>
      <c r="G1340" s="19" t="n">
        <v>986163174337</v>
      </c>
      <c r="H1340" s="17" t="s">
        <v>649</v>
      </c>
      <c r="I1340" s="17" t="s">
        <v>44</v>
      </c>
      <c r="J1340" s="17" t="s">
        <v>106</v>
      </c>
      <c r="K1340" s="17" t="str">
        <f aca="false">VLOOKUP(J1340,Sheet2!A:B,2,0)</f>
        <v>PRAKASH CHAVDA</v>
      </c>
      <c r="L1340" s="17" t="n">
        <v>5</v>
      </c>
      <c r="M1340" s="17" t="str">
        <f aca="false">VLOOKUP(L1340,Sheet2!D:E,2,0)</f>
        <v>Main Processor CPU BGA</v>
      </c>
      <c r="N1340" s="17" t="n">
        <v>24</v>
      </c>
      <c r="O1340" s="17" t="str">
        <f aca="false">VLOOKUP(N1340,Sheet2!G:H,2,0)</f>
        <v>STB Auto moving -Stand by mode</v>
      </c>
      <c r="P1340" s="17" t="n">
        <v>12</v>
      </c>
      <c r="Q1340" s="17" t="str">
        <f aca="false">VLOOKUP(P1340,Sheet2!J:K,2,0)</f>
        <v>IR Declared due to Others ( IR Normal)TB</v>
      </c>
      <c r="R1340" s="17" t="s">
        <v>35</v>
      </c>
      <c r="S1340" s="17" t="str">
        <f aca="false">VLOOKUP(R1340,Sheet2!N:O,2,0)</f>
        <v>IREPARABLE</v>
      </c>
      <c r="T1340" s="18" t="str">
        <f aca="false">VLOOKUP(P1340,Sheet2!Q:R,2,0)</f>
        <v>IR Normal - BER to IR</v>
      </c>
      <c r="U1340" s="20" t="s">
        <v>135</v>
      </c>
      <c r="V1340" s="17" t="n">
        <v>12</v>
      </c>
      <c r="W1340" s="20" t="str">
        <f aca="false">VLOOKUP(V1340,Sheet2!Q:R,2,0)</f>
        <v>IR Normal - BER to IR</v>
      </c>
      <c r="X1340" s="17" t="str">
        <f aca="false">J1340</f>
        <v>A018</v>
      </c>
      <c r="Y1340" s="17" t="str">
        <f aca="false">VLOOKUP(X1340,Sheet2!A:B,2,0)</f>
        <v>PRAKASH CHAVDA</v>
      </c>
      <c r="Z1340" s="17" t="s">
        <v>141</v>
      </c>
      <c r="AA1340" s="17" t="s">
        <v>642</v>
      </c>
      <c r="AB1340" s="17" t="s">
        <v>41</v>
      </c>
      <c r="AC1340" s="0" t="str">
        <f aca="false">LEFT(G1340,2)</f>
        <v>98</v>
      </c>
      <c r="AE1340" s="21" t="s">
        <v>238</v>
      </c>
    </row>
    <row r="1341" customFormat="false" ht="15" hidden="false" customHeight="false" outlineLevel="0" collapsed="false">
      <c r="A1341" s="13" t="n">
        <f aca="false">1+A1340</f>
        <v>1339</v>
      </c>
      <c r="B1341" s="14" t="n">
        <v>1009617719</v>
      </c>
      <c r="C1341" s="15" t="s">
        <v>184</v>
      </c>
      <c r="D1341" s="16" t="s">
        <v>64</v>
      </c>
      <c r="E1341" s="17" t="s">
        <v>64</v>
      </c>
      <c r="F1341" s="18" t="s">
        <v>34</v>
      </c>
      <c r="G1341" s="19" t="n">
        <v>775241085510</v>
      </c>
      <c r="H1341" s="17" t="s">
        <v>134</v>
      </c>
      <c r="I1341" s="17" t="s">
        <v>69</v>
      </c>
      <c r="J1341" s="17" t="s">
        <v>106</v>
      </c>
      <c r="K1341" s="17" t="str">
        <f aca="false">VLOOKUP(J1341,Sheet2!A:B,2,0)</f>
        <v>PRAKASH CHAVDA</v>
      </c>
      <c r="L1341" s="17" t="n">
        <v>5</v>
      </c>
      <c r="M1341" s="17" t="str">
        <f aca="false">VLOOKUP(L1341,Sheet2!D:E,2,0)</f>
        <v>Main Processor CPU BGA</v>
      </c>
      <c r="N1341" s="17" t="n">
        <v>6</v>
      </c>
      <c r="O1341" s="17" t="str">
        <f aca="false">VLOOKUP(N1341,Sheet2!G:H,2,0)</f>
        <v>No Signal</v>
      </c>
      <c r="P1341" s="17" t="n">
        <v>12</v>
      </c>
      <c r="Q1341" s="17" t="str">
        <f aca="false">VLOOKUP(P1341,Sheet2!J:K,2,0)</f>
        <v>IR Declared due to Others ( IR Normal)TB</v>
      </c>
      <c r="R1341" s="17" t="s">
        <v>35</v>
      </c>
      <c r="S1341" s="17" t="str">
        <f aca="false">VLOOKUP(R1341,Sheet2!N:O,2,0)</f>
        <v>IREPARABLE</v>
      </c>
      <c r="T1341" s="18" t="str">
        <f aca="false">VLOOKUP(P1341,Sheet2!Q:R,2,0)</f>
        <v>IR Normal - BER to IR</v>
      </c>
      <c r="U1341" s="20" t="s">
        <v>135</v>
      </c>
      <c r="V1341" s="17" t="n">
        <v>12</v>
      </c>
      <c r="W1341" s="20" t="str">
        <f aca="false">VLOOKUP(V1341,Sheet2!Q:R,2,0)</f>
        <v>IR Normal - BER to IR</v>
      </c>
      <c r="X1341" s="17" t="str">
        <f aca="false">J1341</f>
        <v>A018</v>
      </c>
      <c r="Y1341" s="17" t="str">
        <f aca="false">VLOOKUP(X1341,Sheet2!A:B,2,0)</f>
        <v>PRAKASH CHAVDA</v>
      </c>
      <c r="Z1341" s="17" t="s">
        <v>136</v>
      </c>
      <c r="AA1341" s="17" t="s">
        <v>642</v>
      </c>
      <c r="AB1341" s="17" t="s">
        <v>41</v>
      </c>
      <c r="AC1341" s="0" t="str">
        <f aca="false">LEFT(G1341,2)</f>
        <v>77</v>
      </c>
      <c r="AE1341" s="21" t="s">
        <v>238</v>
      </c>
    </row>
    <row r="1342" customFormat="false" ht="15" hidden="false" customHeight="false" outlineLevel="0" collapsed="false">
      <c r="A1342" s="13" t="n">
        <f aca="false">1+A1341</f>
        <v>1340</v>
      </c>
      <c r="B1342" s="14" t="n">
        <v>1009686146</v>
      </c>
      <c r="C1342" s="15" t="s">
        <v>449</v>
      </c>
      <c r="D1342" s="16" t="s">
        <v>32</v>
      </c>
      <c r="E1342" s="17" t="s">
        <v>47</v>
      </c>
      <c r="F1342" s="18" t="s">
        <v>34</v>
      </c>
      <c r="G1342" s="19" t="n">
        <v>134119337647</v>
      </c>
      <c r="H1342" s="17" t="s">
        <v>134</v>
      </c>
      <c r="I1342" s="17" t="s">
        <v>44</v>
      </c>
      <c r="J1342" s="17" t="s">
        <v>106</v>
      </c>
      <c r="K1342" s="17" t="str">
        <f aca="false">VLOOKUP(J1342,Sheet2!A:B,2,0)</f>
        <v>PRAKASH CHAVDA</v>
      </c>
      <c r="L1342" s="17" t="n">
        <v>5</v>
      </c>
      <c r="M1342" s="17" t="str">
        <f aca="false">VLOOKUP(L1342,Sheet2!D:E,2,0)</f>
        <v>Main Processor CPU BGA</v>
      </c>
      <c r="N1342" s="17" t="n">
        <v>1</v>
      </c>
      <c r="O1342" s="17" t="str">
        <f aca="false">VLOOKUP(N1342,Sheet2!G:H,2,0)</f>
        <v>Dead</v>
      </c>
      <c r="P1342" s="17" t="n">
        <v>12</v>
      </c>
      <c r="Q1342" s="17" t="str">
        <f aca="false">VLOOKUP(P1342,Sheet2!J:K,2,0)</f>
        <v>IR Declared due to Others ( IR Normal)TB</v>
      </c>
      <c r="R1342" s="17" t="s">
        <v>35</v>
      </c>
      <c r="S1342" s="17" t="str">
        <f aca="false">VLOOKUP(R1342,Sheet2!N:O,2,0)</f>
        <v>IREPARABLE</v>
      </c>
      <c r="T1342" s="18" t="str">
        <f aca="false">VLOOKUP(P1342,Sheet2!Q:R,2,0)</f>
        <v>IR Normal - BER to IR</v>
      </c>
      <c r="U1342" s="20" t="s">
        <v>135</v>
      </c>
      <c r="V1342" s="17" t="n">
        <v>12</v>
      </c>
      <c r="W1342" s="20" t="str">
        <f aca="false">VLOOKUP(V1342,Sheet2!Q:R,2,0)</f>
        <v>IR Normal - BER to IR</v>
      </c>
      <c r="X1342" s="17" t="str">
        <f aca="false">J1342</f>
        <v>A018</v>
      </c>
      <c r="Y1342" s="17" t="str">
        <f aca="false">VLOOKUP(X1342,Sheet2!A:B,2,0)</f>
        <v>PRAKASH CHAVDA</v>
      </c>
      <c r="Z1342" s="17" t="s">
        <v>136</v>
      </c>
      <c r="AA1342" s="17" t="s">
        <v>642</v>
      </c>
      <c r="AB1342" s="17" t="s">
        <v>41</v>
      </c>
      <c r="AC1342" s="0" t="str">
        <f aca="false">LEFT(G1342,2)</f>
        <v>13</v>
      </c>
      <c r="AE1342" s="21" t="s">
        <v>238</v>
      </c>
    </row>
    <row r="1343" customFormat="false" ht="15" hidden="false" customHeight="false" outlineLevel="0" collapsed="false">
      <c r="A1343" s="13" t="n">
        <f aca="false">1+A1342</f>
        <v>1341</v>
      </c>
      <c r="B1343" s="14" t="n">
        <v>1008855281</v>
      </c>
      <c r="C1343" s="15" t="s">
        <v>463</v>
      </c>
      <c r="D1343" s="16" t="s">
        <v>154</v>
      </c>
      <c r="E1343" s="17" t="s">
        <v>255</v>
      </c>
      <c r="F1343" s="18" t="s">
        <v>34</v>
      </c>
      <c r="G1343" s="19" t="n">
        <v>134106465351</v>
      </c>
      <c r="H1343" s="17" t="s">
        <v>134</v>
      </c>
      <c r="I1343" s="17" t="s">
        <v>44</v>
      </c>
      <c r="J1343" s="17" t="s">
        <v>106</v>
      </c>
      <c r="K1343" s="17" t="str">
        <f aca="false">VLOOKUP(J1343,Sheet2!A:B,2,0)</f>
        <v>PRAKASH CHAVDA</v>
      </c>
      <c r="L1343" s="17" t="n">
        <v>5</v>
      </c>
      <c r="M1343" s="17" t="str">
        <f aca="false">VLOOKUP(L1343,Sheet2!D:E,2,0)</f>
        <v>Main Processor CPU BGA</v>
      </c>
      <c r="N1343" s="17" t="n">
        <v>24</v>
      </c>
      <c r="O1343" s="17" t="str">
        <f aca="false">VLOOKUP(N1343,Sheet2!G:H,2,0)</f>
        <v>STB Auto moving -Stand by mode</v>
      </c>
      <c r="P1343" s="17" t="n">
        <v>12</v>
      </c>
      <c r="Q1343" s="17" t="str">
        <f aca="false">VLOOKUP(P1343,Sheet2!J:K,2,0)</f>
        <v>IR Declared due to Others ( IR Normal)TB</v>
      </c>
      <c r="R1343" s="17" t="s">
        <v>35</v>
      </c>
      <c r="S1343" s="17" t="str">
        <f aca="false">VLOOKUP(R1343,Sheet2!N:O,2,0)</f>
        <v>IREPARABLE</v>
      </c>
      <c r="T1343" s="18" t="str">
        <f aca="false">VLOOKUP(P1343,Sheet2!Q:R,2,0)</f>
        <v>IR Normal - BER to IR</v>
      </c>
      <c r="U1343" s="20" t="s">
        <v>135</v>
      </c>
      <c r="V1343" s="17" t="n">
        <v>12</v>
      </c>
      <c r="W1343" s="20" t="str">
        <f aca="false">VLOOKUP(V1343,Sheet2!Q:R,2,0)</f>
        <v>IR Normal - BER to IR</v>
      </c>
      <c r="X1343" s="17" t="str">
        <f aca="false">J1343</f>
        <v>A018</v>
      </c>
      <c r="Y1343" s="17" t="str">
        <f aca="false">VLOOKUP(X1343,Sheet2!A:B,2,0)</f>
        <v>PRAKASH CHAVDA</v>
      </c>
      <c r="Z1343" s="17" t="s">
        <v>136</v>
      </c>
      <c r="AA1343" s="17" t="s">
        <v>642</v>
      </c>
      <c r="AB1343" s="17" t="s">
        <v>41</v>
      </c>
      <c r="AC1343" s="0" t="str">
        <f aca="false">LEFT(G1343,2)</f>
        <v>13</v>
      </c>
      <c r="AE1343" s="21" t="s">
        <v>238</v>
      </c>
    </row>
    <row r="1344" customFormat="false" ht="15" hidden="false" customHeight="false" outlineLevel="0" collapsed="false">
      <c r="A1344" s="13" t="n">
        <f aca="false">1+A1343</f>
        <v>1342</v>
      </c>
      <c r="B1344" s="14" t="n">
        <v>1009684739</v>
      </c>
      <c r="C1344" s="15" t="s">
        <v>449</v>
      </c>
      <c r="D1344" s="16" t="s">
        <v>137</v>
      </c>
      <c r="E1344" s="17" t="s">
        <v>47</v>
      </c>
      <c r="F1344" s="18" t="s">
        <v>34</v>
      </c>
      <c r="G1344" s="19" t="n">
        <v>954133145654</v>
      </c>
      <c r="H1344" s="17" t="s">
        <v>134</v>
      </c>
      <c r="I1344" s="17" t="s">
        <v>44</v>
      </c>
      <c r="J1344" s="17" t="s">
        <v>106</v>
      </c>
      <c r="K1344" s="17" t="str">
        <f aca="false">VLOOKUP(J1344,Sheet2!A:B,2,0)</f>
        <v>PRAKASH CHAVDA</v>
      </c>
      <c r="L1344" s="17" t="n">
        <v>5</v>
      </c>
      <c r="M1344" s="17" t="str">
        <f aca="false">VLOOKUP(L1344,Sheet2!D:E,2,0)</f>
        <v>Main Processor CPU BGA</v>
      </c>
      <c r="N1344" s="17" t="n">
        <v>1</v>
      </c>
      <c r="O1344" s="17" t="str">
        <f aca="false">VLOOKUP(N1344,Sheet2!G:H,2,0)</f>
        <v>Dead</v>
      </c>
      <c r="P1344" s="17" t="n">
        <v>12</v>
      </c>
      <c r="Q1344" s="17" t="str">
        <f aca="false">VLOOKUP(P1344,Sheet2!J:K,2,0)</f>
        <v>IR Declared due to Others ( IR Normal)TB</v>
      </c>
      <c r="R1344" s="17" t="s">
        <v>35</v>
      </c>
      <c r="S1344" s="17" t="str">
        <f aca="false">VLOOKUP(R1344,Sheet2!N:O,2,0)</f>
        <v>IREPARABLE</v>
      </c>
      <c r="T1344" s="18" t="str">
        <f aca="false">VLOOKUP(P1344,Sheet2!Q:R,2,0)</f>
        <v>IR Normal - BER to IR</v>
      </c>
      <c r="U1344" s="20" t="s">
        <v>135</v>
      </c>
      <c r="V1344" s="17" t="n">
        <v>12</v>
      </c>
      <c r="W1344" s="20" t="str">
        <f aca="false">VLOOKUP(V1344,Sheet2!Q:R,2,0)</f>
        <v>IR Normal - BER to IR</v>
      </c>
      <c r="X1344" s="17" t="str">
        <f aca="false">J1344</f>
        <v>A018</v>
      </c>
      <c r="Y1344" s="17" t="str">
        <f aca="false">VLOOKUP(X1344,Sheet2!A:B,2,0)</f>
        <v>PRAKASH CHAVDA</v>
      </c>
      <c r="Z1344" s="17" t="s">
        <v>150</v>
      </c>
      <c r="AA1344" s="17" t="s">
        <v>642</v>
      </c>
      <c r="AB1344" s="17" t="s">
        <v>41</v>
      </c>
      <c r="AC1344" s="0" t="str">
        <f aca="false">LEFT(G1344,2)</f>
        <v>95</v>
      </c>
      <c r="AE1344" s="21" t="s">
        <v>238</v>
      </c>
    </row>
    <row r="1345" customFormat="false" ht="15" hidden="false" customHeight="false" outlineLevel="0" collapsed="false">
      <c r="A1345" s="13" t="n">
        <f aca="false">1+A1344</f>
        <v>1343</v>
      </c>
      <c r="B1345" s="14" t="n">
        <v>1009533729</v>
      </c>
      <c r="C1345" s="15" t="s">
        <v>174</v>
      </c>
      <c r="D1345" s="16" t="s">
        <v>64</v>
      </c>
      <c r="E1345" s="17" t="s">
        <v>64</v>
      </c>
      <c r="F1345" s="18" t="s">
        <v>34</v>
      </c>
      <c r="G1345" s="19" t="n">
        <v>987235241724</v>
      </c>
      <c r="H1345" s="17" t="s">
        <v>134</v>
      </c>
      <c r="I1345" s="17" t="s">
        <v>44</v>
      </c>
      <c r="J1345" s="17" t="s">
        <v>106</v>
      </c>
      <c r="K1345" s="17" t="str">
        <f aca="false">VLOOKUP(J1345,Sheet2!A:B,2,0)</f>
        <v>PRAKASH CHAVDA</v>
      </c>
      <c r="L1345" s="17" t="n">
        <v>5</v>
      </c>
      <c r="M1345" s="17" t="str">
        <f aca="false">VLOOKUP(L1345,Sheet2!D:E,2,0)</f>
        <v>Main Processor CPU BGA</v>
      </c>
      <c r="N1345" s="17" t="n">
        <v>1</v>
      </c>
      <c r="O1345" s="17" t="str">
        <f aca="false">VLOOKUP(N1345,Sheet2!G:H,2,0)</f>
        <v>Dead</v>
      </c>
      <c r="P1345" s="17" t="n">
        <v>12</v>
      </c>
      <c r="Q1345" s="17" t="str">
        <f aca="false">VLOOKUP(P1345,Sheet2!J:K,2,0)</f>
        <v>IR Declared due to Others ( IR Normal)TB</v>
      </c>
      <c r="R1345" s="17" t="s">
        <v>35</v>
      </c>
      <c r="S1345" s="17" t="str">
        <f aca="false">VLOOKUP(R1345,Sheet2!N:O,2,0)</f>
        <v>IREPARABLE</v>
      </c>
      <c r="T1345" s="18" t="str">
        <f aca="false">VLOOKUP(P1345,Sheet2!Q:R,2,0)</f>
        <v>IR Normal - BER to IR</v>
      </c>
      <c r="U1345" s="20" t="s">
        <v>135</v>
      </c>
      <c r="V1345" s="17" t="n">
        <v>12</v>
      </c>
      <c r="W1345" s="20" t="str">
        <f aca="false">VLOOKUP(V1345,Sheet2!Q:R,2,0)</f>
        <v>IR Normal - BER to IR</v>
      </c>
      <c r="X1345" s="17" t="str">
        <f aca="false">J1345</f>
        <v>A018</v>
      </c>
      <c r="Y1345" s="17" t="str">
        <f aca="false">VLOOKUP(X1345,Sheet2!A:B,2,0)</f>
        <v>PRAKASH CHAVDA</v>
      </c>
      <c r="Z1345" s="17" t="s">
        <v>141</v>
      </c>
      <c r="AA1345" s="17" t="s">
        <v>642</v>
      </c>
      <c r="AB1345" s="17" t="s">
        <v>41</v>
      </c>
      <c r="AC1345" s="0" t="str">
        <f aca="false">LEFT(G1345,2)</f>
        <v>98</v>
      </c>
      <c r="AE1345" s="21" t="s">
        <v>238</v>
      </c>
    </row>
    <row r="1346" customFormat="false" ht="15" hidden="false" customHeight="false" outlineLevel="0" collapsed="false">
      <c r="A1346" s="13" t="n">
        <f aca="false">1+A1345</f>
        <v>1344</v>
      </c>
      <c r="B1346" s="14" t="n">
        <v>1009505884</v>
      </c>
      <c r="C1346" s="15" t="s">
        <v>181</v>
      </c>
      <c r="D1346" s="16" t="s">
        <v>64</v>
      </c>
      <c r="E1346" s="17" t="s">
        <v>64</v>
      </c>
      <c r="F1346" s="18" t="s">
        <v>34</v>
      </c>
      <c r="G1346" s="19" t="n">
        <v>867254195363</v>
      </c>
      <c r="H1346" s="17" t="s">
        <v>35</v>
      </c>
      <c r="I1346" s="17" t="s">
        <v>72</v>
      </c>
      <c r="J1346" s="17" t="s">
        <v>239</v>
      </c>
      <c r="K1346" s="17" t="str">
        <f aca="false">VLOOKUP(J1346,Sheet2!A:B,2,0)</f>
        <v>VASANT PARMAR</v>
      </c>
      <c r="L1346" s="17" t="n">
        <v>5</v>
      </c>
      <c r="M1346" s="17" t="str">
        <f aca="false">VLOOKUP(L1346,Sheet2!D:E,2,0)</f>
        <v>Main Processor CPU BGA</v>
      </c>
      <c r="N1346" s="17" t="n">
        <v>1</v>
      </c>
      <c r="O1346" s="17" t="str">
        <f aca="false">VLOOKUP(N1346,Sheet2!G:H,2,0)</f>
        <v>Dead</v>
      </c>
      <c r="P1346" s="17" t="n">
        <v>11</v>
      </c>
      <c r="Q1346" s="17" t="str">
        <f aca="false">VLOOKUP(P1346,Sheet2!J:K,2,0)</f>
        <v>IR Declared due to CID -TA</v>
      </c>
      <c r="R1346" s="17" t="s">
        <v>35</v>
      </c>
      <c r="S1346" s="17" t="str">
        <f aca="false">VLOOKUP(R1346,Sheet2!N:O,2,0)</f>
        <v>IREPARABLE</v>
      </c>
      <c r="T1346" s="18" t="str">
        <f aca="false">VLOOKUP(P1346,Sheet2!Q:R,2,0)</f>
        <v>IR Normal - Track burn out</v>
      </c>
      <c r="U1346" s="18" t="s">
        <v>122</v>
      </c>
      <c r="V1346" s="17" t="n">
        <v>2</v>
      </c>
      <c r="W1346" s="20" t="str">
        <f aca="false">VLOOKUP(V1346,Sheet2!Q:R,2,0)</f>
        <v>IR CID -  Water log from other area</v>
      </c>
      <c r="X1346" s="17" t="str">
        <f aca="false">J1346</f>
        <v>A005</v>
      </c>
      <c r="Y1346" s="17" t="str">
        <f aca="false">VLOOKUP(X1346,Sheet2!A:B,2,0)</f>
        <v>VASANT PARMAR</v>
      </c>
      <c r="Z1346" s="17" t="s">
        <v>222</v>
      </c>
      <c r="AA1346" s="17" t="s">
        <v>642</v>
      </c>
      <c r="AB1346" s="17" t="s">
        <v>41</v>
      </c>
      <c r="AC1346" s="0" t="str">
        <f aca="false">LEFT(G1346,2)</f>
        <v>86</v>
      </c>
      <c r="AE1346" s="21" t="s">
        <v>238</v>
      </c>
    </row>
    <row r="1347" customFormat="false" ht="15" hidden="false" customHeight="false" outlineLevel="0" collapsed="false">
      <c r="A1347" s="13" t="n">
        <f aca="false">1+A1346</f>
        <v>1345</v>
      </c>
      <c r="B1347" s="14" t="n">
        <v>1009682839</v>
      </c>
      <c r="C1347" s="15" t="s">
        <v>413</v>
      </c>
      <c r="D1347" s="16" t="s">
        <v>64</v>
      </c>
      <c r="E1347" s="17" t="s">
        <v>64</v>
      </c>
      <c r="F1347" s="18" t="s">
        <v>34</v>
      </c>
      <c r="G1347" s="19" t="n">
        <v>651113008296</v>
      </c>
      <c r="H1347" s="17" t="s">
        <v>134</v>
      </c>
      <c r="I1347" s="17" t="s">
        <v>50</v>
      </c>
      <c r="J1347" s="17" t="s">
        <v>106</v>
      </c>
      <c r="K1347" s="17" t="str">
        <f aca="false">VLOOKUP(J1347,Sheet2!A:B,2,0)</f>
        <v>PRAKASH CHAVDA</v>
      </c>
      <c r="L1347" s="17" t="n">
        <v>5</v>
      </c>
      <c r="M1347" s="17" t="str">
        <f aca="false">VLOOKUP(L1347,Sheet2!D:E,2,0)</f>
        <v>Main Processor CPU BGA</v>
      </c>
      <c r="N1347" s="17" t="n">
        <v>1</v>
      </c>
      <c r="O1347" s="17" t="str">
        <f aca="false">VLOOKUP(N1347,Sheet2!G:H,2,0)</f>
        <v>Dead</v>
      </c>
      <c r="P1347" s="17" t="n">
        <v>12</v>
      </c>
      <c r="Q1347" s="17" t="str">
        <f aca="false">VLOOKUP(P1347,Sheet2!J:K,2,0)</f>
        <v>IR Declared due to Others ( IR Normal)TB</v>
      </c>
      <c r="R1347" s="17" t="s">
        <v>35</v>
      </c>
      <c r="S1347" s="17" t="str">
        <f aca="false">VLOOKUP(R1347,Sheet2!N:O,2,0)</f>
        <v>IREPARABLE</v>
      </c>
      <c r="T1347" s="18" t="str">
        <f aca="false">VLOOKUP(P1347,Sheet2!Q:R,2,0)</f>
        <v>IR Normal - BER to IR</v>
      </c>
      <c r="U1347" s="20" t="s">
        <v>135</v>
      </c>
      <c r="V1347" s="17" t="n">
        <v>12</v>
      </c>
      <c r="W1347" s="20" t="str">
        <f aca="false">VLOOKUP(V1347,Sheet2!Q:R,2,0)</f>
        <v>IR Normal - BER to IR</v>
      </c>
      <c r="X1347" s="17" t="str">
        <f aca="false">J1347</f>
        <v>A018</v>
      </c>
      <c r="Y1347" s="17" t="str">
        <f aca="false">VLOOKUP(X1347,Sheet2!A:B,2,0)</f>
        <v>PRAKASH CHAVDA</v>
      </c>
      <c r="Z1347" s="17" t="s">
        <v>149</v>
      </c>
      <c r="AA1347" s="17" t="s">
        <v>642</v>
      </c>
      <c r="AB1347" s="17" t="s">
        <v>41</v>
      </c>
      <c r="AC1347" s="0" t="str">
        <f aca="false">LEFT(G1347,2)</f>
        <v>65</v>
      </c>
      <c r="AE1347" s="21" t="s">
        <v>238</v>
      </c>
    </row>
    <row r="1348" customFormat="false" ht="15" hidden="false" customHeight="false" outlineLevel="0" collapsed="false">
      <c r="A1348" s="13" t="n">
        <f aca="false">1+A1347</f>
        <v>1346</v>
      </c>
      <c r="B1348" s="14" t="n">
        <v>1009541851</v>
      </c>
      <c r="C1348" s="15" t="s">
        <v>126</v>
      </c>
      <c r="D1348" s="16" t="s">
        <v>64</v>
      </c>
      <c r="E1348" s="17" t="s">
        <v>380</v>
      </c>
      <c r="F1348" s="18" t="s">
        <v>34</v>
      </c>
      <c r="G1348" s="19" t="n">
        <v>651070005863</v>
      </c>
      <c r="H1348" s="17" t="s">
        <v>134</v>
      </c>
      <c r="I1348" s="17" t="s">
        <v>50</v>
      </c>
      <c r="J1348" s="17" t="s">
        <v>106</v>
      </c>
      <c r="K1348" s="17" t="str">
        <f aca="false">VLOOKUP(J1348,Sheet2!A:B,2,0)</f>
        <v>PRAKASH CHAVDA</v>
      </c>
      <c r="L1348" s="17" t="n">
        <v>5</v>
      </c>
      <c r="M1348" s="17" t="str">
        <f aca="false">VLOOKUP(L1348,Sheet2!D:E,2,0)</f>
        <v>Main Processor CPU BGA</v>
      </c>
      <c r="N1348" s="17" t="n">
        <v>19</v>
      </c>
      <c r="O1348" s="17" t="str">
        <f aca="false">VLOOKUP(N1348,Sheet2!G:H,2,0)</f>
        <v>No Video - Intermittent</v>
      </c>
      <c r="P1348" s="17" t="n">
        <v>12</v>
      </c>
      <c r="Q1348" s="17" t="str">
        <f aca="false">VLOOKUP(P1348,Sheet2!J:K,2,0)</f>
        <v>IR Declared due to Others ( IR Normal)TB</v>
      </c>
      <c r="R1348" s="17" t="s">
        <v>35</v>
      </c>
      <c r="S1348" s="17" t="str">
        <f aca="false">VLOOKUP(R1348,Sheet2!N:O,2,0)</f>
        <v>IREPARABLE</v>
      </c>
      <c r="T1348" s="18" t="str">
        <f aca="false">VLOOKUP(P1348,Sheet2!Q:R,2,0)</f>
        <v>IR Normal - BER to IR</v>
      </c>
      <c r="U1348" s="20" t="s">
        <v>135</v>
      </c>
      <c r="V1348" s="17" t="n">
        <v>12</v>
      </c>
      <c r="W1348" s="20" t="str">
        <f aca="false">VLOOKUP(V1348,Sheet2!Q:R,2,0)</f>
        <v>IR Normal - BER to IR</v>
      </c>
      <c r="X1348" s="17" t="str">
        <f aca="false">J1348</f>
        <v>A018</v>
      </c>
      <c r="Y1348" s="17" t="str">
        <f aca="false">VLOOKUP(X1348,Sheet2!A:B,2,0)</f>
        <v>PRAKASH CHAVDA</v>
      </c>
      <c r="Z1348" s="17" t="s">
        <v>149</v>
      </c>
      <c r="AA1348" s="17" t="s">
        <v>642</v>
      </c>
      <c r="AB1348" s="17" t="s">
        <v>41</v>
      </c>
      <c r="AC1348" s="0" t="str">
        <f aca="false">LEFT(G1348,2)</f>
        <v>65</v>
      </c>
      <c r="AE1348" s="21" t="s">
        <v>238</v>
      </c>
    </row>
    <row r="1349" customFormat="false" ht="15" hidden="false" customHeight="false" outlineLevel="0" collapsed="false">
      <c r="A1349" s="13" t="n">
        <f aca="false">1+A1348</f>
        <v>1347</v>
      </c>
      <c r="B1349" s="14" t="n">
        <v>1009684509</v>
      </c>
      <c r="C1349" s="15" t="s">
        <v>413</v>
      </c>
      <c r="D1349" s="16" t="s">
        <v>64</v>
      </c>
      <c r="E1349" s="17" t="s">
        <v>64</v>
      </c>
      <c r="F1349" s="18" t="s">
        <v>34</v>
      </c>
      <c r="G1349" s="19" t="n">
        <v>651163005028</v>
      </c>
      <c r="H1349" s="17" t="s">
        <v>134</v>
      </c>
      <c r="I1349" s="17" t="s">
        <v>50</v>
      </c>
      <c r="J1349" s="17" t="s">
        <v>106</v>
      </c>
      <c r="K1349" s="17" t="str">
        <f aca="false">VLOOKUP(J1349,Sheet2!A:B,2,0)</f>
        <v>PRAKASH CHAVDA</v>
      </c>
      <c r="L1349" s="17" t="n">
        <v>5</v>
      </c>
      <c r="M1349" s="17" t="str">
        <f aca="false">VLOOKUP(L1349,Sheet2!D:E,2,0)</f>
        <v>Main Processor CPU BGA</v>
      </c>
      <c r="N1349" s="17" t="n">
        <v>16</v>
      </c>
      <c r="O1349" s="17" t="str">
        <f aca="false">VLOOKUP(N1349,Sheet2!G:H,2,0)</f>
        <v>No Video - HDMI</v>
      </c>
      <c r="P1349" s="17" t="n">
        <v>12</v>
      </c>
      <c r="Q1349" s="17" t="str">
        <f aca="false">VLOOKUP(P1349,Sheet2!J:K,2,0)</f>
        <v>IR Declared due to Others ( IR Normal)TB</v>
      </c>
      <c r="R1349" s="17" t="s">
        <v>35</v>
      </c>
      <c r="S1349" s="17" t="str">
        <f aca="false">VLOOKUP(R1349,Sheet2!N:O,2,0)</f>
        <v>IREPARABLE</v>
      </c>
      <c r="T1349" s="18" t="str">
        <f aca="false">VLOOKUP(P1349,Sheet2!Q:R,2,0)</f>
        <v>IR Normal - BER to IR</v>
      </c>
      <c r="U1349" s="20" t="s">
        <v>135</v>
      </c>
      <c r="V1349" s="17" t="n">
        <v>12</v>
      </c>
      <c r="W1349" s="20" t="str">
        <f aca="false">VLOOKUP(V1349,Sheet2!Q:R,2,0)</f>
        <v>IR Normal - BER to IR</v>
      </c>
      <c r="X1349" s="17" t="str">
        <f aca="false">J1349</f>
        <v>A018</v>
      </c>
      <c r="Y1349" s="17" t="str">
        <f aca="false">VLOOKUP(X1349,Sheet2!A:B,2,0)</f>
        <v>PRAKASH CHAVDA</v>
      </c>
      <c r="Z1349" s="17" t="s">
        <v>149</v>
      </c>
      <c r="AA1349" s="17" t="s">
        <v>642</v>
      </c>
      <c r="AB1349" s="17" t="s">
        <v>41</v>
      </c>
      <c r="AC1349" s="0" t="str">
        <f aca="false">LEFT(G1349,2)</f>
        <v>65</v>
      </c>
      <c r="AE1349" s="21" t="s">
        <v>238</v>
      </c>
    </row>
    <row r="1350" customFormat="false" ht="15" hidden="false" customHeight="false" outlineLevel="0" collapsed="false">
      <c r="A1350" s="13" t="n">
        <f aca="false">1+A1349</f>
        <v>1348</v>
      </c>
      <c r="B1350" s="14" t="n">
        <v>1009688783</v>
      </c>
      <c r="C1350" s="15" t="s">
        <v>449</v>
      </c>
      <c r="D1350" s="16" t="s">
        <v>131</v>
      </c>
      <c r="E1350" s="17" t="s">
        <v>503</v>
      </c>
      <c r="F1350" s="18" t="s">
        <v>34</v>
      </c>
      <c r="G1350" s="19" t="n">
        <v>651308008838</v>
      </c>
      <c r="H1350" s="17" t="s">
        <v>134</v>
      </c>
      <c r="I1350" s="17" t="s">
        <v>50</v>
      </c>
      <c r="J1350" s="17" t="s">
        <v>106</v>
      </c>
      <c r="K1350" s="17" t="str">
        <f aca="false">VLOOKUP(J1350,Sheet2!A:B,2,0)</f>
        <v>PRAKASH CHAVDA</v>
      </c>
      <c r="L1350" s="17" t="n">
        <v>5</v>
      </c>
      <c r="M1350" s="17" t="str">
        <f aca="false">VLOOKUP(L1350,Sheet2!D:E,2,0)</f>
        <v>Main Processor CPU BGA</v>
      </c>
      <c r="N1350" s="17" t="n">
        <v>1</v>
      </c>
      <c r="O1350" s="17" t="str">
        <f aca="false">VLOOKUP(N1350,Sheet2!G:H,2,0)</f>
        <v>Dead</v>
      </c>
      <c r="P1350" s="17" t="n">
        <v>12</v>
      </c>
      <c r="Q1350" s="17" t="str">
        <f aca="false">VLOOKUP(P1350,Sheet2!J:K,2,0)</f>
        <v>IR Declared due to Others ( IR Normal)TB</v>
      </c>
      <c r="R1350" s="17" t="s">
        <v>35</v>
      </c>
      <c r="S1350" s="17" t="str">
        <f aca="false">VLOOKUP(R1350,Sheet2!N:O,2,0)</f>
        <v>IREPARABLE</v>
      </c>
      <c r="T1350" s="18" t="str">
        <f aca="false">VLOOKUP(P1350,Sheet2!Q:R,2,0)</f>
        <v>IR Normal - BER to IR</v>
      </c>
      <c r="U1350" s="20" t="s">
        <v>135</v>
      </c>
      <c r="V1350" s="17" t="n">
        <v>12</v>
      </c>
      <c r="W1350" s="20" t="str">
        <f aca="false">VLOOKUP(V1350,Sheet2!Q:R,2,0)</f>
        <v>IR Normal - BER to IR</v>
      </c>
      <c r="X1350" s="17" t="str">
        <f aca="false">J1350</f>
        <v>A018</v>
      </c>
      <c r="Y1350" s="17" t="str">
        <f aca="false">VLOOKUP(X1350,Sheet2!A:B,2,0)</f>
        <v>PRAKASH CHAVDA</v>
      </c>
      <c r="Z1350" s="17" t="s">
        <v>149</v>
      </c>
      <c r="AA1350" s="17" t="s">
        <v>642</v>
      </c>
      <c r="AB1350" s="17" t="s">
        <v>41</v>
      </c>
      <c r="AC1350" s="0" t="str">
        <f aca="false">LEFT(G1350,2)</f>
        <v>65</v>
      </c>
      <c r="AE1350" s="21" t="s">
        <v>238</v>
      </c>
    </row>
    <row r="1351" customFormat="false" ht="15" hidden="false" customHeight="false" outlineLevel="0" collapsed="false">
      <c r="A1351" s="13" t="n">
        <f aca="false">1+A1350</f>
        <v>1349</v>
      </c>
      <c r="B1351" s="14" t="n">
        <v>1007403996</v>
      </c>
      <c r="C1351" s="15" t="s">
        <v>661</v>
      </c>
      <c r="D1351" s="16" t="s">
        <v>131</v>
      </c>
      <c r="E1351" s="17" t="s">
        <v>503</v>
      </c>
      <c r="F1351" s="18" t="s">
        <v>34</v>
      </c>
      <c r="G1351" s="19" t="n">
        <v>651293001459</v>
      </c>
      <c r="H1351" s="17" t="s">
        <v>134</v>
      </c>
      <c r="I1351" s="17" t="s">
        <v>50</v>
      </c>
      <c r="J1351" s="17" t="s">
        <v>106</v>
      </c>
      <c r="K1351" s="17" t="str">
        <f aca="false">VLOOKUP(J1351,Sheet2!A:B,2,0)</f>
        <v>PRAKASH CHAVDA</v>
      </c>
      <c r="L1351" s="17" t="n">
        <v>5</v>
      </c>
      <c r="M1351" s="17" t="str">
        <f aca="false">VLOOKUP(L1351,Sheet2!D:E,2,0)</f>
        <v>Main Processor CPU BGA</v>
      </c>
      <c r="N1351" s="17" t="n">
        <v>28</v>
      </c>
      <c r="O1351" s="17" t="str">
        <f aca="false">VLOOKUP(N1351,Sheet2!G:H,2,0)</f>
        <v>Hang and Freeze video - AV</v>
      </c>
      <c r="P1351" s="17" t="n">
        <v>12</v>
      </c>
      <c r="Q1351" s="17" t="str">
        <f aca="false">VLOOKUP(P1351,Sheet2!J:K,2,0)</f>
        <v>IR Declared due to Others ( IR Normal)TB</v>
      </c>
      <c r="R1351" s="17" t="s">
        <v>35</v>
      </c>
      <c r="S1351" s="17" t="str">
        <f aca="false">VLOOKUP(R1351,Sheet2!N:O,2,0)</f>
        <v>IREPARABLE</v>
      </c>
      <c r="T1351" s="18" t="str">
        <f aca="false">VLOOKUP(P1351,Sheet2!Q:R,2,0)</f>
        <v>IR Normal - BER to IR</v>
      </c>
      <c r="U1351" s="20" t="s">
        <v>135</v>
      </c>
      <c r="V1351" s="17" t="n">
        <v>12</v>
      </c>
      <c r="W1351" s="20" t="str">
        <f aca="false">VLOOKUP(V1351,Sheet2!Q:R,2,0)</f>
        <v>IR Normal - BER to IR</v>
      </c>
      <c r="X1351" s="17" t="str">
        <f aca="false">J1351</f>
        <v>A018</v>
      </c>
      <c r="Y1351" s="17" t="str">
        <f aca="false">VLOOKUP(X1351,Sheet2!A:B,2,0)</f>
        <v>PRAKASH CHAVDA</v>
      </c>
      <c r="Z1351" s="17" t="s">
        <v>149</v>
      </c>
      <c r="AA1351" s="17" t="s">
        <v>642</v>
      </c>
      <c r="AB1351" s="17" t="s">
        <v>41</v>
      </c>
      <c r="AC1351" s="0" t="str">
        <f aca="false">LEFT(G1351,2)</f>
        <v>65</v>
      </c>
      <c r="AE1351" s="21" t="s">
        <v>238</v>
      </c>
    </row>
    <row r="1352" customFormat="false" ht="15" hidden="false" customHeight="false" outlineLevel="0" collapsed="false">
      <c r="A1352" s="13" t="n">
        <f aca="false">1+A1351</f>
        <v>1350</v>
      </c>
      <c r="B1352" s="14" t="n">
        <v>1007321102</v>
      </c>
      <c r="C1352" s="15" t="s">
        <v>662</v>
      </c>
      <c r="D1352" s="16" t="s">
        <v>195</v>
      </c>
      <c r="E1352" s="17" t="s">
        <v>114</v>
      </c>
      <c r="F1352" s="18" t="s">
        <v>34</v>
      </c>
      <c r="G1352" s="19" t="n">
        <v>651153005657</v>
      </c>
      <c r="H1352" s="17" t="s">
        <v>134</v>
      </c>
      <c r="I1352" s="17" t="s">
        <v>50</v>
      </c>
      <c r="J1352" s="17" t="s">
        <v>106</v>
      </c>
      <c r="K1352" s="17" t="str">
        <f aca="false">VLOOKUP(J1352,Sheet2!A:B,2,0)</f>
        <v>PRAKASH CHAVDA</v>
      </c>
      <c r="L1352" s="17" t="n">
        <v>5</v>
      </c>
      <c r="M1352" s="17" t="str">
        <f aca="false">VLOOKUP(L1352,Sheet2!D:E,2,0)</f>
        <v>Main Processor CPU BGA</v>
      </c>
      <c r="N1352" s="17" t="n">
        <v>1</v>
      </c>
      <c r="O1352" s="17" t="str">
        <f aca="false">VLOOKUP(N1352,Sheet2!G:H,2,0)</f>
        <v>Dead</v>
      </c>
      <c r="P1352" s="17" t="n">
        <v>12</v>
      </c>
      <c r="Q1352" s="17" t="str">
        <f aca="false">VLOOKUP(P1352,Sheet2!J:K,2,0)</f>
        <v>IR Declared due to Others ( IR Normal)TB</v>
      </c>
      <c r="R1352" s="17" t="s">
        <v>35</v>
      </c>
      <c r="S1352" s="17" t="str">
        <f aca="false">VLOOKUP(R1352,Sheet2!N:O,2,0)</f>
        <v>IREPARABLE</v>
      </c>
      <c r="T1352" s="18" t="str">
        <f aca="false">VLOOKUP(P1352,Sheet2!Q:R,2,0)</f>
        <v>IR Normal - BER to IR</v>
      </c>
      <c r="U1352" s="20" t="s">
        <v>135</v>
      </c>
      <c r="V1352" s="17" t="n">
        <v>12</v>
      </c>
      <c r="W1352" s="20" t="str">
        <f aca="false">VLOOKUP(V1352,Sheet2!Q:R,2,0)</f>
        <v>IR Normal - BER to IR</v>
      </c>
      <c r="X1352" s="17" t="str">
        <f aca="false">J1352</f>
        <v>A018</v>
      </c>
      <c r="Y1352" s="17" t="str">
        <f aca="false">VLOOKUP(X1352,Sheet2!A:B,2,0)</f>
        <v>PRAKASH CHAVDA</v>
      </c>
      <c r="Z1352" s="17" t="s">
        <v>149</v>
      </c>
      <c r="AA1352" s="17" t="s">
        <v>642</v>
      </c>
      <c r="AB1352" s="17" t="s">
        <v>41</v>
      </c>
      <c r="AC1352" s="0" t="str">
        <f aca="false">LEFT(G1352,2)</f>
        <v>65</v>
      </c>
      <c r="AE1352" s="21" t="s">
        <v>238</v>
      </c>
    </row>
    <row r="1353" customFormat="false" ht="15" hidden="false" customHeight="false" outlineLevel="0" collapsed="false">
      <c r="A1353" s="13" t="n">
        <f aca="false">1+A1352</f>
        <v>1351</v>
      </c>
      <c r="B1353" s="14" t="n">
        <v>1009688792</v>
      </c>
      <c r="C1353" s="15" t="s">
        <v>449</v>
      </c>
      <c r="D1353" s="16" t="s">
        <v>167</v>
      </c>
      <c r="E1353" s="17" t="s">
        <v>47</v>
      </c>
      <c r="F1353" s="18" t="s">
        <v>34</v>
      </c>
      <c r="G1353" s="19" t="n">
        <v>651090006479</v>
      </c>
      <c r="H1353" s="17" t="s">
        <v>134</v>
      </c>
      <c r="I1353" s="17" t="s">
        <v>50</v>
      </c>
      <c r="J1353" s="17" t="s">
        <v>106</v>
      </c>
      <c r="K1353" s="17" t="str">
        <f aca="false">VLOOKUP(J1353,Sheet2!A:B,2,0)</f>
        <v>PRAKASH CHAVDA</v>
      </c>
      <c r="L1353" s="17" t="n">
        <v>5</v>
      </c>
      <c r="M1353" s="17" t="str">
        <f aca="false">VLOOKUP(L1353,Sheet2!D:E,2,0)</f>
        <v>Main Processor CPU BGA</v>
      </c>
      <c r="N1353" s="17" t="n">
        <v>28</v>
      </c>
      <c r="O1353" s="17" t="str">
        <f aca="false">VLOOKUP(N1353,Sheet2!G:H,2,0)</f>
        <v>Hang and Freeze video - AV</v>
      </c>
      <c r="P1353" s="17" t="n">
        <v>12</v>
      </c>
      <c r="Q1353" s="17" t="str">
        <f aca="false">VLOOKUP(P1353,Sheet2!J:K,2,0)</f>
        <v>IR Declared due to Others ( IR Normal)TB</v>
      </c>
      <c r="R1353" s="17" t="s">
        <v>35</v>
      </c>
      <c r="S1353" s="17" t="str">
        <f aca="false">VLOOKUP(R1353,Sheet2!N:O,2,0)</f>
        <v>IREPARABLE</v>
      </c>
      <c r="T1353" s="18" t="str">
        <f aca="false">VLOOKUP(P1353,Sheet2!Q:R,2,0)</f>
        <v>IR Normal - BER to IR</v>
      </c>
      <c r="U1353" s="20" t="s">
        <v>135</v>
      </c>
      <c r="V1353" s="17" t="n">
        <v>12</v>
      </c>
      <c r="W1353" s="20" t="str">
        <f aca="false">VLOOKUP(V1353,Sheet2!Q:R,2,0)</f>
        <v>IR Normal - BER to IR</v>
      </c>
      <c r="X1353" s="17" t="str">
        <f aca="false">J1353</f>
        <v>A018</v>
      </c>
      <c r="Y1353" s="17" t="str">
        <f aca="false">VLOOKUP(X1353,Sheet2!A:B,2,0)</f>
        <v>PRAKASH CHAVDA</v>
      </c>
      <c r="Z1353" s="17" t="s">
        <v>149</v>
      </c>
      <c r="AA1353" s="17" t="s">
        <v>642</v>
      </c>
      <c r="AB1353" s="17" t="s">
        <v>41</v>
      </c>
      <c r="AC1353" s="0" t="str">
        <f aca="false">LEFT(G1353,2)</f>
        <v>65</v>
      </c>
      <c r="AE1353" s="21" t="s">
        <v>238</v>
      </c>
    </row>
    <row r="1354" customFormat="false" ht="15" hidden="false" customHeight="false" outlineLevel="0" collapsed="false">
      <c r="A1354" s="13" t="n">
        <f aca="false">1+A1353</f>
        <v>1352</v>
      </c>
      <c r="B1354" s="14" t="n">
        <v>1009688793</v>
      </c>
      <c r="C1354" s="15" t="s">
        <v>449</v>
      </c>
      <c r="D1354" s="16" t="s">
        <v>304</v>
      </c>
      <c r="E1354" s="17" t="s">
        <v>114</v>
      </c>
      <c r="F1354" s="18" t="s">
        <v>34</v>
      </c>
      <c r="G1354" s="19" t="n">
        <v>651156029811</v>
      </c>
      <c r="H1354" s="17" t="s">
        <v>134</v>
      </c>
      <c r="I1354" s="17" t="s">
        <v>50</v>
      </c>
      <c r="J1354" s="17" t="s">
        <v>106</v>
      </c>
      <c r="K1354" s="17" t="str">
        <f aca="false">VLOOKUP(J1354,Sheet2!A:B,2,0)</f>
        <v>PRAKASH CHAVDA</v>
      </c>
      <c r="L1354" s="17" t="n">
        <v>5</v>
      </c>
      <c r="M1354" s="17" t="str">
        <f aca="false">VLOOKUP(L1354,Sheet2!D:E,2,0)</f>
        <v>Main Processor CPU BGA</v>
      </c>
      <c r="N1354" s="17" t="n">
        <v>28</v>
      </c>
      <c r="O1354" s="17" t="str">
        <f aca="false">VLOOKUP(N1354,Sheet2!G:H,2,0)</f>
        <v>Hang and Freeze video - AV</v>
      </c>
      <c r="P1354" s="17" t="n">
        <v>12</v>
      </c>
      <c r="Q1354" s="17" t="str">
        <f aca="false">VLOOKUP(P1354,Sheet2!J:K,2,0)</f>
        <v>IR Declared due to Others ( IR Normal)TB</v>
      </c>
      <c r="R1354" s="17" t="s">
        <v>35</v>
      </c>
      <c r="S1354" s="17" t="str">
        <f aca="false">VLOOKUP(R1354,Sheet2!N:O,2,0)</f>
        <v>IREPARABLE</v>
      </c>
      <c r="T1354" s="18" t="str">
        <f aca="false">VLOOKUP(P1354,Sheet2!Q:R,2,0)</f>
        <v>IR Normal - BER to IR</v>
      </c>
      <c r="U1354" s="20" t="s">
        <v>135</v>
      </c>
      <c r="V1354" s="17" t="n">
        <v>12</v>
      </c>
      <c r="W1354" s="20" t="str">
        <f aca="false">VLOOKUP(V1354,Sheet2!Q:R,2,0)</f>
        <v>IR Normal - BER to IR</v>
      </c>
      <c r="X1354" s="17" t="str">
        <f aca="false">J1354</f>
        <v>A018</v>
      </c>
      <c r="Y1354" s="17" t="str">
        <f aca="false">VLOOKUP(X1354,Sheet2!A:B,2,0)</f>
        <v>PRAKASH CHAVDA</v>
      </c>
      <c r="Z1354" s="17" t="s">
        <v>149</v>
      </c>
      <c r="AA1354" s="17" t="s">
        <v>642</v>
      </c>
      <c r="AB1354" s="17" t="s">
        <v>41</v>
      </c>
      <c r="AC1354" s="0" t="str">
        <f aca="false">LEFT(G1354,2)</f>
        <v>65</v>
      </c>
      <c r="AE1354" s="21" t="s">
        <v>238</v>
      </c>
    </row>
    <row r="1355" customFormat="false" ht="15" hidden="false" customHeight="false" outlineLevel="0" collapsed="false">
      <c r="A1355" s="13" t="n">
        <f aca="false">1+A1354</f>
        <v>1353</v>
      </c>
      <c r="B1355" s="14" t="n">
        <v>1009680552</v>
      </c>
      <c r="C1355" s="15" t="s">
        <v>413</v>
      </c>
      <c r="D1355" s="16" t="s">
        <v>64</v>
      </c>
      <c r="E1355" s="17" t="s">
        <v>47</v>
      </c>
      <c r="F1355" s="18" t="s">
        <v>34</v>
      </c>
      <c r="G1355" s="19" t="n">
        <v>774345329981</v>
      </c>
      <c r="H1355" s="17" t="s">
        <v>134</v>
      </c>
      <c r="I1355" s="17" t="s">
        <v>69</v>
      </c>
      <c r="J1355" s="17" t="s">
        <v>106</v>
      </c>
      <c r="K1355" s="17" t="str">
        <f aca="false">VLOOKUP(J1355,Sheet2!A:B,2,0)</f>
        <v>PRAKASH CHAVDA</v>
      </c>
      <c r="L1355" s="17" t="n">
        <v>5</v>
      </c>
      <c r="M1355" s="17" t="str">
        <f aca="false">VLOOKUP(L1355,Sheet2!D:E,2,0)</f>
        <v>Main Processor CPU BGA</v>
      </c>
      <c r="N1355" s="17" t="n">
        <v>24</v>
      </c>
      <c r="O1355" s="17" t="str">
        <f aca="false">VLOOKUP(N1355,Sheet2!G:H,2,0)</f>
        <v>STB Auto moving -Stand by mode</v>
      </c>
      <c r="P1355" s="17" t="n">
        <v>12</v>
      </c>
      <c r="Q1355" s="17" t="str">
        <f aca="false">VLOOKUP(P1355,Sheet2!J:K,2,0)</f>
        <v>IR Declared due to Others ( IR Normal)TB</v>
      </c>
      <c r="R1355" s="17" t="s">
        <v>35</v>
      </c>
      <c r="S1355" s="17" t="str">
        <f aca="false">VLOOKUP(R1355,Sheet2!N:O,2,0)</f>
        <v>IREPARABLE</v>
      </c>
      <c r="T1355" s="18" t="str">
        <f aca="false">VLOOKUP(P1355,Sheet2!Q:R,2,0)</f>
        <v>IR Normal - BER to IR</v>
      </c>
      <c r="U1355" s="20" t="s">
        <v>135</v>
      </c>
      <c r="V1355" s="17" t="n">
        <v>12</v>
      </c>
      <c r="W1355" s="20" t="str">
        <f aca="false">VLOOKUP(V1355,Sheet2!Q:R,2,0)</f>
        <v>IR Normal - BER to IR</v>
      </c>
      <c r="X1355" s="17" t="str">
        <f aca="false">J1355</f>
        <v>A018</v>
      </c>
      <c r="Y1355" s="17" t="str">
        <f aca="false">VLOOKUP(X1355,Sheet2!A:B,2,0)</f>
        <v>PRAKASH CHAVDA</v>
      </c>
      <c r="Z1355" s="17" t="s">
        <v>136</v>
      </c>
      <c r="AA1355" s="17" t="s">
        <v>642</v>
      </c>
      <c r="AB1355" s="17" t="s">
        <v>41</v>
      </c>
      <c r="AC1355" s="0" t="str">
        <f aca="false">LEFT(G1355,2)</f>
        <v>77</v>
      </c>
      <c r="AE1355" s="21" t="s">
        <v>238</v>
      </c>
    </row>
    <row r="1356" customFormat="false" ht="15" hidden="false" customHeight="false" outlineLevel="0" collapsed="false">
      <c r="A1356" s="13" t="n">
        <f aca="false">1+A1355</f>
        <v>1354</v>
      </c>
      <c r="B1356" s="14" t="n">
        <v>1009651148</v>
      </c>
      <c r="C1356" s="15" t="s">
        <v>204</v>
      </c>
      <c r="D1356" s="16" t="s">
        <v>64</v>
      </c>
      <c r="E1356" s="17" t="s">
        <v>64</v>
      </c>
      <c r="F1356" s="18" t="s">
        <v>34</v>
      </c>
      <c r="G1356" s="19" t="n">
        <v>775079104961</v>
      </c>
      <c r="H1356" s="17" t="s">
        <v>134</v>
      </c>
      <c r="I1356" s="17" t="s">
        <v>69</v>
      </c>
      <c r="J1356" s="17" t="s">
        <v>106</v>
      </c>
      <c r="K1356" s="17" t="str">
        <f aca="false">VLOOKUP(J1356,Sheet2!A:B,2,0)</f>
        <v>PRAKASH CHAVDA</v>
      </c>
      <c r="L1356" s="17" t="n">
        <v>1</v>
      </c>
      <c r="M1356" s="17" t="str">
        <f aca="false">VLOOKUP(L1356,Sheet2!D:E,2,0)</f>
        <v>Power Supply Section</v>
      </c>
      <c r="N1356" s="17" t="n">
        <v>1</v>
      </c>
      <c r="O1356" s="17" t="str">
        <f aca="false">VLOOKUP(N1356,Sheet2!G:H,2,0)</f>
        <v>Dead</v>
      </c>
      <c r="P1356" s="17" t="n">
        <v>12</v>
      </c>
      <c r="Q1356" s="17" t="str">
        <f aca="false">VLOOKUP(P1356,Sheet2!J:K,2,0)</f>
        <v>IR Declared due to Others ( IR Normal)TB</v>
      </c>
      <c r="R1356" s="17" t="s">
        <v>35</v>
      </c>
      <c r="S1356" s="17" t="str">
        <f aca="false">VLOOKUP(R1356,Sheet2!N:O,2,0)</f>
        <v>IREPARABLE</v>
      </c>
      <c r="T1356" s="18" t="str">
        <f aca="false">VLOOKUP(P1356,Sheet2!Q:R,2,0)</f>
        <v>IR Normal - BER to IR</v>
      </c>
      <c r="U1356" s="20" t="s">
        <v>135</v>
      </c>
      <c r="V1356" s="17" t="n">
        <v>12</v>
      </c>
      <c r="W1356" s="20" t="str">
        <f aca="false">VLOOKUP(V1356,Sheet2!Q:R,2,0)</f>
        <v>IR Normal - BER to IR</v>
      </c>
      <c r="X1356" s="17" t="str">
        <f aca="false">J1356</f>
        <v>A018</v>
      </c>
      <c r="Y1356" s="17" t="str">
        <f aca="false">VLOOKUP(X1356,Sheet2!A:B,2,0)</f>
        <v>PRAKASH CHAVDA</v>
      </c>
      <c r="Z1356" s="17" t="s">
        <v>136</v>
      </c>
      <c r="AA1356" s="17" t="s">
        <v>642</v>
      </c>
      <c r="AB1356" s="17" t="s">
        <v>41</v>
      </c>
      <c r="AC1356" s="0" t="str">
        <f aca="false">LEFT(G1356,2)</f>
        <v>77</v>
      </c>
      <c r="AE1356" s="21" t="s">
        <v>238</v>
      </c>
    </row>
    <row r="1357" customFormat="false" ht="15" hidden="false" customHeight="false" outlineLevel="0" collapsed="false">
      <c r="A1357" s="13" t="n">
        <f aca="false">1+A1356</f>
        <v>1355</v>
      </c>
      <c r="B1357" s="14" t="n">
        <v>1009609403</v>
      </c>
      <c r="C1357" s="15" t="s">
        <v>181</v>
      </c>
      <c r="D1357" s="16" t="s">
        <v>64</v>
      </c>
      <c r="E1357" s="17" t="s">
        <v>91</v>
      </c>
      <c r="F1357" s="18" t="s">
        <v>34</v>
      </c>
      <c r="G1357" s="19" t="n">
        <v>954346114414</v>
      </c>
      <c r="H1357" s="17" t="s">
        <v>134</v>
      </c>
      <c r="I1357" s="17" t="s">
        <v>44</v>
      </c>
      <c r="J1357" s="17" t="s">
        <v>106</v>
      </c>
      <c r="K1357" s="17" t="str">
        <f aca="false">VLOOKUP(J1357,Sheet2!A:B,2,0)</f>
        <v>PRAKASH CHAVDA</v>
      </c>
      <c r="L1357" s="17" t="n">
        <v>2</v>
      </c>
      <c r="M1357" s="17" t="str">
        <f aca="false">VLOOKUP(L1357,Sheet2!D:E,2,0)</f>
        <v>Tuner Section</v>
      </c>
      <c r="N1357" s="17" t="n">
        <v>36</v>
      </c>
      <c r="O1357" s="17" t="str">
        <f aca="false">VLOOKUP(N1357,Sheet2!G:H,2,0)</f>
        <v>Error -1</v>
      </c>
      <c r="P1357" s="17" t="n">
        <v>12</v>
      </c>
      <c r="Q1357" s="17" t="str">
        <f aca="false">VLOOKUP(P1357,Sheet2!J:K,2,0)</f>
        <v>IR Declared due to Others ( IR Normal)TB</v>
      </c>
      <c r="R1357" s="17" t="s">
        <v>35</v>
      </c>
      <c r="S1357" s="17" t="str">
        <f aca="false">VLOOKUP(R1357,Sheet2!N:O,2,0)</f>
        <v>IREPARABLE</v>
      </c>
      <c r="T1357" s="18" t="str">
        <f aca="false">VLOOKUP(P1357,Sheet2!Q:R,2,0)</f>
        <v>IR Normal - BER to IR</v>
      </c>
      <c r="U1357" s="20" t="s">
        <v>135</v>
      </c>
      <c r="V1357" s="17" t="n">
        <v>12</v>
      </c>
      <c r="W1357" s="20" t="str">
        <f aca="false">VLOOKUP(V1357,Sheet2!Q:R,2,0)</f>
        <v>IR Normal - BER to IR</v>
      </c>
      <c r="X1357" s="17" t="str">
        <f aca="false">J1357</f>
        <v>A018</v>
      </c>
      <c r="Y1357" s="17" t="str">
        <f aca="false">VLOOKUP(X1357,Sheet2!A:B,2,0)</f>
        <v>PRAKASH CHAVDA</v>
      </c>
      <c r="Z1357" s="17" t="s">
        <v>663</v>
      </c>
      <c r="AA1357" s="17" t="s">
        <v>642</v>
      </c>
      <c r="AB1357" s="17" t="s">
        <v>41</v>
      </c>
      <c r="AC1357" s="0" t="str">
        <f aca="false">LEFT(G1357,2)</f>
        <v>95</v>
      </c>
      <c r="AE1357" s="21" t="s">
        <v>238</v>
      </c>
    </row>
    <row r="1358" customFormat="false" ht="15" hidden="false" customHeight="false" outlineLevel="0" collapsed="false">
      <c r="A1358" s="13" t="n">
        <f aca="false">1+A1357</f>
        <v>1356</v>
      </c>
      <c r="B1358" s="14" t="n">
        <v>1009606659</v>
      </c>
      <c r="C1358" s="15" t="s">
        <v>181</v>
      </c>
      <c r="D1358" s="16" t="s">
        <v>108</v>
      </c>
      <c r="E1358" s="17" t="s">
        <v>91</v>
      </c>
      <c r="F1358" s="18" t="s">
        <v>34</v>
      </c>
      <c r="G1358" s="19" t="n">
        <v>954318136510</v>
      </c>
      <c r="H1358" s="17" t="s">
        <v>134</v>
      </c>
      <c r="I1358" s="17" t="s">
        <v>44</v>
      </c>
      <c r="J1358" s="17" t="s">
        <v>106</v>
      </c>
      <c r="K1358" s="17" t="str">
        <f aca="false">VLOOKUP(J1358,Sheet2!A:B,2,0)</f>
        <v>PRAKASH CHAVDA</v>
      </c>
      <c r="L1358" s="17" t="n">
        <v>4</v>
      </c>
      <c r="M1358" s="17" t="str">
        <f aca="false">VLOOKUP(L1358,Sheet2!D:E,2,0)</f>
        <v>Audio Section</v>
      </c>
      <c r="N1358" s="17" t="n">
        <v>9</v>
      </c>
      <c r="O1358" s="17" t="str">
        <f aca="false">VLOOKUP(N1358,Sheet2!G:H,2,0)</f>
        <v>No Audio - AV</v>
      </c>
      <c r="P1358" s="17" t="n">
        <v>12</v>
      </c>
      <c r="Q1358" s="17" t="str">
        <f aca="false">VLOOKUP(P1358,Sheet2!J:K,2,0)</f>
        <v>IR Declared due to Others ( IR Normal)TB</v>
      </c>
      <c r="R1358" s="17" t="s">
        <v>35</v>
      </c>
      <c r="S1358" s="17" t="str">
        <f aca="false">VLOOKUP(R1358,Sheet2!N:O,2,0)</f>
        <v>IREPARABLE</v>
      </c>
      <c r="T1358" s="18" t="str">
        <f aca="false">VLOOKUP(P1358,Sheet2!Q:R,2,0)</f>
        <v>IR Normal - BER to IR</v>
      </c>
      <c r="U1358" s="20" t="s">
        <v>135</v>
      </c>
      <c r="V1358" s="17" t="n">
        <v>12</v>
      </c>
      <c r="W1358" s="20" t="str">
        <f aca="false">VLOOKUP(V1358,Sheet2!Q:R,2,0)</f>
        <v>IR Normal - BER to IR</v>
      </c>
      <c r="X1358" s="17" t="str">
        <f aca="false">J1358</f>
        <v>A018</v>
      </c>
      <c r="Y1358" s="17" t="str">
        <f aca="false">VLOOKUP(X1358,Sheet2!A:B,2,0)</f>
        <v>PRAKASH CHAVDA</v>
      </c>
      <c r="Z1358" s="17" t="s">
        <v>664</v>
      </c>
      <c r="AA1358" s="17" t="s">
        <v>642</v>
      </c>
      <c r="AB1358" s="17" t="s">
        <v>41</v>
      </c>
      <c r="AC1358" s="0" t="str">
        <f aca="false">LEFT(G1358,2)</f>
        <v>95</v>
      </c>
      <c r="AE1358" s="21" t="s">
        <v>238</v>
      </c>
    </row>
    <row r="1359" customFormat="false" ht="15" hidden="false" customHeight="false" outlineLevel="0" collapsed="false">
      <c r="A1359" s="13" t="n">
        <f aca="false">1+A1358</f>
        <v>1357</v>
      </c>
      <c r="B1359" s="14" t="n">
        <v>1008825068</v>
      </c>
      <c r="C1359" s="15" t="s">
        <v>438</v>
      </c>
      <c r="D1359" s="16" t="s">
        <v>64</v>
      </c>
      <c r="E1359" s="17" t="s">
        <v>64</v>
      </c>
      <c r="F1359" s="18" t="s">
        <v>34</v>
      </c>
      <c r="G1359" s="19" t="n">
        <v>134317116447</v>
      </c>
      <c r="H1359" s="17" t="s">
        <v>134</v>
      </c>
      <c r="I1359" s="17" t="s">
        <v>44</v>
      </c>
      <c r="J1359" s="17" t="s">
        <v>106</v>
      </c>
      <c r="K1359" s="17" t="str">
        <f aca="false">VLOOKUP(J1359,Sheet2!A:B,2,0)</f>
        <v>PRAKASH CHAVDA</v>
      </c>
      <c r="L1359" s="17" t="n">
        <v>5</v>
      </c>
      <c r="M1359" s="17" t="str">
        <f aca="false">VLOOKUP(L1359,Sheet2!D:E,2,0)</f>
        <v>Main Processor CPU BGA</v>
      </c>
      <c r="N1359" s="17" t="n">
        <v>1</v>
      </c>
      <c r="O1359" s="17" t="str">
        <f aca="false">VLOOKUP(N1359,Sheet2!G:H,2,0)</f>
        <v>Dead</v>
      </c>
      <c r="P1359" s="17" t="n">
        <v>12</v>
      </c>
      <c r="Q1359" s="17" t="str">
        <f aca="false">VLOOKUP(P1359,Sheet2!J:K,2,0)</f>
        <v>IR Declared due to Others ( IR Normal)TB</v>
      </c>
      <c r="R1359" s="17" t="s">
        <v>35</v>
      </c>
      <c r="S1359" s="17" t="str">
        <f aca="false">VLOOKUP(R1359,Sheet2!N:O,2,0)</f>
        <v>IREPARABLE</v>
      </c>
      <c r="T1359" s="18" t="str">
        <f aca="false">VLOOKUP(P1359,Sheet2!Q:R,2,0)</f>
        <v>IR Normal - BER to IR</v>
      </c>
      <c r="U1359" s="20" t="s">
        <v>135</v>
      </c>
      <c r="V1359" s="17" t="n">
        <v>12</v>
      </c>
      <c r="W1359" s="20" t="str">
        <f aca="false">VLOOKUP(V1359,Sheet2!Q:R,2,0)</f>
        <v>IR Normal - BER to IR</v>
      </c>
      <c r="X1359" s="17" t="str">
        <f aca="false">J1359</f>
        <v>A018</v>
      </c>
      <c r="Y1359" s="17" t="str">
        <f aca="false">VLOOKUP(X1359,Sheet2!A:B,2,0)</f>
        <v>PRAKASH CHAVDA</v>
      </c>
      <c r="Z1359" s="17" t="s">
        <v>136</v>
      </c>
      <c r="AA1359" s="17" t="s">
        <v>642</v>
      </c>
      <c r="AB1359" s="17" t="s">
        <v>41</v>
      </c>
      <c r="AC1359" s="0" t="str">
        <f aca="false">LEFT(G1359,2)</f>
        <v>13</v>
      </c>
      <c r="AE1359" s="21" t="s">
        <v>238</v>
      </c>
    </row>
    <row r="1360" customFormat="false" ht="15" hidden="false" customHeight="false" outlineLevel="0" collapsed="false">
      <c r="A1360" s="13" t="n">
        <f aca="false">1+A1359</f>
        <v>1358</v>
      </c>
      <c r="B1360" s="14" t="n">
        <v>1009442488</v>
      </c>
      <c r="C1360" s="15" t="s">
        <v>665</v>
      </c>
      <c r="D1360" s="16" t="s">
        <v>64</v>
      </c>
      <c r="E1360" s="17" t="s">
        <v>33</v>
      </c>
      <c r="F1360" s="18" t="s">
        <v>34</v>
      </c>
      <c r="G1360" s="19" t="n">
        <v>389334842157</v>
      </c>
      <c r="H1360" s="17" t="s">
        <v>35</v>
      </c>
      <c r="I1360" s="17" t="s">
        <v>84</v>
      </c>
      <c r="J1360" s="17" t="s">
        <v>575</v>
      </c>
      <c r="K1360" s="17" t="str">
        <f aca="false">VLOOKUP(J1360,Sheet2!A:B,2,0)</f>
        <v>VIJAY RANA</v>
      </c>
      <c r="L1360" s="17" t="n">
        <v>2</v>
      </c>
      <c r="M1360" s="17" t="str">
        <f aca="false">VLOOKUP(L1360,Sheet2!D:E,2,0)</f>
        <v>Tuner Section</v>
      </c>
      <c r="N1360" s="17" t="n">
        <v>6</v>
      </c>
      <c r="O1360" s="17" t="str">
        <f aca="false">VLOOKUP(N1360,Sheet2!G:H,2,0)</f>
        <v>No Signal</v>
      </c>
      <c r="P1360" s="17" t="n">
        <v>11</v>
      </c>
      <c r="Q1360" s="17" t="str">
        <f aca="false">VLOOKUP(P1360,Sheet2!J:K,2,0)</f>
        <v>IR Declared due to CID -TA</v>
      </c>
      <c r="R1360" s="17" t="s">
        <v>35</v>
      </c>
      <c r="S1360" s="17" t="str">
        <f aca="false">VLOOKUP(R1360,Sheet2!N:O,2,0)</f>
        <v>IREPARABLE</v>
      </c>
      <c r="T1360" s="18" t="str">
        <f aca="false">VLOOKUP(P1360,Sheet2!Q:R,2,0)</f>
        <v>IR Normal - Track burn out</v>
      </c>
      <c r="U1360" s="18" t="s">
        <v>122</v>
      </c>
      <c r="V1360" s="17" t="n">
        <v>2</v>
      </c>
      <c r="W1360" s="20" t="str">
        <f aca="false">VLOOKUP(V1360,Sheet2!Q:R,2,0)</f>
        <v>IR CID -  Water log from other area</v>
      </c>
      <c r="X1360" s="17" t="str">
        <f aca="false">J1360</f>
        <v>A002</v>
      </c>
      <c r="Y1360" s="17" t="str">
        <f aca="false">VLOOKUP(X1360,Sheet2!A:B,2,0)</f>
        <v>VIJAY RANA</v>
      </c>
      <c r="Z1360" s="17" t="s">
        <v>666</v>
      </c>
      <c r="AA1360" s="17" t="s">
        <v>642</v>
      </c>
      <c r="AB1360" s="17" t="s">
        <v>41</v>
      </c>
      <c r="AC1360" s="0" t="str">
        <f aca="false">LEFT(G1360,2)</f>
        <v>38</v>
      </c>
      <c r="AE1360" s="21" t="s">
        <v>238</v>
      </c>
    </row>
    <row r="1361" customFormat="false" ht="15" hidden="false" customHeight="false" outlineLevel="0" collapsed="false">
      <c r="A1361" s="13" t="n">
        <f aca="false">1+A1360</f>
        <v>1359</v>
      </c>
      <c r="B1361" s="14" t="n">
        <v>1009576527</v>
      </c>
      <c r="C1361" s="15" t="s">
        <v>104</v>
      </c>
      <c r="D1361" s="16" t="s">
        <v>105</v>
      </c>
      <c r="E1361" s="17" t="s">
        <v>255</v>
      </c>
      <c r="F1361" s="18" t="s">
        <v>34</v>
      </c>
      <c r="G1361" s="19" t="n">
        <v>389285904238</v>
      </c>
      <c r="H1361" s="17" t="s">
        <v>35</v>
      </c>
      <c r="I1361" s="17" t="s">
        <v>84</v>
      </c>
      <c r="J1361" s="17" t="s">
        <v>575</v>
      </c>
      <c r="K1361" s="17" t="str">
        <f aca="false">VLOOKUP(J1361,Sheet2!A:B,2,0)</f>
        <v>VIJAY RANA</v>
      </c>
      <c r="L1361" s="17" t="n">
        <v>2</v>
      </c>
      <c r="M1361" s="17" t="str">
        <f aca="false">VLOOKUP(L1361,Sheet2!D:E,2,0)</f>
        <v>Tuner Section</v>
      </c>
      <c r="N1361" s="17" t="n">
        <v>6</v>
      </c>
      <c r="O1361" s="17" t="str">
        <f aca="false">VLOOKUP(N1361,Sheet2!G:H,2,0)</f>
        <v>No Signal</v>
      </c>
      <c r="P1361" s="17" t="n">
        <v>11</v>
      </c>
      <c r="Q1361" s="17" t="str">
        <f aca="false">VLOOKUP(P1361,Sheet2!J:K,2,0)</f>
        <v>IR Declared due to CID -TA</v>
      </c>
      <c r="R1361" s="17" t="s">
        <v>35</v>
      </c>
      <c r="S1361" s="17" t="str">
        <f aca="false">VLOOKUP(R1361,Sheet2!N:O,2,0)</f>
        <v>IREPARABLE</v>
      </c>
      <c r="T1361" s="18" t="str">
        <f aca="false">VLOOKUP(P1361,Sheet2!Q:R,2,0)</f>
        <v>IR Normal - Track burn out</v>
      </c>
      <c r="U1361" s="18" t="s">
        <v>122</v>
      </c>
      <c r="V1361" s="17" t="n">
        <v>2</v>
      </c>
      <c r="W1361" s="20" t="str">
        <f aca="false">VLOOKUP(V1361,Sheet2!Q:R,2,0)</f>
        <v>IR CID -  Water log from other area</v>
      </c>
      <c r="X1361" s="17" t="str">
        <f aca="false">J1361</f>
        <v>A002</v>
      </c>
      <c r="Y1361" s="17" t="str">
        <f aca="false">VLOOKUP(X1361,Sheet2!A:B,2,0)</f>
        <v>VIJAY RANA</v>
      </c>
      <c r="Z1361" s="17" t="s">
        <v>666</v>
      </c>
      <c r="AA1361" s="17" t="s">
        <v>642</v>
      </c>
      <c r="AB1361" s="17" t="s">
        <v>41</v>
      </c>
      <c r="AC1361" s="0" t="str">
        <f aca="false">LEFT(G1361,2)</f>
        <v>38</v>
      </c>
      <c r="AE1361" s="21" t="s">
        <v>238</v>
      </c>
    </row>
    <row r="1362" customFormat="false" ht="15" hidden="false" customHeight="false" outlineLevel="0" collapsed="false">
      <c r="A1362" s="13" t="n">
        <f aca="false">1+A1361</f>
        <v>1360</v>
      </c>
      <c r="B1362" s="14" t="n">
        <v>1009583710</v>
      </c>
      <c r="C1362" s="15" t="s">
        <v>139</v>
      </c>
      <c r="D1362" s="16" t="s">
        <v>131</v>
      </c>
      <c r="E1362" s="17" t="s">
        <v>503</v>
      </c>
      <c r="F1362" s="18" t="s">
        <v>34</v>
      </c>
      <c r="G1362" s="19" t="n">
        <v>844052743151</v>
      </c>
      <c r="H1362" s="17" t="s">
        <v>35</v>
      </c>
      <c r="I1362" s="17" t="s">
        <v>36</v>
      </c>
      <c r="J1362" s="17" t="s">
        <v>118</v>
      </c>
      <c r="K1362" s="17" t="str">
        <f aca="false">VLOOKUP(J1362,Sheet2!A:B,2,0)</f>
        <v>DEVENDRA RAJPUT</v>
      </c>
      <c r="L1362" s="17" t="n">
        <v>1</v>
      </c>
      <c r="M1362" s="17" t="str">
        <f aca="false">VLOOKUP(L1362,Sheet2!D:E,2,0)</f>
        <v>Power Supply Section</v>
      </c>
      <c r="N1362" s="17" t="n">
        <v>1</v>
      </c>
      <c r="O1362" s="17" t="str">
        <f aca="false">VLOOKUP(N1362,Sheet2!G:H,2,0)</f>
        <v>Dead</v>
      </c>
      <c r="P1362" s="17" t="n">
        <v>12</v>
      </c>
      <c r="Q1362" s="17" t="str">
        <f aca="false">VLOOKUP(P1362,Sheet2!J:K,2,0)</f>
        <v>IR Declared due to Others ( IR Normal)TB</v>
      </c>
      <c r="R1362" s="17" t="s">
        <v>35</v>
      </c>
      <c r="S1362" s="17" t="str">
        <f aca="false">VLOOKUP(R1362,Sheet2!N:O,2,0)</f>
        <v>IREPARABLE</v>
      </c>
      <c r="T1362" s="18" t="str">
        <f aca="false">VLOOKUP(P1362,Sheet2!Q:R,2,0)</f>
        <v>IR Normal - BER to IR</v>
      </c>
      <c r="U1362" s="20" t="s">
        <v>110</v>
      </c>
      <c r="V1362" s="17" t="n">
        <v>9</v>
      </c>
      <c r="W1362" s="20" t="str">
        <f aca="false">VLOOKUP(V1362,Sheet2!Q:R,2,0)</f>
        <v>IR Normal - Multiple time repair </v>
      </c>
      <c r="X1362" s="17" t="str">
        <f aca="false">J1362</f>
        <v>A053</v>
      </c>
      <c r="Y1362" s="17" t="str">
        <f aca="false">VLOOKUP(X1362,Sheet2!A:B,2,0)</f>
        <v>DEVENDRA RAJPUT</v>
      </c>
      <c r="Z1362" s="17" t="s">
        <v>387</v>
      </c>
      <c r="AA1362" s="17" t="s">
        <v>642</v>
      </c>
      <c r="AB1362" s="17" t="s">
        <v>41</v>
      </c>
      <c r="AC1362" s="0" t="str">
        <f aca="false">LEFT(G1362,2)</f>
        <v>84</v>
      </c>
      <c r="AE1362" s="21" t="s">
        <v>506</v>
      </c>
    </row>
    <row r="1363" customFormat="false" ht="15" hidden="false" customHeight="false" outlineLevel="0" collapsed="false">
      <c r="A1363" s="13" t="n">
        <f aca="false">1+A1362</f>
        <v>1361</v>
      </c>
      <c r="B1363" s="14" t="n">
        <v>1009640620</v>
      </c>
      <c r="C1363" s="15" t="s">
        <v>429</v>
      </c>
      <c r="D1363" s="16" t="s">
        <v>158</v>
      </c>
      <c r="E1363" s="17" t="s">
        <v>47</v>
      </c>
      <c r="F1363" s="18" t="s">
        <v>34</v>
      </c>
      <c r="G1363" s="19" t="n">
        <v>844056756456</v>
      </c>
      <c r="H1363" s="17" t="s">
        <v>35</v>
      </c>
      <c r="I1363" s="17" t="s">
        <v>36</v>
      </c>
      <c r="J1363" s="17" t="s">
        <v>100</v>
      </c>
      <c r="K1363" s="17" t="str">
        <f aca="false">VLOOKUP(J1363,Sheet2!A:B,2,0)</f>
        <v>PIYUSH CHAVDA</v>
      </c>
      <c r="L1363" s="17" t="n">
        <v>1</v>
      </c>
      <c r="M1363" s="17" t="str">
        <f aca="false">VLOOKUP(L1363,Sheet2!D:E,2,0)</f>
        <v>Power Supply Section</v>
      </c>
      <c r="N1363" s="17" t="n">
        <v>1</v>
      </c>
      <c r="O1363" s="17" t="str">
        <f aca="false">VLOOKUP(N1363,Sheet2!G:H,2,0)</f>
        <v>Dead</v>
      </c>
      <c r="P1363" s="17" t="n">
        <v>12</v>
      </c>
      <c r="Q1363" s="17" t="str">
        <f aca="false">VLOOKUP(P1363,Sheet2!J:K,2,0)</f>
        <v>IR Declared due to Others ( IR Normal)TB</v>
      </c>
      <c r="R1363" s="17" t="s">
        <v>35</v>
      </c>
      <c r="S1363" s="17" t="str">
        <f aca="false">VLOOKUP(R1363,Sheet2!N:O,2,0)</f>
        <v>IREPARABLE</v>
      </c>
      <c r="T1363" s="18" t="str">
        <f aca="false">VLOOKUP(P1363,Sheet2!Q:R,2,0)</f>
        <v>IR Normal - BER to IR</v>
      </c>
      <c r="U1363" s="18" t="s">
        <v>101</v>
      </c>
      <c r="V1363" s="17" t="n">
        <v>8</v>
      </c>
      <c r="W1363" s="20" t="str">
        <f aca="false">VLOOKUP(V1363,Sheet2!Q:R,2,0)</f>
        <v>IR Normal -TrackRust/InternalDamage/open</v>
      </c>
      <c r="X1363" s="17" t="str">
        <f aca="false">J1363</f>
        <v>A050</v>
      </c>
      <c r="Y1363" s="17" t="str">
        <f aca="false">VLOOKUP(X1363,Sheet2!A:B,2,0)</f>
        <v>PIYUSH CHAVDA</v>
      </c>
      <c r="Z1363" s="17" t="s">
        <v>667</v>
      </c>
      <c r="AA1363" s="17" t="s">
        <v>642</v>
      </c>
      <c r="AB1363" s="17" t="s">
        <v>41</v>
      </c>
      <c r="AC1363" s="0" t="str">
        <f aca="false">LEFT(G1363,2)</f>
        <v>84</v>
      </c>
      <c r="AE1363" s="21" t="s">
        <v>506</v>
      </c>
    </row>
    <row r="1364" customFormat="false" ht="15" hidden="false" customHeight="false" outlineLevel="0" collapsed="false">
      <c r="A1364" s="13" t="n">
        <f aca="false">1+A1363</f>
        <v>1362</v>
      </c>
      <c r="B1364" s="14" t="n">
        <v>1009645199</v>
      </c>
      <c r="C1364" s="15" t="s">
        <v>668</v>
      </c>
      <c r="D1364" s="16" t="s">
        <v>64</v>
      </c>
      <c r="E1364" s="17" t="s">
        <v>47</v>
      </c>
      <c r="F1364" s="18" t="s">
        <v>34</v>
      </c>
      <c r="G1364" s="19" t="n">
        <v>277292135575</v>
      </c>
      <c r="H1364" s="17" t="s">
        <v>35</v>
      </c>
      <c r="I1364" s="17" t="s">
        <v>74</v>
      </c>
      <c r="J1364" s="17" t="s">
        <v>118</v>
      </c>
      <c r="K1364" s="17" t="str">
        <f aca="false">VLOOKUP(J1364,Sheet2!A:B,2,0)</f>
        <v>DEVENDRA RAJPUT</v>
      </c>
      <c r="L1364" s="17" t="n">
        <v>1</v>
      </c>
      <c r="M1364" s="17" t="str">
        <f aca="false">VLOOKUP(L1364,Sheet2!D:E,2,0)</f>
        <v>Power Supply Section</v>
      </c>
      <c r="N1364" s="17" t="n">
        <v>1</v>
      </c>
      <c r="O1364" s="17" t="str">
        <f aca="false">VLOOKUP(N1364,Sheet2!G:H,2,0)</f>
        <v>Dead</v>
      </c>
      <c r="P1364" s="17" t="n">
        <v>12</v>
      </c>
      <c r="Q1364" s="17" t="str">
        <f aca="false">VLOOKUP(P1364,Sheet2!J:K,2,0)</f>
        <v>IR Declared due to Others ( IR Normal)TB</v>
      </c>
      <c r="R1364" s="17" t="s">
        <v>35</v>
      </c>
      <c r="S1364" s="17" t="str">
        <f aca="false">VLOOKUP(R1364,Sheet2!N:O,2,0)</f>
        <v>IREPARABLE</v>
      </c>
      <c r="T1364" s="18" t="str">
        <f aca="false">VLOOKUP(P1364,Sheet2!Q:R,2,0)</f>
        <v>IR Normal - BER to IR</v>
      </c>
      <c r="U1364" s="18" t="s">
        <v>101</v>
      </c>
      <c r="V1364" s="17" t="n">
        <v>8</v>
      </c>
      <c r="W1364" s="20" t="str">
        <f aca="false">VLOOKUP(V1364,Sheet2!Q:R,2,0)</f>
        <v>IR Normal -TrackRust/InternalDamage/open</v>
      </c>
      <c r="X1364" s="17" t="str">
        <f aca="false">J1364</f>
        <v>A053</v>
      </c>
      <c r="Y1364" s="17" t="str">
        <f aca="false">VLOOKUP(X1364,Sheet2!A:B,2,0)</f>
        <v>DEVENDRA RAJPUT</v>
      </c>
      <c r="Z1364" s="17" t="s">
        <v>669</v>
      </c>
      <c r="AA1364" s="17" t="s">
        <v>642</v>
      </c>
      <c r="AB1364" s="17" t="s">
        <v>41</v>
      </c>
      <c r="AC1364" s="0" t="str">
        <f aca="false">LEFT(G1364,2)</f>
        <v>27</v>
      </c>
      <c r="AE1364" s="21" t="s">
        <v>506</v>
      </c>
    </row>
    <row r="1365" customFormat="false" ht="15" hidden="false" customHeight="false" outlineLevel="0" collapsed="false">
      <c r="A1365" s="13" t="n">
        <f aca="false">1+A1364</f>
        <v>1363</v>
      </c>
      <c r="B1365" s="14" t="n">
        <v>1009645186</v>
      </c>
      <c r="C1365" s="15" t="s">
        <v>668</v>
      </c>
      <c r="D1365" s="16" t="s">
        <v>670</v>
      </c>
      <c r="E1365" s="17" t="s">
        <v>47</v>
      </c>
      <c r="F1365" s="18" t="s">
        <v>34</v>
      </c>
      <c r="G1365" s="19" t="n">
        <v>288111155231</v>
      </c>
      <c r="H1365" s="17" t="s">
        <v>35</v>
      </c>
      <c r="I1365" s="17" t="s">
        <v>74</v>
      </c>
      <c r="J1365" s="17" t="s">
        <v>118</v>
      </c>
      <c r="K1365" s="17" t="str">
        <f aca="false">VLOOKUP(J1365,Sheet2!A:B,2,0)</f>
        <v>DEVENDRA RAJPUT</v>
      </c>
      <c r="L1365" s="17" t="n">
        <v>5</v>
      </c>
      <c r="M1365" s="17" t="str">
        <f aca="false">VLOOKUP(L1365,Sheet2!D:E,2,0)</f>
        <v>Main Processor CPU BGA</v>
      </c>
      <c r="N1365" s="17" t="n">
        <v>24</v>
      </c>
      <c r="O1365" s="17" t="str">
        <f aca="false">VLOOKUP(N1365,Sheet2!G:H,2,0)</f>
        <v>STB Auto moving -Stand by mode</v>
      </c>
      <c r="P1365" s="17" t="n">
        <v>11</v>
      </c>
      <c r="Q1365" s="17" t="str">
        <f aca="false">VLOOKUP(P1365,Sheet2!J:K,2,0)</f>
        <v>IR Declared due to CID -TA</v>
      </c>
      <c r="R1365" s="17" t="s">
        <v>35</v>
      </c>
      <c r="S1365" s="17" t="str">
        <f aca="false">VLOOKUP(R1365,Sheet2!N:O,2,0)</f>
        <v>IREPARABLE</v>
      </c>
      <c r="T1365" s="18" t="str">
        <f aca="false">VLOOKUP(P1365,Sheet2!Q:R,2,0)</f>
        <v>IR Normal - Track burn out</v>
      </c>
      <c r="U1365" s="18" t="s">
        <v>122</v>
      </c>
      <c r="V1365" s="17" t="n">
        <v>2</v>
      </c>
      <c r="W1365" s="20" t="str">
        <f aca="false">VLOOKUP(V1365,Sheet2!Q:R,2,0)</f>
        <v>IR CID -  Water log from other area</v>
      </c>
      <c r="X1365" s="17" t="str">
        <f aca="false">J1365</f>
        <v>A053</v>
      </c>
      <c r="Y1365" s="17" t="str">
        <f aca="false">VLOOKUP(X1365,Sheet2!A:B,2,0)</f>
        <v>DEVENDRA RAJPUT</v>
      </c>
      <c r="Z1365" s="17" t="s">
        <v>671</v>
      </c>
      <c r="AA1365" s="17" t="s">
        <v>642</v>
      </c>
      <c r="AB1365" s="17" t="s">
        <v>41</v>
      </c>
      <c r="AC1365" s="0" t="str">
        <f aca="false">LEFT(G1365,2)</f>
        <v>28</v>
      </c>
      <c r="AE1365" s="21" t="s">
        <v>506</v>
      </c>
    </row>
    <row r="1366" customFormat="false" ht="15" hidden="false" customHeight="false" outlineLevel="0" collapsed="false">
      <c r="A1366" s="13" t="n">
        <f aca="false">1+A1365</f>
        <v>1364</v>
      </c>
      <c r="B1366" s="14" t="n">
        <v>1009641780</v>
      </c>
      <c r="C1366" s="15" t="s">
        <v>429</v>
      </c>
      <c r="D1366" s="16" t="s">
        <v>64</v>
      </c>
      <c r="E1366" s="17" t="s">
        <v>47</v>
      </c>
      <c r="F1366" s="18" t="s">
        <v>34</v>
      </c>
      <c r="G1366" s="19" t="n">
        <v>853252773421</v>
      </c>
      <c r="H1366" s="17" t="s">
        <v>35</v>
      </c>
      <c r="I1366" s="17" t="s">
        <v>36</v>
      </c>
      <c r="J1366" s="17" t="s">
        <v>118</v>
      </c>
      <c r="K1366" s="17" t="str">
        <f aca="false">VLOOKUP(J1366,Sheet2!A:B,2,0)</f>
        <v>DEVENDRA RAJPUT</v>
      </c>
      <c r="L1366" s="17" t="n">
        <v>1</v>
      </c>
      <c r="M1366" s="17" t="str">
        <f aca="false">VLOOKUP(L1366,Sheet2!D:E,2,0)</f>
        <v>Power Supply Section</v>
      </c>
      <c r="N1366" s="17" t="n">
        <v>1</v>
      </c>
      <c r="O1366" s="17" t="str">
        <f aca="false">VLOOKUP(N1366,Sheet2!G:H,2,0)</f>
        <v>Dead</v>
      </c>
      <c r="P1366" s="17" t="n">
        <v>11</v>
      </c>
      <c r="Q1366" s="17" t="str">
        <f aca="false">VLOOKUP(P1366,Sheet2!J:K,2,0)</f>
        <v>IR Declared due to CID -TA</v>
      </c>
      <c r="R1366" s="17" t="s">
        <v>35</v>
      </c>
      <c r="S1366" s="17" t="str">
        <f aca="false">VLOOKUP(R1366,Sheet2!N:O,2,0)</f>
        <v>IREPARABLE</v>
      </c>
      <c r="T1366" s="18" t="str">
        <f aca="false">VLOOKUP(P1366,Sheet2!Q:R,2,0)</f>
        <v>IR Normal - Track burn out</v>
      </c>
      <c r="U1366" s="18" t="s">
        <v>122</v>
      </c>
      <c r="V1366" s="17" t="n">
        <v>2</v>
      </c>
      <c r="W1366" s="20" t="str">
        <f aca="false">VLOOKUP(V1366,Sheet2!Q:R,2,0)</f>
        <v>IR CID -  Water log from other area</v>
      </c>
      <c r="X1366" s="17" t="str">
        <f aca="false">J1366</f>
        <v>A053</v>
      </c>
      <c r="Y1366" s="17" t="str">
        <f aca="false">VLOOKUP(X1366,Sheet2!A:B,2,0)</f>
        <v>DEVENDRA RAJPUT</v>
      </c>
      <c r="Z1366" s="17" t="s">
        <v>387</v>
      </c>
      <c r="AA1366" s="17" t="s">
        <v>642</v>
      </c>
      <c r="AB1366" s="17" t="s">
        <v>41</v>
      </c>
      <c r="AC1366" s="0" t="str">
        <f aca="false">LEFT(G1366,2)</f>
        <v>85</v>
      </c>
      <c r="AE1366" s="21" t="s">
        <v>506</v>
      </c>
    </row>
    <row r="1367" customFormat="false" ht="15" hidden="false" customHeight="false" outlineLevel="0" collapsed="false">
      <c r="A1367" s="13" t="n">
        <f aca="false">1+A1366</f>
        <v>1365</v>
      </c>
      <c r="B1367" s="14" t="n">
        <v>1009633746</v>
      </c>
      <c r="C1367" s="15" t="s">
        <v>182</v>
      </c>
      <c r="D1367" s="16" t="s">
        <v>64</v>
      </c>
      <c r="E1367" s="17" t="s">
        <v>543</v>
      </c>
      <c r="F1367" s="18" t="s">
        <v>34</v>
      </c>
      <c r="G1367" s="19" t="n">
        <v>844063766100</v>
      </c>
      <c r="H1367" s="17" t="s">
        <v>35</v>
      </c>
      <c r="I1367" s="17" t="s">
        <v>36</v>
      </c>
      <c r="J1367" s="17" t="s">
        <v>111</v>
      </c>
      <c r="K1367" s="17" t="str">
        <f aca="false">VLOOKUP(J1367,Sheet2!A:B,2,0)</f>
        <v>NITIN PRANAMI</v>
      </c>
      <c r="L1367" s="17" t="n">
        <v>1</v>
      </c>
      <c r="M1367" s="17" t="str">
        <f aca="false">VLOOKUP(L1367,Sheet2!D:E,2,0)</f>
        <v>Power Supply Section</v>
      </c>
      <c r="N1367" s="17" t="n">
        <v>1</v>
      </c>
      <c r="O1367" s="17" t="str">
        <f aca="false">VLOOKUP(N1367,Sheet2!G:H,2,0)</f>
        <v>Dead</v>
      </c>
      <c r="P1367" s="17" t="n">
        <v>12</v>
      </c>
      <c r="Q1367" s="17" t="str">
        <f aca="false">VLOOKUP(P1367,Sheet2!J:K,2,0)</f>
        <v>IR Declared due to Others ( IR Normal)TB</v>
      </c>
      <c r="R1367" s="17" t="s">
        <v>35</v>
      </c>
      <c r="S1367" s="17" t="str">
        <f aca="false">VLOOKUP(R1367,Sheet2!N:O,2,0)</f>
        <v>IREPARABLE</v>
      </c>
      <c r="T1367" s="18" t="str">
        <f aca="false">VLOOKUP(P1367,Sheet2!Q:R,2,0)</f>
        <v>IR Normal - BER to IR</v>
      </c>
      <c r="U1367" s="18" t="s">
        <v>101</v>
      </c>
      <c r="V1367" s="17" t="n">
        <v>8</v>
      </c>
      <c r="W1367" s="20" t="str">
        <f aca="false">VLOOKUP(V1367,Sheet2!Q:R,2,0)</f>
        <v>IR Normal -TrackRust/InternalDamage/open</v>
      </c>
      <c r="X1367" s="17" t="str">
        <f aca="false">J1367</f>
        <v>A031</v>
      </c>
      <c r="Y1367" s="17" t="str">
        <f aca="false">VLOOKUP(X1367,Sheet2!A:B,2,0)</f>
        <v>NITIN PRANAMI</v>
      </c>
      <c r="Z1367" s="17" t="s">
        <v>667</v>
      </c>
      <c r="AA1367" s="17" t="s">
        <v>642</v>
      </c>
      <c r="AB1367" s="17" t="s">
        <v>41</v>
      </c>
      <c r="AC1367" s="0" t="str">
        <f aca="false">LEFT(G1367,2)</f>
        <v>84</v>
      </c>
      <c r="AE1367" s="21" t="s">
        <v>506</v>
      </c>
    </row>
    <row r="1368" customFormat="false" ht="15" hidden="false" customHeight="false" outlineLevel="0" collapsed="false">
      <c r="A1368" s="13" t="n">
        <f aca="false">1+A1367</f>
        <v>1366</v>
      </c>
      <c r="B1368" s="14" t="n">
        <v>1009647975</v>
      </c>
      <c r="C1368" s="15" t="s">
        <v>204</v>
      </c>
      <c r="D1368" s="16" t="s">
        <v>64</v>
      </c>
      <c r="E1368" s="17" t="s">
        <v>64</v>
      </c>
      <c r="F1368" s="18" t="s">
        <v>34</v>
      </c>
      <c r="G1368" s="19" t="n">
        <v>853142707795</v>
      </c>
      <c r="H1368" s="17" t="s">
        <v>35</v>
      </c>
      <c r="I1368" s="17" t="s">
        <v>36</v>
      </c>
      <c r="J1368" s="17" t="s">
        <v>111</v>
      </c>
      <c r="K1368" s="17" t="str">
        <f aca="false">VLOOKUP(J1368,Sheet2!A:B,2,0)</f>
        <v>NITIN PRANAMI</v>
      </c>
      <c r="L1368" s="17" t="n">
        <v>1</v>
      </c>
      <c r="M1368" s="17" t="str">
        <f aca="false">VLOOKUP(L1368,Sheet2!D:E,2,0)</f>
        <v>Power Supply Section</v>
      </c>
      <c r="N1368" s="17" t="n">
        <v>1</v>
      </c>
      <c r="O1368" s="17" t="str">
        <f aca="false">VLOOKUP(N1368,Sheet2!G:H,2,0)</f>
        <v>Dead</v>
      </c>
      <c r="P1368" s="17" t="n">
        <v>12</v>
      </c>
      <c r="Q1368" s="17" t="str">
        <f aca="false">VLOOKUP(P1368,Sheet2!J:K,2,0)</f>
        <v>IR Declared due to Others ( IR Normal)TB</v>
      </c>
      <c r="R1368" s="17" t="s">
        <v>35</v>
      </c>
      <c r="S1368" s="17" t="str">
        <f aca="false">VLOOKUP(R1368,Sheet2!N:O,2,0)</f>
        <v>IREPARABLE</v>
      </c>
      <c r="T1368" s="18" t="str">
        <f aca="false">VLOOKUP(P1368,Sheet2!Q:R,2,0)</f>
        <v>IR Normal - BER to IR</v>
      </c>
      <c r="U1368" s="20" t="s">
        <v>110</v>
      </c>
      <c r="V1368" s="17" t="n">
        <v>9</v>
      </c>
      <c r="W1368" s="20" t="str">
        <f aca="false">VLOOKUP(V1368,Sheet2!Q:R,2,0)</f>
        <v>IR Normal - Multiple time repair </v>
      </c>
      <c r="X1368" s="17" t="str">
        <f aca="false">J1368</f>
        <v>A031</v>
      </c>
      <c r="Y1368" s="17" t="str">
        <f aca="false">VLOOKUP(X1368,Sheet2!A:B,2,0)</f>
        <v>NITIN PRANAMI</v>
      </c>
      <c r="Z1368" s="17" t="s">
        <v>672</v>
      </c>
      <c r="AA1368" s="17" t="s">
        <v>642</v>
      </c>
      <c r="AB1368" s="17" t="s">
        <v>41</v>
      </c>
      <c r="AC1368" s="0" t="str">
        <f aca="false">LEFT(G1368,2)</f>
        <v>85</v>
      </c>
      <c r="AE1368" s="21" t="s">
        <v>506</v>
      </c>
    </row>
    <row r="1369" customFormat="false" ht="15" hidden="false" customHeight="false" outlineLevel="0" collapsed="false">
      <c r="A1369" s="13" t="n">
        <f aca="false">1+A1368</f>
        <v>1367</v>
      </c>
      <c r="B1369" s="14" t="n">
        <v>1009551840</v>
      </c>
      <c r="C1369" s="15" t="s">
        <v>126</v>
      </c>
      <c r="D1369" s="16" t="s">
        <v>673</v>
      </c>
      <c r="E1369" s="17" t="s">
        <v>47</v>
      </c>
      <c r="F1369" s="18" t="s">
        <v>34</v>
      </c>
      <c r="G1369" s="19" t="n">
        <v>651112001029</v>
      </c>
      <c r="H1369" s="17" t="s">
        <v>35</v>
      </c>
      <c r="I1369" s="17" t="s">
        <v>50</v>
      </c>
      <c r="J1369" s="17" t="s">
        <v>111</v>
      </c>
      <c r="K1369" s="17" t="str">
        <f aca="false">VLOOKUP(J1369,Sheet2!A:B,2,0)</f>
        <v>NITIN PRANAMI</v>
      </c>
      <c r="L1369" s="17" t="n">
        <v>1</v>
      </c>
      <c r="M1369" s="17" t="str">
        <f aca="false">VLOOKUP(L1369,Sheet2!D:E,2,0)</f>
        <v>Power Supply Section</v>
      </c>
      <c r="N1369" s="17" t="n">
        <v>1</v>
      </c>
      <c r="O1369" s="17" t="str">
        <f aca="false">VLOOKUP(N1369,Sheet2!G:H,2,0)</f>
        <v>Dead</v>
      </c>
      <c r="P1369" s="17" t="n">
        <v>12</v>
      </c>
      <c r="Q1369" s="17" t="str">
        <f aca="false">VLOOKUP(P1369,Sheet2!J:K,2,0)</f>
        <v>IR Declared due to Others ( IR Normal)TB</v>
      </c>
      <c r="R1369" s="17" t="s">
        <v>35</v>
      </c>
      <c r="S1369" s="17" t="str">
        <f aca="false">VLOOKUP(R1369,Sheet2!N:O,2,0)</f>
        <v>IREPARABLE</v>
      </c>
      <c r="T1369" s="18" t="str">
        <f aca="false">VLOOKUP(P1369,Sheet2!Q:R,2,0)</f>
        <v>IR Normal - BER to IR</v>
      </c>
      <c r="U1369" s="18" t="s">
        <v>101</v>
      </c>
      <c r="V1369" s="17" t="n">
        <v>8</v>
      </c>
      <c r="W1369" s="20" t="str">
        <f aca="false">VLOOKUP(V1369,Sheet2!Q:R,2,0)</f>
        <v>IR Normal -TrackRust/InternalDamage/open</v>
      </c>
      <c r="X1369" s="17" t="str">
        <f aca="false">J1369</f>
        <v>A031</v>
      </c>
      <c r="Y1369" s="17" t="str">
        <f aca="false">VLOOKUP(X1369,Sheet2!A:B,2,0)</f>
        <v>NITIN PRANAMI</v>
      </c>
      <c r="Z1369" s="17" t="s">
        <v>674</v>
      </c>
      <c r="AA1369" s="17" t="s">
        <v>642</v>
      </c>
      <c r="AB1369" s="17" t="s">
        <v>41</v>
      </c>
      <c r="AC1369" s="0" t="str">
        <f aca="false">LEFT(G1369,2)</f>
        <v>65</v>
      </c>
      <c r="AE1369" s="21" t="s">
        <v>506</v>
      </c>
    </row>
    <row r="1370" customFormat="false" ht="15" hidden="false" customHeight="false" outlineLevel="0" collapsed="false">
      <c r="A1370" s="13" t="n">
        <f aca="false">1+A1369</f>
        <v>1368</v>
      </c>
      <c r="B1370" s="14" t="n">
        <v>100955576</v>
      </c>
      <c r="C1370" s="15" t="s">
        <v>444</v>
      </c>
      <c r="D1370" s="16" t="s">
        <v>64</v>
      </c>
      <c r="E1370" s="17" t="s">
        <v>47</v>
      </c>
      <c r="F1370" s="18" t="s">
        <v>34</v>
      </c>
      <c r="G1370" s="19" t="n">
        <v>651143005114</v>
      </c>
      <c r="H1370" s="17" t="s">
        <v>35</v>
      </c>
      <c r="I1370" s="17" t="s">
        <v>50</v>
      </c>
      <c r="J1370" s="17" t="s">
        <v>118</v>
      </c>
      <c r="K1370" s="17" t="str">
        <f aca="false">VLOOKUP(J1370,Sheet2!A:B,2,0)</f>
        <v>DEVENDRA RAJPUT</v>
      </c>
      <c r="L1370" s="17" t="n">
        <v>1</v>
      </c>
      <c r="M1370" s="17" t="str">
        <f aca="false">VLOOKUP(L1370,Sheet2!D:E,2,0)</f>
        <v>Power Supply Section</v>
      </c>
      <c r="N1370" s="17" t="n">
        <v>1</v>
      </c>
      <c r="O1370" s="17" t="str">
        <f aca="false">VLOOKUP(N1370,Sheet2!G:H,2,0)</f>
        <v>Dead</v>
      </c>
      <c r="P1370" s="17" t="n">
        <v>11</v>
      </c>
      <c r="Q1370" s="17" t="str">
        <f aca="false">VLOOKUP(P1370,Sheet2!J:K,2,0)</f>
        <v>IR Declared due to CID -TA</v>
      </c>
      <c r="R1370" s="17" t="s">
        <v>35</v>
      </c>
      <c r="S1370" s="17" t="str">
        <f aca="false">VLOOKUP(R1370,Sheet2!N:O,2,0)</f>
        <v>IREPARABLE</v>
      </c>
      <c r="T1370" s="18" t="str">
        <f aca="false">VLOOKUP(P1370,Sheet2!Q:R,2,0)</f>
        <v>IR Normal - Track burn out</v>
      </c>
      <c r="U1370" s="18" t="s">
        <v>122</v>
      </c>
      <c r="V1370" s="17" t="n">
        <v>2</v>
      </c>
      <c r="W1370" s="20" t="str">
        <f aca="false">VLOOKUP(V1370,Sheet2!Q:R,2,0)</f>
        <v>IR CID -  Water log from other area</v>
      </c>
      <c r="X1370" s="17" t="str">
        <f aca="false">J1370</f>
        <v>A053</v>
      </c>
      <c r="Y1370" s="17" t="str">
        <f aca="false">VLOOKUP(X1370,Sheet2!A:B,2,0)</f>
        <v>DEVENDRA RAJPUT</v>
      </c>
      <c r="Z1370" s="17" t="s">
        <v>675</v>
      </c>
      <c r="AA1370" s="17" t="s">
        <v>642</v>
      </c>
      <c r="AB1370" s="17" t="s">
        <v>41</v>
      </c>
      <c r="AC1370" s="0" t="str">
        <f aca="false">LEFT(G1370,2)</f>
        <v>65</v>
      </c>
      <c r="AE1370" s="21" t="s">
        <v>506</v>
      </c>
    </row>
    <row r="1371" customFormat="false" ht="15" hidden="false" customHeight="false" outlineLevel="0" collapsed="false">
      <c r="A1371" s="13" t="n">
        <f aca="false">1+A1370</f>
        <v>1369</v>
      </c>
      <c r="B1371" s="14" t="n">
        <v>1009640646</v>
      </c>
      <c r="C1371" s="15" t="s">
        <v>429</v>
      </c>
      <c r="D1371" s="16" t="s">
        <v>209</v>
      </c>
      <c r="E1371" s="17" t="s">
        <v>47</v>
      </c>
      <c r="F1371" s="18" t="s">
        <v>34</v>
      </c>
      <c r="G1371" s="19" t="n">
        <v>743035009278</v>
      </c>
      <c r="H1371" s="17" t="s">
        <v>35</v>
      </c>
      <c r="I1371" s="17" t="s">
        <v>54</v>
      </c>
      <c r="J1371" s="17" t="s">
        <v>118</v>
      </c>
      <c r="K1371" s="17" t="str">
        <f aca="false">VLOOKUP(J1371,Sheet2!A:B,2,0)</f>
        <v>DEVENDRA RAJPUT</v>
      </c>
      <c r="L1371" s="17" t="n">
        <v>1</v>
      </c>
      <c r="M1371" s="17" t="str">
        <f aca="false">VLOOKUP(L1371,Sheet2!D:E,2,0)</f>
        <v>Power Supply Section</v>
      </c>
      <c r="N1371" s="17" t="n">
        <v>1</v>
      </c>
      <c r="O1371" s="17" t="str">
        <f aca="false">VLOOKUP(N1371,Sheet2!G:H,2,0)</f>
        <v>Dead</v>
      </c>
      <c r="P1371" s="17" t="n">
        <v>11</v>
      </c>
      <c r="Q1371" s="17" t="str">
        <f aca="false">VLOOKUP(P1371,Sheet2!J:K,2,0)</f>
        <v>IR Declared due to CID -TA</v>
      </c>
      <c r="R1371" s="17" t="s">
        <v>35</v>
      </c>
      <c r="S1371" s="17" t="str">
        <f aca="false">VLOOKUP(R1371,Sheet2!N:O,2,0)</f>
        <v>IREPARABLE</v>
      </c>
      <c r="T1371" s="18" t="str">
        <f aca="false">VLOOKUP(P1371,Sheet2!Q:R,2,0)</f>
        <v>IR Normal - Track burn out</v>
      </c>
      <c r="U1371" s="18" t="s">
        <v>122</v>
      </c>
      <c r="V1371" s="17" t="n">
        <v>2</v>
      </c>
      <c r="W1371" s="20" t="str">
        <f aca="false">VLOOKUP(V1371,Sheet2!Q:R,2,0)</f>
        <v>IR CID -  Water log from other area</v>
      </c>
      <c r="X1371" s="17" t="str">
        <f aca="false">J1371</f>
        <v>A053</v>
      </c>
      <c r="Y1371" s="17" t="str">
        <f aca="false">VLOOKUP(X1371,Sheet2!A:B,2,0)</f>
        <v>DEVENDRA RAJPUT</v>
      </c>
      <c r="Z1371" s="17" t="s">
        <v>676</v>
      </c>
      <c r="AA1371" s="17" t="s">
        <v>642</v>
      </c>
      <c r="AB1371" s="17" t="s">
        <v>41</v>
      </c>
      <c r="AC1371" s="0" t="str">
        <f aca="false">LEFT(G1371,2)</f>
        <v>74</v>
      </c>
      <c r="AE1371" s="21" t="s">
        <v>506</v>
      </c>
    </row>
    <row r="1372" customFormat="false" ht="15" hidden="false" customHeight="false" outlineLevel="0" collapsed="false">
      <c r="A1372" s="13" t="n">
        <f aca="false">1+A1371</f>
        <v>1370</v>
      </c>
      <c r="B1372" s="14" t="n">
        <v>1009584492</v>
      </c>
      <c r="C1372" s="15" t="s">
        <v>139</v>
      </c>
      <c r="D1372" s="16" t="s">
        <v>64</v>
      </c>
      <c r="E1372" s="17" t="s">
        <v>64</v>
      </c>
      <c r="F1372" s="18" t="s">
        <v>34</v>
      </c>
      <c r="G1372" s="19" t="n">
        <v>743105712595</v>
      </c>
      <c r="H1372" s="17" t="s">
        <v>35</v>
      </c>
      <c r="I1372" s="17" t="s">
        <v>54</v>
      </c>
      <c r="J1372" s="17" t="s">
        <v>121</v>
      </c>
      <c r="K1372" s="17" t="str">
        <f aca="false">VLOOKUP(J1372,Sheet2!A:B,2,0)</f>
        <v>SHANI GOHIL</v>
      </c>
      <c r="L1372" s="17" t="n">
        <v>2</v>
      </c>
      <c r="M1372" s="17" t="str">
        <f aca="false">VLOOKUP(L1372,Sheet2!D:E,2,0)</f>
        <v>Tuner Section</v>
      </c>
      <c r="N1372" s="17" t="n">
        <v>6</v>
      </c>
      <c r="O1372" s="17" t="str">
        <f aca="false">VLOOKUP(N1372,Sheet2!G:H,2,0)</f>
        <v>No Signal</v>
      </c>
      <c r="P1372" s="17" t="n">
        <v>12</v>
      </c>
      <c r="Q1372" s="17" t="str">
        <f aca="false">VLOOKUP(P1372,Sheet2!J:K,2,0)</f>
        <v>IR Declared due to Others ( IR Normal)TB</v>
      </c>
      <c r="R1372" s="17" t="s">
        <v>35</v>
      </c>
      <c r="S1372" s="17" t="str">
        <f aca="false">VLOOKUP(R1372,Sheet2!N:O,2,0)</f>
        <v>IREPARABLE</v>
      </c>
      <c r="T1372" s="18" t="str">
        <f aca="false">VLOOKUP(P1372,Sheet2!Q:R,2,0)</f>
        <v>IR Normal - BER to IR</v>
      </c>
      <c r="U1372" s="18" t="s">
        <v>101</v>
      </c>
      <c r="V1372" s="17" t="n">
        <v>8</v>
      </c>
      <c r="W1372" s="20" t="str">
        <f aca="false">VLOOKUP(V1372,Sheet2!Q:R,2,0)</f>
        <v>IR Normal -TrackRust/InternalDamage/open</v>
      </c>
      <c r="X1372" s="17" t="str">
        <f aca="false">J1372</f>
        <v>A063</v>
      </c>
      <c r="Y1372" s="17" t="str">
        <f aca="false">VLOOKUP(X1372,Sheet2!A:B,2,0)</f>
        <v>SHANI GOHIL</v>
      </c>
      <c r="Z1372" s="17" t="s">
        <v>677</v>
      </c>
      <c r="AA1372" s="17" t="s">
        <v>642</v>
      </c>
      <c r="AB1372" s="17" t="s">
        <v>41</v>
      </c>
      <c r="AC1372" s="0" t="str">
        <f aca="false">LEFT(G1372,2)</f>
        <v>74</v>
      </c>
      <c r="AE1372" s="21" t="s">
        <v>506</v>
      </c>
    </row>
    <row r="1373" customFormat="false" ht="15" hidden="false" customHeight="false" outlineLevel="0" collapsed="false">
      <c r="A1373" s="13" t="n">
        <f aca="false">1+A1372</f>
        <v>1371</v>
      </c>
      <c r="B1373" s="14" t="n">
        <v>1009648053</v>
      </c>
      <c r="C1373" s="15" t="s">
        <v>204</v>
      </c>
      <c r="D1373" s="16" t="s">
        <v>231</v>
      </c>
      <c r="E1373" s="17" t="s">
        <v>47</v>
      </c>
      <c r="F1373" s="18" t="s">
        <v>34</v>
      </c>
      <c r="G1373" s="19" t="n">
        <v>288113202783</v>
      </c>
      <c r="H1373" s="17" t="s">
        <v>35</v>
      </c>
      <c r="I1373" s="17" t="s">
        <v>74</v>
      </c>
      <c r="J1373" s="17" t="s">
        <v>100</v>
      </c>
      <c r="K1373" s="17" t="str">
        <f aca="false">VLOOKUP(J1373,Sheet2!A:B,2,0)</f>
        <v>PIYUSH CHAVDA</v>
      </c>
      <c r="L1373" s="17" t="n">
        <v>1</v>
      </c>
      <c r="M1373" s="17" t="str">
        <f aca="false">VLOOKUP(L1373,Sheet2!D:E,2,0)</f>
        <v>Power Supply Section</v>
      </c>
      <c r="N1373" s="17" t="n">
        <v>1</v>
      </c>
      <c r="O1373" s="17" t="str">
        <f aca="false">VLOOKUP(N1373,Sheet2!G:H,2,0)</f>
        <v>Dead</v>
      </c>
      <c r="P1373" s="17" t="n">
        <v>12</v>
      </c>
      <c r="Q1373" s="17" t="str">
        <f aca="false">VLOOKUP(P1373,Sheet2!J:K,2,0)</f>
        <v>IR Declared due to Others ( IR Normal)TB</v>
      </c>
      <c r="R1373" s="17" t="s">
        <v>35</v>
      </c>
      <c r="S1373" s="17" t="str">
        <f aca="false">VLOOKUP(R1373,Sheet2!N:O,2,0)</f>
        <v>IREPARABLE</v>
      </c>
      <c r="T1373" s="18" t="str">
        <f aca="false">VLOOKUP(P1373,Sheet2!Q:R,2,0)</f>
        <v>IR Normal - BER to IR</v>
      </c>
      <c r="U1373" s="18" t="s">
        <v>101</v>
      </c>
      <c r="V1373" s="17" t="n">
        <v>8</v>
      </c>
      <c r="W1373" s="20" t="str">
        <f aca="false">VLOOKUP(V1373,Sheet2!Q:R,2,0)</f>
        <v>IR Normal -TrackRust/InternalDamage/open</v>
      </c>
      <c r="X1373" s="17" t="str">
        <f aca="false">J1373</f>
        <v>A050</v>
      </c>
      <c r="Y1373" s="17" t="str">
        <f aca="false">VLOOKUP(X1373,Sheet2!A:B,2,0)</f>
        <v>PIYUSH CHAVDA</v>
      </c>
      <c r="Z1373" s="17" t="s">
        <v>677</v>
      </c>
      <c r="AA1373" s="17" t="s">
        <v>642</v>
      </c>
      <c r="AB1373" s="17" t="s">
        <v>41</v>
      </c>
      <c r="AC1373" s="0" t="str">
        <f aca="false">LEFT(G1373,2)</f>
        <v>28</v>
      </c>
      <c r="AE1373" s="21" t="s">
        <v>506</v>
      </c>
    </row>
    <row r="1374" customFormat="false" ht="15" hidden="false" customHeight="false" outlineLevel="0" collapsed="false">
      <c r="A1374" s="13" t="n">
        <f aca="false">1+A1373</f>
        <v>1372</v>
      </c>
      <c r="B1374" s="14" t="n">
        <v>1009640498</v>
      </c>
      <c r="C1374" s="15" t="s">
        <v>429</v>
      </c>
      <c r="D1374" s="16" t="s">
        <v>175</v>
      </c>
      <c r="E1374" s="17" t="s">
        <v>176</v>
      </c>
      <c r="F1374" s="18" t="s">
        <v>34</v>
      </c>
      <c r="G1374" s="19" t="n">
        <v>288095115086</v>
      </c>
      <c r="H1374" s="17" t="s">
        <v>35</v>
      </c>
      <c r="I1374" s="17" t="s">
        <v>74</v>
      </c>
      <c r="J1374" s="17" t="s">
        <v>111</v>
      </c>
      <c r="K1374" s="17" t="str">
        <f aca="false">VLOOKUP(J1374,Sheet2!A:B,2,0)</f>
        <v>NITIN PRANAMI</v>
      </c>
      <c r="L1374" s="17" t="n">
        <v>1</v>
      </c>
      <c r="M1374" s="17" t="str">
        <f aca="false">VLOOKUP(L1374,Sheet2!D:E,2,0)</f>
        <v>Power Supply Section</v>
      </c>
      <c r="N1374" s="17" t="n">
        <v>1</v>
      </c>
      <c r="O1374" s="17" t="str">
        <f aca="false">VLOOKUP(N1374,Sheet2!G:H,2,0)</f>
        <v>Dead</v>
      </c>
      <c r="P1374" s="17" t="n">
        <v>12</v>
      </c>
      <c r="Q1374" s="17" t="str">
        <f aca="false">VLOOKUP(P1374,Sheet2!J:K,2,0)</f>
        <v>IR Declared due to Others ( IR Normal)TB</v>
      </c>
      <c r="R1374" s="17" t="s">
        <v>35</v>
      </c>
      <c r="S1374" s="17" t="str">
        <f aca="false">VLOOKUP(R1374,Sheet2!N:O,2,0)</f>
        <v>IREPARABLE</v>
      </c>
      <c r="T1374" s="18" t="str">
        <f aca="false">VLOOKUP(P1374,Sheet2!Q:R,2,0)</f>
        <v>IR Normal - BER to IR</v>
      </c>
      <c r="U1374" s="18" t="s">
        <v>101</v>
      </c>
      <c r="V1374" s="17" t="n">
        <v>8</v>
      </c>
      <c r="W1374" s="20" t="str">
        <f aca="false">VLOOKUP(V1374,Sheet2!Q:R,2,0)</f>
        <v>IR Normal -TrackRust/InternalDamage/open</v>
      </c>
      <c r="X1374" s="17" t="str">
        <f aca="false">J1374</f>
        <v>A031</v>
      </c>
      <c r="Y1374" s="17" t="str">
        <f aca="false">VLOOKUP(X1374,Sheet2!A:B,2,0)</f>
        <v>NITIN PRANAMI</v>
      </c>
      <c r="Z1374" s="17" t="s">
        <v>678</v>
      </c>
      <c r="AA1374" s="17" t="s">
        <v>642</v>
      </c>
      <c r="AB1374" s="17" t="s">
        <v>41</v>
      </c>
      <c r="AC1374" s="0" t="str">
        <f aca="false">LEFT(G1374,2)</f>
        <v>28</v>
      </c>
      <c r="AE1374" s="21" t="s">
        <v>506</v>
      </c>
    </row>
    <row r="1375" customFormat="false" ht="15" hidden="false" customHeight="false" outlineLevel="0" collapsed="false">
      <c r="A1375" s="13" t="n">
        <f aca="false">1+A1374</f>
        <v>1373</v>
      </c>
      <c r="B1375" s="14" t="n">
        <v>1009641731</v>
      </c>
      <c r="C1375" s="15" t="s">
        <v>429</v>
      </c>
      <c r="D1375" s="16" t="s">
        <v>138</v>
      </c>
      <c r="E1375" s="17" t="s">
        <v>109</v>
      </c>
      <c r="F1375" s="18" t="s">
        <v>34</v>
      </c>
      <c r="G1375" s="19" t="n">
        <v>278004223147</v>
      </c>
      <c r="H1375" s="17" t="s">
        <v>35</v>
      </c>
      <c r="I1375" s="17" t="s">
        <v>74</v>
      </c>
      <c r="J1375" s="17" t="s">
        <v>118</v>
      </c>
      <c r="K1375" s="17" t="str">
        <f aca="false">VLOOKUP(J1375,Sheet2!A:B,2,0)</f>
        <v>DEVENDRA RAJPUT</v>
      </c>
      <c r="L1375" s="17" t="n">
        <v>7</v>
      </c>
      <c r="M1375" s="17" t="str">
        <f aca="false">VLOOKUP(L1375,Sheet2!D:E,2,0)</f>
        <v>Card Reader Section</v>
      </c>
      <c r="N1375" s="17" t="n">
        <v>36</v>
      </c>
      <c r="O1375" s="17" t="str">
        <f aca="false">VLOOKUP(N1375,Sheet2!G:H,2,0)</f>
        <v>Error -1</v>
      </c>
      <c r="P1375" s="17" t="n">
        <v>11</v>
      </c>
      <c r="Q1375" s="17" t="str">
        <f aca="false">VLOOKUP(P1375,Sheet2!J:K,2,0)</f>
        <v>IR Declared due to CID -TA</v>
      </c>
      <c r="R1375" s="17" t="s">
        <v>35</v>
      </c>
      <c r="S1375" s="17" t="str">
        <f aca="false">VLOOKUP(R1375,Sheet2!N:O,2,0)</f>
        <v>IREPARABLE</v>
      </c>
      <c r="T1375" s="18" t="str">
        <f aca="false">VLOOKUP(P1375,Sheet2!Q:R,2,0)</f>
        <v>IR Normal - Track burn out</v>
      </c>
      <c r="U1375" s="18" t="s">
        <v>122</v>
      </c>
      <c r="V1375" s="17" t="n">
        <v>2</v>
      </c>
      <c r="W1375" s="20" t="str">
        <f aca="false">VLOOKUP(V1375,Sheet2!Q:R,2,0)</f>
        <v>IR CID -  Water log from other area</v>
      </c>
      <c r="X1375" s="17" t="str">
        <f aca="false">J1375</f>
        <v>A053</v>
      </c>
      <c r="Y1375" s="17" t="str">
        <f aca="false">VLOOKUP(X1375,Sheet2!A:B,2,0)</f>
        <v>DEVENDRA RAJPUT</v>
      </c>
      <c r="Z1375" s="17" t="s">
        <v>381</v>
      </c>
      <c r="AA1375" s="17" t="s">
        <v>642</v>
      </c>
      <c r="AB1375" s="17" t="s">
        <v>41</v>
      </c>
      <c r="AC1375" s="0" t="str">
        <f aca="false">LEFT(G1375,2)</f>
        <v>27</v>
      </c>
      <c r="AE1375" s="21" t="s">
        <v>506</v>
      </c>
    </row>
    <row r="1376" customFormat="false" ht="15" hidden="false" customHeight="false" outlineLevel="0" collapsed="false">
      <c r="A1376" s="13" t="n">
        <f aca="false">1+A1375</f>
        <v>1374</v>
      </c>
      <c r="B1376" s="14" t="n">
        <v>1009582788</v>
      </c>
      <c r="C1376" s="15" t="s">
        <v>139</v>
      </c>
      <c r="D1376" s="16" t="s">
        <v>60</v>
      </c>
      <c r="E1376" s="17" t="s">
        <v>64</v>
      </c>
      <c r="F1376" s="18" t="s">
        <v>34</v>
      </c>
      <c r="G1376" s="19" t="n">
        <v>278004119113</v>
      </c>
      <c r="H1376" s="17" t="s">
        <v>35</v>
      </c>
      <c r="I1376" s="17" t="s">
        <v>74</v>
      </c>
      <c r="J1376" s="17" t="s">
        <v>111</v>
      </c>
      <c r="K1376" s="17" t="str">
        <f aca="false">VLOOKUP(J1376,Sheet2!A:B,2,0)</f>
        <v>NITIN PRANAMI</v>
      </c>
      <c r="L1376" s="17" t="n">
        <v>5</v>
      </c>
      <c r="M1376" s="17" t="str">
        <f aca="false">VLOOKUP(L1376,Sheet2!D:E,2,0)</f>
        <v>Main Processor CPU BGA</v>
      </c>
      <c r="N1376" s="17" t="n">
        <v>27</v>
      </c>
      <c r="O1376" s="17" t="str">
        <f aca="false">VLOOKUP(N1376,Sheet2!G:H,2,0)</f>
        <v>STB Rebooting Continuously</v>
      </c>
      <c r="P1376" s="17" t="n">
        <v>12</v>
      </c>
      <c r="Q1376" s="17" t="str">
        <f aca="false">VLOOKUP(P1376,Sheet2!J:K,2,0)</f>
        <v>IR Declared due to Others ( IR Normal)TB</v>
      </c>
      <c r="R1376" s="17" t="s">
        <v>35</v>
      </c>
      <c r="S1376" s="17" t="str">
        <f aca="false">VLOOKUP(R1376,Sheet2!N:O,2,0)</f>
        <v>IREPARABLE</v>
      </c>
      <c r="T1376" s="18" t="str">
        <f aca="false">VLOOKUP(P1376,Sheet2!Q:R,2,0)</f>
        <v>IR Normal - BER to IR</v>
      </c>
      <c r="U1376" s="18" t="s">
        <v>101</v>
      </c>
      <c r="V1376" s="17" t="n">
        <v>8</v>
      </c>
      <c r="W1376" s="20" t="str">
        <f aca="false">VLOOKUP(V1376,Sheet2!Q:R,2,0)</f>
        <v>IR Normal -TrackRust/InternalDamage/open</v>
      </c>
      <c r="X1376" s="17" t="str">
        <f aca="false">J1376</f>
        <v>A031</v>
      </c>
      <c r="Y1376" s="17" t="str">
        <f aca="false">VLOOKUP(X1376,Sheet2!A:B,2,0)</f>
        <v>NITIN PRANAMI</v>
      </c>
      <c r="Z1376" s="17" t="s">
        <v>679</v>
      </c>
      <c r="AA1376" s="17" t="s">
        <v>642</v>
      </c>
      <c r="AB1376" s="17" t="s">
        <v>41</v>
      </c>
      <c r="AC1376" s="0" t="str">
        <f aca="false">LEFT(G1376,2)</f>
        <v>27</v>
      </c>
      <c r="AE1376" s="21" t="s">
        <v>506</v>
      </c>
    </row>
    <row r="1377" customFormat="false" ht="15" hidden="false" customHeight="false" outlineLevel="0" collapsed="false">
      <c r="A1377" s="13" t="n">
        <f aca="false">1+A1376</f>
        <v>1375</v>
      </c>
      <c r="B1377" s="14" t="n">
        <v>1009526454</v>
      </c>
      <c r="C1377" s="15" t="s">
        <v>162</v>
      </c>
      <c r="D1377" s="16" t="s">
        <v>142</v>
      </c>
      <c r="E1377" s="17" t="s">
        <v>47</v>
      </c>
      <c r="F1377" s="18" t="s">
        <v>34</v>
      </c>
      <c r="G1377" s="19" t="n">
        <v>277317209108</v>
      </c>
      <c r="H1377" s="17" t="s">
        <v>35</v>
      </c>
      <c r="I1377" s="17" t="s">
        <v>74</v>
      </c>
      <c r="J1377" s="17" t="s">
        <v>239</v>
      </c>
      <c r="K1377" s="17" t="str">
        <f aca="false">VLOOKUP(J1377,Sheet2!A:B,2,0)</f>
        <v>VASANT PARMAR</v>
      </c>
      <c r="L1377" s="17" t="n">
        <v>5</v>
      </c>
      <c r="M1377" s="17" t="str">
        <f aca="false">VLOOKUP(L1377,Sheet2!D:E,2,0)</f>
        <v>Main Processor CPU BGA</v>
      </c>
      <c r="N1377" s="17" t="n">
        <v>1</v>
      </c>
      <c r="O1377" s="17" t="str">
        <f aca="false">VLOOKUP(N1377,Sheet2!G:H,2,0)</f>
        <v>Dead</v>
      </c>
      <c r="P1377" s="17" t="n">
        <v>11</v>
      </c>
      <c r="Q1377" s="17" t="str">
        <f aca="false">VLOOKUP(P1377,Sheet2!J:K,2,0)</f>
        <v>IR Declared due to CID -TA</v>
      </c>
      <c r="R1377" s="17" t="s">
        <v>35</v>
      </c>
      <c r="S1377" s="17" t="str">
        <f aca="false">VLOOKUP(R1377,Sheet2!N:O,2,0)</f>
        <v>IREPARABLE</v>
      </c>
      <c r="T1377" s="18" t="str">
        <f aca="false">VLOOKUP(P1377,Sheet2!Q:R,2,0)</f>
        <v>IR Normal - Track burn out</v>
      </c>
      <c r="U1377" s="18" t="s">
        <v>122</v>
      </c>
      <c r="V1377" s="17" t="n">
        <v>2</v>
      </c>
      <c r="W1377" s="20" t="str">
        <f aca="false">VLOOKUP(V1377,Sheet2!Q:R,2,0)</f>
        <v>IR CID -  Water log from other area</v>
      </c>
      <c r="X1377" s="17" t="str">
        <f aca="false">J1377</f>
        <v>A005</v>
      </c>
      <c r="Y1377" s="17" t="str">
        <f aca="false">VLOOKUP(X1377,Sheet2!A:B,2,0)</f>
        <v>VASANT PARMAR</v>
      </c>
      <c r="Z1377" s="17" t="s">
        <v>680</v>
      </c>
      <c r="AA1377" s="17" t="s">
        <v>642</v>
      </c>
      <c r="AB1377" s="17" t="s">
        <v>41</v>
      </c>
      <c r="AC1377" s="0" t="str">
        <f aca="false">LEFT(G1377,2)</f>
        <v>27</v>
      </c>
      <c r="AE1377" s="21" t="s">
        <v>506</v>
      </c>
    </row>
    <row r="1378" customFormat="false" ht="15" hidden="false" customHeight="false" outlineLevel="0" collapsed="false">
      <c r="A1378" s="13" t="n">
        <f aca="false">1+A1377</f>
        <v>1376</v>
      </c>
      <c r="B1378" s="14" t="n">
        <v>1008056823</v>
      </c>
      <c r="C1378" s="15" t="s">
        <v>681</v>
      </c>
      <c r="D1378" s="16" t="s">
        <v>653</v>
      </c>
      <c r="E1378" s="17" t="s">
        <v>47</v>
      </c>
      <c r="F1378" s="18" t="s">
        <v>34</v>
      </c>
      <c r="G1378" s="19" t="n">
        <v>278005103934</v>
      </c>
      <c r="H1378" s="17" t="s">
        <v>35</v>
      </c>
      <c r="I1378" s="17" t="s">
        <v>74</v>
      </c>
      <c r="J1378" s="17" t="s">
        <v>106</v>
      </c>
      <c r="K1378" s="17" t="str">
        <f aca="false">VLOOKUP(J1378,Sheet2!A:B,2,0)</f>
        <v>PRAKASH CHAVDA</v>
      </c>
      <c r="L1378" s="17" t="n">
        <v>1</v>
      </c>
      <c r="M1378" s="17" t="str">
        <f aca="false">VLOOKUP(L1378,Sheet2!D:E,2,0)</f>
        <v>Power Supply Section</v>
      </c>
      <c r="N1378" s="17" t="n">
        <v>1</v>
      </c>
      <c r="O1378" s="17" t="str">
        <f aca="false">VLOOKUP(N1378,Sheet2!G:H,2,0)</f>
        <v>Dead</v>
      </c>
      <c r="P1378" s="17" t="n">
        <v>11</v>
      </c>
      <c r="Q1378" s="17" t="str">
        <f aca="false">VLOOKUP(P1378,Sheet2!J:K,2,0)</f>
        <v>IR Declared due to CID -TA</v>
      </c>
      <c r="R1378" s="17" t="s">
        <v>35</v>
      </c>
      <c r="S1378" s="17" t="str">
        <f aca="false">VLOOKUP(R1378,Sheet2!N:O,2,0)</f>
        <v>IREPARABLE</v>
      </c>
      <c r="T1378" s="18" t="str">
        <f aca="false">VLOOKUP(P1378,Sheet2!Q:R,2,0)</f>
        <v>IR Normal - Track burn out</v>
      </c>
      <c r="U1378" s="18" t="s">
        <v>122</v>
      </c>
      <c r="V1378" s="17" t="n">
        <v>2</v>
      </c>
      <c r="W1378" s="20" t="str">
        <f aca="false">VLOOKUP(V1378,Sheet2!Q:R,2,0)</f>
        <v>IR CID -  Water log from other area</v>
      </c>
      <c r="X1378" s="17" t="str">
        <f aca="false">J1378</f>
        <v>A018</v>
      </c>
      <c r="Y1378" s="17" t="str">
        <f aca="false">VLOOKUP(X1378,Sheet2!A:B,2,0)</f>
        <v>PRAKASH CHAVDA</v>
      </c>
      <c r="Z1378" s="17" t="s">
        <v>682</v>
      </c>
      <c r="AA1378" s="17" t="s">
        <v>642</v>
      </c>
      <c r="AB1378" s="17" t="s">
        <v>41</v>
      </c>
      <c r="AC1378" s="0" t="str">
        <f aca="false">LEFT(G1378,2)</f>
        <v>27</v>
      </c>
      <c r="AE1378" s="21" t="s">
        <v>506</v>
      </c>
    </row>
    <row r="1379" customFormat="false" ht="15" hidden="false" customHeight="false" outlineLevel="0" collapsed="false">
      <c r="A1379" s="13" t="n">
        <f aca="false">1+A1378</f>
        <v>1377</v>
      </c>
      <c r="B1379" s="14" t="n">
        <v>1009540322</v>
      </c>
      <c r="C1379" s="15" t="s">
        <v>126</v>
      </c>
      <c r="D1379" s="16" t="s">
        <v>64</v>
      </c>
      <c r="E1379" s="17" t="s">
        <v>47</v>
      </c>
      <c r="F1379" s="18" t="s">
        <v>34</v>
      </c>
      <c r="G1379" s="19" t="n">
        <v>277278144864</v>
      </c>
      <c r="H1379" s="17" t="s">
        <v>35</v>
      </c>
      <c r="I1379" s="17" t="s">
        <v>74</v>
      </c>
      <c r="J1379" s="17" t="s">
        <v>100</v>
      </c>
      <c r="K1379" s="17" t="str">
        <f aca="false">VLOOKUP(J1379,Sheet2!A:B,2,0)</f>
        <v>PIYUSH CHAVDA</v>
      </c>
      <c r="L1379" s="17" t="n">
        <v>1</v>
      </c>
      <c r="M1379" s="17" t="str">
        <f aca="false">VLOOKUP(L1379,Sheet2!D:E,2,0)</f>
        <v>Power Supply Section</v>
      </c>
      <c r="N1379" s="17" t="n">
        <v>1</v>
      </c>
      <c r="O1379" s="17" t="str">
        <f aca="false">VLOOKUP(N1379,Sheet2!G:H,2,0)</f>
        <v>Dead</v>
      </c>
      <c r="P1379" s="17" t="n">
        <v>11</v>
      </c>
      <c r="Q1379" s="17" t="str">
        <f aca="false">VLOOKUP(P1379,Sheet2!J:K,2,0)</f>
        <v>IR Declared due to CID -TA</v>
      </c>
      <c r="R1379" s="17" t="s">
        <v>35</v>
      </c>
      <c r="S1379" s="17" t="str">
        <f aca="false">VLOOKUP(R1379,Sheet2!N:O,2,0)</f>
        <v>IREPARABLE</v>
      </c>
      <c r="T1379" s="18" t="str">
        <f aca="false">VLOOKUP(P1379,Sheet2!Q:R,2,0)</f>
        <v>IR Normal - Track burn out</v>
      </c>
      <c r="U1379" s="18" t="s">
        <v>122</v>
      </c>
      <c r="V1379" s="17" t="n">
        <v>2</v>
      </c>
      <c r="W1379" s="20" t="str">
        <f aca="false">VLOOKUP(V1379,Sheet2!Q:R,2,0)</f>
        <v>IR CID -  Water log from other area</v>
      </c>
      <c r="X1379" s="17" t="str">
        <f aca="false">J1379</f>
        <v>A050</v>
      </c>
      <c r="Y1379" s="17" t="str">
        <f aca="false">VLOOKUP(X1379,Sheet2!A:B,2,0)</f>
        <v>PIYUSH CHAVDA</v>
      </c>
      <c r="Z1379" s="17" t="s">
        <v>382</v>
      </c>
      <c r="AA1379" s="17" t="s">
        <v>642</v>
      </c>
      <c r="AB1379" s="17" t="s">
        <v>41</v>
      </c>
      <c r="AC1379" s="0" t="str">
        <f aca="false">LEFT(G1379,2)</f>
        <v>27</v>
      </c>
      <c r="AE1379" s="21" t="s">
        <v>506</v>
      </c>
    </row>
    <row r="1380" customFormat="false" ht="15" hidden="false" customHeight="false" outlineLevel="0" collapsed="false">
      <c r="A1380" s="13" t="n">
        <f aca="false">1+A1379</f>
        <v>1378</v>
      </c>
      <c r="B1380" s="14" t="n">
        <v>1009563301</v>
      </c>
      <c r="C1380" s="15" t="s">
        <v>192</v>
      </c>
      <c r="D1380" s="16" t="s">
        <v>32</v>
      </c>
      <c r="E1380" s="17" t="s">
        <v>47</v>
      </c>
      <c r="F1380" s="18" t="s">
        <v>34</v>
      </c>
      <c r="G1380" s="19" t="n">
        <v>277261104842</v>
      </c>
      <c r="H1380" s="17" t="s">
        <v>35</v>
      </c>
      <c r="I1380" s="17" t="s">
        <v>74</v>
      </c>
      <c r="J1380" s="17" t="s">
        <v>111</v>
      </c>
      <c r="K1380" s="17" t="str">
        <f aca="false">VLOOKUP(J1380,Sheet2!A:B,2,0)</f>
        <v>NITIN PRANAMI</v>
      </c>
      <c r="L1380" s="17" t="n">
        <v>5</v>
      </c>
      <c r="M1380" s="17" t="str">
        <f aca="false">VLOOKUP(L1380,Sheet2!D:E,2,0)</f>
        <v>Main Processor CPU BGA</v>
      </c>
      <c r="N1380" s="17" t="n">
        <v>24</v>
      </c>
      <c r="O1380" s="17" t="str">
        <f aca="false">VLOOKUP(N1380,Sheet2!G:H,2,0)</f>
        <v>STB Auto moving -Stand by mode</v>
      </c>
      <c r="P1380" s="17" t="n">
        <v>12</v>
      </c>
      <c r="Q1380" s="17" t="str">
        <f aca="false">VLOOKUP(P1380,Sheet2!J:K,2,0)</f>
        <v>IR Declared due to Others ( IR Normal)TB</v>
      </c>
      <c r="R1380" s="17" t="s">
        <v>35</v>
      </c>
      <c r="S1380" s="17" t="str">
        <f aca="false">VLOOKUP(R1380,Sheet2!N:O,2,0)</f>
        <v>IREPARABLE</v>
      </c>
      <c r="T1380" s="18" t="str">
        <f aca="false">VLOOKUP(P1380,Sheet2!Q:R,2,0)</f>
        <v>IR Normal - BER to IR</v>
      </c>
      <c r="U1380" s="18" t="s">
        <v>101</v>
      </c>
      <c r="V1380" s="17" t="n">
        <v>8</v>
      </c>
      <c r="W1380" s="20" t="str">
        <f aca="false">VLOOKUP(V1380,Sheet2!Q:R,2,0)</f>
        <v>IR Normal -TrackRust/InternalDamage/open</v>
      </c>
      <c r="X1380" s="17" t="str">
        <f aca="false">J1380</f>
        <v>A031</v>
      </c>
      <c r="Y1380" s="17" t="str">
        <f aca="false">VLOOKUP(X1380,Sheet2!A:B,2,0)</f>
        <v>NITIN PRANAMI</v>
      </c>
      <c r="Z1380" s="17" t="s">
        <v>683</v>
      </c>
      <c r="AA1380" s="17" t="s">
        <v>642</v>
      </c>
      <c r="AB1380" s="17" t="s">
        <v>41</v>
      </c>
      <c r="AC1380" s="0" t="str">
        <f aca="false">LEFT(G1380,2)</f>
        <v>27</v>
      </c>
      <c r="AE1380" s="21" t="s">
        <v>506</v>
      </c>
    </row>
    <row r="1381" customFormat="false" ht="15" hidden="false" customHeight="false" outlineLevel="0" collapsed="false">
      <c r="A1381" s="13" t="n">
        <f aca="false">1+A1380</f>
        <v>1379</v>
      </c>
      <c r="B1381" s="14" t="n">
        <v>1009642276</v>
      </c>
      <c r="C1381" s="15" t="s">
        <v>429</v>
      </c>
      <c r="D1381" s="16" t="s">
        <v>64</v>
      </c>
      <c r="E1381" s="17" t="s">
        <v>47</v>
      </c>
      <c r="F1381" s="18" t="s">
        <v>34</v>
      </c>
      <c r="G1381" s="19" t="n">
        <v>844021780623</v>
      </c>
      <c r="H1381" s="17" t="s">
        <v>35</v>
      </c>
      <c r="I1381" s="17" t="s">
        <v>36</v>
      </c>
      <c r="J1381" s="17" t="s">
        <v>100</v>
      </c>
      <c r="K1381" s="17" t="str">
        <f aca="false">VLOOKUP(J1381,Sheet2!A:B,2,0)</f>
        <v>PIYUSH CHAVDA</v>
      </c>
      <c r="L1381" s="17" t="n">
        <v>5</v>
      </c>
      <c r="M1381" s="17" t="str">
        <f aca="false">VLOOKUP(L1381,Sheet2!D:E,2,0)</f>
        <v>Main Processor CPU BGA</v>
      </c>
      <c r="N1381" s="17" t="n">
        <v>1</v>
      </c>
      <c r="O1381" s="17" t="str">
        <f aca="false">VLOOKUP(N1381,Sheet2!G:H,2,0)</f>
        <v>Dead</v>
      </c>
      <c r="P1381" s="17" t="n">
        <v>12</v>
      </c>
      <c r="Q1381" s="17" t="str">
        <f aca="false">VLOOKUP(P1381,Sheet2!J:K,2,0)</f>
        <v>IR Declared due to Others ( IR Normal)TB</v>
      </c>
      <c r="R1381" s="17" t="s">
        <v>35</v>
      </c>
      <c r="S1381" s="17" t="str">
        <f aca="false">VLOOKUP(R1381,Sheet2!N:O,2,0)</f>
        <v>IREPARABLE</v>
      </c>
      <c r="T1381" s="18" t="str">
        <f aca="false">VLOOKUP(P1381,Sheet2!Q:R,2,0)</f>
        <v>IR Normal - BER to IR</v>
      </c>
      <c r="U1381" s="18" t="s">
        <v>101</v>
      </c>
      <c r="V1381" s="17" t="n">
        <v>8</v>
      </c>
      <c r="W1381" s="20" t="str">
        <f aca="false">VLOOKUP(V1381,Sheet2!Q:R,2,0)</f>
        <v>IR Normal -TrackRust/InternalDamage/open</v>
      </c>
      <c r="X1381" s="17" t="str">
        <f aca="false">J1381</f>
        <v>A050</v>
      </c>
      <c r="Y1381" s="17" t="str">
        <f aca="false">VLOOKUP(X1381,Sheet2!A:B,2,0)</f>
        <v>PIYUSH CHAVDA</v>
      </c>
      <c r="Z1381" s="17" t="s">
        <v>127</v>
      </c>
      <c r="AA1381" s="17" t="s">
        <v>642</v>
      </c>
      <c r="AB1381" s="17" t="s">
        <v>41</v>
      </c>
      <c r="AC1381" s="0" t="str">
        <f aca="false">LEFT(G1381,2)</f>
        <v>84</v>
      </c>
      <c r="AE1381" s="21" t="s">
        <v>506</v>
      </c>
    </row>
    <row r="1382" customFormat="false" ht="15" hidden="false" customHeight="false" outlineLevel="0" collapsed="false">
      <c r="A1382" s="13" t="n">
        <f aca="false">1+A1381</f>
        <v>1380</v>
      </c>
      <c r="B1382" s="14" t="n">
        <v>1009625771</v>
      </c>
      <c r="C1382" s="15" t="s">
        <v>163</v>
      </c>
      <c r="D1382" s="16" t="s">
        <v>64</v>
      </c>
      <c r="E1382" s="17" t="s">
        <v>64</v>
      </c>
      <c r="F1382" s="18" t="s">
        <v>34</v>
      </c>
      <c r="G1382" s="19" t="n">
        <v>852355742978</v>
      </c>
      <c r="H1382" s="17" t="s">
        <v>35</v>
      </c>
      <c r="I1382" s="17" t="s">
        <v>36</v>
      </c>
      <c r="J1382" s="17" t="s">
        <v>118</v>
      </c>
      <c r="K1382" s="17" t="str">
        <f aca="false">VLOOKUP(J1382,Sheet2!A:B,2,0)</f>
        <v>DEVENDRA RAJPUT</v>
      </c>
      <c r="L1382" s="17" t="n">
        <v>1</v>
      </c>
      <c r="M1382" s="17" t="str">
        <f aca="false">VLOOKUP(L1382,Sheet2!D:E,2,0)</f>
        <v>Power Supply Section</v>
      </c>
      <c r="N1382" s="17" t="n">
        <v>1</v>
      </c>
      <c r="O1382" s="17" t="str">
        <f aca="false">VLOOKUP(N1382,Sheet2!G:H,2,0)</f>
        <v>Dead</v>
      </c>
      <c r="P1382" s="17" t="n">
        <v>12</v>
      </c>
      <c r="Q1382" s="17" t="str">
        <f aca="false">VLOOKUP(P1382,Sheet2!J:K,2,0)</f>
        <v>IR Declared due to Others ( IR Normal)TB</v>
      </c>
      <c r="R1382" s="17" t="s">
        <v>35</v>
      </c>
      <c r="S1382" s="17" t="str">
        <f aca="false">VLOOKUP(R1382,Sheet2!N:O,2,0)</f>
        <v>IREPARABLE</v>
      </c>
      <c r="T1382" s="18" t="str">
        <f aca="false">VLOOKUP(P1382,Sheet2!Q:R,2,0)</f>
        <v>IR Normal - BER to IR</v>
      </c>
      <c r="U1382" s="18" t="s">
        <v>101</v>
      </c>
      <c r="V1382" s="17" t="n">
        <v>8</v>
      </c>
      <c r="W1382" s="20" t="str">
        <f aca="false">VLOOKUP(V1382,Sheet2!Q:R,2,0)</f>
        <v>IR Normal -TrackRust/InternalDamage/open</v>
      </c>
      <c r="X1382" s="17" t="str">
        <f aca="false">J1382</f>
        <v>A053</v>
      </c>
      <c r="Y1382" s="17" t="str">
        <f aca="false">VLOOKUP(X1382,Sheet2!A:B,2,0)</f>
        <v>DEVENDRA RAJPUT</v>
      </c>
      <c r="Z1382" s="17" t="s">
        <v>684</v>
      </c>
      <c r="AA1382" s="17" t="s">
        <v>642</v>
      </c>
      <c r="AB1382" s="17" t="s">
        <v>41</v>
      </c>
      <c r="AC1382" s="0" t="str">
        <f aca="false">LEFT(G1382,2)</f>
        <v>85</v>
      </c>
      <c r="AE1382" s="21" t="s">
        <v>506</v>
      </c>
    </row>
    <row r="1383" customFormat="false" ht="15" hidden="false" customHeight="false" outlineLevel="0" collapsed="false">
      <c r="A1383" s="13" t="n">
        <f aca="false">1+A1382</f>
        <v>1381</v>
      </c>
      <c r="B1383" s="14" t="n">
        <v>1009642002</v>
      </c>
      <c r="C1383" s="15" t="s">
        <v>429</v>
      </c>
      <c r="D1383" s="16" t="s">
        <v>105</v>
      </c>
      <c r="E1383" s="17" t="s">
        <v>47</v>
      </c>
      <c r="F1383" s="18" t="s">
        <v>34</v>
      </c>
      <c r="G1383" s="19" t="n">
        <v>853208777872</v>
      </c>
      <c r="H1383" s="17" t="s">
        <v>35</v>
      </c>
      <c r="I1383" s="17" t="s">
        <v>36</v>
      </c>
      <c r="J1383" s="17" t="s">
        <v>111</v>
      </c>
      <c r="K1383" s="17" t="str">
        <f aca="false">VLOOKUP(J1383,Sheet2!A:B,2,0)</f>
        <v>NITIN PRANAMI</v>
      </c>
      <c r="L1383" s="17" t="n">
        <v>1</v>
      </c>
      <c r="M1383" s="17" t="str">
        <f aca="false">VLOOKUP(L1383,Sheet2!D:E,2,0)</f>
        <v>Power Supply Section</v>
      </c>
      <c r="N1383" s="17" t="n">
        <v>1</v>
      </c>
      <c r="O1383" s="17" t="str">
        <f aca="false">VLOOKUP(N1383,Sheet2!G:H,2,0)</f>
        <v>Dead</v>
      </c>
      <c r="P1383" s="17" t="n">
        <v>12</v>
      </c>
      <c r="Q1383" s="17" t="str">
        <f aca="false">VLOOKUP(P1383,Sheet2!J:K,2,0)</f>
        <v>IR Declared due to Others ( IR Normal)TB</v>
      </c>
      <c r="R1383" s="17" t="s">
        <v>35</v>
      </c>
      <c r="S1383" s="17" t="str">
        <f aca="false">VLOOKUP(R1383,Sheet2!N:O,2,0)</f>
        <v>IREPARABLE</v>
      </c>
      <c r="T1383" s="18" t="str">
        <f aca="false">VLOOKUP(P1383,Sheet2!Q:R,2,0)</f>
        <v>IR Normal - BER to IR</v>
      </c>
      <c r="U1383" s="18" t="s">
        <v>101</v>
      </c>
      <c r="V1383" s="17" t="n">
        <v>8</v>
      </c>
      <c r="W1383" s="20" t="str">
        <f aca="false">VLOOKUP(V1383,Sheet2!Q:R,2,0)</f>
        <v>IR Normal -TrackRust/InternalDamage/open</v>
      </c>
      <c r="X1383" s="17" t="str">
        <f aca="false">J1383</f>
        <v>A031</v>
      </c>
      <c r="Y1383" s="17" t="str">
        <f aca="false">VLOOKUP(X1383,Sheet2!A:B,2,0)</f>
        <v>NITIN PRANAMI</v>
      </c>
      <c r="Z1383" s="17" t="s">
        <v>685</v>
      </c>
      <c r="AA1383" s="17" t="s">
        <v>642</v>
      </c>
      <c r="AB1383" s="17" t="s">
        <v>41</v>
      </c>
      <c r="AC1383" s="0" t="str">
        <f aca="false">LEFT(G1383,2)</f>
        <v>85</v>
      </c>
      <c r="AE1383" s="21" t="s">
        <v>506</v>
      </c>
    </row>
    <row r="1384" customFormat="false" ht="15" hidden="false" customHeight="false" outlineLevel="0" collapsed="false">
      <c r="A1384" s="13" t="n">
        <f aca="false">1+A1383</f>
        <v>1382</v>
      </c>
      <c r="B1384" s="14" t="n">
        <v>1009641746</v>
      </c>
      <c r="C1384" s="15" t="s">
        <v>429</v>
      </c>
      <c r="D1384" s="16" t="s">
        <v>142</v>
      </c>
      <c r="E1384" s="17" t="s">
        <v>178</v>
      </c>
      <c r="F1384" s="18" t="s">
        <v>34</v>
      </c>
      <c r="G1384" s="19" t="n">
        <v>853251736494</v>
      </c>
      <c r="H1384" s="17" t="s">
        <v>35</v>
      </c>
      <c r="I1384" s="17" t="s">
        <v>36</v>
      </c>
      <c r="J1384" s="17" t="s">
        <v>111</v>
      </c>
      <c r="K1384" s="17" t="str">
        <f aca="false">VLOOKUP(J1384,Sheet2!A:B,2,0)</f>
        <v>NITIN PRANAMI</v>
      </c>
      <c r="L1384" s="17" t="n">
        <v>1</v>
      </c>
      <c r="M1384" s="17" t="str">
        <f aca="false">VLOOKUP(L1384,Sheet2!D:E,2,0)</f>
        <v>Power Supply Section</v>
      </c>
      <c r="N1384" s="17" t="n">
        <v>1</v>
      </c>
      <c r="O1384" s="17" t="str">
        <f aca="false">VLOOKUP(N1384,Sheet2!G:H,2,0)</f>
        <v>Dead</v>
      </c>
      <c r="P1384" s="17" t="n">
        <v>12</v>
      </c>
      <c r="Q1384" s="17" t="str">
        <f aca="false">VLOOKUP(P1384,Sheet2!J:K,2,0)</f>
        <v>IR Declared due to Others ( IR Normal)TB</v>
      </c>
      <c r="R1384" s="17" t="s">
        <v>35</v>
      </c>
      <c r="S1384" s="17" t="str">
        <f aca="false">VLOOKUP(R1384,Sheet2!N:O,2,0)</f>
        <v>IREPARABLE</v>
      </c>
      <c r="T1384" s="18" t="str">
        <f aca="false">VLOOKUP(P1384,Sheet2!Q:R,2,0)</f>
        <v>IR Normal - BER to IR</v>
      </c>
      <c r="U1384" s="20" t="s">
        <v>110</v>
      </c>
      <c r="V1384" s="17" t="n">
        <v>9</v>
      </c>
      <c r="W1384" s="20" t="str">
        <f aca="false">VLOOKUP(V1384,Sheet2!Q:R,2,0)</f>
        <v>IR Normal - Multiple time repair </v>
      </c>
      <c r="X1384" s="17" t="str">
        <f aca="false">J1384</f>
        <v>A031</v>
      </c>
      <c r="Y1384" s="17" t="str">
        <f aca="false">VLOOKUP(X1384,Sheet2!A:B,2,0)</f>
        <v>NITIN PRANAMI</v>
      </c>
      <c r="Z1384" s="17" t="s">
        <v>686</v>
      </c>
      <c r="AA1384" s="17" t="s">
        <v>642</v>
      </c>
      <c r="AB1384" s="17" t="s">
        <v>41</v>
      </c>
      <c r="AC1384" s="0" t="str">
        <f aca="false">LEFT(G1384,2)</f>
        <v>85</v>
      </c>
      <c r="AE1384" s="21" t="s">
        <v>506</v>
      </c>
    </row>
    <row r="1385" customFormat="false" ht="15" hidden="false" customHeight="false" outlineLevel="0" collapsed="false">
      <c r="A1385" s="13" t="n">
        <f aca="false">1+A1384</f>
        <v>1383</v>
      </c>
      <c r="B1385" s="14" t="n">
        <v>1009570873</v>
      </c>
      <c r="C1385" s="15" t="s">
        <v>102</v>
      </c>
      <c r="D1385" s="16" t="s">
        <v>64</v>
      </c>
      <c r="E1385" s="17" t="s">
        <v>487</v>
      </c>
      <c r="F1385" s="18" t="s">
        <v>34</v>
      </c>
      <c r="G1385" s="19" t="n">
        <v>288079214921</v>
      </c>
      <c r="H1385" s="17" t="s">
        <v>35</v>
      </c>
      <c r="I1385" s="17" t="s">
        <v>74</v>
      </c>
      <c r="J1385" s="17" t="s">
        <v>100</v>
      </c>
      <c r="K1385" s="17" t="str">
        <f aca="false">VLOOKUP(J1385,Sheet2!A:B,2,0)</f>
        <v>PIYUSH CHAVDA</v>
      </c>
      <c r="L1385" s="17" t="n">
        <v>1</v>
      </c>
      <c r="M1385" s="17" t="str">
        <f aca="false">VLOOKUP(L1385,Sheet2!D:E,2,0)</f>
        <v>Power Supply Section</v>
      </c>
      <c r="N1385" s="17" t="n">
        <v>1</v>
      </c>
      <c r="O1385" s="17" t="str">
        <f aca="false">VLOOKUP(N1385,Sheet2!G:H,2,0)</f>
        <v>Dead</v>
      </c>
      <c r="P1385" s="17" t="n">
        <v>11</v>
      </c>
      <c r="Q1385" s="17" t="str">
        <f aca="false">VLOOKUP(P1385,Sheet2!J:K,2,0)</f>
        <v>IR Declared due to CID -TA</v>
      </c>
      <c r="R1385" s="17" t="s">
        <v>35</v>
      </c>
      <c r="S1385" s="17" t="str">
        <f aca="false">VLOOKUP(R1385,Sheet2!N:O,2,0)</f>
        <v>IREPARABLE</v>
      </c>
      <c r="T1385" s="18" t="str">
        <f aca="false">VLOOKUP(P1385,Sheet2!Q:R,2,0)</f>
        <v>IR Normal - Track burn out</v>
      </c>
      <c r="U1385" s="18" t="s">
        <v>38</v>
      </c>
      <c r="V1385" s="17" t="n">
        <v>4</v>
      </c>
      <c r="W1385" s="20" t="str">
        <f aca="false">VLOOKUP(V1385,Sheet2!Q:R,2,0)</f>
        <v>IR CID - Tampered Track burn out</v>
      </c>
      <c r="X1385" s="17" t="str">
        <f aca="false">J1385</f>
        <v>A050</v>
      </c>
      <c r="Y1385" s="17" t="str">
        <f aca="false">VLOOKUP(X1385,Sheet2!A:B,2,0)</f>
        <v>PIYUSH CHAVDA</v>
      </c>
      <c r="Z1385" s="17" t="s">
        <v>687</v>
      </c>
      <c r="AA1385" s="17" t="s">
        <v>642</v>
      </c>
      <c r="AB1385" s="17" t="s">
        <v>41</v>
      </c>
      <c r="AC1385" s="0" t="str">
        <f aca="false">LEFT(G1385,2)</f>
        <v>28</v>
      </c>
      <c r="AE1385" s="21" t="s">
        <v>506</v>
      </c>
    </row>
    <row r="1386" customFormat="false" ht="15" hidden="false" customHeight="false" outlineLevel="0" collapsed="false">
      <c r="A1386" s="13" t="n">
        <f aca="false">1+A1385</f>
        <v>1384</v>
      </c>
      <c r="B1386" s="14" t="n">
        <v>1009641790</v>
      </c>
      <c r="C1386" s="15" t="s">
        <v>429</v>
      </c>
      <c r="D1386" s="16" t="s">
        <v>119</v>
      </c>
      <c r="E1386" s="17" t="s">
        <v>47</v>
      </c>
      <c r="F1386" s="18" t="s">
        <v>34</v>
      </c>
      <c r="G1386" s="19" t="n">
        <v>853074736820</v>
      </c>
      <c r="H1386" s="17" t="s">
        <v>35</v>
      </c>
      <c r="I1386" s="17" t="s">
        <v>36</v>
      </c>
      <c r="J1386" s="17" t="s">
        <v>239</v>
      </c>
      <c r="K1386" s="17" t="str">
        <f aca="false">VLOOKUP(J1386,Sheet2!A:B,2,0)</f>
        <v>VASANT PARMAR</v>
      </c>
      <c r="L1386" s="17" t="n">
        <v>5</v>
      </c>
      <c r="M1386" s="17" t="str">
        <f aca="false">VLOOKUP(L1386,Sheet2!D:E,2,0)</f>
        <v>Main Processor CPU BGA</v>
      </c>
      <c r="N1386" s="17" t="n">
        <v>24</v>
      </c>
      <c r="O1386" s="17" t="str">
        <f aca="false">VLOOKUP(N1386,Sheet2!G:H,2,0)</f>
        <v>STB Auto moving -Stand by mode</v>
      </c>
      <c r="P1386" s="17" t="n">
        <v>12</v>
      </c>
      <c r="Q1386" s="17" t="str">
        <f aca="false">VLOOKUP(P1386,Sheet2!J:K,2,0)</f>
        <v>IR Declared due to Others ( IR Normal)TB</v>
      </c>
      <c r="R1386" s="17" t="s">
        <v>35</v>
      </c>
      <c r="S1386" s="17" t="str">
        <f aca="false">VLOOKUP(R1386,Sheet2!N:O,2,0)</f>
        <v>IREPARABLE</v>
      </c>
      <c r="T1386" s="18" t="str">
        <f aca="false">VLOOKUP(P1386,Sheet2!Q:R,2,0)</f>
        <v>IR Normal - BER to IR</v>
      </c>
      <c r="U1386" s="18" t="s">
        <v>101</v>
      </c>
      <c r="V1386" s="17" t="n">
        <v>8</v>
      </c>
      <c r="W1386" s="20" t="str">
        <f aca="false">VLOOKUP(V1386,Sheet2!Q:R,2,0)</f>
        <v>IR Normal -TrackRust/InternalDamage/open</v>
      </c>
      <c r="X1386" s="17" t="str">
        <f aca="false">J1386</f>
        <v>A005</v>
      </c>
      <c r="Y1386" s="17" t="str">
        <f aca="false">VLOOKUP(X1386,Sheet2!A:B,2,0)</f>
        <v>VASANT PARMAR</v>
      </c>
      <c r="Z1386" s="17" t="s">
        <v>688</v>
      </c>
      <c r="AA1386" s="17" t="s">
        <v>642</v>
      </c>
      <c r="AB1386" s="17" t="s">
        <v>41</v>
      </c>
      <c r="AC1386" s="0" t="str">
        <f aca="false">LEFT(G1386,2)</f>
        <v>85</v>
      </c>
      <c r="AE1386" s="21" t="s">
        <v>506</v>
      </c>
    </row>
    <row r="1387" customFormat="false" ht="15" hidden="false" customHeight="false" outlineLevel="0" collapsed="false">
      <c r="A1387" s="13" t="n">
        <f aca="false">1+A1386</f>
        <v>1385</v>
      </c>
      <c r="B1387" s="14" t="n">
        <v>1009631339</v>
      </c>
      <c r="C1387" s="15" t="s">
        <v>182</v>
      </c>
      <c r="D1387" s="16" t="s">
        <v>64</v>
      </c>
      <c r="E1387" s="17" t="s">
        <v>64</v>
      </c>
      <c r="F1387" s="18" t="s">
        <v>34</v>
      </c>
      <c r="G1387" s="19" t="n">
        <v>868141155408</v>
      </c>
      <c r="H1387" s="17" t="s">
        <v>35</v>
      </c>
      <c r="I1387" s="17" t="s">
        <v>36</v>
      </c>
      <c r="J1387" s="17" t="s">
        <v>575</v>
      </c>
      <c r="K1387" s="17" t="str">
        <f aca="false">VLOOKUP(J1387,Sheet2!A:B,2,0)</f>
        <v>VIJAY RANA</v>
      </c>
      <c r="L1387" s="17" t="n">
        <v>1</v>
      </c>
      <c r="M1387" s="17" t="str">
        <f aca="false">VLOOKUP(L1387,Sheet2!D:E,2,0)</f>
        <v>Power Supply Section</v>
      </c>
      <c r="N1387" s="17" t="n">
        <v>1</v>
      </c>
      <c r="O1387" s="17" t="str">
        <f aca="false">VLOOKUP(N1387,Sheet2!G:H,2,0)</f>
        <v>Dead</v>
      </c>
      <c r="P1387" s="17" t="n">
        <v>11</v>
      </c>
      <c r="Q1387" s="17" t="str">
        <f aca="false">VLOOKUP(P1387,Sheet2!J:K,2,0)</f>
        <v>IR Declared due to CID -TA</v>
      </c>
      <c r="R1387" s="17" t="s">
        <v>35</v>
      </c>
      <c r="S1387" s="17" t="str">
        <f aca="false">VLOOKUP(R1387,Sheet2!N:O,2,0)</f>
        <v>IREPARABLE</v>
      </c>
      <c r="T1387" s="18" t="str">
        <f aca="false">VLOOKUP(P1387,Sheet2!Q:R,2,0)</f>
        <v>IR Normal - Track burn out</v>
      </c>
      <c r="U1387" s="18" t="s">
        <v>122</v>
      </c>
      <c r="V1387" s="17" t="n">
        <v>2</v>
      </c>
      <c r="W1387" s="20" t="str">
        <f aca="false">VLOOKUP(V1387,Sheet2!Q:R,2,0)</f>
        <v>IR CID -  Water log from other area</v>
      </c>
      <c r="X1387" s="17" t="str">
        <f aca="false">J1387</f>
        <v>A002</v>
      </c>
      <c r="Y1387" s="17" t="str">
        <f aca="false">VLOOKUP(X1387,Sheet2!A:B,2,0)</f>
        <v>VIJAY RANA</v>
      </c>
      <c r="Z1387" s="17" t="s">
        <v>689</v>
      </c>
      <c r="AA1387" s="17" t="s">
        <v>642</v>
      </c>
      <c r="AB1387" s="17" t="s">
        <v>41</v>
      </c>
      <c r="AC1387" s="0" t="str">
        <f aca="false">LEFT(G1387,2)</f>
        <v>86</v>
      </c>
      <c r="AE1387" s="21" t="s">
        <v>506</v>
      </c>
    </row>
    <row r="1388" customFormat="false" ht="15" hidden="false" customHeight="false" outlineLevel="0" collapsed="false">
      <c r="A1388" s="13" t="n">
        <f aca="false">1+A1387</f>
        <v>1386</v>
      </c>
      <c r="B1388" s="14" t="n">
        <v>1009622278</v>
      </c>
      <c r="C1388" s="15" t="s">
        <v>184</v>
      </c>
      <c r="D1388" s="16" t="s">
        <v>64</v>
      </c>
      <c r="E1388" s="17" t="s">
        <v>64</v>
      </c>
      <c r="F1388" s="18" t="s">
        <v>34</v>
      </c>
      <c r="G1388" s="19" t="n">
        <v>866259128209</v>
      </c>
      <c r="H1388" s="17" t="s">
        <v>35</v>
      </c>
      <c r="I1388" s="17" t="s">
        <v>36</v>
      </c>
      <c r="J1388" s="17" t="s">
        <v>267</v>
      </c>
      <c r="K1388" s="17" t="str">
        <f aca="false">VLOOKUP(J1388,Sheet2!A:B,2,0)</f>
        <v>HARIRAM GUPTA</v>
      </c>
      <c r="L1388" s="17" t="n">
        <v>5</v>
      </c>
      <c r="M1388" s="17" t="str">
        <f aca="false">VLOOKUP(L1388,Sheet2!D:E,2,0)</f>
        <v>Main Processor CPU BGA</v>
      </c>
      <c r="N1388" s="17" t="n">
        <v>1</v>
      </c>
      <c r="O1388" s="17" t="str">
        <f aca="false">VLOOKUP(N1388,Sheet2!G:H,2,0)</f>
        <v>Dead</v>
      </c>
      <c r="P1388" s="17" t="n">
        <v>11</v>
      </c>
      <c r="Q1388" s="17" t="str">
        <f aca="false">VLOOKUP(P1388,Sheet2!J:K,2,0)</f>
        <v>IR Declared due to CID -TA</v>
      </c>
      <c r="R1388" s="17" t="s">
        <v>35</v>
      </c>
      <c r="S1388" s="17" t="str">
        <f aca="false">VLOOKUP(R1388,Sheet2!N:O,2,0)</f>
        <v>IREPARABLE</v>
      </c>
      <c r="T1388" s="18" t="str">
        <f aca="false">VLOOKUP(P1388,Sheet2!Q:R,2,0)</f>
        <v>IR Normal - Track burn out</v>
      </c>
      <c r="U1388" s="18" t="s">
        <v>122</v>
      </c>
      <c r="V1388" s="17" t="n">
        <v>2</v>
      </c>
      <c r="W1388" s="20" t="str">
        <f aca="false">VLOOKUP(V1388,Sheet2!Q:R,2,0)</f>
        <v>IR CID -  Water log from other area</v>
      </c>
      <c r="X1388" s="17" t="str">
        <f aca="false">J1388</f>
        <v>A007</v>
      </c>
      <c r="Y1388" s="17" t="str">
        <f aca="false">VLOOKUP(X1388,Sheet2!A:B,2,0)</f>
        <v>HARIRAM GUPTA</v>
      </c>
      <c r="Z1388" s="17" t="s">
        <v>276</v>
      </c>
      <c r="AA1388" s="17" t="s">
        <v>642</v>
      </c>
      <c r="AB1388" s="17" t="s">
        <v>41</v>
      </c>
      <c r="AC1388" s="0" t="str">
        <f aca="false">LEFT(G1388,2)</f>
        <v>86</v>
      </c>
      <c r="AE1388" s="21" t="s">
        <v>506</v>
      </c>
    </row>
    <row r="1389" customFormat="false" ht="15" hidden="false" customHeight="false" outlineLevel="0" collapsed="false">
      <c r="A1389" s="13" t="n">
        <f aca="false">1+A1388</f>
        <v>1387</v>
      </c>
      <c r="B1389" s="14" t="n">
        <v>1009645687</v>
      </c>
      <c r="C1389" s="15" t="s">
        <v>204</v>
      </c>
      <c r="D1389" s="16" t="s">
        <v>64</v>
      </c>
      <c r="E1389" s="17" t="s">
        <v>114</v>
      </c>
      <c r="F1389" s="18" t="s">
        <v>34</v>
      </c>
      <c r="G1389" s="19" t="n">
        <v>864337251044</v>
      </c>
      <c r="H1389" s="17" t="s">
        <v>35</v>
      </c>
      <c r="I1389" s="17" t="s">
        <v>36</v>
      </c>
      <c r="J1389" s="17" t="s">
        <v>121</v>
      </c>
      <c r="K1389" s="17" t="str">
        <f aca="false">VLOOKUP(J1389,Sheet2!A:B,2,0)</f>
        <v>SHANI GOHIL</v>
      </c>
      <c r="L1389" s="17" t="n">
        <v>2</v>
      </c>
      <c r="M1389" s="17" t="str">
        <f aca="false">VLOOKUP(L1389,Sheet2!D:E,2,0)</f>
        <v>Tuner Section</v>
      </c>
      <c r="N1389" s="17" t="n">
        <v>6</v>
      </c>
      <c r="O1389" s="17" t="str">
        <f aca="false">VLOOKUP(N1389,Sheet2!G:H,2,0)</f>
        <v>No Signal</v>
      </c>
      <c r="P1389" s="17" t="n">
        <v>12</v>
      </c>
      <c r="Q1389" s="17" t="str">
        <f aca="false">VLOOKUP(P1389,Sheet2!J:K,2,0)</f>
        <v>IR Declared due to Others ( IR Normal)TB</v>
      </c>
      <c r="R1389" s="17" t="s">
        <v>35</v>
      </c>
      <c r="S1389" s="17" t="str">
        <f aca="false">VLOOKUP(R1389,Sheet2!N:O,2,0)</f>
        <v>IREPARABLE</v>
      </c>
      <c r="T1389" s="18" t="str">
        <f aca="false">VLOOKUP(P1389,Sheet2!Q:R,2,0)</f>
        <v>IR Normal - BER to IR</v>
      </c>
      <c r="U1389" s="18" t="s">
        <v>101</v>
      </c>
      <c r="V1389" s="17" t="n">
        <v>8</v>
      </c>
      <c r="W1389" s="20" t="str">
        <f aca="false">VLOOKUP(V1389,Sheet2!Q:R,2,0)</f>
        <v>IR Normal -TrackRust/InternalDamage/open</v>
      </c>
      <c r="X1389" s="17" t="str">
        <f aca="false">J1389</f>
        <v>A063</v>
      </c>
      <c r="Y1389" s="17" t="str">
        <f aca="false">VLOOKUP(X1389,Sheet2!A:B,2,0)</f>
        <v>SHANI GOHIL</v>
      </c>
      <c r="Z1389" s="17" t="s">
        <v>690</v>
      </c>
      <c r="AA1389" s="17" t="s">
        <v>642</v>
      </c>
      <c r="AB1389" s="17" t="s">
        <v>41</v>
      </c>
      <c r="AC1389" s="0" t="str">
        <f aca="false">LEFT(G1389,2)</f>
        <v>86</v>
      </c>
      <c r="AE1389" s="21" t="s">
        <v>506</v>
      </c>
    </row>
    <row r="1390" customFormat="false" ht="15" hidden="false" customHeight="false" outlineLevel="0" collapsed="false">
      <c r="A1390" s="13" t="n">
        <f aca="false">1+A1389</f>
        <v>1388</v>
      </c>
      <c r="B1390" s="14" t="n">
        <v>1009610494</v>
      </c>
      <c r="C1390" s="15" t="s">
        <v>181</v>
      </c>
      <c r="D1390" s="16" t="s">
        <v>113</v>
      </c>
      <c r="E1390" s="17" t="s">
        <v>114</v>
      </c>
      <c r="F1390" s="18" t="s">
        <v>34</v>
      </c>
      <c r="G1390" s="19" t="n">
        <v>168204112986</v>
      </c>
      <c r="H1390" s="17" t="s">
        <v>35</v>
      </c>
      <c r="I1390" s="17" t="s">
        <v>76</v>
      </c>
      <c r="J1390" s="17" t="s">
        <v>96</v>
      </c>
      <c r="K1390" s="17" t="str">
        <f aca="false">VLOOKUP(J1390,Sheet2!A:B,2,0)</f>
        <v>JAYESH NAI</v>
      </c>
      <c r="L1390" s="17" t="n">
        <v>2</v>
      </c>
      <c r="M1390" s="17" t="str">
        <f aca="false">VLOOKUP(L1390,Sheet2!D:E,2,0)</f>
        <v>Tuner Section</v>
      </c>
      <c r="N1390" s="17" t="n">
        <v>6</v>
      </c>
      <c r="O1390" s="17" t="str">
        <f aca="false">VLOOKUP(N1390,Sheet2!G:H,2,0)</f>
        <v>No Signal</v>
      </c>
      <c r="P1390" s="17" t="n">
        <v>11</v>
      </c>
      <c r="Q1390" s="17" t="str">
        <f aca="false">VLOOKUP(P1390,Sheet2!J:K,2,0)</f>
        <v>IR Declared due to CID -TA</v>
      </c>
      <c r="R1390" s="17" t="s">
        <v>35</v>
      </c>
      <c r="S1390" s="17" t="str">
        <f aca="false">VLOOKUP(R1390,Sheet2!N:O,2,0)</f>
        <v>IREPARABLE</v>
      </c>
      <c r="T1390" s="18" t="str">
        <f aca="false">VLOOKUP(P1390,Sheet2!Q:R,2,0)</f>
        <v>IR Normal - Track burn out</v>
      </c>
      <c r="U1390" s="18" t="s">
        <v>122</v>
      </c>
      <c r="V1390" s="17" t="n">
        <v>2</v>
      </c>
      <c r="W1390" s="20" t="str">
        <f aca="false">VLOOKUP(V1390,Sheet2!Q:R,2,0)</f>
        <v>IR CID -  Water log from other area</v>
      </c>
      <c r="X1390" s="17" t="str">
        <f aca="false">J1390</f>
        <v>A004</v>
      </c>
      <c r="Y1390" s="17" t="str">
        <f aca="false">VLOOKUP(X1390,Sheet2!A:B,2,0)</f>
        <v>JAYESH NAI</v>
      </c>
      <c r="Z1390" s="17" t="s">
        <v>601</v>
      </c>
      <c r="AA1390" s="17" t="s">
        <v>642</v>
      </c>
      <c r="AB1390" s="17" t="s">
        <v>41</v>
      </c>
      <c r="AC1390" s="0" t="str">
        <f aca="false">LEFT(G1390,2)</f>
        <v>16</v>
      </c>
      <c r="AE1390" s="21" t="s">
        <v>506</v>
      </c>
    </row>
    <row r="1391" customFormat="false" ht="15" hidden="false" customHeight="false" outlineLevel="0" collapsed="false">
      <c r="A1391" s="13" t="n">
        <f aca="false">1+A1390</f>
        <v>1389</v>
      </c>
      <c r="B1391" s="14" t="n">
        <v>1009631389</v>
      </c>
      <c r="C1391" s="15" t="s">
        <v>182</v>
      </c>
      <c r="D1391" s="16" t="s">
        <v>64</v>
      </c>
      <c r="E1391" s="17" t="s">
        <v>33</v>
      </c>
      <c r="F1391" s="18" t="s">
        <v>34</v>
      </c>
      <c r="G1391" s="19" t="n">
        <v>86517112514</v>
      </c>
      <c r="H1391" s="17" t="s">
        <v>35</v>
      </c>
      <c r="I1391" s="17" t="s">
        <v>72</v>
      </c>
      <c r="J1391" s="17" t="s">
        <v>575</v>
      </c>
      <c r="K1391" s="17" t="str">
        <f aca="false">VLOOKUP(J1391,Sheet2!A:B,2,0)</f>
        <v>VIJAY RANA</v>
      </c>
      <c r="L1391" s="17" t="n">
        <v>1</v>
      </c>
      <c r="M1391" s="17" t="str">
        <f aca="false">VLOOKUP(L1391,Sheet2!D:E,2,0)</f>
        <v>Power Supply Section</v>
      </c>
      <c r="N1391" s="17" t="n">
        <v>1</v>
      </c>
      <c r="O1391" s="17" t="str">
        <f aca="false">VLOOKUP(N1391,Sheet2!G:H,2,0)</f>
        <v>Dead</v>
      </c>
      <c r="P1391" s="17" t="n">
        <v>11</v>
      </c>
      <c r="Q1391" s="17" t="str">
        <f aca="false">VLOOKUP(P1391,Sheet2!J:K,2,0)</f>
        <v>IR Declared due to CID -TA</v>
      </c>
      <c r="R1391" s="17" t="s">
        <v>35</v>
      </c>
      <c r="S1391" s="17" t="str">
        <f aca="false">VLOOKUP(R1391,Sheet2!N:O,2,0)</f>
        <v>IREPARABLE</v>
      </c>
      <c r="T1391" s="18" t="str">
        <f aca="false">VLOOKUP(P1391,Sheet2!Q:R,2,0)</f>
        <v>IR Normal - Track burn out</v>
      </c>
      <c r="U1391" s="18" t="s">
        <v>122</v>
      </c>
      <c r="V1391" s="17" t="n">
        <v>2</v>
      </c>
      <c r="W1391" s="20" t="str">
        <f aca="false">VLOOKUP(V1391,Sheet2!Q:R,2,0)</f>
        <v>IR CID -  Water log from other area</v>
      </c>
      <c r="X1391" s="17" t="str">
        <f aca="false">J1391</f>
        <v>A002</v>
      </c>
      <c r="Y1391" s="17" t="str">
        <f aca="false">VLOOKUP(X1391,Sheet2!A:B,2,0)</f>
        <v>VIJAY RANA</v>
      </c>
      <c r="Z1391" s="17" t="s">
        <v>691</v>
      </c>
      <c r="AA1391" s="17" t="s">
        <v>642</v>
      </c>
      <c r="AB1391" s="17" t="s">
        <v>41</v>
      </c>
      <c r="AC1391" s="0" t="str">
        <f aca="false">LEFT(G1391,2)</f>
        <v>86</v>
      </c>
      <c r="AE1391" s="21" t="s">
        <v>506</v>
      </c>
    </row>
    <row r="1392" customFormat="false" ht="15" hidden="false" customHeight="false" outlineLevel="0" collapsed="false">
      <c r="A1392" s="13" t="n">
        <f aca="false">1+A1391</f>
        <v>1390</v>
      </c>
      <c r="B1392" s="14" t="n">
        <v>1009578503</v>
      </c>
      <c r="C1392" s="15" t="s">
        <v>139</v>
      </c>
      <c r="D1392" s="16" t="s">
        <v>64</v>
      </c>
      <c r="E1392" s="17" t="s">
        <v>47</v>
      </c>
      <c r="F1392" s="18" t="s">
        <v>34</v>
      </c>
      <c r="G1392" s="19" t="n">
        <v>866090128699</v>
      </c>
      <c r="H1392" s="17" t="s">
        <v>35</v>
      </c>
      <c r="I1392" s="17" t="s">
        <v>72</v>
      </c>
      <c r="J1392" s="17" t="s">
        <v>111</v>
      </c>
      <c r="K1392" s="17" t="str">
        <f aca="false">VLOOKUP(J1392,Sheet2!A:B,2,0)</f>
        <v>NITIN PRANAMI</v>
      </c>
      <c r="L1392" s="17" t="n">
        <v>1</v>
      </c>
      <c r="M1392" s="17" t="str">
        <f aca="false">VLOOKUP(L1392,Sheet2!D:E,2,0)</f>
        <v>Power Supply Section</v>
      </c>
      <c r="N1392" s="17" t="n">
        <v>1</v>
      </c>
      <c r="O1392" s="17" t="str">
        <f aca="false">VLOOKUP(N1392,Sheet2!G:H,2,0)</f>
        <v>Dead</v>
      </c>
      <c r="P1392" s="17" t="n">
        <v>11</v>
      </c>
      <c r="Q1392" s="17" t="str">
        <f aca="false">VLOOKUP(P1392,Sheet2!J:K,2,0)</f>
        <v>IR Declared due to CID -TA</v>
      </c>
      <c r="R1392" s="17" t="s">
        <v>35</v>
      </c>
      <c r="S1392" s="17" t="str">
        <f aca="false">VLOOKUP(R1392,Sheet2!N:O,2,0)</f>
        <v>IREPARABLE</v>
      </c>
      <c r="T1392" s="18" t="str">
        <f aca="false">VLOOKUP(P1392,Sheet2!Q:R,2,0)</f>
        <v>IR Normal - Track burn out</v>
      </c>
      <c r="U1392" s="18" t="s">
        <v>122</v>
      </c>
      <c r="V1392" s="17" t="n">
        <v>2</v>
      </c>
      <c r="W1392" s="20" t="str">
        <f aca="false">VLOOKUP(V1392,Sheet2!Q:R,2,0)</f>
        <v>IR CID -  Water log from other area</v>
      </c>
      <c r="X1392" s="17" t="str">
        <f aca="false">J1392</f>
        <v>A031</v>
      </c>
      <c r="Y1392" s="17" t="str">
        <f aca="false">VLOOKUP(X1392,Sheet2!A:B,2,0)</f>
        <v>NITIN PRANAMI</v>
      </c>
      <c r="Z1392" s="17" t="s">
        <v>692</v>
      </c>
      <c r="AA1392" s="17" t="s">
        <v>642</v>
      </c>
      <c r="AB1392" s="17" t="s">
        <v>41</v>
      </c>
      <c r="AC1392" s="0" t="str">
        <f aca="false">LEFT(G1392,2)</f>
        <v>86</v>
      </c>
      <c r="AE1392" s="21" t="s">
        <v>506</v>
      </c>
    </row>
    <row r="1393" customFormat="false" ht="15" hidden="false" customHeight="false" outlineLevel="0" collapsed="false">
      <c r="A1393" s="13" t="n">
        <f aca="false">1+A1392</f>
        <v>1391</v>
      </c>
      <c r="B1393" s="14" t="n">
        <v>1009624514</v>
      </c>
      <c r="C1393" s="15" t="s">
        <v>163</v>
      </c>
      <c r="D1393" s="16" t="s">
        <v>64</v>
      </c>
      <c r="E1393" s="17" t="s">
        <v>47</v>
      </c>
      <c r="F1393" s="18" t="s">
        <v>34</v>
      </c>
      <c r="G1393" s="19" t="n">
        <v>867279152682</v>
      </c>
      <c r="H1393" s="17" t="s">
        <v>35</v>
      </c>
      <c r="I1393" s="17" t="s">
        <v>72</v>
      </c>
      <c r="J1393" s="17" t="s">
        <v>267</v>
      </c>
      <c r="K1393" s="17" t="str">
        <f aca="false">VLOOKUP(J1393,Sheet2!A:B,2,0)</f>
        <v>HARIRAM GUPTA</v>
      </c>
      <c r="L1393" s="17" t="n">
        <v>5</v>
      </c>
      <c r="M1393" s="17" t="str">
        <f aca="false">VLOOKUP(L1393,Sheet2!D:E,2,0)</f>
        <v>Main Processor CPU BGA</v>
      </c>
      <c r="N1393" s="17" t="n">
        <v>1</v>
      </c>
      <c r="O1393" s="17" t="str">
        <f aca="false">VLOOKUP(N1393,Sheet2!G:H,2,0)</f>
        <v>Dead</v>
      </c>
      <c r="P1393" s="17" t="n">
        <v>11</v>
      </c>
      <c r="Q1393" s="17" t="str">
        <f aca="false">VLOOKUP(P1393,Sheet2!J:K,2,0)</f>
        <v>IR Declared due to CID -TA</v>
      </c>
      <c r="R1393" s="17" t="s">
        <v>35</v>
      </c>
      <c r="S1393" s="17" t="str">
        <f aca="false">VLOOKUP(R1393,Sheet2!N:O,2,0)</f>
        <v>IREPARABLE</v>
      </c>
      <c r="T1393" s="18" t="str">
        <f aca="false">VLOOKUP(P1393,Sheet2!Q:R,2,0)</f>
        <v>IR Normal - Track burn out</v>
      </c>
      <c r="U1393" s="18" t="s">
        <v>122</v>
      </c>
      <c r="V1393" s="17" t="n">
        <v>2</v>
      </c>
      <c r="W1393" s="20" t="str">
        <f aca="false">VLOOKUP(V1393,Sheet2!Q:R,2,0)</f>
        <v>IR CID -  Water log from other area</v>
      </c>
      <c r="X1393" s="17" t="str">
        <f aca="false">J1393</f>
        <v>A007</v>
      </c>
      <c r="Y1393" s="17" t="str">
        <f aca="false">VLOOKUP(X1393,Sheet2!A:B,2,0)</f>
        <v>HARIRAM GUPTA</v>
      </c>
      <c r="Z1393" s="17" t="s">
        <v>693</v>
      </c>
      <c r="AA1393" s="17" t="s">
        <v>642</v>
      </c>
      <c r="AB1393" s="17" t="s">
        <v>41</v>
      </c>
      <c r="AC1393" s="0" t="str">
        <f aca="false">LEFT(G1393,2)</f>
        <v>86</v>
      </c>
      <c r="AE1393" s="21" t="s">
        <v>506</v>
      </c>
    </row>
    <row r="1394" customFormat="false" ht="15" hidden="false" customHeight="false" outlineLevel="0" collapsed="false">
      <c r="A1394" s="13" t="n">
        <f aca="false">1+A1393</f>
        <v>1392</v>
      </c>
      <c r="B1394" s="14" t="n">
        <v>1009628536</v>
      </c>
      <c r="C1394" s="15" t="s">
        <v>229</v>
      </c>
      <c r="D1394" s="16" t="s">
        <v>64</v>
      </c>
      <c r="E1394" s="17" t="s">
        <v>64</v>
      </c>
      <c r="F1394" s="18" t="s">
        <v>34</v>
      </c>
      <c r="G1394" s="19" t="n">
        <v>867279148938</v>
      </c>
      <c r="H1394" s="17" t="s">
        <v>35</v>
      </c>
      <c r="I1394" s="17" t="s">
        <v>72</v>
      </c>
      <c r="J1394" s="17" t="s">
        <v>106</v>
      </c>
      <c r="K1394" s="17" t="str">
        <f aca="false">VLOOKUP(J1394,Sheet2!A:B,2,0)</f>
        <v>PRAKASH CHAVDA</v>
      </c>
      <c r="L1394" s="17" t="n">
        <v>1</v>
      </c>
      <c r="M1394" s="17" t="str">
        <f aca="false">VLOOKUP(L1394,Sheet2!D:E,2,0)</f>
        <v>Power Supply Section</v>
      </c>
      <c r="N1394" s="17" t="n">
        <v>1</v>
      </c>
      <c r="O1394" s="17" t="str">
        <f aca="false">VLOOKUP(N1394,Sheet2!G:H,2,0)</f>
        <v>Dead</v>
      </c>
      <c r="P1394" s="17" t="n">
        <v>12</v>
      </c>
      <c r="Q1394" s="17" t="str">
        <f aca="false">VLOOKUP(P1394,Sheet2!J:K,2,0)</f>
        <v>IR Declared due to Others ( IR Normal)TB</v>
      </c>
      <c r="R1394" s="17" t="s">
        <v>35</v>
      </c>
      <c r="S1394" s="17" t="str">
        <f aca="false">VLOOKUP(R1394,Sheet2!N:O,2,0)</f>
        <v>IREPARABLE</v>
      </c>
      <c r="T1394" s="18" t="str">
        <f aca="false">VLOOKUP(P1394,Sheet2!Q:R,2,0)</f>
        <v>IR Normal - BER to IR</v>
      </c>
      <c r="U1394" s="18" t="s">
        <v>101</v>
      </c>
      <c r="V1394" s="17" t="n">
        <v>8</v>
      </c>
      <c r="W1394" s="20" t="str">
        <f aca="false">VLOOKUP(V1394,Sheet2!Q:R,2,0)</f>
        <v>IR Normal -TrackRust/InternalDamage/open</v>
      </c>
      <c r="X1394" s="17" t="str">
        <f aca="false">J1394</f>
        <v>A018</v>
      </c>
      <c r="Y1394" s="17" t="str">
        <f aca="false">VLOOKUP(X1394,Sheet2!A:B,2,0)</f>
        <v>PRAKASH CHAVDA</v>
      </c>
      <c r="Z1394" s="17" t="s">
        <v>694</v>
      </c>
      <c r="AA1394" s="17" t="s">
        <v>642</v>
      </c>
      <c r="AB1394" s="17" t="s">
        <v>41</v>
      </c>
      <c r="AC1394" s="0" t="str">
        <f aca="false">LEFT(G1394,2)</f>
        <v>86</v>
      </c>
      <c r="AE1394" s="21" t="s">
        <v>506</v>
      </c>
    </row>
    <row r="1395" customFormat="false" ht="15" hidden="false" customHeight="false" outlineLevel="0" collapsed="false">
      <c r="A1395" s="13" t="n">
        <f aca="false">1+A1394</f>
        <v>1393</v>
      </c>
      <c r="B1395" s="14" t="n">
        <v>1009636139</v>
      </c>
      <c r="C1395" s="15" t="s">
        <v>232</v>
      </c>
      <c r="D1395" s="16" t="s">
        <v>64</v>
      </c>
      <c r="E1395" s="17" t="s">
        <v>64</v>
      </c>
      <c r="F1395" s="18" t="s">
        <v>34</v>
      </c>
      <c r="G1395" s="19" t="n">
        <v>865269149841</v>
      </c>
      <c r="H1395" s="17" t="s">
        <v>35</v>
      </c>
      <c r="I1395" s="17" t="s">
        <v>72</v>
      </c>
      <c r="J1395" s="17" t="s">
        <v>100</v>
      </c>
      <c r="K1395" s="17" t="str">
        <f aca="false">VLOOKUP(J1395,Sheet2!A:B,2,0)</f>
        <v>PIYUSH CHAVDA</v>
      </c>
      <c r="L1395" s="17" t="n">
        <v>5</v>
      </c>
      <c r="M1395" s="17" t="str">
        <f aca="false">VLOOKUP(L1395,Sheet2!D:E,2,0)</f>
        <v>Main Processor CPU BGA</v>
      </c>
      <c r="N1395" s="17" t="n">
        <v>1</v>
      </c>
      <c r="O1395" s="17" t="str">
        <f aca="false">VLOOKUP(N1395,Sheet2!G:H,2,0)</f>
        <v>Dead</v>
      </c>
      <c r="P1395" s="17" t="n">
        <v>12</v>
      </c>
      <c r="Q1395" s="17" t="str">
        <f aca="false">VLOOKUP(P1395,Sheet2!J:K,2,0)</f>
        <v>IR Declared due to Others ( IR Normal)TB</v>
      </c>
      <c r="R1395" s="17" t="s">
        <v>35</v>
      </c>
      <c r="S1395" s="17" t="str">
        <f aca="false">VLOOKUP(R1395,Sheet2!N:O,2,0)</f>
        <v>IREPARABLE</v>
      </c>
      <c r="T1395" s="18" t="str">
        <f aca="false">VLOOKUP(P1395,Sheet2!Q:R,2,0)</f>
        <v>IR Normal - BER to IR</v>
      </c>
      <c r="U1395" s="18" t="s">
        <v>101</v>
      </c>
      <c r="V1395" s="17" t="n">
        <v>8</v>
      </c>
      <c r="W1395" s="20" t="str">
        <f aca="false">VLOOKUP(V1395,Sheet2!Q:R,2,0)</f>
        <v>IR Normal -TrackRust/InternalDamage/open</v>
      </c>
      <c r="X1395" s="17" t="str">
        <f aca="false">J1395</f>
        <v>A050</v>
      </c>
      <c r="Y1395" s="17" t="str">
        <f aca="false">VLOOKUP(X1395,Sheet2!A:B,2,0)</f>
        <v>PIYUSH CHAVDA</v>
      </c>
      <c r="Z1395" s="17" t="s">
        <v>222</v>
      </c>
      <c r="AA1395" s="17" t="s">
        <v>642</v>
      </c>
      <c r="AB1395" s="17" t="s">
        <v>41</v>
      </c>
      <c r="AC1395" s="0" t="str">
        <f aca="false">LEFT(G1395,2)</f>
        <v>86</v>
      </c>
      <c r="AE1395" s="21" t="s">
        <v>506</v>
      </c>
    </row>
    <row r="1396" customFormat="false" ht="15" hidden="false" customHeight="false" outlineLevel="0" collapsed="false">
      <c r="A1396" s="13" t="n">
        <f aca="false">1+A1395</f>
        <v>1394</v>
      </c>
      <c r="B1396" s="14" t="n">
        <v>1009640885</v>
      </c>
      <c r="C1396" s="15" t="s">
        <v>429</v>
      </c>
      <c r="D1396" s="16" t="s">
        <v>64</v>
      </c>
      <c r="E1396" s="17" t="s">
        <v>64</v>
      </c>
      <c r="F1396" s="18" t="s">
        <v>34</v>
      </c>
      <c r="G1396" s="19" t="n">
        <v>864318345286</v>
      </c>
      <c r="H1396" s="17" t="s">
        <v>35</v>
      </c>
      <c r="I1396" s="17" t="s">
        <v>72</v>
      </c>
      <c r="J1396" s="17" t="s">
        <v>118</v>
      </c>
      <c r="K1396" s="17" t="str">
        <f aca="false">VLOOKUP(J1396,Sheet2!A:B,2,0)</f>
        <v>DEVENDRA RAJPUT</v>
      </c>
      <c r="L1396" s="17" t="n">
        <v>5</v>
      </c>
      <c r="M1396" s="17" t="str">
        <f aca="false">VLOOKUP(L1396,Sheet2!D:E,2,0)</f>
        <v>Main Processor CPU BGA</v>
      </c>
      <c r="N1396" s="17" t="n">
        <v>24</v>
      </c>
      <c r="O1396" s="17" t="str">
        <f aca="false">VLOOKUP(N1396,Sheet2!G:H,2,0)</f>
        <v>STB Auto moving -Stand by mode</v>
      </c>
      <c r="P1396" s="17" t="n">
        <v>12</v>
      </c>
      <c r="Q1396" s="17" t="str">
        <f aca="false">VLOOKUP(P1396,Sheet2!J:K,2,0)</f>
        <v>IR Declared due to Others ( IR Normal)TB</v>
      </c>
      <c r="R1396" s="17" t="s">
        <v>35</v>
      </c>
      <c r="S1396" s="17" t="str">
        <f aca="false">VLOOKUP(R1396,Sheet2!N:O,2,0)</f>
        <v>IREPARABLE</v>
      </c>
      <c r="T1396" s="18" t="str">
        <f aca="false">VLOOKUP(P1396,Sheet2!Q:R,2,0)</f>
        <v>IR Normal - BER to IR</v>
      </c>
      <c r="U1396" s="18" t="s">
        <v>101</v>
      </c>
      <c r="V1396" s="17" t="n">
        <v>8</v>
      </c>
      <c r="W1396" s="20" t="str">
        <f aca="false">VLOOKUP(V1396,Sheet2!Q:R,2,0)</f>
        <v>IR Normal -TrackRust/InternalDamage/open</v>
      </c>
      <c r="X1396" s="17" t="str">
        <f aca="false">J1396</f>
        <v>A053</v>
      </c>
      <c r="Y1396" s="17" t="str">
        <f aca="false">VLOOKUP(X1396,Sheet2!A:B,2,0)</f>
        <v>DEVENDRA RAJPUT</v>
      </c>
      <c r="Z1396" s="17" t="s">
        <v>222</v>
      </c>
      <c r="AA1396" s="17" t="s">
        <v>642</v>
      </c>
      <c r="AB1396" s="17" t="s">
        <v>41</v>
      </c>
      <c r="AC1396" s="0" t="str">
        <f aca="false">LEFT(G1396,2)</f>
        <v>86</v>
      </c>
      <c r="AE1396" s="21" t="s">
        <v>506</v>
      </c>
    </row>
    <row r="1397" customFormat="false" ht="15" hidden="false" customHeight="false" outlineLevel="0" collapsed="false">
      <c r="A1397" s="13" t="n">
        <f aca="false">1+A1396</f>
        <v>1395</v>
      </c>
      <c r="B1397" s="14" t="n">
        <v>1009631504</v>
      </c>
      <c r="C1397" s="15" t="s">
        <v>232</v>
      </c>
      <c r="D1397" s="16" t="s">
        <v>64</v>
      </c>
      <c r="E1397" s="17" t="s">
        <v>47</v>
      </c>
      <c r="F1397" s="18" t="s">
        <v>34</v>
      </c>
      <c r="G1397" s="19" t="n">
        <v>865278160607</v>
      </c>
      <c r="H1397" s="17" t="s">
        <v>35</v>
      </c>
      <c r="I1397" s="17" t="s">
        <v>72</v>
      </c>
      <c r="J1397" s="17" t="s">
        <v>575</v>
      </c>
      <c r="K1397" s="17" t="str">
        <f aca="false">VLOOKUP(J1397,Sheet2!A:B,2,0)</f>
        <v>VIJAY RANA</v>
      </c>
      <c r="L1397" s="17" t="n">
        <v>1</v>
      </c>
      <c r="M1397" s="17" t="str">
        <f aca="false">VLOOKUP(L1397,Sheet2!D:E,2,0)</f>
        <v>Power Supply Section</v>
      </c>
      <c r="N1397" s="17" t="n">
        <v>1</v>
      </c>
      <c r="O1397" s="17" t="str">
        <f aca="false">VLOOKUP(N1397,Sheet2!G:H,2,0)</f>
        <v>Dead</v>
      </c>
      <c r="P1397" s="17" t="n">
        <v>11</v>
      </c>
      <c r="Q1397" s="17" t="str">
        <f aca="false">VLOOKUP(P1397,Sheet2!J:K,2,0)</f>
        <v>IR Declared due to CID -TA</v>
      </c>
      <c r="R1397" s="17" t="s">
        <v>35</v>
      </c>
      <c r="S1397" s="17" t="str">
        <f aca="false">VLOOKUP(R1397,Sheet2!N:O,2,0)</f>
        <v>IREPARABLE</v>
      </c>
      <c r="T1397" s="18" t="str">
        <f aca="false">VLOOKUP(P1397,Sheet2!Q:R,2,0)</f>
        <v>IR Normal - Track burn out</v>
      </c>
      <c r="U1397" s="18" t="s">
        <v>38</v>
      </c>
      <c r="V1397" s="17" t="n">
        <v>4</v>
      </c>
      <c r="W1397" s="20" t="str">
        <f aca="false">VLOOKUP(V1397,Sheet2!Q:R,2,0)</f>
        <v>IR CID - Tampered Track burn out</v>
      </c>
      <c r="X1397" s="17" t="str">
        <f aca="false">J1397</f>
        <v>A002</v>
      </c>
      <c r="Y1397" s="17" t="str">
        <f aca="false">VLOOKUP(X1397,Sheet2!A:B,2,0)</f>
        <v>VIJAY RANA</v>
      </c>
      <c r="Z1397" s="17" t="s">
        <v>266</v>
      </c>
      <c r="AA1397" s="17" t="s">
        <v>642</v>
      </c>
      <c r="AB1397" s="17" t="s">
        <v>41</v>
      </c>
      <c r="AC1397" s="0" t="str">
        <f aca="false">LEFT(G1397,2)</f>
        <v>86</v>
      </c>
      <c r="AE1397" s="21" t="s">
        <v>506</v>
      </c>
    </row>
    <row r="1398" customFormat="false" ht="15" hidden="false" customHeight="false" outlineLevel="0" collapsed="false">
      <c r="A1398" s="13" t="n">
        <f aca="false">1+A1397</f>
        <v>1396</v>
      </c>
      <c r="B1398" s="14" t="n">
        <v>1009489523</v>
      </c>
      <c r="C1398" s="15" t="s">
        <v>220</v>
      </c>
      <c r="D1398" s="16" t="s">
        <v>64</v>
      </c>
      <c r="E1398" s="17" t="s">
        <v>47</v>
      </c>
      <c r="F1398" s="18" t="s">
        <v>34</v>
      </c>
      <c r="G1398" s="19" t="n">
        <v>865266228432</v>
      </c>
      <c r="H1398" s="17" t="s">
        <v>35</v>
      </c>
      <c r="I1398" s="17" t="s">
        <v>72</v>
      </c>
      <c r="J1398" s="17" t="s">
        <v>133</v>
      </c>
      <c r="K1398" s="17" t="str">
        <f aca="false">VLOOKUP(J1398,Sheet2!A:B,2,0)</f>
        <v>AKASH BAROT</v>
      </c>
      <c r="L1398" s="17" t="n">
        <v>1</v>
      </c>
      <c r="M1398" s="17" t="str">
        <f aca="false">VLOOKUP(L1398,Sheet2!D:E,2,0)</f>
        <v>Power Supply Section</v>
      </c>
      <c r="N1398" s="17" t="n">
        <v>1</v>
      </c>
      <c r="O1398" s="17" t="str">
        <f aca="false">VLOOKUP(N1398,Sheet2!G:H,2,0)</f>
        <v>Dead</v>
      </c>
      <c r="P1398" s="17" t="n">
        <v>12</v>
      </c>
      <c r="Q1398" s="17" t="str">
        <f aca="false">VLOOKUP(P1398,Sheet2!J:K,2,0)</f>
        <v>IR Declared due to Others ( IR Normal)TB</v>
      </c>
      <c r="R1398" s="17" t="s">
        <v>35</v>
      </c>
      <c r="S1398" s="17" t="str">
        <f aca="false">VLOOKUP(R1398,Sheet2!N:O,2,0)</f>
        <v>IREPARABLE</v>
      </c>
      <c r="T1398" s="18" t="str">
        <f aca="false">VLOOKUP(P1398,Sheet2!Q:R,2,0)</f>
        <v>IR Normal - BER to IR</v>
      </c>
      <c r="U1398" s="18" t="s">
        <v>101</v>
      </c>
      <c r="V1398" s="17" t="n">
        <v>8</v>
      </c>
      <c r="W1398" s="20" t="str">
        <f aca="false">VLOOKUP(V1398,Sheet2!Q:R,2,0)</f>
        <v>IR Normal -TrackRust/InternalDamage/open</v>
      </c>
      <c r="X1398" s="17" t="str">
        <f aca="false">J1398</f>
        <v>A009</v>
      </c>
      <c r="Y1398" s="17" t="str">
        <f aca="false">VLOOKUP(X1398,Sheet2!A:B,2,0)</f>
        <v>AKASH BAROT</v>
      </c>
      <c r="Z1398" s="17" t="s">
        <v>251</v>
      </c>
      <c r="AA1398" s="17" t="s">
        <v>642</v>
      </c>
      <c r="AB1398" s="17" t="s">
        <v>41</v>
      </c>
      <c r="AC1398" s="0" t="str">
        <f aca="false">LEFT(G1398,2)</f>
        <v>86</v>
      </c>
      <c r="AE1398" s="21" t="s">
        <v>506</v>
      </c>
    </row>
    <row r="1399" customFormat="false" ht="15" hidden="false" customHeight="false" outlineLevel="0" collapsed="false">
      <c r="A1399" s="13" t="n">
        <f aca="false">1+A1398</f>
        <v>1397</v>
      </c>
      <c r="B1399" s="14" t="n">
        <v>1009624335</v>
      </c>
      <c r="C1399" s="15" t="s">
        <v>163</v>
      </c>
      <c r="D1399" s="16" t="s">
        <v>64</v>
      </c>
      <c r="E1399" s="17" t="s">
        <v>64</v>
      </c>
      <c r="F1399" s="18" t="s">
        <v>34</v>
      </c>
      <c r="G1399" s="19" t="n">
        <v>865237318684</v>
      </c>
      <c r="H1399" s="17" t="s">
        <v>35</v>
      </c>
      <c r="I1399" s="17" t="s">
        <v>72</v>
      </c>
      <c r="J1399" s="17" t="s">
        <v>267</v>
      </c>
      <c r="K1399" s="17" t="str">
        <f aca="false">VLOOKUP(J1399,Sheet2!A:B,2,0)</f>
        <v>HARIRAM GUPTA</v>
      </c>
      <c r="L1399" s="17" t="n">
        <v>1</v>
      </c>
      <c r="M1399" s="17" t="str">
        <f aca="false">VLOOKUP(L1399,Sheet2!D:E,2,0)</f>
        <v>Power Supply Section</v>
      </c>
      <c r="N1399" s="17" t="n">
        <v>1</v>
      </c>
      <c r="O1399" s="17" t="str">
        <f aca="false">VLOOKUP(N1399,Sheet2!G:H,2,0)</f>
        <v>Dead</v>
      </c>
      <c r="P1399" s="17" t="n">
        <v>11</v>
      </c>
      <c r="Q1399" s="17" t="str">
        <f aca="false">VLOOKUP(P1399,Sheet2!J:K,2,0)</f>
        <v>IR Declared due to CID -TA</v>
      </c>
      <c r="R1399" s="17" t="s">
        <v>35</v>
      </c>
      <c r="S1399" s="17" t="str">
        <f aca="false">VLOOKUP(R1399,Sheet2!N:O,2,0)</f>
        <v>IREPARABLE</v>
      </c>
      <c r="T1399" s="18" t="str">
        <f aca="false">VLOOKUP(P1399,Sheet2!Q:R,2,0)</f>
        <v>IR Normal - Track burn out</v>
      </c>
      <c r="U1399" s="18" t="s">
        <v>122</v>
      </c>
      <c r="V1399" s="17" t="n">
        <v>2</v>
      </c>
      <c r="W1399" s="20" t="str">
        <f aca="false">VLOOKUP(V1399,Sheet2!Q:R,2,0)</f>
        <v>IR CID -  Water log from other area</v>
      </c>
      <c r="X1399" s="17" t="str">
        <f aca="false">J1399</f>
        <v>A007</v>
      </c>
      <c r="Y1399" s="17" t="str">
        <f aca="false">VLOOKUP(X1399,Sheet2!A:B,2,0)</f>
        <v>HARIRAM GUPTA</v>
      </c>
      <c r="Z1399" s="17" t="s">
        <v>266</v>
      </c>
      <c r="AA1399" s="17" t="s">
        <v>642</v>
      </c>
      <c r="AB1399" s="17" t="s">
        <v>41</v>
      </c>
      <c r="AC1399" s="0" t="str">
        <f aca="false">LEFT(G1399,2)</f>
        <v>86</v>
      </c>
      <c r="AE1399" s="21" t="s">
        <v>506</v>
      </c>
    </row>
    <row r="1400" customFormat="false" ht="15" hidden="false" customHeight="false" outlineLevel="0" collapsed="false">
      <c r="A1400" s="13" t="n">
        <f aca="false">1+A1399</f>
        <v>1398</v>
      </c>
      <c r="B1400" s="14" t="n">
        <v>1009661594</v>
      </c>
      <c r="C1400" s="15" t="s">
        <v>433</v>
      </c>
      <c r="D1400" s="16" t="s">
        <v>209</v>
      </c>
      <c r="E1400" s="17" t="s">
        <v>503</v>
      </c>
      <c r="F1400" s="18" t="s">
        <v>34</v>
      </c>
      <c r="G1400" s="19" t="n">
        <v>868152121554</v>
      </c>
      <c r="H1400" s="17" t="s">
        <v>35</v>
      </c>
      <c r="I1400" s="17" t="s">
        <v>72</v>
      </c>
      <c r="J1400" s="17" t="s">
        <v>37</v>
      </c>
      <c r="K1400" s="17" t="str">
        <f aca="false">VLOOKUP(J1400,Sheet2!A:B,2,0)</f>
        <v>PRASHANT,AKASH</v>
      </c>
      <c r="L1400" s="17" t="n">
        <v>5</v>
      </c>
      <c r="M1400" s="17" t="str">
        <f aca="false">VLOOKUP(L1400,Sheet2!D:E,2,0)</f>
        <v>Main Processor CPU BGA</v>
      </c>
      <c r="N1400" s="17" t="n">
        <v>24</v>
      </c>
      <c r="O1400" s="17" t="str">
        <f aca="false">VLOOKUP(N1400,Sheet2!G:H,2,0)</f>
        <v>STB Auto moving -Stand by mode</v>
      </c>
      <c r="P1400" s="17" t="n">
        <v>12</v>
      </c>
      <c r="Q1400" s="17" t="str">
        <f aca="false">VLOOKUP(P1400,Sheet2!J:K,2,0)</f>
        <v>IR Declared due to Others ( IR Normal)TB</v>
      </c>
      <c r="R1400" s="17" t="s">
        <v>35</v>
      </c>
      <c r="S1400" s="17" t="str">
        <f aca="false">VLOOKUP(R1400,Sheet2!N:O,2,0)</f>
        <v>IREPARABLE</v>
      </c>
      <c r="T1400" s="18" t="str">
        <f aca="false">VLOOKUP(P1400,Sheet2!Q:R,2,0)</f>
        <v>IR Normal - BER to IR</v>
      </c>
      <c r="U1400" s="18" t="s">
        <v>101</v>
      </c>
      <c r="V1400" s="17" t="n">
        <v>8</v>
      </c>
      <c r="W1400" s="20" t="str">
        <f aca="false">VLOOKUP(V1400,Sheet2!Q:R,2,0)</f>
        <v>IR Normal -TrackRust/InternalDamage/open</v>
      </c>
      <c r="X1400" s="17" t="str">
        <f aca="false">J1400</f>
        <v>A041</v>
      </c>
      <c r="Y1400" s="17" t="str">
        <f aca="false">VLOOKUP(X1400,Sheet2!A:B,2,0)</f>
        <v>PRASHANT,AKASH</v>
      </c>
      <c r="Z1400" s="17" t="s">
        <v>284</v>
      </c>
      <c r="AA1400" s="17" t="s">
        <v>642</v>
      </c>
      <c r="AB1400" s="17" t="s">
        <v>41</v>
      </c>
      <c r="AC1400" s="0" t="str">
        <f aca="false">LEFT(G1400,2)</f>
        <v>86</v>
      </c>
      <c r="AE1400" s="21" t="s">
        <v>506</v>
      </c>
    </row>
    <row r="1401" customFormat="false" ht="15" hidden="false" customHeight="false" outlineLevel="0" collapsed="false">
      <c r="A1401" s="13" t="n">
        <f aca="false">1+A1400</f>
        <v>1399</v>
      </c>
      <c r="B1401" s="14" t="n">
        <v>1009603219</v>
      </c>
      <c r="C1401" s="15" t="s">
        <v>181</v>
      </c>
      <c r="D1401" s="16" t="s">
        <v>64</v>
      </c>
      <c r="E1401" s="17" t="s">
        <v>64</v>
      </c>
      <c r="F1401" s="18" t="s">
        <v>34</v>
      </c>
      <c r="G1401" s="19" t="n">
        <v>867252125432</v>
      </c>
      <c r="H1401" s="17" t="s">
        <v>35</v>
      </c>
      <c r="I1401" s="17" t="s">
        <v>72</v>
      </c>
      <c r="J1401" s="17" t="s">
        <v>111</v>
      </c>
      <c r="K1401" s="17" t="str">
        <f aca="false">VLOOKUP(J1401,Sheet2!A:B,2,0)</f>
        <v>NITIN PRANAMI</v>
      </c>
      <c r="L1401" s="17" t="n">
        <v>5</v>
      </c>
      <c r="M1401" s="17" t="str">
        <f aca="false">VLOOKUP(L1401,Sheet2!D:E,2,0)</f>
        <v>Main Processor CPU BGA</v>
      </c>
      <c r="N1401" s="17" t="n">
        <v>24</v>
      </c>
      <c r="O1401" s="17" t="str">
        <f aca="false">VLOOKUP(N1401,Sheet2!G:H,2,0)</f>
        <v>STB Auto moving -Stand by mode</v>
      </c>
      <c r="P1401" s="17" t="n">
        <v>12</v>
      </c>
      <c r="Q1401" s="17" t="str">
        <f aca="false">VLOOKUP(P1401,Sheet2!J:K,2,0)</f>
        <v>IR Declared due to Others ( IR Normal)TB</v>
      </c>
      <c r="R1401" s="17" t="s">
        <v>35</v>
      </c>
      <c r="S1401" s="17" t="str">
        <f aca="false">VLOOKUP(R1401,Sheet2!N:O,2,0)</f>
        <v>IREPARABLE</v>
      </c>
      <c r="T1401" s="18" t="str">
        <f aca="false">VLOOKUP(P1401,Sheet2!Q:R,2,0)</f>
        <v>IR Normal - BER to IR</v>
      </c>
      <c r="U1401" s="15" t="s">
        <v>38</v>
      </c>
      <c r="V1401" s="17" t="n">
        <v>11</v>
      </c>
      <c r="W1401" s="20" t="str">
        <f aca="false">VLOOKUP(V1401,Sheet2!Q:R,2,0)</f>
        <v>IR Normal - Track burn out</v>
      </c>
      <c r="X1401" s="17" t="str">
        <f aca="false">J1401</f>
        <v>A031</v>
      </c>
      <c r="Y1401" s="17" t="str">
        <f aca="false">VLOOKUP(X1401,Sheet2!A:B,2,0)</f>
        <v>NITIN PRANAMI</v>
      </c>
      <c r="Z1401" s="17" t="s">
        <v>695</v>
      </c>
      <c r="AA1401" s="17" t="s">
        <v>642</v>
      </c>
      <c r="AB1401" s="17" t="s">
        <v>41</v>
      </c>
      <c r="AC1401" s="0" t="str">
        <f aca="false">LEFT(G1401,2)</f>
        <v>86</v>
      </c>
      <c r="AE1401" s="21" t="s">
        <v>506</v>
      </c>
    </row>
    <row r="1402" customFormat="false" ht="15" hidden="false" customHeight="false" outlineLevel="0" collapsed="false">
      <c r="A1402" s="13" t="n">
        <f aca="false">1+A1401</f>
        <v>1400</v>
      </c>
      <c r="B1402" s="14" t="n">
        <v>1009619661</v>
      </c>
      <c r="C1402" s="15" t="s">
        <v>184</v>
      </c>
      <c r="D1402" s="16" t="s">
        <v>64</v>
      </c>
      <c r="E1402" s="17" t="s">
        <v>47</v>
      </c>
      <c r="F1402" s="18" t="s">
        <v>34</v>
      </c>
      <c r="G1402" s="19" t="n">
        <v>865238156828</v>
      </c>
      <c r="H1402" s="17" t="s">
        <v>35</v>
      </c>
      <c r="I1402" s="17" t="s">
        <v>72</v>
      </c>
      <c r="J1402" s="17" t="s">
        <v>118</v>
      </c>
      <c r="K1402" s="17" t="str">
        <f aca="false">VLOOKUP(J1402,Sheet2!A:B,2,0)</f>
        <v>DEVENDRA RAJPUT</v>
      </c>
      <c r="L1402" s="17" t="n">
        <v>1</v>
      </c>
      <c r="M1402" s="17" t="str">
        <f aca="false">VLOOKUP(L1402,Sheet2!D:E,2,0)</f>
        <v>Power Supply Section</v>
      </c>
      <c r="N1402" s="17" t="n">
        <v>1</v>
      </c>
      <c r="O1402" s="17" t="str">
        <f aca="false">VLOOKUP(N1402,Sheet2!G:H,2,0)</f>
        <v>Dead</v>
      </c>
      <c r="P1402" s="17" t="n">
        <v>11</v>
      </c>
      <c r="Q1402" s="17" t="str">
        <f aca="false">VLOOKUP(P1402,Sheet2!J:K,2,0)</f>
        <v>IR Declared due to CID -TA</v>
      </c>
      <c r="R1402" s="17" t="s">
        <v>35</v>
      </c>
      <c r="S1402" s="17" t="str">
        <f aca="false">VLOOKUP(R1402,Sheet2!N:O,2,0)</f>
        <v>IREPARABLE</v>
      </c>
      <c r="T1402" s="18" t="str">
        <f aca="false">VLOOKUP(P1402,Sheet2!Q:R,2,0)</f>
        <v>IR Normal - Track burn out</v>
      </c>
      <c r="U1402" s="18" t="s">
        <v>122</v>
      </c>
      <c r="V1402" s="17" t="n">
        <v>2</v>
      </c>
      <c r="W1402" s="20" t="str">
        <f aca="false">VLOOKUP(V1402,Sheet2!Q:R,2,0)</f>
        <v>IR CID -  Water log from other area</v>
      </c>
      <c r="X1402" s="17" t="str">
        <f aca="false">J1402</f>
        <v>A053</v>
      </c>
      <c r="Y1402" s="17" t="str">
        <f aca="false">VLOOKUP(X1402,Sheet2!A:B,2,0)</f>
        <v>DEVENDRA RAJPUT</v>
      </c>
      <c r="Z1402" s="17" t="s">
        <v>266</v>
      </c>
      <c r="AA1402" s="17" t="s">
        <v>642</v>
      </c>
      <c r="AB1402" s="17" t="s">
        <v>41</v>
      </c>
      <c r="AC1402" s="0" t="str">
        <f aca="false">LEFT(G1402,2)</f>
        <v>86</v>
      </c>
      <c r="AE1402" s="21" t="s">
        <v>506</v>
      </c>
    </row>
    <row r="1403" customFormat="false" ht="15" hidden="false" customHeight="false" outlineLevel="0" collapsed="false">
      <c r="A1403" s="13" t="n">
        <f aca="false">1+A1402</f>
        <v>1401</v>
      </c>
      <c r="B1403" s="14" t="n">
        <v>1009459527</v>
      </c>
      <c r="C1403" s="15" t="s">
        <v>220</v>
      </c>
      <c r="D1403" s="16" t="s">
        <v>64</v>
      </c>
      <c r="E1403" s="17" t="s">
        <v>64</v>
      </c>
      <c r="F1403" s="18" t="s">
        <v>34</v>
      </c>
      <c r="G1403" s="19" t="n">
        <v>866156116174</v>
      </c>
      <c r="H1403" s="17" t="s">
        <v>35</v>
      </c>
      <c r="I1403" s="17" t="s">
        <v>72</v>
      </c>
      <c r="J1403" s="17" t="s">
        <v>696</v>
      </c>
      <c r="K1403" s="17" t="str">
        <f aca="false">VLOOKUP(J1403,Sheet2!A:B,2,0)</f>
        <v>PARIXIT PANDYA </v>
      </c>
      <c r="L1403" s="17" t="n">
        <v>12</v>
      </c>
      <c r="M1403" s="17" t="str">
        <f aca="false">VLOOKUP(L1403,Sheet2!D:E,2,0)</f>
        <v>Ethernet / USB</v>
      </c>
      <c r="N1403" s="17" t="n">
        <v>33</v>
      </c>
      <c r="O1403" s="17" t="str">
        <f aca="false">VLOOKUP(N1403,Sheet2!G:H,2,0)</f>
        <v>Software download failure</v>
      </c>
      <c r="P1403" s="17" t="n">
        <v>11</v>
      </c>
      <c r="Q1403" s="17" t="str">
        <f aca="false">VLOOKUP(P1403,Sheet2!J:K,2,0)</f>
        <v>IR Declared due to CID -TA</v>
      </c>
      <c r="R1403" s="17" t="s">
        <v>35</v>
      </c>
      <c r="S1403" s="17" t="str">
        <f aca="false">VLOOKUP(R1403,Sheet2!N:O,2,0)</f>
        <v>IREPARABLE</v>
      </c>
      <c r="T1403" s="18" t="str">
        <f aca="false">VLOOKUP(P1403,Sheet2!Q:R,2,0)</f>
        <v>IR Normal - Track burn out</v>
      </c>
      <c r="U1403" s="18" t="s">
        <v>122</v>
      </c>
      <c r="V1403" s="17" t="n">
        <v>2</v>
      </c>
      <c r="W1403" s="20" t="str">
        <f aca="false">VLOOKUP(V1403,Sheet2!Q:R,2,0)</f>
        <v>IR CID -  Water log from other area</v>
      </c>
      <c r="X1403" s="17" t="str">
        <f aca="false">J1403</f>
        <v>A015</v>
      </c>
      <c r="Y1403" s="17" t="str">
        <f aca="false">VLOOKUP(X1403,Sheet2!A:B,2,0)</f>
        <v>PARIXIT PANDYA </v>
      </c>
      <c r="Z1403" s="17" t="s">
        <v>697</v>
      </c>
      <c r="AA1403" s="17" t="s">
        <v>642</v>
      </c>
      <c r="AB1403" s="17" t="s">
        <v>41</v>
      </c>
      <c r="AC1403" s="0" t="str">
        <f aca="false">LEFT(G1403,2)</f>
        <v>86</v>
      </c>
      <c r="AE1403" s="21" t="s">
        <v>506</v>
      </c>
    </row>
    <row r="1404" customFormat="false" ht="15" hidden="false" customHeight="false" outlineLevel="0" collapsed="false">
      <c r="A1404" s="13" t="n">
        <f aca="false">1+A1403</f>
        <v>1402</v>
      </c>
      <c r="B1404" s="14" t="n">
        <v>1009525419</v>
      </c>
      <c r="C1404" s="15" t="s">
        <v>162</v>
      </c>
      <c r="D1404" s="16" t="s">
        <v>143</v>
      </c>
      <c r="E1404" s="17" t="s">
        <v>47</v>
      </c>
      <c r="F1404" s="18" t="s">
        <v>34</v>
      </c>
      <c r="G1404" s="19" t="n">
        <v>288139211776</v>
      </c>
      <c r="H1404" s="17" t="s">
        <v>35</v>
      </c>
      <c r="I1404" s="17" t="s">
        <v>74</v>
      </c>
      <c r="J1404" s="17" t="s">
        <v>111</v>
      </c>
      <c r="K1404" s="17" t="str">
        <f aca="false">VLOOKUP(J1404,Sheet2!A:B,2,0)</f>
        <v>NITIN PRANAMI</v>
      </c>
      <c r="L1404" s="17" t="n">
        <v>1</v>
      </c>
      <c r="M1404" s="17" t="str">
        <f aca="false">VLOOKUP(L1404,Sheet2!D:E,2,0)</f>
        <v>Power Supply Section</v>
      </c>
      <c r="N1404" s="17" t="n">
        <v>1</v>
      </c>
      <c r="O1404" s="17" t="str">
        <f aca="false">VLOOKUP(N1404,Sheet2!G:H,2,0)</f>
        <v>Dead</v>
      </c>
      <c r="P1404" s="17" t="n">
        <v>11</v>
      </c>
      <c r="Q1404" s="17" t="str">
        <f aca="false">VLOOKUP(P1404,Sheet2!J:K,2,0)</f>
        <v>IR Declared due to CID -TA</v>
      </c>
      <c r="R1404" s="17" t="s">
        <v>35</v>
      </c>
      <c r="S1404" s="17" t="str">
        <f aca="false">VLOOKUP(R1404,Sheet2!N:O,2,0)</f>
        <v>IREPARABLE</v>
      </c>
      <c r="T1404" s="18" t="str">
        <f aca="false">VLOOKUP(P1404,Sheet2!Q:R,2,0)</f>
        <v>IR Normal - Track burn out</v>
      </c>
      <c r="U1404" s="18" t="s">
        <v>122</v>
      </c>
      <c r="V1404" s="17" t="n">
        <v>2</v>
      </c>
      <c r="W1404" s="20" t="str">
        <f aca="false">VLOOKUP(V1404,Sheet2!Q:R,2,0)</f>
        <v>IR CID -  Water log from other area</v>
      </c>
      <c r="X1404" s="17" t="str">
        <f aca="false">J1404</f>
        <v>A031</v>
      </c>
      <c r="Y1404" s="17" t="str">
        <f aca="false">VLOOKUP(X1404,Sheet2!A:B,2,0)</f>
        <v>NITIN PRANAMI</v>
      </c>
      <c r="Z1404" s="17" t="s">
        <v>384</v>
      </c>
      <c r="AA1404" s="17" t="s">
        <v>642</v>
      </c>
      <c r="AB1404" s="17" t="s">
        <v>41</v>
      </c>
      <c r="AC1404" s="0" t="str">
        <f aca="false">LEFT(G1404,2)</f>
        <v>28</v>
      </c>
      <c r="AE1404" s="21" t="s">
        <v>506</v>
      </c>
    </row>
    <row r="1405" customFormat="false" ht="15" hidden="false" customHeight="false" outlineLevel="0" collapsed="false">
      <c r="A1405" s="13" t="n">
        <f aca="false">1+A1404</f>
        <v>1403</v>
      </c>
      <c r="B1405" s="14" t="n">
        <v>1009432571</v>
      </c>
      <c r="C1405" s="15" t="s">
        <v>31</v>
      </c>
      <c r="D1405" s="16" t="s">
        <v>64</v>
      </c>
      <c r="E1405" s="17" t="s">
        <v>114</v>
      </c>
      <c r="F1405" s="18" t="s">
        <v>34</v>
      </c>
      <c r="G1405" s="19" t="n">
        <v>853166734204</v>
      </c>
      <c r="H1405" s="17" t="s">
        <v>35</v>
      </c>
      <c r="I1405" s="17" t="s">
        <v>36</v>
      </c>
      <c r="J1405" s="17" t="s">
        <v>100</v>
      </c>
      <c r="K1405" s="17" t="str">
        <f aca="false">VLOOKUP(J1405,Sheet2!A:B,2,0)</f>
        <v>PIYUSH CHAVDA</v>
      </c>
      <c r="L1405" s="17" t="n">
        <v>1</v>
      </c>
      <c r="M1405" s="17" t="str">
        <f aca="false">VLOOKUP(L1405,Sheet2!D:E,2,0)</f>
        <v>Power Supply Section</v>
      </c>
      <c r="N1405" s="17" t="n">
        <v>1</v>
      </c>
      <c r="O1405" s="17" t="str">
        <f aca="false">VLOOKUP(N1405,Sheet2!G:H,2,0)</f>
        <v>Dead</v>
      </c>
      <c r="P1405" s="17" t="n">
        <v>11</v>
      </c>
      <c r="Q1405" s="17" t="str">
        <f aca="false">VLOOKUP(P1405,Sheet2!J:K,2,0)</f>
        <v>IR Declared due to CID -TA</v>
      </c>
      <c r="R1405" s="17" t="s">
        <v>35</v>
      </c>
      <c r="S1405" s="17" t="str">
        <f aca="false">VLOOKUP(R1405,Sheet2!N:O,2,0)</f>
        <v>IREPARABLE</v>
      </c>
      <c r="T1405" s="18" t="str">
        <f aca="false">VLOOKUP(P1405,Sheet2!Q:R,2,0)</f>
        <v>IR Normal - Track burn out</v>
      </c>
      <c r="U1405" s="18" t="s">
        <v>38</v>
      </c>
      <c r="V1405" s="17" t="n">
        <v>4</v>
      </c>
      <c r="W1405" s="20" t="str">
        <f aca="false">VLOOKUP(V1405,Sheet2!Q:R,2,0)</f>
        <v>IR CID - Tampered Track burn out</v>
      </c>
      <c r="X1405" s="17" t="str">
        <f aca="false">J1405</f>
        <v>A050</v>
      </c>
      <c r="Y1405" s="17" t="str">
        <f aca="false">VLOOKUP(X1405,Sheet2!A:B,2,0)</f>
        <v>PIYUSH CHAVDA</v>
      </c>
      <c r="Z1405" s="17" t="s">
        <v>698</v>
      </c>
      <c r="AA1405" s="17" t="s">
        <v>642</v>
      </c>
      <c r="AB1405" s="17" t="s">
        <v>41</v>
      </c>
      <c r="AC1405" s="0" t="str">
        <f aca="false">LEFT(G1405,2)</f>
        <v>85</v>
      </c>
      <c r="AE1405" s="21" t="s">
        <v>506</v>
      </c>
    </row>
    <row r="1406" customFormat="false" ht="15" hidden="false" customHeight="false" outlineLevel="0" collapsed="false">
      <c r="A1406" s="13" t="n">
        <f aca="false">1+A1405</f>
        <v>1404</v>
      </c>
      <c r="B1406" s="14" t="n">
        <v>1009551193</v>
      </c>
      <c r="C1406" s="15" t="s">
        <v>126</v>
      </c>
      <c r="D1406" s="16" t="s">
        <v>64</v>
      </c>
      <c r="E1406" s="17" t="s">
        <v>47</v>
      </c>
      <c r="F1406" s="18" t="s">
        <v>34</v>
      </c>
      <c r="G1406" s="19" t="n">
        <v>853264702004</v>
      </c>
      <c r="H1406" s="17" t="s">
        <v>35</v>
      </c>
      <c r="I1406" s="17" t="s">
        <v>36</v>
      </c>
      <c r="J1406" s="17" t="s">
        <v>111</v>
      </c>
      <c r="K1406" s="17" t="str">
        <f aca="false">VLOOKUP(J1406,Sheet2!A:B,2,0)</f>
        <v>NITIN PRANAMI</v>
      </c>
      <c r="L1406" s="17" t="n">
        <v>1</v>
      </c>
      <c r="M1406" s="17" t="str">
        <f aca="false">VLOOKUP(L1406,Sheet2!D:E,2,0)</f>
        <v>Power Supply Section</v>
      </c>
      <c r="N1406" s="17" t="n">
        <v>1</v>
      </c>
      <c r="O1406" s="17" t="str">
        <f aca="false">VLOOKUP(N1406,Sheet2!G:H,2,0)</f>
        <v>Dead</v>
      </c>
      <c r="P1406" s="17" t="n">
        <v>11</v>
      </c>
      <c r="Q1406" s="17" t="str">
        <f aca="false">VLOOKUP(P1406,Sheet2!J:K,2,0)</f>
        <v>IR Declared due to CID -TA</v>
      </c>
      <c r="R1406" s="17" t="s">
        <v>35</v>
      </c>
      <c r="S1406" s="17" t="str">
        <f aca="false">VLOOKUP(R1406,Sheet2!N:O,2,0)</f>
        <v>IREPARABLE</v>
      </c>
      <c r="T1406" s="18" t="str">
        <f aca="false">VLOOKUP(P1406,Sheet2!Q:R,2,0)</f>
        <v>IR Normal - Track burn out</v>
      </c>
      <c r="U1406" s="18" t="s">
        <v>122</v>
      </c>
      <c r="V1406" s="17" t="n">
        <v>2</v>
      </c>
      <c r="W1406" s="20" t="str">
        <f aca="false">VLOOKUP(V1406,Sheet2!Q:R,2,0)</f>
        <v>IR CID -  Water log from other area</v>
      </c>
      <c r="X1406" s="17" t="str">
        <f aca="false">J1406</f>
        <v>A031</v>
      </c>
      <c r="Y1406" s="17" t="str">
        <f aca="false">VLOOKUP(X1406,Sheet2!A:B,2,0)</f>
        <v>NITIN PRANAMI</v>
      </c>
      <c r="Z1406" s="17" t="s">
        <v>699</v>
      </c>
      <c r="AA1406" s="17" t="s">
        <v>642</v>
      </c>
      <c r="AB1406" s="17" t="s">
        <v>41</v>
      </c>
      <c r="AC1406" s="0" t="str">
        <f aca="false">LEFT(G1406,2)</f>
        <v>85</v>
      </c>
      <c r="AE1406" s="21" t="s">
        <v>506</v>
      </c>
    </row>
    <row r="1407" customFormat="false" ht="15" hidden="false" customHeight="false" outlineLevel="0" collapsed="false">
      <c r="A1407" s="13" t="n">
        <f aca="false">1+A1406</f>
        <v>1405</v>
      </c>
      <c r="B1407" s="14" t="n">
        <v>1009677175</v>
      </c>
      <c r="C1407" s="15" t="s">
        <v>436</v>
      </c>
      <c r="D1407" s="16" t="s">
        <v>64</v>
      </c>
      <c r="E1407" s="17" t="s">
        <v>47</v>
      </c>
      <c r="F1407" s="18" t="s">
        <v>34</v>
      </c>
      <c r="G1407" s="19" t="n">
        <v>853083711855</v>
      </c>
      <c r="H1407" s="17" t="s">
        <v>35</v>
      </c>
      <c r="I1407" s="17" t="s">
        <v>36</v>
      </c>
      <c r="J1407" s="17" t="s">
        <v>241</v>
      </c>
      <c r="K1407" s="17" t="str">
        <f aca="false">VLOOKUP(J1407,Sheet2!A:B,2,0)</f>
        <v>NILESH NAGAR</v>
      </c>
      <c r="L1407" s="17" t="n">
        <v>5</v>
      </c>
      <c r="M1407" s="17" t="str">
        <f aca="false">VLOOKUP(L1407,Sheet2!D:E,2,0)</f>
        <v>Main Processor CPU BGA</v>
      </c>
      <c r="N1407" s="17" t="n">
        <v>1</v>
      </c>
      <c r="O1407" s="17" t="str">
        <f aca="false">VLOOKUP(N1407,Sheet2!G:H,2,0)</f>
        <v>Dead</v>
      </c>
      <c r="P1407" s="17" t="n">
        <v>11</v>
      </c>
      <c r="Q1407" s="17" t="str">
        <f aca="false">VLOOKUP(P1407,Sheet2!J:K,2,0)</f>
        <v>IR Declared due to CID -TA</v>
      </c>
      <c r="R1407" s="17" t="s">
        <v>35</v>
      </c>
      <c r="S1407" s="17" t="str">
        <f aca="false">VLOOKUP(R1407,Sheet2!N:O,2,0)</f>
        <v>IREPARABLE</v>
      </c>
      <c r="T1407" s="18" t="str">
        <f aca="false">VLOOKUP(P1407,Sheet2!Q:R,2,0)</f>
        <v>IR Normal - Track burn out</v>
      </c>
      <c r="U1407" s="18" t="s">
        <v>199</v>
      </c>
      <c r="V1407" s="17" t="n">
        <v>3</v>
      </c>
      <c r="W1407" s="20" t="str">
        <f aca="false">VLOOKUP(V1407,Sheet2!Q:R,2,0)</f>
        <v>IR CID - Tampered TrackOpen/Reworkdone </v>
      </c>
      <c r="X1407" s="17" t="str">
        <f aca="false">J1407</f>
        <v>A008</v>
      </c>
      <c r="Y1407" s="17" t="str">
        <f aca="false">VLOOKUP(X1407,Sheet2!A:B,2,0)</f>
        <v>NILESH NAGAR</v>
      </c>
      <c r="Z1407" s="17" t="s">
        <v>700</v>
      </c>
      <c r="AA1407" s="17" t="s">
        <v>642</v>
      </c>
      <c r="AB1407" s="17" t="s">
        <v>41</v>
      </c>
      <c r="AC1407" s="0" t="str">
        <f aca="false">LEFT(G1407,2)</f>
        <v>85</v>
      </c>
      <c r="AE1407" s="21" t="s">
        <v>506</v>
      </c>
    </row>
    <row r="1408" customFormat="false" ht="15" hidden="false" customHeight="false" outlineLevel="0" collapsed="false">
      <c r="A1408" s="13" t="n">
        <f aca="false">1+A1407</f>
        <v>1406</v>
      </c>
      <c r="B1408" s="14" t="n">
        <v>1009570558</v>
      </c>
      <c r="C1408" s="17" t="s">
        <v>102</v>
      </c>
      <c r="D1408" s="16" t="s">
        <v>119</v>
      </c>
      <c r="E1408" s="17" t="s">
        <v>47</v>
      </c>
      <c r="F1408" s="18" t="s">
        <v>34</v>
      </c>
      <c r="G1408" s="19" t="n">
        <v>854168709095</v>
      </c>
      <c r="H1408" s="17" t="s">
        <v>35</v>
      </c>
      <c r="I1408" s="17" t="s">
        <v>36</v>
      </c>
      <c r="J1408" s="17" t="s">
        <v>121</v>
      </c>
      <c r="K1408" s="17" t="str">
        <f aca="false">VLOOKUP(J1408,Sheet2!A:B,2,0)</f>
        <v>SHANI GOHIL</v>
      </c>
      <c r="L1408" s="17" t="n">
        <v>1</v>
      </c>
      <c r="M1408" s="17" t="str">
        <f aca="false">VLOOKUP(L1408,Sheet2!D:E,2,0)</f>
        <v>Power Supply Section</v>
      </c>
      <c r="N1408" s="17" t="n">
        <v>1</v>
      </c>
      <c r="O1408" s="17" t="str">
        <f aca="false">VLOOKUP(N1408,Sheet2!G:H,2,0)</f>
        <v>Dead</v>
      </c>
      <c r="P1408" s="17" t="n">
        <v>11</v>
      </c>
      <c r="Q1408" s="17" t="str">
        <f aca="false">VLOOKUP(P1408,Sheet2!J:K,2,0)</f>
        <v>IR Declared due to CID -TA</v>
      </c>
      <c r="R1408" s="17" t="s">
        <v>35</v>
      </c>
      <c r="S1408" s="17" t="str">
        <f aca="false">VLOOKUP(R1408,Sheet2!N:O,2,0)</f>
        <v>IREPARABLE</v>
      </c>
      <c r="T1408" s="18" t="str">
        <f aca="false">VLOOKUP(P1408,Sheet2!Q:R,2,0)</f>
        <v>IR Normal - Track burn out</v>
      </c>
      <c r="U1408" s="18" t="s">
        <v>122</v>
      </c>
      <c r="V1408" s="17" t="n">
        <v>2</v>
      </c>
      <c r="W1408" s="20" t="str">
        <f aca="false">VLOOKUP(V1408,Sheet2!Q:R,2,0)</f>
        <v>IR CID -  Water log from other area</v>
      </c>
      <c r="X1408" s="17" t="str">
        <f aca="false">J1408</f>
        <v>A063</v>
      </c>
      <c r="Y1408" s="17" t="str">
        <f aca="false">VLOOKUP(X1408,Sheet2!A:B,2,0)</f>
        <v>SHANI GOHIL</v>
      </c>
      <c r="Z1408" s="17" t="s">
        <v>701</v>
      </c>
      <c r="AA1408" s="17" t="s">
        <v>642</v>
      </c>
      <c r="AB1408" s="17" t="s">
        <v>41</v>
      </c>
      <c r="AC1408" s="0" t="str">
        <f aca="false">LEFT(G1408,2)</f>
        <v>85</v>
      </c>
      <c r="AE1408" s="21" t="s">
        <v>506</v>
      </c>
    </row>
    <row r="1409" customFormat="false" ht="15" hidden="false" customHeight="false" outlineLevel="0" collapsed="false">
      <c r="A1409" s="13" t="n">
        <f aca="false">1+A1408</f>
        <v>1407</v>
      </c>
      <c r="B1409" s="14" t="n">
        <v>1002459733</v>
      </c>
      <c r="C1409" s="17" t="s">
        <v>702</v>
      </c>
      <c r="D1409" s="16" t="s">
        <v>64</v>
      </c>
      <c r="E1409" s="17" t="s">
        <v>47</v>
      </c>
      <c r="F1409" s="18" t="s">
        <v>34</v>
      </c>
      <c r="G1409" s="19" t="n">
        <v>752118105556</v>
      </c>
      <c r="H1409" s="17" t="s">
        <v>35</v>
      </c>
      <c r="I1409" s="17" t="s">
        <v>54</v>
      </c>
      <c r="J1409" s="17" t="s">
        <v>106</v>
      </c>
      <c r="K1409" s="17" t="str">
        <f aca="false">VLOOKUP(J1409,Sheet2!A:B,2,0)</f>
        <v>PRAKASH CHAVDA</v>
      </c>
      <c r="L1409" s="17" t="n">
        <v>1</v>
      </c>
      <c r="M1409" s="17" t="str">
        <f aca="false">VLOOKUP(L1409,Sheet2!D:E,2,0)</f>
        <v>Power Supply Section</v>
      </c>
      <c r="N1409" s="17" t="n">
        <v>1</v>
      </c>
      <c r="O1409" s="17" t="str">
        <f aca="false">VLOOKUP(N1409,Sheet2!G:H,2,0)</f>
        <v>Dead</v>
      </c>
      <c r="P1409" s="17" t="n">
        <v>12</v>
      </c>
      <c r="Q1409" s="17" t="str">
        <f aca="false">VLOOKUP(P1409,Sheet2!J:K,2,0)</f>
        <v>IR Declared due to Others ( IR Normal)TB</v>
      </c>
      <c r="R1409" s="17" t="s">
        <v>35</v>
      </c>
      <c r="S1409" s="17" t="str">
        <f aca="false">VLOOKUP(R1409,Sheet2!N:O,2,0)</f>
        <v>IREPARABLE</v>
      </c>
      <c r="T1409" s="18" t="str">
        <f aca="false">VLOOKUP(P1409,Sheet2!Q:R,2,0)</f>
        <v>IR Normal - BER to IR</v>
      </c>
      <c r="U1409" s="18" t="s">
        <v>101</v>
      </c>
      <c r="V1409" s="17" t="n">
        <v>8</v>
      </c>
      <c r="W1409" s="20" t="str">
        <f aca="false">VLOOKUP(V1409,Sheet2!Q:R,2,0)</f>
        <v>IR Normal -TrackRust/InternalDamage/open</v>
      </c>
      <c r="X1409" s="17" t="str">
        <f aca="false">J1409</f>
        <v>A018</v>
      </c>
      <c r="Y1409" s="17" t="str">
        <f aca="false">VLOOKUP(X1409,Sheet2!A:B,2,0)</f>
        <v>PRAKASH CHAVDA</v>
      </c>
      <c r="Z1409" s="17" t="s">
        <v>539</v>
      </c>
      <c r="AA1409" s="17" t="s">
        <v>642</v>
      </c>
      <c r="AB1409" s="17" t="s">
        <v>41</v>
      </c>
      <c r="AC1409" s="0" t="str">
        <f aca="false">LEFT(G1409,2)</f>
        <v>75</v>
      </c>
      <c r="AE1409" s="21" t="s">
        <v>506</v>
      </c>
    </row>
    <row r="1410" customFormat="false" ht="15" hidden="false" customHeight="false" outlineLevel="0" collapsed="false">
      <c r="A1410" s="13" t="n">
        <f aca="false">1+A1409</f>
        <v>1408</v>
      </c>
      <c r="B1410" s="14" t="n">
        <v>1009646222</v>
      </c>
      <c r="C1410" s="17" t="s">
        <v>204</v>
      </c>
      <c r="D1410" s="16" t="s">
        <v>64</v>
      </c>
      <c r="E1410" s="17" t="s">
        <v>33</v>
      </c>
      <c r="F1410" s="18" t="s">
        <v>34</v>
      </c>
      <c r="G1410" s="19" t="n">
        <v>288139154844</v>
      </c>
      <c r="H1410" s="17" t="s">
        <v>35</v>
      </c>
      <c r="I1410" s="17" t="s">
        <v>74</v>
      </c>
      <c r="J1410" s="17" t="s">
        <v>118</v>
      </c>
      <c r="K1410" s="17" t="str">
        <f aca="false">VLOOKUP(J1410,Sheet2!A:B,2,0)</f>
        <v>DEVENDRA RAJPUT</v>
      </c>
      <c r="L1410" s="17" t="n">
        <v>7</v>
      </c>
      <c r="M1410" s="17" t="str">
        <f aca="false">VLOOKUP(L1410,Sheet2!D:E,2,0)</f>
        <v>Card Reader Section</v>
      </c>
      <c r="N1410" s="17" t="n">
        <v>36</v>
      </c>
      <c r="O1410" s="17" t="str">
        <f aca="false">VLOOKUP(N1410,Sheet2!G:H,2,0)</f>
        <v>Error -1</v>
      </c>
      <c r="P1410" s="17" t="n">
        <v>11</v>
      </c>
      <c r="Q1410" s="17" t="str">
        <f aca="false">VLOOKUP(P1410,Sheet2!J:K,2,0)</f>
        <v>IR Declared due to CID -TA</v>
      </c>
      <c r="R1410" s="17" t="s">
        <v>35</v>
      </c>
      <c r="S1410" s="17" t="str">
        <f aca="false">VLOOKUP(R1410,Sheet2!N:O,2,0)</f>
        <v>IREPARABLE</v>
      </c>
      <c r="T1410" s="18" t="str">
        <f aca="false">VLOOKUP(P1410,Sheet2!Q:R,2,0)</f>
        <v>IR Normal - Track burn out</v>
      </c>
      <c r="U1410" s="18" t="s">
        <v>122</v>
      </c>
      <c r="V1410" s="17" t="n">
        <v>2</v>
      </c>
      <c r="W1410" s="20" t="str">
        <f aca="false">VLOOKUP(V1410,Sheet2!Q:R,2,0)</f>
        <v>IR CID -  Water log from other area</v>
      </c>
      <c r="X1410" s="17" t="str">
        <f aca="false">J1410</f>
        <v>A053</v>
      </c>
      <c r="Y1410" s="17" t="str">
        <f aca="false">VLOOKUP(X1410,Sheet2!A:B,2,0)</f>
        <v>DEVENDRA RAJPUT</v>
      </c>
      <c r="Z1410" s="17" t="s">
        <v>381</v>
      </c>
      <c r="AA1410" s="17" t="s">
        <v>642</v>
      </c>
      <c r="AB1410" s="17" t="s">
        <v>41</v>
      </c>
      <c r="AC1410" s="0" t="str">
        <f aca="false">LEFT(G1410,2)</f>
        <v>28</v>
      </c>
      <c r="AE1410" s="21" t="s">
        <v>506</v>
      </c>
    </row>
    <row r="1411" customFormat="false" ht="15" hidden="false" customHeight="false" outlineLevel="0" collapsed="false">
      <c r="A1411" s="13" t="n">
        <f aca="false">1+A1410</f>
        <v>1409</v>
      </c>
      <c r="B1411" s="14" t="n">
        <v>1008927488</v>
      </c>
      <c r="C1411" s="17" t="s">
        <v>703</v>
      </c>
      <c r="D1411" s="16" t="s">
        <v>64</v>
      </c>
      <c r="E1411" s="17" t="s">
        <v>704</v>
      </c>
      <c r="F1411" s="18" t="s">
        <v>34</v>
      </c>
      <c r="G1411" s="19" t="n">
        <v>429245283073</v>
      </c>
      <c r="H1411" s="17" t="s">
        <v>35</v>
      </c>
      <c r="I1411" s="17" t="s">
        <v>82</v>
      </c>
      <c r="J1411" s="17" t="s">
        <v>133</v>
      </c>
      <c r="K1411" s="17" t="str">
        <f aca="false">VLOOKUP(J1411,Sheet2!A:B,2,0)</f>
        <v>AKASH BAROT</v>
      </c>
      <c r="L1411" s="17" t="n">
        <v>3</v>
      </c>
      <c r="M1411" s="17" t="str">
        <f aca="false">VLOOKUP(L1411,Sheet2!D:E,2,0)</f>
        <v>Video Section</v>
      </c>
      <c r="N1411" s="17" t="n">
        <v>16</v>
      </c>
      <c r="O1411" s="17" t="str">
        <f aca="false">VLOOKUP(N1411,Sheet2!G:H,2,0)</f>
        <v>No Video - HDMI</v>
      </c>
      <c r="P1411" s="17" t="n">
        <v>12</v>
      </c>
      <c r="Q1411" s="17" t="str">
        <f aca="false">VLOOKUP(P1411,Sheet2!J:K,2,0)</f>
        <v>IR Declared due to Others ( IR Normal)TB</v>
      </c>
      <c r="R1411" s="17" t="s">
        <v>35</v>
      </c>
      <c r="S1411" s="17" t="str">
        <f aca="false">VLOOKUP(R1411,Sheet2!N:O,2,0)</f>
        <v>IREPARABLE</v>
      </c>
      <c r="T1411" s="18" t="str">
        <f aca="false">VLOOKUP(P1411,Sheet2!Q:R,2,0)</f>
        <v>IR Normal - BER to IR</v>
      </c>
      <c r="U1411" s="18" t="s">
        <v>101</v>
      </c>
      <c r="V1411" s="17" t="n">
        <v>8</v>
      </c>
      <c r="W1411" s="20" t="str">
        <f aca="false">VLOOKUP(V1411,Sheet2!Q:R,2,0)</f>
        <v>IR Normal -TrackRust/InternalDamage/open</v>
      </c>
      <c r="X1411" s="17" t="str">
        <f aca="false">J1411</f>
        <v>A009</v>
      </c>
      <c r="Y1411" s="17" t="str">
        <f aca="false">VLOOKUP(X1411,Sheet2!A:B,2,0)</f>
        <v>AKASH BAROT</v>
      </c>
      <c r="Z1411" s="17" t="s">
        <v>705</v>
      </c>
      <c r="AA1411" s="17" t="s">
        <v>642</v>
      </c>
      <c r="AB1411" s="17" t="s">
        <v>41</v>
      </c>
      <c r="AC1411" s="0" t="str">
        <f aca="false">LEFT(G1411,2)</f>
        <v>42</v>
      </c>
      <c r="AE1411" s="21" t="s">
        <v>506</v>
      </c>
    </row>
    <row r="1412" customFormat="false" ht="15" hidden="false" customHeight="false" outlineLevel="0" collapsed="false">
      <c r="A1412" s="13" t="n">
        <f aca="false">1+A1411</f>
        <v>1410</v>
      </c>
      <c r="B1412" s="14" t="n">
        <v>1009438517</v>
      </c>
      <c r="C1412" s="17" t="s">
        <v>197</v>
      </c>
      <c r="D1412" s="16" t="s">
        <v>209</v>
      </c>
      <c r="E1412" s="17" t="s">
        <v>255</v>
      </c>
      <c r="F1412" s="18" t="s">
        <v>34</v>
      </c>
      <c r="G1412" s="19" t="n">
        <v>429301133816</v>
      </c>
      <c r="H1412" s="17" t="s">
        <v>35</v>
      </c>
      <c r="I1412" s="17" t="s">
        <v>82</v>
      </c>
      <c r="J1412" s="17" t="s">
        <v>100</v>
      </c>
      <c r="K1412" s="17" t="str">
        <f aca="false">VLOOKUP(J1412,Sheet2!A:B,2,0)</f>
        <v>PIYUSH CHAVDA</v>
      </c>
      <c r="L1412" s="17" t="n">
        <v>1</v>
      </c>
      <c r="M1412" s="17" t="str">
        <f aca="false">VLOOKUP(L1412,Sheet2!D:E,2,0)</f>
        <v>Power Supply Section</v>
      </c>
      <c r="N1412" s="17" t="n">
        <v>1</v>
      </c>
      <c r="O1412" s="17" t="str">
        <f aca="false">VLOOKUP(N1412,Sheet2!G:H,2,0)</f>
        <v>Dead</v>
      </c>
      <c r="P1412" s="17" t="n">
        <v>12</v>
      </c>
      <c r="Q1412" s="17" t="str">
        <f aca="false">VLOOKUP(P1412,Sheet2!J:K,2,0)</f>
        <v>IR Declared due to Others ( IR Normal)TB</v>
      </c>
      <c r="R1412" s="17" t="s">
        <v>35</v>
      </c>
      <c r="S1412" s="17" t="str">
        <f aca="false">VLOOKUP(R1412,Sheet2!N:O,2,0)</f>
        <v>IREPARABLE</v>
      </c>
      <c r="T1412" s="18" t="str">
        <f aca="false">VLOOKUP(P1412,Sheet2!Q:R,2,0)</f>
        <v>IR Normal - BER to IR</v>
      </c>
      <c r="U1412" s="18" t="s">
        <v>101</v>
      </c>
      <c r="V1412" s="17" t="n">
        <v>8</v>
      </c>
      <c r="W1412" s="20" t="str">
        <f aca="false">VLOOKUP(V1412,Sheet2!Q:R,2,0)</f>
        <v>IR Normal -TrackRust/InternalDamage/open</v>
      </c>
      <c r="X1412" s="17" t="str">
        <f aca="false">J1412</f>
        <v>A050</v>
      </c>
      <c r="Y1412" s="17" t="str">
        <f aca="false">VLOOKUP(X1412,Sheet2!A:B,2,0)</f>
        <v>PIYUSH CHAVDA</v>
      </c>
      <c r="Z1412" s="17" t="s">
        <v>706</v>
      </c>
      <c r="AA1412" s="17" t="s">
        <v>642</v>
      </c>
      <c r="AB1412" s="17" t="s">
        <v>41</v>
      </c>
      <c r="AC1412" s="0" t="str">
        <f aca="false">LEFT(G1412,2)</f>
        <v>42</v>
      </c>
      <c r="AE1412" s="21" t="s">
        <v>506</v>
      </c>
    </row>
    <row r="1413" customFormat="false" ht="15" hidden="false" customHeight="false" outlineLevel="0" collapsed="false">
      <c r="A1413" s="13" t="n">
        <f aca="false">1+A1412</f>
        <v>1411</v>
      </c>
      <c r="B1413" s="14" t="n">
        <v>1008737324</v>
      </c>
      <c r="C1413" s="17" t="s">
        <v>500</v>
      </c>
      <c r="D1413" s="16" t="s">
        <v>64</v>
      </c>
      <c r="E1413" s="17" t="s">
        <v>64</v>
      </c>
      <c r="F1413" s="18" t="s">
        <v>34</v>
      </c>
      <c r="G1413" s="19" t="n">
        <v>879005111171</v>
      </c>
      <c r="H1413" s="17" t="s">
        <v>35</v>
      </c>
      <c r="I1413" s="17" t="s">
        <v>79</v>
      </c>
      <c r="J1413" s="17" t="s">
        <v>323</v>
      </c>
      <c r="K1413" s="17" t="str">
        <f aca="false">VLOOKUP(J1413,Sheet2!A:B,2,0)</f>
        <v>GHANSHYAM VYAS</v>
      </c>
      <c r="L1413" s="17" t="n">
        <v>5</v>
      </c>
      <c r="M1413" s="17" t="str">
        <f aca="false">VLOOKUP(L1413,Sheet2!D:E,2,0)</f>
        <v>Main Processor CPU BGA</v>
      </c>
      <c r="N1413" s="17" t="n">
        <v>24</v>
      </c>
      <c r="O1413" s="17" t="str">
        <f aca="false">VLOOKUP(N1413,Sheet2!G:H,2,0)</f>
        <v>STB Auto moving -Stand by mode</v>
      </c>
      <c r="P1413" s="17" t="n">
        <v>11</v>
      </c>
      <c r="Q1413" s="17" t="str">
        <f aca="false">VLOOKUP(P1413,Sheet2!J:K,2,0)</f>
        <v>IR Declared due to CID -TA</v>
      </c>
      <c r="R1413" s="17" t="s">
        <v>35</v>
      </c>
      <c r="S1413" s="17" t="str">
        <f aca="false">VLOOKUP(R1413,Sheet2!N:O,2,0)</f>
        <v>IREPARABLE</v>
      </c>
      <c r="T1413" s="18" t="str">
        <f aca="false">VLOOKUP(P1413,Sheet2!Q:R,2,0)</f>
        <v>IR Normal - Track burn out</v>
      </c>
      <c r="U1413" s="18" t="s">
        <v>38</v>
      </c>
      <c r="V1413" s="17" t="n">
        <v>4</v>
      </c>
      <c r="W1413" s="20" t="str">
        <f aca="false">VLOOKUP(V1413,Sheet2!Q:R,2,0)</f>
        <v>IR CID - Tampered Track burn out</v>
      </c>
      <c r="X1413" s="17" t="str">
        <f aca="false">J1413</f>
        <v>A068</v>
      </c>
      <c r="Y1413" s="17" t="str">
        <f aca="false">VLOOKUP(X1413,Sheet2!A:B,2,0)</f>
        <v>GHANSHYAM VYAS</v>
      </c>
      <c r="Z1413" s="17" t="s">
        <v>707</v>
      </c>
      <c r="AA1413" s="17" t="s">
        <v>642</v>
      </c>
      <c r="AB1413" s="17" t="s">
        <v>41</v>
      </c>
      <c r="AC1413" s="0" t="str">
        <f aca="false">LEFT(G1413,2)</f>
        <v>87</v>
      </c>
      <c r="AE1413" s="21" t="s">
        <v>506</v>
      </c>
    </row>
    <row r="1414" customFormat="false" ht="15" hidden="false" customHeight="false" outlineLevel="0" collapsed="false">
      <c r="A1414" s="13" t="n">
        <f aca="false">1+A1413</f>
        <v>1412</v>
      </c>
      <c r="B1414" s="14" t="n">
        <v>1009447417</v>
      </c>
      <c r="C1414" s="17" t="s">
        <v>189</v>
      </c>
      <c r="D1414" s="16" t="s">
        <v>64</v>
      </c>
      <c r="E1414" s="17" t="s">
        <v>47</v>
      </c>
      <c r="F1414" s="18" t="s">
        <v>34</v>
      </c>
      <c r="G1414" s="19" t="n">
        <v>878306128660</v>
      </c>
      <c r="H1414" s="17" t="s">
        <v>35</v>
      </c>
      <c r="I1414" s="17" t="s">
        <v>79</v>
      </c>
      <c r="J1414" s="17" t="s">
        <v>323</v>
      </c>
      <c r="K1414" s="17" t="str">
        <f aca="false">VLOOKUP(J1414,Sheet2!A:B,2,0)</f>
        <v>GHANSHYAM VYAS</v>
      </c>
      <c r="L1414" s="17" t="n">
        <v>1</v>
      </c>
      <c r="M1414" s="17" t="str">
        <f aca="false">VLOOKUP(L1414,Sheet2!D:E,2,0)</f>
        <v>Power Supply Section</v>
      </c>
      <c r="N1414" s="17" t="n">
        <v>1</v>
      </c>
      <c r="O1414" s="17" t="str">
        <f aca="false">VLOOKUP(N1414,Sheet2!G:H,2,0)</f>
        <v>Dead</v>
      </c>
      <c r="P1414" s="17" t="n">
        <v>12</v>
      </c>
      <c r="Q1414" s="17" t="str">
        <f aca="false">VLOOKUP(P1414,Sheet2!J:K,2,0)</f>
        <v>IR Declared due to Others ( IR Normal)TB</v>
      </c>
      <c r="R1414" s="17" t="s">
        <v>35</v>
      </c>
      <c r="S1414" s="17" t="str">
        <f aca="false">VLOOKUP(R1414,Sheet2!N:O,2,0)</f>
        <v>IREPARABLE</v>
      </c>
      <c r="T1414" s="18" t="str">
        <f aca="false">VLOOKUP(P1414,Sheet2!Q:R,2,0)</f>
        <v>IR Normal - BER to IR</v>
      </c>
      <c r="U1414" s="15" t="s">
        <v>38</v>
      </c>
      <c r="V1414" s="17" t="n">
        <v>11</v>
      </c>
      <c r="W1414" s="20" t="str">
        <f aca="false">VLOOKUP(V1414,Sheet2!Q:R,2,0)</f>
        <v>IR Normal - Track burn out</v>
      </c>
      <c r="X1414" s="17" t="str">
        <f aca="false">J1414</f>
        <v>A068</v>
      </c>
      <c r="Y1414" s="17" t="str">
        <f aca="false">VLOOKUP(X1414,Sheet2!A:B,2,0)</f>
        <v>GHANSHYAM VYAS</v>
      </c>
      <c r="Z1414" s="17" t="s">
        <v>708</v>
      </c>
      <c r="AA1414" s="17" t="s">
        <v>642</v>
      </c>
      <c r="AB1414" s="17" t="s">
        <v>41</v>
      </c>
      <c r="AC1414" s="0" t="str">
        <f aca="false">LEFT(G1414,2)</f>
        <v>87</v>
      </c>
      <c r="AE1414" s="21" t="s">
        <v>506</v>
      </c>
    </row>
    <row r="1415" customFormat="false" ht="15" hidden="false" customHeight="false" outlineLevel="0" collapsed="false">
      <c r="A1415" s="13" t="n">
        <f aca="false">1+A1414</f>
        <v>1413</v>
      </c>
      <c r="B1415" s="14" t="n">
        <v>1009614445</v>
      </c>
      <c r="C1415" s="17" t="s">
        <v>184</v>
      </c>
      <c r="D1415" s="16" t="s">
        <v>119</v>
      </c>
      <c r="E1415" s="17" t="s">
        <v>709</v>
      </c>
      <c r="F1415" s="18" t="s">
        <v>34</v>
      </c>
      <c r="G1415" s="19" t="n">
        <v>878149178500</v>
      </c>
      <c r="H1415" s="17" t="s">
        <v>35</v>
      </c>
      <c r="I1415" s="17" t="s">
        <v>79</v>
      </c>
      <c r="J1415" s="17" t="s">
        <v>100</v>
      </c>
      <c r="K1415" s="17" t="str">
        <f aca="false">VLOOKUP(J1415,Sheet2!A:B,2,0)</f>
        <v>PIYUSH CHAVDA</v>
      </c>
      <c r="L1415" s="17" t="n">
        <v>5</v>
      </c>
      <c r="M1415" s="17" t="str">
        <f aca="false">VLOOKUP(L1415,Sheet2!D:E,2,0)</f>
        <v>Main Processor CPU BGA</v>
      </c>
      <c r="N1415" s="17" t="n">
        <v>1</v>
      </c>
      <c r="O1415" s="17" t="str">
        <f aca="false">VLOOKUP(N1415,Sheet2!G:H,2,0)</f>
        <v>Dead</v>
      </c>
      <c r="P1415" s="17" t="n">
        <v>12</v>
      </c>
      <c r="Q1415" s="17" t="str">
        <f aca="false">VLOOKUP(P1415,Sheet2!J:K,2,0)</f>
        <v>IR Declared due to Others ( IR Normal)TB</v>
      </c>
      <c r="R1415" s="17" t="s">
        <v>35</v>
      </c>
      <c r="S1415" s="17" t="str">
        <f aca="false">VLOOKUP(R1415,Sheet2!N:O,2,0)</f>
        <v>IREPARABLE</v>
      </c>
      <c r="T1415" s="18" t="str">
        <f aca="false">VLOOKUP(P1415,Sheet2!Q:R,2,0)</f>
        <v>IR Normal - BER to IR</v>
      </c>
      <c r="U1415" s="18" t="s">
        <v>101</v>
      </c>
      <c r="V1415" s="17" t="n">
        <v>8</v>
      </c>
      <c r="W1415" s="20" t="str">
        <f aca="false">VLOOKUP(V1415,Sheet2!Q:R,2,0)</f>
        <v>IR Normal -TrackRust/InternalDamage/open</v>
      </c>
      <c r="X1415" s="17" t="str">
        <f aca="false">J1415</f>
        <v>A050</v>
      </c>
      <c r="Y1415" s="17" t="str">
        <f aca="false">VLOOKUP(X1415,Sheet2!A:B,2,0)</f>
        <v>PIYUSH CHAVDA</v>
      </c>
      <c r="Z1415" s="17" t="s">
        <v>708</v>
      </c>
      <c r="AA1415" s="17" t="s">
        <v>642</v>
      </c>
      <c r="AB1415" s="17" t="s">
        <v>41</v>
      </c>
      <c r="AC1415" s="0" t="str">
        <f aca="false">LEFT(G1415,2)</f>
        <v>87</v>
      </c>
      <c r="AE1415" s="21" t="s">
        <v>506</v>
      </c>
    </row>
    <row r="1416" customFormat="false" ht="15" hidden="false" customHeight="false" outlineLevel="0" collapsed="false">
      <c r="A1416" s="13" t="n">
        <f aca="false">1+A1415</f>
        <v>1414</v>
      </c>
      <c r="B1416" s="14" t="n">
        <v>1009640678</v>
      </c>
      <c r="C1416" s="17" t="s">
        <v>429</v>
      </c>
      <c r="D1416" s="16" t="s">
        <v>175</v>
      </c>
      <c r="E1416" s="17" t="s">
        <v>176</v>
      </c>
      <c r="F1416" s="18" t="s">
        <v>34</v>
      </c>
      <c r="G1416" s="19" t="n">
        <v>889278100637</v>
      </c>
      <c r="H1416" s="17" t="s">
        <v>35</v>
      </c>
      <c r="I1416" s="17" t="s">
        <v>79</v>
      </c>
      <c r="J1416" s="17" t="s">
        <v>111</v>
      </c>
      <c r="K1416" s="17" t="str">
        <f aca="false">VLOOKUP(J1416,Sheet2!A:B,2,0)</f>
        <v>NITIN PRANAMI</v>
      </c>
      <c r="L1416" s="17" t="n">
        <v>1</v>
      </c>
      <c r="M1416" s="17" t="str">
        <f aca="false">VLOOKUP(L1416,Sheet2!D:E,2,0)</f>
        <v>Power Supply Section</v>
      </c>
      <c r="N1416" s="17" t="n">
        <v>1</v>
      </c>
      <c r="O1416" s="17" t="str">
        <f aca="false">VLOOKUP(N1416,Sheet2!G:H,2,0)</f>
        <v>Dead</v>
      </c>
      <c r="P1416" s="17" t="n">
        <v>12</v>
      </c>
      <c r="Q1416" s="17" t="str">
        <f aca="false">VLOOKUP(P1416,Sheet2!J:K,2,0)</f>
        <v>IR Declared due to Others ( IR Normal)TB</v>
      </c>
      <c r="R1416" s="17" t="s">
        <v>35</v>
      </c>
      <c r="S1416" s="17" t="str">
        <f aca="false">VLOOKUP(R1416,Sheet2!N:O,2,0)</f>
        <v>IREPARABLE</v>
      </c>
      <c r="T1416" s="18" t="str">
        <f aca="false">VLOOKUP(P1416,Sheet2!Q:R,2,0)</f>
        <v>IR Normal - BER to IR</v>
      </c>
      <c r="U1416" s="18" t="s">
        <v>101</v>
      </c>
      <c r="V1416" s="17" t="n">
        <v>8</v>
      </c>
      <c r="W1416" s="20" t="str">
        <f aca="false">VLOOKUP(V1416,Sheet2!Q:R,2,0)</f>
        <v>IR Normal -TrackRust/InternalDamage/open</v>
      </c>
      <c r="X1416" s="17" t="str">
        <f aca="false">J1416</f>
        <v>A031</v>
      </c>
      <c r="Y1416" s="17" t="str">
        <f aca="false">VLOOKUP(X1416,Sheet2!A:B,2,0)</f>
        <v>NITIN PRANAMI</v>
      </c>
      <c r="Z1416" s="17" t="s">
        <v>710</v>
      </c>
      <c r="AA1416" s="17" t="s">
        <v>642</v>
      </c>
      <c r="AB1416" s="17" t="s">
        <v>41</v>
      </c>
      <c r="AC1416" s="0" t="str">
        <f aca="false">LEFT(G1416,2)</f>
        <v>88</v>
      </c>
      <c r="AE1416" s="21" t="s">
        <v>506</v>
      </c>
    </row>
    <row r="1417" customFormat="false" ht="15" hidden="false" customHeight="false" outlineLevel="0" collapsed="false">
      <c r="A1417" s="13" t="n">
        <f aca="false">1+A1416</f>
        <v>1415</v>
      </c>
      <c r="B1417" s="14" t="n">
        <v>1009607708</v>
      </c>
      <c r="C1417" s="17" t="s">
        <v>181</v>
      </c>
      <c r="D1417" s="16" t="s">
        <v>113</v>
      </c>
      <c r="E1417" s="17" t="s">
        <v>114</v>
      </c>
      <c r="F1417" s="18" t="s">
        <v>34</v>
      </c>
      <c r="G1417" s="19" t="n">
        <v>879120155665</v>
      </c>
      <c r="H1417" s="17" t="s">
        <v>35</v>
      </c>
      <c r="I1417" s="17" t="s">
        <v>79</v>
      </c>
      <c r="J1417" s="17" t="s">
        <v>133</v>
      </c>
      <c r="K1417" s="17" t="str">
        <f aca="false">VLOOKUP(J1417,Sheet2!A:B,2,0)</f>
        <v>AKASH BAROT</v>
      </c>
      <c r="L1417" s="17" t="n">
        <v>2</v>
      </c>
      <c r="M1417" s="17" t="str">
        <f aca="false">VLOOKUP(L1417,Sheet2!D:E,2,0)</f>
        <v>Tuner Section</v>
      </c>
      <c r="N1417" s="17" t="n">
        <v>6</v>
      </c>
      <c r="O1417" s="17" t="str">
        <f aca="false">VLOOKUP(N1417,Sheet2!G:H,2,0)</f>
        <v>No Signal</v>
      </c>
      <c r="P1417" s="17" t="n">
        <v>12</v>
      </c>
      <c r="Q1417" s="17" t="str">
        <f aca="false">VLOOKUP(P1417,Sheet2!J:K,2,0)</f>
        <v>IR Declared due to Others ( IR Normal)TB</v>
      </c>
      <c r="R1417" s="17" t="s">
        <v>35</v>
      </c>
      <c r="S1417" s="17" t="str">
        <f aca="false">VLOOKUP(R1417,Sheet2!N:O,2,0)</f>
        <v>IREPARABLE</v>
      </c>
      <c r="T1417" s="18" t="str">
        <f aca="false">VLOOKUP(P1417,Sheet2!Q:R,2,0)</f>
        <v>IR Normal - BER to IR</v>
      </c>
      <c r="U1417" s="18" t="s">
        <v>101</v>
      </c>
      <c r="V1417" s="17" t="n">
        <v>8</v>
      </c>
      <c r="W1417" s="20" t="str">
        <f aca="false">VLOOKUP(V1417,Sheet2!Q:R,2,0)</f>
        <v>IR Normal -TrackRust/InternalDamage/open</v>
      </c>
      <c r="X1417" s="17" t="str">
        <f aca="false">J1417</f>
        <v>A009</v>
      </c>
      <c r="Y1417" s="17" t="str">
        <f aca="false">VLOOKUP(X1417,Sheet2!A:B,2,0)</f>
        <v>AKASH BAROT</v>
      </c>
      <c r="Z1417" s="17" t="s">
        <v>302</v>
      </c>
      <c r="AA1417" s="17" t="s">
        <v>642</v>
      </c>
      <c r="AB1417" s="17" t="s">
        <v>41</v>
      </c>
      <c r="AC1417" s="0" t="str">
        <f aca="false">LEFT(G1417,2)</f>
        <v>87</v>
      </c>
      <c r="AE1417" s="21" t="s">
        <v>506</v>
      </c>
    </row>
    <row r="1418" customFormat="false" ht="15" hidden="false" customHeight="false" outlineLevel="0" collapsed="false">
      <c r="A1418" s="13" t="n">
        <f aca="false">1+A1417</f>
        <v>1416</v>
      </c>
      <c r="B1418" s="14" t="n">
        <v>1009610485</v>
      </c>
      <c r="C1418" s="17" t="s">
        <v>181</v>
      </c>
      <c r="D1418" s="16" t="s">
        <v>167</v>
      </c>
      <c r="E1418" s="17" t="s">
        <v>47</v>
      </c>
      <c r="F1418" s="18" t="s">
        <v>34</v>
      </c>
      <c r="G1418" s="19" t="n">
        <v>167193912760</v>
      </c>
      <c r="H1418" s="17" t="s">
        <v>35</v>
      </c>
      <c r="I1418" s="17" t="s">
        <v>76</v>
      </c>
      <c r="J1418" s="17" t="s">
        <v>121</v>
      </c>
      <c r="K1418" s="17" t="str">
        <f aca="false">VLOOKUP(J1418,Sheet2!A:B,2,0)</f>
        <v>SHANI GOHIL</v>
      </c>
      <c r="L1418" s="17" t="n">
        <v>2</v>
      </c>
      <c r="M1418" s="17" t="str">
        <f aca="false">VLOOKUP(L1418,Sheet2!D:E,2,0)</f>
        <v>Tuner Section</v>
      </c>
      <c r="N1418" s="17" t="n">
        <v>6</v>
      </c>
      <c r="O1418" s="17" t="str">
        <f aca="false">VLOOKUP(N1418,Sheet2!G:H,2,0)</f>
        <v>No Signal</v>
      </c>
      <c r="P1418" s="17" t="n">
        <v>11</v>
      </c>
      <c r="Q1418" s="17" t="str">
        <f aca="false">VLOOKUP(P1418,Sheet2!J:K,2,0)</f>
        <v>IR Declared due to CID -TA</v>
      </c>
      <c r="R1418" s="17" t="s">
        <v>35</v>
      </c>
      <c r="S1418" s="17" t="str">
        <f aca="false">VLOOKUP(R1418,Sheet2!N:O,2,0)</f>
        <v>IREPARABLE</v>
      </c>
      <c r="T1418" s="18" t="str">
        <f aca="false">VLOOKUP(P1418,Sheet2!Q:R,2,0)</f>
        <v>IR Normal - Track burn out</v>
      </c>
      <c r="U1418" s="18" t="s">
        <v>38</v>
      </c>
      <c r="V1418" s="17" t="n">
        <v>4</v>
      </c>
      <c r="W1418" s="20" t="str">
        <f aca="false">VLOOKUP(V1418,Sheet2!Q:R,2,0)</f>
        <v>IR CID - Tampered Track burn out</v>
      </c>
      <c r="X1418" s="17" t="str">
        <f aca="false">J1418</f>
        <v>A063</v>
      </c>
      <c r="Y1418" s="17" t="str">
        <f aca="false">VLOOKUP(X1418,Sheet2!A:B,2,0)</f>
        <v>SHANI GOHIL</v>
      </c>
      <c r="Z1418" s="17" t="s">
        <v>302</v>
      </c>
      <c r="AA1418" s="17" t="s">
        <v>642</v>
      </c>
      <c r="AB1418" s="17" t="s">
        <v>41</v>
      </c>
      <c r="AC1418" s="0" t="str">
        <f aca="false">LEFT(G1418,2)</f>
        <v>16</v>
      </c>
      <c r="AE1418" s="21" t="s">
        <v>506</v>
      </c>
    </row>
    <row r="1419" customFormat="false" ht="15" hidden="false" customHeight="false" outlineLevel="0" collapsed="false">
      <c r="A1419" s="13" t="n">
        <f aca="false">1+A1418</f>
        <v>1417</v>
      </c>
      <c r="B1419" s="14" t="n">
        <v>1009581312</v>
      </c>
      <c r="C1419" s="17" t="s">
        <v>139</v>
      </c>
      <c r="D1419" s="16" t="s">
        <v>64</v>
      </c>
      <c r="E1419" s="17" t="s">
        <v>33</v>
      </c>
      <c r="F1419" s="18" t="s">
        <v>34</v>
      </c>
      <c r="G1419" s="19" t="n">
        <v>167236915333</v>
      </c>
      <c r="H1419" s="17" t="s">
        <v>35</v>
      </c>
      <c r="I1419" s="17" t="s">
        <v>76</v>
      </c>
      <c r="J1419" s="17" t="s">
        <v>121</v>
      </c>
      <c r="K1419" s="17" t="str">
        <f aca="false">VLOOKUP(J1419,Sheet2!A:B,2,0)</f>
        <v>SHANI GOHIL</v>
      </c>
      <c r="L1419" s="17" t="n">
        <v>5</v>
      </c>
      <c r="M1419" s="17" t="str">
        <f aca="false">VLOOKUP(L1419,Sheet2!D:E,2,0)</f>
        <v>Main Processor CPU BGA</v>
      </c>
      <c r="N1419" s="17" t="n">
        <v>24</v>
      </c>
      <c r="O1419" s="17" t="str">
        <f aca="false">VLOOKUP(N1419,Sheet2!G:H,2,0)</f>
        <v>STB Auto moving -Stand by mode</v>
      </c>
      <c r="P1419" s="17" t="n">
        <v>11</v>
      </c>
      <c r="Q1419" s="17" t="str">
        <f aca="false">VLOOKUP(P1419,Sheet2!J:K,2,0)</f>
        <v>IR Declared due to CID -TA</v>
      </c>
      <c r="R1419" s="17" t="s">
        <v>35</v>
      </c>
      <c r="S1419" s="17" t="str">
        <f aca="false">VLOOKUP(R1419,Sheet2!N:O,2,0)</f>
        <v>IREPARABLE</v>
      </c>
      <c r="T1419" s="18" t="str">
        <f aca="false">VLOOKUP(P1419,Sheet2!Q:R,2,0)</f>
        <v>IR Normal - Track burn out</v>
      </c>
      <c r="U1419" s="18" t="s">
        <v>122</v>
      </c>
      <c r="V1419" s="17" t="n">
        <v>2</v>
      </c>
      <c r="W1419" s="20" t="str">
        <f aca="false">VLOOKUP(V1419,Sheet2!Q:R,2,0)</f>
        <v>IR CID -  Water log from other area</v>
      </c>
      <c r="X1419" s="17" t="str">
        <f aca="false">J1419</f>
        <v>A063</v>
      </c>
      <c r="Y1419" s="17" t="str">
        <f aca="false">VLOOKUP(X1419,Sheet2!A:B,2,0)</f>
        <v>SHANI GOHIL</v>
      </c>
      <c r="Z1419" s="17" t="s">
        <v>301</v>
      </c>
      <c r="AA1419" s="17" t="s">
        <v>642</v>
      </c>
      <c r="AB1419" s="17" t="s">
        <v>41</v>
      </c>
      <c r="AC1419" s="0" t="str">
        <f aca="false">LEFT(G1419,2)</f>
        <v>16</v>
      </c>
      <c r="AE1419" s="21" t="s">
        <v>506</v>
      </c>
    </row>
    <row r="1420" customFormat="false" ht="15" hidden="false" customHeight="false" outlineLevel="0" collapsed="false">
      <c r="A1420" s="13" t="n">
        <f aca="false">1+A1419</f>
        <v>1418</v>
      </c>
      <c r="B1420" s="14" t="n">
        <v>1009640676</v>
      </c>
      <c r="C1420" s="17" t="s">
        <v>429</v>
      </c>
      <c r="D1420" s="16" t="s">
        <v>175</v>
      </c>
      <c r="E1420" s="17" t="s">
        <v>176</v>
      </c>
      <c r="F1420" s="18" t="s">
        <v>34</v>
      </c>
      <c r="G1420" s="19" t="n">
        <v>167250930945</v>
      </c>
      <c r="H1420" s="17" t="s">
        <v>35</v>
      </c>
      <c r="I1420" s="17" t="s">
        <v>76</v>
      </c>
      <c r="J1420" s="17" t="s">
        <v>239</v>
      </c>
      <c r="K1420" s="17" t="str">
        <f aca="false">VLOOKUP(J1420,Sheet2!A:B,2,0)</f>
        <v>VASANT PARMAR</v>
      </c>
      <c r="L1420" s="17" t="n">
        <v>5</v>
      </c>
      <c r="M1420" s="17" t="str">
        <f aca="false">VLOOKUP(L1420,Sheet2!D:E,2,0)</f>
        <v>Main Processor CPU BGA</v>
      </c>
      <c r="N1420" s="17" t="n">
        <v>1</v>
      </c>
      <c r="O1420" s="17" t="str">
        <f aca="false">VLOOKUP(N1420,Sheet2!G:H,2,0)</f>
        <v>Dead</v>
      </c>
      <c r="P1420" s="17" t="n">
        <v>12</v>
      </c>
      <c r="Q1420" s="17" t="str">
        <f aca="false">VLOOKUP(P1420,Sheet2!J:K,2,0)</f>
        <v>IR Declared due to Others ( IR Normal)TB</v>
      </c>
      <c r="R1420" s="17" t="s">
        <v>35</v>
      </c>
      <c r="S1420" s="17" t="str">
        <f aca="false">VLOOKUP(R1420,Sheet2!N:O,2,0)</f>
        <v>IREPARABLE</v>
      </c>
      <c r="T1420" s="18" t="str">
        <f aca="false">VLOOKUP(P1420,Sheet2!Q:R,2,0)</f>
        <v>IR Normal - BER to IR</v>
      </c>
      <c r="U1420" s="18" t="s">
        <v>101</v>
      </c>
      <c r="V1420" s="17" t="n">
        <v>8</v>
      </c>
      <c r="W1420" s="20" t="str">
        <f aca="false">VLOOKUP(V1420,Sheet2!Q:R,2,0)</f>
        <v>IR Normal -TrackRust/InternalDamage/open</v>
      </c>
      <c r="X1420" s="17" t="str">
        <f aca="false">J1420</f>
        <v>A005</v>
      </c>
      <c r="Y1420" s="17" t="str">
        <f aca="false">VLOOKUP(X1420,Sheet2!A:B,2,0)</f>
        <v>VASANT PARMAR</v>
      </c>
      <c r="Z1420" s="17" t="s">
        <v>707</v>
      </c>
      <c r="AA1420" s="17" t="s">
        <v>642</v>
      </c>
      <c r="AB1420" s="17" t="s">
        <v>41</v>
      </c>
      <c r="AC1420" s="0" t="str">
        <f aca="false">LEFT(G1420,2)</f>
        <v>16</v>
      </c>
      <c r="AE1420" s="21" t="s">
        <v>506</v>
      </c>
    </row>
    <row r="1421" customFormat="false" ht="15" hidden="false" customHeight="false" outlineLevel="0" collapsed="false">
      <c r="A1421" s="13" t="n">
        <f aca="false">1+A1420</f>
        <v>1419</v>
      </c>
      <c r="B1421" s="14" t="n">
        <v>1008945603</v>
      </c>
      <c r="C1421" s="17" t="s">
        <v>711</v>
      </c>
      <c r="D1421" s="16" t="s">
        <v>209</v>
      </c>
      <c r="E1421" s="17" t="s">
        <v>91</v>
      </c>
      <c r="F1421" s="18" t="s">
        <v>34</v>
      </c>
      <c r="G1421" s="19" t="n">
        <v>167196951914</v>
      </c>
      <c r="H1421" s="17" t="s">
        <v>35</v>
      </c>
      <c r="I1421" s="17" t="s">
        <v>76</v>
      </c>
      <c r="J1421" s="17" t="s">
        <v>289</v>
      </c>
      <c r="K1421" s="17" t="str">
        <f aca="false">VLOOKUP(J1421,Sheet2!A:B,2,0)</f>
        <v>AJAY KOSHTI</v>
      </c>
      <c r="L1421" s="17" t="n">
        <v>1</v>
      </c>
      <c r="M1421" s="17" t="str">
        <f aca="false">VLOOKUP(L1421,Sheet2!D:E,2,0)</f>
        <v>Power Supply Section</v>
      </c>
      <c r="N1421" s="17" t="n">
        <v>1</v>
      </c>
      <c r="O1421" s="17" t="str">
        <f aca="false">VLOOKUP(N1421,Sheet2!G:H,2,0)</f>
        <v>Dead</v>
      </c>
      <c r="P1421" s="17" t="n">
        <v>12</v>
      </c>
      <c r="Q1421" s="17" t="str">
        <f aca="false">VLOOKUP(P1421,Sheet2!J:K,2,0)</f>
        <v>IR Declared due to Others ( IR Normal)TB</v>
      </c>
      <c r="R1421" s="17" t="s">
        <v>35</v>
      </c>
      <c r="S1421" s="17" t="str">
        <f aca="false">VLOOKUP(R1421,Sheet2!N:O,2,0)</f>
        <v>IREPARABLE</v>
      </c>
      <c r="T1421" s="18" t="str">
        <f aca="false">VLOOKUP(P1421,Sheet2!Q:R,2,0)</f>
        <v>IR Normal - BER to IR</v>
      </c>
      <c r="U1421" s="18" t="s">
        <v>101</v>
      </c>
      <c r="V1421" s="17" t="n">
        <v>8</v>
      </c>
      <c r="W1421" s="20" t="str">
        <f aca="false">VLOOKUP(V1421,Sheet2!Q:R,2,0)</f>
        <v>IR Normal -TrackRust/InternalDamage/open</v>
      </c>
      <c r="X1421" s="17" t="str">
        <f aca="false">J1421</f>
        <v>A051</v>
      </c>
      <c r="Y1421" s="17" t="str">
        <f aca="false">VLOOKUP(X1421,Sheet2!A:B,2,0)</f>
        <v>AJAY KOSHTI</v>
      </c>
      <c r="Z1421" s="17" t="s">
        <v>707</v>
      </c>
      <c r="AA1421" s="17" t="s">
        <v>642</v>
      </c>
      <c r="AB1421" s="17" t="s">
        <v>41</v>
      </c>
      <c r="AC1421" s="0" t="str">
        <f aca="false">LEFT(G1421,2)</f>
        <v>16</v>
      </c>
      <c r="AE1421" s="21" t="s">
        <v>506</v>
      </c>
    </row>
    <row r="1422" customFormat="false" ht="15" hidden="false" customHeight="false" outlineLevel="0" collapsed="false">
      <c r="A1422" s="13" t="n">
        <f aca="false">1+A1421</f>
        <v>1420</v>
      </c>
      <c r="B1422" s="14" t="n">
        <v>1009555823</v>
      </c>
      <c r="C1422" s="17" t="s">
        <v>712</v>
      </c>
      <c r="D1422" s="16" t="s">
        <v>64</v>
      </c>
      <c r="E1422" s="17" t="s">
        <v>64</v>
      </c>
      <c r="F1422" s="18" t="s">
        <v>34</v>
      </c>
      <c r="G1422" s="19" t="n">
        <v>168243146532</v>
      </c>
      <c r="H1422" s="17" t="s">
        <v>35</v>
      </c>
      <c r="I1422" s="17" t="s">
        <v>76</v>
      </c>
      <c r="J1422" s="17" t="s">
        <v>287</v>
      </c>
      <c r="K1422" s="17" t="str">
        <f aca="false">VLOOKUP(J1422,Sheet2!A:B,2,0)</f>
        <v>BHUPENDRA  DABHI</v>
      </c>
      <c r="L1422" s="17" t="n">
        <v>5</v>
      </c>
      <c r="M1422" s="17" t="str">
        <f aca="false">VLOOKUP(L1422,Sheet2!D:E,2,0)</f>
        <v>Main Processor CPU BGA</v>
      </c>
      <c r="N1422" s="17" t="n">
        <v>24</v>
      </c>
      <c r="O1422" s="17" t="str">
        <f aca="false">VLOOKUP(N1422,Sheet2!G:H,2,0)</f>
        <v>STB Auto moving -Stand by mode</v>
      </c>
      <c r="P1422" s="17" t="n">
        <v>12</v>
      </c>
      <c r="Q1422" s="17" t="str">
        <f aca="false">VLOOKUP(P1422,Sheet2!J:K,2,0)</f>
        <v>IR Declared due to Others ( IR Normal)TB</v>
      </c>
      <c r="R1422" s="17" t="s">
        <v>35</v>
      </c>
      <c r="S1422" s="17" t="str">
        <f aca="false">VLOOKUP(R1422,Sheet2!N:O,2,0)</f>
        <v>IREPARABLE</v>
      </c>
      <c r="T1422" s="18" t="str">
        <f aca="false">VLOOKUP(P1422,Sheet2!Q:R,2,0)</f>
        <v>IR Normal - BER to IR</v>
      </c>
      <c r="U1422" s="18" t="s">
        <v>101</v>
      </c>
      <c r="V1422" s="17" t="n">
        <v>8</v>
      </c>
      <c r="W1422" s="20" t="str">
        <f aca="false">VLOOKUP(V1422,Sheet2!Q:R,2,0)</f>
        <v>IR Normal -TrackRust/InternalDamage/open</v>
      </c>
      <c r="X1422" s="17" t="str">
        <f aca="false">J1422</f>
        <v>A010</v>
      </c>
      <c r="Y1422" s="17" t="str">
        <f aca="false">VLOOKUP(X1422,Sheet2!A:B,2,0)</f>
        <v>BHUPENDRA  DABHI</v>
      </c>
      <c r="Z1422" s="17" t="s">
        <v>302</v>
      </c>
      <c r="AA1422" s="17" t="s">
        <v>642</v>
      </c>
      <c r="AB1422" s="17" t="s">
        <v>41</v>
      </c>
      <c r="AC1422" s="0" t="str">
        <f aca="false">LEFT(G1422,2)</f>
        <v>16</v>
      </c>
      <c r="AE1422" s="21" t="s">
        <v>506</v>
      </c>
    </row>
    <row r="1423" customFormat="false" ht="15" hidden="false" customHeight="false" outlineLevel="0" collapsed="false">
      <c r="A1423" s="13" t="n">
        <f aca="false">1+A1422</f>
        <v>1421</v>
      </c>
      <c r="B1423" s="14" t="n">
        <v>1009393551</v>
      </c>
      <c r="C1423" s="17" t="s">
        <v>80</v>
      </c>
      <c r="D1423" s="16" t="s">
        <v>64</v>
      </c>
      <c r="E1423" s="17" t="s">
        <v>64</v>
      </c>
      <c r="F1423" s="18" t="s">
        <v>34</v>
      </c>
      <c r="G1423" s="19" t="n">
        <v>168242179831</v>
      </c>
      <c r="H1423" s="17" t="s">
        <v>35</v>
      </c>
      <c r="I1423" s="17" t="s">
        <v>76</v>
      </c>
      <c r="J1423" s="17" t="s">
        <v>121</v>
      </c>
      <c r="K1423" s="17" t="str">
        <f aca="false">VLOOKUP(J1423,Sheet2!A:B,2,0)</f>
        <v>SHANI GOHIL</v>
      </c>
      <c r="L1423" s="17" t="n">
        <v>2</v>
      </c>
      <c r="M1423" s="17" t="str">
        <f aca="false">VLOOKUP(L1423,Sheet2!D:E,2,0)</f>
        <v>Tuner Section</v>
      </c>
      <c r="N1423" s="17" t="n">
        <v>6</v>
      </c>
      <c r="O1423" s="17" t="str">
        <f aca="false">VLOOKUP(N1423,Sheet2!G:H,2,0)</f>
        <v>No Signal</v>
      </c>
      <c r="P1423" s="17" t="n">
        <v>12</v>
      </c>
      <c r="Q1423" s="17" t="str">
        <f aca="false">VLOOKUP(P1423,Sheet2!J:K,2,0)</f>
        <v>IR Declared due to Others ( IR Normal)TB</v>
      </c>
      <c r="R1423" s="17" t="s">
        <v>35</v>
      </c>
      <c r="S1423" s="17" t="str">
        <f aca="false">VLOOKUP(R1423,Sheet2!N:O,2,0)</f>
        <v>IREPARABLE</v>
      </c>
      <c r="T1423" s="18" t="str">
        <f aca="false">VLOOKUP(P1423,Sheet2!Q:R,2,0)</f>
        <v>IR Normal - BER to IR</v>
      </c>
      <c r="U1423" s="20" t="s">
        <v>110</v>
      </c>
      <c r="V1423" s="17" t="n">
        <v>9</v>
      </c>
      <c r="W1423" s="20" t="str">
        <f aca="false">VLOOKUP(V1423,Sheet2!Q:R,2,0)</f>
        <v>IR Normal - Multiple time repair </v>
      </c>
      <c r="X1423" s="17" t="str">
        <f aca="false">J1423</f>
        <v>A063</v>
      </c>
      <c r="Y1423" s="17" t="str">
        <f aca="false">VLOOKUP(X1423,Sheet2!A:B,2,0)</f>
        <v>SHANI GOHIL</v>
      </c>
      <c r="Z1423" s="17" t="s">
        <v>707</v>
      </c>
      <c r="AA1423" s="17" t="s">
        <v>642</v>
      </c>
      <c r="AB1423" s="17" t="s">
        <v>41</v>
      </c>
      <c r="AC1423" s="0" t="str">
        <f aca="false">LEFT(G1423,2)</f>
        <v>16</v>
      </c>
      <c r="AE1423" s="21" t="s">
        <v>506</v>
      </c>
    </row>
    <row r="1424" customFormat="false" ht="15" hidden="false" customHeight="false" outlineLevel="0" collapsed="false">
      <c r="A1424" s="13" t="n">
        <f aca="false">1+A1423</f>
        <v>1422</v>
      </c>
      <c r="B1424" s="14" t="n">
        <v>1009306319</v>
      </c>
      <c r="C1424" s="17" t="s">
        <v>185</v>
      </c>
      <c r="D1424" s="16" t="s">
        <v>64</v>
      </c>
      <c r="E1424" s="17" t="s">
        <v>64</v>
      </c>
      <c r="F1424" s="18" t="s">
        <v>34</v>
      </c>
      <c r="G1424" s="19" t="n">
        <v>167160900491</v>
      </c>
      <c r="H1424" s="17" t="s">
        <v>35</v>
      </c>
      <c r="I1424" s="17" t="s">
        <v>76</v>
      </c>
      <c r="J1424" s="17" t="s">
        <v>121</v>
      </c>
      <c r="K1424" s="17" t="str">
        <f aca="false">VLOOKUP(J1424,Sheet2!A:B,2,0)</f>
        <v>SHANI GOHIL</v>
      </c>
      <c r="L1424" s="17" t="n">
        <v>2</v>
      </c>
      <c r="M1424" s="17" t="str">
        <f aca="false">VLOOKUP(L1424,Sheet2!D:E,2,0)</f>
        <v>Tuner Section</v>
      </c>
      <c r="N1424" s="17" t="n">
        <v>6</v>
      </c>
      <c r="O1424" s="17" t="str">
        <f aca="false">VLOOKUP(N1424,Sheet2!G:H,2,0)</f>
        <v>No Signal</v>
      </c>
      <c r="P1424" s="17" t="n">
        <v>11</v>
      </c>
      <c r="Q1424" s="17" t="str">
        <f aca="false">VLOOKUP(P1424,Sheet2!J:K,2,0)</f>
        <v>IR Declared due to CID -TA</v>
      </c>
      <c r="R1424" s="17" t="s">
        <v>35</v>
      </c>
      <c r="S1424" s="17" t="str">
        <f aca="false">VLOOKUP(R1424,Sheet2!N:O,2,0)</f>
        <v>IREPARABLE</v>
      </c>
      <c r="T1424" s="18" t="str">
        <f aca="false">VLOOKUP(P1424,Sheet2!Q:R,2,0)</f>
        <v>IR Normal - Track burn out</v>
      </c>
      <c r="U1424" s="18" t="s">
        <v>122</v>
      </c>
      <c r="V1424" s="17" t="n">
        <v>2</v>
      </c>
      <c r="W1424" s="20" t="str">
        <f aca="false">VLOOKUP(V1424,Sheet2!Q:R,2,0)</f>
        <v>IR CID -  Water log from other area</v>
      </c>
      <c r="X1424" s="17" t="str">
        <f aca="false">J1424</f>
        <v>A063</v>
      </c>
      <c r="Y1424" s="17" t="str">
        <f aca="false">VLOOKUP(X1424,Sheet2!A:B,2,0)</f>
        <v>SHANI GOHIL</v>
      </c>
      <c r="Z1424" s="17" t="s">
        <v>363</v>
      </c>
      <c r="AA1424" s="17" t="s">
        <v>642</v>
      </c>
      <c r="AB1424" s="17" t="s">
        <v>41</v>
      </c>
      <c r="AC1424" s="0" t="str">
        <f aca="false">LEFT(G1424,2)</f>
        <v>16</v>
      </c>
      <c r="AE1424" s="21" t="s">
        <v>506</v>
      </c>
    </row>
    <row r="1425" customFormat="false" ht="15" hidden="false" customHeight="false" outlineLevel="0" collapsed="false">
      <c r="A1425" s="13" t="n">
        <f aca="false">1+A1424</f>
        <v>1423</v>
      </c>
      <c r="B1425" s="14" t="n">
        <v>1009024646</v>
      </c>
      <c r="C1425" s="17" t="s">
        <v>713</v>
      </c>
      <c r="D1425" s="16" t="s">
        <v>64</v>
      </c>
      <c r="E1425" s="17" t="s">
        <v>47</v>
      </c>
      <c r="F1425" s="18" t="s">
        <v>34</v>
      </c>
      <c r="G1425" s="19" t="n">
        <v>985347108708</v>
      </c>
      <c r="H1425" s="17" t="s">
        <v>35</v>
      </c>
      <c r="I1425" s="17" t="s">
        <v>44</v>
      </c>
      <c r="J1425" s="17" t="s">
        <v>106</v>
      </c>
      <c r="K1425" s="17" t="str">
        <f aca="false">VLOOKUP(J1425,Sheet2!A:B,2,0)</f>
        <v>PRAKASH CHAVDA</v>
      </c>
      <c r="L1425" s="17" t="n">
        <v>5</v>
      </c>
      <c r="M1425" s="17" t="str">
        <f aca="false">VLOOKUP(L1425,Sheet2!D:E,2,0)</f>
        <v>Main Processor CPU BGA</v>
      </c>
      <c r="N1425" s="17" t="n">
        <v>1</v>
      </c>
      <c r="O1425" s="17" t="str">
        <f aca="false">VLOOKUP(N1425,Sheet2!G:H,2,0)</f>
        <v>Dead</v>
      </c>
      <c r="P1425" s="17" t="n">
        <v>12</v>
      </c>
      <c r="Q1425" s="17" t="str">
        <f aca="false">VLOOKUP(P1425,Sheet2!J:K,2,0)</f>
        <v>IR Declared due to Others ( IR Normal)TB</v>
      </c>
      <c r="R1425" s="17" t="s">
        <v>35</v>
      </c>
      <c r="S1425" s="17" t="str">
        <f aca="false">VLOOKUP(R1425,Sheet2!N:O,2,0)</f>
        <v>IREPARABLE</v>
      </c>
      <c r="T1425" s="18" t="str">
        <f aca="false">VLOOKUP(P1425,Sheet2!Q:R,2,0)</f>
        <v>IR Normal - BER to IR</v>
      </c>
      <c r="U1425" s="18" t="s">
        <v>101</v>
      </c>
      <c r="V1425" s="17" t="n">
        <v>8</v>
      </c>
      <c r="W1425" s="20" t="str">
        <f aca="false">VLOOKUP(V1425,Sheet2!Q:R,2,0)</f>
        <v>IR Normal -TrackRust/InternalDamage/open</v>
      </c>
      <c r="X1425" s="17" t="str">
        <f aca="false">J1425</f>
        <v>A018</v>
      </c>
      <c r="Y1425" s="17" t="str">
        <f aca="false">VLOOKUP(X1425,Sheet2!A:B,2,0)</f>
        <v>PRAKASH CHAVDA</v>
      </c>
      <c r="Z1425" s="17" t="s">
        <v>714</v>
      </c>
      <c r="AA1425" s="17" t="s">
        <v>642</v>
      </c>
      <c r="AB1425" s="17" t="s">
        <v>41</v>
      </c>
      <c r="AC1425" s="0" t="str">
        <f aca="false">LEFT(G1425,2)</f>
        <v>98</v>
      </c>
      <c r="AE1425" s="21" t="s">
        <v>506</v>
      </c>
    </row>
    <row r="1426" customFormat="false" ht="15" hidden="false" customHeight="false" outlineLevel="0" collapsed="false">
      <c r="A1426" s="13" t="n">
        <f aca="false">1+A1425</f>
        <v>1424</v>
      </c>
      <c r="B1426" s="14" t="n">
        <v>1009561675</v>
      </c>
      <c r="C1426" s="17" t="s">
        <v>192</v>
      </c>
      <c r="D1426" s="16" t="s">
        <v>64</v>
      </c>
      <c r="E1426" s="17" t="s">
        <v>47</v>
      </c>
      <c r="F1426" s="18" t="s">
        <v>34</v>
      </c>
      <c r="G1426" s="19" t="n">
        <v>986163262702</v>
      </c>
      <c r="H1426" s="17" t="s">
        <v>35</v>
      </c>
      <c r="I1426" s="17" t="s">
        <v>44</v>
      </c>
      <c r="J1426" s="17" t="s">
        <v>121</v>
      </c>
      <c r="K1426" s="17" t="str">
        <f aca="false">VLOOKUP(J1426,Sheet2!A:B,2,0)</f>
        <v>SHANI GOHIL</v>
      </c>
      <c r="L1426" s="17" t="n">
        <v>1</v>
      </c>
      <c r="M1426" s="17" t="str">
        <f aca="false">VLOOKUP(L1426,Sheet2!D:E,2,0)</f>
        <v>Power Supply Section</v>
      </c>
      <c r="N1426" s="17" t="n">
        <v>2</v>
      </c>
      <c r="O1426" s="17" t="str">
        <f aca="false">VLOOKUP(N1426,Sheet2!G:H,2,0)</f>
        <v>Dead Intermittent</v>
      </c>
      <c r="P1426" s="17" t="n">
        <v>12</v>
      </c>
      <c r="Q1426" s="17" t="str">
        <f aca="false">VLOOKUP(P1426,Sheet2!J:K,2,0)</f>
        <v>IR Declared due to Others ( IR Normal)TB</v>
      </c>
      <c r="R1426" s="17" t="s">
        <v>35</v>
      </c>
      <c r="S1426" s="17" t="str">
        <f aca="false">VLOOKUP(R1426,Sheet2!N:O,2,0)</f>
        <v>IREPARABLE</v>
      </c>
      <c r="T1426" s="18" t="str">
        <f aca="false">VLOOKUP(P1426,Sheet2!Q:R,2,0)</f>
        <v>IR Normal - BER to IR</v>
      </c>
      <c r="U1426" s="18" t="s">
        <v>101</v>
      </c>
      <c r="V1426" s="17" t="n">
        <v>8</v>
      </c>
      <c r="W1426" s="20" t="str">
        <f aca="false">VLOOKUP(V1426,Sheet2!Q:R,2,0)</f>
        <v>IR Normal -TrackRust/InternalDamage/open</v>
      </c>
      <c r="X1426" s="17" t="str">
        <f aca="false">J1426</f>
        <v>A063</v>
      </c>
      <c r="Y1426" s="17" t="str">
        <f aca="false">VLOOKUP(X1426,Sheet2!A:B,2,0)</f>
        <v>SHANI GOHIL</v>
      </c>
      <c r="Z1426" s="17" t="s">
        <v>715</v>
      </c>
      <c r="AA1426" s="17" t="s">
        <v>642</v>
      </c>
      <c r="AB1426" s="17" t="s">
        <v>41</v>
      </c>
      <c r="AC1426" s="0" t="str">
        <f aca="false">LEFT(G1426,2)</f>
        <v>98</v>
      </c>
      <c r="AE1426" s="21" t="s">
        <v>506</v>
      </c>
    </row>
    <row r="1427" customFormat="false" ht="15" hidden="false" customHeight="false" outlineLevel="0" collapsed="false">
      <c r="A1427" s="13" t="n">
        <f aca="false">1+A1426</f>
        <v>1425</v>
      </c>
      <c r="B1427" s="14" t="n">
        <v>1009612676</v>
      </c>
      <c r="C1427" s="17" t="s">
        <v>184</v>
      </c>
      <c r="D1427" s="16" t="s">
        <v>64</v>
      </c>
      <c r="E1427" s="17" t="s">
        <v>64</v>
      </c>
      <c r="F1427" s="18" t="s">
        <v>34</v>
      </c>
      <c r="G1427" s="19" t="n">
        <v>986020179990</v>
      </c>
      <c r="H1427" s="17" t="s">
        <v>35</v>
      </c>
      <c r="I1427" s="17" t="s">
        <v>44</v>
      </c>
      <c r="J1427" s="17" t="s">
        <v>289</v>
      </c>
      <c r="K1427" s="17" t="str">
        <f aca="false">VLOOKUP(J1427,Sheet2!A:B,2,0)</f>
        <v>AJAY KOSHTI</v>
      </c>
      <c r="L1427" s="17" t="n">
        <v>1</v>
      </c>
      <c r="M1427" s="17" t="str">
        <f aca="false">VLOOKUP(L1427,Sheet2!D:E,2,0)</f>
        <v>Power Supply Section</v>
      </c>
      <c r="N1427" s="17" t="n">
        <v>1</v>
      </c>
      <c r="O1427" s="17" t="str">
        <f aca="false">VLOOKUP(N1427,Sheet2!G:H,2,0)</f>
        <v>Dead</v>
      </c>
      <c r="P1427" s="17" t="n">
        <v>12</v>
      </c>
      <c r="Q1427" s="17" t="str">
        <f aca="false">VLOOKUP(P1427,Sheet2!J:K,2,0)</f>
        <v>IR Declared due to Others ( IR Normal)TB</v>
      </c>
      <c r="R1427" s="17" t="s">
        <v>35</v>
      </c>
      <c r="S1427" s="17" t="str">
        <f aca="false">VLOOKUP(R1427,Sheet2!N:O,2,0)</f>
        <v>IREPARABLE</v>
      </c>
      <c r="T1427" s="18" t="str">
        <f aca="false">VLOOKUP(P1427,Sheet2!Q:R,2,0)</f>
        <v>IR Normal - BER to IR</v>
      </c>
      <c r="U1427" s="18" t="s">
        <v>101</v>
      </c>
      <c r="V1427" s="17" t="n">
        <v>8</v>
      </c>
      <c r="W1427" s="20" t="str">
        <f aca="false">VLOOKUP(V1427,Sheet2!Q:R,2,0)</f>
        <v>IR Normal -TrackRust/InternalDamage/open</v>
      </c>
      <c r="X1427" s="17" t="str">
        <f aca="false">J1427</f>
        <v>A051</v>
      </c>
      <c r="Y1427" s="17" t="str">
        <f aca="false">VLOOKUP(X1427,Sheet2!A:B,2,0)</f>
        <v>AJAY KOSHTI</v>
      </c>
      <c r="Z1427" s="17" t="s">
        <v>716</v>
      </c>
      <c r="AA1427" s="17" t="s">
        <v>642</v>
      </c>
      <c r="AB1427" s="17" t="s">
        <v>41</v>
      </c>
      <c r="AC1427" s="0" t="str">
        <f aca="false">LEFT(G1427,2)</f>
        <v>98</v>
      </c>
      <c r="AE1427" s="21" t="s">
        <v>506</v>
      </c>
    </row>
    <row r="1428" customFormat="false" ht="15" hidden="false" customHeight="false" outlineLevel="0" collapsed="false">
      <c r="A1428" s="13" t="n">
        <f aca="false">1+A1427</f>
        <v>1426</v>
      </c>
      <c r="B1428" s="14" t="n">
        <v>10096091849</v>
      </c>
      <c r="C1428" s="17" t="s">
        <v>414</v>
      </c>
      <c r="D1428" s="16" t="s">
        <v>64</v>
      </c>
      <c r="E1428" s="17" t="s">
        <v>64</v>
      </c>
      <c r="F1428" s="18" t="s">
        <v>34</v>
      </c>
      <c r="G1428" s="19" t="n">
        <v>134114088724</v>
      </c>
      <c r="H1428" s="17" t="s">
        <v>35</v>
      </c>
      <c r="I1428" s="17" t="s">
        <v>44</v>
      </c>
      <c r="J1428" s="17" t="s">
        <v>121</v>
      </c>
      <c r="K1428" s="17" t="str">
        <f aca="false">VLOOKUP(J1428,Sheet2!A:B,2,0)</f>
        <v>SHANI GOHIL</v>
      </c>
      <c r="L1428" s="17" t="n">
        <v>1</v>
      </c>
      <c r="M1428" s="17" t="str">
        <f aca="false">VLOOKUP(L1428,Sheet2!D:E,2,0)</f>
        <v>Power Supply Section</v>
      </c>
      <c r="N1428" s="17" t="n">
        <v>1</v>
      </c>
      <c r="O1428" s="17" t="str">
        <f aca="false">VLOOKUP(N1428,Sheet2!G:H,2,0)</f>
        <v>Dead</v>
      </c>
      <c r="P1428" s="17" t="n">
        <v>12</v>
      </c>
      <c r="Q1428" s="17" t="str">
        <f aca="false">VLOOKUP(P1428,Sheet2!J:K,2,0)</f>
        <v>IR Declared due to Others ( IR Normal)TB</v>
      </c>
      <c r="R1428" s="17" t="s">
        <v>35</v>
      </c>
      <c r="S1428" s="17" t="str">
        <f aca="false">VLOOKUP(R1428,Sheet2!N:O,2,0)</f>
        <v>IREPARABLE</v>
      </c>
      <c r="T1428" s="18" t="str">
        <f aca="false">VLOOKUP(P1428,Sheet2!Q:R,2,0)</f>
        <v>IR Normal - BER to IR</v>
      </c>
      <c r="U1428" s="15" t="s">
        <v>38</v>
      </c>
      <c r="V1428" s="17" t="n">
        <v>11</v>
      </c>
      <c r="W1428" s="20" t="str">
        <f aca="false">VLOOKUP(V1428,Sheet2!Q:R,2,0)</f>
        <v>IR Normal - Track burn out</v>
      </c>
      <c r="X1428" s="17" t="str">
        <f aca="false">J1428</f>
        <v>A063</v>
      </c>
      <c r="Y1428" s="17" t="str">
        <f aca="false">VLOOKUP(X1428,Sheet2!A:B,2,0)</f>
        <v>SHANI GOHIL</v>
      </c>
      <c r="Z1428" s="17" t="s">
        <v>505</v>
      </c>
      <c r="AA1428" s="17" t="s">
        <v>642</v>
      </c>
      <c r="AB1428" s="17" t="s">
        <v>41</v>
      </c>
      <c r="AC1428" s="0" t="str">
        <f aca="false">LEFT(G1428,2)</f>
        <v>13</v>
      </c>
      <c r="AE1428" s="21" t="s">
        <v>506</v>
      </c>
    </row>
    <row r="1429" customFormat="false" ht="15" hidden="false" customHeight="false" outlineLevel="0" collapsed="false">
      <c r="A1429" s="13" t="n">
        <f aca="false">1+A1428</f>
        <v>1427</v>
      </c>
      <c r="B1429" s="14" t="n">
        <v>1009092552</v>
      </c>
      <c r="C1429" s="17" t="s">
        <v>414</v>
      </c>
      <c r="D1429" s="16" t="s">
        <v>64</v>
      </c>
      <c r="E1429" s="17" t="s">
        <v>64</v>
      </c>
      <c r="F1429" s="18" t="s">
        <v>34</v>
      </c>
      <c r="G1429" s="19" t="n">
        <v>134119194519</v>
      </c>
      <c r="H1429" s="17" t="s">
        <v>35</v>
      </c>
      <c r="I1429" s="17" t="s">
        <v>44</v>
      </c>
      <c r="J1429" s="17" t="s">
        <v>111</v>
      </c>
      <c r="K1429" s="17" t="str">
        <f aca="false">VLOOKUP(J1429,Sheet2!A:B,2,0)</f>
        <v>NITIN PRANAMI</v>
      </c>
      <c r="L1429" s="17" t="n">
        <v>1</v>
      </c>
      <c r="M1429" s="17" t="str">
        <f aca="false">VLOOKUP(L1429,Sheet2!D:E,2,0)</f>
        <v>Power Supply Section</v>
      </c>
      <c r="N1429" s="17" t="n">
        <v>1</v>
      </c>
      <c r="O1429" s="17" t="str">
        <f aca="false">VLOOKUP(N1429,Sheet2!G:H,2,0)</f>
        <v>Dead</v>
      </c>
      <c r="P1429" s="17" t="n">
        <v>12</v>
      </c>
      <c r="Q1429" s="17" t="str">
        <f aca="false">VLOOKUP(P1429,Sheet2!J:K,2,0)</f>
        <v>IR Declared due to Others ( IR Normal)TB</v>
      </c>
      <c r="R1429" s="17" t="s">
        <v>35</v>
      </c>
      <c r="S1429" s="17" t="str">
        <f aca="false">VLOOKUP(R1429,Sheet2!N:O,2,0)</f>
        <v>IREPARABLE</v>
      </c>
      <c r="T1429" s="18" t="str">
        <f aca="false">VLOOKUP(P1429,Sheet2!Q:R,2,0)</f>
        <v>IR Normal - BER to IR</v>
      </c>
      <c r="U1429" s="18" t="s">
        <v>101</v>
      </c>
      <c r="V1429" s="17" t="n">
        <v>8</v>
      </c>
      <c r="W1429" s="20" t="str">
        <f aca="false">VLOOKUP(V1429,Sheet2!Q:R,2,0)</f>
        <v>IR Normal -TrackRust/InternalDamage/open</v>
      </c>
      <c r="X1429" s="17" t="str">
        <f aca="false">J1429</f>
        <v>A031</v>
      </c>
      <c r="Y1429" s="17" t="str">
        <f aca="false">VLOOKUP(X1429,Sheet2!A:B,2,0)</f>
        <v>NITIN PRANAMI</v>
      </c>
      <c r="Z1429" s="17" t="s">
        <v>717</v>
      </c>
      <c r="AA1429" s="17" t="s">
        <v>642</v>
      </c>
      <c r="AB1429" s="17" t="s">
        <v>41</v>
      </c>
      <c r="AC1429" s="0" t="str">
        <f aca="false">LEFT(G1429,2)</f>
        <v>13</v>
      </c>
      <c r="AE1429" s="21" t="s">
        <v>506</v>
      </c>
    </row>
    <row r="1430" customFormat="false" ht="15" hidden="false" customHeight="false" outlineLevel="0" collapsed="false">
      <c r="A1430" s="13" t="n">
        <f aca="false">1+A1429</f>
        <v>1428</v>
      </c>
      <c r="B1430" s="14" t="n">
        <v>1009091559</v>
      </c>
      <c r="C1430" s="17" t="s">
        <v>414</v>
      </c>
      <c r="D1430" s="16" t="s">
        <v>64</v>
      </c>
      <c r="E1430" s="17" t="s">
        <v>621</v>
      </c>
      <c r="F1430" s="18" t="s">
        <v>34</v>
      </c>
      <c r="G1430" s="19" t="n">
        <v>135213013364</v>
      </c>
      <c r="H1430" s="17" t="s">
        <v>35</v>
      </c>
      <c r="I1430" s="17" t="s">
        <v>44</v>
      </c>
      <c r="J1430" s="17" t="s">
        <v>111</v>
      </c>
      <c r="K1430" s="17" t="str">
        <f aca="false">VLOOKUP(J1430,Sheet2!A:B,2,0)</f>
        <v>NITIN PRANAMI</v>
      </c>
      <c r="L1430" s="17" t="n">
        <v>1</v>
      </c>
      <c r="M1430" s="17" t="str">
        <f aca="false">VLOOKUP(L1430,Sheet2!D:E,2,0)</f>
        <v>Power Supply Section</v>
      </c>
      <c r="N1430" s="17" t="n">
        <v>1</v>
      </c>
      <c r="O1430" s="17" t="str">
        <f aca="false">VLOOKUP(N1430,Sheet2!G:H,2,0)</f>
        <v>Dead</v>
      </c>
      <c r="P1430" s="17" t="n">
        <v>12</v>
      </c>
      <c r="Q1430" s="17" t="str">
        <f aca="false">VLOOKUP(P1430,Sheet2!J:K,2,0)</f>
        <v>IR Declared due to Others ( IR Normal)TB</v>
      </c>
      <c r="R1430" s="17" t="s">
        <v>35</v>
      </c>
      <c r="S1430" s="17" t="str">
        <f aca="false">VLOOKUP(R1430,Sheet2!N:O,2,0)</f>
        <v>IREPARABLE</v>
      </c>
      <c r="T1430" s="18" t="str">
        <f aca="false">VLOOKUP(P1430,Sheet2!Q:R,2,0)</f>
        <v>IR Normal - BER to IR</v>
      </c>
      <c r="U1430" s="18" t="s">
        <v>101</v>
      </c>
      <c r="V1430" s="17" t="n">
        <v>8</v>
      </c>
      <c r="W1430" s="20" t="str">
        <f aca="false">VLOOKUP(V1430,Sheet2!Q:R,2,0)</f>
        <v>IR Normal -TrackRust/InternalDamage/open</v>
      </c>
      <c r="X1430" s="17" t="str">
        <f aca="false">J1430</f>
        <v>A031</v>
      </c>
      <c r="Y1430" s="17" t="str">
        <f aca="false">VLOOKUP(X1430,Sheet2!A:B,2,0)</f>
        <v>NITIN PRANAMI</v>
      </c>
      <c r="Z1430" s="17" t="s">
        <v>718</v>
      </c>
      <c r="AA1430" s="17" t="s">
        <v>642</v>
      </c>
      <c r="AB1430" s="17" t="s">
        <v>41</v>
      </c>
      <c r="AC1430" s="0" t="str">
        <f aca="false">LEFT(G1430,2)</f>
        <v>13</v>
      </c>
      <c r="AE1430" s="21" t="s">
        <v>506</v>
      </c>
    </row>
    <row r="1431" customFormat="false" ht="15" hidden="false" customHeight="false" outlineLevel="0" collapsed="false">
      <c r="A1431" s="13" t="n">
        <f aca="false">1+A1430</f>
        <v>1429</v>
      </c>
      <c r="B1431" s="14" t="n">
        <v>1009091844</v>
      </c>
      <c r="C1431" s="17" t="s">
        <v>414</v>
      </c>
      <c r="D1431" s="16" t="s">
        <v>64</v>
      </c>
      <c r="E1431" s="17" t="s">
        <v>91</v>
      </c>
      <c r="F1431" s="18" t="s">
        <v>34</v>
      </c>
      <c r="G1431" s="19" t="n">
        <v>135206007936</v>
      </c>
      <c r="H1431" s="17" t="s">
        <v>35</v>
      </c>
      <c r="I1431" s="17" t="s">
        <v>44</v>
      </c>
      <c r="J1431" s="17" t="s">
        <v>100</v>
      </c>
      <c r="K1431" s="17" t="str">
        <f aca="false">VLOOKUP(J1431,Sheet2!A:B,2,0)</f>
        <v>PIYUSH CHAVDA</v>
      </c>
      <c r="L1431" s="17" t="n">
        <v>1</v>
      </c>
      <c r="M1431" s="17" t="str">
        <f aca="false">VLOOKUP(L1431,Sheet2!D:E,2,0)</f>
        <v>Power Supply Section</v>
      </c>
      <c r="N1431" s="17" t="n">
        <v>1</v>
      </c>
      <c r="O1431" s="17" t="str">
        <f aca="false">VLOOKUP(N1431,Sheet2!G:H,2,0)</f>
        <v>Dead</v>
      </c>
      <c r="P1431" s="17" t="n">
        <v>12</v>
      </c>
      <c r="Q1431" s="17" t="str">
        <f aca="false">VLOOKUP(P1431,Sheet2!J:K,2,0)</f>
        <v>IR Declared due to Others ( IR Normal)TB</v>
      </c>
      <c r="R1431" s="17" t="s">
        <v>35</v>
      </c>
      <c r="S1431" s="17" t="str">
        <f aca="false">VLOOKUP(R1431,Sheet2!N:O,2,0)</f>
        <v>IREPARABLE</v>
      </c>
      <c r="T1431" s="18" t="str">
        <f aca="false">VLOOKUP(P1431,Sheet2!Q:R,2,0)</f>
        <v>IR Normal - BER to IR</v>
      </c>
      <c r="U1431" s="15" t="s">
        <v>38</v>
      </c>
      <c r="V1431" s="17" t="n">
        <v>11</v>
      </c>
      <c r="W1431" s="20" t="str">
        <f aca="false">VLOOKUP(V1431,Sheet2!Q:R,2,0)</f>
        <v>IR Normal - Track burn out</v>
      </c>
      <c r="X1431" s="17" t="str">
        <f aca="false">J1431</f>
        <v>A050</v>
      </c>
      <c r="Y1431" s="17" t="str">
        <f aca="false">VLOOKUP(X1431,Sheet2!A:B,2,0)</f>
        <v>PIYUSH CHAVDA</v>
      </c>
      <c r="Z1431" s="17" t="s">
        <v>719</v>
      </c>
      <c r="AA1431" s="17" t="s">
        <v>642</v>
      </c>
      <c r="AB1431" s="17" t="s">
        <v>41</v>
      </c>
      <c r="AC1431" s="0" t="str">
        <f aca="false">LEFT(G1431,2)</f>
        <v>13</v>
      </c>
      <c r="AE1431" s="21" t="s">
        <v>506</v>
      </c>
    </row>
    <row r="1432" customFormat="false" ht="15" hidden="false" customHeight="false" outlineLevel="0" collapsed="false">
      <c r="A1432" s="13" t="n">
        <f aca="false">1+A1431</f>
        <v>1430</v>
      </c>
      <c r="B1432" s="14" t="n">
        <v>1004958099</v>
      </c>
      <c r="C1432" s="17" t="s">
        <v>720</v>
      </c>
      <c r="D1432" s="16" t="s">
        <v>64</v>
      </c>
      <c r="E1432" s="17" t="s">
        <v>91</v>
      </c>
      <c r="F1432" s="18" t="s">
        <v>34</v>
      </c>
      <c r="G1432" s="19" t="n">
        <v>134268355333</v>
      </c>
      <c r="H1432" s="17" t="s">
        <v>35</v>
      </c>
      <c r="I1432" s="17" t="s">
        <v>44</v>
      </c>
      <c r="J1432" s="17" t="s">
        <v>111</v>
      </c>
      <c r="K1432" s="17" t="str">
        <f aca="false">VLOOKUP(J1432,Sheet2!A:B,2,0)</f>
        <v>NITIN PRANAMI</v>
      </c>
      <c r="L1432" s="17" t="n">
        <v>4</v>
      </c>
      <c r="M1432" s="17" t="str">
        <f aca="false">VLOOKUP(L1432,Sheet2!D:E,2,0)</f>
        <v>Audio Section</v>
      </c>
      <c r="N1432" s="17" t="n">
        <v>9</v>
      </c>
      <c r="O1432" s="17" t="str">
        <f aca="false">VLOOKUP(N1432,Sheet2!G:H,2,0)</f>
        <v>No Audio - AV</v>
      </c>
      <c r="P1432" s="17" t="n">
        <v>12</v>
      </c>
      <c r="Q1432" s="17" t="str">
        <f aca="false">VLOOKUP(P1432,Sheet2!J:K,2,0)</f>
        <v>IR Declared due to Others ( IR Normal)TB</v>
      </c>
      <c r="R1432" s="17" t="s">
        <v>35</v>
      </c>
      <c r="S1432" s="17" t="str">
        <f aca="false">VLOOKUP(R1432,Sheet2!N:O,2,0)</f>
        <v>IREPARABLE</v>
      </c>
      <c r="T1432" s="18" t="str">
        <f aca="false">VLOOKUP(P1432,Sheet2!Q:R,2,0)</f>
        <v>IR Normal - BER to IR</v>
      </c>
      <c r="U1432" s="18" t="s">
        <v>101</v>
      </c>
      <c r="V1432" s="17" t="n">
        <v>8</v>
      </c>
      <c r="W1432" s="20" t="str">
        <f aca="false">VLOOKUP(V1432,Sheet2!Q:R,2,0)</f>
        <v>IR Normal -TrackRust/InternalDamage/open</v>
      </c>
      <c r="X1432" s="17" t="str">
        <f aca="false">J1432</f>
        <v>A031</v>
      </c>
      <c r="Y1432" s="17" t="str">
        <f aca="false">VLOOKUP(X1432,Sheet2!A:B,2,0)</f>
        <v>NITIN PRANAMI</v>
      </c>
      <c r="Z1432" s="17" t="s">
        <v>721</v>
      </c>
      <c r="AA1432" s="17" t="s">
        <v>642</v>
      </c>
      <c r="AB1432" s="17" t="s">
        <v>41</v>
      </c>
      <c r="AC1432" s="0" t="str">
        <f aca="false">LEFT(G1432,2)</f>
        <v>13</v>
      </c>
      <c r="AE1432" s="21" t="s">
        <v>506</v>
      </c>
    </row>
    <row r="1433" customFormat="false" ht="15" hidden="false" customHeight="false" outlineLevel="0" collapsed="false">
      <c r="A1433" s="13" t="n">
        <f aca="false">1+A1432</f>
        <v>1431</v>
      </c>
      <c r="B1433" s="14" t="n">
        <v>1009662254</v>
      </c>
      <c r="C1433" s="17" t="s">
        <v>433</v>
      </c>
      <c r="D1433" s="16" t="s">
        <v>64</v>
      </c>
      <c r="E1433" s="17" t="s">
        <v>64</v>
      </c>
      <c r="F1433" s="18" t="s">
        <v>34</v>
      </c>
      <c r="G1433" s="19" t="n">
        <v>866014232635</v>
      </c>
      <c r="H1433" s="17" t="s">
        <v>35</v>
      </c>
      <c r="I1433" s="17" t="s">
        <v>72</v>
      </c>
      <c r="J1433" s="17" t="s">
        <v>133</v>
      </c>
      <c r="K1433" s="17" t="str">
        <f aca="false">VLOOKUP(J1433,Sheet2!A:B,2,0)</f>
        <v>AKASH BAROT</v>
      </c>
      <c r="L1433" s="17" t="n">
        <v>1</v>
      </c>
      <c r="M1433" s="17" t="str">
        <f aca="false">VLOOKUP(L1433,Sheet2!D:E,2,0)</f>
        <v>Power Supply Section</v>
      </c>
      <c r="N1433" s="17" t="n">
        <v>1</v>
      </c>
      <c r="O1433" s="17" t="str">
        <f aca="false">VLOOKUP(N1433,Sheet2!G:H,2,0)</f>
        <v>Dead</v>
      </c>
      <c r="P1433" s="17" t="n">
        <v>11</v>
      </c>
      <c r="Q1433" s="17" t="str">
        <f aca="false">VLOOKUP(P1433,Sheet2!J:K,2,0)</f>
        <v>IR Declared due to CID -TA</v>
      </c>
      <c r="R1433" s="17" t="s">
        <v>35</v>
      </c>
      <c r="S1433" s="17" t="str">
        <f aca="false">VLOOKUP(R1433,Sheet2!N:O,2,0)</f>
        <v>IREPARABLE</v>
      </c>
      <c r="T1433" s="18" t="str">
        <f aca="false">VLOOKUP(P1433,Sheet2!Q:R,2,0)</f>
        <v>IR Normal - Track burn out</v>
      </c>
      <c r="U1433" s="18" t="s">
        <v>199</v>
      </c>
      <c r="V1433" s="17" t="n">
        <v>3</v>
      </c>
      <c r="W1433" s="20" t="str">
        <f aca="false">VLOOKUP(V1433,Sheet2!Q:R,2,0)</f>
        <v>IR CID - Tampered TrackOpen/Reworkdone </v>
      </c>
      <c r="X1433" s="17" t="str">
        <f aca="false">J1433</f>
        <v>A009</v>
      </c>
      <c r="Y1433" s="17" t="str">
        <f aca="false">VLOOKUP(X1433,Sheet2!A:B,2,0)</f>
        <v>AKASH BAROT</v>
      </c>
      <c r="Z1433" s="17" t="s">
        <v>222</v>
      </c>
      <c r="AA1433" s="17" t="s">
        <v>642</v>
      </c>
      <c r="AB1433" s="17" t="s">
        <v>41</v>
      </c>
      <c r="AC1433" s="0" t="str">
        <f aca="false">LEFT(G1433,2)</f>
        <v>86</v>
      </c>
      <c r="AE1433" s="21" t="s">
        <v>506</v>
      </c>
    </row>
    <row r="1434" customFormat="false" ht="15" hidden="false" customHeight="false" outlineLevel="0" collapsed="false">
      <c r="A1434" s="13" t="n">
        <f aca="false">1+A1433</f>
        <v>1432</v>
      </c>
      <c r="B1434" s="14" t="n">
        <v>1009646370</v>
      </c>
      <c r="C1434" s="17" t="s">
        <v>204</v>
      </c>
      <c r="D1434" s="16" t="s">
        <v>64</v>
      </c>
      <c r="E1434" s="17" t="s">
        <v>64</v>
      </c>
      <c r="F1434" s="18" t="s">
        <v>34</v>
      </c>
      <c r="G1434" s="19" t="n">
        <v>865148212984</v>
      </c>
      <c r="H1434" s="17" t="s">
        <v>35</v>
      </c>
      <c r="I1434" s="17" t="s">
        <v>72</v>
      </c>
      <c r="J1434" s="17" t="s">
        <v>115</v>
      </c>
      <c r="K1434" s="17" t="str">
        <f aca="false">VLOOKUP(J1434,Sheet2!A:B,2,0)</f>
        <v>ANKIT RANA</v>
      </c>
      <c r="L1434" s="17" t="n">
        <v>1</v>
      </c>
      <c r="M1434" s="17" t="str">
        <f aca="false">VLOOKUP(L1434,Sheet2!D:E,2,0)</f>
        <v>Power Supply Section</v>
      </c>
      <c r="N1434" s="17" t="n">
        <v>1</v>
      </c>
      <c r="O1434" s="17" t="str">
        <f aca="false">VLOOKUP(N1434,Sheet2!G:H,2,0)</f>
        <v>Dead</v>
      </c>
      <c r="P1434" s="17" t="n">
        <v>12</v>
      </c>
      <c r="Q1434" s="17" t="str">
        <f aca="false">VLOOKUP(P1434,Sheet2!J:K,2,0)</f>
        <v>IR Declared due to Others ( IR Normal)TB</v>
      </c>
      <c r="R1434" s="17" t="s">
        <v>35</v>
      </c>
      <c r="S1434" s="17" t="str">
        <f aca="false">VLOOKUP(R1434,Sheet2!N:O,2,0)</f>
        <v>IREPARABLE</v>
      </c>
      <c r="T1434" s="18" t="str">
        <f aca="false">VLOOKUP(P1434,Sheet2!Q:R,2,0)</f>
        <v>IR Normal - BER to IR</v>
      </c>
      <c r="U1434" s="20" t="s">
        <v>722</v>
      </c>
      <c r="V1434" s="17" t="n">
        <v>10</v>
      </c>
      <c r="W1434" s="20" t="str">
        <f aca="false">VLOOKUP(V1434,Sheet2!Q:R,2,0)</f>
        <v>IR Normal - Multiple components failure</v>
      </c>
      <c r="X1434" s="17" t="str">
        <f aca="false">J1434</f>
        <v>A042</v>
      </c>
      <c r="Y1434" s="17" t="str">
        <f aca="false">VLOOKUP(X1434,Sheet2!A:B,2,0)</f>
        <v>ANKIT RANA</v>
      </c>
      <c r="Z1434" s="17" t="s">
        <v>222</v>
      </c>
      <c r="AA1434" s="17" t="s">
        <v>642</v>
      </c>
      <c r="AB1434" s="17" t="s">
        <v>41</v>
      </c>
      <c r="AC1434" s="0" t="str">
        <f aca="false">LEFT(G1434,2)</f>
        <v>86</v>
      </c>
      <c r="AE1434" s="21" t="s">
        <v>506</v>
      </c>
    </row>
    <row r="1435" customFormat="false" ht="15" hidden="false" customHeight="false" outlineLevel="0" collapsed="false">
      <c r="A1435" s="13" t="n">
        <f aca="false">1+A1434</f>
        <v>1433</v>
      </c>
      <c r="B1435" s="14" t="n">
        <v>1009622905</v>
      </c>
      <c r="C1435" s="17" t="s">
        <v>184</v>
      </c>
      <c r="D1435" s="16" t="s">
        <v>64</v>
      </c>
      <c r="E1435" s="17" t="s">
        <v>47</v>
      </c>
      <c r="F1435" s="18" t="s">
        <v>34</v>
      </c>
      <c r="G1435" s="19" t="n">
        <v>864314185165</v>
      </c>
      <c r="H1435" s="17" t="s">
        <v>35</v>
      </c>
      <c r="I1435" s="17" t="s">
        <v>72</v>
      </c>
      <c r="J1435" s="17" t="s">
        <v>121</v>
      </c>
      <c r="K1435" s="17" t="str">
        <f aca="false">VLOOKUP(J1435,Sheet2!A:B,2,0)</f>
        <v>SHANI GOHIL</v>
      </c>
      <c r="L1435" s="17" t="n">
        <v>1</v>
      </c>
      <c r="M1435" s="17" t="str">
        <f aca="false">VLOOKUP(L1435,Sheet2!D:E,2,0)</f>
        <v>Power Supply Section</v>
      </c>
      <c r="N1435" s="17" t="n">
        <v>1</v>
      </c>
      <c r="O1435" s="17" t="str">
        <f aca="false">VLOOKUP(N1435,Sheet2!G:H,2,0)</f>
        <v>Dead</v>
      </c>
      <c r="P1435" s="17" t="n">
        <v>12</v>
      </c>
      <c r="Q1435" s="17" t="str">
        <f aca="false">VLOOKUP(P1435,Sheet2!J:K,2,0)</f>
        <v>IR Declared due to Others ( IR Normal)TB</v>
      </c>
      <c r="R1435" s="17" t="s">
        <v>35</v>
      </c>
      <c r="S1435" s="17" t="str">
        <f aca="false">VLOOKUP(R1435,Sheet2!N:O,2,0)</f>
        <v>IREPARABLE</v>
      </c>
      <c r="T1435" s="18" t="str">
        <f aca="false">VLOOKUP(P1435,Sheet2!Q:R,2,0)</f>
        <v>IR Normal - BER to IR</v>
      </c>
      <c r="U1435" s="20" t="s">
        <v>110</v>
      </c>
      <c r="V1435" s="17" t="n">
        <v>9</v>
      </c>
      <c r="W1435" s="20" t="str">
        <f aca="false">VLOOKUP(V1435,Sheet2!Q:R,2,0)</f>
        <v>IR Normal - Multiple time repair </v>
      </c>
      <c r="X1435" s="17" t="str">
        <f aca="false">J1435</f>
        <v>A063</v>
      </c>
      <c r="Y1435" s="17" t="str">
        <f aca="false">VLOOKUP(X1435,Sheet2!A:B,2,0)</f>
        <v>SHANI GOHIL</v>
      </c>
      <c r="Z1435" s="17" t="s">
        <v>222</v>
      </c>
      <c r="AA1435" s="17" t="s">
        <v>642</v>
      </c>
      <c r="AB1435" s="17" t="s">
        <v>41</v>
      </c>
      <c r="AC1435" s="0" t="str">
        <f aca="false">LEFT(G1435,2)</f>
        <v>86</v>
      </c>
      <c r="AE1435" s="21" t="s">
        <v>506</v>
      </c>
    </row>
    <row r="1436" customFormat="false" ht="15" hidden="false" customHeight="false" outlineLevel="0" collapsed="false">
      <c r="A1436" s="13" t="n">
        <f aca="false">1+A1435</f>
        <v>1434</v>
      </c>
      <c r="B1436" s="14" t="n">
        <v>1009618572</v>
      </c>
      <c r="C1436" s="17" t="s">
        <v>184</v>
      </c>
      <c r="D1436" s="16" t="s">
        <v>183</v>
      </c>
      <c r="E1436" s="17" t="s">
        <v>47</v>
      </c>
      <c r="F1436" s="18" t="s">
        <v>34</v>
      </c>
      <c r="G1436" s="19" t="n">
        <v>868141140202</v>
      </c>
      <c r="H1436" s="17" t="s">
        <v>35</v>
      </c>
      <c r="I1436" s="17" t="s">
        <v>72</v>
      </c>
      <c r="J1436" s="17" t="s">
        <v>100</v>
      </c>
      <c r="K1436" s="17" t="str">
        <f aca="false">VLOOKUP(J1436,Sheet2!A:B,2,0)</f>
        <v>PIYUSH CHAVDA</v>
      </c>
      <c r="L1436" s="17" t="n">
        <v>5</v>
      </c>
      <c r="M1436" s="17" t="str">
        <f aca="false">VLOOKUP(L1436,Sheet2!D:E,2,0)</f>
        <v>Main Processor CPU BGA</v>
      </c>
      <c r="N1436" s="17" t="n">
        <v>1</v>
      </c>
      <c r="O1436" s="17" t="str">
        <f aca="false">VLOOKUP(N1436,Sheet2!G:H,2,0)</f>
        <v>Dead</v>
      </c>
      <c r="P1436" s="17" t="n">
        <v>12</v>
      </c>
      <c r="Q1436" s="17" t="str">
        <f aca="false">VLOOKUP(P1436,Sheet2!J:K,2,0)</f>
        <v>IR Declared due to Others ( IR Normal)TB</v>
      </c>
      <c r="R1436" s="17" t="s">
        <v>35</v>
      </c>
      <c r="S1436" s="17" t="str">
        <f aca="false">VLOOKUP(R1436,Sheet2!N:O,2,0)</f>
        <v>IREPARABLE</v>
      </c>
      <c r="T1436" s="18" t="str">
        <f aca="false">VLOOKUP(P1436,Sheet2!Q:R,2,0)</f>
        <v>IR Normal - BER to IR</v>
      </c>
      <c r="U1436" s="15" t="s">
        <v>38</v>
      </c>
      <c r="V1436" s="17" t="n">
        <v>11</v>
      </c>
      <c r="W1436" s="20" t="str">
        <f aca="false">VLOOKUP(V1436,Sheet2!Q:R,2,0)</f>
        <v>IR Normal - Track burn out</v>
      </c>
      <c r="X1436" s="17" t="str">
        <f aca="false">J1436</f>
        <v>A050</v>
      </c>
      <c r="Y1436" s="17" t="str">
        <f aca="false">VLOOKUP(X1436,Sheet2!A:B,2,0)</f>
        <v>PIYUSH CHAVDA</v>
      </c>
      <c r="Z1436" s="17" t="s">
        <v>723</v>
      </c>
      <c r="AA1436" s="17" t="s">
        <v>642</v>
      </c>
      <c r="AB1436" s="17" t="s">
        <v>41</v>
      </c>
      <c r="AC1436" s="0" t="str">
        <f aca="false">LEFT(G1436,2)</f>
        <v>86</v>
      </c>
      <c r="AE1436" s="21" t="s">
        <v>506</v>
      </c>
    </row>
    <row r="1437" customFormat="false" ht="15" hidden="false" customHeight="false" outlineLevel="0" collapsed="false">
      <c r="A1437" s="13" t="n">
        <f aca="false">1+A1436</f>
        <v>1435</v>
      </c>
      <c r="B1437" s="14" t="n">
        <v>1009617584</v>
      </c>
      <c r="C1437" s="17" t="s">
        <v>184</v>
      </c>
      <c r="D1437" s="16" t="s">
        <v>64</v>
      </c>
      <c r="E1437" s="17" t="s">
        <v>47</v>
      </c>
      <c r="F1437" s="18" t="s">
        <v>34</v>
      </c>
      <c r="G1437" s="19" t="n">
        <v>865340269634</v>
      </c>
      <c r="H1437" s="17" t="s">
        <v>35</v>
      </c>
      <c r="I1437" s="17" t="s">
        <v>72</v>
      </c>
      <c r="J1437" s="17" t="s">
        <v>133</v>
      </c>
      <c r="K1437" s="17" t="str">
        <f aca="false">VLOOKUP(J1437,Sheet2!A:B,2,0)</f>
        <v>AKASH BAROT</v>
      </c>
      <c r="L1437" s="17" t="n">
        <v>5</v>
      </c>
      <c r="M1437" s="17" t="str">
        <f aca="false">VLOOKUP(L1437,Sheet2!D:E,2,0)</f>
        <v>Main Processor CPU BGA</v>
      </c>
      <c r="N1437" s="17" t="n">
        <v>24</v>
      </c>
      <c r="O1437" s="17" t="str">
        <f aca="false">VLOOKUP(N1437,Sheet2!G:H,2,0)</f>
        <v>STB Auto moving -Stand by mode</v>
      </c>
      <c r="P1437" s="17" t="n">
        <v>12</v>
      </c>
      <c r="Q1437" s="17" t="str">
        <f aca="false">VLOOKUP(P1437,Sheet2!J:K,2,0)</f>
        <v>IR Declared due to Others ( IR Normal)TB</v>
      </c>
      <c r="R1437" s="17" t="s">
        <v>35</v>
      </c>
      <c r="S1437" s="17" t="str">
        <f aca="false">VLOOKUP(R1437,Sheet2!N:O,2,0)</f>
        <v>IREPARABLE</v>
      </c>
      <c r="T1437" s="18" t="str">
        <f aca="false">VLOOKUP(P1437,Sheet2!Q:R,2,0)</f>
        <v>IR Normal - BER to IR</v>
      </c>
      <c r="U1437" s="18" t="s">
        <v>101</v>
      </c>
      <c r="V1437" s="17" t="n">
        <v>8</v>
      </c>
      <c r="W1437" s="20" t="str">
        <f aca="false">VLOOKUP(V1437,Sheet2!Q:R,2,0)</f>
        <v>IR Normal -TrackRust/InternalDamage/open</v>
      </c>
      <c r="X1437" s="17" t="str">
        <f aca="false">J1437</f>
        <v>A009</v>
      </c>
      <c r="Y1437" s="17" t="str">
        <f aca="false">VLOOKUP(X1437,Sheet2!A:B,2,0)</f>
        <v>AKASH BAROT</v>
      </c>
      <c r="Z1437" s="17" t="s">
        <v>341</v>
      </c>
      <c r="AA1437" s="17" t="s">
        <v>642</v>
      </c>
      <c r="AB1437" s="17" t="s">
        <v>41</v>
      </c>
      <c r="AC1437" s="0" t="str">
        <f aca="false">LEFT(G1437,2)</f>
        <v>86</v>
      </c>
      <c r="AE1437" s="21" t="s">
        <v>506</v>
      </c>
    </row>
    <row r="1438" customFormat="false" ht="15" hidden="false" customHeight="false" outlineLevel="0" collapsed="false">
      <c r="A1438" s="13" t="n">
        <f aca="false">1+A1437</f>
        <v>1436</v>
      </c>
      <c r="B1438" s="14" t="n">
        <v>1009622479</v>
      </c>
      <c r="C1438" s="17" t="s">
        <v>184</v>
      </c>
      <c r="D1438" s="16" t="s">
        <v>64</v>
      </c>
      <c r="E1438" s="17" t="s">
        <v>64</v>
      </c>
      <c r="F1438" s="18" t="s">
        <v>34</v>
      </c>
      <c r="G1438" s="19" t="n">
        <v>865171205679</v>
      </c>
      <c r="H1438" s="17" t="s">
        <v>35</v>
      </c>
      <c r="I1438" s="17" t="s">
        <v>72</v>
      </c>
      <c r="J1438" s="17" t="s">
        <v>100</v>
      </c>
      <c r="K1438" s="17" t="str">
        <f aca="false">VLOOKUP(J1438,Sheet2!A:B,2,0)</f>
        <v>PIYUSH CHAVDA</v>
      </c>
      <c r="L1438" s="17" t="n">
        <v>5</v>
      </c>
      <c r="M1438" s="17" t="str">
        <f aca="false">VLOOKUP(L1438,Sheet2!D:E,2,0)</f>
        <v>Main Processor CPU BGA</v>
      </c>
      <c r="N1438" s="17" t="n">
        <v>24</v>
      </c>
      <c r="O1438" s="17" t="str">
        <f aca="false">VLOOKUP(N1438,Sheet2!G:H,2,0)</f>
        <v>STB Auto moving -Stand by mode</v>
      </c>
      <c r="P1438" s="17" t="n">
        <v>12</v>
      </c>
      <c r="Q1438" s="17" t="str">
        <f aca="false">VLOOKUP(P1438,Sheet2!J:K,2,0)</f>
        <v>IR Declared due to Others ( IR Normal)TB</v>
      </c>
      <c r="R1438" s="17" t="s">
        <v>35</v>
      </c>
      <c r="S1438" s="17" t="str">
        <f aca="false">VLOOKUP(R1438,Sheet2!N:O,2,0)</f>
        <v>IREPARABLE</v>
      </c>
      <c r="T1438" s="18" t="str">
        <f aca="false">VLOOKUP(P1438,Sheet2!Q:R,2,0)</f>
        <v>IR Normal - BER to IR</v>
      </c>
      <c r="U1438" s="18" t="s">
        <v>101</v>
      </c>
      <c r="V1438" s="17" t="n">
        <v>8</v>
      </c>
      <c r="W1438" s="20" t="str">
        <f aca="false">VLOOKUP(V1438,Sheet2!Q:R,2,0)</f>
        <v>IR Normal -TrackRust/InternalDamage/open</v>
      </c>
      <c r="X1438" s="17" t="str">
        <f aca="false">J1438</f>
        <v>A050</v>
      </c>
      <c r="Y1438" s="17" t="str">
        <f aca="false">VLOOKUP(X1438,Sheet2!A:B,2,0)</f>
        <v>PIYUSH CHAVDA</v>
      </c>
      <c r="Z1438" s="17" t="s">
        <v>341</v>
      </c>
      <c r="AA1438" s="17" t="s">
        <v>642</v>
      </c>
      <c r="AB1438" s="17" t="s">
        <v>41</v>
      </c>
      <c r="AC1438" s="0" t="str">
        <f aca="false">LEFT(G1438,2)</f>
        <v>86</v>
      </c>
      <c r="AE1438" s="21" t="s">
        <v>506</v>
      </c>
    </row>
    <row r="1439" customFormat="false" ht="15" hidden="false" customHeight="false" outlineLevel="0" collapsed="false">
      <c r="A1439" s="13" t="n">
        <f aca="false">1+A1438</f>
        <v>1437</v>
      </c>
      <c r="B1439" s="14" t="n">
        <v>1009606225</v>
      </c>
      <c r="C1439" s="17" t="s">
        <v>181</v>
      </c>
      <c r="D1439" s="16" t="s">
        <v>64</v>
      </c>
      <c r="E1439" s="17" t="s">
        <v>64</v>
      </c>
      <c r="F1439" s="18" t="s">
        <v>34</v>
      </c>
      <c r="G1439" s="19" t="n">
        <v>866054209832</v>
      </c>
      <c r="H1439" s="17" t="s">
        <v>35</v>
      </c>
      <c r="I1439" s="17" t="s">
        <v>72</v>
      </c>
      <c r="J1439" s="17" t="s">
        <v>111</v>
      </c>
      <c r="K1439" s="17" t="str">
        <f aca="false">VLOOKUP(J1439,Sheet2!A:B,2,0)</f>
        <v>NITIN PRANAMI</v>
      </c>
      <c r="L1439" s="17" t="n">
        <v>1</v>
      </c>
      <c r="M1439" s="17" t="str">
        <f aca="false">VLOOKUP(L1439,Sheet2!D:E,2,0)</f>
        <v>Power Supply Section</v>
      </c>
      <c r="N1439" s="17" t="n">
        <v>1</v>
      </c>
      <c r="O1439" s="17" t="str">
        <f aca="false">VLOOKUP(N1439,Sheet2!G:H,2,0)</f>
        <v>Dead</v>
      </c>
      <c r="P1439" s="17" t="n">
        <v>12</v>
      </c>
      <c r="Q1439" s="17" t="str">
        <f aca="false">VLOOKUP(P1439,Sheet2!J:K,2,0)</f>
        <v>IR Declared due to Others ( IR Normal)TB</v>
      </c>
      <c r="R1439" s="17" t="s">
        <v>35</v>
      </c>
      <c r="S1439" s="17" t="str">
        <f aca="false">VLOOKUP(R1439,Sheet2!N:O,2,0)</f>
        <v>IREPARABLE</v>
      </c>
      <c r="T1439" s="18" t="str">
        <f aca="false">VLOOKUP(P1439,Sheet2!Q:R,2,0)</f>
        <v>IR Normal - BER to IR</v>
      </c>
      <c r="U1439" s="18" t="s">
        <v>101</v>
      </c>
      <c r="V1439" s="17" t="n">
        <v>8</v>
      </c>
      <c r="W1439" s="20" t="str">
        <f aca="false">VLOOKUP(V1439,Sheet2!Q:R,2,0)</f>
        <v>IR Normal -TrackRust/InternalDamage/open</v>
      </c>
      <c r="X1439" s="17" t="str">
        <f aca="false">J1439</f>
        <v>A031</v>
      </c>
      <c r="Y1439" s="17" t="str">
        <f aca="false">VLOOKUP(X1439,Sheet2!A:B,2,0)</f>
        <v>NITIN PRANAMI</v>
      </c>
      <c r="Z1439" s="17" t="s">
        <v>251</v>
      </c>
      <c r="AA1439" s="17" t="s">
        <v>642</v>
      </c>
      <c r="AB1439" s="17" t="s">
        <v>41</v>
      </c>
      <c r="AC1439" s="0" t="str">
        <f aca="false">LEFT(G1439,2)</f>
        <v>86</v>
      </c>
      <c r="AE1439" s="21" t="s">
        <v>506</v>
      </c>
    </row>
    <row r="1440" customFormat="false" ht="15" hidden="false" customHeight="false" outlineLevel="0" collapsed="false">
      <c r="A1440" s="13" t="n">
        <f aca="false">1+A1439</f>
        <v>1438</v>
      </c>
      <c r="B1440" s="14" t="n">
        <v>1009625592</v>
      </c>
      <c r="C1440" s="17" t="s">
        <v>163</v>
      </c>
      <c r="D1440" s="16" t="s">
        <v>64</v>
      </c>
      <c r="E1440" s="17" t="s">
        <v>47</v>
      </c>
      <c r="F1440" s="18" t="s">
        <v>34</v>
      </c>
      <c r="G1440" s="19" t="n">
        <v>865248155588</v>
      </c>
      <c r="H1440" s="17" t="s">
        <v>35</v>
      </c>
      <c r="I1440" s="17" t="s">
        <v>72</v>
      </c>
      <c r="J1440" s="17" t="s">
        <v>133</v>
      </c>
      <c r="K1440" s="17" t="str">
        <f aca="false">VLOOKUP(J1440,Sheet2!A:B,2,0)</f>
        <v>AKASH BAROT</v>
      </c>
      <c r="L1440" s="17" t="n">
        <v>1</v>
      </c>
      <c r="M1440" s="17" t="str">
        <f aca="false">VLOOKUP(L1440,Sheet2!D:E,2,0)</f>
        <v>Power Supply Section</v>
      </c>
      <c r="N1440" s="17" t="n">
        <v>1</v>
      </c>
      <c r="O1440" s="17" t="str">
        <f aca="false">VLOOKUP(N1440,Sheet2!G:H,2,0)</f>
        <v>Dead</v>
      </c>
      <c r="P1440" s="17" t="n">
        <v>12</v>
      </c>
      <c r="Q1440" s="17" t="str">
        <f aca="false">VLOOKUP(P1440,Sheet2!J:K,2,0)</f>
        <v>IR Declared due to Others ( IR Normal)TB</v>
      </c>
      <c r="R1440" s="17" t="s">
        <v>35</v>
      </c>
      <c r="S1440" s="17" t="str">
        <f aca="false">VLOOKUP(R1440,Sheet2!N:O,2,0)</f>
        <v>IREPARABLE</v>
      </c>
      <c r="T1440" s="18" t="str">
        <f aca="false">VLOOKUP(P1440,Sheet2!Q:R,2,0)</f>
        <v>IR Normal - BER to IR</v>
      </c>
      <c r="U1440" s="18" t="s">
        <v>101</v>
      </c>
      <c r="V1440" s="17" t="n">
        <v>8</v>
      </c>
      <c r="W1440" s="20" t="str">
        <f aca="false">VLOOKUP(V1440,Sheet2!Q:R,2,0)</f>
        <v>IR Normal -TrackRust/InternalDamage/open</v>
      </c>
      <c r="X1440" s="17" t="str">
        <f aca="false">J1440</f>
        <v>A009</v>
      </c>
      <c r="Y1440" s="17" t="str">
        <f aca="false">VLOOKUP(X1440,Sheet2!A:B,2,0)</f>
        <v>AKASH BAROT</v>
      </c>
      <c r="Z1440" s="17" t="s">
        <v>724</v>
      </c>
      <c r="AA1440" s="17" t="s">
        <v>642</v>
      </c>
      <c r="AB1440" s="17" t="s">
        <v>41</v>
      </c>
      <c r="AC1440" s="0" t="str">
        <f aca="false">LEFT(G1440,2)</f>
        <v>86</v>
      </c>
      <c r="AE1440" s="21" t="s">
        <v>506</v>
      </c>
    </row>
    <row r="1441" customFormat="false" ht="15" hidden="false" customHeight="false" outlineLevel="0" collapsed="false">
      <c r="A1441" s="13" t="n">
        <f aca="false">1+A1440</f>
        <v>1439</v>
      </c>
      <c r="B1441" s="14" t="n">
        <v>1009574973</v>
      </c>
      <c r="C1441" s="17" t="s">
        <v>104</v>
      </c>
      <c r="D1441" s="16" t="s">
        <v>64</v>
      </c>
      <c r="E1441" s="17" t="s">
        <v>64</v>
      </c>
      <c r="F1441" s="18" t="s">
        <v>34</v>
      </c>
      <c r="G1441" s="19" t="n">
        <v>865274288634</v>
      </c>
      <c r="H1441" s="17" t="s">
        <v>35</v>
      </c>
      <c r="I1441" s="17" t="s">
        <v>72</v>
      </c>
      <c r="J1441" s="17" t="s">
        <v>100</v>
      </c>
      <c r="K1441" s="17" t="str">
        <f aca="false">VLOOKUP(J1441,Sheet2!A:B,2,0)</f>
        <v>PIYUSH CHAVDA</v>
      </c>
      <c r="L1441" s="17" t="n">
        <v>5</v>
      </c>
      <c r="M1441" s="17" t="str">
        <f aca="false">VLOOKUP(L1441,Sheet2!D:E,2,0)</f>
        <v>Main Processor CPU BGA</v>
      </c>
      <c r="N1441" s="17" t="n">
        <v>1</v>
      </c>
      <c r="O1441" s="17" t="str">
        <f aca="false">VLOOKUP(N1441,Sheet2!G:H,2,0)</f>
        <v>Dead</v>
      </c>
      <c r="P1441" s="17" t="n">
        <v>11</v>
      </c>
      <c r="Q1441" s="17" t="str">
        <f aca="false">VLOOKUP(P1441,Sheet2!J:K,2,0)</f>
        <v>IR Declared due to CID -TA</v>
      </c>
      <c r="R1441" s="17" t="s">
        <v>35</v>
      </c>
      <c r="S1441" s="17" t="str">
        <f aca="false">VLOOKUP(R1441,Sheet2!N:O,2,0)</f>
        <v>IREPARABLE</v>
      </c>
      <c r="T1441" s="18" t="str">
        <f aca="false">VLOOKUP(P1441,Sheet2!Q:R,2,0)</f>
        <v>IR Normal - Track burn out</v>
      </c>
      <c r="U1441" s="18" t="s">
        <v>122</v>
      </c>
      <c r="V1441" s="17" t="n">
        <v>2</v>
      </c>
      <c r="W1441" s="20" t="str">
        <f aca="false">VLOOKUP(V1441,Sheet2!Q:R,2,0)</f>
        <v>IR CID -  Water log from other area</v>
      </c>
      <c r="X1441" s="17" t="str">
        <f aca="false">J1441</f>
        <v>A050</v>
      </c>
      <c r="Y1441" s="17" t="str">
        <f aca="false">VLOOKUP(X1441,Sheet2!A:B,2,0)</f>
        <v>PIYUSH CHAVDA</v>
      </c>
      <c r="Z1441" s="17" t="s">
        <v>272</v>
      </c>
      <c r="AA1441" s="17" t="s">
        <v>642</v>
      </c>
      <c r="AB1441" s="17" t="s">
        <v>41</v>
      </c>
      <c r="AC1441" s="0" t="str">
        <f aca="false">LEFT(G1441,2)</f>
        <v>86</v>
      </c>
      <c r="AE1441" s="21" t="s">
        <v>506</v>
      </c>
    </row>
    <row r="1442" customFormat="false" ht="15" hidden="false" customHeight="false" outlineLevel="0" collapsed="false">
      <c r="A1442" s="13" t="n">
        <f aca="false">1+A1441</f>
        <v>1440</v>
      </c>
      <c r="B1442" s="14" t="n">
        <v>1009632798</v>
      </c>
      <c r="C1442" s="17" t="s">
        <v>232</v>
      </c>
      <c r="D1442" s="16" t="s">
        <v>64</v>
      </c>
      <c r="E1442" s="17" t="s">
        <v>114</v>
      </c>
      <c r="F1442" s="18" t="s">
        <v>34</v>
      </c>
      <c r="G1442" s="19" t="n">
        <v>865304195635</v>
      </c>
      <c r="H1442" s="17" t="s">
        <v>35</v>
      </c>
      <c r="I1442" s="17" t="s">
        <v>72</v>
      </c>
      <c r="J1442" s="17" t="s">
        <v>133</v>
      </c>
      <c r="K1442" s="17" t="str">
        <f aca="false">VLOOKUP(J1442,Sheet2!A:B,2,0)</f>
        <v>AKASH BAROT</v>
      </c>
      <c r="L1442" s="17" t="n">
        <v>5</v>
      </c>
      <c r="M1442" s="17" t="str">
        <f aca="false">VLOOKUP(L1442,Sheet2!D:E,2,0)</f>
        <v>Main Processor CPU BGA</v>
      </c>
      <c r="N1442" s="17" t="n">
        <v>24</v>
      </c>
      <c r="O1442" s="17" t="str">
        <f aca="false">VLOOKUP(N1442,Sheet2!G:H,2,0)</f>
        <v>STB Auto moving -Stand by mode</v>
      </c>
      <c r="P1442" s="17" t="n">
        <v>12</v>
      </c>
      <c r="Q1442" s="17" t="str">
        <f aca="false">VLOOKUP(P1442,Sheet2!J:K,2,0)</f>
        <v>IR Declared due to Others ( IR Normal)TB</v>
      </c>
      <c r="R1442" s="17" t="s">
        <v>35</v>
      </c>
      <c r="S1442" s="17" t="str">
        <f aca="false">VLOOKUP(R1442,Sheet2!N:O,2,0)</f>
        <v>IREPARABLE</v>
      </c>
      <c r="T1442" s="18" t="str">
        <f aca="false">VLOOKUP(P1442,Sheet2!Q:R,2,0)</f>
        <v>IR Normal - BER to IR</v>
      </c>
      <c r="U1442" s="18" t="s">
        <v>101</v>
      </c>
      <c r="V1442" s="17" t="n">
        <v>8</v>
      </c>
      <c r="W1442" s="20" t="str">
        <f aca="false">VLOOKUP(V1442,Sheet2!Q:R,2,0)</f>
        <v>IR Normal -TrackRust/InternalDamage/open</v>
      </c>
      <c r="X1442" s="17" t="str">
        <f aca="false">J1442</f>
        <v>A009</v>
      </c>
      <c r="Y1442" s="17" t="str">
        <f aca="false">VLOOKUP(X1442,Sheet2!A:B,2,0)</f>
        <v>AKASH BAROT</v>
      </c>
      <c r="Z1442" s="17" t="s">
        <v>725</v>
      </c>
      <c r="AA1442" s="17" t="s">
        <v>642</v>
      </c>
      <c r="AB1442" s="17" t="s">
        <v>41</v>
      </c>
      <c r="AC1442" s="0" t="str">
        <f aca="false">LEFT(G1442,2)</f>
        <v>86</v>
      </c>
      <c r="AE1442" s="21" t="s">
        <v>506</v>
      </c>
    </row>
    <row r="1443" customFormat="false" ht="15" hidden="false" customHeight="false" outlineLevel="0" collapsed="false">
      <c r="A1443" s="13" t="n">
        <f aca="false">1+A1442</f>
        <v>1441</v>
      </c>
      <c r="B1443" s="14" t="n">
        <v>1009558408</v>
      </c>
      <c r="C1443" s="17" t="s">
        <v>192</v>
      </c>
      <c r="D1443" s="16" t="s">
        <v>64</v>
      </c>
      <c r="E1443" s="17" t="s">
        <v>64</v>
      </c>
      <c r="F1443" s="18" t="s">
        <v>34</v>
      </c>
      <c r="G1443" s="19" t="n">
        <v>865281284097</v>
      </c>
      <c r="H1443" s="17" t="s">
        <v>35</v>
      </c>
      <c r="I1443" s="17" t="s">
        <v>72</v>
      </c>
      <c r="J1443" s="17" t="s">
        <v>696</v>
      </c>
      <c r="K1443" s="17" t="str">
        <f aca="false">VLOOKUP(J1443,Sheet2!A:B,2,0)</f>
        <v>PARIXIT PANDYA </v>
      </c>
      <c r="L1443" s="17" t="n">
        <v>1</v>
      </c>
      <c r="M1443" s="17" t="str">
        <f aca="false">VLOOKUP(L1443,Sheet2!D:E,2,0)</f>
        <v>Power Supply Section</v>
      </c>
      <c r="N1443" s="17" t="n">
        <v>1</v>
      </c>
      <c r="O1443" s="17" t="str">
        <f aca="false">VLOOKUP(N1443,Sheet2!G:H,2,0)</f>
        <v>Dead</v>
      </c>
      <c r="P1443" s="17" t="n">
        <v>12</v>
      </c>
      <c r="Q1443" s="17" t="str">
        <f aca="false">VLOOKUP(P1443,Sheet2!J:K,2,0)</f>
        <v>IR Declared due to Others ( IR Normal)TB</v>
      </c>
      <c r="R1443" s="17" t="s">
        <v>35</v>
      </c>
      <c r="S1443" s="17" t="str">
        <f aca="false">VLOOKUP(R1443,Sheet2!N:O,2,0)</f>
        <v>IREPARABLE</v>
      </c>
      <c r="T1443" s="18" t="str">
        <f aca="false">VLOOKUP(P1443,Sheet2!Q:R,2,0)</f>
        <v>IR Normal - BER to IR</v>
      </c>
      <c r="U1443" s="15" t="s">
        <v>38</v>
      </c>
      <c r="V1443" s="17" t="n">
        <v>11</v>
      </c>
      <c r="W1443" s="20" t="str">
        <f aca="false">VLOOKUP(V1443,Sheet2!Q:R,2,0)</f>
        <v>IR Normal - Track burn out</v>
      </c>
      <c r="X1443" s="17" t="str">
        <f aca="false">J1443</f>
        <v>A015</v>
      </c>
      <c r="Y1443" s="17" t="str">
        <f aca="false">VLOOKUP(X1443,Sheet2!A:B,2,0)</f>
        <v>PARIXIT PANDYA </v>
      </c>
      <c r="Z1443" s="17" t="s">
        <v>251</v>
      </c>
      <c r="AA1443" s="17" t="s">
        <v>642</v>
      </c>
      <c r="AB1443" s="17" t="s">
        <v>41</v>
      </c>
      <c r="AC1443" s="0" t="str">
        <f aca="false">LEFT(G1443,2)</f>
        <v>86</v>
      </c>
      <c r="AE1443" s="21" t="s">
        <v>506</v>
      </c>
    </row>
    <row r="1444" customFormat="false" ht="15" hidden="false" customHeight="false" outlineLevel="0" collapsed="false">
      <c r="A1444" s="13" t="n">
        <f aca="false">1+A1443</f>
        <v>1442</v>
      </c>
      <c r="B1444" s="14" t="n">
        <v>1009558367</v>
      </c>
      <c r="C1444" s="17" t="s">
        <v>192</v>
      </c>
      <c r="D1444" s="16" t="s">
        <v>64</v>
      </c>
      <c r="E1444" s="17" t="s">
        <v>64</v>
      </c>
      <c r="F1444" s="18" t="s">
        <v>34</v>
      </c>
      <c r="G1444" s="19" t="n">
        <v>867129121671</v>
      </c>
      <c r="H1444" s="17" t="s">
        <v>35</v>
      </c>
      <c r="I1444" s="17" t="s">
        <v>72</v>
      </c>
      <c r="J1444" s="17" t="s">
        <v>696</v>
      </c>
      <c r="K1444" s="17" t="str">
        <f aca="false">VLOOKUP(J1444,Sheet2!A:B,2,0)</f>
        <v>PARIXIT PANDYA </v>
      </c>
      <c r="L1444" s="17" t="n">
        <v>1</v>
      </c>
      <c r="M1444" s="17" t="str">
        <f aca="false">VLOOKUP(L1444,Sheet2!D:E,2,0)</f>
        <v>Power Supply Section</v>
      </c>
      <c r="N1444" s="17" t="n">
        <v>1</v>
      </c>
      <c r="O1444" s="17" t="str">
        <f aca="false">VLOOKUP(N1444,Sheet2!G:H,2,0)</f>
        <v>Dead</v>
      </c>
      <c r="P1444" s="17" t="n">
        <v>12</v>
      </c>
      <c r="Q1444" s="17" t="str">
        <f aca="false">VLOOKUP(P1444,Sheet2!J:K,2,0)</f>
        <v>IR Declared due to Others ( IR Normal)TB</v>
      </c>
      <c r="R1444" s="17" t="s">
        <v>35</v>
      </c>
      <c r="S1444" s="17" t="str">
        <f aca="false">VLOOKUP(R1444,Sheet2!N:O,2,0)</f>
        <v>IREPARABLE</v>
      </c>
      <c r="T1444" s="18" t="str">
        <f aca="false">VLOOKUP(P1444,Sheet2!Q:R,2,0)</f>
        <v>IR Normal - BER to IR</v>
      </c>
      <c r="U1444" s="18" t="s">
        <v>101</v>
      </c>
      <c r="V1444" s="17" t="n">
        <v>8</v>
      </c>
      <c r="W1444" s="20" t="str">
        <f aca="false">VLOOKUP(V1444,Sheet2!Q:R,2,0)</f>
        <v>IR Normal -TrackRust/InternalDamage/open</v>
      </c>
      <c r="X1444" s="17" t="str">
        <f aca="false">J1444</f>
        <v>A015</v>
      </c>
      <c r="Y1444" s="17" t="str">
        <f aca="false">VLOOKUP(X1444,Sheet2!A:B,2,0)</f>
        <v>PARIXIT PANDYA </v>
      </c>
      <c r="Z1444" s="17" t="s">
        <v>251</v>
      </c>
      <c r="AA1444" s="17" t="s">
        <v>642</v>
      </c>
      <c r="AB1444" s="17" t="s">
        <v>41</v>
      </c>
      <c r="AC1444" s="0" t="str">
        <f aca="false">LEFT(G1444,2)</f>
        <v>86</v>
      </c>
      <c r="AE1444" s="21" t="s">
        <v>506</v>
      </c>
    </row>
    <row r="1445" customFormat="false" ht="15" hidden="false" customHeight="false" outlineLevel="0" collapsed="false">
      <c r="A1445" s="13" t="n">
        <f aca="false">1+A1444</f>
        <v>1443</v>
      </c>
      <c r="B1445" s="14" t="n">
        <v>1009640876</v>
      </c>
      <c r="C1445" s="17" t="s">
        <v>429</v>
      </c>
      <c r="D1445" s="16" t="s">
        <v>64</v>
      </c>
      <c r="E1445" s="17" t="s">
        <v>64</v>
      </c>
      <c r="F1445" s="18" t="s">
        <v>34</v>
      </c>
      <c r="G1445" s="19" t="n">
        <v>866014120327</v>
      </c>
      <c r="H1445" s="17" t="s">
        <v>35</v>
      </c>
      <c r="I1445" s="17" t="s">
        <v>72</v>
      </c>
      <c r="J1445" s="17" t="s">
        <v>118</v>
      </c>
      <c r="K1445" s="17" t="str">
        <f aca="false">VLOOKUP(J1445,Sheet2!A:B,2,0)</f>
        <v>DEVENDRA RAJPUT</v>
      </c>
      <c r="L1445" s="17" t="n">
        <v>5</v>
      </c>
      <c r="M1445" s="17" t="str">
        <f aca="false">VLOOKUP(L1445,Sheet2!D:E,2,0)</f>
        <v>Main Processor CPU BGA</v>
      </c>
      <c r="N1445" s="17" t="n">
        <v>24</v>
      </c>
      <c r="O1445" s="17" t="str">
        <f aca="false">VLOOKUP(N1445,Sheet2!G:H,2,0)</f>
        <v>STB Auto moving -Stand by mode</v>
      </c>
      <c r="P1445" s="17" t="n">
        <v>12</v>
      </c>
      <c r="Q1445" s="17" t="str">
        <f aca="false">VLOOKUP(P1445,Sheet2!J:K,2,0)</f>
        <v>IR Declared due to Others ( IR Normal)TB</v>
      </c>
      <c r="R1445" s="17" t="s">
        <v>35</v>
      </c>
      <c r="S1445" s="17" t="str">
        <f aca="false">VLOOKUP(R1445,Sheet2!N:O,2,0)</f>
        <v>IREPARABLE</v>
      </c>
      <c r="T1445" s="18" t="str">
        <f aca="false">VLOOKUP(P1445,Sheet2!Q:R,2,0)</f>
        <v>IR Normal - BER to IR</v>
      </c>
      <c r="U1445" s="18" t="s">
        <v>101</v>
      </c>
      <c r="V1445" s="17" t="n">
        <v>8</v>
      </c>
      <c r="W1445" s="20" t="str">
        <f aca="false">VLOOKUP(V1445,Sheet2!Q:R,2,0)</f>
        <v>IR Normal -TrackRust/InternalDamage/open</v>
      </c>
      <c r="X1445" s="17" t="str">
        <f aca="false">J1445</f>
        <v>A053</v>
      </c>
      <c r="Y1445" s="17" t="str">
        <f aca="false">VLOOKUP(X1445,Sheet2!A:B,2,0)</f>
        <v>DEVENDRA RAJPUT</v>
      </c>
      <c r="Z1445" s="17" t="s">
        <v>726</v>
      </c>
      <c r="AA1445" s="17" t="s">
        <v>642</v>
      </c>
      <c r="AB1445" s="17" t="s">
        <v>41</v>
      </c>
      <c r="AC1445" s="0" t="str">
        <f aca="false">LEFT(G1445,2)</f>
        <v>86</v>
      </c>
      <c r="AE1445" s="21" t="s">
        <v>506</v>
      </c>
    </row>
    <row r="1446" customFormat="false" ht="15" hidden="false" customHeight="false" outlineLevel="0" collapsed="false">
      <c r="A1446" s="13" t="n">
        <f aca="false">1+A1445</f>
        <v>1444</v>
      </c>
      <c r="B1446" s="14" t="n">
        <v>1009640890</v>
      </c>
      <c r="C1446" s="17" t="s">
        <v>429</v>
      </c>
      <c r="D1446" s="16" t="s">
        <v>64</v>
      </c>
      <c r="E1446" s="17" t="s">
        <v>64</v>
      </c>
      <c r="F1446" s="18" t="s">
        <v>34</v>
      </c>
      <c r="G1446" s="19" t="n">
        <v>866058144340</v>
      </c>
      <c r="H1446" s="17" t="s">
        <v>35</v>
      </c>
      <c r="I1446" s="17" t="s">
        <v>72</v>
      </c>
      <c r="J1446" s="17" t="s">
        <v>100</v>
      </c>
      <c r="K1446" s="17" t="str">
        <f aca="false">VLOOKUP(J1446,Sheet2!A:B,2,0)</f>
        <v>PIYUSH CHAVDA</v>
      </c>
      <c r="L1446" s="17" t="n">
        <v>1</v>
      </c>
      <c r="M1446" s="17" t="str">
        <f aca="false">VLOOKUP(L1446,Sheet2!D:E,2,0)</f>
        <v>Power Supply Section</v>
      </c>
      <c r="N1446" s="17" t="n">
        <v>1</v>
      </c>
      <c r="O1446" s="17" t="str">
        <f aca="false">VLOOKUP(N1446,Sheet2!G:H,2,0)</f>
        <v>Dead</v>
      </c>
      <c r="P1446" s="17" t="n">
        <v>12</v>
      </c>
      <c r="Q1446" s="17" t="str">
        <f aca="false">VLOOKUP(P1446,Sheet2!J:K,2,0)</f>
        <v>IR Declared due to Others ( IR Normal)TB</v>
      </c>
      <c r="R1446" s="17" t="s">
        <v>35</v>
      </c>
      <c r="S1446" s="17" t="str">
        <f aca="false">VLOOKUP(R1446,Sheet2!N:O,2,0)</f>
        <v>IREPARABLE</v>
      </c>
      <c r="T1446" s="18" t="str">
        <f aca="false">VLOOKUP(P1446,Sheet2!Q:R,2,0)</f>
        <v>IR Normal - BER to IR</v>
      </c>
      <c r="U1446" s="18" t="s">
        <v>101</v>
      </c>
      <c r="V1446" s="17" t="n">
        <v>8</v>
      </c>
      <c r="W1446" s="20" t="str">
        <f aca="false">VLOOKUP(V1446,Sheet2!Q:R,2,0)</f>
        <v>IR Normal -TrackRust/InternalDamage/open</v>
      </c>
      <c r="X1446" s="17" t="str">
        <f aca="false">J1446</f>
        <v>A050</v>
      </c>
      <c r="Y1446" s="17" t="str">
        <f aca="false">VLOOKUP(X1446,Sheet2!A:B,2,0)</f>
        <v>PIYUSH CHAVDA</v>
      </c>
      <c r="Z1446" s="17" t="s">
        <v>726</v>
      </c>
      <c r="AA1446" s="17" t="s">
        <v>642</v>
      </c>
      <c r="AB1446" s="17" t="s">
        <v>41</v>
      </c>
      <c r="AC1446" s="0" t="str">
        <f aca="false">LEFT(G1446,2)</f>
        <v>86</v>
      </c>
      <c r="AE1446" s="21" t="s">
        <v>506</v>
      </c>
    </row>
    <row r="1447" customFormat="false" ht="15" hidden="false" customHeight="false" outlineLevel="0" collapsed="false">
      <c r="A1447" s="13" t="n">
        <f aca="false">1+A1446</f>
        <v>1445</v>
      </c>
      <c r="B1447" s="14" t="n">
        <v>1009579114</v>
      </c>
      <c r="C1447" s="17" t="s">
        <v>139</v>
      </c>
      <c r="D1447" s="16" t="s">
        <v>143</v>
      </c>
      <c r="E1447" s="17" t="s">
        <v>33</v>
      </c>
      <c r="F1447" s="18" t="s">
        <v>34</v>
      </c>
      <c r="G1447" s="19" t="n">
        <v>865307202040</v>
      </c>
      <c r="H1447" s="17" t="s">
        <v>35</v>
      </c>
      <c r="I1447" s="17" t="s">
        <v>72</v>
      </c>
      <c r="J1447" s="17" t="s">
        <v>252</v>
      </c>
      <c r="K1447" s="17" t="str">
        <f aca="false">VLOOKUP(J1447,Sheet2!A:B,2,0)</f>
        <v>TAKHAT SOLANKI</v>
      </c>
      <c r="L1447" s="17" t="n">
        <v>5</v>
      </c>
      <c r="M1447" s="17" t="str">
        <f aca="false">VLOOKUP(L1447,Sheet2!D:E,2,0)</f>
        <v>Main Processor CPU BGA</v>
      </c>
      <c r="N1447" s="17" t="n">
        <v>24</v>
      </c>
      <c r="O1447" s="17" t="str">
        <f aca="false">VLOOKUP(N1447,Sheet2!G:H,2,0)</f>
        <v>STB Auto moving -Stand by mode</v>
      </c>
      <c r="P1447" s="17" t="n">
        <v>12</v>
      </c>
      <c r="Q1447" s="17" t="str">
        <f aca="false">VLOOKUP(P1447,Sheet2!J:K,2,0)</f>
        <v>IR Declared due to Others ( IR Normal)TB</v>
      </c>
      <c r="R1447" s="17" t="s">
        <v>35</v>
      </c>
      <c r="S1447" s="17" t="str">
        <f aca="false">VLOOKUP(R1447,Sheet2!N:O,2,0)</f>
        <v>IREPARABLE</v>
      </c>
      <c r="T1447" s="18" t="str">
        <f aca="false">VLOOKUP(P1447,Sheet2!Q:R,2,0)</f>
        <v>IR Normal - BER to IR</v>
      </c>
      <c r="U1447" s="18" t="s">
        <v>101</v>
      </c>
      <c r="V1447" s="17" t="n">
        <v>8</v>
      </c>
      <c r="W1447" s="20" t="str">
        <f aca="false">VLOOKUP(V1447,Sheet2!Q:R,2,0)</f>
        <v>IR Normal -TrackRust/InternalDamage/open</v>
      </c>
      <c r="X1447" s="17" t="str">
        <f aca="false">J1447</f>
        <v>A006</v>
      </c>
      <c r="Y1447" s="17" t="str">
        <f aca="false">VLOOKUP(X1447,Sheet2!A:B,2,0)</f>
        <v>TAKHAT SOLANKI</v>
      </c>
      <c r="Z1447" s="17" t="s">
        <v>727</v>
      </c>
      <c r="AA1447" s="17" t="s">
        <v>642</v>
      </c>
      <c r="AB1447" s="17" t="s">
        <v>41</v>
      </c>
      <c r="AC1447" s="0" t="str">
        <f aca="false">LEFT(G1447,2)</f>
        <v>86</v>
      </c>
      <c r="AE1447" s="21" t="s">
        <v>506</v>
      </c>
    </row>
    <row r="1448" customFormat="false" ht="15" hidden="false" customHeight="false" outlineLevel="0" collapsed="false">
      <c r="A1448" s="13" t="n">
        <f aca="false">1+A1447</f>
        <v>1446</v>
      </c>
      <c r="B1448" s="14" t="n">
        <v>1009640822</v>
      </c>
      <c r="C1448" s="17" t="s">
        <v>429</v>
      </c>
      <c r="D1448" s="16" t="s">
        <v>64</v>
      </c>
      <c r="E1448" s="17" t="s">
        <v>64</v>
      </c>
      <c r="F1448" s="18" t="s">
        <v>34</v>
      </c>
      <c r="G1448" s="19" t="n">
        <v>864342252698</v>
      </c>
      <c r="H1448" s="17" t="s">
        <v>35</v>
      </c>
      <c r="I1448" s="17" t="s">
        <v>72</v>
      </c>
      <c r="J1448" s="17" t="s">
        <v>100</v>
      </c>
      <c r="K1448" s="17" t="str">
        <f aca="false">VLOOKUP(J1448,Sheet2!A:B,2,0)</f>
        <v>PIYUSH CHAVDA</v>
      </c>
      <c r="L1448" s="17" t="n">
        <v>5</v>
      </c>
      <c r="M1448" s="17" t="str">
        <f aca="false">VLOOKUP(L1448,Sheet2!D:E,2,0)</f>
        <v>Main Processor CPU BGA</v>
      </c>
      <c r="N1448" s="17" t="n">
        <v>1</v>
      </c>
      <c r="O1448" s="17" t="str">
        <f aca="false">VLOOKUP(N1448,Sheet2!G:H,2,0)</f>
        <v>Dead</v>
      </c>
      <c r="P1448" s="17" t="n">
        <v>12</v>
      </c>
      <c r="Q1448" s="17" t="str">
        <f aca="false">VLOOKUP(P1448,Sheet2!J:K,2,0)</f>
        <v>IR Declared due to Others ( IR Normal)TB</v>
      </c>
      <c r="R1448" s="17" t="s">
        <v>35</v>
      </c>
      <c r="S1448" s="17" t="str">
        <f aca="false">VLOOKUP(R1448,Sheet2!N:O,2,0)</f>
        <v>IREPARABLE</v>
      </c>
      <c r="T1448" s="18" t="str">
        <f aca="false">VLOOKUP(P1448,Sheet2!Q:R,2,0)</f>
        <v>IR Normal - BER to IR</v>
      </c>
      <c r="U1448" s="18" t="s">
        <v>101</v>
      </c>
      <c r="V1448" s="17" t="n">
        <v>8</v>
      </c>
      <c r="W1448" s="20" t="str">
        <f aca="false">VLOOKUP(V1448,Sheet2!Q:R,2,0)</f>
        <v>IR Normal -TrackRust/InternalDamage/open</v>
      </c>
      <c r="X1448" s="17" t="str">
        <f aca="false">J1448</f>
        <v>A050</v>
      </c>
      <c r="Y1448" s="17" t="str">
        <f aca="false">VLOOKUP(X1448,Sheet2!A:B,2,0)</f>
        <v>PIYUSH CHAVDA</v>
      </c>
      <c r="Z1448" s="17" t="s">
        <v>222</v>
      </c>
      <c r="AA1448" s="17" t="s">
        <v>642</v>
      </c>
      <c r="AB1448" s="17" t="s">
        <v>41</v>
      </c>
      <c r="AC1448" s="0" t="str">
        <f aca="false">LEFT(G1448,2)</f>
        <v>86</v>
      </c>
      <c r="AE1448" s="21" t="s">
        <v>506</v>
      </c>
    </row>
    <row r="1449" customFormat="false" ht="15" hidden="false" customHeight="false" outlineLevel="0" collapsed="false">
      <c r="A1449" s="13" t="n">
        <f aca="false">1+A1448</f>
        <v>1447</v>
      </c>
      <c r="B1449" s="14" t="n">
        <v>1009558300</v>
      </c>
      <c r="C1449" s="17" t="s">
        <v>192</v>
      </c>
      <c r="D1449" s="16" t="s">
        <v>64</v>
      </c>
      <c r="E1449" s="17" t="s">
        <v>64</v>
      </c>
      <c r="F1449" s="18" t="s">
        <v>34</v>
      </c>
      <c r="G1449" s="19" t="n">
        <v>867108222920</v>
      </c>
      <c r="H1449" s="17" t="s">
        <v>35</v>
      </c>
      <c r="I1449" s="17" t="s">
        <v>72</v>
      </c>
      <c r="J1449" s="17" t="s">
        <v>696</v>
      </c>
      <c r="K1449" s="17" t="str">
        <f aca="false">VLOOKUP(J1449,Sheet2!A:B,2,0)</f>
        <v>PARIXIT PANDYA </v>
      </c>
      <c r="L1449" s="17" t="n">
        <v>1</v>
      </c>
      <c r="M1449" s="17" t="str">
        <f aca="false">VLOOKUP(L1449,Sheet2!D:E,2,0)</f>
        <v>Power Supply Section</v>
      </c>
      <c r="N1449" s="17" t="n">
        <v>1</v>
      </c>
      <c r="O1449" s="17" t="str">
        <f aca="false">VLOOKUP(N1449,Sheet2!G:H,2,0)</f>
        <v>Dead</v>
      </c>
      <c r="P1449" s="17" t="n">
        <v>12</v>
      </c>
      <c r="Q1449" s="17" t="str">
        <f aca="false">VLOOKUP(P1449,Sheet2!J:K,2,0)</f>
        <v>IR Declared due to Others ( IR Normal)TB</v>
      </c>
      <c r="R1449" s="17" t="s">
        <v>35</v>
      </c>
      <c r="S1449" s="17" t="str">
        <f aca="false">VLOOKUP(R1449,Sheet2!N:O,2,0)</f>
        <v>IREPARABLE</v>
      </c>
      <c r="T1449" s="18" t="str">
        <f aca="false">VLOOKUP(P1449,Sheet2!Q:R,2,0)</f>
        <v>IR Normal - BER to IR</v>
      </c>
      <c r="U1449" s="15" t="s">
        <v>38</v>
      </c>
      <c r="V1449" s="17" t="n">
        <v>11</v>
      </c>
      <c r="W1449" s="20" t="str">
        <f aca="false">VLOOKUP(V1449,Sheet2!Q:R,2,0)</f>
        <v>IR Normal - Track burn out</v>
      </c>
      <c r="X1449" s="17" t="str">
        <f aca="false">J1449</f>
        <v>A015</v>
      </c>
      <c r="Y1449" s="17" t="str">
        <f aca="false">VLOOKUP(X1449,Sheet2!A:B,2,0)</f>
        <v>PARIXIT PANDYA </v>
      </c>
      <c r="Z1449" s="17" t="s">
        <v>222</v>
      </c>
      <c r="AA1449" s="17" t="s">
        <v>642</v>
      </c>
      <c r="AB1449" s="17" t="s">
        <v>41</v>
      </c>
      <c r="AC1449" s="0" t="str">
        <f aca="false">LEFT(G1449,2)</f>
        <v>86</v>
      </c>
      <c r="AE1449" s="21" t="s">
        <v>506</v>
      </c>
    </row>
    <row r="1450" customFormat="false" ht="15" hidden="false" customHeight="false" outlineLevel="0" collapsed="false">
      <c r="A1450" s="13" t="n">
        <f aca="false">1+A1449</f>
        <v>1448</v>
      </c>
      <c r="B1450" s="14" t="n">
        <v>10096606991</v>
      </c>
      <c r="C1450" s="17" t="s">
        <v>181</v>
      </c>
      <c r="D1450" s="16" t="s">
        <v>64</v>
      </c>
      <c r="E1450" s="17" t="s">
        <v>64</v>
      </c>
      <c r="F1450" s="18" t="s">
        <v>34</v>
      </c>
      <c r="G1450" s="19" t="n">
        <v>867231194509</v>
      </c>
      <c r="H1450" s="17" t="s">
        <v>35</v>
      </c>
      <c r="I1450" s="17" t="s">
        <v>72</v>
      </c>
      <c r="J1450" s="17" t="s">
        <v>252</v>
      </c>
      <c r="K1450" s="17" t="str">
        <f aca="false">VLOOKUP(J1450,Sheet2!A:B,2,0)</f>
        <v>TAKHAT SOLANKI</v>
      </c>
      <c r="L1450" s="17" t="n">
        <v>5</v>
      </c>
      <c r="M1450" s="17" t="str">
        <f aca="false">VLOOKUP(L1450,Sheet2!D:E,2,0)</f>
        <v>Main Processor CPU BGA</v>
      </c>
      <c r="N1450" s="17" t="n">
        <v>24</v>
      </c>
      <c r="O1450" s="17" t="str">
        <f aca="false">VLOOKUP(N1450,Sheet2!G:H,2,0)</f>
        <v>STB Auto moving -Stand by mode</v>
      </c>
      <c r="P1450" s="17" t="n">
        <v>12</v>
      </c>
      <c r="Q1450" s="17" t="str">
        <f aca="false">VLOOKUP(P1450,Sheet2!J:K,2,0)</f>
        <v>IR Declared due to Others ( IR Normal)TB</v>
      </c>
      <c r="R1450" s="17" t="s">
        <v>35</v>
      </c>
      <c r="S1450" s="17" t="str">
        <f aca="false">VLOOKUP(R1450,Sheet2!N:O,2,0)</f>
        <v>IREPARABLE</v>
      </c>
      <c r="T1450" s="18" t="str">
        <f aca="false">VLOOKUP(P1450,Sheet2!Q:R,2,0)</f>
        <v>IR Normal - BER to IR</v>
      </c>
      <c r="U1450" s="18" t="s">
        <v>101</v>
      </c>
      <c r="V1450" s="17" t="n">
        <v>8</v>
      </c>
      <c r="W1450" s="20" t="str">
        <f aca="false">VLOOKUP(V1450,Sheet2!Q:R,2,0)</f>
        <v>IR Normal -TrackRust/InternalDamage/open</v>
      </c>
      <c r="X1450" s="17" t="str">
        <f aca="false">J1450</f>
        <v>A006</v>
      </c>
      <c r="Y1450" s="17" t="str">
        <f aca="false">VLOOKUP(X1450,Sheet2!A:B,2,0)</f>
        <v>TAKHAT SOLANKI</v>
      </c>
      <c r="Z1450" s="17" t="s">
        <v>728</v>
      </c>
      <c r="AA1450" s="17" t="s">
        <v>642</v>
      </c>
      <c r="AB1450" s="17" t="s">
        <v>41</v>
      </c>
      <c r="AC1450" s="0" t="str">
        <f aca="false">LEFT(G1450,2)</f>
        <v>86</v>
      </c>
      <c r="AE1450" s="21" t="s">
        <v>506</v>
      </c>
    </row>
    <row r="1451" customFormat="false" ht="15" hidden="false" customHeight="false" outlineLevel="0" collapsed="false">
      <c r="A1451" s="13" t="n">
        <f aca="false">1+A1450</f>
        <v>1449</v>
      </c>
      <c r="B1451" s="14" t="n">
        <v>1009661922</v>
      </c>
      <c r="C1451" s="17" t="s">
        <v>433</v>
      </c>
      <c r="D1451" s="16" t="s">
        <v>64</v>
      </c>
      <c r="E1451" s="17" t="s">
        <v>91</v>
      </c>
      <c r="F1451" s="18" t="s">
        <v>34</v>
      </c>
      <c r="G1451" s="19" t="n">
        <v>864338100364</v>
      </c>
      <c r="H1451" s="17" t="s">
        <v>35</v>
      </c>
      <c r="I1451" s="17" t="s">
        <v>72</v>
      </c>
      <c r="J1451" s="17" t="s">
        <v>37</v>
      </c>
      <c r="K1451" s="17" t="str">
        <f aca="false">VLOOKUP(J1451,Sheet2!A:B,2,0)</f>
        <v>PRASHANT,AKASH</v>
      </c>
      <c r="L1451" s="17" t="n">
        <v>1</v>
      </c>
      <c r="M1451" s="17" t="str">
        <f aca="false">VLOOKUP(L1451,Sheet2!D:E,2,0)</f>
        <v>Power Supply Section</v>
      </c>
      <c r="N1451" s="17" t="n">
        <v>1</v>
      </c>
      <c r="O1451" s="17" t="str">
        <f aca="false">VLOOKUP(N1451,Sheet2!G:H,2,0)</f>
        <v>Dead</v>
      </c>
      <c r="P1451" s="17" t="n">
        <v>11</v>
      </c>
      <c r="Q1451" s="17" t="str">
        <f aca="false">VLOOKUP(P1451,Sheet2!J:K,2,0)</f>
        <v>IR Declared due to CID -TA</v>
      </c>
      <c r="R1451" s="17" t="s">
        <v>35</v>
      </c>
      <c r="S1451" s="17" t="str">
        <f aca="false">VLOOKUP(R1451,Sheet2!N:O,2,0)</f>
        <v>IREPARABLE</v>
      </c>
      <c r="T1451" s="18" t="str">
        <f aca="false">VLOOKUP(P1451,Sheet2!Q:R,2,0)</f>
        <v>IR Normal - Track burn out</v>
      </c>
      <c r="U1451" s="18" t="s">
        <v>199</v>
      </c>
      <c r="V1451" s="17" t="n">
        <v>3</v>
      </c>
      <c r="W1451" s="20" t="str">
        <f aca="false">VLOOKUP(V1451,Sheet2!Q:R,2,0)</f>
        <v>IR CID - Tampered TrackOpen/Reworkdone </v>
      </c>
      <c r="X1451" s="17" t="str">
        <f aca="false">J1451</f>
        <v>A041</v>
      </c>
      <c r="Y1451" s="17" t="str">
        <f aca="false">VLOOKUP(X1451,Sheet2!A:B,2,0)</f>
        <v>PRASHANT,AKASH</v>
      </c>
      <c r="Z1451" s="17" t="s">
        <v>222</v>
      </c>
      <c r="AA1451" s="17" t="s">
        <v>642</v>
      </c>
      <c r="AB1451" s="17" t="s">
        <v>41</v>
      </c>
      <c r="AC1451" s="0" t="str">
        <f aca="false">LEFT(G1451,2)</f>
        <v>86</v>
      </c>
      <c r="AE1451" s="21" t="s">
        <v>506</v>
      </c>
    </row>
    <row r="1452" customFormat="false" ht="15" hidden="false" customHeight="false" outlineLevel="0" collapsed="false">
      <c r="A1452" s="13" t="n">
        <f aca="false">1+A1451</f>
        <v>1450</v>
      </c>
      <c r="B1452" s="14" t="n">
        <v>1009616151</v>
      </c>
      <c r="C1452" s="17" t="s">
        <v>184</v>
      </c>
      <c r="D1452" s="16" t="s">
        <v>64</v>
      </c>
      <c r="E1452" s="17" t="s">
        <v>64</v>
      </c>
      <c r="F1452" s="18" t="s">
        <v>34</v>
      </c>
      <c r="G1452" s="19" t="n">
        <v>955229170688</v>
      </c>
      <c r="H1452" s="17" t="s">
        <v>35</v>
      </c>
      <c r="I1452" s="17" t="s">
        <v>44</v>
      </c>
      <c r="J1452" s="17" t="s">
        <v>252</v>
      </c>
      <c r="K1452" s="17" t="str">
        <f aca="false">VLOOKUP(J1452,Sheet2!A:B,2,0)</f>
        <v>TAKHAT SOLANKI</v>
      </c>
      <c r="L1452" s="17" t="n">
        <v>5</v>
      </c>
      <c r="M1452" s="17" t="str">
        <f aca="false">VLOOKUP(L1452,Sheet2!D:E,2,0)</f>
        <v>Main Processor CPU BGA</v>
      </c>
      <c r="N1452" s="17" t="n">
        <v>24</v>
      </c>
      <c r="O1452" s="17" t="str">
        <f aca="false">VLOOKUP(N1452,Sheet2!G:H,2,0)</f>
        <v>STB Auto moving -Stand by mode</v>
      </c>
      <c r="P1452" s="17" t="n">
        <v>12</v>
      </c>
      <c r="Q1452" s="17" t="str">
        <f aca="false">VLOOKUP(P1452,Sheet2!J:K,2,0)</f>
        <v>IR Declared due to Others ( IR Normal)TB</v>
      </c>
      <c r="R1452" s="17" t="s">
        <v>35</v>
      </c>
      <c r="S1452" s="17" t="str">
        <f aca="false">VLOOKUP(R1452,Sheet2!N:O,2,0)</f>
        <v>IREPARABLE</v>
      </c>
      <c r="T1452" s="18" t="str">
        <f aca="false">VLOOKUP(P1452,Sheet2!Q:R,2,0)</f>
        <v>IR Normal - BER to IR</v>
      </c>
      <c r="U1452" s="18" t="s">
        <v>101</v>
      </c>
      <c r="V1452" s="17" t="n">
        <v>8</v>
      </c>
      <c r="W1452" s="20" t="str">
        <f aca="false">VLOOKUP(V1452,Sheet2!Q:R,2,0)</f>
        <v>IR Normal -TrackRust/InternalDamage/open</v>
      </c>
      <c r="X1452" s="17" t="str">
        <f aca="false">J1452</f>
        <v>A006</v>
      </c>
      <c r="Y1452" s="17" t="str">
        <f aca="false">VLOOKUP(X1452,Sheet2!A:B,2,0)</f>
        <v>TAKHAT SOLANKI</v>
      </c>
      <c r="Z1452" s="17" t="s">
        <v>729</v>
      </c>
      <c r="AA1452" s="17" t="s">
        <v>642</v>
      </c>
      <c r="AB1452" s="17" t="s">
        <v>41</v>
      </c>
      <c r="AC1452" s="0" t="str">
        <f aca="false">LEFT(G1452,2)</f>
        <v>95</v>
      </c>
      <c r="AE1452" s="21" t="s">
        <v>506</v>
      </c>
    </row>
    <row r="1453" customFormat="false" ht="15" hidden="false" customHeight="false" outlineLevel="0" collapsed="false">
      <c r="A1453" s="13" t="n">
        <f aca="false">1+A1452</f>
        <v>1451</v>
      </c>
      <c r="B1453" s="14" t="n">
        <v>1009580683</v>
      </c>
      <c r="C1453" s="17" t="s">
        <v>104</v>
      </c>
      <c r="D1453" s="16" t="s">
        <v>64</v>
      </c>
      <c r="E1453" s="17" t="s">
        <v>91</v>
      </c>
      <c r="F1453" s="18" t="s">
        <v>34</v>
      </c>
      <c r="G1453" s="19" t="n">
        <v>955170109438</v>
      </c>
      <c r="H1453" s="17" t="s">
        <v>35</v>
      </c>
      <c r="I1453" s="17" t="s">
        <v>44</v>
      </c>
      <c r="J1453" s="17" t="s">
        <v>106</v>
      </c>
      <c r="K1453" s="17" t="str">
        <f aca="false">VLOOKUP(J1453,Sheet2!A:B,2,0)</f>
        <v>PRAKASH CHAVDA</v>
      </c>
      <c r="L1453" s="17" t="n">
        <v>5</v>
      </c>
      <c r="M1453" s="17" t="str">
        <f aca="false">VLOOKUP(L1453,Sheet2!D:E,2,0)</f>
        <v>Main Processor CPU BGA</v>
      </c>
      <c r="N1453" s="17" t="n">
        <v>24</v>
      </c>
      <c r="O1453" s="17" t="str">
        <f aca="false">VLOOKUP(N1453,Sheet2!G:H,2,0)</f>
        <v>STB Auto moving -Stand by mode</v>
      </c>
      <c r="P1453" s="17" t="n">
        <v>11</v>
      </c>
      <c r="Q1453" s="17" t="str">
        <f aca="false">VLOOKUP(P1453,Sheet2!J:K,2,0)</f>
        <v>IR Declared due to CID -TA</v>
      </c>
      <c r="R1453" s="17" t="s">
        <v>35</v>
      </c>
      <c r="S1453" s="17" t="str">
        <f aca="false">VLOOKUP(R1453,Sheet2!N:O,2,0)</f>
        <v>IREPARABLE</v>
      </c>
      <c r="T1453" s="18" t="str">
        <f aca="false">VLOOKUP(P1453,Sheet2!Q:R,2,0)</f>
        <v>IR Normal - Track burn out</v>
      </c>
      <c r="U1453" s="18" t="s">
        <v>122</v>
      </c>
      <c r="V1453" s="17" t="n">
        <v>2</v>
      </c>
      <c r="W1453" s="20" t="str">
        <f aca="false">VLOOKUP(V1453,Sheet2!Q:R,2,0)</f>
        <v>IR CID -  Water log from other area</v>
      </c>
      <c r="X1453" s="17" t="str">
        <f aca="false">J1453</f>
        <v>A018</v>
      </c>
      <c r="Y1453" s="17" t="str">
        <f aca="false">VLOOKUP(X1453,Sheet2!A:B,2,0)</f>
        <v>PRAKASH CHAVDA</v>
      </c>
      <c r="Z1453" s="17" t="s">
        <v>730</v>
      </c>
      <c r="AA1453" s="17" t="s">
        <v>642</v>
      </c>
      <c r="AB1453" s="17" t="s">
        <v>41</v>
      </c>
      <c r="AC1453" s="0" t="str">
        <f aca="false">LEFT(G1453,2)</f>
        <v>95</v>
      </c>
      <c r="AE1453" s="21" t="s">
        <v>506</v>
      </c>
    </row>
    <row r="1454" customFormat="false" ht="15" hidden="false" customHeight="false" outlineLevel="0" collapsed="false">
      <c r="A1454" s="13" t="n">
        <f aca="false">1+A1453</f>
        <v>1452</v>
      </c>
      <c r="B1454" s="14" t="n">
        <v>1009575125</v>
      </c>
      <c r="C1454" s="17" t="s">
        <v>104</v>
      </c>
      <c r="D1454" s="16" t="s">
        <v>64</v>
      </c>
      <c r="E1454" s="17" t="s">
        <v>91</v>
      </c>
      <c r="F1454" s="18" t="s">
        <v>34</v>
      </c>
      <c r="G1454" s="19" t="n">
        <v>954225184306</v>
      </c>
      <c r="H1454" s="17" t="s">
        <v>35</v>
      </c>
      <c r="I1454" s="17" t="s">
        <v>44</v>
      </c>
      <c r="J1454" s="17" t="s">
        <v>252</v>
      </c>
      <c r="K1454" s="17" t="str">
        <f aca="false">VLOOKUP(J1454,Sheet2!A:B,2,0)</f>
        <v>TAKHAT SOLANKI</v>
      </c>
      <c r="L1454" s="17" t="n">
        <v>1</v>
      </c>
      <c r="M1454" s="17" t="str">
        <f aca="false">VLOOKUP(L1454,Sheet2!D:E,2,0)</f>
        <v>Power Supply Section</v>
      </c>
      <c r="N1454" s="17" t="n">
        <v>1</v>
      </c>
      <c r="O1454" s="17" t="str">
        <f aca="false">VLOOKUP(N1454,Sheet2!G:H,2,0)</f>
        <v>Dead</v>
      </c>
      <c r="P1454" s="17" t="n">
        <v>12</v>
      </c>
      <c r="Q1454" s="17" t="str">
        <f aca="false">VLOOKUP(P1454,Sheet2!J:K,2,0)</f>
        <v>IR Declared due to Others ( IR Normal)TB</v>
      </c>
      <c r="R1454" s="17" t="s">
        <v>35</v>
      </c>
      <c r="S1454" s="17" t="str">
        <f aca="false">VLOOKUP(R1454,Sheet2!N:O,2,0)</f>
        <v>IREPARABLE</v>
      </c>
      <c r="T1454" s="18" t="str">
        <f aca="false">VLOOKUP(P1454,Sheet2!Q:R,2,0)</f>
        <v>IR Normal - BER to IR</v>
      </c>
      <c r="U1454" s="18" t="s">
        <v>101</v>
      </c>
      <c r="V1454" s="17" t="n">
        <v>8</v>
      </c>
      <c r="W1454" s="20" t="str">
        <f aca="false">VLOOKUP(V1454,Sheet2!Q:R,2,0)</f>
        <v>IR Normal -TrackRust/InternalDamage/open</v>
      </c>
      <c r="X1454" s="17" t="str">
        <f aca="false">J1454</f>
        <v>A006</v>
      </c>
      <c r="Y1454" s="17" t="str">
        <f aca="false">VLOOKUP(X1454,Sheet2!A:B,2,0)</f>
        <v>TAKHAT SOLANKI</v>
      </c>
      <c r="Z1454" s="17" t="s">
        <v>731</v>
      </c>
      <c r="AA1454" s="17" t="s">
        <v>642</v>
      </c>
      <c r="AB1454" s="17" t="s">
        <v>41</v>
      </c>
      <c r="AC1454" s="0" t="str">
        <f aca="false">LEFT(G1454,2)</f>
        <v>95</v>
      </c>
      <c r="AE1454" s="21" t="s">
        <v>506</v>
      </c>
    </row>
    <row r="1455" customFormat="false" ht="15" hidden="false" customHeight="false" outlineLevel="0" collapsed="false">
      <c r="A1455" s="13" t="n">
        <f aca="false">1+A1454</f>
        <v>1453</v>
      </c>
      <c r="B1455" s="14" t="n">
        <v>1009571358</v>
      </c>
      <c r="C1455" s="17" t="s">
        <v>102</v>
      </c>
      <c r="D1455" s="16" t="s">
        <v>281</v>
      </c>
      <c r="E1455" s="17" t="s">
        <v>255</v>
      </c>
      <c r="F1455" s="18" t="s">
        <v>34</v>
      </c>
      <c r="G1455" s="19" t="n">
        <v>954129116230</v>
      </c>
      <c r="H1455" s="17" t="s">
        <v>35</v>
      </c>
      <c r="I1455" s="17" t="s">
        <v>44</v>
      </c>
      <c r="J1455" s="17" t="s">
        <v>252</v>
      </c>
      <c r="K1455" s="17" t="str">
        <f aca="false">VLOOKUP(J1455,Sheet2!A:B,2,0)</f>
        <v>TAKHAT SOLANKI</v>
      </c>
      <c r="L1455" s="17" t="n">
        <v>1</v>
      </c>
      <c r="M1455" s="17" t="str">
        <f aca="false">VLOOKUP(L1455,Sheet2!D:E,2,0)</f>
        <v>Power Supply Section</v>
      </c>
      <c r="N1455" s="17" t="n">
        <v>1</v>
      </c>
      <c r="O1455" s="17" t="str">
        <f aca="false">VLOOKUP(N1455,Sheet2!G:H,2,0)</f>
        <v>Dead</v>
      </c>
      <c r="P1455" s="17" t="n">
        <v>12</v>
      </c>
      <c r="Q1455" s="17" t="str">
        <f aca="false">VLOOKUP(P1455,Sheet2!J:K,2,0)</f>
        <v>IR Declared due to Others ( IR Normal)TB</v>
      </c>
      <c r="R1455" s="17" t="s">
        <v>35</v>
      </c>
      <c r="S1455" s="17" t="str">
        <f aca="false">VLOOKUP(R1455,Sheet2!N:O,2,0)</f>
        <v>IREPARABLE</v>
      </c>
      <c r="T1455" s="18" t="str">
        <f aca="false">VLOOKUP(P1455,Sheet2!Q:R,2,0)</f>
        <v>IR Normal - BER to IR</v>
      </c>
      <c r="U1455" s="18" t="s">
        <v>101</v>
      </c>
      <c r="V1455" s="17" t="n">
        <v>8</v>
      </c>
      <c r="W1455" s="20" t="str">
        <f aca="false">VLOOKUP(V1455,Sheet2!Q:R,2,0)</f>
        <v>IR Normal -TrackRust/InternalDamage/open</v>
      </c>
      <c r="X1455" s="17" t="str">
        <f aca="false">J1455</f>
        <v>A006</v>
      </c>
      <c r="Y1455" s="17" t="str">
        <f aca="false">VLOOKUP(X1455,Sheet2!A:B,2,0)</f>
        <v>TAKHAT SOLANKI</v>
      </c>
      <c r="Z1455" s="17" t="s">
        <v>226</v>
      </c>
      <c r="AA1455" s="17" t="s">
        <v>642</v>
      </c>
      <c r="AB1455" s="17" t="s">
        <v>41</v>
      </c>
      <c r="AC1455" s="0" t="str">
        <f aca="false">LEFT(G1455,2)</f>
        <v>95</v>
      </c>
      <c r="AE1455" s="21" t="s">
        <v>506</v>
      </c>
    </row>
    <row r="1456" customFormat="false" ht="15" hidden="false" customHeight="false" outlineLevel="0" collapsed="false">
      <c r="A1456" s="13" t="n">
        <f aca="false">1+A1455</f>
        <v>1454</v>
      </c>
      <c r="B1456" s="14" t="n">
        <v>1009575320</v>
      </c>
      <c r="C1456" s="17" t="s">
        <v>104</v>
      </c>
      <c r="D1456" s="16" t="s">
        <v>64</v>
      </c>
      <c r="E1456" s="17" t="s">
        <v>91</v>
      </c>
      <c r="F1456" s="18" t="s">
        <v>34</v>
      </c>
      <c r="G1456" s="19" t="n">
        <v>942359936112</v>
      </c>
      <c r="H1456" s="17" t="s">
        <v>35</v>
      </c>
      <c r="I1456" s="17" t="s">
        <v>44</v>
      </c>
      <c r="J1456" s="17" t="s">
        <v>111</v>
      </c>
      <c r="K1456" s="17" t="str">
        <f aca="false">VLOOKUP(J1456,Sheet2!A:B,2,0)</f>
        <v>NITIN PRANAMI</v>
      </c>
      <c r="L1456" s="17" t="n">
        <v>1</v>
      </c>
      <c r="M1456" s="17" t="str">
        <f aca="false">VLOOKUP(L1456,Sheet2!D:E,2,0)</f>
        <v>Power Supply Section</v>
      </c>
      <c r="N1456" s="17" t="n">
        <v>1</v>
      </c>
      <c r="O1456" s="17" t="str">
        <f aca="false">VLOOKUP(N1456,Sheet2!G:H,2,0)</f>
        <v>Dead</v>
      </c>
      <c r="P1456" s="17" t="n">
        <v>12</v>
      </c>
      <c r="Q1456" s="17" t="str">
        <f aca="false">VLOOKUP(P1456,Sheet2!J:K,2,0)</f>
        <v>IR Declared due to Others ( IR Normal)TB</v>
      </c>
      <c r="R1456" s="17" t="s">
        <v>35</v>
      </c>
      <c r="S1456" s="17" t="str">
        <f aca="false">VLOOKUP(R1456,Sheet2!N:O,2,0)</f>
        <v>IREPARABLE</v>
      </c>
      <c r="T1456" s="18" t="str">
        <f aca="false">VLOOKUP(P1456,Sheet2!Q:R,2,0)</f>
        <v>IR Normal - BER to IR</v>
      </c>
      <c r="U1456" s="15" t="s">
        <v>38</v>
      </c>
      <c r="V1456" s="17" t="n">
        <v>11</v>
      </c>
      <c r="W1456" s="20" t="str">
        <f aca="false">VLOOKUP(V1456,Sheet2!Q:R,2,0)</f>
        <v>IR Normal - Track burn out</v>
      </c>
      <c r="X1456" s="17" t="str">
        <f aca="false">J1456</f>
        <v>A031</v>
      </c>
      <c r="Y1456" s="17" t="str">
        <f aca="false">VLOOKUP(X1456,Sheet2!A:B,2,0)</f>
        <v>NITIN PRANAMI</v>
      </c>
      <c r="Z1456" s="17" t="s">
        <v>387</v>
      </c>
      <c r="AA1456" s="17" t="s">
        <v>642</v>
      </c>
      <c r="AB1456" s="17" t="s">
        <v>41</v>
      </c>
      <c r="AC1456" s="0" t="str">
        <f aca="false">LEFT(G1456,2)</f>
        <v>94</v>
      </c>
      <c r="AE1456" s="21" t="s">
        <v>506</v>
      </c>
    </row>
    <row r="1457" customFormat="false" ht="15" hidden="false" customHeight="false" outlineLevel="0" collapsed="false">
      <c r="A1457" s="13" t="n">
        <f aca="false">1+A1456</f>
        <v>1455</v>
      </c>
      <c r="B1457" s="14" t="n">
        <v>1009566456</v>
      </c>
      <c r="C1457" s="17" t="s">
        <v>102</v>
      </c>
      <c r="D1457" s="16" t="s">
        <v>108</v>
      </c>
      <c r="E1457" s="17" t="s">
        <v>47</v>
      </c>
      <c r="F1457" s="18" t="s">
        <v>34</v>
      </c>
      <c r="G1457" s="19" t="n">
        <v>943212905195</v>
      </c>
      <c r="H1457" s="17" t="s">
        <v>35</v>
      </c>
      <c r="I1457" s="17" t="s">
        <v>44</v>
      </c>
      <c r="J1457" s="17" t="s">
        <v>267</v>
      </c>
      <c r="K1457" s="17" t="str">
        <f aca="false">VLOOKUP(J1457,Sheet2!A:B,2,0)</f>
        <v>HARIRAM GUPTA</v>
      </c>
      <c r="L1457" s="17" t="n">
        <v>2</v>
      </c>
      <c r="M1457" s="17" t="str">
        <f aca="false">VLOOKUP(L1457,Sheet2!D:E,2,0)</f>
        <v>Tuner Section</v>
      </c>
      <c r="N1457" s="17" t="n">
        <v>6</v>
      </c>
      <c r="O1457" s="17" t="str">
        <f aca="false">VLOOKUP(N1457,Sheet2!G:H,2,0)</f>
        <v>No Signal</v>
      </c>
      <c r="P1457" s="17" t="n">
        <v>11</v>
      </c>
      <c r="Q1457" s="17" t="str">
        <f aca="false">VLOOKUP(P1457,Sheet2!J:K,2,0)</f>
        <v>IR Declared due to CID -TA</v>
      </c>
      <c r="R1457" s="17" t="s">
        <v>35</v>
      </c>
      <c r="S1457" s="17" t="str">
        <f aca="false">VLOOKUP(R1457,Sheet2!N:O,2,0)</f>
        <v>IREPARABLE</v>
      </c>
      <c r="T1457" s="18" t="str">
        <f aca="false">VLOOKUP(P1457,Sheet2!Q:R,2,0)</f>
        <v>IR Normal - Track burn out</v>
      </c>
      <c r="U1457" s="18" t="s">
        <v>38</v>
      </c>
      <c r="V1457" s="17" t="n">
        <v>4</v>
      </c>
      <c r="W1457" s="20" t="str">
        <f aca="false">VLOOKUP(V1457,Sheet2!Q:R,2,0)</f>
        <v>IR CID - Tampered Track burn out</v>
      </c>
      <c r="X1457" s="17" t="str">
        <f aca="false">J1457</f>
        <v>A007</v>
      </c>
      <c r="Y1457" s="17" t="str">
        <f aca="false">VLOOKUP(X1457,Sheet2!A:B,2,0)</f>
        <v>HARIRAM GUPTA</v>
      </c>
      <c r="Z1457" s="17" t="s">
        <v>387</v>
      </c>
      <c r="AA1457" s="17" t="s">
        <v>642</v>
      </c>
      <c r="AB1457" s="17" t="s">
        <v>41</v>
      </c>
      <c r="AC1457" s="0" t="str">
        <f aca="false">LEFT(G1457,2)</f>
        <v>94</v>
      </c>
      <c r="AE1457" s="21" t="s">
        <v>506</v>
      </c>
    </row>
    <row r="1458" customFormat="false" ht="15" hidden="false" customHeight="false" outlineLevel="0" collapsed="false">
      <c r="A1458" s="13" t="n">
        <f aca="false">1+A1457</f>
        <v>1456</v>
      </c>
      <c r="B1458" s="14" t="n">
        <v>1009581158</v>
      </c>
      <c r="C1458" s="17" t="s">
        <v>104</v>
      </c>
      <c r="D1458" s="16" t="s">
        <v>144</v>
      </c>
      <c r="E1458" s="17" t="s">
        <v>47</v>
      </c>
      <c r="F1458" s="18" t="s">
        <v>34</v>
      </c>
      <c r="G1458" s="19" t="n">
        <v>954218189528</v>
      </c>
      <c r="H1458" s="17" t="s">
        <v>35</v>
      </c>
      <c r="I1458" s="17" t="s">
        <v>44</v>
      </c>
      <c r="J1458" s="17" t="s">
        <v>111</v>
      </c>
      <c r="K1458" s="17" t="str">
        <f aca="false">VLOOKUP(J1458,Sheet2!A:B,2,0)</f>
        <v>NITIN PRANAMI</v>
      </c>
      <c r="L1458" s="17" t="n">
        <v>7</v>
      </c>
      <c r="M1458" s="17" t="str">
        <f aca="false">VLOOKUP(L1458,Sheet2!D:E,2,0)</f>
        <v>Card Reader Section</v>
      </c>
      <c r="N1458" s="17" t="n">
        <v>36</v>
      </c>
      <c r="O1458" s="17" t="str">
        <f aca="false">VLOOKUP(N1458,Sheet2!G:H,2,0)</f>
        <v>Error -1</v>
      </c>
      <c r="P1458" s="17" t="n">
        <v>12</v>
      </c>
      <c r="Q1458" s="17" t="str">
        <f aca="false">VLOOKUP(P1458,Sheet2!J:K,2,0)</f>
        <v>IR Declared due to Others ( IR Normal)TB</v>
      </c>
      <c r="R1458" s="17" t="s">
        <v>35</v>
      </c>
      <c r="S1458" s="17" t="str">
        <f aca="false">VLOOKUP(R1458,Sheet2!N:O,2,0)</f>
        <v>IREPARABLE</v>
      </c>
      <c r="T1458" s="18" t="str">
        <f aca="false">VLOOKUP(P1458,Sheet2!Q:R,2,0)</f>
        <v>IR Normal - BER to IR</v>
      </c>
      <c r="U1458" s="18" t="s">
        <v>101</v>
      </c>
      <c r="V1458" s="17" t="n">
        <v>8</v>
      </c>
      <c r="W1458" s="20" t="str">
        <f aca="false">VLOOKUP(V1458,Sheet2!Q:R,2,0)</f>
        <v>IR Normal -TrackRust/InternalDamage/open</v>
      </c>
      <c r="X1458" s="17" t="str">
        <f aca="false">J1458</f>
        <v>A031</v>
      </c>
      <c r="Y1458" s="17" t="str">
        <f aca="false">VLOOKUP(X1458,Sheet2!A:B,2,0)</f>
        <v>NITIN PRANAMI</v>
      </c>
      <c r="Z1458" s="17" t="s">
        <v>732</v>
      </c>
      <c r="AA1458" s="17" t="s">
        <v>642</v>
      </c>
      <c r="AB1458" s="17" t="s">
        <v>41</v>
      </c>
      <c r="AC1458" s="0" t="str">
        <f aca="false">LEFT(G1458,2)</f>
        <v>95</v>
      </c>
      <c r="AE1458" s="21" t="s">
        <v>506</v>
      </c>
    </row>
    <row r="1459" customFormat="false" ht="15" hidden="false" customHeight="false" outlineLevel="0" collapsed="false">
      <c r="A1459" s="13" t="n">
        <f aca="false">1+A1458</f>
        <v>1457</v>
      </c>
      <c r="B1459" s="14" t="n">
        <v>1009550017</v>
      </c>
      <c r="C1459" s="17" t="s">
        <v>126</v>
      </c>
      <c r="D1459" s="16" t="s">
        <v>64</v>
      </c>
      <c r="E1459" s="17" t="s">
        <v>64</v>
      </c>
      <c r="F1459" s="18" t="s">
        <v>34</v>
      </c>
      <c r="G1459" s="19" t="n">
        <v>954204205577</v>
      </c>
      <c r="H1459" s="17" t="s">
        <v>35</v>
      </c>
      <c r="I1459" s="17" t="s">
        <v>44</v>
      </c>
      <c r="J1459" s="17" t="s">
        <v>121</v>
      </c>
      <c r="K1459" s="17" t="str">
        <f aca="false">VLOOKUP(J1459,Sheet2!A:B,2,0)</f>
        <v>SHANI GOHIL</v>
      </c>
      <c r="L1459" s="17" t="n">
        <v>1</v>
      </c>
      <c r="M1459" s="17" t="str">
        <f aca="false">VLOOKUP(L1459,Sheet2!D:E,2,0)</f>
        <v>Power Supply Section</v>
      </c>
      <c r="N1459" s="17" t="n">
        <v>1</v>
      </c>
      <c r="O1459" s="17" t="str">
        <f aca="false">VLOOKUP(N1459,Sheet2!G:H,2,0)</f>
        <v>Dead</v>
      </c>
      <c r="P1459" s="17" t="n">
        <v>12</v>
      </c>
      <c r="Q1459" s="17" t="str">
        <f aca="false">VLOOKUP(P1459,Sheet2!J:K,2,0)</f>
        <v>IR Declared due to Others ( IR Normal)TB</v>
      </c>
      <c r="R1459" s="17" t="s">
        <v>35</v>
      </c>
      <c r="S1459" s="17" t="str">
        <f aca="false">VLOOKUP(R1459,Sheet2!N:O,2,0)</f>
        <v>IREPARABLE</v>
      </c>
      <c r="T1459" s="18" t="str">
        <f aca="false">VLOOKUP(P1459,Sheet2!Q:R,2,0)</f>
        <v>IR Normal - BER to IR</v>
      </c>
      <c r="U1459" s="15" t="s">
        <v>38</v>
      </c>
      <c r="V1459" s="17" t="n">
        <v>11</v>
      </c>
      <c r="W1459" s="20" t="str">
        <f aca="false">VLOOKUP(V1459,Sheet2!Q:R,2,0)</f>
        <v>IR Normal - Track burn out</v>
      </c>
      <c r="X1459" s="17" t="str">
        <f aca="false">J1459</f>
        <v>A063</v>
      </c>
      <c r="Y1459" s="17" t="str">
        <f aca="false">VLOOKUP(X1459,Sheet2!A:B,2,0)</f>
        <v>SHANI GOHIL</v>
      </c>
      <c r="Z1459" s="17" t="s">
        <v>372</v>
      </c>
      <c r="AA1459" s="17" t="s">
        <v>642</v>
      </c>
      <c r="AB1459" s="17" t="s">
        <v>41</v>
      </c>
      <c r="AC1459" s="0" t="str">
        <f aca="false">LEFT(G1459,2)</f>
        <v>95</v>
      </c>
      <c r="AE1459" s="21" t="s">
        <v>506</v>
      </c>
    </row>
    <row r="1460" customFormat="false" ht="15" hidden="false" customHeight="false" outlineLevel="0" collapsed="false">
      <c r="A1460" s="13" t="n">
        <f aca="false">1+A1459</f>
        <v>1458</v>
      </c>
      <c r="B1460" s="14" t="n">
        <v>1009565320</v>
      </c>
      <c r="C1460" s="17" t="s">
        <v>102</v>
      </c>
      <c r="D1460" s="16" t="s">
        <v>64</v>
      </c>
      <c r="E1460" s="17" t="s">
        <v>64</v>
      </c>
      <c r="F1460" s="18" t="s">
        <v>34</v>
      </c>
      <c r="G1460" s="19" t="n">
        <v>954170158834</v>
      </c>
      <c r="H1460" s="17" t="s">
        <v>35</v>
      </c>
      <c r="I1460" s="17" t="s">
        <v>44</v>
      </c>
      <c r="J1460" s="17" t="s">
        <v>121</v>
      </c>
      <c r="K1460" s="17" t="str">
        <f aca="false">VLOOKUP(J1460,Sheet2!A:B,2,0)</f>
        <v>SHANI GOHIL</v>
      </c>
      <c r="L1460" s="17" t="n">
        <v>7</v>
      </c>
      <c r="M1460" s="17" t="str">
        <f aca="false">VLOOKUP(L1460,Sheet2!D:E,2,0)</f>
        <v>Card Reader Section</v>
      </c>
      <c r="N1460" s="17" t="n">
        <v>36</v>
      </c>
      <c r="O1460" s="17" t="str">
        <f aca="false">VLOOKUP(N1460,Sheet2!G:H,2,0)</f>
        <v>Error -1</v>
      </c>
      <c r="P1460" s="17" t="n">
        <v>11</v>
      </c>
      <c r="Q1460" s="17" t="str">
        <f aca="false">VLOOKUP(P1460,Sheet2!J:K,2,0)</f>
        <v>IR Declared due to CID -TA</v>
      </c>
      <c r="R1460" s="17" t="s">
        <v>35</v>
      </c>
      <c r="S1460" s="17" t="str">
        <f aca="false">VLOOKUP(R1460,Sheet2!N:O,2,0)</f>
        <v>IREPARABLE</v>
      </c>
      <c r="T1460" s="18" t="str">
        <f aca="false">VLOOKUP(P1460,Sheet2!Q:R,2,0)</f>
        <v>IR Normal - Track burn out</v>
      </c>
      <c r="U1460" s="18" t="s">
        <v>122</v>
      </c>
      <c r="V1460" s="17" t="n">
        <v>2</v>
      </c>
      <c r="W1460" s="20" t="str">
        <f aca="false">VLOOKUP(V1460,Sheet2!Q:R,2,0)</f>
        <v>IR CID -  Water log from other area</v>
      </c>
      <c r="X1460" s="17" t="str">
        <f aca="false">J1460</f>
        <v>A063</v>
      </c>
      <c r="Y1460" s="17" t="str">
        <f aca="false">VLOOKUP(X1460,Sheet2!A:B,2,0)</f>
        <v>SHANI GOHIL</v>
      </c>
      <c r="Z1460" s="17" t="s">
        <v>226</v>
      </c>
      <c r="AA1460" s="17" t="s">
        <v>642</v>
      </c>
      <c r="AB1460" s="17" t="s">
        <v>41</v>
      </c>
      <c r="AC1460" s="0" t="str">
        <f aca="false">LEFT(G1460,2)</f>
        <v>95</v>
      </c>
      <c r="AE1460" s="21" t="s">
        <v>506</v>
      </c>
    </row>
    <row r="1461" customFormat="false" ht="15" hidden="false" customHeight="false" outlineLevel="0" collapsed="false">
      <c r="A1461" s="13" t="n">
        <f aca="false">1+A1460</f>
        <v>1459</v>
      </c>
      <c r="B1461" s="14" t="n">
        <v>1009632053</v>
      </c>
      <c r="C1461" s="17" t="s">
        <v>182</v>
      </c>
      <c r="D1461" s="16" t="s">
        <v>64</v>
      </c>
      <c r="E1461" s="17" t="s">
        <v>33</v>
      </c>
      <c r="F1461" s="18" t="s">
        <v>34</v>
      </c>
      <c r="G1461" s="19" t="n">
        <v>775322153146</v>
      </c>
      <c r="H1461" s="17" t="s">
        <v>35</v>
      </c>
      <c r="I1461" s="17" t="s">
        <v>69</v>
      </c>
      <c r="J1461" s="17" t="s">
        <v>111</v>
      </c>
      <c r="K1461" s="17" t="str">
        <f aca="false">VLOOKUP(J1461,Sheet2!A:B,2,0)</f>
        <v>NITIN PRANAMI</v>
      </c>
      <c r="L1461" s="17" t="n">
        <v>5</v>
      </c>
      <c r="M1461" s="17" t="str">
        <f aca="false">VLOOKUP(L1461,Sheet2!D:E,2,0)</f>
        <v>Main Processor CPU BGA</v>
      </c>
      <c r="N1461" s="17" t="n">
        <v>24</v>
      </c>
      <c r="O1461" s="17" t="str">
        <f aca="false">VLOOKUP(N1461,Sheet2!G:H,2,0)</f>
        <v>STB Auto moving -Stand by mode</v>
      </c>
      <c r="P1461" s="17" t="n">
        <v>12</v>
      </c>
      <c r="Q1461" s="17" t="str">
        <f aca="false">VLOOKUP(P1461,Sheet2!J:K,2,0)</f>
        <v>IR Declared due to Others ( IR Normal)TB</v>
      </c>
      <c r="R1461" s="17" t="s">
        <v>35</v>
      </c>
      <c r="S1461" s="17" t="str">
        <f aca="false">VLOOKUP(R1461,Sheet2!N:O,2,0)</f>
        <v>IREPARABLE</v>
      </c>
      <c r="T1461" s="18" t="str">
        <f aca="false">VLOOKUP(P1461,Sheet2!Q:R,2,0)</f>
        <v>IR Normal - BER to IR</v>
      </c>
      <c r="U1461" s="18" t="s">
        <v>101</v>
      </c>
      <c r="V1461" s="17" t="n">
        <v>8</v>
      </c>
      <c r="W1461" s="20" t="str">
        <f aca="false">VLOOKUP(V1461,Sheet2!Q:R,2,0)</f>
        <v>IR Normal -TrackRust/InternalDamage/open</v>
      </c>
      <c r="X1461" s="17" t="str">
        <f aca="false">J1461</f>
        <v>A031</v>
      </c>
      <c r="Y1461" s="17" t="str">
        <f aca="false">VLOOKUP(X1461,Sheet2!A:B,2,0)</f>
        <v>NITIN PRANAMI</v>
      </c>
      <c r="Z1461" s="17" t="s">
        <v>733</v>
      </c>
      <c r="AA1461" s="17" t="s">
        <v>642</v>
      </c>
      <c r="AB1461" s="17" t="s">
        <v>41</v>
      </c>
      <c r="AC1461" s="0" t="str">
        <f aca="false">LEFT(G1461,2)</f>
        <v>77</v>
      </c>
      <c r="AE1461" s="21" t="s">
        <v>506</v>
      </c>
    </row>
    <row r="1462" customFormat="false" ht="15" hidden="false" customHeight="false" outlineLevel="0" collapsed="false">
      <c r="A1462" s="13" t="n">
        <f aca="false">1+A1461</f>
        <v>1460</v>
      </c>
      <c r="B1462" s="14" t="n">
        <v>1009651273</v>
      </c>
      <c r="C1462" s="17" t="s">
        <v>204</v>
      </c>
      <c r="D1462" s="16" t="s">
        <v>64</v>
      </c>
      <c r="E1462" s="17" t="s">
        <v>64</v>
      </c>
      <c r="F1462" s="18" t="s">
        <v>34</v>
      </c>
      <c r="G1462" s="19" t="n">
        <v>775128126858</v>
      </c>
      <c r="H1462" s="17" t="s">
        <v>35</v>
      </c>
      <c r="I1462" s="17" t="s">
        <v>69</v>
      </c>
      <c r="J1462" s="17" t="s">
        <v>118</v>
      </c>
      <c r="K1462" s="17" t="str">
        <f aca="false">VLOOKUP(J1462,Sheet2!A:B,2,0)</f>
        <v>DEVENDRA RAJPUT</v>
      </c>
      <c r="L1462" s="17" t="n">
        <v>1</v>
      </c>
      <c r="M1462" s="17" t="str">
        <f aca="false">VLOOKUP(L1462,Sheet2!D:E,2,0)</f>
        <v>Power Supply Section</v>
      </c>
      <c r="N1462" s="17" t="n">
        <v>1</v>
      </c>
      <c r="O1462" s="17" t="str">
        <f aca="false">VLOOKUP(N1462,Sheet2!G:H,2,0)</f>
        <v>Dead</v>
      </c>
      <c r="P1462" s="17" t="n">
        <v>12</v>
      </c>
      <c r="Q1462" s="17" t="str">
        <f aca="false">VLOOKUP(P1462,Sheet2!J:K,2,0)</f>
        <v>IR Declared due to Others ( IR Normal)TB</v>
      </c>
      <c r="R1462" s="17" t="s">
        <v>35</v>
      </c>
      <c r="S1462" s="17" t="str">
        <f aca="false">VLOOKUP(R1462,Sheet2!N:O,2,0)</f>
        <v>IREPARABLE</v>
      </c>
      <c r="T1462" s="18" t="str">
        <f aca="false">VLOOKUP(P1462,Sheet2!Q:R,2,0)</f>
        <v>IR Normal - BER to IR</v>
      </c>
      <c r="U1462" s="15" t="s">
        <v>38</v>
      </c>
      <c r="V1462" s="17" t="n">
        <v>11</v>
      </c>
      <c r="W1462" s="20" t="str">
        <f aca="false">VLOOKUP(V1462,Sheet2!Q:R,2,0)</f>
        <v>IR Normal - Track burn out</v>
      </c>
      <c r="X1462" s="17" t="str">
        <f aca="false">J1462</f>
        <v>A053</v>
      </c>
      <c r="Y1462" s="17" t="str">
        <f aca="false">VLOOKUP(X1462,Sheet2!A:B,2,0)</f>
        <v>DEVENDRA RAJPUT</v>
      </c>
      <c r="Z1462" s="17" t="s">
        <v>509</v>
      </c>
      <c r="AA1462" s="17" t="s">
        <v>642</v>
      </c>
      <c r="AB1462" s="17" t="s">
        <v>41</v>
      </c>
      <c r="AC1462" s="0" t="str">
        <f aca="false">LEFT(G1462,2)</f>
        <v>77</v>
      </c>
      <c r="AE1462" s="21" t="s">
        <v>506</v>
      </c>
    </row>
    <row r="1463" customFormat="false" ht="15" hidden="false" customHeight="false" outlineLevel="0" collapsed="false">
      <c r="A1463" s="13" t="n">
        <f aca="false">1+A1462</f>
        <v>1461</v>
      </c>
      <c r="B1463" s="14" t="n">
        <v>1009648247</v>
      </c>
      <c r="C1463" s="17" t="s">
        <v>204</v>
      </c>
      <c r="D1463" s="16" t="s">
        <v>64</v>
      </c>
      <c r="E1463" s="17" t="s">
        <v>114</v>
      </c>
      <c r="F1463" s="18" t="s">
        <v>34</v>
      </c>
      <c r="G1463" s="19" t="n">
        <v>774289001406</v>
      </c>
      <c r="H1463" s="17" t="s">
        <v>35</v>
      </c>
      <c r="I1463" s="17" t="s">
        <v>69</v>
      </c>
      <c r="J1463" s="17" t="s">
        <v>118</v>
      </c>
      <c r="K1463" s="17" t="str">
        <f aca="false">VLOOKUP(J1463,Sheet2!A:B,2,0)</f>
        <v>DEVENDRA RAJPUT</v>
      </c>
      <c r="L1463" s="17" t="n">
        <v>1</v>
      </c>
      <c r="M1463" s="17" t="str">
        <f aca="false">VLOOKUP(L1463,Sheet2!D:E,2,0)</f>
        <v>Power Supply Section</v>
      </c>
      <c r="N1463" s="17" t="n">
        <v>1</v>
      </c>
      <c r="O1463" s="17" t="str">
        <f aca="false">VLOOKUP(N1463,Sheet2!G:H,2,0)</f>
        <v>Dead</v>
      </c>
      <c r="P1463" s="17" t="n">
        <v>12</v>
      </c>
      <c r="Q1463" s="17" t="str">
        <f aca="false">VLOOKUP(P1463,Sheet2!J:K,2,0)</f>
        <v>IR Declared due to Others ( IR Normal)TB</v>
      </c>
      <c r="R1463" s="17" t="s">
        <v>35</v>
      </c>
      <c r="S1463" s="17" t="str">
        <f aca="false">VLOOKUP(R1463,Sheet2!N:O,2,0)</f>
        <v>IREPARABLE</v>
      </c>
      <c r="T1463" s="18" t="str">
        <f aca="false">VLOOKUP(P1463,Sheet2!Q:R,2,0)</f>
        <v>IR Normal - BER to IR</v>
      </c>
      <c r="U1463" s="15" t="s">
        <v>38</v>
      </c>
      <c r="V1463" s="17" t="n">
        <v>11</v>
      </c>
      <c r="W1463" s="20" t="str">
        <f aca="false">VLOOKUP(V1463,Sheet2!Q:R,2,0)</f>
        <v>IR Normal - Track burn out</v>
      </c>
      <c r="X1463" s="17" t="str">
        <f aca="false">J1463</f>
        <v>A053</v>
      </c>
      <c r="Y1463" s="17" t="str">
        <f aca="false">VLOOKUP(X1463,Sheet2!A:B,2,0)</f>
        <v>DEVENDRA RAJPUT</v>
      </c>
      <c r="Z1463" s="17" t="s">
        <v>130</v>
      </c>
      <c r="AA1463" s="17" t="s">
        <v>642</v>
      </c>
      <c r="AB1463" s="17" t="s">
        <v>41</v>
      </c>
      <c r="AC1463" s="0" t="str">
        <f aca="false">LEFT(G1463,2)</f>
        <v>77</v>
      </c>
      <c r="AE1463" s="21" t="s">
        <v>506</v>
      </c>
    </row>
    <row r="1464" customFormat="false" ht="15" hidden="false" customHeight="false" outlineLevel="0" collapsed="false">
      <c r="A1464" s="13" t="n">
        <f aca="false">1+A1463</f>
        <v>1462</v>
      </c>
      <c r="B1464" s="14" t="n">
        <v>1009580791</v>
      </c>
      <c r="C1464" s="17" t="s">
        <v>139</v>
      </c>
      <c r="D1464" s="16" t="s">
        <v>64</v>
      </c>
      <c r="E1464" s="17" t="s">
        <v>33</v>
      </c>
      <c r="F1464" s="18" t="s">
        <v>34</v>
      </c>
      <c r="G1464" s="19" t="n">
        <v>775318203525</v>
      </c>
      <c r="H1464" s="17" t="s">
        <v>35</v>
      </c>
      <c r="I1464" s="17" t="s">
        <v>69</v>
      </c>
      <c r="J1464" s="17" t="s">
        <v>111</v>
      </c>
      <c r="K1464" s="17" t="str">
        <f aca="false">VLOOKUP(J1464,Sheet2!A:B,2,0)</f>
        <v>NITIN PRANAMI</v>
      </c>
      <c r="L1464" s="17" t="n">
        <v>1</v>
      </c>
      <c r="M1464" s="17" t="str">
        <f aca="false">VLOOKUP(L1464,Sheet2!D:E,2,0)</f>
        <v>Power Supply Section</v>
      </c>
      <c r="N1464" s="17" t="n">
        <v>1</v>
      </c>
      <c r="O1464" s="17" t="str">
        <f aca="false">VLOOKUP(N1464,Sheet2!G:H,2,0)</f>
        <v>Dead</v>
      </c>
      <c r="P1464" s="17" t="n">
        <v>12</v>
      </c>
      <c r="Q1464" s="17" t="str">
        <f aca="false">VLOOKUP(P1464,Sheet2!J:K,2,0)</f>
        <v>IR Declared due to Others ( IR Normal)TB</v>
      </c>
      <c r="R1464" s="17" t="s">
        <v>35</v>
      </c>
      <c r="S1464" s="17" t="str">
        <f aca="false">VLOOKUP(R1464,Sheet2!N:O,2,0)</f>
        <v>IREPARABLE</v>
      </c>
      <c r="T1464" s="18" t="str">
        <f aca="false">VLOOKUP(P1464,Sheet2!Q:R,2,0)</f>
        <v>IR Normal - BER to IR</v>
      </c>
      <c r="U1464" s="18" t="s">
        <v>101</v>
      </c>
      <c r="V1464" s="17" t="n">
        <v>8</v>
      </c>
      <c r="W1464" s="20" t="str">
        <f aca="false">VLOOKUP(V1464,Sheet2!Q:R,2,0)</f>
        <v>IR Normal -TrackRust/InternalDamage/open</v>
      </c>
      <c r="X1464" s="17" t="str">
        <f aca="false">J1464</f>
        <v>A031</v>
      </c>
      <c r="Y1464" s="17" t="str">
        <f aca="false">VLOOKUP(X1464,Sheet2!A:B,2,0)</f>
        <v>NITIN PRANAMI</v>
      </c>
      <c r="Z1464" s="17" t="s">
        <v>734</v>
      </c>
      <c r="AA1464" s="17" t="s">
        <v>642</v>
      </c>
      <c r="AB1464" s="17" t="s">
        <v>41</v>
      </c>
      <c r="AC1464" s="0" t="str">
        <f aca="false">LEFT(G1464,2)</f>
        <v>77</v>
      </c>
      <c r="AE1464" s="21" t="s">
        <v>506</v>
      </c>
    </row>
    <row r="1465" customFormat="false" ht="15" hidden="false" customHeight="false" outlineLevel="0" collapsed="false">
      <c r="A1465" s="13" t="n">
        <f aca="false">1+A1464</f>
        <v>1463</v>
      </c>
      <c r="B1465" s="14" t="n">
        <v>1009618702</v>
      </c>
      <c r="C1465" s="17" t="s">
        <v>184</v>
      </c>
      <c r="D1465" s="16" t="s">
        <v>64</v>
      </c>
      <c r="E1465" s="17" t="s">
        <v>47</v>
      </c>
      <c r="F1465" s="18" t="s">
        <v>34</v>
      </c>
      <c r="G1465" s="19" t="n">
        <v>775329166745</v>
      </c>
      <c r="H1465" s="17" t="s">
        <v>35</v>
      </c>
      <c r="I1465" s="17" t="s">
        <v>69</v>
      </c>
      <c r="J1465" s="17" t="s">
        <v>133</v>
      </c>
      <c r="K1465" s="17" t="str">
        <f aca="false">VLOOKUP(J1465,Sheet2!A:B,2,0)</f>
        <v>AKASH BAROT</v>
      </c>
      <c r="L1465" s="17" t="n">
        <v>5</v>
      </c>
      <c r="M1465" s="17" t="str">
        <f aca="false">VLOOKUP(L1465,Sheet2!D:E,2,0)</f>
        <v>Main Processor CPU BGA</v>
      </c>
      <c r="N1465" s="17" t="n">
        <v>24</v>
      </c>
      <c r="O1465" s="17" t="str">
        <f aca="false">VLOOKUP(N1465,Sheet2!G:H,2,0)</f>
        <v>STB Auto moving -Stand by mode</v>
      </c>
      <c r="P1465" s="17" t="n">
        <v>12</v>
      </c>
      <c r="Q1465" s="17" t="str">
        <f aca="false">VLOOKUP(P1465,Sheet2!J:K,2,0)</f>
        <v>IR Declared due to Others ( IR Normal)TB</v>
      </c>
      <c r="R1465" s="17" t="s">
        <v>35</v>
      </c>
      <c r="S1465" s="17" t="str">
        <f aca="false">VLOOKUP(R1465,Sheet2!N:O,2,0)</f>
        <v>IREPARABLE</v>
      </c>
      <c r="T1465" s="18" t="str">
        <f aca="false">VLOOKUP(P1465,Sheet2!Q:R,2,0)</f>
        <v>IR Normal - BER to IR</v>
      </c>
      <c r="U1465" s="18" t="s">
        <v>101</v>
      </c>
      <c r="V1465" s="17" t="n">
        <v>8</v>
      </c>
      <c r="W1465" s="20" t="str">
        <f aca="false">VLOOKUP(V1465,Sheet2!Q:R,2,0)</f>
        <v>IR Normal -TrackRust/InternalDamage/open</v>
      </c>
      <c r="X1465" s="17" t="str">
        <f aca="false">J1465</f>
        <v>A009</v>
      </c>
      <c r="Y1465" s="17" t="str">
        <f aca="false">VLOOKUP(X1465,Sheet2!A:B,2,0)</f>
        <v>AKASH BAROT</v>
      </c>
      <c r="Z1465" s="17" t="s">
        <v>130</v>
      </c>
      <c r="AA1465" s="17" t="s">
        <v>642</v>
      </c>
      <c r="AB1465" s="17" t="s">
        <v>41</v>
      </c>
      <c r="AC1465" s="0" t="str">
        <f aca="false">LEFT(G1465,2)</f>
        <v>77</v>
      </c>
      <c r="AE1465" s="21" t="s">
        <v>506</v>
      </c>
    </row>
    <row r="1466" customFormat="false" ht="15" hidden="false" customHeight="false" outlineLevel="0" collapsed="false">
      <c r="A1466" s="13" t="n">
        <f aca="false">1+A1465</f>
        <v>1464</v>
      </c>
      <c r="B1466" s="14" t="n">
        <v>1009615492</v>
      </c>
      <c r="C1466" s="17" t="s">
        <v>184</v>
      </c>
      <c r="D1466" s="16" t="s">
        <v>144</v>
      </c>
      <c r="E1466" s="17" t="s">
        <v>47</v>
      </c>
      <c r="F1466" s="18" t="s">
        <v>34</v>
      </c>
      <c r="G1466" s="19" t="n">
        <v>775315047354</v>
      </c>
      <c r="H1466" s="17" t="s">
        <v>35</v>
      </c>
      <c r="I1466" s="17" t="s">
        <v>69</v>
      </c>
      <c r="J1466" s="17" t="s">
        <v>111</v>
      </c>
      <c r="K1466" s="17" t="str">
        <f aca="false">VLOOKUP(J1466,Sheet2!A:B,2,0)</f>
        <v>NITIN PRANAMI</v>
      </c>
      <c r="L1466" s="17" t="n">
        <v>1</v>
      </c>
      <c r="M1466" s="17" t="str">
        <f aca="false">VLOOKUP(L1466,Sheet2!D:E,2,0)</f>
        <v>Power Supply Section</v>
      </c>
      <c r="N1466" s="17" t="n">
        <v>1</v>
      </c>
      <c r="O1466" s="17" t="str">
        <f aca="false">VLOOKUP(N1466,Sheet2!G:H,2,0)</f>
        <v>Dead</v>
      </c>
      <c r="P1466" s="17" t="n">
        <v>12</v>
      </c>
      <c r="Q1466" s="17" t="str">
        <f aca="false">VLOOKUP(P1466,Sheet2!J:K,2,0)</f>
        <v>IR Declared due to Others ( IR Normal)TB</v>
      </c>
      <c r="R1466" s="17" t="s">
        <v>35</v>
      </c>
      <c r="S1466" s="17" t="str">
        <f aca="false">VLOOKUP(R1466,Sheet2!N:O,2,0)</f>
        <v>IREPARABLE</v>
      </c>
      <c r="T1466" s="18" t="str">
        <f aca="false">VLOOKUP(P1466,Sheet2!Q:R,2,0)</f>
        <v>IR Normal - BER to IR</v>
      </c>
      <c r="U1466" s="18" t="s">
        <v>101</v>
      </c>
      <c r="V1466" s="17" t="n">
        <v>8</v>
      </c>
      <c r="W1466" s="20" t="str">
        <f aca="false">VLOOKUP(V1466,Sheet2!Q:R,2,0)</f>
        <v>IR Normal -TrackRust/InternalDamage/open</v>
      </c>
      <c r="X1466" s="17" t="str">
        <f aca="false">J1466</f>
        <v>A031</v>
      </c>
      <c r="Y1466" s="17" t="str">
        <f aca="false">VLOOKUP(X1466,Sheet2!A:B,2,0)</f>
        <v>NITIN PRANAMI</v>
      </c>
      <c r="Z1466" s="17" t="s">
        <v>735</v>
      </c>
      <c r="AA1466" s="17" t="s">
        <v>642</v>
      </c>
      <c r="AB1466" s="17" t="s">
        <v>41</v>
      </c>
      <c r="AC1466" s="0" t="str">
        <f aca="false">LEFT(G1466,2)</f>
        <v>77</v>
      </c>
      <c r="AE1466" s="21" t="s">
        <v>506</v>
      </c>
    </row>
    <row r="1467" customFormat="false" ht="15" hidden="false" customHeight="false" outlineLevel="0" collapsed="false">
      <c r="A1467" s="13" t="n">
        <f aca="false">1+A1466</f>
        <v>1465</v>
      </c>
      <c r="B1467" s="14" t="n">
        <v>1009622422</v>
      </c>
      <c r="C1467" s="17" t="s">
        <v>184</v>
      </c>
      <c r="D1467" s="16" t="s">
        <v>64</v>
      </c>
      <c r="E1467" s="17" t="s">
        <v>64</v>
      </c>
      <c r="F1467" s="18" t="s">
        <v>34</v>
      </c>
      <c r="G1467" s="19" t="n">
        <v>878348271767</v>
      </c>
      <c r="H1467" s="17" t="s">
        <v>35</v>
      </c>
      <c r="I1467" s="17" t="s">
        <v>79</v>
      </c>
      <c r="J1467" s="17" t="s">
        <v>100</v>
      </c>
      <c r="K1467" s="17" t="str">
        <f aca="false">VLOOKUP(J1467,Sheet2!A:B,2,0)</f>
        <v>PIYUSH CHAVDA</v>
      </c>
      <c r="L1467" s="17" t="n">
        <v>1</v>
      </c>
      <c r="M1467" s="17" t="str">
        <f aca="false">VLOOKUP(L1467,Sheet2!D:E,2,0)</f>
        <v>Power Supply Section</v>
      </c>
      <c r="N1467" s="17" t="n">
        <v>1</v>
      </c>
      <c r="O1467" s="17" t="str">
        <f aca="false">VLOOKUP(N1467,Sheet2!G:H,2,0)</f>
        <v>Dead</v>
      </c>
      <c r="P1467" s="17" t="n">
        <v>12</v>
      </c>
      <c r="Q1467" s="17" t="str">
        <f aca="false">VLOOKUP(P1467,Sheet2!J:K,2,0)</f>
        <v>IR Declared due to Others ( IR Normal)TB</v>
      </c>
      <c r="R1467" s="17" t="s">
        <v>35</v>
      </c>
      <c r="S1467" s="17" t="str">
        <f aca="false">VLOOKUP(R1467,Sheet2!N:O,2,0)</f>
        <v>IREPARABLE</v>
      </c>
      <c r="T1467" s="18" t="str">
        <f aca="false">VLOOKUP(P1467,Sheet2!Q:R,2,0)</f>
        <v>IR Normal - BER to IR</v>
      </c>
      <c r="U1467" s="18" t="s">
        <v>101</v>
      </c>
      <c r="V1467" s="17" t="n">
        <v>8</v>
      </c>
      <c r="W1467" s="20" t="str">
        <f aca="false">VLOOKUP(V1467,Sheet2!Q:R,2,0)</f>
        <v>IR Normal -TrackRust/InternalDamage/open</v>
      </c>
      <c r="X1467" s="17" t="str">
        <f aca="false">J1467</f>
        <v>A050</v>
      </c>
      <c r="Y1467" s="17" t="str">
        <f aca="false">VLOOKUP(X1467,Sheet2!A:B,2,0)</f>
        <v>PIYUSH CHAVDA</v>
      </c>
      <c r="Z1467" s="17" t="s">
        <v>710</v>
      </c>
      <c r="AA1467" s="17" t="s">
        <v>642</v>
      </c>
      <c r="AB1467" s="17" t="s">
        <v>41</v>
      </c>
      <c r="AC1467" s="0" t="str">
        <f aca="false">LEFT(G1467,2)</f>
        <v>87</v>
      </c>
      <c r="AE1467" s="21" t="s">
        <v>506</v>
      </c>
    </row>
    <row r="1468" customFormat="false" ht="15" hidden="false" customHeight="false" outlineLevel="0" collapsed="false">
      <c r="A1468" s="13" t="n">
        <f aca="false">1+A1467</f>
        <v>1466</v>
      </c>
      <c r="B1468" s="14" t="n">
        <v>1009647723</v>
      </c>
      <c r="C1468" s="17" t="s">
        <v>204</v>
      </c>
      <c r="D1468" s="16" t="s">
        <v>183</v>
      </c>
      <c r="E1468" s="17" t="s">
        <v>47</v>
      </c>
      <c r="F1468" s="18" t="s">
        <v>34</v>
      </c>
      <c r="G1468" s="19" t="n">
        <v>889321723039</v>
      </c>
      <c r="H1468" s="17" t="s">
        <v>35</v>
      </c>
      <c r="I1468" s="17" t="s">
        <v>79</v>
      </c>
      <c r="J1468" s="17" t="s">
        <v>100</v>
      </c>
      <c r="K1468" s="17" t="str">
        <f aca="false">VLOOKUP(J1468,Sheet2!A:B,2,0)</f>
        <v>PIYUSH CHAVDA</v>
      </c>
      <c r="L1468" s="17" t="n">
        <v>1</v>
      </c>
      <c r="M1468" s="17" t="str">
        <f aca="false">VLOOKUP(L1468,Sheet2!D:E,2,0)</f>
        <v>Power Supply Section</v>
      </c>
      <c r="N1468" s="17" t="n">
        <v>1</v>
      </c>
      <c r="O1468" s="17" t="str">
        <f aca="false">VLOOKUP(N1468,Sheet2!G:H,2,0)</f>
        <v>Dead</v>
      </c>
      <c r="P1468" s="17" t="n">
        <v>11</v>
      </c>
      <c r="Q1468" s="17" t="str">
        <f aca="false">VLOOKUP(P1468,Sheet2!J:K,2,0)</f>
        <v>IR Declared due to CID -TA</v>
      </c>
      <c r="R1468" s="17" t="s">
        <v>35</v>
      </c>
      <c r="S1468" s="17" t="str">
        <f aca="false">VLOOKUP(R1468,Sheet2!N:O,2,0)</f>
        <v>IREPARABLE</v>
      </c>
      <c r="T1468" s="18" t="str">
        <f aca="false">VLOOKUP(P1468,Sheet2!Q:R,2,0)</f>
        <v>IR Normal - Track burn out</v>
      </c>
      <c r="U1468" s="18" t="s">
        <v>38</v>
      </c>
      <c r="V1468" s="17" t="n">
        <v>4</v>
      </c>
      <c r="W1468" s="20" t="str">
        <f aca="false">VLOOKUP(V1468,Sheet2!Q:R,2,0)</f>
        <v>IR CID - Tampered Track burn out</v>
      </c>
      <c r="X1468" s="17" t="str">
        <f aca="false">J1468</f>
        <v>A050</v>
      </c>
      <c r="Y1468" s="17" t="str">
        <f aca="false">VLOOKUP(X1468,Sheet2!A:B,2,0)</f>
        <v>PIYUSH CHAVDA</v>
      </c>
      <c r="Z1468" s="17" t="s">
        <v>736</v>
      </c>
      <c r="AA1468" s="17" t="s">
        <v>642</v>
      </c>
      <c r="AB1468" s="17" t="s">
        <v>41</v>
      </c>
      <c r="AC1468" s="0" t="str">
        <f aca="false">LEFT(G1468,2)</f>
        <v>88</v>
      </c>
      <c r="AE1468" s="21" t="s">
        <v>506</v>
      </c>
    </row>
    <row r="1469" customFormat="false" ht="15" hidden="false" customHeight="false" outlineLevel="0" collapsed="false">
      <c r="A1469" s="13" t="n">
        <f aca="false">1+A1468</f>
        <v>1467</v>
      </c>
      <c r="B1469" s="14" t="n">
        <v>1009606740</v>
      </c>
      <c r="C1469" s="17" t="s">
        <v>181</v>
      </c>
      <c r="D1469" s="16" t="s">
        <v>196</v>
      </c>
      <c r="E1469" s="17" t="s">
        <v>64</v>
      </c>
      <c r="F1469" s="18" t="s">
        <v>34</v>
      </c>
      <c r="G1469" s="19" t="n">
        <v>879292146195</v>
      </c>
      <c r="H1469" s="17" t="s">
        <v>35</v>
      </c>
      <c r="I1469" s="17" t="s">
        <v>79</v>
      </c>
      <c r="J1469" s="17" t="s">
        <v>289</v>
      </c>
      <c r="K1469" s="17" t="str">
        <f aca="false">VLOOKUP(J1469,Sheet2!A:B,2,0)</f>
        <v>AJAY KOSHTI</v>
      </c>
      <c r="L1469" s="17" t="n">
        <v>1</v>
      </c>
      <c r="M1469" s="17" t="str">
        <f aca="false">VLOOKUP(L1469,Sheet2!D:E,2,0)</f>
        <v>Power Supply Section</v>
      </c>
      <c r="N1469" s="17" t="n">
        <v>1</v>
      </c>
      <c r="O1469" s="17" t="str">
        <f aca="false">VLOOKUP(N1469,Sheet2!G:H,2,0)</f>
        <v>Dead</v>
      </c>
      <c r="P1469" s="17" t="n">
        <v>11</v>
      </c>
      <c r="Q1469" s="17" t="str">
        <f aca="false">VLOOKUP(P1469,Sheet2!J:K,2,0)</f>
        <v>IR Declared due to CID -TA</v>
      </c>
      <c r="R1469" s="17" t="s">
        <v>35</v>
      </c>
      <c r="S1469" s="17" t="str">
        <f aca="false">VLOOKUP(R1469,Sheet2!N:O,2,0)</f>
        <v>IREPARABLE</v>
      </c>
      <c r="T1469" s="18" t="str">
        <f aca="false">VLOOKUP(P1469,Sheet2!Q:R,2,0)</f>
        <v>IR Normal - Track burn out</v>
      </c>
      <c r="U1469" s="18" t="s">
        <v>38</v>
      </c>
      <c r="V1469" s="17" t="n">
        <v>4</v>
      </c>
      <c r="W1469" s="20" t="str">
        <f aca="false">VLOOKUP(V1469,Sheet2!Q:R,2,0)</f>
        <v>IR CID - Tampered Track burn out</v>
      </c>
      <c r="X1469" s="17" t="str">
        <f aca="false">J1469</f>
        <v>A051</v>
      </c>
      <c r="Y1469" s="17" t="str">
        <f aca="false">VLOOKUP(X1469,Sheet2!A:B,2,0)</f>
        <v>AJAY KOSHTI</v>
      </c>
      <c r="Z1469" s="17" t="s">
        <v>737</v>
      </c>
      <c r="AA1469" s="17" t="s">
        <v>642</v>
      </c>
      <c r="AB1469" s="17" t="s">
        <v>41</v>
      </c>
      <c r="AC1469" s="0" t="str">
        <f aca="false">LEFT(G1469,2)</f>
        <v>87</v>
      </c>
      <c r="AE1469" s="21" t="s">
        <v>506</v>
      </c>
    </row>
    <row r="1470" customFormat="false" ht="15" hidden="false" customHeight="false" outlineLevel="0" collapsed="false">
      <c r="A1470" s="13" t="n">
        <f aca="false">1+A1469</f>
        <v>1468</v>
      </c>
      <c r="B1470" s="14" t="n">
        <v>1009558740</v>
      </c>
      <c r="C1470" s="17" t="s">
        <v>192</v>
      </c>
      <c r="D1470" s="16" t="s">
        <v>64</v>
      </c>
      <c r="E1470" s="17" t="s">
        <v>64</v>
      </c>
      <c r="F1470" s="18" t="s">
        <v>34</v>
      </c>
      <c r="G1470" s="19" t="n">
        <v>300337224848</v>
      </c>
      <c r="H1470" s="17" t="s">
        <v>35</v>
      </c>
      <c r="I1470" s="17" t="s">
        <v>79</v>
      </c>
      <c r="J1470" s="17" t="s">
        <v>289</v>
      </c>
      <c r="K1470" s="17" t="str">
        <f aca="false">VLOOKUP(J1470,Sheet2!A:B,2,0)</f>
        <v>AJAY KOSHTI</v>
      </c>
      <c r="L1470" s="17" t="n">
        <v>2</v>
      </c>
      <c r="M1470" s="17" t="str">
        <f aca="false">VLOOKUP(L1470,Sheet2!D:E,2,0)</f>
        <v>Tuner Section</v>
      </c>
      <c r="N1470" s="17" t="n">
        <v>6</v>
      </c>
      <c r="O1470" s="17" t="str">
        <f aca="false">VLOOKUP(N1470,Sheet2!G:H,2,0)</f>
        <v>No Signal</v>
      </c>
      <c r="P1470" s="17" t="n">
        <v>11</v>
      </c>
      <c r="Q1470" s="17" t="str">
        <f aca="false">VLOOKUP(P1470,Sheet2!J:K,2,0)</f>
        <v>IR Declared due to CID -TA</v>
      </c>
      <c r="R1470" s="17" t="s">
        <v>35</v>
      </c>
      <c r="S1470" s="17" t="str">
        <f aca="false">VLOOKUP(R1470,Sheet2!N:O,2,0)</f>
        <v>IREPARABLE</v>
      </c>
      <c r="T1470" s="18" t="str">
        <f aca="false">VLOOKUP(P1470,Sheet2!Q:R,2,0)</f>
        <v>IR Normal - Track burn out</v>
      </c>
      <c r="U1470" s="20" t="s">
        <v>256</v>
      </c>
      <c r="V1470" s="17" t="n">
        <v>1</v>
      </c>
      <c r="W1470" s="20" t="str">
        <f aca="false">VLOOKUP(V1470,Sheet2!Q:R,2,0)</f>
        <v>IR CID -  Water log from IF port</v>
      </c>
      <c r="X1470" s="17" t="str">
        <f aca="false">J1470</f>
        <v>A051</v>
      </c>
      <c r="Y1470" s="17" t="str">
        <f aca="false">VLOOKUP(X1470,Sheet2!A:B,2,0)</f>
        <v>AJAY KOSHTI</v>
      </c>
      <c r="Z1470" s="17" t="s">
        <v>738</v>
      </c>
      <c r="AA1470" s="17" t="s">
        <v>642</v>
      </c>
      <c r="AB1470" s="17" t="s">
        <v>41</v>
      </c>
      <c r="AC1470" s="0" t="str">
        <f aca="false">LEFT(G1470,2)</f>
        <v>30</v>
      </c>
      <c r="AE1470" s="21" t="s">
        <v>506</v>
      </c>
    </row>
    <row r="1471" customFormat="false" ht="15" hidden="false" customHeight="false" outlineLevel="0" collapsed="false">
      <c r="A1471" s="13" t="n">
        <f aca="false">1+A1470</f>
        <v>1469</v>
      </c>
      <c r="B1471" s="14" t="n">
        <v>1009647675</v>
      </c>
      <c r="C1471" s="17" t="s">
        <v>204</v>
      </c>
      <c r="D1471" s="16" t="s">
        <v>64</v>
      </c>
      <c r="E1471" s="17" t="s">
        <v>64</v>
      </c>
      <c r="F1471" s="18" t="s">
        <v>34</v>
      </c>
      <c r="G1471" s="19" t="n">
        <v>879176292586</v>
      </c>
      <c r="H1471" s="17" t="s">
        <v>35</v>
      </c>
      <c r="I1471" s="17" t="s">
        <v>79</v>
      </c>
      <c r="J1471" s="17" t="s">
        <v>111</v>
      </c>
      <c r="K1471" s="17" t="str">
        <f aca="false">VLOOKUP(J1471,Sheet2!A:B,2,0)</f>
        <v>NITIN PRANAMI</v>
      </c>
      <c r="L1471" s="17" t="n">
        <v>1</v>
      </c>
      <c r="M1471" s="17" t="str">
        <f aca="false">VLOOKUP(L1471,Sheet2!D:E,2,0)</f>
        <v>Power Supply Section</v>
      </c>
      <c r="N1471" s="17" t="n">
        <v>1</v>
      </c>
      <c r="O1471" s="17" t="str">
        <f aca="false">VLOOKUP(N1471,Sheet2!G:H,2,0)</f>
        <v>Dead</v>
      </c>
      <c r="P1471" s="17" t="n">
        <v>11</v>
      </c>
      <c r="Q1471" s="17" t="str">
        <f aca="false">VLOOKUP(P1471,Sheet2!J:K,2,0)</f>
        <v>IR Declared due to CID -TA</v>
      </c>
      <c r="R1471" s="17" t="s">
        <v>35</v>
      </c>
      <c r="S1471" s="17" t="str">
        <f aca="false">VLOOKUP(R1471,Sheet2!N:O,2,0)</f>
        <v>IREPARABLE</v>
      </c>
      <c r="T1471" s="18" t="str">
        <f aca="false">VLOOKUP(P1471,Sheet2!Q:R,2,0)</f>
        <v>IR Normal - Track burn out</v>
      </c>
      <c r="U1471" s="18" t="s">
        <v>38</v>
      </c>
      <c r="V1471" s="17" t="n">
        <v>4</v>
      </c>
      <c r="W1471" s="20" t="str">
        <f aca="false">VLOOKUP(V1471,Sheet2!Q:R,2,0)</f>
        <v>IR CID - Tampered Track burn out</v>
      </c>
      <c r="X1471" s="17" t="str">
        <f aca="false">J1471</f>
        <v>A031</v>
      </c>
      <c r="Y1471" s="17" t="str">
        <f aca="false">VLOOKUP(X1471,Sheet2!A:B,2,0)</f>
        <v>NITIN PRANAMI</v>
      </c>
      <c r="Z1471" s="17" t="s">
        <v>739</v>
      </c>
      <c r="AA1471" s="17" t="s">
        <v>642</v>
      </c>
      <c r="AB1471" s="17" t="s">
        <v>41</v>
      </c>
      <c r="AC1471" s="0" t="str">
        <f aca="false">LEFT(G1471,2)</f>
        <v>87</v>
      </c>
      <c r="AE1471" s="21" t="s">
        <v>506</v>
      </c>
    </row>
    <row r="1472" customFormat="false" ht="15" hidden="false" customHeight="false" outlineLevel="0" collapsed="false">
      <c r="A1472" s="13" t="n">
        <f aca="false">1+A1471</f>
        <v>1470</v>
      </c>
      <c r="B1472" s="14" t="n">
        <v>1009635219</v>
      </c>
      <c r="C1472" s="17" t="s">
        <v>182</v>
      </c>
      <c r="D1472" s="16" t="s">
        <v>64</v>
      </c>
      <c r="E1472" s="17" t="s">
        <v>621</v>
      </c>
      <c r="F1472" s="18" t="s">
        <v>34</v>
      </c>
      <c r="G1472" s="19" t="n">
        <v>879214115781</v>
      </c>
      <c r="H1472" s="17" t="s">
        <v>35</v>
      </c>
      <c r="I1472" s="17" t="s">
        <v>79</v>
      </c>
      <c r="J1472" s="17" t="s">
        <v>121</v>
      </c>
      <c r="K1472" s="17" t="str">
        <f aca="false">VLOOKUP(J1472,Sheet2!A:B,2,0)</f>
        <v>SHANI GOHIL</v>
      </c>
      <c r="L1472" s="17" t="n">
        <v>7</v>
      </c>
      <c r="M1472" s="17" t="str">
        <f aca="false">VLOOKUP(L1472,Sheet2!D:E,2,0)</f>
        <v>Card Reader Section</v>
      </c>
      <c r="N1472" s="17" t="n">
        <v>36</v>
      </c>
      <c r="O1472" s="17" t="str">
        <f aca="false">VLOOKUP(N1472,Sheet2!G:H,2,0)</f>
        <v>Error -1</v>
      </c>
      <c r="P1472" s="17" t="n">
        <v>11</v>
      </c>
      <c r="Q1472" s="17" t="str">
        <f aca="false">VLOOKUP(P1472,Sheet2!J:K,2,0)</f>
        <v>IR Declared due to CID -TA</v>
      </c>
      <c r="R1472" s="17" t="s">
        <v>35</v>
      </c>
      <c r="S1472" s="17" t="str">
        <f aca="false">VLOOKUP(R1472,Sheet2!N:O,2,0)</f>
        <v>IREPARABLE</v>
      </c>
      <c r="T1472" s="18" t="str">
        <f aca="false">VLOOKUP(P1472,Sheet2!Q:R,2,0)</f>
        <v>IR Normal - Track burn out</v>
      </c>
      <c r="U1472" s="18" t="s">
        <v>122</v>
      </c>
      <c r="V1472" s="17" t="n">
        <v>2</v>
      </c>
      <c r="W1472" s="20" t="str">
        <f aca="false">VLOOKUP(V1472,Sheet2!Q:R,2,0)</f>
        <v>IR CID -  Water log from other area</v>
      </c>
      <c r="X1472" s="17" t="str">
        <f aca="false">J1472</f>
        <v>A063</v>
      </c>
      <c r="Y1472" s="17" t="str">
        <f aca="false">VLOOKUP(X1472,Sheet2!A:B,2,0)</f>
        <v>SHANI GOHIL</v>
      </c>
      <c r="Z1472" s="17" t="s">
        <v>740</v>
      </c>
      <c r="AA1472" s="17" t="s">
        <v>642</v>
      </c>
      <c r="AB1472" s="17" t="s">
        <v>41</v>
      </c>
      <c r="AC1472" s="0" t="str">
        <f aca="false">LEFT(G1472,2)</f>
        <v>87</v>
      </c>
      <c r="AE1472" s="21" t="s">
        <v>506</v>
      </c>
    </row>
    <row r="1473" customFormat="false" ht="15" hidden="false" customHeight="false" outlineLevel="0" collapsed="false">
      <c r="A1473" s="13" t="n">
        <f aca="false">1+A1472</f>
        <v>1471</v>
      </c>
      <c r="B1473" s="14" t="n">
        <v>1009614863</v>
      </c>
      <c r="C1473" s="17" t="s">
        <v>184</v>
      </c>
      <c r="D1473" s="16" t="s">
        <v>64</v>
      </c>
      <c r="E1473" s="17" t="s">
        <v>47</v>
      </c>
      <c r="F1473" s="18" t="s">
        <v>34</v>
      </c>
      <c r="G1473" s="19" t="n">
        <v>889206465375</v>
      </c>
      <c r="H1473" s="17" t="s">
        <v>35</v>
      </c>
      <c r="I1473" s="17" t="s">
        <v>79</v>
      </c>
      <c r="J1473" s="17" t="s">
        <v>111</v>
      </c>
      <c r="K1473" s="17" t="str">
        <f aca="false">VLOOKUP(J1473,Sheet2!A:B,2,0)</f>
        <v>NITIN PRANAMI</v>
      </c>
      <c r="L1473" s="17" t="n">
        <v>1</v>
      </c>
      <c r="M1473" s="17" t="str">
        <f aca="false">VLOOKUP(L1473,Sheet2!D:E,2,0)</f>
        <v>Power Supply Section</v>
      </c>
      <c r="N1473" s="17" t="n">
        <v>1</v>
      </c>
      <c r="O1473" s="17" t="str">
        <f aca="false">VLOOKUP(N1473,Sheet2!G:H,2,0)</f>
        <v>Dead</v>
      </c>
      <c r="P1473" s="17" t="n">
        <v>11</v>
      </c>
      <c r="Q1473" s="17" t="str">
        <f aca="false">VLOOKUP(P1473,Sheet2!J:K,2,0)</f>
        <v>IR Declared due to CID -TA</v>
      </c>
      <c r="R1473" s="17" t="s">
        <v>35</v>
      </c>
      <c r="S1473" s="17" t="str">
        <f aca="false">VLOOKUP(R1473,Sheet2!N:O,2,0)</f>
        <v>IREPARABLE</v>
      </c>
      <c r="T1473" s="18" t="str">
        <f aca="false">VLOOKUP(P1473,Sheet2!Q:R,2,0)</f>
        <v>IR Normal - Track burn out</v>
      </c>
      <c r="U1473" s="20" t="s">
        <v>256</v>
      </c>
      <c r="V1473" s="17" t="n">
        <v>1</v>
      </c>
      <c r="W1473" s="20" t="str">
        <f aca="false">VLOOKUP(V1473,Sheet2!Q:R,2,0)</f>
        <v>IR CID -  Water log from IF port</v>
      </c>
      <c r="X1473" s="17" t="str">
        <f aca="false">J1473</f>
        <v>A031</v>
      </c>
      <c r="Y1473" s="17" t="str">
        <f aca="false">VLOOKUP(X1473,Sheet2!A:B,2,0)</f>
        <v>NITIN PRANAMI</v>
      </c>
      <c r="Z1473" s="17" t="s">
        <v>741</v>
      </c>
      <c r="AA1473" s="17" t="s">
        <v>642</v>
      </c>
      <c r="AB1473" s="17" t="s">
        <v>41</v>
      </c>
      <c r="AC1473" s="0" t="str">
        <f aca="false">LEFT(G1473,2)</f>
        <v>88</v>
      </c>
      <c r="AE1473" s="21" t="s">
        <v>506</v>
      </c>
    </row>
    <row r="1474" customFormat="false" ht="15" hidden="false" customHeight="false" outlineLevel="0" collapsed="false">
      <c r="A1474" s="13" t="n">
        <f aca="false">1+A1473</f>
        <v>1472</v>
      </c>
      <c r="B1474" s="14" t="n">
        <v>1009617512</v>
      </c>
      <c r="C1474" s="17" t="s">
        <v>184</v>
      </c>
      <c r="D1474" s="16" t="s">
        <v>64</v>
      </c>
      <c r="E1474" s="17" t="s">
        <v>64</v>
      </c>
      <c r="F1474" s="18" t="s">
        <v>34</v>
      </c>
      <c r="G1474" s="19" t="n">
        <v>301039326345</v>
      </c>
      <c r="H1474" s="17" t="s">
        <v>35</v>
      </c>
      <c r="I1474" s="17" t="s">
        <v>79</v>
      </c>
      <c r="J1474" s="17" t="s">
        <v>267</v>
      </c>
      <c r="K1474" s="17" t="str">
        <f aca="false">VLOOKUP(J1474,Sheet2!A:B,2,0)</f>
        <v>HARIRAM GUPTA</v>
      </c>
      <c r="L1474" s="17" t="n">
        <v>2</v>
      </c>
      <c r="M1474" s="17" t="str">
        <f aca="false">VLOOKUP(L1474,Sheet2!D:E,2,0)</f>
        <v>Tuner Section</v>
      </c>
      <c r="N1474" s="17" t="n">
        <v>6</v>
      </c>
      <c r="O1474" s="17" t="str">
        <f aca="false">VLOOKUP(N1474,Sheet2!G:H,2,0)</f>
        <v>No Signal</v>
      </c>
      <c r="P1474" s="17" t="n">
        <v>11</v>
      </c>
      <c r="Q1474" s="17" t="str">
        <f aca="false">VLOOKUP(P1474,Sheet2!J:K,2,0)</f>
        <v>IR Declared due to CID -TA</v>
      </c>
      <c r="R1474" s="17" t="s">
        <v>35</v>
      </c>
      <c r="S1474" s="17" t="str">
        <f aca="false">VLOOKUP(R1474,Sheet2!N:O,2,0)</f>
        <v>IREPARABLE</v>
      </c>
      <c r="T1474" s="18" t="str">
        <f aca="false">VLOOKUP(P1474,Sheet2!Q:R,2,0)</f>
        <v>IR Normal - Track burn out</v>
      </c>
      <c r="U1474" s="20" t="s">
        <v>256</v>
      </c>
      <c r="V1474" s="17" t="n">
        <v>1</v>
      </c>
      <c r="W1474" s="20" t="str">
        <f aca="false">VLOOKUP(V1474,Sheet2!Q:R,2,0)</f>
        <v>IR CID -  Water log from IF port</v>
      </c>
      <c r="X1474" s="17" t="str">
        <f aca="false">J1474</f>
        <v>A007</v>
      </c>
      <c r="Y1474" s="17" t="str">
        <f aca="false">VLOOKUP(X1474,Sheet2!A:B,2,0)</f>
        <v>HARIRAM GUPTA</v>
      </c>
      <c r="Z1474" s="17" t="s">
        <v>306</v>
      </c>
      <c r="AA1474" s="17" t="s">
        <v>642</v>
      </c>
      <c r="AB1474" s="17" t="s">
        <v>41</v>
      </c>
      <c r="AC1474" s="0" t="str">
        <f aca="false">LEFT(G1474,2)</f>
        <v>30</v>
      </c>
      <c r="AE1474" s="21" t="s">
        <v>506</v>
      </c>
    </row>
    <row r="1475" customFormat="false" ht="15" hidden="false" customHeight="false" outlineLevel="0" collapsed="false">
      <c r="A1475" s="13" t="n">
        <f aca="false">1+A1474</f>
        <v>1473</v>
      </c>
      <c r="B1475" s="14" t="n">
        <v>1009621132</v>
      </c>
      <c r="C1475" s="17" t="s">
        <v>184</v>
      </c>
      <c r="D1475" s="16" t="s">
        <v>64</v>
      </c>
      <c r="E1475" s="17" t="s">
        <v>64</v>
      </c>
      <c r="F1475" s="18" t="s">
        <v>34</v>
      </c>
      <c r="G1475" s="19" t="n">
        <v>300359238809</v>
      </c>
      <c r="H1475" s="17" t="s">
        <v>35</v>
      </c>
      <c r="I1475" s="17" t="s">
        <v>79</v>
      </c>
      <c r="J1475" s="17" t="s">
        <v>289</v>
      </c>
      <c r="K1475" s="17" t="str">
        <f aca="false">VLOOKUP(J1475,Sheet2!A:B,2,0)</f>
        <v>AJAY KOSHTI</v>
      </c>
      <c r="L1475" s="17" t="n">
        <v>1</v>
      </c>
      <c r="M1475" s="17" t="str">
        <f aca="false">VLOOKUP(L1475,Sheet2!D:E,2,0)</f>
        <v>Power Supply Section</v>
      </c>
      <c r="N1475" s="17" t="n">
        <v>1</v>
      </c>
      <c r="O1475" s="17" t="str">
        <f aca="false">VLOOKUP(N1475,Sheet2!G:H,2,0)</f>
        <v>Dead</v>
      </c>
      <c r="P1475" s="17" t="n">
        <v>11</v>
      </c>
      <c r="Q1475" s="17" t="str">
        <f aca="false">VLOOKUP(P1475,Sheet2!J:K,2,0)</f>
        <v>IR Declared due to CID -TA</v>
      </c>
      <c r="R1475" s="17" t="s">
        <v>35</v>
      </c>
      <c r="S1475" s="17" t="str">
        <f aca="false">VLOOKUP(R1475,Sheet2!N:O,2,0)</f>
        <v>IREPARABLE</v>
      </c>
      <c r="T1475" s="18" t="str">
        <f aca="false">VLOOKUP(P1475,Sheet2!Q:R,2,0)</f>
        <v>IR Normal - Track burn out</v>
      </c>
      <c r="U1475" s="20" t="s">
        <v>256</v>
      </c>
      <c r="V1475" s="17" t="n">
        <v>1</v>
      </c>
      <c r="W1475" s="20" t="str">
        <f aca="false">VLOOKUP(V1475,Sheet2!Q:R,2,0)</f>
        <v>IR CID -  Water log from IF port</v>
      </c>
      <c r="X1475" s="17" t="str">
        <f aca="false">J1475</f>
        <v>A051</v>
      </c>
      <c r="Y1475" s="17" t="str">
        <f aca="false">VLOOKUP(X1475,Sheet2!A:B,2,0)</f>
        <v>AJAY KOSHTI</v>
      </c>
      <c r="Z1475" s="17" t="s">
        <v>306</v>
      </c>
      <c r="AA1475" s="17" t="s">
        <v>642</v>
      </c>
      <c r="AB1475" s="17" t="s">
        <v>41</v>
      </c>
      <c r="AC1475" s="0" t="str">
        <f aca="false">LEFT(G1475,2)</f>
        <v>30</v>
      </c>
      <c r="AE1475" s="21" t="s">
        <v>506</v>
      </c>
    </row>
    <row r="1476" customFormat="false" ht="15" hidden="false" customHeight="false" outlineLevel="0" collapsed="false">
      <c r="A1476" s="13" t="n">
        <f aca="false">1+A1475</f>
        <v>1474</v>
      </c>
      <c r="B1476" s="14" t="n">
        <v>1009623106</v>
      </c>
      <c r="C1476" s="17" t="s">
        <v>184</v>
      </c>
      <c r="D1476" s="16" t="s">
        <v>64</v>
      </c>
      <c r="E1476" s="17" t="s">
        <v>148</v>
      </c>
      <c r="F1476" s="18" t="s">
        <v>34</v>
      </c>
      <c r="G1476" s="19" t="n">
        <v>879119115936</v>
      </c>
      <c r="H1476" s="17" t="s">
        <v>35</v>
      </c>
      <c r="I1476" s="17" t="s">
        <v>79</v>
      </c>
      <c r="J1476" s="17" t="s">
        <v>241</v>
      </c>
      <c r="K1476" s="17" t="str">
        <f aca="false">VLOOKUP(J1476,Sheet2!A:B,2,0)</f>
        <v>NILESH NAGAR</v>
      </c>
      <c r="L1476" s="17" t="n">
        <v>5</v>
      </c>
      <c r="M1476" s="17" t="str">
        <f aca="false">VLOOKUP(L1476,Sheet2!D:E,2,0)</f>
        <v>Main Processor CPU BGA</v>
      </c>
      <c r="N1476" s="17" t="n">
        <v>1</v>
      </c>
      <c r="O1476" s="17" t="str">
        <f aca="false">VLOOKUP(N1476,Sheet2!G:H,2,0)</f>
        <v>Dead</v>
      </c>
      <c r="P1476" s="17" t="n">
        <v>11</v>
      </c>
      <c r="Q1476" s="17" t="str">
        <f aca="false">VLOOKUP(P1476,Sheet2!J:K,2,0)</f>
        <v>IR Declared due to CID -TA</v>
      </c>
      <c r="R1476" s="17" t="s">
        <v>35</v>
      </c>
      <c r="S1476" s="17" t="str">
        <f aca="false">VLOOKUP(R1476,Sheet2!N:O,2,0)</f>
        <v>IREPARABLE</v>
      </c>
      <c r="T1476" s="18" t="str">
        <f aca="false">VLOOKUP(P1476,Sheet2!Q:R,2,0)</f>
        <v>IR Normal - Track burn out</v>
      </c>
      <c r="U1476" s="20" t="s">
        <v>256</v>
      </c>
      <c r="V1476" s="17" t="n">
        <v>1</v>
      </c>
      <c r="W1476" s="20" t="str">
        <f aca="false">VLOOKUP(V1476,Sheet2!Q:R,2,0)</f>
        <v>IR CID -  Water log from IF port</v>
      </c>
      <c r="X1476" s="17" t="str">
        <f aca="false">J1476</f>
        <v>A008</v>
      </c>
      <c r="Y1476" s="17" t="str">
        <f aca="false">VLOOKUP(X1476,Sheet2!A:B,2,0)</f>
        <v>NILESH NAGAR</v>
      </c>
      <c r="Z1476" s="17" t="s">
        <v>306</v>
      </c>
      <c r="AA1476" s="17" t="s">
        <v>642</v>
      </c>
      <c r="AB1476" s="17" t="s">
        <v>41</v>
      </c>
      <c r="AC1476" s="0" t="str">
        <f aca="false">LEFT(G1476,2)</f>
        <v>87</v>
      </c>
      <c r="AE1476" s="21" t="s">
        <v>506</v>
      </c>
    </row>
    <row r="1477" customFormat="false" ht="15" hidden="false" customHeight="false" outlineLevel="0" collapsed="false">
      <c r="A1477" s="13" t="n">
        <f aca="false">1+A1476</f>
        <v>1475</v>
      </c>
      <c r="B1477" s="14" t="n">
        <v>1009618105</v>
      </c>
      <c r="C1477" s="17" t="s">
        <v>184</v>
      </c>
      <c r="D1477" s="16" t="s">
        <v>64</v>
      </c>
      <c r="E1477" s="17" t="s">
        <v>47</v>
      </c>
      <c r="F1477" s="18" t="s">
        <v>34</v>
      </c>
      <c r="G1477" s="19" t="n">
        <v>866005116573</v>
      </c>
      <c r="H1477" s="17" t="s">
        <v>35</v>
      </c>
      <c r="I1477" s="17" t="s">
        <v>72</v>
      </c>
      <c r="J1477" s="17" t="s">
        <v>241</v>
      </c>
      <c r="K1477" s="17" t="str">
        <f aca="false">VLOOKUP(J1477,Sheet2!A:B,2,0)</f>
        <v>NILESH NAGAR</v>
      </c>
      <c r="L1477" s="17" t="n">
        <v>5</v>
      </c>
      <c r="M1477" s="17" t="str">
        <f aca="false">VLOOKUP(L1477,Sheet2!D:E,2,0)</f>
        <v>Main Processor CPU BGA</v>
      </c>
      <c r="N1477" s="17" t="n">
        <v>1</v>
      </c>
      <c r="O1477" s="17" t="str">
        <f aca="false">VLOOKUP(N1477,Sheet2!G:H,2,0)</f>
        <v>Dead</v>
      </c>
      <c r="P1477" s="17" t="n">
        <v>11</v>
      </c>
      <c r="Q1477" s="17" t="str">
        <f aca="false">VLOOKUP(P1477,Sheet2!J:K,2,0)</f>
        <v>IR Declared due to CID -TA</v>
      </c>
      <c r="R1477" s="17" t="s">
        <v>35</v>
      </c>
      <c r="S1477" s="17" t="str">
        <f aca="false">VLOOKUP(R1477,Sheet2!N:O,2,0)</f>
        <v>IREPARABLE</v>
      </c>
      <c r="T1477" s="18" t="str">
        <f aca="false">VLOOKUP(P1477,Sheet2!Q:R,2,0)</f>
        <v>IR Normal - Track burn out</v>
      </c>
      <c r="U1477" s="18" t="s">
        <v>122</v>
      </c>
      <c r="V1477" s="17" t="n">
        <v>2</v>
      </c>
      <c r="W1477" s="20" t="str">
        <f aca="false">VLOOKUP(V1477,Sheet2!Q:R,2,0)</f>
        <v>IR CID -  Water log from other area</v>
      </c>
      <c r="X1477" s="17" t="str">
        <f aca="false">J1477</f>
        <v>A008</v>
      </c>
      <c r="Y1477" s="17" t="str">
        <f aca="false">VLOOKUP(X1477,Sheet2!A:B,2,0)</f>
        <v>NILESH NAGAR</v>
      </c>
      <c r="Z1477" s="17" t="s">
        <v>742</v>
      </c>
      <c r="AA1477" s="17" t="s">
        <v>642</v>
      </c>
      <c r="AB1477" s="17" t="s">
        <v>41</v>
      </c>
      <c r="AC1477" s="0" t="str">
        <f aca="false">LEFT(G1477,2)</f>
        <v>86</v>
      </c>
      <c r="AE1477" s="21" t="s">
        <v>506</v>
      </c>
    </row>
    <row r="1478" customFormat="false" ht="15" hidden="false" customHeight="false" outlineLevel="0" collapsed="false">
      <c r="A1478" s="13" t="n">
        <f aca="false">1+A1477</f>
        <v>1476</v>
      </c>
      <c r="B1478" s="14" t="n">
        <v>1009574493</v>
      </c>
      <c r="C1478" s="17" t="s">
        <v>104</v>
      </c>
      <c r="D1478" s="16" t="s">
        <v>64</v>
      </c>
      <c r="E1478" s="17" t="s">
        <v>64</v>
      </c>
      <c r="F1478" s="18" t="s">
        <v>34</v>
      </c>
      <c r="G1478" s="19" t="n">
        <v>865225102314</v>
      </c>
      <c r="H1478" s="17" t="s">
        <v>35</v>
      </c>
      <c r="I1478" s="17" t="s">
        <v>72</v>
      </c>
      <c r="J1478" s="17" t="s">
        <v>289</v>
      </c>
      <c r="K1478" s="17" t="str">
        <f aca="false">VLOOKUP(J1478,Sheet2!A:B,2,0)</f>
        <v>AJAY KOSHTI</v>
      </c>
      <c r="L1478" s="17" t="n">
        <v>1</v>
      </c>
      <c r="M1478" s="17" t="str">
        <f aca="false">VLOOKUP(L1478,Sheet2!D:E,2,0)</f>
        <v>Power Supply Section</v>
      </c>
      <c r="N1478" s="17" t="n">
        <v>1</v>
      </c>
      <c r="O1478" s="17" t="str">
        <f aca="false">VLOOKUP(N1478,Sheet2!G:H,2,0)</f>
        <v>Dead</v>
      </c>
      <c r="P1478" s="17" t="n">
        <v>11</v>
      </c>
      <c r="Q1478" s="17" t="str">
        <f aca="false">VLOOKUP(P1478,Sheet2!J:K,2,0)</f>
        <v>IR Declared due to CID -TA</v>
      </c>
      <c r="R1478" s="17" t="s">
        <v>35</v>
      </c>
      <c r="S1478" s="17" t="str">
        <f aca="false">VLOOKUP(R1478,Sheet2!N:O,2,0)</f>
        <v>IREPARABLE</v>
      </c>
      <c r="T1478" s="18" t="str">
        <f aca="false">VLOOKUP(P1478,Sheet2!Q:R,2,0)</f>
        <v>IR Normal - Track burn out</v>
      </c>
      <c r="U1478" s="18" t="s">
        <v>122</v>
      </c>
      <c r="V1478" s="17" t="n">
        <v>2</v>
      </c>
      <c r="W1478" s="20" t="str">
        <f aca="false">VLOOKUP(V1478,Sheet2!Q:R,2,0)</f>
        <v>IR CID -  Water log from other area</v>
      </c>
      <c r="X1478" s="17" t="str">
        <f aca="false">J1478</f>
        <v>A051</v>
      </c>
      <c r="Y1478" s="17" t="str">
        <f aca="false">VLOOKUP(X1478,Sheet2!A:B,2,0)</f>
        <v>AJAY KOSHTI</v>
      </c>
      <c r="Z1478" s="17" t="s">
        <v>266</v>
      </c>
      <c r="AA1478" s="17" t="s">
        <v>642</v>
      </c>
      <c r="AB1478" s="17" t="s">
        <v>41</v>
      </c>
      <c r="AC1478" s="0" t="str">
        <f aca="false">LEFT(G1478,2)</f>
        <v>86</v>
      </c>
      <c r="AE1478" s="21" t="s">
        <v>506</v>
      </c>
    </row>
    <row r="1479" customFormat="false" ht="15" hidden="false" customHeight="false" outlineLevel="0" collapsed="false">
      <c r="A1479" s="13" t="n">
        <f aca="false">1+A1478</f>
        <v>1477</v>
      </c>
      <c r="B1479" s="14" t="n">
        <v>1009630771</v>
      </c>
      <c r="C1479" s="17" t="s">
        <v>233</v>
      </c>
      <c r="D1479" s="16" t="s">
        <v>64</v>
      </c>
      <c r="E1479" s="17" t="s">
        <v>64</v>
      </c>
      <c r="F1479" s="18" t="s">
        <v>34</v>
      </c>
      <c r="G1479" s="19" t="n">
        <v>865321276350</v>
      </c>
      <c r="H1479" s="17" t="s">
        <v>35</v>
      </c>
      <c r="I1479" s="17" t="s">
        <v>72</v>
      </c>
      <c r="J1479" s="17" t="s">
        <v>289</v>
      </c>
      <c r="K1479" s="17" t="str">
        <f aca="false">VLOOKUP(J1479,Sheet2!A:B,2,0)</f>
        <v>AJAY KOSHTI</v>
      </c>
      <c r="L1479" s="17" t="n">
        <v>1</v>
      </c>
      <c r="M1479" s="17" t="str">
        <f aca="false">VLOOKUP(L1479,Sheet2!D:E,2,0)</f>
        <v>Power Supply Section</v>
      </c>
      <c r="N1479" s="17" t="n">
        <v>1</v>
      </c>
      <c r="O1479" s="17" t="str">
        <f aca="false">VLOOKUP(N1479,Sheet2!G:H,2,0)</f>
        <v>Dead</v>
      </c>
      <c r="P1479" s="17" t="n">
        <v>11</v>
      </c>
      <c r="Q1479" s="17" t="str">
        <f aca="false">VLOOKUP(P1479,Sheet2!J:K,2,0)</f>
        <v>IR Declared due to CID -TA</v>
      </c>
      <c r="R1479" s="17" t="s">
        <v>35</v>
      </c>
      <c r="S1479" s="17" t="str">
        <f aca="false">VLOOKUP(R1479,Sheet2!N:O,2,0)</f>
        <v>IREPARABLE</v>
      </c>
      <c r="T1479" s="18" t="str">
        <f aca="false">VLOOKUP(P1479,Sheet2!Q:R,2,0)</f>
        <v>IR Normal - Track burn out</v>
      </c>
      <c r="U1479" s="18" t="s">
        <v>122</v>
      </c>
      <c r="V1479" s="17" t="n">
        <v>2</v>
      </c>
      <c r="W1479" s="20" t="str">
        <f aca="false">VLOOKUP(V1479,Sheet2!Q:R,2,0)</f>
        <v>IR CID -  Water log from other area</v>
      </c>
      <c r="X1479" s="17" t="str">
        <f aca="false">J1479</f>
        <v>A051</v>
      </c>
      <c r="Y1479" s="17" t="str">
        <f aca="false">VLOOKUP(X1479,Sheet2!A:B,2,0)</f>
        <v>AJAY KOSHTI</v>
      </c>
      <c r="Z1479" s="17" t="s">
        <v>743</v>
      </c>
      <c r="AA1479" s="17" t="s">
        <v>642</v>
      </c>
      <c r="AB1479" s="17" t="s">
        <v>41</v>
      </c>
      <c r="AC1479" s="0" t="str">
        <f aca="false">LEFT(G1479,2)</f>
        <v>86</v>
      </c>
      <c r="AE1479" s="21" t="s">
        <v>506</v>
      </c>
    </row>
    <row r="1480" customFormat="false" ht="15" hidden="false" customHeight="false" outlineLevel="0" collapsed="false">
      <c r="A1480" s="13" t="n">
        <f aca="false">1+A1479</f>
        <v>1478</v>
      </c>
      <c r="B1480" s="14" t="n">
        <v>1009607501</v>
      </c>
      <c r="C1480" s="17" t="s">
        <v>181</v>
      </c>
      <c r="D1480" s="16" t="s">
        <v>113</v>
      </c>
      <c r="E1480" s="17" t="s">
        <v>572</v>
      </c>
      <c r="F1480" s="18" t="s">
        <v>34</v>
      </c>
      <c r="G1480" s="19" t="n">
        <v>864338136368</v>
      </c>
      <c r="H1480" s="17" t="s">
        <v>35</v>
      </c>
      <c r="I1480" s="17" t="s">
        <v>72</v>
      </c>
      <c r="J1480" s="17" t="s">
        <v>100</v>
      </c>
      <c r="K1480" s="17" t="str">
        <f aca="false">VLOOKUP(J1480,Sheet2!A:B,2,0)</f>
        <v>PIYUSH CHAVDA</v>
      </c>
      <c r="L1480" s="17" t="n">
        <v>1</v>
      </c>
      <c r="M1480" s="17" t="str">
        <f aca="false">VLOOKUP(L1480,Sheet2!D:E,2,0)</f>
        <v>Power Supply Section</v>
      </c>
      <c r="N1480" s="17" t="n">
        <v>1</v>
      </c>
      <c r="O1480" s="17" t="str">
        <f aca="false">VLOOKUP(N1480,Sheet2!G:H,2,0)</f>
        <v>Dead</v>
      </c>
      <c r="P1480" s="17" t="n">
        <v>12</v>
      </c>
      <c r="Q1480" s="17" t="str">
        <f aca="false">VLOOKUP(P1480,Sheet2!J:K,2,0)</f>
        <v>IR Declared due to Others ( IR Normal)TB</v>
      </c>
      <c r="R1480" s="17" t="s">
        <v>35</v>
      </c>
      <c r="S1480" s="17" t="str">
        <f aca="false">VLOOKUP(R1480,Sheet2!N:O,2,0)</f>
        <v>IREPARABLE</v>
      </c>
      <c r="T1480" s="18" t="str">
        <f aca="false">VLOOKUP(P1480,Sheet2!Q:R,2,0)</f>
        <v>IR Normal - BER to IR</v>
      </c>
      <c r="U1480" s="18" t="s">
        <v>101</v>
      </c>
      <c r="V1480" s="17" t="n">
        <v>8</v>
      </c>
      <c r="W1480" s="20" t="str">
        <f aca="false">VLOOKUP(V1480,Sheet2!Q:R,2,0)</f>
        <v>IR Normal -TrackRust/InternalDamage/open</v>
      </c>
      <c r="X1480" s="17" t="str">
        <f aca="false">J1480</f>
        <v>A050</v>
      </c>
      <c r="Y1480" s="17" t="str">
        <f aca="false">VLOOKUP(X1480,Sheet2!A:B,2,0)</f>
        <v>PIYUSH CHAVDA</v>
      </c>
      <c r="Z1480" s="17" t="s">
        <v>743</v>
      </c>
      <c r="AA1480" s="17" t="s">
        <v>642</v>
      </c>
      <c r="AB1480" s="17" t="s">
        <v>41</v>
      </c>
      <c r="AC1480" s="0" t="str">
        <f aca="false">LEFT(G1480,2)</f>
        <v>86</v>
      </c>
      <c r="AE1480" s="21" t="s">
        <v>506</v>
      </c>
    </row>
    <row r="1481" customFormat="false" ht="15" hidden="false" customHeight="false" outlineLevel="0" collapsed="false">
      <c r="A1481" s="13" t="n">
        <f aca="false">1+A1480</f>
        <v>1479</v>
      </c>
      <c r="B1481" s="14" t="n">
        <v>1009631420</v>
      </c>
      <c r="C1481" s="17" t="s">
        <v>182</v>
      </c>
      <c r="D1481" s="16" t="s">
        <v>64</v>
      </c>
      <c r="E1481" s="17" t="s">
        <v>64</v>
      </c>
      <c r="F1481" s="18" t="s">
        <v>34</v>
      </c>
      <c r="G1481" s="19" t="n">
        <v>865169113376</v>
      </c>
      <c r="H1481" s="17" t="s">
        <v>35</v>
      </c>
      <c r="I1481" s="17" t="s">
        <v>72</v>
      </c>
      <c r="J1481" s="17" t="s">
        <v>289</v>
      </c>
      <c r="K1481" s="17" t="str">
        <f aca="false">VLOOKUP(J1481,Sheet2!A:B,2,0)</f>
        <v>AJAY KOSHTI</v>
      </c>
      <c r="L1481" s="17" t="n">
        <v>1</v>
      </c>
      <c r="M1481" s="17" t="str">
        <f aca="false">VLOOKUP(L1481,Sheet2!D:E,2,0)</f>
        <v>Power Supply Section</v>
      </c>
      <c r="N1481" s="17" t="n">
        <v>1</v>
      </c>
      <c r="O1481" s="17" t="str">
        <f aca="false">VLOOKUP(N1481,Sheet2!G:H,2,0)</f>
        <v>Dead</v>
      </c>
      <c r="P1481" s="17" t="n">
        <v>11</v>
      </c>
      <c r="Q1481" s="17" t="str">
        <f aca="false">VLOOKUP(P1481,Sheet2!J:K,2,0)</f>
        <v>IR Declared due to CID -TA</v>
      </c>
      <c r="R1481" s="17" t="s">
        <v>35</v>
      </c>
      <c r="S1481" s="17" t="str">
        <f aca="false">VLOOKUP(R1481,Sheet2!N:O,2,0)</f>
        <v>IREPARABLE</v>
      </c>
      <c r="T1481" s="18" t="str">
        <f aca="false">VLOOKUP(P1481,Sheet2!Q:R,2,0)</f>
        <v>IR Normal - Track burn out</v>
      </c>
      <c r="U1481" s="18" t="s">
        <v>122</v>
      </c>
      <c r="V1481" s="17" t="n">
        <v>2</v>
      </c>
      <c r="W1481" s="20" t="str">
        <f aca="false">VLOOKUP(V1481,Sheet2!Q:R,2,0)</f>
        <v>IR CID -  Water log from other area</v>
      </c>
      <c r="X1481" s="17" t="str">
        <f aca="false">J1481</f>
        <v>A051</v>
      </c>
      <c r="Y1481" s="17" t="str">
        <f aca="false">VLOOKUP(X1481,Sheet2!A:B,2,0)</f>
        <v>AJAY KOSHTI</v>
      </c>
      <c r="Z1481" s="17" t="s">
        <v>580</v>
      </c>
      <c r="AA1481" s="17" t="s">
        <v>642</v>
      </c>
      <c r="AB1481" s="17" t="s">
        <v>41</v>
      </c>
      <c r="AC1481" s="0" t="str">
        <f aca="false">LEFT(G1481,2)</f>
        <v>86</v>
      </c>
      <c r="AE1481" s="21" t="s">
        <v>506</v>
      </c>
    </row>
    <row r="1482" customFormat="false" ht="15" hidden="false" customHeight="false" outlineLevel="0" collapsed="false">
      <c r="A1482" s="13" t="n">
        <f aca="false">1+A1481</f>
        <v>1480</v>
      </c>
      <c r="B1482" s="14" t="n">
        <v>1009624373</v>
      </c>
      <c r="C1482" s="17" t="s">
        <v>163</v>
      </c>
      <c r="D1482" s="16" t="s">
        <v>64</v>
      </c>
      <c r="E1482" s="17" t="s">
        <v>64</v>
      </c>
      <c r="F1482" s="18" t="s">
        <v>34</v>
      </c>
      <c r="G1482" s="19" t="n">
        <v>865169124514</v>
      </c>
      <c r="H1482" s="17" t="s">
        <v>35</v>
      </c>
      <c r="I1482" s="17" t="s">
        <v>72</v>
      </c>
      <c r="J1482" s="17" t="s">
        <v>289</v>
      </c>
      <c r="K1482" s="17" t="str">
        <f aca="false">VLOOKUP(J1482,Sheet2!A:B,2,0)</f>
        <v>AJAY KOSHTI</v>
      </c>
      <c r="L1482" s="17" t="n">
        <v>1</v>
      </c>
      <c r="M1482" s="17" t="str">
        <f aca="false">VLOOKUP(L1482,Sheet2!D:E,2,0)</f>
        <v>Power Supply Section</v>
      </c>
      <c r="N1482" s="17" t="n">
        <v>1</v>
      </c>
      <c r="O1482" s="17" t="str">
        <f aca="false">VLOOKUP(N1482,Sheet2!G:H,2,0)</f>
        <v>Dead</v>
      </c>
      <c r="P1482" s="17" t="n">
        <v>11</v>
      </c>
      <c r="Q1482" s="17" t="str">
        <f aca="false">VLOOKUP(P1482,Sheet2!J:K,2,0)</f>
        <v>IR Declared due to CID -TA</v>
      </c>
      <c r="R1482" s="17" t="s">
        <v>35</v>
      </c>
      <c r="S1482" s="17" t="str">
        <f aca="false">VLOOKUP(R1482,Sheet2!N:O,2,0)</f>
        <v>IREPARABLE</v>
      </c>
      <c r="T1482" s="18" t="str">
        <f aca="false">VLOOKUP(P1482,Sheet2!Q:R,2,0)</f>
        <v>IR Normal - Track burn out</v>
      </c>
      <c r="U1482" s="18" t="s">
        <v>122</v>
      </c>
      <c r="V1482" s="17" t="n">
        <v>2</v>
      </c>
      <c r="W1482" s="20" t="str">
        <f aca="false">VLOOKUP(V1482,Sheet2!Q:R,2,0)</f>
        <v>IR CID -  Water log from other area</v>
      </c>
      <c r="X1482" s="17" t="str">
        <f aca="false">J1482</f>
        <v>A051</v>
      </c>
      <c r="Y1482" s="17" t="str">
        <f aca="false">VLOOKUP(X1482,Sheet2!A:B,2,0)</f>
        <v>AJAY KOSHTI</v>
      </c>
      <c r="Z1482" s="17" t="s">
        <v>266</v>
      </c>
      <c r="AA1482" s="17" t="s">
        <v>642</v>
      </c>
      <c r="AB1482" s="17" t="s">
        <v>41</v>
      </c>
      <c r="AC1482" s="0" t="str">
        <f aca="false">LEFT(G1482,2)</f>
        <v>86</v>
      </c>
      <c r="AE1482" s="21" t="s">
        <v>506</v>
      </c>
    </row>
    <row r="1483" customFormat="false" ht="15" hidden="false" customHeight="false" outlineLevel="0" collapsed="false">
      <c r="A1483" s="13" t="n">
        <f aca="false">1+A1482</f>
        <v>1481</v>
      </c>
      <c r="B1483" s="14" t="n">
        <v>1009630783</v>
      </c>
      <c r="C1483" s="17" t="s">
        <v>233</v>
      </c>
      <c r="D1483" s="16" t="s">
        <v>64</v>
      </c>
      <c r="E1483" s="17" t="s">
        <v>744</v>
      </c>
      <c r="F1483" s="18" t="s">
        <v>34</v>
      </c>
      <c r="G1483" s="19" t="n">
        <v>867320144480</v>
      </c>
      <c r="H1483" s="17" t="s">
        <v>35</v>
      </c>
      <c r="I1483" s="17" t="s">
        <v>72</v>
      </c>
      <c r="J1483" s="17" t="s">
        <v>289</v>
      </c>
      <c r="K1483" s="17" t="str">
        <f aca="false">VLOOKUP(J1483,Sheet2!A:B,2,0)</f>
        <v>AJAY KOSHTI</v>
      </c>
      <c r="L1483" s="17" t="n">
        <v>1</v>
      </c>
      <c r="M1483" s="17" t="str">
        <f aca="false">VLOOKUP(L1483,Sheet2!D:E,2,0)</f>
        <v>Power Supply Section</v>
      </c>
      <c r="N1483" s="17" t="n">
        <v>1</v>
      </c>
      <c r="O1483" s="17" t="str">
        <f aca="false">VLOOKUP(N1483,Sheet2!G:H,2,0)</f>
        <v>Dead</v>
      </c>
      <c r="P1483" s="17" t="n">
        <v>11</v>
      </c>
      <c r="Q1483" s="17" t="str">
        <f aca="false">VLOOKUP(P1483,Sheet2!J:K,2,0)</f>
        <v>IR Declared due to CID -TA</v>
      </c>
      <c r="R1483" s="17" t="s">
        <v>35</v>
      </c>
      <c r="S1483" s="17" t="str">
        <f aca="false">VLOOKUP(R1483,Sheet2!N:O,2,0)</f>
        <v>IREPARABLE</v>
      </c>
      <c r="T1483" s="18" t="str">
        <f aca="false">VLOOKUP(P1483,Sheet2!Q:R,2,0)</f>
        <v>IR Normal - Track burn out</v>
      </c>
      <c r="U1483" s="18" t="s">
        <v>122</v>
      </c>
      <c r="V1483" s="17" t="n">
        <v>2</v>
      </c>
      <c r="W1483" s="20" t="str">
        <f aca="false">VLOOKUP(V1483,Sheet2!Q:R,2,0)</f>
        <v>IR CID -  Water log from other area</v>
      </c>
      <c r="X1483" s="17" t="str">
        <f aca="false">J1483</f>
        <v>A051</v>
      </c>
      <c r="Y1483" s="17" t="str">
        <f aca="false">VLOOKUP(X1483,Sheet2!A:B,2,0)</f>
        <v>AJAY KOSHTI</v>
      </c>
      <c r="Z1483" s="17" t="s">
        <v>266</v>
      </c>
      <c r="AA1483" s="17" t="s">
        <v>642</v>
      </c>
      <c r="AB1483" s="17" t="s">
        <v>41</v>
      </c>
      <c r="AC1483" s="0" t="str">
        <f aca="false">LEFT(G1483,2)</f>
        <v>86</v>
      </c>
      <c r="AE1483" s="21" t="s">
        <v>506</v>
      </c>
    </row>
    <row r="1484" customFormat="false" ht="15" hidden="false" customHeight="false" outlineLevel="0" collapsed="false">
      <c r="A1484" s="13" t="n">
        <f aca="false">1+A1483</f>
        <v>1482</v>
      </c>
      <c r="B1484" s="14" t="n">
        <v>1009561920</v>
      </c>
      <c r="C1484" s="17" t="s">
        <v>192</v>
      </c>
      <c r="D1484" s="16" t="s">
        <v>64</v>
      </c>
      <c r="E1484" s="17" t="s">
        <v>47</v>
      </c>
      <c r="F1484" s="18" t="s">
        <v>34</v>
      </c>
      <c r="G1484" s="19" t="n">
        <v>867271216592</v>
      </c>
      <c r="H1484" s="17" t="s">
        <v>35</v>
      </c>
      <c r="I1484" s="17" t="s">
        <v>72</v>
      </c>
      <c r="J1484" s="17" t="s">
        <v>289</v>
      </c>
      <c r="K1484" s="17" t="str">
        <f aca="false">VLOOKUP(J1484,Sheet2!A:B,2,0)</f>
        <v>AJAY KOSHTI</v>
      </c>
      <c r="L1484" s="17" t="n">
        <v>1</v>
      </c>
      <c r="M1484" s="17" t="str">
        <f aca="false">VLOOKUP(L1484,Sheet2!D:E,2,0)</f>
        <v>Power Supply Section</v>
      </c>
      <c r="N1484" s="17" t="n">
        <v>1</v>
      </c>
      <c r="O1484" s="17" t="str">
        <f aca="false">VLOOKUP(N1484,Sheet2!G:H,2,0)</f>
        <v>Dead</v>
      </c>
      <c r="P1484" s="17" t="n">
        <v>11</v>
      </c>
      <c r="Q1484" s="17" t="str">
        <f aca="false">VLOOKUP(P1484,Sheet2!J:K,2,0)</f>
        <v>IR Declared due to CID -TA</v>
      </c>
      <c r="R1484" s="17" t="s">
        <v>35</v>
      </c>
      <c r="S1484" s="17" t="str">
        <f aca="false">VLOOKUP(R1484,Sheet2!N:O,2,0)</f>
        <v>IREPARABLE</v>
      </c>
      <c r="T1484" s="18" t="str">
        <f aca="false">VLOOKUP(P1484,Sheet2!Q:R,2,0)</f>
        <v>IR Normal - Track burn out</v>
      </c>
      <c r="U1484" s="18" t="s">
        <v>122</v>
      </c>
      <c r="V1484" s="17" t="n">
        <v>2</v>
      </c>
      <c r="W1484" s="20" t="str">
        <f aca="false">VLOOKUP(V1484,Sheet2!Q:R,2,0)</f>
        <v>IR CID -  Water log from other area</v>
      </c>
      <c r="X1484" s="17" t="str">
        <f aca="false">J1484</f>
        <v>A051</v>
      </c>
      <c r="Y1484" s="17" t="str">
        <f aca="false">VLOOKUP(X1484,Sheet2!A:B,2,0)</f>
        <v>AJAY KOSHTI</v>
      </c>
      <c r="Z1484" s="17" t="s">
        <v>266</v>
      </c>
      <c r="AA1484" s="17" t="s">
        <v>642</v>
      </c>
      <c r="AB1484" s="17" t="s">
        <v>41</v>
      </c>
      <c r="AC1484" s="0" t="str">
        <f aca="false">LEFT(G1484,2)</f>
        <v>86</v>
      </c>
      <c r="AE1484" s="21" t="s">
        <v>506</v>
      </c>
    </row>
    <row r="1485" customFormat="false" ht="15" hidden="false" customHeight="false" outlineLevel="0" collapsed="false">
      <c r="A1485" s="13" t="n">
        <f aca="false">1+A1484</f>
        <v>1483</v>
      </c>
      <c r="B1485" s="14" t="n">
        <v>1009622945</v>
      </c>
      <c r="C1485" s="17" t="s">
        <v>184</v>
      </c>
      <c r="D1485" s="16" t="s">
        <v>64</v>
      </c>
      <c r="E1485" s="17" t="s">
        <v>64</v>
      </c>
      <c r="F1485" s="18" t="s">
        <v>34</v>
      </c>
      <c r="G1485" s="19" t="n">
        <v>865166126942</v>
      </c>
      <c r="H1485" s="17" t="s">
        <v>35</v>
      </c>
      <c r="I1485" s="17" t="s">
        <v>72</v>
      </c>
      <c r="J1485" s="17" t="s">
        <v>289</v>
      </c>
      <c r="K1485" s="17" t="str">
        <f aca="false">VLOOKUP(J1485,Sheet2!A:B,2,0)</f>
        <v>AJAY KOSHTI</v>
      </c>
      <c r="L1485" s="17" t="n">
        <v>1</v>
      </c>
      <c r="M1485" s="17" t="str">
        <f aca="false">VLOOKUP(L1485,Sheet2!D:E,2,0)</f>
        <v>Power Supply Section</v>
      </c>
      <c r="N1485" s="17" t="n">
        <v>1</v>
      </c>
      <c r="O1485" s="17" t="str">
        <f aca="false">VLOOKUP(N1485,Sheet2!G:H,2,0)</f>
        <v>Dead</v>
      </c>
      <c r="P1485" s="17" t="n">
        <v>11</v>
      </c>
      <c r="Q1485" s="17" t="str">
        <f aca="false">VLOOKUP(P1485,Sheet2!J:K,2,0)</f>
        <v>IR Declared due to CID -TA</v>
      </c>
      <c r="R1485" s="17" t="s">
        <v>35</v>
      </c>
      <c r="S1485" s="17" t="str">
        <f aca="false">VLOOKUP(R1485,Sheet2!N:O,2,0)</f>
        <v>IREPARABLE</v>
      </c>
      <c r="T1485" s="18" t="str">
        <f aca="false">VLOOKUP(P1485,Sheet2!Q:R,2,0)</f>
        <v>IR Normal - Track burn out</v>
      </c>
      <c r="U1485" s="18" t="s">
        <v>122</v>
      </c>
      <c r="V1485" s="17" t="n">
        <v>2</v>
      </c>
      <c r="W1485" s="20" t="str">
        <f aca="false">VLOOKUP(V1485,Sheet2!Q:R,2,0)</f>
        <v>IR CID -  Water log from other area</v>
      </c>
      <c r="X1485" s="17" t="str">
        <f aca="false">J1485</f>
        <v>A051</v>
      </c>
      <c r="Y1485" s="17" t="str">
        <f aca="false">VLOOKUP(X1485,Sheet2!A:B,2,0)</f>
        <v>AJAY KOSHTI</v>
      </c>
      <c r="Z1485" s="17" t="s">
        <v>745</v>
      </c>
      <c r="AA1485" s="17" t="s">
        <v>642</v>
      </c>
      <c r="AB1485" s="17" t="s">
        <v>41</v>
      </c>
      <c r="AC1485" s="0" t="str">
        <f aca="false">LEFT(G1485,2)</f>
        <v>86</v>
      </c>
      <c r="AE1485" s="21" t="s">
        <v>506</v>
      </c>
    </row>
    <row r="1486" customFormat="false" ht="15" hidden="false" customHeight="false" outlineLevel="0" collapsed="false">
      <c r="A1486" s="13" t="n">
        <f aca="false">1+A1485</f>
        <v>1484</v>
      </c>
      <c r="B1486" s="14" t="n">
        <v>1009616911</v>
      </c>
      <c r="C1486" s="17" t="s">
        <v>184</v>
      </c>
      <c r="D1486" s="16" t="s">
        <v>64</v>
      </c>
      <c r="E1486" s="17" t="s">
        <v>64</v>
      </c>
      <c r="F1486" s="18" t="s">
        <v>34</v>
      </c>
      <c r="G1486" s="19" t="n">
        <v>865202244659</v>
      </c>
      <c r="H1486" s="17" t="s">
        <v>35</v>
      </c>
      <c r="I1486" s="17" t="s">
        <v>72</v>
      </c>
      <c r="J1486" s="17" t="s">
        <v>115</v>
      </c>
      <c r="K1486" s="17" t="str">
        <f aca="false">VLOOKUP(J1486,Sheet2!A:B,2,0)</f>
        <v>ANKIT RANA</v>
      </c>
      <c r="L1486" s="17" t="n">
        <v>2</v>
      </c>
      <c r="M1486" s="17" t="str">
        <f aca="false">VLOOKUP(L1486,Sheet2!D:E,2,0)</f>
        <v>Tuner Section</v>
      </c>
      <c r="N1486" s="17" t="n">
        <v>6</v>
      </c>
      <c r="O1486" s="17" t="str">
        <f aca="false">VLOOKUP(N1486,Sheet2!G:H,2,0)</f>
        <v>No Signal</v>
      </c>
      <c r="P1486" s="17" t="n">
        <v>11</v>
      </c>
      <c r="Q1486" s="17" t="str">
        <f aca="false">VLOOKUP(P1486,Sheet2!J:K,2,0)</f>
        <v>IR Declared due to CID -TA</v>
      </c>
      <c r="R1486" s="17" t="s">
        <v>35</v>
      </c>
      <c r="S1486" s="17" t="str">
        <f aca="false">VLOOKUP(R1486,Sheet2!N:O,2,0)</f>
        <v>IREPARABLE</v>
      </c>
      <c r="T1486" s="18" t="str">
        <f aca="false">VLOOKUP(P1486,Sheet2!Q:R,2,0)</f>
        <v>IR Normal - Track burn out</v>
      </c>
      <c r="U1486" s="20" t="s">
        <v>256</v>
      </c>
      <c r="V1486" s="17" t="n">
        <v>1</v>
      </c>
      <c r="W1486" s="20" t="str">
        <f aca="false">VLOOKUP(V1486,Sheet2!Q:R,2,0)</f>
        <v>IR CID -  Water log from IF port</v>
      </c>
      <c r="X1486" s="17" t="str">
        <f aca="false">J1486</f>
        <v>A042</v>
      </c>
      <c r="Y1486" s="17" t="str">
        <f aca="false">VLOOKUP(X1486,Sheet2!A:B,2,0)</f>
        <v>ANKIT RANA</v>
      </c>
      <c r="Z1486" s="17" t="s">
        <v>257</v>
      </c>
      <c r="AA1486" s="17" t="s">
        <v>642</v>
      </c>
      <c r="AB1486" s="17" t="s">
        <v>41</v>
      </c>
      <c r="AC1486" s="0" t="str">
        <f aca="false">LEFT(G1486,2)</f>
        <v>86</v>
      </c>
      <c r="AE1486" s="21" t="s">
        <v>506</v>
      </c>
    </row>
    <row r="1487" customFormat="false" ht="15" hidden="false" customHeight="false" outlineLevel="0" collapsed="false">
      <c r="A1487" s="13" t="n">
        <f aca="false">1+A1486</f>
        <v>1485</v>
      </c>
      <c r="B1487" s="14" t="n">
        <v>1009620504</v>
      </c>
      <c r="C1487" s="17" t="s">
        <v>184</v>
      </c>
      <c r="D1487" s="16" t="s">
        <v>746</v>
      </c>
      <c r="E1487" s="17" t="s">
        <v>47</v>
      </c>
      <c r="F1487" s="18" t="s">
        <v>34</v>
      </c>
      <c r="G1487" s="19" t="n">
        <v>866025177118</v>
      </c>
      <c r="H1487" s="17" t="s">
        <v>35</v>
      </c>
      <c r="I1487" s="17" t="s">
        <v>72</v>
      </c>
      <c r="J1487" s="17" t="s">
        <v>115</v>
      </c>
      <c r="K1487" s="17" t="str">
        <f aca="false">VLOOKUP(J1487,Sheet2!A:B,2,0)</f>
        <v>ANKIT RANA</v>
      </c>
      <c r="L1487" s="17" t="n">
        <v>1</v>
      </c>
      <c r="M1487" s="17" t="str">
        <f aca="false">VLOOKUP(L1487,Sheet2!D:E,2,0)</f>
        <v>Power Supply Section</v>
      </c>
      <c r="N1487" s="17" t="n">
        <v>1</v>
      </c>
      <c r="O1487" s="17" t="str">
        <f aca="false">VLOOKUP(N1487,Sheet2!G:H,2,0)</f>
        <v>Dead</v>
      </c>
      <c r="P1487" s="17" t="n">
        <v>11</v>
      </c>
      <c r="Q1487" s="17" t="str">
        <f aca="false">VLOOKUP(P1487,Sheet2!J:K,2,0)</f>
        <v>IR Declared due to CID -TA</v>
      </c>
      <c r="R1487" s="17" t="s">
        <v>35</v>
      </c>
      <c r="S1487" s="17" t="str">
        <f aca="false">VLOOKUP(R1487,Sheet2!N:O,2,0)</f>
        <v>IREPARABLE</v>
      </c>
      <c r="T1487" s="18" t="str">
        <f aca="false">VLOOKUP(P1487,Sheet2!Q:R,2,0)</f>
        <v>IR Normal - Track burn out</v>
      </c>
      <c r="U1487" s="18" t="s">
        <v>122</v>
      </c>
      <c r="V1487" s="17" t="n">
        <v>2</v>
      </c>
      <c r="W1487" s="20" t="str">
        <f aca="false">VLOOKUP(V1487,Sheet2!Q:R,2,0)</f>
        <v>IR CID -  Water log from other area</v>
      </c>
      <c r="X1487" s="17" t="str">
        <f aca="false">J1487</f>
        <v>A042</v>
      </c>
      <c r="Y1487" s="17" t="str">
        <f aca="false">VLOOKUP(X1487,Sheet2!A:B,2,0)</f>
        <v>ANKIT RANA</v>
      </c>
      <c r="Z1487" s="17" t="s">
        <v>276</v>
      </c>
      <c r="AA1487" s="17" t="s">
        <v>642</v>
      </c>
      <c r="AB1487" s="17" t="s">
        <v>41</v>
      </c>
      <c r="AC1487" s="0" t="str">
        <f aca="false">LEFT(G1487,2)</f>
        <v>86</v>
      </c>
      <c r="AE1487" s="21" t="s">
        <v>506</v>
      </c>
    </row>
    <row r="1488" customFormat="false" ht="15" hidden="false" customHeight="false" outlineLevel="0" collapsed="false">
      <c r="A1488" s="13" t="n">
        <f aca="false">1+A1487</f>
        <v>1486</v>
      </c>
      <c r="B1488" s="14" t="n">
        <v>1009577028</v>
      </c>
      <c r="C1488" s="17" t="s">
        <v>139</v>
      </c>
      <c r="D1488" s="16" t="s">
        <v>60</v>
      </c>
      <c r="E1488" s="17" t="s">
        <v>747</v>
      </c>
      <c r="F1488" s="18" t="s">
        <v>34</v>
      </c>
      <c r="G1488" s="19" t="n">
        <v>864349109719</v>
      </c>
      <c r="H1488" s="17" t="s">
        <v>35</v>
      </c>
      <c r="I1488" s="17" t="s">
        <v>72</v>
      </c>
      <c r="J1488" s="17" t="s">
        <v>100</v>
      </c>
      <c r="K1488" s="17" t="str">
        <f aca="false">VLOOKUP(J1488,Sheet2!A:B,2,0)</f>
        <v>PIYUSH CHAVDA</v>
      </c>
      <c r="L1488" s="17" t="n">
        <v>1</v>
      </c>
      <c r="M1488" s="17" t="str">
        <f aca="false">VLOOKUP(L1488,Sheet2!D:E,2,0)</f>
        <v>Power Supply Section</v>
      </c>
      <c r="N1488" s="17" t="n">
        <v>1</v>
      </c>
      <c r="O1488" s="17" t="str">
        <f aca="false">VLOOKUP(N1488,Sheet2!G:H,2,0)</f>
        <v>Dead</v>
      </c>
      <c r="P1488" s="17" t="n">
        <v>11</v>
      </c>
      <c r="Q1488" s="17" t="str">
        <f aca="false">VLOOKUP(P1488,Sheet2!J:K,2,0)</f>
        <v>IR Declared due to CID -TA</v>
      </c>
      <c r="R1488" s="17" t="s">
        <v>35</v>
      </c>
      <c r="S1488" s="17" t="str">
        <f aca="false">VLOOKUP(R1488,Sheet2!N:O,2,0)</f>
        <v>IREPARABLE</v>
      </c>
      <c r="T1488" s="18" t="str">
        <f aca="false">VLOOKUP(P1488,Sheet2!Q:R,2,0)</f>
        <v>IR Normal - Track burn out</v>
      </c>
      <c r="U1488" s="18" t="s">
        <v>122</v>
      </c>
      <c r="V1488" s="17" t="n">
        <v>2</v>
      </c>
      <c r="W1488" s="20" t="str">
        <f aca="false">VLOOKUP(V1488,Sheet2!Q:R,2,0)</f>
        <v>IR CID -  Water log from other area</v>
      </c>
      <c r="X1488" s="17" t="str">
        <f aca="false">J1488</f>
        <v>A050</v>
      </c>
      <c r="Y1488" s="17" t="str">
        <f aca="false">VLOOKUP(X1488,Sheet2!A:B,2,0)</f>
        <v>PIYUSH CHAVDA</v>
      </c>
      <c r="Z1488" s="17" t="s">
        <v>748</v>
      </c>
      <c r="AA1488" s="17" t="s">
        <v>642</v>
      </c>
      <c r="AB1488" s="17" t="s">
        <v>41</v>
      </c>
      <c r="AC1488" s="0" t="str">
        <f aca="false">LEFT(G1488,2)</f>
        <v>86</v>
      </c>
      <c r="AE1488" s="21" t="s">
        <v>506</v>
      </c>
    </row>
    <row r="1489" customFormat="false" ht="15" hidden="false" customHeight="false" outlineLevel="0" collapsed="false">
      <c r="A1489" s="13" t="n">
        <f aca="false">1+A1488</f>
        <v>1487</v>
      </c>
      <c r="B1489" s="14" t="n">
        <v>1009561047</v>
      </c>
      <c r="C1489" s="17" t="s">
        <v>192</v>
      </c>
      <c r="D1489" s="16" t="s">
        <v>64</v>
      </c>
      <c r="E1489" s="17" t="s">
        <v>33</v>
      </c>
      <c r="F1489" s="18" t="s">
        <v>34</v>
      </c>
      <c r="G1489" s="19" t="n">
        <v>865274243191</v>
      </c>
      <c r="H1489" s="17" t="s">
        <v>35</v>
      </c>
      <c r="I1489" s="17" t="s">
        <v>72</v>
      </c>
      <c r="J1489" s="17" t="s">
        <v>100</v>
      </c>
      <c r="K1489" s="17" t="str">
        <f aca="false">VLOOKUP(J1489,Sheet2!A:B,2,0)</f>
        <v>PIYUSH CHAVDA</v>
      </c>
      <c r="L1489" s="17" t="n">
        <v>1</v>
      </c>
      <c r="M1489" s="17" t="str">
        <f aca="false">VLOOKUP(L1489,Sheet2!D:E,2,0)</f>
        <v>Power Supply Section</v>
      </c>
      <c r="N1489" s="17" t="n">
        <v>1</v>
      </c>
      <c r="O1489" s="17" t="str">
        <f aca="false">VLOOKUP(N1489,Sheet2!G:H,2,0)</f>
        <v>Dead</v>
      </c>
      <c r="P1489" s="17" t="n">
        <v>11</v>
      </c>
      <c r="Q1489" s="17" t="str">
        <f aca="false">VLOOKUP(P1489,Sheet2!J:K,2,0)</f>
        <v>IR Declared due to CID -TA</v>
      </c>
      <c r="R1489" s="17" t="s">
        <v>35</v>
      </c>
      <c r="S1489" s="17" t="str">
        <f aca="false">VLOOKUP(R1489,Sheet2!N:O,2,0)</f>
        <v>IREPARABLE</v>
      </c>
      <c r="T1489" s="18" t="str">
        <f aca="false">VLOOKUP(P1489,Sheet2!Q:R,2,0)</f>
        <v>IR Normal - Track burn out</v>
      </c>
      <c r="U1489" s="18" t="s">
        <v>122</v>
      </c>
      <c r="V1489" s="17" t="n">
        <v>2</v>
      </c>
      <c r="W1489" s="20" t="str">
        <f aca="false">VLOOKUP(V1489,Sheet2!Q:R,2,0)</f>
        <v>IR CID -  Water log from other area</v>
      </c>
      <c r="X1489" s="17" t="str">
        <f aca="false">J1489</f>
        <v>A050</v>
      </c>
      <c r="Y1489" s="17" t="str">
        <f aca="false">VLOOKUP(X1489,Sheet2!A:B,2,0)</f>
        <v>PIYUSH CHAVDA</v>
      </c>
      <c r="Z1489" s="17" t="s">
        <v>749</v>
      </c>
      <c r="AA1489" s="17" t="s">
        <v>642</v>
      </c>
      <c r="AB1489" s="17" t="s">
        <v>41</v>
      </c>
      <c r="AC1489" s="0" t="str">
        <f aca="false">LEFT(G1489,2)</f>
        <v>86</v>
      </c>
      <c r="AE1489" s="21" t="s">
        <v>506</v>
      </c>
    </row>
    <row r="1490" customFormat="false" ht="15" hidden="false" customHeight="false" outlineLevel="0" collapsed="false">
      <c r="A1490" s="13" t="n">
        <f aca="false">1+A1489</f>
        <v>1488</v>
      </c>
      <c r="B1490" s="14" t="n">
        <v>1009606880</v>
      </c>
      <c r="C1490" s="17" t="s">
        <v>181</v>
      </c>
      <c r="D1490" s="16" t="s">
        <v>88</v>
      </c>
      <c r="E1490" s="17" t="s">
        <v>47</v>
      </c>
      <c r="F1490" s="18" t="s">
        <v>34</v>
      </c>
      <c r="G1490" s="19" t="n">
        <v>866091256085</v>
      </c>
      <c r="H1490" s="17" t="s">
        <v>35</v>
      </c>
      <c r="I1490" s="17" t="s">
        <v>72</v>
      </c>
      <c r="J1490" s="17" t="s">
        <v>100</v>
      </c>
      <c r="K1490" s="17" t="str">
        <f aca="false">VLOOKUP(J1490,Sheet2!A:B,2,0)</f>
        <v>PIYUSH CHAVDA</v>
      </c>
      <c r="L1490" s="17" t="n">
        <v>5</v>
      </c>
      <c r="M1490" s="17" t="str">
        <f aca="false">VLOOKUP(L1490,Sheet2!D:E,2,0)</f>
        <v>Main Processor CPU BGA</v>
      </c>
      <c r="N1490" s="17" t="n">
        <v>1</v>
      </c>
      <c r="O1490" s="17" t="str">
        <f aca="false">VLOOKUP(N1490,Sheet2!G:H,2,0)</f>
        <v>Dead</v>
      </c>
      <c r="P1490" s="17" t="n">
        <v>11</v>
      </c>
      <c r="Q1490" s="17" t="str">
        <f aca="false">VLOOKUP(P1490,Sheet2!J:K,2,0)</f>
        <v>IR Declared due to CID -TA</v>
      </c>
      <c r="R1490" s="17" t="s">
        <v>35</v>
      </c>
      <c r="S1490" s="17" t="str">
        <f aca="false">VLOOKUP(R1490,Sheet2!N:O,2,0)</f>
        <v>IREPARABLE</v>
      </c>
      <c r="T1490" s="18" t="str">
        <f aca="false">VLOOKUP(P1490,Sheet2!Q:R,2,0)</f>
        <v>IR Normal - Track burn out</v>
      </c>
      <c r="U1490" s="18" t="s">
        <v>122</v>
      </c>
      <c r="V1490" s="17" t="n">
        <v>2</v>
      </c>
      <c r="W1490" s="20" t="str">
        <f aca="false">VLOOKUP(V1490,Sheet2!Q:R,2,0)</f>
        <v>IR CID -  Water log from other area</v>
      </c>
      <c r="X1490" s="17" t="str">
        <f aca="false">J1490</f>
        <v>A050</v>
      </c>
      <c r="Y1490" s="17" t="str">
        <f aca="false">VLOOKUP(X1490,Sheet2!A:B,2,0)</f>
        <v>PIYUSH CHAVDA</v>
      </c>
      <c r="Z1490" s="17" t="s">
        <v>750</v>
      </c>
      <c r="AA1490" s="17" t="s">
        <v>642</v>
      </c>
      <c r="AB1490" s="17" t="s">
        <v>41</v>
      </c>
      <c r="AC1490" s="0" t="str">
        <f aca="false">LEFT(G1490,2)</f>
        <v>86</v>
      </c>
      <c r="AE1490" s="21" t="s">
        <v>506</v>
      </c>
    </row>
    <row r="1491" customFormat="false" ht="15" hidden="false" customHeight="false" outlineLevel="0" collapsed="false">
      <c r="A1491" s="13" t="n">
        <f aca="false">1+A1490</f>
        <v>1489</v>
      </c>
      <c r="B1491" s="14" t="n">
        <v>1009630730</v>
      </c>
      <c r="C1491" s="17" t="s">
        <v>182</v>
      </c>
      <c r="D1491" s="16" t="s">
        <v>64</v>
      </c>
      <c r="E1491" s="17" t="s">
        <v>33</v>
      </c>
      <c r="F1491" s="18" t="s">
        <v>34</v>
      </c>
      <c r="G1491" s="19" t="n">
        <v>866293115840</v>
      </c>
      <c r="H1491" s="17" t="s">
        <v>35</v>
      </c>
      <c r="I1491" s="17" t="s">
        <v>72</v>
      </c>
      <c r="J1491" s="17" t="s">
        <v>121</v>
      </c>
      <c r="K1491" s="17" t="str">
        <f aca="false">VLOOKUP(J1491,Sheet2!A:B,2,0)</f>
        <v>SHANI GOHIL</v>
      </c>
      <c r="L1491" s="17" t="n">
        <v>4</v>
      </c>
      <c r="M1491" s="17" t="str">
        <f aca="false">VLOOKUP(L1491,Sheet2!D:E,2,0)</f>
        <v>Audio Section</v>
      </c>
      <c r="N1491" s="17" t="n">
        <v>9</v>
      </c>
      <c r="O1491" s="17" t="str">
        <f aca="false">VLOOKUP(N1491,Sheet2!G:H,2,0)</f>
        <v>No Audio - AV</v>
      </c>
      <c r="P1491" s="17" t="n">
        <v>11</v>
      </c>
      <c r="Q1491" s="17" t="str">
        <f aca="false">VLOOKUP(P1491,Sheet2!J:K,2,0)</f>
        <v>IR Declared due to CID -TA</v>
      </c>
      <c r="R1491" s="17" t="s">
        <v>35</v>
      </c>
      <c r="S1491" s="17" t="str">
        <f aca="false">VLOOKUP(R1491,Sheet2!N:O,2,0)</f>
        <v>IREPARABLE</v>
      </c>
      <c r="T1491" s="18" t="str">
        <f aca="false">VLOOKUP(P1491,Sheet2!Q:R,2,0)</f>
        <v>IR Normal - Track burn out</v>
      </c>
      <c r="U1491" s="18" t="s">
        <v>122</v>
      </c>
      <c r="V1491" s="17" t="n">
        <v>2</v>
      </c>
      <c r="W1491" s="20" t="str">
        <f aca="false">VLOOKUP(V1491,Sheet2!Q:R,2,0)</f>
        <v>IR CID -  Water log from other area</v>
      </c>
      <c r="X1491" s="17" t="str">
        <f aca="false">J1491</f>
        <v>A063</v>
      </c>
      <c r="Y1491" s="17" t="str">
        <f aca="false">VLOOKUP(X1491,Sheet2!A:B,2,0)</f>
        <v>SHANI GOHIL</v>
      </c>
      <c r="Z1491" s="17" t="s">
        <v>751</v>
      </c>
      <c r="AA1491" s="17" t="s">
        <v>642</v>
      </c>
      <c r="AB1491" s="17" t="s">
        <v>41</v>
      </c>
      <c r="AC1491" s="0" t="str">
        <f aca="false">LEFT(G1491,2)</f>
        <v>86</v>
      </c>
      <c r="AE1491" s="21" t="s">
        <v>506</v>
      </c>
    </row>
    <row r="1492" customFormat="false" ht="15" hidden="false" customHeight="false" outlineLevel="0" collapsed="false">
      <c r="A1492" s="13" t="n">
        <f aca="false">1+A1491</f>
        <v>1490</v>
      </c>
      <c r="B1492" s="14" t="n">
        <v>1009613440</v>
      </c>
      <c r="C1492" s="17" t="s">
        <v>184</v>
      </c>
      <c r="D1492" s="16" t="s">
        <v>138</v>
      </c>
      <c r="E1492" s="17" t="s">
        <v>33</v>
      </c>
      <c r="F1492" s="18" t="s">
        <v>34</v>
      </c>
      <c r="G1492" s="19" t="n">
        <v>867100113077</v>
      </c>
      <c r="H1492" s="17" t="s">
        <v>35</v>
      </c>
      <c r="I1492" s="17" t="s">
        <v>72</v>
      </c>
      <c r="J1492" s="17" t="s">
        <v>121</v>
      </c>
      <c r="K1492" s="17" t="str">
        <f aca="false">VLOOKUP(J1492,Sheet2!A:B,2,0)</f>
        <v>SHANI GOHIL</v>
      </c>
      <c r="L1492" s="17" t="n">
        <v>5</v>
      </c>
      <c r="M1492" s="17" t="str">
        <f aca="false">VLOOKUP(L1492,Sheet2!D:E,2,0)</f>
        <v>Main Processor CPU BGA</v>
      </c>
      <c r="N1492" s="17" t="n">
        <v>24</v>
      </c>
      <c r="O1492" s="17" t="str">
        <f aca="false">VLOOKUP(N1492,Sheet2!G:H,2,0)</f>
        <v>STB Auto moving -Stand by mode</v>
      </c>
      <c r="P1492" s="17" t="n">
        <v>11</v>
      </c>
      <c r="Q1492" s="17" t="str">
        <f aca="false">VLOOKUP(P1492,Sheet2!J:K,2,0)</f>
        <v>IR Declared due to CID -TA</v>
      </c>
      <c r="R1492" s="17" t="s">
        <v>35</v>
      </c>
      <c r="S1492" s="17" t="str">
        <f aca="false">VLOOKUP(R1492,Sheet2!N:O,2,0)</f>
        <v>IREPARABLE</v>
      </c>
      <c r="T1492" s="18" t="str">
        <f aca="false">VLOOKUP(P1492,Sheet2!Q:R,2,0)</f>
        <v>IR Normal - Track burn out</v>
      </c>
      <c r="U1492" s="18" t="s">
        <v>38</v>
      </c>
      <c r="V1492" s="17" t="n">
        <v>4</v>
      </c>
      <c r="W1492" s="20" t="str">
        <f aca="false">VLOOKUP(V1492,Sheet2!Q:R,2,0)</f>
        <v>IR CID - Tampered Track burn out</v>
      </c>
      <c r="X1492" s="17" t="str">
        <f aca="false">J1492</f>
        <v>A063</v>
      </c>
      <c r="Y1492" s="17" t="str">
        <f aca="false">VLOOKUP(X1492,Sheet2!A:B,2,0)</f>
        <v>SHANI GOHIL</v>
      </c>
      <c r="Z1492" s="17" t="s">
        <v>752</v>
      </c>
      <c r="AA1492" s="17" t="s">
        <v>642</v>
      </c>
      <c r="AB1492" s="17" t="s">
        <v>41</v>
      </c>
      <c r="AC1492" s="0" t="str">
        <f aca="false">LEFT(G1492,2)</f>
        <v>86</v>
      </c>
      <c r="AE1492" s="21" t="s">
        <v>506</v>
      </c>
    </row>
    <row r="1493" customFormat="false" ht="15" hidden="false" customHeight="false" outlineLevel="0" collapsed="false">
      <c r="A1493" s="13" t="n">
        <f aca="false">1+A1492</f>
        <v>1491</v>
      </c>
      <c r="B1493" s="14" t="n">
        <v>1009632982</v>
      </c>
      <c r="C1493" s="17" t="s">
        <v>232</v>
      </c>
      <c r="D1493" s="16" t="s">
        <v>64</v>
      </c>
      <c r="E1493" s="17" t="s">
        <v>47</v>
      </c>
      <c r="F1493" s="18" t="s">
        <v>34</v>
      </c>
      <c r="G1493" s="19" t="n">
        <v>865248148831</v>
      </c>
      <c r="H1493" s="17" t="s">
        <v>35</v>
      </c>
      <c r="I1493" s="17" t="s">
        <v>72</v>
      </c>
      <c r="J1493" s="17" t="s">
        <v>111</v>
      </c>
      <c r="K1493" s="17" t="str">
        <f aca="false">VLOOKUP(J1493,Sheet2!A:B,2,0)</f>
        <v>NITIN PRANAMI</v>
      </c>
      <c r="L1493" s="17" t="n">
        <v>1</v>
      </c>
      <c r="M1493" s="17" t="str">
        <f aca="false">VLOOKUP(L1493,Sheet2!D:E,2,0)</f>
        <v>Power Supply Section</v>
      </c>
      <c r="N1493" s="17" t="n">
        <v>1</v>
      </c>
      <c r="O1493" s="17" t="str">
        <f aca="false">VLOOKUP(N1493,Sheet2!G:H,2,0)</f>
        <v>Dead</v>
      </c>
      <c r="P1493" s="17" t="n">
        <v>11</v>
      </c>
      <c r="Q1493" s="17" t="str">
        <f aca="false">VLOOKUP(P1493,Sheet2!J:K,2,0)</f>
        <v>IR Declared due to CID -TA</v>
      </c>
      <c r="R1493" s="17" t="s">
        <v>35</v>
      </c>
      <c r="S1493" s="17" t="str">
        <f aca="false">VLOOKUP(R1493,Sheet2!N:O,2,0)</f>
        <v>IREPARABLE</v>
      </c>
      <c r="T1493" s="18" t="str">
        <f aca="false">VLOOKUP(P1493,Sheet2!Q:R,2,0)</f>
        <v>IR Normal - Track burn out</v>
      </c>
      <c r="U1493" s="18" t="s">
        <v>122</v>
      </c>
      <c r="V1493" s="17" t="n">
        <v>2</v>
      </c>
      <c r="W1493" s="20" t="str">
        <f aca="false">VLOOKUP(V1493,Sheet2!Q:R,2,0)</f>
        <v>IR CID -  Water log from other area</v>
      </c>
      <c r="X1493" s="17" t="str">
        <f aca="false">J1493</f>
        <v>A031</v>
      </c>
      <c r="Y1493" s="17" t="str">
        <f aca="false">VLOOKUP(X1493,Sheet2!A:B,2,0)</f>
        <v>NITIN PRANAMI</v>
      </c>
      <c r="Z1493" s="17" t="s">
        <v>276</v>
      </c>
      <c r="AA1493" s="17" t="s">
        <v>642</v>
      </c>
      <c r="AB1493" s="17" t="s">
        <v>41</v>
      </c>
      <c r="AC1493" s="0" t="str">
        <f aca="false">LEFT(G1493,2)</f>
        <v>86</v>
      </c>
      <c r="AE1493" s="21" t="s">
        <v>506</v>
      </c>
    </row>
    <row r="1494" customFormat="false" ht="15" hidden="false" customHeight="false" outlineLevel="0" collapsed="false">
      <c r="A1494" s="13" t="n">
        <f aca="false">1+A1493</f>
        <v>1492</v>
      </c>
      <c r="B1494" s="14" t="n">
        <v>1009606327</v>
      </c>
      <c r="C1494" s="17" t="s">
        <v>181</v>
      </c>
      <c r="D1494" s="16" t="s">
        <v>64</v>
      </c>
      <c r="E1494" s="17" t="s">
        <v>47</v>
      </c>
      <c r="F1494" s="18" t="s">
        <v>34</v>
      </c>
      <c r="G1494" s="19" t="n">
        <v>867004116135</v>
      </c>
      <c r="H1494" s="17" t="s">
        <v>35</v>
      </c>
      <c r="I1494" s="17" t="s">
        <v>72</v>
      </c>
      <c r="J1494" s="17" t="s">
        <v>241</v>
      </c>
      <c r="K1494" s="17" t="str">
        <f aca="false">VLOOKUP(J1494,Sheet2!A:B,2,0)</f>
        <v>NILESH NAGAR</v>
      </c>
      <c r="L1494" s="17" t="n">
        <v>5</v>
      </c>
      <c r="M1494" s="17" t="str">
        <f aca="false">VLOOKUP(L1494,Sheet2!D:E,2,0)</f>
        <v>Main Processor CPU BGA</v>
      </c>
      <c r="N1494" s="17" t="n">
        <v>1</v>
      </c>
      <c r="O1494" s="17" t="str">
        <f aca="false">VLOOKUP(N1494,Sheet2!G:H,2,0)</f>
        <v>Dead</v>
      </c>
      <c r="P1494" s="17" t="n">
        <v>11</v>
      </c>
      <c r="Q1494" s="17" t="str">
        <f aca="false">VLOOKUP(P1494,Sheet2!J:K,2,0)</f>
        <v>IR Declared due to CID -TA</v>
      </c>
      <c r="R1494" s="17" t="s">
        <v>35</v>
      </c>
      <c r="S1494" s="17" t="str">
        <f aca="false">VLOOKUP(R1494,Sheet2!N:O,2,0)</f>
        <v>IREPARABLE</v>
      </c>
      <c r="T1494" s="18" t="str">
        <f aca="false">VLOOKUP(P1494,Sheet2!Q:R,2,0)</f>
        <v>IR Normal - Track burn out</v>
      </c>
      <c r="U1494" s="18" t="s">
        <v>122</v>
      </c>
      <c r="V1494" s="17" t="n">
        <v>2</v>
      </c>
      <c r="W1494" s="20" t="str">
        <f aca="false">VLOOKUP(V1494,Sheet2!Q:R,2,0)</f>
        <v>IR CID -  Water log from other area</v>
      </c>
      <c r="X1494" s="17" t="str">
        <f aca="false">J1494</f>
        <v>A008</v>
      </c>
      <c r="Y1494" s="17" t="str">
        <f aca="false">VLOOKUP(X1494,Sheet2!A:B,2,0)</f>
        <v>NILESH NAGAR</v>
      </c>
      <c r="Z1494" s="17" t="s">
        <v>753</v>
      </c>
      <c r="AA1494" s="17" t="s">
        <v>642</v>
      </c>
      <c r="AB1494" s="17" t="s">
        <v>41</v>
      </c>
      <c r="AC1494" s="0" t="str">
        <f aca="false">LEFT(G1494,2)</f>
        <v>86</v>
      </c>
      <c r="AE1494" s="21" t="s">
        <v>506</v>
      </c>
    </row>
    <row r="1495" customFormat="false" ht="15" hidden="false" customHeight="false" outlineLevel="0" collapsed="false">
      <c r="A1495" s="13" t="n">
        <f aca="false">1+A1494</f>
        <v>1493</v>
      </c>
      <c r="B1495" s="14" t="n">
        <v>1009678790</v>
      </c>
      <c r="C1495" s="17" t="s">
        <v>436</v>
      </c>
      <c r="D1495" s="16" t="s">
        <v>64</v>
      </c>
      <c r="E1495" s="17" t="s">
        <v>64</v>
      </c>
      <c r="F1495" s="18" t="s">
        <v>34</v>
      </c>
      <c r="G1495" s="19" t="n">
        <v>865347348001</v>
      </c>
      <c r="H1495" s="17" t="s">
        <v>35</v>
      </c>
      <c r="I1495" s="17" t="s">
        <v>72</v>
      </c>
      <c r="J1495" s="17" t="s">
        <v>241</v>
      </c>
      <c r="K1495" s="17" t="str">
        <f aca="false">VLOOKUP(J1495,Sheet2!A:B,2,0)</f>
        <v>NILESH NAGAR</v>
      </c>
      <c r="L1495" s="17" t="n">
        <v>5</v>
      </c>
      <c r="M1495" s="17" t="str">
        <f aca="false">VLOOKUP(L1495,Sheet2!D:E,2,0)</f>
        <v>Main Processor CPU BGA</v>
      </c>
      <c r="N1495" s="17" t="n">
        <v>1</v>
      </c>
      <c r="O1495" s="17" t="str">
        <f aca="false">VLOOKUP(N1495,Sheet2!G:H,2,0)</f>
        <v>Dead</v>
      </c>
      <c r="P1495" s="17" t="n">
        <v>11</v>
      </c>
      <c r="Q1495" s="17" t="str">
        <f aca="false">VLOOKUP(P1495,Sheet2!J:K,2,0)</f>
        <v>IR Declared due to CID -TA</v>
      </c>
      <c r="R1495" s="17" t="s">
        <v>35</v>
      </c>
      <c r="S1495" s="17" t="str">
        <f aca="false">VLOOKUP(R1495,Sheet2!N:O,2,0)</f>
        <v>IREPARABLE</v>
      </c>
      <c r="T1495" s="18" t="str">
        <f aca="false">VLOOKUP(P1495,Sheet2!Q:R,2,0)</f>
        <v>IR Normal - Track burn out</v>
      </c>
      <c r="U1495" s="20" t="s">
        <v>635</v>
      </c>
      <c r="V1495" s="17" t="n">
        <v>5</v>
      </c>
      <c r="W1495" s="20" t="str">
        <f aca="false">VLOOKUP(V1495,Sheet2!Q:R,2,0)</f>
        <v>IR CID - Water log fully due to Flood</v>
      </c>
      <c r="X1495" s="17" t="str">
        <f aca="false">J1495</f>
        <v>A008</v>
      </c>
      <c r="Y1495" s="17" t="str">
        <f aca="false">VLOOKUP(X1495,Sheet2!A:B,2,0)</f>
        <v>NILESH NAGAR</v>
      </c>
      <c r="Z1495" s="17" t="s">
        <v>754</v>
      </c>
      <c r="AA1495" s="17" t="s">
        <v>642</v>
      </c>
      <c r="AB1495" s="17" t="s">
        <v>41</v>
      </c>
      <c r="AC1495" s="0" t="str">
        <f aca="false">LEFT(G1495,2)</f>
        <v>86</v>
      </c>
      <c r="AE1495" s="21" t="s">
        <v>506</v>
      </c>
    </row>
    <row r="1496" customFormat="false" ht="15" hidden="false" customHeight="false" outlineLevel="0" collapsed="false">
      <c r="A1496" s="13" t="n">
        <f aca="false">1+A1495</f>
        <v>1494</v>
      </c>
      <c r="B1496" s="14" t="n">
        <v>1009607826</v>
      </c>
      <c r="C1496" s="17" t="s">
        <v>181</v>
      </c>
      <c r="D1496" s="16" t="s">
        <v>88</v>
      </c>
      <c r="E1496" s="17" t="s">
        <v>47</v>
      </c>
      <c r="F1496" s="18" t="s">
        <v>34</v>
      </c>
      <c r="G1496" s="19" t="n">
        <v>867032127435</v>
      </c>
      <c r="H1496" s="17" t="s">
        <v>35</v>
      </c>
      <c r="I1496" s="17" t="s">
        <v>72</v>
      </c>
      <c r="J1496" s="17" t="s">
        <v>241</v>
      </c>
      <c r="K1496" s="17" t="str">
        <f aca="false">VLOOKUP(J1496,Sheet2!A:B,2,0)</f>
        <v>NILESH NAGAR</v>
      </c>
      <c r="L1496" s="17" t="n">
        <v>5</v>
      </c>
      <c r="M1496" s="17" t="str">
        <f aca="false">VLOOKUP(L1496,Sheet2!D:E,2,0)</f>
        <v>Main Processor CPU BGA</v>
      </c>
      <c r="N1496" s="17" t="n">
        <v>1</v>
      </c>
      <c r="O1496" s="17" t="str">
        <f aca="false">VLOOKUP(N1496,Sheet2!G:H,2,0)</f>
        <v>Dead</v>
      </c>
      <c r="P1496" s="17" t="n">
        <v>11</v>
      </c>
      <c r="Q1496" s="17" t="str">
        <f aca="false">VLOOKUP(P1496,Sheet2!J:K,2,0)</f>
        <v>IR Declared due to CID -TA</v>
      </c>
      <c r="R1496" s="17" t="s">
        <v>35</v>
      </c>
      <c r="S1496" s="17" t="str">
        <f aca="false">VLOOKUP(R1496,Sheet2!N:O,2,0)</f>
        <v>IREPARABLE</v>
      </c>
      <c r="T1496" s="18" t="str">
        <f aca="false">VLOOKUP(P1496,Sheet2!Q:R,2,0)</f>
        <v>IR Normal - Track burn out</v>
      </c>
      <c r="U1496" s="18" t="s">
        <v>122</v>
      </c>
      <c r="V1496" s="17" t="n">
        <v>2</v>
      </c>
      <c r="W1496" s="20" t="str">
        <f aca="false">VLOOKUP(V1496,Sheet2!Q:R,2,0)</f>
        <v>IR CID -  Water log from other area</v>
      </c>
      <c r="X1496" s="17" t="str">
        <f aca="false">J1496</f>
        <v>A008</v>
      </c>
      <c r="Y1496" s="17" t="str">
        <f aca="false">VLOOKUP(X1496,Sheet2!A:B,2,0)</f>
        <v>NILESH NAGAR</v>
      </c>
      <c r="Z1496" s="17" t="s">
        <v>755</v>
      </c>
      <c r="AA1496" s="17" t="s">
        <v>642</v>
      </c>
      <c r="AB1496" s="17" t="s">
        <v>41</v>
      </c>
      <c r="AC1496" s="0" t="str">
        <f aca="false">LEFT(G1496,2)</f>
        <v>86</v>
      </c>
      <c r="AE1496" s="21" t="s">
        <v>506</v>
      </c>
    </row>
    <row r="1497" customFormat="false" ht="15" hidden="false" customHeight="false" outlineLevel="0" collapsed="false">
      <c r="A1497" s="13" t="n">
        <f aca="false">1+A1496</f>
        <v>1495</v>
      </c>
      <c r="B1497" s="14" t="n">
        <v>1009606453</v>
      </c>
      <c r="C1497" s="17" t="s">
        <v>181</v>
      </c>
      <c r="D1497" s="16" t="s">
        <v>119</v>
      </c>
      <c r="E1497" s="17" t="s">
        <v>47</v>
      </c>
      <c r="F1497" s="18" t="s">
        <v>34</v>
      </c>
      <c r="G1497" s="19" t="n">
        <v>865327150724</v>
      </c>
      <c r="H1497" s="17" t="s">
        <v>35</v>
      </c>
      <c r="I1497" s="17" t="s">
        <v>72</v>
      </c>
      <c r="J1497" s="17" t="s">
        <v>115</v>
      </c>
      <c r="K1497" s="17" t="str">
        <f aca="false">VLOOKUP(J1497,Sheet2!A:B,2,0)</f>
        <v>ANKIT RANA</v>
      </c>
      <c r="L1497" s="17" t="n">
        <v>5</v>
      </c>
      <c r="M1497" s="17" t="str">
        <f aca="false">VLOOKUP(L1497,Sheet2!D:E,2,0)</f>
        <v>Main Processor CPU BGA</v>
      </c>
      <c r="N1497" s="17" t="n">
        <v>1</v>
      </c>
      <c r="O1497" s="17" t="str">
        <f aca="false">VLOOKUP(N1497,Sheet2!G:H,2,0)</f>
        <v>Dead</v>
      </c>
      <c r="P1497" s="17" t="n">
        <v>11</v>
      </c>
      <c r="Q1497" s="17" t="str">
        <f aca="false">VLOOKUP(P1497,Sheet2!J:K,2,0)</f>
        <v>IR Declared due to CID -TA</v>
      </c>
      <c r="R1497" s="17" t="s">
        <v>35</v>
      </c>
      <c r="S1497" s="17" t="str">
        <f aca="false">VLOOKUP(R1497,Sheet2!N:O,2,0)</f>
        <v>IREPARABLE</v>
      </c>
      <c r="T1497" s="18" t="str">
        <f aca="false">VLOOKUP(P1497,Sheet2!Q:R,2,0)</f>
        <v>IR Normal - Track burn out</v>
      </c>
      <c r="U1497" s="18" t="s">
        <v>122</v>
      </c>
      <c r="V1497" s="17" t="n">
        <v>2</v>
      </c>
      <c r="W1497" s="20" t="str">
        <f aca="false">VLOOKUP(V1497,Sheet2!Q:R,2,0)</f>
        <v>IR CID -  Water log from other area</v>
      </c>
      <c r="X1497" s="17" t="str">
        <f aca="false">J1497</f>
        <v>A042</v>
      </c>
      <c r="Y1497" s="17" t="str">
        <f aca="false">VLOOKUP(X1497,Sheet2!A:B,2,0)</f>
        <v>ANKIT RANA</v>
      </c>
      <c r="Z1497" s="17" t="s">
        <v>756</v>
      </c>
      <c r="AA1497" s="17" t="s">
        <v>642</v>
      </c>
      <c r="AB1497" s="17" t="s">
        <v>41</v>
      </c>
      <c r="AC1497" s="0" t="str">
        <f aca="false">LEFT(G1497,2)</f>
        <v>86</v>
      </c>
      <c r="AE1497" s="21" t="s">
        <v>506</v>
      </c>
    </row>
    <row r="1498" customFormat="false" ht="15" hidden="false" customHeight="false" outlineLevel="0" collapsed="false">
      <c r="A1498" s="13" t="n">
        <f aca="false">1+A1497</f>
        <v>1496</v>
      </c>
      <c r="B1498" s="14" t="n">
        <v>1009607584</v>
      </c>
      <c r="C1498" s="17" t="s">
        <v>181</v>
      </c>
      <c r="D1498" s="16" t="s">
        <v>64</v>
      </c>
      <c r="E1498" s="17" t="s">
        <v>64</v>
      </c>
      <c r="F1498" s="18" t="s">
        <v>34</v>
      </c>
      <c r="G1498" s="19" t="n">
        <v>867244148021</v>
      </c>
      <c r="H1498" s="17" t="s">
        <v>35</v>
      </c>
      <c r="I1498" s="17" t="s">
        <v>72</v>
      </c>
      <c r="J1498" s="17" t="s">
        <v>100</v>
      </c>
      <c r="K1498" s="17" t="str">
        <f aca="false">VLOOKUP(J1498,Sheet2!A:B,2,0)</f>
        <v>PIYUSH CHAVDA</v>
      </c>
      <c r="L1498" s="17" t="n">
        <v>1</v>
      </c>
      <c r="M1498" s="17" t="str">
        <f aca="false">VLOOKUP(L1498,Sheet2!D:E,2,0)</f>
        <v>Power Supply Section</v>
      </c>
      <c r="N1498" s="17" t="n">
        <v>1</v>
      </c>
      <c r="O1498" s="17" t="str">
        <f aca="false">VLOOKUP(N1498,Sheet2!G:H,2,0)</f>
        <v>Dead</v>
      </c>
      <c r="P1498" s="17" t="n">
        <v>11</v>
      </c>
      <c r="Q1498" s="17" t="str">
        <f aca="false">VLOOKUP(P1498,Sheet2!J:K,2,0)</f>
        <v>IR Declared due to CID -TA</v>
      </c>
      <c r="R1498" s="17" t="s">
        <v>35</v>
      </c>
      <c r="S1498" s="17" t="str">
        <f aca="false">VLOOKUP(R1498,Sheet2!N:O,2,0)</f>
        <v>IREPARABLE</v>
      </c>
      <c r="T1498" s="18" t="str">
        <f aca="false">VLOOKUP(P1498,Sheet2!Q:R,2,0)</f>
        <v>IR Normal - Track burn out</v>
      </c>
      <c r="U1498" s="18" t="s">
        <v>122</v>
      </c>
      <c r="V1498" s="17" t="n">
        <v>2</v>
      </c>
      <c r="W1498" s="20" t="str">
        <f aca="false">VLOOKUP(V1498,Sheet2!Q:R,2,0)</f>
        <v>IR CID -  Water log from other area</v>
      </c>
      <c r="X1498" s="17" t="str">
        <f aca="false">J1498</f>
        <v>A050</v>
      </c>
      <c r="Y1498" s="17" t="str">
        <f aca="false">VLOOKUP(X1498,Sheet2!A:B,2,0)</f>
        <v>PIYUSH CHAVDA</v>
      </c>
      <c r="Z1498" s="17" t="s">
        <v>757</v>
      </c>
      <c r="AA1498" s="17" t="s">
        <v>642</v>
      </c>
      <c r="AB1498" s="17" t="s">
        <v>41</v>
      </c>
      <c r="AC1498" s="0" t="str">
        <f aca="false">LEFT(G1498,2)</f>
        <v>86</v>
      </c>
      <c r="AE1498" s="21" t="s">
        <v>506</v>
      </c>
    </row>
    <row r="1499" customFormat="false" ht="15" hidden="false" customHeight="false" outlineLevel="0" collapsed="false">
      <c r="A1499" s="13" t="n">
        <f aca="false">1+A1498</f>
        <v>1497</v>
      </c>
      <c r="B1499" s="14" t="n">
        <v>1009562364</v>
      </c>
      <c r="C1499" s="17" t="s">
        <v>192</v>
      </c>
      <c r="D1499" s="16" t="s">
        <v>64</v>
      </c>
      <c r="E1499" s="17" t="s">
        <v>64</v>
      </c>
      <c r="F1499" s="18" t="s">
        <v>34</v>
      </c>
      <c r="G1499" s="19" t="n">
        <v>867298147986</v>
      </c>
      <c r="H1499" s="17" t="s">
        <v>35</v>
      </c>
      <c r="I1499" s="17" t="s">
        <v>72</v>
      </c>
      <c r="J1499" s="17" t="s">
        <v>100</v>
      </c>
      <c r="K1499" s="17" t="str">
        <f aca="false">VLOOKUP(J1499,Sheet2!A:B,2,0)</f>
        <v>PIYUSH CHAVDA</v>
      </c>
      <c r="L1499" s="17" t="n">
        <v>1</v>
      </c>
      <c r="M1499" s="17" t="str">
        <f aca="false">VLOOKUP(L1499,Sheet2!D:E,2,0)</f>
        <v>Power Supply Section</v>
      </c>
      <c r="N1499" s="17" t="n">
        <v>1</v>
      </c>
      <c r="O1499" s="17" t="str">
        <f aca="false">VLOOKUP(N1499,Sheet2!G:H,2,0)</f>
        <v>Dead</v>
      </c>
      <c r="P1499" s="17" t="n">
        <v>11</v>
      </c>
      <c r="Q1499" s="17" t="str">
        <f aca="false">VLOOKUP(P1499,Sheet2!J:K,2,0)</f>
        <v>IR Declared due to CID -TA</v>
      </c>
      <c r="R1499" s="17" t="s">
        <v>35</v>
      </c>
      <c r="S1499" s="17" t="str">
        <f aca="false">VLOOKUP(R1499,Sheet2!N:O,2,0)</f>
        <v>IREPARABLE</v>
      </c>
      <c r="T1499" s="18" t="str">
        <f aca="false">VLOOKUP(P1499,Sheet2!Q:R,2,0)</f>
        <v>IR Normal - Track burn out</v>
      </c>
      <c r="U1499" s="18" t="s">
        <v>122</v>
      </c>
      <c r="V1499" s="17" t="n">
        <v>2</v>
      </c>
      <c r="W1499" s="20" t="str">
        <f aca="false">VLOOKUP(V1499,Sheet2!Q:R,2,0)</f>
        <v>IR CID -  Water log from other area</v>
      </c>
      <c r="X1499" s="17" t="str">
        <f aca="false">J1499</f>
        <v>A050</v>
      </c>
      <c r="Y1499" s="17" t="str">
        <f aca="false">VLOOKUP(X1499,Sheet2!A:B,2,0)</f>
        <v>PIYUSH CHAVDA</v>
      </c>
      <c r="Z1499" s="17" t="s">
        <v>285</v>
      </c>
      <c r="AA1499" s="17" t="s">
        <v>642</v>
      </c>
      <c r="AB1499" s="17" t="s">
        <v>41</v>
      </c>
      <c r="AC1499" s="0" t="str">
        <f aca="false">LEFT(G1499,2)</f>
        <v>86</v>
      </c>
      <c r="AE1499" s="21" t="s">
        <v>506</v>
      </c>
    </row>
    <row r="1500" customFormat="false" ht="15" hidden="false" customHeight="false" outlineLevel="0" collapsed="false">
      <c r="A1500" s="13" t="n">
        <f aca="false">1+A1499</f>
        <v>1498</v>
      </c>
      <c r="B1500" s="14" t="n">
        <v>1009684328</v>
      </c>
      <c r="C1500" s="17" t="s">
        <v>413</v>
      </c>
      <c r="D1500" s="16" t="s">
        <v>183</v>
      </c>
      <c r="E1500" s="17" t="s">
        <v>47</v>
      </c>
      <c r="F1500" s="18" t="s">
        <v>34</v>
      </c>
      <c r="G1500" s="19" t="n">
        <v>867039155116</v>
      </c>
      <c r="H1500" s="17" t="s">
        <v>35</v>
      </c>
      <c r="I1500" s="17" t="s">
        <v>72</v>
      </c>
      <c r="J1500" s="17" t="s">
        <v>241</v>
      </c>
      <c r="K1500" s="17" t="str">
        <f aca="false">VLOOKUP(J1500,Sheet2!A:B,2,0)</f>
        <v>NILESH NAGAR</v>
      </c>
      <c r="L1500" s="17" t="n">
        <v>5</v>
      </c>
      <c r="M1500" s="17" t="str">
        <f aca="false">VLOOKUP(L1500,Sheet2!D:E,2,0)</f>
        <v>Main Processor CPU BGA</v>
      </c>
      <c r="N1500" s="17" t="n">
        <v>1</v>
      </c>
      <c r="O1500" s="17" t="str">
        <f aca="false">VLOOKUP(N1500,Sheet2!G:H,2,0)</f>
        <v>Dead</v>
      </c>
      <c r="P1500" s="17" t="n">
        <v>12</v>
      </c>
      <c r="Q1500" s="17" t="str">
        <f aca="false">VLOOKUP(P1500,Sheet2!J:K,2,0)</f>
        <v>IR Declared due to Others ( IR Normal)TB</v>
      </c>
      <c r="R1500" s="17" t="s">
        <v>35</v>
      </c>
      <c r="S1500" s="17" t="str">
        <f aca="false">VLOOKUP(R1500,Sheet2!N:O,2,0)</f>
        <v>IREPARABLE</v>
      </c>
      <c r="T1500" s="18" t="str">
        <f aca="false">VLOOKUP(P1500,Sheet2!Q:R,2,0)</f>
        <v>IR Normal - BER to IR</v>
      </c>
      <c r="U1500" s="18" t="s">
        <v>101</v>
      </c>
      <c r="V1500" s="17" t="n">
        <v>8</v>
      </c>
      <c r="W1500" s="20" t="str">
        <f aca="false">VLOOKUP(V1500,Sheet2!Q:R,2,0)</f>
        <v>IR Normal -TrackRust/InternalDamage/open</v>
      </c>
      <c r="X1500" s="17" t="str">
        <f aca="false">J1500</f>
        <v>A008</v>
      </c>
      <c r="Y1500" s="17" t="str">
        <f aca="false">VLOOKUP(X1500,Sheet2!A:B,2,0)</f>
        <v>NILESH NAGAR</v>
      </c>
      <c r="Z1500" s="17" t="s">
        <v>276</v>
      </c>
      <c r="AA1500" s="17" t="s">
        <v>642</v>
      </c>
      <c r="AB1500" s="17" t="s">
        <v>41</v>
      </c>
      <c r="AC1500" s="0" t="str">
        <f aca="false">LEFT(G1500,2)</f>
        <v>86</v>
      </c>
      <c r="AE1500" s="21" t="s">
        <v>506</v>
      </c>
    </row>
    <row r="1501" customFormat="false" ht="15" hidden="false" customHeight="false" outlineLevel="0" collapsed="false">
      <c r="A1501" s="13" t="n">
        <f aca="false">1+A1500</f>
        <v>1499</v>
      </c>
      <c r="B1501" s="14" t="n">
        <v>1009632390</v>
      </c>
      <c r="C1501" s="17" t="s">
        <v>182</v>
      </c>
      <c r="D1501" s="16" t="s">
        <v>64</v>
      </c>
      <c r="E1501" s="17" t="s">
        <v>64</v>
      </c>
      <c r="F1501" s="18" t="s">
        <v>34</v>
      </c>
      <c r="G1501" s="19" t="n">
        <v>864218110681</v>
      </c>
      <c r="H1501" s="17" t="s">
        <v>35</v>
      </c>
      <c r="I1501" s="17" t="s">
        <v>72</v>
      </c>
      <c r="J1501" s="17" t="s">
        <v>241</v>
      </c>
      <c r="K1501" s="17" t="str">
        <f aca="false">VLOOKUP(J1501,Sheet2!A:B,2,0)</f>
        <v>NILESH NAGAR</v>
      </c>
      <c r="L1501" s="17" t="n">
        <v>5</v>
      </c>
      <c r="M1501" s="17" t="str">
        <f aca="false">VLOOKUP(L1501,Sheet2!D:E,2,0)</f>
        <v>Main Processor CPU BGA</v>
      </c>
      <c r="N1501" s="17" t="n">
        <v>1</v>
      </c>
      <c r="O1501" s="17" t="str">
        <f aca="false">VLOOKUP(N1501,Sheet2!G:H,2,0)</f>
        <v>Dead</v>
      </c>
      <c r="P1501" s="17" t="n">
        <v>11</v>
      </c>
      <c r="Q1501" s="17" t="str">
        <f aca="false">VLOOKUP(P1501,Sheet2!J:K,2,0)</f>
        <v>IR Declared due to CID -TA</v>
      </c>
      <c r="R1501" s="17" t="s">
        <v>35</v>
      </c>
      <c r="S1501" s="17" t="str">
        <f aca="false">VLOOKUP(R1501,Sheet2!N:O,2,0)</f>
        <v>IREPARABLE</v>
      </c>
      <c r="T1501" s="18" t="str">
        <f aca="false">VLOOKUP(P1501,Sheet2!Q:R,2,0)</f>
        <v>IR Normal - Track burn out</v>
      </c>
      <c r="U1501" s="18" t="s">
        <v>122</v>
      </c>
      <c r="V1501" s="17" t="n">
        <v>2</v>
      </c>
      <c r="W1501" s="20" t="str">
        <f aca="false">VLOOKUP(V1501,Sheet2!Q:R,2,0)</f>
        <v>IR CID -  Water log from other area</v>
      </c>
      <c r="X1501" s="17" t="str">
        <f aca="false">J1501</f>
        <v>A008</v>
      </c>
      <c r="Y1501" s="17" t="str">
        <f aca="false">VLOOKUP(X1501,Sheet2!A:B,2,0)</f>
        <v>NILESH NAGAR</v>
      </c>
      <c r="Z1501" s="17" t="s">
        <v>574</v>
      </c>
      <c r="AA1501" s="17" t="s">
        <v>642</v>
      </c>
      <c r="AB1501" s="17" t="s">
        <v>41</v>
      </c>
      <c r="AC1501" s="0" t="str">
        <f aca="false">LEFT(G1501,2)</f>
        <v>86</v>
      </c>
      <c r="AE1501" s="21" t="s">
        <v>506</v>
      </c>
    </row>
    <row r="1502" customFormat="false" ht="15" hidden="false" customHeight="false" outlineLevel="0" collapsed="false">
      <c r="A1502" s="13" t="n">
        <f aca="false">1+A1501</f>
        <v>1500</v>
      </c>
      <c r="B1502" s="14" t="n">
        <v>1009154178</v>
      </c>
      <c r="C1502" s="17" t="s">
        <v>758</v>
      </c>
      <c r="D1502" s="16" t="s">
        <v>64</v>
      </c>
      <c r="E1502" s="17" t="s">
        <v>64</v>
      </c>
      <c r="F1502" s="18" t="s">
        <v>34</v>
      </c>
      <c r="G1502" s="19" t="n">
        <v>867028147496</v>
      </c>
      <c r="H1502" s="17" t="s">
        <v>35</v>
      </c>
      <c r="I1502" s="17" t="s">
        <v>72</v>
      </c>
      <c r="J1502" s="17" t="s">
        <v>106</v>
      </c>
      <c r="K1502" s="17" t="str">
        <f aca="false">VLOOKUP(J1502,Sheet2!A:B,2,0)</f>
        <v>PRAKASH CHAVDA</v>
      </c>
      <c r="L1502" s="17" t="n">
        <v>2</v>
      </c>
      <c r="M1502" s="17" t="str">
        <f aca="false">VLOOKUP(L1502,Sheet2!D:E,2,0)</f>
        <v>Tuner Section</v>
      </c>
      <c r="N1502" s="17" t="n">
        <v>6</v>
      </c>
      <c r="O1502" s="17" t="str">
        <f aca="false">VLOOKUP(N1502,Sheet2!G:H,2,0)</f>
        <v>No Signal</v>
      </c>
      <c r="P1502" s="17" t="n">
        <v>12</v>
      </c>
      <c r="Q1502" s="17" t="str">
        <f aca="false">VLOOKUP(P1502,Sheet2!J:K,2,0)</f>
        <v>IR Declared due to Others ( IR Normal)TB</v>
      </c>
      <c r="R1502" s="17" t="s">
        <v>35</v>
      </c>
      <c r="S1502" s="17" t="str">
        <f aca="false">VLOOKUP(R1502,Sheet2!N:O,2,0)</f>
        <v>IREPARABLE</v>
      </c>
      <c r="T1502" s="18" t="str">
        <f aca="false">VLOOKUP(P1502,Sheet2!Q:R,2,0)</f>
        <v>IR Normal - BER to IR</v>
      </c>
      <c r="U1502" s="15" t="s">
        <v>38</v>
      </c>
      <c r="V1502" s="17" t="n">
        <v>11</v>
      </c>
      <c r="W1502" s="20" t="str">
        <f aca="false">VLOOKUP(V1502,Sheet2!Q:R,2,0)</f>
        <v>IR Normal - Track burn out</v>
      </c>
      <c r="X1502" s="17" t="str">
        <f aca="false">J1502</f>
        <v>A018</v>
      </c>
      <c r="Y1502" s="17" t="str">
        <f aca="false">VLOOKUP(X1502,Sheet2!A:B,2,0)</f>
        <v>PRAKASH CHAVDA</v>
      </c>
      <c r="Z1502" s="17" t="s">
        <v>251</v>
      </c>
      <c r="AA1502" s="17" t="s">
        <v>642</v>
      </c>
      <c r="AB1502" s="17" t="s">
        <v>41</v>
      </c>
      <c r="AC1502" s="0" t="str">
        <f aca="false">LEFT(G1502,2)</f>
        <v>86</v>
      </c>
      <c r="AE1502" s="21" t="s">
        <v>506</v>
      </c>
    </row>
    <row r="1503" customFormat="false" ht="15" hidden="false" customHeight="false" outlineLevel="0" collapsed="false">
      <c r="A1503" s="13" t="n">
        <f aca="false">1+A1502</f>
        <v>1501</v>
      </c>
      <c r="B1503" s="14" t="n">
        <v>1009614525</v>
      </c>
      <c r="C1503" s="17" t="s">
        <v>184</v>
      </c>
      <c r="D1503" s="16" t="s">
        <v>56</v>
      </c>
      <c r="E1503" s="17" t="s">
        <v>47</v>
      </c>
      <c r="F1503" s="18" t="s">
        <v>34</v>
      </c>
      <c r="G1503" s="19" t="n">
        <v>867177101419</v>
      </c>
      <c r="H1503" s="17" t="s">
        <v>35</v>
      </c>
      <c r="I1503" s="17" t="s">
        <v>72</v>
      </c>
      <c r="J1503" s="17" t="s">
        <v>111</v>
      </c>
      <c r="K1503" s="17" t="str">
        <f aca="false">VLOOKUP(J1503,Sheet2!A:B,2,0)</f>
        <v>NITIN PRANAMI</v>
      </c>
      <c r="L1503" s="17" t="n">
        <v>1</v>
      </c>
      <c r="M1503" s="17" t="str">
        <f aca="false">VLOOKUP(L1503,Sheet2!D:E,2,0)</f>
        <v>Power Supply Section</v>
      </c>
      <c r="N1503" s="17" t="n">
        <v>1</v>
      </c>
      <c r="O1503" s="17" t="str">
        <f aca="false">VLOOKUP(N1503,Sheet2!G:H,2,0)</f>
        <v>Dead</v>
      </c>
      <c r="P1503" s="17" t="n">
        <v>11</v>
      </c>
      <c r="Q1503" s="17" t="str">
        <f aca="false">VLOOKUP(P1503,Sheet2!J:K,2,0)</f>
        <v>IR Declared due to CID -TA</v>
      </c>
      <c r="R1503" s="17" t="s">
        <v>35</v>
      </c>
      <c r="S1503" s="17" t="str">
        <f aca="false">VLOOKUP(R1503,Sheet2!N:O,2,0)</f>
        <v>IREPARABLE</v>
      </c>
      <c r="T1503" s="18" t="str">
        <f aca="false">VLOOKUP(P1503,Sheet2!Q:R,2,0)</f>
        <v>IR Normal - Track burn out</v>
      </c>
      <c r="U1503" s="18" t="s">
        <v>122</v>
      </c>
      <c r="V1503" s="17" t="n">
        <v>2</v>
      </c>
      <c r="W1503" s="20" t="str">
        <f aca="false">VLOOKUP(V1503,Sheet2!Q:R,2,0)</f>
        <v>IR CID -  Water log from other area</v>
      </c>
      <c r="X1503" s="17" t="str">
        <f aca="false">J1503</f>
        <v>A031</v>
      </c>
      <c r="Y1503" s="17" t="str">
        <f aca="false">VLOOKUP(X1503,Sheet2!A:B,2,0)</f>
        <v>NITIN PRANAMI</v>
      </c>
      <c r="Z1503" s="17" t="s">
        <v>759</v>
      </c>
      <c r="AA1503" s="17" t="s">
        <v>642</v>
      </c>
      <c r="AB1503" s="17" t="s">
        <v>41</v>
      </c>
      <c r="AC1503" s="0" t="str">
        <f aca="false">LEFT(G1503,2)</f>
        <v>86</v>
      </c>
      <c r="AE1503" s="21" t="s">
        <v>506</v>
      </c>
    </row>
    <row r="1504" customFormat="false" ht="15" hidden="false" customHeight="false" outlineLevel="0" collapsed="false">
      <c r="A1504" s="13" t="n">
        <f aca="false">1+A1503</f>
        <v>1502</v>
      </c>
      <c r="B1504" s="14" t="n">
        <v>10096599966</v>
      </c>
      <c r="C1504" s="17" t="s">
        <v>159</v>
      </c>
      <c r="D1504" s="16" t="s">
        <v>64</v>
      </c>
      <c r="E1504" s="17" t="s">
        <v>64</v>
      </c>
      <c r="F1504" s="18" t="s">
        <v>34</v>
      </c>
      <c r="G1504" s="19" t="n">
        <v>866357212129</v>
      </c>
      <c r="H1504" s="17" t="s">
        <v>35</v>
      </c>
      <c r="I1504" s="17" t="s">
        <v>72</v>
      </c>
      <c r="J1504" s="17" t="s">
        <v>111</v>
      </c>
      <c r="K1504" s="17" t="str">
        <f aca="false">VLOOKUP(J1504,Sheet2!A:B,2,0)</f>
        <v>NITIN PRANAMI</v>
      </c>
      <c r="L1504" s="17" t="n">
        <v>1</v>
      </c>
      <c r="M1504" s="17" t="str">
        <f aca="false">VLOOKUP(L1504,Sheet2!D:E,2,0)</f>
        <v>Power Supply Section</v>
      </c>
      <c r="N1504" s="17" t="n">
        <v>1</v>
      </c>
      <c r="O1504" s="17" t="str">
        <f aca="false">VLOOKUP(N1504,Sheet2!G:H,2,0)</f>
        <v>Dead</v>
      </c>
      <c r="P1504" s="17" t="n">
        <v>11</v>
      </c>
      <c r="Q1504" s="17" t="str">
        <f aca="false">VLOOKUP(P1504,Sheet2!J:K,2,0)</f>
        <v>IR Declared due to CID -TA</v>
      </c>
      <c r="R1504" s="17" t="s">
        <v>35</v>
      </c>
      <c r="S1504" s="17" t="str">
        <f aca="false">VLOOKUP(R1504,Sheet2!N:O,2,0)</f>
        <v>IREPARABLE</v>
      </c>
      <c r="T1504" s="18" t="str">
        <f aca="false">VLOOKUP(P1504,Sheet2!Q:R,2,0)</f>
        <v>IR Normal - Track burn out</v>
      </c>
      <c r="U1504" s="18" t="s">
        <v>122</v>
      </c>
      <c r="V1504" s="17" t="n">
        <v>2</v>
      </c>
      <c r="W1504" s="20" t="str">
        <f aca="false">VLOOKUP(V1504,Sheet2!Q:R,2,0)</f>
        <v>IR CID -  Water log from other area</v>
      </c>
      <c r="X1504" s="17" t="str">
        <f aca="false">J1504</f>
        <v>A031</v>
      </c>
      <c r="Y1504" s="17" t="str">
        <f aca="false">VLOOKUP(X1504,Sheet2!A:B,2,0)</f>
        <v>NITIN PRANAMI</v>
      </c>
      <c r="Z1504" s="17" t="s">
        <v>760</v>
      </c>
      <c r="AA1504" s="17" t="s">
        <v>642</v>
      </c>
      <c r="AB1504" s="17" t="s">
        <v>41</v>
      </c>
      <c r="AC1504" s="0" t="str">
        <f aca="false">LEFT(G1504,2)</f>
        <v>86</v>
      </c>
      <c r="AE1504" s="21" t="s">
        <v>506</v>
      </c>
    </row>
    <row r="1505" customFormat="false" ht="15" hidden="false" customHeight="false" outlineLevel="0" collapsed="false">
      <c r="A1505" s="13" t="n">
        <f aca="false">1+A1504</f>
        <v>1503</v>
      </c>
      <c r="B1505" s="14" t="n">
        <v>1009646317</v>
      </c>
      <c r="C1505" s="17" t="s">
        <v>204</v>
      </c>
      <c r="D1505" s="16" t="s">
        <v>64</v>
      </c>
      <c r="E1505" s="17" t="s">
        <v>64</v>
      </c>
      <c r="F1505" s="18" t="s">
        <v>34</v>
      </c>
      <c r="G1505" s="19" t="n">
        <v>865277333379</v>
      </c>
      <c r="H1505" s="17" t="s">
        <v>35</v>
      </c>
      <c r="I1505" s="17" t="s">
        <v>72</v>
      </c>
      <c r="J1505" s="17" t="s">
        <v>111</v>
      </c>
      <c r="K1505" s="17" t="str">
        <f aca="false">VLOOKUP(J1505,Sheet2!A:B,2,0)</f>
        <v>NITIN PRANAMI</v>
      </c>
      <c r="L1505" s="17" t="n">
        <v>1</v>
      </c>
      <c r="M1505" s="17" t="str">
        <f aca="false">VLOOKUP(L1505,Sheet2!D:E,2,0)</f>
        <v>Power Supply Section</v>
      </c>
      <c r="N1505" s="17" t="n">
        <v>1</v>
      </c>
      <c r="O1505" s="17" t="str">
        <f aca="false">VLOOKUP(N1505,Sheet2!G:H,2,0)</f>
        <v>Dead</v>
      </c>
      <c r="P1505" s="17" t="n">
        <v>11</v>
      </c>
      <c r="Q1505" s="17" t="str">
        <f aca="false">VLOOKUP(P1505,Sheet2!J:K,2,0)</f>
        <v>IR Declared due to CID -TA</v>
      </c>
      <c r="R1505" s="17" t="s">
        <v>35</v>
      </c>
      <c r="S1505" s="17" t="str">
        <f aca="false">VLOOKUP(R1505,Sheet2!N:O,2,0)</f>
        <v>IREPARABLE</v>
      </c>
      <c r="T1505" s="18" t="str">
        <f aca="false">VLOOKUP(P1505,Sheet2!Q:R,2,0)</f>
        <v>IR Normal - Track burn out</v>
      </c>
      <c r="U1505" s="18" t="s">
        <v>122</v>
      </c>
      <c r="V1505" s="17" t="n">
        <v>2</v>
      </c>
      <c r="W1505" s="20" t="str">
        <f aca="false">VLOOKUP(V1505,Sheet2!Q:R,2,0)</f>
        <v>IR CID -  Water log from other area</v>
      </c>
      <c r="X1505" s="17" t="str">
        <f aca="false">J1505</f>
        <v>A031</v>
      </c>
      <c r="Y1505" s="17" t="str">
        <f aca="false">VLOOKUP(X1505,Sheet2!A:B,2,0)</f>
        <v>NITIN PRANAMI</v>
      </c>
      <c r="Z1505" s="17" t="s">
        <v>583</v>
      </c>
      <c r="AA1505" s="17" t="s">
        <v>642</v>
      </c>
      <c r="AB1505" s="17" t="s">
        <v>41</v>
      </c>
      <c r="AC1505" s="0" t="str">
        <f aca="false">LEFT(G1505,2)</f>
        <v>86</v>
      </c>
      <c r="AE1505" s="21" t="s">
        <v>506</v>
      </c>
    </row>
    <row r="1506" customFormat="false" ht="15" hidden="false" customHeight="false" outlineLevel="0" collapsed="false">
      <c r="A1506" s="13" t="n">
        <f aca="false">1+A1505</f>
        <v>1504</v>
      </c>
      <c r="B1506" s="14" t="n">
        <v>1009613483</v>
      </c>
      <c r="C1506" s="17" t="s">
        <v>184</v>
      </c>
      <c r="D1506" s="16" t="s">
        <v>64</v>
      </c>
      <c r="E1506" s="17" t="s">
        <v>64</v>
      </c>
      <c r="F1506" s="18" t="s">
        <v>34</v>
      </c>
      <c r="G1506" s="19" t="n">
        <v>868150104743</v>
      </c>
      <c r="H1506" s="17" t="s">
        <v>35</v>
      </c>
      <c r="I1506" s="17" t="s">
        <v>72</v>
      </c>
      <c r="J1506" s="17" t="s">
        <v>111</v>
      </c>
      <c r="K1506" s="17" t="str">
        <f aca="false">VLOOKUP(J1506,Sheet2!A:B,2,0)</f>
        <v>NITIN PRANAMI</v>
      </c>
      <c r="L1506" s="17" t="n">
        <v>1</v>
      </c>
      <c r="M1506" s="17" t="str">
        <f aca="false">VLOOKUP(L1506,Sheet2!D:E,2,0)</f>
        <v>Power Supply Section</v>
      </c>
      <c r="N1506" s="17" t="n">
        <v>1</v>
      </c>
      <c r="O1506" s="17" t="str">
        <f aca="false">VLOOKUP(N1506,Sheet2!G:H,2,0)</f>
        <v>Dead</v>
      </c>
      <c r="P1506" s="17" t="n">
        <v>11</v>
      </c>
      <c r="Q1506" s="17" t="str">
        <f aca="false">VLOOKUP(P1506,Sheet2!J:K,2,0)</f>
        <v>IR Declared due to CID -TA</v>
      </c>
      <c r="R1506" s="17" t="s">
        <v>35</v>
      </c>
      <c r="S1506" s="17" t="str">
        <f aca="false">VLOOKUP(R1506,Sheet2!N:O,2,0)</f>
        <v>IREPARABLE</v>
      </c>
      <c r="T1506" s="18" t="str">
        <f aca="false">VLOOKUP(P1506,Sheet2!Q:R,2,0)</f>
        <v>IR Normal - Track burn out</v>
      </c>
      <c r="U1506" s="18" t="s">
        <v>122</v>
      </c>
      <c r="V1506" s="17" t="n">
        <v>2</v>
      </c>
      <c r="W1506" s="20" t="str">
        <f aca="false">VLOOKUP(V1506,Sheet2!Q:R,2,0)</f>
        <v>IR CID -  Water log from other area</v>
      </c>
      <c r="X1506" s="17" t="str">
        <f aca="false">J1506</f>
        <v>A031</v>
      </c>
      <c r="Y1506" s="17" t="str">
        <f aca="false">VLOOKUP(X1506,Sheet2!A:B,2,0)</f>
        <v>NITIN PRANAMI</v>
      </c>
      <c r="Z1506" s="17" t="s">
        <v>276</v>
      </c>
      <c r="AA1506" s="17" t="s">
        <v>642</v>
      </c>
      <c r="AB1506" s="17" t="s">
        <v>41</v>
      </c>
      <c r="AC1506" s="0" t="str">
        <f aca="false">LEFT(G1506,2)</f>
        <v>86</v>
      </c>
      <c r="AE1506" s="21" t="s">
        <v>506</v>
      </c>
    </row>
    <row r="1507" customFormat="false" ht="15" hidden="false" customHeight="false" outlineLevel="0" collapsed="false">
      <c r="A1507" s="13" t="n">
        <f aca="false">1+A1506</f>
        <v>1505</v>
      </c>
      <c r="B1507" s="14" t="n">
        <v>1009678561</v>
      </c>
      <c r="C1507" s="17" t="s">
        <v>436</v>
      </c>
      <c r="D1507" s="16" t="s">
        <v>64</v>
      </c>
      <c r="E1507" s="17" t="s">
        <v>33</v>
      </c>
      <c r="F1507" s="18" t="s">
        <v>34</v>
      </c>
      <c r="G1507" s="19" t="n">
        <v>865317263834</v>
      </c>
      <c r="H1507" s="17" t="s">
        <v>35</v>
      </c>
      <c r="I1507" s="17" t="s">
        <v>72</v>
      </c>
      <c r="J1507" s="17" t="s">
        <v>111</v>
      </c>
      <c r="K1507" s="17" t="str">
        <f aca="false">VLOOKUP(J1507,Sheet2!A:B,2,0)</f>
        <v>NITIN PRANAMI</v>
      </c>
      <c r="L1507" s="17" t="n">
        <v>1</v>
      </c>
      <c r="M1507" s="17" t="str">
        <f aca="false">VLOOKUP(L1507,Sheet2!D:E,2,0)</f>
        <v>Power Supply Section</v>
      </c>
      <c r="N1507" s="17" t="n">
        <v>1</v>
      </c>
      <c r="O1507" s="17" t="str">
        <f aca="false">VLOOKUP(N1507,Sheet2!G:H,2,0)</f>
        <v>Dead</v>
      </c>
      <c r="P1507" s="17" t="n">
        <v>12</v>
      </c>
      <c r="Q1507" s="17" t="str">
        <f aca="false">VLOOKUP(P1507,Sheet2!J:K,2,0)</f>
        <v>IR Declared due to Others ( IR Normal)TB</v>
      </c>
      <c r="R1507" s="17" t="s">
        <v>35</v>
      </c>
      <c r="S1507" s="17" t="str">
        <f aca="false">VLOOKUP(R1507,Sheet2!N:O,2,0)</f>
        <v>IREPARABLE</v>
      </c>
      <c r="T1507" s="18" t="str">
        <f aca="false">VLOOKUP(P1507,Sheet2!Q:R,2,0)</f>
        <v>IR Normal - BER to IR</v>
      </c>
      <c r="U1507" s="18" t="s">
        <v>101</v>
      </c>
      <c r="V1507" s="17" t="n">
        <v>8</v>
      </c>
      <c r="W1507" s="20" t="str">
        <f aca="false">VLOOKUP(V1507,Sheet2!Q:R,2,0)</f>
        <v>IR Normal -TrackRust/InternalDamage/open</v>
      </c>
      <c r="X1507" s="17" t="str">
        <f aca="false">J1507</f>
        <v>A031</v>
      </c>
      <c r="Y1507" s="17" t="str">
        <f aca="false">VLOOKUP(X1507,Sheet2!A:B,2,0)</f>
        <v>NITIN PRANAMI</v>
      </c>
      <c r="Z1507" s="17" t="s">
        <v>761</v>
      </c>
      <c r="AA1507" s="17" t="s">
        <v>642</v>
      </c>
      <c r="AB1507" s="17" t="s">
        <v>41</v>
      </c>
      <c r="AC1507" s="0" t="str">
        <f aca="false">LEFT(G1507,2)</f>
        <v>86</v>
      </c>
      <c r="AE1507" s="21" t="s">
        <v>506</v>
      </c>
    </row>
    <row r="1508" customFormat="false" ht="15" hidden="false" customHeight="false" outlineLevel="0" collapsed="false">
      <c r="A1508" s="13" t="n">
        <f aca="false">1+A1507</f>
        <v>1506</v>
      </c>
      <c r="B1508" s="14" t="n">
        <v>1009645249</v>
      </c>
      <c r="C1508" s="17" t="s">
        <v>762</v>
      </c>
      <c r="D1508" s="16" t="s">
        <v>108</v>
      </c>
      <c r="E1508" s="17" t="s">
        <v>274</v>
      </c>
      <c r="F1508" s="18" t="s">
        <v>34</v>
      </c>
      <c r="G1508" s="19" t="n">
        <v>879255267343</v>
      </c>
      <c r="H1508" s="17" t="s">
        <v>35</v>
      </c>
      <c r="I1508" s="17" t="s">
        <v>79</v>
      </c>
      <c r="J1508" s="17" t="s">
        <v>100</v>
      </c>
      <c r="K1508" s="17" t="str">
        <f aca="false">VLOOKUP(J1508,Sheet2!A:B,2,0)</f>
        <v>PIYUSH CHAVDA</v>
      </c>
      <c r="L1508" s="17" t="n">
        <v>1</v>
      </c>
      <c r="M1508" s="17" t="str">
        <f aca="false">VLOOKUP(L1508,Sheet2!D:E,2,0)</f>
        <v>Power Supply Section</v>
      </c>
      <c r="N1508" s="17" t="n">
        <v>1</v>
      </c>
      <c r="O1508" s="17" t="str">
        <f aca="false">VLOOKUP(N1508,Sheet2!G:H,2,0)</f>
        <v>Dead</v>
      </c>
      <c r="P1508" s="17" t="n">
        <v>11</v>
      </c>
      <c r="Q1508" s="17" t="str">
        <f aca="false">VLOOKUP(P1508,Sheet2!J:K,2,0)</f>
        <v>IR Declared due to CID -TA</v>
      </c>
      <c r="R1508" s="17" t="s">
        <v>35</v>
      </c>
      <c r="S1508" s="17" t="str">
        <f aca="false">VLOOKUP(R1508,Sheet2!N:O,2,0)</f>
        <v>IREPARABLE</v>
      </c>
      <c r="T1508" s="18" t="str">
        <f aca="false">VLOOKUP(P1508,Sheet2!Q:R,2,0)</f>
        <v>IR Normal - Track burn out</v>
      </c>
      <c r="U1508" s="18" t="s">
        <v>38</v>
      </c>
      <c r="V1508" s="17" t="n">
        <v>4</v>
      </c>
      <c r="W1508" s="20" t="str">
        <f aca="false">VLOOKUP(V1508,Sheet2!Q:R,2,0)</f>
        <v>IR CID - Tampered Track burn out</v>
      </c>
      <c r="X1508" s="17" t="str">
        <f aca="false">J1508</f>
        <v>A050</v>
      </c>
      <c r="Y1508" s="17" t="str">
        <f aca="false">VLOOKUP(X1508,Sheet2!A:B,2,0)</f>
        <v>PIYUSH CHAVDA</v>
      </c>
      <c r="Z1508" s="17" t="s">
        <v>302</v>
      </c>
      <c r="AA1508" s="17" t="s">
        <v>642</v>
      </c>
      <c r="AB1508" s="17" t="s">
        <v>41</v>
      </c>
      <c r="AC1508" s="0" t="str">
        <f aca="false">LEFT(G1508,2)</f>
        <v>87</v>
      </c>
      <c r="AE1508" s="21" t="s">
        <v>506</v>
      </c>
    </row>
    <row r="1509" customFormat="false" ht="15" hidden="false" customHeight="false" outlineLevel="0" collapsed="false">
      <c r="A1509" s="13" t="n">
        <f aca="false">1+A1508</f>
        <v>1507</v>
      </c>
      <c r="B1509" s="14" t="n">
        <v>1009616487</v>
      </c>
      <c r="C1509" s="17" t="s">
        <v>184</v>
      </c>
      <c r="D1509" s="16" t="s">
        <v>144</v>
      </c>
      <c r="E1509" s="17" t="s">
        <v>47</v>
      </c>
      <c r="F1509" s="18" t="s">
        <v>34</v>
      </c>
      <c r="G1509" s="19" t="n">
        <v>889283700868</v>
      </c>
      <c r="H1509" s="17" t="s">
        <v>35</v>
      </c>
      <c r="I1509" s="17" t="s">
        <v>79</v>
      </c>
      <c r="J1509" s="17" t="s">
        <v>100</v>
      </c>
      <c r="K1509" s="17" t="str">
        <f aca="false">VLOOKUP(J1509,Sheet2!A:B,2,0)</f>
        <v>PIYUSH CHAVDA</v>
      </c>
      <c r="L1509" s="17" t="n">
        <v>1</v>
      </c>
      <c r="M1509" s="17" t="str">
        <f aca="false">VLOOKUP(L1509,Sheet2!D:E,2,0)</f>
        <v>Power Supply Section</v>
      </c>
      <c r="N1509" s="17" t="n">
        <v>1</v>
      </c>
      <c r="O1509" s="17" t="str">
        <f aca="false">VLOOKUP(N1509,Sheet2!G:H,2,0)</f>
        <v>Dead</v>
      </c>
      <c r="P1509" s="17" t="n">
        <v>11</v>
      </c>
      <c r="Q1509" s="17" t="str">
        <f aca="false">VLOOKUP(P1509,Sheet2!J:K,2,0)</f>
        <v>IR Declared due to CID -TA</v>
      </c>
      <c r="R1509" s="17" t="s">
        <v>35</v>
      </c>
      <c r="S1509" s="17" t="str">
        <f aca="false">VLOOKUP(R1509,Sheet2!N:O,2,0)</f>
        <v>IREPARABLE</v>
      </c>
      <c r="T1509" s="18" t="str">
        <f aca="false">VLOOKUP(P1509,Sheet2!Q:R,2,0)</f>
        <v>IR Normal - Track burn out</v>
      </c>
      <c r="U1509" s="18" t="s">
        <v>38</v>
      </c>
      <c r="V1509" s="17" t="n">
        <v>4</v>
      </c>
      <c r="W1509" s="20" t="str">
        <f aca="false">VLOOKUP(V1509,Sheet2!Q:R,2,0)</f>
        <v>IR CID - Tampered Track burn out</v>
      </c>
      <c r="X1509" s="17" t="str">
        <f aca="false">J1509</f>
        <v>A050</v>
      </c>
      <c r="Y1509" s="17" t="str">
        <f aca="false">VLOOKUP(X1509,Sheet2!A:B,2,0)</f>
        <v>PIYUSH CHAVDA</v>
      </c>
      <c r="Z1509" s="17" t="s">
        <v>763</v>
      </c>
      <c r="AA1509" s="17" t="s">
        <v>642</v>
      </c>
      <c r="AB1509" s="17" t="s">
        <v>41</v>
      </c>
      <c r="AC1509" s="0" t="str">
        <f aca="false">LEFT(G1509,2)</f>
        <v>88</v>
      </c>
      <c r="AE1509" s="21" t="s">
        <v>506</v>
      </c>
    </row>
    <row r="1510" customFormat="false" ht="15" hidden="false" customHeight="false" outlineLevel="0" collapsed="false">
      <c r="A1510" s="13" t="n">
        <f aca="false">1+A1509</f>
        <v>1508</v>
      </c>
      <c r="B1510" s="14" t="n">
        <v>1009606285</v>
      </c>
      <c r="C1510" s="17" t="s">
        <v>181</v>
      </c>
      <c r="D1510" s="16" t="s">
        <v>64</v>
      </c>
      <c r="E1510" s="17" t="s">
        <v>64</v>
      </c>
      <c r="F1510" s="18" t="s">
        <v>34</v>
      </c>
      <c r="G1510" s="19" t="n">
        <v>889255318681</v>
      </c>
      <c r="H1510" s="17" t="s">
        <v>35</v>
      </c>
      <c r="I1510" s="17" t="s">
        <v>79</v>
      </c>
      <c r="J1510" s="17" t="s">
        <v>289</v>
      </c>
      <c r="K1510" s="17" t="str">
        <f aca="false">VLOOKUP(J1510,Sheet2!A:B,2,0)</f>
        <v>AJAY KOSHTI</v>
      </c>
      <c r="L1510" s="17" t="n">
        <v>2</v>
      </c>
      <c r="M1510" s="17" t="str">
        <f aca="false">VLOOKUP(L1510,Sheet2!D:E,2,0)</f>
        <v>Tuner Section</v>
      </c>
      <c r="N1510" s="17" t="n">
        <v>6</v>
      </c>
      <c r="O1510" s="17" t="str">
        <f aca="false">VLOOKUP(N1510,Sheet2!G:H,2,0)</f>
        <v>No Signal</v>
      </c>
      <c r="P1510" s="17" t="n">
        <v>11</v>
      </c>
      <c r="Q1510" s="17" t="str">
        <f aca="false">VLOOKUP(P1510,Sheet2!J:K,2,0)</f>
        <v>IR Declared due to CID -TA</v>
      </c>
      <c r="R1510" s="17" t="s">
        <v>35</v>
      </c>
      <c r="S1510" s="17" t="str">
        <f aca="false">VLOOKUP(R1510,Sheet2!N:O,2,0)</f>
        <v>IREPARABLE</v>
      </c>
      <c r="T1510" s="18" t="str">
        <f aca="false">VLOOKUP(P1510,Sheet2!Q:R,2,0)</f>
        <v>IR Normal - Track burn out</v>
      </c>
      <c r="U1510" s="20" t="s">
        <v>256</v>
      </c>
      <c r="V1510" s="17" t="n">
        <v>1</v>
      </c>
      <c r="W1510" s="20" t="str">
        <f aca="false">VLOOKUP(V1510,Sheet2!Q:R,2,0)</f>
        <v>IR CID -  Water log from IF port</v>
      </c>
      <c r="X1510" s="17" t="str">
        <f aca="false">J1510</f>
        <v>A051</v>
      </c>
      <c r="Y1510" s="17" t="str">
        <f aca="false">VLOOKUP(X1510,Sheet2!A:B,2,0)</f>
        <v>AJAY KOSHTI</v>
      </c>
      <c r="Z1510" s="17" t="s">
        <v>306</v>
      </c>
      <c r="AA1510" s="17" t="s">
        <v>642</v>
      </c>
      <c r="AB1510" s="17" t="s">
        <v>41</v>
      </c>
      <c r="AC1510" s="0" t="str">
        <f aca="false">LEFT(G1510,2)</f>
        <v>88</v>
      </c>
      <c r="AE1510" s="21" t="s">
        <v>506</v>
      </c>
    </row>
    <row r="1511" customFormat="false" ht="15" hidden="false" customHeight="false" outlineLevel="0" collapsed="false">
      <c r="A1511" s="13" t="n">
        <f aca="false">1+A1510</f>
        <v>1509</v>
      </c>
      <c r="B1511" s="14" t="n">
        <v>1009585129</v>
      </c>
      <c r="C1511" s="17" t="s">
        <v>139</v>
      </c>
      <c r="D1511" s="16" t="s">
        <v>64</v>
      </c>
      <c r="E1511" s="17" t="s">
        <v>64</v>
      </c>
      <c r="F1511" s="18" t="s">
        <v>34</v>
      </c>
      <c r="G1511" s="19" t="n">
        <v>879162148180</v>
      </c>
      <c r="H1511" s="17" t="s">
        <v>35</v>
      </c>
      <c r="I1511" s="17" t="s">
        <v>79</v>
      </c>
      <c r="J1511" s="17" t="s">
        <v>241</v>
      </c>
      <c r="K1511" s="17" t="str">
        <f aca="false">VLOOKUP(J1511,Sheet2!A:B,2,0)</f>
        <v>NILESH NAGAR</v>
      </c>
      <c r="L1511" s="17" t="n">
        <v>5</v>
      </c>
      <c r="M1511" s="17" t="str">
        <f aca="false">VLOOKUP(L1511,Sheet2!D:E,2,0)</f>
        <v>Main Processor CPU BGA</v>
      </c>
      <c r="N1511" s="17" t="n">
        <v>6</v>
      </c>
      <c r="O1511" s="17" t="str">
        <f aca="false">VLOOKUP(N1511,Sheet2!G:H,2,0)</f>
        <v>No Signal</v>
      </c>
      <c r="P1511" s="17" t="n">
        <v>12</v>
      </c>
      <c r="Q1511" s="17" t="str">
        <f aca="false">VLOOKUP(P1511,Sheet2!J:K,2,0)</f>
        <v>IR Declared due to Others ( IR Normal)TB</v>
      </c>
      <c r="R1511" s="17" t="s">
        <v>35</v>
      </c>
      <c r="S1511" s="17" t="str">
        <f aca="false">VLOOKUP(R1511,Sheet2!N:O,2,0)</f>
        <v>IREPARABLE</v>
      </c>
      <c r="T1511" s="18" t="str">
        <f aca="false">VLOOKUP(P1511,Sheet2!Q:R,2,0)</f>
        <v>IR Normal - BER to IR</v>
      </c>
      <c r="U1511" s="20" t="s">
        <v>764</v>
      </c>
      <c r="V1511" s="17" t="n">
        <v>13</v>
      </c>
      <c r="W1511" s="20" t="str">
        <f aca="false">VLOOKUP(V1511,Sheet2!Q:R,2,0)</f>
        <v>IR Normal -BGA/MICO ULC VC chip failure </v>
      </c>
      <c r="X1511" s="17" t="str">
        <f aca="false">J1511</f>
        <v>A008</v>
      </c>
      <c r="Y1511" s="17" t="str">
        <f aca="false">VLOOKUP(X1511,Sheet2!A:B,2,0)</f>
        <v>NILESH NAGAR</v>
      </c>
      <c r="Z1511" s="17" t="s">
        <v>302</v>
      </c>
      <c r="AA1511" s="17" t="s">
        <v>642</v>
      </c>
      <c r="AB1511" s="17" t="s">
        <v>41</v>
      </c>
      <c r="AC1511" s="0" t="str">
        <f aca="false">LEFT(G1511,2)</f>
        <v>87</v>
      </c>
      <c r="AE1511" s="21" t="s">
        <v>506</v>
      </c>
    </row>
    <row r="1512" customFormat="false" ht="15" hidden="false" customHeight="false" outlineLevel="0" collapsed="false">
      <c r="A1512" s="13" t="n">
        <f aca="false">1+A1511</f>
        <v>1510</v>
      </c>
      <c r="B1512" s="14" t="n">
        <v>1009617487</v>
      </c>
      <c r="C1512" s="17" t="s">
        <v>184</v>
      </c>
      <c r="D1512" s="16" t="s">
        <v>64</v>
      </c>
      <c r="E1512" s="17" t="s">
        <v>47</v>
      </c>
      <c r="F1512" s="18" t="s">
        <v>34</v>
      </c>
      <c r="G1512" s="19" t="n">
        <v>880203110460</v>
      </c>
      <c r="H1512" s="17" t="s">
        <v>35</v>
      </c>
      <c r="I1512" s="17" t="s">
        <v>79</v>
      </c>
      <c r="J1512" s="17" t="s">
        <v>239</v>
      </c>
      <c r="K1512" s="17" t="str">
        <f aca="false">VLOOKUP(J1512,Sheet2!A:B,2,0)</f>
        <v>VASANT PARMAR</v>
      </c>
      <c r="L1512" s="17" t="n">
        <v>2</v>
      </c>
      <c r="M1512" s="17" t="str">
        <f aca="false">VLOOKUP(L1512,Sheet2!D:E,2,0)</f>
        <v>Tuner Section</v>
      </c>
      <c r="N1512" s="17" t="n">
        <v>6</v>
      </c>
      <c r="O1512" s="17" t="str">
        <f aca="false">VLOOKUP(N1512,Sheet2!G:H,2,0)</f>
        <v>No Signal</v>
      </c>
      <c r="P1512" s="17" t="n">
        <v>11</v>
      </c>
      <c r="Q1512" s="17" t="str">
        <f aca="false">VLOOKUP(P1512,Sheet2!J:K,2,0)</f>
        <v>IR Declared due to CID -TA</v>
      </c>
      <c r="R1512" s="17" t="s">
        <v>35</v>
      </c>
      <c r="S1512" s="17" t="str">
        <f aca="false">VLOOKUP(R1512,Sheet2!N:O,2,0)</f>
        <v>IREPARABLE</v>
      </c>
      <c r="T1512" s="18" t="str">
        <f aca="false">VLOOKUP(P1512,Sheet2!Q:R,2,0)</f>
        <v>IR Normal - Track burn out</v>
      </c>
      <c r="U1512" s="20" t="s">
        <v>256</v>
      </c>
      <c r="V1512" s="17" t="n">
        <v>1</v>
      </c>
      <c r="W1512" s="20" t="str">
        <f aca="false">VLOOKUP(V1512,Sheet2!Q:R,2,0)</f>
        <v>IR CID -  Water log from IF port</v>
      </c>
      <c r="X1512" s="17" t="str">
        <f aca="false">J1512</f>
        <v>A005</v>
      </c>
      <c r="Y1512" s="17" t="str">
        <f aca="false">VLOOKUP(X1512,Sheet2!A:B,2,0)</f>
        <v>VASANT PARMAR</v>
      </c>
      <c r="Z1512" s="17" t="s">
        <v>306</v>
      </c>
      <c r="AA1512" s="17" t="s">
        <v>642</v>
      </c>
      <c r="AB1512" s="17" t="s">
        <v>41</v>
      </c>
      <c r="AC1512" s="0" t="str">
        <f aca="false">LEFT(G1512,2)</f>
        <v>88</v>
      </c>
      <c r="AE1512" s="21" t="s">
        <v>506</v>
      </c>
    </row>
    <row r="1513" customFormat="false" ht="15" hidden="false" customHeight="false" outlineLevel="0" collapsed="false">
      <c r="A1513" s="13" t="n">
        <f aca="false">1+A1512</f>
        <v>1511</v>
      </c>
      <c r="B1513" s="14" t="n">
        <v>1009624101</v>
      </c>
      <c r="C1513" s="17" t="s">
        <v>163</v>
      </c>
      <c r="D1513" s="16" t="s">
        <v>64</v>
      </c>
      <c r="E1513" s="17" t="s">
        <v>765</v>
      </c>
      <c r="F1513" s="18" t="s">
        <v>34</v>
      </c>
      <c r="G1513" s="19" t="n">
        <v>878303164551</v>
      </c>
      <c r="H1513" s="17" t="s">
        <v>35</v>
      </c>
      <c r="I1513" s="17" t="s">
        <v>79</v>
      </c>
      <c r="J1513" s="17" t="s">
        <v>239</v>
      </c>
      <c r="K1513" s="17" t="str">
        <f aca="false">VLOOKUP(J1513,Sheet2!A:B,2,0)</f>
        <v>VASANT PARMAR</v>
      </c>
      <c r="L1513" s="17" t="n">
        <v>5</v>
      </c>
      <c r="M1513" s="17" t="str">
        <f aca="false">VLOOKUP(L1513,Sheet2!D:E,2,0)</f>
        <v>Main Processor CPU BGA</v>
      </c>
      <c r="N1513" s="17" t="n">
        <v>16</v>
      </c>
      <c r="O1513" s="17" t="str">
        <f aca="false">VLOOKUP(N1513,Sheet2!G:H,2,0)</f>
        <v>No Video - HDMI</v>
      </c>
      <c r="P1513" s="17" t="n">
        <v>11</v>
      </c>
      <c r="Q1513" s="17" t="str">
        <f aca="false">VLOOKUP(P1513,Sheet2!J:K,2,0)</f>
        <v>IR Declared due to CID -TA</v>
      </c>
      <c r="R1513" s="17" t="s">
        <v>35</v>
      </c>
      <c r="S1513" s="17" t="str">
        <f aca="false">VLOOKUP(R1513,Sheet2!N:O,2,0)</f>
        <v>IREPARABLE</v>
      </c>
      <c r="T1513" s="18" t="str">
        <f aca="false">VLOOKUP(P1513,Sheet2!Q:R,2,0)</f>
        <v>IR Normal - Track burn out</v>
      </c>
      <c r="U1513" s="18" t="s">
        <v>122</v>
      </c>
      <c r="V1513" s="17" t="n">
        <v>2</v>
      </c>
      <c r="W1513" s="20" t="str">
        <f aca="false">VLOOKUP(V1513,Sheet2!Q:R,2,0)</f>
        <v>IR CID -  Water log from other area</v>
      </c>
      <c r="X1513" s="17" t="str">
        <f aca="false">J1513</f>
        <v>A005</v>
      </c>
      <c r="Y1513" s="17" t="str">
        <f aca="false">VLOOKUP(X1513,Sheet2!A:B,2,0)</f>
        <v>VASANT PARMAR</v>
      </c>
      <c r="Z1513" s="17" t="s">
        <v>766</v>
      </c>
      <c r="AA1513" s="17" t="s">
        <v>642</v>
      </c>
      <c r="AB1513" s="17" t="s">
        <v>41</v>
      </c>
      <c r="AC1513" s="0" t="str">
        <f aca="false">LEFT(G1513,2)</f>
        <v>87</v>
      </c>
      <c r="AE1513" s="21" t="s">
        <v>506</v>
      </c>
    </row>
    <row r="1514" customFormat="false" ht="15" hidden="false" customHeight="false" outlineLevel="0" collapsed="false">
      <c r="A1514" s="13" t="n">
        <f aca="false">1+A1513</f>
        <v>1512</v>
      </c>
      <c r="B1514" s="14" t="n">
        <v>1009647686</v>
      </c>
      <c r="C1514" s="17" t="s">
        <v>204</v>
      </c>
      <c r="D1514" s="16" t="s">
        <v>64</v>
      </c>
      <c r="E1514" s="17" t="s">
        <v>64</v>
      </c>
      <c r="F1514" s="18" t="s">
        <v>34</v>
      </c>
      <c r="G1514" s="19" t="n">
        <v>889263329555</v>
      </c>
      <c r="H1514" s="17" t="s">
        <v>35</v>
      </c>
      <c r="I1514" s="17" t="s">
        <v>79</v>
      </c>
      <c r="J1514" s="17" t="s">
        <v>241</v>
      </c>
      <c r="K1514" s="17" t="str">
        <f aca="false">VLOOKUP(J1514,Sheet2!A:B,2,0)</f>
        <v>NILESH NAGAR</v>
      </c>
      <c r="L1514" s="17" t="n">
        <v>5</v>
      </c>
      <c r="M1514" s="17" t="str">
        <f aca="false">VLOOKUP(L1514,Sheet2!D:E,2,0)</f>
        <v>Main Processor CPU BGA</v>
      </c>
      <c r="N1514" s="17" t="n">
        <v>1</v>
      </c>
      <c r="O1514" s="17" t="str">
        <f aca="false">VLOOKUP(N1514,Sheet2!G:H,2,0)</f>
        <v>Dead</v>
      </c>
      <c r="P1514" s="17" t="n">
        <v>11</v>
      </c>
      <c r="Q1514" s="17" t="str">
        <f aca="false">VLOOKUP(P1514,Sheet2!J:K,2,0)</f>
        <v>IR Declared due to CID -TA</v>
      </c>
      <c r="R1514" s="17" t="s">
        <v>35</v>
      </c>
      <c r="S1514" s="17" t="str">
        <f aca="false">VLOOKUP(R1514,Sheet2!N:O,2,0)</f>
        <v>IREPARABLE</v>
      </c>
      <c r="T1514" s="18" t="str">
        <f aca="false">VLOOKUP(P1514,Sheet2!Q:R,2,0)</f>
        <v>IR Normal - Track burn out</v>
      </c>
      <c r="U1514" s="20" t="s">
        <v>256</v>
      </c>
      <c r="V1514" s="17" t="n">
        <v>1</v>
      </c>
      <c r="W1514" s="20" t="str">
        <f aca="false">VLOOKUP(V1514,Sheet2!Q:R,2,0)</f>
        <v>IR CID -  Water log from IF port</v>
      </c>
      <c r="X1514" s="17" t="str">
        <f aca="false">J1514</f>
        <v>A008</v>
      </c>
      <c r="Y1514" s="17" t="str">
        <f aca="false">VLOOKUP(X1514,Sheet2!A:B,2,0)</f>
        <v>NILESH NAGAR</v>
      </c>
      <c r="Z1514" s="17" t="s">
        <v>306</v>
      </c>
      <c r="AA1514" s="17" t="s">
        <v>642</v>
      </c>
      <c r="AB1514" s="17" t="s">
        <v>41</v>
      </c>
      <c r="AC1514" s="0" t="str">
        <f aca="false">LEFT(G1514,2)</f>
        <v>88</v>
      </c>
      <c r="AE1514" s="21" t="s">
        <v>506</v>
      </c>
    </row>
    <row r="1515" customFormat="false" ht="15" hidden="false" customHeight="false" outlineLevel="0" collapsed="false">
      <c r="A1515" s="13" t="n">
        <f aca="false">1+A1514</f>
        <v>1513</v>
      </c>
      <c r="B1515" s="14" t="n">
        <v>1009587235</v>
      </c>
      <c r="C1515" s="17" t="s">
        <v>181</v>
      </c>
      <c r="D1515" s="16" t="s">
        <v>64</v>
      </c>
      <c r="E1515" s="17" t="s">
        <v>64</v>
      </c>
      <c r="F1515" s="18" t="s">
        <v>34</v>
      </c>
      <c r="G1515" s="19" t="n">
        <v>300346147071</v>
      </c>
      <c r="H1515" s="17" t="s">
        <v>35</v>
      </c>
      <c r="I1515" s="17" t="s">
        <v>79</v>
      </c>
      <c r="J1515" s="17" t="s">
        <v>111</v>
      </c>
      <c r="K1515" s="17" t="str">
        <f aca="false">VLOOKUP(J1515,Sheet2!A:B,2,0)</f>
        <v>NITIN PRANAMI</v>
      </c>
      <c r="L1515" s="17" t="n">
        <v>2</v>
      </c>
      <c r="M1515" s="17" t="str">
        <f aca="false">VLOOKUP(L1515,Sheet2!D:E,2,0)</f>
        <v>Tuner Section</v>
      </c>
      <c r="N1515" s="17" t="n">
        <v>6</v>
      </c>
      <c r="O1515" s="17" t="str">
        <f aca="false">VLOOKUP(N1515,Sheet2!G:H,2,0)</f>
        <v>No Signal</v>
      </c>
      <c r="P1515" s="17" t="n">
        <v>11</v>
      </c>
      <c r="Q1515" s="17" t="str">
        <f aca="false">VLOOKUP(P1515,Sheet2!J:K,2,0)</f>
        <v>IR Declared due to CID -TA</v>
      </c>
      <c r="R1515" s="17" t="s">
        <v>35</v>
      </c>
      <c r="S1515" s="17" t="str">
        <f aca="false">VLOOKUP(R1515,Sheet2!N:O,2,0)</f>
        <v>IREPARABLE</v>
      </c>
      <c r="T1515" s="18" t="str">
        <f aca="false">VLOOKUP(P1515,Sheet2!Q:R,2,0)</f>
        <v>IR Normal - Track burn out</v>
      </c>
      <c r="U1515" s="20" t="s">
        <v>256</v>
      </c>
      <c r="V1515" s="17" t="n">
        <v>1</v>
      </c>
      <c r="W1515" s="20" t="str">
        <f aca="false">VLOOKUP(V1515,Sheet2!Q:R,2,0)</f>
        <v>IR CID -  Water log from IF port</v>
      </c>
      <c r="X1515" s="17" t="str">
        <f aca="false">J1515</f>
        <v>A031</v>
      </c>
      <c r="Y1515" s="17" t="str">
        <f aca="false">VLOOKUP(X1515,Sheet2!A:B,2,0)</f>
        <v>NITIN PRANAMI</v>
      </c>
      <c r="Z1515" s="17" t="s">
        <v>306</v>
      </c>
      <c r="AA1515" s="17" t="s">
        <v>642</v>
      </c>
      <c r="AB1515" s="17" t="s">
        <v>41</v>
      </c>
      <c r="AC1515" s="0" t="str">
        <f aca="false">LEFT(G1515,2)</f>
        <v>30</v>
      </c>
      <c r="AE1515" s="21" t="s">
        <v>506</v>
      </c>
    </row>
    <row r="1516" customFormat="false" ht="15" hidden="false" customHeight="false" outlineLevel="0" collapsed="false">
      <c r="A1516" s="13" t="n">
        <f aca="false">1+A1515</f>
        <v>1514</v>
      </c>
      <c r="B1516" s="14" t="n">
        <v>1009603954</v>
      </c>
      <c r="C1516" s="17" t="s">
        <v>146</v>
      </c>
      <c r="D1516" s="16" t="s">
        <v>64</v>
      </c>
      <c r="E1516" s="17" t="s">
        <v>64</v>
      </c>
      <c r="F1516" s="18" t="s">
        <v>34</v>
      </c>
      <c r="G1516" s="19" t="n">
        <v>300339293338</v>
      </c>
      <c r="H1516" s="17" t="s">
        <v>35</v>
      </c>
      <c r="I1516" s="17" t="s">
        <v>79</v>
      </c>
      <c r="J1516" s="17" t="s">
        <v>111</v>
      </c>
      <c r="K1516" s="17" t="str">
        <f aca="false">VLOOKUP(J1516,Sheet2!A:B,2,0)</f>
        <v>NITIN PRANAMI</v>
      </c>
      <c r="L1516" s="17" t="n">
        <v>1</v>
      </c>
      <c r="M1516" s="17" t="str">
        <f aca="false">VLOOKUP(L1516,Sheet2!D:E,2,0)</f>
        <v>Power Supply Section</v>
      </c>
      <c r="N1516" s="17" t="n">
        <v>1</v>
      </c>
      <c r="O1516" s="17" t="str">
        <f aca="false">VLOOKUP(N1516,Sheet2!G:H,2,0)</f>
        <v>Dead</v>
      </c>
      <c r="P1516" s="17" t="n">
        <v>11</v>
      </c>
      <c r="Q1516" s="17" t="str">
        <f aca="false">VLOOKUP(P1516,Sheet2!J:K,2,0)</f>
        <v>IR Declared due to CID -TA</v>
      </c>
      <c r="R1516" s="17" t="s">
        <v>35</v>
      </c>
      <c r="S1516" s="17" t="str">
        <f aca="false">VLOOKUP(R1516,Sheet2!N:O,2,0)</f>
        <v>IREPARABLE</v>
      </c>
      <c r="T1516" s="18" t="str">
        <f aca="false">VLOOKUP(P1516,Sheet2!Q:R,2,0)</f>
        <v>IR Normal - Track burn out</v>
      </c>
      <c r="U1516" s="20" t="s">
        <v>256</v>
      </c>
      <c r="V1516" s="17" t="n">
        <v>1</v>
      </c>
      <c r="W1516" s="20" t="str">
        <f aca="false">VLOOKUP(V1516,Sheet2!Q:R,2,0)</f>
        <v>IR CID -  Water log from IF port</v>
      </c>
      <c r="X1516" s="17" t="str">
        <f aca="false">J1516</f>
        <v>A031</v>
      </c>
      <c r="Y1516" s="17" t="str">
        <f aca="false">VLOOKUP(X1516,Sheet2!A:B,2,0)</f>
        <v>NITIN PRANAMI</v>
      </c>
      <c r="Z1516" s="17" t="s">
        <v>306</v>
      </c>
      <c r="AA1516" s="17" t="s">
        <v>642</v>
      </c>
      <c r="AB1516" s="17" t="s">
        <v>41</v>
      </c>
      <c r="AC1516" s="0" t="str">
        <f aca="false">LEFT(G1516,2)</f>
        <v>30</v>
      </c>
      <c r="AE1516" s="21" t="s">
        <v>506</v>
      </c>
    </row>
    <row r="1517" customFormat="false" ht="15" hidden="false" customHeight="false" outlineLevel="0" collapsed="false">
      <c r="A1517" s="13" t="n">
        <f aca="false">1+A1516</f>
        <v>1515</v>
      </c>
      <c r="B1517" s="14" t="n">
        <v>1009625852</v>
      </c>
      <c r="C1517" s="17" t="s">
        <v>163</v>
      </c>
      <c r="D1517" s="16" t="s">
        <v>64</v>
      </c>
      <c r="E1517" s="17" t="s">
        <v>47</v>
      </c>
      <c r="F1517" s="18" t="s">
        <v>34</v>
      </c>
      <c r="G1517" s="19" t="n">
        <v>866004106138</v>
      </c>
      <c r="H1517" s="17" t="s">
        <v>35</v>
      </c>
      <c r="I1517" s="17" t="s">
        <v>72</v>
      </c>
      <c r="J1517" s="17" t="s">
        <v>239</v>
      </c>
      <c r="K1517" s="17" t="str">
        <f aca="false">VLOOKUP(J1517,Sheet2!A:B,2,0)</f>
        <v>VASANT PARMAR</v>
      </c>
      <c r="L1517" s="17" t="n">
        <v>5</v>
      </c>
      <c r="M1517" s="17" t="str">
        <f aca="false">VLOOKUP(L1517,Sheet2!D:E,2,0)</f>
        <v>Main Processor CPU BGA</v>
      </c>
      <c r="N1517" s="17" t="n">
        <v>2</v>
      </c>
      <c r="O1517" s="17" t="str">
        <f aca="false">VLOOKUP(N1517,Sheet2!G:H,2,0)</f>
        <v>Dead Intermittent</v>
      </c>
      <c r="P1517" s="17" t="n">
        <v>11</v>
      </c>
      <c r="Q1517" s="17" t="str">
        <f aca="false">VLOOKUP(P1517,Sheet2!J:K,2,0)</f>
        <v>IR Declared due to CID -TA</v>
      </c>
      <c r="R1517" s="17" t="s">
        <v>35</v>
      </c>
      <c r="S1517" s="17" t="str">
        <f aca="false">VLOOKUP(R1517,Sheet2!N:O,2,0)</f>
        <v>IREPARABLE</v>
      </c>
      <c r="T1517" s="18" t="str">
        <f aca="false">VLOOKUP(P1517,Sheet2!Q:R,2,0)</f>
        <v>IR Normal - Track burn out</v>
      </c>
      <c r="U1517" s="20" t="s">
        <v>256</v>
      </c>
      <c r="V1517" s="17" t="n">
        <v>1</v>
      </c>
      <c r="W1517" s="20" t="str">
        <f aca="false">VLOOKUP(V1517,Sheet2!Q:R,2,0)</f>
        <v>IR CID -  Water log from IF port</v>
      </c>
      <c r="X1517" s="17" t="str">
        <f aca="false">J1517</f>
        <v>A005</v>
      </c>
      <c r="Y1517" s="17" t="str">
        <f aca="false">VLOOKUP(X1517,Sheet2!A:B,2,0)</f>
        <v>VASANT PARMAR</v>
      </c>
      <c r="Z1517" s="17" t="s">
        <v>257</v>
      </c>
      <c r="AA1517" s="17" t="s">
        <v>642</v>
      </c>
      <c r="AB1517" s="17" t="s">
        <v>41</v>
      </c>
      <c r="AC1517" s="0" t="str">
        <f aca="false">LEFT(G1517,2)</f>
        <v>86</v>
      </c>
      <c r="AE1517" s="21" t="s">
        <v>506</v>
      </c>
    </row>
    <row r="1518" customFormat="false" ht="15" hidden="false" customHeight="false" outlineLevel="0" collapsed="false">
      <c r="A1518" s="13" t="n">
        <f aca="false">1+A1517</f>
        <v>1516</v>
      </c>
      <c r="B1518" s="14" t="n">
        <v>1009626120</v>
      </c>
      <c r="C1518" s="17" t="s">
        <v>163</v>
      </c>
      <c r="D1518" s="16" t="s">
        <v>64</v>
      </c>
      <c r="E1518" s="17" t="s">
        <v>47</v>
      </c>
      <c r="F1518" s="18" t="s">
        <v>34</v>
      </c>
      <c r="G1518" s="19" t="n">
        <v>866164189189</v>
      </c>
      <c r="H1518" s="17" t="s">
        <v>35</v>
      </c>
      <c r="I1518" s="17" t="s">
        <v>72</v>
      </c>
      <c r="J1518" s="17" t="s">
        <v>239</v>
      </c>
      <c r="K1518" s="17" t="str">
        <f aca="false">VLOOKUP(J1518,Sheet2!A:B,2,0)</f>
        <v>VASANT PARMAR</v>
      </c>
      <c r="L1518" s="17" t="n">
        <v>5</v>
      </c>
      <c r="M1518" s="17" t="str">
        <f aca="false">VLOOKUP(L1518,Sheet2!D:E,2,0)</f>
        <v>Main Processor CPU BGA</v>
      </c>
      <c r="N1518" s="17" t="n">
        <v>1</v>
      </c>
      <c r="O1518" s="17" t="str">
        <f aca="false">VLOOKUP(N1518,Sheet2!G:H,2,0)</f>
        <v>Dead</v>
      </c>
      <c r="P1518" s="17" t="n">
        <v>11</v>
      </c>
      <c r="Q1518" s="17" t="str">
        <f aca="false">VLOOKUP(P1518,Sheet2!J:K,2,0)</f>
        <v>IR Declared due to CID -TA</v>
      </c>
      <c r="R1518" s="17" t="s">
        <v>35</v>
      </c>
      <c r="S1518" s="17" t="str">
        <f aca="false">VLOOKUP(R1518,Sheet2!N:O,2,0)</f>
        <v>IREPARABLE</v>
      </c>
      <c r="T1518" s="18" t="str">
        <f aca="false">VLOOKUP(P1518,Sheet2!Q:R,2,0)</f>
        <v>IR Normal - Track burn out</v>
      </c>
      <c r="U1518" s="18" t="s">
        <v>122</v>
      </c>
      <c r="V1518" s="17" t="n">
        <v>2</v>
      </c>
      <c r="W1518" s="20" t="str">
        <f aca="false">VLOOKUP(V1518,Sheet2!Q:R,2,0)</f>
        <v>IR CID -  Water log from other area</v>
      </c>
      <c r="X1518" s="17" t="str">
        <f aca="false">J1518</f>
        <v>A005</v>
      </c>
      <c r="Y1518" s="17" t="str">
        <f aca="false">VLOOKUP(X1518,Sheet2!A:B,2,0)</f>
        <v>VASANT PARMAR</v>
      </c>
      <c r="Z1518" s="17" t="s">
        <v>767</v>
      </c>
      <c r="AA1518" s="17" t="s">
        <v>642</v>
      </c>
      <c r="AB1518" s="17" t="s">
        <v>41</v>
      </c>
      <c r="AC1518" s="0" t="str">
        <f aca="false">LEFT(G1518,2)</f>
        <v>86</v>
      </c>
      <c r="AE1518" s="21" t="s">
        <v>506</v>
      </c>
    </row>
    <row r="1519" customFormat="false" ht="15" hidden="false" customHeight="false" outlineLevel="0" collapsed="false">
      <c r="A1519" s="13" t="n">
        <f aca="false">1+A1518</f>
        <v>1517</v>
      </c>
      <c r="B1519" s="14" t="n">
        <v>1009561797</v>
      </c>
      <c r="C1519" s="17" t="s">
        <v>192</v>
      </c>
      <c r="D1519" s="16" t="s">
        <v>64</v>
      </c>
      <c r="E1519" s="17" t="s">
        <v>64</v>
      </c>
      <c r="F1519" s="18" t="s">
        <v>34</v>
      </c>
      <c r="G1519" s="19" t="n">
        <v>866071126761</v>
      </c>
      <c r="H1519" s="17" t="s">
        <v>35</v>
      </c>
      <c r="I1519" s="17" t="s">
        <v>72</v>
      </c>
      <c r="J1519" s="17" t="s">
        <v>239</v>
      </c>
      <c r="K1519" s="17" t="str">
        <f aca="false">VLOOKUP(J1519,Sheet2!A:B,2,0)</f>
        <v>VASANT PARMAR</v>
      </c>
      <c r="L1519" s="17" t="n">
        <v>5</v>
      </c>
      <c r="M1519" s="17" t="str">
        <f aca="false">VLOOKUP(L1519,Sheet2!D:E,2,0)</f>
        <v>Main Processor CPU BGA</v>
      </c>
      <c r="N1519" s="17" t="n">
        <v>1</v>
      </c>
      <c r="O1519" s="17" t="str">
        <f aca="false">VLOOKUP(N1519,Sheet2!G:H,2,0)</f>
        <v>Dead</v>
      </c>
      <c r="P1519" s="17" t="n">
        <v>11</v>
      </c>
      <c r="Q1519" s="17" t="str">
        <f aca="false">VLOOKUP(P1519,Sheet2!J:K,2,0)</f>
        <v>IR Declared due to CID -TA</v>
      </c>
      <c r="R1519" s="17" t="s">
        <v>35</v>
      </c>
      <c r="S1519" s="17" t="str">
        <f aca="false">VLOOKUP(R1519,Sheet2!N:O,2,0)</f>
        <v>IREPARABLE</v>
      </c>
      <c r="T1519" s="18" t="str">
        <f aca="false">VLOOKUP(P1519,Sheet2!Q:R,2,0)</f>
        <v>IR Normal - Track burn out</v>
      </c>
      <c r="U1519" s="18" t="s">
        <v>122</v>
      </c>
      <c r="V1519" s="17" t="n">
        <v>2</v>
      </c>
      <c r="W1519" s="20" t="str">
        <f aca="false">VLOOKUP(V1519,Sheet2!Q:R,2,0)</f>
        <v>IR CID -  Water log from other area</v>
      </c>
      <c r="X1519" s="17" t="str">
        <f aca="false">J1519</f>
        <v>A005</v>
      </c>
      <c r="Y1519" s="17" t="str">
        <f aca="false">VLOOKUP(X1519,Sheet2!A:B,2,0)</f>
        <v>VASANT PARMAR</v>
      </c>
      <c r="Z1519" s="17" t="s">
        <v>767</v>
      </c>
      <c r="AA1519" s="17" t="s">
        <v>642</v>
      </c>
      <c r="AB1519" s="17" t="s">
        <v>41</v>
      </c>
      <c r="AC1519" s="0" t="str">
        <f aca="false">LEFT(G1519,2)</f>
        <v>86</v>
      </c>
      <c r="AE1519" s="21" t="s">
        <v>506</v>
      </c>
    </row>
    <row r="1520" customFormat="false" ht="15" hidden="false" customHeight="false" outlineLevel="0" collapsed="false">
      <c r="A1520" s="13" t="n">
        <f aca="false">1+A1519</f>
        <v>1518</v>
      </c>
      <c r="B1520" s="14" t="n">
        <v>100967309</v>
      </c>
      <c r="C1520" s="17" t="s">
        <v>436</v>
      </c>
      <c r="D1520" s="16" t="s">
        <v>119</v>
      </c>
      <c r="E1520" s="17" t="s">
        <v>274</v>
      </c>
      <c r="F1520" s="18" t="s">
        <v>34</v>
      </c>
      <c r="G1520" s="19" t="n">
        <v>866020284364</v>
      </c>
      <c r="H1520" s="17" t="s">
        <v>35</v>
      </c>
      <c r="I1520" s="17" t="s">
        <v>72</v>
      </c>
      <c r="J1520" s="17" t="s">
        <v>111</v>
      </c>
      <c r="K1520" s="17" t="str">
        <f aca="false">VLOOKUP(J1520,Sheet2!A:B,2,0)</f>
        <v>NITIN PRANAMI</v>
      </c>
      <c r="L1520" s="17" t="n">
        <v>1</v>
      </c>
      <c r="M1520" s="17" t="str">
        <f aca="false">VLOOKUP(L1520,Sheet2!D:E,2,0)</f>
        <v>Power Supply Section</v>
      </c>
      <c r="N1520" s="17" t="n">
        <v>1</v>
      </c>
      <c r="O1520" s="17" t="str">
        <f aca="false">VLOOKUP(N1520,Sheet2!G:H,2,0)</f>
        <v>Dead</v>
      </c>
      <c r="P1520" s="17" t="n">
        <v>12</v>
      </c>
      <c r="Q1520" s="17" t="str">
        <f aca="false">VLOOKUP(P1520,Sheet2!J:K,2,0)</f>
        <v>IR Declared due to Others ( IR Normal)TB</v>
      </c>
      <c r="R1520" s="17" t="s">
        <v>35</v>
      </c>
      <c r="S1520" s="17" t="str">
        <f aca="false">VLOOKUP(R1520,Sheet2!N:O,2,0)</f>
        <v>IREPARABLE</v>
      </c>
      <c r="T1520" s="18" t="str">
        <f aca="false">VLOOKUP(P1520,Sheet2!Q:R,2,0)</f>
        <v>IR Normal - BER to IR</v>
      </c>
      <c r="U1520" s="18" t="s">
        <v>101</v>
      </c>
      <c r="V1520" s="17" t="n">
        <v>8</v>
      </c>
      <c r="W1520" s="20" t="str">
        <f aca="false">VLOOKUP(V1520,Sheet2!Q:R,2,0)</f>
        <v>IR Normal -TrackRust/InternalDamage/open</v>
      </c>
      <c r="X1520" s="17" t="str">
        <f aca="false">J1520</f>
        <v>A031</v>
      </c>
      <c r="Y1520" s="17" t="str">
        <f aca="false">VLOOKUP(X1520,Sheet2!A:B,2,0)</f>
        <v>NITIN PRANAMI</v>
      </c>
      <c r="Z1520" s="17" t="s">
        <v>768</v>
      </c>
      <c r="AA1520" s="17" t="s">
        <v>642</v>
      </c>
      <c r="AB1520" s="17" t="s">
        <v>41</v>
      </c>
      <c r="AC1520" s="0" t="str">
        <f aca="false">LEFT(G1520,2)</f>
        <v>86</v>
      </c>
      <c r="AE1520" s="21" t="s">
        <v>506</v>
      </c>
    </row>
    <row r="1521" customFormat="false" ht="15" hidden="false" customHeight="false" outlineLevel="0" collapsed="false">
      <c r="A1521" s="13" t="n">
        <f aca="false">1+A1520</f>
        <v>1519</v>
      </c>
      <c r="B1521" s="14" t="n">
        <v>1009618673</v>
      </c>
      <c r="C1521" s="17" t="s">
        <v>184</v>
      </c>
      <c r="D1521" s="16" t="s">
        <v>64</v>
      </c>
      <c r="E1521" s="17" t="s">
        <v>47</v>
      </c>
      <c r="F1521" s="18" t="s">
        <v>34</v>
      </c>
      <c r="G1521" s="19" t="n">
        <v>867131127971</v>
      </c>
      <c r="H1521" s="17" t="s">
        <v>35</v>
      </c>
      <c r="I1521" s="17" t="s">
        <v>72</v>
      </c>
      <c r="J1521" s="17" t="s">
        <v>111</v>
      </c>
      <c r="K1521" s="17" t="str">
        <f aca="false">VLOOKUP(J1521,Sheet2!A:B,2,0)</f>
        <v>NITIN PRANAMI</v>
      </c>
      <c r="L1521" s="17" t="n">
        <v>1</v>
      </c>
      <c r="M1521" s="17" t="str">
        <f aca="false">VLOOKUP(L1521,Sheet2!D:E,2,0)</f>
        <v>Power Supply Section</v>
      </c>
      <c r="N1521" s="17" t="n">
        <v>1</v>
      </c>
      <c r="O1521" s="17" t="str">
        <f aca="false">VLOOKUP(N1521,Sheet2!G:H,2,0)</f>
        <v>Dead</v>
      </c>
      <c r="P1521" s="17" t="n">
        <v>11</v>
      </c>
      <c r="Q1521" s="17" t="str">
        <f aca="false">VLOOKUP(P1521,Sheet2!J:K,2,0)</f>
        <v>IR Declared due to CID -TA</v>
      </c>
      <c r="R1521" s="17" t="s">
        <v>35</v>
      </c>
      <c r="S1521" s="17" t="str">
        <f aca="false">VLOOKUP(R1521,Sheet2!N:O,2,0)</f>
        <v>IREPARABLE</v>
      </c>
      <c r="T1521" s="18" t="str">
        <f aca="false">VLOOKUP(P1521,Sheet2!Q:R,2,0)</f>
        <v>IR Normal - Track burn out</v>
      </c>
      <c r="U1521" s="18" t="s">
        <v>122</v>
      </c>
      <c r="V1521" s="17" t="n">
        <v>2</v>
      </c>
      <c r="W1521" s="20" t="str">
        <f aca="false">VLOOKUP(V1521,Sheet2!Q:R,2,0)</f>
        <v>IR CID -  Water log from other area</v>
      </c>
      <c r="X1521" s="17" t="str">
        <f aca="false">J1521</f>
        <v>A031</v>
      </c>
      <c r="Y1521" s="17" t="str">
        <f aca="false">VLOOKUP(X1521,Sheet2!A:B,2,0)</f>
        <v>NITIN PRANAMI</v>
      </c>
      <c r="Z1521" s="17" t="s">
        <v>769</v>
      </c>
      <c r="AA1521" s="17" t="s">
        <v>642</v>
      </c>
      <c r="AB1521" s="17" t="s">
        <v>41</v>
      </c>
      <c r="AC1521" s="0" t="str">
        <f aca="false">LEFT(G1521,2)</f>
        <v>86</v>
      </c>
      <c r="AE1521" s="21" t="s">
        <v>506</v>
      </c>
    </row>
    <row r="1522" customFormat="false" ht="15" hidden="false" customHeight="false" outlineLevel="0" collapsed="false">
      <c r="A1522" s="13" t="n">
        <f aca="false">1+A1521</f>
        <v>1520</v>
      </c>
      <c r="B1522" s="14" t="n">
        <v>1009683352</v>
      </c>
      <c r="C1522" s="17" t="s">
        <v>413</v>
      </c>
      <c r="D1522" s="16" t="s">
        <v>64</v>
      </c>
      <c r="E1522" s="17" t="s">
        <v>770</v>
      </c>
      <c r="F1522" s="18" t="s">
        <v>34</v>
      </c>
      <c r="G1522" s="19" t="n">
        <v>865197281039</v>
      </c>
      <c r="H1522" s="17" t="s">
        <v>35</v>
      </c>
      <c r="I1522" s="17" t="s">
        <v>72</v>
      </c>
      <c r="J1522" s="17" t="s">
        <v>267</v>
      </c>
      <c r="K1522" s="17" t="str">
        <f aca="false">VLOOKUP(J1522,Sheet2!A:B,2,0)</f>
        <v>HARIRAM GUPTA</v>
      </c>
      <c r="L1522" s="17" t="n">
        <v>1</v>
      </c>
      <c r="M1522" s="17" t="str">
        <f aca="false">VLOOKUP(L1522,Sheet2!D:E,2,0)</f>
        <v>Power Supply Section</v>
      </c>
      <c r="N1522" s="17" t="n">
        <v>1</v>
      </c>
      <c r="O1522" s="17" t="str">
        <f aca="false">VLOOKUP(N1522,Sheet2!G:H,2,0)</f>
        <v>Dead</v>
      </c>
      <c r="P1522" s="17" t="n">
        <v>11</v>
      </c>
      <c r="Q1522" s="17" t="str">
        <f aca="false">VLOOKUP(P1522,Sheet2!J:K,2,0)</f>
        <v>IR Declared due to CID -TA</v>
      </c>
      <c r="R1522" s="17" t="s">
        <v>35</v>
      </c>
      <c r="S1522" s="17" t="str">
        <f aca="false">VLOOKUP(R1522,Sheet2!N:O,2,0)</f>
        <v>IREPARABLE</v>
      </c>
      <c r="T1522" s="18" t="str">
        <f aca="false">VLOOKUP(P1522,Sheet2!Q:R,2,0)</f>
        <v>IR Normal - Track burn out</v>
      </c>
      <c r="U1522" s="18" t="s">
        <v>122</v>
      </c>
      <c r="V1522" s="17" t="n">
        <v>2</v>
      </c>
      <c r="W1522" s="20" t="str">
        <f aca="false">VLOOKUP(V1522,Sheet2!Q:R,2,0)</f>
        <v>IR CID -  Water log from other area</v>
      </c>
      <c r="X1522" s="17" t="str">
        <f aca="false">J1522</f>
        <v>A007</v>
      </c>
      <c r="Y1522" s="17" t="str">
        <f aca="false">VLOOKUP(X1522,Sheet2!A:B,2,0)</f>
        <v>HARIRAM GUPTA</v>
      </c>
      <c r="Z1522" s="17" t="s">
        <v>771</v>
      </c>
      <c r="AA1522" s="17" t="s">
        <v>642</v>
      </c>
      <c r="AB1522" s="17" t="s">
        <v>41</v>
      </c>
      <c r="AC1522" s="0" t="str">
        <f aca="false">LEFT(G1522,2)</f>
        <v>86</v>
      </c>
      <c r="AE1522" s="21" t="s">
        <v>506</v>
      </c>
    </row>
    <row r="1523" customFormat="false" ht="15" hidden="false" customHeight="false" outlineLevel="0" collapsed="false">
      <c r="A1523" s="13" t="n">
        <f aca="false">1+A1522</f>
        <v>1521</v>
      </c>
      <c r="B1523" s="14" t="n">
        <v>1009562762</v>
      </c>
      <c r="C1523" s="17" t="s">
        <v>192</v>
      </c>
      <c r="D1523" s="16" t="s">
        <v>154</v>
      </c>
      <c r="E1523" s="17" t="s">
        <v>47</v>
      </c>
      <c r="F1523" s="18" t="s">
        <v>34</v>
      </c>
      <c r="G1523" s="19" t="n">
        <v>864282181121</v>
      </c>
      <c r="H1523" s="17" t="s">
        <v>35</v>
      </c>
      <c r="I1523" s="17" t="s">
        <v>72</v>
      </c>
      <c r="J1523" s="17" t="s">
        <v>239</v>
      </c>
      <c r="K1523" s="17" t="str">
        <f aca="false">VLOOKUP(J1523,Sheet2!A:B,2,0)</f>
        <v>VASANT PARMAR</v>
      </c>
      <c r="L1523" s="17" t="n">
        <v>5</v>
      </c>
      <c r="M1523" s="17" t="str">
        <f aca="false">VLOOKUP(L1523,Sheet2!D:E,2,0)</f>
        <v>Main Processor CPU BGA</v>
      </c>
      <c r="N1523" s="17" t="n">
        <v>1</v>
      </c>
      <c r="O1523" s="17" t="str">
        <f aca="false">VLOOKUP(N1523,Sheet2!G:H,2,0)</f>
        <v>Dead</v>
      </c>
      <c r="P1523" s="17" t="n">
        <v>11</v>
      </c>
      <c r="Q1523" s="17" t="str">
        <f aca="false">VLOOKUP(P1523,Sheet2!J:K,2,0)</f>
        <v>IR Declared due to CID -TA</v>
      </c>
      <c r="R1523" s="17" t="s">
        <v>35</v>
      </c>
      <c r="S1523" s="17" t="str">
        <f aca="false">VLOOKUP(R1523,Sheet2!N:O,2,0)</f>
        <v>IREPARABLE</v>
      </c>
      <c r="T1523" s="18" t="str">
        <f aca="false">VLOOKUP(P1523,Sheet2!Q:R,2,0)</f>
        <v>IR Normal - Track burn out</v>
      </c>
      <c r="U1523" s="18" t="s">
        <v>122</v>
      </c>
      <c r="V1523" s="17" t="n">
        <v>2</v>
      </c>
      <c r="W1523" s="20" t="str">
        <f aca="false">VLOOKUP(V1523,Sheet2!Q:R,2,0)</f>
        <v>IR CID -  Water log from other area</v>
      </c>
      <c r="X1523" s="17" t="str">
        <f aca="false">J1523</f>
        <v>A005</v>
      </c>
      <c r="Y1523" s="17" t="str">
        <f aca="false">VLOOKUP(X1523,Sheet2!A:B,2,0)</f>
        <v>VASANT PARMAR</v>
      </c>
      <c r="Z1523" s="17" t="s">
        <v>254</v>
      </c>
      <c r="AA1523" s="17" t="s">
        <v>642</v>
      </c>
      <c r="AB1523" s="17" t="s">
        <v>41</v>
      </c>
      <c r="AC1523" s="0" t="str">
        <f aca="false">LEFT(G1523,2)</f>
        <v>86</v>
      </c>
      <c r="AE1523" s="21" t="s">
        <v>506</v>
      </c>
    </row>
    <row r="1524" customFormat="false" ht="15" hidden="false" customHeight="false" outlineLevel="0" collapsed="false">
      <c r="A1524" s="13" t="n">
        <f aca="false">1+A1523</f>
        <v>1522</v>
      </c>
      <c r="B1524" s="14" t="n">
        <v>1009648301</v>
      </c>
      <c r="C1524" s="17" t="s">
        <v>204</v>
      </c>
      <c r="D1524" s="16" t="s">
        <v>64</v>
      </c>
      <c r="E1524" s="17" t="s">
        <v>64</v>
      </c>
      <c r="F1524" s="18" t="s">
        <v>34</v>
      </c>
      <c r="G1524" s="19" t="n">
        <v>865146179417</v>
      </c>
      <c r="H1524" s="17" t="s">
        <v>35</v>
      </c>
      <c r="I1524" s="17" t="s">
        <v>72</v>
      </c>
      <c r="J1524" s="17" t="s">
        <v>241</v>
      </c>
      <c r="K1524" s="17" t="str">
        <f aca="false">VLOOKUP(J1524,Sheet2!A:B,2,0)</f>
        <v>NILESH NAGAR</v>
      </c>
      <c r="L1524" s="17" t="n">
        <v>5</v>
      </c>
      <c r="M1524" s="17" t="str">
        <f aca="false">VLOOKUP(L1524,Sheet2!D:E,2,0)</f>
        <v>Main Processor CPU BGA</v>
      </c>
      <c r="N1524" s="17" t="n">
        <v>1</v>
      </c>
      <c r="O1524" s="17" t="str">
        <f aca="false">VLOOKUP(N1524,Sheet2!G:H,2,0)</f>
        <v>Dead</v>
      </c>
      <c r="P1524" s="17" t="n">
        <v>11</v>
      </c>
      <c r="Q1524" s="17" t="str">
        <f aca="false">VLOOKUP(P1524,Sheet2!J:K,2,0)</f>
        <v>IR Declared due to CID -TA</v>
      </c>
      <c r="R1524" s="17" t="s">
        <v>35</v>
      </c>
      <c r="S1524" s="17" t="str">
        <f aca="false">VLOOKUP(R1524,Sheet2!N:O,2,0)</f>
        <v>IREPARABLE</v>
      </c>
      <c r="T1524" s="18" t="str">
        <f aca="false">VLOOKUP(P1524,Sheet2!Q:R,2,0)</f>
        <v>IR Normal - Track burn out</v>
      </c>
      <c r="U1524" s="20" t="s">
        <v>256</v>
      </c>
      <c r="V1524" s="17" t="n">
        <v>1</v>
      </c>
      <c r="W1524" s="20" t="str">
        <f aca="false">VLOOKUP(V1524,Sheet2!Q:R,2,0)</f>
        <v>IR CID -  Water log from IF port</v>
      </c>
      <c r="X1524" s="17" t="str">
        <f aca="false">J1524</f>
        <v>A008</v>
      </c>
      <c r="Y1524" s="17" t="str">
        <f aca="false">VLOOKUP(X1524,Sheet2!A:B,2,0)</f>
        <v>NILESH NAGAR</v>
      </c>
      <c r="Z1524" s="17" t="s">
        <v>772</v>
      </c>
      <c r="AA1524" s="17" t="s">
        <v>642</v>
      </c>
      <c r="AB1524" s="17" t="s">
        <v>41</v>
      </c>
      <c r="AC1524" s="0" t="str">
        <f aca="false">LEFT(G1524,2)</f>
        <v>86</v>
      </c>
      <c r="AE1524" s="21" t="s">
        <v>506</v>
      </c>
    </row>
    <row r="1525" customFormat="false" ht="15" hidden="false" customHeight="false" outlineLevel="0" collapsed="false">
      <c r="A1525" s="13" t="n">
        <f aca="false">1+A1524</f>
        <v>1523</v>
      </c>
      <c r="B1525" s="14" t="n">
        <v>1009622264</v>
      </c>
      <c r="C1525" s="17" t="s">
        <v>184</v>
      </c>
      <c r="D1525" s="16" t="s">
        <v>64</v>
      </c>
      <c r="E1525" s="17" t="s">
        <v>773</v>
      </c>
      <c r="F1525" s="18" t="s">
        <v>34</v>
      </c>
      <c r="G1525" s="19" t="n">
        <v>865344134545</v>
      </c>
      <c r="H1525" s="17" t="s">
        <v>35</v>
      </c>
      <c r="I1525" s="17" t="s">
        <v>72</v>
      </c>
      <c r="J1525" s="17" t="s">
        <v>241</v>
      </c>
      <c r="K1525" s="17" t="str">
        <f aca="false">VLOOKUP(J1525,Sheet2!A:B,2,0)</f>
        <v>NILESH NAGAR</v>
      </c>
      <c r="L1525" s="17" t="n">
        <v>5</v>
      </c>
      <c r="M1525" s="17" t="str">
        <f aca="false">VLOOKUP(L1525,Sheet2!D:E,2,0)</f>
        <v>Main Processor CPU BGA</v>
      </c>
      <c r="N1525" s="17" t="n">
        <v>1</v>
      </c>
      <c r="O1525" s="17" t="str">
        <f aca="false">VLOOKUP(N1525,Sheet2!G:H,2,0)</f>
        <v>Dead</v>
      </c>
      <c r="P1525" s="17" t="n">
        <v>11</v>
      </c>
      <c r="Q1525" s="17" t="str">
        <f aca="false">VLOOKUP(P1525,Sheet2!J:K,2,0)</f>
        <v>IR Declared due to CID -TA</v>
      </c>
      <c r="R1525" s="17" t="s">
        <v>35</v>
      </c>
      <c r="S1525" s="17" t="str">
        <f aca="false">VLOOKUP(R1525,Sheet2!N:O,2,0)</f>
        <v>IREPARABLE</v>
      </c>
      <c r="T1525" s="18" t="str">
        <f aca="false">VLOOKUP(P1525,Sheet2!Q:R,2,0)</f>
        <v>IR Normal - Track burn out</v>
      </c>
      <c r="U1525" s="18" t="s">
        <v>122</v>
      </c>
      <c r="V1525" s="17" t="n">
        <v>2</v>
      </c>
      <c r="W1525" s="20" t="str">
        <f aca="false">VLOOKUP(V1525,Sheet2!Q:R,2,0)</f>
        <v>IR CID -  Water log from other area</v>
      </c>
      <c r="X1525" s="17" t="str">
        <f aca="false">J1525</f>
        <v>A008</v>
      </c>
      <c r="Y1525" s="17" t="str">
        <f aca="false">VLOOKUP(X1525,Sheet2!A:B,2,0)</f>
        <v>NILESH NAGAR</v>
      </c>
      <c r="Z1525" s="17" t="s">
        <v>774</v>
      </c>
      <c r="AA1525" s="17" t="s">
        <v>642</v>
      </c>
      <c r="AB1525" s="17" t="s">
        <v>41</v>
      </c>
      <c r="AC1525" s="0" t="str">
        <f aca="false">LEFT(G1525,2)</f>
        <v>86</v>
      </c>
      <c r="AE1525" s="21" t="s">
        <v>506</v>
      </c>
    </row>
    <row r="1526" customFormat="false" ht="15" hidden="false" customHeight="false" outlineLevel="0" collapsed="false">
      <c r="A1526" s="13" t="n">
        <f aca="false">1+A1525</f>
        <v>1524</v>
      </c>
      <c r="B1526" s="14" t="n">
        <v>1009621105</v>
      </c>
      <c r="C1526" s="17" t="s">
        <v>184</v>
      </c>
      <c r="D1526" s="16" t="s">
        <v>359</v>
      </c>
      <c r="E1526" s="17" t="s">
        <v>33</v>
      </c>
      <c r="F1526" s="18" t="s">
        <v>34</v>
      </c>
      <c r="G1526" s="19" t="n">
        <v>865238144022</v>
      </c>
      <c r="H1526" s="17" t="s">
        <v>35</v>
      </c>
      <c r="I1526" s="17" t="s">
        <v>72</v>
      </c>
      <c r="J1526" s="17" t="s">
        <v>775</v>
      </c>
      <c r="K1526" s="17" t="e">
        <f aca="false">VLOOKUP(J1526,Sheet2!A:B,2,0)</f>
        <v>#N/A</v>
      </c>
      <c r="L1526" s="17" t="n">
        <v>5</v>
      </c>
      <c r="M1526" s="17" t="str">
        <f aca="false">VLOOKUP(L1526,Sheet2!D:E,2,0)</f>
        <v>Main Processor CPU BGA</v>
      </c>
      <c r="N1526" s="17" t="n">
        <v>1</v>
      </c>
      <c r="O1526" s="17" t="str">
        <f aca="false">VLOOKUP(N1526,Sheet2!G:H,2,0)</f>
        <v>Dead</v>
      </c>
      <c r="P1526" s="17" t="n">
        <v>11</v>
      </c>
      <c r="Q1526" s="17" t="str">
        <f aca="false">VLOOKUP(P1526,Sheet2!J:K,2,0)</f>
        <v>IR Declared due to CID -TA</v>
      </c>
      <c r="R1526" s="17" t="s">
        <v>35</v>
      </c>
      <c r="S1526" s="17" t="str">
        <f aca="false">VLOOKUP(R1526,Sheet2!N:O,2,0)</f>
        <v>IREPARABLE</v>
      </c>
      <c r="T1526" s="18" t="str">
        <f aca="false">VLOOKUP(P1526,Sheet2!Q:R,2,0)</f>
        <v>IR Normal - Track burn out</v>
      </c>
      <c r="U1526" s="18" t="s">
        <v>122</v>
      </c>
      <c r="V1526" s="17" t="n">
        <v>2</v>
      </c>
      <c r="W1526" s="20" t="str">
        <f aca="false">VLOOKUP(V1526,Sheet2!Q:R,2,0)</f>
        <v>IR CID -  Water log from other area</v>
      </c>
      <c r="X1526" s="17" t="str">
        <f aca="false">J1526</f>
        <v>AS008</v>
      </c>
      <c r="Y1526" s="17" t="e">
        <f aca="false">VLOOKUP(X1526,Sheet2!A:B,2,0)</f>
        <v>#N/A</v>
      </c>
      <c r="Z1526" s="17" t="s">
        <v>776</v>
      </c>
      <c r="AA1526" s="17" t="s">
        <v>642</v>
      </c>
      <c r="AB1526" s="17" t="s">
        <v>41</v>
      </c>
      <c r="AC1526" s="0" t="str">
        <f aca="false">LEFT(G1526,2)</f>
        <v>86</v>
      </c>
      <c r="AE1526" s="21" t="s">
        <v>506</v>
      </c>
    </row>
    <row r="1527" customFormat="false" ht="15" hidden="false" customHeight="false" outlineLevel="0" collapsed="false">
      <c r="A1527" s="13" t="n">
        <f aca="false">1+A1526</f>
        <v>1525</v>
      </c>
      <c r="B1527" s="14" t="n">
        <v>1009603222</v>
      </c>
      <c r="C1527" s="17" t="s">
        <v>181</v>
      </c>
      <c r="D1527" s="16" t="s">
        <v>64</v>
      </c>
      <c r="E1527" s="17" t="s">
        <v>64</v>
      </c>
      <c r="F1527" s="18" t="s">
        <v>34</v>
      </c>
      <c r="G1527" s="19" t="n">
        <v>867119110270</v>
      </c>
      <c r="H1527" s="17" t="s">
        <v>35</v>
      </c>
      <c r="I1527" s="17" t="s">
        <v>72</v>
      </c>
      <c r="J1527" s="17" t="s">
        <v>241</v>
      </c>
      <c r="K1527" s="17" t="str">
        <f aca="false">VLOOKUP(J1527,Sheet2!A:B,2,0)</f>
        <v>NILESH NAGAR</v>
      </c>
      <c r="L1527" s="17" t="n">
        <v>5</v>
      </c>
      <c r="M1527" s="17" t="str">
        <f aca="false">VLOOKUP(L1527,Sheet2!D:E,2,0)</f>
        <v>Main Processor CPU BGA</v>
      </c>
      <c r="N1527" s="17" t="n">
        <v>1</v>
      </c>
      <c r="O1527" s="17" t="str">
        <f aca="false">VLOOKUP(N1527,Sheet2!G:H,2,0)</f>
        <v>Dead</v>
      </c>
      <c r="P1527" s="17" t="n">
        <v>11</v>
      </c>
      <c r="Q1527" s="17" t="str">
        <f aca="false">VLOOKUP(P1527,Sheet2!J:K,2,0)</f>
        <v>IR Declared due to CID -TA</v>
      </c>
      <c r="R1527" s="17" t="s">
        <v>35</v>
      </c>
      <c r="S1527" s="17" t="str">
        <f aca="false">VLOOKUP(R1527,Sheet2!N:O,2,0)</f>
        <v>IREPARABLE</v>
      </c>
      <c r="T1527" s="18" t="str">
        <f aca="false">VLOOKUP(P1527,Sheet2!Q:R,2,0)</f>
        <v>IR Normal - Track burn out</v>
      </c>
      <c r="U1527" s="18" t="s">
        <v>122</v>
      </c>
      <c r="V1527" s="17" t="n">
        <v>2</v>
      </c>
      <c r="W1527" s="20" t="str">
        <f aca="false">VLOOKUP(V1527,Sheet2!Q:R,2,0)</f>
        <v>IR CID -  Water log from other area</v>
      </c>
      <c r="X1527" s="17" t="str">
        <f aca="false">J1527</f>
        <v>A008</v>
      </c>
      <c r="Y1527" s="17" t="str">
        <f aca="false">VLOOKUP(X1527,Sheet2!A:B,2,0)</f>
        <v>NILESH NAGAR</v>
      </c>
      <c r="Z1527" s="17" t="s">
        <v>341</v>
      </c>
      <c r="AA1527" s="17" t="s">
        <v>642</v>
      </c>
      <c r="AB1527" s="17" t="s">
        <v>41</v>
      </c>
      <c r="AC1527" s="0" t="str">
        <f aca="false">LEFT(G1527,2)</f>
        <v>86</v>
      </c>
      <c r="AE1527" s="21" t="s">
        <v>506</v>
      </c>
    </row>
    <row r="1528" customFormat="false" ht="15" hidden="false" customHeight="false" outlineLevel="0" collapsed="false">
      <c r="A1528" s="13" t="n">
        <f aca="false">1+A1527</f>
        <v>1526</v>
      </c>
      <c r="B1528" s="14" t="n">
        <v>1009441791</v>
      </c>
      <c r="C1528" s="17" t="s">
        <v>197</v>
      </c>
      <c r="D1528" s="16" t="s">
        <v>209</v>
      </c>
      <c r="E1528" s="17" t="s">
        <v>47</v>
      </c>
      <c r="F1528" s="18" t="s">
        <v>34</v>
      </c>
      <c r="G1528" s="19" t="n">
        <v>752161612987</v>
      </c>
      <c r="H1528" s="17" t="s">
        <v>35</v>
      </c>
      <c r="I1528" s="17" t="s">
        <v>54</v>
      </c>
      <c r="J1528" s="17" t="s">
        <v>115</v>
      </c>
      <c r="K1528" s="17" t="str">
        <f aca="false">VLOOKUP(J1528,Sheet2!A:B,2,0)</f>
        <v>ANKIT RANA</v>
      </c>
      <c r="L1528" s="17" t="n">
        <v>5</v>
      </c>
      <c r="M1528" s="17" t="str">
        <f aca="false">VLOOKUP(L1528,Sheet2!D:E,2,0)</f>
        <v>Main Processor CPU BGA</v>
      </c>
      <c r="N1528" s="17" t="n">
        <v>1</v>
      </c>
      <c r="O1528" s="17" t="str">
        <f aca="false">VLOOKUP(N1528,Sheet2!G:H,2,0)</f>
        <v>Dead</v>
      </c>
      <c r="P1528" s="17" t="n">
        <v>11</v>
      </c>
      <c r="Q1528" s="17" t="str">
        <f aca="false">VLOOKUP(P1528,Sheet2!J:K,2,0)</f>
        <v>IR Declared due to CID -TA</v>
      </c>
      <c r="R1528" s="17" t="s">
        <v>35</v>
      </c>
      <c r="S1528" s="17" t="str">
        <f aca="false">VLOOKUP(R1528,Sheet2!N:O,2,0)</f>
        <v>IREPARABLE</v>
      </c>
      <c r="T1528" s="18" t="str">
        <f aca="false">VLOOKUP(P1528,Sheet2!Q:R,2,0)</f>
        <v>IR Normal - Track burn out</v>
      </c>
      <c r="U1528" s="18" t="s">
        <v>122</v>
      </c>
      <c r="V1528" s="17" t="n">
        <v>2</v>
      </c>
      <c r="W1528" s="20" t="str">
        <f aca="false">VLOOKUP(V1528,Sheet2!Q:R,2,0)</f>
        <v>IR CID -  Water log from other area</v>
      </c>
      <c r="X1528" s="17" t="str">
        <f aca="false">J1528</f>
        <v>A042</v>
      </c>
      <c r="Y1528" s="17" t="str">
        <f aca="false">VLOOKUP(X1528,Sheet2!A:B,2,0)</f>
        <v>ANKIT RANA</v>
      </c>
      <c r="Z1528" s="17" t="s">
        <v>777</v>
      </c>
      <c r="AA1528" s="17" t="s">
        <v>642</v>
      </c>
      <c r="AB1528" s="17" t="s">
        <v>41</v>
      </c>
      <c r="AC1528" s="0" t="str">
        <f aca="false">LEFT(G1528,2)</f>
        <v>75</v>
      </c>
      <c r="AE1528" s="21" t="s">
        <v>506</v>
      </c>
    </row>
    <row r="1529" customFormat="false" ht="15" hidden="false" customHeight="false" outlineLevel="0" collapsed="false">
      <c r="A1529" s="13" t="n">
        <f aca="false">1+A1528</f>
        <v>1527</v>
      </c>
      <c r="B1529" s="14" t="n">
        <v>1009536331</v>
      </c>
      <c r="C1529" s="17" t="s">
        <v>311</v>
      </c>
      <c r="D1529" s="16" t="s">
        <v>64</v>
      </c>
      <c r="E1529" s="17" t="s">
        <v>64</v>
      </c>
      <c r="F1529" s="18" t="s">
        <v>34</v>
      </c>
      <c r="G1529" s="19" t="n">
        <v>853221714100</v>
      </c>
      <c r="H1529" s="17" t="s">
        <v>35</v>
      </c>
      <c r="I1529" s="17" t="s">
        <v>36</v>
      </c>
      <c r="J1529" s="17" t="s">
        <v>241</v>
      </c>
      <c r="K1529" s="17" t="str">
        <f aca="false">VLOOKUP(J1529,Sheet2!A:B,2,0)</f>
        <v>NILESH NAGAR</v>
      </c>
      <c r="L1529" s="17" t="n">
        <v>5</v>
      </c>
      <c r="M1529" s="17" t="str">
        <f aca="false">VLOOKUP(L1529,Sheet2!D:E,2,0)</f>
        <v>Main Processor CPU BGA</v>
      </c>
      <c r="N1529" s="17" t="n">
        <v>1</v>
      </c>
      <c r="O1529" s="17" t="str">
        <f aca="false">VLOOKUP(N1529,Sheet2!G:H,2,0)</f>
        <v>Dead</v>
      </c>
      <c r="P1529" s="17" t="n">
        <v>11</v>
      </c>
      <c r="Q1529" s="17" t="str">
        <f aca="false">VLOOKUP(P1529,Sheet2!J:K,2,0)</f>
        <v>IR Declared due to CID -TA</v>
      </c>
      <c r="R1529" s="17" t="s">
        <v>35</v>
      </c>
      <c r="S1529" s="17" t="str">
        <f aca="false">VLOOKUP(R1529,Sheet2!N:O,2,0)</f>
        <v>IREPARABLE</v>
      </c>
      <c r="T1529" s="18" t="str">
        <f aca="false">VLOOKUP(P1529,Sheet2!Q:R,2,0)</f>
        <v>IR Normal - Track burn out</v>
      </c>
      <c r="U1529" s="18" t="s">
        <v>122</v>
      </c>
      <c r="V1529" s="17" t="n">
        <v>2</v>
      </c>
      <c r="W1529" s="20" t="str">
        <f aca="false">VLOOKUP(V1529,Sheet2!Q:R,2,0)</f>
        <v>IR CID -  Water log from other area</v>
      </c>
      <c r="X1529" s="17" t="str">
        <f aca="false">J1529</f>
        <v>A008</v>
      </c>
      <c r="Y1529" s="17" t="str">
        <f aca="false">VLOOKUP(X1529,Sheet2!A:B,2,0)</f>
        <v>NILESH NAGAR</v>
      </c>
      <c r="Z1529" s="17" t="s">
        <v>778</v>
      </c>
      <c r="AA1529" s="17" t="s">
        <v>642</v>
      </c>
      <c r="AB1529" s="17" t="s">
        <v>41</v>
      </c>
      <c r="AC1529" s="0" t="str">
        <f aca="false">LEFT(G1529,2)</f>
        <v>85</v>
      </c>
      <c r="AE1529" s="21" t="s">
        <v>506</v>
      </c>
    </row>
    <row r="1530" customFormat="false" ht="15" hidden="false" customHeight="false" outlineLevel="0" collapsed="false">
      <c r="A1530" s="13" t="n">
        <f aca="false">1+A1529</f>
        <v>1528</v>
      </c>
      <c r="B1530" s="14" t="n">
        <v>1009623573</v>
      </c>
      <c r="C1530" s="17" t="s">
        <v>184</v>
      </c>
      <c r="D1530" s="16" t="s">
        <v>64</v>
      </c>
      <c r="E1530" s="17" t="s">
        <v>200</v>
      </c>
      <c r="F1530" s="18" t="s">
        <v>34</v>
      </c>
      <c r="G1530" s="19" t="n">
        <v>853074773799</v>
      </c>
      <c r="H1530" s="17" t="s">
        <v>35</v>
      </c>
      <c r="I1530" s="17" t="s">
        <v>36</v>
      </c>
      <c r="J1530" s="17" t="s">
        <v>121</v>
      </c>
      <c r="K1530" s="17" t="str">
        <f aca="false">VLOOKUP(J1530,Sheet2!A:B,2,0)</f>
        <v>SHANI GOHIL</v>
      </c>
      <c r="L1530" s="17" t="n">
        <v>1</v>
      </c>
      <c r="M1530" s="17" t="str">
        <f aca="false">VLOOKUP(L1530,Sheet2!D:E,2,0)</f>
        <v>Power Supply Section</v>
      </c>
      <c r="N1530" s="17" t="n">
        <v>1</v>
      </c>
      <c r="O1530" s="17" t="str">
        <f aca="false">VLOOKUP(N1530,Sheet2!G:H,2,0)</f>
        <v>Dead</v>
      </c>
      <c r="P1530" s="17" t="n">
        <v>12</v>
      </c>
      <c r="Q1530" s="17" t="str">
        <f aca="false">VLOOKUP(P1530,Sheet2!J:K,2,0)</f>
        <v>IR Declared due to Others ( IR Normal)TB</v>
      </c>
      <c r="R1530" s="17" t="s">
        <v>35</v>
      </c>
      <c r="S1530" s="17" t="str">
        <f aca="false">VLOOKUP(R1530,Sheet2!N:O,2,0)</f>
        <v>IREPARABLE</v>
      </c>
      <c r="T1530" s="18" t="str">
        <f aca="false">VLOOKUP(P1530,Sheet2!Q:R,2,0)</f>
        <v>IR Normal - BER to IR</v>
      </c>
      <c r="U1530" s="20" t="s">
        <v>110</v>
      </c>
      <c r="V1530" s="17" t="n">
        <v>9</v>
      </c>
      <c r="W1530" s="20" t="str">
        <f aca="false">VLOOKUP(V1530,Sheet2!Q:R,2,0)</f>
        <v>IR Normal - Multiple time repair </v>
      </c>
      <c r="X1530" s="17" t="str">
        <f aca="false">J1530</f>
        <v>A063</v>
      </c>
      <c r="Y1530" s="17" t="str">
        <f aca="false">VLOOKUP(X1530,Sheet2!A:B,2,0)</f>
        <v>SHANI GOHIL</v>
      </c>
      <c r="Z1530" s="17" t="s">
        <v>127</v>
      </c>
      <c r="AA1530" s="17" t="s">
        <v>642</v>
      </c>
      <c r="AB1530" s="17" t="s">
        <v>41</v>
      </c>
      <c r="AC1530" s="0" t="str">
        <f aca="false">LEFT(G1530,2)</f>
        <v>85</v>
      </c>
      <c r="AE1530" s="21" t="s">
        <v>506</v>
      </c>
    </row>
    <row r="1531" customFormat="false" ht="15" hidden="false" customHeight="false" outlineLevel="0" collapsed="false">
      <c r="A1531" s="13" t="n">
        <f aca="false">1+A1530</f>
        <v>1529</v>
      </c>
      <c r="B1531" s="14" t="n">
        <v>1009688806</v>
      </c>
      <c r="C1531" s="17" t="s">
        <v>449</v>
      </c>
      <c r="D1531" s="16" t="s">
        <v>64</v>
      </c>
      <c r="E1531" s="17" t="s">
        <v>64</v>
      </c>
      <c r="F1531" s="18" t="s">
        <v>34</v>
      </c>
      <c r="G1531" s="19" t="n">
        <v>844095789997</v>
      </c>
      <c r="H1531" s="17" t="s">
        <v>35</v>
      </c>
      <c r="I1531" s="17" t="s">
        <v>36</v>
      </c>
      <c r="J1531" s="17" t="s">
        <v>239</v>
      </c>
      <c r="K1531" s="17" t="str">
        <f aca="false">VLOOKUP(J1531,Sheet2!A:B,2,0)</f>
        <v>VASANT PARMAR</v>
      </c>
      <c r="L1531" s="17" t="n">
        <v>5</v>
      </c>
      <c r="M1531" s="17" t="str">
        <f aca="false">VLOOKUP(L1531,Sheet2!D:E,2,0)</f>
        <v>Main Processor CPU BGA</v>
      </c>
      <c r="N1531" s="17" t="n">
        <v>1</v>
      </c>
      <c r="O1531" s="17" t="str">
        <f aca="false">VLOOKUP(N1531,Sheet2!G:H,2,0)</f>
        <v>Dead</v>
      </c>
      <c r="P1531" s="17" t="n">
        <v>11</v>
      </c>
      <c r="Q1531" s="17" t="str">
        <f aca="false">VLOOKUP(P1531,Sheet2!J:K,2,0)</f>
        <v>IR Declared due to CID -TA</v>
      </c>
      <c r="R1531" s="17" t="s">
        <v>35</v>
      </c>
      <c r="S1531" s="17" t="str">
        <f aca="false">VLOOKUP(R1531,Sheet2!N:O,2,0)</f>
        <v>IREPARABLE</v>
      </c>
      <c r="T1531" s="18" t="str">
        <f aca="false">VLOOKUP(P1531,Sheet2!Q:R,2,0)</f>
        <v>IR Normal - Track burn out</v>
      </c>
      <c r="U1531" s="18" t="s">
        <v>122</v>
      </c>
      <c r="V1531" s="17" t="n">
        <v>2</v>
      </c>
      <c r="W1531" s="20" t="str">
        <f aca="false">VLOOKUP(V1531,Sheet2!Q:R,2,0)</f>
        <v>IR CID -  Water log from other area</v>
      </c>
      <c r="X1531" s="17" t="str">
        <f aca="false">J1531</f>
        <v>A005</v>
      </c>
      <c r="Y1531" s="17" t="str">
        <f aca="false">VLOOKUP(X1531,Sheet2!A:B,2,0)</f>
        <v>VASANT PARMAR</v>
      </c>
      <c r="Z1531" s="17" t="s">
        <v>779</v>
      </c>
      <c r="AA1531" s="17" t="s">
        <v>642</v>
      </c>
      <c r="AB1531" s="17" t="s">
        <v>41</v>
      </c>
      <c r="AC1531" s="0" t="str">
        <f aca="false">LEFT(G1531,2)</f>
        <v>84</v>
      </c>
      <c r="AE1531" s="21" t="s">
        <v>506</v>
      </c>
    </row>
    <row r="1532" customFormat="false" ht="15" hidden="false" customHeight="false" outlineLevel="0" collapsed="false">
      <c r="A1532" s="13" t="n">
        <f aca="false">1+A1531</f>
        <v>1530</v>
      </c>
      <c r="B1532" s="14" t="n">
        <v>1009541099</v>
      </c>
      <c r="C1532" s="17" t="s">
        <v>126</v>
      </c>
      <c r="D1532" s="16" t="s">
        <v>64</v>
      </c>
      <c r="E1532" s="17" t="s">
        <v>64</v>
      </c>
      <c r="F1532" s="18" t="s">
        <v>34</v>
      </c>
      <c r="G1532" s="19" t="n">
        <v>853216703829</v>
      </c>
      <c r="H1532" s="17" t="s">
        <v>35</v>
      </c>
      <c r="I1532" s="17" t="s">
        <v>36</v>
      </c>
      <c r="J1532" s="17" t="s">
        <v>289</v>
      </c>
      <c r="K1532" s="17" t="str">
        <f aca="false">VLOOKUP(J1532,Sheet2!A:B,2,0)</f>
        <v>AJAY KOSHTI</v>
      </c>
      <c r="L1532" s="17" t="n">
        <v>1</v>
      </c>
      <c r="M1532" s="17" t="str">
        <f aca="false">VLOOKUP(L1532,Sheet2!D:E,2,0)</f>
        <v>Power Supply Section</v>
      </c>
      <c r="N1532" s="17" t="n">
        <v>1</v>
      </c>
      <c r="O1532" s="17" t="str">
        <f aca="false">VLOOKUP(N1532,Sheet2!G:H,2,0)</f>
        <v>Dead</v>
      </c>
      <c r="P1532" s="17" t="n">
        <v>11</v>
      </c>
      <c r="Q1532" s="17" t="str">
        <f aca="false">VLOOKUP(P1532,Sheet2!J:K,2,0)</f>
        <v>IR Declared due to CID -TA</v>
      </c>
      <c r="R1532" s="17" t="s">
        <v>35</v>
      </c>
      <c r="S1532" s="17" t="str">
        <f aca="false">VLOOKUP(R1532,Sheet2!N:O,2,0)</f>
        <v>IREPARABLE</v>
      </c>
      <c r="T1532" s="18" t="str">
        <f aca="false">VLOOKUP(P1532,Sheet2!Q:R,2,0)</f>
        <v>IR Normal - Track burn out</v>
      </c>
      <c r="U1532" s="18" t="s">
        <v>122</v>
      </c>
      <c r="V1532" s="17" t="n">
        <v>2</v>
      </c>
      <c r="W1532" s="20" t="str">
        <f aca="false">VLOOKUP(V1532,Sheet2!Q:R,2,0)</f>
        <v>IR CID -  Water log from other area</v>
      </c>
      <c r="X1532" s="17" t="str">
        <f aca="false">J1532</f>
        <v>A051</v>
      </c>
      <c r="Y1532" s="17" t="str">
        <f aca="false">VLOOKUP(X1532,Sheet2!A:B,2,0)</f>
        <v>AJAY KOSHTI</v>
      </c>
      <c r="Z1532" s="17" t="s">
        <v>387</v>
      </c>
      <c r="AA1532" s="17" t="s">
        <v>642</v>
      </c>
      <c r="AB1532" s="17" t="s">
        <v>41</v>
      </c>
      <c r="AC1532" s="0" t="str">
        <f aca="false">LEFT(G1532,2)</f>
        <v>85</v>
      </c>
      <c r="AE1532" s="21" t="s">
        <v>506</v>
      </c>
    </row>
    <row r="1533" customFormat="false" ht="15" hidden="false" customHeight="false" outlineLevel="0" collapsed="false">
      <c r="A1533" s="13" t="n">
        <f aca="false">1+A1532</f>
        <v>1531</v>
      </c>
      <c r="B1533" s="14" t="n">
        <v>1009536262</v>
      </c>
      <c r="C1533" s="17" t="s">
        <v>311</v>
      </c>
      <c r="D1533" s="16" t="s">
        <v>64</v>
      </c>
      <c r="E1533" s="17" t="s">
        <v>64</v>
      </c>
      <c r="F1533" s="18" t="s">
        <v>34</v>
      </c>
      <c r="G1533" s="19" t="n">
        <v>854182726968</v>
      </c>
      <c r="H1533" s="17" t="s">
        <v>35</v>
      </c>
      <c r="I1533" s="17" t="s">
        <v>36</v>
      </c>
      <c r="J1533" s="17" t="s">
        <v>239</v>
      </c>
      <c r="K1533" s="17" t="str">
        <f aca="false">VLOOKUP(J1533,Sheet2!A:B,2,0)</f>
        <v>VASANT PARMAR</v>
      </c>
      <c r="L1533" s="17" t="n">
        <v>5</v>
      </c>
      <c r="M1533" s="17" t="str">
        <f aca="false">VLOOKUP(L1533,Sheet2!D:E,2,0)</f>
        <v>Main Processor CPU BGA</v>
      </c>
      <c r="N1533" s="17" t="n">
        <v>1</v>
      </c>
      <c r="O1533" s="17" t="str">
        <f aca="false">VLOOKUP(N1533,Sheet2!G:H,2,0)</f>
        <v>Dead</v>
      </c>
      <c r="P1533" s="17" t="n">
        <v>11</v>
      </c>
      <c r="Q1533" s="17" t="str">
        <f aca="false">VLOOKUP(P1533,Sheet2!J:K,2,0)</f>
        <v>IR Declared due to CID -TA</v>
      </c>
      <c r="R1533" s="17" t="s">
        <v>35</v>
      </c>
      <c r="S1533" s="17" t="str">
        <f aca="false">VLOOKUP(R1533,Sheet2!N:O,2,0)</f>
        <v>IREPARABLE</v>
      </c>
      <c r="T1533" s="18" t="str">
        <f aca="false">VLOOKUP(P1533,Sheet2!Q:R,2,0)</f>
        <v>IR Normal - Track burn out</v>
      </c>
      <c r="U1533" s="18" t="s">
        <v>122</v>
      </c>
      <c r="V1533" s="17" t="n">
        <v>2</v>
      </c>
      <c r="W1533" s="20" t="str">
        <f aca="false">VLOOKUP(V1533,Sheet2!Q:R,2,0)</f>
        <v>IR CID -  Water log from other area</v>
      </c>
      <c r="X1533" s="17" t="str">
        <f aca="false">J1533</f>
        <v>A005</v>
      </c>
      <c r="Y1533" s="17" t="str">
        <f aca="false">VLOOKUP(X1533,Sheet2!A:B,2,0)</f>
        <v>VASANT PARMAR</v>
      </c>
      <c r="Z1533" s="17" t="s">
        <v>127</v>
      </c>
      <c r="AA1533" s="17" t="s">
        <v>642</v>
      </c>
      <c r="AB1533" s="17" t="s">
        <v>41</v>
      </c>
      <c r="AC1533" s="0" t="str">
        <f aca="false">LEFT(G1533,2)</f>
        <v>85</v>
      </c>
      <c r="AE1533" s="21" t="s">
        <v>506</v>
      </c>
    </row>
    <row r="1534" customFormat="false" ht="15" hidden="false" customHeight="false" outlineLevel="0" collapsed="false">
      <c r="A1534" s="13" t="n">
        <f aca="false">1+A1533</f>
        <v>1532</v>
      </c>
      <c r="B1534" s="14" t="n">
        <v>1009536329</v>
      </c>
      <c r="C1534" s="17" t="s">
        <v>311</v>
      </c>
      <c r="D1534" s="16" t="s">
        <v>64</v>
      </c>
      <c r="E1534" s="17" t="s">
        <v>64</v>
      </c>
      <c r="F1534" s="18" t="s">
        <v>34</v>
      </c>
      <c r="G1534" s="19" t="n">
        <v>844119723410</v>
      </c>
      <c r="H1534" s="17" t="s">
        <v>35</v>
      </c>
      <c r="I1534" s="17" t="s">
        <v>36</v>
      </c>
      <c r="J1534" s="17" t="s">
        <v>121</v>
      </c>
      <c r="K1534" s="17" t="str">
        <f aca="false">VLOOKUP(J1534,Sheet2!A:B,2,0)</f>
        <v>SHANI GOHIL</v>
      </c>
      <c r="L1534" s="17" t="n">
        <v>1</v>
      </c>
      <c r="M1534" s="17" t="str">
        <f aca="false">VLOOKUP(L1534,Sheet2!D:E,2,0)</f>
        <v>Power Supply Section</v>
      </c>
      <c r="N1534" s="17" t="n">
        <v>1</v>
      </c>
      <c r="O1534" s="17" t="str">
        <f aca="false">VLOOKUP(N1534,Sheet2!G:H,2,0)</f>
        <v>Dead</v>
      </c>
      <c r="P1534" s="17" t="n">
        <v>11</v>
      </c>
      <c r="Q1534" s="17" t="str">
        <f aca="false">VLOOKUP(P1534,Sheet2!J:K,2,0)</f>
        <v>IR Declared due to CID -TA</v>
      </c>
      <c r="R1534" s="17" t="s">
        <v>35</v>
      </c>
      <c r="S1534" s="17" t="str">
        <f aca="false">VLOOKUP(R1534,Sheet2!N:O,2,0)</f>
        <v>IREPARABLE</v>
      </c>
      <c r="T1534" s="18" t="str">
        <f aca="false">VLOOKUP(P1534,Sheet2!Q:R,2,0)</f>
        <v>IR Normal - Track burn out</v>
      </c>
      <c r="U1534" s="18" t="s">
        <v>122</v>
      </c>
      <c r="V1534" s="17" t="n">
        <v>2</v>
      </c>
      <c r="W1534" s="20" t="str">
        <f aca="false">VLOOKUP(V1534,Sheet2!Q:R,2,0)</f>
        <v>IR CID -  Water log from other area</v>
      </c>
      <c r="X1534" s="17" t="str">
        <f aca="false">J1534</f>
        <v>A063</v>
      </c>
      <c r="Y1534" s="17" t="str">
        <f aca="false">VLOOKUP(X1534,Sheet2!A:B,2,0)</f>
        <v>SHANI GOHIL</v>
      </c>
      <c r="Z1534" s="17" t="s">
        <v>127</v>
      </c>
      <c r="AA1534" s="17" t="s">
        <v>642</v>
      </c>
      <c r="AB1534" s="17" t="s">
        <v>41</v>
      </c>
      <c r="AC1534" s="0" t="str">
        <f aca="false">LEFT(G1534,2)</f>
        <v>84</v>
      </c>
      <c r="AE1534" s="21" t="s">
        <v>506</v>
      </c>
    </row>
    <row r="1535" customFormat="false" ht="15" hidden="false" customHeight="false" outlineLevel="0" collapsed="false">
      <c r="A1535" s="13" t="n">
        <f aca="false">1+A1534</f>
        <v>1533</v>
      </c>
      <c r="B1535" s="14" t="n">
        <v>1009538157</v>
      </c>
      <c r="C1535" s="17" t="s">
        <v>311</v>
      </c>
      <c r="D1535" s="16" t="s">
        <v>52</v>
      </c>
      <c r="E1535" s="17" t="s">
        <v>91</v>
      </c>
      <c r="F1535" s="18" t="s">
        <v>34</v>
      </c>
      <c r="G1535" s="19" t="n">
        <v>167329920943</v>
      </c>
      <c r="H1535" s="17" t="s">
        <v>35</v>
      </c>
      <c r="I1535" s="17" t="s">
        <v>76</v>
      </c>
      <c r="J1535" s="17" t="s">
        <v>239</v>
      </c>
      <c r="K1535" s="17" t="str">
        <f aca="false">VLOOKUP(J1535,Sheet2!A:B,2,0)</f>
        <v>VASANT PARMAR</v>
      </c>
      <c r="L1535" s="17" t="n">
        <v>5</v>
      </c>
      <c r="M1535" s="17" t="str">
        <f aca="false">VLOOKUP(L1535,Sheet2!D:E,2,0)</f>
        <v>Main Processor CPU BGA</v>
      </c>
      <c r="N1535" s="17" t="n">
        <v>1</v>
      </c>
      <c r="O1535" s="17" t="str">
        <f aca="false">VLOOKUP(N1535,Sheet2!G:H,2,0)</f>
        <v>Dead</v>
      </c>
      <c r="P1535" s="17" t="n">
        <v>11</v>
      </c>
      <c r="Q1535" s="17" t="str">
        <f aca="false">VLOOKUP(P1535,Sheet2!J:K,2,0)</f>
        <v>IR Declared due to CID -TA</v>
      </c>
      <c r="R1535" s="17" t="s">
        <v>35</v>
      </c>
      <c r="S1535" s="17" t="str">
        <f aca="false">VLOOKUP(R1535,Sheet2!N:O,2,0)</f>
        <v>IREPARABLE</v>
      </c>
      <c r="T1535" s="18" t="str">
        <f aca="false">VLOOKUP(P1535,Sheet2!Q:R,2,0)</f>
        <v>IR Normal - Track burn out</v>
      </c>
      <c r="U1535" s="18" t="s">
        <v>122</v>
      </c>
      <c r="V1535" s="17" t="n">
        <v>2</v>
      </c>
      <c r="W1535" s="20" t="str">
        <f aca="false">VLOOKUP(V1535,Sheet2!Q:R,2,0)</f>
        <v>IR CID -  Water log from other area</v>
      </c>
      <c r="X1535" s="17" t="str">
        <f aca="false">J1535</f>
        <v>A005</v>
      </c>
      <c r="Y1535" s="17" t="str">
        <f aca="false">VLOOKUP(X1535,Sheet2!A:B,2,0)</f>
        <v>VASANT PARMAR</v>
      </c>
      <c r="Z1535" s="17" t="s">
        <v>363</v>
      </c>
      <c r="AA1535" s="17" t="s">
        <v>642</v>
      </c>
      <c r="AB1535" s="17" t="s">
        <v>41</v>
      </c>
      <c r="AC1535" s="0" t="str">
        <f aca="false">LEFT(G1535,2)</f>
        <v>16</v>
      </c>
      <c r="AE1535" s="21" t="s">
        <v>506</v>
      </c>
    </row>
    <row r="1536" customFormat="false" ht="15" hidden="false" customHeight="false" outlineLevel="0" collapsed="false">
      <c r="A1536" s="13" t="n">
        <f aca="false">1+A1535</f>
        <v>1534</v>
      </c>
      <c r="B1536" s="14" t="n">
        <v>1009571670</v>
      </c>
      <c r="C1536" s="17" t="s">
        <v>104</v>
      </c>
      <c r="D1536" s="16" t="s">
        <v>167</v>
      </c>
      <c r="E1536" s="17" t="s">
        <v>47</v>
      </c>
      <c r="F1536" s="18" t="s">
        <v>34</v>
      </c>
      <c r="G1536" s="19" t="n">
        <v>167237961138</v>
      </c>
      <c r="H1536" s="17" t="s">
        <v>35</v>
      </c>
      <c r="I1536" s="17" t="s">
        <v>76</v>
      </c>
      <c r="J1536" s="17" t="s">
        <v>289</v>
      </c>
      <c r="K1536" s="17" t="str">
        <f aca="false">VLOOKUP(J1536,Sheet2!A:B,2,0)</f>
        <v>AJAY KOSHTI</v>
      </c>
      <c r="L1536" s="17" t="n">
        <v>3</v>
      </c>
      <c r="M1536" s="17" t="str">
        <f aca="false">VLOOKUP(L1536,Sheet2!D:E,2,0)</f>
        <v>Video Section</v>
      </c>
      <c r="N1536" s="17" t="n">
        <v>1</v>
      </c>
      <c r="O1536" s="17" t="str">
        <f aca="false">VLOOKUP(N1536,Sheet2!G:H,2,0)</f>
        <v>Dead</v>
      </c>
      <c r="P1536" s="17" t="n">
        <v>11</v>
      </c>
      <c r="Q1536" s="17" t="str">
        <f aca="false">VLOOKUP(P1536,Sheet2!J:K,2,0)</f>
        <v>IR Declared due to CID -TA</v>
      </c>
      <c r="R1536" s="17" t="s">
        <v>35</v>
      </c>
      <c r="S1536" s="17" t="str">
        <f aca="false">VLOOKUP(R1536,Sheet2!N:O,2,0)</f>
        <v>IREPARABLE</v>
      </c>
      <c r="T1536" s="18" t="str">
        <f aca="false">VLOOKUP(P1536,Sheet2!Q:R,2,0)</f>
        <v>IR Normal - Track burn out</v>
      </c>
      <c r="U1536" s="18" t="s">
        <v>122</v>
      </c>
      <c r="V1536" s="17" t="n">
        <v>2</v>
      </c>
      <c r="W1536" s="20" t="str">
        <f aca="false">VLOOKUP(V1536,Sheet2!Q:R,2,0)</f>
        <v>IR CID -  Water log from other area</v>
      </c>
      <c r="X1536" s="17" t="str">
        <f aca="false">J1536</f>
        <v>A051</v>
      </c>
      <c r="Y1536" s="17" t="str">
        <f aca="false">VLOOKUP(X1536,Sheet2!A:B,2,0)</f>
        <v>AJAY KOSHTI</v>
      </c>
      <c r="Z1536" s="17" t="s">
        <v>780</v>
      </c>
      <c r="AA1536" s="17" t="s">
        <v>642</v>
      </c>
      <c r="AB1536" s="17" t="s">
        <v>41</v>
      </c>
      <c r="AC1536" s="0" t="str">
        <f aca="false">LEFT(G1536,2)</f>
        <v>16</v>
      </c>
      <c r="AE1536" s="21" t="s">
        <v>506</v>
      </c>
    </row>
    <row r="1537" customFormat="false" ht="15" hidden="false" customHeight="false" outlineLevel="0" collapsed="false">
      <c r="A1537" s="13" t="n">
        <f aca="false">1+A1536</f>
        <v>1535</v>
      </c>
      <c r="B1537" s="14" t="n">
        <v>1009626094</v>
      </c>
      <c r="C1537" s="17" t="s">
        <v>163</v>
      </c>
      <c r="D1537" s="16" t="s">
        <v>64</v>
      </c>
      <c r="E1537" s="17" t="s">
        <v>64</v>
      </c>
      <c r="F1537" s="18" t="s">
        <v>34</v>
      </c>
      <c r="G1537" s="19" t="n">
        <v>168235313520</v>
      </c>
      <c r="H1537" s="17" t="s">
        <v>35</v>
      </c>
      <c r="I1537" s="17" t="s">
        <v>76</v>
      </c>
      <c r="J1537" s="17" t="s">
        <v>289</v>
      </c>
      <c r="K1537" s="17" t="str">
        <f aca="false">VLOOKUP(J1537,Sheet2!A:B,2,0)</f>
        <v>AJAY KOSHTI</v>
      </c>
      <c r="L1537" s="17" t="n">
        <v>1</v>
      </c>
      <c r="M1537" s="17" t="str">
        <f aca="false">VLOOKUP(L1537,Sheet2!D:E,2,0)</f>
        <v>Power Supply Section</v>
      </c>
      <c r="N1537" s="17" t="n">
        <v>1</v>
      </c>
      <c r="O1537" s="17" t="str">
        <f aca="false">VLOOKUP(N1537,Sheet2!G:H,2,0)</f>
        <v>Dead</v>
      </c>
      <c r="P1537" s="17" t="n">
        <v>11</v>
      </c>
      <c r="Q1537" s="17" t="str">
        <f aca="false">VLOOKUP(P1537,Sheet2!J:K,2,0)</f>
        <v>IR Declared due to CID -TA</v>
      </c>
      <c r="R1537" s="17" t="s">
        <v>35</v>
      </c>
      <c r="S1537" s="17" t="str">
        <f aca="false">VLOOKUP(R1537,Sheet2!N:O,2,0)</f>
        <v>IREPARABLE</v>
      </c>
      <c r="T1537" s="18" t="str">
        <f aca="false">VLOOKUP(P1537,Sheet2!Q:R,2,0)</f>
        <v>IR Normal - Track burn out</v>
      </c>
      <c r="U1537" s="20" t="s">
        <v>256</v>
      </c>
      <c r="V1537" s="17" t="n">
        <v>1</v>
      </c>
      <c r="W1537" s="20" t="str">
        <f aca="false">VLOOKUP(V1537,Sheet2!Q:R,2,0)</f>
        <v>IR CID -  Water log from IF port</v>
      </c>
      <c r="X1537" s="17" t="str">
        <f aca="false">J1537</f>
        <v>A051</v>
      </c>
      <c r="Y1537" s="17" t="str">
        <f aca="false">VLOOKUP(X1537,Sheet2!A:B,2,0)</f>
        <v>AJAY KOSHTI</v>
      </c>
      <c r="Z1537" s="17" t="s">
        <v>306</v>
      </c>
      <c r="AA1537" s="17" t="s">
        <v>642</v>
      </c>
      <c r="AB1537" s="17" t="s">
        <v>41</v>
      </c>
      <c r="AC1537" s="0" t="str">
        <f aca="false">LEFT(G1537,2)</f>
        <v>16</v>
      </c>
      <c r="AE1537" s="21" t="s">
        <v>506</v>
      </c>
    </row>
    <row r="1538" customFormat="false" ht="15" hidden="false" customHeight="false" outlineLevel="0" collapsed="false">
      <c r="A1538" s="13" t="n">
        <f aca="false">1+A1537</f>
        <v>1536</v>
      </c>
      <c r="B1538" s="14" t="n">
        <v>1009616611</v>
      </c>
      <c r="C1538" s="17" t="s">
        <v>184</v>
      </c>
      <c r="D1538" s="16" t="s">
        <v>64</v>
      </c>
      <c r="E1538" s="17" t="s">
        <v>91</v>
      </c>
      <c r="F1538" s="18" t="s">
        <v>34</v>
      </c>
      <c r="G1538" s="19" t="n">
        <v>167299901451</v>
      </c>
      <c r="H1538" s="17" t="s">
        <v>35</v>
      </c>
      <c r="I1538" s="17" t="s">
        <v>76</v>
      </c>
      <c r="J1538" s="17" t="s">
        <v>111</v>
      </c>
      <c r="K1538" s="17" t="str">
        <f aca="false">VLOOKUP(J1538,Sheet2!A:B,2,0)</f>
        <v>NITIN PRANAMI</v>
      </c>
      <c r="L1538" s="17" t="n">
        <v>1</v>
      </c>
      <c r="M1538" s="17" t="str">
        <f aca="false">VLOOKUP(L1538,Sheet2!D:E,2,0)</f>
        <v>Power Supply Section</v>
      </c>
      <c r="N1538" s="17" t="n">
        <v>1</v>
      </c>
      <c r="O1538" s="17" t="str">
        <f aca="false">VLOOKUP(N1538,Sheet2!G:H,2,0)</f>
        <v>Dead</v>
      </c>
      <c r="P1538" s="17" t="n">
        <v>11</v>
      </c>
      <c r="Q1538" s="17" t="str">
        <f aca="false">VLOOKUP(P1538,Sheet2!J:K,2,0)</f>
        <v>IR Declared due to CID -TA</v>
      </c>
      <c r="R1538" s="17" t="s">
        <v>35</v>
      </c>
      <c r="S1538" s="17" t="str">
        <f aca="false">VLOOKUP(R1538,Sheet2!N:O,2,0)</f>
        <v>IREPARABLE</v>
      </c>
      <c r="T1538" s="18" t="str">
        <f aca="false">VLOOKUP(P1538,Sheet2!Q:R,2,0)</f>
        <v>IR Normal - Track burn out</v>
      </c>
      <c r="U1538" s="18" t="s">
        <v>122</v>
      </c>
      <c r="V1538" s="17" t="n">
        <v>2</v>
      </c>
      <c r="W1538" s="20" t="str">
        <f aca="false">VLOOKUP(V1538,Sheet2!Q:R,2,0)</f>
        <v>IR CID -  Water log from other area</v>
      </c>
      <c r="X1538" s="17" t="str">
        <f aca="false">J1538</f>
        <v>A031</v>
      </c>
      <c r="Y1538" s="17" t="str">
        <f aca="false">VLOOKUP(X1538,Sheet2!A:B,2,0)</f>
        <v>NITIN PRANAMI</v>
      </c>
      <c r="Z1538" s="17" t="s">
        <v>781</v>
      </c>
      <c r="AA1538" s="17" t="s">
        <v>642</v>
      </c>
      <c r="AB1538" s="17" t="s">
        <v>41</v>
      </c>
      <c r="AC1538" s="0" t="str">
        <f aca="false">LEFT(G1538,2)</f>
        <v>16</v>
      </c>
      <c r="AE1538" s="21" t="s">
        <v>506</v>
      </c>
    </row>
    <row r="1539" customFormat="false" ht="15" hidden="false" customHeight="false" outlineLevel="0" collapsed="false">
      <c r="A1539" s="13" t="n">
        <f aca="false">1+A1538</f>
        <v>1537</v>
      </c>
      <c r="B1539" s="14" t="n">
        <v>1009680417</v>
      </c>
      <c r="C1539" s="17" t="s">
        <v>413</v>
      </c>
      <c r="D1539" s="16" t="s">
        <v>782</v>
      </c>
      <c r="E1539" s="17" t="s">
        <v>91</v>
      </c>
      <c r="F1539" s="18" t="s">
        <v>34</v>
      </c>
      <c r="G1539" s="19" t="n">
        <v>168247108769</v>
      </c>
      <c r="H1539" s="17" t="s">
        <v>35</v>
      </c>
      <c r="I1539" s="17" t="s">
        <v>76</v>
      </c>
      <c r="J1539" s="17" t="s">
        <v>111</v>
      </c>
      <c r="K1539" s="17" t="str">
        <f aca="false">VLOOKUP(J1539,Sheet2!A:B,2,0)</f>
        <v>NITIN PRANAMI</v>
      </c>
      <c r="L1539" s="17" t="n">
        <v>1</v>
      </c>
      <c r="M1539" s="17" t="str">
        <f aca="false">VLOOKUP(L1539,Sheet2!D:E,2,0)</f>
        <v>Power Supply Section</v>
      </c>
      <c r="N1539" s="17" t="n">
        <v>1</v>
      </c>
      <c r="O1539" s="17" t="str">
        <f aca="false">VLOOKUP(N1539,Sheet2!G:H,2,0)</f>
        <v>Dead</v>
      </c>
      <c r="P1539" s="17" t="n">
        <v>11</v>
      </c>
      <c r="Q1539" s="17" t="str">
        <f aca="false">VLOOKUP(P1539,Sheet2!J:K,2,0)</f>
        <v>IR Declared due to CID -TA</v>
      </c>
      <c r="R1539" s="17" t="s">
        <v>35</v>
      </c>
      <c r="S1539" s="17" t="str">
        <f aca="false">VLOOKUP(R1539,Sheet2!N:O,2,0)</f>
        <v>IREPARABLE</v>
      </c>
      <c r="T1539" s="18" t="str">
        <f aca="false">VLOOKUP(P1539,Sheet2!Q:R,2,0)</f>
        <v>IR Normal - Track burn out</v>
      </c>
      <c r="U1539" s="20" t="s">
        <v>256</v>
      </c>
      <c r="V1539" s="17" t="n">
        <v>1</v>
      </c>
      <c r="W1539" s="20" t="str">
        <f aca="false">VLOOKUP(V1539,Sheet2!Q:R,2,0)</f>
        <v>IR CID -  Water log from IF port</v>
      </c>
      <c r="X1539" s="17" t="str">
        <f aca="false">J1539</f>
        <v>A031</v>
      </c>
      <c r="Y1539" s="17" t="str">
        <f aca="false">VLOOKUP(X1539,Sheet2!A:B,2,0)</f>
        <v>NITIN PRANAMI</v>
      </c>
      <c r="Z1539" s="17" t="s">
        <v>783</v>
      </c>
      <c r="AA1539" s="17" t="s">
        <v>642</v>
      </c>
      <c r="AB1539" s="17" t="s">
        <v>41</v>
      </c>
      <c r="AC1539" s="0" t="str">
        <f aca="false">LEFT(G1539,2)</f>
        <v>16</v>
      </c>
      <c r="AE1539" s="21" t="s">
        <v>506</v>
      </c>
    </row>
    <row r="1540" customFormat="false" ht="15" hidden="false" customHeight="false" outlineLevel="0" collapsed="false">
      <c r="A1540" s="13" t="n">
        <f aca="false">1+A1539</f>
        <v>1538</v>
      </c>
      <c r="B1540" s="14" t="n">
        <v>1009587211</v>
      </c>
      <c r="C1540" s="17" t="s">
        <v>159</v>
      </c>
      <c r="D1540" s="16" t="s">
        <v>64</v>
      </c>
      <c r="E1540" s="17" t="s">
        <v>64</v>
      </c>
      <c r="F1540" s="18" t="s">
        <v>34</v>
      </c>
      <c r="G1540" s="19" t="n">
        <v>169149151147</v>
      </c>
      <c r="H1540" s="17" t="s">
        <v>35</v>
      </c>
      <c r="I1540" s="17" t="s">
        <v>76</v>
      </c>
      <c r="J1540" s="17" t="s">
        <v>289</v>
      </c>
      <c r="K1540" s="17" t="str">
        <f aca="false">VLOOKUP(J1540,Sheet2!A:B,2,0)</f>
        <v>AJAY KOSHTI</v>
      </c>
      <c r="L1540" s="17" t="n">
        <v>2</v>
      </c>
      <c r="M1540" s="17" t="str">
        <f aca="false">VLOOKUP(L1540,Sheet2!D:E,2,0)</f>
        <v>Tuner Section</v>
      </c>
      <c r="N1540" s="17" t="n">
        <v>6</v>
      </c>
      <c r="O1540" s="17" t="str">
        <f aca="false">VLOOKUP(N1540,Sheet2!G:H,2,0)</f>
        <v>No Signal</v>
      </c>
      <c r="P1540" s="17" t="n">
        <v>11</v>
      </c>
      <c r="Q1540" s="17" t="str">
        <f aca="false">VLOOKUP(P1540,Sheet2!J:K,2,0)</f>
        <v>IR Declared due to CID -TA</v>
      </c>
      <c r="R1540" s="17" t="s">
        <v>35</v>
      </c>
      <c r="S1540" s="17" t="str">
        <f aca="false">VLOOKUP(R1540,Sheet2!N:O,2,0)</f>
        <v>IREPARABLE</v>
      </c>
      <c r="T1540" s="18" t="str">
        <f aca="false">VLOOKUP(P1540,Sheet2!Q:R,2,0)</f>
        <v>IR Normal - Track burn out</v>
      </c>
      <c r="U1540" s="20" t="s">
        <v>256</v>
      </c>
      <c r="V1540" s="17" t="n">
        <v>1</v>
      </c>
      <c r="W1540" s="20" t="str">
        <f aca="false">VLOOKUP(V1540,Sheet2!Q:R,2,0)</f>
        <v>IR CID -  Water log from IF port</v>
      </c>
      <c r="X1540" s="17" t="str">
        <f aca="false">J1540</f>
        <v>A051</v>
      </c>
      <c r="Y1540" s="17" t="str">
        <f aca="false">VLOOKUP(X1540,Sheet2!A:B,2,0)</f>
        <v>AJAY KOSHTI</v>
      </c>
      <c r="Z1540" s="17" t="s">
        <v>784</v>
      </c>
      <c r="AA1540" s="17" t="s">
        <v>642</v>
      </c>
      <c r="AB1540" s="17" t="s">
        <v>41</v>
      </c>
      <c r="AC1540" s="0" t="str">
        <f aca="false">LEFT(G1540,2)</f>
        <v>16</v>
      </c>
      <c r="AE1540" s="21" t="s">
        <v>506</v>
      </c>
    </row>
    <row r="1541" customFormat="false" ht="15" hidden="false" customHeight="false" outlineLevel="0" collapsed="false">
      <c r="A1541" s="13" t="n">
        <f aca="false">1+A1540</f>
        <v>1539</v>
      </c>
      <c r="B1541" s="14" t="n">
        <v>1009621161</v>
      </c>
      <c r="C1541" s="17" t="s">
        <v>184</v>
      </c>
      <c r="D1541" s="16" t="s">
        <v>359</v>
      </c>
      <c r="E1541" s="17" t="s">
        <v>33</v>
      </c>
      <c r="F1541" s="18" t="s">
        <v>34</v>
      </c>
      <c r="G1541" s="19" t="n">
        <v>167199920841</v>
      </c>
      <c r="H1541" s="17" t="s">
        <v>35</v>
      </c>
      <c r="I1541" s="17" t="s">
        <v>76</v>
      </c>
      <c r="J1541" s="17" t="s">
        <v>239</v>
      </c>
      <c r="K1541" s="17" t="str">
        <f aca="false">VLOOKUP(J1541,Sheet2!A:B,2,0)</f>
        <v>VASANT PARMAR</v>
      </c>
      <c r="L1541" s="17" t="n">
        <v>5</v>
      </c>
      <c r="M1541" s="17" t="str">
        <f aca="false">VLOOKUP(L1541,Sheet2!D:E,2,0)</f>
        <v>Main Processor CPU BGA</v>
      </c>
      <c r="N1541" s="17" t="n">
        <v>24</v>
      </c>
      <c r="O1541" s="17" t="str">
        <f aca="false">VLOOKUP(N1541,Sheet2!G:H,2,0)</f>
        <v>STB Auto moving -Stand by mode</v>
      </c>
      <c r="P1541" s="17" t="n">
        <v>11</v>
      </c>
      <c r="Q1541" s="17" t="str">
        <f aca="false">VLOOKUP(P1541,Sheet2!J:K,2,0)</f>
        <v>IR Declared due to CID -TA</v>
      </c>
      <c r="R1541" s="17" t="s">
        <v>35</v>
      </c>
      <c r="S1541" s="17" t="str">
        <f aca="false">VLOOKUP(R1541,Sheet2!N:O,2,0)</f>
        <v>IREPARABLE</v>
      </c>
      <c r="T1541" s="18" t="str">
        <f aca="false">VLOOKUP(P1541,Sheet2!Q:R,2,0)</f>
        <v>IR Normal - Track burn out</v>
      </c>
      <c r="U1541" s="20" t="s">
        <v>256</v>
      </c>
      <c r="V1541" s="17" t="n">
        <v>1</v>
      </c>
      <c r="W1541" s="20" t="str">
        <f aca="false">VLOOKUP(V1541,Sheet2!Q:R,2,0)</f>
        <v>IR CID -  Water log from IF port</v>
      </c>
      <c r="X1541" s="17" t="str">
        <f aca="false">J1541</f>
        <v>A005</v>
      </c>
      <c r="Y1541" s="17" t="str">
        <f aca="false">VLOOKUP(X1541,Sheet2!A:B,2,0)</f>
        <v>VASANT PARMAR</v>
      </c>
      <c r="Z1541" s="17" t="s">
        <v>306</v>
      </c>
      <c r="AA1541" s="17" t="s">
        <v>642</v>
      </c>
      <c r="AB1541" s="17" t="s">
        <v>41</v>
      </c>
      <c r="AC1541" s="0" t="str">
        <f aca="false">LEFT(G1541,2)</f>
        <v>16</v>
      </c>
      <c r="AE1541" s="21" t="s">
        <v>506</v>
      </c>
    </row>
    <row r="1542" customFormat="false" ht="15" hidden="false" customHeight="false" outlineLevel="0" collapsed="false">
      <c r="A1542" s="13" t="n">
        <f aca="false">1+A1541</f>
        <v>1540</v>
      </c>
      <c r="B1542" s="14" t="n">
        <v>1009631797</v>
      </c>
      <c r="C1542" s="17" t="s">
        <v>182</v>
      </c>
      <c r="D1542" s="16" t="s">
        <v>64</v>
      </c>
      <c r="E1542" s="17" t="s">
        <v>47</v>
      </c>
      <c r="F1542" s="18" t="s">
        <v>34</v>
      </c>
      <c r="G1542" s="19" t="n">
        <v>775112002370</v>
      </c>
      <c r="H1542" s="17" t="s">
        <v>35</v>
      </c>
      <c r="I1542" s="17" t="s">
        <v>69</v>
      </c>
      <c r="J1542" s="17" t="s">
        <v>239</v>
      </c>
      <c r="K1542" s="17" t="str">
        <f aca="false">VLOOKUP(J1542,Sheet2!A:B,2,0)</f>
        <v>VASANT PARMAR</v>
      </c>
      <c r="L1542" s="17" t="n">
        <v>5</v>
      </c>
      <c r="M1542" s="17" t="str">
        <f aca="false">VLOOKUP(L1542,Sheet2!D:E,2,0)</f>
        <v>Main Processor CPU BGA</v>
      </c>
      <c r="N1542" s="17" t="n">
        <v>1</v>
      </c>
      <c r="O1542" s="17" t="str">
        <f aca="false">VLOOKUP(N1542,Sheet2!G:H,2,0)</f>
        <v>Dead</v>
      </c>
      <c r="P1542" s="17" t="n">
        <v>11</v>
      </c>
      <c r="Q1542" s="17" t="str">
        <f aca="false">VLOOKUP(P1542,Sheet2!J:K,2,0)</f>
        <v>IR Declared due to CID -TA</v>
      </c>
      <c r="R1542" s="17" t="s">
        <v>35</v>
      </c>
      <c r="S1542" s="17" t="str">
        <f aca="false">VLOOKUP(R1542,Sheet2!N:O,2,0)</f>
        <v>IREPARABLE</v>
      </c>
      <c r="T1542" s="18" t="str">
        <f aca="false">VLOOKUP(P1542,Sheet2!Q:R,2,0)</f>
        <v>IR Normal - Track burn out</v>
      </c>
      <c r="U1542" s="18" t="s">
        <v>122</v>
      </c>
      <c r="V1542" s="17" t="n">
        <v>2</v>
      </c>
      <c r="W1542" s="20" t="str">
        <f aca="false">VLOOKUP(V1542,Sheet2!Q:R,2,0)</f>
        <v>IR CID -  Water log from other area</v>
      </c>
      <c r="X1542" s="17" t="str">
        <f aca="false">J1542</f>
        <v>A005</v>
      </c>
      <c r="Y1542" s="17" t="str">
        <f aca="false">VLOOKUP(X1542,Sheet2!A:B,2,0)</f>
        <v>VASANT PARMAR</v>
      </c>
      <c r="Z1542" s="17" t="s">
        <v>785</v>
      </c>
      <c r="AA1542" s="17" t="s">
        <v>642</v>
      </c>
      <c r="AB1542" s="17" t="s">
        <v>41</v>
      </c>
      <c r="AC1542" s="0" t="str">
        <f aca="false">LEFT(G1542,2)</f>
        <v>77</v>
      </c>
      <c r="AE1542" s="21" t="s">
        <v>506</v>
      </c>
    </row>
    <row r="1543" customFormat="false" ht="15" hidden="false" customHeight="false" outlineLevel="0" collapsed="false">
      <c r="A1543" s="13" t="n">
        <f aca="false">1+A1542</f>
        <v>1541</v>
      </c>
      <c r="B1543" s="14" t="n">
        <v>1009572254</v>
      </c>
      <c r="C1543" s="17" t="s">
        <v>104</v>
      </c>
      <c r="D1543" s="16" t="s">
        <v>196</v>
      </c>
      <c r="E1543" s="17" t="s">
        <v>47</v>
      </c>
      <c r="F1543" s="18" t="s">
        <v>34</v>
      </c>
      <c r="G1543" s="19" t="n">
        <v>775265052461</v>
      </c>
      <c r="H1543" s="17" t="s">
        <v>35</v>
      </c>
      <c r="I1543" s="17" t="s">
        <v>69</v>
      </c>
      <c r="J1543" s="17" t="s">
        <v>111</v>
      </c>
      <c r="K1543" s="17" t="str">
        <f aca="false">VLOOKUP(J1543,Sheet2!A:B,2,0)</f>
        <v>NITIN PRANAMI</v>
      </c>
      <c r="L1543" s="17" t="n">
        <v>1</v>
      </c>
      <c r="M1543" s="17" t="str">
        <f aca="false">VLOOKUP(L1543,Sheet2!D:E,2,0)</f>
        <v>Power Supply Section</v>
      </c>
      <c r="N1543" s="17" t="n">
        <v>1</v>
      </c>
      <c r="O1543" s="17" t="str">
        <f aca="false">VLOOKUP(N1543,Sheet2!G:H,2,0)</f>
        <v>Dead</v>
      </c>
      <c r="P1543" s="17" t="n">
        <v>11</v>
      </c>
      <c r="Q1543" s="17" t="str">
        <f aca="false">VLOOKUP(P1543,Sheet2!J:K,2,0)</f>
        <v>IR Declared due to CID -TA</v>
      </c>
      <c r="R1543" s="17" t="s">
        <v>35</v>
      </c>
      <c r="S1543" s="17" t="str">
        <f aca="false">VLOOKUP(R1543,Sheet2!N:O,2,0)</f>
        <v>IREPARABLE</v>
      </c>
      <c r="T1543" s="18" t="str">
        <f aca="false">VLOOKUP(P1543,Sheet2!Q:R,2,0)</f>
        <v>IR Normal - Track burn out</v>
      </c>
      <c r="U1543" s="18" t="s">
        <v>122</v>
      </c>
      <c r="V1543" s="17" t="n">
        <v>2</v>
      </c>
      <c r="W1543" s="20" t="str">
        <f aca="false">VLOOKUP(V1543,Sheet2!Q:R,2,0)</f>
        <v>IR CID -  Water log from other area</v>
      </c>
      <c r="X1543" s="17" t="str">
        <f aca="false">J1543</f>
        <v>A031</v>
      </c>
      <c r="Y1543" s="17" t="str">
        <f aca="false">VLOOKUP(X1543,Sheet2!A:B,2,0)</f>
        <v>NITIN PRANAMI</v>
      </c>
      <c r="Z1543" s="17" t="s">
        <v>786</v>
      </c>
      <c r="AA1543" s="17" t="s">
        <v>642</v>
      </c>
      <c r="AB1543" s="17" t="s">
        <v>41</v>
      </c>
      <c r="AC1543" s="0" t="str">
        <f aca="false">LEFT(G1543,2)</f>
        <v>77</v>
      </c>
      <c r="AE1543" s="21" t="s">
        <v>506</v>
      </c>
    </row>
    <row r="1544" customFormat="false" ht="15" hidden="false" customHeight="false" outlineLevel="0" collapsed="false">
      <c r="A1544" s="13" t="n">
        <f aca="false">1+A1543</f>
        <v>1542</v>
      </c>
      <c r="B1544" s="14" t="n">
        <v>1009567991</v>
      </c>
      <c r="C1544" s="17" t="s">
        <v>102</v>
      </c>
      <c r="D1544" s="16" t="s">
        <v>787</v>
      </c>
      <c r="E1544" s="17" t="s">
        <v>47</v>
      </c>
      <c r="F1544" s="18" t="s">
        <v>34</v>
      </c>
      <c r="G1544" s="19" t="n">
        <v>775292051189</v>
      </c>
      <c r="H1544" s="17" t="s">
        <v>35</v>
      </c>
      <c r="I1544" s="17" t="s">
        <v>69</v>
      </c>
      <c r="J1544" s="17" t="s">
        <v>239</v>
      </c>
      <c r="K1544" s="17" t="str">
        <f aca="false">VLOOKUP(J1544,Sheet2!A:B,2,0)</f>
        <v>VASANT PARMAR</v>
      </c>
      <c r="L1544" s="17" t="n">
        <v>5</v>
      </c>
      <c r="M1544" s="17" t="str">
        <f aca="false">VLOOKUP(L1544,Sheet2!D:E,2,0)</f>
        <v>Main Processor CPU BGA</v>
      </c>
      <c r="N1544" s="17" t="n">
        <v>1</v>
      </c>
      <c r="O1544" s="17" t="str">
        <f aca="false">VLOOKUP(N1544,Sheet2!G:H,2,0)</f>
        <v>Dead</v>
      </c>
      <c r="P1544" s="17" t="n">
        <v>11</v>
      </c>
      <c r="Q1544" s="17" t="str">
        <f aca="false">VLOOKUP(P1544,Sheet2!J:K,2,0)</f>
        <v>IR Declared due to CID -TA</v>
      </c>
      <c r="R1544" s="17" t="s">
        <v>35</v>
      </c>
      <c r="S1544" s="17" t="str">
        <f aca="false">VLOOKUP(R1544,Sheet2!N:O,2,0)</f>
        <v>IREPARABLE</v>
      </c>
      <c r="T1544" s="18" t="str">
        <f aca="false">VLOOKUP(P1544,Sheet2!Q:R,2,0)</f>
        <v>IR Normal - Track burn out</v>
      </c>
      <c r="U1544" s="18" t="s">
        <v>38</v>
      </c>
      <c r="V1544" s="17" t="n">
        <v>4</v>
      </c>
      <c r="W1544" s="20" t="str">
        <f aca="false">VLOOKUP(V1544,Sheet2!Q:R,2,0)</f>
        <v>IR CID - Tampered Track burn out</v>
      </c>
      <c r="X1544" s="17" t="str">
        <f aca="false">J1544</f>
        <v>A005</v>
      </c>
      <c r="Y1544" s="17" t="str">
        <f aca="false">VLOOKUP(X1544,Sheet2!A:B,2,0)</f>
        <v>VASANT PARMAR</v>
      </c>
      <c r="Z1544" s="17" t="s">
        <v>788</v>
      </c>
      <c r="AA1544" s="17" t="s">
        <v>642</v>
      </c>
      <c r="AB1544" s="17" t="s">
        <v>41</v>
      </c>
      <c r="AC1544" s="0" t="str">
        <f aca="false">LEFT(G1544,2)</f>
        <v>77</v>
      </c>
      <c r="AE1544" s="21" t="s">
        <v>506</v>
      </c>
    </row>
    <row r="1545" customFormat="false" ht="15" hidden="false" customHeight="false" outlineLevel="0" collapsed="false">
      <c r="A1545" s="13" t="n">
        <f aca="false">1+A1544</f>
        <v>1543</v>
      </c>
      <c r="B1545" s="14" t="n">
        <v>1009600254</v>
      </c>
      <c r="C1545" s="17" t="s">
        <v>159</v>
      </c>
      <c r="D1545" s="16" t="s">
        <v>64</v>
      </c>
      <c r="E1545" s="17" t="s">
        <v>47</v>
      </c>
      <c r="F1545" s="18" t="s">
        <v>34</v>
      </c>
      <c r="G1545" s="19" t="n">
        <v>775212013723</v>
      </c>
      <c r="H1545" s="17" t="s">
        <v>35</v>
      </c>
      <c r="I1545" s="17" t="s">
        <v>69</v>
      </c>
      <c r="J1545" s="17" t="s">
        <v>289</v>
      </c>
      <c r="K1545" s="17" t="str">
        <f aca="false">VLOOKUP(J1545,Sheet2!A:B,2,0)</f>
        <v>AJAY KOSHTI</v>
      </c>
      <c r="L1545" s="17" t="n">
        <v>1</v>
      </c>
      <c r="M1545" s="17" t="str">
        <f aca="false">VLOOKUP(L1545,Sheet2!D:E,2,0)</f>
        <v>Power Supply Section</v>
      </c>
      <c r="N1545" s="17" t="n">
        <v>1</v>
      </c>
      <c r="O1545" s="17" t="str">
        <f aca="false">VLOOKUP(N1545,Sheet2!G:H,2,0)</f>
        <v>Dead</v>
      </c>
      <c r="P1545" s="17" t="n">
        <v>11</v>
      </c>
      <c r="Q1545" s="17" t="str">
        <f aca="false">VLOOKUP(P1545,Sheet2!J:K,2,0)</f>
        <v>IR Declared due to CID -TA</v>
      </c>
      <c r="R1545" s="17" t="s">
        <v>35</v>
      </c>
      <c r="S1545" s="17" t="str">
        <f aca="false">VLOOKUP(R1545,Sheet2!N:O,2,0)</f>
        <v>IREPARABLE</v>
      </c>
      <c r="T1545" s="18" t="str">
        <f aca="false">VLOOKUP(P1545,Sheet2!Q:R,2,0)</f>
        <v>IR Normal - Track burn out</v>
      </c>
      <c r="U1545" s="18" t="s">
        <v>122</v>
      </c>
      <c r="V1545" s="17" t="n">
        <v>2</v>
      </c>
      <c r="W1545" s="20" t="str">
        <f aca="false">VLOOKUP(V1545,Sheet2!Q:R,2,0)</f>
        <v>IR CID -  Water log from other area</v>
      </c>
      <c r="X1545" s="17" t="str">
        <f aca="false">J1545</f>
        <v>A051</v>
      </c>
      <c r="Y1545" s="17" t="str">
        <f aca="false">VLOOKUP(X1545,Sheet2!A:B,2,0)</f>
        <v>AJAY KOSHTI</v>
      </c>
      <c r="Z1545" s="17" t="s">
        <v>130</v>
      </c>
      <c r="AA1545" s="17" t="s">
        <v>642</v>
      </c>
      <c r="AB1545" s="17" t="s">
        <v>41</v>
      </c>
      <c r="AC1545" s="0" t="str">
        <f aca="false">LEFT(G1545,2)</f>
        <v>77</v>
      </c>
      <c r="AE1545" s="21" t="s">
        <v>506</v>
      </c>
    </row>
    <row r="1546" customFormat="false" ht="15" hidden="false" customHeight="false" outlineLevel="0" collapsed="false">
      <c r="A1546" s="13" t="n">
        <f aca="false">1+A1545</f>
        <v>1544</v>
      </c>
      <c r="B1546" s="14" t="n">
        <v>1009610380</v>
      </c>
      <c r="C1546" s="17" t="s">
        <v>181</v>
      </c>
      <c r="D1546" s="16" t="s">
        <v>64</v>
      </c>
      <c r="E1546" s="17" t="s">
        <v>64</v>
      </c>
      <c r="F1546" s="18" t="s">
        <v>34</v>
      </c>
      <c r="G1546" s="19" t="n">
        <v>775307156379</v>
      </c>
      <c r="H1546" s="17" t="s">
        <v>35</v>
      </c>
      <c r="I1546" s="17" t="s">
        <v>69</v>
      </c>
      <c r="J1546" s="17" t="s">
        <v>115</v>
      </c>
      <c r="K1546" s="17" t="str">
        <f aca="false">VLOOKUP(J1546,Sheet2!A:B,2,0)</f>
        <v>ANKIT RANA</v>
      </c>
      <c r="L1546" s="17" t="n">
        <v>1</v>
      </c>
      <c r="M1546" s="17" t="str">
        <f aca="false">VLOOKUP(L1546,Sheet2!D:E,2,0)</f>
        <v>Power Supply Section</v>
      </c>
      <c r="N1546" s="17" t="n">
        <v>1</v>
      </c>
      <c r="O1546" s="17" t="str">
        <f aca="false">VLOOKUP(N1546,Sheet2!G:H,2,0)</f>
        <v>Dead</v>
      </c>
      <c r="P1546" s="17" t="n">
        <v>11</v>
      </c>
      <c r="Q1546" s="17" t="str">
        <f aca="false">VLOOKUP(P1546,Sheet2!J:K,2,0)</f>
        <v>IR Declared due to CID -TA</v>
      </c>
      <c r="R1546" s="17" t="s">
        <v>35</v>
      </c>
      <c r="S1546" s="17" t="str">
        <f aca="false">VLOOKUP(R1546,Sheet2!N:O,2,0)</f>
        <v>IREPARABLE</v>
      </c>
      <c r="T1546" s="18" t="str">
        <f aca="false">VLOOKUP(P1546,Sheet2!Q:R,2,0)</f>
        <v>IR Normal - Track burn out</v>
      </c>
      <c r="U1546" s="18" t="s">
        <v>38</v>
      </c>
      <c r="V1546" s="17" t="n">
        <v>4</v>
      </c>
      <c r="W1546" s="20" t="str">
        <f aca="false">VLOOKUP(V1546,Sheet2!Q:R,2,0)</f>
        <v>IR CID - Tampered Track burn out</v>
      </c>
      <c r="X1546" s="17" t="str">
        <f aca="false">J1546</f>
        <v>A042</v>
      </c>
      <c r="Y1546" s="17" t="str">
        <f aca="false">VLOOKUP(X1546,Sheet2!A:B,2,0)</f>
        <v>ANKIT RANA</v>
      </c>
      <c r="Z1546" s="17" t="s">
        <v>130</v>
      </c>
      <c r="AA1546" s="17" t="s">
        <v>642</v>
      </c>
      <c r="AB1546" s="17" t="s">
        <v>41</v>
      </c>
      <c r="AC1546" s="0" t="str">
        <f aca="false">LEFT(G1546,2)</f>
        <v>77</v>
      </c>
      <c r="AE1546" s="21" t="s">
        <v>506</v>
      </c>
    </row>
    <row r="1547" customFormat="false" ht="15" hidden="false" customHeight="false" outlineLevel="0" collapsed="false">
      <c r="A1547" s="13" t="n">
        <f aca="false">1+A1546</f>
        <v>1545</v>
      </c>
      <c r="B1547" s="14" t="n">
        <v>1009599425</v>
      </c>
      <c r="C1547" s="17" t="s">
        <v>159</v>
      </c>
      <c r="D1547" s="16" t="s">
        <v>157</v>
      </c>
      <c r="E1547" s="17" t="s">
        <v>47</v>
      </c>
      <c r="F1547" s="18" t="s">
        <v>34</v>
      </c>
      <c r="G1547" s="19" t="n">
        <v>775185003271</v>
      </c>
      <c r="H1547" s="17" t="s">
        <v>35</v>
      </c>
      <c r="I1547" s="17" t="s">
        <v>69</v>
      </c>
      <c r="J1547" s="17" t="s">
        <v>121</v>
      </c>
      <c r="K1547" s="17" t="str">
        <f aca="false">VLOOKUP(J1547,Sheet2!A:B,2,0)</f>
        <v>SHANI GOHIL</v>
      </c>
      <c r="L1547" s="17" t="n">
        <v>1</v>
      </c>
      <c r="M1547" s="17" t="str">
        <f aca="false">VLOOKUP(L1547,Sheet2!D:E,2,0)</f>
        <v>Power Supply Section</v>
      </c>
      <c r="N1547" s="17" t="n">
        <v>1</v>
      </c>
      <c r="O1547" s="17" t="str">
        <f aca="false">VLOOKUP(N1547,Sheet2!G:H,2,0)</f>
        <v>Dead</v>
      </c>
      <c r="P1547" s="17" t="n">
        <v>11</v>
      </c>
      <c r="Q1547" s="17" t="str">
        <f aca="false">VLOOKUP(P1547,Sheet2!J:K,2,0)</f>
        <v>IR Declared due to CID -TA</v>
      </c>
      <c r="R1547" s="17" t="s">
        <v>35</v>
      </c>
      <c r="S1547" s="17" t="str">
        <f aca="false">VLOOKUP(R1547,Sheet2!N:O,2,0)</f>
        <v>IREPARABLE</v>
      </c>
      <c r="T1547" s="18" t="str">
        <f aca="false">VLOOKUP(P1547,Sheet2!Q:R,2,0)</f>
        <v>IR Normal - Track burn out</v>
      </c>
      <c r="U1547" s="18" t="s">
        <v>122</v>
      </c>
      <c r="V1547" s="17" t="n">
        <v>2</v>
      </c>
      <c r="W1547" s="20" t="str">
        <f aca="false">VLOOKUP(V1547,Sheet2!Q:R,2,0)</f>
        <v>IR CID -  Water log from other area</v>
      </c>
      <c r="X1547" s="17" t="str">
        <f aca="false">J1547</f>
        <v>A063</v>
      </c>
      <c r="Y1547" s="17" t="str">
        <f aca="false">VLOOKUP(X1547,Sheet2!A:B,2,0)</f>
        <v>SHANI GOHIL</v>
      </c>
      <c r="Z1547" s="17" t="s">
        <v>789</v>
      </c>
      <c r="AA1547" s="17" t="s">
        <v>642</v>
      </c>
      <c r="AB1547" s="17" t="s">
        <v>41</v>
      </c>
      <c r="AC1547" s="0" t="str">
        <f aca="false">LEFT(G1547,2)</f>
        <v>77</v>
      </c>
      <c r="AE1547" s="21" t="s">
        <v>506</v>
      </c>
    </row>
    <row r="1548" customFormat="false" ht="15" hidden="false" customHeight="false" outlineLevel="0" collapsed="false">
      <c r="A1548" s="13" t="n">
        <f aca="false">1+A1547</f>
        <v>1546</v>
      </c>
      <c r="B1548" s="14" t="n">
        <v>1009806922</v>
      </c>
      <c r="C1548" s="17" t="s">
        <v>181</v>
      </c>
      <c r="D1548" s="16" t="s">
        <v>206</v>
      </c>
      <c r="E1548" s="17" t="s">
        <v>47</v>
      </c>
      <c r="F1548" s="18" t="s">
        <v>34</v>
      </c>
      <c r="G1548" s="19" t="n">
        <v>774345048029</v>
      </c>
      <c r="H1548" s="17" t="s">
        <v>35</v>
      </c>
      <c r="I1548" s="17" t="s">
        <v>69</v>
      </c>
      <c r="J1548" s="17" t="s">
        <v>111</v>
      </c>
      <c r="K1548" s="17" t="str">
        <f aca="false">VLOOKUP(J1548,Sheet2!A:B,2,0)</f>
        <v>NITIN PRANAMI</v>
      </c>
      <c r="L1548" s="17" t="n">
        <v>1</v>
      </c>
      <c r="M1548" s="17" t="str">
        <f aca="false">VLOOKUP(L1548,Sheet2!D:E,2,0)</f>
        <v>Power Supply Section</v>
      </c>
      <c r="N1548" s="17" t="n">
        <v>1</v>
      </c>
      <c r="O1548" s="17" t="str">
        <f aca="false">VLOOKUP(N1548,Sheet2!G:H,2,0)</f>
        <v>Dead</v>
      </c>
      <c r="P1548" s="17" t="n">
        <v>11</v>
      </c>
      <c r="Q1548" s="17" t="str">
        <f aca="false">VLOOKUP(P1548,Sheet2!J:K,2,0)</f>
        <v>IR Declared due to CID -TA</v>
      </c>
      <c r="R1548" s="17" t="s">
        <v>35</v>
      </c>
      <c r="S1548" s="17" t="str">
        <f aca="false">VLOOKUP(R1548,Sheet2!N:O,2,0)</f>
        <v>IREPARABLE</v>
      </c>
      <c r="T1548" s="18" t="str">
        <f aca="false">VLOOKUP(P1548,Sheet2!Q:R,2,0)</f>
        <v>IR Normal - Track burn out</v>
      </c>
      <c r="U1548" s="18" t="s">
        <v>122</v>
      </c>
      <c r="V1548" s="17" t="n">
        <v>2</v>
      </c>
      <c r="W1548" s="20" t="str">
        <f aca="false">VLOOKUP(V1548,Sheet2!Q:R,2,0)</f>
        <v>IR CID -  Water log from other area</v>
      </c>
      <c r="X1548" s="17" t="str">
        <f aca="false">J1548</f>
        <v>A031</v>
      </c>
      <c r="Y1548" s="17" t="str">
        <f aca="false">VLOOKUP(X1548,Sheet2!A:B,2,0)</f>
        <v>NITIN PRANAMI</v>
      </c>
      <c r="Z1548" s="17" t="s">
        <v>130</v>
      </c>
      <c r="AA1548" s="17" t="s">
        <v>642</v>
      </c>
      <c r="AB1548" s="17" t="s">
        <v>41</v>
      </c>
      <c r="AC1548" s="0" t="str">
        <f aca="false">LEFT(G1548,2)</f>
        <v>77</v>
      </c>
      <c r="AE1548" s="21" t="s">
        <v>506</v>
      </c>
    </row>
    <row r="1549" customFormat="false" ht="15" hidden="false" customHeight="false" outlineLevel="0" collapsed="false">
      <c r="A1549" s="13" t="n">
        <f aca="false">1+A1548</f>
        <v>1547</v>
      </c>
      <c r="B1549" s="14" t="n">
        <v>1009560869</v>
      </c>
      <c r="C1549" s="17" t="s">
        <v>192</v>
      </c>
      <c r="D1549" s="16" t="s">
        <v>202</v>
      </c>
      <c r="E1549" s="17" t="s">
        <v>33</v>
      </c>
      <c r="F1549" s="18" t="s">
        <v>34</v>
      </c>
      <c r="G1549" s="19" t="n">
        <v>775040371116</v>
      </c>
      <c r="H1549" s="17" t="s">
        <v>35</v>
      </c>
      <c r="I1549" s="17" t="s">
        <v>69</v>
      </c>
      <c r="J1549" s="17" t="s">
        <v>241</v>
      </c>
      <c r="K1549" s="17" t="str">
        <f aca="false">VLOOKUP(J1549,Sheet2!A:B,2,0)</f>
        <v>NILESH NAGAR</v>
      </c>
      <c r="L1549" s="17" t="n">
        <v>5</v>
      </c>
      <c r="M1549" s="17" t="str">
        <f aca="false">VLOOKUP(L1549,Sheet2!D:E,2,0)</f>
        <v>Main Processor CPU BGA</v>
      </c>
      <c r="N1549" s="17" t="n">
        <v>1</v>
      </c>
      <c r="O1549" s="17" t="str">
        <f aca="false">VLOOKUP(N1549,Sheet2!G:H,2,0)</f>
        <v>Dead</v>
      </c>
      <c r="P1549" s="17" t="n">
        <v>11</v>
      </c>
      <c r="Q1549" s="17" t="str">
        <f aca="false">VLOOKUP(P1549,Sheet2!J:K,2,0)</f>
        <v>IR Declared due to CID -TA</v>
      </c>
      <c r="R1549" s="17" t="s">
        <v>35</v>
      </c>
      <c r="S1549" s="17" t="str">
        <f aca="false">VLOOKUP(R1549,Sheet2!N:O,2,0)</f>
        <v>IREPARABLE</v>
      </c>
      <c r="T1549" s="18" t="str">
        <f aca="false">VLOOKUP(P1549,Sheet2!Q:R,2,0)</f>
        <v>IR Normal - Track burn out</v>
      </c>
      <c r="U1549" s="18" t="s">
        <v>122</v>
      </c>
      <c r="V1549" s="17" t="n">
        <v>2</v>
      </c>
      <c r="W1549" s="20" t="str">
        <f aca="false">VLOOKUP(V1549,Sheet2!Q:R,2,0)</f>
        <v>IR CID -  Water log from other area</v>
      </c>
      <c r="X1549" s="17" t="str">
        <f aca="false">J1549</f>
        <v>A008</v>
      </c>
      <c r="Y1549" s="17" t="str">
        <f aca="false">VLOOKUP(X1549,Sheet2!A:B,2,0)</f>
        <v>NILESH NAGAR</v>
      </c>
      <c r="Z1549" s="17" t="s">
        <v>790</v>
      </c>
      <c r="AA1549" s="17" t="s">
        <v>642</v>
      </c>
      <c r="AB1549" s="17" t="s">
        <v>41</v>
      </c>
      <c r="AC1549" s="0" t="str">
        <f aca="false">LEFT(G1549,2)</f>
        <v>77</v>
      </c>
      <c r="AE1549" s="21" t="s">
        <v>506</v>
      </c>
    </row>
    <row r="1550" customFormat="false" ht="15" hidden="false" customHeight="false" outlineLevel="0" collapsed="false">
      <c r="A1550" s="13" t="n">
        <f aca="false">1+A1549</f>
        <v>1548</v>
      </c>
      <c r="B1550" s="14" t="n">
        <v>1009617504</v>
      </c>
      <c r="C1550" s="17" t="s">
        <v>184</v>
      </c>
      <c r="D1550" s="16" t="s">
        <v>64</v>
      </c>
      <c r="E1550" s="17" t="s">
        <v>64</v>
      </c>
      <c r="F1550" s="18" t="s">
        <v>34</v>
      </c>
      <c r="G1550" s="19" t="n">
        <v>429279106265</v>
      </c>
      <c r="H1550" s="17" t="s">
        <v>35</v>
      </c>
      <c r="I1550" s="17" t="s">
        <v>82</v>
      </c>
      <c r="J1550" s="17" t="s">
        <v>239</v>
      </c>
      <c r="K1550" s="17" t="str">
        <f aca="false">VLOOKUP(J1550,Sheet2!A:B,2,0)</f>
        <v>VASANT PARMAR</v>
      </c>
      <c r="L1550" s="17" t="n">
        <v>2</v>
      </c>
      <c r="M1550" s="17" t="str">
        <f aca="false">VLOOKUP(L1550,Sheet2!D:E,2,0)</f>
        <v>Tuner Section</v>
      </c>
      <c r="N1550" s="17" t="n">
        <v>6</v>
      </c>
      <c r="O1550" s="17" t="str">
        <f aca="false">VLOOKUP(N1550,Sheet2!G:H,2,0)</f>
        <v>No Signal</v>
      </c>
      <c r="P1550" s="17" t="n">
        <v>11</v>
      </c>
      <c r="Q1550" s="17" t="str">
        <f aca="false">VLOOKUP(P1550,Sheet2!J:K,2,0)</f>
        <v>IR Declared due to CID -TA</v>
      </c>
      <c r="R1550" s="17" t="s">
        <v>35</v>
      </c>
      <c r="S1550" s="17" t="str">
        <f aca="false">VLOOKUP(R1550,Sheet2!N:O,2,0)</f>
        <v>IREPARABLE</v>
      </c>
      <c r="T1550" s="18" t="str">
        <f aca="false">VLOOKUP(P1550,Sheet2!Q:R,2,0)</f>
        <v>IR Normal - Track burn out</v>
      </c>
      <c r="U1550" s="20" t="s">
        <v>256</v>
      </c>
      <c r="V1550" s="17" t="n">
        <v>1</v>
      </c>
      <c r="W1550" s="20" t="str">
        <f aca="false">VLOOKUP(V1550,Sheet2!Q:R,2,0)</f>
        <v>IR CID -  Water log from IF port</v>
      </c>
      <c r="X1550" s="17" t="str">
        <f aca="false">J1550</f>
        <v>A005</v>
      </c>
      <c r="Y1550" s="17" t="str">
        <f aca="false">VLOOKUP(X1550,Sheet2!A:B,2,0)</f>
        <v>VASANT PARMAR</v>
      </c>
      <c r="Z1550" s="17" t="s">
        <v>303</v>
      </c>
      <c r="AA1550" s="17" t="s">
        <v>642</v>
      </c>
      <c r="AB1550" s="17" t="s">
        <v>41</v>
      </c>
      <c r="AC1550" s="0" t="str">
        <f aca="false">LEFT(G1550,2)</f>
        <v>42</v>
      </c>
      <c r="AE1550" s="21" t="s">
        <v>506</v>
      </c>
    </row>
    <row r="1551" customFormat="false" ht="15" hidden="false" customHeight="false" outlineLevel="0" collapsed="false">
      <c r="A1551" s="13" t="n">
        <f aca="false">1+A1550</f>
        <v>1549</v>
      </c>
      <c r="B1551" s="14" t="n">
        <v>1009621139</v>
      </c>
      <c r="C1551" s="17" t="s">
        <v>184</v>
      </c>
      <c r="D1551" s="16" t="s">
        <v>359</v>
      </c>
      <c r="E1551" s="17" t="s">
        <v>114</v>
      </c>
      <c r="F1551" s="18" t="s">
        <v>34</v>
      </c>
      <c r="G1551" s="19" t="n">
        <v>420277282844</v>
      </c>
      <c r="H1551" s="17" t="s">
        <v>35</v>
      </c>
      <c r="I1551" s="17" t="s">
        <v>82</v>
      </c>
      <c r="J1551" s="17" t="s">
        <v>267</v>
      </c>
      <c r="K1551" s="17" t="str">
        <f aca="false">VLOOKUP(J1551,Sheet2!A:B,2,0)</f>
        <v>HARIRAM GUPTA</v>
      </c>
      <c r="L1551" s="17" t="n">
        <v>2</v>
      </c>
      <c r="M1551" s="17" t="str">
        <f aca="false">VLOOKUP(L1551,Sheet2!D:E,2,0)</f>
        <v>Tuner Section</v>
      </c>
      <c r="N1551" s="17" t="n">
        <v>6</v>
      </c>
      <c r="O1551" s="17" t="str">
        <f aca="false">VLOOKUP(N1551,Sheet2!G:H,2,0)</f>
        <v>No Signal</v>
      </c>
      <c r="P1551" s="17" t="n">
        <v>11</v>
      </c>
      <c r="Q1551" s="17" t="str">
        <f aca="false">VLOOKUP(P1551,Sheet2!J:K,2,0)</f>
        <v>IR Declared due to CID -TA</v>
      </c>
      <c r="R1551" s="17" t="s">
        <v>35</v>
      </c>
      <c r="S1551" s="17" t="str">
        <f aca="false">VLOOKUP(R1551,Sheet2!N:O,2,0)</f>
        <v>IREPARABLE</v>
      </c>
      <c r="T1551" s="18" t="str">
        <f aca="false">VLOOKUP(P1551,Sheet2!Q:R,2,0)</f>
        <v>IR Normal - Track burn out</v>
      </c>
      <c r="U1551" s="18" t="s">
        <v>122</v>
      </c>
      <c r="V1551" s="17" t="n">
        <v>2</v>
      </c>
      <c r="W1551" s="20" t="str">
        <f aca="false">VLOOKUP(V1551,Sheet2!Q:R,2,0)</f>
        <v>IR CID -  Water log from other area</v>
      </c>
      <c r="X1551" s="17" t="str">
        <f aca="false">J1551</f>
        <v>A007</v>
      </c>
      <c r="Y1551" s="17" t="str">
        <f aca="false">VLOOKUP(X1551,Sheet2!A:B,2,0)</f>
        <v>HARIRAM GUPTA</v>
      </c>
      <c r="Z1551" s="17" t="s">
        <v>303</v>
      </c>
      <c r="AA1551" s="17" t="s">
        <v>642</v>
      </c>
      <c r="AB1551" s="17" t="s">
        <v>41</v>
      </c>
      <c r="AC1551" s="0" t="str">
        <f aca="false">LEFT(G1551,2)</f>
        <v>42</v>
      </c>
      <c r="AE1551" s="21" t="s">
        <v>506</v>
      </c>
    </row>
    <row r="1552" customFormat="false" ht="15" hidden="false" customHeight="false" outlineLevel="0" collapsed="false">
      <c r="A1552" s="13" t="n">
        <f aca="false">1+A1551</f>
        <v>1550</v>
      </c>
      <c r="B1552" s="14" t="n">
        <v>1009562918</v>
      </c>
      <c r="C1552" s="17" t="s">
        <v>192</v>
      </c>
      <c r="D1552" s="16" t="s">
        <v>64</v>
      </c>
      <c r="E1552" s="17" t="s">
        <v>33</v>
      </c>
      <c r="F1552" s="18" t="s">
        <v>34</v>
      </c>
      <c r="G1552" s="19" t="n">
        <v>429234188028</v>
      </c>
      <c r="H1552" s="17" t="s">
        <v>35</v>
      </c>
      <c r="I1552" s="17" t="s">
        <v>82</v>
      </c>
      <c r="J1552" s="17" t="s">
        <v>241</v>
      </c>
      <c r="K1552" s="17" t="str">
        <f aca="false">VLOOKUP(J1552,Sheet2!A:B,2,0)</f>
        <v>NILESH NAGAR</v>
      </c>
      <c r="L1552" s="17" t="n">
        <v>5</v>
      </c>
      <c r="M1552" s="17" t="str">
        <f aca="false">VLOOKUP(L1552,Sheet2!D:E,2,0)</f>
        <v>Main Processor CPU BGA</v>
      </c>
      <c r="N1552" s="17" t="n">
        <v>1</v>
      </c>
      <c r="O1552" s="17" t="str">
        <f aca="false">VLOOKUP(N1552,Sheet2!G:H,2,0)</f>
        <v>Dead</v>
      </c>
      <c r="P1552" s="17" t="n">
        <v>11</v>
      </c>
      <c r="Q1552" s="17" t="str">
        <f aca="false">VLOOKUP(P1552,Sheet2!J:K,2,0)</f>
        <v>IR Declared due to CID -TA</v>
      </c>
      <c r="R1552" s="17" t="s">
        <v>35</v>
      </c>
      <c r="S1552" s="17" t="str">
        <f aca="false">VLOOKUP(R1552,Sheet2!N:O,2,0)</f>
        <v>IREPARABLE</v>
      </c>
      <c r="T1552" s="18" t="str">
        <f aca="false">VLOOKUP(P1552,Sheet2!Q:R,2,0)</f>
        <v>IR Normal - Track burn out</v>
      </c>
      <c r="U1552" s="20" t="s">
        <v>256</v>
      </c>
      <c r="V1552" s="17" t="n">
        <v>1</v>
      </c>
      <c r="W1552" s="20" t="str">
        <f aca="false">VLOOKUP(V1552,Sheet2!Q:R,2,0)</f>
        <v>IR CID -  Water log from IF port</v>
      </c>
      <c r="X1552" s="17" t="str">
        <f aca="false">J1552</f>
        <v>A008</v>
      </c>
      <c r="Y1552" s="17" t="str">
        <f aca="false">VLOOKUP(X1552,Sheet2!A:B,2,0)</f>
        <v>NILESH NAGAR</v>
      </c>
      <c r="Z1552" s="17" t="s">
        <v>303</v>
      </c>
      <c r="AA1552" s="17" t="s">
        <v>642</v>
      </c>
      <c r="AB1552" s="17" t="s">
        <v>41</v>
      </c>
      <c r="AC1552" s="0" t="str">
        <f aca="false">LEFT(G1552,2)</f>
        <v>42</v>
      </c>
      <c r="AE1552" s="21" t="s">
        <v>506</v>
      </c>
    </row>
    <row r="1553" customFormat="false" ht="15" hidden="false" customHeight="false" outlineLevel="0" collapsed="false">
      <c r="A1553" s="13" t="n">
        <f aca="false">1+A1552</f>
        <v>1551</v>
      </c>
      <c r="B1553" s="14" t="n">
        <v>1009558819</v>
      </c>
      <c r="C1553" s="17" t="s">
        <v>192</v>
      </c>
      <c r="D1553" s="16" t="s">
        <v>64</v>
      </c>
      <c r="E1553" s="17" t="s">
        <v>47</v>
      </c>
      <c r="F1553" s="18" t="s">
        <v>34</v>
      </c>
      <c r="G1553" s="19" t="n">
        <v>420265245308</v>
      </c>
      <c r="H1553" s="17" t="s">
        <v>35</v>
      </c>
      <c r="I1553" s="17" t="s">
        <v>82</v>
      </c>
      <c r="J1553" s="17" t="s">
        <v>121</v>
      </c>
      <c r="K1553" s="17" t="str">
        <f aca="false">VLOOKUP(J1553,Sheet2!A:B,2,0)</f>
        <v>SHANI GOHIL</v>
      </c>
      <c r="L1553" s="17" t="n">
        <v>2</v>
      </c>
      <c r="M1553" s="17" t="str">
        <f aca="false">VLOOKUP(L1553,Sheet2!D:E,2,0)</f>
        <v>Tuner Section</v>
      </c>
      <c r="N1553" s="17" t="n">
        <v>6</v>
      </c>
      <c r="O1553" s="17" t="str">
        <f aca="false">VLOOKUP(N1553,Sheet2!G:H,2,0)</f>
        <v>No Signal</v>
      </c>
      <c r="P1553" s="17" t="n">
        <v>11</v>
      </c>
      <c r="Q1553" s="17" t="str">
        <f aca="false">VLOOKUP(P1553,Sheet2!J:K,2,0)</f>
        <v>IR Declared due to CID -TA</v>
      </c>
      <c r="R1553" s="17" t="s">
        <v>35</v>
      </c>
      <c r="S1553" s="17" t="str">
        <f aca="false">VLOOKUP(R1553,Sheet2!N:O,2,0)</f>
        <v>IREPARABLE</v>
      </c>
      <c r="T1553" s="18" t="str">
        <f aca="false">VLOOKUP(P1553,Sheet2!Q:R,2,0)</f>
        <v>IR Normal - Track burn out</v>
      </c>
      <c r="U1553" s="20" t="s">
        <v>256</v>
      </c>
      <c r="V1553" s="17" t="n">
        <v>1</v>
      </c>
      <c r="W1553" s="20" t="str">
        <f aca="false">VLOOKUP(V1553,Sheet2!Q:R,2,0)</f>
        <v>IR CID -  Water log from IF port</v>
      </c>
      <c r="X1553" s="17" t="str">
        <f aca="false">J1553</f>
        <v>A063</v>
      </c>
      <c r="Y1553" s="17" t="str">
        <f aca="false">VLOOKUP(X1553,Sheet2!A:B,2,0)</f>
        <v>SHANI GOHIL</v>
      </c>
      <c r="Z1553" s="17" t="s">
        <v>303</v>
      </c>
      <c r="AA1553" s="17" t="s">
        <v>642</v>
      </c>
      <c r="AB1553" s="17" t="s">
        <v>41</v>
      </c>
      <c r="AC1553" s="0" t="str">
        <f aca="false">LEFT(G1553,2)</f>
        <v>42</v>
      </c>
      <c r="AE1553" s="21" t="s">
        <v>506</v>
      </c>
    </row>
    <row r="1554" customFormat="false" ht="15" hidden="false" customHeight="false" outlineLevel="0" collapsed="false">
      <c r="A1554" s="13" t="n">
        <f aca="false">1+A1553</f>
        <v>1552</v>
      </c>
      <c r="B1554" s="14" t="n">
        <v>1009560016</v>
      </c>
      <c r="C1554" s="17" t="s">
        <v>192</v>
      </c>
      <c r="D1554" s="16" t="s">
        <v>64</v>
      </c>
      <c r="E1554" s="17" t="s">
        <v>33</v>
      </c>
      <c r="F1554" s="18" t="s">
        <v>34</v>
      </c>
      <c r="G1554" s="19" t="n">
        <v>420257112524</v>
      </c>
      <c r="H1554" s="17" t="s">
        <v>35</v>
      </c>
      <c r="I1554" s="17" t="s">
        <v>82</v>
      </c>
      <c r="J1554" s="17" t="s">
        <v>289</v>
      </c>
      <c r="K1554" s="17" t="str">
        <f aca="false">VLOOKUP(J1554,Sheet2!A:B,2,0)</f>
        <v>AJAY KOSHTI</v>
      </c>
      <c r="L1554" s="17" t="n">
        <v>2</v>
      </c>
      <c r="M1554" s="17" t="str">
        <f aca="false">VLOOKUP(L1554,Sheet2!D:E,2,0)</f>
        <v>Tuner Section</v>
      </c>
      <c r="N1554" s="17" t="n">
        <v>6</v>
      </c>
      <c r="O1554" s="17" t="str">
        <f aca="false">VLOOKUP(N1554,Sheet2!G:H,2,0)</f>
        <v>No Signal</v>
      </c>
      <c r="P1554" s="17" t="n">
        <v>11</v>
      </c>
      <c r="Q1554" s="17" t="str">
        <f aca="false">VLOOKUP(P1554,Sheet2!J:K,2,0)</f>
        <v>IR Declared due to CID -TA</v>
      </c>
      <c r="R1554" s="17" t="s">
        <v>35</v>
      </c>
      <c r="S1554" s="17" t="str">
        <f aca="false">VLOOKUP(R1554,Sheet2!N:O,2,0)</f>
        <v>IREPARABLE</v>
      </c>
      <c r="T1554" s="18" t="str">
        <f aca="false">VLOOKUP(P1554,Sheet2!Q:R,2,0)</f>
        <v>IR Normal - Track burn out</v>
      </c>
      <c r="U1554" s="20" t="s">
        <v>256</v>
      </c>
      <c r="V1554" s="17" t="n">
        <v>1</v>
      </c>
      <c r="W1554" s="20" t="str">
        <f aca="false">VLOOKUP(V1554,Sheet2!Q:R,2,0)</f>
        <v>IR CID -  Water log from IF port</v>
      </c>
      <c r="X1554" s="17" t="str">
        <f aca="false">J1554</f>
        <v>A051</v>
      </c>
      <c r="Y1554" s="17" t="str">
        <f aca="false">VLOOKUP(X1554,Sheet2!A:B,2,0)</f>
        <v>AJAY KOSHTI</v>
      </c>
      <c r="Z1554" s="17" t="s">
        <v>303</v>
      </c>
      <c r="AA1554" s="17" t="s">
        <v>642</v>
      </c>
      <c r="AB1554" s="17" t="s">
        <v>41</v>
      </c>
      <c r="AC1554" s="0" t="str">
        <f aca="false">LEFT(G1554,2)</f>
        <v>42</v>
      </c>
      <c r="AE1554" s="21" t="s">
        <v>506</v>
      </c>
    </row>
    <row r="1555" customFormat="false" ht="15" hidden="false" customHeight="false" outlineLevel="0" collapsed="false">
      <c r="A1555" s="13" t="n">
        <f aca="false">1+A1554</f>
        <v>1553</v>
      </c>
      <c r="B1555" s="14" t="n">
        <v>1009585310</v>
      </c>
      <c r="C1555" s="17" t="s">
        <v>139</v>
      </c>
      <c r="D1555" s="16" t="s">
        <v>64</v>
      </c>
      <c r="E1555" s="17" t="s">
        <v>64</v>
      </c>
      <c r="F1555" s="18" t="s">
        <v>34</v>
      </c>
      <c r="G1555" s="19" t="n">
        <v>420276493467</v>
      </c>
      <c r="H1555" s="17" t="s">
        <v>35</v>
      </c>
      <c r="I1555" s="17" t="s">
        <v>82</v>
      </c>
      <c r="J1555" s="17" t="s">
        <v>111</v>
      </c>
      <c r="K1555" s="17" t="str">
        <f aca="false">VLOOKUP(J1555,Sheet2!A:B,2,0)</f>
        <v>NITIN PRANAMI</v>
      </c>
      <c r="L1555" s="17" t="n">
        <v>1</v>
      </c>
      <c r="M1555" s="17" t="str">
        <f aca="false">VLOOKUP(L1555,Sheet2!D:E,2,0)</f>
        <v>Power Supply Section</v>
      </c>
      <c r="N1555" s="17" t="n">
        <v>1</v>
      </c>
      <c r="O1555" s="17" t="str">
        <f aca="false">VLOOKUP(N1555,Sheet2!G:H,2,0)</f>
        <v>Dead</v>
      </c>
      <c r="P1555" s="17" t="n">
        <v>11</v>
      </c>
      <c r="Q1555" s="17" t="str">
        <f aca="false">VLOOKUP(P1555,Sheet2!J:K,2,0)</f>
        <v>IR Declared due to CID -TA</v>
      </c>
      <c r="R1555" s="17" t="s">
        <v>35</v>
      </c>
      <c r="S1555" s="17" t="str">
        <f aca="false">VLOOKUP(R1555,Sheet2!N:O,2,0)</f>
        <v>IREPARABLE</v>
      </c>
      <c r="T1555" s="18" t="str">
        <f aca="false">VLOOKUP(P1555,Sheet2!Q:R,2,0)</f>
        <v>IR Normal - Track burn out</v>
      </c>
      <c r="U1555" s="20" t="s">
        <v>256</v>
      </c>
      <c r="V1555" s="17" t="n">
        <v>1</v>
      </c>
      <c r="W1555" s="20" t="str">
        <f aca="false">VLOOKUP(V1555,Sheet2!Q:R,2,0)</f>
        <v>IR CID -  Water log from IF port</v>
      </c>
      <c r="X1555" s="17" t="str">
        <f aca="false">J1555</f>
        <v>A031</v>
      </c>
      <c r="Y1555" s="17" t="str">
        <f aca="false">VLOOKUP(X1555,Sheet2!A:B,2,0)</f>
        <v>NITIN PRANAMI</v>
      </c>
      <c r="Z1555" s="17" t="s">
        <v>303</v>
      </c>
      <c r="AA1555" s="17" t="s">
        <v>642</v>
      </c>
      <c r="AB1555" s="17" t="s">
        <v>41</v>
      </c>
      <c r="AC1555" s="0" t="str">
        <f aca="false">LEFT(G1555,2)</f>
        <v>42</v>
      </c>
      <c r="AE1555" s="21" t="s">
        <v>506</v>
      </c>
    </row>
    <row r="1556" customFormat="false" ht="15" hidden="false" customHeight="false" outlineLevel="0" collapsed="false">
      <c r="A1556" s="13" t="n">
        <f aca="false">1+A1555</f>
        <v>1554</v>
      </c>
      <c r="B1556" s="14" t="n">
        <v>1009600379</v>
      </c>
      <c r="C1556" s="17" t="s">
        <v>159</v>
      </c>
      <c r="D1556" s="16" t="s">
        <v>64</v>
      </c>
      <c r="E1556" s="17" t="s">
        <v>64</v>
      </c>
      <c r="F1556" s="18" t="s">
        <v>34</v>
      </c>
      <c r="G1556" s="19" t="n">
        <v>429247157770</v>
      </c>
      <c r="H1556" s="17" t="s">
        <v>35</v>
      </c>
      <c r="I1556" s="17" t="s">
        <v>82</v>
      </c>
      <c r="J1556" s="17" t="s">
        <v>289</v>
      </c>
      <c r="K1556" s="17" t="str">
        <f aca="false">VLOOKUP(J1556,Sheet2!A:B,2,0)</f>
        <v>AJAY KOSHTI</v>
      </c>
      <c r="L1556" s="17" t="n">
        <v>2</v>
      </c>
      <c r="M1556" s="17" t="str">
        <f aca="false">VLOOKUP(L1556,Sheet2!D:E,2,0)</f>
        <v>Tuner Section</v>
      </c>
      <c r="N1556" s="17" t="n">
        <v>6</v>
      </c>
      <c r="O1556" s="17" t="str">
        <f aca="false">VLOOKUP(N1556,Sheet2!G:H,2,0)</f>
        <v>No Signal</v>
      </c>
      <c r="P1556" s="17" t="n">
        <v>11</v>
      </c>
      <c r="Q1556" s="17" t="str">
        <f aca="false">VLOOKUP(P1556,Sheet2!J:K,2,0)</f>
        <v>IR Declared due to CID -TA</v>
      </c>
      <c r="R1556" s="17" t="s">
        <v>35</v>
      </c>
      <c r="S1556" s="17" t="str">
        <f aca="false">VLOOKUP(R1556,Sheet2!N:O,2,0)</f>
        <v>IREPARABLE</v>
      </c>
      <c r="T1556" s="18" t="str">
        <f aca="false">VLOOKUP(P1556,Sheet2!Q:R,2,0)</f>
        <v>IR Normal - Track burn out</v>
      </c>
      <c r="U1556" s="20" t="s">
        <v>256</v>
      </c>
      <c r="V1556" s="17" t="n">
        <v>1</v>
      </c>
      <c r="W1556" s="20" t="str">
        <f aca="false">VLOOKUP(V1556,Sheet2!Q:R,2,0)</f>
        <v>IR CID -  Water log from IF port</v>
      </c>
      <c r="X1556" s="17" t="str">
        <f aca="false">J1556</f>
        <v>A051</v>
      </c>
      <c r="Y1556" s="17" t="str">
        <f aca="false">VLOOKUP(X1556,Sheet2!A:B,2,0)</f>
        <v>AJAY KOSHTI</v>
      </c>
      <c r="Z1556" s="17" t="s">
        <v>303</v>
      </c>
      <c r="AA1556" s="17" t="s">
        <v>642</v>
      </c>
      <c r="AB1556" s="17" t="s">
        <v>41</v>
      </c>
      <c r="AC1556" s="0" t="str">
        <f aca="false">LEFT(G1556,2)</f>
        <v>42</v>
      </c>
      <c r="AE1556" s="21" t="s">
        <v>506</v>
      </c>
    </row>
    <row r="1557" customFormat="false" ht="15" hidden="false" customHeight="false" outlineLevel="0" collapsed="false">
      <c r="A1557" s="13" t="n">
        <f aca="false">1+A1556</f>
        <v>1555</v>
      </c>
      <c r="B1557" s="14" t="n">
        <v>1009606653</v>
      </c>
      <c r="C1557" s="17" t="s">
        <v>181</v>
      </c>
      <c r="D1557" s="16" t="s">
        <v>196</v>
      </c>
      <c r="E1557" s="17" t="s">
        <v>47</v>
      </c>
      <c r="F1557" s="18" t="s">
        <v>34</v>
      </c>
      <c r="G1557" s="19" t="n">
        <v>986014246276</v>
      </c>
      <c r="H1557" s="17" t="s">
        <v>35</v>
      </c>
      <c r="I1557" s="17" t="s">
        <v>44</v>
      </c>
      <c r="J1557" s="17" t="s">
        <v>111</v>
      </c>
      <c r="K1557" s="17" t="str">
        <f aca="false">VLOOKUP(J1557,Sheet2!A:B,2,0)</f>
        <v>NITIN PRANAMI</v>
      </c>
      <c r="L1557" s="17" t="n">
        <v>1</v>
      </c>
      <c r="M1557" s="17" t="str">
        <f aca="false">VLOOKUP(L1557,Sheet2!D:E,2,0)</f>
        <v>Power Supply Section</v>
      </c>
      <c r="N1557" s="17" t="n">
        <v>1</v>
      </c>
      <c r="O1557" s="17" t="str">
        <f aca="false">VLOOKUP(N1557,Sheet2!G:H,2,0)</f>
        <v>Dead</v>
      </c>
      <c r="P1557" s="17" t="n">
        <v>11</v>
      </c>
      <c r="Q1557" s="17" t="str">
        <f aca="false">VLOOKUP(P1557,Sheet2!J:K,2,0)</f>
        <v>IR Declared due to CID -TA</v>
      </c>
      <c r="R1557" s="17" t="s">
        <v>35</v>
      </c>
      <c r="S1557" s="17" t="str">
        <f aca="false">VLOOKUP(R1557,Sheet2!N:O,2,0)</f>
        <v>IREPARABLE</v>
      </c>
      <c r="T1557" s="18" t="str">
        <f aca="false">VLOOKUP(P1557,Sheet2!Q:R,2,0)</f>
        <v>IR Normal - Track burn out</v>
      </c>
      <c r="U1557" s="18" t="s">
        <v>38</v>
      </c>
      <c r="V1557" s="17" t="n">
        <v>4</v>
      </c>
      <c r="W1557" s="20" t="str">
        <f aca="false">VLOOKUP(V1557,Sheet2!Q:R,2,0)</f>
        <v>IR CID - Tampered Track burn out</v>
      </c>
      <c r="X1557" s="17" t="str">
        <f aca="false">J1557</f>
        <v>A031</v>
      </c>
      <c r="Y1557" s="17" t="str">
        <f aca="false">VLOOKUP(X1557,Sheet2!A:B,2,0)</f>
        <v>NITIN PRANAMI</v>
      </c>
      <c r="Z1557" s="17" t="s">
        <v>791</v>
      </c>
      <c r="AA1557" s="17" t="s">
        <v>642</v>
      </c>
      <c r="AB1557" s="17" t="s">
        <v>41</v>
      </c>
      <c r="AC1557" s="0" t="str">
        <f aca="false">LEFT(G1557,2)</f>
        <v>98</v>
      </c>
      <c r="AE1557" s="21" t="s">
        <v>506</v>
      </c>
    </row>
    <row r="1558" customFormat="false" ht="15" hidden="false" customHeight="false" outlineLevel="0" collapsed="false">
      <c r="A1558" s="13" t="n">
        <f aca="false">1+A1557</f>
        <v>1556</v>
      </c>
      <c r="B1558" s="14" t="n">
        <v>1009565212</v>
      </c>
      <c r="C1558" s="17" t="s">
        <v>102</v>
      </c>
      <c r="D1558" s="16" t="s">
        <v>64</v>
      </c>
      <c r="E1558" s="17" t="s">
        <v>64</v>
      </c>
      <c r="F1558" s="18" t="s">
        <v>34</v>
      </c>
      <c r="G1558" s="19" t="n">
        <v>98014207167</v>
      </c>
      <c r="H1558" s="17" t="s">
        <v>35</v>
      </c>
      <c r="I1558" s="17" t="s">
        <v>44</v>
      </c>
      <c r="J1558" s="17" t="s">
        <v>111</v>
      </c>
      <c r="K1558" s="17" t="str">
        <f aca="false">VLOOKUP(J1558,Sheet2!A:B,2,0)</f>
        <v>NITIN PRANAMI</v>
      </c>
      <c r="L1558" s="17" t="n">
        <v>5</v>
      </c>
      <c r="M1558" s="17" t="str">
        <f aca="false">VLOOKUP(L1558,Sheet2!D:E,2,0)</f>
        <v>Main Processor CPU BGA</v>
      </c>
      <c r="N1558" s="17" t="n">
        <v>24</v>
      </c>
      <c r="O1558" s="17" t="str">
        <f aca="false">VLOOKUP(N1558,Sheet2!G:H,2,0)</f>
        <v>STB Auto moving -Stand by mode</v>
      </c>
      <c r="P1558" s="17" t="n">
        <v>11</v>
      </c>
      <c r="Q1558" s="17" t="str">
        <f aca="false">VLOOKUP(P1558,Sheet2!J:K,2,0)</f>
        <v>IR Declared due to CID -TA</v>
      </c>
      <c r="R1558" s="17" t="s">
        <v>35</v>
      </c>
      <c r="S1558" s="17" t="str">
        <f aca="false">VLOOKUP(R1558,Sheet2!N:O,2,0)</f>
        <v>IREPARABLE</v>
      </c>
      <c r="T1558" s="18" t="str">
        <f aca="false">VLOOKUP(P1558,Sheet2!Q:R,2,0)</f>
        <v>IR Normal - Track burn out</v>
      </c>
      <c r="U1558" s="18" t="s">
        <v>122</v>
      </c>
      <c r="V1558" s="17" t="n">
        <v>2</v>
      </c>
      <c r="W1558" s="20" t="str">
        <f aca="false">VLOOKUP(V1558,Sheet2!Q:R,2,0)</f>
        <v>IR CID -  Water log from other area</v>
      </c>
      <c r="X1558" s="17" t="str">
        <f aca="false">J1558</f>
        <v>A031</v>
      </c>
      <c r="Y1558" s="17" t="str">
        <f aca="false">VLOOKUP(X1558,Sheet2!A:B,2,0)</f>
        <v>NITIN PRANAMI</v>
      </c>
      <c r="Z1558" s="17" t="s">
        <v>791</v>
      </c>
      <c r="AA1558" s="17" t="s">
        <v>642</v>
      </c>
      <c r="AB1558" s="17" t="s">
        <v>41</v>
      </c>
      <c r="AC1558" s="0" t="str">
        <f aca="false">LEFT(G1558,2)</f>
        <v>98</v>
      </c>
      <c r="AE1558" s="21" t="s">
        <v>506</v>
      </c>
    </row>
    <row r="1559" customFormat="false" ht="15" hidden="false" customHeight="false" outlineLevel="0" collapsed="false">
      <c r="A1559" s="13" t="n">
        <f aca="false">1+A1558</f>
        <v>1557</v>
      </c>
      <c r="B1559" s="14" t="n">
        <v>1009685941</v>
      </c>
      <c r="C1559" s="17" t="s">
        <v>449</v>
      </c>
      <c r="D1559" s="16" t="s">
        <v>64</v>
      </c>
      <c r="E1559" s="17" t="s">
        <v>64</v>
      </c>
      <c r="F1559" s="18" t="s">
        <v>34</v>
      </c>
      <c r="G1559" s="19" t="n">
        <v>986164108078</v>
      </c>
      <c r="H1559" s="17" t="s">
        <v>35</v>
      </c>
      <c r="I1559" s="17" t="s">
        <v>44</v>
      </c>
      <c r="J1559" s="17" t="s">
        <v>239</v>
      </c>
      <c r="K1559" s="17" t="str">
        <f aca="false">VLOOKUP(J1559,Sheet2!A:B,2,0)</f>
        <v>VASANT PARMAR</v>
      </c>
      <c r="L1559" s="17" t="n">
        <v>5</v>
      </c>
      <c r="M1559" s="17" t="str">
        <f aca="false">VLOOKUP(L1559,Sheet2!D:E,2,0)</f>
        <v>Main Processor CPU BGA</v>
      </c>
      <c r="N1559" s="17" t="n">
        <v>24</v>
      </c>
      <c r="O1559" s="17" t="str">
        <f aca="false">VLOOKUP(N1559,Sheet2!G:H,2,0)</f>
        <v>STB Auto moving -Stand by mode</v>
      </c>
      <c r="P1559" s="17" t="n">
        <v>12</v>
      </c>
      <c r="Q1559" s="17" t="str">
        <f aca="false">VLOOKUP(P1559,Sheet2!J:K,2,0)</f>
        <v>IR Declared due to Others ( IR Normal)TB</v>
      </c>
      <c r="R1559" s="17" t="s">
        <v>35</v>
      </c>
      <c r="S1559" s="17" t="str">
        <f aca="false">VLOOKUP(R1559,Sheet2!N:O,2,0)</f>
        <v>IREPARABLE</v>
      </c>
      <c r="T1559" s="18" t="str">
        <f aca="false">VLOOKUP(P1559,Sheet2!Q:R,2,0)</f>
        <v>IR Normal - BER to IR</v>
      </c>
      <c r="U1559" s="18" t="s">
        <v>101</v>
      </c>
      <c r="V1559" s="17" t="n">
        <v>8</v>
      </c>
      <c r="W1559" s="20" t="str">
        <f aca="false">VLOOKUP(V1559,Sheet2!Q:R,2,0)</f>
        <v>IR Normal -TrackRust/InternalDamage/open</v>
      </c>
      <c r="X1559" s="17" t="str">
        <f aca="false">J1559</f>
        <v>A005</v>
      </c>
      <c r="Y1559" s="17" t="str">
        <f aca="false">VLOOKUP(X1559,Sheet2!A:B,2,0)</f>
        <v>VASANT PARMAR</v>
      </c>
      <c r="Z1559" s="17" t="s">
        <v>791</v>
      </c>
      <c r="AA1559" s="17" t="s">
        <v>642</v>
      </c>
      <c r="AB1559" s="17" t="s">
        <v>41</v>
      </c>
      <c r="AC1559" s="0" t="str">
        <f aca="false">LEFT(G1559,2)</f>
        <v>98</v>
      </c>
      <c r="AE1559" s="21" t="s">
        <v>506</v>
      </c>
    </row>
    <row r="1560" customFormat="false" ht="15" hidden="false" customHeight="false" outlineLevel="0" collapsed="false">
      <c r="A1560" s="13" t="n">
        <f aca="false">1+A1559</f>
        <v>1558</v>
      </c>
      <c r="B1560" s="14" t="n">
        <v>1009685664</v>
      </c>
      <c r="C1560" s="17" t="s">
        <v>449</v>
      </c>
      <c r="D1560" s="16" t="s">
        <v>64</v>
      </c>
      <c r="E1560" s="17" t="s">
        <v>47</v>
      </c>
      <c r="F1560" s="18" t="s">
        <v>34</v>
      </c>
      <c r="G1560" s="19" t="n">
        <v>986259273159</v>
      </c>
      <c r="H1560" s="17" t="s">
        <v>35</v>
      </c>
      <c r="I1560" s="17" t="s">
        <v>44</v>
      </c>
      <c r="J1560" s="17" t="s">
        <v>111</v>
      </c>
      <c r="K1560" s="17" t="str">
        <f aca="false">VLOOKUP(J1560,Sheet2!A:B,2,0)</f>
        <v>NITIN PRANAMI</v>
      </c>
      <c r="L1560" s="17" t="n">
        <v>1</v>
      </c>
      <c r="M1560" s="17" t="str">
        <f aca="false">VLOOKUP(L1560,Sheet2!D:E,2,0)</f>
        <v>Power Supply Section</v>
      </c>
      <c r="N1560" s="17" t="n">
        <v>1</v>
      </c>
      <c r="O1560" s="17" t="str">
        <f aca="false">VLOOKUP(N1560,Sheet2!G:H,2,0)</f>
        <v>Dead</v>
      </c>
      <c r="P1560" s="17" t="n">
        <v>11</v>
      </c>
      <c r="Q1560" s="17" t="str">
        <f aca="false">VLOOKUP(P1560,Sheet2!J:K,2,0)</f>
        <v>IR Declared due to CID -TA</v>
      </c>
      <c r="R1560" s="17" t="s">
        <v>35</v>
      </c>
      <c r="S1560" s="17" t="str">
        <f aca="false">VLOOKUP(R1560,Sheet2!N:O,2,0)</f>
        <v>IREPARABLE</v>
      </c>
      <c r="T1560" s="18" t="str">
        <f aca="false">VLOOKUP(P1560,Sheet2!Q:R,2,0)</f>
        <v>IR Normal - Track burn out</v>
      </c>
      <c r="U1560" s="20" t="s">
        <v>256</v>
      </c>
      <c r="V1560" s="17" t="n">
        <v>1</v>
      </c>
      <c r="W1560" s="20" t="str">
        <f aca="false">VLOOKUP(V1560,Sheet2!Q:R,2,0)</f>
        <v>IR CID -  Water log from IF port</v>
      </c>
      <c r="X1560" s="17" t="str">
        <f aca="false">J1560</f>
        <v>A031</v>
      </c>
      <c r="Y1560" s="17" t="str">
        <f aca="false">VLOOKUP(X1560,Sheet2!A:B,2,0)</f>
        <v>NITIN PRANAMI</v>
      </c>
      <c r="Z1560" s="17" t="s">
        <v>792</v>
      </c>
      <c r="AA1560" s="17" t="s">
        <v>642</v>
      </c>
      <c r="AB1560" s="17" t="s">
        <v>41</v>
      </c>
      <c r="AC1560" s="0" t="str">
        <f aca="false">LEFT(G1560,2)</f>
        <v>98</v>
      </c>
      <c r="AE1560" s="21" t="s">
        <v>506</v>
      </c>
    </row>
    <row r="1561" customFormat="false" ht="15" hidden="false" customHeight="false" outlineLevel="0" collapsed="false">
      <c r="A1561" s="13" t="n">
        <f aca="false">1+A1560</f>
        <v>1559</v>
      </c>
      <c r="B1561" s="14" t="n">
        <v>1009577253</v>
      </c>
      <c r="C1561" s="17" t="s">
        <v>139</v>
      </c>
      <c r="D1561" s="16" t="s">
        <v>154</v>
      </c>
      <c r="E1561" s="17" t="s">
        <v>91</v>
      </c>
      <c r="F1561" s="18" t="s">
        <v>34</v>
      </c>
      <c r="G1561" s="19" t="n">
        <v>986164227720</v>
      </c>
      <c r="H1561" s="17" t="s">
        <v>35</v>
      </c>
      <c r="I1561" s="17" t="s">
        <v>44</v>
      </c>
      <c r="J1561" s="17" t="s">
        <v>121</v>
      </c>
      <c r="K1561" s="17" t="str">
        <f aca="false">VLOOKUP(J1561,Sheet2!A:B,2,0)</f>
        <v>SHANI GOHIL</v>
      </c>
      <c r="L1561" s="17" t="n">
        <v>5</v>
      </c>
      <c r="M1561" s="17" t="str">
        <f aca="false">VLOOKUP(L1561,Sheet2!D:E,2,0)</f>
        <v>Main Processor CPU BGA</v>
      </c>
      <c r="N1561" s="17" t="n">
        <v>28</v>
      </c>
      <c r="O1561" s="17" t="str">
        <f aca="false">VLOOKUP(N1561,Sheet2!G:H,2,0)</f>
        <v>Hang and Freeze video - AV</v>
      </c>
      <c r="P1561" s="17" t="n">
        <v>11</v>
      </c>
      <c r="Q1561" s="17" t="str">
        <f aca="false">VLOOKUP(P1561,Sheet2!J:K,2,0)</f>
        <v>IR Declared due to CID -TA</v>
      </c>
      <c r="R1561" s="17" t="s">
        <v>35</v>
      </c>
      <c r="S1561" s="17" t="str">
        <f aca="false">VLOOKUP(R1561,Sheet2!N:O,2,0)</f>
        <v>IREPARABLE</v>
      </c>
      <c r="T1561" s="18" t="str">
        <f aca="false">VLOOKUP(P1561,Sheet2!Q:R,2,0)</f>
        <v>IR Normal - Track burn out</v>
      </c>
      <c r="U1561" s="18" t="s">
        <v>122</v>
      </c>
      <c r="V1561" s="17" t="n">
        <v>2</v>
      </c>
      <c r="W1561" s="20" t="str">
        <f aca="false">VLOOKUP(V1561,Sheet2!Q:R,2,0)</f>
        <v>IR CID -  Water log from other area</v>
      </c>
      <c r="X1561" s="17" t="str">
        <f aca="false">J1561</f>
        <v>A063</v>
      </c>
      <c r="Y1561" s="17" t="str">
        <f aca="false">VLOOKUP(X1561,Sheet2!A:B,2,0)</f>
        <v>SHANI GOHIL</v>
      </c>
      <c r="Z1561" s="17" t="s">
        <v>793</v>
      </c>
      <c r="AA1561" s="17" t="s">
        <v>642</v>
      </c>
      <c r="AB1561" s="17" t="s">
        <v>41</v>
      </c>
      <c r="AC1561" s="0" t="str">
        <f aca="false">LEFT(G1561,2)</f>
        <v>98</v>
      </c>
      <c r="AE1561" s="21" t="s">
        <v>506</v>
      </c>
    </row>
    <row r="1562" customFormat="false" ht="15" hidden="false" customHeight="false" outlineLevel="0" collapsed="false">
      <c r="A1562" s="13" t="n">
        <f aca="false">1+A1561</f>
        <v>1560</v>
      </c>
      <c r="B1562" s="14" t="n">
        <v>1009607611</v>
      </c>
      <c r="C1562" s="17" t="s">
        <v>181</v>
      </c>
      <c r="D1562" s="16" t="s">
        <v>206</v>
      </c>
      <c r="E1562" s="17" t="s">
        <v>47</v>
      </c>
      <c r="F1562" s="18" t="s">
        <v>34</v>
      </c>
      <c r="G1562" s="19" t="n">
        <v>985319178087</v>
      </c>
      <c r="H1562" s="17" t="s">
        <v>35</v>
      </c>
      <c r="I1562" s="17" t="s">
        <v>44</v>
      </c>
      <c r="J1562" s="17" t="s">
        <v>241</v>
      </c>
      <c r="K1562" s="17" t="str">
        <f aca="false">VLOOKUP(J1562,Sheet2!A:B,2,0)</f>
        <v>NILESH NAGAR</v>
      </c>
      <c r="L1562" s="17" t="n">
        <v>5</v>
      </c>
      <c r="M1562" s="17" t="str">
        <f aca="false">VLOOKUP(L1562,Sheet2!D:E,2,0)</f>
        <v>Main Processor CPU BGA</v>
      </c>
      <c r="N1562" s="17" t="n">
        <v>1</v>
      </c>
      <c r="O1562" s="17" t="str">
        <f aca="false">VLOOKUP(N1562,Sheet2!G:H,2,0)</f>
        <v>Dead</v>
      </c>
      <c r="P1562" s="17" t="n">
        <v>11</v>
      </c>
      <c r="Q1562" s="17" t="str">
        <f aca="false">VLOOKUP(P1562,Sheet2!J:K,2,0)</f>
        <v>IR Declared due to CID -TA</v>
      </c>
      <c r="R1562" s="17" t="s">
        <v>35</v>
      </c>
      <c r="S1562" s="17" t="str">
        <f aca="false">VLOOKUP(R1562,Sheet2!N:O,2,0)</f>
        <v>IREPARABLE</v>
      </c>
      <c r="T1562" s="18" t="str">
        <f aca="false">VLOOKUP(P1562,Sheet2!Q:R,2,0)</f>
        <v>IR Normal - Track burn out</v>
      </c>
      <c r="U1562" s="18" t="s">
        <v>122</v>
      </c>
      <c r="V1562" s="17" t="n">
        <v>2</v>
      </c>
      <c r="W1562" s="20" t="str">
        <f aca="false">VLOOKUP(V1562,Sheet2!Q:R,2,0)</f>
        <v>IR CID -  Water log from other area</v>
      </c>
      <c r="X1562" s="17" t="str">
        <f aca="false">J1562</f>
        <v>A008</v>
      </c>
      <c r="Y1562" s="17" t="str">
        <f aca="false">VLOOKUP(X1562,Sheet2!A:B,2,0)</f>
        <v>NILESH NAGAR</v>
      </c>
      <c r="Z1562" s="17" t="s">
        <v>794</v>
      </c>
      <c r="AA1562" s="17" t="s">
        <v>642</v>
      </c>
      <c r="AB1562" s="17" t="s">
        <v>41</v>
      </c>
      <c r="AC1562" s="0" t="str">
        <f aca="false">LEFT(G1562,2)</f>
        <v>98</v>
      </c>
      <c r="AE1562" s="21" t="s">
        <v>506</v>
      </c>
    </row>
    <row r="1563" customFormat="false" ht="15" hidden="false" customHeight="false" outlineLevel="0" collapsed="false">
      <c r="A1563" s="13" t="n">
        <f aca="false">1+A1562</f>
        <v>1561</v>
      </c>
      <c r="B1563" s="14" t="n">
        <v>1009582269</v>
      </c>
      <c r="C1563" s="17" t="s">
        <v>104</v>
      </c>
      <c r="D1563" s="16" t="s">
        <v>64</v>
      </c>
      <c r="E1563" s="17" t="s">
        <v>148</v>
      </c>
      <c r="F1563" s="18" t="s">
        <v>34</v>
      </c>
      <c r="G1563" s="19" t="n">
        <v>942345908050</v>
      </c>
      <c r="H1563" s="17" t="s">
        <v>35</v>
      </c>
      <c r="I1563" s="17" t="s">
        <v>44</v>
      </c>
      <c r="J1563" s="17" t="s">
        <v>121</v>
      </c>
      <c r="K1563" s="17" t="str">
        <f aca="false">VLOOKUP(J1563,Sheet2!A:B,2,0)</f>
        <v>SHANI GOHIL</v>
      </c>
      <c r="L1563" s="17" t="n">
        <v>1</v>
      </c>
      <c r="M1563" s="17" t="str">
        <f aca="false">VLOOKUP(L1563,Sheet2!D:E,2,0)</f>
        <v>Power Supply Section</v>
      </c>
      <c r="N1563" s="17" t="n">
        <v>1</v>
      </c>
      <c r="O1563" s="17" t="str">
        <f aca="false">VLOOKUP(N1563,Sheet2!G:H,2,0)</f>
        <v>Dead</v>
      </c>
      <c r="P1563" s="17" t="n">
        <v>11</v>
      </c>
      <c r="Q1563" s="17" t="str">
        <f aca="false">VLOOKUP(P1563,Sheet2!J:K,2,0)</f>
        <v>IR Declared due to CID -TA</v>
      </c>
      <c r="R1563" s="17" t="s">
        <v>35</v>
      </c>
      <c r="S1563" s="17" t="str">
        <f aca="false">VLOOKUP(R1563,Sheet2!N:O,2,0)</f>
        <v>IREPARABLE</v>
      </c>
      <c r="T1563" s="18" t="str">
        <f aca="false">VLOOKUP(P1563,Sheet2!Q:R,2,0)</f>
        <v>IR Normal - Track burn out</v>
      </c>
      <c r="U1563" s="18" t="s">
        <v>122</v>
      </c>
      <c r="V1563" s="17" t="n">
        <v>2</v>
      </c>
      <c r="W1563" s="20" t="str">
        <f aca="false">VLOOKUP(V1563,Sheet2!Q:R,2,0)</f>
        <v>IR CID -  Water log from other area</v>
      </c>
      <c r="X1563" s="17" t="str">
        <f aca="false">J1563</f>
        <v>A063</v>
      </c>
      <c r="Y1563" s="17" t="str">
        <f aca="false">VLOOKUP(X1563,Sheet2!A:B,2,0)</f>
        <v>SHANI GOHIL</v>
      </c>
      <c r="Z1563" s="17" t="s">
        <v>795</v>
      </c>
      <c r="AA1563" s="17" t="s">
        <v>642</v>
      </c>
      <c r="AB1563" s="17" t="s">
        <v>41</v>
      </c>
      <c r="AC1563" s="0" t="str">
        <f aca="false">LEFT(G1563,2)</f>
        <v>94</v>
      </c>
      <c r="AE1563" s="21" t="s">
        <v>506</v>
      </c>
    </row>
    <row r="1564" customFormat="false" ht="15" hidden="false" customHeight="false" outlineLevel="0" collapsed="false">
      <c r="A1564" s="13" t="n">
        <f aca="false">1+A1563</f>
        <v>1562</v>
      </c>
      <c r="B1564" s="14" t="n">
        <v>1009610775</v>
      </c>
      <c r="C1564" s="17" t="s">
        <v>181</v>
      </c>
      <c r="D1564" s="16" t="s">
        <v>64</v>
      </c>
      <c r="E1564" s="17" t="s">
        <v>64</v>
      </c>
      <c r="F1564" s="18" t="s">
        <v>34</v>
      </c>
      <c r="G1564" s="19" t="n">
        <v>954345117343</v>
      </c>
      <c r="H1564" s="17" t="s">
        <v>35</v>
      </c>
      <c r="I1564" s="17" t="s">
        <v>44</v>
      </c>
      <c r="J1564" s="17" t="s">
        <v>287</v>
      </c>
      <c r="K1564" s="17" t="str">
        <f aca="false">VLOOKUP(J1564,Sheet2!A:B,2,0)</f>
        <v>BHUPENDRA  DABHI</v>
      </c>
      <c r="L1564" s="17" t="n">
        <v>1</v>
      </c>
      <c r="M1564" s="17" t="str">
        <f aca="false">VLOOKUP(L1564,Sheet2!D:E,2,0)</f>
        <v>Power Supply Section</v>
      </c>
      <c r="N1564" s="17" t="n">
        <v>1</v>
      </c>
      <c r="O1564" s="17" t="str">
        <f aca="false">VLOOKUP(N1564,Sheet2!G:H,2,0)</f>
        <v>Dead</v>
      </c>
      <c r="P1564" s="17" t="n">
        <v>11</v>
      </c>
      <c r="Q1564" s="17" t="str">
        <f aca="false">VLOOKUP(P1564,Sheet2!J:K,2,0)</f>
        <v>IR Declared due to CID -TA</v>
      </c>
      <c r="R1564" s="17" t="s">
        <v>35</v>
      </c>
      <c r="S1564" s="17" t="str">
        <f aca="false">VLOOKUP(R1564,Sheet2!N:O,2,0)</f>
        <v>IREPARABLE</v>
      </c>
      <c r="T1564" s="18" t="str">
        <f aca="false">VLOOKUP(P1564,Sheet2!Q:R,2,0)</f>
        <v>IR Normal - Track burn out</v>
      </c>
      <c r="U1564" s="18" t="s">
        <v>122</v>
      </c>
      <c r="V1564" s="17" t="n">
        <v>2</v>
      </c>
      <c r="W1564" s="20" t="str">
        <f aca="false">VLOOKUP(V1564,Sheet2!Q:R,2,0)</f>
        <v>IR CID -  Water log from other area</v>
      </c>
      <c r="X1564" s="17" t="str">
        <f aca="false">J1564</f>
        <v>A010</v>
      </c>
      <c r="Y1564" s="17" t="str">
        <f aca="false">VLOOKUP(X1564,Sheet2!A:B,2,0)</f>
        <v>BHUPENDRA  DABHI</v>
      </c>
      <c r="Z1564" s="17" t="s">
        <v>796</v>
      </c>
      <c r="AA1564" s="17" t="s">
        <v>642</v>
      </c>
      <c r="AB1564" s="17" t="s">
        <v>41</v>
      </c>
      <c r="AC1564" s="0" t="str">
        <f aca="false">LEFT(G1564,2)</f>
        <v>95</v>
      </c>
      <c r="AE1564" s="21" t="s">
        <v>506</v>
      </c>
    </row>
    <row r="1565" customFormat="false" ht="15" hidden="false" customHeight="false" outlineLevel="0" collapsed="false">
      <c r="A1565" s="13" t="n">
        <f aca="false">1+A1564</f>
        <v>1563</v>
      </c>
      <c r="B1565" s="14" t="n">
        <v>1009614142</v>
      </c>
      <c r="C1565" s="17" t="s">
        <v>184</v>
      </c>
      <c r="D1565" s="16" t="s">
        <v>221</v>
      </c>
      <c r="E1565" s="17" t="s">
        <v>91</v>
      </c>
      <c r="F1565" s="18" t="s">
        <v>34</v>
      </c>
      <c r="G1565" s="19" t="n">
        <v>954347162685</v>
      </c>
      <c r="H1565" s="17" t="s">
        <v>35</v>
      </c>
      <c r="I1565" s="17" t="s">
        <v>44</v>
      </c>
      <c r="J1565" s="17" t="s">
        <v>287</v>
      </c>
      <c r="K1565" s="17" t="str">
        <f aca="false">VLOOKUP(J1565,Sheet2!A:B,2,0)</f>
        <v>BHUPENDRA  DABHI</v>
      </c>
      <c r="L1565" s="17" t="n">
        <v>5</v>
      </c>
      <c r="M1565" s="17" t="str">
        <f aca="false">VLOOKUP(L1565,Sheet2!D:E,2,0)</f>
        <v>Main Processor CPU BGA</v>
      </c>
      <c r="N1565" s="17" t="n">
        <v>25</v>
      </c>
      <c r="O1565" s="17" t="str">
        <f aca="false">VLOOKUP(N1565,Sheet2!G:H,2,0)</f>
        <v>STB Not Responding  form RCU</v>
      </c>
      <c r="P1565" s="17" t="n">
        <v>11</v>
      </c>
      <c r="Q1565" s="17" t="str">
        <f aca="false">VLOOKUP(P1565,Sheet2!J:K,2,0)</f>
        <v>IR Declared due to CID -TA</v>
      </c>
      <c r="R1565" s="17" t="s">
        <v>35</v>
      </c>
      <c r="S1565" s="17" t="str">
        <f aca="false">VLOOKUP(R1565,Sheet2!N:O,2,0)</f>
        <v>IREPARABLE</v>
      </c>
      <c r="T1565" s="18" t="str">
        <f aca="false">VLOOKUP(P1565,Sheet2!Q:R,2,0)</f>
        <v>IR Normal - Track burn out</v>
      </c>
      <c r="U1565" s="18" t="s">
        <v>122</v>
      </c>
      <c r="V1565" s="17" t="n">
        <v>2</v>
      </c>
      <c r="W1565" s="20" t="str">
        <f aca="false">VLOOKUP(V1565,Sheet2!Q:R,2,0)</f>
        <v>IR CID -  Water log from other area</v>
      </c>
      <c r="X1565" s="17" t="str">
        <f aca="false">J1565</f>
        <v>A010</v>
      </c>
      <c r="Y1565" s="17" t="str">
        <f aca="false">VLOOKUP(X1565,Sheet2!A:B,2,0)</f>
        <v>BHUPENDRA  DABHI</v>
      </c>
      <c r="Z1565" s="17" t="s">
        <v>796</v>
      </c>
      <c r="AA1565" s="17" t="s">
        <v>642</v>
      </c>
      <c r="AB1565" s="17" t="s">
        <v>41</v>
      </c>
      <c r="AC1565" s="0" t="str">
        <f aca="false">LEFT(G1565,2)</f>
        <v>95</v>
      </c>
      <c r="AE1565" s="21" t="s">
        <v>506</v>
      </c>
    </row>
    <row r="1566" customFormat="false" ht="15" hidden="false" customHeight="false" outlineLevel="0" collapsed="false">
      <c r="A1566" s="13" t="n">
        <f aca="false">1+A1565</f>
        <v>1564</v>
      </c>
      <c r="B1566" s="14" t="n">
        <v>1009683552</v>
      </c>
      <c r="C1566" s="17" t="s">
        <v>413</v>
      </c>
      <c r="D1566" s="16" t="s">
        <v>64</v>
      </c>
      <c r="E1566" s="17" t="s">
        <v>47</v>
      </c>
      <c r="F1566" s="18" t="s">
        <v>34</v>
      </c>
      <c r="G1566" s="19" t="n">
        <v>853315736613</v>
      </c>
      <c r="H1566" s="17" t="s">
        <v>35</v>
      </c>
      <c r="I1566" s="17" t="s">
        <v>36</v>
      </c>
      <c r="J1566" s="17" t="s">
        <v>118</v>
      </c>
      <c r="K1566" s="17" t="str">
        <f aca="false">VLOOKUP(J1566,Sheet2!A:B,2,0)</f>
        <v>DEVENDRA RAJPUT</v>
      </c>
      <c r="L1566" s="17" t="n">
        <v>1</v>
      </c>
      <c r="M1566" s="17" t="str">
        <f aca="false">VLOOKUP(L1566,Sheet2!D:E,2,0)</f>
        <v>Power Supply Section</v>
      </c>
      <c r="N1566" s="17" t="n">
        <v>1</v>
      </c>
      <c r="O1566" s="17" t="str">
        <f aca="false">VLOOKUP(N1566,Sheet2!G:H,2,0)</f>
        <v>Dead</v>
      </c>
      <c r="P1566" s="17" t="n">
        <v>11</v>
      </c>
      <c r="Q1566" s="17" t="str">
        <f aca="false">VLOOKUP(P1566,Sheet2!J:K,2,0)</f>
        <v>IR Declared due to CID -TA</v>
      </c>
      <c r="R1566" s="17" t="s">
        <v>35</v>
      </c>
      <c r="S1566" s="17" t="str">
        <f aca="false">VLOOKUP(R1566,Sheet2!N:O,2,0)</f>
        <v>IREPARABLE</v>
      </c>
      <c r="T1566" s="18" t="str">
        <f aca="false">VLOOKUP(P1566,Sheet2!Q:R,2,0)</f>
        <v>IR Normal - Track burn out</v>
      </c>
      <c r="U1566" s="18" t="s">
        <v>122</v>
      </c>
      <c r="V1566" s="17" t="n">
        <v>2</v>
      </c>
      <c r="W1566" s="20" t="str">
        <f aca="false">VLOOKUP(V1566,Sheet2!Q:R,2,0)</f>
        <v>IR CID -  Water log from other area</v>
      </c>
      <c r="X1566" s="17" t="str">
        <f aca="false">J1566</f>
        <v>A053</v>
      </c>
      <c r="Y1566" s="17" t="str">
        <f aca="false">VLOOKUP(X1566,Sheet2!A:B,2,0)</f>
        <v>DEVENDRA RAJPUT</v>
      </c>
      <c r="Z1566" s="17" t="s">
        <v>797</v>
      </c>
      <c r="AA1566" s="17" t="s">
        <v>798</v>
      </c>
      <c r="AB1566" s="17" t="s">
        <v>41</v>
      </c>
      <c r="AC1566" s="0" t="str">
        <f aca="false">LEFT(G1566,2)</f>
        <v>85</v>
      </c>
      <c r="AE1566" s="21" t="s">
        <v>506</v>
      </c>
    </row>
    <row r="1567" customFormat="false" ht="15" hidden="false" customHeight="false" outlineLevel="0" collapsed="false">
      <c r="A1567" s="13" t="n">
        <f aca="false">1+A1566</f>
        <v>1565</v>
      </c>
      <c r="B1567" s="14" t="n">
        <v>1009625894</v>
      </c>
      <c r="C1567" s="17" t="s">
        <v>163</v>
      </c>
      <c r="D1567" s="16" t="s">
        <v>64</v>
      </c>
      <c r="E1567" s="17" t="s">
        <v>64</v>
      </c>
      <c r="F1567" s="18" t="s">
        <v>34</v>
      </c>
      <c r="G1567" s="19" t="n">
        <v>844109754664</v>
      </c>
      <c r="H1567" s="17" t="s">
        <v>35</v>
      </c>
      <c r="I1567" s="17" t="s">
        <v>36</v>
      </c>
      <c r="J1567" s="17" t="s">
        <v>111</v>
      </c>
      <c r="K1567" s="17" t="str">
        <f aca="false">VLOOKUP(J1567,Sheet2!A:B,2,0)</f>
        <v>NITIN PRANAMI</v>
      </c>
      <c r="L1567" s="17" t="n">
        <v>1</v>
      </c>
      <c r="M1567" s="17" t="str">
        <f aca="false">VLOOKUP(L1567,Sheet2!D:E,2,0)</f>
        <v>Power Supply Section</v>
      </c>
      <c r="N1567" s="17" t="n">
        <v>1</v>
      </c>
      <c r="O1567" s="17" t="str">
        <f aca="false">VLOOKUP(N1567,Sheet2!G:H,2,0)</f>
        <v>Dead</v>
      </c>
      <c r="P1567" s="17" t="n">
        <v>11</v>
      </c>
      <c r="Q1567" s="17" t="str">
        <f aca="false">VLOOKUP(P1567,Sheet2!J:K,2,0)</f>
        <v>IR Declared due to CID -TA</v>
      </c>
      <c r="R1567" s="17" t="s">
        <v>35</v>
      </c>
      <c r="S1567" s="17" t="str">
        <f aca="false">VLOOKUP(R1567,Sheet2!N:O,2,0)</f>
        <v>IREPARABLE</v>
      </c>
      <c r="T1567" s="18" t="str">
        <f aca="false">VLOOKUP(P1567,Sheet2!Q:R,2,0)</f>
        <v>IR Normal - Track burn out</v>
      </c>
      <c r="U1567" s="18" t="s">
        <v>122</v>
      </c>
      <c r="V1567" s="17" t="n">
        <v>2</v>
      </c>
      <c r="W1567" s="20" t="str">
        <f aca="false">VLOOKUP(V1567,Sheet2!Q:R,2,0)</f>
        <v>IR CID -  Water log from other area</v>
      </c>
      <c r="X1567" s="17" t="str">
        <f aca="false">J1567</f>
        <v>A031</v>
      </c>
      <c r="Y1567" s="17" t="str">
        <f aca="false">VLOOKUP(X1567,Sheet2!A:B,2,0)</f>
        <v>NITIN PRANAMI</v>
      </c>
      <c r="Z1567" s="17" t="s">
        <v>799</v>
      </c>
      <c r="AA1567" s="17" t="s">
        <v>798</v>
      </c>
      <c r="AB1567" s="17" t="s">
        <v>41</v>
      </c>
      <c r="AC1567" s="0" t="str">
        <f aca="false">LEFT(G1567,2)</f>
        <v>84</v>
      </c>
      <c r="AE1567" s="21" t="s">
        <v>506</v>
      </c>
    </row>
    <row r="1568" customFormat="false" ht="15" hidden="false" customHeight="false" outlineLevel="0" collapsed="false">
      <c r="A1568" s="13" t="n">
        <f aca="false">1+A1567</f>
        <v>1566</v>
      </c>
      <c r="B1568" s="14" t="n">
        <v>1009554632</v>
      </c>
      <c r="C1568" s="17" t="s">
        <v>444</v>
      </c>
      <c r="D1568" s="16" t="s">
        <v>64</v>
      </c>
      <c r="E1568" s="17" t="s">
        <v>47</v>
      </c>
      <c r="F1568" s="18" t="s">
        <v>34</v>
      </c>
      <c r="G1568" s="19" t="n">
        <v>853142766163</v>
      </c>
      <c r="H1568" s="17" t="s">
        <v>35</v>
      </c>
      <c r="I1568" s="17" t="s">
        <v>36</v>
      </c>
      <c r="J1568" s="17" t="s">
        <v>100</v>
      </c>
      <c r="K1568" s="17" t="str">
        <f aca="false">VLOOKUP(J1568,Sheet2!A:B,2,0)</f>
        <v>PIYUSH CHAVDA</v>
      </c>
      <c r="L1568" s="17" t="n">
        <v>1</v>
      </c>
      <c r="M1568" s="17" t="str">
        <f aca="false">VLOOKUP(L1568,Sheet2!D:E,2,0)</f>
        <v>Power Supply Section</v>
      </c>
      <c r="N1568" s="17" t="n">
        <v>1</v>
      </c>
      <c r="O1568" s="17" t="str">
        <f aca="false">VLOOKUP(N1568,Sheet2!G:H,2,0)</f>
        <v>Dead</v>
      </c>
      <c r="P1568" s="17" t="n">
        <v>11</v>
      </c>
      <c r="Q1568" s="17" t="str">
        <f aca="false">VLOOKUP(P1568,Sheet2!J:K,2,0)</f>
        <v>IR Declared due to CID -TA</v>
      </c>
      <c r="R1568" s="17" t="s">
        <v>35</v>
      </c>
      <c r="S1568" s="17" t="str">
        <f aca="false">VLOOKUP(R1568,Sheet2!N:O,2,0)</f>
        <v>IREPARABLE</v>
      </c>
      <c r="T1568" s="18" t="str">
        <f aca="false">VLOOKUP(P1568,Sheet2!Q:R,2,0)</f>
        <v>IR Normal - Track burn out</v>
      </c>
      <c r="U1568" s="18" t="s">
        <v>122</v>
      </c>
      <c r="V1568" s="17" t="n">
        <v>2</v>
      </c>
      <c r="W1568" s="20" t="str">
        <f aca="false">VLOOKUP(V1568,Sheet2!Q:R,2,0)</f>
        <v>IR CID -  Water log from other area</v>
      </c>
      <c r="X1568" s="17" t="str">
        <f aca="false">J1568</f>
        <v>A050</v>
      </c>
      <c r="Y1568" s="17" t="str">
        <f aca="false">VLOOKUP(X1568,Sheet2!A:B,2,0)</f>
        <v>PIYUSH CHAVDA</v>
      </c>
      <c r="Z1568" s="17" t="s">
        <v>800</v>
      </c>
      <c r="AA1568" s="17" t="s">
        <v>798</v>
      </c>
      <c r="AB1568" s="17" t="s">
        <v>41</v>
      </c>
      <c r="AC1568" s="0" t="str">
        <f aca="false">LEFT(G1568,2)</f>
        <v>85</v>
      </c>
      <c r="AE1568" s="21" t="s">
        <v>506</v>
      </c>
    </row>
    <row r="1569" customFormat="false" ht="15" hidden="false" customHeight="false" outlineLevel="0" collapsed="false">
      <c r="A1569" s="13" t="n">
        <f aca="false">1+A1568</f>
        <v>1567</v>
      </c>
      <c r="B1569" s="14" t="n">
        <v>1009536326</v>
      </c>
      <c r="C1569" s="17" t="s">
        <v>311</v>
      </c>
      <c r="D1569" s="16" t="s">
        <v>250</v>
      </c>
      <c r="E1569" s="17" t="s">
        <v>47</v>
      </c>
      <c r="F1569" s="18" t="s">
        <v>34</v>
      </c>
      <c r="G1569" s="19" t="n">
        <v>844067719964</v>
      </c>
      <c r="H1569" s="17" t="s">
        <v>35</v>
      </c>
      <c r="I1569" s="17" t="s">
        <v>36</v>
      </c>
      <c r="J1569" s="17" t="s">
        <v>100</v>
      </c>
      <c r="K1569" s="17" t="str">
        <f aca="false">VLOOKUP(J1569,Sheet2!A:B,2,0)</f>
        <v>PIYUSH CHAVDA</v>
      </c>
      <c r="L1569" s="17" t="n">
        <v>1</v>
      </c>
      <c r="M1569" s="17" t="str">
        <f aca="false">VLOOKUP(L1569,Sheet2!D:E,2,0)</f>
        <v>Power Supply Section</v>
      </c>
      <c r="N1569" s="17" t="n">
        <v>1</v>
      </c>
      <c r="O1569" s="17" t="str">
        <f aca="false">VLOOKUP(N1569,Sheet2!G:H,2,0)</f>
        <v>Dead</v>
      </c>
      <c r="P1569" s="17" t="n">
        <v>11</v>
      </c>
      <c r="Q1569" s="17" t="str">
        <f aca="false">VLOOKUP(P1569,Sheet2!J:K,2,0)</f>
        <v>IR Declared due to CID -TA</v>
      </c>
      <c r="R1569" s="17" t="s">
        <v>35</v>
      </c>
      <c r="S1569" s="17" t="str">
        <f aca="false">VLOOKUP(R1569,Sheet2!N:O,2,0)</f>
        <v>IREPARABLE</v>
      </c>
      <c r="T1569" s="18" t="str">
        <f aca="false">VLOOKUP(P1569,Sheet2!Q:R,2,0)</f>
        <v>IR Normal - Track burn out</v>
      </c>
      <c r="U1569" s="18" t="s">
        <v>122</v>
      </c>
      <c r="V1569" s="17" t="n">
        <v>2</v>
      </c>
      <c r="W1569" s="20" t="str">
        <f aca="false">VLOOKUP(V1569,Sheet2!Q:R,2,0)</f>
        <v>IR CID -  Water log from other area</v>
      </c>
      <c r="X1569" s="17" t="str">
        <f aca="false">J1569</f>
        <v>A050</v>
      </c>
      <c r="Y1569" s="17" t="str">
        <f aca="false">VLOOKUP(X1569,Sheet2!A:B,2,0)</f>
        <v>PIYUSH CHAVDA</v>
      </c>
      <c r="Z1569" s="17" t="s">
        <v>801</v>
      </c>
      <c r="AA1569" s="17" t="s">
        <v>798</v>
      </c>
      <c r="AB1569" s="17" t="s">
        <v>41</v>
      </c>
      <c r="AC1569" s="0" t="str">
        <f aca="false">LEFT(G1569,2)</f>
        <v>84</v>
      </c>
      <c r="AE1569" s="21" t="s">
        <v>506</v>
      </c>
    </row>
    <row r="1570" customFormat="false" ht="15" hidden="false" customHeight="false" outlineLevel="0" collapsed="false">
      <c r="A1570" s="13" t="n">
        <f aca="false">1+A1569</f>
        <v>1568</v>
      </c>
      <c r="B1570" s="14" t="n">
        <v>1009677246</v>
      </c>
      <c r="C1570" s="17" t="s">
        <v>436</v>
      </c>
      <c r="D1570" s="16" t="s">
        <v>64</v>
      </c>
      <c r="E1570" s="17" t="s">
        <v>33</v>
      </c>
      <c r="F1570" s="18" t="s">
        <v>34</v>
      </c>
      <c r="G1570" s="19" t="n">
        <v>853247738133</v>
      </c>
      <c r="H1570" s="17" t="s">
        <v>35</v>
      </c>
      <c r="I1570" s="17" t="s">
        <v>36</v>
      </c>
      <c r="J1570" s="17" t="s">
        <v>121</v>
      </c>
      <c r="K1570" s="17" t="str">
        <f aca="false">VLOOKUP(J1570,Sheet2!A:B,2,0)</f>
        <v>SHANI GOHIL</v>
      </c>
      <c r="L1570" s="17" t="n">
        <v>2</v>
      </c>
      <c r="M1570" s="17" t="str">
        <f aca="false">VLOOKUP(L1570,Sheet2!D:E,2,0)</f>
        <v>Tuner Section</v>
      </c>
      <c r="N1570" s="17" t="n">
        <v>6</v>
      </c>
      <c r="O1570" s="17" t="str">
        <f aca="false">VLOOKUP(N1570,Sheet2!G:H,2,0)</f>
        <v>No Signal</v>
      </c>
      <c r="P1570" s="17" t="n">
        <v>12</v>
      </c>
      <c r="Q1570" s="17" t="str">
        <f aca="false">VLOOKUP(P1570,Sheet2!J:K,2,0)</f>
        <v>IR Declared due to Others ( IR Normal)TB</v>
      </c>
      <c r="R1570" s="17" t="s">
        <v>35</v>
      </c>
      <c r="S1570" s="17" t="str">
        <f aca="false">VLOOKUP(R1570,Sheet2!N:O,2,0)</f>
        <v>IREPARABLE</v>
      </c>
      <c r="T1570" s="18" t="str">
        <f aca="false">VLOOKUP(P1570,Sheet2!Q:R,2,0)</f>
        <v>IR Normal - BER to IR</v>
      </c>
      <c r="U1570" s="18" t="s">
        <v>101</v>
      </c>
      <c r="V1570" s="17" t="n">
        <v>8</v>
      </c>
      <c r="W1570" s="20" t="str">
        <f aca="false">VLOOKUP(V1570,Sheet2!Q:R,2,0)</f>
        <v>IR Normal -TrackRust/InternalDamage/open</v>
      </c>
      <c r="X1570" s="17" t="str">
        <f aca="false">J1570</f>
        <v>A063</v>
      </c>
      <c r="Y1570" s="17" t="str">
        <f aca="false">VLOOKUP(X1570,Sheet2!A:B,2,0)</f>
        <v>SHANI GOHIL</v>
      </c>
      <c r="Z1570" s="17" t="s">
        <v>387</v>
      </c>
      <c r="AA1570" s="17" t="s">
        <v>798</v>
      </c>
      <c r="AB1570" s="17" t="s">
        <v>41</v>
      </c>
      <c r="AC1570" s="0" t="str">
        <f aca="false">LEFT(G1570,2)</f>
        <v>85</v>
      </c>
      <c r="AE1570" s="21" t="s">
        <v>506</v>
      </c>
    </row>
    <row r="1571" customFormat="false" ht="15" hidden="false" customHeight="false" outlineLevel="0" collapsed="false">
      <c r="A1571" s="13" t="n">
        <f aca="false">1+A1570</f>
        <v>1569</v>
      </c>
      <c r="B1571" s="14" t="n">
        <v>1009686697</v>
      </c>
      <c r="C1571" s="17" t="s">
        <v>449</v>
      </c>
      <c r="D1571" s="16" t="s">
        <v>304</v>
      </c>
      <c r="E1571" s="17" t="s">
        <v>47</v>
      </c>
      <c r="F1571" s="18" t="s">
        <v>34</v>
      </c>
      <c r="G1571" s="19" t="n">
        <v>853186763084</v>
      </c>
      <c r="H1571" s="17" t="s">
        <v>35</v>
      </c>
      <c r="I1571" s="17" t="s">
        <v>36</v>
      </c>
      <c r="J1571" s="17" t="s">
        <v>100</v>
      </c>
      <c r="K1571" s="17" t="str">
        <f aca="false">VLOOKUP(J1571,Sheet2!A:B,2,0)</f>
        <v>PIYUSH CHAVDA</v>
      </c>
      <c r="L1571" s="17" t="n">
        <v>1</v>
      </c>
      <c r="M1571" s="17" t="str">
        <f aca="false">VLOOKUP(L1571,Sheet2!D:E,2,0)</f>
        <v>Power Supply Section</v>
      </c>
      <c r="N1571" s="17" t="n">
        <v>1</v>
      </c>
      <c r="O1571" s="17" t="str">
        <f aca="false">VLOOKUP(N1571,Sheet2!G:H,2,0)</f>
        <v>Dead</v>
      </c>
      <c r="P1571" s="17" t="n">
        <v>12</v>
      </c>
      <c r="Q1571" s="17" t="str">
        <f aca="false">VLOOKUP(P1571,Sheet2!J:K,2,0)</f>
        <v>IR Declared due to Others ( IR Normal)TB</v>
      </c>
      <c r="R1571" s="17" t="s">
        <v>35</v>
      </c>
      <c r="S1571" s="17" t="str">
        <f aca="false">VLOOKUP(R1571,Sheet2!N:O,2,0)</f>
        <v>IREPARABLE</v>
      </c>
      <c r="T1571" s="18" t="str">
        <f aca="false">VLOOKUP(P1571,Sheet2!Q:R,2,0)</f>
        <v>IR Normal - BER to IR</v>
      </c>
      <c r="U1571" s="18" t="s">
        <v>101</v>
      </c>
      <c r="V1571" s="17" t="n">
        <v>8</v>
      </c>
      <c r="W1571" s="20" t="str">
        <f aca="false">VLOOKUP(V1571,Sheet2!Q:R,2,0)</f>
        <v>IR Normal -TrackRust/InternalDamage/open</v>
      </c>
      <c r="X1571" s="17" t="str">
        <f aca="false">J1571</f>
        <v>A050</v>
      </c>
      <c r="Y1571" s="17" t="str">
        <f aca="false">VLOOKUP(X1571,Sheet2!A:B,2,0)</f>
        <v>PIYUSH CHAVDA</v>
      </c>
      <c r="Z1571" s="17" t="s">
        <v>387</v>
      </c>
      <c r="AA1571" s="17" t="s">
        <v>798</v>
      </c>
      <c r="AB1571" s="17" t="s">
        <v>41</v>
      </c>
      <c r="AC1571" s="0" t="str">
        <f aca="false">LEFT(G1571,2)</f>
        <v>85</v>
      </c>
      <c r="AE1571" s="21" t="s">
        <v>506</v>
      </c>
    </row>
    <row r="1572" customFormat="false" ht="15" hidden="false" customHeight="false" outlineLevel="0" collapsed="false">
      <c r="A1572" s="13" t="n">
        <f aca="false">1+A1571</f>
        <v>1570</v>
      </c>
      <c r="B1572" s="14" t="n">
        <v>1009539795</v>
      </c>
      <c r="C1572" s="17" t="s">
        <v>311</v>
      </c>
      <c r="D1572" s="16" t="s">
        <v>183</v>
      </c>
      <c r="E1572" s="17" t="s">
        <v>47</v>
      </c>
      <c r="F1572" s="18" t="s">
        <v>34</v>
      </c>
      <c r="G1572" s="19" t="n">
        <v>844062754511</v>
      </c>
      <c r="H1572" s="17" t="s">
        <v>35</v>
      </c>
      <c r="I1572" s="17" t="s">
        <v>36</v>
      </c>
      <c r="J1572" s="17" t="s">
        <v>100</v>
      </c>
      <c r="K1572" s="17" t="str">
        <f aca="false">VLOOKUP(J1572,Sheet2!A:B,2,0)</f>
        <v>PIYUSH CHAVDA</v>
      </c>
      <c r="L1572" s="17" t="n">
        <v>1</v>
      </c>
      <c r="M1572" s="17" t="str">
        <f aca="false">VLOOKUP(L1572,Sheet2!D:E,2,0)</f>
        <v>Power Supply Section</v>
      </c>
      <c r="N1572" s="17" t="n">
        <v>1</v>
      </c>
      <c r="O1572" s="17" t="str">
        <f aca="false">VLOOKUP(N1572,Sheet2!G:H,2,0)</f>
        <v>Dead</v>
      </c>
      <c r="P1572" s="17" t="n">
        <v>11</v>
      </c>
      <c r="Q1572" s="17" t="str">
        <f aca="false">VLOOKUP(P1572,Sheet2!J:K,2,0)</f>
        <v>IR Declared due to CID -TA</v>
      </c>
      <c r="R1572" s="17" t="s">
        <v>35</v>
      </c>
      <c r="S1572" s="17" t="str">
        <f aca="false">VLOOKUP(R1572,Sheet2!N:O,2,0)</f>
        <v>IREPARABLE</v>
      </c>
      <c r="T1572" s="18" t="str">
        <f aca="false">VLOOKUP(P1572,Sheet2!Q:R,2,0)</f>
        <v>IR Normal - Track burn out</v>
      </c>
      <c r="U1572" s="18" t="s">
        <v>38</v>
      </c>
      <c r="V1572" s="17" t="n">
        <v>4</v>
      </c>
      <c r="W1572" s="20" t="str">
        <f aca="false">VLOOKUP(V1572,Sheet2!Q:R,2,0)</f>
        <v>IR CID - Tampered Track burn out</v>
      </c>
      <c r="X1572" s="17" t="str">
        <f aca="false">J1572</f>
        <v>A050</v>
      </c>
      <c r="Y1572" s="17" t="str">
        <f aca="false">VLOOKUP(X1572,Sheet2!A:B,2,0)</f>
        <v>PIYUSH CHAVDA</v>
      </c>
      <c r="Z1572" s="17" t="s">
        <v>802</v>
      </c>
      <c r="AA1572" s="17" t="s">
        <v>798</v>
      </c>
      <c r="AB1572" s="17" t="s">
        <v>41</v>
      </c>
      <c r="AC1572" s="0" t="str">
        <f aca="false">LEFT(G1572,2)</f>
        <v>84</v>
      </c>
      <c r="AE1572" s="21" t="s">
        <v>506</v>
      </c>
    </row>
    <row r="1573" customFormat="false" ht="15" hidden="false" customHeight="false" outlineLevel="0" collapsed="false">
      <c r="A1573" s="13" t="n">
        <f aca="false">1+A1572</f>
        <v>1571</v>
      </c>
      <c r="B1573" s="14" t="n">
        <v>1009625285</v>
      </c>
      <c r="C1573" s="17" t="s">
        <v>163</v>
      </c>
      <c r="D1573" s="16" t="s">
        <v>64</v>
      </c>
      <c r="E1573" s="17" t="s">
        <v>64</v>
      </c>
      <c r="F1573" s="18" t="s">
        <v>34</v>
      </c>
      <c r="G1573" s="19" t="n">
        <v>844127727338</v>
      </c>
      <c r="H1573" s="17" t="s">
        <v>35</v>
      </c>
      <c r="I1573" s="17" t="s">
        <v>36</v>
      </c>
      <c r="J1573" s="17" t="s">
        <v>100</v>
      </c>
      <c r="K1573" s="17" t="str">
        <f aca="false">VLOOKUP(J1573,Sheet2!A:B,2,0)</f>
        <v>PIYUSH CHAVDA</v>
      </c>
      <c r="L1573" s="17" t="n">
        <v>5</v>
      </c>
      <c r="M1573" s="17" t="str">
        <f aca="false">VLOOKUP(L1573,Sheet2!D:E,2,0)</f>
        <v>Main Processor CPU BGA</v>
      </c>
      <c r="N1573" s="17" t="n">
        <v>1</v>
      </c>
      <c r="O1573" s="17" t="str">
        <f aca="false">VLOOKUP(N1573,Sheet2!G:H,2,0)</f>
        <v>Dead</v>
      </c>
      <c r="P1573" s="17" t="n">
        <v>11</v>
      </c>
      <c r="Q1573" s="17" t="str">
        <f aca="false">VLOOKUP(P1573,Sheet2!J:K,2,0)</f>
        <v>IR Declared due to CID -TA</v>
      </c>
      <c r="R1573" s="17" t="s">
        <v>35</v>
      </c>
      <c r="S1573" s="17" t="str">
        <f aca="false">VLOOKUP(R1573,Sheet2!N:O,2,0)</f>
        <v>IREPARABLE</v>
      </c>
      <c r="T1573" s="18" t="str">
        <f aca="false">VLOOKUP(P1573,Sheet2!Q:R,2,0)</f>
        <v>IR Normal - Track burn out</v>
      </c>
      <c r="U1573" s="18" t="s">
        <v>122</v>
      </c>
      <c r="V1573" s="17" t="n">
        <v>2</v>
      </c>
      <c r="W1573" s="20" t="str">
        <f aca="false">VLOOKUP(V1573,Sheet2!Q:R,2,0)</f>
        <v>IR CID -  Water log from other area</v>
      </c>
      <c r="X1573" s="17" t="str">
        <f aca="false">J1573</f>
        <v>A050</v>
      </c>
      <c r="Y1573" s="17" t="str">
        <f aca="false">VLOOKUP(X1573,Sheet2!A:B,2,0)</f>
        <v>PIYUSH CHAVDA</v>
      </c>
      <c r="Z1573" s="17" t="s">
        <v>803</v>
      </c>
      <c r="AA1573" s="17" t="s">
        <v>798</v>
      </c>
      <c r="AB1573" s="17" t="s">
        <v>41</v>
      </c>
      <c r="AC1573" s="0" t="str">
        <f aca="false">LEFT(G1573,2)</f>
        <v>84</v>
      </c>
      <c r="AE1573" s="21" t="s">
        <v>506</v>
      </c>
    </row>
    <row r="1574" customFormat="false" ht="15" hidden="false" customHeight="false" outlineLevel="0" collapsed="false">
      <c r="A1574" s="13" t="n">
        <f aca="false">1+A1573</f>
        <v>1572</v>
      </c>
      <c r="B1574" s="14" t="n">
        <v>1009628186</v>
      </c>
      <c r="C1574" s="17" t="s">
        <v>229</v>
      </c>
      <c r="D1574" s="16" t="s">
        <v>64</v>
      </c>
      <c r="E1574" s="17" t="s">
        <v>64</v>
      </c>
      <c r="F1574" s="18" t="s">
        <v>34</v>
      </c>
      <c r="G1574" s="19" t="n">
        <v>844075759259</v>
      </c>
      <c r="H1574" s="17" t="s">
        <v>35</v>
      </c>
      <c r="I1574" s="17" t="s">
        <v>36</v>
      </c>
      <c r="J1574" s="17" t="s">
        <v>115</v>
      </c>
      <c r="K1574" s="17" t="str">
        <f aca="false">VLOOKUP(J1574,Sheet2!A:B,2,0)</f>
        <v>ANKIT RANA</v>
      </c>
      <c r="L1574" s="17" t="n">
        <v>1</v>
      </c>
      <c r="M1574" s="17" t="str">
        <f aca="false">VLOOKUP(L1574,Sheet2!D:E,2,0)</f>
        <v>Power Supply Section</v>
      </c>
      <c r="N1574" s="17" t="n">
        <v>1</v>
      </c>
      <c r="O1574" s="17" t="str">
        <f aca="false">VLOOKUP(N1574,Sheet2!G:H,2,0)</f>
        <v>Dead</v>
      </c>
      <c r="P1574" s="17" t="n">
        <v>11</v>
      </c>
      <c r="Q1574" s="17" t="str">
        <f aca="false">VLOOKUP(P1574,Sheet2!J:K,2,0)</f>
        <v>IR Declared due to CID -TA</v>
      </c>
      <c r="R1574" s="17" t="s">
        <v>35</v>
      </c>
      <c r="S1574" s="17" t="str">
        <f aca="false">VLOOKUP(R1574,Sheet2!N:O,2,0)</f>
        <v>IREPARABLE</v>
      </c>
      <c r="T1574" s="18" t="str">
        <f aca="false">VLOOKUP(P1574,Sheet2!Q:R,2,0)</f>
        <v>IR Normal - Track burn out</v>
      </c>
      <c r="U1574" s="18" t="s">
        <v>199</v>
      </c>
      <c r="V1574" s="17" t="n">
        <v>3</v>
      </c>
      <c r="W1574" s="20" t="str">
        <f aca="false">VLOOKUP(V1574,Sheet2!Q:R,2,0)</f>
        <v>IR CID - Tampered TrackOpen/Reworkdone </v>
      </c>
      <c r="X1574" s="17" t="str">
        <f aca="false">J1574</f>
        <v>A042</v>
      </c>
      <c r="Y1574" s="17" t="str">
        <f aca="false">VLOOKUP(X1574,Sheet2!A:B,2,0)</f>
        <v>ANKIT RANA</v>
      </c>
      <c r="Z1574" s="17" t="s">
        <v>401</v>
      </c>
      <c r="AA1574" s="17" t="s">
        <v>798</v>
      </c>
      <c r="AB1574" s="17" t="s">
        <v>41</v>
      </c>
      <c r="AC1574" s="0" t="str">
        <f aca="false">LEFT(G1574,2)</f>
        <v>84</v>
      </c>
      <c r="AE1574" s="21" t="s">
        <v>506</v>
      </c>
    </row>
    <row r="1575" customFormat="false" ht="15" hidden="false" customHeight="false" outlineLevel="0" collapsed="false">
      <c r="A1575" s="13" t="n">
        <f aca="false">1+A1574</f>
        <v>1573</v>
      </c>
      <c r="B1575" s="14" t="n">
        <v>1009617358</v>
      </c>
      <c r="C1575" s="15" t="s">
        <v>184</v>
      </c>
      <c r="D1575" s="16" t="s">
        <v>64</v>
      </c>
      <c r="E1575" s="17" t="s">
        <v>64</v>
      </c>
      <c r="F1575" s="18" t="s">
        <v>34</v>
      </c>
      <c r="G1575" s="19" t="n">
        <v>844037752780</v>
      </c>
      <c r="H1575" s="17" t="s">
        <v>35</v>
      </c>
      <c r="I1575" s="17" t="s">
        <v>36</v>
      </c>
      <c r="J1575" s="17" t="s">
        <v>100</v>
      </c>
      <c r="K1575" s="17" t="str">
        <f aca="false">VLOOKUP(J1575,Sheet2!A:B,2,0)</f>
        <v>PIYUSH CHAVDA</v>
      </c>
      <c r="L1575" s="17" t="n">
        <v>1</v>
      </c>
      <c r="M1575" s="17" t="str">
        <f aca="false">VLOOKUP(L1575,Sheet2!D:E,2,0)</f>
        <v>Power Supply Section</v>
      </c>
      <c r="N1575" s="17" t="n">
        <v>1</v>
      </c>
      <c r="O1575" s="17" t="str">
        <f aca="false">VLOOKUP(N1575,Sheet2!G:H,2,0)</f>
        <v>Dead</v>
      </c>
      <c r="P1575" s="17" t="n">
        <v>11</v>
      </c>
      <c r="Q1575" s="17" t="str">
        <f aca="false">VLOOKUP(P1575,Sheet2!J:K,2,0)</f>
        <v>IR Declared due to CID -TA</v>
      </c>
      <c r="R1575" s="17" t="s">
        <v>35</v>
      </c>
      <c r="S1575" s="17" t="str">
        <f aca="false">VLOOKUP(R1575,Sheet2!N:O,2,0)</f>
        <v>IREPARABLE</v>
      </c>
      <c r="T1575" s="18" t="str">
        <f aca="false">VLOOKUP(P1575,Sheet2!Q:R,2,0)</f>
        <v>IR Normal - Track burn out</v>
      </c>
      <c r="U1575" s="18" t="s">
        <v>122</v>
      </c>
      <c r="V1575" s="17" t="n">
        <v>2</v>
      </c>
      <c r="W1575" s="20" t="str">
        <f aca="false">VLOOKUP(V1575,Sheet2!Q:R,2,0)</f>
        <v>IR CID -  Water log from other area</v>
      </c>
      <c r="X1575" s="17" t="str">
        <f aca="false">J1575</f>
        <v>A050</v>
      </c>
      <c r="Y1575" s="17" t="str">
        <f aca="false">VLOOKUP(X1575,Sheet2!A:B,2,0)</f>
        <v>PIYUSH CHAVDA</v>
      </c>
      <c r="Z1575" s="17" t="s">
        <v>804</v>
      </c>
      <c r="AA1575" s="17" t="s">
        <v>798</v>
      </c>
      <c r="AB1575" s="17" t="s">
        <v>41</v>
      </c>
      <c r="AC1575" s="0" t="str">
        <f aca="false">LEFT(G1575,2)</f>
        <v>84</v>
      </c>
      <c r="AE1575" s="21" t="s">
        <v>506</v>
      </c>
    </row>
    <row r="1576" customFormat="false" ht="15" hidden="false" customHeight="false" outlineLevel="0" collapsed="false">
      <c r="A1576" s="13" t="n">
        <f aca="false">1+A1575</f>
        <v>1574</v>
      </c>
      <c r="B1576" s="14" t="n">
        <v>1009509567</v>
      </c>
      <c r="C1576" s="15" t="s">
        <v>95</v>
      </c>
      <c r="D1576" s="16" t="s">
        <v>143</v>
      </c>
      <c r="E1576" s="17" t="s">
        <v>47</v>
      </c>
      <c r="F1576" s="18" t="s">
        <v>34</v>
      </c>
      <c r="G1576" s="19" t="n">
        <v>853261784427</v>
      </c>
      <c r="H1576" s="17" t="s">
        <v>35</v>
      </c>
      <c r="I1576" s="17" t="s">
        <v>36</v>
      </c>
      <c r="J1576" s="17" t="s">
        <v>267</v>
      </c>
      <c r="K1576" s="17" t="str">
        <f aca="false">VLOOKUP(J1576,Sheet2!A:B,2,0)</f>
        <v>HARIRAM GUPTA</v>
      </c>
      <c r="L1576" s="17" t="n">
        <v>1</v>
      </c>
      <c r="M1576" s="17" t="str">
        <f aca="false">VLOOKUP(L1576,Sheet2!D:E,2,0)</f>
        <v>Power Supply Section</v>
      </c>
      <c r="N1576" s="17" t="n">
        <v>1</v>
      </c>
      <c r="O1576" s="17" t="str">
        <f aca="false">VLOOKUP(N1576,Sheet2!G:H,2,0)</f>
        <v>Dead</v>
      </c>
      <c r="P1576" s="17" t="n">
        <v>11</v>
      </c>
      <c r="Q1576" s="17" t="str">
        <f aca="false">VLOOKUP(P1576,Sheet2!J:K,2,0)</f>
        <v>IR Declared due to CID -TA</v>
      </c>
      <c r="R1576" s="17" t="s">
        <v>35</v>
      </c>
      <c r="S1576" s="17" t="str">
        <f aca="false">VLOOKUP(R1576,Sheet2!N:O,2,0)</f>
        <v>IREPARABLE</v>
      </c>
      <c r="T1576" s="18" t="str">
        <f aca="false">VLOOKUP(P1576,Sheet2!Q:R,2,0)</f>
        <v>IR Normal - Track burn out</v>
      </c>
      <c r="U1576" s="18" t="s">
        <v>122</v>
      </c>
      <c r="V1576" s="17" t="n">
        <v>2</v>
      </c>
      <c r="W1576" s="20" t="str">
        <f aca="false">VLOOKUP(V1576,Sheet2!Q:R,2,0)</f>
        <v>IR CID -  Water log from other area</v>
      </c>
      <c r="X1576" s="17" t="str">
        <f aca="false">J1576</f>
        <v>A007</v>
      </c>
      <c r="Y1576" s="17" t="str">
        <f aca="false">VLOOKUP(X1576,Sheet2!A:B,2,0)</f>
        <v>HARIRAM GUPTA</v>
      </c>
      <c r="Z1576" s="17" t="s">
        <v>805</v>
      </c>
      <c r="AA1576" s="17" t="s">
        <v>798</v>
      </c>
      <c r="AB1576" s="17" t="s">
        <v>41</v>
      </c>
      <c r="AC1576" s="0" t="str">
        <f aca="false">LEFT(G1576,2)</f>
        <v>85</v>
      </c>
      <c r="AE1576" s="21" t="s">
        <v>506</v>
      </c>
    </row>
    <row r="1577" customFormat="false" ht="15" hidden="false" customHeight="false" outlineLevel="0" collapsed="false">
      <c r="A1577" s="13" t="n">
        <f aca="false">1+A1576</f>
        <v>1575</v>
      </c>
      <c r="B1577" s="14" t="n">
        <v>1009628140</v>
      </c>
      <c r="C1577" s="15" t="s">
        <v>229</v>
      </c>
      <c r="D1577" s="16" t="s">
        <v>806</v>
      </c>
      <c r="E1577" s="17" t="s">
        <v>47</v>
      </c>
      <c r="F1577" s="18" t="s">
        <v>34</v>
      </c>
      <c r="G1577" s="19" t="n">
        <v>844118767988</v>
      </c>
      <c r="H1577" s="17" t="s">
        <v>35</v>
      </c>
      <c r="I1577" s="17" t="s">
        <v>36</v>
      </c>
      <c r="J1577" s="17" t="s">
        <v>115</v>
      </c>
      <c r="K1577" s="17" t="str">
        <f aca="false">VLOOKUP(J1577,Sheet2!A:B,2,0)</f>
        <v>ANKIT RANA</v>
      </c>
      <c r="L1577" s="17" t="n">
        <v>5</v>
      </c>
      <c r="M1577" s="17" t="str">
        <f aca="false">VLOOKUP(L1577,Sheet2!D:E,2,0)</f>
        <v>Main Processor CPU BGA</v>
      </c>
      <c r="N1577" s="17" t="n">
        <v>1</v>
      </c>
      <c r="O1577" s="17" t="str">
        <f aca="false">VLOOKUP(N1577,Sheet2!G:H,2,0)</f>
        <v>Dead</v>
      </c>
      <c r="P1577" s="17" t="n">
        <v>11</v>
      </c>
      <c r="Q1577" s="17" t="str">
        <f aca="false">VLOOKUP(P1577,Sheet2!J:K,2,0)</f>
        <v>IR Declared due to CID -TA</v>
      </c>
      <c r="R1577" s="17" t="s">
        <v>35</v>
      </c>
      <c r="S1577" s="17" t="str">
        <f aca="false">VLOOKUP(R1577,Sheet2!N:O,2,0)</f>
        <v>IREPARABLE</v>
      </c>
      <c r="T1577" s="18" t="str">
        <f aca="false">VLOOKUP(P1577,Sheet2!Q:R,2,0)</f>
        <v>IR Normal - Track burn out</v>
      </c>
      <c r="U1577" s="18" t="s">
        <v>122</v>
      </c>
      <c r="V1577" s="17" t="n">
        <v>2</v>
      </c>
      <c r="W1577" s="20" t="str">
        <f aca="false">VLOOKUP(V1577,Sheet2!Q:R,2,0)</f>
        <v>IR CID -  Water log from other area</v>
      </c>
      <c r="X1577" s="17" t="str">
        <f aca="false">J1577</f>
        <v>A042</v>
      </c>
      <c r="Y1577" s="17" t="str">
        <f aca="false">VLOOKUP(X1577,Sheet2!A:B,2,0)</f>
        <v>ANKIT RANA</v>
      </c>
      <c r="Z1577" s="17" t="s">
        <v>807</v>
      </c>
      <c r="AA1577" s="17" t="s">
        <v>798</v>
      </c>
      <c r="AB1577" s="17" t="s">
        <v>41</v>
      </c>
      <c r="AC1577" s="0" t="str">
        <f aca="false">LEFT(G1577,2)</f>
        <v>84</v>
      </c>
      <c r="AE1577" s="21" t="s">
        <v>506</v>
      </c>
    </row>
    <row r="1578" customFormat="false" ht="15" hidden="false" customHeight="false" outlineLevel="0" collapsed="false">
      <c r="A1578" s="13" t="n">
        <f aca="false">1+A1577</f>
        <v>1576</v>
      </c>
      <c r="B1578" s="14" t="n">
        <v>1009682388</v>
      </c>
      <c r="C1578" s="15" t="s">
        <v>413</v>
      </c>
      <c r="D1578" s="16" t="s">
        <v>183</v>
      </c>
      <c r="E1578" s="17" t="s">
        <v>47</v>
      </c>
      <c r="F1578" s="18" t="s">
        <v>34</v>
      </c>
      <c r="G1578" s="19" t="n">
        <v>844123745037</v>
      </c>
      <c r="H1578" s="17" t="s">
        <v>35</v>
      </c>
      <c r="I1578" s="17" t="s">
        <v>36</v>
      </c>
      <c r="J1578" s="17" t="s">
        <v>241</v>
      </c>
      <c r="K1578" s="17" t="str">
        <f aca="false">VLOOKUP(J1578,Sheet2!A:B,2,0)</f>
        <v>NILESH NAGAR</v>
      </c>
      <c r="L1578" s="17" t="n">
        <v>5</v>
      </c>
      <c r="M1578" s="17" t="str">
        <f aca="false">VLOOKUP(L1578,Sheet2!D:E,2,0)</f>
        <v>Main Processor CPU BGA</v>
      </c>
      <c r="N1578" s="17" t="n">
        <v>1</v>
      </c>
      <c r="O1578" s="17" t="str">
        <f aca="false">VLOOKUP(N1578,Sheet2!G:H,2,0)</f>
        <v>Dead</v>
      </c>
      <c r="P1578" s="17" t="n">
        <v>11</v>
      </c>
      <c r="Q1578" s="17" t="str">
        <f aca="false">VLOOKUP(P1578,Sheet2!J:K,2,0)</f>
        <v>IR Declared due to CID -TA</v>
      </c>
      <c r="R1578" s="17" t="s">
        <v>35</v>
      </c>
      <c r="S1578" s="17" t="str">
        <f aca="false">VLOOKUP(R1578,Sheet2!N:O,2,0)</f>
        <v>IREPARABLE</v>
      </c>
      <c r="T1578" s="18" t="str">
        <f aca="false">VLOOKUP(P1578,Sheet2!Q:R,2,0)</f>
        <v>IR Normal - Track burn out</v>
      </c>
      <c r="U1578" s="18" t="s">
        <v>122</v>
      </c>
      <c r="V1578" s="17" t="n">
        <v>2</v>
      </c>
      <c r="W1578" s="20" t="str">
        <f aca="false">VLOOKUP(V1578,Sheet2!Q:R,2,0)</f>
        <v>IR CID -  Water log from other area</v>
      </c>
      <c r="X1578" s="17" t="str">
        <f aca="false">J1578</f>
        <v>A008</v>
      </c>
      <c r="Y1578" s="17" t="str">
        <f aca="false">VLOOKUP(X1578,Sheet2!A:B,2,0)</f>
        <v>NILESH NAGAR</v>
      </c>
      <c r="Z1578" s="17" t="s">
        <v>807</v>
      </c>
      <c r="AA1578" s="17" t="s">
        <v>798</v>
      </c>
      <c r="AB1578" s="17" t="s">
        <v>41</v>
      </c>
      <c r="AC1578" s="0" t="str">
        <f aca="false">LEFT(G1578,2)</f>
        <v>84</v>
      </c>
      <c r="AE1578" s="21" t="s">
        <v>506</v>
      </c>
    </row>
    <row r="1579" customFormat="false" ht="15" hidden="false" customHeight="false" outlineLevel="0" collapsed="false">
      <c r="A1579" s="13" t="n">
        <f aca="false">1+A1578</f>
        <v>1577</v>
      </c>
      <c r="B1579" s="14" t="n">
        <v>1009683118</v>
      </c>
      <c r="C1579" s="15" t="s">
        <v>413</v>
      </c>
      <c r="D1579" s="16" t="s">
        <v>64</v>
      </c>
      <c r="E1579" s="17" t="s">
        <v>64</v>
      </c>
      <c r="F1579" s="18" t="s">
        <v>34</v>
      </c>
      <c r="G1579" s="19" t="n">
        <v>844063772140</v>
      </c>
      <c r="H1579" s="17" t="s">
        <v>35</v>
      </c>
      <c r="I1579" s="17" t="s">
        <v>36</v>
      </c>
      <c r="J1579" s="17" t="s">
        <v>267</v>
      </c>
      <c r="K1579" s="17" t="str">
        <f aca="false">VLOOKUP(J1579,Sheet2!A:B,2,0)</f>
        <v>HARIRAM GUPTA</v>
      </c>
      <c r="L1579" s="17" t="n">
        <v>5</v>
      </c>
      <c r="M1579" s="17" t="str">
        <f aca="false">VLOOKUP(L1579,Sheet2!D:E,2,0)</f>
        <v>Main Processor CPU BGA</v>
      </c>
      <c r="N1579" s="17" t="n">
        <v>16</v>
      </c>
      <c r="O1579" s="17" t="str">
        <f aca="false">VLOOKUP(N1579,Sheet2!G:H,2,0)</f>
        <v>No Video - HDMI</v>
      </c>
      <c r="P1579" s="17" t="n">
        <v>12</v>
      </c>
      <c r="Q1579" s="17" t="str">
        <f aca="false">VLOOKUP(P1579,Sheet2!J:K,2,0)</f>
        <v>IR Declared due to Others ( IR Normal)TB</v>
      </c>
      <c r="R1579" s="17" t="s">
        <v>35</v>
      </c>
      <c r="S1579" s="17" t="str">
        <f aca="false">VLOOKUP(R1579,Sheet2!N:O,2,0)</f>
        <v>IREPARABLE</v>
      </c>
      <c r="T1579" s="18" t="str">
        <f aca="false">VLOOKUP(P1579,Sheet2!Q:R,2,0)</f>
        <v>IR Normal - BER to IR</v>
      </c>
      <c r="U1579" s="20" t="s">
        <v>110</v>
      </c>
      <c r="V1579" s="17" t="n">
        <v>9</v>
      </c>
      <c r="W1579" s="20" t="str">
        <f aca="false">VLOOKUP(V1579,Sheet2!Q:R,2,0)</f>
        <v>IR Normal - Multiple time repair </v>
      </c>
      <c r="X1579" s="17" t="str">
        <f aca="false">J1579</f>
        <v>A007</v>
      </c>
      <c r="Y1579" s="17" t="str">
        <f aca="false">VLOOKUP(X1579,Sheet2!A:B,2,0)</f>
        <v>HARIRAM GUPTA</v>
      </c>
      <c r="Z1579" s="17" t="s">
        <v>807</v>
      </c>
      <c r="AA1579" s="17" t="s">
        <v>798</v>
      </c>
      <c r="AB1579" s="17" t="s">
        <v>41</v>
      </c>
      <c r="AC1579" s="0" t="str">
        <f aca="false">LEFT(G1579,2)</f>
        <v>84</v>
      </c>
      <c r="AE1579" s="21" t="s">
        <v>506</v>
      </c>
    </row>
    <row r="1580" customFormat="false" ht="15" hidden="false" customHeight="false" outlineLevel="0" collapsed="false">
      <c r="A1580" s="13" t="n">
        <f aca="false">1+A1579</f>
        <v>1578</v>
      </c>
      <c r="B1580" s="14" t="n">
        <v>1009686482</v>
      </c>
      <c r="C1580" s="15" t="s">
        <v>449</v>
      </c>
      <c r="D1580" s="16" t="s">
        <v>131</v>
      </c>
      <c r="E1580" s="17" t="s">
        <v>274</v>
      </c>
      <c r="F1580" s="18" t="s">
        <v>34</v>
      </c>
      <c r="G1580" s="19" t="n">
        <v>844111753928</v>
      </c>
      <c r="H1580" s="17" t="s">
        <v>35</v>
      </c>
      <c r="I1580" s="17" t="s">
        <v>36</v>
      </c>
      <c r="J1580" s="17" t="s">
        <v>267</v>
      </c>
      <c r="K1580" s="17" t="str">
        <f aca="false">VLOOKUP(J1580,Sheet2!A:B,2,0)</f>
        <v>HARIRAM GUPTA</v>
      </c>
      <c r="L1580" s="17" t="n">
        <v>7</v>
      </c>
      <c r="M1580" s="17" t="str">
        <f aca="false">VLOOKUP(L1580,Sheet2!D:E,2,0)</f>
        <v>Card Reader Section</v>
      </c>
      <c r="N1580" s="17" t="n">
        <v>37</v>
      </c>
      <c r="O1580" s="17" t="str">
        <f aca="false">VLOOKUP(N1580,Sheet2!G:H,2,0)</f>
        <v>Error -2</v>
      </c>
      <c r="P1580" s="17" t="n">
        <v>12</v>
      </c>
      <c r="Q1580" s="17" t="str">
        <f aca="false">VLOOKUP(P1580,Sheet2!J:K,2,0)</f>
        <v>IR Declared due to Others ( IR Normal)TB</v>
      </c>
      <c r="R1580" s="17" t="s">
        <v>35</v>
      </c>
      <c r="S1580" s="17" t="str">
        <f aca="false">VLOOKUP(R1580,Sheet2!N:O,2,0)</f>
        <v>IREPARABLE</v>
      </c>
      <c r="T1580" s="18" t="str">
        <f aca="false">VLOOKUP(P1580,Sheet2!Q:R,2,0)</f>
        <v>IR Normal - BER to IR</v>
      </c>
      <c r="U1580" s="20" t="s">
        <v>110</v>
      </c>
      <c r="V1580" s="17" t="n">
        <v>9</v>
      </c>
      <c r="W1580" s="20" t="str">
        <f aca="false">VLOOKUP(V1580,Sheet2!Q:R,2,0)</f>
        <v>IR Normal - Multiple time repair </v>
      </c>
      <c r="X1580" s="17" t="str">
        <f aca="false">J1580</f>
        <v>A007</v>
      </c>
      <c r="Y1580" s="17" t="str">
        <f aca="false">VLOOKUP(X1580,Sheet2!A:B,2,0)</f>
        <v>HARIRAM GUPTA</v>
      </c>
      <c r="Z1580" s="17" t="s">
        <v>807</v>
      </c>
      <c r="AA1580" s="17" t="s">
        <v>798</v>
      </c>
      <c r="AB1580" s="17" t="s">
        <v>41</v>
      </c>
      <c r="AC1580" s="0" t="str">
        <f aca="false">LEFT(G1580,2)</f>
        <v>84</v>
      </c>
      <c r="AE1580" s="21" t="s">
        <v>506</v>
      </c>
    </row>
    <row r="1581" customFormat="false" ht="15" hidden="false" customHeight="false" outlineLevel="0" collapsed="false">
      <c r="A1581" s="13" t="n">
        <f aca="false">1+A1580</f>
        <v>1579</v>
      </c>
      <c r="B1581" s="14" t="n">
        <v>1009675831</v>
      </c>
      <c r="C1581" s="15" t="s">
        <v>436</v>
      </c>
      <c r="D1581" s="16" t="s">
        <v>64</v>
      </c>
      <c r="E1581" s="17" t="s">
        <v>47</v>
      </c>
      <c r="F1581" s="18" t="s">
        <v>34</v>
      </c>
      <c r="G1581" s="19" t="n">
        <v>853201732163</v>
      </c>
      <c r="H1581" s="17" t="s">
        <v>35</v>
      </c>
      <c r="I1581" s="17" t="s">
        <v>36</v>
      </c>
      <c r="J1581" s="17" t="s">
        <v>111</v>
      </c>
      <c r="K1581" s="17" t="str">
        <f aca="false">VLOOKUP(J1581,Sheet2!A:B,2,0)</f>
        <v>NITIN PRANAMI</v>
      </c>
      <c r="L1581" s="17" t="n">
        <v>1</v>
      </c>
      <c r="M1581" s="17" t="str">
        <f aca="false">VLOOKUP(L1581,Sheet2!D:E,2,0)</f>
        <v>Power Supply Section</v>
      </c>
      <c r="N1581" s="17" t="n">
        <v>1</v>
      </c>
      <c r="O1581" s="17" t="str">
        <f aca="false">VLOOKUP(N1581,Sheet2!G:H,2,0)</f>
        <v>Dead</v>
      </c>
      <c r="P1581" s="17" t="n">
        <v>12</v>
      </c>
      <c r="Q1581" s="17" t="str">
        <f aca="false">VLOOKUP(P1581,Sheet2!J:K,2,0)</f>
        <v>IR Declared due to Others ( IR Normal)TB</v>
      </c>
      <c r="R1581" s="17" t="s">
        <v>35</v>
      </c>
      <c r="S1581" s="17" t="str">
        <f aca="false">VLOOKUP(R1581,Sheet2!N:O,2,0)</f>
        <v>IREPARABLE</v>
      </c>
      <c r="T1581" s="18" t="str">
        <f aca="false">VLOOKUP(P1581,Sheet2!Q:R,2,0)</f>
        <v>IR Normal - BER to IR</v>
      </c>
      <c r="U1581" s="18" t="s">
        <v>101</v>
      </c>
      <c r="V1581" s="17" t="n">
        <v>8</v>
      </c>
      <c r="W1581" s="20" t="str">
        <f aca="false">VLOOKUP(V1581,Sheet2!Q:R,2,0)</f>
        <v>IR Normal -TrackRust/InternalDamage/open</v>
      </c>
      <c r="X1581" s="17" t="str">
        <f aca="false">J1581</f>
        <v>A031</v>
      </c>
      <c r="Y1581" s="17" t="str">
        <f aca="false">VLOOKUP(X1581,Sheet2!A:B,2,0)</f>
        <v>NITIN PRANAMI</v>
      </c>
      <c r="Z1581" s="17" t="s">
        <v>808</v>
      </c>
      <c r="AA1581" s="17" t="s">
        <v>798</v>
      </c>
      <c r="AB1581" s="17" t="s">
        <v>41</v>
      </c>
      <c r="AC1581" s="0" t="str">
        <f aca="false">LEFT(G1581,2)</f>
        <v>85</v>
      </c>
      <c r="AE1581" s="21" t="s">
        <v>506</v>
      </c>
    </row>
    <row r="1582" customFormat="false" ht="15" hidden="false" customHeight="false" outlineLevel="0" collapsed="false">
      <c r="A1582" s="13" t="n">
        <f aca="false">1+A1581</f>
        <v>1580</v>
      </c>
      <c r="B1582" s="14" t="n">
        <v>1009532075</v>
      </c>
      <c r="C1582" s="15" t="s">
        <v>174</v>
      </c>
      <c r="D1582" s="16" t="s">
        <v>103</v>
      </c>
      <c r="E1582" s="17" t="s">
        <v>47</v>
      </c>
      <c r="F1582" s="18" t="s">
        <v>34</v>
      </c>
      <c r="G1582" s="19" t="n">
        <v>844136783132</v>
      </c>
      <c r="H1582" s="17" t="s">
        <v>35</v>
      </c>
      <c r="I1582" s="17" t="s">
        <v>36</v>
      </c>
      <c r="J1582" s="17" t="s">
        <v>289</v>
      </c>
      <c r="K1582" s="17" t="str">
        <f aca="false">VLOOKUP(J1582,Sheet2!A:B,2,0)</f>
        <v>AJAY KOSHTI</v>
      </c>
      <c r="L1582" s="17" t="n">
        <v>1</v>
      </c>
      <c r="M1582" s="17" t="str">
        <f aca="false">VLOOKUP(L1582,Sheet2!D:E,2,0)</f>
        <v>Power Supply Section</v>
      </c>
      <c r="N1582" s="17" t="n">
        <v>1</v>
      </c>
      <c r="O1582" s="17" t="str">
        <f aca="false">VLOOKUP(N1582,Sheet2!G:H,2,0)</f>
        <v>Dead</v>
      </c>
      <c r="P1582" s="17" t="n">
        <v>11</v>
      </c>
      <c r="Q1582" s="17" t="str">
        <f aca="false">VLOOKUP(P1582,Sheet2!J:K,2,0)</f>
        <v>IR Declared due to CID -TA</v>
      </c>
      <c r="R1582" s="17" t="s">
        <v>35</v>
      </c>
      <c r="S1582" s="17" t="str">
        <f aca="false">VLOOKUP(R1582,Sheet2!N:O,2,0)</f>
        <v>IREPARABLE</v>
      </c>
      <c r="T1582" s="18" t="str">
        <f aca="false">VLOOKUP(P1582,Sheet2!Q:R,2,0)</f>
        <v>IR Normal - Track burn out</v>
      </c>
      <c r="U1582" s="18" t="s">
        <v>122</v>
      </c>
      <c r="V1582" s="17" t="n">
        <v>2</v>
      </c>
      <c r="W1582" s="20" t="str">
        <f aca="false">VLOOKUP(V1582,Sheet2!Q:R,2,0)</f>
        <v>IR CID -  Water log from other area</v>
      </c>
      <c r="X1582" s="17" t="str">
        <f aca="false">J1582</f>
        <v>A051</v>
      </c>
      <c r="Y1582" s="17" t="str">
        <f aca="false">VLOOKUP(X1582,Sheet2!A:B,2,0)</f>
        <v>AJAY KOSHTI</v>
      </c>
      <c r="Z1582" s="17" t="s">
        <v>387</v>
      </c>
      <c r="AA1582" s="17" t="s">
        <v>798</v>
      </c>
      <c r="AB1582" s="17" t="s">
        <v>41</v>
      </c>
      <c r="AC1582" s="0" t="str">
        <f aca="false">LEFT(G1582,2)</f>
        <v>84</v>
      </c>
      <c r="AE1582" s="21" t="s">
        <v>506</v>
      </c>
    </row>
    <row r="1583" customFormat="false" ht="15" hidden="false" customHeight="false" outlineLevel="0" collapsed="false">
      <c r="A1583" s="13" t="n">
        <f aca="false">1+A1582</f>
        <v>1581</v>
      </c>
      <c r="B1583" s="14" t="n">
        <v>1009619926</v>
      </c>
      <c r="C1583" s="15" t="s">
        <v>184</v>
      </c>
      <c r="D1583" s="16" t="s">
        <v>64</v>
      </c>
      <c r="E1583" s="17" t="s">
        <v>47</v>
      </c>
      <c r="F1583" s="18" t="s">
        <v>34</v>
      </c>
      <c r="G1583" s="19" t="n">
        <v>853168736488</v>
      </c>
      <c r="H1583" s="17" t="s">
        <v>35</v>
      </c>
      <c r="I1583" s="17" t="s">
        <v>36</v>
      </c>
      <c r="J1583" s="17" t="s">
        <v>111</v>
      </c>
      <c r="K1583" s="17" t="str">
        <f aca="false">VLOOKUP(J1583,Sheet2!A:B,2,0)</f>
        <v>NITIN PRANAMI</v>
      </c>
      <c r="L1583" s="17" t="n">
        <v>1</v>
      </c>
      <c r="M1583" s="17" t="str">
        <f aca="false">VLOOKUP(L1583,Sheet2!D:E,2,0)</f>
        <v>Power Supply Section</v>
      </c>
      <c r="N1583" s="17" t="n">
        <v>1</v>
      </c>
      <c r="O1583" s="17" t="str">
        <f aca="false">VLOOKUP(N1583,Sheet2!G:H,2,0)</f>
        <v>Dead</v>
      </c>
      <c r="P1583" s="17" t="n">
        <v>11</v>
      </c>
      <c r="Q1583" s="17" t="str">
        <f aca="false">VLOOKUP(P1583,Sheet2!J:K,2,0)</f>
        <v>IR Declared due to CID -TA</v>
      </c>
      <c r="R1583" s="17" t="s">
        <v>35</v>
      </c>
      <c r="S1583" s="17" t="str">
        <f aca="false">VLOOKUP(R1583,Sheet2!N:O,2,0)</f>
        <v>IREPARABLE</v>
      </c>
      <c r="T1583" s="18" t="str">
        <f aca="false">VLOOKUP(P1583,Sheet2!Q:R,2,0)</f>
        <v>IR Normal - Track burn out</v>
      </c>
      <c r="U1583" s="18" t="s">
        <v>122</v>
      </c>
      <c r="V1583" s="17" t="n">
        <v>2</v>
      </c>
      <c r="W1583" s="20" t="str">
        <f aca="false">VLOOKUP(V1583,Sheet2!Q:R,2,0)</f>
        <v>IR CID -  Water log from other area</v>
      </c>
      <c r="X1583" s="17" t="str">
        <f aca="false">J1583</f>
        <v>A031</v>
      </c>
      <c r="Y1583" s="17" t="str">
        <f aca="false">VLOOKUP(X1583,Sheet2!A:B,2,0)</f>
        <v>NITIN PRANAMI</v>
      </c>
      <c r="Z1583" s="17" t="s">
        <v>809</v>
      </c>
      <c r="AA1583" s="17" t="s">
        <v>798</v>
      </c>
      <c r="AB1583" s="17" t="s">
        <v>41</v>
      </c>
      <c r="AC1583" s="0" t="str">
        <f aca="false">LEFT(G1583,2)</f>
        <v>85</v>
      </c>
      <c r="AE1583" s="21" t="s">
        <v>506</v>
      </c>
    </row>
    <row r="1584" customFormat="false" ht="15" hidden="false" customHeight="false" outlineLevel="0" collapsed="false">
      <c r="A1584" s="13" t="n">
        <f aca="false">1+A1583</f>
        <v>1582</v>
      </c>
      <c r="B1584" s="14" t="n">
        <v>1009563910</v>
      </c>
      <c r="C1584" s="15" t="s">
        <v>192</v>
      </c>
      <c r="D1584" s="16" t="s">
        <v>202</v>
      </c>
      <c r="E1584" s="17" t="s">
        <v>33</v>
      </c>
      <c r="F1584" s="18" t="s">
        <v>34</v>
      </c>
      <c r="G1584" s="19" t="n">
        <v>844096716932</v>
      </c>
      <c r="H1584" s="17" t="s">
        <v>497</v>
      </c>
      <c r="I1584" s="17" t="s">
        <v>36</v>
      </c>
      <c r="J1584" s="17" t="s">
        <v>267</v>
      </c>
      <c r="K1584" s="17" t="str">
        <f aca="false">VLOOKUP(J1584,Sheet2!A:B,2,0)</f>
        <v>HARIRAM GUPTA</v>
      </c>
      <c r="L1584" s="17" t="n">
        <v>1</v>
      </c>
      <c r="M1584" s="17" t="str">
        <f aca="false">VLOOKUP(L1584,Sheet2!D:E,2,0)</f>
        <v>Power Supply Section</v>
      </c>
      <c r="N1584" s="17" t="n">
        <v>1</v>
      </c>
      <c r="O1584" s="17" t="str">
        <f aca="false">VLOOKUP(N1584,Sheet2!G:H,2,0)</f>
        <v>Dead</v>
      </c>
      <c r="P1584" s="17" t="n">
        <v>12</v>
      </c>
      <c r="Q1584" s="17" t="str">
        <f aca="false">VLOOKUP(P1584,Sheet2!J:K,2,0)</f>
        <v>IR Declared due to Others ( IR Normal)TB</v>
      </c>
      <c r="R1584" s="17" t="s">
        <v>35</v>
      </c>
      <c r="S1584" s="17" t="str">
        <f aca="false">VLOOKUP(R1584,Sheet2!N:O,2,0)</f>
        <v>IREPARABLE</v>
      </c>
      <c r="T1584" s="18" t="str">
        <f aca="false">VLOOKUP(P1584,Sheet2!Q:R,2,0)</f>
        <v>IR Normal - BER to IR</v>
      </c>
      <c r="U1584" s="20" t="s">
        <v>110</v>
      </c>
      <c r="V1584" s="17" t="n">
        <v>9</v>
      </c>
      <c r="W1584" s="20" t="str">
        <f aca="false">VLOOKUP(V1584,Sheet2!Q:R,2,0)</f>
        <v>IR Normal - Multiple time repair </v>
      </c>
      <c r="X1584" s="17" t="str">
        <f aca="false">J1584</f>
        <v>A007</v>
      </c>
      <c r="Y1584" s="17" t="str">
        <f aca="false">VLOOKUP(X1584,Sheet2!A:B,2,0)</f>
        <v>HARIRAM GUPTA</v>
      </c>
      <c r="Z1584" s="17" t="s">
        <v>809</v>
      </c>
      <c r="AA1584" s="17" t="s">
        <v>798</v>
      </c>
      <c r="AB1584" s="17" t="s">
        <v>41</v>
      </c>
      <c r="AC1584" s="0" t="str">
        <f aca="false">LEFT(G1584,2)</f>
        <v>84</v>
      </c>
      <c r="AE1584" s="21" t="s">
        <v>506</v>
      </c>
    </row>
    <row r="1585" customFormat="false" ht="15" hidden="false" customHeight="false" outlineLevel="0" collapsed="false">
      <c r="A1585" s="13" t="n">
        <f aca="false">1+A1584</f>
        <v>1583</v>
      </c>
      <c r="B1585" s="14" t="n">
        <v>1009677339</v>
      </c>
      <c r="C1585" s="15" t="s">
        <v>810</v>
      </c>
      <c r="D1585" s="16" t="s">
        <v>64</v>
      </c>
      <c r="E1585" s="17" t="s">
        <v>33</v>
      </c>
      <c r="F1585" s="18" t="s">
        <v>34</v>
      </c>
      <c r="G1585" s="19" t="n">
        <v>854182720722</v>
      </c>
      <c r="H1585" s="17" t="s">
        <v>35</v>
      </c>
      <c r="I1585" s="17" t="s">
        <v>36</v>
      </c>
      <c r="J1585" s="17" t="s">
        <v>267</v>
      </c>
      <c r="K1585" s="17" t="str">
        <f aca="false">VLOOKUP(J1585,Sheet2!A:B,2,0)</f>
        <v>HARIRAM GUPTA</v>
      </c>
      <c r="L1585" s="17" t="n">
        <v>5</v>
      </c>
      <c r="M1585" s="17" t="str">
        <f aca="false">VLOOKUP(L1585,Sheet2!D:E,2,0)</f>
        <v>Main Processor CPU BGA</v>
      </c>
      <c r="N1585" s="17" t="n">
        <v>24</v>
      </c>
      <c r="O1585" s="17" t="str">
        <f aca="false">VLOOKUP(N1585,Sheet2!G:H,2,0)</f>
        <v>STB Auto moving -Stand by mode</v>
      </c>
      <c r="P1585" s="17" t="n">
        <v>12</v>
      </c>
      <c r="Q1585" s="17" t="str">
        <f aca="false">VLOOKUP(P1585,Sheet2!J:K,2,0)</f>
        <v>IR Declared due to Others ( IR Normal)TB</v>
      </c>
      <c r="R1585" s="17" t="s">
        <v>35</v>
      </c>
      <c r="S1585" s="17" t="str">
        <f aca="false">VLOOKUP(R1585,Sheet2!N:O,2,0)</f>
        <v>IREPARABLE</v>
      </c>
      <c r="T1585" s="18" t="str">
        <f aca="false">VLOOKUP(P1585,Sheet2!Q:R,2,0)</f>
        <v>IR Normal - BER to IR</v>
      </c>
      <c r="U1585" s="18" t="s">
        <v>101</v>
      </c>
      <c r="V1585" s="17" t="n">
        <v>8</v>
      </c>
      <c r="W1585" s="20" t="str">
        <f aca="false">VLOOKUP(V1585,Sheet2!Q:R,2,0)</f>
        <v>IR Normal -TrackRust/InternalDamage/open</v>
      </c>
      <c r="X1585" s="17" t="str">
        <f aca="false">J1585</f>
        <v>A007</v>
      </c>
      <c r="Y1585" s="17" t="str">
        <f aca="false">VLOOKUP(X1585,Sheet2!A:B,2,0)</f>
        <v>HARIRAM GUPTA</v>
      </c>
      <c r="Z1585" s="17" t="s">
        <v>127</v>
      </c>
      <c r="AA1585" s="17" t="s">
        <v>798</v>
      </c>
      <c r="AB1585" s="17" t="s">
        <v>41</v>
      </c>
      <c r="AC1585" s="0" t="str">
        <f aca="false">LEFT(G1585,2)</f>
        <v>85</v>
      </c>
      <c r="AE1585" s="21" t="s">
        <v>506</v>
      </c>
    </row>
    <row r="1586" customFormat="false" ht="15" hidden="false" customHeight="false" outlineLevel="0" collapsed="false">
      <c r="A1586" s="13" t="n">
        <f aca="false">1+A1585</f>
        <v>1584</v>
      </c>
      <c r="B1586" s="14" t="n">
        <v>1009677967</v>
      </c>
      <c r="C1586" s="15" t="s">
        <v>810</v>
      </c>
      <c r="D1586" s="16" t="s">
        <v>88</v>
      </c>
      <c r="E1586" s="17" t="s">
        <v>47</v>
      </c>
      <c r="F1586" s="18" t="s">
        <v>34</v>
      </c>
      <c r="G1586" s="19" t="n">
        <v>844100784728</v>
      </c>
      <c r="H1586" s="17" t="s">
        <v>35</v>
      </c>
      <c r="I1586" s="17" t="s">
        <v>36</v>
      </c>
      <c r="J1586" s="17" t="s">
        <v>267</v>
      </c>
      <c r="K1586" s="17" t="str">
        <f aca="false">VLOOKUP(J1586,Sheet2!A:B,2,0)</f>
        <v>HARIRAM GUPTA</v>
      </c>
      <c r="L1586" s="17" t="n">
        <v>1</v>
      </c>
      <c r="M1586" s="17" t="str">
        <f aca="false">VLOOKUP(L1586,Sheet2!D:E,2,0)</f>
        <v>Power Supply Section</v>
      </c>
      <c r="N1586" s="17" t="n">
        <v>1</v>
      </c>
      <c r="O1586" s="17" t="str">
        <f aca="false">VLOOKUP(N1586,Sheet2!G:H,2,0)</f>
        <v>Dead</v>
      </c>
      <c r="P1586" s="17" t="n">
        <v>12</v>
      </c>
      <c r="Q1586" s="17" t="str">
        <f aca="false">VLOOKUP(P1586,Sheet2!J:K,2,0)</f>
        <v>IR Declared due to Others ( IR Normal)TB</v>
      </c>
      <c r="R1586" s="17" t="s">
        <v>35</v>
      </c>
      <c r="S1586" s="17" t="str">
        <f aca="false">VLOOKUP(R1586,Sheet2!N:O,2,0)</f>
        <v>IREPARABLE</v>
      </c>
      <c r="T1586" s="18" t="str">
        <f aca="false">VLOOKUP(P1586,Sheet2!Q:R,2,0)</f>
        <v>IR Normal - BER to IR</v>
      </c>
      <c r="U1586" s="18" t="s">
        <v>101</v>
      </c>
      <c r="V1586" s="17" t="n">
        <v>8</v>
      </c>
      <c r="W1586" s="20" t="str">
        <f aca="false">VLOOKUP(V1586,Sheet2!Q:R,2,0)</f>
        <v>IR Normal -TrackRust/InternalDamage/open</v>
      </c>
      <c r="X1586" s="17" t="str">
        <f aca="false">J1586</f>
        <v>A007</v>
      </c>
      <c r="Y1586" s="17" t="str">
        <f aca="false">VLOOKUP(X1586,Sheet2!A:B,2,0)</f>
        <v>HARIRAM GUPTA</v>
      </c>
      <c r="Z1586" s="17" t="s">
        <v>512</v>
      </c>
      <c r="AA1586" s="17" t="s">
        <v>798</v>
      </c>
      <c r="AB1586" s="17" t="s">
        <v>41</v>
      </c>
      <c r="AC1586" s="0" t="str">
        <f aca="false">LEFT(G1586,2)</f>
        <v>84</v>
      </c>
      <c r="AE1586" s="21" t="s">
        <v>506</v>
      </c>
    </row>
    <row r="1587" customFormat="false" ht="15" hidden="false" customHeight="false" outlineLevel="0" collapsed="false">
      <c r="A1587" s="13" t="n">
        <f aca="false">1+A1586</f>
        <v>1585</v>
      </c>
      <c r="B1587" s="14" t="n">
        <v>1009675696</v>
      </c>
      <c r="C1587" s="15" t="s">
        <v>810</v>
      </c>
      <c r="D1587" s="16" t="s">
        <v>64</v>
      </c>
      <c r="E1587" s="17" t="s">
        <v>64</v>
      </c>
      <c r="F1587" s="18" t="s">
        <v>34</v>
      </c>
      <c r="G1587" s="19" t="n">
        <v>844019736223</v>
      </c>
      <c r="H1587" s="17" t="s">
        <v>35</v>
      </c>
      <c r="I1587" s="17" t="s">
        <v>36</v>
      </c>
      <c r="J1587" s="17" t="s">
        <v>118</v>
      </c>
      <c r="K1587" s="17" t="str">
        <f aca="false">VLOOKUP(J1587,Sheet2!A:B,2,0)</f>
        <v>DEVENDRA RAJPUT</v>
      </c>
      <c r="L1587" s="17" t="n">
        <v>1</v>
      </c>
      <c r="M1587" s="17" t="str">
        <f aca="false">VLOOKUP(L1587,Sheet2!D:E,2,0)</f>
        <v>Power Supply Section</v>
      </c>
      <c r="N1587" s="17" t="n">
        <v>1</v>
      </c>
      <c r="O1587" s="17" t="str">
        <f aca="false">VLOOKUP(N1587,Sheet2!G:H,2,0)</f>
        <v>Dead</v>
      </c>
      <c r="P1587" s="17" t="n">
        <v>12</v>
      </c>
      <c r="Q1587" s="17" t="str">
        <f aca="false">VLOOKUP(P1587,Sheet2!J:K,2,0)</f>
        <v>IR Declared due to Others ( IR Normal)TB</v>
      </c>
      <c r="R1587" s="17" t="s">
        <v>35</v>
      </c>
      <c r="S1587" s="17" t="str">
        <f aca="false">VLOOKUP(R1587,Sheet2!N:O,2,0)</f>
        <v>IREPARABLE</v>
      </c>
      <c r="T1587" s="18" t="str">
        <f aca="false">VLOOKUP(P1587,Sheet2!Q:R,2,0)</f>
        <v>IR Normal - BER to IR</v>
      </c>
      <c r="U1587" s="18" t="s">
        <v>101</v>
      </c>
      <c r="V1587" s="17" t="n">
        <v>8</v>
      </c>
      <c r="W1587" s="20" t="str">
        <f aca="false">VLOOKUP(V1587,Sheet2!Q:R,2,0)</f>
        <v>IR Normal -TrackRust/InternalDamage/open</v>
      </c>
      <c r="X1587" s="17" t="str">
        <f aca="false">J1587</f>
        <v>A053</v>
      </c>
      <c r="Y1587" s="17" t="str">
        <f aca="false">VLOOKUP(X1587,Sheet2!A:B,2,0)</f>
        <v>DEVENDRA RAJPUT</v>
      </c>
      <c r="Z1587" s="17" t="s">
        <v>375</v>
      </c>
      <c r="AA1587" s="17" t="s">
        <v>798</v>
      </c>
      <c r="AB1587" s="17" t="s">
        <v>41</v>
      </c>
      <c r="AC1587" s="0" t="str">
        <f aca="false">LEFT(G1587,2)</f>
        <v>84</v>
      </c>
      <c r="AE1587" s="21" t="s">
        <v>506</v>
      </c>
    </row>
    <row r="1588" customFormat="false" ht="15" hidden="false" customHeight="false" outlineLevel="0" collapsed="false">
      <c r="A1588" s="13" t="n">
        <f aca="false">1+A1587</f>
        <v>1586</v>
      </c>
      <c r="B1588" s="14" t="n">
        <v>1009677107</v>
      </c>
      <c r="C1588" s="15" t="s">
        <v>810</v>
      </c>
      <c r="D1588" s="16" t="s">
        <v>491</v>
      </c>
      <c r="E1588" s="17" t="s">
        <v>47</v>
      </c>
      <c r="F1588" s="18" t="s">
        <v>34</v>
      </c>
      <c r="G1588" s="19" t="n">
        <v>844046710811</v>
      </c>
      <c r="H1588" s="17" t="s">
        <v>35</v>
      </c>
      <c r="I1588" s="17" t="s">
        <v>36</v>
      </c>
      <c r="J1588" s="17" t="s">
        <v>267</v>
      </c>
      <c r="K1588" s="17" t="str">
        <f aca="false">VLOOKUP(J1588,Sheet2!A:B,2,0)</f>
        <v>HARIRAM GUPTA</v>
      </c>
      <c r="L1588" s="17" t="n">
        <v>1</v>
      </c>
      <c r="M1588" s="17" t="str">
        <f aca="false">VLOOKUP(L1588,Sheet2!D:E,2,0)</f>
        <v>Power Supply Section</v>
      </c>
      <c r="N1588" s="17" t="n">
        <v>1</v>
      </c>
      <c r="O1588" s="17" t="str">
        <f aca="false">VLOOKUP(N1588,Sheet2!G:H,2,0)</f>
        <v>Dead</v>
      </c>
      <c r="P1588" s="17" t="n">
        <v>12</v>
      </c>
      <c r="Q1588" s="17" t="str">
        <f aca="false">VLOOKUP(P1588,Sheet2!J:K,2,0)</f>
        <v>IR Declared due to Others ( IR Normal)TB</v>
      </c>
      <c r="R1588" s="17" t="s">
        <v>35</v>
      </c>
      <c r="S1588" s="17" t="str">
        <f aca="false">VLOOKUP(R1588,Sheet2!N:O,2,0)</f>
        <v>IREPARABLE</v>
      </c>
      <c r="T1588" s="18" t="str">
        <f aca="false">VLOOKUP(P1588,Sheet2!Q:R,2,0)</f>
        <v>IR Normal - BER to IR</v>
      </c>
      <c r="U1588" s="18" t="s">
        <v>101</v>
      </c>
      <c r="V1588" s="17" t="n">
        <v>8</v>
      </c>
      <c r="W1588" s="20" t="str">
        <f aca="false">VLOOKUP(V1588,Sheet2!Q:R,2,0)</f>
        <v>IR Normal -TrackRust/InternalDamage/open</v>
      </c>
      <c r="X1588" s="17" t="str">
        <f aca="false">J1588</f>
        <v>A007</v>
      </c>
      <c r="Y1588" s="17" t="str">
        <f aca="false">VLOOKUP(X1588,Sheet2!A:B,2,0)</f>
        <v>HARIRAM GUPTA</v>
      </c>
      <c r="Z1588" s="17" t="s">
        <v>541</v>
      </c>
      <c r="AA1588" s="17" t="s">
        <v>798</v>
      </c>
      <c r="AB1588" s="17" t="s">
        <v>41</v>
      </c>
      <c r="AC1588" s="0" t="str">
        <f aca="false">LEFT(G1588,2)</f>
        <v>84</v>
      </c>
      <c r="AE1588" s="21" t="s">
        <v>506</v>
      </c>
    </row>
    <row r="1589" customFormat="false" ht="15" hidden="false" customHeight="false" outlineLevel="0" collapsed="false">
      <c r="A1589" s="13" t="n">
        <f aca="false">1+A1588</f>
        <v>1587</v>
      </c>
      <c r="B1589" s="14" t="n">
        <v>1009675563</v>
      </c>
      <c r="C1589" s="15" t="s">
        <v>810</v>
      </c>
      <c r="D1589" s="16" t="s">
        <v>64</v>
      </c>
      <c r="E1589" s="17" t="s">
        <v>64</v>
      </c>
      <c r="F1589" s="18" t="s">
        <v>34</v>
      </c>
      <c r="G1589" s="19" t="n">
        <v>853261775706</v>
      </c>
      <c r="H1589" s="17" t="s">
        <v>35</v>
      </c>
      <c r="I1589" s="17" t="s">
        <v>36</v>
      </c>
      <c r="J1589" s="17" t="s">
        <v>100</v>
      </c>
      <c r="K1589" s="17" t="str">
        <f aca="false">VLOOKUP(J1589,Sheet2!A:B,2,0)</f>
        <v>PIYUSH CHAVDA</v>
      </c>
      <c r="L1589" s="17" t="n">
        <v>1</v>
      </c>
      <c r="M1589" s="17" t="str">
        <f aca="false">VLOOKUP(L1589,Sheet2!D:E,2,0)</f>
        <v>Power Supply Section</v>
      </c>
      <c r="N1589" s="17" t="n">
        <v>1</v>
      </c>
      <c r="O1589" s="17" t="str">
        <f aca="false">VLOOKUP(N1589,Sheet2!G:H,2,0)</f>
        <v>Dead</v>
      </c>
      <c r="P1589" s="17" t="n">
        <v>12</v>
      </c>
      <c r="Q1589" s="17" t="str">
        <f aca="false">VLOOKUP(P1589,Sheet2!J:K,2,0)</f>
        <v>IR Declared due to Others ( IR Normal)TB</v>
      </c>
      <c r="R1589" s="17" t="s">
        <v>35</v>
      </c>
      <c r="S1589" s="17" t="str">
        <f aca="false">VLOOKUP(R1589,Sheet2!N:O,2,0)</f>
        <v>IREPARABLE</v>
      </c>
      <c r="T1589" s="18" t="str">
        <f aca="false">VLOOKUP(P1589,Sheet2!Q:R,2,0)</f>
        <v>IR Normal - BER to IR</v>
      </c>
      <c r="U1589" s="18" t="s">
        <v>101</v>
      </c>
      <c r="V1589" s="17" t="n">
        <v>8</v>
      </c>
      <c r="W1589" s="20" t="str">
        <f aca="false">VLOOKUP(V1589,Sheet2!Q:R,2,0)</f>
        <v>IR Normal -TrackRust/InternalDamage/open</v>
      </c>
      <c r="X1589" s="17" t="str">
        <f aca="false">J1589</f>
        <v>A050</v>
      </c>
      <c r="Y1589" s="17" t="str">
        <f aca="false">VLOOKUP(X1589,Sheet2!A:B,2,0)</f>
        <v>PIYUSH CHAVDA</v>
      </c>
      <c r="Z1589" s="17" t="s">
        <v>541</v>
      </c>
      <c r="AA1589" s="17" t="s">
        <v>798</v>
      </c>
      <c r="AB1589" s="17" t="s">
        <v>41</v>
      </c>
      <c r="AC1589" s="0" t="str">
        <f aca="false">LEFT(G1589,2)</f>
        <v>85</v>
      </c>
      <c r="AE1589" s="21" t="s">
        <v>506</v>
      </c>
    </row>
    <row r="1590" customFormat="false" ht="15" hidden="false" customHeight="false" outlineLevel="0" collapsed="false">
      <c r="A1590" s="13" t="n">
        <f aca="false">1+A1589</f>
        <v>1588</v>
      </c>
      <c r="B1590" s="14" t="n">
        <v>1009633798</v>
      </c>
      <c r="C1590" s="15" t="s">
        <v>182</v>
      </c>
      <c r="D1590" s="16" t="s">
        <v>64</v>
      </c>
      <c r="E1590" s="17" t="s">
        <v>114</v>
      </c>
      <c r="F1590" s="18" t="s">
        <v>34</v>
      </c>
      <c r="G1590" s="19" t="n">
        <v>853149796742</v>
      </c>
      <c r="H1590" s="17" t="s">
        <v>35</v>
      </c>
      <c r="I1590" s="17" t="s">
        <v>36</v>
      </c>
      <c r="J1590" s="17" t="s">
        <v>100</v>
      </c>
      <c r="K1590" s="17" t="str">
        <f aca="false">VLOOKUP(J1590,Sheet2!A:B,2,0)</f>
        <v>PIYUSH CHAVDA</v>
      </c>
      <c r="L1590" s="17" t="n">
        <v>1</v>
      </c>
      <c r="M1590" s="17" t="str">
        <f aca="false">VLOOKUP(L1590,Sheet2!D:E,2,0)</f>
        <v>Power Supply Section</v>
      </c>
      <c r="N1590" s="17" t="n">
        <v>1</v>
      </c>
      <c r="O1590" s="17" t="str">
        <f aca="false">VLOOKUP(N1590,Sheet2!G:H,2,0)</f>
        <v>Dead</v>
      </c>
      <c r="P1590" s="17" t="n">
        <v>12</v>
      </c>
      <c r="Q1590" s="17" t="str">
        <f aca="false">VLOOKUP(P1590,Sheet2!J:K,2,0)</f>
        <v>IR Declared due to Others ( IR Normal)TB</v>
      </c>
      <c r="R1590" s="17" t="s">
        <v>35</v>
      </c>
      <c r="S1590" s="17" t="str">
        <f aca="false">VLOOKUP(R1590,Sheet2!N:O,2,0)</f>
        <v>IREPARABLE</v>
      </c>
      <c r="T1590" s="18" t="str">
        <f aca="false">VLOOKUP(P1590,Sheet2!Q:R,2,0)</f>
        <v>IR Normal - BER to IR</v>
      </c>
      <c r="U1590" s="18" t="s">
        <v>101</v>
      </c>
      <c r="V1590" s="17" t="n">
        <v>8</v>
      </c>
      <c r="W1590" s="20" t="str">
        <f aca="false">VLOOKUP(V1590,Sheet2!Q:R,2,0)</f>
        <v>IR Normal -TrackRust/InternalDamage/open</v>
      </c>
      <c r="X1590" s="17" t="str">
        <f aca="false">J1590</f>
        <v>A050</v>
      </c>
      <c r="Y1590" s="17" t="str">
        <f aca="false">VLOOKUP(X1590,Sheet2!A:B,2,0)</f>
        <v>PIYUSH CHAVDA</v>
      </c>
      <c r="Z1590" s="17" t="s">
        <v>387</v>
      </c>
      <c r="AA1590" s="17" t="s">
        <v>798</v>
      </c>
      <c r="AB1590" s="17" t="s">
        <v>41</v>
      </c>
      <c r="AC1590" s="0" t="str">
        <f aca="false">LEFT(G1590,2)</f>
        <v>85</v>
      </c>
      <c r="AE1590" s="21" t="s">
        <v>506</v>
      </c>
    </row>
    <row r="1591" customFormat="false" ht="15" hidden="false" customHeight="false" outlineLevel="0" collapsed="false">
      <c r="A1591" s="13" t="n">
        <f aca="false">1+A1590</f>
        <v>1589</v>
      </c>
      <c r="B1591" s="14" t="n">
        <v>1009642087</v>
      </c>
      <c r="C1591" s="15" t="s">
        <v>429</v>
      </c>
      <c r="D1591" s="16" t="s">
        <v>119</v>
      </c>
      <c r="E1591" s="17" t="s">
        <v>255</v>
      </c>
      <c r="F1591" s="18" t="s">
        <v>34</v>
      </c>
      <c r="G1591" s="19" t="n">
        <v>288124139123</v>
      </c>
      <c r="H1591" s="17" t="s">
        <v>35</v>
      </c>
      <c r="I1591" s="17" t="s">
        <v>74</v>
      </c>
      <c r="J1591" s="17" t="s">
        <v>111</v>
      </c>
      <c r="K1591" s="17" t="str">
        <f aca="false">VLOOKUP(J1591,Sheet2!A:B,2,0)</f>
        <v>NITIN PRANAMI</v>
      </c>
      <c r="L1591" s="17" t="n">
        <v>5</v>
      </c>
      <c r="M1591" s="17" t="str">
        <f aca="false">VLOOKUP(L1591,Sheet2!D:E,2,0)</f>
        <v>Main Processor CPU BGA</v>
      </c>
      <c r="N1591" s="17" t="n">
        <v>24</v>
      </c>
      <c r="O1591" s="17" t="str">
        <f aca="false">VLOOKUP(N1591,Sheet2!G:H,2,0)</f>
        <v>STB Auto moving -Stand by mode</v>
      </c>
      <c r="P1591" s="17" t="n">
        <v>12</v>
      </c>
      <c r="Q1591" s="17" t="str">
        <f aca="false">VLOOKUP(P1591,Sheet2!J:K,2,0)</f>
        <v>IR Declared due to Others ( IR Normal)TB</v>
      </c>
      <c r="R1591" s="17" t="s">
        <v>35</v>
      </c>
      <c r="S1591" s="17" t="str">
        <f aca="false">VLOOKUP(R1591,Sheet2!N:O,2,0)</f>
        <v>IREPARABLE</v>
      </c>
      <c r="T1591" s="18" t="str">
        <f aca="false">VLOOKUP(P1591,Sheet2!Q:R,2,0)</f>
        <v>IR Normal - BER to IR</v>
      </c>
      <c r="U1591" s="18" t="s">
        <v>101</v>
      </c>
      <c r="V1591" s="17" t="n">
        <v>8</v>
      </c>
      <c r="W1591" s="20" t="str">
        <f aca="false">VLOOKUP(V1591,Sheet2!Q:R,2,0)</f>
        <v>IR Normal -TrackRust/InternalDamage/open</v>
      </c>
      <c r="X1591" s="17" t="str">
        <f aca="false">J1591</f>
        <v>A031</v>
      </c>
      <c r="Y1591" s="17" t="str">
        <f aca="false">VLOOKUP(X1591,Sheet2!A:B,2,0)</f>
        <v>NITIN PRANAMI</v>
      </c>
      <c r="Z1591" s="17" t="s">
        <v>811</v>
      </c>
      <c r="AA1591" s="17" t="s">
        <v>798</v>
      </c>
      <c r="AB1591" s="17" t="s">
        <v>41</v>
      </c>
      <c r="AC1591" s="0" t="str">
        <f aca="false">LEFT(G1591,2)</f>
        <v>28</v>
      </c>
      <c r="AE1591" s="21" t="s">
        <v>506</v>
      </c>
    </row>
    <row r="1592" customFormat="false" ht="15" hidden="false" customHeight="false" outlineLevel="0" collapsed="false">
      <c r="A1592" s="13" t="n">
        <f aca="false">1+A1591</f>
        <v>1590</v>
      </c>
      <c r="B1592" s="14" t="n">
        <v>1009635163</v>
      </c>
      <c r="C1592" s="15" t="s">
        <v>182</v>
      </c>
      <c r="D1592" s="16" t="s">
        <v>64</v>
      </c>
      <c r="E1592" s="17" t="s">
        <v>543</v>
      </c>
      <c r="F1592" s="18" t="s">
        <v>34</v>
      </c>
      <c r="G1592" s="19" t="n">
        <v>288091124462</v>
      </c>
      <c r="H1592" s="17" t="s">
        <v>35</v>
      </c>
      <c r="I1592" s="17" t="s">
        <v>74</v>
      </c>
      <c r="J1592" s="17" t="s">
        <v>111</v>
      </c>
      <c r="K1592" s="17" t="str">
        <f aca="false">VLOOKUP(J1592,Sheet2!A:B,2,0)</f>
        <v>NITIN PRANAMI</v>
      </c>
      <c r="L1592" s="17" t="n">
        <v>1</v>
      </c>
      <c r="M1592" s="17" t="str">
        <f aca="false">VLOOKUP(L1592,Sheet2!D:E,2,0)</f>
        <v>Power Supply Section</v>
      </c>
      <c r="N1592" s="17" t="n">
        <v>1</v>
      </c>
      <c r="O1592" s="17" t="str">
        <f aca="false">VLOOKUP(N1592,Sheet2!G:H,2,0)</f>
        <v>Dead</v>
      </c>
      <c r="P1592" s="17" t="n">
        <v>11</v>
      </c>
      <c r="Q1592" s="17" t="str">
        <f aca="false">VLOOKUP(P1592,Sheet2!J:K,2,0)</f>
        <v>IR Declared due to CID -TA</v>
      </c>
      <c r="R1592" s="17" t="s">
        <v>35</v>
      </c>
      <c r="S1592" s="17" t="str">
        <f aca="false">VLOOKUP(R1592,Sheet2!N:O,2,0)</f>
        <v>IREPARABLE</v>
      </c>
      <c r="T1592" s="18" t="str">
        <f aca="false">VLOOKUP(P1592,Sheet2!Q:R,2,0)</f>
        <v>IR Normal - Track burn out</v>
      </c>
      <c r="U1592" s="18" t="s">
        <v>122</v>
      </c>
      <c r="V1592" s="17" t="n">
        <v>2</v>
      </c>
      <c r="W1592" s="20" t="str">
        <f aca="false">VLOOKUP(V1592,Sheet2!Q:R,2,0)</f>
        <v>IR CID -  Water log from other area</v>
      </c>
      <c r="X1592" s="17" t="str">
        <f aca="false">J1592</f>
        <v>A031</v>
      </c>
      <c r="Y1592" s="17" t="str">
        <f aca="false">VLOOKUP(X1592,Sheet2!A:B,2,0)</f>
        <v>NITIN PRANAMI</v>
      </c>
      <c r="Z1592" s="17" t="s">
        <v>812</v>
      </c>
      <c r="AA1592" s="17" t="s">
        <v>798</v>
      </c>
      <c r="AB1592" s="17" t="s">
        <v>41</v>
      </c>
      <c r="AC1592" s="0" t="str">
        <f aca="false">LEFT(G1592,2)</f>
        <v>28</v>
      </c>
      <c r="AE1592" s="21" t="s">
        <v>506</v>
      </c>
    </row>
    <row r="1593" customFormat="false" ht="15" hidden="false" customHeight="false" outlineLevel="0" collapsed="false">
      <c r="A1593" s="13" t="n">
        <f aca="false">1+A1592</f>
        <v>1591</v>
      </c>
      <c r="B1593" s="14" t="n">
        <v>1009626053</v>
      </c>
      <c r="C1593" s="15" t="s">
        <v>163</v>
      </c>
      <c r="D1593" s="16" t="s">
        <v>64</v>
      </c>
      <c r="E1593" s="17" t="s">
        <v>64</v>
      </c>
      <c r="F1593" s="18" t="s">
        <v>34</v>
      </c>
      <c r="G1593" s="19" t="n">
        <v>277306108469</v>
      </c>
      <c r="H1593" s="17" t="s">
        <v>35</v>
      </c>
      <c r="I1593" s="17" t="s">
        <v>74</v>
      </c>
      <c r="J1593" s="17" t="s">
        <v>289</v>
      </c>
      <c r="K1593" s="17" t="str">
        <f aca="false">VLOOKUP(J1593,Sheet2!A:B,2,0)</f>
        <v>AJAY KOSHTI</v>
      </c>
      <c r="L1593" s="17" t="n">
        <v>1</v>
      </c>
      <c r="M1593" s="17" t="str">
        <f aca="false">VLOOKUP(L1593,Sheet2!D:E,2,0)</f>
        <v>Power Supply Section</v>
      </c>
      <c r="N1593" s="17" t="n">
        <v>1</v>
      </c>
      <c r="O1593" s="17" t="str">
        <f aca="false">VLOOKUP(N1593,Sheet2!G:H,2,0)</f>
        <v>Dead</v>
      </c>
      <c r="P1593" s="17" t="n">
        <v>11</v>
      </c>
      <c r="Q1593" s="17" t="str">
        <f aca="false">VLOOKUP(P1593,Sheet2!J:K,2,0)</f>
        <v>IR Declared due to CID -TA</v>
      </c>
      <c r="R1593" s="17" t="s">
        <v>35</v>
      </c>
      <c r="S1593" s="17" t="str">
        <f aca="false">VLOOKUP(R1593,Sheet2!N:O,2,0)</f>
        <v>IREPARABLE</v>
      </c>
      <c r="T1593" s="18" t="str">
        <f aca="false">VLOOKUP(P1593,Sheet2!Q:R,2,0)</f>
        <v>IR Normal - Track burn out</v>
      </c>
      <c r="U1593" s="18" t="s">
        <v>122</v>
      </c>
      <c r="V1593" s="17" t="n">
        <v>2</v>
      </c>
      <c r="W1593" s="20" t="str">
        <f aca="false">VLOOKUP(V1593,Sheet2!Q:R,2,0)</f>
        <v>IR CID -  Water log from other area</v>
      </c>
      <c r="X1593" s="17" t="str">
        <f aca="false">J1593</f>
        <v>A051</v>
      </c>
      <c r="Y1593" s="17" t="str">
        <f aca="false">VLOOKUP(X1593,Sheet2!A:B,2,0)</f>
        <v>AJAY KOSHTI</v>
      </c>
      <c r="Z1593" s="17" t="s">
        <v>813</v>
      </c>
      <c r="AA1593" s="17" t="s">
        <v>798</v>
      </c>
      <c r="AB1593" s="17" t="s">
        <v>41</v>
      </c>
      <c r="AC1593" s="0" t="str">
        <f aca="false">LEFT(G1593,2)</f>
        <v>27</v>
      </c>
      <c r="AE1593" s="21" t="s">
        <v>506</v>
      </c>
    </row>
    <row r="1594" customFormat="false" ht="15" hidden="false" customHeight="false" outlineLevel="0" collapsed="false">
      <c r="A1594" s="13" t="n">
        <f aca="false">1+A1593</f>
        <v>1592</v>
      </c>
      <c r="B1594" s="14" t="n">
        <v>1009533307</v>
      </c>
      <c r="C1594" s="15" t="s">
        <v>174</v>
      </c>
      <c r="D1594" s="16" t="s">
        <v>103</v>
      </c>
      <c r="E1594" s="17" t="s">
        <v>33</v>
      </c>
      <c r="F1594" s="18" t="s">
        <v>34</v>
      </c>
      <c r="G1594" s="19" t="n">
        <v>277261115913</v>
      </c>
      <c r="H1594" s="17" t="s">
        <v>35</v>
      </c>
      <c r="I1594" s="17" t="s">
        <v>74</v>
      </c>
      <c r="J1594" s="17" t="s">
        <v>239</v>
      </c>
      <c r="K1594" s="17" t="str">
        <f aca="false">VLOOKUP(J1594,Sheet2!A:B,2,0)</f>
        <v>VASANT PARMAR</v>
      </c>
      <c r="L1594" s="17" t="n">
        <v>5</v>
      </c>
      <c r="M1594" s="17" t="str">
        <f aca="false">VLOOKUP(L1594,Sheet2!D:E,2,0)</f>
        <v>Main Processor CPU BGA</v>
      </c>
      <c r="N1594" s="17" t="n">
        <v>24</v>
      </c>
      <c r="O1594" s="17" t="str">
        <f aca="false">VLOOKUP(N1594,Sheet2!G:H,2,0)</f>
        <v>STB Auto moving -Stand by mode</v>
      </c>
      <c r="P1594" s="17" t="n">
        <v>11</v>
      </c>
      <c r="Q1594" s="17" t="str">
        <f aca="false">VLOOKUP(P1594,Sheet2!J:K,2,0)</f>
        <v>IR Declared due to CID -TA</v>
      </c>
      <c r="R1594" s="17" t="s">
        <v>35</v>
      </c>
      <c r="S1594" s="17" t="str">
        <f aca="false">VLOOKUP(R1594,Sheet2!N:O,2,0)</f>
        <v>IREPARABLE</v>
      </c>
      <c r="T1594" s="18" t="str">
        <f aca="false">VLOOKUP(P1594,Sheet2!Q:R,2,0)</f>
        <v>IR Normal - Track burn out</v>
      </c>
      <c r="U1594" s="18" t="s">
        <v>122</v>
      </c>
      <c r="V1594" s="17" t="n">
        <v>2</v>
      </c>
      <c r="W1594" s="20" t="str">
        <f aca="false">VLOOKUP(V1594,Sheet2!Q:R,2,0)</f>
        <v>IR CID -  Water log from other area</v>
      </c>
      <c r="X1594" s="17" t="str">
        <f aca="false">J1594</f>
        <v>A005</v>
      </c>
      <c r="Y1594" s="17" t="str">
        <f aca="false">VLOOKUP(X1594,Sheet2!A:B,2,0)</f>
        <v>VASANT PARMAR</v>
      </c>
      <c r="Z1594" s="17" t="s">
        <v>814</v>
      </c>
      <c r="AA1594" s="17" t="s">
        <v>798</v>
      </c>
      <c r="AB1594" s="17" t="s">
        <v>41</v>
      </c>
      <c r="AC1594" s="0" t="str">
        <f aca="false">LEFT(G1594,2)</f>
        <v>27</v>
      </c>
      <c r="AE1594" s="21" t="s">
        <v>506</v>
      </c>
    </row>
    <row r="1595" customFormat="false" ht="15" hidden="false" customHeight="false" outlineLevel="0" collapsed="false">
      <c r="A1595" s="13" t="n">
        <f aca="false">1+A1594</f>
        <v>1593</v>
      </c>
      <c r="B1595" s="14" t="n">
        <v>1009675882</v>
      </c>
      <c r="C1595" s="15" t="s">
        <v>436</v>
      </c>
      <c r="D1595" s="16" t="s">
        <v>147</v>
      </c>
      <c r="E1595" s="17" t="s">
        <v>815</v>
      </c>
      <c r="F1595" s="18" t="s">
        <v>34</v>
      </c>
      <c r="G1595" s="19" t="n">
        <v>288151112803</v>
      </c>
      <c r="H1595" s="17" t="s">
        <v>35</v>
      </c>
      <c r="I1595" s="17" t="s">
        <v>74</v>
      </c>
      <c r="J1595" s="17" t="s">
        <v>111</v>
      </c>
      <c r="K1595" s="17" t="str">
        <f aca="false">VLOOKUP(J1595,Sheet2!A:B,2,0)</f>
        <v>NITIN PRANAMI</v>
      </c>
      <c r="L1595" s="17" t="n">
        <v>5</v>
      </c>
      <c r="M1595" s="17" t="str">
        <f aca="false">VLOOKUP(L1595,Sheet2!D:E,2,0)</f>
        <v>Main Processor CPU BGA</v>
      </c>
      <c r="N1595" s="17" t="n">
        <v>24</v>
      </c>
      <c r="O1595" s="17" t="str">
        <f aca="false">VLOOKUP(N1595,Sheet2!G:H,2,0)</f>
        <v>STB Auto moving -Stand by mode</v>
      </c>
      <c r="P1595" s="17" t="n">
        <v>12</v>
      </c>
      <c r="Q1595" s="17" t="str">
        <f aca="false">VLOOKUP(P1595,Sheet2!J:K,2,0)</f>
        <v>IR Declared due to Others ( IR Normal)TB</v>
      </c>
      <c r="R1595" s="17" t="s">
        <v>35</v>
      </c>
      <c r="S1595" s="17" t="str">
        <f aca="false">VLOOKUP(R1595,Sheet2!N:O,2,0)</f>
        <v>IREPARABLE</v>
      </c>
      <c r="T1595" s="18" t="str">
        <f aca="false">VLOOKUP(P1595,Sheet2!Q:R,2,0)</f>
        <v>IR Normal - BER to IR</v>
      </c>
      <c r="U1595" s="18" t="s">
        <v>101</v>
      </c>
      <c r="V1595" s="17" t="n">
        <v>8</v>
      </c>
      <c r="W1595" s="20" t="str">
        <f aca="false">VLOOKUP(V1595,Sheet2!Q:R,2,0)</f>
        <v>IR Normal -TrackRust/InternalDamage/open</v>
      </c>
      <c r="X1595" s="17" t="str">
        <f aca="false">J1595</f>
        <v>A031</v>
      </c>
      <c r="Y1595" s="17" t="str">
        <f aca="false">VLOOKUP(X1595,Sheet2!A:B,2,0)</f>
        <v>NITIN PRANAMI</v>
      </c>
      <c r="Z1595" s="17" t="s">
        <v>811</v>
      </c>
      <c r="AA1595" s="17" t="s">
        <v>798</v>
      </c>
      <c r="AB1595" s="17" t="s">
        <v>41</v>
      </c>
      <c r="AC1595" s="0" t="str">
        <f aca="false">LEFT(G1595,2)</f>
        <v>28</v>
      </c>
      <c r="AE1595" s="21" t="s">
        <v>506</v>
      </c>
    </row>
    <row r="1596" customFormat="false" ht="15" hidden="false" customHeight="false" outlineLevel="0" collapsed="false">
      <c r="A1596" s="13" t="n">
        <f aca="false">1+A1595</f>
        <v>1594</v>
      </c>
      <c r="B1596" s="14" t="n">
        <v>1009605729</v>
      </c>
      <c r="C1596" s="15" t="s">
        <v>181</v>
      </c>
      <c r="D1596" s="16" t="s">
        <v>64</v>
      </c>
      <c r="E1596" s="17" t="s">
        <v>64</v>
      </c>
      <c r="F1596" s="18" t="s">
        <v>34</v>
      </c>
      <c r="G1596" s="19" t="n">
        <v>277261111888</v>
      </c>
      <c r="H1596" s="17" t="s">
        <v>35</v>
      </c>
      <c r="I1596" s="17" t="s">
        <v>74</v>
      </c>
      <c r="J1596" s="17" t="s">
        <v>289</v>
      </c>
      <c r="K1596" s="17" t="str">
        <f aca="false">VLOOKUP(J1596,Sheet2!A:B,2,0)</f>
        <v>AJAY KOSHTI</v>
      </c>
      <c r="L1596" s="17" t="n">
        <v>11</v>
      </c>
      <c r="M1596" s="17" t="str">
        <f aca="false">VLOOKUP(L1596,Sheet2!D:E,2,0)</f>
        <v>HDMI Section</v>
      </c>
      <c r="N1596" s="17" t="n">
        <v>1</v>
      </c>
      <c r="O1596" s="17" t="str">
        <f aca="false">VLOOKUP(N1596,Sheet2!G:H,2,0)</f>
        <v>Dead</v>
      </c>
      <c r="P1596" s="17" t="n">
        <v>11</v>
      </c>
      <c r="Q1596" s="17" t="str">
        <f aca="false">VLOOKUP(P1596,Sheet2!J:K,2,0)</f>
        <v>IR Declared due to CID -TA</v>
      </c>
      <c r="R1596" s="17" t="s">
        <v>35</v>
      </c>
      <c r="S1596" s="17" t="str">
        <f aca="false">VLOOKUP(R1596,Sheet2!N:O,2,0)</f>
        <v>IREPARABLE</v>
      </c>
      <c r="T1596" s="18" t="str">
        <f aca="false">VLOOKUP(P1596,Sheet2!Q:R,2,0)</f>
        <v>IR Normal - Track burn out</v>
      </c>
      <c r="U1596" s="18" t="s">
        <v>122</v>
      </c>
      <c r="V1596" s="17" t="n">
        <v>2</v>
      </c>
      <c r="W1596" s="20" t="str">
        <f aca="false">VLOOKUP(V1596,Sheet2!Q:R,2,0)</f>
        <v>IR CID -  Water log from other area</v>
      </c>
      <c r="X1596" s="17" t="str">
        <f aca="false">J1596</f>
        <v>A051</v>
      </c>
      <c r="Y1596" s="17" t="str">
        <f aca="false">VLOOKUP(X1596,Sheet2!A:B,2,0)</f>
        <v>AJAY KOSHTI</v>
      </c>
      <c r="Z1596" s="17" t="s">
        <v>813</v>
      </c>
      <c r="AA1596" s="17" t="s">
        <v>798</v>
      </c>
      <c r="AB1596" s="17" t="s">
        <v>41</v>
      </c>
      <c r="AC1596" s="0" t="str">
        <f aca="false">LEFT(G1596,2)</f>
        <v>27</v>
      </c>
      <c r="AE1596" s="21" t="s">
        <v>506</v>
      </c>
    </row>
    <row r="1597" customFormat="false" ht="15" hidden="false" customHeight="false" outlineLevel="0" collapsed="false">
      <c r="A1597" s="13" t="n">
        <f aca="false">1+A1596</f>
        <v>1595</v>
      </c>
      <c r="B1597" s="14" t="n">
        <v>1009635322</v>
      </c>
      <c r="C1597" s="15" t="s">
        <v>182</v>
      </c>
      <c r="D1597" s="16" t="s">
        <v>64</v>
      </c>
      <c r="E1597" s="17" t="s">
        <v>47</v>
      </c>
      <c r="F1597" s="18" t="s">
        <v>34</v>
      </c>
      <c r="G1597" s="19" t="n">
        <v>752222322493</v>
      </c>
      <c r="H1597" s="17" t="s">
        <v>35</v>
      </c>
      <c r="I1597" s="17" t="s">
        <v>54</v>
      </c>
      <c r="J1597" s="17" t="s">
        <v>121</v>
      </c>
      <c r="K1597" s="17" t="str">
        <f aca="false">VLOOKUP(J1597,Sheet2!A:B,2,0)</f>
        <v>SHANI GOHIL</v>
      </c>
      <c r="L1597" s="17" t="n">
        <v>2</v>
      </c>
      <c r="M1597" s="17" t="str">
        <f aca="false">VLOOKUP(L1597,Sheet2!D:E,2,0)</f>
        <v>Tuner Section</v>
      </c>
      <c r="N1597" s="17" t="n">
        <v>6</v>
      </c>
      <c r="O1597" s="17" t="str">
        <f aca="false">VLOOKUP(N1597,Sheet2!G:H,2,0)</f>
        <v>No Signal</v>
      </c>
      <c r="P1597" s="17" t="n">
        <v>11</v>
      </c>
      <c r="Q1597" s="17" t="str">
        <f aca="false">VLOOKUP(P1597,Sheet2!J:K,2,0)</f>
        <v>IR Declared due to CID -TA</v>
      </c>
      <c r="R1597" s="17" t="s">
        <v>35</v>
      </c>
      <c r="S1597" s="17" t="str">
        <f aca="false">VLOOKUP(R1597,Sheet2!N:O,2,0)</f>
        <v>IREPARABLE</v>
      </c>
      <c r="T1597" s="18" t="str">
        <f aca="false">VLOOKUP(P1597,Sheet2!Q:R,2,0)</f>
        <v>IR Normal - Track burn out</v>
      </c>
      <c r="U1597" s="18" t="s">
        <v>122</v>
      </c>
      <c r="V1597" s="17" t="n">
        <v>2</v>
      </c>
      <c r="W1597" s="20" t="str">
        <f aca="false">VLOOKUP(V1597,Sheet2!Q:R,2,0)</f>
        <v>IR CID -  Water log from other area</v>
      </c>
      <c r="X1597" s="17" t="str">
        <f aca="false">J1597</f>
        <v>A063</v>
      </c>
      <c r="Y1597" s="17" t="str">
        <f aca="false">VLOOKUP(X1597,Sheet2!A:B,2,0)</f>
        <v>SHANI GOHIL</v>
      </c>
      <c r="Z1597" s="17" t="s">
        <v>409</v>
      </c>
      <c r="AA1597" s="17" t="s">
        <v>798</v>
      </c>
      <c r="AB1597" s="17" t="s">
        <v>41</v>
      </c>
      <c r="AC1597" s="0" t="str">
        <f aca="false">LEFT(G1597,2)</f>
        <v>75</v>
      </c>
      <c r="AE1597" s="21" t="s">
        <v>506</v>
      </c>
    </row>
    <row r="1598" customFormat="false" ht="15" hidden="false" customHeight="false" outlineLevel="0" collapsed="false">
      <c r="A1598" s="13" t="n">
        <f aca="false">1+A1597</f>
        <v>1596</v>
      </c>
      <c r="B1598" s="14" t="n">
        <v>1009686059</v>
      </c>
      <c r="C1598" s="15" t="s">
        <v>449</v>
      </c>
      <c r="D1598" s="16" t="s">
        <v>175</v>
      </c>
      <c r="E1598" s="17" t="s">
        <v>176</v>
      </c>
      <c r="F1598" s="18" t="s">
        <v>34</v>
      </c>
      <c r="G1598" s="19" t="n">
        <v>865169103245</v>
      </c>
      <c r="H1598" s="17" t="s">
        <v>35</v>
      </c>
      <c r="I1598" s="17" t="s">
        <v>72</v>
      </c>
      <c r="J1598" s="17" t="s">
        <v>111</v>
      </c>
      <c r="K1598" s="17" t="str">
        <f aca="false">VLOOKUP(J1598,Sheet2!A:B,2,0)</f>
        <v>NITIN PRANAMI</v>
      </c>
      <c r="L1598" s="17" t="n">
        <v>7</v>
      </c>
      <c r="M1598" s="17" t="str">
        <f aca="false">VLOOKUP(L1598,Sheet2!D:E,2,0)</f>
        <v>Card Reader Section</v>
      </c>
      <c r="N1598" s="17" t="n">
        <v>36</v>
      </c>
      <c r="O1598" s="17" t="str">
        <f aca="false">VLOOKUP(N1598,Sheet2!G:H,2,0)</f>
        <v>Error -1</v>
      </c>
      <c r="P1598" s="17" t="n">
        <v>12</v>
      </c>
      <c r="Q1598" s="17" t="str">
        <f aca="false">VLOOKUP(P1598,Sheet2!J:K,2,0)</f>
        <v>IR Declared due to Others ( IR Normal)TB</v>
      </c>
      <c r="R1598" s="17" t="s">
        <v>35</v>
      </c>
      <c r="S1598" s="17" t="str">
        <f aca="false">VLOOKUP(R1598,Sheet2!N:O,2,0)</f>
        <v>IREPARABLE</v>
      </c>
      <c r="T1598" s="18" t="str">
        <f aca="false">VLOOKUP(P1598,Sheet2!Q:R,2,0)</f>
        <v>IR Normal - BER to IR</v>
      </c>
      <c r="U1598" s="18" t="s">
        <v>101</v>
      </c>
      <c r="V1598" s="17" t="n">
        <v>8</v>
      </c>
      <c r="W1598" s="20" t="str">
        <f aca="false">VLOOKUP(V1598,Sheet2!Q:R,2,0)</f>
        <v>IR Normal -TrackRust/InternalDamage/open</v>
      </c>
      <c r="X1598" s="17" t="str">
        <f aca="false">J1598</f>
        <v>A031</v>
      </c>
      <c r="Y1598" s="17" t="str">
        <f aca="false">VLOOKUP(X1598,Sheet2!A:B,2,0)</f>
        <v>NITIN PRANAMI</v>
      </c>
      <c r="Z1598" s="17" t="s">
        <v>816</v>
      </c>
      <c r="AA1598" s="17" t="s">
        <v>798</v>
      </c>
      <c r="AB1598" s="17" t="s">
        <v>41</v>
      </c>
      <c r="AC1598" s="0" t="str">
        <f aca="false">LEFT(G1598,2)</f>
        <v>86</v>
      </c>
      <c r="AE1598" s="21" t="s">
        <v>506</v>
      </c>
    </row>
    <row r="1599" customFormat="false" ht="15" hidden="false" customHeight="false" outlineLevel="0" collapsed="false">
      <c r="A1599" s="13" t="n">
        <f aca="false">1+A1598</f>
        <v>1597</v>
      </c>
      <c r="B1599" s="14" t="n">
        <v>1009684323</v>
      </c>
      <c r="C1599" s="15" t="s">
        <v>413</v>
      </c>
      <c r="D1599" s="16" t="s">
        <v>64</v>
      </c>
      <c r="E1599" s="17" t="s">
        <v>33</v>
      </c>
      <c r="F1599" s="18" t="s">
        <v>34</v>
      </c>
      <c r="G1599" s="19" t="n">
        <v>865244205775</v>
      </c>
      <c r="H1599" s="17" t="s">
        <v>35</v>
      </c>
      <c r="I1599" s="17" t="s">
        <v>72</v>
      </c>
      <c r="J1599" s="17" t="s">
        <v>111</v>
      </c>
      <c r="K1599" s="17" t="str">
        <f aca="false">VLOOKUP(J1599,Sheet2!A:B,2,0)</f>
        <v>NITIN PRANAMI</v>
      </c>
      <c r="L1599" s="17" t="n">
        <v>1</v>
      </c>
      <c r="M1599" s="17" t="str">
        <f aca="false">VLOOKUP(L1599,Sheet2!D:E,2,0)</f>
        <v>Power Supply Section</v>
      </c>
      <c r="N1599" s="17" t="n">
        <v>1</v>
      </c>
      <c r="O1599" s="17" t="str">
        <f aca="false">VLOOKUP(N1599,Sheet2!G:H,2,0)</f>
        <v>Dead</v>
      </c>
      <c r="P1599" s="17" t="n">
        <v>12</v>
      </c>
      <c r="Q1599" s="17" t="str">
        <f aca="false">VLOOKUP(P1599,Sheet2!J:K,2,0)</f>
        <v>IR Declared due to Others ( IR Normal)TB</v>
      </c>
      <c r="R1599" s="17" t="s">
        <v>35</v>
      </c>
      <c r="S1599" s="17" t="str">
        <f aca="false">VLOOKUP(R1599,Sheet2!N:O,2,0)</f>
        <v>IREPARABLE</v>
      </c>
      <c r="T1599" s="18" t="str">
        <f aca="false">VLOOKUP(P1599,Sheet2!Q:R,2,0)</f>
        <v>IR Normal - BER to IR</v>
      </c>
      <c r="U1599" s="18" t="s">
        <v>101</v>
      </c>
      <c r="V1599" s="17" t="n">
        <v>8</v>
      </c>
      <c r="W1599" s="20" t="str">
        <f aca="false">VLOOKUP(V1599,Sheet2!Q:R,2,0)</f>
        <v>IR Normal -TrackRust/InternalDamage/open</v>
      </c>
      <c r="X1599" s="17" t="str">
        <f aca="false">J1599</f>
        <v>A031</v>
      </c>
      <c r="Y1599" s="17" t="str">
        <f aca="false">VLOOKUP(X1599,Sheet2!A:B,2,0)</f>
        <v>NITIN PRANAMI</v>
      </c>
      <c r="Z1599" s="17" t="s">
        <v>817</v>
      </c>
      <c r="AA1599" s="17" t="s">
        <v>798</v>
      </c>
      <c r="AB1599" s="17" t="s">
        <v>41</v>
      </c>
      <c r="AC1599" s="0" t="str">
        <f aca="false">LEFT(G1599,2)</f>
        <v>86</v>
      </c>
      <c r="AE1599" s="21" t="s">
        <v>506</v>
      </c>
    </row>
    <row r="1600" customFormat="false" ht="15" hidden="false" customHeight="false" outlineLevel="0" collapsed="false">
      <c r="A1600" s="13" t="n">
        <f aca="false">1+A1599</f>
        <v>1598</v>
      </c>
      <c r="B1600" s="14" t="n">
        <v>1009634151</v>
      </c>
      <c r="C1600" s="15" t="s">
        <v>163</v>
      </c>
      <c r="D1600" s="16" t="s">
        <v>64</v>
      </c>
      <c r="E1600" s="17" t="s">
        <v>64</v>
      </c>
      <c r="F1600" s="18" t="s">
        <v>34</v>
      </c>
      <c r="G1600" s="19" t="n">
        <v>866020202945</v>
      </c>
      <c r="H1600" s="17" t="s">
        <v>35</v>
      </c>
      <c r="I1600" s="17" t="s">
        <v>72</v>
      </c>
      <c r="J1600" s="17" t="s">
        <v>115</v>
      </c>
      <c r="K1600" s="17" t="str">
        <f aca="false">VLOOKUP(J1600,Sheet2!A:B,2,0)</f>
        <v>ANKIT RANA</v>
      </c>
      <c r="L1600" s="17" t="n">
        <v>2</v>
      </c>
      <c r="M1600" s="17" t="str">
        <f aca="false">VLOOKUP(L1600,Sheet2!D:E,2,0)</f>
        <v>Tuner Section</v>
      </c>
      <c r="N1600" s="17" t="n">
        <v>6</v>
      </c>
      <c r="O1600" s="17" t="str">
        <f aca="false">VLOOKUP(N1600,Sheet2!G:H,2,0)</f>
        <v>No Signal</v>
      </c>
      <c r="P1600" s="17" t="n">
        <v>11</v>
      </c>
      <c r="Q1600" s="17" t="str">
        <f aca="false">VLOOKUP(P1600,Sheet2!J:K,2,0)</f>
        <v>IR Declared due to CID -TA</v>
      </c>
      <c r="R1600" s="17" t="s">
        <v>35</v>
      </c>
      <c r="S1600" s="17" t="str">
        <f aca="false">VLOOKUP(R1600,Sheet2!N:O,2,0)</f>
        <v>IREPARABLE</v>
      </c>
      <c r="T1600" s="18" t="str">
        <f aca="false">VLOOKUP(P1600,Sheet2!Q:R,2,0)</f>
        <v>IR Normal - Track burn out</v>
      </c>
      <c r="U1600" s="20" t="s">
        <v>635</v>
      </c>
      <c r="V1600" s="17" t="n">
        <v>5</v>
      </c>
      <c r="W1600" s="20" t="str">
        <f aca="false">VLOOKUP(V1600,Sheet2!Q:R,2,0)</f>
        <v>IR CID - Water log fully due to Flood</v>
      </c>
      <c r="X1600" s="17" t="str">
        <f aca="false">J1600</f>
        <v>A042</v>
      </c>
      <c r="Y1600" s="17" t="str">
        <f aca="false">VLOOKUP(X1600,Sheet2!A:B,2,0)</f>
        <v>ANKIT RANA</v>
      </c>
      <c r="Z1600" s="17" t="s">
        <v>818</v>
      </c>
      <c r="AA1600" s="17" t="s">
        <v>798</v>
      </c>
      <c r="AB1600" s="17" t="s">
        <v>41</v>
      </c>
      <c r="AC1600" s="0" t="str">
        <f aca="false">LEFT(G1600,2)</f>
        <v>86</v>
      </c>
      <c r="AE1600" s="21" t="s">
        <v>506</v>
      </c>
    </row>
    <row r="1601" customFormat="false" ht="15" hidden="false" customHeight="false" outlineLevel="0" collapsed="false">
      <c r="A1601" s="13" t="n">
        <f aca="false">1+A1600</f>
        <v>1599</v>
      </c>
      <c r="B1601" s="14" t="n">
        <v>1009678498</v>
      </c>
      <c r="C1601" s="15" t="s">
        <v>436</v>
      </c>
      <c r="D1601" s="16" t="s">
        <v>32</v>
      </c>
      <c r="E1601" s="17" t="s">
        <v>255</v>
      </c>
      <c r="F1601" s="18" t="s">
        <v>34</v>
      </c>
      <c r="G1601" s="19" t="n">
        <v>868081143232</v>
      </c>
      <c r="H1601" s="17" t="s">
        <v>35</v>
      </c>
      <c r="I1601" s="17" t="s">
        <v>72</v>
      </c>
      <c r="J1601" s="17" t="s">
        <v>267</v>
      </c>
      <c r="K1601" s="17" t="str">
        <f aca="false">VLOOKUP(J1601,Sheet2!A:B,2,0)</f>
        <v>HARIRAM GUPTA</v>
      </c>
      <c r="L1601" s="17" t="n">
        <v>5</v>
      </c>
      <c r="M1601" s="17" t="str">
        <f aca="false">VLOOKUP(L1601,Sheet2!D:E,2,0)</f>
        <v>Main Processor CPU BGA</v>
      </c>
      <c r="N1601" s="17" t="n">
        <v>24</v>
      </c>
      <c r="O1601" s="17" t="str">
        <f aca="false">VLOOKUP(N1601,Sheet2!G:H,2,0)</f>
        <v>STB Auto moving -Stand by mode</v>
      </c>
      <c r="P1601" s="17" t="n">
        <v>12</v>
      </c>
      <c r="Q1601" s="17" t="str">
        <f aca="false">VLOOKUP(P1601,Sheet2!J:K,2,0)</f>
        <v>IR Declared due to Others ( IR Normal)TB</v>
      </c>
      <c r="R1601" s="17" t="s">
        <v>35</v>
      </c>
      <c r="S1601" s="17" t="str">
        <f aca="false">VLOOKUP(R1601,Sheet2!N:O,2,0)</f>
        <v>IREPARABLE</v>
      </c>
      <c r="T1601" s="18" t="str">
        <f aca="false">VLOOKUP(P1601,Sheet2!Q:R,2,0)</f>
        <v>IR Normal - BER to IR</v>
      </c>
      <c r="U1601" s="18" t="s">
        <v>101</v>
      </c>
      <c r="V1601" s="17" t="n">
        <v>8</v>
      </c>
      <c r="W1601" s="20" t="str">
        <f aca="false">VLOOKUP(V1601,Sheet2!Q:R,2,0)</f>
        <v>IR Normal -TrackRust/InternalDamage/open</v>
      </c>
      <c r="X1601" s="17" t="str">
        <f aca="false">J1601</f>
        <v>A007</v>
      </c>
      <c r="Y1601" s="17" t="str">
        <f aca="false">VLOOKUP(X1601,Sheet2!A:B,2,0)</f>
        <v>HARIRAM GUPTA</v>
      </c>
      <c r="Z1601" s="17" t="s">
        <v>819</v>
      </c>
      <c r="AA1601" s="17" t="s">
        <v>798</v>
      </c>
      <c r="AB1601" s="17" t="s">
        <v>41</v>
      </c>
      <c r="AC1601" s="0" t="str">
        <f aca="false">LEFT(G1601,2)</f>
        <v>86</v>
      </c>
      <c r="AE1601" s="21" t="s">
        <v>506</v>
      </c>
    </row>
    <row r="1602" customFormat="false" ht="15" hidden="false" customHeight="false" outlineLevel="0" collapsed="false">
      <c r="A1602" s="13" t="n">
        <f aca="false">1+A1601</f>
        <v>1600</v>
      </c>
      <c r="B1602" s="14" t="n">
        <v>1009599790</v>
      </c>
      <c r="C1602" s="15" t="s">
        <v>159</v>
      </c>
      <c r="D1602" s="16" t="s">
        <v>64</v>
      </c>
      <c r="E1602" s="17" t="s">
        <v>64</v>
      </c>
      <c r="F1602" s="18" t="s">
        <v>34</v>
      </c>
      <c r="G1602" s="19" t="n">
        <v>865193156094</v>
      </c>
      <c r="H1602" s="17" t="s">
        <v>35</v>
      </c>
      <c r="I1602" s="17" t="s">
        <v>72</v>
      </c>
      <c r="J1602" s="17" t="s">
        <v>287</v>
      </c>
      <c r="K1602" s="17" t="str">
        <f aca="false">VLOOKUP(J1602,Sheet2!A:B,2,0)</f>
        <v>BHUPENDRA  DABHI</v>
      </c>
      <c r="L1602" s="17" t="n">
        <v>1</v>
      </c>
      <c r="M1602" s="17" t="str">
        <f aca="false">VLOOKUP(L1602,Sheet2!D:E,2,0)</f>
        <v>Power Supply Section</v>
      </c>
      <c r="N1602" s="17" t="n">
        <v>1</v>
      </c>
      <c r="O1602" s="17" t="str">
        <f aca="false">VLOOKUP(N1602,Sheet2!G:H,2,0)</f>
        <v>Dead</v>
      </c>
      <c r="P1602" s="17" t="n">
        <v>12</v>
      </c>
      <c r="Q1602" s="17" t="str">
        <f aca="false">VLOOKUP(P1602,Sheet2!J:K,2,0)</f>
        <v>IR Declared due to Others ( IR Normal)TB</v>
      </c>
      <c r="R1602" s="17" t="s">
        <v>35</v>
      </c>
      <c r="S1602" s="17" t="str">
        <f aca="false">VLOOKUP(R1602,Sheet2!N:O,2,0)</f>
        <v>IREPARABLE</v>
      </c>
      <c r="T1602" s="18" t="str">
        <f aca="false">VLOOKUP(P1602,Sheet2!Q:R,2,0)</f>
        <v>IR Normal - BER to IR</v>
      </c>
      <c r="U1602" s="15" t="s">
        <v>38</v>
      </c>
      <c r="V1602" s="17" t="n">
        <v>11</v>
      </c>
      <c r="W1602" s="20" t="str">
        <f aca="false">VLOOKUP(V1602,Sheet2!Q:R,2,0)</f>
        <v>IR Normal - Track burn out</v>
      </c>
      <c r="X1602" s="17" t="str">
        <f aca="false">J1602</f>
        <v>A010</v>
      </c>
      <c r="Y1602" s="17" t="str">
        <f aca="false">VLOOKUP(X1602,Sheet2!A:B,2,0)</f>
        <v>BHUPENDRA  DABHI</v>
      </c>
      <c r="Z1602" s="17" t="s">
        <v>251</v>
      </c>
      <c r="AA1602" s="17" t="s">
        <v>798</v>
      </c>
      <c r="AB1602" s="17" t="s">
        <v>41</v>
      </c>
      <c r="AC1602" s="0" t="str">
        <f aca="false">LEFT(G1602,2)</f>
        <v>86</v>
      </c>
      <c r="AE1602" s="21" t="s">
        <v>506</v>
      </c>
    </row>
    <row r="1603" customFormat="false" ht="15" hidden="false" customHeight="false" outlineLevel="0" collapsed="false">
      <c r="A1603" s="13" t="n">
        <f aca="false">1+A1602</f>
        <v>1601</v>
      </c>
      <c r="B1603" s="14" t="n">
        <v>1009684285</v>
      </c>
      <c r="C1603" s="15" t="s">
        <v>413</v>
      </c>
      <c r="D1603" s="16" t="s">
        <v>64</v>
      </c>
      <c r="E1603" s="17" t="s">
        <v>64</v>
      </c>
      <c r="F1603" s="18" t="s">
        <v>34</v>
      </c>
      <c r="G1603" s="19" t="n">
        <v>866014285880</v>
      </c>
      <c r="H1603" s="17" t="s">
        <v>35</v>
      </c>
      <c r="I1603" s="17" t="s">
        <v>72</v>
      </c>
      <c r="J1603" s="17" t="s">
        <v>100</v>
      </c>
      <c r="K1603" s="17" t="str">
        <f aca="false">VLOOKUP(J1603,Sheet2!A:B,2,0)</f>
        <v>PIYUSH CHAVDA</v>
      </c>
      <c r="L1603" s="17" t="n">
        <v>5</v>
      </c>
      <c r="M1603" s="17" t="str">
        <f aca="false">VLOOKUP(L1603,Sheet2!D:E,2,0)</f>
        <v>Main Processor CPU BGA</v>
      </c>
      <c r="N1603" s="17" t="n">
        <v>1</v>
      </c>
      <c r="O1603" s="17" t="str">
        <f aca="false">VLOOKUP(N1603,Sheet2!G:H,2,0)</f>
        <v>Dead</v>
      </c>
      <c r="P1603" s="17" t="n">
        <v>12</v>
      </c>
      <c r="Q1603" s="17" t="str">
        <f aca="false">VLOOKUP(P1603,Sheet2!J:K,2,0)</f>
        <v>IR Declared due to Others ( IR Normal)TB</v>
      </c>
      <c r="R1603" s="17" t="s">
        <v>35</v>
      </c>
      <c r="S1603" s="17" t="str">
        <f aca="false">VLOOKUP(R1603,Sheet2!N:O,2,0)</f>
        <v>IREPARABLE</v>
      </c>
      <c r="T1603" s="18" t="str">
        <f aca="false">VLOOKUP(P1603,Sheet2!Q:R,2,0)</f>
        <v>IR Normal - BER to IR</v>
      </c>
      <c r="U1603" s="18" t="s">
        <v>101</v>
      </c>
      <c r="V1603" s="17" t="n">
        <v>8</v>
      </c>
      <c r="W1603" s="20" t="str">
        <f aca="false">VLOOKUP(V1603,Sheet2!Q:R,2,0)</f>
        <v>IR Normal -TrackRust/InternalDamage/open</v>
      </c>
      <c r="X1603" s="17" t="str">
        <f aca="false">J1603</f>
        <v>A050</v>
      </c>
      <c r="Y1603" s="17" t="str">
        <f aca="false">VLOOKUP(X1603,Sheet2!A:B,2,0)</f>
        <v>PIYUSH CHAVDA</v>
      </c>
      <c r="Z1603" s="17" t="s">
        <v>251</v>
      </c>
      <c r="AA1603" s="17" t="s">
        <v>798</v>
      </c>
      <c r="AB1603" s="17" t="s">
        <v>41</v>
      </c>
      <c r="AC1603" s="0" t="str">
        <f aca="false">LEFT(G1603,2)</f>
        <v>86</v>
      </c>
      <c r="AE1603" s="21" t="s">
        <v>506</v>
      </c>
    </row>
    <row r="1604" customFormat="false" ht="15" hidden="false" customHeight="false" outlineLevel="0" collapsed="false">
      <c r="A1604" s="13" t="n">
        <f aca="false">1+A1603</f>
        <v>1602</v>
      </c>
      <c r="B1604" s="14" t="n">
        <v>1009558617</v>
      </c>
      <c r="C1604" s="15" t="s">
        <v>192</v>
      </c>
      <c r="D1604" s="16" t="s">
        <v>64</v>
      </c>
      <c r="E1604" s="17" t="s">
        <v>64</v>
      </c>
      <c r="F1604" s="18" t="s">
        <v>34</v>
      </c>
      <c r="G1604" s="19" t="n">
        <v>865177139298</v>
      </c>
      <c r="H1604" s="17" t="s">
        <v>35</v>
      </c>
      <c r="I1604" s="17" t="s">
        <v>72</v>
      </c>
      <c r="J1604" s="17" t="s">
        <v>267</v>
      </c>
      <c r="K1604" s="17" t="str">
        <f aca="false">VLOOKUP(J1604,Sheet2!A:B,2,0)</f>
        <v>HARIRAM GUPTA</v>
      </c>
      <c r="L1604" s="17" t="n">
        <v>1</v>
      </c>
      <c r="M1604" s="17" t="str">
        <f aca="false">VLOOKUP(L1604,Sheet2!D:E,2,0)</f>
        <v>Power Supply Section</v>
      </c>
      <c r="N1604" s="17" t="n">
        <v>1</v>
      </c>
      <c r="O1604" s="17" t="str">
        <f aca="false">VLOOKUP(N1604,Sheet2!G:H,2,0)</f>
        <v>Dead</v>
      </c>
      <c r="P1604" s="17" t="n">
        <v>12</v>
      </c>
      <c r="Q1604" s="17" t="str">
        <f aca="false">VLOOKUP(P1604,Sheet2!J:K,2,0)</f>
        <v>IR Declared due to Others ( IR Normal)TB</v>
      </c>
      <c r="R1604" s="17" t="s">
        <v>35</v>
      </c>
      <c r="S1604" s="17" t="str">
        <f aca="false">VLOOKUP(R1604,Sheet2!N:O,2,0)</f>
        <v>IREPARABLE</v>
      </c>
      <c r="T1604" s="18" t="str">
        <f aca="false">VLOOKUP(P1604,Sheet2!Q:R,2,0)</f>
        <v>IR Normal - BER to IR</v>
      </c>
      <c r="U1604" s="15" t="s">
        <v>38</v>
      </c>
      <c r="V1604" s="17" t="n">
        <v>11</v>
      </c>
      <c r="W1604" s="20" t="str">
        <f aca="false">VLOOKUP(V1604,Sheet2!Q:R,2,0)</f>
        <v>IR Normal - Track burn out</v>
      </c>
      <c r="X1604" s="17" t="str">
        <f aca="false">J1604</f>
        <v>A007</v>
      </c>
      <c r="Y1604" s="17" t="str">
        <f aca="false">VLOOKUP(X1604,Sheet2!A:B,2,0)</f>
        <v>HARIRAM GUPTA</v>
      </c>
      <c r="Z1604" s="17" t="s">
        <v>820</v>
      </c>
      <c r="AA1604" s="17" t="s">
        <v>798</v>
      </c>
      <c r="AB1604" s="17" t="s">
        <v>41</v>
      </c>
      <c r="AC1604" s="0" t="str">
        <f aca="false">LEFT(G1604,2)</f>
        <v>86</v>
      </c>
      <c r="AE1604" s="21" t="s">
        <v>506</v>
      </c>
    </row>
    <row r="1605" customFormat="false" ht="15" hidden="false" customHeight="false" outlineLevel="0" collapsed="false">
      <c r="A1605" s="13" t="n">
        <f aca="false">1+A1604</f>
        <v>1603</v>
      </c>
      <c r="B1605" s="14" t="n">
        <v>1009670463</v>
      </c>
      <c r="C1605" s="15" t="s">
        <v>436</v>
      </c>
      <c r="D1605" s="16" t="s">
        <v>119</v>
      </c>
      <c r="E1605" s="17" t="s">
        <v>64</v>
      </c>
      <c r="F1605" s="18" t="s">
        <v>34</v>
      </c>
      <c r="G1605" s="19" t="n">
        <v>866256150750</v>
      </c>
      <c r="H1605" s="17" t="s">
        <v>35</v>
      </c>
      <c r="I1605" s="17" t="s">
        <v>72</v>
      </c>
      <c r="J1605" s="17" t="s">
        <v>121</v>
      </c>
      <c r="K1605" s="17" t="str">
        <f aca="false">VLOOKUP(J1605,Sheet2!A:B,2,0)</f>
        <v>SHANI GOHIL</v>
      </c>
      <c r="L1605" s="17" t="n">
        <v>5</v>
      </c>
      <c r="M1605" s="17" t="str">
        <f aca="false">VLOOKUP(L1605,Sheet2!D:E,2,0)</f>
        <v>Main Processor CPU BGA</v>
      </c>
      <c r="N1605" s="17" t="n">
        <v>24</v>
      </c>
      <c r="O1605" s="17" t="str">
        <f aca="false">VLOOKUP(N1605,Sheet2!G:H,2,0)</f>
        <v>STB Auto moving -Stand by mode</v>
      </c>
      <c r="P1605" s="17" t="n">
        <v>12</v>
      </c>
      <c r="Q1605" s="17" t="str">
        <f aca="false">VLOOKUP(P1605,Sheet2!J:K,2,0)</f>
        <v>IR Declared due to Others ( IR Normal)TB</v>
      </c>
      <c r="R1605" s="17" t="s">
        <v>35</v>
      </c>
      <c r="S1605" s="17" t="str">
        <f aca="false">VLOOKUP(R1605,Sheet2!N:O,2,0)</f>
        <v>IREPARABLE</v>
      </c>
      <c r="T1605" s="18" t="str">
        <f aca="false">VLOOKUP(P1605,Sheet2!Q:R,2,0)</f>
        <v>IR Normal - BER to IR</v>
      </c>
      <c r="U1605" s="18" t="s">
        <v>101</v>
      </c>
      <c r="V1605" s="17" t="n">
        <v>8</v>
      </c>
      <c r="W1605" s="20" t="str">
        <f aca="false">VLOOKUP(V1605,Sheet2!Q:R,2,0)</f>
        <v>IR Normal -TrackRust/InternalDamage/open</v>
      </c>
      <c r="X1605" s="17" t="str">
        <f aca="false">J1605</f>
        <v>A063</v>
      </c>
      <c r="Y1605" s="17" t="str">
        <f aca="false">VLOOKUP(X1605,Sheet2!A:B,2,0)</f>
        <v>SHANI GOHIL</v>
      </c>
      <c r="Z1605" s="17" t="s">
        <v>821</v>
      </c>
      <c r="AA1605" s="17" t="s">
        <v>798</v>
      </c>
      <c r="AB1605" s="17" t="s">
        <v>41</v>
      </c>
      <c r="AC1605" s="0" t="str">
        <f aca="false">LEFT(G1605,2)</f>
        <v>86</v>
      </c>
      <c r="AE1605" s="21" t="s">
        <v>506</v>
      </c>
    </row>
    <row r="1606" customFormat="false" ht="15" hidden="false" customHeight="false" outlineLevel="0" collapsed="false">
      <c r="A1606" s="13" t="n">
        <f aca="false">1+A1605</f>
        <v>1604</v>
      </c>
      <c r="B1606" s="14" t="n">
        <v>1009539241</v>
      </c>
      <c r="C1606" s="15" t="s">
        <v>311</v>
      </c>
      <c r="D1606" s="16" t="s">
        <v>64</v>
      </c>
      <c r="E1606" s="17" t="s">
        <v>47</v>
      </c>
      <c r="F1606" s="18" t="s">
        <v>34</v>
      </c>
      <c r="G1606" s="19" t="n">
        <v>866298159702</v>
      </c>
      <c r="H1606" s="17" t="s">
        <v>35</v>
      </c>
      <c r="I1606" s="17" t="s">
        <v>72</v>
      </c>
      <c r="J1606" s="17" t="s">
        <v>239</v>
      </c>
      <c r="K1606" s="17" t="str">
        <f aca="false">VLOOKUP(J1606,Sheet2!A:B,2,0)</f>
        <v>VASANT PARMAR</v>
      </c>
      <c r="L1606" s="17" t="n">
        <v>5</v>
      </c>
      <c r="M1606" s="17" t="str">
        <f aca="false">VLOOKUP(L1606,Sheet2!D:E,2,0)</f>
        <v>Main Processor CPU BGA</v>
      </c>
      <c r="N1606" s="17" t="n">
        <v>1</v>
      </c>
      <c r="O1606" s="17" t="str">
        <f aca="false">VLOOKUP(N1606,Sheet2!G:H,2,0)</f>
        <v>Dead</v>
      </c>
      <c r="P1606" s="17" t="n">
        <v>11</v>
      </c>
      <c r="Q1606" s="17" t="str">
        <f aca="false">VLOOKUP(P1606,Sheet2!J:K,2,0)</f>
        <v>IR Declared due to CID -TA</v>
      </c>
      <c r="R1606" s="17" t="s">
        <v>35</v>
      </c>
      <c r="S1606" s="17" t="str">
        <f aca="false">VLOOKUP(R1606,Sheet2!N:O,2,0)</f>
        <v>IREPARABLE</v>
      </c>
      <c r="T1606" s="18" t="str">
        <f aca="false">VLOOKUP(P1606,Sheet2!Q:R,2,0)</f>
        <v>IR Normal - Track burn out</v>
      </c>
      <c r="U1606" s="18" t="s">
        <v>122</v>
      </c>
      <c r="V1606" s="17" t="n">
        <v>2</v>
      </c>
      <c r="W1606" s="20" t="str">
        <f aca="false">VLOOKUP(V1606,Sheet2!Q:R,2,0)</f>
        <v>IR CID -  Water log from other area</v>
      </c>
      <c r="X1606" s="17" t="str">
        <f aca="false">J1606</f>
        <v>A005</v>
      </c>
      <c r="Y1606" s="17" t="str">
        <f aca="false">VLOOKUP(X1606,Sheet2!A:B,2,0)</f>
        <v>VASANT PARMAR</v>
      </c>
      <c r="Z1606" s="17" t="s">
        <v>822</v>
      </c>
      <c r="AA1606" s="17" t="s">
        <v>798</v>
      </c>
      <c r="AB1606" s="17" t="s">
        <v>41</v>
      </c>
      <c r="AC1606" s="0" t="str">
        <f aca="false">LEFT(G1606,2)</f>
        <v>86</v>
      </c>
      <c r="AE1606" s="21" t="s">
        <v>506</v>
      </c>
    </row>
    <row r="1607" customFormat="false" ht="15" hidden="false" customHeight="false" outlineLevel="0" collapsed="false">
      <c r="A1607" s="13" t="n">
        <f aca="false">1+A1606</f>
        <v>1605</v>
      </c>
      <c r="B1607" s="14" t="n">
        <v>1009618576</v>
      </c>
      <c r="C1607" s="15" t="s">
        <v>184</v>
      </c>
      <c r="D1607" s="16" t="s">
        <v>64</v>
      </c>
      <c r="E1607" s="17" t="s">
        <v>64</v>
      </c>
      <c r="F1607" s="18" t="s">
        <v>34</v>
      </c>
      <c r="G1607" s="19" t="n">
        <v>866014200491</v>
      </c>
      <c r="H1607" s="17" t="s">
        <v>35</v>
      </c>
      <c r="I1607" s="17" t="s">
        <v>72</v>
      </c>
      <c r="J1607" s="17" t="s">
        <v>115</v>
      </c>
      <c r="K1607" s="17" t="str">
        <f aca="false">VLOOKUP(J1607,Sheet2!A:B,2,0)</f>
        <v>ANKIT RANA</v>
      </c>
      <c r="L1607" s="17" t="n">
        <v>1</v>
      </c>
      <c r="M1607" s="17" t="str">
        <f aca="false">VLOOKUP(L1607,Sheet2!D:E,2,0)</f>
        <v>Power Supply Section</v>
      </c>
      <c r="N1607" s="17" t="n">
        <v>1</v>
      </c>
      <c r="O1607" s="17" t="str">
        <f aca="false">VLOOKUP(N1607,Sheet2!G:H,2,0)</f>
        <v>Dead</v>
      </c>
      <c r="P1607" s="17" t="n">
        <v>11</v>
      </c>
      <c r="Q1607" s="17" t="str">
        <f aca="false">VLOOKUP(P1607,Sheet2!J:K,2,0)</f>
        <v>IR Declared due to CID -TA</v>
      </c>
      <c r="R1607" s="17" t="s">
        <v>35</v>
      </c>
      <c r="S1607" s="17" t="str">
        <f aca="false">VLOOKUP(R1607,Sheet2!N:O,2,0)</f>
        <v>IREPARABLE</v>
      </c>
      <c r="T1607" s="18" t="str">
        <f aca="false">VLOOKUP(P1607,Sheet2!Q:R,2,0)</f>
        <v>IR Normal - Track burn out</v>
      </c>
      <c r="U1607" s="18" t="s">
        <v>122</v>
      </c>
      <c r="V1607" s="17" t="n">
        <v>2</v>
      </c>
      <c r="W1607" s="20" t="str">
        <f aca="false">VLOOKUP(V1607,Sheet2!Q:R,2,0)</f>
        <v>IR CID -  Water log from other area</v>
      </c>
      <c r="X1607" s="17" t="str">
        <f aca="false">J1607</f>
        <v>A042</v>
      </c>
      <c r="Y1607" s="17" t="str">
        <f aca="false">VLOOKUP(X1607,Sheet2!A:B,2,0)</f>
        <v>ANKIT RANA</v>
      </c>
      <c r="Z1607" s="17" t="s">
        <v>823</v>
      </c>
      <c r="AA1607" s="17" t="s">
        <v>798</v>
      </c>
      <c r="AB1607" s="17" t="s">
        <v>41</v>
      </c>
      <c r="AC1607" s="0" t="str">
        <f aca="false">LEFT(G1607,2)</f>
        <v>86</v>
      </c>
      <c r="AE1607" s="21" t="s">
        <v>506</v>
      </c>
    </row>
    <row r="1608" customFormat="false" ht="15" hidden="false" customHeight="false" outlineLevel="0" collapsed="false">
      <c r="A1608" s="13" t="n">
        <f aca="false">1+A1607</f>
        <v>1606</v>
      </c>
      <c r="B1608" s="14" t="n">
        <v>1009678566</v>
      </c>
      <c r="C1608" s="15" t="s">
        <v>436</v>
      </c>
      <c r="D1608" s="16" t="s">
        <v>147</v>
      </c>
      <c r="E1608" s="17" t="s">
        <v>824</v>
      </c>
      <c r="F1608" s="18" t="s">
        <v>34</v>
      </c>
      <c r="G1608" s="19" t="n">
        <v>865194152142</v>
      </c>
      <c r="H1608" s="17" t="s">
        <v>35</v>
      </c>
      <c r="I1608" s="17" t="s">
        <v>72</v>
      </c>
      <c r="J1608" s="17" t="s">
        <v>121</v>
      </c>
      <c r="K1608" s="17" t="str">
        <f aca="false">VLOOKUP(J1608,Sheet2!A:B,2,0)</f>
        <v>SHANI GOHIL</v>
      </c>
      <c r="L1608" s="17" t="n">
        <v>1</v>
      </c>
      <c r="M1608" s="17" t="str">
        <f aca="false">VLOOKUP(L1608,Sheet2!D:E,2,0)</f>
        <v>Power Supply Section</v>
      </c>
      <c r="N1608" s="17" t="n">
        <v>1</v>
      </c>
      <c r="O1608" s="17" t="str">
        <f aca="false">VLOOKUP(N1608,Sheet2!G:H,2,0)</f>
        <v>Dead</v>
      </c>
      <c r="P1608" s="17" t="n">
        <v>11</v>
      </c>
      <c r="Q1608" s="17" t="str">
        <f aca="false">VLOOKUP(P1608,Sheet2!J:K,2,0)</f>
        <v>IR Declared due to CID -TA</v>
      </c>
      <c r="R1608" s="17" t="s">
        <v>35</v>
      </c>
      <c r="S1608" s="17" t="str">
        <f aca="false">VLOOKUP(R1608,Sheet2!N:O,2,0)</f>
        <v>IREPARABLE</v>
      </c>
      <c r="T1608" s="18" t="str">
        <f aca="false">VLOOKUP(P1608,Sheet2!Q:R,2,0)</f>
        <v>IR Normal - Track burn out</v>
      </c>
      <c r="U1608" s="18" t="s">
        <v>122</v>
      </c>
      <c r="V1608" s="17" t="n">
        <v>2</v>
      </c>
      <c r="W1608" s="20" t="str">
        <f aca="false">VLOOKUP(V1608,Sheet2!Q:R,2,0)</f>
        <v>IR CID -  Water log from other area</v>
      </c>
      <c r="X1608" s="17" t="str">
        <f aca="false">J1608</f>
        <v>A063</v>
      </c>
      <c r="Y1608" s="17" t="str">
        <f aca="false">VLOOKUP(X1608,Sheet2!A:B,2,0)</f>
        <v>SHANI GOHIL</v>
      </c>
      <c r="Z1608" s="17" t="s">
        <v>352</v>
      </c>
      <c r="AA1608" s="17" t="s">
        <v>798</v>
      </c>
      <c r="AB1608" s="17" t="s">
        <v>41</v>
      </c>
      <c r="AC1608" s="0" t="str">
        <f aca="false">LEFT(G1608,2)</f>
        <v>86</v>
      </c>
      <c r="AE1608" s="21" t="s">
        <v>506</v>
      </c>
    </row>
    <row r="1609" customFormat="false" ht="15" hidden="false" customHeight="false" outlineLevel="0" collapsed="false">
      <c r="A1609" s="13" t="n">
        <f aca="false">1+A1608</f>
        <v>1607</v>
      </c>
      <c r="B1609" s="14" t="n">
        <v>1009682823</v>
      </c>
      <c r="C1609" s="15" t="s">
        <v>413</v>
      </c>
      <c r="D1609" s="16" t="s">
        <v>64</v>
      </c>
      <c r="E1609" s="17" t="s">
        <v>64</v>
      </c>
      <c r="F1609" s="18" t="s">
        <v>34</v>
      </c>
      <c r="G1609" s="19" t="n">
        <v>866126138589</v>
      </c>
      <c r="H1609" s="17" t="s">
        <v>35</v>
      </c>
      <c r="I1609" s="17" t="s">
        <v>72</v>
      </c>
      <c r="J1609" s="17" t="s">
        <v>118</v>
      </c>
      <c r="K1609" s="17" t="str">
        <f aca="false">VLOOKUP(J1609,Sheet2!A:B,2,0)</f>
        <v>DEVENDRA RAJPUT</v>
      </c>
      <c r="L1609" s="17" t="n">
        <v>5</v>
      </c>
      <c r="M1609" s="17" t="str">
        <f aca="false">VLOOKUP(L1609,Sheet2!D:E,2,0)</f>
        <v>Main Processor CPU BGA</v>
      </c>
      <c r="N1609" s="17" t="n">
        <v>24</v>
      </c>
      <c r="O1609" s="17" t="str">
        <f aca="false">VLOOKUP(N1609,Sheet2!G:H,2,0)</f>
        <v>STB Auto moving -Stand by mode</v>
      </c>
      <c r="P1609" s="17" t="n">
        <v>12</v>
      </c>
      <c r="Q1609" s="17" t="str">
        <f aca="false">VLOOKUP(P1609,Sheet2!J:K,2,0)</f>
        <v>IR Declared due to Others ( IR Normal)TB</v>
      </c>
      <c r="R1609" s="17" t="s">
        <v>35</v>
      </c>
      <c r="S1609" s="17" t="str">
        <f aca="false">VLOOKUP(R1609,Sheet2!N:O,2,0)</f>
        <v>IREPARABLE</v>
      </c>
      <c r="T1609" s="18" t="str">
        <f aca="false">VLOOKUP(P1609,Sheet2!Q:R,2,0)</f>
        <v>IR Normal - BER to IR</v>
      </c>
      <c r="U1609" s="15" t="s">
        <v>38</v>
      </c>
      <c r="V1609" s="17" t="n">
        <v>11</v>
      </c>
      <c r="W1609" s="20" t="str">
        <f aca="false">VLOOKUP(V1609,Sheet2!Q:R,2,0)</f>
        <v>IR Normal - Track burn out</v>
      </c>
      <c r="X1609" s="17" t="str">
        <f aca="false">J1609</f>
        <v>A053</v>
      </c>
      <c r="Y1609" s="17" t="str">
        <f aca="false">VLOOKUP(X1609,Sheet2!A:B,2,0)</f>
        <v>DEVENDRA RAJPUT</v>
      </c>
      <c r="Z1609" s="17" t="s">
        <v>825</v>
      </c>
      <c r="AA1609" s="17" t="s">
        <v>798</v>
      </c>
      <c r="AB1609" s="17" t="s">
        <v>41</v>
      </c>
      <c r="AC1609" s="0" t="str">
        <f aca="false">LEFT(G1609,2)</f>
        <v>86</v>
      </c>
      <c r="AE1609" s="21" t="s">
        <v>506</v>
      </c>
    </row>
    <row r="1610" customFormat="false" ht="15" hidden="false" customHeight="false" outlineLevel="0" collapsed="false">
      <c r="A1610" s="13" t="n">
        <f aca="false">1+A1609</f>
        <v>1608</v>
      </c>
      <c r="B1610" s="14" t="n">
        <v>1009811068</v>
      </c>
      <c r="C1610" s="15" t="s">
        <v>181</v>
      </c>
      <c r="D1610" s="16" t="s">
        <v>113</v>
      </c>
      <c r="E1610" s="17" t="s">
        <v>64</v>
      </c>
      <c r="F1610" s="18" t="s">
        <v>34</v>
      </c>
      <c r="G1610" s="19" t="n">
        <v>868154131825</v>
      </c>
      <c r="H1610" s="17" t="s">
        <v>35</v>
      </c>
      <c r="I1610" s="17" t="s">
        <v>72</v>
      </c>
      <c r="J1610" s="17" t="s">
        <v>241</v>
      </c>
      <c r="K1610" s="17" t="str">
        <f aca="false">VLOOKUP(J1610,Sheet2!A:B,2,0)</f>
        <v>NILESH NAGAR</v>
      </c>
      <c r="L1610" s="17" t="n">
        <v>5</v>
      </c>
      <c r="M1610" s="17" t="str">
        <f aca="false">VLOOKUP(L1610,Sheet2!D:E,2,0)</f>
        <v>Main Processor CPU BGA</v>
      </c>
      <c r="N1610" s="17" t="n">
        <v>1</v>
      </c>
      <c r="O1610" s="17" t="str">
        <f aca="false">VLOOKUP(N1610,Sheet2!G:H,2,0)</f>
        <v>Dead</v>
      </c>
      <c r="P1610" s="17" t="n">
        <v>11</v>
      </c>
      <c r="Q1610" s="17" t="str">
        <f aca="false">VLOOKUP(P1610,Sheet2!J:K,2,0)</f>
        <v>IR Declared due to CID -TA</v>
      </c>
      <c r="R1610" s="17" t="s">
        <v>35</v>
      </c>
      <c r="S1610" s="17" t="str">
        <f aca="false">VLOOKUP(R1610,Sheet2!N:O,2,0)</f>
        <v>IREPARABLE</v>
      </c>
      <c r="T1610" s="18" t="str">
        <f aca="false">VLOOKUP(P1610,Sheet2!Q:R,2,0)</f>
        <v>IR Normal - Track burn out</v>
      </c>
      <c r="U1610" s="18" t="s">
        <v>122</v>
      </c>
      <c r="V1610" s="17" t="n">
        <v>2</v>
      </c>
      <c r="W1610" s="20" t="str">
        <f aca="false">VLOOKUP(V1610,Sheet2!Q:R,2,0)</f>
        <v>IR CID -  Water log from other area</v>
      </c>
      <c r="X1610" s="17" t="str">
        <f aca="false">J1610</f>
        <v>A008</v>
      </c>
      <c r="Y1610" s="17" t="str">
        <f aca="false">VLOOKUP(X1610,Sheet2!A:B,2,0)</f>
        <v>NILESH NAGAR</v>
      </c>
      <c r="Z1610" s="17" t="s">
        <v>260</v>
      </c>
      <c r="AA1610" s="17" t="s">
        <v>798</v>
      </c>
      <c r="AB1610" s="17" t="s">
        <v>41</v>
      </c>
      <c r="AC1610" s="0" t="str">
        <f aca="false">LEFT(G1610,2)</f>
        <v>86</v>
      </c>
      <c r="AE1610" s="21" t="s">
        <v>506</v>
      </c>
    </row>
    <row r="1611" customFormat="false" ht="15" hidden="false" customHeight="false" outlineLevel="0" collapsed="false">
      <c r="A1611" s="13" t="n">
        <f aca="false">1+A1610</f>
        <v>1609</v>
      </c>
      <c r="B1611" s="14" t="n">
        <v>1009679921</v>
      </c>
      <c r="C1611" s="15" t="s">
        <v>413</v>
      </c>
      <c r="D1611" s="16" t="s">
        <v>64</v>
      </c>
      <c r="E1611" s="17" t="s">
        <v>47</v>
      </c>
      <c r="F1611" s="18" t="s">
        <v>34</v>
      </c>
      <c r="G1611" s="19" t="n">
        <v>867286176484</v>
      </c>
      <c r="H1611" s="17" t="s">
        <v>35</v>
      </c>
      <c r="I1611" s="17" t="s">
        <v>72</v>
      </c>
      <c r="J1611" s="17" t="s">
        <v>121</v>
      </c>
      <c r="K1611" s="17" t="str">
        <f aca="false">VLOOKUP(J1611,Sheet2!A:B,2,0)</f>
        <v>SHANI GOHIL</v>
      </c>
      <c r="L1611" s="17" t="n">
        <v>1</v>
      </c>
      <c r="M1611" s="17" t="str">
        <f aca="false">VLOOKUP(L1611,Sheet2!D:E,2,0)</f>
        <v>Power Supply Section</v>
      </c>
      <c r="N1611" s="17" t="n">
        <v>1</v>
      </c>
      <c r="O1611" s="17" t="str">
        <f aca="false">VLOOKUP(N1611,Sheet2!G:H,2,0)</f>
        <v>Dead</v>
      </c>
      <c r="P1611" s="17" t="n">
        <v>12</v>
      </c>
      <c r="Q1611" s="17" t="str">
        <f aca="false">VLOOKUP(P1611,Sheet2!J:K,2,0)</f>
        <v>IR Declared due to Others ( IR Normal)TB</v>
      </c>
      <c r="R1611" s="17" t="s">
        <v>35</v>
      </c>
      <c r="S1611" s="17" t="str">
        <f aca="false">VLOOKUP(R1611,Sheet2!N:O,2,0)</f>
        <v>IREPARABLE</v>
      </c>
      <c r="T1611" s="18" t="str">
        <f aca="false">VLOOKUP(P1611,Sheet2!Q:R,2,0)</f>
        <v>IR Normal - BER to IR</v>
      </c>
      <c r="U1611" s="18" t="s">
        <v>101</v>
      </c>
      <c r="V1611" s="17" t="n">
        <v>8</v>
      </c>
      <c r="W1611" s="20" t="str">
        <f aca="false">VLOOKUP(V1611,Sheet2!Q:R,2,0)</f>
        <v>IR Normal -TrackRust/InternalDamage/open</v>
      </c>
      <c r="X1611" s="17" t="str">
        <f aca="false">J1611</f>
        <v>A063</v>
      </c>
      <c r="Y1611" s="17" t="str">
        <f aca="false">VLOOKUP(X1611,Sheet2!A:B,2,0)</f>
        <v>SHANI GOHIL</v>
      </c>
      <c r="Z1611" s="17" t="s">
        <v>335</v>
      </c>
      <c r="AA1611" s="17" t="s">
        <v>798</v>
      </c>
      <c r="AB1611" s="17" t="s">
        <v>41</v>
      </c>
      <c r="AC1611" s="0" t="str">
        <f aca="false">LEFT(G1611,2)</f>
        <v>86</v>
      </c>
      <c r="AE1611" s="21" t="s">
        <v>506</v>
      </c>
    </row>
    <row r="1612" customFormat="false" ht="15" hidden="false" customHeight="false" outlineLevel="0" collapsed="false">
      <c r="A1612" s="13" t="n">
        <f aca="false">1+A1611</f>
        <v>1610</v>
      </c>
      <c r="B1612" s="14" t="n">
        <v>1009680786</v>
      </c>
      <c r="C1612" s="15" t="s">
        <v>413</v>
      </c>
      <c r="D1612" s="16" t="s">
        <v>64</v>
      </c>
      <c r="E1612" s="17" t="s">
        <v>114</v>
      </c>
      <c r="F1612" s="18" t="s">
        <v>34</v>
      </c>
      <c r="G1612" s="19" t="n">
        <v>844021728556</v>
      </c>
      <c r="H1612" s="17" t="s">
        <v>35</v>
      </c>
      <c r="I1612" s="17" t="s">
        <v>36</v>
      </c>
      <c r="J1612" s="17" t="s">
        <v>575</v>
      </c>
      <c r="K1612" s="17" t="str">
        <f aca="false">VLOOKUP(J1612,Sheet2!A:B,2,0)</f>
        <v>VIJAY RANA</v>
      </c>
      <c r="L1612" s="17" t="n">
        <v>1</v>
      </c>
      <c r="M1612" s="17" t="str">
        <f aca="false">VLOOKUP(L1612,Sheet2!D:E,2,0)</f>
        <v>Power Supply Section</v>
      </c>
      <c r="N1612" s="17" t="n">
        <v>1</v>
      </c>
      <c r="O1612" s="17" t="str">
        <f aca="false">VLOOKUP(N1612,Sheet2!G:H,2,0)</f>
        <v>Dead</v>
      </c>
      <c r="P1612" s="17" t="n">
        <v>11</v>
      </c>
      <c r="Q1612" s="17" t="str">
        <f aca="false">VLOOKUP(P1612,Sheet2!J:K,2,0)</f>
        <v>IR Declared due to CID -TA</v>
      </c>
      <c r="R1612" s="17" t="s">
        <v>35</v>
      </c>
      <c r="S1612" s="17" t="str">
        <f aca="false">VLOOKUP(R1612,Sheet2!N:O,2,0)</f>
        <v>IREPARABLE</v>
      </c>
      <c r="T1612" s="18" t="str">
        <f aca="false">VLOOKUP(P1612,Sheet2!Q:R,2,0)</f>
        <v>IR Normal - Track burn out</v>
      </c>
      <c r="U1612" s="18" t="s">
        <v>122</v>
      </c>
      <c r="V1612" s="17" t="n">
        <v>2</v>
      </c>
      <c r="W1612" s="20" t="str">
        <f aca="false">VLOOKUP(V1612,Sheet2!Q:R,2,0)</f>
        <v>IR CID -  Water log from other area</v>
      </c>
      <c r="X1612" s="17" t="str">
        <f aca="false">J1612</f>
        <v>A002</v>
      </c>
      <c r="Y1612" s="17" t="str">
        <f aca="false">VLOOKUP(X1612,Sheet2!A:B,2,0)</f>
        <v>VIJAY RANA</v>
      </c>
      <c r="Z1612" s="17" t="s">
        <v>554</v>
      </c>
      <c r="AA1612" s="17" t="s">
        <v>798</v>
      </c>
      <c r="AB1612" s="17" t="s">
        <v>41</v>
      </c>
      <c r="AC1612" s="0" t="str">
        <f aca="false">LEFT(G1612,2)</f>
        <v>84</v>
      </c>
      <c r="AE1612" s="21" t="s">
        <v>506</v>
      </c>
    </row>
    <row r="1613" customFormat="false" ht="15" hidden="false" customHeight="false" outlineLevel="0" collapsed="false">
      <c r="A1613" s="13" t="n">
        <f aca="false">1+A1612</f>
        <v>1611</v>
      </c>
      <c r="B1613" s="14" t="n">
        <v>1009681925</v>
      </c>
      <c r="C1613" s="15" t="s">
        <v>413</v>
      </c>
      <c r="D1613" s="16" t="s">
        <v>471</v>
      </c>
      <c r="E1613" s="17" t="s">
        <v>64</v>
      </c>
      <c r="F1613" s="18" t="s">
        <v>34</v>
      </c>
      <c r="G1613" s="19" t="n">
        <v>844110704690</v>
      </c>
      <c r="H1613" s="17" t="s">
        <v>35</v>
      </c>
      <c r="I1613" s="17" t="s">
        <v>36</v>
      </c>
      <c r="J1613" s="17" t="s">
        <v>111</v>
      </c>
      <c r="K1613" s="17" t="str">
        <f aca="false">VLOOKUP(J1613,Sheet2!A:B,2,0)</f>
        <v>NITIN PRANAMI</v>
      </c>
      <c r="L1613" s="17" t="n">
        <v>1</v>
      </c>
      <c r="M1613" s="17" t="str">
        <f aca="false">VLOOKUP(L1613,Sheet2!D:E,2,0)</f>
        <v>Power Supply Section</v>
      </c>
      <c r="N1613" s="17" t="n">
        <v>1</v>
      </c>
      <c r="O1613" s="17" t="str">
        <f aca="false">VLOOKUP(N1613,Sheet2!G:H,2,0)</f>
        <v>Dead</v>
      </c>
      <c r="P1613" s="17" t="n">
        <v>12</v>
      </c>
      <c r="Q1613" s="17" t="str">
        <f aca="false">VLOOKUP(P1613,Sheet2!J:K,2,0)</f>
        <v>IR Declared due to Others ( IR Normal)TB</v>
      </c>
      <c r="R1613" s="17" t="s">
        <v>35</v>
      </c>
      <c r="S1613" s="17" t="str">
        <f aca="false">VLOOKUP(R1613,Sheet2!N:O,2,0)</f>
        <v>IREPARABLE</v>
      </c>
      <c r="T1613" s="18" t="str">
        <f aca="false">VLOOKUP(P1613,Sheet2!Q:R,2,0)</f>
        <v>IR Normal - BER to IR</v>
      </c>
      <c r="U1613" s="20" t="s">
        <v>110</v>
      </c>
      <c r="V1613" s="17" t="n">
        <v>9</v>
      </c>
      <c r="W1613" s="20" t="str">
        <f aca="false">VLOOKUP(V1613,Sheet2!Q:R,2,0)</f>
        <v>IR Normal - Multiple time repair </v>
      </c>
      <c r="X1613" s="17" t="str">
        <f aca="false">J1613</f>
        <v>A031</v>
      </c>
      <c r="Y1613" s="17" t="str">
        <f aca="false">VLOOKUP(X1613,Sheet2!A:B,2,0)</f>
        <v>NITIN PRANAMI</v>
      </c>
      <c r="Z1613" s="17" t="s">
        <v>127</v>
      </c>
      <c r="AA1613" s="17" t="s">
        <v>798</v>
      </c>
      <c r="AB1613" s="17" t="s">
        <v>41</v>
      </c>
      <c r="AC1613" s="0" t="str">
        <f aca="false">LEFT(G1613,2)</f>
        <v>84</v>
      </c>
      <c r="AE1613" s="21" t="s">
        <v>506</v>
      </c>
    </row>
    <row r="1614" customFormat="false" ht="15" hidden="false" customHeight="false" outlineLevel="0" collapsed="false">
      <c r="A1614" s="13" t="n">
        <f aca="false">1+A1613</f>
        <v>1612</v>
      </c>
      <c r="B1614" s="14" t="n">
        <v>1009680793</v>
      </c>
      <c r="C1614" s="15" t="s">
        <v>413</v>
      </c>
      <c r="D1614" s="16" t="s">
        <v>64</v>
      </c>
      <c r="E1614" s="17" t="s">
        <v>64</v>
      </c>
      <c r="F1614" s="18" t="s">
        <v>34</v>
      </c>
      <c r="G1614" s="19" t="n">
        <v>852350770206</v>
      </c>
      <c r="H1614" s="17" t="s">
        <v>35</v>
      </c>
      <c r="I1614" s="17" t="s">
        <v>36</v>
      </c>
      <c r="J1614" s="17" t="s">
        <v>575</v>
      </c>
      <c r="K1614" s="17" t="str">
        <f aca="false">VLOOKUP(J1614,Sheet2!A:B,2,0)</f>
        <v>VIJAY RANA</v>
      </c>
      <c r="L1614" s="17" t="n">
        <v>1</v>
      </c>
      <c r="M1614" s="17" t="str">
        <f aca="false">VLOOKUP(L1614,Sheet2!D:E,2,0)</f>
        <v>Power Supply Section</v>
      </c>
      <c r="N1614" s="17" t="n">
        <v>1</v>
      </c>
      <c r="O1614" s="17" t="str">
        <f aca="false">VLOOKUP(N1614,Sheet2!G:H,2,0)</f>
        <v>Dead</v>
      </c>
      <c r="P1614" s="17" t="n">
        <v>11</v>
      </c>
      <c r="Q1614" s="17" t="str">
        <f aca="false">VLOOKUP(P1614,Sheet2!J:K,2,0)</f>
        <v>IR Declared due to CID -TA</v>
      </c>
      <c r="R1614" s="17" t="s">
        <v>35</v>
      </c>
      <c r="S1614" s="17" t="str">
        <f aca="false">VLOOKUP(R1614,Sheet2!N:O,2,0)</f>
        <v>IREPARABLE</v>
      </c>
      <c r="T1614" s="18" t="str">
        <f aca="false">VLOOKUP(P1614,Sheet2!Q:R,2,0)</f>
        <v>IR Normal - Track burn out</v>
      </c>
      <c r="U1614" s="18" t="s">
        <v>122</v>
      </c>
      <c r="V1614" s="17" t="n">
        <v>2</v>
      </c>
      <c r="W1614" s="20" t="str">
        <f aca="false">VLOOKUP(V1614,Sheet2!Q:R,2,0)</f>
        <v>IR CID -  Water log from other area</v>
      </c>
      <c r="X1614" s="17" t="str">
        <f aca="false">J1614</f>
        <v>A002</v>
      </c>
      <c r="Y1614" s="17" t="str">
        <f aca="false">VLOOKUP(X1614,Sheet2!A:B,2,0)</f>
        <v>VIJAY RANA</v>
      </c>
      <c r="Z1614" s="17" t="s">
        <v>387</v>
      </c>
      <c r="AA1614" s="17" t="s">
        <v>798</v>
      </c>
      <c r="AB1614" s="17" t="s">
        <v>41</v>
      </c>
      <c r="AC1614" s="0" t="str">
        <f aca="false">LEFT(G1614,2)</f>
        <v>85</v>
      </c>
      <c r="AE1614" s="21" t="s">
        <v>506</v>
      </c>
    </row>
    <row r="1615" customFormat="false" ht="15" hidden="false" customHeight="false" outlineLevel="0" collapsed="false">
      <c r="A1615" s="13" t="n">
        <f aca="false">1+A1614</f>
        <v>1613</v>
      </c>
      <c r="B1615" s="14" t="n">
        <v>1009214434</v>
      </c>
      <c r="C1615" s="15" t="s">
        <v>83</v>
      </c>
      <c r="D1615" s="16" t="s">
        <v>453</v>
      </c>
      <c r="E1615" s="17" t="s">
        <v>47</v>
      </c>
      <c r="F1615" s="18" t="s">
        <v>34</v>
      </c>
      <c r="G1615" s="19" t="n">
        <v>853185707330</v>
      </c>
      <c r="H1615" s="17" t="s">
        <v>35</v>
      </c>
      <c r="I1615" s="17" t="s">
        <v>36</v>
      </c>
      <c r="J1615" s="17" t="s">
        <v>267</v>
      </c>
      <c r="K1615" s="17" t="str">
        <f aca="false">VLOOKUP(J1615,Sheet2!A:B,2,0)</f>
        <v>HARIRAM GUPTA</v>
      </c>
      <c r="L1615" s="17" t="n">
        <v>1</v>
      </c>
      <c r="M1615" s="17" t="str">
        <f aca="false">VLOOKUP(L1615,Sheet2!D:E,2,0)</f>
        <v>Power Supply Section</v>
      </c>
      <c r="N1615" s="17" t="n">
        <v>1</v>
      </c>
      <c r="O1615" s="17" t="str">
        <f aca="false">VLOOKUP(N1615,Sheet2!G:H,2,0)</f>
        <v>Dead</v>
      </c>
      <c r="P1615" s="17" t="n">
        <v>11</v>
      </c>
      <c r="Q1615" s="17" t="str">
        <f aca="false">VLOOKUP(P1615,Sheet2!J:K,2,0)</f>
        <v>IR Declared due to CID -TA</v>
      </c>
      <c r="R1615" s="17" t="s">
        <v>35</v>
      </c>
      <c r="S1615" s="17" t="str">
        <f aca="false">VLOOKUP(R1615,Sheet2!N:O,2,0)</f>
        <v>IREPARABLE</v>
      </c>
      <c r="T1615" s="18" t="str">
        <f aca="false">VLOOKUP(P1615,Sheet2!Q:R,2,0)</f>
        <v>IR Normal - Track burn out</v>
      </c>
      <c r="U1615" s="18" t="s">
        <v>38</v>
      </c>
      <c r="V1615" s="17" t="n">
        <v>4</v>
      </c>
      <c r="W1615" s="20" t="str">
        <f aca="false">VLOOKUP(V1615,Sheet2!Q:R,2,0)</f>
        <v>IR CID - Tampered Track burn out</v>
      </c>
      <c r="X1615" s="17" t="str">
        <f aca="false">J1615</f>
        <v>A007</v>
      </c>
      <c r="Y1615" s="17" t="str">
        <f aca="false">VLOOKUP(X1615,Sheet2!A:B,2,0)</f>
        <v>HARIRAM GUPTA</v>
      </c>
      <c r="Z1615" s="17" t="s">
        <v>826</v>
      </c>
      <c r="AA1615" s="17" t="s">
        <v>798</v>
      </c>
      <c r="AB1615" s="17" t="s">
        <v>41</v>
      </c>
      <c r="AC1615" s="0" t="str">
        <f aca="false">LEFT(G1615,2)</f>
        <v>85</v>
      </c>
      <c r="AE1615" s="21" t="s">
        <v>506</v>
      </c>
    </row>
    <row r="1616" customFormat="false" ht="15" hidden="false" customHeight="false" outlineLevel="0" collapsed="false">
      <c r="A1616" s="13" t="n">
        <f aca="false">1+A1615</f>
        <v>1614</v>
      </c>
      <c r="B1616" s="14" t="n">
        <v>1009677269</v>
      </c>
      <c r="C1616" s="15" t="s">
        <v>436</v>
      </c>
      <c r="D1616" s="16" t="s">
        <v>190</v>
      </c>
      <c r="E1616" s="17" t="s">
        <v>64</v>
      </c>
      <c r="F1616" s="18" t="s">
        <v>34</v>
      </c>
      <c r="G1616" s="19" t="n">
        <v>853084718487</v>
      </c>
      <c r="H1616" s="17" t="s">
        <v>35</v>
      </c>
      <c r="I1616" s="17" t="s">
        <v>36</v>
      </c>
      <c r="J1616" s="17" t="s">
        <v>121</v>
      </c>
      <c r="K1616" s="17" t="str">
        <f aca="false">VLOOKUP(J1616,Sheet2!A:B,2,0)</f>
        <v>SHANI GOHIL</v>
      </c>
      <c r="L1616" s="17" t="n">
        <v>1</v>
      </c>
      <c r="M1616" s="17" t="str">
        <f aca="false">VLOOKUP(L1616,Sheet2!D:E,2,0)</f>
        <v>Power Supply Section</v>
      </c>
      <c r="N1616" s="17" t="n">
        <v>2</v>
      </c>
      <c r="O1616" s="17" t="str">
        <f aca="false">VLOOKUP(N1616,Sheet2!G:H,2,0)</f>
        <v>Dead Intermittent</v>
      </c>
      <c r="P1616" s="17" t="n">
        <v>12</v>
      </c>
      <c r="Q1616" s="17" t="str">
        <f aca="false">VLOOKUP(P1616,Sheet2!J:K,2,0)</f>
        <v>IR Declared due to Others ( IR Normal)TB</v>
      </c>
      <c r="R1616" s="17" t="s">
        <v>35</v>
      </c>
      <c r="S1616" s="17" t="str">
        <f aca="false">VLOOKUP(R1616,Sheet2!N:O,2,0)</f>
        <v>IREPARABLE</v>
      </c>
      <c r="T1616" s="18" t="str">
        <f aca="false">VLOOKUP(P1616,Sheet2!Q:R,2,0)</f>
        <v>IR Normal - BER to IR</v>
      </c>
      <c r="U1616" s="20" t="s">
        <v>110</v>
      </c>
      <c r="V1616" s="17" t="n">
        <v>9</v>
      </c>
      <c r="W1616" s="20" t="str">
        <f aca="false">VLOOKUP(V1616,Sheet2!Q:R,2,0)</f>
        <v>IR Normal - Multiple time repair </v>
      </c>
      <c r="X1616" s="17" t="str">
        <f aca="false">J1616</f>
        <v>A063</v>
      </c>
      <c r="Y1616" s="17" t="str">
        <f aca="false">VLOOKUP(X1616,Sheet2!A:B,2,0)</f>
        <v>SHANI GOHIL</v>
      </c>
      <c r="Z1616" s="17" t="s">
        <v>127</v>
      </c>
      <c r="AA1616" s="17" t="s">
        <v>798</v>
      </c>
      <c r="AB1616" s="17" t="s">
        <v>41</v>
      </c>
      <c r="AC1616" s="0" t="str">
        <f aca="false">LEFT(G1616,2)</f>
        <v>85</v>
      </c>
      <c r="AE1616" s="21" t="s">
        <v>506</v>
      </c>
    </row>
    <row r="1617" customFormat="false" ht="15" hidden="false" customHeight="false" outlineLevel="0" collapsed="false">
      <c r="A1617" s="13" t="n">
        <f aca="false">1+A1616</f>
        <v>1615</v>
      </c>
      <c r="B1617" s="14" t="n">
        <v>1009677192</v>
      </c>
      <c r="C1617" s="15" t="s">
        <v>436</v>
      </c>
      <c r="D1617" s="16" t="s">
        <v>64</v>
      </c>
      <c r="E1617" s="17" t="s">
        <v>178</v>
      </c>
      <c r="F1617" s="18" t="s">
        <v>34</v>
      </c>
      <c r="G1617" s="19" t="n">
        <v>854147784219</v>
      </c>
      <c r="H1617" s="17" t="s">
        <v>35</v>
      </c>
      <c r="I1617" s="17" t="s">
        <v>36</v>
      </c>
      <c r="J1617" s="17" t="s">
        <v>239</v>
      </c>
      <c r="K1617" s="17" t="str">
        <f aca="false">VLOOKUP(J1617,Sheet2!A:B,2,0)</f>
        <v>VASANT PARMAR</v>
      </c>
      <c r="L1617" s="17" t="n">
        <v>5</v>
      </c>
      <c r="M1617" s="17" t="str">
        <f aca="false">VLOOKUP(L1617,Sheet2!D:E,2,0)</f>
        <v>Main Processor CPU BGA</v>
      </c>
      <c r="N1617" s="17" t="n">
        <v>1</v>
      </c>
      <c r="O1617" s="17" t="str">
        <f aca="false">VLOOKUP(N1617,Sheet2!G:H,2,0)</f>
        <v>Dead</v>
      </c>
      <c r="P1617" s="17" t="n">
        <v>12</v>
      </c>
      <c r="Q1617" s="17" t="str">
        <f aca="false">VLOOKUP(P1617,Sheet2!J:K,2,0)</f>
        <v>IR Declared due to Others ( IR Normal)TB</v>
      </c>
      <c r="R1617" s="17" t="s">
        <v>35</v>
      </c>
      <c r="S1617" s="17" t="str">
        <f aca="false">VLOOKUP(R1617,Sheet2!N:O,2,0)</f>
        <v>IREPARABLE</v>
      </c>
      <c r="T1617" s="18" t="str">
        <f aca="false">VLOOKUP(P1617,Sheet2!Q:R,2,0)</f>
        <v>IR Normal - BER to IR</v>
      </c>
      <c r="U1617" s="18" t="s">
        <v>101</v>
      </c>
      <c r="V1617" s="17" t="n">
        <v>8</v>
      </c>
      <c r="W1617" s="20" t="str">
        <f aca="false">VLOOKUP(V1617,Sheet2!Q:R,2,0)</f>
        <v>IR Normal -TrackRust/InternalDamage/open</v>
      </c>
      <c r="X1617" s="17" t="str">
        <f aca="false">J1617</f>
        <v>A005</v>
      </c>
      <c r="Y1617" s="17" t="str">
        <f aca="false">VLOOKUP(X1617,Sheet2!A:B,2,0)</f>
        <v>VASANT PARMAR</v>
      </c>
      <c r="Z1617" s="17" t="s">
        <v>127</v>
      </c>
      <c r="AA1617" s="17" t="s">
        <v>798</v>
      </c>
      <c r="AB1617" s="17" t="s">
        <v>41</v>
      </c>
      <c r="AC1617" s="0" t="str">
        <f aca="false">LEFT(G1617,2)</f>
        <v>85</v>
      </c>
      <c r="AE1617" s="21" t="s">
        <v>506</v>
      </c>
    </row>
    <row r="1618" customFormat="false" ht="15" hidden="false" customHeight="false" outlineLevel="0" collapsed="false">
      <c r="A1618" s="13" t="n">
        <f aca="false">1+A1617</f>
        <v>1616</v>
      </c>
      <c r="B1618" s="14" t="n">
        <v>1009681907</v>
      </c>
      <c r="C1618" s="15" t="s">
        <v>413</v>
      </c>
      <c r="D1618" s="16" t="s">
        <v>64</v>
      </c>
      <c r="E1618" s="17" t="s">
        <v>255</v>
      </c>
      <c r="F1618" s="18" t="s">
        <v>34</v>
      </c>
      <c r="G1618" s="19" t="n">
        <v>853178765899</v>
      </c>
      <c r="H1618" s="17" t="s">
        <v>35</v>
      </c>
      <c r="I1618" s="17" t="s">
        <v>36</v>
      </c>
      <c r="J1618" s="17" t="s">
        <v>239</v>
      </c>
      <c r="K1618" s="17" t="str">
        <f aca="false">VLOOKUP(J1618,Sheet2!A:B,2,0)</f>
        <v>VASANT PARMAR</v>
      </c>
      <c r="L1618" s="17" t="n">
        <v>5</v>
      </c>
      <c r="M1618" s="17" t="str">
        <f aca="false">VLOOKUP(L1618,Sheet2!D:E,2,0)</f>
        <v>Main Processor CPU BGA</v>
      </c>
      <c r="N1618" s="17" t="n">
        <v>1</v>
      </c>
      <c r="O1618" s="17" t="str">
        <f aca="false">VLOOKUP(N1618,Sheet2!G:H,2,0)</f>
        <v>Dead</v>
      </c>
      <c r="P1618" s="17" t="n">
        <v>11</v>
      </c>
      <c r="Q1618" s="17" t="str">
        <f aca="false">VLOOKUP(P1618,Sheet2!J:K,2,0)</f>
        <v>IR Declared due to CID -TA</v>
      </c>
      <c r="R1618" s="17" t="s">
        <v>35</v>
      </c>
      <c r="S1618" s="17" t="str">
        <f aca="false">VLOOKUP(R1618,Sheet2!N:O,2,0)</f>
        <v>IREPARABLE</v>
      </c>
      <c r="T1618" s="18" t="str">
        <f aca="false">VLOOKUP(P1618,Sheet2!Q:R,2,0)</f>
        <v>IR Normal - Track burn out</v>
      </c>
      <c r="U1618" s="18" t="s">
        <v>122</v>
      </c>
      <c r="V1618" s="17" t="n">
        <v>2</v>
      </c>
      <c r="W1618" s="20" t="str">
        <f aca="false">VLOOKUP(V1618,Sheet2!Q:R,2,0)</f>
        <v>IR CID -  Water log from other area</v>
      </c>
      <c r="X1618" s="17" t="str">
        <f aca="false">J1618</f>
        <v>A005</v>
      </c>
      <c r="Y1618" s="17" t="str">
        <f aca="false">VLOOKUP(X1618,Sheet2!A:B,2,0)</f>
        <v>VASANT PARMAR</v>
      </c>
      <c r="Z1618" s="17" t="s">
        <v>827</v>
      </c>
      <c r="AA1618" s="17" t="s">
        <v>798</v>
      </c>
      <c r="AB1618" s="17" t="s">
        <v>41</v>
      </c>
      <c r="AC1618" s="0" t="str">
        <f aca="false">LEFT(G1618,2)</f>
        <v>85</v>
      </c>
      <c r="AE1618" s="21" t="s">
        <v>506</v>
      </c>
    </row>
    <row r="1619" customFormat="false" ht="15" hidden="false" customHeight="false" outlineLevel="0" collapsed="false">
      <c r="A1619" s="13" t="n">
        <f aca="false">1+A1618</f>
        <v>1617</v>
      </c>
      <c r="B1619" s="14" t="n">
        <v>1009556424</v>
      </c>
      <c r="C1619" s="15" t="s">
        <v>192</v>
      </c>
      <c r="D1619" s="16" t="s">
        <v>64</v>
      </c>
      <c r="E1619" s="17" t="s">
        <v>64</v>
      </c>
      <c r="F1619" s="18" t="s">
        <v>34</v>
      </c>
      <c r="G1619" s="19" t="n">
        <v>853219750694</v>
      </c>
      <c r="H1619" s="17" t="s">
        <v>35</v>
      </c>
      <c r="I1619" s="17" t="s">
        <v>36</v>
      </c>
      <c r="J1619" s="17" t="s">
        <v>121</v>
      </c>
      <c r="K1619" s="17" t="str">
        <f aca="false">VLOOKUP(J1619,Sheet2!A:B,2,0)</f>
        <v>SHANI GOHIL</v>
      </c>
      <c r="L1619" s="17" t="n">
        <v>1</v>
      </c>
      <c r="M1619" s="17" t="str">
        <f aca="false">VLOOKUP(L1619,Sheet2!D:E,2,0)</f>
        <v>Power Supply Section</v>
      </c>
      <c r="N1619" s="17" t="n">
        <v>1</v>
      </c>
      <c r="O1619" s="17" t="str">
        <f aca="false">VLOOKUP(N1619,Sheet2!G:H,2,0)</f>
        <v>Dead</v>
      </c>
      <c r="P1619" s="17" t="n">
        <v>12</v>
      </c>
      <c r="Q1619" s="17" t="str">
        <f aca="false">VLOOKUP(P1619,Sheet2!J:K,2,0)</f>
        <v>IR Declared due to Others ( IR Normal)TB</v>
      </c>
      <c r="R1619" s="17" t="s">
        <v>35</v>
      </c>
      <c r="S1619" s="17" t="str">
        <f aca="false">VLOOKUP(R1619,Sheet2!N:O,2,0)</f>
        <v>IREPARABLE</v>
      </c>
      <c r="T1619" s="18" t="str">
        <f aca="false">VLOOKUP(P1619,Sheet2!Q:R,2,0)</f>
        <v>IR Normal - BER to IR</v>
      </c>
      <c r="U1619" s="18" t="s">
        <v>101</v>
      </c>
      <c r="V1619" s="17" t="n">
        <v>8</v>
      </c>
      <c r="W1619" s="20" t="str">
        <f aca="false">VLOOKUP(V1619,Sheet2!Q:R,2,0)</f>
        <v>IR Normal -TrackRust/InternalDamage/open</v>
      </c>
      <c r="X1619" s="17" t="str">
        <f aca="false">J1619</f>
        <v>A063</v>
      </c>
      <c r="Y1619" s="17" t="str">
        <f aca="false">VLOOKUP(X1619,Sheet2!A:B,2,0)</f>
        <v>SHANI GOHIL</v>
      </c>
      <c r="Z1619" s="17" t="s">
        <v>828</v>
      </c>
      <c r="AA1619" s="17" t="s">
        <v>798</v>
      </c>
      <c r="AB1619" s="17" t="s">
        <v>41</v>
      </c>
      <c r="AC1619" s="0" t="str">
        <f aca="false">LEFT(G1619,2)</f>
        <v>85</v>
      </c>
      <c r="AE1619" s="21" t="s">
        <v>506</v>
      </c>
    </row>
    <row r="1620" customFormat="false" ht="15" hidden="false" customHeight="false" outlineLevel="0" collapsed="false">
      <c r="A1620" s="13" t="n">
        <f aca="false">1+A1619</f>
        <v>1618</v>
      </c>
      <c r="B1620" s="14" t="n">
        <v>1009688757</v>
      </c>
      <c r="C1620" s="15" t="s">
        <v>449</v>
      </c>
      <c r="D1620" s="16" t="s">
        <v>32</v>
      </c>
      <c r="E1620" s="17" t="s">
        <v>47</v>
      </c>
      <c r="F1620" s="18" t="s">
        <v>34</v>
      </c>
      <c r="G1620" s="19" t="n">
        <v>853232779324</v>
      </c>
      <c r="H1620" s="17" t="s">
        <v>35</v>
      </c>
      <c r="I1620" s="17" t="s">
        <v>36</v>
      </c>
      <c r="J1620" s="17" t="s">
        <v>111</v>
      </c>
      <c r="K1620" s="17" t="str">
        <f aca="false">VLOOKUP(J1620,Sheet2!A:B,2,0)</f>
        <v>NITIN PRANAMI</v>
      </c>
      <c r="L1620" s="17" t="n">
        <v>1</v>
      </c>
      <c r="M1620" s="17" t="str">
        <f aca="false">VLOOKUP(L1620,Sheet2!D:E,2,0)</f>
        <v>Power Supply Section</v>
      </c>
      <c r="N1620" s="17" t="n">
        <v>1</v>
      </c>
      <c r="O1620" s="17" t="str">
        <f aca="false">VLOOKUP(N1620,Sheet2!G:H,2,0)</f>
        <v>Dead</v>
      </c>
      <c r="P1620" s="17" t="n">
        <v>12</v>
      </c>
      <c r="Q1620" s="17" t="str">
        <f aca="false">VLOOKUP(P1620,Sheet2!J:K,2,0)</f>
        <v>IR Declared due to Others ( IR Normal)TB</v>
      </c>
      <c r="R1620" s="17" t="s">
        <v>35</v>
      </c>
      <c r="S1620" s="17" t="str">
        <f aca="false">VLOOKUP(R1620,Sheet2!N:O,2,0)</f>
        <v>IREPARABLE</v>
      </c>
      <c r="T1620" s="18" t="str">
        <f aca="false">VLOOKUP(P1620,Sheet2!Q:R,2,0)</f>
        <v>IR Normal - BER to IR</v>
      </c>
      <c r="U1620" s="18" t="s">
        <v>101</v>
      </c>
      <c r="V1620" s="17" t="n">
        <v>8</v>
      </c>
      <c r="W1620" s="20" t="str">
        <f aca="false">VLOOKUP(V1620,Sheet2!Q:R,2,0)</f>
        <v>IR Normal -TrackRust/InternalDamage/open</v>
      </c>
      <c r="X1620" s="17" t="str">
        <f aca="false">J1620</f>
        <v>A031</v>
      </c>
      <c r="Y1620" s="17" t="str">
        <f aca="false">VLOOKUP(X1620,Sheet2!A:B,2,0)</f>
        <v>NITIN PRANAMI</v>
      </c>
      <c r="Z1620" s="17" t="s">
        <v>829</v>
      </c>
      <c r="AA1620" s="17" t="s">
        <v>798</v>
      </c>
      <c r="AB1620" s="17" t="s">
        <v>41</v>
      </c>
      <c r="AC1620" s="0" t="str">
        <f aca="false">LEFT(G1620,2)</f>
        <v>85</v>
      </c>
      <c r="AE1620" s="21" t="s">
        <v>506</v>
      </c>
    </row>
    <row r="1621" customFormat="false" ht="15" hidden="false" customHeight="false" outlineLevel="0" collapsed="false">
      <c r="A1621" s="13" t="n">
        <f aca="false">1+A1620</f>
        <v>1619</v>
      </c>
      <c r="B1621" s="14" t="n">
        <v>1009677327</v>
      </c>
      <c r="C1621" s="15" t="s">
        <v>436</v>
      </c>
      <c r="D1621" s="16" t="s">
        <v>88</v>
      </c>
      <c r="E1621" s="17" t="s">
        <v>47</v>
      </c>
      <c r="F1621" s="18" t="s">
        <v>34</v>
      </c>
      <c r="G1621" s="19" t="n">
        <v>278012105013</v>
      </c>
      <c r="H1621" s="17" t="s">
        <v>35</v>
      </c>
      <c r="I1621" s="17" t="s">
        <v>74</v>
      </c>
      <c r="J1621" s="17" t="s">
        <v>267</v>
      </c>
      <c r="K1621" s="17" t="str">
        <f aca="false">VLOOKUP(J1621,Sheet2!A:B,2,0)</f>
        <v>HARIRAM GUPTA</v>
      </c>
      <c r="L1621" s="17" t="n">
        <v>7</v>
      </c>
      <c r="M1621" s="17" t="str">
        <f aca="false">VLOOKUP(L1621,Sheet2!D:E,2,0)</f>
        <v>Card Reader Section</v>
      </c>
      <c r="N1621" s="17" t="n">
        <v>36</v>
      </c>
      <c r="O1621" s="17" t="str">
        <f aca="false">VLOOKUP(N1621,Sheet2!G:H,2,0)</f>
        <v>Error -1</v>
      </c>
      <c r="P1621" s="17" t="n">
        <v>12</v>
      </c>
      <c r="Q1621" s="17" t="str">
        <f aca="false">VLOOKUP(P1621,Sheet2!J:K,2,0)</f>
        <v>IR Declared due to Others ( IR Normal)TB</v>
      </c>
      <c r="R1621" s="17" t="s">
        <v>35</v>
      </c>
      <c r="S1621" s="17" t="str">
        <f aca="false">VLOOKUP(R1621,Sheet2!N:O,2,0)</f>
        <v>IREPARABLE</v>
      </c>
      <c r="T1621" s="18" t="str">
        <f aca="false">VLOOKUP(P1621,Sheet2!Q:R,2,0)</f>
        <v>IR Normal - BER to IR</v>
      </c>
      <c r="U1621" s="18" t="s">
        <v>101</v>
      </c>
      <c r="V1621" s="17" t="n">
        <v>8</v>
      </c>
      <c r="W1621" s="20" t="str">
        <f aca="false">VLOOKUP(V1621,Sheet2!Q:R,2,0)</f>
        <v>IR Normal -TrackRust/InternalDamage/open</v>
      </c>
      <c r="X1621" s="17" t="str">
        <f aca="false">J1621</f>
        <v>A007</v>
      </c>
      <c r="Y1621" s="17" t="str">
        <f aca="false">VLOOKUP(X1621,Sheet2!A:B,2,0)</f>
        <v>HARIRAM GUPTA</v>
      </c>
      <c r="Z1621" s="17" t="s">
        <v>381</v>
      </c>
      <c r="AA1621" s="17" t="s">
        <v>798</v>
      </c>
      <c r="AB1621" s="17" t="s">
        <v>41</v>
      </c>
      <c r="AC1621" s="0" t="str">
        <f aca="false">LEFT(G1621,2)</f>
        <v>27</v>
      </c>
      <c r="AE1621" s="21" t="s">
        <v>506</v>
      </c>
    </row>
    <row r="1622" customFormat="false" ht="15" hidden="false" customHeight="false" outlineLevel="0" collapsed="false">
      <c r="A1622" s="13" t="n">
        <f aca="false">1+A1621</f>
        <v>1620</v>
      </c>
      <c r="B1622" s="14" t="n">
        <v>1009641724</v>
      </c>
      <c r="C1622" s="15" t="s">
        <v>429</v>
      </c>
      <c r="D1622" s="16" t="s">
        <v>144</v>
      </c>
      <c r="E1622" s="17" t="s">
        <v>47</v>
      </c>
      <c r="F1622" s="18" t="s">
        <v>34</v>
      </c>
      <c r="G1622" s="19" t="n">
        <v>288095123676</v>
      </c>
      <c r="H1622" s="17" t="s">
        <v>35</v>
      </c>
      <c r="I1622" s="17" t="s">
        <v>74</v>
      </c>
      <c r="J1622" s="17" t="s">
        <v>111</v>
      </c>
      <c r="K1622" s="17" t="str">
        <f aca="false">VLOOKUP(J1622,Sheet2!A:B,2,0)</f>
        <v>NITIN PRANAMI</v>
      </c>
      <c r="L1622" s="17" t="n">
        <v>5</v>
      </c>
      <c r="M1622" s="17" t="str">
        <f aca="false">VLOOKUP(L1622,Sheet2!D:E,2,0)</f>
        <v>Main Processor CPU BGA</v>
      </c>
      <c r="N1622" s="17" t="n">
        <v>27</v>
      </c>
      <c r="O1622" s="17" t="str">
        <f aca="false">VLOOKUP(N1622,Sheet2!G:H,2,0)</f>
        <v>STB Rebooting Continuously</v>
      </c>
      <c r="P1622" s="17" t="n">
        <v>12</v>
      </c>
      <c r="Q1622" s="17" t="str">
        <f aca="false">VLOOKUP(P1622,Sheet2!J:K,2,0)</f>
        <v>IR Declared due to Others ( IR Normal)TB</v>
      </c>
      <c r="R1622" s="17" t="s">
        <v>35</v>
      </c>
      <c r="S1622" s="17" t="str">
        <f aca="false">VLOOKUP(R1622,Sheet2!N:O,2,0)</f>
        <v>IREPARABLE</v>
      </c>
      <c r="T1622" s="18" t="str">
        <f aca="false">VLOOKUP(P1622,Sheet2!Q:R,2,0)</f>
        <v>IR Normal - BER to IR</v>
      </c>
      <c r="U1622" s="18" t="s">
        <v>101</v>
      </c>
      <c r="V1622" s="17" t="n">
        <v>8</v>
      </c>
      <c r="W1622" s="20" t="str">
        <f aca="false">VLOOKUP(V1622,Sheet2!Q:R,2,0)</f>
        <v>IR Normal -TrackRust/InternalDamage/open</v>
      </c>
      <c r="X1622" s="17" t="str">
        <f aca="false">J1622</f>
        <v>A031</v>
      </c>
      <c r="Y1622" s="17" t="str">
        <f aca="false">VLOOKUP(X1622,Sheet2!A:B,2,0)</f>
        <v>NITIN PRANAMI</v>
      </c>
      <c r="Z1622" s="17" t="s">
        <v>830</v>
      </c>
      <c r="AA1622" s="17" t="s">
        <v>798</v>
      </c>
      <c r="AB1622" s="17" t="s">
        <v>41</v>
      </c>
      <c r="AC1622" s="0" t="str">
        <f aca="false">LEFT(G1622,2)</f>
        <v>28</v>
      </c>
      <c r="AE1622" s="21" t="s">
        <v>506</v>
      </c>
    </row>
    <row r="1623" customFormat="false" ht="15" hidden="false" customHeight="false" outlineLevel="0" collapsed="false">
      <c r="A1623" s="13" t="n">
        <f aca="false">1+A1622</f>
        <v>1621</v>
      </c>
      <c r="B1623" s="14" t="n">
        <v>1009648063</v>
      </c>
      <c r="C1623" s="15" t="s">
        <v>204</v>
      </c>
      <c r="D1623" s="16" t="s">
        <v>64</v>
      </c>
      <c r="E1623" s="17" t="s">
        <v>47</v>
      </c>
      <c r="F1623" s="18" t="s">
        <v>34</v>
      </c>
      <c r="G1623" s="19" t="n">
        <v>288079127974</v>
      </c>
      <c r="H1623" s="17" t="s">
        <v>35</v>
      </c>
      <c r="I1623" s="17" t="s">
        <v>74</v>
      </c>
      <c r="J1623" s="17" t="s">
        <v>239</v>
      </c>
      <c r="K1623" s="17" t="str">
        <f aca="false">VLOOKUP(J1623,Sheet2!A:B,2,0)</f>
        <v>VASANT PARMAR</v>
      </c>
      <c r="L1623" s="17" t="n">
        <v>5</v>
      </c>
      <c r="M1623" s="17" t="str">
        <f aca="false">VLOOKUP(L1623,Sheet2!D:E,2,0)</f>
        <v>Main Processor CPU BGA</v>
      </c>
      <c r="N1623" s="17" t="n">
        <v>1</v>
      </c>
      <c r="O1623" s="17" t="str">
        <f aca="false">VLOOKUP(N1623,Sheet2!G:H,2,0)</f>
        <v>Dead</v>
      </c>
      <c r="P1623" s="17" t="n">
        <v>11</v>
      </c>
      <c r="Q1623" s="17" t="str">
        <f aca="false">VLOOKUP(P1623,Sheet2!J:K,2,0)</f>
        <v>IR Declared due to CID -TA</v>
      </c>
      <c r="R1623" s="17" t="s">
        <v>35</v>
      </c>
      <c r="S1623" s="17" t="str">
        <f aca="false">VLOOKUP(R1623,Sheet2!N:O,2,0)</f>
        <v>IREPARABLE</v>
      </c>
      <c r="T1623" s="18" t="str">
        <f aca="false">VLOOKUP(P1623,Sheet2!Q:R,2,0)</f>
        <v>IR Normal - Track burn out</v>
      </c>
      <c r="U1623" s="18" t="s">
        <v>199</v>
      </c>
      <c r="V1623" s="17" t="n">
        <v>3</v>
      </c>
      <c r="W1623" s="20" t="str">
        <f aca="false">VLOOKUP(V1623,Sheet2!Q:R,2,0)</f>
        <v>IR CID - Tampered TrackOpen/Reworkdone </v>
      </c>
      <c r="X1623" s="17" t="str">
        <f aca="false">J1623</f>
        <v>A005</v>
      </c>
      <c r="Y1623" s="17" t="str">
        <f aca="false">VLOOKUP(X1623,Sheet2!A:B,2,0)</f>
        <v>VASANT PARMAR</v>
      </c>
      <c r="Z1623" s="17" t="s">
        <v>831</v>
      </c>
      <c r="AA1623" s="17" t="s">
        <v>798</v>
      </c>
      <c r="AB1623" s="17" t="s">
        <v>41</v>
      </c>
      <c r="AC1623" s="0" t="str">
        <f aca="false">LEFT(G1623,2)</f>
        <v>28</v>
      </c>
      <c r="AE1623" s="21" t="s">
        <v>506</v>
      </c>
    </row>
    <row r="1624" customFormat="false" ht="15" hidden="false" customHeight="false" outlineLevel="0" collapsed="false">
      <c r="A1624" s="13" t="n">
        <f aca="false">1+A1623</f>
        <v>1622</v>
      </c>
      <c r="B1624" s="14" t="n">
        <v>1009675937</v>
      </c>
      <c r="C1624" s="15" t="s">
        <v>436</v>
      </c>
      <c r="D1624" s="16" t="s">
        <v>64</v>
      </c>
      <c r="E1624" s="17" t="s">
        <v>64</v>
      </c>
      <c r="F1624" s="18" t="s">
        <v>34</v>
      </c>
      <c r="G1624" s="19" t="n">
        <v>277317125007</v>
      </c>
      <c r="H1624" s="17" t="s">
        <v>35</v>
      </c>
      <c r="I1624" s="17" t="s">
        <v>74</v>
      </c>
      <c r="J1624" s="17" t="s">
        <v>239</v>
      </c>
      <c r="K1624" s="17" t="str">
        <f aca="false">VLOOKUP(J1624,Sheet2!A:B,2,0)</f>
        <v>VASANT PARMAR</v>
      </c>
      <c r="L1624" s="17" t="n">
        <v>2</v>
      </c>
      <c r="M1624" s="17" t="str">
        <f aca="false">VLOOKUP(L1624,Sheet2!D:E,2,0)</f>
        <v>Tuner Section</v>
      </c>
      <c r="N1624" s="17" t="n">
        <v>6</v>
      </c>
      <c r="O1624" s="17" t="str">
        <f aca="false">VLOOKUP(N1624,Sheet2!G:H,2,0)</f>
        <v>No Signal</v>
      </c>
      <c r="P1624" s="17" t="n">
        <v>11</v>
      </c>
      <c r="Q1624" s="17" t="str">
        <f aca="false">VLOOKUP(P1624,Sheet2!J:K,2,0)</f>
        <v>IR Declared due to CID -TA</v>
      </c>
      <c r="R1624" s="17" t="s">
        <v>35</v>
      </c>
      <c r="S1624" s="17" t="str">
        <f aca="false">VLOOKUP(R1624,Sheet2!N:O,2,0)</f>
        <v>IREPARABLE</v>
      </c>
      <c r="T1624" s="18" t="str">
        <f aca="false">VLOOKUP(P1624,Sheet2!Q:R,2,0)</f>
        <v>IR Normal - Track burn out</v>
      </c>
      <c r="U1624" s="18" t="s">
        <v>38</v>
      </c>
      <c r="V1624" s="17" t="n">
        <v>4</v>
      </c>
      <c r="W1624" s="20" t="str">
        <f aca="false">VLOOKUP(V1624,Sheet2!Q:R,2,0)</f>
        <v>IR CID - Tampered Track burn out</v>
      </c>
      <c r="X1624" s="17" t="str">
        <f aca="false">J1624</f>
        <v>A005</v>
      </c>
      <c r="Y1624" s="17" t="str">
        <f aca="false">VLOOKUP(X1624,Sheet2!A:B,2,0)</f>
        <v>VASANT PARMAR</v>
      </c>
      <c r="Z1624" s="17" t="s">
        <v>381</v>
      </c>
      <c r="AA1624" s="17" t="s">
        <v>798</v>
      </c>
      <c r="AB1624" s="17" t="s">
        <v>41</v>
      </c>
      <c r="AC1624" s="0" t="str">
        <f aca="false">LEFT(G1624,2)</f>
        <v>27</v>
      </c>
      <c r="AE1624" s="21" t="s">
        <v>506</v>
      </c>
    </row>
    <row r="1625" customFormat="false" ht="15" hidden="false" customHeight="false" outlineLevel="0" collapsed="false">
      <c r="A1625" s="13" t="n">
        <f aca="false">1+A1624</f>
        <v>1623</v>
      </c>
      <c r="B1625" s="14" t="n">
        <v>1009635435</v>
      </c>
      <c r="C1625" s="15" t="s">
        <v>832</v>
      </c>
      <c r="D1625" s="16" t="s">
        <v>64</v>
      </c>
      <c r="E1625" s="17" t="s">
        <v>64</v>
      </c>
      <c r="F1625" s="18" t="s">
        <v>34</v>
      </c>
      <c r="G1625" s="19" t="n">
        <v>277280156369</v>
      </c>
      <c r="H1625" s="17" t="s">
        <v>35</v>
      </c>
      <c r="I1625" s="17" t="s">
        <v>74</v>
      </c>
      <c r="J1625" s="17" t="s">
        <v>267</v>
      </c>
      <c r="K1625" s="17" t="str">
        <f aca="false">VLOOKUP(J1625,Sheet2!A:B,2,0)</f>
        <v>HARIRAM GUPTA</v>
      </c>
      <c r="L1625" s="17" t="n">
        <v>5</v>
      </c>
      <c r="M1625" s="17" t="str">
        <f aca="false">VLOOKUP(L1625,Sheet2!D:E,2,0)</f>
        <v>Main Processor CPU BGA</v>
      </c>
      <c r="N1625" s="17" t="n">
        <v>1</v>
      </c>
      <c r="O1625" s="17" t="str">
        <f aca="false">VLOOKUP(N1625,Sheet2!G:H,2,0)</f>
        <v>Dead</v>
      </c>
      <c r="P1625" s="17" t="n">
        <v>11</v>
      </c>
      <c r="Q1625" s="17" t="str">
        <f aca="false">VLOOKUP(P1625,Sheet2!J:K,2,0)</f>
        <v>IR Declared due to CID -TA</v>
      </c>
      <c r="R1625" s="17" t="s">
        <v>35</v>
      </c>
      <c r="S1625" s="17" t="str">
        <f aca="false">VLOOKUP(R1625,Sheet2!N:O,2,0)</f>
        <v>IREPARABLE</v>
      </c>
      <c r="T1625" s="18" t="str">
        <f aca="false">VLOOKUP(P1625,Sheet2!Q:R,2,0)</f>
        <v>IR Normal - Track burn out</v>
      </c>
      <c r="U1625" s="18" t="s">
        <v>122</v>
      </c>
      <c r="V1625" s="17" t="n">
        <v>2</v>
      </c>
      <c r="W1625" s="20" t="str">
        <f aca="false">VLOOKUP(V1625,Sheet2!Q:R,2,0)</f>
        <v>IR CID -  Water log from other area</v>
      </c>
      <c r="X1625" s="17" t="str">
        <f aca="false">J1625</f>
        <v>A007</v>
      </c>
      <c r="Y1625" s="17" t="str">
        <f aca="false">VLOOKUP(X1625,Sheet2!A:B,2,0)</f>
        <v>HARIRAM GUPTA</v>
      </c>
      <c r="Z1625" s="17" t="s">
        <v>381</v>
      </c>
      <c r="AA1625" s="17" t="s">
        <v>798</v>
      </c>
      <c r="AB1625" s="17" t="s">
        <v>41</v>
      </c>
      <c r="AC1625" s="0" t="str">
        <f aca="false">LEFT(G1625,2)</f>
        <v>27</v>
      </c>
      <c r="AE1625" s="21" t="s">
        <v>506</v>
      </c>
    </row>
    <row r="1626" customFormat="false" ht="15" hidden="false" customHeight="false" outlineLevel="0" collapsed="false">
      <c r="A1626" s="13" t="n">
        <f aca="false">1+A1625</f>
        <v>1624</v>
      </c>
      <c r="B1626" s="14" t="n">
        <v>1009687247</v>
      </c>
      <c r="C1626" s="15" t="s">
        <v>449</v>
      </c>
      <c r="D1626" s="16" t="s">
        <v>64</v>
      </c>
      <c r="E1626" s="17" t="s">
        <v>64</v>
      </c>
      <c r="F1626" s="18" t="s">
        <v>34</v>
      </c>
      <c r="G1626" s="19" t="n">
        <v>278019101676</v>
      </c>
      <c r="H1626" s="17" t="s">
        <v>35</v>
      </c>
      <c r="I1626" s="17" t="s">
        <v>74</v>
      </c>
      <c r="J1626" s="17" t="s">
        <v>118</v>
      </c>
      <c r="K1626" s="17" t="str">
        <f aca="false">VLOOKUP(J1626,Sheet2!A:B,2,0)</f>
        <v>DEVENDRA RAJPUT</v>
      </c>
      <c r="L1626" s="17" t="n">
        <v>1</v>
      </c>
      <c r="M1626" s="17" t="str">
        <f aca="false">VLOOKUP(L1626,Sheet2!D:E,2,0)</f>
        <v>Power Supply Section</v>
      </c>
      <c r="N1626" s="17" t="n">
        <v>1</v>
      </c>
      <c r="O1626" s="17" t="str">
        <f aca="false">VLOOKUP(N1626,Sheet2!G:H,2,0)</f>
        <v>Dead</v>
      </c>
      <c r="P1626" s="17" t="n">
        <v>12</v>
      </c>
      <c r="Q1626" s="17" t="str">
        <f aca="false">VLOOKUP(P1626,Sheet2!J:K,2,0)</f>
        <v>IR Declared due to Others ( IR Normal)TB</v>
      </c>
      <c r="R1626" s="17" t="s">
        <v>35</v>
      </c>
      <c r="S1626" s="17" t="str">
        <f aca="false">VLOOKUP(R1626,Sheet2!N:O,2,0)</f>
        <v>IREPARABLE</v>
      </c>
      <c r="T1626" s="18" t="str">
        <f aca="false">VLOOKUP(P1626,Sheet2!Q:R,2,0)</f>
        <v>IR Normal - BER to IR</v>
      </c>
      <c r="U1626" s="18" t="s">
        <v>101</v>
      </c>
      <c r="V1626" s="17" t="n">
        <v>8</v>
      </c>
      <c r="W1626" s="20" t="str">
        <f aca="false">VLOOKUP(V1626,Sheet2!Q:R,2,0)</f>
        <v>IR Normal -TrackRust/InternalDamage/open</v>
      </c>
      <c r="X1626" s="17" t="str">
        <f aca="false">J1626</f>
        <v>A053</v>
      </c>
      <c r="Y1626" s="17" t="str">
        <f aca="false">VLOOKUP(X1626,Sheet2!A:B,2,0)</f>
        <v>DEVENDRA RAJPUT</v>
      </c>
      <c r="Z1626" s="17" t="s">
        <v>382</v>
      </c>
      <c r="AA1626" s="17" t="s">
        <v>798</v>
      </c>
      <c r="AB1626" s="17" t="s">
        <v>41</v>
      </c>
      <c r="AC1626" s="0" t="str">
        <f aca="false">LEFT(G1626,2)</f>
        <v>27</v>
      </c>
      <c r="AE1626" s="21" t="s">
        <v>506</v>
      </c>
    </row>
    <row r="1627" customFormat="false" ht="15" hidden="false" customHeight="false" outlineLevel="0" collapsed="false">
      <c r="A1627" s="13" t="n">
        <f aca="false">1+A1626</f>
        <v>1625</v>
      </c>
      <c r="B1627" s="14" t="n">
        <v>1009684622</v>
      </c>
      <c r="C1627" s="15" t="s">
        <v>413</v>
      </c>
      <c r="D1627" s="16" t="s">
        <v>64</v>
      </c>
      <c r="E1627" s="17" t="s">
        <v>64</v>
      </c>
      <c r="F1627" s="18" t="s">
        <v>34</v>
      </c>
      <c r="G1627" s="19" t="n">
        <v>277305202875</v>
      </c>
      <c r="H1627" s="17" t="s">
        <v>35</v>
      </c>
      <c r="I1627" s="17" t="s">
        <v>74</v>
      </c>
      <c r="J1627" s="17" t="s">
        <v>121</v>
      </c>
      <c r="K1627" s="17" t="str">
        <f aca="false">VLOOKUP(J1627,Sheet2!A:B,2,0)</f>
        <v>SHANI GOHIL</v>
      </c>
      <c r="L1627" s="17" t="n">
        <v>1</v>
      </c>
      <c r="M1627" s="17" t="str">
        <f aca="false">VLOOKUP(L1627,Sheet2!D:E,2,0)</f>
        <v>Power Supply Section</v>
      </c>
      <c r="N1627" s="17" t="n">
        <v>1</v>
      </c>
      <c r="O1627" s="17" t="str">
        <f aca="false">VLOOKUP(N1627,Sheet2!G:H,2,0)</f>
        <v>Dead</v>
      </c>
      <c r="P1627" s="17" t="n">
        <v>12</v>
      </c>
      <c r="Q1627" s="17" t="str">
        <f aca="false">VLOOKUP(P1627,Sheet2!J:K,2,0)</f>
        <v>IR Declared due to Others ( IR Normal)TB</v>
      </c>
      <c r="R1627" s="17" t="s">
        <v>35</v>
      </c>
      <c r="S1627" s="17" t="str">
        <f aca="false">VLOOKUP(R1627,Sheet2!N:O,2,0)</f>
        <v>IREPARABLE</v>
      </c>
      <c r="T1627" s="18" t="str">
        <f aca="false">VLOOKUP(P1627,Sheet2!Q:R,2,0)</f>
        <v>IR Normal - BER to IR</v>
      </c>
      <c r="U1627" s="18" t="s">
        <v>101</v>
      </c>
      <c r="V1627" s="17" t="n">
        <v>8</v>
      </c>
      <c r="W1627" s="20" t="str">
        <f aca="false">VLOOKUP(V1627,Sheet2!Q:R,2,0)</f>
        <v>IR Normal -TrackRust/InternalDamage/open</v>
      </c>
      <c r="X1627" s="17" t="str">
        <f aca="false">J1627</f>
        <v>A063</v>
      </c>
      <c r="Y1627" s="17" t="str">
        <f aca="false">VLOOKUP(X1627,Sheet2!A:B,2,0)</f>
        <v>SHANI GOHIL</v>
      </c>
      <c r="Z1627" s="17" t="s">
        <v>381</v>
      </c>
      <c r="AA1627" s="17" t="s">
        <v>798</v>
      </c>
      <c r="AB1627" s="17" t="s">
        <v>41</v>
      </c>
      <c r="AC1627" s="0" t="str">
        <f aca="false">LEFT(G1627,2)</f>
        <v>27</v>
      </c>
      <c r="AE1627" s="21" t="s">
        <v>506</v>
      </c>
    </row>
    <row r="1628" customFormat="false" ht="15" hidden="false" customHeight="false" outlineLevel="0" collapsed="false">
      <c r="A1628" s="13" t="n">
        <f aca="false">1+A1627</f>
        <v>1626</v>
      </c>
      <c r="B1628" s="14" t="n">
        <v>1009466483</v>
      </c>
      <c r="C1628" s="15" t="s">
        <v>151</v>
      </c>
      <c r="D1628" s="16" t="s">
        <v>64</v>
      </c>
      <c r="E1628" s="17" t="s">
        <v>47</v>
      </c>
      <c r="F1628" s="18" t="s">
        <v>34</v>
      </c>
      <c r="G1628" s="19" t="n">
        <v>742332013090</v>
      </c>
      <c r="H1628" s="17" t="s">
        <v>35</v>
      </c>
      <c r="I1628" s="17" t="s">
        <v>54</v>
      </c>
      <c r="J1628" s="17" t="s">
        <v>115</v>
      </c>
      <c r="K1628" s="17" t="str">
        <f aca="false">VLOOKUP(J1628,Sheet2!A:B,2,0)</f>
        <v>ANKIT RANA</v>
      </c>
      <c r="L1628" s="17" t="n">
        <v>5</v>
      </c>
      <c r="M1628" s="17" t="str">
        <f aca="false">VLOOKUP(L1628,Sheet2!D:E,2,0)</f>
        <v>Main Processor CPU BGA</v>
      </c>
      <c r="N1628" s="17" t="n">
        <v>1</v>
      </c>
      <c r="O1628" s="17" t="str">
        <f aca="false">VLOOKUP(N1628,Sheet2!G:H,2,0)</f>
        <v>Dead</v>
      </c>
      <c r="P1628" s="17" t="n">
        <v>11</v>
      </c>
      <c r="Q1628" s="17" t="str">
        <f aca="false">VLOOKUP(P1628,Sheet2!J:K,2,0)</f>
        <v>IR Declared due to CID -TA</v>
      </c>
      <c r="R1628" s="17" t="s">
        <v>35</v>
      </c>
      <c r="S1628" s="17" t="str">
        <f aca="false">VLOOKUP(R1628,Sheet2!N:O,2,0)</f>
        <v>IREPARABLE</v>
      </c>
      <c r="T1628" s="18" t="str">
        <f aca="false">VLOOKUP(P1628,Sheet2!Q:R,2,0)</f>
        <v>IR Normal - Track burn out</v>
      </c>
      <c r="U1628" s="20" t="s">
        <v>635</v>
      </c>
      <c r="V1628" s="17" t="n">
        <v>5</v>
      </c>
      <c r="W1628" s="20" t="str">
        <f aca="false">VLOOKUP(V1628,Sheet2!Q:R,2,0)</f>
        <v>IR CID - Water log fully due to Flood</v>
      </c>
      <c r="X1628" s="17" t="str">
        <f aca="false">J1628</f>
        <v>A042</v>
      </c>
      <c r="Y1628" s="17" t="str">
        <f aca="false">VLOOKUP(X1628,Sheet2!A:B,2,0)</f>
        <v>ANKIT RANA</v>
      </c>
      <c r="Z1628" s="17" t="s">
        <v>127</v>
      </c>
      <c r="AA1628" s="17" t="s">
        <v>798</v>
      </c>
      <c r="AB1628" s="17" t="s">
        <v>41</v>
      </c>
      <c r="AC1628" s="0" t="str">
        <f aca="false">LEFT(G1628,2)</f>
        <v>74</v>
      </c>
      <c r="AE1628" s="21" t="s">
        <v>506</v>
      </c>
    </row>
    <row r="1629" customFormat="false" ht="15" hidden="false" customHeight="false" outlineLevel="0" collapsed="false">
      <c r="A1629" s="13" t="n">
        <f aca="false">1+A1628</f>
        <v>1627</v>
      </c>
      <c r="B1629" s="14" t="n">
        <v>1009677394</v>
      </c>
      <c r="C1629" s="15" t="s">
        <v>436</v>
      </c>
      <c r="D1629" s="16" t="s">
        <v>404</v>
      </c>
      <c r="E1629" s="17" t="s">
        <v>47</v>
      </c>
      <c r="F1629" s="18" t="s">
        <v>34</v>
      </c>
      <c r="G1629" s="19" t="n">
        <v>742331304060</v>
      </c>
      <c r="H1629" s="17" t="s">
        <v>35</v>
      </c>
      <c r="I1629" s="17" t="s">
        <v>54</v>
      </c>
      <c r="J1629" s="17" t="s">
        <v>121</v>
      </c>
      <c r="K1629" s="17" t="str">
        <f aca="false">VLOOKUP(J1629,Sheet2!A:B,2,0)</f>
        <v>SHANI GOHIL</v>
      </c>
      <c r="L1629" s="17" t="n">
        <v>1</v>
      </c>
      <c r="M1629" s="17" t="str">
        <f aca="false">VLOOKUP(L1629,Sheet2!D:E,2,0)</f>
        <v>Power Supply Section</v>
      </c>
      <c r="N1629" s="17" t="n">
        <v>1</v>
      </c>
      <c r="O1629" s="17" t="str">
        <f aca="false">VLOOKUP(N1629,Sheet2!G:H,2,0)</f>
        <v>Dead</v>
      </c>
      <c r="P1629" s="17" t="n">
        <v>12</v>
      </c>
      <c r="Q1629" s="17" t="str">
        <f aca="false">VLOOKUP(P1629,Sheet2!J:K,2,0)</f>
        <v>IR Declared due to Others ( IR Normal)TB</v>
      </c>
      <c r="R1629" s="17" t="s">
        <v>35</v>
      </c>
      <c r="S1629" s="17" t="str">
        <f aca="false">VLOOKUP(R1629,Sheet2!N:O,2,0)</f>
        <v>IREPARABLE</v>
      </c>
      <c r="T1629" s="18" t="str">
        <f aca="false">VLOOKUP(P1629,Sheet2!Q:R,2,0)</f>
        <v>IR Normal - BER to IR</v>
      </c>
      <c r="U1629" s="18" t="s">
        <v>101</v>
      </c>
      <c r="V1629" s="17" t="n">
        <v>8</v>
      </c>
      <c r="W1629" s="20" t="str">
        <f aca="false">VLOOKUP(V1629,Sheet2!Q:R,2,0)</f>
        <v>IR Normal -TrackRust/InternalDamage/open</v>
      </c>
      <c r="X1629" s="17" t="str">
        <f aca="false">J1629</f>
        <v>A063</v>
      </c>
      <c r="Y1629" s="17" t="str">
        <f aca="false">VLOOKUP(X1629,Sheet2!A:B,2,0)</f>
        <v>SHANI GOHIL</v>
      </c>
      <c r="Z1629" s="17" t="s">
        <v>833</v>
      </c>
      <c r="AA1629" s="17" t="s">
        <v>798</v>
      </c>
      <c r="AB1629" s="17" t="s">
        <v>41</v>
      </c>
      <c r="AC1629" s="0" t="str">
        <f aca="false">LEFT(G1629,2)</f>
        <v>74</v>
      </c>
      <c r="AE1629" s="21" t="s">
        <v>506</v>
      </c>
    </row>
    <row r="1630" customFormat="false" ht="15" hidden="false" customHeight="false" outlineLevel="0" collapsed="false">
      <c r="A1630" s="13" t="n">
        <f aca="false">1+A1629</f>
        <v>1628</v>
      </c>
      <c r="B1630" s="14" t="n">
        <v>1009677474</v>
      </c>
      <c r="C1630" s="15" t="s">
        <v>436</v>
      </c>
      <c r="D1630" s="16" t="s">
        <v>190</v>
      </c>
      <c r="E1630" s="17" t="s">
        <v>64</v>
      </c>
      <c r="F1630" s="18" t="s">
        <v>34</v>
      </c>
      <c r="G1630" s="19" t="n">
        <v>651090003088</v>
      </c>
      <c r="H1630" s="17" t="s">
        <v>35</v>
      </c>
      <c r="I1630" s="17" t="s">
        <v>50</v>
      </c>
      <c r="J1630" s="17" t="s">
        <v>267</v>
      </c>
      <c r="K1630" s="17" t="str">
        <f aca="false">VLOOKUP(J1630,Sheet2!A:B,2,0)</f>
        <v>HARIRAM GUPTA</v>
      </c>
      <c r="L1630" s="17" t="n">
        <v>5</v>
      </c>
      <c r="M1630" s="17" t="str">
        <f aca="false">VLOOKUP(L1630,Sheet2!D:E,2,0)</f>
        <v>Main Processor CPU BGA</v>
      </c>
      <c r="N1630" s="17" t="n">
        <v>19</v>
      </c>
      <c r="O1630" s="17" t="str">
        <f aca="false">VLOOKUP(N1630,Sheet2!G:H,2,0)</f>
        <v>No Video - Intermittent</v>
      </c>
      <c r="P1630" s="17" t="n">
        <v>12</v>
      </c>
      <c r="Q1630" s="17" t="str">
        <f aca="false">VLOOKUP(P1630,Sheet2!J:K,2,0)</f>
        <v>IR Declared due to Others ( IR Normal)TB</v>
      </c>
      <c r="R1630" s="17" t="s">
        <v>35</v>
      </c>
      <c r="S1630" s="17" t="str">
        <f aca="false">VLOOKUP(R1630,Sheet2!N:O,2,0)</f>
        <v>IREPARABLE</v>
      </c>
      <c r="T1630" s="18" t="str">
        <f aca="false">VLOOKUP(P1630,Sheet2!Q:R,2,0)</f>
        <v>IR Normal - BER to IR</v>
      </c>
      <c r="U1630" s="15" t="s">
        <v>38</v>
      </c>
      <c r="V1630" s="17" t="n">
        <v>11</v>
      </c>
      <c r="W1630" s="20" t="str">
        <f aca="false">VLOOKUP(V1630,Sheet2!Q:R,2,0)</f>
        <v>IR Normal - Track burn out</v>
      </c>
      <c r="X1630" s="17" t="str">
        <f aca="false">J1630</f>
        <v>A007</v>
      </c>
      <c r="Y1630" s="17" t="str">
        <f aca="false">VLOOKUP(X1630,Sheet2!A:B,2,0)</f>
        <v>HARIRAM GUPTA</v>
      </c>
      <c r="Z1630" s="17" t="s">
        <v>411</v>
      </c>
      <c r="AA1630" s="17" t="s">
        <v>798</v>
      </c>
      <c r="AB1630" s="17" t="s">
        <v>41</v>
      </c>
      <c r="AC1630" s="0" t="str">
        <f aca="false">LEFT(G1630,2)</f>
        <v>65</v>
      </c>
      <c r="AE1630" s="21" t="s">
        <v>506</v>
      </c>
    </row>
    <row r="1631" customFormat="false" ht="15" hidden="false" customHeight="false" outlineLevel="0" collapsed="false">
      <c r="A1631" s="13" t="n">
        <f aca="false">1+A1630</f>
        <v>1629</v>
      </c>
      <c r="B1631" s="14" t="n">
        <v>1009464105</v>
      </c>
      <c r="C1631" s="15" t="s">
        <v>433</v>
      </c>
      <c r="D1631" s="16" t="s">
        <v>196</v>
      </c>
      <c r="E1631" s="17" t="s">
        <v>47</v>
      </c>
      <c r="F1631" s="18" t="s">
        <v>34</v>
      </c>
      <c r="G1631" s="19" t="n">
        <v>651298027731</v>
      </c>
      <c r="H1631" s="17" t="s">
        <v>35</v>
      </c>
      <c r="I1631" s="17" t="s">
        <v>50</v>
      </c>
      <c r="J1631" s="17" t="s">
        <v>118</v>
      </c>
      <c r="K1631" s="17" t="str">
        <f aca="false">VLOOKUP(J1631,Sheet2!A:B,2,0)</f>
        <v>DEVENDRA RAJPUT</v>
      </c>
      <c r="L1631" s="17" t="n">
        <v>2</v>
      </c>
      <c r="M1631" s="17" t="str">
        <f aca="false">VLOOKUP(L1631,Sheet2!D:E,2,0)</f>
        <v>Tuner Section</v>
      </c>
      <c r="N1631" s="17" t="n">
        <v>6</v>
      </c>
      <c r="O1631" s="17" t="str">
        <f aca="false">VLOOKUP(N1631,Sheet2!G:H,2,0)</f>
        <v>No Signal</v>
      </c>
      <c r="P1631" s="17" t="n">
        <v>12</v>
      </c>
      <c r="Q1631" s="17" t="str">
        <f aca="false">VLOOKUP(P1631,Sheet2!J:K,2,0)</f>
        <v>IR Declared due to Others ( IR Normal)TB</v>
      </c>
      <c r="R1631" s="17" t="s">
        <v>35</v>
      </c>
      <c r="S1631" s="17" t="str">
        <f aca="false">VLOOKUP(R1631,Sheet2!N:O,2,0)</f>
        <v>IREPARABLE</v>
      </c>
      <c r="T1631" s="18" t="str">
        <f aca="false">VLOOKUP(P1631,Sheet2!Q:R,2,0)</f>
        <v>IR Normal - BER to IR</v>
      </c>
      <c r="U1631" s="15" t="s">
        <v>38</v>
      </c>
      <c r="V1631" s="17" t="n">
        <v>11</v>
      </c>
      <c r="W1631" s="20" t="str">
        <f aca="false">VLOOKUP(V1631,Sheet2!Q:R,2,0)</f>
        <v>IR Normal - Track burn out</v>
      </c>
      <c r="X1631" s="17" t="str">
        <f aca="false">J1631</f>
        <v>A053</v>
      </c>
      <c r="Y1631" s="17" t="str">
        <f aca="false">VLOOKUP(X1631,Sheet2!A:B,2,0)</f>
        <v>DEVENDRA RAJPUT</v>
      </c>
      <c r="Z1631" s="17" t="s">
        <v>411</v>
      </c>
      <c r="AA1631" s="17" t="s">
        <v>798</v>
      </c>
      <c r="AB1631" s="17" t="s">
        <v>41</v>
      </c>
      <c r="AC1631" s="0" t="str">
        <f aca="false">LEFT(G1631,2)</f>
        <v>65</v>
      </c>
      <c r="AE1631" s="21" t="s">
        <v>506</v>
      </c>
    </row>
    <row r="1632" customFormat="false" ht="15" hidden="false" customHeight="false" outlineLevel="0" collapsed="false">
      <c r="A1632" s="13" t="n">
        <f aca="false">1+A1631</f>
        <v>1630</v>
      </c>
      <c r="B1632" s="14" t="n">
        <v>1009687258</v>
      </c>
      <c r="C1632" s="15" t="s">
        <v>449</v>
      </c>
      <c r="D1632" s="16" t="s">
        <v>209</v>
      </c>
      <c r="E1632" s="17" t="s">
        <v>47</v>
      </c>
      <c r="F1632" s="18" t="s">
        <v>34</v>
      </c>
      <c r="G1632" s="19" t="n">
        <v>651098024664</v>
      </c>
      <c r="H1632" s="17" t="s">
        <v>35</v>
      </c>
      <c r="I1632" s="17" t="s">
        <v>50</v>
      </c>
      <c r="J1632" s="17" t="s">
        <v>106</v>
      </c>
      <c r="K1632" s="17" t="str">
        <f aca="false">VLOOKUP(J1632,Sheet2!A:B,2,0)</f>
        <v>PRAKASH CHAVDA</v>
      </c>
      <c r="L1632" s="17" t="n">
        <v>1</v>
      </c>
      <c r="M1632" s="17" t="str">
        <f aca="false">VLOOKUP(L1632,Sheet2!D:E,2,0)</f>
        <v>Power Supply Section</v>
      </c>
      <c r="N1632" s="17" t="n">
        <v>1</v>
      </c>
      <c r="O1632" s="17" t="str">
        <f aca="false">VLOOKUP(N1632,Sheet2!G:H,2,0)</f>
        <v>Dead</v>
      </c>
      <c r="P1632" s="17" t="n">
        <v>12</v>
      </c>
      <c r="Q1632" s="17" t="str">
        <f aca="false">VLOOKUP(P1632,Sheet2!J:K,2,0)</f>
        <v>IR Declared due to Others ( IR Normal)TB</v>
      </c>
      <c r="R1632" s="17" t="s">
        <v>35</v>
      </c>
      <c r="S1632" s="17" t="str">
        <f aca="false">VLOOKUP(R1632,Sheet2!N:O,2,0)</f>
        <v>IREPARABLE</v>
      </c>
      <c r="T1632" s="18" t="str">
        <f aca="false">VLOOKUP(P1632,Sheet2!Q:R,2,0)</f>
        <v>IR Normal - BER to IR</v>
      </c>
      <c r="U1632" s="18" t="s">
        <v>101</v>
      </c>
      <c r="V1632" s="17" t="n">
        <v>8</v>
      </c>
      <c r="W1632" s="20" t="str">
        <f aca="false">VLOOKUP(V1632,Sheet2!Q:R,2,0)</f>
        <v>IR Normal -TrackRust/InternalDamage/open</v>
      </c>
      <c r="X1632" s="17" t="str">
        <f aca="false">J1632</f>
        <v>A018</v>
      </c>
      <c r="Y1632" s="17" t="str">
        <f aca="false">VLOOKUP(X1632,Sheet2!A:B,2,0)</f>
        <v>PRAKASH CHAVDA</v>
      </c>
      <c r="Z1632" s="17" t="s">
        <v>834</v>
      </c>
      <c r="AA1632" s="17" t="s">
        <v>798</v>
      </c>
      <c r="AB1632" s="17" t="s">
        <v>41</v>
      </c>
      <c r="AC1632" s="0" t="str">
        <f aca="false">LEFT(G1632,2)</f>
        <v>65</v>
      </c>
      <c r="AE1632" s="21" t="s">
        <v>506</v>
      </c>
    </row>
    <row r="1633" customFormat="false" ht="15" hidden="false" customHeight="false" outlineLevel="0" collapsed="false">
      <c r="A1633" s="13" t="n">
        <f aca="false">1+A1632</f>
        <v>1631</v>
      </c>
      <c r="B1633" s="14" t="n">
        <v>1008495509</v>
      </c>
      <c r="C1633" s="15" t="s">
        <v>835</v>
      </c>
      <c r="D1633" s="16" t="s">
        <v>64</v>
      </c>
      <c r="E1633" s="17" t="s">
        <v>64</v>
      </c>
      <c r="F1633" s="18" t="s">
        <v>34</v>
      </c>
      <c r="G1633" s="19" t="n">
        <v>134317057567</v>
      </c>
      <c r="H1633" s="17" t="s">
        <v>35</v>
      </c>
      <c r="I1633" s="17" t="s">
        <v>44</v>
      </c>
      <c r="J1633" s="17" t="s">
        <v>118</v>
      </c>
      <c r="K1633" s="17" t="str">
        <f aca="false">VLOOKUP(J1633,Sheet2!A:B,2,0)</f>
        <v>DEVENDRA RAJPUT</v>
      </c>
      <c r="L1633" s="17" t="n">
        <v>1</v>
      </c>
      <c r="M1633" s="17" t="str">
        <f aca="false">VLOOKUP(L1633,Sheet2!D:E,2,0)</f>
        <v>Power Supply Section</v>
      </c>
      <c r="N1633" s="17" t="n">
        <v>1</v>
      </c>
      <c r="O1633" s="17" t="str">
        <f aca="false">VLOOKUP(N1633,Sheet2!G:H,2,0)</f>
        <v>Dead</v>
      </c>
      <c r="P1633" s="17" t="n">
        <v>12</v>
      </c>
      <c r="Q1633" s="17" t="str">
        <f aca="false">VLOOKUP(P1633,Sheet2!J:K,2,0)</f>
        <v>IR Declared due to Others ( IR Normal)TB</v>
      </c>
      <c r="R1633" s="17" t="s">
        <v>35</v>
      </c>
      <c r="S1633" s="17" t="str">
        <f aca="false">VLOOKUP(R1633,Sheet2!N:O,2,0)</f>
        <v>IREPARABLE</v>
      </c>
      <c r="T1633" s="18" t="str">
        <f aca="false">VLOOKUP(P1633,Sheet2!Q:R,2,0)</f>
        <v>IR Normal - BER to IR</v>
      </c>
      <c r="U1633" s="15" t="s">
        <v>38</v>
      </c>
      <c r="V1633" s="17" t="n">
        <v>11</v>
      </c>
      <c r="W1633" s="20" t="str">
        <f aca="false">VLOOKUP(V1633,Sheet2!Q:R,2,0)</f>
        <v>IR Normal - Track burn out</v>
      </c>
      <c r="X1633" s="17" t="str">
        <f aca="false">J1633</f>
        <v>A053</v>
      </c>
      <c r="Y1633" s="17" t="str">
        <f aca="false">VLOOKUP(X1633,Sheet2!A:B,2,0)</f>
        <v>DEVENDRA RAJPUT</v>
      </c>
      <c r="Z1633" s="17" t="s">
        <v>130</v>
      </c>
      <c r="AA1633" s="17" t="s">
        <v>798</v>
      </c>
      <c r="AB1633" s="17" t="s">
        <v>41</v>
      </c>
      <c r="AC1633" s="0" t="str">
        <f aca="false">LEFT(G1633,2)</f>
        <v>13</v>
      </c>
      <c r="AE1633" s="21" t="s">
        <v>506</v>
      </c>
    </row>
    <row r="1634" customFormat="false" ht="15" hidden="false" customHeight="false" outlineLevel="0" collapsed="false">
      <c r="A1634" s="13" t="n">
        <f aca="false">1+A1633</f>
        <v>1632</v>
      </c>
      <c r="B1634" s="14" t="n">
        <v>1008443684</v>
      </c>
      <c r="C1634" s="15" t="s">
        <v>459</v>
      </c>
      <c r="D1634" s="16" t="s">
        <v>64</v>
      </c>
      <c r="E1634" s="17" t="s">
        <v>47</v>
      </c>
      <c r="F1634" s="18" t="s">
        <v>34</v>
      </c>
      <c r="G1634" s="19" t="n">
        <v>134240365194</v>
      </c>
      <c r="H1634" s="17" t="s">
        <v>35</v>
      </c>
      <c r="I1634" s="17" t="s">
        <v>44</v>
      </c>
      <c r="J1634" s="17" t="s">
        <v>287</v>
      </c>
      <c r="K1634" s="17" t="str">
        <f aca="false">VLOOKUP(J1634,Sheet2!A:B,2,0)</f>
        <v>BHUPENDRA  DABHI</v>
      </c>
      <c r="L1634" s="17" t="n">
        <v>1</v>
      </c>
      <c r="M1634" s="17" t="str">
        <f aca="false">VLOOKUP(L1634,Sheet2!D:E,2,0)</f>
        <v>Power Supply Section</v>
      </c>
      <c r="N1634" s="17" t="n">
        <v>1</v>
      </c>
      <c r="O1634" s="17" t="str">
        <f aca="false">VLOOKUP(N1634,Sheet2!G:H,2,0)</f>
        <v>Dead</v>
      </c>
      <c r="P1634" s="17" t="n">
        <v>12</v>
      </c>
      <c r="Q1634" s="17" t="str">
        <f aca="false">VLOOKUP(P1634,Sheet2!J:K,2,0)</f>
        <v>IR Declared due to Others ( IR Normal)TB</v>
      </c>
      <c r="R1634" s="17" t="s">
        <v>35</v>
      </c>
      <c r="S1634" s="17" t="str">
        <f aca="false">VLOOKUP(R1634,Sheet2!N:O,2,0)</f>
        <v>IREPARABLE</v>
      </c>
      <c r="T1634" s="18" t="str">
        <f aca="false">VLOOKUP(P1634,Sheet2!Q:R,2,0)</f>
        <v>IR Normal - BER to IR</v>
      </c>
      <c r="U1634" s="18" t="s">
        <v>101</v>
      </c>
      <c r="V1634" s="17" t="n">
        <v>8</v>
      </c>
      <c r="W1634" s="20" t="str">
        <f aca="false">VLOOKUP(V1634,Sheet2!Q:R,2,0)</f>
        <v>IR Normal -TrackRust/InternalDamage/open</v>
      </c>
      <c r="X1634" s="17" t="str">
        <f aca="false">J1634</f>
        <v>A010</v>
      </c>
      <c r="Y1634" s="17" t="str">
        <f aca="false">VLOOKUP(X1634,Sheet2!A:B,2,0)</f>
        <v>BHUPENDRA  DABHI</v>
      </c>
      <c r="Z1634" s="17" t="s">
        <v>130</v>
      </c>
      <c r="AA1634" s="17" t="s">
        <v>798</v>
      </c>
      <c r="AB1634" s="17" t="s">
        <v>41</v>
      </c>
      <c r="AC1634" s="0" t="str">
        <f aca="false">LEFT(G1634,2)</f>
        <v>13</v>
      </c>
      <c r="AE1634" s="21" t="s">
        <v>506</v>
      </c>
    </row>
    <row r="1635" customFormat="false" ht="15" hidden="false" customHeight="false" outlineLevel="0" collapsed="false">
      <c r="A1635" s="13" t="n">
        <f aca="false">1+A1634</f>
        <v>1633</v>
      </c>
      <c r="B1635" s="14" t="n">
        <v>1008946699</v>
      </c>
      <c r="C1635" s="15" t="s">
        <v>95</v>
      </c>
      <c r="D1635" s="16" t="s">
        <v>836</v>
      </c>
      <c r="E1635" s="17" t="s">
        <v>255</v>
      </c>
      <c r="F1635" s="18" t="s">
        <v>34</v>
      </c>
      <c r="G1635" s="19" t="n">
        <v>135208080113</v>
      </c>
      <c r="H1635" s="17" t="s">
        <v>35</v>
      </c>
      <c r="I1635" s="17" t="s">
        <v>44</v>
      </c>
      <c r="J1635" s="17" t="s">
        <v>289</v>
      </c>
      <c r="K1635" s="17" t="str">
        <f aca="false">VLOOKUP(J1635,Sheet2!A:B,2,0)</f>
        <v>AJAY KOSHTI</v>
      </c>
      <c r="L1635" s="17" t="n">
        <v>1</v>
      </c>
      <c r="M1635" s="17" t="str">
        <f aca="false">VLOOKUP(L1635,Sheet2!D:E,2,0)</f>
        <v>Power Supply Section</v>
      </c>
      <c r="N1635" s="17" t="n">
        <v>1</v>
      </c>
      <c r="O1635" s="17" t="str">
        <f aca="false">VLOOKUP(N1635,Sheet2!G:H,2,0)</f>
        <v>Dead</v>
      </c>
      <c r="P1635" s="17" t="n">
        <v>12</v>
      </c>
      <c r="Q1635" s="17" t="str">
        <f aca="false">VLOOKUP(P1635,Sheet2!J:K,2,0)</f>
        <v>IR Declared due to Others ( IR Normal)TB</v>
      </c>
      <c r="R1635" s="17" t="s">
        <v>35</v>
      </c>
      <c r="S1635" s="17" t="str">
        <f aca="false">VLOOKUP(R1635,Sheet2!N:O,2,0)</f>
        <v>IREPARABLE</v>
      </c>
      <c r="T1635" s="18" t="str">
        <f aca="false">VLOOKUP(P1635,Sheet2!Q:R,2,0)</f>
        <v>IR Normal - BER to IR</v>
      </c>
      <c r="U1635" s="18" t="s">
        <v>101</v>
      </c>
      <c r="V1635" s="17" t="n">
        <v>8</v>
      </c>
      <c r="W1635" s="20" t="str">
        <f aca="false">VLOOKUP(V1635,Sheet2!Q:R,2,0)</f>
        <v>IR Normal -TrackRust/InternalDamage/open</v>
      </c>
      <c r="X1635" s="17" t="str">
        <f aca="false">J1635</f>
        <v>A051</v>
      </c>
      <c r="Y1635" s="17" t="str">
        <f aca="false">VLOOKUP(X1635,Sheet2!A:B,2,0)</f>
        <v>AJAY KOSHTI</v>
      </c>
      <c r="Z1635" s="17" t="s">
        <v>130</v>
      </c>
      <c r="AA1635" s="17" t="s">
        <v>798</v>
      </c>
      <c r="AB1635" s="17" t="s">
        <v>41</v>
      </c>
      <c r="AC1635" s="0" t="str">
        <f aca="false">LEFT(G1635,2)</f>
        <v>13</v>
      </c>
      <c r="AE1635" s="21" t="s">
        <v>506</v>
      </c>
    </row>
    <row r="1636" customFormat="false" ht="15" hidden="false" customHeight="false" outlineLevel="0" collapsed="false">
      <c r="A1636" s="13" t="n">
        <f aca="false">1+A1635</f>
        <v>1634</v>
      </c>
      <c r="B1636" s="14" t="n">
        <v>1008756389</v>
      </c>
      <c r="C1636" s="15" t="s">
        <v>484</v>
      </c>
      <c r="D1636" s="16" t="s">
        <v>86</v>
      </c>
      <c r="E1636" s="17" t="s">
        <v>47</v>
      </c>
      <c r="F1636" s="18" t="s">
        <v>34</v>
      </c>
      <c r="G1636" s="19" t="n">
        <v>133322109330</v>
      </c>
      <c r="H1636" s="17" t="s">
        <v>35</v>
      </c>
      <c r="I1636" s="17" t="s">
        <v>44</v>
      </c>
      <c r="J1636" s="17" t="s">
        <v>100</v>
      </c>
      <c r="K1636" s="17" t="str">
        <f aca="false">VLOOKUP(J1636,Sheet2!A:B,2,0)</f>
        <v>PIYUSH CHAVDA</v>
      </c>
      <c r="L1636" s="17" t="n">
        <v>1</v>
      </c>
      <c r="M1636" s="17" t="str">
        <f aca="false">VLOOKUP(L1636,Sheet2!D:E,2,0)</f>
        <v>Power Supply Section</v>
      </c>
      <c r="N1636" s="17" t="n">
        <v>1</v>
      </c>
      <c r="O1636" s="17" t="str">
        <f aca="false">VLOOKUP(N1636,Sheet2!G:H,2,0)</f>
        <v>Dead</v>
      </c>
      <c r="P1636" s="17" t="n">
        <v>12</v>
      </c>
      <c r="Q1636" s="17" t="str">
        <f aca="false">VLOOKUP(P1636,Sheet2!J:K,2,0)</f>
        <v>IR Declared due to Others ( IR Normal)TB</v>
      </c>
      <c r="R1636" s="17" t="s">
        <v>35</v>
      </c>
      <c r="S1636" s="17" t="str">
        <f aca="false">VLOOKUP(R1636,Sheet2!N:O,2,0)</f>
        <v>IREPARABLE</v>
      </c>
      <c r="T1636" s="18" t="str">
        <f aca="false">VLOOKUP(P1636,Sheet2!Q:R,2,0)</f>
        <v>IR Normal - BER to IR</v>
      </c>
      <c r="U1636" s="18" t="s">
        <v>101</v>
      </c>
      <c r="V1636" s="17" t="n">
        <v>8</v>
      </c>
      <c r="W1636" s="20" t="str">
        <f aca="false">VLOOKUP(V1636,Sheet2!Q:R,2,0)</f>
        <v>IR Normal -TrackRust/InternalDamage/open</v>
      </c>
      <c r="X1636" s="17" t="str">
        <f aca="false">J1636</f>
        <v>A050</v>
      </c>
      <c r="Y1636" s="17" t="str">
        <f aca="false">VLOOKUP(X1636,Sheet2!A:B,2,0)</f>
        <v>PIYUSH CHAVDA</v>
      </c>
      <c r="Z1636" s="17" t="s">
        <v>130</v>
      </c>
      <c r="AA1636" s="17" t="s">
        <v>798</v>
      </c>
      <c r="AB1636" s="17" t="s">
        <v>41</v>
      </c>
      <c r="AC1636" s="0" t="str">
        <f aca="false">LEFT(G1636,2)</f>
        <v>13</v>
      </c>
      <c r="AE1636" s="21" t="s">
        <v>506</v>
      </c>
    </row>
    <row r="1637" customFormat="false" ht="15" hidden="false" customHeight="false" outlineLevel="0" collapsed="false">
      <c r="A1637" s="13" t="n">
        <f aca="false">1+A1636</f>
        <v>1635</v>
      </c>
      <c r="B1637" s="14" t="n">
        <v>1008888009</v>
      </c>
      <c r="C1637" s="15" t="s">
        <v>837</v>
      </c>
      <c r="D1637" s="16" t="s">
        <v>227</v>
      </c>
      <c r="E1637" s="17" t="s">
        <v>838</v>
      </c>
      <c r="F1637" s="18" t="s">
        <v>34</v>
      </c>
      <c r="G1637" s="19" t="n">
        <v>134283156930</v>
      </c>
      <c r="H1637" s="17" t="s">
        <v>35</v>
      </c>
      <c r="I1637" s="17" t="s">
        <v>44</v>
      </c>
      <c r="J1637" s="17" t="s">
        <v>121</v>
      </c>
      <c r="K1637" s="17" t="str">
        <f aca="false">VLOOKUP(J1637,Sheet2!A:B,2,0)</f>
        <v>SHANI GOHIL</v>
      </c>
      <c r="L1637" s="17" t="n">
        <v>1</v>
      </c>
      <c r="M1637" s="17" t="str">
        <f aca="false">VLOOKUP(L1637,Sheet2!D:E,2,0)</f>
        <v>Power Supply Section</v>
      </c>
      <c r="N1637" s="17" t="n">
        <v>1</v>
      </c>
      <c r="O1637" s="17" t="str">
        <f aca="false">VLOOKUP(N1637,Sheet2!G:H,2,0)</f>
        <v>Dead</v>
      </c>
      <c r="P1637" s="17" t="n">
        <v>11</v>
      </c>
      <c r="Q1637" s="17" t="str">
        <f aca="false">VLOOKUP(P1637,Sheet2!J:K,2,0)</f>
        <v>IR Declared due to CID -TA</v>
      </c>
      <c r="R1637" s="17" t="s">
        <v>35</v>
      </c>
      <c r="S1637" s="17" t="str">
        <f aca="false">VLOOKUP(R1637,Sheet2!N:O,2,0)</f>
        <v>IREPARABLE</v>
      </c>
      <c r="T1637" s="18" t="str">
        <f aca="false">VLOOKUP(P1637,Sheet2!Q:R,2,0)</f>
        <v>IR Normal - Track burn out</v>
      </c>
      <c r="U1637" s="18" t="s">
        <v>38</v>
      </c>
      <c r="V1637" s="17" t="n">
        <v>4</v>
      </c>
      <c r="W1637" s="20" t="str">
        <f aca="false">VLOOKUP(V1637,Sheet2!Q:R,2,0)</f>
        <v>IR CID - Tampered Track burn out</v>
      </c>
      <c r="X1637" s="17" t="str">
        <f aca="false">J1637</f>
        <v>A063</v>
      </c>
      <c r="Y1637" s="17" t="str">
        <f aca="false">VLOOKUP(X1637,Sheet2!A:B,2,0)</f>
        <v>SHANI GOHIL</v>
      </c>
      <c r="Z1637" s="17" t="s">
        <v>839</v>
      </c>
      <c r="AA1637" s="17" t="s">
        <v>798</v>
      </c>
      <c r="AB1637" s="17" t="s">
        <v>41</v>
      </c>
      <c r="AC1637" s="0" t="str">
        <f aca="false">LEFT(G1637,2)</f>
        <v>13</v>
      </c>
      <c r="AE1637" s="21" t="s">
        <v>506</v>
      </c>
    </row>
    <row r="1638" customFormat="false" ht="15" hidden="false" customHeight="false" outlineLevel="0" collapsed="false">
      <c r="A1638" s="13" t="n">
        <f aca="false">1+A1637</f>
        <v>1636</v>
      </c>
      <c r="B1638" s="14" t="n">
        <v>1008922318</v>
      </c>
      <c r="C1638" s="15" t="s">
        <v>421</v>
      </c>
      <c r="D1638" s="16" t="s">
        <v>86</v>
      </c>
      <c r="E1638" s="17" t="s">
        <v>47</v>
      </c>
      <c r="F1638" s="18" t="s">
        <v>34</v>
      </c>
      <c r="G1638" s="19" t="n">
        <v>134119093307</v>
      </c>
      <c r="H1638" s="17" t="s">
        <v>134</v>
      </c>
      <c r="I1638" s="17" t="s">
        <v>44</v>
      </c>
      <c r="J1638" s="17" t="s">
        <v>106</v>
      </c>
      <c r="K1638" s="17" t="str">
        <f aca="false">VLOOKUP(J1638,Sheet2!A:B,2,0)</f>
        <v>PRAKASH CHAVDA</v>
      </c>
      <c r="L1638" s="17" t="n">
        <v>5</v>
      </c>
      <c r="M1638" s="17" t="str">
        <f aca="false">VLOOKUP(L1638,Sheet2!D:E,2,0)</f>
        <v>Main Processor CPU BGA</v>
      </c>
      <c r="N1638" s="17" t="n">
        <v>1</v>
      </c>
      <c r="O1638" s="17" t="str">
        <f aca="false">VLOOKUP(N1638,Sheet2!G:H,2,0)</f>
        <v>Dead</v>
      </c>
      <c r="P1638" s="17" t="n">
        <v>12</v>
      </c>
      <c r="Q1638" s="17" t="str">
        <f aca="false">VLOOKUP(P1638,Sheet2!J:K,2,0)</f>
        <v>IR Declared due to Others ( IR Normal)TB</v>
      </c>
      <c r="R1638" s="17" t="s">
        <v>35</v>
      </c>
      <c r="S1638" s="17" t="str">
        <f aca="false">VLOOKUP(R1638,Sheet2!N:O,2,0)</f>
        <v>IREPARABLE</v>
      </c>
      <c r="T1638" s="18" t="str">
        <f aca="false">VLOOKUP(P1638,Sheet2!Q:R,2,0)</f>
        <v>IR Normal - BER to IR</v>
      </c>
      <c r="U1638" s="20" t="s">
        <v>135</v>
      </c>
      <c r="V1638" s="17" t="n">
        <v>12</v>
      </c>
      <c r="W1638" s="20" t="str">
        <f aca="false">VLOOKUP(V1638,Sheet2!Q:R,2,0)</f>
        <v>IR Normal - BER to IR</v>
      </c>
      <c r="X1638" s="17" t="str">
        <f aca="false">J1638</f>
        <v>A018</v>
      </c>
      <c r="Y1638" s="17" t="str">
        <f aca="false">VLOOKUP(X1638,Sheet2!A:B,2,0)</f>
        <v>PRAKASH CHAVDA</v>
      </c>
      <c r="Z1638" s="17" t="s">
        <v>840</v>
      </c>
      <c r="AA1638" s="17" t="s">
        <v>798</v>
      </c>
      <c r="AB1638" s="17" t="s">
        <v>41</v>
      </c>
      <c r="AC1638" s="0" t="str">
        <f aca="false">LEFT(G1638,2)</f>
        <v>13</v>
      </c>
      <c r="AE1638" s="21" t="s">
        <v>506</v>
      </c>
    </row>
    <row r="1639" customFormat="false" ht="15" hidden="false" customHeight="false" outlineLevel="0" collapsed="false">
      <c r="A1639" s="13" t="n">
        <f aca="false">1+A1638</f>
        <v>1637</v>
      </c>
      <c r="B1639" s="14" t="n">
        <v>1008842835</v>
      </c>
      <c r="C1639" s="15" t="s">
        <v>841</v>
      </c>
      <c r="D1639" s="16" t="s">
        <v>64</v>
      </c>
      <c r="E1639" s="17" t="s">
        <v>64</v>
      </c>
      <c r="F1639" s="18" t="s">
        <v>34</v>
      </c>
      <c r="G1639" s="19" t="n">
        <v>134325006960</v>
      </c>
      <c r="H1639" s="17" t="s">
        <v>35</v>
      </c>
      <c r="I1639" s="17" t="s">
        <v>44</v>
      </c>
      <c r="J1639" s="17" t="s">
        <v>111</v>
      </c>
      <c r="K1639" s="17" t="str">
        <f aca="false">VLOOKUP(J1639,Sheet2!A:B,2,0)</f>
        <v>NITIN PRANAMI</v>
      </c>
      <c r="L1639" s="17" t="n">
        <v>5</v>
      </c>
      <c r="M1639" s="17" t="str">
        <f aca="false">VLOOKUP(L1639,Sheet2!D:E,2,0)</f>
        <v>Main Processor CPU BGA</v>
      </c>
      <c r="N1639" s="17" t="n">
        <v>24</v>
      </c>
      <c r="O1639" s="17" t="str">
        <f aca="false">VLOOKUP(N1639,Sheet2!G:H,2,0)</f>
        <v>STB Auto moving -Stand by mode</v>
      </c>
      <c r="P1639" s="17" t="n">
        <v>11</v>
      </c>
      <c r="Q1639" s="17" t="str">
        <f aca="false">VLOOKUP(P1639,Sheet2!J:K,2,0)</f>
        <v>IR Declared due to CID -TA</v>
      </c>
      <c r="R1639" s="17" t="s">
        <v>35</v>
      </c>
      <c r="S1639" s="17" t="str">
        <f aca="false">VLOOKUP(R1639,Sheet2!N:O,2,0)</f>
        <v>IREPARABLE</v>
      </c>
      <c r="T1639" s="18" t="str">
        <f aca="false">VLOOKUP(P1639,Sheet2!Q:R,2,0)</f>
        <v>IR Normal - Track burn out</v>
      </c>
      <c r="U1639" s="18" t="s">
        <v>122</v>
      </c>
      <c r="V1639" s="17" t="n">
        <v>2</v>
      </c>
      <c r="W1639" s="20" t="str">
        <f aca="false">VLOOKUP(V1639,Sheet2!Q:R,2,0)</f>
        <v>IR CID -  Water log from other area</v>
      </c>
      <c r="X1639" s="17" t="str">
        <f aca="false">J1639</f>
        <v>A031</v>
      </c>
      <c r="Y1639" s="17" t="str">
        <f aca="false">VLOOKUP(X1639,Sheet2!A:B,2,0)</f>
        <v>NITIN PRANAMI</v>
      </c>
      <c r="Z1639" s="17" t="s">
        <v>840</v>
      </c>
      <c r="AA1639" s="17" t="s">
        <v>798</v>
      </c>
      <c r="AB1639" s="17" t="s">
        <v>41</v>
      </c>
      <c r="AC1639" s="0" t="str">
        <f aca="false">LEFT(G1639,2)</f>
        <v>13</v>
      </c>
      <c r="AE1639" s="21" t="s">
        <v>506</v>
      </c>
    </row>
    <row r="1640" customFormat="false" ht="15" hidden="false" customHeight="false" outlineLevel="0" collapsed="false">
      <c r="A1640" s="13" t="n">
        <f aca="false">1+A1639</f>
        <v>1638</v>
      </c>
      <c r="B1640" s="14" t="n">
        <v>1008924329</v>
      </c>
      <c r="C1640" s="15" t="s">
        <v>842</v>
      </c>
      <c r="D1640" s="16" t="s">
        <v>64</v>
      </c>
      <c r="E1640" s="17" t="s">
        <v>64</v>
      </c>
      <c r="F1640" s="18" t="s">
        <v>34</v>
      </c>
      <c r="G1640" s="19" t="n">
        <v>134106234500</v>
      </c>
      <c r="H1640" s="17" t="s">
        <v>35</v>
      </c>
      <c r="I1640" s="17" t="s">
        <v>44</v>
      </c>
      <c r="J1640" s="17" t="s">
        <v>111</v>
      </c>
      <c r="K1640" s="17" t="str">
        <f aca="false">VLOOKUP(J1640,Sheet2!A:B,2,0)</f>
        <v>NITIN PRANAMI</v>
      </c>
      <c r="L1640" s="17" t="n">
        <v>1</v>
      </c>
      <c r="M1640" s="17" t="str">
        <f aca="false">VLOOKUP(L1640,Sheet2!D:E,2,0)</f>
        <v>Power Supply Section</v>
      </c>
      <c r="N1640" s="17" t="n">
        <v>1</v>
      </c>
      <c r="O1640" s="17" t="str">
        <f aca="false">VLOOKUP(N1640,Sheet2!G:H,2,0)</f>
        <v>Dead</v>
      </c>
      <c r="P1640" s="17" t="n">
        <v>12</v>
      </c>
      <c r="Q1640" s="17" t="str">
        <f aca="false">VLOOKUP(P1640,Sheet2!J:K,2,0)</f>
        <v>IR Declared due to Others ( IR Normal)TB</v>
      </c>
      <c r="R1640" s="17" t="s">
        <v>35</v>
      </c>
      <c r="S1640" s="17" t="str">
        <f aca="false">VLOOKUP(R1640,Sheet2!N:O,2,0)</f>
        <v>IREPARABLE</v>
      </c>
      <c r="T1640" s="18" t="str">
        <f aca="false">VLOOKUP(P1640,Sheet2!Q:R,2,0)</f>
        <v>IR Normal - BER to IR</v>
      </c>
      <c r="U1640" s="15" t="s">
        <v>38</v>
      </c>
      <c r="V1640" s="17" t="n">
        <v>11</v>
      </c>
      <c r="W1640" s="20" t="str">
        <f aca="false">VLOOKUP(V1640,Sheet2!Q:R,2,0)</f>
        <v>IR Normal - Track burn out</v>
      </c>
      <c r="X1640" s="17" t="str">
        <f aca="false">J1640</f>
        <v>A031</v>
      </c>
      <c r="Y1640" s="17" t="str">
        <f aca="false">VLOOKUP(X1640,Sheet2!A:B,2,0)</f>
        <v>NITIN PRANAMI</v>
      </c>
      <c r="Z1640" s="17" t="s">
        <v>840</v>
      </c>
      <c r="AA1640" s="17" t="s">
        <v>798</v>
      </c>
      <c r="AB1640" s="17" t="s">
        <v>41</v>
      </c>
      <c r="AC1640" s="0" t="str">
        <f aca="false">LEFT(G1640,2)</f>
        <v>13</v>
      </c>
      <c r="AE1640" s="21" t="s">
        <v>506</v>
      </c>
    </row>
    <row r="1641" customFormat="false" ht="15" hidden="false" customHeight="false" outlineLevel="0" collapsed="false">
      <c r="A1641" s="13" t="n">
        <f aca="false">1+A1640</f>
        <v>1639</v>
      </c>
      <c r="B1641" s="14" t="n">
        <v>1008917236</v>
      </c>
      <c r="C1641" s="15" t="s">
        <v>51</v>
      </c>
      <c r="D1641" s="16" t="s">
        <v>64</v>
      </c>
      <c r="E1641" s="17" t="s">
        <v>33</v>
      </c>
      <c r="F1641" s="18" t="s">
        <v>34</v>
      </c>
      <c r="G1641" s="19" t="n">
        <v>133338190464</v>
      </c>
      <c r="H1641" s="17" t="s">
        <v>35</v>
      </c>
      <c r="I1641" s="17" t="s">
        <v>44</v>
      </c>
      <c r="J1641" s="17" t="s">
        <v>121</v>
      </c>
      <c r="K1641" s="17" t="str">
        <f aca="false">VLOOKUP(J1641,Sheet2!A:B,2,0)</f>
        <v>SHANI GOHIL</v>
      </c>
      <c r="L1641" s="17" t="n">
        <v>5</v>
      </c>
      <c r="M1641" s="17" t="str">
        <f aca="false">VLOOKUP(L1641,Sheet2!D:E,2,0)</f>
        <v>Main Processor CPU BGA</v>
      </c>
      <c r="N1641" s="17" t="n">
        <v>24</v>
      </c>
      <c r="O1641" s="17" t="str">
        <f aca="false">VLOOKUP(N1641,Sheet2!G:H,2,0)</f>
        <v>STB Auto moving -Stand by mode</v>
      </c>
      <c r="P1641" s="17" t="n">
        <v>12</v>
      </c>
      <c r="Q1641" s="17" t="str">
        <f aca="false">VLOOKUP(P1641,Sheet2!J:K,2,0)</f>
        <v>IR Declared due to Others ( IR Normal)TB</v>
      </c>
      <c r="R1641" s="17" t="s">
        <v>35</v>
      </c>
      <c r="S1641" s="17" t="str">
        <f aca="false">VLOOKUP(R1641,Sheet2!N:O,2,0)</f>
        <v>IREPARABLE</v>
      </c>
      <c r="T1641" s="18" t="str">
        <f aca="false">VLOOKUP(P1641,Sheet2!Q:R,2,0)</f>
        <v>IR Normal - BER to IR</v>
      </c>
      <c r="U1641" s="20" t="s">
        <v>110</v>
      </c>
      <c r="V1641" s="17" t="n">
        <v>9</v>
      </c>
      <c r="W1641" s="20" t="str">
        <f aca="false">VLOOKUP(V1641,Sheet2!Q:R,2,0)</f>
        <v>IR Normal - Multiple time repair </v>
      </c>
      <c r="X1641" s="17" t="str">
        <f aca="false">J1641</f>
        <v>A063</v>
      </c>
      <c r="Y1641" s="17" t="str">
        <f aca="false">VLOOKUP(X1641,Sheet2!A:B,2,0)</f>
        <v>SHANI GOHIL</v>
      </c>
      <c r="Z1641" s="17" t="s">
        <v>840</v>
      </c>
      <c r="AA1641" s="17" t="s">
        <v>798</v>
      </c>
      <c r="AB1641" s="17" t="s">
        <v>41</v>
      </c>
      <c r="AC1641" s="0" t="str">
        <f aca="false">LEFT(G1641,2)</f>
        <v>13</v>
      </c>
      <c r="AE1641" s="21" t="s">
        <v>506</v>
      </c>
    </row>
    <row r="1642" customFormat="false" ht="15" hidden="false" customHeight="false" outlineLevel="0" collapsed="false">
      <c r="A1642" s="13" t="n">
        <f aca="false">1+A1641</f>
        <v>1640</v>
      </c>
      <c r="B1642" s="14" t="n">
        <v>1006408351</v>
      </c>
      <c r="C1642" s="15" t="s">
        <v>843</v>
      </c>
      <c r="D1642" s="16" t="s">
        <v>198</v>
      </c>
      <c r="E1642" s="17" t="s">
        <v>47</v>
      </c>
      <c r="F1642" s="18" t="s">
        <v>34</v>
      </c>
      <c r="G1642" s="19" t="n">
        <v>134119337118</v>
      </c>
      <c r="H1642" s="17" t="s">
        <v>35</v>
      </c>
      <c r="I1642" s="17" t="s">
        <v>44</v>
      </c>
      <c r="J1642" s="17" t="s">
        <v>239</v>
      </c>
      <c r="K1642" s="17" t="str">
        <f aca="false">VLOOKUP(J1642,Sheet2!A:B,2,0)</f>
        <v>VASANT PARMAR</v>
      </c>
      <c r="L1642" s="17" t="n">
        <v>5</v>
      </c>
      <c r="M1642" s="17" t="str">
        <f aca="false">VLOOKUP(L1642,Sheet2!D:E,2,0)</f>
        <v>Main Processor CPU BGA</v>
      </c>
      <c r="N1642" s="17" t="n">
        <v>1</v>
      </c>
      <c r="O1642" s="17" t="str">
        <f aca="false">VLOOKUP(N1642,Sheet2!G:H,2,0)</f>
        <v>Dead</v>
      </c>
      <c r="P1642" s="17" t="n">
        <v>11</v>
      </c>
      <c r="Q1642" s="17" t="str">
        <f aca="false">VLOOKUP(P1642,Sheet2!J:K,2,0)</f>
        <v>IR Declared due to CID -TA</v>
      </c>
      <c r="R1642" s="17" t="s">
        <v>35</v>
      </c>
      <c r="S1642" s="17" t="str">
        <f aca="false">VLOOKUP(R1642,Sheet2!N:O,2,0)</f>
        <v>IREPARABLE</v>
      </c>
      <c r="T1642" s="18" t="str">
        <f aca="false">VLOOKUP(P1642,Sheet2!Q:R,2,0)</f>
        <v>IR Normal - Track burn out</v>
      </c>
      <c r="U1642" s="18" t="s">
        <v>38</v>
      </c>
      <c r="V1642" s="17" t="n">
        <v>4</v>
      </c>
      <c r="W1642" s="20" t="str">
        <f aca="false">VLOOKUP(V1642,Sheet2!Q:R,2,0)</f>
        <v>IR CID - Tampered Track burn out</v>
      </c>
      <c r="X1642" s="17" t="str">
        <f aca="false">J1642</f>
        <v>A005</v>
      </c>
      <c r="Y1642" s="17" t="str">
        <f aca="false">VLOOKUP(X1642,Sheet2!A:B,2,0)</f>
        <v>VASANT PARMAR</v>
      </c>
      <c r="Z1642" s="17" t="s">
        <v>844</v>
      </c>
      <c r="AA1642" s="17" t="s">
        <v>798</v>
      </c>
      <c r="AB1642" s="17" t="s">
        <v>41</v>
      </c>
      <c r="AC1642" s="0" t="str">
        <f aca="false">LEFT(G1642,2)</f>
        <v>13</v>
      </c>
      <c r="AE1642" s="21" t="s">
        <v>506</v>
      </c>
    </row>
    <row r="1643" customFormat="false" ht="15" hidden="false" customHeight="false" outlineLevel="0" collapsed="false">
      <c r="A1643" s="13" t="n">
        <f aca="false">1+A1642</f>
        <v>1641</v>
      </c>
      <c r="B1643" s="14" t="n">
        <v>1009611605</v>
      </c>
      <c r="C1643" s="15" t="s">
        <v>845</v>
      </c>
      <c r="D1643" s="16" t="s">
        <v>113</v>
      </c>
      <c r="E1643" s="17" t="s">
        <v>64</v>
      </c>
      <c r="F1643" s="18" t="s">
        <v>34</v>
      </c>
      <c r="G1643" s="19" t="n">
        <v>987096378615</v>
      </c>
      <c r="H1643" s="17" t="s">
        <v>35</v>
      </c>
      <c r="I1643" s="17" t="s">
        <v>44</v>
      </c>
      <c r="J1643" s="17" t="s">
        <v>100</v>
      </c>
      <c r="K1643" s="17" t="str">
        <f aca="false">VLOOKUP(J1643,Sheet2!A:B,2,0)</f>
        <v>PIYUSH CHAVDA</v>
      </c>
      <c r="L1643" s="17" t="n">
        <v>1</v>
      </c>
      <c r="M1643" s="17" t="str">
        <f aca="false">VLOOKUP(L1643,Sheet2!D:E,2,0)</f>
        <v>Power Supply Section</v>
      </c>
      <c r="N1643" s="17" t="n">
        <v>1</v>
      </c>
      <c r="O1643" s="17" t="str">
        <f aca="false">VLOOKUP(N1643,Sheet2!G:H,2,0)</f>
        <v>Dead</v>
      </c>
      <c r="P1643" s="17" t="n">
        <v>11</v>
      </c>
      <c r="Q1643" s="17" t="str">
        <f aca="false">VLOOKUP(P1643,Sheet2!J:K,2,0)</f>
        <v>IR Declared due to CID -TA</v>
      </c>
      <c r="R1643" s="17" t="s">
        <v>35</v>
      </c>
      <c r="S1643" s="17" t="str">
        <f aca="false">VLOOKUP(R1643,Sheet2!N:O,2,0)</f>
        <v>IREPARABLE</v>
      </c>
      <c r="T1643" s="18" t="str">
        <f aca="false">VLOOKUP(P1643,Sheet2!Q:R,2,0)</f>
        <v>IR Normal - Track burn out</v>
      </c>
      <c r="U1643" s="18" t="s">
        <v>122</v>
      </c>
      <c r="V1643" s="17" t="n">
        <v>2</v>
      </c>
      <c r="W1643" s="20" t="str">
        <f aca="false">VLOOKUP(V1643,Sheet2!Q:R,2,0)</f>
        <v>IR CID -  Water log from other area</v>
      </c>
      <c r="X1643" s="17" t="str">
        <f aca="false">J1643</f>
        <v>A050</v>
      </c>
      <c r="Y1643" s="17" t="str">
        <f aca="false">VLOOKUP(X1643,Sheet2!A:B,2,0)</f>
        <v>PIYUSH CHAVDA</v>
      </c>
      <c r="Z1643" s="17" t="s">
        <v>846</v>
      </c>
      <c r="AA1643" s="17" t="s">
        <v>798</v>
      </c>
      <c r="AB1643" s="17" t="s">
        <v>41</v>
      </c>
      <c r="AC1643" s="0" t="str">
        <f aca="false">LEFT(G1643,2)</f>
        <v>98</v>
      </c>
      <c r="AE1643" s="21" t="s">
        <v>506</v>
      </c>
    </row>
    <row r="1644" customFormat="false" ht="15" hidden="false" customHeight="false" outlineLevel="0" collapsed="false">
      <c r="A1644" s="13" t="n">
        <f aca="false">1+A1643</f>
        <v>1642</v>
      </c>
      <c r="B1644" s="14" t="n">
        <v>1009364921</v>
      </c>
      <c r="C1644" s="15" t="s">
        <v>278</v>
      </c>
      <c r="D1644" s="16" t="s">
        <v>64</v>
      </c>
      <c r="E1644" s="17" t="s">
        <v>91</v>
      </c>
      <c r="F1644" s="18" t="s">
        <v>34</v>
      </c>
      <c r="G1644" s="19" t="n">
        <v>987192126405</v>
      </c>
      <c r="H1644" s="17" t="s">
        <v>35</v>
      </c>
      <c r="I1644" s="17" t="s">
        <v>44</v>
      </c>
      <c r="J1644" s="17" t="s">
        <v>287</v>
      </c>
      <c r="K1644" s="17" t="str">
        <f aca="false">VLOOKUP(J1644,Sheet2!A:B,2,0)</f>
        <v>BHUPENDRA  DABHI</v>
      </c>
      <c r="L1644" s="17" t="n">
        <v>1</v>
      </c>
      <c r="M1644" s="17" t="str">
        <f aca="false">VLOOKUP(L1644,Sheet2!D:E,2,0)</f>
        <v>Power Supply Section</v>
      </c>
      <c r="N1644" s="17" t="n">
        <v>1</v>
      </c>
      <c r="O1644" s="17" t="str">
        <f aca="false">VLOOKUP(N1644,Sheet2!G:H,2,0)</f>
        <v>Dead</v>
      </c>
      <c r="P1644" s="17" t="n">
        <v>11</v>
      </c>
      <c r="Q1644" s="17" t="str">
        <f aca="false">VLOOKUP(P1644,Sheet2!J:K,2,0)</f>
        <v>IR Declared due to CID -TA</v>
      </c>
      <c r="R1644" s="17" t="s">
        <v>35</v>
      </c>
      <c r="S1644" s="17" t="str">
        <f aca="false">VLOOKUP(R1644,Sheet2!N:O,2,0)</f>
        <v>IREPARABLE</v>
      </c>
      <c r="T1644" s="18" t="str">
        <f aca="false">VLOOKUP(P1644,Sheet2!Q:R,2,0)</f>
        <v>IR Normal - Track burn out</v>
      </c>
      <c r="U1644" s="18" t="s">
        <v>122</v>
      </c>
      <c r="V1644" s="17" t="n">
        <v>2</v>
      </c>
      <c r="W1644" s="20" t="str">
        <f aca="false">VLOOKUP(V1644,Sheet2!Q:R,2,0)</f>
        <v>IR CID -  Water log from other area</v>
      </c>
      <c r="X1644" s="17" t="str">
        <f aca="false">J1644</f>
        <v>A010</v>
      </c>
      <c r="Y1644" s="17" t="str">
        <f aca="false">VLOOKUP(X1644,Sheet2!A:B,2,0)</f>
        <v>BHUPENDRA  DABHI</v>
      </c>
      <c r="Z1644" s="17" t="s">
        <v>580</v>
      </c>
      <c r="AA1644" s="17" t="s">
        <v>798</v>
      </c>
      <c r="AB1644" s="17" t="s">
        <v>41</v>
      </c>
      <c r="AC1644" s="0" t="str">
        <f aca="false">LEFT(G1644,2)</f>
        <v>98</v>
      </c>
      <c r="AE1644" s="21" t="s">
        <v>506</v>
      </c>
    </row>
    <row r="1645" customFormat="false" ht="15" hidden="false" customHeight="false" outlineLevel="0" collapsed="false">
      <c r="A1645" s="13" t="n">
        <f aca="false">1+A1644</f>
        <v>1643</v>
      </c>
      <c r="B1645" s="14" t="n">
        <v>1009562054</v>
      </c>
      <c r="C1645" s="15" t="s">
        <v>192</v>
      </c>
      <c r="D1645" s="16" t="s">
        <v>64</v>
      </c>
      <c r="E1645" s="17" t="s">
        <v>47</v>
      </c>
      <c r="F1645" s="18" t="s">
        <v>34</v>
      </c>
      <c r="G1645" s="19" t="n">
        <v>986142114008</v>
      </c>
      <c r="H1645" s="17" t="s">
        <v>35</v>
      </c>
      <c r="I1645" s="17" t="s">
        <v>44</v>
      </c>
      <c r="J1645" s="17" t="s">
        <v>121</v>
      </c>
      <c r="K1645" s="17" t="str">
        <f aca="false">VLOOKUP(J1645,Sheet2!A:B,2,0)</f>
        <v>SHANI GOHIL</v>
      </c>
      <c r="L1645" s="17" t="n">
        <v>1</v>
      </c>
      <c r="M1645" s="17" t="str">
        <f aca="false">VLOOKUP(L1645,Sheet2!D:E,2,0)</f>
        <v>Power Supply Section</v>
      </c>
      <c r="N1645" s="17" t="n">
        <v>1</v>
      </c>
      <c r="O1645" s="17" t="str">
        <f aca="false">VLOOKUP(N1645,Sheet2!G:H,2,0)</f>
        <v>Dead</v>
      </c>
      <c r="P1645" s="17" t="n">
        <v>12</v>
      </c>
      <c r="Q1645" s="17" t="str">
        <f aca="false">VLOOKUP(P1645,Sheet2!J:K,2,0)</f>
        <v>IR Declared due to Others ( IR Normal)TB</v>
      </c>
      <c r="R1645" s="17" t="s">
        <v>35</v>
      </c>
      <c r="S1645" s="17" t="str">
        <f aca="false">VLOOKUP(R1645,Sheet2!N:O,2,0)</f>
        <v>IREPARABLE</v>
      </c>
      <c r="T1645" s="18" t="str">
        <f aca="false">VLOOKUP(P1645,Sheet2!Q:R,2,0)</f>
        <v>IR Normal - BER to IR</v>
      </c>
      <c r="U1645" s="18" t="s">
        <v>101</v>
      </c>
      <c r="V1645" s="17" t="n">
        <v>8</v>
      </c>
      <c r="W1645" s="20" t="str">
        <f aca="false">VLOOKUP(V1645,Sheet2!Q:R,2,0)</f>
        <v>IR Normal -TrackRust/InternalDamage/open</v>
      </c>
      <c r="X1645" s="17" t="str">
        <f aca="false">J1645</f>
        <v>A063</v>
      </c>
      <c r="Y1645" s="17" t="str">
        <f aca="false">VLOOKUP(X1645,Sheet2!A:B,2,0)</f>
        <v>SHANI GOHIL</v>
      </c>
      <c r="Z1645" s="17" t="s">
        <v>847</v>
      </c>
      <c r="AA1645" s="17" t="s">
        <v>798</v>
      </c>
      <c r="AB1645" s="17" t="s">
        <v>41</v>
      </c>
      <c r="AC1645" s="0" t="str">
        <f aca="false">LEFT(G1645,2)</f>
        <v>98</v>
      </c>
      <c r="AE1645" s="21" t="s">
        <v>506</v>
      </c>
    </row>
    <row r="1646" customFormat="false" ht="15" hidden="false" customHeight="false" outlineLevel="0" collapsed="false">
      <c r="A1646" s="13" t="n">
        <f aca="false">1+A1645</f>
        <v>1644</v>
      </c>
      <c r="B1646" s="14" t="n">
        <v>1009612306</v>
      </c>
      <c r="C1646" s="15" t="s">
        <v>181</v>
      </c>
      <c r="D1646" s="16" t="s">
        <v>64</v>
      </c>
      <c r="E1646" s="17" t="s">
        <v>91</v>
      </c>
      <c r="F1646" s="18" t="s">
        <v>34</v>
      </c>
      <c r="G1646" s="19" t="n">
        <v>986172166506</v>
      </c>
      <c r="H1646" s="17" t="s">
        <v>35</v>
      </c>
      <c r="I1646" s="17" t="s">
        <v>44</v>
      </c>
      <c r="J1646" s="17" t="s">
        <v>267</v>
      </c>
      <c r="K1646" s="17" t="str">
        <f aca="false">VLOOKUP(J1646,Sheet2!A:B,2,0)</f>
        <v>HARIRAM GUPTA</v>
      </c>
      <c r="L1646" s="17" t="n">
        <v>7</v>
      </c>
      <c r="M1646" s="17" t="str">
        <f aca="false">VLOOKUP(L1646,Sheet2!D:E,2,0)</f>
        <v>Card Reader Section</v>
      </c>
      <c r="N1646" s="17" t="n">
        <v>37</v>
      </c>
      <c r="O1646" s="17" t="str">
        <f aca="false">VLOOKUP(N1646,Sheet2!G:H,2,0)</f>
        <v>Error -2</v>
      </c>
      <c r="P1646" s="17" t="n">
        <v>11</v>
      </c>
      <c r="Q1646" s="17" t="str">
        <f aca="false">VLOOKUP(P1646,Sheet2!J:K,2,0)</f>
        <v>IR Declared due to CID -TA</v>
      </c>
      <c r="R1646" s="17" t="s">
        <v>35</v>
      </c>
      <c r="S1646" s="17" t="str">
        <f aca="false">VLOOKUP(R1646,Sheet2!N:O,2,0)</f>
        <v>IREPARABLE</v>
      </c>
      <c r="T1646" s="18" t="str">
        <f aca="false">VLOOKUP(P1646,Sheet2!Q:R,2,0)</f>
        <v>IR Normal - Track burn out</v>
      </c>
      <c r="U1646" s="18" t="s">
        <v>122</v>
      </c>
      <c r="V1646" s="17" t="n">
        <v>2</v>
      </c>
      <c r="W1646" s="20" t="str">
        <f aca="false">VLOOKUP(V1646,Sheet2!Q:R,2,0)</f>
        <v>IR CID -  Water log from other area</v>
      </c>
      <c r="X1646" s="17" t="str">
        <f aca="false">J1646</f>
        <v>A007</v>
      </c>
      <c r="Y1646" s="17" t="str">
        <f aca="false">VLOOKUP(X1646,Sheet2!A:B,2,0)</f>
        <v>HARIRAM GUPTA</v>
      </c>
      <c r="Z1646" s="17" t="s">
        <v>848</v>
      </c>
      <c r="AA1646" s="17" t="s">
        <v>798</v>
      </c>
      <c r="AB1646" s="17" t="s">
        <v>41</v>
      </c>
      <c r="AC1646" s="0" t="str">
        <f aca="false">LEFT(G1646,2)</f>
        <v>98</v>
      </c>
      <c r="AE1646" s="21" t="s">
        <v>506</v>
      </c>
    </row>
    <row r="1647" customFormat="false" ht="15" hidden="false" customHeight="false" outlineLevel="0" collapsed="false">
      <c r="A1647" s="13" t="n">
        <f aca="false">1+A1646</f>
        <v>1645</v>
      </c>
      <c r="B1647" s="14" t="n">
        <v>1009673804</v>
      </c>
      <c r="C1647" s="15" t="s">
        <v>436</v>
      </c>
      <c r="D1647" s="16" t="s">
        <v>64</v>
      </c>
      <c r="E1647" s="17" t="s">
        <v>64</v>
      </c>
      <c r="F1647" s="18" t="s">
        <v>34</v>
      </c>
      <c r="G1647" s="19" t="n">
        <v>943348906760</v>
      </c>
      <c r="H1647" s="17" t="s">
        <v>35</v>
      </c>
      <c r="I1647" s="17" t="s">
        <v>44</v>
      </c>
      <c r="J1647" s="17" t="s">
        <v>121</v>
      </c>
      <c r="K1647" s="17" t="str">
        <f aca="false">VLOOKUP(J1647,Sheet2!A:B,2,0)</f>
        <v>SHANI GOHIL</v>
      </c>
      <c r="L1647" s="17" t="n">
        <v>4</v>
      </c>
      <c r="M1647" s="17" t="str">
        <f aca="false">VLOOKUP(L1647,Sheet2!D:E,2,0)</f>
        <v>Audio Section</v>
      </c>
      <c r="N1647" s="17" t="n">
        <v>9</v>
      </c>
      <c r="O1647" s="17" t="str">
        <f aca="false">VLOOKUP(N1647,Sheet2!G:H,2,0)</f>
        <v>No Audio - AV</v>
      </c>
      <c r="P1647" s="17" t="n">
        <v>12</v>
      </c>
      <c r="Q1647" s="17" t="str">
        <f aca="false">VLOOKUP(P1647,Sheet2!J:K,2,0)</f>
        <v>IR Declared due to Others ( IR Normal)TB</v>
      </c>
      <c r="R1647" s="17" t="s">
        <v>35</v>
      </c>
      <c r="S1647" s="17" t="str">
        <f aca="false">VLOOKUP(R1647,Sheet2!N:O,2,0)</f>
        <v>IREPARABLE</v>
      </c>
      <c r="T1647" s="18" t="str">
        <f aca="false">VLOOKUP(P1647,Sheet2!Q:R,2,0)</f>
        <v>IR Normal - BER to IR</v>
      </c>
      <c r="U1647" s="18" t="s">
        <v>101</v>
      </c>
      <c r="V1647" s="17" t="n">
        <v>8</v>
      </c>
      <c r="W1647" s="20" t="str">
        <f aca="false">VLOOKUP(V1647,Sheet2!Q:R,2,0)</f>
        <v>IR Normal -TrackRust/InternalDamage/open</v>
      </c>
      <c r="X1647" s="17" t="str">
        <f aca="false">J1647</f>
        <v>A063</v>
      </c>
      <c r="Y1647" s="17" t="str">
        <f aca="false">VLOOKUP(X1647,Sheet2!A:B,2,0)</f>
        <v>SHANI GOHIL</v>
      </c>
      <c r="Z1647" s="17" t="s">
        <v>849</v>
      </c>
      <c r="AA1647" s="17" t="s">
        <v>798</v>
      </c>
      <c r="AB1647" s="17" t="s">
        <v>41</v>
      </c>
      <c r="AC1647" s="0" t="str">
        <f aca="false">LEFT(G1647,2)</f>
        <v>94</v>
      </c>
      <c r="AE1647" s="21" t="s">
        <v>506</v>
      </c>
    </row>
    <row r="1648" customFormat="false" ht="15" hidden="false" customHeight="false" outlineLevel="0" collapsed="false">
      <c r="A1648" s="13" t="n">
        <f aca="false">1+A1647</f>
        <v>1646</v>
      </c>
      <c r="B1648" s="14" t="n">
        <v>1009574181</v>
      </c>
      <c r="C1648" s="15" t="s">
        <v>104</v>
      </c>
      <c r="D1648" s="16" t="s">
        <v>175</v>
      </c>
      <c r="E1648" s="17" t="s">
        <v>176</v>
      </c>
      <c r="F1648" s="18" t="s">
        <v>34</v>
      </c>
      <c r="G1648" s="19" t="n">
        <v>954223125905</v>
      </c>
      <c r="H1648" s="17" t="s">
        <v>35</v>
      </c>
      <c r="I1648" s="17" t="s">
        <v>44</v>
      </c>
      <c r="J1648" s="17" t="s">
        <v>121</v>
      </c>
      <c r="K1648" s="17" t="str">
        <f aca="false">VLOOKUP(J1648,Sheet2!A:B,2,0)</f>
        <v>SHANI GOHIL</v>
      </c>
      <c r="L1648" s="17" t="n">
        <v>1</v>
      </c>
      <c r="M1648" s="17" t="str">
        <f aca="false">VLOOKUP(L1648,Sheet2!D:E,2,0)</f>
        <v>Power Supply Section</v>
      </c>
      <c r="N1648" s="17" t="n">
        <v>1</v>
      </c>
      <c r="O1648" s="17" t="str">
        <f aca="false">VLOOKUP(N1648,Sheet2!G:H,2,0)</f>
        <v>Dead</v>
      </c>
      <c r="P1648" s="17" t="n">
        <v>11</v>
      </c>
      <c r="Q1648" s="17" t="str">
        <f aca="false">VLOOKUP(P1648,Sheet2!J:K,2,0)</f>
        <v>IR Declared due to CID -TA</v>
      </c>
      <c r="R1648" s="17" t="s">
        <v>35</v>
      </c>
      <c r="S1648" s="17" t="str">
        <f aca="false">VLOOKUP(R1648,Sheet2!N:O,2,0)</f>
        <v>IREPARABLE</v>
      </c>
      <c r="T1648" s="18" t="str">
        <f aca="false">VLOOKUP(P1648,Sheet2!Q:R,2,0)</f>
        <v>IR Normal - Track burn out</v>
      </c>
      <c r="U1648" s="18" t="s">
        <v>122</v>
      </c>
      <c r="V1648" s="17" t="n">
        <v>2</v>
      </c>
      <c r="W1648" s="20" t="str">
        <f aca="false">VLOOKUP(V1648,Sheet2!Q:R,2,0)</f>
        <v>IR CID -  Water log from other area</v>
      </c>
      <c r="X1648" s="17" t="str">
        <f aca="false">J1648</f>
        <v>A063</v>
      </c>
      <c r="Y1648" s="17" t="str">
        <f aca="false">VLOOKUP(X1648,Sheet2!A:B,2,0)</f>
        <v>SHANI GOHIL</v>
      </c>
      <c r="Z1648" s="17" t="s">
        <v>850</v>
      </c>
      <c r="AA1648" s="17" t="s">
        <v>798</v>
      </c>
      <c r="AB1648" s="17" t="s">
        <v>41</v>
      </c>
      <c r="AC1648" s="0" t="str">
        <f aca="false">LEFT(G1648,2)</f>
        <v>95</v>
      </c>
      <c r="AE1648" s="21" t="s">
        <v>506</v>
      </c>
    </row>
    <row r="1649" customFormat="false" ht="15" hidden="false" customHeight="false" outlineLevel="0" collapsed="false">
      <c r="A1649" s="13" t="n">
        <f aca="false">1+A1648</f>
        <v>1647</v>
      </c>
      <c r="B1649" s="14" t="n">
        <v>1009673681</v>
      </c>
      <c r="C1649" s="15" t="s">
        <v>436</v>
      </c>
      <c r="D1649" s="16" t="s">
        <v>64</v>
      </c>
      <c r="E1649" s="17" t="s">
        <v>64</v>
      </c>
      <c r="F1649" s="18" t="s">
        <v>34</v>
      </c>
      <c r="G1649" s="19" t="n">
        <v>954346102195</v>
      </c>
      <c r="H1649" s="17" t="s">
        <v>35</v>
      </c>
      <c r="I1649" s="17" t="s">
        <v>44</v>
      </c>
      <c r="J1649" s="17" t="s">
        <v>267</v>
      </c>
      <c r="K1649" s="17" t="str">
        <f aca="false">VLOOKUP(J1649,Sheet2!A:B,2,0)</f>
        <v>HARIRAM GUPTA</v>
      </c>
      <c r="L1649" s="17" t="n">
        <v>1</v>
      </c>
      <c r="M1649" s="17" t="str">
        <f aca="false">VLOOKUP(L1649,Sheet2!D:E,2,0)</f>
        <v>Power Supply Section</v>
      </c>
      <c r="N1649" s="17" t="n">
        <v>1</v>
      </c>
      <c r="O1649" s="17" t="str">
        <f aca="false">VLOOKUP(N1649,Sheet2!G:H,2,0)</f>
        <v>Dead</v>
      </c>
      <c r="P1649" s="17" t="n">
        <v>12</v>
      </c>
      <c r="Q1649" s="17" t="str">
        <f aca="false">VLOOKUP(P1649,Sheet2!J:K,2,0)</f>
        <v>IR Declared due to Others ( IR Normal)TB</v>
      </c>
      <c r="R1649" s="17" t="s">
        <v>35</v>
      </c>
      <c r="S1649" s="17" t="str">
        <f aca="false">VLOOKUP(R1649,Sheet2!N:O,2,0)</f>
        <v>IREPARABLE</v>
      </c>
      <c r="T1649" s="18" t="str">
        <f aca="false">VLOOKUP(P1649,Sheet2!Q:R,2,0)</f>
        <v>IR Normal - BER to IR</v>
      </c>
      <c r="U1649" s="18" t="s">
        <v>101</v>
      </c>
      <c r="V1649" s="17" t="n">
        <v>8</v>
      </c>
      <c r="W1649" s="20" t="str">
        <f aca="false">VLOOKUP(V1649,Sheet2!Q:R,2,0)</f>
        <v>IR Normal -TrackRust/InternalDamage/open</v>
      </c>
      <c r="X1649" s="17" t="str">
        <f aca="false">J1649</f>
        <v>A007</v>
      </c>
      <c r="Y1649" s="17" t="str">
        <f aca="false">VLOOKUP(X1649,Sheet2!A:B,2,0)</f>
        <v>HARIRAM GUPTA</v>
      </c>
      <c r="Z1649" s="17" t="s">
        <v>851</v>
      </c>
      <c r="AA1649" s="17" t="s">
        <v>798</v>
      </c>
      <c r="AB1649" s="17" t="s">
        <v>41</v>
      </c>
      <c r="AC1649" s="0" t="str">
        <f aca="false">LEFT(G1649,2)</f>
        <v>95</v>
      </c>
      <c r="AE1649" s="21" t="s">
        <v>506</v>
      </c>
    </row>
    <row r="1650" customFormat="false" ht="15" hidden="false" customHeight="false" outlineLevel="0" collapsed="false">
      <c r="A1650" s="13" t="n">
        <f aca="false">1+A1649</f>
        <v>1648</v>
      </c>
      <c r="B1650" s="14" t="n">
        <v>1009684960</v>
      </c>
      <c r="C1650" s="15" t="s">
        <v>449</v>
      </c>
      <c r="D1650" s="16" t="s">
        <v>64</v>
      </c>
      <c r="E1650" s="17" t="s">
        <v>64</v>
      </c>
      <c r="F1650" s="18" t="s">
        <v>34</v>
      </c>
      <c r="G1650" s="19" t="n">
        <v>954220162810</v>
      </c>
      <c r="H1650" s="17" t="s">
        <v>35</v>
      </c>
      <c r="I1650" s="17" t="s">
        <v>44</v>
      </c>
      <c r="J1650" s="17" t="s">
        <v>239</v>
      </c>
      <c r="K1650" s="17" t="str">
        <f aca="false">VLOOKUP(J1650,Sheet2!A:B,2,0)</f>
        <v>VASANT PARMAR</v>
      </c>
      <c r="L1650" s="17" t="n">
        <v>5</v>
      </c>
      <c r="M1650" s="17" t="str">
        <f aca="false">VLOOKUP(L1650,Sheet2!D:E,2,0)</f>
        <v>Main Processor CPU BGA</v>
      </c>
      <c r="N1650" s="17" t="n">
        <v>24</v>
      </c>
      <c r="O1650" s="17" t="str">
        <f aca="false">VLOOKUP(N1650,Sheet2!G:H,2,0)</f>
        <v>STB Auto moving -Stand by mode</v>
      </c>
      <c r="P1650" s="17" t="n">
        <v>12</v>
      </c>
      <c r="Q1650" s="17" t="str">
        <f aca="false">VLOOKUP(P1650,Sheet2!J:K,2,0)</f>
        <v>IR Declared due to Others ( IR Normal)TB</v>
      </c>
      <c r="R1650" s="17" t="s">
        <v>35</v>
      </c>
      <c r="S1650" s="17" t="str">
        <f aca="false">VLOOKUP(R1650,Sheet2!N:O,2,0)</f>
        <v>IREPARABLE</v>
      </c>
      <c r="T1650" s="18" t="str">
        <f aca="false">VLOOKUP(P1650,Sheet2!Q:R,2,0)</f>
        <v>IR Normal - BER to IR</v>
      </c>
      <c r="U1650" s="18" t="s">
        <v>101</v>
      </c>
      <c r="V1650" s="17" t="n">
        <v>8</v>
      </c>
      <c r="W1650" s="20" t="str">
        <f aca="false">VLOOKUP(V1650,Sheet2!Q:R,2,0)</f>
        <v>IR Normal -TrackRust/InternalDamage/open</v>
      </c>
      <c r="X1650" s="17" t="str">
        <f aca="false">J1650</f>
        <v>A005</v>
      </c>
      <c r="Y1650" s="17" t="str">
        <f aca="false">VLOOKUP(X1650,Sheet2!A:B,2,0)</f>
        <v>VASANT PARMAR</v>
      </c>
      <c r="Z1650" s="17" t="s">
        <v>852</v>
      </c>
      <c r="AA1650" s="17" t="s">
        <v>798</v>
      </c>
      <c r="AB1650" s="17" t="s">
        <v>41</v>
      </c>
      <c r="AC1650" s="0" t="str">
        <f aca="false">LEFT(G1650,2)</f>
        <v>95</v>
      </c>
      <c r="AE1650" s="21" t="s">
        <v>506</v>
      </c>
    </row>
    <row r="1651" customFormat="false" ht="15" hidden="false" customHeight="false" outlineLevel="0" collapsed="false">
      <c r="A1651" s="13" t="n">
        <f aca="false">1+A1650</f>
        <v>1649</v>
      </c>
      <c r="B1651" s="14" t="n">
        <v>1009678681</v>
      </c>
      <c r="C1651" s="15" t="s">
        <v>436</v>
      </c>
      <c r="D1651" s="16" t="s">
        <v>64</v>
      </c>
      <c r="E1651" s="17" t="s">
        <v>64</v>
      </c>
      <c r="F1651" s="18" t="s">
        <v>34</v>
      </c>
      <c r="G1651" s="19" t="n">
        <v>943078949527</v>
      </c>
      <c r="H1651" s="17" t="s">
        <v>35</v>
      </c>
      <c r="I1651" s="17" t="s">
        <v>44</v>
      </c>
      <c r="J1651" s="17" t="s">
        <v>252</v>
      </c>
      <c r="K1651" s="17" t="str">
        <f aca="false">VLOOKUP(J1651,Sheet2!A:B,2,0)</f>
        <v>TAKHAT SOLANKI</v>
      </c>
      <c r="L1651" s="17" t="n">
        <v>1</v>
      </c>
      <c r="M1651" s="17" t="str">
        <f aca="false">VLOOKUP(L1651,Sheet2!D:E,2,0)</f>
        <v>Power Supply Section</v>
      </c>
      <c r="N1651" s="17" t="n">
        <v>1</v>
      </c>
      <c r="O1651" s="17" t="str">
        <f aca="false">VLOOKUP(N1651,Sheet2!G:H,2,0)</f>
        <v>Dead</v>
      </c>
      <c r="P1651" s="17" t="n">
        <v>12</v>
      </c>
      <c r="Q1651" s="17" t="str">
        <f aca="false">VLOOKUP(P1651,Sheet2!J:K,2,0)</f>
        <v>IR Declared due to Others ( IR Normal)TB</v>
      </c>
      <c r="R1651" s="17" t="s">
        <v>35</v>
      </c>
      <c r="S1651" s="17" t="str">
        <f aca="false">VLOOKUP(R1651,Sheet2!N:O,2,0)</f>
        <v>IREPARABLE</v>
      </c>
      <c r="T1651" s="18" t="str">
        <f aca="false">VLOOKUP(P1651,Sheet2!Q:R,2,0)</f>
        <v>IR Normal - BER to IR</v>
      </c>
      <c r="U1651" s="18" t="s">
        <v>101</v>
      </c>
      <c r="V1651" s="17" t="n">
        <v>8</v>
      </c>
      <c r="W1651" s="20" t="str">
        <f aca="false">VLOOKUP(V1651,Sheet2!Q:R,2,0)</f>
        <v>IR Normal -TrackRust/InternalDamage/open</v>
      </c>
      <c r="X1651" s="17" t="str">
        <f aca="false">J1651</f>
        <v>A006</v>
      </c>
      <c r="Y1651" s="17" t="str">
        <f aca="false">VLOOKUP(X1651,Sheet2!A:B,2,0)</f>
        <v>TAKHAT SOLANKI</v>
      </c>
      <c r="Z1651" s="17" t="s">
        <v>853</v>
      </c>
      <c r="AA1651" s="17" t="s">
        <v>798</v>
      </c>
      <c r="AB1651" s="17" t="s">
        <v>41</v>
      </c>
      <c r="AC1651" s="0" t="str">
        <f aca="false">LEFT(G1651,2)</f>
        <v>94</v>
      </c>
      <c r="AE1651" s="21" t="s">
        <v>506</v>
      </c>
    </row>
    <row r="1652" customFormat="false" ht="15" hidden="false" customHeight="false" outlineLevel="0" collapsed="false">
      <c r="A1652" s="13" t="n">
        <f aca="false">1+A1651</f>
        <v>1650</v>
      </c>
      <c r="B1652" s="14" t="n">
        <v>1009673692</v>
      </c>
      <c r="C1652" s="15" t="s">
        <v>436</v>
      </c>
      <c r="D1652" s="16" t="s">
        <v>854</v>
      </c>
      <c r="E1652" s="17" t="s">
        <v>91</v>
      </c>
      <c r="F1652" s="18" t="s">
        <v>34</v>
      </c>
      <c r="G1652" s="19" t="n">
        <v>954215145481</v>
      </c>
      <c r="H1652" s="17" t="s">
        <v>35</v>
      </c>
      <c r="I1652" s="17" t="s">
        <v>44</v>
      </c>
      <c r="J1652" s="17" t="s">
        <v>267</v>
      </c>
      <c r="K1652" s="17" t="str">
        <f aca="false">VLOOKUP(J1652,Sheet2!A:B,2,0)</f>
        <v>HARIRAM GUPTA</v>
      </c>
      <c r="L1652" s="17" t="n">
        <v>5</v>
      </c>
      <c r="M1652" s="17" t="str">
        <f aca="false">VLOOKUP(L1652,Sheet2!D:E,2,0)</f>
        <v>Main Processor CPU BGA</v>
      </c>
      <c r="N1652" s="17" t="n">
        <v>24</v>
      </c>
      <c r="O1652" s="17" t="str">
        <f aca="false">VLOOKUP(N1652,Sheet2!G:H,2,0)</f>
        <v>STB Auto moving -Stand by mode</v>
      </c>
      <c r="P1652" s="17" t="n">
        <v>12</v>
      </c>
      <c r="Q1652" s="17" t="str">
        <f aca="false">VLOOKUP(P1652,Sheet2!J:K,2,0)</f>
        <v>IR Declared due to Others ( IR Normal)TB</v>
      </c>
      <c r="R1652" s="17" t="s">
        <v>35</v>
      </c>
      <c r="S1652" s="17" t="str">
        <f aca="false">VLOOKUP(R1652,Sheet2!N:O,2,0)</f>
        <v>IREPARABLE</v>
      </c>
      <c r="T1652" s="18" t="str">
        <f aca="false">VLOOKUP(P1652,Sheet2!Q:R,2,0)</f>
        <v>IR Normal - BER to IR</v>
      </c>
      <c r="U1652" s="18" t="s">
        <v>101</v>
      </c>
      <c r="V1652" s="17" t="n">
        <v>8</v>
      </c>
      <c r="W1652" s="20" t="str">
        <f aca="false">VLOOKUP(V1652,Sheet2!Q:R,2,0)</f>
        <v>IR Normal -TrackRust/InternalDamage/open</v>
      </c>
      <c r="X1652" s="17" t="str">
        <f aca="false">J1652</f>
        <v>A007</v>
      </c>
      <c r="Y1652" s="17" t="str">
        <f aca="false">VLOOKUP(X1652,Sheet2!A:B,2,0)</f>
        <v>HARIRAM GUPTA</v>
      </c>
      <c r="Z1652" s="17" t="s">
        <v>226</v>
      </c>
      <c r="AA1652" s="17" t="s">
        <v>798</v>
      </c>
      <c r="AB1652" s="17" t="s">
        <v>41</v>
      </c>
      <c r="AC1652" s="0" t="str">
        <f aca="false">LEFT(G1652,2)</f>
        <v>95</v>
      </c>
      <c r="AE1652" s="21" t="s">
        <v>506</v>
      </c>
    </row>
    <row r="1653" customFormat="false" ht="15" hidden="false" customHeight="false" outlineLevel="0" collapsed="false">
      <c r="A1653" s="13" t="n">
        <f aca="false">1+A1652</f>
        <v>1651</v>
      </c>
      <c r="B1653" s="14" t="n">
        <v>1009668290</v>
      </c>
      <c r="C1653" s="15" t="s">
        <v>436</v>
      </c>
      <c r="D1653" s="16" t="s">
        <v>64</v>
      </c>
      <c r="E1653" s="17" t="s">
        <v>64</v>
      </c>
      <c r="F1653" s="18" t="s">
        <v>34</v>
      </c>
      <c r="G1653" s="19" t="n">
        <v>954252217300</v>
      </c>
      <c r="H1653" s="17" t="s">
        <v>35</v>
      </c>
      <c r="I1653" s="17" t="s">
        <v>44</v>
      </c>
      <c r="J1653" s="17" t="s">
        <v>289</v>
      </c>
      <c r="K1653" s="17" t="str">
        <f aca="false">VLOOKUP(J1653,Sheet2!A:B,2,0)</f>
        <v>AJAY KOSHTI</v>
      </c>
      <c r="L1653" s="17" t="n">
        <v>1</v>
      </c>
      <c r="M1653" s="17" t="str">
        <f aca="false">VLOOKUP(L1653,Sheet2!D:E,2,0)</f>
        <v>Power Supply Section</v>
      </c>
      <c r="N1653" s="17" t="n">
        <v>1</v>
      </c>
      <c r="O1653" s="17" t="str">
        <f aca="false">VLOOKUP(N1653,Sheet2!G:H,2,0)</f>
        <v>Dead</v>
      </c>
      <c r="P1653" s="17" t="n">
        <v>12</v>
      </c>
      <c r="Q1653" s="17" t="str">
        <f aca="false">VLOOKUP(P1653,Sheet2!J:K,2,0)</f>
        <v>IR Declared due to Others ( IR Normal)TB</v>
      </c>
      <c r="R1653" s="17" t="s">
        <v>35</v>
      </c>
      <c r="S1653" s="17" t="str">
        <f aca="false">VLOOKUP(R1653,Sheet2!N:O,2,0)</f>
        <v>IREPARABLE</v>
      </c>
      <c r="T1653" s="18" t="str">
        <f aca="false">VLOOKUP(P1653,Sheet2!Q:R,2,0)</f>
        <v>IR Normal - BER to IR</v>
      </c>
      <c r="U1653" s="18" t="s">
        <v>101</v>
      </c>
      <c r="V1653" s="17" t="n">
        <v>8</v>
      </c>
      <c r="W1653" s="20" t="str">
        <f aca="false">VLOOKUP(V1653,Sheet2!Q:R,2,0)</f>
        <v>IR Normal -TrackRust/InternalDamage/open</v>
      </c>
      <c r="X1653" s="17" t="str">
        <f aca="false">J1653</f>
        <v>A051</v>
      </c>
      <c r="Y1653" s="17" t="str">
        <f aca="false">VLOOKUP(X1653,Sheet2!A:B,2,0)</f>
        <v>AJAY KOSHTI</v>
      </c>
      <c r="Z1653" s="17" t="s">
        <v>855</v>
      </c>
      <c r="AA1653" s="17" t="s">
        <v>798</v>
      </c>
      <c r="AB1653" s="17" t="s">
        <v>41</v>
      </c>
      <c r="AC1653" s="0" t="str">
        <f aca="false">LEFT(G1653,2)</f>
        <v>95</v>
      </c>
      <c r="AE1653" s="21" t="s">
        <v>506</v>
      </c>
    </row>
    <row r="1654" customFormat="false" ht="15" hidden="false" customHeight="false" outlineLevel="0" collapsed="false">
      <c r="A1654" s="13" t="n">
        <f aca="false">1+A1653</f>
        <v>1652</v>
      </c>
      <c r="B1654" s="14" t="n">
        <v>1009607713</v>
      </c>
      <c r="C1654" s="15" t="s">
        <v>181</v>
      </c>
      <c r="D1654" s="16" t="s">
        <v>64</v>
      </c>
      <c r="E1654" s="17" t="s">
        <v>64</v>
      </c>
      <c r="F1654" s="18" t="s">
        <v>34</v>
      </c>
      <c r="G1654" s="19" t="n">
        <v>954297124693</v>
      </c>
      <c r="H1654" s="17" t="s">
        <v>35</v>
      </c>
      <c r="I1654" s="17" t="s">
        <v>44</v>
      </c>
      <c r="J1654" s="17" t="s">
        <v>118</v>
      </c>
      <c r="K1654" s="17" t="str">
        <f aca="false">VLOOKUP(J1654,Sheet2!A:B,2,0)</f>
        <v>DEVENDRA RAJPUT</v>
      </c>
      <c r="L1654" s="17" t="n">
        <v>5</v>
      </c>
      <c r="M1654" s="17" t="str">
        <f aca="false">VLOOKUP(L1654,Sheet2!D:E,2,0)</f>
        <v>Main Processor CPU BGA</v>
      </c>
      <c r="N1654" s="17" t="n">
        <v>24</v>
      </c>
      <c r="O1654" s="17" t="str">
        <f aca="false">VLOOKUP(N1654,Sheet2!G:H,2,0)</f>
        <v>STB Auto moving -Stand by mode</v>
      </c>
      <c r="P1654" s="17" t="n">
        <v>11</v>
      </c>
      <c r="Q1654" s="17" t="str">
        <f aca="false">VLOOKUP(P1654,Sheet2!J:K,2,0)</f>
        <v>IR Declared due to CID -TA</v>
      </c>
      <c r="R1654" s="17" t="s">
        <v>35</v>
      </c>
      <c r="S1654" s="17" t="str">
        <f aca="false">VLOOKUP(R1654,Sheet2!N:O,2,0)</f>
        <v>IREPARABLE</v>
      </c>
      <c r="T1654" s="18" t="str">
        <f aca="false">VLOOKUP(P1654,Sheet2!Q:R,2,0)</f>
        <v>IR Normal - Track burn out</v>
      </c>
      <c r="U1654" s="18" t="s">
        <v>122</v>
      </c>
      <c r="V1654" s="17" t="n">
        <v>2</v>
      </c>
      <c r="W1654" s="20" t="str">
        <f aca="false">VLOOKUP(V1654,Sheet2!Q:R,2,0)</f>
        <v>IR CID -  Water log from other area</v>
      </c>
      <c r="X1654" s="17" t="str">
        <f aca="false">J1654</f>
        <v>A053</v>
      </c>
      <c r="Y1654" s="17" t="str">
        <f aca="false">VLOOKUP(X1654,Sheet2!A:B,2,0)</f>
        <v>DEVENDRA RAJPUT</v>
      </c>
      <c r="Z1654" s="17" t="s">
        <v>856</v>
      </c>
      <c r="AA1654" s="17" t="s">
        <v>798</v>
      </c>
      <c r="AB1654" s="17" t="s">
        <v>41</v>
      </c>
      <c r="AC1654" s="0" t="str">
        <f aca="false">LEFT(G1654,2)</f>
        <v>95</v>
      </c>
      <c r="AE1654" s="21" t="s">
        <v>506</v>
      </c>
    </row>
    <row r="1655" customFormat="false" ht="15" hidden="false" customHeight="false" outlineLevel="0" collapsed="false">
      <c r="A1655" s="13" t="n">
        <f aca="false">1+A1654</f>
        <v>1653</v>
      </c>
      <c r="B1655" s="14" t="n">
        <v>1009674118</v>
      </c>
      <c r="C1655" s="15" t="s">
        <v>436</v>
      </c>
      <c r="D1655" s="16" t="s">
        <v>857</v>
      </c>
      <c r="E1655" s="17" t="s">
        <v>858</v>
      </c>
      <c r="F1655" s="18" t="s">
        <v>34</v>
      </c>
      <c r="G1655" s="19" t="n">
        <v>954134191400</v>
      </c>
      <c r="H1655" s="17" t="s">
        <v>35</v>
      </c>
      <c r="I1655" s="17" t="s">
        <v>44</v>
      </c>
      <c r="J1655" s="17" t="s">
        <v>289</v>
      </c>
      <c r="K1655" s="17" t="str">
        <f aca="false">VLOOKUP(J1655,Sheet2!A:B,2,0)</f>
        <v>AJAY KOSHTI</v>
      </c>
      <c r="L1655" s="17" t="n">
        <v>1</v>
      </c>
      <c r="M1655" s="17" t="str">
        <f aca="false">VLOOKUP(L1655,Sheet2!D:E,2,0)</f>
        <v>Power Supply Section</v>
      </c>
      <c r="N1655" s="17" t="n">
        <v>1</v>
      </c>
      <c r="O1655" s="17" t="str">
        <f aca="false">VLOOKUP(N1655,Sheet2!G:H,2,0)</f>
        <v>Dead</v>
      </c>
      <c r="P1655" s="17" t="n">
        <v>12</v>
      </c>
      <c r="Q1655" s="17" t="str">
        <f aca="false">VLOOKUP(P1655,Sheet2!J:K,2,0)</f>
        <v>IR Declared due to Others ( IR Normal)TB</v>
      </c>
      <c r="R1655" s="17" t="s">
        <v>35</v>
      </c>
      <c r="S1655" s="17" t="str">
        <f aca="false">VLOOKUP(R1655,Sheet2!N:O,2,0)</f>
        <v>IREPARABLE</v>
      </c>
      <c r="T1655" s="18" t="str">
        <f aca="false">VLOOKUP(P1655,Sheet2!Q:R,2,0)</f>
        <v>IR Normal - BER to IR</v>
      </c>
      <c r="U1655" s="18" t="s">
        <v>101</v>
      </c>
      <c r="V1655" s="17" t="n">
        <v>8</v>
      </c>
      <c r="W1655" s="20" t="str">
        <f aca="false">VLOOKUP(V1655,Sheet2!Q:R,2,0)</f>
        <v>IR Normal -TrackRust/InternalDamage/open</v>
      </c>
      <c r="X1655" s="17" t="str">
        <f aca="false">J1655</f>
        <v>A051</v>
      </c>
      <c r="Y1655" s="17" t="str">
        <f aca="false">VLOOKUP(X1655,Sheet2!A:B,2,0)</f>
        <v>AJAY KOSHTI</v>
      </c>
      <c r="Z1655" s="17" t="s">
        <v>859</v>
      </c>
      <c r="AA1655" s="17" t="s">
        <v>798</v>
      </c>
      <c r="AB1655" s="17" t="s">
        <v>41</v>
      </c>
      <c r="AC1655" s="0" t="str">
        <f aca="false">LEFT(G1655,2)</f>
        <v>95</v>
      </c>
      <c r="AE1655" s="21" t="s">
        <v>506</v>
      </c>
    </row>
    <row r="1656" customFormat="false" ht="15" hidden="false" customHeight="false" outlineLevel="0" collapsed="false">
      <c r="A1656" s="13" t="n">
        <f aca="false">1+A1655</f>
        <v>1654</v>
      </c>
      <c r="B1656" s="14" t="n">
        <v>1009674140</v>
      </c>
      <c r="C1656" s="15" t="s">
        <v>436</v>
      </c>
      <c r="D1656" s="16" t="s">
        <v>190</v>
      </c>
      <c r="E1656" s="17" t="s">
        <v>255</v>
      </c>
      <c r="F1656" s="18" t="s">
        <v>34</v>
      </c>
      <c r="G1656" s="19" t="n">
        <v>942320931135</v>
      </c>
      <c r="H1656" s="17" t="s">
        <v>35</v>
      </c>
      <c r="I1656" s="17" t="s">
        <v>44</v>
      </c>
      <c r="J1656" s="17" t="s">
        <v>100</v>
      </c>
      <c r="K1656" s="17" t="str">
        <f aca="false">VLOOKUP(J1656,Sheet2!A:B,2,0)</f>
        <v>PIYUSH CHAVDA</v>
      </c>
      <c r="L1656" s="17" t="n">
        <v>5</v>
      </c>
      <c r="M1656" s="17" t="str">
        <f aca="false">VLOOKUP(L1656,Sheet2!D:E,2,0)</f>
        <v>Main Processor CPU BGA</v>
      </c>
      <c r="N1656" s="17" t="n">
        <v>1</v>
      </c>
      <c r="O1656" s="17" t="str">
        <f aca="false">VLOOKUP(N1656,Sheet2!G:H,2,0)</f>
        <v>Dead</v>
      </c>
      <c r="P1656" s="17" t="n">
        <v>12</v>
      </c>
      <c r="Q1656" s="17" t="str">
        <f aca="false">VLOOKUP(P1656,Sheet2!J:K,2,0)</f>
        <v>IR Declared due to Others ( IR Normal)TB</v>
      </c>
      <c r="R1656" s="17" t="s">
        <v>35</v>
      </c>
      <c r="S1656" s="17" t="str">
        <f aca="false">VLOOKUP(R1656,Sheet2!N:O,2,0)</f>
        <v>IREPARABLE</v>
      </c>
      <c r="T1656" s="18" t="str">
        <f aca="false">VLOOKUP(P1656,Sheet2!Q:R,2,0)</f>
        <v>IR Normal - BER to IR</v>
      </c>
      <c r="U1656" s="18" t="s">
        <v>101</v>
      </c>
      <c r="V1656" s="17" t="n">
        <v>8</v>
      </c>
      <c r="W1656" s="20" t="str">
        <f aca="false">VLOOKUP(V1656,Sheet2!Q:R,2,0)</f>
        <v>IR Normal -TrackRust/InternalDamage/open</v>
      </c>
      <c r="X1656" s="17" t="str">
        <f aca="false">J1656</f>
        <v>A050</v>
      </c>
      <c r="Y1656" s="17" t="str">
        <f aca="false">VLOOKUP(X1656,Sheet2!A:B,2,0)</f>
        <v>PIYUSH CHAVDA</v>
      </c>
      <c r="Z1656" s="17" t="s">
        <v>859</v>
      </c>
      <c r="AA1656" s="17" t="s">
        <v>798</v>
      </c>
      <c r="AB1656" s="17" t="s">
        <v>41</v>
      </c>
      <c r="AC1656" s="0" t="str">
        <f aca="false">LEFT(G1656,2)</f>
        <v>94</v>
      </c>
      <c r="AE1656" s="21" t="s">
        <v>506</v>
      </c>
    </row>
    <row r="1657" customFormat="false" ht="15" hidden="false" customHeight="false" outlineLevel="0" collapsed="false">
      <c r="A1657" s="13" t="n">
        <f aca="false">1+A1656</f>
        <v>1655</v>
      </c>
      <c r="B1657" s="14" t="n">
        <v>1009622395</v>
      </c>
      <c r="C1657" s="15" t="s">
        <v>184</v>
      </c>
      <c r="D1657" s="16" t="s">
        <v>64</v>
      </c>
      <c r="E1657" s="17" t="s">
        <v>33</v>
      </c>
      <c r="F1657" s="18" t="s">
        <v>34</v>
      </c>
      <c r="G1657" s="19" t="n">
        <v>429245266300</v>
      </c>
      <c r="H1657" s="17" t="s">
        <v>35</v>
      </c>
      <c r="I1657" s="17" t="s">
        <v>82</v>
      </c>
      <c r="J1657" s="17" t="s">
        <v>239</v>
      </c>
      <c r="K1657" s="17" t="str">
        <f aca="false">VLOOKUP(J1657,Sheet2!A:B,2,0)</f>
        <v>VASANT PARMAR</v>
      </c>
      <c r="L1657" s="17" t="n">
        <v>2</v>
      </c>
      <c r="M1657" s="17" t="str">
        <f aca="false">VLOOKUP(L1657,Sheet2!D:E,2,0)</f>
        <v>Tuner Section</v>
      </c>
      <c r="N1657" s="17" t="n">
        <v>6</v>
      </c>
      <c r="O1657" s="17" t="str">
        <f aca="false">VLOOKUP(N1657,Sheet2!G:H,2,0)</f>
        <v>No Signal</v>
      </c>
      <c r="P1657" s="17" t="n">
        <v>11</v>
      </c>
      <c r="Q1657" s="17" t="str">
        <f aca="false">VLOOKUP(P1657,Sheet2!J:K,2,0)</f>
        <v>IR Declared due to CID -TA</v>
      </c>
      <c r="R1657" s="17" t="s">
        <v>35</v>
      </c>
      <c r="S1657" s="17" t="str">
        <f aca="false">VLOOKUP(R1657,Sheet2!N:O,2,0)</f>
        <v>IREPARABLE</v>
      </c>
      <c r="T1657" s="18" t="str">
        <f aca="false">VLOOKUP(P1657,Sheet2!Q:R,2,0)</f>
        <v>IR Normal - Track burn out</v>
      </c>
      <c r="U1657" s="20" t="s">
        <v>256</v>
      </c>
      <c r="V1657" s="17" t="n">
        <v>1</v>
      </c>
      <c r="W1657" s="20" t="str">
        <f aca="false">VLOOKUP(V1657,Sheet2!Q:R,2,0)</f>
        <v>IR CID -  Water log from IF port</v>
      </c>
      <c r="X1657" s="17" t="str">
        <f aca="false">J1657</f>
        <v>A005</v>
      </c>
      <c r="Y1657" s="17" t="str">
        <f aca="false">VLOOKUP(X1657,Sheet2!A:B,2,0)</f>
        <v>VASANT PARMAR</v>
      </c>
      <c r="Z1657" s="17" t="s">
        <v>303</v>
      </c>
      <c r="AA1657" s="17" t="s">
        <v>798</v>
      </c>
      <c r="AB1657" s="17" t="s">
        <v>41</v>
      </c>
      <c r="AC1657" s="0" t="str">
        <f aca="false">LEFT(G1657,2)</f>
        <v>42</v>
      </c>
      <c r="AE1657" s="21" t="s">
        <v>506</v>
      </c>
    </row>
    <row r="1658" customFormat="false" ht="15" hidden="false" customHeight="false" outlineLevel="0" collapsed="false">
      <c r="A1658" s="13" t="n">
        <f aca="false">1+A1657</f>
        <v>1656</v>
      </c>
      <c r="B1658" s="14" t="n">
        <v>1009685919</v>
      </c>
      <c r="C1658" s="15" t="s">
        <v>449</v>
      </c>
      <c r="D1658" s="16" t="s">
        <v>209</v>
      </c>
      <c r="E1658" s="17" t="s">
        <v>255</v>
      </c>
      <c r="F1658" s="18" t="s">
        <v>34</v>
      </c>
      <c r="G1658" s="19" t="n">
        <v>985334214980</v>
      </c>
      <c r="H1658" s="17" t="s">
        <v>35</v>
      </c>
      <c r="I1658" s="17" t="s">
        <v>44</v>
      </c>
      <c r="J1658" s="17" t="s">
        <v>239</v>
      </c>
      <c r="K1658" s="17" t="str">
        <f aca="false">VLOOKUP(J1658,Sheet2!A:B,2,0)</f>
        <v>VASANT PARMAR</v>
      </c>
      <c r="L1658" s="17" t="n">
        <v>5</v>
      </c>
      <c r="M1658" s="17" t="str">
        <f aca="false">VLOOKUP(L1658,Sheet2!D:E,2,0)</f>
        <v>Main Processor CPU BGA</v>
      </c>
      <c r="N1658" s="17" t="n">
        <v>24</v>
      </c>
      <c r="O1658" s="17" t="str">
        <f aca="false">VLOOKUP(N1658,Sheet2!G:H,2,0)</f>
        <v>STB Auto moving -Stand by mode</v>
      </c>
      <c r="P1658" s="17" t="n">
        <v>11</v>
      </c>
      <c r="Q1658" s="17" t="str">
        <f aca="false">VLOOKUP(P1658,Sheet2!J:K,2,0)</f>
        <v>IR Declared due to CID -TA</v>
      </c>
      <c r="R1658" s="17" t="s">
        <v>35</v>
      </c>
      <c r="S1658" s="17" t="str">
        <f aca="false">VLOOKUP(R1658,Sheet2!N:O,2,0)</f>
        <v>IREPARABLE</v>
      </c>
      <c r="T1658" s="18" t="str">
        <f aca="false">VLOOKUP(P1658,Sheet2!Q:R,2,0)</f>
        <v>IR Normal - Track burn out</v>
      </c>
      <c r="U1658" s="18" t="s">
        <v>199</v>
      </c>
      <c r="V1658" s="17" t="n">
        <v>3</v>
      </c>
      <c r="W1658" s="20" t="str">
        <f aca="false">VLOOKUP(V1658,Sheet2!Q:R,2,0)</f>
        <v>IR CID - Tampered TrackOpen/Reworkdone </v>
      </c>
      <c r="X1658" s="17" t="str">
        <f aca="false">J1658</f>
        <v>A005</v>
      </c>
      <c r="Y1658" s="17" t="str">
        <f aca="false">VLOOKUP(X1658,Sheet2!A:B,2,0)</f>
        <v>VASANT PARMAR</v>
      </c>
      <c r="Z1658" s="17" t="s">
        <v>141</v>
      </c>
      <c r="AA1658" s="17" t="s">
        <v>798</v>
      </c>
      <c r="AB1658" s="17" t="s">
        <v>41</v>
      </c>
      <c r="AC1658" s="0" t="str">
        <f aca="false">LEFT(G1658,2)</f>
        <v>98</v>
      </c>
      <c r="AE1658" s="21" t="s">
        <v>506</v>
      </c>
    </row>
    <row r="1659" customFormat="false" ht="15" hidden="false" customHeight="false" outlineLevel="0" collapsed="false">
      <c r="A1659" s="13" t="n">
        <f aca="false">1+A1658</f>
        <v>1657</v>
      </c>
      <c r="B1659" s="14" t="n">
        <v>1009606587</v>
      </c>
      <c r="C1659" s="15" t="s">
        <v>181</v>
      </c>
      <c r="D1659" s="16" t="s">
        <v>64</v>
      </c>
      <c r="E1659" s="17" t="s">
        <v>91</v>
      </c>
      <c r="F1659" s="18" t="s">
        <v>34</v>
      </c>
      <c r="G1659" s="19" t="n">
        <v>985313254676</v>
      </c>
      <c r="H1659" s="17" t="s">
        <v>35</v>
      </c>
      <c r="I1659" s="17" t="s">
        <v>44</v>
      </c>
      <c r="J1659" s="17" t="s">
        <v>239</v>
      </c>
      <c r="K1659" s="17" t="str">
        <f aca="false">VLOOKUP(J1659,Sheet2!A:B,2,0)</f>
        <v>VASANT PARMAR</v>
      </c>
      <c r="L1659" s="17" t="n">
        <v>5</v>
      </c>
      <c r="M1659" s="17" t="str">
        <f aca="false">VLOOKUP(L1659,Sheet2!D:E,2,0)</f>
        <v>Main Processor CPU BGA</v>
      </c>
      <c r="N1659" s="17" t="n">
        <v>1</v>
      </c>
      <c r="O1659" s="17" t="str">
        <f aca="false">VLOOKUP(N1659,Sheet2!G:H,2,0)</f>
        <v>Dead</v>
      </c>
      <c r="P1659" s="17" t="n">
        <v>11</v>
      </c>
      <c r="Q1659" s="17" t="str">
        <f aca="false">VLOOKUP(P1659,Sheet2!J:K,2,0)</f>
        <v>IR Declared due to CID -TA</v>
      </c>
      <c r="R1659" s="17" t="s">
        <v>35</v>
      </c>
      <c r="S1659" s="17" t="str">
        <f aca="false">VLOOKUP(R1659,Sheet2!N:O,2,0)</f>
        <v>IREPARABLE</v>
      </c>
      <c r="T1659" s="18" t="str">
        <f aca="false">VLOOKUP(P1659,Sheet2!Q:R,2,0)</f>
        <v>IR Normal - Track burn out</v>
      </c>
      <c r="U1659" s="18" t="s">
        <v>122</v>
      </c>
      <c r="V1659" s="17" t="n">
        <v>2</v>
      </c>
      <c r="W1659" s="20" t="str">
        <f aca="false">VLOOKUP(V1659,Sheet2!Q:R,2,0)</f>
        <v>IR CID -  Water log from other area</v>
      </c>
      <c r="X1659" s="17" t="str">
        <f aca="false">J1659</f>
        <v>A005</v>
      </c>
      <c r="Y1659" s="17" t="str">
        <f aca="false">VLOOKUP(X1659,Sheet2!A:B,2,0)</f>
        <v>VASANT PARMAR</v>
      </c>
      <c r="Z1659" s="17" t="s">
        <v>860</v>
      </c>
      <c r="AA1659" s="17" t="s">
        <v>798</v>
      </c>
      <c r="AB1659" s="17" t="s">
        <v>41</v>
      </c>
      <c r="AC1659" s="0" t="str">
        <f aca="false">LEFT(G1659,2)</f>
        <v>98</v>
      </c>
      <c r="AE1659" s="21" t="s">
        <v>506</v>
      </c>
    </row>
    <row r="1660" customFormat="false" ht="15" hidden="false" customHeight="false" outlineLevel="0" collapsed="false">
      <c r="A1660" s="13" t="n">
        <f aca="false">1+A1659</f>
        <v>1658</v>
      </c>
      <c r="B1660" s="14" t="n">
        <v>1009091504</v>
      </c>
      <c r="C1660" s="15" t="s">
        <v>414</v>
      </c>
      <c r="D1660" s="16" t="s">
        <v>64</v>
      </c>
      <c r="E1660" s="17" t="s">
        <v>861</v>
      </c>
      <c r="F1660" s="18" t="s">
        <v>34</v>
      </c>
      <c r="G1660" s="19" t="n">
        <v>135197036035</v>
      </c>
      <c r="H1660" s="17" t="s">
        <v>35</v>
      </c>
      <c r="I1660" s="17" t="s">
        <v>44</v>
      </c>
      <c r="J1660" s="17" t="s">
        <v>267</v>
      </c>
      <c r="K1660" s="17" t="str">
        <f aca="false">VLOOKUP(J1660,Sheet2!A:B,2,0)</f>
        <v>HARIRAM GUPTA</v>
      </c>
      <c r="L1660" s="17" t="n">
        <v>1</v>
      </c>
      <c r="M1660" s="17" t="str">
        <f aca="false">VLOOKUP(L1660,Sheet2!D:E,2,0)</f>
        <v>Power Supply Section</v>
      </c>
      <c r="N1660" s="17" t="n">
        <v>1</v>
      </c>
      <c r="O1660" s="17" t="str">
        <f aca="false">VLOOKUP(N1660,Sheet2!G:H,2,0)</f>
        <v>Dead</v>
      </c>
      <c r="P1660" s="17" t="n">
        <v>11</v>
      </c>
      <c r="Q1660" s="17" t="str">
        <f aca="false">VLOOKUP(P1660,Sheet2!J:K,2,0)</f>
        <v>IR Declared due to CID -TA</v>
      </c>
      <c r="R1660" s="17" t="s">
        <v>35</v>
      </c>
      <c r="S1660" s="17" t="str">
        <f aca="false">VLOOKUP(R1660,Sheet2!N:O,2,0)</f>
        <v>IREPARABLE</v>
      </c>
      <c r="T1660" s="18" t="str">
        <f aca="false">VLOOKUP(P1660,Sheet2!Q:R,2,0)</f>
        <v>IR Normal - Track burn out</v>
      </c>
      <c r="U1660" s="18" t="s">
        <v>38</v>
      </c>
      <c r="V1660" s="17" t="n">
        <v>4</v>
      </c>
      <c r="W1660" s="20" t="str">
        <f aca="false">VLOOKUP(V1660,Sheet2!Q:R,2,0)</f>
        <v>IR CID - Tampered Track burn out</v>
      </c>
      <c r="X1660" s="17" t="str">
        <f aca="false">J1660</f>
        <v>A007</v>
      </c>
      <c r="Y1660" s="17" t="str">
        <f aca="false">VLOOKUP(X1660,Sheet2!A:B,2,0)</f>
        <v>HARIRAM GUPTA</v>
      </c>
      <c r="Z1660" s="17" t="s">
        <v>862</v>
      </c>
      <c r="AA1660" s="17" t="s">
        <v>798</v>
      </c>
      <c r="AB1660" s="17" t="s">
        <v>41</v>
      </c>
      <c r="AC1660" s="0" t="str">
        <f aca="false">LEFT(G1660,2)</f>
        <v>13</v>
      </c>
      <c r="AE1660" s="21" t="s">
        <v>506</v>
      </c>
    </row>
    <row r="1661" customFormat="false" ht="15" hidden="false" customHeight="false" outlineLevel="0" collapsed="false">
      <c r="A1661" s="13" t="n">
        <f aca="false">1+A1660</f>
        <v>1659</v>
      </c>
      <c r="B1661" s="14" t="n">
        <v>1009611636</v>
      </c>
      <c r="C1661" s="15" t="s">
        <v>181</v>
      </c>
      <c r="D1661" s="16" t="s">
        <v>64</v>
      </c>
      <c r="E1661" s="17" t="s">
        <v>64</v>
      </c>
      <c r="F1661" s="18" t="s">
        <v>34</v>
      </c>
      <c r="G1661" s="19" t="n">
        <v>954223216118</v>
      </c>
      <c r="H1661" s="17" t="s">
        <v>35</v>
      </c>
      <c r="I1661" s="17" t="s">
        <v>44</v>
      </c>
      <c r="J1661" s="17" t="s">
        <v>252</v>
      </c>
      <c r="K1661" s="17" t="str">
        <f aca="false">VLOOKUP(J1661,Sheet2!A:B,2,0)</f>
        <v>TAKHAT SOLANKI</v>
      </c>
      <c r="L1661" s="17" t="n">
        <v>3</v>
      </c>
      <c r="M1661" s="17" t="str">
        <f aca="false">VLOOKUP(L1661,Sheet2!D:E,2,0)</f>
        <v>Video Section</v>
      </c>
      <c r="N1661" s="17" t="n">
        <v>15</v>
      </c>
      <c r="O1661" s="17" t="str">
        <f aca="false">VLOOKUP(N1661,Sheet2!G:H,2,0)</f>
        <v>No Video - AV</v>
      </c>
      <c r="P1661" s="17" t="n">
        <v>11</v>
      </c>
      <c r="Q1661" s="17" t="str">
        <f aca="false">VLOOKUP(P1661,Sheet2!J:K,2,0)</f>
        <v>IR Declared due to CID -TA</v>
      </c>
      <c r="R1661" s="17" t="s">
        <v>35</v>
      </c>
      <c r="S1661" s="17" t="str">
        <f aca="false">VLOOKUP(R1661,Sheet2!N:O,2,0)</f>
        <v>IREPARABLE</v>
      </c>
      <c r="T1661" s="18" t="str">
        <f aca="false">VLOOKUP(P1661,Sheet2!Q:R,2,0)</f>
        <v>IR Normal - Track burn out</v>
      </c>
      <c r="U1661" s="18" t="s">
        <v>122</v>
      </c>
      <c r="V1661" s="17" t="n">
        <v>2</v>
      </c>
      <c r="W1661" s="20" t="str">
        <f aca="false">VLOOKUP(V1661,Sheet2!Q:R,2,0)</f>
        <v>IR CID -  Water log from other area</v>
      </c>
      <c r="X1661" s="17" t="str">
        <f aca="false">J1661</f>
        <v>A006</v>
      </c>
      <c r="Y1661" s="17" t="str">
        <f aca="false">VLOOKUP(X1661,Sheet2!A:B,2,0)</f>
        <v>TAKHAT SOLANKI</v>
      </c>
      <c r="Z1661" s="17" t="s">
        <v>863</v>
      </c>
      <c r="AA1661" s="17" t="s">
        <v>798</v>
      </c>
      <c r="AB1661" s="17" t="s">
        <v>41</v>
      </c>
      <c r="AC1661" s="0" t="str">
        <f aca="false">LEFT(G1661,2)</f>
        <v>95</v>
      </c>
      <c r="AE1661" s="21" t="s">
        <v>506</v>
      </c>
    </row>
    <row r="1662" customFormat="false" ht="15" hidden="false" customHeight="false" outlineLevel="0" collapsed="false">
      <c r="A1662" s="13" t="n">
        <f aca="false">1+A1661</f>
        <v>1660</v>
      </c>
      <c r="B1662" s="14" t="n">
        <v>1008672362</v>
      </c>
      <c r="C1662" s="15" t="s">
        <v>585</v>
      </c>
      <c r="D1662" s="16" t="s">
        <v>64</v>
      </c>
      <c r="E1662" s="17" t="s">
        <v>47</v>
      </c>
      <c r="F1662" s="18" t="s">
        <v>34</v>
      </c>
      <c r="G1662" s="19" t="n">
        <v>986023275880</v>
      </c>
      <c r="H1662" s="17" t="s">
        <v>35</v>
      </c>
      <c r="I1662" s="17" t="s">
        <v>44</v>
      </c>
      <c r="J1662" s="17" t="s">
        <v>287</v>
      </c>
      <c r="K1662" s="17" t="str">
        <f aca="false">VLOOKUP(J1662,Sheet2!A:B,2,0)</f>
        <v>BHUPENDRA  DABHI</v>
      </c>
      <c r="L1662" s="17" t="n">
        <v>1</v>
      </c>
      <c r="M1662" s="17" t="str">
        <f aca="false">VLOOKUP(L1662,Sheet2!D:E,2,0)</f>
        <v>Power Supply Section</v>
      </c>
      <c r="N1662" s="17" t="n">
        <v>1</v>
      </c>
      <c r="O1662" s="17" t="str">
        <f aca="false">VLOOKUP(N1662,Sheet2!G:H,2,0)</f>
        <v>Dead</v>
      </c>
      <c r="P1662" s="17" t="n">
        <v>11</v>
      </c>
      <c r="Q1662" s="17" t="str">
        <f aca="false">VLOOKUP(P1662,Sheet2!J:K,2,0)</f>
        <v>IR Declared due to CID -TA</v>
      </c>
      <c r="R1662" s="17" t="s">
        <v>35</v>
      </c>
      <c r="S1662" s="17" t="str">
        <f aca="false">VLOOKUP(R1662,Sheet2!N:O,2,0)</f>
        <v>IREPARABLE</v>
      </c>
      <c r="T1662" s="18" t="str">
        <f aca="false">VLOOKUP(P1662,Sheet2!Q:R,2,0)</f>
        <v>IR Normal - Track burn out</v>
      </c>
      <c r="U1662" s="18" t="s">
        <v>122</v>
      </c>
      <c r="V1662" s="17" t="n">
        <v>2</v>
      </c>
      <c r="W1662" s="20" t="str">
        <f aca="false">VLOOKUP(V1662,Sheet2!Q:R,2,0)</f>
        <v>IR CID -  Water log from other area</v>
      </c>
      <c r="X1662" s="17" t="str">
        <f aca="false">J1662</f>
        <v>A010</v>
      </c>
      <c r="Y1662" s="17" t="str">
        <f aca="false">VLOOKUP(X1662,Sheet2!A:B,2,0)</f>
        <v>BHUPENDRA  DABHI</v>
      </c>
      <c r="Z1662" s="17" t="s">
        <v>864</v>
      </c>
      <c r="AA1662" s="17" t="s">
        <v>798</v>
      </c>
      <c r="AB1662" s="17" t="s">
        <v>41</v>
      </c>
      <c r="AC1662" s="0" t="str">
        <f aca="false">LEFT(G1662,2)</f>
        <v>98</v>
      </c>
      <c r="AE1662" s="21" t="s">
        <v>506</v>
      </c>
    </row>
    <row r="1663" customFormat="false" ht="15" hidden="false" customHeight="false" outlineLevel="0" collapsed="false">
      <c r="A1663" s="13" t="n">
        <f aca="false">1+A1662</f>
        <v>1661</v>
      </c>
      <c r="B1663" s="14" t="n">
        <v>1008530691</v>
      </c>
      <c r="C1663" s="15" t="s">
        <v>865</v>
      </c>
      <c r="D1663" s="16" t="s">
        <v>64</v>
      </c>
      <c r="E1663" s="17" t="s">
        <v>460</v>
      </c>
      <c r="F1663" s="18" t="s">
        <v>34</v>
      </c>
      <c r="G1663" s="19" t="n">
        <v>134114079723</v>
      </c>
      <c r="H1663" s="17" t="s">
        <v>35</v>
      </c>
      <c r="I1663" s="17" t="s">
        <v>44</v>
      </c>
      <c r="J1663" s="17" t="s">
        <v>106</v>
      </c>
      <c r="K1663" s="17" t="str">
        <f aca="false">VLOOKUP(J1663,Sheet2!A:B,2,0)</f>
        <v>PRAKASH CHAVDA</v>
      </c>
      <c r="L1663" s="17" t="n">
        <v>2</v>
      </c>
      <c r="M1663" s="17" t="str">
        <f aca="false">VLOOKUP(L1663,Sheet2!D:E,2,0)</f>
        <v>Tuner Section</v>
      </c>
      <c r="N1663" s="17" t="n">
        <v>6</v>
      </c>
      <c r="O1663" s="17" t="str">
        <f aca="false">VLOOKUP(N1663,Sheet2!G:H,2,0)</f>
        <v>No Signal</v>
      </c>
      <c r="P1663" s="17" t="n">
        <v>12</v>
      </c>
      <c r="Q1663" s="17" t="str">
        <f aca="false">VLOOKUP(P1663,Sheet2!J:K,2,0)</f>
        <v>IR Declared due to Others ( IR Normal)TB</v>
      </c>
      <c r="R1663" s="17" t="s">
        <v>35</v>
      </c>
      <c r="S1663" s="17" t="str">
        <f aca="false">VLOOKUP(R1663,Sheet2!N:O,2,0)</f>
        <v>IREPARABLE</v>
      </c>
      <c r="T1663" s="18" t="str">
        <f aca="false">VLOOKUP(P1663,Sheet2!Q:R,2,0)</f>
        <v>IR Normal - BER to IR</v>
      </c>
      <c r="U1663" s="15" t="s">
        <v>38</v>
      </c>
      <c r="V1663" s="17" t="n">
        <v>11</v>
      </c>
      <c r="W1663" s="20" t="str">
        <f aca="false">VLOOKUP(V1663,Sheet2!Q:R,2,0)</f>
        <v>IR Normal - Track burn out</v>
      </c>
      <c r="X1663" s="17" t="str">
        <f aca="false">J1663</f>
        <v>A018</v>
      </c>
      <c r="Y1663" s="17" t="str">
        <f aca="false">VLOOKUP(X1663,Sheet2!A:B,2,0)</f>
        <v>PRAKASH CHAVDA</v>
      </c>
      <c r="Z1663" s="17" t="s">
        <v>866</v>
      </c>
      <c r="AA1663" s="17" t="s">
        <v>798</v>
      </c>
      <c r="AB1663" s="17" t="s">
        <v>41</v>
      </c>
      <c r="AC1663" s="0" t="str">
        <f aca="false">LEFT(G1663,2)</f>
        <v>13</v>
      </c>
      <c r="AE1663" s="21" t="s">
        <v>506</v>
      </c>
    </row>
    <row r="1664" customFormat="false" ht="15" hidden="false" customHeight="false" outlineLevel="0" collapsed="false">
      <c r="A1664" s="13" t="n">
        <f aca="false">1+A1663</f>
        <v>1662</v>
      </c>
      <c r="B1664" s="14" t="n">
        <v>1009621096</v>
      </c>
      <c r="C1664" s="15" t="s">
        <v>184</v>
      </c>
      <c r="D1664" s="16" t="s">
        <v>359</v>
      </c>
      <c r="E1664" s="17" t="s">
        <v>47</v>
      </c>
      <c r="F1664" s="18" t="s">
        <v>34</v>
      </c>
      <c r="G1664" s="19" t="n">
        <v>288096205373</v>
      </c>
      <c r="H1664" s="17" t="s">
        <v>35</v>
      </c>
      <c r="I1664" s="17" t="s">
        <v>74</v>
      </c>
      <c r="J1664" s="17" t="s">
        <v>121</v>
      </c>
      <c r="K1664" s="17" t="str">
        <f aca="false">VLOOKUP(J1664,Sheet2!A:B,2,0)</f>
        <v>SHANI GOHIL</v>
      </c>
      <c r="L1664" s="17" t="n">
        <v>1</v>
      </c>
      <c r="M1664" s="17" t="str">
        <f aca="false">VLOOKUP(L1664,Sheet2!D:E,2,0)</f>
        <v>Power Supply Section</v>
      </c>
      <c r="N1664" s="17" t="n">
        <v>1</v>
      </c>
      <c r="O1664" s="17" t="str">
        <f aca="false">VLOOKUP(N1664,Sheet2!G:H,2,0)</f>
        <v>Dead</v>
      </c>
      <c r="P1664" s="17" t="n">
        <v>11</v>
      </c>
      <c r="Q1664" s="17" t="str">
        <f aca="false">VLOOKUP(P1664,Sheet2!J:K,2,0)</f>
        <v>IR Declared due to CID -TA</v>
      </c>
      <c r="R1664" s="17" t="s">
        <v>35</v>
      </c>
      <c r="S1664" s="17" t="str">
        <f aca="false">VLOOKUP(R1664,Sheet2!N:O,2,0)</f>
        <v>IREPARABLE</v>
      </c>
      <c r="T1664" s="18" t="str">
        <f aca="false">VLOOKUP(P1664,Sheet2!Q:R,2,0)</f>
        <v>IR Normal - Track burn out</v>
      </c>
      <c r="U1664" s="18" t="s">
        <v>122</v>
      </c>
      <c r="V1664" s="17" t="n">
        <v>2</v>
      </c>
      <c r="W1664" s="20" t="str">
        <f aca="false">VLOOKUP(V1664,Sheet2!Q:R,2,0)</f>
        <v>IR CID -  Water log from other area</v>
      </c>
      <c r="X1664" s="17" t="str">
        <f aca="false">J1664</f>
        <v>A063</v>
      </c>
      <c r="Y1664" s="17" t="str">
        <f aca="false">VLOOKUP(X1664,Sheet2!A:B,2,0)</f>
        <v>SHANI GOHIL</v>
      </c>
      <c r="Z1664" s="17" t="s">
        <v>867</v>
      </c>
      <c r="AA1664" s="17" t="s">
        <v>798</v>
      </c>
      <c r="AB1664" s="17" t="s">
        <v>41</v>
      </c>
      <c r="AC1664" s="0" t="str">
        <f aca="false">LEFT(G1664,2)</f>
        <v>28</v>
      </c>
      <c r="AE1664" s="21" t="s">
        <v>506</v>
      </c>
    </row>
    <row r="1665" customFormat="false" ht="15" hidden="false" customHeight="false" outlineLevel="0" collapsed="false">
      <c r="A1665" s="13" t="n">
        <f aca="false">1+A1664</f>
        <v>1663</v>
      </c>
      <c r="B1665" s="14" t="n">
        <v>1009582762</v>
      </c>
      <c r="C1665" s="15" t="s">
        <v>139</v>
      </c>
      <c r="D1665" s="16" t="s">
        <v>64</v>
      </c>
      <c r="E1665" s="17" t="s">
        <v>64</v>
      </c>
      <c r="F1665" s="18" t="s">
        <v>34</v>
      </c>
      <c r="G1665" s="19" t="n">
        <v>278004221315</v>
      </c>
      <c r="H1665" s="17" t="s">
        <v>35</v>
      </c>
      <c r="I1665" s="17" t="s">
        <v>74</v>
      </c>
      <c r="J1665" s="17" t="s">
        <v>241</v>
      </c>
      <c r="K1665" s="17" t="str">
        <f aca="false">VLOOKUP(J1665,Sheet2!A:B,2,0)</f>
        <v>NILESH NAGAR</v>
      </c>
      <c r="L1665" s="17" t="n">
        <v>5</v>
      </c>
      <c r="M1665" s="17" t="str">
        <f aca="false">VLOOKUP(L1665,Sheet2!D:E,2,0)</f>
        <v>Main Processor CPU BGA</v>
      </c>
      <c r="N1665" s="17" t="n">
        <v>1</v>
      </c>
      <c r="O1665" s="17" t="str">
        <f aca="false">VLOOKUP(N1665,Sheet2!G:H,2,0)</f>
        <v>Dead</v>
      </c>
      <c r="P1665" s="17" t="n">
        <v>11</v>
      </c>
      <c r="Q1665" s="17" t="str">
        <f aca="false">VLOOKUP(P1665,Sheet2!J:K,2,0)</f>
        <v>IR Declared due to CID -TA</v>
      </c>
      <c r="R1665" s="17" t="s">
        <v>35</v>
      </c>
      <c r="S1665" s="17" t="str">
        <f aca="false">VLOOKUP(R1665,Sheet2!N:O,2,0)</f>
        <v>IREPARABLE</v>
      </c>
      <c r="T1665" s="18" t="str">
        <f aca="false">VLOOKUP(P1665,Sheet2!Q:R,2,0)</f>
        <v>IR Normal - Track burn out</v>
      </c>
      <c r="U1665" s="18" t="s">
        <v>122</v>
      </c>
      <c r="V1665" s="17" t="n">
        <v>2</v>
      </c>
      <c r="W1665" s="20" t="str">
        <f aca="false">VLOOKUP(V1665,Sheet2!Q:R,2,0)</f>
        <v>IR CID -  Water log from other area</v>
      </c>
      <c r="X1665" s="17" t="str">
        <f aca="false">J1665</f>
        <v>A008</v>
      </c>
      <c r="Y1665" s="17" t="str">
        <f aca="false">VLOOKUP(X1665,Sheet2!A:B,2,0)</f>
        <v>NILESH NAGAR</v>
      </c>
      <c r="Z1665" s="17" t="s">
        <v>868</v>
      </c>
      <c r="AA1665" s="17" t="s">
        <v>798</v>
      </c>
      <c r="AB1665" s="17" t="s">
        <v>41</v>
      </c>
      <c r="AC1665" s="0" t="str">
        <f aca="false">LEFT(G1665,2)</f>
        <v>27</v>
      </c>
      <c r="AE1665" s="21" t="s">
        <v>506</v>
      </c>
    </row>
    <row r="1666" customFormat="false" ht="15" hidden="false" customHeight="false" outlineLevel="0" collapsed="false">
      <c r="A1666" s="13" t="n">
        <f aca="false">1+A1665</f>
        <v>1664</v>
      </c>
      <c r="B1666" s="14" t="n">
        <v>1009625961</v>
      </c>
      <c r="C1666" s="15" t="s">
        <v>163</v>
      </c>
      <c r="D1666" s="16" t="s">
        <v>64</v>
      </c>
      <c r="E1666" s="17" t="s">
        <v>64</v>
      </c>
      <c r="F1666" s="18" t="s">
        <v>34</v>
      </c>
      <c r="G1666" s="19" t="n">
        <v>277260101070</v>
      </c>
      <c r="H1666" s="17" t="s">
        <v>35</v>
      </c>
      <c r="I1666" s="17" t="s">
        <v>74</v>
      </c>
      <c r="J1666" s="17" t="s">
        <v>121</v>
      </c>
      <c r="K1666" s="17" t="str">
        <f aca="false">VLOOKUP(J1666,Sheet2!A:B,2,0)</f>
        <v>SHANI GOHIL</v>
      </c>
      <c r="L1666" s="17" t="n">
        <v>1</v>
      </c>
      <c r="M1666" s="17" t="str">
        <f aca="false">VLOOKUP(L1666,Sheet2!D:E,2,0)</f>
        <v>Power Supply Section</v>
      </c>
      <c r="N1666" s="17" t="n">
        <v>1</v>
      </c>
      <c r="O1666" s="17" t="str">
        <f aca="false">VLOOKUP(N1666,Sheet2!G:H,2,0)</f>
        <v>Dead</v>
      </c>
      <c r="P1666" s="17" t="n">
        <v>11</v>
      </c>
      <c r="Q1666" s="17" t="str">
        <f aca="false">VLOOKUP(P1666,Sheet2!J:K,2,0)</f>
        <v>IR Declared due to CID -TA</v>
      </c>
      <c r="R1666" s="17" t="s">
        <v>35</v>
      </c>
      <c r="S1666" s="17" t="str">
        <f aca="false">VLOOKUP(R1666,Sheet2!N:O,2,0)</f>
        <v>IREPARABLE</v>
      </c>
      <c r="T1666" s="18" t="str">
        <f aca="false">VLOOKUP(P1666,Sheet2!Q:R,2,0)</f>
        <v>IR Normal - Track burn out</v>
      </c>
      <c r="U1666" s="18" t="s">
        <v>122</v>
      </c>
      <c r="V1666" s="17" t="n">
        <v>2</v>
      </c>
      <c r="W1666" s="20" t="str">
        <f aca="false">VLOOKUP(V1666,Sheet2!Q:R,2,0)</f>
        <v>IR CID -  Water log from other area</v>
      </c>
      <c r="X1666" s="17" t="str">
        <f aca="false">J1666</f>
        <v>A063</v>
      </c>
      <c r="Y1666" s="17" t="str">
        <f aca="false">VLOOKUP(X1666,Sheet2!A:B,2,0)</f>
        <v>SHANI GOHIL</v>
      </c>
      <c r="Z1666" s="17" t="s">
        <v>867</v>
      </c>
      <c r="AA1666" s="17" t="s">
        <v>798</v>
      </c>
      <c r="AB1666" s="17" t="s">
        <v>41</v>
      </c>
      <c r="AC1666" s="0" t="str">
        <f aca="false">LEFT(G1666,2)</f>
        <v>27</v>
      </c>
      <c r="AE1666" s="21" t="s">
        <v>506</v>
      </c>
    </row>
    <row r="1667" customFormat="false" ht="15" hidden="false" customHeight="false" outlineLevel="0" collapsed="false">
      <c r="A1667" s="13" t="n">
        <f aca="false">1+A1666</f>
        <v>1665</v>
      </c>
      <c r="B1667" s="14" t="n">
        <v>1009625403</v>
      </c>
      <c r="C1667" s="15" t="s">
        <v>163</v>
      </c>
      <c r="D1667" s="16" t="s">
        <v>64</v>
      </c>
      <c r="E1667" s="17" t="s">
        <v>64</v>
      </c>
      <c r="F1667" s="18" t="s">
        <v>34</v>
      </c>
      <c r="G1667" s="19" t="n">
        <v>288095103827</v>
      </c>
      <c r="H1667" s="17" t="s">
        <v>35</v>
      </c>
      <c r="I1667" s="17" t="s">
        <v>74</v>
      </c>
      <c r="J1667" s="17" t="s">
        <v>239</v>
      </c>
      <c r="K1667" s="17" t="str">
        <f aca="false">VLOOKUP(J1667,Sheet2!A:B,2,0)</f>
        <v>VASANT PARMAR</v>
      </c>
      <c r="L1667" s="17" t="n">
        <v>5</v>
      </c>
      <c r="M1667" s="17" t="str">
        <f aca="false">VLOOKUP(L1667,Sheet2!D:E,2,0)</f>
        <v>Main Processor CPU BGA</v>
      </c>
      <c r="N1667" s="17" t="n">
        <v>1</v>
      </c>
      <c r="O1667" s="17" t="str">
        <f aca="false">VLOOKUP(N1667,Sheet2!G:H,2,0)</f>
        <v>Dead</v>
      </c>
      <c r="P1667" s="17" t="n">
        <v>11</v>
      </c>
      <c r="Q1667" s="17" t="str">
        <f aca="false">VLOOKUP(P1667,Sheet2!J:K,2,0)</f>
        <v>IR Declared due to CID -TA</v>
      </c>
      <c r="R1667" s="17" t="s">
        <v>35</v>
      </c>
      <c r="S1667" s="17" t="str">
        <f aca="false">VLOOKUP(R1667,Sheet2!N:O,2,0)</f>
        <v>IREPARABLE</v>
      </c>
      <c r="T1667" s="18" t="str">
        <f aca="false">VLOOKUP(P1667,Sheet2!Q:R,2,0)</f>
        <v>IR Normal - Track burn out</v>
      </c>
      <c r="U1667" s="20" t="s">
        <v>256</v>
      </c>
      <c r="V1667" s="17" t="n">
        <v>1</v>
      </c>
      <c r="W1667" s="20" t="str">
        <f aca="false">VLOOKUP(V1667,Sheet2!Q:R,2,0)</f>
        <v>IR CID -  Water log from IF port</v>
      </c>
      <c r="X1667" s="17" t="str">
        <f aca="false">J1667</f>
        <v>A005</v>
      </c>
      <c r="Y1667" s="17" t="str">
        <f aca="false">VLOOKUP(X1667,Sheet2!A:B,2,0)</f>
        <v>VASANT PARMAR</v>
      </c>
      <c r="Z1667" s="17" t="s">
        <v>384</v>
      </c>
      <c r="AA1667" s="17" t="s">
        <v>798</v>
      </c>
      <c r="AB1667" s="17" t="s">
        <v>41</v>
      </c>
      <c r="AC1667" s="0" t="str">
        <f aca="false">LEFT(G1667,2)</f>
        <v>28</v>
      </c>
      <c r="AE1667" s="21" t="s">
        <v>506</v>
      </c>
    </row>
    <row r="1668" customFormat="false" ht="15" hidden="false" customHeight="false" outlineLevel="0" collapsed="false">
      <c r="A1668" s="13" t="n">
        <f aca="false">1+A1667</f>
        <v>1666</v>
      </c>
      <c r="B1668" s="14" t="n">
        <v>1009628255</v>
      </c>
      <c r="C1668" s="15" t="s">
        <v>229</v>
      </c>
      <c r="D1668" s="16" t="s">
        <v>64</v>
      </c>
      <c r="E1668" s="17" t="s">
        <v>64</v>
      </c>
      <c r="F1668" s="18" t="s">
        <v>34</v>
      </c>
      <c r="G1668" s="19" t="n">
        <v>288087104445</v>
      </c>
      <c r="H1668" s="17" t="s">
        <v>35</v>
      </c>
      <c r="I1668" s="17" t="s">
        <v>74</v>
      </c>
      <c r="J1668" s="17" t="s">
        <v>239</v>
      </c>
      <c r="K1668" s="17" t="str">
        <f aca="false">VLOOKUP(J1668,Sheet2!A:B,2,0)</f>
        <v>VASANT PARMAR</v>
      </c>
      <c r="L1668" s="17" t="n">
        <v>5</v>
      </c>
      <c r="M1668" s="17" t="str">
        <f aca="false">VLOOKUP(L1668,Sheet2!D:E,2,0)</f>
        <v>Main Processor CPU BGA</v>
      </c>
      <c r="N1668" s="17" t="n">
        <v>1</v>
      </c>
      <c r="O1668" s="17" t="str">
        <f aca="false">VLOOKUP(N1668,Sheet2!G:H,2,0)</f>
        <v>Dead</v>
      </c>
      <c r="P1668" s="17" t="n">
        <v>11</v>
      </c>
      <c r="Q1668" s="17" t="str">
        <f aca="false">VLOOKUP(P1668,Sheet2!J:K,2,0)</f>
        <v>IR Declared due to CID -TA</v>
      </c>
      <c r="R1668" s="17" t="s">
        <v>35</v>
      </c>
      <c r="S1668" s="17" t="str">
        <f aca="false">VLOOKUP(R1668,Sheet2!N:O,2,0)</f>
        <v>IREPARABLE</v>
      </c>
      <c r="T1668" s="18" t="str">
        <f aca="false">VLOOKUP(P1668,Sheet2!Q:R,2,0)</f>
        <v>IR Normal - Track burn out</v>
      </c>
      <c r="U1668" s="18" t="s">
        <v>122</v>
      </c>
      <c r="V1668" s="17" t="n">
        <v>2</v>
      </c>
      <c r="W1668" s="20" t="str">
        <f aca="false">VLOOKUP(V1668,Sheet2!Q:R,2,0)</f>
        <v>IR CID -  Water log from other area</v>
      </c>
      <c r="X1668" s="17" t="str">
        <f aca="false">J1668</f>
        <v>A005</v>
      </c>
      <c r="Y1668" s="17" t="str">
        <f aca="false">VLOOKUP(X1668,Sheet2!A:B,2,0)</f>
        <v>VASANT PARMAR</v>
      </c>
      <c r="Z1668" s="17" t="s">
        <v>869</v>
      </c>
      <c r="AA1668" s="17" t="s">
        <v>798</v>
      </c>
      <c r="AB1668" s="17" t="s">
        <v>41</v>
      </c>
      <c r="AC1668" s="0" t="str">
        <f aca="false">LEFT(G1668,2)</f>
        <v>28</v>
      </c>
      <c r="AE1668" s="21" t="s">
        <v>506</v>
      </c>
    </row>
    <row r="1669" customFormat="false" ht="15" hidden="false" customHeight="false" outlineLevel="0" collapsed="false">
      <c r="A1669" s="13" t="n">
        <f aca="false">1+A1668</f>
        <v>1667</v>
      </c>
      <c r="B1669" s="14" t="n">
        <v>1009618800</v>
      </c>
      <c r="C1669" s="15" t="s">
        <v>184</v>
      </c>
      <c r="D1669" s="16" t="s">
        <v>64</v>
      </c>
      <c r="E1669" s="17" t="s">
        <v>47</v>
      </c>
      <c r="F1669" s="18" t="s">
        <v>34</v>
      </c>
      <c r="G1669" s="19" t="n">
        <v>854147732291</v>
      </c>
      <c r="H1669" s="17" t="s">
        <v>35</v>
      </c>
      <c r="I1669" s="17" t="s">
        <v>36</v>
      </c>
      <c r="J1669" s="17" t="s">
        <v>241</v>
      </c>
      <c r="K1669" s="17" t="str">
        <f aca="false">VLOOKUP(J1669,Sheet2!A:B,2,0)</f>
        <v>NILESH NAGAR</v>
      </c>
      <c r="L1669" s="17" t="n">
        <v>5</v>
      </c>
      <c r="M1669" s="17" t="str">
        <f aca="false">VLOOKUP(L1669,Sheet2!D:E,2,0)</f>
        <v>Main Processor CPU BGA</v>
      </c>
      <c r="N1669" s="17" t="n">
        <v>1</v>
      </c>
      <c r="O1669" s="17" t="str">
        <f aca="false">VLOOKUP(N1669,Sheet2!G:H,2,0)</f>
        <v>Dead</v>
      </c>
      <c r="P1669" s="17" t="n">
        <v>11</v>
      </c>
      <c r="Q1669" s="17" t="str">
        <f aca="false">VLOOKUP(P1669,Sheet2!J:K,2,0)</f>
        <v>IR Declared due to CID -TA</v>
      </c>
      <c r="R1669" s="17" t="s">
        <v>35</v>
      </c>
      <c r="S1669" s="17" t="str">
        <f aca="false">VLOOKUP(R1669,Sheet2!N:O,2,0)</f>
        <v>IREPARABLE</v>
      </c>
      <c r="T1669" s="18" t="str">
        <f aca="false">VLOOKUP(P1669,Sheet2!Q:R,2,0)</f>
        <v>IR Normal - Track burn out</v>
      </c>
      <c r="U1669" s="18" t="s">
        <v>122</v>
      </c>
      <c r="V1669" s="17" t="n">
        <v>2</v>
      </c>
      <c r="W1669" s="20" t="str">
        <f aca="false">VLOOKUP(V1669,Sheet2!Q:R,2,0)</f>
        <v>IR CID -  Water log from other area</v>
      </c>
      <c r="X1669" s="17" t="str">
        <f aca="false">J1669</f>
        <v>A008</v>
      </c>
      <c r="Y1669" s="17" t="str">
        <f aca="false">VLOOKUP(X1669,Sheet2!A:B,2,0)</f>
        <v>NILESH NAGAR</v>
      </c>
      <c r="Z1669" s="17" t="s">
        <v>870</v>
      </c>
      <c r="AA1669" s="17" t="s">
        <v>798</v>
      </c>
      <c r="AB1669" s="17" t="s">
        <v>41</v>
      </c>
      <c r="AC1669" s="0" t="str">
        <f aca="false">LEFT(G1669,2)</f>
        <v>85</v>
      </c>
      <c r="AE1669" s="21" t="s">
        <v>506</v>
      </c>
    </row>
    <row r="1670" customFormat="false" ht="15" hidden="false" customHeight="false" outlineLevel="0" collapsed="false">
      <c r="A1670" s="13" t="n">
        <f aca="false">1+A1669</f>
        <v>1668</v>
      </c>
      <c r="B1670" s="14" t="n">
        <v>1009619168</v>
      </c>
      <c r="C1670" s="15" t="s">
        <v>184</v>
      </c>
      <c r="D1670" s="16" t="s">
        <v>64</v>
      </c>
      <c r="E1670" s="17" t="s">
        <v>64</v>
      </c>
      <c r="F1670" s="18" t="s">
        <v>34</v>
      </c>
      <c r="G1670" s="19" t="n">
        <v>844042775800</v>
      </c>
      <c r="H1670" s="17" t="s">
        <v>35</v>
      </c>
      <c r="I1670" s="17" t="s">
        <v>36</v>
      </c>
      <c r="J1670" s="17" t="s">
        <v>121</v>
      </c>
      <c r="K1670" s="17" t="str">
        <f aca="false">VLOOKUP(J1670,Sheet2!A:B,2,0)</f>
        <v>SHANI GOHIL</v>
      </c>
      <c r="L1670" s="17" t="n">
        <v>1</v>
      </c>
      <c r="M1670" s="17" t="str">
        <f aca="false">VLOOKUP(L1670,Sheet2!D:E,2,0)</f>
        <v>Power Supply Section</v>
      </c>
      <c r="N1670" s="17" t="n">
        <v>1</v>
      </c>
      <c r="O1670" s="17" t="str">
        <f aca="false">VLOOKUP(N1670,Sheet2!G:H,2,0)</f>
        <v>Dead</v>
      </c>
      <c r="P1670" s="17" t="n">
        <v>11</v>
      </c>
      <c r="Q1670" s="17" t="str">
        <f aca="false">VLOOKUP(P1670,Sheet2!J:K,2,0)</f>
        <v>IR Declared due to CID -TA</v>
      </c>
      <c r="R1670" s="17" t="s">
        <v>35</v>
      </c>
      <c r="S1670" s="17" t="str">
        <f aca="false">VLOOKUP(R1670,Sheet2!N:O,2,0)</f>
        <v>IREPARABLE</v>
      </c>
      <c r="T1670" s="18" t="str">
        <f aca="false">VLOOKUP(P1670,Sheet2!Q:R,2,0)</f>
        <v>IR Normal - Track burn out</v>
      </c>
      <c r="U1670" s="18" t="s">
        <v>122</v>
      </c>
      <c r="V1670" s="17" t="n">
        <v>2</v>
      </c>
      <c r="W1670" s="20" t="str">
        <f aca="false">VLOOKUP(V1670,Sheet2!Q:R,2,0)</f>
        <v>IR CID -  Water log from other area</v>
      </c>
      <c r="X1670" s="17" t="str">
        <f aca="false">J1670</f>
        <v>A063</v>
      </c>
      <c r="Y1670" s="17" t="str">
        <f aca="false">VLOOKUP(X1670,Sheet2!A:B,2,0)</f>
        <v>SHANI GOHIL</v>
      </c>
      <c r="Z1670" s="17" t="s">
        <v>871</v>
      </c>
      <c r="AA1670" s="17" t="s">
        <v>798</v>
      </c>
      <c r="AB1670" s="17" t="s">
        <v>41</v>
      </c>
      <c r="AC1670" s="0" t="str">
        <f aca="false">LEFT(G1670,2)</f>
        <v>84</v>
      </c>
      <c r="AE1670" s="21" t="s">
        <v>506</v>
      </c>
    </row>
    <row r="1671" customFormat="false" ht="15" hidden="false" customHeight="false" outlineLevel="0" collapsed="false">
      <c r="A1671" s="13" t="n">
        <f aca="false">1+A1670</f>
        <v>1669</v>
      </c>
      <c r="B1671" s="14" t="n">
        <v>1009621156</v>
      </c>
      <c r="C1671" s="15" t="s">
        <v>184</v>
      </c>
      <c r="D1671" s="16" t="s">
        <v>64</v>
      </c>
      <c r="E1671" s="17" t="s">
        <v>109</v>
      </c>
      <c r="F1671" s="18" t="s">
        <v>34</v>
      </c>
      <c r="G1671" s="19" t="n">
        <v>853160724714</v>
      </c>
      <c r="H1671" s="17" t="s">
        <v>35</v>
      </c>
      <c r="I1671" s="17" t="s">
        <v>36</v>
      </c>
      <c r="J1671" s="17" t="s">
        <v>121</v>
      </c>
      <c r="K1671" s="17" t="str">
        <f aca="false">VLOOKUP(J1671,Sheet2!A:B,2,0)</f>
        <v>SHANI GOHIL</v>
      </c>
      <c r="L1671" s="17" t="n">
        <v>1</v>
      </c>
      <c r="M1671" s="17" t="str">
        <f aca="false">VLOOKUP(L1671,Sheet2!D:E,2,0)</f>
        <v>Power Supply Section</v>
      </c>
      <c r="N1671" s="17" t="n">
        <v>1</v>
      </c>
      <c r="O1671" s="17" t="str">
        <f aca="false">VLOOKUP(N1671,Sheet2!G:H,2,0)</f>
        <v>Dead</v>
      </c>
      <c r="P1671" s="17" t="n">
        <v>11</v>
      </c>
      <c r="Q1671" s="17" t="str">
        <f aca="false">VLOOKUP(P1671,Sheet2!J:K,2,0)</f>
        <v>IR Declared due to CID -TA</v>
      </c>
      <c r="R1671" s="17" t="s">
        <v>35</v>
      </c>
      <c r="S1671" s="17" t="str">
        <f aca="false">VLOOKUP(R1671,Sheet2!N:O,2,0)</f>
        <v>IREPARABLE</v>
      </c>
      <c r="T1671" s="18" t="str">
        <f aca="false">VLOOKUP(P1671,Sheet2!Q:R,2,0)</f>
        <v>IR Normal - Track burn out</v>
      </c>
      <c r="U1671" s="18" t="s">
        <v>122</v>
      </c>
      <c r="V1671" s="17" t="n">
        <v>2</v>
      </c>
      <c r="W1671" s="20" t="str">
        <f aca="false">VLOOKUP(V1671,Sheet2!Q:R,2,0)</f>
        <v>IR CID -  Water log from other area</v>
      </c>
      <c r="X1671" s="17" t="str">
        <f aca="false">J1671</f>
        <v>A063</v>
      </c>
      <c r="Y1671" s="17" t="str">
        <f aca="false">VLOOKUP(X1671,Sheet2!A:B,2,0)</f>
        <v>SHANI GOHIL</v>
      </c>
      <c r="Z1671" s="17" t="s">
        <v>872</v>
      </c>
      <c r="AA1671" s="17" t="s">
        <v>798</v>
      </c>
      <c r="AB1671" s="17" t="s">
        <v>41</v>
      </c>
      <c r="AC1671" s="0" t="str">
        <f aca="false">LEFT(G1671,2)</f>
        <v>85</v>
      </c>
      <c r="AE1671" s="21" t="s">
        <v>506</v>
      </c>
    </row>
    <row r="1672" customFormat="false" ht="15" hidden="false" customHeight="false" outlineLevel="0" collapsed="false">
      <c r="A1672" s="13" t="n">
        <f aca="false">1+A1671</f>
        <v>1670</v>
      </c>
      <c r="B1672" s="14" t="n">
        <v>1009635490</v>
      </c>
      <c r="C1672" s="15" t="s">
        <v>182</v>
      </c>
      <c r="D1672" s="16" t="s">
        <v>64</v>
      </c>
      <c r="E1672" s="17" t="s">
        <v>47</v>
      </c>
      <c r="F1672" s="18" t="s">
        <v>34</v>
      </c>
      <c r="G1672" s="19" t="n">
        <v>853229741279</v>
      </c>
      <c r="H1672" s="17" t="s">
        <v>35</v>
      </c>
      <c r="I1672" s="17" t="s">
        <v>36</v>
      </c>
      <c r="J1672" s="17" t="s">
        <v>289</v>
      </c>
      <c r="K1672" s="17" t="str">
        <f aca="false">VLOOKUP(J1672,Sheet2!A:B,2,0)</f>
        <v>AJAY KOSHTI</v>
      </c>
      <c r="L1672" s="17" t="n">
        <v>1</v>
      </c>
      <c r="M1672" s="17" t="str">
        <f aca="false">VLOOKUP(L1672,Sheet2!D:E,2,0)</f>
        <v>Power Supply Section</v>
      </c>
      <c r="N1672" s="17" t="n">
        <v>1</v>
      </c>
      <c r="O1672" s="17" t="str">
        <f aca="false">VLOOKUP(N1672,Sheet2!G:H,2,0)</f>
        <v>Dead</v>
      </c>
      <c r="P1672" s="17" t="n">
        <v>11</v>
      </c>
      <c r="Q1672" s="17" t="str">
        <f aca="false">VLOOKUP(P1672,Sheet2!J:K,2,0)</f>
        <v>IR Declared due to CID -TA</v>
      </c>
      <c r="R1672" s="17" t="s">
        <v>35</v>
      </c>
      <c r="S1672" s="17" t="str">
        <f aca="false">VLOOKUP(R1672,Sheet2!N:O,2,0)</f>
        <v>IREPARABLE</v>
      </c>
      <c r="T1672" s="18" t="str">
        <f aca="false">VLOOKUP(P1672,Sheet2!Q:R,2,0)</f>
        <v>IR Normal - Track burn out</v>
      </c>
      <c r="U1672" s="18" t="s">
        <v>122</v>
      </c>
      <c r="V1672" s="17" t="n">
        <v>2</v>
      </c>
      <c r="W1672" s="20" t="str">
        <f aca="false">VLOOKUP(V1672,Sheet2!Q:R,2,0)</f>
        <v>IR CID -  Water log from other area</v>
      </c>
      <c r="X1672" s="17" t="str">
        <f aca="false">J1672</f>
        <v>A051</v>
      </c>
      <c r="Y1672" s="17" t="str">
        <f aca="false">VLOOKUP(X1672,Sheet2!A:B,2,0)</f>
        <v>AJAY KOSHTI</v>
      </c>
      <c r="Z1672" s="17" t="s">
        <v>387</v>
      </c>
      <c r="AA1672" s="17" t="s">
        <v>798</v>
      </c>
      <c r="AB1672" s="17" t="s">
        <v>41</v>
      </c>
      <c r="AC1672" s="0" t="str">
        <f aca="false">LEFT(G1672,2)</f>
        <v>85</v>
      </c>
      <c r="AE1672" s="21" t="s">
        <v>506</v>
      </c>
    </row>
    <row r="1673" customFormat="false" ht="15" hidden="false" customHeight="false" outlineLevel="0" collapsed="false">
      <c r="A1673" s="13" t="n">
        <f aca="false">1+A1672</f>
        <v>1671</v>
      </c>
      <c r="B1673" s="14" t="n">
        <v>1009625911</v>
      </c>
      <c r="C1673" s="15" t="s">
        <v>163</v>
      </c>
      <c r="D1673" s="16" t="s">
        <v>64</v>
      </c>
      <c r="E1673" s="17" t="s">
        <v>64</v>
      </c>
      <c r="F1673" s="18" t="s">
        <v>34</v>
      </c>
      <c r="G1673" s="19" t="n">
        <v>844085725050</v>
      </c>
      <c r="H1673" s="17" t="s">
        <v>35</v>
      </c>
      <c r="I1673" s="17" t="s">
        <v>36</v>
      </c>
      <c r="J1673" s="17" t="s">
        <v>289</v>
      </c>
      <c r="K1673" s="17" t="str">
        <f aca="false">VLOOKUP(J1673,Sheet2!A:B,2,0)</f>
        <v>AJAY KOSHTI</v>
      </c>
      <c r="L1673" s="17" t="n">
        <v>1</v>
      </c>
      <c r="M1673" s="17" t="str">
        <f aca="false">VLOOKUP(L1673,Sheet2!D:E,2,0)</f>
        <v>Power Supply Section</v>
      </c>
      <c r="N1673" s="17" t="n">
        <v>1</v>
      </c>
      <c r="O1673" s="17" t="str">
        <f aca="false">VLOOKUP(N1673,Sheet2!G:H,2,0)</f>
        <v>Dead</v>
      </c>
      <c r="P1673" s="17" t="n">
        <v>11</v>
      </c>
      <c r="Q1673" s="17" t="str">
        <f aca="false">VLOOKUP(P1673,Sheet2!J:K,2,0)</f>
        <v>IR Declared due to CID -TA</v>
      </c>
      <c r="R1673" s="17" t="s">
        <v>35</v>
      </c>
      <c r="S1673" s="17" t="str">
        <f aca="false">VLOOKUP(R1673,Sheet2!N:O,2,0)</f>
        <v>IREPARABLE</v>
      </c>
      <c r="T1673" s="18" t="str">
        <f aca="false">VLOOKUP(P1673,Sheet2!Q:R,2,0)</f>
        <v>IR Normal - Track burn out</v>
      </c>
      <c r="U1673" s="18" t="s">
        <v>122</v>
      </c>
      <c r="V1673" s="17" t="n">
        <v>2</v>
      </c>
      <c r="W1673" s="20" t="str">
        <f aca="false">VLOOKUP(V1673,Sheet2!Q:R,2,0)</f>
        <v>IR CID -  Water log from other area</v>
      </c>
      <c r="X1673" s="17" t="str">
        <f aca="false">J1673</f>
        <v>A051</v>
      </c>
      <c r="Y1673" s="17" t="str">
        <f aca="false">VLOOKUP(X1673,Sheet2!A:B,2,0)</f>
        <v>AJAY KOSHTI</v>
      </c>
      <c r="Z1673" s="17" t="s">
        <v>387</v>
      </c>
      <c r="AA1673" s="17" t="s">
        <v>798</v>
      </c>
      <c r="AB1673" s="17" t="s">
        <v>41</v>
      </c>
      <c r="AC1673" s="0" t="str">
        <f aca="false">LEFT(G1673,2)</f>
        <v>84</v>
      </c>
      <c r="AE1673" s="21" t="s">
        <v>506</v>
      </c>
    </row>
    <row r="1674" customFormat="false" ht="15" hidden="false" customHeight="false" outlineLevel="0" collapsed="false">
      <c r="A1674" s="13" t="n">
        <f aca="false">1+A1673</f>
        <v>1672</v>
      </c>
      <c r="B1674" s="14" t="n">
        <v>1009618160</v>
      </c>
      <c r="C1674" s="15" t="s">
        <v>184</v>
      </c>
      <c r="D1674" s="16" t="s">
        <v>64</v>
      </c>
      <c r="E1674" s="17" t="s">
        <v>47</v>
      </c>
      <c r="F1674" s="18" t="s">
        <v>34</v>
      </c>
      <c r="G1674" s="19" t="n">
        <v>854164720732</v>
      </c>
      <c r="H1674" s="17" t="s">
        <v>35</v>
      </c>
      <c r="I1674" s="17" t="s">
        <v>36</v>
      </c>
      <c r="J1674" s="17" t="s">
        <v>289</v>
      </c>
      <c r="K1674" s="17" t="str">
        <f aca="false">VLOOKUP(J1674,Sheet2!A:B,2,0)</f>
        <v>AJAY KOSHTI</v>
      </c>
      <c r="L1674" s="17" t="n">
        <v>1</v>
      </c>
      <c r="M1674" s="17" t="str">
        <f aca="false">VLOOKUP(L1674,Sheet2!D:E,2,0)</f>
        <v>Power Supply Section</v>
      </c>
      <c r="N1674" s="17" t="n">
        <v>1</v>
      </c>
      <c r="O1674" s="17" t="str">
        <f aca="false">VLOOKUP(N1674,Sheet2!G:H,2,0)</f>
        <v>Dead</v>
      </c>
      <c r="P1674" s="17" t="n">
        <v>11</v>
      </c>
      <c r="Q1674" s="17" t="str">
        <f aca="false">VLOOKUP(P1674,Sheet2!J:K,2,0)</f>
        <v>IR Declared due to CID -TA</v>
      </c>
      <c r="R1674" s="17" t="s">
        <v>35</v>
      </c>
      <c r="S1674" s="17" t="str">
        <f aca="false">VLOOKUP(R1674,Sheet2!N:O,2,0)</f>
        <v>IREPARABLE</v>
      </c>
      <c r="T1674" s="18" t="str">
        <f aca="false">VLOOKUP(P1674,Sheet2!Q:R,2,0)</f>
        <v>IR Normal - Track burn out</v>
      </c>
      <c r="U1674" s="18" t="s">
        <v>122</v>
      </c>
      <c r="V1674" s="17" t="n">
        <v>2</v>
      </c>
      <c r="W1674" s="20" t="str">
        <f aca="false">VLOOKUP(V1674,Sheet2!Q:R,2,0)</f>
        <v>IR CID -  Water log from other area</v>
      </c>
      <c r="X1674" s="17" t="str">
        <f aca="false">J1674</f>
        <v>A051</v>
      </c>
      <c r="Y1674" s="17" t="str">
        <f aca="false">VLOOKUP(X1674,Sheet2!A:B,2,0)</f>
        <v>AJAY KOSHTI</v>
      </c>
      <c r="Z1674" s="17" t="s">
        <v>387</v>
      </c>
      <c r="AA1674" s="17" t="s">
        <v>798</v>
      </c>
      <c r="AB1674" s="17" t="s">
        <v>41</v>
      </c>
      <c r="AC1674" s="0" t="str">
        <f aca="false">LEFT(G1674,2)</f>
        <v>85</v>
      </c>
      <c r="AE1674" s="21" t="s">
        <v>506</v>
      </c>
    </row>
    <row r="1675" customFormat="false" ht="15" hidden="false" customHeight="false" outlineLevel="0" collapsed="false">
      <c r="A1675" s="13" t="n">
        <f aca="false">1+A1674</f>
        <v>1673</v>
      </c>
      <c r="B1675" s="14" t="n">
        <v>1009635742</v>
      </c>
      <c r="C1675" s="15" t="s">
        <v>182</v>
      </c>
      <c r="D1675" s="16" t="s">
        <v>64</v>
      </c>
      <c r="E1675" s="17" t="s">
        <v>33</v>
      </c>
      <c r="F1675" s="18" t="s">
        <v>34</v>
      </c>
      <c r="G1675" s="19" t="n">
        <v>853322772908</v>
      </c>
      <c r="H1675" s="17" t="s">
        <v>35</v>
      </c>
      <c r="I1675" s="17" t="s">
        <v>36</v>
      </c>
      <c r="J1675" s="17" t="s">
        <v>289</v>
      </c>
      <c r="K1675" s="17" t="str">
        <f aca="false">VLOOKUP(J1675,Sheet2!A:B,2,0)</f>
        <v>AJAY KOSHTI</v>
      </c>
      <c r="L1675" s="17" t="n">
        <v>1</v>
      </c>
      <c r="M1675" s="17" t="str">
        <f aca="false">VLOOKUP(L1675,Sheet2!D:E,2,0)</f>
        <v>Power Supply Section</v>
      </c>
      <c r="N1675" s="17" t="n">
        <v>1</v>
      </c>
      <c r="O1675" s="17" t="str">
        <f aca="false">VLOOKUP(N1675,Sheet2!G:H,2,0)</f>
        <v>Dead</v>
      </c>
      <c r="P1675" s="17" t="n">
        <v>11</v>
      </c>
      <c r="Q1675" s="17" t="str">
        <f aca="false">VLOOKUP(P1675,Sheet2!J:K,2,0)</f>
        <v>IR Declared due to CID -TA</v>
      </c>
      <c r="R1675" s="17" t="s">
        <v>35</v>
      </c>
      <c r="S1675" s="17" t="str">
        <f aca="false">VLOOKUP(R1675,Sheet2!N:O,2,0)</f>
        <v>IREPARABLE</v>
      </c>
      <c r="T1675" s="18" t="str">
        <f aca="false">VLOOKUP(P1675,Sheet2!Q:R,2,0)</f>
        <v>IR Normal - Track burn out</v>
      </c>
      <c r="U1675" s="20" t="s">
        <v>635</v>
      </c>
      <c r="V1675" s="17" t="n">
        <v>5</v>
      </c>
      <c r="W1675" s="20" t="str">
        <f aca="false">VLOOKUP(V1675,Sheet2!Q:R,2,0)</f>
        <v>IR CID - Water log fully due to Flood</v>
      </c>
      <c r="X1675" s="17" t="str">
        <f aca="false">J1675</f>
        <v>A051</v>
      </c>
      <c r="Y1675" s="17" t="str">
        <f aca="false">VLOOKUP(X1675,Sheet2!A:B,2,0)</f>
        <v>AJAY KOSHTI</v>
      </c>
      <c r="Z1675" s="17" t="s">
        <v>127</v>
      </c>
      <c r="AA1675" s="17" t="s">
        <v>798</v>
      </c>
      <c r="AB1675" s="17" t="s">
        <v>41</v>
      </c>
      <c r="AC1675" s="0" t="str">
        <f aca="false">LEFT(G1675,2)</f>
        <v>85</v>
      </c>
      <c r="AE1675" s="21" t="s">
        <v>506</v>
      </c>
    </row>
    <row r="1676" customFormat="false" ht="15" hidden="false" customHeight="false" outlineLevel="0" collapsed="false">
      <c r="A1676" s="13" t="n">
        <f aca="false">1+A1675</f>
        <v>1674</v>
      </c>
      <c r="B1676" s="14" t="n">
        <v>1009525067</v>
      </c>
      <c r="C1676" s="15" t="s">
        <v>162</v>
      </c>
      <c r="D1676" s="16" t="s">
        <v>64</v>
      </c>
      <c r="E1676" s="17" t="s">
        <v>64</v>
      </c>
      <c r="F1676" s="18" t="s">
        <v>34</v>
      </c>
      <c r="G1676" s="19" t="n">
        <v>844071775846</v>
      </c>
      <c r="H1676" s="17" t="s">
        <v>35</v>
      </c>
      <c r="I1676" s="17" t="s">
        <v>36</v>
      </c>
      <c r="J1676" s="17" t="s">
        <v>111</v>
      </c>
      <c r="K1676" s="17" t="str">
        <f aca="false">VLOOKUP(J1676,Sheet2!A:B,2,0)</f>
        <v>NITIN PRANAMI</v>
      </c>
      <c r="L1676" s="17" t="n">
        <v>1</v>
      </c>
      <c r="M1676" s="17" t="str">
        <f aca="false">VLOOKUP(L1676,Sheet2!D:E,2,0)</f>
        <v>Power Supply Section</v>
      </c>
      <c r="N1676" s="17" t="n">
        <v>1</v>
      </c>
      <c r="O1676" s="17" t="str">
        <f aca="false">VLOOKUP(N1676,Sheet2!G:H,2,0)</f>
        <v>Dead</v>
      </c>
      <c r="P1676" s="17" t="n">
        <v>11</v>
      </c>
      <c r="Q1676" s="17" t="str">
        <f aca="false">VLOOKUP(P1676,Sheet2!J:K,2,0)</f>
        <v>IR Declared due to CID -TA</v>
      </c>
      <c r="R1676" s="17" t="s">
        <v>35</v>
      </c>
      <c r="S1676" s="17" t="str">
        <f aca="false">VLOOKUP(R1676,Sheet2!N:O,2,0)</f>
        <v>IREPARABLE</v>
      </c>
      <c r="T1676" s="18" t="str">
        <f aca="false">VLOOKUP(P1676,Sheet2!Q:R,2,0)</f>
        <v>IR Normal - Track burn out</v>
      </c>
      <c r="U1676" s="18" t="s">
        <v>38</v>
      </c>
      <c r="V1676" s="17" t="n">
        <v>4</v>
      </c>
      <c r="W1676" s="20" t="str">
        <f aca="false">VLOOKUP(V1676,Sheet2!Q:R,2,0)</f>
        <v>IR CID - Tampered Track burn out</v>
      </c>
      <c r="X1676" s="17" t="str">
        <f aca="false">J1676</f>
        <v>A031</v>
      </c>
      <c r="Y1676" s="17" t="str">
        <f aca="false">VLOOKUP(X1676,Sheet2!A:B,2,0)</f>
        <v>NITIN PRANAMI</v>
      </c>
      <c r="Z1676" s="17" t="s">
        <v>873</v>
      </c>
      <c r="AA1676" s="17" t="s">
        <v>798</v>
      </c>
      <c r="AB1676" s="17" t="s">
        <v>41</v>
      </c>
      <c r="AC1676" s="0" t="str">
        <f aca="false">LEFT(G1676,2)</f>
        <v>84</v>
      </c>
      <c r="AE1676" s="21" t="s">
        <v>506</v>
      </c>
    </row>
    <row r="1677" customFormat="false" ht="15" hidden="false" customHeight="false" outlineLevel="0" collapsed="false">
      <c r="A1677" s="13" t="n">
        <f aca="false">1+A1676</f>
        <v>1675</v>
      </c>
      <c r="B1677" s="14" t="n">
        <v>1009621927</v>
      </c>
      <c r="C1677" s="15" t="s">
        <v>184</v>
      </c>
      <c r="D1677" s="16" t="s">
        <v>64</v>
      </c>
      <c r="E1677" s="17" t="s">
        <v>64</v>
      </c>
      <c r="F1677" s="18" t="s">
        <v>34</v>
      </c>
      <c r="G1677" s="19" t="n">
        <v>844042710583</v>
      </c>
      <c r="H1677" s="17" t="s">
        <v>35</v>
      </c>
      <c r="I1677" s="17" t="s">
        <v>36</v>
      </c>
      <c r="J1677" s="17" t="s">
        <v>111</v>
      </c>
      <c r="K1677" s="17" t="str">
        <f aca="false">VLOOKUP(J1677,Sheet2!A:B,2,0)</f>
        <v>NITIN PRANAMI</v>
      </c>
      <c r="L1677" s="17" t="n">
        <v>1</v>
      </c>
      <c r="M1677" s="17" t="str">
        <f aca="false">VLOOKUP(L1677,Sheet2!D:E,2,0)</f>
        <v>Power Supply Section</v>
      </c>
      <c r="N1677" s="17" t="n">
        <v>1</v>
      </c>
      <c r="O1677" s="17" t="str">
        <f aca="false">VLOOKUP(N1677,Sheet2!G:H,2,0)</f>
        <v>Dead</v>
      </c>
      <c r="P1677" s="17" t="n">
        <v>11</v>
      </c>
      <c r="Q1677" s="17" t="str">
        <f aca="false">VLOOKUP(P1677,Sheet2!J:K,2,0)</f>
        <v>IR Declared due to CID -TA</v>
      </c>
      <c r="R1677" s="17" t="s">
        <v>35</v>
      </c>
      <c r="S1677" s="17" t="str">
        <f aca="false">VLOOKUP(R1677,Sheet2!N:O,2,0)</f>
        <v>IREPARABLE</v>
      </c>
      <c r="T1677" s="18" t="str">
        <f aca="false">VLOOKUP(P1677,Sheet2!Q:R,2,0)</f>
        <v>IR Normal - Track burn out</v>
      </c>
      <c r="U1677" s="18" t="s">
        <v>122</v>
      </c>
      <c r="V1677" s="17" t="n">
        <v>2</v>
      </c>
      <c r="W1677" s="20" t="str">
        <f aca="false">VLOOKUP(V1677,Sheet2!Q:R,2,0)</f>
        <v>IR CID -  Water log from other area</v>
      </c>
      <c r="X1677" s="17" t="str">
        <f aca="false">J1677</f>
        <v>A031</v>
      </c>
      <c r="Y1677" s="17" t="str">
        <f aca="false">VLOOKUP(X1677,Sheet2!A:B,2,0)</f>
        <v>NITIN PRANAMI</v>
      </c>
      <c r="Z1677" s="17" t="s">
        <v>874</v>
      </c>
      <c r="AA1677" s="17" t="s">
        <v>798</v>
      </c>
      <c r="AB1677" s="17" t="s">
        <v>41</v>
      </c>
      <c r="AC1677" s="0" t="str">
        <f aca="false">LEFT(G1677,2)</f>
        <v>84</v>
      </c>
      <c r="AE1677" s="21" t="s">
        <v>506</v>
      </c>
    </row>
    <row r="1678" customFormat="false" ht="15" hidden="false" customHeight="false" outlineLevel="0" collapsed="false">
      <c r="A1678" s="13" t="n">
        <f aca="false">1+A1677</f>
        <v>1676</v>
      </c>
      <c r="B1678" s="14" t="n">
        <v>1009886700</v>
      </c>
      <c r="C1678" s="15" t="s">
        <v>449</v>
      </c>
      <c r="D1678" s="16" t="s">
        <v>64</v>
      </c>
      <c r="E1678" s="17" t="s">
        <v>64</v>
      </c>
      <c r="F1678" s="18" t="s">
        <v>34</v>
      </c>
      <c r="G1678" s="19" t="n">
        <v>844096746244</v>
      </c>
      <c r="H1678" s="17" t="s">
        <v>35</v>
      </c>
      <c r="I1678" s="17" t="s">
        <v>36</v>
      </c>
      <c r="J1678" s="17" t="s">
        <v>241</v>
      </c>
      <c r="K1678" s="17" t="str">
        <f aca="false">VLOOKUP(J1678,Sheet2!A:B,2,0)</f>
        <v>NILESH NAGAR</v>
      </c>
      <c r="L1678" s="17" t="n">
        <v>5</v>
      </c>
      <c r="M1678" s="17" t="str">
        <f aca="false">VLOOKUP(L1678,Sheet2!D:E,2,0)</f>
        <v>Main Processor CPU BGA</v>
      </c>
      <c r="N1678" s="17" t="n">
        <v>1</v>
      </c>
      <c r="O1678" s="17" t="str">
        <f aca="false">VLOOKUP(N1678,Sheet2!G:H,2,0)</f>
        <v>Dead</v>
      </c>
      <c r="P1678" s="17" t="n">
        <v>12</v>
      </c>
      <c r="Q1678" s="17" t="str">
        <f aca="false">VLOOKUP(P1678,Sheet2!J:K,2,0)</f>
        <v>IR Declared due to Others ( IR Normal)TB</v>
      </c>
      <c r="R1678" s="17" t="s">
        <v>35</v>
      </c>
      <c r="S1678" s="17" t="str">
        <f aca="false">VLOOKUP(R1678,Sheet2!N:O,2,0)</f>
        <v>IREPARABLE</v>
      </c>
      <c r="T1678" s="18" t="str">
        <f aca="false">VLOOKUP(P1678,Sheet2!Q:R,2,0)</f>
        <v>IR Normal - BER to IR</v>
      </c>
      <c r="U1678" s="18" t="s">
        <v>101</v>
      </c>
      <c r="V1678" s="17" t="n">
        <v>8</v>
      </c>
      <c r="W1678" s="20" t="str">
        <f aca="false">VLOOKUP(V1678,Sheet2!Q:R,2,0)</f>
        <v>IR Normal -TrackRust/InternalDamage/open</v>
      </c>
      <c r="X1678" s="17" t="str">
        <f aca="false">J1678</f>
        <v>A008</v>
      </c>
      <c r="Y1678" s="17" t="str">
        <f aca="false">VLOOKUP(X1678,Sheet2!A:B,2,0)</f>
        <v>NILESH NAGAR</v>
      </c>
      <c r="Z1678" s="17" t="s">
        <v>875</v>
      </c>
      <c r="AA1678" s="17" t="s">
        <v>798</v>
      </c>
      <c r="AB1678" s="17" t="s">
        <v>41</v>
      </c>
      <c r="AC1678" s="0" t="str">
        <f aca="false">LEFT(G1678,2)</f>
        <v>84</v>
      </c>
      <c r="AE1678" s="21" t="s">
        <v>506</v>
      </c>
    </row>
    <row r="1679" customFormat="false" ht="15" hidden="false" customHeight="false" outlineLevel="0" collapsed="false">
      <c r="A1679" s="13" t="n">
        <f aca="false">1+A1678</f>
        <v>1677</v>
      </c>
      <c r="B1679" s="14" t="n">
        <v>1009634604</v>
      </c>
      <c r="C1679" s="15" t="s">
        <v>182</v>
      </c>
      <c r="D1679" s="16" t="s">
        <v>64</v>
      </c>
      <c r="E1679" s="17" t="s">
        <v>47</v>
      </c>
      <c r="F1679" s="18" t="s">
        <v>34</v>
      </c>
      <c r="G1679" s="19" t="n">
        <v>844105744495</v>
      </c>
      <c r="H1679" s="17" t="s">
        <v>35</v>
      </c>
      <c r="I1679" s="17" t="s">
        <v>36</v>
      </c>
      <c r="J1679" s="17" t="s">
        <v>241</v>
      </c>
      <c r="K1679" s="17" t="str">
        <f aca="false">VLOOKUP(J1679,Sheet2!A:B,2,0)</f>
        <v>NILESH NAGAR</v>
      </c>
      <c r="L1679" s="17" t="n">
        <v>5</v>
      </c>
      <c r="M1679" s="17" t="str">
        <f aca="false">VLOOKUP(L1679,Sheet2!D:E,2,0)</f>
        <v>Main Processor CPU BGA</v>
      </c>
      <c r="N1679" s="17" t="n">
        <v>1</v>
      </c>
      <c r="O1679" s="17" t="str">
        <f aca="false">VLOOKUP(N1679,Sheet2!G:H,2,0)</f>
        <v>Dead</v>
      </c>
      <c r="P1679" s="17" t="n">
        <v>11</v>
      </c>
      <c r="Q1679" s="17" t="str">
        <f aca="false">VLOOKUP(P1679,Sheet2!J:K,2,0)</f>
        <v>IR Declared due to CID -TA</v>
      </c>
      <c r="R1679" s="17" t="s">
        <v>35</v>
      </c>
      <c r="S1679" s="17" t="str">
        <f aca="false">VLOOKUP(R1679,Sheet2!N:O,2,0)</f>
        <v>IREPARABLE</v>
      </c>
      <c r="T1679" s="18" t="str">
        <f aca="false">VLOOKUP(P1679,Sheet2!Q:R,2,0)</f>
        <v>IR Normal - Track burn out</v>
      </c>
      <c r="U1679" s="18" t="s">
        <v>122</v>
      </c>
      <c r="V1679" s="17" t="n">
        <v>2</v>
      </c>
      <c r="W1679" s="20" t="str">
        <f aca="false">VLOOKUP(V1679,Sheet2!Q:R,2,0)</f>
        <v>IR CID -  Water log from other area</v>
      </c>
      <c r="X1679" s="17" t="str">
        <f aca="false">J1679</f>
        <v>A008</v>
      </c>
      <c r="Y1679" s="17" t="str">
        <f aca="false">VLOOKUP(X1679,Sheet2!A:B,2,0)</f>
        <v>NILESH NAGAR</v>
      </c>
      <c r="Z1679" s="17" t="s">
        <v>876</v>
      </c>
      <c r="AA1679" s="17" t="s">
        <v>798</v>
      </c>
      <c r="AB1679" s="17" t="s">
        <v>41</v>
      </c>
      <c r="AC1679" s="0" t="str">
        <f aca="false">LEFT(G1679,2)</f>
        <v>84</v>
      </c>
      <c r="AE1679" s="21" t="s">
        <v>506</v>
      </c>
    </row>
    <row r="1680" customFormat="false" ht="15" hidden="false" customHeight="false" outlineLevel="0" collapsed="false">
      <c r="A1680" s="13" t="n">
        <f aca="false">1+A1679</f>
        <v>1678</v>
      </c>
      <c r="B1680" s="14" t="n">
        <v>1009625983</v>
      </c>
      <c r="C1680" s="15" t="s">
        <v>163</v>
      </c>
      <c r="D1680" s="16" t="s">
        <v>64</v>
      </c>
      <c r="E1680" s="17" t="s">
        <v>64</v>
      </c>
      <c r="F1680" s="18" t="s">
        <v>34</v>
      </c>
      <c r="G1680" s="19" t="n">
        <v>844103736071</v>
      </c>
      <c r="H1680" s="17" t="s">
        <v>35</v>
      </c>
      <c r="I1680" s="17" t="s">
        <v>36</v>
      </c>
      <c r="J1680" s="17" t="s">
        <v>239</v>
      </c>
      <c r="K1680" s="17" t="str">
        <f aca="false">VLOOKUP(J1680,Sheet2!A:B,2,0)</f>
        <v>VASANT PARMAR</v>
      </c>
      <c r="L1680" s="17" t="n">
        <v>5</v>
      </c>
      <c r="M1680" s="17" t="str">
        <f aca="false">VLOOKUP(L1680,Sheet2!D:E,2,0)</f>
        <v>Main Processor CPU BGA</v>
      </c>
      <c r="N1680" s="17" t="n">
        <v>1</v>
      </c>
      <c r="O1680" s="17" t="str">
        <f aca="false">VLOOKUP(N1680,Sheet2!G:H,2,0)</f>
        <v>Dead</v>
      </c>
      <c r="P1680" s="17" t="n">
        <v>11</v>
      </c>
      <c r="Q1680" s="17" t="str">
        <f aca="false">VLOOKUP(P1680,Sheet2!J:K,2,0)</f>
        <v>IR Declared due to CID -TA</v>
      </c>
      <c r="R1680" s="17" t="s">
        <v>35</v>
      </c>
      <c r="S1680" s="17" t="str">
        <f aca="false">VLOOKUP(R1680,Sheet2!N:O,2,0)</f>
        <v>IREPARABLE</v>
      </c>
      <c r="T1680" s="18" t="str">
        <f aca="false">VLOOKUP(P1680,Sheet2!Q:R,2,0)</f>
        <v>IR Normal - Track burn out</v>
      </c>
      <c r="U1680" s="18" t="s">
        <v>38</v>
      </c>
      <c r="V1680" s="17" t="n">
        <v>4</v>
      </c>
      <c r="W1680" s="20" t="str">
        <f aca="false">VLOOKUP(V1680,Sheet2!Q:R,2,0)</f>
        <v>IR CID - Tampered Track burn out</v>
      </c>
      <c r="X1680" s="17" t="str">
        <f aca="false">J1680</f>
        <v>A005</v>
      </c>
      <c r="Y1680" s="17" t="str">
        <f aca="false">VLOOKUP(X1680,Sheet2!A:B,2,0)</f>
        <v>VASANT PARMAR</v>
      </c>
      <c r="Z1680" s="17" t="s">
        <v>877</v>
      </c>
      <c r="AA1680" s="17" t="s">
        <v>798</v>
      </c>
      <c r="AB1680" s="17" t="s">
        <v>41</v>
      </c>
      <c r="AC1680" s="0" t="str">
        <f aca="false">LEFT(G1680,2)</f>
        <v>84</v>
      </c>
      <c r="AE1680" s="21" t="s">
        <v>506</v>
      </c>
    </row>
    <row r="1681" customFormat="false" ht="15" hidden="false" customHeight="false" outlineLevel="0" collapsed="false">
      <c r="A1681" s="13" t="n">
        <f aca="false">1+A1680</f>
        <v>1679</v>
      </c>
      <c r="B1681" s="14" t="n">
        <v>1009633877</v>
      </c>
      <c r="C1681" s="15" t="s">
        <v>182</v>
      </c>
      <c r="D1681" s="16" t="s">
        <v>64</v>
      </c>
      <c r="E1681" s="17" t="s">
        <v>47</v>
      </c>
      <c r="F1681" s="18" t="s">
        <v>34</v>
      </c>
      <c r="G1681" s="19" t="n">
        <v>844063782875</v>
      </c>
      <c r="H1681" s="17" t="s">
        <v>35</v>
      </c>
      <c r="I1681" s="17" t="s">
        <v>36</v>
      </c>
      <c r="J1681" s="17" t="s">
        <v>239</v>
      </c>
      <c r="K1681" s="17" t="str">
        <f aca="false">VLOOKUP(J1681,Sheet2!A:B,2,0)</f>
        <v>VASANT PARMAR</v>
      </c>
      <c r="L1681" s="17" t="n">
        <v>5</v>
      </c>
      <c r="M1681" s="17" t="str">
        <f aca="false">VLOOKUP(L1681,Sheet2!D:E,2,0)</f>
        <v>Main Processor CPU BGA</v>
      </c>
      <c r="N1681" s="17" t="n">
        <v>1</v>
      </c>
      <c r="O1681" s="17" t="str">
        <f aca="false">VLOOKUP(N1681,Sheet2!G:H,2,0)</f>
        <v>Dead</v>
      </c>
      <c r="P1681" s="17" t="n">
        <v>11</v>
      </c>
      <c r="Q1681" s="17" t="str">
        <f aca="false">VLOOKUP(P1681,Sheet2!J:K,2,0)</f>
        <v>IR Declared due to CID -TA</v>
      </c>
      <c r="R1681" s="17" t="s">
        <v>35</v>
      </c>
      <c r="S1681" s="17" t="str">
        <f aca="false">VLOOKUP(R1681,Sheet2!N:O,2,0)</f>
        <v>IREPARABLE</v>
      </c>
      <c r="T1681" s="18" t="str">
        <f aca="false">VLOOKUP(P1681,Sheet2!Q:R,2,0)</f>
        <v>IR Normal - Track burn out</v>
      </c>
      <c r="U1681" s="18" t="s">
        <v>122</v>
      </c>
      <c r="V1681" s="17" t="n">
        <v>2</v>
      </c>
      <c r="W1681" s="20" t="str">
        <f aca="false">VLOOKUP(V1681,Sheet2!Q:R,2,0)</f>
        <v>IR CID -  Water log from other area</v>
      </c>
      <c r="X1681" s="17" t="str">
        <f aca="false">J1681</f>
        <v>A005</v>
      </c>
      <c r="Y1681" s="17" t="str">
        <f aca="false">VLOOKUP(X1681,Sheet2!A:B,2,0)</f>
        <v>VASANT PARMAR</v>
      </c>
      <c r="Z1681" s="17" t="s">
        <v>878</v>
      </c>
      <c r="AA1681" s="17" t="s">
        <v>798</v>
      </c>
      <c r="AB1681" s="17" t="s">
        <v>41</v>
      </c>
      <c r="AC1681" s="0" t="str">
        <f aca="false">LEFT(G1681,2)</f>
        <v>84</v>
      </c>
      <c r="AE1681" s="21" t="s">
        <v>506</v>
      </c>
    </row>
    <row r="1682" customFormat="false" ht="15" hidden="false" customHeight="false" outlineLevel="0" collapsed="false">
      <c r="A1682" s="13" t="n">
        <f aca="false">1+A1681</f>
        <v>1680</v>
      </c>
      <c r="B1682" s="14" t="n">
        <v>1009623644</v>
      </c>
      <c r="C1682" s="15" t="s">
        <v>184</v>
      </c>
      <c r="D1682" s="16" t="s">
        <v>64</v>
      </c>
      <c r="E1682" s="17" t="s">
        <v>64</v>
      </c>
      <c r="F1682" s="18" t="s">
        <v>34</v>
      </c>
      <c r="G1682" s="19" t="n">
        <v>853310724127</v>
      </c>
      <c r="H1682" s="17" t="s">
        <v>35</v>
      </c>
      <c r="I1682" s="17" t="s">
        <v>36</v>
      </c>
      <c r="J1682" s="17" t="s">
        <v>121</v>
      </c>
      <c r="K1682" s="17" t="str">
        <f aca="false">VLOOKUP(J1682,Sheet2!A:B,2,0)</f>
        <v>SHANI GOHIL</v>
      </c>
      <c r="L1682" s="17" t="n">
        <v>1</v>
      </c>
      <c r="M1682" s="17" t="str">
        <f aca="false">VLOOKUP(L1682,Sheet2!D:E,2,0)</f>
        <v>Power Supply Section</v>
      </c>
      <c r="N1682" s="17" t="n">
        <v>1</v>
      </c>
      <c r="O1682" s="17" t="str">
        <f aca="false">VLOOKUP(N1682,Sheet2!G:H,2,0)</f>
        <v>Dead</v>
      </c>
      <c r="P1682" s="17" t="n">
        <v>11</v>
      </c>
      <c r="Q1682" s="17" t="str">
        <f aca="false">VLOOKUP(P1682,Sheet2!J:K,2,0)</f>
        <v>IR Declared due to CID -TA</v>
      </c>
      <c r="R1682" s="17" t="s">
        <v>35</v>
      </c>
      <c r="S1682" s="17" t="str">
        <f aca="false">VLOOKUP(R1682,Sheet2!N:O,2,0)</f>
        <v>IREPARABLE</v>
      </c>
      <c r="T1682" s="18" t="str">
        <f aca="false">VLOOKUP(P1682,Sheet2!Q:R,2,0)</f>
        <v>IR Normal - Track burn out</v>
      </c>
      <c r="U1682" s="18" t="s">
        <v>122</v>
      </c>
      <c r="V1682" s="17" t="n">
        <v>2</v>
      </c>
      <c r="W1682" s="20" t="str">
        <f aca="false">VLOOKUP(V1682,Sheet2!Q:R,2,0)</f>
        <v>IR CID -  Water log from other area</v>
      </c>
      <c r="X1682" s="17" t="str">
        <f aca="false">J1682</f>
        <v>A063</v>
      </c>
      <c r="Y1682" s="17" t="str">
        <f aca="false">VLOOKUP(X1682,Sheet2!A:B,2,0)</f>
        <v>SHANI GOHIL</v>
      </c>
      <c r="Z1682" s="17" t="s">
        <v>561</v>
      </c>
      <c r="AA1682" s="17" t="s">
        <v>798</v>
      </c>
      <c r="AB1682" s="17" t="s">
        <v>41</v>
      </c>
      <c r="AC1682" s="0" t="str">
        <f aca="false">LEFT(G1682,2)</f>
        <v>85</v>
      </c>
      <c r="AE1682" s="21" t="s">
        <v>506</v>
      </c>
    </row>
    <row r="1683" customFormat="false" ht="15" hidden="false" customHeight="false" outlineLevel="0" collapsed="false">
      <c r="A1683" s="13" t="n">
        <f aca="false">1+A1682</f>
        <v>1681</v>
      </c>
      <c r="B1683" s="14" t="n">
        <v>1009632833</v>
      </c>
      <c r="C1683" s="15" t="s">
        <v>232</v>
      </c>
      <c r="D1683" s="16" t="s">
        <v>64</v>
      </c>
      <c r="E1683" s="17" t="s">
        <v>64</v>
      </c>
      <c r="F1683" s="18" t="s">
        <v>34</v>
      </c>
      <c r="G1683" s="19" t="n">
        <v>775091073202</v>
      </c>
      <c r="H1683" s="17" t="s">
        <v>35</v>
      </c>
      <c r="I1683" s="17" t="s">
        <v>69</v>
      </c>
      <c r="J1683" s="17" t="s">
        <v>267</v>
      </c>
      <c r="K1683" s="17" t="str">
        <f aca="false">VLOOKUP(J1683,Sheet2!A:B,2,0)</f>
        <v>HARIRAM GUPTA</v>
      </c>
      <c r="L1683" s="17" t="n">
        <v>1</v>
      </c>
      <c r="M1683" s="17" t="str">
        <f aca="false">VLOOKUP(L1683,Sheet2!D:E,2,0)</f>
        <v>Power Supply Section</v>
      </c>
      <c r="N1683" s="17" t="n">
        <v>1</v>
      </c>
      <c r="O1683" s="17" t="str">
        <f aca="false">VLOOKUP(N1683,Sheet2!G:H,2,0)</f>
        <v>Dead</v>
      </c>
      <c r="P1683" s="17" t="n">
        <v>11</v>
      </c>
      <c r="Q1683" s="17" t="str">
        <f aca="false">VLOOKUP(P1683,Sheet2!J:K,2,0)</f>
        <v>IR Declared due to CID -TA</v>
      </c>
      <c r="R1683" s="17" t="s">
        <v>35</v>
      </c>
      <c r="S1683" s="17" t="str">
        <f aca="false">VLOOKUP(R1683,Sheet2!N:O,2,0)</f>
        <v>IREPARABLE</v>
      </c>
      <c r="T1683" s="18" t="str">
        <f aca="false">VLOOKUP(P1683,Sheet2!Q:R,2,0)</f>
        <v>IR Normal - Track burn out</v>
      </c>
      <c r="U1683" s="18" t="s">
        <v>122</v>
      </c>
      <c r="V1683" s="17" t="n">
        <v>2</v>
      </c>
      <c r="W1683" s="20" t="str">
        <f aca="false">VLOOKUP(V1683,Sheet2!Q:R,2,0)</f>
        <v>IR CID -  Water log from other area</v>
      </c>
      <c r="X1683" s="17" t="str">
        <f aca="false">J1683</f>
        <v>A007</v>
      </c>
      <c r="Y1683" s="17" t="str">
        <f aca="false">VLOOKUP(X1683,Sheet2!A:B,2,0)</f>
        <v>HARIRAM GUPTA</v>
      </c>
      <c r="Z1683" s="17" t="s">
        <v>130</v>
      </c>
      <c r="AA1683" s="17" t="s">
        <v>798</v>
      </c>
      <c r="AB1683" s="17" t="s">
        <v>41</v>
      </c>
      <c r="AC1683" s="0" t="str">
        <f aca="false">LEFT(G1683,2)</f>
        <v>77</v>
      </c>
      <c r="AE1683" s="21" t="s">
        <v>506</v>
      </c>
    </row>
    <row r="1684" customFormat="false" ht="15" hidden="false" customHeight="false" outlineLevel="0" collapsed="false">
      <c r="A1684" s="13" t="n">
        <f aca="false">1+A1683</f>
        <v>1682</v>
      </c>
      <c r="B1684" s="14" t="n">
        <v>1009468527</v>
      </c>
      <c r="C1684" s="15" t="s">
        <v>151</v>
      </c>
      <c r="D1684" s="16" t="s">
        <v>64</v>
      </c>
      <c r="E1684" s="17" t="s">
        <v>33</v>
      </c>
      <c r="F1684" s="18" t="s">
        <v>34</v>
      </c>
      <c r="G1684" s="19" t="n">
        <v>775084094959</v>
      </c>
      <c r="H1684" s="17" t="s">
        <v>35</v>
      </c>
      <c r="I1684" s="17" t="s">
        <v>69</v>
      </c>
      <c r="J1684" s="17" t="s">
        <v>267</v>
      </c>
      <c r="K1684" s="17" t="str">
        <f aca="false">VLOOKUP(J1684,Sheet2!A:B,2,0)</f>
        <v>HARIRAM GUPTA</v>
      </c>
      <c r="L1684" s="17" t="n">
        <v>2</v>
      </c>
      <c r="M1684" s="17" t="str">
        <f aca="false">VLOOKUP(L1684,Sheet2!D:E,2,0)</f>
        <v>Tuner Section</v>
      </c>
      <c r="N1684" s="17" t="n">
        <v>6</v>
      </c>
      <c r="O1684" s="17" t="str">
        <f aca="false">VLOOKUP(N1684,Sheet2!G:H,2,0)</f>
        <v>No Signal</v>
      </c>
      <c r="P1684" s="17" t="n">
        <v>12</v>
      </c>
      <c r="Q1684" s="17" t="str">
        <f aca="false">VLOOKUP(P1684,Sheet2!J:K,2,0)</f>
        <v>IR Declared due to Others ( IR Normal)TB</v>
      </c>
      <c r="R1684" s="17" t="s">
        <v>35</v>
      </c>
      <c r="S1684" s="17" t="str">
        <f aca="false">VLOOKUP(R1684,Sheet2!N:O,2,0)</f>
        <v>IREPARABLE</v>
      </c>
      <c r="T1684" s="18" t="str">
        <f aca="false">VLOOKUP(P1684,Sheet2!Q:R,2,0)</f>
        <v>IR Normal - BER to IR</v>
      </c>
      <c r="U1684" s="18" t="s">
        <v>101</v>
      </c>
      <c r="V1684" s="17" t="n">
        <v>8</v>
      </c>
      <c r="W1684" s="20" t="str">
        <f aca="false">VLOOKUP(V1684,Sheet2!Q:R,2,0)</f>
        <v>IR Normal -TrackRust/InternalDamage/open</v>
      </c>
      <c r="X1684" s="17" t="str">
        <f aca="false">J1684</f>
        <v>A007</v>
      </c>
      <c r="Y1684" s="17" t="str">
        <f aca="false">VLOOKUP(X1684,Sheet2!A:B,2,0)</f>
        <v>HARIRAM GUPTA</v>
      </c>
      <c r="Z1684" s="17" t="s">
        <v>879</v>
      </c>
      <c r="AA1684" s="17" t="s">
        <v>798</v>
      </c>
      <c r="AB1684" s="17" t="s">
        <v>41</v>
      </c>
      <c r="AC1684" s="0" t="str">
        <f aca="false">LEFT(G1684,2)</f>
        <v>77</v>
      </c>
      <c r="AE1684" s="21" t="s">
        <v>506</v>
      </c>
    </row>
    <row r="1685" customFormat="false" ht="15" hidden="false" customHeight="false" outlineLevel="0" collapsed="false">
      <c r="A1685" s="13" t="n">
        <f aca="false">1+A1684</f>
        <v>1683</v>
      </c>
      <c r="B1685" s="14" t="n">
        <v>1009678484</v>
      </c>
      <c r="C1685" s="15" t="s">
        <v>436</v>
      </c>
      <c r="D1685" s="16" t="s">
        <v>60</v>
      </c>
      <c r="E1685" s="17" t="s">
        <v>109</v>
      </c>
      <c r="F1685" s="18" t="s">
        <v>34</v>
      </c>
      <c r="G1685" s="19" t="n">
        <v>774345048078</v>
      </c>
      <c r="H1685" s="17" t="s">
        <v>35</v>
      </c>
      <c r="I1685" s="17" t="s">
        <v>69</v>
      </c>
      <c r="J1685" s="17" t="s">
        <v>239</v>
      </c>
      <c r="K1685" s="17" t="str">
        <f aca="false">VLOOKUP(J1685,Sheet2!A:B,2,0)</f>
        <v>VASANT PARMAR</v>
      </c>
      <c r="L1685" s="17" t="n">
        <v>5</v>
      </c>
      <c r="M1685" s="17" t="str">
        <f aca="false">VLOOKUP(L1685,Sheet2!D:E,2,0)</f>
        <v>Main Processor CPU BGA</v>
      </c>
      <c r="N1685" s="17" t="n">
        <v>1</v>
      </c>
      <c r="O1685" s="17" t="str">
        <f aca="false">VLOOKUP(N1685,Sheet2!G:H,2,0)</f>
        <v>Dead</v>
      </c>
      <c r="P1685" s="17" t="n">
        <v>11</v>
      </c>
      <c r="Q1685" s="17" t="str">
        <f aca="false">VLOOKUP(P1685,Sheet2!J:K,2,0)</f>
        <v>IR Declared due to CID -TA</v>
      </c>
      <c r="R1685" s="17" t="s">
        <v>35</v>
      </c>
      <c r="S1685" s="17" t="str">
        <f aca="false">VLOOKUP(R1685,Sheet2!N:O,2,0)</f>
        <v>IREPARABLE</v>
      </c>
      <c r="T1685" s="18" t="str">
        <f aca="false">VLOOKUP(P1685,Sheet2!Q:R,2,0)</f>
        <v>IR Normal - Track burn out</v>
      </c>
      <c r="U1685" s="18" t="s">
        <v>122</v>
      </c>
      <c r="V1685" s="17" t="n">
        <v>2</v>
      </c>
      <c r="W1685" s="20" t="str">
        <f aca="false">VLOOKUP(V1685,Sheet2!Q:R,2,0)</f>
        <v>IR CID -  Water log from other area</v>
      </c>
      <c r="X1685" s="17" t="str">
        <f aca="false">J1685</f>
        <v>A005</v>
      </c>
      <c r="Y1685" s="17" t="str">
        <f aca="false">VLOOKUP(X1685,Sheet2!A:B,2,0)</f>
        <v>VASANT PARMAR</v>
      </c>
      <c r="Z1685" s="17" t="s">
        <v>880</v>
      </c>
      <c r="AA1685" s="17" t="s">
        <v>798</v>
      </c>
      <c r="AB1685" s="17" t="s">
        <v>41</v>
      </c>
      <c r="AC1685" s="0" t="str">
        <f aca="false">LEFT(G1685,2)</f>
        <v>77</v>
      </c>
      <c r="AE1685" s="21" t="s">
        <v>506</v>
      </c>
    </row>
    <row r="1686" customFormat="false" ht="15" hidden="false" customHeight="false" outlineLevel="0" collapsed="false">
      <c r="A1686" s="13" t="n">
        <f aca="false">1+A1685</f>
        <v>1684</v>
      </c>
      <c r="B1686" s="14" t="n">
        <v>1009678767</v>
      </c>
      <c r="C1686" s="15" t="s">
        <v>436</v>
      </c>
      <c r="D1686" s="16" t="s">
        <v>64</v>
      </c>
      <c r="E1686" s="17" t="s">
        <v>47</v>
      </c>
      <c r="F1686" s="18" t="s">
        <v>34</v>
      </c>
      <c r="G1686" s="19" t="n">
        <v>775266060448</v>
      </c>
      <c r="H1686" s="17" t="s">
        <v>35</v>
      </c>
      <c r="I1686" s="17" t="s">
        <v>69</v>
      </c>
      <c r="J1686" s="17" t="s">
        <v>239</v>
      </c>
      <c r="K1686" s="17" t="str">
        <f aca="false">VLOOKUP(J1686,Sheet2!A:B,2,0)</f>
        <v>VASANT PARMAR</v>
      </c>
      <c r="L1686" s="17" t="n">
        <v>5</v>
      </c>
      <c r="M1686" s="17" t="str">
        <f aca="false">VLOOKUP(L1686,Sheet2!D:E,2,0)</f>
        <v>Main Processor CPU BGA</v>
      </c>
      <c r="N1686" s="17" t="n">
        <v>1</v>
      </c>
      <c r="O1686" s="17" t="str">
        <f aca="false">VLOOKUP(N1686,Sheet2!G:H,2,0)</f>
        <v>Dead</v>
      </c>
      <c r="P1686" s="17" t="n">
        <v>12</v>
      </c>
      <c r="Q1686" s="17" t="str">
        <f aca="false">VLOOKUP(P1686,Sheet2!J:K,2,0)</f>
        <v>IR Declared due to Others ( IR Normal)TB</v>
      </c>
      <c r="R1686" s="17" t="s">
        <v>35</v>
      </c>
      <c r="S1686" s="17" t="str">
        <f aca="false">VLOOKUP(R1686,Sheet2!N:O,2,0)</f>
        <v>IREPARABLE</v>
      </c>
      <c r="T1686" s="18" t="str">
        <f aca="false">VLOOKUP(P1686,Sheet2!Q:R,2,0)</f>
        <v>IR Normal - BER to IR</v>
      </c>
      <c r="U1686" s="18" t="s">
        <v>101</v>
      </c>
      <c r="V1686" s="17" t="n">
        <v>8</v>
      </c>
      <c r="W1686" s="20" t="str">
        <f aca="false">VLOOKUP(V1686,Sheet2!Q:R,2,0)</f>
        <v>IR Normal -TrackRust/InternalDamage/open</v>
      </c>
      <c r="X1686" s="17" t="str">
        <f aca="false">J1686</f>
        <v>A005</v>
      </c>
      <c r="Y1686" s="17" t="str">
        <f aca="false">VLOOKUP(X1686,Sheet2!A:B,2,0)</f>
        <v>VASANT PARMAR</v>
      </c>
      <c r="Z1686" s="17" t="s">
        <v>880</v>
      </c>
      <c r="AA1686" s="17" t="s">
        <v>798</v>
      </c>
      <c r="AB1686" s="17" t="s">
        <v>41</v>
      </c>
      <c r="AC1686" s="0" t="str">
        <f aca="false">LEFT(G1686,2)</f>
        <v>77</v>
      </c>
      <c r="AE1686" s="21" t="s">
        <v>506</v>
      </c>
    </row>
    <row r="1687" customFormat="false" ht="15" hidden="false" customHeight="false" outlineLevel="0" collapsed="false">
      <c r="A1687" s="13" t="n">
        <f aca="false">1+A1686</f>
        <v>1685</v>
      </c>
      <c r="B1687" s="14" t="n">
        <v>1009503050</v>
      </c>
      <c r="C1687" s="15" t="s">
        <v>95</v>
      </c>
      <c r="D1687" s="16" t="s">
        <v>64</v>
      </c>
      <c r="E1687" s="17" t="s">
        <v>881</v>
      </c>
      <c r="F1687" s="18" t="s">
        <v>34</v>
      </c>
      <c r="G1687" s="19" t="n">
        <v>775307120334</v>
      </c>
      <c r="H1687" s="17" t="s">
        <v>35</v>
      </c>
      <c r="I1687" s="17" t="s">
        <v>69</v>
      </c>
      <c r="J1687" s="17" t="s">
        <v>111</v>
      </c>
      <c r="K1687" s="17" t="str">
        <f aca="false">VLOOKUP(J1687,Sheet2!A:B,2,0)</f>
        <v>NITIN PRANAMI</v>
      </c>
      <c r="L1687" s="17" t="n">
        <v>1</v>
      </c>
      <c r="M1687" s="17" t="str">
        <f aca="false">VLOOKUP(L1687,Sheet2!D:E,2,0)</f>
        <v>Power Supply Section</v>
      </c>
      <c r="N1687" s="17" t="n">
        <v>1</v>
      </c>
      <c r="O1687" s="17" t="str">
        <f aca="false">VLOOKUP(N1687,Sheet2!G:H,2,0)</f>
        <v>Dead</v>
      </c>
      <c r="P1687" s="17" t="n">
        <v>11</v>
      </c>
      <c r="Q1687" s="17" t="str">
        <f aca="false">VLOOKUP(P1687,Sheet2!J:K,2,0)</f>
        <v>IR Declared due to CID -TA</v>
      </c>
      <c r="R1687" s="17" t="s">
        <v>35</v>
      </c>
      <c r="S1687" s="17" t="str">
        <f aca="false">VLOOKUP(R1687,Sheet2!N:O,2,0)</f>
        <v>IREPARABLE</v>
      </c>
      <c r="T1687" s="18" t="str">
        <f aca="false">VLOOKUP(P1687,Sheet2!Q:R,2,0)</f>
        <v>IR Normal - Track burn out</v>
      </c>
      <c r="U1687" s="18" t="s">
        <v>122</v>
      </c>
      <c r="V1687" s="17" t="n">
        <v>2</v>
      </c>
      <c r="W1687" s="20" t="str">
        <f aca="false">VLOOKUP(V1687,Sheet2!Q:R,2,0)</f>
        <v>IR CID -  Water log from other area</v>
      </c>
      <c r="X1687" s="17" t="str">
        <f aca="false">J1687</f>
        <v>A031</v>
      </c>
      <c r="Y1687" s="17" t="str">
        <f aca="false">VLOOKUP(X1687,Sheet2!A:B,2,0)</f>
        <v>NITIN PRANAMI</v>
      </c>
      <c r="Z1687" s="17" t="s">
        <v>882</v>
      </c>
      <c r="AA1687" s="17" t="s">
        <v>798</v>
      </c>
      <c r="AB1687" s="17" t="s">
        <v>41</v>
      </c>
      <c r="AC1687" s="0" t="str">
        <f aca="false">LEFT(G1687,2)</f>
        <v>77</v>
      </c>
      <c r="AE1687" s="21" t="s">
        <v>506</v>
      </c>
    </row>
    <row r="1688" customFormat="false" ht="15" hidden="false" customHeight="false" outlineLevel="0" collapsed="false">
      <c r="A1688" s="13" t="n">
        <f aca="false">1+A1687</f>
        <v>1686</v>
      </c>
      <c r="B1688" s="14" t="n">
        <v>1009091948</v>
      </c>
      <c r="C1688" s="15" t="s">
        <v>414</v>
      </c>
      <c r="D1688" s="16" t="s">
        <v>64</v>
      </c>
      <c r="E1688" s="17" t="s">
        <v>91</v>
      </c>
      <c r="F1688" s="18" t="s">
        <v>34</v>
      </c>
      <c r="G1688" s="19" t="n">
        <v>134080108043</v>
      </c>
      <c r="H1688" s="17" t="s">
        <v>35</v>
      </c>
      <c r="I1688" s="17" t="s">
        <v>44</v>
      </c>
      <c r="J1688" s="17" t="s">
        <v>106</v>
      </c>
      <c r="K1688" s="17" t="str">
        <f aca="false">VLOOKUP(J1688,Sheet2!A:B,2,0)</f>
        <v>PRAKASH CHAVDA</v>
      </c>
      <c r="L1688" s="17" t="n">
        <v>5</v>
      </c>
      <c r="M1688" s="17" t="str">
        <f aca="false">VLOOKUP(L1688,Sheet2!D:E,2,0)</f>
        <v>Main Processor CPU BGA</v>
      </c>
      <c r="N1688" s="17" t="n">
        <v>24</v>
      </c>
      <c r="O1688" s="17" t="str">
        <f aca="false">VLOOKUP(N1688,Sheet2!G:H,2,0)</f>
        <v>STB Auto moving -Stand by mode</v>
      </c>
      <c r="P1688" s="17" t="n">
        <v>12</v>
      </c>
      <c r="Q1688" s="17" t="str">
        <f aca="false">VLOOKUP(P1688,Sheet2!J:K,2,0)</f>
        <v>IR Declared due to Others ( IR Normal)TB</v>
      </c>
      <c r="R1688" s="17" t="s">
        <v>35</v>
      </c>
      <c r="S1688" s="17" t="str">
        <f aca="false">VLOOKUP(R1688,Sheet2!N:O,2,0)</f>
        <v>IREPARABLE</v>
      </c>
      <c r="T1688" s="18" t="str">
        <f aca="false">VLOOKUP(P1688,Sheet2!Q:R,2,0)</f>
        <v>IR Normal - BER to IR</v>
      </c>
      <c r="U1688" s="20" t="s">
        <v>135</v>
      </c>
      <c r="V1688" s="17" t="n">
        <v>12</v>
      </c>
      <c r="W1688" s="20" t="str">
        <f aca="false">VLOOKUP(V1688,Sheet2!Q:R,2,0)</f>
        <v>IR Normal - BER to IR</v>
      </c>
      <c r="X1688" s="17" t="str">
        <f aca="false">J1688</f>
        <v>A018</v>
      </c>
      <c r="Y1688" s="17" t="str">
        <f aca="false">VLOOKUP(X1688,Sheet2!A:B,2,0)</f>
        <v>PRAKASH CHAVDA</v>
      </c>
      <c r="Z1688" s="17" t="s">
        <v>136</v>
      </c>
      <c r="AA1688" s="17" t="s">
        <v>883</v>
      </c>
      <c r="AB1688" s="17" t="s">
        <v>41</v>
      </c>
      <c r="AC1688" s="0" t="str">
        <f aca="false">LEFT(G1688,2)</f>
        <v>13</v>
      </c>
      <c r="AE1688" s="21" t="s">
        <v>238</v>
      </c>
    </row>
    <row r="1689" customFormat="false" ht="15" hidden="false" customHeight="false" outlineLevel="0" collapsed="false">
      <c r="A1689" s="13" t="n">
        <f aca="false">1+A1688</f>
        <v>1687</v>
      </c>
      <c r="B1689" s="14" t="n">
        <v>1009092262</v>
      </c>
      <c r="C1689" s="15" t="s">
        <v>414</v>
      </c>
      <c r="D1689" s="16" t="s">
        <v>64</v>
      </c>
      <c r="E1689" s="17" t="s">
        <v>91</v>
      </c>
      <c r="F1689" s="18" t="s">
        <v>34</v>
      </c>
      <c r="G1689" s="19" t="n">
        <v>134056196899</v>
      </c>
      <c r="H1689" s="17" t="s">
        <v>35</v>
      </c>
      <c r="I1689" s="17" t="s">
        <v>44</v>
      </c>
      <c r="J1689" s="17" t="s">
        <v>106</v>
      </c>
      <c r="K1689" s="17" t="str">
        <f aca="false">VLOOKUP(J1689,Sheet2!A:B,2,0)</f>
        <v>PRAKASH CHAVDA</v>
      </c>
      <c r="L1689" s="17" t="n">
        <v>5</v>
      </c>
      <c r="M1689" s="17" t="str">
        <f aca="false">VLOOKUP(L1689,Sheet2!D:E,2,0)</f>
        <v>Main Processor CPU BGA</v>
      </c>
      <c r="N1689" s="17" t="n">
        <v>24</v>
      </c>
      <c r="O1689" s="17" t="str">
        <f aca="false">VLOOKUP(N1689,Sheet2!G:H,2,0)</f>
        <v>STB Auto moving -Stand by mode</v>
      </c>
      <c r="P1689" s="17" t="n">
        <v>12</v>
      </c>
      <c r="Q1689" s="17" t="str">
        <f aca="false">VLOOKUP(P1689,Sheet2!J:K,2,0)</f>
        <v>IR Declared due to Others ( IR Normal)TB</v>
      </c>
      <c r="R1689" s="17" t="s">
        <v>35</v>
      </c>
      <c r="S1689" s="17" t="str">
        <f aca="false">VLOOKUP(R1689,Sheet2!N:O,2,0)</f>
        <v>IREPARABLE</v>
      </c>
      <c r="T1689" s="18" t="str">
        <f aca="false">VLOOKUP(P1689,Sheet2!Q:R,2,0)</f>
        <v>IR Normal - BER to IR</v>
      </c>
      <c r="U1689" s="20" t="s">
        <v>135</v>
      </c>
      <c r="V1689" s="17" t="n">
        <v>12</v>
      </c>
      <c r="W1689" s="20" t="str">
        <f aca="false">VLOOKUP(V1689,Sheet2!Q:R,2,0)</f>
        <v>IR Normal - BER to IR</v>
      </c>
      <c r="X1689" s="17" t="str">
        <f aca="false">J1689</f>
        <v>A018</v>
      </c>
      <c r="Y1689" s="17" t="str">
        <f aca="false">VLOOKUP(X1689,Sheet2!A:B,2,0)</f>
        <v>PRAKASH CHAVDA</v>
      </c>
      <c r="Z1689" s="17" t="s">
        <v>136</v>
      </c>
      <c r="AA1689" s="17" t="s">
        <v>883</v>
      </c>
      <c r="AB1689" s="17" t="s">
        <v>41</v>
      </c>
      <c r="AC1689" s="0" t="str">
        <f aca="false">LEFT(G1689,2)</f>
        <v>13</v>
      </c>
      <c r="AE1689" s="21" t="s">
        <v>238</v>
      </c>
    </row>
    <row r="1690" customFormat="false" ht="15" hidden="false" customHeight="false" outlineLevel="0" collapsed="false">
      <c r="A1690" s="13" t="n">
        <f aca="false">1+A1689</f>
        <v>1688</v>
      </c>
      <c r="B1690" s="14" t="n">
        <v>1009684314</v>
      </c>
      <c r="C1690" s="15" t="s">
        <v>413</v>
      </c>
      <c r="D1690" s="16" t="s">
        <v>64</v>
      </c>
      <c r="E1690" s="17" t="s">
        <v>64</v>
      </c>
      <c r="F1690" s="18" t="s">
        <v>34</v>
      </c>
      <c r="G1690" s="19" t="n">
        <v>775156128057</v>
      </c>
      <c r="H1690" s="17" t="s">
        <v>35</v>
      </c>
      <c r="I1690" s="17" t="s">
        <v>69</v>
      </c>
      <c r="J1690" s="17" t="s">
        <v>106</v>
      </c>
      <c r="K1690" s="17" t="str">
        <f aca="false">VLOOKUP(J1690,Sheet2!A:B,2,0)</f>
        <v>PRAKASH CHAVDA</v>
      </c>
      <c r="L1690" s="17" t="n">
        <v>5</v>
      </c>
      <c r="M1690" s="17" t="str">
        <f aca="false">VLOOKUP(L1690,Sheet2!D:E,2,0)</f>
        <v>Main Processor CPU BGA</v>
      </c>
      <c r="N1690" s="17" t="n">
        <v>1</v>
      </c>
      <c r="O1690" s="17" t="str">
        <f aca="false">VLOOKUP(N1690,Sheet2!G:H,2,0)</f>
        <v>Dead</v>
      </c>
      <c r="P1690" s="17" t="n">
        <v>12</v>
      </c>
      <c r="Q1690" s="17" t="str">
        <f aca="false">VLOOKUP(P1690,Sheet2!J:K,2,0)</f>
        <v>IR Declared due to Others ( IR Normal)TB</v>
      </c>
      <c r="R1690" s="17" t="s">
        <v>35</v>
      </c>
      <c r="S1690" s="17" t="str">
        <f aca="false">VLOOKUP(R1690,Sheet2!N:O,2,0)</f>
        <v>IREPARABLE</v>
      </c>
      <c r="T1690" s="18" t="str">
        <f aca="false">VLOOKUP(P1690,Sheet2!Q:R,2,0)</f>
        <v>IR Normal - BER to IR</v>
      </c>
      <c r="U1690" s="20" t="s">
        <v>135</v>
      </c>
      <c r="V1690" s="17" t="n">
        <v>12</v>
      </c>
      <c r="W1690" s="20" t="str">
        <f aca="false">VLOOKUP(V1690,Sheet2!Q:R,2,0)</f>
        <v>IR Normal - BER to IR</v>
      </c>
      <c r="X1690" s="17" t="str">
        <f aca="false">J1690</f>
        <v>A018</v>
      </c>
      <c r="Y1690" s="17" t="str">
        <f aca="false">VLOOKUP(X1690,Sheet2!A:B,2,0)</f>
        <v>PRAKASH CHAVDA</v>
      </c>
      <c r="Z1690" s="17" t="s">
        <v>136</v>
      </c>
      <c r="AA1690" s="17" t="s">
        <v>883</v>
      </c>
      <c r="AB1690" s="17" t="s">
        <v>41</v>
      </c>
      <c r="AC1690" s="0" t="str">
        <f aca="false">LEFT(G1690,2)</f>
        <v>77</v>
      </c>
      <c r="AE1690" s="21" t="s">
        <v>238</v>
      </c>
    </row>
    <row r="1691" customFormat="false" ht="15" hidden="false" customHeight="false" outlineLevel="0" collapsed="false">
      <c r="A1691" s="13" t="n">
        <f aca="false">1+A1690</f>
        <v>1689</v>
      </c>
      <c r="B1691" s="14" t="n">
        <v>1009685983</v>
      </c>
      <c r="C1691" s="15" t="s">
        <v>449</v>
      </c>
      <c r="D1691" s="16" t="s">
        <v>32</v>
      </c>
      <c r="E1691" s="17" t="s">
        <v>47</v>
      </c>
      <c r="F1691" s="18" t="s">
        <v>34</v>
      </c>
      <c r="G1691" s="19" t="n">
        <v>775321202662</v>
      </c>
      <c r="H1691" s="17" t="s">
        <v>35</v>
      </c>
      <c r="I1691" s="17" t="s">
        <v>69</v>
      </c>
      <c r="J1691" s="17" t="s">
        <v>106</v>
      </c>
      <c r="K1691" s="17" t="str">
        <f aca="false">VLOOKUP(J1691,Sheet2!A:B,2,0)</f>
        <v>PRAKASH CHAVDA</v>
      </c>
      <c r="L1691" s="17" t="n">
        <v>5</v>
      </c>
      <c r="M1691" s="17" t="str">
        <f aca="false">VLOOKUP(L1691,Sheet2!D:E,2,0)</f>
        <v>Main Processor CPU BGA</v>
      </c>
      <c r="N1691" s="17" t="n">
        <v>1</v>
      </c>
      <c r="O1691" s="17" t="str">
        <f aca="false">VLOOKUP(N1691,Sheet2!G:H,2,0)</f>
        <v>Dead</v>
      </c>
      <c r="P1691" s="17" t="n">
        <v>12</v>
      </c>
      <c r="Q1691" s="17" t="str">
        <f aca="false">VLOOKUP(P1691,Sheet2!J:K,2,0)</f>
        <v>IR Declared due to Others ( IR Normal)TB</v>
      </c>
      <c r="R1691" s="17" t="s">
        <v>35</v>
      </c>
      <c r="S1691" s="17" t="str">
        <f aca="false">VLOOKUP(R1691,Sheet2!N:O,2,0)</f>
        <v>IREPARABLE</v>
      </c>
      <c r="T1691" s="18" t="str">
        <f aca="false">VLOOKUP(P1691,Sheet2!Q:R,2,0)</f>
        <v>IR Normal - BER to IR</v>
      </c>
      <c r="U1691" s="20" t="s">
        <v>135</v>
      </c>
      <c r="V1691" s="17" t="n">
        <v>12</v>
      </c>
      <c r="W1691" s="20" t="str">
        <f aca="false">VLOOKUP(V1691,Sheet2!Q:R,2,0)</f>
        <v>IR Normal - BER to IR</v>
      </c>
      <c r="X1691" s="17" t="str">
        <f aca="false">J1691</f>
        <v>A018</v>
      </c>
      <c r="Y1691" s="17" t="str">
        <f aca="false">VLOOKUP(X1691,Sheet2!A:B,2,0)</f>
        <v>PRAKASH CHAVDA</v>
      </c>
      <c r="Z1691" s="17" t="s">
        <v>136</v>
      </c>
      <c r="AA1691" s="17" t="s">
        <v>883</v>
      </c>
      <c r="AB1691" s="17" t="s">
        <v>41</v>
      </c>
      <c r="AC1691" s="0" t="str">
        <f aca="false">LEFT(G1691,2)</f>
        <v>77</v>
      </c>
      <c r="AE1691" s="21" t="s">
        <v>238</v>
      </c>
    </row>
    <row r="1692" customFormat="false" ht="15" hidden="false" customHeight="false" outlineLevel="0" collapsed="false">
      <c r="A1692" s="13" t="n">
        <f aca="false">1+A1691</f>
        <v>1690</v>
      </c>
      <c r="B1692" s="14" t="n">
        <v>1009604109</v>
      </c>
      <c r="C1692" s="15" t="s">
        <v>433</v>
      </c>
      <c r="D1692" s="16" t="s">
        <v>209</v>
      </c>
      <c r="E1692" s="17" t="s">
        <v>47</v>
      </c>
      <c r="F1692" s="18" t="s">
        <v>34</v>
      </c>
      <c r="G1692" s="19" t="n">
        <v>651119020329</v>
      </c>
      <c r="H1692" s="17" t="s">
        <v>35</v>
      </c>
      <c r="I1692" s="17" t="s">
        <v>50</v>
      </c>
      <c r="J1692" s="17" t="s">
        <v>106</v>
      </c>
      <c r="K1692" s="17" t="str">
        <f aca="false">VLOOKUP(J1692,Sheet2!A:B,2,0)</f>
        <v>PRAKASH CHAVDA</v>
      </c>
      <c r="L1692" s="17" t="n">
        <v>5</v>
      </c>
      <c r="M1692" s="17" t="str">
        <f aca="false">VLOOKUP(L1692,Sheet2!D:E,2,0)</f>
        <v>Main Processor CPU BGA</v>
      </c>
      <c r="N1692" s="17" t="n">
        <v>33</v>
      </c>
      <c r="O1692" s="17" t="str">
        <f aca="false">VLOOKUP(N1692,Sheet2!G:H,2,0)</f>
        <v>Software download failure</v>
      </c>
      <c r="P1692" s="17" t="n">
        <v>12</v>
      </c>
      <c r="Q1692" s="17" t="str">
        <f aca="false">VLOOKUP(P1692,Sheet2!J:K,2,0)</f>
        <v>IR Declared due to Others ( IR Normal)TB</v>
      </c>
      <c r="R1692" s="17" t="s">
        <v>35</v>
      </c>
      <c r="S1692" s="17" t="str">
        <f aca="false">VLOOKUP(R1692,Sheet2!N:O,2,0)</f>
        <v>IREPARABLE</v>
      </c>
      <c r="T1692" s="18" t="str">
        <f aca="false">VLOOKUP(P1692,Sheet2!Q:R,2,0)</f>
        <v>IR Normal - BER to IR</v>
      </c>
      <c r="U1692" s="20" t="s">
        <v>135</v>
      </c>
      <c r="V1692" s="17" t="n">
        <v>12</v>
      </c>
      <c r="W1692" s="20" t="str">
        <f aca="false">VLOOKUP(V1692,Sheet2!Q:R,2,0)</f>
        <v>IR Normal - BER to IR</v>
      </c>
      <c r="X1692" s="17" t="str">
        <f aca="false">J1692</f>
        <v>A018</v>
      </c>
      <c r="Y1692" s="17" t="str">
        <f aca="false">VLOOKUP(X1692,Sheet2!A:B,2,0)</f>
        <v>PRAKASH CHAVDA</v>
      </c>
      <c r="Z1692" s="17" t="s">
        <v>149</v>
      </c>
      <c r="AA1692" s="17" t="s">
        <v>883</v>
      </c>
      <c r="AB1692" s="17" t="s">
        <v>41</v>
      </c>
      <c r="AC1692" s="0" t="str">
        <f aca="false">LEFT(G1692,2)</f>
        <v>65</v>
      </c>
      <c r="AE1692" s="21" t="s">
        <v>238</v>
      </c>
    </row>
    <row r="1693" customFormat="false" ht="15" hidden="false" customHeight="false" outlineLevel="0" collapsed="false">
      <c r="A1693" s="13" t="n">
        <f aca="false">1+A1692</f>
        <v>1691</v>
      </c>
      <c r="B1693" s="14" t="n">
        <v>1009091848</v>
      </c>
      <c r="C1693" s="15" t="s">
        <v>414</v>
      </c>
      <c r="D1693" s="16" t="s">
        <v>884</v>
      </c>
      <c r="E1693" s="17" t="s">
        <v>91</v>
      </c>
      <c r="F1693" s="18" t="s">
        <v>34</v>
      </c>
      <c r="G1693" s="19" t="n">
        <v>134119107743</v>
      </c>
      <c r="H1693" s="17" t="s">
        <v>134</v>
      </c>
      <c r="I1693" s="17" t="s">
        <v>44</v>
      </c>
      <c r="J1693" s="17" t="s">
        <v>106</v>
      </c>
      <c r="K1693" s="17" t="str">
        <f aca="false">VLOOKUP(J1693,Sheet2!A:B,2,0)</f>
        <v>PRAKASH CHAVDA</v>
      </c>
      <c r="L1693" s="17" t="n">
        <v>1</v>
      </c>
      <c r="M1693" s="17" t="str">
        <f aca="false">VLOOKUP(L1693,Sheet2!D:E,2,0)</f>
        <v>Power Supply Section</v>
      </c>
      <c r="N1693" s="17" t="n">
        <v>6</v>
      </c>
      <c r="O1693" s="17" t="str">
        <f aca="false">VLOOKUP(N1693,Sheet2!G:H,2,0)</f>
        <v>No Signal</v>
      </c>
      <c r="P1693" s="17" t="n">
        <v>12</v>
      </c>
      <c r="Q1693" s="17" t="str">
        <f aca="false">VLOOKUP(P1693,Sheet2!J:K,2,0)</f>
        <v>IR Declared due to Others ( IR Normal)TB</v>
      </c>
      <c r="R1693" s="17" t="s">
        <v>35</v>
      </c>
      <c r="S1693" s="17" t="str">
        <f aca="false">VLOOKUP(R1693,Sheet2!N:O,2,0)</f>
        <v>IREPARABLE</v>
      </c>
      <c r="T1693" s="18" t="str">
        <f aca="false">VLOOKUP(P1693,Sheet2!Q:R,2,0)</f>
        <v>IR Normal - BER to IR</v>
      </c>
      <c r="U1693" s="20" t="s">
        <v>135</v>
      </c>
      <c r="V1693" s="17" t="n">
        <v>12</v>
      </c>
      <c r="W1693" s="20" t="str">
        <f aca="false">VLOOKUP(V1693,Sheet2!Q:R,2,0)</f>
        <v>IR Normal - BER to IR</v>
      </c>
      <c r="X1693" s="17" t="str">
        <f aca="false">J1693</f>
        <v>A018</v>
      </c>
      <c r="Y1693" s="17" t="str">
        <f aca="false">VLOOKUP(X1693,Sheet2!A:B,2,0)</f>
        <v>PRAKASH CHAVDA</v>
      </c>
      <c r="Z1693" s="17" t="s">
        <v>136</v>
      </c>
      <c r="AA1693" s="17" t="s">
        <v>883</v>
      </c>
      <c r="AB1693" s="17" t="s">
        <v>41</v>
      </c>
      <c r="AC1693" s="0" t="str">
        <f aca="false">LEFT(G1693,2)</f>
        <v>13</v>
      </c>
      <c r="AE1693" s="21" t="s">
        <v>238</v>
      </c>
    </row>
    <row r="1694" customFormat="false" ht="15" hidden="false" customHeight="false" outlineLevel="0" collapsed="false">
      <c r="A1694" s="13" t="n">
        <f aca="false">1+A1693</f>
        <v>1692</v>
      </c>
      <c r="B1694" s="14" t="n">
        <v>1009686204</v>
      </c>
      <c r="C1694" s="15" t="s">
        <v>449</v>
      </c>
      <c r="D1694" s="16" t="s">
        <v>32</v>
      </c>
      <c r="E1694" s="17" t="s">
        <v>47</v>
      </c>
      <c r="F1694" s="18" t="s">
        <v>34</v>
      </c>
      <c r="G1694" s="19" t="n">
        <v>987096371081</v>
      </c>
      <c r="H1694" s="17" t="s">
        <v>134</v>
      </c>
      <c r="I1694" s="17" t="s">
        <v>44</v>
      </c>
      <c r="J1694" s="17" t="s">
        <v>106</v>
      </c>
      <c r="K1694" s="17" t="str">
        <f aca="false">VLOOKUP(J1694,Sheet2!A:B,2,0)</f>
        <v>PRAKASH CHAVDA</v>
      </c>
      <c r="L1694" s="17" t="n">
        <v>5</v>
      </c>
      <c r="M1694" s="17" t="str">
        <f aca="false">VLOOKUP(L1694,Sheet2!D:E,2,0)</f>
        <v>Main Processor CPU BGA</v>
      </c>
      <c r="N1694" s="17" t="n">
        <v>1</v>
      </c>
      <c r="O1694" s="17" t="str">
        <f aca="false">VLOOKUP(N1694,Sheet2!G:H,2,0)</f>
        <v>Dead</v>
      </c>
      <c r="P1694" s="17" t="n">
        <v>12</v>
      </c>
      <c r="Q1694" s="17" t="str">
        <f aca="false">VLOOKUP(P1694,Sheet2!J:K,2,0)</f>
        <v>IR Declared due to Others ( IR Normal)TB</v>
      </c>
      <c r="R1694" s="17" t="s">
        <v>35</v>
      </c>
      <c r="S1694" s="17" t="str">
        <f aca="false">VLOOKUP(R1694,Sheet2!N:O,2,0)</f>
        <v>IREPARABLE</v>
      </c>
      <c r="T1694" s="18" t="str">
        <f aca="false">VLOOKUP(P1694,Sheet2!Q:R,2,0)</f>
        <v>IR Normal - BER to IR</v>
      </c>
      <c r="U1694" s="20" t="s">
        <v>135</v>
      </c>
      <c r="V1694" s="17" t="n">
        <v>12</v>
      </c>
      <c r="W1694" s="20" t="str">
        <f aca="false">VLOOKUP(V1694,Sheet2!Q:R,2,0)</f>
        <v>IR Normal - BER to IR</v>
      </c>
      <c r="X1694" s="17" t="str">
        <f aca="false">J1694</f>
        <v>A018</v>
      </c>
      <c r="Y1694" s="17" t="str">
        <f aca="false">VLOOKUP(X1694,Sheet2!A:B,2,0)</f>
        <v>PRAKASH CHAVDA</v>
      </c>
      <c r="Z1694" s="17" t="s">
        <v>141</v>
      </c>
      <c r="AA1694" s="17" t="s">
        <v>883</v>
      </c>
      <c r="AB1694" s="17" t="s">
        <v>41</v>
      </c>
      <c r="AC1694" s="0" t="str">
        <f aca="false">LEFT(G1694,2)</f>
        <v>98</v>
      </c>
      <c r="AE1694" s="21" t="s">
        <v>238</v>
      </c>
    </row>
    <row r="1695" customFormat="false" ht="15" hidden="false" customHeight="false" outlineLevel="0" collapsed="false">
      <c r="A1695" s="13" t="n">
        <f aca="false">1+A1694</f>
        <v>1693</v>
      </c>
      <c r="B1695" s="14" t="n">
        <v>1009663770</v>
      </c>
      <c r="C1695" s="15" t="s">
        <v>885</v>
      </c>
      <c r="D1695" s="16" t="s">
        <v>119</v>
      </c>
      <c r="E1695" s="17" t="s">
        <v>114</v>
      </c>
      <c r="F1695" s="18" t="s">
        <v>34</v>
      </c>
      <c r="G1695" s="19" t="n">
        <v>775351365546</v>
      </c>
      <c r="H1695" s="17" t="s">
        <v>134</v>
      </c>
      <c r="I1695" s="17" t="s">
        <v>69</v>
      </c>
      <c r="J1695" s="17" t="s">
        <v>106</v>
      </c>
      <c r="K1695" s="17" t="str">
        <f aca="false">VLOOKUP(J1695,Sheet2!A:B,2,0)</f>
        <v>PRAKASH CHAVDA</v>
      </c>
      <c r="L1695" s="17" t="n">
        <v>5</v>
      </c>
      <c r="M1695" s="17" t="str">
        <f aca="false">VLOOKUP(L1695,Sheet2!D:E,2,0)</f>
        <v>Main Processor CPU BGA</v>
      </c>
      <c r="N1695" s="17" t="n">
        <v>36</v>
      </c>
      <c r="O1695" s="17" t="str">
        <f aca="false">VLOOKUP(N1695,Sheet2!G:H,2,0)</f>
        <v>Error -1</v>
      </c>
      <c r="P1695" s="17" t="n">
        <v>12</v>
      </c>
      <c r="Q1695" s="17" t="str">
        <f aca="false">VLOOKUP(P1695,Sheet2!J:K,2,0)</f>
        <v>IR Declared due to Others ( IR Normal)TB</v>
      </c>
      <c r="R1695" s="17" t="s">
        <v>35</v>
      </c>
      <c r="S1695" s="17" t="str">
        <f aca="false">VLOOKUP(R1695,Sheet2!N:O,2,0)</f>
        <v>IREPARABLE</v>
      </c>
      <c r="T1695" s="18" t="str">
        <f aca="false">VLOOKUP(P1695,Sheet2!Q:R,2,0)</f>
        <v>IR Normal - BER to IR</v>
      </c>
      <c r="U1695" s="20" t="s">
        <v>135</v>
      </c>
      <c r="V1695" s="17" t="n">
        <v>12</v>
      </c>
      <c r="W1695" s="20" t="str">
        <f aca="false">VLOOKUP(V1695,Sheet2!Q:R,2,0)</f>
        <v>IR Normal - BER to IR</v>
      </c>
      <c r="X1695" s="17" t="str">
        <f aca="false">J1695</f>
        <v>A018</v>
      </c>
      <c r="Y1695" s="17" t="str">
        <f aca="false">VLOOKUP(X1695,Sheet2!A:B,2,0)</f>
        <v>PRAKASH CHAVDA</v>
      </c>
      <c r="Z1695" s="17" t="s">
        <v>136</v>
      </c>
      <c r="AA1695" s="17" t="s">
        <v>883</v>
      </c>
      <c r="AB1695" s="17" t="s">
        <v>41</v>
      </c>
      <c r="AC1695" s="0" t="str">
        <f aca="false">LEFT(G1695,2)</f>
        <v>77</v>
      </c>
      <c r="AE1695" s="21" t="s">
        <v>238</v>
      </c>
    </row>
    <row r="1696" customFormat="false" ht="15" hidden="false" customHeight="false" outlineLevel="0" collapsed="false">
      <c r="A1696" s="13" t="n">
        <f aca="false">1+A1695</f>
        <v>1694</v>
      </c>
      <c r="B1696" s="14" t="n">
        <v>1009683926</v>
      </c>
      <c r="C1696" s="15" t="s">
        <v>413</v>
      </c>
      <c r="D1696" s="16" t="s">
        <v>64</v>
      </c>
      <c r="E1696" s="17" t="s">
        <v>114</v>
      </c>
      <c r="F1696" s="18" t="s">
        <v>34</v>
      </c>
      <c r="G1696" s="19" t="n">
        <v>774338059397</v>
      </c>
      <c r="H1696" s="17" t="s">
        <v>134</v>
      </c>
      <c r="I1696" s="17" t="s">
        <v>69</v>
      </c>
      <c r="J1696" s="17" t="s">
        <v>106</v>
      </c>
      <c r="K1696" s="17" t="str">
        <f aca="false">VLOOKUP(J1696,Sheet2!A:B,2,0)</f>
        <v>PRAKASH CHAVDA</v>
      </c>
      <c r="L1696" s="17" t="n">
        <v>5</v>
      </c>
      <c r="M1696" s="17" t="str">
        <f aca="false">VLOOKUP(L1696,Sheet2!D:E,2,0)</f>
        <v>Main Processor CPU BGA</v>
      </c>
      <c r="N1696" s="17" t="n">
        <v>1</v>
      </c>
      <c r="O1696" s="17" t="str">
        <f aca="false">VLOOKUP(N1696,Sheet2!G:H,2,0)</f>
        <v>Dead</v>
      </c>
      <c r="P1696" s="17" t="n">
        <v>12</v>
      </c>
      <c r="Q1696" s="17" t="str">
        <f aca="false">VLOOKUP(P1696,Sheet2!J:K,2,0)</f>
        <v>IR Declared due to Others ( IR Normal)TB</v>
      </c>
      <c r="R1696" s="17" t="s">
        <v>35</v>
      </c>
      <c r="S1696" s="17" t="str">
        <f aca="false">VLOOKUP(R1696,Sheet2!N:O,2,0)</f>
        <v>IREPARABLE</v>
      </c>
      <c r="T1696" s="18" t="str">
        <f aca="false">VLOOKUP(P1696,Sheet2!Q:R,2,0)</f>
        <v>IR Normal - BER to IR</v>
      </c>
      <c r="U1696" s="20" t="s">
        <v>135</v>
      </c>
      <c r="V1696" s="17" t="n">
        <v>12</v>
      </c>
      <c r="W1696" s="20" t="str">
        <f aca="false">VLOOKUP(V1696,Sheet2!Q:R,2,0)</f>
        <v>IR Normal - BER to IR</v>
      </c>
      <c r="X1696" s="17" t="str">
        <f aca="false">J1696</f>
        <v>A018</v>
      </c>
      <c r="Y1696" s="17" t="str">
        <f aca="false">VLOOKUP(X1696,Sheet2!A:B,2,0)</f>
        <v>PRAKASH CHAVDA</v>
      </c>
      <c r="Z1696" s="17" t="s">
        <v>136</v>
      </c>
      <c r="AA1696" s="17" t="s">
        <v>883</v>
      </c>
      <c r="AB1696" s="17" t="s">
        <v>41</v>
      </c>
      <c r="AC1696" s="0" t="str">
        <f aca="false">LEFT(G1696,2)</f>
        <v>77</v>
      </c>
      <c r="AE1696" s="21" t="s">
        <v>238</v>
      </c>
    </row>
    <row r="1697" customFormat="false" ht="15" hidden="false" customHeight="false" outlineLevel="0" collapsed="false">
      <c r="A1697" s="13" t="n">
        <f aca="false">1+A1696</f>
        <v>1695</v>
      </c>
      <c r="B1697" s="14" t="n">
        <v>1009555602</v>
      </c>
      <c r="C1697" s="15" t="s">
        <v>444</v>
      </c>
      <c r="D1697" s="16" t="s">
        <v>64</v>
      </c>
      <c r="E1697" s="17" t="s">
        <v>64</v>
      </c>
      <c r="F1697" s="18" t="s">
        <v>34</v>
      </c>
      <c r="G1697" s="19" t="n">
        <v>774338235252</v>
      </c>
      <c r="H1697" s="17" t="s">
        <v>649</v>
      </c>
      <c r="I1697" s="17" t="s">
        <v>69</v>
      </c>
      <c r="J1697" s="17" t="s">
        <v>106</v>
      </c>
      <c r="K1697" s="17" t="str">
        <f aca="false">VLOOKUP(J1697,Sheet2!A:B,2,0)</f>
        <v>PRAKASH CHAVDA</v>
      </c>
      <c r="L1697" s="17" t="n">
        <v>5</v>
      </c>
      <c r="M1697" s="17" t="str">
        <f aca="false">VLOOKUP(L1697,Sheet2!D:E,2,0)</f>
        <v>Main Processor CPU BGA</v>
      </c>
      <c r="N1697" s="17" t="n">
        <v>33</v>
      </c>
      <c r="O1697" s="17" t="str">
        <f aca="false">VLOOKUP(N1697,Sheet2!G:H,2,0)</f>
        <v>Software download failure</v>
      </c>
      <c r="P1697" s="17" t="n">
        <v>12</v>
      </c>
      <c r="Q1697" s="17" t="str">
        <f aca="false">VLOOKUP(P1697,Sheet2!J:K,2,0)</f>
        <v>IR Declared due to Others ( IR Normal)TB</v>
      </c>
      <c r="R1697" s="17" t="s">
        <v>35</v>
      </c>
      <c r="S1697" s="17" t="str">
        <f aca="false">VLOOKUP(R1697,Sheet2!N:O,2,0)</f>
        <v>IREPARABLE</v>
      </c>
      <c r="T1697" s="18" t="str">
        <f aca="false">VLOOKUP(P1697,Sheet2!Q:R,2,0)</f>
        <v>IR Normal - BER to IR</v>
      </c>
      <c r="U1697" s="20" t="s">
        <v>135</v>
      </c>
      <c r="V1697" s="17" t="n">
        <v>12</v>
      </c>
      <c r="W1697" s="20" t="str">
        <f aca="false">VLOOKUP(V1697,Sheet2!Q:R,2,0)</f>
        <v>IR Normal - BER to IR</v>
      </c>
      <c r="X1697" s="17" t="str">
        <f aca="false">J1697</f>
        <v>A018</v>
      </c>
      <c r="Y1697" s="17" t="str">
        <f aca="false">VLOOKUP(X1697,Sheet2!A:B,2,0)</f>
        <v>PRAKASH CHAVDA</v>
      </c>
      <c r="Z1697" s="17" t="s">
        <v>886</v>
      </c>
      <c r="AA1697" s="17" t="s">
        <v>883</v>
      </c>
      <c r="AB1697" s="17" t="s">
        <v>41</v>
      </c>
      <c r="AC1697" s="0" t="str">
        <f aca="false">LEFT(G1697,2)</f>
        <v>77</v>
      </c>
      <c r="AD1697" s="0"/>
      <c r="AE1697" s="21" t="s">
        <v>238</v>
      </c>
    </row>
    <row r="1698" customFormat="false" ht="15" hidden="false" customHeight="false" outlineLevel="0" collapsed="false">
      <c r="A1698" s="13" t="n">
        <f aca="false">1+A1697</f>
        <v>1696</v>
      </c>
      <c r="B1698" s="14" t="n">
        <v>1009646457</v>
      </c>
      <c r="C1698" s="15" t="s">
        <v>204</v>
      </c>
      <c r="D1698" s="16" t="s">
        <v>64</v>
      </c>
      <c r="E1698" s="17" t="s">
        <v>64</v>
      </c>
      <c r="F1698" s="18" t="s">
        <v>34</v>
      </c>
      <c r="G1698" s="19" t="n">
        <v>775078014690</v>
      </c>
      <c r="H1698" s="17" t="s">
        <v>647</v>
      </c>
      <c r="I1698" s="17" t="s">
        <v>69</v>
      </c>
      <c r="J1698" s="17" t="s">
        <v>106</v>
      </c>
      <c r="K1698" s="17" t="str">
        <f aca="false">VLOOKUP(J1698,Sheet2!A:B,2,0)</f>
        <v>PRAKASH CHAVDA</v>
      </c>
      <c r="L1698" s="17" t="n">
        <v>5</v>
      </c>
      <c r="M1698" s="17" t="str">
        <f aca="false">VLOOKUP(L1698,Sheet2!D:E,2,0)</f>
        <v>Main Processor CPU BGA</v>
      </c>
      <c r="N1698" s="17" t="n">
        <v>33</v>
      </c>
      <c r="O1698" s="17" t="str">
        <f aca="false">VLOOKUP(N1698,Sheet2!G:H,2,0)</f>
        <v>Software download failure</v>
      </c>
      <c r="P1698" s="17" t="n">
        <v>12</v>
      </c>
      <c r="Q1698" s="17" t="str">
        <f aca="false">VLOOKUP(P1698,Sheet2!J:K,2,0)</f>
        <v>IR Declared due to Others ( IR Normal)TB</v>
      </c>
      <c r="R1698" s="17" t="s">
        <v>35</v>
      </c>
      <c r="S1698" s="17" t="str">
        <f aca="false">VLOOKUP(R1698,Sheet2!N:O,2,0)</f>
        <v>IREPARABLE</v>
      </c>
      <c r="T1698" s="18" t="str">
        <f aca="false">VLOOKUP(P1698,Sheet2!Q:R,2,0)</f>
        <v>IR Normal - BER to IR</v>
      </c>
      <c r="U1698" s="20" t="s">
        <v>135</v>
      </c>
      <c r="V1698" s="17" t="n">
        <v>12</v>
      </c>
      <c r="W1698" s="20" t="str">
        <f aca="false">VLOOKUP(V1698,Sheet2!Q:R,2,0)</f>
        <v>IR Normal - BER to IR</v>
      </c>
      <c r="X1698" s="17" t="str">
        <f aca="false">J1698</f>
        <v>A018</v>
      </c>
      <c r="Y1698" s="17" t="str">
        <f aca="false">VLOOKUP(X1698,Sheet2!A:B,2,0)</f>
        <v>PRAKASH CHAVDA</v>
      </c>
      <c r="Z1698" s="17" t="s">
        <v>130</v>
      </c>
      <c r="AA1698" s="17" t="s">
        <v>883</v>
      </c>
      <c r="AB1698" s="17" t="s">
        <v>41</v>
      </c>
      <c r="AC1698" s="0" t="str">
        <f aca="false">LEFT(G1698,2)</f>
        <v>77</v>
      </c>
      <c r="AD1698" s="0"/>
      <c r="AE1698" s="21" t="s">
        <v>238</v>
      </c>
    </row>
    <row r="1699" customFormat="false" ht="15" hidden="false" customHeight="false" outlineLevel="0" collapsed="false">
      <c r="A1699" s="13" t="n">
        <f aca="false">1+A1698</f>
        <v>1697</v>
      </c>
      <c r="B1699" s="14" t="n">
        <v>1009622647</v>
      </c>
      <c r="C1699" s="15" t="s">
        <v>184</v>
      </c>
      <c r="D1699" s="16" t="s">
        <v>64</v>
      </c>
      <c r="E1699" s="17" t="s">
        <v>64</v>
      </c>
      <c r="F1699" s="18" t="s">
        <v>34</v>
      </c>
      <c r="G1699" s="19" t="n">
        <v>775112003592</v>
      </c>
      <c r="H1699" s="17" t="s">
        <v>649</v>
      </c>
      <c r="I1699" s="17" t="s">
        <v>69</v>
      </c>
      <c r="J1699" s="17" t="s">
        <v>106</v>
      </c>
      <c r="K1699" s="17" t="str">
        <f aca="false">VLOOKUP(J1699,Sheet2!A:B,2,0)</f>
        <v>PRAKASH CHAVDA</v>
      </c>
      <c r="L1699" s="17" t="n">
        <v>5</v>
      </c>
      <c r="M1699" s="17" t="str">
        <f aca="false">VLOOKUP(L1699,Sheet2!D:E,2,0)</f>
        <v>Main Processor CPU BGA</v>
      </c>
      <c r="N1699" s="17" t="n">
        <v>24</v>
      </c>
      <c r="O1699" s="17" t="str">
        <f aca="false">VLOOKUP(N1699,Sheet2!G:H,2,0)</f>
        <v>STB Auto moving -Stand by mode</v>
      </c>
      <c r="P1699" s="17" t="n">
        <v>12</v>
      </c>
      <c r="Q1699" s="17" t="str">
        <f aca="false">VLOOKUP(P1699,Sheet2!J:K,2,0)</f>
        <v>IR Declared due to Others ( IR Normal)TB</v>
      </c>
      <c r="R1699" s="17" t="s">
        <v>35</v>
      </c>
      <c r="S1699" s="17" t="str">
        <f aca="false">VLOOKUP(R1699,Sheet2!N:O,2,0)</f>
        <v>IREPARABLE</v>
      </c>
      <c r="T1699" s="18" t="str">
        <f aca="false">VLOOKUP(P1699,Sheet2!Q:R,2,0)</f>
        <v>IR Normal - BER to IR</v>
      </c>
      <c r="U1699" s="20" t="s">
        <v>135</v>
      </c>
      <c r="V1699" s="17" t="n">
        <v>12</v>
      </c>
      <c r="W1699" s="20" t="str">
        <f aca="false">VLOOKUP(V1699,Sheet2!Q:R,2,0)</f>
        <v>IR Normal - BER to IR</v>
      </c>
      <c r="X1699" s="17" t="str">
        <f aca="false">J1699</f>
        <v>A018</v>
      </c>
      <c r="Y1699" s="17" t="str">
        <f aca="false">VLOOKUP(X1699,Sheet2!A:B,2,0)</f>
        <v>PRAKASH CHAVDA</v>
      </c>
      <c r="Z1699" s="17" t="s">
        <v>887</v>
      </c>
      <c r="AA1699" s="17" t="s">
        <v>883</v>
      </c>
      <c r="AB1699" s="17" t="s">
        <v>41</v>
      </c>
      <c r="AC1699" s="0" t="str">
        <f aca="false">LEFT(G1699,2)</f>
        <v>77</v>
      </c>
      <c r="AD1699" s="0"/>
      <c r="AE1699" s="21" t="s">
        <v>238</v>
      </c>
    </row>
    <row r="1700" customFormat="false" ht="15" hidden="false" customHeight="false" outlineLevel="0" collapsed="false">
      <c r="A1700" s="13" t="n">
        <f aca="false">1+A1699</f>
        <v>1698</v>
      </c>
      <c r="B1700" s="14" t="n">
        <v>1009642959</v>
      </c>
      <c r="C1700" s="15" t="s">
        <v>223</v>
      </c>
      <c r="D1700" s="16" t="s">
        <v>64</v>
      </c>
      <c r="E1700" s="17" t="s">
        <v>64</v>
      </c>
      <c r="F1700" s="18" t="s">
        <v>34</v>
      </c>
      <c r="G1700" s="19" t="n">
        <v>775316065942</v>
      </c>
      <c r="H1700" s="17" t="s">
        <v>647</v>
      </c>
      <c r="I1700" s="17" t="s">
        <v>69</v>
      </c>
      <c r="J1700" s="17" t="s">
        <v>106</v>
      </c>
      <c r="K1700" s="17" t="str">
        <f aca="false">VLOOKUP(J1700,Sheet2!A:B,2,0)</f>
        <v>PRAKASH CHAVDA</v>
      </c>
      <c r="L1700" s="17" t="n">
        <v>5</v>
      </c>
      <c r="M1700" s="17" t="str">
        <f aca="false">VLOOKUP(L1700,Sheet2!D:E,2,0)</f>
        <v>Main Processor CPU BGA</v>
      </c>
      <c r="N1700" s="17" t="n">
        <v>24</v>
      </c>
      <c r="O1700" s="17" t="str">
        <f aca="false">VLOOKUP(N1700,Sheet2!G:H,2,0)</f>
        <v>STB Auto moving -Stand by mode</v>
      </c>
      <c r="P1700" s="17" t="n">
        <v>12</v>
      </c>
      <c r="Q1700" s="17" t="str">
        <f aca="false">VLOOKUP(P1700,Sheet2!J:K,2,0)</f>
        <v>IR Declared due to Others ( IR Normal)TB</v>
      </c>
      <c r="R1700" s="17" t="s">
        <v>35</v>
      </c>
      <c r="S1700" s="17" t="str">
        <f aca="false">VLOOKUP(R1700,Sheet2!N:O,2,0)</f>
        <v>IREPARABLE</v>
      </c>
      <c r="T1700" s="18" t="str">
        <f aca="false">VLOOKUP(P1700,Sheet2!Q:R,2,0)</f>
        <v>IR Normal - BER to IR</v>
      </c>
      <c r="U1700" s="20" t="s">
        <v>135</v>
      </c>
      <c r="V1700" s="17" t="n">
        <v>12</v>
      </c>
      <c r="W1700" s="20" t="str">
        <f aca="false">VLOOKUP(V1700,Sheet2!Q:R,2,0)</f>
        <v>IR Normal - BER to IR</v>
      </c>
      <c r="X1700" s="17" t="str">
        <f aca="false">J1700</f>
        <v>A018</v>
      </c>
      <c r="Y1700" s="17" t="str">
        <f aca="false">VLOOKUP(X1700,Sheet2!A:B,2,0)</f>
        <v>PRAKASH CHAVDA</v>
      </c>
      <c r="Z1700" s="17" t="s">
        <v>136</v>
      </c>
      <c r="AA1700" s="17" t="s">
        <v>883</v>
      </c>
      <c r="AB1700" s="17" t="s">
        <v>41</v>
      </c>
      <c r="AC1700" s="0" t="str">
        <f aca="false">LEFT(G1700,2)</f>
        <v>77</v>
      </c>
      <c r="AD1700" s="0"/>
      <c r="AE1700" s="21" t="s">
        <v>238</v>
      </c>
    </row>
    <row r="1701" customFormat="false" ht="15" hidden="false" customHeight="false" outlineLevel="0" collapsed="false">
      <c r="A1701" s="13" t="n">
        <f aca="false">1+A1700</f>
        <v>1699</v>
      </c>
      <c r="B1701" s="14" t="n">
        <v>1009540142</v>
      </c>
      <c r="C1701" s="17" t="s">
        <v>126</v>
      </c>
      <c r="D1701" s="16" t="s">
        <v>64</v>
      </c>
      <c r="E1701" s="17" t="s">
        <v>64</v>
      </c>
      <c r="F1701" s="18" t="s">
        <v>34</v>
      </c>
      <c r="G1701" s="19" t="n">
        <v>774310005707</v>
      </c>
      <c r="H1701" s="17" t="s">
        <v>134</v>
      </c>
      <c r="I1701" s="17" t="s">
        <v>69</v>
      </c>
      <c r="J1701" s="17" t="s">
        <v>106</v>
      </c>
      <c r="K1701" s="17" t="str">
        <f aca="false">VLOOKUP(J1701,Sheet2!A:B,2,0)</f>
        <v>PRAKASH CHAVDA</v>
      </c>
      <c r="L1701" s="17" t="n">
        <v>5</v>
      </c>
      <c r="M1701" s="17" t="str">
        <f aca="false">VLOOKUP(L1701,Sheet2!D:E,2,0)</f>
        <v>Main Processor CPU BGA</v>
      </c>
      <c r="N1701" s="17" t="n">
        <v>1</v>
      </c>
      <c r="O1701" s="17" t="str">
        <f aca="false">VLOOKUP(N1701,Sheet2!G:H,2,0)</f>
        <v>Dead</v>
      </c>
      <c r="P1701" s="17" t="n">
        <v>12</v>
      </c>
      <c r="Q1701" s="17" t="str">
        <f aca="false">VLOOKUP(P1701,Sheet2!J:K,2,0)</f>
        <v>IR Declared due to Others ( IR Normal)TB</v>
      </c>
      <c r="R1701" s="17" t="s">
        <v>35</v>
      </c>
      <c r="S1701" s="17" t="str">
        <f aca="false">VLOOKUP(R1701,Sheet2!N:O,2,0)</f>
        <v>IREPARABLE</v>
      </c>
      <c r="T1701" s="18" t="str">
        <f aca="false">VLOOKUP(P1701,Sheet2!Q:R,2,0)</f>
        <v>IR Normal - BER to IR</v>
      </c>
      <c r="U1701" s="20" t="s">
        <v>135</v>
      </c>
      <c r="V1701" s="17" t="n">
        <v>12</v>
      </c>
      <c r="W1701" s="20" t="str">
        <f aca="false">VLOOKUP(V1701,Sheet2!Q:R,2,0)</f>
        <v>IR Normal - BER to IR</v>
      </c>
      <c r="X1701" s="17" t="str">
        <f aca="false">J1701</f>
        <v>A018</v>
      </c>
      <c r="Y1701" s="17" t="str">
        <f aca="false">VLOOKUP(X1701,Sheet2!A:B,2,0)</f>
        <v>PRAKASH CHAVDA</v>
      </c>
      <c r="Z1701" s="17" t="s">
        <v>136</v>
      </c>
      <c r="AA1701" s="17" t="s">
        <v>883</v>
      </c>
      <c r="AB1701" s="17" t="s">
        <v>41</v>
      </c>
      <c r="AC1701" s="0" t="str">
        <f aca="false">LEFT(G1701,2)</f>
        <v>77</v>
      </c>
      <c r="AD1701" s="0"/>
      <c r="AE1701" s="21" t="s">
        <v>238</v>
      </c>
    </row>
    <row r="1702" customFormat="false" ht="15" hidden="false" customHeight="false" outlineLevel="0" collapsed="false">
      <c r="A1702" s="13" t="n">
        <f aca="false">1+A1701</f>
        <v>1700</v>
      </c>
      <c r="B1702" s="14" t="n">
        <v>1009684303</v>
      </c>
      <c r="C1702" s="17" t="s">
        <v>413</v>
      </c>
      <c r="D1702" s="16" t="s">
        <v>183</v>
      </c>
      <c r="E1702" s="17" t="s">
        <v>47</v>
      </c>
      <c r="F1702" s="18" t="s">
        <v>34</v>
      </c>
      <c r="G1702" s="19" t="n">
        <v>775185005052</v>
      </c>
      <c r="H1702" s="17" t="s">
        <v>134</v>
      </c>
      <c r="I1702" s="17" t="s">
        <v>69</v>
      </c>
      <c r="J1702" s="17" t="s">
        <v>106</v>
      </c>
      <c r="K1702" s="17" t="str">
        <f aca="false">VLOOKUP(J1702,Sheet2!A:B,2,0)</f>
        <v>PRAKASH CHAVDA</v>
      </c>
      <c r="L1702" s="17" t="n">
        <v>5</v>
      </c>
      <c r="M1702" s="17" t="str">
        <f aca="false">VLOOKUP(L1702,Sheet2!D:E,2,0)</f>
        <v>Main Processor CPU BGA</v>
      </c>
      <c r="N1702" s="17" t="n">
        <v>1</v>
      </c>
      <c r="O1702" s="17" t="str">
        <f aca="false">VLOOKUP(N1702,Sheet2!G:H,2,0)</f>
        <v>Dead</v>
      </c>
      <c r="P1702" s="17" t="n">
        <v>12</v>
      </c>
      <c r="Q1702" s="17" t="str">
        <f aca="false">VLOOKUP(P1702,Sheet2!J:K,2,0)</f>
        <v>IR Declared due to Others ( IR Normal)TB</v>
      </c>
      <c r="R1702" s="17" t="s">
        <v>35</v>
      </c>
      <c r="S1702" s="17" t="str">
        <f aca="false">VLOOKUP(R1702,Sheet2!N:O,2,0)</f>
        <v>IREPARABLE</v>
      </c>
      <c r="T1702" s="18" t="str">
        <f aca="false">VLOOKUP(P1702,Sheet2!Q:R,2,0)</f>
        <v>IR Normal - BER to IR</v>
      </c>
      <c r="U1702" s="20" t="s">
        <v>135</v>
      </c>
      <c r="V1702" s="17" t="n">
        <v>12</v>
      </c>
      <c r="W1702" s="20" t="str">
        <f aca="false">VLOOKUP(V1702,Sheet2!Q:R,2,0)</f>
        <v>IR Normal - BER to IR</v>
      </c>
      <c r="X1702" s="17" t="str">
        <f aca="false">J1702</f>
        <v>A018</v>
      </c>
      <c r="Y1702" s="17" t="str">
        <f aca="false">VLOOKUP(X1702,Sheet2!A:B,2,0)</f>
        <v>PRAKASH CHAVDA</v>
      </c>
      <c r="Z1702" s="17" t="s">
        <v>136</v>
      </c>
      <c r="AA1702" s="17" t="s">
        <v>883</v>
      </c>
      <c r="AB1702" s="17" t="s">
        <v>41</v>
      </c>
      <c r="AC1702" s="0" t="str">
        <f aca="false">LEFT(G1702,2)</f>
        <v>77</v>
      </c>
      <c r="AD1702" s="0"/>
      <c r="AE1702" s="21" t="s">
        <v>238</v>
      </c>
    </row>
    <row r="1703" customFormat="false" ht="15" hidden="false" customHeight="false" outlineLevel="0" collapsed="false">
      <c r="A1703" s="13" t="n">
        <f aca="false">1+A1702</f>
        <v>1701</v>
      </c>
      <c r="B1703" s="14" t="n">
        <v>1009389733</v>
      </c>
      <c r="C1703" s="17" t="s">
        <v>299</v>
      </c>
      <c r="D1703" s="16" t="s">
        <v>304</v>
      </c>
      <c r="E1703" s="17" t="s">
        <v>33</v>
      </c>
      <c r="F1703" s="18" t="s">
        <v>34</v>
      </c>
      <c r="G1703" s="19" t="n">
        <v>774338190630</v>
      </c>
      <c r="H1703" s="17" t="s">
        <v>134</v>
      </c>
      <c r="I1703" s="17" t="s">
        <v>69</v>
      </c>
      <c r="J1703" s="17" t="s">
        <v>106</v>
      </c>
      <c r="K1703" s="17" t="str">
        <f aca="false">VLOOKUP(J1703,Sheet2!A:B,2,0)</f>
        <v>PRAKASH CHAVDA</v>
      </c>
      <c r="L1703" s="17" t="n">
        <v>5</v>
      </c>
      <c r="M1703" s="17" t="str">
        <f aca="false">VLOOKUP(L1703,Sheet2!D:E,2,0)</f>
        <v>Main Processor CPU BGA</v>
      </c>
      <c r="N1703" s="17" t="n">
        <v>24</v>
      </c>
      <c r="O1703" s="17" t="str">
        <f aca="false">VLOOKUP(N1703,Sheet2!G:H,2,0)</f>
        <v>STB Auto moving -Stand by mode</v>
      </c>
      <c r="P1703" s="17" t="n">
        <v>12</v>
      </c>
      <c r="Q1703" s="17" t="str">
        <f aca="false">VLOOKUP(P1703,Sheet2!J:K,2,0)</f>
        <v>IR Declared due to Others ( IR Normal)TB</v>
      </c>
      <c r="R1703" s="17" t="s">
        <v>35</v>
      </c>
      <c r="S1703" s="17" t="str">
        <f aca="false">VLOOKUP(R1703,Sheet2!N:O,2,0)</f>
        <v>IREPARABLE</v>
      </c>
      <c r="T1703" s="18" t="str">
        <f aca="false">VLOOKUP(P1703,Sheet2!Q:R,2,0)</f>
        <v>IR Normal - BER to IR</v>
      </c>
      <c r="U1703" s="20" t="s">
        <v>135</v>
      </c>
      <c r="V1703" s="17" t="n">
        <v>12</v>
      </c>
      <c r="W1703" s="20" t="str">
        <f aca="false">VLOOKUP(V1703,Sheet2!Q:R,2,0)</f>
        <v>IR Normal - BER to IR</v>
      </c>
      <c r="X1703" s="17" t="str">
        <f aca="false">J1703</f>
        <v>A018</v>
      </c>
      <c r="Y1703" s="17" t="str">
        <f aca="false">VLOOKUP(X1703,Sheet2!A:B,2,0)</f>
        <v>PRAKASH CHAVDA</v>
      </c>
      <c r="Z1703" s="17" t="s">
        <v>136</v>
      </c>
      <c r="AA1703" s="17" t="s">
        <v>883</v>
      </c>
      <c r="AB1703" s="17" t="s">
        <v>41</v>
      </c>
      <c r="AC1703" s="0" t="str">
        <f aca="false">LEFT(G1703,2)</f>
        <v>77</v>
      </c>
      <c r="AD1703" s="0"/>
      <c r="AE1703" s="21" t="s">
        <v>238</v>
      </c>
    </row>
    <row r="1704" customFormat="false" ht="15" hidden="false" customHeight="false" outlineLevel="0" collapsed="false">
      <c r="A1704" s="13" t="n">
        <f aca="false">1+A1703</f>
        <v>1702</v>
      </c>
      <c r="B1704" s="14" t="n">
        <v>1009666623</v>
      </c>
      <c r="C1704" s="17" t="s">
        <v>413</v>
      </c>
      <c r="D1704" s="16" t="s">
        <v>64</v>
      </c>
      <c r="E1704" s="17" t="s">
        <v>91</v>
      </c>
      <c r="F1704" s="18" t="s">
        <v>34</v>
      </c>
      <c r="G1704" s="19" t="n">
        <v>986164136301</v>
      </c>
      <c r="H1704" s="17" t="s">
        <v>134</v>
      </c>
      <c r="I1704" s="17" t="s">
        <v>44</v>
      </c>
      <c r="J1704" s="17" t="s">
        <v>106</v>
      </c>
      <c r="K1704" s="17" t="str">
        <f aca="false">VLOOKUP(J1704,Sheet2!A:B,2,0)</f>
        <v>PRAKASH CHAVDA</v>
      </c>
      <c r="L1704" s="17" t="n">
        <v>5</v>
      </c>
      <c r="M1704" s="17" t="str">
        <f aca="false">VLOOKUP(L1704,Sheet2!D:E,2,0)</f>
        <v>Main Processor CPU BGA</v>
      </c>
      <c r="N1704" s="17" t="n">
        <v>24</v>
      </c>
      <c r="O1704" s="17" t="str">
        <f aca="false">VLOOKUP(N1704,Sheet2!G:H,2,0)</f>
        <v>STB Auto moving -Stand by mode</v>
      </c>
      <c r="P1704" s="17" t="n">
        <v>12</v>
      </c>
      <c r="Q1704" s="17" t="str">
        <f aca="false">VLOOKUP(P1704,Sheet2!J:K,2,0)</f>
        <v>IR Declared due to Others ( IR Normal)TB</v>
      </c>
      <c r="R1704" s="17" t="s">
        <v>35</v>
      </c>
      <c r="S1704" s="17" t="str">
        <f aca="false">VLOOKUP(R1704,Sheet2!N:O,2,0)</f>
        <v>IREPARABLE</v>
      </c>
      <c r="T1704" s="18" t="str">
        <f aca="false">VLOOKUP(P1704,Sheet2!Q:R,2,0)</f>
        <v>IR Normal - BER to IR</v>
      </c>
      <c r="U1704" s="20" t="s">
        <v>135</v>
      </c>
      <c r="V1704" s="17" t="n">
        <v>12</v>
      </c>
      <c r="W1704" s="20" t="str">
        <f aca="false">VLOOKUP(V1704,Sheet2!Q:R,2,0)</f>
        <v>IR Normal - BER to IR</v>
      </c>
      <c r="X1704" s="17" t="str">
        <f aca="false">J1704</f>
        <v>A018</v>
      </c>
      <c r="Y1704" s="17" t="str">
        <f aca="false">VLOOKUP(X1704,Sheet2!A:B,2,0)</f>
        <v>PRAKASH CHAVDA</v>
      </c>
      <c r="Z1704" s="17" t="s">
        <v>141</v>
      </c>
      <c r="AA1704" s="17" t="s">
        <v>883</v>
      </c>
      <c r="AB1704" s="17" t="s">
        <v>41</v>
      </c>
      <c r="AC1704" s="0" t="str">
        <f aca="false">LEFT(G1704,2)</f>
        <v>98</v>
      </c>
      <c r="AD1704" s="0"/>
      <c r="AE1704" s="21" t="s">
        <v>238</v>
      </c>
    </row>
    <row r="1705" customFormat="false" ht="15" hidden="false" customHeight="false" outlineLevel="0" collapsed="false">
      <c r="A1705" s="13" t="n">
        <f aca="false">1+A1704</f>
        <v>1703</v>
      </c>
      <c r="B1705" s="14" t="n">
        <v>1009674535</v>
      </c>
      <c r="C1705" s="17" t="s">
        <v>104</v>
      </c>
      <c r="D1705" s="16" t="s">
        <v>64</v>
      </c>
      <c r="E1705" s="17" t="s">
        <v>47</v>
      </c>
      <c r="F1705" s="18" t="s">
        <v>34</v>
      </c>
      <c r="G1705" s="19" t="n">
        <v>134114095109</v>
      </c>
      <c r="H1705" s="17" t="s">
        <v>134</v>
      </c>
      <c r="I1705" s="17" t="s">
        <v>44</v>
      </c>
      <c r="J1705" s="17" t="s">
        <v>106</v>
      </c>
      <c r="K1705" s="17" t="str">
        <f aca="false">VLOOKUP(J1705,Sheet2!A:B,2,0)</f>
        <v>PRAKASH CHAVDA</v>
      </c>
      <c r="L1705" s="17" t="n">
        <v>5</v>
      </c>
      <c r="M1705" s="17" t="str">
        <f aca="false">VLOOKUP(L1705,Sheet2!D:E,2,0)</f>
        <v>Main Processor CPU BGA</v>
      </c>
      <c r="N1705" s="17" t="n">
        <v>1</v>
      </c>
      <c r="O1705" s="17" t="str">
        <f aca="false">VLOOKUP(N1705,Sheet2!G:H,2,0)</f>
        <v>Dead</v>
      </c>
      <c r="P1705" s="17" t="n">
        <v>12</v>
      </c>
      <c r="Q1705" s="17" t="str">
        <f aca="false">VLOOKUP(P1705,Sheet2!J:K,2,0)</f>
        <v>IR Declared due to Others ( IR Normal)TB</v>
      </c>
      <c r="R1705" s="17" t="s">
        <v>35</v>
      </c>
      <c r="S1705" s="17" t="str">
        <f aca="false">VLOOKUP(R1705,Sheet2!N:O,2,0)</f>
        <v>IREPARABLE</v>
      </c>
      <c r="T1705" s="18" t="str">
        <f aca="false">VLOOKUP(P1705,Sheet2!Q:R,2,0)</f>
        <v>IR Normal - BER to IR</v>
      </c>
      <c r="U1705" s="20" t="s">
        <v>135</v>
      </c>
      <c r="V1705" s="17" t="n">
        <v>12</v>
      </c>
      <c r="W1705" s="20" t="str">
        <f aca="false">VLOOKUP(V1705,Sheet2!Q:R,2,0)</f>
        <v>IR Normal - BER to IR</v>
      </c>
      <c r="X1705" s="17" t="str">
        <f aca="false">J1705</f>
        <v>A018</v>
      </c>
      <c r="Y1705" s="17" t="str">
        <f aca="false">VLOOKUP(X1705,Sheet2!A:B,2,0)</f>
        <v>PRAKASH CHAVDA</v>
      </c>
      <c r="Z1705" s="17" t="s">
        <v>136</v>
      </c>
      <c r="AA1705" s="17" t="s">
        <v>883</v>
      </c>
      <c r="AB1705" s="17" t="s">
        <v>41</v>
      </c>
      <c r="AC1705" s="0" t="str">
        <f aca="false">LEFT(G1705,2)</f>
        <v>13</v>
      </c>
      <c r="AD1705" s="0"/>
      <c r="AE1705" s="21" t="s">
        <v>238</v>
      </c>
    </row>
    <row r="1706" customFormat="false" ht="15" hidden="false" customHeight="false" outlineLevel="0" collapsed="false">
      <c r="A1706" s="13" t="n">
        <f aca="false">1+A1705</f>
        <v>1704</v>
      </c>
      <c r="B1706" s="14" t="n">
        <v>1009092251</v>
      </c>
      <c r="C1706" s="17" t="s">
        <v>414</v>
      </c>
      <c r="D1706" s="16" t="s">
        <v>888</v>
      </c>
      <c r="E1706" s="17" t="s">
        <v>91</v>
      </c>
      <c r="F1706" s="18" t="s">
        <v>34</v>
      </c>
      <c r="G1706" s="19" t="n">
        <v>134106409367</v>
      </c>
      <c r="H1706" s="17" t="s">
        <v>134</v>
      </c>
      <c r="I1706" s="17" t="s">
        <v>44</v>
      </c>
      <c r="J1706" s="17" t="s">
        <v>106</v>
      </c>
      <c r="K1706" s="17" t="str">
        <f aca="false">VLOOKUP(J1706,Sheet2!A:B,2,0)</f>
        <v>PRAKASH CHAVDA</v>
      </c>
      <c r="L1706" s="17" t="n">
        <v>5</v>
      </c>
      <c r="M1706" s="17" t="str">
        <f aca="false">VLOOKUP(L1706,Sheet2!D:E,2,0)</f>
        <v>Main Processor CPU BGA</v>
      </c>
      <c r="N1706" s="17" t="n">
        <v>24</v>
      </c>
      <c r="O1706" s="17" t="str">
        <f aca="false">VLOOKUP(N1706,Sheet2!G:H,2,0)</f>
        <v>STB Auto moving -Stand by mode</v>
      </c>
      <c r="P1706" s="17" t="n">
        <v>12</v>
      </c>
      <c r="Q1706" s="17" t="str">
        <f aca="false">VLOOKUP(P1706,Sheet2!J:K,2,0)</f>
        <v>IR Declared due to Others ( IR Normal)TB</v>
      </c>
      <c r="R1706" s="17" t="s">
        <v>35</v>
      </c>
      <c r="S1706" s="17" t="str">
        <f aca="false">VLOOKUP(R1706,Sheet2!N:O,2,0)</f>
        <v>IREPARABLE</v>
      </c>
      <c r="T1706" s="18" t="str">
        <f aca="false">VLOOKUP(P1706,Sheet2!Q:R,2,0)</f>
        <v>IR Normal - BER to IR</v>
      </c>
      <c r="U1706" s="20" t="s">
        <v>135</v>
      </c>
      <c r="V1706" s="17" t="n">
        <v>12</v>
      </c>
      <c r="W1706" s="20" t="str">
        <f aca="false">VLOOKUP(V1706,Sheet2!Q:R,2,0)</f>
        <v>IR Normal - BER to IR</v>
      </c>
      <c r="X1706" s="17" t="str">
        <f aca="false">J1706</f>
        <v>A018</v>
      </c>
      <c r="Y1706" s="17" t="str">
        <f aca="false">VLOOKUP(X1706,Sheet2!A:B,2,0)</f>
        <v>PRAKASH CHAVDA</v>
      </c>
      <c r="Z1706" s="17" t="s">
        <v>136</v>
      </c>
      <c r="AA1706" s="17" t="s">
        <v>883</v>
      </c>
      <c r="AB1706" s="17" t="s">
        <v>41</v>
      </c>
      <c r="AC1706" s="0" t="str">
        <f aca="false">LEFT(G1706,2)</f>
        <v>13</v>
      </c>
      <c r="AD1706" s="0"/>
      <c r="AE1706" s="21" t="s">
        <v>238</v>
      </c>
    </row>
    <row r="1707" customFormat="false" ht="15" hidden="false" customHeight="false" outlineLevel="0" collapsed="false">
      <c r="A1707" s="13" t="n">
        <f aca="false">1+A1706</f>
        <v>1705</v>
      </c>
      <c r="B1707" s="14" t="n">
        <v>1009686238</v>
      </c>
      <c r="C1707" s="17" t="s">
        <v>449</v>
      </c>
      <c r="D1707" s="16" t="s">
        <v>137</v>
      </c>
      <c r="E1707" s="17" t="s">
        <v>255</v>
      </c>
      <c r="F1707" s="18" t="s">
        <v>34</v>
      </c>
      <c r="G1707" s="19" t="n">
        <v>954199148709</v>
      </c>
      <c r="H1707" s="17" t="s">
        <v>134</v>
      </c>
      <c r="I1707" s="17" t="s">
        <v>44</v>
      </c>
      <c r="J1707" s="17" t="s">
        <v>106</v>
      </c>
      <c r="K1707" s="17" t="str">
        <f aca="false">VLOOKUP(J1707,Sheet2!A:B,2,0)</f>
        <v>PRAKASH CHAVDA</v>
      </c>
      <c r="L1707" s="17" t="n">
        <v>5</v>
      </c>
      <c r="M1707" s="17" t="str">
        <f aca="false">VLOOKUP(L1707,Sheet2!D:E,2,0)</f>
        <v>Main Processor CPU BGA</v>
      </c>
      <c r="N1707" s="17" t="n">
        <v>24</v>
      </c>
      <c r="O1707" s="17" t="str">
        <f aca="false">VLOOKUP(N1707,Sheet2!G:H,2,0)</f>
        <v>STB Auto moving -Stand by mode</v>
      </c>
      <c r="P1707" s="17" t="n">
        <v>12</v>
      </c>
      <c r="Q1707" s="17" t="str">
        <f aca="false">VLOOKUP(P1707,Sheet2!J:K,2,0)</f>
        <v>IR Declared due to Others ( IR Normal)TB</v>
      </c>
      <c r="R1707" s="17" t="s">
        <v>35</v>
      </c>
      <c r="S1707" s="17" t="str">
        <f aca="false">VLOOKUP(R1707,Sheet2!N:O,2,0)</f>
        <v>IREPARABLE</v>
      </c>
      <c r="T1707" s="18" t="str">
        <f aca="false">VLOOKUP(P1707,Sheet2!Q:R,2,0)</f>
        <v>IR Normal - BER to IR</v>
      </c>
      <c r="U1707" s="20" t="s">
        <v>135</v>
      </c>
      <c r="V1707" s="17" t="n">
        <v>12</v>
      </c>
      <c r="W1707" s="20" t="str">
        <f aca="false">VLOOKUP(V1707,Sheet2!Q:R,2,0)</f>
        <v>IR Normal - BER to IR</v>
      </c>
      <c r="X1707" s="17" t="str">
        <f aca="false">J1707</f>
        <v>A018</v>
      </c>
      <c r="Y1707" s="17" t="str">
        <f aca="false">VLOOKUP(X1707,Sheet2!A:B,2,0)</f>
        <v>PRAKASH CHAVDA</v>
      </c>
      <c r="Z1707" s="17" t="s">
        <v>150</v>
      </c>
      <c r="AA1707" s="17" t="s">
        <v>883</v>
      </c>
      <c r="AB1707" s="17" t="s">
        <v>41</v>
      </c>
      <c r="AC1707" s="0" t="str">
        <f aca="false">LEFT(G1707,2)</f>
        <v>95</v>
      </c>
      <c r="AD1707" s="0"/>
      <c r="AE1707" s="21" t="s">
        <v>238</v>
      </c>
    </row>
    <row r="1708" customFormat="false" ht="15" hidden="false" customHeight="false" outlineLevel="0" collapsed="false">
      <c r="A1708" s="13" t="n">
        <f aca="false">1+A1707</f>
        <v>1706</v>
      </c>
      <c r="B1708" s="14" t="n">
        <v>1009666716</v>
      </c>
      <c r="C1708" s="17" t="s">
        <v>436</v>
      </c>
      <c r="D1708" s="16" t="s">
        <v>154</v>
      </c>
      <c r="E1708" s="17" t="s">
        <v>91</v>
      </c>
      <c r="F1708" s="18" t="s">
        <v>34</v>
      </c>
      <c r="G1708" s="19" t="n">
        <v>954346145004</v>
      </c>
      <c r="H1708" s="17" t="s">
        <v>134</v>
      </c>
      <c r="I1708" s="17" t="s">
        <v>44</v>
      </c>
      <c r="J1708" s="17" t="s">
        <v>106</v>
      </c>
      <c r="K1708" s="17" t="str">
        <f aca="false">VLOOKUP(J1708,Sheet2!A:B,2,0)</f>
        <v>PRAKASH CHAVDA</v>
      </c>
      <c r="L1708" s="17" t="n">
        <v>5</v>
      </c>
      <c r="M1708" s="17" t="str">
        <f aca="false">VLOOKUP(L1708,Sheet2!D:E,2,0)</f>
        <v>Main Processor CPU BGA</v>
      </c>
      <c r="N1708" s="17" t="n">
        <v>24</v>
      </c>
      <c r="O1708" s="17" t="str">
        <f aca="false">VLOOKUP(N1708,Sheet2!G:H,2,0)</f>
        <v>STB Auto moving -Stand by mode</v>
      </c>
      <c r="P1708" s="17" t="n">
        <v>12</v>
      </c>
      <c r="Q1708" s="17" t="str">
        <f aca="false">VLOOKUP(P1708,Sheet2!J:K,2,0)</f>
        <v>IR Declared due to Others ( IR Normal)TB</v>
      </c>
      <c r="R1708" s="17" t="s">
        <v>35</v>
      </c>
      <c r="S1708" s="17" t="str">
        <f aca="false">VLOOKUP(R1708,Sheet2!N:O,2,0)</f>
        <v>IREPARABLE</v>
      </c>
      <c r="T1708" s="18" t="str">
        <f aca="false">VLOOKUP(P1708,Sheet2!Q:R,2,0)</f>
        <v>IR Normal - BER to IR</v>
      </c>
      <c r="U1708" s="20" t="s">
        <v>135</v>
      </c>
      <c r="V1708" s="17" t="n">
        <v>12</v>
      </c>
      <c r="W1708" s="20" t="str">
        <f aca="false">VLOOKUP(V1708,Sheet2!Q:R,2,0)</f>
        <v>IR Normal - BER to IR</v>
      </c>
      <c r="X1708" s="17" t="str">
        <f aca="false">J1708</f>
        <v>A018</v>
      </c>
      <c r="Y1708" s="17" t="str">
        <f aca="false">VLOOKUP(X1708,Sheet2!A:B,2,0)</f>
        <v>PRAKASH CHAVDA</v>
      </c>
      <c r="Z1708" s="17" t="s">
        <v>150</v>
      </c>
      <c r="AA1708" s="17" t="s">
        <v>883</v>
      </c>
      <c r="AB1708" s="17" t="s">
        <v>41</v>
      </c>
      <c r="AC1708" s="0" t="str">
        <f aca="false">LEFT(G1708,2)</f>
        <v>95</v>
      </c>
      <c r="AD1708" s="0"/>
      <c r="AE1708" s="21" t="s">
        <v>238</v>
      </c>
    </row>
    <row r="1709" customFormat="false" ht="15" hidden="false" customHeight="false" outlineLevel="0" collapsed="false">
      <c r="A1709" s="13" t="n">
        <f aca="false">1+A1708</f>
        <v>1707</v>
      </c>
      <c r="B1709" s="14" t="n">
        <v>1009529087</v>
      </c>
      <c r="C1709" s="17" t="s">
        <v>174</v>
      </c>
      <c r="D1709" s="16" t="s">
        <v>175</v>
      </c>
      <c r="E1709" s="17" t="s">
        <v>176</v>
      </c>
      <c r="F1709" s="18" t="s">
        <v>34</v>
      </c>
      <c r="G1709" s="19" t="n">
        <v>413283403041</v>
      </c>
      <c r="H1709" s="17" t="s">
        <v>134</v>
      </c>
      <c r="I1709" s="17" t="s">
        <v>44</v>
      </c>
      <c r="J1709" s="17" t="s">
        <v>106</v>
      </c>
      <c r="K1709" s="17" t="str">
        <f aca="false">VLOOKUP(J1709,Sheet2!A:B,2,0)</f>
        <v>PRAKASH CHAVDA</v>
      </c>
      <c r="L1709" s="17" t="n">
        <v>5</v>
      </c>
      <c r="M1709" s="17" t="str">
        <f aca="false">VLOOKUP(L1709,Sheet2!D:E,2,0)</f>
        <v>Main Processor CPU BGA</v>
      </c>
      <c r="N1709" s="17" t="n">
        <v>1</v>
      </c>
      <c r="O1709" s="17" t="str">
        <f aca="false">VLOOKUP(N1709,Sheet2!G:H,2,0)</f>
        <v>Dead</v>
      </c>
      <c r="P1709" s="17" t="n">
        <v>12</v>
      </c>
      <c r="Q1709" s="17" t="str">
        <f aca="false">VLOOKUP(P1709,Sheet2!J:K,2,0)</f>
        <v>IR Declared due to Others ( IR Normal)TB</v>
      </c>
      <c r="R1709" s="17" t="s">
        <v>35</v>
      </c>
      <c r="S1709" s="17" t="str">
        <f aca="false">VLOOKUP(R1709,Sheet2!N:O,2,0)</f>
        <v>IREPARABLE</v>
      </c>
      <c r="T1709" s="18" t="str">
        <f aca="false">VLOOKUP(P1709,Sheet2!Q:R,2,0)</f>
        <v>IR Normal - BER to IR</v>
      </c>
      <c r="U1709" s="20" t="s">
        <v>135</v>
      </c>
      <c r="V1709" s="17" t="n">
        <v>12</v>
      </c>
      <c r="W1709" s="20" t="str">
        <f aca="false">VLOOKUP(V1709,Sheet2!Q:R,2,0)</f>
        <v>IR Normal - BER to IR</v>
      </c>
      <c r="X1709" s="17" t="str">
        <f aca="false">J1709</f>
        <v>A018</v>
      </c>
      <c r="Y1709" s="17" t="str">
        <f aca="false">VLOOKUP(X1709,Sheet2!A:B,2,0)</f>
        <v>PRAKASH CHAVDA</v>
      </c>
      <c r="Z1709" s="17" t="s">
        <v>149</v>
      </c>
      <c r="AA1709" s="17" t="s">
        <v>883</v>
      </c>
      <c r="AB1709" s="17" t="s">
        <v>41</v>
      </c>
      <c r="AC1709" s="0" t="str">
        <f aca="false">LEFT(G1709,2)</f>
        <v>41</v>
      </c>
      <c r="AD1709" s="0"/>
      <c r="AE1709" s="21" t="s">
        <v>238</v>
      </c>
    </row>
    <row r="1710" customFormat="false" ht="15" hidden="false" customHeight="false" outlineLevel="0" collapsed="false">
      <c r="A1710" s="13" t="n">
        <f aca="false">1+A1709</f>
        <v>1708</v>
      </c>
      <c r="B1710" s="14" t="n">
        <v>1009403463</v>
      </c>
      <c r="C1710" s="17" t="s">
        <v>383</v>
      </c>
      <c r="D1710" s="16" t="s">
        <v>64</v>
      </c>
      <c r="E1710" s="17" t="s">
        <v>64</v>
      </c>
      <c r="F1710" s="18" t="s">
        <v>34</v>
      </c>
      <c r="G1710" s="19" t="n">
        <v>413315210257</v>
      </c>
      <c r="H1710" s="17" t="s">
        <v>649</v>
      </c>
      <c r="I1710" s="17" t="s">
        <v>44</v>
      </c>
      <c r="J1710" s="17" t="s">
        <v>106</v>
      </c>
      <c r="K1710" s="17" t="str">
        <f aca="false">VLOOKUP(J1710,Sheet2!A:B,2,0)</f>
        <v>PRAKASH CHAVDA</v>
      </c>
      <c r="L1710" s="17" t="n">
        <v>5</v>
      </c>
      <c r="M1710" s="17" t="str">
        <f aca="false">VLOOKUP(L1710,Sheet2!D:E,2,0)</f>
        <v>Main Processor CPU BGA</v>
      </c>
      <c r="N1710" s="17" t="n">
        <v>29</v>
      </c>
      <c r="O1710" s="17" t="str">
        <f aca="false">VLOOKUP(N1710,Sheet2!G:H,2,0)</f>
        <v>Hang and Freeze video - HDMI</v>
      </c>
      <c r="P1710" s="17" t="n">
        <v>12</v>
      </c>
      <c r="Q1710" s="17" t="str">
        <f aca="false">VLOOKUP(P1710,Sheet2!J:K,2,0)</f>
        <v>IR Declared due to Others ( IR Normal)TB</v>
      </c>
      <c r="R1710" s="17" t="s">
        <v>35</v>
      </c>
      <c r="S1710" s="17" t="str">
        <f aca="false">VLOOKUP(R1710,Sheet2!N:O,2,0)</f>
        <v>IREPARABLE</v>
      </c>
      <c r="T1710" s="18" t="str">
        <f aca="false">VLOOKUP(P1710,Sheet2!Q:R,2,0)</f>
        <v>IR Normal - BER to IR</v>
      </c>
      <c r="U1710" s="20" t="s">
        <v>135</v>
      </c>
      <c r="V1710" s="17" t="n">
        <v>12</v>
      </c>
      <c r="W1710" s="20" t="str">
        <f aca="false">VLOOKUP(V1710,Sheet2!Q:R,2,0)</f>
        <v>IR Normal - BER to IR</v>
      </c>
      <c r="X1710" s="17" t="str">
        <f aca="false">J1710</f>
        <v>A018</v>
      </c>
      <c r="Y1710" s="17" t="str">
        <f aca="false">VLOOKUP(X1710,Sheet2!A:B,2,0)</f>
        <v>PRAKASH CHAVDA</v>
      </c>
      <c r="Z1710" s="17" t="s">
        <v>149</v>
      </c>
      <c r="AA1710" s="17" t="s">
        <v>883</v>
      </c>
      <c r="AB1710" s="17" t="s">
        <v>41</v>
      </c>
      <c r="AC1710" s="0" t="str">
        <f aca="false">LEFT(G1710,2)</f>
        <v>41</v>
      </c>
      <c r="AD1710" s="0"/>
      <c r="AE1710" s="21" t="s">
        <v>238</v>
      </c>
    </row>
    <row r="1711" customFormat="false" ht="15" hidden="false" customHeight="false" outlineLevel="0" collapsed="false">
      <c r="A1711" s="13" t="n">
        <f aca="false">1+A1710</f>
        <v>1709</v>
      </c>
      <c r="B1711" s="14" t="n">
        <v>1009612355</v>
      </c>
      <c r="C1711" s="17" t="s">
        <v>181</v>
      </c>
      <c r="D1711" s="16" t="s">
        <v>64</v>
      </c>
      <c r="E1711" s="17" t="s">
        <v>64</v>
      </c>
      <c r="F1711" s="18" t="s">
        <v>34</v>
      </c>
      <c r="G1711" s="19" t="n">
        <v>413267417215</v>
      </c>
      <c r="H1711" s="17" t="s">
        <v>649</v>
      </c>
      <c r="I1711" s="17" t="s">
        <v>44</v>
      </c>
      <c r="J1711" s="17" t="s">
        <v>106</v>
      </c>
      <c r="K1711" s="17" t="str">
        <f aca="false">VLOOKUP(J1711,Sheet2!A:B,2,0)</f>
        <v>PRAKASH CHAVDA</v>
      </c>
      <c r="L1711" s="17" t="n">
        <v>5</v>
      </c>
      <c r="M1711" s="17" t="str">
        <f aca="false">VLOOKUP(L1711,Sheet2!D:E,2,0)</f>
        <v>Main Processor CPU BGA</v>
      </c>
      <c r="N1711" s="17" t="n">
        <v>1</v>
      </c>
      <c r="O1711" s="17" t="str">
        <f aca="false">VLOOKUP(N1711,Sheet2!G:H,2,0)</f>
        <v>Dead</v>
      </c>
      <c r="P1711" s="17" t="n">
        <v>12</v>
      </c>
      <c r="Q1711" s="17" t="str">
        <f aca="false">VLOOKUP(P1711,Sheet2!J:K,2,0)</f>
        <v>IR Declared due to Others ( IR Normal)TB</v>
      </c>
      <c r="R1711" s="17" t="s">
        <v>35</v>
      </c>
      <c r="S1711" s="17" t="str">
        <f aca="false">VLOOKUP(R1711,Sheet2!N:O,2,0)</f>
        <v>IREPARABLE</v>
      </c>
      <c r="T1711" s="18" t="str">
        <f aca="false">VLOOKUP(P1711,Sheet2!Q:R,2,0)</f>
        <v>IR Normal - BER to IR</v>
      </c>
      <c r="U1711" s="20" t="s">
        <v>135</v>
      </c>
      <c r="V1711" s="17" t="n">
        <v>12</v>
      </c>
      <c r="W1711" s="20" t="str">
        <f aca="false">VLOOKUP(V1711,Sheet2!Q:R,2,0)</f>
        <v>IR Normal - BER to IR</v>
      </c>
      <c r="X1711" s="17" t="str">
        <f aca="false">J1711</f>
        <v>A018</v>
      </c>
      <c r="Y1711" s="17" t="str">
        <f aca="false">VLOOKUP(X1711,Sheet2!A:B,2,0)</f>
        <v>PRAKASH CHAVDA</v>
      </c>
      <c r="Z1711" s="17" t="s">
        <v>149</v>
      </c>
      <c r="AA1711" s="17" t="s">
        <v>883</v>
      </c>
      <c r="AB1711" s="17" t="s">
        <v>41</v>
      </c>
      <c r="AC1711" s="0" t="str">
        <f aca="false">LEFT(G1711,2)</f>
        <v>41</v>
      </c>
      <c r="AD1711" s="0"/>
      <c r="AE1711" s="21" t="s">
        <v>238</v>
      </c>
    </row>
    <row r="1712" customFormat="false" ht="15" hidden="false" customHeight="false" outlineLevel="0" collapsed="false">
      <c r="A1712" s="13" t="n">
        <f aca="false">1+A1711</f>
        <v>1710</v>
      </c>
      <c r="B1712" s="14" t="n">
        <v>1009091721</v>
      </c>
      <c r="C1712" s="17" t="s">
        <v>414</v>
      </c>
      <c r="D1712" s="16" t="s">
        <v>889</v>
      </c>
      <c r="E1712" s="17" t="s">
        <v>890</v>
      </c>
      <c r="F1712" s="18" t="s">
        <v>34</v>
      </c>
      <c r="G1712" s="19" t="n">
        <v>133338100372</v>
      </c>
      <c r="H1712" s="17" t="s">
        <v>134</v>
      </c>
      <c r="I1712" s="17" t="s">
        <v>44</v>
      </c>
      <c r="J1712" s="17" t="s">
        <v>106</v>
      </c>
      <c r="K1712" s="17" t="str">
        <f aca="false">VLOOKUP(J1712,Sheet2!A:B,2,0)</f>
        <v>PRAKASH CHAVDA</v>
      </c>
      <c r="L1712" s="17" t="n">
        <v>5</v>
      </c>
      <c r="M1712" s="17" t="str">
        <f aca="false">VLOOKUP(L1712,Sheet2!D:E,2,0)</f>
        <v>Main Processor CPU BGA</v>
      </c>
      <c r="N1712" s="17" t="n">
        <v>24</v>
      </c>
      <c r="O1712" s="17" t="str">
        <f aca="false">VLOOKUP(N1712,Sheet2!G:H,2,0)</f>
        <v>STB Auto moving -Stand by mode</v>
      </c>
      <c r="P1712" s="17" t="n">
        <v>12</v>
      </c>
      <c r="Q1712" s="17" t="str">
        <f aca="false">VLOOKUP(P1712,Sheet2!J:K,2,0)</f>
        <v>IR Declared due to Others ( IR Normal)TB</v>
      </c>
      <c r="R1712" s="17" t="s">
        <v>35</v>
      </c>
      <c r="S1712" s="17" t="str">
        <f aca="false">VLOOKUP(R1712,Sheet2!N:O,2,0)</f>
        <v>IREPARABLE</v>
      </c>
      <c r="T1712" s="18" t="str">
        <f aca="false">VLOOKUP(P1712,Sheet2!Q:R,2,0)</f>
        <v>IR Normal - BER to IR</v>
      </c>
      <c r="U1712" s="20" t="s">
        <v>135</v>
      </c>
      <c r="V1712" s="17" t="n">
        <v>12</v>
      </c>
      <c r="W1712" s="20" t="str">
        <f aca="false">VLOOKUP(V1712,Sheet2!Q:R,2,0)</f>
        <v>IR Normal - BER to IR</v>
      </c>
      <c r="X1712" s="17" t="str">
        <f aca="false">J1712</f>
        <v>A018</v>
      </c>
      <c r="Y1712" s="17" t="str">
        <f aca="false">VLOOKUP(X1712,Sheet2!A:B,2,0)</f>
        <v>PRAKASH CHAVDA</v>
      </c>
      <c r="Z1712" s="17" t="s">
        <v>136</v>
      </c>
      <c r="AA1712" s="17" t="s">
        <v>883</v>
      </c>
      <c r="AB1712" s="17" t="s">
        <v>41</v>
      </c>
      <c r="AC1712" s="0" t="str">
        <f aca="false">LEFT(G1712,2)</f>
        <v>13</v>
      </c>
      <c r="AD1712" s="0"/>
      <c r="AE1712" s="21" t="s">
        <v>238</v>
      </c>
    </row>
    <row r="1713" customFormat="false" ht="15" hidden="false" customHeight="false" outlineLevel="0" collapsed="false">
      <c r="A1713" s="13" t="n">
        <f aca="false">1+A1712</f>
        <v>1711</v>
      </c>
      <c r="B1713" s="14" t="n">
        <v>1009091263</v>
      </c>
      <c r="C1713" s="17" t="s">
        <v>414</v>
      </c>
      <c r="D1713" s="16" t="s">
        <v>64</v>
      </c>
      <c r="E1713" s="17" t="s">
        <v>64</v>
      </c>
      <c r="F1713" s="18" t="s">
        <v>34</v>
      </c>
      <c r="G1713" s="19" t="n">
        <v>134056351684</v>
      </c>
      <c r="H1713" s="17" t="s">
        <v>134</v>
      </c>
      <c r="I1713" s="17" t="s">
        <v>44</v>
      </c>
      <c r="J1713" s="17" t="s">
        <v>106</v>
      </c>
      <c r="K1713" s="17" t="str">
        <f aca="false">VLOOKUP(J1713,Sheet2!A:B,2,0)</f>
        <v>PRAKASH CHAVDA</v>
      </c>
      <c r="L1713" s="17" t="n">
        <v>5</v>
      </c>
      <c r="M1713" s="17" t="str">
        <f aca="false">VLOOKUP(L1713,Sheet2!D:E,2,0)</f>
        <v>Main Processor CPU BGA</v>
      </c>
      <c r="N1713" s="17" t="n">
        <v>24</v>
      </c>
      <c r="O1713" s="17" t="str">
        <f aca="false">VLOOKUP(N1713,Sheet2!G:H,2,0)</f>
        <v>STB Auto moving -Stand by mode</v>
      </c>
      <c r="P1713" s="17" t="n">
        <v>12</v>
      </c>
      <c r="Q1713" s="17" t="str">
        <f aca="false">VLOOKUP(P1713,Sheet2!J:K,2,0)</f>
        <v>IR Declared due to Others ( IR Normal)TB</v>
      </c>
      <c r="R1713" s="17" t="s">
        <v>35</v>
      </c>
      <c r="S1713" s="17" t="str">
        <f aca="false">VLOOKUP(R1713,Sheet2!N:O,2,0)</f>
        <v>IREPARABLE</v>
      </c>
      <c r="T1713" s="18" t="str">
        <f aca="false">VLOOKUP(P1713,Sheet2!Q:R,2,0)</f>
        <v>IR Normal - BER to IR</v>
      </c>
      <c r="U1713" s="20" t="s">
        <v>135</v>
      </c>
      <c r="V1713" s="17" t="n">
        <v>12</v>
      </c>
      <c r="W1713" s="20" t="str">
        <f aca="false">VLOOKUP(V1713,Sheet2!Q:R,2,0)</f>
        <v>IR Normal - BER to IR</v>
      </c>
      <c r="X1713" s="17" t="str">
        <f aca="false">J1713</f>
        <v>A018</v>
      </c>
      <c r="Y1713" s="17" t="str">
        <f aca="false">VLOOKUP(X1713,Sheet2!A:B,2,0)</f>
        <v>PRAKASH CHAVDA</v>
      </c>
      <c r="Z1713" s="17" t="s">
        <v>136</v>
      </c>
      <c r="AA1713" s="17" t="s">
        <v>883</v>
      </c>
      <c r="AB1713" s="17" t="s">
        <v>41</v>
      </c>
      <c r="AC1713" s="0" t="str">
        <f aca="false">LEFT(G1713,2)</f>
        <v>13</v>
      </c>
      <c r="AE1713" s="21" t="s">
        <v>238</v>
      </c>
    </row>
    <row r="1714" customFormat="false" ht="15" hidden="false" customHeight="false" outlineLevel="0" collapsed="false">
      <c r="A1714" s="13" t="n">
        <f aca="false">1+A1713</f>
        <v>1712</v>
      </c>
      <c r="B1714" s="14" t="n">
        <v>1009092173</v>
      </c>
      <c r="C1714" s="17" t="s">
        <v>229</v>
      </c>
      <c r="D1714" s="16" t="s">
        <v>64</v>
      </c>
      <c r="E1714" s="17" t="s">
        <v>64</v>
      </c>
      <c r="F1714" s="18" t="s">
        <v>34</v>
      </c>
      <c r="G1714" s="19" t="n">
        <v>134203162091</v>
      </c>
      <c r="H1714" s="17" t="s">
        <v>134</v>
      </c>
      <c r="I1714" s="17" t="s">
        <v>44</v>
      </c>
      <c r="J1714" s="17" t="s">
        <v>106</v>
      </c>
      <c r="K1714" s="17" t="str">
        <f aca="false">VLOOKUP(J1714,Sheet2!A:B,2,0)</f>
        <v>PRAKASH CHAVDA</v>
      </c>
      <c r="L1714" s="17" t="n">
        <v>5</v>
      </c>
      <c r="M1714" s="17" t="str">
        <f aca="false">VLOOKUP(L1714,Sheet2!D:E,2,0)</f>
        <v>Main Processor CPU BGA</v>
      </c>
      <c r="N1714" s="17" t="n">
        <v>24</v>
      </c>
      <c r="O1714" s="17" t="str">
        <f aca="false">VLOOKUP(N1714,Sheet2!G:H,2,0)</f>
        <v>STB Auto moving -Stand by mode</v>
      </c>
      <c r="P1714" s="17" t="n">
        <v>12</v>
      </c>
      <c r="Q1714" s="17" t="str">
        <f aca="false">VLOOKUP(P1714,Sheet2!J:K,2,0)</f>
        <v>IR Declared due to Others ( IR Normal)TB</v>
      </c>
      <c r="R1714" s="17" t="s">
        <v>35</v>
      </c>
      <c r="S1714" s="17" t="str">
        <f aca="false">VLOOKUP(R1714,Sheet2!N:O,2,0)</f>
        <v>IREPARABLE</v>
      </c>
      <c r="T1714" s="18" t="str">
        <f aca="false">VLOOKUP(P1714,Sheet2!Q:R,2,0)</f>
        <v>IR Normal - BER to IR</v>
      </c>
      <c r="U1714" s="20" t="s">
        <v>135</v>
      </c>
      <c r="V1714" s="17" t="n">
        <v>12</v>
      </c>
      <c r="W1714" s="20" t="str">
        <f aca="false">VLOOKUP(V1714,Sheet2!Q:R,2,0)</f>
        <v>IR Normal - BER to IR</v>
      </c>
      <c r="X1714" s="17" t="str">
        <f aca="false">J1714</f>
        <v>A018</v>
      </c>
      <c r="Y1714" s="17" t="str">
        <f aca="false">VLOOKUP(X1714,Sheet2!A:B,2,0)</f>
        <v>PRAKASH CHAVDA</v>
      </c>
      <c r="Z1714" s="17" t="s">
        <v>136</v>
      </c>
      <c r="AA1714" s="17" t="s">
        <v>883</v>
      </c>
      <c r="AB1714" s="17" t="s">
        <v>41</v>
      </c>
      <c r="AC1714" s="0" t="str">
        <f aca="false">LEFT(G1714,2)</f>
        <v>13</v>
      </c>
      <c r="AE1714" s="21" t="s">
        <v>238</v>
      </c>
    </row>
    <row r="1715" customFormat="false" ht="15" hidden="false" customHeight="false" outlineLevel="0" collapsed="false">
      <c r="A1715" s="13" t="n">
        <f aca="false">1+A1714</f>
        <v>1713</v>
      </c>
      <c r="B1715" s="14" t="n">
        <v>1009613261</v>
      </c>
      <c r="C1715" s="17" t="s">
        <v>184</v>
      </c>
      <c r="D1715" s="16" t="s">
        <v>64</v>
      </c>
      <c r="E1715" s="17" t="s">
        <v>64</v>
      </c>
      <c r="F1715" s="18" t="s">
        <v>34</v>
      </c>
      <c r="G1715" s="19" t="n">
        <v>134114071530</v>
      </c>
      <c r="H1715" s="17" t="s">
        <v>134</v>
      </c>
      <c r="I1715" s="17" t="s">
        <v>44</v>
      </c>
      <c r="J1715" s="17" t="s">
        <v>106</v>
      </c>
      <c r="K1715" s="17" t="str">
        <f aca="false">VLOOKUP(J1715,Sheet2!A:B,2,0)</f>
        <v>PRAKASH CHAVDA</v>
      </c>
      <c r="L1715" s="17" t="n">
        <v>5</v>
      </c>
      <c r="M1715" s="17" t="str">
        <f aca="false">VLOOKUP(L1715,Sheet2!D:E,2,0)</f>
        <v>Main Processor CPU BGA</v>
      </c>
      <c r="N1715" s="17" t="n">
        <v>24</v>
      </c>
      <c r="O1715" s="17" t="str">
        <f aca="false">VLOOKUP(N1715,Sheet2!G:H,2,0)</f>
        <v>STB Auto moving -Stand by mode</v>
      </c>
      <c r="P1715" s="17" t="n">
        <v>12</v>
      </c>
      <c r="Q1715" s="17" t="str">
        <f aca="false">VLOOKUP(P1715,Sheet2!J:K,2,0)</f>
        <v>IR Declared due to Others ( IR Normal)TB</v>
      </c>
      <c r="R1715" s="17" t="s">
        <v>35</v>
      </c>
      <c r="S1715" s="17" t="str">
        <f aca="false">VLOOKUP(R1715,Sheet2!N:O,2,0)</f>
        <v>IREPARABLE</v>
      </c>
      <c r="T1715" s="18" t="str">
        <f aca="false">VLOOKUP(P1715,Sheet2!Q:R,2,0)</f>
        <v>IR Normal - BER to IR</v>
      </c>
      <c r="U1715" s="20" t="s">
        <v>135</v>
      </c>
      <c r="V1715" s="17" t="n">
        <v>12</v>
      </c>
      <c r="W1715" s="20" t="str">
        <f aca="false">VLOOKUP(V1715,Sheet2!Q:R,2,0)</f>
        <v>IR Normal - BER to IR</v>
      </c>
      <c r="X1715" s="17" t="str">
        <f aca="false">J1715</f>
        <v>A018</v>
      </c>
      <c r="Y1715" s="17" t="str">
        <f aca="false">VLOOKUP(X1715,Sheet2!A:B,2,0)</f>
        <v>PRAKASH CHAVDA</v>
      </c>
      <c r="Z1715" s="17" t="s">
        <v>136</v>
      </c>
      <c r="AA1715" s="17" t="s">
        <v>883</v>
      </c>
      <c r="AB1715" s="17" t="s">
        <v>41</v>
      </c>
      <c r="AC1715" s="0" t="str">
        <f aca="false">LEFT(G1715,2)</f>
        <v>13</v>
      </c>
      <c r="AE1715" s="21" t="s">
        <v>238</v>
      </c>
    </row>
    <row r="1716" customFormat="false" ht="15" hidden="false" customHeight="false" outlineLevel="0" collapsed="false">
      <c r="A1716" s="13" t="n">
        <f aca="false">1+A1715</f>
        <v>1714</v>
      </c>
      <c r="B1716" s="14" t="n">
        <v>1009092206</v>
      </c>
      <c r="C1716" s="17" t="s">
        <v>414</v>
      </c>
      <c r="D1716" s="16" t="s">
        <v>64</v>
      </c>
      <c r="E1716" s="17" t="s">
        <v>64</v>
      </c>
      <c r="F1716" s="18" t="s">
        <v>34</v>
      </c>
      <c r="G1716" s="19" t="n">
        <v>134317066311</v>
      </c>
      <c r="H1716" s="17" t="s">
        <v>649</v>
      </c>
      <c r="I1716" s="17" t="s">
        <v>44</v>
      </c>
      <c r="J1716" s="17" t="s">
        <v>106</v>
      </c>
      <c r="K1716" s="17" t="str">
        <f aca="false">VLOOKUP(J1716,Sheet2!A:B,2,0)</f>
        <v>PRAKASH CHAVDA</v>
      </c>
      <c r="L1716" s="17" t="n">
        <v>8</v>
      </c>
      <c r="M1716" s="17" t="str">
        <f aca="false">VLOOKUP(L1716,Sheet2!D:E,2,0)</f>
        <v>Front Panel PCB Section</v>
      </c>
      <c r="N1716" s="17" t="n">
        <v>25</v>
      </c>
      <c r="O1716" s="17" t="str">
        <f aca="false">VLOOKUP(N1716,Sheet2!G:H,2,0)</f>
        <v>STB Not Responding  form RCU</v>
      </c>
      <c r="P1716" s="17" t="n">
        <v>12</v>
      </c>
      <c r="Q1716" s="17" t="str">
        <f aca="false">VLOOKUP(P1716,Sheet2!J:K,2,0)</f>
        <v>IR Declared due to Others ( IR Normal)TB</v>
      </c>
      <c r="R1716" s="17" t="s">
        <v>35</v>
      </c>
      <c r="S1716" s="17" t="str">
        <f aca="false">VLOOKUP(R1716,Sheet2!N:O,2,0)</f>
        <v>IREPARABLE</v>
      </c>
      <c r="T1716" s="18" t="str">
        <f aca="false">VLOOKUP(P1716,Sheet2!Q:R,2,0)</f>
        <v>IR Normal - BER to IR</v>
      </c>
      <c r="U1716" s="20" t="s">
        <v>135</v>
      </c>
      <c r="V1716" s="17" t="n">
        <v>12</v>
      </c>
      <c r="W1716" s="20" t="str">
        <f aca="false">VLOOKUP(V1716,Sheet2!Q:R,2,0)</f>
        <v>IR Normal - BER to IR</v>
      </c>
      <c r="X1716" s="17" t="str">
        <f aca="false">J1716</f>
        <v>A018</v>
      </c>
      <c r="Y1716" s="17" t="str">
        <f aca="false">VLOOKUP(X1716,Sheet2!A:B,2,0)</f>
        <v>PRAKASH CHAVDA</v>
      </c>
      <c r="Z1716" s="17" t="s">
        <v>136</v>
      </c>
      <c r="AA1716" s="17" t="s">
        <v>883</v>
      </c>
      <c r="AB1716" s="17" t="s">
        <v>41</v>
      </c>
      <c r="AC1716" s="0" t="str">
        <f aca="false">LEFT(G1716,2)</f>
        <v>13</v>
      </c>
      <c r="AE1716" s="21" t="s">
        <v>238</v>
      </c>
    </row>
    <row r="1717" customFormat="false" ht="15" hidden="false" customHeight="false" outlineLevel="0" collapsed="false">
      <c r="A1717" s="13" t="n">
        <f aca="false">1+A1716</f>
        <v>1715</v>
      </c>
      <c r="B1717" s="14" t="n">
        <v>1009092091</v>
      </c>
      <c r="C1717" s="17" t="s">
        <v>414</v>
      </c>
      <c r="D1717" s="16" t="s">
        <v>64</v>
      </c>
      <c r="E1717" s="17" t="s">
        <v>64</v>
      </c>
      <c r="F1717" s="18" t="s">
        <v>34</v>
      </c>
      <c r="G1717" s="19" t="n">
        <v>134106553339</v>
      </c>
      <c r="H1717" s="17" t="s">
        <v>134</v>
      </c>
      <c r="I1717" s="17" t="s">
        <v>44</v>
      </c>
      <c r="J1717" s="17" t="s">
        <v>106</v>
      </c>
      <c r="K1717" s="17" t="str">
        <f aca="false">VLOOKUP(J1717,Sheet2!A:B,2,0)</f>
        <v>PRAKASH CHAVDA</v>
      </c>
      <c r="L1717" s="17" t="n">
        <v>5</v>
      </c>
      <c r="M1717" s="17" t="str">
        <f aca="false">VLOOKUP(L1717,Sheet2!D:E,2,0)</f>
        <v>Main Processor CPU BGA</v>
      </c>
      <c r="N1717" s="17" t="n">
        <v>24</v>
      </c>
      <c r="O1717" s="17" t="str">
        <f aca="false">VLOOKUP(N1717,Sheet2!G:H,2,0)</f>
        <v>STB Auto moving -Stand by mode</v>
      </c>
      <c r="P1717" s="17" t="n">
        <v>12</v>
      </c>
      <c r="Q1717" s="17" t="str">
        <f aca="false">VLOOKUP(P1717,Sheet2!J:K,2,0)</f>
        <v>IR Declared due to Others ( IR Normal)TB</v>
      </c>
      <c r="R1717" s="17" t="s">
        <v>35</v>
      </c>
      <c r="S1717" s="17" t="str">
        <f aca="false">VLOOKUP(R1717,Sheet2!N:O,2,0)</f>
        <v>IREPARABLE</v>
      </c>
      <c r="T1717" s="18" t="str">
        <f aca="false">VLOOKUP(P1717,Sheet2!Q:R,2,0)</f>
        <v>IR Normal - BER to IR</v>
      </c>
      <c r="U1717" s="20" t="s">
        <v>135</v>
      </c>
      <c r="V1717" s="17" t="n">
        <v>12</v>
      </c>
      <c r="W1717" s="20" t="str">
        <f aca="false">VLOOKUP(V1717,Sheet2!Q:R,2,0)</f>
        <v>IR Normal - BER to IR</v>
      </c>
      <c r="X1717" s="17" t="str">
        <f aca="false">J1717</f>
        <v>A018</v>
      </c>
      <c r="Y1717" s="17" t="str">
        <f aca="false">VLOOKUP(X1717,Sheet2!A:B,2,0)</f>
        <v>PRAKASH CHAVDA</v>
      </c>
      <c r="Z1717" s="17" t="s">
        <v>136</v>
      </c>
      <c r="AA1717" s="17" t="s">
        <v>883</v>
      </c>
      <c r="AB1717" s="17" t="s">
        <v>41</v>
      </c>
      <c r="AC1717" s="0" t="str">
        <f aca="false">LEFT(G1717,2)</f>
        <v>13</v>
      </c>
      <c r="AE1717" s="21" t="s">
        <v>238</v>
      </c>
    </row>
    <row r="1718" customFormat="false" ht="15" hidden="false" customHeight="false" outlineLevel="0" collapsed="false">
      <c r="A1718" s="13" t="n">
        <f aca="false">1+A1717</f>
        <v>1716</v>
      </c>
      <c r="B1718" s="14" t="n">
        <v>1008449996</v>
      </c>
      <c r="C1718" s="17" t="s">
        <v>891</v>
      </c>
      <c r="D1718" s="16" t="s">
        <v>213</v>
      </c>
      <c r="E1718" s="17" t="s">
        <v>91</v>
      </c>
      <c r="F1718" s="18" t="s">
        <v>34</v>
      </c>
      <c r="G1718" s="19" t="n">
        <v>134283029848</v>
      </c>
      <c r="H1718" s="17" t="s">
        <v>647</v>
      </c>
      <c r="I1718" s="17" t="s">
        <v>44</v>
      </c>
      <c r="J1718" s="17" t="s">
        <v>106</v>
      </c>
      <c r="K1718" s="17" t="str">
        <f aca="false">VLOOKUP(J1718,Sheet2!A:B,2,0)</f>
        <v>PRAKASH CHAVDA</v>
      </c>
      <c r="L1718" s="17" t="n">
        <v>1</v>
      </c>
      <c r="M1718" s="17" t="str">
        <f aca="false">VLOOKUP(L1718,Sheet2!D:E,2,0)</f>
        <v>Power Supply Section</v>
      </c>
      <c r="N1718" s="17" t="n">
        <v>1</v>
      </c>
      <c r="O1718" s="17" t="str">
        <f aca="false">VLOOKUP(N1718,Sheet2!G:H,2,0)</f>
        <v>Dead</v>
      </c>
      <c r="P1718" s="17" t="n">
        <v>12</v>
      </c>
      <c r="Q1718" s="17" t="str">
        <f aca="false">VLOOKUP(P1718,Sheet2!J:K,2,0)</f>
        <v>IR Declared due to Others ( IR Normal)TB</v>
      </c>
      <c r="R1718" s="17" t="s">
        <v>35</v>
      </c>
      <c r="S1718" s="17" t="str">
        <f aca="false">VLOOKUP(R1718,Sheet2!N:O,2,0)</f>
        <v>IREPARABLE</v>
      </c>
      <c r="T1718" s="18" t="str">
        <f aca="false">VLOOKUP(P1718,Sheet2!Q:R,2,0)</f>
        <v>IR Normal - BER to IR</v>
      </c>
      <c r="U1718" s="20" t="s">
        <v>135</v>
      </c>
      <c r="V1718" s="17" t="n">
        <v>12</v>
      </c>
      <c r="W1718" s="20" t="str">
        <f aca="false">VLOOKUP(V1718,Sheet2!Q:R,2,0)</f>
        <v>IR Normal - BER to IR</v>
      </c>
      <c r="X1718" s="17" t="str">
        <f aca="false">J1718</f>
        <v>A018</v>
      </c>
      <c r="Y1718" s="17" t="str">
        <f aca="false">VLOOKUP(X1718,Sheet2!A:B,2,0)</f>
        <v>PRAKASH CHAVDA</v>
      </c>
      <c r="Z1718" s="17" t="s">
        <v>504</v>
      </c>
      <c r="AA1718" s="17" t="s">
        <v>883</v>
      </c>
      <c r="AB1718" s="17" t="s">
        <v>41</v>
      </c>
      <c r="AC1718" s="0" t="str">
        <f aca="false">LEFT(G1718,2)</f>
        <v>13</v>
      </c>
      <c r="AE1718" s="21" t="s">
        <v>238</v>
      </c>
    </row>
    <row r="1719" customFormat="false" ht="15" hidden="false" customHeight="false" outlineLevel="0" collapsed="false">
      <c r="A1719" s="13" t="n">
        <f aca="false">1+A1718</f>
        <v>1717</v>
      </c>
      <c r="B1719" s="14" t="n">
        <v>1007161571</v>
      </c>
      <c r="C1719" s="17" t="s">
        <v>892</v>
      </c>
      <c r="D1719" s="16" t="s">
        <v>64</v>
      </c>
      <c r="E1719" s="17" t="s">
        <v>460</v>
      </c>
      <c r="F1719" s="18" t="s">
        <v>34</v>
      </c>
      <c r="G1719" s="19" t="n">
        <v>134119085220</v>
      </c>
      <c r="H1719" s="17" t="s">
        <v>649</v>
      </c>
      <c r="I1719" s="17" t="s">
        <v>44</v>
      </c>
      <c r="J1719" s="17" t="s">
        <v>106</v>
      </c>
      <c r="K1719" s="17" t="str">
        <f aca="false">VLOOKUP(J1719,Sheet2!A:B,2,0)</f>
        <v>PRAKASH CHAVDA</v>
      </c>
      <c r="L1719" s="17" t="n">
        <v>5</v>
      </c>
      <c r="M1719" s="17" t="str">
        <f aca="false">VLOOKUP(L1719,Sheet2!D:E,2,0)</f>
        <v>Main Processor CPU BGA</v>
      </c>
      <c r="N1719" s="17" t="n">
        <v>1</v>
      </c>
      <c r="O1719" s="17" t="str">
        <f aca="false">VLOOKUP(N1719,Sheet2!G:H,2,0)</f>
        <v>Dead</v>
      </c>
      <c r="P1719" s="17" t="n">
        <v>12</v>
      </c>
      <c r="Q1719" s="17" t="str">
        <f aca="false">VLOOKUP(P1719,Sheet2!J:K,2,0)</f>
        <v>IR Declared due to Others ( IR Normal)TB</v>
      </c>
      <c r="R1719" s="17" t="s">
        <v>35</v>
      </c>
      <c r="S1719" s="17" t="str">
        <f aca="false">VLOOKUP(R1719,Sheet2!N:O,2,0)</f>
        <v>IREPARABLE</v>
      </c>
      <c r="T1719" s="18" t="str">
        <f aca="false">VLOOKUP(P1719,Sheet2!Q:R,2,0)</f>
        <v>IR Normal - BER to IR</v>
      </c>
      <c r="U1719" s="20" t="s">
        <v>135</v>
      </c>
      <c r="V1719" s="17" t="n">
        <v>12</v>
      </c>
      <c r="W1719" s="20" t="str">
        <f aca="false">VLOOKUP(V1719,Sheet2!Q:R,2,0)</f>
        <v>IR Normal - BER to IR</v>
      </c>
      <c r="X1719" s="17" t="str">
        <f aca="false">J1719</f>
        <v>A018</v>
      </c>
      <c r="Y1719" s="17" t="str">
        <f aca="false">VLOOKUP(X1719,Sheet2!A:B,2,0)</f>
        <v>PRAKASH CHAVDA</v>
      </c>
      <c r="Z1719" s="17" t="s">
        <v>136</v>
      </c>
      <c r="AA1719" s="17" t="s">
        <v>883</v>
      </c>
      <c r="AB1719" s="17" t="s">
        <v>41</v>
      </c>
      <c r="AC1719" s="0" t="str">
        <f aca="false">LEFT(G1719,2)</f>
        <v>13</v>
      </c>
      <c r="AE1719" s="21" t="s">
        <v>238</v>
      </c>
    </row>
    <row r="1720" customFormat="false" ht="15" hidden="false" customHeight="false" outlineLevel="0" collapsed="false">
      <c r="A1720" s="13" t="n">
        <f aca="false">1+A1719</f>
        <v>1718</v>
      </c>
      <c r="B1720" s="14" t="n">
        <v>1008513384</v>
      </c>
      <c r="C1720" s="17" t="s">
        <v>483</v>
      </c>
      <c r="D1720" s="16" t="s">
        <v>64</v>
      </c>
      <c r="E1720" s="17" t="s">
        <v>47</v>
      </c>
      <c r="F1720" s="18" t="s">
        <v>34</v>
      </c>
      <c r="G1720" s="19" t="n">
        <v>134024507664</v>
      </c>
      <c r="H1720" s="17" t="s">
        <v>649</v>
      </c>
      <c r="I1720" s="17" t="s">
        <v>44</v>
      </c>
      <c r="J1720" s="17" t="s">
        <v>106</v>
      </c>
      <c r="K1720" s="17" t="str">
        <f aca="false">VLOOKUP(J1720,Sheet2!A:B,2,0)</f>
        <v>PRAKASH CHAVDA</v>
      </c>
      <c r="L1720" s="17" t="n">
        <v>5</v>
      </c>
      <c r="M1720" s="17" t="str">
        <f aca="false">VLOOKUP(L1720,Sheet2!D:E,2,0)</f>
        <v>Main Processor CPU BGA</v>
      </c>
      <c r="N1720" s="17" t="n">
        <v>24</v>
      </c>
      <c r="O1720" s="17" t="str">
        <f aca="false">VLOOKUP(N1720,Sheet2!G:H,2,0)</f>
        <v>STB Auto moving -Stand by mode</v>
      </c>
      <c r="P1720" s="17" t="n">
        <v>12</v>
      </c>
      <c r="Q1720" s="17" t="str">
        <f aca="false">VLOOKUP(P1720,Sheet2!J:K,2,0)</f>
        <v>IR Declared due to Others ( IR Normal)TB</v>
      </c>
      <c r="R1720" s="17" t="s">
        <v>35</v>
      </c>
      <c r="S1720" s="17" t="str">
        <f aca="false">VLOOKUP(R1720,Sheet2!N:O,2,0)</f>
        <v>IREPARABLE</v>
      </c>
      <c r="T1720" s="18" t="str">
        <f aca="false">VLOOKUP(P1720,Sheet2!Q:R,2,0)</f>
        <v>IR Normal - BER to IR</v>
      </c>
      <c r="U1720" s="20" t="s">
        <v>135</v>
      </c>
      <c r="V1720" s="17" t="n">
        <v>12</v>
      </c>
      <c r="W1720" s="20" t="str">
        <f aca="false">VLOOKUP(V1720,Sheet2!Q:R,2,0)</f>
        <v>IR Normal - BER to IR</v>
      </c>
      <c r="X1720" s="17" t="str">
        <f aca="false">J1720</f>
        <v>A018</v>
      </c>
      <c r="Y1720" s="17" t="str">
        <f aca="false">VLOOKUP(X1720,Sheet2!A:B,2,0)</f>
        <v>PRAKASH CHAVDA</v>
      </c>
      <c r="Z1720" s="17" t="s">
        <v>136</v>
      </c>
      <c r="AA1720" s="17" t="s">
        <v>883</v>
      </c>
      <c r="AB1720" s="17" t="s">
        <v>41</v>
      </c>
      <c r="AC1720" s="0" t="str">
        <f aca="false">LEFT(G1720,2)</f>
        <v>13</v>
      </c>
      <c r="AE1720" s="21" t="s">
        <v>238</v>
      </c>
    </row>
    <row r="1721" customFormat="false" ht="15" hidden="false" customHeight="false" outlineLevel="0" collapsed="false">
      <c r="A1721" s="13" t="n">
        <f aca="false">1+A1720</f>
        <v>1719</v>
      </c>
      <c r="B1721" s="14" t="n">
        <v>1009601772</v>
      </c>
      <c r="C1721" s="17" t="s">
        <v>159</v>
      </c>
      <c r="D1721" s="16" t="s">
        <v>64</v>
      </c>
      <c r="E1721" s="17" t="s">
        <v>64</v>
      </c>
      <c r="F1721" s="18" t="s">
        <v>34</v>
      </c>
      <c r="G1721" s="19" t="n">
        <v>775213063073</v>
      </c>
      <c r="H1721" s="17" t="s">
        <v>649</v>
      </c>
      <c r="I1721" s="17" t="s">
        <v>69</v>
      </c>
      <c r="J1721" s="17" t="s">
        <v>106</v>
      </c>
      <c r="K1721" s="17" t="str">
        <f aca="false">VLOOKUP(J1721,Sheet2!A:B,2,0)</f>
        <v>PRAKASH CHAVDA</v>
      </c>
      <c r="L1721" s="17" t="n">
        <v>1</v>
      </c>
      <c r="M1721" s="17" t="str">
        <f aca="false">VLOOKUP(L1721,Sheet2!D:E,2,0)</f>
        <v>Power Supply Section</v>
      </c>
      <c r="N1721" s="17" t="n">
        <v>40</v>
      </c>
      <c r="O1721" s="17" t="str">
        <f aca="false">VLOOKUP(N1721,Sheet2!G:H,2,0)</f>
        <v>Error Recording function</v>
      </c>
      <c r="P1721" s="17" t="n">
        <v>12</v>
      </c>
      <c r="Q1721" s="17" t="str">
        <f aca="false">VLOOKUP(P1721,Sheet2!J:K,2,0)</f>
        <v>IR Declared due to Others ( IR Normal)TB</v>
      </c>
      <c r="R1721" s="17" t="s">
        <v>35</v>
      </c>
      <c r="S1721" s="17" t="str">
        <f aca="false">VLOOKUP(R1721,Sheet2!N:O,2,0)</f>
        <v>IREPARABLE</v>
      </c>
      <c r="T1721" s="18" t="str">
        <f aca="false">VLOOKUP(P1721,Sheet2!Q:R,2,0)</f>
        <v>IR Normal - BER to IR</v>
      </c>
      <c r="U1721" s="20" t="s">
        <v>135</v>
      </c>
      <c r="V1721" s="17" t="n">
        <v>12</v>
      </c>
      <c r="W1721" s="20" t="str">
        <f aca="false">VLOOKUP(V1721,Sheet2!Q:R,2,0)</f>
        <v>IR Normal - BER to IR</v>
      </c>
      <c r="X1721" s="17" t="str">
        <f aca="false">J1721</f>
        <v>A018</v>
      </c>
      <c r="Y1721" s="17" t="str">
        <f aca="false">VLOOKUP(X1721,Sheet2!A:B,2,0)</f>
        <v>PRAKASH CHAVDA</v>
      </c>
      <c r="Z1721" s="17" t="s">
        <v>130</v>
      </c>
      <c r="AA1721" s="17" t="s">
        <v>883</v>
      </c>
      <c r="AB1721" s="17" t="s">
        <v>41</v>
      </c>
      <c r="AC1721" s="0" t="str">
        <f aca="false">LEFT(G1721,2)</f>
        <v>77</v>
      </c>
      <c r="AE1721" s="21" t="s">
        <v>238</v>
      </c>
    </row>
    <row r="1722" customFormat="false" ht="15" hidden="false" customHeight="false" outlineLevel="0" collapsed="false">
      <c r="A1722" s="13" t="n">
        <f aca="false">1+A1721</f>
        <v>1720</v>
      </c>
      <c r="B1722" s="14" t="n">
        <v>1009447091</v>
      </c>
      <c r="C1722" s="17" t="s">
        <v>893</v>
      </c>
      <c r="D1722" s="16" t="s">
        <v>64</v>
      </c>
      <c r="E1722" s="17" t="s">
        <v>91</v>
      </c>
      <c r="F1722" s="18" t="s">
        <v>34</v>
      </c>
      <c r="G1722" s="19" t="n">
        <v>651113005227</v>
      </c>
      <c r="H1722" s="17" t="s">
        <v>647</v>
      </c>
      <c r="I1722" s="17" t="s">
        <v>50</v>
      </c>
      <c r="J1722" s="17" t="s">
        <v>106</v>
      </c>
      <c r="K1722" s="17" t="str">
        <f aca="false">VLOOKUP(J1722,Sheet2!A:B,2,0)</f>
        <v>PRAKASH CHAVDA</v>
      </c>
      <c r="L1722" s="17" t="n">
        <v>1</v>
      </c>
      <c r="M1722" s="17" t="str">
        <f aca="false">VLOOKUP(L1722,Sheet2!D:E,2,0)</f>
        <v>Power Supply Section</v>
      </c>
      <c r="N1722" s="17" t="n">
        <v>2</v>
      </c>
      <c r="O1722" s="17" t="str">
        <f aca="false">VLOOKUP(N1722,Sheet2!G:H,2,0)</f>
        <v>Dead Intermittent</v>
      </c>
      <c r="P1722" s="17" t="n">
        <v>12</v>
      </c>
      <c r="Q1722" s="17" t="str">
        <f aca="false">VLOOKUP(P1722,Sheet2!J:K,2,0)</f>
        <v>IR Declared due to Others ( IR Normal)TB</v>
      </c>
      <c r="R1722" s="17" t="s">
        <v>35</v>
      </c>
      <c r="S1722" s="17" t="str">
        <f aca="false">VLOOKUP(R1722,Sheet2!N:O,2,0)</f>
        <v>IREPARABLE</v>
      </c>
      <c r="T1722" s="18" t="str">
        <f aca="false">VLOOKUP(P1722,Sheet2!Q:R,2,0)</f>
        <v>IR Normal - BER to IR</v>
      </c>
      <c r="U1722" s="20" t="s">
        <v>135</v>
      </c>
      <c r="V1722" s="17" t="n">
        <v>12</v>
      </c>
      <c r="W1722" s="20" t="str">
        <f aca="false">VLOOKUP(V1722,Sheet2!Q:R,2,0)</f>
        <v>IR Normal - BER to IR</v>
      </c>
      <c r="X1722" s="17" t="str">
        <f aca="false">J1722</f>
        <v>A018</v>
      </c>
      <c r="Y1722" s="17" t="str">
        <f aca="false">VLOOKUP(X1722,Sheet2!A:B,2,0)</f>
        <v>PRAKASH CHAVDA</v>
      </c>
      <c r="Z1722" s="17" t="s">
        <v>149</v>
      </c>
      <c r="AA1722" s="17" t="s">
        <v>883</v>
      </c>
      <c r="AB1722" s="17" t="s">
        <v>41</v>
      </c>
      <c r="AC1722" s="0" t="str">
        <f aca="false">LEFT(G1722,2)</f>
        <v>65</v>
      </c>
      <c r="AE1722" s="21" t="s">
        <v>238</v>
      </c>
    </row>
    <row r="1723" customFormat="false" ht="15" hidden="false" customHeight="false" outlineLevel="0" collapsed="false">
      <c r="A1723" s="13" t="n">
        <f aca="false">1+A1722</f>
        <v>1721</v>
      </c>
      <c r="B1723" s="14" t="n">
        <v>1009680082</v>
      </c>
      <c r="C1723" s="17" t="s">
        <v>436</v>
      </c>
      <c r="D1723" s="16" t="s">
        <v>64</v>
      </c>
      <c r="E1723" s="17" t="s">
        <v>47</v>
      </c>
      <c r="F1723" s="18" t="s">
        <v>34</v>
      </c>
      <c r="G1723" s="19" t="n">
        <v>651163033186</v>
      </c>
      <c r="H1723" s="17" t="s">
        <v>134</v>
      </c>
      <c r="I1723" s="17" t="s">
        <v>50</v>
      </c>
      <c r="J1723" s="17" t="s">
        <v>106</v>
      </c>
      <c r="K1723" s="17" t="str">
        <f aca="false">VLOOKUP(J1723,Sheet2!A:B,2,0)</f>
        <v>PRAKASH CHAVDA</v>
      </c>
      <c r="L1723" s="17" t="n">
        <v>5</v>
      </c>
      <c r="M1723" s="17" t="str">
        <f aca="false">VLOOKUP(L1723,Sheet2!D:E,2,0)</f>
        <v>Main Processor CPU BGA</v>
      </c>
      <c r="N1723" s="17" t="n">
        <v>1</v>
      </c>
      <c r="O1723" s="17" t="str">
        <f aca="false">VLOOKUP(N1723,Sheet2!G:H,2,0)</f>
        <v>Dead</v>
      </c>
      <c r="P1723" s="17" t="n">
        <v>12</v>
      </c>
      <c r="Q1723" s="17" t="str">
        <f aca="false">VLOOKUP(P1723,Sheet2!J:K,2,0)</f>
        <v>IR Declared due to Others ( IR Normal)TB</v>
      </c>
      <c r="R1723" s="17" t="s">
        <v>35</v>
      </c>
      <c r="S1723" s="17" t="str">
        <f aca="false">VLOOKUP(R1723,Sheet2!N:O,2,0)</f>
        <v>IREPARABLE</v>
      </c>
      <c r="T1723" s="18" t="str">
        <f aca="false">VLOOKUP(P1723,Sheet2!Q:R,2,0)</f>
        <v>IR Normal - BER to IR</v>
      </c>
      <c r="U1723" s="20" t="s">
        <v>135</v>
      </c>
      <c r="V1723" s="17" t="n">
        <v>12</v>
      </c>
      <c r="W1723" s="20" t="str">
        <f aca="false">VLOOKUP(V1723,Sheet2!Q:R,2,0)</f>
        <v>IR Normal - BER to IR</v>
      </c>
      <c r="X1723" s="17" t="str">
        <f aca="false">J1723</f>
        <v>A018</v>
      </c>
      <c r="Y1723" s="17" t="str">
        <f aca="false">VLOOKUP(X1723,Sheet2!A:B,2,0)</f>
        <v>PRAKASH CHAVDA</v>
      </c>
      <c r="Z1723" s="17" t="s">
        <v>149</v>
      </c>
      <c r="AA1723" s="17" t="s">
        <v>883</v>
      </c>
      <c r="AB1723" s="17" t="s">
        <v>41</v>
      </c>
      <c r="AC1723" s="0" t="str">
        <f aca="false">LEFT(G1723,2)</f>
        <v>65</v>
      </c>
      <c r="AE1723" s="21" t="s">
        <v>238</v>
      </c>
    </row>
    <row r="1724" customFormat="false" ht="15" hidden="false" customHeight="false" outlineLevel="0" collapsed="false">
      <c r="A1724" s="13" t="n">
        <f aca="false">1+A1723</f>
        <v>1722</v>
      </c>
      <c r="B1724" s="14" t="n">
        <v>1009601154</v>
      </c>
      <c r="C1724" s="17" t="s">
        <v>159</v>
      </c>
      <c r="D1724" s="16" t="s">
        <v>52</v>
      </c>
      <c r="E1724" s="17" t="s">
        <v>47</v>
      </c>
      <c r="F1724" s="18" t="s">
        <v>34</v>
      </c>
      <c r="G1724" s="19" t="n">
        <v>651053003612</v>
      </c>
      <c r="H1724" s="17" t="s">
        <v>649</v>
      </c>
      <c r="I1724" s="17" t="s">
        <v>50</v>
      </c>
      <c r="J1724" s="17" t="s">
        <v>106</v>
      </c>
      <c r="K1724" s="17" t="str">
        <f aca="false">VLOOKUP(J1724,Sheet2!A:B,2,0)</f>
        <v>PRAKASH CHAVDA</v>
      </c>
      <c r="L1724" s="17" t="n">
        <v>5</v>
      </c>
      <c r="M1724" s="17" t="str">
        <f aca="false">VLOOKUP(L1724,Sheet2!D:E,2,0)</f>
        <v>Main Processor CPU BGA</v>
      </c>
      <c r="N1724" s="17" t="n">
        <v>1</v>
      </c>
      <c r="O1724" s="17" t="str">
        <f aca="false">VLOOKUP(N1724,Sheet2!G:H,2,0)</f>
        <v>Dead</v>
      </c>
      <c r="P1724" s="17" t="n">
        <v>12</v>
      </c>
      <c r="Q1724" s="17" t="str">
        <f aca="false">VLOOKUP(P1724,Sheet2!J:K,2,0)</f>
        <v>IR Declared due to Others ( IR Normal)TB</v>
      </c>
      <c r="R1724" s="17" t="s">
        <v>35</v>
      </c>
      <c r="S1724" s="17" t="str">
        <f aca="false">VLOOKUP(R1724,Sheet2!N:O,2,0)</f>
        <v>IREPARABLE</v>
      </c>
      <c r="T1724" s="18" t="str">
        <f aca="false">VLOOKUP(P1724,Sheet2!Q:R,2,0)</f>
        <v>IR Normal - BER to IR</v>
      </c>
      <c r="U1724" s="20" t="s">
        <v>135</v>
      </c>
      <c r="V1724" s="17" t="n">
        <v>12</v>
      </c>
      <c r="W1724" s="20" t="str">
        <f aca="false">VLOOKUP(V1724,Sheet2!Q:R,2,0)</f>
        <v>IR Normal - BER to IR</v>
      </c>
      <c r="X1724" s="17" t="str">
        <f aca="false">J1724</f>
        <v>A018</v>
      </c>
      <c r="Y1724" s="17" t="str">
        <f aca="false">VLOOKUP(X1724,Sheet2!A:B,2,0)</f>
        <v>PRAKASH CHAVDA</v>
      </c>
      <c r="Z1724" s="17" t="s">
        <v>149</v>
      </c>
      <c r="AA1724" s="17" t="s">
        <v>883</v>
      </c>
      <c r="AB1724" s="17" t="s">
        <v>41</v>
      </c>
      <c r="AC1724" s="0" t="str">
        <f aca="false">LEFT(G1724,2)</f>
        <v>65</v>
      </c>
      <c r="AE1724" s="21" t="s">
        <v>238</v>
      </c>
    </row>
    <row r="1725" customFormat="false" ht="15" hidden="false" customHeight="false" outlineLevel="0" collapsed="false">
      <c r="A1725" s="13" t="n">
        <f aca="false">1+A1724</f>
        <v>1723</v>
      </c>
      <c r="B1725" s="14" t="n">
        <v>1008826877</v>
      </c>
      <c r="C1725" s="17" t="s">
        <v>455</v>
      </c>
      <c r="D1725" s="16" t="s">
        <v>138</v>
      </c>
      <c r="E1725" s="17" t="s">
        <v>47</v>
      </c>
      <c r="F1725" s="18" t="s">
        <v>34</v>
      </c>
      <c r="G1725" s="19" t="n">
        <v>651307010504</v>
      </c>
      <c r="H1725" s="17" t="s">
        <v>649</v>
      </c>
      <c r="I1725" s="17" t="s">
        <v>50</v>
      </c>
      <c r="J1725" s="17" t="s">
        <v>106</v>
      </c>
      <c r="K1725" s="17" t="str">
        <f aca="false">VLOOKUP(J1725,Sheet2!A:B,2,0)</f>
        <v>PRAKASH CHAVDA</v>
      </c>
      <c r="L1725" s="17" t="n">
        <v>4</v>
      </c>
      <c r="M1725" s="17" t="str">
        <f aca="false">VLOOKUP(L1725,Sheet2!D:E,2,0)</f>
        <v>Audio Section</v>
      </c>
      <c r="N1725" s="17" t="n">
        <v>10</v>
      </c>
      <c r="O1725" s="17" t="str">
        <f aca="false">VLOOKUP(N1725,Sheet2!G:H,2,0)</f>
        <v>No Audio - HDMI</v>
      </c>
      <c r="P1725" s="17" t="n">
        <v>12</v>
      </c>
      <c r="Q1725" s="17" t="str">
        <f aca="false">VLOOKUP(P1725,Sheet2!J:K,2,0)</f>
        <v>IR Declared due to Others ( IR Normal)TB</v>
      </c>
      <c r="R1725" s="17" t="s">
        <v>35</v>
      </c>
      <c r="S1725" s="17" t="str">
        <f aca="false">VLOOKUP(R1725,Sheet2!N:O,2,0)</f>
        <v>IREPARABLE</v>
      </c>
      <c r="T1725" s="18" t="str">
        <f aca="false">VLOOKUP(P1725,Sheet2!Q:R,2,0)</f>
        <v>IR Normal - BER to IR</v>
      </c>
      <c r="U1725" s="20" t="s">
        <v>135</v>
      </c>
      <c r="V1725" s="17" t="n">
        <v>12</v>
      </c>
      <c r="W1725" s="20" t="str">
        <f aca="false">VLOOKUP(V1725,Sheet2!Q:R,2,0)</f>
        <v>IR Normal - BER to IR</v>
      </c>
      <c r="X1725" s="17" t="str">
        <f aca="false">J1725</f>
        <v>A018</v>
      </c>
      <c r="Y1725" s="17" t="str">
        <f aca="false">VLOOKUP(X1725,Sheet2!A:B,2,0)</f>
        <v>PRAKASH CHAVDA</v>
      </c>
      <c r="Z1725" s="17" t="s">
        <v>149</v>
      </c>
      <c r="AA1725" s="17" t="s">
        <v>883</v>
      </c>
      <c r="AB1725" s="17" t="s">
        <v>41</v>
      </c>
      <c r="AC1725" s="0" t="str">
        <f aca="false">LEFT(G1725,2)</f>
        <v>65</v>
      </c>
      <c r="AE1725" s="21" t="s">
        <v>238</v>
      </c>
    </row>
    <row r="1726" customFormat="false" ht="15" hidden="false" customHeight="false" outlineLevel="0" collapsed="false">
      <c r="A1726" s="13" t="n">
        <f aca="false">1+A1725</f>
        <v>1724</v>
      </c>
      <c r="B1726" s="14" t="n">
        <v>1009631019</v>
      </c>
      <c r="C1726" s="17" t="s">
        <v>182</v>
      </c>
      <c r="D1726" s="16" t="s">
        <v>64</v>
      </c>
      <c r="E1726" s="17" t="s">
        <v>64</v>
      </c>
      <c r="F1726" s="18" t="s">
        <v>34</v>
      </c>
      <c r="G1726" s="19" t="n">
        <v>866338167301</v>
      </c>
      <c r="H1726" s="17" t="s">
        <v>35</v>
      </c>
      <c r="I1726" s="17" t="s">
        <v>72</v>
      </c>
      <c r="J1726" s="17" t="s">
        <v>121</v>
      </c>
      <c r="K1726" s="17" t="str">
        <f aca="false">VLOOKUP(J1726,Sheet2!A:B,2,0)</f>
        <v>SHANI GOHIL</v>
      </c>
      <c r="L1726" s="17" t="n">
        <v>4</v>
      </c>
      <c r="M1726" s="17" t="str">
        <f aca="false">VLOOKUP(L1726,Sheet2!D:E,2,0)</f>
        <v>Audio Section</v>
      </c>
      <c r="N1726" s="17" t="n">
        <v>9</v>
      </c>
      <c r="O1726" s="17" t="str">
        <f aca="false">VLOOKUP(N1726,Sheet2!G:H,2,0)</f>
        <v>No Audio - AV</v>
      </c>
      <c r="P1726" s="17" t="n">
        <v>11</v>
      </c>
      <c r="Q1726" s="17" t="str">
        <f aca="false">VLOOKUP(P1726,Sheet2!J:K,2,0)</f>
        <v>IR Declared due to CID -TA</v>
      </c>
      <c r="R1726" s="17" t="s">
        <v>35</v>
      </c>
      <c r="S1726" s="17" t="str">
        <f aca="false">VLOOKUP(R1726,Sheet2!N:O,2,0)</f>
        <v>IREPARABLE</v>
      </c>
      <c r="T1726" s="18" t="str">
        <f aca="false">VLOOKUP(P1726,Sheet2!Q:R,2,0)</f>
        <v>IR Normal - Track burn out</v>
      </c>
      <c r="U1726" s="18" t="s">
        <v>122</v>
      </c>
      <c r="V1726" s="17" t="n">
        <v>2</v>
      </c>
      <c r="W1726" s="20" t="str">
        <f aca="false">VLOOKUP(V1726,Sheet2!Q:R,2,0)</f>
        <v>IR CID -  Water log from other area</v>
      </c>
      <c r="X1726" s="17" t="str">
        <f aca="false">J1726</f>
        <v>A063</v>
      </c>
      <c r="Y1726" s="17" t="str">
        <f aca="false">VLOOKUP(X1726,Sheet2!A:B,2,0)</f>
        <v>SHANI GOHIL</v>
      </c>
      <c r="Z1726" s="17" t="s">
        <v>222</v>
      </c>
      <c r="AA1726" s="17" t="s">
        <v>883</v>
      </c>
      <c r="AB1726" s="17" t="s">
        <v>41</v>
      </c>
      <c r="AC1726" s="0" t="str">
        <f aca="false">LEFT(G1726,2)</f>
        <v>86</v>
      </c>
      <c r="AE1726" s="21" t="s">
        <v>238</v>
      </c>
    </row>
    <row r="1727" customFormat="false" ht="15" hidden="false" customHeight="false" outlineLevel="0" collapsed="false">
      <c r="A1727" s="13" t="n">
        <f aca="false">1+A1726</f>
        <v>1725</v>
      </c>
      <c r="B1727" s="14" t="n">
        <v>1009642795</v>
      </c>
      <c r="C1727" s="17" t="s">
        <v>429</v>
      </c>
      <c r="D1727" s="16" t="s">
        <v>156</v>
      </c>
      <c r="E1727" s="17" t="s">
        <v>33</v>
      </c>
      <c r="F1727" s="18" t="s">
        <v>34</v>
      </c>
      <c r="G1727" s="19" t="n">
        <v>601213201630</v>
      </c>
      <c r="H1727" s="17" t="s">
        <v>35</v>
      </c>
      <c r="I1727" s="17" t="s">
        <v>66</v>
      </c>
      <c r="J1727" s="17" t="s">
        <v>115</v>
      </c>
      <c r="K1727" s="17" t="str">
        <f aca="false">VLOOKUP(J1727,Sheet2!A:B,2,0)</f>
        <v>ANKIT RANA</v>
      </c>
      <c r="L1727" s="17" t="n">
        <v>1</v>
      </c>
      <c r="M1727" s="17" t="str">
        <f aca="false">VLOOKUP(L1727,Sheet2!D:E,2,0)</f>
        <v>Power Supply Section</v>
      </c>
      <c r="N1727" s="17" t="n">
        <v>1</v>
      </c>
      <c r="O1727" s="17" t="str">
        <f aca="false">VLOOKUP(N1727,Sheet2!G:H,2,0)</f>
        <v>Dead</v>
      </c>
      <c r="P1727" s="17" t="n">
        <v>12</v>
      </c>
      <c r="Q1727" s="17" t="str">
        <f aca="false">VLOOKUP(P1727,Sheet2!J:K,2,0)</f>
        <v>IR Declared due to Others ( IR Normal)TB</v>
      </c>
      <c r="R1727" s="17" t="s">
        <v>35</v>
      </c>
      <c r="S1727" s="17" t="str">
        <f aca="false">VLOOKUP(R1727,Sheet2!N:O,2,0)</f>
        <v>IREPARABLE</v>
      </c>
      <c r="T1727" s="18" t="str">
        <f aca="false">VLOOKUP(P1727,Sheet2!Q:R,2,0)</f>
        <v>IR Normal - BER to IR</v>
      </c>
      <c r="U1727" s="18" t="s">
        <v>101</v>
      </c>
      <c r="V1727" s="17" t="n">
        <v>8</v>
      </c>
      <c r="W1727" s="20" t="str">
        <f aca="false">VLOOKUP(V1727,Sheet2!Q:R,2,0)</f>
        <v>IR Normal -TrackRust/InternalDamage/open</v>
      </c>
      <c r="X1727" s="17" t="str">
        <f aca="false">J1727</f>
        <v>A042</v>
      </c>
      <c r="Y1727" s="17" t="str">
        <f aca="false">VLOOKUP(X1727,Sheet2!A:B,2,0)</f>
        <v>ANKIT RANA</v>
      </c>
      <c r="Z1727" s="17" t="s">
        <v>894</v>
      </c>
      <c r="AA1727" s="17" t="s">
        <v>883</v>
      </c>
      <c r="AB1727" s="17" t="s">
        <v>41</v>
      </c>
      <c r="AC1727" s="0" t="str">
        <f aca="false">LEFT(G1727,2)</f>
        <v>60</v>
      </c>
      <c r="AE1727" s="21" t="s">
        <v>238</v>
      </c>
    </row>
    <row r="1728" customFormat="false" ht="15" hidden="false" customHeight="false" outlineLevel="0" collapsed="false">
      <c r="A1728" s="13" t="n">
        <f aca="false">1+A1727</f>
        <v>1726</v>
      </c>
      <c r="B1728" s="14" t="n">
        <v>1009435286</v>
      </c>
      <c r="C1728" s="17" t="s">
        <v>59</v>
      </c>
      <c r="D1728" s="16" t="s">
        <v>64</v>
      </c>
      <c r="E1728" s="17" t="s">
        <v>47</v>
      </c>
      <c r="F1728" s="18" t="s">
        <v>34</v>
      </c>
      <c r="G1728" s="19" t="n">
        <v>612354202543</v>
      </c>
      <c r="H1728" s="17" t="s">
        <v>35</v>
      </c>
      <c r="I1728" s="17" t="s">
        <v>66</v>
      </c>
      <c r="J1728" s="17" t="s">
        <v>115</v>
      </c>
      <c r="K1728" s="17" t="str">
        <f aca="false">VLOOKUP(J1728,Sheet2!A:B,2,0)</f>
        <v>ANKIT RANA</v>
      </c>
      <c r="L1728" s="17" t="n">
        <v>1</v>
      </c>
      <c r="M1728" s="17" t="str">
        <f aca="false">VLOOKUP(L1728,Sheet2!D:E,2,0)</f>
        <v>Power Supply Section</v>
      </c>
      <c r="N1728" s="17" t="n">
        <v>1</v>
      </c>
      <c r="O1728" s="17" t="str">
        <f aca="false">VLOOKUP(N1728,Sheet2!G:H,2,0)</f>
        <v>Dead</v>
      </c>
      <c r="P1728" s="17" t="n">
        <v>12</v>
      </c>
      <c r="Q1728" s="17" t="str">
        <f aca="false">VLOOKUP(P1728,Sheet2!J:K,2,0)</f>
        <v>IR Declared due to Others ( IR Normal)TB</v>
      </c>
      <c r="R1728" s="17" t="s">
        <v>35</v>
      </c>
      <c r="S1728" s="17" t="str">
        <f aca="false">VLOOKUP(R1728,Sheet2!N:O,2,0)</f>
        <v>IREPARABLE</v>
      </c>
      <c r="T1728" s="18" t="str">
        <f aca="false">VLOOKUP(P1728,Sheet2!Q:R,2,0)</f>
        <v>IR Normal - BER to IR</v>
      </c>
      <c r="U1728" s="15" t="s">
        <v>38</v>
      </c>
      <c r="V1728" s="17" t="n">
        <v>11</v>
      </c>
      <c r="W1728" s="20" t="str">
        <f aca="false">VLOOKUP(V1728,Sheet2!Q:R,2,0)</f>
        <v>IR Normal - Track burn out</v>
      </c>
      <c r="X1728" s="17" t="str">
        <f aca="false">J1728</f>
        <v>A042</v>
      </c>
      <c r="Y1728" s="17" t="str">
        <f aca="false">VLOOKUP(X1728,Sheet2!A:B,2,0)</f>
        <v>ANKIT RANA</v>
      </c>
      <c r="Z1728" s="17" t="s">
        <v>895</v>
      </c>
      <c r="AA1728" s="17" t="s">
        <v>883</v>
      </c>
      <c r="AB1728" s="17" t="s">
        <v>41</v>
      </c>
      <c r="AC1728" s="0" t="str">
        <f aca="false">LEFT(G1728,2)</f>
        <v>61</v>
      </c>
      <c r="AE1728" s="21" t="s">
        <v>238</v>
      </c>
    </row>
    <row r="1729" customFormat="false" ht="15" hidden="false" customHeight="false" outlineLevel="0" collapsed="false">
      <c r="A1729" s="13" t="n">
        <f aca="false">1+A1728</f>
        <v>1727</v>
      </c>
      <c r="B1729" s="14" t="n">
        <v>1009467554</v>
      </c>
      <c r="C1729" s="17" t="s">
        <v>151</v>
      </c>
      <c r="D1729" s="16" t="s">
        <v>64</v>
      </c>
      <c r="E1729" s="17" t="s">
        <v>896</v>
      </c>
      <c r="F1729" s="18" t="s">
        <v>34</v>
      </c>
      <c r="G1729" s="19" t="n">
        <v>601147110808</v>
      </c>
      <c r="H1729" s="17" t="s">
        <v>35</v>
      </c>
      <c r="I1729" s="17" t="s">
        <v>66</v>
      </c>
      <c r="J1729" s="17" t="s">
        <v>115</v>
      </c>
      <c r="K1729" s="17" t="str">
        <f aca="false">VLOOKUP(J1729,Sheet2!A:B,2,0)</f>
        <v>ANKIT RANA</v>
      </c>
      <c r="L1729" s="17" t="n">
        <v>1</v>
      </c>
      <c r="M1729" s="17" t="str">
        <f aca="false">VLOOKUP(L1729,Sheet2!D:E,2,0)</f>
        <v>Power Supply Section</v>
      </c>
      <c r="N1729" s="17" t="n">
        <v>1</v>
      </c>
      <c r="O1729" s="17" t="str">
        <f aca="false">VLOOKUP(N1729,Sheet2!G:H,2,0)</f>
        <v>Dead</v>
      </c>
      <c r="P1729" s="17" t="n">
        <v>12</v>
      </c>
      <c r="Q1729" s="17" t="str">
        <f aca="false">VLOOKUP(P1729,Sheet2!J:K,2,0)</f>
        <v>IR Declared due to Others ( IR Normal)TB</v>
      </c>
      <c r="R1729" s="17" t="s">
        <v>35</v>
      </c>
      <c r="S1729" s="17" t="str">
        <f aca="false">VLOOKUP(R1729,Sheet2!N:O,2,0)</f>
        <v>IREPARABLE</v>
      </c>
      <c r="T1729" s="18" t="str">
        <f aca="false">VLOOKUP(P1729,Sheet2!Q:R,2,0)</f>
        <v>IR Normal - BER to IR</v>
      </c>
      <c r="U1729" s="15" t="s">
        <v>38</v>
      </c>
      <c r="V1729" s="17" t="n">
        <v>11</v>
      </c>
      <c r="W1729" s="20" t="str">
        <f aca="false">VLOOKUP(V1729,Sheet2!Q:R,2,0)</f>
        <v>IR Normal - Track burn out</v>
      </c>
      <c r="X1729" s="17" t="str">
        <f aca="false">J1729</f>
        <v>A042</v>
      </c>
      <c r="Y1729" s="17" t="str">
        <f aca="false">VLOOKUP(X1729,Sheet2!A:B,2,0)</f>
        <v>ANKIT RANA</v>
      </c>
      <c r="Z1729" s="17" t="s">
        <v>894</v>
      </c>
      <c r="AA1729" s="17" t="s">
        <v>883</v>
      </c>
      <c r="AB1729" s="17" t="s">
        <v>41</v>
      </c>
      <c r="AC1729" s="0" t="str">
        <f aca="false">LEFT(G1729,2)</f>
        <v>60</v>
      </c>
      <c r="AE1729" s="21" t="s">
        <v>238</v>
      </c>
    </row>
    <row r="1730" customFormat="false" ht="15" hidden="false" customHeight="false" outlineLevel="0" collapsed="false">
      <c r="A1730" s="13" t="n">
        <f aca="false">1+A1729</f>
        <v>1728</v>
      </c>
      <c r="B1730" s="14" t="n">
        <v>1009410099</v>
      </c>
      <c r="C1730" s="17" t="s">
        <v>203</v>
      </c>
      <c r="D1730" s="16" t="s">
        <v>88</v>
      </c>
      <c r="E1730" s="17" t="s">
        <v>47</v>
      </c>
      <c r="F1730" s="18" t="s">
        <v>34</v>
      </c>
      <c r="G1730" s="19" t="n">
        <v>601116104329</v>
      </c>
      <c r="H1730" s="17" t="s">
        <v>35</v>
      </c>
      <c r="I1730" s="17" t="s">
        <v>66</v>
      </c>
      <c r="J1730" s="17" t="s">
        <v>575</v>
      </c>
      <c r="K1730" s="17" t="str">
        <f aca="false">VLOOKUP(J1730,Sheet2!A:B,2,0)</f>
        <v>VIJAY RANA</v>
      </c>
      <c r="L1730" s="17" t="n">
        <v>1</v>
      </c>
      <c r="M1730" s="17" t="str">
        <f aca="false">VLOOKUP(L1730,Sheet2!D:E,2,0)</f>
        <v>Power Supply Section</v>
      </c>
      <c r="N1730" s="17" t="n">
        <v>1</v>
      </c>
      <c r="O1730" s="17" t="str">
        <f aca="false">VLOOKUP(N1730,Sheet2!G:H,2,0)</f>
        <v>Dead</v>
      </c>
      <c r="P1730" s="17" t="n">
        <v>12</v>
      </c>
      <c r="Q1730" s="17" t="str">
        <f aca="false">VLOOKUP(P1730,Sheet2!J:K,2,0)</f>
        <v>IR Declared due to Others ( IR Normal)TB</v>
      </c>
      <c r="R1730" s="17" t="s">
        <v>35</v>
      </c>
      <c r="S1730" s="17" t="str">
        <f aca="false">VLOOKUP(R1730,Sheet2!N:O,2,0)</f>
        <v>IREPARABLE</v>
      </c>
      <c r="T1730" s="18" t="str">
        <f aca="false">VLOOKUP(P1730,Sheet2!Q:R,2,0)</f>
        <v>IR Normal - BER to IR</v>
      </c>
      <c r="U1730" s="20" t="s">
        <v>110</v>
      </c>
      <c r="V1730" s="17" t="n">
        <v>9</v>
      </c>
      <c r="W1730" s="20" t="str">
        <f aca="false">VLOOKUP(V1730,Sheet2!Q:R,2,0)</f>
        <v>IR Normal - Multiple time repair </v>
      </c>
      <c r="X1730" s="17" t="str">
        <f aca="false">J1730</f>
        <v>A002</v>
      </c>
      <c r="Y1730" s="17" t="str">
        <f aca="false">VLOOKUP(X1730,Sheet2!A:B,2,0)</f>
        <v>VIJAY RANA</v>
      </c>
      <c r="Z1730" s="17" t="s">
        <v>897</v>
      </c>
      <c r="AA1730" s="17" t="s">
        <v>883</v>
      </c>
      <c r="AB1730" s="17" t="s">
        <v>41</v>
      </c>
      <c r="AC1730" s="0" t="str">
        <f aca="false">LEFT(G1730,2)</f>
        <v>60</v>
      </c>
      <c r="AE1730" s="21" t="s">
        <v>238</v>
      </c>
    </row>
    <row r="1731" customFormat="false" ht="15" hidden="false" customHeight="false" outlineLevel="0" collapsed="false">
      <c r="A1731" s="13" t="n">
        <f aca="false">1+A1730</f>
        <v>1729</v>
      </c>
      <c r="B1731" s="14" t="n">
        <v>1009451177</v>
      </c>
      <c r="C1731" s="17" t="s">
        <v>268</v>
      </c>
      <c r="D1731" s="16" t="s">
        <v>64</v>
      </c>
      <c r="E1731" s="17" t="s">
        <v>64</v>
      </c>
      <c r="F1731" s="18" t="s">
        <v>34</v>
      </c>
      <c r="G1731" s="19" t="n">
        <v>601175103667</v>
      </c>
      <c r="H1731" s="17" t="s">
        <v>35</v>
      </c>
      <c r="I1731" s="17" t="s">
        <v>66</v>
      </c>
      <c r="J1731" s="17" t="s">
        <v>575</v>
      </c>
      <c r="K1731" s="17" t="str">
        <f aca="false">VLOOKUP(J1731,Sheet2!A:B,2,0)</f>
        <v>VIJAY RANA</v>
      </c>
      <c r="L1731" s="17" t="n">
        <v>1</v>
      </c>
      <c r="M1731" s="17" t="str">
        <f aca="false">VLOOKUP(L1731,Sheet2!D:E,2,0)</f>
        <v>Power Supply Section</v>
      </c>
      <c r="N1731" s="17" t="n">
        <v>1</v>
      </c>
      <c r="O1731" s="17" t="str">
        <f aca="false">VLOOKUP(N1731,Sheet2!G:H,2,0)</f>
        <v>Dead</v>
      </c>
      <c r="P1731" s="17" t="n">
        <v>11</v>
      </c>
      <c r="Q1731" s="17" t="str">
        <f aca="false">VLOOKUP(P1731,Sheet2!J:K,2,0)</f>
        <v>IR Declared due to CID -TA</v>
      </c>
      <c r="R1731" s="17" t="s">
        <v>35</v>
      </c>
      <c r="S1731" s="17" t="str">
        <f aca="false">VLOOKUP(R1731,Sheet2!N:O,2,0)</f>
        <v>IREPARABLE</v>
      </c>
      <c r="T1731" s="18" t="str">
        <f aca="false">VLOOKUP(P1731,Sheet2!Q:R,2,0)</f>
        <v>IR Normal - Track burn out</v>
      </c>
      <c r="U1731" s="18" t="s">
        <v>38</v>
      </c>
      <c r="V1731" s="17" t="n">
        <v>4</v>
      </c>
      <c r="W1731" s="20" t="str">
        <f aca="false">VLOOKUP(V1731,Sheet2!Q:R,2,0)</f>
        <v>IR CID - Tampered Track burn out</v>
      </c>
      <c r="X1731" s="17" t="str">
        <f aca="false">J1731</f>
        <v>A002</v>
      </c>
      <c r="Y1731" s="17" t="str">
        <f aca="false">VLOOKUP(X1731,Sheet2!A:B,2,0)</f>
        <v>VIJAY RANA</v>
      </c>
      <c r="Z1731" s="17" t="s">
        <v>895</v>
      </c>
      <c r="AA1731" s="17" t="s">
        <v>883</v>
      </c>
      <c r="AB1731" s="17" t="s">
        <v>41</v>
      </c>
      <c r="AC1731" s="0" t="str">
        <f aca="false">LEFT(G1731,2)</f>
        <v>60</v>
      </c>
      <c r="AE1731" s="21" t="s">
        <v>238</v>
      </c>
    </row>
    <row r="1732" customFormat="false" ht="15" hidden="false" customHeight="false" outlineLevel="0" collapsed="false">
      <c r="A1732" s="13" t="n">
        <f aca="false">1+A1731</f>
        <v>1730</v>
      </c>
      <c r="B1732" s="14" t="n">
        <v>1009642763</v>
      </c>
      <c r="C1732" s="17" t="s">
        <v>429</v>
      </c>
      <c r="D1732" s="16" t="s">
        <v>143</v>
      </c>
      <c r="E1732" s="17" t="s">
        <v>33</v>
      </c>
      <c r="F1732" s="18" t="s">
        <v>34</v>
      </c>
      <c r="G1732" s="19" t="n">
        <v>601167104368</v>
      </c>
      <c r="H1732" s="17" t="s">
        <v>35</v>
      </c>
      <c r="I1732" s="17" t="s">
        <v>66</v>
      </c>
      <c r="J1732" s="17" t="s">
        <v>575</v>
      </c>
      <c r="K1732" s="17" t="str">
        <f aca="false">VLOOKUP(J1732,Sheet2!A:B,2,0)</f>
        <v>VIJAY RANA</v>
      </c>
      <c r="L1732" s="17" t="n">
        <v>1</v>
      </c>
      <c r="M1732" s="17" t="str">
        <f aca="false">VLOOKUP(L1732,Sheet2!D:E,2,0)</f>
        <v>Power Supply Section</v>
      </c>
      <c r="N1732" s="17" t="n">
        <v>1</v>
      </c>
      <c r="O1732" s="17" t="str">
        <f aca="false">VLOOKUP(N1732,Sheet2!G:H,2,0)</f>
        <v>Dead</v>
      </c>
      <c r="P1732" s="17" t="n">
        <v>11</v>
      </c>
      <c r="Q1732" s="17" t="str">
        <f aca="false">VLOOKUP(P1732,Sheet2!J:K,2,0)</f>
        <v>IR Declared due to CID -TA</v>
      </c>
      <c r="R1732" s="17" t="s">
        <v>35</v>
      </c>
      <c r="S1732" s="17" t="str">
        <f aca="false">VLOOKUP(R1732,Sheet2!N:O,2,0)</f>
        <v>IREPARABLE</v>
      </c>
      <c r="T1732" s="18" t="str">
        <f aca="false">VLOOKUP(P1732,Sheet2!Q:R,2,0)</f>
        <v>IR Normal - Track burn out</v>
      </c>
      <c r="U1732" s="18" t="s">
        <v>122</v>
      </c>
      <c r="V1732" s="17" t="n">
        <v>2</v>
      </c>
      <c r="W1732" s="20" t="str">
        <f aca="false">VLOOKUP(V1732,Sheet2!Q:R,2,0)</f>
        <v>IR CID -  Water log from other area</v>
      </c>
      <c r="X1732" s="17" t="str">
        <f aca="false">J1732</f>
        <v>A002</v>
      </c>
      <c r="Y1732" s="17" t="str">
        <f aca="false">VLOOKUP(X1732,Sheet2!A:B,2,0)</f>
        <v>VIJAY RANA</v>
      </c>
      <c r="Z1732" s="17" t="s">
        <v>894</v>
      </c>
      <c r="AA1732" s="17" t="s">
        <v>883</v>
      </c>
      <c r="AB1732" s="17" t="s">
        <v>41</v>
      </c>
      <c r="AC1732" s="0" t="str">
        <f aca="false">LEFT(G1732,2)</f>
        <v>60</v>
      </c>
      <c r="AE1732" s="21" t="s">
        <v>238</v>
      </c>
    </row>
    <row r="1733" customFormat="false" ht="15" hidden="false" customHeight="false" outlineLevel="0" collapsed="false">
      <c r="A1733" s="13" t="n">
        <f aca="false">1+A1732</f>
        <v>1731</v>
      </c>
      <c r="B1733" s="14" t="n">
        <v>1009411458</v>
      </c>
      <c r="C1733" s="17" t="s">
        <v>203</v>
      </c>
      <c r="D1733" s="16" t="s">
        <v>64</v>
      </c>
      <c r="E1733" s="17" t="s">
        <v>64</v>
      </c>
      <c r="F1733" s="18" t="s">
        <v>34</v>
      </c>
      <c r="G1733" s="19" t="n">
        <v>601179101923</v>
      </c>
      <c r="H1733" s="17" t="s">
        <v>35</v>
      </c>
      <c r="I1733" s="17" t="s">
        <v>66</v>
      </c>
      <c r="J1733" s="17" t="s">
        <v>575</v>
      </c>
      <c r="K1733" s="17" t="str">
        <f aca="false">VLOOKUP(J1733,Sheet2!A:B,2,0)</f>
        <v>VIJAY RANA</v>
      </c>
      <c r="L1733" s="17" t="n">
        <v>1</v>
      </c>
      <c r="M1733" s="17" t="str">
        <f aca="false">VLOOKUP(L1733,Sheet2!D:E,2,0)</f>
        <v>Power Supply Section</v>
      </c>
      <c r="N1733" s="17" t="n">
        <v>1</v>
      </c>
      <c r="O1733" s="17" t="str">
        <f aca="false">VLOOKUP(N1733,Sheet2!G:H,2,0)</f>
        <v>Dead</v>
      </c>
      <c r="P1733" s="17" t="n">
        <v>12</v>
      </c>
      <c r="Q1733" s="17" t="str">
        <f aca="false">VLOOKUP(P1733,Sheet2!J:K,2,0)</f>
        <v>IR Declared due to Others ( IR Normal)TB</v>
      </c>
      <c r="R1733" s="17" t="s">
        <v>35</v>
      </c>
      <c r="S1733" s="17" t="str">
        <f aca="false">VLOOKUP(R1733,Sheet2!N:O,2,0)</f>
        <v>IREPARABLE</v>
      </c>
      <c r="T1733" s="18" t="str">
        <f aca="false">VLOOKUP(P1733,Sheet2!Q:R,2,0)</f>
        <v>IR Normal - BER to IR</v>
      </c>
      <c r="U1733" s="20" t="s">
        <v>110</v>
      </c>
      <c r="V1733" s="17" t="n">
        <v>9</v>
      </c>
      <c r="W1733" s="20" t="str">
        <f aca="false">VLOOKUP(V1733,Sheet2!Q:R,2,0)</f>
        <v>IR Normal - Multiple time repair </v>
      </c>
      <c r="X1733" s="17" t="str">
        <f aca="false">J1733</f>
        <v>A002</v>
      </c>
      <c r="Y1733" s="17" t="str">
        <f aca="false">VLOOKUP(X1733,Sheet2!A:B,2,0)</f>
        <v>VIJAY RANA</v>
      </c>
      <c r="Z1733" s="17" t="s">
        <v>897</v>
      </c>
      <c r="AA1733" s="17" t="s">
        <v>883</v>
      </c>
      <c r="AB1733" s="17" t="s">
        <v>41</v>
      </c>
      <c r="AC1733" s="0" t="str">
        <f aca="false">LEFT(G1733,2)</f>
        <v>60</v>
      </c>
      <c r="AE1733" s="21" t="s">
        <v>238</v>
      </c>
    </row>
    <row r="1734" customFormat="false" ht="15" hidden="false" customHeight="false" outlineLevel="0" collapsed="false">
      <c r="A1734" s="13" t="n">
        <f aca="false">1+A1733</f>
        <v>1732</v>
      </c>
      <c r="B1734" s="14" t="n">
        <v>1009452784</v>
      </c>
      <c r="C1734" s="17" t="s">
        <v>212</v>
      </c>
      <c r="D1734" s="16" t="s">
        <v>137</v>
      </c>
      <c r="E1734" s="17" t="s">
        <v>460</v>
      </c>
      <c r="F1734" s="18" t="s">
        <v>34</v>
      </c>
      <c r="G1734" s="19" t="n">
        <v>601090206009</v>
      </c>
      <c r="H1734" s="17" t="s">
        <v>35</v>
      </c>
      <c r="I1734" s="17" t="s">
        <v>66</v>
      </c>
      <c r="J1734" s="17" t="s">
        <v>115</v>
      </c>
      <c r="K1734" s="17" t="str">
        <f aca="false">VLOOKUP(J1734,Sheet2!A:B,2,0)</f>
        <v>ANKIT RANA</v>
      </c>
      <c r="L1734" s="17" t="n">
        <v>11</v>
      </c>
      <c r="M1734" s="17" t="str">
        <f aca="false">VLOOKUP(L1734,Sheet2!D:E,2,0)</f>
        <v>HDMI Section</v>
      </c>
      <c r="N1734" s="17" t="n">
        <v>16</v>
      </c>
      <c r="O1734" s="17" t="str">
        <f aca="false">VLOOKUP(N1734,Sheet2!G:H,2,0)</f>
        <v>No Video - HDMI</v>
      </c>
      <c r="P1734" s="17" t="n">
        <v>12</v>
      </c>
      <c r="Q1734" s="17" t="str">
        <f aca="false">VLOOKUP(P1734,Sheet2!J:K,2,0)</f>
        <v>IR Declared due to Others ( IR Normal)TB</v>
      </c>
      <c r="R1734" s="17" t="s">
        <v>35</v>
      </c>
      <c r="S1734" s="17" t="str">
        <f aca="false">VLOOKUP(R1734,Sheet2!N:O,2,0)</f>
        <v>IREPARABLE</v>
      </c>
      <c r="T1734" s="18" t="str">
        <f aca="false">VLOOKUP(P1734,Sheet2!Q:R,2,0)</f>
        <v>IR Normal - BER to IR</v>
      </c>
      <c r="U1734" s="15" t="s">
        <v>38</v>
      </c>
      <c r="V1734" s="17" t="n">
        <v>11</v>
      </c>
      <c r="W1734" s="20" t="str">
        <f aca="false">VLOOKUP(V1734,Sheet2!Q:R,2,0)</f>
        <v>IR Normal - Track burn out</v>
      </c>
      <c r="X1734" s="17" t="str">
        <f aca="false">J1734</f>
        <v>A042</v>
      </c>
      <c r="Y1734" s="17" t="str">
        <f aca="false">VLOOKUP(X1734,Sheet2!A:B,2,0)</f>
        <v>ANKIT RANA</v>
      </c>
      <c r="Z1734" s="17" t="s">
        <v>898</v>
      </c>
      <c r="AA1734" s="17" t="s">
        <v>883</v>
      </c>
      <c r="AB1734" s="17" t="s">
        <v>41</v>
      </c>
      <c r="AC1734" s="0" t="str">
        <f aca="false">LEFT(G1734,2)</f>
        <v>60</v>
      </c>
      <c r="AE1734" s="21" t="s">
        <v>238</v>
      </c>
    </row>
    <row r="1735" customFormat="false" ht="15" hidden="false" customHeight="false" outlineLevel="0" collapsed="false">
      <c r="A1735" s="13" t="n">
        <f aca="false">1+A1734</f>
        <v>1733</v>
      </c>
      <c r="B1735" s="14" t="n">
        <v>1009677999</v>
      </c>
      <c r="C1735" s="17" t="s">
        <v>436</v>
      </c>
      <c r="D1735" s="16" t="s">
        <v>147</v>
      </c>
      <c r="E1735" s="17" t="s">
        <v>47</v>
      </c>
      <c r="F1735" s="18" t="s">
        <v>34</v>
      </c>
      <c r="G1735" s="19" t="n">
        <v>277235143454</v>
      </c>
      <c r="H1735" s="17" t="s">
        <v>35</v>
      </c>
      <c r="I1735" s="17" t="s">
        <v>74</v>
      </c>
      <c r="J1735" s="17" t="s">
        <v>111</v>
      </c>
      <c r="K1735" s="17" t="str">
        <f aca="false">VLOOKUP(J1735,Sheet2!A:B,2,0)</f>
        <v>NITIN PRANAMI</v>
      </c>
      <c r="L1735" s="17" t="n">
        <v>1</v>
      </c>
      <c r="M1735" s="17" t="str">
        <f aca="false">VLOOKUP(L1735,Sheet2!D:E,2,0)</f>
        <v>Power Supply Section</v>
      </c>
      <c r="N1735" s="17" t="n">
        <v>1</v>
      </c>
      <c r="O1735" s="17" t="str">
        <f aca="false">VLOOKUP(N1735,Sheet2!G:H,2,0)</f>
        <v>Dead</v>
      </c>
      <c r="P1735" s="17" t="n">
        <v>11</v>
      </c>
      <c r="Q1735" s="17" t="str">
        <f aca="false">VLOOKUP(P1735,Sheet2!J:K,2,0)</f>
        <v>IR Declared due to CID -TA</v>
      </c>
      <c r="R1735" s="17" t="s">
        <v>35</v>
      </c>
      <c r="S1735" s="17" t="str">
        <f aca="false">VLOOKUP(R1735,Sheet2!N:O,2,0)</f>
        <v>IREPARABLE</v>
      </c>
      <c r="T1735" s="18" t="str">
        <f aca="false">VLOOKUP(P1735,Sheet2!Q:R,2,0)</f>
        <v>IR Normal - Track burn out</v>
      </c>
      <c r="U1735" s="18" t="s">
        <v>122</v>
      </c>
      <c r="V1735" s="17" t="n">
        <v>2</v>
      </c>
      <c r="W1735" s="20" t="str">
        <f aca="false">VLOOKUP(V1735,Sheet2!Q:R,2,0)</f>
        <v>IR CID -  Water log from other area</v>
      </c>
      <c r="X1735" s="17" t="str">
        <f aca="false">J1735</f>
        <v>A031</v>
      </c>
      <c r="Y1735" s="17" t="str">
        <f aca="false">VLOOKUP(X1735,Sheet2!A:B,2,0)</f>
        <v>NITIN PRANAMI</v>
      </c>
      <c r="Z1735" s="17" t="s">
        <v>899</v>
      </c>
      <c r="AA1735" s="17" t="s">
        <v>883</v>
      </c>
      <c r="AB1735" s="17" t="s">
        <v>41</v>
      </c>
      <c r="AC1735" s="0" t="str">
        <f aca="false">LEFT(G1735,2)</f>
        <v>27</v>
      </c>
      <c r="AE1735" s="21" t="s">
        <v>238</v>
      </c>
    </row>
    <row r="1736" customFormat="false" ht="15" hidden="false" customHeight="false" outlineLevel="0" collapsed="false">
      <c r="A1736" s="13" t="n">
        <f aca="false">1+A1735</f>
        <v>1734</v>
      </c>
      <c r="B1736" s="14" t="n">
        <v>1009611851</v>
      </c>
      <c r="C1736" s="17" t="s">
        <v>181</v>
      </c>
      <c r="D1736" s="16" t="s">
        <v>64</v>
      </c>
      <c r="E1736" s="17" t="s">
        <v>33</v>
      </c>
      <c r="F1736" s="18" t="s">
        <v>34</v>
      </c>
      <c r="G1736" s="19" t="n">
        <v>278019127440</v>
      </c>
      <c r="H1736" s="17" t="s">
        <v>35</v>
      </c>
      <c r="I1736" s="17" t="s">
        <v>74</v>
      </c>
      <c r="J1736" s="17" t="s">
        <v>241</v>
      </c>
      <c r="K1736" s="17" t="str">
        <f aca="false">VLOOKUP(J1736,Sheet2!A:B,2,0)</f>
        <v>NILESH NAGAR</v>
      </c>
      <c r="L1736" s="17" t="n">
        <v>5</v>
      </c>
      <c r="M1736" s="17" t="str">
        <f aca="false">VLOOKUP(L1736,Sheet2!D:E,2,0)</f>
        <v>Main Processor CPU BGA</v>
      </c>
      <c r="N1736" s="17" t="n">
        <v>1</v>
      </c>
      <c r="O1736" s="17" t="str">
        <f aca="false">VLOOKUP(N1736,Sheet2!G:H,2,0)</f>
        <v>Dead</v>
      </c>
      <c r="P1736" s="17" t="n">
        <v>11</v>
      </c>
      <c r="Q1736" s="17" t="str">
        <f aca="false">VLOOKUP(P1736,Sheet2!J:K,2,0)</f>
        <v>IR Declared due to CID -TA</v>
      </c>
      <c r="R1736" s="17" t="s">
        <v>35</v>
      </c>
      <c r="S1736" s="17" t="str">
        <f aca="false">VLOOKUP(R1736,Sheet2!N:O,2,0)</f>
        <v>IREPARABLE</v>
      </c>
      <c r="T1736" s="18" t="str">
        <f aca="false">VLOOKUP(P1736,Sheet2!Q:R,2,0)</f>
        <v>IR Normal - Track burn out</v>
      </c>
      <c r="U1736" s="18" t="s">
        <v>122</v>
      </c>
      <c r="V1736" s="17" t="n">
        <v>2</v>
      </c>
      <c r="W1736" s="20" t="str">
        <f aca="false">VLOOKUP(V1736,Sheet2!Q:R,2,0)</f>
        <v>IR CID -  Water log from other area</v>
      </c>
      <c r="X1736" s="17" t="str">
        <f aca="false">J1736</f>
        <v>A008</v>
      </c>
      <c r="Y1736" s="17" t="str">
        <f aca="false">VLOOKUP(X1736,Sheet2!A:B,2,0)</f>
        <v>NILESH NAGAR</v>
      </c>
      <c r="Z1736" s="17" t="s">
        <v>382</v>
      </c>
      <c r="AA1736" s="17" t="s">
        <v>883</v>
      </c>
      <c r="AB1736" s="17" t="s">
        <v>41</v>
      </c>
      <c r="AC1736" s="0" t="str">
        <f aca="false">LEFT(G1736,2)</f>
        <v>27</v>
      </c>
      <c r="AE1736" s="21" t="s">
        <v>238</v>
      </c>
    </row>
    <row r="1737" customFormat="false" ht="15" hidden="false" customHeight="false" outlineLevel="0" collapsed="false">
      <c r="A1737" s="13" t="n">
        <f aca="false">1+A1736</f>
        <v>1735</v>
      </c>
      <c r="B1737" s="14" t="n">
        <v>1009605760</v>
      </c>
      <c r="C1737" s="17" t="s">
        <v>181</v>
      </c>
      <c r="D1737" s="16" t="s">
        <v>64</v>
      </c>
      <c r="E1737" s="17" t="s">
        <v>64</v>
      </c>
      <c r="F1737" s="18" t="s">
        <v>34</v>
      </c>
      <c r="G1737" s="19" t="n">
        <v>288146206066</v>
      </c>
      <c r="H1737" s="17" t="s">
        <v>35</v>
      </c>
      <c r="I1737" s="17" t="s">
        <v>74</v>
      </c>
      <c r="J1737" s="17" t="s">
        <v>121</v>
      </c>
      <c r="K1737" s="17" t="str">
        <f aca="false">VLOOKUP(J1737,Sheet2!A:B,2,0)</f>
        <v>SHANI GOHIL</v>
      </c>
      <c r="L1737" s="17" t="n">
        <v>1</v>
      </c>
      <c r="M1737" s="17" t="str">
        <f aca="false">VLOOKUP(L1737,Sheet2!D:E,2,0)</f>
        <v>Power Supply Section</v>
      </c>
      <c r="N1737" s="17" t="n">
        <v>1</v>
      </c>
      <c r="O1737" s="17" t="str">
        <f aca="false">VLOOKUP(N1737,Sheet2!G:H,2,0)</f>
        <v>Dead</v>
      </c>
      <c r="P1737" s="17" t="n">
        <v>11</v>
      </c>
      <c r="Q1737" s="17" t="str">
        <f aca="false">VLOOKUP(P1737,Sheet2!J:K,2,0)</f>
        <v>IR Declared due to CID -TA</v>
      </c>
      <c r="R1737" s="17" t="s">
        <v>35</v>
      </c>
      <c r="S1737" s="17" t="str">
        <f aca="false">VLOOKUP(R1737,Sheet2!N:O,2,0)</f>
        <v>IREPARABLE</v>
      </c>
      <c r="T1737" s="18" t="str">
        <f aca="false">VLOOKUP(P1737,Sheet2!Q:R,2,0)</f>
        <v>IR Normal - Track burn out</v>
      </c>
      <c r="U1737" s="18" t="s">
        <v>122</v>
      </c>
      <c r="V1737" s="17" t="n">
        <v>2</v>
      </c>
      <c r="W1737" s="20" t="str">
        <f aca="false">VLOOKUP(V1737,Sheet2!Q:R,2,0)</f>
        <v>IR CID -  Water log from other area</v>
      </c>
      <c r="X1737" s="17" t="str">
        <f aca="false">J1737</f>
        <v>A063</v>
      </c>
      <c r="Y1737" s="17" t="str">
        <f aca="false">VLOOKUP(X1737,Sheet2!A:B,2,0)</f>
        <v>SHANI GOHIL</v>
      </c>
      <c r="Z1737" s="17" t="s">
        <v>813</v>
      </c>
      <c r="AA1737" s="17" t="s">
        <v>883</v>
      </c>
      <c r="AB1737" s="17" t="s">
        <v>41</v>
      </c>
      <c r="AC1737" s="0" t="str">
        <f aca="false">LEFT(G1737,2)</f>
        <v>28</v>
      </c>
      <c r="AE1737" s="21" t="s">
        <v>238</v>
      </c>
    </row>
    <row r="1738" customFormat="false" ht="15" hidden="false" customHeight="false" outlineLevel="0" collapsed="false">
      <c r="A1738" s="13" t="n">
        <f aca="false">1+A1737</f>
        <v>1736</v>
      </c>
      <c r="B1738" s="14" t="n">
        <v>1009635383</v>
      </c>
      <c r="C1738" s="17" t="s">
        <v>182</v>
      </c>
      <c r="D1738" s="16" t="s">
        <v>64</v>
      </c>
      <c r="E1738" s="17" t="s">
        <v>64</v>
      </c>
      <c r="F1738" s="18" t="s">
        <v>34</v>
      </c>
      <c r="G1738" s="19" t="n">
        <v>277234151409</v>
      </c>
      <c r="H1738" s="17" t="s">
        <v>35</v>
      </c>
      <c r="I1738" s="17" t="s">
        <v>74</v>
      </c>
      <c r="J1738" s="17" t="s">
        <v>111</v>
      </c>
      <c r="K1738" s="17" t="str">
        <f aca="false">VLOOKUP(J1738,Sheet2!A:B,2,0)</f>
        <v>NITIN PRANAMI</v>
      </c>
      <c r="L1738" s="17" t="n">
        <v>1</v>
      </c>
      <c r="M1738" s="17" t="str">
        <f aca="false">VLOOKUP(L1738,Sheet2!D:E,2,0)</f>
        <v>Power Supply Section</v>
      </c>
      <c r="N1738" s="17" t="n">
        <v>1</v>
      </c>
      <c r="O1738" s="17" t="str">
        <f aca="false">VLOOKUP(N1738,Sheet2!G:H,2,0)</f>
        <v>Dead</v>
      </c>
      <c r="P1738" s="17" t="n">
        <v>12</v>
      </c>
      <c r="Q1738" s="17" t="str">
        <f aca="false">VLOOKUP(P1738,Sheet2!J:K,2,0)</f>
        <v>IR Declared due to Others ( IR Normal)TB</v>
      </c>
      <c r="R1738" s="17" t="s">
        <v>35</v>
      </c>
      <c r="S1738" s="17" t="str">
        <f aca="false">VLOOKUP(R1738,Sheet2!N:O,2,0)</f>
        <v>IREPARABLE</v>
      </c>
      <c r="T1738" s="18" t="str">
        <f aca="false">VLOOKUP(P1738,Sheet2!Q:R,2,0)</f>
        <v>IR Normal - BER to IR</v>
      </c>
      <c r="U1738" s="18" t="s">
        <v>101</v>
      </c>
      <c r="V1738" s="17" t="n">
        <v>8</v>
      </c>
      <c r="W1738" s="20" t="str">
        <f aca="false">VLOOKUP(V1738,Sheet2!Q:R,2,0)</f>
        <v>IR Normal -TrackRust/InternalDamage/open</v>
      </c>
      <c r="X1738" s="17" t="str">
        <f aca="false">J1738</f>
        <v>A031</v>
      </c>
      <c r="Y1738" s="17" t="str">
        <f aca="false">VLOOKUP(X1738,Sheet2!A:B,2,0)</f>
        <v>NITIN PRANAMI</v>
      </c>
      <c r="Z1738" s="17" t="s">
        <v>381</v>
      </c>
      <c r="AA1738" s="17" t="s">
        <v>883</v>
      </c>
      <c r="AB1738" s="17" t="s">
        <v>41</v>
      </c>
      <c r="AC1738" s="0" t="str">
        <f aca="false">LEFT(G1738,2)</f>
        <v>27</v>
      </c>
      <c r="AE1738" s="21" t="s">
        <v>238</v>
      </c>
    </row>
    <row r="1739" customFormat="false" ht="15" hidden="false" customHeight="false" outlineLevel="0" collapsed="false">
      <c r="A1739" s="13" t="n">
        <f aca="false">1+A1738</f>
        <v>1737</v>
      </c>
      <c r="B1739" s="14" t="n">
        <v>1009427988</v>
      </c>
      <c r="C1739" s="17" t="s">
        <v>179</v>
      </c>
      <c r="D1739" s="16" t="s">
        <v>64</v>
      </c>
      <c r="E1739" s="17" t="s">
        <v>64</v>
      </c>
      <c r="F1739" s="18" t="s">
        <v>34</v>
      </c>
      <c r="G1739" s="19" t="n">
        <v>651076019975</v>
      </c>
      <c r="H1739" s="17" t="s">
        <v>35</v>
      </c>
      <c r="I1739" s="17" t="s">
        <v>50</v>
      </c>
      <c r="J1739" s="17" t="s">
        <v>118</v>
      </c>
      <c r="K1739" s="17" t="str">
        <f aca="false">VLOOKUP(J1739,Sheet2!A:B,2,0)</f>
        <v>DEVENDRA RAJPUT</v>
      </c>
      <c r="L1739" s="17" t="n">
        <v>1</v>
      </c>
      <c r="M1739" s="17" t="str">
        <f aca="false">VLOOKUP(L1739,Sheet2!D:E,2,0)</f>
        <v>Power Supply Section</v>
      </c>
      <c r="N1739" s="17" t="n">
        <v>1</v>
      </c>
      <c r="O1739" s="17" t="str">
        <f aca="false">VLOOKUP(N1739,Sheet2!G:H,2,0)</f>
        <v>Dead</v>
      </c>
      <c r="P1739" s="17" t="n">
        <v>11</v>
      </c>
      <c r="Q1739" s="17" t="str">
        <f aca="false">VLOOKUP(P1739,Sheet2!J:K,2,0)</f>
        <v>IR Declared due to CID -TA</v>
      </c>
      <c r="R1739" s="17" t="s">
        <v>35</v>
      </c>
      <c r="S1739" s="17" t="str">
        <f aca="false">VLOOKUP(R1739,Sheet2!N:O,2,0)</f>
        <v>IREPARABLE</v>
      </c>
      <c r="T1739" s="18" t="str">
        <f aca="false">VLOOKUP(P1739,Sheet2!Q:R,2,0)</f>
        <v>IR Normal - Track burn out</v>
      </c>
      <c r="U1739" s="18" t="s">
        <v>122</v>
      </c>
      <c r="V1739" s="17" t="n">
        <v>2</v>
      </c>
      <c r="W1739" s="20" t="str">
        <f aca="false">VLOOKUP(V1739,Sheet2!Q:R,2,0)</f>
        <v>IR CID -  Water log from other area</v>
      </c>
      <c r="X1739" s="17" t="str">
        <f aca="false">J1739</f>
        <v>A053</v>
      </c>
      <c r="Y1739" s="17" t="str">
        <f aca="false">VLOOKUP(X1739,Sheet2!A:B,2,0)</f>
        <v>DEVENDRA RAJPUT</v>
      </c>
      <c r="Z1739" s="17" t="s">
        <v>411</v>
      </c>
      <c r="AA1739" s="17" t="s">
        <v>883</v>
      </c>
      <c r="AB1739" s="17" t="s">
        <v>41</v>
      </c>
      <c r="AC1739" s="0" t="str">
        <f aca="false">LEFT(G1739,2)</f>
        <v>65</v>
      </c>
      <c r="AE1739" s="21" t="s">
        <v>238</v>
      </c>
    </row>
    <row r="1740" customFormat="false" ht="15" hidden="false" customHeight="false" outlineLevel="0" collapsed="false">
      <c r="A1740" s="13" t="n">
        <f aca="false">1+A1739</f>
        <v>1738</v>
      </c>
      <c r="B1740" s="14" t="n">
        <v>1009635198</v>
      </c>
      <c r="C1740" s="17" t="s">
        <v>182</v>
      </c>
      <c r="D1740" s="16" t="s">
        <v>230</v>
      </c>
      <c r="E1740" s="17" t="s">
        <v>47</v>
      </c>
      <c r="F1740" s="18" t="s">
        <v>34</v>
      </c>
      <c r="G1740" s="19" t="n">
        <v>879215134500</v>
      </c>
      <c r="H1740" s="17" t="s">
        <v>35</v>
      </c>
      <c r="I1740" s="17" t="s">
        <v>79</v>
      </c>
      <c r="J1740" s="17" t="s">
        <v>239</v>
      </c>
      <c r="K1740" s="17" t="str">
        <f aca="false">VLOOKUP(J1740,Sheet2!A:B,2,0)</f>
        <v>VASANT PARMAR</v>
      </c>
      <c r="L1740" s="17" t="n">
        <v>5</v>
      </c>
      <c r="M1740" s="17" t="str">
        <f aca="false">VLOOKUP(L1740,Sheet2!D:E,2,0)</f>
        <v>Main Processor CPU BGA</v>
      </c>
      <c r="N1740" s="17" t="n">
        <v>1</v>
      </c>
      <c r="O1740" s="17" t="str">
        <f aca="false">VLOOKUP(N1740,Sheet2!G:H,2,0)</f>
        <v>Dead</v>
      </c>
      <c r="P1740" s="17" t="n">
        <v>11</v>
      </c>
      <c r="Q1740" s="17" t="str">
        <f aca="false">VLOOKUP(P1740,Sheet2!J:K,2,0)</f>
        <v>IR Declared due to CID -TA</v>
      </c>
      <c r="R1740" s="17" t="s">
        <v>35</v>
      </c>
      <c r="S1740" s="17" t="str">
        <f aca="false">VLOOKUP(R1740,Sheet2!N:O,2,0)</f>
        <v>IREPARABLE</v>
      </c>
      <c r="T1740" s="18" t="str">
        <f aca="false">VLOOKUP(P1740,Sheet2!Q:R,2,0)</f>
        <v>IR Normal - Track burn out</v>
      </c>
      <c r="U1740" s="20" t="s">
        <v>256</v>
      </c>
      <c r="V1740" s="17" t="n">
        <v>1</v>
      </c>
      <c r="W1740" s="20" t="str">
        <f aca="false">VLOOKUP(V1740,Sheet2!Q:R,2,0)</f>
        <v>IR CID -  Water log from IF port</v>
      </c>
      <c r="X1740" s="17" t="str">
        <f aca="false">J1740</f>
        <v>A005</v>
      </c>
      <c r="Y1740" s="17" t="str">
        <f aca="false">VLOOKUP(X1740,Sheet2!A:B,2,0)</f>
        <v>VASANT PARMAR</v>
      </c>
      <c r="Z1740" s="17" t="s">
        <v>306</v>
      </c>
      <c r="AA1740" s="17" t="s">
        <v>883</v>
      </c>
      <c r="AB1740" s="17" t="s">
        <v>41</v>
      </c>
      <c r="AC1740" s="0" t="str">
        <f aca="false">LEFT(G1740,2)</f>
        <v>87</v>
      </c>
      <c r="AE1740" s="21" t="s">
        <v>238</v>
      </c>
    </row>
    <row r="1741" customFormat="false" ht="15" hidden="false" customHeight="false" outlineLevel="0" collapsed="false">
      <c r="A1741" s="13" t="n">
        <f aca="false">1+A1740</f>
        <v>1739</v>
      </c>
      <c r="B1741" s="14" t="n">
        <v>1009679723</v>
      </c>
      <c r="C1741" s="17" t="s">
        <v>413</v>
      </c>
      <c r="D1741" s="16" t="s">
        <v>64</v>
      </c>
      <c r="E1741" s="17" t="s">
        <v>47</v>
      </c>
      <c r="F1741" s="18" t="s">
        <v>34</v>
      </c>
      <c r="G1741" s="19" t="n">
        <v>879283220504</v>
      </c>
      <c r="H1741" s="17" t="s">
        <v>35</v>
      </c>
      <c r="I1741" s="17" t="s">
        <v>79</v>
      </c>
      <c r="J1741" s="17" t="s">
        <v>239</v>
      </c>
      <c r="K1741" s="17" t="str">
        <f aca="false">VLOOKUP(J1741,Sheet2!A:B,2,0)</f>
        <v>VASANT PARMAR</v>
      </c>
      <c r="L1741" s="17" t="n">
        <v>5</v>
      </c>
      <c r="M1741" s="17" t="str">
        <f aca="false">VLOOKUP(L1741,Sheet2!D:E,2,0)</f>
        <v>Main Processor CPU BGA</v>
      </c>
      <c r="N1741" s="17" t="n">
        <v>1</v>
      </c>
      <c r="O1741" s="17" t="str">
        <f aca="false">VLOOKUP(N1741,Sheet2!G:H,2,0)</f>
        <v>Dead</v>
      </c>
      <c r="P1741" s="17" t="n">
        <v>11</v>
      </c>
      <c r="Q1741" s="17" t="str">
        <f aca="false">VLOOKUP(P1741,Sheet2!J:K,2,0)</f>
        <v>IR Declared due to CID -TA</v>
      </c>
      <c r="R1741" s="17" t="s">
        <v>35</v>
      </c>
      <c r="S1741" s="17" t="str">
        <f aca="false">VLOOKUP(R1741,Sheet2!N:O,2,0)</f>
        <v>IREPARABLE</v>
      </c>
      <c r="T1741" s="18" t="str">
        <f aca="false">VLOOKUP(P1741,Sheet2!Q:R,2,0)</f>
        <v>IR Normal - Track burn out</v>
      </c>
      <c r="U1741" s="18" t="s">
        <v>38</v>
      </c>
      <c r="V1741" s="17" t="n">
        <v>4</v>
      </c>
      <c r="W1741" s="20" t="str">
        <f aca="false">VLOOKUP(V1741,Sheet2!Q:R,2,0)</f>
        <v>IR CID - Tampered Track burn out</v>
      </c>
      <c r="X1741" s="17" t="str">
        <f aca="false">J1741</f>
        <v>A005</v>
      </c>
      <c r="Y1741" s="17" t="str">
        <f aca="false">VLOOKUP(X1741,Sheet2!A:B,2,0)</f>
        <v>VASANT PARMAR</v>
      </c>
      <c r="Z1741" s="17" t="s">
        <v>900</v>
      </c>
      <c r="AA1741" s="17" t="s">
        <v>883</v>
      </c>
      <c r="AB1741" s="17" t="s">
        <v>41</v>
      </c>
      <c r="AC1741" s="0" t="str">
        <f aca="false">LEFT(G1741,2)</f>
        <v>87</v>
      </c>
      <c r="AE1741" s="21" t="s">
        <v>506</v>
      </c>
    </row>
    <row r="1742" customFormat="false" ht="15" hidden="false" customHeight="false" outlineLevel="0" collapsed="false">
      <c r="A1742" s="13" t="n">
        <f aca="false">1+A1741</f>
        <v>1740</v>
      </c>
      <c r="B1742" s="14" t="n">
        <v>1009599765</v>
      </c>
      <c r="C1742" s="17" t="s">
        <v>159</v>
      </c>
      <c r="D1742" s="16" t="s">
        <v>64</v>
      </c>
      <c r="E1742" s="17" t="s">
        <v>64</v>
      </c>
      <c r="F1742" s="18" t="s">
        <v>34</v>
      </c>
      <c r="G1742" s="19" t="n">
        <v>300359134818</v>
      </c>
      <c r="H1742" s="17" t="s">
        <v>35</v>
      </c>
      <c r="I1742" s="17" t="s">
        <v>79</v>
      </c>
      <c r="J1742" s="17" t="s">
        <v>100</v>
      </c>
      <c r="K1742" s="17" t="str">
        <f aca="false">VLOOKUP(J1742,Sheet2!A:B,2,0)</f>
        <v>PIYUSH CHAVDA</v>
      </c>
      <c r="L1742" s="17" t="n">
        <v>2</v>
      </c>
      <c r="M1742" s="17" t="str">
        <f aca="false">VLOOKUP(L1742,Sheet2!D:E,2,0)</f>
        <v>Tuner Section</v>
      </c>
      <c r="N1742" s="17" t="n">
        <v>6</v>
      </c>
      <c r="O1742" s="17" t="str">
        <f aca="false">VLOOKUP(N1742,Sheet2!G:H,2,0)</f>
        <v>No Signal</v>
      </c>
      <c r="P1742" s="17" t="n">
        <v>12</v>
      </c>
      <c r="Q1742" s="17" t="str">
        <f aca="false">VLOOKUP(P1742,Sheet2!J:K,2,0)</f>
        <v>IR Declared due to Others ( IR Normal)TB</v>
      </c>
      <c r="R1742" s="17" t="s">
        <v>35</v>
      </c>
      <c r="S1742" s="17" t="str">
        <f aca="false">VLOOKUP(R1742,Sheet2!N:O,2,0)</f>
        <v>IREPARABLE</v>
      </c>
      <c r="T1742" s="18" t="str">
        <f aca="false">VLOOKUP(P1742,Sheet2!Q:R,2,0)</f>
        <v>IR Normal - BER to IR</v>
      </c>
      <c r="U1742" s="18" t="s">
        <v>101</v>
      </c>
      <c r="V1742" s="17" t="n">
        <v>8</v>
      </c>
      <c r="W1742" s="20" t="str">
        <f aca="false">VLOOKUP(V1742,Sheet2!Q:R,2,0)</f>
        <v>IR Normal -TrackRust/InternalDamage/open</v>
      </c>
      <c r="X1742" s="17" t="str">
        <f aca="false">J1742</f>
        <v>A050</v>
      </c>
      <c r="Y1742" s="17" t="str">
        <f aca="false">VLOOKUP(X1742,Sheet2!A:B,2,0)</f>
        <v>PIYUSH CHAVDA</v>
      </c>
      <c r="Z1742" s="17" t="s">
        <v>361</v>
      </c>
      <c r="AA1742" s="17" t="s">
        <v>883</v>
      </c>
      <c r="AB1742" s="17" t="s">
        <v>41</v>
      </c>
      <c r="AC1742" s="0" t="str">
        <f aca="false">LEFT(G1742,2)</f>
        <v>30</v>
      </c>
      <c r="AE1742" s="21" t="s">
        <v>506</v>
      </c>
    </row>
    <row r="1743" customFormat="false" ht="15" hidden="false" customHeight="false" outlineLevel="0" collapsed="false">
      <c r="A1743" s="13" t="n">
        <f aca="false">1+A1742</f>
        <v>1741</v>
      </c>
      <c r="B1743" s="14" t="n">
        <v>1009606217</v>
      </c>
      <c r="C1743" s="17" t="s">
        <v>181</v>
      </c>
      <c r="D1743" s="16" t="s">
        <v>64</v>
      </c>
      <c r="E1743" s="17" t="s">
        <v>64</v>
      </c>
      <c r="F1743" s="18" t="s">
        <v>34</v>
      </c>
      <c r="G1743" s="19" t="n">
        <v>889320812312</v>
      </c>
      <c r="H1743" s="17" t="s">
        <v>35</v>
      </c>
      <c r="I1743" s="17" t="s">
        <v>79</v>
      </c>
      <c r="J1743" s="17" t="s">
        <v>267</v>
      </c>
      <c r="K1743" s="17" t="str">
        <f aca="false">VLOOKUP(J1743,Sheet2!A:B,2,0)</f>
        <v>HARIRAM GUPTA</v>
      </c>
      <c r="L1743" s="17" t="n">
        <v>1</v>
      </c>
      <c r="M1743" s="17" t="str">
        <f aca="false">VLOOKUP(L1743,Sheet2!D:E,2,0)</f>
        <v>Power Supply Section</v>
      </c>
      <c r="N1743" s="17" t="n">
        <v>1</v>
      </c>
      <c r="O1743" s="17" t="str">
        <f aca="false">VLOOKUP(N1743,Sheet2!G:H,2,0)</f>
        <v>Dead</v>
      </c>
      <c r="P1743" s="17" t="n">
        <v>11</v>
      </c>
      <c r="Q1743" s="17" t="str">
        <f aca="false">VLOOKUP(P1743,Sheet2!J:K,2,0)</f>
        <v>IR Declared due to CID -TA</v>
      </c>
      <c r="R1743" s="17" t="s">
        <v>35</v>
      </c>
      <c r="S1743" s="17" t="str">
        <f aca="false">VLOOKUP(R1743,Sheet2!N:O,2,0)</f>
        <v>IREPARABLE</v>
      </c>
      <c r="T1743" s="18" t="str">
        <f aca="false">VLOOKUP(P1743,Sheet2!Q:R,2,0)</f>
        <v>IR Normal - Track burn out</v>
      </c>
      <c r="U1743" s="18" t="s">
        <v>122</v>
      </c>
      <c r="V1743" s="17" t="n">
        <v>2</v>
      </c>
      <c r="W1743" s="20" t="str">
        <f aca="false">VLOOKUP(V1743,Sheet2!Q:R,2,0)</f>
        <v>IR CID -  Water log from other area</v>
      </c>
      <c r="X1743" s="17" t="str">
        <f aca="false">J1743</f>
        <v>A007</v>
      </c>
      <c r="Y1743" s="17" t="str">
        <f aca="false">VLOOKUP(X1743,Sheet2!A:B,2,0)</f>
        <v>HARIRAM GUPTA</v>
      </c>
      <c r="Z1743" s="17" t="s">
        <v>901</v>
      </c>
      <c r="AA1743" s="17" t="s">
        <v>883</v>
      </c>
      <c r="AB1743" s="17" t="s">
        <v>41</v>
      </c>
      <c r="AC1743" s="0" t="str">
        <f aca="false">LEFT(G1743,2)</f>
        <v>88</v>
      </c>
      <c r="AE1743" s="21" t="s">
        <v>506</v>
      </c>
    </row>
    <row r="1744" customFormat="false" ht="15" hidden="false" customHeight="false" outlineLevel="0" collapsed="false">
      <c r="A1744" s="13" t="n">
        <f aca="false">1+A1743</f>
        <v>1742</v>
      </c>
      <c r="B1744" s="14" t="n">
        <v>1009608489</v>
      </c>
      <c r="C1744" s="15" t="s">
        <v>181</v>
      </c>
      <c r="D1744" s="16" t="s">
        <v>280</v>
      </c>
      <c r="E1744" s="17" t="s">
        <v>47</v>
      </c>
      <c r="F1744" s="18" t="s">
        <v>34</v>
      </c>
      <c r="G1744" s="19" t="n">
        <v>889244327595</v>
      </c>
      <c r="H1744" s="17" t="s">
        <v>35</v>
      </c>
      <c r="I1744" s="17" t="s">
        <v>79</v>
      </c>
      <c r="J1744" s="17" t="s">
        <v>121</v>
      </c>
      <c r="K1744" s="17" t="str">
        <f aca="false">VLOOKUP(J1744,Sheet2!A:B,2,0)</f>
        <v>SHANI GOHIL</v>
      </c>
      <c r="L1744" s="17" t="n">
        <v>2</v>
      </c>
      <c r="M1744" s="17" t="str">
        <f aca="false">VLOOKUP(L1744,Sheet2!D:E,2,0)</f>
        <v>Tuner Section</v>
      </c>
      <c r="N1744" s="17" t="n">
        <v>6</v>
      </c>
      <c r="O1744" s="17" t="str">
        <f aca="false">VLOOKUP(N1744,Sheet2!G:H,2,0)</f>
        <v>No Signal</v>
      </c>
      <c r="P1744" s="17" t="n">
        <v>11</v>
      </c>
      <c r="Q1744" s="17" t="str">
        <f aca="false">VLOOKUP(P1744,Sheet2!J:K,2,0)</f>
        <v>IR Declared due to CID -TA</v>
      </c>
      <c r="R1744" s="17" t="s">
        <v>35</v>
      </c>
      <c r="S1744" s="17" t="str">
        <f aca="false">VLOOKUP(R1744,Sheet2!N:O,2,0)</f>
        <v>IREPARABLE</v>
      </c>
      <c r="T1744" s="18" t="str">
        <f aca="false">VLOOKUP(P1744,Sheet2!Q:R,2,0)</f>
        <v>IR Normal - Track burn out</v>
      </c>
      <c r="U1744" s="20" t="s">
        <v>256</v>
      </c>
      <c r="V1744" s="17" t="n">
        <v>1</v>
      </c>
      <c r="W1744" s="20" t="str">
        <f aca="false">VLOOKUP(V1744,Sheet2!Q:R,2,0)</f>
        <v>IR CID -  Water log from IF port</v>
      </c>
      <c r="X1744" s="17" t="str">
        <f aca="false">J1744</f>
        <v>A063</v>
      </c>
      <c r="Y1744" s="17" t="str">
        <f aca="false">VLOOKUP(X1744,Sheet2!A:B,2,0)</f>
        <v>SHANI GOHIL</v>
      </c>
      <c r="Z1744" s="17" t="s">
        <v>306</v>
      </c>
      <c r="AA1744" s="17" t="s">
        <v>883</v>
      </c>
      <c r="AB1744" s="17" t="s">
        <v>41</v>
      </c>
      <c r="AC1744" s="0" t="str">
        <f aca="false">LEFT(G1744,2)</f>
        <v>88</v>
      </c>
      <c r="AE1744" s="21" t="s">
        <v>506</v>
      </c>
    </row>
    <row r="1745" customFormat="false" ht="15" hidden="false" customHeight="false" outlineLevel="0" collapsed="false">
      <c r="A1745" s="13" t="n">
        <f aca="false">1+A1744</f>
        <v>1743</v>
      </c>
      <c r="B1745" s="14" t="n">
        <v>1009566703</v>
      </c>
      <c r="C1745" s="15" t="s">
        <v>102</v>
      </c>
      <c r="D1745" s="16" t="s">
        <v>167</v>
      </c>
      <c r="E1745" s="17" t="s">
        <v>47</v>
      </c>
      <c r="F1745" s="18" t="s">
        <v>34</v>
      </c>
      <c r="G1745" s="19" t="n">
        <v>889286390105</v>
      </c>
      <c r="H1745" s="17" t="s">
        <v>35</v>
      </c>
      <c r="I1745" s="17" t="s">
        <v>79</v>
      </c>
      <c r="J1745" s="17" t="s">
        <v>118</v>
      </c>
      <c r="K1745" s="17" t="str">
        <f aca="false">VLOOKUP(J1745,Sheet2!A:B,2,0)</f>
        <v>DEVENDRA RAJPUT</v>
      </c>
      <c r="L1745" s="17" t="n">
        <v>2</v>
      </c>
      <c r="M1745" s="17" t="str">
        <f aca="false">VLOOKUP(L1745,Sheet2!D:E,2,0)</f>
        <v>Tuner Section</v>
      </c>
      <c r="N1745" s="17" t="n">
        <v>6</v>
      </c>
      <c r="O1745" s="17" t="str">
        <f aca="false">VLOOKUP(N1745,Sheet2!G:H,2,0)</f>
        <v>No Signal</v>
      </c>
      <c r="P1745" s="17" t="n">
        <v>11</v>
      </c>
      <c r="Q1745" s="17" t="str">
        <f aca="false">VLOOKUP(P1745,Sheet2!J:K,2,0)</f>
        <v>IR Declared due to CID -TA</v>
      </c>
      <c r="R1745" s="17" t="s">
        <v>35</v>
      </c>
      <c r="S1745" s="17" t="str">
        <f aca="false">VLOOKUP(R1745,Sheet2!N:O,2,0)</f>
        <v>IREPARABLE</v>
      </c>
      <c r="T1745" s="18" t="str">
        <f aca="false">VLOOKUP(P1745,Sheet2!Q:R,2,0)</f>
        <v>IR Normal - Track burn out</v>
      </c>
      <c r="U1745" s="20" t="s">
        <v>256</v>
      </c>
      <c r="V1745" s="17" t="n">
        <v>1</v>
      </c>
      <c r="W1745" s="20" t="str">
        <f aca="false">VLOOKUP(V1745,Sheet2!Q:R,2,0)</f>
        <v>IR CID -  Water log from IF port</v>
      </c>
      <c r="X1745" s="17" t="str">
        <f aca="false">J1745</f>
        <v>A053</v>
      </c>
      <c r="Y1745" s="17" t="str">
        <f aca="false">VLOOKUP(X1745,Sheet2!A:B,2,0)</f>
        <v>DEVENDRA RAJPUT</v>
      </c>
      <c r="Z1745" s="17" t="s">
        <v>306</v>
      </c>
      <c r="AA1745" s="17" t="s">
        <v>883</v>
      </c>
      <c r="AB1745" s="17" t="s">
        <v>41</v>
      </c>
      <c r="AC1745" s="0" t="str">
        <f aca="false">LEFT(G1745,2)</f>
        <v>88</v>
      </c>
      <c r="AE1745" s="21" t="s">
        <v>506</v>
      </c>
    </row>
    <row r="1746" customFormat="false" ht="15" hidden="false" customHeight="false" outlineLevel="0" collapsed="false">
      <c r="A1746" s="13" t="n">
        <f aca="false">1+A1745</f>
        <v>1744</v>
      </c>
      <c r="B1746" s="14" t="n">
        <v>1009626959</v>
      </c>
      <c r="C1746" s="15" t="s">
        <v>163</v>
      </c>
      <c r="D1746" s="16" t="s">
        <v>64</v>
      </c>
      <c r="E1746" s="17" t="s">
        <v>64</v>
      </c>
      <c r="F1746" s="18" t="s">
        <v>34</v>
      </c>
      <c r="G1746" s="19" t="n">
        <v>889277306961</v>
      </c>
      <c r="H1746" s="17" t="s">
        <v>35</v>
      </c>
      <c r="I1746" s="17" t="s">
        <v>79</v>
      </c>
      <c r="J1746" s="17" t="s">
        <v>267</v>
      </c>
      <c r="K1746" s="17" t="str">
        <f aca="false">VLOOKUP(J1746,Sheet2!A:B,2,0)</f>
        <v>HARIRAM GUPTA</v>
      </c>
      <c r="L1746" s="17" t="n">
        <v>2</v>
      </c>
      <c r="M1746" s="17" t="str">
        <f aca="false">VLOOKUP(L1746,Sheet2!D:E,2,0)</f>
        <v>Tuner Section</v>
      </c>
      <c r="N1746" s="17" t="n">
        <v>6</v>
      </c>
      <c r="O1746" s="17" t="str">
        <f aca="false">VLOOKUP(N1746,Sheet2!G:H,2,0)</f>
        <v>No Signal</v>
      </c>
      <c r="P1746" s="17" t="n">
        <v>11</v>
      </c>
      <c r="Q1746" s="17" t="str">
        <f aca="false">VLOOKUP(P1746,Sheet2!J:K,2,0)</f>
        <v>IR Declared due to CID -TA</v>
      </c>
      <c r="R1746" s="17" t="s">
        <v>35</v>
      </c>
      <c r="S1746" s="17" t="str">
        <f aca="false">VLOOKUP(R1746,Sheet2!N:O,2,0)</f>
        <v>IREPARABLE</v>
      </c>
      <c r="T1746" s="18" t="str">
        <f aca="false">VLOOKUP(P1746,Sheet2!Q:R,2,0)</f>
        <v>IR Normal - Track burn out</v>
      </c>
      <c r="U1746" s="18" t="s">
        <v>122</v>
      </c>
      <c r="V1746" s="17" t="n">
        <v>2</v>
      </c>
      <c r="W1746" s="20" t="str">
        <f aca="false">VLOOKUP(V1746,Sheet2!Q:R,2,0)</f>
        <v>IR CID -  Water log from other area</v>
      </c>
      <c r="X1746" s="17" t="str">
        <f aca="false">J1746</f>
        <v>A007</v>
      </c>
      <c r="Y1746" s="17" t="str">
        <f aca="false">VLOOKUP(X1746,Sheet2!A:B,2,0)</f>
        <v>HARIRAM GUPTA</v>
      </c>
      <c r="Z1746" s="17" t="s">
        <v>306</v>
      </c>
      <c r="AA1746" s="17" t="s">
        <v>883</v>
      </c>
      <c r="AB1746" s="17" t="s">
        <v>41</v>
      </c>
      <c r="AC1746" s="0" t="str">
        <f aca="false">LEFT(G1746,2)</f>
        <v>88</v>
      </c>
      <c r="AE1746" s="21" t="s">
        <v>506</v>
      </c>
    </row>
    <row r="1747" customFormat="false" ht="15" hidden="false" customHeight="false" outlineLevel="0" collapsed="false">
      <c r="A1747" s="13" t="n">
        <f aca="false">1+A1746</f>
        <v>1745</v>
      </c>
      <c r="B1747" s="14" t="n">
        <v>1009621136</v>
      </c>
      <c r="C1747" s="15" t="s">
        <v>184</v>
      </c>
      <c r="D1747" s="16" t="s">
        <v>64</v>
      </c>
      <c r="E1747" s="17" t="s">
        <v>64</v>
      </c>
      <c r="F1747" s="18" t="s">
        <v>34</v>
      </c>
      <c r="G1747" s="19" t="n">
        <v>301067236267</v>
      </c>
      <c r="H1747" s="17" t="s">
        <v>35</v>
      </c>
      <c r="I1747" s="17" t="s">
        <v>79</v>
      </c>
      <c r="J1747" s="17" t="s">
        <v>267</v>
      </c>
      <c r="K1747" s="17" t="str">
        <f aca="false">VLOOKUP(J1747,Sheet2!A:B,2,0)</f>
        <v>HARIRAM GUPTA</v>
      </c>
      <c r="L1747" s="17" t="n">
        <v>1</v>
      </c>
      <c r="M1747" s="17" t="str">
        <f aca="false">VLOOKUP(L1747,Sheet2!D:E,2,0)</f>
        <v>Power Supply Section</v>
      </c>
      <c r="N1747" s="17" t="n">
        <v>1</v>
      </c>
      <c r="O1747" s="17" t="str">
        <f aca="false">VLOOKUP(N1747,Sheet2!G:H,2,0)</f>
        <v>Dead</v>
      </c>
      <c r="P1747" s="17" t="n">
        <v>11</v>
      </c>
      <c r="Q1747" s="17" t="str">
        <f aca="false">VLOOKUP(P1747,Sheet2!J:K,2,0)</f>
        <v>IR Declared due to CID -TA</v>
      </c>
      <c r="R1747" s="17" t="s">
        <v>35</v>
      </c>
      <c r="S1747" s="17" t="str">
        <f aca="false">VLOOKUP(R1747,Sheet2!N:O,2,0)</f>
        <v>IREPARABLE</v>
      </c>
      <c r="T1747" s="18" t="str">
        <f aca="false">VLOOKUP(P1747,Sheet2!Q:R,2,0)</f>
        <v>IR Normal - Track burn out</v>
      </c>
      <c r="U1747" s="20" t="s">
        <v>256</v>
      </c>
      <c r="V1747" s="17" t="n">
        <v>1</v>
      </c>
      <c r="W1747" s="20" t="str">
        <f aca="false">VLOOKUP(V1747,Sheet2!Q:R,2,0)</f>
        <v>IR CID -  Water log from IF port</v>
      </c>
      <c r="X1747" s="17" t="str">
        <f aca="false">J1747</f>
        <v>A007</v>
      </c>
      <c r="Y1747" s="17" t="str">
        <f aca="false">VLOOKUP(X1747,Sheet2!A:B,2,0)</f>
        <v>HARIRAM GUPTA</v>
      </c>
      <c r="Z1747" s="17" t="s">
        <v>306</v>
      </c>
      <c r="AA1747" s="17" t="s">
        <v>883</v>
      </c>
      <c r="AB1747" s="17" t="s">
        <v>41</v>
      </c>
      <c r="AC1747" s="0" t="str">
        <f aca="false">LEFT(G1747,2)</f>
        <v>30</v>
      </c>
      <c r="AE1747" s="21" t="s">
        <v>506</v>
      </c>
    </row>
    <row r="1748" customFormat="false" ht="15" hidden="false" customHeight="false" outlineLevel="0" collapsed="false">
      <c r="A1748" s="13" t="n">
        <f aca="false">1+A1747</f>
        <v>1746</v>
      </c>
      <c r="B1748" s="14" t="n">
        <v>1009647717</v>
      </c>
      <c r="C1748" s="15" t="s">
        <v>204</v>
      </c>
      <c r="D1748" s="16" t="s">
        <v>64</v>
      </c>
      <c r="E1748" s="17" t="s">
        <v>64</v>
      </c>
      <c r="F1748" s="18" t="s">
        <v>34</v>
      </c>
      <c r="G1748" s="19" t="n">
        <v>879108122463</v>
      </c>
      <c r="H1748" s="17" t="s">
        <v>35</v>
      </c>
      <c r="I1748" s="17" t="s">
        <v>79</v>
      </c>
      <c r="J1748" s="17" t="s">
        <v>121</v>
      </c>
      <c r="K1748" s="17" t="str">
        <f aca="false">VLOOKUP(J1748,Sheet2!A:B,2,0)</f>
        <v>SHANI GOHIL</v>
      </c>
      <c r="L1748" s="17" t="n">
        <v>2</v>
      </c>
      <c r="M1748" s="17" t="str">
        <f aca="false">VLOOKUP(L1748,Sheet2!D:E,2,0)</f>
        <v>Tuner Section</v>
      </c>
      <c r="N1748" s="17" t="n">
        <v>6</v>
      </c>
      <c r="O1748" s="17" t="str">
        <f aca="false">VLOOKUP(N1748,Sheet2!G:H,2,0)</f>
        <v>No Signal</v>
      </c>
      <c r="P1748" s="17" t="n">
        <v>11</v>
      </c>
      <c r="Q1748" s="17" t="str">
        <f aca="false">VLOOKUP(P1748,Sheet2!J:K,2,0)</f>
        <v>IR Declared due to CID -TA</v>
      </c>
      <c r="R1748" s="17" t="s">
        <v>35</v>
      </c>
      <c r="S1748" s="17" t="str">
        <f aca="false">VLOOKUP(R1748,Sheet2!N:O,2,0)</f>
        <v>IREPARABLE</v>
      </c>
      <c r="T1748" s="18" t="str">
        <f aca="false">VLOOKUP(P1748,Sheet2!Q:R,2,0)</f>
        <v>IR Normal - Track burn out</v>
      </c>
      <c r="U1748" s="20" t="s">
        <v>256</v>
      </c>
      <c r="V1748" s="17" t="n">
        <v>1</v>
      </c>
      <c r="W1748" s="20" t="str">
        <f aca="false">VLOOKUP(V1748,Sheet2!Q:R,2,0)</f>
        <v>IR CID -  Water log from IF port</v>
      </c>
      <c r="X1748" s="17" t="str">
        <f aca="false">J1748</f>
        <v>A063</v>
      </c>
      <c r="Y1748" s="17" t="str">
        <f aca="false">VLOOKUP(X1748,Sheet2!A:B,2,0)</f>
        <v>SHANI GOHIL</v>
      </c>
      <c r="Z1748" s="17" t="s">
        <v>306</v>
      </c>
      <c r="AA1748" s="17" t="s">
        <v>883</v>
      </c>
      <c r="AB1748" s="17" t="s">
        <v>41</v>
      </c>
      <c r="AC1748" s="0" t="str">
        <f aca="false">LEFT(G1748,2)</f>
        <v>87</v>
      </c>
      <c r="AE1748" s="21" t="s">
        <v>506</v>
      </c>
    </row>
    <row r="1749" customFormat="false" ht="15" hidden="false" customHeight="false" outlineLevel="0" collapsed="false">
      <c r="A1749" s="13" t="n">
        <f aca="false">1+A1748</f>
        <v>1747</v>
      </c>
      <c r="B1749" s="14" t="n">
        <v>1009421127</v>
      </c>
      <c r="C1749" s="15" t="s">
        <v>184</v>
      </c>
      <c r="D1749" s="16" t="s">
        <v>359</v>
      </c>
      <c r="E1749" s="17" t="s">
        <v>47</v>
      </c>
      <c r="F1749" s="18" t="s">
        <v>34</v>
      </c>
      <c r="G1749" s="19" t="n">
        <v>879193216063</v>
      </c>
      <c r="H1749" s="17" t="s">
        <v>35</v>
      </c>
      <c r="I1749" s="17" t="s">
        <v>79</v>
      </c>
      <c r="J1749" s="17" t="s">
        <v>267</v>
      </c>
      <c r="K1749" s="17" t="str">
        <f aca="false">VLOOKUP(J1749,Sheet2!A:B,2,0)</f>
        <v>HARIRAM GUPTA</v>
      </c>
      <c r="L1749" s="17" t="n">
        <v>1</v>
      </c>
      <c r="M1749" s="17" t="str">
        <f aca="false">VLOOKUP(L1749,Sheet2!D:E,2,0)</f>
        <v>Power Supply Section</v>
      </c>
      <c r="N1749" s="17" t="n">
        <v>1</v>
      </c>
      <c r="O1749" s="17" t="str">
        <f aca="false">VLOOKUP(N1749,Sheet2!G:H,2,0)</f>
        <v>Dead</v>
      </c>
      <c r="P1749" s="17" t="n">
        <v>11</v>
      </c>
      <c r="Q1749" s="17" t="str">
        <f aca="false">VLOOKUP(P1749,Sheet2!J:K,2,0)</f>
        <v>IR Declared due to CID -TA</v>
      </c>
      <c r="R1749" s="17" t="s">
        <v>35</v>
      </c>
      <c r="S1749" s="17" t="str">
        <f aca="false">VLOOKUP(R1749,Sheet2!N:O,2,0)</f>
        <v>IREPARABLE</v>
      </c>
      <c r="T1749" s="18" t="str">
        <f aca="false">VLOOKUP(P1749,Sheet2!Q:R,2,0)</f>
        <v>IR Normal - Track burn out</v>
      </c>
      <c r="U1749" s="20" t="s">
        <v>256</v>
      </c>
      <c r="V1749" s="17" t="n">
        <v>1</v>
      </c>
      <c r="W1749" s="20" t="str">
        <f aca="false">VLOOKUP(V1749,Sheet2!Q:R,2,0)</f>
        <v>IR CID -  Water log from IF port</v>
      </c>
      <c r="X1749" s="17" t="str">
        <f aca="false">J1749</f>
        <v>A007</v>
      </c>
      <c r="Y1749" s="17" t="str">
        <f aca="false">VLOOKUP(X1749,Sheet2!A:B,2,0)</f>
        <v>HARIRAM GUPTA</v>
      </c>
      <c r="Z1749" s="17" t="s">
        <v>306</v>
      </c>
      <c r="AA1749" s="17" t="s">
        <v>883</v>
      </c>
      <c r="AB1749" s="17" t="s">
        <v>41</v>
      </c>
      <c r="AC1749" s="0" t="str">
        <f aca="false">LEFT(G1749,2)</f>
        <v>87</v>
      </c>
      <c r="AE1749" s="21" t="s">
        <v>506</v>
      </c>
    </row>
    <row r="1750" customFormat="false" ht="15" hidden="false" customHeight="false" outlineLevel="0" collapsed="false">
      <c r="A1750" s="13" t="n">
        <f aca="false">1+A1749</f>
        <v>1748</v>
      </c>
      <c r="B1750" s="14" t="n">
        <v>1009570959</v>
      </c>
      <c r="C1750" s="15" t="s">
        <v>102</v>
      </c>
      <c r="D1750" s="16" t="s">
        <v>64</v>
      </c>
      <c r="E1750" s="17" t="s">
        <v>64</v>
      </c>
      <c r="F1750" s="18" t="s">
        <v>34</v>
      </c>
      <c r="G1750" s="19" t="n">
        <v>889343174757</v>
      </c>
      <c r="H1750" s="17" t="s">
        <v>35</v>
      </c>
      <c r="I1750" s="17" t="s">
        <v>79</v>
      </c>
      <c r="J1750" s="17" t="s">
        <v>267</v>
      </c>
      <c r="K1750" s="17" t="str">
        <f aca="false">VLOOKUP(J1750,Sheet2!A:B,2,0)</f>
        <v>HARIRAM GUPTA</v>
      </c>
      <c r="L1750" s="17" t="n">
        <v>7</v>
      </c>
      <c r="M1750" s="17" t="str">
        <f aca="false">VLOOKUP(L1750,Sheet2!D:E,2,0)</f>
        <v>Card Reader Section</v>
      </c>
      <c r="N1750" s="17" t="n">
        <v>37</v>
      </c>
      <c r="O1750" s="17" t="str">
        <f aca="false">VLOOKUP(N1750,Sheet2!G:H,2,0)</f>
        <v>Error -2</v>
      </c>
      <c r="P1750" s="17" t="n">
        <v>11</v>
      </c>
      <c r="Q1750" s="17" t="str">
        <f aca="false">VLOOKUP(P1750,Sheet2!J:K,2,0)</f>
        <v>IR Declared due to CID -TA</v>
      </c>
      <c r="R1750" s="17" t="s">
        <v>35</v>
      </c>
      <c r="S1750" s="17" t="str">
        <f aca="false">VLOOKUP(R1750,Sheet2!N:O,2,0)</f>
        <v>IREPARABLE</v>
      </c>
      <c r="T1750" s="18" t="str">
        <f aca="false">VLOOKUP(P1750,Sheet2!Q:R,2,0)</f>
        <v>IR Normal - Track burn out</v>
      </c>
      <c r="U1750" s="18" t="s">
        <v>122</v>
      </c>
      <c r="V1750" s="17" t="n">
        <v>2</v>
      </c>
      <c r="W1750" s="20" t="str">
        <f aca="false">VLOOKUP(V1750,Sheet2!Q:R,2,0)</f>
        <v>IR CID -  Water log from other area</v>
      </c>
      <c r="X1750" s="17" t="str">
        <f aca="false">J1750</f>
        <v>A007</v>
      </c>
      <c r="Y1750" s="17" t="str">
        <f aca="false">VLOOKUP(X1750,Sheet2!A:B,2,0)</f>
        <v>HARIRAM GUPTA</v>
      </c>
      <c r="Z1750" s="17" t="s">
        <v>902</v>
      </c>
      <c r="AA1750" s="17" t="s">
        <v>883</v>
      </c>
      <c r="AB1750" s="17" t="s">
        <v>41</v>
      </c>
      <c r="AC1750" s="0" t="str">
        <f aca="false">LEFT(G1750,2)</f>
        <v>88</v>
      </c>
      <c r="AE1750" s="21" t="s">
        <v>506</v>
      </c>
    </row>
    <row r="1751" customFormat="false" ht="15" hidden="false" customHeight="false" outlineLevel="0" collapsed="false">
      <c r="A1751" s="13" t="n">
        <f aca="false">1+A1750</f>
        <v>1749</v>
      </c>
      <c r="B1751" s="14" t="n">
        <v>1009614875</v>
      </c>
      <c r="C1751" s="15" t="s">
        <v>184</v>
      </c>
      <c r="D1751" s="16" t="s">
        <v>119</v>
      </c>
      <c r="E1751" s="17" t="s">
        <v>274</v>
      </c>
      <c r="F1751" s="18" t="s">
        <v>34</v>
      </c>
      <c r="G1751" s="19" t="n">
        <v>889293140535</v>
      </c>
      <c r="H1751" s="17" t="s">
        <v>35</v>
      </c>
      <c r="I1751" s="17" t="s">
        <v>79</v>
      </c>
      <c r="J1751" s="17" t="s">
        <v>267</v>
      </c>
      <c r="K1751" s="17" t="str">
        <f aca="false">VLOOKUP(J1751,Sheet2!A:B,2,0)</f>
        <v>HARIRAM GUPTA</v>
      </c>
      <c r="L1751" s="17" t="n">
        <v>1</v>
      </c>
      <c r="M1751" s="17" t="str">
        <f aca="false">VLOOKUP(L1751,Sheet2!D:E,2,0)</f>
        <v>Power Supply Section</v>
      </c>
      <c r="N1751" s="17" t="n">
        <v>1</v>
      </c>
      <c r="O1751" s="17" t="str">
        <f aca="false">VLOOKUP(N1751,Sheet2!G:H,2,0)</f>
        <v>Dead</v>
      </c>
      <c r="P1751" s="17" t="n">
        <v>11</v>
      </c>
      <c r="Q1751" s="17" t="str">
        <f aca="false">VLOOKUP(P1751,Sheet2!J:K,2,0)</f>
        <v>IR Declared due to CID -TA</v>
      </c>
      <c r="R1751" s="17" t="s">
        <v>35</v>
      </c>
      <c r="S1751" s="17" t="str">
        <f aca="false">VLOOKUP(R1751,Sheet2!N:O,2,0)</f>
        <v>IREPARABLE</v>
      </c>
      <c r="T1751" s="18" t="str">
        <f aca="false">VLOOKUP(P1751,Sheet2!Q:R,2,0)</f>
        <v>IR Normal - Track burn out</v>
      </c>
      <c r="U1751" s="20" t="s">
        <v>256</v>
      </c>
      <c r="V1751" s="17" t="n">
        <v>1</v>
      </c>
      <c r="W1751" s="20" t="str">
        <f aca="false">VLOOKUP(V1751,Sheet2!Q:R,2,0)</f>
        <v>IR CID -  Water log from IF port</v>
      </c>
      <c r="X1751" s="17" t="str">
        <f aca="false">J1751</f>
        <v>A007</v>
      </c>
      <c r="Y1751" s="17" t="str">
        <f aca="false">VLOOKUP(X1751,Sheet2!A:B,2,0)</f>
        <v>HARIRAM GUPTA</v>
      </c>
      <c r="Z1751" s="17" t="s">
        <v>306</v>
      </c>
      <c r="AA1751" s="17" t="s">
        <v>883</v>
      </c>
      <c r="AB1751" s="17" t="s">
        <v>41</v>
      </c>
      <c r="AC1751" s="0" t="str">
        <f aca="false">LEFT(G1751,2)</f>
        <v>88</v>
      </c>
      <c r="AE1751" s="21" t="s">
        <v>506</v>
      </c>
    </row>
    <row r="1752" customFormat="false" ht="15" hidden="false" customHeight="false" outlineLevel="0" collapsed="false">
      <c r="A1752" s="13" t="n">
        <f aca="false">1+A1751</f>
        <v>1750</v>
      </c>
      <c r="B1752" s="14" t="n">
        <v>1009624354</v>
      </c>
      <c r="C1752" s="15" t="s">
        <v>163</v>
      </c>
      <c r="D1752" s="16" t="s">
        <v>64</v>
      </c>
      <c r="E1752" s="17" t="s">
        <v>64</v>
      </c>
      <c r="F1752" s="18" t="s">
        <v>34</v>
      </c>
      <c r="G1752" s="19" t="n">
        <v>168244120981</v>
      </c>
      <c r="H1752" s="17" t="s">
        <v>35</v>
      </c>
      <c r="I1752" s="17" t="s">
        <v>76</v>
      </c>
      <c r="J1752" s="17" t="s">
        <v>100</v>
      </c>
      <c r="K1752" s="17" t="str">
        <f aca="false">VLOOKUP(J1752,Sheet2!A:B,2,0)</f>
        <v>PIYUSH CHAVDA</v>
      </c>
      <c r="L1752" s="17" t="n">
        <v>2</v>
      </c>
      <c r="M1752" s="17" t="str">
        <f aca="false">VLOOKUP(L1752,Sheet2!D:E,2,0)</f>
        <v>Tuner Section</v>
      </c>
      <c r="N1752" s="17" t="n">
        <v>6</v>
      </c>
      <c r="O1752" s="17" t="str">
        <f aca="false">VLOOKUP(N1752,Sheet2!G:H,2,0)</f>
        <v>No Signal</v>
      </c>
      <c r="P1752" s="17" t="n">
        <v>12</v>
      </c>
      <c r="Q1752" s="17" t="str">
        <f aca="false">VLOOKUP(P1752,Sheet2!J:K,2,0)</f>
        <v>IR Declared due to Others ( IR Normal)TB</v>
      </c>
      <c r="R1752" s="17" t="s">
        <v>35</v>
      </c>
      <c r="S1752" s="17" t="str">
        <f aca="false">VLOOKUP(R1752,Sheet2!N:O,2,0)</f>
        <v>IREPARABLE</v>
      </c>
      <c r="T1752" s="18" t="str">
        <f aca="false">VLOOKUP(P1752,Sheet2!Q:R,2,0)</f>
        <v>IR Normal - BER to IR</v>
      </c>
      <c r="U1752" s="18" t="s">
        <v>101</v>
      </c>
      <c r="V1752" s="17" t="n">
        <v>8</v>
      </c>
      <c r="W1752" s="20" t="str">
        <f aca="false">VLOOKUP(V1752,Sheet2!Q:R,2,0)</f>
        <v>IR Normal -TrackRust/InternalDamage/open</v>
      </c>
      <c r="X1752" s="17" t="str">
        <f aca="false">J1752</f>
        <v>A050</v>
      </c>
      <c r="Y1752" s="17" t="str">
        <f aca="false">VLOOKUP(X1752,Sheet2!A:B,2,0)</f>
        <v>PIYUSH CHAVDA</v>
      </c>
      <c r="Z1752" s="17" t="s">
        <v>903</v>
      </c>
      <c r="AA1752" s="17" t="s">
        <v>883</v>
      </c>
      <c r="AB1752" s="17" t="s">
        <v>41</v>
      </c>
      <c r="AC1752" s="0" t="str">
        <f aca="false">LEFT(G1752,2)</f>
        <v>16</v>
      </c>
      <c r="AE1752" s="21" t="s">
        <v>506</v>
      </c>
    </row>
    <row r="1753" customFormat="false" ht="15" hidden="false" customHeight="false" outlineLevel="0" collapsed="false">
      <c r="A1753" s="13" t="n">
        <f aca="false">1+A1752</f>
        <v>1751</v>
      </c>
      <c r="B1753" s="14" t="n">
        <v>1009556356</v>
      </c>
      <c r="C1753" s="15" t="s">
        <v>192</v>
      </c>
      <c r="D1753" s="16" t="s">
        <v>64</v>
      </c>
      <c r="E1753" s="17" t="s">
        <v>47</v>
      </c>
      <c r="F1753" s="18" t="s">
        <v>34</v>
      </c>
      <c r="G1753" s="19" t="n">
        <v>168299222526</v>
      </c>
      <c r="H1753" s="17" t="s">
        <v>35</v>
      </c>
      <c r="I1753" s="17" t="s">
        <v>76</v>
      </c>
      <c r="J1753" s="17" t="s">
        <v>287</v>
      </c>
      <c r="K1753" s="17" t="str">
        <f aca="false">VLOOKUP(J1753,Sheet2!A:B,2,0)</f>
        <v>BHUPENDRA  DABHI</v>
      </c>
      <c r="L1753" s="17" t="n">
        <v>1</v>
      </c>
      <c r="M1753" s="17" t="str">
        <f aca="false">VLOOKUP(L1753,Sheet2!D:E,2,0)</f>
        <v>Power Supply Section</v>
      </c>
      <c r="N1753" s="17" t="n">
        <v>1</v>
      </c>
      <c r="O1753" s="17" t="str">
        <f aca="false">VLOOKUP(N1753,Sheet2!G:H,2,0)</f>
        <v>Dead</v>
      </c>
      <c r="P1753" s="17" t="n">
        <v>12</v>
      </c>
      <c r="Q1753" s="17" t="str">
        <f aca="false">VLOOKUP(P1753,Sheet2!J:K,2,0)</f>
        <v>IR Declared due to Others ( IR Normal)TB</v>
      </c>
      <c r="R1753" s="17" t="s">
        <v>35</v>
      </c>
      <c r="S1753" s="17" t="str">
        <f aca="false">VLOOKUP(R1753,Sheet2!N:O,2,0)</f>
        <v>IREPARABLE</v>
      </c>
      <c r="T1753" s="18" t="str">
        <f aca="false">VLOOKUP(P1753,Sheet2!Q:R,2,0)</f>
        <v>IR Normal - BER to IR</v>
      </c>
      <c r="U1753" s="18" t="s">
        <v>101</v>
      </c>
      <c r="V1753" s="17" t="n">
        <v>8</v>
      </c>
      <c r="W1753" s="20" t="str">
        <f aca="false">VLOOKUP(V1753,Sheet2!Q:R,2,0)</f>
        <v>IR Normal -TrackRust/InternalDamage/open</v>
      </c>
      <c r="X1753" s="17" t="str">
        <f aca="false">J1753</f>
        <v>A010</v>
      </c>
      <c r="Y1753" s="17" t="str">
        <f aca="false">VLOOKUP(X1753,Sheet2!A:B,2,0)</f>
        <v>BHUPENDRA  DABHI</v>
      </c>
      <c r="Z1753" s="17" t="s">
        <v>302</v>
      </c>
      <c r="AA1753" s="17" t="s">
        <v>883</v>
      </c>
      <c r="AB1753" s="17" t="s">
        <v>41</v>
      </c>
      <c r="AC1753" s="0" t="str">
        <f aca="false">LEFT(G1753,2)</f>
        <v>16</v>
      </c>
      <c r="AE1753" s="21" t="s">
        <v>506</v>
      </c>
    </row>
    <row r="1754" customFormat="false" ht="15" hidden="false" customHeight="false" outlineLevel="0" collapsed="false">
      <c r="A1754" s="13" t="n">
        <f aca="false">1+A1753</f>
        <v>1752</v>
      </c>
      <c r="B1754" s="14" t="n">
        <v>1009600361</v>
      </c>
      <c r="C1754" s="15" t="s">
        <v>159</v>
      </c>
      <c r="D1754" s="16" t="s">
        <v>64</v>
      </c>
      <c r="E1754" s="17" t="s">
        <v>64</v>
      </c>
      <c r="F1754" s="18" t="s">
        <v>34</v>
      </c>
      <c r="G1754" s="19" t="n">
        <v>168171916450</v>
      </c>
      <c r="H1754" s="17" t="s">
        <v>35</v>
      </c>
      <c r="I1754" s="17" t="s">
        <v>76</v>
      </c>
      <c r="J1754" s="17" t="s">
        <v>121</v>
      </c>
      <c r="K1754" s="17" t="str">
        <f aca="false">VLOOKUP(J1754,Sheet2!A:B,2,0)</f>
        <v>SHANI GOHIL</v>
      </c>
      <c r="L1754" s="17" t="n">
        <v>1</v>
      </c>
      <c r="M1754" s="17" t="str">
        <f aca="false">VLOOKUP(L1754,Sheet2!D:E,2,0)</f>
        <v>Power Supply Section</v>
      </c>
      <c r="N1754" s="17" t="n">
        <v>1</v>
      </c>
      <c r="O1754" s="17" t="str">
        <f aca="false">VLOOKUP(N1754,Sheet2!G:H,2,0)</f>
        <v>Dead</v>
      </c>
      <c r="P1754" s="17" t="n">
        <v>11</v>
      </c>
      <c r="Q1754" s="17" t="str">
        <f aca="false">VLOOKUP(P1754,Sheet2!J:K,2,0)</f>
        <v>IR Declared due to CID -TA</v>
      </c>
      <c r="R1754" s="17" t="s">
        <v>35</v>
      </c>
      <c r="S1754" s="17" t="str">
        <f aca="false">VLOOKUP(R1754,Sheet2!N:O,2,0)</f>
        <v>IREPARABLE</v>
      </c>
      <c r="T1754" s="18" t="str">
        <f aca="false">VLOOKUP(P1754,Sheet2!Q:R,2,0)</f>
        <v>IR Normal - Track burn out</v>
      </c>
      <c r="U1754" s="18" t="s">
        <v>38</v>
      </c>
      <c r="V1754" s="17" t="n">
        <v>4</v>
      </c>
      <c r="W1754" s="20" t="str">
        <f aca="false">VLOOKUP(V1754,Sheet2!Q:R,2,0)</f>
        <v>IR CID - Tampered Track burn out</v>
      </c>
      <c r="X1754" s="17" t="str">
        <f aca="false">J1754</f>
        <v>A063</v>
      </c>
      <c r="Y1754" s="17" t="str">
        <f aca="false">VLOOKUP(X1754,Sheet2!A:B,2,0)</f>
        <v>SHANI GOHIL</v>
      </c>
      <c r="Z1754" s="17" t="s">
        <v>783</v>
      </c>
      <c r="AA1754" s="17" t="s">
        <v>883</v>
      </c>
      <c r="AB1754" s="17" t="s">
        <v>41</v>
      </c>
      <c r="AC1754" s="0" t="str">
        <f aca="false">LEFT(G1754,2)</f>
        <v>16</v>
      </c>
      <c r="AE1754" s="21" t="s">
        <v>506</v>
      </c>
    </row>
    <row r="1755" customFormat="false" ht="15" hidden="false" customHeight="false" outlineLevel="0" collapsed="false">
      <c r="A1755" s="13" t="n">
        <f aca="false">1+A1754</f>
        <v>1753</v>
      </c>
      <c r="B1755" s="14" t="n">
        <v>1009640670</v>
      </c>
      <c r="C1755" s="15" t="s">
        <v>429</v>
      </c>
      <c r="D1755" s="16" t="s">
        <v>342</v>
      </c>
      <c r="E1755" s="17" t="s">
        <v>114</v>
      </c>
      <c r="F1755" s="18" t="s">
        <v>34</v>
      </c>
      <c r="G1755" s="19" t="n">
        <v>167201976260</v>
      </c>
      <c r="H1755" s="17" t="s">
        <v>35</v>
      </c>
      <c r="I1755" s="17" t="s">
        <v>76</v>
      </c>
      <c r="J1755" s="17" t="s">
        <v>118</v>
      </c>
      <c r="K1755" s="17" t="str">
        <f aca="false">VLOOKUP(J1755,Sheet2!A:B,2,0)</f>
        <v>DEVENDRA RAJPUT</v>
      </c>
      <c r="L1755" s="17" t="n">
        <v>5</v>
      </c>
      <c r="M1755" s="17" t="str">
        <f aca="false">VLOOKUP(L1755,Sheet2!D:E,2,0)</f>
        <v>Main Processor CPU BGA</v>
      </c>
      <c r="N1755" s="17" t="n">
        <v>24</v>
      </c>
      <c r="O1755" s="17" t="str">
        <f aca="false">VLOOKUP(N1755,Sheet2!G:H,2,0)</f>
        <v>STB Auto moving -Stand by mode</v>
      </c>
      <c r="P1755" s="17" t="n">
        <v>11</v>
      </c>
      <c r="Q1755" s="17" t="str">
        <f aca="false">VLOOKUP(P1755,Sheet2!J:K,2,0)</f>
        <v>IR Declared due to CID -TA</v>
      </c>
      <c r="R1755" s="17" t="s">
        <v>35</v>
      </c>
      <c r="S1755" s="17" t="str">
        <f aca="false">VLOOKUP(R1755,Sheet2!N:O,2,0)</f>
        <v>IREPARABLE</v>
      </c>
      <c r="T1755" s="18" t="str">
        <f aca="false">VLOOKUP(P1755,Sheet2!Q:R,2,0)</f>
        <v>IR Normal - Track burn out</v>
      </c>
      <c r="U1755" s="18" t="s">
        <v>122</v>
      </c>
      <c r="V1755" s="17" t="n">
        <v>2</v>
      </c>
      <c r="W1755" s="20" t="str">
        <f aca="false">VLOOKUP(V1755,Sheet2!Q:R,2,0)</f>
        <v>IR CID -  Water log from other area</v>
      </c>
      <c r="X1755" s="17" t="str">
        <f aca="false">J1755</f>
        <v>A053</v>
      </c>
      <c r="Y1755" s="17" t="str">
        <f aca="false">VLOOKUP(X1755,Sheet2!A:B,2,0)</f>
        <v>DEVENDRA RAJPUT</v>
      </c>
      <c r="Z1755" s="17" t="s">
        <v>904</v>
      </c>
      <c r="AA1755" s="17" t="s">
        <v>883</v>
      </c>
      <c r="AB1755" s="17" t="s">
        <v>41</v>
      </c>
      <c r="AC1755" s="0" t="str">
        <f aca="false">LEFT(G1755,2)</f>
        <v>16</v>
      </c>
      <c r="AE1755" s="21" t="s">
        <v>506</v>
      </c>
    </row>
    <row r="1756" customFormat="false" ht="15" hidden="false" customHeight="false" outlineLevel="0" collapsed="false">
      <c r="A1756" s="13" t="n">
        <f aca="false">1+A1755</f>
        <v>1754</v>
      </c>
      <c r="B1756" s="14" t="n">
        <v>1009635370</v>
      </c>
      <c r="C1756" s="15" t="s">
        <v>232</v>
      </c>
      <c r="D1756" s="16" t="s">
        <v>64</v>
      </c>
      <c r="E1756" s="17" t="s">
        <v>91</v>
      </c>
      <c r="F1756" s="18" t="s">
        <v>34</v>
      </c>
      <c r="G1756" s="19" t="n">
        <v>168204138221</v>
      </c>
      <c r="H1756" s="17" t="s">
        <v>35</v>
      </c>
      <c r="I1756" s="17" t="s">
        <v>76</v>
      </c>
      <c r="J1756" s="17" t="s">
        <v>267</v>
      </c>
      <c r="K1756" s="17" t="str">
        <f aca="false">VLOOKUP(J1756,Sheet2!A:B,2,0)</f>
        <v>HARIRAM GUPTA</v>
      </c>
      <c r="L1756" s="17" t="n">
        <v>5</v>
      </c>
      <c r="M1756" s="17" t="str">
        <f aca="false">VLOOKUP(L1756,Sheet2!D:E,2,0)</f>
        <v>Main Processor CPU BGA</v>
      </c>
      <c r="N1756" s="17" t="n">
        <v>24</v>
      </c>
      <c r="O1756" s="17" t="str">
        <f aca="false">VLOOKUP(N1756,Sheet2!G:H,2,0)</f>
        <v>STB Auto moving -Stand by mode</v>
      </c>
      <c r="P1756" s="17" t="n">
        <v>11</v>
      </c>
      <c r="Q1756" s="17" t="str">
        <f aca="false">VLOOKUP(P1756,Sheet2!J:K,2,0)</f>
        <v>IR Declared due to CID -TA</v>
      </c>
      <c r="R1756" s="17" t="s">
        <v>35</v>
      </c>
      <c r="S1756" s="17" t="str">
        <f aca="false">VLOOKUP(R1756,Sheet2!N:O,2,0)</f>
        <v>IREPARABLE</v>
      </c>
      <c r="T1756" s="18" t="str">
        <f aca="false">VLOOKUP(P1756,Sheet2!Q:R,2,0)</f>
        <v>IR Normal - Track burn out</v>
      </c>
      <c r="U1756" s="18" t="s">
        <v>122</v>
      </c>
      <c r="V1756" s="17" t="n">
        <v>2</v>
      </c>
      <c r="W1756" s="20" t="str">
        <f aca="false">VLOOKUP(V1756,Sheet2!Q:R,2,0)</f>
        <v>IR CID -  Water log from other area</v>
      </c>
      <c r="X1756" s="17" t="str">
        <f aca="false">J1756</f>
        <v>A007</v>
      </c>
      <c r="Y1756" s="17" t="str">
        <f aca="false">VLOOKUP(X1756,Sheet2!A:B,2,0)</f>
        <v>HARIRAM GUPTA</v>
      </c>
      <c r="Z1756" s="17" t="s">
        <v>905</v>
      </c>
      <c r="AA1756" s="17" t="s">
        <v>883</v>
      </c>
      <c r="AB1756" s="17" t="s">
        <v>41</v>
      </c>
      <c r="AC1756" s="0" t="str">
        <f aca="false">LEFT(G1756,2)</f>
        <v>16</v>
      </c>
      <c r="AE1756" s="21" t="s">
        <v>506</v>
      </c>
    </row>
    <row r="1757" customFormat="false" ht="15" hidden="false" customHeight="false" outlineLevel="0" collapsed="false">
      <c r="A1757" s="13" t="n">
        <f aca="false">1+A1756</f>
        <v>1755</v>
      </c>
      <c r="B1757" s="14" t="n">
        <v>1009571803</v>
      </c>
      <c r="C1757" s="15" t="s">
        <v>104</v>
      </c>
      <c r="D1757" s="16" t="s">
        <v>56</v>
      </c>
      <c r="E1757" s="17" t="s">
        <v>91</v>
      </c>
      <c r="F1757" s="18" t="s">
        <v>34</v>
      </c>
      <c r="G1757" s="19" t="n">
        <v>167314961639</v>
      </c>
      <c r="H1757" s="17" t="s">
        <v>35</v>
      </c>
      <c r="I1757" s="17" t="s">
        <v>76</v>
      </c>
      <c r="J1757" s="17" t="s">
        <v>118</v>
      </c>
      <c r="K1757" s="17" t="str">
        <f aca="false">VLOOKUP(J1757,Sheet2!A:B,2,0)</f>
        <v>DEVENDRA RAJPUT</v>
      </c>
      <c r="L1757" s="17" t="n">
        <v>7</v>
      </c>
      <c r="M1757" s="17" t="str">
        <f aca="false">VLOOKUP(L1757,Sheet2!D:E,2,0)</f>
        <v>Card Reader Section</v>
      </c>
      <c r="N1757" s="17" t="n">
        <v>36</v>
      </c>
      <c r="O1757" s="17" t="str">
        <f aca="false">VLOOKUP(N1757,Sheet2!G:H,2,0)</f>
        <v>Error -1</v>
      </c>
      <c r="P1757" s="17" t="n">
        <v>11</v>
      </c>
      <c r="Q1757" s="17" t="str">
        <f aca="false">VLOOKUP(P1757,Sheet2!J:K,2,0)</f>
        <v>IR Declared due to CID -TA</v>
      </c>
      <c r="R1757" s="17" t="s">
        <v>35</v>
      </c>
      <c r="S1757" s="17" t="str">
        <f aca="false">VLOOKUP(R1757,Sheet2!N:O,2,0)</f>
        <v>IREPARABLE</v>
      </c>
      <c r="T1757" s="18" t="str">
        <f aca="false">VLOOKUP(P1757,Sheet2!Q:R,2,0)</f>
        <v>IR Normal - Track burn out</v>
      </c>
      <c r="U1757" s="18" t="s">
        <v>122</v>
      </c>
      <c r="V1757" s="17" t="n">
        <v>2</v>
      </c>
      <c r="W1757" s="20" t="str">
        <f aca="false">VLOOKUP(V1757,Sheet2!Q:R,2,0)</f>
        <v>IR CID -  Water log from other area</v>
      </c>
      <c r="X1757" s="17" t="str">
        <f aca="false">J1757</f>
        <v>A053</v>
      </c>
      <c r="Y1757" s="17" t="str">
        <f aca="false">VLOOKUP(X1757,Sheet2!A:B,2,0)</f>
        <v>DEVENDRA RAJPUT</v>
      </c>
      <c r="Z1757" s="17" t="s">
        <v>906</v>
      </c>
      <c r="AA1757" s="17" t="s">
        <v>883</v>
      </c>
      <c r="AB1757" s="17" t="s">
        <v>41</v>
      </c>
      <c r="AC1757" s="0" t="str">
        <f aca="false">LEFT(G1757,2)</f>
        <v>16</v>
      </c>
      <c r="AE1757" s="21" t="s">
        <v>506</v>
      </c>
    </row>
    <row r="1758" customFormat="false" ht="15" hidden="false" customHeight="false" outlineLevel="0" collapsed="false">
      <c r="A1758" s="13" t="n">
        <f aca="false">1+A1757</f>
        <v>1756</v>
      </c>
      <c r="B1758" s="14" t="n">
        <v>1009674005</v>
      </c>
      <c r="C1758" s="15" t="s">
        <v>436</v>
      </c>
      <c r="D1758" s="16" t="s">
        <v>32</v>
      </c>
      <c r="E1758" s="17" t="s">
        <v>208</v>
      </c>
      <c r="F1758" s="18" t="s">
        <v>34</v>
      </c>
      <c r="G1758" s="19" t="n">
        <v>167191908455</v>
      </c>
      <c r="H1758" s="17" t="s">
        <v>35</v>
      </c>
      <c r="I1758" s="17" t="s">
        <v>76</v>
      </c>
      <c r="J1758" s="17" t="s">
        <v>121</v>
      </c>
      <c r="K1758" s="17" t="str">
        <f aca="false">VLOOKUP(J1758,Sheet2!A:B,2,0)</f>
        <v>SHANI GOHIL</v>
      </c>
      <c r="L1758" s="17" t="n">
        <v>1</v>
      </c>
      <c r="M1758" s="17" t="str">
        <f aca="false">VLOOKUP(L1758,Sheet2!D:E,2,0)</f>
        <v>Power Supply Section</v>
      </c>
      <c r="N1758" s="17" t="n">
        <v>1</v>
      </c>
      <c r="O1758" s="17" t="str">
        <f aca="false">VLOOKUP(N1758,Sheet2!G:H,2,0)</f>
        <v>Dead</v>
      </c>
      <c r="P1758" s="17" t="n">
        <v>12</v>
      </c>
      <c r="Q1758" s="17" t="str">
        <f aca="false">VLOOKUP(P1758,Sheet2!J:K,2,0)</f>
        <v>IR Declared due to Others ( IR Normal)TB</v>
      </c>
      <c r="R1758" s="17" t="s">
        <v>35</v>
      </c>
      <c r="S1758" s="17" t="str">
        <f aca="false">VLOOKUP(R1758,Sheet2!N:O,2,0)</f>
        <v>IREPARABLE</v>
      </c>
      <c r="T1758" s="18" t="str">
        <f aca="false">VLOOKUP(P1758,Sheet2!Q:R,2,0)</f>
        <v>IR Normal - BER to IR</v>
      </c>
      <c r="U1758" s="18" t="s">
        <v>101</v>
      </c>
      <c r="V1758" s="17" t="n">
        <v>8</v>
      </c>
      <c r="W1758" s="20" t="str">
        <f aca="false">VLOOKUP(V1758,Sheet2!Q:R,2,0)</f>
        <v>IR Normal -TrackRust/InternalDamage/open</v>
      </c>
      <c r="X1758" s="17" t="str">
        <f aca="false">J1758</f>
        <v>A063</v>
      </c>
      <c r="Y1758" s="17" t="str">
        <f aca="false">VLOOKUP(X1758,Sheet2!A:B,2,0)</f>
        <v>SHANI GOHIL</v>
      </c>
      <c r="Z1758" s="17" t="s">
        <v>907</v>
      </c>
      <c r="AA1758" s="17" t="s">
        <v>883</v>
      </c>
      <c r="AB1758" s="17" t="s">
        <v>41</v>
      </c>
      <c r="AC1758" s="0" t="str">
        <f aca="false">LEFT(G1758,2)</f>
        <v>16</v>
      </c>
      <c r="AE1758" s="21" t="s">
        <v>506</v>
      </c>
    </row>
    <row r="1759" customFormat="false" ht="15" hidden="false" customHeight="false" outlineLevel="0" collapsed="false">
      <c r="A1759" s="13" t="n">
        <f aca="false">1+A1758</f>
        <v>1757</v>
      </c>
      <c r="B1759" s="14" t="n">
        <v>1007652124</v>
      </c>
      <c r="C1759" s="15" t="s">
        <v>908</v>
      </c>
      <c r="D1759" s="16" t="s">
        <v>198</v>
      </c>
      <c r="E1759" s="17" t="s">
        <v>64</v>
      </c>
      <c r="F1759" s="18" t="s">
        <v>34</v>
      </c>
      <c r="G1759" s="19" t="n">
        <v>168205162782</v>
      </c>
      <c r="H1759" s="17" t="s">
        <v>35</v>
      </c>
      <c r="I1759" s="17" t="s">
        <v>76</v>
      </c>
      <c r="J1759" s="17" t="s">
        <v>287</v>
      </c>
      <c r="K1759" s="17" t="str">
        <f aca="false">VLOOKUP(J1759,Sheet2!A:B,2,0)</f>
        <v>BHUPENDRA  DABHI</v>
      </c>
      <c r="L1759" s="17" t="n">
        <v>1</v>
      </c>
      <c r="M1759" s="17" t="str">
        <f aca="false">VLOOKUP(L1759,Sheet2!D:E,2,0)</f>
        <v>Power Supply Section</v>
      </c>
      <c r="N1759" s="17" t="n">
        <v>1</v>
      </c>
      <c r="O1759" s="17" t="str">
        <f aca="false">VLOOKUP(N1759,Sheet2!G:H,2,0)</f>
        <v>Dead</v>
      </c>
      <c r="P1759" s="17" t="n">
        <v>11</v>
      </c>
      <c r="Q1759" s="17" t="str">
        <f aca="false">VLOOKUP(P1759,Sheet2!J:K,2,0)</f>
        <v>IR Declared due to CID -TA</v>
      </c>
      <c r="R1759" s="17" t="s">
        <v>35</v>
      </c>
      <c r="S1759" s="17" t="str">
        <f aca="false">VLOOKUP(R1759,Sheet2!N:O,2,0)</f>
        <v>IREPARABLE</v>
      </c>
      <c r="T1759" s="18" t="str">
        <f aca="false">VLOOKUP(P1759,Sheet2!Q:R,2,0)</f>
        <v>IR Normal - Track burn out</v>
      </c>
      <c r="U1759" s="18" t="s">
        <v>122</v>
      </c>
      <c r="V1759" s="17" t="n">
        <v>2</v>
      </c>
      <c r="W1759" s="20" t="str">
        <f aca="false">VLOOKUP(V1759,Sheet2!Q:R,2,0)</f>
        <v>IR CID -  Water log from other area</v>
      </c>
      <c r="X1759" s="17" t="str">
        <f aca="false">J1759</f>
        <v>A010</v>
      </c>
      <c r="Y1759" s="17" t="str">
        <f aca="false">VLOOKUP(X1759,Sheet2!A:B,2,0)</f>
        <v>BHUPENDRA  DABHI</v>
      </c>
      <c r="Z1759" s="17" t="s">
        <v>909</v>
      </c>
      <c r="AA1759" s="17" t="s">
        <v>883</v>
      </c>
      <c r="AB1759" s="17" t="s">
        <v>41</v>
      </c>
      <c r="AC1759" s="0" t="str">
        <f aca="false">LEFT(G1759,2)</f>
        <v>16</v>
      </c>
      <c r="AE1759" s="21" t="s">
        <v>506</v>
      </c>
    </row>
    <row r="1760" customFormat="false" ht="15" hidden="false" customHeight="false" outlineLevel="0" collapsed="false">
      <c r="A1760" s="13" t="n">
        <f aca="false">1+A1759</f>
        <v>1758</v>
      </c>
      <c r="B1760" s="14" t="n">
        <v>1009635902</v>
      </c>
      <c r="C1760" s="15" t="s">
        <v>232</v>
      </c>
      <c r="D1760" s="16" t="s">
        <v>64</v>
      </c>
      <c r="E1760" s="17" t="s">
        <v>91</v>
      </c>
      <c r="F1760" s="18" t="s">
        <v>34</v>
      </c>
      <c r="G1760" s="19" t="n">
        <v>168200148117</v>
      </c>
      <c r="H1760" s="17" t="s">
        <v>35</v>
      </c>
      <c r="I1760" s="17" t="s">
        <v>76</v>
      </c>
      <c r="J1760" s="17" t="s">
        <v>252</v>
      </c>
      <c r="K1760" s="17" t="str">
        <f aca="false">VLOOKUP(J1760,Sheet2!A:B,2,0)</f>
        <v>TAKHAT SOLANKI</v>
      </c>
      <c r="L1760" s="17" t="n">
        <v>1</v>
      </c>
      <c r="M1760" s="17" t="str">
        <f aca="false">VLOOKUP(L1760,Sheet2!D:E,2,0)</f>
        <v>Power Supply Section</v>
      </c>
      <c r="N1760" s="17" t="n">
        <v>1</v>
      </c>
      <c r="O1760" s="17" t="str">
        <f aca="false">VLOOKUP(N1760,Sheet2!G:H,2,0)</f>
        <v>Dead</v>
      </c>
      <c r="P1760" s="17" t="n">
        <v>12</v>
      </c>
      <c r="Q1760" s="17" t="str">
        <f aca="false">VLOOKUP(P1760,Sheet2!J:K,2,0)</f>
        <v>IR Declared due to Others ( IR Normal)TB</v>
      </c>
      <c r="R1760" s="17" t="s">
        <v>35</v>
      </c>
      <c r="S1760" s="17" t="str">
        <f aca="false">VLOOKUP(R1760,Sheet2!N:O,2,0)</f>
        <v>IREPARABLE</v>
      </c>
      <c r="T1760" s="18" t="str">
        <f aca="false">VLOOKUP(P1760,Sheet2!Q:R,2,0)</f>
        <v>IR Normal - BER to IR</v>
      </c>
      <c r="U1760" s="18" t="s">
        <v>101</v>
      </c>
      <c r="V1760" s="17" t="n">
        <v>8</v>
      </c>
      <c r="W1760" s="20" t="str">
        <f aca="false">VLOOKUP(V1760,Sheet2!Q:R,2,0)</f>
        <v>IR Normal -TrackRust/InternalDamage/open</v>
      </c>
      <c r="X1760" s="17" t="str">
        <f aca="false">J1760</f>
        <v>A006</v>
      </c>
      <c r="Y1760" s="17" t="str">
        <f aca="false">VLOOKUP(X1760,Sheet2!A:B,2,0)</f>
        <v>TAKHAT SOLANKI</v>
      </c>
      <c r="Z1760" s="17" t="s">
        <v>909</v>
      </c>
      <c r="AA1760" s="17" t="s">
        <v>883</v>
      </c>
      <c r="AB1760" s="17" t="s">
        <v>41</v>
      </c>
      <c r="AC1760" s="0" t="str">
        <f aca="false">LEFT(G1760,2)</f>
        <v>16</v>
      </c>
      <c r="AE1760" s="21" t="s">
        <v>506</v>
      </c>
    </row>
    <row r="1761" customFormat="false" ht="15" hidden="false" customHeight="false" outlineLevel="0" collapsed="false">
      <c r="A1761" s="13" t="n">
        <f aca="false">1+A1760</f>
        <v>1759</v>
      </c>
      <c r="B1761" s="14" t="n">
        <v>1009623384</v>
      </c>
      <c r="C1761" s="15" t="s">
        <v>184</v>
      </c>
      <c r="D1761" s="16" t="s">
        <v>64</v>
      </c>
      <c r="E1761" s="17" t="s">
        <v>91</v>
      </c>
      <c r="F1761" s="18" t="s">
        <v>34</v>
      </c>
      <c r="G1761" s="19" t="n">
        <v>168227187049</v>
      </c>
      <c r="H1761" s="17" t="s">
        <v>35</v>
      </c>
      <c r="I1761" s="17" t="s">
        <v>76</v>
      </c>
      <c r="J1761" s="17" t="s">
        <v>241</v>
      </c>
      <c r="K1761" s="17" t="str">
        <f aca="false">VLOOKUP(J1761,Sheet2!A:B,2,0)</f>
        <v>NILESH NAGAR</v>
      </c>
      <c r="L1761" s="17" t="n">
        <v>5</v>
      </c>
      <c r="M1761" s="17" t="str">
        <f aca="false">VLOOKUP(L1761,Sheet2!D:E,2,0)</f>
        <v>Main Processor CPU BGA</v>
      </c>
      <c r="N1761" s="17" t="n">
        <v>1</v>
      </c>
      <c r="O1761" s="17" t="str">
        <f aca="false">VLOOKUP(N1761,Sheet2!G:H,2,0)</f>
        <v>Dead</v>
      </c>
      <c r="P1761" s="17" t="n">
        <v>11</v>
      </c>
      <c r="Q1761" s="17" t="str">
        <f aca="false">VLOOKUP(P1761,Sheet2!J:K,2,0)</f>
        <v>IR Declared due to CID -TA</v>
      </c>
      <c r="R1761" s="17" t="s">
        <v>35</v>
      </c>
      <c r="S1761" s="17" t="str">
        <f aca="false">VLOOKUP(R1761,Sheet2!N:O,2,0)</f>
        <v>IREPARABLE</v>
      </c>
      <c r="T1761" s="18" t="str">
        <f aca="false">VLOOKUP(P1761,Sheet2!Q:R,2,0)</f>
        <v>IR Normal - Track burn out</v>
      </c>
      <c r="U1761" s="18" t="s">
        <v>122</v>
      </c>
      <c r="V1761" s="17" t="n">
        <v>2</v>
      </c>
      <c r="W1761" s="20" t="str">
        <f aca="false">VLOOKUP(V1761,Sheet2!Q:R,2,0)</f>
        <v>IR CID -  Water log from other area</v>
      </c>
      <c r="X1761" s="17" t="str">
        <f aca="false">J1761</f>
        <v>A008</v>
      </c>
      <c r="Y1761" s="17" t="str">
        <f aca="false">VLOOKUP(X1761,Sheet2!A:B,2,0)</f>
        <v>NILESH NAGAR</v>
      </c>
      <c r="Z1761" s="17" t="s">
        <v>909</v>
      </c>
      <c r="AA1761" s="17" t="s">
        <v>883</v>
      </c>
      <c r="AB1761" s="17" t="s">
        <v>41</v>
      </c>
      <c r="AC1761" s="0" t="str">
        <f aca="false">LEFT(G1761,2)</f>
        <v>16</v>
      </c>
      <c r="AE1761" s="21" t="s">
        <v>506</v>
      </c>
    </row>
    <row r="1762" customFormat="false" ht="15" hidden="false" customHeight="false" outlineLevel="0" collapsed="false">
      <c r="A1762" s="13" t="n">
        <f aca="false">1+A1761</f>
        <v>1760</v>
      </c>
      <c r="B1762" s="14" t="n">
        <v>1009635680</v>
      </c>
      <c r="C1762" s="15" t="s">
        <v>182</v>
      </c>
      <c r="D1762" s="16" t="s">
        <v>64</v>
      </c>
      <c r="E1762" s="17" t="s">
        <v>64</v>
      </c>
      <c r="F1762" s="18" t="s">
        <v>34</v>
      </c>
      <c r="G1762" s="19" t="n">
        <v>168106919298</v>
      </c>
      <c r="H1762" s="17" t="s">
        <v>35</v>
      </c>
      <c r="I1762" s="17" t="s">
        <v>76</v>
      </c>
      <c r="J1762" s="17" t="s">
        <v>267</v>
      </c>
      <c r="K1762" s="17" t="str">
        <f aca="false">VLOOKUP(J1762,Sheet2!A:B,2,0)</f>
        <v>HARIRAM GUPTA</v>
      </c>
      <c r="L1762" s="17" t="n">
        <v>2</v>
      </c>
      <c r="M1762" s="17" t="str">
        <f aca="false">VLOOKUP(L1762,Sheet2!D:E,2,0)</f>
        <v>Tuner Section</v>
      </c>
      <c r="N1762" s="17" t="n">
        <v>6</v>
      </c>
      <c r="O1762" s="17" t="str">
        <f aca="false">VLOOKUP(N1762,Sheet2!G:H,2,0)</f>
        <v>No Signal</v>
      </c>
      <c r="P1762" s="17" t="n">
        <v>11</v>
      </c>
      <c r="Q1762" s="17" t="str">
        <f aca="false">VLOOKUP(P1762,Sheet2!J:K,2,0)</f>
        <v>IR Declared due to CID -TA</v>
      </c>
      <c r="R1762" s="17" t="s">
        <v>35</v>
      </c>
      <c r="S1762" s="17" t="str">
        <f aca="false">VLOOKUP(R1762,Sheet2!N:O,2,0)</f>
        <v>IREPARABLE</v>
      </c>
      <c r="T1762" s="18" t="str">
        <f aca="false">VLOOKUP(P1762,Sheet2!Q:R,2,0)</f>
        <v>IR Normal - Track burn out</v>
      </c>
      <c r="U1762" s="18" t="s">
        <v>122</v>
      </c>
      <c r="V1762" s="17" t="n">
        <v>2</v>
      </c>
      <c r="W1762" s="20" t="str">
        <f aca="false">VLOOKUP(V1762,Sheet2!Q:R,2,0)</f>
        <v>IR CID -  Water log from other area</v>
      </c>
      <c r="X1762" s="17" t="str">
        <f aca="false">J1762</f>
        <v>A007</v>
      </c>
      <c r="Y1762" s="17" t="str">
        <f aca="false">VLOOKUP(X1762,Sheet2!A:B,2,0)</f>
        <v>HARIRAM GUPTA</v>
      </c>
      <c r="Z1762" s="17" t="s">
        <v>909</v>
      </c>
      <c r="AA1762" s="17" t="s">
        <v>883</v>
      </c>
      <c r="AB1762" s="17" t="s">
        <v>41</v>
      </c>
      <c r="AC1762" s="0" t="str">
        <f aca="false">LEFT(G1762,2)</f>
        <v>16</v>
      </c>
      <c r="AE1762" s="21" t="s">
        <v>506</v>
      </c>
    </row>
    <row r="1763" customFormat="false" ht="15" hidden="false" customHeight="false" outlineLevel="0" collapsed="false">
      <c r="A1763" s="13" t="n">
        <f aca="false">1+A1762</f>
        <v>1761</v>
      </c>
      <c r="B1763" s="14" t="n">
        <v>1009605865</v>
      </c>
      <c r="C1763" s="15" t="s">
        <v>181</v>
      </c>
      <c r="D1763" s="16" t="s">
        <v>64</v>
      </c>
      <c r="E1763" s="17" t="s">
        <v>64</v>
      </c>
      <c r="F1763" s="18" t="s">
        <v>34</v>
      </c>
      <c r="G1763" s="19" t="n">
        <v>168215126546</v>
      </c>
      <c r="H1763" s="17" t="s">
        <v>35</v>
      </c>
      <c r="I1763" s="17" t="s">
        <v>76</v>
      </c>
      <c r="J1763" s="17" t="s">
        <v>121</v>
      </c>
      <c r="K1763" s="17" t="str">
        <f aca="false">VLOOKUP(J1763,Sheet2!A:B,2,0)</f>
        <v>SHANI GOHIL</v>
      </c>
      <c r="L1763" s="17" t="n">
        <v>1</v>
      </c>
      <c r="M1763" s="17" t="str">
        <f aca="false">VLOOKUP(L1763,Sheet2!D:E,2,0)</f>
        <v>Power Supply Section</v>
      </c>
      <c r="N1763" s="17" t="n">
        <v>1</v>
      </c>
      <c r="O1763" s="17" t="str">
        <f aca="false">VLOOKUP(N1763,Sheet2!G:H,2,0)</f>
        <v>Dead</v>
      </c>
      <c r="P1763" s="17" t="n">
        <v>11</v>
      </c>
      <c r="Q1763" s="17" t="str">
        <f aca="false">VLOOKUP(P1763,Sheet2!J:K,2,0)</f>
        <v>IR Declared due to CID -TA</v>
      </c>
      <c r="R1763" s="17" t="s">
        <v>35</v>
      </c>
      <c r="S1763" s="17" t="str">
        <f aca="false">VLOOKUP(R1763,Sheet2!N:O,2,0)</f>
        <v>IREPARABLE</v>
      </c>
      <c r="T1763" s="18" t="str">
        <f aca="false">VLOOKUP(P1763,Sheet2!Q:R,2,0)</f>
        <v>IR Normal - Track burn out</v>
      </c>
      <c r="U1763" s="18" t="s">
        <v>38</v>
      </c>
      <c r="V1763" s="17" t="n">
        <v>4</v>
      </c>
      <c r="W1763" s="20" t="str">
        <f aca="false">VLOOKUP(V1763,Sheet2!Q:R,2,0)</f>
        <v>IR CID - Tampered Track burn out</v>
      </c>
      <c r="X1763" s="17" t="str">
        <f aca="false">J1763</f>
        <v>A063</v>
      </c>
      <c r="Y1763" s="17" t="str">
        <f aca="false">VLOOKUP(X1763,Sheet2!A:B,2,0)</f>
        <v>SHANI GOHIL</v>
      </c>
      <c r="Z1763" s="17" t="s">
        <v>302</v>
      </c>
      <c r="AA1763" s="17" t="s">
        <v>883</v>
      </c>
      <c r="AB1763" s="17" t="s">
        <v>41</v>
      </c>
      <c r="AC1763" s="0" t="str">
        <f aca="false">LEFT(G1763,2)</f>
        <v>16</v>
      </c>
      <c r="AE1763" s="21" t="s">
        <v>506</v>
      </c>
    </row>
    <row r="1764" customFormat="false" ht="15" hidden="false" customHeight="false" outlineLevel="0" collapsed="false">
      <c r="A1764" s="13" t="n">
        <f aca="false">1+A1763</f>
        <v>1762</v>
      </c>
      <c r="B1764" s="14" t="n">
        <v>1009645757</v>
      </c>
      <c r="C1764" s="15" t="s">
        <v>204</v>
      </c>
      <c r="D1764" s="16" t="s">
        <v>472</v>
      </c>
      <c r="E1764" s="17" t="s">
        <v>91</v>
      </c>
      <c r="F1764" s="18" t="s">
        <v>34</v>
      </c>
      <c r="G1764" s="19" t="n">
        <v>168327205329</v>
      </c>
      <c r="H1764" s="17" t="s">
        <v>35</v>
      </c>
      <c r="I1764" s="17" t="s">
        <v>76</v>
      </c>
      <c r="J1764" s="17" t="s">
        <v>241</v>
      </c>
      <c r="K1764" s="17" t="str">
        <f aca="false">VLOOKUP(J1764,Sheet2!A:B,2,0)</f>
        <v>NILESH NAGAR</v>
      </c>
      <c r="L1764" s="17" t="n">
        <v>5</v>
      </c>
      <c r="M1764" s="17" t="str">
        <f aca="false">VLOOKUP(L1764,Sheet2!D:E,2,0)</f>
        <v>Main Processor CPU BGA</v>
      </c>
      <c r="N1764" s="17" t="n">
        <v>37</v>
      </c>
      <c r="O1764" s="17" t="str">
        <f aca="false">VLOOKUP(N1764,Sheet2!G:H,2,0)</f>
        <v>Error -2</v>
      </c>
      <c r="P1764" s="17" t="n">
        <v>11</v>
      </c>
      <c r="Q1764" s="17" t="str">
        <f aca="false">VLOOKUP(P1764,Sheet2!J:K,2,0)</f>
        <v>IR Declared due to CID -TA</v>
      </c>
      <c r="R1764" s="17" t="s">
        <v>35</v>
      </c>
      <c r="S1764" s="17" t="str">
        <f aca="false">VLOOKUP(R1764,Sheet2!N:O,2,0)</f>
        <v>IREPARABLE</v>
      </c>
      <c r="T1764" s="18" t="str">
        <f aca="false">VLOOKUP(P1764,Sheet2!Q:R,2,0)</f>
        <v>IR Normal - Track burn out</v>
      </c>
      <c r="U1764" s="18" t="s">
        <v>122</v>
      </c>
      <c r="V1764" s="17" t="n">
        <v>2</v>
      </c>
      <c r="W1764" s="20" t="str">
        <f aca="false">VLOOKUP(V1764,Sheet2!Q:R,2,0)</f>
        <v>IR CID -  Water log from other area</v>
      </c>
      <c r="X1764" s="17" t="str">
        <f aca="false">J1764</f>
        <v>A008</v>
      </c>
      <c r="Y1764" s="17" t="str">
        <f aca="false">VLOOKUP(X1764,Sheet2!A:B,2,0)</f>
        <v>NILESH NAGAR</v>
      </c>
      <c r="Z1764" s="17" t="s">
        <v>910</v>
      </c>
      <c r="AA1764" s="17" t="s">
        <v>883</v>
      </c>
      <c r="AB1764" s="17" t="s">
        <v>41</v>
      </c>
      <c r="AC1764" s="0" t="str">
        <f aca="false">LEFT(G1764,2)</f>
        <v>16</v>
      </c>
      <c r="AE1764" s="21" t="s">
        <v>506</v>
      </c>
    </row>
    <row r="1765" customFormat="false" ht="15" hidden="false" customHeight="false" outlineLevel="0" collapsed="false">
      <c r="A1765" s="13" t="n">
        <f aca="false">1+A1764</f>
        <v>1763</v>
      </c>
      <c r="B1765" s="14" t="n">
        <v>1009607763</v>
      </c>
      <c r="C1765" s="15" t="s">
        <v>181</v>
      </c>
      <c r="D1765" s="16" t="s">
        <v>64</v>
      </c>
      <c r="E1765" s="17" t="s">
        <v>47</v>
      </c>
      <c r="F1765" s="18" t="s">
        <v>34</v>
      </c>
      <c r="G1765" s="19" t="n">
        <v>168172903069</v>
      </c>
      <c r="H1765" s="17" t="s">
        <v>35</v>
      </c>
      <c r="I1765" s="17" t="s">
        <v>76</v>
      </c>
      <c r="J1765" s="17" t="s">
        <v>241</v>
      </c>
      <c r="K1765" s="17" t="str">
        <f aca="false">VLOOKUP(J1765,Sheet2!A:B,2,0)</f>
        <v>NILESH NAGAR</v>
      </c>
      <c r="L1765" s="17" t="n">
        <v>5</v>
      </c>
      <c r="M1765" s="17" t="str">
        <f aca="false">VLOOKUP(L1765,Sheet2!D:E,2,0)</f>
        <v>Main Processor CPU BGA</v>
      </c>
      <c r="N1765" s="17" t="n">
        <v>1</v>
      </c>
      <c r="O1765" s="17" t="str">
        <f aca="false">VLOOKUP(N1765,Sheet2!G:H,2,0)</f>
        <v>Dead</v>
      </c>
      <c r="P1765" s="17" t="n">
        <v>11</v>
      </c>
      <c r="Q1765" s="17" t="str">
        <f aca="false">VLOOKUP(P1765,Sheet2!J:K,2,0)</f>
        <v>IR Declared due to CID -TA</v>
      </c>
      <c r="R1765" s="17" t="s">
        <v>35</v>
      </c>
      <c r="S1765" s="17" t="str">
        <f aca="false">VLOOKUP(R1765,Sheet2!N:O,2,0)</f>
        <v>IREPARABLE</v>
      </c>
      <c r="T1765" s="18" t="str">
        <f aca="false">VLOOKUP(P1765,Sheet2!Q:R,2,0)</f>
        <v>IR Normal - Track burn out</v>
      </c>
      <c r="U1765" s="18" t="s">
        <v>122</v>
      </c>
      <c r="V1765" s="17" t="n">
        <v>2</v>
      </c>
      <c r="W1765" s="20" t="str">
        <f aca="false">VLOOKUP(V1765,Sheet2!Q:R,2,0)</f>
        <v>IR CID -  Water log from other area</v>
      </c>
      <c r="X1765" s="17" t="str">
        <f aca="false">J1765</f>
        <v>A008</v>
      </c>
      <c r="Y1765" s="17" t="str">
        <f aca="false">VLOOKUP(X1765,Sheet2!A:B,2,0)</f>
        <v>NILESH NAGAR</v>
      </c>
      <c r="Z1765" s="17" t="s">
        <v>911</v>
      </c>
      <c r="AA1765" s="17" t="s">
        <v>883</v>
      </c>
      <c r="AB1765" s="17" t="s">
        <v>41</v>
      </c>
      <c r="AC1765" s="0" t="str">
        <f aca="false">LEFT(G1765,2)</f>
        <v>16</v>
      </c>
      <c r="AE1765" s="21" t="s">
        <v>506</v>
      </c>
    </row>
    <row r="1766" customFormat="false" ht="15" hidden="false" customHeight="false" outlineLevel="0" collapsed="false">
      <c r="A1766" s="13" t="n">
        <f aca="false">1+A1765</f>
        <v>1764</v>
      </c>
      <c r="B1766" s="14" t="n">
        <v>1009554530</v>
      </c>
      <c r="C1766" s="15" t="s">
        <v>444</v>
      </c>
      <c r="D1766" s="16" t="s">
        <v>64</v>
      </c>
      <c r="E1766" s="17" t="s">
        <v>47</v>
      </c>
      <c r="F1766" s="18" t="s">
        <v>34</v>
      </c>
      <c r="G1766" s="19" t="n">
        <v>867216147761</v>
      </c>
      <c r="H1766" s="17" t="s">
        <v>366</v>
      </c>
      <c r="I1766" s="17" t="s">
        <v>72</v>
      </c>
      <c r="J1766" s="17" t="s">
        <v>287</v>
      </c>
      <c r="K1766" s="17" t="str">
        <f aca="false">VLOOKUP(J1766,Sheet2!A:B,2,0)</f>
        <v>BHUPENDRA  DABHI</v>
      </c>
      <c r="L1766" s="17" t="n">
        <v>5</v>
      </c>
      <c r="M1766" s="17" t="str">
        <f aca="false">VLOOKUP(L1766,Sheet2!D:E,2,0)</f>
        <v>Main Processor CPU BGA</v>
      </c>
      <c r="N1766" s="17" t="n">
        <v>47</v>
      </c>
      <c r="O1766" s="17" t="str">
        <f aca="false">VLOOKUP(N1766,Sheet2!G:H,2,0)</f>
        <v>IR Type B</v>
      </c>
      <c r="P1766" s="17" t="n">
        <v>12</v>
      </c>
      <c r="Q1766" s="17" t="str">
        <f aca="false">VLOOKUP(P1766,Sheet2!J:K,2,0)</f>
        <v>IR Declared due to Others ( IR Normal)TB</v>
      </c>
      <c r="R1766" s="17" t="s">
        <v>35</v>
      </c>
      <c r="S1766" s="17" t="str">
        <f aca="false">VLOOKUP(R1766,Sheet2!N:O,2,0)</f>
        <v>IREPARABLE</v>
      </c>
      <c r="T1766" s="18" t="str">
        <f aca="false">VLOOKUP(P1766,Sheet2!Q:R,2,0)</f>
        <v>IR Normal - BER to IR</v>
      </c>
      <c r="U1766" s="18" t="s">
        <v>101</v>
      </c>
      <c r="V1766" s="17" t="n">
        <v>8</v>
      </c>
      <c r="W1766" s="20" t="str">
        <f aca="false">VLOOKUP(V1766,Sheet2!Q:R,2,0)</f>
        <v>IR Normal -TrackRust/InternalDamage/open</v>
      </c>
      <c r="X1766" s="17" t="str">
        <f aca="false">J1766</f>
        <v>A010</v>
      </c>
      <c r="Y1766" s="17" t="str">
        <f aca="false">VLOOKUP(X1766,Sheet2!A:B,2,0)</f>
        <v>BHUPENDRA  DABHI</v>
      </c>
      <c r="Z1766" s="17" t="s">
        <v>251</v>
      </c>
      <c r="AA1766" s="17" t="s">
        <v>883</v>
      </c>
      <c r="AB1766" s="17" t="s">
        <v>41</v>
      </c>
      <c r="AC1766" s="0" t="str">
        <f aca="false">LEFT(G1766,2)</f>
        <v>86</v>
      </c>
      <c r="AE1766" s="21" t="s">
        <v>506</v>
      </c>
    </row>
    <row r="1767" customFormat="false" ht="15" hidden="false" customHeight="false" outlineLevel="0" collapsed="false">
      <c r="A1767" s="13" t="n">
        <f aca="false">1+A1766</f>
        <v>1765</v>
      </c>
      <c r="B1767" s="14" t="n">
        <v>1009679337</v>
      </c>
      <c r="C1767" s="15" t="s">
        <v>413</v>
      </c>
      <c r="D1767" s="16" t="s">
        <v>250</v>
      </c>
      <c r="E1767" s="17" t="s">
        <v>47</v>
      </c>
      <c r="F1767" s="18" t="s">
        <v>34</v>
      </c>
      <c r="G1767" s="19" t="n">
        <v>868141135319</v>
      </c>
      <c r="H1767" s="17" t="s">
        <v>35</v>
      </c>
      <c r="I1767" s="17" t="s">
        <v>72</v>
      </c>
      <c r="J1767" s="17" t="s">
        <v>267</v>
      </c>
      <c r="K1767" s="17" t="str">
        <f aca="false">VLOOKUP(J1767,Sheet2!A:B,2,0)</f>
        <v>HARIRAM GUPTA</v>
      </c>
      <c r="L1767" s="17" t="n">
        <v>1</v>
      </c>
      <c r="M1767" s="17" t="str">
        <f aca="false">VLOOKUP(L1767,Sheet2!D:E,2,0)</f>
        <v>Power Supply Section</v>
      </c>
      <c r="N1767" s="17" t="n">
        <v>24</v>
      </c>
      <c r="O1767" s="17" t="str">
        <f aca="false">VLOOKUP(N1767,Sheet2!G:H,2,0)</f>
        <v>STB Auto moving -Stand by mode</v>
      </c>
      <c r="P1767" s="17" t="n">
        <v>12</v>
      </c>
      <c r="Q1767" s="17" t="str">
        <f aca="false">VLOOKUP(P1767,Sheet2!J:K,2,0)</f>
        <v>IR Declared due to Others ( IR Normal)TB</v>
      </c>
      <c r="R1767" s="17" t="s">
        <v>35</v>
      </c>
      <c r="S1767" s="17" t="str">
        <f aca="false">VLOOKUP(R1767,Sheet2!N:O,2,0)</f>
        <v>IREPARABLE</v>
      </c>
      <c r="T1767" s="18" t="str">
        <f aca="false">VLOOKUP(P1767,Sheet2!Q:R,2,0)</f>
        <v>IR Normal - BER to IR</v>
      </c>
      <c r="U1767" s="15" t="s">
        <v>38</v>
      </c>
      <c r="V1767" s="17" t="n">
        <v>11</v>
      </c>
      <c r="W1767" s="20" t="str">
        <f aca="false">VLOOKUP(V1767,Sheet2!Q:R,2,0)</f>
        <v>IR Normal - Track burn out</v>
      </c>
      <c r="X1767" s="17" t="str">
        <f aca="false">J1767</f>
        <v>A007</v>
      </c>
      <c r="Y1767" s="17" t="str">
        <f aca="false">VLOOKUP(X1767,Sheet2!A:B,2,0)</f>
        <v>HARIRAM GUPTA</v>
      </c>
      <c r="Z1767" s="17" t="s">
        <v>251</v>
      </c>
      <c r="AA1767" s="17" t="s">
        <v>883</v>
      </c>
      <c r="AB1767" s="17" t="s">
        <v>41</v>
      </c>
      <c r="AC1767" s="0" t="str">
        <f aca="false">LEFT(G1767,2)</f>
        <v>86</v>
      </c>
      <c r="AE1767" s="21" t="s">
        <v>506</v>
      </c>
    </row>
    <row r="1768" customFormat="false" ht="15" hidden="false" customHeight="false" outlineLevel="0" collapsed="false">
      <c r="A1768" s="13" t="n">
        <f aca="false">1+A1767</f>
        <v>1766</v>
      </c>
      <c r="B1768" s="14" t="n">
        <v>1009685072</v>
      </c>
      <c r="C1768" s="15" t="s">
        <v>449</v>
      </c>
      <c r="D1768" s="16" t="s">
        <v>60</v>
      </c>
      <c r="E1768" s="17" t="s">
        <v>255</v>
      </c>
      <c r="F1768" s="18" t="s">
        <v>34</v>
      </c>
      <c r="G1768" s="19" t="n">
        <v>864317232303</v>
      </c>
      <c r="H1768" s="17" t="s">
        <v>35</v>
      </c>
      <c r="I1768" s="17" t="s">
        <v>72</v>
      </c>
      <c r="J1768" s="17" t="s">
        <v>111</v>
      </c>
      <c r="K1768" s="17" t="str">
        <f aca="false">VLOOKUP(J1768,Sheet2!A:B,2,0)</f>
        <v>NITIN PRANAMI</v>
      </c>
      <c r="L1768" s="17" t="n">
        <v>1</v>
      </c>
      <c r="M1768" s="17" t="str">
        <f aca="false">VLOOKUP(L1768,Sheet2!D:E,2,0)</f>
        <v>Power Supply Section</v>
      </c>
      <c r="N1768" s="17" t="n">
        <v>1</v>
      </c>
      <c r="O1768" s="17" t="str">
        <f aca="false">VLOOKUP(N1768,Sheet2!G:H,2,0)</f>
        <v>Dead</v>
      </c>
      <c r="P1768" s="17" t="n">
        <v>12</v>
      </c>
      <c r="Q1768" s="17" t="str">
        <f aca="false">VLOOKUP(P1768,Sheet2!J:K,2,0)</f>
        <v>IR Declared due to Others ( IR Normal)TB</v>
      </c>
      <c r="R1768" s="17" t="s">
        <v>35</v>
      </c>
      <c r="S1768" s="17" t="str">
        <f aca="false">VLOOKUP(R1768,Sheet2!N:O,2,0)</f>
        <v>IREPARABLE</v>
      </c>
      <c r="T1768" s="18" t="str">
        <f aca="false">VLOOKUP(P1768,Sheet2!Q:R,2,0)</f>
        <v>IR Normal - BER to IR</v>
      </c>
      <c r="U1768" s="18" t="s">
        <v>101</v>
      </c>
      <c r="V1768" s="17" t="n">
        <v>8</v>
      </c>
      <c r="W1768" s="20" t="str">
        <f aca="false">VLOOKUP(V1768,Sheet2!Q:R,2,0)</f>
        <v>IR Normal -TrackRust/InternalDamage/open</v>
      </c>
      <c r="X1768" s="17" t="str">
        <f aca="false">J1768</f>
        <v>A031</v>
      </c>
      <c r="Y1768" s="17" t="str">
        <f aca="false">VLOOKUP(X1768,Sheet2!A:B,2,0)</f>
        <v>NITIN PRANAMI</v>
      </c>
      <c r="Z1768" s="17" t="s">
        <v>569</v>
      </c>
      <c r="AA1768" s="17" t="s">
        <v>883</v>
      </c>
      <c r="AB1768" s="17" t="s">
        <v>41</v>
      </c>
      <c r="AC1768" s="0" t="str">
        <f aca="false">LEFT(G1768,2)</f>
        <v>86</v>
      </c>
      <c r="AE1768" s="21" t="s">
        <v>506</v>
      </c>
    </row>
    <row r="1769" customFormat="false" ht="15" hidden="false" customHeight="false" outlineLevel="0" collapsed="false">
      <c r="A1769" s="13" t="n">
        <f aca="false">1+A1768</f>
        <v>1767</v>
      </c>
      <c r="B1769" s="14" t="n">
        <v>1009688770</v>
      </c>
      <c r="C1769" s="15" t="s">
        <v>449</v>
      </c>
      <c r="D1769" s="16" t="s">
        <v>175</v>
      </c>
      <c r="E1769" s="17" t="s">
        <v>176</v>
      </c>
      <c r="F1769" s="18" t="s">
        <v>34</v>
      </c>
      <c r="G1769" s="19" t="n">
        <v>865229254848</v>
      </c>
      <c r="H1769" s="17" t="s">
        <v>35</v>
      </c>
      <c r="I1769" s="17" t="s">
        <v>72</v>
      </c>
      <c r="J1769" s="17" t="s">
        <v>106</v>
      </c>
      <c r="K1769" s="17" t="str">
        <f aca="false">VLOOKUP(J1769,Sheet2!A:B,2,0)</f>
        <v>PRAKASH CHAVDA</v>
      </c>
      <c r="L1769" s="17" t="n">
        <v>7</v>
      </c>
      <c r="M1769" s="17" t="str">
        <f aca="false">VLOOKUP(L1769,Sheet2!D:E,2,0)</f>
        <v>Card Reader Section</v>
      </c>
      <c r="N1769" s="17" t="n">
        <v>37</v>
      </c>
      <c r="O1769" s="17" t="str">
        <f aca="false">VLOOKUP(N1769,Sheet2!G:H,2,0)</f>
        <v>Error -2</v>
      </c>
      <c r="P1769" s="17" t="n">
        <v>12</v>
      </c>
      <c r="Q1769" s="17" t="str">
        <f aca="false">VLOOKUP(P1769,Sheet2!J:K,2,0)</f>
        <v>IR Declared due to Others ( IR Normal)TB</v>
      </c>
      <c r="R1769" s="17" t="s">
        <v>35</v>
      </c>
      <c r="S1769" s="17" t="str">
        <f aca="false">VLOOKUP(R1769,Sheet2!N:O,2,0)</f>
        <v>IREPARABLE</v>
      </c>
      <c r="T1769" s="18" t="str">
        <f aca="false">VLOOKUP(P1769,Sheet2!Q:R,2,0)</f>
        <v>IR Normal - BER to IR</v>
      </c>
      <c r="U1769" s="18" t="s">
        <v>101</v>
      </c>
      <c r="V1769" s="17" t="n">
        <v>8</v>
      </c>
      <c r="W1769" s="20" t="str">
        <f aca="false">VLOOKUP(V1769,Sheet2!Q:R,2,0)</f>
        <v>IR Normal -TrackRust/InternalDamage/open</v>
      </c>
      <c r="X1769" s="17" t="str">
        <f aca="false">J1769</f>
        <v>A018</v>
      </c>
      <c r="Y1769" s="17" t="str">
        <f aca="false">VLOOKUP(X1769,Sheet2!A:B,2,0)</f>
        <v>PRAKASH CHAVDA</v>
      </c>
      <c r="Z1769" s="17" t="s">
        <v>912</v>
      </c>
      <c r="AA1769" s="17" t="s">
        <v>883</v>
      </c>
      <c r="AB1769" s="17" t="s">
        <v>41</v>
      </c>
      <c r="AC1769" s="0" t="str">
        <f aca="false">LEFT(G1769,2)</f>
        <v>86</v>
      </c>
      <c r="AE1769" s="21" t="s">
        <v>506</v>
      </c>
    </row>
    <row r="1770" customFormat="false" ht="15" hidden="false" customHeight="false" outlineLevel="0" collapsed="false">
      <c r="A1770" s="13" t="n">
        <f aca="false">1+A1769</f>
        <v>1768</v>
      </c>
      <c r="B1770" s="14" t="n">
        <v>1009642946</v>
      </c>
      <c r="C1770" s="15" t="s">
        <v>429</v>
      </c>
      <c r="D1770" s="16" t="s">
        <v>175</v>
      </c>
      <c r="E1770" s="17" t="s">
        <v>176</v>
      </c>
      <c r="F1770" s="18" t="s">
        <v>34</v>
      </c>
      <c r="G1770" s="19" t="n">
        <v>866085129496</v>
      </c>
      <c r="H1770" s="17" t="s">
        <v>35</v>
      </c>
      <c r="I1770" s="17" t="s">
        <v>72</v>
      </c>
      <c r="J1770" s="17" t="s">
        <v>239</v>
      </c>
      <c r="K1770" s="17" t="str">
        <f aca="false">VLOOKUP(J1770,Sheet2!A:B,2,0)</f>
        <v>VASANT PARMAR</v>
      </c>
      <c r="L1770" s="17" t="n">
        <v>5</v>
      </c>
      <c r="M1770" s="17" t="str">
        <f aca="false">VLOOKUP(L1770,Sheet2!D:E,2,0)</f>
        <v>Main Processor CPU BGA</v>
      </c>
      <c r="N1770" s="17" t="n">
        <v>2</v>
      </c>
      <c r="O1770" s="17" t="str">
        <f aca="false">VLOOKUP(N1770,Sheet2!G:H,2,0)</f>
        <v>Dead Intermittent</v>
      </c>
      <c r="P1770" s="17" t="n">
        <v>12</v>
      </c>
      <c r="Q1770" s="17" t="str">
        <f aca="false">VLOOKUP(P1770,Sheet2!J:K,2,0)</f>
        <v>IR Declared due to Others ( IR Normal)TB</v>
      </c>
      <c r="R1770" s="17" t="s">
        <v>35</v>
      </c>
      <c r="S1770" s="17" t="str">
        <f aca="false">VLOOKUP(R1770,Sheet2!N:O,2,0)</f>
        <v>IREPARABLE</v>
      </c>
      <c r="T1770" s="18" t="str">
        <f aca="false">VLOOKUP(P1770,Sheet2!Q:R,2,0)</f>
        <v>IR Normal - BER to IR</v>
      </c>
      <c r="U1770" s="18" t="s">
        <v>101</v>
      </c>
      <c r="V1770" s="17" t="n">
        <v>8</v>
      </c>
      <c r="W1770" s="20" t="str">
        <f aca="false">VLOOKUP(V1770,Sheet2!Q:R,2,0)</f>
        <v>IR Normal -TrackRust/InternalDamage/open</v>
      </c>
      <c r="X1770" s="17" t="str">
        <f aca="false">J1770</f>
        <v>A005</v>
      </c>
      <c r="Y1770" s="17" t="str">
        <f aca="false">VLOOKUP(X1770,Sheet2!A:B,2,0)</f>
        <v>VASANT PARMAR</v>
      </c>
      <c r="Z1770" s="17" t="s">
        <v>912</v>
      </c>
      <c r="AA1770" s="17" t="s">
        <v>883</v>
      </c>
      <c r="AB1770" s="17" t="s">
        <v>41</v>
      </c>
      <c r="AC1770" s="0" t="str">
        <f aca="false">LEFT(G1770,2)</f>
        <v>86</v>
      </c>
      <c r="AE1770" s="21" t="s">
        <v>506</v>
      </c>
    </row>
    <row r="1771" customFormat="false" ht="15" hidden="false" customHeight="false" outlineLevel="0" collapsed="false">
      <c r="A1771" s="13" t="n">
        <f aca="false">1+A1770</f>
        <v>1769</v>
      </c>
      <c r="B1771" s="14" t="n">
        <v>1009649840</v>
      </c>
      <c r="C1771" s="15" t="s">
        <v>204</v>
      </c>
      <c r="D1771" s="16" t="s">
        <v>183</v>
      </c>
      <c r="E1771" s="17" t="s">
        <v>47</v>
      </c>
      <c r="F1771" s="18" t="s">
        <v>34</v>
      </c>
      <c r="G1771" s="19" t="n">
        <v>865277241127</v>
      </c>
      <c r="H1771" s="17" t="s">
        <v>35</v>
      </c>
      <c r="I1771" s="17" t="s">
        <v>72</v>
      </c>
      <c r="J1771" s="17" t="s">
        <v>100</v>
      </c>
      <c r="K1771" s="17" t="str">
        <f aca="false">VLOOKUP(J1771,Sheet2!A:B,2,0)</f>
        <v>PIYUSH CHAVDA</v>
      </c>
      <c r="L1771" s="17" t="n">
        <v>1</v>
      </c>
      <c r="M1771" s="17" t="str">
        <f aca="false">VLOOKUP(L1771,Sheet2!D:E,2,0)</f>
        <v>Power Supply Section</v>
      </c>
      <c r="N1771" s="17" t="n">
        <v>1</v>
      </c>
      <c r="O1771" s="17" t="str">
        <f aca="false">VLOOKUP(N1771,Sheet2!G:H,2,0)</f>
        <v>Dead</v>
      </c>
      <c r="P1771" s="17" t="n">
        <v>12</v>
      </c>
      <c r="Q1771" s="17" t="str">
        <f aca="false">VLOOKUP(P1771,Sheet2!J:K,2,0)</f>
        <v>IR Declared due to Others ( IR Normal)TB</v>
      </c>
      <c r="R1771" s="17" t="s">
        <v>35</v>
      </c>
      <c r="S1771" s="17" t="str">
        <f aca="false">VLOOKUP(R1771,Sheet2!N:O,2,0)</f>
        <v>IREPARABLE</v>
      </c>
      <c r="T1771" s="18" t="str">
        <f aca="false">VLOOKUP(P1771,Sheet2!Q:R,2,0)</f>
        <v>IR Normal - BER to IR</v>
      </c>
      <c r="U1771" s="15" t="s">
        <v>38</v>
      </c>
      <c r="V1771" s="17" t="n">
        <v>11</v>
      </c>
      <c r="W1771" s="20" t="str">
        <f aca="false">VLOOKUP(V1771,Sheet2!Q:R,2,0)</f>
        <v>IR Normal - Track burn out</v>
      </c>
      <c r="X1771" s="17" t="str">
        <f aca="false">J1771</f>
        <v>A050</v>
      </c>
      <c r="Y1771" s="17" t="str">
        <f aca="false">VLOOKUP(X1771,Sheet2!A:B,2,0)</f>
        <v>PIYUSH CHAVDA</v>
      </c>
      <c r="Z1771" s="17" t="s">
        <v>249</v>
      </c>
      <c r="AA1771" s="17" t="s">
        <v>883</v>
      </c>
      <c r="AB1771" s="17" t="s">
        <v>41</v>
      </c>
      <c r="AC1771" s="0" t="str">
        <f aca="false">LEFT(G1771,2)</f>
        <v>86</v>
      </c>
      <c r="AE1771" s="21" t="s">
        <v>506</v>
      </c>
    </row>
    <row r="1772" customFormat="false" ht="15" hidden="false" customHeight="false" outlineLevel="0" collapsed="false">
      <c r="A1772" s="13" t="n">
        <f aca="false">1+A1771</f>
        <v>1770</v>
      </c>
      <c r="B1772" s="14" t="n">
        <v>1009636622</v>
      </c>
      <c r="C1772" s="15" t="s">
        <v>232</v>
      </c>
      <c r="D1772" s="16" t="s">
        <v>64</v>
      </c>
      <c r="E1772" s="17" t="s">
        <v>178</v>
      </c>
      <c r="F1772" s="18" t="s">
        <v>34</v>
      </c>
      <c r="G1772" s="19" t="n">
        <v>866020296046</v>
      </c>
      <c r="H1772" s="17" t="s">
        <v>35</v>
      </c>
      <c r="I1772" s="17" t="s">
        <v>72</v>
      </c>
      <c r="J1772" s="17" t="s">
        <v>100</v>
      </c>
      <c r="K1772" s="17" t="str">
        <f aca="false">VLOOKUP(J1772,Sheet2!A:B,2,0)</f>
        <v>PIYUSH CHAVDA</v>
      </c>
      <c r="L1772" s="17" t="n">
        <v>1</v>
      </c>
      <c r="M1772" s="17" t="str">
        <f aca="false">VLOOKUP(L1772,Sheet2!D:E,2,0)</f>
        <v>Power Supply Section</v>
      </c>
      <c r="N1772" s="17" t="n">
        <v>1</v>
      </c>
      <c r="O1772" s="17" t="str">
        <f aca="false">VLOOKUP(N1772,Sheet2!G:H,2,0)</f>
        <v>Dead</v>
      </c>
      <c r="P1772" s="17" t="n">
        <v>11</v>
      </c>
      <c r="Q1772" s="17" t="str">
        <f aca="false">VLOOKUP(P1772,Sheet2!J:K,2,0)</f>
        <v>IR Declared due to CID -TA</v>
      </c>
      <c r="R1772" s="17" t="s">
        <v>35</v>
      </c>
      <c r="S1772" s="17" t="str">
        <f aca="false">VLOOKUP(R1772,Sheet2!N:O,2,0)</f>
        <v>IREPARABLE</v>
      </c>
      <c r="T1772" s="18" t="str">
        <f aca="false">VLOOKUP(P1772,Sheet2!Q:R,2,0)</f>
        <v>IR Normal - Track burn out</v>
      </c>
      <c r="U1772" s="18" t="s">
        <v>122</v>
      </c>
      <c r="V1772" s="17" t="n">
        <v>2</v>
      </c>
      <c r="W1772" s="20" t="str">
        <f aca="false">VLOOKUP(V1772,Sheet2!Q:R,2,0)</f>
        <v>IR CID -  Water log from other area</v>
      </c>
      <c r="X1772" s="17" t="str">
        <f aca="false">J1772</f>
        <v>A050</v>
      </c>
      <c r="Y1772" s="17" t="str">
        <f aca="false">VLOOKUP(X1772,Sheet2!A:B,2,0)</f>
        <v>PIYUSH CHAVDA</v>
      </c>
      <c r="Z1772" s="17" t="s">
        <v>913</v>
      </c>
      <c r="AA1772" s="17" t="s">
        <v>883</v>
      </c>
      <c r="AB1772" s="17" t="s">
        <v>41</v>
      </c>
      <c r="AC1772" s="0" t="str">
        <f aca="false">LEFT(G1772,2)</f>
        <v>86</v>
      </c>
      <c r="AE1772" s="21" t="s">
        <v>506</v>
      </c>
    </row>
    <row r="1773" customFormat="false" ht="15" hidden="false" customHeight="false" outlineLevel="0" collapsed="false">
      <c r="A1773" s="13" t="n">
        <f aca="false">1+A1772</f>
        <v>1771</v>
      </c>
      <c r="B1773" s="14" t="n">
        <v>1009613634</v>
      </c>
      <c r="C1773" s="15" t="s">
        <v>184</v>
      </c>
      <c r="D1773" s="16" t="s">
        <v>64</v>
      </c>
      <c r="E1773" s="17" t="s">
        <v>33</v>
      </c>
      <c r="F1773" s="18" t="s">
        <v>34</v>
      </c>
      <c r="G1773" s="19" t="n">
        <v>867300221431</v>
      </c>
      <c r="H1773" s="17" t="s">
        <v>35</v>
      </c>
      <c r="I1773" s="17" t="s">
        <v>72</v>
      </c>
      <c r="J1773" s="17" t="s">
        <v>100</v>
      </c>
      <c r="K1773" s="17" t="str">
        <f aca="false">VLOOKUP(J1773,Sheet2!A:B,2,0)</f>
        <v>PIYUSH CHAVDA</v>
      </c>
      <c r="L1773" s="17" t="n">
        <v>1</v>
      </c>
      <c r="M1773" s="17" t="str">
        <f aca="false">VLOOKUP(L1773,Sheet2!D:E,2,0)</f>
        <v>Power Supply Section</v>
      </c>
      <c r="N1773" s="17" t="n">
        <v>1</v>
      </c>
      <c r="O1773" s="17" t="str">
        <f aca="false">VLOOKUP(N1773,Sheet2!G:H,2,0)</f>
        <v>Dead</v>
      </c>
      <c r="P1773" s="17" t="n">
        <v>11</v>
      </c>
      <c r="Q1773" s="17" t="str">
        <f aca="false">VLOOKUP(P1773,Sheet2!J:K,2,0)</f>
        <v>IR Declared due to CID -TA</v>
      </c>
      <c r="R1773" s="17" t="s">
        <v>35</v>
      </c>
      <c r="S1773" s="17" t="str">
        <f aca="false">VLOOKUP(R1773,Sheet2!N:O,2,0)</f>
        <v>IREPARABLE</v>
      </c>
      <c r="T1773" s="18" t="str">
        <f aca="false">VLOOKUP(P1773,Sheet2!Q:R,2,0)</f>
        <v>IR Normal - Track burn out</v>
      </c>
      <c r="U1773" s="18" t="s">
        <v>122</v>
      </c>
      <c r="V1773" s="17" t="n">
        <v>2</v>
      </c>
      <c r="W1773" s="20" t="str">
        <f aca="false">VLOOKUP(V1773,Sheet2!Q:R,2,0)</f>
        <v>IR CID -  Water log from other area</v>
      </c>
      <c r="X1773" s="17" t="str">
        <f aca="false">J1773</f>
        <v>A050</v>
      </c>
      <c r="Y1773" s="17" t="str">
        <f aca="false">VLOOKUP(X1773,Sheet2!A:B,2,0)</f>
        <v>PIYUSH CHAVDA</v>
      </c>
      <c r="Z1773" s="17" t="s">
        <v>914</v>
      </c>
      <c r="AA1773" s="17" t="s">
        <v>883</v>
      </c>
      <c r="AB1773" s="17" t="s">
        <v>41</v>
      </c>
      <c r="AC1773" s="0" t="str">
        <f aca="false">LEFT(G1773,2)</f>
        <v>86</v>
      </c>
      <c r="AE1773" s="21" t="s">
        <v>506</v>
      </c>
    </row>
    <row r="1774" customFormat="false" ht="15" hidden="false" customHeight="false" outlineLevel="0" collapsed="false">
      <c r="A1774" s="13" t="n">
        <f aca="false">1+A1773</f>
        <v>1772</v>
      </c>
      <c r="B1774" s="14" t="n">
        <v>1009668311</v>
      </c>
      <c r="C1774" s="15" t="s">
        <v>436</v>
      </c>
      <c r="D1774" s="16" t="s">
        <v>143</v>
      </c>
      <c r="E1774" s="17" t="s">
        <v>47</v>
      </c>
      <c r="F1774" s="18" t="s">
        <v>34</v>
      </c>
      <c r="G1774" s="19" t="n">
        <v>865146314972</v>
      </c>
      <c r="H1774" s="17" t="s">
        <v>35</v>
      </c>
      <c r="I1774" s="17" t="s">
        <v>72</v>
      </c>
      <c r="J1774" s="17" t="s">
        <v>289</v>
      </c>
      <c r="K1774" s="17" t="str">
        <f aca="false">VLOOKUP(J1774,Sheet2!A:B,2,0)</f>
        <v>AJAY KOSHTI</v>
      </c>
      <c r="L1774" s="17" t="n">
        <v>1</v>
      </c>
      <c r="M1774" s="17" t="str">
        <f aca="false">VLOOKUP(L1774,Sheet2!D:E,2,0)</f>
        <v>Power Supply Section</v>
      </c>
      <c r="N1774" s="17" t="n">
        <v>1</v>
      </c>
      <c r="O1774" s="17" t="str">
        <f aca="false">VLOOKUP(N1774,Sheet2!G:H,2,0)</f>
        <v>Dead</v>
      </c>
      <c r="P1774" s="17" t="n">
        <v>12</v>
      </c>
      <c r="Q1774" s="17" t="str">
        <f aca="false">VLOOKUP(P1774,Sheet2!J:K,2,0)</f>
        <v>IR Declared due to Others ( IR Normal)TB</v>
      </c>
      <c r="R1774" s="17" t="s">
        <v>35</v>
      </c>
      <c r="S1774" s="17" t="str">
        <f aca="false">VLOOKUP(R1774,Sheet2!N:O,2,0)</f>
        <v>IREPARABLE</v>
      </c>
      <c r="T1774" s="18" t="str">
        <f aca="false">VLOOKUP(P1774,Sheet2!Q:R,2,0)</f>
        <v>IR Normal - BER to IR</v>
      </c>
      <c r="U1774" s="18" t="s">
        <v>101</v>
      </c>
      <c r="V1774" s="17" t="n">
        <v>8</v>
      </c>
      <c r="W1774" s="20" t="str">
        <f aca="false">VLOOKUP(V1774,Sheet2!Q:R,2,0)</f>
        <v>IR Normal -TrackRust/InternalDamage/open</v>
      </c>
      <c r="X1774" s="17" t="str">
        <f aca="false">J1774</f>
        <v>A051</v>
      </c>
      <c r="Y1774" s="17" t="str">
        <f aca="false">VLOOKUP(X1774,Sheet2!A:B,2,0)</f>
        <v>AJAY KOSHTI</v>
      </c>
      <c r="Z1774" s="17" t="s">
        <v>915</v>
      </c>
      <c r="AA1774" s="17" t="s">
        <v>883</v>
      </c>
      <c r="AB1774" s="17" t="s">
        <v>41</v>
      </c>
      <c r="AC1774" s="0" t="str">
        <f aca="false">LEFT(G1774,2)</f>
        <v>86</v>
      </c>
      <c r="AE1774" s="21" t="s">
        <v>506</v>
      </c>
    </row>
    <row r="1775" customFormat="false" ht="15" hidden="false" customHeight="false" outlineLevel="0" collapsed="false">
      <c r="A1775" s="13" t="n">
        <f aca="false">1+A1774</f>
        <v>1773</v>
      </c>
      <c r="B1775" s="14" t="n">
        <v>1009623528</v>
      </c>
      <c r="C1775" s="15" t="s">
        <v>184</v>
      </c>
      <c r="D1775" s="16" t="s">
        <v>64</v>
      </c>
      <c r="E1775" s="17" t="s">
        <v>64</v>
      </c>
      <c r="F1775" s="18" t="s">
        <v>34</v>
      </c>
      <c r="G1775" s="19" t="n">
        <v>866168164022</v>
      </c>
      <c r="H1775" s="17" t="s">
        <v>35</v>
      </c>
      <c r="I1775" s="17" t="s">
        <v>72</v>
      </c>
      <c r="J1775" s="17" t="s">
        <v>239</v>
      </c>
      <c r="K1775" s="17" t="str">
        <f aca="false">VLOOKUP(J1775,Sheet2!A:B,2,0)</f>
        <v>VASANT PARMAR</v>
      </c>
      <c r="L1775" s="17" t="n">
        <v>1</v>
      </c>
      <c r="M1775" s="17" t="str">
        <f aca="false">VLOOKUP(L1775,Sheet2!D:E,2,0)</f>
        <v>Power Supply Section</v>
      </c>
      <c r="N1775" s="17" t="n">
        <v>11</v>
      </c>
      <c r="O1775" s="17" t="str">
        <f aca="false">VLOOKUP(N1775,Sheet2!G:H,2,0)</f>
        <v>No Audio - RF</v>
      </c>
      <c r="P1775" s="17" t="n">
        <v>11</v>
      </c>
      <c r="Q1775" s="17" t="str">
        <f aca="false">VLOOKUP(P1775,Sheet2!J:K,2,0)</f>
        <v>IR Declared due to CID -TA</v>
      </c>
      <c r="R1775" s="17" t="s">
        <v>35</v>
      </c>
      <c r="S1775" s="17" t="str">
        <f aca="false">VLOOKUP(R1775,Sheet2!N:O,2,0)</f>
        <v>IREPARABLE</v>
      </c>
      <c r="T1775" s="18" t="str">
        <f aca="false">VLOOKUP(P1775,Sheet2!Q:R,2,0)</f>
        <v>IR Normal - Track burn out</v>
      </c>
      <c r="U1775" s="18" t="s">
        <v>122</v>
      </c>
      <c r="V1775" s="17" t="n">
        <v>2</v>
      </c>
      <c r="W1775" s="20" t="str">
        <f aca="false">VLOOKUP(V1775,Sheet2!Q:R,2,0)</f>
        <v>IR CID -  Water log from other area</v>
      </c>
      <c r="X1775" s="17" t="str">
        <f aca="false">J1775</f>
        <v>A005</v>
      </c>
      <c r="Y1775" s="17" t="str">
        <f aca="false">VLOOKUP(X1775,Sheet2!A:B,2,0)</f>
        <v>VASANT PARMAR</v>
      </c>
      <c r="Z1775" s="17" t="s">
        <v>725</v>
      </c>
      <c r="AA1775" s="17" t="s">
        <v>883</v>
      </c>
      <c r="AB1775" s="17" t="s">
        <v>41</v>
      </c>
      <c r="AC1775" s="0" t="str">
        <f aca="false">LEFT(G1775,2)</f>
        <v>86</v>
      </c>
      <c r="AE1775" s="21" t="s">
        <v>506</v>
      </c>
    </row>
    <row r="1776" customFormat="false" ht="15" hidden="false" customHeight="false" outlineLevel="0" collapsed="false">
      <c r="A1776" s="13" t="n">
        <f aca="false">1+A1775</f>
        <v>1774</v>
      </c>
      <c r="B1776" s="14" t="n">
        <v>1009630079</v>
      </c>
      <c r="C1776" s="15" t="s">
        <v>182</v>
      </c>
      <c r="D1776" s="16" t="s">
        <v>64</v>
      </c>
      <c r="E1776" s="17" t="s">
        <v>33</v>
      </c>
      <c r="F1776" s="18" t="s">
        <v>34</v>
      </c>
      <c r="G1776" s="19" t="n">
        <v>865344371253</v>
      </c>
      <c r="H1776" s="17" t="s">
        <v>35</v>
      </c>
      <c r="I1776" s="17" t="s">
        <v>72</v>
      </c>
      <c r="J1776" s="17" t="s">
        <v>267</v>
      </c>
      <c r="K1776" s="17" t="str">
        <f aca="false">VLOOKUP(J1776,Sheet2!A:B,2,0)</f>
        <v>HARIRAM GUPTA</v>
      </c>
      <c r="L1776" s="17" t="n">
        <v>5</v>
      </c>
      <c r="M1776" s="17" t="str">
        <f aca="false">VLOOKUP(L1776,Sheet2!D:E,2,0)</f>
        <v>Main Processor CPU BGA</v>
      </c>
      <c r="N1776" s="17" t="n">
        <v>24</v>
      </c>
      <c r="O1776" s="17" t="str">
        <f aca="false">VLOOKUP(N1776,Sheet2!G:H,2,0)</f>
        <v>STB Auto moving -Stand by mode</v>
      </c>
      <c r="P1776" s="17" t="n">
        <v>11</v>
      </c>
      <c r="Q1776" s="17" t="str">
        <f aca="false">VLOOKUP(P1776,Sheet2!J:K,2,0)</f>
        <v>IR Declared due to CID -TA</v>
      </c>
      <c r="R1776" s="17" t="s">
        <v>35</v>
      </c>
      <c r="S1776" s="17" t="str">
        <f aca="false">VLOOKUP(R1776,Sheet2!N:O,2,0)</f>
        <v>IREPARABLE</v>
      </c>
      <c r="T1776" s="18" t="str">
        <f aca="false">VLOOKUP(P1776,Sheet2!Q:R,2,0)</f>
        <v>IR Normal - Track burn out</v>
      </c>
      <c r="U1776" s="18" t="s">
        <v>122</v>
      </c>
      <c r="V1776" s="17" t="n">
        <v>2</v>
      </c>
      <c r="W1776" s="20" t="str">
        <f aca="false">VLOOKUP(V1776,Sheet2!Q:R,2,0)</f>
        <v>IR CID -  Water log from other area</v>
      </c>
      <c r="X1776" s="17" t="str">
        <f aca="false">J1776</f>
        <v>A007</v>
      </c>
      <c r="Y1776" s="17" t="str">
        <f aca="false">VLOOKUP(X1776,Sheet2!A:B,2,0)</f>
        <v>HARIRAM GUPTA</v>
      </c>
      <c r="Z1776" s="17" t="s">
        <v>276</v>
      </c>
      <c r="AA1776" s="17" t="s">
        <v>883</v>
      </c>
      <c r="AB1776" s="17" t="s">
        <v>41</v>
      </c>
      <c r="AC1776" s="0" t="str">
        <f aca="false">LEFT(G1776,2)</f>
        <v>86</v>
      </c>
      <c r="AE1776" s="21" t="s">
        <v>506</v>
      </c>
    </row>
    <row r="1777" customFormat="false" ht="15" hidden="false" customHeight="false" outlineLevel="0" collapsed="false">
      <c r="A1777" s="13" t="n">
        <f aca="false">1+A1776</f>
        <v>1775</v>
      </c>
      <c r="B1777" s="14" t="n">
        <v>1009621598</v>
      </c>
      <c r="C1777" s="15" t="s">
        <v>184</v>
      </c>
      <c r="D1777" s="16" t="s">
        <v>64</v>
      </c>
      <c r="E1777" s="17" t="s">
        <v>64</v>
      </c>
      <c r="F1777" s="18" t="s">
        <v>34</v>
      </c>
      <c r="G1777" s="19" t="n">
        <v>865325231492</v>
      </c>
      <c r="H1777" s="17" t="s">
        <v>35</v>
      </c>
      <c r="I1777" s="17" t="s">
        <v>72</v>
      </c>
      <c r="J1777" s="17" t="s">
        <v>267</v>
      </c>
      <c r="K1777" s="17" t="str">
        <f aca="false">VLOOKUP(J1777,Sheet2!A:B,2,0)</f>
        <v>HARIRAM GUPTA</v>
      </c>
      <c r="L1777" s="17" t="n">
        <v>7</v>
      </c>
      <c r="M1777" s="17" t="str">
        <f aca="false">VLOOKUP(L1777,Sheet2!D:E,2,0)</f>
        <v>Card Reader Section</v>
      </c>
      <c r="N1777" s="17" t="n">
        <v>37</v>
      </c>
      <c r="O1777" s="17" t="str">
        <f aca="false">VLOOKUP(N1777,Sheet2!G:H,2,0)</f>
        <v>Error -2</v>
      </c>
      <c r="P1777" s="17" t="n">
        <v>11</v>
      </c>
      <c r="Q1777" s="17" t="str">
        <f aca="false">VLOOKUP(P1777,Sheet2!J:K,2,0)</f>
        <v>IR Declared due to CID -TA</v>
      </c>
      <c r="R1777" s="17" t="s">
        <v>35</v>
      </c>
      <c r="S1777" s="17" t="str">
        <f aca="false">VLOOKUP(R1777,Sheet2!N:O,2,0)</f>
        <v>IREPARABLE</v>
      </c>
      <c r="T1777" s="18" t="str">
        <f aca="false">VLOOKUP(P1777,Sheet2!Q:R,2,0)</f>
        <v>IR Normal - Track burn out</v>
      </c>
      <c r="U1777" s="18" t="s">
        <v>122</v>
      </c>
      <c r="V1777" s="17" t="n">
        <v>2</v>
      </c>
      <c r="W1777" s="20" t="str">
        <f aca="false">VLOOKUP(V1777,Sheet2!Q:R,2,0)</f>
        <v>IR CID -  Water log from other area</v>
      </c>
      <c r="X1777" s="17" t="str">
        <f aca="false">J1777</f>
        <v>A007</v>
      </c>
      <c r="Y1777" s="17" t="str">
        <f aca="false">VLOOKUP(X1777,Sheet2!A:B,2,0)</f>
        <v>HARIRAM GUPTA</v>
      </c>
      <c r="Z1777" s="17" t="s">
        <v>284</v>
      </c>
      <c r="AA1777" s="17" t="s">
        <v>883</v>
      </c>
      <c r="AB1777" s="17" t="s">
        <v>41</v>
      </c>
      <c r="AC1777" s="0" t="str">
        <f aca="false">LEFT(G1777,2)</f>
        <v>86</v>
      </c>
      <c r="AE1777" s="21" t="s">
        <v>506</v>
      </c>
    </row>
    <row r="1778" customFormat="false" ht="15" hidden="false" customHeight="false" outlineLevel="0" collapsed="false">
      <c r="A1778" s="13" t="n">
        <f aca="false">1+A1777</f>
        <v>1776</v>
      </c>
      <c r="B1778" s="14" t="n">
        <v>1009668076</v>
      </c>
      <c r="C1778" s="15" t="s">
        <v>436</v>
      </c>
      <c r="D1778" s="16" t="s">
        <v>119</v>
      </c>
      <c r="E1778" s="17" t="s">
        <v>64</v>
      </c>
      <c r="F1778" s="18" t="s">
        <v>34</v>
      </c>
      <c r="G1778" s="19" t="n">
        <v>866256166061</v>
      </c>
      <c r="H1778" s="17" t="s">
        <v>35</v>
      </c>
      <c r="I1778" s="17" t="s">
        <v>72</v>
      </c>
      <c r="J1778" s="17" t="s">
        <v>121</v>
      </c>
      <c r="K1778" s="17" t="str">
        <f aca="false">VLOOKUP(J1778,Sheet2!A:B,2,0)</f>
        <v>SHANI GOHIL</v>
      </c>
      <c r="L1778" s="17" t="n">
        <v>1</v>
      </c>
      <c r="M1778" s="17" t="str">
        <f aca="false">VLOOKUP(L1778,Sheet2!D:E,2,0)</f>
        <v>Power Supply Section</v>
      </c>
      <c r="N1778" s="17" t="n">
        <v>24</v>
      </c>
      <c r="O1778" s="17" t="str">
        <f aca="false">VLOOKUP(N1778,Sheet2!G:H,2,0)</f>
        <v>STB Auto moving -Stand by mode</v>
      </c>
      <c r="P1778" s="17" t="n">
        <v>12</v>
      </c>
      <c r="Q1778" s="17" t="str">
        <f aca="false">VLOOKUP(P1778,Sheet2!J:K,2,0)</f>
        <v>IR Declared due to Others ( IR Normal)TB</v>
      </c>
      <c r="R1778" s="17" t="s">
        <v>35</v>
      </c>
      <c r="S1778" s="17" t="str">
        <f aca="false">VLOOKUP(R1778,Sheet2!N:O,2,0)</f>
        <v>IREPARABLE</v>
      </c>
      <c r="T1778" s="18" t="str">
        <f aca="false">VLOOKUP(P1778,Sheet2!Q:R,2,0)</f>
        <v>IR Normal - BER to IR</v>
      </c>
      <c r="U1778" s="18" t="s">
        <v>101</v>
      </c>
      <c r="V1778" s="17" t="n">
        <v>8</v>
      </c>
      <c r="W1778" s="20" t="str">
        <f aca="false">VLOOKUP(V1778,Sheet2!Q:R,2,0)</f>
        <v>IR Normal -TrackRust/InternalDamage/open</v>
      </c>
      <c r="X1778" s="17" t="str">
        <f aca="false">J1778</f>
        <v>A063</v>
      </c>
      <c r="Y1778" s="17" t="str">
        <f aca="false">VLOOKUP(X1778,Sheet2!A:B,2,0)</f>
        <v>SHANI GOHIL</v>
      </c>
      <c r="Z1778" s="17" t="s">
        <v>819</v>
      </c>
      <c r="AA1778" s="17" t="s">
        <v>883</v>
      </c>
      <c r="AB1778" s="17" t="s">
        <v>41</v>
      </c>
      <c r="AC1778" s="0" t="str">
        <f aca="false">LEFT(G1778,2)</f>
        <v>86</v>
      </c>
      <c r="AE1778" s="21" t="s">
        <v>506</v>
      </c>
    </row>
    <row r="1779" customFormat="false" ht="15" hidden="false" customHeight="false" outlineLevel="0" collapsed="false">
      <c r="A1779" s="13" t="n">
        <f aca="false">1+A1778</f>
        <v>1777</v>
      </c>
      <c r="B1779" s="14" t="n">
        <v>1009631404</v>
      </c>
      <c r="C1779" s="15" t="s">
        <v>182</v>
      </c>
      <c r="D1779" s="16" t="s">
        <v>64</v>
      </c>
      <c r="E1779" s="17" t="s">
        <v>64</v>
      </c>
      <c r="F1779" s="18" t="s">
        <v>34</v>
      </c>
      <c r="G1779" s="19" t="n">
        <v>866169134958</v>
      </c>
      <c r="H1779" s="17" t="s">
        <v>35</v>
      </c>
      <c r="I1779" s="17" t="s">
        <v>72</v>
      </c>
      <c r="J1779" s="17" t="s">
        <v>239</v>
      </c>
      <c r="K1779" s="17" t="str">
        <f aca="false">VLOOKUP(J1779,Sheet2!A:B,2,0)</f>
        <v>VASANT PARMAR</v>
      </c>
      <c r="L1779" s="17" t="n">
        <v>1</v>
      </c>
      <c r="M1779" s="17" t="str">
        <f aca="false">VLOOKUP(L1779,Sheet2!D:E,2,0)</f>
        <v>Power Supply Section</v>
      </c>
      <c r="N1779" s="17" t="n">
        <v>1</v>
      </c>
      <c r="O1779" s="17" t="str">
        <f aca="false">VLOOKUP(N1779,Sheet2!G:H,2,0)</f>
        <v>Dead</v>
      </c>
      <c r="P1779" s="17" t="n">
        <v>11</v>
      </c>
      <c r="Q1779" s="17" t="str">
        <f aca="false">VLOOKUP(P1779,Sheet2!J:K,2,0)</f>
        <v>IR Declared due to CID -TA</v>
      </c>
      <c r="R1779" s="17" t="s">
        <v>35</v>
      </c>
      <c r="S1779" s="17" t="str">
        <f aca="false">VLOOKUP(R1779,Sheet2!N:O,2,0)</f>
        <v>IREPARABLE</v>
      </c>
      <c r="T1779" s="18" t="str">
        <f aca="false">VLOOKUP(P1779,Sheet2!Q:R,2,0)</f>
        <v>IR Normal - Track burn out</v>
      </c>
      <c r="U1779" s="18" t="s">
        <v>122</v>
      </c>
      <c r="V1779" s="17" t="n">
        <v>2</v>
      </c>
      <c r="W1779" s="20" t="str">
        <f aca="false">VLOOKUP(V1779,Sheet2!Q:R,2,0)</f>
        <v>IR CID -  Water log from other area</v>
      </c>
      <c r="X1779" s="17" t="str">
        <f aca="false">J1779</f>
        <v>A005</v>
      </c>
      <c r="Y1779" s="17" t="str">
        <f aca="false">VLOOKUP(X1779,Sheet2!A:B,2,0)</f>
        <v>VASANT PARMAR</v>
      </c>
      <c r="Z1779" s="17" t="s">
        <v>916</v>
      </c>
      <c r="AA1779" s="17" t="s">
        <v>883</v>
      </c>
      <c r="AB1779" s="17" t="s">
        <v>41</v>
      </c>
      <c r="AC1779" s="0" t="str">
        <f aca="false">LEFT(G1779,2)</f>
        <v>86</v>
      </c>
      <c r="AE1779" s="21" t="s">
        <v>506</v>
      </c>
    </row>
    <row r="1780" customFormat="false" ht="15" hidden="false" customHeight="false" outlineLevel="0" collapsed="false">
      <c r="A1780" s="13" t="n">
        <f aca="false">1+A1779</f>
        <v>1778</v>
      </c>
      <c r="B1780" s="14" t="n">
        <v>1009649699</v>
      </c>
      <c r="C1780" s="15" t="s">
        <v>204</v>
      </c>
      <c r="D1780" s="16" t="s">
        <v>64</v>
      </c>
      <c r="E1780" s="17" t="s">
        <v>64</v>
      </c>
      <c r="F1780" s="18" t="s">
        <v>34</v>
      </c>
      <c r="G1780" s="19" t="n">
        <v>866336192079</v>
      </c>
      <c r="H1780" s="17" t="s">
        <v>35</v>
      </c>
      <c r="I1780" s="17" t="s">
        <v>72</v>
      </c>
      <c r="J1780" s="17" t="s">
        <v>100</v>
      </c>
      <c r="K1780" s="17" t="str">
        <f aca="false">VLOOKUP(J1780,Sheet2!A:B,2,0)</f>
        <v>PIYUSH CHAVDA</v>
      </c>
      <c r="L1780" s="17" t="n">
        <v>1</v>
      </c>
      <c r="M1780" s="17" t="str">
        <f aca="false">VLOOKUP(L1780,Sheet2!D:E,2,0)</f>
        <v>Power Supply Section</v>
      </c>
      <c r="N1780" s="17" t="n">
        <v>1</v>
      </c>
      <c r="O1780" s="17" t="str">
        <f aca="false">VLOOKUP(N1780,Sheet2!G:H,2,0)</f>
        <v>Dead</v>
      </c>
      <c r="P1780" s="17" t="n">
        <v>11</v>
      </c>
      <c r="Q1780" s="17" t="str">
        <f aca="false">VLOOKUP(P1780,Sheet2!J:K,2,0)</f>
        <v>IR Declared due to CID -TA</v>
      </c>
      <c r="R1780" s="17" t="s">
        <v>35</v>
      </c>
      <c r="S1780" s="17" t="str">
        <f aca="false">VLOOKUP(R1780,Sheet2!N:O,2,0)</f>
        <v>IREPARABLE</v>
      </c>
      <c r="T1780" s="18" t="str">
        <f aca="false">VLOOKUP(P1780,Sheet2!Q:R,2,0)</f>
        <v>IR Normal - Track burn out</v>
      </c>
      <c r="U1780" s="18" t="s">
        <v>122</v>
      </c>
      <c r="V1780" s="17" t="n">
        <v>2</v>
      </c>
      <c r="W1780" s="20" t="str">
        <f aca="false">VLOOKUP(V1780,Sheet2!Q:R,2,0)</f>
        <v>IR CID -  Water log from other area</v>
      </c>
      <c r="X1780" s="17" t="str">
        <f aca="false">J1780</f>
        <v>A050</v>
      </c>
      <c r="Y1780" s="17" t="str">
        <f aca="false">VLOOKUP(X1780,Sheet2!A:B,2,0)</f>
        <v>PIYUSH CHAVDA</v>
      </c>
      <c r="Z1780" s="17" t="s">
        <v>917</v>
      </c>
      <c r="AA1780" s="17" t="s">
        <v>883</v>
      </c>
      <c r="AB1780" s="17" t="s">
        <v>41</v>
      </c>
      <c r="AC1780" s="0" t="str">
        <f aca="false">LEFT(G1780,2)</f>
        <v>86</v>
      </c>
      <c r="AE1780" s="21" t="s">
        <v>506</v>
      </c>
    </row>
    <row r="1781" customFormat="false" ht="15" hidden="false" customHeight="false" outlineLevel="0" collapsed="false">
      <c r="A1781" s="13" t="n">
        <f aca="false">1+A1780</f>
        <v>1779</v>
      </c>
      <c r="B1781" s="14" t="n">
        <v>1009645656</v>
      </c>
      <c r="C1781" s="15" t="s">
        <v>204</v>
      </c>
      <c r="D1781" s="16" t="s">
        <v>64</v>
      </c>
      <c r="E1781" s="17" t="s">
        <v>64</v>
      </c>
      <c r="F1781" s="18" t="s">
        <v>34</v>
      </c>
      <c r="G1781" s="19" t="n">
        <v>866286113380</v>
      </c>
      <c r="H1781" s="17" t="s">
        <v>35</v>
      </c>
      <c r="I1781" s="17" t="s">
        <v>72</v>
      </c>
      <c r="J1781" s="17" t="s">
        <v>289</v>
      </c>
      <c r="K1781" s="17" t="str">
        <f aca="false">VLOOKUP(J1781,Sheet2!A:B,2,0)</f>
        <v>AJAY KOSHTI</v>
      </c>
      <c r="L1781" s="17" t="n">
        <v>1</v>
      </c>
      <c r="M1781" s="17" t="str">
        <f aca="false">VLOOKUP(L1781,Sheet2!D:E,2,0)</f>
        <v>Power Supply Section</v>
      </c>
      <c r="N1781" s="17" t="n">
        <v>1</v>
      </c>
      <c r="O1781" s="17" t="str">
        <f aca="false">VLOOKUP(N1781,Sheet2!G:H,2,0)</f>
        <v>Dead</v>
      </c>
      <c r="P1781" s="17" t="n">
        <v>11</v>
      </c>
      <c r="Q1781" s="17" t="str">
        <f aca="false">VLOOKUP(P1781,Sheet2!J:K,2,0)</f>
        <v>IR Declared due to CID -TA</v>
      </c>
      <c r="R1781" s="17" t="s">
        <v>35</v>
      </c>
      <c r="S1781" s="17" t="str">
        <f aca="false">VLOOKUP(R1781,Sheet2!N:O,2,0)</f>
        <v>IREPARABLE</v>
      </c>
      <c r="T1781" s="18" t="str">
        <f aca="false">VLOOKUP(P1781,Sheet2!Q:R,2,0)</f>
        <v>IR Normal - Track burn out</v>
      </c>
      <c r="U1781" s="18" t="s">
        <v>122</v>
      </c>
      <c r="V1781" s="17" t="n">
        <v>2</v>
      </c>
      <c r="W1781" s="20" t="str">
        <f aca="false">VLOOKUP(V1781,Sheet2!Q:R,2,0)</f>
        <v>IR CID -  Water log from other area</v>
      </c>
      <c r="X1781" s="17" t="str">
        <f aca="false">J1781</f>
        <v>A051</v>
      </c>
      <c r="Y1781" s="17" t="str">
        <f aca="false">VLOOKUP(X1781,Sheet2!A:B,2,0)</f>
        <v>AJAY KOSHTI</v>
      </c>
      <c r="Z1781" s="17" t="s">
        <v>724</v>
      </c>
      <c r="AA1781" s="17" t="s">
        <v>883</v>
      </c>
      <c r="AB1781" s="17" t="s">
        <v>41</v>
      </c>
      <c r="AC1781" s="0" t="str">
        <f aca="false">LEFT(G1781,2)</f>
        <v>86</v>
      </c>
      <c r="AE1781" s="21" t="s">
        <v>506</v>
      </c>
    </row>
    <row r="1782" customFormat="false" ht="15" hidden="false" customHeight="false" outlineLevel="0" collapsed="false">
      <c r="A1782" s="13" t="n">
        <f aca="false">1+A1781</f>
        <v>1780</v>
      </c>
      <c r="B1782" s="14" t="n">
        <v>1009609884</v>
      </c>
      <c r="C1782" s="15" t="s">
        <v>181</v>
      </c>
      <c r="D1782" s="16" t="s">
        <v>119</v>
      </c>
      <c r="E1782" s="17" t="s">
        <v>918</v>
      </c>
      <c r="F1782" s="18" t="s">
        <v>34</v>
      </c>
      <c r="G1782" s="19" t="n">
        <v>867095136893</v>
      </c>
      <c r="H1782" s="17" t="s">
        <v>35</v>
      </c>
      <c r="I1782" s="17" t="s">
        <v>72</v>
      </c>
      <c r="J1782" s="17" t="s">
        <v>111</v>
      </c>
      <c r="K1782" s="17" t="str">
        <f aca="false">VLOOKUP(J1782,Sheet2!A:B,2,0)</f>
        <v>NITIN PRANAMI</v>
      </c>
      <c r="L1782" s="17" t="n">
        <v>1</v>
      </c>
      <c r="M1782" s="17" t="str">
        <f aca="false">VLOOKUP(L1782,Sheet2!D:E,2,0)</f>
        <v>Power Supply Section</v>
      </c>
      <c r="N1782" s="17" t="n">
        <v>1</v>
      </c>
      <c r="O1782" s="17" t="str">
        <f aca="false">VLOOKUP(N1782,Sheet2!G:H,2,0)</f>
        <v>Dead</v>
      </c>
      <c r="P1782" s="17" t="n">
        <v>11</v>
      </c>
      <c r="Q1782" s="17" t="str">
        <f aca="false">VLOOKUP(P1782,Sheet2!J:K,2,0)</f>
        <v>IR Declared due to CID -TA</v>
      </c>
      <c r="R1782" s="17" t="s">
        <v>35</v>
      </c>
      <c r="S1782" s="17" t="str">
        <f aca="false">VLOOKUP(R1782,Sheet2!N:O,2,0)</f>
        <v>IREPARABLE</v>
      </c>
      <c r="T1782" s="18" t="str">
        <f aca="false">VLOOKUP(P1782,Sheet2!Q:R,2,0)</f>
        <v>IR Normal - Track burn out</v>
      </c>
      <c r="U1782" s="18" t="s">
        <v>122</v>
      </c>
      <c r="V1782" s="17" t="n">
        <v>2</v>
      </c>
      <c r="W1782" s="20" t="str">
        <f aca="false">VLOOKUP(V1782,Sheet2!Q:R,2,0)</f>
        <v>IR CID -  Water log from other area</v>
      </c>
      <c r="X1782" s="17" t="str">
        <f aca="false">J1782</f>
        <v>A031</v>
      </c>
      <c r="Y1782" s="17" t="str">
        <f aca="false">VLOOKUP(X1782,Sheet2!A:B,2,0)</f>
        <v>NITIN PRANAMI</v>
      </c>
      <c r="Z1782" s="17" t="s">
        <v>569</v>
      </c>
      <c r="AA1782" s="17" t="s">
        <v>883</v>
      </c>
      <c r="AB1782" s="17" t="s">
        <v>41</v>
      </c>
      <c r="AC1782" s="0" t="str">
        <f aca="false">LEFT(G1782,2)</f>
        <v>86</v>
      </c>
      <c r="AE1782" s="21" t="s">
        <v>506</v>
      </c>
    </row>
    <row r="1783" customFormat="false" ht="15" hidden="false" customHeight="false" outlineLevel="0" collapsed="false">
      <c r="A1783" s="13" t="n">
        <f aca="false">1+A1782</f>
        <v>1781</v>
      </c>
      <c r="B1783" s="14" t="n">
        <v>1007736919</v>
      </c>
      <c r="C1783" s="15" t="s">
        <v>415</v>
      </c>
      <c r="D1783" s="16" t="s">
        <v>64</v>
      </c>
      <c r="E1783" s="17" t="s">
        <v>64</v>
      </c>
      <c r="F1783" s="18" t="s">
        <v>34</v>
      </c>
      <c r="G1783" s="19" t="n">
        <v>135232082929</v>
      </c>
      <c r="H1783" s="17" t="s">
        <v>647</v>
      </c>
      <c r="I1783" s="17" t="s">
        <v>44</v>
      </c>
      <c r="J1783" s="17" t="s">
        <v>106</v>
      </c>
      <c r="K1783" s="17" t="str">
        <f aca="false">VLOOKUP(J1783,Sheet2!A:B,2,0)</f>
        <v>PRAKASH CHAVDA</v>
      </c>
      <c r="L1783" s="17" t="n">
        <v>5</v>
      </c>
      <c r="M1783" s="17" t="str">
        <f aca="false">VLOOKUP(L1783,Sheet2!D:E,2,0)</f>
        <v>Main Processor CPU BGA</v>
      </c>
      <c r="N1783" s="17" t="n">
        <v>6</v>
      </c>
      <c r="O1783" s="17" t="str">
        <f aca="false">VLOOKUP(N1783,Sheet2!G:H,2,0)</f>
        <v>No Signal</v>
      </c>
      <c r="P1783" s="17" t="n">
        <v>12</v>
      </c>
      <c r="Q1783" s="17" t="str">
        <f aca="false">VLOOKUP(P1783,Sheet2!J:K,2,0)</f>
        <v>IR Declared due to Others ( IR Normal)TB</v>
      </c>
      <c r="R1783" s="17" t="s">
        <v>35</v>
      </c>
      <c r="S1783" s="17" t="str">
        <f aca="false">VLOOKUP(R1783,Sheet2!N:O,2,0)</f>
        <v>IREPARABLE</v>
      </c>
      <c r="T1783" s="18" t="str">
        <f aca="false">VLOOKUP(P1783,Sheet2!Q:R,2,0)</f>
        <v>IR Normal - BER to IR</v>
      </c>
      <c r="U1783" s="20" t="s">
        <v>135</v>
      </c>
      <c r="V1783" s="17" t="n">
        <v>12</v>
      </c>
      <c r="W1783" s="20" t="str">
        <f aca="false">VLOOKUP(V1783,Sheet2!Q:R,2,0)</f>
        <v>IR Normal - BER to IR</v>
      </c>
      <c r="X1783" s="17" t="str">
        <f aca="false">J1783</f>
        <v>A018</v>
      </c>
      <c r="Y1783" s="17" t="str">
        <f aca="false">VLOOKUP(X1783,Sheet2!A:B,2,0)</f>
        <v>PRAKASH CHAVDA</v>
      </c>
      <c r="Z1783" s="17" t="s">
        <v>136</v>
      </c>
      <c r="AA1783" s="17" t="s">
        <v>919</v>
      </c>
      <c r="AB1783" s="17" t="s">
        <v>41</v>
      </c>
      <c r="AC1783" s="0" t="str">
        <f aca="false">LEFT(G1783,2)</f>
        <v>13</v>
      </c>
      <c r="AE1783" s="21" t="s">
        <v>238</v>
      </c>
    </row>
    <row r="1784" customFormat="false" ht="15" hidden="false" customHeight="false" outlineLevel="0" collapsed="false">
      <c r="A1784" s="13" t="n">
        <f aca="false">1+A1783</f>
        <v>1782</v>
      </c>
      <c r="B1784" s="14" t="n">
        <v>1005954103</v>
      </c>
      <c r="C1784" s="15" t="s">
        <v>920</v>
      </c>
      <c r="D1784" s="16" t="s">
        <v>64</v>
      </c>
      <c r="E1784" s="17" t="s">
        <v>64</v>
      </c>
      <c r="F1784" s="18" t="s">
        <v>34</v>
      </c>
      <c r="G1784" s="19" t="n">
        <v>135224037246</v>
      </c>
      <c r="H1784" s="17" t="s">
        <v>134</v>
      </c>
      <c r="I1784" s="17" t="s">
        <v>44</v>
      </c>
      <c r="J1784" s="17" t="s">
        <v>106</v>
      </c>
      <c r="K1784" s="17" t="str">
        <f aca="false">VLOOKUP(J1784,Sheet2!A:B,2,0)</f>
        <v>PRAKASH CHAVDA</v>
      </c>
      <c r="L1784" s="17" t="n">
        <v>5</v>
      </c>
      <c r="M1784" s="17" t="str">
        <f aca="false">VLOOKUP(L1784,Sheet2!D:E,2,0)</f>
        <v>Main Processor CPU BGA</v>
      </c>
      <c r="N1784" s="17" t="n">
        <v>24</v>
      </c>
      <c r="O1784" s="17" t="str">
        <f aca="false">VLOOKUP(N1784,Sheet2!G:H,2,0)</f>
        <v>STB Auto moving -Stand by mode</v>
      </c>
      <c r="P1784" s="17" t="n">
        <v>12</v>
      </c>
      <c r="Q1784" s="17" t="str">
        <f aca="false">VLOOKUP(P1784,Sheet2!J:K,2,0)</f>
        <v>IR Declared due to Others ( IR Normal)TB</v>
      </c>
      <c r="R1784" s="17" t="s">
        <v>35</v>
      </c>
      <c r="S1784" s="17" t="str">
        <f aca="false">VLOOKUP(R1784,Sheet2!N:O,2,0)</f>
        <v>IREPARABLE</v>
      </c>
      <c r="T1784" s="18" t="str">
        <f aca="false">VLOOKUP(P1784,Sheet2!Q:R,2,0)</f>
        <v>IR Normal - BER to IR</v>
      </c>
      <c r="U1784" s="20" t="s">
        <v>135</v>
      </c>
      <c r="V1784" s="17" t="n">
        <v>12</v>
      </c>
      <c r="W1784" s="20" t="str">
        <f aca="false">VLOOKUP(V1784,Sheet2!Q:R,2,0)</f>
        <v>IR Normal - BER to IR</v>
      </c>
      <c r="X1784" s="17" t="str">
        <f aca="false">J1784</f>
        <v>A018</v>
      </c>
      <c r="Y1784" s="17" t="str">
        <f aca="false">VLOOKUP(X1784,Sheet2!A:B,2,0)</f>
        <v>PRAKASH CHAVDA</v>
      </c>
      <c r="Z1784" s="17" t="s">
        <v>136</v>
      </c>
      <c r="AA1784" s="17" t="s">
        <v>919</v>
      </c>
      <c r="AB1784" s="17" t="s">
        <v>41</v>
      </c>
      <c r="AC1784" s="0" t="str">
        <f aca="false">LEFT(G1784,2)</f>
        <v>13</v>
      </c>
      <c r="AE1784" s="21" t="s">
        <v>238</v>
      </c>
    </row>
    <row r="1785" customFormat="false" ht="15" hidden="false" customHeight="false" outlineLevel="0" collapsed="false">
      <c r="A1785" s="13" t="n">
        <f aca="false">1+A1784</f>
        <v>1783</v>
      </c>
      <c r="B1785" s="14" t="n">
        <v>1008853379</v>
      </c>
      <c r="C1785" s="15" t="s">
        <v>921</v>
      </c>
      <c r="D1785" s="16" t="s">
        <v>64</v>
      </c>
      <c r="E1785" s="17" t="s">
        <v>33</v>
      </c>
      <c r="F1785" s="18" t="s">
        <v>34</v>
      </c>
      <c r="G1785" s="19" t="n">
        <v>134211100661</v>
      </c>
      <c r="H1785" s="17" t="s">
        <v>649</v>
      </c>
      <c r="I1785" s="17" t="s">
        <v>44</v>
      </c>
      <c r="J1785" s="17" t="s">
        <v>106</v>
      </c>
      <c r="K1785" s="17" t="str">
        <f aca="false">VLOOKUP(J1785,Sheet2!A:B,2,0)</f>
        <v>PRAKASH CHAVDA</v>
      </c>
      <c r="L1785" s="17" t="n">
        <v>5</v>
      </c>
      <c r="M1785" s="17" t="str">
        <f aca="false">VLOOKUP(L1785,Sheet2!D:E,2,0)</f>
        <v>Main Processor CPU BGA</v>
      </c>
      <c r="N1785" s="17" t="n">
        <v>28</v>
      </c>
      <c r="O1785" s="17" t="str">
        <f aca="false">VLOOKUP(N1785,Sheet2!G:H,2,0)</f>
        <v>Hang and Freeze video - AV</v>
      </c>
      <c r="P1785" s="17" t="n">
        <v>12</v>
      </c>
      <c r="Q1785" s="17" t="str">
        <f aca="false">VLOOKUP(P1785,Sheet2!J:K,2,0)</f>
        <v>IR Declared due to Others ( IR Normal)TB</v>
      </c>
      <c r="R1785" s="17" t="s">
        <v>35</v>
      </c>
      <c r="S1785" s="17" t="str">
        <f aca="false">VLOOKUP(R1785,Sheet2!N:O,2,0)</f>
        <v>IREPARABLE</v>
      </c>
      <c r="T1785" s="18" t="str">
        <f aca="false">VLOOKUP(P1785,Sheet2!Q:R,2,0)</f>
        <v>IR Normal - BER to IR</v>
      </c>
      <c r="U1785" s="20" t="s">
        <v>135</v>
      </c>
      <c r="V1785" s="17" t="n">
        <v>12</v>
      </c>
      <c r="W1785" s="20" t="str">
        <f aca="false">VLOOKUP(V1785,Sheet2!Q:R,2,0)</f>
        <v>IR Normal - BER to IR</v>
      </c>
      <c r="X1785" s="17" t="str">
        <f aca="false">J1785</f>
        <v>A018</v>
      </c>
      <c r="Y1785" s="17" t="str">
        <f aca="false">VLOOKUP(X1785,Sheet2!A:B,2,0)</f>
        <v>PRAKASH CHAVDA</v>
      </c>
      <c r="Z1785" s="17" t="s">
        <v>922</v>
      </c>
      <c r="AA1785" s="17" t="s">
        <v>919</v>
      </c>
      <c r="AB1785" s="17" t="s">
        <v>41</v>
      </c>
      <c r="AC1785" s="0" t="str">
        <f aca="false">LEFT(G1785,2)</f>
        <v>13</v>
      </c>
      <c r="AE1785" s="21" t="s">
        <v>238</v>
      </c>
    </row>
    <row r="1786" customFormat="false" ht="15" hidden="false" customHeight="false" outlineLevel="0" collapsed="false">
      <c r="A1786" s="13" t="n">
        <f aca="false">1+A1785</f>
        <v>1784</v>
      </c>
      <c r="B1786" s="14" t="n">
        <v>1009091881</v>
      </c>
      <c r="C1786" s="15" t="s">
        <v>414</v>
      </c>
      <c r="D1786" s="16" t="s">
        <v>64</v>
      </c>
      <c r="E1786" s="17" t="s">
        <v>64</v>
      </c>
      <c r="F1786" s="18" t="s">
        <v>34</v>
      </c>
      <c r="G1786" s="19" t="n">
        <v>135204040145</v>
      </c>
      <c r="H1786" s="17" t="s">
        <v>134</v>
      </c>
      <c r="I1786" s="17" t="s">
        <v>44</v>
      </c>
      <c r="J1786" s="17" t="s">
        <v>106</v>
      </c>
      <c r="K1786" s="17" t="str">
        <f aca="false">VLOOKUP(J1786,Sheet2!A:B,2,0)</f>
        <v>PRAKASH CHAVDA</v>
      </c>
      <c r="L1786" s="17" t="n">
        <v>5</v>
      </c>
      <c r="M1786" s="17" t="str">
        <f aca="false">VLOOKUP(L1786,Sheet2!D:E,2,0)</f>
        <v>Main Processor CPU BGA</v>
      </c>
      <c r="N1786" s="17" t="n">
        <v>6</v>
      </c>
      <c r="O1786" s="17" t="str">
        <f aca="false">VLOOKUP(N1786,Sheet2!G:H,2,0)</f>
        <v>No Signal</v>
      </c>
      <c r="P1786" s="17" t="n">
        <v>12</v>
      </c>
      <c r="Q1786" s="17" t="str">
        <f aca="false">VLOOKUP(P1786,Sheet2!J:K,2,0)</f>
        <v>IR Declared due to Others ( IR Normal)TB</v>
      </c>
      <c r="R1786" s="17" t="s">
        <v>35</v>
      </c>
      <c r="S1786" s="17" t="str">
        <f aca="false">VLOOKUP(R1786,Sheet2!N:O,2,0)</f>
        <v>IREPARABLE</v>
      </c>
      <c r="T1786" s="18" t="str">
        <f aca="false">VLOOKUP(P1786,Sheet2!Q:R,2,0)</f>
        <v>IR Normal - BER to IR</v>
      </c>
      <c r="U1786" s="20" t="s">
        <v>135</v>
      </c>
      <c r="V1786" s="17" t="n">
        <v>12</v>
      </c>
      <c r="W1786" s="20" t="str">
        <f aca="false">VLOOKUP(V1786,Sheet2!Q:R,2,0)</f>
        <v>IR Normal - BER to IR</v>
      </c>
      <c r="X1786" s="17" t="str">
        <f aca="false">J1786</f>
        <v>A018</v>
      </c>
      <c r="Y1786" s="17" t="str">
        <f aca="false">VLOOKUP(X1786,Sheet2!A:B,2,0)</f>
        <v>PRAKASH CHAVDA</v>
      </c>
      <c r="Z1786" s="17" t="s">
        <v>923</v>
      </c>
      <c r="AA1786" s="17" t="s">
        <v>919</v>
      </c>
      <c r="AB1786" s="17" t="s">
        <v>41</v>
      </c>
      <c r="AC1786" s="0" t="str">
        <f aca="false">LEFT(G1786,2)</f>
        <v>13</v>
      </c>
      <c r="AE1786" s="21" t="s">
        <v>238</v>
      </c>
    </row>
    <row r="1787" customFormat="false" ht="15" hidden="false" customHeight="false" outlineLevel="0" collapsed="false">
      <c r="A1787" s="13" t="n">
        <f aca="false">1+A1786</f>
        <v>1785</v>
      </c>
      <c r="B1787" s="14" t="n">
        <v>1009431942</v>
      </c>
      <c r="C1787" s="15" t="s">
        <v>31</v>
      </c>
      <c r="D1787" s="16" t="s">
        <v>156</v>
      </c>
      <c r="E1787" s="17" t="s">
        <v>33</v>
      </c>
      <c r="F1787" s="18" t="s">
        <v>34</v>
      </c>
      <c r="G1787" s="19" t="n">
        <v>134063576109</v>
      </c>
      <c r="H1787" s="17" t="s">
        <v>647</v>
      </c>
      <c r="I1787" s="17" t="s">
        <v>44</v>
      </c>
      <c r="J1787" s="17" t="s">
        <v>106</v>
      </c>
      <c r="K1787" s="17" t="str">
        <f aca="false">VLOOKUP(J1787,Sheet2!A:B,2,0)</f>
        <v>PRAKASH CHAVDA</v>
      </c>
      <c r="L1787" s="17" t="n">
        <v>5</v>
      </c>
      <c r="M1787" s="17" t="str">
        <f aca="false">VLOOKUP(L1787,Sheet2!D:E,2,0)</f>
        <v>Main Processor CPU BGA</v>
      </c>
      <c r="N1787" s="17" t="n">
        <v>1</v>
      </c>
      <c r="O1787" s="17" t="str">
        <f aca="false">VLOOKUP(N1787,Sheet2!G:H,2,0)</f>
        <v>Dead</v>
      </c>
      <c r="P1787" s="17" t="n">
        <v>12</v>
      </c>
      <c r="Q1787" s="17" t="str">
        <f aca="false">VLOOKUP(P1787,Sheet2!J:K,2,0)</f>
        <v>IR Declared due to Others ( IR Normal)TB</v>
      </c>
      <c r="R1787" s="17" t="s">
        <v>35</v>
      </c>
      <c r="S1787" s="17" t="str">
        <f aca="false">VLOOKUP(R1787,Sheet2!N:O,2,0)</f>
        <v>IREPARABLE</v>
      </c>
      <c r="T1787" s="18" t="str">
        <f aca="false">VLOOKUP(P1787,Sheet2!Q:R,2,0)</f>
        <v>IR Normal - BER to IR</v>
      </c>
      <c r="U1787" s="20" t="s">
        <v>135</v>
      </c>
      <c r="V1787" s="17" t="n">
        <v>12</v>
      </c>
      <c r="W1787" s="20" t="str">
        <f aca="false">VLOOKUP(V1787,Sheet2!Q:R,2,0)</f>
        <v>IR Normal - BER to IR</v>
      </c>
      <c r="X1787" s="17" t="str">
        <f aca="false">J1787</f>
        <v>A018</v>
      </c>
      <c r="Y1787" s="17" t="str">
        <f aca="false">VLOOKUP(X1787,Sheet2!A:B,2,0)</f>
        <v>PRAKASH CHAVDA</v>
      </c>
      <c r="Z1787" s="17" t="s">
        <v>136</v>
      </c>
      <c r="AA1787" s="17" t="s">
        <v>919</v>
      </c>
      <c r="AB1787" s="17" t="s">
        <v>41</v>
      </c>
      <c r="AC1787" s="0" t="str">
        <f aca="false">LEFT(G1787,2)</f>
        <v>13</v>
      </c>
      <c r="AE1787" s="21" t="s">
        <v>238</v>
      </c>
    </row>
    <row r="1788" customFormat="false" ht="15" hidden="false" customHeight="false" outlineLevel="0" collapsed="false">
      <c r="A1788" s="13" t="n">
        <f aca="false">1+A1787</f>
        <v>1786</v>
      </c>
      <c r="B1788" s="14" t="n">
        <v>1009092175</v>
      </c>
      <c r="C1788" s="15" t="s">
        <v>414</v>
      </c>
      <c r="D1788" s="16" t="s">
        <v>64</v>
      </c>
      <c r="E1788" s="17" t="s">
        <v>64</v>
      </c>
      <c r="F1788" s="18" t="s">
        <v>34</v>
      </c>
      <c r="G1788" s="19" t="n">
        <v>134255239680</v>
      </c>
      <c r="H1788" s="17" t="s">
        <v>134</v>
      </c>
      <c r="I1788" s="17" t="s">
        <v>44</v>
      </c>
      <c r="J1788" s="17" t="s">
        <v>106</v>
      </c>
      <c r="K1788" s="17" t="str">
        <f aca="false">VLOOKUP(J1788,Sheet2!A:B,2,0)</f>
        <v>PRAKASH CHAVDA</v>
      </c>
      <c r="L1788" s="17" t="n">
        <v>5</v>
      </c>
      <c r="M1788" s="17" t="str">
        <f aca="false">VLOOKUP(L1788,Sheet2!D:E,2,0)</f>
        <v>Main Processor CPU BGA</v>
      </c>
      <c r="N1788" s="17" t="n">
        <v>6</v>
      </c>
      <c r="O1788" s="17" t="str">
        <f aca="false">VLOOKUP(N1788,Sheet2!G:H,2,0)</f>
        <v>No Signal</v>
      </c>
      <c r="P1788" s="17" t="n">
        <v>12</v>
      </c>
      <c r="Q1788" s="17" t="str">
        <f aca="false">VLOOKUP(P1788,Sheet2!J:K,2,0)</f>
        <v>IR Declared due to Others ( IR Normal)TB</v>
      </c>
      <c r="R1788" s="17" t="s">
        <v>35</v>
      </c>
      <c r="S1788" s="17" t="str">
        <f aca="false">VLOOKUP(R1788,Sheet2!N:O,2,0)</f>
        <v>IREPARABLE</v>
      </c>
      <c r="T1788" s="18" t="str">
        <f aca="false">VLOOKUP(P1788,Sheet2!Q:R,2,0)</f>
        <v>IR Normal - BER to IR</v>
      </c>
      <c r="U1788" s="20" t="s">
        <v>135</v>
      </c>
      <c r="V1788" s="17" t="n">
        <v>12</v>
      </c>
      <c r="W1788" s="20" t="str">
        <f aca="false">VLOOKUP(V1788,Sheet2!Q:R,2,0)</f>
        <v>IR Normal - BER to IR</v>
      </c>
      <c r="X1788" s="17" t="str">
        <f aca="false">J1788</f>
        <v>A018</v>
      </c>
      <c r="Y1788" s="17" t="str">
        <f aca="false">VLOOKUP(X1788,Sheet2!A:B,2,0)</f>
        <v>PRAKASH CHAVDA</v>
      </c>
      <c r="Z1788" s="17" t="s">
        <v>136</v>
      </c>
      <c r="AA1788" s="17" t="s">
        <v>919</v>
      </c>
      <c r="AB1788" s="17" t="s">
        <v>41</v>
      </c>
      <c r="AC1788" s="0" t="str">
        <f aca="false">LEFT(G1788,2)</f>
        <v>13</v>
      </c>
      <c r="AE1788" s="21" t="s">
        <v>238</v>
      </c>
    </row>
    <row r="1789" customFormat="false" ht="15" hidden="false" customHeight="false" outlineLevel="0" collapsed="false">
      <c r="A1789" s="13" t="n">
        <f aca="false">1+A1788</f>
        <v>1787</v>
      </c>
      <c r="B1789" s="14" t="n">
        <v>1009091863</v>
      </c>
      <c r="C1789" s="15" t="s">
        <v>414</v>
      </c>
      <c r="D1789" s="16" t="s">
        <v>924</v>
      </c>
      <c r="E1789" s="17" t="s">
        <v>33</v>
      </c>
      <c r="F1789" s="18" t="s">
        <v>34</v>
      </c>
      <c r="G1789" s="19" t="n">
        <v>134085119813</v>
      </c>
      <c r="H1789" s="17" t="s">
        <v>647</v>
      </c>
      <c r="I1789" s="17" t="s">
        <v>44</v>
      </c>
      <c r="J1789" s="17" t="s">
        <v>106</v>
      </c>
      <c r="K1789" s="17" t="str">
        <f aca="false">VLOOKUP(J1789,Sheet2!A:B,2,0)</f>
        <v>PRAKASH CHAVDA</v>
      </c>
      <c r="L1789" s="17" t="n">
        <v>5</v>
      </c>
      <c r="M1789" s="17" t="str">
        <f aca="false">VLOOKUP(L1789,Sheet2!D:E,2,0)</f>
        <v>Main Processor CPU BGA</v>
      </c>
      <c r="N1789" s="17" t="n">
        <v>24</v>
      </c>
      <c r="O1789" s="17" t="str">
        <f aca="false">VLOOKUP(N1789,Sheet2!G:H,2,0)</f>
        <v>STB Auto moving -Stand by mode</v>
      </c>
      <c r="P1789" s="17" t="n">
        <v>12</v>
      </c>
      <c r="Q1789" s="17" t="str">
        <f aca="false">VLOOKUP(P1789,Sheet2!J:K,2,0)</f>
        <v>IR Declared due to Others ( IR Normal)TB</v>
      </c>
      <c r="R1789" s="17" t="s">
        <v>35</v>
      </c>
      <c r="S1789" s="17" t="str">
        <f aca="false">VLOOKUP(R1789,Sheet2!N:O,2,0)</f>
        <v>IREPARABLE</v>
      </c>
      <c r="T1789" s="18" t="str">
        <f aca="false">VLOOKUP(P1789,Sheet2!Q:R,2,0)</f>
        <v>IR Normal - BER to IR</v>
      </c>
      <c r="U1789" s="20" t="s">
        <v>135</v>
      </c>
      <c r="V1789" s="17" t="n">
        <v>12</v>
      </c>
      <c r="W1789" s="20" t="str">
        <f aca="false">VLOOKUP(V1789,Sheet2!Q:R,2,0)</f>
        <v>IR Normal - BER to IR</v>
      </c>
      <c r="X1789" s="17" t="str">
        <f aca="false">J1789</f>
        <v>A018</v>
      </c>
      <c r="Y1789" s="17" t="str">
        <f aca="false">VLOOKUP(X1789,Sheet2!A:B,2,0)</f>
        <v>PRAKASH CHAVDA</v>
      </c>
      <c r="Z1789" s="17" t="s">
        <v>136</v>
      </c>
      <c r="AA1789" s="17" t="s">
        <v>919</v>
      </c>
      <c r="AB1789" s="17" t="s">
        <v>41</v>
      </c>
      <c r="AC1789" s="0" t="str">
        <f aca="false">LEFT(G1789,2)</f>
        <v>13</v>
      </c>
      <c r="AE1789" s="21" t="s">
        <v>238</v>
      </c>
    </row>
    <row r="1790" customFormat="false" ht="15" hidden="false" customHeight="false" outlineLevel="0" collapsed="false">
      <c r="A1790" s="13" t="n">
        <f aca="false">1+A1789</f>
        <v>1788</v>
      </c>
      <c r="B1790" s="14" t="n">
        <v>1007563100</v>
      </c>
      <c r="C1790" s="15" t="s">
        <v>925</v>
      </c>
      <c r="D1790" s="16" t="s">
        <v>64</v>
      </c>
      <c r="E1790" s="17" t="s">
        <v>64</v>
      </c>
      <c r="F1790" s="18" t="s">
        <v>34</v>
      </c>
      <c r="G1790" s="19" t="n">
        <v>133338148777</v>
      </c>
      <c r="H1790" s="17" t="s">
        <v>647</v>
      </c>
      <c r="I1790" s="17" t="s">
        <v>44</v>
      </c>
      <c r="J1790" s="17" t="s">
        <v>106</v>
      </c>
      <c r="K1790" s="17" t="str">
        <f aca="false">VLOOKUP(J1790,Sheet2!A:B,2,0)</f>
        <v>PRAKASH CHAVDA</v>
      </c>
      <c r="L1790" s="17" t="n">
        <v>5</v>
      </c>
      <c r="M1790" s="17" t="str">
        <f aca="false">VLOOKUP(L1790,Sheet2!D:E,2,0)</f>
        <v>Main Processor CPU BGA</v>
      </c>
      <c r="N1790" s="17" t="n">
        <v>24</v>
      </c>
      <c r="O1790" s="17" t="str">
        <f aca="false">VLOOKUP(N1790,Sheet2!G:H,2,0)</f>
        <v>STB Auto moving -Stand by mode</v>
      </c>
      <c r="P1790" s="17" t="n">
        <v>12</v>
      </c>
      <c r="Q1790" s="17" t="str">
        <f aca="false">VLOOKUP(P1790,Sheet2!J:K,2,0)</f>
        <v>IR Declared due to Others ( IR Normal)TB</v>
      </c>
      <c r="R1790" s="17" t="s">
        <v>35</v>
      </c>
      <c r="S1790" s="17" t="str">
        <f aca="false">VLOOKUP(R1790,Sheet2!N:O,2,0)</f>
        <v>IREPARABLE</v>
      </c>
      <c r="T1790" s="18" t="str">
        <f aca="false">VLOOKUP(P1790,Sheet2!Q:R,2,0)</f>
        <v>IR Normal - BER to IR</v>
      </c>
      <c r="U1790" s="20" t="s">
        <v>135</v>
      </c>
      <c r="V1790" s="17" t="n">
        <v>12</v>
      </c>
      <c r="W1790" s="20" t="str">
        <f aca="false">VLOOKUP(V1790,Sheet2!Q:R,2,0)</f>
        <v>IR Normal - BER to IR</v>
      </c>
      <c r="X1790" s="17" t="str">
        <f aca="false">J1790</f>
        <v>A018</v>
      </c>
      <c r="Y1790" s="17" t="str">
        <f aca="false">VLOOKUP(X1790,Sheet2!A:B,2,0)</f>
        <v>PRAKASH CHAVDA</v>
      </c>
      <c r="Z1790" s="17" t="s">
        <v>136</v>
      </c>
      <c r="AA1790" s="17" t="s">
        <v>919</v>
      </c>
      <c r="AB1790" s="17" t="s">
        <v>41</v>
      </c>
      <c r="AC1790" s="0" t="str">
        <f aca="false">LEFT(G1790,2)</f>
        <v>13</v>
      </c>
      <c r="AE1790" s="21" t="s">
        <v>238</v>
      </c>
    </row>
    <row r="1791" customFormat="false" ht="15" hidden="false" customHeight="false" outlineLevel="0" collapsed="false">
      <c r="A1791" s="13" t="n">
        <f aca="false">1+A1790</f>
        <v>1789</v>
      </c>
      <c r="B1791" s="14" t="n">
        <v>1009092112</v>
      </c>
      <c r="C1791" s="15" t="s">
        <v>414</v>
      </c>
      <c r="D1791" s="16" t="s">
        <v>64</v>
      </c>
      <c r="E1791" s="17" t="s">
        <v>91</v>
      </c>
      <c r="F1791" s="18" t="s">
        <v>34</v>
      </c>
      <c r="G1791" s="19" t="n">
        <v>134301142151</v>
      </c>
      <c r="H1791" s="17" t="s">
        <v>134</v>
      </c>
      <c r="I1791" s="17" t="s">
        <v>44</v>
      </c>
      <c r="J1791" s="17" t="s">
        <v>106</v>
      </c>
      <c r="K1791" s="17" t="str">
        <f aca="false">VLOOKUP(J1791,Sheet2!A:B,2,0)</f>
        <v>PRAKASH CHAVDA</v>
      </c>
      <c r="L1791" s="17" t="n">
        <v>5</v>
      </c>
      <c r="M1791" s="17" t="str">
        <f aca="false">VLOOKUP(L1791,Sheet2!D:E,2,0)</f>
        <v>Main Processor CPU BGA</v>
      </c>
      <c r="N1791" s="17" t="n">
        <v>1</v>
      </c>
      <c r="O1791" s="17" t="str">
        <f aca="false">VLOOKUP(N1791,Sheet2!G:H,2,0)</f>
        <v>Dead</v>
      </c>
      <c r="P1791" s="17" t="n">
        <v>12</v>
      </c>
      <c r="Q1791" s="17" t="str">
        <f aca="false">VLOOKUP(P1791,Sheet2!J:K,2,0)</f>
        <v>IR Declared due to Others ( IR Normal)TB</v>
      </c>
      <c r="R1791" s="17" t="s">
        <v>35</v>
      </c>
      <c r="S1791" s="17" t="str">
        <f aca="false">VLOOKUP(R1791,Sheet2!N:O,2,0)</f>
        <v>IREPARABLE</v>
      </c>
      <c r="T1791" s="18" t="str">
        <f aca="false">VLOOKUP(P1791,Sheet2!Q:R,2,0)</f>
        <v>IR Normal - BER to IR</v>
      </c>
      <c r="U1791" s="20" t="s">
        <v>135</v>
      </c>
      <c r="V1791" s="17" t="n">
        <v>12</v>
      </c>
      <c r="W1791" s="20" t="str">
        <f aca="false">VLOOKUP(V1791,Sheet2!Q:R,2,0)</f>
        <v>IR Normal - BER to IR</v>
      </c>
      <c r="X1791" s="17" t="str">
        <f aca="false">J1791</f>
        <v>A018</v>
      </c>
      <c r="Y1791" s="17" t="str">
        <f aca="false">VLOOKUP(X1791,Sheet2!A:B,2,0)</f>
        <v>PRAKASH CHAVDA</v>
      </c>
      <c r="Z1791" s="17" t="s">
        <v>136</v>
      </c>
      <c r="AA1791" s="17" t="s">
        <v>919</v>
      </c>
      <c r="AB1791" s="17" t="s">
        <v>41</v>
      </c>
      <c r="AC1791" s="0" t="str">
        <f aca="false">LEFT(G1791,2)</f>
        <v>13</v>
      </c>
      <c r="AE1791" s="21" t="s">
        <v>238</v>
      </c>
    </row>
    <row r="1792" customFormat="false" ht="15" hidden="false" customHeight="false" outlineLevel="0" collapsed="false">
      <c r="A1792" s="13" t="n">
        <f aca="false">1+A1791</f>
        <v>1790</v>
      </c>
      <c r="B1792" s="14" t="n">
        <v>1009091784</v>
      </c>
      <c r="C1792" s="15" t="s">
        <v>414</v>
      </c>
      <c r="D1792" s="16" t="s">
        <v>64</v>
      </c>
      <c r="E1792" s="17" t="s">
        <v>64</v>
      </c>
      <c r="F1792" s="18" t="s">
        <v>34</v>
      </c>
      <c r="G1792" s="19" t="n">
        <v>134119436852</v>
      </c>
      <c r="H1792" s="17" t="s">
        <v>134</v>
      </c>
      <c r="I1792" s="17" t="s">
        <v>44</v>
      </c>
      <c r="J1792" s="17" t="s">
        <v>106</v>
      </c>
      <c r="K1792" s="17" t="str">
        <f aca="false">VLOOKUP(J1792,Sheet2!A:B,2,0)</f>
        <v>PRAKASH CHAVDA</v>
      </c>
      <c r="L1792" s="17" t="n">
        <v>5</v>
      </c>
      <c r="M1792" s="17" t="str">
        <f aca="false">VLOOKUP(L1792,Sheet2!D:E,2,0)</f>
        <v>Main Processor CPU BGA</v>
      </c>
      <c r="N1792" s="17" t="n">
        <v>24</v>
      </c>
      <c r="O1792" s="17" t="str">
        <f aca="false">VLOOKUP(N1792,Sheet2!G:H,2,0)</f>
        <v>STB Auto moving -Stand by mode</v>
      </c>
      <c r="P1792" s="17" t="n">
        <v>12</v>
      </c>
      <c r="Q1792" s="17" t="str">
        <f aca="false">VLOOKUP(P1792,Sheet2!J:K,2,0)</f>
        <v>IR Declared due to Others ( IR Normal)TB</v>
      </c>
      <c r="R1792" s="17" t="s">
        <v>35</v>
      </c>
      <c r="S1792" s="17" t="str">
        <f aca="false">VLOOKUP(R1792,Sheet2!N:O,2,0)</f>
        <v>IREPARABLE</v>
      </c>
      <c r="T1792" s="18" t="str">
        <f aca="false">VLOOKUP(P1792,Sheet2!Q:R,2,0)</f>
        <v>IR Normal - BER to IR</v>
      </c>
      <c r="U1792" s="20" t="s">
        <v>135</v>
      </c>
      <c r="V1792" s="17" t="n">
        <v>12</v>
      </c>
      <c r="W1792" s="20" t="str">
        <f aca="false">VLOOKUP(V1792,Sheet2!Q:R,2,0)</f>
        <v>IR Normal - BER to IR</v>
      </c>
      <c r="X1792" s="17" t="str">
        <f aca="false">J1792</f>
        <v>A018</v>
      </c>
      <c r="Y1792" s="17" t="str">
        <f aca="false">VLOOKUP(X1792,Sheet2!A:B,2,0)</f>
        <v>PRAKASH CHAVDA</v>
      </c>
      <c r="Z1792" s="17" t="s">
        <v>136</v>
      </c>
      <c r="AA1792" s="17" t="s">
        <v>919</v>
      </c>
      <c r="AB1792" s="17" t="s">
        <v>41</v>
      </c>
      <c r="AC1792" s="0" t="str">
        <f aca="false">LEFT(G1792,2)</f>
        <v>13</v>
      </c>
      <c r="AE1792" s="21" t="s">
        <v>238</v>
      </c>
    </row>
    <row r="1793" customFormat="false" ht="15" hidden="false" customHeight="false" outlineLevel="0" collapsed="false">
      <c r="A1793" s="13" t="n">
        <f aca="false">1+A1792</f>
        <v>1791</v>
      </c>
      <c r="B1793" s="14" t="n">
        <v>1008328278</v>
      </c>
      <c r="C1793" s="15" t="s">
        <v>926</v>
      </c>
      <c r="D1793" s="16" t="s">
        <v>86</v>
      </c>
      <c r="E1793" s="17" t="s">
        <v>47</v>
      </c>
      <c r="F1793" s="18" t="s">
        <v>34</v>
      </c>
      <c r="G1793" s="19" t="n">
        <v>134127438890</v>
      </c>
      <c r="H1793" s="17" t="s">
        <v>134</v>
      </c>
      <c r="I1793" s="17" t="s">
        <v>44</v>
      </c>
      <c r="J1793" s="17" t="s">
        <v>106</v>
      </c>
      <c r="K1793" s="17" t="str">
        <f aca="false">VLOOKUP(J1793,Sheet2!A:B,2,0)</f>
        <v>PRAKASH CHAVDA</v>
      </c>
      <c r="L1793" s="17" t="n">
        <v>5</v>
      </c>
      <c r="M1793" s="17" t="str">
        <f aca="false">VLOOKUP(L1793,Sheet2!D:E,2,0)</f>
        <v>Main Processor CPU BGA</v>
      </c>
      <c r="N1793" s="17" t="n">
        <v>24</v>
      </c>
      <c r="O1793" s="17" t="str">
        <f aca="false">VLOOKUP(N1793,Sheet2!G:H,2,0)</f>
        <v>STB Auto moving -Stand by mode</v>
      </c>
      <c r="P1793" s="17" t="n">
        <v>12</v>
      </c>
      <c r="Q1793" s="17" t="str">
        <f aca="false">VLOOKUP(P1793,Sheet2!J:K,2,0)</f>
        <v>IR Declared due to Others ( IR Normal)TB</v>
      </c>
      <c r="R1793" s="17" t="s">
        <v>35</v>
      </c>
      <c r="S1793" s="17" t="str">
        <f aca="false">VLOOKUP(R1793,Sheet2!N:O,2,0)</f>
        <v>IREPARABLE</v>
      </c>
      <c r="T1793" s="18" t="str">
        <f aca="false">VLOOKUP(P1793,Sheet2!Q:R,2,0)</f>
        <v>IR Normal - BER to IR</v>
      </c>
      <c r="U1793" s="20" t="s">
        <v>135</v>
      </c>
      <c r="V1793" s="17" t="n">
        <v>12</v>
      </c>
      <c r="W1793" s="20" t="str">
        <f aca="false">VLOOKUP(V1793,Sheet2!Q:R,2,0)</f>
        <v>IR Normal - BER to IR</v>
      </c>
      <c r="X1793" s="17" t="str">
        <f aca="false">J1793</f>
        <v>A018</v>
      </c>
      <c r="Y1793" s="17" t="str">
        <f aca="false">VLOOKUP(X1793,Sheet2!A:B,2,0)</f>
        <v>PRAKASH CHAVDA</v>
      </c>
      <c r="Z1793" s="17" t="s">
        <v>136</v>
      </c>
      <c r="AA1793" s="17" t="s">
        <v>919</v>
      </c>
      <c r="AB1793" s="17" t="s">
        <v>41</v>
      </c>
      <c r="AC1793" s="0" t="str">
        <f aca="false">LEFT(G1793,2)</f>
        <v>13</v>
      </c>
      <c r="AE1793" s="21" t="s">
        <v>238</v>
      </c>
    </row>
    <row r="1794" customFormat="false" ht="15" hidden="false" customHeight="false" outlineLevel="0" collapsed="false">
      <c r="A1794" s="13" t="n">
        <f aca="false">1+A1793</f>
        <v>1792</v>
      </c>
      <c r="B1794" s="14" t="n">
        <v>1009091794</v>
      </c>
      <c r="C1794" s="15" t="s">
        <v>414</v>
      </c>
      <c r="D1794" s="16" t="s">
        <v>64</v>
      </c>
      <c r="E1794" s="17" t="s">
        <v>64</v>
      </c>
      <c r="F1794" s="18" t="s">
        <v>34</v>
      </c>
      <c r="G1794" s="19" t="n">
        <v>134310207474</v>
      </c>
      <c r="H1794" s="17" t="s">
        <v>134</v>
      </c>
      <c r="I1794" s="17" t="s">
        <v>44</v>
      </c>
      <c r="J1794" s="17" t="s">
        <v>106</v>
      </c>
      <c r="K1794" s="17" t="str">
        <f aca="false">VLOOKUP(J1794,Sheet2!A:B,2,0)</f>
        <v>PRAKASH CHAVDA</v>
      </c>
      <c r="L1794" s="17" t="n">
        <v>5</v>
      </c>
      <c r="M1794" s="17" t="str">
        <f aca="false">VLOOKUP(L1794,Sheet2!D:E,2,0)</f>
        <v>Main Processor CPU BGA</v>
      </c>
      <c r="N1794" s="17" t="n">
        <v>24</v>
      </c>
      <c r="O1794" s="17" t="str">
        <f aca="false">VLOOKUP(N1794,Sheet2!G:H,2,0)</f>
        <v>STB Auto moving -Stand by mode</v>
      </c>
      <c r="P1794" s="17" t="n">
        <v>12</v>
      </c>
      <c r="Q1794" s="17" t="str">
        <f aca="false">VLOOKUP(P1794,Sheet2!J:K,2,0)</f>
        <v>IR Declared due to Others ( IR Normal)TB</v>
      </c>
      <c r="R1794" s="17" t="s">
        <v>35</v>
      </c>
      <c r="S1794" s="17" t="str">
        <f aca="false">VLOOKUP(R1794,Sheet2!N:O,2,0)</f>
        <v>IREPARABLE</v>
      </c>
      <c r="T1794" s="18" t="str">
        <f aca="false">VLOOKUP(P1794,Sheet2!Q:R,2,0)</f>
        <v>IR Normal - BER to IR</v>
      </c>
      <c r="U1794" s="20" t="s">
        <v>135</v>
      </c>
      <c r="V1794" s="17" t="n">
        <v>12</v>
      </c>
      <c r="W1794" s="20" t="str">
        <f aca="false">VLOOKUP(V1794,Sheet2!Q:R,2,0)</f>
        <v>IR Normal - BER to IR</v>
      </c>
      <c r="X1794" s="17" t="str">
        <f aca="false">J1794</f>
        <v>A018</v>
      </c>
      <c r="Y1794" s="17" t="str">
        <f aca="false">VLOOKUP(X1794,Sheet2!A:B,2,0)</f>
        <v>PRAKASH CHAVDA</v>
      </c>
      <c r="Z1794" s="17" t="s">
        <v>136</v>
      </c>
      <c r="AA1794" s="17" t="s">
        <v>919</v>
      </c>
      <c r="AB1794" s="17" t="s">
        <v>41</v>
      </c>
      <c r="AC1794" s="0" t="str">
        <f aca="false">LEFT(G1794,2)</f>
        <v>13</v>
      </c>
      <c r="AE1794" s="21" t="s">
        <v>238</v>
      </c>
    </row>
    <row r="1795" customFormat="false" ht="15" hidden="false" customHeight="false" outlineLevel="0" collapsed="false">
      <c r="A1795" s="13" t="n">
        <f aca="false">1+A1794</f>
        <v>1793</v>
      </c>
      <c r="B1795" s="14" t="n">
        <v>1009685704</v>
      </c>
      <c r="C1795" s="15" t="s">
        <v>449</v>
      </c>
      <c r="D1795" s="16" t="s">
        <v>64</v>
      </c>
      <c r="E1795" s="17" t="s">
        <v>64</v>
      </c>
      <c r="F1795" s="18" t="s">
        <v>34</v>
      </c>
      <c r="G1795" s="19" t="n">
        <v>134063439506</v>
      </c>
      <c r="H1795" s="17" t="s">
        <v>134</v>
      </c>
      <c r="I1795" s="17" t="s">
        <v>44</v>
      </c>
      <c r="J1795" s="17" t="s">
        <v>106</v>
      </c>
      <c r="K1795" s="17" t="str">
        <f aca="false">VLOOKUP(J1795,Sheet2!A:B,2,0)</f>
        <v>PRAKASH CHAVDA</v>
      </c>
      <c r="L1795" s="17" t="n">
        <v>5</v>
      </c>
      <c r="M1795" s="17" t="str">
        <f aca="false">VLOOKUP(L1795,Sheet2!D:E,2,0)</f>
        <v>Main Processor CPU BGA</v>
      </c>
      <c r="N1795" s="17" t="n">
        <v>24</v>
      </c>
      <c r="O1795" s="17" t="str">
        <f aca="false">VLOOKUP(N1795,Sheet2!G:H,2,0)</f>
        <v>STB Auto moving -Stand by mode</v>
      </c>
      <c r="P1795" s="17" t="n">
        <v>12</v>
      </c>
      <c r="Q1795" s="17" t="str">
        <f aca="false">VLOOKUP(P1795,Sheet2!J:K,2,0)</f>
        <v>IR Declared due to Others ( IR Normal)TB</v>
      </c>
      <c r="R1795" s="17" t="s">
        <v>35</v>
      </c>
      <c r="S1795" s="17" t="str">
        <f aca="false">VLOOKUP(R1795,Sheet2!N:O,2,0)</f>
        <v>IREPARABLE</v>
      </c>
      <c r="T1795" s="18" t="str">
        <f aca="false">VLOOKUP(P1795,Sheet2!Q:R,2,0)</f>
        <v>IR Normal - BER to IR</v>
      </c>
      <c r="U1795" s="20" t="s">
        <v>135</v>
      </c>
      <c r="V1795" s="17" t="n">
        <v>12</v>
      </c>
      <c r="W1795" s="20" t="str">
        <f aca="false">VLOOKUP(V1795,Sheet2!Q:R,2,0)</f>
        <v>IR Normal - BER to IR</v>
      </c>
      <c r="X1795" s="17" t="str">
        <f aca="false">J1795</f>
        <v>A018</v>
      </c>
      <c r="Y1795" s="17" t="str">
        <f aca="false">VLOOKUP(X1795,Sheet2!A:B,2,0)</f>
        <v>PRAKASH CHAVDA</v>
      </c>
      <c r="Z1795" s="17" t="s">
        <v>136</v>
      </c>
      <c r="AA1795" s="17" t="s">
        <v>919</v>
      </c>
      <c r="AB1795" s="17" t="s">
        <v>41</v>
      </c>
      <c r="AC1795" s="0" t="str">
        <f aca="false">LEFT(G1795,2)</f>
        <v>13</v>
      </c>
      <c r="AE1795" s="21" t="s">
        <v>238</v>
      </c>
    </row>
    <row r="1796" customFormat="false" ht="15" hidden="false" customHeight="false" outlineLevel="0" collapsed="false">
      <c r="A1796" s="13" t="n">
        <f aca="false">1+A1795</f>
        <v>1794</v>
      </c>
      <c r="B1796" s="14" t="n">
        <v>1009092208</v>
      </c>
      <c r="C1796" s="15" t="s">
        <v>414</v>
      </c>
      <c r="D1796" s="16" t="s">
        <v>64</v>
      </c>
      <c r="E1796" s="17" t="s">
        <v>64</v>
      </c>
      <c r="F1796" s="18" t="s">
        <v>34</v>
      </c>
      <c r="G1796" s="19" t="n">
        <v>135224035430</v>
      </c>
      <c r="H1796" s="17" t="s">
        <v>134</v>
      </c>
      <c r="I1796" s="17" t="s">
        <v>44</v>
      </c>
      <c r="J1796" s="17" t="s">
        <v>106</v>
      </c>
      <c r="K1796" s="17" t="str">
        <f aca="false">VLOOKUP(J1796,Sheet2!A:B,2,0)</f>
        <v>PRAKASH CHAVDA</v>
      </c>
      <c r="L1796" s="17" t="n">
        <v>5</v>
      </c>
      <c r="M1796" s="17" t="str">
        <f aca="false">VLOOKUP(L1796,Sheet2!D:E,2,0)</f>
        <v>Main Processor CPU BGA</v>
      </c>
      <c r="N1796" s="17" t="n">
        <v>1</v>
      </c>
      <c r="O1796" s="17" t="str">
        <f aca="false">VLOOKUP(N1796,Sheet2!G:H,2,0)</f>
        <v>Dead</v>
      </c>
      <c r="P1796" s="17" t="n">
        <v>12</v>
      </c>
      <c r="Q1796" s="17" t="str">
        <f aca="false">VLOOKUP(P1796,Sheet2!J:K,2,0)</f>
        <v>IR Declared due to Others ( IR Normal)TB</v>
      </c>
      <c r="R1796" s="17" t="s">
        <v>35</v>
      </c>
      <c r="S1796" s="17" t="str">
        <f aca="false">VLOOKUP(R1796,Sheet2!N:O,2,0)</f>
        <v>IREPARABLE</v>
      </c>
      <c r="T1796" s="18" t="str">
        <f aca="false">VLOOKUP(P1796,Sheet2!Q:R,2,0)</f>
        <v>IR Normal - BER to IR</v>
      </c>
      <c r="U1796" s="20" t="s">
        <v>135</v>
      </c>
      <c r="V1796" s="17" t="n">
        <v>12</v>
      </c>
      <c r="W1796" s="20" t="str">
        <f aca="false">VLOOKUP(V1796,Sheet2!Q:R,2,0)</f>
        <v>IR Normal - BER to IR</v>
      </c>
      <c r="X1796" s="17" t="str">
        <f aca="false">J1796</f>
        <v>A018</v>
      </c>
      <c r="Y1796" s="17" t="str">
        <f aca="false">VLOOKUP(X1796,Sheet2!A:B,2,0)</f>
        <v>PRAKASH CHAVDA</v>
      </c>
      <c r="Z1796" s="17" t="s">
        <v>136</v>
      </c>
      <c r="AA1796" s="17" t="s">
        <v>919</v>
      </c>
      <c r="AB1796" s="17" t="s">
        <v>41</v>
      </c>
      <c r="AC1796" s="0" t="str">
        <f aca="false">LEFT(G1796,2)</f>
        <v>13</v>
      </c>
      <c r="AE1796" s="21" t="s">
        <v>238</v>
      </c>
    </row>
    <row r="1797" customFormat="false" ht="15" hidden="false" customHeight="false" outlineLevel="0" collapsed="false">
      <c r="A1797" s="13" t="n">
        <f aca="false">1+A1796</f>
        <v>1795</v>
      </c>
      <c r="B1797" s="14" t="n">
        <v>1009091508</v>
      </c>
      <c r="C1797" s="15" t="s">
        <v>414</v>
      </c>
      <c r="D1797" s="16" t="s">
        <v>64</v>
      </c>
      <c r="E1797" s="17" t="s">
        <v>64</v>
      </c>
      <c r="F1797" s="18" t="s">
        <v>34</v>
      </c>
      <c r="G1797" s="19" t="n">
        <v>134080055848</v>
      </c>
      <c r="H1797" s="17" t="s">
        <v>647</v>
      </c>
      <c r="I1797" s="17" t="s">
        <v>44</v>
      </c>
      <c r="J1797" s="17" t="s">
        <v>106</v>
      </c>
      <c r="K1797" s="17" t="str">
        <f aca="false">VLOOKUP(J1797,Sheet2!A:B,2,0)</f>
        <v>PRAKASH CHAVDA</v>
      </c>
      <c r="L1797" s="17" t="n">
        <v>5</v>
      </c>
      <c r="M1797" s="17" t="str">
        <f aca="false">VLOOKUP(L1797,Sheet2!D:E,2,0)</f>
        <v>Main Processor CPU BGA</v>
      </c>
      <c r="N1797" s="17" t="n">
        <v>6</v>
      </c>
      <c r="O1797" s="17" t="str">
        <f aca="false">VLOOKUP(N1797,Sheet2!G:H,2,0)</f>
        <v>No Signal</v>
      </c>
      <c r="P1797" s="17" t="n">
        <v>12</v>
      </c>
      <c r="Q1797" s="17" t="str">
        <f aca="false">VLOOKUP(P1797,Sheet2!J:K,2,0)</f>
        <v>IR Declared due to Others ( IR Normal)TB</v>
      </c>
      <c r="R1797" s="17" t="s">
        <v>35</v>
      </c>
      <c r="S1797" s="17" t="str">
        <f aca="false">VLOOKUP(R1797,Sheet2!N:O,2,0)</f>
        <v>IREPARABLE</v>
      </c>
      <c r="T1797" s="18" t="str">
        <f aca="false">VLOOKUP(P1797,Sheet2!Q:R,2,0)</f>
        <v>IR Normal - BER to IR</v>
      </c>
      <c r="U1797" s="20" t="s">
        <v>135</v>
      </c>
      <c r="V1797" s="17" t="n">
        <v>12</v>
      </c>
      <c r="W1797" s="20" t="str">
        <f aca="false">VLOOKUP(V1797,Sheet2!Q:R,2,0)</f>
        <v>IR Normal - BER to IR</v>
      </c>
      <c r="X1797" s="17" t="str">
        <f aca="false">J1797</f>
        <v>A018</v>
      </c>
      <c r="Y1797" s="17" t="str">
        <f aca="false">VLOOKUP(X1797,Sheet2!A:B,2,0)</f>
        <v>PRAKASH CHAVDA</v>
      </c>
      <c r="Z1797" s="17" t="s">
        <v>136</v>
      </c>
      <c r="AA1797" s="17" t="s">
        <v>919</v>
      </c>
      <c r="AB1797" s="17" t="s">
        <v>41</v>
      </c>
      <c r="AC1797" s="0" t="str">
        <f aca="false">LEFT(G1797,2)</f>
        <v>13</v>
      </c>
      <c r="AE1797" s="21" t="s">
        <v>238</v>
      </c>
    </row>
    <row r="1798" customFormat="false" ht="15" hidden="false" customHeight="false" outlineLevel="0" collapsed="false">
      <c r="A1798" s="13" t="n">
        <f aca="false">1+A1797</f>
        <v>1796</v>
      </c>
      <c r="B1798" s="14" t="n">
        <v>1009663326</v>
      </c>
      <c r="C1798" s="15" t="s">
        <v>433</v>
      </c>
      <c r="D1798" s="16" t="s">
        <v>196</v>
      </c>
      <c r="E1798" s="17" t="s">
        <v>47</v>
      </c>
      <c r="F1798" s="18" t="s">
        <v>34</v>
      </c>
      <c r="G1798" s="19" t="n">
        <v>986200141372</v>
      </c>
      <c r="H1798" s="17" t="s">
        <v>134</v>
      </c>
      <c r="I1798" s="17" t="s">
        <v>44</v>
      </c>
      <c r="J1798" s="17" t="s">
        <v>106</v>
      </c>
      <c r="K1798" s="17" t="str">
        <f aca="false">VLOOKUP(J1798,Sheet2!A:B,2,0)</f>
        <v>PRAKASH CHAVDA</v>
      </c>
      <c r="L1798" s="17" t="n">
        <v>5</v>
      </c>
      <c r="M1798" s="17" t="str">
        <f aca="false">VLOOKUP(L1798,Sheet2!D:E,2,0)</f>
        <v>Main Processor CPU BGA</v>
      </c>
      <c r="N1798" s="17" t="n">
        <v>1</v>
      </c>
      <c r="O1798" s="17" t="str">
        <f aca="false">VLOOKUP(N1798,Sheet2!G:H,2,0)</f>
        <v>Dead</v>
      </c>
      <c r="P1798" s="17" t="n">
        <v>12</v>
      </c>
      <c r="Q1798" s="17" t="str">
        <f aca="false">VLOOKUP(P1798,Sheet2!J:K,2,0)</f>
        <v>IR Declared due to Others ( IR Normal)TB</v>
      </c>
      <c r="R1798" s="17" t="s">
        <v>35</v>
      </c>
      <c r="S1798" s="17" t="str">
        <f aca="false">VLOOKUP(R1798,Sheet2!N:O,2,0)</f>
        <v>IREPARABLE</v>
      </c>
      <c r="T1798" s="18" t="str">
        <f aca="false">VLOOKUP(P1798,Sheet2!Q:R,2,0)</f>
        <v>IR Normal - BER to IR</v>
      </c>
      <c r="U1798" s="20" t="s">
        <v>135</v>
      </c>
      <c r="V1798" s="17" t="n">
        <v>12</v>
      </c>
      <c r="W1798" s="20" t="str">
        <f aca="false">VLOOKUP(V1798,Sheet2!Q:R,2,0)</f>
        <v>IR Normal - BER to IR</v>
      </c>
      <c r="X1798" s="17" t="str">
        <f aca="false">J1798</f>
        <v>A018</v>
      </c>
      <c r="Y1798" s="17" t="str">
        <f aca="false">VLOOKUP(X1798,Sheet2!A:B,2,0)</f>
        <v>PRAKASH CHAVDA</v>
      </c>
      <c r="Z1798" s="17" t="s">
        <v>141</v>
      </c>
      <c r="AA1798" s="17" t="s">
        <v>919</v>
      </c>
      <c r="AB1798" s="17" t="s">
        <v>41</v>
      </c>
      <c r="AC1798" s="0" t="str">
        <f aca="false">LEFT(G1798,2)</f>
        <v>98</v>
      </c>
      <c r="AE1798" s="21" t="s">
        <v>238</v>
      </c>
    </row>
    <row r="1799" customFormat="false" ht="15" hidden="false" customHeight="false" outlineLevel="0" collapsed="false">
      <c r="A1799" s="13" t="n">
        <f aca="false">1+A1798</f>
        <v>1797</v>
      </c>
      <c r="B1799" s="14" t="n">
        <v>1009662469</v>
      </c>
      <c r="C1799" s="15" t="s">
        <v>433</v>
      </c>
      <c r="D1799" s="16" t="s">
        <v>196</v>
      </c>
      <c r="E1799" s="17" t="s">
        <v>47</v>
      </c>
      <c r="F1799" s="18" t="s">
        <v>34</v>
      </c>
      <c r="G1799" s="19" t="n">
        <v>986288111768</v>
      </c>
      <c r="H1799" s="17" t="s">
        <v>134</v>
      </c>
      <c r="I1799" s="17" t="s">
        <v>44</v>
      </c>
      <c r="J1799" s="17" t="s">
        <v>106</v>
      </c>
      <c r="K1799" s="17" t="str">
        <f aca="false">VLOOKUP(J1799,Sheet2!A:B,2,0)</f>
        <v>PRAKASH CHAVDA</v>
      </c>
      <c r="L1799" s="17" t="n">
        <v>5</v>
      </c>
      <c r="M1799" s="17" t="str">
        <f aca="false">VLOOKUP(L1799,Sheet2!D:E,2,0)</f>
        <v>Main Processor CPU BGA</v>
      </c>
      <c r="N1799" s="17" t="n">
        <v>1</v>
      </c>
      <c r="O1799" s="17" t="str">
        <f aca="false">VLOOKUP(N1799,Sheet2!G:H,2,0)</f>
        <v>Dead</v>
      </c>
      <c r="P1799" s="17" t="n">
        <v>12</v>
      </c>
      <c r="Q1799" s="17" t="str">
        <f aca="false">VLOOKUP(P1799,Sheet2!J:K,2,0)</f>
        <v>IR Declared due to Others ( IR Normal)TB</v>
      </c>
      <c r="R1799" s="17" t="s">
        <v>35</v>
      </c>
      <c r="S1799" s="17" t="str">
        <f aca="false">VLOOKUP(R1799,Sheet2!N:O,2,0)</f>
        <v>IREPARABLE</v>
      </c>
      <c r="T1799" s="18" t="str">
        <f aca="false">VLOOKUP(P1799,Sheet2!Q:R,2,0)</f>
        <v>IR Normal - BER to IR</v>
      </c>
      <c r="U1799" s="20" t="s">
        <v>135</v>
      </c>
      <c r="V1799" s="17" t="n">
        <v>12</v>
      </c>
      <c r="W1799" s="20" t="str">
        <f aca="false">VLOOKUP(V1799,Sheet2!Q:R,2,0)</f>
        <v>IR Normal - BER to IR</v>
      </c>
      <c r="X1799" s="17" t="str">
        <f aca="false">J1799</f>
        <v>A018</v>
      </c>
      <c r="Y1799" s="17" t="str">
        <f aca="false">VLOOKUP(X1799,Sheet2!A:B,2,0)</f>
        <v>PRAKASH CHAVDA</v>
      </c>
      <c r="Z1799" s="17" t="s">
        <v>141</v>
      </c>
      <c r="AA1799" s="17" t="s">
        <v>919</v>
      </c>
      <c r="AB1799" s="17" t="s">
        <v>41</v>
      </c>
      <c r="AC1799" s="0" t="str">
        <f aca="false">LEFT(G1799,2)</f>
        <v>98</v>
      </c>
      <c r="AE1799" s="21" t="s">
        <v>238</v>
      </c>
    </row>
    <row r="1800" customFormat="false" ht="15" hidden="false" customHeight="false" outlineLevel="0" collapsed="false">
      <c r="A1800" s="13" t="n">
        <f aca="false">1+A1799</f>
        <v>1798</v>
      </c>
      <c r="B1800" s="14" t="n">
        <v>1009662383</v>
      </c>
      <c r="C1800" s="15" t="s">
        <v>433</v>
      </c>
      <c r="D1800" s="16" t="s">
        <v>196</v>
      </c>
      <c r="E1800" s="17" t="s">
        <v>47</v>
      </c>
      <c r="F1800" s="18" t="s">
        <v>34</v>
      </c>
      <c r="G1800" s="19" t="n">
        <v>985313117832</v>
      </c>
      <c r="H1800" s="17" t="s">
        <v>134</v>
      </c>
      <c r="I1800" s="17" t="s">
        <v>44</v>
      </c>
      <c r="J1800" s="17" t="s">
        <v>106</v>
      </c>
      <c r="K1800" s="17" t="str">
        <f aca="false">VLOOKUP(J1800,Sheet2!A:B,2,0)</f>
        <v>PRAKASH CHAVDA</v>
      </c>
      <c r="L1800" s="17" t="n">
        <v>5</v>
      </c>
      <c r="M1800" s="17" t="str">
        <f aca="false">VLOOKUP(L1800,Sheet2!D:E,2,0)</f>
        <v>Main Processor CPU BGA</v>
      </c>
      <c r="N1800" s="17" t="n">
        <v>1</v>
      </c>
      <c r="O1800" s="17" t="str">
        <f aca="false">VLOOKUP(N1800,Sheet2!G:H,2,0)</f>
        <v>Dead</v>
      </c>
      <c r="P1800" s="17" t="n">
        <v>12</v>
      </c>
      <c r="Q1800" s="17" t="str">
        <f aca="false">VLOOKUP(P1800,Sheet2!J:K,2,0)</f>
        <v>IR Declared due to Others ( IR Normal)TB</v>
      </c>
      <c r="R1800" s="17" t="s">
        <v>35</v>
      </c>
      <c r="S1800" s="17" t="str">
        <f aca="false">VLOOKUP(R1800,Sheet2!N:O,2,0)</f>
        <v>IREPARABLE</v>
      </c>
      <c r="T1800" s="18" t="str">
        <f aca="false">VLOOKUP(P1800,Sheet2!Q:R,2,0)</f>
        <v>IR Normal - BER to IR</v>
      </c>
      <c r="U1800" s="20" t="s">
        <v>135</v>
      </c>
      <c r="V1800" s="17" t="n">
        <v>12</v>
      </c>
      <c r="W1800" s="20" t="str">
        <f aca="false">VLOOKUP(V1800,Sheet2!Q:R,2,0)</f>
        <v>IR Normal - BER to IR</v>
      </c>
      <c r="X1800" s="17" t="str">
        <f aca="false">J1800</f>
        <v>A018</v>
      </c>
      <c r="Y1800" s="17" t="str">
        <f aca="false">VLOOKUP(X1800,Sheet2!A:B,2,0)</f>
        <v>PRAKASH CHAVDA</v>
      </c>
      <c r="Z1800" s="17" t="s">
        <v>141</v>
      </c>
      <c r="AA1800" s="17" t="s">
        <v>919</v>
      </c>
      <c r="AB1800" s="17" t="s">
        <v>41</v>
      </c>
      <c r="AC1800" s="0" t="str">
        <f aca="false">LEFT(G1800,2)</f>
        <v>98</v>
      </c>
      <c r="AE1800" s="21" t="s">
        <v>238</v>
      </c>
    </row>
    <row r="1801" customFormat="false" ht="15" hidden="false" customHeight="false" outlineLevel="0" collapsed="false">
      <c r="A1801" s="13" t="n">
        <f aca="false">1+A1800</f>
        <v>1799</v>
      </c>
      <c r="B1801" s="14" t="n">
        <v>1009666511</v>
      </c>
      <c r="C1801" s="15" t="s">
        <v>436</v>
      </c>
      <c r="D1801" s="16" t="s">
        <v>64</v>
      </c>
      <c r="E1801" s="17" t="s">
        <v>64</v>
      </c>
      <c r="F1801" s="18" t="s">
        <v>34</v>
      </c>
      <c r="G1801" s="19" t="n">
        <v>987251124705</v>
      </c>
      <c r="H1801" s="17" t="s">
        <v>134</v>
      </c>
      <c r="I1801" s="17" t="s">
        <v>44</v>
      </c>
      <c r="J1801" s="17" t="s">
        <v>106</v>
      </c>
      <c r="K1801" s="17" t="str">
        <f aca="false">VLOOKUP(J1801,Sheet2!A:B,2,0)</f>
        <v>PRAKASH CHAVDA</v>
      </c>
      <c r="L1801" s="17" t="n">
        <v>5</v>
      </c>
      <c r="M1801" s="17" t="str">
        <f aca="false">VLOOKUP(L1801,Sheet2!D:E,2,0)</f>
        <v>Main Processor CPU BGA</v>
      </c>
      <c r="N1801" s="17" t="n">
        <v>36</v>
      </c>
      <c r="O1801" s="17" t="str">
        <f aca="false">VLOOKUP(N1801,Sheet2!G:H,2,0)</f>
        <v>Error -1</v>
      </c>
      <c r="P1801" s="17" t="n">
        <v>12</v>
      </c>
      <c r="Q1801" s="17" t="str">
        <f aca="false">VLOOKUP(P1801,Sheet2!J:K,2,0)</f>
        <v>IR Declared due to Others ( IR Normal)TB</v>
      </c>
      <c r="R1801" s="17" t="s">
        <v>35</v>
      </c>
      <c r="S1801" s="17" t="str">
        <f aca="false">VLOOKUP(R1801,Sheet2!N:O,2,0)</f>
        <v>IREPARABLE</v>
      </c>
      <c r="T1801" s="18" t="str">
        <f aca="false">VLOOKUP(P1801,Sheet2!Q:R,2,0)</f>
        <v>IR Normal - BER to IR</v>
      </c>
      <c r="U1801" s="20" t="s">
        <v>135</v>
      </c>
      <c r="V1801" s="17" t="n">
        <v>12</v>
      </c>
      <c r="W1801" s="20" t="str">
        <f aca="false">VLOOKUP(V1801,Sheet2!Q:R,2,0)</f>
        <v>IR Normal - BER to IR</v>
      </c>
      <c r="X1801" s="17" t="str">
        <f aca="false">J1801</f>
        <v>A018</v>
      </c>
      <c r="Y1801" s="17" t="str">
        <f aca="false">VLOOKUP(X1801,Sheet2!A:B,2,0)</f>
        <v>PRAKASH CHAVDA</v>
      </c>
      <c r="Z1801" s="17" t="s">
        <v>141</v>
      </c>
      <c r="AA1801" s="17" t="s">
        <v>919</v>
      </c>
      <c r="AB1801" s="17" t="s">
        <v>41</v>
      </c>
      <c r="AC1801" s="0" t="str">
        <f aca="false">LEFT(G1801,2)</f>
        <v>98</v>
      </c>
      <c r="AE1801" s="21" t="s">
        <v>238</v>
      </c>
    </row>
    <row r="1802" customFormat="false" ht="15" hidden="false" customHeight="false" outlineLevel="0" collapsed="false">
      <c r="A1802" s="13" t="n">
        <f aca="false">1+A1801</f>
        <v>1800</v>
      </c>
      <c r="B1802" s="14" t="n">
        <v>1009562304</v>
      </c>
      <c r="C1802" s="15" t="s">
        <v>192</v>
      </c>
      <c r="D1802" s="16" t="s">
        <v>131</v>
      </c>
      <c r="E1802" s="17" t="s">
        <v>503</v>
      </c>
      <c r="F1802" s="18" t="s">
        <v>34</v>
      </c>
      <c r="G1802" s="19" t="n">
        <v>985350244184</v>
      </c>
      <c r="H1802" s="17" t="s">
        <v>134</v>
      </c>
      <c r="I1802" s="17" t="s">
        <v>44</v>
      </c>
      <c r="J1802" s="17" t="s">
        <v>106</v>
      </c>
      <c r="K1802" s="17" t="str">
        <f aca="false">VLOOKUP(J1802,Sheet2!A:B,2,0)</f>
        <v>PRAKASH CHAVDA</v>
      </c>
      <c r="L1802" s="17" t="n">
        <v>5</v>
      </c>
      <c r="M1802" s="17" t="str">
        <f aca="false">VLOOKUP(L1802,Sheet2!D:E,2,0)</f>
        <v>Main Processor CPU BGA</v>
      </c>
      <c r="N1802" s="17" t="n">
        <v>24</v>
      </c>
      <c r="O1802" s="17" t="str">
        <f aca="false">VLOOKUP(N1802,Sheet2!G:H,2,0)</f>
        <v>STB Auto moving -Stand by mode</v>
      </c>
      <c r="P1802" s="17" t="n">
        <v>12</v>
      </c>
      <c r="Q1802" s="17" t="str">
        <f aca="false">VLOOKUP(P1802,Sheet2!J:K,2,0)</f>
        <v>IR Declared due to Others ( IR Normal)TB</v>
      </c>
      <c r="R1802" s="17" t="s">
        <v>35</v>
      </c>
      <c r="S1802" s="17" t="str">
        <f aca="false">VLOOKUP(R1802,Sheet2!N:O,2,0)</f>
        <v>IREPARABLE</v>
      </c>
      <c r="T1802" s="18" t="str">
        <f aca="false">VLOOKUP(P1802,Sheet2!Q:R,2,0)</f>
        <v>IR Normal - BER to IR</v>
      </c>
      <c r="U1802" s="20" t="s">
        <v>135</v>
      </c>
      <c r="V1802" s="17" t="n">
        <v>12</v>
      </c>
      <c r="W1802" s="20" t="str">
        <f aca="false">VLOOKUP(V1802,Sheet2!Q:R,2,0)</f>
        <v>IR Normal - BER to IR</v>
      </c>
      <c r="X1802" s="17" t="str">
        <f aca="false">J1802</f>
        <v>A018</v>
      </c>
      <c r="Y1802" s="17" t="str">
        <f aca="false">VLOOKUP(X1802,Sheet2!A:B,2,0)</f>
        <v>PRAKASH CHAVDA</v>
      </c>
      <c r="Z1802" s="17" t="s">
        <v>141</v>
      </c>
      <c r="AA1802" s="17" t="s">
        <v>919</v>
      </c>
      <c r="AB1802" s="17" t="s">
        <v>41</v>
      </c>
      <c r="AC1802" s="0" t="str">
        <f aca="false">LEFT(G1802,2)</f>
        <v>98</v>
      </c>
      <c r="AE1802" s="21" t="s">
        <v>238</v>
      </c>
    </row>
    <row r="1803" customFormat="false" ht="15" hidden="false" customHeight="false" outlineLevel="0" collapsed="false">
      <c r="A1803" s="13" t="n">
        <f aca="false">1+A1802</f>
        <v>1801</v>
      </c>
      <c r="B1803" s="14" t="n">
        <v>1009685123</v>
      </c>
      <c r="C1803" s="15" t="s">
        <v>449</v>
      </c>
      <c r="D1803" s="16" t="s">
        <v>64</v>
      </c>
      <c r="E1803" s="17" t="s">
        <v>64</v>
      </c>
      <c r="F1803" s="18" t="s">
        <v>34</v>
      </c>
      <c r="G1803" s="19" t="n">
        <v>985349410946</v>
      </c>
      <c r="H1803" s="17" t="s">
        <v>134</v>
      </c>
      <c r="I1803" s="17" t="s">
        <v>44</v>
      </c>
      <c r="J1803" s="17" t="s">
        <v>106</v>
      </c>
      <c r="K1803" s="17" t="str">
        <f aca="false">VLOOKUP(J1803,Sheet2!A:B,2,0)</f>
        <v>PRAKASH CHAVDA</v>
      </c>
      <c r="L1803" s="17" t="n">
        <v>5</v>
      </c>
      <c r="M1803" s="17" t="str">
        <f aca="false">VLOOKUP(L1803,Sheet2!D:E,2,0)</f>
        <v>Main Processor CPU BGA</v>
      </c>
      <c r="N1803" s="17" t="n">
        <v>6</v>
      </c>
      <c r="O1803" s="17" t="str">
        <f aca="false">VLOOKUP(N1803,Sheet2!G:H,2,0)</f>
        <v>No Signal</v>
      </c>
      <c r="P1803" s="17" t="n">
        <v>12</v>
      </c>
      <c r="Q1803" s="17" t="str">
        <f aca="false">VLOOKUP(P1803,Sheet2!J:K,2,0)</f>
        <v>IR Declared due to Others ( IR Normal)TB</v>
      </c>
      <c r="R1803" s="17" t="s">
        <v>35</v>
      </c>
      <c r="S1803" s="17" t="str">
        <f aca="false">VLOOKUP(R1803,Sheet2!N:O,2,0)</f>
        <v>IREPARABLE</v>
      </c>
      <c r="T1803" s="18" t="str">
        <f aca="false">VLOOKUP(P1803,Sheet2!Q:R,2,0)</f>
        <v>IR Normal - BER to IR</v>
      </c>
      <c r="U1803" s="20" t="s">
        <v>135</v>
      </c>
      <c r="V1803" s="17" t="n">
        <v>12</v>
      </c>
      <c r="W1803" s="20" t="str">
        <f aca="false">VLOOKUP(V1803,Sheet2!Q:R,2,0)</f>
        <v>IR Normal - BER to IR</v>
      </c>
      <c r="X1803" s="17" t="str">
        <f aca="false">J1803</f>
        <v>A018</v>
      </c>
      <c r="Y1803" s="17" t="str">
        <f aca="false">VLOOKUP(X1803,Sheet2!A:B,2,0)</f>
        <v>PRAKASH CHAVDA</v>
      </c>
      <c r="Z1803" s="17" t="s">
        <v>141</v>
      </c>
      <c r="AA1803" s="17" t="s">
        <v>919</v>
      </c>
      <c r="AB1803" s="17" t="s">
        <v>41</v>
      </c>
      <c r="AC1803" s="0" t="str">
        <f aca="false">LEFT(G1803,2)</f>
        <v>98</v>
      </c>
      <c r="AE1803" s="21" t="s">
        <v>238</v>
      </c>
    </row>
    <row r="1804" customFormat="false" ht="15" hidden="false" customHeight="false" outlineLevel="0" collapsed="false">
      <c r="A1804" s="13" t="n">
        <f aca="false">1+A1803</f>
        <v>1802</v>
      </c>
      <c r="B1804" s="14" t="n">
        <v>1009684052</v>
      </c>
      <c r="C1804" s="15" t="s">
        <v>413</v>
      </c>
      <c r="D1804" s="16" t="s">
        <v>64</v>
      </c>
      <c r="E1804" s="17" t="s">
        <v>64</v>
      </c>
      <c r="F1804" s="18" t="s">
        <v>34</v>
      </c>
      <c r="G1804" s="19" t="n">
        <v>775084054284</v>
      </c>
      <c r="H1804" s="17" t="s">
        <v>134</v>
      </c>
      <c r="I1804" s="17" t="s">
        <v>69</v>
      </c>
      <c r="J1804" s="17" t="s">
        <v>106</v>
      </c>
      <c r="K1804" s="17" t="str">
        <f aca="false">VLOOKUP(J1804,Sheet2!A:B,2,0)</f>
        <v>PRAKASH CHAVDA</v>
      </c>
      <c r="L1804" s="17" t="n">
        <v>5</v>
      </c>
      <c r="M1804" s="17" t="str">
        <f aca="false">VLOOKUP(L1804,Sheet2!D:E,2,0)</f>
        <v>Main Processor CPU BGA</v>
      </c>
      <c r="N1804" s="17" t="n">
        <v>1</v>
      </c>
      <c r="O1804" s="17" t="str">
        <f aca="false">VLOOKUP(N1804,Sheet2!G:H,2,0)</f>
        <v>Dead</v>
      </c>
      <c r="P1804" s="17" t="n">
        <v>12</v>
      </c>
      <c r="Q1804" s="17" t="str">
        <f aca="false">VLOOKUP(P1804,Sheet2!J:K,2,0)</f>
        <v>IR Declared due to Others ( IR Normal)TB</v>
      </c>
      <c r="R1804" s="17" t="s">
        <v>35</v>
      </c>
      <c r="S1804" s="17" t="str">
        <f aca="false">VLOOKUP(R1804,Sheet2!N:O,2,0)</f>
        <v>IREPARABLE</v>
      </c>
      <c r="T1804" s="18" t="str">
        <f aca="false">VLOOKUP(P1804,Sheet2!Q:R,2,0)</f>
        <v>IR Normal - BER to IR</v>
      </c>
      <c r="U1804" s="20" t="s">
        <v>135</v>
      </c>
      <c r="V1804" s="17" t="n">
        <v>12</v>
      </c>
      <c r="W1804" s="20" t="str">
        <f aca="false">VLOOKUP(V1804,Sheet2!Q:R,2,0)</f>
        <v>IR Normal - BER to IR</v>
      </c>
      <c r="X1804" s="17" t="str">
        <f aca="false">J1804</f>
        <v>A018</v>
      </c>
      <c r="Y1804" s="17" t="str">
        <f aca="false">VLOOKUP(X1804,Sheet2!A:B,2,0)</f>
        <v>PRAKASH CHAVDA</v>
      </c>
      <c r="Z1804" s="17" t="s">
        <v>136</v>
      </c>
      <c r="AA1804" s="17" t="s">
        <v>919</v>
      </c>
      <c r="AB1804" s="17" t="s">
        <v>41</v>
      </c>
      <c r="AC1804" s="0" t="str">
        <f aca="false">LEFT(G1804,2)</f>
        <v>77</v>
      </c>
      <c r="AE1804" s="21" t="s">
        <v>238</v>
      </c>
    </row>
    <row r="1805" customFormat="false" ht="15" hidden="false" customHeight="false" outlineLevel="0" collapsed="false">
      <c r="A1805" s="13" t="n">
        <f aca="false">1+A1804</f>
        <v>1803</v>
      </c>
      <c r="B1805" s="14" t="n">
        <v>1009560228</v>
      </c>
      <c r="C1805" s="15" t="s">
        <v>192</v>
      </c>
      <c r="D1805" s="16" t="s">
        <v>64</v>
      </c>
      <c r="E1805" s="17" t="s">
        <v>47</v>
      </c>
      <c r="F1805" s="18" t="s">
        <v>34</v>
      </c>
      <c r="G1805" s="19" t="n">
        <v>775317211248</v>
      </c>
      <c r="H1805" s="17" t="s">
        <v>134</v>
      </c>
      <c r="I1805" s="17" t="s">
        <v>69</v>
      </c>
      <c r="J1805" s="17" t="s">
        <v>106</v>
      </c>
      <c r="K1805" s="17" t="str">
        <f aca="false">VLOOKUP(J1805,Sheet2!A:B,2,0)</f>
        <v>PRAKASH CHAVDA</v>
      </c>
      <c r="L1805" s="17" t="n">
        <v>5</v>
      </c>
      <c r="M1805" s="17" t="str">
        <f aca="false">VLOOKUP(L1805,Sheet2!D:E,2,0)</f>
        <v>Main Processor CPU BGA</v>
      </c>
      <c r="N1805" s="17" t="n">
        <v>33</v>
      </c>
      <c r="O1805" s="17" t="str">
        <f aca="false">VLOOKUP(N1805,Sheet2!G:H,2,0)</f>
        <v>Software download failure</v>
      </c>
      <c r="P1805" s="17" t="n">
        <v>12</v>
      </c>
      <c r="Q1805" s="17" t="str">
        <f aca="false">VLOOKUP(P1805,Sheet2!J:K,2,0)</f>
        <v>IR Declared due to Others ( IR Normal)TB</v>
      </c>
      <c r="R1805" s="17" t="s">
        <v>35</v>
      </c>
      <c r="S1805" s="17" t="str">
        <f aca="false">VLOOKUP(R1805,Sheet2!N:O,2,0)</f>
        <v>IREPARABLE</v>
      </c>
      <c r="T1805" s="18" t="str">
        <f aca="false">VLOOKUP(P1805,Sheet2!Q:R,2,0)</f>
        <v>IR Normal - BER to IR</v>
      </c>
      <c r="U1805" s="20" t="s">
        <v>135</v>
      </c>
      <c r="V1805" s="17" t="n">
        <v>12</v>
      </c>
      <c r="W1805" s="20" t="str">
        <f aca="false">VLOOKUP(V1805,Sheet2!Q:R,2,0)</f>
        <v>IR Normal - BER to IR</v>
      </c>
      <c r="X1805" s="17" t="str">
        <f aca="false">J1805</f>
        <v>A018</v>
      </c>
      <c r="Y1805" s="17" t="str">
        <f aca="false">VLOOKUP(X1805,Sheet2!A:B,2,0)</f>
        <v>PRAKASH CHAVDA</v>
      </c>
      <c r="Z1805" s="17" t="s">
        <v>136</v>
      </c>
      <c r="AA1805" s="17" t="s">
        <v>919</v>
      </c>
      <c r="AB1805" s="17" t="s">
        <v>41</v>
      </c>
      <c r="AC1805" s="0" t="str">
        <f aca="false">LEFT(G1805,2)</f>
        <v>77</v>
      </c>
      <c r="AE1805" s="21" t="s">
        <v>238</v>
      </c>
    </row>
    <row r="1806" customFormat="false" ht="15" hidden="false" customHeight="false" outlineLevel="0" collapsed="false">
      <c r="A1806" s="13" t="n">
        <f aca="false">1+A1805</f>
        <v>1804</v>
      </c>
      <c r="B1806" s="14" t="n">
        <v>1009617725</v>
      </c>
      <c r="C1806" s="15" t="s">
        <v>184</v>
      </c>
      <c r="D1806" s="16" t="s">
        <v>219</v>
      </c>
      <c r="E1806" s="17" t="s">
        <v>47</v>
      </c>
      <c r="F1806" s="18" t="s">
        <v>34</v>
      </c>
      <c r="G1806" s="19" t="n">
        <v>775329170580</v>
      </c>
      <c r="H1806" s="17" t="s">
        <v>134</v>
      </c>
      <c r="I1806" s="17" t="s">
        <v>69</v>
      </c>
      <c r="J1806" s="17" t="s">
        <v>106</v>
      </c>
      <c r="K1806" s="17" t="str">
        <f aca="false">VLOOKUP(J1806,Sheet2!A:B,2,0)</f>
        <v>PRAKASH CHAVDA</v>
      </c>
      <c r="L1806" s="17" t="n">
        <v>5</v>
      </c>
      <c r="M1806" s="17" t="str">
        <f aca="false">VLOOKUP(L1806,Sheet2!D:E,2,0)</f>
        <v>Main Processor CPU BGA</v>
      </c>
      <c r="N1806" s="17" t="n">
        <v>1</v>
      </c>
      <c r="O1806" s="17" t="str">
        <f aca="false">VLOOKUP(N1806,Sheet2!G:H,2,0)</f>
        <v>Dead</v>
      </c>
      <c r="P1806" s="17" t="n">
        <v>12</v>
      </c>
      <c r="Q1806" s="17" t="str">
        <f aca="false">VLOOKUP(P1806,Sheet2!J:K,2,0)</f>
        <v>IR Declared due to Others ( IR Normal)TB</v>
      </c>
      <c r="R1806" s="17" t="s">
        <v>35</v>
      </c>
      <c r="S1806" s="17" t="str">
        <f aca="false">VLOOKUP(R1806,Sheet2!N:O,2,0)</f>
        <v>IREPARABLE</v>
      </c>
      <c r="T1806" s="18" t="str">
        <f aca="false">VLOOKUP(P1806,Sheet2!Q:R,2,0)</f>
        <v>IR Normal - BER to IR</v>
      </c>
      <c r="U1806" s="20" t="s">
        <v>135</v>
      </c>
      <c r="V1806" s="17" t="n">
        <v>12</v>
      </c>
      <c r="W1806" s="20" t="str">
        <f aca="false">VLOOKUP(V1806,Sheet2!Q:R,2,0)</f>
        <v>IR Normal - BER to IR</v>
      </c>
      <c r="X1806" s="17" t="str">
        <f aca="false">J1806</f>
        <v>A018</v>
      </c>
      <c r="Y1806" s="17" t="str">
        <f aca="false">VLOOKUP(X1806,Sheet2!A:B,2,0)</f>
        <v>PRAKASH CHAVDA</v>
      </c>
      <c r="Z1806" s="17" t="s">
        <v>136</v>
      </c>
      <c r="AA1806" s="17" t="s">
        <v>919</v>
      </c>
      <c r="AB1806" s="17" t="s">
        <v>41</v>
      </c>
      <c r="AC1806" s="0" t="str">
        <f aca="false">LEFT(G1806,2)</f>
        <v>77</v>
      </c>
      <c r="AE1806" s="21" t="s">
        <v>238</v>
      </c>
    </row>
    <row r="1807" customFormat="false" ht="15" hidden="false" customHeight="false" outlineLevel="0" collapsed="false">
      <c r="A1807" s="13" t="n">
        <f aca="false">1+A1806</f>
        <v>1805</v>
      </c>
      <c r="B1807" s="14" t="n">
        <v>1009707473</v>
      </c>
      <c r="C1807" s="15" t="s">
        <v>642</v>
      </c>
      <c r="D1807" s="16" t="s">
        <v>64</v>
      </c>
      <c r="E1807" s="17" t="s">
        <v>64</v>
      </c>
      <c r="F1807" s="18" t="s">
        <v>34</v>
      </c>
      <c r="G1807" s="19" t="n">
        <v>774324035161</v>
      </c>
      <c r="H1807" s="17" t="s">
        <v>134</v>
      </c>
      <c r="I1807" s="17" t="s">
        <v>69</v>
      </c>
      <c r="J1807" s="17" t="s">
        <v>106</v>
      </c>
      <c r="K1807" s="17" t="str">
        <f aca="false">VLOOKUP(J1807,Sheet2!A:B,2,0)</f>
        <v>PRAKASH CHAVDA</v>
      </c>
      <c r="L1807" s="17" t="n">
        <v>5</v>
      </c>
      <c r="M1807" s="17" t="str">
        <f aca="false">VLOOKUP(L1807,Sheet2!D:E,2,0)</f>
        <v>Main Processor CPU BGA</v>
      </c>
      <c r="N1807" s="17" t="n">
        <v>1</v>
      </c>
      <c r="O1807" s="17" t="str">
        <f aca="false">VLOOKUP(N1807,Sheet2!G:H,2,0)</f>
        <v>Dead</v>
      </c>
      <c r="P1807" s="17" t="n">
        <v>12</v>
      </c>
      <c r="Q1807" s="17" t="str">
        <f aca="false">VLOOKUP(P1807,Sheet2!J:K,2,0)</f>
        <v>IR Declared due to Others ( IR Normal)TB</v>
      </c>
      <c r="R1807" s="17" t="s">
        <v>35</v>
      </c>
      <c r="S1807" s="17" t="str">
        <f aca="false">VLOOKUP(R1807,Sheet2!N:O,2,0)</f>
        <v>IREPARABLE</v>
      </c>
      <c r="T1807" s="18" t="str">
        <f aca="false">VLOOKUP(P1807,Sheet2!Q:R,2,0)</f>
        <v>IR Normal - BER to IR</v>
      </c>
      <c r="U1807" s="20" t="s">
        <v>135</v>
      </c>
      <c r="V1807" s="17" t="n">
        <v>12</v>
      </c>
      <c r="W1807" s="20" t="str">
        <f aca="false">VLOOKUP(V1807,Sheet2!Q:R,2,0)</f>
        <v>IR Normal - BER to IR</v>
      </c>
      <c r="X1807" s="17" t="str">
        <f aca="false">J1807</f>
        <v>A018</v>
      </c>
      <c r="Y1807" s="17" t="str">
        <f aca="false">VLOOKUP(X1807,Sheet2!A:B,2,0)</f>
        <v>PRAKASH CHAVDA</v>
      </c>
      <c r="Z1807" s="17" t="s">
        <v>136</v>
      </c>
      <c r="AA1807" s="17" t="s">
        <v>919</v>
      </c>
      <c r="AB1807" s="17" t="s">
        <v>41</v>
      </c>
      <c r="AC1807" s="0" t="str">
        <f aca="false">LEFT(G1807,2)</f>
        <v>77</v>
      </c>
      <c r="AE1807" s="21" t="s">
        <v>238</v>
      </c>
    </row>
    <row r="1808" customFormat="false" ht="15" hidden="false" customHeight="false" outlineLevel="0" collapsed="false">
      <c r="A1808" s="13" t="n">
        <f aca="false">1+A1807</f>
        <v>1806</v>
      </c>
      <c r="B1808" s="14" t="n">
        <v>1009414664</v>
      </c>
      <c r="C1808" s="15" t="s">
        <v>179</v>
      </c>
      <c r="D1808" s="16" t="s">
        <v>64</v>
      </c>
      <c r="E1808" s="17" t="s">
        <v>33</v>
      </c>
      <c r="F1808" s="18" t="s">
        <v>34</v>
      </c>
      <c r="G1808" s="19" t="n">
        <v>774345064935</v>
      </c>
      <c r="H1808" s="17" t="s">
        <v>134</v>
      </c>
      <c r="I1808" s="17" t="s">
        <v>69</v>
      </c>
      <c r="J1808" s="17" t="s">
        <v>106</v>
      </c>
      <c r="K1808" s="17" t="str">
        <f aca="false">VLOOKUP(J1808,Sheet2!A:B,2,0)</f>
        <v>PRAKASH CHAVDA</v>
      </c>
      <c r="L1808" s="17" t="n">
        <v>5</v>
      </c>
      <c r="M1808" s="17" t="str">
        <f aca="false">VLOOKUP(L1808,Sheet2!D:E,2,0)</f>
        <v>Main Processor CPU BGA</v>
      </c>
      <c r="N1808" s="17" t="n">
        <v>24</v>
      </c>
      <c r="O1808" s="17" t="str">
        <f aca="false">VLOOKUP(N1808,Sheet2!G:H,2,0)</f>
        <v>STB Auto moving -Stand by mode</v>
      </c>
      <c r="P1808" s="17" t="n">
        <v>12</v>
      </c>
      <c r="Q1808" s="17" t="str">
        <f aca="false">VLOOKUP(P1808,Sheet2!J:K,2,0)</f>
        <v>IR Declared due to Others ( IR Normal)TB</v>
      </c>
      <c r="R1808" s="17" t="s">
        <v>35</v>
      </c>
      <c r="S1808" s="17" t="str">
        <f aca="false">VLOOKUP(R1808,Sheet2!N:O,2,0)</f>
        <v>IREPARABLE</v>
      </c>
      <c r="T1808" s="18" t="str">
        <f aca="false">VLOOKUP(P1808,Sheet2!Q:R,2,0)</f>
        <v>IR Normal - BER to IR</v>
      </c>
      <c r="U1808" s="20" t="s">
        <v>135</v>
      </c>
      <c r="V1808" s="17" t="n">
        <v>12</v>
      </c>
      <c r="W1808" s="20" t="str">
        <f aca="false">VLOOKUP(V1808,Sheet2!Q:R,2,0)</f>
        <v>IR Normal - BER to IR</v>
      </c>
      <c r="X1808" s="17" t="str">
        <f aca="false">J1808</f>
        <v>A018</v>
      </c>
      <c r="Y1808" s="17" t="str">
        <f aca="false">VLOOKUP(X1808,Sheet2!A:B,2,0)</f>
        <v>PRAKASH CHAVDA</v>
      </c>
      <c r="Z1808" s="17" t="s">
        <v>136</v>
      </c>
      <c r="AA1808" s="17" t="s">
        <v>919</v>
      </c>
      <c r="AB1808" s="17" t="s">
        <v>41</v>
      </c>
      <c r="AC1808" s="0" t="str">
        <f aca="false">LEFT(G1808,2)</f>
        <v>77</v>
      </c>
      <c r="AE1808" s="21" t="s">
        <v>238</v>
      </c>
    </row>
    <row r="1809" customFormat="false" ht="15" hidden="false" customHeight="false" outlineLevel="0" collapsed="false">
      <c r="A1809" s="13" t="n">
        <f aca="false">1+A1808</f>
        <v>1807</v>
      </c>
      <c r="B1809" s="14" t="n">
        <v>1009476998</v>
      </c>
      <c r="C1809" s="15" t="s">
        <v>90</v>
      </c>
      <c r="D1809" s="16" t="s">
        <v>64</v>
      </c>
      <c r="E1809" s="17" t="s">
        <v>64</v>
      </c>
      <c r="F1809" s="18" t="s">
        <v>34</v>
      </c>
      <c r="G1809" s="19" t="n">
        <v>775239028803</v>
      </c>
      <c r="H1809" s="17" t="s">
        <v>134</v>
      </c>
      <c r="I1809" s="17" t="s">
        <v>69</v>
      </c>
      <c r="J1809" s="17" t="s">
        <v>106</v>
      </c>
      <c r="K1809" s="17" t="str">
        <f aca="false">VLOOKUP(J1809,Sheet2!A:B,2,0)</f>
        <v>PRAKASH CHAVDA</v>
      </c>
      <c r="L1809" s="17" t="n">
        <v>5</v>
      </c>
      <c r="M1809" s="17" t="str">
        <f aca="false">VLOOKUP(L1809,Sheet2!D:E,2,0)</f>
        <v>Main Processor CPU BGA</v>
      </c>
      <c r="N1809" s="17" t="n">
        <v>33</v>
      </c>
      <c r="O1809" s="17" t="str">
        <f aca="false">VLOOKUP(N1809,Sheet2!G:H,2,0)</f>
        <v>Software download failure</v>
      </c>
      <c r="P1809" s="17" t="n">
        <v>12</v>
      </c>
      <c r="Q1809" s="17" t="str">
        <f aca="false">VLOOKUP(P1809,Sheet2!J:K,2,0)</f>
        <v>IR Declared due to Others ( IR Normal)TB</v>
      </c>
      <c r="R1809" s="17" t="s">
        <v>35</v>
      </c>
      <c r="S1809" s="17" t="str">
        <f aca="false">VLOOKUP(R1809,Sheet2!N:O,2,0)</f>
        <v>IREPARABLE</v>
      </c>
      <c r="T1809" s="18" t="str">
        <f aca="false">VLOOKUP(P1809,Sheet2!Q:R,2,0)</f>
        <v>IR Normal - BER to IR</v>
      </c>
      <c r="U1809" s="20" t="s">
        <v>135</v>
      </c>
      <c r="V1809" s="17" t="n">
        <v>12</v>
      </c>
      <c r="W1809" s="20" t="str">
        <f aca="false">VLOOKUP(V1809,Sheet2!Q:R,2,0)</f>
        <v>IR Normal - BER to IR</v>
      </c>
      <c r="X1809" s="17" t="str">
        <f aca="false">J1809</f>
        <v>A018</v>
      </c>
      <c r="Y1809" s="17" t="str">
        <f aca="false">VLOOKUP(X1809,Sheet2!A:B,2,0)</f>
        <v>PRAKASH CHAVDA</v>
      </c>
      <c r="Z1809" s="17" t="s">
        <v>136</v>
      </c>
      <c r="AA1809" s="17" t="s">
        <v>919</v>
      </c>
      <c r="AB1809" s="17" t="s">
        <v>41</v>
      </c>
      <c r="AC1809" s="0" t="str">
        <f aca="false">LEFT(G1809,2)</f>
        <v>77</v>
      </c>
      <c r="AE1809" s="21" t="s">
        <v>238</v>
      </c>
    </row>
    <row r="1810" customFormat="false" ht="15" hidden="false" customHeight="false" outlineLevel="0" collapsed="false">
      <c r="A1810" s="13" t="n">
        <f aca="false">1+A1809</f>
        <v>1808</v>
      </c>
      <c r="B1810" s="14" t="n">
        <v>1009630912</v>
      </c>
      <c r="C1810" s="15" t="s">
        <v>233</v>
      </c>
      <c r="D1810" s="16" t="s">
        <v>81</v>
      </c>
      <c r="E1810" s="17" t="s">
        <v>33</v>
      </c>
      <c r="F1810" s="18" t="s">
        <v>34</v>
      </c>
      <c r="G1810" s="19" t="n">
        <v>775303134826</v>
      </c>
      <c r="H1810" s="17" t="s">
        <v>134</v>
      </c>
      <c r="I1810" s="17" t="s">
        <v>69</v>
      </c>
      <c r="J1810" s="17" t="s">
        <v>106</v>
      </c>
      <c r="K1810" s="17" t="str">
        <f aca="false">VLOOKUP(J1810,Sheet2!A:B,2,0)</f>
        <v>PRAKASH CHAVDA</v>
      </c>
      <c r="L1810" s="17" t="n">
        <v>5</v>
      </c>
      <c r="M1810" s="17" t="str">
        <f aca="false">VLOOKUP(L1810,Sheet2!D:E,2,0)</f>
        <v>Main Processor CPU BGA</v>
      </c>
      <c r="N1810" s="17" t="n">
        <v>33</v>
      </c>
      <c r="O1810" s="17" t="str">
        <f aca="false">VLOOKUP(N1810,Sheet2!G:H,2,0)</f>
        <v>Software download failure</v>
      </c>
      <c r="P1810" s="17" t="n">
        <v>12</v>
      </c>
      <c r="Q1810" s="17" t="str">
        <f aca="false">VLOOKUP(P1810,Sheet2!J:K,2,0)</f>
        <v>IR Declared due to Others ( IR Normal)TB</v>
      </c>
      <c r="R1810" s="17" t="s">
        <v>35</v>
      </c>
      <c r="S1810" s="17" t="str">
        <f aca="false">VLOOKUP(R1810,Sheet2!N:O,2,0)</f>
        <v>IREPARABLE</v>
      </c>
      <c r="T1810" s="18" t="str">
        <f aca="false">VLOOKUP(P1810,Sheet2!Q:R,2,0)</f>
        <v>IR Normal - BER to IR</v>
      </c>
      <c r="U1810" s="20" t="s">
        <v>135</v>
      </c>
      <c r="V1810" s="17" t="n">
        <v>12</v>
      </c>
      <c r="W1810" s="20" t="str">
        <f aca="false">VLOOKUP(V1810,Sheet2!Q:R,2,0)</f>
        <v>IR Normal - BER to IR</v>
      </c>
      <c r="X1810" s="17" t="str">
        <f aca="false">J1810</f>
        <v>A018</v>
      </c>
      <c r="Y1810" s="17" t="str">
        <f aca="false">VLOOKUP(X1810,Sheet2!A:B,2,0)</f>
        <v>PRAKASH CHAVDA</v>
      </c>
      <c r="Z1810" s="17" t="s">
        <v>136</v>
      </c>
      <c r="AA1810" s="17" t="s">
        <v>919</v>
      </c>
      <c r="AB1810" s="17" t="s">
        <v>41</v>
      </c>
      <c r="AC1810" s="0" t="str">
        <f aca="false">LEFT(G1810,2)</f>
        <v>77</v>
      </c>
      <c r="AE1810" s="21" t="s">
        <v>238</v>
      </c>
    </row>
    <row r="1811" customFormat="false" ht="15" hidden="false" customHeight="false" outlineLevel="0" collapsed="false">
      <c r="A1811" s="13" t="n">
        <f aca="false">1+A1810</f>
        <v>1809</v>
      </c>
      <c r="B1811" s="14" t="n">
        <v>1009665124</v>
      </c>
      <c r="C1811" s="15" t="s">
        <v>433</v>
      </c>
      <c r="D1811" s="16" t="s">
        <v>64</v>
      </c>
      <c r="E1811" s="17" t="s">
        <v>64</v>
      </c>
      <c r="F1811" s="18" t="s">
        <v>34</v>
      </c>
      <c r="G1811" s="19" t="n">
        <v>941341902471</v>
      </c>
      <c r="H1811" s="17" t="s">
        <v>647</v>
      </c>
      <c r="I1811" s="17" t="s">
        <v>44</v>
      </c>
      <c r="J1811" s="17" t="s">
        <v>106</v>
      </c>
      <c r="K1811" s="17" t="str">
        <f aca="false">VLOOKUP(J1811,Sheet2!A:B,2,0)</f>
        <v>PRAKASH CHAVDA</v>
      </c>
      <c r="L1811" s="17" t="n">
        <v>5</v>
      </c>
      <c r="M1811" s="17" t="str">
        <f aca="false">VLOOKUP(L1811,Sheet2!D:E,2,0)</f>
        <v>Main Processor CPU BGA</v>
      </c>
      <c r="N1811" s="17" t="n">
        <v>24</v>
      </c>
      <c r="O1811" s="17" t="str">
        <f aca="false">VLOOKUP(N1811,Sheet2!G:H,2,0)</f>
        <v>STB Auto moving -Stand by mode</v>
      </c>
      <c r="P1811" s="17" t="n">
        <v>12</v>
      </c>
      <c r="Q1811" s="17" t="str">
        <f aca="false">VLOOKUP(P1811,Sheet2!J:K,2,0)</f>
        <v>IR Declared due to Others ( IR Normal)TB</v>
      </c>
      <c r="R1811" s="17" t="s">
        <v>35</v>
      </c>
      <c r="S1811" s="17" t="str">
        <f aca="false">VLOOKUP(R1811,Sheet2!N:O,2,0)</f>
        <v>IREPARABLE</v>
      </c>
      <c r="T1811" s="18" t="str">
        <f aca="false">VLOOKUP(P1811,Sheet2!Q:R,2,0)</f>
        <v>IR Normal - BER to IR</v>
      </c>
      <c r="U1811" s="20" t="s">
        <v>135</v>
      </c>
      <c r="V1811" s="17" t="n">
        <v>12</v>
      </c>
      <c r="W1811" s="20" t="str">
        <f aca="false">VLOOKUP(V1811,Sheet2!Q:R,2,0)</f>
        <v>IR Normal - BER to IR</v>
      </c>
      <c r="X1811" s="17" t="str">
        <f aca="false">J1811</f>
        <v>A018</v>
      </c>
      <c r="Y1811" s="17" t="str">
        <f aca="false">VLOOKUP(X1811,Sheet2!A:B,2,0)</f>
        <v>PRAKASH CHAVDA</v>
      </c>
      <c r="Z1811" s="17" t="s">
        <v>927</v>
      </c>
      <c r="AA1811" s="17" t="s">
        <v>919</v>
      </c>
      <c r="AB1811" s="17" t="s">
        <v>41</v>
      </c>
      <c r="AC1811" s="0" t="str">
        <f aca="false">LEFT(G1811,2)</f>
        <v>94</v>
      </c>
      <c r="AE1811" s="21" t="s">
        <v>238</v>
      </c>
    </row>
    <row r="1812" customFormat="false" ht="15" hidden="false" customHeight="false" outlineLevel="0" collapsed="false">
      <c r="A1812" s="13" t="n">
        <f aca="false">1+A1811</f>
        <v>1810</v>
      </c>
      <c r="B1812" s="14" t="n">
        <v>1009213976</v>
      </c>
      <c r="C1812" s="15" t="s">
        <v>83</v>
      </c>
      <c r="D1812" s="16" t="s">
        <v>64</v>
      </c>
      <c r="E1812" s="17" t="s">
        <v>33</v>
      </c>
      <c r="F1812" s="18" t="s">
        <v>34</v>
      </c>
      <c r="G1812" s="19" t="n">
        <v>942334949719</v>
      </c>
      <c r="H1812" s="17" t="s">
        <v>134</v>
      </c>
      <c r="I1812" s="17" t="s">
        <v>44</v>
      </c>
      <c r="J1812" s="17" t="s">
        <v>106</v>
      </c>
      <c r="K1812" s="17" t="str">
        <f aca="false">VLOOKUP(J1812,Sheet2!A:B,2,0)</f>
        <v>PRAKASH CHAVDA</v>
      </c>
      <c r="L1812" s="17" t="n">
        <v>5</v>
      </c>
      <c r="M1812" s="17" t="str">
        <f aca="false">VLOOKUP(L1812,Sheet2!D:E,2,0)</f>
        <v>Main Processor CPU BGA</v>
      </c>
      <c r="N1812" s="17" t="n">
        <v>24</v>
      </c>
      <c r="O1812" s="17" t="str">
        <f aca="false">VLOOKUP(N1812,Sheet2!G:H,2,0)</f>
        <v>STB Auto moving -Stand by mode</v>
      </c>
      <c r="P1812" s="17" t="n">
        <v>12</v>
      </c>
      <c r="Q1812" s="17" t="str">
        <f aca="false">VLOOKUP(P1812,Sheet2!J:K,2,0)</f>
        <v>IR Declared due to Others ( IR Normal)TB</v>
      </c>
      <c r="R1812" s="17" t="s">
        <v>35</v>
      </c>
      <c r="S1812" s="17" t="str">
        <f aca="false">VLOOKUP(R1812,Sheet2!N:O,2,0)</f>
        <v>IREPARABLE</v>
      </c>
      <c r="T1812" s="18" t="str">
        <f aca="false">VLOOKUP(P1812,Sheet2!Q:R,2,0)</f>
        <v>IR Normal - BER to IR</v>
      </c>
      <c r="U1812" s="20" t="s">
        <v>135</v>
      </c>
      <c r="V1812" s="17" t="n">
        <v>12</v>
      </c>
      <c r="W1812" s="20" t="str">
        <f aca="false">VLOOKUP(V1812,Sheet2!Q:R,2,0)</f>
        <v>IR Normal - BER to IR</v>
      </c>
      <c r="X1812" s="17" t="str">
        <f aca="false">J1812</f>
        <v>A018</v>
      </c>
      <c r="Y1812" s="17" t="str">
        <f aca="false">VLOOKUP(X1812,Sheet2!A:B,2,0)</f>
        <v>PRAKASH CHAVDA</v>
      </c>
      <c r="Z1812" s="17" t="s">
        <v>127</v>
      </c>
      <c r="AA1812" s="17" t="s">
        <v>919</v>
      </c>
      <c r="AB1812" s="17" t="s">
        <v>41</v>
      </c>
      <c r="AC1812" s="0" t="str">
        <f aca="false">LEFT(G1812,2)</f>
        <v>94</v>
      </c>
      <c r="AE1812" s="21" t="s">
        <v>238</v>
      </c>
    </row>
    <row r="1813" customFormat="false" ht="15" hidden="false" customHeight="false" outlineLevel="0" collapsed="false">
      <c r="A1813" s="13" t="n">
        <f aca="false">1+A1812</f>
        <v>1811</v>
      </c>
      <c r="B1813" s="14" t="n">
        <v>1009665819</v>
      </c>
      <c r="C1813" s="15" t="s">
        <v>436</v>
      </c>
      <c r="D1813" s="16" t="s">
        <v>138</v>
      </c>
      <c r="E1813" s="17" t="s">
        <v>91</v>
      </c>
      <c r="F1813" s="18" t="s">
        <v>34</v>
      </c>
      <c r="G1813" s="19" t="n">
        <v>942110937219</v>
      </c>
      <c r="H1813" s="17" t="s">
        <v>649</v>
      </c>
      <c r="I1813" s="17" t="s">
        <v>44</v>
      </c>
      <c r="J1813" s="17" t="s">
        <v>106</v>
      </c>
      <c r="K1813" s="17" t="str">
        <f aca="false">VLOOKUP(J1813,Sheet2!A:B,2,0)</f>
        <v>PRAKASH CHAVDA</v>
      </c>
      <c r="L1813" s="17" t="n">
        <v>5</v>
      </c>
      <c r="M1813" s="17" t="str">
        <f aca="false">VLOOKUP(L1813,Sheet2!D:E,2,0)</f>
        <v>Main Processor CPU BGA</v>
      </c>
      <c r="N1813" s="17" t="n">
        <v>15</v>
      </c>
      <c r="O1813" s="17" t="str">
        <f aca="false">VLOOKUP(N1813,Sheet2!G:H,2,0)</f>
        <v>No Video - AV</v>
      </c>
      <c r="P1813" s="17" t="n">
        <v>12</v>
      </c>
      <c r="Q1813" s="17" t="str">
        <f aca="false">VLOOKUP(P1813,Sheet2!J:K,2,0)</f>
        <v>IR Declared due to Others ( IR Normal)TB</v>
      </c>
      <c r="R1813" s="17" t="s">
        <v>35</v>
      </c>
      <c r="S1813" s="17" t="str">
        <f aca="false">VLOOKUP(R1813,Sheet2!N:O,2,0)</f>
        <v>IREPARABLE</v>
      </c>
      <c r="T1813" s="18" t="str">
        <f aca="false">VLOOKUP(P1813,Sheet2!Q:R,2,0)</f>
        <v>IR Normal - BER to IR</v>
      </c>
      <c r="U1813" s="20" t="s">
        <v>135</v>
      </c>
      <c r="V1813" s="17" t="n">
        <v>12</v>
      </c>
      <c r="W1813" s="20" t="str">
        <f aca="false">VLOOKUP(V1813,Sheet2!Q:R,2,0)</f>
        <v>IR Normal - BER to IR</v>
      </c>
      <c r="X1813" s="17" t="str">
        <f aca="false">J1813</f>
        <v>A018</v>
      </c>
      <c r="Y1813" s="17" t="str">
        <f aca="false">VLOOKUP(X1813,Sheet2!A:B,2,0)</f>
        <v>PRAKASH CHAVDA</v>
      </c>
      <c r="Z1813" s="17" t="s">
        <v>387</v>
      </c>
      <c r="AA1813" s="17" t="s">
        <v>919</v>
      </c>
      <c r="AB1813" s="17" t="s">
        <v>41</v>
      </c>
      <c r="AC1813" s="0" t="str">
        <f aca="false">LEFT(G1813,2)</f>
        <v>94</v>
      </c>
      <c r="AE1813" s="21" t="s">
        <v>238</v>
      </c>
    </row>
    <row r="1814" customFormat="false" ht="15" hidden="false" customHeight="false" outlineLevel="0" collapsed="false">
      <c r="A1814" s="13" t="n">
        <f aca="false">1+A1813</f>
        <v>1812</v>
      </c>
      <c r="B1814" s="14" t="n">
        <v>1009523176</v>
      </c>
      <c r="C1814" s="15" t="s">
        <v>162</v>
      </c>
      <c r="D1814" s="16" t="s">
        <v>64</v>
      </c>
      <c r="E1814" s="17" t="s">
        <v>91</v>
      </c>
      <c r="F1814" s="18" t="s">
        <v>34</v>
      </c>
      <c r="G1814" s="19" t="n">
        <v>943163933055</v>
      </c>
      <c r="H1814" s="17" t="s">
        <v>649</v>
      </c>
      <c r="I1814" s="17" t="s">
        <v>44</v>
      </c>
      <c r="J1814" s="17" t="s">
        <v>106</v>
      </c>
      <c r="K1814" s="17" t="str">
        <f aca="false">VLOOKUP(J1814,Sheet2!A:B,2,0)</f>
        <v>PRAKASH CHAVDA</v>
      </c>
      <c r="L1814" s="17" t="n">
        <v>5</v>
      </c>
      <c r="M1814" s="17" t="str">
        <f aca="false">VLOOKUP(L1814,Sheet2!D:E,2,0)</f>
        <v>Main Processor CPU BGA</v>
      </c>
      <c r="N1814" s="17" t="n">
        <v>28</v>
      </c>
      <c r="O1814" s="17" t="str">
        <f aca="false">VLOOKUP(N1814,Sheet2!G:H,2,0)</f>
        <v>Hang and Freeze video - AV</v>
      </c>
      <c r="P1814" s="17" t="n">
        <v>12</v>
      </c>
      <c r="Q1814" s="17" t="str">
        <f aca="false">VLOOKUP(P1814,Sheet2!J:K,2,0)</f>
        <v>IR Declared due to Others ( IR Normal)TB</v>
      </c>
      <c r="R1814" s="17" t="s">
        <v>35</v>
      </c>
      <c r="S1814" s="17" t="str">
        <f aca="false">VLOOKUP(R1814,Sheet2!N:O,2,0)</f>
        <v>IREPARABLE</v>
      </c>
      <c r="T1814" s="18" t="str">
        <f aca="false">VLOOKUP(P1814,Sheet2!Q:R,2,0)</f>
        <v>IR Normal - BER to IR</v>
      </c>
      <c r="U1814" s="20" t="s">
        <v>135</v>
      </c>
      <c r="V1814" s="17" t="n">
        <v>12</v>
      </c>
      <c r="W1814" s="20" t="str">
        <f aca="false">VLOOKUP(V1814,Sheet2!Q:R,2,0)</f>
        <v>IR Normal - BER to IR</v>
      </c>
      <c r="X1814" s="17" t="str">
        <f aca="false">J1814</f>
        <v>A018</v>
      </c>
      <c r="Y1814" s="17" t="str">
        <f aca="false">VLOOKUP(X1814,Sheet2!A:B,2,0)</f>
        <v>PRAKASH CHAVDA</v>
      </c>
      <c r="Z1814" s="17" t="s">
        <v>928</v>
      </c>
      <c r="AA1814" s="17" t="s">
        <v>919</v>
      </c>
      <c r="AB1814" s="17" t="s">
        <v>41</v>
      </c>
      <c r="AC1814" s="0" t="str">
        <f aca="false">LEFT(G1814,2)</f>
        <v>94</v>
      </c>
      <c r="AE1814" s="21" t="s">
        <v>238</v>
      </c>
    </row>
    <row r="1815" customFormat="false" ht="15" hidden="false" customHeight="false" outlineLevel="0" collapsed="false">
      <c r="A1815" s="13" t="n">
        <f aca="false">1+A1814</f>
        <v>1813</v>
      </c>
      <c r="B1815" s="14" t="n">
        <v>1009330927</v>
      </c>
      <c r="C1815" s="15" t="s">
        <v>59</v>
      </c>
      <c r="D1815" s="16" t="s">
        <v>64</v>
      </c>
      <c r="E1815" s="17" t="s">
        <v>64</v>
      </c>
      <c r="F1815" s="18" t="s">
        <v>34</v>
      </c>
      <c r="G1815" s="19" t="n">
        <v>942252928562</v>
      </c>
      <c r="H1815" s="17" t="s">
        <v>649</v>
      </c>
      <c r="I1815" s="17" t="s">
        <v>44</v>
      </c>
      <c r="J1815" s="17" t="s">
        <v>106</v>
      </c>
      <c r="K1815" s="17" t="str">
        <f aca="false">VLOOKUP(J1815,Sheet2!A:B,2,0)</f>
        <v>PRAKASH CHAVDA</v>
      </c>
      <c r="L1815" s="17" t="n">
        <v>5</v>
      </c>
      <c r="M1815" s="17" t="str">
        <f aca="false">VLOOKUP(L1815,Sheet2!D:E,2,0)</f>
        <v>Main Processor CPU BGA</v>
      </c>
      <c r="N1815" s="17" t="n">
        <v>1</v>
      </c>
      <c r="O1815" s="17" t="str">
        <f aca="false">VLOOKUP(N1815,Sheet2!G:H,2,0)</f>
        <v>Dead</v>
      </c>
      <c r="P1815" s="17" t="n">
        <v>12</v>
      </c>
      <c r="Q1815" s="17" t="str">
        <f aca="false">VLOOKUP(P1815,Sheet2!J:K,2,0)</f>
        <v>IR Declared due to Others ( IR Normal)TB</v>
      </c>
      <c r="R1815" s="17" t="s">
        <v>35</v>
      </c>
      <c r="S1815" s="17" t="str">
        <f aca="false">VLOOKUP(R1815,Sheet2!N:O,2,0)</f>
        <v>IREPARABLE</v>
      </c>
      <c r="T1815" s="18" t="str">
        <f aca="false">VLOOKUP(P1815,Sheet2!Q:R,2,0)</f>
        <v>IR Normal - BER to IR</v>
      </c>
      <c r="U1815" s="20" t="s">
        <v>135</v>
      </c>
      <c r="V1815" s="17" t="n">
        <v>12</v>
      </c>
      <c r="W1815" s="20" t="str">
        <f aca="false">VLOOKUP(V1815,Sheet2!Q:R,2,0)</f>
        <v>IR Normal - BER to IR</v>
      </c>
      <c r="X1815" s="17" t="str">
        <f aca="false">J1815</f>
        <v>A018</v>
      </c>
      <c r="Y1815" s="17" t="str">
        <f aca="false">VLOOKUP(X1815,Sheet2!A:B,2,0)</f>
        <v>PRAKASH CHAVDA</v>
      </c>
      <c r="Z1815" s="17" t="s">
        <v>658</v>
      </c>
      <c r="AA1815" s="17" t="s">
        <v>919</v>
      </c>
      <c r="AB1815" s="17" t="s">
        <v>41</v>
      </c>
      <c r="AC1815" s="0" t="str">
        <f aca="false">LEFT(G1815,2)</f>
        <v>94</v>
      </c>
      <c r="AE1815" s="21" t="s">
        <v>238</v>
      </c>
    </row>
    <row r="1816" customFormat="false" ht="15" hidden="false" customHeight="false" outlineLevel="0" collapsed="false">
      <c r="A1816" s="13" t="n">
        <f aca="false">1+A1815</f>
        <v>1814</v>
      </c>
      <c r="B1816" s="14" t="n">
        <v>1009395317</v>
      </c>
      <c r="C1816" s="15" t="s">
        <v>80</v>
      </c>
      <c r="D1816" s="16" t="s">
        <v>64</v>
      </c>
      <c r="E1816" s="17" t="s">
        <v>64</v>
      </c>
      <c r="F1816" s="18" t="s">
        <v>34</v>
      </c>
      <c r="G1816" s="19" t="n">
        <v>954125165249</v>
      </c>
      <c r="H1816" s="17" t="s">
        <v>134</v>
      </c>
      <c r="I1816" s="17" t="s">
        <v>44</v>
      </c>
      <c r="J1816" s="17" t="s">
        <v>106</v>
      </c>
      <c r="K1816" s="17" t="str">
        <f aca="false">VLOOKUP(J1816,Sheet2!A:B,2,0)</f>
        <v>PRAKASH CHAVDA</v>
      </c>
      <c r="L1816" s="17" t="n">
        <v>5</v>
      </c>
      <c r="M1816" s="17" t="str">
        <f aca="false">VLOOKUP(L1816,Sheet2!D:E,2,0)</f>
        <v>Main Processor CPU BGA</v>
      </c>
      <c r="N1816" s="17" t="n">
        <v>1</v>
      </c>
      <c r="O1816" s="17" t="str">
        <f aca="false">VLOOKUP(N1816,Sheet2!G:H,2,0)</f>
        <v>Dead</v>
      </c>
      <c r="P1816" s="17" t="n">
        <v>12</v>
      </c>
      <c r="Q1816" s="17" t="str">
        <f aca="false">VLOOKUP(P1816,Sheet2!J:K,2,0)</f>
        <v>IR Declared due to Others ( IR Normal)TB</v>
      </c>
      <c r="R1816" s="17" t="s">
        <v>35</v>
      </c>
      <c r="S1816" s="17" t="str">
        <f aca="false">VLOOKUP(R1816,Sheet2!N:O,2,0)</f>
        <v>IREPARABLE</v>
      </c>
      <c r="T1816" s="18" t="str">
        <f aca="false">VLOOKUP(P1816,Sheet2!Q:R,2,0)</f>
        <v>IR Normal - BER to IR</v>
      </c>
      <c r="U1816" s="20" t="s">
        <v>135</v>
      </c>
      <c r="V1816" s="17" t="n">
        <v>12</v>
      </c>
      <c r="W1816" s="20" t="str">
        <f aca="false">VLOOKUP(V1816,Sheet2!Q:R,2,0)</f>
        <v>IR Normal - BER to IR</v>
      </c>
      <c r="X1816" s="17" t="str">
        <f aca="false">J1816</f>
        <v>A018</v>
      </c>
      <c r="Y1816" s="17" t="str">
        <f aca="false">VLOOKUP(X1816,Sheet2!A:B,2,0)</f>
        <v>PRAKASH CHAVDA</v>
      </c>
      <c r="Z1816" s="17" t="s">
        <v>929</v>
      </c>
      <c r="AA1816" s="17" t="s">
        <v>919</v>
      </c>
      <c r="AB1816" s="17" t="s">
        <v>41</v>
      </c>
      <c r="AC1816" s="0" t="str">
        <f aca="false">LEFT(G1816,2)</f>
        <v>95</v>
      </c>
      <c r="AE1816" s="21" t="s">
        <v>238</v>
      </c>
    </row>
    <row r="1817" customFormat="false" ht="15" hidden="false" customHeight="false" outlineLevel="0" collapsed="false">
      <c r="A1817" s="13" t="n">
        <f aca="false">1+A1816</f>
        <v>1815</v>
      </c>
      <c r="B1817" s="14" t="n">
        <v>1009327564</v>
      </c>
      <c r="C1817" s="15" t="s">
        <v>59</v>
      </c>
      <c r="D1817" s="16" t="s">
        <v>52</v>
      </c>
      <c r="E1817" s="17" t="s">
        <v>47</v>
      </c>
      <c r="F1817" s="18" t="s">
        <v>34</v>
      </c>
      <c r="G1817" s="19" t="n">
        <v>954296107830</v>
      </c>
      <c r="H1817" s="17" t="s">
        <v>134</v>
      </c>
      <c r="I1817" s="17" t="s">
        <v>44</v>
      </c>
      <c r="J1817" s="17" t="s">
        <v>106</v>
      </c>
      <c r="K1817" s="17" t="str">
        <f aca="false">VLOOKUP(J1817,Sheet2!A:B,2,0)</f>
        <v>PRAKASH CHAVDA</v>
      </c>
      <c r="L1817" s="17" t="n">
        <v>5</v>
      </c>
      <c r="M1817" s="17" t="str">
        <f aca="false">VLOOKUP(L1817,Sheet2!D:E,2,0)</f>
        <v>Main Processor CPU BGA</v>
      </c>
      <c r="N1817" s="17" t="n">
        <v>1</v>
      </c>
      <c r="O1817" s="17" t="str">
        <f aca="false">VLOOKUP(N1817,Sheet2!G:H,2,0)</f>
        <v>Dead</v>
      </c>
      <c r="P1817" s="17" t="n">
        <v>12</v>
      </c>
      <c r="Q1817" s="17" t="str">
        <f aca="false">VLOOKUP(P1817,Sheet2!J:K,2,0)</f>
        <v>IR Declared due to Others ( IR Normal)TB</v>
      </c>
      <c r="R1817" s="17" t="s">
        <v>35</v>
      </c>
      <c r="S1817" s="17" t="str">
        <f aca="false">VLOOKUP(R1817,Sheet2!N:O,2,0)</f>
        <v>IREPARABLE</v>
      </c>
      <c r="T1817" s="18" t="str">
        <f aca="false">VLOOKUP(P1817,Sheet2!Q:R,2,0)</f>
        <v>IR Normal - BER to IR</v>
      </c>
      <c r="U1817" s="20" t="s">
        <v>135</v>
      </c>
      <c r="V1817" s="17" t="n">
        <v>12</v>
      </c>
      <c r="W1817" s="20" t="str">
        <f aca="false">VLOOKUP(V1817,Sheet2!Q:R,2,0)</f>
        <v>IR Normal - BER to IR</v>
      </c>
      <c r="X1817" s="17" t="str">
        <f aca="false">J1817</f>
        <v>A018</v>
      </c>
      <c r="Y1817" s="17" t="str">
        <f aca="false">VLOOKUP(X1817,Sheet2!A:B,2,0)</f>
        <v>PRAKASH CHAVDA</v>
      </c>
      <c r="Z1817" s="17" t="s">
        <v>150</v>
      </c>
      <c r="AA1817" s="17" t="s">
        <v>919</v>
      </c>
      <c r="AB1817" s="17" t="s">
        <v>41</v>
      </c>
      <c r="AC1817" s="0" t="str">
        <f aca="false">LEFT(G1817,2)</f>
        <v>95</v>
      </c>
      <c r="AE1817" s="21" t="s">
        <v>238</v>
      </c>
    </row>
    <row r="1818" customFormat="false" ht="15" hidden="false" customHeight="false" outlineLevel="0" collapsed="false">
      <c r="A1818" s="13" t="n">
        <f aca="false">1+A1817</f>
        <v>1816</v>
      </c>
      <c r="B1818" s="14" t="n">
        <v>1009608509</v>
      </c>
      <c r="C1818" s="15" t="s">
        <v>181</v>
      </c>
      <c r="D1818" s="16" t="s">
        <v>64</v>
      </c>
      <c r="E1818" s="17" t="s">
        <v>64</v>
      </c>
      <c r="F1818" s="18" t="s">
        <v>34</v>
      </c>
      <c r="G1818" s="19" t="n">
        <v>954250206214</v>
      </c>
      <c r="H1818" s="17" t="s">
        <v>134</v>
      </c>
      <c r="I1818" s="17" t="s">
        <v>44</v>
      </c>
      <c r="J1818" s="17" t="s">
        <v>106</v>
      </c>
      <c r="K1818" s="17" t="str">
        <f aca="false">VLOOKUP(J1818,Sheet2!A:B,2,0)</f>
        <v>PRAKASH CHAVDA</v>
      </c>
      <c r="L1818" s="17" t="n">
        <v>5</v>
      </c>
      <c r="M1818" s="17" t="str">
        <f aca="false">VLOOKUP(L1818,Sheet2!D:E,2,0)</f>
        <v>Main Processor CPU BGA</v>
      </c>
      <c r="N1818" s="17" t="n">
        <v>1</v>
      </c>
      <c r="O1818" s="17" t="str">
        <f aca="false">VLOOKUP(N1818,Sheet2!G:H,2,0)</f>
        <v>Dead</v>
      </c>
      <c r="P1818" s="17" t="n">
        <v>12</v>
      </c>
      <c r="Q1818" s="17" t="str">
        <f aca="false">VLOOKUP(P1818,Sheet2!J:K,2,0)</f>
        <v>IR Declared due to Others ( IR Normal)TB</v>
      </c>
      <c r="R1818" s="17" t="s">
        <v>35</v>
      </c>
      <c r="S1818" s="17" t="str">
        <f aca="false">VLOOKUP(R1818,Sheet2!N:O,2,0)</f>
        <v>IREPARABLE</v>
      </c>
      <c r="T1818" s="18" t="str">
        <f aca="false">VLOOKUP(P1818,Sheet2!Q:R,2,0)</f>
        <v>IR Normal - BER to IR</v>
      </c>
      <c r="U1818" s="20" t="s">
        <v>135</v>
      </c>
      <c r="V1818" s="17" t="n">
        <v>12</v>
      </c>
      <c r="W1818" s="20" t="str">
        <f aca="false">VLOOKUP(V1818,Sheet2!Q:R,2,0)</f>
        <v>IR Normal - BER to IR</v>
      </c>
      <c r="X1818" s="17" t="str">
        <f aca="false">J1818</f>
        <v>A018</v>
      </c>
      <c r="Y1818" s="17" t="str">
        <f aca="false">VLOOKUP(X1818,Sheet2!A:B,2,0)</f>
        <v>PRAKASH CHAVDA</v>
      </c>
      <c r="Z1818" s="17" t="s">
        <v>929</v>
      </c>
      <c r="AA1818" s="17" t="s">
        <v>919</v>
      </c>
      <c r="AB1818" s="17" t="s">
        <v>41</v>
      </c>
      <c r="AC1818" s="0" t="str">
        <f aca="false">LEFT(G1818,2)</f>
        <v>95</v>
      </c>
      <c r="AE1818" s="21" t="s">
        <v>238</v>
      </c>
    </row>
    <row r="1819" customFormat="false" ht="15" hidden="false" customHeight="false" outlineLevel="0" collapsed="false">
      <c r="A1819" s="13" t="n">
        <f aca="false">1+A1818</f>
        <v>1817</v>
      </c>
      <c r="B1819" s="14" t="n">
        <v>1009545170</v>
      </c>
      <c r="C1819" s="15" t="s">
        <v>126</v>
      </c>
      <c r="D1819" s="16" t="s">
        <v>64</v>
      </c>
      <c r="E1819" s="17" t="s">
        <v>255</v>
      </c>
      <c r="F1819" s="18" t="s">
        <v>34</v>
      </c>
      <c r="G1819" s="19" t="n">
        <v>954222162081</v>
      </c>
      <c r="H1819" s="17" t="s">
        <v>647</v>
      </c>
      <c r="I1819" s="17" t="s">
        <v>44</v>
      </c>
      <c r="J1819" s="17" t="s">
        <v>106</v>
      </c>
      <c r="K1819" s="17" t="str">
        <f aca="false">VLOOKUP(J1819,Sheet2!A:B,2,0)</f>
        <v>PRAKASH CHAVDA</v>
      </c>
      <c r="L1819" s="17" t="n">
        <v>5</v>
      </c>
      <c r="M1819" s="17" t="str">
        <f aca="false">VLOOKUP(L1819,Sheet2!D:E,2,0)</f>
        <v>Main Processor CPU BGA</v>
      </c>
      <c r="N1819" s="17" t="n">
        <v>36</v>
      </c>
      <c r="O1819" s="17" t="str">
        <f aca="false">VLOOKUP(N1819,Sheet2!G:H,2,0)</f>
        <v>Error -1</v>
      </c>
      <c r="P1819" s="17" t="n">
        <v>12</v>
      </c>
      <c r="Q1819" s="17" t="str">
        <f aca="false">VLOOKUP(P1819,Sheet2!J:K,2,0)</f>
        <v>IR Declared due to Others ( IR Normal)TB</v>
      </c>
      <c r="R1819" s="17" t="s">
        <v>35</v>
      </c>
      <c r="S1819" s="17" t="str">
        <f aca="false">VLOOKUP(R1819,Sheet2!N:O,2,0)</f>
        <v>IREPARABLE</v>
      </c>
      <c r="T1819" s="18" t="str">
        <f aca="false">VLOOKUP(P1819,Sheet2!Q:R,2,0)</f>
        <v>IR Normal - BER to IR</v>
      </c>
      <c r="U1819" s="20" t="s">
        <v>135</v>
      </c>
      <c r="V1819" s="17" t="n">
        <v>12</v>
      </c>
      <c r="W1819" s="20" t="str">
        <f aca="false">VLOOKUP(V1819,Sheet2!Q:R,2,0)</f>
        <v>IR Normal - BER to IR</v>
      </c>
      <c r="X1819" s="17" t="str">
        <f aca="false">J1819</f>
        <v>A018</v>
      </c>
      <c r="Y1819" s="17" t="str">
        <f aca="false">VLOOKUP(X1819,Sheet2!A:B,2,0)</f>
        <v>PRAKASH CHAVDA</v>
      </c>
      <c r="Z1819" s="17" t="s">
        <v>929</v>
      </c>
      <c r="AA1819" s="17" t="s">
        <v>919</v>
      </c>
      <c r="AB1819" s="17" t="s">
        <v>41</v>
      </c>
      <c r="AC1819" s="0" t="str">
        <f aca="false">LEFT(G1819,2)</f>
        <v>95</v>
      </c>
      <c r="AE1819" s="21" t="s">
        <v>238</v>
      </c>
    </row>
    <row r="1820" customFormat="false" ht="15" hidden="false" customHeight="false" outlineLevel="0" collapsed="false">
      <c r="A1820" s="13" t="n">
        <f aca="false">1+A1819</f>
        <v>1818</v>
      </c>
      <c r="B1820" s="14" t="n">
        <v>1009608544</v>
      </c>
      <c r="C1820" s="15" t="s">
        <v>181</v>
      </c>
      <c r="D1820" s="16" t="s">
        <v>113</v>
      </c>
      <c r="E1820" s="17" t="s">
        <v>114</v>
      </c>
      <c r="F1820" s="18" t="s">
        <v>34</v>
      </c>
      <c r="G1820" s="19" t="n">
        <v>954153172034</v>
      </c>
      <c r="H1820" s="17" t="s">
        <v>649</v>
      </c>
      <c r="I1820" s="17" t="s">
        <v>44</v>
      </c>
      <c r="J1820" s="17" t="s">
        <v>106</v>
      </c>
      <c r="K1820" s="17" t="str">
        <f aca="false">VLOOKUP(J1820,Sheet2!A:B,2,0)</f>
        <v>PRAKASH CHAVDA</v>
      </c>
      <c r="L1820" s="17" t="n">
        <v>5</v>
      </c>
      <c r="M1820" s="17" t="str">
        <f aca="false">VLOOKUP(L1820,Sheet2!D:E,2,0)</f>
        <v>Main Processor CPU BGA</v>
      </c>
      <c r="N1820" s="17" t="n">
        <v>24</v>
      </c>
      <c r="O1820" s="17" t="str">
        <f aca="false">VLOOKUP(N1820,Sheet2!G:H,2,0)</f>
        <v>STB Auto moving -Stand by mode</v>
      </c>
      <c r="P1820" s="17" t="n">
        <v>12</v>
      </c>
      <c r="Q1820" s="17" t="str">
        <f aca="false">VLOOKUP(P1820,Sheet2!J:K,2,0)</f>
        <v>IR Declared due to Others ( IR Normal)TB</v>
      </c>
      <c r="R1820" s="17" t="s">
        <v>35</v>
      </c>
      <c r="S1820" s="17" t="str">
        <f aca="false">VLOOKUP(R1820,Sheet2!N:O,2,0)</f>
        <v>IREPARABLE</v>
      </c>
      <c r="T1820" s="18" t="str">
        <f aca="false">VLOOKUP(P1820,Sheet2!Q:R,2,0)</f>
        <v>IR Normal - BER to IR</v>
      </c>
      <c r="U1820" s="20" t="s">
        <v>135</v>
      </c>
      <c r="V1820" s="17" t="n">
        <v>12</v>
      </c>
      <c r="W1820" s="20" t="str">
        <f aca="false">VLOOKUP(V1820,Sheet2!Q:R,2,0)</f>
        <v>IR Normal - BER to IR</v>
      </c>
      <c r="X1820" s="17" t="str">
        <f aca="false">J1820</f>
        <v>A018</v>
      </c>
      <c r="Y1820" s="17" t="str">
        <f aca="false">VLOOKUP(X1820,Sheet2!A:B,2,0)</f>
        <v>PRAKASH CHAVDA</v>
      </c>
      <c r="Z1820" s="17" t="s">
        <v>150</v>
      </c>
      <c r="AA1820" s="17" t="s">
        <v>919</v>
      </c>
      <c r="AB1820" s="17" t="s">
        <v>41</v>
      </c>
      <c r="AC1820" s="0" t="str">
        <f aca="false">LEFT(G1820,2)</f>
        <v>95</v>
      </c>
      <c r="AE1820" s="21" t="s">
        <v>238</v>
      </c>
    </row>
    <row r="1821" customFormat="false" ht="15" hidden="false" customHeight="false" outlineLevel="0" collapsed="false">
      <c r="A1821" s="13" t="n">
        <f aca="false">1+A1820</f>
        <v>1819</v>
      </c>
      <c r="B1821" s="14" t="n">
        <v>1009582549</v>
      </c>
      <c r="C1821" s="15" t="s">
        <v>139</v>
      </c>
      <c r="D1821" s="16" t="s">
        <v>64</v>
      </c>
      <c r="E1821" s="17" t="s">
        <v>91</v>
      </c>
      <c r="F1821" s="18" t="s">
        <v>34</v>
      </c>
      <c r="G1821" s="19" t="n">
        <v>955222180171</v>
      </c>
      <c r="H1821" s="17" t="s">
        <v>134</v>
      </c>
      <c r="I1821" s="17" t="s">
        <v>44</v>
      </c>
      <c r="J1821" s="17" t="s">
        <v>106</v>
      </c>
      <c r="K1821" s="17" t="str">
        <f aca="false">VLOOKUP(J1821,Sheet2!A:B,2,0)</f>
        <v>PRAKASH CHAVDA</v>
      </c>
      <c r="L1821" s="17" t="n">
        <v>5</v>
      </c>
      <c r="M1821" s="17" t="str">
        <f aca="false">VLOOKUP(L1821,Sheet2!D:E,2,0)</f>
        <v>Main Processor CPU BGA</v>
      </c>
      <c r="N1821" s="17" t="n">
        <v>24</v>
      </c>
      <c r="O1821" s="17" t="str">
        <f aca="false">VLOOKUP(N1821,Sheet2!G:H,2,0)</f>
        <v>STB Auto moving -Stand by mode</v>
      </c>
      <c r="P1821" s="17" t="n">
        <v>12</v>
      </c>
      <c r="Q1821" s="17" t="str">
        <f aca="false">VLOOKUP(P1821,Sheet2!J:K,2,0)</f>
        <v>IR Declared due to Others ( IR Normal)TB</v>
      </c>
      <c r="R1821" s="17" t="s">
        <v>35</v>
      </c>
      <c r="S1821" s="17" t="str">
        <f aca="false">VLOOKUP(R1821,Sheet2!N:O,2,0)</f>
        <v>IREPARABLE</v>
      </c>
      <c r="T1821" s="18" t="str">
        <f aca="false">VLOOKUP(P1821,Sheet2!Q:R,2,0)</f>
        <v>IR Normal - BER to IR</v>
      </c>
      <c r="U1821" s="20" t="s">
        <v>135</v>
      </c>
      <c r="V1821" s="17" t="n">
        <v>12</v>
      </c>
      <c r="W1821" s="20" t="str">
        <f aca="false">VLOOKUP(V1821,Sheet2!Q:R,2,0)</f>
        <v>IR Normal - BER to IR</v>
      </c>
      <c r="X1821" s="17" t="str">
        <f aca="false">J1821</f>
        <v>A018</v>
      </c>
      <c r="Y1821" s="17" t="str">
        <f aca="false">VLOOKUP(X1821,Sheet2!A:B,2,0)</f>
        <v>PRAKASH CHAVDA</v>
      </c>
      <c r="Z1821" s="17" t="s">
        <v>930</v>
      </c>
      <c r="AA1821" s="17" t="s">
        <v>919</v>
      </c>
      <c r="AB1821" s="17" t="s">
        <v>41</v>
      </c>
      <c r="AC1821" s="0" t="str">
        <f aca="false">LEFT(G1821,2)</f>
        <v>95</v>
      </c>
      <c r="AE1821" s="21" t="s">
        <v>238</v>
      </c>
    </row>
    <row r="1822" customFormat="false" ht="15" hidden="false" customHeight="false" outlineLevel="0" collapsed="false">
      <c r="A1822" s="13" t="n">
        <f aca="false">1+A1821</f>
        <v>1820</v>
      </c>
      <c r="B1822" s="14" t="n">
        <v>1009285879</v>
      </c>
      <c r="C1822" s="15" t="s">
        <v>75</v>
      </c>
      <c r="D1822" s="16" t="s">
        <v>64</v>
      </c>
      <c r="E1822" s="17" t="s">
        <v>47</v>
      </c>
      <c r="F1822" s="18" t="s">
        <v>34</v>
      </c>
      <c r="G1822" s="19" t="n">
        <v>413255118791</v>
      </c>
      <c r="H1822" s="17" t="s">
        <v>134</v>
      </c>
      <c r="I1822" s="17" t="s">
        <v>44</v>
      </c>
      <c r="J1822" s="17" t="s">
        <v>106</v>
      </c>
      <c r="K1822" s="17" t="str">
        <f aca="false">VLOOKUP(J1822,Sheet2!A:B,2,0)</f>
        <v>PRAKASH CHAVDA</v>
      </c>
      <c r="L1822" s="17" t="n">
        <v>5</v>
      </c>
      <c r="M1822" s="17" t="str">
        <f aca="false">VLOOKUP(L1822,Sheet2!D:E,2,0)</f>
        <v>Main Processor CPU BGA</v>
      </c>
      <c r="N1822" s="17" t="n">
        <v>24</v>
      </c>
      <c r="O1822" s="17" t="str">
        <f aca="false">VLOOKUP(N1822,Sheet2!G:H,2,0)</f>
        <v>STB Auto moving -Stand by mode</v>
      </c>
      <c r="P1822" s="17" t="n">
        <v>12</v>
      </c>
      <c r="Q1822" s="17" t="str">
        <f aca="false">VLOOKUP(P1822,Sheet2!J:K,2,0)</f>
        <v>IR Declared due to Others ( IR Normal)TB</v>
      </c>
      <c r="R1822" s="17" t="s">
        <v>35</v>
      </c>
      <c r="S1822" s="17" t="str">
        <f aca="false">VLOOKUP(R1822,Sheet2!N:O,2,0)</f>
        <v>IREPARABLE</v>
      </c>
      <c r="T1822" s="18" t="str">
        <f aca="false">VLOOKUP(P1822,Sheet2!Q:R,2,0)</f>
        <v>IR Normal - BER to IR</v>
      </c>
      <c r="U1822" s="20" t="s">
        <v>135</v>
      </c>
      <c r="V1822" s="17" t="n">
        <v>12</v>
      </c>
      <c r="W1822" s="20" t="str">
        <f aca="false">VLOOKUP(V1822,Sheet2!Q:R,2,0)</f>
        <v>IR Normal - BER to IR</v>
      </c>
      <c r="X1822" s="17" t="str">
        <f aca="false">J1822</f>
        <v>A018</v>
      </c>
      <c r="Y1822" s="17" t="str">
        <f aca="false">VLOOKUP(X1822,Sheet2!A:B,2,0)</f>
        <v>PRAKASH CHAVDA</v>
      </c>
      <c r="Z1822" s="17" t="s">
        <v>149</v>
      </c>
      <c r="AA1822" s="17" t="s">
        <v>919</v>
      </c>
      <c r="AB1822" s="17" t="s">
        <v>41</v>
      </c>
      <c r="AC1822" s="0" t="str">
        <f aca="false">LEFT(G1822,2)</f>
        <v>41</v>
      </c>
      <c r="AE1822" s="21" t="s">
        <v>238</v>
      </c>
    </row>
    <row r="1823" customFormat="false" ht="15" hidden="false" customHeight="false" outlineLevel="0" collapsed="false">
      <c r="A1823" s="13" t="n">
        <f aca="false">1+A1822</f>
        <v>1821</v>
      </c>
      <c r="B1823" s="14" t="n">
        <v>1009664108</v>
      </c>
      <c r="C1823" s="15" t="s">
        <v>433</v>
      </c>
      <c r="D1823" s="16" t="s">
        <v>175</v>
      </c>
      <c r="E1823" s="17" t="s">
        <v>176</v>
      </c>
      <c r="F1823" s="18" t="s">
        <v>34</v>
      </c>
      <c r="G1823" s="19" t="n">
        <v>651087023040</v>
      </c>
      <c r="H1823" s="17" t="s">
        <v>134</v>
      </c>
      <c r="I1823" s="17" t="s">
        <v>50</v>
      </c>
      <c r="J1823" s="17" t="s">
        <v>106</v>
      </c>
      <c r="K1823" s="17" t="str">
        <f aca="false">VLOOKUP(J1823,Sheet2!A:B,2,0)</f>
        <v>PRAKASH CHAVDA</v>
      </c>
      <c r="L1823" s="17" t="n">
        <v>5</v>
      </c>
      <c r="M1823" s="17" t="str">
        <f aca="false">VLOOKUP(L1823,Sheet2!D:E,2,0)</f>
        <v>Main Processor CPU BGA</v>
      </c>
      <c r="N1823" s="17" t="n">
        <v>1</v>
      </c>
      <c r="O1823" s="17" t="str">
        <f aca="false">VLOOKUP(N1823,Sheet2!G:H,2,0)</f>
        <v>Dead</v>
      </c>
      <c r="P1823" s="17" t="n">
        <v>12</v>
      </c>
      <c r="Q1823" s="17" t="str">
        <f aca="false">VLOOKUP(P1823,Sheet2!J:K,2,0)</f>
        <v>IR Declared due to Others ( IR Normal)TB</v>
      </c>
      <c r="R1823" s="17" t="s">
        <v>35</v>
      </c>
      <c r="S1823" s="17" t="str">
        <f aca="false">VLOOKUP(R1823,Sheet2!N:O,2,0)</f>
        <v>IREPARABLE</v>
      </c>
      <c r="T1823" s="18" t="str">
        <f aca="false">VLOOKUP(P1823,Sheet2!Q:R,2,0)</f>
        <v>IR Normal - BER to IR</v>
      </c>
      <c r="U1823" s="20" t="s">
        <v>135</v>
      </c>
      <c r="V1823" s="17" t="n">
        <v>12</v>
      </c>
      <c r="W1823" s="20" t="str">
        <f aca="false">VLOOKUP(V1823,Sheet2!Q:R,2,0)</f>
        <v>IR Normal - BER to IR</v>
      </c>
      <c r="X1823" s="17" t="str">
        <f aca="false">J1823</f>
        <v>A018</v>
      </c>
      <c r="Y1823" s="17" t="str">
        <f aca="false">VLOOKUP(X1823,Sheet2!A:B,2,0)</f>
        <v>PRAKASH CHAVDA</v>
      </c>
      <c r="Z1823" s="17" t="s">
        <v>149</v>
      </c>
      <c r="AA1823" s="17" t="s">
        <v>919</v>
      </c>
      <c r="AB1823" s="17" t="s">
        <v>41</v>
      </c>
      <c r="AC1823" s="0" t="str">
        <f aca="false">LEFT(G1823,2)</f>
        <v>65</v>
      </c>
      <c r="AE1823" s="21" t="s">
        <v>238</v>
      </c>
    </row>
    <row r="1824" customFormat="false" ht="15" hidden="false" customHeight="false" outlineLevel="0" collapsed="false">
      <c r="A1824" s="13" t="n">
        <f aca="false">1+A1823</f>
        <v>1822</v>
      </c>
      <c r="B1824" s="14" t="n">
        <v>1008492375</v>
      </c>
      <c r="C1824" s="15" t="s">
        <v>483</v>
      </c>
      <c r="D1824" s="16" t="s">
        <v>64</v>
      </c>
      <c r="E1824" s="17" t="s">
        <v>91</v>
      </c>
      <c r="F1824" s="18" t="s">
        <v>34</v>
      </c>
      <c r="G1824" s="19" t="n">
        <v>651173005844</v>
      </c>
      <c r="H1824" s="17" t="s">
        <v>649</v>
      </c>
      <c r="I1824" s="17" t="s">
        <v>50</v>
      </c>
      <c r="J1824" s="17" t="s">
        <v>106</v>
      </c>
      <c r="K1824" s="17" t="str">
        <f aca="false">VLOOKUP(J1824,Sheet2!A:B,2,0)</f>
        <v>PRAKASH CHAVDA</v>
      </c>
      <c r="L1824" s="17" t="n">
        <v>5</v>
      </c>
      <c r="M1824" s="17" t="str">
        <f aca="false">VLOOKUP(L1824,Sheet2!D:E,2,0)</f>
        <v>Main Processor CPU BGA</v>
      </c>
      <c r="N1824" s="17" t="n">
        <v>28</v>
      </c>
      <c r="O1824" s="17" t="str">
        <f aca="false">VLOOKUP(N1824,Sheet2!G:H,2,0)</f>
        <v>Hang and Freeze video - AV</v>
      </c>
      <c r="P1824" s="17" t="n">
        <v>12</v>
      </c>
      <c r="Q1824" s="17" t="str">
        <f aca="false">VLOOKUP(P1824,Sheet2!J:K,2,0)</f>
        <v>IR Declared due to Others ( IR Normal)TB</v>
      </c>
      <c r="R1824" s="17" t="s">
        <v>35</v>
      </c>
      <c r="S1824" s="17" t="str">
        <f aca="false">VLOOKUP(R1824,Sheet2!N:O,2,0)</f>
        <v>IREPARABLE</v>
      </c>
      <c r="T1824" s="18" t="str">
        <f aca="false">VLOOKUP(P1824,Sheet2!Q:R,2,0)</f>
        <v>IR Normal - BER to IR</v>
      </c>
      <c r="U1824" s="20" t="s">
        <v>135</v>
      </c>
      <c r="V1824" s="17" t="n">
        <v>12</v>
      </c>
      <c r="W1824" s="20" t="str">
        <f aca="false">VLOOKUP(V1824,Sheet2!Q:R,2,0)</f>
        <v>IR Normal - BER to IR</v>
      </c>
      <c r="X1824" s="17" t="str">
        <f aca="false">J1824</f>
        <v>A018</v>
      </c>
      <c r="Y1824" s="17" t="str">
        <f aca="false">VLOOKUP(X1824,Sheet2!A:B,2,0)</f>
        <v>PRAKASH CHAVDA</v>
      </c>
      <c r="Z1824" s="17" t="s">
        <v>149</v>
      </c>
      <c r="AA1824" s="17" t="s">
        <v>919</v>
      </c>
      <c r="AB1824" s="17" t="s">
        <v>41</v>
      </c>
      <c r="AC1824" s="0" t="str">
        <f aca="false">LEFT(G1824,2)</f>
        <v>65</v>
      </c>
      <c r="AE1824" s="21" t="s">
        <v>238</v>
      </c>
    </row>
    <row r="1825" customFormat="false" ht="15" hidden="false" customHeight="false" outlineLevel="0" collapsed="false">
      <c r="A1825" s="13" t="n">
        <f aca="false">1+A1824</f>
        <v>1823</v>
      </c>
      <c r="B1825" s="14" t="n">
        <v>1009550923</v>
      </c>
      <c r="C1825" s="15" t="s">
        <v>126</v>
      </c>
      <c r="D1825" s="16" t="s">
        <v>154</v>
      </c>
      <c r="E1825" s="17" t="s">
        <v>503</v>
      </c>
      <c r="F1825" s="18" t="s">
        <v>34</v>
      </c>
      <c r="G1825" s="19" t="n">
        <v>651090007899</v>
      </c>
      <c r="H1825" s="17" t="s">
        <v>649</v>
      </c>
      <c r="I1825" s="17" t="s">
        <v>50</v>
      </c>
      <c r="J1825" s="17" t="s">
        <v>106</v>
      </c>
      <c r="K1825" s="17" t="str">
        <f aca="false">VLOOKUP(J1825,Sheet2!A:B,2,0)</f>
        <v>PRAKASH CHAVDA</v>
      </c>
      <c r="L1825" s="17" t="n">
        <v>5</v>
      </c>
      <c r="M1825" s="17" t="str">
        <f aca="false">VLOOKUP(L1825,Sheet2!D:E,2,0)</f>
        <v>Main Processor CPU BGA</v>
      </c>
      <c r="N1825" s="17" t="n">
        <v>28</v>
      </c>
      <c r="O1825" s="17" t="str">
        <f aca="false">VLOOKUP(N1825,Sheet2!G:H,2,0)</f>
        <v>Hang and Freeze video - AV</v>
      </c>
      <c r="P1825" s="17" t="n">
        <v>12</v>
      </c>
      <c r="Q1825" s="17" t="str">
        <f aca="false">VLOOKUP(P1825,Sheet2!J:K,2,0)</f>
        <v>IR Declared due to Others ( IR Normal)TB</v>
      </c>
      <c r="R1825" s="17" t="s">
        <v>35</v>
      </c>
      <c r="S1825" s="17" t="str">
        <f aca="false">VLOOKUP(R1825,Sheet2!N:O,2,0)</f>
        <v>IREPARABLE</v>
      </c>
      <c r="T1825" s="18" t="str">
        <f aca="false">VLOOKUP(P1825,Sheet2!Q:R,2,0)</f>
        <v>IR Normal - BER to IR</v>
      </c>
      <c r="U1825" s="20" t="s">
        <v>135</v>
      </c>
      <c r="V1825" s="17" t="n">
        <v>12</v>
      </c>
      <c r="W1825" s="20" t="str">
        <f aca="false">VLOOKUP(V1825,Sheet2!Q:R,2,0)</f>
        <v>IR Normal - BER to IR</v>
      </c>
      <c r="X1825" s="17" t="str">
        <f aca="false">J1825</f>
        <v>A018</v>
      </c>
      <c r="Y1825" s="17" t="str">
        <f aca="false">VLOOKUP(X1825,Sheet2!A:B,2,0)</f>
        <v>PRAKASH CHAVDA</v>
      </c>
      <c r="Z1825" s="17" t="s">
        <v>149</v>
      </c>
      <c r="AA1825" s="17" t="s">
        <v>919</v>
      </c>
      <c r="AB1825" s="17" t="s">
        <v>41</v>
      </c>
      <c r="AC1825" s="0" t="str">
        <f aca="false">LEFT(G1825,2)</f>
        <v>65</v>
      </c>
      <c r="AE1825" s="21" t="s">
        <v>238</v>
      </c>
    </row>
    <row r="1826" customFormat="false" ht="15" hidden="false" customHeight="false" outlineLevel="0" collapsed="false">
      <c r="A1826" s="13" t="n">
        <f aca="false">1+A1825</f>
        <v>1824</v>
      </c>
      <c r="B1826" s="14" t="n">
        <v>1009104226</v>
      </c>
      <c r="C1826" s="15" t="s">
        <v>931</v>
      </c>
      <c r="D1826" s="16" t="s">
        <v>105</v>
      </c>
      <c r="E1826" s="17" t="s">
        <v>380</v>
      </c>
      <c r="F1826" s="18" t="s">
        <v>34</v>
      </c>
      <c r="G1826" s="19" t="n">
        <v>651169015278</v>
      </c>
      <c r="H1826" s="17" t="s">
        <v>134</v>
      </c>
      <c r="I1826" s="17" t="s">
        <v>50</v>
      </c>
      <c r="J1826" s="17" t="s">
        <v>106</v>
      </c>
      <c r="K1826" s="17" t="str">
        <f aca="false">VLOOKUP(J1826,Sheet2!A:B,2,0)</f>
        <v>PRAKASH CHAVDA</v>
      </c>
      <c r="L1826" s="17" t="n">
        <v>5</v>
      </c>
      <c r="M1826" s="17" t="str">
        <f aca="false">VLOOKUP(L1826,Sheet2!D:E,2,0)</f>
        <v>Main Processor CPU BGA</v>
      </c>
      <c r="N1826" s="17" t="n">
        <v>16</v>
      </c>
      <c r="O1826" s="17" t="str">
        <f aca="false">VLOOKUP(N1826,Sheet2!G:H,2,0)</f>
        <v>No Video - HDMI</v>
      </c>
      <c r="P1826" s="17" t="n">
        <v>12</v>
      </c>
      <c r="Q1826" s="17" t="str">
        <f aca="false">VLOOKUP(P1826,Sheet2!J:K,2,0)</f>
        <v>IR Declared due to Others ( IR Normal)TB</v>
      </c>
      <c r="R1826" s="17" t="s">
        <v>35</v>
      </c>
      <c r="S1826" s="17" t="str">
        <f aca="false">VLOOKUP(R1826,Sheet2!N:O,2,0)</f>
        <v>IREPARABLE</v>
      </c>
      <c r="T1826" s="18" t="str">
        <f aca="false">VLOOKUP(P1826,Sheet2!Q:R,2,0)</f>
        <v>IR Normal - BER to IR</v>
      </c>
      <c r="U1826" s="20" t="s">
        <v>135</v>
      </c>
      <c r="V1826" s="17" t="n">
        <v>12</v>
      </c>
      <c r="W1826" s="20" t="str">
        <f aca="false">VLOOKUP(V1826,Sheet2!Q:R,2,0)</f>
        <v>IR Normal - BER to IR</v>
      </c>
      <c r="X1826" s="17" t="str">
        <f aca="false">J1826</f>
        <v>A018</v>
      </c>
      <c r="Y1826" s="17" t="str">
        <f aca="false">VLOOKUP(X1826,Sheet2!A:B,2,0)</f>
        <v>PRAKASH CHAVDA</v>
      </c>
      <c r="Z1826" s="17" t="s">
        <v>149</v>
      </c>
      <c r="AA1826" s="17" t="s">
        <v>919</v>
      </c>
      <c r="AB1826" s="17" t="s">
        <v>41</v>
      </c>
      <c r="AC1826" s="0" t="str">
        <f aca="false">LEFT(G1826,2)</f>
        <v>65</v>
      </c>
      <c r="AE1826" s="21" t="s">
        <v>238</v>
      </c>
    </row>
    <row r="1827" customFormat="false" ht="15" hidden="false" customHeight="false" outlineLevel="0" collapsed="false">
      <c r="A1827" s="13" t="n">
        <f aca="false">1+A1826</f>
        <v>1825</v>
      </c>
      <c r="B1827" s="14" t="n">
        <v>1008477611</v>
      </c>
      <c r="C1827" s="15" t="s">
        <v>464</v>
      </c>
      <c r="D1827" s="16" t="s">
        <v>105</v>
      </c>
      <c r="E1827" s="17" t="s">
        <v>47</v>
      </c>
      <c r="F1827" s="18" t="s">
        <v>34</v>
      </c>
      <c r="G1827" s="19" t="n">
        <v>134106179127</v>
      </c>
      <c r="H1827" s="17" t="s">
        <v>134</v>
      </c>
      <c r="I1827" s="17" t="s">
        <v>44</v>
      </c>
      <c r="J1827" s="17" t="s">
        <v>106</v>
      </c>
      <c r="K1827" s="17" t="str">
        <f aca="false">VLOOKUP(J1827,Sheet2!A:B,2,0)</f>
        <v>PRAKASH CHAVDA</v>
      </c>
      <c r="L1827" s="17" t="n">
        <v>5</v>
      </c>
      <c r="M1827" s="17" t="str">
        <f aca="false">VLOOKUP(L1827,Sheet2!D:E,2,0)</f>
        <v>Main Processor CPU BGA</v>
      </c>
      <c r="N1827" s="17" t="n">
        <v>24</v>
      </c>
      <c r="O1827" s="17" t="str">
        <f aca="false">VLOOKUP(N1827,Sheet2!G:H,2,0)</f>
        <v>STB Auto moving -Stand by mode</v>
      </c>
      <c r="P1827" s="17" t="n">
        <v>12</v>
      </c>
      <c r="Q1827" s="17" t="str">
        <f aca="false">VLOOKUP(P1827,Sheet2!J:K,2,0)</f>
        <v>IR Declared due to Others ( IR Normal)TB</v>
      </c>
      <c r="R1827" s="17" t="s">
        <v>35</v>
      </c>
      <c r="S1827" s="17" t="str">
        <f aca="false">VLOOKUP(R1827,Sheet2!N:O,2,0)</f>
        <v>IREPARABLE</v>
      </c>
      <c r="T1827" s="18" t="str">
        <f aca="false">VLOOKUP(P1827,Sheet2!Q:R,2,0)</f>
        <v>IR Normal - BER to IR</v>
      </c>
      <c r="U1827" s="20" t="s">
        <v>135</v>
      </c>
      <c r="V1827" s="17" t="n">
        <v>12</v>
      </c>
      <c r="W1827" s="20" t="str">
        <f aca="false">VLOOKUP(V1827,Sheet2!Q:R,2,0)</f>
        <v>IR Normal - BER to IR</v>
      </c>
      <c r="X1827" s="17" t="str">
        <f aca="false">J1827</f>
        <v>A018</v>
      </c>
      <c r="Y1827" s="17" t="str">
        <f aca="false">VLOOKUP(X1827,Sheet2!A:B,2,0)</f>
        <v>PRAKASH CHAVDA</v>
      </c>
      <c r="Z1827" s="17" t="s">
        <v>136</v>
      </c>
      <c r="AA1827" s="17" t="s">
        <v>919</v>
      </c>
      <c r="AB1827" s="17" t="s">
        <v>41</v>
      </c>
      <c r="AC1827" s="0" t="str">
        <f aca="false">LEFT(G1827,2)</f>
        <v>13</v>
      </c>
      <c r="AE1827" s="21" t="s">
        <v>238</v>
      </c>
    </row>
    <row r="1828" customFormat="false" ht="15" hidden="false" customHeight="false" outlineLevel="0" collapsed="false">
      <c r="A1828" s="13" t="n">
        <f aca="false">1+A1827</f>
        <v>1826</v>
      </c>
      <c r="B1828" s="17" t="n">
        <v>1008483289</v>
      </c>
      <c r="C1828" s="17" t="s">
        <v>464</v>
      </c>
      <c r="D1828" s="17" t="s">
        <v>147</v>
      </c>
      <c r="E1828" s="17" t="s">
        <v>503</v>
      </c>
      <c r="F1828" s="18" t="s">
        <v>34</v>
      </c>
      <c r="G1828" s="19" t="n">
        <v>134056505305</v>
      </c>
      <c r="H1828" s="17" t="s">
        <v>134</v>
      </c>
      <c r="I1828" s="17" t="s">
        <v>44</v>
      </c>
      <c r="J1828" s="17" t="s">
        <v>118</v>
      </c>
      <c r="K1828" s="17" t="str">
        <f aca="false">VLOOKUP(J1828,Sheet2!A:B,2,0)</f>
        <v>DEVENDRA RAJPUT</v>
      </c>
      <c r="L1828" s="17" t="n">
        <v>5</v>
      </c>
      <c r="M1828" s="17" t="str">
        <f aca="false">VLOOKUP(L1828,Sheet2!D:E,2,0)</f>
        <v>Main Processor CPU BGA</v>
      </c>
      <c r="N1828" s="17" t="n">
        <v>24</v>
      </c>
      <c r="O1828" s="17" t="str">
        <f aca="false">VLOOKUP(N1828,Sheet2!G:H,2,0)</f>
        <v>STB Auto moving -Stand by mode</v>
      </c>
      <c r="P1828" s="17" t="n">
        <v>12</v>
      </c>
      <c r="Q1828" s="17" t="str">
        <f aca="false">VLOOKUP(P1828,Sheet2!J:K,2,0)</f>
        <v>IR Declared due to Others ( IR Normal)TB</v>
      </c>
      <c r="R1828" s="17" t="s">
        <v>35</v>
      </c>
      <c r="S1828" s="17" t="str">
        <f aca="false">VLOOKUP(R1828,Sheet2!N:O,2,0)</f>
        <v>IREPARABLE</v>
      </c>
      <c r="T1828" s="18" t="str">
        <f aca="false">VLOOKUP(P1828,Sheet2!Q:R,2,0)</f>
        <v>IR Normal - BER to IR</v>
      </c>
      <c r="U1828" s="18" t="s">
        <v>101</v>
      </c>
      <c r="V1828" s="17" t="n">
        <v>8</v>
      </c>
      <c r="W1828" s="20" t="str">
        <f aca="false">VLOOKUP(V1828,Sheet2!Q:R,2,0)</f>
        <v>IR Normal -TrackRust/InternalDamage/open</v>
      </c>
      <c r="X1828" s="17" t="str">
        <f aca="false">J1828</f>
        <v>A053</v>
      </c>
      <c r="Y1828" s="17" t="str">
        <f aca="false">VLOOKUP(X1828,Sheet2!A:B,2,0)</f>
        <v>DEVENDRA RAJPUT</v>
      </c>
      <c r="Z1828" s="17" t="s">
        <v>136</v>
      </c>
      <c r="AA1828" s="17" t="s">
        <v>919</v>
      </c>
      <c r="AB1828" s="17" t="s">
        <v>41</v>
      </c>
      <c r="AC1828" s="0" t="str">
        <f aca="false">LEFT(G1828,2)</f>
        <v>13</v>
      </c>
      <c r="AE1828" s="21" t="s">
        <v>238</v>
      </c>
    </row>
    <row r="1829" customFormat="false" ht="15" hidden="false" customHeight="false" outlineLevel="0" collapsed="false">
      <c r="A1829" s="13" t="n">
        <f aca="false">1+A1828</f>
        <v>1827</v>
      </c>
      <c r="B1829" s="14" t="n">
        <v>1008925015</v>
      </c>
      <c r="C1829" s="15" t="s">
        <v>842</v>
      </c>
      <c r="D1829" s="16" t="s">
        <v>64</v>
      </c>
      <c r="E1829" s="17" t="s">
        <v>503</v>
      </c>
      <c r="F1829" s="18" t="s">
        <v>34</v>
      </c>
      <c r="G1829" s="19" t="n">
        <v>134283166707</v>
      </c>
      <c r="H1829" s="17" t="s">
        <v>134</v>
      </c>
      <c r="I1829" s="17" t="s">
        <v>44</v>
      </c>
      <c r="J1829" s="17" t="s">
        <v>106</v>
      </c>
      <c r="K1829" s="17" t="str">
        <f aca="false">VLOOKUP(J1829,Sheet2!A:B,2,0)</f>
        <v>PRAKASH CHAVDA</v>
      </c>
      <c r="L1829" s="17" t="n">
        <v>5</v>
      </c>
      <c r="M1829" s="17" t="str">
        <f aca="false">VLOOKUP(L1829,Sheet2!D:E,2,0)</f>
        <v>Main Processor CPU BGA</v>
      </c>
      <c r="N1829" s="17" t="n">
        <v>24</v>
      </c>
      <c r="O1829" s="17" t="str">
        <f aca="false">VLOOKUP(N1829,Sheet2!G:H,2,0)</f>
        <v>STB Auto moving -Stand by mode</v>
      </c>
      <c r="P1829" s="17" t="n">
        <v>12</v>
      </c>
      <c r="Q1829" s="17" t="str">
        <f aca="false">VLOOKUP(P1829,Sheet2!J:K,2,0)</f>
        <v>IR Declared due to Others ( IR Normal)TB</v>
      </c>
      <c r="R1829" s="17" t="s">
        <v>35</v>
      </c>
      <c r="S1829" s="17" t="str">
        <f aca="false">VLOOKUP(R1829,Sheet2!N:O,2,0)</f>
        <v>IREPARABLE</v>
      </c>
      <c r="T1829" s="18" t="str">
        <f aca="false">VLOOKUP(P1829,Sheet2!Q:R,2,0)</f>
        <v>IR Normal - BER to IR</v>
      </c>
      <c r="U1829" s="20" t="s">
        <v>135</v>
      </c>
      <c r="V1829" s="17" t="n">
        <v>12</v>
      </c>
      <c r="W1829" s="20" t="str">
        <f aca="false">VLOOKUP(V1829,Sheet2!Q:R,2,0)</f>
        <v>IR Normal - BER to IR</v>
      </c>
      <c r="X1829" s="17" t="str">
        <f aca="false">J1829</f>
        <v>A018</v>
      </c>
      <c r="Y1829" s="17" t="str">
        <f aca="false">VLOOKUP(X1829,Sheet2!A:B,2,0)</f>
        <v>PRAKASH CHAVDA</v>
      </c>
      <c r="Z1829" s="17" t="s">
        <v>136</v>
      </c>
      <c r="AA1829" s="17" t="s">
        <v>919</v>
      </c>
      <c r="AB1829" s="17" t="s">
        <v>41</v>
      </c>
      <c r="AC1829" s="0" t="str">
        <f aca="false">LEFT(G1829,2)</f>
        <v>13</v>
      </c>
      <c r="AE1829" s="21" t="s">
        <v>238</v>
      </c>
    </row>
    <row r="1830" customFormat="false" ht="15" hidden="false" customHeight="false" outlineLevel="0" collapsed="false">
      <c r="A1830" s="13" t="n">
        <f aca="false">1+A1829</f>
        <v>1828</v>
      </c>
      <c r="B1830" s="14" t="n">
        <v>1008749258</v>
      </c>
      <c r="C1830" s="15" t="s">
        <v>493</v>
      </c>
      <c r="D1830" s="16" t="s">
        <v>64</v>
      </c>
      <c r="E1830" s="17" t="s">
        <v>64</v>
      </c>
      <c r="F1830" s="18" t="s">
        <v>34</v>
      </c>
      <c r="G1830" s="19" t="n">
        <v>133351217095</v>
      </c>
      <c r="H1830" s="17" t="s">
        <v>134</v>
      </c>
      <c r="I1830" s="17" t="s">
        <v>44</v>
      </c>
      <c r="J1830" s="17" t="s">
        <v>106</v>
      </c>
      <c r="K1830" s="17" t="str">
        <f aca="false">VLOOKUP(J1830,Sheet2!A:B,2,0)</f>
        <v>PRAKASH CHAVDA</v>
      </c>
      <c r="L1830" s="17" t="n">
        <v>5</v>
      </c>
      <c r="M1830" s="17" t="str">
        <f aca="false">VLOOKUP(L1830,Sheet2!D:E,2,0)</f>
        <v>Main Processor CPU BGA</v>
      </c>
      <c r="N1830" s="17" t="n">
        <v>1</v>
      </c>
      <c r="O1830" s="17" t="str">
        <f aca="false">VLOOKUP(N1830,Sheet2!G:H,2,0)</f>
        <v>Dead</v>
      </c>
      <c r="P1830" s="17" t="n">
        <v>12</v>
      </c>
      <c r="Q1830" s="17" t="str">
        <f aca="false">VLOOKUP(P1830,Sheet2!J:K,2,0)</f>
        <v>IR Declared due to Others ( IR Normal)TB</v>
      </c>
      <c r="R1830" s="17" t="s">
        <v>35</v>
      </c>
      <c r="S1830" s="17" t="str">
        <f aca="false">VLOOKUP(R1830,Sheet2!N:O,2,0)</f>
        <v>IREPARABLE</v>
      </c>
      <c r="T1830" s="18" t="str">
        <f aca="false">VLOOKUP(P1830,Sheet2!Q:R,2,0)</f>
        <v>IR Normal - BER to IR</v>
      </c>
      <c r="U1830" s="20" t="s">
        <v>135</v>
      </c>
      <c r="V1830" s="17" t="n">
        <v>12</v>
      </c>
      <c r="W1830" s="20" t="str">
        <f aca="false">VLOOKUP(V1830,Sheet2!Q:R,2,0)</f>
        <v>IR Normal - BER to IR</v>
      </c>
      <c r="X1830" s="17" t="str">
        <f aca="false">J1830</f>
        <v>A018</v>
      </c>
      <c r="Y1830" s="17" t="str">
        <f aca="false">VLOOKUP(X1830,Sheet2!A:B,2,0)</f>
        <v>PRAKASH CHAVDA</v>
      </c>
      <c r="Z1830" s="17" t="s">
        <v>136</v>
      </c>
      <c r="AA1830" s="17" t="s">
        <v>919</v>
      </c>
      <c r="AB1830" s="17" t="s">
        <v>41</v>
      </c>
      <c r="AC1830" s="0" t="str">
        <f aca="false">LEFT(G1830,2)</f>
        <v>13</v>
      </c>
      <c r="AE1830" s="21" t="s">
        <v>238</v>
      </c>
    </row>
    <row r="1831" customFormat="false" ht="15" hidden="false" customHeight="false" outlineLevel="0" collapsed="false">
      <c r="A1831" s="13" t="n">
        <f aca="false">1+A1830</f>
        <v>1829</v>
      </c>
      <c r="B1831" s="14" t="n">
        <v>1008887627</v>
      </c>
      <c r="C1831" s="15" t="s">
        <v>932</v>
      </c>
      <c r="D1831" s="16" t="s">
        <v>64</v>
      </c>
      <c r="E1831" s="17" t="s">
        <v>64</v>
      </c>
      <c r="F1831" s="18" t="s">
        <v>34</v>
      </c>
      <c r="G1831" s="19" t="n">
        <v>135210089540</v>
      </c>
      <c r="H1831" s="17" t="s">
        <v>134</v>
      </c>
      <c r="I1831" s="17" t="s">
        <v>44</v>
      </c>
      <c r="J1831" s="17" t="s">
        <v>106</v>
      </c>
      <c r="K1831" s="17" t="str">
        <f aca="false">VLOOKUP(J1831,Sheet2!A:B,2,0)</f>
        <v>PRAKASH CHAVDA</v>
      </c>
      <c r="L1831" s="17" t="n">
        <v>5</v>
      </c>
      <c r="M1831" s="17" t="str">
        <f aca="false">VLOOKUP(L1831,Sheet2!D:E,2,0)</f>
        <v>Main Processor CPU BGA</v>
      </c>
      <c r="N1831" s="17" t="n">
        <v>1</v>
      </c>
      <c r="O1831" s="17" t="str">
        <f aca="false">VLOOKUP(N1831,Sheet2!G:H,2,0)</f>
        <v>Dead</v>
      </c>
      <c r="P1831" s="17" t="n">
        <v>12</v>
      </c>
      <c r="Q1831" s="17" t="str">
        <f aca="false">VLOOKUP(P1831,Sheet2!J:K,2,0)</f>
        <v>IR Declared due to Others ( IR Normal)TB</v>
      </c>
      <c r="R1831" s="17" t="s">
        <v>35</v>
      </c>
      <c r="S1831" s="17" t="str">
        <f aca="false">VLOOKUP(R1831,Sheet2!N:O,2,0)</f>
        <v>IREPARABLE</v>
      </c>
      <c r="T1831" s="18" t="str">
        <f aca="false">VLOOKUP(P1831,Sheet2!Q:R,2,0)</f>
        <v>IR Normal - BER to IR</v>
      </c>
      <c r="U1831" s="20" t="s">
        <v>135</v>
      </c>
      <c r="V1831" s="17" t="n">
        <v>12</v>
      </c>
      <c r="W1831" s="20" t="str">
        <f aca="false">VLOOKUP(V1831,Sheet2!Q:R,2,0)</f>
        <v>IR Normal - BER to IR</v>
      </c>
      <c r="X1831" s="17" t="str">
        <f aca="false">J1831</f>
        <v>A018</v>
      </c>
      <c r="Y1831" s="17" t="str">
        <f aca="false">VLOOKUP(X1831,Sheet2!A:B,2,0)</f>
        <v>PRAKASH CHAVDA</v>
      </c>
      <c r="Z1831" s="17" t="s">
        <v>136</v>
      </c>
      <c r="AA1831" s="17" t="s">
        <v>919</v>
      </c>
      <c r="AB1831" s="17" t="s">
        <v>41</v>
      </c>
      <c r="AC1831" s="0" t="str">
        <f aca="false">LEFT(G1831,2)</f>
        <v>13</v>
      </c>
      <c r="AE1831" s="21" t="s">
        <v>238</v>
      </c>
    </row>
    <row r="1832" customFormat="false" ht="15" hidden="false" customHeight="false" outlineLevel="0" collapsed="false">
      <c r="A1832" s="13" t="n">
        <f aca="false">1+A1831</f>
        <v>1830</v>
      </c>
      <c r="B1832" s="14" t="n">
        <v>1008857460</v>
      </c>
      <c r="C1832" s="15" t="s">
        <v>463</v>
      </c>
      <c r="D1832" s="16" t="s">
        <v>64</v>
      </c>
      <c r="E1832" s="17" t="s">
        <v>47</v>
      </c>
      <c r="F1832" s="18" t="s">
        <v>34</v>
      </c>
      <c r="G1832" s="19" t="n">
        <v>134230357219</v>
      </c>
      <c r="H1832" s="17" t="s">
        <v>134</v>
      </c>
      <c r="I1832" s="17" t="s">
        <v>44</v>
      </c>
      <c r="J1832" s="17" t="s">
        <v>106</v>
      </c>
      <c r="K1832" s="17" t="str">
        <f aca="false">VLOOKUP(J1832,Sheet2!A:B,2,0)</f>
        <v>PRAKASH CHAVDA</v>
      </c>
      <c r="L1832" s="17" t="n">
        <v>5</v>
      </c>
      <c r="M1832" s="17" t="str">
        <f aca="false">VLOOKUP(L1832,Sheet2!D:E,2,0)</f>
        <v>Main Processor CPU BGA</v>
      </c>
      <c r="N1832" s="17" t="n">
        <v>1</v>
      </c>
      <c r="O1832" s="17" t="str">
        <f aca="false">VLOOKUP(N1832,Sheet2!G:H,2,0)</f>
        <v>Dead</v>
      </c>
      <c r="P1832" s="17" t="n">
        <v>12</v>
      </c>
      <c r="Q1832" s="17" t="str">
        <f aca="false">VLOOKUP(P1832,Sheet2!J:K,2,0)</f>
        <v>IR Declared due to Others ( IR Normal)TB</v>
      </c>
      <c r="R1832" s="17" t="s">
        <v>35</v>
      </c>
      <c r="S1832" s="17" t="str">
        <f aca="false">VLOOKUP(R1832,Sheet2!N:O,2,0)</f>
        <v>IREPARABLE</v>
      </c>
      <c r="T1832" s="18" t="str">
        <f aca="false">VLOOKUP(P1832,Sheet2!Q:R,2,0)</f>
        <v>IR Normal - BER to IR</v>
      </c>
      <c r="U1832" s="20" t="s">
        <v>135</v>
      </c>
      <c r="V1832" s="17" t="n">
        <v>12</v>
      </c>
      <c r="W1832" s="20" t="str">
        <f aca="false">VLOOKUP(V1832,Sheet2!Q:R,2,0)</f>
        <v>IR Normal - BER to IR</v>
      </c>
      <c r="X1832" s="17" t="str">
        <f aca="false">J1832</f>
        <v>A018</v>
      </c>
      <c r="Y1832" s="17" t="str">
        <f aca="false">VLOOKUP(X1832,Sheet2!A:B,2,0)</f>
        <v>PRAKASH CHAVDA</v>
      </c>
      <c r="Z1832" s="17" t="s">
        <v>136</v>
      </c>
      <c r="AA1832" s="17" t="s">
        <v>919</v>
      </c>
      <c r="AB1832" s="17" t="s">
        <v>41</v>
      </c>
      <c r="AC1832" s="0" t="str">
        <f aca="false">LEFT(G1832,2)</f>
        <v>13</v>
      </c>
      <c r="AE1832" s="21" t="s">
        <v>238</v>
      </c>
    </row>
    <row r="1833" customFormat="false" ht="15" hidden="false" customHeight="false" outlineLevel="0" collapsed="false">
      <c r="A1833" s="13" t="n">
        <f aca="false">1+A1832</f>
        <v>1831</v>
      </c>
      <c r="B1833" s="14" t="n">
        <v>1008869262</v>
      </c>
      <c r="C1833" s="15" t="s">
        <v>933</v>
      </c>
      <c r="D1833" s="16" t="s">
        <v>453</v>
      </c>
      <c r="E1833" s="17" t="s">
        <v>47</v>
      </c>
      <c r="F1833" s="18" t="s">
        <v>34</v>
      </c>
      <c r="G1833" s="19" t="n">
        <v>133324189967</v>
      </c>
      <c r="H1833" s="17" t="s">
        <v>134</v>
      </c>
      <c r="I1833" s="17" t="s">
        <v>44</v>
      </c>
      <c r="J1833" s="17" t="s">
        <v>106</v>
      </c>
      <c r="K1833" s="17" t="str">
        <f aca="false">VLOOKUP(J1833,Sheet2!A:B,2,0)</f>
        <v>PRAKASH CHAVDA</v>
      </c>
      <c r="L1833" s="17" t="n">
        <v>5</v>
      </c>
      <c r="M1833" s="17" t="str">
        <f aca="false">VLOOKUP(L1833,Sheet2!D:E,2,0)</f>
        <v>Main Processor CPU BGA</v>
      </c>
      <c r="N1833" s="17" t="n">
        <v>1</v>
      </c>
      <c r="O1833" s="17" t="str">
        <f aca="false">VLOOKUP(N1833,Sheet2!G:H,2,0)</f>
        <v>Dead</v>
      </c>
      <c r="P1833" s="17" t="n">
        <v>12</v>
      </c>
      <c r="Q1833" s="17" t="str">
        <f aca="false">VLOOKUP(P1833,Sheet2!J:K,2,0)</f>
        <v>IR Declared due to Others ( IR Normal)TB</v>
      </c>
      <c r="R1833" s="17" t="s">
        <v>35</v>
      </c>
      <c r="S1833" s="17" t="str">
        <f aca="false">VLOOKUP(R1833,Sheet2!N:O,2,0)</f>
        <v>IREPARABLE</v>
      </c>
      <c r="T1833" s="18" t="str">
        <f aca="false">VLOOKUP(P1833,Sheet2!Q:R,2,0)</f>
        <v>IR Normal - BER to IR</v>
      </c>
      <c r="U1833" s="20" t="s">
        <v>135</v>
      </c>
      <c r="V1833" s="17" t="n">
        <v>12</v>
      </c>
      <c r="W1833" s="20" t="str">
        <f aca="false">VLOOKUP(V1833,Sheet2!Q:R,2,0)</f>
        <v>IR Normal - BER to IR</v>
      </c>
      <c r="X1833" s="17" t="str">
        <f aca="false">J1833</f>
        <v>A018</v>
      </c>
      <c r="Y1833" s="17" t="str">
        <f aca="false">VLOOKUP(X1833,Sheet2!A:B,2,0)</f>
        <v>PRAKASH CHAVDA</v>
      </c>
      <c r="Z1833" s="17" t="s">
        <v>136</v>
      </c>
      <c r="AA1833" s="17" t="s">
        <v>919</v>
      </c>
      <c r="AB1833" s="17" t="s">
        <v>41</v>
      </c>
      <c r="AC1833" s="0" t="str">
        <f aca="false">LEFT(G1833,2)</f>
        <v>13</v>
      </c>
      <c r="AE1833" s="21" t="s">
        <v>238</v>
      </c>
    </row>
    <row r="1834" customFormat="false" ht="15" hidden="false" customHeight="false" outlineLevel="0" collapsed="false">
      <c r="A1834" s="13" t="n">
        <f aca="false">1+A1833</f>
        <v>1832</v>
      </c>
      <c r="B1834" s="14" t="n">
        <v>1008859080</v>
      </c>
      <c r="C1834" s="15" t="s">
        <v>934</v>
      </c>
      <c r="D1834" s="16" t="s">
        <v>88</v>
      </c>
      <c r="E1834" s="17" t="s">
        <v>47</v>
      </c>
      <c r="F1834" s="18" t="s">
        <v>34</v>
      </c>
      <c r="G1834" s="19" t="n">
        <v>134331032091</v>
      </c>
      <c r="H1834" s="17" t="s">
        <v>134</v>
      </c>
      <c r="I1834" s="17" t="s">
        <v>44</v>
      </c>
      <c r="J1834" s="17" t="s">
        <v>106</v>
      </c>
      <c r="K1834" s="17" t="str">
        <f aca="false">VLOOKUP(J1834,Sheet2!A:B,2,0)</f>
        <v>PRAKASH CHAVDA</v>
      </c>
      <c r="L1834" s="17" t="n">
        <v>5</v>
      </c>
      <c r="M1834" s="17" t="str">
        <f aca="false">VLOOKUP(L1834,Sheet2!D:E,2,0)</f>
        <v>Main Processor CPU BGA</v>
      </c>
      <c r="N1834" s="17" t="n">
        <v>1</v>
      </c>
      <c r="O1834" s="17" t="str">
        <f aca="false">VLOOKUP(N1834,Sheet2!G:H,2,0)</f>
        <v>Dead</v>
      </c>
      <c r="P1834" s="17" t="n">
        <v>12</v>
      </c>
      <c r="Q1834" s="17" t="str">
        <f aca="false">VLOOKUP(P1834,Sheet2!J:K,2,0)</f>
        <v>IR Declared due to Others ( IR Normal)TB</v>
      </c>
      <c r="R1834" s="17" t="s">
        <v>35</v>
      </c>
      <c r="S1834" s="17" t="str">
        <f aca="false">VLOOKUP(R1834,Sheet2!N:O,2,0)</f>
        <v>IREPARABLE</v>
      </c>
      <c r="T1834" s="18" t="str">
        <f aca="false">VLOOKUP(P1834,Sheet2!Q:R,2,0)</f>
        <v>IR Normal - BER to IR</v>
      </c>
      <c r="U1834" s="20" t="s">
        <v>135</v>
      </c>
      <c r="V1834" s="17" t="n">
        <v>12</v>
      </c>
      <c r="W1834" s="20" t="str">
        <f aca="false">VLOOKUP(V1834,Sheet2!Q:R,2,0)</f>
        <v>IR Normal - BER to IR</v>
      </c>
      <c r="X1834" s="17" t="str">
        <f aca="false">J1834</f>
        <v>A018</v>
      </c>
      <c r="Y1834" s="17" t="str">
        <f aca="false">VLOOKUP(X1834,Sheet2!A:B,2,0)</f>
        <v>PRAKASH CHAVDA</v>
      </c>
      <c r="Z1834" s="17" t="s">
        <v>136</v>
      </c>
      <c r="AA1834" s="17" t="s">
        <v>919</v>
      </c>
      <c r="AB1834" s="17" t="s">
        <v>41</v>
      </c>
      <c r="AC1834" s="0" t="str">
        <f aca="false">LEFT(G1834,2)</f>
        <v>13</v>
      </c>
      <c r="AE1834" s="21" t="s">
        <v>238</v>
      </c>
    </row>
    <row r="1835" customFormat="false" ht="15" hidden="false" customHeight="false" outlineLevel="0" collapsed="false">
      <c r="A1835" s="13" t="n">
        <f aca="false">1+A1834</f>
        <v>1833</v>
      </c>
      <c r="B1835" s="14" t="n">
        <v>1008827558</v>
      </c>
      <c r="C1835" s="15" t="s">
        <v>455</v>
      </c>
      <c r="D1835" s="16" t="s">
        <v>32</v>
      </c>
      <c r="E1835" s="17" t="s">
        <v>47</v>
      </c>
      <c r="F1835" s="18" t="s">
        <v>34</v>
      </c>
      <c r="G1835" s="19" t="n">
        <v>134331020799</v>
      </c>
      <c r="H1835" s="17" t="s">
        <v>134</v>
      </c>
      <c r="I1835" s="17" t="s">
        <v>44</v>
      </c>
      <c r="J1835" s="17" t="s">
        <v>106</v>
      </c>
      <c r="K1835" s="17" t="str">
        <f aca="false">VLOOKUP(J1835,Sheet2!A:B,2,0)</f>
        <v>PRAKASH CHAVDA</v>
      </c>
      <c r="L1835" s="17" t="n">
        <v>5</v>
      </c>
      <c r="M1835" s="17" t="str">
        <f aca="false">VLOOKUP(L1835,Sheet2!D:E,2,0)</f>
        <v>Main Processor CPU BGA</v>
      </c>
      <c r="N1835" s="17" t="n">
        <v>1</v>
      </c>
      <c r="O1835" s="17" t="str">
        <f aca="false">VLOOKUP(N1835,Sheet2!G:H,2,0)</f>
        <v>Dead</v>
      </c>
      <c r="P1835" s="17" t="n">
        <v>12</v>
      </c>
      <c r="Q1835" s="17" t="str">
        <f aca="false">VLOOKUP(P1835,Sheet2!J:K,2,0)</f>
        <v>IR Declared due to Others ( IR Normal)TB</v>
      </c>
      <c r="R1835" s="17" t="s">
        <v>35</v>
      </c>
      <c r="S1835" s="17" t="str">
        <f aca="false">VLOOKUP(R1835,Sheet2!N:O,2,0)</f>
        <v>IREPARABLE</v>
      </c>
      <c r="T1835" s="18" t="str">
        <f aca="false">VLOOKUP(P1835,Sheet2!Q:R,2,0)</f>
        <v>IR Normal - BER to IR</v>
      </c>
      <c r="U1835" s="20" t="s">
        <v>135</v>
      </c>
      <c r="V1835" s="17" t="n">
        <v>12</v>
      </c>
      <c r="W1835" s="20" t="str">
        <f aca="false">VLOOKUP(V1835,Sheet2!Q:R,2,0)</f>
        <v>IR Normal - BER to IR</v>
      </c>
      <c r="X1835" s="17" t="str">
        <f aca="false">J1835</f>
        <v>A018</v>
      </c>
      <c r="Y1835" s="17" t="str">
        <f aca="false">VLOOKUP(X1835,Sheet2!A:B,2,0)</f>
        <v>PRAKASH CHAVDA</v>
      </c>
      <c r="Z1835" s="17" t="s">
        <v>136</v>
      </c>
      <c r="AA1835" s="17" t="s">
        <v>919</v>
      </c>
      <c r="AB1835" s="17" t="s">
        <v>41</v>
      </c>
      <c r="AC1835" s="0" t="str">
        <f aca="false">LEFT(G1835,2)</f>
        <v>13</v>
      </c>
      <c r="AE1835" s="21" t="s">
        <v>238</v>
      </c>
    </row>
    <row r="1836" customFormat="false" ht="15" hidden="false" customHeight="false" outlineLevel="0" collapsed="false">
      <c r="A1836" s="13" t="n">
        <f aca="false">1+A1835</f>
        <v>1834</v>
      </c>
      <c r="B1836" s="14" t="n">
        <v>1008381631</v>
      </c>
      <c r="C1836" s="15" t="s">
        <v>935</v>
      </c>
      <c r="D1836" s="16" t="s">
        <v>144</v>
      </c>
      <c r="E1836" s="17" t="s">
        <v>91</v>
      </c>
      <c r="F1836" s="18" t="s">
        <v>34</v>
      </c>
      <c r="G1836" s="19" t="n">
        <v>134283125091</v>
      </c>
      <c r="H1836" s="17" t="s">
        <v>134</v>
      </c>
      <c r="I1836" s="17" t="s">
        <v>44</v>
      </c>
      <c r="J1836" s="17" t="s">
        <v>106</v>
      </c>
      <c r="K1836" s="17" t="str">
        <f aca="false">VLOOKUP(J1836,Sheet2!A:B,2,0)</f>
        <v>PRAKASH CHAVDA</v>
      </c>
      <c r="L1836" s="17" t="n">
        <v>1</v>
      </c>
      <c r="M1836" s="17" t="str">
        <f aca="false">VLOOKUP(L1836,Sheet2!D:E,2,0)</f>
        <v>Power Supply Section</v>
      </c>
      <c r="N1836" s="17" t="n">
        <v>1</v>
      </c>
      <c r="O1836" s="17" t="str">
        <f aca="false">VLOOKUP(N1836,Sheet2!G:H,2,0)</f>
        <v>Dead</v>
      </c>
      <c r="P1836" s="17" t="n">
        <v>12</v>
      </c>
      <c r="Q1836" s="17" t="str">
        <f aca="false">VLOOKUP(P1836,Sheet2!J:K,2,0)</f>
        <v>IR Declared due to Others ( IR Normal)TB</v>
      </c>
      <c r="R1836" s="17" t="s">
        <v>35</v>
      </c>
      <c r="S1836" s="17" t="str">
        <f aca="false">VLOOKUP(R1836,Sheet2!N:O,2,0)</f>
        <v>IREPARABLE</v>
      </c>
      <c r="T1836" s="18" t="str">
        <f aca="false">VLOOKUP(P1836,Sheet2!Q:R,2,0)</f>
        <v>IR Normal - BER to IR</v>
      </c>
      <c r="U1836" s="20" t="s">
        <v>135</v>
      </c>
      <c r="V1836" s="17" t="n">
        <v>12</v>
      </c>
      <c r="W1836" s="20" t="str">
        <f aca="false">VLOOKUP(V1836,Sheet2!Q:R,2,0)</f>
        <v>IR Normal - BER to IR</v>
      </c>
      <c r="X1836" s="17" t="str">
        <f aca="false">J1836</f>
        <v>A018</v>
      </c>
      <c r="Y1836" s="17" t="str">
        <f aca="false">VLOOKUP(X1836,Sheet2!A:B,2,0)</f>
        <v>PRAKASH CHAVDA</v>
      </c>
      <c r="Z1836" s="17" t="s">
        <v>504</v>
      </c>
      <c r="AA1836" s="17" t="s">
        <v>919</v>
      </c>
      <c r="AB1836" s="17" t="s">
        <v>41</v>
      </c>
      <c r="AC1836" s="0" t="str">
        <f aca="false">LEFT(G1836,2)</f>
        <v>13</v>
      </c>
      <c r="AE1836" s="21" t="s">
        <v>238</v>
      </c>
    </row>
    <row r="1837" customFormat="false" ht="15" hidden="false" customHeight="false" outlineLevel="0" collapsed="false">
      <c r="A1837" s="13" t="n">
        <f aca="false">1+A1836</f>
        <v>1835</v>
      </c>
      <c r="B1837" s="14" t="n">
        <v>1008945869</v>
      </c>
      <c r="C1837" s="15" t="s">
        <v>936</v>
      </c>
      <c r="D1837" s="16" t="s">
        <v>937</v>
      </c>
      <c r="E1837" s="17" t="s">
        <v>255</v>
      </c>
      <c r="F1837" s="18" t="s">
        <v>34</v>
      </c>
      <c r="G1837" s="19" t="n">
        <v>134310118705</v>
      </c>
      <c r="H1837" s="17" t="s">
        <v>134</v>
      </c>
      <c r="I1837" s="17" t="s">
        <v>44</v>
      </c>
      <c r="J1837" s="17" t="s">
        <v>106</v>
      </c>
      <c r="K1837" s="17" t="str">
        <f aca="false">VLOOKUP(J1837,Sheet2!A:B,2,0)</f>
        <v>PRAKASH CHAVDA</v>
      </c>
      <c r="L1837" s="17" t="n">
        <v>5</v>
      </c>
      <c r="M1837" s="17" t="str">
        <f aca="false">VLOOKUP(L1837,Sheet2!D:E,2,0)</f>
        <v>Main Processor CPU BGA</v>
      </c>
      <c r="N1837" s="17" t="n">
        <v>1</v>
      </c>
      <c r="O1837" s="17" t="str">
        <f aca="false">VLOOKUP(N1837,Sheet2!G:H,2,0)</f>
        <v>Dead</v>
      </c>
      <c r="P1837" s="17" t="n">
        <v>12</v>
      </c>
      <c r="Q1837" s="17" t="str">
        <f aca="false">VLOOKUP(P1837,Sheet2!J:K,2,0)</f>
        <v>IR Declared due to Others ( IR Normal)TB</v>
      </c>
      <c r="R1837" s="17" t="s">
        <v>35</v>
      </c>
      <c r="S1837" s="17" t="str">
        <f aca="false">VLOOKUP(R1837,Sheet2!N:O,2,0)</f>
        <v>IREPARABLE</v>
      </c>
      <c r="T1837" s="18" t="str">
        <f aca="false">VLOOKUP(P1837,Sheet2!Q:R,2,0)</f>
        <v>IR Normal - BER to IR</v>
      </c>
      <c r="U1837" s="20" t="s">
        <v>135</v>
      </c>
      <c r="V1837" s="17" t="n">
        <v>12</v>
      </c>
      <c r="W1837" s="20" t="str">
        <f aca="false">VLOOKUP(V1837,Sheet2!Q:R,2,0)</f>
        <v>IR Normal - BER to IR</v>
      </c>
      <c r="X1837" s="17" t="str">
        <f aca="false">J1837</f>
        <v>A018</v>
      </c>
      <c r="Y1837" s="17" t="str">
        <f aca="false">VLOOKUP(X1837,Sheet2!A:B,2,0)</f>
        <v>PRAKASH CHAVDA</v>
      </c>
      <c r="Z1837" s="17" t="s">
        <v>136</v>
      </c>
      <c r="AA1837" s="17" t="s">
        <v>919</v>
      </c>
      <c r="AB1837" s="17" t="s">
        <v>41</v>
      </c>
      <c r="AC1837" s="0" t="str">
        <f aca="false">LEFT(G1837,2)</f>
        <v>13</v>
      </c>
      <c r="AE1837" s="21" t="s">
        <v>238</v>
      </c>
    </row>
    <row r="1838" customFormat="false" ht="15" hidden="false" customHeight="false" outlineLevel="0" collapsed="false">
      <c r="A1838" s="13" t="n">
        <f aca="false">1+A1837</f>
        <v>1836</v>
      </c>
      <c r="B1838" s="14" t="n">
        <v>1008870203</v>
      </c>
      <c r="C1838" s="15" t="s">
        <v>457</v>
      </c>
      <c r="D1838" s="16" t="s">
        <v>64</v>
      </c>
      <c r="E1838" s="17" t="s">
        <v>33</v>
      </c>
      <c r="F1838" s="18" t="s">
        <v>34</v>
      </c>
      <c r="G1838" s="19" t="n">
        <v>134230270008</v>
      </c>
      <c r="H1838" s="17" t="s">
        <v>134</v>
      </c>
      <c r="I1838" s="17" t="s">
        <v>44</v>
      </c>
      <c r="J1838" s="17" t="s">
        <v>106</v>
      </c>
      <c r="K1838" s="17" t="str">
        <f aca="false">VLOOKUP(J1838,Sheet2!A:B,2,0)</f>
        <v>PRAKASH CHAVDA</v>
      </c>
      <c r="L1838" s="17" t="n">
        <v>5</v>
      </c>
      <c r="M1838" s="17" t="str">
        <f aca="false">VLOOKUP(L1838,Sheet2!D:E,2,0)</f>
        <v>Main Processor CPU BGA</v>
      </c>
      <c r="N1838" s="17" t="n">
        <v>24</v>
      </c>
      <c r="O1838" s="17" t="str">
        <f aca="false">VLOOKUP(N1838,Sheet2!G:H,2,0)</f>
        <v>STB Auto moving -Stand by mode</v>
      </c>
      <c r="P1838" s="17" t="n">
        <v>12</v>
      </c>
      <c r="Q1838" s="17" t="str">
        <f aca="false">VLOOKUP(P1838,Sheet2!J:K,2,0)</f>
        <v>IR Declared due to Others ( IR Normal)TB</v>
      </c>
      <c r="R1838" s="17" t="s">
        <v>35</v>
      </c>
      <c r="S1838" s="17" t="str">
        <f aca="false">VLOOKUP(R1838,Sheet2!N:O,2,0)</f>
        <v>IREPARABLE</v>
      </c>
      <c r="T1838" s="18" t="str">
        <f aca="false">VLOOKUP(P1838,Sheet2!Q:R,2,0)</f>
        <v>IR Normal - BER to IR</v>
      </c>
      <c r="U1838" s="20" t="s">
        <v>135</v>
      </c>
      <c r="V1838" s="17" t="n">
        <v>12</v>
      </c>
      <c r="W1838" s="20" t="str">
        <f aca="false">VLOOKUP(V1838,Sheet2!Q:R,2,0)</f>
        <v>IR Normal - BER to IR</v>
      </c>
      <c r="X1838" s="17" t="str">
        <f aca="false">J1838</f>
        <v>A018</v>
      </c>
      <c r="Y1838" s="17" t="str">
        <f aca="false">VLOOKUP(X1838,Sheet2!A:B,2,0)</f>
        <v>PRAKASH CHAVDA</v>
      </c>
      <c r="Z1838" s="17" t="s">
        <v>136</v>
      </c>
      <c r="AA1838" s="17" t="s">
        <v>919</v>
      </c>
      <c r="AB1838" s="17" t="s">
        <v>41</v>
      </c>
      <c r="AC1838" s="0" t="str">
        <f aca="false">LEFT(G1838,2)</f>
        <v>13</v>
      </c>
      <c r="AE1838" s="21" t="s">
        <v>238</v>
      </c>
    </row>
    <row r="1839" customFormat="false" ht="15" hidden="false" customHeight="false" outlineLevel="0" collapsed="false">
      <c r="A1839" s="13" t="n">
        <f aca="false">1+A1838</f>
        <v>1837</v>
      </c>
      <c r="B1839" s="14" t="n">
        <v>1008860301</v>
      </c>
      <c r="C1839" s="15" t="s">
        <v>934</v>
      </c>
      <c r="D1839" s="16" t="s">
        <v>938</v>
      </c>
      <c r="E1839" s="17" t="s">
        <v>33</v>
      </c>
      <c r="F1839" s="18" t="s">
        <v>34</v>
      </c>
      <c r="G1839" s="19" t="n">
        <v>134283174420</v>
      </c>
      <c r="H1839" s="17" t="s">
        <v>134</v>
      </c>
      <c r="I1839" s="17" t="s">
        <v>44</v>
      </c>
      <c r="J1839" s="17" t="s">
        <v>106</v>
      </c>
      <c r="K1839" s="17" t="str">
        <f aca="false">VLOOKUP(J1839,Sheet2!A:B,2,0)</f>
        <v>PRAKASH CHAVDA</v>
      </c>
      <c r="L1839" s="17" t="n">
        <v>5</v>
      </c>
      <c r="M1839" s="17" t="str">
        <f aca="false">VLOOKUP(L1839,Sheet2!D:E,2,0)</f>
        <v>Main Processor CPU BGA</v>
      </c>
      <c r="N1839" s="17" t="n">
        <v>24</v>
      </c>
      <c r="O1839" s="17" t="str">
        <f aca="false">VLOOKUP(N1839,Sheet2!G:H,2,0)</f>
        <v>STB Auto moving -Stand by mode</v>
      </c>
      <c r="P1839" s="17" t="n">
        <v>12</v>
      </c>
      <c r="Q1839" s="17" t="str">
        <f aca="false">VLOOKUP(P1839,Sheet2!J:K,2,0)</f>
        <v>IR Declared due to Others ( IR Normal)TB</v>
      </c>
      <c r="R1839" s="17" t="s">
        <v>35</v>
      </c>
      <c r="S1839" s="17" t="str">
        <f aca="false">VLOOKUP(R1839,Sheet2!N:O,2,0)</f>
        <v>IREPARABLE</v>
      </c>
      <c r="T1839" s="18" t="str">
        <f aca="false">VLOOKUP(P1839,Sheet2!Q:R,2,0)</f>
        <v>IR Normal - BER to IR</v>
      </c>
      <c r="U1839" s="20" t="s">
        <v>135</v>
      </c>
      <c r="V1839" s="17" t="n">
        <v>12</v>
      </c>
      <c r="W1839" s="20" t="str">
        <f aca="false">VLOOKUP(V1839,Sheet2!Q:R,2,0)</f>
        <v>IR Normal - BER to IR</v>
      </c>
      <c r="X1839" s="17" t="str">
        <f aca="false">J1839</f>
        <v>A018</v>
      </c>
      <c r="Y1839" s="17" t="str">
        <f aca="false">VLOOKUP(X1839,Sheet2!A:B,2,0)</f>
        <v>PRAKASH CHAVDA</v>
      </c>
      <c r="Z1839" s="17" t="s">
        <v>136</v>
      </c>
      <c r="AA1839" s="17" t="s">
        <v>919</v>
      </c>
      <c r="AB1839" s="17" t="s">
        <v>41</v>
      </c>
      <c r="AC1839" s="0" t="str">
        <f aca="false">LEFT(G1839,2)</f>
        <v>13</v>
      </c>
      <c r="AE1839" s="21" t="s">
        <v>238</v>
      </c>
    </row>
    <row r="1840" customFormat="false" ht="15" hidden="false" customHeight="false" outlineLevel="0" collapsed="false">
      <c r="A1840" s="13" t="n">
        <f aca="false">1+A1839</f>
        <v>1838</v>
      </c>
      <c r="B1840" s="14" t="n">
        <v>1008949972</v>
      </c>
      <c r="C1840" s="15" t="s">
        <v>936</v>
      </c>
      <c r="D1840" s="16" t="s">
        <v>138</v>
      </c>
      <c r="E1840" s="17" t="s">
        <v>91</v>
      </c>
      <c r="F1840" s="18" t="s">
        <v>34</v>
      </c>
      <c r="G1840" s="19" t="n">
        <v>134268500094</v>
      </c>
      <c r="H1840" s="17" t="s">
        <v>134</v>
      </c>
      <c r="I1840" s="17" t="s">
        <v>44</v>
      </c>
      <c r="J1840" s="17" t="s">
        <v>106</v>
      </c>
      <c r="K1840" s="17" t="str">
        <f aca="false">VLOOKUP(J1840,Sheet2!A:B,2,0)</f>
        <v>PRAKASH CHAVDA</v>
      </c>
      <c r="L1840" s="17" t="n">
        <v>5</v>
      </c>
      <c r="M1840" s="17" t="str">
        <f aca="false">VLOOKUP(L1840,Sheet2!D:E,2,0)</f>
        <v>Main Processor CPU BGA</v>
      </c>
      <c r="N1840" s="17" t="n">
        <v>1</v>
      </c>
      <c r="O1840" s="17" t="str">
        <f aca="false">VLOOKUP(N1840,Sheet2!G:H,2,0)</f>
        <v>Dead</v>
      </c>
      <c r="P1840" s="17" t="n">
        <v>12</v>
      </c>
      <c r="Q1840" s="17" t="str">
        <f aca="false">VLOOKUP(P1840,Sheet2!J:K,2,0)</f>
        <v>IR Declared due to Others ( IR Normal)TB</v>
      </c>
      <c r="R1840" s="17" t="s">
        <v>35</v>
      </c>
      <c r="S1840" s="17" t="str">
        <f aca="false">VLOOKUP(R1840,Sheet2!N:O,2,0)</f>
        <v>IREPARABLE</v>
      </c>
      <c r="T1840" s="18" t="str">
        <f aca="false">VLOOKUP(P1840,Sheet2!Q:R,2,0)</f>
        <v>IR Normal - BER to IR</v>
      </c>
      <c r="U1840" s="20" t="s">
        <v>135</v>
      </c>
      <c r="V1840" s="17" t="n">
        <v>12</v>
      </c>
      <c r="W1840" s="20" t="str">
        <f aca="false">VLOOKUP(V1840,Sheet2!Q:R,2,0)</f>
        <v>IR Normal - BER to IR</v>
      </c>
      <c r="X1840" s="17" t="str">
        <f aca="false">J1840</f>
        <v>A018</v>
      </c>
      <c r="Y1840" s="17" t="str">
        <f aca="false">VLOOKUP(X1840,Sheet2!A:B,2,0)</f>
        <v>PRAKASH CHAVDA</v>
      </c>
      <c r="Z1840" s="17" t="s">
        <v>136</v>
      </c>
      <c r="AA1840" s="17" t="s">
        <v>919</v>
      </c>
      <c r="AB1840" s="17" t="s">
        <v>41</v>
      </c>
      <c r="AC1840" s="0" t="str">
        <f aca="false">LEFT(G1840,2)</f>
        <v>13</v>
      </c>
      <c r="AE1840" s="21" t="s">
        <v>238</v>
      </c>
    </row>
    <row r="1841" customFormat="false" ht="15" hidden="false" customHeight="false" outlineLevel="0" collapsed="false">
      <c r="A1841" s="13" t="n">
        <f aca="false">1+A1840</f>
        <v>1839</v>
      </c>
      <c r="B1841" s="14" t="n">
        <v>1008825117</v>
      </c>
      <c r="C1841" s="15" t="s">
        <v>438</v>
      </c>
      <c r="D1841" s="16" t="s">
        <v>64</v>
      </c>
      <c r="E1841" s="17" t="s">
        <v>47</v>
      </c>
      <c r="F1841" s="18" t="s">
        <v>34</v>
      </c>
      <c r="G1841" s="19" t="n">
        <v>134087115710</v>
      </c>
      <c r="H1841" s="17" t="s">
        <v>134</v>
      </c>
      <c r="I1841" s="17" t="s">
        <v>44</v>
      </c>
      <c r="J1841" s="17" t="s">
        <v>106</v>
      </c>
      <c r="K1841" s="17" t="str">
        <f aca="false">VLOOKUP(J1841,Sheet2!A:B,2,0)</f>
        <v>PRAKASH CHAVDA</v>
      </c>
      <c r="L1841" s="17" t="n">
        <v>5</v>
      </c>
      <c r="M1841" s="17" t="str">
        <f aca="false">VLOOKUP(L1841,Sheet2!D:E,2,0)</f>
        <v>Main Processor CPU BGA</v>
      </c>
      <c r="N1841" s="17" t="n">
        <v>1</v>
      </c>
      <c r="O1841" s="17" t="str">
        <f aca="false">VLOOKUP(N1841,Sheet2!G:H,2,0)</f>
        <v>Dead</v>
      </c>
      <c r="P1841" s="17" t="n">
        <v>12</v>
      </c>
      <c r="Q1841" s="17" t="str">
        <f aca="false">VLOOKUP(P1841,Sheet2!J:K,2,0)</f>
        <v>IR Declared due to Others ( IR Normal)TB</v>
      </c>
      <c r="R1841" s="17" t="s">
        <v>35</v>
      </c>
      <c r="S1841" s="17" t="str">
        <f aca="false">VLOOKUP(R1841,Sheet2!N:O,2,0)</f>
        <v>IREPARABLE</v>
      </c>
      <c r="T1841" s="18" t="str">
        <f aca="false">VLOOKUP(P1841,Sheet2!Q:R,2,0)</f>
        <v>IR Normal - BER to IR</v>
      </c>
      <c r="U1841" s="20" t="s">
        <v>135</v>
      </c>
      <c r="V1841" s="17" t="n">
        <v>12</v>
      </c>
      <c r="W1841" s="20" t="str">
        <f aca="false">VLOOKUP(V1841,Sheet2!Q:R,2,0)</f>
        <v>IR Normal - BER to IR</v>
      </c>
      <c r="X1841" s="17" t="str">
        <f aca="false">J1841</f>
        <v>A018</v>
      </c>
      <c r="Y1841" s="17" t="str">
        <f aca="false">VLOOKUP(X1841,Sheet2!A:B,2,0)</f>
        <v>PRAKASH CHAVDA</v>
      </c>
      <c r="Z1841" s="17" t="s">
        <v>136</v>
      </c>
      <c r="AA1841" s="17" t="s">
        <v>919</v>
      </c>
      <c r="AB1841" s="17" t="s">
        <v>41</v>
      </c>
      <c r="AC1841" s="0" t="str">
        <f aca="false">LEFT(G1841,2)</f>
        <v>13</v>
      </c>
      <c r="AE1841" s="21" t="s">
        <v>238</v>
      </c>
    </row>
    <row r="1842" customFormat="false" ht="15" hidden="false" customHeight="false" outlineLevel="0" collapsed="false">
      <c r="A1842" s="13" t="n">
        <f aca="false">1+A1841</f>
        <v>1840</v>
      </c>
      <c r="B1842" s="14" t="n">
        <v>1008922690</v>
      </c>
      <c r="C1842" s="15" t="s">
        <v>421</v>
      </c>
      <c r="D1842" s="16" t="s">
        <v>86</v>
      </c>
      <c r="E1842" s="17" t="s">
        <v>47</v>
      </c>
      <c r="F1842" s="18" t="s">
        <v>34</v>
      </c>
      <c r="G1842" s="19" t="n">
        <v>134263001437</v>
      </c>
      <c r="H1842" s="17" t="s">
        <v>134</v>
      </c>
      <c r="I1842" s="17" t="s">
        <v>44</v>
      </c>
      <c r="J1842" s="17" t="s">
        <v>106</v>
      </c>
      <c r="K1842" s="17" t="str">
        <f aca="false">VLOOKUP(J1842,Sheet2!A:B,2,0)</f>
        <v>PRAKASH CHAVDA</v>
      </c>
      <c r="L1842" s="17" t="n">
        <v>5</v>
      </c>
      <c r="M1842" s="17" t="str">
        <f aca="false">VLOOKUP(L1842,Sheet2!D:E,2,0)</f>
        <v>Main Processor CPU BGA</v>
      </c>
      <c r="N1842" s="17" t="n">
        <v>1</v>
      </c>
      <c r="O1842" s="17" t="str">
        <f aca="false">VLOOKUP(N1842,Sheet2!G:H,2,0)</f>
        <v>Dead</v>
      </c>
      <c r="P1842" s="17" t="n">
        <v>12</v>
      </c>
      <c r="Q1842" s="17" t="str">
        <f aca="false">VLOOKUP(P1842,Sheet2!J:K,2,0)</f>
        <v>IR Declared due to Others ( IR Normal)TB</v>
      </c>
      <c r="R1842" s="17" t="s">
        <v>35</v>
      </c>
      <c r="S1842" s="17" t="str">
        <f aca="false">VLOOKUP(R1842,Sheet2!N:O,2,0)</f>
        <v>IREPARABLE</v>
      </c>
      <c r="T1842" s="18" t="str">
        <f aca="false">VLOOKUP(P1842,Sheet2!Q:R,2,0)</f>
        <v>IR Normal - BER to IR</v>
      </c>
      <c r="U1842" s="20" t="s">
        <v>135</v>
      </c>
      <c r="V1842" s="17" t="n">
        <v>12</v>
      </c>
      <c r="W1842" s="20" t="str">
        <f aca="false">VLOOKUP(V1842,Sheet2!Q:R,2,0)</f>
        <v>IR Normal - BER to IR</v>
      </c>
      <c r="X1842" s="17" t="str">
        <f aca="false">J1842</f>
        <v>A018</v>
      </c>
      <c r="Y1842" s="17" t="str">
        <f aca="false">VLOOKUP(X1842,Sheet2!A:B,2,0)</f>
        <v>PRAKASH CHAVDA</v>
      </c>
      <c r="Z1842" s="17" t="s">
        <v>136</v>
      </c>
      <c r="AA1842" s="17" t="s">
        <v>919</v>
      </c>
      <c r="AB1842" s="17" t="s">
        <v>41</v>
      </c>
      <c r="AC1842" s="0" t="str">
        <f aca="false">LEFT(G1842,2)</f>
        <v>13</v>
      </c>
      <c r="AE1842" s="21" t="s">
        <v>238</v>
      </c>
    </row>
    <row r="1843" customFormat="false" ht="15" hidden="false" customHeight="false" outlineLevel="0" collapsed="false">
      <c r="A1843" s="13" t="n">
        <f aca="false">1+A1842</f>
        <v>1841</v>
      </c>
      <c r="B1843" s="14" t="n">
        <v>1008824923</v>
      </c>
      <c r="C1843" s="15" t="s">
        <v>438</v>
      </c>
      <c r="D1843" s="16" t="s">
        <v>64</v>
      </c>
      <c r="E1843" s="17" t="s">
        <v>47</v>
      </c>
      <c r="F1843" s="18" t="s">
        <v>34</v>
      </c>
      <c r="G1843" s="19" t="n">
        <v>134203203101</v>
      </c>
      <c r="H1843" s="17" t="s">
        <v>134</v>
      </c>
      <c r="I1843" s="17" t="s">
        <v>44</v>
      </c>
      <c r="J1843" s="17" t="s">
        <v>106</v>
      </c>
      <c r="K1843" s="17" t="str">
        <f aca="false">VLOOKUP(J1843,Sheet2!A:B,2,0)</f>
        <v>PRAKASH CHAVDA</v>
      </c>
      <c r="L1843" s="17" t="n">
        <v>1</v>
      </c>
      <c r="M1843" s="17" t="str">
        <f aca="false">VLOOKUP(L1843,Sheet2!D:E,2,0)</f>
        <v>Power Supply Section</v>
      </c>
      <c r="N1843" s="17" t="n">
        <v>1</v>
      </c>
      <c r="O1843" s="17" t="str">
        <f aca="false">VLOOKUP(N1843,Sheet2!G:H,2,0)</f>
        <v>Dead</v>
      </c>
      <c r="P1843" s="17" t="n">
        <v>12</v>
      </c>
      <c r="Q1843" s="17" t="str">
        <f aca="false">VLOOKUP(P1843,Sheet2!J:K,2,0)</f>
        <v>IR Declared due to Others ( IR Normal)TB</v>
      </c>
      <c r="R1843" s="17" t="s">
        <v>35</v>
      </c>
      <c r="S1843" s="17" t="str">
        <f aca="false">VLOOKUP(R1843,Sheet2!N:O,2,0)</f>
        <v>IREPARABLE</v>
      </c>
      <c r="T1843" s="18" t="str">
        <f aca="false">VLOOKUP(P1843,Sheet2!Q:R,2,0)</f>
        <v>IR Normal - BER to IR</v>
      </c>
      <c r="U1843" s="20" t="s">
        <v>135</v>
      </c>
      <c r="V1843" s="17" t="n">
        <v>12</v>
      </c>
      <c r="W1843" s="20" t="str">
        <f aca="false">VLOOKUP(V1843,Sheet2!Q:R,2,0)</f>
        <v>IR Normal - BER to IR</v>
      </c>
      <c r="X1843" s="17" t="str">
        <f aca="false">J1843</f>
        <v>A018</v>
      </c>
      <c r="Y1843" s="17" t="str">
        <f aca="false">VLOOKUP(X1843,Sheet2!A:B,2,0)</f>
        <v>PRAKASH CHAVDA</v>
      </c>
      <c r="Z1843" s="17" t="s">
        <v>136</v>
      </c>
      <c r="AA1843" s="17" t="s">
        <v>919</v>
      </c>
      <c r="AB1843" s="17" t="s">
        <v>41</v>
      </c>
      <c r="AC1843" s="0" t="str">
        <f aca="false">LEFT(G1843,2)</f>
        <v>13</v>
      </c>
      <c r="AE1843" s="21" t="s">
        <v>238</v>
      </c>
    </row>
    <row r="1844" customFormat="false" ht="15" hidden="false" customHeight="false" outlineLevel="0" collapsed="false">
      <c r="A1844" s="13" t="n">
        <f aca="false">1+A1843</f>
        <v>1842</v>
      </c>
      <c r="B1844" s="14" t="n">
        <v>1008944940</v>
      </c>
      <c r="C1844" s="15" t="s">
        <v>936</v>
      </c>
      <c r="D1844" s="16" t="s">
        <v>64</v>
      </c>
      <c r="E1844" s="17" t="s">
        <v>47</v>
      </c>
      <c r="F1844" s="18" t="s">
        <v>34</v>
      </c>
      <c r="G1844" s="19" t="n">
        <v>134106001438</v>
      </c>
      <c r="H1844" s="17" t="s">
        <v>134</v>
      </c>
      <c r="I1844" s="17" t="s">
        <v>44</v>
      </c>
      <c r="J1844" s="17" t="s">
        <v>106</v>
      </c>
      <c r="K1844" s="17" t="str">
        <f aca="false">VLOOKUP(J1844,Sheet2!A:B,2,0)</f>
        <v>PRAKASH CHAVDA</v>
      </c>
      <c r="L1844" s="17" t="n">
        <v>5</v>
      </c>
      <c r="M1844" s="17" t="str">
        <f aca="false">VLOOKUP(L1844,Sheet2!D:E,2,0)</f>
        <v>Main Processor CPU BGA</v>
      </c>
      <c r="N1844" s="17" t="n">
        <v>24</v>
      </c>
      <c r="O1844" s="17" t="str">
        <f aca="false">VLOOKUP(N1844,Sheet2!G:H,2,0)</f>
        <v>STB Auto moving -Stand by mode</v>
      </c>
      <c r="P1844" s="17" t="n">
        <v>12</v>
      </c>
      <c r="Q1844" s="17" t="str">
        <f aca="false">VLOOKUP(P1844,Sheet2!J:K,2,0)</f>
        <v>IR Declared due to Others ( IR Normal)TB</v>
      </c>
      <c r="R1844" s="17" t="s">
        <v>35</v>
      </c>
      <c r="S1844" s="17" t="str">
        <f aca="false">VLOOKUP(R1844,Sheet2!N:O,2,0)</f>
        <v>IREPARABLE</v>
      </c>
      <c r="T1844" s="18" t="str">
        <f aca="false">VLOOKUP(P1844,Sheet2!Q:R,2,0)</f>
        <v>IR Normal - BER to IR</v>
      </c>
      <c r="U1844" s="20" t="s">
        <v>135</v>
      </c>
      <c r="V1844" s="17" t="n">
        <v>12</v>
      </c>
      <c r="W1844" s="20" t="str">
        <f aca="false">VLOOKUP(V1844,Sheet2!Q:R,2,0)</f>
        <v>IR Normal - BER to IR</v>
      </c>
      <c r="X1844" s="17" t="str">
        <f aca="false">J1844</f>
        <v>A018</v>
      </c>
      <c r="Y1844" s="17" t="str">
        <f aca="false">VLOOKUP(X1844,Sheet2!A:B,2,0)</f>
        <v>PRAKASH CHAVDA</v>
      </c>
      <c r="Z1844" s="17" t="s">
        <v>136</v>
      </c>
      <c r="AA1844" s="17" t="s">
        <v>919</v>
      </c>
      <c r="AB1844" s="17" t="s">
        <v>41</v>
      </c>
      <c r="AC1844" s="0" t="str">
        <f aca="false">LEFT(G1844,2)</f>
        <v>13</v>
      </c>
      <c r="AE1844" s="21" t="s">
        <v>238</v>
      </c>
    </row>
    <row r="1845" customFormat="false" ht="15" hidden="false" customHeight="false" outlineLevel="0" collapsed="false">
      <c r="A1845" s="13" t="n">
        <f aca="false">1+A1844</f>
        <v>1843</v>
      </c>
      <c r="B1845" s="14" t="n">
        <v>1008875299</v>
      </c>
      <c r="C1845" s="15" t="s">
        <v>452</v>
      </c>
      <c r="D1845" s="16" t="s">
        <v>64</v>
      </c>
      <c r="E1845" s="17" t="s">
        <v>47</v>
      </c>
      <c r="F1845" s="18" t="s">
        <v>34</v>
      </c>
      <c r="G1845" s="19" t="n">
        <v>135227094699</v>
      </c>
      <c r="H1845" s="17" t="s">
        <v>134</v>
      </c>
      <c r="I1845" s="17" t="s">
        <v>44</v>
      </c>
      <c r="J1845" s="17" t="s">
        <v>106</v>
      </c>
      <c r="K1845" s="17" t="str">
        <f aca="false">VLOOKUP(J1845,Sheet2!A:B,2,0)</f>
        <v>PRAKASH CHAVDA</v>
      </c>
      <c r="L1845" s="17" t="n">
        <v>5</v>
      </c>
      <c r="M1845" s="17" t="str">
        <f aca="false">VLOOKUP(L1845,Sheet2!D:E,2,0)</f>
        <v>Main Processor CPU BGA</v>
      </c>
      <c r="N1845" s="17" t="n">
        <v>1</v>
      </c>
      <c r="O1845" s="17" t="str">
        <f aca="false">VLOOKUP(N1845,Sheet2!G:H,2,0)</f>
        <v>Dead</v>
      </c>
      <c r="P1845" s="17" t="n">
        <v>12</v>
      </c>
      <c r="Q1845" s="17" t="str">
        <f aca="false">VLOOKUP(P1845,Sheet2!J:K,2,0)</f>
        <v>IR Declared due to Others ( IR Normal)TB</v>
      </c>
      <c r="R1845" s="17" t="s">
        <v>35</v>
      </c>
      <c r="S1845" s="17" t="str">
        <f aca="false">VLOOKUP(R1845,Sheet2!N:O,2,0)</f>
        <v>IREPARABLE</v>
      </c>
      <c r="T1845" s="18" t="str">
        <f aca="false">VLOOKUP(P1845,Sheet2!Q:R,2,0)</f>
        <v>IR Normal - BER to IR</v>
      </c>
      <c r="U1845" s="20" t="s">
        <v>135</v>
      </c>
      <c r="V1845" s="17" t="n">
        <v>12</v>
      </c>
      <c r="W1845" s="20" t="str">
        <f aca="false">VLOOKUP(V1845,Sheet2!Q:R,2,0)</f>
        <v>IR Normal - BER to IR</v>
      </c>
      <c r="X1845" s="17" t="str">
        <f aca="false">J1845</f>
        <v>A018</v>
      </c>
      <c r="Y1845" s="17" t="str">
        <f aca="false">VLOOKUP(X1845,Sheet2!A:B,2,0)</f>
        <v>PRAKASH CHAVDA</v>
      </c>
      <c r="Z1845" s="17" t="s">
        <v>136</v>
      </c>
      <c r="AA1845" s="17" t="s">
        <v>919</v>
      </c>
      <c r="AB1845" s="17" t="s">
        <v>41</v>
      </c>
      <c r="AC1845" s="0" t="str">
        <f aca="false">LEFT(G1845,2)</f>
        <v>13</v>
      </c>
      <c r="AE1845" s="21" t="s">
        <v>238</v>
      </c>
    </row>
    <row r="1846" customFormat="false" ht="15" hidden="false" customHeight="false" outlineLevel="0" collapsed="false">
      <c r="A1846" s="13" t="n">
        <f aca="false">1+A1845</f>
        <v>1844</v>
      </c>
      <c r="B1846" s="14" t="n">
        <v>1008856706</v>
      </c>
      <c r="C1846" s="15" t="s">
        <v>463</v>
      </c>
      <c r="D1846" s="16" t="s">
        <v>202</v>
      </c>
      <c r="E1846" s="17" t="s">
        <v>33</v>
      </c>
      <c r="F1846" s="18" t="s">
        <v>34</v>
      </c>
      <c r="G1846" s="19" t="n">
        <v>134056412163</v>
      </c>
      <c r="H1846" s="17" t="s">
        <v>134</v>
      </c>
      <c r="I1846" s="17" t="s">
        <v>44</v>
      </c>
      <c r="J1846" s="17" t="s">
        <v>106</v>
      </c>
      <c r="K1846" s="17" t="str">
        <f aca="false">VLOOKUP(J1846,Sheet2!A:B,2,0)</f>
        <v>PRAKASH CHAVDA</v>
      </c>
      <c r="L1846" s="17" t="n">
        <v>5</v>
      </c>
      <c r="M1846" s="17" t="str">
        <f aca="false">VLOOKUP(L1846,Sheet2!D:E,2,0)</f>
        <v>Main Processor CPU BGA</v>
      </c>
      <c r="N1846" s="17" t="n">
        <v>1</v>
      </c>
      <c r="O1846" s="17" t="str">
        <f aca="false">VLOOKUP(N1846,Sheet2!G:H,2,0)</f>
        <v>Dead</v>
      </c>
      <c r="P1846" s="17" t="n">
        <v>12</v>
      </c>
      <c r="Q1846" s="17" t="str">
        <f aca="false">VLOOKUP(P1846,Sheet2!J:K,2,0)</f>
        <v>IR Declared due to Others ( IR Normal)TB</v>
      </c>
      <c r="R1846" s="17" t="s">
        <v>35</v>
      </c>
      <c r="S1846" s="17" t="str">
        <f aca="false">VLOOKUP(R1846,Sheet2!N:O,2,0)</f>
        <v>IREPARABLE</v>
      </c>
      <c r="T1846" s="18" t="str">
        <f aca="false">VLOOKUP(P1846,Sheet2!Q:R,2,0)</f>
        <v>IR Normal - BER to IR</v>
      </c>
      <c r="U1846" s="20" t="s">
        <v>135</v>
      </c>
      <c r="V1846" s="17" t="n">
        <v>12</v>
      </c>
      <c r="W1846" s="20" t="str">
        <f aca="false">VLOOKUP(V1846,Sheet2!Q:R,2,0)</f>
        <v>IR Normal - BER to IR</v>
      </c>
      <c r="X1846" s="17" t="str">
        <f aca="false">J1846</f>
        <v>A018</v>
      </c>
      <c r="Y1846" s="17" t="str">
        <f aca="false">VLOOKUP(X1846,Sheet2!A:B,2,0)</f>
        <v>PRAKASH CHAVDA</v>
      </c>
      <c r="Z1846" s="17" t="s">
        <v>136</v>
      </c>
      <c r="AA1846" s="17" t="s">
        <v>919</v>
      </c>
      <c r="AB1846" s="17" t="s">
        <v>41</v>
      </c>
      <c r="AC1846" s="0" t="str">
        <f aca="false">LEFT(G1846,2)</f>
        <v>13</v>
      </c>
      <c r="AE1846" s="21" t="s">
        <v>238</v>
      </c>
    </row>
    <row r="1847" customFormat="false" ht="15" hidden="false" customHeight="false" outlineLevel="0" collapsed="false">
      <c r="A1847" s="13" t="n">
        <f aca="false">1+A1846</f>
        <v>1845</v>
      </c>
      <c r="B1847" s="14" t="n">
        <v>1008894259</v>
      </c>
      <c r="C1847" s="15" t="s">
        <v>762</v>
      </c>
      <c r="D1847" s="16" t="s">
        <v>86</v>
      </c>
      <c r="E1847" s="17" t="s">
        <v>47</v>
      </c>
      <c r="F1847" s="18" t="s">
        <v>34</v>
      </c>
      <c r="G1847" s="19" t="n">
        <v>134135004668</v>
      </c>
      <c r="H1847" s="17" t="s">
        <v>134</v>
      </c>
      <c r="I1847" s="17" t="s">
        <v>44</v>
      </c>
      <c r="J1847" s="17" t="s">
        <v>106</v>
      </c>
      <c r="K1847" s="17" t="str">
        <f aca="false">VLOOKUP(J1847,Sheet2!A:B,2,0)</f>
        <v>PRAKASH CHAVDA</v>
      </c>
      <c r="L1847" s="17" t="n">
        <v>5</v>
      </c>
      <c r="M1847" s="17" t="str">
        <f aca="false">VLOOKUP(L1847,Sheet2!D:E,2,0)</f>
        <v>Main Processor CPU BGA</v>
      </c>
      <c r="N1847" s="17" t="n">
        <v>1</v>
      </c>
      <c r="O1847" s="17" t="str">
        <f aca="false">VLOOKUP(N1847,Sheet2!G:H,2,0)</f>
        <v>Dead</v>
      </c>
      <c r="P1847" s="17" t="n">
        <v>12</v>
      </c>
      <c r="Q1847" s="17" t="str">
        <f aca="false">VLOOKUP(P1847,Sheet2!J:K,2,0)</f>
        <v>IR Declared due to Others ( IR Normal)TB</v>
      </c>
      <c r="R1847" s="17" t="s">
        <v>35</v>
      </c>
      <c r="S1847" s="17" t="str">
        <f aca="false">VLOOKUP(R1847,Sheet2!N:O,2,0)</f>
        <v>IREPARABLE</v>
      </c>
      <c r="T1847" s="18" t="str">
        <f aca="false">VLOOKUP(P1847,Sheet2!Q:R,2,0)</f>
        <v>IR Normal - BER to IR</v>
      </c>
      <c r="U1847" s="20" t="s">
        <v>135</v>
      </c>
      <c r="V1847" s="17" t="n">
        <v>12</v>
      </c>
      <c r="W1847" s="20" t="str">
        <f aca="false">VLOOKUP(V1847,Sheet2!Q:R,2,0)</f>
        <v>IR Normal - BER to IR</v>
      </c>
      <c r="X1847" s="17" t="str">
        <f aca="false">J1847</f>
        <v>A018</v>
      </c>
      <c r="Y1847" s="17" t="str">
        <f aca="false">VLOOKUP(X1847,Sheet2!A:B,2,0)</f>
        <v>PRAKASH CHAVDA</v>
      </c>
      <c r="Z1847" s="17" t="s">
        <v>136</v>
      </c>
      <c r="AA1847" s="17" t="s">
        <v>919</v>
      </c>
      <c r="AB1847" s="17" t="s">
        <v>41</v>
      </c>
      <c r="AC1847" s="0" t="str">
        <f aca="false">LEFT(G1847,2)</f>
        <v>13</v>
      </c>
      <c r="AE1847" s="21" t="s">
        <v>238</v>
      </c>
    </row>
    <row r="1848" customFormat="false" ht="15" hidden="false" customHeight="false" outlineLevel="0" collapsed="false">
      <c r="A1848" s="13" t="n">
        <f aca="false">1+A1847</f>
        <v>1846</v>
      </c>
      <c r="B1848" s="14" t="n">
        <v>1009091473</v>
      </c>
      <c r="C1848" s="15" t="s">
        <v>414</v>
      </c>
      <c r="D1848" s="16" t="s">
        <v>64</v>
      </c>
      <c r="E1848" s="17" t="s">
        <v>64</v>
      </c>
      <c r="F1848" s="18" t="s">
        <v>34</v>
      </c>
      <c r="G1848" s="19" t="n">
        <v>134037561369</v>
      </c>
      <c r="H1848" s="17" t="s">
        <v>134</v>
      </c>
      <c r="I1848" s="17" t="s">
        <v>44</v>
      </c>
      <c r="J1848" s="17" t="s">
        <v>106</v>
      </c>
      <c r="K1848" s="17" t="str">
        <f aca="false">VLOOKUP(J1848,Sheet2!A:B,2,0)</f>
        <v>PRAKASH CHAVDA</v>
      </c>
      <c r="L1848" s="17" t="n">
        <v>5</v>
      </c>
      <c r="M1848" s="17" t="str">
        <f aca="false">VLOOKUP(L1848,Sheet2!D:E,2,0)</f>
        <v>Main Processor CPU BGA</v>
      </c>
      <c r="N1848" s="17" t="n">
        <v>24</v>
      </c>
      <c r="O1848" s="17" t="str">
        <f aca="false">VLOOKUP(N1848,Sheet2!G:H,2,0)</f>
        <v>STB Auto moving -Stand by mode</v>
      </c>
      <c r="P1848" s="17" t="n">
        <v>12</v>
      </c>
      <c r="Q1848" s="17" t="str">
        <f aca="false">VLOOKUP(P1848,Sheet2!J:K,2,0)</f>
        <v>IR Declared due to Others ( IR Normal)TB</v>
      </c>
      <c r="R1848" s="17" t="s">
        <v>35</v>
      </c>
      <c r="S1848" s="17" t="str">
        <f aca="false">VLOOKUP(R1848,Sheet2!N:O,2,0)</f>
        <v>IREPARABLE</v>
      </c>
      <c r="T1848" s="18" t="str">
        <f aca="false">VLOOKUP(P1848,Sheet2!Q:R,2,0)</f>
        <v>IR Normal - BER to IR</v>
      </c>
      <c r="U1848" s="20" t="s">
        <v>135</v>
      </c>
      <c r="V1848" s="17" t="n">
        <v>12</v>
      </c>
      <c r="W1848" s="20" t="str">
        <f aca="false">VLOOKUP(V1848,Sheet2!Q:R,2,0)</f>
        <v>IR Normal - BER to IR</v>
      </c>
      <c r="X1848" s="17" t="str">
        <f aca="false">J1848</f>
        <v>A018</v>
      </c>
      <c r="Y1848" s="17" t="str">
        <f aca="false">VLOOKUP(X1848,Sheet2!A:B,2,0)</f>
        <v>PRAKASH CHAVDA</v>
      </c>
      <c r="Z1848" s="17" t="s">
        <v>136</v>
      </c>
      <c r="AA1848" s="17" t="s">
        <v>919</v>
      </c>
      <c r="AB1848" s="17" t="s">
        <v>41</v>
      </c>
      <c r="AC1848" s="0" t="str">
        <f aca="false">LEFT(G1848,2)</f>
        <v>13</v>
      </c>
      <c r="AE1848" s="21" t="s">
        <v>238</v>
      </c>
    </row>
    <row r="1849" customFormat="false" ht="15" hidden="false" customHeight="false" outlineLevel="0" collapsed="false">
      <c r="A1849" s="13" t="n">
        <f aca="false">1+A1848</f>
        <v>1847</v>
      </c>
      <c r="B1849" s="14" t="n">
        <v>1008810660</v>
      </c>
      <c r="C1849" s="15" t="s">
        <v>438</v>
      </c>
      <c r="D1849" s="16" t="s">
        <v>64</v>
      </c>
      <c r="E1849" s="17" t="s">
        <v>64</v>
      </c>
      <c r="F1849" s="18" t="s">
        <v>34</v>
      </c>
      <c r="G1849" s="19" t="n">
        <v>134211151599</v>
      </c>
      <c r="H1849" s="17" t="s">
        <v>134</v>
      </c>
      <c r="I1849" s="17" t="s">
        <v>44</v>
      </c>
      <c r="J1849" s="17" t="s">
        <v>106</v>
      </c>
      <c r="K1849" s="17" t="str">
        <f aca="false">VLOOKUP(J1849,Sheet2!A:B,2,0)</f>
        <v>PRAKASH CHAVDA</v>
      </c>
      <c r="L1849" s="17" t="n">
        <v>1</v>
      </c>
      <c r="M1849" s="17" t="str">
        <f aca="false">VLOOKUP(L1849,Sheet2!D:E,2,0)</f>
        <v>Power Supply Section</v>
      </c>
      <c r="N1849" s="17" t="n">
        <v>1</v>
      </c>
      <c r="O1849" s="17" t="str">
        <f aca="false">VLOOKUP(N1849,Sheet2!G:H,2,0)</f>
        <v>Dead</v>
      </c>
      <c r="P1849" s="17" t="n">
        <v>12</v>
      </c>
      <c r="Q1849" s="17" t="str">
        <f aca="false">VLOOKUP(P1849,Sheet2!J:K,2,0)</f>
        <v>IR Declared due to Others ( IR Normal)TB</v>
      </c>
      <c r="R1849" s="17" t="s">
        <v>35</v>
      </c>
      <c r="S1849" s="17" t="str">
        <f aca="false">VLOOKUP(R1849,Sheet2!N:O,2,0)</f>
        <v>IREPARABLE</v>
      </c>
      <c r="T1849" s="18" t="str">
        <f aca="false">VLOOKUP(P1849,Sheet2!Q:R,2,0)</f>
        <v>IR Normal - BER to IR</v>
      </c>
      <c r="U1849" s="20" t="s">
        <v>135</v>
      </c>
      <c r="V1849" s="17" t="n">
        <v>12</v>
      </c>
      <c r="W1849" s="20" t="str">
        <f aca="false">VLOOKUP(V1849,Sheet2!Q:R,2,0)</f>
        <v>IR Normal - BER to IR</v>
      </c>
      <c r="X1849" s="17" t="str">
        <f aca="false">J1849</f>
        <v>A018</v>
      </c>
      <c r="Y1849" s="17" t="str">
        <f aca="false">VLOOKUP(X1849,Sheet2!A:B,2,0)</f>
        <v>PRAKASH CHAVDA</v>
      </c>
      <c r="Z1849" s="17" t="s">
        <v>136</v>
      </c>
      <c r="AA1849" s="17" t="s">
        <v>919</v>
      </c>
      <c r="AB1849" s="17" t="s">
        <v>41</v>
      </c>
      <c r="AC1849" s="0" t="str">
        <f aca="false">LEFT(G1849,2)</f>
        <v>13</v>
      </c>
      <c r="AE1849" s="21" t="s">
        <v>238</v>
      </c>
    </row>
    <row r="1850" customFormat="false" ht="15" hidden="false" customHeight="false" outlineLevel="0" collapsed="false">
      <c r="A1850" s="13" t="n">
        <f aca="false">1+A1849</f>
        <v>1848</v>
      </c>
      <c r="B1850" s="14" t="n">
        <v>1008860309</v>
      </c>
      <c r="C1850" s="15" t="s">
        <v>934</v>
      </c>
      <c r="D1850" s="16" t="s">
        <v>147</v>
      </c>
      <c r="E1850" s="17" t="s">
        <v>47</v>
      </c>
      <c r="F1850" s="18" t="s">
        <v>34</v>
      </c>
      <c r="G1850" s="19" t="n">
        <v>134211085987</v>
      </c>
      <c r="H1850" s="17" t="s">
        <v>134</v>
      </c>
      <c r="I1850" s="17" t="s">
        <v>44</v>
      </c>
      <c r="J1850" s="17" t="s">
        <v>106</v>
      </c>
      <c r="K1850" s="17" t="str">
        <f aca="false">VLOOKUP(J1850,Sheet2!A:B,2,0)</f>
        <v>PRAKASH CHAVDA</v>
      </c>
      <c r="L1850" s="17" t="n">
        <v>5</v>
      </c>
      <c r="M1850" s="17" t="str">
        <f aca="false">VLOOKUP(L1850,Sheet2!D:E,2,0)</f>
        <v>Main Processor CPU BGA</v>
      </c>
      <c r="N1850" s="17" t="n">
        <v>1</v>
      </c>
      <c r="O1850" s="17" t="str">
        <f aca="false">VLOOKUP(N1850,Sheet2!G:H,2,0)</f>
        <v>Dead</v>
      </c>
      <c r="P1850" s="17" t="n">
        <v>12</v>
      </c>
      <c r="Q1850" s="17" t="str">
        <f aca="false">VLOOKUP(P1850,Sheet2!J:K,2,0)</f>
        <v>IR Declared due to Others ( IR Normal)TB</v>
      </c>
      <c r="R1850" s="17" t="s">
        <v>35</v>
      </c>
      <c r="S1850" s="17" t="str">
        <f aca="false">VLOOKUP(R1850,Sheet2!N:O,2,0)</f>
        <v>IREPARABLE</v>
      </c>
      <c r="T1850" s="18" t="str">
        <f aca="false">VLOOKUP(P1850,Sheet2!Q:R,2,0)</f>
        <v>IR Normal - BER to IR</v>
      </c>
      <c r="U1850" s="20" t="s">
        <v>135</v>
      </c>
      <c r="V1850" s="17" t="n">
        <v>12</v>
      </c>
      <c r="W1850" s="20" t="str">
        <f aca="false">VLOOKUP(V1850,Sheet2!Q:R,2,0)</f>
        <v>IR Normal - BER to IR</v>
      </c>
      <c r="X1850" s="17" t="str">
        <f aca="false">J1850</f>
        <v>A018</v>
      </c>
      <c r="Y1850" s="17" t="str">
        <f aca="false">VLOOKUP(X1850,Sheet2!A:B,2,0)</f>
        <v>PRAKASH CHAVDA</v>
      </c>
      <c r="Z1850" s="17" t="s">
        <v>136</v>
      </c>
      <c r="AA1850" s="17" t="s">
        <v>919</v>
      </c>
      <c r="AB1850" s="17" t="s">
        <v>41</v>
      </c>
      <c r="AC1850" s="0" t="str">
        <f aca="false">LEFT(G1850,2)</f>
        <v>13</v>
      </c>
      <c r="AE1850" s="21" t="s">
        <v>238</v>
      </c>
    </row>
    <row r="1851" customFormat="false" ht="15" hidden="false" customHeight="false" outlineLevel="0" collapsed="false">
      <c r="A1851" s="13" t="n">
        <f aca="false">1+A1850</f>
        <v>1849</v>
      </c>
      <c r="B1851" s="14" t="n">
        <v>1008887578</v>
      </c>
      <c r="C1851" s="15" t="s">
        <v>932</v>
      </c>
      <c r="D1851" s="16" t="s">
        <v>64</v>
      </c>
      <c r="E1851" s="17" t="s">
        <v>47</v>
      </c>
      <c r="F1851" s="18" t="s">
        <v>34</v>
      </c>
      <c r="G1851" s="19" t="n">
        <v>134127220256</v>
      </c>
      <c r="H1851" s="17" t="s">
        <v>134</v>
      </c>
      <c r="I1851" s="17" t="s">
        <v>44</v>
      </c>
      <c r="J1851" s="17" t="s">
        <v>106</v>
      </c>
      <c r="K1851" s="17" t="str">
        <f aca="false">VLOOKUP(J1851,Sheet2!A:B,2,0)</f>
        <v>PRAKASH CHAVDA</v>
      </c>
      <c r="L1851" s="17" t="n">
        <v>5</v>
      </c>
      <c r="M1851" s="17" t="str">
        <f aca="false">VLOOKUP(L1851,Sheet2!D:E,2,0)</f>
        <v>Main Processor CPU BGA</v>
      </c>
      <c r="N1851" s="17" t="n">
        <v>1</v>
      </c>
      <c r="O1851" s="17" t="str">
        <f aca="false">VLOOKUP(N1851,Sheet2!G:H,2,0)</f>
        <v>Dead</v>
      </c>
      <c r="P1851" s="17" t="n">
        <v>12</v>
      </c>
      <c r="Q1851" s="17" t="str">
        <f aca="false">VLOOKUP(P1851,Sheet2!J:K,2,0)</f>
        <v>IR Declared due to Others ( IR Normal)TB</v>
      </c>
      <c r="R1851" s="17" t="s">
        <v>35</v>
      </c>
      <c r="S1851" s="17" t="str">
        <f aca="false">VLOOKUP(R1851,Sheet2!N:O,2,0)</f>
        <v>IREPARABLE</v>
      </c>
      <c r="T1851" s="18" t="str">
        <f aca="false">VLOOKUP(P1851,Sheet2!Q:R,2,0)</f>
        <v>IR Normal - BER to IR</v>
      </c>
      <c r="U1851" s="20" t="s">
        <v>135</v>
      </c>
      <c r="V1851" s="17" t="n">
        <v>12</v>
      </c>
      <c r="W1851" s="20" t="str">
        <f aca="false">VLOOKUP(V1851,Sheet2!Q:R,2,0)</f>
        <v>IR Normal - BER to IR</v>
      </c>
      <c r="X1851" s="17" t="str">
        <f aca="false">J1851</f>
        <v>A018</v>
      </c>
      <c r="Y1851" s="17" t="str">
        <f aca="false">VLOOKUP(X1851,Sheet2!A:B,2,0)</f>
        <v>PRAKASH CHAVDA</v>
      </c>
      <c r="Z1851" s="17" t="s">
        <v>136</v>
      </c>
      <c r="AA1851" s="17" t="s">
        <v>919</v>
      </c>
      <c r="AB1851" s="17" t="s">
        <v>41</v>
      </c>
      <c r="AC1851" s="0" t="str">
        <f aca="false">LEFT(G1851,2)</f>
        <v>13</v>
      </c>
      <c r="AE1851" s="21" t="s">
        <v>238</v>
      </c>
    </row>
    <row r="1852" customFormat="false" ht="15" hidden="false" customHeight="false" outlineLevel="0" collapsed="false">
      <c r="A1852" s="13" t="n">
        <f aca="false">1+A1851</f>
        <v>1850</v>
      </c>
      <c r="B1852" s="14" t="n">
        <v>1008826086</v>
      </c>
      <c r="C1852" s="15" t="s">
        <v>934</v>
      </c>
      <c r="D1852" s="16" t="s">
        <v>64</v>
      </c>
      <c r="E1852" s="17" t="s">
        <v>939</v>
      </c>
      <c r="F1852" s="18" t="s">
        <v>34</v>
      </c>
      <c r="G1852" s="19" t="n">
        <v>134211033748</v>
      </c>
      <c r="H1852" s="17" t="s">
        <v>134</v>
      </c>
      <c r="I1852" s="17" t="s">
        <v>44</v>
      </c>
      <c r="J1852" s="17" t="s">
        <v>106</v>
      </c>
      <c r="K1852" s="17" t="str">
        <f aca="false">VLOOKUP(J1852,Sheet2!A:B,2,0)</f>
        <v>PRAKASH CHAVDA</v>
      </c>
      <c r="L1852" s="17" t="n">
        <v>5</v>
      </c>
      <c r="M1852" s="17" t="str">
        <f aca="false">VLOOKUP(L1852,Sheet2!D:E,2,0)</f>
        <v>Main Processor CPU BGA</v>
      </c>
      <c r="N1852" s="17" t="n">
        <v>1</v>
      </c>
      <c r="O1852" s="17" t="str">
        <f aca="false">VLOOKUP(N1852,Sheet2!G:H,2,0)</f>
        <v>Dead</v>
      </c>
      <c r="P1852" s="17" t="n">
        <v>12</v>
      </c>
      <c r="Q1852" s="17" t="str">
        <f aca="false">VLOOKUP(P1852,Sheet2!J:K,2,0)</f>
        <v>IR Declared due to Others ( IR Normal)TB</v>
      </c>
      <c r="R1852" s="17" t="s">
        <v>35</v>
      </c>
      <c r="S1852" s="17" t="str">
        <f aca="false">VLOOKUP(R1852,Sheet2!N:O,2,0)</f>
        <v>IREPARABLE</v>
      </c>
      <c r="T1852" s="18" t="str">
        <f aca="false">VLOOKUP(P1852,Sheet2!Q:R,2,0)</f>
        <v>IR Normal - BER to IR</v>
      </c>
      <c r="U1852" s="20" t="s">
        <v>135</v>
      </c>
      <c r="V1852" s="17" t="n">
        <v>12</v>
      </c>
      <c r="W1852" s="20" t="str">
        <f aca="false">VLOOKUP(V1852,Sheet2!Q:R,2,0)</f>
        <v>IR Normal - BER to IR</v>
      </c>
      <c r="X1852" s="17" t="str">
        <f aca="false">J1852</f>
        <v>A018</v>
      </c>
      <c r="Y1852" s="17" t="str">
        <f aca="false">VLOOKUP(X1852,Sheet2!A:B,2,0)</f>
        <v>PRAKASH CHAVDA</v>
      </c>
      <c r="Z1852" s="17" t="s">
        <v>136</v>
      </c>
      <c r="AA1852" s="17" t="s">
        <v>919</v>
      </c>
      <c r="AB1852" s="17" t="s">
        <v>41</v>
      </c>
      <c r="AC1852" s="0" t="str">
        <f aca="false">LEFT(G1852,2)</f>
        <v>13</v>
      </c>
      <c r="AE1852" s="21" t="s">
        <v>238</v>
      </c>
    </row>
    <row r="1853" customFormat="false" ht="15" hidden="false" customHeight="false" outlineLevel="0" collapsed="false">
      <c r="A1853" s="13" t="n">
        <f aca="false">1+A1852</f>
        <v>1851</v>
      </c>
      <c r="B1853" s="14" t="n">
        <v>1008888151</v>
      </c>
      <c r="C1853" s="15" t="s">
        <v>837</v>
      </c>
      <c r="D1853" s="16" t="s">
        <v>144</v>
      </c>
      <c r="E1853" s="17" t="s">
        <v>91</v>
      </c>
      <c r="F1853" s="18" t="s">
        <v>34</v>
      </c>
      <c r="G1853" s="19" t="n">
        <v>134119326756</v>
      </c>
      <c r="H1853" s="17" t="s">
        <v>134</v>
      </c>
      <c r="I1853" s="17" t="s">
        <v>44</v>
      </c>
      <c r="J1853" s="17" t="s">
        <v>106</v>
      </c>
      <c r="K1853" s="17" t="str">
        <f aca="false">VLOOKUP(J1853,Sheet2!A:B,2,0)</f>
        <v>PRAKASH CHAVDA</v>
      </c>
      <c r="L1853" s="17" t="n">
        <v>5</v>
      </c>
      <c r="M1853" s="17" t="str">
        <f aca="false">VLOOKUP(L1853,Sheet2!D:E,2,0)</f>
        <v>Main Processor CPU BGA</v>
      </c>
      <c r="N1853" s="17" t="n">
        <v>1</v>
      </c>
      <c r="O1853" s="17" t="str">
        <f aca="false">VLOOKUP(N1853,Sheet2!G:H,2,0)</f>
        <v>Dead</v>
      </c>
      <c r="P1853" s="17" t="n">
        <v>12</v>
      </c>
      <c r="Q1853" s="17" t="str">
        <f aca="false">VLOOKUP(P1853,Sheet2!J:K,2,0)</f>
        <v>IR Declared due to Others ( IR Normal)TB</v>
      </c>
      <c r="R1853" s="17" t="s">
        <v>35</v>
      </c>
      <c r="S1853" s="17" t="str">
        <f aca="false">VLOOKUP(R1853,Sheet2!N:O,2,0)</f>
        <v>IREPARABLE</v>
      </c>
      <c r="T1853" s="18" t="str">
        <f aca="false">VLOOKUP(P1853,Sheet2!Q:R,2,0)</f>
        <v>IR Normal - BER to IR</v>
      </c>
      <c r="U1853" s="20" t="s">
        <v>135</v>
      </c>
      <c r="V1853" s="17" t="n">
        <v>12</v>
      </c>
      <c r="W1853" s="20" t="str">
        <f aca="false">VLOOKUP(V1853,Sheet2!Q:R,2,0)</f>
        <v>IR Normal - BER to IR</v>
      </c>
      <c r="X1853" s="17" t="str">
        <f aca="false">J1853</f>
        <v>A018</v>
      </c>
      <c r="Y1853" s="17" t="str">
        <f aca="false">VLOOKUP(X1853,Sheet2!A:B,2,0)</f>
        <v>PRAKASH CHAVDA</v>
      </c>
      <c r="Z1853" s="17" t="s">
        <v>136</v>
      </c>
      <c r="AA1853" s="17" t="s">
        <v>919</v>
      </c>
      <c r="AB1853" s="17" t="s">
        <v>41</v>
      </c>
      <c r="AC1853" s="0" t="str">
        <f aca="false">LEFT(G1853,2)</f>
        <v>13</v>
      </c>
      <c r="AE1853" s="21" t="s">
        <v>238</v>
      </c>
    </row>
    <row r="1854" customFormat="false" ht="15" hidden="false" customHeight="false" outlineLevel="0" collapsed="false">
      <c r="A1854" s="13" t="n">
        <f aca="false">1+A1853</f>
        <v>1852</v>
      </c>
      <c r="B1854" s="14" t="n">
        <v>1008875207</v>
      </c>
      <c r="C1854" s="15" t="s">
        <v>940</v>
      </c>
      <c r="D1854" s="16" t="s">
        <v>202</v>
      </c>
      <c r="E1854" s="17" t="s">
        <v>33</v>
      </c>
      <c r="F1854" s="18" t="s">
        <v>34</v>
      </c>
      <c r="G1854" s="19" t="n">
        <v>134127483177</v>
      </c>
      <c r="H1854" s="17" t="s">
        <v>134</v>
      </c>
      <c r="I1854" s="17" t="s">
        <v>44</v>
      </c>
      <c r="J1854" s="17" t="s">
        <v>106</v>
      </c>
      <c r="K1854" s="17" t="str">
        <f aca="false">VLOOKUP(J1854,Sheet2!A:B,2,0)</f>
        <v>PRAKASH CHAVDA</v>
      </c>
      <c r="L1854" s="17" t="n">
        <v>5</v>
      </c>
      <c r="M1854" s="17" t="str">
        <f aca="false">VLOOKUP(L1854,Sheet2!D:E,2,0)</f>
        <v>Main Processor CPU BGA</v>
      </c>
      <c r="N1854" s="17" t="n">
        <v>1</v>
      </c>
      <c r="O1854" s="17" t="str">
        <f aca="false">VLOOKUP(N1854,Sheet2!G:H,2,0)</f>
        <v>Dead</v>
      </c>
      <c r="P1854" s="17" t="n">
        <v>12</v>
      </c>
      <c r="Q1854" s="17" t="str">
        <f aca="false">VLOOKUP(P1854,Sheet2!J:K,2,0)</f>
        <v>IR Declared due to Others ( IR Normal)TB</v>
      </c>
      <c r="R1854" s="17" t="s">
        <v>35</v>
      </c>
      <c r="S1854" s="17" t="str">
        <f aca="false">VLOOKUP(R1854,Sheet2!N:O,2,0)</f>
        <v>IREPARABLE</v>
      </c>
      <c r="T1854" s="18" t="str">
        <f aca="false">VLOOKUP(P1854,Sheet2!Q:R,2,0)</f>
        <v>IR Normal - BER to IR</v>
      </c>
      <c r="U1854" s="20" t="s">
        <v>135</v>
      </c>
      <c r="V1854" s="17" t="n">
        <v>12</v>
      </c>
      <c r="W1854" s="20" t="str">
        <f aca="false">VLOOKUP(V1854,Sheet2!Q:R,2,0)</f>
        <v>IR Normal - BER to IR</v>
      </c>
      <c r="X1854" s="17" t="str">
        <f aca="false">J1854</f>
        <v>A018</v>
      </c>
      <c r="Y1854" s="17" t="str">
        <f aca="false">VLOOKUP(X1854,Sheet2!A:B,2,0)</f>
        <v>PRAKASH CHAVDA</v>
      </c>
      <c r="Z1854" s="17" t="s">
        <v>136</v>
      </c>
      <c r="AA1854" s="17" t="s">
        <v>919</v>
      </c>
      <c r="AB1854" s="17" t="s">
        <v>41</v>
      </c>
      <c r="AC1854" s="0" t="str">
        <f aca="false">LEFT(G1854,2)</f>
        <v>13</v>
      </c>
      <c r="AE1854" s="21" t="s">
        <v>238</v>
      </c>
    </row>
    <row r="1855" customFormat="false" ht="15" hidden="false" customHeight="false" outlineLevel="0" collapsed="false">
      <c r="A1855" s="13" t="n">
        <f aca="false">1+A1854</f>
        <v>1853</v>
      </c>
      <c r="B1855" s="14" t="n">
        <v>1008808726</v>
      </c>
      <c r="C1855" s="15" t="s">
        <v>438</v>
      </c>
      <c r="D1855" s="16" t="s">
        <v>64</v>
      </c>
      <c r="E1855" s="17" t="s">
        <v>255</v>
      </c>
      <c r="F1855" s="18" t="s">
        <v>34</v>
      </c>
      <c r="G1855" s="19" t="n">
        <v>135194022889</v>
      </c>
      <c r="H1855" s="17" t="s">
        <v>134</v>
      </c>
      <c r="I1855" s="17" t="s">
        <v>44</v>
      </c>
      <c r="J1855" s="17" t="s">
        <v>106</v>
      </c>
      <c r="K1855" s="17" t="str">
        <f aca="false">VLOOKUP(J1855,Sheet2!A:B,2,0)</f>
        <v>PRAKASH CHAVDA</v>
      </c>
      <c r="L1855" s="17" t="n">
        <v>1</v>
      </c>
      <c r="M1855" s="17" t="str">
        <f aca="false">VLOOKUP(L1855,Sheet2!D:E,2,0)</f>
        <v>Power Supply Section</v>
      </c>
      <c r="N1855" s="17" t="n">
        <v>1</v>
      </c>
      <c r="O1855" s="17" t="str">
        <f aca="false">VLOOKUP(N1855,Sheet2!G:H,2,0)</f>
        <v>Dead</v>
      </c>
      <c r="P1855" s="17" t="n">
        <v>12</v>
      </c>
      <c r="Q1855" s="17" t="str">
        <f aca="false">VLOOKUP(P1855,Sheet2!J:K,2,0)</f>
        <v>IR Declared due to Others ( IR Normal)TB</v>
      </c>
      <c r="R1855" s="17" t="s">
        <v>35</v>
      </c>
      <c r="S1855" s="17" t="str">
        <f aca="false">VLOOKUP(R1855,Sheet2!N:O,2,0)</f>
        <v>IREPARABLE</v>
      </c>
      <c r="T1855" s="18" t="str">
        <f aca="false">VLOOKUP(P1855,Sheet2!Q:R,2,0)</f>
        <v>IR Normal - BER to IR</v>
      </c>
      <c r="U1855" s="20" t="s">
        <v>135</v>
      </c>
      <c r="V1855" s="17" t="n">
        <v>12</v>
      </c>
      <c r="W1855" s="20" t="str">
        <f aca="false">VLOOKUP(V1855,Sheet2!Q:R,2,0)</f>
        <v>IR Normal - BER to IR</v>
      </c>
      <c r="X1855" s="17" t="str">
        <f aca="false">J1855</f>
        <v>A018</v>
      </c>
      <c r="Y1855" s="17" t="str">
        <f aca="false">VLOOKUP(X1855,Sheet2!A:B,2,0)</f>
        <v>PRAKASH CHAVDA</v>
      </c>
      <c r="Z1855" s="17" t="s">
        <v>136</v>
      </c>
      <c r="AA1855" s="17" t="s">
        <v>919</v>
      </c>
      <c r="AB1855" s="17" t="s">
        <v>41</v>
      </c>
      <c r="AC1855" s="0" t="str">
        <f aca="false">LEFT(G1855,2)</f>
        <v>13</v>
      </c>
      <c r="AE1855" s="21" t="s">
        <v>238</v>
      </c>
    </row>
    <row r="1856" customFormat="false" ht="15" hidden="false" customHeight="false" outlineLevel="0" collapsed="false">
      <c r="A1856" s="13" t="n">
        <f aca="false">1+A1855</f>
        <v>1854</v>
      </c>
      <c r="B1856" s="14" t="n">
        <v>1008843629</v>
      </c>
      <c r="C1856" s="17" t="s">
        <v>841</v>
      </c>
      <c r="D1856" s="16" t="s">
        <v>64</v>
      </c>
      <c r="E1856" s="17" t="s">
        <v>64</v>
      </c>
      <c r="F1856" s="18" t="s">
        <v>34</v>
      </c>
      <c r="G1856" s="19" t="n">
        <v>134268231781</v>
      </c>
      <c r="H1856" s="17" t="s">
        <v>134</v>
      </c>
      <c r="I1856" s="17" t="s">
        <v>44</v>
      </c>
      <c r="J1856" s="17" t="s">
        <v>106</v>
      </c>
      <c r="K1856" s="17" t="str">
        <f aca="false">VLOOKUP(J1856,Sheet2!A:B,2,0)</f>
        <v>PRAKASH CHAVDA</v>
      </c>
      <c r="L1856" s="17" t="n">
        <v>5</v>
      </c>
      <c r="M1856" s="17" t="str">
        <f aca="false">VLOOKUP(L1856,Sheet2!D:E,2,0)</f>
        <v>Main Processor CPU BGA</v>
      </c>
      <c r="N1856" s="17" t="n">
        <v>1</v>
      </c>
      <c r="O1856" s="17" t="str">
        <f aca="false">VLOOKUP(N1856,Sheet2!G:H,2,0)</f>
        <v>Dead</v>
      </c>
      <c r="P1856" s="17" t="n">
        <v>12</v>
      </c>
      <c r="Q1856" s="17" t="str">
        <f aca="false">VLOOKUP(P1856,Sheet2!J:K,2,0)</f>
        <v>IR Declared due to Others ( IR Normal)TB</v>
      </c>
      <c r="R1856" s="17" t="s">
        <v>35</v>
      </c>
      <c r="S1856" s="17" t="str">
        <f aca="false">VLOOKUP(R1856,Sheet2!N:O,2,0)</f>
        <v>IREPARABLE</v>
      </c>
      <c r="T1856" s="18" t="str">
        <f aca="false">VLOOKUP(P1856,Sheet2!Q:R,2,0)</f>
        <v>IR Normal - BER to IR</v>
      </c>
      <c r="U1856" s="20" t="s">
        <v>135</v>
      </c>
      <c r="V1856" s="17" t="n">
        <v>12</v>
      </c>
      <c r="W1856" s="20" t="str">
        <f aca="false">VLOOKUP(V1856,Sheet2!Q:R,2,0)</f>
        <v>IR Normal - BER to IR</v>
      </c>
      <c r="X1856" s="17" t="str">
        <f aca="false">J1856</f>
        <v>A018</v>
      </c>
      <c r="Y1856" s="17" t="str">
        <f aca="false">VLOOKUP(X1856,Sheet2!A:B,2,0)</f>
        <v>PRAKASH CHAVDA</v>
      </c>
      <c r="Z1856" s="17" t="s">
        <v>136</v>
      </c>
      <c r="AA1856" s="17" t="s">
        <v>919</v>
      </c>
      <c r="AB1856" s="17" t="s">
        <v>41</v>
      </c>
      <c r="AC1856" s="0" t="str">
        <f aca="false">LEFT(G1856,2)</f>
        <v>13</v>
      </c>
      <c r="AE1856" s="21" t="s">
        <v>238</v>
      </c>
    </row>
    <row r="1857" customFormat="false" ht="15" hidden="false" customHeight="false" outlineLevel="0" collapsed="false">
      <c r="A1857" s="13" t="n">
        <f aca="false">1+A1856</f>
        <v>1855</v>
      </c>
      <c r="B1857" s="14" t="n">
        <v>1008485450</v>
      </c>
      <c r="C1857" s="17" t="s">
        <v>464</v>
      </c>
      <c r="D1857" s="16" t="s">
        <v>64</v>
      </c>
      <c r="E1857" s="17" t="s">
        <v>47</v>
      </c>
      <c r="F1857" s="18" t="s">
        <v>34</v>
      </c>
      <c r="G1857" s="19" t="n">
        <v>134283204763</v>
      </c>
      <c r="H1857" s="17" t="s">
        <v>134</v>
      </c>
      <c r="I1857" s="17" t="s">
        <v>44</v>
      </c>
      <c r="J1857" s="17" t="s">
        <v>106</v>
      </c>
      <c r="K1857" s="17" t="str">
        <f aca="false">VLOOKUP(J1857,Sheet2!A:B,2,0)</f>
        <v>PRAKASH CHAVDA</v>
      </c>
      <c r="L1857" s="17" t="n">
        <v>5</v>
      </c>
      <c r="M1857" s="17" t="str">
        <f aca="false">VLOOKUP(L1857,Sheet2!D:E,2,0)</f>
        <v>Main Processor CPU BGA</v>
      </c>
      <c r="N1857" s="17" t="n">
        <v>1</v>
      </c>
      <c r="O1857" s="17" t="str">
        <f aca="false">VLOOKUP(N1857,Sheet2!G:H,2,0)</f>
        <v>Dead</v>
      </c>
      <c r="P1857" s="17" t="n">
        <v>12</v>
      </c>
      <c r="Q1857" s="17" t="str">
        <f aca="false">VLOOKUP(P1857,Sheet2!J:K,2,0)</f>
        <v>IR Declared due to Others ( IR Normal)TB</v>
      </c>
      <c r="R1857" s="17" t="s">
        <v>35</v>
      </c>
      <c r="S1857" s="17" t="str">
        <f aca="false">VLOOKUP(R1857,Sheet2!N:O,2,0)</f>
        <v>IREPARABLE</v>
      </c>
      <c r="T1857" s="18" t="str">
        <f aca="false">VLOOKUP(P1857,Sheet2!Q:R,2,0)</f>
        <v>IR Normal - BER to IR</v>
      </c>
      <c r="U1857" s="20" t="s">
        <v>135</v>
      </c>
      <c r="V1857" s="17" t="n">
        <v>12</v>
      </c>
      <c r="W1857" s="20" t="str">
        <f aca="false">VLOOKUP(V1857,Sheet2!Q:R,2,0)</f>
        <v>IR Normal - BER to IR</v>
      </c>
      <c r="X1857" s="17" t="str">
        <f aca="false">J1857</f>
        <v>A018</v>
      </c>
      <c r="Y1857" s="17" t="str">
        <f aca="false">VLOOKUP(X1857,Sheet2!A:B,2,0)</f>
        <v>PRAKASH CHAVDA</v>
      </c>
      <c r="Z1857" s="17" t="s">
        <v>136</v>
      </c>
      <c r="AA1857" s="17" t="s">
        <v>919</v>
      </c>
      <c r="AB1857" s="17" t="s">
        <v>41</v>
      </c>
      <c r="AC1857" s="0" t="str">
        <f aca="false">LEFT(G1857,2)</f>
        <v>13</v>
      </c>
      <c r="AE1857" s="21" t="s">
        <v>238</v>
      </c>
    </row>
    <row r="1858" customFormat="false" ht="15" hidden="false" customHeight="false" outlineLevel="0" collapsed="false">
      <c r="A1858" s="13" t="n">
        <f aca="false">1+A1857</f>
        <v>1856</v>
      </c>
      <c r="B1858" s="14" t="n">
        <v>1008858957</v>
      </c>
      <c r="C1858" s="17" t="s">
        <v>934</v>
      </c>
      <c r="D1858" s="16" t="s">
        <v>655</v>
      </c>
      <c r="E1858" s="17" t="s">
        <v>47</v>
      </c>
      <c r="F1858" s="18" t="s">
        <v>34</v>
      </c>
      <c r="G1858" s="19" t="n">
        <v>134056451757</v>
      </c>
      <c r="H1858" s="17" t="s">
        <v>134</v>
      </c>
      <c r="I1858" s="17" t="s">
        <v>44</v>
      </c>
      <c r="J1858" s="17" t="s">
        <v>106</v>
      </c>
      <c r="K1858" s="17" t="str">
        <f aca="false">VLOOKUP(J1858,Sheet2!A:B,2,0)</f>
        <v>PRAKASH CHAVDA</v>
      </c>
      <c r="L1858" s="17" t="n">
        <v>5</v>
      </c>
      <c r="M1858" s="17" t="str">
        <f aca="false">VLOOKUP(L1858,Sheet2!D:E,2,0)</f>
        <v>Main Processor CPU BGA</v>
      </c>
      <c r="N1858" s="17" t="n">
        <v>1</v>
      </c>
      <c r="O1858" s="17" t="str">
        <f aca="false">VLOOKUP(N1858,Sheet2!G:H,2,0)</f>
        <v>Dead</v>
      </c>
      <c r="P1858" s="17" t="n">
        <v>12</v>
      </c>
      <c r="Q1858" s="17" t="str">
        <f aca="false">VLOOKUP(P1858,Sheet2!J:K,2,0)</f>
        <v>IR Declared due to Others ( IR Normal)TB</v>
      </c>
      <c r="R1858" s="17" t="s">
        <v>35</v>
      </c>
      <c r="S1858" s="17" t="str">
        <f aca="false">VLOOKUP(R1858,Sheet2!N:O,2,0)</f>
        <v>IREPARABLE</v>
      </c>
      <c r="T1858" s="18" t="str">
        <f aca="false">VLOOKUP(P1858,Sheet2!Q:R,2,0)</f>
        <v>IR Normal - BER to IR</v>
      </c>
      <c r="U1858" s="20" t="s">
        <v>135</v>
      </c>
      <c r="V1858" s="17" t="n">
        <v>12</v>
      </c>
      <c r="W1858" s="20" t="str">
        <f aca="false">VLOOKUP(V1858,Sheet2!Q:R,2,0)</f>
        <v>IR Normal - BER to IR</v>
      </c>
      <c r="X1858" s="17" t="str">
        <f aca="false">J1858</f>
        <v>A018</v>
      </c>
      <c r="Y1858" s="17" t="str">
        <f aca="false">VLOOKUP(X1858,Sheet2!A:B,2,0)</f>
        <v>PRAKASH CHAVDA</v>
      </c>
      <c r="Z1858" s="17" t="s">
        <v>136</v>
      </c>
      <c r="AA1858" s="17" t="s">
        <v>919</v>
      </c>
      <c r="AB1858" s="17" t="s">
        <v>41</v>
      </c>
      <c r="AC1858" s="0" t="str">
        <f aca="false">LEFT(G1858,2)</f>
        <v>13</v>
      </c>
      <c r="AE1858" s="21" t="s">
        <v>238</v>
      </c>
    </row>
    <row r="1859" customFormat="false" ht="15" hidden="false" customHeight="false" outlineLevel="0" collapsed="false">
      <c r="A1859" s="13" t="n">
        <f aca="false">1+A1858</f>
        <v>1857</v>
      </c>
      <c r="B1859" s="14" t="n">
        <v>1008867542</v>
      </c>
      <c r="C1859" s="17" t="s">
        <v>463</v>
      </c>
      <c r="D1859" s="16" t="s">
        <v>64</v>
      </c>
      <c r="E1859" s="17" t="s">
        <v>47</v>
      </c>
      <c r="F1859" s="18" t="s">
        <v>34</v>
      </c>
      <c r="G1859" s="19" t="n">
        <v>134203188542</v>
      </c>
      <c r="H1859" s="17" t="s">
        <v>134</v>
      </c>
      <c r="I1859" s="17" t="s">
        <v>44</v>
      </c>
      <c r="J1859" s="17" t="s">
        <v>106</v>
      </c>
      <c r="K1859" s="17" t="str">
        <f aca="false">VLOOKUP(J1859,Sheet2!A:B,2,0)</f>
        <v>PRAKASH CHAVDA</v>
      </c>
      <c r="L1859" s="17" t="n">
        <v>5</v>
      </c>
      <c r="M1859" s="17" t="str">
        <f aca="false">VLOOKUP(L1859,Sheet2!D:E,2,0)</f>
        <v>Main Processor CPU BGA</v>
      </c>
      <c r="N1859" s="17" t="n">
        <v>1</v>
      </c>
      <c r="O1859" s="17" t="str">
        <f aca="false">VLOOKUP(N1859,Sheet2!G:H,2,0)</f>
        <v>Dead</v>
      </c>
      <c r="P1859" s="17" t="n">
        <v>12</v>
      </c>
      <c r="Q1859" s="17" t="str">
        <f aca="false">VLOOKUP(P1859,Sheet2!J:K,2,0)</f>
        <v>IR Declared due to Others ( IR Normal)TB</v>
      </c>
      <c r="R1859" s="17" t="s">
        <v>35</v>
      </c>
      <c r="S1859" s="17" t="str">
        <f aca="false">VLOOKUP(R1859,Sheet2!N:O,2,0)</f>
        <v>IREPARABLE</v>
      </c>
      <c r="T1859" s="18" t="str">
        <f aca="false">VLOOKUP(P1859,Sheet2!Q:R,2,0)</f>
        <v>IR Normal - BER to IR</v>
      </c>
      <c r="U1859" s="20" t="s">
        <v>135</v>
      </c>
      <c r="V1859" s="17" t="n">
        <v>12</v>
      </c>
      <c r="W1859" s="20" t="str">
        <f aca="false">VLOOKUP(V1859,Sheet2!Q:R,2,0)</f>
        <v>IR Normal - BER to IR</v>
      </c>
      <c r="X1859" s="17" t="str">
        <f aca="false">J1859</f>
        <v>A018</v>
      </c>
      <c r="Y1859" s="17" t="str">
        <f aca="false">VLOOKUP(X1859,Sheet2!A:B,2,0)</f>
        <v>PRAKASH CHAVDA</v>
      </c>
      <c r="Z1859" s="17" t="s">
        <v>136</v>
      </c>
      <c r="AA1859" s="17" t="s">
        <v>919</v>
      </c>
      <c r="AB1859" s="17" t="s">
        <v>41</v>
      </c>
      <c r="AC1859" s="0" t="str">
        <f aca="false">LEFT(G1859,2)</f>
        <v>13</v>
      </c>
      <c r="AE1859" s="21" t="s">
        <v>238</v>
      </c>
    </row>
    <row r="1860" customFormat="false" ht="15" hidden="false" customHeight="false" outlineLevel="0" collapsed="false">
      <c r="A1860" s="13" t="n">
        <f aca="false">1+A1859</f>
        <v>1858</v>
      </c>
      <c r="B1860" s="14" t="n">
        <v>1008910067</v>
      </c>
      <c r="C1860" s="17" t="s">
        <v>941</v>
      </c>
      <c r="D1860" s="16" t="s">
        <v>64</v>
      </c>
      <c r="E1860" s="17" t="s">
        <v>64</v>
      </c>
      <c r="F1860" s="18" t="s">
        <v>34</v>
      </c>
      <c r="G1860" s="19" t="n">
        <v>134211110694</v>
      </c>
      <c r="H1860" s="17" t="s">
        <v>134</v>
      </c>
      <c r="I1860" s="17" t="s">
        <v>44</v>
      </c>
      <c r="J1860" s="17" t="s">
        <v>106</v>
      </c>
      <c r="K1860" s="17" t="str">
        <f aca="false">VLOOKUP(J1860,Sheet2!A:B,2,0)</f>
        <v>PRAKASH CHAVDA</v>
      </c>
      <c r="L1860" s="17" t="n">
        <v>5</v>
      </c>
      <c r="M1860" s="17" t="str">
        <f aca="false">VLOOKUP(L1860,Sheet2!D:E,2,0)</f>
        <v>Main Processor CPU BGA</v>
      </c>
      <c r="N1860" s="17" t="n">
        <v>1</v>
      </c>
      <c r="O1860" s="17" t="str">
        <f aca="false">VLOOKUP(N1860,Sheet2!G:H,2,0)</f>
        <v>Dead</v>
      </c>
      <c r="P1860" s="17" t="n">
        <v>12</v>
      </c>
      <c r="Q1860" s="17" t="str">
        <f aca="false">VLOOKUP(P1860,Sheet2!J:K,2,0)</f>
        <v>IR Declared due to Others ( IR Normal)TB</v>
      </c>
      <c r="R1860" s="17" t="s">
        <v>35</v>
      </c>
      <c r="S1860" s="17" t="str">
        <f aca="false">VLOOKUP(R1860,Sheet2!N:O,2,0)</f>
        <v>IREPARABLE</v>
      </c>
      <c r="T1860" s="18" t="str">
        <f aca="false">VLOOKUP(P1860,Sheet2!Q:R,2,0)</f>
        <v>IR Normal - BER to IR</v>
      </c>
      <c r="U1860" s="20" t="s">
        <v>135</v>
      </c>
      <c r="V1860" s="17" t="n">
        <v>12</v>
      </c>
      <c r="W1860" s="20" t="str">
        <f aca="false">VLOOKUP(V1860,Sheet2!Q:R,2,0)</f>
        <v>IR Normal - BER to IR</v>
      </c>
      <c r="X1860" s="17" t="str">
        <f aca="false">J1860</f>
        <v>A018</v>
      </c>
      <c r="Y1860" s="17" t="str">
        <f aca="false">VLOOKUP(X1860,Sheet2!A:B,2,0)</f>
        <v>PRAKASH CHAVDA</v>
      </c>
      <c r="Z1860" s="17" t="s">
        <v>136</v>
      </c>
      <c r="AA1860" s="17" t="s">
        <v>919</v>
      </c>
      <c r="AB1860" s="17" t="s">
        <v>41</v>
      </c>
      <c r="AC1860" s="0" t="str">
        <f aca="false">LEFT(G1860,2)</f>
        <v>13</v>
      </c>
      <c r="AE1860" s="21" t="s">
        <v>238</v>
      </c>
    </row>
    <row r="1861" customFormat="false" ht="15" hidden="false" customHeight="false" outlineLevel="0" collapsed="false">
      <c r="A1861" s="13" t="n">
        <f aca="false">1+A1860</f>
        <v>1859</v>
      </c>
      <c r="B1861" s="14" t="n">
        <v>1008521617</v>
      </c>
      <c r="C1861" s="17" t="s">
        <v>480</v>
      </c>
      <c r="D1861" s="16" t="s">
        <v>64</v>
      </c>
      <c r="E1861" s="17" t="s">
        <v>64</v>
      </c>
      <c r="F1861" s="18" t="s">
        <v>34</v>
      </c>
      <c r="G1861" s="19" t="n">
        <v>134106216937</v>
      </c>
      <c r="H1861" s="17" t="s">
        <v>134</v>
      </c>
      <c r="I1861" s="17" t="s">
        <v>44</v>
      </c>
      <c r="J1861" s="17" t="s">
        <v>106</v>
      </c>
      <c r="K1861" s="17" t="str">
        <f aca="false">VLOOKUP(J1861,Sheet2!A:B,2,0)</f>
        <v>PRAKASH CHAVDA</v>
      </c>
      <c r="L1861" s="17" t="n">
        <v>5</v>
      </c>
      <c r="M1861" s="17" t="str">
        <f aca="false">VLOOKUP(L1861,Sheet2!D:E,2,0)</f>
        <v>Main Processor CPU BGA</v>
      </c>
      <c r="N1861" s="17" t="n">
        <v>1</v>
      </c>
      <c r="O1861" s="17" t="str">
        <f aca="false">VLOOKUP(N1861,Sheet2!G:H,2,0)</f>
        <v>Dead</v>
      </c>
      <c r="P1861" s="17" t="n">
        <v>12</v>
      </c>
      <c r="Q1861" s="17" t="str">
        <f aca="false">VLOOKUP(P1861,Sheet2!J:K,2,0)</f>
        <v>IR Declared due to Others ( IR Normal)TB</v>
      </c>
      <c r="R1861" s="17" t="s">
        <v>35</v>
      </c>
      <c r="S1861" s="17" t="str">
        <f aca="false">VLOOKUP(R1861,Sheet2!N:O,2,0)</f>
        <v>IREPARABLE</v>
      </c>
      <c r="T1861" s="18" t="str">
        <f aca="false">VLOOKUP(P1861,Sheet2!Q:R,2,0)</f>
        <v>IR Normal - BER to IR</v>
      </c>
      <c r="U1861" s="20" t="s">
        <v>135</v>
      </c>
      <c r="V1861" s="17" t="n">
        <v>12</v>
      </c>
      <c r="W1861" s="20" t="str">
        <f aca="false">VLOOKUP(V1861,Sheet2!Q:R,2,0)</f>
        <v>IR Normal - BER to IR</v>
      </c>
      <c r="X1861" s="17" t="str">
        <f aca="false">J1861</f>
        <v>A018</v>
      </c>
      <c r="Y1861" s="17" t="str">
        <f aca="false">VLOOKUP(X1861,Sheet2!A:B,2,0)</f>
        <v>PRAKASH CHAVDA</v>
      </c>
      <c r="Z1861" s="17" t="s">
        <v>136</v>
      </c>
      <c r="AA1861" s="17" t="s">
        <v>919</v>
      </c>
      <c r="AB1861" s="17" t="s">
        <v>41</v>
      </c>
      <c r="AC1861" s="0" t="str">
        <f aca="false">LEFT(G1861,2)</f>
        <v>13</v>
      </c>
      <c r="AE1861" s="21" t="s">
        <v>238</v>
      </c>
    </row>
    <row r="1862" customFormat="false" ht="15" hidden="false" customHeight="false" outlineLevel="0" collapsed="false">
      <c r="A1862" s="13" t="n">
        <f aca="false">1+A1861</f>
        <v>1860</v>
      </c>
      <c r="B1862" s="14" t="n">
        <v>1009435444</v>
      </c>
      <c r="C1862" s="17" t="s">
        <v>31</v>
      </c>
      <c r="D1862" s="16" t="s">
        <v>196</v>
      </c>
      <c r="E1862" s="17" t="s">
        <v>47</v>
      </c>
      <c r="F1862" s="18" t="s">
        <v>34</v>
      </c>
      <c r="G1862" s="19" t="n">
        <v>168150967987</v>
      </c>
      <c r="H1862" s="17" t="s">
        <v>134</v>
      </c>
      <c r="I1862" s="17" t="s">
        <v>44</v>
      </c>
      <c r="J1862" s="17" t="s">
        <v>239</v>
      </c>
      <c r="K1862" s="17" t="str">
        <f aca="false">VLOOKUP(J1862,Sheet2!A:B,2,0)</f>
        <v>VASANT PARMAR</v>
      </c>
      <c r="L1862" s="17" t="n">
        <v>5</v>
      </c>
      <c r="M1862" s="17" t="str">
        <f aca="false">VLOOKUP(L1862,Sheet2!D:E,2,0)</f>
        <v>Main Processor CPU BGA</v>
      </c>
      <c r="N1862" s="17" t="n">
        <v>1</v>
      </c>
      <c r="O1862" s="17" t="str">
        <f aca="false">VLOOKUP(N1862,Sheet2!G:H,2,0)</f>
        <v>Dead</v>
      </c>
      <c r="P1862" s="17" t="n">
        <v>12</v>
      </c>
      <c r="Q1862" s="17" t="str">
        <f aca="false">VLOOKUP(P1862,Sheet2!J:K,2,0)</f>
        <v>IR Declared due to Others ( IR Normal)TB</v>
      </c>
      <c r="R1862" s="17" t="s">
        <v>35</v>
      </c>
      <c r="S1862" s="17" t="str">
        <f aca="false">VLOOKUP(R1862,Sheet2!N:O,2,0)</f>
        <v>IREPARABLE</v>
      </c>
      <c r="T1862" s="18" t="str">
        <f aca="false">VLOOKUP(P1862,Sheet2!Q:R,2,0)</f>
        <v>IR Normal - BER to IR</v>
      </c>
      <c r="U1862" s="18" t="s">
        <v>101</v>
      </c>
      <c r="V1862" s="17" t="n">
        <v>8</v>
      </c>
      <c r="W1862" s="20" t="str">
        <f aca="false">VLOOKUP(V1862,Sheet2!Q:R,2,0)</f>
        <v>IR Normal -TrackRust/InternalDamage/open</v>
      </c>
      <c r="X1862" s="17" t="str">
        <f aca="false">J1862</f>
        <v>A005</v>
      </c>
      <c r="Y1862" s="17" t="str">
        <f aca="false">VLOOKUP(X1862,Sheet2!A:B,2,0)</f>
        <v>VASANT PARMAR</v>
      </c>
      <c r="Z1862" s="17" t="s">
        <v>942</v>
      </c>
      <c r="AA1862" s="17" t="s">
        <v>919</v>
      </c>
      <c r="AB1862" s="17" t="s">
        <v>41</v>
      </c>
      <c r="AC1862" s="0" t="str">
        <f aca="false">LEFT(G1862,2)</f>
        <v>16</v>
      </c>
      <c r="AE1862" s="21" t="s">
        <v>238</v>
      </c>
    </row>
    <row r="1863" customFormat="false" ht="15" hidden="false" customHeight="false" outlineLevel="0" collapsed="false">
      <c r="A1863" s="13" t="n">
        <f aca="false">1+A1862</f>
        <v>1861</v>
      </c>
      <c r="B1863" s="14" t="n">
        <v>1008428925</v>
      </c>
      <c r="C1863" s="17" t="s">
        <v>943</v>
      </c>
      <c r="D1863" s="16" t="s">
        <v>64</v>
      </c>
      <c r="E1863" s="17" t="s">
        <v>64</v>
      </c>
      <c r="F1863" s="18" t="s">
        <v>34</v>
      </c>
      <c r="G1863" s="19" t="n">
        <v>135205026853</v>
      </c>
      <c r="H1863" s="17" t="s">
        <v>134</v>
      </c>
      <c r="I1863" s="17" t="s">
        <v>44</v>
      </c>
      <c r="J1863" s="17" t="s">
        <v>106</v>
      </c>
      <c r="K1863" s="17" t="str">
        <f aca="false">VLOOKUP(J1863,Sheet2!A:B,2,0)</f>
        <v>PRAKASH CHAVDA</v>
      </c>
      <c r="L1863" s="17" t="n">
        <v>5</v>
      </c>
      <c r="M1863" s="17" t="str">
        <f aca="false">VLOOKUP(L1863,Sheet2!D:E,2,0)</f>
        <v>Main Processor CPU BGA</v>
      </c>
      <c r="N1863" s="17" t="n">
        <v>1</v>
      </c>
      <c r="O1863" s="17" t="str">
        <f aca="false">VLOOKUP(N1863,Sheet2!G:H,2,0)</f>
        <v>Dead</v>
      </c>
      <c r="P1863" s="17" t="n">
        <v>12</v>
      </c>
      <c r="Q1863" s="17" t="str">
        <f aca="false">VLOOKUP(P1863,Sheet2!J:K,2,0)</f>
        <v>IR Declared due to Others ( IR Normal)TB</v>
      </c>
      <c r="R1863" s="17" t="s">
        <v>35</v>
      </c>
      <c r="S1863" s="17" t="str">
        <f aca="false">VLOOKUP(R1863,Sheet2!N:O,2,0)</f>
        <v>IREPARABLE</v>
      </c>
      <c r="T1863" s="18" t="str">
        <f aca="false">VLOOKUP(P1863,Sheet2!Q:R,2,0)</f>
        <v>IR Normal - BER to IR</v>
      </c>
      <c r="U1863" s="20" t="s">
        <v>135</v>
      </c>
      <c r="V1863" s="17" t="n">
        <v>12</v>
      </c>
      <c r="W1863" s="20" t="str">
        <f aca="false">VLOOKUP(V1863,Sheet2!Q:R,2,0)</f>
        <v>IR Normal - BER to IR</v>
      </c>
      <c r="X1863" s="17" t="str">
        <f aca="false">J1863</f>
        <v>A018</v>
      </c>
      <c r="Y1863" s="17" t="str">
        <f aca="false">VLOOKUP(X1863,Sheet2!A:B,2,0)</f>
        <v>PRAKASH CHAVDA</v>
      </c>
      <c r="Z1863" s="17" t="s">
        <v>136</v>
      </c>
      <c r="AA1863" s="17" t="s">
        <v>919</v>
      </c>
      <c r="AB1863" s="17" t="s">
        <v>41</v>
      </c>
      <c r="AC1863" s="0" t="str">
        <f aca="false">LEFT(G1863,2)</f>
        <v>13</v>
      </c>
      <c r="AE1863" s="21" t="s">
        <v>238</v>
      </c>
    </row>
    <row r="1864" customFormat="false" ht="15" hidden="false" customHeight="false" outlineLevel="0" collapsed="false">
      <c r="A1864" s="13" t="n">
        <f aca="false">1+A1863</f>
        <v>1862</v>
      </c>
      <c r="B1864" s="14" t="n">
        <v>1008811250</v>
      </c>
      <c r="C1864" s="17" t="s">
        <v>438</v>
      </c>
      <c r="D1864" s="16" t="s">
        <v>453</v>
      </c>
      <c r="E1864" s="17" t="s">
        <v>47</v>
      </c>
      <c r="F1864" s="18" t="s">
        <v>34</v>
      </c>
      <c r="G1864" s="19" t="n">
        <v>133351178032</v>
      </c>
      <c r="H1864" s="17" t="s">
        <v>134</v>
      </c>
      <c r="I1864" s="17" t="s">
        <v>44</v>
      </c>
      <c r="J1864" s="17" t="s">
        <v>106</v>
      </c>
      <c r="K1864" s="17" t="str">
        <f aca="false">VLOOKUP(J1864,Sheet2!A:B,2,0)</f>
        <v>PRAKASH CHAVDA</v>
      </c>
      <c r="L1864" s="17" t="n">
        <v>1</v>
      </c>
      <c r="M1864" s="17" t="str">
        <f aca="false">VLOOKUP(L1864,Sheet2!D:E,2,0)</f>
        <v>Power Supply Section</v>
      </c>
      <c r="N1864" s="17" t="n">
        <v>1</v>
      </c>
      <c r="O1864" s="17" t="str">
        <f aca="false">VLOOKUP(N1864,Sheet2!G:H,2,0)</f>
        <v>Dead</v>
      </c>
      <c r="P1864" s="17" t="n">
        <v>12</v>
      </c>
      <c r="Q1864" s="17" t="str">
        <f aca="false">VLOOKUP(P1864,Sheet2!J:K,2,0)</f>
        <v>IR Declared due to Others ( IR Normal)TB</v>
      </c>
      <c r="R1864" s="17" t="s">
        <v>35</v>
      </c>
      <c r="S1864" s="17" t="str">
        <f aca="false">VLOOKUP(R1864,Sheet2!N:O,2,0)</f>
        <v>IREPARABLE</v>
      </c>
      <c r="T1864" s="18" t="str">
        <f aca="false">VLOOKUP(P1864,Sheet2!Q:R,2,0)</f>
        <v>IR Normal - BER to IR</v>
      </c>
      <c r="U1864" s="20" t="s">
        <v>135</v>
      </c>
      <c r="V1864" s="17" t="n">
        <v>12</v>
      </c>
      <c r="W1864" s="20" t="str">
        <f aca="false">VLOOKUP(V1864,Sheet2!Q:R,2,0)</f>
        <v>IR Normal - BER to IR</v>
      </c>
      <c r="X1864" s="17" t="str">
        <f aca="false">J1864</f>
        <v>A018</v>
      </c>
      <c r="Y1864" s="17" t="str">
        <f aca="false">VLOOKUP(X1864,Sheet2!A:B,2,0)</f>
        <v>PRAKASH CHAVDA</v>
      </c>
      <c r="Z1864" s="17" t="s">
        <v>136</v>
      </c>
      <c r="AA1864" s="17" t="s">
        <v>919</v>
      </c>
      <c r="AB1864" s="17" t="s">
        <v>41</v>
      </c>
      <c r="AC1864" s="0" t="str">
        <f aca="false">LEFT(G1864,2)</f>
        <v>13</v>
      </c>
      <c r="AE1864" s="21" t="s">
        <v>238</v>
      </c>
    </row>
    <row r="1865" customFormat="false" ht="15" hidden="false" customHeight="false" outlineLevel="0" collapsed="false">
      <c r="A1865" s="13" t="n">
        <f aca="false">1+A1864</f>
        <v>1863</v>
      </c>
      <c r="B1865" s="14" t="n">
        <v>1008439829</v>
      </c>
      <c r="C1865" s="17" t="s">
        <v>459</v>
      </c>
      <c r="D1865" s="16" t="s">
        <v>32</v>
      </c>
      <c r="E1865" s="17" t="s">
        <v>33</v>
      </c>
      <c r="F1865" s="18" t="s">
        <v>34</v>
      </c>
      <c r="G1865" s="19" t="n">
        <v>134263032846</v>
      </c>
      <c r="H1865" s="17" t="s">
        <v>134</v>
      </c>
      <c r="I1865" s="17" t="s">
        <v>44</v>
      </c>
      <c r="J1865" s="17" t="s">
        <v>106</v>
      </c>
      <c r="K1865" s="17" t="str">
        <f aca="false">VLOOKUP(J1865,Sheet2!A:B,2,0)</f>
        <v>PRAKASH CHAVDA</v>
      </c>
      <c r="L1865" s="17" t="n">
        <v>5</v>
      </c>
      <c r="M1865" s="17" t="str">
        <f aca="false">VLOOKUP(L1865,Sheet2!D:E,2,0)</f>
        <v>Main Processor CPU BGA</v>
      </c>
      <c r="N1865" s="17" t="n">
        <v>1</v>
      </c>
      <c r="O1865" s="17" t="str">
        <f aca="false">VLOOKUP(N1865,Sheet2!G:H,2,0)</f>
        <v>Dead</v>
      </c>
      <c r="P1865" s="17" t="n">
        <v>12</v>
      </c>
      <c r="Q1865" s="17" t="str">
        <f aca="false">VLOOKUP(P1865,Sheet2!J:K,2,0)</f>
        <v>IR Declared due to Others ( IR Normal)TB</v>
      </c>
      <c r="R1865" s="17" t="s">
        <v>35</v>
      </c>
      <c r="S1865" s="17" t="str">
        <f aca="false">VLOOKUP(R1865,Sheet2!N:O,2,0)</f>
        <v>IREPARABLE</v>
      </c>
      <c r="T1865" s="18" t="str">
        <f aca="false">VLOOKUP(P1865,Sheet2!Q:R,2,0)</f>
        <v>IR Normal - BER to IR</v>
      </c>
      <c r="U1865" s="20" t="s">
        <v>135</v>
      </c>
      <c r="V1865" s="17" t="n">
        <v>12</v>
      </c>
      <c r="W1865" s="20" t="str">
        <f aca="false">VLOOKUP(V1865,Sheet2!Q:R,2,0)</f>
        <v>IR Normal - BER to IR</v>
      </c>
      <c r="X1865" s="17" t="str">
        <f aca="false">J1865</f>
        <v>A018</v>
      </c>
      <c r="Y1865" s="17" t="str">
        <f aca="false">VLOOKUP(X1865,Sheet2!A:B,2,0)</f>
        <v>PRAKASH CHAVDA</v>
      </c>
      <c r="Z1865" s="17" t="s">
        <v>136</v>
      </c>
      <c r="AA1865" s="17" t="s">
        <v>919</v>
      </c>
      <c r="AB1865" s="17" t="s">
        <v>41</v>
      </c>
      <c r="AC1865" s="0" t="str">
        <f aca="false">LEFT(G1865,2)</f>
        <v>13</v>
      </c>
      <c r="AE1865" s="21" t="s">
        <v>238</v>
      </c>
    </row>
    <row r="1866" customFormat="false" ht="15" hidden="false" customHeight="false" outlineLevel="0" collapsed="false">
      <c r="A1866" s="13" t="n">
        <f aca="false">1+A1865</f>
        <v>1864</v>
      </c>
      <c r="B1866" s="14" t="n">
        <v>1008439745</v>
      </c>
      <c r="C1866" s="17" t="s">
        <v>459</v>
      </c>
      <c r="D1866" s="16" t="s">
        <v>158</v>
      </c>
      <c r="E1866" s="17" t="s">
        <v>64</v>
      </c>
      <c r="F1866" s="18" t="s">
        <v>34</v>
      </c>
      <c r="G1866" s="19" t="n">
        <v>134211183337</v>
      </c>
      <c r="H1866" s="17" t="s">
        <v>134</v>
      </c>
      <c r="I1866" s="17" t="s">
        <v>44</v>
      </c>
      <c r="J1866" s="17" t="s">
        <v>106</v>
      </c>
      <c r="K1866" s="17" t="str">
        <f aca="false">VLOOKUP(J1866,Sheet2!A:B,2,0)</f>
        <v>PRAKASH CHAVDA</v>
      </c>
      <c r="L1866" s="17" t="n">
        <v>5</v>
      </c>
      <c r="M1866" s="17" t="str">
        <f aca="false">VLOOKUP(L1866,Sheet2!D:E,2,0)</f>
        <v>Main Processor CPU BGA</v>
      </c>
      <c r="N1866" s="17" t="n">
        <v>1</v>
      </c>
      <c r="O1866" s="17" t="str">
        <f aca="false">VLOOKUP(N1866,Sheet2!G:H,2,0)</f>
        <v>Dead</v>
      </c>
      <c r="P1866" s="17" t="n">
        <v>12</v>
      </c>
      <c r="Q1866" s="17" t="str">
        <f aca="false">VLOOKUP(P1866,Sheet2!J:K,2,0)</f>
        <v>IR Declared due to Others ( IR Normal)TB</v>
      </c>
      <c r="R1866" s="17" t="s">
        <v>35</v>
      </c>
      <c r="S1866" s="17" t="str">
        <f aca="false">VLOOKUP(R1866,Sheet2!N:O,2,0)</f>
        <v>IREPARABLE</v>
      </c>
      <c r="T1866" s="18" t="str">
        <f aca="false">VLOOKUP(P1866,Sheet2!Q:R,2,0)</f>
        <v>IR Normal - BER to IR</v>
      </c>
      <c r="U1866" s="20" t="s">
        <v>135</v>
      </c>
      <c r="V1866" s="17" t="n">
        <v>12</v>
      </c>
      <c r="W1866" s="20" t="str">
        <f aca="false">VLOOKUP(V1866,Sheet2!Q:R,2,0)</f>
        <v>IR Normal - BER to IR</v>
      </c>
      <c r="X1866" s="17" t="str">
        <f aca="false">J1866</f>
        <v>A018</v>
      </c>
      <c r="Y1866" s="17" t="str">
        <f aca="false">VLOOKUP(X1866,Sheet2!A:B,2,0)</f>
        <v>PRAKASH CHAVDA</v>
      </c>
      <c r="Z1866" s="17" t="s">
        <v>136</v>
      </c>
      <c r="AA1866" s="17" t="s">
        <v>919</v>
      </c>
      <c r="AB1866" s="17" t="s">
        <v>41</v>
      </c>
      <c r="AC1866" s="0" t="str">
        <f aca="false">LEFT(G1866,2)</f>
        <v>13</v>
      </c>
      <c r="AE1866" s="21" t="s">
        <v>238</v>
      </c>
    </row>
    <row r="1867" customFormat="false" ht="15" hidden="false" customHeight="false" outlineLevel="0" collapsed="false">
      <c r="A1867" s="13" t="n">
        <f aca="false">1+A1866</f>
        <v>1865</v>
      </c>
      <c r="B1867" s="14" t="n">
        <v>1008824783</v>
      </c>
      <c r="C1867" s="17" t="s">
        <v>438</v>
      </c>
      <c r="D1867" s="16" t="s">
        <v>64</v>
      </c>
      <c r="E1867" s="17" t="s">
        <v>47</v>
      </c>
      <c r="F1867" s="18" t="s">
        <v>34</v>
      </c>
      <c r="G1867" s="19" t="n">
        <v>134310236978</v>
      </c>
      <c r="H1867" s="17" t="s">
        <v>134</v>
      </c>
      <c r="I1867" s="17" t="s">
        <v>44</v>
      </c>
      <c r="J1867" s="17" t="s">
        <v>106</v>
      </c>
      <c r="K1867" s="17" t="str">
        <f aca="false">VLOOKUP(J1867,Sheet2!A:B,2,0)</f>
        <v>PRAKASH CHAVDA</v>
      </c>
      <c r="L1867" s="17" t="n">
        <v>5</v>
      </c>
      <c r="M1867" s="17" t="str">
        <f aca="false">VLOOKUP(L1867,Sheet2!D:E,2,0)</f>
        <v>Main Processor CPU BGA</v>
      </c>
      <c r="N1867" s="17" t="n">
        <v>1</v>
      </c>
      <c r="O1867" s="17" t="str">
        <f aca="false">VLOOKUP(N1867,Sheet2!G:H,2,0)</f>
        <v>Dead</v>
      </c>
      <c r="P1867" s="17" t="n">
        <v>12</v>
      </c>
      <c r="Q1867" s="17" t="str">
        <f aca="false">VLOOKUP(P1867,Sheet2!J:K,2,0)</f>
        <v>IR Declared due to Others ( IR Normal)TB</v>
      </c>
      <c r="R1867" s="17" t="s">
        <v>35</v>
      </c>
      <c r="S1867" s="17" t="str">
        <f aca="false">VLOOKUP(R1867,Sheet2!N:O,2,0)</f>
        <v>IREPARABLE</v>
      </c>
      <c r="T1867" s="18" t="str">
        <f aca="false">VLOOKUP(P1867,Sheet2!Q:R,2,0)</f>
        <v>IR Normal - BER to IR</v>
      </c>
      <c r="U1867" s="20" t="s">
        <v>135</v>
      </c>
      <c r="V1867" s="17" t="n">
        <v>12</v>
      </c>
      <c r="W1867" s="20" t="str">
        <f aca="false">VLOOKUP(V1867,Sheet2!Q:R,2,0)</f>
        <v>IR Normal - BER to IR</v>
      </c>
      <c r="X1867" s="17" t="str">
        <f aca="false">J1867</f>
        <v>A018</v>
      </c>
      <c r="Y1867" s="17" t="str">
        <f aca="false">VLOOKUP(X1867,Sheet2!A:B,2,0)</f>
        <v>PRAKASH CHAVDA</v>
      </c>
      <c r="Z1867" s="17" t="s">
        <v>136</v>
      </c>
      <c r="AA1867" s="17" t="s">
        <v>919</v>
      </c>
      <c r="AB1867" s="17" t="s">
        <v>41</v>
      </c>
      <c r="AC1867" s="0" t="str">
        <f aca="false">LEFT(G1867,2)</f>
        <v>13</v>
      </c>
      <c r="AE1867" s="21" t="s">
        <v>238</v>
      </c>
    </row>
    <row r="1868" customFormat="false" ht="15" hidden="false" customHeight="false" outlineLevel="0" collapsed="false">
      <c r="A1868" s="13" t="n">
        <f aca="false">1+A1867</f>
        <v>1866</v>
      </c>
      <c r="B1868" s="14" t="n">
        <v>1008854610</v>
      </c>
      <c r="C1868" s="17" t="s">
        <v>841</v>
      </c>
      <c r="D1868" s="16" t="s">
        <v>64</v>
      </c>
      <c r="E1868" s="17" t="s">
        <v>47</v>
      </c>
      <c r="F1868" s="18" t="s">
        <v>34</v>
      </c>
      <c r="G1868" s="19" t="n">
        <v>134325293485</v>
      </c>
      <c r="H1868" s="17" t="s">
        <v>134</v>
      </c>
      <c r="I1868" s="17" t="s">
        <v>44</v>
      </c>
      <c r="J1868" s="17" t="s">
        <v>106</v>
      </c>
      <c r="K1868" s="17" t="str">
        <f aca="false">VLOOKUP(J1868,Sheet2!A:B,2,0)</f>
        <v>PRAKASH CHAVDA</v>
      </c>
      <c r="L1868" s="17" t="n">
        <v>5</v>
      </c>
      <c r="M1868" s="17" t="str">
        <f aca="false">VLOOKUP(L1868,Sheet2!D:E,2,0)</f>
        <v>Main Processor CPU BGA</v>
      </c>
      <c r="N1868" s="17" t="n">
        <v>1</v>
      </c>
      <c r="O1868" s="17" t="str">
        <f aca="false">VLOOKUP(N1868,Sheet2!G:H,2,0)</f>
        <v>Dead</v>
      </c>
      <c r="P1868" s="17" t="n">
        <v>12</v>
      </c>
      <c r="Q1868" s="17" t="str">
        <f aca="false">VLOOKUP(P1868,Sheet2!J:K,2,0)</f>
        <v>IR Declared due to Others ( IR Normal)TB</v>
      </c>
      <c r="R1868" s="17" t="s">
        <v>35</v>
      </c>
      <c r="S1868" s="17" t="str">
        <f aca="false">VLOOKUP(R1868,Sheet2!N:O,2,0)</f>
        <v>IREPARABLE</v>
      </c>
      <c r="T1868" s="18" t="str">
        <f aca="false">VLOOKUP(P1868,Sheet2!Q:R,2,0)</f>
        <v>IR Normal - BER to IR</v>
      </c>
      <c r="U1868" s="20" t="s">
        <v>135</v>
      </c>
      <c r="V1868" s="17" t="n">
        <v>12</v>
      </c>
      <c r="W1868" s="20" t="str">
        <f aca="false">VLOOKUP(V1868,Sheet2!Q:R,2,0)</f>
        <v>IR Normal - BER to IR</v>
      </c>
      <c r="X1868" s="17" t="str">
        <f aca="false">J1868</f>
        <v>A018</v>
      </c>
      <c r="Y1868" s="17" t="str">
        <f aca="false">VLOOKUP(X1868,Sheet2!A:B,2,0)</f>
        <v>PRAKASH CHAVDA</v>
      </c>
      <c r="Z1868" s="17" t="s">
        <v>136</v>
      </c>
      <c r="AA1868" s="17" t="s">
        <v>919</v>
      </c>
      <c r="AB1868" s="17" t="s">
        <v>41</v>
      </c>
      <c r="AC1868" s="0" t="str">
        <f aca="false">LEFT(G1868,2)</f>
        <v>13</v>
      </c>
      <c r="AE1868" s="21" t="s">
        <v>238</v>
      </c>
    </row>
    <row r="1869" customFormat="false" ht="15" hidden="false" customHeight="false" outlineLevel="0" collapsed="false">
      <c r="A1869" s="13" t="n">
        <f aca="false">1+A1868</f>
        <v>1867</v>
      </c>
      <c r="B1869" s="14" t="n">
        <v>1008374428</v>
      </c>
      <c r="C1869" s="17" t="s">
        <v>456</v>
      </c>
      <c r="D1869" s="16" t="s">
        <v>86</v>
      </c>
      <c r="E1869" s="17" t="s">
        <v>91</v>
      </c>
      <c r="F1869" s="18" t="s">
        <v>34</v>
      </c>
      <c r="G1869" s="19" t="n">
        <v>134317084215</v>
      </c>
      <c r="H1869" s="17" t="s">
        <v>134</v>
      </c>
      <c r="I1869" s="17" t="s">
        <v>44</v>
      </c>
      <c r="J1869" s="17" t="s">
        <v>106</v>
      </c>
      <c r="K1869" s="17" t="str">
        <f aca="false">VLOOKUP(J1869,Sheet2!A:B,2,0)</f>
        <v>PRAKASH CHAVDA</v>
      </c>
      <c r="L1869" s="17" t="n">
        <v>5</v>
      </c>
      <c r="M1869" s="17" t="str">
        <f aca="false">VLOOKUP(L1869,Sheet2!D:E,2,0)</f>
        <v>Main Processor CPU BGA</v>
      </c>
      <c r="N1869" s="17" t="n">
        <v>24</v>
      </c>
      <c r="O1869" s="17" t="str">
        <f aca="false">VLOOKUP(N1869,Sheet2!G:H,2,0)</f>
        <v>STB Auto moving -Stand by mode</v>
      </c>
      <c r="P1869" s="17" t="n">
        <v>12</v>
      </c>
      <c r="Q1869" s="17" t="str">
        <f aca="false">VLOOKUP(P1869,Sheet2!J:K,2,0)</f>
        <v>IR Declared due to Others ( IR Normal)TB</v>
      </c>
      <c r="R1869" s="17" t="s">
        <v>35</v>
      </c>
      <c r="S1869" s="17" t="str">
        <f aca="false">VLOOKUP(R1869,Sheet2!N:O,2,0)</f>
        <v>IREPARABLE</v>
      </c>
      <c r="T1869" s="18" t="str">
        <f aca="false">VLOOKUP(P1869,Sheet2!Q:R,2,0)</f>
        <v>IR Normal - BER to IR</v>
      </c>
      <c r="U1869" s="20" t="s">
        <v>135</v>
      </c>
      <c r="V1869" s="17" t="n">
        <v>12</v>
      </c>
      <c r="W1869" s="20" t="str">
        <f aca="false">VLOOKUP(V1869,Sheet2!Q:R,2,0)</f>
        <v>IR Normal - BER to IR</v>
      </c>
      <c r="X1869" s="17" t="str">
        <f aca="false">J1869</f>
        <v>A018</v>
      </c>
      <c r="Y1869" s="17" t="str">
        <f aca="false">VLOOKUP(X1869,Sheet2!A:B,2,0)</f>
        <v>PRAKASH CHAVDA</v>
      </c>
      <c r="Z1869" s="17" t="s">
        <v>504</v>
      </c>
      <c r="AA1869" s="17" t="s">
        <v>919</v>
      </c>
      <c r="AB1869" s="17" t="s">
        <v>41</v>
      </c>
      <c r="AC1869" s="0" t="str">
        <f aca="false">LEFT(G1869,2)</f>
        <v>13</v>
      </c>
      <c r="AE1869" s="21" t="s">
        <v>238</v>
      </c>
    </row>
    <row r="1870" customFormat="false" ht="15" hidden="false" customHeight="false" outlineLevel="0" collapsed="false">
      <c r="A1870" s="13" t="n">
        <f aca="false">1+A1869</f>
        <v>1868</v>
      </c>
      <c r="B1870" s="14" t="n">
        <v>1008750305</v>
      </c>
      <c r="C1870" s="17" t="s">
        <v>484</v>
      </c>
      <c r="D1870" s="16" t="s">
        <v>131</v>
      </c>
      <c r="E1870" s="17" t="s">
        <v>503</v>
      </c>
      <c r="F1870" s="18" t="s">
        <v>34</v>
      </c>
      <c r="G1870" s="19" t="n">
        <v>134240242922</v>
      </c>
      <c r="H1870" s="17" t="s">
        <v>134</v>
      </c>
      <c r="I1870" s="17" t="s">
        <v>44</v>
      </c>
      <c r="J1870" s="17" t="s">
        <v>106</v>
      </c>
      <c r="K1870" s="17" t="str">
        <f aca="false">VLOOKUP(J1870,Sheet2!A:B,2,0)</f>
        <v>PRAKASH CHAVDA</v>
      </c>
      <c r="L1870" s="17" t="n">
        <v>5</v>
      </c>
      <c r="M1870" s="17" t="str">
        <f aca="false">VLOOKUP(L1870,Sheet2!D:E,2,0)</f>
        <v>Main Processor CPU BGA</v>
      </c>
      <c r="N1870" s="17" t="n">
        <v>24</v>
      </c>
      <c r="O1870" s="17" t="str">
        <f aca="false">VLOOKUP(N1870,Sheet2!G:H,2,0)</f>
        <v>STB Auto moving -Stand by mode</v>
      </c>
      <c r="P1870" s="17" t="n">
        <v>12</v>
      </c>
      <c r="Q1870" s="17" t="str">
        <f aca="false">VLOOKUP(P1870,Sheet2!J:K,2,0)</f>
        <v>IR Declared due to Others ( IR Normal)TB</v>
      </c>
      <c r="R1870" s="17" t="s">
        <v>35</v>
      </c>
      <c r="S1870" s="17" t="str">
        <f aca="false">VLOOKUP(R1870,Sheet2!N:O,2,0)</f>
        <v>IREPARABLE</v>
      </c>
      <c r="T1870" s="18" t="str">
        <f aca="false">VLOOKUP(P1870,Sheet2!Q:R,2,0)</f>
        <v>IR Normal - BER to IR</v>
      </c>
      <c r="U1870" s="20" t="s">
        <v>135</v>
      </c>
      <c r="V1870" s="17" t="n">
        <v>12</v>
      </c>
      <c r="W1870" s="20" t="str">
        <f aca="false">VLOOKUP(V1870,Sheet2!Q:R,2,0)</f>
        <v>IR Normal - BER to IR</v>
      </c>
      <c r="X1870" s="17" t="str">
        <f aca="false">J1870</f>
        <v>A018</v>
      </c>
      <c r="Y1870" s="17" t="str">
        <f aca="false">VLOOKUP(X1870,Sheet2!A:B,2,0)</f>
        <v>PRAKASH CHAVDA</v>
      </c>
      <c r="Z1870" s="17" t="s">
        <v>136</v>
      </c>
      <c r="AA1870" s="17" t="s">
        <v>919</v>
      </c>
      <c r="AB1870" s="17" t="s">
        <v>41</v>
      </c>
      <c r="AC1870" s="0" t="str">
        <f aca="false">LEFT(G1870,2)</f>
        <v>13</v>
      </c>
      <c r="AE1870" s="21" t="s">
        <v>238</v>
      </c>
    </row>
    <row r="1871" customFormat="false" ht="15" hidden="false" customHeight="false" outlineLevel="0" collapsed="false">
      <c r="A1871" s="13" t="n">
        <f aca="false">1+A1870</f>
        <v>1869</v>
      </c>
      <c r="B1871" s="14" t="n">
        <v>1008922419</v>
      </c>
      <c r="C1871" s="17" t="s">
        <v>421</v>
      </c>
      <c r="D1871" s="16" t="s">
        <v>32</v>
      </c>
      <c r="E1871" s="17" t="s">
        <v>47</v>
      </c>
      <c r="F1871" s="18" t="s">
        <v>34</v>
      </c>
      <c r="G1871" s="19" t="n">
        <v>134317023650</v>
      </c>
      <c r="H1871" s="17" t="s">
        <v>134</v>
      </c>
      <c r="I1871" s="17" t="s">
        <v>44</v>
      </c>
      <c r="J1871" s="17" t="s">
        <v>106</v>
      </c>
      <c r="K1871" s="17" t="str">
        <f aca="false">VLOOKUP(J1871,Sheet2!A:B,2,0)</f>
        <v>PRAKASH CHAVDA</v>
      </c>
      <c r="L1871" s="17" t="n">
        <v>5</v>
      </c>
      <c r="M1871" s="17" t="str">
        <f aca="false">VLOOKUP(L1871,Sheet2!D:E,2,0)</f>
        <v>Main Processor CPU BGA</v>
      </c>
      <c r="N1871" s="17" t="n">
        <v>1</v>
      </c>
      <c r="O1871" s="17" t="str">
        <f aca="false">VLOOKUP(N1871,Sheet2!G:H,2,0)</f>
        <v>Dead</v>
      </c>
      <c r="P1871" s="17" t="n">
        <v>12</v>
      </c>
      <c r="Q1871" s="17" t="str">
        <f aca="false">VLOOKUP(P1871,Sheet2!J:K,2,0)</f>
        <v>IR Declared due to Others ( IR Normal)TB</v>
      </c>
      <c r="R1871" s="17" t="s">
        <v>35</v>
      </c>
      <c r="S1871" s="17" t="str">
        <f aca="false">VLOOKUP(R1871,Sheet2!N:O,2,0)</f>
        <v>IREPARABLE</v>
      </c>
      <c r="T1871" s="18" t="str">
        <f aca="false">VLOOKUP(P1871,Sheet2!Q:R,2,0)</f>
        <v>IR Normal - BER to IR</v>
      </c>
      <c r="U1871" s="20" t="s">
        <v>135</v>
      </c>
      <c r="V1871" s="17" t="n">
        <v>12</v>
      </c>
      <c r="W1871" s="20" t="str">
        <f aca="false">VLOOKUP(V1871,Sheet2!Q:R,2,0)</f>
        <v>IR Normal - BER to IR</v>
      </c>
      <c r="X1871" s="17" t="str">
        <f aca="false">J1871</f>
        <v>A018</v>
      </c>
      <c r="Y1871" s="17" t="str">
        <f aca="false">VLOOKUP(X1871,Sheet2!A:B,2,0)</f>
        <v>PRAKASH CHAVDA</v>
      </c>
      <c r="Z1871" s="17" t="s">
        <v>136</v>
      </c>
      <c r="AA1871" s="17" t="s">
        <v>919</v>
      </c>
      <c r="AB1871" s="17" t="s">
        <v>41</v>
      </c>
      <c r="AC1871" s="0" t="str">
        <f aca="false">LEFT(G1871,2)</f>
        <v>13</v>
      </c>
      <c r="AE1871" s="21" t="s">
        <v>238</v>
      </c>
    </row>
    <row r="1872" customFormat="false" ht="15" hidden="false" customHeight="false" outlineLevel="0" collapsed="false">
      <c r="A1872" s="13" t="n">
        <f aca="false">1+A1871</f>
        <v>1870</v>
      </c>
      <c r="B1872" s="14" t="n">
        <v>1008750486</v>
      </c>
      <c r="C1872" s="17" t="s">
        <v>484</v>
      </c>
      <c r="D1872" s="16" t="s">
        <v>64</v>
      </c>
      <c r="E1872" s="17" t="s">
        <v>64</v>
      </c>
      <c r="F1872" s="18" t="s">
        <v>34</v>
      </c>
      <c r="G1872" s="19" t="n">
        <v>135234101693</v>
      </c>
      <c r="H1872" s="17" t="s">
        <v>134</v>
      </c>
      <c r="I1872" s="17" t="s">
        <v>44</v>
      </c>
      <c r="J1872" s="17" t="s">
        <v>106</v>
      </c>
      <c r="K1872" s="17" t="str">
        <f aca="false">VLOOKUP(J1872,Sheet2!A:B,2,0)</f>
        <v>PRAKASH CHAVDA</v>
      </c>
      <c r="L1872" s="17" t="n">
        <v>5</v>
      </c>
      <c r="M1872" s="17" t="str">
        <f aca="false">VLOOKUP(L1872,Sheet2!D:E,2,0)</f>
        <v>Main Processor CPU BGA</v>
      </c>
      <c r="N1872" s="17" t="n">
        <v>1</v>
      </c>
      <c r="O1872" s="17" t="str">
        <f aca="false">VLOOKUP(N1872,Sheet2!G:H,2,0)</f>
        <v>Dead</v>
      </c>
      <c r="P1872" s="17" t="n">
        <v>12</v>
      </c>
      <c r="Q1872" s="17" t="str">
        <f aca="false">VLOOKUP(P1872,Sheet2!J:K,2,0)</f>
        <v>IR Declared due to Others ( IR Normal)TB</v>
      </c>
      <c r="R1872" s="17" t="s">
        <v>35</v>
      </c>
      <c r="S1872" s="17" t="str">
        <f aca="false">VLOOKUP(R1872,Sheet2!N:O,2,0)</f>
        <v>IREPARABLE</v>
      </c>
      <c r="T1872" s="18" t="str">
        <f aca="false">VLOOKUP(P1872,Sheet2!Q:R,2,0)</f>
        <v>IR Normal - BER to IR</v>
      </c>
      <c r="U1872" s="20" t="s">
        <v>135</v>
      </c>
      <c r="V1872" s="17" t="n">
        <v>12</v>
      </c>
      <c r="W1872" s="20" t="str">
        <f aca="false">VLOOKUP(V1872,Sheet2!Q:R,2,0)</f>
        <v>IR Normal - BER to IR</v>
      </c>
      <c r="X1872" s="17" t="str">
        <f aca="false">J1872</f>
        <v>A018</v>
      </c>
      <c r="Y1872" s="17" t="str">
        <f aca="false">VLOOKUP(X1872,Sheet2!A:B,2,0)</f>
        <v>PRAKASH CHAVDA</v>
      </c>
      <c r="Z1872" s="17" t="s">
        <v>136</v>
      </c>
      <c r="AA1872" s="17" t="s">
        <v>919</v>
      </c>
      <c r="AB1872" s="17" t="s">
        <v>41</v>
      </c>
      <c r="AC1872" s="0" t="str">
        <f aca="false">LEFT(G1872,2)</f>
        <v>13</v>
      </c>
      <c r="AE1872" s="21" t="s">
        <v>238</v>
      </c>
    </row>
    <row r="1873" customFormat="false" ht="15" hidden="false" customHeight="false" outlineLevel="0" collapsed="false">
      <c r="A1873" s="13" t="n">
        <f aca="false">1+A1872</f>
        <v>1871</v>
      </c>
      <c r="B1873" s="14" t="n">
        <v>1008697671</v>
      </c>
      <c r="C1873" s="17" t="s">
        <v>944</v>
      </c>
      <c r="D1873" s="16" t="s">
        <v>190</v>
      </c>
      <c r="E1873" s="17" t="s">
        <v>47</v>
      </c>
      <c r="F1873" s="18" t="s">
        <v>34</v>
      </c>
      <c r="G1873" s="19" t="n">
        <v>134063548256</v>
      </c>
      <c r="H1873" s="17" t="s">
        <v>134</v>
      </c>
      <c r="I1873" s="17" t="s">
        <v>44</v>
      </c>
      <c r="J1873" s="17" t="s">
        <v>106</v>
      </c>
      <c r="K1873" s="17" t="str">
        <f aca="false">VLOOKUP(J1873,Sheet2!A:B,2,0)</f>
        <v>PRAKASH CHAVDA</v>
      </c>
      <c r="L1873" s="17" t="n">
        <v>5</v>
      </c>
      <c r="M1873" s="17" t="str">
        <f aca="false">VLOOKUP(L1873,Sheet2!D:E,2,0)</f>
        <v>Main Processor CPU BGA</v>
      </c>
      <c r="N1873" s="17" t="n">
        <v>1</v>
      </c>
      <c r="O1873" s="17" t="str">
        <f aca="false">VLOOKUP(N1873,Sheet2!G:H,2,0)</f>
        <v>Dead</v>
      </c>
      <c r="P1873" s="17" t="n">
        <v>12</v>
      </c>
      <c r="Q1873" s="17" t="str">
        <f aca="false">VLOOKUP(P1873,Sheet2!J:K,2,0)</f>
        <v>IR Declared due to Others ( IR Normal)TB</v>
      </c>
      <c r="R1873" s="17" t="s">
        <v>35</v>
      </c>
      <c r="S1873" s="17" t="str">
        <f aca="false">VLOOKUP(R1873,Sheet2!N:O,2,0)</f>
        <v>IREPARABLE</v>
      </c>
      <c r="T1873" s="18" t="str">
        <f aca="false">VLOOKUP(P1873,Sheet2!Q:R,2,0)</f>
        <v>IR Normal - BER to IR</v>
      </c>
      <c r="U1873" s="20" t="s">
        <v>135</v>
      </c>
      <c r="V1873" s="17" t="n">
        <v>12</v>
      </c>
      <c r="W1873" s="20" t="str">
        <f aca="false">VLOOKUP(V1873,Sheet2!Q:R,2,0)</f>
        <v>IR Normal - BER to IR</v>
      </c>
      <c r="X1873" s="17" t="str">
        <f aca="false">J1873</f>
        <v>A018</v>
      </c>
      <c r="Y1873" s="17" t="str">
        <f aca="false">VLOOKUP(X1873,Sheet2!A:B,2,0)</f>
        <v>PRAKASH CHAVDA</v>
      </c>
      <c r="Z1873" s="17" t="s">
        <v>136</v>
      </c>
      <c r="AA1873" s="17" t="s">
        <v>919</v>
      </c>
      <c r="AB1873" s="17" t="s">
        <v>41</v>
      </c>
      <c r="AC1873" s="0" t="str">
        <f aca="false">LEFT(G1873,2)</f>
        <v>13</v>
      </c>
      <c r="AE1873" s="21" t="s">
        <v>238</v>
      </c>
    </row>
    <row r="1874" customFormat="false" ht="15" hidden="false" customHeight="false" outlineLevel="0" collapsed="false">
      <c r="A1874" s="13" t="n">
        <f aca="false">1+A1873</f>
        <v>1872</v>
      </c>
      <c r="B1874" s="14" t="n">
        <v>1008860337</v>
      </c>
      <c r="C1874" s="17" t="s">
        <v>934</v>
      </c>
      <c r="D1874" s="16" t="s">
        <v>32</v>
      </c>
      <c r="E1874" s="17" t="s">
        <v>47</v>
      </c>
      <c r="F1874" s="18" t="s">
        <v>34</v>
      </c>
      <c r="G1874" s="19" t="n">
        <v>134127143292</v>
      </c>
      <c r="H1874" s="17" t="s">
        <v>134</v>
      </c>
      <c r="I1874" s="17" t="s">
        <v>44</v>
      </c>
      <c r="J1874" s="17" t="s">
        <v>106</v>
      </c>
      <c r="K1874" s="17" t="str">
        <f aca="false">VLOOKUP(J1874,Sheet2!A:B,2,0)</f>
        <v>PRAKASH CHAVDA</v>
      </c>
      <c r="L1874" s="17" t="n">
        <v>5</v>
      </c>
      <c r="M1874" s="17" t="str">
        <f aca="false">VLOOKUP(L1874,Sheet2!D:E,2,0)</f>
        <v>Main Processor CPU BGA</v>
      </c>
      <c r="N1874" s="17" t="n">
        <v>1</v>
      </c>
      <c r="O1874" s="17" t="str">
        <f aca="false">VLOOKUP(N1874,Sheet2!G:H,2,0)</f>
        <v>Dead</v>
      </c>
      <c r="P1874" s="17" t="n">
        <v>12</v>
      </c>
      <c r="Q1874" s="17" t="str">
        <f aca="false">VLOOKUP(P1874,Sheet2!J:K,2,0)</f>
        <v>IR Declared due to Others ( IR Normal)TB</v>
      </c>
      <c r="R1874" s="17" t="s">
        <v>35</v>
      </c>
      <c r="S1874" s="17" t="str">
        <f aca="false">VLOOKUP(R1874,Sheet2!N:O,2,0)</f>
        <v>IREPARABLE</v>
      </c>
      <c r="T1874" s="18" t="str">
        <f aca="false">VLOOKUP(P1874,Sheet2!Q:R,2,0)</f>
        <v>IR Normal - BER to IR</v>
      </c>
      <c r="U1874" s="20" t="s">
        <v>135</v>
      </c>
      <c r="V1874" s="17" t="n">
        <v>12</v>
      </c>
      <c r="W1874" s="20" t="str">
        <f aca="false">VLOOKUP(V1874,Sheet2!Q:R,2,0)</f>
        <v>IR Normal - BER to IR</v>
      </c>
      <c r="X1874" s="17" t="str">
        <f aca="false">J1874</f>
        <v>A018</v>
      </c>
      <c r="Y1874" s="17" t="str">
        <f aca="false">VLOOKUP(X1874,Sheet2!A:B,2,0)</f>
        <v>PRAKASH CHAVDA</v>
      </c>
      <c r="Z1874" s="17" t="s">
        <v>136</v>
      </c>
      <c r="AA1874" s="17" t="s">
        <v>919</v>
      </c>
      <c r="AB1874" s="17" t="s">
        <v>41</v>
      </c>
      <c r="AC1874" s="0" t="str">
        <f aca="false">LEFT(G1874,2)</f>
        <v>13</v>
      </c>
      <c r="AE1874" s="21" t="s">
        <v>238</v>
      </c>
    </row>
    <row r="1875" customFormat="false" ht="15" hidden="false" customHeight="false" outlineLevel="0" collapsed="false">
      <c r="A1875" s="13" t="n">
        <f aca="false">1+A1874</f>
        <v>1873</v>
      </c>
      <c r="B1875" s="14" t="n">
        <v>1008835059</v>
      </c>
      <c r="C1875" s="17" t="s">
        <v>945</v>
      </c>
      <c r="D1875" s="16" t="s">
        <v>64</v>
      </c>
      <c r="E1875" s="17" t="s">
        <v>114</v>
      </c>
      <c r="F1875" s="18" t="s">
        <v>34</v>
      </c>
      <c r="G1875" s="19" t="n">
        <v>134106120089</v>
      </c>
      <c r="H1875" s="17" t="s">
        <v>134</v>
      </c>
      <c r="I1875" s="17" t="s">
        <v>44</v>
      </c>
      <c r="J1875" s="17" t="s">
        <v>106</v>
      </c>
      <c r="K1875" s="17" t="str">
        <f aca="false">VLOOKUP(J1875,Sheet2!A:B,2,0)</f>
        <v>PRAKASH CHAVDA</v>
      </c>
      <c r="L1875" s="17" t="n">
        <v>5</v>
      </c>
      <c r="M1875" s="17" t="str">
        <f aca="false">VLOOKUP(L1875,Sheet2!D:E,2,0)</f>
        <v>Main Processor CPU BGA</v>
      </c>
      <c r="N1875" s="17" t="n">
        <v>1</v>
      </c>
      <c r="O1875" s="17" t="str">
        <f aca="false">VLOOKUP(N1875,Sheet2!G:H,2,0)</f>
        <v>Dead</v>
      </c>
      <c r="P1875" s="17" t="n">
        <v>12</v>
      </c>
      <c r="Q1875" s="17" t="str">
        <f aca="false">VLOOKUP(P1875,Sheet2!J:K,2,0)</f>
        <v>IR Declared due to Others ( IR Normal)TB</v>
      </c>
      <c r="R1875" s="17" t="s">
        <v>35</v>
      </c>
      <c r="S1875" s="17" t="str">
        <f aca="false">VLOOKUP(R1875,Sheet2!N:O,2,0)</f>
        <v>IREPARABLE</v>
      </c>
      <c r="T1875" s="18" t="str">
        <f aca="false">VLOOKUP(P1875,Sheet2!Q:R,2,0)</f>
        <v>IR Normal - BER to IR</v>
      </c>
      <c r="U1875" s="20" t="s">
        <v>135</v>
      </c>
      <c r="V1875" s="17" t="n">
        <v>12</v>
      </c>
      <c r="W1875" s="20" t="str">
        <f aca="false">VLOOKUP(V1875,Sheet2!Q:R,2,0)</f>
        <v>IR Normal - BER to IR</v>
      </c>
      <c r="X1875" s="17" t="str">
        <f aca="false">J1875</f>
        <v>A018</v>
      </c>
      <c r="Y1875" s="17" t="str">
        <f aca="false">VLOOKUP(X1875,Sheet2!A:B,2,0)</f>
        <v>PRAKASH CHAVDA</v>
      </c>
      <c r="Z1875" s="17" t="s">
        <v>136</v>
      </c>
      <c r="AA1875" s="17" t="s">
        <v>919</v>
      </c>
      <c r="AB1875" s="17" t="s">
        <v>41</v>
      </c>
      <c r="AC1875" s="0" t="str">
        <f aca="false">LEFT(G1875,2)</f>
        <v>13</v>
      </c>
      <c r="AE1875" s="21" t="s">
        <v>238</v>
      </c>
    </row>
    <row r="1876" customFormat="false" ht="15" hidden="false" customHeight="false" outlineLevel="0" collapsed="false">
      <c r="A1876" s="13" t="n">
        <f aca="false">1+A1875</f>
        <v>1874</v>
      </c>
      <c r="B1876" s="14" t="n">
        <v>1008748788</v>
      </c>
      <c r="C1876" s="17" t="s">
        <v>493</v>
      </c>
      <c r="D1876" s="16" t="s">
        <v>209</v>
      </c>
      <c r="E1876" s="17" t="s">
        <v>47</v>
      </c>
      <c r="F1876" s="18" t="s">
        <v>34</v>
      </c>
      <c r="G1876" s="19" t="n">
        <v>134063469651</v>
      </c>
      <c r="H1876" s="17" t="s">
        <v>134</v>
      </c>
      <c r="I1876" s="17" t="s">
        <v>44</v>
      </c>
      <c r="J1876" s="17" t="s">
        <v>106</v>
      </c>
      <c r="K1876" s="17" t="str">
        <f aca="false">VLOOKUP(J1876,Sheet2!A:B,2,0)</f>
        <v>PRAKASH CHAVDA</v>
      </c>
      <c r="L1876" s="17" t="n">
        <v>5</v>
      </c>
      <c r="M1876" s="17" t="str">
        <f aca="false">VLOOKUP(L1876,Sheet2!D:E,2,0)</f>
        <v>Main Processor CPU BGA</v>
      </c>
      <c r="N1876" s="17" t="n">
        <v>1</v>
      </c>
      <c r="O1876" s="17" t="str">
        <f aca="false">VLOOKUP(N1876,Sheet2!G:H,2,0)</f>
        <v>Dead</v>
      </c>
      <c r="P1876" s="17" t="n">
        <v>12</v>
      </c>
      <c r="Q1876" s="17" t="str">
        <f aca="false">VLOOKUP(P1876,Sheet2!J:K,2,0)</f>
        <v>IR Declared due to Others ( IR Normal)TB</v>
      </c>
      <c r="R1876" s="17" t="s">
        <v>35</v>
      </c>
      <c r="S1876" s="17" t="str">
        <f aca="false">VLOOKUP(R1876,Sheet2!N:O,2,0)</f>
        <v>IREPARABLE</v>
      </c>
      <c r="T1876" s="18" t="str">
        <f aca="false">VLOOKUP(P1876,Sheet2!Q:R,2,0)</f>
        <v>IR Normal - BER to IR</v>
      </c>
      <c r="U1876" s="20" t="s">
        <v>135</v>
      </c>
      <c r="V1876" s="17" t="n">
        <v>12</v>
      </c>
      <c r="W1876" s="20" t="str">
        <f aca="false">VLOOKUP(V1876,Sheet2!Q:R,2,0)</f>
        <v>IR Normal - BER to IR</v>
      </c>
      <c r="X1876" s="17" t="str">
        <f aca="false">J1876</f>
        <v>A018</v>
      </c>
      <c r="Y1876" s="17" t="str">
        <f aca="false">VLOOKUP(X1876,Sheet2!A:B,2,0)</f>
        <v>PRAKASH CHAVDA</v>
      </c>
      <c r="Z1876" s="17" t="s">
        <v>136</v>
      </c>
      <c r="AA1876" s="17" t="s">
        <v>919</v>
      </c>
      <c r="AB1876" s="17" t="s">
        <v>41</v>
      </c>
      <c r="AC1876" s="0" t="str">
        <f aca="false">LEFT(G1876,2)</f>
        <v>13</v>
      </c>
      <c r="AE1876" s="21" t="s">
        <v>238</v>
      </c>
    </row>
    <row r="1877" customFormat="false" ht="15" hidden="false" customHeight="false" outlineLevel="0" collapsed="false">
      <c r="A1877" s="13" t="n">
        <f aca="false">1+A1876</f>
        <v>1875</v>
      </c>
      <c r="B1877" s="14" t="n">
        <v>1008920771</v>
      </c>
      <c r="C1877" s="17" t="s">
        <v>438</v>
      </c>
      <c r="D1877" s="16" t="s">
        <v>64</v>
      </c>
      <c r="E1877" s="17" t="s">
        <v>64</v>
      </c>
      <c r="F1877" s="18" t="s">
        <v>34</v>
      </c>
      <c r="G1877" s="19" t="n">
        <v>135209019557</v>
      </c>
      <c r="H1877" s="17" t="s">
        <v>134</v>
      </c>
      <c r="I1877" s="17" t="s">
        <v>44</v>
      </c>
      <c r="J1877" s="17" t="s">
        <v>106</v>
      </c>
      <c r="K1877" s="17" t="str">
        <f aca="false">VLOOKUP(J1877,Sheet2!A:B,2,0)</f>
        <v>PRAKASH CHAVDA</v>
      </c>
      <c r="L1877" s="17" t="n">
        <v>5</v>
      </c>
      <c r="M1877" s="17" t="str">
        <f aca="false">VLOOKUP(L1877,Sheet2!D:E,2,0)</f>
        <v>Main Processor CPU BGA</v>
      </c>
      <c r="N1877" s="17" t="n">
        <v>1</v>
      </c>
      <c r="O1877" s="17" t="str">
        <f aca="false">VLOOKUP(N1877,Sheet2!G:H,2,0)</f>
        <v>Dead</v>
      </c>
      <c r="P1877" s="17" t="n">
        <v>12</v>
      </c>
      <c r="Q1877" s="17" t="str">
        <f aca="false">VLOOKUP(P1877,Sheet2!J:K,2,0)</f>
        <v>IR Declared due to Others ( IR Normal)TB</v>
      </c>
      <c r="R1877" s="17" t="s">
        <v>35</v>
      </c>
      <c r="S1877" s="17" t="str">
        <f aca="false">VLOOKUP(R1877,Sheet2!N:O,2,0)</f>
        <v>IREPARABLE</v>
      </c>
      <c r="T1877" s="18" t="str">
        <f aca="false">VLOOKUP(P1877,Sheet2!Q:R,2,0)</f>
        <v>IR Normal - BER to IR</v>
      </c>
      <c r="U1877" s="20" t="s">
        <v>135</v>
      </c>
      <c r="V1877" s="17" t="n">
        <v>12</v>
      </c>
      <c r="W1877" s="20" t="str">
        <f aca="false">VLOOKUP(V1877,Sheet2!Q:R,2,0)</f>
        <v>IR Normal - BER to IR</v>
      </c>
      <c r="X1877" s="17" t="str">
        <f aca="false">J1877</f>
        <v>A018</v>
      </c>
      <c r="Y1877" s="17" t="str">
        <f aca="false">VLOOKUP(X1877,Sheet2!A:B,2,0)</f>
        <v>PRAKASH CHAVDA</v>
      </c>
      <c r="Z1877" s="17" t="s">
        <v>136</v>
      </c>
      <c r="AA1877" s="17" t="s">
        <v>919</v>
      </c>
      <c r="AB1877" s="17" t="s">
        <v>41</v>
      </c>
      <c r="AC1877" s="0" t="str">
        <f aca="false">LEFT(G1877,2)</f>
        <v>13</v>
      </c>
      <c r="AE1877" s="21" t="s">
        <v>238</v>
      </c>
    </row>
    <row r="1878" customFormat="false" ht="15" hidden="false" customHeight="false" outlineLevel="0" collapsed="false">
      <c r="A1878" s="13" t="n">
        <f aca="false">1+A1877</f>
        <v>1876</v>
      </c>
      <c r="B1878" s="14" t="n">
        <v>1008858930</v>
      </c>
      <c r="C1878" s="17" t="s">
        <v>934</v>
      </c>
      <c r="D1878" s="16" t="s">
        <v>105</v>
      </c>
      <c r="E1878" s="17" t="s">
        <v>47</v>
      </c>
      <c r="F1878" s="18" t="s">
        <v>34</v>
      </c>
      <c r="G1878" s="19" t="n">
        <v>134056555185</v>
      </c>
      <c r="H1878" s="17" t="s">
        <v>134</v>
      </c>
      <c r="I1878" s="17" t="s">
        <v>44</v>
      </c>
      <c r="J1878" s="17" t="s">
        <v>106</v>
      </c>
      <c r="K1878" s="17" t="str">
        <f aca="false">VLOOKUP(J1878,Sheet2!A:B,2,0)</f>
        <v>PRAKASH CHAVDA</v>
      </c>
      <c r="L1878" s="17" t="n">
        <v>5</v>
      </c>
      <c r="M1878" s="17" t="str">
        <f aca="false">VLOOKUP(L1878,Sheet2!D:E,2,0)</f>
        <v>Main Processor CPU BGA</v>
      </c>
      <c r="N1878" s="17" t="n">
        <v>24</v>
      </c>
      <c r="O1878" s="17" t="str">
        <f aca="false">VLOOKUP(N1878,Sheet2!G:H,2,0)</f>
        <v>STB Auto moving -Stand by mode</v>
      </c>
      <c r="P1878" s="17" t="n">
        <v>12</v>
      </c>
      <c r="Q1878" s="17" t="str">
        <f aca="false">VLOOKUP(P1878,Sheet2!J:K,2,0)</f>
        <v>IR Declared due to Others ( IR Normal)TB</v>
      </c>
      <c r="R1878" s="17" t="s">
        <v>35</v>
      </c>
      <c r="S1878" s="17" t="str">
        <f aca="false">VLOOKUP(R1878,Sheet2!N:O,2,0)</f>
        <v>IREPARABLE</v>
      </c>
      <c r="T1878" s="18" t="str">
        <f aca="false">VLOOKUP(P1878,Sheet2!Q:R,2,0)</f>
        <v>IR Normal - BER to IR</v>
      </c>
      <c r="U1878" s="20" t="s">
        <v>135</v>
      </c>
      <c r="V1878" s="17" t="n">
        <v>12</v>
      </c>
      <c r="W1878" s="20" t="str">
        <f aca="false">VLOOKUP(V1878,Sheet2!Q:R,2,0)</f>
        <v>IR Normal - BER to IR</v>
      </c>
      <c r="X1878" s="17" t="str">
        <f aca="false">J1878</f>
        <v>A018</v>
      </c>
      <c r="Y1878" s="17" t="str">
        <f aca="false">VLOOKUP(X1878,Sheet2!A:B,2,0)</f>
        <v>PRAKASH CHAVDA</v>
      </c>
      <c r="Z1878" s="17" t="s">
        <v>136</v>
      </c>
      <c r="AA1878" s="17" t="s">
        <v>919</v>
      </c>
      <c r="AB1878" s="17" t="s">
        <v>41</v>
      </c>
      <c r="AC1878" s="0" t="str">
        <f aca="false">LEFT(G1878,2)</f>
        <v>13</v>
      </c>
      <c r="AE1878" s="21" t="s">
        <v>238</v>
      </c>
    </row>
    <row r="1879" customFormat="false" ht="15" hidden="false" customHeight="false" outlineLevel="0" collapsed="false">
      <c r="A1879" s="13" t="n">
        <f aca="false">1+A1878</f>
        <v>1877</v>
      </c>
      <c r="B1879" s="14" t="n">
        <v>1008874219</v>
      </c>
      <c r="C1879" s="17" t="s">
        <v>452</v>
      </c>
      <c r="D1879" s="16" t="s">
        <v>64</v>
      </c>
      <c r="E1879" s="17" t="s">
        <v>47</v>
      </c>
      <c r="F1879" s="18" t="s">
        <v>34</v>
      </c>
      <c r="G1879" s="19" t="n">
        <v>134317132014</v>
      </c>
      <c r="H1879" s="17" t="s">
        <v>134</v>
      </c>
      <c r="I1879" s="17" t="s">
        <v>44</v>
      </c>
      <c r="J1879" s="17" t="s">
        <v>106</v>
      </c>
      <c r="K1879" s="17" t="str">
        <f aca="false">VLOOKUP(J1879,Sheet2!A:B,2,0)</f>
        <v>PRAKASH CHAVDA</v>
      </c>
      <c r="L1879" s="17" t="n">
        <v>5</v>
      </c>
      <c r="M1879" s="17" t="str">
        <f aca="false">VLOOKUP(L1879,Sheet2!D:E,2,0)</f>
        <v>Main Processor CPU BGA</v>
      </c>
      <c r="N1879" s="17" t="n">
        <v>1</v>
      </c>
      <c r="O1879" s="17" t="str">
        <f aca="false">VLOOKUP(N1879,Sheet2!G:H,2,0)</f>
        <v>Dead</v>
      </c>
      <c r="P1879" s="17" t="n">
        <v>12</v>
      </c>
      <c r="Q1879" s="17" t="str">
        <f aca="false">VLOOKUP(P1879,Sheet2!J:K,2,0)</f>
        <v>IR Declared due to Others ( IR Normal)TB</v>
      </c>
      <c r="R1879" s="17" t="s">
        <v>35</v>
      </c>
      <c r="S1879" s="17" t="str">
        <f aca="false">VLOOKUP(R1879,Sheet2!N:O,2,0)</f>
        <v>IREPARABLE</v>
      </c>
      <c r="T1879" s="18" t="str">
        <f aca="false">VLOOKUP(P1879,Sheet2!Q:R,2,0)</f>
        <v>IR Normal - BER to IR</v>
      </c>
      <c r="U1879" s="20" t="s">
        <v>135</v>
      </c>
      <c r="V1879" s="17" t="n">
        <v>12</v>
      </c>
      <c r="W1879" s="20" t="str">
        <f aca="false">VLOOKUP(V1879,Sheet2!Q:R,2,0)</f>
        <v>IR Normal - BER to IR</v>
      </c>
      <c r="X1879" s="17" t="str">
        <f aca="false">J1879</f>
        <v>A018</v>
      </c>
      <c r="Y1879" s="17" t="str">
        <f aca="false">VLOOKUP(X1879,Sheet2!A:B,2,0)</f>
        <v>PRAKASH CHAVDA</v>
      </c>
      <c r="Z1879" s="17" t="s">
        <v>136</v>
      </c>
      <c r="AA1879" s="17" t="s">
        <v>919</v>
      </c>
      <c r="AB1879" s="17" t="s">
        <v>41</v>
      </c>
      <c r="AC1879" s="0" t="str">
        <f aca="false">LEFT(G1879,2)</f>
        <v>13</v>
      </c>
      <c r="AE1879" s="21" t="s">
        <v>238</v>
      </c>
    </row>
    <row r="1880" customFormat="false" ht="15" hidden="false" customHeight="false" outlineLevel="0" collapsed="false">
      <c r="A1880" s="13" t="n">
        <f aca="false">1+A1879</f>
        <v>1878</v>
      </c>
      <c r="B1880" s="14" t="n">
        <v>1008887585</v>
      </c>
      <c r="C1880" s="17" t="s">
        <v>932</v>
      </c>
      <c r="D1880" s="16" t="s">
        <v>946</v>
      </c>
      <c r="E1880" s="17" t="s">
        <v>47</v>
      </c>
      <c r="F1880" s="18" t="s">
        <v>34</v>
      </c>
      <c r="G1880" s="19" t="n">
        <v>134063165382</v>
      </c>
      <c r="H1880" s="17" t="s">
        <v>134</v>
      </c>
      <c r="I1880" s="17" t="s">
        <v>44</v>
      </c>
      <c r="J1880" s="17" t="s">
        <v>106</v>
      </c>
      <c r="K1880" s="17" t="str">
        <f aca="false">VLOOKUP(J1880,Sheet2!A:B,2,0)</f>
        <v>PRAKASH CHAVDA</v>
      </c>
      <c r="L1880" s="17" t="n">
        <v>5</v>
      </c>
      <c r="M1880" s="17" t="str">
        <f aca="false">VLOOKUP(L1880,Sheet2!D:E,2,0)</f>
        <v>Main Processor CPU BGA</v>
      </c>
      <c r="N1880" s="17" t="n">
        <v>1</v>
      </c>
      <c r="O1880" s="17" t="str">
        <f aca="false">VLOOKUP(N1880,Sheet2!G:H,2,0)</f>
        <v>Dead</v>
      </c>
      <c r="P1880" s="17" t="n">
        <v>12</v>
      </c>
      <c r="Q1880" s="17" t="str">
        <f aca="false">VLOOKUP(P1880,Sheet2!J:K,2,0)</f>
        <v>IR Declared due to Others ( IR Normal)TB</v>
      </c>
      <c r="R1880" s="17" t="s">
        <v>35</v>
      </c>
      <c r="S1880" s="17" t="str">
        <f aca="false">VLOOKUP(R1880,Sheet2!N:O,2,0)</f>
        <v>IREPARABLE</v>
      </c>
      <c r="T1880" s="18" t="str">
        <f aca="false">VLOOKUP(P1880,Sheet2!Q:R,2,0)</f>
        <v>IR Normal - BER to IR</v>
      </c>
      <c r="U1880" s="20" t="s">
        <v>135</v>
      </c>
      <c r="V1880" s="17" t="n">
        <v>12</v>
      </c>
      <c r="W1880" s="20" t="str">
        <f aca="false">VLOOKUP(V1880,Sheet2!Q:R,2,0)</f>
        <v>IR Normal - BER to IR</v>
      </c>
      <c r="X1880" s="17" t="str">
        <f aca="false">J1880</f>
        <v>A018</v>
      </c>
      <c r="Y1880" s="17" t="str">
        <f aca="false">VLOOKUP(X1880,Sheet2!A:B,2,0)</f>
        <v>PRAKASH CHAVDA</v>
      </c>
      <c r="Z1880" s="17" t="s">
        <v>136</v>
      </c>
      <c r="AA1880" s="17" t="s">
        <v>919</v>
      </c>
      <c r="AB1880" s="17" t="s">
        <v>41</v>
      </c>
      <c r="AC1880" s="0" t="str">
        <f aca="false">LEFT(G1880,2)</f>
        <v>13</v>
      </c>
      <c r="AE1880" s="21" t="s">
        <v>238</v>
      </c>
    </row>
    <row r="1881" customFormat="false" ht="15" hidden="false" customHeight="false" outlineLevel="0" collapsed="false">
      <c r="A1881" s="13" t="n">
        <f aca="false">1+A1880</f>
        <v>1879</v>
      </c>
      <c r="B1881" s="14" t="n">
        <v>1008919022</v>
      </c>
      <c r="C1881" s="17" t="s">
        <v>51</v>
      </c>
      <c r="D1881" s="16" t="s">
        <v>250</v>
      </c>
      <c r="E1881" s="17" t="s">
        <v>33</v>
      </c>
      <c r="F1881" s="18" t="s">
        <v>34</v>
      </c>
      <c r="G1881" s="19" t="n">
        <v>134211180689</v>
      </c>
      <c r="H1881" s="17" t="s">
        <v>134</v>
      </c>
      <c r="I1881" s="17" t="s">
        <v>44</v>
      </c>
      <c r="J1881" s="17" t="s">
        <v>106</v>
      </c>
      <c r="K1881" s="17" t="str">
        <f aca="false">VLOOKUP(J1881,Sheet2!A:B,2,0)</f>
        <v>PRAKASH CHAVDA</v>
      </c>
      <c r="L1881" s="17" t="n">
        <v>5</v>
      </c>
      <c r="M1881" s="17" t="str">
        <f aca="false">VLOOKUP(L1881,Sheet2!D:E,2,0)</f>
        <v>Main Processor CPU BGA</v>
      </c>
      <c r="N1881" s="17" t="n">
        <v>24</v>
      </c>
      <c r="O1881" s="17" t="str">
        <f aca="false">VLOOKUP(N1881,Sheet2!G:H,2,0)</f>
        <v>STB Auto moving -Stand by mode</v>
      </c>
      <c r="P1881" s="17" t="n">
        <v>12</v>
      </c>
      <c r="Q1881" s="17" t="str">
        <f aca="false">VLOOKUP(P1881,Sheet2!J:K,2,0)</f>
        <v>IR Declared due to Others ( IR Normal)TB</v>
      </c>
      <c r="R1881" s="17" t="s">
        <v>35</v>
      </c>
      <c r="S1881" s="17" t="str">
        <f aca="false">VLOOKUP(R1881,Sheet2!N:O,2,0)</f>
        <v>IREPARABLE</v>
      </c>
      <c r="T1881" s="18" t="str">
        <f aca="false">VLOOKUP(P1881,Sheet2!Q:R,2,0)</f>
        <v>IR Normal - BER to IR</v>
      </c>
      <c r="U1881" s="20" t="s">
        <v>135</v>
      </c>
      <c r="V1881" s="17" t="n">
        <v>12</v>
      </c>
      <c r="W1881" s="20" t="str">
        <f aca="false">VLOOKUP(V1881,Sheet2!Q:R,2,0)</f>
        <v>IR Normal - BER to IR</v>
      </c>
      <c r="X1881" s="17" t="str">
        <f aca="false">J1881</f>
        <v>A018</v>
      </c>
      <c r="Y1881" s="17" t="str">
        <f aca="false">VLOOKUP(X1881,Sheet2!A:B,2,0)</f>
        <v>PRAKASH CHAVDA</v>
      </c>
      <c r="Z1881" s="17" t="s">
        <v>136</v>
      </c>
      <c r="AA1881" s="17" t="s">
        <v>919</v>
      </c>
      <c r="AB1881" s="17" t="s">
        <v>41</v>
      </c>
      <c r="AC1881" s="0" t="str">
        <f aca="false">LEFT(G1881,2)</f>
        <v>13</v>
      </c>
      <c r="AE1881" s="21" t="s">
        <v>238</v>
      </c>
    </row>
    <row r="1882" customFormat="false" ht="15" hidden="false" customHeight="false" outlineLevel="0" collapsed="false">
      <c r="A1882" s="13" t="n">
        <f aca="false">1+A1881</f>
        <v>1880</v>
      </c>
      <c r="B1882" s="14" t="n">
        <v>1008495515</v>
      </c>
      <c r="C1882" s="17" t="s">
        <v>480</v>
      </c>
      <c r="D1882" s="16" t="s">
        <v>231</v>
      </c>
      <c r="E1882" s="17" t="s">
        <v>47</v>
      </c>
      <c r="F1882" s="18" t="s">
        <v>34</v>
      </c>
      <c r="G1882" s="19" t="n">
        <v>134063339995</v>
      </c>
      <c r="H1882" s="17" t="s">
        <v>134</v>
      </c>
      <c r="I1882" s="17" t="s">
        <v>44</v>
      </c>
      <c r="J1882" s="17" t="s">
        <v>106</v>
      </c>
      <c r="K1882" s="17" t="str">
        <f aca="false">VLOOKUP(J1882,Sheet2!A:B,2,0)</f>
        <v>PRAKASH CHAVDA</v>
      </c>
      <c r="L1882" s="17" t="n">
        <v>5</v>
      </c>
      <c r="M1882" s="17" t="str">
        <f aca="false">VLOOKUP(L1882,Sheet2!D:E,2,0)</f>
        <v>Main Processor CPU BGA</v>
      </c>
      <c r="N1882" s="17" t="n">
        <v>1</v>
      </c>
      <c r="O1882" s="17" t="str">
        <f aca="false">VLOOKUP(N1882,Sheet2!G:H,2,0)</f>
        <v>Dead</v>
      </c>
      <c r="P1882" s="17" t="n">
        <v>12</v>
      </c>
      <c r="Q1882" s="17" t="str">
        <f aca="false">VLOOKUP(P1882,Sheet2!J:K,2,0)</f>
        <v>IR Declared due to Others ( IR Normal)TB</v>
      </c>
      <c r="R1882" s="17" t="s">
        <v>35</v>
      </c>
      <c r="S1882" s="17" t="str">
        <f aca="false">VLOOKUP(R1882,Sheet2!N:O,2,0)</f>
        <v>IREPARABLE</v>
      </c>
      <c r="T1882" s="18" t="str">
        <f aca="false">VLOOKUP(P1882,Sheet2!Q:R,2,0)</f>
        <v>IR Normal - BER to IR</v>
      </c>
      <c r="U1882" s="20" t="s">
        <v>135</v>
      </c>
      <c r="V1882" s="17" t="n">
        <v>12</v>
      </c>
      <c r="W1882" s="20" t="str">
        <f aca="false">VLOOKUP(V1882,Sheet2!Q:R,2,0)</f>
        <v>IR Normal - BER to IR</v>
      </c>
      <c r="X1882" s="17" t="str">
        <f aca="false">J1882</f>
        <v>A018</v>
      </c>
      <c r="Y1882" s="17" t="str">
        <f aca="false">VLOOKUP(X1882,Sheet2!A:B,2,0)</f>
        <v>PRAKASH CHAVDA</v>
      </c>
      <c r="Z1882" s="17" t="s">
        <v>136</v>
      </c>
      <c r="AA1882" s="17" t="s">
        <v>919</v>
      </c>
      <c r="AB1882" s="17" t="s">
        <v>41</v>
      </c>
      <c r="AC1882" s="0" t="str">
        <f aca="false">LEFT(G1882,2)</f>
        <v>13</v>
      </c>
      <c r="AE1882" s="21" t="s">
        <v>238</v>
      </c>
    </row>
    <row r="1883" customFormat="false" ht="15" hidden="false" customHeight="false" outlineLevel="0" collapsed="false">
      <c r="A1883" s="13" t="n">
        <f aca="false">1+A1882</f>
        <v>1881</v>
      </c>
      <c r="B1883" s="14" t="n">
        <v>1008751844</v>
      </c>
      <c r="C1883" s="17" t="s">
        <v>484</v>
      </c>
      <c r="D1883" s="16" t="s">
        <v>86</v>
      </c>
      <c r="E1883" s="17" t="s">
        <v>47</v>
      </c>
      <c r="F1883" s="18" t="s">
        <v>34</v>
      </c>
      <c r="G1883" s="19" t="n">
        <v>134063438276</v>
      </c>
      <c r="H1883" s="17" t="s">
        <v>134</v>
      </c>
      <c r="I1883" s="17" t="s">
        <v>44</v>
      </c>
      <c r="J1883" s="17" t="s">
        <v>106</v>
      </c>
      <c r="K1883" s="17" t="str">
        <f aca="false">VLOOKUP(J1883,Sheet2!A:B,2,0)</f>
        <v>PRAKASH CHAVDA</v>
      </c>
      <c r="L1883" s="17" t="n">
        <v>5</v>
      </c>
      <c r="M1883" s="17" t="str">
        <f aca="false">VLOOKUP(L1883,Sheet2!D:E,2,0)</f>
        <v>Main Processor CPU BGA</v>
      </c>
      <c r="N1883" s="17" t="n">
        <v>1</v>
      </c>
      <c r="O1883" s="17" t="str">
        <f aca="false">VLOOKUP(N1883,Sheet2!G:H,2,0)</f>
        <v>Dead</v>
      </c>
      <c r="P1883" s="17" t="n">
        <v>12</v>
      </c>
      <c r="Q1883" s="17" t="str">
        <f aca="false">VLOOKUP(P1883,Sheet2!J:K,2,0)</f>
        <v>IR Declared due to Others ( IR Normal)TB</v>
      </c>
      <c r="R1883" s="17" t="s">
        <v>35</v>
      </c>
      <c r="S1883" s="17" t="str">
        <f aca="false">VLOOKUP(R1883,Sheet2!N:O,2,0)</f>
        <v>IREPARABLE</v>
      </c>
      <c r="T1883" s="18" t="str">
        <f aca="false">VLOOKUP(P1883,Sheet2!Q:R,2,0)</f>
        <v>IR Normal - BER to IR</v>
      </c>
      <c r="U1883" s="20" t="s">
        <v>135</v>
      </c>
      <c r="V1883" s="17" t="n">
        <v>12</v>
      </c>
      <c r="W1883" s="20" t="str">
        <f aca="false">VLOOKUP(V1883,Sheet2!Q:R,2,0)</f>
        <v>IR Normal - BER to IR</v>
      </c>
      <c r="X1883" s="17" t="str">
        <f aca="false">J1883</f>
        <v>A018</v>
      </c>
      <c r="Y1883" s="17" t="str">
        <f aca="false">VLOOKUP(X1883,Sheet2!A:B,2,0)</f>
        <v>PRAKASH CHAVDA</v>
      </c>
      <c r="Z1883" s="17" t="s">
        <v>136</v>
      </c>
      <c r="AA1883" s="17" t="s">
        <v>919</v>
      </c>
      <c r="AB1883" s="17" t="s">
        <v>41</v>
      </c>
      <c r="AC1883" s="0" t="str">
        <f aca="false">LEFT(G1883,2)</f>
        <v>13</v>
      </c>
      <c r="AE1883" s="21" t="s">
        <v>238</v>
      </c>
    </row>
    <row r="1884" customFormat="false" ht="15" hidden="false" customHeight="false" outlineLevel="0" collapsed="false">
      <c r="A1884" s="13" t="n">
        <f aca="false">1+A1883</f>
        <v>1882</v>
      </c>
      <c r="B1884" s="14" t="n">
        <v>1008860196</v>
      </c>
      <c r="C1884" s="17" t="s">
        <v>934</v>
      </c>
      <c r="D1884" s="16" t="s">
        <v>86</v>
      </c>
      <c r="E1884" s="17" t="s">
        <v>47</v>
      </c>
      <c r="F1884" s="18" t="s">
        <v>34</v>
      </c>
      <c r="G1884" s="19" t="n">
        <v>134063468364</v>
      </c>
      <c r="H1884" s="17" t="s">
        <v>134</v>
      </c>
      <c r="I1884" s="17" t="s">
        <v>44</v>
      </c>
      <c r="J1884" s="17" t="s">
        <v>106</v>
      </c>
      <c r="K1884" s="17" t="str">
        <f aca="false">VLOOKUP(J1884,Sheet2!A:B,2,0)</f>
        <v>PRAKASH CHAVDA</v>
      </c>
      <c r="L1884" s="17" t="n">
        <v>5</v>
      </c>
      <c r="M1884" s="17" t="str">
        <f aca="false">VLOOKUP(L1884,Sheet2!D:E,2,0)</f>
        <v>Main Processor CPU BGA</v>
      </c>
      <c r="N1884" s="17" t="n">
        <v>1</v>
      </c>
      <c r="O1884" s="17" t="str">
        <f aca="false">VLOOKUP(N1884,Sheet2!G:H,2,0)</f>
        <v>Dead</v>
      </c>
      <c r="P1884" s="17" t="n">
        <v>12</v>
      </c>
      <c r="Q1884" s="17" t="str">
        <f aca="false">VLOOKUP(P1884,Sheet2!J:K,2,0)</f>
        <v>IR Declared due to Others ( IR Normal)TB</v>
      </c>
      <c r="R1884" s="17" t="s">
        <v>35</v>
      </c>
      <c r="S1884" s="17" t="str">
        <f aca="false">VLOOKUP(R1884,Sheet2!N:O,2,0)</f>
        <v>IREPARABLE</v>
      </c>
      <c r="T1884" s="18" t="str">
        <f aca="false">VLOOKUP(P1884,Sheet2!Q:R,2,0)</f>
        <v>IR Normal - BER to IR</v>
      </c>
      <c r="U1884" s="20" t="s">
        <v>135</v>
      </c>
      <c r="V1884" s="17" t="n">
        <v>12</v>
      </c>
      <c r="W1884" s="20" t="str">
        <f aca="false">VLOOKUP(V1884,Sheet2!Q:R,2,0)</f>
        <v>IR Normal - BER to IR</v>
      </c>
      <c r="X1884" s="17" t="str">
        <f aca="false">J1884</f>
        <v>A018</v>
      </c>
      <c r="Y1884" s="17" t="str">
        <f aca="false">VLOOKUP(X1884,Sheet2!A:B,2,0)</f>
        <v>PRAKASH CHAVDA</v>
      </c>
      <c r="Z1884" s="17" t="s">
        <v>136</v>
      </c>
      <c r="AA1884" s="17" t="s">
        <v>919</v>
      </c>
      <c r="AB1884" s="17" t="s">
        <v>41</v>
      </c>
      <c r="AC1884" s="0" t="str">
        <f aca="false">LEFT(G1884,2)</f>
        <v>13</v>
      </c>
      <c r="AE1884" s="21" t="s">
        <v>238</v>
      </c>
    </row>
    <row r="1885" customFormat="false" ht="15" hidden="false" customHeight="false" outlineLevel="0" collapsed="false">
      <c r="A1885" s="13" t="n">
        <f aca="false">1+A1884</f>
        <v>1883</v>
      </c>
      <c r="B1885" s="14" t="n">
        <v>1008858961</v>
      </c>
      <c r="C1885" s="17" t="s">
        <v>934</v>
      </c>
      <c r="D1885" s="16" t="s">
        <v>105</v>
      </c>
      <c r="E1885" s="17" t="s">
        <v>47</v>
      </c>
      <c r="F1885" s="18" t="s">
        <v>34</v>
      </c>
      <c r="G1885" s="19" t="n">
        <v>134247511154</v>
      </c>
      <c r="H1885" s="17" t="s">
        <v>134</v>
      </c>
      <c r="I1885" s="17" t="s">
        <v>44</v>
      </c>
      <c r="J1885" s="17" t="s">
        <v>106</v>
      </c>
      <c r="K1885" s="17" t="str">
        <f aca="false">VLOOKUP(J1885,Sheet2!A:B,2,0)</f>
        <v>PRAKASH CHAVDA</v>
      </c>
      <c r="L1885" s="17" t="n">
        <v>5</v>
      </c>
      <c r="M1885" s="17" t="str">
        <f aca="false">VLOOKUP(L1885,Sheet2!D:E,2,0)</f>
        <v>Main Processor CPU BGA</v>
      </c>
      <c r="N1885" s="17" t="n">
        <v>1</v>
      </c>
      <c r="O1885" s="17" t="str">
        <f aca="false">VLOOKUP(N1885,Sheet2!G:H,2,0)</f>
        <v>Dead</v>
      </c>
      <c r="P1885" s="17" t="n">
        <v>12</v>
      </c>
      <c r="Q1885" s="17" t="str">
        <f aca="false">VLOOKUP(P1885,Sheet2!J:K,2,0)</f>
        <v>IR Declared due to Others ( IR Normal)TB</v>
      </c>
      <c r="R1885" s="17" t="s">
        <v>35</v>
      </c>
      <c r="S1885" s="17" t="str">
        <f aca="false">VLOOKUP(R1885,Sheet2!N:O,2,0)</f>
        <v>IREPARABLE</v>
      </c>
      <c r="T1885" s="18" t="str">
        <f aca="false">VLOOKUP(P1885,Sheet2!Q:R,2,0)</f>
        <v>IR Normal - BER to IR</v>
      </c>
      <c r="U1885" s="20" t="s">
        <v>135</v>
      </c>
      <c r="V1885" s="17" t="n">
        <v>12</v>
      </c>
      <c r="W1885" s="20" t="str">
        <f aca="false">VLOOKUP(V1885,Sheet2!Q:R,2,0)</f>
        <v>IR Normal - BER to IR</v>
      </c>
      <c r="X1885" s="17" t="str">
        <f aca="false">J1885</f>
        <v>A018</v>
      </c>
      <c r="Y1885" s="17" t="str">
        <f aca="false">VLOOKUP(X1885,Sheet2!A:B,2,0)</f>
        <v>PRAKASH CHAVDA</v>
      </c>
      <c r="Z1885" s="17" t="s">
        <v>136</v>
      </c>
      <c r="AA1885" s="17" t="s">
        <v>919</v>
      </c>
      <c r="AB1885" s="17" t="s">
        <v>41</v>
      </c>
      <c r="AC1885" s="0" t="str">
        <f aca="false">LEFT(G1885,2)</f>
        <v>13</v>
      </c>
      <c r="AE1885" s="21" t="s">
        <v>238</v>
      </c>
    </row>
    <row r="1886" customFormat="false" ht="15" hidden="false" customHeight="false" outlineLevel="0" collapsed="false">
      <c r="A1886" s="13" t="n">
        <f aca="false">1+A1885</f>
        <v>1884</v>
      </c>
      <c r="B1886" s="14" t="n">
        <v>1008522569</v>
      </c>
      <c r="C1886" s="17" t="s">
        <v>947</v>
      </c>
      <c r="D1886" s="16" t="s">
        <v>64</v>
      </c>
      <c r="E1886" s="17" t="s">
        <v>47</v>
      </c>
      <c r="F1886" s="18" t="s">
        <v>34</v>
      </c>
      <c r="G1886" s="19" t="s">
        <v>948</v>
      </c>
      <c r="H1886" s="17" t="s">
        <v>134</v>
      </c>
      <c r="I1886" s="17" t="s">
        <v>44</v>
      </c>
      <c r="J1886" s="17" t="s">
        <v>106</v>
      </c>
      <c r="K1886" s="17" t="str">
        <f aca="false">VLOOKUP(J1886,Sheet2!A:B,2,0)</f>
        <v>PRAKASH CHAVDA</v>
      </c>
      <c r="L1886" s="17" t="n">
        <v>1</v>
      </c>
      <c r="M1886" s="17" t="str">
        <f aca="false">VLOOKUP(L1886,Sheet2!D:E,2,0)</f>
        <v>Power Supply Section</v>
      </c>
      <c r="N1886" s="17" t="n">
        <v>1</v>
      </c>
      <c r="O1886" s="17" t="str">
        <f aca="false">VLOOKUP(N1886,Sheet2!G:H,2,0)</f>
        <v>Dead</v>
      </c>
      <c r="P1886" s="17" t="n">
        <v>12</v>
      </c>
      <c r="Q1886" s="17" t="str">
        <f aca="false">VLOOKUP(P1886,Sheet2!J:K,2,0)</f>
        <v>IR Declared due to Others ( IR Normal)TB</v>
      </c>
      <c r="R1886" s="17" t="s">
        <v>35</v>
      </c>
      <c r="S1886" s="17" t="str">
        <f aca="false">VLOOKUP(R1886,Sheet2!N:O,2,0)</f>
        <v>IREPARABLE</v>
      </c>
      <c r="T1886" s="18" t="str">
        <f aca="false">VLOOKUP(P1886,Sheet2!Q:R,2,0)</f>
        <v>IR Normal - BER to IR</v>
      </c>
      <c r="U1886" s="20" t="s">
        <v>135</v>
      </c>
      <c r="V1886" s="17" t="n">
        <v>12</v>
      </c>
      <c r="W1886" s="20" t="str">
        <f aca="false">VLOOKUP(V1886,Sheet2!Q:R,2,0)</f>
        <v>IR Normal - BER to IR</v>
      </c>
      <c r="X1886" s="17" t="str">
        <f aca="false">J1886</f>
        <v>A018</v>
      </c>
      <c r="Y1886" s="17" t="str">
        <f aca="false">VLOOKUP(X1886,Sheet2!A:B,2,0)</f>
        <v>PRAKASH CHAVDA</v>
      </c>
      <c r="Z1886" s="17" t="s">
        <v>504</v>
      </c>
      <c r="AA1886" s="17" t="s">
        <v>919</v>
      </c>
      <c r="AB1886" s="17" t="s">
        <v>41</v>
      </c>
      <c r="AC1886" s="0" t="str">
        <f aca="false">LEFT(G1886,2)</f>
        <v>13</v>
      </c>
      <c r="AE1886" s="21" t="s">
        <v>238</v>
      </c>
    </row>
    <row r="1887" customFormat="false" ht="15" hidden="false" customHeight="false" outlineLevel="0" collapsed="false">
      <c r="A1887" s="13" t="n">
        <f aca="false">1+A1886</f>
        <v>1885</v>
      </c>
      <c r="B1887" s="14" t="n">
        <v>1008944844</v>
      </c>
      <c r="C1887" s="17" t="s">
        <v>936</v>
      </c>
      <c r="D1887" s="16" t="s">
        <v>854</v>
      </c>
      <c r="E1887" s="17" t="s">
        <v>64</v>
      </c>
      <c r="F1887" s="18" t="s">
        <v>34</v>
      </c>
      <c r="G1887" s="19" t="n">
        <v>135202031633</v>
      </c>
      <c r="H1887" s="17" t="s">
        <v>134</v>
      </c>
      <c r="I1887" s="17" t="s">
        <v>44</v>
      </c>
      <c r="J1887" s="17" t="s">
        <v>106</v>
      </c>
      <c r="K1887" s="17" t="str">
        <f aca="false">VLOOKUP(J1887,Sheet2!A:B,2,0)</f>
        <v>PRAKASH CHAVDA</v>
      </c>
      <c r="L1887" s="17" t="n">
        <v>5</v>
      </c>
      <c r="M1887" s="17" t="str">
        <f aca="false">VLOOKUP(L1887,Sheet2!D:E,2,0)</f>
        <v>Main Processor CPU BGA</v>
      </c>
      <c r="N1887" s="17" t="n">
        <v>1</v>
      </c>
      <c r="O1887" s="17" t="str">
        <f aca="false">VLOOKUP(N1887,Sheet2!G:H,2,0)</f>
        <v>Dead</v>
      </c>
      <c r="P1887" s="17" t="n">
        <v>12</v>
      </c>
      <c r="Q1887" s="17" t="str">
        <f aca="false">VLOOKUP(P1887,Sheet2!J:K,2,0)</f>
        <v>IR Declared due to Others ( IR Normal)TB</v>
      </c>
      <c r="R1887" s="17" t="s">
        <v>35</v>
      </c>
      <c r="S1887" s="17" t="str">
        <f aca="false">VLOOKUP(R1887,Sheet2!N:O,2,0)</f>
        <v>IREPARABLE</v>
      </c>
      <c r="T1887" s="18" t="str">
        <f aca="false">VLOOKUP(P1887,Sheet2!Q:R,2,0)</f>
        <v>IR Normal - BER to IR</v>
      </c>
      <c r="U1887" s="20" t="s">
        <v>135</v>
      </c>
      <c r="V1887" s="17" t="n">
        <v>12</v>
      </c>
      <c r="W1887" s="20" t="str">
        <f aca="false">VLOOKUP(V1887,Sheet2!Q:R,2,0)</f>
        <v>IR Normal - BER to IR</v>
      </c>
      <c r="X1887" s="17" t="str">
        <f aca="false">J1887</f>
        <v>A018</v>
      </c>
      <c r="Y1887" s="17" t="str">
        <f aca="false">VLOOKUP(X1887,Sheet2!A:B,2,0)</f>
        <v>PRAKASH CHAVDA</v>
      </c>
      <c r="Z1887" s="17" t="s">
        <v>136</v>
      </c>
      <c r="AA1887" s="17" t="s">
        <v>919</v>
      </c>
      <c r="AB1887" s="17" t="s">
        <v>41</v>
      </c>
      <c r="AC1887" s="0" t="str">
        <f aca="false">LEFT(G1887,2)</f>
        <v>13</v>
      </c>
      <c r="AE1887" s="21" t="s">
        <v>238</v>
      </c>
    </row>
    <row r="1888" customFormat="false" ht="15" hidden="false" customHeight="false" outlineLevel="0" collapsed="false">
      <c r="A1888" s="13" t="n">
        <f aca="false">1+A1887</f>
        <v>1886</v>
      </c>
      <c r="B1888" s="14" t="n">
        <v>1008825061</v>
      </c>
      <c r="C1888" s="17" t="s">
        <v>438</v>
      </c>
      <c r="D1888" s="16" t="s">
        <v>231</v>
      </c>
      <c r="E1888" s="17" t="s">
        <v>47</v>
      </c>
      <c r="F1888" s="18" t="s">
        <v>34</v>
      </c>
      <c r="G1888" s="19" t="n">
        <v>134023449991</v>
      </c>
      <c r="H1888" s="17" t="s">
        <v>134</v>
      </c>
      <c r="I1888" s="17" t="s">
        <v>44</v>
      </c>
      <c r="J1888" s="17" t="s">
        <v>106</v>
      </c>
      <c r="K1888" s="17" t="str">
        <f aca="false">VLOOKUP(J1888,Sheet2!A:B,2,0)</f>
        <v>PRAKASH CHAVDA</v>
      </c>
      <c r="L1888" s="17" t="n">
        <v>5</v>
      </c>
      <c r="M1888" s="17" t="str">
        <f aca="false">VLOOKUP(L1888,Sheet2!D:E,2,0)</f>
        <v>Main Processor CPU BGA</v>
      </c>
      <c r="N1888" s="17" t="n">
        <v>1</v>
      </c>
      <c r="O1888" s="17" t="str">
        <f aca="false">VLOOKUP(N1888,Sheet2!G:H,2,0)</f>
        <v>Dead</v>
      </c>
      <c r="P1888" s="17" t="n">
        <v>12</v>
      </c>
      <c r="Q1888" s="17" t="str">
        <f aca="false">VLOOKUP(P1888,Sheet2!J:K,2,0)</f>
        <v>IR Declared due to Others ( IR Normal)TB</v>
      </c>
      <c r="R1888" s="17" t="s">
        <v>35</v>
      </c>
      <c r="S1888" s="17" t="str">
        <f aca="false">VLOOKUP(R1888,Sheet2!N:O,2,0)</f>
        <v>IREPARABLE</v>
      </c>
      <c r="T1888" s="18" t="str">
        <f aca="false">VLOOKUP(P1888,Sheet2!Q:R,2,0)</f>
        <v>IR Normal - BER to IR</v>
      </c>
      <c r="U1888" s="20" t="s">
        <v>135</v>
      </c>
      <c r="V1888" s="17" t="n">
        <v>12</v>
      </c>
      <c r="W1888" s="20" t="str">
        <f aca="false">VLOOKUP(V1888,Sheet2!Q:R,2,0)</f>
        <v>IR Normal - BER to IR</v>
      </c>
      <c r="X1888" s="17" t="str">
        <f aca="false">J1888</f>
        <v>A018</v>
      </c>
      <c r="Y1888" s="17" t="str">
        <f aca="false">VLOOKUP(X1888,Sheet2!A:B,2,0)</f>
        <v>PRAKASH CHAVDA</v>
      </c>
      <c r="Z1888" s="17" t="s">
        <v>136</v>
      </c>
      <c r="AA1888" s="17" t="s">
        <v>919</v>
      </c>
      <c r="AB1888" s="17" t="s">
        <v>41</v>
      </c>
      <c r="AC1888" s="0" t="str">
        <f aca="false">LEFT(G1888,2)</f>
        <v>13</v>
      </c>
      <c r="AE1888" s="21" t="s">
        <v>238</v>
      </c>
    </row>
    <row r="1889" customFormat="false" ht="15" hidden="false" customHeight="false" outlineLevel="0" collapsed="false">
      <c r="A1889" s="13" t="n">
        <f aca="false">1+A1888</f>
        <v>1887</v>
      </c>
      <c r="B1889" s="14" t="n">
        <v>1008477111</v>
      </c>
      <c r="C1889" s="17" t="s">
        <v>464</v>
      </c>
      <c r="D1889" s="16" t="s">
        <v>158</v>
      </c>
      <c r="E1889" s="17" t="s">
        <v>255</v>
      </c>
      <c r="F1889" s="18" t="s">
        <v>34</v>
      </c>
      <c r="G1889" s="19" t="n">
        <v>133339198052</v>
      </c>
      <c r="H1889" s="17" t="s">
        <v>134</v>
      </c>
      <c r="I1889" s="17" t="s">
        <v>44</v>
      </c>
      <c r="J1889" s="17" t="s">
        <v>106</v>
      </c>
      <c r="K1889" s="17" t="str">
        <f aca="false">VLOOKUP(J1889,Sheet2!A:B,2,0)</f>
        <v>PRAKASH CHAVDA</v>
      </c>
      <c r="L1889" s="17" t="n">
        <v>1</v>
      </c>
      <c r="M1889" s="17" t="str">
        <f aca="false">VLOOKUP(L1889,Sheet2!D:E,2,0)</f>
        <v>Power Supply Section</v>
      </c>
      <c r="N1889" s="17" t="n">
        <v>1</v>
      </c>
      <c r="O1889" s="17" t="str">
        <f aca="false">VLOOKUP(N1889,Sheet2!G:H,2,0)</f>
        <v>Dead</v>
      </c>
      <c r="P1889" s="17" t="n">
        <v>12</v>
      </c>
      <c r="Q1889" s="17" t="str">
        <f aca="false">VLOOKUP(P1889,Sheet2!J:K,2,0)</f>
        <v>IR Declared due to Others ( IR Normal)TB</v>
      </c>
      <c r="R1889" s="17" t="s">
        <v>35</v>
      </c>
      <c r="S1889" s="17" t="str">
        <f aca="false">VLOOKUP(R1889,Sheet2!N:O,2,0)</f>
        <v>IREPARABLE</v>
      </c>
      <c r="T1889" s="18" t="str">
        <f aca="false">VLOOKUP(P1889,Sheet2!Q:R,2,0)</f>
        <v>IR Normal - BER to IR</v>
      </c>
      <c r="U1889" s="20" t="s">
        <v>135</v>
      </c>
      <c r="V1889" s="17" t="n">
        <v>12</v>
      </c>
      <c r="W1889" s="20" t="str">
        <f aca="false">VLOOKUP(V1889,Sheet2!Q:R,2,0)</f>
        <v>IR Normal - BER to IR</v>
      </c>
      <c r="X1889" s="17" t="str">
        <f aca="false">J1889</f>
        <v>A018</v>
      </c>
      <c r="Y1889" s="17" t="str">
        <f aca="false">VLOOKUP(X1889,Sheet2!A:B,2,0)</f>
        <v>PRAKASH CHAVDA</v>
      </c>
      <c r="Z1889" s="17" t="s">
        <v>504</v>
      </c>
      <c r="AA1889" s="17" t="s">
        <v>919</v>
      </c>
      <c r="AB1889" s="17" t="s">
        <v>41</v>
      </c>
      <c r="AC1889" s="0" t="str">
        <f aca="false">LEFT(G1889,2)</f>
        <v>13</v>
      </c>
      <c r="AE1889" s="21" t="s">
        <v>238</v>
      </c>
    </row>
    <row r="1890" customFormat="false" ht="15" hidden="false" customHeight="false" outlineLevel="0" collapsed="false">
      <c r="A1890" s="13" t="n">
        <f aca="false">1+A1889</f>
        <v>1888</v>
      </c>
      <c r="B1890" s="14" t="n">
        <v>1008949497</v>
      </c>
      <c r="C1890" s="17" t="s">
        <v>936</v>
      </c>
      <c r="D1890" s="16" t="s">
        <v>119</v>
      </c>
      <c r="E1890" s="17" t="s">
        <v>255</v>
      </c>
      <c r="F1890" s="18" t="s">
        <v>34</v>
      </c>
      <c r="G1890" s="19" t="n">
        <v>134127282082</v>
      </c>
      <c r="H1890" s="17" t="s">
        <v>134</v>
      </c>
      <c r="I1890" s="17" t="s">
        <v>44</v>
      </c>
      <c r="J1890" s="17" t="s">
        <v>106</v>
      </c>
      <c r="K1890" s="17" t="str">
        <f aca="false">VLOOKUP(J1890,Sheet2!A:B,2,0)</f>
        <v>PRAKASH CHAVDA</v>
      </c>
      <c r="L1890" s="17" t="n">
        <v>5</v>
      </c>
      <c r="M1890" s="17" t="str">
        <f aca="false">VLOOKUP(L1890,Sheet2!D:E,2,0)</f>
        <v>Main Processor CPU BGA</v>
      </c>
      <c r="N1890" s="17" t="n">
        <v>24</v>
      </c>
      <c r="O1890" s="17" t="str">
        <f aca="false">VLOOKUP(N1890,Sheet2!G:H,2,0)</f>
        <v>STB Auto moving -Stand by mode</v>
      </c>
      <c r="P1890" s="17" t="n">
        <v>12</v>
      </c>
      <c r="Q1890" s="17" t="str">
        <f aca="false">VLOOKUP(P1890,Sheet2!J:K,2,0)</f>
        <v>IR Declared due to Others ( IR Normal)TB</v>
      </c>
      <c r="R1890" s="17" t="s">
        <v>35</v>
      </c>
      <c r="S1890" s="17" t="str">
        <f aca="false">VLOOKUP(R1890,Sheet2!N:O,2,0)</f>
        <v>IREPARABLE</v>
      </c>
      <c r="T1890" s="18" t="str">
        <f aca="false">VLOOKUP(P1890,Sheet2!Q:R,2,0)</f>
        <v>IR Normal - BER to IR</v>
      </c>
      <c r="U1890" s="20" t="s">
        <v>135</v>
      </c>
      <c r="V1890" s="17" t="n">
        <v>12</v>
      </c>
      <c r="W1890" s="20" t="str">
        <f aca="false">VLOOKUP(V1890,Sheet2!Q:R,2,0)</f>
        <v>IR Normal - BER to IR</v>
      </c>
      <c r="X1890" s="17" t="str">
        <f aca="false">J1890</f>
        <v>A018</v>
      </c>
      <c r="Y1890" s="17" t="str">
        <f aca="false">VLOOKUP(X1890,Sheet2!A:B,2,0)</f>
        <v>PRAKASH CHAVDA</v>
      </c>
      <c r="Z1890" s="17" t="s">
        <v>136</v>
      </c>
      <c r="AA1890" s="17" t="s">
        <v>919</v>
      </c>
      <c r="AB1890" s="17" t="s">
        <v>41</v>
      </c>
      <c r="AC1890" s="0" t="str">
        <f aca="false">LEFT(G1890,2)</f>
        <v>13</v>
      </c>
      <c r="AE1890" s="21" t="s">
        <v>238</v>
      </c>
    </row>
    <row r="1891" customFormat="false" ht="15" hidden="false" customHeight="false" outlineLevel="0" collapsed="false">
      <c r="A1891" s="13" t="n">
        <f aca="false">1+A1890</f>
        <v>1889</v>
      </c>
      <c r="B1891" s="14" t="n">
        <v>1008706480</v>
      </c>
      <c r="C1891" s="17" t="s">
        <v>944</v>
      </c>
      <c r="D1891" s="16" t="s">
        <v>453</v>
      </c>
      <c r="E1891" s="17" t="s">
        <v>47</v>
      </c>
      <c r="F1891" s="18" t="s">
        <v>34</v>
      </c>
      <c r="G1891" s="19" t="n">
        <v>134203120073</v>
      </c>
      <c r="H1891" s="17" t="s">
        <v>134</v>
      </c>
      <c r="I1891" s="17" t="s">
        <v>44</v>
      </c>
      <c r="J1891" s="17" t="s">
        <v>106</v>
      </c>
      <c r="K1891" s="17" t="str">
        <f aca="false">VLOOKUP(J1891,Sheet2!A:B,2,0)</f>
        <v>PRAKASH CHAVDA</v>
      </c>
      <c r="L1891" s="17" t="n">
        <v>5</v>
      </c>
      <c r="M1891" s="17" t="str">
        <f aca="false">VLOOKUP(L1891,Sheet2!D:E,2,0)</f>
        <v>Main Processor CPU BGA</v>
      </c>
      <c r="N1891" s="17" t="n">
        <v>1</v>
      </c>
      <c r="O1891" s="17" t="str">
        <f aca="false">VLOOKUP(N1891,Sheet2!G:H,2,0)</f>
        <v>Dead</v>
      </c>
      <c r="P1891" s="17" t="n">
        <v>12</v>
      </c>
      <c r="Q1891" s="17" t="str">
        <f aca="false">VLOOKUP(P1891,Sheet2!J:K,2,0)</f>
        <v>IR Declared due to Others ( IR Normal)TB</v>
      </c>
      <c r="R1891" s="17" t="s">
        <v>35</v>
      </c>
      <c r="S1891" s="17" t="str">
        <f aca="false">VLOOKUP(R1891,Sheet2!N:O,2,0)</f>
        <v>IREPARABLE</v>
      </c>
      <c r="T1891" s="18" t="str">
        <f aca="false">VLOOKUP(P1891,Sheet2!Q:R,2,0)</f>
        <v>IR Normal - BER to IR</v>
      </c>
      <c r="U1891" s="20" t="s">
        <v>135</v>
      </c>
      <c r="V1891" s="17" t="n">
        <v>12</v>
      </c>
      <c r="W1891" s="20" t="str">
        <f aca="false">VLOOKUP(V1891,Sheet2!Q:R,2,0)</f>
        <v>IR Normal - BER to IR</v>
      </c>
      <c r="X1891" s="17" t="str">
        <f aca="false">J1891</f>
        <v>A018</v>
      </c>
      <c r="Y1891" s="17" t="str">
        <f aca="false">VLOOKUP(X1891,Sheet2!A:B,2,0)</f>
        <v>PRAKASH CHAVDA</v>
      </c>
      <c r="Z1891" s="17" t="s">
        <v>136</v>
      </c>
      <c r="AA1891" s="17" t="s">
        <v>919</v>
      </c>
      <c r="AB1891" s="17" t="s">
        <v>41</v>
      </c>
      <c r="AC1891" s="0" t="str">
        <f aca="false">LEFT(G1891,2)</f>
        <v>13</v>
      </c>
      <c r="AE1891" s="21" t="s">
        <v>238</v>
      </c>
    </row>
    <row r="1892" customFormat="false" ht="15" hidden="false" customHeight="false" outlineLevel="0" collapsed="false">
      <c r="A1892" s="13" t="n">
        <f aca="false">1+A1891</f>
        <v>1890</v>
      </c>
      <c r="B1892" s="14" t="n">
        <v>1008428912</v>
      </c>
      <c r="C1892" s="17" t="s">
        <v>943</v>
      </c>
      <c r="D1892" s="16" t="s">
        <v>64</v>
      </c>
      <c r="E1892" s="17" t="s">
        <v>949</v>
      </c>
      <c r="F1892" s="18" t="s">
        <v>34</v>
      </c>
      <c r="G1892" s="19" t="n">
        <v>135201026063</v>
      </c>
      <c r="H1892" s="17" t="s">
        <v>134</v>
      </c>
      <c r="I1892" s="17" t="s">
        <v>44</v>
      </c>
      <c r="J1892" s="17" t="s">
        <v>106</v>
      </c>
      <c r="K1892" s="17" t="str">
        <f aca="false">VLOOKUP(J1892,Sheet2!A:B,2,0)</f>
        <v>PRAKASH CHAVDA</v>
      </c>
      <c r="L1892" s="17" t="n">
        <v>1</v>
      </c>
      <c r="M1892" s="17" t="str">
        <f aca="false">VLOOKUP(L1892,Sheet2!D:E,2,0)</f>
        <v>Power Supply Section</v>
      </c>
      <c r="N1892" s="17" t="n">
        <v>1</v>
      </c>
      <c r="O1892" s="17" t="str">
        <f aca="false">VLOOKUP(N1892,Sheet2!G:H,2,0)</f>
        <v>Dead</v>
      </c>
      <c r="P1892" s="17" t="n">
        <v>12</v>
      </c>
      <c r="Q1892" s="17" t="str">
        <f aca="false">VLOOKUP(P1892,Sheet2!J:K,2,0)</f>
        <v>IR Declared due to Others ( IR Normal)TB</v>
      </c>
      <c r="R1892" s="17" t="s">
        <v>35</v>
      </c>
      <c r="S1892" s="17" t="str">
        <f aca="false">VLOOKUP(R1892,Sheet2!N:O,2,0)</f>
        <v>IREPARABLE</v>
      </c>
      <c r="T1892" s="18" t="str">
        <f aca="false">VLOOKUP(P1892,Sheet2!Q:R,2,0)</f>
        <v>IR Normal - BER to IR</v>
      </c>
      <c r="U1892" s="20" t="s">
        <v>135</v>
      </c>
      <c r="V1892" s="17" t="n">
        <v>12</v>
      </c>
      <c r="W1892" s="20" t="str">
        <f aca="false">VLOOKUP(V1892,Sheet2!Q:R,2,0)</f>
        <v>IR Normal - BER to IR</v>
      </c>
      <c r="X1892" s="17" t="str">
        <f aca="false">J1892</f>
        <v>A018</v>
      </c>
      <c r="Y1892" s="17" t="str">
        <f aca="false">VLOOKUP(X1892,Sheet2!A:B,2,0)</f>
        <v>PRAKASH CHAVDA</v>
      </c>
      <c r="Z1892" s="17" t="s">
        <v>504</v>
      </c>
      <c r="AA1892" s="17" t="s">
        <v>919</v>
      </c>
      <c r="AB1892" s="17" t="s">
        <v>41</v>
      </c>
      <c r="AC1892" s="0" t="str">
        <f aca="false">LEFT(G1892,2)</f>
        <v>13</v>
      </c>
      <c r="AE1892" s="21" t="s">
        <v>238</v>
      </c>
    </row>
    <row r="1893" customFormat="false" ht="15" hidden="false" customHeight="false" outlineLevel="0" collapsed="false">
      <c r="A1893" s="13" t="n">
        <f aca="false">1+A1892</f>
        <v>1891</v>
      </c>
      <c r="B1893" s="14" t="n">
        <v>1008814304</v>
      </c>
      <c r="C1893" s="17" t="s">
        <v>438</v>
      </c>
      <c r="D1893" s="16" t="s">
        <v>64</v>
      </c>
      <c r="E1893" s="17" t="s">
        <v>47</v>
      </c>
      <c r="F1893" s="18" t="s">
        <v>34</v>
      </c>
      <c r="G1893" s="19" t="n">
        <v>134240367620</v>
      </c>
      <c r="H1893" s="17" t="s">
        <v>134</v>
      </c>
      <c r="I1893" s="17" t="s">
        <v>44</v>
      </c>
      <c r="J1893" s="17" t="s">
        <v>106</v>
      </c>
      <c r="K1893" s="17" t="str">
        <f aca="false">VLOOKUP(J1893,Sheet2!A:B,2,0)</f>
        <v>PRAKASH CHAVDA</v>
      </c>
      <c r="L1893" s="17" t="n">
        <v>5</v>
      </c>
      <c r="M1893" s="17" t="str">
        <f aca="false">VLOOKUP(L1893,Sheet2!D:E,2,0)</f>
        <v>Main Processor CPU BGA</v>
      </c>
      <c r="N1893" s="17" t="n">
        <v>24</v>
      </c>
      <c r="O1893" s="17" t="str">
        <f aca="false">VLOOKUP(N1893,Sheet2!G:H,2,0)</f>
        <v>STB Auto moving -Stand by mode</v>
      </c>
      <c r="P1893" s="17" t="n">
        <v>12</v>
      </c>
      <c r="Q1893" s="17" t="str">
        <f aca="false">VLOOKUP(P1893,Sheet2!J:K,2,0)</f>
        <v>IR Declared due to Others ( IR Normal)TB</v>
      </c>
      <c r="R1893" s="17" t="s">
        <v>35</v>
      </c>
      <c r="S1893" s="17" t="str">
        <f aca="false">VLOOKUP(R1893,Sheet2!N:O,2,0)</f>
        <v>IREPARABLE</v>
      </c>
      <c r="T1893" s="18" t="str">
        <f aca="false">VLOOKUP(P1893,Sheet2!Q:R,2,0)</f>
        <v>IR Normal - BER to IR</v>
      </c>
      <c r="U1893" s="20" t="s">
        <v>135</v>
      </c>
      <c r="V1893" s="17" t="n">
        <v>12</v>
      </c>
      <c r="W1893" s="20" t="str">
        <f aca="false">VLOOKUP(V1893,Sheet2!Q:R,2,0)</f>
        <v>IR Normal - BER to IR</v>
      </c>
      <c r="X1893" s="17" t="str">
        <f aca="false">J1893</f>
        <v>A018</v>
      </c>
      <c r="Y1893" s="17" t="str">
        <f aca="false">VLOOKUP(X1893,Sheet2!A:B,2,0)</f>
        <v>PRAKASH CHAVDA</v>
      </c>
      <c r="Z1893" s="17" t="s">
        <v>136</v>
      </c>
      <c r="AA1893" s="17" t="s">
        <v>919</v>
      </c>
      <c r="AB1893" s="17" t="s">
        <v>41</v>
      </c>
      <c r="AC1893" s="0" t="str">
        <f aca="false">LEFT(G1893,2)</f>
        <v>13</v>
      </c>
      <c r="AE1893" s="21" t="s">
        <v>238</v>
      </c>
    </row>
    <row r="1894" customFormat="false" ht="15" hidden="false" customHeight="false" outlineLevel="0" collapsed="false">
      <c r="A1894" s="13" t="n">
        <f aca="false">1+A1893</f>
        <v>1892</v>
      </c>
      <c r="B1894" s="14" t="n">
        <v>1008859082</v>
      </c>
      <c r="C1894" s="17" t="s">
        <v>934</v>
      </c>
      <c r="D1894" s="16" t="s">
        <v>86</v>
      </c>
      <c r="E1894" s="17" t="s">
        <v>47</v>
      </c>
      <c r="F1894" s="18" t="s">
        <v>34</v>
      </c>
      <c r="G1894" s="19" t="n">
        <v>134283142906</v>
      </c>
      <c r="H1894" s="17" t="s">
        <v>134</v>
      </c>
      <c r="I1894" s="17" t="s">
        <v>44</v>
      </c>
      <c r="J1894" s="17" t="s">
        <v>106</v>
      </c>
      <c r="K1894" s="17" t="str">
        <f aca="false">VLOOKUP(J1894,Sheet2!A:B,2,0)</f>
        <v>PRAKASH CHAVDA</v>
      </c>
      <c r="L1894" s="17" t="n">
        <v>5</v>
      </c>
      <c r="M1894" s="17" t="str">
        <f aca="false">VLOOKUP(L1894,Sheet2!D:E,2,0)</f>
        <v>Main Processor CPU BGA</v>
      </c>
      <c r="N1894" s="17" t="n">
        <v>1</v>
      </c>
      <c r="O1894" s="17" t="str">
        <f aca="false">VLOOKUP(N1894,Sheet2!G:H,2,0)</f>
        <v>Dead</v>
      </c>
      <c r="P1894" s="17" t="n">
        <v>12</v>
      </c>
      <c r="Q1894" s="17" t="str">
        <f aca="false">VLOOKUP(P1894,Sheet2!J:K,2,0)</f>
        <v>IR Declared due to Others ( IR Normal)TB</v>
      </c>
      <c r="R1894" s="17" t="s">
        <v>35</v>
      </c>
      <c r="S1894" s="17" t="str">
        <f aca="false">VLOOKUP(R1894,Sheet2!N:O,2,0)</f>
        <v>IREPARABLE</v>
      </c>
      <c r="T1894" s="18" t="str">
        <f aca="false">VLOOKUP(P1894,Sheet2!Q:R,2,0)</f>
        <v>IR Normal - BER to IR</v>
      </c>
      <c r="U1894" s="20" t="s">
        <v>135</v>
      </c>
      <c r="V1894" s="17" t="n">
        <v>12</v>
      </c>
      <c r="W1894" s="20" t="str">
        <f aca="false">VLOOKUP(V1894,Sheet2!Q:R,2,0)</f>
        <v>IR Normal - BER to IR</v>
      </c>
      <c r="X1894" s="17" t="str">
        <f aca="false">J1894</f>
        <v>A018</v>
      </c>
      <c r="Y1894" s="17" t="str">
        <f aca="false">VLOOKUP(X1894,Sheet2!A:B,2,0)</f>
        <v>PRAKASH CHAVDA</v>
      </c>
      <c r="Z1894" s="17" t="s">
        <v>136</v>
      </c>
      <c r="AA1894" s="17" t="s">
        <v>919</v>
      </c>
      <c r="AB1894" s="17" t="s">
        <v>41</v>
      </c>
      <c r="AC1894" s="0" t="str">
        <f aca="false">LEFT(G1894,2)</f>
        <v>13</v>
      </c>
      <c r="AE1894" s="21" t="s">
        <v>238</v>
      </c>
    </row>
    <row r="1895" customFormat="false" ht="15" hidden="false" customHeight="false" outlineLevel="0" collapsed="false">
      <c r="A1895" s="13" t="n">
        <f aca="false">1+A1894</f>
        <v>1893</v>
      </c>
      <c r="B1895" s="14" t="n">
        <v>1008858926</v>
      </c>
      <c r="C1895" s="17" t="s">
        <v>934</v>
      </c>
      <c r="D1895" s="16" t="s">
        <v>86</v>
      </c>
      <c r="E1895" s="17" t="s">
        <v>47</v>
      </c>
      <c r="F1895" s="18" t="s">
        <v>34</v>
      </c>
      <c r="G1895" s="19" t="n">
        <v>135195023647</v>
      </c>
      <c r="H1895" s="17" t="s">
        <v>134</v>
      </c>
      <c r="I1895" s="17" t="s">
        <v>44</v>
      </c>
      <c r="J1895" s="17" t="s">
        <v>106</v>
      </c>
      <c r="K1895" s="17" t="str">
        <f aca="false">VLOOKUP(J1895,Sheet2!A:B,2,0)</f>
        <v>PRAKASH CHAVDA</v>
      </c>
      <c r="L1895" s="17" t="n">
        <v>5</v>
      </c>
      <c r="M1895" s="17" t="str">
        <f aca="false">VLOOKUP(L1895,Sheet2!D:E,2,0)</f>
        <v>Main Processor CPU BGA</v>
      </c>
      <c r="N1895" s="17" t="n">
        <v>1</v>
      </c>
      <c r="O1895" s="17" t="str">
        <f aca="false">VLOOKUP(N1895,Sheet2!G:H,2,0)</f>
        <v>Dead</v>
      </c>
      <c r="P1895" s="17" t="n">
        <v>12</v>
      </c>
      <c r="Q1895" s="17" t="str">
        <f aca="false">VLOOKUP(P1895,Sheet2!J:K,2,0)</f>
        <v>IR Declared due to Others ( IR Normal)TB</v>
      </c>
      <c r="R1895" s="17" t="s">
        <v>35</v>
      </c>
      <c r="S1895" s="17" t="str">
        <f aca="false">VLOOKUP(R1895,Sheet2!N:O,2,0)</f>
        <v>IREPARABLE</v>
      </c>
      <c r="T1895" s="18" t="str">
        <f aca="false">VLOOKUP(P1895,Sheet2!Q:R,2,0)</f>
        <v>IR Normal - BER to IR</v>
      </c>
      <c r="U1895" s="20" t="s">
        <v>135</v>
      </c>
      <c r="V1895" s="17" t="n">
        <v>12</v>
      </c>
      <c r="W1895" s="20" t="str">
        <f aca="false">VLOOKUP(V1895,Sheet2!Q:R,2,0)</f>
        <v>IR Normal - BER to IR</v>
      </c>
      <c r="X1895" s="17" t="str">
        <f aca="false">J1895</f>
        <v>A018</v>
      </c>
      <c r="Y1895" s="17" t="str">
        <f aca="false">VLOOKUP(X1895,Sheet2!A:B,2,0)</f>
        <v>PRAKASH CHAVDA</v>
      </c>
      <c r="Z1895" s="17" t="s">
        <v>136</v>
      </c>
      <c r="AA1895" s="17" t="s">
        <v>919</v>
      </c>
      <c r="AB1895" s="17" t="s">
        <v>41</v>
      </c>
      <c r="AC1895" s="0" t="str">
        <f aca="false">LEFT(G1895,2)</f>
        <v>13</v>
      </c>
      <c r="AE1895" s="21" t="s">
        <v>238</v>
      </c>
    </row>
    <row r="1896" customFormat="false" ht="15" hidden="false" customHeight="false" outlineLevel="0" collapsed="false">
      <c r="A1896" s="13" t="n">
        <f aca="false">1+A1895</f>
        <v>1894</v>
      </c>
      <c r="B1896" s="14" t="n">
        <v>1008374431</v>
      </c>
      <c r="C1896" s="17" t="s">
        <v>456</v>
      </c>
      <c r="D1896" s="16" t="s">
        <v>64</v>
      </c>
      <c r="E1896" s="17" t="s">
        <v>64</v>
      </c>
      <c r="F1896" s="18" t="s">
        <v>34</v>
      </c>
      <c r="G1896" s="19" t="n">
        <v>134331021219</v>
      </c>
      <c r="H1896" s="17" t="s">
        <v>134</v>
      </c>
      <c r="I1896" s="17" t="s">
        <v>44</v>
      </c>
      <c r="J1896" s="17" t="s">
        <v>106</v>
      </c>
      <c r="K1896" s="17" t="str">
        <f aca="false">VLOOKUP(J1896,Sheet2!A:B,2,0)</f>
        <v>PRAKASH CHAVDA</v>
      </c>
      <c r="L1896" s="17" t="n">
        <v>1</v>
      </c>
      <c r="M1896" s="17" t="str">
        <f aca="false">VLOOKUP(L1896,Sheet2!D:E,2,0)</f>
        <v>Power Supply Section</v>
      </c>
      <c r="N1896" s="17" t="n">
        <v>1</v>
      </c>
      <c r="O1896" s="17" t="str">
        <f aca="false">VLOOKUP(N1896,Sheet2!G:H,2,0)</f>
        <v>Dead</v>
      </c>
      <c r="P1896" s="17" t="n">
        <v>12</v>
      </c>
      <c r="Q1896" s="17" t="str">
        <f aca="false">VLOOKUP(P1896,Sheet2!J:K,2,0)</f>
        <v>IR Declared due to Others ( IR Normal)TB</v>
      </c>
      <c r="R1896" s="17" t="s">
        <v>35</v>
      </c>
      <c r="S1896" s="17" t="str">
        <f aca="false">VLOOKUP(R1896,Sheet2!N:O,2,0)</f>
        <v>IREPARABLE</v>
      </c>
      <c r="T1896" s="18" t="str">
        <f aca="false">VLOOKUP(P1896,Sheet2!Q:R,2,0)</f>
        <v>IR Normal - BER to IR</v>
      </c>
      <c r="U1896" s="20" t="s">
        <v>135</v>
      </c>
      <c r="V1896" s="17" t="n">
        <v>12</v>
      </c>
      <c r="W1896" s="20" t="str">
        <f aca="false">VLOOKUP(V1896,Sheet2!Q:R,2,0)</f>
        <v>IR Normal - BER to IR</v>
      </c>
      <c r="X1896" s="17" t="str">
        <f aca="false">J1896</f>
        <v>A018</v>
      </c>
      <c r="Y1896" s="17" t="str">
        <f aca="false">VLOOKUP(X1896,Sheet2!A:B,2,0)</f>
        <v>PRAKASH CHAVDA</v>
      </c>
      <c r="Z1896" s="17" t="s">
        <v>504</v>
      </c>
      <c r="AA1896" s="17" t="s">
        <v>919</v>
      </c>
      <c r="AB1896" s="17" t="s">
        <v>41</v>
      </c>
      <c r="AC1896" s="0" t="str">
        <f aca="false">LEFT(G1896,2)</f>
        <v>13</v>
      </c>
      <c r="AE1896" s="21" t="s">
        <v>238</v>
      </c>
    </row>
    <row r="1897" customFormat="false" ht="15" hidden="false" customHeight="false" outlineLevel="0" collapsed="false">
      <c r="A1897" s="13" t="n">
        <f aca="false">1+A1896</f>
        <v>1895</v>
      </c>
      <c r="B1897" s="14" t="n">
        <v>1008865003</v>
      </c>
      <c r="C1897" s="17" t="s">
        <v>950</v>
      </c>
      <c r="D1897" s="16" t="s">
        <v>64</v>
      </c>
      <c r="E1897" s="17" t="s">
        <v>33</v>
      </c>
      <c r="F1897" s="18" t="s">
        <v>34</v>
      </c>
      <c r="G1897" s="19" t="n">
        <v>133322129247</v>
      </c>
      <c r="H1897" s="17" t="s">
        <v>134</v>
      </c>
      <c r="I1897" s="17" t="s">
        <v>44</v>
      </c>
      <c r="J1897" s="17" t="s">
        <v>106</v>
      </c>
      <c r="K1897" s="17" t="str">
        <f aca="false">VLOOKUP(J1897,Sheet2!A:B,2,0)</f>
        <v>PRAKASH CHAVDA</v>
      </c>
      <c r="L1897" s="17" t="n">
        <v>5</v>
      </c>
      <c r="M1897" s="17" t="str">
        <f aca="false">VLOOKUP(L1897,Sheet2!D:E,2,0)</f>
        <v>Main Processor CPU BGA</v>
      </c>
      <c r="N1897" s="17" t="n">
        <v>24</v>
      </c>
      <c r="O1897" s="17" t="str">
        <f aca="false">VLOOKUP(N1897,Sheet2!G:H,2,0)</f>
        <v>STB Auto moving -Stand by mode</v>
      </c>
      <c r="P1897" s="17" t="n">
        <v>12</v>
      </c>
      <c r="Q1897" s="17" t="str">
        <f aca="false">VLOOKUP(P1897,Sheet2!J:K,2,0)</f>
        <v>IR Declared due to Others ( IR Normal)TB</v>
      </c>
      <c r="R1897" s="17" t="s">
        <v>35</v>
      </c>
      <c r="S1897" s="17" t="str">
        <f aca="false">VLOOKUP(R1897,Sheet2!N:O,2,0)</f>
        <v>IREPARABLE</v>
      </c>
      <c r="T1897" s="18" t="str">
        <f aca="false">VLOOKUP(P1897,Sheet2!Q:R,2,0)</f>
        <v>IR Normal - BER to IR</v>
      </c>
      <c r="U1897" s="20" t="s">
        <v>135</v>
      </c>
      <c r="V1897" s="17" t="n">
        <v>12</v>
      </c>
      <c r="W1897" s="20" t="str">
        <f aca="false">VLOOKUP(V1897,Sheet2!Q:R,2,0)</f>
        <v>IR Normal - BER to IR</v>
      </c>
      <c r="X1897" s="17" t="str">
        <f aca="false">J1897</f>
        <v>A018</v>
      </c>
      <c r="Y1897" s="17" t="str">
        <f aca="false">VLOOKUP(X1897,Sheet2!A:B,2,0)</f>
        <v>PRAKASH CHAVDA</v>
      </c>
      <c r="Z1897" s="17" t="s">
        <v>136</v>
      </c>
      <c r="AA1897" s="17" t="s">
        <v>919</v>
      </c>
      <c r="AB1897" s="17" t="s">
        <v>41</v>
      </c>
      <c r="AC1897" s="0" t="str">
        <f aca="false">LEFT(G1897,2)</f>
        <v>13</v>
      </c>
      <c r="AE1897" s="21" t="s">
        <v>238</v>
      </c>
    </row>
    <row r="1898" customFormat="false" ht="15" hidden="false" customHeight="false" outlineLevel="0" collapsed="false">
      <c r="A1898" s="13" t="n">
        <f aca="false">1+A1897</f>
        <v>1896</v>
      </c>
      <c r="B1898" s="14" t="n">
        <v>1008922427</v>
      </c>
      <c r="C1898" s="17" t="s">
        <v>421</v>
      </c>
      <c r="D1898" s="16" t="s">
        <v>138</v>
      </c>
      <c r="E1898" s="17" t="s">
        <v>33</v>
      </c>
      <c r="F1898" s="18" t="s">
        <v>34</v>
      </c>
      <c r="G1898" s="19" t="n">
        <v>134211017147</v>
      </c>
      <c r="H1898" s="17" t="s">
        <v>134</v>
      </c>
      <c r="I1898" s="17" t="s">
        <v>44</v>
      </c>
      <c r="J1898" s="17" t="s">
        <v>106</v>
      </c>
      <c r="K1898" s="17" t="str">
        <f aca="false">VLOOKUP(J1898,Sheet2!A:B,2,0)</f>
        <v>PRAKASH CHAVDA</v>
      </c>
      <c r="L1898" s="17" t="n">
        <v>5</v>
      </c>
      <c r="M1898" s="17" t="str">
        <f aca="false">VLOOKUP(L1898,Sheet2!D:E,2,0)</f>
        <v>Main Processor CPU BGA</v>
      </c>
      <c r="N1898" s="17" t="n">
        <v>24</v>
      </c>
      <c r="O1898" s="17" t="str">
        <f aca="false">VLOOKUP(N1898,Sheet2!G:H,2,0)</f>
        <v>STB Auto moving -Stand by mode</v>
      </c>
      <c r="P1898" s="17" t="n">
        <v>12</v>
      </c>
      <c r="Q1898" s="17" t="str">
        <f aca="false">VLOOKUP(P1898,Sheet2!J:K,2,0)</f>
        <v>IR Declared due to Others ( IR Normal)TB</v>
      </c>
      <c r="R1898" s="17" t="s">
        <v>35</v>
      </c>
      <c r="S1898" s="17" t="str">
        <f aca="false">VLOOKUP(R1898,Sheet2!N:O,2,0)</f>
        <v>IREPARABLE</v>
      </c>
      <c r="T1898" s="18" t="str">
        <f aca="false">VLOOKUP(P1898,Sheet2!Q:R,2,0)</f>
        <v>IR Normal - BER to IR</v>
      </c>
      <c r="U1898" s="20" t="s">
        <v>135</v>
      </c>
      <c r="V1898" s="17" t="n">
        <v>12</v>
      </c>
      <c r="W1898" s="20" t="str">
        <f aca="false">VLOOKUP(V1898,Sheet2!Q:R,2,0)</f>
        <v>IR Normal - BER to IR</v>
      </c>
      <c r="X1898" s="17" t="str">
        <f aca="false">J1898</f>
        <v>A018</v>
      </c>
      <c r="Y1898" s="17" t="str">
        <f aca="false">VLOOKUP(X1898,Sheet2!A:B,2,0)</f>
        <v>PRAKASH CHAVDA</v>
      </c>
      <c r="Z1898" s="17" t="s">
        <v>136</v>
      </c>
      <c r="AA1898" s="17" t="s">
        <v>919</v>
      </c>
      <c r="AB1898" s="17" t="s">
        <v>41</v>
      </c>
      <c r="AC1898" s="0" t="str">
        <f aca="false">LEFT(G1898,2)</f>
        <v>13</v>
      </c>
      <c r="AE1898" s="21" t="s">
        <v>238</v>
      </c>
    </row>
    <row r="1899" customFormat="false" ht="15" hidden="false" customHeight="false" outlineLevel="0" collapsed="false">
      <c r="A1899" s="13" t="n">
        <f aca="false">1+A1898</f>
        <v>1897</v>
      </c>
      <c r="B1899" s="14" t="n">
        <v>1009554582</v>
      </c>
      <c r="C1899" s="17" t="s">
        <v>444</v>
      </c>
      <c r="D1899" s="16" t="s">
        <v>230</v>
      </c>
      <c r="E1899" s="17" t="s">
        <v>47</v>
      </c>
      <c r="F1899" s="18" t="s">
        <v>34</v>
      </c>
      <c r="G1899" s="19" t="n">
        <v>8661271493653</v>
      </c>
      <c r="H1899" s="17" t="s">
        <v>35</v>
      </c>
      <c r="I1899" s="17" t="s">
        <v>44</v>
      </c>
      <c r="J1899" s="17" t="s">
        <v>239</v>
      </c>
      <c r="K1899" s="17" t="s">
        <v>951</v>
      </c>
      <c r="L1899" s="17" t="n">
        <v>5</v>
      </c>
      <c r="M1899" s="17" t="s">
        <v>952</v>
      </c>
      <c r="N1899" s="17" t="n">
        <v>1</v>
      </c>
      <c r="O1899" s="17" t="s">
        <v>611</v>
      </c>
      <c r="P1899" s="17" t="n">
        <v>11</v>
      </c>
      <c r="Q1899" s="17" t="s">
        <v>953</v>
      </c>
      <c r="R1899" s="17" t="s">
        <v>35</v>
      </c>
      <c r="S1899" s="17" t="s">
        <v>613</v>
      </c>
      <c r="T1899" s="18" t="s">
        <v>248</v>
      </c>
      <c r="U1899" s="18" t="s">
        <v>122</v>
      </c>
      <c r="V1899" s="17" t="n">
        <v>2</v>
      </c>
      <c r="W1899" s="20" t="s">
        <v>122</v>
      </c>
      <c r="X1899" s="17" t="s">
        <v>239</v>
      </c>
      <c r="Y1899" s="17" t="s">
        <v>951</v>
      </c>
      <c r="Z1899" s="17" t="s">
        <v>954</v>
      </c>
      <c r="AA1899" s="17" t="s">
        <v>919</v>
      </c>
      <c r="AB1899" s="17" t="s">
        <v>41</v>
      </c>
      <c r="AC1899" s="0" t="str">
        <f aca="false">LEFT(G1899,2)</f>
        <v>86</v>
      </c>
      <c r="AE1899" s="21"/>
    </row>
    <row r="1900" customFormat="false" ht="15" hidden="false" customHeight="false" outlineLevel="0" collapsed="false">
      <c r="A1900" s="13" t="n">
        <f aca="false">1+A1899</f>
        <v>1898</v>
      </c>
      <c r="B1900" s="14" t="n">
        <v>1009582182</v>
      </c>
      <c r="C1900" s="17" t="s">
        <v>139</v>
      </c>
      <c r="D1900" s="16" t="s">
        <v>144</v>
      </c>
      <c r="E1900" s="17" t="s">
        <v>47</v>
      </c>
      <c r="F1900" s="18" t="s">
        <v>34</v>
      </c>
      <c r="G1900" s="19" t="n">
        <v>867028236588</v>
      </c>
      <c r="H1900" s="17" t="s">
        <v>35</v>
      </c>
      <c r="I1900" s="17" t="s">
        <v>44</v>
      </c>
      <c r="J1900" s="17" t="s">
        <v>239</v>
      </c>
      <c r="K1900" s="17" t="s">
        <v>951</v>
      </c>
      <c r="L1900" s="17" t="n">
        <v>5</v>
      </c>
      <c r="M1900" s="17" t="s">
        <v>952</v>
      </c>
      <c r="N1900" s="17" t="n">
        <v>1</v>
      </c>
      <c r="O1900" s="17" t="s">
        <v>611</v>
      </c>
      <c r="P1900" s="17" t="n">
        <v>11</v>
      </c>
      <c r="Q1900" s="17" t="s">
        <v>953</v>
      </c>
      <c r="R1900" s="17" t="s">
        <v>35</v>
      </c>
      <c r="S1900" s="17" t="s">
        <v>613</v>
      </c>
      <c r="T1900" s="18" t="s">
        <v>248</v>
      </c>
      <c r="U1900" s="18" t="s">
        <v>122</v>
      </c>
      <c r="V1900" s="17" t="n">
        <v>2</v>
      </c>
      <c r="W1900" s="20" t="s">
        <v>122</v>
      </c>
      <c r="X1900" s="17" t="s">
        <v>239</v>
      </c>
      <c r="Y1900" s="17" t="s">
        <v>951</v>
      </c>
      <c r="Z1900" s="17" t="s">
        <v>254</v>
      </c>
      <c r="AA1900" s="17" t="s">
        <v>919</v>
      </c>
      <c r="AB1900" s="17" t="s">
        <v>41</v>
      </c>
      <c r="AC1900" s="0" t="str">
        <f aca="false">LEFT(G1900,2)</f>
        <v>86</v>
      </c>
      <c r="AE1900" s="21"/>
    </row>
    <row r="1901" customFormat="false" ht="15" hidden="false" customHeight="false" outlineLevel="0" collapsed="false">
      <c r="A1901" s="13" t="n">
        <f aca="false">1+A1900</f>
        <v>1899</v>
      </c>
      <c r="B1901" s="14" t="n">
        <v>1009557899</v>
      </c>
      <c r="C1901" s="17" t="s">
        <v>192</v>
      </c>
      <c r="D1901" s="16" t="s">
        <v>64</v>
      </c>
      <c r="E1901" s="17" t="s">
        <v>64</v>
      </c>
      <c r="F1901" s="18" t="s">
        <v>34</v>
      </c>
      <c r="G1901" s="19" t="n">
        <v>867297118285</v>
      </c>
      <c r="H1901" s="17" t="s">
        <v>35</v>
      </c>
      <c r="I1901" s="17" t="s">
        <v>44</v>
      </c>
      <c r="J1901" s="17" t="s">
        <v>121</v>
      </c>
      <c r="K1901" s="17" t="s">
        <v>955</v>
      </c>
      <c r="L1901" s="17" t="n">
        <v>3</v>
      </c>
      <c r="M1901" s="17" t="s">
        <v>956</v>
      </c>
      <c r="N1901" s="17" t="n">
        <v>16</v>
      </c>
      <c r="O1901" s="17" t="s">
        <v>957</v>
      </c>
      <c r="P1901" s="17" t="n">
        <v>11</v>
      </c>
      <c r="Q1901" s="17" t="s">
        <v>953</v>
      </c>
      <c r="R1901" s="17" t="s">
        <v>35</v>
      </c>
      <c r="S1901" s="17" t="s">
        <v>613</v>
      </c>
      <c r="T1901" s="18" t="s">
        <v>248</v>
      </c>
      <c r="U1901" s="18" t="s">
        <v>122</v>
      </c>
      <c r="V1901" s="17" t="n">
        <v>2</v>
      </c>
      <c r="W1901" s="20" t="s">
        <v>122</v>
      </c>
      <c r="X1901" s="17" t="s">
        <v>121</v>
      </c>
      <c r="Y1901" s="17" t="s">
        <v>955</v>
      </c>
      <c r="Z1901" s="17" t="s">
        <v>724</v>
      </c>
      <c r="AA1901" s="17" t="s">
        <v>919</v>
      </c>
      <c r="AB1901" s="17" t="s">
        <v>41</v>
      </c>
      <c r="AC1901" s="0" t="str">
        <f aca="false">LEFT(G1901,2)</f>
        <v>86</v>
      </c>
      <c r="AE1901" s="21"/>
    </row>
    <row r="1902" customFormat="false" ht="15" hidden="false" customHeight="false" outlineLevel="0" collapsed="false">
      <c r="A1902" s="13" t="n">
        <f aca="false">1+A1901</f>
        <v>1900</v>
      </c>
      <c r="B1902" s="14" t="n">
        <v>1009584142</v>
      </c>
      <c r="C1902" s="17" t="s">
        <v>139</v>
      </c>
      <c r="D1902" s="16" t="s">
        <v>143</v>
      </c>
      <c r="E1902" s="17" t="s">
        <v>47</v>
      </c>
      <c r="F1902" s="18" t="s">
        <v>34</v>
      </c>
      <c r="G1902" s="19" t="n">
        <v>866058128889</v>
      </c>
      <c r="H1902" s="17" t="s">
        <v>35</v>
      </c>
      <c r="I1902" s="17" t="s">
        <v>44</v>
      </c>
      <c r="J1902" s="17" t="s">
        <v>111</v>
      </c>
      <c r="K1902" s="17" t="s">
        <v>958</v>
      </c>
      <c r="L1902" s="17" t="n">
        <v>1</v>
      </c>
      <c r="M1902" s="17" t="s">
        <v>610</v>
      </c>
      <c r="N1902" s="17" t="n">
        <v>1</v>
      </c>
      <c r="O1902" s="17" t="s">
        <v>611</v>
      </c>
      <c r="P1902" s="17" t="n">
        <v>11</v>
      </c>
      <c r="Q1902" s="17" t="s">
        <v>953</v>
      </c>
      <c r="R1902" s="17" t="s">
        <v>35</v>
      </c>
      <c r="S1902" s="17" t="s">
        <v>613</v>
      </c>
      <c r="T1902" s="18" t="s">
        <v>248</v>
      </c>
      <c r="U1902" s="18" t="s">
        <v>122</v>
      </c>
      <c r="V1902" s="17" t="n">
        <v>2</v>
      </c>
      <c r="W1902" s="20" t="s">
        <v>122</v>
      </c>
      <c r="X1902" s="17" t="s">
        <v>111</v>
      </c>
      <c r="Y1902" s="17" t="s">
        <v>958</v>
      </c>
      <c r="Z1902" s="17" t="s">
        <v>247</v>
      </c>
      <c r="AA1902" s="17" t="s">
        <v>919</v>
      </c>
      <c r="AB1902" s="17" t="s">
        <v>41</v>
      </c>
      <c r="AC1902" s="0" t="str">
        <f aca="false">LEFT(G1902,2)</f>
        <v>86</v>
      </c>
      <c r="AE1902" s="21"/>
    </row>
    <row r="1903" customFormat="false" ht="15" hidden="false" customHeight="false" outlineLevel="0" collapsed="false">
      <c r="A1903" s="13" t="n">
        <f aca="false">1+A1902</f>
        <v>1901</v>
      </c>
      <c r="B1903" s="14" t="n">
        <v>1009534249</v>
      </c>
      <c r="C1903" s="17" t="s">
        <v>174</v>
      </c>
      <c r="D1903" s="16" t="s">
        <v>60</v>
      </c>
      <c r="E1903" s="17" t="s">
        <v>211</v>
      </c>
      <c r="F1903" s="18" t="s">
        <v>34</v>
      </c>
      <c r="G1903" s="19" t="n">
        <v>865327171993</v>
      </c>
      <c r="H1903" s="17" t="s">
        <v>35</v>
      </c>
      <c r="I1903" s="17" t="s">
        <v>44</v>
      </c>
      <c r="J1903" s="17" t="s">
        <v>111</v>
      </c>
      <c r="K1903" s="17" t="s">
        <v>958</v>
      </c>
      <c r="L1903" s="17" t="n">
        <v>1</v>
      </c>
      <c r="M1903" s="17" t="s">
        <v>610</v>
      </c>
      <c r="N1903" s="17" t="n">
        <v>1</v>
      </c>
      <c r="O1903" s="17" t="s">
        <v>611</v>
      </c>
      <c r="P1903" s="17" t="n">
        <v>11</v>
      </c>
      <c r="Q1903" s="17" t="s">
        <v>953</v>
      </c>
      <c r="R1903" s="17" t="s">
        <v>35</v>
      </c>
      <c r="S1903" s="17" t="s">
        <v>613</v>
      </c>
      <c r="T1903" s="18" t="s">
        <v>248</v>
      </c>
      <c r="U1903" s="18" t="s">
        <v>122</v>
      </c>
      <c r="V1903" s="17" t="n">
        <v>2</v>
      </c>
      <c r="W1903" s="20" t="s">
        <v>122</v>
      </c>
      <c r="X1903" s="17" t="s">
        <v>111</v>
      </c>
      <c r="Y1903" s="17" t="s">
        <v>958</v>
      </c>
      <c r="Z1903" s="17" t="s">
        <v>959</v>
      </c>
      <c r="AA1903" s="17" t="s">
        <v>919</v>
      </c>
      <c r="AB1903" s="17" t="s">
        <v>41</v>
      </c>
      <c r="AC1903" s="0" t="str">
        <f aca="false">LEFT(G1903,2)</f>
        <v>86</v>
      </c>
      <c r="AE1903" s="21"/>
    </row>
    <row r="1904" customFormat="false" ht="15" hidden="false" customHeight="false" outlineLevel="0" collapsed="false">
      <c r="A1904" s="13" t="n">
        <f aca="false">1+A1903</f>
        <v>1902</v>
      </c>
      <c r="B1904" s="14" t="n">
        <v>1009555485</v>
      </c>
      <c r="C1904" s="17" t="s">
        <v>126</v>
      </c>
      <c r="D1904" s="16" t="s">
        <v>64</v>
      </c>
      <c r="E1904" s="17" t="s">
        <v>47</v>
      </c>
      <c r="F1904" s="18" t="s">
        <v>34</v>
      </c>
      <c r="G1904" s="19" t="n">
        <v>865315117339</v>
      </c>
      <c r="H1904" s="17" t="s">
        <v>35</v>
      </c>
      <c r="I1904" s="17" t="s">
        <v>44</v>
      </c>
      <c r="J1904" s="17" t="s">
        <v>239</v>
      </c>
      <c r="K1904" s="17" t="s">
        <v>951</v>
      </c>
      <c r="L1904" s="17" t="n">
        <v>5</v>
      </c>
      <c r="M1904" s="17" t="s">
        <v>952</v>
      </c>
      <c r="N1904" s="17" t="n">
        <v>1</v>
      </c>
      <c r="O1904" s="17" t="s">
        <v>611</v>
      </c>
      <c r="P1904" s="17" t="n">
        <v>11</v>
      </c>
      <c r="Q1904" s="17" t="s">
        <v>953</v>
      </c>
      <c r="R1904" s="17" t="s">
        <v>35</v>
      </c>
      <c r="S1904" s="17" t="s">
        <v>613</v>
      </c>
      <c r="T1904" s="18" t="s">
        <v>248</v>
      </c>
      <c r="U1904" s="18" t="s">
        <v>122</v>
      </c>
      <c r="V1904" s="17" t="n">
        <v>2</v>
      </c>
      <c r="W1904" s="20" t="s">
        <v>122</v>
      </c>
      <c r="X1904" s="17" t="s">
        <v>239</v>
      </c>
      <c r="Y1904" s="17" t="s">
        <v>951</v>
      </c>
      <c r="Z1904" s="17" t="s">
        <v>41</v>
      </c>
      <c r="AA1904" s="17" t="s">
        <v>919</v>
      </c>
      <c r="AB1904" s="17" t="s">
        <v>41</v>
      </c>
      <c r="AC1904" s="0" t="str">
        <f aca="false">LEFT(G1904,2)</f>
        <v>86</v>
      </c>
      <c r="AE1904" s="21"/>
    </row>
    <row r="1905" customFormat="false" ht="15" hidden="false" customHeight="false" outlineLevel="0" collapsed="false">
      <c r="A1905" s="13" t="n">
        <f aca="false">1+A1904</f>
        <v>1903</v>
      </c>
      <c r="B1905" s="14" t="n">
        <v>1009615259</v>
      </c>
      <c r="C1905" s="17" t="s">
        <v>184</v>
      </c>
      <c r="D1905" s="16" t="s">
        <v>64</v>
      </c>
      <c r="E1905" s="17" t="s">
        <v>64</v>
      </c>
      <c r="F1905" s="18" t="s">
        <v>34</v>
      </c>
      <c r="G1905" s="19" t="n">
        <v>867339124630</v>
      </c>
      <c r="H1905" s="17" t="s">
        <v>35</v>
      </c>
      <c r="I1905" s="17" t="s">
        <v>44</v>
      </c>
      <c r="J1905" s="17" t="s">
        <v>121</v>
      </c>
      <c r="K1905" s="17" t="s">
        <v>955</v>
      </c>
      <c r="L1905" s="17" t="n">
        <v>5</v>
      </c>
      <c r="M1905" s="17" t="s">
        <v>952</v>
      </c>
      <c r="N1905" s="17" t="n">
        <v>1</v>
      </c>
      <c r="O1905" s="17" t="s">
        <v>611</v>
      </c>
      <c r="P1905" s="17" t="n">
        <v>11</v>
      </c>
      <c r="Q1905" s="17" t="s">
        <v>953</v>
      </c>
      <c r="R1905" s="17" t="s">
        <v>35</v>
      </c>
      <c r="S1905" s="17" t="s">
        <v>613</v>
      </c>
      <c r="T1905" s="18" t="s">
        <v>248</v>
      </c>
      <c r="U1905" s="18" t="s">
        <v>38</v>
      </c>
      <c r="V1905" s="17" t="n">
        <v>4</v>
      </c>
      <c r="W1905" s="20" t="s">
        <v>38</v>
      </c>
      <c r="X1905" s="17" t="s">
        <v>121</v>
      </c>
      <c r="Y1905" s="17" t="s">
        <v>955</v>
      </c>
      <c r="Z1905" s="17" t="s">
        <v>222</v>
      </c>
      <c r="AA1905" s="17" t="s">
        <v>919</v>
      </c>
      <c r="AB1905" s="17" t="s">
        <v>41</v>
      </c>
      <c r="AC1905" s="0" t="str">
        <f aca="false">LEFT(G1905,2)</f>
        <v>86</v>
      </c>
      <c r="AE1905" s="21"/>
    </row>
    <row r="1906" customFormat="false" ht="15" hidden="false" customHeight="false" outlineLevel="0" collapsed="false">
      <c r="A1906" s="13" t="n">
        <f aca="false">1+A1905</f>
        <v>1904</v>
      </c>
      <c r="B1906" s="14" t="n">
        <v>1009616574</v>
      </c>
      <c r="C1906" s="17" t="s">
        <v>184</v>
      </c>
      <c r="D1906" s="16" t="s">
        <v>64</v>
      </c>
      <c r="E1906" s="17" t="s">
        <v>47</v>
      </c>
      <c r="F1906" s="18" t="s">
        <v>34</v>
      </c>
      <c r="G1906" s="19" t="n">
        <v>865327197311</v>
      </c>
      <c r="H1906" s="17" t="s">
        <v>35</v>
      </c>
      <c r="I1906" s="17" t="s">
        <v>44</v>
      </c>
      <c r="J1906" s="17" t="s">
        <v>121</v>
      </c>
      <c r="K1906" s="17" t="s">
        <v>955</v>
      </c>
      <c r="L1906" s="17" t="n">
        <v>1</v>
      </c>
      <c r="M1906" s="17" t="s">
        <v>610</v>
      </c>
      <c r="N1906" s="17" t="n">
        <v>1</v>
      </c>
      <c r="O1906" s="17" t="s">
        <v>611</v>
      </c>
      <c r="P1906" s="17" t="n">
        <v>11</v>
      </c>
      <c r="Q1906" s="17" t="s">
        <v>953</v>
      </c>
      <c r="R1906" s="17" t="s">
        <v>35</v>
      </c>
      <c r="S1906" s="17" t="s">
        <v>613</v>
      </c>
      <c r="T1906" s="18" t="s">
        <v>248</v>
      </c>
      <c r="U1906" s="18" t="s">
        <v>38</v>
      </c>
      <c r="V1906" s="17" t="n">
        <v>4</v>
      </c>
      <c r="W1906" s="20" t="s">
        <v>38</v>
      </c>
      <c r="X1906" s="17" t="s">
        <v>121</v>
      </c>
      <c r="Y1906" s="17" t="s">
        <v>955</v>
      </c>
      <c r="Z1906" s="17" t="s">
        <v>222</v>
      </c>
      <c r="AA1906" s="17" t="s">
        <v>919</v>
      </c>
      <c r="AB1906" s="17" t="s">
        <v>41</v>
      </c>
      <c r="AC1906" s="0" t="str">
        <f aca="false">LEFT(G1906,2)</f>
        <v>86</v>
      </c>
      <c r="AE1906" s="21"/>
    </row>
    <row r="1907" customFormat="false" ht="15" hidden="false" customHeight="false" outlineLevel="0" collapsed="false">
      <c r="A1907" s="13" t="n">
        <f aca="false">1+A1906</f>
        <v>1905</v>
      </c>
      <c r="B1907" s="14" t="n">
        <v>1009683458</v>
      </c>
      <c r="C1907" s="17" t="s">
        <v>413</v>
      </c>
      <c r="D1907" s="16" t="s">
        <v>64</v>
      </c>
      <c r="E1907" s="17" t="s">
        <v>47</v>
      </c>
      <c r="F1907" s="18" t="s">
        <v>34</v>
      </c>
      <c r="G1907" s="19" t="n">
        <v>868156153868</v>
      </c>
      <c r="H1907" s="17" t="s">
        <v>35</v>
      </c>
      <c r="I1907" s="17" t="s">
        <v>44</v>
      </c>
      <c r="J1907" s="17" t="s">
        <v>267</v>
      </c>
      <c r="K1907" s="17" t="s">
        <v>960</v>
      </c>
      <c r="L1907" s="17" t="n">
        <v>1</v>
      </c>
      <c r="M1907" s="17" t="s">
        <v>610</v>
      </c>
      <c r="N1907" s="17" t="n">
        <v>1</v>
      </c>
      <c r="O1907" s="17" t="s">
        <v>611</v>
      </c>
      <c r="P1907" s="17" t="n">
        <v>11</v>
      </c>
      <c r="Q1907" s="17" t="s">
        <v>953</v>
      </c>
      <c r="R1907" s="17" t="s">
        <v>35</v>
      </c>
      <c r="S1907" s="17" t="s">
        <v>613</v>
      </c>
      <c r="T1907" s="18" t="s">
        <v>248</v>
      </c>
      <c r="U1907" s="18" t="s">
        <v>38</v>
      </c>
      <c r="V1907" s="17" t="n">
        <v>4</v>
      </c>
      <c r="W1907" s="20" t="s">
        <v>38</v>
      </c>
      <c r="X1907" s="17" t="s">
        <v>267</v>
      </c>
      <c r="Y1907" s="17" t="s">
        <v>960</v>
      </c>
      <c r="Z1907" s="17" t="s">
        <v>961</v>
      </c>
      <c r="AA1907" s="17" t="s">
        <v>919</v>
      </c>
      <c r="AB1907" s="17" t="s">
        <v>41</v>
      </c>
      <c r="AC1907" s="0" t="str">
        <f aca="false">LEFT(G1907,2)</f>
        <v>86</v>
      </c>
      <c r="AE1907" s="21"/>
    </row>
    <row r="1908" customFormat="false" ht="15" hidden="false" customHeight="false" outlineLevel="0" collapsed="false">
      <c r="A1908" s="13" t="n">
        <f aca="false">1+A1907</f>
        <v>1906</v>
      </c>
      <c r="B1908" s="14" t="n">
        <v>1009539768</v>
      </c>
      <c r="C1908" s="17" t="s">
        <v>311</v>
      </c>
      <c r="D1908" s="16" t="s">
        <v>64</v>
      </c>
      <c r="E1908" s="17" t="s">
        <v>64</v>
      </c>
      <c r="F1908" s="18" t="s">
        <v>34</v>
      </c>
      <c r="G1908" s="19" t="n">
        <v>867172106553</v>
      </c>
      <c r="H1908" s="17" t="s">
        <v>35</v>
      </c>
      <c r="I1908" s="17" t="s">
        <v>44</v>
      </c>
      <c r="J1908" s="17" t="s">
        <v>121</v>
      </c>
      <c r="K1908" s="17" t="s">
        <v>955</v>
      </c>
      <c r="L1908" s="17" t="n">
        <v>1</v>
      </c>
      <c r="M1908" s="17" t="s">
        <v>610</v>
      </c>
      <c r="N1908" s="17" t="n">
        <v>1</v>
      </c>
      <c r="O1908" s="17" t="s">
        <v>611</v>
      </c>
      <c r="P1908" s="17" t="n">
        <v>11</v>
      </c>
      <c r="Q1908" s="17" t="s">
        <v>953</v>
      </c>
      <c r="R1908" s="17" t="s">
        <v>35</v>
      </c>
      <c r="S1908" s="17" t="s">
        <v>613</v>
      </c>
      <c r="T1908" s="18" t="s">
        <v>248</v>
      </c>
      <c r="U1908" s="18" t="s">
        <v>122</v>
      </c>
      <c r="V1908" s="17" t="n">
        <v>2</v>
      </c>
      <c r="W1908" s="20" t="s">
        <v>122</v>
      </c>
      <c r="X1908" s="17" t="s">
        <v>121</v>
      </c>
      <c r="Y1908" s="17" t="s">
        <v>955</v>
      </c>
      <c r="Z1908" s="17" t="s">
        <v>821</v>
      </c>
      <c r="AA1908" s="17" t="s">
        <v>919</v>
      </c>
      <c r="AB1908" s="17" t="s">
        <v>41</v>
      </c>
      <c r="AC1908" s="0" t="str">
        <f aca="false">LEFT(G1908,2)</f>
        <v>86</v>
      </c>
      <c r="AE1908" s="21"/>
    </row>
    <row r="1909" customFormat="false" ht="15" hidden="false" customHeight="false" outlineLevel="0" collapsed="false">
      <c r="A1909" s="13" t="n">
        <f aca="false">1+A1908</f>
        <v>1907</v>
      </c>
      <c r="B1909" s="14" t="n">
        <v>1009557888</v>
      </c>
      <c r="C1909" s="17" t="s">
        <v>192</v>
      </c>
      <c r="D1909" s="16" t="s">
        <v>64</v>
      </c>
      <c r="E1909" s="17" t="s">
        <v>64</v>
      </c>
      <c r="F1909" s="18" t="s">
        <v>34</v>
      </c>
      <c r="G1909" s="19" t="n">
        <v>867094201821</v>
      </c>
      <c r="H1909" s="17" t="s">
        <v>35</v>
      </c>
      <c r="I1909" s="17" t="s">
        <v>44</v>
      </c>
      <c r="J1909" s="17" t="s">
        <v>239</v>
      </c>
      <c r="K1909" s="17" t="s">
        <v>951</v>
      </c>
      <c r="L1909" s="17" t="n">
        <v>5</v>
      </c>
      <c r="M1909" s="17" t="s">
        <v>952</v>
      </c>
      <c r="N1909" s="17" t="n">
        <v>1</v>
      </c>
      <c r="O1909" s="17" t="s">
        <v>611</v>
      </c>
      <c r="P1909" s="17" t="n">
        <v>11</v>
      </c>
      <c r="Q1909" s="17" t="s">
        <v>953</v>
      </c>
      <c r="R1909" s="17" t="s">
        <v>35</v>
      </c>
      <c r="S1909" s="17" t="s">
        <v>613</v>
      </c>
      <c r="T1909" s="18" t="s">
        <v>248</v>
      </c>
      <c r="U1909" s="18" t="s">
        <v>122</v>
      </c>
      <c r="V1909" s="17" t="n">
        <v>2</v>
      </c>
      <c r="W1909" s="20" t="s">
        <v>122</v>
      </c>
      <c r="X1909" s="17" t="s">
        <v>239</v>
      </c>
      <c r="Y1909" s="17" t="s">
        <v>951</v>
      </c>
      <c r="Z1909" s="17" t="s">
        <v>962</v>
      </c>
      <c r="AA1909" s="17" t="s">
        <v>919</v>
      </c>
      <c r="AB1909" s="17" t="s">
        <v>41</v>
      </c>
      <c r="AC1909" s="0" t="str">
        <f aca="false">LEFT(G1909,2)</f>
        <v>86</v>
      </c>
      <c r="AE1909" s="21"/>
    </row>
    <row r="1910" customFormat="false" ht="15" hidden="false" customHeight="false" outlineLevel="0" collapsed="false">
      <c r="A1910" s="13" t="n">
        <f aca="false">1+A1909</f>
        <v>1908</v>
      </c>
      <c r="B1910" s="14" t="n">
        <v>1009586035</v>
      </c>
      <c r="C1910" s="17" t="s">
        <v>139</v>
      </c>
      <c r="D1910" s="16" t="s">
        <v>64</v>
      </c>
      <c r="E1910" s="17" t="s">
        <v>47</v>
      </c>
      <c r="F1910" s="18" t="s">
        <v>34</v>
      </c>
      <c r="G1910" s="19" t="n">
        <v>866029101890</v>
      </c>
      <c r="H1910" s="17" t="s">
        <v>35</v>
      </c>
      <c r="I1910" s="17" t="s">
        <v>44</v>
      </c>
      <c r="J1910" s="17" t="s">
        <v>239</v>
      </c>
      <c r="K1910" s="17" t="s">
        <v>951</v>
      </c>
      <c r="L1910" s="17" t="n">
        <v>5</v>
      </c>
      <c r="M1910" s="17" t="s">
        <v>952</v>
      </c>
      <c r="N1910" s="17" t="n">
        <v>1</v>
      </c>
      <c r="O1910" s="17" t="s">
        <v>611</v>
      </c>
      <c r="P1910" s="17" t="n">
        <v>11</v>
      </c>
      <c r="Q1910" s="17" t="s">
        <v>953</v>
      </c>
      <c r="R1910" s="17" t="s">
        <v>35</v>
      </c>
      <c r="S1910" s="17" t="s">
        <v>613</v>
      </c>
      <c r="T1910" s="18" t="s">
        <v>248</v>
      </c>
      <c r="U1910" s="18" t="s">
        <v>122</v>
      </c>
      <c r="V1910" s="17" t="n">
        <v>2</v>
      </c>
      <c r="W1910" s="20" t="s">
        <v>122</v>
      </c>
      <c r="X1910" s="17" t="s">
        <v>239</v>
      </c>
      <c r="Y1910" s="17" t="s">
        <v>951</v>
      </c>
      <c r="Z1910" s="17" t="s">
        <v>963</v>
      </c>
      <c r="AA1910" s="17" t="s">
        <v>919</v>
      </c>
      <c r="AB1910" s="17" t="s">
        <v>41</v>
      </c>
      <c r="AC1910" s="0" t="str">
        <f aca="false">LEFT(G1910,2)</f>
        <v>86</v>
      </c>
      <c r="AE1910" s="21"/>
    </row>
    <row r="1911" customFormat="false" ht="15" hidden="false" customHeight="false" outlineLevel="0" collapsed="false">
      <c r="A1911" s="13" t="n">
        <f aca="false">1+A1910</f>
        <v>1909</v>
      </c>
      <c r="B1911" s="14" t="n">
        <v>1009526769</v>
      </c>
      <c r="C1911" s="17" t="s">
        <v>162</v>
      </c>
      <c r="D1911" s="16" t="s">
        <v>64</v>
      </c>
      <c r="E1911" s="17" t="s">
        <v>47</v>
      </c>
      <c r="F1911" s="18" t="s">
        <v>34</v>
      </c>
      <c r="G1911" s="19" t="n">
        <v>866342214123</v>
      </c>
      <c r="H1911" s="17" t="s">
        <v>35</v>
      </c>
      <c r="I1911" s="17" t="s">
        <v>44</v>
      </c>
      <c r="J1911" s="17" t="s">
        <v>964</v>
      </c>
      <c r="K1911" s="17" t="s">
        <v>965</v>
      </c>
      <c r="L1911" s="17" t="n">
        <v>5</v>
      </c>
      <c r="M1911" s="17" t="s">
        <v>952</v>
      </c>
      <c r="N1911" s="17" t="n">
        <v>1</v>
      </c>
      <c r="O1911" s="17" t="s">
        <v>611</v>
      </c>
      <c r="P1911" s="17" t="n">
        <v>11</v>
      </c>
      <c r="Q1911" s="17" t="s">
        <v>953</v>
      </c>
      <c r="R1911" s="17" t="s">
        <v>35</v>
      </c>
      <c r="S1911" s="17" t="s">
        <v>613</v>
      </c>
      <c r="T1911" s="18" t="s">
        <v>248</v>
      </c>
      <c r="U1911" s="18" t="s">
        <v>122</v>
      </c>
      <c r="V1911" s="17" t="n">
        <v>2</v>
      </c>
      <c r="W1911" s="20" t="s">
        <v>122</v>
      </c>
      <c r="X1911" s="17" t="s">
        <v>964</v>
      </c>
      <c r="Y1911" s="17" t="s">
        <v>965</v>
      </c>
      <c r="Z1911" s="17" t="s">
        <v>240</v>
      </c>
      <c r="AA1911" s="17" t="s">
        <v>919</v>
      </c>
      <c r="AB1911" s="17" t="s">
        <v>41</v>
      </c>
      <c r="AC1911" s="0" t="str">
        <f aca="false">LEFT(G1911,2)</f>
        <v>86</v>
      </c>
      <c r="AE1911" s="21"/>
    </row>
    <row r="1912" customFormat="false" ht="15" hidden="false" customHeight="false" outlineLevel="0" collapsed="false">
      <c r="A1912" s="13" t="n">
        <f aca="false">1+A1911</f>
        <v>1910</v>
      </c>
      <c r="B1912" s="14" t="n">
        <v>1009517283</v>
      </c>
      <c r="C1912" s="17" t="s">
        <v>93</v>
      </c>
      <c r="D1912" s="16" t="s">
        <v>64</v>
      </c>
      <c r="E1912" s="17" t="s">
        <v>64</v>
      </c>
      <c r="F1912" s="18" t="s">
        <v>34</v>
      </c>
      <c r="G1912" s="19" t="n">
        <v>868100101492</v>
      </c>
      <c r="H1912" s="17" t="s">
        <v>35</v>
      </c>
      <c r="I1912" s="17" t="s">
        <v>44</v>
      </c>
      <c r="J1912" s="17" t="s">
        <v>115</v>
      </c>
      <c r="K1912" s="17" t="s">
        <v>966</v>
      </c>
      <c r="L1912" s="17" t="n">
        <v>5</v>
      </c>
      <c r="M1912" s="17" t="s">
        <v>952</v>
      </c>
      <c r="N1912" s="17" t="n">
        <v>1</v>
      </c>
      <c r="O1912" s="17" t="s">
        <v>611</v>
      </c>
      <c r="P1912" s="17" t="n">
        <v>12</v>
      </c>
      <c r="Q1912" s="17" t="s">
        <v>953</v>
      </c>
      <c r="R1912" s="17" t="s">
        <v>35</v>
      </c>
      <c r="S1912" s="17" t="s">
        <v>613</v>
      </c>
      <c r="T1912" s="18" t="s">
        <v>248</v>
      </c>
      <c r="U1912" s="15" t="s">
        <v>38</v>
      </c>
      <c r="V1912" s="17" t="n">
        <v>11</v>
      </c>
      <c r="W1912" s="20" t="s">
        <v>248</v>
      </c>
      <c r="X1912" s="17" t="s">
        <v>115</v>
      </c>
      <c r="Y1912" s="17" t="s">
        <v>966</v>
      </c>
      <c r="Z1912" s="17" t="s">
        <v>967</v>
      </c>
      <c r="AA1912" s="17" t="s">
        <v>919</v>
      </c>
      <c r="AB1912" s="17" t="s">
        <v>41</v>
      </c>
      <c r="AC1912" s="0" t="str">
        <f aca="false">LEFT(G1912,2)</f>
        <v>86</v>
      </c>
      <c r="AE1912" s="21"/>
    </row>
    <row r="1913" customFormat="false" ht="15" hidden="false" customHeight="false" outlineLevel="0" collapsed="false">
      <c r="A1913" s="13" t="n">
        <f aca="false">1+A1912</f>
        <v>1911</v>
      </c>
      <c r="B1913" s="14" t="n">
        <v>1009842100</v>
      </c>
      <c r="C1913" s="17" t="s">
        <v>126</v>
      </c>
      <c r="D1913" s="16" t="s">
        <v>64</v>
      </c>
      <c r="E1913" s="17" t="s">
        <v>968</v>
      </c>
      <c r="F1913" s="18" t="s">
        <v>34</v>
      </c>
      <c r="G1913" s="19" t="n">
        <v>867010209171</v>
      </c>
      <c r="H1913" s="17" t="s">
        <v>35</v>
      </c>
      <c r="I1913" s="17" t="s">
        <v>44</v>
      </c>
      <c r="J1913" s="17" t="s">
        <v>267</v>
      </c>
      <c r="K1913" s="17" t="s">
        <v>960</v>
      </c>
      <c r="L1913" s="17" t="n">
        <v>1</v>
      </c>
      <c r="M1913" s="17" t="s">
        <v>610</v>
      </c>
      <c r="N1913" s="17" t="n">
        <v>1</v>
      </c>
      <c r="O1913" s="17" t="s">
        <v>611</v>
      </c>
      <c r="P1913" s="17" t="n">
        <v>11</v>
      </c>
      <c r="Q1913" s="17" t="s">
        <v>953</v>
      </c>
      <c r="R1913" s="17" t="s">
        <v>35</v>
      </c>
      <c r="S1913" s="17" t="s">
        <v>613</v>
      </c>
      <c r="T1913" s="18" t="s">
        <v>248</v>
      </c>
      <c r="U1913" s="18" t="s">
        <v>122</v>
      </c>
      <c r="V1913" s="17" t="n">
        <v>2</v>
      </c>
      <c r="W1913" s="20" t="s">
        <v>122</v>
      </c>
      <c r="X1913" s="17" t="s">
        <v>267</v>
      </c>
      <c r="Y1913" s="17" t="s">
        <v>960</v>
      </c>
      <c r="Z1913" s="17" t="s">
        <v>276</v>
      </c>
      <c r="AA1913" s="17" t="s">
        <v>919</v>
      </c>
      <c r="AB1913" s="17" t="s">
        <v>41</v>
      </c>
      <c r="AC1913" s="0" t="str">
        <f aca="false">LEFT(G1913,2)</f>
        <v>86</v>
      </c>
      <c r="AE1913" s="21"/>
    </row>
    <row r="1914" customFormat="false" ht="15" hidden="false" customHeight="false" outlineLevel="0" collapsed="false">
      <c r="A1914" s="13" t="n">
        <f aca="false">1+A1913</f>
        <v>1912</v>
      </c>
      <c r="B1914" s="14" t="n">
        <v>1009536749</v>
      </c>
      <c r="C1914" s="17" t="s">
        <v>174</v>
      </c>
      <c r="D1914" s="16" t="s">
        <v>64</v>
      </c>
      <c r="E1914" s="17" t="s">
        <v>64</v>
      </c>
      <c r="F1914" s="18" t="s">
        <v>34</v>
      </c>
      <c r="G1914" s="19" t="n">
        <v>868152199881</v>
      </c>
      <c r="H1914" s="17" t="s">
        <v>35</v>
      </c>
      <c r="I1914" s="17" t="s">
        <v>44</v>
      </c>
      <c r="J1914" s="17" t="s">
        <v>267</v>
      </c>
      <c r="K1914" s="17" t="s">
        <v>960</v>
      </c>
      <c r="L1914" s="17" t="n">
        <v>1</v>
      </c>
      <c r="M1914" s="17" t="s">
        <v>610</v>
      </c>
      <c r="N1914" s="17" t="n">
        <v>1</v>
      </c>
      <c r="O1914" s="17" t="s">
        <v>611</v>
      </c>
      <c r="P1914" s="17" t="n">
        <v>11</v>
      </c>
      <c r="Q1914" s="17" t="s">
        <v>953</v>
      </c>
      <c r="R1914" s="17" t="s">
        <v>35</v>
      </c>
      <c r="S1914" s="17" t="s">
        <v>613</v>
      </c>
      <c r="T1914" s="18" t="s">
        <v>248</v>
      </c>
      <c r="U1914" s="18" t="s">
        <v>122</v>
      </c>
      <c r="V1914" s="17" t="n">
        <v>2</v>
      </c>
      <c r="W1914" s="20" t="s">
        <v>122</v>
      </c>
      <c r="X1914" s="17" t="s">
        <v>267</v>
      </c>
      <c r="Y1914" s="17" t="s">
        <v>960</v>
      </c>
      <c r="Z1914" s="17" t="s">
        <v>222</v>
      </c>
      <c r="AA1914" s="17" t="s">
        <v>919</v>
      </c>
      <c r="AB1914" s="17" t="s">
        <v>41</v>
      </c>
      <c r="AC1914" s="0" t="str">
        <f aca="false">LEFT(G1914,2)</f>
        <v>86</v>
      </c>
      <c r="AE1914" s="21"/>
    </row>
    <row r="1915" customFormat="false" ht="15" hidden="false" customHeight="false" outlineLevel="0" collapsed="false">
      <c r="A1915" s="13" t="n">
        <f aca="false">1+A1914</f>
        <v>1913</v>
      </c>
      <c r="B1915" s="14" t="n">
        <v>1009666508</v>
      </c>
      <c r="C1915" s="17" t="s">
        <v>436</v>
      </c>
      <c r="D1915" s="16" t="s">
        <v>88</v>
      </c>
      <c r="E1915" s="17" t="s">
        <v>47</v>
      </c>
      <c r="F1915" s="18" t="s">
        <v>34</v>
      </c>
      <c r="G1915" s="19" t="n">
        <v>868166136739</v>
      </c>
      <c r="H1915" s="17" t="s">
        <v>35</v>
      </c>
      <c r="I1915" s="17" t="s">
        <v>44</v>
      </c>
      <c r="J1915" s="17" t="s">
        <v>267</v>
      </c>
      <c r="K1915" s="17" t="s">
        <v>960</v>
      </c>
      <c r="L1915" s="17" t="n">
        <v>1</v>
      </c>
      <c r="M1915" s="17" t="s">
        <v>610</v>
      </c>
      <c r="N1915" s="17" t="n">
        <v>1</v>
      </c>
      <c r="O1915" s="17" t="s">
        <v>611</v>
      </c>
      <c r="P1915" s="17" t="n">
        <v>11</v>
      </c>
      <c r="Q1915" s="17" t="s">
        <v>953</v>
      </c>
      <c r="R1915" s="17" t="s">
        <v>35</v>
      </c>
      <c r="S1915" s="17" t="s">
        <v>613</v>
      </c>
      <c r="T1915" s="18" t="s">
        <v>248</v>
      </c>
      <c r="U1915" s="18" t="s">
        <v>38</v>
      </c>
      <c r="V1915" s="17" t="n">
        <v>4</v>
      </c>
      <c r="W1915" s="20" t="s">
        <v>38</v>
      </c>
      <c r="X1915" s="17" t="s">
        <v>267</v>
      </c>
      <c r="Y1915" s="17" t="s">
        <v>960</v>
      </c>
      <c r="Z1915" s="17" t="s">
        <v>222</v>
      </c>
      <c r="AA1915" s="17" t="s">
        <v>919</v>
      </c>
      <c r="AB1915" s="17" t="s">
        <v>41</v>
      </c>
      <c r="AC1915" s="0" t="str">
        <f aca="false">LEFT(G1915,2)</f>
        <v>86</v>
      </c>
      <c r="AE1915" s="21"/>
    </row>
    <row r="1916" customFormat="false" ht="15" hidden="false" customHeight="false" outlineLevel="0" collapsed="false">
      <c r="A1916" s="13" t="n">
        <f aca="false">1+A1915</f>
        <v>1914</v>
      </c>
      <c r="B1916" s="14" t="n">
        <v>1009554571</v>
      </c>
      <c r="C1916" s="17" t="s">
        <v>444</v>
      </c>
      <c r="D1916" s="16" t="s">
        <v>64</v>
      </c>
      <c r="E1916" s="17" t="s">
        <v>64</v>
      </c>
      <c r="F1916" s="18" t="s">
        <v>34</v>
      </c>
      <c r="G1916" s="19" t="n">
        <v>867012126100</v>
      </c>
      <c r="H1916" s="17" t="s">
        <v>35</v>
      </c>
      <c r="I1916" s="17" t="s">
        <v>44</v>
      </c>
      <c r="J1916" s="17" t="s">
        <v>121</v>
      </c>
      <c r="K1916" s="17" t="s">
        <v>955</v>
      </c>
      <c r="L1916" s="17" t="n">
        <v>1</v>
      </c>
      <c r="M1916" s="17" t="s">
        <v>610</v>
      </c>
      <c r="N1916" s="17" t="n">
        <v>1</v>
      </c>
      <c r="O1916" s="17" t="s">
        <v>611</v>
      </c>
      <c r="P1916" s="17" t="n">
        <v>11</v>
      </c>
      <c r="Q1916" s="17" t="s">
        <v>953</v>
      </c>
      <c r="R1916" s="17" t="s">
        <v>35</v>
      </c>
      <c r="S1916" s="17" t="s">
        <v>613</v>
      </c>
      <c r="T1916" s="18" t="s">
        <v>248</v>
      </c>
      <c r="U1916" s="18" t="s">
        <v>122</v>
      </c>
      <c r="V1916" s="17" t="n">
        <v>2</v>
      </c>
      <c r="W1916" s="20" t="s">
        <v>122</v>
      </c>
      <c r="X1916" s="17" t="s">
        <v>121</v>
      </c>
      <c r="Y1916" s="17" t="s">
        <v>955</v>
      </c>
      <c r="Z1916" s="17" t="s">
        <v>969</v>
      </c>
      <c r="AA1916" s="17" t="s">
        <v>919</v>
      </c>
      <c r="AB1916" s="17" t="s">
        <v>41</v>
      </c>
      <c r="AC1916" s="0" t="str">
        <f aca="false">LEFT(G1916,2)</f>
        <v>86</v>
      </c>
      <c r="AE1916" s="21"/>
    </row>
    <row r="1917" customFormat="false" ht="15" hidden="false" customHeight="false" outlineLevel="0" collapsed="false">
      <c r="A1917" s="13" t="n">
        <f aca="false">1+A1916</f>
        <v>1915</v>
      </c>
      <c r="B1917" s="14" t="n">
        <v>1009586223</v>
      </c>
      <c r="C1917" s="17" t="s">
        <v>970</v>
      </c>
      <c r="D1917" s="16" t="s">
        <v>64</v>
      </c>
      <c r="E1917" s="17" t="s">
        <v>47</v>
      </c>
      <c r="F1917" s="18" t="s">
        <v>34</v>
      </c>
      <c r="G1917" s="19" t="n">
        <v>866173103908</v>
      </c>
      <c r="H1917" s="17" t="s">
        <v>35</v>
      </c>
      <c r="I1917" s="17" t="s">
        <v>44</v>
      </c>
      <c r="J1917" s="17" t="s">
        <v>121</v>
      </c>
      <c r="K1917" s="17" t="s">
        <v>955</v>
      </c>
      <c r="L1917" s="17" t="n">
        <v>1</v>
      </c>
      <c r="M1917" s="17" t="s">
        <v>610</v>
      </c>
      <c r="N1917" s="17" t="n">
        <v>1</v>
      </c>
      <c r="O1917" s="17" t="s">
        <v>611</v>
      </c>
      <c r="P1917" s="17" t="n">
        <v>11</v>
      </c>
      <c r="Q1917" s="17" t="s">
        <v>953</v>
      </c>
      <c r="R1917" s="17" t="s">
        <v>35</v>
      </c>
      <c r="S1917" s="17" t="s">
        <v>613</v>
      </c>
      <c r="T1917" s="18" t="s">
        <v>248</v>
      </c>
      <c r="U1917" s="18" t="s">
        <v>122</v>
      </c>
      <c r="V1917" s="17" t="n">
        <v>2</v>
      </c>
      <c r="W1917" s="20" t="s">
        <v>122</v>
      </c>
      <c r="X1917" s="17" t="s">
        <v>121</v>
      </c>
      <c r="Y1917" s="17" t="s">
        <v>955</v>
      </c>
      <c r="Z1917" s="17" t="s">
        <v>971</v>
      </c>
      <c r="AA1917" s="17" t="s">
        <v>919</v>
      </c>
      <c r="AB1917" s="17" t="s">
        <v>41</v>
      </c>
      <c r="AC1917" s="0" t="str">
        <f aca="false">LEFT(G1917,2)</f>
        <v>86</v>
      </c>
      <c r="AE1917" s="21"/>
    </row>
    <row r="1918" customFormat="false" ht="15" hidden="false" customHeight="false" outlineLevel="0" collapsed="false">
      <c r="A1918" s="13" t="n">
        <f aca="false">1+A1917</f>
        <v>1916</v>
      </c>
      <c r="B1918" s="14" t="n">
        <v>1009537655</v>
      </c>
      <c r="C1918" s="17" t="s">
        <v>444</v>
      </c>
      <c r="D1918" s="16" t="s">
        <v>64</v>
      </c>
      <c r="E1918" s="17" t="s">
        <v>64</v>
      </c>
      <c r="F1918" s="18" t="s">
        <v>34</v>
      </c>
      <c r="G1918" s="19" t="n">
        <v>868153189568</v>
      </c>
      <c r="H1918" s="17" t="s">
        <v>35</v>
      </c>
      <c r="I1918" s="17" t="s">
        <v>44</v>
      </c>
      <c r="J1918" s="17" t="s">
        <v>111</v>
      </c>
      <c r="K1918" s="17" t="s">
        <v>958</v>
      </c>
      <c r="L1918" s="17" t="n">
        <v>1</v>
      </c>
      <c r="M1918" s="17" t="s">
        <v>610</v>
      </c>
      <c r="N1918" s="17" t="n">
        <v>1</v>
      </c>
      <c r="O1918" s="17" t="s">
        <v>611</v>
      </c>
      <c r="P1918" s="17" t="n">
        <v>11</v>
      </c>
      <c r="Q1918" s="17" t="s">
        <v>953</v>
      </c>
      <c r="R1918" s="17" t="s">
        <v>35</v>
      </c>
      <c r="S1918" s="17" t="s">
        <v>613</v>
      </c>
      <c r="T1918" s="18" t="s">
        <v>248</v>
      </c>
      <c r="U1918" s="18" t="s">
        <v>122</v>
      </c>
      <c r="V1918" s="17" t="n">
        <v>2</v>
      </c>
      <c r="W1918" s="20" t="s">
        <v>122</v>
      </c>
      <c r="X1918" s="17" t="s">
        <v>111</v>
      </c>
      <c r="Y1918" s="17" t="s">
        <v>958</v>
      </c>
      <c r="Z1918" s="17" t="s">
        <v>972</v>
      </c>
      <c r="AA1918" s="17" t="s">
        <v>919</v>
      </c>
      <c r="AB1918" s="17" t="s">
        <v>41</v>
      </c>
      <c r="AC1918" s="0" t="str">
        <f aca="false">LEFT(G1918,2)</f>
        <v>86</v>
      </c>
      <c r="AE1918" s="21"/>
    </row>
    <row r="1919" customFormat="false" ht="15" hidden="false" customHeight="false" outlineLevel="0" collapsed="false">
      <c r="A1919" s="13" t="n">
        <f aca="false">1+A1918</f>
        <v>1917</v>
      </c>
      <c r="B1919" s="14" t="n">
        <v>1009541593</v>
      </c>
      <c r="C1919" s="17" t="s">
        <v>126</v>
      </c>
      <c r="D1919" s="16" t="s">
        <v>64</v>
      </c>
      <c r="E1919" s="17" t="s">
        <v>47</v>
      </c>
      <c r="F1919" s="18" t="s">
        <v>34</v>
      </c>
      <c r="G1919" s="19" t="n">
        <v>865322195344</v>
      </c>
      <c r="H1919" s="17" t="s">
        <v>35</v>
      </c>
      <c r="I1919" s="17" t="s">
        <v>44</v>
      </c>
      <c r="J1919" s="17" t="s">
        <v>111</v>
      </c>
      <c r="K1919" s="17" t="s">
        <v>958</v>
      </c>
      <c r="L1919" s="17" t="n">
        <v>1</v>
      </c>
      <c r="M1919" s="17" t="s">
        <v>610</v>
      </c>
      <c r="N1919" s="17" t="n">
        <v>1</v>
      </c>
      <c r="O1919" s="17" t="s">
        <v>611</v>
      </c>
      <c r="P1919" s="17" t="n">
        <v>11</v>
      </c>
      <c r="Q1919" s="17" t="s">
        <v>953</v>
      </c>
      <c r="R1919" s="17" t="s">
        <v>35</v>
      </c>
      <c r="S1919" s="17" t="s">
        <v>613</v>
      </c>
      <c r="T1919" s="18" t="s">
        <v>248</v>
      </c>
      <c r="U1919" s="18" t="s">
        <v>122</v>
      </c>
      <c r="V1919" s="17" t="n">
        <v>2</v>
      </c>
      <c r="W1919" s="20" t="s">
        <v>122</v>
      </c>
      <c r="X1919" s="17" t="s">
        <v>111</v>
      </c>
      <c r="Y1919" s="17" t="s">
        <v>958</v>
      </c>
      <c r="Z1919" s="17" t="s">
        <v>972</v>
      </c>
      <c r="AA1919" s="17" t="s">
        <v>919</v>
      </c>
      <c r="AB1919" s="17" t="s">
        <v>41</v>
      </c>
      <c r="AC1919" s="0" t="str">
        <f aca="false">LEFT(G1919,2)</f>
        <v>86</v>
      </c>
      <c r="AE1919" s="21"/>
    </row>
    <row r="1920" customFormat="false" ht="15" hidden="false" customHeight="false" outlineLevel="0" collapsed="false">
      <c r="A1920" s="13" t="n">
        <f aca="false">1+A1919</f>
        <v>1918</v>
      </c>
      <c r="B1920" s="14" t="n">
        <v>1009534245</v>
      </c>
      <c r="C1920" s="17" t="s">
        <v>174</v>
      </c>
      <c r="D1920" s="16" t="s">
        <v>138</v>
      </c>
      <c r="E1920" s="17" t="s">
        <v>114</v>
      </c>
      <c r="F1920" s="18" t="s">
        <v>34</v>
      </c>
      <c r="G1920" s="19" t="n">
        <v>866280131339</v>
      </c>
      <c r="H1920" s="17" t="s">
        <v>35</v>
      </c>
      <c r="I1920" s="17" t="s">
        <v>44</v>
      </c>
      <c r="J1920" s="17" t="s">
        <v>111</v>
      </c>
      <c r="K1920" s="17" t="s">
        <v>958</v>
      </c>
      <c r="L1920" s="17" t="n">
        <v>1</v>
      </c>
      <c r="M1920" s="17" t="s">
        <v>610</v>
      </c>
      <c r="N1920" s="17" t="n">
        <v>1</v>
      </c>
      <c r="O1920" s="17" t="s">
        <v>611</v>
      </c>
      <c r="P1920" s="17" t="n">
        <v>11</v>
      </c>
      <c r="Q1920" s="17" t="s">
        <v>953</v>
      </c>
      <c r="R1920" s="17" t="s">
        <v>35</v>
      </c>
      <c r="S1920" s="17" t="s">
        <v>613</v>
      </c>
      <c r="T1920" s="18" t="s">
        <v>248</v>
      </c>
      <c r="U1920" s="18" t="s">
        <v>122</v>
      </c>
      <c r="V1920" s="17" t="n">
        <v>2</v>
      </c>
      <c r="W1920" s="20" t="s">
        <v>122</v>
      </c>
      <c r="X1920" s="17" t="s">
        <v>111</v>
      </c>
      <c r="Y1920" s="17" t="s">
        <v>958</v>
      </c>
      <c r="Z1920" s="17" t="s">
        <v>973</v>
      </c>
      <c r="AA1920" s="17" t="s">
        <v>919</v>
      </c>
      <c r="AB1920" s="17" t="s">
        <v>41</v>
      </c>
      <c r="AC1920" s="0" t="str">
        <f aca="false">LEFT(G1920,2)</f>
        <v>86</v>
      </c>
      <c r="AE1920" s="21"/>
    </row>
    <row r="1921" customFormat="false" ht="15" hidden="false" customHeight="false" outlineLevel="0" collapsed="false">
      <c r="A1921" s="13" t="n">
        <f aca="false">1+A1920</f>
        <v>1919</v>
      </c>
      <c r="B1921" s="14" t="n">
        <v>1009547929</v>
      </c>
      <c r="C1921" s="17" t="s">
        <v>126</v>
      </c>
      <c r="D1921" s="16" t="s">
        <v>147</v>
      </c>
      <c r="E1921" s="17" t="s">
        <v>974</v>
      </c>
      <c r="F1921" s="18" t="s">
        <v>34</v>
      </c>
      <c r="G1921" s="19" t="n">
        <v>865268293863</v>
      </c>
      <c r="H1921" s="17" t="s">
        <v>35</v>
      </c>
      <c r="I1921" s="17" t="s">
        <v>44</v>
      </c>
      <c r="J1921" s="17" t="s">
        <v>111</v>
      </c>
      <c r="K1921" s="17" t="s">
        <v>958</v>
      </c>
      <c r="L1921" s="17" t="n">
        <v>1</v>
      </c>
      <c r="M1921" s="17" t="s">
        <v>610</v>
      </c>
      <c r="N1921" s="17" t="n">
        <v>1</v>
      </c>
      <c r="O1921" s="17" t="s">
        <v>611</v>
      </c>
      <c r="P1921" s="17" t="n">
        <v>11</v>
      </c>
      <c r="Q1921" s="17" t="s">
        <v>953</v>
      </c>
      <c r="R1921" s="17" t="s">
        <v>35</v>
      </c>
      <c r="S1921" s="17" t="s">
        <v>613</v>
      </c>
      <c r="T1921" s="18" t="s">
        <v>248</v>
      </c>
      <c r="U1921" s="18" t="s">
        <v>122</v>
      </c>
      <c r="V1921" s="17" t="n">
        <v>2</v>
      </c>
      <c r="W1921" s="20" t="s">
        <v>122</v>
      </c>
      <c r="X1921" s="17" t="s">
        <v>111</v>
      </c>
      <c r="Y1921" s="17" t="s">
        <v>958</v>
      </c>
      <c r="Z1921" s="17" t="s">
        <v>973</v>
      </c>
      <c r="AA1921" s="17" t="s">
        <v>919</v>
      </c>
      <c r="AB1921" s="17" t="s">
        <v>41</v>
      </c>
      <c r="AC1921" s="0" t="str">
        <f aca="false">LEFT(G1921,2)</f>
        <v>86</v>
      </c>
      <c r="AE1921" s="21"/>
    </row>
    <row r="1922" customFormat="false" ht="15" hidden="false" customHeight="false" outlineLevel="0" collapsed="false">
      <c r="A1922" s="13" t="n">
        <f aca="false">1+A1921</f>
        <v>1920</v>
      </c>
      <c r="B1922" s="14" t="n">
        <v>1009522435</v>
      </c>
      <c r="C1922" s="17" t="s">
        <v>93</v>
      </c>
      <c r="D1922" s="16" t="s">
        <v>64</v>
      </c>
      <c r="E1922" s="17" t="s">
        <v>33</v>
      </c>
      <c r="F1922" s="18" t="s">
        <v>34</v>
      </c>
      <c r="G1922" s="19" t="n">
        <v>866180126116</v>
      </c>
      <c r="H1922" s="17" t="s">
        <v>35</v>
      </c>
      <c r="I1922" s="17" t="s">
        <v>44</v>
      </c>
      <c r="J1922" s="17" t="s">
        <v>111</v>
      </c>
      <c r="K1922" s="17" t="s">
        <v>958</v>
      </c>
      <c r="L1922" s="17" t="n">
        <v>5</v>
      </c>
      <c r="M1922" s="17" t="s">
        <v>952</v>
      </c>
      <c r="N1922" s="17" t="n">
        <v>24</v>
      </c>
      <c r="O1922" s="17" t="s">
        <v>975</v>
      </c>
      <c r="P1922" s="17" t="n">
        <v>11</v>
      </c>
      <c r="Q1922" s="17" t="s">
        <v>953</v>
      </c>
      <c r="R1922" s="17" t="s">
        <v>35</v>
      </c>
      <c r="S1922" s="17" t="s">
        <v>613</v>
      </c>
      <c r="T1922" s="18" t="s">
        <v>248</v>
      </c>
      <c r="U1922" s="18" t="s">
        <v>122</v>
      </c>
      <c r="V1922" s="17" t="n">
        <v>2</v>
      </c>
      <c r="W1922" s="20" t="s">
        <v>122</v>
      </c>
      <c r="X1922" s="17" t="s">
        <v>111</v>
      </c>
      <c r="Y1922" s="17" t="s">
        <v>958</v>
      </c>
      <c r="Z1922" s="17" t="s">
        <v>276</v>
      </c>
      <c r="AA1922" s="17" t="s">
        <v>919</v>
      </c>
      <c r="AB1922" s="17" t="s">
        <v>41</v>
      </c>
      <c r="AC1922" s="0" t="str">
        <f aca="false">LEFT(G1922,2)</f>
        <v>86</v>
      </c>
      <c r="AE1922" s="21"/>
    </row>
    <row r="1923" customFormat="false" ht="15" hidden="false" customHeight="false" outlineLevel="0" collapsed="false">
      <c r="A1923" s="13" t="n">
        <f aca="false">1+A1922</f>
        <v>1921</v>
      </c>
      <c r="B1923" s="14" t="n">
        <v>1009539861</v>
      </c>
      <c r="C1923" s="17" t="s">
        <v>311</v>
      </c>
      <c r="D1923" s="16" t="s">
        <v>64</v>
      </c>
      <c r="E1923" s="17" t="s">
        <v>64</v>
      </c>
      <c r="F1923" s="18" t="s">
        <v>34</v>
      </c>
      <c r="G1923" s="19" t="n">
        <v>866342312802</v>
      </c>
      <c r="H1923" s="17" t="s">
        <v>35</v>
      </c>
      <c r="I1923" s="17" t="s">
        <v>44</v>
      </c>
      <c r="J1923" s="17" t="s">
        <v>121</v>
      </c>
      <c r="K1923" s="17" t="s">
        <v>955</v>
      </c>
      <c r="L1923" s="17" t="n">
        <v>1</v>
      </c>
      <c r="M1923" s="17" t="s">
        <v>610</v>
      </c>
      <c r="N1923" s="17" t="n">
        <v>1</v>
      </c>
      <c r="O1923" s="17" t="s">
        <v>611</v>
      </c>
      <c r="P1923" s="17" t="n">
        <v>11</v>
      </c>
      <c r="Q1923" s="17" t="s">
        <v>953</v>
      </c>
      <c r="R1923" s="17" t="s">
        <v>35</v>
      </c>
      <c r="S1923" s="17" t="s">
        <v>613</v>
      </c>
      <c r="T1923" s="18" t="s">
        <v>248</v>
      </c>
      <c r="U1923" s="18" t="s">
        <v>122</v>
      </c>
      <c r="V1923" s="17" t="n">
        <v>2</v>
      </c>
      <c r="W1923" s="20" t="s">
        <v>122</v>
      </c>
      <c r="X1923" s="17" t="s">
        <v>121</v>
      </c>
      <c r="Y1923" s="17" t="s">
        <v>955</v>
      </c>
      <c r="Z1923" s="17" t="s">
        <v>276</v>
      </c>
      <c r="AA1923" s="17" t="s">
        <v>919</v>
      </c>
      <c r="AB1923" s="17" t="s">
        <v>41</v>
      </c>
      <c r="AC1923" s="0" t="str">
        <f aca="false">LEFT(G1923,2)</f>
        <v>86</v>
      </c>
      <c r="AE1923" s="21"/>
    </row>
    <row r="1924" customFormat="false" ht="15" hidden="false" customHeight="false" outlineLevel="0" collapsed="false">
      <c r="A1924" s="13" t="n">
        <f aca="false">1+A1923</f>
        <v>1922</v>
      </c>
      <c r="B1924" s="14" t="n">
        <v>1009554544</v>
      </c>
      <c r="C1924" s="17" t="s">
        <v>444</v>
      </c>
      <c r="D1924" s="16" t="s">
        <v>64</v>
      </c>
      <c r="E1924" s="17" t="s">
        <v>114</v>
      </c>
      <c r="F1924" s="18" t="s">
        <v>34</v>
      </c>
      <c r="G1924" s="19" t="n">
        <v>867244163392</v>
      </c>
      <c r="H1924" s="17" t="s">
        <v>35</v>
      </c>
      <c r="I1924" s="17" t="s">
        <v>44</v>
      </c>
      <c r="J1924" s="17" t="s">
        <v>121</v>
      </c>
      <c r="K1924" s="17" t="s">
        <v>955</v>
      </c>
      <c r="L1924" s="17" t="n">
        <v>4</v>
      </c>
      <c r="M1924" s="17" t="s">
        <v>976</v>
      </c>
      <c r="N1924" s="17" t="n">
        <v>9</v>
      </c>
      <c r="O1924" s="17" t="s">
        <v>977</v>
      </c>
      <c r="P1924" s="17" t="n">
        <v>11</v>
      </c>
      <c r="Q1924" s="17" t="s">
        <v>953</v>
      </c>
      <c r="R1924" s="17" t="s">
        <v>35</v>
      </c>
      <c r="S1924" s="17" t="s">
        <v>613</v>
      </c>
      <c r="T1924" s="18" t="s">
        <v>248</v>
      </c>
      <c r="U1924" s="18" t="s">
        <v>122</v>
      </c>
      <c r="V1924" s="17" t="n">
        <v>2</v>
      </c>
      <c r="W1924" s="20" t="s">
        <v>122</v>
      </c>
      <c r="X1924" s="17" t="s">
        <v>121</v>
      </c>
      <c r="Y1924" s="17" t="s">
        <v>955</v>
      </c>
      <c r="Z1924" s="17" t="s">
        <v>271</v>
      </c>
      <c r="AA1924" s="17" t="s">
        <v>919</v>
      </c>
      <c r="AB1924" s="17" t="s">
        <v>41</v>
      </c>
      <c r="AC1924" s="0" t="str">
        <f aca="false">LEFT(G1924,2)</f>
        <v>86</v>
      </c>
      <c r="AE1924" s="21"/>
    </row>
    <row r="1925" customFormat="false" ht="15" hidden="false" customHeight="false" outlineLevel="0" collapsed="false">
      <c r="A1925" s="13" t="n">
        <f aca="false">1+A1924</f>
        <v>1923</v>
      </c>
      <c r="B1925" s="14" t="n">
        <v>1009586069</v>
      </c>
      <c r="C1925" s="17" t="s">
        <v>139</v>
      </c>
      <c r="D1925" s="16" t="s">
        <v>64</v>
      </c>
      <c r="E1925" s="17" t="s">
        <v>47</v>
      </c>
      <c r="F1925" s="18" t="s">
        <v>34</v>
      </c>
      <c r="G1925" s="19" t="n">
        <v>866015112190</v>
      </c>
      <c r="H1925" s="17" t="s">
        <v>35</v>
      </c>
      <c r="I1925" s="17" t="s">
        <v>44</v>
      </c>
      <c r="J1925" s="17" t="s">
        <v>121</v>
      </c>
      <c r="K1925" s="17" t="s">
        <v>955</v>
      </c>
      <c r="L1925" s="17" t="n">
        <v>1</v>
      </c>
      <c r="M1925" s="17" t="s">
        <v>610</v>
      </c>
      <c r="N1925" s="17" t="n">
        <v>1</v>
      </c>
      <c r="O1925" s="17" t="s">
        <v>611</v>
      </c>
      <c r="P1925" s="17" t="n">
        <v>11</v>
      </c>
      <c r="Q1925" s="17" t="s">
        <v>953</v>
      </c>
      <c r="R1925" s="17" t="s">
        <v>35</v>
      </c>
      <c r="S1925" s="17" t="s">
        <v>613</v>
      </c>
      <c r="T1925" s="18" t="s">
        <v>248</v>
      </c>
      <c r="U1925" s="18" t="s">
        <v>122</v>
      </c>
      <c r="V1925" s="17" t="n">
        <v>2</v>
      </c>
      <c r="W1925" s="20" t="s">
        <v>122</v>
      </c>
      <c r="X1925" s="17" t="s">
        <v>121</v>
      </c>
      <c r="Y1925" s="17" t="s">
        <v>955</v>
      </c>
      <c r="Z1925" s="17" t="s">
        <v>760</v>
      </c>
      <c r="AA1925" s="17" t="s">
        <v>919</v>
      </c>
      <c r="AB1925" s="17" t="s">
        <v>41</v>
      </c>
      <c r="AC1925" s="0" t="str">
        <f aca="false">LEFT(G1925,2)</f>
        <v>86</v>
      </c>
      <c r="AE1925" s="21"/>
    </row>
    <row r="1926" customFormat="false" ht="15" hidden="false" customHeight="false" outlineLevel="0" collapsed="false">
      <c r="A1926" s="13" t="n">
        <f aca="false">1+A1925</f>
        <v>1924</v>
      </c>
      <c r="B1926" s="14" t="n">
        <v>1009587457</v>
      </c>
      <c r="C1926" s="17" t="s">
        <v>159</v>
      </c>
      <c r="D1926" s="16" t="s">
        <v>64</v>
      </c>
      <c r="E1926" s="17" t="s">
        <v>64</v>
      </c>
      <c r="F1926" s="18" t="s">
        <v>34</v>
      </c>
      <c r="G1926" s="19" t="n">
        <v>867254145768</v>
      </c>
      <c r="H1926" s="17" t="s">
        <v>35</v>
      </c>
      <c r="I1926" s="17" t="s">
        <v>44</v>
      </c>
      <c r="J1926" s="17" t="s">
        <v>239</v>
      </c>
      <c r="K1926" s="17" t="s">
        <v>951</v>
      </c>
      <c r="L1926" s="17" t="n">
        <v>5</v>
      </c>
      <c r="M1926" s="17" t="s">
        <v>952</v>
      </c>
      <c r="N1926" s="17" t="n">
        <v>1</v>
      </c>
      <c r="O1926" s="17" t="s">
        <v>611</v>
      </c>
      <c r="P1926" s="17" t="n">
        <v>11</v>
      </c>
      <c r="Q1926" s="17" t="s">
        <v>953</v>
      </c>
      <c r="R1926" s="17" t="s">
        <v>35</v>
      </c>
      <c r="S1926" s="17" t="s">
        <v>613</v>
      </c>
      <c r="T1926" s="18" t="s">
        <v>248</v>
      </c>
      <c r="U1926" s="18" t="s">
        <v>122</v>
      </c>
      <c r="V1926" s="17" t="n">
        <v>2</v>
      </c>
      <c r="W1926" s="20" t="s">
        <v>122</v>
      </c>
      <c r="X1926" s="17" t="s">
        <v>239</v>
      </c>
      <c r="Y1926" s="17" t="s">
        <v>951</v>
      </c>
      <c r="Z1926" s="17" t="s">
        <v>246</v>
      </c>
      <c r="AA1926" s="17" t="s">
        <v>919</v>
      </c>
      <c r="AB1926" s="17" t="s">
        <v>41</v>
      </c>
      <c r="AC1926" s="0" t="str">
        <f aca="false">LEFT(G1926,2)</f>
        <v>86</v>
      </c>
      <c r="AE1926" s="21"/>
    </row>
    <row r="1927" customFormat="false" ht="15" hidden="false" customHeight="false" outlineLevel="0" collapsed="false">
      <c r="A1927" s="13" t="n">
        <f aca="false">1+A1926</f>
        <v>1925</v>
      </c>
      <c r="B1927" s="14" t="n">
        <v>1009586282</v>
      </c>
      <c r="C1927" s="17" t="s">
        <v>139</v>
      </c>
      <c r="D1927" s="16" t="s">
        <v>64</v>
      </c>
      <c r="E1927" s="17" t="s">
        <v>64</v>
      </c>
      <c r="F1927" s="18" t="s">
        <v>34</v>
      </c>
      <c r="G1927" s="19" t="n">
        <v>868108143025</v>
      </c>
      <c r="H1927" s="17" t="s">
        <v>35</v>
      </c>
      <c r="I1927" s="17" t="s">
        <v>44</v>
      </c>
      <c r="J1927" s="17" t="s">
        <v>239</v>
      </c>
      <c r="K1927" s="17" t="s">
        <v>951</v>
      </c>
      <c r="L1927" s="17" t="n">
        <v>5</v>
      </c>
      <c r="M1927" s="17" t="s">
        <v>952</v>
      </c>
      <c r="N1927" s="17" t="n">
        <v>1</v>
      </c>
      <c r="O1927" s="17" t="s">
        <v>611</v>
      </c>
      <c r="P1927" s="17" t="n">
        <v>11</v>
      </c>
      <c r="Q1927" s="17" t="s">
        <v>953</v>
      </c>
      <c r="R1927" s="17" t="s">
        <v>35</v>
      </c>
      <c r="S1927" s="17" t="s">
        <v>613</v>
      </c>
      <c r="T1927" s="18" t="s">
        <v>248</v>
      </c>
      <c r="U1927" s="20" t="s">
        <v>256</v>
      </c>
      <c r="V1927" s="17" t="n">
        <v>1</v>
      </c>
      <c r="W1927" s="20" t="s">
        <v>256</v>
      </c>
      <c r="X1927" s="17" t="s">
        <v>239</v>
      </c>
      <c r="Y1927" s="17" t="s">
        <v>951</v>
      </c>
      <c r="Z1927" s="17" t="s">
        <v>257</v>
      </c>
      <c r="AA1927" s="17" t="s">
        <v>919</v>
      </c>
      <c r="AB1927" s="17" t="s">
        <v>41</v>
      </c>
      <c r="AC1927" s="0" t="str">
        <f aca="false">LEFT(G1927,2)</f>
        <v>86</v>
      </c>
      <c r="AE1927" s="21"/>
    </row>
    <row r="1928" customFormat="false" ht="15" hidden="false" customHeight="false" outlineLevel="0" collapsed="false">
      <c r="A1928" s="13" t="n">
        <f aca="false">1+A1927</f>
        <v>1926</v>
      </c>
      <c r="B1928" s="14" t="n">
        <v>1009546983</v>
      </c>
      <c r="C1928" s="17" t="s">
        <v>126</v>
      </c>
      <c r="D1928" s="16" t="s">
        <v>64</v>
      </c>
      <c r="E1928" s="17" t="s">
        <v>64</v>
      </c>
      <c r="F1928" s="18" t="s">
        <v>34</v>
      </c>
      <c r="G1928" s="19" t="n">
        <v>865301233447</v>
      </c>
      <c r="H1928" s="17" t="s">
        <v>35</v>
      </c>
      <c r="I1928" s="17" t="s">
        <v>44</v>
      </c>
      <c r="J1928" s="17" t="s">
        <v>100</v>
      </c>
      <c r="K1928" s="17" t="s">
        <v>978</v>
      </c>
      <c r="L1928" s="17" t="n">
        <v>5</v>
      </c>
      <c r="M1928" s="17" t="s">
        <v>952</v>
      </c>
      <c r="N1928" s="17" t="n">
        <v>1</v>
      </c>
      <c r="O1928" s="17" t="s">
        <v>611</v>
      </c>
      <c r="P1928" s="17" t="n">
        <v>11</v>
      </c>
      <c r="Q1928" s="17" t="s">
        <v>953</v>
      </c>
      <c r="R1928" s="17" t="s">
        <v>35</v>
      </c>
      <c r="S1928" s="17" t="s">
        <v>613</v>
      </c>
      <c r="T1928" s="18" t="s">
        <v>248</v>
      </c>
      <c r="U1928" s="18" t="s">
        <v>122</v>
      </c>
      <c r="V1928" s="17" t="n">
        <v>2</v>
      </c>
      <c r="W1928" s="20" t="s">
        <v>122</v>
      </c>
      <c r="X1928" s="17" t="s">
        <v>100</v>
      </c>
      <c r="Y1928" s="17" t="s">
        <v>978</v>
      </c>
      <c r="Z1928" s="17" t="s">
        <v>979</v>
      </c>
      <c r="AA1928" s="17" t="s">
        <v>919</v>
      </c>
      <c r="AB1928" s="17" t="s">
        <v>41</v>
      </c>
      <c r="AC1928" s="0" t="str">
        <f aca="false">LEFT(G1928,2)</f>
        <v>86</v>
      </c>
      <c r="AE1928" s="21"/>
    </row>
    <row r="1929" customFormat="false" ht="15" hidden="false" customHeight="false" outlineLevel="0" collapsed="false">
      <c r="A1929" s="13" t="n">
        <f aca="false">1+A1928</f>
        <v>1927</v>
      </c>
      <c r="B1929" s="14" t="n">
        <v>1009628451</v>
      </c>
      <c r="C1929" s="17" t="s">
        <v>229</v>
      </c>
      <c r="D1929" s="16" t="s">
        <v>64</v>
      </c>
      <c r="E1929" s="17" t="s">
        <v>47</v>
      </c>
      <c r="F1929" s="18" t="s">
        <v>34</v>
      </c>
      <c r="G1929" s="19" t="n">
        <v>867291102582</v>
      </c>
      <c r="H1929" s="17" t="s">
        <v>35</v>
      </c>
      <c r="I1929" s="17" t="s">
        <v>44</v>
      </c>
      <c r="J1929" s="17" t="s">
        <v>267</v>
      </c>
      <c r="K1929" s="17" t="s">
        <v>960</v>
      </c>
      <c r="L1929" s="17" t="n">
        <v>1</v>
      </c>
      <c r="M1929" s="17" t="s">
        <v>610</v>
      </c>
      <c r="N1929" s="17" t="n">
        <v>1</v>
      </c>
      <c r="O1929" s="17" t="s">
        <v>611</v>
      </c>
      <c r="P1929" s="17" t="n">
        <v>11</v>
      </c>
      <c r="Q1929" s="17" t="s">
        <v>953</v>
      </c>
      <c r="R1929" s="17" t="s">
        <v>35</v>
      </c>
      <c r="S1929" s="17" t="s">
        <v>613</v>
      </c>
      <c r="T1929" s="18" t="s">
        <v>248</v>
      </c>
      <c r="U1929" s="18" t="s">
        <v>122</v>
      </c>
      <c r="V1929" s="17" t="n">
        <v>2</v>
      </c>
      <c r="W1929" s="20" t="s">
        <v>122</v>
      </c>
      <c r="X1929" s="17" t="s">
        <v>267</v>
      </c>
      <c r="Y1929" s="17" t="s">
        <v>960</v>
      </c>
      <c r="Z1929" s="17" t="s">
        <v>980</v>
      </c>
      <c r="AA1929" s="17" t="s">
        <v>919</v>
      </c>
      <c r="AB1929" s="17" t="s">
        <v>41</v>
      </c>
      <c r="AC1929" s="0" t="str">
        <f aca="false">LEFT(G1929,2)</f>
        <v>86</v>
      </c>
      <c r="AE1929" s="21"/>
    </row>
    <row r="1930" customFormat="false" ht="15" hidden="false" customHeight="false" outlineLevel="0" collapsed="false">
      <c r="A1930" s="13" t="n">
        <f aca="false">1+A1929</f>
        <v>1928</v>
      </c>
      <c r="B1930" s="14" t="n">
        <v>1009615577</v>
      </c>
      <c r="C1930" s="17" t="s">
        <v>184</v>
      </c>
      <c r="D1930" s="16" t="s">
        <v>167</v>
      </c>
      <c r="E1930" s="17" t="s">
        <v>47</v>
      </c>
      <c r="F1930" s="18" t="s">
        <v>34</v>
      </c>
      <c r="G1930" s="19" t="n">
        <v>867218151142</v>
      </c>
      <c r="H1930" s="17" t="s">
        <v>35</v>
      </c>
      <c r="I1930" s="17" t="s">
        <v>44</v>
      </c>
      <c r="J1930" s="17" t="s">
        <v>121</v>
      </c>
      <c r="K1930" s="17" t="s">
        <v>955</v>
      </c>
      <c r="L1930" s="17" t="n">
        <v>2</v>
      </c>
      <c r="M1930" s="17" t="s">
        <v>981</v>
      </c>
      <c r="N1930" s="17" t="n">
        <v>6</v>
      </c>
      <c r="O1930" s="17" t="s">
        <v>982</v>
      </c>
      <c r="P1930" s="17" t="n">
        <v>11</v>
      </c>
      <c r="Q1930" s="17" t="s">
        <v>953</v>
      </c>
      <c r="R1930" s="17" t="s">
        <v>35</v>
      </c>
      <c r="S1930" s="17" t="s">
        <v>613</v>
      </c>
      <c r="T1930" s="18" t="s">
        <v>248</v>
      </c>
      <c r="U1930" s="18" t="s">
        <v>38</v>
      </c>
      <c r="V1930" s="17" t="n">
        <v>4</v>
      </c>
      <c r="W1930" s="20" t="s">
        <v>38</v>
      </c>
      <c r="X1930" s="17" t="s">
        <v>121</v>
      </c>
      <c r="Y1930" s="17" t="s">
        <v>955</v>
      </c>
      <c r="Z1930" s="17" t="s">
        <v>983</v>
      </c>
      <c r="AA1930" s="17" t="s">
        <v>919</v>
      </c>
      <c r="AB1930" s="17" t="s">
        <v>41</v>
      </c>
      <c r="AC1930" s="0" t="str">
        <f aca="false">LEFT(G1930,2)</f>
        <v>86</v>
      </c>
      <c r="AE1930" s="21"/>
    </row>
    <row r="1931" customFormat="false" ht="15" hidden="false" customHeight="false" outlineLevel="0" collapsed="false">
      <c r="A1931" s="13" t="n">
        <f aca="false">1+A1930</f>
        <v>1929</v>
      </c>
      <c r="B1931" s="14" t="n">
        <v>1009533295</v>
      </c>
      <c r="C1931" s="17" t="s">
        <v>174</v>
      </c>
      <c r="D1931" s="16" t="s">
        <v>213</v>
      </c>
      <c r="E1931" s="17" t="s">
        <v>984</v>
      </c>
      <c r="F1931" s="18" t="s">
        <v>34</v>
      </c>
      <c r="G1931" s="19" t="n">
        <v>866020282731</v>
      </c>
      <c r="H1931" s="17" t="s">
        <v>35</v>
      </c>
      <c r="I1931" s="17" t="s">
        <v>44</v>
      </c>
      <c r="J1931" s="17" t="s">
        <v>267</v>
      </c>
      <c r="K1931" s="17" t="s">
        <v>960</v>
      </c>
      <c r="L1931" s="17" t="n">
        <v>5</v>
      </c>
      <c r="M1931" s="17" t="s">
        <v>952</v>
      </c>
      <c r="N1931" s="17" t="n">
        <v>24</v>
      </c>
      <c r="O1931" s="17" t="s">
        <v>975</v>
      </c>
      <c r="P1931" s="17" t="n">
        <v>11</v>
      </c>
      <c r="Q1931" s="17" t="s">
        <v>953</v>
      </c>
      <c r="R1931" s="17" t="s">
        <v>35</v>
      </c>
      <c r="S1931" s="17" t="s">
        <v>613</v>
      </c>
      <c r="T1931" s="18" t="s">
        <v>248</v>
      </c>
      <c r="U1931" s="18" t="s">
        <v>122</v>
      </c>
      <c r="V1931" s="17" t="n">
        <v>2</v>
      </c>
      <c r="W1931" s="20" t="s">
        <v>122</v>
      </c>
      <c r="X1931" s="17" t="s">
        <v>267</v>
      </c>
      <c r="Y1931" s="17" t="s">
        <v>960</v>
      </c>
      <c r="Z1931" s="17" t="s">
        <v>985</v>
      </c>
      <c r="AA1931" s="17" t="s">
        <v>919</v>
      </c>
      <c r="AB1931" s="17" t="s">
        <v>41</v>
      </c>
      <c r="AC1931" s="0" t="str">
        <f aca="false">LEFT(G1931,2)</f>
        <v>86</v>
      </c>
      <c r="AE1931" s="21"/>
    </row>
    <row r="1932" customFormat="false" ht="15" hidden="false" customHeight="false" outlineLevel="0" collapsed="false">
      <c r="A1932" s="13" t="n">
        <f aca="false">1+A1931</f>
        <v>1930</v>
      </c>
      <c r="B1932" s="14" t="n">
        <v>1009527158</v>
      </c>
      <c r="C1932" s="17" t="s">
        <v>162</v>
      </c>
      <c r="D1932" s="16" t="s">
        <v>64</v>
      </c>
      <c r="E1932" s="17" t="s">
        <v>64</v>
      </c>
      <c r="F1932" s="18" t="s">
        <v>34</v>
      </c>
      <c r="G1932" s="19" t="n">
        <v>868135149185</v>
      </c>
      <c r="H1932" s="17" t="s">
        <v>35</v>
      </c>
      <c r="I1932" s="17" t="s">
        <v>44</v>
      </c>
      <c r="J1932" s="17" t="s">
        <v>111</v>
      </c>
      <c r="K1932" s="17" t="s">
        <v>958</v>
      </c>
      <c r="L1932" s="17" t="n">
        <v>1</v>
      </c>
      <c r="M1932" s="17" t="s">
        <v>610</v>
      </c>
      <c r="N1932" s="17" t="n">
        <v>1</v>
      </c>
      <c r="O1932" s="17" t="s">
        <v>611</v>
      </c>
      <c r="P1932" s="17" t="n">
        <v>11</v>
      </c>
      <c r="Q1932" s="17" t="s">
        <v>953</v>
      </c>
      <c r="R1932" s="17" t="s">
        <v>35</v>
      </c>
      <c r="S1932" s="17" t="s">
        <v>613</v>
      </c>
      <c r="T1932" s="18" t="s">
        <v>248</v>
      </c>
      <c r="U1932" s="18" t="s">
        <v>122</v>
      </c>
      <c r="V1932" s="17" t="n">
        <v>2</v>
      </c>
      <c r="W1932" s="20" t="s">
        <v>122</v>
      </c>
      <c r="X1932" s="17" t="s">
        <v>111</v>
      </c>
      <c r="Y1932" s="17" t="s">
        <v>958</v>
      </c>
      <c r="Z1932" s="17" t="s">
        <v>986</v>
      </c>
      <c r="AA1932" s="17" t="s">
        <v>919</v>
      </c>
      <c r="AB1932" s="17" t="s">
        <v>41</v>
      </c>
      <c r="AC1932" s="0" t="str">
        <f aca="false">LEFT(G1932,2)</f>
        <v>86</v>
      </c>
      <c r="AE1932" s="21"/>
    </row>
    <row r="1933" customFormat="false" ht="15" hidden="false" customHeight="false" outlineLevel="0" collapsed="false">
      <c r="A1933" s="13" t="n">
        <f aca="false">1+A1932</f>
        <v>1931</v>
      </c>
      <c r="B1933" s="14" t="n">
        <v>1009537516</v>
      </c>
      <c r="C1933" s="17" t="s">
        <v>311</v>
      </c>
      <c r="D1933" s="16" t="s">
        <v>64</v>
      </c>
      <c r="E1933" s="17" t="s">
        <v>64</v>
      </c>
      <c r="F1933" s="18" t="s">
        <v>34</v>
      </c>
      <c r="G1933" s="19" t="n">
        <v>866015177391</v>
      </c>
      <c r="H1933" s="17" t="s">
        <v>35</v>
      </c>
      <c r="I1933" s="17" t="s">
        <v>44</v>
      </c>
      <c r="J1933" s="17" t="s">
        <v>100</v>
      </c>
      <c r="K1933" s="17" t="s">
        <v>978</v>
      </c>
      <c r="L1933" s="17" t="n">
        <v>1</v>
      </c>
      <c r="M1933" s="17" t="s">
        <v>610</v>
      </c>
      <c r="N1933" s="17" t="n">
        <v>1</v>
      </c>
      <c r="O1933" s="17" t="s">
        <v>611</v>
      </c>
      <c r="P1933" s="17" t="n">
        <v>11</v>
      </c>
      <c r="Q1933" s="17" t="s">
        <v>953</v>
      </c>
      <c r="R1933" s="17" t="s">
        <v>35</v>
      </c>
      <c r="S1933" s="17" t="s">
        <v>613</v>
      </c>
      <c r="T1933" s="18" t="s">
        <v>248</v>
      </c>
      <c r="U1933" s="18" t="s">
        <v>122</v>
      </c>
      <c r="V1933" s="17" t="n">
        <v>2</v>
      </c>
      <c r="W1933" s="20" t="s">
        <v>122</v>
      </c>
      <c r="X1933" s="17" t="s">
        <v>100</v>
      </c>
      <c r="Y1933" s="17" t="s">
        <v>978</v>
      </c>
      <c r="Z1933" s="17" t="s">
        <v>266</v>
      </c>
      <c r="AA1933" s="17" t="s">
        <v>919</v>
      </c>
      <c r="AB1933" s="17" t="s">
        <v>41</v>
      </c>
      <c r="AC1933" s="0" t="str">
        <f aca="false">LEFT(G1933,2)</f>
        <v>86</v>
      </c>
      <c r="AE1933" s="21"/>
    </row>
    <row r="1934" customFormat="false" ht="15" hidden="false" customHeight="false" outlineLevel="0" collapsed="false">
      <c r="A1934" s="13" t="n">
        <f aca="false">1+A1933</f>
        <v>1932</v>
      </c>
      <c r="B1934" s="14" t="n">
        <v>1009533442</v>
      </c>
      <c r="C1934" s="17" t="s">
        <v>174</v>
      </c>
      <c r="D1934" s="16" t="s">
        <v>103</v>
      </c>
      <c r="E1934" s="17" t="s">
        <v>33</v>
      </c>
      <c r="F1934" s="18" t="s">
        <v>34</v>
      </c>
      <c r="G1934" s="19" t="n">
        <v>865350182594</v>
      </c>
      <c r="H1934" s="17" t="s">
        <v>35</v>
      </c>
      <c r="I1934" s="17" t="s">
        <v>44</v>
      </c>
      <c r="J1934" s="17" t="s">
        <v>100</v>
      </c>
      <c r="K1934" s="17" t="s">
        <v>978</v>
      </c>
      <c r="L1934" s="17" t="n">
        <v>5</v>
      </c>
      <c r="M1934" s="17" t="s">
        <v>952</v>
      </c>
      <c r="N1934" s="17" t="n">
        <v>24</v>
      </c>
      <c r="O1934" s="17" t="s">
        <v>975</v>
      </c>
      <c r="P1934" s="17" t="n">
        <v>12</v>
      </c>
      <c r="Q1934" s="17" t="s">
        <v>953</v>
      </c>
      <c r="R1934" s="17" t="s">
        <v>35</v>
      </c>
      <c r="S1934" s="17" t="s">
        <v>613</v>
      </c>
      <c r="T1934" s="18" t="s">
        <v>248</v>
      </c>
      <c r="U1934" s="18" t="s">
        <v>101</v>
      </c>
      <c r="V1934" s="17" t="n">
        <v>8</v>
      </c>
      <c r="W1934" s="20" t="s">
        <v>101</v>
      </c>
      <c r="X1934" s="17" t="s">
        <v>100</v>
      </c>
      <c r="Y1934" s="17" t="s">
        <v>978</v>
      </c>
      <c r="Z1934" s="17" t="s">
        <v>222</v>
      </c>
      <c r="AA1934" s="17" t="s">
        <v>919</v>
      </c>
      <c r="AB1934" s="17" t="s">
        <v>41</v>
      </c>
      <c r="AC1934" s="0" t="str">
        <f aca="false">LEFT(G1934,2)</f>
        <v>86</v>
      </c>
      <c r="AE1934" s="21"/>
    </row>
    <row r="1935" customFormat="false" ht="15" hidden="false" customHeight="false" outlineLevel="0" collapsed="false">
      <c r="A1935" s="13" t="n">
        <f aca="false">1+A1934</f>
        <v>1933</v>
      </c>
      <c r="B1935" s="14" t="n">
        <v>1009584042</v>
      </c>
      <c r="C1935" s="17" t="s">
        <v>139</v>
      </c>
      <c r="D1935" s="16" t="s">
        <v>64</v>
      </c>
      <c r="E1935" s="17" t="s">
        <v>487</v>
      </c>
      <c r="F1935" s="18" t="s">
        <v>34</v>
      </c>
      <c r="G1935" s="19" t="n">
        <v>865168167084</v>
      </c>
      <c r="H1935" s="17" t="s">
        <v>35</v>
      </c>
      <c r="I1935" s="17" t="s">
        <v>44</v>
      </c>
      <c r="J1935" s="17" t="s">
        <v>239</v>
      </c>
      <c r="K1935" s="17" t="s">
        <v>951</v>
      </c>
      <c r="L1935" s="17" t="n">
        <v>5</v>
      </c>
      <c r="M1935" s="17" t="s">
        <v>952</v>
      </c>
      <c r="N1935" s="17" t="n">
        <v>1</v>
      </c>
      <c r="O1935" s="17" t="s">
        <v>611</v>
      </c>
      <c r="P1935" s="17" t="n">
        <v>12</v>
      </c>
      <c r="Q1935" s="17" t="s">
        <v>953</v>
      </c>
      <c r="R1935" s="17" t="s">
        <v>35</v>
      </c>
      <c r="S1935" s="17" t="s">
        <v>613</v>
      </c>
      <c r="T1935" s="18" t="s">
        <v>248</v>
      </c>
      <c r="U1935" s="18" t="s">
        <v>101</v>
      </c>
      <c r="V1935" s="17" t="n">
        <v>8</v>
      </c>
      <c r="W1935" s="20" t="s">
        <v>101</v>
      </c>
      <c r="X1935" s="17" t="s">
        <v>239</v>
      </c>
      <c r="Y1935" s="17" t="s">
        <v>951</v>
      </c>
      <c r="Z1935" s="17" t="s">
        <v>141</v>
      </c>
      <c r="AA1935" s="17" t="s">
        <v>919</v>
      </c>
      <c r="AB1935" s="17" t="s">
        <v>41</v>
      </c>
      <c r="AC1935" s="0" t="str">
        <f aca="false">LEFT(G1935,2)</f>
        <v>86</v>
      </c>
      <c r="AE1935" s="21"/>
    </row>
    <row r="1936" customFormat="false" ht="15" hidden="false" customHeight="false" outlineLevel="0" collapsed="false">
      <c r="A1936" s="13" t="n">
        <f aca="false">1+A1935</f>
        <v>1934</v>
      </c>
      <c r="B1936" s="14" t="n">
        <v>1009534217</v>
      </c>
      <c r="C1936" s="17" t="s">
        <v>174</v>
      </c>
      <c r="D1936" s="16" t="s">
        <v>131</v>
      </c>
      <c r="E1936" s="17" t="s">
        <v>503</v>
      </c>
      <c r="F1936" s="18" t="s">
        <v>34</v>
      </c>
      <c r="G1936" s="19" t="n">
        <v>865335125189</v>
      </c>
      <c r="H1936" s="17" t="s">
        <v>35</v>
      </c>
      <c r="I1936" s="17" t="s">
        <v>44</v>
      </c>
      <c r="J1936" s="17" t="s">
        <v>100</v>
      </c>
      <c r="K1936" s="17" t="s">
        <v>978</v>
      </c>
      <c r="L1936" s="17" t="n">
        <v>1</v>
      </c>
      <c r="M1936" s="17" t="s">
        <v>610</v>
      </c>
      <c r="N1936" s="17" t="n">
        <v>1</v>
      </c>
      <c r="O1936" s="17" t="s">
        <v>611</v>
      </c>
      <c r="P1936" s="17" t="n">
        <v>11</v>
      </c>
      <c r="Q1936" s="17" t="s">
        <v>953</v>
      </c>
      <c r="R1936" s="17" t="s">
        <v>35</v>
      </c>
      <c r="S1936" s="17" t="s">
        <v>613</v>
      </c>
      <c r="T1936" s="18" t="s">
        <v>248</v>
      </c>
      <c r="U1936" s="18" t="s">
        <v>122</v>
      </c>
      <c r="V1936" s="17" t="n">
        <v>2</v>
      </c>
      <c r="W1936" s="20" t="s">
        <v>122</v>
      </c>
      <c r="X1936" s="17" t="s">
        <v>100</v>
      </c>
      <c r="Y1936" s="17" t="s">
        <v>978</v>
      </c>
      <c r="Z1936" s="17" t="s">
        <v>987</v>
      </c>
      <c r="AA1936" s="17" t="s">
        <v>919</v>
      </c>
      <c r="AB1936" s="17" t="s">
        <v>41</v>
      </c>
      <c r="AC1936" s="0" t="str">
        <f aca="false">LEFT(G1936,2)</f>
        <v>86</v>
      </c>
      <c r="AE1936" s="21"/>
    </row>
    <row r="1937" customFormat="false" ht="15" hidden="false" customHeight="false" outlineLevel="0" collapsed="false">
      <c r="A1937" s="13" t="n">
        <f aca="false">1+A1936</f>
        <v>1935</v>
      </c>
      <c r="B1937" s="14" t="n">
        <v>1009530580</v>
      </c>
      <c r="C1937" s="17" t="s">
        <v>174</v>
      </c>
      <c r="D1937" s="16" t="s">
        <v>64</v>
      </c>
      <c r="E1937" s="17" t="s">
        <v>33</v>
      </c>
      <c r="F1937" s="18" t="s">
        <v>34</v>
      </c>
      <c r="G1937" s="19" t="n">
        <v>867279116349</v>
      </c>
      <c r="H1937" s="17" t="s">
        <v>35</v>
      </c>
      <c r="I1937" s="17" t="s">
        <v>44</v>
      </c>
      <c r="J1937" s="17" t="s">
        <v>239</v>
      </c>
      <c r="K1937" s="17" t="s">
        <v>951</v>
      </c>
      <c r="L1937" s="17" t="n">
        <v>5</v>
      </c>
      <c r="M1937" s="17" t="s">
        <v>952</v>
      </c>
      <c r="N1937" s="17" t="n">
        <v>1</v>
      </c>
      <c r="O1937" s="17" t="s">
        <v>611</v>
      </c>
      <c r="P1937" s="17" t="n">
        <v>11</v>
      </c>
      <c r="Q1937" s="17" t="s">
        <v>953</v>
      </c>
      <c r="R1937" s="17" t="s">
        <v>35</v>
      </c>
      <c r="S1937" s="17" t="s">
        <v>613</v>
      </c>
      <c r="T1937" s="18" t="s">
        <v>248</v>
      </c>
      <c r="U1937" s="18" t="s">
        <v>122</v>
      </c>
      <c r="V1937" s="17" t="n">
        <v>2</v>
      </c>
      <c r="W1937" s="20" t="s">
        <v>122</v>
      </c>
      <c r="X1937" s="17" t="s">
        <v>239</v>
      </c>
      <c r="Y1937" s="17" t="s">
        <v>951</v>
      </c>
      <c r="Z1937" s="17" t="s">
        <v>260</v>
      </c>
      <c r="AA1937" s="17" t="s">
        <v>919</v>
      </c>
      <c r="AB1937" s="17" t="s">
        <v>41</v>
      </c>
      <c r="AC1937" s="0" t="str">
        <f aca="false">LEFT(G1937,2)</f>
        <v>86</v>
      </c>
      <c r="AE1937" s="21"/>
    </row>
    <row r="1938" customFormat="false" ht="15" hidden="false" customHeight="false" outlineLevel="0" collapsed="false">
      <c r="A1938" s="13" t="n">
        <f aca="false">1+A1937</f>
        <v>1936</v>
      </c>
      <c r="B1938" s="14" t="n">
        <v>1009615513</v>
      </c>
      <c r="C1938" s="17" t="s">
        <v>184</v>
      </c>
      <c r="D1938" s="16" t="s">
        <v>64</v>
      </c>
      <c r="E1938" s="17" t="s">
        <v>64</v>
      </c>
      <c r="F1938" s="18" t="s">
        <v>34</v>
      </c>
      <c r="G1938" s="19" t="n">
        <v>866216122329</v>
      </c>
      <c r="H1938" s="17" t="s">
        <v>35</v>
      </c>
      <c r="I1938" s="17" t="s">
        <v>44</v>
      </c>
      <c r="J1938" s="17" t="s">
        <v>121</v>
      </c>
      <c r="K1938" s="17" t="s">
        <v>955</v>
      </c>
      <c r="L1938" s="17" t="n">
        <v>1</v>
      </c>
      <c r="M1938" s="17" t="s">
        <v>610</v>
      </c>
      <c r="N1938" s="17" t="n">
        <v>1</v>
      </c>
      <c r="O1938" s="17" t="s">
        <v>611</v>
      </c>
      <c r="P1938" s="17" t="n">
        <v>11</v>
      </c>
      <c r="Q1938" s="17" t="s">
        <v>953</v>
      </c>
      <c r="R1938" s="17" t="s">
        <v>35</v>
      </c>
      <c r="S1938" s="17" t="s">
        <v>613</v>
      </c>
      <c r="T1938" s="18" t="s">
        <v>248</v>
      </c>
      <c r="U1938" s="18" t="s">
        <v>38</v>
      </c>
      <c r="V1938" s="17" t="n">
        <v>4</v>
      </c>
      <c r="W1938" s="20" t="s">
        <v>38</v>
      </c>
      <c r="X1938" s="17" t="s">
        <v>121</v>
      </c>
      <c r="Y1938" s="17" t="s">
        <v>955</v>
      </c>
      <c r="Z1938" s="17" t="s">
        <v>222</v>
      </c>
      <c r="AA1938" s="17" t="s">
        <v>919</v>
      </c>
      <c r="AB1938" s="17" t="s">
        <v>41</v>
      </c>
      <c r="AC1938" s="0" t="str">
        <f aca="false">LEFT(G1938,2)</f>
        <v>86</v>
      </c>
      <c r="AE1938" s="21"/>
    </row>
    <row r="1939" customFormat="false" ht="15" hidden="false" customHeight="false" outlineLevel="0" collapsed="false">
      <c r="A1939" s="13" t="n">
        <f aca="false">1+A1938</f>
        <v>1937</v>
      </c>
      <c r="B1939" s="14" t="n">
        <v>1009533693</v>
      </c>
      <c r="C1939" s="17" t="s">
        <v>174</v>
      </c>
      <c r="D1939" s="16" t="s">
        <v>64</v>
      </c>
      <c r="E1939" s="17" t="s">
        <v>47</v>
      </c>
      <c r="F1939" s="18" t="s">
        <v>34</v>
      </c>
      <c r="G1939" s="19" t="n">
        <v>866256136205</v>
      </c>
      <c r="H1939" s="17" t="s">
        <v>35</v>
      </c>
      <c r="I1939" s="17" t="s">
        <v>44</v>
      </c>
      <c r="J1939" s="17" t="s">
        <v>239</v>
      </c>
      <c r="K1939" s="17" t="s">
        <v>951</v>
      </c>
      <c r="L1939" s="17" t="n">
        <v>5</v>
      </c>
      <c r="M1939" s="17" t="s">
        <v>952</v>
      </c>
      <c r="N1939" s="17" t="n">
        <v>24</v>
      </c>
      <c r="O1939" s="17" t="s">
        <v>975</v>
      </c>
      <c r="P1939" s="17" t="n">
        <v>11</v>
      </c>
      <c r="Q1939" s="17" t="s">
        <v>953</v>
      </c>
      <c r="R1939" s="17" t="s">
        <v>35</v>
      </c>
      <c r="S1939" s="17" t="s">
        <v>613</v>
      </c>
      <c r="T1939" s="18" t="s">
        <v>248</v>
      </c>
      <c r="U1939" s="18" t="s">
        <v>122</v>
      </c>
      <c r="V1939" s="17" t="n">
        <v>2</v>
      </c>
      <c r="W1939" s="20" t="s">
        <v>122</v>
      </c>
      <c r="X1939" s="17" t="s">
        <v>239</v>
      </c>
      <c r="Y1939" s="17" t="s">
        <v>951</v>
      </c>
      <c r="Z1939" s="17" t="s">
        <v>260</v>
      </c>
      <c r="AA1939" s="17" t="s">
        <v>919</v>
      </c>
      <c r="AB1939" s="17" t="s">
        <v>41</v>
      </c>
      <c r="AC1939" s="0" t="str">
        <f aca="false">LEFT(G1939,2)</f>
        <v>86</v>
      </c>
      <c r="AE1939" s="21"/>
    </row>
    <row r="1940" customFormat="false" ht="15" hidden="false" customHeight="false" outlineLevel="0" collapsed="false">
      <c r="A1940" s="13" t="n">
        <f aca="false">1+A1939</f>
        <v>1938</v>
      </c>
      <c r="B1940" s="14" t="n">
        <v>1009533446</v>
      </c>
      <c r="C1940" s="17" t="s">
        <v>174</v>
      </c>
      <c r="D1940" s="16" t="s">
        <v>78</v>
      </c>
      <c r="E1940" s="17" t="s">
        <v>47</v>
      </c>
      <c r="F1940" s="18" t="s">
        <v>34</v>
      </c>
      <c r="G1940" s="19" t="n">
        <v>865357139696</v>
      </c>
      <c r="H1940" s="17" t="s">
        <v>35</v>
      </c>
      <c r="I1940" s="17" t="s">
        <v>44</v>
      </c>
      <c r="J1940" s="17" t="s">
        <v>100</v>
      </c>
      <c r="K1940" s="17" t="s">
        <v>978</v>
      </c>
      <c r="L1940" s="17" t="n">
        <v>1</v>
      </c>
      <c r="M1940" s="17" t="s">
        <v>610</v>
      </c>
      <c r="N1940" s="17" t="n">
        <v>1</v>
      </c>
      <c r="O1940" s="17" t="s">
        <v>611</v>
      </c>
      <c r="P1940" s="17" t="n">
        <v>11</v>
      </c>
      <c r="Q1940" s="17" t="s">
        <v>953</v>
      </c>
      <c r="R1940" s="17" t="s">
        <v>35</v>
      </c>
      <c r="S1940" s="17" t="s">
        <v>613</v>
      </c>
      <c r="T1940" s="18" t="s">
        <v>248</v>
      </c>
      <c r="U1940" s="18" t="s">
        <v>122</v>
      </c>
      <c r="V1940" s="17" t="n">
        <v>2</v>
      </c>
      <c r="W1940" s="20" t="s">
        <v>122</v>
      </c>
      <c r="X1940" s="17" t="s">
        <v>100</v>
      </c>
      <c r="Y1940" s="17" t="s">
        <v>978</v>
      </c>
      <c r="Z1940" s="17" t="s">
        <v>988</v>
      </c>
      <c r="AA1940" s="17" t="s">
        <v>919</v>
      </c>
      <c r="AB1940" s="17" t="s">
        <v>41</v>
      </c>
      <c r="AC1940" s="0" t="str">
        <f aca="false">LEFT(G1940,2)</f>
        <v>86</v>
      </c>
      <c r="AE1940" s="21"/>
    </row>
    <row r="1941" customFormat="false" ht="15" hidden="false" customHeight="false" outlineLevel="0" collapsed="false">
      <c r="A1941" s="13" t="n">
        <f aca="false">1+A1940</f>
        <v>1939</v>
      </c>
      <c r="B1941" s="14" t="n">
        <v>1009558354</v>
      </c>
      <c r="C1941" s="17" t="s">
        <v>192</v>
      </c>
      <c r="D1941" s="16" t="s">
        <v>64</v>
      </c>
      <c r="E1941" s="17" t="s">
        <v>64</v>
      </c>
      <c r="F1941" s="18" t="s">
        <v>34</v>
      </c>
      <c r="G1941" s="19" t="n">
        <v>866336180488</v>
      </c>
      <c r="H1941" s="17" t="s">
        <v>35</v>
      </c>
      <c r="I1941" s="17" t="s">
        <v>44</v>
      </c>
      <c r="J1941" s="17" t="s">
        <v>121</v>
      </c>
      <c r="K1941" s="17" t="s">
        <v>955</v>
      </c>
      <c r="L1941" s="17" t="n">
        <v>1</v>
      </c>
      <c r="M1941" s="17" t="s">
        <v>610</v>
      </c>
      <c r="N1941" s="17" t="n">
        <v>1</v>
      </c>
      <c r="O1941" s="17" t="s">
        <v>611</v>
      </c>
      <c r="P1941" s="17" t="n">
        <v>11</v>
      </c>
      <c r="Q1941" s="17" t="s">
        <v>953</v>
      </c>
      <c r="R1941" s="17" t="s">
        <v>35</v>
      </c>
      <c r="S1941" s="17" t="s">
        <v>613</v>
      </c>
      <c r="T1941" s="18" t="s">
        <v>248</v>
      </c>
      <c r="U1941" s="18" t="s">
        <v>38</v>
      </c>
      <c r="V1941" s="17" t="n">
        <v>4</v>
      </c>
      <c r="W1941" s="20" t="s">
        <v>38</v>
      </c>
      <c r="X1941" s="17" t="s">
        <v>121</v>
      </c>
      <c r="Y1941" s="17" t="s">
        <v>955</v>
      </c>
      <c r="Z1941" s="17" t="s">
        <v>755</v>
      </c>
      <c r="AA1941" s="17" t="s">
        <v>919</v>
      </c>
      <c r="AB1941" s="17" t="s">
        <v>41</v>
      </c>
      <c r="AC1941" s="0" t="str">
        <f aca="false">LEFT(G1941,2)</f>
        <v>86</v>
      </c>
      <c r="AE1941" s="21"/>
    </row>
    <row r="1942" customFormat="false" ht="15" hidden="false" customHeight="false" outlineLevel="0" collapsed="false">
      <c r="A1942" s="13" t="n">
        <f aca="false">1+A1941</f>
        <v>1940</v>
      </c>
      <c r="B1942" s="14" t="n">
        <v>1009666588</v>
      </c>
      <c r="C1942" s="17" t="s">
        <v>436</v>
      </c>
      <c r="D1942" s="16" t="s">
        <v>404</v>
      </c>
      <c r="E1942" s="17" t="s">
        <v>502</v>
      </c>
      <c r="F1942" s="18" t="s">
        <v>34</v>
      </c>
      <c r="G1942" s="19" t="n">
        <v>865154114827</v>
      </c>
      <c r="H1942" s="17" t="s">
        <v>35</v>
      </c>
      <c r="I1942" s="17" t="s">
        <v>44</v>
      </c>
      <c r="J1942" s="17" t="s">
        <v>267</v>
      </c>
      <c r="K1942" s="17" t="s">
        <v>960</v>
      </c>
      <c r="L1942" s="17" t="n">
        <v>5</v>
      </c>
      <c r="M1942" s="17" t="s">
        <v>952</v>
      </c>
      <c r="N1942" s="17" t="n">
        <v>24</v>
      </c>
      <c r="O1942" s="17" t="s">
        <v>975</v>
      </c>
      <c r="P1942" s="17" t="n">
        <v>11</v>
      </c>
      <c r="Q1942" s="17" t="s">
        <v>953</v>
      </c>
      <c r="R1942" s="17" t="s">
        <v>35</v>
      </c>
      <c r="S1942" s="17" t="s">
        <v>613</v>
      </c>
      <c r="T1942" s="18" t="s">
        <v>248</v>
      </c>
      <c r="U1942" s="18" t="s">
        <v>122</v>
      </c>
      <c r="V1942" s="17" t="n">
        <v>2</v>
      </c>
      <c r="W1942" s="20" t="s">
        <v>122</v>
      </c>
      <c r="X1942" s="17" t="s">
        <v>267</v>
      </c>
      <c r="Y1942" s="17" t="s">
        <v>960</v>
      </c>
      <c r="Z1942" s="17" t="s">
        <v>276</v>
      </c>
      <c r="AA1942" s="17" t="s">
        <v>919</v>
      </c>
      <c r="AB1942" s="17" t="s">
        <v>41</v>
      </c>
      <c r="AC1942" s="0" t="str">
        <f aca="false">LEFT(G1942,2)</f>
        <v>86</v>
      </c>
      <c r="AE1942" s="21"/>
    </row>
    <row r="1943" customFormat="false" ht="15" hidden="false" customHeight="false" outlineLevel="0" collapsed="false">
      <c r="A1943" s="13" t="n">
        <f aca="false">1+A1942</f>
        <v>1941</v>
      </c>
      <c r="B1943" s="14" t="n">
        <v>1009535778</v>
      </c>
      <c r="C1943" s="17" t="s">
        <v>311</v>
      </c>
      <c r="D1943" s="16" t="s">
        <v>64</v>
      </c>
      <c r="E1943" s="17" t="s">
        <v>989</v>
      </c>
      <c r="F1943" s="18" t="s">
        <v>34</v>
      </c>
      <c r="G1943" s="19" t="n">
        <v>865171172659</v>
      </c>
      <c r="H1943" s="17" t="s">
        <v>35</v>
      </c>
      <c r="I1943" s="17" t="s">
        <v>44</v>
      </c>
      <c r="J1943" s="17" t="s">
        <v>100</v>
      </c>
      <c r="K1943" s="17" t="s">
        <v>978</v>
      </c>
      <c r="L1943" s="17" t="n">
        <v>1</v>
      </c>
      <c r="M1943" s="17" t="s">
        <v>610</v>
      </c>
      <c r="N1943" s="17" t="n">
        <v>1</v>
      </c>
      <c r="O1943" s="17" t="s">
        <v>611</v>
      </c>
      <c r="P1943" s="17" t="n">
        <v>11</v>
      </c>
      <c r="Q1943" s="17" t="s">
        <v>953</v>
      </c>
      <c r="R1943" s="17" t="s">
        <v>35</v>
      </c>
      <c r="S1943" s="17" t="s">
        <v>613</v>
      </c>
      <c r="T1943" s="18" t="s">
        <v>248</v>
      </c>
      <c r="U1943" s="18" t="s">
        <v>122</v>
      </c>
      <c r="V1943" s="17" t="n">
        <v>2</v>
      </c>
      <c r="W1943" s="20" t="s">
        <v>122</v>
      </c>
      <c r="X1943" s="17" t="s">
        <v>100</v>
      </c>
      <c r="Y1943" s="17" t="s">
        <v>978</v>
      </c>
      <c r="Z1943" s="17" t="s">
        <v>990</v>
      </c>
      <c r="AA1943" s="17" t="s">
        <v>919</v>
      </c>
      <c r="AB1943" s="17" t="s">
        <v>41</v>
      </c>
      <c r="AC1943" s="0" t="str">
        <f aca="false">LEFT(G1943,2)</f>
        <v>86</v>
      </c>
      <c r="AE1943" s="21"/>
    </row>
    <row r="1944" customFormat="false" ht="15" hidden="false" customHeight="false" outlineLevel="0" collapsed="false">
      <c r="A1944" s="13" t="n">
        <f aca="false">1+A1943</f>
        <v>1942</v>
      </c>
      <c r="B1944" s="14" t="n">
        <v>1009535787</v>
      </c>
      <c r="C1944" s="17" t="s">
        <v>311</v>
      </c>
      <c r="D1944" s="16" t="s">
        <v>64</v>
      </c>
      <c r="E1944" s="17" t="s">
        <v>991</v>
      </c>
      <c r="F1944" s="18" t="s">
        <v>34</v>
      </c>
      <c r="G1944" s="19" t="n">
        <v>867109405508</v>
      </c>
      <c r="H1944" s="17" t="s">
        <v>35</v>
      </c>
      <c r="I1944" s="17" t="s">
        <v>44</v>
      </c>
      <c r="J1944" s="17" t="s">
        <v>241</v>
      </c>
      <c r="K1944" s="17" t="s">
        <v>992</v>
      </c>
      <c r="L1944" s="17" t="n">
        <v>5</v>
      </c>
      <c r="M1944" s="17" t="s">
        <v>952</v>
      </c>
      <c r="N1944" s="17" t="n">
        <v>1</v>
      </c>
      <c r="O1944" s="17" t="s">
        <v>611</v>
      </c>
      <c r="P1944" s="17" t="n">
        <v>11</v>
      </c>
      <c r="Q1944" s="17" t="s">
        <v>953</v>
      </c>
      <c r="R1944" s="17" t="s">
        <v>35</v>
      </c>
      <c r="S1944" s="17" t="s">
        <v>613</v>
      </c>
      <c r="T1944" s="18" t="s">
        <v>248</v>
      </c>
      <c r="U1944" s="18" t="s">
        <v>122</v>
      </c>
      <c r="V1944" s="17" t="n">
        <v>2</v>
      </c>
      <c r="W1944" s="20" t="s">
        <v>122</v>
      </c>
      <c r="X1944" s="17" t="s">
        <v>241</v>
      </c>
      <c r="Y1944" s="17" t="s">
        <v>992</v>
      </c>
      <c r="Z1944" s="17" t="s">
        <v>276</v>
      </c>
      <c r="AA1944" s="17" t="s">
        <v>919</v>
      </c>
      <c r="AB1944" s="17" t="s">
        <v>41</v>
      </c>
      <c r="AC1944" s="0" t="str">
        <f aca="false">LEFT(G1944,2)</f>
        <v>86</v>
      </c>
      <c r="AE1944" s="21"/>
    </row>
    <row r="1945" customFormat="false" ht="15" hidden="false" customHeight="false" outlineLevel="0" collapsed="false">
      <c r="A1945" s="13" t="n">
        <f aca="false">1+A1944</f>
        <v>1943</v>
      </c>
      <c r="B1945" s="14" t="n">
        <v>1009522938</v>
      </c>
      <c r="C1945" s="17" t="s">
        <v>162</v>
      </c>
      <c r="D1945" s="16" t="s">
        <v>158</v>
      </c>
      <c r="E1945" s="17" t="s">
        <v>47</v>
      </c>
      <c r="F1945" s="18" t="s">
        <v>34</v>
      </c>
      <c r="G1945" s="19" t="n">
        <v>867079128098</v>
      </c>
      <c r="H1945" s="17" t="s">
        <v>35</v>
      </c>
      <c r="I1945" s="17" t="s">
        <v>44</v>
      </c>
      <c r="J1945" s="17" t="s">
        <v>111</v>
      </c>
      <c r="K1945" s="17" t="s">
        <v>958</v>
      </c>
      <c r="L1945" s="17" t="n">
        <v>1</v>
      </c>
      <c r="M1945" s="17" t="s">
        <v>610</v>
      </c>
      <c r="N1945" s="17" t="n">
        <v>1</v>
      </c>
      <c r="O1945" s="17" t="s">
        <v>611</v>
      </c>
      <c r="P1945" s="17" t="n">
        <v>11</v>
      </c>
      <c r="Q1945" s="17" t="s">
        <v>953</v>
      </c>
      <c r="R1945" s="17" t="s">
        <v>35</v>
      </c>
      <c r="S1945" s="17" t="s">
        <v>613</v>
      </c>
      <c r="T1945" s="18" t="s">
        <v>248</v>
      </c>
      <c r="U1945" s="18" t="s">
        <v>38</v>
      </c>
      <c r="V1945" s="17" t="n">
        <v>4</v>
      </c>
      <c r="W1945" s="20" t="s">
        <v>38</v>
      </c>
      <c r="X1945" s="17" t="s">
        <v>111</v>
      </c>
      <c r="Y1945" s="17" t="s">
        <v>958</v>
      </c>
      <c r="Z1945" s="17" t="s">
        <v>251</v>
      </c>
      <c r="AA1945" s="17" t="s">
        <v>919</v>
      </c>
      <c r="AB1945" s="17" t="s">
        <v>41</v>
      </c>
      <c r="AC1945" s="0" t="str">
        <f aca="false">LEFT(G1945,2)</f>
        <v>86</v>
      </c>
      <c r="AE1945" s="21"/>
    </row>
    <row r="1946" customFormat="false" ht="15" hidden="false" customHeight="false" outlineLevel="0" collapsed="false">
      <c r="A1946" s="13" t="n">
        <f aca="false">1+A1945</f>
        <v>1944</v>
      </c>
      <c r="B1946" s="14" t="n">
        <v>1009648708</v>
      </c>
      <c r="C1946" s="17" t="s">
        <v>204</v>
      </c>
      <c r="D1946" s="16" t="s">
        <v>64</v>
      </c>
      <c r="E1946" s="17" t="s">
        <v>47</v>
      </c>
      <c r="F1946" s="18" t="s">
        <v>34</v>
      </c>
      <c r="G1946" s="19" t="n">
        <v>867172147391</v>
      </c>
      <c r="H1946" s="17" t="s">
        <v>35</v>
      </c>
      <c r="I1946" s="17" t="s">
        <v>44</v>
      </c>
      <c r="J1946" s="17" t="s">
        <v>111</v>
      </c>
      <c r="K1946" s="17" t="s">
        <v>958</v>
      </c>
      <c r="L1946" s="17" t="n">
        <v>1</v>
      </c>
      <c r="M1946" s="17" t="s">
        <v>610</v>
      </c>
      <c r="N1946" s="17" t="n">
        <v>1</v>
      </c>
      <c r="O1946" s="17" t="s">
        <v>611</v>
      </c>
      <c r="P1946" s="17" t="n">
        <v>11</v>
      </c>
      <c r="Q1946" s="17" t="s">
        <v>953</v>
      </c>
      <c r="R1946" s="17" t="s">
        <v>35</v>
      </c>
      <c r="S1946" s="17" t="s">
        <v>613</v>
      </c>
      <c r="T1946" s="18" t="s">
        <v>248</v>
      </c>
      <c r="U1946" s="18" t="s">
        <v>122</v>
      </c>
      <c r="V1946" s="17" t="n">
        <v>2</v>
      </c>
      <c r="W1946" s="20" t="s">
        <v>122</v>
      </c>
      <c r="X1946" s="17" t="s">
        <v>111</v>
      </c>
      <c r="Y1946" s="17" t="s">
        <v>958</v>
      </c>
      <c r="Z1946" s="17" t="s">
        <v>973</v>
      </c>
      <c r="AA1946" s="17" t="s">
        <v>919</v>
      </c>
      <c r="AB1946" s="17" t="s">
        <v>41</v>
      </c>
      <c r="AC1946" s="0" t="str">
        <f aca="false">LEFT(G1946,2)</f>
        <v>86</v>
      </c>
      <c r="AE1946" s="21"/>
    </row>
    <row r="1947" customFormat="false" ht="15" hidden="false" customHeight="false" outlineLevel="0" collapsed="false">
      <c r="A1947" s="13" t="n">
        <f aca="false">1+A1946</f>
        <v>1945</v>
      </c>
      <c r="B1947" s="14" t="n">
        <v>1009686287</v>
      </c>
      <c r="C1947" s="17" t="s">
        <v>449</v>
      </c>
      <c r="D1947" s="16" t="s">
        <v>209</v>
      </c>
      <c r="E1947" s="17" t="s">
        <v>47</v>
      </c>
      <c r="F1947" s="18" t="s">
        <v>34</v>
      </c>
      <c r="G1947" s="19" t="n">
        <v>865171191329</v>
      </c>
      <c r="H1947" s="17" t="s">
        <v>35</v>
      </c>
      <c r="I1947" s="17" t="s">
        <v>44</v>
      </c>
      <c r="J1947" s="17" t="s">
        <v>267</v>
      </c>
      <c r="K1947" s="17" t="s">
        <v>960</v>
      </c>
      <c r="L1947" s="17" t="n">
        <v>1</v>
      </c>
      <c r="M1947" s="17" t="s">
        <v>610</v>
      </c>
      <c r="N1947" s="17" t="n">
        <v>1</v>
      </c>
      <c r="O1947" s="17" t="s">
        <v>611</v>
      </c>
      <c r="P1947" s="17" t="n">
        <v>11</v>
      </c>
      <c r="Q1947" s="17" t="s">
        <v>953</v>
      </c>
      <c r="R1947" s="17" t="s">
        <v>35</v>
      </c>
      <c r="S1947" s="17" t="s">
        <v>613</v>
      </c>
      <c r="T1947" s="18" t="s">
        <v>248</v>
      </c>
      <c r="U1947" s="18" t="s">
        <v>122</v>
      </c>
      <c r="V1947" s="17" t="n">
        <v>2</v>
      </c>
      <c r="W1947" s="20" t="s">
        <v>122</v>
      </c>
      <c r="X1947" s="17" t="s">
        <v>267</v>
      </c>
      <c r="Y1947" s="17" t="s">
        <v>960</v>
      </c>
      <c r="Z1947" s="17" t="s">
        <v>284</v>
      </c>
      <c r="AA1947" s="17" t="s">
        <v>919</v>
      </c>
      <c r="AB1947" s="17" t="s">
        <v>41</v>
      </c>
      <c r="AC1947" s="0" t="str">
        <f aca="false">LEFT(G1947,2)</f>
        <v>86</v>
      </c>
      <c r="AE1947" s="21"/>
    </row>
    <row r="1948" customFormat="false" ht="15" hidden="false" customHeight="false" outlineLevel="0" collapsed="false">
      <c r="A1948" s="13" t="n">
        <f aca="false">1+A1947</f>
        <v>1946</v>
      </c>
      <c r="B1948" s="14" t="n">
        <v>1009535784</v>
      </c>
      <c r="C1948" s="17" t="s">
        <v>311</v>
      </c>
      <c r="D1948" s="16" t="s">
        <v>64</v>
      </c>
      <c r="E1948" s="17" t="s">
        <v>47</v>
      </c>
      <c r="F1948" s="18" t="s">
        <v>34</v>
      </c>
      <c r="G1948" s="19" t="n">
        <v>865147270090</v>
      </c>
      <c r="H1948" s="17" t="s">
        <v>35</v>
      </c>
      <c r="I1948" s="17" t="s">
        <v>44</v>
      </c>
      <c r="J1948" s="17" t="s">
        <v>241</v>
      </c>
      <c r="K1948" s="17" t="s">
        <v>992</v>
      </c>
      <c r="L1948" s="17" t="n">
        <v>5</v>
      </c>
      <c r="M1948" s="17" t="s">
        <v>952</v>
      </c>
      <c r="N1948" s="17" t="n">
        <v>1</v>
      </c>
      <c r="O1948" s="17" t="s">
        <v>611</v>
      </c>
      <c r="P1948" s="17" t="n">
        <v>11</v>
      </c>
      <c r="Q1948" s="17" t="s">
        <v>953</v>
      </c>
      <c r="R1948" s="17" t="s">
        <v>35</v>
      </c>
      <c r="S1948" s="17" t="s">
        <v>613</v>
      </c>
      <c r="T1948" s="18" t="s">
        <v>248</v>
      </c>
      <c r="U1948" s="18" t="s">
        <v>122</v>
      </c>
      <c r="V1948" s="17" t="n">
        <v>2</v>
      </c>
      <c r="W1948" s="20" t="s">
        <v>122</v>
      </c>
      <c r="X1948" s="17" t="s">
        <v>241</v>
      </c>
      <c r="Y1948" s="17" t="s">
        <v>992</v>
      </c>
      <c r="Z1948" s="17" t="s">
        <v>724</v>
      </c>
      <c r="AA1948" s="17" t="s">
        <v>919</v>
      </c>
      <c r="AB1948" s="17" t="s">
        <v>41</v>
      </c>
      <c r="AC1948" s="0" t="str">
        <f aca="false">LEFT(G1948,2)</f>
        <v>86</v>
      </c>
      <c r="AE1948" s="21"/>
    </row>
    <row r="1949" customFormat="false" ht="15" hidden="false" customHeight="false" outlineLevel="0" collapsed="false">
      <c r="A1949" s="13" t="n">
        <f aca="false">1+A1948</f>
        <v>1947</v>
      </c>
      <c r="B1949" s="14" t="n">
        <v>1009530216</v>
      </c>
      <c r="C1949" s="17" t="s">
        <v>174</v>
      </c>
      <c r="D1949" s="16" t="s">
        <v>175</v>
      </c>
      <c r="E1949" s="17" t="s">
        <v>176</v>
      </c>
      <c r="F1949" s="18" t="s">
        <v>34</v>
      </c>
      <c r="G1949" s="19" t="n">
        <v>866256165428</v>
      </c>
      <c r="H1949" s="17" t="s">
        <v>35</v>
      </c>
      <c r="I1949" s="17" t="s">
        <v>44</v>
      </c>
      <c r="J1949" s="17" t="s">
        <v>121</v>
      </c>
      <c r="K1949" s="17" t="s">
        <v>955</v>
      </c>
      <c r="L1949" s="17" t="n">
        <v>1</v>
      </c>
      <c r="M1949" s="17" t="s">
        <v>610</v>
      </c>
      <c r="N1949" s="17" t="n">
        <v>1</v>
      </c>
      <c r="O1949" s="17" t="s">
        <v>611</v>
      </c>
      <c r="P1949" s="17" t="n">
        <v>11</v>
      </c>
      <c r="Q1949" s="17" t="s">
        <v>953</v>
      </c>
      <c r="R1949" s="17" t="s">
        <v>35</v>
      </c>
      <c r="S1949" s="17" t="s">
        <v>613</v>
      </c>
      <c r="T1949" s="18" t="s">
        <v>248</v>
      </c>
      <c r="U1949" s="18" t="s">
        <v>122</v>
      </c>
      <c r="V1949" s="17" t="n">
        <v>2</v>
      </c>
      <c r="W1949" s="20" t="s">
        <v>122</v>
      </c>
      <c r="X1949" s="17" t="s">
        <v>121</v>
      </c>
      <c r="Y1949" s="17" t="s">
        <v>955</v>
      </c>
      <c r="Z1949" s="17" t="s">
        <v>222</v>
      </c>
      <c r="AA1949" s="17" t="s">
        <v>919</v>
      </c>
      <c r="AB1949" s="17" t="s">
        <v>41</v>
      </c>
      <c r="AC1949" s="0" t="str">
        <f aca="false">LEFT(G1949,2)</f>
        <v>86</v>
      </c>
      <c r="AE1949" s="21"/>
    </row>
    <row r="1950" customFormat="false" ht="15" hidden="false" customHeight="false" outlineLevel="0" collapsed="false">
      <c r="A1950" s="13" t="n">
        <f aca="false">1+A1949</f>
        <v>1948</v>
      </c>
      <c r="B1950" s="14" t="n">
        <v>1009531135</v>
      </c>
      <c r="C1950" s="17" t="s">
        <v>174</v>
      </c>
      <c r="D1950" s="16" t="s">
        <v>175</v>
      </c>
      <c r="E1950" s="17" t="s">
        <v>176</v>
      </c>
      <c r="F1950" s="18" t="s">
        <v>34</v>
      </c>
      <c r="G1950" s="19" t="n">
        <v>868109121871</v>
      </c>
      <c r="H1950" s="17" t="s">
        <v>35</v>
      </c>
      <c r="I1950" s="17" t="s">
        <v>44</v>
      </c>
      <c r="J1950" s="17" t="s">
        <v>111</v>
      </c>
      <c r="K1950" s="17" t="s">
        <v>958</v>
      </c>
      <c r="L1950" s="17" t="n">
        <v>7</v>
      </c>
      <c r="M1950" s="17" t="s">
        <v>993</v>
      </c>
      <c r="N1950" s="17" t="n">
        <v>36</v>
      </c>
      <c r="O1950" s="17" t="s">
        <v>994</v>
      </c>
      <c r="P1950" s="17" t="n">
        <v>11</v>
      </c>
      <c r="Q1950" s="17" t="s">
        <v>953</v>
      </c>
      <c r="R1950" s="17" t="s">
        <v>35</v>
      </c>
      <c r="S1950" s="17" t="s">
        <v>613</v>
      </c>
      <c r="T1950" s="18" t="s">
        <v>248</v>
      </c>
      <c r="U1950" s="18" t="s">
        <v>122</v>
      </c>
      <c r="V1950" s="17" t="n">
        <v>2</v>
      </c>
      <c r="W1950" s="20" t="s">
        <v>122</v>
      </c>
      <c r="X1950" s="17" t="s">
        <v>111</v>
      </c>
      <c r="Y1950" s="17" t="s">
        <v>958</v>
      </c>
      <c r="Z1950" s="17" t="s">
        <v>995</v>
      </c>
      <c r="AA1950" s="17" t="s">
        <v>919</v>
      </c>
      <c r="AB1950" s="17" t="s">
        <v>41</v>
      </c>
      <c r="AC1950" s="0" t="str">
        <f aca="false">LEFT(G1950,2)</f>
        <v>86</v>
      </c>
      <c r="AE1950" s="21"/>
    </row>
    <row r="1951" customFormat="false" ht="15" hidden="false" customHeight="false" outlineLevel="0" collapsed="false">
      <c r="A1951" s="13" t="n">
        <f aca="false">1+A1950</f>
        <v>1949</v>
      </c>
      <c r="B1951" s="14" t="n">
        <v>1009624726</v>
      </c>
      <c r="C1951" s="17" t="s">
        <v>163</v>
      </c>
      <c r="D1951" s="16" t="s">
        <v>64</v>
      </c>
      <c r="E1951" s="17" t="s">
        <v>33</v>
      </c>
      <c r="F1951" s="18" t="s">
        <v>34</v>
      </c>
      <c r="G1951" s="19" t="n">
        <v>864245108666</v>
      </c>
      <c r="H1951" s="17" t="s">
        <v>35</v>
      </c>
      <c r="I1951" s="17" t="s">
        <v>44</v>
      </c>
      <c r="J1951" s="17" t="s">
        <v>121</v>
      </c>
      <c r="K1951" s="17" t="s">
        <v>955</v>
      </c>
      <c r="L1951" s="17" t="n">
        <v>5</v>
      </c>
      <c r="M1951" s="17" t="s">
        <v>952</v>
      </c>
      <c r="N1951" s="17" t="n">
        <v>24</v>
      </c>
      <c r="O1951" s="17" t="s">
        <v>975</v>
      </c>
      <c r="P1951" s="17" t="n">
        <v>11</v>
      </c>
      <c r="Q1951" s="17" t="s">
        <v>953</v>
      </c>
      <c r="R1951" s="17" t="s">
        <v>35</v>
      </c>
      <c r="S1951" s="17" t="s">
        <v>613</v>
      </c>
      <c r="T1951" s="18" t="s">
        <v>248</v>
      </c>
      <c r="U1951" s="18" t="s">
        <v>38</v>
      </c>
      <c r="V1951" s="17" t="n">
        <v>4</v>
      </c>
      <c r="W1951" s="20" t="s">
        <v>38</v>
      </c>
      <c r="X1951" s="17" t="s">
        <v>121</v>
      </c>
      <c r="Y1951" s="17" t="s">
        <v>955</v>
      </c>
      <c r="Z1951" s="17" t="s">
        <v>266</v>
      </c>
      <c r="AA1951" s="17" t="s">
        <v>919</v>
      </c>
      <c r="AB1951" s="17" t="s">
        <v>41</v>
      </c>
      <c r="AC1951" s="0" t="str">
        <f aca="false">LEFT(G1951,2)</f>
        <v>86</v>
      </c>
      <c r="AE1951" s="21"/>
    </row>
    <row r="1952" customFormat="false" ht="15" hidden="false" customHeight="false" outlineLevel="0" collapsed="false">
      <c r="A1952" s="13" t="n">
        <f aca="false">1+A1951</f>
        <v>1950</v>
      </c>
      <c r="B1952" s="14" t="n">
        <v>1009582862</v>
      </c>
      <c r="C1952" s="17" t="s">
        <v>104</v>
      </c>
      <c r="D1952" s="16" t="s">
        <v>64</v>
      </c>
      <c r="E1952" s="17" t="s">
        <v>64</v>
      </c>
      <c r="F1952" s="18" t="s">
        <v>34</v>
      </c>
      <c r="G1952" s="19" t="n">
        <v>867320177613</v>
      </c>
      <c r="H1952" s="17" t="s">
        <v>35</v>
      </c>
      <c r="I1952" s="17" t="s">
        <v>44</v>
      </c>
      <c r="J1952" s="17" t="s">
        <v>239</v>
      </c>
      <c r="K1952" s="17" t="s">
        <v>951</v>
      </c>
      <c r="L1952" s="17" t="n">
        <v>5</v>
      </c>
      <c r="M1952" s="17" t="s">
        <v>952</v>
      </c>
      <c r="N1952" s="17" t="n">
        <v>1</v>
      </c>
      <c r="O1952" s="17" t="s">
        <v>611</v>
      </c>
      <c r="P1952" s="17" t="n">
        <v>11</v>
      </c>
      <c r="Q1952" s="17" t="s">
        <v>953</v>
      </c>
      <c r="R1952" s="17" t="s">
        <v>35</v>
      </c>
      <c r="S1952" s="17" t="s">
        <v>613</v>
      </c>
      <c r="T1952" s="18" t="s">
        <v>248</v>
      </c>
      <c r="U1952" s="18" t="s">
        <v>122</v>
      </c>
      <c r="V1952" s="17" t="n">
        <v>2</v>
      </c>
      <c r="W1952" s="20" t="s">
        <v>122</v>
      </c>
      <c r="X1952" s="17" t="s">
        <v>239</v>
      </c>
      <c r="Y1952" s="17" t="s">
        <v>951</v>
      </c>
      <c r="Z1952" s="17" t="s">
        <v>262</v>
      </c>
      <c r="AA1952" s="17" t="s">
        <v>919</v>
      </c>
      <c r="AB1952" s="17" t="s">
        <v>41</v>
      </c>
      <c r="AC1952" s="0" t="str">
        <f aca="false">LEFT(G1952,2)</f>
        <v>86</v>
      </c>
      <c r="AE1952" s="21"/>
    </row>
    <row r="1953" customFormat="false" ht="15" hidden="false" customHeight="false" outlineLevel="0" collapsed="false">
      <c r="A1953" s="13" t="n">
        <f aca="false">1+A1952</f>
        <v>1951</v>
      </c>
      <c r="B1953" s="14" t="n">
        <v>1009616859</v>
      </c>
      <c r="C1953" s="17" t="s">
        <v>184</v>
      </c>
      <c r="D1953" s="16" t="s">
        <v>64</v>
      </c>
      <c r="E1953" s="17" t="s">
        <v>47</v>
      </c>
      <c r="F1953" s="18" t="s">
        <v>34</v>
      </c>
      <c r="G1953" s="19" t="n">
        <v>866336190834</v>
      </c>
      <c r="H1953" s="17" t="s">
        <v>35</v>
      </c>
      <c r="I1953" s="17" t="s">
        <v>44</v>
      </c>
      <c r="J1953" s="17" t="s">
        <v>121</v>
      </c>
      <c r="K1953" s="17" t="s">
        <v>955</v>
      </c>
      <c r="L1953" s="17" t="n">
        <v>1</v>
      </c>
      <c r="M1953" s="17" t="s">
        <v>610</v>
      </c>
      <c r="N1953" s="17" t="n">
        <v>1</v>
      </c>
      <c r="O1953" s="17" t="s">
        <v>611</v>
      </c>
      <c r="P1953" s="17" t="n">
        <v>12</v>
      </c>
      <c r="Q1953" s="17" t="s">
        <v>953</v>
      </c>
      <c r="R1953" s="17" t="s">
        <v>35</v>
      </c>
      <c r="S1953" s="17" t="s">
        <v>613</v>
      </c>
      <c r="T1953" s="18" t="s">
        <v>248</v>
      </c>
      <c r="U1953" s="18" t="s">
        <v>101</v>
      </c>
      <c r="V1953" s="17" t="n">
        <v>8</v>
      </c>
      <c r="W1953" s="20" t="s">
        <v>101</v>
      </c>
      <c r="X1953" s="17" t="s">
        <v>121</v>
      </c>
      <c r="Y1953" s="17" t="s">
        <v>955</v>
      </c>
      <c r="Z1953" s="17" t="s">
        <v>222</v>
      </c>
      <c r="AA1953" s="17" t="s">
        <v>919</v>
      </c>
      <c r="AB1953" s="17" t="s">
        <v>41</v>
      </c>
      <c r="AC1953" s="0" t="str">
        <f aca="false">LEFT(G1953,2)</f>
        <v>86</v>
      </c>
      <c r="AE1953" s="21"/>
    </row>
    <row r="1954" customFormat="false" ht="15" hidden="false" customHeight="false" outlineLevel="0" collapsed="false">
      <c r="A1954" s="13" t="n">
        <f aca="false">1+A1953</f>
        <v>1952</v>
      </c>
      <c r="B1954" s="14" t="n">
        <v>1009556158</v>
      </c>
      <c r="C1954" s="17" t="s">
        <v>192</v>
      </c>
      <c r="D1954" s="16" t="s">
        <v>250</v>
      </c>
      <c r="E1954" s="17" t="s">
        <v>47</v>
      </c>
      <c r="F1954" s="18" t="s">
        <v>34</v>
      </c>
      <c r="G1954" s="19" t="n">
        <v>867254146345</v>
      </c>
      <c r="H1954" s="17" t="s">
        <v>35</v>
      </c>
      <c r="I1954" s="17" t="s">
        <v>44</v>
      </c>
      <c r="J1954" s="17" t="s">
        <v>239</v>
      </c>
      <c r="K1954" s="17" t="s">
        <v>951</v>
      </c>
      <c r="L1954" s="17" t="n">
        <v>5</v>
      </c>
      <c r="M1954" s="17" t="s">
        <v>952</v>
      </c>
      <c r="N1954" s="17" t="n">
        <v>1</v>
      </c>
      <c r="O1954" s="17" t="s">
        <v>611</v>
      </c>
      <c r="P1954" s="17" t="n">
        <v>11</v>
      </c>
      <c r="Q1954" s="17" t="s">
        <v>953</v>
      </c>
      <c r="R1954" s="17" t="s">
        <v>35</v>
      </c>
      <c r="S1954" s="17" t="s">
        <v>613</v>
      </c>
      <c r="T1954" s="18" t="s">
        <v>248</v>
      </c>
      <c r="U1954" s="20" t="s">
        <v>256</v>
      </c>
      <c r="V1954" s="17" t="n">
        <v>1</v>
      </c>
      <c r="W1954" s="20" t="s">
        <v>256</v>
      </c>
      <c r="X1954" s="17" t="s">
        <v>239</v>
      </c>
      <c r="Y1954" s="17" t="s">
        <v>951</v>
      </c>
      <c r="Z1954" s="17" t="s">
        <v>996</v>
      </c>
      <c r="AA1954" s="17" t="s">
        <v>919</v>
      </c>
      <c r="AB1954" s="17" t="s">
        <v>41</v>
      </c>
      <c r="AC1954" s="0" t="str">
        <f aca="false">LEFT(G1954,2)</f>
        <v>86</v>
      </c>
      <c r="AE1954" s="21"/>
    </row>
    <row r="1955" customFormat="false" ht="15" hidden="false" customHeight="false" outlineLevel="0" collapsed="false">
      <c r="A1955" s="13" t="n">
        <f aca="false">1+A1954</f>
        <v>1953</v>
      </c>
      <c r="B1955" s="14" t="n">
        <v>1009582180</v>
      </c>
      <c r="C1955" s="17" t="s">
        <v>139</v>
      </c>
      <c r="D1955" s="16" t="s">
        <v>64</v>
      </c>
      <c r="E1955" s="17" t="s">
        <v>64</v>
      </c>
      <c r="F1955" s="18" t="s">
        <v>34</v>
      </c>
      <c r="G1955" s="19" t="n">
        <v>864318349668</v>
      </c>
      <c r="H1955" s="17" t="s">
        <v>35</v>
      </c>
      <c r="I1955" s="17" t="s">
        <v>44</v>
      </c>
      <c r="J1955" s="17" t="s">
        <v>239</v>
      </c>
      <c r="K1955" s="17" t="s">
        <v>951</v>
      </c>
      <c r="L1955" s="17" t="n">
        <v>5</v>
      </c>
      <c r="M1955" s="17" t="s">
        <v>952</v>
      </c>
      <c r="N1955" s="17" t="n">
        <v>24</v>
      </c>
      <c r="O1955" s="17" t="s">
        <v>975</v>
      </c>
      <c r="P1955" s="17" t="n">
        <v>11</v>
      </c>
      <c r="Q1955" s="17" t="s">
        <v>953</v>
      </c>
      <c r="R1955" s="17" t="s">
        <v>35</v>
      </c>
      <c r="S1955" s="17" t="s">
        <v>613</v>
      </c>
      <c r="T1955" s="18" t="s">
        <v>248</v>
      </c>
      <c r="U1955" s="18" t="s">
        <v>122</v>
      </c>
      <c r="V1955" s="17" t="n">
        <v>2</v>
      </c>
      <c r="W1955" s="20" t="s">
        <v>122</v>
      </c>
      <c r="X1955" s="17" t="s">
        <v>239</v>
      </c>
      <c r="Y1955" s="17" t="s">
        <v>951</v>
      </c>
      <c r="Z1955" s="17" t="s">
        <v>973</v>
      </c>
      <c r="AA1955" s="17" t="s">
        <v>919</v>
      </c>
      <c r="AB1955" s="17" t="s">
        <v>41</v>
      </c>
      <c r="AC1955" s="0" t="str">
        <f aca="false">LEFT(G1955,2)</f>
        <v>86</v>
      </c>
      <c r="AE1955" s="21"/>
    </row>
    <row r="1956" customFormat="false" ht="15" hidden="false" customHeight="false" outlineLevel="0" collapsed="false">
      <c r="A1956" s="13" t="n">
        <f aca="false">1+A1955</f>
        <v>1954</v>
      </c>
      <c r="B1956" s="14" t="n">
        <v>1009548163</v>
      </c>
      <c r="C1956" s="17" t="s">
        <v>126</v>
      </c>
      <c r="D1956" s="16" t="s">
        <v>113</v>
      </c>
      <c r="E1956" s="17" t="s">
        <v>47</v>
      </c>
      <c r="F1956" s="18" t="s">
        <v>34</v>
      </c>
      <c r="G1956" s="19" t="n">
        <v>866168102667</v>
      </c>
      <c r="H1956" s="17" t="s">
        <v>35</v>
      </c>
      <c r="I1956" s="17" t="s">
        <v>44</v>
      </c>
      <c r="J1956" s="17" t="s">
        <v>239</v>
      </c>
      <c r="K1956" s="17" t="s">
        <v>951</v>
      </c>
      <c r="L1956" s="17" t="n">
        <v>5</v>
      </c>
      <c r="M1956" s="17" t="s">
        <v>952</v>
      </c>
      <c r="N1956" s="17" t="n">
        <v>1</v>
      </c>
      <c r="O1956" s="17" t="s">
        <v>611</v>
      </c>
      <c r="P1956" s="17" t="n">
        <v>11</v>
      </c>
      <c r="Q1956" s="17" t="s">
        <v>953</v>
      </c>
      <c r="R1956" s="17" t="s">
        <v>35</v>
      </c>
      <c r="S1956" s="17" t="s">
        <v>613</v>
      </c>
      <c r="T1956" s="18" t="s">
        <v>248</v>
      </c>
      <c r="U1956" s="18" t="s">
        <v>122</v>
      </c>
      <c r="V1956" s="17" t="n">
        <v>2</v>
      </c>
      <c r="W1956" s="20" t="s">
        <v>122</v>
      </c>
      <c r="X1956" s="17" t="s">
        <v>239</v>
      </c>
      <c r="Y1956" s="17" t="s">
        <v>951</v>
      </c>
      <c r="Z1956" s="17" t="s">
        <v>973</v>
      </c>
      <c r="AA1956" s="17" t="s">
        <v>919</v>
      </c>
      <c r="AB1956" s="17" t="s">
        <v>41</v>
      </c>
      <c r="AC1956" s="0" t="str">
        <f aca="false">LEFT(G1956,2)</f>
        <v>86</v>
      </c>
      <c r="AE1956" s="21"/>
    </row>
    <row r="1957" customFormat="false" ht="15" hidden="false" customHeight="false" outlineLevel="0" collapsed="false">
      <c r="A1957" s="13" t="n">
        <f aca="false">1+A1956</f>
        <v>1955</v>
      </c>
      <c r="B1957" s="14" t="n">
        <v>1009554547</v>
      </c>
      <c r="C1957" s="17" t="s">
        <v>444</v>
      </c>
      <c r="D1957" s="16" t="s">
        <v>64</v>
      </c>
      <c r="E1957" s="17" t="s">
        <v>968</v>
      </c>
      <c r="F1957" s="18" t="s">
        <v>34</v>
      </c>
      <c r="G1957" s="19" t="n">
        <v>865357172440</v>
      </c>
      <c r="H1957" s="17" t="s">
        <v>35</v>
      </c>
      <c r="I1957" s="17" t="s">
        <v>44</v>
      </c>
      <c r="J1957" s="17" t="s">
        <v>121</v>
      </c>
      <c r="K1957" s="17" t="s">
        <v>955</v>
      </c>
      <c r="L1957" s="17" t="n">
        <v>5</v>
      </c>
      <c r="M1957" s="17" t="s">
        <v>952</v>
      </c>
      <c r="N1957" s="17" t="n">
        <v>27</v>
      </c>
      <c r="O1957" s="17" t="s">
        <v>997</v>
      </c>
      <c r="P1957" s="17" t="n">
        <v>11</v>
      </c>
      <c r="Q1957" s="17" t="s">
        <v>953</v>
      </c>
      <c r="R1957" s="17" t="s">
        <v>35</v>
      </c>
      <c r="S1957" s="17" t="s">
        <v>613</v>
      </c>
      <c r="T1957" s="18" t="s">
        <v>248</v>
      </c>
      <c r="U1957" s="18" t="s">
        <v>122</v>
      </c>
      <c r="V1957" s="17" t="n">
        <v>2</v>
      </c>
      <c r="W1957" s="20" t="s">
        <v>122</v>
      </c>
      <c r="X1957" s="17" t="s">
        <v>121</v>
      </c>
      <c r="Y1957" s="17" t="s">
        <v>955</v>
      </c>
      <c r="Z1957" s="17" t="s">
        <v>973</v>
      </c>
      <c r="AA1957" s="17" t="s">
        <v>919</v>
      </c>
      <c r="AB1957" s="17" t="s">
        <v>41</v>
      </c>
      <c r="AC1957" s="0" t="str">
        <f aca="false">LEFT(G1957,2)</f>
        <v>86</v>
      </c>
      <c r="AE1957" s="21"/>
    </row>
    <row r="1958" customFormat="false" ht="15" hidden="false" customHeight="false" outlineLevel="0" collapsed="false">
      <c r="A1958" s="13" t="n">
        <f aca="false">1+A1957</f>
        <v>1956</v>
      </c>
      <c r="B1958" s="14" t="n">
        <v>1009616440</v>
      </c>
      <c r="C1958" s="17" t="s">
        <v>184</v>
      </c>
      <c r="D1958" s="16" t="s">
        <v>64</v>
      </c>
      <c r="E1958" s="17" t="s">
        <v>47</v>
      </c>
      <c r="F1958" s="18" t="s">
        <v>34</v>
      </c>
      <c r="G1958" s="19" t="n">
        <v>865240292892</v>
      </c>
      <c r="H1958" s="17" t="s">
        <v>35</v>
      </c>
      <c r="I1958" s="17" t="s">
        <v>44</v>
      </c>
      <c r="J1958" s="17" t="s">
        <v>121</v>
      </c>
      <c r="K1958" s="17" t="s">
        <v>955</v>
      </c>
      <c r="L1958" s="17" t="n">
        <v>1</v>
      </c>
      <c r="M1958" s="17" t="s">
        <v>610</v>
      </c>
      <c r="N1958" s="17" t="n">
        <v>1</v>
      </c>
      <c r="O1958" s="17" t="s">
        <v>611</v>
      </c>
      <c r="P1958" s="17" t="n">
        <v>12</v>
      </c>
      <c r="Q1958" s="17" t="s">
        <v>953</v>
      </c>
      <c r="R1958" s="17" t="s">
        <v>35</v>
      </c>
      <c r="S1958" s="17" t="s">
        <v>613</v>
      </c>
      <c r="T1958" s="18" t="s">
        <v>248</v>
      </c>
      <c r="U1958" s="15" t="s">
        <v>38</v>
      </c>
      <c r="V1958" s="17" t="n">
        <v>11</v>
      </c>
      <c r="W1958" s="20" t="s">
        <v>248</v>
      </c>
      <c r="X1958" s="17" t="s">
        <v>121</v>
      </c>
      <c r="Y1958" s="17" t="s">
        <v>955</v>
      </c>
      <c r="Z1958" s="17" t="s">
        <v>222</v>
      </c>
      <c r="AA1958" s="17" t="s">
        <v>919</v>
      </c>
      <c r="AB1958" s="17" t="s">
        <v>41</v>
      </c>
      <c r="AC1958" s="0" t="str">
        <f aca="false">LEFT(G1958,2)</f>
        <v>86</v>
      </c>
      <c r="AE1958" s="21"/>
    </row>
    <row r="1959" customFormat="false" ht="15" hidden="false" customHeight="false" outlineLevel="0" collapsed="false">
      <c r="A1959" s="13" t="n">
        <f aca="false">1+A1958</f>
        <v>1957</v>
      </c>
      <c r="B1959" s="14" t="n">
        <v>1009606098</v>
      </c>
      <c r="C1959" s="17" t="s">
        <v>181</v>
      </c>
      <c r="D1959" s="16" t="s">
        <v>64</v>
      </c>
      <c r="E1959" s="17" t="s">
        <v>64</v>
      </c>
      <c r="F1959" s="18" t="s">
        <v>34</v>
      </c>
      <c r="G1959" s="19" t="n">
        <v>867129121481</v>
      </c>
      <c r="H1959" s="17" t="s">
        <v>35</v>
      </c>
      <c r="I1959" s="17" t="s">
        <v>44</v>
      </c>
      <c r="J1959" s="17" t="s">
        <v>121</v>
      </c>
      <c r="K1959" s="17" t="s">
        <v>955</v>
      </c>
      <c r="L1959" s="17" t="n">
        <v>1</v>
      </c>
      <c r="M1959" s="17" t="s">
        <v>610</v>
      </c>
      <c r="N1959" s="17" t="n">
        <v>1</v>
      </c>
      <c r="O1959" s="17" t="s">
        <v>611</v>
      </c>
      <c r="P1959" s="17" t="n">
        <v>11</v>
      </c>
      <c r="Q1959" s="17" t="s">
        <v>953</v>
      </c>
      <c r="R1959" s="17" t="s">
        <v>35</v>
      </c>
      <c r="S1959" s="17" t="s">
        <v>613</v>
      </c>
      <c r="T1959" s="18" t="s">
        <v>248</v>
      </c>
      <c r="U1959" s="18" t="s">
        <v>122</v>
      </c>
      <c r="V1959" s="17" t="n">
        <v>2</v>
      </c>
      <c r="W1959" s="20" t="s">
        <v>122</v>
      </c>
      <c r="X1959" s="17" t="s">
        <v>121</v>
      </c>
      <c r="Y1959" s="17" t="s">
        <v>955</v>
      </c>
      <c r="Z1959" s="17" t="s">
        <v>998</v>
      </c>
      <c r="AA1959" s="17" t="s">
        <v>919</v>
      </c>
      <c r="AB1959" s="17" t="s">
        <v>41</v>
      </c>
      <c r="AC1959" s="0" t="str">
        <f aca="false">LEFT(G1959,2)</f>
        <v>86</v>
      </c>
      <c r="AE1959" s="21"/>
    </row>
    <row r="1960" customFormat="false" ht="15" hidden="false" customHeight="false" outlineLevel="0" collapsed="false">
      <c r="A1960" s="13" t="n">
        <f aca="false">1+A1959</f>
        <v>1958</v>
      </c>
      <c r="B1960" s="14" t="n">
        <v>1009537724</v>
      </c>
      <c r="C1960" s="17" t="s">
        <v>311</v>
      </c>
      <c r="D1960" s="16" t="s">
        <v>64</v>
      </c>
      <c r="E1960" s="17" t="s">
        <v>64</v>
      </c>
      <c r="F1960" s="18" t="s">
        <v>34</v>
      </c>
      <c r="G1960" s="19" t="n">
        <v>867215117591</v>
      </c>
      <c r="H1960" s="17" t="s">
        <v>35</v>
      </c>
      <c r="I1960" s="17" t="s">
        <v>44</v>
      </c>
      <c r="J1960" s="17" t="s">
        <v>121</v>
      </c>
      <c r="K1960" s="17" t="s">
        <v>955</v>
      </c>
      <c r="L1960" s="17" t="n">
        <v>1</v>
      </c>
      <c r="M1960" s="17" t="s">
        <v>610</v>
      </c>
      <c r="N1960" s="17" t="n">
        <v>2</v>
      </c>
      <c r="O1960" s="17" t="s">
        <v>999</v>
      </c>
      <c r="P1960" s="17" t="n">
        <v>11</v>
      </c>
      <c r="Q1960" s="17" t="s">
        <v>953</v>
      </c>
      <c r="R1960" s="17" t="s">
        <v>35</v>
      </c>
      <c r="S1960" s="17" t="s">
        <v>613</v>
      </c>
      <c r="T1960" s="18" t="s">
        <v>248</v>
      </c>
      <c r="U1960" s="18" t="s">
        <v>122</v>
      </c>
      <c r="V1960" s="17" t="n">
        <v>2</v>
      </c>
      <c r="W1960" s="20" t="s">
        <v>122</v>
      </c>
      <c r="X1960" s="17" t="s">
        <v>121</v>
      </c>
      <c r="Y1960" s="17" t="s">
        <v>955</v>
      </c>
      <c r="Z1960" s="17" t="s">
        <v>266</v>
      </c>
      <c r="AA1960" s="17" t="s">
        <v>919</v>
      </c>
      <c r="AB1960" s="17" t="s">
        <v>41</v>
      </c>
      <c r="AC1960" s="0" t="str">
        <f aca="false">LEFT(G1960,2)</f>
        <v>86</v>
      </c>
      <c r="AE1960" s="21"/>
    </row>
    <row r="1961" customFormat="false" ht="15" hidden="false" customHeight="false" outlineLevel="0" collapsed="false">
      <c r="A1961" s="13" t="n">
        <f aca="false">1+A1960</f>
        <v>1959</v>
      </c>
      <c r="B1961" s="14" t="n">
        <v>1009586880</v>
      </c>
      <c r="C1961" s="17" t="s">
        <v>159</v>
      </c>
      <c r="D1961" s="16" t="s">
        <v>52</v>
      </c>
      <c r="E1961" s="17" t="s">
        <v>91</v>
      </c>
      <c r="F1961" s="18" t="s">
        <v>34</v>
      </c>
      <c r="G1961" s="19" t="n">
        <v>868155116544</v>
      </c>
      <c r="H1961" s="17" t="s">
        <v>35</v>
      </c>
      <c r="I1961" s="17" t="s">
        <v>44</v>
      </c>
      <c r="J1961" s="17" t="s">
        <v>111</v>
      </c>
      <c r="K1961" s="17" t="s">
        <v>958</v>
      </c>
      <c r="L1961" s="17" t="n">
        <v>5</v>
      </c>
      <c r="M1961" s="17" t="s">
        <v>952</v>
      </c>
      <c r="N1961" s="17" t="n">
        <v>24</v>
      </c>
      <c r="O1961" s="17" t="s">
        <v>975</v>
      </c>
      <c r="P1961" s="17" t="n">
        <v>11</v>
      </c>
      <c r="Q1961" s="17" t="s">
        <v>953</v>
      </c>
      <c r="R1961" s="17" t="s">
        <v>35</v>
      </c>
      <c r="S1961" s="17" t="s">
        <v>613</v>
      </c>
      <c r="T1961" s="18" t="s">
        <v>248</v>
      </c>
      <c r="U1961" s="18" t="s">
        <v>122</v>
      </c>
      <c r="V1961" s="17" t="n">
        <v>2</v>
      </c>
      <c r="W1961" s="20" t="s">
        <v>122</v>
      </c>
      <c r="X1961" s="17" t="s">
        <v>111</v>
      </c>
      <c r="Y1961" s="17" t="s">
        <v>958</v>
      </c>
      <c r="Z1961" s="17" t="s">
        <v>262</v>
      </c>
      <c r="AA1961" s="17" t="s">
        <v>919</v>
      </c>
      <c r="AB1961" s="17" t="s">
        <v>41</v>
      </c>
      <c r="AC1961" s="0" t="str">
        <f aca="false">LEFT(G1961,2)</f>
        <v>86</v>
      </c>
      <c r="AE1961" s="21"/>
    </row>
    <row r="1962" customFormat="false" ht="15" hidden="false" customHeight="false" outlineLevel="0" collapsed="false">
      <c r="A1962" s="13" t="n">
        <f aca="false">1+A1961</f>
        <v>1960</v>
      </c>
      <c r="B1962" s="14" t="n">
        <v>1009539739</v>
      </c>
      <c r="C1962" s="17" t="s">
        <v>311</v>
      </c>
      <c r="D1962" s="16" t="s">
        <v>64</v>
      </c>
      <c r="E1962" s="17" t="s">
        <v>47</v>
      </c>
      <c r="F1962" s="18" t="s">
        <v>34</v>
      </c>
      <c r="G1962" s="19" t="n">
        <v>864342187290</v>
      </c>
      <c r="H1962" s="17" t="s">
        <v>35</v>
      </c>
      <c r="I1962" s="17" t="s">
        <v>44</v>
      </c>
      <c r="J1962" s="17" t="s">
        <v>111</v>
      </c>
      <c r="K1962" s="17" t="s">
        <v>958</v>
      </c>
      <c r="L1962" s="17" t="n">
        <v>5</v>
      </c>
      <c r="M1962" s="17" t="s">
        <v>952</v>
      </c>
      <c r="N1962" s="17" t="n">
        <v>1</v>
      </c>
      <c r="O1962" s="17" t="s">
        <v>611</v>
      </c>
      <c r="P1962" s="17" t="n">
        <v>11</v>
      </c>
      <c r="Q1962" s="17" t="s">
        <v>953</v>
      </c>
      <c r="R1962" s="17" t="s">
        <v>35</v>
      </c>
      <c r="S1962" s="17" t="s">
        <v>613</v>
      </c>
      <c r="T1962" s="18" t="s">
        <v>248</v>
      </c>
      <c r="U1962" s="18" t="s">
        <v>122</v>
      </c>
      <c r="V1962" s="17" t="n">
        <v>2</v>
      </c>
      <c r="W1962" s="20" t="s">
        <v>122</v>
      </c>
      <c r="X1962" s="17" t="s">
        <v>111</v>
      </c>
      <c r="Y1962" s="17" t="s">
        <v>958</v>
      </c>
      <c r="Z1962" s="17" t="s">
        <v>1000</v>
      </c>
      <c r="AA1962" s="17" t="s">
        <v>919</v>
      </c>
      <c r="AB1962" s="17" t="s">
        <v>41</v>
      </c>
      <c r="AC1962" s="0" t="str">
        <f aca="false">LEFT(G1962,2)</f>
        <v>86</v>
      </c>
      <c r="AE1962" s="21"/>
    </row>
    <row r="1963" customFormat="false" ht="15" hidden="false" customHeight="false" outlineLevel="0" collapsed="false">
      <c r="A1963" s="13" t="n">
        <f aca="false">1+A1962</f>
        <v>1961</v>
      </c>
      <c r="B1963" s="14" t="n">
        <v>1009545352</v>
      </c>
      <c r="C1963" s="17" t="s">
        <v>126</v>
      </c>
      <c r="D1963" s="16" t="s">
        <v>138</v>
      </c>
      <c r="E1963" s="17" t="s">
        <v>47</v>
      </c>
      <c r="F1963" s="18" t="s">
        <v>34</v>
      </c>
      <c r="G1963" s="19" t="n">
        <v>866294169770</v>
      </c>
      <c r="H1963" s="17" t="s">
        <v>35</v>
      </c>
      <c r="I1963" s="17" t="s">
        <v>44</v>
      </c>
      <c r="J1963" s="17" t="s">
        <v>111</v>
      </c>
      <c r="K1963" s="17" t="s">
        <v>958</v>
      </c>
      <c r="L1963" s="17" t="n">
        <v>1</v>
      </c>
      <c r="M1963" s="17" t="s">
        <v>610</v>
      </c>
      <c r="N1963" s="17" t="n">
        <v>12</v>
      </c>
      <c r="O1963" s="17" t="s">
        <v>1001</v>
      </c>
      <c r="P1963" s="17" t="n">
        <v>11</v>
      </c>
      <c r="Q1963" s="17" t="s">
        <v>953</v>
      </c>
      <c r="R1963" s="17" t="s">
        <v>35</v>
      </c>
      <c r="S1963" s="17" t="s">
        <v>613</v>
      </c>
      <c r="T1963" s="18" t="s">
        <v>248</v>
      </c>
      <c r="U1963" s="18" t="s">
        <v>122</v>
      </c>
      <c r="V1963" s="17" t="n">
        <v>2</v>
      </c>
      <c r="W1963" s="20" t="s">
        <v>122</v>
      </c>
      <c r="X1963" s="17" t="s">
        <v>111</v>
      </c>
      <c r="Y1963" s="17" t="s">
        <v>958</v>
      </c>
      <c r="Z1963" s="17" t="s">
        <v>972</v>
      </c>
      <c r="AA1963" s="17" t="s">
        <v>919</v>
      </c>
      <c r="AB1963" s="17" t="s">
        <v>41</v>
      </c>
      <c r="AC1963" s="0" t="str">
        <f aca="false">LEFT(G1963,2)</f>
        <v>86</v>
      </c>
      <c r="AE1963" s="21"/>
    </row>
    <row r="1964" customFormat="false" ht="15" hidden="false" customHeight="false" outlineLevel="0" collapsed="false">
      <c r="A1964" s="13" t="n">
        <f aca="false">1+A1963</f>
        <v>1962</v>
      </c>
      <c r="B1964" s="14" t="n">
        <v>1009536402</v>
      </c>
      <c r="C1964" s="17" t="s">
        <v>311</v>
      </c>
      <c r="D1964" s="16" t="s">
        <v>64</v>
      </c>
      <c r="E1964" s="17" t="s">
        <v>33</v>
      </c>
      <c r="F1964" s="18" t="s">
        <v>34</v>
      </c>
      <c r="G1964" s="19" t="n">
        <v>865237146077</v>
      </c>
      <c r="H1964" s="17" t="s">
        <v>35</v>
      </c>
      <c r="I1964" s="17" t="s">
        <v>44</v>
      </c>
      <c r="J1964" s="17" t="s">
        <v>111</v>
      </c>
      <c r="K1964" s="17" t="s">
        <v>958</v>
      </c>
      <c r="L1964" s="17" t="n">
        <v>5</v>
      </c>
      <c r="M1964" s="17" t="s">
        <v>952</v>
      </c>
      <c r="N1964" s="17" t="n">
        <v>24</v>
      </c>
      <c r="O1964" s="17" t="s">
        <v>975</v>
      </c>
      <c r="P1964" s="17" t="n">
        <v>11</v>
      </c>
      <c r="Q1964" s="17" t="s">
        <v>953</v>
      </c>
      <c r="R1964" s="17" t="s">
        <v>35</v>
      </c>
      <c r="S1964" s="17" t="s">
        <v>613</v>
      </c>
      <c r="T1964" s="18" t="s">
        <v>248</v>
      </c>
      <c r="U1964" s="18" t="s">
        <v>122</v>
      </c>
      <c r="V1964" s="17" t="n">
        <v>2</v>
      </c>
      <c r="W1964" s="20" t="s">
        <v>122</v>
      </c>
      <c r="X1964" s="17" t="s">
        <v>111</v>
      </c>
      <c r="Y1964" s="17" t="s">
        <v>958</v>
      </c>
      <c r="Z1964" s="17" t="s">
        <v>1002</v>
      </c>
      <c r="AA1964" s="17" t="s">
        <v>919</v>
      </c>
      <c r="AB1964" s="17" t="s">
        <v>41</v>
      </c>
      <c r="AC1964" s="0" t="str">
        <f aca="false">LEFT(G1964,2)</f>
        <v>86</v>
      </c>
      <c r="AE1964" s="21"/>
    </row>
    <row r="1965" customFormat="false" ht="15" hidden="false" customHeight="false" outlineLevel="0" collapsed="false">
      <c r="A1965" s="13" t="n">
        <f aca="false">1+A1964</f>
        <v>1963</v>
      </c>
      <c r="B1965" s="14" t="n">
        <v>1009549074</v>
      </c>
      <c r="C1965" s="17" t="s">
        <v>126</v>
      </c>
      <c r="D1965" s="16" t="s">
        <v>32</v>
      </c>
      <c r="E1965" s="17" t="s">
        <v>47</v>
      </c>
      <c r="F1965" s="18" t="s">
        <v>34</v>
      </c>
      <c r="G1965" s="19" t="n">
        <v>865296235811</v>
      </c>
      <c r="H1965" s="17" t="s">
        <v>35</v>
      </c>
      <c r="I1965" s="17" t="s">
        <v>44</v>
      </c>
      <c r="J1965" s="17" t="s">
        <v>121</v>
      </c>
      <c r="K1965" s="17" t="s">
        <v>955</v>
      </c>
      <c r="L1965" s="17" t="n">
        <v>1</v>
      </c>
      <c r="M1965" s="17" t="s">
        <v>610</v>
      </c>
      <c r="N1965" s="17" t="n">
        <v>1</v>
      </c>
      <c r="O1965" s="17" t="s">
        <v>611</v>
      </c>
      <c r="P1965" s="17" t="n">
        <v>11</v>
      </c>
      <c r="Q1965" s="17" t="s">
        <v>953</v>
      </c>
      <c r="R1965" s="17" t="s">
        <v>35</v>
      </c>
      <c r="S1965" s="17" t="s">
        <v>613</v>
      </c>
      <c r="T1965" s="18" t="s">
        <v>248</v>
      </c>
      <c r="U1965" s="18" t="s">
        <v>122</v>
      </c>
      <c r="V1965" s="17" t="n">
        <v>2</v>
      </c>
      <c r="W1965" s="20" t="s">
        <v>122</v>
      </c>
      <c r="X1965" s="17" t="s">
        <v>121</v>
      </c>
      <c r="Y1965" s="17" t="s">
        <v>955</v>
      </c>
      <c r="Z1965" s="17" t="s">
        <v>1003</v>
      </c>
      <c r="AA1965" s="17" t="s">
        <v>919</v>
      </c>
      <c r="AB1965" s="17" t="s">
        <v>41</v>
      </c>
      <c r="AC1965" s="0" t="str">
        <f aca="false">LEFT(G1965,2)</f>
        <v>86</v>
      </c>
      <c r="AE1965" s="21"/>
    </row>
    <row r="1966" customFormat="false" ht="15" hidden="false" customHeight="false" outlineLevel="0" collapsed="false">
      <c r="A1966" s="13" t="n">
        <f aca="false">1+A1965</f>
        <v>1964</v>
      </c>
      <c r="B1966" s="14" t="n">
        <v>1009533755</v>
      </c>
      <c r="C1966" s="17" t="s">
        <v>174</v>
      </c>
      <c r="D1966" s="16" t="s">
        <v>64</v>
      </c>
      <c r="E1966" s="17" t="s">
        <v>64</v>
      </c>
      <c r="F1966" s="18" t="s">
        <v>34</v>
      </c>
      <c r="G1966" s="19" t="n">
        <v>866256141072</v>
      </c>
      <c r="H1966" s="17" t="s">
        <v>35</v>
      </c>
      <c r="I1966" s="17" t="s">
        <v>44</v>
      </c>
      <c r="J1966" s="17" t="s">
        <v>121</v>
      </c>
      <c r="K1966" s="17" t="s">
        <v>955</v>
      </c>
      <c r="L1966" s="17" t="n">
        <v>1</v>
      </c>
      <c r="M1966" s="17" t="s">
        <v>610</v>
      </c>
      <c r="N1966" s="17" t="n">
        <v>1</v>
      </c>
      <c r="O1966" s="17" t="s">
        <v>611</v>
      </c>
      <c r="P1966" s="17" t="n">
        <v>11</v>
      </c>
      <c r="Q1966" s="17" t="s">
        <v>953</v>
      </c>
      <c r="R1966" s="17" t="s">
        <v>35</v>
      </c>
      <c r="S1966" s="17" t="s">
        <v>613</v>
      </c>
      <c r="T1966" s="18" t="s">
        <v>248</v>
      </c>
      <c r="U1966" s="18" t="s">
        <v>122</v>
      </c>
      <c r="V1966" s="17" t="n">
        <v>2</v>
      </c>
      <c r="W1966" s="20" t="s">
        <v>122</v>
      </c>
      <c r="X1966" s="17" t="s">
        <v>121</v>
      </c>
      <c r="Y1966" s="17" t="s">
        <v>955</v>
      </c>
      <c r="Z1966" s="17" t="s">
        <v>276</v>
      </c>
      <c r="AA1966" s="17" t="s">
        <v>919</v>
      </c>
      <c r="AB1966" s="17" t="s">
        <v>41</v>
      </c>
      <c r="AC1966" s="0" t="str">
        <f aca="false">LEFT(G1966,2)</f>
        <v>86</v>
      </c>
      <c r="AE1966" s="21"/>
    </row>
    <row r="1967" customFormat="false" ht="15" hidden="false" customHeight="false" outlineLevel="0" collapsed="false">
      <c r="A1967" s="13" t="n">
        <f aca="false">1+A1966</f>
        <v>1965</v>
      </c>
      <c r="B1967" s="14" t="n">
        <v>1009527346</v>
      </c>
      <c r="C1967" s="17" t="s">
        <v>162</v>
      </c>
      <c r="D1967" s="16" t="s">
        <v>142</v>
      </c>
      <c r="E1967" s="17" t="s">
        <v>64</v>
      </c>
      <c r="F1967" s="18" t="s">
        <v>34</v>
      </c>
      <c r="G1967" s="19" t="n">
        <v>866167131816</v>
      </c>
      <c r="H1967" s="17" t="s">
        <v>35</v>
      </c>
      <c r="I1967" s="17" t="s">
        <v>44</v>
      </c>
      <c r="J1967" s="17" t="s">
        <v>267</v>
      </c>
      <c r="K1967" s="17" t="s">
        <v>960</v>
      </c>
      <c r="L1967" s="17" t="n">
        <v>2</v>
      </c>
      <c r="M1967" s="17" t="s">
        <v>981</v>
      </c>
      <c r="N1967" s="17" t="n">
        <v>6</v>
      </c>
      <c r="O1967" s="17" t="s">
        <v>982</v>
      </c>
      <c r="P1967" s="17" t="n">
        <v>11</v>
      </c>
      <c r="Q1967" s="17" t="s">
        <v>953</v>
      </c>
      <c r="R1967" s="17" t="s">
        <v>35</v>
      </c>
      <c r="S1967" s="17" t="s">
        <v>613</v>
      </c>
      <c r="T1967" s="18" t="s">
        <v>248</v>
      </c>
      <c r="U1967" s="18" t="s">
        <v>122</v>
      </c>
      <c r="V1967" s="17" t="n">
        <v>2</v>
      </c>
      <c r="W1967" s="20" t="s">
        <v>122</v>
      </c>
      <c r="X1967" s="17" t="s">
        <v>267</v>
      </c>
      <c r="Y1967" s="17" t="s">
        <v>960</v>
      </c>
      <c r="Z1967" s="17" t="s">
        <v>1004</v>
      </c>
      <c r="AA1967" s="17" t="s">
        <v>919</v>
      </c>
      <c r="AB1967" s="17" t="s">
        <v>41</v>
      </c>
      <c r="AC1967" s="0" t="str">
        <f aca="false">LEFT(G1967,2)</f>
        <v>86</v>
      </c>
      <c r="AE1967" s="21"/>
    </row>
    <row r="1968" customFormat="false" ht="15" hidden="false" customHeight="false" outlineLevel="0" collapsed="false">
      <c r="A1968" s="13" t="n">
        <f aca="false">1+A1967</f>
        <v>1966</v>
      </c>
      <c r="B1968" s="14" t="n">
        <v>1009665848</v>
      </c>
      <c r="C1968" s="17" t="s">
        <v>436</v>
      </c>
      <c r="D1968" s="16" t="s">
        <v>64</v>
      </c>
      <c r="E1968" s="17" t="s">
        <v>33</v>
      </c>
      <c r="F1968" s="18" t="s">
        <v>34</v>
      </c>
      <c r="G1968" s="19" t="n">
        <v>867077160259</v>
      </c>
      <c r="H1968" s="17" t="s">
        <v>35</v>
      </c>
      <c r="I1968" s="17" t="s">
        <v>44</v>
      </c>
      <c r="J1968" s="17" t="s">
        <v>267</v>
      </c>
      <c r="K1968" s="17" t="s">
        <v>960</v>
      </c>
      <c r="L1968" s="17" t="n">
        <v>5</v>
      </c>
      <c r="M1968" s="17" t="s">
        <v>952</v>
      </c>
      <c r="N1968" s="17" t="n">
        <v>24</v>
      </c>
      <c r="O1968" s="17" t="s">
        <v>975</v>
      </c>
      <c r="P1968" s="17" t="n">
        <v>11</v>
      </c>
      <c r="Q1968" s="17" t="s">
        <v>953</v>
      </c>
      <c r="R1968" s="17" t="s">
        <v>35</v>
      </c>
      <c r="S1968" s="17" t="s">
        <v>613</v>
      </c>
      <c r="T1968" s="18" t="s">
        <v>248</v>
      </c>
      <c r="U1968" s="18" t="s">
        <v>122</v>
      </c>
      <c r="V1968" s="17" t="n">
        <v>2</v>
      </c>
      <c r="W1968" s="20" t="s">
        <v>122</v>
      </c>
      <c r="X1968" s="17" t="s">
        <v>267</v>
      </c>
      <c r="Y1968" s="17" t="s">
        <v>960</v>
      </c>
      <c r="Z1968" s="17" t="s">
        <v>349</v>
      </c>
      <c r="AA1968" s="17" t="s">
        <v>919</v>
      </c>
      <c r="AB1968" s="17" t="s">
        <v>41</v>
      </c>
      <c r="AC1968" s="0" t="str">
        <f aca="false">LEFT(G1968,2)</f>
        <v>86</v>
      </c>
      <c r="AE1968" s="21"/>
    </row>
    <row r="1969" customFormat="false" ht="15" hidden="false" customHeight="false" outlineLevel="0" collapsed="false">
      <c r="A1969" s="13" t="n">
        <f aca="false">1+A1968</f>
        <v>1967</v>
      </c>
      <c r="B1969" s="14" t="n">
        <v>1009533304</v>
      </c>
      <c r="C1969" s="17" t="s">
        <v>174</v>
      </c>
      <c r="D1969" s="16" t="s">
        <v>1005</v>
      </c>
      <c r="E1969" s="17" t="s">
        <v>47</v>
      </c>
      <c r="F1969" s="18" t="s">
        <v>34</v>
      </c>
      <c r="G1969" s="19" t="n">
        <v>868154183156</v>
      </c>
      <c r="H1969" s="17" t="s">
        <v>35</v>
      </c>
      <c r="I1969" s="17" t="s">
        <v>44</v>
      </c>
      <c r="J1969" s="17" t="s">
        <v>267</v>
      </c>
      <c r="K1969" s="17" t="s">
        <v>960</v>
      </c>
      <c r="L1969" s="17" t="n">
        <v>5</v>
      </c>
      <c r="M1969" s="17" t="s">
        <v>952</v>
      </c>
      <c r="N1969" s="17" t="n">
        <v>1</v>
      </c>
      <c r="O1969" s="17" t="s">
        <v>611</v>
      </c>
      <c r="P1969" s="17" t="n">
        <v>11</v>
      </c>
      <c r="Q1969" s="17" t="s">
        <v>953</v>
      </c>
      <c r="R1969" s="17" t="s">
        <v>35</v>
      </c>
      <c r="S1969" s="17" t="s">
        <v>613</v>
      </c>
      <c r="T1969" s="18" t="s">
        <v>248</v>
      </c>
      <c r="U1969" s="18" t="s">
        <v>122</v>
      </c>
      <c r="V1969" s="17" t="n">
        <v>2</v>
      </c>
      <c r="W1969" s="20" t="s">
        <v>122</v>
      </c>
      <c r="X1969" s="17" t="s">
        <v>267</v>
      </c>
      <c r="Y1969" s="17" t="s">
        <v>960</v>
      </c>
      <c r="Z1969" s="17" t="s">
        <v>341</v>
      </c>
      <c r="AA1969" s="17" t="s">
        <v>919</v>
      </c>
      <c r="AB1969" s="17" t="s">
        <v>41</v>
      </c>
      <c r="AC1969" s="0" t="str">
        <f aca="false">LEFT(G1969,2)</f>
        <v>86</v>
      </c>
      <c r="AE1969" s="21"/>
    </row>
    <row r="1970" customFormat="false" ht="15" hidden="false" customHeight="false" outlineLevel="0" collapsed="false">
      <c r="A1970" s="13" t="n">
        <f aca="false">1+A1969</f>
        <v>1968</v>
      </c>
      <c r="B1970" s="14" t="n">
        <v>1009527154</v>
      </c>
      <c r="C1970" s="17" t="s">
        <v>162</v>
      </c>
      <c r="D1970" s="16" t="s">
        <v>156</v>
      </c>
      <c r="E1970" s="17" t="s">
        <v>33</v>
      </c>
      <c r="F1970" s="18" t="s">
        <v>34</v>
      </c>
      <c r="G1970" s="19" t="n">
        <v>865248178424</v>
      </c>
      <c r="H1970" s="17" t="s">
        <v>35</v>
      </c>
      <c r="I1970" s="17" t="s">
        <v>44</v>
      </c>
      <c r="J1970" s="17" t="s">
        <v>287</v>
      </c>
      <c r="K1970" s="17" t="s">
        <v>1006</v>
      </c>
      <c r="L1970" s="17" t="n">
        <v>1</v>
      </c>
      <c r="M1970" s="17" t="s">
        <v>610</v>
      </c>
      <c r="N1970" s="17" t="n">
        <v>6</v>
      </c>
      <c r="O1970" s="17" t="s">
        <v>982</v>
      </c>
      <c r="P1970" s="17" t="n">
        <v>11</v>
      </c>
      <c r="Q1970" s="17" t="s">
        <v>953</v>
      </c>
      <c r="R1970" s="17" t="s">
        <v>35</v>
      </c>
      <c r="S1970" s="17" t="s">
        <v>613</v>
      </c>
      <c r="T1970" s="18" t="s">
        <v>248</v>
      </c>
      <c r="U1970" s="18" t="s">
        <v>122</v>
      </c>
      <c r="V1970" s="17" t="n">
        <v>2</v>
      </c>
      <c r="W1970" s="20" t="s">
        <v>122</v>
      </c>
      <c r="X1970" s="17" t="s">
        <v>287</v>
      </c>
      <c r="Y1970" s="17" t="s">
        <v>1006</v>
      </c>
      <c r="Z1970" s="17" t="s">
        <v>1007</v>
      </c>
      <c r="AA1970" s="17" t="s">
        <v>919</v>
      </c>
      <c r="AB1970" s="17" t="s">
        <v>41</v>
      </c>
      <c r="AC1970" s="0" t="str">
        <f aca="false">LEFT(G1970,2)</f>
        <v>86</v>
      </c>
      <c r="AE1970" s="21"/>
    </row>
    <row r="1971" customFormat="false" ht="15" hidden="false" customHeight="false" outlineLevel="0" collapsed="false">
      <c r="A1971" s="13" t="n">
        <f aca="false">1+A1970</f>
        <v>1969</v>
      </c>
      <c r="B1971" s="14" t="n">
        <v>1009542107</v>
      </c>
      <c r="C1971" s="17" t="s">
        <v>126</v>
      </c>
      <c r="D1971" s="16" t="s">
        <v>64</v>
      </c>
      <c r="E1971" s="17" t="s">
        <v>47</v>
      </c>
      <c r="F1971" s="18" t="s">
        <v>34</v>
      </c>
      <c r="G1971" s="19" t="n">
        <v>865328163908</v>
      </c>
      <c r="H1971" s="17" t="s">
        <v>35</v>
      </c>
      <c r="I1971" s="17" t="s">
        <v>44</v>
      </c>
      <c r="J1971" s="17" t="s">
        <v>267</v>
      </c>
      <c r="K1971" s="17" t="s">
        <v>960</v>
      </c>
      <c r="L1971" s="17" t="n">
        <v>1</v>
      </c>
      <c r="M1971" s="17" t="s">
        <v>610</v>
      </c>
      <c r="N1971" s="17" t="n">
        <v>1</v>
      </c>
      <c r="O1971" s="17" t="s">
        <v>611</v>
      </c>
      <c r="P1971" s="17" t="n">
        <v>11</v>
      </c>
      <c r="Q1971" s="17" t="s">
        <v>953</v>
      </c>
      <c r="R1971" s="17" t="s">
        <v>35</v>
      </c>
      <c r="S1971" s="17" t="s">
        <v>613</v>
      </c>
      <c r="T1971" s="18" t="s">
        <v>248</v>
      </c>
      <c r="U1971" s="18" t="s">
        <v>122</v>
      </c>
      <c r="V1971" s="17" t="n">
        <v>2</v>
      </c>
      <c r="W1971" s="20" t="s">
        <v>122</v>
      </c>
      <c r="X1971" s="17" t="s">
        <v>267</v>
      </c>
      <c r="Y1971" s="17" t="s">
        <v>960</v>
      </c>
      <c r="Z1971" s="17" t="s">
        <v>222</v>
      </c>
      <c r="AA1971" s="17" t="s">
        <v>919</v>
      </c>
      <c r="AB1971" s="17" t="s">
        <v>41</v>
      </c>
      <c r="AC1971" s="0" t="str">
        <f aca="false">LEFT(G1971,2)</f>
        <v>86</v>
      </c>
      <c r="AE1971" s="21"/>
    </row>
    <row r="1972" customFormat="false" ht="15" hidden="false" customHeight="false" outlineLevel="0" collapsed="false">
      <c r="A1972" s="13" t="n">
        <f aca="false">1+A1971</f>
        <v>1970</v>
      </c>
      <c r="B1972" s="14" t="n">
        <v>1009602292</v>
      </c>
      <c r="C1972" s="17" t="s">
        <v>159</v>
      </c>
      <c r="D1972" s="16" t="s">
        <v>64</v>
      </c>
      <c r="E1972" s="17" t="s">
        <v>47</v>
      </c>
      <c r="F1972" s="18" t="s">
        <v>34</v>
      </c>
      <c r="G1972" s="19" t="n">
        <v>868165115627</v>
      </c>
      <c r="H1972" s="17" t="s">
        <v>35</v>
      </c>
      <c r="I1972" s="17" t="s">
        <v>44</v>
      </c>
      <c r="J1972" s="17" t="s">
        <v>267</v>
      </c>
      <c r="K1972" s="17" t="s">
        <v>960</v>
      </c>
      <c r="L1972" s="17" t="n">
        <v>5</v>
      </c>
      <c r="M1972" s="17" t="s">
        <v>952</v>
      </c>
      <c r="N1972" s="17" t="n">
        <v>24</v>
      </c>
      <c r="O1972" s="17" t="s">
        <v>975</v>
      </c>
      <c r="P1972" s="17" t="n">
        <v>11</v>
      </c>
      <c r="Q1972" s="17" t="s">
        <v>953</v>
      </c>
      <c r="R1972" s="17" t="s">
        <v>35</v>
      </c>
      <c r="S1972" s="17" t="s">
        <v>613</v>
      </c>
      <c r="T1972" s="18" t="s">
        <v>248</v>
      </c>
      <c r="U1972" s="18" t="s">
        <v>122</v>
      </c>
      <c r="V1972" s="17" t="n">
        <v>2</v>
      </c>
      <c r="W1972" s="20" t="s">
        <v>122</v>
      </c>
      <c r="X1972" s="17" t="s">
        <v>267</v>
      </c>
      <c r="Y1972" s="17" t="s">
        <v>960</v>
      </c>
      <c r="Z1972" s="17" t="s">
        <v>341</v>
      </c>
      <c r="AA1972" s="17" t="s">
        <v>919</v>
      </c>
      <c r="AB1972" s="17" t="s">
        <v>41</v>
      </c>
      <c r="AC1972" s="0" t="str">
        <f aca="false">LEFT(G1972,2)</f>
        <v>86</v>
      </c>
      <c r="AE1972" s="21"/>
    </row>
    <row r="1973" customFormat="false" ht="15" hidden="false" customHeight="false" outlineLevel="0" collapsed="false">
      <c r="A1973" s="13" t="n">
        <f aca="false">1+A1972</f>
        <v>1971</v>
      </c>
      <c r="B1973" s="14" t="n">
        <v>1009602924</v>
      </c>
      <c r="C1973" s="17" t="s">
        <v>1008</v>
      </c>
      <c r="D1973" s="16" t="s">
        <v>64</v>
      </c>
      <c r="E1973" s="17" t="s">
        <v>64</v>
      </c>
      <c r="F1973" s="18" t="s">
        <v>34</v>
      </c>
      <c r="G1973" s="19" t="n">
        <v>865237146770</v>
      </c>
      <c r="H1973" s="17" t="s">
        <v>35</v>
      </c>
      <c r="I1973" s="17" t="s">
        <v>44</v>
      </c>
      <c r="J1973" s="17" t="s">
        <v>267</v>
      </c>
      <c r="K1973" s="17" t="s">
        <v>960</v>
      </c>
      <c r="L1973" s="17" t="n">
        <v>1</v>
      </c>
      <c r="M1973" s="17" t="s">
        <v>610</v>
      </c>
      <c r="N1973" s="17" t="n">
        <v>1</v>
      </c>
      <c r="O1973" s="17" t="s">
        <v>611</v>
      </c>
      <c r="P1973" s="17" t="n">
        <v>11</v>
      </c>
      <c r="Q1973" s="17" t="s">
        <v>953</v>
      </c>
      <c r="R1973" s="17" t="s">
        <v>35</v>
      </c>
      <c r="S1973" s="17" t="s">
        <v>613</v>
      </c>
      <c r="T1973" s="18" t="s">
        <v>248</v>
      </c>
      <c r="U1973" s="18" t="s">
        <v>122</v>
      </c>
      <c r="V1973" s="17" t="n">
        <v>2</v>
      </c>
      <c r="W1973" s="20" t="s">
        <v>122</v>
      </c>
      <c r="X1973" s="17" t="s">
        <v>267</v>
      </c>
      <c r="Y1973" s="17" t="s">
        <v>960</v>
      </c>
      <c r="Z1973" s="17" t="s">
        <v>276</v>
      </c>
      <c r="AA1973" s="17" t="s">
        <v>919</v>
      </c>
      <c r="AB1973" s="17" t="s">
        <v>41</v>
      </c>
      <c r="AC1973" s="0" t="str">
        <f aca="false">LEFT(G1973,2)</f>
        <v>86</v>
      </c>
      <c r="AE1973" s="21"/>
    </row>
    <row r="1974" customFormat="false" ht="15" hidden="false" customHeight="false" outlineLevel="0" collapsed="false">
      <c r="A1974" s="13" t="n">
        <f aca="false">1+A1973</f>
        <v>1972</v>
      </c>
      <c r="B1974" s="14" t="n">
        <v>100967238</v>
      </c>
      <c r="C1974" s="17" t="s">
        <v>436</v>
      </c>
      <c r="D1974" s="16" t="s">
        <v>119</v>
      </c>
      <c r="E1974" s="17" t="s">
        <v>1009</v>
      </c>
      <c r="F1974" s="18" t="s">
        <v>34</v>
      </c>
      <c r="G1974" s="19" t="n">
        <v>865304235969</v>
      </c>
      <c r="H1974" s="17" t="s">
        <v>35</v>
      </c>
      <c r="I1974" s="17" t="s">
        <v>44</v>
      </c>
      <c r="J1974" s="17" t="s">
        <v>267</v>
      </c>
      <c r="K1974" s="17" t="s">
        <v>960</v>
      </c>
      <c r="L1974" s="17" t="n">
        <v>1</v>
      </c>
      <c r="M1974" s="17" t="s">
        <v>610</v>
      </c>
      <c r="N1974" s="17" t="n">
        <v>1</v>
      </c>
      <c r="O1974" s="17" t="s">
        <v>611</v>
      </c>
      <c r="P1974" s="17" t="n">
        <v>11</v>
      </c>
      <c r="Q1974" s="17" t="s">
        <v>953</v>
      </c>
      <c r="R1974" s="17" t="s">
        <v>35</v>
      </c>
      <c r="S1974" s="17" t="s">
        <v>613</v>
      </c>
      <c r="T1974" s="18" t="s">
        <v>248</v>
      </c>
      <c r="U1974" s="18" t="s">
        <v>122</v>
      </c>
      <c r="V1974" s="17" t="n">
        <v>2</v>
      </c>
      <c r="W1974" s="20" t="s">
        <v>122</v>
      </c>
      <c r="X1974" s="17" t="s">
        <v>267</v>
      </c>
      <c r="Y1974" s="17" t="s">
        <v>960</v>
      </c>
      <c r="Z1974" s="17" t="s">
        <v>276</v>
      </c>
      <c r="AA1974" s="17" t="s">
        <v>919</v>
      </c>
      <c r="AB1974" s="17" t="s">
        <v>41</v>
      </c>
      <c r="AC1974" s="0" t="str">
        <f aca="false">LEFT(G1974,2)</f>
        <v>86</v>
      </c>
      <c r="AE1974" s="21"/>
    </row>
    <row r="1975" customFormat="false" ht="15" hidden="false" customHeight="false" outlineLevel="0" collapsed="false">
      <c r="A1975" s="13" t="n">
        <f aca="false">1+A1974</f>
        <v>1973</v>
      </c>
      <c r="B1975" s="14" t="n">
        <v>1009600357</v>
      </c>
      <c r="C1975" s="17" t="s">
        <v>159</v>
      </c>
      <c r="D1975" s="16" t="s">
        <v>64</v>
      </c>
      <c r="E1975" s="17" t="s">
        <v>64</v>
      </c>
      <c r="F1975" s="18" t="s">
        <v>34</v>
      </c>
      <c r="G1975" s="19" t="n">
        <v>867195124427</v>
      </c>
      <c r="H1975" s="17" t="s">
        <v>35</v>
      </c>
      <c r="I1975" s="17" t="s">
        <v>44</v>
      </c>
      <c r="J1975" s="17" t="s">
        <v>267</v>
      </c>
      <c r="K1975" s="17" t="s">
        <v>960</v>
      </c>
      <c r="L1975" s="17" t="n">
        <v>1</v>
      </c>
      <c r="M1975" s="17" t="s">
        <v>610</v>
      </c>
      <c r="N1975" s="17" t="n">
        <v>1</v>
      </c>
      <c r="O1975" s="17" t="s">
        <v>611</v>
      </c>
      <c r="P1975" s="17" t="n">
        <v>11</v>
      </c>
      <c r="Q1975" s="17" t="s">
        <v>953</v>
      </c>
      <c r="R1975" s="17" t="s">
        <v>35</v>
      </c>
      <c r="S1975" s="17" t="s">
        <v>613</v>
      </c>
      <c r="T1975" s="18" t="s">
        <v>248</v>
      </c>
      <c r="U1975" s="18" t="s">
        <v>122</v>
      </c>
      <c r="V1975" s="17" t="n">
        <v>2</v>
      </c>
      <c r="W1975" s="20" t="s">
        <v>122</v>
      </c>
      <c r="X1975" s="17" t="s">
        <v>267</v>
      </c>
      <c r="Y1975" s="17" t="s">
        <v>960</v>
      </c>
      <c r="Z1975" s="17" t="s">
        <v>276</v>
      </c>
      <c r="AA1975" s="17" t="s">
        <v>919</v>
      </c>
      <c r="AB1975" s="17" t="s">
        <v>41</v>
      </c>
      <c r="AC1975" s="0" t="str">
        <f aca="false">LEFT(G1975,2)</f>
        <v>86</v>
      </c>
      <c r="AE1975" s="21"/>
    </row>
    <row r="1976" customFormat="false" ht="15" hidden="false" customHeight="false" outlineLevel="0" collapsed="false">
      <c r="A1976" s="13" t="n">
        <f aca="false">1+A1975</f>
        <v>1974</v>
      </c>
      <c r="B1976" s="14" t="n">
        <v>1009534517</v>
      </c>
      <c r="C1976" s="17" t="s">
        <v>1010</v>
      </c>
      <c r="D1976" s="16" t="s">
        <v>64</v>
      </c>
      <c r="E1976" s="17" t="s">
        <v>64</v>
      </c>
      <c r="F1976" s="18" t="s">
        <v>34</v>
      </c>
      <c r="G1976" s="19" t="n">
        <v>868150165280</v>
      </c>
      <c r="H1976" s="17" t="s">
        <v>35</v>
      </c>
      <c r="I1976" s="17" t="s">
        <v>44</v>
      </c>
      <c r="J1976" s="17" t="s">
        <v>267</v>
      </c>
      <c r="K1976" s="17" t="s">
        <v>960</v>
      </c>
      <c r="L1976" s="17" t="n">
        <v>5</v>
      </c>
      <c r="M1976" s="17" t="s">
        <v>952</v>
      </c>
      <c r="N1976" s="17" t="n">
        <v>1</v>
      </c>
      <c r="O1976" s="17" t="s">
        <v>611</v>
      </c>
      <c r="P1976" s="17" t="n">
        <v>11</v>
      </c>
      <c r="Q1976" s="17" t="s">
        <v>953</v>
      </c>
      <c r="R1976" s="17" t="s">
        <v>35</v>
      </c>
      <c r="S1976" s="17" t="s">
        <v>613</v>
      </c>
      <c r="T1976" s="18" t="s">
        <v>248</v>
      </c>
      <c r="U1976" s="18" t="s">
        <v>122</v>
      </c>
      <c r="V1976" s="17" t="n">
        <v>2</v>
      </c>
      <c r="W1976" s="20" t="s">
        <v>122</v>
      </c>
      <c r="X1976" s="17" t="s">
        <v>267</v>
      </c>
      <c r="Y1976" s="17" t="s">
        <v>960</v>
      </c>
      <c r="Z1976" s="17" t="s">
        <v>242</v>
      </c>
      <c r="AA1976" s="17" t="s">
        <v>919</v>
      </c>
      <c r="AB1976" s="17" t="s">
        <v>41</v>
      </c>
      <c r="AC1976" s="0" t="str">
        <f aca="false">LEFT(G1976,2)</f>
        <v>86</v>
      </c>
      <c r="AE1976" s="21"/>
    </row>
    <row r="1977" customFormat="false" ht="15" hidden="false" customHeight="false" outlineLevel="0" collapsed="false">
      <c r="A1977" s="13" t="n">
        <f aca="false">1+A1976</f>
        <v>1975</v>
      </c>
      <c r="B1977" s="14" t="n">
        <v>1009646378</v>
      </c>
      <c r="C1977" s="17" t="s">
        <v>204</v>
      </c>
      <c r="D1977" s="16" t="s">
        <v>64</v>
      </c>
      <c r="E1977" s="17" t="s">
        <v>64</v>
      </c>
      <c r="F1977" s="18" t="s">
        <v>34</v>
      </c>
      <c r="G1977" s="19" t="n">
        <v>867116121981</v>
      </c>
      <c r="H1977" s="17" t="s">
        <v>35</v>
      </c>
      <c r="I1977" s="17" t="s">
        <v>44</v>
      </c>
      <c r="J1977" s="17" t="s">
        <v>241</v>
      </c>
      <c r="K1977" s="17" t="s">
        <v>992</v>
      </c>
      <c r="L1977" s="17" t="n">
        <v>5</v>
      </c>
      <c r="M1977" s="17" t="s">
        <v>952</v>
      </c>
      <c r="N1977" s="17" t="n">
        <v>1</v>
      </c>
      <c r="O1977" s="17" t="s">
        <v>611</v>
      </c>
      <c r="P1977" s="17" t="n">
        <v>11</v>
      </c>
      <c r="Q1977" s="17" t="s">
        <v>953</v>
      </c>
      <c r="R1977" s="17" t="s">
        <v>35</v>
      </c>
      <c r="S1977" s="17" t="s">
        <v>613</v>
      </c>
      <c r="T1977" s="18" t="s">
        <v>248</v>
      </c>
      <c r="U1977" s="18" t="s">
        <v>122</v>
      </c>
      <c r="V1977" s="17" t="n">
        <v>2</v>
      </c>
      <c r="W1977" s="20" t="s">
        <v>122</v>
      </c>
      <c r="X1977" s="17" t="s">
        <v>241</v>
      </c>
      <c r="Y1977" s="17" t="s">
        <v>992</v>
      </c>
      <c r="Z1977" s="17" t="s">
        <v>1011</v>
      </c>
      <c r="AA1977" s="17" t="s">
        <v>919</v>
      </c>
      <c r="AB1977" s="17" t="s">
        <v>41</v>
      </c>
      <c r="AC1977" s="0" t="str">
        <f aca="false">LEFT(G1977,2)</f>
        <v>86</v>
      </c>
      <c r="AE1977" s="21"/>
    </row>
    <row r="1978" customFormat="false" ht="15" hidden="false" customHeight="false" outlineLevel="0" collapsed="false">
      <c r="A1978" s="13" t="n">
        <f aca="false">1+A1977</f>
        <v>1976</v>
      </c>
      <c r="B1978" s="14" t="n">
        <v>1009537667</v>
      </c>
      <c r="C1978" s="17" t="s">
        <v>311</v>
      </c>
      <c r="D1978" s="16" t="s">
        <v>64</v>
      </c>
      <c r="E1978" s="17" t="s">
        <v>896</v>
      </c>
      <c r="F1978" s="18" t="s">
        <v>34</v>
      </c>
      <c r="G1978" s="19" t="n">
        <v>866169104159</v>
      </c>
      <c r="H1978" s="17" t="s">
        <v>35</v>
      </c>
      <c r="I1978" s="17" t="s">
        <v>44</v>
      </c>
      <c r="J1978" s="17" t="s">
        <v>241</v>
      </c>
      <c r="K1978" s="17" t="s">
        <v>992</v>
      </c>
      <c r="L1978" s="17" t="n">
        <v>5</v>
      </c>
      <c r="M1978" s="17" t="s">
        <v>952</v>
      </c>
      <c r="N1978" s="17" t="n">
        <v>1</v>
      </c>
      <c r="O1978" s="17" t="s">
        <v>611</v>
      </c>
      <c r="P1978" s="17" t="n">
        <v>11</v>
      </c>
      <c r="Q1978" s="17" t="s">
        <v>953</v>
      </c>
      <c r="R1978" s="17" t="s">
        <v>35</v>
      </c>
      <c r="S1978" s="17" t="s">
        <v>613</v>
      </c>
      <c r="T1978" s="18" t="s">
        <v>248</v>
      </c>
      <c r="U1978" s="18" t="s">
        <v>122</v>
      </c>
      <c r="V1978" s="17" t="n">
        <v>2</v>
      </c>
      <c r="W1978" s="20" t="s">
        <v>122</v>
      </c>
      <c r="X1978" s="17" t="s">
        <v>241</v>
      </c>
      <c r="Y1978" s="17" t="s">
        <v>992</v>
      </c>
      <c r="Z1978" s="17" t="s">
        <v>251</v>
      </c>
      <c r="AA1978" s="17" t="s">
        <v>919</v>
      </c>
      <c r="AB1978" s="17" t="s">
        <v>41</v>
      </c>
      <c r="AC1978" s="0" t="str">
        <f aca="false">LEFT(G1978,2)</f>
        <v>86</v>
      </c>
      <c r="AE1978" s="21"/>
    </row>
    <row r="1979" customFormat="false" ht="15" hidden="false" customHeight="false" outlineLevel="0" collapsed="false">
      <c r="A1979" s="13" t="n">
        <f aca="false">1+A1978</f>
        <v>1977</v>
      </c>
      <c r="B1979" s="14" t="n">
        <v>1009529905</v>
      </c>
      <c r="C1979" s="17" t="s">
        <v>174</v>
      </c>
      <c r="D1979" s="16" t="s">
        <v>64</v>
      </c>
      <c r="E1979" s="17" t="s">
        <v>33</v>
      </c>
      <c r="F1979" s="18" t="s">
        <v>34</v>
      </c>
      <c r="G1979" s="19" t="n">
        <v>865335156945</v>
      </c>
      <c r="H1979" s="17" t="s">
        <v>35</v>
      </c>
      <c r="I1979" s="17" t="s">
        <v>44</v>
      </c>
      <c r="J1979" s="17" t="s">
        <v>241</v>
      </c>
      <c r="K1979" s="17" t="s">
        <v>992</v>
      </c>
      <c r="L1979" s="17" t="n">
        <v>5</v>
      </c>
      <c r="M1979" s="17" t="s">
        <v>952</v>
      </c>
      <c r="N1979" s="17" t="n">
        <v>1</v>
      </c>
      <c r="O1979" s="17" t="s">
        <v>611</v>
      </c>
      <c r="P1979" s="17" t="n">
        <v>11</v>
      </c>
      <c r="Q1979" s="17" t="s">
        <v>953</v>
      </c>
      <c r="R1979" s="17" t="s">
        <v>35</v>
      </c>
      <c r="S1979" s="17" t="s">
        <v>613</v>
      </c>
      <c r="T1979" s="18" t="s">
        <v>248</v>
      </c>
      <c r="U1979" s="18" t="s">
        <v>122</v>
      </c>
      <c r="V1979" s="17" t="n">
        <v>2</v>
      </c>
      <c r="W1979" s="20" t="s">
        <v>122</v>
      </c>
      <c r="X1979" s="17" t="s">
        <v>241</v>
      </c>
      <c r="Y1979" s="17" t="s">
        <v>992</v>
      </c>
      <c r="Z1979" s="17" t="s">
        <v>284</v>
      </c>
      <c r="AA1979" s="17" t="s">
        <v>919</v>
      </c>
      <c r="AB1979" s="17" t="s">
        <v>41</v>
      </c>
      <c r="AC1979" s="0" t="str">
        <f aca="false">LEFT(G1979,2)</f>
        <v>86</v>
      </c>
      <c r="AE1979" s="21"/>
    </row>
    <row r="1980" customFormat="false" ht="15" hidden="false" customHeight="false" outlineLevel="0" collapsed="false">
      <c r="A1980" s="13" t="n">
        <f aca="false">1+A1979</f>
        <v>1978</v>
      </c>
      <c r="B1980" s="14" t="n">
        <v>1009533689</v>
      </c>
      <c r="C1980" s="17" t="s">
        <v>174</v>
      </c>
      <c r="D1980" s="16" t="s">
        <v>60</v>
      </c>
      <c r="E1980" s="17" t="s">
        <v>109</v>
      </c>
      <c r="F1980" s="18" t="s">
        <v>34</v>
      </c>
      <c r="G1980" s="19" t="n">
        <v>865278330713</v>
      </c>
      <c r="H1980" s="17" t="s">
        <v>35</v>
      </c>
      <c r="I1980" s="17" t="s">
        <v>44</v>
      </c>
      <c r="J1980" s="17" t="s">
        <v>241</v>
      </c>
      <c r="K1980" s="17" t="s">
        <v>992</v>
      </c>
      <c r="L1980" s="17" t="n">
        <v>5</v>
      </c>
      <c r="M1980" s="17" t="s">
        <v>952</v>
      </c>
      <c r="N1980" s="17" t="n">
        <v>1</v>
      </c>
      <c r="O1980" s="17" t="s">
        <v>611</v>
      </c>
      <c r="P1980" s="17" t="n">
        <v>11</v>
      </c>
      <c r="Q1980" s="17" t="s">
        <v>953</v>
      </c>
      <c r="R1980" s="17" t="s">
        <v>35</v>
      </c>
      <c r="S1980" s="17" t="s">
        <v>613</v>
      </c>
      <c r="T1980" s="18" t="s">
        <v>248</v>
      </c>
      <c r="U1980" s="18" t="s">
        <v>122</v>
      </c>
      <c r="V1980" s="17" t="n">
        <v>2</v>
      </c>
      <c r="W1980" s="20" t="s">
        <v>122</v>
      </c>
      <c r="X1980" s="17" t="s">
        <v>241</v>
      </c>
      <c r="Y1980" s="17" t="s">
        <v>992</v>
      </c>
      <c r="Z1980" s="17" t="s">
        <v>284</v>
      </c>
      <c r="AA1980" s="17" t="s">
        <v>919</v>
      </c>
      <c r="AB1980" s="17" t="s">
        <v>41</v>
      </c>
      <c r="AC1980" s="0" t="str">
        <f aca="false">LEFT(G1980,2)</f>
        <v>86</v>
      </c>
      <c r="AE1980" s="21"/>
    </row>
    <row r="1981" customFormat="false" ht="15" hidden="false" customHeight="false" outlineLevel="0" collapsed="false">
      <c r="A1981" s="13" t="n">
        <f aca="false">1+A1980</f>
        <v>1979</v>
      </c>
      <c r="B1981" s="14" t="n">
        <v>1009530217</v>
      </c>
      <c r="C1981" s="17" t="s">
        <v>174</v>
      </c>
      <c r="D1981" s="16" t="s">
        <v>1012</v>
      </c>
      <c r="E1981" s="17" t="s">
        <v>503</v>
      </c>
      <c r="F1981" s="18" t="s">
        <v>34</v>
      </c>
      <c r="G1981" s="19" t="n">
        <v>868080126212</v>
      </c>
      <c r="H1981" s="17" t="s">
        <v>35</v>
      </c>
      <c r="I1981" s="17" t="s">
        <v>44</v>
      </c>
      <c r="J1981" s="17" t="s">
        <v>241</v>
      </c>
      <c r="K1981" s="17" t="s">
        <v>992</v>
      </c>
      <c r="L1981" s="17" t="n">
        <v>5</v>
      </c>
      <c r="M1981" s="17" t="s">
        <v>952</v>
      </c>
      <c r="N1981" s="17" t="n">
        <v>1</v>
      </c>
      <c r="O1981" s="17" t="s">
        <v>611</v>
      </c>
      <c r="P1981" s="17" t="n">
        <v>11</v>
      </c>
      <c r="Q1981" s="17" t="s">
        <v>953</v>
      </c>
      <c r="R1981" s="17" t="s">
        <v>35</v>
      </c>
      <c r="S1981" s="17" t="s">
        <v>613</v>
      </c>
      <c r="T1981" s="18" t="s">
        <v>248</v>
      </c>
      <c r="U1981" s="18" t="s">
        <v>122</v>
      </c>
      <c r="V1981" s="17" t="n">
        <v>2</v>
      </c>
      <c r="W1981" s="20" t="s">
        <v>122</v>
      </c>
      <c r="X1981" s="17" t="s">
        <v>241</v>
      </c>
      <c r="Y1981" s="17" t="s">
        <v>992</v>
      </c>
      <c r="Z1981" s="17" t="s">
        <v>266</v>
      </c>
      <c r="AA1981" s="17" t="s">
        <v>919</v>
      </c>
      <c r="AB1981" s="17" t="s">
        <v>41</v>
      </c>
      <c r="AC1981" s="0" t="str">
        <f aca="false">LEFT(G1981,2)</f>
        <v>86</v>
      </c>
      <c r="AE1981" s="21"/>
    </row>
    <row r="1982" customFormat="false" ht="15" hidden="false" customHeight="false" outlineLevel="0" collapsed="false">
      <c r="A1982" s="13" t="n">
        <f aca="false">1+A1981</f>
        <v>1980</v>
      </c>
      <c r="B1982" s="14" t="n">
        <v>1009529601</v>
      </c>
      <c r="C1982" s="17" t="s">
        <v>174</v>
      </c>
      <c r="D1982" s="16" t="s">
        <v>175</v>
      </c>
      <c r="E1982" s="17" t="s">
        <v>176</v>
      </c>
      <c r="F1982" s="18" t="s">
        <v>34</v>
      </c>
      <c r="G1982" s="19" t="n">
        <v>867145133403</v>
      </c>
      <c r="H1982" s="17" t="s">
        <v>35</v>
      </c>
      <c r="I1982" s="17" t="s">
        <v>44</v>
      </c>
      <c r="J1982" s="17" t="s">
        <v>241</v>
      </c>
      <c r="K1982" s="17" t="s">
        <v>992</v>
      </c>
      <c r="L1982" s="17" t="n">
        <v>5</v>
      </c>
      <c r="M1982" s="17" t="s">
        <v>952</v>
      </c>
      <c r="N1982" s="17" t="n">
        <v>1</v>
      </c>
      <c r="O1982" s="17" t="s">
        <v>611</v>
      </c>
      <c r="P1982" s="17" t="n">
        <v>11</v>
      </c>
      <c r="Q1982" s="17" t="s">
        <v>953</v>
      </c>
      <c r="R1982" s="17" t="s">
        <v>35</v>
      </c>
      <c r="S1982" s="17" t="s">
        <v>613</v>
      </c>
      <c r="T1982" s="18" t="s">
        <v>248</v>
      </c>
      <c r="U1982" s="18" t="s">
        <v>122</v>
      </c>
      <c r="V1982" s="17" t="n">
        <v>2</v>
      </c>
      <c r="W1982" s="20" t="s">
        <v>122</v>
      </c>
      <c r="X1982" s="17" t="s">
        <v>241</v>
      </c>
      <c r="Y1982" s="17" t="s">
        <v>992</v>
      </c>
      <c r="Z1982" s="17" t="s">
        <v>284</v>
      </c>
      <c r="AA1982" s="17" t="s">
        <v>919</v>
      </c>
      <c r="AB1982" s="17" t="s">
        <v>41</v>
      </c>
      <c r="AC1982" s="0" t="str">
        <f aca="false">LEFT(G1982,2)</f>
        <v>86</v>
      </c>
      <c r="AE1982" s="21"/>
    </row>
    <row r="1983" customFormat="false" ht="15" hidden="false" customHeight="false" outlineLevel="0" collapsed="false">
      <c r="A1983" s="13" t="n">
        <f aca="false">1+A1982</f>
        <v>1981</v>
      </c>
      <c r="B1983" s="14" t="n">
        <v>1009541962</v>
      </c>
      <c r="C1983" s="17" t="s">
        <v>126</v>
      </c>
      <c r="D1983" s="16" t="s">
        <v>64</v>
      </c>
      <c r="E1983" s="17" t="s">
        <v>33</v>
      </c>
      <c r="F1983" s="18" t="s">
        <v>34</v>
      </c>
      <c r="G1983" s="19" t="n">
        <v>865245157371</v>
      </c>
      <c r="H1983" s="17" t="s">
        <v>35</v>
      </c>
      <c r="I1983" s="17" t="s">
        <v>44</v>
      </c>
      <c r="J1983" s="17" t="s">
        <v>241</v>
      </c>
      <c r="K1983" s="17" t="s">
        <v>992</v>
      </c>
      <c r="L1983" s="17" t="n">
        <v>5</v>
      </c>
      <c r="M1983" s="17" t="s">
        <v>952</v>
      </c>
      <c r="N1983" s="17" t="n">
        <v>1</v>
      </c>
      <c r="O1983" s="17" t="s">
        <v>611</v>
      </c>
      <c r="P1983" s="17" t="n">
        <v>11</v>
      </c>
      <c r="Q1983" s="17" t="s">
        <v>953</v>
      </c>
      <c r="R1983" s="17" t="s">
        <v>35</v>
      </c>
      <c r="S1983" s="17" t="s">
        <v>613</v>
      </c>
      <c r="T1983" s="18" t="s">
        <v>248</v>
      </c>
      <c r="U1983" s="18" t="s">
        <v>122</v>
      </c>
      <c r="V1983" s="17" t="n">
        <v>2</v>
      </c>
      <c r="W1983" s="20" t="s">
        <v>122</v>
      </c>
      <c r="X1983" s="17" t="s">
        <v>241</v>
      </c>
      <c r="Y1983" s="17" t="s">
        <v>992</v>
      </c>
      <c r="Z1983" s="17" t="s">
        <v>276</v>
      </c>
      <c r="AA1983" s="17" t="s">
        <v>919</v>
      </c>
      <c r="AB1983" s="17" t="s">
        <v>41</v>
      </c>
      <c r="AC1983" s="0" t="str">
        <f aca="false">LEFT(G1983,2)</f>
        <v>86</v>
      </c>
      <c r="AE1983" s="21"/>
    </row>
    <row r="1984" customFormat="false" ht="15" hidden="false" customHeight="false" outlineLevel="0" collapsed="false">
      <c r="A1984" s="13" t="n">
        <f aca="false">1+A1983</f>
        <v>1982</v>
      </c>
      <c r="B1984" s="14" t="n">
        <v>1009535772</v>
      </c>
      <c r="C1984" s="17" t="s">
        <v>311</v>
      </c>
      <c r="D1984" s="16" t="s">
        <v>64</v>
      </c>
      <c r="E1984" s="17" t="s">
        <v>64</v>
      </c>
      <c r="F1984" s="18" t="s">
        <v>34</v>
      </c>
      <c r="G1984" s="19" t="n">
        <v>865176247399</v>
      </c>
      <c r="H1984" s="17" t="s">
        <v>35</v>
      </c>
      <c r="I1984" s="17" t="s">
        <v>44</v>
      </c>
      <c r="J1984" s="17" t="s">
        <v>241</v>
      </c>
      <c r="K1984" s="17" t="s">
        <v>992</v>
      </c>
      <c r="L1984" s="17" t="n">
        <v>5</v>
      </c>
      <c r="M1984" s="17" t="s">
        <v>952</v>
      </c>
      <c r="N1984" s="17" t="n">
        <v>1</v>
      </c>
      <c r="O1984" s="17" t="s">
        <v>611</v>
      </c>
      <c r="P1984" s="17" t="n">
        <v>11</v>
      </c>
      <c r="Q1984" s="17" t="s">
        <v>953</v>
      </c>
      <c r="R1984" s="17" t="s">
        <v>35</v>
      </c>
      <c r="S1984" s="17" t="s">
        <v>613</v>
      </c>
      <c r="T1984" s="18" t="s">
        <v>248</v>
      </c>
      <c r="U1984" s="18" t="s">
        <v>122</v>
      </c>
      <c r="V1984" s="17" t="n">
        <v>2</v>
      </c>
      <c r="W1984" s="20" t="s">
        <v>122</v>
      </c>
      <c r="X1984" s="17" t="s">
        <v>241</v>
      </c>
      <c r="Y1984" s="17" t="s">
        <v>992</v>
      </c>
      <c r="Z1984" s="17" t="s">
        <v>284</v>
      </c>
      <c r="AA1984" s="17" t="s">
        <v>919</v>
      </c>
      <c r="AB1984" s="17" t="s">
        <v>41</v>
      </c>
      <c r="AC1984" s="0" t="str">
        <f aca="false">LEFT(G1984,2)</f>
        <v>86</v>
      </c>
      <c r="AE1984" s="21"/>
    </row>
    <row r="1985" customFormat="false" ht="15" hidden="false" customHeight="false" outlineLevel="0" collapsed="false">
      <c r="A1985" s="13" t="n">
        <f aca="false">1+A1984</f>
        <v>1983</v>
      </c>
      <c r="B1985" s="14" t="n">
        <v>1009600113</v>
      </c>
      <c r="C1985" s="17" t="s">
        <v>159</v>
      </c>
      <c r="D1985" s="16" t="s">
        <v>64</v>
      </c>
      <c r="E1985" s="17" t="s">
        <v>64</v>
      </c>
      <c r="F1985" s="18" t="s">
        <v>34</v>
      </c>
      <c r="G1985" s="19" t="n">
        <v>865277344095</v>
      </c>
      <c r="H1985" s="17" t="s">
        <v>35</v>
      </c>
      <c r="I1985" s="17" t="s">
        <v>44</v>
      </c>
      <c r="J1985" s="17" t="s">
        <v>267</v>
      </c>
      <c r="K1985" s="17" t="s">
        <v>960</v>
      </c>
      <c r="L1985" s="17" t="n">
        <v>1</v>
      </c>
      <c r="M1985" s="17" t="s">
        <v>610</v>
      </c>
      <c r="N1985" s="17" t="n">
        <v>1</v>
      </c>
      <c r="O1985" s="17" t="s">
        <v>611</v>
      </c>
      <c r="P1985" s="17" t="n">
        <v>11</v>
      </c>
      <c r="Q1985" s="17" t="s">
        <v>953</v>
      </c>
      <c r="R1985" s="17" t="s">
        <v>35</v>
      </c>
      <c r="S1985" s="17" t="s">
        <v>613</v>
      </c>
      <c r="T1985" s="18" t="s">
        <v>248</v>
      </c>
      <c r="U1985" s="18" t="s">
        <v>122</v>
      </c>
      <c r="V1985" s="17" t="n">
        <v>2</v>
      </c>
      <c r="W1985" s="20" t="s">
        <v>122</v>
      </c>
      <c r="X1985" s="17" t="s">
        <v>267</v>
      </c>
      <c r="Y1985" s="17" t="s">
        <v>960</v>
      </c>
      <c r="Z1985" s="17" t="s">
        <v>990</v>
      </c>
      <c r="AA1985" s="17" t="s">
        <v>919</v>
      </c>
      <c r="AB1985" s="17" t="s">
        <v>41</v>
      </c>
      <c r="AC1985" s="0" t="str">
        <f aca="false">LEFT(G1985,2)</f>
        <v>86</v>
      </c>
      <c r="AD1985" s="0"/>
      <c r="AE1985" s="21"/>
    </row>
    <row r="1986" customFormat="false" ht="15" hidden="false" customHeight="false" outlineLevel="0" collapsed="false">
      <c r="A1986" s="13" t="n">
        <f aca="false">1+A1985</f>
        <v>1984</v>
      </c>
      <c r="B1986" s="14" t="n">
        <v>1009529833</v>
      </c>
      <c r="C1986" s="17" t="s">
        <v>174</v>
      </c>
      <c r="D1986" s="16" t="s">
        <v>64</v>
      </c>
      <c r="E1986" s="17" t="s">
        <v>64</v>
      </c>
      <c r="F1986" s="18" t="s">
        <v>34</v>
      </c>
      <c r="G1986" s="19" t="n">
        <v>865342339922</v>
      </c>
      <c r="H1986" s="17" t="s">
        <v>35</v>
      </c>
      <c r="I1986" s="17" t="s">
        <v>44</v>
      </c>
      <c r="J1986" s="17" t="s">
        <v>241</v>
      </c>
      <c r="K1986" s="17" t="s">
        <v>992</v>
      </c>
      <c r="L1986" s="17" t="n">
        <v>5</v>
      </c>
      <c r="M1986" s="17" t="s">
        <v>952</v>
      </c>
      <c r="N1986" s="17" t="n">
        <v>1</v>
      </c>
      <c r="O1986" s="17" t="s">
        <v>611</v>
      </c>
      <c r="P1986" s="17" t="n">
        <v>11</v>
      </c>
      <c r="Q1986" s="17" t="s">
        <v>953</v>
      </c>
      <c r="R1986" s="17" t="s">
        <v>35</v>
      </c>
      <c r="S1986" s="17" t="s">
        <v>613</v>
      </c>
      <c r="T1986" s="18" t="s">
        <v>248</v>
      </c>
      <c r="U1986" s="18" t="s">
        <v>122</v>
      </c>
      <c r="V1986" s="17" t="n">
        <v>2</v>
      </c>
      <c r="W1986" s="20" t="s">
        <v>122</v>
      </c>
      <c r="X1986" s="17" t="s">
        <v>241</v>
      </c>
      <c r="Y1986" s="17" t="s">
        <v>992</v>
      </c>
      <c r="Z1986" s="17" t="s">
        <v>341</v>
      </c>
      <c r="AA1986" s="17" t="s">
        <v>919</v>
      </c>
      <c r="AB1986" s="17" t="s">
        <v>41</v>
      </c>
      <c r="AC1986" s="0" t="str">
        <f aca="false">LEFT(G1986,2)</f>
        <v>86</v>
      </c>
      <c r="AD1986" s="0"/>
      <c r="AE1986" s="21"/>
    </row>
    <row r="1987" customFormat="false" ht="15" hidden="false" customHeight="false" outlineLevel="0" collapsed="false">
      <c r="A1987" s="13" t="n">
        <f aca="false">1+A1986</f>
        <v>1985</v>
      </c>
      <c r="B1987" s="14" t="n">
        <v>1009530293</v>
      </c>
      <c r="C1987" s="17" t="s">
        <v>174</v>
      </c>
      <c r="D1987" s="16" t="s">
        <v>64</v>
      </c>
      <c r="E1987" s="17" t="s">
        <v>33</v>
      </c>
      <c r="F1987" s="18" t="s">
        <v>34</v>
      </c>
      <c r="G1987" s="19" t="n">
        <v>864292172250</v>
      </c>
      <c r="H1987" s="17" t="s">
        <v>35</v>
      </c>
      <c r="I1987" s="17" t="s">
        <v>44</v>
      </c>
      <c r="J1987" s="17" t="s">
        <v>241</v>
      </c>
      <c r="K1987" s="17" t="s">
        <v>992</v>
      </c>
      <c r="L1987" s="17" t="n">
        <v>5</v>
      </c>
      <c r="M1987" s="17" t="s">
        <v>952</v>
      </c>
      <c r="N1987" s="17" t="n">
        <v>1</v>
      </c>
      <c r="O1987" s="17" t="s">
        <v>611</v>
      </c>
      <c r="P1987" s="17" t="n">
        <v>11</v>
      </c>
      <c r="Q1987" s="17" t="s">
        <v>953</v>
      </c>
      <c r="R1987" s="17" t="s">
        <v>35</v>
      </c>
      <c r="S1987" s="17" t="s">
        <v>613</v>
      </c>
      <c r="T1987" s="18" t="s">
        <v>248</v>
      </c>
      <c r="U1987" s="18" t="s">
        <v>122</v>
      </c>
      <c r="V1987" s="17" t="n">
        <v>2</v>
      </c>
      <c r="W1987" s="20" t="s">
        <v>122</v>
      </c>
      <c r="X1987" s="17" t="s">
        <v>241</v>
      </c>
      <c r="Y1987" s="17" t="s">
        <v>992</v>
      </c>
      <c r="Z1987" s="17" t="s">
        <v>972</v>
      </c>
      <c r="AA1987" s="17" t="s">
        <v>919</v>
      </c>
      <c r="AB1987" s="17" t="s">
        <v>41</v>
      </c>
      <c r="AC1987" s="0" t="str">
        <f aca="false">LEFT(G1987,2)</f>
        <v>86</v>
      </c>
      <c r="AD1987" s="0"/>
      <c r="AE1987" s="21"/>
    </row>
    <row r="1988" customFormat="false" ht="15" hidden="false" customHeight="false" outlineLevel="0" collapsed="false">
      <c r="A1988" s="13" t="n">
        <f aca="false">1+A1987</f>
        <v>1986</v>
      </c>
      <c r="B1988" s="14" t="n">
        <v>1009529698</v>
      </c>
      <c r="C1988" s="17" t="s">
        <v>174</v>
      </c>
      <c r="D1988" s="16" t="s">
        <v>64</v>
      </c>
      <c r="E1988" s="17" t="s">
        <v>64</v>
      </c>
      <c r="F1988" s="18" t="s">
        <v>34</v>
      </c>
      <c r="G1988" s="19" t="n">
        <v>866286115575</v>
      </c>
      <c r="H1988" s="17" t="s">
        <v>35</v>
      </c>
      <c r="I1988" s="17" t="s">
        <v>44</v>
      </c>
      <c r="J1988" s="17" t="s">
        <v>241</v>
      </c>
      <c r="K1988" s="17" t="s">
        <v>992</v>
      </c>
      <c r="L1988" s="17" t="n">
        <v>5</v>
      </c>
      <c r="M1988" s="17" t="s">
        <v>952</v>
      </c>
      <c r="N1988" s="17" t="n">
        <v>1</v>
      </c>
      <c r="O1988" s="17" t="s">
        <v>611</v>
      </c>
      <c r="P1988" s="17" t="n">
        <v>11</v>
      </c>
      <c r="Q1988" s="17" t="s">
        <v>953</v>
      </c>
      <c r="R1988" s="17" t="s">
        <v>35</v>
      </c>
      <c r="S1988" s="17" t="s">
        <v>613</v>
      </c>
      <c r="T1988" s="18" t="s">
        <v>248</v>
      </c>
      <c r="U1988" s="18" t="s">
        <v>122</v>
      </c>
      <c r="V1988" s="17" t="n">
        <v>2</v>
      </c>
      <c r="W1988" s="20" t="s">
        <v>122</v>
      </c>
      <c r="X1988" s="17" t="s">
        <v>241</v>
      </c>
      <c r="Y1988" s="17" t="s">
        <v>992</v>
      </c>
      <c r="Z1988" s="17" t="s">
        <v>972</v>
      </c>
      <c r="AA1988" s="17" t="s">
        <v>919</v>
      </c>
      <c r="AB1988" s="17" t="s">
        <v>41</v>
      </c>
      <c r="AC1988" s="0" t="str">
        <f aca="false">LEFT(G1988,2)</f>
        <v>86</v>
      </c>
      <c r="AD1988" s="0"/>
      <c r="AE1988" s="21"/>
    </row>
    <row r="1989" customFormat="false" ht="15" hidden="false" customHeight="false" outlineLevel="0" collapsed="false">
      <c r="A1989" s="13" t="n">
        <f aca="false">1+A1988</f>
        <v>1987</v>
      </c>
      <c r="B1989" s="14" t="n">
        <v>1009507276</v>
      </c>
      <c r="C1989" s="17" t="s">
        <v>95</v>
      </c>
      <c r="D1989" s="16" t="s">
        <v>281</v>
      </c>
      <c r="E1989" s="17" t="s">
        <v>47</v>
      </c>
      <c r="F1989" s="18" t="s">
        <v>34</v>
      </c>
      <c r="G1989" s="19" t="n">
        <v>864344137350</v>
      </c>
      <c r="H1989" s="17" t="s">
        <v>35</v>
      </c>
      <c r="I1989" s="17" t="s">
        <v>44</v>
      </c>
      <c r="J1989" s="17" t="s">
        <v>241</v>
      </c>
      <c r="K1989" s="17" t="s">
        <v>992</v>
      </c>
      <c r="L1989" s="17" t="n">
        <v>5</v>
      </c>
      <c r="M1989" s="17" t="s">
        <v>952</v>
      </c>
      <c r="N1989" s="17" t="n">
        <v>1</v>
      </c>
      <c r="O1989" s="17" t="s">
        <v>611</v>
      </c>
      <c r="P1989" s="17" t="n">
        <v>11</v>
      </c>
      <c r="Q1989" s="17" t="s">
        <v>953</v>
      </c>
      <c r="R1989" s="17" t="s">
        <v>35</v>
      </c>
      <c r="S1989" s="17" t="s">
        <v>613</v>
      </c>
      <c r="T1989" s="18" t="s">
        <v>248</v>
      </c>
      <c r="U1989" s="18" t="s">
        <v>38</v>
      </c>
      <c r="V1989" s="17" t="n">
        <v>4</v>
      </c>
      <c r="W1989" s="20" t="s">
        <v>38</v>
      </c>
      <c r="X1989" s="17" t="s">
        <v>241</v>
      </c>
      <c r="Y1989" s="17" t="s">
        <v>992</v>
      </c>
      <c r="Z1989" s="17" t="s">
        <v>1013</v>
      </c>
      <c r="AA1989" s="17" t="s">
        <v>919</v>
      </c>
      <c r="AB1989" s="17" t="s">
        <v>41</v>
      </c>
      <c r="AC1989" s="0" t="str">
        <f aca="false">LEFT(G1989,2)</f>
        <v>86</v>
      </c>
      <c r="AD1989" s="0"/>
      <c r="AE1989" s="21"/>
    </row>
    <row r="1990" customFormat="false" ht="15" hidden="false" customHeight="false" outlineLevel="0" collapsed="false">
      <c r="A1990" s="13" t="n">
        <f aca="false">1+A1989</f>
        <v>1988</v>
      </c>
      <c r="B1990" s="14" t="n">
        <v>1009647765</v>
      </c>
      <c r="C1990" s="17" t="s">
        <v>204</v>
      </c>
      <c r="D1990" s="16" t="s">
        <v>64</v>
      </c>
      <c r="E1990" s="17" t="s">
        <v>64</v>
      </c>
      <c r="F1990" s="18" t="s">
        <v>34</v>
      </c>
      <c r="G1990" s="19" t="n">
        <v>868152124335</v>
      </c>
      <c r="H1990" s="17" t="s">
        <v>35</v>
      </c>
      <c r="I1990" s="17" t="s">
        <v>44</v>
      </c>
      <c r="J1990" s="17" t="s">
        <v>100</v>
      </c>
      <c r="K1990" s="17" t="s">
        <v>978</v>
      </c>
      <c r="L1990" s="17" t="n">
        <v>1</v>
      </c>
      <c r="M1990" s="17" t="s">
        <v>610</v>
      </c>
      <c r="N1990" s="17" t="n">
        <v>2</v>
      </c>
      <c r="O1990" s="17" t="s">
        <v>999</v>
      </c>
      <c r="P1990" s="17" t="n">
        <v>11</v>
      </c>
      <c r="Q1990" s="17" t="s">
        <v>953</v>
      </c>
      <c r="R1990" s="17" t="s">
        <v>35</v>
      </c>
      <c r="S1990" s="17" t="s">
        <v>613</v>
      </c>
      <c r="T1990" s="18" t="s">
        <v>248</v>
      </c>
      <c r="U1990" s="18" t="s">
        <v>122</v>
      </c>
      <c r="V1990" s="17" t="n">
        <v>2</v>
      </c>
      <c r="W1990" s="20" t="s">
        <v>122</v>
      </c>
      <c r="X1990" s="17" t="s">
        <v>100</v>
      </c>
      <c r="Y1990" s="17" t="s">
        <v>978</v>
      </c>
      <c r="Z1990" s="17" t="s">
        <v>222</v>
      </c>
      <c r="AA1990" s="17" t="s">
        <v>919</v>
      </c>
      <c r="AB1990" s="17" t="s">
        <v>41</v>
      </c>
      <c r="AC1990" s="0" t="str">
        <f aca="false">LEFT(G1990,2)</f>
        <v>86</v>
      </c>
      <c r="AD1990" s="0"/>
      <c r="AE1990" s="21"/>
    </row>
    <row r="1991" customFormat="false" ht="15" hidden="false" customHeight="false" outlineLevel="0" collapsed="false">
      <c r="A1991" s="13" t="n">
        <f aca="false">1+A1990</f>
        <v>1989</v>
      </c>
      <c r="B1991" s="14" t="n">
        <v>1009531219</v>
      </c>
      <c r="C1991" s="17" t="s">
        <v>1014</v>
      </c>
      <c r="D1991" s="16" t="s">
        <v>103</v>
      </c>
      <c r="E1991" s="17" t="s">
        <v>47</v>
      </c>
      <c r="F1991" s="18" t="s">
        <v>34</v>
      </c>
      <c r="G1991" s="19" t="n">
        <v>868156163727</v>
      </c>
      <c r="H1991" s="17" t="s">
        <v>35</v>
      </c>
      <c r="I1991" s="17" t="s">
        <v>44</v>
      </c>
      <c r="J1991" s="17" t="s">
        <v>241</v>
      </c>
      <c r="K1991" s="17" t="s">
        <v>992</v>
      </c>
      <c r="L1991" s="17" t="n">
        <v>5</v>
      </c>
      <c r="M1991" s="17" t="s">
        <v>952</v>
      </c>
      <c r="N1991" s="17" t="n">
        <v>1</v>
      </c>
      <c r="O1991" s="17" t="s">
        <v>611</v>
      </c>
      <c r="P1991" s="17" t="n">
        <v>11</v>
      </c>
      <c r="Q1991" s="17" t="s">
        <v>953</v>
      </c>
      <c r="R1991" s="17" t="s">
        <v>35</v>
      </c>
      <c r="S1991" s="17" t="s">
        <v>613</v>
      </c>
      <c r="T1991" s="18" t="s">
        <v>248</v>
      </c>
      <c r="U1991" s="18" t="s">
        <v>122</v>
      </c>
      <c r="V1991" s="17" t="n">
        <v>2</v>
      </c>
      <c r="W1991" s="20" t="s">
        <v>122</v>
      </c>
      <c r="X1991" s="17" t="s">
        <v>241</v>
      </c>
      <c r="Y1991" s="17" t="s">
        <v>992</v>
      </c>
      <c r="Z1991" s="17" t="s">
        <v>823</v>
      </c>
      <c r="AA1991" s="17" t="s">
        <v>919</v>
      </c>
      <c r="AB1991" s="17" t="s">
        <v>41</v>
      </c>
      <c r="AC1991" s="0" t="str">
        <f aca="false">LEFT(G1991,2)</f>
        <v>86</v>
      </c>
      <c r="AD1991" s="0"/>
      <c r="AE1991" s="21"/>
    </row>
    <row r="1992" customFormat="false" ht="15" hidden="false" customHeight="false" outlineLevel="0" collapsed="false">
      <c r="A1992" s="13" t="n">
        <f aca="false">1+A1991</f>
        <v>1990</v>
      </c>
      <c r="B1992" s="14" t="n">
        <v>1009543474</v>
      </c>
      <c r="C1992" s="17" t="s">
        <v>126</v>
      </c>
      <c r="D1992" s="16" t="s">
        <v>64</v>
      </c>
      <c r="E1992" s="17" t="s">
        <v>64</v>
      </c>
      <c r="F1992" s="18" t="s">
        <v>34</v>
      </c>
      <c r="G1992" s="19" t="n">
        <v>867014294708</v>
      </c>
      <c r="H1992" s="17" t="s">
        <v>35</v>
      </c>
      <c r="I1992" s="17" t="s">
        <v>44</v>
      </c>
      <c r="J1992" s="17" t="s">
        <v>241</v>
      </c>
      <c r="K1992" s="17" t="s">
        <v>992</v>
      </c>
      <c r="L1992" s="17" t="n">
        <v>5</v>
      </c>
      <c r="M1992" s="17" t="s">
        <v>952</v>
      </c>
      <c r="N1992" s="17" t="n">
        <v>1</v>
      </c>
      <c r="O1992" s="17" t="s">
        <v>611</v>
      </c>
      <c r="P1992" s="17" t="n">
        <v>11</v>
      </c>
      <c r="Q1992" s="17" t="s">
        <v>953</v>
      </c>
      <c r="R1992" s="17" t="s">
        <v>35</v>
      </c>
      <c r="S1992" s="17" t="s">
        <v>613</v>
      </c>
      <c r="T1992" s="18" t="s">
        <v>248</v>
      </c>
      <c r="U1992" s="18" t="s">
        <v>122</v>
      </c>
      <c r="V1992" s="17" t="n">
        <v>2</v>
      </c>
      <c r="W1992" s="20" t="s">
        <v>122</v>
      </c>
      <c r="X1992" s="17" t="s">
        <v>241</v>
      </c>
      <c r="Y1992" s="17" t="s">
        <v>992</v>
      </c>
      <c r="Z1992" s="17" t="s">
        <v>1015</v>
      </c>
      <c r="AA1992" s="17" t="s">
        <v>919</v>
      </c>
      <c r="AB1992" s="17" t="s">
        <v>41</v>
      </c>
      <c r="AC1992" s="0" t="str">
        <f aca="false">LEFT(G1992,2)</f>
        <v>86</v>
      </c>
      <c r="AD1992" s="0"/>
      <c r="AE1992" s="21"/>
    </row>
    <row r="1993" customFormat="false" ht="15" hidden="false" customHeight="false" outlineLevel="0" collapsed="false">
      <c r="A1993" s="13" t="n">
        <f aca="false">1+A1992</f>
        <v>1991</v>
      </c>
      <c r="B1993" s="14" t="n">
        <v>1009531421</v>
      </c>
      <c r="C1993" s="17" t="s">
        <v>174</v>
      </c>
      <c r="D1993" s="16" t="s">
        <v>64</v>
      </c>
      <c r="E1993" s="17" t="s">
        <v>64</v>
      </c>
      <c r="F1993" s="18" t="s">
        <v>34</v>
      </c>
      <c r="G1993" s="19" t="n">
        <v>865236115693</v>
      </c>
      <c r="H1993" s="17" t="s">
        <v>35</v>
      </c>
      <c r="I1993" s="17" t="s">
        <v>44</v>
      </c>
      <c r="J1993" s="17" t="s">
        <v>241</v>
      </c>
      <c r="K1993" s="17" t="s">
        <v>992</v>
      </c>
      <c r="L1993" s="17" t="n">
        <v>5</v>
      </c>
      <c r="M1993" s="17" t="s">
        <v>952</v>
      </c>
      <c r="N1993" s="17" t="n">
        <v>1</v>
      </c>
      <c r="O1993" s="17" t="s">
        <v>611</v>
      </c>
      <c r="P1993" s="17" t="n">
        <v>11</v>
      </c>
      <c r="Q1993" s="17" t="s">
        <v>953</v>
      </c>
      <c r="R1993" s="17" t="s">
        <v>35</v>
      </c>
      <c r="S1993" s="17" t="s">
        <v>613</v>
      </c>
      <c r="T1993" s="18" t="s">
        <v>248</v>
      </c>
      <c r="U1993" s="18" t="s">
        <v>122</v>
      </c>
      <c r="V1993" s="17" t="n">
        <v>2</v>
      </c>
      <c r="W1993" s="20" t="s">
        <v>122</v>
      </c>
      <c r="X1993" s="17" t="s">
        <v>241</v>
      </c>
      <c r="Y1993" s="17" t="s">
        <v>992</v>
      </c>
      <c r="Z1993" s="17" t="s">
        <v>759</v>
      </c>
      <c r="AA1993" s="17" t="s">
        <v>919</v>
      </c>
      <c r="AB1993" s="17" t="s">
        <v>41</v>
      </c>
      <c r="AC1993" s="0" t="str">
        <f aca="false">LEFT(G1993,2)</f>
        <v>86</v>
      </c>
      <c r="AD1993" s="0"/>
      <c r="AE1993" s="21"/>
    </row>
    <row r="1994" customFormat="false" ht="15" hidden="false" customHeight="false" outlineLevel="0" collapsed="false">
      <c r="A1994" s="13" t="n">
        <f aca="false">1+A1993</f>
        <v>1992</v>
      </c>
      <c r="B1994" s="14" t="n">
        <v>1009547496</v>
      </c>
      <c r="C1994" s="17" t="s">
        <v>126</v>
      </c>
      <c r="D1994" s="16" t="s">
        <v>64</v>
      </c>
      <c r="E1994" s="17" t="s">
        <v>33</v>
      </c>
      <c r="F1994" s="18" t="s">
        <v>34</v>
      </c>
      <c r="G1994" s="19" t="n">
        <v>865232141073</v>
      </c>
      <c r="H1994" s="17" t="s">
        <v>35</v>
      </c>
      <c r="I1994" s="17" t="s">
        <v>44</v>
      </c>
      <c r="J1994" s="17" t="s">
        <v>241</v>
      </c>
      <c r="K1994" s="17" t="s">
        <v>992</v>
      </c>
      <c r="L1994" s="17" t="n">
        <v>5</v>
      </c>
      <c r="M1994" s="17" t="s">
        <v>952</v>
      </c>
      <c r="N1994" s="17" t="n">
        <v>1</v>
      </c>
      <c r="O1994" s="17" t="s">
        <v>611</v>
      </c>
      <c r="P1994" s="17" t="n">
        <v>11</v>
      </c>
      <c r="Q1994" s="17" t="s">
        <v>953</v>
      </c>
      <c r="R1994" s="17" t="s">
        <v>35</v>
      </c>
      <c r="S1994" s="17" t="s">
        <v>613</v>
      </c>
      <c r="T1994" s="18" t="s">
        <v>248</v>
      </c>
      <c r="U1994" s="18" t="s">
        <v>122</v>
      </c>
      <c r="V1994" s="17" t="n">
        <v>2</v>
      </c>
      <c r="W1994" s="20" t="s">
        <v>122</v>
      </c>
      <c r="X1994" s="17" t="s">
        <v>241</v>
      </c>
      <c r="Y1994" s="17" t="s">
        <v>992</v>
      </c>
      <c r="Z1994" s="17" t="s">
        <v>725</v>
      </c>
      <c r="AA1994" s="17" t="s">
        <v>919</v>
      </c>
      <c r="AB1994" s="17" t="s">
        <v>41</v>
      </c>
      <c r="AC1994" s="0" t="str">
        <f aca="false">LEFT(G1994,2)</f>
        <v>86</v>
      </c>
      <c r="AD1994" s="0"/>
      <c r="AE1994" s="21"/>
    </row>
    <row r="1995" customFormat="false" ht="15" hidden="false" customHeight="false" outlineLevel="0" collapsed="false">
      <c r="A1995" s="13" t="n">
        <f aca="false">1+A1994</f>
        <v>1993</v>
      </c>
      <c r="B1995" s="14" t="n">
        <v>1009577216</v>
      </c>
      <c r="C1995" s="17" t="s">
        <v>139</v>
      </c>
      <c r="D1995" s="16" t="s">
        <v>147</v>
      </c>
      <c r="E1995" s="17" t="s">
        <v>1016</v>
      </c>
      <c r="F1995" s="18" t="s">
        <v>34</v>
      </c>
      <c r="G1995" s="19" t="n">
        <v>865318282478</v>
      </c>
      <c r="H1995" s="17" t="s">
        <v>35</v>
      </c>
      <c r="I1995" s="17" t="s">
        <v>44</v>
      </c>
      <c r="J1995" s="17" t="s">
        <v>100</v>
      </c>
      <c r="K1995" s="17" t="s">
        <v>978</v>
      </c>
      <c r="L1995" s="17" t="n">
        <v>1</v>
      </c>
      <c r="M1995" s="17" t="s">
        <v>610</v>
      </c>
      <c r="N1995" s="17" t="n">
        <v>1</v>
      </c>
      <c r="O1995" s="17" t="s">
        <v>611</v>
      </c>
      <c r="P1995" s="17" t="n">
        <v>11</v>
      </c>
      <c r="Q1995" s="17" t="s">
        <v>953</v>
      </c>
      <c r="R1995" s="17" t="s">
        <v>35</v>
      </c>
      <c r="S1995" s="17" t="s">
        <v>613</v>
      </c>
      <c r="T1995" s="18" t="s">
        <v>248</v>
      </c>
      <c r="U1995" s="18" t="s">
        <v>122</v>
      </c>
      <c r="V1995" s="17" t="n">
        <v>2</v>
      </c>
      <c r="W1995" s="20" t="s">
        <v>122</v>
      </c>
      <c r="X1995" s="17" t="s">
        <v>100</v>
      </c>
      <c r="Y1995" s="17" t="s">
        <v>978</v>
      </c>
      <c r="Z1995" s="17" t="s">
        <v>1017</v>
      </c>
      <c r="AA1995" s="17" t="s">
        <v>919</v>
      </c>
      <c r="AB1995" s="17" t="s">
        <v>41</v>
      </c>
      <c r="AC1995" s="0" t="str">
        <f aca="false">LEFT(G1995,2)</f>
        <v>86</v>
      </c>
      <c r="AD1995" s="0"/>
      <c r="AE1995" s="21"/>
    </row>
    <row r="1996" customFormat="false" ht="15" hidden="false" customHeight="false" outlineLevel="0" collapsed="false">
      <c r="A1996" s="13" t="n">
        <f aca="false">1+A1995</f>
        <v>1994</v>
      </c>
      <c r="B1996" s="14" t="n">
        <v>1009586427</v>
      </c>
      <c r="C1996" s="17" t="s">
        <v>139</v>
      </c>
      <c r="D1996" s="16" t="s">
        <v>64</v>
      </c>
      <c r="E1996" s="17" t="s">
        <v>47</v>
      </c>
      <c r="F1996" s="18" t="s">
        <v>34</v>
      </c>
      <c r="G1996" s="19" t="n">
        <v>865296138726</v>
      </c>
      <c r="H1996" s="17" t="s">
        <v>35</v>
      </c>
      <c r="I1996" s="17" t="s">
        <v>44</v>
      </c>
      <c r="J1996" s="17" t="s">
        <v>100</v>
      </c>
      <c r="K1996" s="17" t="s">
        <v>978</v>
      </c>
      <c r="L1996" s="17" t="n">
        <v>1</v>
      </c>
      <c r="M1996" s="17" t="s">
        <v>610</v>
      </c>
      <c r="N1996" s="17" t="n">
        <v>1</v>
      </c>
      <c r="O1996" s="17" t="s">
        <v>611</v>
      </c>
      <c r="P1996" s="17" t="n">
        <v>11</v>
      </c>
      <c r="Q1996" s="17" t="s">
        <v>953</v>
      </c>
      <c r="R1996" s="17" t="s">
        <v>35</v>
      </c>
      <c r="S1996" s="17" t="s">
        <v>613</v>
      </c>
      <c r="T1996" s="18" t="s">
        <v>248</v>
      </c>
      <c r="U1996" s="18" t="s">
        <v>122</v>
      </c>
      <c r="V1996" s="17" t="n">
        <v>2</v>
      </c>
      <c r="W1996" s="20" t="s">
        <v>122</v>
      </c>
      <c r="X1996" s="17" t="s">
        <v>100</v>
      </c>
      <c r="Y1996" s="17" t="s">
        <v>978</v>
      </c>
      <c r="Z1996" s="17" t="s">
        <v>276</v>
      </c>
      <c r="AA1996" s="17" t="s">
        <v>919</v>
      </c>
      <c r="AB1996" s="17" t="s">
        <v>41</v>
      </c>
      <c r="AC1996" s="0" t="str">
        <f aca="false">LEFT(G1996,2)</f>
        <v>86</v>
      </c>
      <c r="AD1996" s="0"/>
      <c r="AE1996" s="21"/>
    </row>
    <row r="1997" customFormat="false" ht="15" hidden="false" customHeight="false" outlineLevel="0" collapsed="false">
      <c r="A1997" s="13" t="n">
        <f aca="false">1+A1996</f>
        <v>1995</v>
      </c>
      <c r="B1997" s="14" t="n">
        <v>1009534550</v>
      </c>
      <c r="C1997" s="17" t="s">
        <v>311</v>
      </c>
      <c r="D1997" s="16" t="s">
        <v>64</v>
      </c>
      <c r="E1997" s="17" t="s">
        <v>64</v>
      </c>
      <c r="F1997" s="18" t="s">
        <v>34</v>
      </c>
      <c r="G1997" s="19" t="n">
        <v>866085144412</v>
      </c>
      <c r="H1997" s="17" t="s">
        <v>35</v>
      </c>
      <c r="I1997" s="17" t="s">
        <v>44</v>
      </c>
      <c r="J1997" s="17" t="s">
        <v>100</v>
      </c>
      <c r="K1997" s="17" t="s">
        <v>978</v>
      </c>
      <c r="L1997" s="17" t="n">
        <v>1</v>
      </c>
      <c r="M1997" s="17" t="s">
        <v>610</v>
      </c>
      <c r="N1997" s="17" t="n">
        <v>1</v>
      </c>
      <c r="O1997" s="17" t="s">
        <v>611</v>
      </c>
      <c r="P1997" s="17" t="n">
        <v>11</v>
      </c>
      <c r="Q1997" s="17" t="s">
        <v>953</v>
      </c>
      <c r="R1997" s="17" t="s">
        <v>35</v>
      </c>
      <c r="S1997" s="17" t="s">
        <v>613</v>
      </c>
      <c r="T1997" s="18" t="s">
        <v>248</v>
      </c>
      <c r="U1997" s="18" t="s">
        <v>122</v>
      </c>
      <c r="V1997" s="17" t="n">
        <v>2</v>
      </c>
      <c r="W1997" s="20" t="s">
        <v>122</v>
      </c>
      <c r="X1997" s="17" t="s">
        <v>100</v>
      </c>
      <c r="Y1997" s="17" t="s">
        <v>978</v>
      </c>
      <c r="Z1997" s="17" t="s">
        <v>262</v>
      </c>
      <c r="AA1997" s="17" t="s">
        <v>919</v>
      </c>
      <c r="AB1997" s="17" t="s">
        <v>41</v>
      </c>
      <c r="AC1997" s="0" t="str">
        <f aca="false">LEFT(G1997,2)</f>
        <v>86</v>
      </c>
      <c r="AD1997" s="0"/>
      <c r="AE1997" s="21"/>
    </row>
    <row r="1998" customFormat="false" ht="15" hidden="false" customHeight="false" outlineLevel="0" collapsed="false">
      <c r="A1998" s="13" t="n">
        <f aca="false">1+A1997</f>
        <v>1996</v>
      </c>
      <c r="B1998" s="14" t="n">
        <v>1009544920</v>
      </c>
      <c r="C1998" s="17" t="s">
        <v>126</v>
      </c>
      <c r="D1998" s="16" t="s">
        <v>64</v>
      </c>
      <c r="E1998" s="17" t="s">
        <v>64</v>
      </c>
      <c r="F1998" s="18" t="s">
        <v>34</v>
      </c>
      <c r="G1998" s="19" t="n">
        <v>865324238977</v>
      </c>
      <c r="H1998" s="17" t="s">
        <v>35</v>
      </c>
      <c r="I1998" s="17" t="s">
        <v>44</v>
      </c>
      <c r="J1998" s="17" t="s">
        <v>121</v>
      </c>
      <c r="K1998" s="17" t="s">
        <v>955</v>
      </c>
      <c r="L1998" s="17" t="n">
        <v>5</v>
      </c>
      <c r="M1998" s="17" t="s">
        <v>952</v>
      </c>
      <c r="N1998" s="17" t="n">
        <v>1</v>
      </c>
      <c r="O1998" s="17" t="s">
        <v>611</v>
      </c>
      <c r="P1998" s="17" t="n">
        <v>11</v>
      </c>
      <c r="Q1998" s="17" t="s">
        <v>953</v>
      </c>
      <c r="R1998" s="17" t="s">
        <v>35</v>
      </c>
      <c r="S1998" s="17" t="s">
        <v>613</v>
      </c>
      <c r="T1998" s="18" t="s">
        <v>248</v>
      </c>
      <c r="U1998" s="18" t="s">
        <v>122</v>
      </c>
      <c r="V1998" s="17" t="n">
        <v>2</v>
      </c>
      <c r="W1998" s="20" t="s">
        <v>122</v>
      </c>
      <c r="X1998" s="17" t="s">
        <v>121</v>
      </c>
      <c r="Y1998" s="17" t="s">
        <v>955</v>
      </c>
      <c r="Z1998" s="17" t="s">
        <v>276</v>
      </c>
      <c r="AA1998" s="17" t="s">
        <v>919</v>
      </c>
      <c r="AB1998" s="17" t="s">
        <v>41</v>
      </c>
      <c r="AC1998" s="0" t="str">
        <f aca="false">LEFT(G1998,2)</f>
        <v>86</v>
      </c>
      <c r="AD1998" s="0"/>
      <c r="AE1998" s="21"/>
    </row>
    <row r="1999" customFormat="false" ht="15" hidden="false" customHeight="false" outlineLevel="0" collapsed="false">
      <c r="A1999" s="13" t="n">
        <f aca="false">1+A1998</f>
        <v>1997</v>
      </c>
      <c r="B1999" s="14" t="n">
        <v>1009536041</v>
      </c>
      <c r="C1999" s="17" t="s">
        <v>311</v>
      </c>
      <c r="D1999" s="16" t="s">
        <v>64</v>
      </c>
      <c r="E1999" s="17" t="s">
        <v>64</v>
      </c>
      <c r="F1999" s="18" t="s">
        <v>34</v>
      </c>
      <c r="G1999" s="19" t="n">
        <v>868156186306</v>
      </c>
      <c r="H1999" s="17" t="s">
        <v>35</v>
      </c>
      <c r="I1999" s="17" t="s">
        <v>44</v>
      </c>
      <c r="J1999" s="17" t="s">
        <v>100</v>
      </c>
      <c r="K1999" s="17" t="s">
        <v>978</v>
      </c>
      <c r="L1999" s="17" t="n">
        <v>5</v>
      </c>
      <c r="M1999" s="17" t="s">
        <v>952</v>
      </c>
      <c r="N1999" s="17" t="n">
        <v>1</v>
      </c>
      <c r="O1999" s="17" t="s">
        <v>611</v>
      </c>
      <c r="P1999" s="17" t="n">
        <v>11</v>
      </c>
      <c r="Q1999" s="17" t="s">
        <v>953</v>
      </c>
      <c r="R1999" s="17" t="s">
        <v>35</v>
      </c>
      <c r="S1999" s="17" t="s">
        <v>613</v>
      </c>
      <c r="T1999" s="18" t="s">
        <v>248</v>
      </c>
      <c r="U1999" s="18" t="s">
        <v>122</v>
      </c>
      <c r="V1999" s="17" t="n">
        <v>2</v>
      </c>
      <c r="W1999" s="20" t="s">
        <v>122</v>
      </c>
      <c r="X1999" s="17" t="s">
        <v>100</v>
      </c>
      <c r="Y1999" s="17" t="s">
        <v>978</v>
      </c>
      <c r="Z1999" s="17" t="s">
        <v>1018</v>
      </c>
      <c r="AA1999" s="17" t="s">
        <v>919</v>
      </c>
      <c r="AB1999" s="17" t="s">
        <v>41</v>
      </c>
      <c r="AC1999" s="0" t="str">
        <f aca="false">LEFT(G1999,2)</f>
        <v>86</v>
      </c>
      <c r="AD1999" s="0"/>
      <c r="AE1999" s="21"/>
    </row>
    <row r="2000" customFormat="false" ht="15" hidden="false" customHeight="false" outlineLevel="0" collapsed="false">
      <c r="A2000" s="13" t="n">
        <f aca="false">1+A1999</f>
        <v>1998</v>
      </c>
      <c r="B2000" s="14" t="n">
        <v>1009546929</v>
      </c>
      <c r="C2000" s="17" t="s">
        <v>126</v>
      </c>
      <c r="D2000" s="16" t="s">
        <v>64</v>
      </c>
      <c r="E2000" s="17" t="s">
        <v>64</v>
      </c>
      <c r="F2000" s="18" t="s">
        <v>34</v>
      </c>
      <c r="G2000" s="19" t="n">
        <v>864268208435</v>
      </c>
      <c r="H2000" s="17" t="s">
        <v>35</v>
      </c>
      <c r="I2000" s="17" t="s">
        <v>44</v>
      </c>
      <c r="J2000" s="17" t="s">
        <v>100</v>
      </c>
      <c r="K2000" s="17" t="s">
        <v>978</v>
      </c>
      <c r="L2000" s="17" t="n">
        <v>1</v>
      </c>
      <c r="M2000" s="17" t="s">
        <v>610</v>
      </c>
      <c r="N2000" s="17" t="n">
        <v>1</v>
      </c>
      <c r="O2000" s="17" t="s">
        <v>611</v>
      </c>
      <c r="P2000" s="17" t="n">
        <v>11</v>
      </c>
      <c r="Q2000" s="17" t="s">
        <v>953</v>
      </c>
      <c r="R2000" s="17" t="s">
        <v>35</v>
      </c>
      <c r="S2000" s="17" t="s">
        <v>613</v>
      </c>
      <c r="T2000" s="18" t="s">
        <v>248</v>
      </c>
      <c r="U2000" s="18" t="s">
        <v>122</v>
      </c>
      <c r="V2000" s="17" t="n">
        <v>2</v>
      </c>
      <c r="W2000" s="20" t="s">
        <v>122</v>
      </c>
      <c r="X2000" s="17" t="s">
        <v>100</v>
      </c>
      <c r="Y2000" s="17" t="s">
        <v>978</v>
      </c>
      <c r="Z2000" s="17" t="s">
        <v>1019</v>
      </c>
      <c r="AA2000" s="17" t="s">
        <v>919</v>
      </c>
      <c r="AB2000" s="17" t="s">
        <v>41</v>
      </c>
      <c r="AC2000" s="0" t="str">
        <f aca="false">LEFT(G2000,2)</f>
        <v>86</v>
      </c>
      <c r="AD2000" s="0"/>
      <c r="AE2000" s="21"/>
    </row>
    <row r="2001" customFormat="false" ht="15" hidden="false" customHeight="false" outlineLevel="0" collapsed="false">
      <c r="A2001" s="13" t="n">
        <f aca="false">1+A2000</f>
        <v>1999</v>
      </c>
      <c r="B2001" s="14" t="n">
        <v>1009537541</v>
      </c>
      <c r="C2001" s="17" t="s">
        <v>311</v>
      </c>
      <c r="D2001" s="16" t="s">
        <v>64</v>
      </c>
      <c r="E2001" s="17" t="s">
        <v>460</v>
      </c>
      <c r="F2001" s="18" t="s">
        <v>34</v>
      </c>
      <c r="G2001" s="19" t="n">
        <v>868156179848</v>
      </c>
      <c r="H2001" s="17" t="s">
        <v>35</v>
      </c>
      <c r="I2001" s="17" t="s">
        <v>44</v>
      </c>
      <c r="J2001" s="17" t="s">
        <v>100</v>
      </c>
      <c r="K2001" s="17" t="s">
        <v>978</v>
      </c>
      <c r="L2001" s="17" t="n">
        <v>1</v>
      </c>
      <c r="M2001" s="17" t="s">
        <v>610</v>
      </c>
      <c r="N2001" s="17" t="n">
        <v>1</v>
      </c>
      <c r="O2001" s="17" t="s">
        <v>611</v>
      </c>
      <c r="P2001" s="17" t="n">
        <v>11</v>
      </c>
      <c r="Q2001" s="17" t="s">
        <v>953</v>
      </c>
      <c r="R2001" s="17" t="s">
        <v>35</v>
      </c>
      <c r="S2001" s="17" t="s">
        <v>613</v>
      </c>
      <c r="T2001" s="18" t="s">
        <v>248</v>
      </c>
      <c r="U2001" s="18" t="s">
        <v>122</v>
      </c>
      <c r="V2001" s="17" t="n">
        <v>2</v>
      </c>
      <c r="W2001" s="20" t="s">
        <v>122</v>
      </c>
      <c r="X2001" s="17" t="s">
        <v>100</v>
      </c>
      <c r="Y2001" s="17" t="s">
        <v>978</v>
      </c>
      <c r="Z2001" s="17" t="s">
        <v>341</v>
      </c>
      <c r="AA2001" s="17" t="s">
        <v>919</v>
      </c>
      <c r="AB2001" s="17" t="s">
        <v>41</v>
      </c>
      <c r="AC2001" s="0" t="str">
        <f aca="false">LEFT(G2001,2)</f>
        <v>86</v>
      </c>
      <c r="AE2001" s="21"/>
    </row>
    <row r="2002" customFormat="false" ht="15" hidden="false" customHeight="false" outlineLevel="0" collapsed="false">
      <c r="A2002" s="13" t="n">
        <f aca="false">1+A2001</f>
        <v>2000</v>
      </c>
      <c r="B2002" s="14" t="n">
        <v>1009535687</v>
      </c>
      <c r="C2002" s="17" t="s">
        <v>311</v>
      </c>
      <c r="D2002" s="16" t="s">
        <v>64</v>
      </c>
      <c r="E2002" s="17" t="s">
        <v>64</v>
      </c>
      <c r="F2002" s="18" t="s">
        <v>34</v>
      </c>
      <c r="G2002" s="19" t="n">
        <v>867172121222</v>
      </c>
      <c r="H2002" s="17" t="s">
        <v>35</v>
      </c>
      <c r="I2002" s="17" t="s">
        <v>44</v>
      </c>
      <c r="J2002" s="17" t="s">
        <v>100</v>
      </c>
      <c r="K2002" s="17" t="s">
        <v>978</v>
      </c>
      <c r="L2002" s="17" t="n">
        <v>1</v>
      </c>
      <c r="M2002" s="17" t="s">
        <v>610</v>
      </c>
      <c r="N2002" s="17" t="n">
        <v>1</v>
      </c>
      <c r="O2002" s="17" t="s">
        <v>611</v>
      </c>
      <c r="P2002" s="17" t="n">
        <v>11</v>
      </c>
      <c r="Q2002" s="17" t="s">
        <v>953</v>
      </c>
      <c r="R2002" s="17" t="s">
        <v>35</v>
      </c>
      <c r="S2002" s="17" t="s">
        <v>613</v>
      </c>
      <c r="T2002" s="18" t="s">
        <v>248</v>
      </c>
      <c r="U2002" s="18" t="s">
        <v>122</v>
      </c>
      <c r="V2002" s="17" t="n">
        <v>2</v>
      </c>
      <c r="W2002" s="20" t="s">
        <v>122</v>
      </c>
      <c r="X2002" s="17" t="s">
        <v>100</v>
      </c>
      <c r="Y2002" s="17" t="s">
        <v>978</v>
      </c>
      <c r="Z2002" s="17" t="s">
        <v>1020</v>
      </c>
      <c r="AA2002" s="17" t="s">
        <v>919</v>
      </c>
      <c r="AB2002" s="17" t="s">
        <v>41</v>
      </c>
      <c r="AC2002" s="0" t="str">
        <f aca="false">LEFT(G2002,2)</f>
        <v>86</v>
      </c>
      <c r="AE2002" s="21"/>
    </row>
    <row r="2003" customFormat="false" ht="15" hidden="false" customHeight="false" outlineLevel="0" collapsed="false">
      <c r="A2003" s="13" t="n">
        <f aca="false">1+A2002</f>
        <v>2001</v>
      </c>
      <c r="B2003" s="14" t="n">
        <v>1009091216</v>
      </c>
      <c r="C2003" s="17" t="s">
        <v>414</v>
      </c>
      <c r="D2003" s="16" t="s">
        <v>64</v>
      </c>
      <c r="E2003" s="17" t="s">
        <v>64</v>
      </c>
      <c r="F2003" s="18" t="s">
        <v>34</v>
      </c>
      <c r="G2003" s="19" t="n">
        <v>134106162073</v>
      </c>
      <c r="H2003" s="17" t="s">
        <v>35</v>
      </c>
      <c r="I2003" s="17" t="s">
        <v>44</v>
      </c>
      <c r="J2003" s="17" t="s">
        <v>121</v>
      </c>
      <c r="K2003" s="17" t="s">
        <v>955</v>
      </c>
      <c r="L2003" s="17" t="n">
        <v>1</v>
      </c>
      <c r="M2003" s="17" t="s">
        <v>610</v>
      </c>
      <c r="N2003" s="17" t="n">
        <v>1</v>
      </c>
      <c r="O2003" s="17" t="s">
        <v>611</v>
      </c>
      <c r="P2003" s="17" t="n">
        <v>12</v>
      </c>
      <c r="Q2003" s="17" t="s">
        <v>953</v>
      </c>
      <c r="R2003" s="17" t="s">
        <v>35</v>
      </c>
      <c r="S2003" s="17" t="s">
        <v>613</v>
      </c>
      <c r="T2003" s="18" t="s">
        <v>248</v>
      </c>
      <c r="U2003" s="18" t="s">
        <v>101</v>
      </c>
      <c r="V2003" s="17" t="n">
        <v>8</v>
      </c>
      <c r="W2003" s="20" t="s">
        <v>101</v>
      </c>
      <c r="X2003" s="17" t="s">
        <v>121</v>
      </c>
      <c r="Y2003" s="17" t="s">
        <v>955</v>
      </c>
      <c r="Z2003" s="17" t="s">
        <v>1021</v>
      </c>
      <c r="AA2003" s="17" t="s">
        <v>919</v>
      </c>
      <c r="AB2003" s="17" t="s">
        <v>41</v>
      </c>
      <c r="AC2003" s="0" t="str">
        <f aca="false">LEFT(G2003,2)</f>
        <v>13</v>
      </c>
      <c r="AE2003" s="21"/>
    </row>
    <row r="2004" customFormat="false" ht="15" hidden="false" customHeight="false" outlineLevel="0" collapsed="false">
      <c r="A2004" s="13" t="n">
        <f aca="false">1+A2003</f>
        <v>2002</v>
      </c>
      <c r="B2004" s="14" t="n">
        <v>1009092197</v>
      </c>
      <c r="C2004" s="17" t="s">
        <v>414</v>
      </c>
      <c r="D2004" s="16" t="s">
        <v>64</v>
      </c>
      <c r="E2004" s="17" t="s">
        <v>47</v>
      </c>
      <c r="F2004" s="18" t="s">
        <v>34</v>
      </c>
      <c r="G2004" s="19" t="n">
        <v>134056065060</v>
      </c>
      <c r="H2004" s="17" t="s">
        <v>35</v>
      </c>
      <c r="I2004" s="17" t="s">
        <v>44</v>
      </c>
      <c r="J2004" s="17" t="s">
        <v>111</v>
      </c>
      <c r="K2004" s="17" t="s">
        <v>958</v>
      </c>
      <c r="L2004" s="17" t="n">
        <v>1</v>
      </c>
      <c r="M2004" s="17" t="s">
        <v>610</v>
      </c>
      <c r="N2004" s="17" t="n">
        <v>1</v>
      </c>
      <c r="O2004" s="17" t="s">
        <v>611</v>
      </c>
      <c r="P2004" s="17" t="n">
        <v>11</v>
      </c>
      <c r="Q2004" s="17" t="s">
        <v>953</v>
      </c>
      <c r="R2004" s="17" t="s">
        <v>35</v>
      </c>
      <c r="S2004" s="17" t="s">
        <v>613</v>
      </c>
      <c r="T2004" s="18" t="s">
        <v>248</v>
      </c>
      <c r="U2004" s="18" t="s">
        <v>38</v>
      </c>
      <c r="V2004" s="17" t="n">
        <v>4</v>
      </c>
      <c r="W2004" s="20" t="s">
        <v>38</v>
      </c>
      <c r="X2004" s="17" t="s">
        <v>111</v>
      </c>
      <c r="Y2004" s="17" t="s">
        <v>958</v>
      </c>
      <c r="Z2004" s="17" t="s">
        <v>505</v>
      </c>
      <c r="AA2004" s="17" t="s">
        <v>919</v>
      </c>
      <c r="AB2004" s="17" t="s">
        <v>41</v>
      </c>
      <c r="AC2004" s="0" t="str">
        <f aca="false">LEFT(G2004,2)</f>
        <v>13</v>
      </c>
      <c r="AE2004" s="21"/>
    </row>
    <row r="2005" customFormat="false" ht="15" hidden="false" customHeight="false" outlineLevel="0" collapsed="false">
      <c r="A2005" s="13" t="n">
        <f aca="false">1+A2004</f>
        <v>2003</v>
      </c>
      <c r="B2005" s="14" t="n">
        <v>1009549084</v>
      </c>
      <c r="C2005" s="15" t="s">
        <v>126</v>
      </c>
      <c r="D2005" s="16" t="s">
        <v>137</v>
      </c>
      <c r="E2005" s="17" t="s">
        <v>91</v>
      </c>
      <c r="F2005" s="18" t="s">
        <v>34</v>
      </c>
      <c r="G2005" s="19" t="n">
        <v>986250166014</v>
      </c>
      <c r="H2005" s="17" t="s">
        <v>35</v>
      </c>
      <c r="I2005" s="17" t="s">
        <v>44</v>
      </c>
      <c r="J2005" s="17" t="s">
        <v>121</v>
      </c>
      <c r="K2005" s="17" t="s">
        <v>955</v>
      </c>
      <c r="L2005" s="17" t="n">
        <v>4</v>
      </c>
      <c r="M2005" s="17" t="s">
        <v>976</v>
      </c>
      <c r="N2005" s="17" t="n">
        <v>9</v>
      </c>
      <c r="O2005" s="17" t="s">
        <v>977</v>
      </c>
      <c r="P2005" s="17" t="n">
        <v>11</v>
      </c>
      <c r="Q2005" s="17" t="s">
        <v>953</v>
      </c>
      <c r="R2005" s="17" t="s">
        <v>35</v>
      </c>
      <c r="S2005" s="17" t="s">
        <v>613</v>
      </c>
      <c r="T2005" s="18" t="s">
        <v>248</v>
      </c>
      <c r="U2005" s="18" t="s">
        <v>122</v>
      </c>
      <c r="V2005" s="17" t="n">
        <v>2</v>
      </c>
      <c r="W2005" s="20" t="s">
        <v>122</v>
      </c>
      <c r="X2005" s="17" t="s">
        <v>121</v>
      </c>
      <c r="Y2005" s="17" t="s">
        <v>955</v>
      </c>
      <c r="Z2005" s="17" t="s">
        <v>1022</v>
      </c>
      <c r="AA2005" s="17" t="s">
        <v>919</v>
      </c>
      <c r="AB2005" s="17" t="s">
        <v>41</v>
      </c>
      <c r="AC2005" s="0" t="str">
        <f aca="false">LEFT(G2005,2)</f>
        <v>98</v>
      </c>
      <c r="AE2005" s="21"/>
    </row>
    <row r="2006" customFormat="false" ht="15" hidden="false" customHeight="false" outlineLevel="0" collapsed="false">
      <c r="A2006" s="13" t="n">
        <f aca="false">1+A2005</f>
        <v>2004</v>
      </c>
      <c r="B2006" s="14" t="n">
        <v>1009610755</v>
      </c>
      <c r="C2006" s="15" t="s">
        <v>181</v>
      </c>
      <c r="D2006" s="16" t="s">
        <v>167</v>
      </c>
      <c r="E2006" s="17" t="s">
        <v>47</v>
      </c>
      <c r="F2006" s="18" t="s">
        <v>34</v>
      </c>
      <c r="G2006" s="19" t="n">
        <v>954155117136</v>
      </c>
      <c r="H2006" s="17" t="s">
        <v>35</v>
      </c>
      <c r="I2006" s="17" t="s">
        <v>44</v>
      </c>
      <c r="J2006" s="17" t="s">
        <v>121</v>
      </c>
      <c r="K2006" s="17" t="s">
        <v>955</v>
      </c>
      <c r="L2006" s="17" t="n">
        <v>1</v>
      </c>
      <c r="M2006" s="17" t="s">
        <v>610</v>
      </c>
      <c r="N2006" s="17" t="n">
        <v>1</v>
      </c>
      <c r="O2006" s="17" t="s">
        <v>611</v>
      </c>
      <c r="P2006" s="17" t="n">
        <v>11</v>
      </c>
      <c r="Q2006" s="17" t="s">
        <v>953</v>
      </c>
      <c r="R2006" s="17" t="s">
        <v>35</v>
      </c>
      <c r="S2006" s="17" t="s">
        <v>613</v>
      </c>
      <c r="T2006" s="18" t="s">
        <v>248</v>
      </c>
      <c r="U2006" s="18" t="s">
        <v>122</v>
      </c>
      <c r="V2006" s="17" t="n">
        <v>2</v>
      </c>
      <c r="W2006" s="20" t="s">
        <v>122</v>
      </c>
      <c r="X2006" s="17" t="s">
        <v>121</v>
      </c>
      <c r="Y2006" s="17" t="s">
        <v>955</v>
      </c>
      <c r="Z2006" s="17" t="s">
        <v>1023</v>
      </c>
      <c r="AA2006" s="17" t="s">
        <v>919</v>
      </c>
      <c r="AB2006" s="17" t="s">
        <v>41</v>
      </c>
      <c r="AC2006" s="0" t="str">
        <f aca="false">LEFT(G2006,2)</f>
        <v>95</v>
      </c>
      <c r="AE2006" s="21"/>
    </row>
    <row r="2007" customFormat="false" ht="15" hidden="false" customHeight="false" outlineLevel="0" collapsed="false">
      <c r="A2007" s="13" t="n">
        <f aca="false">1+A2006</f>
        <v>2005</v>
      </c>
      <c r="B2007" s="14" t="n">
        <v>1009529392</v>
      </c>
      <c r="C2007" s="15" t="s">
        <v>174</v>
      </c>
      <c r="D2007" s="16" t="s">
        <v>103</v>
      </c>
      <c r="E2007" s="17" t="s">
        <v>47</v>
      </c>
      <c r="F2007" s="18" t="s">
        <v>34</v>
      </c>
      <c r="G2007" s="19" t="n">
        <v>987293123293</v>
      </c>
      <c r="H2007" s="17" t="s">
        <v>35</v>
      </c>
      <c r="I2007" s="17" t="s">
        <v>44</v>
      </c>
      <c r="J2007" s="17" t="s">
        <v>241</v>
      </c>
      <c r="K2007" s="17" t="s">
        <v>992</v>
      </c>
      <c r="L2007" s="17" t="n">
        <v>5</v>
      </c>
      <c r="M2007" s="17" t="s">
        <v>952</v>
      </c>
      <c r="N2007" s="17" t="n">
        <v>1</v>
      </c>
      <c r="O2007" s="17" t="s">
        <v>611</v>
      </c>
      <c r="P2007" s="17" t="n">
        <v>11</v>
      </c>
      <c r="Q2007" s="17" t="s">
        <v>953</v>
      </c>
      <c r="R2007" s="17" t="s">
        <v>35</v>
      </c>
      <c r="S2007" s="17" t="s">
        <v>613</v>
      </c>
      <c r="T2007" s="18" t="s">
        <v>248</v>
      </c>
      <c r="U2007" s="18" t="s">
        <v>122</v>
      </c>
      <c r="V2007" s="17" t="n">
        <v>2</v>
      </c>
      <c r="W2007" s="20" t="s">
        <v>122</v>
      </c>
      <c r="X2007" s="17" t="s">
        <v>241</v>
      </c>
      <c r="Y2007" s="17" t="s">
        <v>992</v>
      </c>
      <c r="Z2007" s="17" t="s">
        <v>1024</v>
      </c>
      <c r="AA2007" s="17" t="s">
        <v>919</v>
      </c>
      <c r="AB2007" s="17" t="s">
        <v>41</v>
      </c>
      <c r="AC2007" s="0" t="str">
        <f aca="false">LEFT(G2007,2)</f>
        <v>98</v>
      </c>
      <c r="AE2007" s="21"/>
    </row>
    <row r="2008" customFormat="false" ht="15" hidden="false" customHeight="false" outlineLevel="0" collapsed="false">
      <c r="A2008" s="13" t="n">
        <f aca="false">1+A2007</f>
        <v>2006</v>
      </c>
      <c r="B2008" s="14" t="n">
        <v>1009527205</v>
      </c>
      <c r="C2008" s="15" t="s">
        <v>162</v>
      </c>
      <c r="D2008" s="16" t="s">
        <v>105</v>
      </c>
      <c r="E2008" s="17" t="s">
        <v>47</v>
      </c>
      <c r="F2008" s="18" t="s">
        <v>34</v>
      </c>
      <c r="G2008" s="19" t="n">
        <v>133322508366</v>
      </c>
      <c r="H2008" s="17" t="s">
        <v>35</v>
      </c>
      <c r="I2008" s="17" t="s">
        <v>44</v>
      </c>
      <c r="J2008" s="17" t="s">
        <v>241</v>
      </c>
      <c r="K2008" s="17" t="s">
        <v>992</v>
      </c>
      <c r="L2008" s="17" t="n">
        <v>5</v>
      </c>
      <c r="M2008" s="17" t="s">
        <v>952</v>
      </c>
      <c r="N2008" s="17" t="n">
        <v>1</v>
      </c>
      <c r="O2008" s="17" t="s">
        <v>611</v>
      </c>
      <c r="P2008" s="17" t="n">
        <v>11</v>
      </c>
      <c r="Q2008" s="17" t="s">
        <v>953</v>
      </c>
      <c r="R2008" s="17" t="s">
        <v>35</v>
      </c>
      <c r="S2008" s="17" t="s">
        <v>613</v>
      </c>
      <c r="T2008" s="18" t="s">
        <v>248</v>
      </c>
      <c r="U2008" s="18" t="s">
        <v>122</v>
      </c>
      <c r="V2008" s="17" t="n">
        <v>2</v>
      </c>
      <c r="W2008" s="20" t="s">
        <v>122</v>
      </c>
      <c r="X2008" s="17" t="s">
        <v>241</v>
      </c>
      <c r="Y2008" s="17" t="s">
        <v>992</v>
      </c>
      <c r="Z2008" s="17" t="s">
        <v>1025</v>
      </c>
      <c r="AA2008" s="17" t="s">
        <v>919</v>
      </c>
      <c r="AB2008" s="17" t="s">
        <v>41</v>
      </c>
      <c r="AC2008" s="0" t="str">
        <f aca="false">LEFT(G2008,2)</f>
        <v>13</v>
      </c>
      <c r="AE2008" s="21"/>
    </row>
    <row r="2009" customFormat="false" ht="15" hidden="false" customHeight="false" outlineLevel="0" collapsed="false">
      <c r="A2009" s="13" t="n">
        <f aca="false">1+A2008</f>
        <v>2007</v>
      </c>
      <c r="B2009" s="14" t="n">
        <v>1009578435</v>
      </c>
      <c r="C2009" s="15" t="s">
        <v>104</v>
      </c>
      <c r="D2009" s="16" t="s">
        <v>64</v>
      </c>
      <c r="E2009" s="17" t="s">
        <v>64</v>
      </c>
      <c r="F2009" s="18" t="s">
        <v>34</v>
      </c>
      <c r="G2009" s="19" t="n">
        <v>986163147499</v>
      </c>
      <c r="H2009" s="17" t="s">
        <v>35</v>
      </c>
      <c r="I2009" s="17" t="s">
        <v>44</v>
      </c>
      <c r="J2009" s="17" t="s">
        <v>100</v>
      </c>
      <c r="K2009" s="17" t="s">
        <v>978</v>
      </c>
      <c r="L2009" s="17" t="n">
        <v>1</v>
      </c>
      <c r="M2009" s="17" t="s">
        <v>610</v>
      </c>
      <c r="N2009" s="17" t="n">
        <v>1</v>
      </c>
      <c r="O2009" s="17" t="s">
        <v>611</v>
      </c>
      <c r="P2009" s="17" t="n">
        <v>11</v>
      </c>
      <c r="Q2009" s="17" t="s">
        <v>953</v>
      </c>
      <c r="R2009" s="17" t="s">
        <v>35</v>
      </c>
      <c r="S2009" s="17" t="s">
        <v>613</v>
      </c>
      <c r="T2009" s="18" t="s">
        <v>248</v>
      </c>
      <c r="U2009" s="18" t="s">
        <v>122</v>
      </c>
      <c r="V2009" s="17" t="n">
        <v>2</v>
      </c>
      <c r="W2009" s="20" t="s">
        <v>122</v>
      </c>
      <c r="X2009" s="17" t="s">
        <v>100</v>
      </c>
      <c r="Y2009" s="17" t="s">
        <v>978</v>
      </c>
      <c r="Z2009" s="17" t="s">
        <v>1026</v>
      </c>
      <c r="AA2009" s="17" t="s">
        <v>919</v>
      </c>
      <c r="AB2009" s="17" t="s">
        <v>41</v>
      </c>
      <c r="AC2009" s="0" t="str">
        <f aca="false">LEFT(G2009,2)</f>
        <v>98</v>
      </c>
      <c r="AE2009" s="21"/>
    </row>
    <row r="2010" customFormat="false" ht="15" hidden="false" customHeight="false" outlineLevel="0" collapsed="false">
      <c r="A2010" s="13" t="n">
        <f aca="false">1+A2009</f>
        <v>2008</v>
      </c>
      <c r="B2010" s="14" t="n">
        <v>1009530211</v>
      </c>
      <c r="C2010" s="15" t="s">
        <v>174</v>
      </c>
      <c r="D2010" s="16" t="s">
        <v>64</v>
      </c>
      <c r="E2010" s="17" t="s">
        <v>33</v>
      </c>
      <c r="F2010" s="18" t="s">
        <v>34</v>
      </c>
      <c r="G2010" s="19" t="n">
        <v>775310109423</v>
      </c>
      <c r="H2010" s="17" t="s">
        <v>35</v>
      </c>
      <c r="I2010" s="17" t="s">
        <v>44</v>
      </c>
      <c r="J2010" s="17" t="s">
        <v>100</v>
      </c>
      <c r="K2010" s="17" t="s">
        <v>978</v>
      </c>
      <c r="L2010" s="17" t="n">
        <v>5</v>
      </c>
      <c r="M2010" s="17" t="s">
        <v>952</v>
      </c>
      <c r="N2010" s="17" t="n">
        <v>1</v>
      </c>
      <c r="O2010" s="17" t="s">
        <v>611</v>
      </c>
      <c r="P2010" s="17" t="n">
        <v>11</v>
      </c>
      <c r="Q2010" s="17" t="s">
        <v>953</v>
      </c>
      <c r="R2010" s="17" t="s">
        <v>35</v>
      </c>
      <c r="S2010" s="17" t="s">
        <v>613</v>
      </c>
      <c r="T2010" s="18" t="s">
        <v>248</v>
      </c>
      <c r="U2010" s="18" t="s">
        <v>122</v>
      </c>
      <c r="V2010" s="17" t="n">
        <v>2</v>
      </c>
      <c r="W2010" s="20" t="s">
        <v>122</v>
      </c>
      <c r="X2010" s="17" t="s">
        <v>100</v>
      </c>
      <c r="Y2010" s="17" t="s">
        <v>978</v>
      </c>
      <c r="Z2010" s="17" t="s">
        <v>1027</v>
      </c>
      <c r="AA2010" s="17" t="s">
        <v>919</v>
      </c>
      <c r="AB2010" s="17" t="s">
        <v>41</v>
      </c>
      <c r="AC2010" s="0" t="str">
        <f aca="false">LEFT(G2010,2)</f>
        <v>77</v>
      </c>
      <c r="AE2010" s="21"/>
    </row>
    <row r="2011" customFormat="false" ht="15" hidden="false" customHeight="false" outlineLevel="0" collapsed="false">
      <c r="A2011" s="13" t="n">
        <f aca="false">1+A2010</f>
        <v>2009</v>
      </c>
      <c r="B2011" s="14" t="n">
        <v>1009662219</v>
      </c>
      <c r="C2011" s="15" t="s">
        <v>433</v>
      </c>
      <c r="D2011" s="16" t="s">
        <v>138</v>
      </c>
      <c r="E2011" s="17" t="s">
        <v>47</v>
      </c>
      <c r="F2011" s="18" t="s">
        <v>34</v>
      </c>
      <c r="G2011" s="19" t="n">
        <v>775328250532</v>
      </c>
      <c r="H2011" s="17" t="s">
        <v>35</v>
      </c>
      <c r="I2011" s="17" t="s">
        <v>44</v>
      </c>
      <c r="J2011" s="17" t="s">
        <v>111</v>
      </c>
      <c r="K2011" s="17" t="s">
        <v>958</v>
      </c>
      <c r="L2011" s="17" t="n">
        <v>1</v>
      </c>
      <c r="M2011" s="17" t="s">
        <v>610</v>
      </c>
      <c r="N2011" s="17" t="n">
        <v>1</v>
      </c>
      <c r="O2011" s="17" t="s">
        <v>611</v>
      </c>
      <c r="P2011" s="17" t="n">
        <v>11</v>
      </c>
      <c r="Q2011" s="17" t="s">
        <v>953</v>
      </c>
      <c r="R2011" s="17" t="s">
        <v>35</v>
      </c>
      <c r="S2011" s="17" t="s">
        <v>613</v>
      </c>
      <c r="T2011" s="18" t="s">
        <v>248</v>
      </c>
      <c r="U2011" s="18" t="s">
        <v>122</v>
      </c>
      <c r="V2011" s="17" t="n">
        <v>2</v>
      </c>
      <c r="W2011" s="20" t="s">
        <v>122</v>
      </c>
      <c r="X2011" s="17" t="s">
        <v>111</v>
      </c>
      <c r="Y2011" s="17" t="s">
        <v>958</v>
      </c>
      <c r="Z2011" s="17" t="s">
        <v>1028</v>
      </c>
      <c r="AA2011" s="17" t="s">
        <v>919</v>
      </c>
      <c r="AB2011" s="17" t="s">
        <v>41</v>
      </c>
      <c r="AC2011" s="0" t="str">
        <f aca="false">LEFT(G2011,2)</f>
        <v>77</v>
      </c>
      <c r="AE2011" s="21"/>
    </row>
    <row r="2012" customFormat="false" ht="15" hidden="false" customHeight="false" outlineLevel="0" collapsed="false">
      <c r="A2012" s="13" t="n">
        <f aca="false">1+A2011</f>
        <v>2010</v>
      </c>
      <c r="B2012" s="14" t="n">
        <v>1009607470</v>
      </c>
      <c r="C2012" s="15" t="s">
        <v>181</v>
      </c>
      <c r="D2012" s="16" t="s">
        <v>64</v>
      </c>
      <c r="E2012" s="17" t="s">
        <v>64</v>
      </c>
      <c r="F2012" s="18" t="s">
        <v>34</v>
      </c>
      <c r="G2012" s="19" t="n">
        <v>775078050744</v>
      </c>
      <c r="H2012" s="17" t="s">
        <v>35</v>
      </c>
      <c r="I2012" s="17" t="s">
        <v>44</v>
      </c>
      <c r="J2012" s="17" t="s">
        <v>267</v>
      </c>
      <c r="K2012" s="17" t="s">
        <v>960</v>
      </c>
      <c r="L2012" s="17" t="n">
        <v>1</v>
      </c>
      <c r="M2012" s="17" t="s">
        <v>610</v>
      </c>
      <c r="N2012" s="17" t="n">
        <v>1</v>
      </c>
      <c r="O2012" s="17" t="s">
        <v>611</v>
      </c>
      <c r="P2012" s="17" t="n">
        <v>11</v>
      </c>
      <c r="Q2012" s="17" t="s">
        <v>953</v>
      </c>
      <c r="R2012" s="17" t="s">
        <v>35</v>
      </c>
      <c r="S2012" s="17" t="s">
        <v>613</v>
      </c>
      <c r="T2012" s="18" t="s">
        <v>248</v>
      </c>
      <c r="U2012" s="18" t="s">
        <v>122</v>
      </c>
      <c r="V2012" s="17" t="n">
        <v>2</v>
      </c>
      <c r="W2012" s="20" t="s">
        <v>122</v>
      </c>
      <c r="X2012" s="17" t="s">
        <v>267</v>
      </c>
      <c r="Y2012" s="17" t="s">
        <v>960</v>
      </c>
      <c r="Z2012" s="17" t="s">
        <v>1029</v>
      </c>
      <c r="AA2012" s="17" t="s">
        <v>919</v>
      </c>
      <c r="AB2012" s="17" t="s">
        <v>41</v>
      </c>
      <c r="AC2012" s="0" t="str">
        <f aca="false">LEFT(G2012,2)</f>
        <v>77</v>
      </c>
      <c r="AE2012" s="21"/>
    </row>
    <row r="2013" customFormat="false" ht="15" hidden="false" customHeight="false" outlineLevel="0" collapsed="false">
      <c r="A2013" s="13" t="n">
        <f aca="false">1+A2012</f>
        <v>2011</v>
      </c>
      <c r="B2013" s="14" t="n">
        <v>1009530879</v>
      </c>
      <c r="C2013" s="15" t="s">
        <v>174</v>
      </c>
      <c r="D2013" s="16" t="s">
        <v>190</v>
      </c>
      <c r="E2013" s="17" t="s">
        <v>64</v>
      </c>
      <c r="F2013" s="18" t="s">
        <v>34</v>
      </c>
      <c r="G2013" s="19" t="n">
        <v>985317207357</v>
      </c>
      <c r="H2013" s="17" t="s">
        <v>35</v>
      </c>
      <c r="I2013" s="17" t="s">
        <v>44</v>
      </c>
      <c r="J2013" s="17" t="s">
        <v>241</v>
      </c>
      <c r="K2013" s="17" t="s">
        <v>992</v>
      </c>
      <c r="L2013" s="17" t="n">
        <v>5</v>
      </c>
      <c r="M2013" s="17" t="s">
        <v>952</v>
      </c>
      <c r="N2013" s="17" t="n">
        <v>1</v>
      </c>
      <c r="O2013" s="17" t="s">
        <v>611</v>
      </c>
      <c r="P2013" s="17" t="n">
        <v>11</v>
      </c>
      <c r="Q2013" s="17" t="s">
        <v>953</v>
      </c>
      <c r="R2013" s="17" t="s">
        <v>35</v>
      </c>
      <c r="S2013" s="17" t="s">
        <v>613</v>
      </c>
      <c r="T2013" s="18" t="s">
        <v>248</v>
      </c>
      <c r="U2013" s="18" t="s">
        <v>122</v>
      </c>
      <c r="V2013" s="17" t="n">
        <v>2</v>
      </c>
      <c r="W2013" s="20" t="s">
        <v>122</v>
      </c>
      <c r="X2013" s="17" t="s">
        <v>241</v>
      </c>
      <c r="Y2013" s="17" t="s">
        <v>992</v>
      </c>
      <c r="Z2013" s="17" t="s">
        <v>1030</v>
      </c>
      <c r="AA2013" s="17" t="s">
        <v>919</v>
      </c>
      <c r="AB2013" s="17" t="s">
        <v>41</v>
      </c>
      <c r="AC2013" s="0" t="str">
        <f aca="false">LEFT(G2013,2)</f>
        <v>98</v>
      </c>
      <c r="AE2013" s="21"/>
    </row>
    <row r="2014" customFormat="false" ht="15" hidden="false" customHeight="false" outlineLevel="0" collapsed="false">
      <c r="A2014" s="13" t="n">
        <f aca="false">1+A2013</f>
        <v>2012</v>
      </c>
      <c r="B2014" s="14" t="n">
        <v>1008823282</v>
      </c>
      <c r="C2014" s="15" t="s">
        <v>438</v>
      </c>
      <c r="D2014" s="16" t="s">
        <v>64</v>
      </c>
      <c r="E2014" s="17" t="s">
        <v>64</v>
      </c>
      <c r="F2014" s="18" t="s">
        <v>34</v>
      </c>
      <c r="G2014" s="19" t="n">
        <v>878347289026</v>
      </c>
      <c r="H2014" s="17" t="s">
        <v>35</v>
      </c>
      <c r="I2014" s="17" t="s">
        <v>44</v>
      </c>
      <c r="J2014" s="17" t="s">
        <v>239</v>
      </c>
      <c r="K2014" s="17" t="s">
        <v>951</v>
      </c>
      <c r="L2014" s="17" t="n">
        <v>5</v>
      </c>
      <c r="M2014" s="17" t="s">
        <v>952</v>
      </c>
      <c r="N2014" s="17" t="n">
        <v>1</v>
      </c>
      <c r="O2014" s="17" t="s">
        <v>611</v>
      </c>
      <c r="P2014" s="17" t="n">
        <v>11</v>
      </c>
      <c r="Q2014" s="17" t="s">
        <v>953</v>
      </c>
      <c r="R2014" s="17" t="s">
        <v>35</v>
      </c>
      <c r="S2014" s="17" t="s">
        <v>613</v>
      </c>
      <c r="T2014" s="18" t="s">
        <v>248</v>
      </c>
      <c r="U2014" s="18" t="s">
        <v>122</v>
      </c>
      <c r="V2014" s="17" t="n">
        <v>2</v>
      </c>
      <c r="W2014" s="20" t="s">
        <v>122</v>
      </c>
      <c r="X2014" s="17" t="s">
        <v>239</v>
      </c>
      <c r="Y2014" s="17" t="s">
        <v>951</v>
      </c>
      <c r="Z2014" s="17" t="s">
        <v>1031</v>
      </c>
      <c r="AA2014" s="17" t="s">
        <v>919</v>
      </c>
      <c r="AB2014" s="17" t="s">
        <v>41</v>
      </c>
      <c r="AC2014" s="0" t="str">
        <f aca="false">LEFT(G2014,2)</f>
        <v>87</v>
      </c>
      <c r="AE2014" s="21"/>
    </row>
    <row r="2015" customFormat="false" ht="15" hidden="false" customHeight="false" outlineLevel="0" collapsed="false">
      <c r="A2015" s="13" t="n">
        <f aca="false">1+A2014</f>
        <v>2013</v>
      </c>
      <c r="B2015" s="14" t="n">
        <v>1009623109</v>
      </c>
      <c r="C2015" s="15" t="s">
        <v>184</v>
      </c>
      <c r="D2015" s="16" t="s">
        <v>64</v>
      </c>
      <c r="E2015" s="17" t="s">
        <v>64</v>
      </c>
      <c r="F2015" s="18" t="s">
        <v>34</v>
      </c>
      <c r="G2015" s="19" t="n">
        <v>878148183444</v>
      </c>
      <c r="H2015" s="17" t="s">
        <v>35</v>
      </c>
      <c r="I2015" s="17" t="s">
        <v>44</v>
      </c>
      <c r="J2015" s="17" t="s">
        <v>121</v>
      </c>
      <c r="K2015" s="17" t="s">
        <v>955</v>
      </c>
      <c r="L2015" s="17" t="n">
        <v>7</v>
      </c>
      <c r="M2015" s="17" t="s">
        <v>993</v>
      </c>
      <c r="N2015" s="17" t="n">
        <v>36</v>
      </c>
      <c r="O2015" s="17" t="s">
        <v>994</v>
      </c>
      <c r="P2015" s="17" t="n">
        <v>11</v>
      </c>
      <c r="Q2015" s="17" t="s">
        <v>953</v>
      </c>
      <c r="R2015" s="17" t="s">
        <v>35</v>
      </c>
      <c r="S2015" s="17" t="s">
        <v>613</v>
      </c>
      <c r="T2015" s="18" t="s">
        <v>248</v>
      </c>
      <c r="U2015" s="18" t="s">
        <v>122</v>
      </c>
      <c r="V2015" s="17" t="n">
        <v>2</v>
      </c>
      <c r="W2015" s="20" t="s">
        <v>122</v>
      </c>
      <c r="X2015" s="17" t="s">
        <v>121</v>
      </c>
      <c r="Y2015" s="17" t="s">
        <v>955</v>
      </c>
      <c r="Z2015" s="17" t="s">
        <v>739</v>
      </c>
      <c r="AA2015" s="17" t="s">
        <v>919</v>
      </c>
      <c r="AB2015" s="17" t="s">
        <v>41</v>
      </c>
      <c r="AC2015" s="0" t="str">
        <f aca="false">LEFT(G2015,2)</f>
        <v>87</v>
      </c>
      <c r="AE2015" s="21"/>
    </row>
    <row r="2016" customFormat="false" ht="15" hidden="false" customHeight="false" outlineLevel="0" collapsed="false">
      <c r="A2016" s="13" t="n">
        <f aca="false">1+A2015</f>
        <v>2014</v>
      </c>
      <c r="B2016" s="14" t="n">
        <v>1009685689</v>
      </c>
      <c r="C2016" s="15" t="s">
        <v>449</v>
      </c>
      <c r="D2016" s="16" t="s">
        <v>64</v>
      </c>
      <c r="E2016" s="17" t="s">
        <v>64</v>
      </c>
      <c r="F2016" s="18" t="s">
        <v>34</v>
      </c>
      <c r="G2016" s="19" t="n">
        <v>775156062710</v>
      </c>
      <c r="H2016" s="17" t="s">
        <v>35</v>
      </c>
      <c r="I2016" s="17" t="s">
        <v>44</v>
      </c>
      <c r="J2016" s="17" t="s">
        <v>267</v>
      </c>
      <c r="K2016" s="17" t="s">
        <v>960</v>
      </c>
      <c r="L2016" s="17" t="n">
        <v>5</v>
      </c>
      <c r="M2016" s="17" t="s">
        <v>952</v>
      </c>
      <c r="N2016" s="17" t="n">
        <v>19</v>
      </c>
      <c r="O2016" s="17" t="s">
        <v>1032</v>
      </c>
      <c r="P2016" s="17" t="n">
        <v>11</v>
      </c>
      <c r="Q2016" s="17" t="s">
        <v>953</v>
      </c>
      <c r="R2016" s="17" t="s">
        <v>35</v>
      </c>
      <c r="S2016" s="17" t="s">
        <v>613</v>
      </c>
      <c r="T2016" s="18" t="s">
        <v>248</v>
      </c>
      <c r="U2016" s="18" t="s">
        <v>122</v>
      </c>
      <c r="V2016" s="17" t="n">
        <v>2</v>
      </c>
      <c r="W2016" s="20" t="s">
        <v>122</v>
      </c>
      <c r="X2016" s="17" t="s">
        <v>267</v>
      </c>
      <c r="Y2016" s="17" t="s">
        <v>960</v>
      </c>
      <c r="Z2016" s="17" t="s">
        <v>1033</v>
      </c>
      <c r="AA2016" s="17" t="s">
        <v>919</v>
      </c>
      <c r="AB2016" s="17" t="s">
        <v>41</v>
      </c>
      <c r="AC2016" s="0" t="str">
        <f aca="false">LEFT(G2016,2)</f>
        <v>77</v>
      </c>
      <c r="AE2016" s="21"/>
    </row>
    <row r="2017" customFormat="false" ht="15" hidden="false" customHeight="false" outlineLevel="0" collapsed="false">
      <c r="A2017" s="13" t="n">
        <f aca="false">1+A2016</f>
        <v>2015</v>
      </c>
      <c r="B2017" s="14" t="n">
        <v>1009674062</v>
      </c>
      <c r="C2017" s="15" t="s">
        <v>436</v>
      </c>
      <c r="D2017" s="16" t="s">
        <v>167</v>
      </c>
      <c r="E2017" s="17" t="s">
        <v>47</v>
      </c>
      <c r="F2017" s="18" t="s">
        <v>34</v>
      </c>
      <c r="G2017" s="19" t="n">
        <v>987220375313</v>
      </c>
      <c r="H2017" s="17" t="s">
        <v>35</v>
      </c>
      <c r="I2017" s="17" t="s">
        <v>44</v>
      </c>
      <c r="J2017" s="17" t="s">
        <v>267</v>
      </c>
      <c r="K2017" s="17" t="s">
        <v>960</v>
      </c>
      <c r="L2017" s="17" t="n">
        <v>7</v>
      </c>
      <c r="M2017" s="17" t="s">
        <v>993</v>
      </c>
      <c r="N2017" s="17" t="n">
        <v>37</v>
      </c>
      <c r="O2017" s="17" t="s">
        <v>1034</v>
      </c>
      <c r="P2017" s="17" t="n">
        <v>11</v>
      </c>
      <c r="Q2017" s="17" t="s">
        <v>953</v>
      </c>
      <c r="R2017" s="17" t="s">
        <v>35</v>
      </c>
      <c r="S2017" s="17" t="s">
        <v>613</v>
      </c>
      <c r="T2017" s="18" t="s">
        <v>248</v>
      </c>
      <c r="U2017" s="18" t="s">
        <v>122</v>
      </c>
      <c r="V2017" s="17" t="n">
        <v>2</v>
      </c>
      <c r="W2017" s="20" t="s">
        <v>122</v>
      </c>
      <c r="X2017" s="17" t="s">
        <v>267</v>
      </c>
      <c r="Y2017" s="17" t="s">
        <v>960</v>
      </c>
      <c r="Z2017" s="17" t="s">
        <v>341</v>
      </c>
      <c r="AA2017" s="17" t="s">
        <v>919</v>
      </c>
      <c r="AB2017" s="17" t="s">
        <v>41</v>
      </c>
      <c r="AC2017" s="0" t="str">
        <f aca="false">LEFT(G2017,2)</f>
        <v>98</v>
      </c>
      <c r="AE2017" s="21"/>
    </row>
    <row r="2018" customFormat="false" ht="15" hidden="false" customHeight="false" outlineLevel="0" collapsed="false">
      <c r="A2018" s="13" t="n">
        <f aca="false">1+A2017</f>
        <v>2016</v>
      </c>
      <c r="B2018" s="14" t="n">
        <v>1009621135</v>
      </c>
      <c r="C2018" s="15" t="s">
        <v>184</v>
      </c>
      <c r="D2018" s="16" t="s">
        <v>359</v>
      </c>
      <c r="E2018" s="17" t="s">
        <v>211</v>
      </c>
      <c r="F2018" s="18" t="s">
        <v>34</v>
      </c>
      <c r="G2018" s="19" t="n">
        <v>889270207984</v>
      </c>
      <c r="H2018" s="17" t="s">
        <v>35</v>
      </c>
      <c r="I2018" s="17" t="s">
        <v>44</v>
      </c>
      <c r="J2018" s="17" t="s">
        <v>111</v>
      </c>
      <c r="K2018" s="17" t="s">
        <v>958</v>
      </c>
      <c r="L2018" s="17" t="n">
        <v>2</v>
      </c>
      <c r="M2018" s="17" t="s">
        <v>981</v>
      </c>
      <c r="N2018" s="17" t="n">
        <v>6</v>
      </c>
      <c r="O2018" s="17" t="s">
        <v>982</v>
      </c>
      <c r="P2018" s="17" t="n">
        <v>11</v>
      </c>
      <c r="Q2018" s="17" t="s">
        <v>953</v>
      </c>
      <c r="R2018" s="17" t="s">
        <v>35</v>
      </c>
      <c r="S2018" s="17" t="s">
        <v>613</v>
      </c>
      <c r="T2018" s="18" t="s">
        <v>248</v>
      </c>
      <c r="U2018" s="20" t="s">
        <v>256</v>
      </c>
      <c r="V2018" s="17" t="n">
        <v>1</v>
      </c>
      <c r="W2018" s="20" t="s">
        <v>256</v>
      </c>
      <c r="X2018" s="17" t="s">
        <v>111</v>
      </c>
      <c r="Y2018" s="17" t="s">
        <v>958</v>
      </c>
      <c r="Z2018" s="17" t="s">
        <v>306</v>
      </c>
      <c r="AA2018" s="17" t="s">
        <v>919</v>
      </c>
      <c r="AB2018" s="17" t="s">
        <v>41</v>
      </c>
      <c r="AC2018" s="0" t="str">
        <f aca="false">LEFT(G2018,2)</f>
        <v>88</v>
      </c>
      <c r="AE2018" s="21"/>
    </row>
    <row r="2019" customFormat="false" ht="15" hidden="false" customHeight="false" outlineLevel="0" collapsed="false">
      <c r="A2019" s="13" t="n">
        <f aca="false">1+A2018</f>
        <v>2017</v>
      </c>
      <c r="B2019" s="14" t="n">
        <v>1009541810</v>
      </c>
      <c r="C2019" s="15" t="s">
        <v>126</v>
      </c>
      <c r="D2019" s="16" t="s">
        <v>64</v>
      </c>
      <c r="E2019" s="17" t="s">
        <v>47</v>
      </c>
      <c r="F2019" s="18" t="s">
        <v>34</v>
      </c>
      <c r="G2019" s="19" t="n">
        <v>277293113712</v>
      </c>
      <c r="H2019" s="17" t="s">
        <v>35</v>
      </c>
      <c r="I2019" s="17" t="s">
        <v>44</v>
      </c>
      <c r="J2019" s="17" t="s">
        <v>100</v>
      </c>
      <c r="K2019" s="17" t="s">
        <v>978</v>
      </c>
      <c r="L2019" s="17" t="n">
        <v>1</v>
      </c>
      <c r="M2019" s="17" t="s">
        <v>610</v>
      </c>
      <c r="N2019" s="17" t="n">
        <v>1</v>
      </c>
      <c r="O2019" s="17" t="s">
        <v>611</v>
      </c>
      <c r="P2019" s="17" t="n">
        <v>11</v>
      </c>
      <c r="Q2019" s="17" t="s">
        <v>953</v>
      </c>
      <c r="R2019" s="17" t="s">
        <v>35</v>
      </c>
      <c r="S2019" s="17" t="s">
        <v>613</v>
      </c>
      <c r="T2019" s="18" t="s">
        <v>248</v>
      </c>
      <c r="U2019" s="18" t="s">
        <v>122</v>
      </c>
      <c r="V2019" s="17" t="n">
        <v>2</v>
      </c>
      <c r="W2019" s="20" t="s">
        <v>122</v>
      </c>
      <c r="X2019" s="17" t="s">
        <v>100</v>
      </c>
      <c r="Y2019" s="17" t="s">
        <v>978</v>
      </c>
      <c r="Z2019" s="17" t="s">
        <v>1035</v>
      </c>
      <c r="AA2019" s="17" t="s">
        <v>919</v>
      </c>
      <c r="AB2019" s="17" t="s">
        <v>41</v>
      </c>
      <c r="AC2019" s="0" t="str">
        <f aca="false">LEFT(G2019,2)</f>
        <v>27</v>
      </c>
      <c r="AE2019" s="21"/>
    </row>
    <row r="2020" customFormat="false" ht="15" hidden="false" customHeight="false" outlineLevel="0" collapsed="false">
      <c r="A2020" s="13" t="n">
        <f aca="false">1+A2019</f>
        <v>2018</v>
      </c>
      <c r="B2020" s="14" t="n">
        <v>1009558497</v>
      </c>
      <c r="C2020" s="15" t="s">
        <v>192</v>
      </c>
      <c r="D2020" s="16" t="s">
        <v>64</v>
      </c>
      <c r="E2020" s="17" t="s">
        <v>64</v>
      </c>
      <c r="F2020" s="18" t="s">
        <v>34</v>
      </c>
      <c r="G2020" s="19" t="n">
        <v>277284177346</v>
      </c>
      <c r="H2020" s="17" t="s">
        <v>35</v>
      </c>
      <c r="I2020" s="17" t="s">
        <v>44</v>
      </c>
      <c r="J2020" s="17" t="s">
        <v>100</v>
      </c>
      <c r="K2020" s="17" t="s">
        <v>978</v>
      </c>
      <c r="L2020" s="17" t="n">
        <v>1</v>
      </c>
      <c r="M2020" s="17" t="s">
        <v>610</v>
      </c>
      <c r="N2020" s="17" t="n">
        <v>1</v>
      </c>
      <c r="O2020" s="17" t="s">
        <v>611</v>
      </c>
      <c r="P2020" s="17" t="n">
        <v>11</v>
      </c>
      <c r="Q2020" s="17" t="s">
        <v>953</v>
      </c>
      <c r="R2020" s="17" t="s">
        <v>35</v>
      </c>
      <c r="S2020" s="17" t="s">
        <v>613</v>
      </c>
      <c r="T2020" s="18" t="s">
        <v>248</v>
      </c>
      <c r="U2020" s="18" t="s">
        <v>122</v>
      </c>
      <c r="V2020" s="17" t="n">
        <v>2</v>
      </c>
      <c r="W2020" s="20" t="s">
        <v>122</v>
      </c>
      <c r="X2020" s="17" t="s">
        <v>100</v>
      </c>
      <c r="Y2020" s="17" t="s">
        <v>978</v>
      </c>
      <c r="Z2020" s="17" t="s">
        <v>382</v>
      </c>
      <c r="AA2020" s="17" t="s">
        <v>919</v>
      </c>
      <c r="AB2020" s="17" t="s">
        <v>41</v>
      </c>
      <c r="AC2020" s="0" t="str">
        <f aca="false">LEFT(G2020,2)</f>
        <v>27</v>
      </c>
      <c r="AE2020" s="21"/>
    </row>
    <row r="2021" customFormat="false" ht="15" hidden="false" customHeight="false" outlineLevel="0" collapsed="false">
      <c r="A2021" s="13" t="n">
        <f aca="false">1+A2020</f>
        <v>2019</v>
      </c>
      <c r="B2021" s="14" t="n">
        <v>1009554676</v>
      </c>
      <c r="C2021" s="15" t="s">
        <v>444</v>
      </c>
      <c r="D2021" s="16" t="s">
        <v>64</v>
      </c>
      <c r="E2021" s="17" t="s">
        <v>114</v>
      </c>
      <c r="F2021" s="18" t="s">
        <v>34</v>
      </c>
      <c r="G2021" s="19" t="n">
        <v>277291147688</v>
      </c>
      <c r="H2021" s="17" t="s">
        <v>35</v>
      </c>
      <c r="I2021" s="17" t="s">
        <v>44</v>
      </c>
      <c r="J2021" s="17" t="s">
        <v>121</v>
      </c>
      <c r="K2021" s="17" t="s">
        <v>955</v>
      </c>
      <c r="L2021" s="17" t="n">
        <v>2</v>
      </c>
      <c r="M2021" s="17" t="s">
        <v>981</v>
      </c>
      <c r="N2021" s="17" t="n">
        <v>6</v>
      </c>
      <c r="O2021" s="17" t="s">
        <v>982</v>
      </c>
      <c r="P2021" s="17" t="n">
        <v>11</v>
      </c>
      <c r="Q2021" s="17" t="s">
        <v>953</v>
      </c>
      <c r="R2021" s="17" t="s">
        <v>35</v>
      </c>
      <c r="S2021" s="17" t="s">
        <v>613</v>
      </c>
      <c r="T2021" s="18" t="s">
        <v>248</v>
      </c>
      <c r="U2021" s="18" t="s">
        <v>122</v>
      </c>
      <c r="V2021" s="17" t="n">
        <v>2</v>
      </c>
      <c r="W2021" s="20" t="s">
        <v>122</v>
      </c>
      <c r="X2021" s="17" t="s">
        <v>121</v>
      </c>
      <c r="Y2021" s="17" t="s">
        <v>955</v>
      </c>
      <c r="Z2021" s="17" t="s">
        <v>1036</v>
      </c>
      <c r="AA2021" s="17" t="s">
        <v>919</v>
      </c>
      <c r="AB2021" s="17" t="s">
        <v>41</v>
      </c>
      <c r="AC2021" s="0" t="str">
        <f aca="false">LEFT(G2021,2)</f>
        <v>27</v>
      </c>
      <c r="AE2021" s="21"/>
    </row>
    <row r="2022" customFormat="false" ht="15" hidden="false" customHeight="false" outlineLevel="0" collapsed="false">
      <c r="A2022" s="13" t="n">
        <f aca="false">1+A2021</f>
        <v>2020</v>
      </c>
      <c r="B2022" s="14" t="n">
        <v>1009602669</v>
      </c>
      <c r="C2022" s="15" t="s">
        <v>159</v>
      </c>
      <c r="D2022" s="16" t="s">
        <v>64</v>
      </c>
      <c r="E2022" s="17" t="s">
        <v>47</v>
      </c>
      <c r="F2022" s="18" t="s">
        <v>34</v>
      </c>
      <c r="G2022" s="19" t="n">
        <v>277278145424</v>
      </c>
      <c r="H2022" s="17" t="s">
        <v>35</v>
      </c>
      <c r="I2022" s="17" t="s">
        <v>44</v>
      </c>
      <c r="J2022" s="17" t="s">
        <v>239</v>
      </c>
      <c r="K2022" s="17" t="s">
        <v>951</v>
      </c>
      <c r="L2022" s="17" t="n">
        <v>5</v>
      </c>
      <c r="M2022" s="17" t="s">
        <v>952</v>
      </c>
      <c r="N2022" s="17" t="n">
        <v>1</v>
      </c>
      <c r="O2022" s="17" t="s">
        <v>611</v>
      </c>
      <c r="P2022" s="17" t="n">
        <v>11</v>
      </c>
      <c r="Q2022" s="17" t="s">
        <v>953</v>
      </c>
      <c r="R2022" s="17" t="s">
        <v>35</v>
      </c>
      <c r="S2022" s="17" t="s">
        <v>613</v>
      </c>
      <c r="T2022" s="18" t="s">
        <v>248</v>
      </c>
      <c r="U2022" s="18" t="s">
        <v>38</v>
      </c>
      <c r="V2022" s="17" t="n">
        <v>4</v>
      </c>
      <c r="W2022" s="20" t="s">
        <v>38</v>
      </c>
      <c r="X2022" s="17" t="s">
        <v>239</v>
      </c>
      <c r="Y2022" s="17" t="s">
        <v>951</v>
      </c>
      <c r="Z2022" s="17" t="s">
        <v>1037</v>
      </c>
      <c r="AA2022" s="17" t="s">
        <v>919</v>
      </c>
      <c r="AB2022" s="17" t="s">
        <v>41</v>
      </c>
      <c r="AC2022" s="0" t="str">
        <f aca="false">LEFT(G2022,2)</f>
        <v>27</v>
      </c>
      <c r="AE2022" s="21"/>
    </row>
    <row r="2023" customFormat="false" ht="15" hidden="false" customHeight="false" outlineLevel="0" collapsed="false">
      <c r="A2023" s="13" t="n">
        <f aca="false">1+A2022</f>
        <v>2021</v>
      </c>
      <c r="B2023" s="14" t="n">
        <v>1009628260</v>
      </c>
      <c r="C2023" s="15" t="s">
        <v>229</v>
      </c>
      <c r="D2023" s="16" t="s">
        <v>64</v>
      </c>
      <c r="E2023" s="17" t="s">
        <v>64</v>
      </c>
      <c r="F2023" s="18" t="s">
        <v>34</v>
      </c>
      <c r="G2023" s="19" t="n">
        <v>277348229125</v>
      </c>
      <c r="H2023" s="17" t="s">
        <v>35</v>
      </c>
      <c r="I2023" s="17" t="s">
        <v>44</v>
      </c>
      <c r="J2023" s="17" t="s">
        <v>267</v>
      </c>
      <c r="K2023" s="17" t="s">
        <v>960</v>
      </c>
      <c r="L2023" s="17" t="n">
        <v>1</v>
      </c>
      <c r="M2023" s="17" t="s">
        <v>610</v>
      </c>
      <c r="N2023" s="17" t="n">
        <v>1</v>
      </c>
      <c r="O2023" s="17" t="s">
        <v>611</v>
      </c>
      <c r="P2023" s="17" t="n">
        <v>11</v>
      </c>
      <c r="Q2023" s="17" t="s">
        <v>953</v>
      </c>
      <c r="R2023" s="17" t="s">
        <v>35</v>
      </c>
      <c r="S2023" s="17" t="s">
        <v>613</v>
      </c>
      <c r="T2023" s="18" t="s">
        <v>248</v>
      </c>
      <c r="U2023" s="18" t="s">
        <v>122</v>
      </c>
      <c r="V2023" s="17" t="n">
        <v>2</v>
      </c>
      <c r="W2023" s="20" t="s">
        <v>122</v>
      </c>
      <c r="X2023" s="17" t="s">
        <v>267</v>
      </c>
      <c r="Y2023" s="17" t="s">
        <v>960</v>
      </c>
      <c r="Z2023" s="17" t="s">
        <v>328</v>
      </c>
      <c r="AA2023" s="17" t="s">
        <v>919</v>
      </c>
      <c r="AB2023" s="17" t="s">
        <v>41</v>
      </c>
      <c r="AC2023" s="0" t="str">
        <f aca="false">LEFT(G2023,2)</f>
        <v>27</v>
      </c>
      <c r="AE2023" s="21"/>
    </row>
    <row r="2024" customFormat="false" ht="15" hidden="false" customHeight="false" outlineLevel="0" collapsed="false">
      <c r="A2024" s="13" t="n">
        <f aca="false">1+A2023</f>
        <v>2022</v>
      </c>
      <c r="B2024" s="14" t="n">
        <v>1009550862</v>
      </c>
      <c r="C2024" s="15" t="s">
        <v>126</v>
      </c>
      <c r="D2024" s="16" t="s">
        <v>64</v>
      </c>
      <c r="E2024" s="17" t="s">
        <v>1038</v>
      </c>
      <c r="F2024" s="18" t="s">
        <v>34</v>
      </c>
      <c r="G2024" s="19" t="n">
        <v>277348148713</v>
      </c>
      <c r="H2024" s="17" t="s">
        <v>35</v>
      </c>
      <c r="I2024" s="17" t="s">
        <v>44</v>
      </c>
      <c r="J2024" s="17" t="s">
        <v>267</v>
      </c>
      <c r="K2024" s="17" t="s">
        <v>960</v>
      </c>
      <c r="L2024" s="17" t="n">
        <v>2</v>
      </c>
      <c r="M2024" s="17" t="s">
        <v>981</v>
      </c>
      <c r="N2024" s="17" t="n">
        <v>6</v>
      </c>
      <c r="O2024" s="17" t="s">
        <v>982</v>
      </c>
      <c r="P2024" s="17" t="n">
        <v>11</v>
      </c>
      <c r="Q2024" s="17" t="s">
        <v>953</v>
      </c>
      <c r="R2024" s="17" t="s">
        <v>35</v>
      </c>
      <c r="S2024" s="17" t="s">
        <v>613</v>
      </c>
      <c r="T2024" s="18" t="s">
        <v>248</v>
      </c>
      <c r="U2024" s="20" t="s">
        <v>256</v>
      </c>
      <c r="V2024" s="17" t="n">
        <v>1</v>
      </c>
      <c r="W2024" s="20" t="s">
        <v>256</v>
      </c>
      <c r="X2024" s="17" t="s">
        <v>267</v>
      </c>
      <c r="Y2024" s="17" t="s">
        <v>960</v>
      </c>
      <c r="Z2024" s="17" t="s">
        <v>384</v>
      </c>
      <c r="AA2024" s="17" t="s">
        <v>919</v>
      </c>
      <c r="AB2024" s="17" t="s">
        <v>41</v>
      </c>
      <c r="AC2024" s="0" t="str">
        <f aca="false">LEFT(G2024,2)</f>
        <v>27</v>
      </c>
      <c r="AE2024" s="21"/>
    </row>
    <row r="2025" customFormat="false" ht="15" hidden="false" customHeight="false" outlineLevel="0" collapsed="false">
      <c r="A2025" s="13" t="n">
        <f aca="false">1+A2024</f>
        <v>2023</v>
      </c>
      <c r="B2025" s="14" t="n">
        <v>1009556442</v>
      </c>
      <c r="C2025" s="15" t="s">
        <v>192</v>
      </c>
      <c r="D2025" s="16" t="s">
        <v>64</v>
      </c>
      <c r="E2025" s="17" t="s">
        <v>47</v>
      </c>
      <c r="F2025" s="18" t="s">
        <v>34</v>
      </c>
      <c r="G2025" s="19" t="n">
        <v>844131780695</v>
      </c>
      <c r="H2025" s="17" t="s">
        <v>35</v>
      </c>
      <c r="I2025" s="17" t="s">
        <v>44</v>
      </c>
      <c r="J2025" s="17" t="s">
        <v>121</v>
      </c>
      <c r="K2025" s="17" t="s">
        <v>955</v>
      </c>
      <c r="L2025" s="17" t="n">
        <v>8</v>
      </c>
      <c r="M2025" s="17" t="s">
        <v>1039</v>
      </c>
      <c r="N2025" s="17" t="n">
        <v>5</v>
      </c>
      <c r="O2025" s="17" t="s">
        <v>1040</v>
      </c>
      <c r="P2025" s="17" t="n">
        <v>11</v>
      </c>
      <c r="Q2025" s="17" t="s">
        <v>953</v>
      </c>
      <c r="R2025" s="17" t="s">
        <v>35</v>
      </c>
      <c r="S2025" s="17" t="s">
        <v>613</v>
      </c>
      <c r="T2025" s="18" t="s">
        <v>248</v>
      </c>
      <c r="U2025" s="18" t="s">
        <v>122</v>
      </c>
      <c r="V2025" s="17" t="n">
        <v>2</v>
      </c>
      <c r="W2025" s="20" t="s">
        <v>122</v>
      </c>
      <c r="X2025" s="17" t="s">
        <v>121</v>
      </c>
      <c r="Y2025" s="17" t="s">
        <v>955</v>
      </c>
      <c r="Z2025" s="17" t="s">
        <v>1041</v>
      </c>
      <c r="AA2025" s="17" t="s">
        <v>919</v>
      </c>
      <c r="AB2025" s="17" t="s">
        <v>41</v>
      </c>
      <c r="AC2025" s="0" t="str">
        <f aca="false">LEFT(G2025,2)</f>
        <v>84</v>
      </c>
      <c r="AE2025" s="21"/>
    </row>
    <row r="2026" customFormat="false" ht="15" hidden="false" customHeight="false" outlineLevel="0" collapsed="false">
      <c r="A2026" s="13" t="n">
        <f aca="false">1+A2025</f>
        <v>2024</v>
      </c>
      <c r="B2026" s="14" t="n">
        <v>1009586533</v>
      </c>
      <c r="C2026" s="15" t="s">
        <v>139</v>
      </c>
      <c r="D2026" s="16" t="s">
        <v>64</v>
      </c>
      <c r="E2026" s="17" t="s">
        <v>47</v>
      </c>
      <c r="F2026" s="18" t="s">
        <v>34</v>
      </c>
      <c r="G2026" s="19" t="n">
        <v>277283161515</v>
      </c>
      <c r="H2026" s="17" t="s">
        <v>35</v>
      </c>
      <c r="I2026" s="17" t="s">
        <v>44</v>
      </c>
      <c r="J2026" s="17" t="s">
        <v>241</v>
      </c>
      <c r="K2026" s="17" t="s">
        <v>992</v>
      </c>
      <c r="L2026" s="17" t="n">
        <v>5</v>
      </c>
      <c r="M2026" s="17" t="s">
        <v>952</v>
      </c>
      <c r="N2026" s="17" t="n">
        <v>1</v>
      </c>
      <c r="O2026" s="17" t="s">
        <v>611</v>
      </c>
      <c r="P2026" s="17" t="n">
        <v>11</v>
      </c>
      <c r="Q2026" s="17" t="s">
        <v>953</v>
      </c>
      <c r="R2026" s="17" t="s">
        <v>35</v>
      </c>
      <c r="S2026" s="17" t="s">
        <v>613</v>
      </c>
      <c r="T2026" s="18" t="s">
        <v>248</v>
      </c>
      <c r="U2026" s="18" t="s">
        <v>122</v>
      </c>
      <c r="V2026" s="17" t="n">
        <v>2</v>
      </c>
      <c r="W2026" s="20" t="s">
        <v>122</v>
      </c>
      <c r="X2026" s="17" t="s">
        <v>241</v>
      </c>
      <c r="Y2026" s="17" t="s">
        <v>992</v>
      </c>
      <c r="Z2026" s="17" t="s">
        <v>1042</v>
      </c>
      <c r="AA2026" s="17" t="s">
        <v>919</v>
      </c>
      <c r="AB2026" s="17" t="s">
        <v>41</v>
      </c>
      <c r="AC2026" s="0" t="str">
        <f aca="false">LEFT(G2026,2)</f>
        <v>27</v>
      </c>
      <c r="AE2026" s="21"/>
    </row>
    <row r="2027" customFormat="false" ht="15" hidden="false" customHeight="false" outlineLevel="0" collapsed="false">
      <c r="A2027" s="13" t="n">
        <f aca="false">1+A2026</f>
        <v>2025</v>
      </c>
      <c r="B2027" s="14" t="n">
        <v>1009551455</v>
      </c>
      <c r="C2027" s="15" t="s">
        <v>126</v>
      </c>
      <c r="D2027" s="16" t="s">
        <v>56</v>
      </c>
      <c r="E2027" s="17" t="s">
        <v>33</v>
      </c>
      <c r="F2027" s="18" t="s">
        <v>34</v>
      </c>
      <c r="G2027" s="19" t="n">
        <v>288124138455</v>
      </c>
      <c r="H2027" s="17" t="s">
        <v>35</v>
      </c>
      <c r="I2027" s="17" t="s">
        <v>44</v>
      </c>
      <c r="J2027" s="17" t="s">
        <v>241</v>
      </c>
      <c r="K2027" s="17" t="s">
        <v>992</v>
      </c>
      <c r="L2027" s="17" t="n">
        <v>5</v>
      </c>
      <c r="M2027" s="17" t="s">
        <v>952</v>
      </c>
      <c r="N2027" s="17" t="n">
        <v>1</v>
      </c>
      <c r="O2027" s="17" t="s">
        <v>611</v>
      </c>
      <c r="P2027" s="17" t="n">
        <v>11</v>
      </c>
      <c r="Q2027" s="17" t="s">
        <v>953</v>
      </c>
      <c r="R2027" s="17" t="s">
        <v>35</v>
      </c>
      <c r="S2027" s="17" t="s">
        <v>613</v>
      </c>
      <c r="T2027" s="18" t="s">
        <v>248</v>
      </c>
      <c r="U2027" s="18" t="s">
        <v>122</v>
      </c>
      <c r="V2027" s="17" t="n">
        <v>2</v>
      </c>
      <c r="W2027" s="20" t="s">
        <v>122</v>
      </c>
      <c r="X2027" s="17" t="s">
        <v>241</v>
      </c>
      <c r="Y2027" s="17" t="s">
        <v>992</v>
      </c>
      <c r="Z2027" s="17" t="s">
        <v>330</v>
      </c>
      <c r="AA2027" s="17" t="s">
        <v>919</v>
      </c>
      <c r="AB2027" s="17" t="s">
        <v>41</v>
      </c>
      <c r="AC2027" s="0" t="str">
        <f aca="false">LEFT(G2027,2)</f>
        <v>28</v>
      </c>
      <c r="AE2027" s="21"/>
    </row>
    <row r="2028" customFormat="false" ht="15" hidden="false" customHeight="false" outlineLevel="0" collapsed="false">
      <c r="A2028" s="13" t="n">
        <f aca="false">1+A2027</f>
        <v>2026</v>
      </c>
      <c r="B2028" s="14" t="n">
        <v>1009611211</v>
      </c>
      <c r="C2028" s="15" t="s">
        <v>181</v>
      </c>
      <c r="D2028" s="16" t="s">
        <v>1043</v>
      </c>
      <c r="E2028" s="17" t="s">
        <v>47</v>
      </c>
      <c r="F2028" s="18" t="s">
        <v>34</v>
      </c>
      <c r="G2028" s="19" t="n">
        <v>288117236415</v>
      </c>
      <c r="H2028" s="17" t="s">
        <v>35</v>
      </c>
      <c r="I2028" s="17" t="s">
        <v>44</v>
      </c>
      <c r="J2028" s="17" t="s">
        <v>267</v>
      </c>
      <c r="K2028" s="17" t="s">
        <v>960</v>
      </c>
      <c r="L2028" s="17" t="n">
        <v>5</v>
      </c>
      <c r="M2028" s="17" t="s">
        <v>952</v>
      </c>
      <c r="N2028" s="17" t="n">
        <v>24</v>
      </c>
      <c r="O2028" s="17" t="s">
        <v>975</v>
      </c>
      <c r="P2028" s="17" t="n">
        <v>11</v>
      </c>
      <c r="Q2028" s="17" t="s">
        <v>953</v>
      </c>
      <c r="R2028" s="17" t="s">
        <v>35</v>
      </c>
      <c r="S2028" s="17" t="s">
        <v>613</v>
      </c>
      <c r="T2028" s="18" t="s">
        <v>248</v>
      </c>
      <c r="U2028" s="18" t="s">
        <v>122</v>
      </c>
      <c r="V2028" s="17" t="n">
        <v>2</v>
      </c>
      <c r="W2028" s="20" t="s">
        <v>122</v>
      </c>
      <c r="X2028" s="17" t="s">
        <v>267</v>
      </c>
      <c r="Y2028" s="17" t="s">
        <v>960</v>
      </c>
      <c r="Z2028" s="17" t="s">
        <v>381</v>
      </c>
      <c r="AA2028" s="17" t="s">
        <v>919</v>
      </c>
      <c r="AB2028" s="17" t="s">
        <v>41</v>
      </c>
      <c r="AC2028" s="0" t="str">
        <f aca="false">LEFT(G2028,2)</f>
        <v>28</v>
      </c>
      <c r="AE2028" s="21"/>
    </row>
    <row r="2029" customFormat="false" ht="15" hidden="false" customHeight="false" outlineLevel="0" collapsed="false">
      <c r="A2029" s="13" t="n">
        <f aca="false">1+A2028</f>
        <v>2027</v>
      </c>
      <c r="B2029" s="14" t="n">
        <v>1009513945</v>
      </c>
      <c r="C2029" s="15" t="s">
        <v>232</v>
      </c>
      <c r="D2029" s="16" t="s">
        <v>64</v>
      </c>
      <c r="E2029" s="17" t="s">
        <v>33</v>
      </c>
      <c r="F2029" s="18" t="s">
        <v>34</v>
      </c>
      <c r="G2029" s="19" t="n">
        <v>278012110823</v>
      </c>
      <c r="H2029" s="17" t="s">
        <v>35</v>
      </c>
      <c r="I2029" s="17" t="s">
        <v>44</v>
      </c>
      <c r="J2029" s="17" t="s">
        <v>121</v>
      </c>
      <c r="K2029" s="17" t="s">
        <v>955</v>
      </c>
      <c r="L2029" s="17" t="n">
        <v>5</v>
      </c>
      <c r="M2029" s="17" t="s">
        <v>952</v>
      </c>
      <c r="N2029" s="17" t="n">
        <v>24</v>
      </c>
      <c r="O2029" s="17" t="s">
        <v>975</v>
      </c>
      <c r="P2029" s="17" t="n">
        <v>11</v>
      </c>
      <c r="Q2029" s="17" t="s">
        <v>953</v>
      </c>
      <c r="R2029" s="17" t="s">
        <v>35</v>
      </c>
      <c r="S2029" s="17" t="s">
        <v>613</v>
      </c>
      <c r="T2029" s="18" t="s">
        <v>248</v>
      </c>
      <c r="U2029" s="18" t="s">
        <v>122</v>
      </c>
      <c r="V2029" s="17" t="n">
        <v>2</v>
      </c>
      <c r="W2029" s="20" t="s">
        <v>122</v>
      </c>
      <c r="X2029" s="17" t="s">
        <v>121</v>
      </c>
      <c r="Y2029" s="17" t="s">
        <v>955</v>
      </c>
      <c r="Z2029" s="17" t="s">
        <v>1044</v>
      </c>
      <c r="AA2029" s="17" t="s">
        <v>919</v>
      </c>
      <c r="AB2029" s="17" t="s">
        <v>41</v>
      </c>
      <c r="AC2029" s="0" t="str">
        <f aca="false">LEFT(G2029,2)</f>
        <v>27</v>
      </c>
      <c r="AE2029" s="21"/>
    </row>
    <row r="2030" customFormat="false" ht="15" hidden="false" customHeight="false" outlineLevel="0" collapsed="false">
      <c r="A2030" s="13" t="n">
        <f aca="false">1+A2029</f>
        <v>2028</v>
      </c>
      <c r="B2030" s="14" t="n">
        <v>1009556721</v>
      </c>
      <c r="C2030" s="15" t="s">
        <v>192</v>
      </c>
      <c r="D2030" s="16" t="s">
        <v>64</v>
      </c>
      <c r="E2030" s="17" t="s">
        <v>64</v>
      </c>
      <c r="F2030" s="18" t="s">
        <v>34</v>
      </c>
      <c r="G2030" s="19" t="n">
        <v>277332228026</v>
      </c>
      <c r="H2030" s="17" t="s">
        <v>35</v>
      </c>
      <c r="I2030" s="17" t="s">
        <v>44</v>
      </c>
      <c r="J2030" s="17" t="s">
        <v>241</v>
      </c>
      <c r="K2030" s="17" t="s">
        <v>992</v>
      </c>
      <c r="L2030" s="17" t="n">
        <v>5</v>
      </c>
      <c r="M2030" s="17" t="s">
        <v>952</v>
      </c>
      <c r="N2030" s="17" t="n">
        <v>1</v>
      </c>
      <c r="O2030" s="17" t="s">
        <v>611</v>
      </c>
      <c r="P2030" s="17" t="n">
        <v>11</v>
      </c>
      <c r="Q2030" s="17" t="s">
        <v>953</v>
      </c>
      <c r="R2030" s="17" t="s">
        <v>35</v>
      </c>
      <c r="S2030" s="17" t="s">
        <v>613</v>
      </c>
      <c r="T2030" s="18" t="s">
        <v>248</v>
      </c>
      <c r="U2030" s="18" t="s">
        <v>122</v>
      </c>
      <c r="V2030" s="17" t="n">
        <v>2</v>
      </c>
      <c r="W2030" s="20" t="s">
        <v>122</v>
      </c>
      <c r="X2030" s="17" t="s">
        <v>241</v>
      </c>
      <c r="Y2030" s="17" t="s">
        <v>992</v>
      </c>
      <c r="Z2030" s="17" t="s">
        <v>628</v>
      </c>
      <c r="AA2030" s="17" t="s">
        <v>919</v>
      </c>
      <c r="AB2030" s="17" t="s">
        <v>41</v>
      </c>
      <c r="AC2030" s="0" t="str">
        <f aca="false">LEFT(G2030,2)</f>
        <v>27</v>
      </c>
      <c r="AE2030" s="21"/>
    </row>
    <row r="2031" customFormat="false" ht="15" hidden="false" customHeight="false" outlineLevel="0" collapsed="false">
      <c r="A2031" s="13" t="n">
        <f aca="false">1+A2030</f>
        <v>2029</v>
      </c>
      <c r="B2031" s="14" t="n">
        <v>1009677066</v>
      </c>
      <c r="C2031" s="15" t="s">
        <v>436</v>
      </c>
      <c r="D2031" s="16" t="s">
        <v>119</v>
      </c>
      <c r="E2031" s="17" t="s">
        <v>1038</v>
      </c>
      <c r="F2031" s="18" t="s">
        <v>34</v>
      </c>
      <c r="G2031" s="19" t="n">
        <v>277328281799</v>
      </c>
      <c r="H2031" s="17" t="s">
        <v>35</v>
      </c>
      <c r="I2031" s="17" t="s">
        <v>44</v>
      </c>
      <c r="J2031" s="17" t="s">
        <v>267</v>
      </c>
      <c r="K2031" s="17" t="s">
        <v>960</v>
      </c>
      <c r="L2031" s="17" t="n">
        <v>1</v>
      </c>
      <c r="M2031" s="17" t="s">
        <v>610</v>
      </c>
      <c r="N2031" s="17" t="n">
        <v>1</v>
      </c>
      <c r="O2031" s="17" t="s">
        <v>611</v>
      </c>
      <c r="P2031" s="17" t="n">
        <v>11</v>
      </c>
      <c r="Q2031" s="17" t="s">
        <v>953</v>
      </c>
      <c r="R2031" s="17" t="s">
        <v>35</v>
      </c>
      <c r="S2031" s="17" t="s">
        <v>613</v>
      </c>
      <c r="T2031" s="18" t="s">
        <v>248</v>
      </c>
      <c r="U2031" s="18" t="s">
        <v>122</v>
      </c>
      <c r="V2031" s="17" t="n">
        <v>2</v>
      </c>
      <c r="W2031" s="20" t="s">
        <v>122</v>
      </c>
      <c r="X2031" s="17" t="s">
        <v>267</v>
      </c>
      <c r="Y2031" s="17" t="s">
        <v>960</v>
      </c>
      <c r="Z2031" s="17" t="s">
        <v>381</v>
      </c>
      <c r="AA2031" s="17" t="s">
        <v>919</v>
      </c>
      <c r="AB2031" s="17" t="s">
        <v>41</v>
      </c>
      <c r="AC2031" s="0" t="str">
        <f aca="false">LEFT(G2031,2)</f>
        <v>27</v>
      </c>
      <c r="AE2031" s="21"/>
    </row>
    <row r="2032" customFormat="false" ht="15" hidden="false" customHeight="false" outlineLevel="0" collapsed="false">
      <c r="A2032" s="13" t="n">
        <f aca="false">1+A2031</f>
        <v>2030</v>
      </c>
      <c r="B2032" s="14" t="n">
        <v>1009610897</v>
      </c>
      <c r="C2032" s="15" t="s">
        <v>181</v>
      </c>
      <c r="D2032" s="16" t="s">
        <v>64</v>
      </c>
      <c r="E2032" s="17" t="s">
        <v>64</v>
      </c>
      <c r="F2032" s="18" t="s">
        <v>34</v>
      </c>
      <c r="G2032" s="19" t="n">
        <v>277233144439</v>
      </c>
      <c r="H2032" s="17" t="s">
        <v>35</v>
      </c>
      <c r="I2032" s="17" t="s">
        <v>44</v>
      </c>
      <c r="J2032" s="17" t="s">
        <v>121</v>
      </c>
      <c r="K2032" s="17" t="s">
        <v>955</v>
      </c>
      <c r="L2032" s="17" t="n">
        <v>5</v>
      </c>
      <c r="M2032" s="17" t="s">
        <v>952</v>
      </c>
      <c r="N2032" s="17" t="n">
        <v>24</v>
      </c>
      <c r="O2032" s="17" t="s">
        <v>975</v>
      </c>
      <c r="P2032" s="17" t="n">
        <v>11</v>
      </c>
      <c r="Q2032" s="17" t="s">
        <v>953</v>
      </c>
      <c r="R2032" s="17" t="s">
        <v>35</v>
      </c>
      <c r="S2032" s="17" t="s">
        <v>613</v>
      </c>
      <c r="T2032" s="18" t="s">
        <v>248</v>
      </c>
      <c r="U2032" s="18" t="s">
        <v>122</v>
      </c>
      <c r="V2032" s="17" t="n">
        <v>2</v>
      </c>
      <c r="W2032" s="20" t="s">
        <v>122</v>
      </c>
      <c r="X2032" s="17" t="s">
        <v>121</v>
      </c>
      <c r="Y2032" s="17" t="s">
        <v>955</v>
      </c>
      <c r="Z2032" s="17" t="s">
        <v>330</v>
      </c>
      <c r="AA2032" s="17" t="s">
        <v>919</v>
      </c>
      <c r="AB2032" s="17" t="s">
        <v>41</v>
      </c>
      <c r="AC2032" s="0" t="str">
        <f aca="false">LEFT(G2032,2)</f>
        <v>27</v>
      </c>
      <c r="AE2032" s="21"/>
    </row>
    <row r="2033" customFormat="false" ht="15" hidden="false" customHeight="false" outlineLevel="0" collapsed="false">
      <c r="A2033" s="13" t="n">
        <f aca="false">1+A2032</f>
        <v>2031</v>
      </c>
      <c r="B2033" s="14" t="n">
        <v>1009586736</v>
      </c>
      <c r="C2033" s="15" t="s">
        <v>139</v>
      </c>
      <c r="D2033" s="16" t="s">
        <v>64</v>
      </c>
      <c r="E2033" s="17" t="s">
        <v>64</v>
      </c>
      <c r="F2033" s="18" t="s">
        <v>34</v>
      </c>
      <c r="G2033" s="19" t="n">
        <v>853185799006</v>
      </c>
      <c r="H2033" s="17" t="s">
        <v>35</v>
      </c>
      <c r="I2033" s="17" t="s">
        <v>44</v>
      </c>
      <c r="J2033" s="17" t="s">
        <v>267</v>
      </c>
      <c r="K2033" s="17" t="s">
        <v>960</v>
      </c>
      <c r="L2033" s="17" t="n">
        <v>5</v>
      </c>
      <c r="M2033" s="17" t="s">
        <v>952</v>
      </c>
      <c r="N2033" s="17" t="n">
        <v>1</v>
      </c>
      <c r="O2033" s="17" t="s">
        <v>611</v>
      </c>
      <c r="P2033" s="17" t="n">
        <v>11</v>
      </c>
      <c r="Q2033" s="17" t="s">
        <v>953</v>
      </c>
      <c r="R2033" s="17" t="s">
        <v>35</v>
      </c>
      <c r="S2033" s="17" t="s">
        <v>613</v>
      </c>
      <c r="T2033" s="18" t="s">
        <v>248</v>
      </c>
      <c r="U2033" s="18" t="s">
        <v>122</v>
      </c>
      <c r="V2033" s="17" t="n">
        <v>2</v>
      </c>
      <c r="W2033" s="20" t="s">
        <v>122</v>
      </c>
      <c r="X2033" s="17" t="s">
        <v>267</v>
      </c>
      <c r="Y2033" s="17" t="s">
        <v>960</v>
      </c>
      <c r="Z2033" s="17" t="s">
        <v>1045</v>
      </c>
      <c r="AA2033" s="17" t="s">
        <v>919</v>
      </c>
      <c r="AB2033" s="17" t="s">
        <v>41</v>
      </c>
      <c r="AC2033" s="0" t="str">
        <f aca="false">LEFT(G2033,2)</f>
        <v>85</v>
      </c>
      <c r="AE2033" s="21"/>
    </row>
    <row r="2034" customFormat="false" ht="15" hidden="false" customHeight="false" outlineLevel="0" collapsed="false">
      <c r="A2034" s="13" t="n">
        <f aca="false">1+A2033</f>
        <v>2032</v>
      </c>
      <c r="B2034" s="14" t="n">
        <v>1009675616</v>
      </c>
      <c r="C2034" s="15" t="s">
        <v>436</v>
      </c>
      <c r="D2034" s="16" t="s">
        <v>64</v>
      </c>
      <c r="E2034" s="17" t="s">
        <v>64</v>
      </c>
      <c r="F2034" s="18" t="s">
        <v>34</v>
      </c>
      <c r="G2034" s="19" t="n">
        <v>853142707670</v>
      </c>
      <c r="H2034" s="17" t="s">
        <v>35</v>
      </c>
      <c r="I2034" s="17" t="s">
        <v>44</v>
      </c>
      <c r="J2034" s="17" t="s">
        <v>267</v>
      </c>
      <c r="K2034" s="17" t="s">
        <v>960</v>
      </c>
      <c r="L2034" s="17" t="n">
        <v>1</v>
      </c>
      <c r="M2034" s="17" t="s">
        <v>610</v>
      </c>
      <c r="N2034" s="17" t="n">
        <v>1</v>
      </c>
      <c r="O2034" s="17" t="s">
        <v>611</v>
      </c>
      <c r="P2034" s="17" t="n">
        <v>11</v>
      </c>
      <c r="Q2034" s="17" t="s">
        <v>953</v>
      </c>
      <c r="R2034" s="17" t="s">
        <v>35</v>
      </c>
      <c r="S2034" s="17" t="s">
        <v>613</v>
      </c>
      <c r="T2034" s="18" t="s">
        <v>248</v>
      </c>
      <c r="U2034" s="18" t="s">
        <v>122</v>
      </c>
      <c r="V2034" s="17" t="n">
        <v>2</v>
      </c>
      <c r="W2034" s="20" t="s">
        <v>122</v>
      </c>
      <c r="X2034" s="17" t="s">
        <v>267</v>
      </c>
      <c r="Y2034" s="17" t="s">
        <v>960</v>
      </c>
      <c r="Z2034" s="17" t="s">
        <v>149</v>
      </c>
      <c r="AA2034" s="17" t="s">
        <v>919</v>
      </c>
      <c r="AB2034" s="17" t="s">
        <v>41</v>
      </c>
      <c r="AC2034" s="0" t="str">
        <f aca="false">LEFT(G2034,2)</f>
        <v>85</v>
      </c>
      <c r="AE2034" s="21"/>
    </row>
    <row r="2035" customFormat="false" ht="15" hidden="false" customHeight="false" outlineLevel="0" collapsed="false">
      <c r="A2035" s="13" t="n">
        <f aca="false">1+A2034</f>
        <v>2033</v>
      </c>
      <c r="B2035" s="14" t="n">
        <v>1009611111</v>
      </c>
      <c r="C2035" s="15" t="s">
        <v>181</v>
      </c>
      <c r="D2035" s="16" t="s">
        <v>108</v>
      </c>
      <c r="E2035" s="17" t="s">
        <v>47</v>
      </c>
      <c r="F2035" s="18" t="s">
        <v>34</v>
      </c>
      <c r="G2035" s="19" t="n">
        <v>844057710726</v>
      </c>
      <c r="H2035" s="17" t="s">
        <v>35</v>
      </c>
      <c r="I2035" s="17" t="s">
        <v>44</v>
      </c>
      <c r="J2035" s="17" t="s">
        <v>100</v>
      </c>
      <c r="K2035" s="17" t="s">
        <v>978</v>
      </c>
      <c r="L2035" s="17" t="n">
        <v>1</v>
      </c>
      <c r="M2035" s="17" t="s">
        <v>610</v>
      </c>
      <c r="N2035" s="17" t="n">
        <v>1</v>
      </c>
      <c r="O2035" s="17" t="s">
        <v>611</v>
      </c>
      <c r="P2035" s="17" t="n">
        <v>11</v>
      </c>
      <c r="Q2035" s="17" t="s">
        <v>953</v>
      </c>
      <c r="R2035" s="17" t="s">
        <v>35</v>
      </c>
      <c r="S2035" s="17" t="s">
        <v>613</v>
      </c>
      <c r="T2035" s="18" t="s">
        <v>248</v>
      </c>
      <c r="U2035" s="18" t="s">
        <v>122</v>
      </c>
      <c r="V2035" s="17" t="n">
        <v>2</v>
      </c>
      <c r="W2035" s="20" t="s">
        <v>122</v>
      </c>
      <c r="X2035" s="17" t="s">
        <v>100</v>
      </c>
      <c r="Y2035" s="17" t="s">
        <v>978</v>
      </c>
      <c r="Z2035" s="17" t="s">
        <v>524</v>
      </c>
      <c r="AA2035" s="17" t="s">
        <v>919</v>
      </c>
      <c r="AB2035" s="17" t="s">
        <v>41</v>
      </c>
      <c r="AC2035" s="0" t="str">
        <f aca="false">LEFT(G2035,2)</f>
        <v>84</v>
      </c>
      <c r="AE2035" s="21"/>
    </row>
    <row r="2036" customFormat="false" ht="15" hidden="false" customHeight="false" outlineLevel="0" collapsed="false">
      <c r="A2036" s="13" t="n">
        <f aca="false">1+A2035</f>
        <v>2034</v>
      </c>
      <c r="B2036" s="14" t="n">
        <v>1009599890</v>
      </c>
      <c r="C2036" s="15" t="s">
        <v>159</v>
      </c>
      <c r="D2036" s="16" t="s">
        <v>157</v>
      </c>
      <c r="E2036" s="17" t="s">
        <v>47</v>
      </c>
      <c r="F2036" s="18" t="s">
        <v>34</v>
      </c>
      <c r="G2036" s="19" t="n">
        <v>852356716591</v>
      </c>
      <c r="H2036" s="17" t="s">
        <v>35</v>
      </c>
      <c r="I2036" s="17" t="s">
        <v>44</v>
      </c>
      <c r="J2036" s="17" t="s">
        <v>100</v>
      </c>
      <c r="K2036" s="17" t="s">
        <v>978</v>
      </c>
      <c r="L2036" s="17" t="n">
        <v>1</v>
      </c>
      <c r="M2036" s="17" t="s">
        <v>610</v>
      </c>
      <c r="N2036" s="17" t="n">
        <v>1</v>
      </c>
      <c r="O2036" s="17" t="s">
        <v>611</v>
      </c>
      <c r="P2036" s="17" t="n">
        <v>11</v>
      </c>
      <c r="Q2036" s="17" t="s">
        <v>953</v>
      </c>
      <c r="R2036" s="17" t="s">
        <v>35</v>
      </c>
      <c r="S2036" s="17" t="s">
        <v>613</v>
      </c>
      <c r="T2036" s="18" t="s">
        <v>248</v>
      </c>
      <c r="U2036" s="18" t="s">
        <v>122</v>
      </c>
      <c r="V2036" s="17" t="n">
        <v>2</v>
      </c>
      <c r="W2036" s="20" t="s">
        <v>122</v>
      </c>
      <c r="X2036" s="17" t="s">
        <v>100</v>
      </c>
      <c r="Y2036" s="17" t="s">
        <v>978</v>
      </c>
      <c r="Z2036" s="17" t="s">
        <v>1046</v>
      </c>
      <c r="AA2036" s="17" t="s">
        <v>919</v>
      </c>
      <c r="AB2036" s="17" t="s">
        <v>41</v>
      </c>
      <c r="AC2036" s="0" t="str">
        <f aca="false">LEFT(G2036,2)</f>
        <v>85</v>
      </c>
      <c r="AE2036" s="21"/>
    </row>
    <row r="2037" customFormat="false" ht="15" hidden="false" customHeight="false" outlineLevel="0" collapsed="false">
      <c r="A2037" s="13" t="n">
        <f aca="false">1+A2036</f>
        <v>2035</v>
      </c>
      <c r="B2037" s="14" t="n">
        <v>1009675868</v>
      </c>
      <c r="C2037" s="15" t="s">
        <v>436</v>
      </c>
      <c r="D2037" s="16" t="s">
        <v>147</v>
      </c>
      <c r="E2037" s="17" t="s">
        <v>47</v>
      </c>
      <c r="F2037" s="18" t="s">
        <v>34</v>
      </c>
      <c r="G2037" s="19" t="n">
        <v>844117717984</v>
      </c>
      <c r="H2037" s="17" t="s">
        <v>35</v>
      </c>
      <c r="I2037" s="17" t="s">
        <v>44</v>
      </c>
      <c r="J2037" s="17" t="s">
        <v>267</v>
      </c>
      <c r="K2037" s="17" t="s">
        <v>960</v>
      </c>
      <c r="L2037" s="17" t="n">
        <v>5</v>
      </c>
      <c r="M2037" s="17" t="s">
        <v>952</v>
      </c>
      <c r="N2037" s="17" t="n">
        <v>1</v>
      </c>
      <c r="O2037" s="17" t="s">
        <v>611</v>
      </c>
      <c r="P2037" s="17" t="n">
        <v>11</v>
      </c>
      <c r="Q2037" s="17" t="s">
        <v>953</v>
      </c>
      <c r="R2037" s="17" t="s">
        <v>35</v>
      </c>
      <c r="S2037" s="17" t="s">
        <v>613</v>
      </c>
      <c r="T2037" s="18" t="s">
        <v>248</v>
      </c>
      <c r="U2037" s="18" t="s">
        <v>122</v>
      </c>
      <c r="V2037" s="17" t="n">
        <v>2</v>
      </c>
      <c r="W2037" s="20" t="s">
        <v>122</v>
      </c>
      <c r="X2037" s="17" t="s">
        <v>267</v>
      </c>
      <c r="Y2037" s="17" t="s">
        <v>960</v>
      </c>
      <c r="Z2037" s="17" t="s">
        <v>1047</v>
      </c>
      <c r="AA2037" s="17" t="s">
        <v>919</v>
      </c>
      <c r="AB2037" s="17" t="s">
        <v>41</v>
      </c>
      <c r="AC2037" s="0" t="str">
        <f aca="false">LEFT(G2037,2)</f>
        <v>84</v>
      </c>
      <c r="AE2037" s="21"/>
    </row>
    <row r="2038" customFormat="false" ht="15" hidden="false" customHeight="false" outlineLevel="0" collapsed="false">
      <c r="A2038" s="13" t="n">
        <f aca="false">1+A2037</f>
        <v>2036</v>
      </c>
      <c r="B2038" s="14" t="n">
        <v>1009589280</v>
      </c>
      <c r="C2038" s="15" t="s">
        <v>159</v>
      </c>
      <c r="D2038" s="16" t="s">
        <v>64</v>
      </c>
      <c r="E2038" s="17" t="s">
        <v>47</v>
      </c>
      <c r="F2038" s="18" t="s">
        <v>34</v>
      </c>
      <c r="G2038" s="19" t="n">
        <v>853230771554</v>
      </c>
      <c r="H2038" s="17" t="s">
        <v>35</v>
      </c>
      <c r="I2038" s="17" t="s">
        <v>44</v>
      </c>
      <c r="J2038" s="17" t="s">
        <v>100</v>
      </c>
      <c r="K2038" s="17" t="s">
        <v>978</v>
      </c>
      <c r="L2038" s="17" t="n">
        <v>1</v>
      </c>
      <c r="M2038" s="17" t="s">
        <v>610</v>
      </c>
      <c r="N2038" s="17" t="n">
        <v>1</v>
      </c>
      <c r="O2038" s="17" t="s">
        <v>611</v>
      </c>
      <c r="P2038" s="17" t="n">
        <v>11</v>
      </c>
      <c r="Q2038" s="17" t="s">
        <v>953</v>
      </c>
      <c r="R2038" s="17" t="s">
        <v>35</v>
      </c>
      <c r="S2038" s="17" t="s">
        <v>613</v>
      </c>
      <c r="T2038" s="18" t="s">
        <v>248</v>
      </c>
      <c r="U2038" s="18" t="s">
        <v>122</v>
      </c>
      <c r="V2038" s="17" t="n">
        <v>2</v>
      </c>
      <c r="W2038" s="20" t="s">
        <v>122</v>
      </c>
      <c r="X2038" s="17" t="s">
        <v>100</v>
      </c>
      <c r="Y2038" s="17" t="s">
        <v>978</v>
      </c>
      <c r="Z2038" s="17" t="s">
        <v>1048</v>
      </c>
      <c r="AA2038" s="17" t="s">
        <v>919</v>
      </c>
      <c r="AB2038" s="17" t="s">
        <v>41</v>
      </c>
      <c r="AC2038" s="0" t="str">
        <f aca="false">LEFT(G2038,2)</f>
        <v>85</v>
      </c>
      <c r="AE2038" s="21"/>
    </row>
    <row r="2039" customFormat="false" ht="15" hidden="false" customHeight="false" outlineLevel="0" collapsed="false">
      <c r="A2039" s="13" t="n">
        <f aca="false">1+A2038</f>
        <v>2037</v>
      </c>
      <c r="B2039" s="14" t="n">
        <v>1009600424</v>
      </c>
      <c r="C2039" s="15" t="s">
        <v>159</v>
      </c>
      <c r="D2039" s="16" t="s">
        <v>64</v>
      </c>
      <c r="E2039" s="17" t="s">
        <v>64</v>
      </c>
      <c r="F2039" s="18" t="s">
        <v>34</v>
      </c>
      <c r="G2039" s="19" t="n">
        <v>844038757093</v>
      </c>
      <c r="H2039" s="17" t="s">
        <v>35</v>
      </c>
      <c r="I2039" s="17" t="s">
        <v>44</v>
      </c>
      <c r="J2039" s="17" t="s">
        <v>241</v>
      </c>
      <c r="K2039" s="17" t="s">
        <v>992</v>
      </c>
      <c r="L2039" s="17" t="n">
        <v>5</v>
      </c>
      <c r="M2039" s="17" t="s">
        <v>952</v>
      </c>
      <c r="N2039" s="17" t="n">
        <v>1</v>
      </c>
      <c r="O2039" s="17" t="s">
        <v>611</v>
      </c>
      <c r="P2039" s="17" t="n">
        <v>11</v>
      </c>
      <c r="Q2039" s="17" t="s">
        <v>953</v>
      </c>
      <c r="R2039" s="17" t="s">
        <v>35</v>
      </c>
      <c r="S2039" s="17" t="s">
        <v>613</v>
      </c>
      <c r="T2039" s="18" t="s">
        <v>248</v>
      </c>
      <c r="U2039" s="18" t="s">
        <v>122</v>
      </c>
      <c r="V2039" s="17" t="n">
        <v>2</v>
      </c>
      <c r="W2039" s="20" t="s">
        <v>122</v>
      </c>
      <c r="X2039" s="17" t="s">
        <v>241</v>
      </c>
      <c r="Y2039" s="17" t="s">
        <v>992</v>
      </c>
      <c r="Z2039" s="17" t="s">
        <v>1049</v>
      </c>
      <c r="AA2039" s="17" t="s">
        <v>919</v>
      </c>
      <c r="AB2039" s="17" t="s">
        <v>41</v>
      </c>
      <c r="AC2039" s="0" t="str">
        <f aca="false">LEFT(G2039,2)</f>
        <v>84</v>
      </c>
      <c r="AE2039" s="21"/>
    </row>
    <row r="2040" customFormat="false" ht="15" hidden="false" customHeight="false" outlineLevel="0" collapsed="false">
      <c r="A2040" s="13" t="n">
        <f aca="false">1+A2039</f>
        <v>2038</v>
      </c>
      <c r="B2040" s="14" t="n">
        <v>1009883732</v>
      </c>
      <c r="C2040" s="15" t="s">
        <v>139</v>
      </c>
      <c r="D2040" s="16" t="s">
        <v>167</v>
      </c>
      <c r="E2040" s="17" t="s">
        <v>47</v>
      </c>
      <c r="F2040" s="18" t="s">
        <v>34</v>
      </c>
      <c r="G2040" s="19" t="n">
        <v>853216761025</v>
      </c>
      <c r="H2040" s="17" t="s">
        <v>35</v>
      </c>
      <c r="I2040" s="17" t="s">
        <v>44</v>
      </c>
      <c r="J2040" s="17" t="s">
        <v>241</v>
      </c>
      <c r="K2040" s="17" t="s">
        <v>992</v>
      </c>
      <c r="L2040" s="17" t="n">
        <v>5</v>
      </c>
      <c r="M2040" s="17" t="s">
        <v>952</v>
      </c>
      <c r="N2040" s="17" t="n">
        <v>1</v>
      </c>
      <c r="O2040" s="17" t="s">
        <v>611</v>
      </c>
      <c r="P2040" s="17" t="n">
        <v>11</v>
      </c>
      <c r="Q2040" s="17" t="s">
        <v>953</v>
      </c>
      <c r="R2040" s="17" t="s">
        <v>35</v>
      </c>
      <c r="S2040" s="17" t="s">
        <v>613</v>
      </c>
      <c r="T2040" s="18" t="s">
        <v>248</v>
      </c>
      <c r="U2040" s="18" t="s">
        <v>122</v>
      </c>
      <c r="V2040" s="17" t="n">
        <v>2</v>
      </c>
      <c r="W2040" s="20" t="s">
        <v>122</v>
      </c>
      <c r="X2040" s="17" t="s">
        <v>241</v>
      </c>
      <c r="Y2040" s="17" t="s">
        <v>992</v>
      </c>
      <c r="Z2040" s="17" t="s">
        <v>1050</v>
      </c>
      <c r="AA2040" s="17" t="s">
        <v>919</v>
      </c>
      <c r="AB2040" s="17" t="s">
        <v>41</v>
      </c>
      <c r="AC2040" s="0" t="str">
        <f aca="false">LEFT(G2040,2)</f>
        <v>85</v>
      </c>
      <c r="AE2040" s="21"/>
    </row>
    <row r="2041" customFormat="false" ht="15" hidden="false" customHeight="false" outlineLevel="0" collapsed="false">
      <c r="A2041" s="13" t="n">
        <f aca="false">1+A2040</f>
        <v>2039</v>
      </c>
      <c r="B2041" s="14" t="n">
        <v>1009611189</v>
      </c>
      <c r="C2041" s="15" t="s">
        <v>181</v>
      </c>
      <c r="D2041" s="16" t="s">
        <v>64</v>
      </c>
      <c r="E2041" s="17" t="s">
        <v>64</v>
      </c>
      <c r="F2041" s="18" t="s">
        <v>34</v>
      </c>
      <c r="G2041" s="19" t="n">
        <v>853167710997</v>
      </c>
      <c r="H2041" s="17" t="s">
        <v>35</v>
      </c>
      <c r="I2041" s="17" t="s">
        <v>44</v>
      </c>
      <c r="J2041" s="17" t="s">
        <v>239</v>
      </c>
      <c r="K2041" s="17" t="s">
        <v>951</v>
      </c>
      <c r="L2041" s="17" t="n">
        <v>5</v>
      </c>
      <c r="M2041" s="17" t="s">
        <v>952</v>
      </c>
      <c r="N2041" s="17" t="n">
        <v>1</v>
      </c>
      <c r="O2041" s="17" t="s">
        <v>611</v>
      </c>
      <c r="P2041" s="17" t="n">
        <v>11</v>
      </c>
      <c r="Q2041" s="17" t="s">
        <v>953</v>
      </c>
      <c r="R2041" s="17" t="s">
        <v>35</v>
      </c>
      <c r="S2041" s="17" t="s">
        <v>613</v>
      </c>
      <c r="T2041" s="18" t="s">
        <v>248</v>
      </c>
      <c r="U2041" s="18" t="s">
        <v>122</v>
      </c>
      <c r="V2041" s="17" t="n">
        <v>2</v>
      </c>
      <c r="W2041" s="20" t="s">
        <v>122</v>
      </c>
      <c r="X2041" s="17" t="s">
        <v>239</v>
      </c>
      <c r="Y2041" s="17" t="s">
        <v>951</v>
      </c>
      <c r="Z2041" s="17" t="s">
        <v>41</v>
      </c>
      <c r="AA2041" s="17" t="s">
        <v>919</v>
      </c>
      <c r="AB2041" s="17" t="s">
        <v>41</v>
      </c>
      <c r="AC2041" s="0" t="str">
        <f aca="false">LEFT(G2041,2)</f>
        <v>85</v>
      </c>
      <c r="AE2041" s="21"/>
    </row>
    <row r="2042" customFormat="false" ht="15" hidden="false" customHeight="false" outlineLevel="0" collapsed="false">
      <c r="A2042" s="13" t="n">
        <f aca="false">1+A2041</f>
        <v>2040</v>
      </c>
      <c r="B2042" s="14" t="n">
        <v>1009556307</v>
      </c>
      <c r="C2042" s="15" t="s">
        <v>93</v>
      </c>
      <c r="D2042" s="16" t="s">
        <v>64</v>
      </c>
      <c r="E2042" s="17" t="s">
        <v>64</v>
      </c>
      <c r="F2042" s="18" t="s">
        <v>34</v>
      </c>
      <c r="G2042" s="19" t="n">
        <v>853240726085</v>
      </c>
      <c r="H2042" s="17" t="s">
        <v>35</v>
      </c>
      <c r="I2042" s="17" t="s">
        <v>44</v>
      </c>
      <c r="J2042" s="17" t="s">
        <v>121</v>
      </c>
      <c r="K2042" s="17" t="s">
        <v>955</v>
      </c>
      <c r="L2042" s="17" t="n">
        <v>2</v>
      </c>
      <c r="M2042" s="17" t="s">
        <v>981</v>
      </c>
      <c r="N2042" s="17" t="n">
        <v>1</v>
      </c>
      <c r="O2042" s="17" t="s">
        <v>611</v>
      </c>
      <c r="P2042" s="17" t="n">
        <v>11</v>
      </c>
      <c r="Q2042" s="17" t="s">
        <v>953</v>
      </c>
      <c r="R2042" s="17" t="s">
        <v>35</v>
      </c>
      <c r="S2042" s="17" t="s">
        <v>613</v>
      </c>
      <c r="T2042" s="18" t="s">
        <v>248</v>
      </c>
      <c r="U2042" s="18" t="s">
        <v>122</v>
      </c>
      <c r="V2042" s="17" t="n">
        <v>2</v>
      </c>
      <c r="W2042" s="20" t="s">
        <v>122</v>
      </c>
      <c r="X2042" s="17" t="s">
        <v>121</v>
      </c>
      <c r="Y2042" s="17" t="s">
        <v>955</v>
      </c>
      <c r="Z2042" s="17" t="s">
        <v>1051</v>
      </c>
      <c r="AA2042" s="17" t="s">
        <v>919</v>
      </c>
      <c r="AB2042" s="17" t="s">
        <v>41</v>
      </c>
      <c r="AC2042" s="0" t="str">
        <f aca="false">LEFT(G2042,2)</f>
        <v>85</v>
      </c>
      <c r="AE2042" s="21"/>
    </row>
    <row r="2043" customFormat="false" ht="15" hidden="false" customHeight="false" outlineLevel="0" collapsed="false">
      <c r="A2043" s="13" t="n">
        <f aca="false">1+A2042</f>
        <v>2041</v>
      </c>
      <c r="B2043" s="14" t="n">
        <v>1009585006</v>
      </c>
      <c r="C2043" s="15" t="s">
        <v>1052</v>
      </c>
      <c r="D2043" s="16" t="s">
        <v>64</v>
      </c>
      <c r="E2043" s="17" t="s">
        <v>64</v>
      </c>
      <c r="F2043" s="18" t="s">
        <v>34</v>
      </c>
      <c r="G2043" s="19" t="n">
        <v>853100779190</v>
      </c>
      <c r="H2043" s="17" t="s">
        <v>35</v>
      </c>
      <c r="I2043" s="17" t="s">
        <v>44</v>
      </c>
      <c r="J2043" s="17" t="s">
        <v>241</v>
      </c>
      <c r="K2043" s="17" t="s">
        <v>992</v>
      </c>
      <c r="L2043" s="17" t="n">
        <v>5</v>
      </c>
      <c r="M2043" s="17" t="s">
        <v>952</v>
      </c>
      <c r="N2043" s="17" t="n">
        <v>1</v>
      </c>
      <c r="O2043" s="17" t="s">
        <v>611</v>
      </c>
      <c r="P2043" s="17" t="n">
        <v>11</v>
      </c>
      <c r="Q2043" s="17" t="s">
        <v>953</v>
      </c>
      <c r="R2043" s="17" t="s">
        <v>35</v>
      </c>
      <c r="S2043" s="17" t="s">
        <v>613</v>
      </c>
      <c r="T2043" s="18" t="s">
        <v>248</v>
      </c>
      <c r="U2043" s="18" t="s">
        <v>122</v>
      </c>
      <c r="V2043" s="17" t="n">
        <v>2</v>
      </c>
      <c r="W2043" s="20" t="s">
        <v>122</v>
      </c>
      <c r="X2043" s="17" t="s">
        <v>241</v>
      </c>
      <c r="Y2043" s="17" t="s">
        <v>992</v>
      </c>
      <c r="Z2043" s="17" t="s">
        <v>397</v>
      </c>
      <c r="AA2043" s="17" t="s">
        <v>919</v>
      </c>
      <c r="AB2043" s="17" t="s">
        <v>41</v>
      </c>
      <c r="AC2043" s="0" t="str">
        <f aca="false">LEFT(G2043,2)</f>
        <v>85</v>
      </c>
      <c r="AE2043" s="21"/>
    </row>
    <row r="2044" customFormat="false" ht="15" hidden="false" customHeight="false" outlineLevel="0" collapsed="false">
      <c r="A2044" s="13" t="n">
        <f aca="false">1+A2043</f>
        <v>2042</v>
      </c>
      <c r="B2044" s="14" t="n">
        <v>1009636230</v>
      </c>
      <c r="C2044" s="15" t="s">
        <v>182</v>
      </c>
      <c r="D2044" s="16" t="s">
        <v>64</v>
      </c>
      <c r="E2044" s="17" t="s">
        <v>1053</v>
      </c>
      <c r="F2044" s="18" t="s">
        <v>34</v>
      </c>
      <c r="G2044" s="19" t="n">
        <v>853083778995</v>
      </c>
      <c r="H2044" s="17" t="s">
        <v>35</v>
      </c>
      <c r="I2044" s="17" t="s">
        <v>44</v>
      </c>
      <c r="J2044" s="17" t="s">
        <v>121</v>
      </c>
      <c r="K2044" s="17" t="s">
        <v>955</v>
      </c>
      <c r="L2044" s="17" t="n">
        <v>5</v>
      </c>
      <c r="M2044" s="17" t="s">
        <v>952</v>
      </c>
      <c r="N2044" s="17" t="n">
        <v>28</v>
      </c>
      <c r="O2044" s="17" t="s">
        <v>1054</v>
      </c>
      <c r="P2044" s="17" t="n">
        <v>11</v>
      </c>
      <c r="Q2044" s="17" t="s">
        <v>953</v>
      </c>
      <c r="R2044" s="17" t="s">
        <v>35</v>
      </c>
      <c r="S2044" s="17" t="s">
        <v>613</v>
      </c>
      <c r="T2044" s="18" t="s">
        <v>248</v>
      </c>
      <c r="U2044" s="18" t="s">
        <v>122</v>
      </c>
      <c r="V2044" s="17" t="n">
        <v>2</v>
      </c>
      <c r="W2044" s="20" t="s">
        <v>122</v>
      </c>
      <c r="X2044" s="17" t="s">
        <v>121</v>
      </c>
      <c r="Y2044" s="17" t="s">
        <v>955</v>
      </c>
      <c r="Z2044" s="17" t="s">
        <v>526</v>
      </c>
      <c r="AA2044" s="17" t="s">
        <v>919</v>
      </c>
      <c r="AB2044" s="17" t="s">
        <v>41</v>
      </c>
      <c r="AC2044" s="0" t="str">
        <f aca="false">LEFT(G2044,2)</f>
        <v>85</v>
      </c>
      <c r="AE2044" s="21"/>
    </row>
    <row r="2045" customFormat="false" ht="15" hidden="false" customHeight="false" outlineLevel="0" collapsed="false">
      <c r="A2045" s="13" t="n">
        <f aca="false">1+A2044</f>
        <v>2043</v>
      </c>
      <c r="B2045" s="14" t="n">
        <v>1009557669</v>
      </c>
      <c r="C2045" s="15" t="s">
        <v>192</v>
      </c>
      <c r="D2045" s="16" t="s">
        <v>64</v>
      </c>
      <c r="E2045" s="17" t="s">
        <v>47</v>
      </c>
      <c r="F2045" s="18" t="s">
        <v>34</v>
      </c>
      <c r="G2045" s="19" t="n">
        <v>853160718633</v>
      </c>
      <c r="H2045" s="17" t="s">
        <v>35</v>
      </c>
      <c r="I2045" s="17" t="s">
        <v>44</v>
      </c>
      <c r="J2045" s="17" t="s">
        <v>239</v>
      </c>
      <c r="K2045" s="17" t="s">
        <v>951</v>
      </c>
      <c r="L2045" s="17" t="n">
        <v>5</v>
      </c>
      <c r="M2045" s="17" t="s">
        <v>952</v>
      </c>
      <c r="N2045" s="17" t="n">
        <v>1</v>
      </c>
      <c r="O2045" s="17" t="s">
        <v>611</v>
      </c>
      <c r="P2045" s="17" t="n">
        <v>11</v>
      </c>
      <c r="Q2045" s="17" t="s">
        <v>953</v>
      </c>
      <c r="R2045" s="17" t="s">
        <v>35</v>
      </c>
      <c r="S2045" s="17" t="s">
        <v>613</v>
      </c>
      <c r="T2045" s="18" t="s">
        <v>248</v>
      </c>
      <c r="U2045" s="18" t="s">
        <v>122</v>
      </c>
      <c r="V2045" s="17" t="n">
        <v>2</v>
      </c>
      <c r="W2045" s="20" t="s">
        <v>122</v>
      </c>
      <c r="X2045" s="17" t="s">
        <v>239</v>
      </c>
      <c r="Y2045" s="17" t="s">
        <v>951</v>
      </c>
      <c r="Z2045" s="17" t="s">
        <v>127</v>
      </c>
      <c r="AA2045" s="17" t="s">
        <v>919</v>
      </c>
      <c r="AB2045" s="17" t="s">
        <v>41</v>
      </c>
      <c r="AC2045" s="0" t="str">
        <f aca="false">LEFT(G2045,2)</f>
        <v>85</v>
      </c>
      <c r="AE2045" s="21"/>
    </row>
    <row r="2046" customFormat="false" ht="15" hidden="false" customHeight="false" outlineLevel="0" collapsed="false">
      <c r="A2046" s="13" t="n">
        <f aca="false">1+A2045</f>
        <v>2044</v>
      </c>
      <c r="B2046" s="14" t="n">
        <v>1009513831</v>
      </c>
      <c r="C2046" s="15" t="s">
        <v>232</v>
      </c>
      <c r="D2046" s="16" t="s">
        <v>64</v>
      </c>
      <c r="E2046" s="17" t="s">
        <v>47</v>
      </c>
      <c r="F2046" s="18" t="s">
        <v>34</v>
      </c>
      <c r="G2046" s="19" t="n">
        <v>844096796090</v>
      </c>
      <c r="H2046" s="17" t="s">
        <v>35</v>
      </c>
      <c r="I2046" s="17" t="s">
        <v>44</v>
      </c>
      <c r="J2046" s="17" t="s">
        <v>964</v>
      </c>
      <c r="K2046" s="17" t="s">
        <v>965</v>
      </c>
      <c r="L2046" s="17" t="n">
        <v>5</v>
      </c>
      <c r="M2046" s="17" t="s">
        <v>952</v>
      </c>
      <c r="N2046" s="17" t="n">
        <v>1</v>
      </c>
      <c r="O2046" s="17" t="s">
        <v>611</v>
      </c>
      <c r="P2046" s="17" t="n">
        <v>11</v>
      </c>
      <c r="Q2046" s="17" t="s">
        <v>953</v>
      </c>
      <c r="R2046" s="17" t="s">
        <v>35</v>
      </c>
      <c r="S2046" s="17" t="s">
        <v>613</v>
      </c>
      <c r="T2046" s="18" t="s">
        <v>248</v>
      </c>
      <c r="U2046" s="18" t="s">
        <v>122</v>
      </c>
      <c r="V2046" s="17" t="n">
        <v>2</v>
      </c>
      <c r="W2046" s="20" t="s">
        <v>122</v>
      </c>
      <c r="X2046" s="17" t="s">
        <v>964</v>
      </c>
      <c r="Y2046" s="17" t="s">
        <v>965</v>
      </c>
      <c r="Z2046" s="17" t="s">
        <v>1055</v>
      </c>
      <c r="AA2046" s="17" t="s">
        <v>919</v>
      </c>
      <c r="AB2046" s="17" t="s">
        <v>41</v>
      </c>
      <c r="AC2046" s="0" t="str">
        <f aca="false">LEFT(G2046,2)</f>
        <v>84</v>
      </c>
      <c r="AE2046" s="21"/>
    </row>
    <row r="2047" customFormat="false" ht="15" hidden="false" customHeight="false" outlineLevel="0" collapsed="false">
      <c r="A2047" s="13" t="n">
        <f aca="false">1+A2046</f>
        <v>2045</v>
      </c>
      <c r="B2047" s="14" t="n">
        <v>1009611104</v>
      </c>
      <c r="C2047" s="15" t="s">
        <v>181</v>
      </c>
      <c r="D2047" s="16" t="s">
        <v>88</v>
      </c>
      <c r="E2047" s="17" t="s">
        <v>47</v>
      </c>
      <c r="F2047" s="18" t="s">
        <v>34</v>
      </c>
      <c r="G2047" s="19" t="n">
        <v>854167790567</v>
      </c>
      <c r="H2047" s="17" t="s">
        <v>35</v>
      </c>
      <c r="I2047" s="17" t="s">
        <v>44</v>
      </c>
      <c r="J2047" s="17" t="s">
        <v>239</v>
      </c>
      <c r="K2047" s="17" t="s">
        <v>951</v>
      </c>
      <c r="L2047" s="17" t="n">
        <v>5</v>
      </c>
      <c r="M2047" s="17" t="s">
        <v>952</v>
      </c>
      <c r="N2047" s="17" t="n">
        <v>1</v>
      </c>
      <c r="O2047" s="17" t="s">
        <v>611</v>
      </c>
      <c r="P2047" s="17" t="n">
        <v>12</v>
      </c>
      <c r="Q2047" s="17" t="s">
        <v>953</v>
      </c>
      <c r="R2047" s="17" t="s">
        <v>35</v>
      </c>
      <c r="S2047" s="17" t="s">
        <v>613</v>
      </c>
      <c r="T2047" s="18" t="s">
        <v>248</v>
      </c>
      <c r="U2047" s="18" t="s">
        <v>101</v>
      </c>
      <c r="V2047" s="17" t="n">
        <v>8</v>
      </c>
      <c r="W2047" s="20" t="s">
        <v>101</v>
      </c>
      <c r="X2047" s="17" t="s">
        <v>239</v>
      </c>
      <c r="Y2047" s="17" t="s">
        <v>951</v>
      </c>
      <c r="Z2047" s="17" t="s">
        <v>127</v>
      </c>
      <c r="AA2047" s="17" t="s">
        <v>919</v>
      </c>
      <c r="AB2047" s="17" t="s">
        <v>41</v>
      </c>
      <c r="AC2047" s="0" t="str">
        <f aca="false">LEFT(G2047,2)</f>
        <v>85</v>
      </c>
      <c r="AE2047" s="21"/>
    </row>
    <row r="2048" customFormat="false" ht="15" hidden="false" customHeight="false" outlineLevel="0" collapsed="false">
      <c r="A2048" s="13" t="n">
        <f aca="false">1+A2047</f>
        <v>2046</v>
      </c>
      <c r="B2048" s="14" t="n">
        <v>1009556656</v>
      </c>
      <c r="C2048" s="15" t="s">
        <v>192</v>
      </c>
      <c r="D2048" s="16" t="s">
        <v>64</v>
      </c>
      <c r="E2048" s="17" t="s">
        <v>47</v>
      </c>
      <c r="F2048" s="18" t="s">
        <v>34</v>
      </c>
      <c r="G2048" s="19" t="n">
        <v>743028430820</v>
      </c>
      <c r="H2048" s="17" t="s">
        <v>35</v>
      </c>
      <c r="I2048" s="17" t="s">
        <v>44</v>
      </c>
      <c r="J2048" s="17" t="s">
        <v>111</v>
      </c>
      <c r="K2048" s="17" t="s">
        <v>958</v>
      </c>
      <c r="L2048" s="17" t="n">
        <v>5</v>
      </c>
      <c r="M2048" s="17" t="s">
        <v>952</v>
      </c>
      <c r="N2048" s="17" t="n">
        <v>1</v>
      </c>
      <c r="O2048" s="17" t="s">
        <v>611</v>
      </c>
      <c r="P2048" s="17" t="n">
        <v>11</v>
      </c>
      <c r="Q2048" s="17" t="s">
        <v>953</v>
      </c>
      <c r="R2048" s="17" t="s">
        <v>35</v>
      </c>
      <c r="S2048" s="17" t="s">
        <v>613</v>
      </c>
      <c r="T2048" s="18" t="s">
        <v>248</v>
      </c>
      <c r="U2048" s="18" t="s">
        <v>122</v>
      </c>
      <c r="V2048" s="17" t="n">
        <v>2</v>
      </c>
      <c r="W2048" s="20" t="s">
        <v>122</v>
      </c>
      <c r="X2048" s="17" t="s">
        <v>111</v>
      </c>
      <c r="Y2048" s="17" t="s">
        <v>958</v>
      </c>
      <c r="Z2048" s="17" t="s">
        <v>1056</v>
      </c>
      <c r="AA2048" s="17" t="s">
        <v>919</v>
      </c>
      <c r="AB2048" s="17" t="s">
        <v>41</v>
      </c>
      <c r="AC2048" s="0" t="str">
        <f aca="false">LEFT(G2048,2)</f>
        <v>74</v>
      </c>
      <c r="AE2048" s="21"/>
    </row>
    <row r="2049" customFormat="false" ht="15" hidden="false" customHeight="false" outlineLevel="0" collapsed="false">
      <c r="A2049" s="13" t="n">
        <f aca="false">1+A2048</f>
        <v>2047</v>
      </c>
      <c r="B2049" s="14" t="n">
        <v>1009558526</v>
      </c>
      <c r="C2049" s="15" t="s">
        <v>192</v>
      </c>
      <c r="D2049" s="16" t="s">
        <v>64</v>
      </c>
      <c r="E2049" s="17" t="s">
        <v>64</v>
      </c>
      <c r="F2049" s="18" t="s">
        <v>34</v>
      </c>
      <c r="G2049" s="19" t="n">
        <v>743022039007</v>
      </c>
      <c r="H2049" s="17" t="s">
        <v>35</v>
      </c>
      <c r="I2049" s="17" t="s">
        <v>44</v>
      </c>
      <c r="J2049" s="17" t="s">
        <v>111</v>
      </c>
      <c r="K2049" s="17" t="s">
        <v>958</v>
      </c>
      <c r="L2049" s="17" t="n">
        <v>1</v>
      </c>
      <c r="M2049" s="17" t="s">
        <v>610</v>
      </c>
      <c r="N2049" s="17" t="n">
        <v>1</v>
      </c>
      <c r="O2049" s="17" t="s">
        <v>611</v>
      </c>
      <c r="P2049" s="17" t="n">
        <v>11</v>
      </c>
      <c r="Q2049" s="17" t="s">
        <v>953</v>
      </c>
      <c r="R2049" s="17" t="s">
        <v>35</v>
      </c>
      <c r="S2049" s="17" t="s">
        <v>613</v>
      </c>
      <c r="T2049" s="18" t="s">
        <v>248</v>
      </c>
      <c r="U2049" s="18" t="s">
        <v>122</v>
      </c>
      <c r="V2049" s="17" t="n">
        <v>2</v>
      </c>
      <c r="W2049" s="20" t="s">
        <v>122</v>
      </c>
      <c r="X2049" s="17" t="s">
        <v>111</v>
      </c>
      <c r="Y2049" s="17" t="s">
        <v>958</v>
      </c>
      <c r="Z2049" s="17" t="s">
        <v>1057</v>
      </c>
      <c r="AA2049" s="17" t="s">
        <v>919</v>
      </c>
      <c r="AB2049" s="17" t="s">
        <v>41</v>
      </c>
      <c r="AC2049" s="0" t="str">
        <f aca="false">LEFT(G2049,2)</f>
        <v>74</v>
      </c>
      <c r="AE2049" s="21"/>
    </row>
    <row r="2050" customFormat="false" ht="15" hidden="false" customHeight="false" outlineLevel="0" collapsed="false">
      <c r="A2050" s="13" t="n">
        <f aca="false">1+A2049</f>
        <v>2048</v>
      </c>
      <c r="B2050" s="14" t="n">
        <v>1009509643</v>
      </c>
      <c r="C2050" s="15" t="s">
        <v>95</v>
      </c>
      <c r="D2050" s="16" t="s">
        <v>143</v>
      </c>
      <c r="E2050" s="17" t="s">
        <v>33</v>
      </c>
      <c r="F2050" s="18" t="s">
        <v>34</v>
      </c>
      <c r="G2050" s="19" t="n">
        <v>742310028573</v>
      </c>
      <c r="H2050" s="17" t="s">
        <v>35</v>
      </c>
      <c r="I2050" s="17" t="s">
        <v>44</v>
      </c>
      <c r="J2050" s="17" t="s">
        <v>241</v>
      </c>
      <c r="K2050" s="17" t="s">
        <v>992</v>
      </c>
      <c r="L2050" s="17" t="n">
        <v>5</v>
      </c>
      <c r="M2050" s="17" t="s">
        <v>952</v>
      </c>
      <c r="N2050" s="17" t="n">
        <v>1</v>
      </c>
      <c r="O2050" s="17" t="s">
        <v>611</v>
      </c>
      <c r="P2050" s="17" t="n">
        <v>11</v>
      </c>
      <c r="Q2050" s="17" t="s">
        <v>953</v>
      </c>
      <c r="R2050" s="17" t="s">
        <v>35</v>
      </c>
      <c r="S2050" s="17" t="s">
        <v>613</v>
      </c>
      <c r="T2050" s="18" t="s">
        <v>248</v>
      </c>
      <c r="U2050" s="18" t="s">
        <v>122</v>
      </c>
      <c r="V2050" s="17" t="n">
        <v>2</v>
      </c>
      <c r="W2050" s="20" t="s">
        <v>122</v>
      </c>
      <c r="X2050" s="17" t="s">
        <v>241</v>
      </c>
      <c r="Y2050" s="17" t="s">
        <v>992</v>
      </c>
      <c r="Z2050" s="17" t="s">
        <v>409</v>
      </c>
      <c r="AA2050" s="17" t="s">
        <v>919</v>
      </c>
      <c r="AB2050" s="17" t="s">
        <v>41</v>
      </c>
      <c r="AC2050" s="0" t="str">
        <f aca="false">LEFT(G2050,2)</f>
        <v>74</v>
      </c>
      <c r="AE2050" s="21"/>
    </row>
    <row r="2051" customFormat="false" ht="15" hidden="false" customHeight="false" outlineLevel="0" collapsed="false">
      <c r="A2051" s="13" t="n">
        <f aca="false">1+A2050</f>
        <v>2049</v>
      </c>
      <c r="B2051" s="14" t="n">
        <v>1009513909</v>
      </c>
      <c r="C2051" s="15" t="s">
        <v>232</v>
      </c>
      <c r="D2051" s="16" t="s">
        <v>64</v>
      </c>
      <c r="E2051" s="17" t="s">
        <v>47</v>
      </c>
      <c r="F2051" s="18" t="s">
        <v>34</v>
      </c>
      <c r="G2051" s="19" t="n">
        <v>743032648391</v>
      </c>
      <c r="H2051" s="17" t="s">
        <v>35</v>
      </c>
      <c r="I2051" s="17" t="s">
        <v>44</v>
      </c>
      <c r="J2051" s="17" t="s">
        <v>241</v>
      </c>
      <c r="K2051" s="17" t="s">
        <v>992</v>
      </c>
      <c r="L2051" s="17" t="n">
        <v>5</v>
      </c>
      <c r="M2051" s="17" t="s">
        <v>952</v>
      </c>
      <c r="N2051" s="17" t="n">
        <v>1</v>
      </c>
      <c r="O2051" s="17" t="s">
        <v>611</v>
      </c>
      <c r="P2051" s="17" t="n">
        <v>11</v>
      </c>
      <c r="Q2051" s="17" t="s">
        <v>953</v>
      </c>
      <c r="R2051" s="17" t="s">
        <v>35</v>
      </c>
      <c r="S2051" s="17" t="s">
        <v>613</v>
      </c>
      <c r="T2051" s="18" t="s">
        <v>248</v>
      </c>
      <c r="U2051" s="18" t="s">
        <v>122</v>
      </c>
      <c r="V2051" s="17" t="n">
        <v>2</v>
      </c>
      <c r="W2051" s="20" t="s">
        <v>122</v>
      </c>
      <c r="X2051" s="17" t="s">
        <v>241</v>
      </c>
      <c r="Y2051" s="17" t="s">
        <v>992</v>
      </c>
      <c r="Z2051" s="17" t="s">
        <v>1058</v>
      </c>
      <c r="AA2051" s="17" t="s">
        <v>919</v>
      </c>
      <c r="AB2051" s="17" t="s">
        <v>41</v>
      </c>
      <c r="AC2051" s="0" t="str">
        <f aca="false">LEFT(G2051,2)</f>
        <v>74</v>
      </c>
      <c r="AE2051" s="21"/>
    </row>
    <row r="2052" customFormat="false" ht="15" hidden="false" customHeight="false" outlineLevel="0" collapsed="false">
      <c r="A2052" s="13" t="n">
        <f aca="false">1+A2051</f>
        <v>2050</v>
      </c>
      <c r="B2052" s="14" t="n">
        <v>1009441792</v>
      </c>
      <c r="C2052" s="15" t="s">
        <v>197</v>
      </c>
      <c r="D2052" s="16" t="s">
        <v>210</v>
      </c>
      <c r="E2052" s="17" t="s">
        <v>47</v>
      </c>
      <c r="F2052" s="18" t="s">
        <v>34</v>
      </c>
      <c r="G2052" s="19" t="n">
        <v>752223768124</v>
      </c>
      <c r="H2052" s="17" t="s">
        <v>35</v>
      </c>
      <c r="I2052" s="17" t="s">
        <v>44</v>
      </c>
      <c r="J2052" s="17" t="s">
        <v>121</v>
      </c>
      <c r="K2052" s="17" t="s">
        <v>955</v>
      </c>
      <c r="L2052" s="17" t="n">
        <v>1</v>
      </c>
      <c r="M2052" s="17" t="s">
        <v>610</v>
      </c>
      <c r="N2052" s="17" t="n">
        <v>1</v>
      </c>
      <c r="O2052" s="17" t="s">
        <v>611</v>
      </c>
      <c r="P2052" s="17" t="n">
        <v>11</v>
      </c>
      <c r="Q2052" s="17" t="s">
        <v>953</v>
      </c>
      <c r="R2052" s="17" t="s">
        <v>35</v>
      </c>
      <c r="S2052" s="17" t="s">
        <v>613</v>
      </c>
      <c r="T2052" s="18" t="s">
        <v>248</v>
      </c>
      <c r="U2052" s="18" t="s">
        <v>122</v>
      </c>
      <c r="V2052" s="17" t="n">
        <v>2</v>
      </c>
      <c r="W2052" s="20" t="s">
        <v>122</v>
      </c>
      <c r="X2052" s="17" t="s">
        <v>121</v>
      </c>
      <c r="Y2052" s="17" t="s">
        <v>955</v>
      </c>
      <c r="Z2052" s="17" t="s">
        <v>1059</v>
      </c>
      <c r="AA2052" s="17" t="s">
        <v>919</v>
      </c>
      <c r="AB2052" s="17" t="s">
        <v>41</v>
      </c>
      <c r="AC2052" s="0" t="str">
        <f aca="false">LEFT(G2052,2)</f>
        <v>75</v>
      </c>
      <c r="AE2052" s="21"/>
    </row>
    <row r="2053" customFormat="false" ht="15" hidden="false" customHeight="false" outlineLevel="0" collapsed="false">
      <c r="A2053" s="13" t="n">
        <f aca="false">1+A2052</f>
        <v>2051</v>
      </c>
      <c r="B2053" s="14" t="n">
        <v>1009526430</v>
      </c>
      <c r="C2053" s="15" t="s">
        <v>162</v>
      </c>
      <c r="D2053" s="16" t="s">
        <v>64</v>
      </c>
      <c r="E2053" s="17" t="s">
        <v>114</v>
      </c>
      <c r="F2053" s="18" t="s">
        <v>34</v>
      </c>
      <c r="G2053" s="19" t="n">
        <v>752055118539</v>
      </c>
      <c r="H2053" s="17" t="s">
        <v>35</v>
      </c>
      <c r="I2053" s="17" t="s">
        <v>44</v>
      </c>
      <c r="J2053" s="17" t="s">
        <v>111</v>
      </c>
      <c r="K2053" s="17" t="s">
        <v>958</v>
      </c>
      <c r="L2053" s="17" t="n">
        <v>1</v>
      </c>
      <c r="M2053" s="17" t="s">
        <v>610</v>
      </c>
      <c r="N2053" s="17" t="n">
        <v>1</v>
      </c>
      <c r="O2053" s="17" t="s">
        <v>611</v>
      </c>
      <c r="P2053" s="17" t="n">
        <v>11</v>
      </c>
      <c r="Q2053" s="17" t="s">
        <v>953</v>
      </c>
      <c r="R2053" s="17" t="s">
        <v>35</v>
      </c>
      <c r="S2053" s="17" t="s">
        <v>613</v>
      </c>
      <c r="T2053" s="18" t="s">
        <v>248</v>
      </c>
      <c r="U2053" s="18" t="s">
        <v>122</v>
      </c>
      <c r="V2053" s="17" t="n">
        <v>2</v>
      </c>
      <c r="W2053" s="20" t="s">
        <v>122</v>
      </c>
      <c r="X2053" s="17" t="s">
        <v>111</v>
      </c>
      <c r="Y2053" s="17" t="s">
        <v>958</v>
      </c>
      <c r="Z2053" s="17" t="s">
        <v>1060</v>
      </c>
      <c r="AA2053" s="17" t="s">
        <v>919</v>
      </c>
      <c r="AB2053" s="17" t="s">
        <v>41</v>
      </c>
      <c r="AC2053" s="0" t="str">
        <f aca="false">LEFT(G2053,2)</f>
        <v>75</v>
      </c>
      <c r="AE2053" s="21"/>
    </row>
    <row r="2054" customFormat="false" ht="15" hidden="false" customHeight="false" outlineLevel="0" collapsed="false">
      <c r="A2054" s="13" t="n">
        <f aca="false">1+A2053</f>
        <v>2052</v>
      </c>
      <c r="B2054" s="14" t="n">
        <v>1009442300</v>
      </c>
      <c r="C2054" s="15" t="s">
        <v>197</v>
      </c>
      <c r="D2054" s="16" t="s">
        <v>143</v>
      </c>
      <c r="E2054" s="17" t="s">
        <v>33</v>
      </c>
      <c r="F2054" s="18" t="s">
        <v>34</v>
      </c>
      <c r="G2054" s="19" t="n">
        <v>742312021824</v>
      </c>
      <c r="H2054" s="17" t="s">
        <v>35</v>
      </c>
      <c r="I2054" s="17" t="s">
        <v>44</v>
      </c>
      <c r="J2054" s="17" t="s">
        <v>111</v>
      </c>
      <c r="K2054" s="17" t="s">
        <v>958</v>
      </c>
      <c r="L2054" s="17" t="n">
        <v>1</v>
      </c>
      <c r="M2054" s="17" t="s">
        <v>610</v>
      </c>
      <c r="N2054" s="17" t="n">
        <v>1</v>
      </c>
      <c r="O2054" s="17" t="s">
        <v>611</v>
      </c>
      <c r="P2054" s="17" t="n">
        <v>11</v>
      </c>
      <c r="Q2054" s="17" t="s">
        <v>953</v>
      </c>
      <c r="R2054" s="17" t="s">
        <v>35</v>
      </c>
      <c r="S2054" s="17" t="s">
        <v>613</v>
      </c>
      <c r="T2054" s="18" t="s">
        <v>248</v>
      </c>
      <c r="U2054" s="18" t="s">
        <v>122</v>
      </c>
      <c r="V2054" s="17" t="n">
        <v>2</v>
      </c>
      <c r="W2054" s="20" t="s">
        <v>122</v>
      </c>
      <c r="X2054" s="17" t="s">
        <v>111</v>
      </c>
      <c r="Y2054" s="17" t="s">
        <v>958</v>
      </c>
      <c r="Z2054" s="17" t="s">
        <v>1061</v>
      </c>
      <c r="AA2054" s="17" t="s">
        <v>919</v>
      </c>
      <c r="AB2054" s="17" t="s">
        <v>41</v>
      </c>
      <c r="AC2054" s="0" t="str">
        <f aca="false">LEFT(G2054,2)</f>
        <v>74</v>
      </c>
      <c r="AE2054" s="21"/>
    </row>
    <row r="2055" customFormat="false" ht="15" hidden="false" customHeight="false" outlineLevel="0" collapsed="false">
      <c r="A2055" s="13" t="n">
        <f aca="false">1+A2054</f>
        <v>2053</v>
      </c>
      <c r="B2055" s="14" t="n">
        <v>1009618236</v>
      </c>
      <c r="C2055" s="15" t="s">
        <v>184</v>
      </c>
      <c r="D2055" s="16" t="s">
        <v>64</v>
      </c>
      <c r="E2055" s="17" t="s">
        <v>64</v>
      </c>
      <c r="F2055" s="18" t="s">
        <v>34</v>
      </c>
      <c r="G2055" s="19" t="n">
        <v>743098038404</v>
      </c>
      <c r="H2055" s="17" t="s">
        <v>35</v>
      </c>
      <c r="I2055" s="17" t="s">
        <v>44</v>
      </c>
      <c r="J2055" s="17" t="s">
        <v>241</v>
      </c>
      <c r="K2055" s="17" t="s">
        <v>992</v>
      </c>
      <c r="L2055" s="17" t="n">
        <v>5</v>
      </c>
      <c r="M2055" s="17" t="s">
        <v>952</v>
      </c>
      <c r="N2055" s="17" t="n">
        <v>1</v>
      </c>
      <c r="O2055" s="17" t="s">
        <v>611</v>
      </c>
      <c r="P2055" s="17" t="n">
        <v>11</v>
      </c>
      <c r="Q2055" s="17" t="s">
        <v>953</v>
      </c>
      <c r="R2055" s="17" t="s">
        <v>35</v>
      </c>
      <c r="S2055" s="17" t="s">
        <v>613</v>
      </c>
      <c r="T2055" s="18" t="s">
        <v>248</v>
      </c>
      <c r="U2055" s="18" t="s">
        <v>122</v>
      </c>
      <c r="V2055" s="17" t="n">
        <v>2</v>
      </c>
      <c r="W2055" s="20" t="s">
        <v>122</v>
      </c>
      <c r="X2055" s="17" t="s">
        <v>241</v>
      </c>
      <c r="Y2055" s="17" t="s">
        <v>992</v>
      </c>
      <c r="Z2055" s="17" t="s">
        <v>1062</v>
      </c>
      <c r="AA2055" s="17" t="s">
        <v>919</v>
      </c>
      <c r="AB2055" s="17" t="s">
        <v>41</v>
      </c>
      <c r="AC2055" s="0" t="str">
        <f aca="false">LEFT(G2055,2)</f>
        <v>74</v>
      </c>
      <c r="AE2055" s="21"/>
    </row>
    <row r="2056" customFormat="false" ht="15" hidden="false" customHeight="false" outlineLevel="0" collapsed="false">
      <c r="A2056" s="13" t="n">
        <f aca="false">1+A2055</f>
        <v>2054</v>
      </c>
      <c r="B2056" s="14" t="n">
        <v>1009636111</v>
      </c>
      <c r="C2056" s="15" t="s">
        <v>182</v>
      </c>
      <c r="D2056" s="16" t="s">
        <v>64</v>
      </c>
      <c r="E2056" s="17" t="s">
        <v>200</v>
      </c>
      <c r="F2056" s="18" t="s">
        <v>34</v>
      </c>
      <c r="G2056" s="19" t="n">
        <v>743032652187</v>
      </c>
      <c r="H2056" s="17" t="s">
        <v>35</v>
      </c>
      <c r="I2056" s="17" t="s">
        <v>44</v>
      </c>
      <c r="J2056" s="17" t="s">
        <v>241</v>
      </c>
      <c r="K2056" s="17" t="s">
        <v>992</v>
      </c>
      <c r="L2056" s="17" t="n">
        <v>5</v>
      </c>
      <c r="M2056" s="17" t="s">
        <v>952</v>
      </c>
      <c r="N2056" s="17" t="n">
        <v>1</v>
      </c>
      <c r="O2056" s="17" t="s">
        <v>611</v>
      </c>
      <c r="P2056" s="17" t="n">
        <v>11</v>
      </c>
      <c r="Q2056" s="17" t="s">
        <v>953</v>
      </c>
      <c r="R2056" s="17" t="s">
        <v>35</v>
      </c>
      <c r="S2056" s="17" t="s">
        <v>613</v>
      </c>
      <c r="T2056" s="18" t="s">
        <v>248</v>
      </c>
      <c r="U2056" s="18" t="s">
        <v>122</v>
      </c>
      <c r="V2056" s="17" t="n">
        <v>2</v>
      </c>
      <c r="W2056" s="20" t="s">
        <v>122</v>
      </c>
      <c r="X2056" s="17" t="s">
        <v>241</v>
      </c>
      <c r="Y2056" s="17" t="s">
        <v>992</v>
      </c>
      <c r="Z2056" s="17" t="s">
        <v>1063</v>
      </c>
      <c r="AA2056" s="17" t="s">
        <v>919</v>
      </c>
      <c r="AB2056" s="17" t="s">
        <v>41</v>
      </c>
      <c r="AC2056" s="0" t="str">
        <f aca="false">LEFT(G2056,2)</f>
        <v>74</v>
      </c>
      <c r="AE2056" s="21"/>
    </row>
    <row r="2057" customFormat="false" ht="15" hidden="false" customHeight="false" outlineLevel="0" collapsed="false">
      <c r="A2057" s="13" t="n">
        <f aca="false">1+A2056</f>
        <v>2055</v>
      </c>
      <c r="B2057" s="14" t="n">
        <v>1009634066</v>
      </c>
      <c r="C2057" s="15" t="s">
        <v>182</v>
      </c>
      <c r="D2057" s="16" t="s">
        <v>64</v>
      </c>
      <c r="E2057" s="17" t="s">
        <v>114</v>
      </c>
      <c r="F2057" s="18" t="s">
        <v>34</v>
      </c>
      <c r="G2057" s="19" t="n">
        <v>853239722277</v>
      </c>
      <c r="H2057" s="17" t="s">
        <v>35</v>
      </c>
      <c r="I2057" s="17" t="s">
        <v>44</v>
      </c>
      <c r="J2057" s="17" t="s">
        <v>267</v>
      </c>
      <c r="K2057" s="17" t="s">
        <v>960</v>
      </c>
      <c r="L2057" s="17" t="n">
        <v>1</v>
      </c>
      <c r="M2057" s="17" t="s">
        <v>610</v>
      </c>
      <c r="N2057" s="17" t="n">
        <v>1</v>
      </c>
      <c r="O2057" s="17" t="s">
        <v>611</v>
      </c>
      <c r="P2057" s="17" t="n">
        <v>11</v>
      </c>
      <c r="Q2057" s="17" t="s">
        <v>953</v>
      </c>
      <c r="R2057" s="17" t="s">
        <v>35</v>
      </c>
      <c r="S2057" s="17" t="s">
        <v>613</v>
      </c>
      <c r="T2057" s="18" t="s">
        <v>248</v>
      </c>
      <c r="U2057" s="18" t="s">
        <v>122</v>
      </c>
      <c r="V2057" s="17" t="n">
        <v>2</v>
      </c>
      <c r="W2057" s="20" t="s">
        <v>122</v>
      </c>
      <c r="X2057" s="17" t="s">
        <v>267</v>
      </c>
      <c r="Y2057" s="17" t="s">
        <v>960</v>
      </c>
      <c r="Z2057" s="17" t="s">
        <v>1064</v>
      </c>
      <c r="AA2057" s="17" t="s">
        <v>919</v>
      </c>
      <c r="AB2057" s="17" t="s">
        <v>41</v>
      </c>
      <c r="AC2057" s="0" t="str">
        <f aca="false">LEFT(G2057,2)</f>
        <v>85</v>
      </c>
      <c r="AE2057" s="21"/>
    </row>
    <row r="2058" customFormat="false" ht="15" hidden="false" customHeight="false" outlineLevel="0" collapsed="false">
      <c r="A2058" s="13" t="n">
        <f aca="false">1+A2057</f>
        <v>2056</v>
      </c>
      <c r="B2058" s="14" t="n">
        <v>1009383944</v>
      </c>
      <c r="C2058" s="15" t="s">
        <v>406</v>
      </c>
      <c r="D2058" s="16" t="s">
        <v>64</v>
      </c>
      <c r="E2058" s="17" t="s">
        <v>64</v>
      </c>
      <c r="F2058" s="18" t="s">
        <v>34</v>
      </c>
      <c r="G2058" s="19" t="n">
        <v>844084753954</v>
      </c>
      <c r="H2058" s="17" t="s">
        <v>35</v>
      </c>
      <c r="I2058" s="17" t="s">
        <v>44</v>
      </c>
      <c r="J2058" s="17" t="s">
        <v>241</v>
      </c>
      <c r="K2058" s="17" t="s">
        <v>992</v>
      </c>
      <c r="L2058" s="17" t="n">
        <v>5</v>
      </c>
      <c r="M2058" s="17" t="s">
        <v>952</v>
      </c>
      <c r="N2058" s="17" t="n">
        <v>1</v>
      </c>
      <c r="O2058" s="17" t="s">
        <v>611</v>
      </c>
      <c r="P2058" s="17" t="n">
        <v>11</v>
      </c>
      <c r="Q2058" s="17" t="s">
        <v>953</v>
      </c>
      <c r="R2058" s="17" t="s">
        <v>35</v>
      </c>
      <c r="S2058" s="17" t="s">
        <v>613</v>
      </c>
      <c r="T2058" s="18" t="s">
        <v>248</v>
      </c>
      <c r="U2058" s="18" t="s">
        <v>122</v>
      </c>
      <c r="V2058" s="17" t="n">
        <v>2</v>
      </c>
      <c r="W2058" s="20" t="s">
        <v>122</v>
      </c>
      <c r="X2058" s="17" t="s">
        <v>241</v>
      </c>
      <c r="Y2058" s="17" t="s">
        <v>992</v>
      </c>
      <c r="Z2058" s="17" t="s">
        <v>1065</v>
      </c>
      <c r="AA2058" s="17" t="s">
        <v>919</v>
      </c>
      <c r="AB2058" s="17" t="s">
        <v>41</v>
      </c>
      <c r="AC2058" s="0" t="str">
        <f aca="false">LEFT(G2058,2)</f>
        <v>84</v>
      </c>
      <c r="AE2058" s="21"/>
    </row>
    <row r="2059" customFormat="false" ht="15" hidden="false" customHeight="false" outlineLevel="0" collapsed="false">
      <c r="A2059" s="13" t="n">
        <f aca="false">1+A2058</f>
        <v>2057</v>
      </c>
      <c r="B2059" s="14" t="n">
        <v>1009583306</v>
      </c>
      <c r="C2059" s="15" t="s">
        <v>139</v>
      </c>
      <c r="D2059" s="16" t="s">
        <v>137</v>
      </c>
      <c r="E2059" s="17" t="s">
        <v>33</v>
      </c>
      <c r="F2059" s="18" t="s">
        <v>34</v>
      </c>
      <c r="G2059" s="19" t="n">
        <v>853080796313</v>
      </c>
      <c r="H2059" s="17" t="s">
        <v>35</v>
      </c>
      <c r="I2059" s="17" t="s">
        <v>44</v>
      </c>
      <c r="J2059" s="17" t="s">
        <v>100</v>
      </c>
      <c r="K2059" s="17" t="s">
        <v>978</v>
      </c>
      <c r="L2059" s="17" t="n">
        <v>1</v>
      </c>
      <c r="M2059" s="17" t="s">
        <v>610</v>
      </c>
      <c r="N2059" s="17" t="n">
        <v>1</v>
      </c>
      <c r="O2059" s="17" t="s">
        <v>611</v>
      </c>
      <c r="P2059" s="17" t="n">
        <v>11</v>
      </c>
      <c r="Q2059" s="17" t="s">
        <v>953</v>
      </c>
      <c r="R2059" s="17" t="s">
        <v>35</v>
      </c>
      <c r="S2059" s="17" t="s">
        <v>613</v>
      </c>
      <c r="T2059" s="18" t="s">
        <v>248</v>
      </c>
      <c r="U2059" s="18" t="s">
        <v>122</v>
      </c>
      <c r="V2059" s="17" t="n">
        <v>2</v>
      </c>
      <c r="W2059" s="20" t="s">
        <v>122</v>
      </c>
      <c r="X2059" s="17" t="s">
        <v>100</v>
      </c>
      <c r="Y2059" s="17" t="s">
        <v>978</v>
      </c>
      <c r="Z2059" s="17" t="s">
        <v>312</v>
      </c>
      <c r="AA2059" s="17" t="s">
        <v>919</v>
      </c>
      <c r="AB2059" s="17" t="s">
        <v>41</v>
      </c>
      <c r="AC2059" s="0" t="str">
        <f aca="false">LEFT(G2059,2)</f>
        <v>85</v>
      </c>
      <c r="AE2059" s="21"/>
    </row>
    <row r="2060" customFormat="false" ht="15" hidden="false" customHeight="false" outlineLevel="0" collapsed="false">
      <c r="A2060" s="13" t="n">
        <f aca="false">1+A2059</f>
        <v>2058</v>
      </c>
      <c r="B2060" s="14" t="n">
        <v>1009677409</v>
      </c>
      <c r="C2060" s="15" t="s">
        <v>436</v>
      </c>
      <c r="D2060" s="16" t="s">
        <v>64</v>
      </c>
      <c r="E2060" s="17" t="s">
        <v>64</v>
      </c>
      <c r="F2060" s="18" t="s">
        <v>34</v>
      </c>
      <c r="G2060" s="19" t="n">
        <v>853268749613</v>
      </c>
      <c r="H2060" s="17" t="s">
        <v>35</v>
      </c>
      <c r="I2060" s="17" t="s">
        <v>44</v>
      </c>
      <c r="J2060" s="17" t="s">
        <v>239</v>
      </c>
      <c r="K2060" s="17" t="s">
        <v>951</v>
      </c>
      <c r="L2060" s="17" t="n">
        <v>5</v>
      </c>
      <c r="M2060" s="17" t="s">
        <v>952</v>
      </c>
      <c r="N2060" s="17" t="n">
        <v>1</v>
      </c>
      <c r="O2060" s="17" t="s">
        <v>611</v>
      </c>
      <c r="P2060" s="17" t="n">
        <v>11</v>
      </c>
      <c r="Q2060" s="17" t="s">
        <v>953</v>
      </c>
      <c r="R2060" s="17" t="s">
        <v>35</v>
      </c>
      <c r="S2060" s="17" t="s">
        <v>613</v>
      </c>
      <c r="T2060" s="18" t="s">
        <v>248</v>
      </c>
      <c r="U2060" s="18" t="s">
        <v>122</v>
      </c>
      <c r="V2060" s="17" t="n">
        <v>2</v>
      </c>
      <c r="W2060" s="20" t="s">
        <v>122</v>
      </c>
      <c r="X2060" s="17" t="s">
        <v>239</v>
      </c>
      <c r="Y2060" s="17" t="s">
        <v>951</v>
      </c>
      <c r="Z2060" s="17" t="s">
        <v>1066</v>
      </c>
      <c r="AA2060" s="17" t="s">
        <v>919</v>
      </c>
      <c r="AB2060" s="17" t="s">
        <v>41</v>
      </c>
      <c r="AC2060" s="0" t="str">
        <f aca="false">LEFT(G2060,2)</f>
        <v>85</v>
      </c>
      <c r="AE2060" s="21"/>
    </row>
    <row r="2061" customFormat="false" ht="15" hidden="false" customHeight="false" outlineLevel="0" collapsed="false">
      <c r="A2061" s="13" t="n">
        <f aca="false">1+A2060</f>
        <v>2059</v>
      </c>
      <c r="B2061" s="14" t="n">
        <v>1009540293</v>
      </c>
      <c r="C2061" s="15" t="s">
        <v>126</v>
      </c>
      <c r="D2061" s="16" t="s">
        <v>64</v>
      </c>
      <c r="E2061" s="17" t="s">
        <v>64</v>
      </c>
      <c r="F2061" s="18" t="s">
        <v>34</v>
      </c>
      <c r="G2061" s="19" t="n">
        <v>853263761498</v>
      </c>
      <c r="H2061" s="17" t="s">
        <v>35</v>
      </c>
      <c r="I2061" s="17" t="s">
        <v>44</v>
      </c>
      <c r="J2061" s="17" t="s">
        <v>289</v>
      </c>
      <c r="K2061" s="17" t="s">
        <v>1067</v>
      </c>
      <c r="L2061" s="17" t="n">
        <v>1</v>
      </c>
      <c r="M2061" s="17" t="s">
        <v>610</v>
      </c>
      <c r="N2061" s="17" t="n">
        <v>1</v>
      </c>
      <c r="O2061" s="17" t="s">
        <v>611</v>
      </c>
      <c r="P2061" s="17" t="n">
        <v>11</v>
      </c>
      <c r="Q2061" s="17" t="s">
        <v>953</v>
      </c>
      <c r="R2061" s="17" t="s">
        <v>35</v>
      </c>
      <c r="S2061" s="17" t="s">
        <v>613</v>
      </c>
      <c r="T2061" s="18" t="s">
        <v>248</v>
      </c>
      <c r="U2061" s="18" t="s">
        <v>122</v>
      </c>
      <c r="V2061" s="17" t="n">
        <v>2</v>
      </c>
      <c r="W2061" s="20" t="s">
        <v>122</v>
      </c>
      <c r="X2061" s="17" t="s">
        <v>289</v>
      </c>
      <c r="Y2061" s="17" t="s">
        <v>1067</v>
      </c>
      <c r="Z2061" s="17" t="s">
        <v>1068</v>
      </c>
      <c r="AA2061" s="17" t="s">
        <v>919</v>
      </c>
      <c r="AB2061" s="17" t="s">
        <v>41</v>
      </c>
      <c r="AC2061" s="0" t="str">
        <f aca="false">LEFT(G2061,2)</f>
        <v>85</v>
      </c>
      <c r="AE2061" s="21"/>
    </row>
    <row r="2062" customFormat="false" ht="15" hidden="false" customHeight="false" outlineLevel="0" collapsed="false">
      <c r="A2062" s="13" t="n">
        <f aca="false">1+A2061</f>
        <v>2060</v>
      </c>
      <c r="B2062" s="14" t="n">
        <v>1009682312</v>
      </c>
      <c r="C2062" s="15" t="s">
        <v>413</v>
      </c>
      <c r="D2062" s="16" t="s">
        <v>64</v>
      </c>
      <c r="E2062" s="17" t="s">
        <v>47</v>
      </c>
      <c r="F2062" s="18" t="s">
        <v>34</v>
      </c>
      <c r="G2062" s="19" t="n">
        <v>853072751037</v>
      </c>
      <c r="H2062" s="17" t="s">
        <v>35</v>
      </c>
      <c r="I2062" s="17" t="s">
        <v>44</v>
      </c>
      <c r="J2062" s="17" t="s">
        <v>111</v>
      </c>
      <c r="K2062" s="17" t="s">
        <v>958</v>
      </c>
      <c r="L2062" s="17" t="n">
        <v>1</v>
      </c>
      <c r="M2062" s="17" t="s">
        <v>610</v>
      </c>
      <c r="N2062" s="17" t="n">
        <v>1</v>
      </c>
      <c r="O2062" s="17" t="s">
        <v>611</v>
      </c>
      <c r="P2062" s="17" t="n">
        <v>11</v>
      </c>
      <c r="Q2062" s="17" t="s">
        <v>953</v>
      </c>
      <c r="R2062" s="17" t="s">
        <v>35</v>
      </c>
      <c r="S2062" s="17" t="s">
        <v>613</v>
      </c>
      <c r="T2062" s="18" t="s">
        <v>248</v>
      </c>
      <c r="U2062" s="18" t="s">
        <v>122</v>
      </c>
      <c r="V2062" s="17" t="n">
        <v>2</v>
      </c>
      <c r="W2062" s="20" t="s">
        <v>122</v>
      </c>
      <c r="X2062" s="17" t="s">
        <v>111</v>
      </c>
      <c r="Y2062" s="17" t="s">
        <v>958</v>
      </c>
      <c r="Z2062" s="17" t="s">
        <v>1069</v>
      </c>
      <c r="AA2062" s="17" t="s">
        <v>919</v>
      </c>
      <c r="AB2062" s="17" t="s">
        <v>41</v>
      </c>
      <c r="AC2062" s="0" t="str">
        <f aca="false">LEFT(G2062,2)</f>
        <v>85</v>
      </c>
      <c r="AE2062" s="21"/>
    </row>
    <row r="2063" customFormat="false" ht="15" hidden="false" customHeight="false" outlineLevel="0" collapsed="false">
      <c r="A2063" s="13" t="n">
        <f aca="false">1+A2062</f>
        <v>2061</v>
      </c>
      <c r="B2063" s="14" t="n">
        <v>1009418407</v>
      </c>
      <c r="C2063" s="15" t="s">
        <v>179</v>
      </c>
      <c r="D2063" s="16" t="s">
        <v>64</v>
      </c>
      <c r="E2063" s="17" t="s">
        <v>64</v>
      </c>
      <c r="F2063" s="18" t="s">
        <v>34</v>
      </c>
      <c r="G2063" s="19" t="n">
        <v>844072765549</v>
      </c>
      <c r="H2063" s="17" t="s">
        <v>35</v>
      </c>
      <c r="I2063" s="17" t="s">
        <v>44</v>
      </c>
      <c r="J2063" s="17" t="s">
        <v>323</v>
      </c>
      <c r="K2063" s="17" t="s">
        <v>1070</v>
      </c>
      <c r="L2063" s="17" t="n">
        <v>1</v>
      </c>
      <c r="M2063" s="17" t="s">
        <v>610</v>
      </c>
      <c r="N2063" s="17" t="n">
        <v>1</v>
      </c>
      <c r="O2063" s="17" t="s">
        <v>611</v>
      </c>
      <c r="P2063" s="17" t="n">
        <v>11</v>
      </c>
      <c r="Q2063" s="17" t="s">
        <v>953</v>
      </c>
      <c r="R2063" s="17" t="s">
        <v>35</v>
      </c>
      <c r="S2063" s="17" t="s">
        <v>613</v>
      </c>
      <c r="T2063" s="18" t="s">
        <v>248</v>
      </c>
      <c r="U2063" s="18" t="s">
        <v>199</v>
      </c>
      <c r="V2063" s="17" t="n">
        <v>3</v>
      </c>
      <c r="W2063" s="20" t="s">
        <v>199</v>
      </c>
      <c r="X2063" s="17" t="s">
        <v>323</v>
      </c>
      <c r="Y2063" s="17" t="s">
        <v>1070</v>
      </c>
      <c r="Z2063" s="17" t="s">
        <v>1071</v>
      </c>
      <c r="AA2063" s="17" t="s">
        <v>919</v>
      </c>
      <c r="AB2063" s="17" t="s">
        <v>41</v>
      </c>
      <c r="AC2063" s="0" t="str">
        <f aca="false">LEFT(G2063,2)</f>
        <v>84</v>
      </c>
      <c r="AE2063" s="21"/>
    </row>
    <row r="2064" customFormat="false" ht="15" hidden="false" customHeight="false" outlineLevel="0" collapsed="false">
      <c r="A2064" s="13" t="n">
        <f aca="false">1+A2063</f>
        <v>2062</v>
      </c>
      <c r="B2064" s="14" t="n">
        <v>1009677260</v>
      </c>
      <c r="C2064" s="15" t="s">
        <v>436</v>
      </c>
      <c r="D2064" s="16" t="s">
        <v>32</v>
      </c>
      <c r="E2064" s="17" t="s">
        <v>47</v>
      </c>
      <c r="F2064" s="18" t="s">
        <v>34</v>
      </c>
      <c r="G2064" s="19" t="n">
        <v>853294720166</v>
      </c>
      <c r="H2064" s="17" t="s">
        <v>35</v>
      </c>
      <c r="I2064" s="17" t="s">
        <v>44</v>
      </c>
      <c r="J2064" s="17" t="s">
        <v>100</v>
      </c>
      <c r="K2064" s="17" t="s">
        <v>978</v>
      </c>
      <c r="L2064" s="17" t="n">
        <v>1</v>
      </c>
      <c r="M2064" s="17" t="s">
        <v>610</v>
      </c>
      <c r="N2064" s="17" t="n">
        <v>1</v>
      </c>
      <c r="O2064" s="17" t="s">
        <v>611</v>
      </c>
      <c r="P2064" s="17" t="n">
        <v>11</v>
      </c>
      <c r="Q2064" s="17" t="s">
        <v>953</v>
      </c>
      <c r="R2064" s="17" t="s">
        <v>35</v>
      </c>
      <c r="S2064" s="17" t="s">
        <v>613</v>
      </c>
      <c r="T2064" s="18" t="s">
        <v>248</v>
      </c>
      <c r="U2064" s="18" t="s">
        <v>122</v>
      </c>
      <c r="V2064" s="17" t="n">
        <v>2</v>
      </c>
      <c r="W2064" s="20" t="s">
        <v>122</v>
      </c>
      <c r="X2064" s="17" t="s">
        <v>100</v>
      </c>
      <c r="Y2064" s="17" t="s">
        <v>978</v>
      </c>
      <c r="Z2064" s="17" t="s">
        <v>1072</v>
      </c>
      <c r="AA2064" s="17" t="s">
        <v>919</v>
      </c>
      <c r="AB2064" s="17" t="s">
        <v>41</v>
      </c>
      <c r="AC2064" s="0" t="str">
        <f aca="false">LEFT(G2064,2)</f>
        <v>85</v>
      </c>
      <c r="AE2064" s="21"/>
    </row>
    <row r="2065" customFormat="false" ht="15" hidden="false" customHeight="false" outlineLevel="0" collapsed="false">
      <c r="A2065" s="13" t="n">
        <f aca="false">1+A2064</f>
        <v>2063</v>
      </c>
      <c r="B2065" s="14" t="n">
        <v>1009634184</v>
      </c>
      <c r="C2065" s="15" t="s">
        <v>232</v>
      </c>
      <c r="D2065" s="16" t="s">
        <v>64</v>
      </c>
      <c r="E2065" s="17" t="s">
        <v>47</v>
      </c>
      <c r="F2065" s="18" t="s">
        <v>34</v>
      </c>
      <c r="G2065" s="19" t="n">
        <v>853142770298</v>
      </c>
      <c r="H2065" s="17" t="s">
        <v>35</v>
      </c>
      <c r="I2065" s="17" t="s">
        <v>44</v>
      </c>
      <c r="J2065" s="17" t="s">
        <v>111</v>
      </c>
      <c r="K2065" s="17" t="s">
        <v>958</v>
      </c>
      <c r="L2065" s="17" t="n">
        <v>1</v>
      </c>
      <c r="M2065" s="17" t="s">
        <v>610</v>
      </c>
      <c r="N2065" s="17" t="n">
        <v>1</v>
      </c>
      <c r="O2065" s="17" t="s">
        <v>611</v>
      </c>
      <c r="P2065" s="17" t="n">
        <v>11</v>
      </c>
      <c r="Q2065" s="17" t="s">
        <v>953</v>
      </c>
      <c r="R2065" s="17" t="s">
        <v>35</v>
      </c>
      <c r="S2065" s="17" t="s">
        <v>613</v>
      </c>
      <c r="T2065" s="18" t="s">
        <v>248</v>
      </c>
      <c r="U2065" s="18" t="s">
        <v>122</v>
      </c>
      <c r="V2065" s="17" t="n">
        <v>2</v>
      </c>
      <c r="W2065" s="20" t="s">
        <v>122</v>
      </c>
      <c r="X2065" s="17" t="s">
        <v>111</v>
      </c>
      <c r="Y2065" s="17" t="s">
        <v>958</v>
      </c>
      <c r="Z2065" s="17" t="s">
        <v>1073</v>
      </c>
      <c r="AA2065" s="17" t="s">
        <v>919</v>
      </c>
      <c r="AB2065" s="17" t="s">
        <v>41</v>
      </c>
      <c r="AC2065" s="0" t="str">
        <f aca="false">LEFT(G2065,2)</f>
        <v>85</v>
      </c>
      <c r="AE2065" s="21"/>
    </row>
    <row r="2066" customFormat="false" ht="15" hidden="false" customHeight="false" outlineLevel="0" collapsed="false">
      <c r="A2066" s="13" t="n">
        <f aca="false">1+A2065</f>
        <v>2064</v>
      </c>
      <c r="B2066" s="14" t="n">
        <v>1009642903</v>
      </c>
      <c r="C2066" s="15" t="s">
        <v>429</v>
      </c>
      <c r="D2066" s="16" t="s">
        <v>64</v>
      </c>
      <c r="E2066" s="17" t="s">
        <v>64</v>
      </c>
      <c r="F2066" s="18" t="s">
        <v>34</v>
      </c>
      <c r="G2066" s="19" t="n">
        <v>844060710093</v>
      </c>
      <c r="H2066" s="17" t="s">
        <v>35</v>
      </c>
      <c r="I2066" s="17" t="s">
        <v>44</v>
      </c>
      <c r="J2066" s="17" t="s">
        <v>289</v>
      </c>
      <c r="K2066" s="17" t="s">
        <v>1067</v>
      </c>
      <c r="L2066" s="17" t="n">
        <v>1</v>
      </c>
      <c r="M2066" s="17" t="s">
        <v>610</v>
      </c>
      <c r="N2066" s="17" t="n">
        <v>1</v>
      </c>
      <c r="O2066" s="17" t="s">
        <v>611</v>
      </c>
      <c r="P2066" s="17" t="n">
        <v>11</v>
      </c>
      <c r="Q2066" s="17" t="s">
        <v>953</v>
      </c>
      <c r="R2066" s="17" t="s">
        <v>35</v>
      </c>
      <c r="S2066" s="17" t="s">
        <v>613</v>
      </c>
      <c r="T2066" s="18" t="s">
        <v>248</v>
      </c>
      <c r="U2066" s="18" t="s">
        <v>122</v>
      </c>
      <c r="V2066" s="17" t="n">
        <v>2</v>
      </c>
      <c r="W2066" s="20" t="s">
        <v>122</v>
      </c>
      <c r="X2066" s="17" t="s">
        <v>289</v>
      </c>
      <c r="Y2066" s="17" t="s">
        <v>1067</v>
      </c>
      <c r="Z2066" s="17" t="s">
        <v>149</v>
      </c>
      <c r="AA2066" s="17" t="s">
        <v>919</v>
      </c>
      <c r="AB2066" s="17" t="s">
        <v>41</v>
      </c>
      <c r="AC2066" s="0" t="str">
        <f aca="false">LEFT(G2066,2)</f>
        <v>84</v>
      </c>
      <c r="AE2066" s="21"/>
    </row>
    <row r="2067" customFormat="false" ht="15" hidden="false" customHeight="false" outlineLevel="0" collapsed="false">
      <c r="A2067" s="13" t="n">
        <f aca="false">1+A2066</f>
        <v>2065</v>
      </c>
      <c r="B2067" s="14" t="n">
        <v>1009628134</v>
      </c>
      <c r="C2067" s="15" t="s">
        <v>229</v>
      </c>
      <c r="D2067" s="16" t="s">
        <v>64</v>
      </c>
      <c r="E2067" s="17" t="s">
        <v>64</v>
      </c>
      <c r="F2067" s="18" t="s">
        <v>34</v>
      </c>
      <c r="G2067" s="19" t="n">
        <v>844046786118</v>
      </c>
      <c r="H2067" s="17" t="s">
        <v>35</v>
      </c>
      <c r="I2067" s="17" t="s">
        <v>44</v>
      </c>
      <c r="J2067" s="17" t="s">
        <v>111</v>
      </c>
      <c r="K2067" s="17" t="s">
        <v>958</v>
      </c>
      <c r="L2067" s="17" t="n">
        <v>1</v>
      </c>
      <c r="M2067" s="17" t="s">
        <v>610</v>
      </c>
      <c r="N2067" s="17" t="n">
        <v>1</v>
      </c>
      <c r="O2067" s="17" t="s">
        <v>611</v>
      </c>
      <c r="P2067" s="17" t="n">
        <v>11</v>
      </c>
      <c r="Q2067" s="17" t="s">
        <v>953</v>
      </c>
      <c r="R2067" s="17" t="s">
        <v>35</v>
      </c>
      <c r="S2067" s="17" t="s">
        <v>613</v>
      </c>
      <c r="T2067" s="18" t="s">
        <v>248</v>
      </c>
      <c r="U2067" s="18" t="s">
        <v>122</v>
      </c>
      <c r="V2067" s="17" t="n">
        <v>2</v>
      </c>
      <c r="W2067" s="20" t="s">
        <v>122</v>
      </c>
      <c r="X2067" s="17" t="s">
        <v>111</v>
      </c>
      <c r="Y2067" s="17" t="s">
        <v>958</v>
      </c>
      <c r="Z2067" s="17" t="s">
        <v>1074</v>
      </c>
      <c r="AA2067" s="17" t="s">
        <v>919</v>
      </c>
      <c r="AB2067" s="17" t="s">
        <v>41</v>
      </c>
      <c r="AC2067" s="0" t="str">
        <f aca="false">LEFT(G2067,2)</f>
        <v>84</v>
      </c>
      <c r="AE2067" s="21"/>
    </row>
    <row r="2068" customFormat="false" ht="15" hidden="false" customHeight="false" outlineLevel="0" collapsed="false">
      <c r="A2068" s="13" t="n">
        <f aca="false">1+A2067</f>
        <v>2066</v>
      </c>
      <c r="B2068" s="14" t="n">
        <v>1009683885</v>
      </c>
      <c r="C2068" s="15" t="s">
        <v>413</v>
      </c>
      <c r="D2068" s="16" t="s">
        <v>64</v>
      </c>
      <c r="E2068" s="17" t="s">
        <v>64</v>
      </c>
      <c r="F2068" s="18" t="s">
        <v>34</v>
      </c>
      <c r="G2068" s="19" t="n">
        <v>853067729873</v>
      </c>
      <c r="H2068" s="17" t="s">
        <v>35</v>
      </c>
      <c r="I2068" s="17" t="s">
        <v>44</v>
      </c>
      <c r="J2068" s="17" t="s">
        <v>267</v>
      </c>
      <c r="K2068" s="17" t="s">
        <v>960</v>
      </c>
      <c r="L2068" s="17" t="n">
        <v>1</v>
      </c>
      <c r="M2068" s="17" t="s">
        <v>610</v>
      </c>
      <c r="N2068" s="17" t="n">
        <v>1</v>
      </c>
      <c r="O2068" s="17" t="s">
        <v>611</v>
      </c>
      <c r="P2068" s="17" t="n">
        <v>11</v>
      </c>
      <c r="Q2068" s="17" t="s">
        <v>953</v>
      </c>
      <c r="R2068" s="17" t="s">
        <v>35</v>
      </c>
      <c r="S2068" s="17" t="s">
        <v>613</v>
      </c>
      <c r="T2068" s="18" t="s">
        <v>248</v>
      </c>
      <c r="U2068" s="18" t="s">
        <v>122</v>
      </c>
      <c r="V2068" s="17" t="n">
        <v>2</v>
      </c>
      <c r="W2068" s="20" t="s">
        <v>122</v>
      </c>
      <c r="X2068" s="17" t="s">
        <v>267</v>
      </c>
      <c r="Y2068" s="17" t="s">
        <v>960</v>
      </c>
      <c r="Z2068" s="17" t="s">
        <v>1075</v>
      </c>
      <c r="AA2068" s="17" t="s">
        <v>919</v>
      </c>
      <c r="AB2068" s="17" t="s">
        <v>41</v>
      </c>
      <c r="AC2068" s="0" t="str">
        <f aca="false">LEFT(G2068,2)</f>
        <v>85</v>
      </c>
      <c r="AE2068" s="21"/>
    </row>
    <row r="2069" customFormat="false" ht="15" hidden="false" customHeight="false" outlineLevel="0" collapsed="false">
      <c r="A2069" s="13" t="n">
        <f aca="false">1+A2068</f>
        <v>2067</v>
      </c>
      <c r="B2069" s="14" t="n">
        <v>1009556439</v>
      </c>
      <c r="C2069" s="15" t="s">
        <v>192</v>
      </c>
      <c r="D2069" s="16" t="s">
        <v>64</v>
      </c>
      <c r="E2069" s="17" t="s">
        <v>64</v>
      </c>
      <c r="F2069" s="18" t="s">
        <v>34</v>
      </c>
      <c r="G2069" s="19" t="n">
        <v>854169734472</v>
      </c>
      <c r="H2069" s="17" t="s">
        <v>35</v>
      </c>
      <c r="I2069" s="17" t="s">
        <v>44</v>
      </c>
      <c r="J2069" s="17" t="s">
        <v>267</v>
      </c>
      <c r="K2069" s="17" t="s">
        <v>960</v>
      </c>
      <c r="L2069" s="17" t="n">
        <v>1</v>
      </c>
      <c r="M2069" s="17" t="s">
        <v>610</v>
      </c>
      <c r="N2069" s="17" t="n">
        <v>1</v>
      </c>
      <c r="O2069" s="17" t="s">
        <v>611</v>
      </c>
      <c r="P2069" s="17" t="n">
        <v>11</v>
      </c>
      <c r="Q2069" s="17" t="s">
        <v>953</v>
      </c>
      <c r="R2069" s="17" t="s">
        <v>35</v>
      </c>
      <c r="S2069" s="17" t="s">
        <v>613</v>
      </c>
      <c r="T2069" s="18" t="s">
        <v>248</v>
      </c>
      <c r="U2069" s="18" t="s">
        <v>122</v>
      </c>
      <c r="V2069" s="17" t="n">
        <v>2</v>
      </c>
      <c r="W2069" s="20" t="s">
        <v>122</v>
      </c>
      <c r="X2069" s="17" t="s">
        <v>267</v>
      </c>
      <c r="Y2069" s="17" t="s">
        <v>960</v>
      </c>
      <c r="Z2069" s="17" t="s">
        <v>1076</v>
      </c>
      <c r="AA2069" s="17" t="s">
        <v>919</v>
      </c>
      <c r="AB2069" s="17" t="s">
        <v>41</v>
      </c>
      <c r="AC2069" s="0" t="str">
        <f aca="false">LEFT(G2069,2)</f>
        <v>85</v>
      </c>
      <c r="AE2069" s="21"/>
    </row>
    <row r="2070" customFormat="false" ht="15" hidden="false" customHeight="false" outlineLevel="0" collapsed="false">
      <c r="A2070" s="13" t="n">
        <f aca="false">1+A2069</f>
        <v>2068</v>
      </c>
      <c r="B2070" s="14" t="n">
        <v>1009651239</v>
      </c>
      <c r="C2070" s="15" t="s">
        <v>204</v>
      </c>
      <c r="D2070" s="16" t="s">
        <v>64</v>
      </c>
      <c r="E2070" s="17" t="s">
        <v>109</v>
      </c>
      <c r="F2070" s="18" t="s">
        <v>34</v>
      </c>
      <c r="G2070" s="19" t="n">
        <v>844061794914</v>
      </c>
      <c r="H2070" s="17" t="s">
        <v>35</v>
      </c>
      <c r="I2070" s="17" t="s">
        <v>44</v>
      </c>
      <c r="J2070" s="17" t="s">
        <v>100</v>
      </c>
      <c r="K2070" s="17" t="s">
        <v>978</v>
      </c>
      <c r="L2070" s="17" t="n">
        <v>1</v>
      </c>
      <c r="M2070" s="17" t="s">
        <v>610</v>
      </c>
      <c r="N2070" s="17" t="n">
        <v>1</v>
      </c>
      <c r="O2070" s="17" t="s">
        <v>611</v>
      </c>
      <c r="P2070" s="17" t="n">
        <v>12</v>
      </c>
      <c r="Q2070" s="17" t="s">
        <v>953</v>
      </c>
      <c r="R2070" s="17" t="s">
        <v>35</v>
      </c>
      <c r="S2070" s="17" t="s">
        <v>613</v>
      </c>
      <c r="T2070" s="18" t="s">
        <v>248</v>
      </c>
      <c r="U2070" s="20" t="s">
        <v>110</v>
      </c>
      <c r="V2070" s="17" t="n">
        <v>9</v>
      </c>
      <c r="W2070" s="20" t="s">
        <v>110</v>
      </c>
      <c r="X2070" s="17" t="s">
        <v>100</v>
      </c>
      <c r="Y2070" s="17" t="s">
        <v>978</v>
      </c>
      <c r="Z2070" s="17" t="s">
        <v>1077</v>
      </c>
      <c r="AA2070" s="17" t="s">
        <v>919</v>
      </c>
      <c r="AB2070" s="17" t="s">
        <v>41</v>
      </c>
      <c r="AC2070" s="0" t="str">
        <f aca="false">LEFT(G2070,2)</f>
        <v>84</v>
      </c>
      <c r="AE2070" s="21"/>
    </row>
    <row r="2071" customFormat="false" ht="15" hidden="false" customHeight="false" outlineLevel="0" collapsed="false">
      <c r="A2071" s="13" t="n">
        <f aca="false">1+A2070</f>
        <v>2069</v>
      </c>
      <c r="B2071" s="14" t="n">
        <v>1009677940</v>
      </c>
      <c r="C2071" s="15" t="s">
        <v>436</v>
      </c>
      <c r="D2071" s="16" t="s">
        <v>64</v>
      </c>
      <c r="E2071" s="17" t="s">
        <v>114</v>
      </c>
      <c r="F2071" s="18" t="s">
        <v>34</v>
      </c>
      <c r="G2071" s="19" t="n">
        <v>844060798544</v>
      </c>
      <c r="H2071" s="17" t="s">
        <v>35</v>
      </c>
      <c r="I2071" s="17" t="s">
        <v>44</v>
      </c>
      <c r="J2071" s="17" t="s">
        <v>121</v>
      </c>
      <c r="K2071" s="17" t="s">
        <v>955</v>
      </c>
      <c r="L2071" s="17" t="n">
        <v>2</v>
      </c>
      <c r="M2071" s="17" t="s">
        <v>981</v>
      </c>
      <c r="N2071" s="17" t="n">
        <v>6</v>
      </c>
      <c r="O2071" s="17" t="s">
        <v>982</v>
      </c>
      <c r="P2071" s="17" t="n">
        <v>11</v>
      </c>
      <c r="Q2071" s="17" t="s">
        <v>953</v>
      </c>
      <c r="R2071" s="17" t="s">
        <v>35</v>
      </c>
      <c r="S2071" s="17" t="s">
        <v>613</v>
      </c>
      <c r="T2071" s="18" t="s">
        <v>248</v>
      </c>
      <c r="U2071" s="18" t="s">
        <v>122</v>
      </c>
      <c r="V2071" s="17" t="n">
        <v>2</v>
      </c>
      <c r="W2071" s="20" t="s">
        <v>122</v>
      </c>
      <c r="X2071" s="17" t="s">
        <v>121</v>
      </c>
      <c r="Y2071" s="17" t="s">
        <v>955</v>
      </c>
      <c r="Z2071" s="17" t="s">
        <v>1078</v>
      </c>
      <c r="AA2071" s="17" t="s">
        <v>919</v>
      </c>
      <c r="AB2071" s="17" t="s">
        <v>41</v>
      </c>
      <c r="AC2071" s="0" t="str">
        <f aca="false">LEFT(G2071,2)</f>
        <v>84</v>
      </c>
      <c r="AE2071" s="21"/>
    </row>
    <row r="2072" customFormat="false" ht="15" hidden="false" customHeight="false" outlineLevel="0" collapsed="false">
      <c r="A2072" s="13" t="n">
        <f aca="false">1+A2071</f>
        <v>2070</v>
      </c>
      <c r="B2072" s="14" t="n">
        <v>1009621275</v>
      </c>
      <c r="C2072" s="15" t="s">
        <v>184</v>
      </c>
      <c r="D2072" s="16" t="s">
        <v>64</v>
      </c>
      <c r="E2072" s="17" t="s">
        <v>64</v>
      </c>
      <c r="F2072" s="18" t="s">
        <v>34</v>
      </c>
      <c r="G2072" s="19" t="n">
        <v>853315718066</v>
      </c>
      <c r="H2072" s="17" t="s">
        <v>35</v>
      </c>
      <c r="I2072" s="17" t="s">
        <v>44</v>
      </c>
      <c r="J2072" s="17" t="s">
        <v>121</v>
      </c>
      <c r="K2072" s="17" t="s">
        <v>955</v>
      </c>
      <c r="L2072" s="17" t="n">
        <v>5</v>
      </c>
      <c r="M2072" s="17" t="s">
        <v>952</v>
      </c>
      <c r="N2072" s="17" t="n">
        <v>1</v>
      </c>
      <c r="O2072" s="17" t="s">
        <v>611</v>
      </c>
      <c r="P2072" s="17" t="n">
        <v>11</v>
      </c>
      <c r="Q2072" s="17" t="s">
        <v>953</v>
      </c>
      <c r="R2072" s="17" t="s">
        <v>35</v>
      </c>
      <c r="S2072" s="17" t="s">
        <v>613</v>
      </c>
      <c r="T2072" s="18" t="s">
        <v>248</v>
      </c>
      <c r="U2072" s="18" t="s">
        <v>122</v>
      </c>
      <c r="V2072" s="17" t="n">
        <v>2</v>
      </c>
      <c r="W2072" s="20" t="s">
        <v>122</v>
      </c>
      <c r="X2072" s="17" t="s">
        <v>121</v>
      </c>
      <c r="Y2072" s="17" t="s">
        <v>955</v>
      </c>
      <c r="Z2072" s="17" t="s">
        <v>541</v>
      </c>
      <c r="AA2072" s="17" t="s">
        <v>919</v>
      </c>
      <c r="AB2072" s="17" t="s">
        <v>41</v>
      </c>
      <c r="AC2072" s="0" t="str">
        <f aca="false">LEFT(G2072,2)</f>
        <v>85</v>
      </c>
      <c r="AE2072" s="21"/>
    </row>
    <row r="2073" customFormat="false" ht="15" hidden="false" customHeight="false" outlineLevel="0" collapsed="false">
      <c r="A2073" s="13" t="n">
        <f aca="false">1+A2072</f>
        <v>2071</v>
      </c>
      <c r="B2073" s="14" t="n">
        <v>1009684380</v>
      </c>
      <c r="C2073" s="15" t="s">
        <v>413</v>
      </c>
      <c r="D2073" s="16" t="s">
        <v>64</v>
      </c>
      <c r="E2073" s="17" t="s">
        <v>33</v>
      </c>
      <c r="F2073" s="18" t="s">
        <v>34</v>
      </c>
      <c r="G2073" s="19" t="n">
        <v>853074729254</v>
      </c>
      <c r="H2073" s="17" t="s">
        <v>35</v>
      </c>
      <c r="I2073" s="17" t="s">
        <v>44</v>
      </c>
      <c r="J2073" s="17" t="s">
        <v>241</v>
      </c>
      <c r="K2073" s="17" t="s">
        <v>992</v>
      </c>
      <c r="L2073" s="17" t="n">
        <v>5</v>
      </c>
      <c r="M2073" s="17" t="s">
        <v>952</v>
      </c>
      <c r="N2073" s="17" t="n">
        <v>1</v>
      </c>
      <c r="O2073" s="17" t="s">
        <v>611</v>
      </c>
      <c r="P2073" s="17" t="n">
        <v>11</v>
      </c>
      <c r="Q2073" s="17" t="s">
        <v>953</v>
      </c>
      <c r="R2073" s="17" t="s">
        <v>35</v>
      </c>
      <c r="S2073" s="17" t="s">
        <v>613</v>
      </c>
      <c r="T2073" s="18" t="s">
        <v>248</v>
      </c>
      <c r="U2073" s="18" t="s">
        <v>122</v>
      </c>
      <c r="V2073" s="17" t="n">
        <v>2</v>
      </c>
      <c r="W2073" s="20" t="s">
        <v>122</v>
      </c>
      <c r="X2073" s="17" t="s">
        <v>241</v>
      </c>
      <c r="Y2073" s="17" t="s">
        <v>992</v>
      </c>
      <c r="Z2073" s="17" t="s">
        <v>1079</v>
      </c>
      <c r="AA2073" s="17" t="s">
        <v>919</v>
      </c>
      <c r="AB2073" s="17" t="s">
        <v>41</v>
      </c>
      <c r="AC2073" s="0" t="str">
        <f aca="false">LEFT(G2073,2)</f>
        <v>85</v>
      </c>
      <c r="AE2073" s="21"/>
    </row>
    <row r="2074" customFormat="false" ht="15" hidden="false" customHeight="false" outlineLevel="0" collapsed="false">
      <c r="A2074" s="13" t="n">
        <f aca="false">1+A2073</f>
        <v>2072</v>
      </c>
      <c r="B2074" s="14" t="n">
        <v>1009557631</v>
      </c>
      <c r="C2074" s="15" t="s">
        <v>192</v>
      </c>
      <c r="D2074" s="16" t="s">
        <v>64</v>
      </c>
      <c r="E2074" s="17" t="s">
        <v>47</v>
      </c>
      <c r="F2074" s="18" t="s">
        <v>34</v>
      </c>
      <c r="G2074" s="19" t="n">
        <v>844085725100</v>
      </c>
      <c r="H2074" s="17" t="s">
        <v>35</v>
      </c>
      <c r="I2074" s="17" t="s">
        <v>44</v>
      </c>
      <c r="J2074" s="17" t="s">
        <v>121</v>
      </c>
      <c r="K2074" s="17" t="s">
        <v>955</v>
      </c>
      <c r="L2074" s="17" t="n">
        <v>1</v>
      </c>
      <c r="M2074" s="17" t="s">
        <v>610</v>
      </c>
      <c r="N2074" s="17" t="n">
        <v>1</v>
      </c>
      <c r="O2074" s="17" t="s">
        <v>611</v>
      </c>
      <c r="P2074" s="17" t="n">
        <v>12</v>
      </c>
      <c r="Q2074" s="17" t="s">
        <v>953</v>
      </c>
      <c r="R2074" s="17" t="s">
        <v>35</v>
      </c>
      <c r="S2074" s="17" t="s">
        <v>613</v>
      </c>
      <c r="T2074" s="18" t="s">
        <v>248</v>
      </c>
      <c r="U2074" s="15" t="s">
        <v>38</v>
      </c>
      <c r="V2074" s="17" t="n">
        <v>11</v>
      </c>
      <c r="W2074" s="20" t="s">
        <v>248</v>
      </c>
      <c r="X2074" s="17" t="s">
        <v>121</v>
      </c>
      <c r="Y2074" s="17" t="s">
        <v>955</v>
      </c>
      <c r="Z2074" s="17" t="s">
        <v>149</v>
      </c>
      <c r="AA2074" s="17" t="s">
        <v>919</v>
      </c>
      <c r="AB2074" s="17" t="s">
        <v>41</v>
      </c>
      <c r="AC2074" s="0" t="str">
        <f aca="false">LEFT(G2074,2)</f>
        <v>84</v>
      </c>
      <c r="AE2074" s="21"/>
    </row>
    <row r="2075" customFormat="false" ht="15" hidden="false" customHeight="false" outlineLevel="0" collapsed="false">
      <c r="A2075" s="13" t="n">
        <f aca="false">1+A2074</f>
        <v>2073</v>
      </c>
      <c r="B2075" s="14" t="n">
        <v>1009557644</v>
      </c>
      <c r="C2075" s="15" t="s">
        <v>192</v>
      </c>
      <c r="D2075" s="16" t="s">
        <v>64</v>
      </c>
      <c r="E2075" s="17" t="s">
        <v>47</v>
      </c>
      <c r="F2075" s="18" t="s">
        <v>34</v>
      </c>
      <c r="G2075" s="19" t="n">
        <v>853207767940</v>
      </c>
      <c r="H2075" s="17" t="s">
        <v>35</v>
      </c>
      <c r="I2075" s="17" t="s">
        <v>44</v>
      </c>
      <c r="J2075" s="17" t="s">
        <v>121</v>
      </c>
      <c r="K2075" s="17" t="s">
        <v>955</v>
      </c>
      <c r="L2075" s="17" t="n">
        <v>1</v>
      </c>
      <c r="M2075" s="17" t="s">
        <v>610</v>
      </c>
      <c r="N2075" s="17" t="n">
        <v>1</v>
      </c>
      <c r="O2075" s="17" t="s">
        <v>611</v>
      </c>
      <c r="P2075" s="17" t="n">
        <v>12</v>
      </c>
      <c r="Q2075" s="17" t="s">
        <v>953</v>
      </c>
      <c r="R2075" s="17" t="s">
        <v>35</v>
      </c>
      <c r="S2075" s="17" t="s">
        <v>613</v>
      </c>
      <c r="T2075" s="18" t="s">
        <v>248</v>
      </c>
      <c r="U2075" s="15" t="s">
        <v>38</v>
      </c>
      <c r="V2075" s="17" t="n">
        <v>11</v>
      </c>
      <c r="W2075" s="20" t="s">
        <v>248</v>
      </c>
      <c r="X2075" s="17" t="s">
        <v>121</v>
      </c>
      <c r="Y2075" s="17" t="s">
        <v>955</v>
      </c>
      <c r="Z2075" s="17" t="s">
        <v>149</v>
      </c>
      <c r="AA2075" s="17" t="s">
        <v>919</v>
      </c>
      <c r="AB2075" s="17" t="s">
        <v>41</v>
      </c>
      <c r="AC2075" s="0" t="str">
        <f aca="false">LEFT(G2075,2)</f>
        <v>85</v>
      </c>
      <c r="AE2075" s="21"/>
    </row>
    <row r="2076" customFormat="false" ht="15" hidden="false" customHeight="false" outlineLevel="0" collapsed="false">
      <c r="A2076" s="13" t="n">
        <f aca="false">1+A2075</f>
        <v>2074</v>
      </c>
      <c r="B2076" s="14" t="n">
        <v>1009677944</v>
      </c>
      <c r="C2076" s="15" t="s">
        <v>436</v>
      </c>
      <c r="D2076" s="16" t="s">
        <v>190</v>
      </c>
      <c r="E2076" s="17" t="s">
        <v>1016</v>
      </c>
      <c r="F2076" s="18" t="s">
        <v>34</v>
      </c>
      <c r="G2076" s="19" t="n">
        <v>844085730126</v>
      </c>
      <c r="H2076" s="17" t="s">
        <v>35</v>
      </c>
      <c r="I2076" s="17" t="s">
        <v>44</v>
      </c>
      <c r="J2076" s="17" t="s">
        <v>111</v>
      </c>
      <c r="K2076" s="17" t="s">
        <v>958</v>
      </c>
      <c r="L2076" s="17" t="n">
        <v>1</v>
      </c>
      <c r="M2076" s="17" t="s">
        <v>610</v>
      </c>
      <c r="N2076" s="17" t="n">
        <v>1</v>
      </c>
      <c r="O2076" s="17" t="s">
        <v>611</v>
      </c>
      <c r="P2076" s="17" t="n">
        <v>11</v>
      </c>
      <c r="Q2076" s="17" t="s">
        <v>953</v>
      </c>
      <c r="R2076" s="17" t="s">
        <v>35</v>
      </c>
      <c r="S2076" s="17" t="s">
        <v>613</v>
      </c>
      <c r="T2076" s="18" t="s">
        <v>248</v>
      </c>
      <c r="U2076" s="18" t="s">
        <v>122</v>
      </c>
      <c r="V2076" s="17" t="n">
        <v>2</v>
      </c>
      <c r="W2076" s="20" t="s">
        <v>122</v>
      </c>
      <c r="X2076" s="17" t="s">
        <v>111</v>
      </c>
      <c r="Y2076" s="17" t="s">
        <v>958</v>
      </c>
      <c r="Z2076" s="17" t="s">
        <v>1080</v>
      </c>
      <c r="AA2076" s="17" t="s">
        <v>919</v>
      </c>
      <c r="AB2076" s="17" t="s">
        <v>41</v>
      </c>
      <c r="AC2076" s="0" t="str">
        <f aca="false">LEFT(G2076,2)</f>
        <v>84</v>
      </c>
      <c r="AE2076" s="21"/>
    </row>
    <row r="2077" customFormat="false" ht="15" hidden="false" customHeight="false" outlineLevel="0" collapsed="false">
      <c r="A2077" s="13" t="n">
        <f aca="false">1+A2076</f>
        <v>2075</v>
      </c>
      <c r="B2077" s="14" t="n">
        <v>1009427270</v>
      </c>
      <c r="C2077" s="15" t="s">
        <v>179</v>
      </c>
      <c r="D2077" s="16" t="s">
        <v>64</v>
      </c>
      <c r="E2077" s="17" t="s">
        <v>64</v>
      </c>
      <c r="F2077" s="18" t="s">
        <v>34</v>
      </c>
      <c r="G2077" s="19" t="n">
        <v>853186778801</v>
      </c>
      <c r="H2077" s="17" t="s">
        <v>35</v>
      </c>
      <c r="I2077" s="17" t="s">
        <v>44</v>
      </c>
      <c r="J2077" s="17" t="s">
        <v>111</v>
      </c>
      <c r="K2077" s="17" t="s">
        <v>958</v>
      </c>
      <c r="L2077" s="17" t="n">
        <v>1</v>
      </c>
      <c r="M2077" s="17" t="s">
        <v>610</v>
      </c>
      <c r="N2077" s="17" t="n">
        <v>1</v>
      </c>
      <c r="O2077" s="17" t="s">
        <v>611</v>
      </c>
      <c r="P2077" s="17" t="n">
        <v>11</v>
      </c>
      <c r="Q2077" s="17" t="s">
        <v>953</v>
      </c>
      <c r="R2077" s="17" t="s">
        <v>35</v>
      </c>
      <c r="S2077" s="17" t="s">
        <v>613</v>
      </c>
      <c r="T2077" s="18" t="s">
        <v>248</v>
      </c>
      <c r="U2077" s="18" t="s">
        <v>122</v>
      </c>
      <c r="V2077" s="17" t="n">
        <v>2</v>
      </c>
      <c r="W2077" s="20" t="s">
        <v>122</v>
      </c>
      <c r="X2077" s="17" t="s">
        <v>111</v>
      </c>
      <c r="Y2077" s="17" t="s">
        <v>958</v>
      </c>
      <c r="Z2077" s="17" t="s">
        <v>127</v>
      </c>
      <c r="AA2077" s="17" t="s">
        <v>919</v>
      </c>
      <c r="AB2077" s="17" t="s">
        <v>41</v>
      </c>
      <c r="AC2077" s="0" t="str">
        <f aca="false">LEFT(G2077,2)</f>
        <v>85</v>
      </c>
      <c r="AE2077" s="21"/>
    </row>
    <row r="2078" customFormat="false" ht="15" hidden="false" customHeight="false" outlineLevel="0" collapsed="false">
      <c r="A2078" s="13" t="n">
        <f aca="false">1+A2077</f>
        <v>2076</v>
      </c>
      <c r="B2078" s="14" t="n">
        <v>1009364366</v>
      </c>
      <c r="C2078" s="15" t="s">
        <v>442</v>
      </c>
      <c r="D2078" s="16" t="s">
        <v>32</v>
      </c>
      <c r="E2078" s="17" t="s">
        <v>47</v>
      </c>
      <c r="F2078" s="18" t="s">
        <v>34</v>
      </c>
      <c r="G2078" s="19" t="n">
        <v>844056736003</v>
      </c>
      <c r="H2078" s="17" t="s">
        <v>35</v>
      </c>
      <c r="I2078" s="17" t="s">
        <v>44</v>
      </c>
      <c r="J2078" s="17" t="s">
        <v>100</v>
      </c>
      <c r="K2078" s="17" t="s">
        <v>978</v>
      </c>
      <c r="L2078" s="17" t="n">
        <v>1</v>
      </c>
      <c r="M2078" s="17" t="s">
        <v>610</v>
      </c>
      <c r="N2078" s="17" t="n">
        <v>1</v>
      </c>
      <c r="O2078" s="17" t="s">
        <v>611</v>
      </c>
      <c r="P2078" s="17" t="n">
        <v>11</v>
      </c>
      <c r="Q2078" s="17" t="s">
        <v>953</v>
      </c>
      <c r="R2078" s="17" t="s">
        <v>35</v>
      </c>
      <c r="S2078" s="17" t="s">
        <v>613</v>
      </c>
      <c r="T2078" s="18" t="s">
        <v>248</v>
      </c>
      <c r="U2078" s="18" t="s">
        <v>122</v>
      </c>
      <c r="V2078" s="17" t="n">
        <v>2</v>
      </c>
      <c r="W2078" s="20" t="s">
        <v>122</v>
      </c>
      <c r="X2078" s="17" t="s">
        <v>100</v>
      </c>
      <c r="Y2078" s="17" t="s">
        <v>978</v>
      </c>
      <c r="Z2078" s="17" t="s">
        <v>1081</v>
      </c>
      <c r="AA2078" s="17" t="s">
        <v>919</v>
      </c>
      <c r="AB2078" s="17" t="s">
        <v>41</v>
      </c>
      <c r="AC2078" s="0" t="str">
        <f aca="false">LEFT(G2078,2)</f>
        <v>84</v>
      </c>
      <c r="AE2078" s="21"/>
    </row>
    <row r="2079" customFormat="false" ht="15" hidden="false" customHeight="false" outlineLevel="0" collapsed="false">
      <c r="A2079" s="13" t="n">
        <f aca="false">1+A2078</f>
        <v>2077</v>
      </c>
      <c r="B2079" s="14" t="n">
        <v>1009625943</v>
      </c>
      <c r="C2079" s="15" t="s">
        <v>163</v>
      </c>
      <c r="D2079" s="16" t="s">
        <v>64</v>
      </c>
      <c r="E2079" s="17" t="s">
        <v>47</v>
      </c>
      <c r="F2079" s="18" t="s">
        <v>34</v>
      </c>
      <c r="G2079" s="19" t="n">
        <v>853278759305</v>
      </c>
      <c r="H2079" s="17" t="s">
        <v>35</v>
      </c>
      <c r="I2079" s="17" t="s">
        <v>44</v>
      </c>
      <c r="J2079" s="17" t="s">
        <v>241</v>
      </c>
      <c r="K2079" s="17" t="s">
        <v>992</v>
      </c>
      <c r="L2079" s="17" t="n">
        <v>5</v>
      </c>
      <c r="M2079" s="17" t="s">
        <v>952</v>
      </c>
      <c r="N2079" s="17" t="n">
        <v>1</v>
      </c>
      <c r="O2079" s="17" t="s">
        <v>611</v>
      </c>
      <c r="P2079" s="17" t="n">
        <v>11</v>
      </c>
      <c r="Q2079" s="17" t="s">
        <v>953</v>
      </c>
      <c r="R2079" s="17" t="s">
        <v>35</v>
      </c>
      <c r="S2079" s="17" t="s">
        <v>613</v>
      </c>
      <c r="T2079" s="18" t="s">
        <v>248</v>
      </c>
      <c r="U2079" s="18" t="s">
        <v>122</v>
      </c>
      <c r="V2079" s="17" t="n">
        <v>2</v>
      </c>
      <c r="W2079" s="20" t="s">
        <v>122</v>
      </c>
      <c r="X2079" s="17" t="s">
        <v>241</v>
      </c>
      <c r="Y2079" s="17" t="s">
        <v>992</v>
      </c>
      <c r="Z2079" s="17" t="s">
        <v>1082</v>
      </c>
      <c r="AA2079" s="17" t="s">
        <v>919</v>
      </c>
      <c r="AB2079" s="17" t="s">
        <v>41</v>
      </c>
      <c r="AC2079" s="0" t="str">
        <f aca="false">LEFT(G2079,2)</f>
        <v>85</v>
      </c>
      <c r="AE2079" s="21"/>
    </row>
    <row r="2080" customFormat="false" ht="15" hidden="false" customHeight="false" outlineLevel="0" collapsed="false">
      <c r="A2080" s="13" t="n">
        <f aca="false">1+A2079</f>
        <v>2078</v>
      </c>
      <c r="B2080" s="14" t="n">
        <v>1009502704</v>
      </c>
      <c r="C2080" s="15" t="s">
        <v>95</v>
      </c>
      <c r="D2080" s="16" t="s">
        <v>64</v>
      </c>
      <c r="E2080" s="17" t="s">
        <v>47</v>
      </c>
      <c r="F2080" s="18" t="s">
        <v>34</v>
      </c>
      <c r="G2080" s="19" t="n">
        <v>853152799021</v>
      </c>
      <c r="H2080" s="17" t="s">
        <v>35</v>
      </c>
      <c r="I2080" s="17" t="s">
        <v>44</v>
      </c>
      <c r="J2080" s="17" t="s">
        <v>121</v>
      </c>
      <c r="K2080" s="17" t="s">
        <v>955</v>
      </c>
      <c r="L2080" s="17" t="n">
        <v>2</v>
      </c>
      <c r="M2080" s="17" t="s">
        <v>981</v>
      </c>
      <c r="N2080" s="17" t="n">
        <v>6</v>
      </c>
      <c r="O2080" s="17" t="s">
        <v>982</v>
      </c>
      <c r="P2080" s="17" t="n">
        <v>11</v>
      </c>
      <c r="Q2080" s="17" t="s">
        <v>953</v>
      </c>
      <c r="R2080" s="17" t="s">
        <v>35</v>
      </c>
      <c r="S2080" s="17" t="s">
        <v>613</v>
      </c>
      <c r="T2080" s="18" t="s">
        <v>248</v>
      </c>
      <c r="U2080" s="18" t="s">
        <v>122</v>
      </c>
      <c r="V2080" s="17" t="n">
        <v>2</v>
      </c>
      <c r="W2080" s="20" t="s">
        <v>122</v>
      </c>
      <c r="X2080" s="17" t="s">
        <v>121</v>
      </c>
      <c r="Y2080" s="17" t="s">
        <v>955</v>
      </c>
      <c r="Z2080" s="17" t="s">
        <v>562</v>
      </c>
      <c r="AA2080" s="17" t="s">
        <v>919</v>
      </c>
      <c r="AB2080" s="17" t="s">
        <v>41</v>
      </c>
      <c r="AC2080" s="0" t="str">
        <f aca="false">LEFT(G2080,2)</f>
        <v>85</v>
      </c>
      <c r="AE2080" s="21"/>
    </row>
    <row r="2081" customFormat="false" ht="15" hidden="false" customHeight="false" outlineLevel="0" collapsed="false">
      <c r="A2081" s="13" t="n">
        <f aca="false">1+A2080</f>
        <v>2079</v>
      </c>
      <c r="B2081" s="14" t="n">
        <v>1009536977</v>
      </c>
      <c r="C2081" s="15" t="s">
        <v>311</v>
      </c>
      <c r="D2081" s="16" t="s">
        <v>64</v>
      </c>
      <c r="E2081" s="17" t="s">
        <v>200</v>
      </c>
      <c r="F2081" s="18" t="s">
        <v>34</v>
      </c>
      <c r="G2081" s="19" t="n">
        <v>844134724815</v>
      </c>
      <c r="H2081" s="17" t="s">
        <v>35</v>
      </c>
      <c r="I2081" s="17" t="s">
        <v>44</v>
      </c>
      <c r="J2081" s="17" t="s">
        <v>241</v>
      </c>
      <c r="K2081" s="17" t="s">
        <v>992</v>
      </c>
      <c r="L2081" s="17" t="n">
        <v>5</v>
      </c>
      <c r="M2081" s="17" t="s">
        <v>952</v>
      </c>
      <c r="N2081" s="17" t="n">
        <v>1</v>
      </c>
      <c r="O2081" s="17" t="s">
        <v>611</v>
      </c>
      <c r="P2081" s="17" t="n">
        <v>11</v>
      </c>
      <c r="Q2081" s="17" t="s">
        <v>953</v>
      </c>
      <c r="R2081" s="17" t="s">
        <v>35</v>
      </c>
      <c r="S2081" s="17" t="s">
        <v>613</v>
      </c>
      <c r="T2081" s="18" t="s">
        <v>248</v>
      </c>
      <c r="U2081" s="18" t="s">
        <v>122</v>
      </c>
      <c r="V2081" s="17" t="n">
        <v>2</v>
      </c>
      <c r="W2081" s="20" t="s">
        <v>122</v>
      </c>
      <c r="X2081" s="17" t="s">
        <v>241</v>
      </c>
      <c r="Y2081" s="17" t="s">
        <v>992</v>
      </c>
      <c r="Z2081" s="17" t="s">
        <v>1083</v>
      </c>
      <c r="AA2081" s="17" t="s">
        <v>919</v>
      </c>
      <c r="AB2081" s="17" t="s">
        <v>41</v>
      </c>
      <c r="AC2081" s="0" t="str">
        <f aca="false">LEFT(G2081,2)</f>
        <v>84</v>
      </c>
      <c r="AE2081" s="21"/>
    </row>
    <row r="2082" customFormat="false" ht="15" hidden="false" customHeight="false" outlineLevel="0" collapsed="false">
      <c r="A2082" s="13" t="n">
        <f aca="false">1+A2081</f>
        <v>2080</v>
      </c>
      <c r="B2082" s="14" t="n">
        <v>1009687570</v>
      </c>
      <c r="C2082" s="15" t="s">
        <v>449</v>
      </c>
      <c r="D2082" s="16" t="s">
        <v>64</v>
      </c>
      <c r="E2082" s="17" t="s">
        <v>47</v>
      </c>
      <c r="F2082" s="18" t="s">
        <v>34</v>
      </c>
      <c r="G2082" s="19" t="n">
        <v>853280760531</v>
      </c>
      <c r="H2082" s="17" t="s">
        <v>35</v>
      </c>
      <c r="I2082" s="17" t="s">
        <v>44</v>
      </c>
      <c r="J2082" s="17" t="s">
        <v>289</v>
      </c>
      <c r="K2082" s="17" t="s">
        <v>1067</v>
      </c>
      <c r="L2082" s="17" t="n">
        <v>5</v>
      </c>
      <c r="M2082" s="17" t="s">
        <v>952</v>
      </c>
      <c r="N2082" s="17" t="n">
        <v>1</v>
      </c>
      <c r="O2082" s="17" t="s">
        <v>611</v>
      </c>
      <c r="P2082" s="17" t="n">
        <v>11</v>
      </c>
      <c r="Q2082" s="17" t="s">
        <v>953</v>
      </c>
      <c r="R2082" s="17" t="s">
        <v>35</v>
      </c>
      <c r="S2082" s="17" t="s">
        <v>613</v>
      </c>
      <c r="T2082" s="18" t="s">
        <v>248</v>
      </c>
      <c r="U2082" s="18" t="s">
        <v>122</v>
      </c>
      <c r="V2082" s="17" t="n">
        <v>2</v>
      </c>
      <c r="W2082" s="20" t="s">
        <v>122</v>
      </c>
      <c r="X2082" s="17" t="s">
        <v>289</v>
      </c>
      <c r="Y2082" s="17" t="s">
        <v>1067</v>
      </c>
      <c r="Z2082" s="17" t="s">
        <v>509</v>
      </c>
      <c r="AA2082" s="17" t="s">
        <v>919</v>
      </c>
      <c r="AB2082" s="17" t="s">
        <v>41</v>
      </c>
      <c r="AC2082" s="0" t="str">
        <f aca="false">LEFT(G2082,2)</f>
        <v>85</v>
      </c>
      <c r="AE2082" s="21"/>
    </row>
    <row r="2083" customFormat="false" ht="15" hidden="false" customHeight="false" outlineLevel="0" collapsed="false">
      <c r="A2083" s="13" t="n">
        <f aca="false">1+A2082</f>
        <v>2081</v>
      </c>
      <c r="B2083" s="14" t="n">
        <v>1009634109</v>
      </c>
      <c r="C2083" s="15" t="s">
        <v>182</v>
      </c>
      <c r="D2083" s="16" t="s">
        <v>64</v>
      </c>
      <c r="E2083" s="17" t="s">
        <v>64</v>
      </c>
      <c r="F2083" s="18" t="s">
        <v>34</v>
      </c>
      <c r="G2083" s="19" t="n">
        <v>844108719874</v>
      </c>
      <c r="H2083" s="17" t="s">
        <v>35</v>
      </c>
      <c r="I2083" s="17" t="s">
        <v>44</v>
      </c>
      <c r="J2083" s="17" t="s">
        <v>111</v>
      </c>
      <c r="K2083" s="17" t="s">
        <v>958</v>
      </c>
      <c r="L2083" s="17" t="n">
        <v>1</v>
      </c>
      <c r="M2083" s="17" t="s">
        <v>610</v>
      </c>
      <c r="N2083" s="17" t="n">
        <v>1</v>
      </c>
      <c r="O2083" s="17" t="s">
        <v>611</v>
      </c>
      <c r="P2083" s="17" t="n">
        <v>11</v>
      </c>
      <c r="Q2083" s="17" t="s">
        <v>953</v>
      </c>
      <c r="R2083" s="17" t="s">
        <v>35</v>
      </c>
      <c r="S2083" s="17" t="s">
        <v>613</v>
      </c>
      <c r="T2083" s="18" t="s">
        <v>248</v>
      </c>
      <c r="U2083" s="18" t="s">
        <v>38</v>
      </c>
      <c r="V2083" s="17" t="n">
        <v>4</v>
      </c>
      <c r="W2083" s="20" t="s">
        <v>38</v>
      </c>
      <c r="X2083" s="17" t="s">
        <v>111</v>
      </c>
      <c r="Y2083" s="17" t="s">
        <v>958</v>
      </c>
      <c r="Z2083" s="17" t="s">
        <v>1084</v>
      </c>
      <c r="AA2083" s="17" t="s">
        <v>919</v>
      </c>
      <c r="AB2083" s="17" t="s">
        <v>41</v>
      </c>
      <c r="AC2083" s="0" t="str">
        <f aca="false">LEFT(G2083,2)</f>
        <v>84</v>
      </c>
      <c r="AE2083" s="21"/>
    </row>
    <row r="2084" customFormat="false" ht="15" hidden="false" customHeight="false" outlineLevel="0" collapsed="false">
      <c r="A2084" s="13" t="n">
        <f aca="false">1+A2083</f>
        <v>2082</v>
      </c>
      <c r="B2084" s="14" t="n">
        <v>1009621641</v>
      </c>
      <c r="C2084" s="15" t="s">
        <v>184</v>
      </c>
      <c r="D2084" s="16" t="s">
        <v>64</v>
      </c>
      <c r="E2084" s="17" t="s">
        <v>64</v>
      </c>
      <c r="F2084" s="18" t="s">
        <v>34</v>
      </c>
      <c r="G2084" s="19" t="n">
        <v>844107775026</v>
      </c>
      <c r="H2084" s="17" t="s">
        <v>35</v>
      </c>
      <c r="I2084" s="17" t="s">
        <v>44</v>
      </c>
      <c r="J2084" s="17" t="s">
        <v>111</v>
      </c>
      <c r="K2084" s="17" t="s">
        <v>958</v>
      </c>
      <c r="L2084" s="17" t="n">
        <v>1</v>
      </c>
      <c r="M2084" s="17" t="s">
        <v>610</v>
      </c>
      <c r="N2084" s="17" t="n">
        <v>1</v>
      </c>
      <c r="O2084" s="17" t="s">
        <v>611</v>
      </c>
      <c r="P2084" s="17" t="n">
        <v>11</v>
      </c>
      <c r="Q2084" s="17" t="s">
        <v>953</v>
      </c>
      <c r="R2084" s="17" t="s">
        <v>35</v>
      </c>
      <c r="S2084" s="17" t="s">
        <v>613</v>
      </c>
      <c r="T2084" s="18" t="s">
        <v>248</v>
      </c>
      <c r="U2084" s="18" t="s">
        <v>122</v>
      </c>
      <c r="V2084" s="17" t="n">
        <v>2</v>
      </c>
      <c r="W2084" s="20" t="s">
        <v>122</v>
      </c>
      <c r="X2084" s="17" t="s">
        <v>111</v>
      </c>
      <c r="Y2084" s="17" t="s">
        <v>958</v>
      </c>
      <c r="Z2084" s="17" t="s">
        <v>1085</v>
      </c>
      <c r="AA2084" s="17" t="s">
        <v>919</v>
      </c>
      <c r="AB2084" s="17" t="s">
        <v>41</v>
      </c>
      <c r="AC2084" s="0" t="str">
        <f aca="false">LEFT(G2084,2)</f>
        <v>84</v>
      </c>
      <c r="AE2084" s="21"/>
    </row>
    <row r="2085" customFormat="false" ht="15" hidden="false" customHeight="false" outlineLevel="0" collapsed="false">
      <c r="A2085" s="13" t="n">
        <f aca="false">1+A2084</f>
        <v>2083</v>
      </c>
      <c r="B2085" s="14" t="n">
        <v>1009663999</v>
      </c>
      <c r="C2085" s="15" t="s">
        <v>433</v>
      </c>
      <c r="D2085" s="16" t="s">
        <v>64</v>
      </c>
      <c r="E2085" s="17" t="s">
        <v>47</v>
      </c>
      <c r="F2085" s="18" t="s">
        <v>34</v>
      </c>
      <c r="G2085" s="19" t="n">
        <v>853205767801</v>
      </c>
      <c r="H2085" s="17" t="s">
        <v>35</v>
      </c>
      <c r="I2085" s="17" t="s">
        <v>44</v>
      </c>
      <c r="J2085" s="17" t="s">
        <v>267</v>
      </c>
      <c r="K2085" s="17" t="s">
        <v>960</v>
      </c>
      <c r="L2085" s="17" t="n">
        <v>5</v>
      </c>
      <c r="M2085" s="17" t="s">
        <v>952</v>
      </c>
      <c r="N2085" s="17" t="n">
        <v>1</v>
      </c>
      <c r="O2085" s="17" t="s">
        <v>611</v>
      </c>
      <c r="P2085" s="17" t="n">
        <v>11</v>
      </c>
      <c r="Q2085" s="17" t="s">
        <v>953</v>
      </c>
      <c r="R2085" s="17" t="s">
        <v>35</v>
      </c>
      <c r="S2085" s="17" t="s">
        <v>613</v>
      </c>
      <c r="T2085" s="18" t="s">
        <v>248</v>
      </c>
      <c r="U2085" s="18" t="s">
        <v>122</v>
      </c>
      <c r="V2085" s="17" t="n">
        <v>2</v>
      </c>
      <c r="W2085" s="20" t="s">
        <v>122</v>
      </c>
      <c r="X2085" s="17" t="s">
        <v>267</v>
      </c>
      <c r="Y2085" s="17" t="s">
        <v>960</v>
      </c>
      <c r="Z2085" s="17" t="s">
        <v>509</v>
      </c>
      <c r="AA2085" s="17" t="s">
        <v>919</v>
      </c>
      <c r="AB2085" s="17" t="s">
        <v>41</v>
      </c>
      <c r="AC2085" s="0" t="str">
        <f aca="false">LEFT(G2085,2)</f>
        <v>85</v>
      </c>
      <c r="AE2085" s="21"/>
    </row>
    <row r="2086" customFormat="false" ht="15" hidden="false" customHeight="false" outlineLevel="0" collapsed="false">
      <c r="A2086" s="13" t="n">
        <f aca="false">1+A2085</f>
        <v>2084</v>
      </c>
      <c r="B2086" s="14" t="n">
        <v>1009649738</v>
      </c>
      <c r="C2086" s="15" t="s">
        <v>204</v>
      </c>
      <c r="D2086" s="16" t="s">
        <v>472</v>
      </c>
      <c r="E2086" s="17" t="s">
        <v>114</v>
      </c>
      <c r="F2086" s="18" t="s">
        <v>34</v>
      </c>
      <c r="G2086" s="19" t="n">
        <v>853247773619</v>
      </c>
      <c r="H2086" s="17" t="s">
        <v>35</v>
      </c>
      <c r="I2086" s="17" t="s">
        <v>44</v>
      </c>
      <c r="J2086" s="17" t="s">
        <v>267</v>
      </c>
      <c r="K2086" s="17" t="s">
        <v>960</v>
      </c>
      <c r="L2086" s="17" t="n">
        <v>2</v>
      </c>
      <c r="M2086" s="17" t="s">
        <v>981</v>
      </c>
      <c r="N2086" s="17" t="n">
        <v>6</v>
      </c>
      <c r="O2086" s="17" t="s">
        <v>982</v>
      </c>
      <c r="P2086" s="17" t="n">
        <v>11</v>
      </c>
      <c r="Q2086" s="17" t="s">
        <v>953</v>
      </c>
      <c r="R2086" s="17" t="s">
        <v>35</v>
      </c>
      <c r="S2086" s="17" t="s">
        <v>613</v>
      </c>
      <c r="T2086" s="18" t="s">
        <v>248</v>
      </c>
      <c r="U2086" s="18" t="s">
        <v>122</v>
      </c>
      <c r="V2086" s="17" t="n">
        <v>2</v>
      </c>
      <c r="W2086" s="20" t="s">
        <v>122</v>
      </c>
      <c r="X2086" s="17" t="s">
        <v>267</v>
      </c>
      <c r="Y2086" s="17" t="s">
        <v>960</v>
      </c>
      <c r="Z2086" s="17" t="s">
        <v>505</v>
      </c>
      <c r="AA2086" s="17" t="s">
        <v>919</v>
      </c>
      <c r="AB2086" s="17" t="s">
        <v>41</v>
      </c>
      <c r="AC2086" s="0" t="str">
        <f aca="false">LEFT(G2086,2)</f>
        <v>85</v>
      </c>
      <c r="AE2086" s="21"/>
    </row>
    <row r="2087" customFormat="false" ht="15" hidden="false" customHeight="false" outlineLevel="0" collapsed="false">
      <c r="A2087" s="13" t="n">
        <f aca="false">1+A2086</f>
        <v>2085</v>
      </c>
      <c r="B2087" s="14" t="n">
        <v>1009534669</v>
      </c>
      <c r="C2087" s="15" t="s">
        <v>311</v>
      </c>
      <c r="D2087" s="16" t="s">
        <v>64</v>
      </c>
      <c r="E2087" s="17" t="s">
        <v>47</v>
      </c>
      <c r="F2087" s="18" t="s">
        <v>34</v>
      </c>
      <c r="G2087" s="19" t="n">
        <v>844110777563</v>
      </c>
      <c r="H2087" s="17" t="s">
        <v>35</v>
      </c>
      <c r="I2087" s="17" t="s">
        <v>44</v>
      </c>
      <c r="J2087" s="17" t="s">
        <v>111</v>
      </c>
      <c r="K2087" s="17" t="s">
        <v>958</v>
      </c>
      <c r="L2087" s="17" t="n">
        <v>1</v>
      </c>
      <c r="M2087" s="17" t="s">
        <v>610</v>
      </c>
      <c r="N2087" s="17" t="n">
        <v>1</v>
      </c>
      <c r="O2087" s="17" t="s">
        <v>611</v>
      </c>
      <c r="P2087" s="17" t="n">
        <v>11</v>
      </c>
      <c r="Q2087" s="17" t="s">
        <v>953</v>
      </c>
      <c r="R2087" s="17" t="s">
        <v>35</v>
      </c>
      <c r="S2087" s="17" t="s">
        <v>613</v>
      </c>
      <c r="T2087" s="18" t="s">
        <v>248</v>
      </c>
      <c r="U2087" s="18" t="s">
        <v>122</v>
      </c>
      <c r="V2087" s="17" t="n">
        <v>2</v>
      </c>
      <c r="W2087" s="20" t="s">
        <v>122</v>
      </c>
      <c r="X2087" s="17" t="s">
        <v>111</v>
      </c>
      <c r="Y2087" s="17" t="s">
        <v>958</v>
      </c>
      <c r="Z2087" s="17" t="s">
        <v>149</v>
      </c>
      <c r="AA2087" s="17" t="s">
        <v>919</v>
      </c>
      <c r="AB2087" s="17" t="s">
        <v>41</v>
      </c>
      <c r="AC2087" s="0" t="str">
        <f aca="false">LEFT(G2087,2)</f>
        <v>84</v>
      </c>
      <c r="AE2087" s="21"/>
    </row>
    <row r="2088" customFormat="false" ht="15" hidden="false" customHeight="false" outlineLevel="0" collapsed="false">
      <c r="A2088" s="13" t="n">
        <f aca="false">1+A2087</f>
        <v>2086</v>
      </c>
      <c r="B2088" s="14" t="n">
        <v>1009563863</v>
      </c>
      <c r="C2088" s="15" t="s">
        <v>192</v>
      </c>
      <c r="D2088" s="16" t="s">
        <v>64</v>
      </c>
      <c r="E2088" s="17" t="s">
        <v>1086</v>
      </c>
      <c r="F2088" s="18" t="s">
        <v>34</v>
      </c>
      <c r="G2088" s="19" t="n">
        <v>844085704998</v>
      </c>
      <c r="H2088" s="17" t="s">
        <v>35</v>
      </c>
      <c r="I2088" s="17" t="s">
        <v>44</v>
      </c>
      <c r="J2088" s="17" t="s">
        <v>111</v>
      </c>
      <c r="K2088" s="17" t="s">
        <v>958</v>
      </c>
      <c r="L2088" s="17" t="n">
        <v>1</v>
      </c>
      <c r="M2088" s="17" t="s">
        <v>610</v>
      </c>
      <c r="N2088" s="17" t="n">
        <v>1</v>
      </c>
      <c r="O2088" s="17" t="s">
        <v>611</v>
      </c>
      <c r="P2088" s="17" t="n">
        <v>11</v>
      </c>
      <c r="Q2088" s="17" t="s">
        <v>953</v>
      </c>
      <c r="R2088" s="17" t="s">
        <v>35</v>
      </c>
      <c r="S2088" s="17" t="s">
        <v>613</v>
      </c>
      <c r="T2088" s="18" t="s">
        <v>248</v>
      </c>
      <c r="U2088" s="18" t="s">
        <v>122</v>
      </c>
      <c r="V2088" s="17" t="n">
        <v>2</v>
      </c>
      <c r="W2088" s="20" t="s">
        <v>122</v>
      </c>
      <c r="X2088" s="17" t="s">
        <v>111</v>
      </c>
      <c r="Y2088" s="17" t="s">
        <v>958</v>
      </c>
      <c r="Z2088" s="17" t="s">
        <v>1087</v>
      </c>
      <c r="AA2088" s="17" t="s">
        <v>919</v>
      </c>
      <c r="AB2088" s="17" t="s">
        <v>41</v>
      </c>
      <c r="AC2088" s="0" t="str">
        <f aca="false">LEFT(G2088,2)</f>
        <v>84</v>
      </c>
      <c r="AE2088" s="21"/>
    </row>
    <row r="2089" customFormat="false" ht="15" hidden="false" customHeight="false" outlineLevel="0" collapsed="false">
      <c r="A2089" s="13" t="n">
        <f aca="false">1+A2088</f>
        <v>2087</v>
      </c>
      <c r="B2089" s="14" t="n">
        <v>1009677957</v>
      </c>
      <c r="C2089" s="15" t="s">
        <v>436</v>
      </c>
      <c r="D2089" s="16" t="s">
        <v>88</v>
      </c>
      <c r="E2089" s="17" t="s">
        <v>47</v>
      </c>
      <c r="F2089" s="18" t="s">
        <v>34</v>
      </c>
      <c r="G2089" s="19" t="n">
        <v>844132730053</v>
      </c>
      <c r="H2089" s="17" t="s">
        <v>35</v>
      </c>
      <c r="I2089" s="17" t="s">
        <v>44</v>
      </c>
      <c r="J2089" s="17" t="s">
        <v>267</v>
      </c>
      <c r="K2089" s="17" t="s">
        <v>960</v>
      </c>
      <c r="L2089" s="17" t="n">
        <v>5</v>
      </c>
      <c r="M2089" s="17" t="s">
        <v>952</v>
      </c>
      <c r="N2089" s="17" t="n">
        <v>1</v>
      </c>
      <c r="O2089" s="17" t="s">
        <v>611</v>
      </c>
      <c r="P2089" s="17" t="n">
        <v>11</v>
      </c>
      <c r="Q2089" s="17" t="s">
        <v>953</v>
      </c>
      <c r="R2089" s="17" t="s">
        <v>35</v>
      </c>
      <c r="S2089" s="17" t="s">
        <v>613</v>
      </c>
      <c r="T2089" s="18" t="s">
        <v>248</v>
      </c>
      <c r="U2089" s="18" t="s">
        <v>122</v>
      </c>
      <c r="V2089" s="17" t="n">
        <v>2</v>
      </c>
      <c r="W2089" s="20" t="s">
        <v>122</v>
      </c>
      <c r="X2089" s="17" t="s">
        <v>267</v>
      </c>
      <c r="Y2089" s="17" t="s">
        <v>960</v>
      </c>
      <c r="Z2089" s="17" t="s">
        <v>41</v>
      </c>
      <c r="AA2089" s="17" t="s">
        <v>919</v>
      </c>
      <c r="AB2089" s="17" t="s">
        <v>41</v>
      </c>
      <c r="AC2089" s="0" t="str">
        <f aca="false">LEFT(G2089,2)</f>
        <v>84</v>
      </c>
      <c r="AE2089" s="21"/>
    </row>
    <row r="2090" customFormat="false" ht="15" hidden="false" customHeight="false" outlineLevel="0" collapsed="false">
      <c r="A2090" s="13" t="n">
        <f aca="false">1+A2089</f>
        <v>2088</v>
      </c>
      <c r="B2090" s="14" t="n">
        <v>1009633824</v>
      </c>
      <c r="C2090" s="15" t="s">
        <v>182</v>
      </c>
      <c r="D2090" s="16" t="s">
        <v>64</v>
      </c>
      <c r="E2090" s="17" t="s">
        <v>47</v>
      </c>
      <c r="F2090" s="18" t="s">
        <v>34</v>
      </c>
      <c r="G2090" s="19" t="n">
        <v>844126779629</v>
      </c>
      <c r="H2090" s="17" t="s">
        <v>35</v>
      </c>
      <c r="I2090" s="17" t="s">
        <v>44</v>
      </c>
      <c r="J2090" s="17" t="s">
        <v>267</v>
      </c>
      <c r="K2090" s="17" t="s">
        <v>960</v>
      </c>
      <c r="L2090" s="17" t="n">
        <v>1</v>
      </c>
      <c r="M2090" s="17" t="s">
        <v>610</v>
      </c>
      <c r="N2090" s="17" t="n">
        <v>1</v>
      </c>
      <c r="O2090" s="17" t="s">
        <v>611</v>
      </c>
      <c r="P2090" s="17" t="n">
        <v>11</v>
      </c>
      <c r="Q2090" s="17" t="s">
        <v>953</v>
      </c>
      <c r="R2090" s="17" t="s">
        <v>35</v>
      </c>
      <c r="S2090" s="17" t="s">
        <v>613</v>
      </c>
      <c r="T2090" s="18" t="s">
        <v>248</v>
      </c>
      <c r="U2090" s="18" t="s">
        <v>122</v>
      </c>
      <c r="V2090" s="17" t="n">
        <v>2</v>
      </c>
      <c r="W2090" s="20" t="s">
        <v>122</v>
      </c>
      <c r="X2090" s="17" t="s">
        <v>267</v>
      </c>
      <c r="Y2090" s="17" t="s">
        <v>960</v>
      </c>
      <c r="Z2090" s="17" t="s">
        <v>1088</v>
      </c>
      <c r="AA2090" s="17" t="s">
        <v>919</v>
      </c>
      <c r="AB2090" s="17" t="s">
        <v>41</v>
      </c>
      <c r="AC2090" s="0" t="str">
        <f aca="false">LEFT(G2090,2)</f>
        <v>84</v>
      </c>
      <c r="AE2090" s="21"/>
    </row>
    <row r="2091" customFormat="false" ht="15" hidden="false" customHeight="false" outlineLevel="0" collapsed="false">
      <c r="A2091" s="13" t="n">
        <f aca="false">1+A2090</f>
        <v>2089</v>
      </c>
      <c r="B2091" s="14" t="n">
        <v>1009554629</v>
      </c>
      <c r="C2091" s="15" t="s">
        <v>444</v>
      </c>
      <c r="D2091" s="16" t="s">
        <v>64</v>
      </c>
      <c r="E2091" s="17" t="s">
        <v>1089</v>
      </c>
      <c r="F2091" s="18" t="s">
        <v>34</v>
      </c>
      <c r="G2091" s="19" t="n">
        <v>854167755479</v>
      </c>
      <c r="H2091" s="17" t="s">
        <v>35</v>
      </c>
      <c r="I2091" s="17" t="s">
        <v>44</v>
      </c>
      <c r="J2091" s="17" t="s">
        <v>100</v>
      </c>
      <c r="K2091" s="17" t="s">
        <v>978</v>
      </c>
      <c r="L2091" s="17" t="n">
        <v>1</v>
      </c>
      <c r="M2091" s="17" t="s">
        <v>610</v>
      </c>
      <c r="N2091" s="17" t="n">
        <v>1</v>
      </c>
      <c r="O2091" s="17" t="s">
        <v>611</v>
      </c>
      <c r="P2091" s="17" t="n">
        <v>11</v>
      </c>
      <c r="Q2091" s="17" t="s">
        <v>953</v>
      </c>
      <c r="R2091" s="17" t="s">
        <v>35</v>
      </c>
      <c r="S2091" s="17" t="s">
        <v>613</v>
      </c>
      <c r="T2091" s="18" t="s">
        <v>248</v>
      </c>
      <c r="U2091" s="18" t="s">
        <v>122</v>
      </c>
      <c r="V2091" s="17" t="n">
        <v>2</v>
      </c>
      <c r="W2091" s="20" t="s">
        <v>122</v>
      </c>
      <c r="X2091" s="17" t="s">
        <v>100</v>
      </c>
      <c r="Y2091" s="17" t="s">
        <v>978</v>
      </c>
      <c r="Z2091" s="17" t="s">
        <v>1090</v>
      </c>
      <c r="AA2091" s="17" t="s">
        <v>919</v>
      </c>
      <c r="AB2091" s="17" t="s">
        <v>41</v>
      </c>
      <c r="AC2091" s="0" t="str">
        <f aca="false">LEFT(G2091,2)</f>
        <v>85</v>
      </c>
      <c r="AE2091" s="21"/>
    </row>
    <row r="2092" customFormat="false" ht="15" hidden="false" customHeight="false" outlineLevel="0" collapsed="false">
      <c r="A2092" s="13" t="n">
        <f aca="false">1+A2091</f>
        <v>2090</v>
      </c>
      <c r="B2092" s="14" t="n">
        <v>1009537490</v>
      </c>
      <c r="C2092" s="15" t="s">
        <v>311</v>
      </c>
      <c r="D2092" s="16" t="s">
        <v>64</v>
      </c>
      <c r="E2092" s="17" t="s">
        <v>64</v>
      </c>
      <c r="F2092" s="18" t="s">
        <v>34</v>
      </c>
      <c r="G2092" s="19" t="n">
        <v>853209728411</v>
      </c>
      <c r="H2092" s="17" t="s">
        <v>35</v>
      </c>
      <c r="I2092" s="17" t="s">
        <v>44</v>
      </c>
      <c r="J2092" s="17" t="s">
        <v>100</v>
      </c>
      <c r="K2092" s="17" t="s">
        <v>978</v>
      </c>
      <c r="L2092" s="17" t="n">
        <v>1</v>
      </c>
      <c r="M2092" s="17" t="s">
        <v>610</v>
      </c>
      <c r="N2092" s="17" t="n">
        <v>1</v>
      </c>
      <c r="O2092" s="17" t="s">
        <v>611</v>
      </c>
      <c r="P2092" s="17" t="n">
        <v>12</v>
      </c>
      <c r="Q2092" s="17" t="s">
        <v>953</v>
      </c>
      <c r="R2092" s="17" t="s">
        <v>35</v>
      </c>
      <c r="S2092" s="17" t="s">
        <v>613</v>
      </c>
      <c r="T2092" s="18" t="s">
        <v>248</v>
      </c>
      <c r="U2092" s="18" t="s">
        <v>101</v>
      </c>
      <c r="V2092" s="17" t="n">
        <v>8</v>
      </c>
      <c r="W2092" s="20" t="s">
        <v>101</v>
      </c>
      <c r="X2092" s="17" t="s">
        <v>100</v>
      </c>
      <c r="Y2092" s="17" t="s">
        <v>978</v>
      </c>
      <c r="Z2092" s="17" t="s">
        <v>1091</v>
      </c>
      <c r="AA2092" s="17" t="s">
        <v>919</v>
      </c>
      <c r="AB2092" s="17" t="s">
        <v>41</v>
      </c>
      <c r="AC2092" s="0" t="str">
        <f aca="false">LEFT(G2092,2)</f>
        <v>85</v>
      </c>
      <c r="AE2092" s="21"/>
    </row>
    <row r="2093" customFormat="false" ht="15" hidden="false" customHeight="false" outlineLevel="0" collapsed="false">
      <c r="A2093" s="13" t="n">
        <f aca="false">1+A2092</f>
        <v>2091</v>
      </c>
      <c r="B2093" s="14" t="n">
        <v>1009633943</v>
      </c>
      <c r="C2093" s="15" t="s">
        <v>182</v>
      </c>
      <c r="D2093" s="16" t="s">
        <v>230</v>
      </c>
      <c r="E2093" s="17" t="s">
        <v>47</v>
      </c>
      <c r="F2093" s="18" t="s">
        <v>34</v>
      </c>
      <c r="G2093" s="19" t="n">
        <v>853317709915</v>
      </c>
      <c r="H2093" s="17" t="s">
        <v>35</v>
      </c>
      <c r="I2093" s="17" t="s">
        <v>44</v>
      </c>
      <c r="J2093" s="17" t="s">
        <v>118</v>
      </c>
      <c r="K2093" s="17" t="s">
        <v>609</v>
      </c>
      <c r="L2093" s="17" t="n">
        <v>1</v>
      </c>
      <c r="M2093" s="17" t="s">
        <v>610</v>
      </c>
      <c r="N2093" s="17" t="n">
        <v>1</v>
      </c>
      <c r="O2093" s="17" t="s">
        <v>611</v>
      </c>
      <c r="P2093" s="17" t="n">
        <v>11</v>
      </c>
      <c r="Q2093" s="17" t="s">
        <v>953</v>
      </c>
      <c r="R2093" s="17" t="s">
        <v>35</v>
      </c>
      <c r="S2093" s="17" t="s">
        <v>613</v>
      </c>
      <c r="T2093" s="18" t="s">
        <v>248</v>
      </c>
      <c r="U2093" s="18" t="s">
        <v>122</v>
      </c>
      <c r="V2093" s="17" t="n">
        <v>2</v>
      </c>
      <c r="W2093" s="20" t="s">
        <v>122</v>
      </c>
      <c r="X2093" s="17" t="s">
        <v>118</v>
      </c>
      <c r="Y2093" s="17" t="s">
        <v>609</v>
      </c>
      <c r="Z2093" s="17" t="s">
        <v>1092</v>
      </c>
      <c r="AA2093" s="17" t="s">
        <v>919</v>
      </c>
      <c r="AB2093" s="17" t="s">
        <v>41</v>
      </c>
      <c r="AC2093" s="0" t="str">
        <f aca="false">LEFT(G2093,2)</f>
        <v>85</v>
      </c>
      <c r="AE2093" s="21"/>
    </row>
    <row r="2094" customFormat="false" ht="15" hidden="false" customHeight="false" outlineLevel="0" collapsed="false">
      <c r="A2094" s="13" t="n">
        <f aca="false">1+A2093</f>
        <v>2092</v>
      </c>
      <c r="B2094" s="14" t="n">
        <v>1009633765</v>
      </c>
      <c r="C2094" s="15" t="s">
        <v>182</v>
      </c>
      <c r="D2094" s="16" t="s">
        <v>64</v>
      </c>
      <c r="E2094" s="17" t="s">
        <v>47</v>
      </c>
      <c r="F2094" s="18" t="s">
        <v>34</v>
      </c>
      <c r="G2094" s="19" t="n">
        <v>844142732875</v>
      </c>
      <c r="H2094" s="17" t="s">
        <v>35</v>
      </c>
      <c r="I2094" s="17" t="s">
        <v>44</v>
      </c>
      <c r="J2094" s="17" t="s">
        <v>100</v>
      </c>
      <c r="K2094" s="17" t="s">
        <v>978</v>
      </c>
      <c r="L2094" s="17" t="n">
        <v>1</v>
      </c>
      <c r="M2094" s="17" t="s">
        <v>610</v>
      </c>
      <c r="N2094" s="17" t="n">
        <v>1</v>
      </c>
      <c r="O2094" s="17" t="s">
        <v>611</v>
      </c>
      <c r="P2094" s="17" t="n">
        <v>11</v>
      </c>
      <c r="Q2094" s="17" t="s">
        <v>953</v>
      </c>
      <c r="R2094" s="17" t="s">
        <v>35</v>
      </c>
      <c r="S2094" s="17" t="s">
        <v>613</v>
      </c>
      <c r="T2094" s="18" t="s">
        <v>248</v>
      </c>
      <c r="U2094" s="18" t="s">
        <v>122</v>
      </c>
      <c r="V2094" s="17" t="n">
        <v>2</v>
      </c>
      <c r="W2094" s="20" t="s">
        <v>122</v>
      </c>
      <c r="X2094" s="17" t="s">
        <v>100</v>
      </c>
      <c r="Y2094" s="17" t="s">
        <v>978</v>
      </c>
      <c r="Z2094" s="17" t="s">
        <v>1093</v>
      </c>
      <c r="AA2094" s="17" t="s">
        <v>919</v>
      </c>
      <c r="AB2094" s="17" t="s">
        <v>41</v>
      </c>
      <c r="AC2094" s="0" t="str">
        <f aca="false">LEFT(G2094,2)</f>
        <v>84</v>
      </c>
      <c r="AE2094" s="21"/>
    </row>
    <row r="2095" customFormat="false" ht="15" hidden="false" customHeight="false" outlineLevel="0" collapsed="false">
      <c r="A2095" s="13" t="n">
        <f aca="false">1+A2094</f>
        <v>2093</v>
      </c>
      <c r="B2095" s="14" t="n">
        <v>1009551189</v>
      </c>
      <c r="C2095" s="15" t="s">
        <v>126</v>
      </c>
      <c r="D2095" s="16" t="s">
        <v>154</v>
      </c>
      <c r="E2095" s="17" t="s">
        <v>1094</v>
      </c>
      <c r="F2095" s="18" t="s">
        <v>34</v>
      </c>
      <c r="G2095" s="19" t="n">
        <v>844136700797</v>
      </c>
      <c r="H2095" s="17" t="s">
        <v>35</v>
      </c>
      <c r="I2095" s="17" t="s">
        <v>44</v>
      </c>
      <c r="J2095" s="17" t="s">
        <v>118</v>
      </c>
      <c r="K2095" s="17" t="s">
        <v>609</v>
      </c>
      <c r="L2095" s="17" t="n">
        <v>1</v>
      </c>
      <c r="M2095" s="17" t="s">
        <v>610</v>
      </c>
      <c r="N2095" s="17" t="n">
        <v>1</v>
      </c>
      <c r="O2095" s="17" t="s">
        <v>611</v>
      </c>
      <c r="P2095" s="17" t="n">
        <v>11</v>
      </c>
      <c r="Q2095" s="17" t="s">
        <v>953</v>
      </c>
      <c r="R2095" s="17" t="s">
        <v>35</v>
      </c>
      <c r="S2095" s="17" t="s">
        <v>613</v>
      </c>
      <c r="T2095" s="18" t="s">
        <v>248</v>
      </c>
      <c r="U2095" s="18" t="s">
        <v>122</v>
      </c>
      <c r="V2095" s="17" t="n">
        <v>2</v>
      </c>
      <c r="W2095" s="20" t="s">
        <v>122</v>
      </c>
      <c r="X2095" s="17" t="s">
        <v>118</v>
      </c>
      <c r="Y2095" s="17" t="s">
        <v>609</v>
      </c>
      <c r="Z2095" s="17" t="s">
        <v>1095</v>
      </c>
      <c r="AA2095" s="17" t="s">
        <v>919</v>
      </c>
      <c r="AB2095" s="17" t="s">
        <v>41</v>
      </c>
      <c r="AC2095" s="0" t="str">
        <f aca="false">LEFT(G2095,2)</f>
        <v>84</v>
      </c>
      <c r="AE2095" s="21"/>
    </row>
    <row r="2096" customFormat="false" ht="15" hidden="false" customHeight="false" outlineLevel="0" collapsed="false">
      <c r="A2096" s="13" t="n">
        <f aca="false">1+A2095</f>
        <v>2094</v>
      </c>
      <c r="B2096" s="14" t="n">
        <v>1009534691</v>
      </c>
      <c r="C2096" s="15" t="s">
        <v>311</v>
      </c>
      <c r="D2096" s="16" t="s">
        <v>64</v>
      </c>
      <c r="E2096" s="17" t="s">
        <v>64</v>
      </c>
      <c r="F2096" s="18" t="s">
        <v>34</v>
      </c>
      <c r="G2096" s="19" t="n">
        <v>854164743189</v>
      </c>
      <c r="H2096" s="17" t="s">
        <v>35</v>
      </c>
      <c r="I2096" s="17" t="s">
        <v>44</v>
      </c>
      <c r="J2096" s="17" t="s">
        <v>111</v>
      </c>
      <c r="K2096" s="17" t="s">
        <v>958</v>
      </c>
      <c r="L2096" s="17" t="n">
        <v>1</v>
      </c>
      <c r="M2096" s="17" t="s">
        <v>610</v>
      </c>
      <c r="N2096" s="17" t="n">
        <v>1</v>
      </c>
      <c r="O2096" s="17" t="s">
        <v>611</v>
      </c>
      <c r="P2096" s="17" t="n">
        <v>11</v>
      </c>
      <c r="Q2096" s="17" t="s">
        <v>953</v>
      </c>
      <c r="R2096" s="17" t="s">
        <v>35</v>
      </c>
      <c r="S2096" s="17" t="s">
        <v>613</v>
      </c>
      <c r="T2096" s="18" t="s">
        <v>248</v>
      </c>
      <c r="U2096" s="18" t="s">
        <v>122</v>
      </c>
      <c r="V2096" s="17" t="n">
        <v>2</v>
      </c>
      <c r="W2096" s="20" t="s">
        <v>122</v>
      </c>
      <c r="X2096" s="17" t="s">
        <v>111</v>
      </c>
      <c r="Y2096" s="17" t="s">
        <v>958</v>
      </c>
      <c r="Z2096" s="17" t="s">
        <v>1096</v>
      </c>
      <c r="AA2096" s="17" t="s">
        <v>919</v>
      </c>
      <c r="AB2096" s="17" t="s">
        <v>41</v>
      </c>
      <c r="AC2096" s="0" t="str">
        <f aca="false">LEFT(G2096,2)</f>
        <v>85</v>
      </c>
      <c r="AE2096" s="21"/>
    </row>
    <row r="2097" customFormat="false" ht="15" hidden="false" customHeight="false" outlineLevel="0" collapsed="false">
      <c r="A2097" s="13" t="n">
        <f aca="false">1+A2096</f>
        <v>2095</v>
      </c>
      <c r="B2097" s="14" t="n">
        <v>1009677962</v>
      </c>
      <c r="C2097" s="15" t="s">
        <v>436</v>
      </c>
      <c r="D2097" s="16" t="s">
        <v>64</v>
      </c>
      <c r="E2097" s="17" t="s">
        <v>47</v>
      </c>
      <c r="F2097" s="18" t="s">
        <v>34</v>
      </c>
      <c r="G2097" s="19" t="n">
        <v>853246779500</v>
      </c>
      <c r="H2097" s="17" t="s">
        <v>35</v>
      </c>
      <c r="I2097" s="17" t="s">
        <v>44</v>
      </c>
      <c r="J2097" s="17" t="s">
        <v>111</v>
      </c>
      <c r="K2097" s="17" t="s">
        <v>958</v>
      </c>
      <c r="L2097" s="17" t="n">
        <v>1</v>
      </c>
      <c r="M2097" s="17" t="s">
        <v>610</v>
      </c>
      <c r="N2097" s="17" t="n">
        <v>1</v>
      </c>
      <c r="O2097" s="17" t="s">
        <v>611</v>
      </c>
      <c r="P2097" s="17" t="n">
        <v>11</v>
      </c>
      <c r="Q2097" s="17" t="s">
        <v>953</v>
      </c>
      <c r="R2097" s="17" t="s">
        <v>35</v>
      </c>
      <c r="S2097" s="17" t="s">
        <v>613</v>
      </c>
      <c r="T2097" s="18" t="s">
        <v>248</v>
      </c>
      <c r="U2097" s="18" t="s">
        <v>122</v>
      </c>
      <c r="V2097" s="17" t="n">
        <v>2</v>
      </c>
      <c r="W2097" s="20" t="s">
        <v>122</v>
      </c>
      <c r="X2097" s="17" t="s">
        <v>111</v>
      </c>
      <c r="Y2097" s="17" t="s">
        <v>958</v>
      </c>
      <c r="Z2097" s="17" t="s">
        <v>1097</v>
      </c>
      <c r="AA2097" s="17" t="s">
        <v>919</v>
      </c>
      <c r="AB2097" s="17" t="s">
        <v>41</v>
      </c>
      <c r="AC2097" s="0" t="str">
        <f aca="false">LEFT(G2097,2)</f>
        <v>85</v>
      </c>
      <c r="AE2097" s="21"/>
    </row>
    <row r="2098" customFormat="false" ht="15" hidden="false" customHeight="false" outlineLevel="0" collapsed="false">
      <c r="A2098" s="13" t="n">
        <f aca="false">1+A2097</f>
        <v>2096</v>
      </c>
      <c r="B2098" s="14" t="n">
        <v>1009554635</v>
      </c>
      <c r="C2098" s="15" t="s">
        <v>444</v>
      </c>
      <c r="D2098" s="16" t="s">
        <v>64</v>
      </c>
      <c r="E2098" s="17" t="s">
        <v>200</v>
      </c>
      <c r="F2098" s="18" t="s">
        <v>34</v>
      </c>
      <c r="G2098" s="19" t="n">
        <v>853165763477</v>
      </c>
      <c r="H2098" s="17" t="s">
        <v>35</v>
      </c>
      <c r="I2098" s="17" t="s">
        <v>44</v>
      </c>
      <c r="J2098" s="17" t="s">
        <v>111</v>
      </c>
      <c r="K2098" s="17" t="s">
        <v>958</v>
      </c>
      <c r="L2098" s="17" t="n">
        <v>1</v>
      </c>
      <c r="M2098" s="17" t="s">
        <v>610</v>
      </c>
      <c r="N2098" s="17" t="n">
        <v>1</v>
      </c>
      <c r="O2098" s="17" t="s">
        <v>611</v>
      </c>
      <c r="P2098" s="17" t="n">
        <v>11</v>
      </c>
      <c r="Q2098" s="17" t="s">
        <v>953</v>
      </c>
      <c r="R2098" s="17" t="s">
        <v>35</v>
      </c>
      <c r="S2098" s="17" t="s">
        <v>613</v>
      </c>
      <c r="T2098" s="18" t="s">
        <v>248</v>
      </c>
      <c r="U2098" s="18" t="s">
        <v>122</v>
      </c>
      <c r="V2098" s="17" t="n">
        <v>2</v>
      </c>
      <c r="W2098" s="20" t="s">
        <v>122</v>
      </c>
      <c r="X2098" s="17" t="s">
        <v>111</v>
      </c>
      <c r="Y2098" s="17" t="s">
        <v>958</v>
      </c>
      <c r="Z2098" s="17" t="s">
        <v>1098</v>
      </c>
      <c r="AA2098" s="17" t="s">
        <v>919</v>
      </c>
      <c r="AB2098" s="17" t="s">
        <v>41</v>
      </c>
      <c r="AC2098" s="0" t="str">
        <f aca="false">LEFT(G2098,2)</f>
        <v>85</v>
      </c>
      <c r="AE2098" s="21"/>
    </row>
    <row r="2099" customFormat="false" ht="15" hidden="false" customHeight="false" outlineLevel="0" collapsed="false">
      <c r="A2099" s="13" t="n">
        <f aca="false">1+A2098</f>
        <v>2097</v>
      </c>
      <c r="B2099" s="14" t="n">
        <v>1009628579</v>
      </c>
      <c r="C2099" s="15" t="s">
        <v>229</v>
      </c>
      <c r="D2099" s="16" t="s">
        <v>64</v>
      </c>
      <c r="E2099" s="17" t="s">
        <v>64</v>
      </c>
      <c r="F2099" s="18" t="s">
        <v>34</v>
      </c>
      <c r="G2099" s="19" t="n">
        <v>844084798611</v>
      </c>
      <c r="H2099" s="17" t="s">
        <v>35</v>
      </c>
      <c r="I2099" s="17" t="s">
        <v>44</v>
      </c>
      <c r="J2099" s="17" t="s">
        <v>111</v>
      </c>
      <c r="K2099" s="17" t="s">
        <v>958</v>
      </c>
      <c r="L2099" s="17" t="n">
        <v>1</v>
      </c>
      <c r="M2099" s="17" t="s">
        <v>610</v>
      </c>
      <c r="N2099" s="17" t="n">
        <v>1</v>
      </c>
      <c r="O2099" s="17" t="s">
        <v>611</v>
      </c>
      <c r="P2099" s="17" t="n">
        <v>11</v>
      </c>
      <c r="Q2099" s="17" t="s">
        <v>953</v>
      </c>
      <c r="R2099" s="17" t="s">
        <v>35</v>
      </c>
      <c r="S2099" s="17" t="s">
        <v>613</v>
      </c>
      <c r="T2099" s="18" t="s">
        <v>248</v>
      </c>
      <c r="U2099" s="18" t="s">
        <v>122</v>
      </c>
      <c r="V2099" s="17" t="n">
        <v>2</v>
      </c>
      <c r="W2099" s="20" t="s">
        <v>122</v>
      </c>
      <c r="X2099" s="17" t="s">
        <v>111</v>
      </c>
      <c r="Y2099" s="17" t="s">
        <v>958</v>
      </c>
      <c r="Z2099" s="17" t="s">
        <v>1099</v>
      </c>
      <c r="AA2099" s="17" t="s">
        <v>919</v>
      </c>
      <c r="AB2099" s="17" t="s">
        <v>41</v>
      </c>
      <c r="AC2099" s="0" t="str">
        <f aca="false">LEFT(G2099,2)</f>
        <v>84</v>
      </c>
      <c r="AE2099" s="21"/>
    </row>
    <row r="2100" customFormat="false" ht="15" hidden="false" customHeight="false" outlineLevel="0" collapsed="false">
      <c r="A2100" s="13" t="n">
        <f aca="false">1+A2099</f>
        <v>2098</v>
      </c>
      <c r="B2100" s="14" t="n">
        <v>1009684999</v>
      </c>
      <c r="C2100" s="15" t="s">
        <v>413</v>
      </c>
      <c r="D2100" s="16" t="s">
        <v>1100</v>
      </c>
      <c r="E2100" s="17" t="s">
        <v>47</v>
      </c>
      <c r="F2100" s="18" t="s">
        <v>34</v>
      </c>
      <c r="G2100" s="19" t="n">
        <v>866021148634</v>
      </c>
      <c r="H2100" s="17" t="s">
        <v>35</v>
      </c>
      <c r="I2100" s="17" t="s">
        <v>72</v>
      </c>
      <c r="J2100" s="17" t="s">
        <v>111</v>
      </c>
      <c r="K2100" s="17" t="s">
        <v>958</v>
      </c>
      <c r="L2100" s="17" t="n">
        <v>1</v>
      </c>
      <c r="M2100" s="17" t="s">
        <v>610</v>
      </c>
      <c r="N2100" s="17" t="n">
        <v>1</v>
      </c>
      <c r="O2100" s="17" t="s">
        <v>611</v>
      </c>
      <c r="P2100" s="17" t="n">
        <v>11</v>
      </c>
      <c r="Q2100" s="17" t="s">
        <v>953</v>
      </c>
      <c r="R2100" s="17" t="s">
        <v>35</v>
      </c>
      <c r="S2100" s="17" t="s">
        <v>613</v>
      </c>
      <c r="T2100" s="18" t="s">
        <v>248</v>
      </c>
      <c r="U2100" s="20" t="s">
        <v>122</v>
      </c>
      <c r="V2100" s="17" t="n">
        <v>2</v>
      </c>
      <c r="W2100" s="20" t="s">
        <v>122</v>
      </c>
      <c r="X2100" s="17" t="s">
        <v>111</v>
      </c>
      <c r="Y2100" s="17" t="s">
        <v>958</v>
      </c>
      <c r="Z2100" s="17" t="s">
        <v>1101</v>
      </c>
      <c r="AA2100" s="17" t="s">
        <v>919</v>
      </c>
      <c r="AB2100" s="17" t="s">
        <v>41</v>
      </c>
      <c r="AC2100" s="0" t="str">
        <f aca="false">LEFT(G2100,2)</f>
        <v>86</v>
      </c>
      <c r="AE2100" s="21"/>
    </row>
    <row r="2101" customFormat="false" ht="15" hidden="false" customHeight="false" outlineLevel="0" collapsed="false">
      <c r="A2101" s="13" t="n">
        <f aca="false">1+A2100</f>
        <v>2099</v>
      </c>
      <c r="B2101" s="14" t="n">
        <v>1009318744</v>
      </c>
      <c r="C2101" s="15" t="s">
        <v>85</v>
      </c>
      <c r="D2101" s="16" t="s">
        <v>64</v>
      </c>
      <c r="E2101" s="17" t="s">
        <v>64</v>
      </c>
      <c r="F2101" s="18" t="s">
        <v>34</v>
      </c>
      <c r="G2101" s="19" t="n">
        <v>865323109179</v>
      </c>
      <c r="H2101" s="17" t="s">
        <v>35</v>
      </c>
      <c r="I2101" s="17" t="s">
        <v>72</v>
      </c>
      <c r="J2101" s="17" t="s">
        <v>100</v>
      </c>
      <c r="K2101" s="17" t="s">
        <v>978</v>
      </c>
      <c r="L2101" s="17" t="n">
        <v>1</v>
      </c>
      <c r="M2101" s="17" t="s">
        <v>610</v>
      </c>
      <c r="N2101" s="17" t="n">
        <v>1</v>
      </c>
      <c r="O2101" s="17" t="s">
        <v>611</v>
      </c>
      <c r="P2101" s="17" t="n">
        <v>11</v>
      </c>
      <c r="Q2101" s="17" t="s">
        <v>953</v>
      </c>
      <c r="R2101" s="17" t="s">
        <v>35</v>
      </c>
      <c r="S2101" s="17" t="s">
        <v>613</v>
      </c>
      <c r="T2101" s="18" t="s">
        <v>248</v>
      </c>
      <c r="U2101" s="20" t="s">
        <v>122</v>
      </c>
      <c r="V2101" s="17" t="n">
        <v>2</v>
      </c>
      <c r="W2101" s="20" t="s">
        <v>122</v>
      </c>
      <c r="X2101" s="17" t="s">
        <v>100</v>
      </c>
      <c r="Y2101" s="17" t="s">
        <v>978</v>
      </c>
      <c r="Z2101" s="17" t="s">
        <v>1102</v>
      </c>
      <c r="AA2101" s="17" t="s">
        <v>919</v>
      </c>
      <c r="AB2101" s="17" t="s">
        <v>41</v>
      </c>
      <c r="AC2101" s="0" t="str">
        <f aca="false">LEFT(G2101,2)</f>
        <v>86</v>
      </c>
      <c r="AE2101" s="21"/>
    </row>
    <row r="2102" customFormat="false" ht="15" hidden="false" customHeight="false" outlineLevel="0" collapsed="false">
      <c r="A2102" s="13" t="n">
        <f aca="false">1+A2101</f>
        <v>2100</v>
      </c>
      <c r="B2102" s="14" t="n">
        <v>1009670323</v>
      </c>
      <c r="C2102" s="15" t="s">
        <v>436</v>
      </c>
      <c r="D2102" s="16" t="s">
        <v>1103</v>
      </c>
      <c r="E2102" s="17" t="s">
        <v>33</v>
      </c>
      <c r="F2102" s="18" t="s">
        <v>34</v>
      </c>
      <c r="G2102" s="19" t="n">
        <v>867066108178</v>
      </c>
      <c r="H2102" s="17" t="s">
        <v>35</v>
      </c>
      <c r="I2102" s="17" t="s">
        <v>72</v>
      </c>
      <c r="J2102" s="17" t="s">
        <v>289</v>
      </c>
      <c r="K2102" s="17" t="s">
        <v>1067</v>
      </c>
      <c r="L2102" s="17" t="n">
        <v>1</v>
      </c>
      <c r="M2102" s="17" t="s">
        <v>610</v>
      </c>
      <c r="N2102" s="17" t="n">
        <v>1</v>
      </c>
      <c r="O2102" s="17" t="s">
        <v>611</v>
      </c>
      <c r="P2102" s="17" t="n">
        <v>11</v>
      </c>
      <c r="Q2102" s="17" t="s">
        <v>953</v>
      </c>
      <c r="R2102" s="17" t="s">
        <v>35</v>
      </c>
      <c r="S2102" s="17" t="s">
        <v>613</v>
      </c>
      <c r="T2102" s="18" t="s">
        <v>248</v>
      </c>
      <c r="U2102" s="20" t="s">
        <v>122</v>
      </c>
      <c r="V2102" s="17" t="n">
        <v>2</v>
      </c>
      <c r="W2102" s="20" t="s">
        <v>122</v>
      </c>
      <c r="X2102" s="17" t="s">
        <v>289</v>
      </c>
      <c r="Y2102" s="17" t="s">
        <v>1067</v>
      </c>
      <c r="Z2102" s="17" t="s">
        <v>580</v>
      </c>
      <c r="AA2102" s="17" t="s">
        <v>919</v>
      </c>
      <c r="AB2102" s="17" t="s">
        <v>41</v>
      </c>
      <c r="AC2102" s="0" t="str">
        <f aca="false">LEFT(G2102,2)</f>
        <v>86</v>
      </c>
      <c r="AE2102" s="21"/>
    </row>
    <row r="2103" customFormat="false" ht="15" hidden="false" customHeight="false" outlineLevel="0" collapsed="false">
      <c r="A2103" s="13" t="n">
        <f aca="false">1+A2102</f>
        <v>2101</v>
      </c>
      <c r="B2103" s="14" t="n">
        <v>1009619860</v>
      </c>
      <c r="C2103" s="15" t="s">
        <v>184</v>
      </c>
      <c r="D2103" s="16" t="s">
        <v>231</v>
      </c>
      <c r="E2103" s="17" t="s">
        <v>47</v>
      </c>
      <c r="F2103" s="18" t="s">
        <v>34</v>
      </c>
      <c r="G2103" s="19" t="n">
        <v>867112167417</v>
      </c>
      <c r="H2103" s="17" t="s">
        <v>35</v>
      </c>
      <c r="I2103" s="17" t="s">
        <v>72</v>
      </c>
      <c r="J2103" s="17" t="s">
        <v>111</v>
      </c>
      <c r="K2103" s="17" t="s">
        <v>958</v>
      </c>
      <c r="L2103" s="17" t="n">
        <v>1</v>
      </c>
      <c r="M2103" s="17" t="s">
        <v>610</v>
      </c>
      <c r="N2103" s="17" t="n">
        <v>1</v>
      </c>
      <c r="O2103" s="17" t="s">
        <v>611</v>
      </c>
      <c r="P2103" s="17" t="n">
        <v>11</v>
      </c>
      <c r="Q2103" s="17" t="s">
        <v>953</v>
      </c>
      <c r="R2103" s="17" t="s">
        <v>35</v>
      </c>
      <c r="S2103" s="17" t="s">
        <v>613</v>
      </c>
      <c r="T2103" s="18" t="s">
        <v>248</v>
      </c>
      <c r="U2103" s="20" t="s">
        <v>122</v>
      </c>
      <c r="V2103" s="17" t="n">
        <v>2</v>
      </c>
      <c r="W2103" s="20" t="s">
        <v>122</v>
      </c>
      <c r="X2103" s="17" t="s">
        <v>111</v>
      </c>
      <c r="Y2103" s="17" t="s">
        <v>958</v>
      </c>
      <c r="Z2103" s="17" t="s">
        <v>1104</v>
      </c>
      <c r="AA2103" s="17" t="s">
        <v>919</v>
      </c>
      <c r="AB2103" s="17" t="s">
        <v>41</v>
      </c>
      <c r="AC2103" s="0" t="str">
        <f aca="false">LEFT(G2103,2)</f>
        <v>86</v>
      </c>
      <c r="AE2103" s="21"/>
    </row>
    <row r="2104" customFormat="false" ht="15" hidden="false" customHeight="false" outlineLevel="0" collapsed="false">
      <c r="A2104" s="13" t="n">
        <f aca="false">1+A2103</f>
        <v>2102</v>
      </c>
      <c r="B2104" s="14" t="n">
        <v>1009682461</v>
      </c>
      <c r="C2104" s="15" t="s">
        <v>413</v>
      </c>
      <c r="D2104" s="16" t="s">
        <v>52</v>
      </c>
      <c r="E2104" s="17" t="s">
        <v>47</v>
      </c>
      <c r="F2104" s="18" t="s">
        <v>34</v>
      </c>
      <c r="G2104" s="19" t="n">
        <v>866069225336</v>
      </c>
      <c r="H2104" s="17" t="s">
        <v>35</v>
      </c>
      <c r="I2104" s="17" t="s">
        <v>72</v>
      </c>
      <c r="J2104" s="17" t="s">
        <v>100</v>
      </c>
      <c r="K2104" s="17" t="s">
        <v>978</v>
      </c>
      <c r="L2104" s="17" t="n">
        <v>1</v>
      </c>
      <c r="M2104" s="17" t="s">
        <v>610</v>
      </c>
      <c r="N2104" s="17" t="n">
        <v>1</v>
      </c>
      <c r="O2104" s="17" t="s">
        <v>611</v>
      </c>
      <c r="P2104" s="17" t="n">
        <v>11</v>
      </c>
      <c r="Q2104" s="17" t="s">
        <v>953</v>
      </c>
      <c r="R2104" s="17" t="s">
        <v>35</v>
      </c>
      <c r="S2104" s="17" t="s">
        <v>613</v>
      </c>
      <c r="T2104" s="18" t="s">
        <v>248</v>
      </c>
      <c r="U2104" s="20" t="s">
        <v>122</v>
      </c>
      <c r="V2104" s="17" t="n">
        <v>2</v>
      </c>
      <c r="W2104" s="20" t="s">
        <v>122</v>
      </c>
      <c r="X2104" s="17" t="s">
        <v>100</v>
      </c>
      <c r="Y2104" s="17" t="s">
        <v>978</v>
      </c>
      <c r="Z2104" s="17" t="s">
        <v>1105</v>
      </c>
      <c r="AA2104" s="17" t="s">
        <v>919</v>
      </c>
      <c r="AB2104" s="17" t="s">
        <v>41</v>
      </c>
      <c r="AC2104" s="0" t="str">
        <f aca="false">LEFT(G2104,2)</f>
        <v>86</v>
      </c>
      <c r="AE2104" s="21"/>
    </row>
    <row r="2105" customFormat="false" ht="15" hidden="false" customHeight="false" outlineLevel="0" collapsed="false">
      <c r="A2105" s="13" t="n">
        <f aca="false">1+A2104</f>
        <v>2103</v>
      </c>
      <c r="B2105" s="14" t="n">
        <v>1009574140</v>
      </c>
      <c r="C2105" s="15" t="s">
        <v>104</v>
      </c>
      <c r="D2105" s="16" t="s">
        <v>113</v>
      </c>
      <c r="E2105" s="17" t="s">
        <v>172</v>
      </c>
      <c r="F2105" s="18" t="s">
        <v>34</v>
      </c>
      <c r="G2105" s="19" t="n">
        <v>866014207785</v>
      </c>
      <c r="H2105" s="17" t="s">
        <v>35</v>
      </c>
      <c r="I2105" s="17" t="s">
        <v>72</v>
      </c>
      <c r="J2105" s="17" t="s">
        <v>100</v>
      </c>
      <c r="K2105" s="17" t="s">
        <v>978</v>
      </c>
      <c r="L2105" s="17" t="n">
        <v>5</v>
      </c>
      <c r="M2105" s="17" t="s">
        <v>952</v>
      </c>
      <c r="N2105" s="17" t="n">
        <v>6</v>
      </c>
      <c r="O2105" s="17" t="s">
        <v>982</v>
      </c>
      <c r="P2105" s="17" t="n">
        <v>11</v>
      </c>
      <c r="Q2105" s="17" t="s">
        <v>953</v>
      </c>
      <c r="R2105" s="17" t="s">
        <v>35</v>
      </c>
      <c r="S2105" s="17" t="s">
        <v>613</v>
      </c>
      <c r="T2105" s="18" t="s">
        <v>248</v>
      </c>
      <c r="U2105" s="20" t="s">
        <v>122</v>
      </c>
      <c r="V2105" s="17" t="n">
        <v>2</v>
      </c>
      <c r="W2105" s="20" t="s">
        <v>122</v>
      </c>
      <c r="X2105" s="17" t="s">
        <v>100</v>
      </c>
      <c r="Y2105" s="17" t="s">
        <v>978</v>
      </c>
      <c r="Z2105" s="17" t="s">
        <v>97</v>
      </c>
      <c r="AA2105" s="17" t="s">
        <v>919</v>
      </c>
      <c r="AB2105" s="17" t="s">
        <v>41</v>
      </c>
      <c r="AC2105" s="0" t="str">
        <f aca="false">LEFT(G2105,2)</f>
        <v>86</v>
      </c>
      <c r="AE2105" s="21"/>
    </row>
    <row r="2106" customFormat="false" ht="15" hidden="false" customHeight="false" outlineLevel="0" collapsed="false">
      <c r="A2106" s="13" t="n">
        <f aca="false">1+A2105</f>
        <v>2104</v>
      </c>
      <c r="B2106" s="14" t="n">
        <v>1009616798</v>
      </c>
      <c r="C2106" s="15" t="s">
        <v>184</v>
      </c>
      <c r="D2106" s="16" t="s">
        <v>64</v>
      </c>
      <c r="E2106" s="17" t="s">
        <v>64</v>
      </c>
      <c r="F2106" s="18" t="s">
        <v>34</v>
      </c>
      <c r="G2106" s="19" t="n">
        <v>867279107900</v>
      </c>
      <c r="H2106" s="17" t="s">
        <v>35</v>
      </c>
      <c r="I2106" s="17" t="s">
        <v>72</v>
      </c>
      <c r="J2106" s="17" t="s">
        <v>239</v>
      </c>
      <c r="K2106" s="17" t="s">
        <v>951</v>
      </c>
      <c r="L2106" s="17" t="n">
        <v>5</v>
      </c>
      <c r="M2106" s="17" t="s">
        <v>952</v>
      </c>
      <c r="N2106" s="17" t="n">
        <v>6</v>
      </c>
      <c r="O2106" s="17" t="s">
        <v>982</v>
      </c>
      <c r="P2106" s="17" t="n">
        <v>11</v>
      </c>
      <c r="Q2106" s="17" t="s">
        <v>953</v>
      </c>
      <c r="R2106" s="17" t="s">
        <v>35</v>
      </c>
      <c r="S2106" s="17" t="s">
        <v>613</v>
      </c>
      <c r="T2106" s="18" t="s">
        <v>248</v>
      </c>
      <c r="U2106" s="20" t="s">
        <v>38</v>
      </c>
      <c r="V2106" s="17" t="n">
        <v>4</v>
      </c>
      <c r="W2106" s="20" t="s">
        <v>38</v>
      </c>
      <c r="X2106" s="17" t="s">
        <v>239</v>
      </c>
      <c r="Y2106" s="17" t="s">
        <v>951</v>
      </c>
      <c r="Z2106" s="17" t="s">
        <v>251</v>
      </c>
      <c r="AA2106" s="17" t="s">
        <v>919</v>
      </c>
      <c r="AB2106" s="17" t="s">
        <v>41</v>
      </c>
      <c r="AC2106" s="0" t="str">
        <f aca="false">LEFT(G2106,2)</f>
        <v>86</v>
      </c>
      <c r="AE2106" s="21"/>
    </row>
    <row r="2107" customFormat="false" ht="15" hidden="false" customHeight="false" outlineLevel="0" collapsed="false">
      <c r="A2107" s="13" t="n">
        <f aca="false">1+A2106</f>
        <v>2105</v>
      </c>
      <c r="B2107" s="14" t="n">
        <v>1009336026</v>
      </c>
      <c r="C2107" s="15" t="s">
        <v>59</v>
      </c>
      <c r="D2107" s="16" t="s">
        <v>64</v>
      </c>
      <c r="E2107" s="17" t="s">
        <v>33</v>
      </c>
      <c r="F2107" s="18" t="s">
        <v>34</v>
      </c>
      <c r="G2107" s="19" t="n">
        <v>868154137640</v>
      </c>
      <c r="H2107" s="17" t="s">
        <v>35</v>
      </c>
      <c r="I2107" s="17" t="s">
        <v>72</v>
      </c>
      <c r="J2107" s="17" t="s">
        <v>267</v>
      </c>
      <c r="K2107" s="17" t="s">
        <v>960</v>
      </c>
      <c r="L2107" s="17" t="n">
        <v>1</v>
      </c>
      <c r="M2107" s="17" t="s">
        <v>610</v>
      </c>
      <c r="N2107" s="17" t="n">
        <v>1</v>
      </c>
      <c r="O2107" s="17" t="s">
        <v>611</v>
      </c>
      <c r="P2107" s="17" t="n">
        <v>11</v>
      </c>
      <c r="Q2107" s="17" t="s">
        <v>953</v>
      </c>
      <c r="R2107" s="17" t="s">
        <v>35</v>
      </c>
      <c r="S2107" s="17" t="s">
        <v>613</v>
      </c>
      <c r="T2107" s="18" t="s">
        <v>248</v>
      </c>
      <c r="U2107" s="20" t="s">
        <v>122</v>
      </c>
      <c r="V2107" s="17" t="n">
        <v>2</v>
      </c>
      <c r="W2107" s="20" t="s">
        <v>122</v>
      </c>
      <c r="X2107" s="17" t="s">
        <v>267</v>
      </c>
      <c r="Y2107" s="17" t="s">
        <v>960</v>
      </c>
      <c r="Z2107" s="17" t="s">
        <v>961</v>
      </c>
      <c r="AA2107" s="17" t="s">
        <v>919</v>
      </c>
      <c r="AB2107" s="17" t="s">
        <v>41</v>
      </c>
      <c r="AC2107" s="0" t="str">
        <f aca="false">LEFT(G2107,2)</f>
        <v>86</v>
      </c>
    </row>
    <row r="2108" customFormat="false" ht="15" hidden="false" customHeight="false" outlineLevel="0" collapsed="false">
      <c r="A2108" s="13" t="n">
        <f aca="false">1+A2107</f>
        <v>2106</v>
      </c>
      <c r="B2108" s="14" t="n">
        <v>1009679340</v>
      </c>
      <c r="C2108" s="15" t="s">
        <v>413</v>
      </c>
      <c r="D2108" s="16" t="s">
        <v>250</v>
      </c>
      <c r="E2108" s="17" t="s">
        <v>47</v>
      </c>
      <c r="F2108" s="18" t="s">
        <v>34</v>
      </c>
      <c r="G2108" s="19" t="n">
        <v>865222255826</v>
      </c>
      <c r="H2108" s="17" t="s">
        <v>35</v>
      </c>
      <c r="I2108" s="17" t="s">
        <v>72</v>
      </c>
      <c r="J2108" s="17" t="s">
        <v>100</v>
      </c>
      <c r="K2108" s="17" t="s">
        <v>978</v>
      </c>
      <c r="L2108" s="17" t="n">
        <v>1</v>
      </c>
      <c r="M2108" s="17" t="s">
        <v>610</v>
      </c>
      <c r="N2108" s="17" t="n">
        <v>1</v>
      </c>
      <c r="O2108" s="17" t="s">
        <v>611</v>
      </c>
      <c r="P2108" s="17" t="n">
        <v>11</v>
      </c>
      <c r="Q2108" s="17" t="s">
        <v>953</v>
      </c>
      <c r="R2108" s="17" t="s">
        <v>35</v>
      </c>
      <c r="S2108" s="17" t="s">
        <v>613</v>
      </c>
      <c r="T2108" s="18" t="s">
        <v>248</v>
      </c>
      <c r="U2108" s="20" t="s">
        <v>122</v>
      </c>
      <c r="V2108" s="17" t="n">
        <v>2</v>
      </c>
      <c r="W2108" s="20" t="s">
        <v>122</v>
      </c>
      <c r="X2108" s="17" t="s">
        <v>100</v>
      </c>
      <c r="Y2108" s="17" t="s">
        <v>978</v>
      </c>
      <c r="Z2108" s="17" t="s">
        <v>1105</v>
      </c>
      <c r="AA2108" s="17" t="s">
        <v>919</v>
      </c>
      <c r="AB2108" s="17" t="s">
        <v>41</v>
      </c>
      <c r="AC2108" s="0" t="str">
        <f aca="false">LEFT(G2108,2)</f>
        <v>86</v>
      </c>
    </row>
    <row r="2109" customFormat="false" ht="15" hidden="false" customHeight="false" outlineLevel="0" collapsed="false">
      <c r="A2109" s="13" t="n">
        <f aca="false">1+A2108</f>
        <v>2107</v>
      </c>
      <c r="B2109" s="14" t="n">
        <v>1009674171</v>
      </c>
      <c r="C2109" s="15" t="s">
        <v>436</v>
      </c>
      <c r="D2109" s="16" t="s">
        <v>64</v>
      </c>
      <c r="E2109" s="17" t="s">
        <v>64</v>
      </c>
      <c r="F2109" s="18" t="s">
        <v>34</v>
      </c>
      <c r="G2109" s="19" t="n">
        <v>866141254387</v>
      </c>
      <c r="H2109" s="17" t="s">
        <v>35</v>
      </c>
      <c r="I2109" s="17" t="s">
        <v>72</v>
      </c>
      <c r="J2109" s="17" t="s">
        <v>111</v>
      </c>
      <c r="K2109" s="17" t="s">
        <v>958</v>
      </c>
      <c r="L2109" s="17" t="n">
        <v>5</v>
      </c>
      <c r="M2109" s="17" t="s">
        <v>952</v>
      </c>
      <c r="N2109" s="17" t="n">
        <v>24</v>
      </c>
      <c r="O2109" s="17" t="s">
        <v>975</v>
      </c>
      <c r="P2109" s="17" t="n">
        <v>11</v>
      </c>
      <c r="Q2109" s="17" t="s">
        <v>953</v>
      </c>
      <c r="R2109" s="17" t="s">
        <v>35</v>
      </c>
      <c r="S2109" s="17" t="s">
        <v>613</v>
      </c>
      <c r="T2109" s="18" t="s">
        <v>248</v>
      </c>
      <c r="U2109" s="20" t="s">
        <v>122</v>
      </c>
      <c r="V2109" s="17" t="n">
        <v>2</v>
      </c>
      <c r="W2109" s="20" t="s">
        <v>122</v>
      </c>
      <c r="X2109" s="17" t="s">
        <v>111</v>
      </c>
      <c r="Y2109" s="17" t="s">
        <v>958</v>
      </c>
      <c r="Z2109" s="17" t="s">
        <v>1106</v>
      </c>
      <c r="AA2109" s="17" t="s">
        <v>919</v>
      </c>
      <c r="AB2109" s="17" t="s">
        <v>41</v>
      </c>
      <c r="AC2109" s="0" t="str">
        <f aca="false">LEFT(G2109,2)</f>
        <v>86</v>
      </c>
    </row>
    <row r="2110" customFormat="false" ht="15" hidden="false" customHeight="false" outlineLevel="0" collapsed="false">
      <c r="A2110" s="13" t="n">
        <f aca="false">1+A2109</f>
        <v>2108</v>
      </c>
      <c r="B2110" s="14" t="n">
        <v>1009685710</v>
      </c>
      <c r="C2110" s="15" t="s">
        <v>449</v>
      </c>
      <c r="D2110" s="16" t="s">
        <v>131</v>
      </c>
      <c r="E2110" s="17" t="s">
        <v>33</v>
      </c>
      <c r="F2110" s="18" t="s">
        <v>34</v>
      </c>
      <c r="G2110" s="19" t="n">
        <v>867245120664</v>
      </c>
      <c r="H2110" s="17" t="s">
        <v>35</v>
      </c>
      <c r="I2110" s="17" t="s">
        <v>72</v>
      </c>
      <c r="J2110" s="17" t="s">
        <v>100</v>
      </c>
      <c r="K2110" s="17" t="s">
        <v>978</v>
      </c>
      <c r="L2110" s="17" t="n">
        <v>1</v>
      </c>
      <c r="M2110" s="17" t="s">
        <v>610</v>
      </c>
      <c r="N2110" s="17" t="n">
        <v>1</v>
      </c>
      <c r="O2110" s="17" t="s">
        <v>611</v>
      </c>
      <c r="P2110" s="17" t="n">
        <v>11</v>
      </c>
      <c r="Q2110" s="17" t="s">
        <v>953</v>
      </c>
      <c r="R2110" s="17" t="s">
        <v>35</v>
      </c>
      <c r="S2110" s="17" t="s">
        <v>613</v>
      </c>
      <c r="T2110" s="18" t="s">
        <v>248</v>
      </c>
      <c r="U2110" s="20" t="s">
        <v>122</v>
      </c>
      <c r="V2110" s="17" t="n">
        <v>2</v>
      </c>
      <c r="W2110" s="20" t="s">
        <v>122</v>
      </c>
      <c r="X2110" s="17" t="s">
        <v>100</v>
      </c>
      <c r="Y2110" s="17" t="s">
        <v>978</v>
      </c>
      <c r="Z2110" s="17" t="s">
        <v>1106</v>
      </c>
      <c r="AA2110" s="17" t="s">
        <v>919</v>
      </c>
      <c r="AB2110" s="17" t="s">
        <v>41</v>
      </c>
      <c r="AC2110" s="0" t="str">
        <f aca="false">LEFT(G2110,2)</f>
        <v>86</v>
      </c>
    </row>
    <row r="2111" customFormat="false" ht="15" hidden="false" customHeight="false" outlineLevel="0" collapsed="false">
      <c r="A2111" s="13" t="n">
        <f aca="false">1+A2110</f>
        <v>2109</v>
      </c>
      <c r="B2111" s="14" t="n">
        <v>1009685083</v>
      </c>
      <c r="C2111" s="15" t="s">
        <v>449</v>
      </c>
      <c r="D2111" s="16" t="s">
        <v>64</v>
      </c>
      <c r="E2111" s="17" t="s">
        <v>47</v>
      </c>
      <c r="F2111" s="18" t="s">
        <v>34</v>
      </c>
      <c r="G2111" s="19" t="n">
        <v>867081218028</v>
      </c>
      <c r="H2111" s="17" t="s">
        <v>35</v>
      </c>
      <c r="I2111" s="17" t="s">
        <v>72</v>
      </c>
      <c r="J2111" s="17" t="s">
        <v>267</v>
      </c>
      <c r="K2111" s="17" t="s">
        <v>960</v>
      </c>
      <c r="L2111" s="17" t="n">
        <v>2</v>
      </c>
      <c r="M2111" s="17" t="s">
        <v>981</v>
      </c>
      <c r="N2111" s="17" t="n">
        <v>6</v>
      </c>
      <c r="O2111" s="17" t="s">
        <v>982</v>
      </c>
      <c r="P2111" s="17" t="n">
        <v>11</v>
      </c>
      <c r="Q2111" s="17" t="s">
        <v>953</v>
      </c>
      <c r="R2111" s="17" t="s">
        <v>35</v>
      </c>
      <c r="S2111" s="17" t="s">
        <v>613</v>
      </c>
      <c r="T2111" s="18" t="s">
        <v>248</v>
      </c>
      <c r="U2111" s="20" t="s">
        <v>122</v>
      </c>
      <c r="V2111" s="17" t="n">
        <v>2</v>
      </c>
      <c r="W2111" s="20" t="s">
        <v>122</v>
      </c>
      <c r="X2111" s="17" t="s">
        <v>267</v>
      </c>
      <c r="Y2111" s="17" t="s">
        <v>960</v>
      </c>
      <c r="Z2111" s="17" t="s">
        <v>251</v>
      </c>
      <c r="AA2111" s="17" t="s">
        <v>919</v>
      </c>
      <c r="AB2111" s="17" t="s">
        <v>41</v>
      </c>
      <c r="AC2111" s="0" t="str">
        <f aca="false">LEFT(G2111,2)</f>
        <v>86</v>
      </c>
    </row>
    <row r="2112" customFormat="false" ht="15" hidden="false" customHeight="false" outlineLevel="0" collapsed="false">
      <c r="A2112" s="13" t="n">
        <f aca="false">1+A2111</f>
        <v>2110</v>
      </c>
      <c r="B2112" s="14" t="n">
        <v>1009610372</v>
      </c>
      <c r="C2112" s="15" t="s">
        <v>181</v>
      </c>
      <c r="D2112" s="16" t="s">
        <v>206</v>
      </c>
      <c r="E2112" s="17" t="s">
        <v>47</v>
      </c>
      <c r="F2112" s="18" t="s">
        <v>34</v>
      </c>
      <c r="G2112" s="19" t="n">
        <v>868154132146</v>
      </c>
      <c r="H2112" s="17" t="s">
        <v>35</v>
      </c>
      <c r="I2112" s="17" t="s">
        <v>72</v>
      </c>
      <c r="J2112" s="17" t="s">
        <v>118</v>
      </c>
      <c r="K2112" s="17" t="s">
        <v>609</v>
      </c>
      <c r="L2112" s="17" t="n">
        <v>5</v>
      </c>
      <c r="M2112" s="17" t="s">
        <v>952</v>
      </c>
      <c r="N2112" s="17" t="n">
        <v>24</v>
      </c>
      <c r="O2112" s="17" t="s">
        <v>975</v>
      </c>
      <c r="P2112" s="17" t="n">
        <v>11</v>
      </c>
      <c r="Q2112" s="17" t="s">
        <v>953</v>
      </c>
      <c r="R2112" s="17" t="s">
        <v>35</v>
      </c>
      <c r="S2112" s="17" t="s">
        <v>613</v>
      </c>
      <c r="T2112" s="18" t="s">
        <v>248</v>
      </c>
      <c r="U2112" s="20" t="s">
        <v>122</v>
      </c>
      <c r="V2112" s="17" t="n">
        <v>2</v>
      </c>
      <c r="W2112" s="20" t="s">
        <v>122</v>
      </c>
      <c r="X2112" s="17" t="s">
        <v>118</v>
      </c>
      <c r="Y2112" s="17" t="s">
        <v>609</v>
      </c>
      <c r="Z2112" s="17" t="s">
        <v>251</v>
      </c>
      <c r="AA2112" s="17" t="s">
        <v>919</v>
      </c>
      <c r="AB2112" s="17" t="s">
        <v>41</v>
      </c>
      <c r="AC2112" s="0" t="str">
        <f aca="false">LEFT(G2112,2)</f>
        <v>86</v>
      </c>
    </row>
    <row r="2113" customFormat="false" ht="15" hidden="false" customHeight="false" outlineLevel="0" collapsed="false">
      <c r="A2113" s="13" t="n">
        <f aca="false">1+A2112</f>
        <v>2111</v>
      </c>
      <c r="B2113" s="14" t="n">
        <v>1009619970</v>
      </c>
      <c r="C2113" s="15" t="s">
        <v>184</v>
      </c>
      <c r="D2113" s="16" t="s">
        <v>64</v>
      </c>
      <c r="E2113" s="17" t="s">
        <v>64</v>
      </c>
      <c r="F2113" s="18" t="s">
        <v>34</v>
      </c>
      <c r="G2113" s="19" t="n">
        <v>865197203520</v>
      </c>
      <c r="H2113" s="17" t="s">
        <v>35</v>
      </c>
      <c r="I2113" s="17" t="s">
        <v>72</v>
      </c>
      <c r="J2113" s="17" t="s">
        <v>111</v>
      </c>
      <c r="K2113" s="17" t="s">
        <v>958</v>
      </c>
      <c r="L2113" s="17" t="n">
        <v>1</v>
      </c>
      <c r="M2113" s="17" t="s">
        <v>610</v>
      </c>
      <c r="N2113" s="17" t="n">
        <v>1</v>
      </c>
      <c r="O2113" s="17" t="s">
        <v>611</v>
      </c>
      <c r="P2113" s="17" t="n">
        <v>11</v>
      </c>
      <c r="Q2113" s="17" t="s">
        <v>953</v>
      </c>
      <c r="R2113" s="17" t="s">
        <v>35</v>
      </c>
      <c r="S2113" s="17" t="s">
        <v>613</v>
      </c>
      <c r="T2113" s="18" t="s">
        <v>248</v>
      </c>
      <c r="U2113" s="20" t="s">
        <v>122</v>
      </c>
      <c r="V2113" s="17" t="n">
        <v>2</v>
      </c>
      <c r="W2113" s="20" t="s">
        <v>122</v>
      </c>
      <c r="X2113" s="17" t="s">
        <v>111</v>
      </c>
      <c r="Y2113" s="17" t="s">
        <v>958</v>
      </c>
      <c r="Z2113" s="17" t="s">
        <v>1107</v>
      </c>
      <c r="AA2113" s="17" t="s">
        <v>919</v>
      </c>
      <c r="AB2113" s="17" t="s">
        <v>41</v>
      </c>
      <c r="AC2113" s="0" t="str">
        <f aca="false">LEFT(G2113,2)</f>
        <v>86</v>
      </c>
    </row>
    <row r="2114" customFormat="false" ht="15" hidden="false" customHeight="false" outlineLevel="0" collapsed="false">
      <c r="A2114" s="13" t="n">
        <f aca="false">1+A2113</f>
        <v>2112</v>
      </c>
      <c r="B2114" s="14" t="n">
        <v>1009586173</v>
      </c>
      <c r="C2114" s="15" t="s">
        <v>139</v>
      </c>
      <c r="D2114" s="16" t="s">
        <v>64</v>
      </c>
      <c r="E2114" s="17" t="s">
        <v>47</v>
      </c>
      <c r="F2114" s="18" t="s">
        <v>34</v>
      </c>
      <c r="G2114" s="19" t="n">
        <v>865236377574</v>
      </c>
      <c r="H2114" s="17" t="s">
        <v>35</v>
      </c>
      <c r="I2114" s="17" t="s">
        <v>72</v>
      </c>
      <c r="J2114" s="17" t="s">
        <v>111</v>
      </c>
      <c r="K2114" s="17" t="s">
        <v>958</v>
      </c>
      <c r="L2114" s="17" t="n">
        <v>1</v>
      </c>
      <c r="M2114" s="17" t="s">
        <v>610</v>
      </c>
      <c r="N2114" s="17" t="n">
        <v>1</v>
      </c>
      <c r="O2114" s="17" t="s">
        <v>611</v>
      </c>
      <c r="P2114" s="17" t="n">
        <v>11</v>
      </c>
      <c r="Q2114" s="17" t="s">
        <v>953</v>
      </c>
      <c r="R2114" s="17" t="s">
        <v>35</v>
      </c>
      <c r="S2114" s="17" t="s">
        <v>613</v>
      </c>
      <c r="T2114" s="18" t="s">
        <v>248</v>
      </c>
      <c r="U2114" s="20" t="s">
        <v>122</v>
      </c>
      <c r="V2114" s="17" t="n">
        <v>2</v>
      </c>
      <c r="W2114" s="20" t="s">
        <v>122</v>
      </c>
      <c r="X2114" s="17" t="s">
        <v>111</v>
      </c>
      <c r="Y2114" s="17" t="s">
        <v>958</v>
      </c>
      <c r="Z2114" s="17" t="s">
        <v>1108</v>
      </c>
      <c r="AA2114" s="17" t="s">
        <v>919</v>
      </c>
      <c r="AB2114" s="17" t="s">
        <v>41</v>
      </c>
      <c r="AC2114" s="0" t="str">
        <f aca="false">LEFT(G2114,2)</f>
        <v>86</v>
      </c>
    </row>
    <row r="2115" customFormat="false" ht="15" hidden="false" customHeight="false" outlineLevel="0" collapsed="false">
      <c r="A2115" s="13" t="n">
        <f aca="false">1+A2114</f>
        <v>2113</v>
      </c>
      <c r="B2115" s="14" t="n">
        <v>1009682518</v>
      </c>
      <c r="C2115" s="15" t="s">
        <v>413</v>
      </c>
      <c r="D2115" s="16" t="s">
        <v>64</v>
      </c>
      <c r="E2115" s="17" t="s">
        <v>64</v>
      </c>
      <c r="F2115" s="18" t="s">
        <v>34</v>
      </c>
      <c r="G2115" s="19" t="n">
        <v>867215116395</v>
      </c>
      <c r="H2115" s="17" t="s">
        <v>35</v>
      </c>
      <c r="I2115" s="17" t="s">
        <v>72</v>
      </c>
      <c r="J2115" s="17" t="s">
        <v>111</v>
      </c>
      <c r="K2115" s="17" t="s">
        <v>958</v>
      </c>
      <c r="L2115" s="17" t="n">
        <v>1</v>
      </c>
      <c r="M2115" s="17" t="s">
        <v>610</v>
      </c>
      <c r="N2115" s="17" t="n">
        <v>1</v>
      </c>
      <c r="O2115" s="17" t="s">
        <v>611</v>
      </c>
      <c r="P2115" s="17" t="n">
        <v>11</v>
      </c>
      <c r="Q2115" s="17" t="s">
        <v>953</v>
      </c>
      <c r="R2115" s="17" t="s">
        <v>35</v>
      </c>
      <c r="S2115" s="17" t="s">
        <v>613</v>
      </c>
      <c r="T2115" s="18" t="s">
        <v>248</v>
      </c>
      <c r="U2115" s="20" t="s">
        <v>122</v>
      </c>
      <c r="V2115" s="17" t="n">
        <v>2</v>
      </c>
      <c r="W2115" s="20" t="s">
        <v>122</v>
      </c>
      <c r="X2115" s="17" t="s">
        <v>111</v>
      </c>
      <c r="Y2115" s="17" t="s">
        <v>958</v>
      </c>
      <c r="Z2115" s="17" t="s">
        <v>1108</v>
      </c>
      <c r="AA2115" s="17" t="s">
        <v>919</v>
      </c>
      <c r="AB2115" s="17" t="s">
        <v>41</v>
      </c>
      <c r="AC2115" s="0" t="str">
        <f aca="false">LEFT(G2115,2)</f>
        <v>86</v>
      </c>
    </row>
    <row r="2116" customFormat="false" ht="15" hidden="false" customHeight="false" outlineLevel="0" collapsed="false">
      <c r="A2116" s="13" t="n">
        <f aca="false">1+A2115</f>
        <v>2114</v>
      </c>
      <c r="B2116" s="14" t="n">
        <v>1009685009</v>
      </c>
      <c r="C2116" s="15" t="s">
        <v>413</v>
      </c>
      <c r="D2116" s="16" t="s">
        <v>64</v>
      </c>
      <c r="E2116" s="17" t="s">
        <v>460</v>
      </c>
      <c r="F2116" s="18" t="s">
        <v>34</v>
      </c>
      <c r="G2116" s="19" t="n">
        <v>865176156830</v>
      </c>
      <c r="H2116" s="17" t="s">
        <v>35</v>
      </c>
      <c r="I2116" s="17" t="s">
        <v>72</v>
      </c>
      <c r="J2116" s="17" t="s">
        <v>111</v>
      </c>
      <c r="K2116" s="17" t="s">
        <v>958</v>
      </c>
      <c r="L2116" s="17" t="n">
        <v>5</v>
      </c>
      <c r="M2116" s="17" t="s">
        <v>952</v>
      </c>
      <c r="N2116" s="17" t="n">
        <v>1</v>
      </c>
      <c r="O2116" s="17" t="s">
        <v>611</v>
      </c>
      <c r="P2116" s="17" t="n">
        <v>11</v>
      </c>
      <c r="Q2116" s="17" t="s">
        <v>953</v>
      </c>
      <c r="R2116" s="17" t="s">
        <v>35</v>
      </c>
      <c r="S2116" s="17" t="s">
        <v>613</v>
      </c>
      <c r="T2116" s="18" t="s">
        <v>248</v>
      </c>
      <c r="U2116" s="20" t="s">
        <v>122</v>
      </c>
      <c r="V2116" s="17" t="n">
        <v>2</v>
      </c>
      <c r="W2116" s="20" t="s">
        <v>122</v>
      </c>
      <c r="X2116" s="17" t="s">
        <v>111</v>
      </c>
      <c r="Y2116" s="17" t="s">
        <v>958</v>
      </c>
      <c r="Z2116" s="17" t="s">
        <v>1109</v>
      </c>
      <c r="AA2116" s="17" t="s">
        <v>919</v>
      </c>
      <c r="AB2116" s="17" t="s">
        <v>41</v>
      </c>
      <c r="AC2116" s="0" t="str">
        <f aca="false">LEFT(G2116,2)</f>
        <v>86</v>
      </c>
    </row>
    <row r="2117" customFormat="false" ht="15" hidden="false" customHeight="false" outlineLevel="0" collapsed="false">
      <c r="A2117" s="13" t="n">
        <f aca="false">1+A2116</f>
        <v>2115</v>
      </c>
      <c r="B2117" s="14" t="n">
        <v>1009684329</v>
      </c>
      <c r="C2117" s="15" t="s">
        <v>413</v>
      </c>
      <c r="D2117" s="16" t="s">
        <v>64</v>
      </c>
      <c r="E2117" s="17" t="s">
        <v>64</v>
      </c>
      <c r="F2117" s="18" t="s">
        <v>34</v>
      </c>
      <c r="G2117" s="19" t="n">
        <v>867108224066</v>
      </c>
      <c r="H2117" s="17" t="s">
        <v>35</v>
      </c>
      <c r="I2117" s="17" t="s">
        <v>72</v>
      </c>
      <c r="J2117" s="17" t="s">
        <v>111</v>
      </c>
      <c r="K2117" s="17" t="s">
        <v>958</v>
      </c>
      <c r="L2117" s="17" t="n">
        <v>5</v>
      </c>
      <c r="M2117" s="17" t="s">
        <v>952</v>
      </c>
      <c r="N2117" s="17" t="n">
        <v>2</v>
      </c>
      <c r="O2117" s="17" t="s">
        <v>999</v>
      </c>
      <c r="P2117" s="17" t="n">
        <v>11</v>
      </c>
      <c r="Q2117" s="17" t="s">
        <v>953</v>
      </c>
      <c r="R2117" s="17" t="s">
        <v>35</v>
      </c>
      <c r="S2117" s="17" t="s">
        <v>613</v>
      </c>
      <c r="T2117" s="18" t="s">
        <v>248</v>
      </c>
      <c r="U2117" s="20" t="s">
        <v>122</v>
      </c>
      <c r="V2117" s="17" t="n">
        <v>2</v>
      </c>
      <c r="W2117" s="20" t="s">
        <v>122</v>
      </c>
      <c r="X2117" s="17" t="s">
        <v>111</v>
      </c>
      <c r="Y2117" s="17" t="s">
        <v>958</v>
      </c>
      <c r="Z2117" s="17" t="s">
        <v>1108</v>
      </c>
      <c r="AA2117" s="17" t="s">
        <v>919</v>
      </c>
      <c r="AB2117" s="17" t="s">
        <v>41</v>
      </c>
      <c r="AC2117" s="0" t="str">
        <f aca="false">LEFT(G2117,2)</f>
        <v>86</v>
      </c>
    </row>
    <row r="2118" customFormat="false" ht="15" hidden="false" customHeight="false" outlineLevel="0" collapsed="false">
      <c r="A2118" s="13" t="n">
        <f aca="false">1+A2117</f>
        <v>2116</v>
      </c>
      <c r="B2118" s="14" t="n">
        <v>1009554536</v>
      </c>
      <c r="C2118" s="15" t="s">
        <v>444</v>
      </c>
      <c r="D2118" s="16" t="s">
        <v>230</v>
      </c>
      <c r="E2118" s="17" t="s">
        <v>47</v>
      </c>
      <c r="F2118" s="18" t="s">
        <v>34</v>
      </c>
      <c r="G2118" s="19" t="n">
        <v>866027231343</v>
      </c>
      <c r="H2118" s="17" t="s">
        <v>35</v>
      </c>
      <c r="I2118" s="17" t="s">
        <v>72</v>
      </c>
      <c r="J2118" s="17" t="s">
        <v>252</v>
      </c>
      <c r="K2118" s="17" t="s">
        <v>1110</v>
      </c>
      <c r="L2118" s="17" t="n">
        <v>1</v>
      </c>
      <c r="M2118" s="17" t="s">
        <v>610</v>
      </c>
      <c r="N2118" s="17" t="n">
        <v>1</v>
      </c>
      <c r="O2118" s="17" t="s">
        <v>611</v>
      </c>
      <c r="P2118" s="17" t="n">
        <v>11</v>
      </c>
      <c r="Q2118" s="17" t="s">
        <v>953</v>
      </c>
      <c r="R2118" s="17" t="s">
        <v>35</v>
      </c>
      <c r="S2118" s="17" t="s">
        <v>613</v>
      </c>
      <c r="T2118" s="18" t="s">
        <v>248</v>
      </c>
      <c r="U2118" s="20" t="s">
        <v>122</v>
      </c>
      <c r="V2118" s="17" t="n">
        <v>2</v>
      </c>
      <c r="W2118" s="20" t="s">
        <v>122</v>
      </c>
      <c r="X2118" s="17" t="s">
        <v>252</v>
      </c>
      <c r="Y2118" s="17" t="s">
        <v>1110</v>
      </c>
      <c r="Z2118" s="17" t="s">
        <v>1108</v>
      </c>
      <c r="AA2118" s="17" t="s">
        <v>919</v>
      </c>
      <c r="AB2118" s="17" t="s">
        <v>41</v>
      </c>
      <c r="AC2118" s="0" t="str">
        <f aca="false">LEFT(G2118,2)</f>
        <v>86</v>
      </c>
    </row>
    <row r="2119" customFormat="false" ht="15" hidden="false" customHeight="false" outlineLevel="0" collapsed="false">
      <c r="A2119" s="13" t="n">
        <f aca="false">1+A2118</f>
        <v>2117</v>
      </c>
      <c r="B2119" s="14" t="n">
        <v>1009523011</v>
      </c>
      <c r="C2119" s="15" t="s">
        <v>162</v>
      </c>
      <c r="D2119" s="16" t="s">
        <v>105</v>
      </c>
      <c r="E2119" s="17" t="s">
        <v>47</v>
      </c>
      <c r="F2119" s="18" t="s">
        <v>34</v>
      </c>
      <c r="G2119" s="19" t="n">
        <v>866281137434</v>
      </c>
      <c r="H2119" s="17" t="s">
        <v>35</v>
      </c>
      <c r="I2119" s="17" t="s">
        <v>72</v>
      </c>
      <c r="J2119" s="17" t="s">
        <v>100</v>
      </c>
      <c r="K2119" s="17" t="s">
        <v>978</v>
      </c>
      <c r="L2119" s="17" t="n">
        <v>5</v>
      </c>
      <c r="M2119" s="17" t="s">
        <v>952</v>
      </c>
      <c r="N2119" s="17" t="n">
        <v>1</v>
      </c>
      <c r="O2119" s="17" t="s">
        <v>611</v>
      </c>
      <c r="P2119" s="17" t="n">
        <v>11</v>
      </c>
      <c r="Q2119" s="17" t="s">
        <v>953</v>
      </c>
      <c r="R2119" s="17" t="s">
        <v>35</v>
      </c>
      <c r="S2119" s="17" t="s">
        <v>613</v>
      </c>
      <c r="T2119" s="18" t="s">
        <v>248</v>
      </c>
      <c r="U2119" s="20" t="s">
        <v>122</v>
      </c>
      <c r="V2119" s="17" t="n">
        <v>2</v>
      </c>
      <c r="W2119" s="20" t="s">
        <v>122</v>
      </c>
      <c r="X2119" s="17" t="s">
        <v>100</v>
      </c>
      <c r="Y2119" s="17" t="s">
        <v>978</v>
      </c>
      <c r="Z2119" s="17" t="s">
        <v>1111</v>
      </c>
      <c r="AA2119" s="17" t="s">
        <v>919</v>
      </c>
      <c r="AB2119" s="17" t="s">
        <v>41</v>
      </c>
      <c r="AC2119" s="0" t="str">
        <f aca="false">LEFT(G2119,2)</f>
        <v>86</v>
      </c>
    </row>
    <row r="2120" customFormat="false" ht="15" hidden="false" customHeight="false" outlineLevel="0" collapsed="false">
      <c r="A2120" s="13" t="n">
        <f aca="false">1+A2119</f>
        <v>2118</v>
      </c>
      <c r="B2120" s="14" t="n">
        <v>1009625946</v>
      </c>
      <c r="C2120" s="15" t="s">
        <v>163</v>
      </c>
      <c r="D2120" s="16" t="n">
        <v>2021</v>
      </c>
      <c r="E2120" s="17" t="s">
        <v>64</v>
      </c>
      <c r="F2120" s="18" t="s">
        <v>34</v>
      </c>
      <c r="G2120" s="19" t="n">
        <v>864315132216</v>
      </c>
      <c r="H2120" s="17" t="s">
        <v>35</v>
      </c>
      <c r="I2120" s="17" t="s">
        <v>72</v>
      </c>
      <c r="J2120" s="17" t="s">
        <v>100</v>
      </c>
      <c r="K2120" s="17" t="s">
        <v>978</v>
      </c>
      <c r="L2120" s="17" t="n">
        <v>1</v>
      </c>
      <c r="M2120" s="17" t="s">
        <v>610</v>
      </c>
      <c r="N2120" s="17" t="n">
        <v>1</v>
      </c>
      <c r="O2120" s="17" t="s">
        <v>611</v>
      </c>
      <c r="P2120" s="17" t="n">
        <v>11</v>
      </c>
      <c r="Q2120" s="17" t="s">
        <v>953</v>
      </c>
      <c r="R2120" s="17" t="s">
        <v>35</v>
      </c>
      <c r="S2120" s="17" t="s">
        <v>613</v>
      </c>
      <c r="T2120" s="18" t="s">
        <v>248</v>
      </c>
      <c r="U2120" s="20" t="s">
        <v>122</v>
      </c>
      <c r="V2120" s="17" t="n">
        <v>2</v>
      </c>
      <c r="W2120" s="20" t="s">
        <v>122</v>
      </c>
      <c r="X2120" s="17" t="s">
        <v>100</v>
      </c>
      <c r="Y2120" s="17" t="s">
        <v>978</v>
      </c>
      <c r="Z2120" s="17" t="s">
        <v>818</v>
      </c>
      <c r="AA2120" s="17" t="s">
        <v>919</v>
      </c>
      <c r="AB2120" s="17" t="s">
        <v>41</v>
      </c>
      <c r="AC2120" s="0" t="str">
        <f aca="false">LEFT(G2120,2)</f>
        <v>86</v>
      </c>
    </row>
    <row r="2121" customFormat="false" ht="15" hidden="false" customHeight="false" outlineLevel="0" collapsed="false">
      <c r="A2121" s="13" t="n">
        <f aca="false">1+A2120</f>
        <v>2119</v>
      </c>
      <c r="B2121" s="14" t="n">
        <v>1009619664</v>
      </c>
      <c r="C2121" s="15" t="s">
        <v>184</v>
      </c>
      <c r="D2121" s="16" t="s">
        <v>64</v>
      </c>
      <c r="E2121" s="17" t="s">
        <v>47</v>
      </c>
      <c r="F2121" s="18" t="s">
        <v>34</v>
      </c>
      <c r="G2121" s="19" t="n">
        <v>866014214377</v>
      </c>
      <c r="H2121" s="17" t="s">
        <v>35</v>
      </c>
      <c r="I2121" s="17" t="s">
        <v>72</v>
      </c>
      <c r="J2121" s="17" t="s">
        <v>100</v>
      </c>
      <c r="K2121" s="17" t="s">
        <v>978</v>
      </c>
      <c r="L2121" s="17" t="n">
        <v>5</v>
      </c>
      <c r="M2121" s="17" t="s">
        <v>952</v>
      </c>
      <c r="N2121" s="17" t="n">
        <v>1</v>
      </c>
      <c r="O2121" s="17" t="s">
        <v>611</v>
      </c>
      <c r="P2121" s="17" t="n">
        <v>11</v>
      </c>
      <c r="Q2121" s="17" t="s">
        <v>953</v>
      </c>
      <c r="R2121" s="17" t="s">
        <v>35</v>
      </c>
      <c r="S2121" s="17" t="s">
        <v>613</v>
      </c>
      <c r="T2121" s="18" t="s">
        <v>248</v>
      </c>
      <c r="U2121" s="20" t="s">
        <v>122</v>
      </c>
      <c r="V2121" s="17" t="n">
        <v>2</v>
      </c>
      <c r="W2121" s="20" t="s">
        <v>122</v>
      </c>
      <c r="X2121" s="17" t="s">
        <v>100</v>
      </c>
      <c r="Y2121" s="17" t="s">
        <v>978</v>
      </c>
      <c r="Z2121" s="17" t="s">
        <v>1112</v>
      </c>
      <c r="AA2121" s="17" t="s">
        <v>919</v>
      </c>
      <c r="AB2121" s="17" t="s">
        <v>41</v>
      </c>
      <c r="AC2121" s="0" t="str">
        <f aca="false">LEFT(G2121,2)</f>
        <v>86</v>
      </c>
    </row>
    <row r="2122" customFormat="false" ht="15" hidden="false" customHeight="false" outlineLevel="0" collapsed="false">
      <c r="A2122" s="13" t="n">
        <f aca="false">1+A2121</f>
        <v>2120</v>
      </c>
      <c r="B2122" s="14" t="n">
        <v>1009678829</v>
      </c>
      <c r="C2122" s="15" t="s">
        <v>1113</v>
      </c>
      <c r="D2122" s="16" t="s">
        <v>64</v>
      </c>
      <c r="E2122" s="17" t="s">
        <v>1114</v>
      </c>
      <c r="F2122" s="18" t="s">
        <v>34</v>
      </c>
      <c r="G2122" s="19" t="n">
        <v>867234115444</v>
      </c>
      <c r="H2122" s="17" t="s">
        <v>35</v>
      </c>
      <c r="I2122" s="17" t="s">
        <v>72</v>
      </c>
      <c r="J2122" s="17" t="s">
        <v>100</v>
      </c>
      <c r="K2122" s="17" t="s">
        <v>978</v>
      </c>
      <c r="L2122" s="17" t="n">
        <v>1</v>
      </c>
      <c r="M2122" s="17" t="s">
        <v>610</v>
      </c>
      <c r="N2122" s="17" t="n">
        <v>1</v>
      </c>
      <c r="O2122" s="17" t="s">
        <v>611</v>
      </c>
      <c r="P2122" s="17" t="n">
        <v>11</v>
      </c>
      <c r="Q2122" s="17" t="s">
        <v>953</v>
      </c>
      <c r="R2122" s="17" t="s">
        <v>35</v>
      </c>
      <c r="S2122" s="17" t="s">
        <v>613</v>
      </c>
      <c r="T2122" s="18" t="s">
        <v>248</v>
      </c>
      <c r="U2122" s="20" t="s">
        <v>122</v>
      </c>
      <c r="V2122" s="17" t="n">
        <v>2</v>
      </c>
      <c r="W2122" s="20" t="s">
        <v>122</v>
      </c>
      <c r="X2122" s="17" t="s">
        <v>100</v>
      </c>
      <c r="Y2122" s="17" t="s">
        <v>978</v>
      </c>
      <c r="Z2122" s="17" t="s">
        <v>276</v>
      </c>
      <c r="AA2122" s="17" t="s">
        <v>919</v>
      </c>
      <c r="AB2122" s="17" t="s">
        <v>41</v>
      </c>
      <c r="AC2122" s="0" t="str">
        <f aca="false">LEFT(G2122,2)</f>
        <v>86</v>
      </c>
    </row>
    <row r="2123" customFormat="false" ht="15" hidden="false" customHeight="false" outlineLevel="0" collapsed="false">
      <c r="A2123" s="13" t="n">
        <f aca="false">1+A2122</f>
        <v>2121</v>
      </c>
      <c r="B2123" s="14" t="n">
        <v>1009683331</v>
      </c>
      <c r="C2123" s="15" t="s">
        <v>413</v>
      </c>
      <c r="D2123" s="16" t="s">
        <v>64</v>
      </c>
      <c r="E2123" s="17" t="s">
        <v>64</v>
      </c>
      <c r="F2123" s="18" t="s">
        <v>34</v>
      </c>
      <c r="G2123" s="19" t="n">
        <v>865262315720</v>
      </c>
      <c r="H2123" s="17" t="s">
        <v>35</v>
      </c>
      <c r="I2123" s="17" t="s">
        <v>72</v>
      </c>
      <c r="J2123" s="17" t="s">
        <v>100</v>
      </c>
      <c r="K2123" s="17" t="s">
        <v>978</v>
      </c>
      <c r="L2123" s="17" t="n">
        <v>5</v>
      </c>
      <c r="M2123" s="17" t="s">
        <v>952</v>
      </c>
      <c r="N2123" s="17" t="n">
        <v>1</v>
      </c>
      <c r="O2123" s="17" t="s">
        <v>611</v>
      </c>
      <c r="P2123" s="17" t="n">
        <v>11</v>
      </c>
      <c r="Q2123" s="17" t="s">
        <v>953</v>
      </c>
      <c r="R2123" s="17" t="s">
        <v>35</v>
      </c>
      <c r="S2123" s="17" t="s">
        <v>613</v>
      </c>
      <c r="T2123" s="18" t="s">
        <v>248</v>
      </c>
      <c r="U2123" s="20" t="s">
        <v>122</v>
      </c>
      <c r="V2123" s="17" t="n">
        <v>2</v>
      </c>
      <c r="W2123" s="20" t="s">
        <v>122</v>
      </c>
      <c r="X2123" s="17" t="s">
        <v>100</v>
      </c>
      <c r="Y2123" s="17" t="s">
        <v>978</v>
      </c>
      <c r="Z2123" s="17" t="s">
        <v>1115</v>
      </c>
      <c r="AA2123" s="17" t="s">
        <v>919</v>
      </c>
      <c r="AB2123" s="17" t="s">
        <v>41</v>
      </c>
      <c r="AC2123" s="0" t="str">
        <f aca="false">LEFT(G2123,2)</f>
        <v>86</v>
      </c>
    </row>
    <row r="2124" customFormat="false" ht="15" hidden="false" customHeight="false" outlineLevel="0" collapsed="false">
      <c r="A2124" s="13" t="n">
        <f aca="false">1+A2123</f>
        <v>2122</v>
      </c>
      <c r="B2124" s="14" t="n">
        <v>1009524674</v>
      </c>
      <c r="C2124" s="15" t="s">
        <v>162</v>
      </c>
      <c r="D2124" s="16" t="s">
        <v>64</v>
      </c>
      <c r="E2124" s="17" t="s">
        <v>64</v>
      </c>
      <c r="F2124" s="18" t="s">
        <v>34</v>
      </c>
      <c r="G2124" s="19" t="n">
        <v>867094226240</v>
      </c>
      <c r="H2124" s="17" t="s">
        <v>35</v>
      </c>
      <c r="I2124" s="17" t="s">
        <v>72</v>
      </c>
      <c r="J2124" s="17" t="s">
        <v>111</v>
      </c>
      <c r="K2124" s="17" t="s">
        <v>958</v>
      </c>
      <c r="L2124" s="17" t="n">
        <v>5</v>
      </c>
      <c r="M2124" s="17" t="s">
        <v>952</v>
      </c>
      <c r="N2124" s="17" t="n">
        <v>1</v>
      </c>
      <c r="O2124" s="17" t="s">
        <v>611</v>
      </c>
      <c r="P2124" s="17" t="n">
        <v>11</v>
      </c>
      <c r="Q2124" s="17" t="s">
        <v>953</v>
      </c>
      <c r="R2124" s="17" t="s">
        <v>35</v>
      </c>
      <c r="S2124" s="17" t="s">
        <v>613</v>
      </c>
      <c r="T2124" s="18" t="s">
        <v>248</v>
      </c>
      <c r="U2124" s="20" t="s">
        <v>122</v>
      </c>
      <c r="V2124" s="17" t="n">
        <v>2</v>
      </c>
      <c r="W2124" s="20" t="s">
        <v>122</v>
      </c>
      <c r="X2124" s="17" t="s">
        <v>111</v>
      </c>
      <c r="Y2124" s="17" t="s">
        <v>958</v>
      </c>
      <c r="Z2124" s="17" t="s">
        <v>760</v>
      </c>
      <c r="AA2124" s="17" t="s">
        <v>919</v>
      </c>
      <c r="AB2124" s="17" t="s">
        <v>41</v>
      </c>
      <c r="AC2124" s="0" t="str">
        <f aca="false">LEFT(G2124,2)</f>
        <v>86</v>
      </c>
    </row>
    <row r="2125" customFormat="false" ht="15" hidden="false" customHeight="false" outlineLevel="0" collapsed="false">
      <c r="A2125" s="13" t="n">
        <f aca="false">1+A2124</f>
        <v>2123</v>
      </c>
      <c r="B2125" s="14" t="n">
        <v>1009528565</v>
      </c>
      <c r="C2125" s="15" t="s">
        <v>174</v>
      </c>
      <c r="D2125" s="16" t="s">
        <v>138</v>
      </c>
      <c r="E2125" s="17" t="s">
        <v>33</v>
      </c>
      <c r="F2125" s="18" t="s">
        <v>34</v>
      </c>
      <c r="G2125" s="19" t="n">
        <v>866241136765</v>
      </c>
      <c r="H2125" s="17" t="s">
        <v>35</v>
      </c>
      <c r="I2125" s="17" t="s">
        <v>72</v>
      </c>
      <c r="J2125" s="17" t="s">
        <v>111</v>
      </c>
      <c r="K2125" s="17" t="s">
        <v>958</v>
      </c>
      <c r="L2125" s="17" t="n">
        <v>2</v>
      </c>
      <c r="M2125" s="17" t="s">
        <v>981</v>
      </c>
      <c r="N2125" s="17" t="n">
        <v>6</v>
      </c>
      <c r="O2125" s="17" t="s">
        <v>982</v>
      </c>
      <c r="P2125" s="17" t="n">
        <v>11</v>
      </c>
      <c r="Q2125" s="17" t="s">
        <v>953</v>
      </c>
      <c r="R2125" s="17" t="s">
        <v>35</v>
      </c>
      <c r="S2125" s="17" t="s">
        <v>613</v>
      </c>
      <c r="T2125" s="18" t="s">
        <v>248</v>
      </c>
      <c r="U2125" s="20" t="s">
        <v>122</v>
      </c>
      <c r="V2125" s="17" t="n">
        <v>2</v>
      </c>
      <c r="W2125" s="20" t="s">
        <v>122</v>
      </c>
      <c r="X2125" s="17" t="s">
        <v>111</v>
      </c>
      <c r="Y2125" s="17" t="s">
        <v>958</v>
      </c>
      <c r="Z2125" s="17" t="s">
        <v>1116</v>
      </c>
      <c r="AA2125" s="17" t="s">
        <v>919</v>
      </c>
      <c r="AB2125" s="17" t="s">
        <v>41</v>
      </c>
      <c r="AC2125" s="0" t="str">
        <f aca="false">LEFT(G2125,2)</f>
        <v>86</v>
      </c>
    </row>
    <row r="2126" customFormat="false" ht="15" hidden="false" customHeight="false" outlineLevel="0" collapsed="false">
      <c r="A2126" s="13" t="n">
        <f aca="false">1+A2125</f>
        <v>2124</v>
      </c>
      <c r="B2126" s="14" t="n">
        <v>1009610674</v>
      </c>
      <c r="C2126" s="15" t="s">
        <v>181</v>
      </c>
      <c r="D2126" s="16" t="s">
        <v>227</v>
      </c>
      <c r="E2126" s="17" t="s">
        <v>64</v>
      </c>
      <c r="F2126" s="18" t="s">
        <v>34</v>
      </c>
      <c r="G2126" s="19" t="n">
        <v>867019100959</v>
      </c>
      <c r="H2126" s="17" t="s">
        <v>35</v>
      </c>
      <c r="I2126" s="17" t="s">
        <v>72</v>
      </c>
      <c r="J2126" s="17" t="s">
        <v>100</v>
      </c>
      <c r="K2126" s="17" t="s">
        <v>978</v>
      </c>
      <c r="L2126" s="17" t="n">
        <v>5</v>
      </c>
      <c r="M2126" s="17" t="s">
        <v>952</v>
      </c>
      <c r="N2126" s="17" t="n">
        <v>1</v>
      </c>
      <c r="O2126" s="17" t="s">
        <v>611</v>
      </c>
      <c r="P2126" s="17" t="n">
        <v>11</v>
      </c>
      <c r="Q2126" s="17" t="s">
        <v>953</v>
      </c>
      <c r="R2126" s="17" t="s">
        <v>35</v>
      </c>
      <c r="S2126" s="17" t="s">
        <v>613</v>
      </c>
      <c r="T2126" s="18" t="s">
        <v>248</v>
      </c>
      <c r="U2126" s="20" t="s">
        <v>122</v>
      </c>
      <c r="V2126" s="17" t="n">
        <v>2</v>
      </c>
      <c r="W2126" s="20" t="s">
        <v>122</v>
      </c>
      <c r="X2126" s="17" t="s">
        <v>100</v>
      </c>
      <c r="Y2126" s="17" t="s">
        <v>978</v>
      </c>
      <c r="Z2126" s="17" t="s">
        <v>97</v>
      </c>
      <c r="AA2126" s="17" t="s">
        <v>919</v>
      </c>
      <c r="AB2126" s="17" t="s">
        <v>41</v>
      </c>
      <c r="AC2126" s="0" t="str">
        <f aca="false">LEFT(G2126,2)</f>
        <v>86</v>
      </c>
    </row>
    <row r="2127" customFormat="false" ht="15" hidden="false" customHeight="false" outlineLevel="0" collapsed="false">
      <c r="A2127" s="13" t="n">
        <f aca="false">1+A2126</f>
        <v>2125</v>
      </c>
      <c r="B2127" s="14" t="n">
        <v>1009571144</v>
      </c>
      <c r="C2127" s="15" t="s">
        <v>104</v>
      </c>
      <c r="D2127" s="16" t="s">
        <v>64</v>
      </c>
      <c r="E2127" s="17" t="s">
        <v>47</v>
      </c>
      <c r="F2127" s="18" t="s">
        <v>34</v>
      </c>
      <c r="G2127" s="19" t="n">
        <v>864342214946</v>
      </c>
      <c r="H2127" s="17" t="s">
        <v>35</v>
      </c>
      <c r="I2127" s="17" t="s">
        <v>72</v>
      </c>
      <c r="J2127" s="17" t="s">
        <v>239</v>
      </c>
      <c r="K2127" s="17" t="s">
        <v>951</v>
      </c>
      <c r="L2127" s="17" t="n">
        <v>5</v>
      </c>
      <c r="M2127" s="17" t="s">
        <v>952</v>
      </c>
      <c r="N2127" s="17" t="n">
        <v>1</v>
      </c>
      <c r="O2127" s="17" t="s">
        <v>611</v>
      </c>
      <c r="P2127" s="17" t="n">
        <v>11</v>
      </c>
      <c r="Q2127" s="17" t="s">
        <v>953</v>
      </c>
      <c r="R2127" s="17" t="s">
        <v>35</v>
      </c>
      <c r="S2127" s="17" t="s">
        <v>613</v>
      </c>
      <c r="T2127" s="18" t="s">
        <v>248</v>
      </c>
      <c r="U2127" s="20" t="s">
        <v>122</v>
      </c>
      <c r="V2127" s="17" t="n">
        <v>2</v>
      </c>
      <c r="W2127" s="20" t="s">
        <v>122</v>
      </c>
      <c r="X2127" s="17" t="s">
        <v>239</v>
      </c>
      <c r="Y2127" s="17" t="s">
        <v>951</v>
      </c>
      <c r="Z2127" s="17" t="s">
        <v>1106</v>
      </c>
      <c r="AA2127" s="17" t="s">
        <v>919</v>
      </c>
      <c r="AB2127" s="17" t="s">
        <v>41</v>
      </c>
      <c r="AC2127" s="0" t="str">
        <f aca="false">LEFT(G2127,2)</f>
        <v>86</v>
      </c>
    </row>
    <row r="2128" customFormat="false" ht="15" hidden="false" customHeight="false" outlineLevel="0" collapsed="false">
      <c r="A2128" s="13" t="n">
        <f aca="false">1+A2127</f>
        <v>2126</v>
      </c>
      <c r="B2128" s="14" t="n">
        <v>1009671432</v>
      </c>
      <c r="C2128" s="15" t="s">
        <v>436</v>
      </c>
      <c r="D2128" s="16" t="s">
        <v>190</v>
      </c>
      <c r="E2128" s="17" t="s">
        <v>47</v>
      </c>
      <c r="F2128" s="18" t="s">
        <v>34</v>
      </c>
      <c r="G2128" s="19" t="n">
        <v>865169170590</v>
      </c>
      <c r="H2128" s="17" t="s">
        <v>35</v>
      </c>
      <c r="I2128" s="17" t="s">
        <v>72</v>
      </c>
      <c r="J2128" s="17" t="s">
        <v>241</v>
      </c>
      <c r="K2128" s="17" t="s">
        <v>992</v>
      </c>
      <c r="L2128" s="17" t="n">
        <v>5</v>
      </c>
      <c r="M2128" s="17" t="s">
        <v>952</v>
      </c>
      <c r="N2128" s="17" t="n">
        <v>1</v>
      </c>
      <c r="O2128" s="17" t="s">
        <v>611</v>
      </c>
      <c r="P2128" s="17" t="n">
        <v>11</v>
      </c>
      <c r="Q2128" s="17" t="s">
        <v>953</v>
      </c>
      <c r="R2128" s="17" t="s">
        <v>35</v>
      </c>
      <c r="S2128" s="17" t="s">
        <v>613</v>
      </c>
      <c r="T2128" s="18" t="s">
        <v>248</v>
      </c>
      <c r="U2128" s="20" t="s">
        <v>122</v>
      </c>
      <c r="V2128" s="17" t="n">
        <v>2</v>
      </c>
      <c r="W2128" s="20" t="s">
        <v>122</v>
      </c>
      <c r="X2128" s="17" t="s">
        <v>241</v>
      </c>
      <c r="Y2128" s="17" t="s">
        <v>992</v>
      </c>
      <c r="Z2128" s="17" t="s">
        <v>276</v>
      </c>
      <c r="AA2128" s="17" t="s">
        <v>919</v>
      </c>
      <c r="AB2128" s="17" t="s">
        <v>41</v>
      </c>
      <c r="AC2128" s="0" t="str">
        <f aca="false">LEFT(G2128,2)</f>
        <v>86</v>
      </c>
    </row>
    <row r="2129" customFormat="false" ht="15" hidden="false" customHeight="false" outlineLevel="0" collapsed="false">
      <c r="A2129" s="13" t="n">
        <f aca="false">1+A2128</f>
        <v>2127</v>
      </c>
      <c r="B2129" s="14" t="n">
        <v>1009674173</v>
      </c>
      <c r="C2129" s="15" t="s">
        <v>436</v>
      </c>
      <c r="D2129" s="16" t="s">
        <v>64</v>
      </c>
      <c r="E2129" s="17" t="s">
        <v>64</v>
      </c>
      <c r="F2129" s="18" t="s">
        <v>34</v>
      </c>
      <c r="G2129" s="19" t="n">
        <v>865357152095</v>
      </c>
      <c r="H2129" s="17" t="s">
        <v>35</v>
      </c>
      <c r="I2129" s="17" t="s">
        <v>72</v>
      </c>
      <c r="J2129" s="17" t="s">
        <v>111</v>
      </c>
      <c r="K2129" s="17" t="s">
        <v>958</v>
      </c>
      <c r="L2129" s="17" t="n">
        <v>5</v>
      </c>
      <c r="M2129" s="17" t="s">
        <v>952</v>
      </c>
      <c r="N2129" s="17" t="n">
        <v>24</v>
      </c>
      <c r="O2129" s="17" t="s">
        <v>975</v>
      </c>
      <c r="P2129" s="17" t="n">
        <v>11</v>
      </c>
      <c r="Q2129" s="17" t="s">
        <v>953</v>
      </c>
      <c r="R2129" s="17" t="s">
        <v>35</v>
      </c>
      <c r="S2129" s="17" t="s">
        <v>613</v>
      </c>
      <c r="T2129" s="18" t="s">
        <v>248</v>
      </c>
      <c r="U2129" s="20" t="s">
        <v>122</v>
      </c>
      <c r="V2129" s="17" t="n">
        <v>2</v>
      </c>
      <c r="W2129" s="20" t="s">
        <v>122</v>
      </c>
      <c r="X2129" s="17" t="s">
        <v>111</v>
      </c>
      <c r="Y2129" s="17" t="s">
        <v>958</v>
      </c>
      <c r="Z2129" s="17" t="s">
        <v>276</v>
      </c>
      <c r="AA2129" s="17" t="s">
        <v>919</v>
      </c>
      <c r="AB2129" s="17" t="s">
        <v>41</v>
      </c>
      <c r="AC2129" s="0" t="str">
        <f aca="false">LEFT(G2129,2)</f>
        <v>86</v>
      </c>
    </row>
    <row r="2130" customFormat="false" ht="15" hidden="false" customHeight="false" outlineLevel="0" collapsed="false">
      <c r="A2130" s="13" t="n">
        <f aca="false">1+A2129</f>
        <v>2128</v>
      </c>
      <c r="B2130" s="14" t="n">
        <v>1009622365</v>
      </c>
      <c r="C2130" s="15" t="s">
        <v>184</v>
      </c>
      <c r="D2130" s="16" t="s">
        <v>64</v>
      </c>
      <c r="E2130" s="17" t="s">
        <v>47</v>
      </c>
      <c r="F2130" s="18" t="s">
        <v>34</v>
      </c>
      <c r="G2130" s="19" t="n">
        <v>867021210960</v>
      </c>
      <c r="H2130" s="17" t="s">
        <v>35</v>
      </c>
      <c r="I2130" s="17" t="s">
        <v>72</v>
      </c>
      <c r="J2130" s="17" t="s">
        <v>100</v>
      </c>
      <c r="K2130" s="17" t="s">
        <v>978</v>
      </c>
      <c r="L2130" s="17" t="n">
        <v>1</v>
      </c>
      <c r="M2130" s="17" t="s">
        <v>610</v>
      </c>
      <c r="N2130" s="17" t="n">
        <v>1</v>
      </c>
      <c r="O2130" s="17" t="s">
        <v>611</v>
      </c>
      <c r="P2130" s="17" t="n">
        <v>11</v>
      </c>
      <c r="Q2130" s="17" t="s">
        <v>953</v>
      </c>
      <c r="R2130" s="17" t="s">
        <v>35</v>
      </c>
      <c r="S2130" s="17" t="s">
        <v>613</v>
      </c>
      <c r="T2130" s="18" t="s">
        <v>248</v>
      </c>
      <c r="U2130" s="20" t="s">
        <v>256</v>
      </c>
      <c r="V2130" s="17" t="n">
        <v>1</v>
      </c>
      <c r="W2130" s="20" t="s">
        <v>256</v>
      </c>
      <c r="X2130" s="17" t="s">
        <v>100</v>
      </c>
      <c r="Y2130" s="17" t="s">
        <v>978</v>
      </c>
      <c r="Z2130" s="17" t="s">
        <v>1117</v>
      </c>
      <c r="AA2130" s="17" t="s">
        <v>919</v>
      </c>
      <c r="AB2130" s="17" t="s">
        <v>41</v>
      </c>
      <c r="AC2130" s="0" t="str">
        <f aca="false">LEFT(G2130,2)</f>
        <v>86</v>
      </c>
    </row>
    <row r="2131" customFormat="false" ht="15" hidden="false" customHeight="false" outlineLevel="0" collapsed="false">
      <c r="A2131" s="13" t="n">
        <f aca="false">1+A2130</f>
        <v>2129</v>
      </c>
      <c r="B2131" s="14" t="n">
        <v>1009561687</v>
      </c>
      <c r="C2131" s="15" t="s">
        <v>192</v>
      </c>
      <c r="D2131" s="16" t="s">
        <v>64</v>
      </c>
      <c r="E2131" s="17" t="s">
        <v>47</v>
      </c>
      <c r="F2131" s="18" t="s">
        <v>34</v>
      </c>
      <c r="G2131" s="19" t="n">
        <v>867097139523</v>
      </c>
      <c r="H2131" s="17" t="s">
        <v>35</v>
      </c>
      <c r="I2131" s="17" t="s">
        <v>72</v>
      </c>
      <c r="J2131" s="17" t="s">
        <v>111</v>
      </c>
      <c r="K2131" s="17" t="s">
        <v>958</v>
      </c>
      <c r="L2131" s="17" t="n">
        <v>5</v>
      </c>
      <c r="M2131" s="17" t="s">
        <v>952</v>
      </c>
      <c r="N2131" s="17" t="n">
        <v>1</v>
      </c>
      <c r="O2131" s="17" t="s">
        <v>611</v>
      </c>
      <c r="P2131" s="17" t="n">
        <v>11</v>
      </c>
      <c r="Q2131" s="17" t="s">
        <v>953</v>
      </c>
      <c r="R2131" s="17" t="s">
        <v>35</v>
      </c>
      <c r="S2131" s="17" t="s">
        <v>613</v>
      </c>
      <c r="T2131" s="18" t="s">
        <v>248</v>
      </c>
      <c r="U2131" s="20" t="s">
        <v>122</v>
      </c>
      <c r="V2131" s="17" t="n">
        <v>2</v>
      </c>
      <c r="W2131" s="20" t="s">
        <v>122</v>
      </c>
      <c r="X2131" s="17" t="s">
        <v>111</v>
      </c>
      <c r="Y2131" s="17" t="s">
        <v>958</v>
      </c>
      <c r="Z2131" s="17" t="s">
        <v>569</v>
      </c>
      <c r="AA2131" s="17" t="s">
        <v>919</v>
      </c>
      <c r="AB2131" s="17" t="s">
        <v>41</v>
      </c>
      <c r="AC2131" s="0" t="str">
        <f aca="false">LEFT(G2131,2)</f>
        <v>86</v>
      </c>
    </row>
    <row r="2132" customFormat="false" ht="15" hidden="false" customHeight="false" outlineLevel="0" collapsed="false">
      <c r="A2132" s="13" t="n">
        <f aca="false">1+A2131</f>
        <v>2130</v>
      </c>
      <c r="B2132" s="14" t="n">
        <v>1009584404</v>
      </c>
      <c r="C2132" s="15" t="s">
        <v>139</v>
      </c>
      <c r="D2132" s="16" t="s">
        <v>143</v>
      </c>
      <c r="E2132" s="17" t="s">
        <v>33</v>
      </c>
      <c r="F2132" s="18" t="s">
        <v>34</v>
      </c>
      <c r="G2132" s="19" t="n">
        <v>866019249410</v>
      </c>
      <c r="H2132" s="17" t="s">
        <v>35</v>
      </c>
      <c r="I2132" s="17" t="s">
        <v>72</v>
      </c>
      <c r="J2132" s="17" t="s">
        <v>241</v>
      </c>
      <c r="K2132" s="17" t="s">
        <v>992</v>
      </c>
      <c r="L2132" s="17" t="n">
        <v>5</v>
      </c>
      <c r="M2132" s="17" t="s">
        <v>952</v>
      </c>
      <c r="N2132" s="17" t="n">
        <v>1</v>
      </c>
      <c r="O2132" s="17" t="s">
        <v>611</v>
      </c>
      <c r="P2132" s="17" t="n">
        <v>11</v>
      </c>
      <c r="Q2132" s="17" t="s">
        <v>953</v>
      </c>
      <c r="R2132" s="17" t="s">
        <v>35</v>
      </c>
      <c r="S2132" s="17" t="s">
        <v>613</v>
      </c>
      <c r="T2132" s="18" t="s">
        <v>248</v>
      </c>
      <c r="U2132" s="20" t="s">
        <v>122</v>
      </c>
      <c r="V2132" s="17" t="n">
        <v>2</v>
      </c>
      <c r="W2132" s="20" t="s">
        <v>122</v>
      </c>
      <c r="X2132" s="17" t="s">
        <v>241</v>
      </c>
      <c r="Y2132" s="17" t="s">
        <v>992</v>
      </c>
      <c r="Z2132" s="17" t="s">
        <v>569</v>
      </c>
      <c r="AA2132" s="17" t="s">
        <v>919</v>
      </c>
      <c r="AB2132" s="17" t="s">
        <v>41</v>
      </c>
      <c r="AC2132" s="0" t="str">
        <f aca="false">LEFT(G2132,2)</f>
        <v>86</v>
      </c>
    </row>
    <row r="2133" customFormat="false" ht="15" hidden="false" customHeight="false" outlineLevel="0" collapsed="false">
      <c r="A2133" s="13" t="n">
        <f aca="false">1+A2132</f>
        <v>2131</v>
      </c>
      <c r="B2133" s="14" t="n">
        <v>1009649713</v>
      </c>
      <c r="C2133" s="15" t="s">
        <v>204</v>
      </c>
      <c r="D2133" s="16" t="s">
        <v>64</v>
      </c>
      <c r="E2133" s="17" t="s">
        <v>64</v>
      </c>
      <c r="F2133" s="18" t="s">
        <v>34</v>
      </c>
      <c r="G2133" s="19" t="n">
        <v>865356199816</v>
      </c>
      <c r="H2133" s="17" t="s">
        <v>35</v>
      </c>
      <c r="I2133" s="17" t="s">
        <v>72</v>
      </c>
      <c r="J2133" s="17" t="s">
        <v>121</v>
      </c>
      <c r="K2133" s="17" t="s">
        <v>955</v>
      </c>
      <c r="L2133" s="17" t="n">
        <v>5</v>
      </c>
      <c r="M2133" s="17" t="s">
        <v>952</v>
      </c>
      <c r="N2133" s="17" t="n">
        <v>1</v>
      </c>
      <c r="O2133" s="17" t="s">
        <v>611</v>
      </c>
      <c r="P2133" s="17" t="n">
        <v>11</v>
      </c>
      <c r="Q2133" s="17" t="s">
        <v>953</v>
      </c>
      <c r="R2133" s="17" t="s">
        <v>35</v>
      </c>
      <c r="S2133" s="17" t="s">
        <v>613</v>
      </c>
      <c r="T2133" s="18" t="s">
        <v>248</v>
      </c>
      <c r="U2133" s="20" t="s">
        <v>122</v>
      </c>
      <c r="V2133" s="17" t="n">
        <v>2</v>
      </c>
      <c r="W2133" s="20" t="s">
        <v>122</v>
      </c>
      <c r="X2133" s="17" t="s">
        <v>121</v>
      </c>
      <c r="Y2133" s="17" t="s">
        <v>955</v>
      </c>
      <c r="Z2133" s="17" t="s">
        <v>1111</v>
      </c>
      <c r="AA2133" s="17" t="s">
        <v>919</v>
      </c>
      <c r="AB2133" s="17" t="s">
        <v>41</v>
      </c>
      <c r="AC2133" s="0" t="str">
        <f aca="false">LEFT(G2133,2)</f>
        <v>86</v>
      </c>
    </row>
    <row r="2134" customFormat="false" ht="15" hidden="false" customHeight="false" outlineLevel="0" collapsed="false">
      <c r="A2134" s="13" t="n">
        <f aca="false">1+A2133</f>
        <v>2132</v>
      </c>
      <c r="B2134" s="14" t="n">
        <v>1009547195</v>
      </c>
      <c r="C2134" s="15" t="s">
        <v>126</v>
      </c>
      <c r="D2134" s="16" t="s">
        <v>131</v>
      </c>
      <c r="E2134" s="17" t="s">
        <v>33</v>
      </c>
      <c r="F2134" s="18" t="s">
        <v>34</v>
      </c>
      <c r="G2134" s="19" t="n">
        <v>864351146138</v>
      </c>
      <c r="H2134" s="17" t="s">
        <v>35</v>
      </c>
      <c r="I2134" s="17" t="s">
        <v>72</v>
      </c>
      <c r="J2134" s="17" t="s">
        <v>241</v>
      </c>
      <c r="K2134" s="17" t="s">
        <v>992</v>
      </c>
      <c r="L2134" s="17" t="n">
        <v>5</v>
      </c>
      <c r="M2134" s="17" t="s">
        <v>952</v>
      </c>
      <c r="N2134" s="17" t="n">
        <v>1</v>
      </c>
      <c r="O2134" s="17" t="s">
        <v>611</v>
      </c>
      <c r="P2134" s="17" t="n">
        <v>11</v>
      </c>
      <c r="Q2134" s="17" t="s">
        <v>953</v>
      </c>
      <c r="R2134" s="17" t="s">
        <v>35</v>
      </c>
      <c r="S2134" s="17" t="s">
        <v>613</v>
      </c>
      <c r="T2134" s="18" t="s">
        <v>248</v>
      </c>
      <c r="U2134" s="20" t="s">
        <v>122</v>
      </c>
      <c r="V2134" s="17" t="n">
        <v>2</v>
      </c>
      <c r="W2134" s="20" t="s">
        <v>122</v>
      </c>
      <c r="X2134" s="17" t="s">
        <v>241</v>
      </c>
      <c r="Y2134" s="17" t="s">
        <v>992</v>
      </c>
      <c r="Z2134" s="17" t="s">
        <v>760</v>
      </c>
      <c r="AA2134" s="17" t="s">
        <v>919</v>
      </c>
      <c r="AB2134" s="17" t="s">
        <v>41</v>
      </c>
      <c r="AC2134" s="0" t="str">
        <f aca="false">LEFT(G2134,2)</f>
        <v>86</v>
      </c>
    </row>
    <row r="2135" customFormat="false" ht="15" hidden="false" customHeight="false" outlineLevel="0" collapsed="false">
      <c r="A2135" s="13" t="n">
        <f aca="false">1+A2134</f>
        <v>2133</v>
      </c>
      <c r="B2135" s="14" t="n">
        <v>1009685819</v>
      </c>
      <c r="C2135" s="15" t="s">
        <v>449</v>
      </c>
      <c r="D2135" s="16" t="s">
        <v>221</v>
      </c>
      <c r="E2135" s="17" t="s">
        <v>145</v>
      </c>
      <c r="F2135" s="18" t="s">
        <v>34</v>
      </c>
      <c r="G2135" s="19" t="n">
        <v>866037120478</v>
      </c>
      <c r="H2135" s="17" t="s">
        <v>35</v>
      </c>
      <c r="I2135" s="17" t="s">
        <v>72</v>
      </c>
      <c r="J2135" s="17" t="s">
        <v>289</v>
      </c>
      <c r="K2135" s="17" t="s">
        <v>1067</v>
      </c>
      <c r="L2135" s="17" t="n">
        <v>5</v>
      </c>
      <c r="M2135" s="17" t="s">
        <v>952</v>
      </c>
      <c r="N2135" s="17" t="n">
        <v>1</v>
      </c>
      <c r="O2135" s="17" t="s">
        <v>611</v>
      </c>
      <c r="P2135" s="17" t="n">
        <v>11</v>
      </c>
      <c r="Q2135" s="17" t="s">
        <v>953</v>
      </c>
      <c r="R2135" s="17" t="s">
        <v>35</v>
      </c>
      <c r="S2135" s="17" t="s">
        <v>613</v>
      </c>
      <c r="T2135" s="18" t="s">
        <v>248</v>
      </c>
      <c r="U2135" s="20" t="s">
        <v>38</v>
      </c>
      <c r="V2135" s="17" t="n">
        <v>4</v>
      </c>
      <c r="W2135" s="20" t="s">
        <v>38</v>
      </c>
      <c r="X2135" s="17" t="s">
        <v>289</v>
      </c>
      <c r="Y2135" s="17" t="s">
        <v>1067</v>
      </c>
      <c r="Z2135" s="17" t="s">
        <v>1118</v>
      </c>
      <c r="AA2135" s="17" t="s">
        <v>919</v>
      </c>
      <c r="AB2135" s="17" t="s">
        <v>41</v>
      </c>
      <c r="AC2135" s="0" t="str">
        <f aca="false">LEFT(G2135,2)</f>
        <v>86</v>
      </c>
    </row>
    <row r="2136" customFormat="false" ht="15" hidden="false" customHeight="false" outlineLevel="0" collapsed="false">
      <c r="A2136" s="13" t="n">
        <f aca="false">1+A2135</f>
        <v>2134</v>
      </c>
      <c r="B2136" s="14" t="n">
        <v>1009421485</v>
      </c>
      <c r="C2136" s="15" t="s">
        <v>179</v>
      </c>
      <c r="D2136" s="16" t="s">
        <v>64</v>
      </c>
      <c r="E2136" s="17" t="s">
        <v>64</v>
      </c>
      <c r="F2136" s="18" t="s">
        <v>34</v>
      </c>
      <c r="G2136" s="19" t="n">
        <v>865347328300</v>
      </c>
      <c r="H2136" s="17" t="s">
        <v>35</v>
      </c>
      <c r="I2136" s="17" t="s">
        <v>72</v>
      </c>
      <c r="J2136" s="17" t="s">
        <v>100</v>
      </c>
      <c r="K2136" s="17" t="s">
        <v>978</v>
      </c>
      <c r="L2136" s="17" t="n">
        <v>5</v>
      </c>
      <c r="M2136" s="17" t="s">
        <v>952</v>
      </c>
      <c r="N2136" s="17" t="n">
        <v>1</v>
      </c>
      <c r="O2136" s="17" t="s">
        <v>611</v>
      </c>
      <c r="P2136" s="17" t="n">
        <v>11</v>
      </c>
      <c r="Q2136" s="17" t="s">
        <v>953</v>
      </c>
      <c r="R2136" s="17" t="s">
        <v>35</v>
      </c>
      <c r="S2136" s="17" t="s">
        <v>613</v>
      </c>
      <c r="T2136" s="18" t="s">
        <v>248</v>
      </c>
      <c r="U2136" s="20" t="s">
        <v>38</v>
      </c>
      <c r="V2136" s="17" t="n">
        <v>4</v>
      </c>
      <c r="W2136" s="20" t="s">
        <v>38</v>
      </c>
      <c r="X2136" s="17" t="s">
        <v>100</v>
      </c>
      <c r="Y2136" s="17" t="s">
        <v>978</v>
      </c>
      <c r="Z2136" s="17" t="s">
        <v>1119</v>
      </c>
      <c r="AA2136" s="17" t="s">
        <v>919</v>
      </c>
      <c r="AB2136" s="17" t="s">
        <v>41</v>
      </c>
      <c r="AC2136" s="0" t="str">
        <f aca="false">LEFT(G2136,2)</f>
        <v>86</v>
      </c>
    </row>
    <row r="2137" customFormat="false" ht="15" hidden="false" customHeight="false" outlineLevel="0" collapsed="false">
      <c r="A2137" s="13" t="n">
        <f aca="false">1+A2136</f>
        <v>2135</v>
      </c>
      <c r="B2137" s="14" t="n">
        <v>1009401927</v>
      </c>
      <c r="C2137" s="15" t="s">
        <v>383</v>
      </c>
      <c r="D2137" s="16" t="s">
        <v>78</v>
      </c>
      <c r="E2137" s="17" t="s">
        <v>178</v>
      </c>
      <c r="F2137" s="18" t="s">
        <v>34</v>
      </c>
      <c r="G2137" s="19" t="n">
        <v>866243122342</v>
      </c>
      <c r="H2137" s="17" t="s">
        <v>35</v>
      </c>
      <c r="I2137" s="17" t="s">
        <v>72</v>
      </c>
      <c r="J2137" s="17" t="s">
        <v>100</v>
      </c>
      <c r="K2137" s="17" t="s">
        <v>978</v>
      </c>
      <c r="L2137" s="17" t="n">
        <v>5</v>
      </c>
      <c r="M2137" s="17" t="s">
        <v>952</v>
      </c>
      <c r="N2137" s="17" t="n">
        <v>1</v>
      </c>
      <c r="O2137" s="17" t="s">
        <v>611</v>
      </c>
      <c r="P2137" s="17" t="n">
        <v>11</v>
      </c>
      <c r="Q2137" s="17" t="s">
        <v>953</v>
      </c>
      <c r="R2137" s="17" t="s">
        <v>35</v>
      </c>
      <c r="S2137" s="17" t="s">
        <v>613</v>
      </c>
      <c r="T2137" s="18" t="s">
        <v>248</v>
      </c>
      <c r="U2137" s="20" t="s">
        <v>122</v>
      </c>
      <c r="V2137" s="17" t="n">
        <v>2</v>
      </c>
      <c r="W2137" s="20" t="s">
        <v>122</v>
      </c>
      <c r="X2137" s="17" t="s">
        <v>100</v>
      </c>
      <c r="Y2137" s="17" t="s">
        <v>978</v>
      </c>
      <c r="Z2137" s="17" t="s">
        <v>1120</v>
      </c>
      <c r="AA2137" s="17" t="s">
        <v>919</v>
      </c>
      <c r="AB2137" s="17" t="s">
        <v>41</v>
      </c>
      <c r="AC2137" s="0" t="str">
        <f aca="false">LEFT(G2137,2)</f>
        <v>86</v>
      </c>
    </row>
    <row r="2138" customFormat="false" ht="15" hidden="false" customHeight="false" outlineLevel="0" collapsed="false">
      <c r="A2138" s="13" t="n">
        <f aca="false">1+A2137</f>
        <v>2136</v>
      </c>
      <c r="B2138" s="14" t="n">
        <v>1009375051</v>
      </c>
      <c r="C2138" s="15" t="s">
        <v>606</v>
      </c>
      <c r="D2138" s="16" t="s">
        <v>108</v>
      </c>
      <c r="E2138" s="17" t="s">
        <v>33</v>
      </c>
      <c r="F2138" s="18" t="s">
        <v>34</v>
      </c>
      <c r="G2138" s="19" t="n">
        <v>868149113490</v>
      </c>
      <c r="H2138" s="17" t="s">
        <v>35</v>
      </c>
      <c r="I2138" s="17" t="s">
        <v>72</v>
      </c>
      <c r="J2138" s="17" t="s">
        <v>100</v>
      </c>
      <c r="K2138" s="17" t="s">
        <v>978</v>
      </c>
      <c r="L2138" s="17" t="n">
        <v>5</v>
      </c>
      <c r="M2138" s="17" t="s">
        <v>952</v>
      </c>
      <c r="N2138" s="17" t="n">
        <v>1</v>
      </c>
      <c r="O2138" s="17" t="s">
        <v>611</v>
      </c>
      <c r="P2138" s="17" t="n">
        <v>11</v>
      </c>
      <c r="Q2138" s="17" t="s">
        <v>953</v>
      </c>
      <c r="R2138" s="17" t="s">
        <v>35</v>
      </c>
      <c r="S2138" s="17" t="s">
        <v>613</v>
      </c>
      <c r="T2138" s="18" t="s">
        <v>248</v>
      </c>
      <c r="U2138" s="20" t="s">
        <v>122</v>
      </c>
      <c r="V2138" s="17" t="n">
        <v>2</v>
      </c>
      <c r="W2138" s="20" t="s">
        <v>122</v>
      </c>
      <c r="X2138" s="17" t="s">
        <v>100</v>
      </c>
      <c r="Y2138" s="17" t="s">
        <v>978</v>
      </c>
      <c r="Z2138" s="17" t="s">
        <v>341</v>
      </c>
      <c r="AA2138" s="17" t="s">
        <v>919</v>
      </c>
      <c r="AB2138" s="17" t="s">
        <v>41</v>
      </c>
      <c r="AC2138" s="0" t="str">
        <f aca="false">LEFT(G2138,2)</f>
        <v>86</v>
      </c>
    </row>
    <row r="2139" customFormat="false" ht="15" hidden="false" customHeight="false" outlineLevel="0" collapsed="false">
      <c r="A2139" s="13" t="n">
        <f aca="false">1+A2138</f>
        <v>2137</v>
      </c>
      <c r="B2139" s="14" t="n">
        <v>1009678753</v>
      </c>
      <c r="C2139" s="15" t="s">
        <v>436</v>
      </c>
      <c r="D2139" s="16" t="s">
        <v>64</v>
      </c>
      <c r="E2139" s="17" t="s">
        <v>64</v>
      </c>
      <c r="F2139" s="18" t="s">
        <v>34</v>
      </c>
      <c r="G2139" s="19" t="n">
        <v>866062158104</v>
      </c>
      <c r="H2139" s="17" t="s">
        <v>35</v>
      </c>
      <c r="I2139" s="17" t="s">
        <v>72</v>
      </c>
      <c r="J2139" s="17" t="s">
        <v>100</v>
      </c>
      <c r="K2139" s="17" t="s">
        <v>978</v>
      </c>
      <c r="L2139" s="17" t="n">
        <v>5</v>
      </c>
      <c r="M2139" s="17" t="s">
        <v>952</v>
      </c>
      <c r="N2139" s="17" t="n">
        <v>1</v>
      </c>
      <c r="O2139" s="17" t="s">
        <v>611</v>
      </c>
      <c r="P2139" s="17" t="n">
        <v>11</v>
      </c>
      <c r="Q2139" s="17" t="s">
        <v>953</v>
      </c>
      <c r="R2139" s="17" t="s">
        <v>35</v>
      </c>
      <c r="S2139" s="17" t="s">
        <v>613</v>
      </c>
      <c r="T2139" s="18" t="s">
        <v>248</v>
      </c>
      <c r="U2139" s="20" t="s">
        <v>122</v>
      </c>
      <c r="V2139" s="17" t="n">
        <v>2</v>
      </c>
      <c r="W2139" s="20" t="s">
        <v>122</v>
      </c>
      <c r="X2139" s="17" t="s">
        <v>100</v>
      </c>
      <c r="Y2139" s="17" t="s">
        <v>978</v>
      </c>
      <c r="Z2139" s="17" t="s">
        <v>97</v>
      </c>
      <c r="AA2139" s="17" t="s">
        <v>919</v>
      </c>
      <c r="AB2139" s="17" t="s">
        <v>41</v>
      </c>
      <c r="AC2139" s="0" t="str">
        <f aca="false">LEFT(G2139,2)</f>
        <v>86</v>
      </c>
    </row>
    <row r="2140" customFormat="false" ht="15" hidden="false" customHeight="false" outlineLevel="0" collapsed="false">
      <c r="A2140" s="13" t="n">
        <f aca="false">1+A2139</f>
        <v>2138</v>
      </c>
      <c r="B2140" s="14" t="n">
        <v>1009623786</v>
      </c>
      <c r="C2140" s="15" t="s">
        <v>163</v>
      </c>
      <c r="D2140" s="16" t="s">
        <v>64</v>
      </c>
      <c r="E2140" s="17" t="s">
        <v>64</v>
      </c>
      <c r="F2140" s="18" t="s">
        <v>34</v>
      </c>
      <c r="G2140" s="19" t="n">
        <v>867194103281</v>
      </c>
      <c r="H2140" s="17" t="s">
        <v>35</v>
      </c>
      <c r="I2140" s="17" t="s">
        <v>72</v>
      </c>
      <c r="J2140" s="17" t="s">
        <v>100</v>
      </c>
      <c r="K2140" s="17" t="s">
        <v>978</v>
      </c>
      <c r="L2140" s="17" t="n">
        <v>5</v>
      </c>
      <c r="M2140" s="17" t="s">
        <v>952</v>
      </c>
      <c r="N2140" s="17" t="n">
        <v>1</v>
      </c>
      <c r="O2140" s="17" t="s">
        <v>611</v>
      </c>
      <c r="P2140" s="17" t="n">
        <v>11</v>
      </c>
      <c r="Q2140" s="17" t="s">
        <v>953</v>
      </c>
      <c r="R2140" s="17" t="s">
        <v>35</v>
      </c>
      <c r="S2140" s="17" t="s">
        <v>613</v>
      </c>
      <c r="T2140" s="18" t="s">
        <v>248</v>
      </c>
      <c r="U2140" s="20" t="s">
        <v>38</v>
      </c>
      <c r="V2140" s="17" t="n">
        <v>4</v>
      </c>
      <c r="W2140" s="20" t="s">
        <v>38</v>
      </c>
      <c r="X2140" s="17" t="s">
        <v>100</v>
      </c>
      <c r="Y2140" s="17" t="s">
        <v>978</v>
      </c>
      <c r="Z2140" s="17" t="s">
        <v>1121</v>
      </c>
      <c r="AA2140" s="17" t="s">
        <v>919</v>
      </c>
      <c r="AB2140" s="17" t="s">
        <v>41</v>
      </c>
      <c r="AC2140" s="0" t="str">
        <f aca="false">LEFT(G2140,2)</f>
        <v>86</v>
      </c>
    </row>
    <row r="2141" customFormat="false" ht="15" hidden="false" customHeight="false" outlineLevel="0" collapsed="false">
      <c r="A2141" s="13" t="n">
        <f aca="false">1+A2140</f>
        <v>2139</v>
      </c>
      <c r="B2141" s="14" t="n">
        <v>1009567470</v>
      </c>
      <c r="C2141" s="15" t="s">
        <v>102</v>
      </c>
      <c r="D2141" s="16" t="s">
        <v>64</v>
      </c>
      <c r="E2141" s="17" t="s">
        <v>64</v>
      </c>
      <c r="F2141" s="18" t="s">
        <v>34</v>
      </c>
      <c r="G2141" s="19" t="n">
        <v>868148168461</v>
      </c>
      <c r="H2141" s="17" t="s">
        <v>35</v>
      </c>
      <c r="I2141" s="17" t="s">
        <v>72</v>
      </c>
      <c r="J2141" s="17" t="s">
        <v>111</v>
      </c>
      <c r="K2141" s="17" t="s">
        <v>958</v>
      </c>
      <c r="L2141" s="17" t="n">
        <v>5</v>
      </c>
      <c r="M2141" s="17" t="s">
        <v>952</v>
      </c>
      <c r="N2141" s="17" t="n">
        <v>1</v>
      </c>
      <c r="O2141" s="17" t="s">
        <v>611</v>
      </c>
      <c r="P2141" s="17" t="n">
        <v>11</v>
      </c>
      <c r="Q2141" s="17" t="s">
        <v>953</v>
      </c>
      <c r="R2141" s="17" t="s">
        <v>35</v>
      </c>
      <c r="S2141" s="17" t="s">
        <v>613</v>
      </c>
      <c r="T2141" s="18" t="s">
        <v>248</v>
      </c>
      <c r="U2141" s="20" t="s">
        <v>122</v>
      </c>
      <c r="V2141" s="17" t="n">
        <v>2</v>
      </c>
      <c r="W2141" s="20" t="s">
        <v>122</v>
      </c>
      <c r="X2141" s="17" t="s">
        <v>111</v>
      </c>
      <c r="Y2141" s="17" t="s">
        <v>958</v>
      </c>
      <c r="Z2141" s="17" t="s">
        <v>1122</v>
      </c>
      <c r="AA2141" s="17" t="s">
        <v>919</v>
      </c>
      <c r="AB2141" s="17" t="s">
        <v>41</v>
      </c>
      <c r="AC2141" s="0" t="str">
        <f aca="false">LEFT(G2141,2)</f>
        <v>86</v>
      </c>
    </row>
    <row r="2142" customFormat="false" ht="15" hidden="false" customHeight="false" outlineLevel="0" collapsed="false">
      <c r="A2142" s="13" t="n">
        <f aca="false">1+A2141</f>
        <v>2140</v>
      </c>
      <c r="B2142" s="14" t="n">
        <v>1009327429</v>
      </c>
      <c r="C2142" s="15" t="s">
        <v>85</v>
      </c>
      <c r="D2142" s="16" t="s">
        <v>64</v>
      </c>
      <c r="E2142" s="17" t="s">
        <v>64</v>
      </c>
      <c r="F2142" s="18" t="s">
        <v>34</v>
      </c>
      <c r="G2142" s="19" t="n">
        <v>864256151373</v>
      </c>
      <c r="H2142" s="17" t="s">
        <v>35</v>
      </c>
      <c r="I2142" s="17" t="s">
        <v>72</v>
      </c>
      <c r="J2142" s="17" t="s">
        <v>111</v>
      </c>
      <c r="K2142" s="17" t="s">
        <v>958</v>
      </c>
      <c r="L2142" s="17" t="n">
        <v>5</v>
      </c>
      <c r="M2142" s="17" t="s">
        <v>952</v>
      </c>
      <c r="N2142" s="17" t="n">
        <v>1</v>
      </c>
      <c r="O2142" s="17" t="s">
        <v>611</v>
      </c>
      <c r="P2142" s="17" t="n">
        <v>11</v>
      </c>
      <c r="Q2142" s="17" t="s">
        <v>953</v>
      </c>
      <c r="R2142" s="17" t="s">
        <v>35</v>
      </c>
      <c r="S2142" s="17" t="s">
        <v>613</v>
      </c>
      <c r="T2142" s="18" t="s">
        <v>248</v>
      </c>
      <c r="U2142" s="20" t="s">
        <v>122</v>
      </c>
      <c r="V2142" s="17" t="n">
        <v>2</v>
      </c>
      <c r="W2142" s="20" t="s">
        <v>122</v>
      </c>
      <c r="X2142" s="17" t="s">
        <v>111</v>
      </c>
      <c r="Y2142" s="17" t="s">
        <v>958</v>
      </c>
      <c r="Z2142" s="17" t="s">
        <v>1123</v>
      </c>
      <c r="AA2142" s="17" t="s">
        <v>919</v>
      </c>
      <c r="AB2142" s="17" t="s">
        <v>41</v>
      </c>
      <c r="AC2142" s="0" t="str">
        <f aca="false">LEFT(G2142,2)</f>
        <v>86</v>
      </c>
    </row>
    <row r="2143" customFormat="false" ht="15" hidden="false" customHeight="false" outlineLevel="0" collapsed="false">
      <c r="A2143" s="13" t="n">
        <f aca="false">1+A2142</f>
        <v>2141</v>
      </c>
      <c r="B2143" s="14" t="n">
        <v>1009620350</v>
      </c>
      <c r="C2143" s="15" t="s">
        <v>184</v>
      </c>
      <c r="D2143" s="16" t="s">
        <v>64</v>
      </c>
      <c r="E2143" s="17" t="s">
        <v>64</v>
      </c>
      <c r="F2143" s="18" t="s">
        <v>34</v>
      </c>
      <c r="G2143" s="19" t="n">
        <v>867231173594</v>
      </c>
      <c r="H2143" s="17" t="s">
        <v>35</v>
      </c>
      <c r="I2143" s="17" t="s">
        <v>72</v>
      </c>
      <c r="J2143" s="17" t="s">
        <v>100</v>
      </c>
      <c r="K2143" s="17" t="s">
        <v>978</v>
      </c>
      <c r="L2143" s="17" t="n">
        <v>5</v>
      </c>
      <c r="M2143" s="17" t="s">
        <v>952</v>
      </c>
      <c r="N2143" s="17" t="n">
        <v>1</v>
      </c>
      <c r="O2143" s="17" t="s">
        <v>611</v>
      </c>
      <c r="P2143" s="17" t="n">
        <v>11</v>
      </c>
      <c r="Q2143" s="17" t="s">
        <v>953</v>
      </c>
      <c r="R2143" s="17" t="s">
        <v>35</v>
      </c>
      <c r="S2143" s="17" t="s">
        <v>613</v>
      </c>
      <c r="T2143" s="18" t="s">
        <v>248</v>
      </c>
      <c r="U2143" s="20" t="s">
        <v>122</v>
      </c>
      <c r="V2143" s="17" t="n">
        <v>2</v>
      </c>
      <c r="W2143" s="20" t="s">
        <v>122</v>
      </c>
      <c r="X2143" s="17" t="s">
        <v>100</v>
      </c>
      <c r="Y2143" s="17" t="s">
        <v>978</v>
      </c>
      <c r="Z2143" s="17" t="s">
        <v>980</v>
      </c>
      <c r="AA2143" s="17" t="s">
        <v>919</v>
      </c>
      <c r="AB2143" s="17" t="s">
        <v>41</v>
      </c>
      <c r="AC2143" s="0" t="str">
        <f aca="false">LEFT(G2143,2)</f>
        <v>86</v>
      </c>
    </row>
    <row r="2144" customFormat="false" ht="15" hidden="false" customHeight="false" outlineLevel="0" collapsed="false">
      <c r="A2144" s="13" t="n">
        <f aca="false">1+A2143</f>
        <v>2142</v>
      </c>
      <c r="B2144" s="14" t="n">
        <v>1009488216</v>
      </c>
      <c r="C2144" s="15" t="s">
        <v>220</v>
      </c>
      <c r="D2144" s="16" t="s">
        <v>64</v>
      </c>
      <c r="E2144" s="17" t="s">
        <v>64</v>
      </c>
      <c r="F2144" s="18" t="s">
        <v>34</v>
      </c>
      <c r="G2144" s="19" t="n">
        <v>867158120172</v>
      </c>
      <c r="H2144" s="17" t="s">
        <v>35</v>
      </c>
      <c r="I2144" s="17" t="s">
        <v>72</v>
      </c>
      <c r="J2144" s="17" t="s">
        <v>100</v>
      </c>
      <c r="K2144" s="17" t="s">
        <v>978</v>
      </c>
      <c r="L2144" s="17" t="n">
        <v>5</v>
      </c>
      <c r="M2144" s="17" t="s">
        <v>952</v>
      </c>
      <c r="N2144" s="17" t="n">
        <v>1</v>
      </c>
      <c r="O2144" s="17" t="s">
        <v>611</v>
      </c>
      <c r="P2144" s="17" t="n">
        <v>12</v>
      </c>
      <c r="Q2144" s="17" t="s">
        <v>612</v>
      </c>
      <c r="R2144" s="17" t="s">
        <v>35</v>
      </c>
      <c r="S2144" s="17" t="s">
        <v>613</v>
      </c>
      <c r="T2144" s="18" t="s">
        <v>135</v>
      </c>
      <c r="U2144" s="20" t="s">
        <v>248</v>
      </c>
      <c r="V2144" s="17" t="n">
        <v>11</v>
      </c>
      <c r="W2144" s="20" t="s">
        <v>248</v>
      </c>
      <c r="X2144" s="17" t="s">
        <v>100</v>
      </c>
      <c r="Y2144" s="17" t="s">
        <v>978</v>
      </c>
      <c r="Z2144" s="17" t="s">
        <v>246</v>
      </c>
      <c r="AA2144" s="17" t="s">
        <v>919</v>
      </c>
      <c r="AB2144" s="17" t="s">
        <v>41</v>
      </c>
      <c r="AC2144" s="0" t="str">
        <f aca="false">LEFT(G2144,2)</f>
        <v>86</v>
      </c>
    </row>
    <row r="2145" customFormat="false" ht="15" hidden="false" customHeight="false" outlineLevel="0" collapsed="false">
      <c r="A2145" s="13" t="n">
        <f aca="false">1+A2144</f>
        <v>2143</v>
      </c>
      <c r="B2145" s="14" t="n">
        <v>1009611325</v>
      </c>
      <c r="C2145" s="15" t="s">
        <v>181</v>
      </c>
      <c r="D2145" s="16" t="s">
        <v>64</v>
      </c>
      <c r="E2145" s="17" t="s">
        <v>64</v>
      </c>
      <c r="F2145" s="18" t="s">
        <v>34</v>
      </c>
      <c r="G2145" s="19" t="n">
        <v>866303108405</v>
      </c>
      <c r="H2145" s="17" t="s">
        <v>35</v>
      </c>
      <c r="I2145" s="17" t="s">
        <v>72</v>
      </c>
      <c r="J2145" s="17" t="s">
        <v>100</v>
      </c>
      <c r="K2145" s="17" t="s">
        <v>978</v>
      </c>
      <c r="L2145" s="17" t="n">
        <v>5</v>
      </c>
      <c r="M2145" s="17" t="s">
        <v>952</v>
      </c>
      <c r="N2145" s="17" t="n">
        <v>1</v>
      </c>
      <c r="O2145" s="17" t="s">
        <v>611</v>
      </c>
      <c r="P2145" s="17" t="n">
        <v>11</v>
      </c>
      <c r="Q2145" s="17" t="s">
        <v>953</v>
      </c>
      <c r="R2145" s="17" t="s">
        <v>35</v>
      </c>
      <c r="S2145" s="17" t="s">
        <v>613</v>
      </c>
      <c r="T2145" s="18" t="s">
        <v>248</v>
      </c>
      <c r="U2145" s="20" t="s">
        <v>122</v>
      </c>
      <c r="V2145" s="17" t="n">
        <v>2</v>
      </c>
      <c r="W2145" s="20" t="s">
        <v>122</v>
      </c>
      <c r="X2145" s="17" t="s">
        <v>100</v>
      </c>
      <c r="Y2145" s="17" t="s">
        <v>978</v>
      </c>
      <c r="Z2145" s="17" t="s">
        <v>1124</v>
      </c>
      <c r="AA2145" s="17" t="s">
        <v>919</v>
      </c>
      <c r="AB2145" s="17" t="s">
        <v>41</v>
      </c>
      <c r="AC2145" s="0" t="str">
        <f aca="false">LEFT(G2145,2)</f>
        <v>86</v>
      </c>
      <c r="AD2145" s="0"/>
    </row>
    <row r="2146" customFormat="false" ht="15" hidden="false" customHeight="false" outlineLevel="0" collapsed="false">
      <c r="A2146" s="13" t="n">
        <f aca="false">1+A2145</f>
        <v>2144</v>
      </c>
      <c r="B2146" s="14" t="n">
        <v>1009674052</v>
      </c>
      <c r="C2146" s="15" t="s">
        <v>436</v>
      </c>
      <c r="D2146" s="16" t="s">
        <v>60</v>
      </c>
      <c r="E2146" s="17" t="s">
        <v>109</v>
      </c>
      <c r="F2146" s="18" t="s">
        <v>34</v>
      </c>
      <c r="G2146" s="19" t="n">
        <v>865307248647</v>
      </c>
      <c r="H2146" s="17" t="s">
        <v>35</v>
      </c>
      <c r="I2146" s="17" t="s">
        <v>72</v>
      </c>
      <c r="J2146" s="17" t="s">
        <v>100</v>
      </c>
      <c r="K2146" s="17" t="s">
        <v>978</v>
      </c>
      <c r="L2146" s="17" t="n">
        <v>5</v>
      </c>
      <c r="M2146" s="17" t="s">
        <v>952</v>
      </c>
      <c r="N2146" s="17" t="n">
        <v>1</v>
      </c>
      <c r="O2146" s="17" t="s">
        <v>611</v>
      </c>
      <c r="P2146" s="17" t="n">
        <v>11</v>
      </c>
      <c r="Q2146" s="17" t="s">
        <v>953</v>
      </c>
      <c r="R2146" s="17" t="s">
        <v>35</v>
      </c>
      <c r="S2146" s="17" t="s">
        <v>613</v>
      </c>
      <c r="T2146" s="18" t="s">
        <v>248</v>
      </c>
      <c r="U2146" s="20" t="s">
        <v>122</v>
      </c>
      <c r="V2146" s="17" t="n">
        <v>2</v>
      </c>
      <c r="W2146" s="20" t="s">
        <v>122</v>
      </c>
      <c r="X2146" s="17" t="s">
        <v>100</v>
      </c>
      <c r="Y2146" s="17" t="s">
        <v>978</v>
      </c>
      <c r="Z2146" s="17" t="s">
        <v>276</v>
      </c>
      <c r="AA2146" s="17" t="s">
        <v>919</v>
      </c>
      <c r="AB2146" s="17" t="s">
        <v>41</v>
      </c>
      <c r="AC2146" s="0" t="str">
        <f aca="false">LEFT(G2146,2)</f>
        <v>86</v>
      </c>
      <c r="AD2146" s="0"/>
    </row>
    <row r="2147" customFormat="false" ht="15" hidden="false" customHeight="false" outlineLevel="0" collapsed="false">
      <c r="A2147" s="13" t="n">
        <f aca="false">1+A2146</f>
        <v>2145</v>
      </c>
      <c r="B2147" s="14" t="n">
        <v>1009429913</v>
      </c>
      <c r="C2147" s="15" t="s">
        <v>31</v>
      </c>
      <c r="D2147" s="16" t="s">
        <v>64</v>
      </c>
      <c r="E2147" s="17" t="s">
        <v>64</v>
      </c>
      <c r="F2147" s="18" t="s">
        <v>34</v>
      </c>
      <c r="G2147" s="19" t="n">
        <v>867109107484</v>
      </c>
      <c r="H2147" s="17" t="s">
        <v>35</v>
      </c>
      <c r="I2147" s="17" t="s">
        <v>72</v>
      </c>
      <c r="J2147" s="17" t="s">
        <v>111</v>
      </c>
      <c r="K2147" s="17" t="s">
        <v>958</v>
      </c>
      <c r="L2147" s="17" t="n">
        <v>5</v>
      </c>
      <c r="M2147" s="17" t="s">
        <v>952</v>
      </c>
      <c r="N2147" s="17" t="n">
        <v>1</v>
      </c>
      <c r="O2147" s="17" t="s">
        <v>611</v>
      </c>
      <c r="P2147" s="17" t="n">
        <v>11</v>
      </c>
      <c r="Q2147" s="17" t="s">
        <v>953</v>
      </c>
      <c r="R2147" s="17" t="s">
        <v>35</v>
      </c>
      <c r="S2147" s="17" t="s">
        <v>613</v>
      </c>
      <c r="T2147" s="18" t="s">
        <v>248</v>
      </c>
      <c r="U2147" s="20" t="s">
        <v>38</v>
      </c>
      <c r="V2147" s="17" t="n">
        <v>4</v>
      </c>
      <c r="W2147" s="20" t="s">
        <v>38</v>
      </c>
      <c r="X2147" s="17" t="s">
        <v>111</v>
      </c>
      <c r="Y2147" s="17" t="s">
        <v>958</v>
      </c>
      <c r="Z2147" s="17" t="s">
        <v>1118</v>
      </c>
      <c r="AA2147" s="17" t="s">
        <v>919</v>
      </c>
      <c r="AB2147" s="17" t="s">
        <v>41</v>
      </c>
      <c r="AC2147" s="0" t="str">
        <f aca="false">LEFT(G2147,2)</f>
        <v>86</v>
      </c>
      <c r="AD2147" s="0"/>
    </row>
    <row r="2148" customFormat="false" ht="15" hidden="false" customHeight="false" outlineLevel="0" collapsed="false">
      <c r="A2148" s="13" t="n">
        <f aca="false">1+A2147</f>
        <v>2146</v>
      </c>
      <c r="B2148" s="14" t="n">
        <v>1009566216</v>
      </c>
      <c r="C2148" s="15" t="s">
        <v>102</v>
      </c>
      <c r="D2148" s="16" t="s">
        <v>64</v>
      </c>
      <c r="E2148" s="17" t="s">
        <v>64</v>
      </c>
      <c r="F2148" s="18" t="s">
        <v>34</v>
      </c>
      <c r="G2148" s="19" t="n">
        <v>865244148637</v>
      </c>
      <c r="H2148" s="17" t="s">
        <v>35</v>
      </c>
      <c r="I2148" s="17" t="s">
        <v>72</v>
      </c>
      <c r="J2148" s="17" t="s">
        <v>100</v>
      </c>
      <c r="K2148" s="17" t="s">
        <v>978</v>
      </c>
      <c r="L2148" s="17" t="n">
        <v>5</v>
      </c>
      <c r="M2148" s="17" t="s">
        <v>952</v>
      </c>
      <c r="N2148" s="17" t="n">
        <v>1</v>
      </c>
      <c r="O2148" s="17" t="s">
        <v>611</v>
      </c>
      <c r="P2148" s="17" t="n">
        <v>11</v>
      </c>
      <c r="Q2148" s="17" t="s">
        <v>953</v>
      </c>
      <c r="R2148" s="17" t="s">
        <v>35</v>
      </c>
      <c r="S2148" s="17" t="s">
        <v>613</v>
      </c>
      <c r="T2148" s="18" t="s">
        <v>248</v>
      </c>
      <c r="U2148" s="20" t="s">
        <v>122</v>
      </c>
      <c r="V2148" s="17" t="n">
        <v>2</v>
      </c>
      <c r="W2148" s="20" t="s">
        <v>122</v>
      </c>
      <c r="X2148" s="17" t="s">
        <v>100</v>
      </c>
      <c r="Y2148" s="17" t="s">
        <v>978</v>
      </c>
      <c r="Z2148" s="17" t="s">
        <v>276</v>
      </c>
      <c r="AA2148" s="17" t="s">
        <v>919</v>
      </c>
      <c r="AB2148" s="17" t="s">
        <v>41</v>
      </c>
      <c r="AC2148" s="0" t="str">
        <f aca="false">LEFT(G2148,2)</f>
        <v>86</v>
      </c>
      <c r="AD2148" s="0"/>
    </row>
    <row r="2149" customFormat="false" ht="15" hidden="false" customHeight="false" outlineLevel="0" collapsed="false">
      <c r="A2149" s="13" t="n">
        <f aca="false">1+A2148</f>
        <v>2147</v>
      </c>
      <c r="B2149" s="14" t="n">
        <v>1009678563</v>
      </c>
      <c r="C2149" s="15" t="s">
        <v>436</v>
      </c>
      <c r="D2149" s="16" t="s">
        <v>64</v>
      </c>
      <c r="E2149" s="17" t="s">
        <v>47</v>
      </c>
      <c r="F2149" s="18" t="s">
        <v>34</v>
      </c>
      <c r="G2149" s="19" t="n">
        <v>867279154092</v>
      </c>
      <c r="H2149" s="17" t="s">
        <v>35</v>
      </c>
      <c r="I2149" s="17" t="s">
        <v>72</v>
      </c>
      <c r="J2149" s="17" t="s">
        <v>239</v>
      </c>
      <c r="K2149" s="17" t="s">
        <v>951</v>
      </c>
      <c r="L2149" s="17" t="n">
        <v>5</v>
      </c>
      <c r="M2149" s="17" t="s">
        <v>952</v>
      </c>
      <c r="N2149" s="17" t="n">
        <v>24</v>
      </c>
      <c r="O2149" s="17" t="s">
        <v>975</v>
      </c>
      <c r="P2149" s="17" t="n">
        <v>11</v>
      </c>
      <c r="Q2149" s="17" t="s">
        <v>953</v>
      </c>
      <c r="R2149" s="17" t="s">
        <v>35</v>
      </c>
      <c r="S2149" s="17" t="s">
        <v>613</v>
      </c>
      <c r="T2149" s="18" t="s">
        <v>248</v>
      </c>
      <c r="U2149" s="20" t="s">
        <v>122</v>
      </c>
      <c r="V2149" s="17" t="n">
        <v>2</v>
      </c>
      <c r="W2149" s="20" t="s">
        <v>122</v>
      </c>
      <c r="X2149" s="17" t="s">
        <v>239</v>
      </c>
      <c r="Y2149" s="17" t="s">
        <v>951</v>
      </c>
      <c r="Z2149" s="17" t="s">
        <v>1125</v>
      </c>
      <c r="AA2149" s="17" t="s">
        <v>919</v>
      </c>
      <c r="AB2149" s="17" t="s">
        <v>41</v>
      </c>
      <c r="AC2149" s="0" t="str">
        <f aca="false">LEFT(G2149,2)</f>
        <v>86</v>
      </c>
      <c r="AD2149" s="0"/>
    </row>
    <row r="2150" customFormat="false" ht="15" hidden="false" customHeight="false" outlineLevel="0" collapsed="false">
      <c r="A2150" s="13" t="n">
        <f aca="false">1+A2149</f>
        <v>2148</v>
      </c>
      <c r="B2150" s="14" t="n">
        <v>1009665631</v>
      </c>
      <c r="C2150" s="15" t="s">
        <v>436</v>
      </c>
      <c r="D2150" s="16" t="s">
        <v>154</v>
      </c>
      <c r="E2150" s="17" t="s">
        <v>176</v>
      </c>
      <c r="F2150" s="18" t="s">
        <v>34</v>
      </c>
      <c r="G2150" s="19" t="n">
        <v>865282122882</v>
      </c>
      <c r="H2150" s="17" t="s">
        <v>35</v>
      </c>
      <c r="I2150" s="17" t="s">
        <v>72</v>
      </c>
      <c r="J2150" s="17" t="s">
        <v>100</v>
      </c>
      <c r="K2150" s="17" t="s">
        <v>978</v>
      </c>
      <c r="L2150" s="17" t="n">
        <v>5</v>
      </c>
      <c r="M2150" s="17" t="s">
        <v>952</v>
      </c>
      <c r="N2150" s="17" t="n">
        <v>1</v>
      </c>
      <c r="O2150" s="17" t="s">
        <v>611</v>
      </c>
      <c r="P2150" s="17" t="n">
        <v>11</v>
      </c>
      <c r="Q2150" s="17" t="s">
        <v>953</v>
      </c>
      <c r="R2150" s="17" t="s">
        <v>35</v>
      </c>
      <c r="S2150" s="17" t="s">
        <v>613</v>
      </c>
      <c r="T2150" s="18" t="s">
        <v>248</v>
      </c>
      <c r="U2150" s="20" t="s">
        <v>122</v>
      </c>
      <c r="V2150" s="17" t="n">
        <v>2</v>
      </c>
      <c r="W2150" s="20" t="s">
        <v>122</v>
      </c>
      <c r="X2150" s="17" t="s">
        <v>100</v>
      </c>
      <c r="Y2150" s="17" t="s">
        <v>978</v>
      </c>
      <c r="Z2150" s="17" t="s">
        <v>1126</v>
      </c>
      <c r="AA2150" s="17" t="s">
        <v>919</v>
      </c>
      <c r="AB2150" s="17" t="s">
        <v>41</v>
      </c>
      <c r="AC2150" s="0" t="str">
        <f aca="false">LEFT(G2150,2)</f>
        <v>86</v>
      </c>
      <c r="AD2150" s="0"/>
    </row>
    <row r="2151" customFormat="false" ht="15" hidden="false" customHeight="false" outlineLevel="0" collapsed="false">
      <c r="A2151" s="13" t="n">
        <f aca="false">1+A2150</f>
        <v>2149</v>
      </c>
      <c r="B2151" s="14" t="n">
        <v>1009580471</v>
      </c>
      <c r="C2151" s="15" t="s">
        <v>104</v>
      </c>
      <c r="D2151" s="16" t="s">
        <v>64</v>
      </c>
      <c r="E2151" s="17" t="s">
        <v>64</v>
      </c>
      <c r="F2151" s="18" t="s">
        <v>34</v>
      </c>
      <c r="G2151" s="19" t="n">
        <v>865236153983</v>
      </c>
      <c r="H2151" s="17" t="s">
        <v>35</v>
      </c>
      <c r="I2151" s="17" t="s">
        <v>72</v>
      </c>
      <c r="J2151" s="17" t="s">
        <v>100</v>
      </c>
      <c r="K2151" s="17" t="s">
        <v>978</v>
      </c>
      <c r="L2151" s="17" t="n">
        <v>5</v>
      </c>
      <c r="M2151" s="17" t="s">
        <v>952</v>
      </c>
      <c r="N2151" s="17" t="n">
        <v>1</v>
      </c>
      <c r="O2151" s="17" t="s">
        <v>611</v>
      </c>
      <c r="P2151" s="17" t="n">
        <v>11</v>
      </c>
      <c r="Q2151" s="17" t="s">
        <v>953</v>
      </c>
      <c r="R2151" s="17" t="s">
        <v>35</v>
      </c>
      <c r="S2151" s="17" t="s">
        <v>613</v>
      </c>
      <c r="T2151" s="18" t="s">
        <v>248</v>
      </c>
      <c r="U2151" s="20" t="s">
        <v>122</v>
      </c>
      <c r="V2151" s="17" t="n">
        <v>2</v>
      </c>
      <c r="W2151" s="20" t="s">
        <v>122</v>
      </c>
      <c r="X2151" s="17" t="s">
        <v>100</v>
      </c>
      <c r="Y2151" s="17" t="s">
        <v>978</v>
      </c>
      <c r="Z2151" s="17" t="s">
        <v>222</v>
      </c>
      <c r="AA2151" s="17" t="s">
        <v>919</v>
      </c>
      <c r="AB2151" s="17" t="s">
        <v>41</v>
      </c>
      <c r="AC2151" s="0" t="str">
        <f aca="false">LEFT(G2151,2)</f>
        <v>86</v>
      </c>
      <c r="AD2151" s="0"/>
    </row>
    <row r="2152" customFormat="false" ht="15" hidden="false" customHeight="false" outlineLevel="0" collapsed="false">
      <c r="A2152" s="13" t="n">
        <f aca="false">1+A2151</f>
        <v>2150</v>
      </c>
      <c r="B2152" s="14" t="n">
        <v>1009507318</v>
      </c>
      <c r="C2152" s="15" t="s">
        <v>181</v>
      </c>
      <c r="D2152" s="16" t="s">
        <v>64</v>
      </c>
      <c r="E2152" s="17" t="s">
        <v>47</v>
      </c>
      <c r="F2152" s="18" t="s">
        <v>34</v>
      </c>
      <c r="G2152" s="19" t="n">
        <v>866256150693</v>
      </c>
      <c r="H2152" s="17" t="s">
        <v>35</v>
      </c>
      <c r="I2152" s="17" t="s">
        <v>72</v>
      </c>
      <c r="J2152" s="17" t="s">
        <v>267</v>
      </c>
      <c r="K2152" s="17" t="s">
        <v>960</v>
      </c>
      <c r="L2152" s="17" t="n">
        <v>5</v>
      </c>
      <c r="M2152" s="17" t="s">
        <v>952</v>
      </c>
      <c r="N2152" s="17" t="n">
        <v>1</v>
      </c>
      <c r="O2152" s="17" t="s">
        <v>611</v>
      </c>
      <c r="P2152" s="17" t="n">
        <v>11</v>
      </c>
      <c r="Q2152" s="17" t="s">
        <v>953</v>
      </c>
      <c r="R2152" s="17" t="s">
        <v>35</v>
      </c>
      <c r="S2152" s="17" t="s">
        <v>613</v>
      </c>
      <c r="T2152" s="18" t="s">
        <v>248</v>
      </c>
      <c r="U2152" s="20" t="s">
        <v>38</v>
      </c>
      <c r="V2152" s="17" t="n">
        <v>4</v>
      </c>
      <c r="W2152" s="20" t="s">
        <v>38</v>
      </c>
      <c r="X2152" s="17" t="s">
        <v>267</v>
      </c>
      <c r="Y2152" s="17" t="s">
        <v>960</v>
      </c>
      <c r="Z2152" s="17" t="s">
        <v>1127</v>
      </c>
      <c r="AA2152" s="17" t="s">
        <v>919</v>
      </c>
      <c r="AB2152" s="17" t="s">
        <v>41</v>
      </c>
      <c r="AC2152" s="0" t="str">
        <f aca="false">LEFT(G2152,2)</f>
        <v>86</v>
      </c>
      <c r="AD2152" s="0"/>
    </row>
    <row r="2153" customFormat="false" ht="15" hidden="false" customHeight="false" outlineLevel="0" collapsed="false">
      <c r="A2153" s="13" t="n">
        <f aca="false">1+A2152</f>
        <v>2151</v>
      </c>
      <c r="B2153" s="14" t="n">
        <v>1009389600</v>
      </c>
      <c r="C2153" s="15" t="s">
        <v>423</v>
      </c>
      <c r="D2153" s="16" t="s">
        <v>64</v>
      </c>
      <c r="E2153" s="17" t="s">
        <v>47</v>
      </c>
      <c r="F2153" s="18" t="s">
        <v>34</v>
      </c>
      <c r="G2153" s="19" t="n">
        <v>866058100540</v>
      </c>
      <c r="H2153" s="17" t="s">
        <v>35</v>
      </c>
      <c r="I2153" s="17" t="s">
        <v>72</v>
      </c>
      <c r="J2153" s="17" t="s">
        <v>121</v>
      </c>
      <c r="K2153" s="17" t="s">
        <v>955</v>
      </c>
      <c r="L2153" s="17" t="n">
        <v>5</v>
      </c>
      <c r="M2153" s="17" t="s">
        <v>952</v>
      </c>
      <c r="N2153" s="17" t="n">
        <v>1</v>
      </c>
      <c r="O2153" s="17" t="s">
        <v>611</v>
      </c>
      <c r="P2153" s="17" t="n">
        <v>11</v>
      </c>
      <c r="Q2153" s="17" t="s">
        <v>953</v>
      </c>
      <c r="R2153" s="17" t="s">
        <v>35</v>
      </c>
      <c r="S2153" s="17" t="s">
        <v>613</v>
      </c>
      <c r="T2153" s="18" t="s">
        <v>248</v>
      </c>
      <c r="U2153" s="20" t="s">
        <v>122</v>
      </c>
      <c r="V2153" s="17" t="n">
        <v>2</v>
      </c>
      <c r="W2153" s="20" t="s">
        <v>122</v>
      </c>
      <c r="X2153" s="17" t="s">
        <v>121</v>
      </c>
      <c r="Y2153" s="17" t="s">
        <v>955</v>
      </c>
      <c r="Z2153" s="17" t="s">
        <v>1112</v>
      </c>
      <c r="AA2153" s="17" t="s">
        <v>919</v>
      </c>
      <c r="AB2153" s="17" t="s">
        <v>41</v>
      </c>
      <c r="AC2153" s="0" t="str">
        <f aca="false">LEFT(G2153,2)</f>
        <v>86</v>
      </c>
      <c r="AD2153" s="0"/>
    </row>
    <row r="2154" customFormat="false" ht="15" hidden="false" customHeight="false" outlineLevel="0" collapsed="false">
      <c r="A2154" s="13" t="n">
        <f aca="false">1+A2153</f>
        <v>2152</v>
      </c>
      <c r="B2154" s="14" t="n">
        <v>1009684914</v>
      </c>
      <c r="C2154" s="15" t="s">
        <v>449</v>
      </c>
      <c r="D2154" s="16" t="s">
        <v>167</v>
      </c>
      <c r="E2154" s="17" t="s">
        <v>47</v>
      </c>
      <c r="F2154" s="18" t="s">
        <v>34</v>
      </c>
      <c r="G2154" s="19" t="n">
        <v>865287230649</v>
      </c>
      <c r="H2154" s="17" t="s">
        <v>35</v>
      </c>
      <c r="I2154" s="17" t="s">
        <v>72</v>
      </c>
      <c r="J2154" s="17" t="s">
        <v>100</v>
      </c>
      <c r="K2154" s="17" t="s">
        <v>978</v>
      </c>
      <c r="L2154" s="17" t="n">
        <v>5</v>
      </c>
      <c r="M2154" s="17" t="s">
        <v>952</v>
      </c>
      <c r="N2154" s="17" t="n">
        <v>1</v>
      </c>
      <c r="O2154" s="17" t="s">
        <v>611</v>
      </c>
      <c r="P2154" s="17" t="n">
        <v>11</v>
      </c>
      <c r="Q2154" s="17" t="s">
        <v>953</v>
      </c>
      <c r="R2154" s="17" t="s">
        <v>35</v>
      </c>
      <c r="S2154" s="17" t="s">
        <v>613</v>
      </c>
      <c r="T2154" s="18" t="s">
        <v>248</v>
      </c>
      <c r="U2154" s="20" t="s">
        <v>122</v>
      </c>
      <c r="V2154" s="17" t="n">
        <v>2</v>
      </c>
      <c r="W2154" s="20" t="s">
        <v>122</v>
      </c>
      <c r="X2154" s="17" t="s">
        <v>100</v>
      </c>
      <c r="Y2154" s="17" t="s">
        <v>978</v>
      </c>
      <c r="Z2154" s="17" t="s">
        <v>1115</v>
      </c>
      <c r="AA2154" s="17" t="s">
        <v>919</v>
      </c>
      <c r="AB2154" s="17" t="s">
        <v>41</v>
      </c>
      <c r="AC2154" s="0" t="str">
        <f aca="false">LEFT(G2154,2)</f>
        <v>86</v>
      </c>
      <c r="AD2154" s="0"/>
    </row>
    <row r="2155" customFormat="false" ht="15" hidden="false" customHeight="false" outlineLevel="0" collapsed="false">
      <c r="A2155" s="13" t="n">
        <f aca="false">1+A2154</f>
        <v>2153</v>
      </c>
      <c r="B2155" s="14" t="n">
        <v>1009662544</v>
      </c>
      <c r="C2155" s="15" t="s">
        <v>433</v>
      </c>
      <c r="D2155" s="16" t="s">
        <v>56</v>
      </c>
      <c r="E2155" s="17" t="s">
        <v>47</v>
      </c>
      <c r="F2155" s="18" t="s">
        <v>34</v>
      </c>
      <c r="G2155" s="19" t="n">
        <v>866013129055</v>
      </c>
      <c r="H2155" s="17" t="s">
        <v>35</v>
      </c>
      <c r="I2155" s="17" t="s">
        <v>72</v>
      </c>
      <c r="J2155" s="17" t="s">
        <v>241</v>
      </c>
      <c r="K2155" s="17" t="s">
        <v>992</v>
      </c>
      <c r="L2155" s="17" t="n">
        <v>5</v>
      </c>
      <c r="M2155" s="17" t="s">
        <v>952</v>
      </c>
      <c r="N2155" s="17" t="n">
        <v>1</v>
      </c>
      <c r="O2155" s="17" t="s">
        <v>611</v>
      </c>
      <c r="P2155" s="17" t="n">
        <v>11</v>
      </c>
      <c r="Q2155" s="17" t="s">
        <v>953</v>
      </c>
      <c r="R2155" s="17" t="s">
        <v>35</v>
      </c>
      <c r="S2155" s="17" t="s">
        <v>613</v>
      </c>
      <c r="T2155" s="18" t="s">
        <v>248</v>
      </c>
      <c r="U2155" s="20" t="s">
        <v>199</v>
      </c>
      <c r="V2155" s="17" t="n">
        <v>3</v>
      </c>
      <c r="W2155" s="20" t="s">
        <v>199</v>
      </c>
      <c r="X2155" s="17" t="s">
        <v>241</v>
      </c>
      <c r="Y2155" s="17" t="s">
        <v>992</v>
      </c>
      <c r="Z2155" s="17" t="s">
        <v>266</v>
      </c>
      <c r="AA2155" s="17" t="s">
        <v>919</v>
      </c>
      <c r="AB2155" s="17" t="s">
        <v>41</v>
      </c>
      <c r="AC2155" s="0" t="str">
        <f aca="false">LEFT(G2155,2)</f>
        <v>86</v>
      </c>
      <c r="AD2155" s="0"/>
    </row>
    <row r="2156" customFormat="false" ht="15" hidden="false" customHeight="false" outlineLevel="0" collapsed="false">
      <c r="A2156" s="13" t="n">
        <f aca="false">1+A2155</f>
        <v>2154</v>
      </c>
      <c r="B2156" s="14" t="n">
        <v>1009627311</v>
      </c>
      <c r="C2156" s="15" t="s">
        <v>163</v>
      </c>
      <c r="D2156" s="16" t="s">
        <v>64</v>
      </c>
      <c r="E2156" s="17" t="s">
        <v>64</v>
      </c>
      <c r="F2156" s="18" t="s">
        <v>34</v>
      </c>
      <c r="G2156" s="19" t="n">
        <v>864318122362</v>
      </c>
      <c r="H2156" s="17" t="s">
        <v>35</v>
      </c>
      <c r="I2156" s="17" t="s">
        <v>72</v>
      </c>
      <c r="J2156" s="17" t="s">
        <v>121</v>
      </c>
      <c r="K2156" s="17" t="s">
        <v>955</v>
      </c>
      <c r="L2156" s="17" t="n">
        <v>5</v>
      </c>
      <c r="M2156" s="17" t="s">
        <v>952</v>
      </c>
      <c r="N2156" s="17" t="n">
        <v>24</v>
      </c>
      <c r="O2156" s="17" t="s">
        <v>975</v>
      </c>
      <c r="P2156" s="17" t="n">
        <v>11</v>
      </c>
      <c r="Q2156" s="17" t="s">
        <v>953</v>
      </c>
      <c r="R2156" s="17" t="s">
        <v>35</v>
      </c>
      <c r="S2156" s="17" t="s">
        <v>613</v>
      </c>
      <c r="T2156" s="18" t="s">
        <v>248</v>
      </c>
      <c r="U2156" s="20" t="s">
        <v>122</v>
      </c>
      <c r="V2156" s="17" t="n">
        <v>2</v>
      </c>
      <c r="W2156" s="20" t="s">
        <v>122</v>
      </c>
      <c r="X2156" s="17" t="s">
        <v>121</v>
      </c>
      <c r="Y2156" s="17" t="s">
        <v>955</v>
      </c>
      <c r="Z2156" s="17" t="s">
        <v>246</v>
      </c>
      <c r="AA2156" s="17" t="s">
        <v>919</v>
      </c>
      <c r="AB2156" s="17" t="s">
        <v>41</v>
      </c>
      <c r="AC2156" s="0" t="str">
        <f aca="false">LEFT(G2156,2)</f>
        <v>86</v>
      </c>
      <c r="AD2156" s="0"/>
    </row>
    <row r="2157" customFormat="false" ht="15" hidden="false" customHeight="false" outlineLevel="0" collapsed="false">
      <c r="A2157" s="13" t="n">
        <f aca="false">1+A2156</f>
        <v>2155</v>
      </c>
      <c r="B2157" s="14" t="n">
        <v>1009627309</v>
      </c>
      <c r="C2157" s="15" t="s">
        <v>163</v>
      </c>
      <c r="D2157" s="16" t="s">
        <v>64</v>
      </c>
      <c r="E2157" s="17" t="s">
        <v>64</v>
      </c>
      <c r="F2157" s="18" t="s">
        <v>34</v>
      </c>
      <c r="G2157" s="19" t="n">
        <v>865168115489</v>
      </c>
      <c r="H2157" s="17" t="s">
        <v>35</v>
      </c>
      <c r="I2157" s="17" t="s">
        <v>72</v>
      </c>
      <c r="J2157" s="17" t="s">
        <v>241</v>
      </c>
      <c r="K2157" s="17" t="s">
        <v>992</v>
      </c>
      <c r="L2157" s="17" t="n">
        <v>5</v>
      </c>
      <c r="M2157" s="17" t="s">
        <v>952</v>
      </c>
      <c r="N2157" s="17" t="n">
        <v>1</v>
      </c>
      <c r="O2157" s="17" t="s">
        <v>611</v>
      </c>
      <c r="P2157" s="17" t="n">
        <v>11</v>
      </c>
      <c r="Q2157" s="17" t="s">
        <v>953</v>
      </c>
      <c r="R2157" s="17" t="s">
        <v>35</v>
      </c>
      <c r="S2157" s="17" t="s">
        <v>613</v>
      </c>
      <c r="T2157" s="18" t="s">
        <v>248</v>
      </c>
      <c r="U2157" s="20" t="s">
        <v>122</v>
      </c>
      <c r="V2157" s="17" t="n">
        <v>2</v>
      </c>
      <c r="W2157" s="20" t="s">
        <v>122</v>
      </c>
      <c r="X2157" s="17" t="s">
        <v>241</v>
      </c>
      <c r="Y2157" s="17" t="s">
        <v>992</v>
      </c>
      <c r="Z2157" s="17" t="s">
        <v>819</v>
      </c>
      <c r="AA2157" s="17" t="s">
        <v>919</v>
      </c>
      <c r="AB2157" s="17" t="s">
        <v>41</v>
      </c>
      <c r="AC2157" s="0" t="str">
        <f aca="false">LEFT(G2157,2)</f>
        <v>86</v>
      </c>
      <c r="AD2157" s="0"/>
    </row>
    <row r="2158" customFormat="false" ht="15" hidden="false" customHeight="false" outlineLevel="0" collapsed="false">
      <c r="A2158" s="13" t="n">
        <f aca="false">1+A2157</f>
        <v>2156</v>
      </c>
      <c r="B2158" s="14" t="n">
        <v>1009630737</v>
      </c>
      <c r="C2158" s="15" t="s">
        <v>182</v>
      </c>
      <c r="D2158" s="16" t="s">
        <v>64</v>
      </c>
      <c r="E2158" s="17" t="s">
        <v>33</v>
      </c>
      <c r="F2158" s="18" t="s">
        <v>34</v>
      </c>
      <c r="G2158" s="19" t="n">
        <v>867321147938</v>
      </c>
      <c r="H2158" s="17" t="s">
        <v>35</v>
      </c>
      <c r="I2158" s="17" t="s">
        <v>72</v>
      </c>
      <c r="J2158" s="17" t="s">
        <v>111</v>
      </c>
      <c r="K2158" s="17" t="s">
        <v>958</v>
      </c>
      <c r="L2158" s="17" t="n">
        <v>5</v>
      </c>
      <c r="M2158" s="17" t="s">
        <v>952</v>
      </c>
      <c r="N2158" s="17" t="n">
        <v>1</v>
      </c>
      <c r="O2158" s="17" t="s">
        <v>611</v>
      </c>
      <c r="P2158" s="17" t="n">
        <v>11</v>
      </c>
      <c r="Q2158" s="17" t="s">
        <v>953</v>
      </c>
      <c r="R2158" s="17" t="s">
        <v>35</v>
      </c>
      <c r="S2158" s="17" t="s">
        <v>613</v>
      </c>
      <c r="T2158" s="18" t="s">
        <v>248</v>
      </c>
      <c r="U2158" s="20" t="s">
        <v>122</v>
      </c>
      <c r="V2158" s="17" t="n">
        <v>2</v>
      </c>
      <c r="W2158" s="20" t="s">
        <v>122</v>
      </c>
      <c r="X2158" s="17" t="s">
        <v>111</v>
      </c>
      <c r="Y2158" s="17" t="s">
        <v>958</v>
      </c>
      <c r="Z2158" s="17" t="s">
        <v>266</v>
      </c>
      <c r="AA2158" s="17" t="s">
        <v>919</v>
      </c>
      <c r="AB2158" s="17" t="s">
        <v>41</v>
      </c>
      <c r="AC2158" s="0" t="str">
        <f aca="false">LEFT(G2158,2)</f>
        <v>86</v>
      </c>
      <c r="AD2158" s="0"/>
    </row>
    <row r="2159" customFormat="false" ht="15" hidden="false" customHeight="false" outlineLevel="0" collapsed="false">
      <c r="A2159" s="13" t="n">
        <f aca="false">1+A2158</f>
        <v>2157</v>
      </c>
      <c r="B2159" s="14" t="n">
        <v>1009467257</v>
      </c>
      <c r="C2159" s="15" t="s">
        <v>151</v>
      </c>
      <c r="D2159" s="16" t="s">
        <v>108</v>
      </c>
      <c r="E2159" s="17" t="s">
        <v>47</v>
      </c>
      <c r="F2159" s="18" t="s">
        <v>34</v>
      </c>
      <c r="G2159" s="19" t="n">
        <v>865280386810</v>
      </c>
      <c r="H2159" s="17" t="s">
        <v>35</v>
      </c>
      <c r="I2159" s="17" t="s">
        <v>72</v>
      </c>
      <c r="J2159" s="17" t="s">
        <v>241</v>
      </c>
      <c r="K2159" s="17" t="s">
        <v>992</v>
      </c>
      <c r="L2159" s="17" t="n">
        <v>5</v>
      </c>
      <c r="M2159" s="17" t="s">
        <v>952</v>
      </c>
      <c r="N2159" s="17" t="n">
        <v>1</v>
      </c>
      <c r="O2159" s="17" t="s">
        <v>611</v>
      </c>
      <c r="P2159" s="17" t="n">
        <v>11</v>
      </c>
      <c r="Q2159" s="17" t="s">
        <v>953</v>
      </c>
      <c r="R2159" s="17" t="s">
        <v>35</v>
      </c>
      <c r="S2159" s="17" t="s">
        <v>613</v>
      </c>
      <c r="T2159" s="18" t="s">
        <v>248</v>
      </c>
      <c r="U2159" s="20" t="s">
        <v>122</v>
      </c>
      <c r="V2159" s="17" t="n">
        <v>2</v>
      </c>
      <c r="W2159" s="20" t="s">
        <v>122</v>
      </c>
      <c r="X2159" s="17" t="s">
        <v>241</v>
      </c>
      <c r="Y2159" s="17" t="s">
        <v>992</v>
      </c>
      <c r="Z2159" s="17" t="s">
        <v>1107</v>
      </c>
      <c r="AA2159" s="17" t="s">
        <v>919</v>
      </c>
      <c r="AB2159" s="17" t="s">
        <v>41</v>
      </c>
      <c r="AC2159" s="0" t="str">
        <f aca="false">LEFT(G2159,2)</f>
        <v>86</v>
      </c>
      <c r="AD2159" s="0"/>
    </row>
    <row r="2160" customFormat="false" ht="15" hidden="false" customHeight="false" outlineLevel="0" collapsed="false">
      <c r="A2160" s="13" t="n">
        <f aca="false">1+A2159</f>
        <v>2158</v>
      </c>
      <c r="B2160" s="14" t="n">
        <v>1009431752</v>
      </c>
      <c r="C2160" s="15" t="s">
        <v>31</v>
      </c>
      <c r="D2160" s="16" t="s">
        <v>213</v>
      </c>
      <c r="E2160" s="17" t="s">
        <v>47</v>
      </c>
      <c r="F2160" s="18" t="s">
        <v>34</v>
      </c>
      <c r="G2160" s="19" t="n">
        <v>865304133735</v>
      </c>
      <c r="H2160" s="17" t="s">
        <v>35</v>
      </c>
      <c r="I2160" s="17" t="s">
        <v>72</v>
      </c>
      <c r="J2160" s="17" t="s">
        <v>121</v>
      </c>
      <c r="K2160" s="17" t="s">
        <v>955</v>
      </c>
      <c r="L2160" s="17" t="n">
        <v>2</v>
      </c>
      <c r="M2160" s="17" t="s">
        <v>981</v>
      </c>
      <c r="N2160" s="17" t="n">
        <v>6</v>
      </c>
      <c r="O2160" s="17" t="s">
        <v>982</v>
      </c>
      <c r="P2160" s="17" t="n">
        <v>11</v>
      </c>
      <c r="Q2160" s="17" t="s">
        <v>953</v>
      </c>
      <c r="R2160" s="17" t="s">
        <v>35</v>
      </c>
      <c r="S2160" s="17" t="s">
        <v>613</v>
      </c>
      <c r="T2160" s="18" t="s">
        <v>248</v>
      </c>
      <c r="U2160" s="20" t="s">
        <v>122</v>
      </c>
      <c r="V2160" s="17" t="n">
        <v>2</v>
      </c>
      <c r="W2160" s="20" t="s">
        <v>122</v>
      </c>
      <c r="X2160" s="17" t="s">
        <v>121</v>
      </c>
      <c r="Y2160" s="17" t="s">
        <v>955</v>
      </c>
      <c r="Z2160" s="17" t="s">
        <v>1015</v>
      </c>
      <c r="AA2160" s="17" t="s">
        <v>919</v>
      </c>
      <c r="AB2160" s="17" t="s">
        <v>41</v>
      </c>
      <c r="AC2160" s="0" t="str">
        <f aca="false">LEFT(G2160,2)</f>
        <v>86</v>
      </c>
      <c r="AD2160" s="0"/>
    </row>
    <row r="2161" customFormat="false" ht="15" hidden="false" customHeight="false" outlineLevel="0" collapsed="false">
      <c r="A2161" s="13" t="n">
        <f aca="false">1+A2160</f>
        <v>2159</v>
      </c>
      <c r="B2161" s="14" t="n">
        <v>1009684262</v>
      </c>
      <c r="C2161" s="15" t="s">
        <v>413</v>
      </c>
      <c r="D2161" s="16" t="s">
        <v>64</v>
      </c>
      <c r="E2161" s="17" t="s">
        <v>64</v>
      </c>
      <c r="F2161" s="18" t="s">
        <v>34</v>
      </c>
      <c r="G2161" s="19" t="n">
        <v>865222138899</v>
      </c>
      <c r="H2161" s="17" t="s">
        <v>35</v>
      </c>
      <c r="I2161" s="17" t="s">
        <v>72</v>
      </c>
      <c r="J2161" s="17" t="s">
        <v>100</v>
      </c>
      <c r="K2161" s="17" t="s">
        <v>978</v>
      </c>
      <c r="L2161" s="17" t="n">
        <v>5</v>
      </c>
      <c r="M2161" s="17" t="s">
        <v>952</v>
      </c>
      <c r="N2161" s="17" t="n">
        <v>1</v>
      </c>
      <c r="O2161" s="17" t="s">
        <v>611</v>
      </c>
      <c r="P2161" s="17" t="n">
        <v>11</v>
      </c>
      <c r="Q2161" s="17" t="s">
        <v>953</v>
      </c>
      <c r="R2161" s="17" t="s">
        <v>35</v>
      </c>
      <c r="S2161" s="17" t="s">
        <v>613</v>
      </c>
      <c r="T2161" s="18" t="s">
        <v>248</v>
      </c>
      <c r="U2161" s="20" t="s">
        <v>122</v>
      </c>
      <c r="V2161" s="17" t="n">
        <v>2</v>
      </c>
      <c r="W2161" s="20" t="s">
        <v>122</v>
      </c>
      <c r="X2161" s="17" t="s">
        <v>100</v>
      </c>
      <c r="Y2161" s="17" t="s">
        <v>978</v>
      </c>
      <c r="Z2161" s="17" t="s">
        <v>1128</v>
      </c>
      <c r="AA2161" s="17" t="s">
        <v>919</v>
      </c>
      <c r="AB2161" s="17" t="s">
        <v>41</v>
      </c>
      <c r="AC2161" s="0" t="str">
        <f aca="false">LEFT(G2161,2)</f>
        <v>86</v>
      </c>
    </row>
    <row r="2162" customFormat="false" ht="15" hidden="false" customHeight="false" outlineLevel="0" collapsed="false">
      <c r="A2162" s="13" t="n">
        <f aca="false">1+A2161</f>
        <v>2160</v>
      </c>
      <c r="B2162" s="14" t="n">
        <v>1009647787</v>
      </c>
      <c r="C2162" s="15" t="s">
        <v>1129</v>
      </c>
      <c r="D2162" s="16" t="s">
        <v>219</v>
      </c>
      <c r="E2162" s="17" t="s">
        <v>47</v>
      </c>
      <c r="F2162" s="18" t="s">
        <v>34</v>
      </c>
      <c r="G2162" s="19" t="n">
        <v>864337284789</v>
      </c>
      <c r="H2162" s="17" t="s">
        <v>35</v>
      </c>
      <c r="I2162" s="17" t="s">
        <v>72</v>
      </c>
      <c r="J2162" s="17" t="s">
        <v>118</v>
      </c>
      <c r="K2162" s="17" t="s">
        <v>609</v>
      </c>
      <c r="L2162" s="17" t="n">
        <v>5</v>
      </c>
      <c r="M2162" s="17" t="s">
        <v>952</v>
      </c>
      <c r="N2162" s="17" t="n">
        <v>1</v>
      </c>
      <c r="O2162" s="17" t="s">
        <v>611</v>
      </c>
      <c r="P2162" s="17" t="n">
        <v>11</v>
      </c>
      <c r="Q2162" s="17" t="s">
        <v>953</v>
      </c>
      <c r="R2162" s="17" t="s">
        <v>35</v>
      </c>
      <c r="S2162" s="17" t="s">
        <v>613</v>
      </c>
      <c r="T2162" s="18" t="s">
        <v>248</v>
      </c>
      <c r="U2162" s="20" t="s">
        <v>122</v>
      </c>
      <c r="V2162" s="17" t="n">
        <v>2</v>
      </c>
      <c r="W2162" s="20" t="s">
        <v>122</v>
      </c>
      <c r="X2162" s="17" t="s">
        <v>118</v>
      </c>
      <c r="Y2162" s="17" t="s">
        <v>609</v>
      </c>
      <c r="Z2162" s="17" t="s">
        <v>266</v>
      </c>
      <c r="AA2162" s="17" t="s">
        <v>919</v>
      </c>
      <c r="AB2162" s="17" t="s">
        <v>41</v>
      </c>
      <c r="AC2162" s="0" t="str">
        <f aca="false">LEFT(G2162,2)</f>
        <v>86</v>
      </c>
    </row>
    <row r="2163" customFormat="false" ht="15" hidden="false" customHeight="false" outlineLevel="0" collapsed="false">
      <c r="A2163" s="13" t="n">
        <f aca="false">1+A2162</f>
        <v>2161</v>
      </c>
      <c r="B2163" s="14" t="n">
        <v>1009622406</v>
      </c>
      <c r="C2163" s="15" t="s">
        <v>182</v>
      </c>
      <c r="D2163" s="16" t="s">
        <v>64</v>
      </c>
      <c r="E2163" s="17" t="s">
        <v>64</v>
      </c>
      <c r="F2163" s="18" t="s">
        <v>34</v>
      </c>
      <c r="G2163" s="19" t="n">
        <v>866083146146</v>
      </c>
      <c r="H2163" s="17" t="s">
        <v>35</v>
      </c>
      <c r="I2163" s="17" t="s">
        <v>72</v>
      </c>
      <c r="J2163" s="17" t="s">
        <v>118</v>
      </c>
      <c r="K2163" s="17" t="s">
        <v>609</v>
      </c>
      <c r="L2163" s="17" t="n">
        <v>7</v>
      </c>
      <c r="M2163" s="17" t="s">
        <v>993</v>
      </c>
      <c r="N2163" s="17" t="n">
        <v>36</v>
      </c>
      <c r="O2163" s="17" t="s">
        <v>994</v>
      </c>
      <c r="P2163" s="17" t="n">
        <v>11</v>
      </c>
      <c r="Q2163" s="17" t="s">
        <v>953</v>
      </c>
      <c r="R2163" s="17" t="s">
        <v>35</v>
      </c>
      <c r="S2163" s="17" t="s">
        <v>613</v>
      </c>
      <c r="T2163" s="18" t="s">
        <v>248</v>
      </c>
      <c r="U2163" s="20" t="s">
        <v>122</v>
      </c>
      <c r="V2163" s="17" t="n">
        <v>2</v>
      </c>
      <c r="W2163" s="20" t="s">
        <v>122</v>
      </c>
      <c r="X2163" s="17" t="s">
        <v>118</v>
      </c>
      <c r="Y2163" s="17" t="s">
        <v>609</v>
      </c>
      <c r="Z2163" s="17" t="s">
        <v>1126</v>
      </c>
      <c r="AA2163" s="17" t="s">
        <v>919</v>
      </c>
      <c r="AB2163" s="17" t="s">
        <v>41</v>
      </c>
      <c r="AC2163" s="0" t="str">
        <f aca="false">LEFT(G2163,2)</f>
        <v>86</v>
      </c>
    </row>
    <row r="2164" customFormat="false" ht="15" hidden="false" customHeight="false" outlineLevel="0" collapsed="false">
      <c r="A2164" s="13" t="n">
        <f aca="false">1+A2163</f>
        <v>2162</v>
      </c>
      <c r="B2164" s="14" t="n">
        <v>1009533808</v>
      </c>
      <c r="C2164" s="15" t="s">
        <v>174</v>
      </c>
      <c r="D2164" s="16" t="s">
        <v>143</v>
      </c>
      <c r="E2164" s="17" t="s">
        <v>47</v>
      </c>
      <c r="F2164" s="18" t="s">
        <v>34</v>
      </c>
      <c r="G2164" s="19" t="n">
        <v>867095146652</v>
      </c>
      <c r="H2164" s="17" t="s">
        <v>35</v>
      </c>
      <c r="I2164" s="17" t="s">
        <v>72</v>
      </c>
      <c r="J2164" s="17" t="s">
        <v>118</v>
      </c>
      <c r="K2164" s="17" t="s">
        <v>609</v>
      </c>
      <c r="L2164" s="17" t="n">
        <v>5</v>
      </c>
      <c r="M2164" s="17" t="s">
        <v>952</v>
      </c>
      <c r="N2164" s="17" t="n">
        <v>1</v>
      </c>
      <c r="O2164" s="17" t="s">
        <v>611</v>
      </c>
      <c r="P2164" s="17" t="n">
        <v>12</v>
      </c>
      <c r="Q2164" s="17" t="s">
        <v>612</v>
      </c>
      <c r="R2164" s="17" t="s">
        <v>35</v>
      </c>
      <c r="S2164" s="17" t="s">
        <v>613</v>
      </c>
      <c r="T2164" s="18" t="s">
        <v>135</v>
      </c>
      <c r="U2164" s="20" t="s">
        <v>248</v>
      </c>
      <c r="V2164" s="17" t="n">
        <v>11</v>
      </c>
      <c r="W2164" s="20" t="s">
        <v>248</v>
      </c>
      <c r="X2164" s="17" t="s">
        <v>118</v>
      </c>
      <c r="Y2164" s="17" t="s">
        <v>609</v>
      </c>
      <c r="Z2164" s="17" t="s">
        <v>251</v>
      </c>
      <c r="AA2164" s="17" t="s">
        <v>919</v>
      </c>
      <c r="AB2164" s="17" t="s">
        <v>41</v>
      </c>
      <c r="AC2164" s="0" t="str">
        <f aca="false">LEFT(G2164,2)</f>
        <v>86</v>
      </c>
    </row>
    <row r="2165" customFormat="false" ht="15" hidden="false" customHeight="false" outlineLevel="0" collapsed="false">
      <c r="A2165" s="13" t="n">
        <f aca="false">1+A2164</f>
        <v>2163</v>
      </c>
      <c r="B2165" s="14" t="n">
        <v>1009622445</v>
      </c>
      <c r="C2165" s="15" t="s">
        <v>184</v>
      </c>
      <c r="D2165" s="16" t="s">
        <v>64</v>
      </c>
      <c r="E2165" s="17" t="s">
        <v>109</v>
      </c>
      <c r="F2165" s="18" t="s">
        <v>34</v>
      </c>
      <c r="G2165" s="19" t="n">
        <v>868168107928</v>
      </c>
      <c r="H2165" s="17" t="s">
        <v>35</v>
      </c>
      <c r="I2165" s="17" t="s">
        <v>72</v>
      </c>
      <c r="J2165" s="17" t="s">
        <v>111</v>
      </c>
      <c r="K2165" s="17" t="s">
        <v>958</v>
      </c>
      <c r="L2165" s="17" t="n">
        <v>1</v>
      </c>
      <c r="M2165" s="17" t="s">
        <v>610</v>
      </c>
      <c r="N2165" s="17" t="n">
        <v>1</v>
      </c>
      <c r="O2165" s="17" t="s">
        <v>611</v>
      </c>
      <c r="P2165" s="17" t="n">
        <v>11</v>
      </c>
      <c r="Q2165" s="17" t="s">
        <v>953</v>
      </c>
      <c r="R2165" s="17" t="s">
        <v>35</v>
      </c>
      <c r="S2165" s="17" t="s">
        <v>613</v>
      </c>
      <c r="T2165" s="18" t="s">
        <v>248</v>
      </c>
      <c r="U2165" s="20" t="s">
        <v>122</v>
      </c>
      <c r="V2165" s="17" t="n">
        <v>2</v>
      </c>
      <c r="W2165" s="20" t="s">
        <v>122</v>
      </c>
      <c r="X2165" s="17" t="s">
        <v>111</v>
      </c>
      <c r="Y2165" s="17" t="s">
        <v>958</v>
      </c>
      <c r="Z2165" s="17" t="s">
        <v>972</v>
      </c>
      <c r="AA2165" s="17" t="s">
        <v>919</v>
      </c>
      <c r="AB2165" s="17" t="s">
        <v>41</v>
      </c>
      <c r="AC2165" s="0" t="str">
        <f aca="false">LEFT(G2165,2)</f>
        <v>86</v>
      </c>
    </row>
    <row r="2166" customFormat="false" ht="15" hidden="false" customHeight="false" outlineLevel="0" collapsed="false">
      <c r="A2166" s="13" t="n">
        <f aca="false">1+A2165</f>
        <v>2164</v>
      </c>
      <c r="B2166" s="14" t="n">
        <v>1009661903</v>
      </c>
      <c r="C2166" s="15" t="s">
        <v>433</v>
      </c>
      <c r="D2166" s="16" t="s">
        <v>478</v>
      </c>
      <c r="E2166" s="17" t="s">
        <v>176</v>
      </c>
      <c r="F2166" s="18" t="s">
        <v>34</v>
      </c>
      <c r="G2166" s="19" t="n">
        <v>865357155759</v>
      </c>
      <c r="H2166" s="17" t="s">
        <v>35</v>
      </c>
      <c r="I2166" s="17" t="s">
        <v>72</v>
      </c>
      <c r="J2166" s="17" t="s">
        <v>267</v>
      </c>
      <c r="K2166" s="17" t="s">
        <v>960</v>
      </c>
      <c r="L2166" s="17" t="n">
        <v>5</v>
      </c>
      <c r="M2166" s="17" t="s">
        <v>952</v>
      </c>
      <c r="N2166" s="17" t="n">
        <v>24</v>
      </c>
      <c r="O2166" s="17" t="s">
        <v>975</v>
      </c>
      <c r="P2166" s="17" t="n">
        <v>11</v>
      </c>
      <c r="Q2166" s="17" t="s">
        <v>953</v>
      </c>
      <c r="R2166" s="17" t="s">
        <v>35</v>
      </c>
      <c r="S2166" s="17" t="s">
        <v>613</v>
      </c>
      <c r="T2166" s="18" t="s">
        <v>248</v>
      </c>
      <c r="U2166" s="20" t="s">
        <v>122</v>
      </c>
      <c r="V2166" s="17" t="n">
        <v>2</v>
      </c>
      <c r="W2166" s="20" t="s">
        <v>122</v>
      </c>
      <c r="X2166" s="17" t="s">
        <v>267</v>
      </c>
      <c r="Y2166" s="17" t="s">
        <v>960</v>
      </c>
      <c r="Z2166" s="17" t="s">
        <v>1130</v>
      </c>
      <c r="AA2166" s="17" t="s">
        <v>919</v>
      </c>
      <c r="AB2166" s="17" t="s">
        <v>41</v>
      </c>
      <c r="AC2166" s="0" t="str">
        <f aca="false">LEFT(G2166,2)</f>
        <v>86</v>
      </c>
    </row>
    <row r="2167" customFormat="false" ht="15" hidden="false" customHeight="false" outlineLevel="0" collapsed="false">
      <c r="A2167" s="13" t="n">
        <f aca="false">1+A2166</f>
        <v>2165</v>
      </c>
      <c r="B2167" s="14" t="n">
        <v>1009615698</v>
      </c>
      <c r="C2167" s="15" t="s">
        <v>184</v>
      </c>
      <c r="D2167" s="16" t="s">
        <v>119</v>
      </c>
      <c r="E2167" s="17" t="s">
        <v>47</v>
      </c>
      <c r="F2167" s="18" t="s">
        <v>34</v>
      </c>
      <c r="G2167" s="19" t="n">
        <v>865286104969</v>
      </c>
      <c r="H2167" s="17" t="s">
        <v>35</v>
      </c>
      <c r="I2167" s="17" t="s">
        <v>72</v>
      </c>
      <c r="J2167" s="17" t="s">
        <v>100</v>
      </c>
      <c r="K2167" s="17" t="s">
        <v>978</v>
      </c>
      <c r="L2167" s="17" t="n">
        <v>5</v>
      </c>
      <c r="M2167" s="17" t="s">
        <v>952</v>
      </c>
      <c r="N2167" s="17" t="n">
        <v>1</v>
      </c>
      <c r="O2167" s="17" t="s">
        <v>611</v>
      </c>
      <c r="P2167" s="17" t="n">
        <v>11</v>
      </c>
      <c r="Q2167" s="17" t="s">
        <v>953</v>
      </c>
      <c r="R2167" s="17" t="s">
        <v>35</v>
      </c>
      <c r="S2167" s="17" t="s">
        <v>613</v>
      </c>
      <c r="T2167" s="18" t="s">
        <v>248</v>
      </c>
      <c r="U2167" s="20" t="s">
        <v>122</v>
      </c>
      <c r="V2167" s="17" t="n">
        <v>2</v>
      </c>
      <c r="W2167" s="20" t="s">
        <v>122</v>
      </c>
      <c r="X2167" s="17" t="s">
        <v>100</v>
      </c>
      <c r="Y2167" s="17" t="s">
        <v>978</v>
      </c>
      <c r="Z2167" s="17" t="s">
        <v>1131</v>
      </c>
      <c r="AA2167" s="17" t="s">
        <v>919</v>
      </c>
      <c r="AB2167" s="17" t="s">
        <v>41</v>
      </c>
      <c r="AC2167" s="0" t="str">
        <f aca="false">LEFT(G2167,2)</f>
        <v>86</v>
      </c>
    </row>
    <row r="2168" customFormat="false" ht="15" hidden="false" customHeight="false" outlineLevel="0" collapsed="false">
      <c r="A2168" s="13" t="n">
        <f aca="false">1+A2167</f>
        <v>2166</v>
      </c>
      <c r="B2168" s="14" t="n">
        <v>1009631373</v>
      </c>
      <c r="C2168" s="15" t="s">
        <v>182</v>
      </c>
      <c r="D2168" s="16" t="s">
        <v>64</v>
      </c>
      <c r="E2168" s="17" t="s">
        <v>33</v>
      </c>
      <c r="F2168" s="18" t="s">
        <v>34</v>
      </c>
      <c r="G2168" s="19" t="n">
        <v>866111128561</v>
      </c>
      <c r="H2168" s="17" t="s">
        <v>35</v>
      </c>
      <c r="I2168" s="17" t="s">
        <v>72</v>
      </c>
      <c r="J2168" s="17" t="s">
        <v>289</v>
      </c>
      <c r="K2168" s="17" t="s">
        <v>1067</v>
      </c>
      <c r="L2168" s="17" t="n">
        <v>5</v>
      </c>
      <c r="M2168" s="17" t="s">
        <v>952</v>
      </c>
      <c r="N2168" s="17" t="n">
        <v>1</v>
      </c>
      <c r="O2168" s="17" t="s">
        <v>611</v>
      </c>
      <c r="P2168" s="17" t="n">
        <v>11</v>
      </c>
      <c r="Q2168" s="17" t="s">
        <v>953</v>
      </c>
      <c r="R2168" s="17" t="s">
        <v>35</v>
      </c>
      <c r="S2168" s="17" t="s">
        <v>613</v>
      </c>
      <c r="T2168" s="18" t="s">
        <v>248</v>
      </c>
      <c r="U2168" s="20" t="s">
        <v>38</v>
      </c>
      <c r="V2168" s="17" t="n">
        <v>4</v>
      </c>
      <c r="W2168" s="20" t="s">
        <v>38</v>
      </c>
      <c r="X2168" s="17" t="s">
        <v>289</v>
      </c>
      <c r="Y2168" s="17" t="s">
        <v>1067</v>
      </c>
      <c r="Z2168" s="17" t="s">
        <v>266</v>
      </c>
      <c r="AA2168" s="17" t="s">
        <v>919</v>
      </c>
      <c r="AB2168" s="17" t="s">
        <v>41</v>
      </c>
      <c r="AC2168" s="0" t="str">
        <f aca="false">LEFT(G2168,2)</f>
        <v>86</v>
      </c>
    </row>
    <row r="2169" customFormat="false" ht="15" hidden="false" customHeight="false" outlineLevel="0" collapsed="false">
      <c r="A2169" s="13" t="n">
        <f aca="false">1+A2168</f>
        <v>2167</v>
      </c>
      <c r="B2169" s="14" t="n">
        <v>1009622937</v>
      </c>
      <c r="C2169" s="15" t="s">
        <v>184</v>
      </c>
      <c r="D2169" s="16" t="s">
        <v>64</v>
      </c>
      <c r="E2169" s="17" t="s">
        <v>64</v>
      </c>
      <c r="F2169" s="18" t="s">
        <v>34</v>
      </c>
      <c r="G2169" s="19" t="n">
        <v>867271214043</v>
      </c>
      <c r="H2169" s="17" t="s">
        <v>35</v>
      </c>
      <c r="I2169" s="17" t="s">
        <v>72</v>
      </c>
      <c r="J2169" s="17" t="s">
        <v>241</v>
      </c>
      <c r="K2169" s="17" t="s">
        <v>992</v>
      </c>
      <c r="L2169" s="17" t="n">
        <v>5</v>
      </c>
      <c r="M2169" s="17" t="s">
        <v>952</v>
      </c>
      <c r="N2169" s="17" t="n">
        <v>1</v>
      </c>
      <c r="O2169" s="17" t="s">
        <v>611</v>
      </c>
      <c r="P2169" s="17" t="n">
        <v>11</v>
      </c>
      <c r="Q2169" s="17" t="s">
        <v>953</v>
      </c>
      <c r="R2169" s="17" t="s">
        <v>35</v>
      </c>
      <c r="S2169" s="17" t="s">
        <v>613</v>
      </c>
      <c r="T2169" s="18" t="s">
        <v>248</v>
      </c>
      <c r="U2169" s="20" t="s">
        <v>122</v>
      </c>
      <c r="V2169" s="17" t="n">
        <v>2</v>
      </c>
      <c r="W2169" s="20" t="s">
        <v>122</v>
      </c>
      <c r="X2169" s="17" t="s">
        <v>241</v>
      </c>
      <c r="Y2169" s="17" t="s">
        <v>992</v>
      </c>
      <c r="Z2169" s="17" t="s">
        <v>1123</v>
      </c>
      <c r="AA2169" s="17" t="s">
        <v>919</v>
      </c>
      <c r="AB2169" s="17" t="s">
        <v>41</v>
      </c>
      <c r="AC2169" s="0" t="str">
        <f aca="false">LEFT(G2169,2)</f>
        <v>86</v>
      </c>
    </row>
    <row r="2170" customFormat="false" ht="15" hidden="false" customHeight="false" outlineLevel="0" collapsed="false">
      <c r="A2170" s="13" t="n">
        <f aca="false">1+A2169</f>
        <v>2168</v>
      </c>
      <c r="B2170" s="14" t="n">
        <v>1009625962</v>
      </c>
      <c r="C2170" s="15" t="s">
        <v>163</v>
      </c>
      <c r="D2170" s="16" t="s">
        <v>64</v>
      </c>
      <c r="E2170" s="17" t="s">
        <v>47</v>
      </c>
      <c r="F2170" s="18" t="s">
        <v>34</v>
      </c>
      <c r="G2170" s="19" t="n">
        <v>867131123186</v>
      </c>
      <c r="H2170" s="17" t="s">
        <v>35</v>
      </c>
      <c r="I2170" s="17" t="s">
        <v>72</v>
      </c>
      <c r="J2170" s="17" t="s">
        <v>100</v>
      </c>
      <c r="K2170" s="17" t="s">
        <v>978</v>
      </c>
      <c r="L2170" s="17" t="n">
        <v>5</v>
      </c>
      <c r="M2170" s="17" t="s">
        <v>952</v>
      </c>
      <c r="N2170" s="17" t="n">
        <v>1</v>
      </c>
      <c r="O2170" s="17" t="s">
        <v>611</v>
      </c>
      <c r="P2170" s="17" t="n">
        <v>11</v>
      </c>
      <c r="Q2170" s="17" t="s">
        <v>953</v>
      </c>
      <c r="R2170" s="17" t="s">
        <v>35</v>
      </c>
      <c r="S2170" s="17" t="s">
        <v>613</v>
      </c>
      <c r="T2170" s="18" t="s">
        <v>248</v>
      </c>
      <c r="U2170" s="20" t="s">
        <v>122</v>
      </c>
      <c r="V2170" s="17" t="n">
        <v>2</v>
      </c>
      <c r="W2170" s="20" t="s">
        <v>122</v>
      </c>
      <c r="X2170" s="17" t="s">
        <v>100</v>
      </c>
      <c r="Y2170" s="17" t="s">
        <v>978</v>
      </c>
      <c r="Z2170" s="17" t="s">
        <v>341</v>
      </c>
      <c r="AA2170" s="17" t="s">
        <v>919</v>
      </c>
      <c r="AB2170" s="17" t="s">
        <v>41</v>
      </c>
      <c r="AC2170" s="0" t="str">
        <f aca="false">LEFT(G2170,2)</f>
        <v>86</v>
      </c>
    </row>
    <row r="2171" customFormat="false" ht="15" hidden="false" customHeight="false" outlineLevel="0" collapsed="false">
      <c r="A2171" s="13" t="n">
        <f aca="false">1+A2170</f>
        <v>2169</v>
      </c>
      <c r="B2171" s="14" t="n">
        <v>1009662466</v>
      </c>
      <c r="C2171" s="15" t="s">
        <v>433</v>
      </c>
      <c r="D2171" s="16" t="s">
        <v>64</v>
      </c>
      <c r="E2171" s="17" t="s">
        <v>47</v>
      </c>
      <c r="F2171" s="18" t="s">
        <v>34</v>
      </c>
      <c r="G2171" s="19" t="n">
        <v>868081147811</v>
      </c>
      <c r="H2171" s="17" t="s">
        <v>35</v>
      </c>
      <c r="I2171" s="17" t="s">
        <v>72</v>
      </c>
      <c r="J2171" s="17" t="s">
        <v>267</v>
      </c>
      <c r="K2171" s="17" t="s">
        <v>960</v>
      </c>
      <c r="L2171" s="17" t="n">
        <v>5</v>
      </c>
      <c r="M2171" s="17" t="s">
        <v>952</v>
      </c>
      <c r="N2171" s="17" t="n">
        <v>24</v>
      </c>
      <c r="O2171" s="17" t="s">
        <v>975</v>
      </c>
      <c r="P2171" s="17" t="n">
        <v>11</v>
      </c>
      <c r="Q2171" s="17" t="s">
        <v>953</v>
      </c>
      <c r="R2171" s="17" t="s">
        <v>35</v>
      </c>
      <c r="S2171" s="17" t="s">
        <v>613</v>
      </c>
      <c r="T2171" s="18" t="s">
        <v>248</v>
      </c>
      <c r="U2171" s="20" t="s">
        <v>122</v>
      </c>
      <c r="V2171" s="17" t="n">
        <v>2</v>
      </c>
      <c r="W2171" s="20" t="s">
        <v>122</v>
      </c>
      <c r="X2171" s="17" t="s">
        <v>267</v>
      </c>
      <c r="Y2171" s="17" t="s">
        <v>960</v>
      </c>
      <c r="Z2171" s="17" t="s">
        <v>276</v>
      </c>
      <c r="AA2171" s="17" t="s">
        <v>919</v>
      </c>
      <c r="AB2171" s="17" t="s">
        <v>41</v>
      </c>
      <c r="AC2171" s="0" t="str">
        <f aca="false">LEFT(G2171,2)</f>
        <v>86</v>
      </c>
    </row>
    <row r="2172" customFormat="false" ht="15" hidden="false" customHeight="false" outlineLevel="0" collapsed="false">
      <c r="A2172" s="13" t="n">
        <f aca="false">1+A2171</f>
        <v>2170</v>
      </c>
      <c r="B2172" s="14" t="n">
        <v>1009556150</v>
      </c>
      <c r="C2172" s="15" t="s">
        <v>192</v>
      </c>
      <c r="D2172" s="16" t="s">
        <v>64</v>
      </c>
      <c r="E2172" s="17" t="s">
        <v>64</v>
      </c>
      <c r="F2172" s="18" t="s">
        <v>34</v>
      </c>
      <c r="G2172" s="19" t="n">
        <v>865292143357</v>
      </c>
      <c r="H2172" s="17" t="s">
        <v>35</v>
      </c>
      <c r="I2172" s="17" t="s">
        <v>72</v>
      </c>
      <c r="J2172" s="17" t="s">
        <v>241</v>
      </c>
      <c r="K2172" s="17" t="s">
        <v>992</v>
      </c>
      <c r="L2172" s="17" t="n">
        <v>5</v>
      </c>
      <c r="M2172" s="17" t="s">
        <v>952</v>
      </c>
      <c r="N2172" s="17" t="n">
        <v>1</v>
      </c>
      <c r="O2172" s="17" t="s">
        <v>611</v>
      </c>
      <c r="P2172" s="17" t="n">
        <v>11</v>
      </c>
      <c r="Q2172" s="17" t="s">
        <v>953</v>
      </c>
      <c r="R2172" s="17" t="s">
        <v>35</v>
      </c>
      <c r="S2172" s="17" t="s">
        <v>613</v>
      </c>
      <c r="T2172" s="18" t="s">
        <v>248</v>
      </c>
      <c r="U2172" s="20" t="s">
        <v>122</v>
      </c>
      <c r="V2172" s="17" t="n">
        <v>2</v>
      </c>
      <c r="W2172" s="20" t="s">
        <v>122</v>
      </c>
      <c r="X2172" s="17" t="s">
        <v>241</v>
      </c>
      <c r="Y2172" s="17" t="s">
        <v>992</v>
      </c>
      <c r="Z2172" s="17" t="s">
        <v>276</v>
      </c>
      <c r="AA2172" s="17" t="s">
        <v>919</v>
      </c>
      <c r="AB2172" s="17" t="s">
        <v>41</v>
      </c>
      <c r="AC2172" s="0" t="str">
        <f aca="false">LEFT(G2172,2)</f>
        <v>86</v>
      </c>
    </row>
    <row r="2173" customFormat="false" ht="15" hidden="false" customHeight="false" outlineLevel="0" collapsed="false">
      <c r="A2173" s="13" t="n">
        <f aca="false">1+A2172</f>
        <v>2171</v>
      </c>
      <c r="B2173" s="14" t="n">
        <v>1009533971</v>
      </c>
      <c r="C2173" s="15" t="s">
        <v>174</v>
      </c>
      <c r="D2173" s="16" t="s">
        <v>64</v>
      </c>
      <c r="E2173" s="17" t="s">
        <v>64</v>
      </c>
      <c r="F2173" s="18" t="s">
        <v>34</v>
      </c>
      <c r="G2173" s="19" t="n">
        <v>865322135480</v>
      </c>
      <c r="H2173" s="17" t="s">
        <v>35</v>
      </c>
      <c r="I2173" s="17" t="s">
        <v>72</v>
      </c>
      <c r="J2173" s="17" t="s">
        <v>289</v>
      </c>
      <c r="K2173" s="17" t="s">
        <v>1067</v>
      </c>
      <c r="L2173" s="17" t="n">
        <v>5</v>
      </c>
      <c r="M2173" s="17" t="s">
        <v>952</v>
      </c>
      <c r="N2173" s="17" t="n">
        <v>1</v>
      </c>
      <c r="O2173" s="17" t="s">
        <v>611</v>
      </c>
      <c r="P2173" s="17" t="n">
        <v>11</v>
      </c>
      <c r="Q2173" s="17" t="s">
        <v>953</v>
      </c>
      <c r="R2173" s="17" t="s">
        <v>35</v>
      </c>
      <c r="S2173" s="17" t="s">
        <v>613</v>
      </c>
      <c r="T2173" s="18" t="s">
        <v>248</v>
      </c>
      <c r="U2173" s="20" t="s">
        <v>256</v>
      </c>
      <c r="V2173" s="17" t="n">
        <v>1</v>
      </c>
      <c r="W2173" s="20" t="s">
        <v>256</v>
      </c>
      <c r="X2173" s="17" t="s">
        <v>289</v>
      </c>
      <c r="Y2173" s="17" t="s">
        <v>1067</v>
      </c>
      <c r="Z2173" s="17" t="s">
        <v>257</v>
      </c>
      <c r="AA2173" s="17" t="s">
        <v>919</v>
      </c>
      <c r="AB2173" s="17" t="s">
        <v>41</v>
      </c>
      <c r="AC2173" s="0" t="str">
        <f aca="false">LEFT(G2173,2)</f>
        <v>86</v>
      </c>
    </row>
    <row r="2174" customFormat="false" ht="15" hidden="false" customHeight="false" outlineLevel="0" collapsed="false">
      <c r="A2174" s="13" t="n">
        <f aca="false">1+A2173</f>
        <v>2172</v>
      </c>
      <c r="B2174" s="14" t="n">
        <v>1009617574</v>
      </c>
      <c r="C2174" s="15" t="s">
        <v>184</v>
      </c>
      <c r="D2174" s="16" t="s">
        <v>231</v>
      </c>
      <c r="E2174" s="17" t="s">
        <v>47</v>
      </c>
      <c r="F2174" s="18" t="s">
        <v>34</v>
      </c>
      <c r="G2174" s="19" t="n">
        <v>867194115574</v>
      </c>
      <c r="H2174" s="17" t="s">
        <v>35</v>
      </c>
      <c r="I2174" s="17" t="s">
        <v>72</v>
      </c>
      <c r="J2174" s="17" t="s">
        <v>267</v>
      </c>
      <c r="K2174" s="17" t="s">
        <v>960</v>
      </c>
      <c r="L2174" s="17" t="n">
        <v>5</v>
      </c>
      <c r="M2174" s="17" t="s">
        <v>952</v>
      </c>
      <c r="N2174" s="17" t="n">
        <v>1</v>
      </c>
      <c r="O2174" s="17" t="s">
        <v>611</v>
      </c>
      <c r="P2174" s="17" t="n">
        <v>11</v>
      </c>
      <c r="Q2174" s="17" t="s">
        <v>953</v>
      </c>
      <c r="R2174" s="17" t="s">
        <v>35</v>
      </c>
      <c r="S2174" s="17" t="s">
        <v>613</v>
      </c>
      <c r="T2174" s="18" t="s">
        <v>248</v>
      </c>
      <c r="U2174" s="20" t="s">
        <v>122</v>
      </c>
      <c r="V2174" s="17" t="n">
        <v>2</v>
      </c>
      <c r="W2174" s="20" t="s">
        <v>122</v>
      </c>
      <c r="X2174" s="17" t="s">
        <v>267</v>
      </c>
      <c r="Y2174" s="17" t="s">
        <v>960</v>
      </c>
      <c r="Z2174" s="17" t="s">
        <v>1132</v>
      </c>
      <c r="AA2174" s="17" t="s">
        <v>919</v>
      </c>
      <c r="AB2174" s="17" t="s">
        <v>41</v>
      </c>
      <c r="AC2174" s="0" t="str">
        <f aca="false">LEFT(G2174,2)</f>
        <v>86</v>
      </c>
    </row>
    <row r="2175" customFormat="false" ht="15" hidden="false" customHeight="false" outlineLevel="0" collapsed="false">
      <c r="A2175" s="13" t="n">
        <f aca="false">1+A2174</f>
        <v>2173</v>
      </c>
      <c r="B2175" s="14" t="n">
        <v>1009603408</v>
      </c>
      <c r="C2175" s="15" t="s">
        <v>181</v>
      </c>
      <c r="D2175" s="16" t="s">
        <v>64</v>
      </c>
      <c r="E2175" s="17" t="s">
        <v>64</v>
      </c>
      <c r="F2175" s="18" t="s">
        <v>34</v>
      </c>
      <c r="G2175" s="19" t="n">
        <v>864318307237</v>
      </c>
      <c r="H2175" s="17" t="s">
        <v>35</v>
      </c>
      <c r="I2175" s="17" t="s">
        <v>72</v>
      </c>
      <c r="J2175" s="17" t="s">
        <v>118</v>
      </c>
      <c r="K2175" s="17" t="s">
        <v>609</v>
      </c>
      <c r="L2175" s="17" t="n">
        <v>5</v>
      </c>
      <c r="M2175" s="17" t="s">
        <v>952</v>
      </c>
      <c r="N2175" s="17" t="n">
        <v>1</v>
      </c>
      <c r="O2175" s="17" t="s">
        <v>611</v>
      </c>
      <c r="P2175" s="17" t="n">
        <v>11</v>
      </c>
      <c r="Q2175" s="17" t="s">
        <v>953</v>
      </c>
      <c r="R2175" s="17" t="s">
        <v>35</v>
      </c>
      <c r="S2175" s="17" t="s">
        <v>613</v>
      </c>
      <c r="T2175" s="18" t="s">
        <v>248</v>
      </c>
      <c r="U2175" s="20" t="s">
        <v>122</v>
      </c>
      <c r="V2175" s="17" t="n">
        <v>2</v>
      </c>
      <c r="W2175" s="20" t="s">
        <v>122</v>
      </c>
      <c r="X2175" s="17" t="s">
        <v>118</v>
      </c>
      <c r="Y2175" s="17" t="s">
        <v>609</v>
      </c>
      <c r="Z2175" s="17" t="s">
        <v>1133</v>
      </c>
      <c r="AA2175" s="17" t="s">
        <v>919</v>
      </c>
      <c r="AB2175" s="17" t="s">
        <v>41</v>
      </c>
      <c r="AC2175" s="0" t="str">
        <f aca="false">LEFT(G2175,2)</f>
        <v>86</v>
      </c>
    </row>
    <row r="2176" customFormat="false" ht="15" hidden="false" customHeight="false" outlineLevel="0" collapsed="false">
      <c r="A2176" s="13" t="n">
        <f aca="false">1+A2175</f>
        <v>2174</v>
      </c>
      <c r="B2176" s="14" t="n">
        <v>1009679329</v>
      </c>
      <c r="C2176" s="15" t="s">
        <v>413</v>
      </c>
      <c r="D2176" s="16" t="s">
        <v>64</v>
      </c>
      <c r="E2176" s="17" t="s">
        <v>64</v>
      </c>
      <c r="F2176" s="18" t="s">
        <v>34</v>
      </c>
      <c r="G2176" s="19" t="n">
        <v>865325267348</v>
      </c>
      <c r="H2176" s="17" t="s">
        <v>35</v>
      </c>
      <c r="I2176" s="17" t="s">
        <v>72</v>
      </c>
      <c r="J2176" s="17" t="s">
        <v>267</v>
      </c>
      <c r="K2176" s="17" t="s">
        <v>960</v>
      </c>
      <c r="L2176" s="17" t="n">
        <v>5</v>
      </c>
      <c r="M2176" s="17" t="s">
        <v>952</v>
      </c>
      <c r="N2176" s="17" t="n">
        <v>1</v>
      </c>
      <c r="O2176" s="17" t="s">
        <v>611</v>
      </c>
      <c r="P2176" s="17" t="n">
        <v>11</v>
      </c>
      <c r="Q2176" s="17" t="s">
        <v>953</v>
      </c>
      <c r="R2176" s="17" t="s">
        <v>35</v>
      </c>
      <c r="S2176" s="17" t="s">
        <v>613</v>
      </c>
      <c r="T2176" s="18" t="s">
        <v>248</v>
      </c>
      <c r="U2176" s="20" t="s">
        <v>122</v>
      </c>
      <c r="V2176" s="17" t="n">
        <v>2</v>
      </c>
      <c r="W2176" s="20" t="s">
        <v>122</v>
      </c>
      <c r="X2176" s="17" t="s">
        <v>267</v>
      </c>
      <c r="Y2176" s="17" t="s">
        <v>960</v>
      </c>
      <c r="Z2176" s="17" t="s">
        <v>1134</v>
      </c>
      <c r="AA2176" s="17" t="s">
        <v>919</v>
      </c>
      <c r="AB2176" s="17" t="s">
        <v>41</v>
      </c>
      <c r="AC2176" s="0" t="str">
        <f aca="false">LEFT(G2176,2)</f>
        <v>86</v>
      </c>
    </row>
    <row r="2177" customFormat="false" ht="15" hidden="false" customHeight="false" outlineLevel="0" collapsed="false">
      <c r="A2177" s="13" t="n">
        <f aca="false">1+A2176</f>
        <v>2175</v>
      </c>
      <c r="B2177" s="14" t="n">
        <v>1003968549</v>
      </c>
      <c r="C2177" s="15" t="s">
        <v>413</v>
      </c>
      <c r="D2177" s="16" t="s">
        <v>64</v>
      </c>
      <c r="E2177" s="17" t="s">
        <v>64</v>
      </c>
      <c r="F2177" s="18" t="s">
        <v>34</v>
      </c>
      <c r="G2177" s="19" t="n">
        <v>866011150137</v>
      </c>
      <c r="H2177" s="17" t="s">
        <v>35</v>
      </c>
      <c r="I2177" s="17" t="s">
        <v>72</v>
      </c>
      <c r="J2177" s="17" t="s">
        <v>100</v>
      </c>
      <c r="K2177" s="17" t="s">
        <v>978</v>
      </c>
      <c r="L2177" s="17" t="n">
        <v>1</v>
      </c>
      <c r="M2177" s="17" t="s">
        <v>610</v>
      </c>
      <c r="N2177" s="17" t="n">
        <v>1</v>
      </c>
      <c r="O2177" s="17" t="s">
        <v>611</v>
      </c>
      <c r="P2177" s="17" t="n">
        <v>11</v>
      </c>
      <c r="Q2177" s="17" t="s">
        <v>953</v>
      </c>
      <c r="R2177" s="17" t="s">
        <v>35</v>
      </c>
      <c r="S2177" s="17" t="s">
        <v>613</v>
      </c>
      <c r="T2177" s="18" t="s">
        <v>248</v>
      </c>
      <c r="U2177" s="20" t="s">
        <v>122</v>
      </c>
      <c r="V2177" s="17" t="n">
        <v>2</v>
      </c>
      <c r="W2177" s="20" t="s">
        <v>122</v>
      </c>
      <c r="X2177" s="17" t="s">
        <v>100</v>
      </c>
      <c r="Y2177" s="17" t="s">
        <v>978</v>
      </c>
      <c r="Z2177" s="17" t="s">
        <v>1135</v>
      </c>
      <c r="AA2177" s="17" t="s">
        <v>919</v>
      </c>
      <c r="AB2177" s="17" t="s">
        <v>41</v>
      </c>
      <c r="AC2177" s="0" t="str">
        <f aca="false">LEFT(G2177,2)</f>
        <v>86</v>
      </c>
    </row>
    <row r="2178" customFormat="false" ht="15" hidden="false" customHeight="false" outlineLevel="0" collapsed="false">
      <c r="A2178" s="13" t="n">
        <f aca="false">1+A2177</f>
        <v>2176</v>
      </c>
      <c r="B2178" s="14" t="n">
        <v>1009627498</v>
      </c>
      <c r="C2178" s="15" t="s">
        <v>229</v>
      </c>
      <c r="D2178" s="16" t="s">
        <v>64</v>
      </c>
      <c r="E2178" s="17" t="s">
        <v>64</v>
      </c>
      <c r="F2178" s="18" t="s">
        <v>34</v>
      </c>
      <c r="G2178" s="19" t="n">
        <v>866284157439</v>
      </c>
      <c r="H2178" s="17" t="s">
        <v>35</v>
      </c>
      <c r="I2178" s="17" t="s">
        <v>72</v>
      </c>
      <c r="J2178" s="17" t="s">
        <v>267</v>
      </c>
      <c r="K2178" s="17" t="s">
        <v>960</v>
      </c>
      <c r="L2178" s="17" t="n">
        <v>3</v>
      </c>
      <c r="M2178" s="17" t="s">
        <v>956</v>
      </c>
      <c r="N2178" s="17" t="n">
        <v>15</v>
      </c>
      <c r="O2178" s="17" t="s">
        <v>1136</v>
      </c>
      <c r="P2178" s="17" t="n">
        <v>11</v>
      </c>
      <c r="Q2178" s="17" t="s">
        <v>953</v>
      </c>
      <c r="R2178" s="17" t="s">
        <v>35</v>
      </c>
      <c r="S2178" s="17" t="s">
        <v>613</v>
      </c>
      <c r="T2178" s="18" t="s">
        <v>248</v>
      </c>
      <c r="U2178" s="20" t="s">
        <v>122</v>
      </c>
      <c r="V2178" s="17" t="n">
        <v>2</v>
      </c>
      <c r="W2178" s="20" t="s">
        <v>122</v>
      </c>
      <c r="X2178" s="17" t="s">
        <v>267</v>
      </c>
      <c r="Y2178" s="17" t="s">
        <v>960</v>
      </c>
      <c r="Z2178" s="17" t="s">
        <v>341</v>
      </c>
      <c r="AA2178" s="17" t="s">
        <v>919</v>
      </c>
      <c r="AB2178" s="17" t="s">
        <v>41</v>
      </c>
      <c r="AC2178" s="0" t="str">
        <f aca="false">LEFT(G2178,2)</f>
        <v>86</v>
      </c>
    </row>
    <row r="2179" customFormat="false" ht="15" hidden="false" customHeight="false" outlineLevel="0" collapsed="false">
      <c r="A2179" s="13" t="n">
        <f aca="false">1+A2178</f>
        <v>2177</v>
      </c>
      <c r="B2179" s="14" t="n">
        <v>1009678514</v>
      </c>
      <c r="C2179" s="15" t="s">
        <v>436</v>
      </c>
      <c r="D2179" s="16" t="s">
        <v>119</v>
      </c>
      <c r="E2179" s="17" t="s">
        <v>33</v>
      </c>
      <c r="F2179" s="18" t="s">
        <v>34</v>
      </c>
      <c r="G2179" s="19" t="n">
        <v>868113118715</v>
      </c>
      <c r="H2179" s="17" t="s">
        <v>35</v>
      </c>
      <c r="I2179" s="17" t="s">
        <v>72</v>
      </c>
      <c r="J2179" s="17" t="s">
        <v>267</v>
      </c>
      <c r="K2179" s="17" t="s">
        <v>960</v>
      </c>
      <c r="L2179" s="17" t="n">
        <v>1</v>
      </c>
      <c r="M2179" s="17" t="s">
        <v>610</v>
      </c>
      <c r="N2179" s="17" t="n">
        <v>1</v>
      </c>
      <c r="O2179" s="17" t="s">
        <v>611</v>
      </c>
      <c r="P2179" s="17" t="n">
        <v>11</v>
      </c>
      <c r="Q2179" s="17" t="s">
        <v>953</v>
      </c>
      <c r="R2179" s="17" t="s">
        <v>35</v>
      </c>
      <c r="S2179" s="17" t="s">
        <v>613</v>
      </c>
      <c r="T2179" s="18" t="s">
        <v>248</v>
      </c>
      <c r="U2179" s="20" t="s">
        <v>122</v>
      </c>
      <c r="V2179" s="17" t="n">
        <v>2</v>
      </c>
      <c r="W2179" s="20" t="s">
        <v>122</v>
      </c>
      <c r="X2179" s="17" t="s">
        <v>267</v>
      </c>
      <c r="Y2179" s="17" t="s">
        <v>960</v>
      </c>
      <c r="Z2179" s="17" t="s">
        <v>724</v>
      </c>
      <c r="AA2179" s="17" t="s">
        <v>919</v>
      </c>
      <c r="AB2179" s="17" t="s">
        <v>41</v>
      </c>
      <c r="AC2179" s="0" t="str">
        <f aca="false">LEFT(G2179,2)</f>
        <v>86</v>
      </c>
    </row>
    <row r="2180" customFormat="false" ht="15" hidden="false" customHeight="false" outlineLevel="0" collapsed="false">
      <c r="A2180" s="13" t="n">
        <f aca="false">1+A2179</f>
        <v>2178</v>
      </c>
      <c r="B2180" s="14" t="n">
        <v>1009606194</v>
      </c>
      <c r="C2180" s="15" t="s">
        <v>181</v>
      </c>
      <c r="D2180" s="16" t="s">
        <v>64</v>
      </c>
      <c r="E2180" s="17" t="s">
        <v>64</v>
      </c>
      <c r="F2180" s="18" t="s">
        <v>34</v>
      </c>
      <c r="G2180" s="19" t="n">
        <v>866074126107</v>
      </c>
      <c r="H2180" s="17" t="s">
        <v>35</v>
      </c>
      <c r="I2180" s="17" t="s">
        <v>72</v>
      </c>
      <c r="J2180" s="17" t="s">
        <v>118</v>
      </c>
      <c r="K2180" s="17" t="s">
        <v>609</v>
      </c>
      <c r="L2180" s="17" t="n">
        <v>5</v>
      </c>
      <c r="M2180" s="17" t="s">
        <v>952</v>
      </c>
      <c r="N2180" s="17" t="n">
        <v>1</v>
      </c>
      <c r="O2180" s="17" t="s">
        <v>611</v>
      </c>
      <c r="P2180" s="17" t="n">
        <v>11</v>
      </c>
      <c r="Q2180" s="17" t="s">
        <v>953</v>
      </c>
      <c r="R2180" s="17" t="s">
        <v>35</v>
      </c>
      <c r="S2180" s="17" t="s">
        <v>613</v>
      </c>
      <c r="T2180" s="18" t="s">
        <v>248</v>
      </c>
      <c r="U2180" s="20" t="s">
        <v>122</v>
      </c>
      <c r="V2180" s="17" t="n">
        <v>2</v>
      </c>
      <c r="W2180" s="20" t="s">
        <v>122</v>
      </c>
      <c r="X2180" s="17" t="s">
        <v>118</v>
      </c>
      <c r="Y2180" s="17" t="s">
        <v>609</v>
      </c>
      <c r="Z2180" s="17" t="s">
        <v>276</v>
      </c>
      <c r="AA2180" s="17" t="s">
        <v>919</v>
      </c>
      <c r="AB2180" s="17" t="s">
        <v>41</v>
      </c>
      <c r="AC2180" s="0" t="str">
        <f aca="false">LEFT(G2180,2)</f>
        <v>86</v>
      </c>
    </row>
    <row r="2181" customFormat="false" ht="15" hidden="false" customHeight="false" outlineLevel="0" collapsed="false">
      <c r="A2181" s="13" t="n">
        <f aca="false">1+A2180</f>
        <v>2179</v>
      </c>
      <c r="B2181" s="14" t="n">
        <v>1009575515</v>
      </c>
      <c r="C2181" s="15" t="s">
        <v>104</v>
      </c>
      <c r="D2181" s="16" t="s">
        <v>195</v>
      </c>
      <c r="E2181" s="17" t="s">
        <v>176</v>
      </c>
      <c r="F2181" s="18" t="s">
        <v>34</v>
      </c>
      <c r="G2181" s="19" t="n">
        <v>865301194136</v>
      </c>
      <c r="H2181" s="17" t="s">
        <v>35</v>
      </c>
      <c r="I2181" s="17" t="s">
        <v>72</v>
      </c>
      <c r="J2181" s="17" t="s">
        <v>100</v>
      </c>
      <c r="K2181" s="17" t="s">
        <v>978</v>
      </c>
      <c r="L2181" s="17" t="n">
        <v>5</v>
      </c>
      <c r="M2181" s="17" t="s">
        <v>952</v>
      </c>
      <c r="N2181" s="17" t="n">
        <v>1</v>
      </c>
      <c r="O2181" s="17" t="s">
        <v>611</v>
      </c>
      <c r="P2181" s="17" t="n">
        <v>11</v>
      </c>
      <c r="Q2181" s="17" t="s">
        <v>953</v>
      </c>
      <c r="R2181" s="17" t="s">
        <v>35</v>
      </c>
      <c r="S2181" s="17" t="s">
        <v>613</v>
      </c>
      <c r="T2181" s="18" t="s">
        <v>248</v>
      </c>
      <c r="U2181" s="20" t="s">
        <v>122</v>
      </c>
      <c r="V2181" s="17" t="n">
        <v>2</v>
      </c>
      <c r="W2181" s="20" t="s">
        <v>122</v>
      </c>
      <c r="X2181" s="17" t="s">
        <v>100</v>
      </c>
      <c r="Y2181" s="17" t="s">
        <v>978</v>
      </c>
      <c r="Z2181" s="17" t="s">
        <v>819</v>
      </c>
      <c r="AA2181" s="17" t="s">
        <v>919</v>
      </c>
      <c r="AB2181" s="17" t="s">
        <v>41</v>
      </c>
      <c r="AC2181" s="0" t="str">
        <f aca="false">LEFT(G2181,2)</f>
        <v>86</v>
      </c>
    </row>
    <row r="2182" customFormat="false" ht="15" hidden="false" customHeight="false" outlineLevel="0" collapsed="false">
      <c r="A2182" s="13" t="n">
        <f aca="false">1+A2181</f>
        <v>2180</v>
      </c>
      <c r="B2182" s="14" t="n">
        <v>1009647769</v>
      </c>
      <c r="C2182" s="15" t="s">
        <v>204</v>
      </c>
      <c r="D2182" s="16" t="s">
        <v>64</v>
      </c>
      <c r="E2182" s="17" t="s">
        <v>47</v>
      </c>
      <c r="F2182" s="18" t="s">
        <v>34</v>
      </c>
      <c r="G2182" s="19" t="n">
        <v>867128113273</v>
      </c>
      <c r="H2182" s="17" t="s">
        <v>35</v>
      </c>
      <c r="I2182" s="17" t="s">
        <v>72</v>
      </c>
      <c r="J2182" s="17" t="s">
        <v>100</v>
      </c>
      <c r="K2182" s="17" t="s">
        <v>978</v>
      </c>
      <c r="L2182" s="17" t="n">
        <v>5</v>
      </c>
      <c r="M2182" s="17" t="s">
        <v>952</v>
      </c>
      <c r="N2182" s="17" t="n">
        <v>1</v>
      </c>
      <c r="O2182" s="17" t="s">
        <v>611</v>
      </c>
      <c r="P2182" s="17" t="n">
        <v>11</v>
      </c>
      <c r="Q2182" s="17" t="s">
        <v>953</v>
      </c>
      <c r="R2182" s="17" t="s">
        <v>35</v>
      </c>
      <c r="S2182" s="17" t="s">
        <v>613</v>
      </c>
      <c r="T2182" s="18" t="s">
        <v>248</v>
      </c>
      <c r="U2182" s="20" t="s">
        <v>38</v>
      </c>
      <c r="V2182" s="17" t="n">
        <v>4</v>
      </c>
      <c r="W2182" s="20" t="s">
        <v>38</v>
      </c>
      <c r="X2182" s="17" t="s">
        <v>100</v>
      </c>
      <c r="Y2182" s="17" t="s">
        <v>978</v>
      </c>
      <c r="Z2182" s="17" t="s">
        <v>1101</v>
      </c>
      <c r="AA2182" s="17" t="s">
        <v>919</v>
      </c>
      <c r="AB2182" s="17" t="s">
        <v>41</v>
      </c>
      <c r="AC2182" s="0" t="str">
        <f aca="false">LEFT(G2182,2)</f>
        <v>86</v>
      </c>
    </row>
    <row r="2183" customFormat="false" ht="15" hidden="false" customHeight="false" outlineLevel="0" collapsed="false">
      <c r="A2183" s="13" t="n">
        <f aca="false">1+A2182</f>
        <v>2181</v>
      </c>
      <c r="B2183" s="14" t="n">
        <v>1009562092</v>
      </c>
      <c r="C2183" s="15" t="s">
        <v>192</v>
      </c>
      <c r="D2183" s="16" t="s">
        <v>64</v>
      </c>
      <c r="E2183" s="17" t="s">
        <v>33</v>
      </c>
      <c r="F2183" s="18" t="s">
        <v>34</v>
      </c>
      <c r="G2183" s="19" t="n">
        <v>865278378084</v>
      </c>
      <c r="H2183" s="17" t="s">
        <v>35</v>
      </c>
      <c r="I2183" s="17" t="s">
        <v>72</v>
      </c>
      <c r="J2183" s="17" t="s">
        <v>118</v>
      </c>
      <c r="K2183" s="17" t="s">
        <v>609</v>
      </c>
      <c r="L2183" s="17" t="n">
        <v>1</v>
      </c>
      <c r="M2183" s="17" t="s">
        <v>610</v>
      </c>
      <c r="N2183" s="17" t="n">
        <v>1</v>
      </c>
      <c r="O2183" s="17" t="s">
        <v>611</v>
      </c>
      <c r="P2183" s="17" t="n">
        <v>11</v>
      </c>
      <c r="Q2183" s="17" t="s">
        <v>953</v>
      </c>
      <c r="R2183" s="17" t="s">
        <v>35</v>
      </c>
      <c r="S2183" s="17" t="s">
        <v>613</v>
      </c>
      <c r="T2183" s="18" t="s">
        <v>248</v>
      </c>
      <c r="U2183" s="20" t="s">
        <v>122</v>
      </c>
      <c r="V2183" s="17" t="n">
        <v>2</v>
      </c>
      <c r="W2183" s="20" t="s">
        <v>122</v>
      </c>
      <c r="X2183" s="17" t="s">
        <v>118</v>
      </c>
      <c r="Y2183" s="17" t="s">
        <v>609</v>
      </c>
      <c r="Z2183" s="17" t="s">
        <v>1137</v>
      </c>
      <c r="AA2183" s="17" t="s">
        <v>919</v>
      </c>
      <c r="AB2183" s="17" t="s">
        <v>41</v>
      </c>
      <c r="AC2183" s="0" t="str">
        <f aca="false">LEFT(G2183,2)</f>
        <v>86</v>
      </c>
    </row>
    <row r="2184" customFormat="false" ht="15" hidden="false" customHeight="false" outlineLevel="0" collapsed="false">
      <c r="A2184" s="13" t="n">
        <f aca="false">1+A2183</f>
        <v>2182</v>
      </c>
      <c r="B2184" s="14" t="n">
        <v>1009504184</v>
      </c>
      <c r="C2184" s="15" t="s">
        <v>95</v>
      </c>
      <c r="D2184" s="16" t="s">
        <v>64</v>
      </c>
      <c r="E2184" s="17" t="s">
        <v>47</v>
      </c>
      <c r="F2184" s="18" t="s">
        <v>34</v>
      </c>
      <c r="G2184" s="19" t="n">
        <v>868099101966</v>
      </c>
      <c r="H2184" s="17" t="s">
        <v>35</v>
      </c>
      <c r="I2184" s="17" t="s">
        <v>72</v>
      </c>
      <c r="J2184" s="17" t="s">
        <v>100</v>
      </c>
      <c r="K2184" s="17" t="s">
        <v>978</v>
      </c>
      <c r="L2184" s="17" t="n">
        <v>5</v>
      </c>
      <c r="M2184" s="17" t="s">
        <v>952</v>
      </c>
      <c r="N2184" s="17" t="n">
        <v>24</v>
      </c>
      <c r="O2184" s="17" t="s">
        <v>975</v>
      </c>
      <c r="P2184" s="17" t="n">
        <v>11</v>
      </c>
      <c r="Q2184" s="17" t="s">
        <v>953</v>
      </c>
      <c r="R2184" s="17" t="s">
        <v>35</v>
      </c>
      <c r="S2184" s="17" t="s">
        <v>613</v>
      </c>
      <c r="T2184" s="18" t="s">
        <v>248</v>
      </c>
      <c r="U2184" s="20" t="s">
        <v>38</v>
      </c>
      <c r="V2184" s="17" t="n">
        <v>4</v>
      </c>
      <c r="W2184" s="20" t="s">
        <v>38</v>
      </c>
      <c r="X2184" s="17" t="s">
        <v>100</v>
      </c>
      <c r="Y2184" s="17" t="s">
        <v>978</v>
      </c>
      <c r="Z2184" s="17" t="s">
        <v>1101</v>
      </c>
      <c r="AA2184" s="17" t="s">
        <v>919</v>
      </c>
      <c r="AB2184" s="17" t="s">
        <v>41</v>
      </c>
      <c r="AC2184" s="0" t="str">
        <f aca="false">LEFT(G2184,2)</f>
        <v>86</v>
      </c>
    </row>
    <row r="2185" customFormat="false" ht="15" hidden="false" customHeight="false" outlineLevel="0" collapsed="false">
      <c r="A2185" s="13" t="n">
        <f aca="false">1+A2184</f>
        <v>2183</v>
      </c>
      <c r="B2185" s="14" t="n">
        <v>1009579706</v>
      </c>
      <c r="C2185" s="15" t="s">
        <v>139</v>
      </c>
      <c r="D2185" s="16" t="s">
        <v>64</v>
      </c>
      <c r="E2185" s="17" t="s">
        <v>64</v>
      </c>
      <c r="F2185" s="18" t="s">
        <v>34</v>
      </c>
      <c r="G2185" s="19" t="n">
        <v>865287206235</v>
      </c>
      <c r="H2185" s="17" t="s">
        <v>35</v>
      </c>
      <c r="I2185" s="17" t="s">
        <v>72</v>
      </c>
      <c r="J2185" s="17" t="s">
        <v>118</v>
      </c>
      <c r="K2185" s="17" t="s">
        <v>609</v>
      </c>
      <c r="L2185" s="17" t="n">
        <v>5</v>
      </c>
      <c r="M2185" s="17" t="s">
        <v>952</v>
      </c>
      <c r="N2185" s="17" t="n">
        <v>1</v>
      </c>
      <c r="O2185" s="17" t="s">
        <v>611</v>
      </c>
      <c r="P2185" s="17" t="n">
        <v>11</v>
      </c>
      <c r="Q2185" s="17" t="s">
        <v>953</v>
      </c>
      <c r="R2185" s="17" t="s">
        <v>35</v>
      </c>
      <c r="S2185" s="17" t="s">
        <v>613</v>
      </c>
      <c r="T2185" s="18" t="s">
        <v>248</v>
      </c>
      <c r="U2185" s="20" t="s">
        <v>122</v>
      </c>
      <c r="V2185" s="17" t="n">
        <v>2</v>
      </c>
      <c r="W2185" s="20" t="s">
        <v>122</v>
      </c>
      <c r="X2185" s="17" t="s">
        <v>118</v>
      </c>
      <c r="Y2185" s="17" t="s">
        <v>609</v>
      </c>
      <c r="Z2185" s="17" t="s">
        <v>222</v>
      </c>
      <c r="AA2185" s="17" t="s">
        <v>919</v>
      </c>
      <c r="AB2185" s="17" t="s">
        <v>41</v>
      </c>
      <c r="AC2185" s="0" t="str">
        <f aca="false">LEFT(G2185,2)</f>
        <v>86</v>
      </c>
    </row>
    <row r="2186" customFormat="false" ht="15" hidden="false" customHeight="false" outlineLevel="0" collapsed="false">
      <c r="A2186" s="13" t="n">
        <f aca="false">1+A2185</f>
        <v>2184</v>
      </c>
      <c r="B2186" s="14" t="n">
        <v>1009632810</v>
      </c>
      <c r="C2186" s="15" t="s">
        <v>233</v>
      </c>
      <c r="D2186" s="16" t="s">
        <v>230</v>
      </c>
      <c r="E2186" s="17" t="s">
        <v>255</v>
      </c>
      <c r="F2186" s="18" t="s">
        <v>34</v>
      </c>
      <c r="G2186" s="19" t="n">
        <v>867320147707</v>
      </c>
      <c r="H2186" s="17" t="s">
        <v>35</v>
      </c>
      <c r="I2186" s="17" t="s">
        <v>72</v>
      </c>
      <c r="J2186" s="17" t="s">
        <v>121</v>
      </c>
      <c r="K2186" s="17" t="s">
        <v>955</v>
      </c>
      <c r="L2186" s="17" t="n">
        <v>3</v>
      </c>
      <c r="M2186" s="17" t="s">
        <v>956</v>
      </c>
      <c r="N2186" s="17" t="n">
        <v>16</v>
      </c>
      <c r="O2186" s="17" t="s">
        <v>957</v>
      </c>
      <c r="P2186" s="17" t="n">
        <v>11</v>
      </c>
      <c r="Q2186" s="17" t="s">
        <v>953</v>
      </c>
      <c r="R2186" s="17" t="s">
        <v>35</v>
      </c>
      <c r="S2186" s="17" t="s">
        <v>613</v>
      </c>
      <c r="T2186" s="18" t="s">
        <v>248</v>
      </c>
      <c r="U2186" s="20" t="s">
        <v>122</v>
      </c>
      <c r="V2186" s="17" t="n">
        <v>2</v>
      </c>
      <c r="W2186" s="20" t="s">
        <v>122</v>
      </c>
      <c r="X2186" s="17" t="s">
        <v>121</v>
      </c>
      <c r="Y2186" s="17" t="s">
        <v>955</v>
      </c>
      <c r="Z2186" s="17" t="s">
        <v>724</v>
      </c>
      <c r="AA2186" s="17" t="s">
        <v>919</v>
      </c>
      <c r="AB2186" s="17" t="s">
        <v>41</v>
      </c>
      <c r="AC2186" s="0" t="str">
        <f aca="false">LEFT(G2186,2)</f>
        <v>86</v>
      </c>
    </row>
    <row r="2187" customFormat="false" ht="15" hidden="false" customHeight="false" outlineLevel="0" collapsed="false">
      <c r="A2187" s="13" t="n">
        <f aca="false">1+A2186</f>
        <v>2185</v>
      </c>
      <c r="B2187" s="14" t="n">
        <v>1009632739</v>
      </c>
      <c r="C2187" s="15" t="s">
        <v>233</v>
      </c>
      <c r="D2187" s="16" t="s">
        <v>64</v>
      </c>
      <c r="E2187" s="17" t="s">
        <v>47</v>
      </c>
      <c r="F2187" s="18" t="s">
        <v>34</v>
      </c>
      <c r="G2187" s="19" t="n">
        <v>864317207818</v>
      </c>
      <c r="H2187" s="17" t="s">
        <v>35</v>
      </c>
      <c r="I2187" s="17" t="s">
        <v>72</v>
      </c>
      <c r="J2187" s="17" t="s">
        <v>267</v>
      </c>
      <c r="K2187" s="17" t="s">
        <v>960</v>
      </c>
      <c r="L2187" s="17" t="n">
        <v>1</v>
      </c>
      <c r="M2187" s="17" t="s">
        <v>610</v>
      </c>
      <c r="N2187" s="17" t="n">
        <v>1</v>
      </c>
      <c r="O2187" s="17" t="s">
        <v>611</v>
      </c>
      <c r="P2187" s="17" t="n">
        <v>11</v>
      </c>
      <c r="Q2187" s="17" t="s">
        <v>953</v>
      </c>
      <c r="R2187" s="17" t="s">
        <v>35</v>
      </c>
      <c r="S2187" s="17" t="s">
        <v>613</v>
      </c>
      <c r="T2187" s="18" t="s">
        <v>248</v>
      </c>
      <c r="U2187" s="20" t="s">
        <v>122</v>
      </c>
      <c r="V2187" s="17" t="n">
        <v>2</v>
      </c>
      <c r="W2187" s="20" t="s">
        <v>122</v>
      </c>
      <c r="X2187" s="17" t="s">
        <v>267</v>
      </c>
      <c r="Y2187" s="17" t="s">
        <v>960</v>
      </c>
      <c r="Z2187" s="17" t="s">
        <v>251</v>
      </c>
      <c r="AA2187" s="17" t="s">
        <v>919</v>
      </c>
      <c r="AB2187" s="17" t="s">
        <v>41</v>
      </c>
      <c r="AC2187" s="0" t="str">
        <f aca="false">LEFT(G2187,2)</f>
        <v>86</v>
      </c>
    </row>
    <row r="2188" customFormat="false" ht="15" hidden="false" customHeight="false" outlineLevel="0" collapsed="false">
      <c r="A2188" s="13" t="n">
        <f aca="false">1+A2187</f>
        <v>2186</v>
      </c>
      <c r="B2188" s="14" t="n">
        <v>1009630155</v>
      </c>
      <c r="C2188" s="15" t="s">
        <v>182</v>
      </c>
      <c r="D2188" s="16" t="s">
        <v>64</v>
      </c>
      <c r="E2188" s="17" t="s">
        <v>33</v>
      </c>
      <c r="F2188" s="18" t="s">
        <v>34</v>
      </c>
      <c r="G2188" s="19" t="n">
        <v>868155168537</v>
      </c>
      <c r="H2188" s="17" t="s">
        <v>35</v>
      </c>
      <c r="I2188" s="17" t="s">
        <v>72</v>
      </c>
      <c r="J2188" s="17" t="s">
        <v>267</v>
      </c>
      <c r="K2188" s="17" t="s">
        <v>960</v>
      </c>
      <c r="L2188" s="17" t="n">
        <v>5</v>
      </c>
      <c r="M2188" s="17" t="s">
        <v>952</v>
      </c>
      <c r="N2188" s="17" t="n">
        <v>24</v>
      </c>
      <c r="O2188" s="17" t="s">
        <v>975</v>
      </c>
      <c r="P2188" s="17" t="n">
        <v>11</v>
      </c>
      <c r="Q2188" s="17" t="s">
        <v>953</v>
      </c>
      <c r="R2188" s="17" t="s">
        <v>35</v>
      </c>
      <c r="S2188" s="17" t="s">
        <v>613</v>
      </c>
      <c r="T2188" s="18" t="s">
        <v>248</v>
      </c>
      <c r="U2188" s="20" t="s">
        <v>122</v>
      </c>
      <c r="V2188" s="17" t="n">
        <v>2</v>
      </c>
      <c r="W2188" s="20" t="s">
        <v>122</v>
      </c>
      <c r="X2188" s="17" t="s">
        <v>267</v>
      </c>
      <c r="Y2188" s="17" t="s">
        <v>960</v>
      </c>
      <c r="Z2188" s="17" t="s">
        <v>1137</v>
      </c>
      <c r="AA2188" s="17" t="s">
        <v>919</v>
      </c>
      <c r="AB2188" s="17" t="s">
        <v>41</v>
      </c>
      <c r="AC2188" s="0" t="str">
        <f aca="false">LEFT(G2188,2)</f>
        <v>86</v>
      </c>
    </row>
    <row r="2189" customFormat="false" ht="15" hidden="false" customHeight="false" outlineLevel="0" collapsed="false">
      <c r="A2189" s="13" t="n">
        <f aca="false">1+A2188</f>
        <v>2187</v>
      </c>
      <c r="B2189" s="14" t="n">
        <v>1009408747</v>
      </c>
      <c r="C2189" s="15" t="s">
        <v>203</v>
      </c>
      <c r="D2189" s="16" t="s">
        <v>64</v>
      </c>
      <c r="E2189" s="17" t="s">
        <v>47</v>
      </c>
      <c r="F2189" s="18" t="s">
        <v>34</v>
      </c>
      <c r="G2189" s="19" t="n">
        <v>865341213136</v>
      </c>
      <c r="H2189" s="17" t="s">
        <v>35</v>
      </c>
      <c r="I2189" s="17" t="s">
        <v>72</v>
      </c>
      <c r="J2189" s="17" t="s">
        <v>100</v>
      </c>
      <c r="K2189" s="17" t="s">
        <v>978</v>
      </c>
      <c r="L2189" s="17" t="n">
        <v>1</v>
      </c>
      <c r="M2189" s="17" t="s">
        <v>610</v>
      </c>
      <c r="N2189" s="17" t="n">
        <v>1</v>
      </c>
      <c r="O2189" s="17" t="s">
        <v>611</v>
      </c>
      <c r="P2189" s="17" t="n">
        <v>11</v>
      </c>
      <c r="Q2189" s="17" t="s">
        <v>953</v>
      </c>
      <c r="R2189" s="17" t="s">
        <v>35</v>
      </c>
      <c r="S2189" s="17" t="s">
        <v>613</v>
      </c>
      <c r="T2189" s="18" t="s">
        <v>248</v>
      </c>
      <c r="U2189" s="20" t="s">
        <v>122</v>
      </c>
      <c r="V2189" s="17" t="n">
        <v>2</v>
      </c>
      <c r="W2189" s="20" t="s">
        <v>122</v>
      </c>
      <c r="X2189" s="17" t="s">
        <v>100</v>
      </c>
      <c r="Y2189" s="17" t="s">
        <v>978</v>
      </c>
      <c r="Z2189" s="17" t="s">
        <v>1138</v>
      </c>
      <c r="AA2189" s="17" t="s">
        <v>919</v>
      </c>
      <c r="AB2189" s="17" t="s">
        <v>41</v>
      </c>
      <c r="AC2189" s="0" t="str">
        <f aca="false">LEFT(G2189,2)</f>
        <v>86</v>
      </c>
    </row>
    <row r="2190" customFormat="false" ht="15" hidden="false" customHeight="false" outlineLevel="0" collapsed="false">
      <c r="A2190" s="13" t="n">
        <f aca="false">1+A2189</f>
        <v>2188</v>
      </c>
      <c r="B2190" s="14" t="n">
        <v>1009669957</v>
      </c>
      <c r="C2190" s="15" t="s">
        <v>436</v>
      </c>
      <c r="D2190" s="16" t="s">
        <v>108</v>
      </c>
      <c r="E2190" s="17" t="s">
        <v>33</v>
      </c>
      <c r="F2190" s="18" t="s">
        <v>34</v>
      </c>
      <c r="G2190" s="19" t="n">
        <v>865314311347</v>
      </c>
      <c r="H2190" s="17" t="s">
        <v>35</v>
      </c>
      <c r="I2190" s="17" t="s">
        <v>72</v>
      </c>
      <c r="J2190" s="17" t="s">
        <v>121</v>
      </c>
      <c r="K2190" s="17" t="s">
        <v>955</v>
      </c>
      <c r="L2190" s="17" t="n">
        <v>5</v>
      </c>
      <c r="M2190" s="17" t="s">
        <v>952</v>
      </c>
      <c r="N2190" s="17" t="n">
        <v>24</v>
      </c>
      <c r="O2190" s="17" t="s">
        <v>975</v>
      </c>
      <c r="P2190" s="17" t="n">
        <v>11</v>
      </c>
      <c r="Q2190" s="17" t="s">
        <v>953</v>
      </c>
      <c r="R2190" s="17" t="s">
        <v>35</v>
      </c>
      <c r="S2190" s="17" t="s">
        <v>613</v>
      </c>
      <c r="T2190" s="18" t="s">
        <v>248</v>
      </c>
      <c r="U2190" s="20" t="s">
        <v>122</v>
      </c>
      <c r="V2190" s="17" t="n">
        <v>2</v>
      </c>
      <c r="W2190" s="20" t="s">
        <v>122</v>
      </c>
      <c r="X2190" s="17" t="s">
        <v>121</v>
      </c>
      <c r="Y2190" s="17" t="s">
        <v>955</v>
      </c>
      <c r="Z2190" s="17" t="s">
        <v>1139</v>
      </c>
      <c r="AA2190" s="17" t="s">
        <v>919</v>
      </c>
      <c r="AB2190" s="17" t="s">
        <v>41</v>
      </c>
      <c r="AC2190" s="0" t="str">
        <f aca="false">LEFT(G2190,2)</f>
        <v>86</v>
      </c>
    </row>
    <row r="2191" customFormat="false" ht="15" hidden="false" customHeight="false" outlineLevel="0" collapsed="false">
      <c r="A2191" s="13" t="n">
        <f aca="false">1+A2190</f>
        <v>2189</v>
      </c>
      <c r="B2191" s="14" t="n">
        <v>1009665520</v>
      </c>
      <c r="C2191" s="15" t="s">
        <v>436</v>
      </c>
      <c r="D2191" s="16" t="s">
        <v>64</v>
      </c>
      <c r="E2191" s="17" t="s">
        <v>47</v>
      </c>
      <c r="F2191" s="18" t="s">
        <v>34</v>
      </c>
      <c r="G2191" s="19" t="n">
        <v>867007118161</v>
      </c>
      <c r="H2191" s="17" t="s">
        <v>35</v>
      </c>
      <c r="I2191" s="17" t="s">
        <v>72</v>
      </c>
      <c r="J2191" s="17" t="s">
        <v>121</v>
      </c>
      <c r="K2191" s="17" t="s">
        <v>955</v>
      </c>
      <c r="L2191" s="17" t="n">
        <v>1</v>
      </c>
      <c r="M2191" s="17" t="s">
        <v>610</v>
      </c>
      <c r="N2191" s="17" t="n">
        <v>1</v>
      </c>
      <c r="O2191" s="17" t="s">
        <v>611</v>
      </c>
      <c r="P2191" s="17" t="n">
        <v>11</v>
      </c>
      <c r="Q2191" s="17" t="s">
        <v>953</v>
      </c>
      <c r="R2191" s="17" t="s">
        <v>35</v>
      </c>
      <c r="S2191" s="17" t="s">
        <v>613</v>
      </c>
      <c r="T2191" s="18" t="s">
        <v>248</v>
      </c>
      <c r="U2191" s="20" t="s">
        <v>122</v>
      </c>
      <c r="V2191" s="17" t="n">
        <v>2</v>
      </c>
      <c r="W2191" s="20" t="s">
        <v>122</v>
      </c>
      <c r="X2191" s="17" t="s">
        <v>121</v>
      </c>
      <c r="Y2191" s="17" t="s">
        <v>955</v>
      </c>
      <c r="Z2191" s="17" t="s">
        <v>276</v>
      </c>
      <c r="AA2191" s="17" t="s">
        <v>919</v>
      </c>
      <c r="AB2191" s="17" t="s">
        <v>41</v>
      </c>
      <c r="AC2191" s="0" t="str">
        <f aca="false">LEFT(G2191,2)</f>
        <v>86</v>
      </c>
    </row>
    <row r="2192" customFormat="false" ht="15" hidden="false" customHeight="false" outlineLevel="0" collapsed="false">
      <c r="A2192" s="13" t="n">
        <f aca="false">1+A2191</f>
        <v>2190</v>
      </c>
      <c r="B2192" s="14" t="n">
        <v>1009355863</v>
      </c>
      <c r="C2192" s="15" t="s">
        <v>278</v>
      </c>
      <c r="D2192" s="16" t="s">
        <v>64</v>
      </c>
      <c r="E2192" s="17" t="s">
        <v>47</v>
      </c>
      <c r="F2192" s="18" t="s">
        <v>34</v>
      </c>
      <c r="G2192" s="19" t="n">
        <v>865202154304</v>
      </c>
      <c r="H2192" s="17" t="s">
        <v>35</v>
      </c>
      <c r="I2192" s="17" t="s">
        <v>72</v>
      </c>
      <c r="J2192" s="17" t="s">
        <v>100</v>
      </c>
      <c r="K2192" s="17" t="s">
        <v>978</v>
      </c>
      <c r="L2192" s="17" t="n">
        <v>1</v>
      </c>
      <c r="M2192" s="17" t="s">
        <v>610</v>
      </c>
      <c r="N2192" s="17" t="n">
        <v>1</v>
      </c>
      <c r="O2192" s="17" t="s">
        <v>611</v>
      </c>
      <c r="P2192" s="17" t="n">
        <v>11</v>
      </c>
      <c r="Q2192" s="17" t="s">
        <v>953</v>
      </c>
      <c r="R2192" s="17" t="s">
        <v>35</v>
      </c>
      <c r="S2192" s="17" t="s">
        <v>613</v>
      </c>
      <c r="T2192" s="18" t="s">
        <v>248</v>
      </c>
      <c r="U2192" s="20" t="s">
        <v>122</v>
      </c>
      <c r="V2192" s="17" t="n">
        <v>2</v>
      </c>
      <c r="W2192" s="20" t="s">
        <v>122</v>
      </c>
      <c r="X2192" s="17" t="s">
        <v>100</v>
      </c>
      <c r="Y2192" s="17" t="s">
        <v>978</v>
      </c>
      <c r="Z2192" s="17" t="s">
        <v>251</v>
      </c>
      <c r="AA2192" s="17" t="s">
        <v>919</v>
      </c>
      <c r="AB2192" s="17" t="s">
        <v>41</v>
      </c>
      <c r="AC2192" s="0" t="str">
        <f aca="false">LEFT(G2192,2)</f>
        <v>86</v>
      </c>
    </row>
    <row r="2193" customFormat="false" ht="15" hidden="false" customHeight="false" outlineLevel="0" collapsed="false">
      <c r="A2193" s="13" t="n">
        <f aca="false">1+A2192</f>
        <v>2191</v>
      </c>
      <c r="B2193" s="14" t="n">
        <v>1009624584</v>
      </c>
      <c r="C2193" s="15" t="s">
        <v>163</v>
      </c>
      <c r="D2193" s="16" t="s">
        <v>64</v>
      </c>
      <c r="E2193" s="17" t="s">
        <v>64</v>
      </c>
      <c r="F2193" s="18" t="s">
        <v>34</v>
      </c>
      <c r="G2193" s="19" t="n">
        <v>866074137807</v>
      </c>
      <c r="H2193" s="17" t="s">
        <v>35</v>
      </c>
      <c r="I2193" s="17" t="s">
        <v>72</v>
      </c>
      <c r="J2193" s="17" t="s">
        <v>267</v>
      </c>
      <c r="K2193" s="17" t="s">
        <v>960</v>
      </c>
      <c r="L2193" s="17" t="n">
        <v>5</v>
      </c>
      <c r="M2193" s="17" t="s">
        <v>952</v>
      </c>
      <c r="N2193" s="17" t="n">
        <v>37</v>
      </c>
      <c r="O2193" s="17" t="s">
        <v>1034</v>
      </c>
      <c r="P2193" s="17" t="n">
        <v>11</v>
      </c>
      <c r="Q2193" s="17" t="s">
        <v>953</v>
      </c>
      <c r="R2193" s="17" t="s">
        <v>35</v>
      </c>
      <c r="S2193" s="17" t="s">
        <v>613</v>
      </c>
      <c r="T2193" s="18" t="s">
        <v>248</v>
      </c>
      <c r="U2193" s="20" t="s">
        <v>122</v>
      </c>
      <c r="V2193" s="17" t="n">
        <v>2</v>
      </c>
      <c r="W2193" s="20" t="s">
        <v>122</v>
      </c>
      <c r="X2193" s="17" t="s">
        <v>267</v>
      </c>
      <c r="Y2193" s="17" t="s">
        <v>960</v>
      </c>
      <c r="Z2193" s="17" t="s">
        <v>349</v>
      </c>
      <c r="AA2193" s="17" t="s">
        <v>919</v>
      </c>
      <c r="AB2193" s="17" t="s">
        <v>41</v>
      </c>
      <c r="AC2193" s="0" t="str">
        <f aca="false">LEFT(G2193,2)</f>
        <v>86</v>
      </c>
    </row>
    <row r="2194" customFormat="false" ht="15" hidden="false" customHeight="false" outlineLevel="0" collapsed="false">
      <c r="A2194" s="13" t="n">
        <f aca="false">1+A2193</f>
        <v>2192</v>
      </c>
      <c r="B2194" s="14" t="n">
        <v>1009463232</v>
      </c>
      <c r="C2194" s="15" t="s">
        <v>151</v>
      </c>
      <c r="D2194" s="16" t="s">
        <v>175</v>
      </c>
      <c r="E2194" s="17" t="s">
        <v>176</v>
      </c>
      <c r="F2194" s="18" t="s">
        <v>34</v>
      </c>
      <c r="G2194" s="19" t="n">
        <v>867007109905</v>
      </c>
      <c r="H2194" s="17" t="s">
        <v>35</v>
      </c>
      <c r="I2194" s="17" t="s">
        <v>72</v>
      </c>
      <c r="J2194" s="17" t="s">
        <v>287</v>
      </c>
      <c r="K2194" s="17" t="s">
        <v>1006</v>
      </c>
      <c r="L2194" s="17" t="n">
        <v>11</v>
      </c>
      <c r="M2194" s="17" t="s">
        <v>1140</v>
      </c>
      <c r="N2194" s="17" t="n">
        <v>10</v>
      </c>
      <c r="O2194" s="17" t="s">
        <v>1141</v>
      </c>
      <c r="P2194" s="17" t="n">
        <v>12</v>
      </c>
      <c r="Q2194" s="17" t="s">
        <v>612</v>
      </c>
      <c r="R2194" s="17" t="s">
        <v>35</v>
      </c>
      <c r="S2194" s="17" t="s">
        <v>613</v>
      </c>
      <c r="T2194" s="18" t="s">
        <v>135</v>
      </c>
      <c r="U2194" s="20" t="s">
        <v>101</v>
      </c>
      <c r="V2194" s="17" t="n">
        <v>8</v>
      </c>
      <c r="W2194" s="20" t="s">
        <v>101</v>
      </c>
      <c r="X2194" s="17" t="s">
        <v>287</v>
      </c>
      <c r="Y2194" s="17" t="s">
        <v>1006</v>
      </c>
      <c r="Z2194" s="17" t="s">
        <v>1142</v>
      </c>
      <c r="AA2194" s="17" t="s">
        <v>919</v>
      </c>
      <c r="AB2194" s="17" t="s">
        <v>41</v>
      </c>
      <c r="AC2194" s="0" t="str">
        <f aca="false">LEFT(G2194,2)</f>
        <v>86</v>
      </c>
    </row>
    <row r="2195" customFormat="false" ht="15" hidden="false" customHeight="false" outlineLevel="0" collapsed="false">
      <c r="A2195" s="13" t="n">
        <f aca="false">1+A2194</f>
        <v>2193</v>
      </c>
      <c r="B2195" s="14" t="n">
        <v>1009623906</v>
      </c>
      <c r="C2195" s="15" t="s">
        <v>163</v>
      </c>
      <c r="D2195" s="16" t="s">
        <v>64</v>
      </c>
      <c r="E2195" s="17" t="s">
        <v>64</v>
      </c>
      <c r="F2195" s="18" t="s">
        <v>34</v>
      </c>
      <c r="G2195" s="19" t="n">
        <v>866084187453</v>
      </c>
      <c r="H2195" s="17" t="s">
        <v>35</v>
      </c>
      <c r="I2195" s="17" t="s">
        <v>72</v>
      </c>
      <c r="J2195" s="17" t="s">
        <v>239</v>
      </c>
      <c r="K2195" s="17" t="s">
        <v>951</v>
      </c>
      <c r="L2195" s="17" t="n">
        <v>5</v>
      </c>
      <c r="M2195" s="17" t="s">
        <v>952</v>
      </c>
      <c r="N2195" s="17" t="n">
        <v>1</v>
      </c>
      <c r="O2195" s="17" t="s">
        <v>611</v>
      </c>
      <c r="P2195" s="17" t="n">
        <v>11</v>
      </c>
      <c r="Q2195" s="17" t="s">
        <v>953</v>
      </c>
      <c r="R2195" s="17" t="s">
        <v>35</v>
      </c>
      <c r="S2195" s="17" t="s">
        <v>613</v>
      </c>
      <c r="T2195" s="18" t="s">
        <v>248</v>
      </c>
      <c r="U2195" s="20" t="s">
        <v>122</v>
      </c>
      <c r="V2195" s="17" t="n">
        <v>2</v>
      </c>
      <c r="W2195" s="20" t="s">
        <v>122</v>
      </c>
      <c r="X2195" s="17" t="s">
        <v>239</v>
      </c>
      <c r="Y2195" s="17" t="s">
        <v>951</v>
      </c>
      <c r="Z2195" s="17" t="s">
        <v>1128</v>
      </c>
      <c r="AA2195" s="17" t="s">
        <v>919</v>
      </c>
      <c r="AB2195" s="17" t="s">
        <v>41</v>
      </c>
      <c r="AC2195" s="0" t="str">
        <f aca="false">LEFT(G2195,2)</f>
        <v>86</v>
      </c>
    </row>
    <row r="2196" customFormat="false" ht="15" hidden="false" customHeight="false" outlineLevel="0" collapsed="false">
      <c r="A2196" s="13" t="n">
        <f aca="false">1+A2195</f>
        <v>2194</v>
      </c>
      <c r="B2196" s="14" t="n">
        <v>1009536404</v>
      </c>
      <c r="C2196" s="15" t="s">
        <v>311</v>
      </c>
      <c r="D2196" s="16" t="s">
        <v>64</v>
      </c>
      <c r="E2196" s="17" t="s">
        <v>64</v>
      </c>
      <c r="F2196" s="18" t="s">
        <v>34</v>
      </c>
      <c r="G2196" s="19" t="n">
        <v>868152173597</v>
      </c>
      <c r="H2196" s="17" t="s">
        <v>35</v>
      </c>
      <c r="I2196" s="17" t="s">
        <v>72</v>
      </c>
      <c r="J2196" s="17" t="s">
        <v>239</v>
      </c>
      <c r="K2196" s="17" t="s">
        <v>951</v>
      </c>
      <c r="L2196" s="17" t="n">
        <v>5</v>
      </c>
      <c r="M2196" s="17" t="s">
        <v>952</v>
      </c>
      <c r="N2196" s="17" t="n">
        <v>1</v>
      </c>
      <c r="O2196" s="17" t="s">
        <v>611</v>
      </c>
      <c r="P2196" s="17" t="n">
        <v>11</v>
      </c>
      <c r="Q2196" s="17" t="s">
        <v>953</v>
      </c>
      <c r="R2196" s="17" t="s">
        <v>35</v>
      </c>
      <c r="S2196" s="17" t="s">
        <v>613</v>
      </c>
      <c r="T2196" s="18" t="s">
        <v>248</v>
      </c>
      <c r="U2196" s="20" t="s">
        <v>122</v>
      </c>
      <c r="V2196" s="17" t="n">
        <v>2</v>
      </c>
      <c r="W2196" s="20" t="s">
        <v>122</v>
      </c>
      <c r="X2196" s="17" t="s">
        <v>239</v>
      </c>
      <c r="Y2196" s="17" t="s">
        <v>951</v>
      </c>
      <c r="Z2196" s="17" t="s">
        <v>260</v>
      </c>
      <c r="AA2196" s="17" t="s">
        <v>919</v>
      </c>
      <c r="AB2196" s="17" t="s">
        <v>41</v>
      </c>
      <c r="AC2196" s="0" t="str">
        <f aca="false">LEFT(G2196,2)</f>
        <v>86</v>
      </c>
    </row>
    <row r="2197" customFormat="false" ht="15" hidden="false" customHeight="false" outlineLevel="0" collapsed="false">
      <c r="A2197" s="13" t="n">
        <f aca="false">1+A2196</f>
        <v>2195</v>
      </c>
      <c r="B2197" s="14" t="n">
        <v>1009649843</v>
      </c>
      <c r="C2197" s="15" t="s">
        <v>204</v>
      </c>
      <c r="D2197" s="16" t="s">
        <v>64</v>
      </c>
      <c r="E2197" s="17" t="s">
        <v>64</v>
      </c>
      <c r="F2197" s="18" t="s">
        <v>34</v>
      </c>
      <c r="G2197" s="19" t="n">
        <v>865340249339</v>
      </c>
      <c r="H2197" s="17" t="s">
        <v>35</v>
      </c>
      <c r="I2197" s="17" t="s">
        <v>72</v>
      </c>
      <c r="J2197" s="17" t="s">
        <v>239</v>
      </c>
      <c r="K2197" s="17" t="s">
        <v>951</v>
      </c>
      <c r="L2197" s="17" t="n">
        <v>5</v>
      </c>
      <c r="M2197" s="17" t="s">
        <v>952</v>
      </c>
      <c r="N2197" s="17" t="n">
        <v>1</v>
      </c>
      <c r="O2197" s="17" t="s">
        <v>611</v>
      </c>
      <c r="P2197" s="17" t="n">
        <v>11</v>
      </c>
      <c r="Q2197" s="17" t="s">
        <v>953</v>
      </c>
      <c r="R2197" s="17" t="s">
        <v>35</v>
      </c>
      <c r="S2197" s="17" t="s">
        <v>613</v>
      </c>
      <c r="T2197" s="18" t="s">
        <v>248</v>
      </c>
      <c r="U2197" s="20" t="s">
        <v>199</v>
      </c>
      <c r="V2197" s="17" t="n">
        <v>3</v>
      </c>
      <c r="W2197" s="20" t="s">
        <v>199</v>
      </c>
      <c r="X2197" s="17" t="s">
        <v>239</v>
      </c>
      <c r="Y2197" s="17" t="s">
        <v>951</v>
      </c>
      <c r="Z2197" s="17" t="s">
        <v>1143</v>
      </c>
      <c r="AA2197" s="17" t="s">
        <v>919</v>
      </c>
      <c r="AB2197" s="17" t="s">
        <v>41</v>
      </c>
      <c r="AC2197" s="0" t="str">
        <f aca="false">LEFT(G2197,2)</f>
        <v>86</v>
      </c>
    </row>
    <row r="2198" customFormat="false" ht="15" hidden="false" customHeight="false" outlineLevel="0" collapsed="false">
      <c r="A2198" s="13" t="n">
        <f aca="false">1+A2197</f>
        <v>2196</v>
      </c>
      <c r="B2198" s="14" t="n">
        <v>1009573025</v>
      </c>
      <c r="C2198" s="15" t="s">
        <v>104</v>
      </c>
      <c r="D2198" s="16" t="s">
        <v>210</v>
      </c>
      <c r="E2198" s="17" t="s">
        <v>47</v>
      </c>
      <c r="F2198" s="18" t="s">
        <v>34</v>
      </c>
      <c r="G2198" s="19" t="n">
        <v>866282144447</v>
      </c>
      <c r="H2198" s="17" t="s">
        <v>35</v>
      </c>
      <c r="I2198" s="17" t="s">
        <v>72</v>
      </c>
      <c r="J2198" s="17" t="s">
        <v>106</v>
      </c>
      <c r="K2198" s="17" t="s">
        <v>1144</v>
      </c>
      <c r="L2198" s="17" t="n">
        <v>5</v>
      </c>
      <c r="M2198" s="17" t="s">
        <v>952</v>
      </c>
      <c r="N2198" s="17" t="n">
        <v>1</v>
      </c>
      <c r="O2198" s="17" t="s">
        <v>611</v>
      </c>
      <c r="P2198" s="17" t="n">
        <v>11</v>
      </c>
      <c r="Q2198" s="17" t="s">
        <v>953</v>
      </c>
      <c r="R2198" s="17" t="s">
        <v>35</v>
      </c>
      <c r="S2198" s="17" t="s">
        <v>613</v>
      </c>
      <c r="T2198" s="18" t="s">
        <v>248</v>
      </c>
      <c r="U2198" s="20" t="s">
        <v>122</v>
      </c>
      <c r="V2198" s="17" t="n">
        <v>2</v>
      </c>
      <c r="W2198" s="20" t="s">
        <v>122</v>
      </c>
      <c r="X2198" s="17" t="s">
        <v>106</v>
      </c>
      <c r="Y2198" s="17" t="s">
        <v>1144</v>
      </c>
      <c r="Z2198" s="17" t="s">
        <v>349</v>
      </c>
      <c r="AA2198" s="17" t="s">
        <v>919</v>
      </c>
      <c r="AB2198" s="17" t="s">
        <v>41</v>
      </c>
      <c r="AC2198" s="0" t="str">
        <f aca="false">LEFT(G2198,2)</f>
        <v>86</v>
      </c>
    </row>
    <row r="2199" customFormat="false" ht="15" hidden="false" customHeight="false" outlineLevel="0" collapsed="false">
      <c r="A2199" s="13" t="n">
        <f aca="false">1+A2198</f>
        <v>2197</v>
      </c>
      <c r="B2199" s="14" t="n">
        <v>1009649234</v>
      </c>
      <c r="C2199" s="15" t="s">
        <v>204</v>
      </c>
      <c r="D2199" s="16" t="s">
        <v>64</v>
      </c>
      <c r="E2199" s="17" t="s">
        <v>64</v>
      </c>
      <c r="F2199" s="18" t="s">
        <v>34</v>
      </c>
      <c r="G2199" s="19" t="n">
        <v>865179130055</v>
      </c>
      <c r="H2199" s="17" t="s">
        <v>35</v>
      </c>
      <c r="I2199" s="17" t="s">
        <v>72</v>
      </c>
      <c r="J2199" s="17" t="s">
        <v>289</v>
      </c>
      <c r="K2199" s="17" t="s">
        <v>1067</v>
      </c>
      <c r="L2199" s="17" t="n">
        <v>5</v>
      </c>
      <c r="M2199" s="17" t="s">
        <v>952</v>
      </c>
      <c r="N2199" s="17" t="n">
        <v>1</v>
      </c>
      <c r="O2199" s="17" t="s">
        <v>611</v>
      </c>
      <c r="P2199" s="17" t="n">
        <v>11</v>
      </c>
      <c r="Q2199" s="17" t="s">
        <v>953</v>
      </c>
      <c r="R2199" s="17" t="s">
        <v>35</v>
      </c>
      <c r="S2199" s="17" t="s">
        <v>613</v>
      </c>
      <c r="T2199" s="18" t="s">
        <v>248</v>
      </c>
      <c r="U2199" s="20" t="s">
        <v>122</v>
      </c>
      <c r="V2199" s="17" t="n">
        <v>2</v>
      </c>
      <c r="W2199" s="20" t="s">
        <v>122</v>
      </c>
      <c r="X2199" s="17" t="s">
        <v>289</v>
      </c>
      <c r="Y2199" s="17" t="s">
        <v>1067</v>
      </c>
      <c r="Z2199" s="17" t="s">
        <v>341</v>
      </c>
      <c r="AA2199" s="17" t="s">
        <v>919</v>
      </c>
      <c r="AB2199" s="17" t="s">
        <v>41</v>
      </c>
      <c r="AC2199" s="0" t="str">
        <f aca="false">LEFT(G2199,2)</f>
        <v>86</v>
      </c>
    </row>
    <row r="2200" customFormat="false" ht="15" hidden="false" customHeight="false" outlineLevel="0" collapsed="false">
      <c r="A2200" s="13" t="n">
        <f aca="false">1+A2199</f>
        <v>2198</v>
      </c>
      <c r="B2200" s="14" t="n">
        <v>1009600298</v>
      </c>
      <c r="C2200" s="15" t="s">
        <v>159</v>
      </c>
      <c r="D2200" s="16" t="s">
        <v>64</v>
      </c>
      <c r="E2200" s="17" t="s">
        <v>64</v>
      </c>
      <c r="F2200" s="18" t="s">
        <v>34</v>
      </c>
      <c r="G2200" s="19" t="n">
        <v>866173111368</v>
      </c>
      <c r="H2200" s="17" t="s">
        <v>35</v>
      </c>
      <c r="I2200" s="17" t="s">
        <v>72</v>
      </c>
      <c r="J2200" s="17" t="s">
        <v>118</v>
      </c>
      <c r="K2200" s="17" t="s">
        <v>609</v>
      </c>
      <c r="L2200" s="17" t="n">
        <v>5</v>
      </c>
      <c r="M2200" s="17" t="s">
        <v>952</v>
      </c>
      <c r="N2200" s="17" t="n">
        <v>1</v>
      </c>
      <c r="O2200" s="17" t="s">
        <v>611</v>
      </c>
      <c r="P2200" s="17" t="n">
        <v>11</v>
      </c>
      <c r="Q2200" s="17" t="s">
        <v>953</v>
      </c>
      <c r="R2200" s="17" t="s">
        <v>35</v>
      </c>
      <c r="S2200" s="17" t="s">
        <v>613</v>
      </c>
      <c r="T2200" s="18" t="s">
        <v>248</v>
      </c>
      <c r="U2200" s="20" t="s">
        <v>122</v>
      </c>
      <c r="V2200" s="17" t="n">
        <v>2</v>
      </c>
      <c r="W2200" s="20" t="s">
        <v>122</v>
      </c>
      <c r="X2200" s="17" t="s">
        <v>118</v>
      </c>
      <c r="Y2200" s="17" t="s">
        <v>609</v>
      </c>
      <c r="Z2200" s="17" t="s">
        <v>1112</v>
      </c>
      <c r="AA2200" s="17" t="s">
        <v>919</v>
      </c>
      <c r="AB2200" s="17" t="s">
        <v>41</v>
      </c>
      <c r="AC2200" s="0" t="str">
        <f aca="false">LEFT(G2200,2)</f>
        <v>86</v>
      </c>
    </row>
    <row r="2201" customFormat="false" ht="15" hidden="false" customHeight="false" outlineLevel="0" collapsed="false">
      <c r="A2201" s="13" t="n">
        <f aca="false">1+A2200</f>
        <v>2199</v>
      </c>
      <c r="B2201" s="14" t="n">
        <v>1009624330</v>
      </c>
      <c r="C2201" s="15" t="s">
        <v>163</v>
      </c>
      <c r="D2201" s="16" t="s">
        <v>64</v>
      </c>
      <c r="E2201" s="17" t="s">
        <v>64</v>
      </c>
      <c r="F2201" s="18" t="s">
        <v>34</v>
      </c>
      <c r="G2201" s="19" t="n">
        <v>866008209664</v>
      </c>
      <c r="H2201" s="17" t="s">
        <v>35</v>
      </c>
      <c r="I2201" s="17" t="s">
        <v>72</v>
      </c>
      <c r="J2201" s="17" t="s">
        <v>100</v>
      </c>
      <c r="K2201" s="17" t="s">
        <v>978</v>
      </c>
      <c r="L2201" s="17" t="n">
        <v>1</v>
      </c>
      <c r="M2201" s="17" t="s">
        <v>610</v>
      </c>
      <c r="N2201" s="17" t="n">
        <v>1</v>
      </c>
      <c r="O2201" s="17" t="s">
        <v>611</v>
      </c>
      <c r="P2201" s="17" t="n">
        <v>11</v>
      </c>
      <c r="Q2201" s="17" t="s">
        <v>953</v>
      </c>
      <c r="R2201" s="17" t="s">
        <v>35</v>
      </c>
      <c r="S2201" s="17" t="s">
        <v>613</v>
      </c>
      <c r="T2201" s="18" t="s">
        <v>248</v>
      </c>
      <c r="U2201" s="20" t="s">
        <v>122</v>
      </c>
      <c r="V2201" s="17" t="n">
        <v>2</v>
      </c>
      <c r="W2201" s="20" t="s">
        <v>122</v>
      </c>
      <c r="X2201" s="17" t="s">
        <v>100</v>
      </c>
      <c r="Y2201" s="17" t="s">
        <v>978</v>
      </c>
      <c r="Z2201" s="17" t="s">
        <v>341</v>
      </c>
      <c r="AA2201" s="17" t="s">
        <v>919</v>
      </c>
      <c r="AB2201" s="17" t="s">
        <v>41</v>
      </c>
      <c r="AC2201" s="0" t="str">
        <f aca="false">LEFT(G2201,2)</f>
        <v>86</v>
      </c>
    </row>
    <row r="2202" customFormat="false" ht="15" hidden="false" customHeight="false" outlineLevel="0" collapsed="false">
      <c r="A2202" s="13" t="n">
        <f aca="false">1+A2201</f>
        <v>2200</v>
      </c>
      <c r="B2202" s="14" t="n">
        <v>1009617894</v>
      </c>
      <c r="C2202" s="15" t="s">
        <v>184</v>
      </c>
      <c r="D2202" s="16" t="s">
        <v>64</v>
      </c>
      <c r="E2202" s="17" t="s">
        <v>47</v>
      </c>
      <c r="F2202" s="18" t="s">
        <v>34</v>
      </c>
      <c r="G2202" s="19" t="n">
        <v>866295107860</v>
      </c>
      <c r="H2202" s="17" t="s">
        <v>35</v>
      </c>
      <c r="I2202" s="17" t="s">
        <v>72</v>
      </c>
      <c r="J2202" s="17" t="s">
        <v>111</v>
      </c>
      <c r="K2202" s="17" t="s">
        <v>958</v>
      </c>
      <c r="L2202" s="17" t="n">
        <v>1</v>
      </c>
      <c r="M2202" s="17" t="s">
        <v>610</v>
      </c>
      <c r="N2202" s="17" t="n">
        <v>1</v>
      </c>
      <c r="O2202" s="17" t="s">
        <v>611</v>
      </c>
      <c r="P2202" s="17" t="n">
        <v>11</v>
      </c>
      <c r="Q2202" s="17" t="s">
        <v>953</v>
      </c>
      <c r="R2202" s="17" t="s">
        <v>35</v>
      </c>
      <c r="S2202" s="17" t="s">
        <v>613</v>
      </c>
      <c r="T2202" s="18" t="s">
        <v>248</v>
      </c>
      <c r="U2202" s="20" t="s">
        <v>122</v>
      </c>
      <c r="V2202" s="17" t="n">
        <v>2</v>
      </c>
      <c r="W2202" s="20" t="s">
        <v>122</v>
      </c>
      <c r="X2202" s="17" t="s">
        <v>111</v>
      </c>
      <c r="Y2202" s="17" t="s">
        <v>958</v>
      </c>
      <c r="Z2202" s="17" t="s">
        <v>349</v>
      </c>
      <c r="AA2202" s="17" t="s">
        <v>919</v>
      </c>
      <c r="AB2202" s="17" t="s">
        <v>41</v>
      </c>
      <c r="AC2202" s="0" t="str">
        <f aca="false">LEFT(G2202,2)</f>
        <v>86</v>
      </c>
    </row>
    <row r="2203" customFormat="false" ht="15" hidden="false" customHeight="false" outlineLevel="0" collapsed="false">
      <c r="A2203" s="13" t="n">
        <f aca="false">1+A2202</f>
        <v>2201</v>
      </c>
      <c r="B2203" s="14" t="n">
        <v>1009631114</v>
      </c>
      <c r="C2203" s="15" t="s">
        <v>182</v>
      </c>
      <c r="D2203" s="16" t="s">
        <v>64</v>
      </c>
      <c r="E2203" s="17" t="s">
        <v>47</v>
      </c>
      <c r="F2203" s="18" t="s">
        <v>34</v>
      </c>
      <c r="G2203" s="19" t="n">
        <v>866256130661</v>
      </c>
      <c r="H2203" s="17" t="s">
        <v>35</v>
      </c>
      <c r="I2203" s="17" t="s">
        <v>72</v>
      </c>
      <c r="J2203" s="17" t="s">
        <v>111</v>
      </c>
      <c r="K2203" s="17" t="s">
        <v>958</v>
      </c>
      <c r="L2203" s="17" t="n">
        <v>1</v>
      </c>
      <c r="M2203" s="17" t="s">
        <v>610</v>
      </c>
      <c r="N2203" s="17" t="n">
        <v>1</v>
      </c>
      <c r="O2203" s="17" t="s">
        <v>611</v>
      </c>
      <c r="P2203" s="17" t="n">
        <v>11</v>
      </c>
      <c r="Q2203" s="17" t="s">
        <v>953</v>
      </c>
      <c r="R2203" s="17" t="s">
        <v>35</v>
      </c>
      <c r="S2203" s="17" t="s">
        <v>613</v>
      </c>
      <c r="T2203" s="18" t="s">
        <v>248</v>
      </c>
      <c r="U2203" s="20" t="s">
        <v>122</v>
      </c>
      <c r="V2203" s="17" t="n">
        <v>2</v>
      </c>
      <c r="W2203" s="20" t="s">
        <v>122</v>
      </c>
      <c r="X2203" s="17" t="s">
        <v>111</v>
      </c>
      <c r="Y2203" s="17" t="s">
        <v>958</v>
      </c>
      <c r="Z2203" s="17" t="s">
        <v>1135</v>
      </c>
      <c r="AA2203" s="17" t="s">
        <v>919</v>
      </c>
      <c r="AB2203" s="17" t="s">
        <v>41</v>
      </c>
      <c r="AC2203" s="0" t="str">
        <f aca="false">LEFT(G2203,2)</f>
        <v>86</v>
      </c>
    </row>
    <row r="2204" customFormat="false" ht="15" hidden="false" customHeight="false" outlineLevel="0" collapsed="false">
      <c r="A2204" s="13" t="n">
        <f aca="false">1+A2203</f>
        <v>2202</v>
      </c>
      <c r="B2204" s="14" t="n">
        <v>1009602261</v>
      </c>
      <c r="C2204" s="15" t="s">
        <v>159</v>
      </c>
      <c r="D2204" s="16" t="s">
        <v>64</v>
      </c>
      <c r="E2204" s="17" t="s">
        <v>114</v>
      </c>
      <c r="F2204" s="18" t="s">
        <v>34</v>
      </c>
      <c r="G2204" s="19" t="n">
        <v>865299198743</v>
      </c>
      <c r="H2204" s="17" t="s">
        <v>35</v>
      </c>
      <c r="I2204" s="17" t="s">
        <v>72</v>
      </c>
      <c r="J2204" s="17" t="s">
        <v>239</v>
      </c>
      <c r="K2204" s="17" t="s">
        <v>951</v>
      </c>
      <c r="L2204" s="17" t="n">
        <v>5</v>
      </c>
      <c r="M2204" s="17" t="s">
        <v>952</v>
      </c>
      <c r="N2204" s="17" t="n">
        <v>24</v>
      </c>
      <c r="O2204" s="17" t="s">
        <v>975</v>
      </c>
      <c r="P2204" s="17" t="n">
        <v>11</v>
      </c>
      <c r="Q2204" s="17" t="s">
        <v>953</v>
      </c>
      <c r="R2204" s="17" t="s">
        <v>35</v>
      </c>
      <c r="S2204" s="17" t="s">
        <v>613</v>
      </c>
      <c r="T2204" s="18" t="s">
        <v>248</v>
      </c>
      <c r="U2204" s="20" t="s">
        <v>122</v>
      </c>
      <c r="V2204" s="17" t="n">
        <v>2</v>
      </c>
      <c r="W2204" s="20" t="s">
        <v>122</v>
      </c>
      <c r="X2204" s="17" t="s">
        <v>239</v>
      </c>
      <c r="Y2204" s="17" t="s">
        <v>951</v>
      </c>
      <c r="Z2204" s="17" t="s">
        <v>1135</v>
      </c>
      <c r="AA2204" s="17" t="s">
        <v>919</v>
      </c>
      <c r="AB2204" s="17" t="s">
        <v>41</v>
      </c>
      <c r="AC2204" s="0" t="str">
        <f aca="false">LEFT(G2204,2)</f>
        <v>86</v>
      </c>
    </row>
    <row r="2205" customFormat="false" ht="15" hidden="false" customHeight="false" outlineLevel="0" collapsed="false">
      <c r="A2205" s="13" t="n">
        <f aca="false">1+A2204</f>
        <v>2203</v>
      </c>
      <c r="B2205" s="14" t="n">
        <v>1009642947</v>
      </c>
      <c r="C2205" s="15" t="s">
        <v>429</v>
      </c>
      <c r="D2205" s="16" t="s">
        <v>175</v>
      </c>
      <c r="E2205" s="17" t="s">
        <v>176</v>
      </c>
      <c r="F2205" s="18" t="s">
        <v>34</v>
      </c>
      <c r="G2205" s="19" t="n">
        <v>864318195087</v>
      </c>
      <c r="H2205" s="17" t="s">
        <v>35</v>
      </c>
      <c r="I2205" s="17" t="s">
        <v>72</v>
      </c>
      <c r="J2205" s="17" t="s">
        <v>239</v>
      </c>
      <c r="K2205" s="17" t="s">
        <v>951</v>
      </c>
      <c r="L2205" s="17" t="n">
        <v>5</v>
      </c>
      <c r="M2205" s="17" t="s">
        <v>952</v>
      </c>
      <c r="N2205" s="17" t="n">
        <v>1</v>
      </c>
      <c r="O2205" s="17" t="s">
        <v>611</v>
      </c>
      <c r="P2205" s="17" t="n">
        <v>11</v>
      </c>
      <c r="Q2205" s="17" t="s">
        <v>953</v>
      </c>
      <c r="R2205" s="17" t="s">
        <v>35</v>
      </c>
      <c r="S2205" s="17" t="s">
        <v>613</v>
      </c>
      <c r="T2205" s="18" t="s">
        <v>248</v>
      </c>
      <c r="U2205" s="20" t="s">
        <v>122</v>
      </c>
      <c r="V2205" s="17" t="n">
        <v>2</v>
      </c>
      <c r="W2205" s="20" t="s">
        <v>122</v>
      </c>
      <c r="X2205" s="17" t="s">
        <v>239</v>
      </c>
      <c r="Y2205" s="17" t="s">
        <v>951</v>
      </c>
      <c r="Z2205" s="17" t="s">
        <v>222</v>
      </c>
      <c r="AA2205" s="17" t="s">
        <v>919</v>
      </c>
      <c r="AB2205" s="17" t="s">
        <v>41</v>
      </c>
      <c r="AC2205" s="0" t="str">
        <f aca="false">LEFT(G2205,2)</f>
        <v>86</v>
      </c>
    </row>
    <row r="2206" customFormat="false" ht="15" hidden="false" customHeight="false" outlineLevel="0" collapsed="false">
      <c r="A2206" s="13" t="n">
        <f aca="false">1+A2205</f>
        <v>2204</v>
      </c>
      <c r="B2206" s="14" t="n">
        <v>1009622459</v>
      </c>
      <c r="C2206" s="15" t="s">
        <v>184</v>
      </c>
      <c r="D2206" s="16" t="s">
        <v>81</v>
      </c>
      <c r="E2206" s="17" t="s">
        <v>33</v>
      </c>
      <c r="F2206" s="18" t="s">
        <v>34</v>
      </c>
      <c r="G2206" s="19" t="n">
        <v>868155111149</v>
      </c>
      <c r="H2206" s="17" t="s">
        <v>35</v>
      </c>
      <c r="I2206" s="17" t="s">
        <v>72</v>
      </c>
      <c r="J2206" s="17" t="s">
        <v>239</v>
      </c>
      <c r="K2206" s="17" t="s">
        <v>951</v>
      </c>
      <c r="L2206" s="17" t="n">
        <v>5</v>
      </c>
      <c r="M2206" s="17" t="s">
        <v>952</v>
      </c>
      <c r="N2206" s="17" t="n">
        <v>1</v>
      </c>
      <c r="O2206" s="17" t="s">
        <v>611</v>
      </c>
      <c r="P2206" s="17" t="n">
        <v>11</v>
      </c>
      <c r="Q2206" s="17" t="s">
        <v>953</v>
      </c>
      <c r="R2206" s="17" t="s">
        <v>35</v>
      </c>
      <c r="S2206" s="17" t="s">
        <v>613</v>
      </c>
      <c r="T2206" s="18" t="s">
        <v>248</v>
      </c>
      <c r="U2206" s="20" t="s">
        <v>122</v>
      </c>
      <c r="V2206" s="17" t="n">
        <v>2</v>
      </c>
      <c r="W2206" s="20" t="s">
        <v>122</v>
      </c>
      <c r="X2206" s="17" t="s">
        <v>239</v>
      </c>
      <c r="Y2206" s="17" t="s">
        <v>951</v>
      </c>
      <c r="Z2206" s="17" t="s">
        <v>222</v>
      </c>
      <c r="AA2206" s="17" t="s">
        <v>919</v>
      </c>
      <c r="AB2206" s="17" t="s">
        <v>41</v>
      </c>
      <c r="AC2206" s="0" t="str">
        <f aca="false">LEFT(G2206,2)</f>
        <v>86</v>
      </c>
    </row>
    <row r="2207" customFormat="false" ht="15" hidden="false" customHeight="false" outlineLevel="0" collapsed="false">
      <c r="A2207" s="13" t="n">
        <f aca="false">1+A2206</f>
        <v>2205</v>
      </c>
      <c r="B2207" s="14" t="n">
        <v>1009682485</v>
      </c>
      <c r="C2207" s="15" t="s">
        <v>1145</v>
      </c>
      <c r="D2207" s="16" t="s">
        <v>52</v>
      </c>
      <c r="E2207" s="17" t="s">
        <v>234</v>
      </c>
      <c r="F2207" s="18" t="s">
        <v>34</v>
      </c>
      <c r="G2207" s="19" t="n">
        <v>866021128537</v>
      </c>
      <c r="H2207" s="17" t="s">
        <v>35</v>
      </c>
      <c r="I2207" s="17" t="s">
        <v>72</v>
      </c>
      <c r="J2207" s="17" t="s">
        <v>241</v>
      </c>
      <c r="K2207" s="17" t="s">
        <v>992</v>
      </c>
      <c r="L2207" s="17" t="n">
        <v>5</v>
      </c>
      <c r="M2207" s="17" t="s">
        <v>952</v>
      </c>
      <c r="N2207" s="17" t="n">
        <v>1</v>
      </c>
      <c r="O2207" s="17" t="s">
        <v>611</v>
      </c>
      <c r="P2207" s="17" t="n">
        <v>11</v>
      </c>
      <c r="Q2207" s="17" t="s">
        <v>953</v>
      </c>
      <c r="R2207" s="17" t="s">
        <v>35</v>
      </c>
      <c r="S2207" s="17" t="s">
        <v>613</v>
      </c>
      <c r="T2207" s="18" t="s">
        <v>248</v>
      </c>
      <c r="U2207" s="20" t="s">
        <v>122</v>
      </c>
      <c r="V2207" s="17" t="n">
        <v>2</v>
      </c>
      <c r="W2207" s="20" t="s">
        <v>122</v>
      </c>
      <c r="X2207" s="17" t="s">
        <v>241</v>
      </c>
      <c r="Y2207" s="17" t="s">
        <v>992</v>
      </c>
      <c r="Z2207" s="17" t="s">
        <v>1146</v>
      </c>
      <c r="AA2207" s="17" t="s">
        <v>919</v>
      </c>
      <c r="AB2207" s="17" t="s">
        <v>41</v>
      </c>
      <c r="AC2207" s="0" t="str">
        <f aca="false">LEFT(G2207,2)</f>
        <v>86</v>
      </c>
    </row>
    <row r="2208" customFormat="false" ht="15" hidden="false" customHeight="false" outlineLevel="0" collapsed="false">
      <c r="A2208" s="13" t="n">
        <f aca="false">1+A2207</f>
        <v>2206</v>
      </c>
      <c r="B2208" s="14" t="n">
        <v>1009663371</v>
      </c>
      <c r="C2208" s="15" t="s">
        <v>433</v>
      </c>
      <c r="D2208" s="16" t="s">
        <v>64</v>
      </c>
      <c r="E2208" s="17" t="s">
        <v>33</v>
      </c>
      <c r="F2208" s="18" t="s">
        <v>34</v>
      </c>
      <c r="G2208" s="19" t="n">
        <v>868155120678</v>
      </c>
      <c r="H2208" s="17" t="s">
        <v>35</v>
      </c>
      <c r="I2208" s="17" t="s">
        <v>72</v>
      </c>
      <c r="J2208" s="17" t="s">
        <v>111</v>
      </c>
      <c r="K2208" s="17" t="s">
        <v>958</v>
      </c>
      <c r="L2208" s="17" t="n">
        <v>5</v>
      </c>
      <c r="M2208" s="17" t="s">
        <v>952</v>
      </c>
      <c r="N2208" s="17" t="n">
        <v>24</v>
      </c>
      <c r="O2208" s="17" t="s">
        <v>975</v>
      </c>
      <c r="P2208" s="17" t="n">
        <v>11</v>
      </c>
      <c r="Q2208" s="17" t="s">
        <v>953</v>
      </c>
      <c r="R2208" s="17" t="s">
        <v>35</v>
      </c>
      <c r="S2208" s="17" t="s">
        <v>613</v>
      </c>
      <c r="T2208" s="18" t="s">
        <v>248</v>
      </c>
      <c r="U2208" s="20" t="s">
        <v>122</v>
      </c>
      <c r="V2208" s="17" t="n">
        <v>2</v>
      </c>
      <c r="W2208" s="20" t="s">
        <v>122</v>
      </c>
      <c r="X2208" s="17" t="s">
        <v>111</v>
      </c>
      <c r="Y2208" s="17" t="s">
        <v>958</v>
      </c>
      <c r="Z2208" s="17" t="s">
        <v>818</v>
      </c>
      <c r="AA2208" s="17" t="s">
        <v>919</v>
      </c>
      <c r="AB2208" s="17" t="s">
        <v>41</v>
      </c>
      <c r="AC2208" s="0" t="str">
        <f aca="false">LEFT(G2208,2)</f>
        <v>86</v>
      </c>
    </row>
    <row r="2209" customFormat="false" ht="15" hidden="false" customHeight="false" outlineLevel="0" collapsed="false">
      <c r="A2209" s="13" t="n">
        <f aca="false">1+A2208</f>
        <v>2207</v>
      </c>
      <c r="B2209" s="14" t="n">
        <v>1009662875</v>
      </c>
      <c r="C2209" s="15" t="s">
        <v>433</v>
      </c>
      <c r="D2209" s="16" t="s">
        <v>210</v>
      </c>
      <c r="E2209" s="17" t="s">
        <v>47</v>
      </c>
      <c r="F2209" s="18" t="s">
        <v>34</v>
      </c>
      <c r="G2209" s="19" t="n">
        <v>867011140375</v>
      </c>
      <c r="H2209" s="17" t="s">
        <v>35</v>
      </c>
      <c r="I2209" s="17" t="s">
        <v>72</v>
      </c>
      <c r="J2209" s="17" t="s">
        <v>100</v>
      </c>
      <c r="K2209" s="17" t="s">
        <v>978</v>
      </c>
      <c r="L2209" s="17" t="n">
        <v>1</v>
      </c>
      <c r="M2209" s="17" t="s">
        <v>610</v>
      </c>
      <c r="N2209" s="17" t="n">
        <v>1</v>
      </c>
      <c r="O2209" s="17" t="s">
        <v>611</v>
      </c>
      <c r="P2209" s="17" t="n">
        <v>12</v>
      </c>
      <c r="Q2209" s="17" t="s">
        <v>612</v>
      </c>
      <c r="R2209" s="17" t="s">
        <v>35</v>
      </c>
      <c r="S2209" s="17" t="s">
        <v>613</v>
      </c>
      <c r="T2209" s="18" t="s">
        <v>135</v>
      </c>
      <c r="U2209" s="20" t="s">
        <v>248</v>
      </c>
      <c r="V2209" s="17" t="n">
        <v>11</v>
      </c>
      <c r="W2209" s="20" t="s">
        <v>248</v>
      </c>
      <c r="X2209" s="17" t="s">
        <v>100</v>
      </c>
      <c r="Y2209" s="17" t="s">
        <v>978</v>
      </c>
      <c r="Z2209" s="17" t="s">
        <v>251</v>
      </c>
      <c r="AA2209" s="17" t="s">
        <v>919</v>
      </c>
      <c r="AB2209" s="17" t="s">
        <v>41</v>
      </c>
      <c r="AC2209" s="0" t="str">
        <f aca="false">LEFT(G2209,2)</f>
        <v>86</v>
      </c>
    </row>
    <row r="2210" customFormat="false" ht="15" hidden="false" customHeight="false" outlineLevel="0" collapsed="false">
      <c r="A2210" s="13" t="n">
        <f aca="false">1+A2209</f>
        <v>2208</v>
      </c>
      <c r="B2210" s="14" t="n">
        <v>1009542105</v>
      </c>
      <c r="C2210" s="15" t="s">
        <v>126</v>
      </c>
      <c r="D2210" s="16" t="s">
        <v>64</v>
      </c>
      <c r="E2210" s="17" t="s">
        <v>33</v>
      </c>
      <c r="F2210" s="18" t="s">
        <v>34</v>
      </c>
      <c r="G2210" s="19" t="n">
        <v>866003112988</v>
      </c>
      <c r="H2210" s="17" t="s">
        <v>35</v>
      </c>
      <c r="I2210" s="17" t="s">
        <v>72</v>
      </c>
      <c r="J2210" s="17" t="s">
        <v>241</v>
      </c>
      <c r="K2210" s="17" t="s">
        <v>992</v>
      </c>
      <c r="L2210" s="17" t="n">
        <v>5</v>
      </c>
      <c r="M2210" s="17" t="s">
        <v>952</v>
      </c>
      <c r="N2210" s="17" t="n">
        <v>1</v>
      </c>
      <c r="O2210" s="17" t="s">
        <v>611</v>
      </c>
      <c r="P2210" s="17" t="n">
        <v>11</v>
      </c>
      <c r="Q2210" s="17" t="s">
        <v>953</v>
      </c>
      <c r="R2210" s="17" t="s">
        <v>35</v>
      </c>
      <c r="S2210" s="17" t="s">
        <v>613</v>
      </c>
      <c r="T2210" s="18" t="s">
        <v>248</v>
      </c>
      <c r="U2210" s="20" t="s">
        <v>122</v>
      </c>
      <c r="V2210" s="17" t="n">
        <v>2</v>
      </c>
      <c r="W2210" s="20" t="s">
        <v>122</v>
      </c>
      <c r="X2210" s="17" t="s">
        <v>241</v>
      </c>
      <c r="Y2210" s="17" t="s">
        <v>992</v>
      </c>
      <c r="Z2210" s="17" t="s">
        <v>1147</v>
      </c>
      <c r="AA2210" s="17" t="s">
        <v>919</v>
      </c>
      <c r="AB2210" s="17" t="s">
        <v>41</v>
      </c>
      <c r="AC2210" s="0" t="str">
        <f aca="false">LEFT(G2210,2)</f>
        <v>86</v>
      </c>
    </row>
    <row r="2211" customFormat="false" ht="15" hidden="false" customHeight="false" outlineLevel="0" collapsed="false">
      <c r="A2211" s="13" t="n">
        <f aca="false">1+A2210</f>
        <v>2209</v>
      </c>
      <c r="B2211" s="14" t="n">
        <v>1009555853</v>
      </c>
      <c r="C2211" s="15" t="s">
        <v>444</v>
      </c>
      <c r="D2211" s="16" t="s">
        <v>64</v>
      </c>
      <c r="E2211" s="17" t="s">
        <v>64</v>
      </c>
      <c r="F2211" s="18" t="s">
        <v>34</v>
      </c>
      <c r="G2211" s="19" t="n">
        <v>865302166778</v>
      </c>
      <c r="H2211" s="17" t="s">
        <v>35</v>
      </c>
      <c r="I2211" s="17" t="s">
        <v>72</v>
      </c>
      <c r="J2211" s="17" t="s">
        <v>289</v>
      </c>
      <c r="K2211" s="17" t="s">
        <v>1067</v>
      </c>
      <c r="L2211" s="17" t="n">
        <v>5</v>
      </c>
      <c r="M2211" s="17" t="s">
        <v>952</v>
      </c>
      <c r="N2211" s="17" t="n">
        <v>1</v>
      </c>
      <c r="O2211" s="17" t="s">
        <v>611</v>
      </c>
      <c r="P2211" s="17" t="n">
        <v>11</v>
      </c>
      <c r="Q2211" s="17" t="s">
        <v>953</v>
      </c>
      <c r="R2211" s="17" t="s">
        <v>35</v>
      </c>
      <c r="S2211" s="17" t="s">
        <v>613</v>
      </c>
      <c r="T2211" s="18" t="s">
        <v>248</v>
      </c>
      <c r="U2211" s="20" t="s">
        <v>38</v>
      </c>
      <c r="V2211" s="17" t="n">
        <v>4</v>
      </c>
      <c r="W2211" s="20" t="s">
        <v>38</v>
      </c>
      <c r="X2211" s="17" t="s">
        <v>289</v>
      </c>
      <c r="Y2211" s="17" t="s">
        <v>1067</v>
      </c>
      <c r="Z2211" s="17" t="s">
        <v>251</v>
      </c>
      <c r="AA2211" s="17" t="s">
        <v>919</v>
      </c>
      <c r="AB2211" s="17" t="s">
        <v>41</v>
      </c>
      <c r="AC2211" s="0" t="str">
        <f aca="false">LEFT(G2211,2)</f>
        <v>86</v>
      </c>
    </row>
    <row r="2212" customFormat="false" ht="15" hidden="false" customHeight="false" outlineLevel="0" collapsed="false">
      <c r="A2212" s="13" t="n">
        <f aca="false">1+A2211</f>
        <v>2210</v>
      </c>
      <c r="B2212" s="14" t="n">
        <v>1009632977</v>
      </c>
      <c r="C2212" s="15" t="s">
        <v>182</v>
      </c>
      <c r="D2212" s="16" t="s">
        <v>64</v>
      </c>
      <c r="E2212" s="17" t="s">
        <v>47</v>
      </c>
      <c r="F2212" s="18" t="s">
        <v>34</v>
      </c>
      <c r="G2212" s="19" t="n">
        <v>865276339534</v>
      </c>
      <c r="H2212" s="17" t="s">
        <v>35</v>
      </c>
      <c r="I2212" s="17" t="s">
        <v>72</v>
      </c>
      <c r="J2212" s="17" t="s">
        <v>118</v>
      </c>
      <c r="K2212" s="17" t="s">
        <v>609</v>
      </c>
      <c r="L2212" s="17" t="n">
        <v>1</v>
      </c>
      <c r="M2212" s="17" t="s">
        <v>610</v>
      </c>
      <c r="N2212" s="17" t="n">
        <v>1</v>
      </c>
      <c r="O2212" s="17" t="s">
        <v>611</v>
      </c>
      <c r="P2212" s="17" t="n">
        <v>11</v>
      </c>
      <c r="Q2212" s="17" t="s">
        <v>953</v>
      </c>
      <c r="R2212" s="17" t="s">
        <v>35</v>
      </c>
      <c r="S2212" s="17" t="s">
        <v>613</v>
      </c>
      <c r="T2212" s="18" t="s">
        <v>248</v>
      </c>
      <c r="U2212" s="20" t="s">
        <v>122</v>
      </c>
      <c r="V2212" s="17" t="n">
        <v>2</v>
      </c>
      <c r="W2212" s="20" t="s">
        <v>122</v>
      </c>
      <c r="X2212" s="17" t="s">
        <v>118</v>
      </c>
      <c r="Y2212" s="17" t="s">
        <v>609</v>
      </c>
      <c r="Z2212" s="17" t="s">
        <v>266</v>
      </c>
      <c r="AA2212" s="17" t="s">
        <v>919</v>
      </c>
      <c r="AB2212" s="17" t="s">
        <v>41</v>
      </c>
      <c r="AC2212" s="0" t="str">
        <f aca="false">LEFT(G2212,2)</f>
        <v>86</v>
      </c>
    </row>
    <row r="2213" customFormat="false" ht="15" hidden="false" customHeight="false" outlineLevel="0" collapsed="false">
      <c r="A2213" s="13" t="n">
        <f aca="false">1+A2212</f>
        <v>2211</v>
      </c>
      <c r="B2213" s="14" t="n">
        <v>1009477564</v>
      </c>
      <c r="C2213" s="15" t="s">
        <v>90</v>
      </c>
      <c r="D2213" s="16" t="s">
        <v>64</v>
      </c>
      <c r="E2213" s="17" t="s">
        <v>47</v>
      </c>
      <c r="F2213" s="18" t="s">
        <v>34</v>
      </c>
      <c r="G2213" s="19" t="n">
        <v>867279108544</v>
      </c>
      <c r="H2213" s="17" t="s">
        <v>35</v>
      </c>
      <c r="I2213" s="17" t="s">
        <v>72</v>
      </c>
      <c r="J2213" s="17" t="s">
        <v>267</v>
      </c>
      <c r="K2213" s="17" t="s">
        <v>960</v>
      </c>
      <c r="L2213" s="17" t="n">
        <v>5</v>
      </c>
      <c r="M2213" s="17" t="s">
        <v>952</v>
      </c>
      <c r="N2213" s="17" t="n">
        <v>24</v>
      </c>
      <c r="O2213" s="17" t="s">
        <v>975</v>
      </c>
      <c r="P2213" s="17" t="n">
        <v>11</v>
      </c>
      <c r="Q2213" s="17" t="s">
        <v>953</v>
      </c>
      <c r="R2213" s="17" t="s">
        <v>35</v>
      </c>
      <c r="S2213" s="17" t="s">
        <v>613</v>
      </c>
      <c r="T2213" s="18" t="s">
        <v>248</v>
      </c>
      <c r="U2213" s="20" t="s">
        <v>122</v>
      </c>
      <c r="V2213" s="17" t="n">
        <v>2</v>
      </c>
      <c r="W2213" s="20" t="s">
        <v>122</v>
      </c>
      <c r="X2213" s="17" t="s">
        <v>267</v>
      </c>
      <c r="Y2213" s="17" t="s">
        <v>960</v>
      </c>
      <c r="Z2213" s="17" t="s">
        <v>276</v>
      </c>
      <c r="AA2213" s="17" t="s">
        <v>919</v>
      </c>
      <c r="AB2213" s="17" t="s">
        <v>41</v>
      </c>
      <c r="AC2213" s="0" t="str">
        <f aca="false">LEFT(G2213,2)</f>
        <v>86</v>
      </c>
    </row>
    <row r="2214" customFormat="false" ht="15" hidden="false" customHeight="false" outlineLevel="0" collapsed="false">
      <c r="A2214" s="13" t="n">
        <f aca="false">1+A2213</f>
        <v>2212</v>
      </c>
      <c r="B2214" s="14" t="n">
        <v>1009626999</v>
      </c>
      <c r="C2214" s="15" t="s">
        <v>163</v>
      </c>
      <c r="D2214" s="16" t="s">
        <v>64</v>
      </c>
      <c r="E2214" s="17" t="s">
        <v>234</v>
      </c>
      <c r="F2214" s="18" t="s">
        <v>34</v>
      </c>
      <c r="G2214" s="19" t="n">
        <v>865307212478</v>
      </c>
      <c r="H2214" s="17" t="s">
        <v>35</v>
      </c>
      <c r="I2214" s="17" t="s">
        <v>72</v>
      </c>
      <c r="J2214" s="17" t="s">
        <v>267</v>
      </c>
      <c r="K2214" s="17" t="s">
        <v>960</v>
      </c>
      <c r="L2214" s="17" t="n">
        <v>5</v>
      </c>
      <c r="M2214" s="17" t="s">
        <v>952</v>
      </c>
      <c r="N2214" s="17" t="n">
        <v>1</v>
      </c>
      <c r="O2214" s="17" t="s">
        <v>611</v>
      </c>
      <c r="P2214" s="17" t="n">
        <v>11</v>
      </c>
      <c r="Q2214" s="17" t="s">
        <v>953</v>
      </c>
      <c r="R2214" s="17" t="s">
        <v>35</v>
      </c>
      <c r="S2214" s="17" t="s">
        <v>613</v>
      </c>
      <c r="T2214" s="18" t="s">
        <v>248</v>
      </c>
      <c r="U2214" s="20" t="s">
        <v>122</v>
      </c>
      <c r="V2214" s="17" t="n">
        <v>2</v>
      </c>
      <c r="W2214" s="20" t="s">
        <v>122</v>
      </c>
      <c r="X2214" s="17" t="s">
        <v>267</v>
      </c>
      <c r="Y2214" s="17" t="s">
        <v>960</v>
      </c>
      <c r="Z2214" s="17" t="s">
        <v>222</v>
      </c>
      <c r="AA2214" s="17" t="s">
        <v>919</v>
      </c>
      <c r="AB2214" s="17" t="s">
        <v>41</v>
      </c>
      <c r="AC2214" s="0" t="str">
        <f aca="false">LEFT(G2214,2)</f>
        <v>86</v>
      </c>
    </row>
    <row r="2215" customFormat="false" ht="15" hidden="false" customHeight="false" outlineLevel="0" collapsed="false">
      <c r="A2215" s="13" t="n">
        <f aca="false">1+A2214</f>
        <v>2213</v>
      </c>
      <c r="B2215" s="14" t="n">
        <v>1009615975</v>
      </c>
      <c r="C2215" s="15" t="s">
        <v>184</v>
      </c>
      <c r="D2215" s="16" t="s">
        <v>64</v>
      </c>
      <c r="E2215" s="17" t="s">
        <v>64</v>
      </c>
      <c r="F2215" s="18" t="s">
        <v>34</v>
      </c>
      <c r="G2215" s="19" t="n">
        <v>865321350395</v>
      </c>
      <c r="H2215" s="17" t="s">
        <v>35</v>
      </c>
      <c r="I2215" s="17" t="s">
        <v>72</v>
      </c>
      <c r="J2215" s="17" t="s">
        <v>100</v>
      </c>
      <c r="K2215" s="17" t="s">
        <v>978</v>
      </c>
      <c r="L2215" s="17" t="n">
        <v>5</v>
      </c>
      <c r="M2215" s="17" t="s">
        <v>952</v>
      </c>
      <c r="N2215" s="17" t="n">
        <v>1</v>
      </c>
      <c r="O2215" s="17" t="s">
        <v>611</v>
      </c>
      <c r="P2215" s="17" t="n">
        <v>11</v>
      </c>
      <c r="Q2215" s="17" t="s">
        <v>953</v>
      </c>
      <c r="R2215" s="17" t="s">
        <v>35</v>
      </c>
      <c r="S2215" s="17" t="s">
        <v>613</v>
      </c>
      <c r="T2215" s="18" t="s">
        <v>248</v>
      </c>
      <c r="U2215" s="20" t="s">
        <v>38</v>
      </c>
      <c r="V2215" s="17" t="n">
        <v>4</v>
      </c>
      <c r="W2215" s="20" t="s">
        <v>38</v>
      </c>
      <c r="X2215" s="17" t="s">
        <v>100</v>
      </c>
      <c r="Y2215" s="17" t="s">
        <v>978</v>
      </c>
      <c r="Z2215" s="17" t="s">
        <v>1101</v>
      </c>
      <c r="AA2215" s="17" t="s">
        <v>919</v>
      </c>
      <c r="AB2215" s="17" t="s">
        <v>41</v>
      </c>
      <c r="AC2215" s="0" t="str">
        <f aca="false">LEFT(G2215,2)</f>
        <v>86</v>
      </c>
    </row>
    <row r="2216" customFormat="false" ht="15" hidden="false" customHeight="false" outlineLevel="0" collapsed="false">
      <c r="A2216" s="13" t="n">
        <f aca="false">1+A2215</f>
        <v>2214</v>
      </c>
      <c r="B2216" s="14" t="n">
        <v>1009568064</v>
      </c>
      <c r="C2216" s="15" t="s">
        <v>102</v>
      </c>
      <c r="D2216" s="16" t="s">
        <v>64</v>
      </c>
      <c r="E2216" s="17" t="s">
        <v>47</v>
      </c>
      <c r="F2216" s="18" t="s">
        <v>34</v>
      </c>
      <c r="G2216" s="19" t="n">
        <v>864290129328</v>
      </c>
      <c r="H2216" s="17" t="s">
        <v>35</v>
      </c>
      <c r="I2216" s="17" t="s">
        <v>72</v>
      </c>
      <c r="J2216" s="17" t="s">
        <v>118</v>
      </c>
      <c r="K2216" s="17" t="s">
        <v>609</v>
      </c>
      <c r="L2216" s="17" t="n">
        <v>7</v>
      </c>
      <c r="M2216" s="17" t="s">
        <v>993</v>
      </c>
      <c r="N2216" s="17" t="n">
        <v>36</v>
      </c>
      <c r="O2216" s="17" t="s">
        <v>994</v>
      </c>
      <c r="P2216" s="17" t="n">
        <v>11</v>
      </c>
      <c r="Q2216" s="17" t="s">
        <v>953</v>
      </c>
      <c r="R2216" s="17" t="s">
        <v>35</v>
      </c>
      <c r="S2216" s="17" t="s">
        <v>613</v>
      </c>
      <c r="T2216" s="18" t="s">
        <v>248</v>
      </c>
      <c r="U2216" s="20" t="s">
        <v>256</v>
      </c>
      <c r="V2216" s="17" t="n">
        <v>1</v>
      </c>
      <c r="W2216" s="20" t="s">
        <v>256</v>
      </c>
      <c r="X2216" s="17" t="s">
        <v>118</v>
      </c>
      <c r="Y2216" s="17" t="s">
        <v>609</v>
      </c>
      <c r="Z2216" s="17" t="s">
        <v>257</v>
      </c>
      <c r="AA2216" s="17" t="s">
        <v>919</v>
      </c>
      <c r="AB2216" s="17" t="s">
        <v>41</v>
      </c>
      <c r="AC2216" s="0" t="str">
        <f aca="false">LEFT(G2216,2)</f>
        <v>86</v>
      </c>
    </row>
    <row r="2217" customFormat="false" ht="15" hidden="false" customHeight="false" outlineLevel="0" collapsed="false">
      <c r="A2217" s="13" t="n">
        <f aca="false">1+A2216</f>
        <v>2215</v>
      </c>
      <c r="B2217" s="14" t="n">
        <v>1009682493</v>
      </c>
      <c r="C2217" s="15" t="s">
        <v>413</v>
      </c>
      <c r="D2217" s="16" t="s">
        <v>64</v>
      </c>
      <c r="E2217" s="17" t="s">
        <v>64</v>
      </c>
      <c r="F2217" s="18" t="s">
        <v>34</v>
      </c>
      <c r="G2217" s="19" t="n">
        <v>867300179076</v>
      </c>
      <c r="H2217" s="17" t="s">
        <v>35</v>
      </c>
      <c r="I2217" s="17" t="s">
        <v>72</v>
      </c>
      <c r="J2217" s="17" t="s">
        <v>121</v>
      </c>
      <c r="K2217" s="17" t="s">
        <v>955</v>
      </c>
      <c r="L2217" s="17" t="n">
        <v>3</v>
      </c>
      <c r="M2217" s="17" t="s">
        <v>956</v>
      </c>
      <c r="N2217" s="17" t="n">
        <v>28</v>
      </c>
      <c r="O2217" s="17" t="s">
        <v>1054</v>
      </c>
      <c r="P2217" s="17" t="n">
        <v>11</v>
      </c>
      <c r="Q2217" s="17" t="s">
        <v>953</v>
      </c>
      <c r="R2217" s="17" t="s">
        <v>35</v>
      </c>
      <c r="S2217" s="17" t="s">
        <v>613</v>
      </c>
      <c r="T2217" s="18" t="s">
        <v>248</v>
      </c>
      <c r="U2217" s="20" t="s">
        <v>122</v>
      </c>
      <c r="V2217" s="17" t="n">
        <v>2</v>
      </c>
      <c r="W2217" s="20" t="s">
        <v>122</v>
      </c>
      <c r="X2217" s="17" t="s">
        <v>121</v>
      </c>
      <c r="Y2217" s="17" t="s">
        <v>955</v>
      </c>
      <c r="Z2217" s="17" t="s">
        <v>97</v>
      </c>
      <c r="AA2217" s="17" t="s">
        <v>919</v>
      </c>
      <c r="AB2217" s="17" t="s">
        <v>41</v>
      </c>
      <c r="AC2217" s="0" t="str">
        <f aca="false">LEFT(G2217,2)</f>
        <v>86</v>
      </c>
    </row>
    <row r="2218" customFormat="false" ht="15" hidden="false" customHeight="false" outlineLevel="0" collapsed="false">
      <c r="A2218" s="13" t="n">
        <f aca="false">1+A2217</f>
        <v>2216</v>
      </c>
      <c r="B2218" s="14" t="n">
        <v>1009610670</v>
      </c>
      <c r="C2218" s="15" t="s">
        <v>181</v>
      </c>
      <c r="D2218" s="16" t="s">
        <v>64</v>
      </c>
      <c r="E2218" s="17" t="s">
        <v>64</v>
      </c>
      <c r="F2218" s="18" t="s">
        <v>34</v>
      </c>
      <c r="G2218" s="19" t="n">
        <v>865271139103</v>
      </c>
      <c r="H2218" s="17" t="s">
        <v>35</v>
      </c>
      <c r="I2218" s="17" t="s">
        <v>72</v>
      </c>
      <c r="J2218" s="17" t="s">
        <v>121</v>
      </c>
      <c r="K2218" s="17" t="s">
        <v>955</v>
      </c>
      <c r="L2218" s="17" t="n">
        <v>4</v>
      </c>
      <c r="M2218" s="17" t="s">
        <v>976</v>
      </c>
      <c r="N2218" s="17" t="n">
        <v>9</v>
      </c>
      <c r="O2218" s="17" t="s">
        <v>977</v>
      </c>
      <c r="P2218" s="17" t="n">
        <v>11</v>
      </c>
      <c r="Q2218" s="17" t="s">
        <v>953</v>
      </c>
      <c r="R2218" s="17" t="s">
        <v>35</v>
      </c>
      <c r="S2218" s="17" t="s">
        <v>613</v>
      </c>
      <c r="T2218" s="18" t="s">
        <v>248</v>
      </c>
      <c r="U2218" s="20" t="s">
        <v>38</v>
      </c>
      <c r="V2218" s="17" t="n">
        <v>4</v>
      </c>
      <c r="W2218" s="20" t="s">
        <v>38</v>
      </c>
      <c r="X2218" s="17" t="s">
        <v>121</v>
      </c>
      <c r="Y2218" s="17" t="s">
        <v>955</v>
      </c>
      <c r="Z2218" s="17" t="s">
        <v>341</v>
      </c>
      <c r="AA2218" s="17" t="s">
        <v>919</v>
      </c>
      <c r="AB2218" s="17" t="s">
        <v>41</v>
      </c>
      <c r="AC2218" s="0" t="str">
        <f aca="false">LEFT(G2218,2)</f>
        <v>86</v>
      </c>
    </row>
    <row r="2219" customFormat="false" ht="15" hidden="false" customHeight="false" outlineLevel="0" collapsed="false">
      <c r="A2219" s="13" t="n">
        <f aca="false">1+A2218</f>
        <v>2217</v>
      </c>
      <c r="B2219" s="14" t="n">
        <v>1009666822</v>
      </c>
      <c r="C2219" s="15" t="s">
        <v>436</v>
      </c>
      <c r="D2219" s="16" t="s">
        <v>143</v>
      </c>
      <c r="E2219" s="17" t="s">
        <v>33</v>
      </c>
      <c r="F2219" s="18" t="s">
        <v>34</v>
      </c>
      <c r="G2219" s="19" t="n">
        <v>866011146853</v>
      </c>
      <c r="H2219" s="17" t="s">
        <v>35</v>
      </c>
      <c r="I2219" s="17" t="s">
        <v>72</v>
      </c>
      <c r="J2219" s="17" t="s">
        <v>239</v>
      </c>
      <c r="K2219" s="17" t="s">
        <v>951</v>
      </c>
      <c r="L2219" s="17" t="n">
        <v>5</v>
      </c>
      <c r="M2219" s="17" t="s">
        <v>952</v>
      </c>
      <c r="N2219" s="17" t="n">
        <v>1</v>
      </c>
      <c r="O2219" s="17" t="s">
        <v>611</v>
      </c>
      <c r="P2219" s="17" t="n">
        <v>11</v>
      </c>
      <c r="Q2219" s="17" t="s">
        <v>953</v>
      </c>
      <c r="R2219" s="17" t="s">
        <v>35</v>
      </c>
      <c r="S2219" s="17" t="s">
        <v>613</v>
      </c>
      <c r="T2219" s="18" t="s">
        <v>248</v>
      </c>
      <c r="U2219" s="20" t="s">
        <v>122</v>
      </c>
      <c r="V2219" s="17" t="n">
        <v>2</v>
      </c>
      <c r="W2219" s="20" t="s">
        <v>122</v>
      </c>
      <c r="X2219" s="17" t="s">
        <v>239</v>
      </c>
      <c r="Y2219" s="17" t="s">
        <v>951</v>
      </c>
      <c r="Z2219" s="17" t="s">
        <v>254</v>
      </c>
      <c r="AA2219" s="17" t="s">
        <v>919</v>
      </c>
      <c r="AB2219" s="17" t="s">
        <v>41</v>
      </c>
      <c r="AC2219" s="0" t="str">
        <f aca="false">LEFT(G2219,2)</f>
        <v>86</v>
      </c>
    </row>
    <row r="2220" customFormat="false" ht="15" hidden="false" customHeight="false" outlineLevel="0" collapsed="false">
      <c r="A2220" s="13" t="n">
        <f aca="false">1+A2219</f>
        <v>2218</v>
      </c>
      <c r="B2220" s="14" t="n">
        <v>1009680236</v>
      </c>
      <c r="C2220" s="15" t="s">
        <v>413</v>
      </c>
      <c r="D2220" s="16" t="s">
        <v>64</v>
      </c>
      <c r="E2220" s="17" t="s">
        <v>64</v>
      </c>
      <c r="F2220" s="18" t="s">
        <v>34</v>
      </c>
      <c r="G2220" s="19" t="n">
        <v>864225106292</v>
      </c>
      <c r="H2220" s="17" t="s">
        <v>35</v>
      </c>
      <c r="I2220" s="17" t="s">
        <v>72</v>
      </c>
      <c r="J2220" s="17" t="s">
        <v>121</v>
      </c>
      <c r="K2220" s="17" t="s">
        <v>955</v>
      </c>
      <c r="L2220" s="17" t="n">
        <v>1</v>
      </c>
      <c r="M2220" s="17" t="s">
        <v>610</v>
      </c>
      <c r="N2220" s="17" t="n">
        <v>1</v>
      </c>
      <c r="O2220" s="17" t="s">
        <v>611</v>
      </c>
      <c r="P2220" s="17" t="n">
        <v>12</v>
      </c>
      <c r="Q2220" s="17" t="s">
        <v>612</v>
      </c>
      <c r="R2220" s="17" t="s">
        <v>35</v>
      </c>
      <c r="S2220" s="17" t="s">
        <v>613</v>
      </c>
      <c r="T2220" s="18" t="s">
        <v>135</v>
      </c>
      <c r="U2220" s="20" t="s">
        <v>101</v>
      </c>
      <c r="V2220" s="17" t="n">
        <v>8</v>
      </c>
      <c r="W2220" s="20" t="s">
        <v>101</v>
      </c>
      <c r="X2220" s="17" t="s">
        <v>121</v>
      </c>
      <c r="Y2220" s="17" t="s">
        <v>955</v>
      </c>
      <c r="Z2220" s="17" t="s">
        <v>276</v>
      </c>
      <c r="AA2220" s="17" t="s">
        <v>919</v>
      </c>
      <c r="AB2220" s="17" t="s">
        <v>41</v>
      </c>
      <c r="AC2220" s="0" t="str">
        <f aca="false">LEFT(G2220,2)</f>
        <v>86</v>
      </c>
    </row>
    <row r="2221" customFormat="false" ht="15" hidden="false" customHeight="false" outlineLevel="0" collapsed="false">
      <c r="A2221" s="13" t="n">
        <f aca="false">1+A2220</f>
        <v>2219</v>
      </c>
      <c r="B2221" s="14" t="n">
        <v>1009632803</v>
      </c>
      <c r="C2221" s="15" t="s">
        <v>233</v>
      </c>
      <c r="D2221" s="16" t="s">
        <v>64</v>
      </c>
      <c r="E2221" s="17" t="s">
        <v>33</v>
      </c>
      <c r="F2221" s="18" t="s">
        <v>34</v>
      </c>
      <c r="G2221" s="19" t="n">
        <v>865311119370</v>
      </c>
      <c r="H2221" s="17" t="s">
        <v>35</v>
      </c>
      <c r="I2221" s="17" t="s">
        <v>72</v>
      </c>
      <c r="J2221" s="17" t="s">
        <v>121</v>
      </c>
      <c r="K2221" s="17" t="s">
        <v>955</v>
      </c>
      <c r="L2221" s="17" t="n">
        <v>2</v>
      </c>
      <c r="M2221" s="17" t="s">
        <v>981</v>
      </c>
      <c r="N2221" s="17" t="n">
        <v>6</v>
      </c>
      <c r="O2221" s="17" t="s">
        <v>982</v>
      </c>
      <c r="P2221" s="17" t="n">
        <v>11</v>
      </c>
      <c r="Q2221" s="17" t="s">
        <v>953</v>
      </c>
      <c r="R2221" s="17" t="s">
        <v>35</v>
      </c>
      <c r="S2221" s="17" t="s">
        <v>613</v>
      </c>
      <c r="T2221" s="18" t="s">
        <v>248</v>
      </c>
      <c r="U2221" s="20" t="s">
        <v>38</v>
      </c>
      <c r="V2221" s="17" t="n">
        <v>4</v>
      </c>
      <c r="W2221" s="20" t="s">
        <v>38</v>
      </c>
      <c r="X2221" s="17" t="s">
        <v>121</v>
      </c>
      <c r="Y2221" s="17" t="s">
        <v>955</v>
      </c>
      <c r="Z2221" s="17" t="s">
        <v>251</v>
      </c>
      <c r="AA2221" s="17" t="s">
        <v>919</v>
      </c>
      <c r="AB2221" s="17" t="s">
        <v>41</v>
      </c>
      <c r="AC2221" s="0" t="str">
        <f aca="false">LEFT(G2221,2)</f>
        <v>86</v>
      </c>
    </row>
    <row r="2222" customFormat="false" ht="15" hidden="false" customHeight="false" outlineLevel="0" collapsed="false">
      <c r="A2222" s="13" t="n">
        <f aca="false">1+A2221</f>
        <v>2220</v>
      </c>
      <c r="B2222" s="14" t="n">
        <v>1009684361</v>
      </c>
      <c r="C2222" s="15" t="s">
        <v>413</v>
      </c>
      <c r="D2222" s="16" t="s">
        <v>64</v>
      </c>
      <c r="E2222" s="17" t="s">
        <v>64</v>
      </c>
      <c r="F2222" s="18" t="s">
        <v>34</v>
      </c>
      <c r="G2222" s="19" t="n">
        <v>866015104155</v>
      </c>
      <c r="H2222" s="17" t="s">
        <v>35</v>
      </c>
      <c r="I2222" s="17" t="s">
        <v>72</v>
      </c>
      <c r="J2222" s="17" t="s">
        <v>239</v>
      </c>
      <c r="K2222" s="17" t="s">
        <v>951</v>
      </c>
      <c r="L2222" s="17" t="n">
        <v>5</v>
      </c>
      <c r="M2222" s="17" t="s">
        <v>952</v>
      </c>
      <c r="N2222" s="17" t="n">
        <v>24</v>
      </c>
      <c r="O2222" s="17" t="s">
        <v>975</v>
      </c>
      <c r="P2222" s="17" t="n">
        <v>11</v>
      </c>
      <c r="Q2222" s="17" t="s">
        <v>953</v>
      </c>
      <c r="R2222" s="17" t="s">
        <v>35</v>
      </c>
      <c r="S2222" s="17" t="s">
        <v>613</v>
      </c>
      <c r="T2222" s="18" t="s">
        <v>248</v>
      </c>
      <c r="U2222" s="20" t="s">
        <v>122</v>
      </c>
      <c r="V2222" s="17" t="n">
        <v>2</v>
      </c>
      <c r="W2222" s="20" t="s">
        <v>122</v>
      </c>
      <c r="X2222" s="17" t="s">
        <v>239</v>
      </c>
      <c r="Y2222" s="17" t="s">
        <v>951</v>
      </c>
      <c r="Z2222" s="17" t="s">
        <v>1015</v>
      </c>
      <c r="AA2222" s="17" t="s">
        <v>919</v>
      </c>
      <c r="AB2222" s="17" t="s">
        <v>41</v>
      </c>
      <c r="AC2222" s="0" t="str">
        <f aca="false">LEFT(G2222,2)</f>
        <v>86</v>
      </c>
    </row>
    <row r="2223" customFormat="false" ht="15" hidden="false" customHeight="false" outlineLevel="0" collapsed="false">
      <c r="A2223" s="13" t="n">
        <f aca="false">1+A2222</f>
        <v>2221</v>
      </c>
      <c r="B2223" s="14" t="n">
        <v>1009684345</v>
      </c>
      <c r="C2223" s="15" t="s">
        <v>413</v>
      </c>
      <c r="D2223" s="16" t="s">
        <v>64</v>
      </c>
      <c r="E2223" s="17" t="s">
        <v>64</v>
      </c>
      <c r="F2223" s="18" t="s">
        <v>34</v>
      </c>
      <c r="G2223" s="19" t="n">
        <v>865297128874</v>
      </c>
      <c r="H2223" s="17" t="s">
        <v>35</v>
      </c>
      <c r="I2223" s="17" t="s">
        <v>72</v>
      </c>
      <c r="J2223" s="17" t="s">
        <v>118</v>
      </c>
      <c r="K2223" s="17" t="s">
        <v>609</v>
      </c>
      <c r="L2223" s="17" t="n">
        <v>1</v>
      </c>
      <c r="M2223" s="17" t="s">
        <v>610</v>
      </c>
      <c r="N2223" s="17" t="n">
        <v>1</v>
      </c>
      <c r="O2223" s="17" t="s">
        <v>611</v>
      </c>
      <c r="P2223" s="17" t="n">
        <v>12</v>
      </c>
      <c r="Q2223" s="17" t="s">
        <v>612</v>
      </c>
      <c r="R2223" s="17" t="s">
        <v>35</v>
      </c>
      <c r="S2223" s="17" t="s">
        <v>613</v>
      </c>
      <c r="T2223" s="18" t="s">
        <v>135</v>
      </c>
      <c r="U2223" s="20" t="s">
        <v>248</v>
      </c>
      <c r="V2223" s="17" t="n">
        <v>11</v>
      </c>
      <c r="W2223" s="20" t="s">
        <v>248</v>
      </c>
      <c r="X2223" s="17" t="s">
        <v>118</v>
      </c>
      <c r="Y2223" s="17" t="s">
        <v>609</v>
      </c>
      <c r="Z2223" s="17" t="s">
        <v>251</v>
      </c>
      <c r="AA2223" s="17" t="s">
        <v>919</v>
      </c>
      <c r="AB2223" s="17" t="s">
        <v>41</v>
      </c>
      <c r="AC2223" s="0" t="str">
        <f aca="false">LEFT(G2223,2)</f>
        <v>86</v>
      </c>
    </row>
    <row r="2224" customFormat="false" ht="15" hidden="false" customHeight="false" outlineLevel="0" collapsed="false">
      <c r="A2224" s="13" t="n">
        <f aca="false">1+A2223</f>
        <v>2222</v>
      </c>
      <c r="B2224" s="14" t="n">
        <v>1009623910</v>
      </c>
      <c r="C2224" s="15" t="s">
        <v>163</v>
      </c>
      <c r="D2224" s="16" t="s">
        <v>64</v>
      </c>
      <c r="E2224" s="17" t="s">
        <v>47</v>
      </c>
      <c r="F2224" s="18" t="s">
        <v>34</v>
      </c>
      <c r="G2224" s="19" t="n">
        <v>865321239267</v>
      </c>
      <c r="H2224" s="17" t="s">
        <v>35</v>
      </c>
      <c r="I2224" s="17" t="s">
        <v>72</v>
      </c>
      <c r="J2224" s="17" t="s">
        <v>289</v>
      </c>
      <c r="K2224" s="17" t="s">
        <v>1067</v>
      </c>
      <c r="L2224" s="17" t="n">
        <v>2</v>
      </c>
      <c r="M2224" s="17" t="s">
        <v>981</v>
      </c>
      <c r="N2224" s="17" t="n">
        <v>6</v>
      </c>
      <c r="O2224" s="17" t="s">
        <v>982</v>
      </c>
      <c r="P2224" s="17" t="n">
        <v>11</v>
      </c>
      <c r="Q2224" s="17" t="s">
        <v>953</v>
      </c>
      <c r="R2224" s="17" t="s">
        <v>35</v>
      </c>
      <c r="S2224" s="17" t="s">
        <v>613</v>
      </c>
      <c r="T2224" s="18" t="s">
        <v>248</v>
      </c>
      <c r="U2224" s="20" t="s">
        <v>256</v>
      </c>
      <c r="V2224" s="17" t="n">
        <v>1</v>
      </c>
      <c r="W2224" s="20" t="s">
        <v>256</v>
      </c>
      <c r="X2224" s="17" t="s">
        <v>289</v>
      </c>
      <c r="Y2224" s="17" t="s">
        <v>1067</v>
      </c>
      <c r="Z2224" s="17" t="s">
        <v>257</v>
      </c>
      <c r="AA2224" s="17" t="s">
        <v>919</v>
      </c>
      <c r="AB2224" s="17" t="s">
        <v>41</v>
      </c>
      <c r="AC2224" s="0" t="str">
        <f aca="false">LEFT(G2224,2)</f>
        <v>86</v>
      </c>
    </row>
    <row r="2225" customFormat="false" ht="15" hidden="false" customHeight="false" outlineLevel="0" collapsed="false">
      <c r="A2225" s="13" t="n">
        <f aca="false">1+A2224</f>
        <v>2223</v>
      </c>
      <c r="B2225" s="14" t="n">
        <v>1009605883</v>
      </c>
      <c r="C2225" s="15" t="s">
        <v>181</v>
      </c>
      <c r="D2225" s="16" t="s">
        <v>64</v>
      </c>
      <c r="E2225" s="17" t="s">
        <v>64</v>
      </c>
      <c r="F2225" s="18" t="s">
        <v>34</v>
      </c>
      <c r="G2225" s="19" t="n">
        <v>866144123084</v>
      </c>
      <c r="H2225" s="17" t="s">
        <v>35</v>
      </c>
      <c r="I2225" s="17" t="s">
        <v>72</v>
      </c>
      <c r="J2225" s="17" t="s">
        <v>100</v>
      </c>
      <c r="K2225" s="17" t="s">
        <v>978</v>
      </c>
      <c r="L2225" s="17" t="n">
        <v>1</v>
      </c>
      <c r="M2225" s="17" t="s">
        <v>610</v>
      </c>
      <c r="N2225" s="17" t="n">
        <v>1</v>
      </c>
      <c r="O2225" s="17" t="s">
        <v>611</v>
      </c>
      <c r="P2225" s="17" t="n">
        <v>11</v>
      </c>
      <c r="Q2225" s="17" t="s">
        <v>953</v>
      </c>
      <c r="R2225" s="17" t="s">
        <v>35</v>
      </c>
      <c r="S2225" s="17" t="s">
        <v>613</v>
      </c>
      <c r="T2225" s="18" t="s">
        <v>248</v>
      </c>
      <c r="U2225" s="20" t="s">
        <v>122</v>
      </c>
      <c r="V2225" s="17" t="n">
        <v>2</v>
      </c>
      <c r="W2225" s="20" t="s">
        <v>122</v>
      </c>
      <c r="X2225" s="17" t="s">
        <v>100</v>
      </c>
      <c r="Y2225" s="17" t="s">
        <v>978</v>
      </c>
      <c r="Z2225" s="17" t="s">
        <v>1148</v>
      </c>
      <c r="AA2225" s="17" t="s">
        <v>919</v>
      </c>
      <c r="AB2225" s="17" t="s">
        <v>41</v>
      </c>
      <c r="AC2225" s="0" t="str">
        <f aca="false">LEFT(G2225,2)</f>
        <v>86</v>
      </c>
    </row>
    <row r="2226" customFormat="false" ht="15" hidden="false" customHeight="false" outlineLevel="0" collapsed="false">
      <c r="A2226" s="13" t="n">
        <f aca="false">1+A2225</f>
        <v>2224</v>
      </c>
      <c r="B2226" s="14" t="n">
        <v>1009452289</v>
      </c>
      <c r="C2226" s="15" t="s">
        <v>212</v>
      </c>
      <c r="D2226" s="16" t="s">
        <v>64</v>
      </c>
      <c r="E2226" s="17" t="s">
        <v>64</v>
      </c>
      <c r="F2226" s="18" t="s">
        <v>34</v>
      </c>
      <c r="G2226" s="19" t="n">
        <v>865278370701</v>
      </c>
      <c r="H2226" s="17" t="s">
        <v>35</v>
      </c>
      <c r="I2226" s="17" t="s">
        <v>72</v>
      </c>
      <c r="J2226" s="17" t="s">
        <v>287</v>
      </c>
      <c r="K2226" s="17" t="s">
        <v>1006</v>
      </c>
      <c r="L2226" s="17" t="n">
        <v>5</v>
      </c>
      <c r="M2226" s="17" t="s">
        <v>952</v>
      </c>
      <c r="N2226" s="17" t="n">
        <v>1</v>
      </c>
      <c r="O2226" s="17" t="s">
        <v>611</v>
      </c>
      <c r="P2226" s="17" t="n">
        <v>11</v>
      </c>
      <c r="Q2226" s="17" t="s">
        <v>953</v>
      </c>
      <c r="R2226" s="17" t="s">
        <v>35</v>
      </c>
      <c r="S2226" s="17" t="s">
        <v>613</v>
      </c>
      <c r="T2226" s="18" t="s">
        <v>248</v>
      </c>
      <c r="U2226" s="20" t="s">
        <v>122</v>
      </c>
      <c r="V2226" s="17" t="n">
        <v>2</v>
      </c>
      <c r="W2226" s="20" t="s">
        <v>122</v>
      </c>
      <c r="X2226" s="17" t="s">
        <v>287</v>
      </c>
      <c r="Y2226" s="17" t="s">
        <v>1006</v>
      </c>
      <c r="Z2226" s="17" t="s">
        <v>266</v>
      </c>
      <c r="AA2226" s="17" t="s">
        <v>919</v>
      </c>
      <c r="AB2226" s="17" t="s">
        <v>41</v>
      </c>
      <c r="AC2226" s="0" t="str">
        <f aca="false">LEFT(G2226,2)</f>
        <v>86</v>
      </c>
    </row>
    <row r="2227" customFormat="false" ht="15" hidden="false" customHeight="false" outlineLevel="0" collapsed="false">
      <c r="A2227" s="13" t="n">
        <f aca="false">1+A2226</f>
        <v>2225</v>
      </c>
      <c r="B2227" s="14" t="n">
        <v>1009661683</v>
      </c>
      <c r="C2227" s="15" t="s">
        <v>433</v>
      </c>
      <c r="D2227" s="16" t="s">
        <v>175</v>
      </c>
      <c r="E2227" s="17" t="s">
        <v>176</v>
      </c>
      <c r="F2227" s="18" t="s">
        <v>34</v>
      </c>
      <c r="G2227" s="19" t="n">
        <v>867287180048</v>
      </c>
      <c r="H2227" s="17" t="s">
        <v>35</v>
      </c>
      <c r="I2227" s="17" t="s">
        <v>72</v>
      </c>
      <c r="J2227" s="17" t="s">
        <v>118</v>
      </c>
      <c r="K2227" s="17" t="s">
        <v>609</v>
      </c>
      <c r="L2227" s="17" t="n">
        <v>2</v>
      </c>
      <c r="M2227" s="17" t="s">
        <v>981</v>
      </c>
      <c r="N2227" s="17" t="n">
        <v>6</v>
      </c>
      <c r="O2227" s="17" t="s">
        <v>982</v>
      </c>
      <c r="P2227" s="17" t="n">
        <v>11</v>
      </c>
      <c r="Q2227" s="17" t="s">
        <v>953</v>
      </c>
      <c r="R2227" s="17" t="s">
        <v>35</v>
      </c>
      <c r="S2227" s="17" t="s">
        <v>613</v>
      </c>
      <c r="T2227" s="18" t="s">
        <v>248</v>
      </c>
      <c r="U2227" s="20" t="s">
        <v>38</v>
      </c>
      <c r="V2227" s="17" t="n">
        <v>4</v>
      </c>
      <c r="W2227" s="20" t="s">
        <v>38</v>
      </c>
      <c r="X2227" s="17" t="s">
        <v>118</v>
      </c>
      <c r="Y2227" s="17" t="s">
        <v>609</v>
      </c>
      <c r="Z2227" s="17" t="s">
        <v>125</v>
      </c>
      <c r="AA2227" s="17" t="s">
        <v>919</v>
      </c>
      <c r="AB2227" s="17" t="s">
        <v>41</v>
      </c>
      <c r="AC2227" s="0" t="str">
        <f aca="false">LEFT(G2227,2)</f>
        <v>86</v>
      </c>
    </row>
    <row r="2228" customFormat="false" ht="15" hidden="false" customHeight="false" outlineLevel="0" collapsed="false">
      <c r="A2228" s="13" t="n">
        <f aca="false">1+A2227</f>
        <v>2226</v>
      </c>
      <c r="B2228" s="14" t="n">
        <v>1009602542</v>
      </c>
      <c r="C2228" s="15" t="s">
        <v>159</v>
      </c>
      <c r="D2228" s="16" t="s">
        <v>64</v>
      </c>
      <c r="E2228" s="17" t="s">
        <v>64</v>
      </c>
      <c r="F2228" s="18" t="s">
        <v>34</v>
      </c>
      <c r="G2228" s="19" t="n">
        <v>864297134651</v>
      </c>
      <c r="H2228" s="17" t="s">
        <v>35</v>
      </c>
      <c r="I2228" s="17" t="s">
        <v>72</v>
      </c>
      <c r="J2228" s="17" t="s">
        <v>239</v>
      </c>
      <c r="K2228" s="17" t="s">
        <v>951</v>
      </c>
      <c r="L2228" s="17" t="n">
        <v>5</v>
      </c>
      <c r="M2228" s="17" t="s">
        <v>952</v>
      </c>
      <c r="N2228" s="17" t="n">
        <v>1</v>
      </c>
      <c r="O2228" s="17" t="s">
        <v>611</v>
      </c>
      <c r="P2228" s="17" t="n">
        <v>11</v>
      </c>
      <c r="Q2228" s="17" t="s">
        <v>953</v>
      </c>
      <c r="R2228" s="17" t="s">
        <v>35</v>
      </c>
      <c r="S2228" s="17" t="s">
        <v>613</v>
      </c>
      <c r="T2228" s="18" t="s">
        <v>248</v>
      </c>
      <c r="U2228" s="20" t="s">
        <v>38</v>
      </c>
      <c r="V2228" s="17" t="n">
        <v>4</v>
      </c>
      <c r="W2228" s="20" t="s">
        <v>38</v>
      </c>
      <c r="X2228" s="17" t="s">
        <v>239</v>
      </c>
      <c r="Y2228" s="17" t="s">
        <v>951</v>
      </c>
      <c r="Z2228" s="17" t="s">
        <v>266</v>
      </c>
      <c r="AA2228" s="17" t="s">
        <v>919</v>
      </c>
      <c r="AB2228" s="17" t="s">
        <v>41</v>
      </c>
      <c r="AC2228" s="0" t="str">
        <f aca="false">LEFT(G2228,2)</f>
        <v>86</v>
      </c>
    </row>
    <row r="2229" customFormat="false" ht="15" hidden="false" customHeight="false" outlineLevel="0" collapsed="false">
      <c r="A2229" s="13" t="n">
        <f aca="false">1+A2228</f>
        <v>2227</v>
      </c>
      <c r="B2229" s="14" t="n">
        <v>1009662878</v>
      </c>
      <c r="C2229" s="15" t="s">
        <v>1149</v>
      </c>
      <c r="D2229" s="16" t="s">
        <v>64</v>
      </c>
      <c r="E2229" s="17" t="s">
        <v>33</v>
      </c>
      <c r="F2229" s="18" t="s">
        <v>34</v>
      </c>
      <c r="G2229" s="19" t="n">
        <v>865204169250</v>
      </c>
      <c r="H2229" s="17" t="s">
        <v>35</v>
      </c>
      <c r="I2229" s="17" t="s">
        <v>72</v>
      </c>
      <c r="J2229" s="17" t="s">
        <v>241</v>
      </c>
      <c r="K2229" s="17" t="s">
        <v>992</v>
      </c>
      <c r="L2229" s="17" t="n">
        <v>5</v>
      </c>
      <c r="M2229" s="17" t="s">
        <v>952</v>
      </c>
      <c r="N2229" s="17" t="n">
        <v>1</v>
      </c>
      <c r="O2229" s="17" t="s">
        <v>611</v>
      </c>
      <c r="P2229" s="17" t="n">
        <v>11</v>
      </c>
      <c r="Q2229" s="17" t="s">
        <v>953</v>
      </c>
      <c r="R2229" s="17" t="s">
        <v>35</v>
      </c>
      <c r="S2229" s="17" t="s">
        <v>613</v>
      </c>
      <c r="T2229" s="18" t="s">
        <v>248</v>
      </c>
      <c r="U2229" s="20" t="s">
        <v>122</v>
      </c>
      <c r="V2229" s="17" t="n">
        <v>2</v>
      </c>
      <c r="W2229" s="20" t="s">
        <v>122</v>
      </c>
      <c r="X2229" s="17" t="s">
        <v>241</v>
      </c>
      <c r="Y2229" s="17" t="s">
        <v>992</v>
      </c>
      <c r="Z2229" s="17" t="s">
        <v>276</v>
      </c>
      <c r="AA2229" s="17" t="s">
        <v>919</v>
      </c>
      <c r="AB2229" s="17" t="s">
        <v>41</v>
      </c>
      <c r="AC2229" s="0" t="str">
        <f aca="false">LEFT(G2229,2)</f>
        <v>86</v>
      </c>
    </row>
    <row r="2230" customFormat="false" ht="15" hidden="false" customHeight="false" outlineLevel="0" collapsed="false">
      <c r="A2230" s="13" t="n">
        <f aca="false">1+A2229</f>
        <v>2228</v>
      </c>
      <c r="B2230" s="14" t="n">
        <v>1009610609</v>
      </c>
      <c r="C2230" s="15" t="s">
        <v>181</v>
      </c>
      <c r="D2230" s="16" t="s">
        <v>88</v>
      </c>
      <c r="E2230" s="17" t="s">
        <v>47</v>
      </c>
      <c r="F2230" s="18" t="s">
        <v>34</v>
      </c>
      <c r="G2230" s="19" t="n">
        <v>866288126109</v>
      </c>
      <c r="H2230" s="17" t="s">
        <v>35</v>
      </c>
      <c r="I2230" s="17" t="s">
        <v>72</v>
      </c>
      <c r="J2230" s="17" t="s">
        <v>289</v>
      </c>
      <c r="K2230" s="17" t="s">
        <v>1067</v>
      </c>
      <c r="L2230" s="17" t="n">
        <v>5</v>
      </c>
      <c r="M2230" s="17" t="s">
        <v>952</v>
      </c>
      <c r="N2230" s="17" t="n">
        <v>1</v>
      </c>
      <c r="O2230" s="17" t="s">
        <v>611</v>
      </c>
      <c r="P2230" s="17" t="n">
        <v>11</v>
      </c>
      <c r="Q2230" s="17" t="s">
        <v>953</v>
      </c>
      <c r="R2230" s="17" t="s">
        <v>35</v>
      </c>
      <c r="S2230" s="17" t="s">
        <v>613</v>
      </c>
      <c r="T2230" s="18" t="s">
        <v>248</v>
      </c>
      <c r="U2230" s="20" t="s">
        <v>38</v>
      </c>
      <c r="V2230" s="17" t="n">
        <v>4</v>
      </c>
      <c r="W2230" s="20" t="s">
        <v>38</v>
      </c>
      <c r="X2230" s="17" t="s">
        <v>289</v>
      </c>
      <c r="Y2230" s="17" t="s">
        <v>1067</v>
      </c>
      <c r="Z2230" s="17" t="s">
        <v>222</v>
      </c>
      <c r="AA2230" s="17" t="s">
        <v>919</v>
      </c>
      <c r="AB2230" s="17" t="s">
        <v>41</v>
      </c>
      <c r="AC2230" s="0" t="str">
        <f aca="false">LEFT(G2230,2)</f>
        <v>86</v>
      </c>
    </row>
    <row r="2231" customFormat="false" ht="15" hidden="false" customHeight="false" outlineLevel="0" collapsed="false">
      <c r="A2231" s="13" t="n">
        <f aca="false">1+A2230</f>
        <v>2229</v>
      </c>
      <c r="B2231" s="14" t="n">
        <v>1009498304</v>
      </c>
      <c r="C2231" s="15" t="s">
        <v>146</v>
      </c>
      <c r="D2231" s="16" t="s">
        <v>64</v>
      </c>
      <c r="E2231" s="17" t="s">
        <v>64</v>
      </c>
      <c r="F2231" s="18" t="s">
        <v>34</v>
      </c>
      <c r="G2231" s="19" t="n">
        <v>867216232551</v>
      </c>
      <c r="H2231" s="17" t="s">
        <v>35</v>
      </c>
      <c r="I2231" s="17" t="s">
        <v>72</v>
      </c>
      <c r="J2231" s="17" t="s">
        <v>239</v>
      </c>
      <c r="K2231" s="17" t="s">
        <v>951</v>
      </c>
      <c r="L2231" s="17" t="n">
        <v>5</v>
      </c>
      <c r="M2231" s="17" t="s">
        <v>952</v>
      </c>
      <c r="N2231" s="17" t="n">
        <v>1</v>
      </c>
      <c r="O2231" s="17" t="s">
        <v>611</v>
      </c>
      <c r="P2231" s="17" t="n">
        <v>11</v>
      </c>
      <c r="Q2231" s="17" t="s">
        <v>953</v>
      </c>
      <c r="R2231" s="17" t="s">
        <v>35</v>
      </c>
      <c r="S2231" s="17" t="s">
        <v>613</v>
      </c>
      <c r="T2231" s="18" t="s">
        <v>248</v>
      </c>
      <c r="U2231" s="20" t="s">
        <v>122</v>
      </c>
      <c r="V2231" s="17" t="n">
        <v>2</v>
      </c>
      <c r="W2231" s="20" t="s">
        <v>122</v>
      </c>
      <c r="X2231" s="17" t="s">
        <v>239</v>
      </c>
      <c r="Y2231" s="17" t="s">
        <v>951</v>
      </c>
      <c r="Z2231" s="17" t="s">
        <v>959</v>
      </c>
      <c r="AA2231" s="17" t="s">
        <v>919</v>
      </c>
      <c r="AB2231" s="17" t="s">
        <v>41</v>
      </c>
      <c r="AC2231" s="0" t="str">
        <f aca="false">LEFT(G2231,2)</f>
        <v>86</v>
      </c>
    </row>
    <row r="2232" customFormat="false" ht="15" hidden="false" customHeight="false" outlineLevel="0" collapsed="false">
      <c r="A2232" s="13" t="n">
        <f aca="false">1+A2231</f>
        <v>2230</v>
      </c>
      <c r="B2232" s="14" t="n">
        <v>1009558598</v>
      </c>
      <c r="C2232" s="15" t="s">
        <v>192</v>
      </c>
      <c r="D2232" s="16" t="s">
        <v>64</v>
      </c>
      <c r="E2232" s="17" t="s">
        <v>47</v>
      </c>
      <c r="F2232" s="18" t="s">
        <v>34</v>
      </c>
      <c r="G2232" s="19" t="n">
        <v>866308126600</v>
      </c>
      <c r="H2232" s="17" t="s">
        <v>35</v>
      </c>
      <c r="I2232" s="17" t="s">
        <v>72</v>
      </c>
      <c r="J2232" s="17" t="s">
        <v>121</v>
      </c>
      <c r="K2232" s="17" t="s">
        <v>955</v>
      </c>
      <c r="L2232" s="17" t="n">
        <v>1</v>
      </c>
      <c r="M2232" s="17" t="s">
        <v>610</v>
      </c>
      <c r="N2232" s="17" t="n">
        <v>1</v>
      </c>
      <c r="O2232" s="17" t="s">
        <v>611</v>
      </c>
      <c r="P2232" s="17" t="n">
        <v>12</v>
      </c>
      <c r="Q2232" s="17" t="s">
        <v>612</v>
      </c>
      <c r="R2232" s="17" t="s">
        <v>35</v>
      </c>
      <c r="S2232" s="17" t="s">
        <v>613</v>
      </c>
      <c r="T2232" s="18" t="s">
        <v>135</v>
      </c>
      <c r="U2232" s="20" t="s">
        <v>248</v>
      </c>
      <c r="V2232" s="17" t="n">
        <v>11</v>
      </c>
      <c r="W2232" s="20" t="s">
        <v>248</v>
      </c>
      <c r="X2232" s="17" t="s">
        <v>121</v>
      </c>
      <c r="Y2232" s="17" t="s">
        <v>955</v>
      </c>
      <c r="Z2232" s="17" t="s">
        <v>251</v>
      </c>
      <c r="AA2232" s="17" t="s">
        <v>919</v>
      </c>
      <c r="AB2232" s="17" t="s">
        <v>41</v>
      </c>
      <c r="AC2232" s="0" t="str">
        <f aca="false">LEFT(G2232,2)</f>
        <v>86</v>
      </c>
    </row>
    <row r="2233" customFormat="false" ht="15" hidden="false" customHeight="false" outlineLevel="0" collapsed="false">
      <c r="A2233" s="13" t="n">
        <f aca="false">1+A2232</f>
        <v>2231</v>
      </c>
      <c r="B2233" s="14" t="n">
        <v>1009558351</v>
      </c>
      <c r="C2233" s="15" t="s">
        <v>192</v>
      </c>
      <c r="D2233" s="16" t="s">
        <v>64</v>
      </c>
      <c r="E2233" s="17" t="s">
        <v>64</v>
      </c>
      <c r="F2233" s="18" t="s">
        <v>34</v>
      </c>
      <c r="G2233" s="19" t="n">
        <v>865169141310</v>
      </c>
      <c r="H2233" s="17" t="s">
        <v>35</v>
      </c>
      <c r="I2233" s="17" t="s">
        <v>72</v>
      </c>
      <c r="J2233" s="17" t="s">
        <v>121</v>
      </c>
      <c r="K2233" s="17" t="s">
        <v>955</v>
      </c>
      <c r="L2233" s="17" t="n">
        <v>1</v>
      </c>
      <c r="M2233" s="17" t="s">
        <v>610</v>
      </c>
      <c r="N2233" s="17" t="n">
        <v>1</v>
      </c>
      <c r="O2233" s="17" t="s">
        <v>611</v>
      </c>
      <c r="P2233" s="17" t="n">
        <v>11</v>
      </c>
      <c r="Q2233" s="17" t="s">
        <v>953</v>
      </c>
      <c r="R2233" s="17" t="s">
        <v>35</v>
      </c>
      <c r="S2233" s="17" t="s">
        <v>613</v>
      </c>
      <c r="T2233" s="18" t="s">
        <v>248</v>
      </c>
      <c r="U2233" s="20" t="s">
        <v>122</v>
      </c>
      <c r="V2233" s="17" t="n">
        <v>2</v>
      </c>
      <c r="W2233" s="20" t="s">
        <v>122</v>
      </c>
      <c r="X2233" s="17" t="s">
        <v>121</v>
      </c>
      <c r="Y2233" s="17" t="s">
        <v>955</v>
      </c>
      <c r="Z2233" s="17" t="s">
        <v>266</v>
      </c>
      <c r="AA2233" s="17" t="s">
        <v>919</v>
      </c>
      <c r="AB2233" s="17" t="s">
        <v>41</v>
      </c>
      <c r="AC2233" s="0" t="str">
        <f aca="false">LEFT(G2233,2)</f>
        <v>86</v>
      </c>
    </row>
    <row r="2234" customFormat="false" ht="15" hidden="false" customHeight="false" outlineLevel="0" collapsed="false">
      <c r="A2234" s="13" t="n">
        <f aca="false">1+A2233</f>
        <v>2232</v>
      </c>
      <c r="B2234" s="14" t="n">
        <v>1009529891</v>
      </c>
      <c r="C2234" s="15" t="s">
        <v>174</v>
      </c>
      <c r="D2234" s="16" t="s">
        <v>64</v>
      </c>
      <c r="E2234" s="17" t="s">
        <v>33</v>
      </c>
      <c r="F2234" s="18" t="s">
        <v>34</v>
      </c>
      <c r="G2234" s="19" t="n">
        <v>867223466063</v>
      </c>
      <c r="H2234" s="17" t="s">
        <v>35</v>
      </c>
      <c r="I2234" s="17" t="s">
        <v>72</v>
      </c>
      <c r="J2234" s="17" t="s">
        <v>121</v>
      </c>
      <c r="K2234" s="17" t="s">
        <v>955</v>
      </c>
      <c r="L2234" s="17" t="n">
        <v>5</v>
      </c>
      <c r="M2234" s="17" t="s">
        <v>952</v>
      </c>
      <c r="N2234" s="17" t="n">
        <v>24</v>
      </c>
      <c r="O2234" s="17" t="s">
        <v>975</v>
      </c>
      <c r="P2234" s="17" t="n">
        <v>11</v>
      </c>
      <c r="Q2234" s="17" t="s">
        <v>953</v>
      </c>
      <c r="R2234" s="17" t="s">
        <v>35</v>
      </c>
      <c r="S2234" s="17" t="s">
        <v>613</v>
      </c>
      <c r="T2234" s="18" t="s">
        <v>248</v>
      </c>
      <c r="U2234" s="20" t="s">
        <v>122</v>
      </c>
      <c r="V2234" s="17" t="n">
        <v>2</v>
      </c>
      <c r="W2234" s="20" t="s">
        <v>122</v>
      </c>
      <c r="X2234" s="17" t="s">
        <v>121</v>
      </c>
      <c r="Y2234" s="17" t="s">
        <v>955</v>
      </c>
      <c r="Z2234" s="17" t="s">
        <v>266</v>
      </c>
      <c r="AA2234" s="17" t="s">
        <v>919</v>
      </c>
      <c r="AB2234" s="17" t="s">
        <v>41</v>
      </c>
      <c r="AC2234" s="0" t="str">
        <f aca="false">LEFT(G2234,2)</f>
        <v>86</v>
      </c>
    </row>
    <row r="2235" customFormat="false" ht="15" hidden="false" customHeight="false" outlineLevel="0" collapsed="false">
      <c r="A2235" s="13" t="n">
        <f aca="false">1+A2234</f>
        <v>2233</v>
      </c>
      <c r="B2235" s="14" t="n">
        <v>1009621185</v>
      </c>
      <c r="C2235" s="15" t="s">
        <v>184</v>
      </c>
      <c r="D2235" s="16" t="s">
        <v>64</v>
      </c>
      <c r="E2235" s="17" t="s">
        <v>64</v>
      </c>
      <c r="F2235" s="18" t="s">
        <v>34</v>
      </c>
      <c r="G2235" s="19" t="n">
        <v>867100229980</v>
      </c>
      <c r="H2235" s="17" t="s">
        <v>35</v>
      </c>
      <c r="I2235" s="17" t="s">
        <v>72</v>
      </c>
      <c r="J2235" s="17" t="s">
        <v>239</v>
      </c>
      <c r="K2235" s="17" t="s">
        <v>951</v>
      </c>
      <c r="L2235" s="17" t="n">
        <v>5</v>
      </c>
      <c r="M2235" s="17" t="s">
        <v>952</v>
      </c>
      <c r="N2235" s="17" t="n">
        <v>1</v>
      </c>
      <c r="O2235" s="17" t="s">
        <v>611</v>
      </c>
      <c r="P2235" s="17" t="n">
        <v>11</v>
      </c>
      <c r="Q2235" s="17" t="s">
        <v>953</v>
      </c>
      <c r="R2235" s="17" t="s">
        <v>35</v>
      </c>
      <c r="S2235" s="17" t="s">
        <v>613</v>
      </c>
      <c r="T2235" s="18" t="s">
        <v>248</v>
      </c>
      <c r="U2235" s="20" t="s">
        <v>122</v>
      </c>
      <c r="V2235" s="17" t="n">
        <v>2</v>
      </c>
      <c r="W2235" s="20" t="s">
        <v>122</v>
      </c>
      <c r="X2235" s="17" t="s">
        <v>239</v>
      </c>
      <c r="Y2235" s="17" t="s">
        <v>951</v>
      </c>
      <c r="Z2235" s="17" t="s">
        <v>222</v>
      </c>
      <c r="AA2235" s="17" t="s">
        <v>919</v>
      </c>
      <c r="AB2235" s="17" t="s">
        <v>41</v>
      </c>
      <c r="AC2235" s="0" t="str">
        <f aca="false">LEFT(G2235,2)</f>
        <v>86</v>
      </c>
    </row>
    <row r="2236" customFormat="false" ht="15" hidden="false" customHeight="false" outlineLevel="0" collapsed="false">
      <c r="A2236" s="13" t="n">
        <f aca="false">1+A2235</f>
        <v>2234</v>
      </c>
      <c r="B2236" s="14" t="n">
        <v>1009685013</v>
      </c>
      <c r="C2236" s="15" t="s">
        <v>1150</v>
      </c>
      <c r="D2236" s="16" t="s">
        <v>167</v>
      </c>
      <c r="E2236" s="17" t="s">
        <v>47</v>
      </c>
      <c r="F2236" s="18" t="s">
        <v>34</v>
      </c>
      <c r="G2236" s="19" t="n">
        <v>866084103229</v>
      </c>
      <c r="H2236" s="17" t="s">
        <v>35</v>
      </c>
      <c r="I2236" s="17" t="s">
        <v>72</v>
      </c>
      <c r="J2236" s="17" t="s">
        <v>118</v>
      </c>
      <c r="K2236" s="17" t="s">
        <v>609</v>
      </c>
      <c r="L2236" s="17" t="n">
        <v>1</v>
      </c>
      <c r="M2236" s="17" t="s">
        <v>610</v>
      </c>
      <c r="N2236" s="17" t="n">
        <v>1</v>
      </c>
      <c r="O2236" s="17" t="s">
        <v>611</v>
      </c>
      <c r="P2236" s="17" t="n">
        <v>11</v>
      </c>
      <c r="Q2236" s="17" t="s">
        <v>953</v>
      </c>
      <c r="R2236" s="17" t="s">
        <v>35</v>
      </c>
      <c r="S2236" s="17" t="s">
        <v>613</v>
      </c>
      <c r="T2236" s="18" t="s">
        <v>248</v>
      </c>
      <c r="U2236" s="20" t="s">
        <v>122</v>
      </c>
      <c r="V2236" s="17" t="n">
        <v>2</v>
      </c>
      <c r="W2236" s="20" t="s">
        <v>122</v>
      </c>
      <c r="X2236" s="17" t="s">
        <v>118</v>
      </c>
      <c r="Y2236" s="17" t="s">
        <v>609</v>
      </c>
      <c r="Z2236" s="17" t="s">
        <v>249</v>
      </c>
      <c r="AA2236" s="17" t="s">
        <v>919</v>
      </c>
      <c r="AB2236" s="17" t="s">
        <v>41</v>
      </c>
      <c r="AC2236" s="0" t="str">
        <f aca="false">LEFT(G2236,2)</f>
        <v>86</v>
      </c>
    </row>
    <row r="2237" customFormat="false" ht="15" hidden="false" customHeight="false" outlineLevel="0" collapsed="false">
      <c r="A2237" s="13" t="n">
        <f aca="false">1+A2236</f>
        <v>2235</v>
      </c>
      <c r="B2237" s="14" t="n">
        <v>1009645490</v>
      </c>
      <c r="C2237" s="15" t="s">
        <v>204</v>
      </c>
      <c r="D2237" s="16" t="s">
        <v>64</v>
      </c>
      <c r="E2237" s="17" t="s">
        <v>47</v>
      </c>
      <c r="F2237" s="18" t="s">
        <v>34</v>
      </c>
      <c r="G2237" s="19" t="n">
        <v>867010170217</v>
      </c>
      <c r="H2237" s="17" t="s">
        <v>35</v>
      </c>
      <c r="I2237" s="17" t="s">
        <v>72</v>
      </c>
      <c r="J2237" s="17" t="s">
        <v>241</v>
      </c>
      <c r="K2237" s="17" t="s">
        <v>992</v>
      </c>
      <c r="L2237" s="17" t="n">
        <v>5</v>
      </c>
      <c r="M2237" s="17" t="s">
        <v>952</v>
      </c>
      <c r="N2237" s="17" t="n">
        <v>1</v>
      </c>
      <c r="O2237" s="17" t="s">
        <v>611</v>
      </c>
      <c r="P2237" s="17" t="n">
        <v>11</v>
      </c>
      <c r="Q2237" s="17" t="s">
        <v>953</v>
      </c>
      <c r="R2237" s="17" t="s">
        <v>35</v>
      </c>
      <c r="S2237" s="17" t="s">
        <v>613</v>
      </c>
      <c r="T2237" s="18" t="s">
        <v>248</v>
      </c>
      <c r="U2237" s="20" t="s">
        <v>38</v>
      </c>
      <c r="V2237" s="17" t="n">
        <v>4</v>
      </c>
      <c r="W2237" s="20" t="s">
        <v>38</v>
      </c>
      <c r="X2237" s="17" t="s">
        <v>241</v>
      </c>
      <c r="Y2237" s="17" t="s">
        <v>992</v>
      </c>
      <c r="Z2237" s="17" t="s">
        <v>1151</v>
      </c>
      <c r="AA2237" s="17" t="s">
        <v>919</v>
      </c>
      <c r="AB2237" s="17" t="s">
        <v>41</v>
      </c>
      <c r="AC2237" s="0" t="str">
        <f aca="false">LEFT(G2237,2)</f>
        <v>86</v>
      </c>
    </row>
    <row r="2238" customFormat="false" ht="15" hidden="false" customHeight="false" outlineLevel="0" collapsed="false">
      <c r="A2238" s="13" t="n">
        <f aca="false">1+A2237</f>
        <v>2236</v>
      </c>
      <c r="B2238" s="14" t="n">
        <v>1009614930</v>
      </c>
      <c r="C2238" s="15" t="s">
        <v>184</v>
      </c>
      <c r="D2238" s="16" t="s">
        <v>64</v>
      </c>
      <c r="E2238" s="17" t="s">
        <v>64</v>
      </c>
      <c r="F2238" s="18" t="s">
        <v>34</v>
      </c>
      <c r="G2238" s="19" t="n">
        <v>866089204725</v>
      </c>
      <c r="H2238" s="17" t="s">
        <v>35</v>
      </c>
      <c r="I2238" s="17" t="s">
        <v>72</v>
      </c>
      <c r="J2238" s="17" t="s">
        <v>241</v>
      </c>
      <c r="K2238" s="17" t="s">
        <v>992</v>
      </c>
      <c r="L2238" s="17" t="n">
        <v>5</v>
      </c>
      <c r="M2238" s="17" t="s">
        <v>952</v>
      </c>
      <c r="N2238" s="17" t="n">
        <v>1</v>
      </c>
      <c r="O2238" s="17" t="s">
        <v>611</v>
      </c>
      <c r="P2238" s="17" t="n">
        <v>11</v>
      </c>
      <c r="Q2238" s="17" t="s">
        <v>953</v>
      </c>
      <c r="R2238" s="17" t="s">
        <v>35</v>
      </c>
      <c r="S2238" s="17" t="s">
        <v>613</v>
      </c>
      <c r="T2238" s="18" t="s">
        <v>248</v>
      </c>
      <c r="U2238" s="20" t="s">
        <v>38</v>
      </c>
      <c r="V2238" s="17" t="n">
        <v>4</v>
      </c>
      <c r="W2238" s="20" t="s">
        <v>38</v>
      </c>
      <c r="X2238" s="17" t="s">
        <v>241</v>
      </c>
      <c r="Y2238" s="17" t="s">
        <v>992</v>
      </c>
      <c r="Z2238" s="17" t="s">
        <v>1151</v>
      </c>
      <c r="AA2238" s="17" t="s">
        <v>919</v>
      </c>
      <c r="AB2238" s="17" t="s">
        <v>41</v>
      </c>
      <c r="AC2238" s="0" t="str">
        <f aca="false">LEFT(G2238,2)</f>
        <v>86</v>
      </c>
    </row>
    <row r="2239" customFormat="false" ht="15" hidden="false" customHeight="false" outlineLevel="0" collapsed="false">
      <c r="A2239" s="13" t="n">
        <f aca="false">1+A2238</f>
        <v>2237</v>
      </c>
      <c r="B2239" s="14" t="n">
        <v>1009666767</v>
      </c>
      <c r="C2239" s="15" t="s">
        <v>436</v>
      </c>
      <c r="D2239" s="16" t="s">
        <v>64</v>
      </c>
      <c r="E2239" s="17" t="s">
        <v>47</v>
      </c>
      <c r="F2239" s="18" t="s">
        <v>34</v>
      </c>
      <c r="G2239" s="19" t="n">
        <v>865294233784</v>
      </c>
      <c r="H2239" s="17" t="s">
        <v>35</v>
      </c>
      <c r="I2239" s="17" t="s">
        <v>72</v>
      </c>
      <c r="J2239" s="17" t="s">
        <v>241</v>
      </c>
      <c r="K2239" s="17" t="s">
        <v>992</v>
      </c>
      <c r="L2239" s="17" t="n">
        <v>5</v>
      </c>
      <c r="M2239" s="17" t="s">
        <v>952</v>
      </c>
      <c r="N2239" s="17" t="n">
        <v>1</v>
      </c>
      <c r="O2239" s="17" t="s">
        <v>611</v>
      </c>
      <c r="P2239" s="17" t="n">
        <v>11</v>
      </c>
      <c r="Q2239" s="17" t="s">
        <v>953</v>
      </c>
      <c r="R2239" s="17" t="s">
        <v>35</v>
      </c>
      <c r="S2239" s="17" t="s">
        <v>613</v>
      </c>
      <c r="T2239" s="18" t="s">
        <v>248</v>
      </c>
      <c r="U2239" s="20" t="s">
        <v>38</v>
      </c>
      <c r="V2239" s="17" t="n">
        <v>4</v>
      </c>
      <c r="W2239" s="20" t="s">
        <v>38</v>
      </c>
      <c r="X2239" s="17" t="s">
        <v>241</v>
      </c>
      <c r="Y2239" s="17" t="s">
        <v>992</v>
      </c>
      <c r="Z2239" s="17" t="s">
        <v>1151</v>
      </c>
      <c r="AA2239" s="17" t="s">
        <v>919</v>
      </c>
      <c r="AB2239" s="17" t="s">
        <v>41</v>
      </c>
      <c r="AC2239" s="0" t="str">
        <f aca="false">LEFT(G2239,2)</f>
        <v>86</v>
      </c>
    </row>
    <row r="2240" customFormat="false" ht="15" hidden="false" customHeight="false" outlineLevel="0" collapsed="false">
      <c r="A2240" s="13" t="n">
        <f aca="false">1+A2239</f>
        <v>2238</v>
      </c>
      <c r="B2240" s="14" t="n">
        <v>1009540404</v>
      </c>
      <c r="C2240" s="15" t="s">
        <v>126</v>
      </c>
      <c r="D2240" s="16" t="s">
        <v>64</v>
      </c>
      <c r="E2240" s="17" t="s">
        <v>64</v>
      </c>
      <c r="F2240" s="18" t="s">
        <v>34</v>
      </c>
      <c r="G2240" s="19" t="n">
        <v>867279136792</v>
      </c>
      <c r="H2240" s="17" t="s">
        <v>35</v>
      </c>
      <c r="I2240" s="17" t="s">
        <v>72</v>
      </c>
      <c r="J2240" s="17" t="s">
        <v>118</v>
      </c>
      <c r="K2240" s="17" t="s">
        <v>609</v>
      </c>
      <c r="L2240" s="17" t="n">
        <v>5</v>
      </c>
      <c r="M2240" s="17" t="s">
        <v>952</v>
      </c>
      <c r="N2240" s="17" t="n">
        <v>1</v>
      </c>
      <c r="O2240" s="17" t="s">
        <v>611</v>
      </c>
      <c r="P2240" s="17" t="n">
        <v>11</v>
      </c>
      <c r="Q2240" s="17" t="s">
        <v>953</v>
      </c>
      <c r="R2240" s="17" t="s">
        <v>35</v>
      </c>
      <c r="S2240" s="17" t="s">
        <v>613</v>
      </c>
      <c r="T2240" s="18" t="s">
        <v>248</v>
      </c>
      <c r="U2240" s="20" t="s">
        <v>122</v>
      </c>
      <c r="V2240" s="17" t="n">
        <v>2</v>
      </c>
      <c r="W2240" s="20" t="s">
        <v>122</v>
      </c>
      <c r="X2240" s="17" t="s">
        <v>118</v>
      </c>
      <c r="Y2240" s="17" t="s">
        <v>609</v>
      </c>
      <c r="Z2240" s="17" t="s">
        <v>276</v>
      </c>
      <c r="AA2240" s="17" t="s">
        <v>919</v>
      </c>
      <c r="AB2240" s="17" t="s">
        <v>41</v>
      </c>
      <c r="AC2240" s="0" t="str">
        <f aca="false">LEFT(G2240,2)</f>
        <v>86</v>
      </c>
    </row>
    <row r="2241" customFormat="false" ht="15" hidden="false" customHeight="false" outlineLevel="0" collapsed="false">
      <c r="A2241" s="13" t="n">
        <f aca="false">1+A2240</f>
        <v>2239</v>
      </c>
      <c r="B2241" s="14" t="n">
        <v>1009630379</v>
      </c>
      <c r="C2241" s="15" t="s">
        <v>182</v>
      </c>
      <c r="D2241" s="16" t="s">
        <v>64</v>
      </c>
      <c r="E2241" s="17" t="s">
        <v>64</v>
      </c>
      <c r="F2241" s="18" t="s">
        <v>34</v>
      </c>
      <c r="G2241" s="19" t="n">
        <v>865175100508</v>
      </c>
      <c r="H2241" s="17" t="s">
        <v>35</v>
      </c>
      <c r="I2241" s="17" t="s">
        <v>72</v>
      </c>
      <c r="J2241" s="17" t="s">
        <v>111</v>
      </c>
      <c r="K2241" s="17" t="s">
        <v>958</v>
      </c>
      <c r="L2241" s="17" t="n">
        <v>1</v>
      </c>
      <c r="M2241" s="17" t="s">
        <v>610</v>
      </c>
      <c r="N2241" s="17" t="n">
        <v>1</v>
      </c>
      <c r="O2241" s="17" t="s">
        <v>611</v>
      </c>
      <c r="P2241" s="17" t="n">
        <v>12</v>
      </c>
      <c r="Q2241" s="17" t="s">
        <v>612</v>
      </c>
      <c r="R2241" s="17" t="s">
        <v>35</v>
      </c>
      <c r="S2241" s="17" t="s">
        <v>613</v>
      </c>
      <c r="T2241" s="18" t="s">
        <v>135</v>
      </c>
      <c r="U2241" s="20" t="s">
        <v>101</v>
      </c>
      <c r="V2241" s="17" t="n">
        <v>8</v>
      </c>
      <c r="W2241" s="20" t="s">
        <v>101</v>
      </c>
      <c r="X2241" s="17" t="s">
        <v>111</v>
      </c>
      <c r="Y2241" s="17" t="s">
        <v>958</v>
      </c>
      <c r="Z2241" s="17" t="s">
        <v>249</v>
      </c>
      <c r="AA2241" s="17" t="s">
        <v>919</v>
      </c>
      <c r="AB2241" s="17" t="s">
        <v>41</v>
      </c>
      <c r="AC2241" s="0" t="str">
        <f aca="false">LEFT(G2241,2)</f>
        <v>86</v>
      </c>
    </row>
    <row r="2242" customFormat="false" ht="15" hidden="false" customHeight="false" outlineLevel="0" collapsed="false">
      <c r="A2242" s="13" t="n">
        <f aca="false">1+A2241</f>
        <v>2240</v>
      </c>
      <c r="B2242" s="14" t="n">
        <v>1009634503</v>
      </c>
      <c r="C2242" s="15" t="s">
        <v>232</v>
      </c>
      <c r="D2242" s="16" t="s">
        <v>64</v>
      </c>
      <c r="E2242" s="17" t="s">
        <v>47</v>
      </c>
      <c r="F2242" s="18" t="s">
        <v>34</v>
      </c>
      <c r="G2242" s="19" t="n">
        <v>866026248512</v>
      </c>
      <c r="H2242" s="17" t="s">
        <v>35</v>
      </c>
      <c r="I2242" s="17" t="s">
        <v>72</v>
      </c>
      <c r="J2242" s="17" t="s">
        <v>267</v>
      </c>
      <c r="K2242" s="17" t="s">
        <v>960</v>
      </c>
      <c r="L2242" s="17" t="n">
        <v>1</v>
      </c>
      <c r="M2242" s="17" t="s">
        <v>610</v>
      </c>
      <c r="N2242" s="17" t="n">
        <v>1</v>
      </c>
      <c r="O2242" s="17" t="s">
        <v>611</v>
      </c>
      <c r="P2242" s="17" t="n">
        <v>11</v>
      </c>
      <c r="Q2242" s="17" t="s">
        <v>953</v>
      </c>
      <c r="R2242" s="17" t="s">
        <v>35</v>
      </c>
      <c r="S2242" s="17" t="s">
        <v>613</v>
      </c>
      <c r="T2242" s="18" t="s">
        <v>248</v>
      </c>
      <c r="U2242" s="20" t="s">
        <v>122</v>
      </c>
      <c r="V2242" s="17" t="n">
        <v>2</v>
      </c>
      <c r="W2242" s="20" t="s">
        <v>122</v>
      </c>
      <c r="X2242" s="17" t="s">
        <v>267</v>
      </c>
      <c r="Y2242" s="17" t="s">
        <v>960</v>
      </c>
      <c r="Z2242" s="17" t="s">
        <v>276</v>
      </c>
      <c r="AA2242" s="17" t="s">
        <v>919</v>
      </c>
      <c r="AB2242" s="17" t="s">
        <v>41</v>
      </c>
      <c r="AC2242" s="0" t="str">
        <f aca="false">LEFT(G2242,2)</f>
        <v>86</v>
      </c>
    </row>
    <row r="2243" customFormat="false" ht="15" hidden="false" customHeight="false" outlineLevel="0" collapsed="false">
      <c r="A2243" s="13" t="n">
        <f aca="false">1+A2242</f>
        <v>2241</v>
      </c>
      <c r="B2243" s="14" t="n">
        <v>1009665540</v>
      </c>
      <c r="C2243" s="15" t="s">
        <v>436</v>
      </c>
      <c r="D2243" s="16" t="s">
        <v>64</v>
      </c>
      <c r="E2243" s="17" t="s">
        <v>47</v>
      </c>
      <c r="F2243" s="18" t="s">
        <v>34</v>
      </c>
      <c r="G2243" s="19" t="n">
        <v>866130101649</v>
      </c>
      <c r="H2243" s="17" t="s">
        <v>35</v>
      </c>
      <c r="I2243" s="17" t="s">
        <v>72</v>
      </c>
      <c r="J2243" s="17" t="s">
        <v>241</v>
      </c>
      <c r="K2243" s="17" t="s">
        <v>992</v>
      </c>
      <c r="L2243" s="17" t="n">
        <v>5</v>
      </c>
      <c r="M2243" s="17" t="s">
        <v>952</v>
      </c>
      <c r="N2243" s="17" t="n">
        <v>1</v>
      </c>
      <c r="O2243" s="17" t="s">
        <v>611</v>
      </c>
      <c r="P2243" s="17" t="n">
        <v>11</v>
      </c>
      <c r="Q2243" s="17" t="s">
        <v>953</v>
      </c>
      <c r="R2243" s="17" t="s">
        <v>35</v>
      </c>
      <c r="S2243" s="17" t="s">
        <v>613</v>
      </c>
      <c r="T2243" s="18" t="s">
        <v>248</v>
      </c>
      <c r="U2243" s="20" t="s">
        <v>38</v>
      </c>
      <c r="V2243" s="17" t="n">
        <v>4</v>
      </c>
      <c r="W2243" s="20" t="s">
        <v>38</v>
      </c>
      <c r="X2243" s="17" t="s">
        <v>241</v>
      </c>
      <c r="Y2243" s="17" t="s">
        <v>992</v>
      </c>
      <c r="Z2243" s="17" t="s">
        <v>1151</v>
      </c>
      <c r="AA2243" s="17" t="s">
        <v>919</v>
      </c>
      <c r="AB2243" s="17" t="s">
        <v>41</v>
      </c>
      <c r="AC2243" s="0" t="str">
        <f aca="false">LEFT(G2243,2)</f>
        <v>86</v>
      </c>
    </row>
    <row r="2244" customFormat="false" ht="15" hidden="false" customHeight="false" outlineLevel="0" collapsed="false">
      <c r="A2244" s="13" t="n">
        <f aca="false">1+A2243</f>
        <v>2242</v>
      </c>
      <c r="B2244" s="14" t="n">
        <v>1009624320</v>
      </c>
      <c r="C2244" s="15" t="s">
        <v>163</v>
      </c>
      <c r="D2244" s="16" t="s">
        <v>64</v>
      </c>
      <c r="E2244" s="17" t="s">
        <v>64</v>
      </c>
      <c r="F2244" s="18" t="s">
        <v>34</v>
      </c>
      <c r="G2244" s="19" t="n">
        <v>429246129762</v>
      </c>
      <c r="H2244" s="17" t="s">
        <v>35</v>
      </c>
      <c r="I2244" s="17" t="s">
        <v>82</v>
      </c>
      <c r="J2244" s="17" t="s">
        <v>111</v>
      </c>
      <c r="K2244" s="17" t="s">
        <v>958</v>
      </c>
      <c r="L2244" s="17" t="n">
        <v>2</v>
      </c>
      <c r="M2244" s="17" t="s">
        <v>981</v>
      </c>
      <c r="N2244" s="17" t="n">
        <v>6</v>
      </c>
      <c r="O2244" s="17" t="s">
        <v>982</v>
      </c>
      <c r="P2244" s="17" t="n">
        <v>11</v>
      </c>
      <c r="Q2244" s="17" t="s">
        <v>953</v>
      </c>
      <c r="R2244" s="17" t="s">
        <v>35</v>
      </c>
      <c r="S2244" s="17" t="s">
        <v>613</v>
      </c>
      <c r="T2244" s="18" t="s">
        <v>248</v>
      </c>
      <c r="U2244" s="20" t="s">
        <v>256</v>
      </c>
      <c r="V2244" s="17" t="n">
        <v>1</v>
      </c>
      <c r="W2244" s="20" t="s">
        <v>256</v>
      </c>
      <c r="X2244" s="17" t="s">
        <v>111</v>
      </c>
      <c r="Y2244" s="17" t="s">
        <v>958</v>
      </c>
      <c r="Z2244" s="17" t="s">
        <v>303</v>
      </c>
      <c r="AA2244" s="17" t="s">
        <v>919</v>
      </c>
      <c r="AB2244" s="17" t="s">
        <v>41</v>
      </c>
      <c r="AC2244" s="0" t="str">
        <f aca="false">LEFT(G2244,2)</f>
        <v>42</v>
      </c>
    </row>
    <row r="2245" customFormat="false" ht="15" hidden="false" customHeight="false" outlineLevel="0" collapsed="false">
      <c r="A2245" s="13" t="n">
        <f aca="false">1+A2244</f>
        <v>2243</v>
      </c>
      <c r="B2245" s="14" t="n">
        <v>1009514805</v>
      </c>
      <c r="C2245" s="15" t="s">
        <v>93</v>
      </c>
      <c r="D2245" s="16" t="s">
        <v>64</v>
      </c>
      <c r="E2245" s="17" t="s">
        <v>64</v>
      </c>
      <c r="F2245" s="18" t="s">
        <v>34</v>
      </c>
      <c r="G2245" s="19" t="n">
        <v>429279163449</v>
      </c>
      <c r="H2245" s="17" t="s">
        <v>35</v>
      </c>
      <c r="I2245" s="17" t="s">
        <v>82</v>
      </c>
      <c r="J2245" s="17" t="s">
        <v>111</v>
      </c>
      <c r="K2245" s="17" t="s">
        <v>958</v>
      </c>
      <c r="L2245" s="17" t="n">
        <v>2</v>
      </c>
      <c r="M2245" s="17" t="s">
        <v>981</v>
      </c>
      <c r="N2245" s="17" t="n">
        <v>6</v>
      </c>
      <c r="O2245" s="17" t="s">
        <v>982</v>
      </c>
      <c r="P2245" s="17" t="n">
        <v>11</v>
      </c>
      <c r="Q2245" s="17" t="s">
        <v>953</v>
      </c>
      <c r="R2245" s="17" t="s">
        <v>35</v>
      </c>
      <c r="S2245" s="17" t="s">
        <v>613</v>
      </c>
      <c r="T2245" s="18" t="s">
        <v>248</v>
      </c>
      <c r="U2245" s="20" t="s">
        <v>122</v>
      </c>
      <c r="V2245" s="17" t="n">
        <v>2</v>
      </c>
      <c r="W2245" s="20" t="s">
        <v>122</v>
      </c>
      <c r="X2245" s="17" t="s">
        <v>111</v>
      </c>
      <c r="Y2245" s="17" t="s">
        <v>958</v>
      </c>
      <c r="Z2245" s="17" t="s">
        <v>303</v>
      </c>
      <c r="AA2245" s="17" t="s">
        <v>919</v>
      </c>
      <c r="AB2245" s="17" t="s">
        <v>41</v>
      </c>
      <c r="AC2245" s="0" t="str">
        <f aca="false">LEFT(G2245,2)</f>
        <v>42</v>
      </c>
    </row>
    <row r="2246" customFormat="false" ht="15" hidden="false" customHeight="false" outlineLevel="0" collapsed="false">
      <c r="A2246" s="13" t="n">
        <f aca="false">1+A2245</f>
        <v>2244</v>
      </c>
      <c r="B2246" s="14" t="n">
        <v>1009616547</v>
      </c>
      <c r="C2246" s="15" t="s">
        <v>184</v>
      </c>
      <c r="D2246" s="16" t="s">
        <v>64</v>
      </c>
      <c r="E2246" s="17" t="s">
        <v>114</v>
      </c>
      <c r="F2246" s="18" t="s">
        <v>34</v>
      </c>
      <c r="G2246" s="19" t="n">
        <v>421054124191</v>
      </c>
      <c r="H2246" s="17" t="s">
        <v>35</v>
      </c>
      <c r="I2246" s="17" t="s">
        <v>82</v>
      </c>
      <c r="J2246" s="17" t="s">
        <v>239</v>
      </c>
      <c r="K2246" s="17" t="s">
        <v>951</v>
      </c>
      <c r="L2246" s="17" t="n">
        <v>5</v>
      </c>
      <c r="M2246" s="17" t="s">
        <v>952</v>
      </c>
      <c r="N2246" s="17" t="n">
        <v>1</v>
      </c>
      <c r="O2246" s="17" t="s">
        <v>611</v>
      </c>
      <c r="P2246" s="17" t="n">
        <v>11</v>
      </c>
      <c r="Q2246" s="17" t="s">
        <v>953</v>
      </c>
      <c r="R2246" s="17" t="s">
        <v>35</v>
      </c>
      <c r="S2246" s="17" t="s">
        <v>613</v>
      </c>
      <c r="T2246" s="18" t="s">
        <v>248</v>
      </c>
      <c r="U2246" s="20" t="s">
        <v>256</v>
      </c>
      <c r="V2246" s="17" t="n">
        <v>1</v>
      </c>
      <c r="W2246" s="20" t="s">
        <v>256</v>
      </c>
      <c r="X2246" s="17" t="s">
        <v>239</v>
      </c>
      <c r="Y2246" s="17" t="s">
        <v>951</v>
      </c>
      <c r="Z2246" s="17" t="s">
        <v>303</v>
      </c>
      <c r="AA2246" s="17" t="s">
        <v>919</v>
      </c>
      <c r="AB2246" s="17" t="s">
        <v>41</v>
      </c>
      <c r="AC2246" s="0" t="str">
        <f aca="false">LEFT(G2246,2)</f>
        <v>42</v>
      </c>
    </row>
    <row r="2247" customFormat="false" ht="15" hidden="false" customHeight="false" outlineLevel="0" collapsed="false">
      <c r="A2247" s="13" t="n">
        <f aca="false">1+A2246</f>
        <v>2245</v>
      </c>
      <c r="B2247" s="14" t="n">
        <v>1009468885</v>
      </c>
      <c r="C2247" s="15" t="s">
        <v>151</v>
      </c>
      <c r="D2247" s="16" t="s">
        <v>64</v>
      </c>
      <c r="E2247" s="17" t="s">
        <v>64</v>
      </c>
      <c r="F2247" s="18" t="s">
        <v>34</v>
      </c>
      <c r="G2247" s="19" t="n">
        <v>420295244081</v>
      </c>
      <c r="H2247" s="17" t="s">
        <v>35</v>
      </c>
      <c r="I2247" s="17" t="s">
        <v>82</v>
      </c>
      <c r="J2247" s="17" t="s">
        <v>239</v>
      </c>
      <c r="K2247" s="17" t="s">
        <v>951</v>
      </c>
      <c r="L2247" s="17" t="n">
        <v>5</v>
      </c>
      <c r="M2247" s="17" t="s">
        <v>952</v>
      </c>
      <c r="N2247" s="17" t="n">
        <v>1</v>
      </c>
      <c r="O2247" s="17" t="s">
        <v>611</v>
      </c>
      <c r="P2247" s="17" t="n">
        <v>11</v>
      </c>
      <c r="Q2247" s="17" t="s">
        <v>953</v>
      </c>
      <c r="R2247" s="17" t="s">
        <v>35</v>
      </c>
      <c r="S2247" s="17" t="s">
        <v>613</v>
      </c>
      <c r="T2247" s="18" t="s">
        <v>248</v>
      </c>
      <c r="U2247" s="20" t="s">
        <v>38</v>
      </c>
      <c r="V2247" s="17" t="n">
        <v>4</v>
      </c>
      <c r="W2247" s="20" t="s">
        <v>38</v>
      </c>
      <c r="X2247" s="17" t="s">
        <v>239</v>
      </c>
      <c r="Y2247" s="17" t="s">
        <v>951</v>
      </c>
      <c r="Z2247" s="17" t="s">
        <v>249</v>
      </c>
      <c r="AA2247" s="17" t="s">
        <v>919</v>
      </c>
      <c r="AB2247" s="17" t="s">
        <v>41</v>
      </c>
      <c r="AC2247" s="0" t="str">
        <f aca="false">LEFT(G2247,2)</f>
        <v>42</v>
      </c>
    </row>
    <row r="2248" customFormat="false" ht="15" hidden="false" customHeight="false" outlineLevel="0" collapsed="false">
      <c r="A2248" s="13" t="n">
        <f aca="false">1+A2247</f>
        <v>2246</v>
      </c>
      <c r="B2248" s="14" t="n">
        <v>1009628628</v>
      </c>
      <c r="C2248" s="15" t="s">
        <v>229</v>
      </c>
      <c r="D2248" s="16" t="s">
        <v>281</v>
      </c>
      <c r="E2248" s="17" t="s">
        <v>487</v>
      </c>
      <c r="F2248" s="18" t="s">
        <v>34</v>
      </c>
      <c r="G2248" s="19" t="n">
        <v>420277278057</v>
      </c>
      <c r="H2248" s="17" t="s">
        <v>35</v>
      </c>
      <c r="I2248" s="17" t="s">
        <v>82</v>
      </c>
      <c r="J2248" s="17" t="s">
        <v>239</v>
      </c>
      <c r="K2248" s="17" t="s">
        <v>951</v>
      </c>
      <c r="L2248" s="17" t="n">
        <v>5</v>
      </c>
      <c r="M2248" s="17" t="s">
        <v>952</v>
      </c>
      <c r="N2248" s="17" t="n">
        <v>1</v>
      </c>
      <c r="O2248" s="17" t="s">
        <v>611</v>
      </c>
      <c r="P2248" s="17" t="n">
        <v>11</v>
      </c>
      <c r="Q2248" s="17" t="s">
        <v>953</v>
      </c>
      <c r="R2248" s="17" t="s">
        <v>35</v>
      </c>
      <c r="S2248" s="17" t="s">
        <v>613</v>
      </c>
      <c r="T2248" s="18" t="s">
        <v>248</v>
      </c>
      <c r="U2248" s="20" t="s">
        <v>256</v>
      </c>
      <c r="V2248" s="17" t="n">
        <v>1</v>
      </c>
      <c r="W2248" s="20" t="s">
        <v>256</v>
      </c>
      <c r="X2248" s="17" t="s">
        <v>239</v>
      </c>
      <c r="Y2248" s="17" t="s">
        <v>951</v>
      </c>
      <c r="Z2248" s="17" t="s">
        <v>303</v>
      </c>
      <c r="AA2248" s="17" t="s">
        <v>919</v>
      </c>
      <c r="AB2248" s="17" t="s">
        <v>41</v>
      </c>
      <c r="AC2248" s="0" t="str">
        <f aca="false">LEFT(G2248,2)</f>
        <v>42</v>
      </c>
    </row>
    <row r="2249" customFormat="false" ht="15" hidden="false" customHeight="false" outlineLevel="0" collapsed="false">
      <c r="A2249" s="13" t="n">
        <f aca="false">1+A2248</f>
        <v>2247</v>
      </c>
      <c r="B2249" s="14" t="n">
        <v>1009561343</v>
      </c>
      <c r="C2249" s="15" t="s">
        <v>192</v>
      </c>
      <c r="D2249" s="16" t="s">
        <v>64</v>
      </c>
      <c r="E2249" s="17" t="s">
        <v>47</v>
      </c>
      <c r="F2249" s="18" t="s">
        <v>34</v>
      </c>
      <c r="G2249" s="19" t="n">
        <v>421054147713</v>
      </c>
      <c r="H2249" s="17" t="s">
        <v>35</v>
      </c>
      <c r="I2249" s="17" t="s">
        <v>82</v>
      </c>
      <c r="J2249" s="17" t="s">
        <v>111</v>
      </c>
      <c r="K2249" s="17" t="s">
        <v>958</v>
      </c>
      <c r="L2249" s="17" t="n">
        <v>2</v>
      </c>
      <c r="M2249" s="17" t="s">
        <v>981</v>
      </c>
      <c r="N2249" s="17" t="n">
        <v>6</v>
      </c>
      <c r="O2249" s="17" t="s">
        <v>982</v>
      </c>
      <c r="P2249" s="17" t="n">
        <v>11</v>
      </c>
      <c r="Q2249" s="17" t="s">
        <v>953</v>
      </c>
      <c r="R2249" s="17" t="s">
        <v>35</v>
      </c>
      <c r="S2249" s="17" t="s">
        <v>613</v>
      </c>
      <c r="T2249" s="18" t="s">
        <v>248</v>
      </c>
      <c r="U2249" s="20" t="s">
        <v>122</v>
      </c>
      <c r="V2249" s="17" t="n">
        <v>2</v>
      </c>
      <c r="W2249" s="20" t="s">
        <v>122</v>
      </c>
      <c r="X2249" s="17" t="s">
        <v>111</v>
      </c>
      <c r="Y2249" s="17" t="s">
        <v>958</v>
      </c>
      <c r="Z2249" s="17" t="s">
        <v>303</v>
      </c>
      <c r="AA2249" s="17" t="s">
        <v>919</v>
      </c>
      <c r="AB2249" s="17" t="s">
        <v>41</v>
      </c>
      <c r="AC2249" s="0" t="str">
        <f aca="false">LEFT(G2249,2)</f>
        <v>42</v>
      </c>
    </row>
    <row r="2250" customFormat="false" ht="15" hidden="false" customHeight="false" outlineLevel="0" collapsed="false">
      <c r="A2250" s="13" t="n">
        <f aca="false">1+A2249</f>
        <v>2248</v>
      </c>
      <c r="B2250" s="14" t="n">
        <v>1009636154</v>
      </c>
      <c r="C2250" s="15" t="s">
        <v>182</v>
      </c>
      <c r="D2250" s="16" t="s">
        <v>64</v>
      </c>
      <c r="E2250" s="17" t="s">
        <v>114</v>
      </c>
      <c r="F2250" s="18" t="s">
        <v>34</v>
      </c>
      <c r="G2250" s="19" t="n">
        <v>420282148667</v>
      </c>
      <c r="H2250" s="17" t="s">
        <v>35</v>
      </c>
      <c r="I2250" s="17" t="s">
        <v>82</v>
      </c>
      <c r="J2250" s="17" t="s">
        <v>118</v>
      </c>
      <c r="K2250" s="17" t="s">
        <v>609</v>
      </c>
      <c r="L2250" s="17" t="n">
        <v>2</v>
      </c>
      <c r="M2250" s="17" t="s">
        <v>981</v>
      </c>
      <c r="N2250" s="17" t="n">
        <v>6</v>
      </c>
      <c r="O2250" s="17" t="s">
        <v>982</v>
      </c>
      <c r="P2250" s="17" t="n">
        <v>11</v>
      </c>
      <c r="Q2250" s="17" t="s">
        <v>953</v>
      </c>
      <c r="R2250" s="17" t="s">
        <v>35</v>
      </c>
      <c r="S2250" s="17" t="s">
        <v>613</v>
      </c>
      <c r="T2250" s="18" t="s">
        <v>248</v>
      </c>
      <c r="U2250" s="20" t="s">
        <v>256</v>
      </c>
      <c r="V2250" s="17" t="n">
        <v>1</v>
      </c>
      <c r="W2250" s="20" t="s">
        <v>256</v>
      </c>
      <c r="X2250" s="17" t="s">
        <v>118</v>
      </c>
      <c r="Y2250" s="17" t="s">
        <v>609</v>
      </c>
      <c r="Z2250" s="17" t="s">
        <v>303</v>
      </c>
      <c r="AA2250" s="17" t="s">
        <v>919</v>
      </c>
      <c r="AB2250" s="17" t="s">
        <v>41</v>
      </c>
      <c r="AC2250" s="0" t="str">
        <f aca="false">LEFT(G2250,2)</f>
        <v>42</v>
      </c>
    </row>
    <row r="2251" customFormat="false" ht="15" hidden="false" customHeight="false" outlineLevel="0" collapsed="false">
      <c r="A2251" s="13" t="n">
        <f aca="false">1+A2250</f>
        <v>2249</v>
      </c>
      <c r="B2251" s="14" t="n">
        <v>1009561073</v>
      </c>
      <c r="C2251" s="15" t="s">
        <v>192</v>
      </c>
      <c r="D2251" s="16" t="s">
        <v>64</v>
      </c>
      <c r="E2251" s="17" t="s">
        <v>47</v>
      </c>
      <c r="F2251" s="18" t="s">
        <v>34</v>
      </c>
      <c r="G2251" s="19" t="n">
        <v>429301148616</v>
      </c>
      <c r="H2251" s="17" t="s">
        <v>35</v>
      </c>
      <c r="I2251" s="17" t="s">
        <v>82</v>
      </c>
      <c r="J2251" s="17" t="s">
        <v>118</v>
      </c>
      <c r="K2251" s="17" t="s">
        <v>609</v>
      </c>
      <c r="L2251" s="17" t="n">
        <v>1</v>
      </c>
      <c r="M2251" s="17" t="s">
        <v>610</v>
      </c>
      <c r="N2251" s="17" t="n">
        <v>1</v>
      </c>
      <c r="O2251" s="17" t="s">
        <v>611</v>
      </c>
      <c r="P2251" s="17" t="n">
        <v>11</v>
      </c>
      <c r="Q2251" s="17" t="s">
        <v>953</v>
      </c>
      <c r="R2251" s="17" t="s">
        <v>35</v>
      </c>
      <c r="S2251" s="17" t="s">
        <v>613</v>
      </c>
      <c r="T2251" s="18" t="s">
        <v>248</v>
      </c>
      <c r="U2251" s="20" t="s">
        <v>256</v>
      </c>
      <c r="V2251" s="17" t="n">
        <v>1</v>
      </c>
      <c r="W2251" s="20" t="s">
        <v>256</v>
      </c>
      <c r="X2251" s="17" t="s">
        <v>118</v>
      </c>
      <c r="Y2251" s="17" t="s">
        <v>609</v>
      </c>
      <c r="Z2251" s="17" t="s">
        <v>303</v>
      </c>
      <c r="AA2251" s="17" t="s">
        <v>919</v>
      </c>
      <c r="AB2251" s="17" t="s">
        <v>41</v>
      </c>
      <c r="AC2251" s="0" t="str">
        <f aca="false">LEFT(G2251,2)</f>
        <v>42</v>
      </c>
    </row>
    <row r="2252" customFormat="false" ht="15" hidden="false" customHeight="false" outlineLevel="0" collapsed="false">
      <c r="A2252" s="13" t="n">
        <f aca="false">1+A2251</f>
        <v>2250</v>
      </c>
      <c r="B2252" s="14" t="n">
        <v>1009680262</v>
      </c>
      <c r="C2252" s="15" t="s">
        <v>413</v>
      </c>
      <c r="D2252" s="16" t="s">
        <v>64</v>
      </c>
      <c r="E2252" s="17" t="s">
        <v>64</v>
      </c>
      <c r="F2252" s="18" t="s">
        <v>34</v>
      </c>
      <c r="G2252" s="19" t="n">
        <v>429249145948</v>
      </c>
      <c r="H2252" s="17" t="s">
        <v>35</v>
      </c>
      <c r="I2252" s="17" t="s">
        <v>82</v>
      </c>
      <c r="J2252" s="17" t="s">
        <v>267</v>
      </c>
      <c r="K2252" s="17" t="s">
        <v>960</v>
      </c>
      <c r="L2252" s="17" t="n">
        <v>1</v>
      </c>
      <c r="M2252" s="17" t="s">
        <v>610</v>
      </c>
      <c r="N2252" s="17" t="n">
        <v>1</v>
      </c>
      <c r="O2252" s="17" t="s">
        <v>611</v>
      </c>
      <c r="P2252" s="17" t="n">
        <v>11</v>
      </c>
      <c r="Q2252" s="17" t="s">
        <v>953</v>
      </c>
      <c r="R2252" s="17" t="s">
        <v>35</v>
      </c>
      <c r="S2252" s="17" t="s">
        <v>613</v>
      </c>
      <c r="T2252" s="18" t="s">
        <v>248</v>
      </c>
      <c r="U2252" s="20" t="s">
        <v>38</v>
      </c>
      <c r="V2252" s="17" t="n">
        <v>4</v>
      </c>
      <c r="W2252" s="20" t="s">
        <v>38</v>
      </c>
      <c r="X2252" s="17" t="s">
        <v>267</v>
      </c>
      <c r="Y2252" s="17" t="s">
        <v>960</v>
      </c>
      <c r="Z2252" s="17" t="s">
        <v>1152</v>
      </c>
      <c r="AA2252" s="17" t="s">
        <v>919</v>
      </c>
      <c r="AB2252" s="17" t="s">
        <v>41</v>
      </c>
      <c r="AC2252" s="0" t="str">
        <f aca="false">LEFT(G2252,2)</f>
        <v>42</v>
      </c>
    </row>
    <row r="2253" customFormat="false" ht="15" hidden="false" customHeight="false" outlineLevel="0" collapsed="false">
      <c r="A2253" s="13" t="n">
        <f aca="false">1+A2252</f>
        <v>2251</v>
      </c>
      <c r="B2253" s="14" t="n">
        <v>1009562913</v>
      </c>
      <c r="C2253" s="15" t="s">
        <v>1153</v>
      </c>
      <c r="D2253" s="16" t="s">
        <v>221</v>
      </c>
      <c r="E2253" s="17" t="s">
        <v>33</v>
      </c>
      <c r="F2253" s="18" t="s">
        <v>34</v>
      </c>
      <c r="G2253" s="19" t="n">
        <v>429294172227</v>
      </c>
      <c r="H2253" s="17" t="s">
        <v>35</v>
      </c>
      <c r="I2253" s="17" t="s">
        <v>82</v>
      </c>
      <c r="J2253" s="17" t="s">
        <v>100</v>
      </c>
      <c r="K2253" s="17" t="s">
        <v>978</v>
      </c>
      <c r="L2253" s="17" t="n">
        <v>5</v>
      </c>
      <c r="M2253" s="17" t="s">
        <v>952</v>
      </c>
      <c r="N2253" s="17" t="n">
        <v>1</v>
      </c>
      <c r="O2253" s="17" t="s">
        <v>611</v>
      </c>
      <c r="P2253" s="17" t="n">
        <v>11</v>
      </c>
      <c r="Q2253" s="17" t="s">
        <v>953</v>
      </c>
      <c r="R2253" s="17" t="s">
        <v>35</v>
      </c>
      <c r="S2253" s="17" t="s">
        <v>613</v>
      </c>
      <c r="T2253" s="18" t="s">
        <v>248</v>
      </c>
      <c r="U2253" s="20" t="s">
        <v>256</v>
      </c>
      <c r="V2253" s="17" t="n">
        <v>1</v>
      </c>
      <c r="W2253" s="20" t="s">
        <v>256</v>
      </c>
      <c r="X2253" s="17" t="s">
        <v>100</v>
      </c>
      <c r="Y2253" s="17" t="s">
        <v>978</v>
      </c>
      <c r="Z2253" s="17" t="s">
        <v>1154</v>
      </c>
      <c r="AA2253" s="17" t="s">
        <v>919</v>
      </c>
      <c r="AB2253" s="17" t="s">
        <v>41</v>
      </c>
      <c r="AC2253" s="0" t="str">
        <f aca="false">LEFT(G2253,2)</f>
        <v>42</v>
      </c>
    </row>
    <row r="2254" customFormat="false" ht="15" hidden="false" customHeight="false" outlineLevel="0" collapsed="false">
      <c r="A2254" s="13" t="n">
        <f aca="false">1+A2253</f>
        <v>2252</v>
      </c>
      <c r="B2254" s="14" t="n">
        <v>1009550631</v>
      </c>
      <c r="C2254" s="15" t="s">
        <v>126</v>
      </c>
      <c r="D2254" s="16" t="s">
        <v>64</v>
      </c>
      <c r="E2254" s="17" t="s">
        <v>114</v>
      </c>
      <c r="F2254" s="18" t="s">
        <v>34</v>
      </c>
      <c r="G2254" s="19" t="n">
        <v>420243251139</v>
      </c>
      <c r="H2254" s="17" t="s">
        <v>35</v>
      </c>
      <c r="I2254" s="17" t="s">
        <v>82</v>
      </c>
      <c r="J2254" s="17" t="s">
        <v>111</v>
      </c>
      <c r="K2254" s="17" t="s">
        <v>958</v>
      </c>
      <c r="L2254" s="17" t="n">
        <v>2</v>
      </c>
      <c r="M2254" s="17" t="s">
        <v>981</v>
      </c>
      <c r="N2254" s="17" t="n">
        <v>6</v>
      </c>
      <c r="O2254" s="17" t="s">
        <v>982</v>
      </c>
      <c r="P2254" s="17" t="n">
        <v>11</v>
      </c>
      <c r="Q2254" s="17" t="s">
        <v>953</v>
      </c>
      <c r="R2254" s="17" t="s">
        <v>35</v>
      </c>
      <c r="S2254" s="17" t="s">
        <v>613</v>
      </c>
      <c r="T2254" s="18" t="s">
        <v>248</v>
      </c>
      <c r="U2254" s="20" t="s">
        <v>122</v>
      </c>
      <c r="V2254" s="17" t="n">
        <v>2</v>
      </c>
      <c r="W2254" s="20" t="s">
        <v>122</v>
      </c>
      <c r="X2254" s="17" t="s">
        <v>111</v>
      </c>
      <c r="Y2254" s="17" t="s">
        <v>958</v>
      </c>
      <c r="Z2254" s="17" t="s">
        <v>303</v>
      </c>
      <c r="AA2254" s="17" t="s">
        <v>919</v>
      </c>
      <c r="AB2254" s="17" t="s">
        <v>41</v>
      </c>
      <c r="AC2254" s="0" t="str">
        <f aca="false">LEFT(G2254,2)</f>
        <v>42</v>
      </c>
    </row>
    <row r="2255" customFormat="false" ht="15" hidden="false" customHeight="false" outlineLevel="0" collapsed="false">
      <c r="A2255" s="13" t="n">
        <f aca="false">1+A2254</f>
        <v>2253</v>
      </c>
      <c r="B2255" s="14" t="n">
        <v>1009636177</v>
      </c>
      <c r="C2255" s="15" t="s">
        <v>1155</v>
      </c>
      <c r="D2255" s="16" t="s">
        <v>230</v>
      </c>
      <c r="E2255" s="17" t="s">
        <v>1114</v>
      </c>
      <c r="F2255" s="18" t="s">
        <v>34</v>
      </c>
      <c r="G2255" s="19" t="n">
        <v>429229176095</v>
      </c>
      <c r="H2255" s="17" t="s">
        <v>35</v>
      </c>
      <c r="I2255" s="17" t="s">
        <v>82</v>
      </c>
      <c r="J2255" s="17" t="s">
        <v>289</v>
      </c>
      <c r="K2255" s="17" t="s">
        <v>1067</v>
      </c>
      <c r="L2255" s="17" t="n">
        <v>2</v>
      </c>
      <c r="M2255" s="17" t="s">
        <v>981</v>
      </c>
      <c r="N2255" s="17" t="n">
        <v>6</v>
      </c>
      <c r="O2255" s="17" t="s">
        <v>982</v>
      </c>
      <c r="P2255" s="17" t="n">
        <v>11</v>
      </c>
      <c r="Q2255" s="17" t="s">
        <v>953</v>
      </c>
      <c r="R2255" s="17" t="s">
        <v>35</v>
      </c>
      <c r="S2255" s="17" t="s">
        <v>613</v>
      </c>
      <c r="T2255" s="18" t="s">
        <v>248</v>
      </c>
      <c r="U2255" s="20" t="s">
        <v>256</v>
      </c>
      <c r="V2255" s="17" t="n">
        <v>1</v>
      </c>
      <c r="W2255" s="20" t="s">
        <v>256</v>
      </c>
      <c r="X2255" s="17" t="s">
        <v>289</v>
      </c>
      <c r="Y2255" s="17" t="s">
        <v>1067</v>
      </c>
      <c r="Z2255" s="17" t="s">
        <v>303</v>
      </c>
      <c r="AA2255" s="17" t="s">
        <v>919</v>
      </c>
      <c r="AB2255" s="17" t="s">
        <v>41</v>
      </c>
      <c r="AC2255" s="0" t="str">
        <f aca="false">LEFT(G2255,2)</f>
        <v>42</v>
      </c>
    </row>
    <row r="2256" customFormat="false" ht="15" hidden="false" customHeight="false" outlineLevel="0" collapsed="false">
      <c r="A2256" s="13" t="n">
        <f aca="false">1+A2255</f>
        <v>2254</v>
      </c>
      <c r="B2256" s="14" t="n">
        <v>1009620498</v>
      </c>
      <c r="C2256" s="15" t="s">
        <v>184</v>
      </c>
      <c r="D2256" s="16" t="s">
        <v>64</v>
      </c>
      <c r="E2256" s="17" t="s">
        <v>114</v>
      </c>
      <c r="F2256" s="18" t="s">
        <v>34</v>
      </c>
      <c r="G2256" s="19" t="n">
        <v>429276102101</v>
      </c>
      <c r="H2256" s="17" t="s">
        <v>35</v>
      </c>
      <c r="I2256" s="17" t="s">
        <v>82</v>
      </c>
      <c r="J2256" s="17" t="s">
        <v>267</v>
      </c>
      <c r="K2256" s="17" t="s">
        <v>960</v>
      </c>
      <c r="L2256" s="17" t="n">
        <v>2</v>
      </c>
      <c r="M2256" s="17" t="s">
        <v>981</v>
      </c>
      <c r="N2256" s="17" t="n">
        <v>6</v>
      </c>
      <c r="O2256" s="17" t="s">
        <v>982</v>
      </c>
      <c r="P2256" s="17" t="n">
        <v>11</v>
      </c>
      <c r="Q2256" s="17" t="s">
        <v>953</v>
      </c>
      <c r="R2256" s="17" t="s">
        <v>35</v>
      </c>
      <c r="S2256" s="17" t="s">
        <v>613</v>
      </c>
      <c r="T2256" s="18" t="s">
        <v>248</v>
      </c>
      <c r="U2256" s="20" t="s">
        <v>256</v>
      </c>
      <c r="V2256" s="17" t="n">
        <v>1</v>
      </c>
      <c r="W2256" s="20" t="s">
        <v>256</v>
      </c>
      <c r="X2256" s="17" t="s">
        <v>267</v>
      </c>
      <c r="Y2256" s="17" t="s">
        <v>960</v>
      </c>
      <c r="Z2256" s="17" t="s">
        <v>303</v>
      </c>
      <c r="AA2256" s="17" t="s">
        <v>919</v>
      </c>
      <c r="AB2256" s="17" t="s">
        <v>41</v>
      </c>
      <c r="AC2256" s="0" t="str">
        <f aca="false">LEFT(G2256,2)</f>
        <v>42</v>
      </c>
    </row>
    <row r="2257" customFormat="false" ht="15" hidden="false" customHeight="false" outlineLevel="0" collapsed="false">
      <c r="A2257" s="13" t="n">
        <f aca="false">1+A2256</f>
        <v>2255</v>
      </c>
      <c r="B2257" s="14" t="n">
        <v>1009621152</v>
      </c>
      <c r="C2257" s="15" t="s">
        <v>184</v>
      </c>
      <c r="D2257" s="16" t="s">
        <v>359</v>
      </c>
      <c r="E2257" s="17" t="s">
        <v>114</v>
      </c>
      <c r="F2257" s="18" t="s">
        <v>34</v>
      </c>
      <c r="G2257" s="19" t="n">
        <v>420265289520</v>
      </c>
      <c r="H2257" s="17" t="s">
        <v>35</v>
      </c>
      <c r="I2257" s="17" t="s">
        <v>82</v>
      </c>
      <c r="J2257" s="17" t="s">
        <v>241</v>
      </c>
      <c r="K2257" s="17" t="s">
        <v>992</v>
      </c>
      <c r="L2257" s="17" t="n">
        <v>5</v>
      </c>
      <c r="M2257" s="17" t="s">
        <v>952</v>
      </c>
      <c r="N2257" s="17" t="n">
        <v>6</v>
      </c>
      <c r="O2257" s="17" t="s">
        <v>982</v>
      </c>
      <c r="P2257" s="17" t="n">
        <v>11</v>
      </c>
      <c r="Q2257" s="17" t="s">
        <v>953</v>
      </c>
      <c r="R2257" s="17" t="s">
        <v>35</v>
      </c>
      <c r="S2257" s="17" t="s">
        <v>613</v>
      </c>
      <c r="T2257" s="18" t="s">
        <v>248</v>
      </c>
      <c r="U2257" s="20" t="s">
        <v>256</v>
      </c>
      <c r="V2257" s="17" t="n">
        <v>1</v>
      </c>
      <c r="W2257" s="20" t="s">
        <v>256</v>
      </c>
      <c r="X2257" s="17" t="s">
        <v>241</v>
      </c>
      <c r="Y2257" s="17" t="s">
        <v>992</v>
      </c>
      <c r="Z2257" s="17" t="s">
        <v>303</v>
      </c>
      <c r="AA2257" s="17" t="s">
        <v>919</v>
      </c>
      <c r="AB2257" s="17" t="s">
        <v>41</v>
      </c>
      <c r="AC2257" s="0" t="str">
        <f aca="false">LEFT(G2257,2)</f>
        <v>42</v>
      </c>
    </row>
    <row r="2258" customFormat="false" ht="15" hidden="false" customHeight="false" outlineLevel="0" collapsed="false">
      <c r="A2258" s="13" t="n">
        <f aca="false">1+A2257</f>
        <v>2256</v>
      </c>
      <c r="B2258" s="14" t="n">
        <v>1009494228</v>
      </c>
      <c r="C2258" s="15" t="s">
        <v>184</v>
      </c>
      <c r="D2258" s="16" t="s">
        <v>64</v>
      </c>
      <c r="E2258" s="17" t="s">
        <v>64</v>
      </c>
      <c r="F2258" s="18" t="s">
        <v>34</v>
      </c>
      <c r="G2258" s="19" t="n">
        <v>429231116493</v>
      </c>
      <c r="H2258" s="17" t="s">
        <v>35</v>
      </c>
      <c r="I2258" s="17" t="s">
        <v>82</v>
      </c>
      <c r="J2258" s="17" t="s">
        <v>241</v>
      </c>
      <c r="K2258" s="17" t="s">
        <v>992</v>
      </c>
      <c r="L2258" s="17" t="n">
        <v>5</v>
      </c>
      <c r="M2258" s="17" t="s">
        <v>952</v>
      </c>
      <c r="N2258" s="17" t="n">
        <v>1</v>
      </c>
      <c r="O2258" s="17" t="s">
        <v>611</v>
      </c>
      <c r="P2258" s="17" t="n">
        <v>11</v>
      </c>
      <c r="Q2258" s="17" t="s">
        <v>953</v>
      </c>
      <c r="R2258" s="17" t="s">
        <v>35</v>
      </c>
      <c r="S2258" s="17" t="s">
        <v>613</v>
      </c>
      <c r="T2258" s="18" t="s">
        <v>248</v>
      </c>
      <c r="U2258" s="20" t="s">
        <v>256</v>
      </c>
      <c r="V2258" s="17" t="n">
        <v>1</v>
      </c>
      <c r="W2258" s="20" t="s">
        <v>256</v>
      </c>
      <c r="X2258" s="17" t="s">
        <v>241</v>
      </c>
      <c r="Y2258" s="17" t="s">
        <v>992</v>
      </c>
      <c r="Z2258" s="17" t="s">
        <v>303</v>
      </c>
      <c r="AA2258" s="17" t="s">
        <v>919</v>
      </c>
      <c r="AB2258" s="17" t="s">
        <v>41</v>
      </c>
      <c r="AC2258" s="0" t="str">
        <f aca="false">LEFT(G2258,2)</f>
        <v>42</v>
      </c>
    </row>
    <row r="2259" customFormat="false" ht="15" hidden="false" customHeight="false" outlineLevel="0" collapsed="false">
      <c r="A2259" s="13" t="n">
        <f aca="false">1+A2258</f>
        <v>2257</v>
      </c>
      <c r="B2259" s="14" t="n">
        <v>1009356556</v>
      </c>
      <c r="C2259" s="15" t="s">
        <v>278</v>
      </c>
      <c r="D2259" s="16" t="s">
        <v>64</v>
      </c>
      <c r="E2259" s="17" t="s">
        <v>47</v>
      </c>
      <c r="F2259" s="18" t="s">
        <v>34</v>
      </c>
      <c r="G2259" s="19" t="n">
        <v>429294143988</v>
      </c>
      <c r="H2259" s="17" t="s">
        <v>35</v>
      </c>
      <c r="I2259" s="17" t="s">
        <v>82</v>
      </c>
      <c r="J2259" s="17" t="s">
        <v>267</v>
      </c>
      <c r="K2259" s="17" t="s">
        <v>960</v>
      </c>
      <c r="L2259" s="17" t="n">
        <v>5</v>
      </c>
      <c r="M2259" s="17" t="s">
        <v>952</v>
      </c>
      <c r="N2259" s="17" t="n">
        <v>24</v>
      </c>
      <c r="O2259" s="17" t="s">
        <v>975</v>
      </c>
      <c r="P2259" s="17" t="n">
        <v>11</v>
      </c>
      <c r="Q2259" s="17" t="s">
        <v>953</v>
      </c>
      <c r="R2259" s="17" t="s">
        <v>35</v>
      </c>
      <c r="S2259" s="17" t="s">
        <v>613</v>
      </c>
      <c r="T2259" s="18" t="s">
        <v>248</v>
      </c>
      <c r="U2259" s="20" t="s">
        <v>256</v>
      </c>
      <c r="V2259" s="17" t="n">
        <v>1</v>
      </c>
      <c r="W2259" s="20" t="s">
        <v>256</v>
      </c>
      <c r="X2259" s="17" t="s">
        <v>267</v>
      </c>
      <c r="Y2259" s="17" t="s">
        <v>960</v>
      </c>
      <c r="Z2259" s="17" t="s">
        <v>303</v>
      </c>
      <c r="AA2259" s="17" t="s">
        <v>919</v>
      </c>
      <c r="AB2259" s="17" t="s">
        <v>41</v>
      </c>
      <c r="AC2259" s="0" t="str">
        <f aca="false">LEFT(G2259,2)</f>
        <v>42</v>
      </c>
    </row>
    <row r="2260" customFormat="false" ht="15" hidden="false" customHeight="false" outlineLevel="0" collapsed="false">
      <c r="A2260" s="13" t="n">
        <f aca="false">1+A2259</f>
        <v>2258</v>
      </c>
      <c r="B2260" s="14" t="n">
        <v>1009579075</v>
      </c>
      <c r="C2260" s="15" t="s">
        <v>139</v>
      </c>
      <c r="D2260" s="16" t="s">
        <v>32</v>
      </c>
      <c r="E2260" s="17" t="s">
        <v>33</v>
      </c>
      <c r="F2260" s="18" t="s">
        <v>34</v>
      </c>
      <c r="G2260" s="19" t="n">
        <v>421054131006</v>
      </c>
      <c r="H2260" s="17" t="s">
        <v>35</v>
      </c>
      <c r="I2260" s="17" t="s">
        <v>82</v>
      </c>
      <c r="J2260" s="17" t="s">
        <v>118</v>
      </c>
      <c r="K2260" s="17" t="s">
        <v>609</v>
      </c>
      <c r="L2260" s="17" t="n">
        <v>5</v>
      </c>
      <c r="M2260" s="17" t="s">
        <v>952</v>
      </c>
      <c r="N2260" s="17" t="n">
        <v>24</v>
      </c>
      <c r="O2260" s="17" t="s">
        <v>975</v>
      </c>
      <c r="P2260" s="17" t="n">
        <v>11</v>
      </c>
      <c r="Q2260" s="17" t="s">
        <v>953</v>
      </c>
      <c r="R2260" s="17" t="s">
        <v>35</v>
      </c>
      <c r="S2260" s="17" t="s">
        <v>613</v>
      </c>
      <c r="T2260" s="18" t="s">
        <v>248</v>
      </c>
      <c r="U2260" s="20" t="s">
        <v>38</v>
      </c>
      <c r="V2260" s="17" t="n">
        <v>4</v>
      </c>
      <c r="W2260" s="20" t="s">
        <v>38</v>
      </c>
      <c r="X2260" s="17" t="s">
        <v>118</v>
      </c>
      <c r="Y2260" s="17" t="s">
        <v>609</v>
      </c>
      <c r="Z2260" s="17" t="s">
        <v>1156</v>
      </c>
      <c r="AA2260" s="17" t="s">
        <v>919</v>
      </c>
      <c r="AB2260" s="17" t="s">
        <v>41</v>
      </c>
      <c r="AC2260" s="0" t="str">
        <f aca="false">LEFT(G2260,2)</f>
        <v>42</v>
      </c>
    </row>
    <row r="2261" customFormat="false" ht="15" hidden="false" customHeight="false" outlineLevel="0" collapsed="false">
      <c r="A2261" s="13" t="n">
        <f aca="false">1+A2260</f>
        <v>2259</v>
      </c>
      <c r="B2261" s="14" t="n">
        <v>1009554663</v>
      </c>
      <c r="C2261" s="15" t="s">
        <v>444</v>
      </c>
      <c r="D2261" s="16" t="s">
        <v>64</v>
      </c>
      <c r="E2261" s="17" t="s">
        <v>33</v>
      </c>
      <c r="F2261" s="18" t="s">
        <v>34</v>
      </c>
      <c r="G2261" s="19" t="n">
        <v>429197173504</v>
      </c>
      <c r="H2261" s="17" t="s">
        <v>35</v>
      </c>
      <c r="I2261" s="17" t="s">
        <v>82</v>
      </c>
      <c r="J2261" s="17" t="s">
        <v>111</v>
      </c>
      <c r="K2261" s="17" t="s">
        <v>958</v>
      </c>
      <c r="L2261" s="17" t="n">
        <v>5</v>
      </c>
      <c r="M2261" s="17" t="s">
        <v>952</v>
      </c>
      <c r="N2261" s="17" t="n">
        <v>1</v>
      </c>
      <c r="O2261" s="17" t="s">
        <v>611</v>
      </c>
      <c r="P2261" s="17" t="n">
        <v>11</v>
      </c>
      <c r="Q2261" s="17" t="s">
        <v>953</v>
      </c>
      <c r="R2261" s="17" t="s">
        <v>35</v>
      </c>
      <c r="S2261" s="17" t="s">
        <v>613</v>
      </c>
      <c r="T2261" s="18" t="s">
        <v>248</v>
      </c>
      <c r="U2261" s="20" t="s">
        <v>122</v>
      </c>
      <c r="V2261" s="17" t="n">
        <v>2</v>
      </c>
      <c r="W2261" s="20" t="s">
        <v>122</v>
      </c>
      <c r="X2261" s="17" t="s">
        <v>111</v>
      </c>
      <c r="Y2261" s="17" t="s">
        <v>958</v>
      </c>
      <c r="Z2261" s="17" t="s">
        <v>1157</v>
      </c>
      <c r="AA2261" s="17" t="s">
        <v>919</v>
      </c>
      <c r="AB2261" s="17" t="s">
        <v>41</v>
      </c>
      <c r="AC2261" s="0" t="str">
        <f aca="false">LEFT(G2261,2)</f>
        <v>42</v>
      </c>
    </row>
    <row r="2262" customFormat="false" ht="15" hidden="false" customHeight="false" outlineLevel="0" collapsed="false">
      <c r="A2262" s="13" t="n">
        <f aca="false">1+A2261</f>
        <v>2260</v>
      </c>
      <c r="B2262" s="14" t="n">
        <v>1009646053</v>
      </c>
      <c r="C2262" s="15" t="s">
        <v>1129</v>
      </c>
      <c r="D2262" s="16" t="s">
        <v>64</v>
      </c>
      <c r="E2262" s="17" t="s">
        <v>91</v>
      </c>
      <c r="F2262" s="18" t="s">
        <v>34</v>
      </c>
      <c r="G2262" s="19" t="n">
        <v>167193948541</v>
      </c>
      <c r="H2262" s="17" t="s">
        <v>35</v>
      </c>
      <c r="I2262" s="17" t="s">
        <v>76</v>
      </c>
      <c r="J2262" s="17" t="s">
        <v>121</v>
      </c>
      <c r="K2262" s="17" t="s">
        <v>955</v>
      </c>
      <c r="L2262" s="17" t="n">
        <v>5</v>
      </c>
      <c r="M2262" s="17" t="s">
        <v>952</v>
      </c>
      <c r="N2262" s="17" t="n">
        <v>1</v>
      </c>
      <c r="O2262" s="17" t="s">
        <v>611</v>
      </c>
      <c r="P2262" s="17" t="n">
        <v>11</v>
      </c>
      <c r="Q2262" s="17" t="s">
        <v>953</v>
      </c>
      <c r="R2262" s="17" t="s">
        <v>35</v>
      </c>
      <c r="S2262" s="17" t="s">
        <v>613</v>
      </c>
      <c r="T2262" s="18" t="s">
        <v>248</v>
      </c>
      <c r="U2262" s="20" t="s">
        <v>122</v>
      </c>
      <c r="V2262" s="17" t="n">
        <v>2</v>
      </c>
      <c r="W2262" s="20" t="s">
        <v>122</v>
      </c>
      <c r="X2262" s="17" t="s">
        <v>121</v>
      </c>
      <c r="Y2262" s="17" t="s">
        <v>955</v>
      </c>
      <c r="Z2262" s="17" t="s">
        <v>1158</v>
      </c>
      <c r="AA2262" s="17" t="s">
        <v>919</v>
      </c>
      <c r="AB2262" s="17" t="s">
        <v>41</v>
      </c>
      <c r="AC2262" s="0" t="str">
        <f aca="false">LEFT(G2262,2)</f>
        <v>16</v>
      </c>
    </row>
    <row r="2263" customFormat="false" ht="15" hidden="false" customHeight="false" outlineLevel="0" collapsed="false">
      <c r="A2263" s="13" t="n">
        <f aca="false">1+A2262</f>
        <v>2261</v>
      </c>
      <c r="B2263" s="14" t="n">
        <v>1008975138</v>
      </c>
      <c r="C2263" s="15" t="s">
        <v>1159</v>
      </c>
      <c r="D2263" s="16" t="s">
        <v>64</v>
      </c>
      <c r="E2263" s="17" t="s">
        <v>91</v>
      </c>
      <c r="F2263" s="18" t="s">
        <v>34</v>
      </c>
      <c r="G2263" s="19" t="n">
        <v>167298983286</v>
      </c>
      <c r="H2263" s="17" t="s">
        <v>35</v>
      </c>
      <c r="I2263" s="17" t="s">
        <v>76</v>
      </c>
      <c r="J2263" s="17" t="s">
        <v>289</v>
      </c>
      <c r="K2263" s="17" t="s">
        <v>1067</v>
      </c>
      <c r="L2263" s="17" t="n">
        <v>7</v>
      </c>
      <c r="M2263" s="17" t="s">
        <v>993</v>
      </c>
      <c r="N2263" s="17" t="n">
        <v>37</v>
      </c>
      <c r="O2263" s="17" t="s">
        <v>1034</v>
      </c>
      <c r="P2263" s="17" t="n">
        <v>11</v>
      </c>
      <c r="Q2263" s="17" t="s">
        <v>953</v>
      </c>
      <c r="R2263" s="17" t="s">
        <v>35</v>
      </c>
      <c r="S2263" s="17" t="s">
        <v>613</v>
      </c>
      <c r="T2263" s="18" t="s">
        <v>248</v>
      </c>
      <c r="U2263" s="20" t="s">
        <v>199</v>
      </c>
      <c r="V2263" s="17" t="n">
        <v>3</v>
      </c>
      <c r="W2263" s="20" t="s">
        <v>199</v>
      </c>
      <c r="X2263" s="17" t="s">
        <v>289</v>
      </c>
      <c r="Y2263" s="17" t="s">
        <v>1067</v>
      </c>
      <c r="Z2263" s="17" t="s">
        <v>1160</v>
      </c>
      <c r="AA2263" s="17" t="s">
        <v>919</v>
      </c>
      <c r="AB2263" s="17" t="s">
        <v>41</v>
      </c>
      <c r="AC2263" s="0" t="str">
        <f aca="false">LEFT(G2263,2)</f>
        <v>16</v>
      </c>
    </row>
    <row r="2264" customFormat="false" ht="15" hidden="false" customHeight="false" outlineLevel="0" collapsed="false">
      <c r="A2264" s="13" t="n">
        <f aca="false">1+A2263</f>
        <v>2262</v>
      </c>
      <c r="B2264" s="14" t="n">
        <v>1009506361</v>
      </c>
      <c r="C2264" s="15" t="s">
        <v>95</v>
      </c>
      <c r="D2264" s="16" t="s">
        <v>64</v>
      </c>
      <c r="E2264" s="17" t="s">
        <v>64</v>
      </c>
      <c r="F2264" s="18" t="s">
        <v>34</v>
      </c>
      <c r="G2264" s="19" t="n">
        <v>169185117374</v>
      </c>
      <c r="H2264" s="17" t="s">
        <v>35</v>
      </c>
      <c r="I2264" s="17" t="s">
        <v>76</v>
      </c>
      <c r="J2264" s="17" t="s">
        <v>289</v>
      </c>
      <c r="K2264" s="17" t="s">
        <v>1067</v>
      </c>
      <c r="L2264" s="17" t="n">
        <v>1</v>
      </c>
      <c r="M2264" s="17" t="s">
        <v>610</v>
      </c>
      <c r="N2264" s="17" t="n">
        <v>1</v>
      </c>
      <c r="O2264" s="17" t="s">
        <v>611</v>
      </c>
      <c r="P2264" s="17" t="n">
        <v>11</v>
      </c>
      <c r="Q2264" s="17" t="s">
        <v>953</v>
      </c>
      <c r="R2264" s="17" t="s">
        <v>35</v>
      </c>
      <c r="S2264" s="17" t="s">
        <v>613</v>
      </c>
      <c r="T2264" s="18" t="s">
        <v>248</v>
      </c>
      <c r="U2264" s="20" t="s">
        <v>122</v>
      </c>
      <c r="V2264" s="17" t="n">
        <v>2</v>
      </c>
      <c r="W2264" s="20" t="s">
        <v>122</v>
      </c>
      <c r="X2264" s="17" t="s">
        <v>289</v>
      </c>
      <c r="Y2264" s="17" t="s">
        <v>1067</v>
      </c>
      <c r="Z2264" s="17" t="s">
        <v>783</v>
      </c>
      <c r="AA2264" s="17" t="s">
        <v>919</v>
      </c>
      <c r="AB2264" s="17" t="s">
        <v>41</v>
      </c>
      <c r="AC2264" s="0" t="str">
        <f aca="false">LEFT(G2264,2)</f>
        <v>16</v>
      </c>
    </row>
    <row r="2265" customFormat="false" ht="15" hidden="false" customHeight="false" outlineLevel="0" collapsed="false">
      <c r="A2265" s="13" t="n">
        <f aca="false">1+A2264</f>
        <v>2263</v>
      </c>
      <c r="B2265" s="14" t="n">
        <v>1009530237</v>
      </c>
      <c r="C2265" s="15" t="s">
        <v>174</v>
      </c>
      <c r="D2265" s="16" t="s">
        <v>64</v>
      </c>
      <c r="E2265" s="17" t="s">
        <v>47</v>
      </c>
      <c r="F2265" s="18" t="s">
        <v>34</v>
      </c>
      <c r="G2265" s="19" t="n">
        <v>168151901951</v>
      </c>
      <c r="H2265" s="17" t="s">
        <v>35</v>
      </c>
      <c r="I2265" s="17" t="s">
        <v>76</v>
      </c>
      <c r="J2265" s="17" t="s">
        <v>121</v>
      </c>
      <c r="K2265" s="17" t="s">
        <v>955</v>
      </c>
      <c r="L2265" s="17" t="n">
        <v>1</v>
      </c>
      <c r="M2265" s="17" t="s">
        <v>610</v>
      </c>
      <c r="N2265" s="17" t="n">
        <v>1</v>
      </c>
      <c r="O2265" s="17" t="s">
        <v>611</v>
      </c>
      <c r="P2265" s="17" t="n">
        <v>11</v>
      </c>
      <c r="Q2265" s="17" t="s">
        <v>953</v>
      </c>
      <c r="R2265" s="17" t="s">
        <v>35</v>
      </c>
      <c r="S2265" s="17" t="s">
        <v>613</v>
      </c>
      <c r="T2265" s="18" t="s">
        <v>248</v>
      </c>
      <c r="U2265" s="20" t="s">
        <v>122</v>
      </c>
      <c r="V2265" s="17" t="n">
        <v>2</v>
      </c>
      <c r="W2265" s="20" t="s">
        <v>122</v>
      </c>
      <c r="X2265" s="17" t="s">
        <v>121</v>
      </c>
      <c r="Y2265" s="17" t="s">
        <v>955</v>
      </c>
      <c r="Z2265" s="17" t="s">
        <v>1161</v>
      </c>
      <c r="AA2265" s="17" t="s">
        <v>919</v>
      </c>
      <c r="AB2265" s="17" t="s">
        <v>41</v>
      </c>
      <c r="AC2265" s="0" t="str">
        <f aca="false">LEFT(G2265,2)</f>
        <v>16</v>
      </c>
    </row>
    <row r="2266" customFormat="false" ht="15" hidden="false" customHeight="false" outlineLevel="0" collapsed="false">
      <c r="A2266" s="13" t="n">
        <f aca="false">1+A2265</f>
        <v>2264</v>
      </c>
      <c r="B2266" s="14" t="n">
        <v>1009673960</v>
      </c>
      <c r="C2266" s="15" t="s">
        <v>436</v>
      </c>
      <c r="D2266" s="16" t="s">
        <v>64</v>
      </c>
      <c r="E2266" s="17" t="s">
        <v>64</v>
      </c>
      <c r="F2266" s="18" t="s">
        <v>34</v>
      </c>
      <c r="G2266" s="19" t="n">
        <v>168271102019</v>
      </c>
      <c r="H2266" s="17" t="s">
        <v>35</v>
      </c>
      <c r="I2266" s="17" t="s">
        <v>76</v>
      </c>
      <c r="J2266" s="17" t="s">
        <v>267</v>
      </c>
      <c r="K2266" s="17" t="s">
        <v>960</v>
      </c>
      <c r="L2266" s="17" t="n">
        <v>5</v>
      </c>
      <c r="M2266" s="17" t="s">
        <v>952</v>
      </c>
      <c r="N2266" s="17" t="n">
        <v>24</v>
      </c>
      <c r="O2266" s="17" t="s">
        <v>975</v>
      </c>
      <c r="P2266" s="17" t="n">
        <v>11</v>
      </c>
      <c r="Q2266" s="17" t="s">
        <v>953</v>
      </c>
      <c r="R2266" s="17" t="s">
        <v>35</v>
      </c>
      <c r="S2266" s="17" t="s">
        <v>613</v>
      </c>
      <c r="T2266" s="18" t="s">
        <v>248</v>
      </c>
      <c r="U2266" s="20" t="s">
        <v>122</v>
      </c>
      <c r="V2266" s="17" t="n">
        <v>2</v>
      </c>
      <c r="W2266" s="20" t="s">
        <v>122</v>
      </c>
      <c r="X2266" s="17" t="s">
        <v>267</v>
      </c>
      <c r="Y2266" s="17" t="s">
        <v>960</v>
      </c>
      <c r="Z2266" s="17" t="s">
        <v>909</v>
      </c>
      <c r="AA2266" s="17" t="s">
        <v>919</v>
      </c>
      <c r="AB2266" s="17" t="s">
        <v>41</v>
      </c>
      <c r="AC2266" s="0" t="str">
        <f aca="false">LEFT(G2266,2)</f>
        <v>16</v>
      </c>
    </row>
    <row r="2267" customFormat="false" ht="15" hidden="false" customHeight="false" outlineLevel="0" collapsed="false">
      <c r="A2267" s="13" t="n">
        <f aca="false">1+A2266</f>
        <v>2265</v>
      </c>
      <c r="B2267" s="14" t="n">
        <v>1009536439</v>
      </c>
      <c r="C2267" s="15" t="s">
        <v>311</v>
      </c>
      <c r="D2267" s="16" t="s">
        <v>64</v>
      </c>
      <c r="E2267" s="17" t="s">
        <v>47</v>
      </c>
      <c r="F2267" s="18" t="s">
        <v>34</v>
      </c>
      <c r="G2267" s="19" t="n">
        <v>167158929338</v>
      </c>
      <c r="H2267" s="17" t="s">
        <v>35</v>
      </c>
      <c r="I2267" s="17" t="s">
        <v>76</v>
      </c>
      <c r="J2267" s="17" t="s">
        <v>239</v>
      </c>
      <c r="K2267" s="17" t="s">
        <v>951</v>
      </c>
      <c r="L2267" s="17" t="n">
        <v>5</v>
      </c>
      <c r="M2267" s="17" t="s">
        <v>952</v>
      </c>
      <c r="N2267" s="17" t="n">
        <v>1</v>
      </c>
      <c r="O2267" s="17" t="s">
        <v>611</v>
      </c>
      <c r="P2267" s="17" t="n">
        <v>11</v>
      </c>
      <c r="Q2267" s="17" t="s">
        <v>953</v>
      </c>
      <c r="R2267" s="17" t="s">
        <v>35</v>
      </c>
      <c r="S2267" s="17" t="s">
        <v>613</v>
      </c>
      <c r="T2267" s="18" t="s">
        <v>248</v>
      </c>
      <c r="U2267" s="20" t="s">
        <v>122</v>
      </c>
      <c r="V2267" s="17" t="n">
        <v>2</v>
      </c>
      <c r="W2267" s="20" t="s">
        <v>122</v>
      </c>
      <c r="X2267" s="17" t="s">
        <v>239</v>
      </c>
      <c r="Y2267" s="17" t="s">
        <v>951</v>
      </c>
      <c r="Z2267" s="17" t="s">
        <v>909</v>
      </c>
      <c r="AA2267" s="17" t="s">
        <v>919</v>
      </c>
      <c r="AB2267" s="17" t="s">
        <v>41</v>
      </c>
      <c r="AC2267" s="0" t="str">
        <f aca="false">LEFT(G2267,2)</f>
        <v>16</v>
      </c>
    </row>
    <row r="2268" customFormat="false" ht="15" hidden="false" customHeight="false" outlineLevel="0" collapsed="false">
      <c r="A2268" s="13" t="n">
        <f aca="false">1+A2267</f>
        <v>2266</v>
      </c>
      <c r="B2268" s="14" t="n">
        <v>1009570012</v>
      </c>
      <c r="C2268" s="15" t="s">
        <v>102</v>
      </c>
      <c r="D2268" s="16" t="s">
        <v>64</v>
      </c>
      <c r="E2268" s="17" t="s">
        <v>64</v>
      </c>
      <c r="F2268" s="18" t="s">
        <v>34</v>
      </c>
      <c r="G2268" s="19" t="n">
        <v>168150901325</v>
      </c>
      <c r="H2268" s="17" t="s">
        <v>35</v>
      </c>
      <c r="I2268" s="17" t="s">
        <v>76</v>
      </c>
      <c r="J2268" s="17" t="s">
        <v>289</v>
      </c>
      <c r="K2268" s="17" t="s">
        <v>1067</v>
      </c>
      <c r="L2268" s="17" t="n">
        <v>7</v>
      </c>
      <c r="M2268" s="17" t="s">
        <v>993</v>
      </c>
      <c r="N2268" s="17" t="n">
        <v>36</v>
      </c>
      <c r="O2268" s="17" t="s">
        <v>994</v>
      </c>
      <c r="P2268" s="17" t="n">
        <v>11</v>
      </c>
      <c r="Q2268" s="17" t="s">
        <v>953</v>
      </c>
      <c r="R2268" s="17" t="s">
        <v>35</v>
      </c>
      <c r="S2268" s="17" t="s">
        <v>613</v>
      </c>
      <c r="T2268" s="18" t="s">
        <v>248</v>
      </c>
      <c r="U2268" s="20" t="s">
        <v>122</v>
      </c>
      <c r="V2268" s="17" t="n">
        <v>2</v>
      </c>
      <c r="W2268" s="20" t="s">
        <v>122</v>
      </c>
      <c r="X2268" s="17" t="s">
        <v>289</v>
      </c>
      <c r="Y2268" s="17" t="s">
        <v>1067</v>
      </c>
      <c r="Z2268" s="17" t="s">
        <v>716</v>
      </c>
      <c r="AA2268" s="17" t="s">
        <v>919</v>
      </c>
      <c r="AB2268" s="17" t="s">
        <v>41</v>
      </c>
      <c r="AC2268" s="0" t="str">
        <f aca="false">LEFT(G2268,2)</f>
        <v>16</v>
      </c>
    </row>
    <row r="2269" customFormat="false" ht="15" hidden="false" customHeight="false" outlineLevel="0" collapsed="false">
      <c r="A2269" s="13" t="n">
        <f aca="false">1+A2268</f>
        <v>2267</v>
      </c>
      <c r="B2269" s="14" t="n">
        <v>1009626087</v>
      </c>
      <c r="C2269" s="15" t="s">
        <v>163</v>
      </c>
      <c r="D2269" s="16" t="s">
        <v>64</v>
      </c>
      <c r="E2269" s="17" t="s">
        <v>64</v>
      </c>
      <c r="F2269" s="18" t="s">
        <v>34</v>
      </c>
      <c r="G2269" s="19" t="n">
        <v>168221148575</v>
      </c>
      <c r="H2269" s="17" t="s">
        <v>35</v>
      </c>
      <c r="I2269" s="17" t="s">
        <v>76</v>
      </c>
      <c r="J2269" s="17" t="s">
        <v>121</v>
      </c>
      <c r="K2269" s="17" t="s">
        <v>955</v>
      </c>
      <c r="L2269" s="17" t="n">
        <v>1</v>
      </c>
      <c r="M2269" s="17" t="s">
        <v>610</v>
      </c>
      <c r="N2269" s="17" t="n">
        <v>1</v>
      </c>
      <c r="O2269" s="17" t="s">
        <v>611</v>
      </c>
      <c r="P2269" s="17" t="n">
        <v>11</v>
      </c>
      <c r="Q2269" s="17" t="s">
        <v>953</v>
      </c>
      <c r="R2269" s="17" t="s">
        <v>35</v>
      </c>
      <c r="S2269" s="17" t="s">
        <v>613</v>
      </c>
      <c r="T2269" s="18" t="s">
        <v>248</v>
      </c>
      <c r="U2269" s="20" t="s">
        <v>122</v>
      </c>
      <c r="V2269" s="17" t="n">
        <v>2</v>
      </c>
      <c r="W2269" s="20" t="s">
        <v>122</v>
      </c>
      <c r="X2269" s="17" t="s">
        <v>121</v>
      </c>
      <c r="Y2269" s="17" t="s">
        <v>955</v>
      </c>
      <c r="Z2269" s="17" t="s">
        <v>1162</v>
      </c>
      <c r="AA2269" s="17" t="s">
        <v>919</v>
      </c>
      <c r="AB2269" s="17" t="s">
        <v>41</v>
      </c>
      <c r="AC2269" s="0" t="str">
        <f aca="false">LEFT(G2269,2)</f>
        <v>16</v>
      </c>
    </row>
    <row r="2270" customFormat="false" ht="15" hidden="false" customHeight="false" outlineLevel="0" collapsed="false">
      <c r="A2270" s="13" t="n">
        <f aca="false">1+A2269</f>
        <v>2268</v>
      </c>
      <c r="B2270" s="14" t="n">
        <v>1009536418</v>
      </c>
      <c r="C2270" s="15" t="s">
        <v>311</v>
      </c>
      <c r="D2270" s="16" t="s">
        <v>64</v>
      </c>
      <c r="E2270" s="17" t="s">
        <v>91</v>
      </c>
      <c r="F2270" s="18" t="s">
        <v>34</v>
      </c>
      <c r="G2270" s="19" t="n">
        <v>168251126228</v>
      </c>
      <c r="H2270" s="17" t="s">
        <v>35</v>
      </c>
      <c r="I2270" s="17" t="s">
        <v>76</v>
      </c>
      <c r="J2270" s="17" t="s">
        <v>241</v>
      </c>
      <c r="K2270" s="17" t="s">
        <v>992</v>
      </c>
      <c r="L2270" s="17" t="n">
        <v>5</v>
      </c>
      <c r="M2270" s="17" t="s">
        <v>952</v>
      </c>
      <c r="N2270" s="17" t="n">
        <v>1</v>
      </c>
      <c r="O2270" s="17" t="s">
        <v>611</v>
      </c>
      <c r="P2270" s="17" t="n">
        <v>11</v>
      </c>
      <c r="Q2270" s="17" t="s">
        <v>953</v>
      </c>
      <c r="R2270" s="17" t="s">
        <v>35</v>
      </c>
      <c r="S2270" s="17" t="s">
        <v>613</v>
      </c>
      <c r="T2270" s="18" t="s">
        <v>248</v>
      </c>
      <c r="U2270" s="20" t="s">
        <v>122</v>
      </c>
      <c r="V2270" s="17" t="n">
        <v>2</v>
      </c>
      <c r="W2270" s="20" t="s">
        <v>122</v>
      </c>
      <c r="X2270" s="17" t="s">
        <v>241</v>
      </c>
      <c r="Y2270" s="17" t="s">
        <v>992</v>
      </c>
      <c r="Z2270" s="17" t="s">
        <v>1162</v>
      </c>
      <c r="AA2270" s="17" t="s">
        <v>919</v>
      </c>
      <c r="AB2270" s="17" t="s">
        <v>41</v>
      </c>
      <c r="AC2270" s="0" t="str">
        <f aca="false">LEFT(G2270,2)</f>
        <v>16</v>
      </c>
    </row>
    <row r="2271" customFormat="false" ht="15" hidden="false" customHeight="false" outlineLevel="0" collapsed="false">
      <c r="A2271" s="13" t="n">
        <f aca="false">1+A2270</f>
        <v>2269</v>
      </c>
      <c r="B2271" s="14" t="n">
        <v>1009666774</v>
      </c>
      <c r="C2271" s="15" t="s">
        <v>436</v>
      </c>
      <c r="D2271" s="16" t="s">
        <v>78</v>
      </c>
      <c r="E2271" s="17" t="s">
        <v>91</v>
      </c>
      <c r="F2271" s="18" t="s">
        <v>34</v>
      </c>
      <c r="G2271" s="19" t="n">
        <v>167189936344</v>
      </c>
      <c r="H2271" s="17" t="s">
        <v>35</v>
      </c>
      <c r="I2271" s="17" t="s">
        <v>76</v>
      </c>
      <c r="J2271" s="17" t="s">
        <v>287</v>
      </c>
      <c r="K2271" s="17" t="s">
        <v>1006</v>
      </c>
      <c r="L2271" s="17" t="n">
        <v>1</v>
      </c>
      <c r="M2271" s="17" t="s">
        <v>610</v>
      </c>
      <c r="N2271" s="17" t="n">
        <v>6</v>
      </c>
      <c r="O2271" s="17" t="s">
        <v>982</v>
      </c>
      <c r="P2271" s="17" t="n">
        <v>11</v>
      </c>
      <c r="Q2271" s="17" t="s">
        <v>953</v>
      </c>
      <c r="R2271" s="17" t="s">
        <v>35</v>
      </c>
      <c r="S2271" s="17" t="s">
        <v>613</v>
      </c>
      <c r="T2271" s="18" t="s">
        <v>248</v>
      </c>
      <c r="U2271" s="20" t="s">
        <v>38</v>
      </c>
      <c r="V2271" s="17" t="n">
        <v>4</v>
      </c>
      <c r="W2271" s="20" t="s">
        <v>38</v>
      </c>
      <c r="X2271" s="17" t="s">
        <v>287</v>
      </c>
      <c r="Y2271" s="17" t="s">
        <v>1006</v>
      </c>
      <c r="Z2271" s="17" t="s">
        <v>302</v>
      </c>
      <c r="AA2271" s="17" t="s">
        <v>919</v>
      </c>
      <c r="AB2271" s="17" t="s">
        <v>41</v>
      </c>
      <c r="AC2271" s="0" t="str">
        <f aca="false">LEFT(G2271,2)</f>
        <v>16</v>
      </c>
    </row>
    <row r="2272" customFormat="false" ht="15" hidden="false" customHeight="false" outlineLevel="0" collapsed="false">
      <c r="A2272" s="13" t="n">
        <f aca="false">1+A2271</f>
        <v>2270</v>
      </c>
      <c r="B2272" s="14" t="n">
        <v>1009540455</v>
      </c>
      <c r="C2272" s="15" t="s">
        <v>126</v>
      </c>
      <c r="D2272" s="16" t="s">
        <v>64</v>
      </c>
      <c r="E2272" s="17" t="s">
        <v>64</v>
      </c>
      <c r="F2272" s="18" t="s">
        <v>34</v>
      </c>
      <c r="G2272" s="19" t="n">
        <v>168278101923</v>
      </c>
      <c r="H2272" s="17" t="s">
        <v>35</v>
      </c>
      <c r="I2272" s="17" t="s">
        <v>76</v>
      </c>
      <c r="J2272" s="17" t="s">
        <v>241</v>
      </c>
      <c r="K2272" s="17" t="s">
        <v>992</v>
      </c>
      <c r="L2272" s="17" t="n">
        <v>5</v>
      </c>
      <c r="M2272" s="17" t="s">
        <v>952</v>
      </c>
      <c r="N2272" s="17" t="n">
        <v>1</v>
      </c>
      <c r="O2272" s="17" t="s">
        <v>611</v>
      </c>
      <c r="P2272" s="17" t="n">
        <v>11</v>
      </c>
      <c r="Q2272" s="17" t="s">
        <v>953</v>
      </c>
      <c r="R2272" s="17" t="s">
        <v>35</v>
      </c>
      <c r="S2272" s="17" t="s">
        <v>613</v>
      </c>
      <c r="T2272" s="18" t="s">
        <v>248</v>
      </c>
      <c r="U2272" s="20" t="s">
        <v>256</v>
      </c>
      <c r="V2272" s="17" t="n">
        <v>1</v>
      </c>
      <c r="W2272" s="20" t="s">
        <v>256</v>
      </c>
      <c r="X2272" s="17" t="s">
        <v>241</v>
      </c>
      <c r="Y2272" s="17" t="s">
        <v>992</v>
      </c>
      <c r="Z2272" s="17" t="s">
        <v>306</v>
      </c>
      <c r="AA2272" s="17" t="s">
        <v>919</v>
      </c>
      <c r="AB2272" s="17" t="s">
        <v>41</v>
      </c>
      <c r="AC2272" s="0" t="str">
        <f aca="false">LEFT(G2272,2)</f>
        <v>16</v>
      </c>
    </row>
    <row r="2273" customFormat="false" ht="15" hidden="false" customHeight="false" outlineLevel="0" collapsed="false">
      <c r="A2273" s="13" t="n">
        <f aca="false">1+A2272</f>
        <v>2271</v>
      </c>
      <c r="B2273" s="14" t="n">
        <v>1009635702</v>
      </c>
      <c r="C2273" s="15" t="s">
        <v>182</v>
      </c>
      <c r="D2273" s="16" t="s">
        <v>64</v>
      </c>
      <c r="E2273" s="17" t="s">
        <v>64</v>
      </c>
      <c r="F2273" s="18" t="s">
        <v>34</v>
      </c>
      <c r="G2273" s="19" t="n">
        <v>167331916343</v>
      </c>
      <c r="H2273" s="17" t="s">
        <v>35</v>
      </c>
      <c r="I2273" s="17" t="s">
        <v>76</v>
      </c>
      <c r="J2273" s="17" t="s">
        <v>118</v>
      </c>
      <c r="K2273" s="17" t="s">
        <v>609</v>
      </c>
      <c r="L2273" s="17" t="n">
        <v>5</v>
      </c>
      <c r="M2273" s="17" t="s">
        <v>952</v>
      </c>
      <c r="N2273" s="17" t="n">
        <v>24</v>
      </c>
      <c r="O2273" s="17" t="s">
        <v>975</v>
      </c>
      <c r="P2273" s="17" t="n">
        <v>11</v>
      </c>
      <c r="Q2273" s="17" t="s">
        <v>953</v>
      </c>
      <c r="R2273" s="17" t="s">
        <v>35</v>
      </c>
      <c r="S2273" s="17" t="s">
        <v>613</v>
      </c>
      <c r="T2273" s="18" t="s">
        <v>248</v>
      </c>
      <c r="U2273" s="20" t="s">
        <v>122</v>
      </c>
      <c r="V2273" s="17" t="n">
        <v>2</v>
      </c>
      <c r="W2273" s="20" t="s">
        <v>122</v>
      </c>
      <c r="X2273" s="17" t="s">
        <v>118</v>
      </c>
      <c r="Y2273" s="17" t="s">
        <v>609</v>
      </c>
      <c r="Z2273" s="17" t="s">
        <v>1163</v>
      </c>
      <c r="AA2273" s="17" t="s">
        <v>919</v>
      </c>
      <c r="AB2273" s="17" t="s">
        <v>41</v>
      </c>
      <c r="AC2273" s="0" t="str">
        <f aca="false">LEFT(G2273,2)</f>
        <v>16</v>
      </c>
    </row>
    <row r="2274" customFormat="false" ht="15" hidden="false" customHeight="false" outlineLevel="0" collapsed="false">
      <c r="A2274" s="13" t="n">
        <f aca="false">1+A2273</f>
        <v>2272</v>
      </c>
      <c r="B2274" s="14" t="n">
        <v>1009606577</v>
      </c>
      <c r="C2274" s="15" t="s">
        <v>181</v>
      </c>
      <c r="D2274" s="16" t="s">
        <v>64</v>
      </c>
      <c r="E2274" s="17" t="s">
        <v>64</v>
      </c>
      <c r="F2274" s="18" t="s">
        <v>34</v>
      </c>
      <c r="G2274" s="19" t="n">
        <v>167206987122</v>
      </c>
      <c r="H2274" s="17" t="s">
        <v>35</v>
      </c>
      <c r="I2274" s="17" t="s">
        <v>76</v>
      </c>
      <c r="J2274" s="17" t="s">
        <v>118</v>
      </c>
      <c r="K2274" s="17" t="s">
        <v>609</v>
      </c>
      <c r="L2274" s="17" t="n">
        <v>1</v>
      </c>
      <c r="M2274" s="17" t="s">
        <v>610</v>
      </c>
      <c r="N2274" s="17" t="n">
        <v>1</v>
      </c>
      <c r="O2274" s="17" t="s">
        <v>611</v>
      </c>
      <c r="P2274" s="17" t="n">
        <v>11</v>
      </c>
      <c r="Q2274" s="17" t="s">
        <v>953</v>
      </c>
      <c r="R2274" s="17" t="s">
        <v>35</v>
      </c>
      <c r="S2274" s="17" t="s">
        <v>613</v>
      </c>
      <c r="T2274" s="18" t="s">
        <v>248</v>
      </c>
      <c r="U2274" s="20" t="s">
        <v>122</v>
      </c>
      <c r="V2274" s="17" t="n">
        <v>2</v>
      </c>
      <c r="W2274" s="20" t="s">
        <v>122</v>
      </c>
      <c r="X2274" s="17" t="s">
        <v>118</v>
      </c>
      <c r="Y2274" s="17" t="s">
        <v>609</v>
      </c>
      <c r="Z2274" s="17" t="s">
        <v>362</v>
      </c>
      <c r="AA2274" s="17" t="s">
        <v>919</v>
      </c>
      <c r="AB2274" s="17" t="s">
        <v>41</v>
      </c>
      <c r="AC2274" s="0" t="str">
        <f aca="false">LEFT(G2274,2)</f>
        <v>16</v>
      </c>
    </row>
    <row r="2275" customFormat="false" ht="15" hidden="false" customHeight="false" outlineLevel="0" collapsed="false">
      <c r="A2275" s="13" t="n">
        <f aca="false">1+A2274</f>
        <v>2273</v>
      </c>
      <c r="B2275" s="14" t="n">
        <v>1009621143</v>
      </c>
      <c r="C2275" s="15" t="s">
        <v>184</v>
      </c>
      <c r="D2275" s="16" t="s">
        <v>359</v>
      </c>
      <c r="E2275" s="17" t="s">
        <v>33</v>
      </c>
      <c r="F2275" s="18" t="s">
        <v>34</v>
      </c>
      <c r="G2275" s="19" t="n">
        <v>169139143450</v>
      </c>
      <c r="H2275" s="17" t="s">
        <v>35</v>
      </c>
      <c r="I2275" s="17" t="s">
        <v>76</v>
      </c>
      <c r="J2275" s="17" t="s">
        <v>118</v>
      </c>
      <c r="K2275" s="17" t="s">
        <v>609</v>
      </c>
      <c r="L2275" s="17" t="n">
        <v>5</v>
      </c>
      <c r="M2275" s="17" t="s">
        <v>952</v>
      </c>
      <c r="N2275" s="17" t="n">
        <v>24</v>
      </c>
      <c r="O2275" s="17" t="s">
        <v>975</v>
      </c>
      <c r="P2275" s="17" t="n">
        <v>11</v>
      </c>
      <c r="Q2275" s="17" t="s">
        <v>953</v>
      </c>
      <c r="R2275" s="17" t="s">
        <v>35</v>
      </c>
      <c r="S2275" s="17" t="s">
        <v>613</v>
      </c>
      <c r="T2275" s="18" t="s">
        <v>248</v>
      </c>
      <c r="U2275" s="20" t="s">
        <v>122</v>
      </c>
      <c r="V2275" s="17" t="n">
        <v>2</v>
      </c>
      <c r="W2275" s="20" t="s">
        <v>122</v>
      </c>
      <c r="X2275" s="17" t="s">
        <v>118</v>
      </c>
      <c r="Y2275" s="17" t="s">
        <v>609</v>
      </c>
      <c r="Z2275" s="17" t="s">
        <v>783</v>
      </c>
      <c r="AA2275" s="17" t="s">
        <v>919</v>
      </c>
      <c r="AB2275" s="17" t="s">
        <v>41</v>
      </c>
      <c r="AC2275" s="0" t="str">
        <f aca="false">LEFT(G2275,2)</f>
        <v>16</v>
      </c>
    </row>
    <row r="2276" customFormat="false" ht="15" hidden="false" customHeight="false" outlineLevel="0" collapsed="false">
      <c r="A2276" s="13" t="n">
        <f aca="false">1+A2275</f>
        <v>2274</v>
      </c>
      <c r="B2276" s="14" t="n">
        <v>1009665951</v>
      </c>
      <c r="C2276" s="15" t="s">
        <v>436</v>
      </c>
      <c r="D2276" s="16" t="s">
        <v>108</v>
      </c>
      <c r="E2276" s="17" t="s">
        <v>91</v>
      </c>
      <c r="F2276" s="18" t="s">
        <v>34</v>
      </c>
      <c r="G2276" s="19" t="n">
        <v>168150947062</v>
      </c>
      <c r="H2276" s="17" t="s">
        <v>35</v>
      </c>
      <c r="I2276" s="17" t="s">
        <v>76</v>
      </c>
      <c r="J2276" s="17" t="s">
        <v>121</v>
      </c>
      <c r="K2276" s="17" t="s">
        <v>955</v>
      </c>
      <c r="L2276" s="17" t="n">
        <v>5</v>
      </c>
      <c r="M2276" s="17" t="s">
        <v>952</v>
      </c>
      <c r="N2276" s="17" t="n">
        <v>24</v>
      </c>
      <c r="O2276" s="17" t="s">
        <v>975</v>
      </c>
      <c r="P2276" s="17" t="n">
        <v>11</v>
      </c>
      <c r="Q2276" s="17" t="s">
        <v>953</v>
      </c>
      <c r="R2276" s="17" t="s">
        <v>35</v>
      </c>
      <c r="S2276" s="17" t="s">
        <v>613</v>
      </c>
      <c r="T2276" s="18" t="s">
        <v>248</v>
      </c>
      <c r="U2276" s="20" t="s">
        <v>122</v>
      </c>
      <c r="V2276" s="17" t="n">
        <v>2</v>
      </c>
      <c r="W2276" s="20" t="s">
        <v>122</v>
      </c>
      <c r="X2276" s="17" t="s">
        <v>121</v>
      </c>
      <c r="Y2276" s="17" t="s">
        <v>955</v>
      </c>
      <c r="Z2276" s="17" t="s">
        <v>1164</v>
      </c>
      <c r="AA2276" s="17" t="s">
        <v>919</v>
      </c>
      <c r="AB2276" s="17" t="s">
        <v>41</v>
      </c>
      <c r="AC2276" s="0" t="str">
        <f aca="false">LEFT(G2276,2)</f>
        <v>16</v>
      </c>
    </row>
    <row r="2277" customFormat="false" ht="15" hidden="false" customHeight="false" outlineLevel="0" collapsed="false">
      <c r="A2277" s="13" t="n">
        <f aca="false">1+A2276</f>
        <v>2275</v>
      </c>
      <c r="B2277" s="14" t="n">
        <v>1009680491</v>
      </c>
      <c r="C2277" s="15" t="s">
        <v>413</v>
      </c>
      <c r="D2277" s="16" t="s">
        <v>64</v>
      </c>
      <c r="E2277" s="17" t="s">
        <v>33</v>
      </c>
      <c r="F2277" s="18" t="s">
        <v>34</v>
      </c>
      <c r="G2277" s="19" t="n">
        <v>168167908479</v>
      </c>
      <c r="H2277" s="17" t="s">
        <v>35</v>
      </c>
      <c r="I2277" s="17" t="s">
        <v>76</v>
      </c>
      <c r="J2277" s="17" t="s">
        <v>241</v>
      </c>
      <c r="K2277" s="17" t="s">
        <v>992</v>
      </c>
      <c r="L2277" s="17" t="n">
        <v>5</v>
      </c>
      <c r="M2277" s="17" t="s">
        <v>952</v>
      </c>
      <c r="N2277" s="17" t="n">
        <v>1</v>
      </c>
      <c r="O2277" s="17" t="s">
        <v>611</v>
      </c>
      <c r="P2277" s="17" t="n">
        <v>11</v>
      </c>
      <c r="Q2277" s="17" t="s">
        <v>953</v>
      </c>
      <c r="R2277" s="17" t="s">
        <v>35</v>
      </c>
      <c r="S2277" s="17" t="s">
        <v>613</v>
      </c>
      <c r="T2277" s="18" t="s">
        <v>248</v>
      </c>
      <c r="U2277" s="20" t="s">
        <v>122</v>
      </c>
      <c r="V2277" s="17" t="n">
        <v>2</v>
      </c>
      <c r="W2277" s="20" t="s">
        <v>122</v>
      </c>
      <c r="X2277" s="17" t="s">
        <v>241</v>
      </c>
      <c r="Y2277" s="17" t="s">
        <v>992</v>
      </c>
      <c r="Z2277" s="17" t="s">
        <v>363</v>
      </c>
      <c r="AA2277" s="17" t="s">
        <v>919</v>
      </c>
      <c r="AB2277" s="17" t="s">
        <v>41</v>
      </c>
      <c r="AC2277" s="0" t="str">
        <f aca="false">LEFT(G2277,2)</f>
        <v>16</v>
      </c>
    </row>
    <row r="2278" customFormat="false" ht="15" hidden="false" customHeight="false" outlineLevel="0" collapsed="false">
      <c r="A2278" s="13" t="n">
        <f aca="false">1+A2277</f>
        <v>2276</v>
      </c>
      <c r="B2278" s="14" t="n">
        <v>1009133688</v>
      </c>
      <c r="C2278" s="15" t="s">
        <v>174</v>
      </c>
      <c r="D2278" s="16" t="s">
        <v>64</v>
      </c>
      <c r="E2278" s="17" t="s">
        <v>91</v>
      </c>
      <c r="F2278" s="18" t="s">
        <v>34</v>
      </c>
      <c r="G2278" s="19" t="n">
        <v>167236922008</v>
      </c>
      <c r="H2278" s="17" t="s">
        <v>35</v>
      </c>
      <c r="I2278" s="17" t="s">
        <v>76</v>
      </c>
      <c r="J2278" s="17" t="s">
        <v>289</v>
      </c>
      <c r="K2278" s="17" t="s">
        <v>1067</v>
      </c>
      <c r="L2278" s="17" t="n">
        <v>1</v>
      </c>
      <c r="M2278" s="17" t="s">
        <v>610</v>
      </c>
      <c r="N2278" s="17" t="n">
        <v>1</v>
      </c>
      <c r="O2278" s="17" t="s">
        <v>611</v>
      </c>
      <c r="P2278" s="17" t="n">
        <v>11</v>
      </c>
      <c r="Q2278" s="17" t="s">
        <v>953</v>
      </c>
      <c r="R2278" s="17" t="s">
        <v>35</v>
      </c>
      <c r="S2278" s="17" t="s">
        <v>613</v>
      </c>
      <c r="T2278" s="18" t="s">
        <v>248</v>
      </c>
      <c r="U2278" s="20" t="s">
        <v>122</v>
      </c>
      <c r="V2278" s="17" t="n">
        <v>2</v>
      </c>
      <c r="W2278" s="20" t="s">
        <v>122</v>
      </c>
      <c r="X2278" s="17" t="s">
        <v>289</v>
      </c>
      <c r="Y2278" s="17" t="s">
        <v>1067</v>
      </c>
      <c r="Z2278" s="17" t="s">
        <v>363</v>
      </c>
      <c r="AA2278" s="17" t="s">
        <v>919</v>
      </c>
      <c r="AB2278" s="17" t="s">
        <v>41</v>
      </c>
      <c r="AC2278" s="0" t="str">
        <f aca="false">LEFT(G2278,2)</f>
        <v>16</v>
      </c>
    </row>
    <row r="2279" customFormat="false" ht="15" hidden="false" customHeight="false" outlineLevel="0" collapsed="false">
      <c r="A2279" s="13" t="n">
        <f aca="false">1+A2278</f>
        <v>2277</v>
      </c>
      <c r="B2279" s="14" t="n">
        <v>1009556372</v>
      </c>
      <c r="C2279" s="15" t="s">
        <v>192</v>
      </c>
      <c r="D2279" s="16" t="s">
        <v>64</v>
      </c>
      <c r="E2279" s="17" t="s">
        <v>64</v>
      </c>
      <c r="F2279" s="18" t="s">
        <v>34</v>
      </c>
      <c r="G2279" s="19" t="n">
        <v>168069987654</v>
      </c>
      <c r="H2279" s="17" t="s">
        <v>35</v>
      </c>
      <c r="I2279" s="17" t="s">
        <v>76</v>
      </c>
      <c r="J2279" s="17" t="s">
        <v>289</v>
      </c>
      <c r="K2279" s="17" t="s">
        <v>1067</v>
      </c>
      <c r="L2279" s="17" t="n">
        <v>5</v>
      </c>
      <c r="M2279" s="17" t="s">
        <v>952</v>
      </c>
      <c r="N2279" s="17" t="n">
        <v>1</v>
      </c>
      <c r="O2279" s="17" t="s">
        <v>611</v>
      </c>
      <c r="P2279" s="17" t="n">
        <v>11</v>
      </c>
      <c r="Q2279" s="17" t="s">
        <v>953</v>
      </c>
      <c r="R2279" s="17" t="s">
        <v>35</v>
      </c>
      <c r="S2279" s="17" t="s">
        <v>613</v>
      </c>
      <c r="T2279" s="18" t="s">
        <v>248</v>
      </c>
      <c r="U2279" s="20" t="s">
        <v>122</v>
      </c>
      <c r="V2279" s="17" t="n">
        <v>2</v>
      </c>
      <c r="W2279" s="20" t="s">
        <v>122</v>
      </c>
      <c r="X2279" s="17" t="s">
        <v>289</v>
      </c>
      <c r="Y2279" s="17" t="s">
        <v>1067</v>
      </c>
      <c r="Z2279" s="17" t="s">
        <v>1165</v>
      </c>
      <c r="AA2279" s="17" t="s">
        <v>919</v>
      </c>
      <c r="AB2279" s="17" t="s">
        <v>41</v>
      </c>
      <c r="AC2279" s="0" t="str">
        <f aca="false">LEFT(G2279,2)</f>
        <v>16</v>
      </c>
    </row>
    <row r="2280" customFormat="false" ht="15" hidden="false" customHeight="false" outlineLevel="0" collapsed="false">
      <c r="A2280" s="13" t="n">
        <f aca="false">1+A2279</f>
        <v>2278</v>
      </c>
      <c r="B2280" s="14" t="n">
        <v>1009536427</v>
      </c>
      <c r="C2280" s="15" t="s">
        <v>311</v>
      </c>
      <c r="D2280" s="16" t="s">
        <v>64</v>
      </c>
      <c r="E2280" s="17" t="s">
        <v>91</v>
      </c>
      <c r="F2280" s="18" t="s">
        <v>34</v>
      </c>
      <c r="G2280" s="19" t="n">
        <v>168151929986</v>
      </c>
      <c r="H2280" s="17" t="s">
        <v>35</v>
      </c>
      <c r="I2280" s="17" t="s">
        <v>76</v>
      </c>
      <c r="J2280" s="17" t="s">
        <v>100</v>
      </c>
      <c r="K2280" s="17" t="s">
        <v>978</v>
      </c>
      <c r="L2280" s="17" t="n">
        <v>1</v>
      </c>
      <c r="M2280" s="17" t="s">
        <v>610</v>
      </c>
      <c r="N2280" s="17" t="n">
        <v>1</v>
      </c>
      <c r="O2280" s="17" t="s">
        <v>611</v>
      </c>
      <c r="P2280" s="17" t="n">
        <v>11</v>
      </c>
      <c r="Q2280" s="17" t="s">
        <v>953</v>
      </c>
      <c r="R2280" s="17" t="s">
        <v>35</v>
      </c>
      <c r="S2280" s="17" t="s">
        <v>613</v>
      </c>
      <c r="T2280" s="18" t="s">
        <v>248</v>
      </c>
      <c r="U2280" s="20" t="s">
        <v>122</v>
      </c>
      <c r="V2280" s="17" t="n">
        <v>2</v>
      </c>
      <c r="W2280" s="20" t="s">
        <v>122</v>
      </c>
      <c r="X2280" s="17" t="s">
        <v>100</v>
      </c>
      <c r="Y2280" s="17" t="s">
        <v>978</v>
      </c>
      <c r="Z2280" s="17" t="s">
        <v>1166</v>
      </c>
      <c r="AA2280" s="17" t="s">
        <v>919</v>
      </c>
      <c r="AB2280" s="17" t="s">
        <v>41</v>
      </c>
      <c r="AC2280" s="0" t="str">
        <f aca="false">LEFT(G2280,2)</f>
        <v>16</v>
      </c>
    </row>
    <row r="2281" customFormat="false" ht="15" hidden="false" customHeight="false" outlineLevel="0" collapsed="false">
      <c r="A2281" s="13" t="n">
        <f aca="false">1+A2280</f>
        <v>2279</v>
      </c>
      <c r="B2281" s="14" t="n">
        <v>1009619834</v>
      </c>
      <c r="C2281" s="15" t="s">
        <v>184</v>
      </c>
      <c r="D2281" s="16" t="s">
        <v>64</v>
      </c>
      <c r="E2281" s="17" t="s">
        <v>91</v>
      </c>
      <c r="F2281" s="18" t="s">
        <v>34</v>
      </c>
      <c r="G2281" s="19" t="n">
        <v>167244916000</v>
      </c>
      <c r="H2281" s="17" t="s">
        <v>35</v>
      </c>
      <c r="I2281" s="17" t="s">
        <v>76</v>
      </c>
      <c r="J2281" s="17" t="s">
        <v>121</v>
      </c>
      <c r="K2281" s="17" t="s">
        <v>955</v>
      </c>
      <c r="L2281" s="17" t="n">
        <v>7</v>
      </c>
      <c r="M2281" s="17" t="s">
        <v>993</v>
      </c>
      <c r="N2281" s="17" t="n">
        <v>36</v>
      </c>
      <c r="O2281" s="17" t="s">
        <v>994</v>
      </c>
      <c r="P2281" s="17" t="n">
        <v>11</v>
      </c>
      <c r="Q2281" s="17" t="s">
        <v>953</v>
      </c>
      <c r="R2281" s="17" t="s">
        <v>35</v>
      </c>
      <c r="S2281" s="17" t="s">
        <v>613</v>
      </c>
      <c r="T2281" s="18" t="s">
        <v>248</v>
      </c>
      <c r="U2281" s="20" t="s">
        <v>122</v>
      </c>
      <c r="V2281" s="17" t="n">
        <v>2</v>
      </c>
      <c r="W2281" s="20" t="s">
        <v>122</v>
      </c>
      <c r="X2281" s="17" t="s">
        <v>121</v>
      </c>
      <c r="Y2281" s="17" t="s">
        <v>955</v>
      </c>
      <c r="Z2281" s="17" t="s">
        <v>739</v>
      </c>
      <c r="AA2281" s="17" t="s">
        <v>919</v>
      </c>
      <c r="AB2281" s="17" t="s">
        <v>41</v>
      </c>
      <c r="AC2281" s="0" t="str">
        <f aca="false">LEFT(G2281,2)</f>
        <v>16</v>
      </c>
    </row>
    <row r="2282" customFormat="false" ht="15" hidden="false" customHeight="false" outlineLevel="0" collapsed="false">
      <c r="A2282" s="13" t="n">
        <f aca="false">1+A2281</f>
        <v>2280</v>
      </c>
      <c r="B2282" s="14" t="n">
        <v>1009624466</v>
      </c>
      <c r="C2282" s="15" t="s">
        <v>163</v>
      </c>
      <c r="D2282" s="16" t="s">
        <v>64</v>
      </c>
      <c r="E2282" s="17" t="s">
        <v>47</v>
      </c>
      <c r="F2282" s="18" t="s">
        <v>34</v>
      </c>
      <c r="G2282" s="19" t="n">
        <v>168345131747</v>
      </c>
      <c r="H2282" s="17" t="s">
        <v>35</v>
      </c>
      <c r="I2282" s="17" t="s">
        <v>76</v>
      </c>
      <c r="J2282" s="17" t="s">
        <v>111</v>
      </c>
      <c r="K2282" s="17" t="s">
        <v>958</v>
      </c>
      <c r="L2282" s="17" t="n">
        <v>1</v>
      </c>
      <c r="M2282" s="17" t="s">
        <v>610</v>
      </c>
      <c r="N2282" s="17" t="n">
        <v>1</v>
      </c>
      <c r="O2282" s="17" t="s">
        <v>611</v>
      </c>
      <c r="P2282" s="17" t="n">
        <v>11</v>
      </c>
      <c r="Q2282" s="17" t="s">
        <v>953</v>
      </c>
      <c r="R2282" s="17" t="s">
        <v>35</v>
      </c>
      <c r="S2282" s="17" t="s">
        <v>613</v>
      </c>
      <c r="T2282" s="18" t="s">
        <v>248</v>
      </c>
      <c r="U2282" s="20" t="s">
        <v>256</v>
      </c>
      <c r="V2282" s="17" t="n">
        <v>1</v>
      </c>
      <c r="W2282" s="20" t="s">
        <v>256</v>
      </c>
      <c r="X2282" s="17" t="s">
        <v>111</v>
      </c>
      <c r="Y2282" s="17" t="s">
        <v>958</v>
      </c>
      <c r="Z2282" s="17" t="s">
        <v>306</v>
      </c>
      <c r="AA2282" s="17" t="s">
        <v>919</v>
      </c>
      <c r="AB2282" s="17" t="s">
        <v>41</v>
      </c>
      <c r="AC2282" s="0" t="str">
        <f aca="false">LEFT(G2282,2)</f>
        <v>16</v>
      </c>
    </row>
    <row r="2283" customFormat="false" ht="15" hidden="false" customHeight="false" outlineLevel="0" collapsed="false">
      <c r="A2283" s="13" t="n">
        <f aca="false">1+A2282</f>
        <v>2281</v>
      </c>
      <c r="B2283" s="14" t="n">
        <v>1009511046</v>
      </c>
      <c r="C2283" s="15" t="s">
        <v>232</v>
      </c>
      <c r="D2283" s="16" t="s">
        <v>64</v>
      </c>
      <c r="E2283" s="17" t="s">
        <v>91</v>
      </c>
      <c r="F2283" s="18" t="s">
        <v>34</v>
      </c>
      <c r="G2283" s="19" t="n">
        <v>168106903961</v>
      </c>
      <c r="H2283" s="17" t="s">
        <v>35</v>
      </c>
      <c r="I2283" s="17" t="s">
        <v>76</v>
      </c>
      <c r="J2283" s="17" t="s">
        <v>289</v>
      </c>
      <c r="K2283" s="17" t="s">
        <v>1067</v>
      </c>
      <c r="L2283" s="17" t="n">
        <v>1</v>
      </c>
      <c r="M2283" s="17" t="s">
        <v>610</v>
      </c>
      <c r="N2283" s="17" t="n">
        <v>1</v>
      </c>
      <c r="O2283" s="17" t="s">
        <v>611</v>
      </c>
      <c r="P2283" s="17" t="n">
        <v>11</v>
      </c>
      <c r="Q2283" s="17" t="s">
        <v>953</v>
      </c>
      <c r="R2283" s="17" t="s">
        <v>35</v>
      </c>
      <c r="S2283" s="17" t="s">
        <v>613</v>
      </c>
      <c r="T2283" s="18" t="s">
        <v>248</v>
      </c>
      <c r="U2283" s="20" t="s">
        <v>122</v>
      </c>
      <c r="V2283" s="17" t="n">
        <v>2</v>
      </c>
      <c r="W2283" s="20" t="s">
        <v>122</v>
      </c>
      <c r="X2283" s="17" t="s">
        <v>289</v>
      </c>
      <c r="Y2283" s="17" t="s">
        <v>1067</v>
      </c>
      <c r="Z2283" s="17" t="s">
        <v>707</v>
      </c>
      <c r="AA2283" s="17" t="s">
        <v>919</v>
      </c>
      <c r="AB2283" s="17" t="s">
        <v>41</v>
      </c>
      <c r="AC2283" s="0" t="str">
        <f aca="false">LEFT(G2283,2)</f>
        <v>16</v>
      </c>
    </row>
    <row r="2284" customFormat="false" ht="15" hidden="false" customHeight="false" outlineLevel="0" collapsed="false">
      <c r="A2284" s="13" t="n">
        <f aca="false">1+A2283</f>
        <v>2282</v>
      </c>
      <c r="B2284" s="14" t="n">
        <v>1009504310</v>
      </c>
      <c r="C2284" s="15" t="s">
        <v>95</v>
      </c>
      <c r="D2284" s="16" t="s">
        <v>64</v>
      </c>
      <c r="E2284" s="17" t="s">
        <v>91</v>
      </c>
      <c r="F2284" s="18" t="s">
        <v>34</v>
      </c>
      <c r="G2284" s="19" t="n">
        <v>168353102697</v>
      </c>
      <c r="H2284" s="17" t="s">
        <v>35</v>
      </c>
      <c r="I2284" s="17" t="s">
        <v>76</v>
      </c>
      <c r="J2284" s="17" t="s">
        <v>111</v>
      </c>
      <c r="K2284" s="17" t="s">
        <v>958</v>
      </c>
      <c r="L2284" s="17" t="n">
        <v>1</v>
      </c>
      <c r="M2284" s="17" t="s">
        <v>610</v>
      </c>
      <c r="N2284" s="17" t="n">
        <v>1</v>
      </c>
      <c r="O2284" s="17" t="s">
        <v>611</v>
      </c>
      <c r="P2284" s="17" t="n">
        <v>11</v>
      </c>
      <c r="Q2284" s="17" t="s">
        <v>953</v>
      </c>
      <c r="R2284" s="17" t="s">
        <v>35</v>
      </c>
      <c r="S2284" s="17" t="s">
        <v>613</v>
      </c>
      <c r="T2284" s="18" t="s">
        <v>248</v>
      </c>
      <c r="U2284" s="20" t="s">
        <v>38</v>
      </c>
      <c r="V2284" s="17" t="n">
        <v>4</v>
      </c>
      <c r="W2284" s="20" t="s">
        <v>38</v>
      </c>
      <c r="X2284" s="17" t="s">
        <v>111</v>
      </c>
      <c r="Y2284" s="17" t="s">
        <v>958</v>
      </c>
      <c r="Z2284" s="17" t="s">
        <v>783</v>
      </c>
      <c r="AA2284" s="17" t="s">
        <v>919</v>
      </c>
      <c r="AB2284" s="17" t="s">
        <v>41</v>
      </c>
      <c r="AC2284" s="0" t="str">
        <f aca="false">LEFT(G2284,2)</f>
        <v>16</v>
      </c>
    </row>
    <row r="2285" customFormat="false" ht="15" hidden="false" customHeight="false" outlineLevel="0" collapsed="false">
      <c r="A2285" s="13" t="n">
        <f aca="false">1+A2284</f>
        <v>2283</v>
      </c>
      <c r="B2285" s="14" t="n">
        <v>1009665934</v>
      </c>
      <c r="C2285" s="15" t="s">
        <v>436</v>
      </c>
      <c r="D2285" s="16" t="s">
        <v>154</v>
      </c>
      <c r="E2285" s="17" t="s">
        <v>91</v>
      </c>
      <c r="F2285" s="18" t="s">
        <v>34</v>
      </c>
      <c r="G2285" s="19" t="n">
        <v>168069937816</v>
      </c>
      <c r="H2285" s="17" t="s">
        <v>35</v>
      </c>
      <c r="I2285" s="17" t="s">
        <v>76</v>
      </c>
      <c r="J2285" s="17" t="s">
        <v>111</v>
      </c>
      <c r="K2285" s="17" t="s">
        <v>958</v>
      </c>
      <c r="L2285" s="17" t="n">
        <v>1</v>
      </c>
      <c r="M2285" s="17" t="s">
        <v>610</v>
      </c>
      <c r="N2285" s="17" t="n">
        <v>1</v>
      </c>
      <c r="O2285" s="17" t="s">
        <v>611</v>
      </c>
      <c r="P2285" s="17" t="n">
        <v>11</v>
      </c>
      <c r="Q2285" s="17" t="s">
        <v>953</v>
      </c>
      <c r="R2285" s="17" t="s">
        <v>35</v>
      </c>
      <c r="S2285" s="17" t="s">
        <v>613</v>
      </c>
      <c r="T2285" s="18" t="s">
        <v>248</v>
      </c>
      <c r="U2285" s="20" t="s">
        <v>122</v>
      </c>
      <c r="V2285" s="17" t="n">
        <v>2</v>
      </c>
      <c r="W2285" s="20" t="s">
        <v>122</v>
      </c>
      <c r="X2285" s="17" t="s">
        <v>111</v>
      </c>
      <c r="Y2285" s="17" t="s">
        <v>958</v>
      </c>
      <c r="Z2285" s="17" t="s">
        <v>911</v>
      </c>
      <c r="AA2285" s="17" t="s">
        <v>919</v>
      </c>
      <c r="AB2285" s="17" t="s">
        <v>41</v>
      </c>
      <c r="AC2285" s="0" t="str">
        <f aca="false">LEFT(G2285,2)</f>
        <v>16</v>
      </c>
    </row>
    <row r="2286" customFormat="false" ht="15" hidden="false" customHeight="false" outlineLevel="0" collapsed="false">
      <c r="A2286" s="13" t="n">
        <f aca="false">1+A2285</f>
        <v>2284</v>
      </c>
      <c r="B2286" s="14" t="n">
        <v>1009462818</v>
      </c>
      <c r="C2286" s="15" t="s">
        <v>55</v>
      </c>
      <c r="D2286" s="16" t="s">
        <v>103</v>
      </c>
      <c r="E2286" s="17" t="s">
        <v>47</v>
      </c>
      <c r="F2286" s="18" t="s">
        <v>34</v>
      </c>
      <c r="G2286" s="19" t="n">
        <v>168135900426</v>
      </c>
      <c r="H2286" s="17" t="s">
        <v>35</v>
      </c>
      <c r="I2286" s="17" t="s">
        <v>76</v>
      </c>
      <c r="J2286" s="17" t="s">
        <v>121</v>
      </c>
      <c r="K2286" s="17" t="s">
        <v>955</v>
      </c>
      <c r="L2286" s="17" t="n">
        <v>5</v>
      </c>
      <c r="M2286" s="17" t="s">
        <v>952</v>
      </c>
      <c r="N2286" s="17" t="n">
        <v>1</v>
      </c>
      <c r="O2286" s="17" t="s">
        <v>611</v>
      </c>
      <c r="P2286" s="17" t="n">
        <v>12</v>
      </c>
      <c r="Q2286" s="17" t="s">
        <v>612</v>
      </c>
      <c r="R2286" s="17" t="s">
        <v>35</v>
      </c>
      <c r="S2286" s="17" t="s">
        <v>613</v>
      </c>
      <c r="T2286" s="18" t="s">
        <v>135</v>
      </c>
      <c r="U2286" s="20" t="s">
        <v>110</v>
      </c>
      <c r="V2286" s="17" t="n">
        <v>9</v>
      </c>
      <c r="W2286" s="20" t="s">
        <v>110</v>
      </c>
      <c r="X2286" s="17" t="s">
        <v>121</v>
      </c>
      <c r="Y2286" s="17" t="s">
        <v>955</v>
      </c>
      <c r="Z2286" s="17" t="s">
        <v>707</v>
      </c>
      <c r="AA2286" s="17" t="s">
        <v>919</v>
      </c>
      <c r="AB2286" s="17" t="s">
        <v>41</v>
      </c>
      <c r="AC2286" s="0" t="str">
        <f aca="false">LEFT(G2286,2)</f>
        <v>16</v>
      </c>
    </row>
    <row r="2287" customFormat="false" ht="15" hidden="false" customHeight="false" outlineLevel="0" collapsed="false">
      <c r="A2287" s="13" t="n">
        <f aca="false">1+A2286</f>
        <v>2285</v>
      </c>
      <c r="B2287" s="14" t="n">
        <v>1009635424</v>
      </c>
      <c r="C2287" s="15" t="s">
        <v>182</v>
      </c>
      <c r="D2287" s="16" t="s">
        <v>64</v>
      </c>
      <c r="E2287" s="17" t="s">
        <v>64</v>
      </c>
      <c r="F2287" s="18" t="s">
        <v>34</v>
      </c>
      <c r="G2287" s="19" t="n">
        <v>168189144152</v>
      </c>
      <c r="H2287" s="17" t="s">
        <v>35</v>
      </c>
      <c r="I2287" s="17" t="s">
        <v>76</v>
      </c>
      <c r="J2287" s="17" t="s">
        <v>100</v>
      </c>
      <c r="K2287" s="17" t="s">
        <v>978</v>
      </c>
      <c r="L2287" s="17" t="n">
        <v>1</v>
      </c>
      <c r="M2287" s="17" t="s">
        <v>610</v>
      </c>
      <c r="N2287" s="17" t="n">
        <v>1</v>
      </c>
      <c r="O2287" s="17" t="s">
        <v>611</v>
      </c>
      <c r="P2287" s="17" t="n">
        <v>11</v>
      </c>
      <c r="Q2287" s="17" t="s">
        <v>953</v>
      </c>
      <c r="R2287" s="17" t="s">
        <v>35</v>
      </c>
      <c r="S2287" s="17" t="s">
        <v>613</v>
      </c>
      <c r="T2287" s="18" t="s">
        <v>248</v>
      </c>
      <c r="U2287" s="20" t="s">
        <v>122</v>
      </c>
      <c r="V2287" s="17" t="n">
        <v>2</v>
      </c>
      <c r="W2287" s="20" t="s">
        <v>122</v>
      </c>
      <c r="X2287" s="17" t="s">
        <v>100</v>
      </c>
      <c r="Y2287" s="17" t="s">
        <v>978</v>
      </c>
      <c r="Z2287" s="17" t="s">
        <v>1167</v>
      </c>
      <c r="AA2287" s="17" t="s">
        <v>919</v>
      </c>
      <c r="AB2287" s="17" t="s">
        <v>41</v>
      </c>
      <c r="AC2287" s="0" t="str">
        <f aca="false">LEFT(G2287,2)</f>
        <v>16</v>
      </c>
    </row>
    <row r="2288" customFormat="false" ht="15" hidden="false" customHeight="false" outlineLevel="0" collapsed="false">
      <c r="A2288" s="13" t="n">
        <f aca="false">1+A2287</f>
        <v>2286</v>
      </c>
      <c r="B2288" s="14" t="n">
        <v>1009610456</v>
      </c>
      <c r="C2288" s="15" t="s">
        <v>181</v>
      </c>
      <c r="D2288" s="16" t="s">
        <v>64</v>
      </c>
      <c r="E2288" s="17" t="s">
        <v>64</v>
      </c>
      <c r="F2288" s="18" t="s">
        <v>34</v>
      </c>
      <c r="G2288" s="19" t="n">
        <v>167168907654</v>
      </c>
      <c r="H2288" s="17" t="s">
        <v>35</v>
      </c>
      <c r="I2288" s="17" t="s">
        <v>76</v>
      </c>
      <c r="J2288" s="17" t="s">
        <v>267</v>
      </c>
      <c r="K2288" s="17" t="s">
        <v>960</v>
      </c>
      <c r="L2288" s="17" t="n">
        <v>5</v>
      </c>
      <c r="M2288" s="17" t="s">
        <v>952</v>
      </c>
      <c r="N2288" s="17" t="n">
        <v>24</v>
      </c>
      <c r="O2288" s="17" t="s">
        <v>975</v>
      </c>
      <c r="P2288" s="17" t="n">
        <v>11</v>
      </c>
      <c r="Q2288" s="17" t="s">
        <v>953</v>
      </c>
      <c r="R2288" s="17" t="s">
        <v>35</v>
      </c>
      <c r="S2288" s="17" t="s">
        <v>613</v>
      </c>
      <c r="T2288" s="18" t="s">
        <v>248</v>
      </c>
      <c r="U2288" s="20" t="s">
        <v>122</v>
      </c>
      <c r="V2288" s="17" t="n">
        <v>2</v>
      </c>
      <c r="W2288" s="20" t="s">
        <v>122</v>
      </c>
      <c r="X2288" s="17" t="s">
        <v>267</v>
      </c>
      <c r="Y2288" s="17" t="s">
        <v>960</v>
      </c>
      <c r="Z2288" s="17" t="s">
        <v>1168</v>
      </c>
      <c r="AA2288" s="17" t="s">
        <v>919</v>
      </c>
      <c r="AB2288" s="17" t="s">
        <v>41</v>
      </c>
      <c r="AC2288" s="0" t="str">
        <f aca="false">LEFT(G2288,2)</f>
        <v>16</v>
      </c>
    </row>
    <row r="2289" customFormat="false" ht="15" hidden="false" customHeight="false" outlineLevel="0" collapsed="false">
      <c r="A2289" s="13" t="n">
        <f aca="false">1+A2288</f>
        <v>2287</v>
      </c>
      <c r="B2289" s="14" t="n">
        <v>1009667855</v>
      </c>
      <c r="C2289" s="15" t="s">
        <v>436</v>
      </c>
      <c r="D2289" s="16" t="s">
        <v>64</v>
      </c>
      <c r="E2289" s="17" t="s">
        <v>64</v>
      </c>
      <c r="F2289" s="18" t="s">
        <v>34</v>
      </c>
      <c r="G2289" s="19" t="n">
        <v>167193900849</v>
      </c>
      <c r="H2289" s="17" t="s">
        <v>35</v>
      </c>
      <c r="I2289" s="17" t="s">
        <v>76</v>
      </c>
      <c r="J2289" s="17" t="s">
        <v>267</v>
      </c>
      <c r="K2289" s="17" t="s">
        <v>960</v>
      </c>
      <c r="L2289" s="17" t="n">
        <v>1</v>
      </c>
      <c r="M2289" s="17" t="s">
        <v>610</v>
      </c>
      <c r="N2289" s="17" t="n">
        <v>6</v>
      </c>
      <c r="O2289" s="17" t="s">
        <v>982</v>
      </c>
      <c r="P2289" s="17" t="n">
        <v>11</v>
      </c>
      <c r="Q2289" s="17" t="s">
        <v>953</v>
      </c>
      <c r="R2289" s="17" t="s">
        <v>35</v>
      </c>
      <c r="S2289" s="17" t="s">
        <v>613</v>
      </c>
      <c r="T2289" s="18" t="s">
        <v>248</v>
      </c>
      <c r="U2289" s="20" t="s">
        <v>122</v>
      </c>
      <c r="V2289" s="17" t="n">
        <v>2</v>
      </c>
      <c r="W2289" s="20" t="s">
        <v>122</v>
      </c>
      <c r="X2289" s="17" t="s">
        <v>267</v>
      </c>
      <c r="Y2289" s="17" t="s">
        <v>960</v>
      </c>
      <c r="Z2289" s="17" t="s">
        <v>707</v>
      </c>
      <c r="AA2289" s="17" t="s">
        <v>919</v>
      </c>
      <c r="AB2289" s="17" t="s">
        <v>41</v>
      </c>
      <c r="AC2289" s="0" t="str">
        <f aca="false">LEFT(G2289,2)</f>
        <v>16</v>
      </c>
    </row>
    <row r="2290" customFormat="false" ht="15" hidden="false" customHeight="false" outlineLevel="0" collapsed="false">
      <c r="A2290" s="13" t="n">
        <f aca="false">1+A2289</f>
        <v>2288</v>
      </c>
      <c r="B2290" s="14" t="n">
        <v>1009619557</v>
      </c>
      <c r="C2290" s="15" t="s">
        <v>184</v>
      </c>
      <c r="D2290" s="16" t="s">
        <v>64</v>
      </c>
      <c r="E2290" s="17" t="s">
        <v>91</v>
      </c>
      <c r="F2290" s="18" t="s">
        <v>34</v>
      </c>
      <c r="G2290" s="19" t="n">
        <v>168246101211</v>
      </c>
      <c r="H2290" s="17" t="s">
        <v>35</v>
      </c>
      <c r="I2290" s="17" t="s">
        <v>76</v>
      </c>
      <c r="J2290" s="17" t="s">
        <v>100</v>
      </c>
      <c r="K2290" s="17" t="s">
        <v>978</v>
      </c>
      <c r="L2290" s="17" t="n">
        <v>5</v>
      </c>
      <c r="M2290" s="17" t="s">
        <v>952</v>
      </c>
      <c r="N2290" s="17" t="n">
        <v>1</v>
      </c>
      <c r="O2290" s="17" t="s">
        <v>611</v>
      </c>
      <c r="P2290" s="17" t="n">
        <v>12</v>
      </c>
      <c r="Q2290" s="17" t="s">
        <v>612</v>
      </c>
      <c r="R2290" s="17" t="s">
        <v>35</v>
      </c>
      <c r="S2290" s="17" t="s">
        <v>613</v>
      </c>
      <c r="T2290" s="18" t="s">
        <v>135</v>
      </c>
      <c r="U2290" s="20" t="s">
        <v>248</v>
      </c>
      <c r="V2290" s="17" t="n">
        <v>11</v>
      </c>
      <c r="W2290" s="20" t="s">
        <v>248</v>
      </c>
      <c r="X2290" s="17" t="s">
        <v>100</v>
      </c>
      <c r="Y2290" s="17" t="s">
        <v>978</v>
      </c>
      <c r="Z2290" s="17" t="s">
        <v>783</v>
      </c>
      <c r="AA2290" s="17" t="s">
        <v>919</v>
      </c>
      <c r="AB2290" s="17" t="s">
        <v>41</v>
      </c>
      <c r="AC2290" s="0" t="str">
        <f aca="false">LEFT(G2290,2)</f>
        <v>16</v>
      </c>
    </row>
    <row r="2291" customFormat="false" ht="15" hidden="false" customHeight="false" outlineLevel="0" collapsed="false">
      <c r="A2291" s="13" t="n">
        <f aca="false">1+A2290</f>
        <v>2289</v>
      </c>
      <c r="B2291" s="14" t="n">
        <v>1009536485</v>
      </c>
      <c r="C2291" s="15" t="s">
        <v>311</v>
      </c>
      <c r="D2291" s="16" t="s">
        <v>64</v>
      </c>
      <c r="E2291" s="17" t="s">
        <v>64</v>
      </c>
      <c r="F2291" s="18" t="s">
        <v>34</v>
      </c>
      <c r="G2291" s="19" t="n">
        <v>879199264869</v>
      </c>
      <c r="H2291" s="17" t="s">
        <v>35</v>
      </c>
      <c r="I2291" s="17" t="s">
        <v>79</v>
      </c>
      <c r="J2291" s="17" t="s">
        <v>287</v>
      </c>
      <c r="K2291" s="17" t="s">
        <v>1006</v>
      </c>
      <c r="L2291" s="17" t="n">
        <v>1</v>
      </c>
      <c r="M2291" s="17" t="s">
        <v>610</v>
      </c>
      <c r="N2291" s="17" t="n">
        <v>1</v>
      </c>
      <c r="O2291" s="17" t="s">
        <v>611</v>
      </c>
      <c r="P2291" s="17" t="n">
        <v>11</v>
      </c>
      <c r="Q2291" s="17" t="s">
        <v>953</v>
      </c>
      <c r="R2291" s="17" t="s">
        <v>35</v>
      </c>
      <c r="S2291" s="17" t="s">
        <v>613</v>
      </c>
      <c r="T2291" s="18" t="s">
        <v>248</v>
      </c>
      <c r="U2291" s="20" t="s">
        <v>256</v>
      </c>
      <c r="V2291" s="17" t="n">
        <v>1</v>
      </c>
      <c r="W2291" s="20" t="s">
        <v>256</v>
      </c>
      <c r="X2291" s="17" t="s">
        <v>287</v>
      </c>
      <c r="Y2291" s="17" t="s">
        <v>1006</v>
      </c>
      <c r="Z2291" s="17" t="s">
        <v>1169</v>
      </c>
      <c r="AA2291" s="17" t="s">
        <v>919</v>
      </c>
      <c r="AB2291" s="17" t="s">
        <v>41</v>
      </c>
      <c r="AC2291" s="0" t="str">
        <f aca="false">LEFT(G2291,2)</f>
        <v>87</v>
      </c>
    </row>
    <row r="2292" customFormat="false" ht="15" hidden="false" customHeight="false" outlineLevel="0" collapsed="false">
      <c r="A2292" s="13" t="n">
        <f aca="false">1+A2291</f>
        <v>2290</v>
      </c>
      <c r="B2292" s="14" t="n">
        <v>1009414204</v>
      </c>
      <c r="C2292" s="15" t="s">
        <v>203</v>
      </c>
      <c r="D2292" s="16" t="s">
        <v>64</v>
      </c>
      <c r="E2292" s="17" t="s">
        <v>33</v>
      </c>
      <c r="F2292" s="18" t="s">
        <v>34</v>
      </c>
      <c r="G2292" s="19" t="n">
        <v>889270156462</v>
      </c>
      <c r="H2292" s="17" t="s">
        <v>35</v>
      </c>
      <c r="I2292" s="17" t="s">
        <v>79</v>
      </c>
      <c r="J2292" s="17" t="s">
        <v>287</v>
      </c>
      <c r="K2292" s="17" t="s">
        <v>1006</v>
      </c>
      <c r="L2292" s="17" t="n">
        <v>1</v>
      </c>
      <c r="M2292" s="17" t="s">
        <v>610</v>
      </c>
      <c r="N2292" s="17" t="n">
        <v>1</v>
      </c>
      <c r="O2292" s="17" t="s">
        <v>611</v>
      </c>
      <c r="P2292" s="17" t="n">
        <v>12</v>
      </c>
      <c r="Q2292" s="17" t="s">
        <v>612</v>
      </c>
      <c r="R2292" s="17" t="s">
        <v>35</v>
      </c>
      <c r="S2292" s="17" t="s">
        <v>613</v>
      </c>
      <c r="T2292" s="18" t="s">
        <v>135</v>
      </c>
      <c r="U2292" s="20" t="s">
        <v>248</v>
      </c>
      <c r="V2292" s="17" t="n">
        <v>11</v>
      </c>
      <c r="W2292" s="20" t="s">
        <v>248</v>
      </c>
      <c r="X2292" s="17" t="s">
        <v>287</v>
      </c>
      <c r="Y2292" s="17" t="s">
        <v>1006</v>
      </c>
      <c r="Z2292" s="17" t="s">
        <v>41</v>
      </c>
      <c r="AA2292" s="17" t="s">
        <v>919</v>
      </c>
      <c r="AB2292" s="17" t="s">
        <v>41</v>
      </c>
      <c r="AC2292" s="0" t="str">
        <f aca="false">LEFT(G2292,2)</f>
        <v>88</v>
      </c>
    </row>
    <row r="2293" customFormat="false" ht="15" hidden="false" customHeight="false" outlineLevel="0" collapsed="false">
      <c r="A2293" s="13" t="n">
        <f aca="false">1+A2292</f>
        <v>2291</v>
      </c>
      <c r="B2293" s="14" t="n">
        <v>1009618792</v>
      </c>
      <c r="C2293" s="15" t="s">
        <v>184</v>
      </c>
      <c r="D2293" s="16" t="s">
        <v>64</v>
      </c>
      <c r="E2293" s="17" t="s">
        <v>234</v>
      </c>
      <c r="F2293" s="18" t="s">
        <v>34</v>
      </c>
      <c r="G2293" s="19" t="n">
        <v>889342366545</v>
      </c>
      <c r="H2293" s="17" t="s">
        <v>35</v>
      </c>
      <c r="I2293" s="17" t="s">
        <v>79</v>
      </c>
      <c r="J2293" s="17" t="s">
        <v>100</v>
      </c>
      <c r="K2293" s="17" t="s">
        <v>978</v>
      </c>
      <c r="L2293" s="17" t="n">
        <v>1</v>
      </c>
      <c r="M2293" s="17" t="s">
        <v>610</v>
      </c>
      <c r="N2293" s="17" t="n">
        <v>1</v>
      </c>
      <c r="O2293" s="17" t="s">
        <v>611</v>
      </c>
      <c r="P2293" s="17" t="n">
        <v>11</v>
      </c>
      <c r="Q2293" s="17" t="s">
        <v>953</v>
      </c>
      <c r="R2293" s="17" t="s">
        <v>35</v>
      </c>
      <c r="S2293" s="17" t="s">
        <v>613</v>
      </c>
      <c r="T2293" s="18" t="s">
        <v>248</v>
      </c>
      <c r="U2293" s="20" t="s">
        <v>38</v>
      </c>
      <c r="V2293" s="17" t="n">
        <v>4</v>
      </c>
      <c r="W2293" s="20" t="s">
        <v>38</v>
      </c>
      <c r="X2293" s="17" t="s">
        <v>100</v>
      </c>
      <c r="Y2293" s="17" t="s">
        <v>978</v>
      </c>
      <c r="Z2293" s="17" t="s">
        <v>302</v>
      </c>
      <c r="AA2293" s="17" t="s">
        <v>919</v>
      </c>
      <c r="AB2293" s="17" t="s">
        <v>41</v>
      </c>
      <c r="AC2293" s="0" t="str">
        <f aca="false">LEFT(G2293,2)</f>
        <v>88</v>
      </c>
    </row>
    <row r="2294" customFormat="false" ht="15" hidden="false" customHeight="false" outlineLevel="0" collapsed="false">
      <c r="A2294" s="13" t="n">
        <f aca="false">1+A2293</f>
        <v>2292</v>
      </c>
      <c r="B2294" s="14" t="n">
        <v>1009621121</v>
      </c>
      <c r="C2294" s="15" t="s">
        <v>184</v>
      </c>
      <c r="D2294" s="16" t="s">
        <v>359</v>
      </c>
      <c r="E2294" s="17" t="s">
        <v>47</v>
      </c>
      <c r="F2294" s="18" t="s">
        <v>34</v>
      </c>
      <c r="G2294" s="19" t="n">
        <v>889320830355</v>
      </c>
      <c r="H2294" s="17" t="s">
        <v>35</v>
      </c>
      <c r="I2294" s="17" t="s">
        <v>79</v>
      </c>
      <c r="J2294" s="17" t="s">
        <v>241</v>
      </c>
      <c r="K2294" s="17" t="s">
        <v>992</v>
      </c>
      <c r="L2294" s="17" t="n">
        <v>5</v>
      </c>
      <c r="M2294" s="17" t="s">
        <v>952</v>
      </c>
      <c r="N2294" s="17" t="n">
        <v>6</v>
      </c>
      <c r="O2294" s="17" t="s">
        <v>982</v>
      </c>
      <c r="P2294" s="17" t="n">
        <v>11</v>
      </c>
      <c r="Q2294" s="17" t="s">
        <v>953</v>
      </c>
      <c r="R2294" s="17" t="s">
        <v>35</v>
      </c>
      <c r="S2294" s="17" t="s">
        <v>613</v>
      </c>
      <c r="T2294" s="18" t="s">
        <v>248</v>
      </c>
      <c r="U2294" s="20" t="s">
        <v>256</v>
      </c>
      <c r="V2294" s="17" t="n">
        <v>1</v>
      </c>
      <c r="W2294" s="20" t="s">
        <v>256</v>
      </c>
      <c r="X2294" s="17" t="s">
        <v>241</v>
      </c>
      <c r="Y2294" s="17" t="s">
        <v>992</v>
      </c>
      <c r="Z2294" s="17" t="s">
        <v>306</v>
      </c>
      <c r="AA2294" s="17" t="s">
        <v>919</v>
      </c>
      <c r="AB2294" s="17" t="s">
        <v>41</v>
      </c>
      <c r="AC2294" s="0" t="str">
        <f aca="false">LEFT(G2294,2)</f>
        <v>88</v>
      </c>
    </row>
    <row r="2295" customFormat="false" ht="15" hidden="false" customHeight="false" outlineLevel="0" collapsed="false">
      <c r="A2295" s="13" t="n">
        <f aca="false">1+A2294</f>
        <v>2293</v>
      </c>
      <c r="B2295" s="14" t="n">
        <v>1009530017</v>
      </c>
      <c r="C2295" s="15" t="s">
        <v>1170</v>
      </c>
      <c r="D2295" s="16" t="s">
        <v>64</v>
      </c>
      <c r="E2295" s="17" t="s">
        <v>487</v>
      </c>
      <c r="F2295" s="18" t="s">
        <v>34</v>
      </c>
      <c r="G2295" s="19" t="n">
        <v>889287340786</v>
      </c>
      <c r="H2295" s="17" t="s">
        <v>35</v>
      </c>
      <c r="I2295" s="17" t="s">
        <v>79</v>
      </c>
      <c r="J2295" s="17" t="s">
        <v>118</v>
      </c>
      <c r="K2295" s="17" t="s">
        <v>609</v>
      </c>
      <c r="L2295" s="17" t="n">
        <v>1</v>
      </c>
      <c r="M2295" s="17" t="s">
        <v>610</v>
      </c>
      <c r="N2295" s="17" t="n">
        <v>1</v>
      </c>
      <c r="O2295" s="17" t="s">
        <v>611</v>
      </c>
      <c r="P2295" s="17" t="n">
        <v>11</v>
      </c>
      <c r="Q2295" s="17" t="s">
        <v>953</v>
      </c>
      <c r="R2295" s="17" t="s">
        <v>35</v>
      </c>
      <c r="S2295" s="17" t="s">
        <v>613</v>
      </c>
      <c r="T2295" s="18" t="s">
        <v>248</v>
      </c>
      <c r="U2295" s="20" t="s">
        <v>122</v>
      </c>
      <c r="V2295" s="17" t="n">
        <v>2</v>
      </c>
      <c r="W2295" s="20" t="s">
        <v>122</v>
      </c>
      <c r="X2295" s="17" t="s">
        <v>118</v>
      </c>
      <c r="Y2295" s="17" t="s">
        <v>609</v>
      </c>
      <c r="Z2295" s="17" t="s">
        <v>1171</v>
      </c>
      <c r="AA2295" s="17" t="s">
        <v>919</v>
      </c>
      <c r="AB2295" s="17" t="s">
        <v>41</v>
      </c>
      <c r="AC2295" s="0" t="str">
        <f aca="false">LEFT(G2295,2)</f>
        <v>88</v>
      </c>
    </row>
    <row r="2296" customFormat="false" ht="15" hidden="false" customHeight="false" outlineLevel="0" collapsed="false">
      <c r="A2296" s="13" t="n">
        <f aca="false">1+A2295</f>
        <v>2294</v>
      </c>
      <c r="B2296" s="14" t="n">
        <v>1009447425</v>
      </c>
      <c r="C2296" s="15" t="s">
        <v>189</v>
      </c>
      <c r="D2296" s="16" t="s">
        <v>64</v>
      </c>
      <c r="E2296" s="17" t="s">
        <v>47</v>
      </c>
      <c r="F2296" s="18" t="s">
        <v>34</v>
      </c>
      <c r="G2296" s="19" t="n">
        <v>879284155469</v>
      </c>
      <c r="H2296" s="17" t="s">
        <v>35</v>
      </c>
      <c r="I2296" s="17" t="s">
        <v>79</v>
      </c>
      <c r="J2296" s="17" t="s">
        <v>267</v>
      </c>
      <c r="K2296" s="17" t="s">
        <v>960</v>
      </c>
      <c r="L2296" s="17" t="n">
        <v>1</v>
      </c>
      <c r="M2296" s="17" t="s">
        <v>610</v>
      </c>
      <c r="N2296" s="17" t="n">
        <v>1</v>
      </c>
      <c r="O2296" s="17" t="s">
        <v>611</v>
      </c>
      <c r="P2296" s="17" t="n">
        <v>11</v>
      </c>
      <c r="Q2296" s="17" t="s">
        <v>953</v>
      </c>
      <c r="R2296" s="17" t="s">
        <v>35</v>
      </c>
      <c r="S2296" s="17" t="s">
        <v>613</v>
      </c>
      <c r="T2296" s="18" t="s">
        <v>248</v>
      </c>
      <c r="U2296" s="20" t="s">
        <v>38</v>
      </c>
      <c r="V2296" s="17" t="n">
        <v>4</v>
      </c>
      <c r="W2296" s="20" t="s">
        <v>38</v>
      </c>
      <c r="X2296" s="17" t="s">
        <v>267</v>
      </c>
      <c r="Y2296" s="17" t="s">
        <v>960</v>
      </c>
      <c r="Z2296" s="17" t="s">
        <v>1172</v>
      </c>
      <c r="AA2296" s="17" t="s">
        <v>919</v>
      </c>
      <c r="AB2296" s="17" t="s">
        <v>41</v>
      </c>
      <c r="AC2296" s="0" t="str">
        <f aca="false">LEFT(G2296,2)</f>
        <v>87</v>
      </c>
    </row>
    <row r="2297" customFormat="false" ht="15" hidden="false" customHeight="false" outlineLevel="0" collapsed="false">
      <c r="A2297" s="13" t="n">
        <f aca="false">1+A2296</f>
        <v>2295</v>
      </c>
      <c r="B2297" s="14" t="n">
        <v>1009662076</v>
      </c>
      <c r="C2297" s="15" t="s">
        <v>433</v>
      </c>
      <c r="D2297" s="16" t="s">
        <v>64</v>
      </c>
      <c r="E2297" s="17" t="s">
        <v>64</v>
      </c>
      <c r="F2297" s="18" t="s">
        <v>34</v>
      </c>
      <c r="G2297" s="19" t="n">
        <v>878348185454</v>
      </c>
      <c r="H2297" s="17" t="s">
        <v>35</v>
      </c>
      <c r="I2297" s="17" t="s">
        <v>79</v>
      </c>
      <c r="J2297" s="17" t="s">
        <v>111</v>
      </c>
      <c r="K2297" s="17" t="s">
        <v>958</v>
      </c>
      <c r="L2297" s="17" t="n">
        <v>2</v>
      </c>
      <c r="M2297" s="17" t="s">
        <v>981</v>
      </c>
      <c r="N2297" s="17" t="n">
        <v>6</v>
      </c>
      <c r="O2297" s="17" t="s">
        <v>982</v>
      </c>
      <c r="P2297" s="17" t="n">
        <v>11</v>
      </c>
      <c r="Q2297" s="17" t="s">
        <v>953</v>
      </c>
      <c r="R2297" s="17" t="s">
        <v>35</v>
      </c>
      <c r="S2297" s="17" t="s">
        <v>613</v>
      </c>
      <c r="T2297" s="18" t="s">
        <v>248</v>
      </c>
      <c r="U2297" s="20" t="s">
        <v>256</v>
      </c>
      <c r="V2297" s="17" t="n">
        <v>1</v>
      </c>
      <c r="W2297" s="20" t="s">
        <v>256</v>
      </c>
      <c r="X2297" s="17" t="s">
        <v>111</v>
      </c>
      <c r="Y2297" s="17" t="s">
        <v>958</v>
      </c>
      <c r="Z2297" s="17" t="s">
        <v>306</v>
      </c>
      <c r="AA2297" s="17" t="s">
        <v>919</v>
      </c>
      <c r="AB2297" s="17" t="s">
        <v>41</v>
      </c>
      <c r="AC2297" s="0" t="str">
        <f aca="false">LEFT(G2297,2)</f>
        <v>87</v>
      </c>
    </row>
    <row r="2298" customFormat="false" ht="15" hidden="false" customHeight="false" outlineLevel="0" collapsed="false">
      <c r="A2298" s="13" t="n">
        <f aca="false">1+A2297</f>
        <v>2296</v>
      </c>
      <c r="B2298" s="14" t="n">
        <v>1009356979</v>
      </c>
      <c r="C2298" s="15" t="s">
        <v>278</v>
      </c>
      <c r="D2298" s="16" t="s">
        <v>64</v>
      </c>
      <c r="E2298" s="17" t="s">
        <v>47</v>
      </c>
      <c r="F2298" s="18" t="s">
        <v>34</v>
      </c>
      <c r="G2298" s="19" t="n">
        <v>879120173213</v>
      </c>
      <c r="H2298" s="17" t="s">
        <v>35</v>
      </c>
      <c r="I2298" s="17" t="s">
        <v>79</v>
      </c>
      <c r="J2298" s="17" t="s">
        <v>287</v>
      </c>
      <c r="K2298" s="17" t="s">
        <v>1006</v>
      </c>
      <c r="L2298" s="17" t="n">
        <v>1</v>
      </c>
      <c r="M2298" s="17" t="s">
        <v>610</v>
      </c>
      <c r="N2298" s="17" t="n">
        <v>1</v>
      </c>
      <c r="O2298" s="17" t="s">
        <v>611</v>
      </c>
      <c r="P2298" s="17" t="n">
        <v>11</v>
      </c>
      <c r="Q2298" s="17" t="s">
        <v>953</v>
      </c>
      <c r="R2298" s="17" t="s">
        <v>35</v>
      </c>
      <c r="S2298" s="17" t="s">
        <v>613</v>
      </c>
      <c r="T2298" s="18" t="s">
        <v>248</v>
      </c>
      <c r="U2298" s="20" t="s">
        <v>256</v>
      </c>
      <c r="V2298" s="17" t="n">
        <v>1</v>
      </c>
      <c r="W2298" s="20" t="s">
        <v>256</v>
      </c>
      <c r="X2298" s="17" t="s">
        <v>287</v>
      </c>
      <c r="Y2298" s="17" t="s">
        <v>1006</v>
      </c>
      <c r="Z2298" s="17" t="s">
        <v>306</v>
      </c>
      <c r="AA2298" s="17" t="s">
        <v>919</v>
      </c>
      <c r="AB2298" s="17" t="s">
        <v>41</v>
      </c>
      <c r="AC2298" s="0" t="str">
        <f aca="false">LEFT(G2298,2)</f>
        <v>87</v>
      </c>
    </row>
    <row r="2299" customFormat="false" ht="15" hidden="false" customHeight="false" outlineLevel="0" collapsed="false">
      <c r="A2299" s="13" t="n">
        <f aca="false">1+A2298</f>
        <v>2297</v>
      </c>
      <c r="B2299" s="14" t="n">
        <v>1009363956</v>
      </c>
      <c r="C2299" s="15" t="s">
        <v>442</v>
      </c>
      <c r="D2299" s="16" t="s">
        <v>64</v>
      </c>
      <c r="E2299" s="17" t="s">
        <v>64</v>
      </c>
      <c r="F2299" s="18" t="s">
        <v>34</v>
      </c>
      <c r="G2299" s="19" t="n">
        <v>879185126288</v>
      </c>
      <c r="H2299" s="17" t="s">
        <v>35</v>
      </c>
      <c r="I2299" s="17" t="s">
        <v>79</v>
      </c>
      <c r="J2299" s="17" t="s">
        <v>287</v>
      </c>
      <c r="K2299" s="17" t="s">
        <v>1006</v>
      </c>
      <c r="L2299" s="17" t="n">
        <v>5</v>
      </c>
      <c r="M2299" s="17" t="s">
        <v>952</v>
      </c>
      <c r="N2299" s="17" t="n">
        <v>1</v>
      </c>
      <c r="O2299" s="17" t="s">
        <v>611</v>
      </c>
      <c r="P2299" s="17" t="n">
        <v>11</v>
      </c>
      <c r="Q2299" s="17" t="s">
        <v>953</v>
      </c>
      <c r="R2299" s="17" t="s">
        <v>35</v>
      </c>
      <c r="S2299" s="17" t="s">
        <v>613</v>
      </c>
      <c r="T2299" s="18" t="s">
        <v>248</v>
      </c>
      <c r="U2299" s="20" t="s">
        <v>256</v>
      </c>
      <c r="V2299" s="17" t="n">
        <v>1</v>
      </c>
      <c r="W2299" s="20" t="s">
        <v>256</v>
      </c>
      <c r="X2299" s="17" t="s">
        <v>287</v>
      </c>
      <c r="Y2299" s="17" t="s">
        <v>1006</v>
      </c>
      <c r="Z2299" s="17" t="s">
        <v>306</v>
      </c>
      <c r="AA2299" s="17" t="s">
        <v>919</v>
      </c>
      <c r="AB2299" s="17" t="s">
        <v>41</v>
      </c>
      <c r="AC2299" s="0" t="str">
        <f aca="false">LEFT(G2299,2)</f>
        <v>87</v>
      </c>
    </row>
    <row r="2300" customFormat="false" ht="15" hidden="false" customHeight="false" outlineLevel="0" collapsed="false">
      <c r="A2300" s="13" t="n">
        <f aca="false">1+A2299</f>
        <v>2298</v>
      </c>
      <c r="B2300" s="14" t="n">
        <v>1009543223</v>
      </c>
      <c r="C2300" s="15" t="s">
        <v>126</v>
      </c>
      <c r="D2300" s="16" t="s">
        <v>64</v>
      </c>
      <c r="E2300" s="17" t="s">
        <v>1114</v>
      </c>
      <c r="F2300" s="18" t="s">
        <v>34</v>
      </c>
      <c r="G2300" s="19" t="n">
        <v>889318321607</v>
      </c>
      <c r="H2300" s="17" t="s">
        <v>35</v>
      </c>
      <c r="I2300" s="17" t="s">
        <v>79</v>
      </c>
      <c r="J2300" s="17" t="s">
        <v>111</v>
      </c>
      <c r="K2300" s="17" t="s">
        <v>958</v>
      </c>
      <c r="L2300" s="17" t="n">
        <v>2</v>
      </c>
      <c r="M2300" s="17" t="s">
        <v>981</v>
      </c>
      <c r="N2300" s="17" t="n">
        <v>6</v>
      </c>
      <c r="O2300" s="17" t="s">
        <v>982</v>
      </c>
      <c r="P2300" s="17" t="n">
        <v>11</v>
      </c>
      <c r="Q2300" s="17" t="s">
        <v>953</v>
      </c>
      <c r="R2300" s="17" t="s">
        <v>35</v>
      </c>
      <c r="S2300" s="17" t="s">
        <v>613</v>
      </c>
      <c r="T2300" s="18" t="s">
        <v>248</v>
      </c>
      <c r="U2300" s="20" t="s">
        <v>256</v>
      </c>
      <c r="V2300" s="17" t="n">
        <v>1</v>
      </c>
      <c r="W2300" s="20" t="s">
        <v>256</v>
      </c>
      <c r="X2300" s="17" t="s">
        <v>111</v>
      </c>
      <c r="Y2300" s="17" t="s">
        <v>958</v>
      </c>
      <c r="Z2300" s="17" t="s">
        <v>306</v>
      </c>
      <c r="AA2300" s="17" t="s">
        <v>919</v>
      </c>
      <c r="AB2300" s="17" t="s">
        <v>41</v>
      </c>
      <c r="AC2300" s="0" t="str">
        <f aca="false">LEFT(G2300,2)</f>
        <v>88</v>
      </c>
    </row>
    <row r="2301" customFormat="false" ht="15" hidden="false" customHeight="false" outlineLevel="0" collapsed="false">
      <c r="A2301" s="13" t="n">
        <f aca="false">1+A2300</f>
        <v>2299</v>
      </c>
      <c r="B2301" s="14" t="n">
        <v>1009617546</v>
      </c>
      <c r="C2301" s="15" t="s">
        <v>184</v>
      </c>
      <c r="D2301" s="16" t="s">
        <v>219</v>
      </c>
      <c r="E2301" s="17" t="s">
        <v>47</v>
      </c>
      <c r="F2301" s="18" t="s">
        <v>34</v>
      </c>
      <c r="G2301" s="19" t="n">
        <v>878349190099</v>
      </c>
      <c r="H2301" s="17" t="s">
        <v>35</v>
      </c>
      <c r="I2301" s="17" t="s">
        <v>79</v>
      </c>
      <c r="J2301" s="17" t="s">
        <v>267</v>
      </c>
      <c r="K2301" s="17" t="s">
        <v>960</v>
      </c>
      <c r="L2301" s="17" t="n">
        <v>5</v>
      </c>
      <c r="M2301" s="17" t="s">
        <v>952</v>
      </c>
      <c r="N2301" s="17" t="n">
        <v>1</v>
      </c>
      <c r="O2301" s="17" t="s">
        <v>611</v>
      </c>
      <c r="P2301" s="17" t="n">
        <v>11</v>
      </c>
      <c r="Q2301" s="17" t="s">
        <v>953</v>
      </c>
      <c r="R2301" s="17" t="s">
        <v>35</v>
      </c>
      <c r="S2301" s="17" t="s">
        <v>613</v>
      </c>
      <c r="T2301" s="18" t="s">
        <v>248</v>
      </c>
      <c r="U2301" s="20" t="s">
        <v>256</v>
      </c>
      <c r="V2301" s="17" t="n">
        <v>1</v>
      </c>
      <c r="W2301" s="20" t="s">
        <v>256</v>
      </c>
      <c r="X2301" s="17" t="s">
        <v>267</v>
      </c>
      <c r="Y2301" s="17" t="s">
        <v>960</v>
      </c>
      <c r="Z2301" s="17" t="s">
        <v>306</v>
      </c>
      <c r="AA2301" s="17" t="s">
        <v>919</v>
      </c>
      <c r="AB2301" s="17" t="s">
        <v>41</v>
      </c>
      <c r="AC2301" s="0" t="str">
        <f aca="false">LEFT(G2301,2)</f>
        <v>87</v>
      </c>
    </row>
    <row r="2302" customFormat="false" ht="15" hidden="false" customHeight="false" outlineLevel="0" collapsed="false">
      <c r="A2302" s="13" t="n">
        <f aca="false">1+A2301</f>
        <v>2300</v>
      </c>
      <c r="B2302" s="14" t="n">
        <v>1009624080</v>
      </c>
      <c r="C2302" s="15" t="s">
        <v>163</v>
      </c>
      <c r="D2302" s="16" t="s">
        <v>1173</v>
      </c>
      <c r="E2302" s="17" t="s">
        <v>33</v>
      </c>
      <c r="F2302" s="18" t="s">
        <v>34</v>
      </c>
      <c r="G2302" s="19" t="n">
        <v>879204136672</v>
      </c>
      <c r="H2302" s="17" t="s">
        <v>35</v>
      </c>
      <c r="I2302" s="17" t="s">
        <v>79</v>
      </c>
      <c r="J2302" s="17" t="s">
        <v>267</v>
      </c>
      <c r="K2302" s="17" t="s">
        <v>960</v>
      </c>
      <c r="L2302" s="17" t="n">
        <v>5</v>
      </c>
      <c r="M2302" s="17" t="s">
        <v>952</v>
      </c>
      <c r="N2302" s="17" t="n">
        <v>24</v>
      </c>
      <c r="O2302" s="17" t="s">
        <v>975</v>
      </c>
      <c r="P2302" s="17" t="n">
        <v>11</v>
      </c>
      <c r="Q2302" s="17" t="s">
        <v>953</v>
      </c>
      <c r="R2302" s="17" t="s">
        <v>35</v>
      </c>
      <c r="S2302" s="17" t="s">
        <v>613</v>
      </c>
      <c r="T2302" s="18" t="s">
        <v>248</v>
      </c>
      <c r="U2302" s="20" t="s">
        <v>122</v>
      </c>
      <c r="V2302" s="17" t="n">
        <v>2</v>
      </c>
      <c r="W2302" s="20" t="s">
        <v>122</v>
      </c>
      <c r="X2302" s="17" t="s">
        <v>267</v>
      </c>
      <c r="Y2302" s="17" t="s">
        <v>960</v>
      </c>
      <c r="Z2302" s="17" t="s">
        <v>1174</v>
      </c>
      <c r="AA2302" s="17" t="s">
        <v>919</v>
      </c>
      <c r="AB2302" s="17" t="s">
        <v>41</v>
      </c>
      <c r="AC2302" s="0" t="str">
        <f aca="false">LEFT(G2302,2)</f>
        <v>87</v>
      </c>
    </row>
    <row r="2303" customFormat="false" ht="15" hidden="false" customHeight="false" outlineLevel="0" collapsed="false">
      <c r="A2303" s="13" t="n">
        <f aca="false">1+A2302</f>
        <v>2301</v>
      </c>
      <c r="B2303" s="14" t="n">
        <v>1009623114</v>
      </c>
      <c r="C2303" s="15" t="s">
        <v>184</v>
      </c>
      <c r="D2303" s="16" t="s">
        <v>64</v>
      </c>
      <c r="E2303" s="17" t="s">
        <v>64</v>
      </c>
      <c r="F2303" s="18" t="s">
        <v>34</v>
      </c>
      <c r="G2303" s="19" t="n">
        <v>889276155070</v>
      </c>
      <c r="H2303" s="17" t="s">
        <v>35</v>
      </c>
      <c r="I2303" s="17" t="s">
        <v>79</v>
      </c>
      <c r="J2303" s="17" t="s">
        <v>118</v>
      </c>
      <c r="K2303" s="17" t="s">
        <v>609</v>
      </c>
      <c r="L2303" s="17" t="n">
        <v>5</v>
      </c>
      <c r="M2303" s="17" t="s">
        <v>952</v>
      </c>
      <c r="N2303" s="17" t="n">
        <v>24</v>
      </c>
      <c r="O2303" s="17" t="s">
        <v>975</v>
      </c>
      <c r="P2303" s="17" t="n">
        <v>11</v>
      </c>
      <c r="Q2303" s="17" t="s">
        <v>953</v>
      </c>
      <c r="R2303" s="17" t="s">
        <v>35</v>
      </c>
      <c r="S2303" s="17" t="s">
        <v>613</v>
      </c>
      <c r="T2303" s="18" t="s">
        <v>248</v>
      </c>
      <c r="U2303" s="20" t="s">
        <v>256</v>
      </c>
      <c r="V2303" s="17" t="n">
        <v>1</v>
      </c>
      <c r="W2303" s="20" t="s">
        <v>256</v>
      </c>
      <c r="X2303" s="17" t="s">
        <v>118</v>
      </c>
      <c r="Y2303" s="17" t="s">
        <v>609</v>
      </c>
      <c r="Z2303" s="17" t="s">
        <v>306</v>
      </c>
      <c r="AA2303" s="17" t="s">
        <v>919</v>
      </c>
      <c r="AB2303" s="17" t="s">
        <v>41</v>
      </c>
      <c r="AC2303" s="0" t="str">
        <f aca="false">LEFT(G2303,2)</f>
        <v>88</v>
      </c>
    </row>
    <row r="2304" customFormat="false" ht="15" hidden="false" customHeight="false" outlineLevel="0" collapsed="false">
      <c r="A2304" s="13" t="n">
        <f aca="false">1+A2303</f>
        <v>2302</v>
      </c>
      <c r="B2304" s="14" t="n">
        <v>1009603365</v>
      </c>
      <c r="C2304" s="15" t="s">
        <v>181</v>
      </c>
      <c r="D2304" s="16" t="s">
        <v>64</v>
      </c>
      <c r="E2304" s="17" t="s">
        <v>64</v>
      </c>
      <c r="F2304" s="18" t="s">
        <v>34</v>
      </c>
      <c r="G2304" s="19" t="n">
        <v>879110182729</v>
      </c>
      <c r="H2304" s="17" t="s">
        <v>35</v>
      </c>
      <c r="I2304" s="17" t="s">
        <v>79</v>
      </c>
      <c r="J2304" s="17" t="s">
        <v>267</v>
      </c>
      <c r="K2304" s="17" t="s">
        <v>960</v>
      </c>
      <c r="L2304" s="17" t="n">
        <v>1</v>
      </c>
      <c r="M2304" s="17" t="s">
        <v>610</v>
      </c>
      <c r="N2304" s="17" t="n">
        <v>1</v>
      </c>
      <c r="O2304" s="17" t="s">
        <v>611</v>
      </c>
      <c r="P2304" s="17" t="n">
        <v>11</v>
      </c>
      <c r="Q2304" s="17" t="s">
        <v>953</v>
      </c>
      <c r="R2304" s="17" t="s">
        <v>35</v>
      </c>
      <c r="S2304" s="17" t="s">
        <v>613</v>
      </c>
      <c r="T2304" s="18" t="s">
        <v>248</v>
      </c>
      <c r="U2304" s="20" t="s">
        <v>38</v>
      </c>
      <c r="V2304" s="17" t="n">
        <v>4</v>
      </c>
      <c r="W2304" s="20" t="s">
        <v>38</v>
      </c>
      <c r="X2304" s="17" t="s">
        <v>267</v>
      </c>
      <c r="Y2304" s="17" t="s">
        <v>960</v>
      </c>
      <c r="Z2304" s="17" t="s">
        <v>302</v>
      </c>
      <c r="AA2304" s="17" t="s">
        <v>919</v>
      </c>
      <c r="AB2304" s="17" t="s">
        <v>41</v>
      </c>
      <c r="AC2304" s="0" t="str">
        <f aca="false">LEFT(G2304,2)</f>
        <v>87</v>
      </c>
    </row>
    <row r="2305" customFormat="false" ht="15" hidden="false" customHeight="false" outlineLevel="0" collapsed="false">
      <c r="A2305" s="13" t="n">
        <f aca="false">1+A2304</f>
        <v>2303</v>
      </c>
      <c r="B2305" s="14" t="n">
        <v>1009603372</v>
      </c>
      <c r="C2305" s="15" t="s">
        <v>181</v>
      </c>
      <c r="D2305" s="16" t="s">
        <v>64</v>
      </c>
      <c r="E2305" s="17" t="s">
        <v>64</v>
      </c>
      <c r="F2305" s="18" t="s">
        <v>34</v>
      </c>
      <c r="G2305" s="19" t="n">
        <v>889310131988</v>
      </c>
      <c r="H2305" s="17" t="s">
        <v>35</v>
      </c>
      <c r="I2305" s="17" t="s">
        <v>79</v>
      </c>
      <c r="J2305" s="17" t="s">
        <v>121</v>
      </c>
      <c r="K2305" s="17" t="s">
        <v>955</v>
      </c>
      <c r="L2305" s="17" t="n">
        <v>2</v>
      </c>
      <c r="M2305" s="17" t="s">
        <v>981</v>
      </c>
      <c r="N2305" s="17" t="n">
        <v>6</v>
      </c>
      <c r="O2305" s="17" t="s">
        <v>982</v>
      </c>
      <c r="P2305" s="17" t="n">
        <v>11</v>
      </c>
      <c r="Q2305" s="17" t="s">
        <v>953</v>
      </c>
      <c r="R2305" s="17" t="s">
        <v>35</v>
      </c>
      <c r="S2305" s="17" t="s">
        <v>613</v>
      </c>
      <c r="T2305" s="18" t="s">
        <v>248</v>
      </c>
      <c r="U2305" s="20" t="s">
        <v>256</v>
      </c>
      <c r="V2305" s="17" t="n">
        <v>1</v>
      </c>
      <c r="W2305" s="20" t="s">
        <v>256</v>
      </c>
      <c r="X2305" s="17" t="s">
        <v>121</v>
      </c>
      <c r="Y2305" s="17" t="s">
        <v>955</v>
      </c>
      <c r="Z2305" s="17" t="s">
        <v>306</v>
      </c>
      <c r="AA2305" s="17" t="s">
        <v>919</v>
      </c>
      <c r="AB2305" s="17" t="s">
        <v>41</v>
      </c>
      <c r="AC2305" s="0" t="str">
        <f aca="false">LEFT(G2305,2)</f>
        <v>88</v>
      </c>
    </row>
    <row r="2306" customFormat="false" ht="15" hidden="false" customHeight="false" outlineLevel="0" collapsed="false">
      <c r="A2306" s="13" t="n">
        <f aca="false">1+A2305</f>
        <v>2304</v>
      </c>
      <c r="B2306" s="14" t="n">
        <v>1009512742</v>
      </c>
      <c r="C2306" s="15" t="s">
        <v>232</v>
      </c>
      <c r="D2306" s="16" t="s">
        <v>64</v>
      </c>
      <c r="E2306" s="17" t="s">
        <v>64</v>
      </c>
      <c r="F2306" s="18" t="s">
        <v>34</v>
      </c>
      <c r="G2306" s="19" t="n">
        <v>300338108578</v>
      </c>
      <c r="H2306" s="17" t="s">
        <v>35</v>
      </c>
      <c r="I2306" s="17" t="s">
        <v>79</v>
      </c>
      <c r="J2306" s="17" t="s">
        <v>241</v>
      </c>
      <c r="K2306" s="17" t="s">
        <v>992</v>
      </c>
      <c r="L2306" s="17" t="n">
        <v>5</v>
      </c>
      <c r="M2306" s="17" t="s">
        <v>952</v>
      </c>
      <c r="N2306" s="17" t="n">
        <v>6</v>
      </c>
      <c r="O2306" s="17" t="s">
        <v>982</v>
      </c>
      <c r="P2306" s="17" t="n">
        <v>11</v>
      </c>
      <c r="Q2306" s="17" t="s">
        <v>953</v>
      </c>
      <c r="R2306" s="17" t="s">
        <v>35</v>
      </c>
      <c r="S2306" s="17" t="s">
        <v>613</v>
      </c>
      <c r="T2306" s="18" t="s">
        <v>248</v>
      </c>
      <c r="U2306" s="20" t="s">
        <v>256</v>
      </c>
      <c r="V2306" s="17" t="n">
        <v>1</v>
      </c>
      <c r="W2306" s="20" t="s">
        <v>256</v>
      </c>
      <c r="X2306" s="17" t="s">
        <v>241</v>
      </c>
      <c r="Y2306" s="17" t="s">
        <v>992</v>
      </c>
      <c r="Z2306" s="17" t="s">
        <v>306</v>
      </c>
      <c r="AA2306" s="17" t="s">
        <v>919</v>
      </c>
      <c r="AB2306" s="17" t="s">
        <v>41</v>
      </c>
      <c r="AC2306" s="0" t="str">
        <f aca="false">LEFT(G2306,2)</f>
        <v>30</v>
      </c>
    </row>
    <row r="2307" customFormat="false" ht="15" hidden="false" customHeight="false" outlineLevel="0" collapsed="false">
      <c r="A2307" s="13" t="n">
        <f aca="false">1+A2306</f>
        <v>2305</v>
      </c>
      <c r="B2307" s="14" t="n">
        <v>1009606220</v>
      </c>
      <c r="C2307" s="15" t="s">
        <v>181</v>
      </c>
      <c r="D2307" s="16" t="s">
        <v>64</v>
      </c>
      <c r="E2307" s="17" t="s">
        <v>64</v>
      </c>
      <c r="F2307" s="18" t="s">
        <v>34</v>
      </c>
      <c r="G2307" s="19" t="n">
        <v>300349318919</v>
      </c>
      <c r="H2307" s="17" t="s">
        <v>35</v>
      </c>
      <c r="I2307" s="17" t="s">
        <v>79</v>
      </c>
      <c r="J2307" s="17" t="s">
        <v>239</v>
      </c>
      <c r="K2307" s="17" t="s">
        <v>951</v>
      </c>
      <c r="L2307" s="17" t="n">
        <v>5</v>
      </c>
      <c r="M2307" s="17" t="s">
        <v>952</v>
      </c>
      <c r="N2307" s="17" t="n">
        <v>1</v>
      </c>
      <c r="O2307" s="17" t="s">
        <v>611</v>
      </c>
      <c r="P2307" s="17" t="n">
        <v>11</v>
      </c>
      <c r="Q2307" s="17" t="s">
        <v>953</v>
      </c>
      <c r="R2307" s="17" t="s">
        <v>35</v>
      </c>
      <c r="S2307" s="17" t="s">
        <v>613</v>
      </c>
      <c r="T2307" s="18" t="s">
        <v>248</v>
      </c>
      <c r="U2307" s="20" t="s">
        <v>256</v>
      </c>
      <c r="V2307" s="17" t="n">
        <v>1</v>
      </c>
      <c r="W2307" s="20" t="s">
        <v>256</v>
      </c>
      <c r="X2307" s="17" t="s">
        <v>239</v>
      </c>
      <c r="Y2307" s="17" t="s">
        <v>951</v>
      </c>
      <c r="Z2307" s="17" t="s">
        <v>306</v>
      </c>
      <c r="AA2307" s="17" t="s">
        <v>919</v>
      </c>
      <c r="AB2307" s="17" t="s">
        <v>41</v>
      </c>
      <c r="AC2307" s="0" t="str">
        <f aca="false">LEFT(G2307,2)</f>
        <v>30</v>
      </c>
    </row>
    <row r="2308" customFormat="false" ht="15" hidden="false" customHeight="false" outlineLevel="0" collapsed="false">
      <c r="A2308" s="13" t="n">
        <f aca="false">1+A2307</f>
        <v>2306</v>
      </c>
      <c r="B2308" s="14" t="n">
        <v>1009620544</v>
      </c>
      <c r="C2308" s="15" t="s">
        <v>184</v>
      </c>
      <c r="D2308" s="16" t="s">
        <v>64</v>
      </c>
      <c r="E2308" s="17" t="s">
        <v>64</v>
      </c>
      <c r="F2308" s="18" t="s">
        <v>34</v>
      </c>
      <c r="G2308" s="19" t="n">
        <v>889345334144</v>
      </c>
      <c r="H2308" s="17" t="s">
        <v>35</v>
      </c>
      <c r="I2308" s="17" t="s">
        <v>79</v>
      </c>
      <c r="J2308" s="17" t="s">
        <v>241</v>
      </c>
      <c r="K2308" s="17" t="s">
        <v>992</v>
      </c>
      <c r="L2308" s="17" t="n">
        <v>5</v>
      </c>
      <c r="M2308" s="17" t="s">
        <v>952</v>
      </c>
      <c r="N2308" s="17" t="n">
        <v>6</v>
      </c>
      <c r="O2308" s="17" t="s">
        <v>982</v>
      </c>
      <c r="P2308" s="17" t="n">
        <v>11</v>
      </c>
      <c r="Q2308" s="17" t="s">
        <v>953</v>
      </c>
      <c r="R2308" s="17" t="s">
        <v>35</v>
      </c>
      <c r="S2308" s="17" t="s">
        <v>613</v>
      </c>
      <c r="T2308" s="18" t="s">
        <v>248</v>
      </c>
      <c r="U2308" s="20" t="s">
        <v>256</v>
      </c>
      <c r="V2308" s="17" t="n">
        <v>1</v>
      </c>
      <c r="W2308" s="20" t="s">
        <v>256</v>
      </c>
      <c r="X2308" s="17" t="s">
        <v>241</v>
      </c>
      <c r="Y2308" s="17" t="s">
        <v>992</v>
      </c>
      <c r="Z2308" s="17" t="s">
        <v>306</v>
      </c>
      <c r="AA2308" s="17" t="s">
        <v>919</v>
      </c>
      <c r="AB2308" s="17" t="s">
        <v>41</v>
      </c>
      <c r="AC2308" s="0" t="str">
        <f aca="false">LEFT(G2308,2)</f>
        <v>88</v>
      </c>
    </row>
    <row r="2309" customFormat="false" ht="15" hidden="false" customHeight="false" outlineLevel="0" collapsed="false">
      <c r="A2309" s="13" t="n">
        <f aca="false">1+A2308</f>
        <v>2307</v>
      </c>
      <c r="B2309" s="14" t="n">
        <v>1009616495</v>
      </c>
      <c r="C2309" s="15" t="s">
        <v>184</v>
      </c>
      <c r="D2309" s="16" t="s">
        <v>138</v>
      </c>
      <c r="E2309" s="17" t="s">
        <v>114</v>
      </c>
      <c r="F2309" s="18" t="s">
        <v>34</v>
      </c>
      <c r="G2309" s="19" t="n">
        <v>879274170361</v>
      </c>
      <c r="H2309" s="17" t="s">
        <v>35</v>
      </c>
      <c r="I2309" s="17" t="s">
        <v>79</v>
      </c>
      <c r="J2309" s="17" t="s">
        <v>289</v>
      </c>
      <c r="K2309" s="17" t="s">
        <v>1067</v>
      </c>
      <c r="L2309" s="17" t="n">
        <v>1</v>
      </c>
      <c r="M2309" s="17" t="s">
        <v>610</v>
      </c>
      <c r="N2309" s="17" t="n">
        <v>1</v>
      </c>
      <c r="O2309" s="17" t="s">
        <v>611</v>
      </c>
      <c r="P2309" s="17" t="n">
        <v>12</v>
      </c>
      <c r="Q2309" s="17" t="s">
        <v>612</v>
      </c>
      <c r="R2309" s="17" t="s">
        <v>35</v>
      </c>
      <c r="S2309" s="17" t="s">
        <v>613</v>
      </c>
      <c r="T2309" s="18" t="s">
        <v>135</v>
      </c>
      <c r="U2309" s="20" t="s">
        <v>101</v>
      </c>
      <c r="V2309" s="17" t="n">
        <v>8</v>
      </c>
      <c r="W2309" s="20" t="s">
        <v>101</v>
      </c>
      <c r="X2309" s="17" t="s">
        <v>289</v>
      </c>
      <c r="Y2309" s="17" t="s">
        <v>1067</v>
      </c>
      <c r="Z2309" s="17" t="s">
        <v>302</v>
      </c>
      <c r="AA2309" s="17" t="s">
        <v>919</v>
      </c>
      <c r="AB2309" s="17" t="s">
        <v>41</v>
      </c>
      <c r="AC2309" s="0" t="str">
        <f aca="false">LEFT(G2309,2)</f>
        <v>87</v>
      </c>
    </row>
    <row r="2310" customFormat="false" ht="15" hidden="false" customHeight="false" outlineLevel="0" collapsed="false">
      <c r="A2310" s="13" t="n">
        <f aca="false">1+A2309</f>
        <v>2308</v>
      </c>
      <c r="B2310" s="14" t="n">
        <v>1009530286</v>
      </c>
      <c r="C2310" s="15" t="s">
        <v>174</v>
      </c>
      <c r="D2310" s="16" t="s">
        <v>64</v>
      </c>
      <c r="E2310" s="17" t="s">
        <v>64</v>
      </c>
      <c r="F2310" s="18" t="s">
        <v>34</v>
      </c>
      <c r="G2310" s="19" t="n">
        <v>879003181978</v>
      </c>
      <c r="H2310" s="17" t="s">
        <v>35</v>
      </c>
      <c r="I2310" s="17" t="s">
        <v>79</v>
      </c>
      <c r="J2310" s="17" t="s">
        <v>118</v>
      </c>
      <c r="K2310" s="17" t="s">
        <v>609</v>
      </c>
      <c r="L2310" s="17" t="n">
        <v>2</v>
      </c>
      <c r="M2310" s="17" t="s">
        <v>981</v>
      </c>
      <c r="N2310" s="17" t="n">
        <v>6</v>
      </c>
      <c r="O2310" s="17" t="s">
        <v>982</v>
      </c>
      <c r="P2310" s="17" t="n">
        <v>11</v>
      </c>
      <c r="Q2310" s="17" t="s">
        <v>953</v>
      </c>
      <c r="R2310" s="17" t="s">
        <v>35</v>
      </c>
      <c r="S2310" s="17" t="s">
        <v>613</v>
      </c>
      <c r="T2310" s="18" t="s">
        <v>248</v>
      </c>
      <c r="U2310" s="20" t="s">
        <v>122</v>
      </c>
      <c r="V2310" s="17" t="n">
        <v>2</v>
      </c>
      <c r="W2310" s="20" t="s">
        <v>122</v>
      </c>
      <c r="X2310" s="17" t="s">
        <v>118</v>
      </c>
      <c r="Y2310" s="17" t="s">
        <v>609</v>
      </c>
      <c r="Z2310" s="17" t="s">
        <v>1175</v>
      </c>
      <c r="AA2310" s="17" t="s">
        <v>919</v>
      </c>
      <c r="AB2310" s="17" t="s">
        <v>41</v>
      </c>
      <c r="AC2310" s="0" t="str">
        <f aca="false">LEFT(G2310,2)</f>
        <v>87</v>
      </c>
    </row>
    <row r="2311" customFormat="false" ht="15" hidden="false" customHeight="false" outlineLevel="0" collapsed="false">
      <c r="A2311" s="13" t="n">
        <f aca="false">1+A2310</f>
        <v>2309</v>
      </c>
      <c r="B2311" s="14" t="n">
        <v>1009606266</v>
      </c>
      <c r="C2311" s="15" t="s">
        <v>181</v>
      </c>
      <c r="D2311" s="16" t="s">
        <v>64</v>
      </c>
      <c r="E2311" s="17" t="s">
        <v>64</v>
      </c>
      <c r="F2311" s="18" t="s">
        <v>34</v>
      </c>
      <c r="G2311" s="19" t="n">
        <v>889263350239</v>
      </c>
      <c r="H2311" s="17" t="s">
        <v>35</v>
      </c>
      <c r="I2311" s="17" t="s">
        <v>79</v>
      </c>
      <c r="J2311" s="17" t="s">
        <v>111</v>
      </c>
      <c r="K2311" s="17" t="s">
        <v>958</v>
      </c>
      <c r="L2311" s="17" t="n">
        <v>7</v>
      </c>
      <c r="M2311" s="17" t="s">
        <v>993</v>
      </c>
      <c r="N2311" s="17" t="n">
        <v>37</v>
      </c>
      <c r="O2311" s="17" t="s">
        <v>1034</v>
      </c>
      <c r="P2311" s="17" t="n">
        <v>11</v>
      </c>
      <c r="Q2311" s="17" t="s">
        <v>953</v>
      </c>
      <c r="R2311" s="17" t="s">
        <v>35</v>
      </c>
      <c r="S2311" s="17" t="s">
        <v>613</v>
      </c>
      <c r="T2311" s="18" t="s">
        <v>248</v>
      </c>
      <c r="U2311" s="20" t="s">
        <v>122</v>
      </c>
      <c r="V2311" s="17" t="n">
        <v>2</v>
      </c>
      <c r="W2311" s="20" t="s">
        <v>122</v>
      </c>
      <c r="X2311" s="17" t="s">
        <v>111</v>
      </c>
      <c r="Y2311" s="17" t="s">
        <v>958</v>
      </c>
      <c r="Z2311" s="17" t="s">
        <v>1176</v>
      </c>
      <c r="AA2311" s="17" t="s">
        <v>919</v>
      </c>
      <c r="AB2311" s="17" t="s">
        <v>41</v>
      </c>
      <c r="AC2311" s="0" t="str">
        <f aca="false">LEFT(G2311,2)</f>
        <v>88</v>
      </c>
    </row>
    <row r="2312" customFormat="false" ht="15" hidden="false" customHeight="false" outlineLevel="0" collapsed="false">
      <c r="A2312" s="13" t="n">
        <f aca="false">1+A2311</f>
        <v>2310</v>
      </c>
      <c r="B2312" s="14" t="n">
        <v>1009628999</v>
      </c>
      <c r="C2312" s="15" t="s">
        <v>229</v>
      </c>
      <c r="D2312" s="16" t="s">
        <v>64</v>
      </c>
      <c r="E2312" s="17" t="s">
        <v>64</v>
      </c>
      <c r="F2312" s="18" t="s">
        <v>34</v>
      </c>
      <c r="G2312" s="19" t="n">
        <v>889321360378</v>
      </c>
      <c r="H2312" s="17" t="s">
        <v>35</v>
      </c>
      <c r="I2312" s="17" t="s">
        <v>79</v>
      </c>
      <c r="J2312" s="17" t="s">
        <v>241</v>
      </c>
      <c r="K2312" s="17" t="s">
        <v>992</v>
      </c>
      <c r="L2312" s="17" t="n">
        <v>5</v>
      </c>
      <c r="M2312" s="17" t="s">
        <v>952</v>
      </c>
      <c r="N2312" s="17" t="n">
        <v>1</v>
      </c>
      <c r="O2312" s="17" t="s">
        <v>611</v>
      </c>
      <c r="P2312" s="17" t="n">
        <v>11</v>
      </c>
      <c r="Q2312" s="17" t="s">
        <v>953</v>
      </c>
      <c r="R2312" s="17" t="s">
        <v>35</v>
      </c>
      <c r="S2312" s="17" t="s">
        <v>613</v>
      </c>
      <c r="T2312" s="18" t="s">
        <v>248</v>
      </c>
      <c r="U2312" s="20" t="s">
        <v>199</v>
      </c>
      <c r="V2312" s="17" t="n">
        <v>3</v>
      </c>
      <c r="W2312" s="20" t="s">
        <v>199</v>
      </c>
      <c r="X2312" s="17" t="s">
        <v>241</v>
      </c>
      <c r="Y2312" s="17" t="s">
        <v>992</v>
      </c>
      <c r="Z2312" s="17" t="s">
        <v>1177</v>
      </c>
      <c r="AA2312" s="17" t="s">
        <v>919</v>
      </c>
      <c r="AB2312" s="17" t="s">
        <v>41</v>
      </c>
      <c r="AC2312" s="0" t="str">
        <f aca="false">LEFT(G2312,2)</f>
        <v>88</v>
      </c>
    </row>
    <row r="2313" customFormat="false" ht="15" hidden="false" customHeight="false" outlineLevel="0" collapsed="false">
      <c r="A2313" s="13" t="n">
        <f aca="false">1+A2312</f>
        <v>2311</v>
      </c>
      <c r="B2313" s="14" t="n">
        <v>1009603377</v>
      </c>
      <c r="C2313" s="15" t="s">
        <v>181</v>
      </c>
      <c r="D2313" s="16" t="s">
        <v>64</v>
      </c>
      <c r="E2313" s="17" t="s">
        <v>64</v>
      </c>
      <c r="F2313" s="18" t="s">
        <v>34</v>
      </c>
      <c r="G2313" s="19" t="n">
        <v>889261142851</v>
      </c>
      <c r="H2313" s="17" t="s">
        <v>35</v>
      </c>
      <c r="I2313" s="17" t="s">
        <v>79</v>
      </c>
      <c r="J2313" s="17" t="s">
        <v>241</v>
      </c>
      <c r="K2313" s="17" t="s">
        <v>992</v>
      </c>
      <c r="L2313" s="17" t="n">
        <v>5</v>
      </c>
      <c r="M2313" s="17" t="s">
        <v>952</v>
      </c>
      <c r="N2313" s="17" t="n">
        <v>1</v>
      </c>
      <c r="O2313" s="17" t="s">
        <v>611</v>
      </c>
      <c r="P2313" s="17" t="n">
        <v>11</v>
      </c>
      <c r="Q2313" s="17" t="s">
        <v>953</v>
      </c>
      <c r="R2313" s="17" t="s">
        <v>35</v>
      </c>
      <c r="S2313" s="17" t="s">
        <v>613</v>
      </c>
      <c r="T2313" s="18" t="s">
        <v>248</v>
      </c>
      <c r="U2313" s="20" t="s">
        <v>122</v>
      </c>
      <c r="V2313" s="17" t="n">
        <v>2</v>
      </c>
      <c r="W2313" s="20" t="s">
        <v>122</v>
      </c>
      <c r="X2313" s="17" t="s">
        <v>241</v>
      </c>
      <c r="Y2313" s="17" t="s">
        <v>992</v>
      </c>
      <c r="Z2313" s="17" t="s">
        <v>306</v>
      </c>
      <c r="AA2313" s="17" t="s">
        <v>919</v>
      </c>
      <c r="AB2313" s="17" t="s">
        <v>41</v>
      </c>
      <c r="AC2313" s="0" t="str">
        <f aca="false">LEFT(G2313,2)</f>
        <v>88</v>
      </c>
    </row>
    <row r="2314" customFormat="false" ht="15" hidden="false" customHeight="false" outlineLevel="0" collapsed="false">
      <c r="A2314" s="13" t="n">
        <f aca="false">1+A2313</f>
        <v>2312</v>
      </c>
      <c r="B2314" s="14" t="n">
        <v>1009651185</v>
      </c>
      <c r="C2314" s="15" t="s">
        <v>204</v>
      </c>
      <c r="D2314" s="16" t="s">
        <v>64</v>
      </c>
      <c r="E2314" s="17" t="s">
        <v>255</v>
      </c>
      <c r="F2314" s="18" t="s">
        <v>34</v>
      </c>
      <c r="G2314" s="19" t="n">
        <v>301037339001</v>
      </c>
      <c r="H2314" s="17" t="s">
        <v>35</v>
      </c>
      <c r="I2314" s="17" t="s">
        <v>79</v>
      </c>
      <c r="J2314" s="17" t="s">
        <v>267</v>
      </c>
      <c r="K2314" s="17" t="s">
        <v>960</v>
      </c>
      <c r="L2314" s="17" t="n">
        <v>5</v>
      </c>
      <c r="M2314" s="17" t="s">
        <v>952</v>
      </c>
      <c r="N2314" s="17" t="n">
        <v>1</v>
      </c>
      <c r="O2314" s="17" t="s">
        <v>611</v>
      </c>
      <c r="P2314" s="17" t="n">
        <v>11</v>
      </c>
      <c r="Q2314" s="17" t="s">
        <v>953</v>
      </c>
      <c r="R2314" s="17" t="s">
        <v>35</v>
      </c>
      <c r="S2314" s="17" t="s">
        <v>613</v>
      </c>
      <c r="T2314" s="18" t="s">
        <v>248</v>
      </c>
      <c r="U2314" s="20" t="s">
        <v>256</v>
      </c>
      <c r="V2314" s="17" t="n">
        <v>1</v>
      </c>
      <c r="W2314" s="20" t="s">
        <v>256</v>
      </c>
      <c r="X2314" s="17" t="s">
        <v>267</v>
      </c>
      <c r="Y2314" s="17" t="s">
        <v>960</v>
      </c>
      <c r="Z2314" s="17" t="s">
        <v>306</v>
      </c>
      <c r="AA2314" s="17" t="s">
        <v>919</v>
      </c>
      <c r="AB2314" s="17" t="s">
        <v>41</v>
      </c>
      <c r="AC2314" s="0" t="str">
        <f aca="false">LEFT(G2314,2)</f>
        <v>30</v>
      </c>
    </row>
    <row r="2315" customFormat="false" ht="15" hidden="false" customHeight="false" outlineLevel="0" collapsed="false">
      <c r="A2315" s="13" t="n">
        <f aca="false">1+A2314</f>
        <v>2313</v>
      </c>
      <c r="B2315" s="14" t="n">
        <v>1009618282</v>
      </c>
      <c r="C2315" s="15" t="s">
        <v>184</v>
      </c>
      <c r="D2315" s="16" t="s">
        <v>64</v>
      </c>
      <c r="E2315" s="17" t="s">
        <v>64</v>
      </c>
      <c r="F2315" s="18" t="s">
        <v>34</v>
      </c>
      <c r="G2315" s="19" t="n">
        <v>879267137542</v>
      </c>
      <c r="H2315" s="17" t="s">
        <v>35</v>
      </c>
      <c r="I2315" s="17" t="s">
        <v>79</v>
      </c>
      <c r="J2315" s="17" t="s">
        <v>289</v>
      </c>
      <c r="K2315" s="17" t="s">
        <v>1067</v>
      </c>
      <c r="L2315" s="17" t="n">
        <v>1</v>
      </c>
      <c r="M2315" s="17" t="s">
        <v>610</v>
      </c>
      <c r="N2315" s="17" t="n">
        <v>1</v>
      </c>
      <c r="O2315" s="17" t="s">
        <v>611</v>
      </c>
      <c r="P2315" s="17" t="n">
        <v>11</v>
      </c>
      <c r="Q2315" s="17" t="s">
        <v>953</v>
      </c>
      <c r="R2315" s="17" t="s">
        <v>35</v>
      </c>
      <c r="S2315" s="17" t="s">
        <v>613</v>
      </c>
      <c r="T2315" s="18" t="s">
        <v>248</v>
      </c>
      <c r="U2315" s="20" t="s">
        <v>38</v>
      </c>
      <c r="V2315" s="17" t="n">
        <v>4</v>
      </c>
      <c r="W2315" s="20" t="s">
        <v>38</v>
      </c>
      <c r="X2315" s="17" t="s">
        <v>289</v>
      </c>
      <c r="Y2315" s="17" t="s">
        <v>1067</v>
      </c>
      <c r="Z2315" s="17" t="s">
        <v>306</v>
      </c>
      <c r="AA2315" s="17" t="s">
        <v>919</v>
      </c>
      <c r="AB2315" s="17" t="s">
        <v>41</v>
      </c>
      <c r="AC2315" s="0" t="str">
        <f aca="false">LEFT(G2315,2)</f>
        <v>87</v>
      </c>
    </row>
    <row r="2316" customFormat="false" ht="15" hidden="false" customHeight="false" outlineLevel="0" collapsed="false">
      <c r="A2316" s="13" t="n">
        <f aca="false">1+A2315</f>
        <v>2314</v>
      </c>
      <c r="B2316" s="14" t="n">
        <v>1009635182</v>
      </c>
      <c r="C2316" s="15" t="s">
        <v>182</v>
      </c>
      <c r="D2316" s="16" t="s">
        <v>64</v>
      </c>
      <c r="E2316" s="17" t="s">
        <v>47</v>
      </c>
      <c r="F2316" s="18" t="s">
        <v>34</v>
      </c>
      <c r="G2316" s="19" t="n">
        <v>878337235500</v>
      </c>
      <c r="H2316" s="17" t="s">
        <v>35</v>
      </c>
      <c r="I2316" s="17" t="s">
        <v>79</v>
      </c>
      <c r="J2316" s="17" t="s">
        <v>121</v>
      </c>
      <c r="K2316" s="17" t="s">
        <v>955</v>
      </c>
      <c r="L2316" s="17" t="n">
        <v>1</v>
      </c>
      <c r="M2316" s="17" t="s">
        <v>610</v>
      </c>
      <c r="N2316" s="17" t="n">
        <v>1</v>
      </c>
      <c r="O2316" s="17" t="s">
        <v>611</v>
      </c>
      <c r="P2316" s="17" t="n">
        <v>11</v>
      </c>
      <c r="Q2316" s="17" t="s">
        <v>953</v>
      </c>
      <c r="R2316" s="17" t="s">
        <v>35</v>
      </c>
      <c r="S2316" s="17" t="s">
        <v>613</v>
      </c>
      <c r="T2316" s="18" t="s">
        <v>248</v>
      </c>
      <c r="U2316" s="20" t="s">
        <v>122</v>
      </c>
      <c r="V2316" s="17" t="n">
        <v>2</v>
      </c>
      <c r="W2316" s="20" t="s">
        <v>122</v>
      </c>
      <c r="X2316" s="17" t="s">
        <v>121</v>
      </c>
      <c r="Y2316" s="17" t="s">
        <v>955</v>
      </c>
      <c r="Z2316" s="17" t="s">
        <v>1178</v>
      </c>
      <c r="AA2316" s="17" t="s">
        <v>919</v>
      </c>
      <c r="AB2316" s="17" t="s">
        <v>41</v>
      </c>
      <c r="AC2316" s="0" t="str">
        <f aca="false">LEFT(G2316,2)</f>
        <v>87</v>
      </c>
    </row>
    <row r="2317" customFormat="false" ht="15" hidden="false" customHeight="false" outlineLevel="0" collapsed="false">
      <c r="A2317" s="13" t="n">
        <f aca="false">1+A2316</f>
        <v>2315</v>
      </c>
      <c r="B2317" s="14" t="n">
        <v>1009608082</v>
      </c>
      <c r="C2317" s="15" t="s">
        <v>181</v>
      </c>
      <c r="D2317" s="16" t="s">
        <v>113</v>
      </c>
      <c r="E2317" s="17" t="s">
        <v>64</v>
      </c>
      <c r="F2317" s="18" t="s">
        <v>34</v>
      </c>
      <c r="G2317" s="19" t="n">
        <v>878230187204</v>
      </c>
      <c r="H2317" s="17" t="s">
        <v>35</v>
      </c>
      <c r="I2317" s="17" t="s">
        <v>79</v>
      </c>
      <c r="J2317" s="17" t="s">
        <v>289</v>
      </c>
      <c r="K2317" s="17" t="s">
        <v>1067</v>
      </c>
      <c r="L2317" s="17" t="n">
        <v>1</v>
      </c>
      <c r="M2317" s="17" t="s">
        <v>610</v>
      </c>
      <c r="N2317" s="17" t="n">
        <v>1</v>
      </c>
      <c r="O2317" s="17" t="s">
        <v>611</v>
      </c>
      <c r="P2317" s="17" t="n">
        <v>11</v>
      </c>
      <c r="Q2317" s="17" t="s">
        <v>953</v>
      </c>
      <c r="R2317" s="17" t="s">
        <v>35</v>
      </c>
      <c r="S2317" s="17" t="s">
        <v>613</v>
      </c>
      <c r="T2317" s="18" t="s">
        <v>248</v>
      </c>
      <c r="U2317" s="20" t="s">
        <v>122</v>
      </c>
      <c r="V2317" s="17" t="n">
        <v>2</v>
      </c>
      <c r="W2317" s="20" t="s">
        <v>122</v>
      </c>
      <c r="X2317" s="17" t="s">
        <v>289</v>
      </c>
      <c r="Y2317" s="17" t="s">
        <v>1067</v>
      </c>
      <c r="Z2317" s="17" t="s">
        <v>783</v>
      </c>
      <c r="AA2317" s="17" t="s">
        <v>919</v>
      </c>
      <c r="AB2317" s="17" t="s">
        <v>41</v>
      </c>
      <c r="AC2317" s="0" t="str">
        <f aca="false">LEFT(G2317,2)</f>
        <v>87</v>
      </c>
    </row>
    <row r="2318" customFormat="false" ht="15" hidden="false" customHeight="false" outlineLevel="0" collapsed="false">
      <c r="A2318" s="13" t="n">
        <f aca="false">1+A2317</f>
        <v>2316</v>
      </c>
      <c r="B2318" s="14" t="n">
        <v>1009603374</v>
      </c>
      <c r="C2318" s="15" t="s">
        <v>181</v>
      </c>
      <c r="D2318" s="16" t="s">
        <v>64</v>
      </c>
      <c r="E2318" s="17" t="s">
        <v>64</v>
      </c>
      <c r="F2318" s="18" t="s">
        <v>34</v>
      </c>
      <c r="G2318" s="19" t="n">
        <v>879277204423</v>
      </c>
      <c r="H2318" s="17" t="s">
        <v>35</v>
      </c>
      <c r="I2318" s="17" t="s">
        <v>79</v>
      </c>
      <c r="J2318" s="17" t="s">
        <v>100</v>
      </c>
      <c r="K2318" s="17" t="s">
        <v>978</v>
      </c>
      <c r="L2318" s="17" t="n">
        <v>5</v>
      </c>
      <c r="M2318" s="17" t="s">
        <v>952</v>
      </c>
      <c r="N2318" s="17" t="n">
        <v>1</v>
      </c>
      <c r="O2318" s="17" t="s">
        <v>611</v>
      </c>
      <c r="P2318" s="17" t="n">
        <v>11</v>
      </c>
      <c r="Q2318" s="17" t="s">
        <v>953</v>
      </c>
      <c r="R2318" s="17" t="s">
        <v>35</v>
      </c>
      <c r="S2318" s="17" t="s">
        <v>613</v>
      </c>
      <c r="T2318" s="18" t="s">
        <v>248</v>
      </c>
      <c r="U2318" s="20" t="s">
        <v>256</v>
      </c>
      <c r="V2318" s="17" t="n">
        <v>1</v>
      </c>
      <c r="W2318" s="20" t="s">
        <v>256</v>
      </c>
      <c r="X2318" s="17" t="s">
        <v>100</v>
      </c>
      <c r="Y2318" s="17" t="s">
        <v>978</v>
      </c>
      <c r="Z2318" s="17" t="s">
        <v>1178</v>
      </c>
      <c r="AA2318" s="17" t="s">
        <v>919</v>
      </c>
      <c r="AB2318" s="17" t="s">
        <v>41</v>
      </c>
      <c r="AC2318" s="0" t="str">
        <f aca="false">LEFT(G2318,2)</f>
        <v>87</v>
      </c>
    </row>
    <row r="2319" customFormat="false" ht="15" hidden="false" customHeight="false" outlineLevel="0" collapsed="false">
      <c r="A2319" s="13" t="n">
        <f aca="false">1+A2318</f>
        <v>2317</v>
      </c>
      <c r="B2319" s="14" t="n">
        <v>1009614878</v>
      </c>
      <c r="C2319" s="15" t="s">
        <v>184</v>
      </c>
      <c r="D2319" s="16" t="s">
        <v>64</v>
      </c>
      <c r="E2319" s="17" t="s">
        <v>47</v>
      </c>
      <c r="F2319" s="18" t="s">
        <v>34</v>
      </c>
      <c r="G2319" s="19" t="n">
        <v>879176222112</v>
      </c>
      <c r="H2319" s="17" t="s">
        <v>35</v>
      </c>
      <c r="I2319" s="17" t="s">
        <v>79</v>
      </c>
      <c r="J2319" s="17" t="s">
        <v>118</v>
      </c>
      <c r="K2319" s="17" t="s">
        <v>609</v>
      </c>
      <c r="L2319" s="17" t="n">
        <v>1</v>
      </c>
      <c r="M2319" s="17" t="s">
        <v>610</v>
      </c>
      <c r="N2319" s="17" t="n">
        <v>1</v>
      </c>
      <c r="O2319" s="17" t="s">
        <v>611</v>
      </c>
      <c r="P2319" s="17" t="n">
        <v>11</v>
      </c>
      <c r="Q2319" s="17" t="s">
        <v>953</v>
      </c>
      <c r="R2319" s="17" t="s">
        <v>35</v>
      </c>
      <c r="S2319" s="17" t="s">
        <v>613</v>
      </c>
      <c r="T2319" s="18" t="s">
        <v>248</v>
      </c>
      <c r="U2319" s="20" t="s">
        <v>122</v>
      </c>
      <c r="V2319" s="17" t="n">
        <v>2</v>
      </c>
      <c r="W2319" s="20" t="s">
        <v>122</v>
      </c>
      <c r="X2319" s="17" t="s">
        <v>118</v>
      </c>
      <c r="Y2319" s="17" t="s">
        <v>609</v>
      </c>
      <c r="Z2319" s="17" t="s">
        <v>1178</v>
      </c>
      <c r="AA2319" s="17" t="s">
        <v>919</v>
      </c>
      <c r="AB2319" s="17" t="s">
        <v>41</v>
      </c>
      <c r="AC2319" s="0" t="str">
        <f aca="false">LEFT(G2319,2)</f>
        <v>87</v>
      </c>
    </row>
    <row r="2320" customFormat="false" ht="15" hidden="false" customHeight="false" outlineLevel="0" collapsed="false">
      <c r="A2320" s="13" t="n">
        <f aca="false">1+A2319</f>
        <v>2318</v>
      </c>
      <c r="B2320" s="14" t="n">
        <v>1009610909</v>
      </c>
      <c r="C2320" s="15" t="s">
        <v>181</v>
      </c>
      <c r="D2320" s="16" t="s">
        <v>119</v>
      </c>
      <c r="E2320" s="17" t="s">
        <v>47</v>
      </c>
      <c r="F2320" s="18" t="s">
        <v>34</v>
      </c>
      <c r="G2320" s="19" t="n">
        <v>878217129146</v>
      </c>
      <c r="H2320" s="17" t="s">
        <v>35</v>
      </c>
      <c r="I2320" s="17" t="s">
        <v>79</v>
      </c>
      <c r="J2320" s="17" t="s">
        <v>239</v>
      </c>
      <c r="K2320" s="17" t="s">
        <v>951</v>
      </c>
      <c r="L2320" s="17" t="n">
        <v>5</v>
      </c>
      <c r="M2320" s="17" t="s">
        <v>952</v>
      </c>
      <c r="N2320" s="17" t="n">
        <v>1</v>
      </c>
      <c r="O2320" s="17" t="s">
        <v>611</v>
      </c>
      <c r="P2320" s="17" t="n">
        <v>11</v>
      </c>
      <c r="Q2320" s="17" t="s">
        <v>953</v>
      </c>
      <c r="R2320" s="17" t="s">
        <v>35</v>
      </c>
      <c r="S2320" s="17" t="s">
        <v>613</v>
      </c>
      <c r="T2320" s="18" t="s">
        <v>248</v>
      </c>
      <c r="U2320" s="20" t="s">
        <v>122</v>
      </c>
      <c r="V2320" s="17" t="n">
        <v>2</v>
      </c>
      <c r="W2320" s="20" t="s">
        <v>122</v>
      </c>
      <c r="X2320" s="17" t="s">
        <v>239</v>
      </c>
      <c r="Y2320" s="17" t="s">
        <v>951</v>
      </c>
      <c r="Z2320" s="17" t="s">
        <v>1179</v>
      </c>
      <c r="AA2320" s="17" t="s">
        <v>919</v>
      </c>
      <c r="AB2320" s="17" t="s">
        <v>41</v>
      </c>
      <c r="AC2320" s="0" t="str">
        <f aca="false">LEFT(G2320,2)</f>
        <v>87</v>
      </c>
    </row>
    <row r="2321" customFormat="false" ht="15" hidden="false" customHeight="false" outlineLevel="0" collapsed="false">
      <c r="A2321" s="13" t="n">
        <f aca="false">1+A2320</f>
        <v>2319</v>
      </c>
      <c r="B2321" s="14" t="n">
        <v>1009512752</v>
      </c>
      <c r="C2321" s="15" t="s">
        <v>232</v>
      </c>
      <c r="D2321" s="16" t="s">
        <v>542</v>
      </c>
      <c r="E2321" s="17" t="s">
        <v>543</v>
      </c>
      <c r="F2321" s="18" t="s">
        <v>34</v>
      </c>
      <c r="G2321" s="19" t="n">
        <v>878347152489</v>
      </c>
      <c r="H2321" s="17" t="s">
        <v>35</v>
      </c>
      <c r="I2321" s="17" t="s">
        <v>79</v>
      </c>
      <c r="J2321" s="17" t="s">
        <v>111</v>
      </c>
      <c r="K2321" s="17" t="s">
        <v>958</v>
      </c>
      <c r="L2321" s="17" t="n">
        <v>1</v>
      </c>
      <c r="M2321" s="17" t="s">
        <v>610</v>
      </c>
      <c r="N2321" s="17" t="n">
        <v>1</v>
      </c>
      <c r="O2321" s="17" t="s">
        <v>611</v>
      </c>
      <c r="P2321" s="17" t="n">
        <v>11</v>
      </c>
      <c r="Q2321" s="17" t="s">
        <v>953</v>
      </c>
      <c r="R2321" s="17" t="s">
        <v>35</v>
      </c>
      <c r="S2321" s="17" t="s">
        <v>613</v>
      </c>
      <c r="T2321" s="18" t="s">
        <v>248</v>
      </c>
      <c r="U2321" s="20" t="s">
        <v>122</v>
      </c>
      <c r="V2321" s="17" t="n">
        <v>2</v>
      </c>
      <c r="W2321" s="20" t="s">
        <v>122</v>
      </c>
      <c r="X2321" s="17" t="s">
        <v>111</v>
      </c>
      <c r="Y2321" s="17" t="s">
        <v>958</v>
      </c>
      <c r="Z2321" s="17" t="s">
        <v>1180</v>
      </c>
      <c r="AA2321" s="17" t="s">
        <v>919</v>
      </c>
      <c r="AB2321" s="17" t="s">
        <v>41</v>
      </c>
      <c r="AC2321" s="0" t="str">
        <f aca="false">LEFT(G2321,2)</f>
        <v>87</v>
      </c>
    </row>
    <row r="2322" customFormat="false" ht="15" hidden="false" customHeight="false" outlineLevel="0" collapsed="false">
      <c r="A2322" s="13" t="n">
        <f aca="false">1+A2321</f>
        <v>2320</v>
      </c>
      <c r="B2322" s="14" t="n">
        <v>1009618277</v>
      </c>
      <c r="C2322" s="15" t="s">
        <v>184</v>
      </c>
      <c r="D2322" s="16" t="s">
        <v>1181</v>
      </c>
      <c r="E2322" s="17" t="s">
        <v>47</v>
      </c>
      <c r="F2322" s="18" t="s">
        <v>34</v>
      </c>
      <c r="G2322" s="19" t="n">
        <v>300341367484</v>
      </c>
      <c r="H2322" s="17" t="s">
        <v>35</v>
      </c>
      <c r="I2322" s="17" t="s">
        <v>79</v>
      </c>
      <c r="J2322" s="17" t="s">
        <v>241</v>
      </c>
      <c r="K2322" s="17" t="s">
        <v>992</v>
      </c>
      <c r="L2322" s="17" t="n">
        <v>5</v>
      </c>
      <c r="M2322" s="17" t="s">
        <v>952</v>
      </c>
      <c r="N2322" s="17" t="n">
        <v>1</v>
      </c>
      <c r="O2322" s="17" t="s">
        <v>611</v>
      </c>
      <c r="P2322" s="17" t="n">
        <v>11</v>
      </c>
      <c r="Q2322" s="17" t="s">
        <v>953</v>
      </c>
      <c r="R2322" s="17" t="s">
        <v>35</v>
      </c>
      <c r="S2322" s="17" t="s">
        <v>613</v>
      </c>
      <c r="T2322" s="18" t="s">
        <v>248</v>
      </c>
      <c r="U2322" s="20" t="s">
        <v>256</v>
      </c>
      <c r="V2322" s="17" t="n">
        <v>1</v>
      </c>
      <c r="W2322" s="20" t="s">
        <v>256</v>
      </c>
      <c r="X2322" s="17" t="s">
        <v>241</v>
      </c>
      <c r="Y2322" s="17" t="s">
        <v>992</v>
      </c>
      <c r="Z2322" s="17" t="s">
        <v>306</v>
      </c>
      <c r="AA2322" s="17" t="s">
        <v>919</v>
      </c>
      <c r="AB2322" s="17" t="s">
        <v>41</v>
      </c>
      <c r="AC2322" s="0" t="str">
        <f aca="false">LEFT(G2322,2)</f>
        <v>30</v>
      </c>
    </row>
    <row r="2323" customFormat="false" ht="15" hidden="false" customHeight="false" outlineLevel="0" collapsed="false">
      <c r="A2323" s="13" t="n">
        <f aca="false">1+A2322</f>
        <v>2321</v>
      </c>
      <c r="B2323" s="14" t="n">
        <v>1009558789</v>
      </c>
      <c r="C2323" s="15" t="s">
        <v>192</v>
      </c>
      <c r="D2323" s="16" t="s">
        <v>64</v>
      </c>
      <c r="E2323" s="17" t="s">
        <v>64</v>
      </c>
      <c r="F2323" s="18" t="s">
        <v>34</v>
      </c>
      <c r="G2323" s="19" t="n">
        <v>889345354480</v>
      </c>
      <c r="H2323" s="17" t="s">
        <v>35</v>
      </c>
      <c r="I2323" s="17" t="s">
        <v>79</v>
      </c>
      <c r="J2323" s="17" t="s">
        <v>118</v>
      </c>
      <c r="K2323" s="17" t="s">
        <v>609</v>
      </c>
      <c r="L2323" s="17" t="n">
        <v>2</v>
      </c>
      <c r="M2323" s="17" t="s">
        <v>981</v>
      </c>
      <c r="N2323" s="17" t="n">
        <v>6</v>
      </c>
      <c r="O2323" s="17" t="s">
        <v>982</v>
      </c>
      <c r="P2323" s="17" t="n">
        <v>11</v>
      </c>
      <c r="Q2323" s="17" t="s">
        <v>953</v>
      </c>
      <c r="R2323" s="17" t="s">
        <v>35</v>
      </c>
      <c r="S2323" s="17" t="s">
        <v>613</v>
      </c>
      <c r="T2323" s="18" t="s">
        <v>248</v>
      </c>
      <c r="U2323" s="20" t="s">
        <v>256</v>
      </c>
      <c r="V2323" s="17" t="n">
        <v>1</v>
      </c>
      <c r="W2323" s="20" t="s">
        <v>256</v>
      </c>
      <c r="X2323" s="17" t="s">
        <v>118</v>
      </c>
      <c r="Y2323" s="17" t="s">
        <v>609</v>
      </c>
      <c r="Z2323" s="17" t="s">
        <v>306</v>
      </c>
      <c r="AA2323" s="17" t="s">
        <v>919</v>
      </c>
      <c r="AB2323" s="17" t="s">
        <v>41</v>
      </c>
      <c r="AC2323" s="0" t="str">
        <f aca="false">LEFT(G2323,2)</f>
        <v>88</v>
      </c>
    </row>
    <row r="2324" customFormat="false" ht="15" hidden="false" customHeight="false" outlineLevel="0" collapsed="false">
      <c r="A2324" s="13" t="n">
        <f aca="false">1+A2323</f>
        <v>2322</v>
      </c>
      <c r="B2324" s="14" t="n">
        <v>1009665689</v>
      </c>
      <c r="C2324" s="15" t="s">
        <v>436</v>
      </c>
      <c r="D2324" s="16" t="s">
        <v>108</v>
      </c>
      <c r="E2324" s="17" t="s">
        <v>33</v>
      </c>
      <c r="F2324" s="18" t="s">
        <v>34</v>
      </c>
      <c r="G2324" s="19" t="n">
        <v>889244360737</v>
      </c>
      <c r="H2324" s="17" t="s">
        <v>35</v>
      </c>
      <c r="I2324" s="17" t="s">
        <v>79</v>
      </c>
      <c r="J2324" s="17" t="s">
        <v>241</v>
      </c>
      <c r="K2324" s="17" t="s">
        <v>992</v>
      </c>
      <c r="L2324" s="17" t="n">
        <v>5</v>
      </c>
      <c r="M2324" s="17" t="s">
        <v>952</v>
      </c>
      <c r="N2324" s="17" t="n">
        <v>1</v>
      </c>
      <c r="O2324" s="17" t="s">
        <v>611</v>
      </c>
      <c r="P2324" s="17" t="n">
        <v>11</v>
      </c>
      <c r="Q2324" s="17" t="s">
        <v>953</v>
      </c>
      <c r="R2324" s="17" t="s">
        <v>35</v>
      </c>
      <c r="S2324" s="17" t="s">
        <v>613</v>
      </c>
      <c r="T2324" s="18" t="s">
        <v>248</v>
      </c>
      <c r="U2324" s="20" t="s">
        <v>256</v>
      </c>
      <c r="V2324" s="17" t="n">
        <v>1</v>
      </c>
      <c r="W2324" s="20" t="s">
        <v>256</v>
      </c>
      <c r="X2324" s="17" t="s">
        <v>241</v>
      </c>
      <c r="Y2324" s="17" t="s">
        <v>992</v>
      </c>
      <c r="Z2324" s="17" t="s">
        <v>306</v>
      </c>
      <c r="AA2324" s="17" t="s">
        <v>919</v>
      </c>
      <c r="AB2324" s="17" t="s">
        <v>41</v>
      </c>
      <c r="AC2324" s="0" t="str">
        <f aca="false">LEFT(G2324,2)</f>
        <v>88</v>
      </c>
    </row>
    <row r="2325" customFormat="false" ht="15" hidden="false" customHeight="false" outlineLevel="0" collapsed="false">
      <c r="A2325" s="13" t="n">
        <f aca="false">1+A2324</f>
        <v>2323</v>
      </c>
      <c r="B2325" s="14" t="n">
        <v>1009537828</v>
      </c>
      <c r="C2325" s="15" t="s">
        <v>311</v>
      </c>
      <c r="D2325" s="16" t="s">
        <v>64</v>
      </c>
      <c r="E2325" s="17" t="s">
        <v>47</v>
      </c>
      <c r="F2325" s="18" t="s">
        <v>34</v>
      </c>
      <c r="G2325" s="19" t="n">
        <v>878230139189</v>
      </c>
      <c r="H2325" s="17" t="s">
        <v>35</v>
      </c>
      <c r="I2325" s="17" t="s">
        <v>79</v>
      </c>
      <c r="J2325" s="17" t="s">
        <v>111</v>
      </c>
      <c r="K2325" s="17" t="s">
        <v>958</v>
      </c>
      <c r="L2325" s="17" t="n">
        <v>1</v>
      </c>
      <c r="M2325" s="17" t="s">
        <v>610</v>
      </c>
      <c r="N2325" s="17" t="n">
        <v>1</v>
      </c>
      <c r="O2325" s="17" t="s">
        <v>611</v>
      </c>
      <c r="P2325" s="17" t="n">
        <v>11</v>
      </c>
      <c r="Q2325" s="17" t="s">
        <v>953</v>
      </c>
      <c r="R2325" s="17" t="s">
        <v>35</v>
      </c>
      <c r="S2325" s="17" t="s">
        <v>613</v>
      </c>
      <c r="T2325" s="18" t="s">
        <v>248</v>
      </c>
      <c r="U2325" s="20" t="s">
        <v>122</v>
      </c>
      <c r="V2325" s="17" t="n">
        <v>2</v>
      </c>
      <c r="W2325" s="20" t="s">
        <v>122</v>
      </c>
      <c r="X2325" s="17" t="s">
        <v>111</v>
      </c>
      <c r="Y2325" s="17" t="s">
        <v>958</v>
      </c>
      <c r="Z2325" s="17" t="s">
        <v>306</v>
      </c>
      <c r="AA2325" s="17" t="s">
        <v>919</v>
      </c>
      <c r="AB2325" s="17" t="s">
        <v>41</v>
      </c>
      <c r="AC2325" s="0" t="str">
        <f aca="false">LEFT(G2325,2)</f>
        <v>87</v>
      </c>
    </row>
    <row r="2326" customFormat="false" ht="15" hidden="false" customHeight="false" outlineLevel="0" collapsed="false">
      <c r="A2326" s="13" t="n">
        <f aca="false">1+A2325</f>
        <v>2324</v>
      </c>
      <c r="B2326" s="14" t="n">
        <v>1009611250</v>
      </c>
      <c r="C2326" s="15" t="s">
        <v>181</v>
      </c>
      <c r="D2326" s="16" t="s">
        <v>113</v>
      </c>
      <c r="E2326" s="17" t="s">
        <v>64</v>
      </c>
      <c r="F2326" s="18" t="s">
        <v>34</v>
      </c>
      <c r="G2326" s="19" t="n">
        <v>879312148940</v>
      </c>
      <c r="H2326" s="17" t="s">
        <v>35</v>
      </c>
      <c r="I2326" s="17" t="s">
        <v>79</v>
      </c>
      <c r="J2326" s="17" t="s">
        <v>100</v>
      </c>
      <c r="K2326" s="17" t="s">
        <v>978</v>
      </c>
      <c r="L2326" s="17" t="n">
        <v>1</v>
      </c>
      <c r="M2326" s="17" t="s">
        <v>610</v>
      </c>
      <c r="N2326" s="17" t="n">
        <v>1</v>
      </c>
      <c r="O2326" s="17" t="s">
        <v>611</v>
      </c>
      <c r="P2326" s="17" t="n">
        <v>11</v>
      </c>
      <c r="Q2326" s="17" t="s">
        <v>953</v>
      </c>
      <c r="R2326" s="17" t="s">
        <v>35</v>
      </c>
      <c r="S2326" s="17" t="s">
        <v>613</v>
      </c>
      <c r="T2326" s="18" t="s">
        <v>248</v>
      </c>
      <c r="U2326" s="20" t="s">
        <v>122</v>
      </c>
      <c r="V2326" s="17" t="n">
        <v>2</v>
      </c>
      <c r="W2326" s="20" t="s">
        <v>122</v>
      </c>
      <c r="X2326" s="17" t="s">
        <v>100</v>
      </c>
      <c r="Y2326" s="17" t="s">
        <v>978</v>
      </c>
      <c r="Z2326" s="17" t="s">
        <v>1178</v>
      </c>
      <c r="AA2326" s="17" t="s">
        <v>919</v>
      </c>
      <c r="AB2326" s="17" t="s">
        <v>41</v>
      </c>
      <c r="AC2326" s="0" t="str">
        <f aca="false">LEFT(G2326,2)</f>
        <v>87</v>
      </c>
    </row>
    <row r="2327" customFormat="false" ht="15" hidden="false" customHeight="false" outlineLevel="0" collapsed="false">
      <c r="A2327" s="13" t="n">
        <f aca="false">1+A2326</f>
        <v>2325</v>
      </c>
      <c r="B2327" s="14" t="n">
        <v>1009447430</v>
      </c>
      <c r="C2327" s="15" t="s">
        <v>189</v>
      </c>
      <c r="D2327" s="16" t="s">
        <v>64</v>
      </c>
      <c r="E2327" s="17" t="s">
        <v>234</v>
      </c>
      <c r="F2327" s="18" t="s">
        <v>34</v>
      </c>
      <c r="G2327" s="19" t="n">
        <v>879119146717</v>
      </c>
      <c r="H2327" s="17" t="s">
        <v>35</v>
      </c>
      <c r="I2327" s="17" t="s">
        <v>79</v>
      </c>
      <c r="J2327" s="17" t="s">
        <v>100</v>
      </c>
      <c r="K2327" s="17" t="s">
        <v>978</v>
      </c>
      <c r="L2327" s="17" t="n">
        <v>5</v>
      </c>
      <c r="M2327" s="17" t="s">
        <v>952</v>
      </c>
      <c r="N2327" s="17" t="n">
        <v>1</v>
      </c>
      <c r="O2327" s="17" t="s">
        <v>611</v>
      </c>
      <c r="P2327" s="17" t="n">
        <v>11</v>
      </c>
      <c r="Q2327" s="17" t="s">
        <v>953</v>
      </c>
      <c r="R2327" s="17" t="s">
        <v>35</v>
      </c>
      <c r="S2327" s="17" t="s">
        <v>613</v>
      </c>
      <c r="T2327" s="18" t="s">
        <v>248</v>
      </c>
      <c r="U2327" s="20" t="s">
        <v>122</v>
      </c>
      <c r="V2327" s="17" t="n">
        <v>2</v>
      </c>
      <c r="W2327" s="20" t="s">
        <v>122</v>
      </c>
      <c r="X2327" s="17" t="s">
        <v>100</v>
      </c>
      <c r="Y2327" s="17" t="s">
        <v>978</v>
      </c>
      <c r="Z2327" s="17" t="s">
        <v>1182</v>
      </c>
      <c r="AA2327" s="17" t="s">
        <v>919</v>
      </c>
      <c r="AB2327" s="17" t="s">
        <v>41</v>
      </c>
      <c r="AC2327" s="0" t="str">
        <f aca="false">LEFT(G2327,2)</f>
        <v>87</v>
      </c>
    </row>
    <row r="2328" customFormat="false" ht="15" hidden="false" customHeight="false" outlineLevel="0" collapsed="false">
      <c r="A2328" s="13" t="n">
        <f aca="false">1+A2327</f>
        <v>2326</v>
      </c>
      <c r="B2328" s="14" t="n">
        <v>1009599738</v>
      </c>
      <c r="C2328" s="15" t="s">
        <v>159</v>
      </c>
      <c r="D2328" s="16" t="s">
        <v>64</v>
      </c>
      <c r="E2328" s="17" t="s">
        <v>64</v>
      </c>
      <c r="F2328" s="18" t="s">
        <v>34</v>
      </c>
      <c r="G2328" s="19" t="n">
        <v>889295109157</v>
      </c>
      <c r="H2328" s="17" t="s">
        <v>35</v>
      </c>
      <c r="I2328" s="17" t="s">
        <v>79</v>
      </c>
      <c r="J2328" s="17" t="s">
        <v>100</v>
      </c>
      <c r="K2328" s="17" t="s">
        <v>978</v>
      </c>
      <c r="L2328" s="17" t="n">
        <v>5</v>
      </c>
      <c r="M2328" s="17" t="s">
        <v>952</v>
      </c>
      <c r="N2328" s="17" t="n">
        <v>1</v>
      </c>
      <c r="O2328" s="17" t="s">
        <v>611</v>
      </c>
      <c r="P2328" s="17" t="n">
        <v>11</v>
      </c>
      <c r="Q2328" s="17" t="s">
        <v>953</v>
      </c>
      <c r="R2328" s="17" t="s">
        <v>35</v>
      </c>
      <c r="S2328" s="17" t="s">
        <v>613</v>
      </c>
      <c r="T2328" s="18" t="s">
        <v>248</v>
      </c>
      <c r="U2328" s="20" t="s">
        <v>256</v>
      </c>
      <c r="V2328" s="17" t="n">
        <v>1</v>
      </c>
      <c r="W2328" s="20" t="s">
        <v>256</v>
      </c>
      <c r="X2328" s="17" t="s">
        <v>100</v>
      </c>
      <c r="Y2328" s="17" t="s">
        <v>978</v>
      </c>
      <c r="Z2328" s="17" t="s">
        <v>306</v>
      </c>
      <c r="AA2328" s="17" t="s">
        <v>919</v>
      </c>
      <c r="AB2328" s="17" t="s">
        <v>41</v>
      </c>
      <c r="AC2328" s="0" t="str">
        <f aca="false">LEFT(G2328,2)</f>
        <v>88</v>
      </c>
    </row>
    <row r="2329" customFormat="false" ht="15" hidden="false" customHeight="false" outlineLevel="0" collapsed="false">
      <c r="A2329" s="13" t="n">
        <f aca="false">1+A2328</f>
        <v>2327</v>
      </c>
      <c r="B2329" s="14" t="n">
        <v>1009213890</v>
      </c>
      <c r="C2329" s="15" t="s">
        <v>83</v>
      </c>
      <c r="D2329" s="16" t="s">
        <v>108</v>
      </c>
      <c r="E2329" s="17" t="s">
        <v>234</v>
      </c>
      <c r="F2329" s="18" t="s">
        <v>34</v>
      </c>
      <c r="G2329" s="19" t="n">
        <v>879142196671</v>
      </c>
      <c r="H2329" s="17" t="s">
        <v>35</v>
      </c>
      <c r="I2329" s="17" t="s">
        <v>79</v>
      </c>
      <c r="J2329" s="17" t="s">
        <v>106</v>
      </c>
      <c r="K2329" s="17" t="s">
        <v>1144</v>
      </c>
      <c r="L2329" s="17" t="n">
        <v>5</v>
      </c>
      <c r="M2329" s="17" t="s">
        <v>952</v>
      </c>
      <c r="N2329" s="17" t="n">
        <v>37</v>
      </c>
      <c r="O2329" s="17" t="s">
        <v>1034</v>
      </c>
      <c r="P2329" s="17" t="n">
        <v>11</v>
      </c>
      <c r="Q2329" s="17" t="s">
        <v>953</v>
      </c>
      <c r="R2329" s="17" t="s">
        <v>35</v>
      </c>
      <c r="S2329" s="17" t="s">
        <v>613</v>
      </c>
      <c r="T2329" s="18" t="s">
        <v>248</v>
      </c>
      <c r="U2329" s="20" t="s">
        <v>122</v>
      </c>
      <c r="V2329" s="17" t="n">
        <v>2</v>
      </c>
      <c r="W2329" s="20" t="s">
        <v>122</v>
      </c>
      <c r="X2329" s="17" t="s">
        <v>106</v>
      </c>
      <c r="Y2329" s="17" t="s">
        <v>1144</v>
      </c>
      <c r="Z2329" s="17" t="s">
        <v>739</v>
      </c>
      <c r="AA2329" s="17" t="s">
        <v>919</v>
      </c>
      <c r="AB2329" s="17" t="s">
        <v>41</v>
      </c>
      <c r="AC2329" s="0" t="str">
        <f aca="false">LEFT(G2329,2)</f>
        <v>87</v>
      </c>
    </row>
    <row r="2330" customFormat="false" ht="15" hidden="false" customHeight="false" outlineLevel="0" collapsed="false">
      <c r="A2330" s="13" t="n">
        <f aca="false">1+A2329</f>
        <v>2328</v>
      </c>
      <c r="B2330" s="14" t="n">
        <v>1009635765</v>
      </c>
      <c r="C2330" s="15" t="s">
        <v>182</v>
      </c>
      <c r="D2330" s="16" t="s">
        <v>64</v>
      </c>
      <c r="E2330" s="17" t="s">
        <v>64</v>
      </c>
      <c r="F2330" s="18" t="s">
        <v>34</v>
      </c>
      <c r="G2330" s="19" t="n">
        <v>889270108380</v>
      </c>
      <c r="H2330" s="17" t="s">
        <v>35</v>
      </c>
      <c r="I2330" s="17" t="s">
        <v>79</v>
      </c>
      <c r="J2330" s="17" t="s">
        <v>289</v>
      </c>
      <c r="K2330" s="17" t="s">
        <v>1067</v>
      </c>
      <c r="L2330" s="17" t="n">
        <v>1</v>
      </c>
      <c r="M2330" s="17" t="s">
        <v>610</v>
      </c>
      <c r="N2330" s="17" t="n">
        <v>1</v>
      </c>
      <c r="O2330" s="17" t="s">
        <v>611</v>
      </c>
      <c r="P2330" s="17" t="n">
        <v>11</v>
      </c>
      <c r="Q2330" s="17" t="s">
        <v>953</v>
      </c>
      <c r="R2330" s="17" t="s">
        <v>35</v>
      </c>
      <c r="S2330" s="17" t="s">
        <v>613</v>
      </c>
      <c r="T2330" s="18" t="s">
        <v>248</v>
      </c>
      <c r="U2330" s="20" t="s">
        <v>120</v>
      </c>
      <c r="V2330" s="17" t="n">
        <v>6</v>
      </c>
      <c r="W2330" s="20" t="s">
        <v>120</v>
      </c>
      <c r="X2330" s="17" t="s">
        <v>289</v>
      </c>
      <c r="Y2330" s="17" t="s">
        <v>1067</v>
      </c>
      <c r="Z2330" s="17" t="s">
        <v>1183</v>
      </c>
      <c r="AA2330" s="17" t="s">
        <v>919</v>
      </c>
      <c r="AB2330" s="17" t="s">
        <v>41</v>
      </c>
      <c r="AC2330" s="0" t="str">
        <f aca="false">LEFT(G2330,2)</f>
        <v>88</v>
      </c>
    </row>
    <row r="2331" customFormat="false" ht="15" hidden="false" customHeight="false" outlineLevel="0" collapsed="false">
      <c r="A2331" s="13" t="n">
        <f aca="false">1+A2330</f>
        <v>2329</v>
      </c>
      <c r="B2331" s="14" t="n">
        <v>1009603375</v>
      </c>
      <c r="C2331" s="15" t="s">
        <v>181</v>
      </c>
      <c r="D2331" s="16" t="s">
        <v>64</v>
      </c>
      <c r="E2331" s="17" t="s">
        <v>64</v>
      </c>
      <c r="F2331" s="18" t="s">
        <v>34</v>
      </c>
      <c r="G2331" s="19" t="n">
        <v>880254158574</v>
      </c>
      <c r="H2331" s="17" t="s">
        <v>35</v>
      </c>
      <c r="I2331" s="17" t="s">
        <v>79</v>
      </c>
      <c r="J2331" s="17" t="s">
        <v>241</v>
      </c>
      <c r="K2331" s="17" t="s">
        <v>992</v>
      </c>
      <c r="L2331" s="17" t="n">
        <v>5</v>
      </c>
      <c r="M2331" s="17" t="s">
        <v>952</v>
      </c>
      <c r="N2331" s="17" t="n">
        <v>1</v>
      </c>
      <c r="O2331" s="17" t="s">
        <v>611</v>
      </c>
      <c r="P2331" s="17" t="n">
        <v>11</v>
      </c>
      <c r="Q2331" s="17" t="s">
        <v>953</v>
      </c>
      <c r="R2331" s="17" t="s">
        <v>35</v>
      </c>
      <c r="S2331" s="17" t="s">
        <v>613</v>
      </c>
      <c r="T2331" s="18" t="s">
        <v>248</v>
      </c>
      <c r="U2331" s="20" t="s">
        <v>256</v>
      </c>
      <c r="V2331" s="17" t="n">
        <v>1</v>
      </c>
      <c r="W2331" s="20" t="s">
        <v>256</v>
      </c>
      <c r="X2331" s="17" t="s">
        <v>241</v>
      </c>
      <c r="Y2331" s="17" t="s">
        <v>992</v>
      </c>
      <c r="Z2331" s="17" t="s">
        <v>306</v>
      </c>
      <c r="AA2331" s="17" t="s">
        <v>919</v>
      </c>
      <c r="AB2331" s="17" t="s">
        <v>41</v>
      </c>
      <c r="AC2331" s="0" t="str">
        <f aca="false">LEFT(G2331,2)</f>
        <v>88</v>
      </c>
    </row>
    <row r="2332" customFormat="false" ht="15" hidden="false" customHeight="false" outlineLevel="0" collapsed="false">
      <c r="A2332" s="13" t="n">
        <f aca="false">1+A2331</f>
        <v>2330</v>
      </c>
      <c r="B2332" s="14" t="n">
        <v>1009626951</v>
      </c>
      <c r="C2332" s="15" t="s">
        <v>163</v>
      </c>
      <c r="D2332" s="16" t="s">
        <v>64</v>
      </c>
      <c r="E2332" s="17" t="s">
        <v>64</v>
      </c>
      <c r="F2332" s="18" t="s">
        <v>34</v>
      </c>
      <c r="G2332" s="19" t="n">
        <v>300349279707</v>
      </c>
      <c r="H2332" s="17" t="s">
        <v>35</v>
      </c>
      <c r="I2332" s="17" t="s">
        <v>79</v>
      </c>
      <c r="J2332" s="17" t="s">
        <v>239</v>
      </c>
      <c r="K2332" s="17" t="s">
        <v>951</v>
      </c>
      <c r="L2332" s="17" t="n">
        <v>5</v>
      </c>
      <c r="M2332" s="17" t="s">
        <v>952</v>
      </c>
      <c r="N2332" s="17" t="n">
        <v>1</v>
      </c>
      <c r="O2332" s="17" t="s">
        <v>611</v>
      </c>
      <c r="P2332" s="17" t="n">
        <v>11</v>
      </c>
      <c r="Q2332" s="17" t="s">
        <v>953</v>
      </c>
      <c r="R2332" s="17" t="s">
        <v>35</v>
      </c>
      <c r="S2332" s="17" t="s">
        <v>613</v>
      </c>
      <c r="T2332" s="18" t="s">
        <v>248</v>
      </c>
      <c r="U2332" s="20" t="s">
        <v>256</v>
      </c>
      <c r="V2332" s="17" t="n">
        <v>1</v>
      </c>
      <c r="W2332" s="20" t="s">
        <v>256</v>
      </c>
      <c r="X2332" s="17" t="s">
        <v>239</v>
      </c>
      <c r="Y2332" s="17" t="s">
        <v>951</v>
      </c>
      <c r="Z2332" s="17" t="s">
        <v>306</v>
      </c>
      <c r="AA2332" s="17" t="s">
        <v>919</v>
      </c>
      <c r="AB2332" s="17" t="s">
        <v>41</v>
      </c>
      <c r="AC2332" s="0" t="str">
        <f aca="false">LEFT(G2332,2)</f>
        <v>30</v>
      </c>
    </row>
    <row r="2333" customFormat="false" ht="15" hidden="false" customHeight="false" outlineLevel="0" collapsed="false">
      <c r="A2333" s="13" t="n">
        <f aca="false">1+A2332</f>
        <v>2331</v>
      </c>
      <c r="B2333" s="14" t="n">
        <v>1009617483</v>
      </c>
      <c r="C2333" s="15" t="s">
        <v>184</v>
      </c>
      <c r="D2333" s="16" t="s">
        <v>64</v>
      </c>
      <c r="E2333" s="17" t="s">
        <v>47</v>
      </c>
      <c r="F2333" s="18" t="s">
        <v>34</v>
      </c>
      <c r="G2333" s="19" t="n">
        <v>300359235235</v>
      </c>
      <c r="H2333" s="17" t="s">
        <v>35</v>
      </c>
      <c r="I2333" s="17" t="s">
        <v>79</v>
      </c>
      <c r="J2333" s="17" t="s">
        <v>239</v>
      </c>
      <c r="K2333" s="17" t="s">
        <v>951</v>
      </c>
      <c r="L2333" s="17" t="n">
        <v>5</v>
      </c>
      <c r="M2333" s="17" t="s">
        <v>952</v>
      </c>
      <c r="N2333" s="17" t="n">
        <v>1</v>
      </c>
      <c r="O2333" s="17" t="s">
        <v>611</v>
      </c>
      <c r="P2333" s="17" t="n">
        <v>11</v>
      </c>
      <c r="Q2333" s="17" t="s">
        <v>953</v>
      </c>
      <c r="R2333" s="17" t="s">
        <v>35</v>
      </c>
      <c r="S2333" s="17" t="s">
        <v>613</v>
      </c>
      <c r="T2333" s="18" t="s">
        <v>248</v>
      </c>
      <c r="U2333" s="20" t="s">
        <v>256</v>
      </c>
      <c r="V2333" s="17" t="n">
        <v>1</v>
      </c>
      <c r="W2333" s="20" t="s">
        <v>256</v>
      </c>
      <c r="X2333" s="17" t="s">
        <v>239</v>
      </c>
      <c r="Y2333" s="17" t="s">
        <v>951</v>
      </c>
      <c r="Z2333" s="17" t="s">
        <v>306</v>
      </c>
      <c r="AA2333" s="17" t="s">
        <v>919</v>
      </c>
      <c r="AB2333" s="17" t="s">
        <v>41</v>
      </c>
      <c r="AC2333" s="0" t="str">
        <f aca="false">LEFT(G2333,2)</f>
        <v>30</v>
      </c>
    </row>
    <row r="2334" customFormat="false" ht="15" hidden="false" customHeight="false" outlineLevel="0" collapsed="false">
      <c r="A2334" s="13" t="n">
        <f aca="false">1+A2333</f>
        <v>2332</v>
      </c>
      <c r="B2334" s="14" t="n">
        <v>1009624053</v>
      </c>
      <c r="C2334" s="15" t="s">
        <v>163</v>
      </c>
      <c r="D2334" s="16" t="s">
        <v>64</v>
      </c>
      <c r="E2334" s="17" t="s">
        <v>47</v>
      </c>
      <c r="F2334" s="18" t="s">
        <v>34</v>
      </c>
      <c r="G2334" s="19" t="n">
        <v>889325175327</v>
      </c>
      <c r="H2334" s="17" t="s">
        <v>35</v>
      </c>
      <c r="I2334" s="17" t="s">
        <v>79</v>
      </c>
      <c r="J2334" s="17" t="s">
        <v>241</v>
      </c>
      <c r="K2334" s="17" t="s">
        <v>992</v>
      </c>
      <c r="L2334" s="17" t="n">
        <v>5</v>
      </c>
      <c r="M2334" s="17" t="s">
        <v>952</v>
      </c>
      <c r="N2334" s="17" t="n">
        <v>1</v>
      </c>
      <c r="O2334" s="17" t="s">
        <v>611</v>
      </c>
      <c r="P2334" s="17" t="n">
        <v>11</v>
      </c>
      <c r="Q2334" s="17" t="s">
        <v>953</v>
      </c>
      <c r="R2334" s="17" t="s">
        <v>35</v>
      </c>
      <c r="S2334" s="17" t="s">
        <v>613</v>
      </c>
      <c r="T2334" s="18" t="s">
        <v>248</v>
      </c>
      <c r="U2334" s="20" t="s">
        <v>122</v>
      </c>
      <c r="V2334" s="17" t="n">
        <v>2</v>
      </c>
      <c r="W2334" s="20" t="s">
        <v>122</v>
      </c>
      <c r="X2334" s="17" t="s">
        <v>241</v>
      </c>
      <c r="Y2334" s="17" t="s">
        <v>992</v>
      </c>
      <c r="Z2334" s="17" t="s">
        <v>302</v>
      </c>
      <c r="AA2334" s="17" t="s">
        <v>919</v>
      </c>
      <c r="AB2334" s="17" t="s">
        <v>41</v>
      </c>
      <c r="AC2334" s="0" t="str">
        <f aca="false">LEFT(G2334,2)</f>
        <v>88</v>
      </c>
    </row>
    <row r="2335" customFormat="false" ht="15" hidden="false" customHeight="false" outlineLevel="0" collapsed="false">
      <c r="A2335" s="13" t="n">
        <f aca="false">1+A2334</f>
        <v>2333</v>
      </c>
      <c r="B2335" s="14" t="n">
        <v>1009370121</v>
      </c>
      <c r="C2335" s="15" t="s">
        <v>395</v>
      </c>
      <c r="D2335" s="16" t="s">
        <v>64</v>
      </c>
      <c r="E2335" s="17" t="s">
        <v>33</v>
      </c>
      <c r="F2335" s="18" t="s">
        <v>34</v>
      </c>
      <c r="G2335" s="19" t="n">
        <v>878349228691</v>
      </c>
      <c r="H2335" s="17" t="s">
        <v>35</v>
      </c>
      <c r="I2335" s="17" t="s">
        <v>79</v>
      </c>
      <c r="J2335" s="17" t="s">
        <v>121</v>
      </c>
      <c r="K2335" s="17" t="s">
        <v>955</v>
      </c>
      <c r="L2335" s="17" t="n">
        <v>5</v>
      </c>
      <c r="M2335" s="17" t="s">
        <v>952</v>
      </c>
      <c r="N2335" s="17" t="n">
        <v>24</v>
      </c>
      <c r="O2335" s="17" t="s">
        <v>975</v>
      </c>
      <c r="P2335" s="17" t="n">
        <v>11</v>
      </c>
      <c r="Q2335" s="17" t="s">
        <v>953</v>
      </c>
      <c r="R2335" s="17" t="s">
        <v>35</v>
      </c>
      <c r="S2335" s="17" t="s">
        <v>613</v>
      </c>
      <c r="T2335" s="18" t="s">
        <v>248</v>
      </c>
      <c r="U2335" s="20" t="s">
        <v>38</v>
      </c>
      <c r="V2335" s="17" t="n">
        <v>4</v>
      </c>
      <c r="W2335" s="20" t="s">
        <v>38</v>
      </c>
      <c r="X2335" s="17" t="s">
        <v>121</v>
      </c>
      <c r="Y2335" s="17" t="s">
        <v>955</v>
      </c>
      <c r="Z2335" s="17" t="s">
        <v>302</v>
      </c>
      <c r="AA2335" s="17" t="s">
        <v>919</v>
      </c>
      <c r="AB2335" s="17" t="s">
        <v>41</v>
      </c>
      <c r="AC2335" s="0" t="str">
        <f aca="false">LEFT(G2335,2)</f>
        <v>87</v>
      </c>
    </row>
    <row r="2336" customFormat="false" ht="15" hidden="false" customHeight="false" outlineLevel="0" collapsed="false">
      <c r="A2336" s="13" t="n">
        <f aca="false">1+A2335</f>
        <v>2334</v>
      </c>
      <c r="B2336" s="14" t="n">
        <v>1009525080</v>
      </c>
      <c r="C2336" s="15" t="s">
        <v>162</v>
      </c>
      <c r="D2336" s="16" t="s">
        <v>32</v>
      </c>
      <c r="E2336" s="17" t="s">
        <v>47</v>
      </c>
      <c r="F2336" s="18" t="s">
        <v>34</v>
      </c>
      <c r="G2336" s="19" t="n">
        <v>879150267331</v>
      </c>
      <c r="H2336" s="17" t="s">
        <v>35</v>
      </c>
      <c r="I2336" s="17" t="s">
        <v>79</v>
      </c>
      <c r="J2336" s="17" t="s">
        <v>241</v>
      </c>
      <c r="K2336" s="17" t="s">
        <v>992</v>
      </c>
      <c r="L2336" s="17" t="n">
        <v>5</v>
      </c>
      <c r="M2336" s="17" t="s">
        <v>952</v>
      </c>
      <c r="N2336" s="17" t="n">
        <v>1</v>
      </c>
      <c r="O2336" s="17" t="s">
        <v>611</v>
      </c>
      <c r="P2336" s="17" t="n">
        <v>11</v>
      </c>
      <c r="Q2336" s="17" t="s">
        <v>953</v>
      </c>
      <c r="R2336" s="17" t="s">
        <v>35</v>
      </c>
      <c r="S2336" s="17" t="s">
        <v>613</v>
      </c>
      <c r="T2336" s="18" t="s">
        <v>248</v>
      </c>
      <c r="U2336" s="20" t="s">
        <v>122</v>
      </c>
      <c r="V2336" s="17" t="n">
        <v>2</v>
      </c>
      <c r="W2336" s="20" t="s">
        <v>122</v>
      </c>
      <c r="X2336" s="17" t="s">
        <v>241</v>
      </c>
      <c r="Y2336" s="17" t="s">
        <v>992</v>
      </c>
      <c r="Z2336" s="17" t="s">
        <v>302</v>
      </c>
      <c r="AA2336" s="17" t="s">
        <v>919</v>
      </c>
      <c r="AB2336" s="17" t="s">
        <v>41</v>
      </c>
      <c r="AC2336" s="0" t="str">
        <f aca="false">LEFT(G2336,2)</f>
        <v>87</v>
      </c>
    </row>
    <row r="2337" customFormat="false" ht="15" hidden="false" customHeight="false" outlineLevel="0" collapsed="false">
      <c r="A2337" s="13" t="n">
        <f aca="false">1+A2336</f>
        <v>2335</v>
      </c>
      <c r="B2337" s="14" t="n">
        <v>1009683167</v>
      </c>
      <c r="C2337" s="15" t="s">
        <v>413</v>
      </c>
      <c r="D2337" s="16" t="s">
        <v>64</v>
      </c>
      <c r="E2337" s="17" t="s">
        <v>64</v>
      </c>
      <c r="F2337" s="18" t="s">
        <v>34</v>
      </c>
      <c r="G2337" s="19" t="n">
        <v>300334150657</v>
      </c>
      <c r="H2337" s="17" t="s">
        <v>35</v>
      </c>
      <c r="I2337" s="17" t="s">
        <v>79</v>
      </c>
      <c r="J2337" s="17" t="s">
        <v>106</v>
      </c>
      <c r="K2337" s="17" t="s">
        <v>1144</v>
      </c>
      <c r="L2337" s="17" t="n">
        <v>1</v>
      </c>
      <c r="M2337" s="17" t="s">
        <v>610</v>
      </c>
      <c r="N2337" s="17" t="n">
        <v>1</v>
      </c>
      <c r="O2337" s="17" t="s">
        <v>611</v>
      </c>
      <c r="P2337" s="17" t="n">
        <v>11</v>
      </c>
      <c r="Q2337" s="17" t="s">
        <v>953</v>
      </c>
      <c r="R2337" s="17" t="s">
        <v>35</v>
      </c>
      <c r="S2337" s="17" t="s">
        <v>613</v>
      </c>
      <c r="T2337" s="18" t="s">
        <v>248</v>
      </c>
      <c r="U2337" s="20" t="s">
        <v>122</v>
      </c>
      <c r="V2337" s="17" t="n">
        <v>2</v>
      </c>
      <c r="W2337" s="20" t="s">
        <v>122</v>
      </c>
      <c r="X2337" s="17" t="s">
        <v>106</v>
      </c>
      <c r="Y2337" s="17" t="s">
        <v>1144</v>
      </c>
      <c r="Z2337" s="17" t="s">
        <v>302</v>
      </c>
      <c r="AA2337" s="17" t="s">
        <v>919</v>
      </c>
      <c r="AB2337" s="17" t="s">
        <v>41</v>
      </c>
      <c r="AC2337" s="0" t="str">
        <f aca="false">LEFT(G2337,2)</f>
        <v>30</v>
      </c>
    </row>
    <row r="2338" customFormat="false" ht="15" hidden="false" customHeight="false" outlineLevel="0" collapsed="false">
      <c r="A2338" s="13" t="n">
        <f aca="false">1+A2337</f>
        <v>2336</v>
      </c>
      <c r="B2338" s="14" t="n">
        <v>1009525068</v>
      </c>
      <c r="C2338" s="15" t="s">
        <v>162</v>
      </c>
      <c r="D2338" s="16" t="s">
        <v>119</v>
      </c>
      <c r="E2338" s="17" t="s">
        <v>47</v>
      </c>
      <c r="F2338" s="18" t="s">
        <v>34</v>
      </c>
      <c r="G2338" s="19" t="n">
        <v>879163136937</v>
      </c>
      <c r="H2338" s="17" t="s">
        <v>35</v>
      </c>
      <c r="I2338" s="17" t="s">
        <v>79</v>
      </c>
      <c r="J2338" s="17" t="s">
        <v>100</v>
      </c>
      <c r="K2338" s="17" t="s">
        <v>978</v>
      </c>
      <c r="L2338" s="17" t="n">
        <v>1</v>
      </c>
      <c r="M2338" s="17" t="s">
        <v>610</v>
      </c>
      <c r="N2338" s="17" t="n">
        <v>1</v>
      </c>
      <c r="O2338" s="17" t="s">
        <v>611</v>
      </c>
      <c r="P2338" s="17" t="n">
        <v>11</v>
      </c>
      <c r="Q2338" s="17" t="s">
        <v>953</v>
      </c>
      <c r="R2338" s="17" t="s">
        <v>35</v>
      </c>
      <c r="S2338" s="17" t="s">
        <v>613</v>
      </c>
      <c r="T2338" s="18" t="s">
        <v>248</v>
      </c>
      <c r="U2338" s="20" t="s">
        <v>122</v>
      </c>
      <c r="V2338" s="17" t="n">
        <v>2</v>
      </c>
      <c r="W2338" s="20" t="s">
        <v>122</v>
      </c>
      <c r="X2338" s="17" t="s">
        <v>100</v>
      </c>
      <c r="Y2338" s="17" t="s">
        <v>978</v>
      </c>
      <c r="Z2338" s="17" t="s">
        <v>558</v>
      </c>
      <c r="AA2338" s="17" t="s">
        <v>919</v>
      </c>
      <c r="AB2338" s="17" t="s">
        <v>41</v>
      </c>
      <c r="AC2338" s="0" t="str">
        <f aca="false">LEFT(G2338,2)</f>
        <v>87</v>
      </c>
    </row>
    <row r="2339" customFormat="false" ht="15" hidden="false" customHeight="false" outlineLevel="0" collapsed="false">
      <c r="A2339" s="13" t="n">
        <f aca="false">1+A2338</f>
        <v>2337</v>
      </c>
      <c r="B2339" s="14" t="n">
        <v>1009540649</v>
      </c>
      <c r="C2339" s="15" t="s">
        <v>311</v>
      </c>
      <c r="D2339" s="16" t="s">
        <v>64</v>
      </c>
      <c r="E2339" s="17" t="s">
        <v>64</v>
      </c>
      <c r="F2339" s="18" t="s">
        <v>34</v>
      </c>
      <c r="G2339" s="19" t="n">
        <v>889305358000</v>
      </c>
      <c r="H2339" s="17" t="s">
        <v>35</v>
      </c>
      <c r="I2339" s="17" t="s">
        <v>79</v>
      </c>
      <c r="J2339" s="17" t="s">
        <v>239</v>
      </c>
      <c r="K2339" s="17" t="s">
        <v>951</v>
      </c>
      <c r="L2339" s="17" t="n">
        <v>5</v>
      </c>
      <c r="M2339" s="17" t="s">
        <v>952</v>
      </c>
      <c r="N2339" s="17" t="n">
        <v>24</v>
      </c>
      <c r="O2339" s="17" t="s">
        <v>975</v>
      </c>
      <c r="P2339" s="17" t="n">
        <v>11</v>
      </c>
      <c r="Q2339" s="17" t="s">
        <v>953</v>
      </c>
      <c r="R2339" s="17" t="s">
        <v>35</v>
      </c>
      <c r="S2339" s="17" t="s">
        <v>613</v>
      </c>
      <c r="T2339" s="18" t="s">
        <v>248</v>
      </c>
      <c r="U2339" s="20" t="s">
        <v>256</v>
      </c>
      <c r="V2339" s="17" t="n">
        <v>1</v>
      </c>
      <c r="W2339" s="20" t="s">
        <v>256</v>
      </c>
      <c r="X2339" s="17" t="s">
        <v>239</v>
      </c>
      <c r="Y2339" s="17" t="s">
        <v>951</v>
      </c>
      <c r="Z2339" s="17" t="s">
        <v>306</v>
      </c>
      <c r="AA2339" s="17" t="s">
        <v>919</v>
      </c>
      <c r="AB2339" s="17" t="s">
        <v>41</v>
      </c>
      <c r="AC2339" s="0" t="str">
        <f aca="false">LEFT(G2339,2)</f>
        <v>88</v>
      </c>
    </row>
    <row r="2340" customFormat="false" ht="15" hidden="false" customHeight="false" outlineLevel="0" collapsed="false">
      <c r="A2340" s="13" t="n">
        <f aca="false">1+A2339</f>
        <v>2338</v>
      </c>
      <c r="B2340" s="14" t="n">
        <v>1009602201</v>
      </c>
      <c r="C2340" s="15" t="s">
        <v>159</v>
      </c>
      <c r="D2340" s="16" t="s">
        <v>157</v>
      </c>
      <c r="E2340" s="17" t="s">
        <v>47</v>
      </c>
      <c r="F2340" s="18" t="s">
        <v>34</v>
      </c>
      <c r="G2340" s="19" t="n">
        <v>879154172164</v>
      </c>
      <c r="H2340" s="17" t="s">
        <v>35</v>
      </c>
      <c r="I2340" s="17" t="s">
        <v>79</v>
      </c>
      <c r="J2340" s="17" t="s">
        <v>289</v>
      </c>
      <c r="K2340" s="17" t="s">
        <v>1067</v>
      </c>
      <c r="L2340" s="17" t="n">
        <v>1</v>
      </c>
      <c r="M2340" s="17" t="s">
        <v>610</v>
      </c>
      <c r="N2340" s="17" t="n">
        <v>1</v>
      </c>
      <c r="O2340" s="17" t="s">
        <v>611</v>
      </c>
      <c r="P2340" s="17" t="n">
        <v>11</v>
      </c>
      <c r="Q2340" s="17" t="s">
        <v>953</v>
      </c>
      <c r="R2340" s="17" t="s">
        <v>35</v>
      </c>
      <c r="S2340" s="17" t="s">
        <v>613</v>
      </c>
      <c r="T2340" s="18" t="s">
        <v>248</v>
      </c>
      <c r="U2340" s="20" t="s">
        <v>38</v>
      </c>
      <c r="V2340" s="17" t="n">
        <v>4</v>
      </c>
      <c r="W2340" s="20" t="s">
        <v>38</v>
      </c>
      <c r="X2340" s="17" t="s">
        <v>289</v>
      </c>
      <c r="Y2340" s="17" t="s">
        <v>1067</v>
      </c>
      <c r="Z2340" s="17" t="s">
        <v>302</v>
      </c>
      <c r="AA2340" s="17" t="s">
        <v>919</v>
      </c>
      <c r="AB2340" s="17" t="s">
        <v>41</v>
      </c>
      <c r="AC2340" s="0" t="str">
        <f aca="false">LEFT(G2340,2)</f>
        <v>87</v>
      </c>
    </row>
    <row r="2341" customFormat="false" ht="15" hidden="false" customHeight="false" outlineLevel="0" collapsed="false">
      <c r="A2341" s="13" t="n">
        <f aca="false">1+A2340</f>
        <v>2339</v>
      </c>
      <c r="B2341" s="14" t="n">
        <v>1009686264</v>
      </c>
      <c r="C2341" s="15" t="s">
        <v>449</v>
      </c>
      <c r="D2341" s="16" t="s">
        <v>131</v>
      </c>
      <c r="E2341" s="17" t="s">
        <v>33</v>
      </c>
      <c r="F2341" s="18" t="s">
        <v>34</v>
      </c>
      <c r="G2341" s="19" t="n">
        <v>889197486919</v>
      </c>
      <c r="H2341" s="17" t="s">
        <v>35</v>
      </c>
      <c r="I2341" s="17" t="s">
        <v>79</v>
      </c>
      <c r="J2341" s="17" t="s">
        <v>241</v>
      </c>
      <c r="K2341" s="17" t="s">
        <v>992</v>
      </c>
      <c r="L2341" s="17" t="n">
        <v>5</v>
      </c>
      <c r="M2341" s="17" t="s">
        <v>952</v>
      </c>
      <c r="N2341" s="17" t="n">
        <v>1</v>
      </c>
      <c r="O2341" s="17" t="s">
        <v>611</v>
      </c>
      <c r="P2341" s="17" t="n">
        <v>11</v>
      </c>
      <c r="Q2341" s="17" t="s">
        <v>953</v>
      </c>
      <c r="R2341" s="17" t="s">
        <v>35</v>
      </c>
      <c r="S2341" s="17" t="s">
        <v>613</v>
      </c>
      <c r="T2341" s="18" t="s">
        <v>248</v>
      </c>
      <c r="U2341" s="20" t="s">
        <v>256</v>
      </c>
      <c r="V2341" s="17" t="n">
        <v>1</v>
      </c>
      <c r="W2341" s="20" t="s">
        <v>256</v>
      </c>
      <c r="X2341" s="17" t="s">
        <v>241</v>
      </c>
      <c r="Y2341" s="17" t="s">
        <v>992</v>
      </c>
      <c r="Z2341" s="17" t="s">
        <v>302</v>
      </c>
      <c r="AA2341" s="17" t="s">
        <v>919</v>
      </c>
      <c r="AB2341" s="17" t="s">
        <v>41</v>
      </c>
      <c r="AC2341" s="0" t="str">
        <f aca="false">LEFT(G2341,2)</f>
        <v>88</v>
      </c>
    </row>
    <row r="2342" customFormat="false" ht="15" hidden="false" customHeight="false" outlineLevel="0" collapsed="false">
      <c r="A2342" s="13" t="n">
        <f aca="false">1+A2341</f>
        <v>2340</v>
      </c>
      <c r="B2342" s="14" t="n">
        <v>1009543264</v>
      </c>
      <c r="C2342" s="15" t="s">
        <v>126</v>
      </c>
      <c r="D2342" s="16" t="s">
        <v>64</v>
      </c>
      <c r="E2342" s="17" t="s">
        <v>64</v>
      </c>
      <c r="F2342" s="18" t="s">
        <v>34</v>
      </c>
      <c r="G2342" s="19" t="n">
        <v>889335330011</v>
      </c>
      <c r="H2342" s="17" t="s">
        <v>35</v>
      </c>
      <c r="I2342" s="17" t="s">
        <v>79</v>
      </c>
      <c r="J2342" s="17" t="s">
        <v>121</v>
      </c>
      <c r="K2342" s="17" t="s">
        <v>955</v>
      </c>
      <c r="L2342" s="17" t="n">
        <v>2</v>
      </c>
      <c r="M2342" s="17" t="s">
        <v>981</v>
      </c>
      <c r="N2342" s="17" t="n">
        <v>6</v>
      </c>
      <c r="O2342" s="17" t="s">
        <v>982</v>
      </c>
      <c r="P2342" s="17" t="n">
        <v>11</v>
      </c>
      <c r="Q2342" s="17" t="s">
        <v>953</v>
      </c>
      <c r="R2342" s="17" t="s">
        <v>35</v>
      </c>
      <c r="S2342" s="17" t="s">
        <v>613</v>
      </c>
      <c r="T2342" s="18" t="s">
        <v>248</v>
      </c>
      <c r="U2342" s="20" t="s">
        <v>256</v>
      </c>
      <c r="V2342" s="17" t="n">
        <v>1</v>
      </c>
      <c r="W2342" s="20" t="s">
        <v>256</v>
      </c>
      <c r="X2342" s="17" t="s">
        <v>121</v>
      </c>
      <c r="Y2342" s="17" t="s">
        <v>955</v>
      </c>
      <c r="Z2342" s="17" t="s">
        <v>306</v>
      </c>
      <c r="AA2342" s="17" t="s">
        <v>919</v>
      </c>
      <c r="AB2342" s="17" t="s">
        <v>41</v>
      </c>
      <c r="AC2342" s="0" t="str">
        <f aca="false">LEFT(G2342,2)</f>
        <v>88</v>
      </c>
    </row>
    <row r="2343" customFormat="false" ht="15" hidden="false" customHeight="false" outlineLevel="0" collapsed="false">
      <c r="A2343" s="13" t="n">
        <f aca="false">1+A2342</f>
        <v>2341</v>
      </c>
      <c r="B2343" s="14" t="n">
        <v>1009665681</v>
      </c>
      <c r="C2343" s="15" t="s">
        <v>436</v>
      </c>
      <c r="D2343" s="16" t="s">
        <v>64</v>
      </c>
      <c r="E2343" s="17" t="s">
        <v>64</v>
      </c>
      <c r="F2343" s="18" t="s">
        <v>34</v>
      </c>
      <c r="G2343" s="19" t="n">
        <v>889197476993</v>
      </c>
      <c r="H2343" s="17" t="s">
        <v>35</v>
      </c>
      <c r="I2343" s="17" t="s">
        <v>79</v>
      </c>
      <c r="J2343" s="17" t="s">
        <v>239</v>
      </c>
      <c r="K2343" s="17" t="s">
        <v>951</v>
      </c>
      <c r="L2343" s="17" t="n">
        <v>5</v>
      </c>
      <c r="M2343" s="17" t="s">
        <v>952</v>
      </c>
      <c r="N2343" s="17" t="n">
        <v>37</v>
      </c>
      <c r="O2343" s="17" t="s">
        <v>1034</v>
      </c>
      <c r="P2343" s="17" t="n">
        <v>11</v>
      </c>
      <c r="Q2343" s="17" t="s">
        <v>953</v>
      </c>
      <c r="R2343" s="17" t="s">
        <v>35</v>
      </c>
      <c r="S2343" s="17" t="s">
        <v>613</v>
      </c>
      <c r="T2343" s="18" t="s">
        <v>248</v>
      </c>
      <c r="U2343" s="20" t="s">
        <v>122</v>
      </c>
      <c r="V2343" s="17" t="n">
        <v>2</v>
      </c>
      <c r="W2343" s="20" t="s">
        <v>122</v>
      </c>
      <c r="X2343" s="17" t="s">
        <v>239</v>
      </c>
      <c r="Y2343" s="17" t="s">
        <v>951</v>
      </c>
      <c r="Z2343" s="17" t="s">
        <v>1184</v>
      </c>
      <c r="AA2343" s="17" t="s">
        <v>919</v>
      </c>
      <c r="AB2343" s="17" t="s">
        <v>41</v>
      </c>
      <c r="AC2343" s="0" t="str">
        <f aca="false">LEFT(G2343,2)</f>
        <v>88</v>
      </c>
    </row>
    <row r="2344" customFormat="false" ht="15" hidden="false" customHeight="false" outlineLevel="0" collapsed="false">
      <c r="A2344" s="13" t="n">
        <f aca="false">1+A2343</f>
        <v>2342</v>
      </c>
      <c r="B2344" s="14" t="n">
        <v>1009545375</v>
      </c>
      <c r="C2344" s="15" t="s">
        <v>126</v>
      </c>
      <c r="D2344" s="16" t="s">
        <v>64</v>
      </c>
      <c r="E2344" s="17" t="s">
        <v>178</v>
      </c>
      <c r="F2344" s="18" t="s">
        <v>34</v>
      </c>
      <c r="G2344" s="19" t="n">
        <v>889187410515</v>
      </c>
      <c r="H2344" s="17" t="s">
        <v>35</v>
      </c>
      <c r="I2344" s="17" t="s">
        <v>79</v>
      </c>
      <c r="J2344" s="17" t="s">
        <v>239</v>
      </c>
      <c r="K2344" s="17" t="s">
        <v>951</v>
      </c>
      <c r="L2344" s="17" t="n">
        <v>5</v>
      </c>
      <c r="M2344" s="17" t="s">
        <v>952</v>
      </c>
      <c r="N2344" s="17" t="n">
        <v>28</v>
      </c>
      <c r="O2344" s="17" t="s">
        <v>1054</v>
      </c>
      <c r="P2344" s="17" t="n">
        <v>11</v>
      </c>
      <c r="Q2344" s="17" t="s">
        <v>953</v>
      </c>
      <c r="R2344" s="17" t="s">
        <v>35</v>
      </c>
      <c r="S2344" s="17" t="s">
        <v>613</v>
      </c>
      <c r="T2344" s="18" t="s">
        <v>248</v>
      </c>
      <c r="U2344" s="20" t="s">
        <v>256</v>
      </c>
      <c r="V2344" s="17" t="n">
        <v>1</v>
      </c>
      <c r="W2344" s="20" t="s">
        <v>256</v>
      </c>
      <c r="X2344" s="17" t="s">
        <v>239</v>
      </c>
      <c r="Y2344" s="17" t="s">
        <v>951</v>
      </c>
      <c r="Z2344" s="17" t="s">
        <v>306</v>
      </c>
      <c r="AA2344" s="17" t="s">
        <v>919</v>
      </c>
      <c r="AB2344" s="17" t="s">
        <v>41</v>
      </c>
      <c r="AC2344" s="0" t="str">
        <f aca="false">LEFT(G2344,2)</f>
        <v>88</v>
      </c>
    </row>
    <row r="2345" customFormat="false" ht="15" hidden="false" customHeight="false" outlineLevel="0" collapsed="false">
      <c r="A2345" s="13" t="n">
        <f aca="false">1+A2344</f>
        <v>2343</v>
      </c>
      <c r="B2345" s="14" t="n">
        <v>1009619640</v>
      </c>
      <c r="C2345" s="15" t="s">
        <v>184</v>
      </c>
      <c r="D2345" s="16" t="s">
        <v>64</v>
      </c>
      <c r="E2345" s="17" t="s">
        <v>47</v>
      </c>
      <c r="F2345" s="18" t="s">
        <v>34</v>
      </c>
      <c r="G2345" s="19" t="n">
        <v>301039262466</v>
      </c>
      <c r="H2345" s="17" t="s">
        <v>35</v>
      </c>
      <c r="I2345" s="17" t="s">
        <v>79</v>
      </c>
      <c r="J2345" s="17" t="s">
        <v>111</v>
      </c>
      <c r="K2345" s="17" t="s">
        <v>958</v>
      </c>
      <c r="L2345" s="17" t="n">
        <v>5</v>
      </c>
      <c r="M2345" s="17" t="s">
        <v>952</v>
      </c>
      <c r="N2345" s="17" t="n">
        <v>24</v>
      </c>
      <c r="O2345" s="17" t="s">
        <v>975</v>
      </c>
      <c r="P2345" s="17" t="n">
        <v>11</v>
      </c>
      <c r="Q2345" s="17" t="s">
        <v>953</v>
      </c>
      <c r="R2345" s="17" t="s">
        <v>35</v>
      </c>
      <c r="S2345" s="17" t="s">
        <v>613</v>
      </c>
      <c r="T2345" s="18" t="s">
        <v>248</v>
      </c>
      <c r="U2345" s="20" t="s">
        <v>256</v>
      </c>
      <c r="V2345" s="17" t="n">
        <v>1</v>
      </c>
      <c r="W2345" s="20" t="s">
        <v>256</v>
      </c>
      <c r="X2345" s="17" t="s">
        <v>111</v>
      </c>
      <c r="Y2345" s="17" t="s">
        <v>958</v>
      </c>
      <c r="Z2345" s="17" t="s">
        <v>306</v>
      </c>
      <c r="AA2345" s="17" t="s">
        <v>919</v>
      </c>
      <c r="AB2345" s="17" t="s">
        <v>41</v>
      </c>
      <c r="AC2345" s="0" t="str">
        <f aca="false">LEFT(G2345,2)</f>
        <v>30</v>
      </c>
    </row>
    <row r="2346" customFormat="false" ht="15" hidden="false" customHeight="false" outlineLevel="0" collapsed="false">
      <c r="A2346" s="13" t="n">
        <f aca="false">1+A2345</f>
        <v>2344</v>
      </c>
      <c r="B2346" s="14" t="n">
        <v>1009543786</v>
      </c>
      <c r="C2346" s="15" t="s">
        <v>126</v>
      </c>
      <c r="D2346" s="16" t="s">
        <v>64</v>
      </c>
      <c r="E2346" s="17" t="s">
        <v>64</v>
      </c>
      <c r="F2346" s="18" t="s">
        <v>34</v>
      </c>
      <c r="G2346" s="19" t="n">
        <v>879151119275</v>
      </c>
      <c r="H2346" s="17" t="s">
        <v>35</v>
      </c>
      <c r="I2346" s="17" t="s">
        <v>79</v>
      </c>
      <c r="J2346" s="17" t="s">
        <v>111</v>
      </c>
      <c r="K2346" s="17" t="s">
        <v>958</v>
      </c>
      <c r="L2346" s="17" t="n">
        <v>5</v>
      </c>
      <c r="M2346" s="17" t="s">
        <v>952</v>
      </c>
      <c r="N2346" s="17" t="n">
        <v>24</v>
      </c>
      <c r="O2346" s="17" t="s">
        <v>975</v>
      </c>
      <c r="P2346" s="17" t="n">
        <v>11</v>
      </c>
      <c r="Q2346" s="17" t="s">
        <v>953</v>
      </c>
      <c r="R2346" s="17" t="s">
        <v>35</v>
      </c>
      <c r="S2346" s="17" t="s">
        <v>613</v>
      </c>
      <c r="T2346" s="18" t="s">
        <v>248</v>
      </c>
      <c r="U2346" s="20" t="s">
        <v>256</v>
      </c>
      <c r="V2346" s="17" t="n">
        <v>1</v>
      </c>
      <c r="W2346" s="20" t="s">
        <v>256</v>
      </c>
      <c r="X2346" s="17" t="s">
        <v>111</v>
      </c>
      <c r="Y2346" s="17" t="s">
        <v>958</v>
      </c>
      <c r="Z2346" s="17" t="s">
        <v>306</v>
      </c>
      <c r="AA2346" s="17" t="s">
        <v>919</v>
      </c>
      <c r="AB2346" s="17" t="s">
        <v>41</v>
      </c>
      <c r="AC2346" s="0" t="str">
        <f aca="false">LEFT(G2346,2)</f>
        <v>87</v>
      </c>
    </row>
    <row r="2347" customFormat="false" ht="15" hidden="false" customHeight="false" outlineLevel="0" collapsed="false">
      <c r="A2347" s="13" t="n">
        <f aca="false">1+A2346</f>
        <v>2345</v>
      </c>
      <c r="B2347" s="14" t="n">
        <v>1009603957</v>
      </c>
      <c r="C2347" s="15" t="s">
        <v>146</v>
      </c>
      <c r="D2347" s="16" t="s">
        <v>64</v>
      </c>
      <c r="E2347" s="17" t="s">
        <v>64</v>
      </c>
      <c r="F2347" s="18" t="s">
        <v>34</v>
      </c>
      <c r="G2347" s="19" t="n">
        <v>300359134222</v>
      </c>
      <c r="H2347" s="17" t="s">
        <v>35</v>
      </c>
      <c r="I2347" s="17" t="s">
        <v>79</v>
      </c>
      <c r="J2347" s="17" t="s">
        <v>111</v>
      </c>
      <c r="K2347" s="17" t="s">
        <v>958</v>
      </c>
      <c r="L2347" s="17" t="n">
        <v>2</v>
      </c>
      <c r="M2347" s="17" t="s">
        <v>981</v>
      </c>
      <c r="N2347" s="17" t="n">
        <v>6</v>
      </c>
      <c r="O2347" s="17" t="s">
        <v>982</v>
      </c>
      <c r="P2347" s="17" t="n">
        <v>11</v>
      </c>
      <c r="Q2347" s="17" t="s">
        <v>953</v>
      </c>
      <c r="R2347" s="17" t="s">
        <v>35</v>
      </c>
      <c r="S2347" s="17" t="s">
        <v>613</v>
      </c>
      <c r="T2347" s="18" t="s">
        <v>248</v>
      </c>
      <c r="U2347" s="20" t="s">
        <v>122</v>
      </c>
      <c r="V2347" s="17" t="n">
        <v>2</v>
      </c>
      <c r="W2347" s="20" t="s">
        <v>122</v>
      </c>
      <c r="X2347" s="17" t="s">
        <v>111</v>
      </c>
      <c r="Y2347" s="17" t="s">
        <v>958</v>
      </c>
      <c r="Z2347" s="17" t="s">
        <v>306</v>
      </c>
      <c r="AA2347" s="17" t="s">
        <v>919</v>
      </c>
      <c r="AB2347" s="17" t="s">
        <v>41</v>
      </c>
      <c r="AC2347" s="0" t="str">
        <f aca="false">LEFT(G2347,2)</f>
        <v>30</v>
      </c>
    </row>
    <row r="2348" customFormat="false" ht="15" hidden="false" customHeight="false" outlineLevel="0" collapsed="false">
      <c r="A2348" s="13" t="n">
        <f aca="false">1+A2347</f>
        <v>2346</v>
      </c>
      <c r="B2348" s="14" t="n">
        <v>1009666801</v>
      </c>
      <c r="C2348" s="15" t="s">
        <v>1185</v>
      </c>
      <c r="D2348" s="16" t="s">
        <v>64</v>
      </c>
      <c r="E2348" s="17" t="s">
        <v>47</v>
      </c>
      <c r="F2348" s="18" t="s">
        <v>34</v>
      </c>
      <c r="G2348" s="19" t="n">
        <v>878156157736</v>
      </c>
      <c r="H2348" s="17" t="s">
        <v>35</v>
      </c>
      <c r="I2348" s="17" t="s">
        <v>79</v>
      </c>
      <c r="J2348" s="17" t="s">
        <v>111</v>
      </c>
      <c r="K2348" s="17" t="s">
        <v>958</v>
      </c>
      <c r="L2348" s="17" t="n">
        <v>1</v>
      </c>
      <c r="M2348" s="17" t="s">
        <v>610</v>
      </c>
      <c r="N2348" s="17" t="n">
        <v>1</v>
      </c>
      <c r="O2348" s="17" t="s">
        <v>611</v>
      </c>
      <c r="P2348" s="17" t="n">
        <v>11</v>
      </c>
      <c r="Q2348" s="17" t="s">
        <v>953</v>
      </c>
      <c r="R2348" s="17" t="s">
        <v>35</v>
      </c>
      <c r="S2348" s="17" t="s">
        <v>613</v>
      </c>
      <c r="T2348" s="18" t="s">
        <v>248</v>
      </c>
      <c r="U2348" s="20" t="s">
        <v>122</v>
      </c>
      <c r="V2348" s="17" t="n">
        <v>2</v>
      </c>
      <c r="W2348" s="20" t="s">
        <v>122</v>
      </c>
      <c r="X2348" s="17" t="s">
        <v>111</v>
      </c>
      <c r="Y2348" s="17" t="s">
        <v>958</v>
      </c>
      <c r="Z2348" s="17" t="s">
        <v>1186</v>
      </c>
      <c r="AA2348" s="17" t="s">
        <v>919</v>
      </c>
      <c r="AB2348" s="17" t="s">
        <v>41</v>
      </c>
      <c r="AC2348" s="0" t="str">
        <f aca="false">LEFT(G2348,2)</f>
        <v>87</v>
      </c>
    </row>
    <row r="2349" customFormat="false" ht="15" hidden="false" customHeight="false" outlineLevel="0" collapsed="false">
      <c r="A2349" s="13" t="n">
        <f aca="false">1+A2348</f>
        <v>2347</v>
      </c>
      <c r="B2349" s="14" t="n">
        <v>1009635061</v>
      </c>
      <c r="C2349" s="15" t="s">
        <v>182</v>
      </c>
      <c r="D2349" s="16" t="s">
        <v>64</v>
      </c>
      <c r="E2349" s="17" t="s">
        <v>1114</v>
      </c>
      <c r="F2349" s="18" t="s">
        <v>34</v>
      </c>
      <c r="G2349" s="19" t="n">
        <v>879012143795</v>
      </c>
      <c r="H2349" s="17" t="s">
        <v>35</v>
      </c>
      <c r="I2349" s="17" t="s">
        <v>79</v>
      </c>
      <c r="J2349" s="17" t="s">
        <v>118</v>
      </c>
      <c r="K2349" s="17" t="s">
        <v>609</v>
      </c>
      <c r="L2349" s="17" t="n">
        <v>5</v>
      </c>
      <c r="M2349" s="17" t="s">
        <v>952</v>
      </c>
      <c r="N2349" s="17" t="n">
        <v>1</v>
      </c>
      <c r="O2349" s="17" t="s">
        <v>611</v>
      </c>
      <c r="P2349" s="17" t="n">
        <v>11</v>
      </c>
      <c r="Q2349" s="17" t="s">
        <v>953</v>
      </c>
      <c r="R2349" s="17" t="s">
        <v>35</v>
      </c>
      <c r="S2349" s="17" t="s">
        <v>613</v>
      </c>
      <c r="T2349" s="18" t="s">
        <v>248</v>
      </c>
      <c r="U2349" s="20" t="s">
        <v>256</v>
      </c>
      <c r="V2349" s="17" t="n">
        <v>1</v>
      </c>
      <c r="W2349" s="20" t="s">
        <v>256</v>
      </c>
      <c r="X2349" s="17" t="s">
        <v>118</v>
      </c>
      <c r="Y2349" s="17" t="s">
        <v>609</v>
      </c>
      <c r="Z2349" s="17" t="s">
        <v>306</v>
      </c>
      <c r="AA2349" s="17" t="s">
        <v>919</v>
      </c>
      <c r="AB2349" s="17" t="s">
        <v>41</v>
      </c>
      <c r="AC2349" s="0" t="str">
        <f aca="false">LEFT(G2349,2)</f>
        <v>87</v>
      </c>
    </row>
    <row r="2350" customFormat="false" ht="15" hidden="false" customHeight="false" outlineLevel="0" collapsed="false">
      <c r="A2350" s="13" t="n">
        <f aca="false">1+A2349</f>
        <v>2348</v>
      </c>
      <c r="B2350" s="14" t="n">
        <v>1009626078</v>
      </c>
      <c r="C2350" s="15" t="s">
        <v>163</v>
      </c>
      <c r="D2350" s="16" t="s">
        <v>64</v>
      </c>
      <c r="E2350" s="17" t="s">
        <v>64</v>
      </c>
      <c r="F2350" s="18" t="s">
        <v>34</v>
      </c>
      <c r="G2350" s="19" t="n">
        <v>889326177199</v>
      </c>
      <c r="H2350" s="17" t="s">
        <v>35</v>
      </c>
      <c r="I2350" s="17" t="s">
        <v>79</v>
      </c>
      <c r="J2350" s="17" t="s">
        <v>118</v>
      </c>
      <c r="K2350" s="17" t="s">
        <v>609</v>
      </c>
      <c r="L2350" s="17" t="n">
        <v>5</v>
      </c>
      <c r="M2350" s="17" t="s">
        <v>952</v>
      </c>
      <c r="N2350" s="17" t="n">
        <v>28</v>
      </c>
      <c r="O2350" s="17" t="s">
        <v>1054</v>
      </c>
      <c r="P2350" s="17" t="n">
        <v>11</v>
      </c>
      <c r="Q2350" s="17" t="s">
        <v>953</v>
      </c>
      <c r="R2350" s="17" t="s">
        <v>35</v>
      </c>
      <c r="S2350" s="17" t="s">
        <v>613</v>
      </c>
      <c r="T2350" s="18" t="s">
        <v>248</v>
      </c>
      <c r="U2350" s="20" t="s">
        <v>256</v>
      </c>
      <c r="V2350" s="17" t="n">
        <v>1</v>
      </c>
      <c r="W2350" s="20" t="s">
        <v>256</v>
      </c>
      <c r="X2350" s="17" t="s">
        <v>118</v>
      </c>
      <c r="Y2350" s="17" t="s">
        <v>609</v>
      </c>
      <c r="Z2350" s="17" t="s">
        <v>306</v>
      </c>
      <c r="AA2350" s="17" t="s">
        <v>919</v>
      </c>
      <c r="AB2350" s="17" t="s">
        <v>41</v>
      </c>
      <c r="AC2350" s="0" t="str">
        <f aca="false">LEFT(G2350,2)</f>
        <v>88</v>
      </c>
    </row>
    <row r="2351" customFormat="false" ht="15" hidden="false" customHeight="false" outlineLevel="0" collapsed="false">
      <c r="A2351" s="13" t="n">
        <f aca="false">1+A2350</f>
        <v>2349</v>
      </c>
      <c r="B2351" s="14" t="n">
        <v>1009537748</v>
      </c>
      <c r="C2351" s="15" t="s">
        <v>311</v>
      </c>
      <c r="D2351" s="16" t="s">
        <v>64</v>
      </c>
      <c r="E2351" s="17" t="s">
        <v>64</v>
      </c>
      <c r="F2351" s="18" t="s">
        <v>34</v>
      </c>
      <c r="G2351" s="19" t="n">
        <v>879274130498</v>
      </c>
      <c r="H2351" s="17" t="s">
        <v>35</v>
      </c>
      <c r="I2351" s="17" t="s">
        <v>79</v>
      </c>
      <c r="J2351" s="17" t="s">
        <v>106</v>
      </c>
      <c r="K2351" s="17" t="s">
        <v>1144</v>
      </c>
      <c r="L2351" s="17" t="n">
        <v>2</v>
      </c>
      <c r="M2351" s="17" t="s">
        <v>981</v>
      </c>
      <c r="N2351" s="17" t="n">
        <v>6</v>
      </c>
      <c r="O2351" s="17" t="s">
        <v>982</v>
      </c>
      <c r="P2351" s="17" t="n">
        <v>11</v>
      </c>
      <c r="Q2351" s="17" t="s">
        <v>953</v>
      </c>
      <c r="R2351" s="17" t="s">
        <v>35</v>
      </c>
      <c r="S2351" s="17" t="s">
        <v>613</v>
      </c>
      <c r="T2351" s="18" t="s">
        <v>248</v>
      </c>
      <c r="U2351" s="20" t="s">
        <v>122</v>
      </c>
      <c r="V2351" s="17" t="n">
        <v>2</v>
      </c>
      <c r="W2351" s="20" t="s">
        <v>122</v>
      </c>
      <c r="X2351" s="17" t="s">
        <v>106</v>
      </c>
      <c r="Y2351" s="17" t="s">
        <v>1144</v>
      </c>
      <c r="Z2351" s="17" t="s">
        <v>306</v>
      </c>
      <c r="AA2351" s="17" t="s">
        <v>919</v>
      </c>
      <c r="AB2351" s="17" t="s">
        <v>41</v>
      </c>
      <c r="AC2351" s="0" t="str">
        <f aca="false">LEFT(G2351,2)</f>
        <v>87</v>
      </c>
    </row>
    <row r="2352" customFormat="false" ht="15" hidden="false" customHeight="false" outlineLevel="0" collapsed="false">
      <c r="A2352" s="13" t="n">
        <f aca="false">1+A2351</f>
        <v>2350</v>
      </c>
      <c r="B2352" s="14" t="n">
        <v>1009673904</v>
      </c>
      <c r="C2352" s="15" t="s">
        <v>436</v>
      </c>
      <c r="D2352" s="16" t="s">
        <v>64</v>
      </c>
      <c r="E2352" s="17" t="s">
        <v>109</v>
      </c>
      <c r="F2352" s="18" t="s">
        <v>34</v>
      </c>
      <c r="G2352" s="19" t="n">
        <v>889260426834</v>
      </c>
      <c r="H2352" s="17" t="s">
        <v>35</v>
      </c>
      <c r="I2352" s="17" t="s">
        <v>79</v>
      </c>
      <c r="J2352" s="17" t="s">
        <v>289</v>
      </c>
      <c r="K2352" s="17" t="s">
        <v>1067</v>
      </c>
      <c r="L2352" s="17" t="n">
        <v>1</v>
      </c>
      <c r="M2352" s="17" t="s">
        <v>610</v>
      </c>
      <c r="N2352" s="17" t="n">
        <v>1</v>
      </c>
      <c r="O2352" s="17" t="s">
        <v>611</v>
      </c>
      <c r="P2352" s="17" t="n">
        <v>11</v>
      </c>
      <c r="Q2352" s="17" t="s">
        <v>953</v>
      </c>
      <c r="R2352" s="17" t="s">
        <v>35</v>
      </c>
      <c r="S2352" s="17" t="s">
        <v>613</v>
      </c>
      <c r="T2352" s="18" t="s">
        <v>248</v>
      </c>
      <c r="U2352" s="20" t="s">
        <v>256</v>
      </c>
      <c r="V2352" s="17" t="n">
        <v>1</v>
      </c>
      <c r="W2352" s="20" t="s">
        <v>256</v>
      </c>
      <c r="X2352" s="17" t="s">
        <v>289</v>
      </c>
      <c r="Y2352" s="17" t="s">
        <v>1067</v>
      </c>
      <c r="Z2352" s="17" t="s">
        <v>1187</v>
      </c>
      <c r="AA2352" s="17" t="s">
        <v>919</v>
      </c>
      <c r="AB2352" s="17" t="s">
        <v>41</v>
      </c>
      <c r="AC2352" s="0" t="str">
        <f aca="false">LEFT(G2352,2)</f>
        <v>88</v>
      </c>
    </row>
    <row r="2353" customFormat="false" ht="15" hidden="false" customHeight="false" outlineLevel="0" collapsed="false">
      <c r="A2353" s="13" t="n">
        <f aca="false">1+A2352</f>
        <v>2351</v>
      </c>
      <c r="B2353" s="14" t="n">
        <v>1009663306</v>
      </c>
      <c r="C2353" s="15" t="s">
        <v>433</v>
      </c>
      <c r="D2353" s="16" t="s">
        <v>64</v>
      </c>
      <c r="E2353" s="17" t="s">
        <v>47</v>
      </c>
      <c r="F2353" s="18" t="s">
        <v>34</v>
      </c>
      <c r="G2353" s="19" t="n">
        <v>879273104080</v>
      </c>
      <c r="H2353" s="17" t="s">
        <v>35</v>
      </c>
      <c r="I2353" s="17" t="s">
        <v>79</v>
      </c>
      <c r="J2353" s="17" t="s">
        <v>100</v>
      </c>
      <c r="K2353" s="17" t="s">
        <v>978</v>
      </c>
      <c r="L2353" s="17" t="n">
        <v>5</v>
      </c>
      <c r="M2353" s="17" t="s">
        <v>952</v>
      </c>
      <c r="N2353" s="17" t="n">
        <v>1</v>
      </c>
      <c r="O2353" s="17" t="s">
        <v>611</v>
      </c>
      <c r="P2353" s="17" t="n">
        <v>11</v>
      </c>
      <c r="Q2353" s="17" t="s">
        <v>953</v>
      </c>
      <c r="R2353" s="17" t="s">
        <v>35</v>
      </c>
      <c r="S2353" s="17" t="s">
        <v>613</v>
      </c>
      <c r="T2353" s="18" t="s">
        <v>248</v>
      </c>
      <c r="U2353" s="20" t="s">
        <v>256</v>
      </c>
      <c r="V2353" s="17" t="n">
        <v>1</v>
      </c>
      <c r="W2353" s="20" t="s">
        <v>256</v>
      </c>
      <c r="X2353" s="17" t="s">
        <v>100</v>
      </c>
      <c r="Y2353" s="17" t="s">
        <v>978</v>
      </c>
      <c r="Z2353" s="17" t="s">
        <v>306</v>
      </c>
      <c r="AA2353" s="17" t="s">
        <v>919</v>
      </c>
      <c r="AB2353" s="17" t="s">
        <v>41</v>
      </c>
      <c r="AC2353" s="0" t="str">
        <f aca="false">LEFT(G2353,2)</f>
        <v>87</v>
      </c>
      <c r="AD2353" s="0"/>
      <c r="AE2353" s="0"/>
    </row>
    <row r="2354" customFormat="false" ht="15" hidden="false" customHeight="false" outlineLevel="0" collapsed="false">
      <c r="A2354" s="13" t="n">
        <f aca="false">1+A2353</f>
        <v>2352</v>
      </c>
      <c r="B2354" s="14" t="n">
        <v>1009603338</v>
      </c>
      <c r="C2354" s="15" t="s">
        <v>181</v>
      </c>
      <c r="D2354" s="16" t="s">
        <v>64</v>
      </c>
      <c r="E2354" s="17" t="s">
        <v>64</v>
      </c>
      <c r="F2354" s="18" t="s">
        <v>34</v>
      </c>
      <c r="G2354" s="19" t="n">
        <v>300349283386</v>
      </c>
      <c r="H2354" s="17" t="s">
        <v>35</v>
      </c>
      <c r="I2354" s="17" t="s">
        <v>79</v>
      </c>
      <c r="J2354" s="17" t="s">
        <v>100</v>
      </c>
      <c r="K2354" s="17" t="s">
        <v>978</v>
      </c>
      <c r="L2354" s="17" t="n">
        <v>5</v>
      </c>
      <c r="M2354" s="17" t="s">
        <v>952</v>
      </c>
      <c r="N2354" s="17" t="n">
        <v>1</v>
      </c>
      <c r="O2354" s="17" t="s">
        <v>611</v>
      </c>
      <c r="P2354" s="17" t="n">
        <v>11</v>
      </c>
      <c r="Q2354" s="17" t="s">
        <v>953</v>
      </c>
      <c r="R2354" s="17" t="s">
        <v>35</v>
      </c>
      <c r="S2354" s="17" t="s">
        <v>613</v>
      </c>
      <c r="T2354" s="18" t="s">
        <v>248</v>
      </c>
      <c r="U2354" s="20" t="s">
        <v>256</v>
      </c>
      <c r="V2354" s="17" t="n">
        <v>1</v>
      </c>
      <c r="W2354" s="20" t="s">
        <v>256</v>
      </c>
      <c r="X2354" s="17" t="s">
        <v>100</v>
      </c>
      <c r="Y2354" s="17" t="s">
        <v>978</v>
      </c>
      <c r="Z2354" s="17" t="s">
        <v>307</v>
      </c>
      <c r="AA2354" s="17" t="s">
        <v>919</v>
      </c>
      <c r="AB2354" s="17" t="s">
        <v>41</v>
      </c>
      <c r="AC2354" s="0" t="str">
        <f aca="false">LEFT(G2354,2)</f>
        <v>30</v>
      </c>
      <c r="AD2354" s="0"/>
      <c r="AE2354" s="0"/>
    </row>
    <row r="2355" customFormat="false" ht="15" hidden="false" customHeight="false" outlineLevel="0" collapsed="false">
      <c r="A2355" s="13" t="n">
        <f aca="false">1+A2354</f>
        <v>2353</v>
      </c>
      <c r="B2355" s="14" t="n">
        <v>1009603321</v>
      </c>
      <c r="C2355" s="15" t="s">
        <v>181</v>
      </c>
      <c r="D2355" s="16" t="s">
        <v>64</v>
      </c>
      <c r="E2355" s="17" t="s">
        <v>64</v>
      </c>
      <c r="F2355" s="18" t="s">
        <v>34</v>
      </c>
      <c r="G2355" s="19" t="n">
        <v>420264287277</v>
      </c>
      <c r="H2355" s="17" t="s">
        <v>35</v>
      </c>
      <c r="I2355" s="17" t="s">
        <v>82</v>
      </c>
      <c r="J2355" s="17" t="s">
        <v>239</v>
      </c>
      <c r="K2355" s="17" t="s">
        <v>951</v>
      </c>
      <c r="L2355" s="17" t="n">
        <v>2</v>
      </c>
      <c r="M2355" s="17" t="s">
        <v>981</v>
      </c>
      <c r="N2355" s="17" t="n">
        <v>6</v>
      </c>
      <c r="O2355" s="17" t="s">
        <v>982</v>
      </c>
      <c r="P2355" s="17" t="n">
        <v>11</v>
      </c>
      <c r="Q2355" s="17" t="s">
        <v>953</v>
      </c>
      <c r="R2355" s="17" t="s">
        <v>35</v>
      </c>
      <c r="S2355" s="17" t="s">
        <v>613</v>
      </c>
      <c r="T2355" s="18" t="s">
        <v>248</v>
      </c>
      <c r="U2355" s="20" t="s">
        <v>256</v>
      </c>
      <c r="V2355" s="17" t="n">
        <v>1</v>
      </c>
      <c r="W2355" s="20" t="s">
        <v>256</v>
      </c>
      <c r="X2355" s="17" t="s">
        <v>239</v>
      </c>
      <c r="Y2355" s="17" t="s">
        <v>951</v>
      </c>
      <c r="Z2355" s="17" t="s">
        <v>303</v>
      </c>
      <c r="AA2355" s="17" t="s">
        <v>919</v>
      </c>
      <c r="AB2355" s="17" t="s">
        <v>41</v>
      </c>
      <c r="AC2355" s="0" t="str">
        <f aca="false">LEFT(G2355,2)</f>
        <v>42</v>
      </c>
      <c r="AD2355" s="0"/>
      <c r="AE2355" s="0"/>
    </row>
    <row r="2356" customFormat="false" ht="15" hidden="false" customHeight="false" outlineLevel="0" collapsed="false">
      <c r="A2356" s="13" t="n">
        <f aca="false">1+A2355</f>
        <v>2354</v>
      </c>
      <c r="B2356" s="14" t="n">
        <v>1009540449</v>
      </c>
      <c r="C2356" s="15" t="s">
        <v>126</v>
      </c>
      <c r="D2356" s="16" t="s">
        <v>64</v>
      </c>
      <c r="E2356" s="17" t="s">
        <v>64</v>
      </c>
      <c r="F2356" s="18" t="s">
        <v>34</v>
      </c>
      <c r="G2356" s="19" t="n">
        <v>429249185191</v>
      </c>
      <c r="H2356" s="17" t="s">
        <v>35</v>
      </c>
      <c r="I2356" s="17" t="s">
        <v>82</v>
      </c>
      <c r="J2356" s="17" t="s">
        <v>100</v>
      </c>
      <c r="K2356" s="17" t="s">
        <v>978</v>
      </c>
      <c r="L2356" s="17" t="n">
        <v>5</v>
      </c>
      <c r="M2356" s="17" t="s">
        <v>952</v>
      </c>
      <c r="N2356" s="17" t="n">
        <v>1</v>
      </c>
      <c r="O2356" s="17" t="s">
        <v>611</v>
      </c>
      <c r="P2356" s="17" t="n">
        <v>11</v>
      </c>
      <c r="Q2356" s="17" t="s">
        <v>953</v>
      </c>
      <c r="R2356" s="17" t="s">
        <v>35</v>
      </c>
      <c r="S2356" s="17" t="s">
        <v>613</v>
      </c>
      <c r="T2356" s="18" t="s">
        <v>248</v>
      </c>
      <c r="U2356" s="20" t="s">
        <v>256</v>
      </c>
      <c r="V2356" s="17" t="n">
        <v>1</v>
      </c>
      <c r="W2356" s="20" t="s">
        <v>256</v>
      </c>
      <c r="X2356" s="17" t="s">
        <v>100</v>
      </c>
      <c r="Y2356" s="17" t="s">
        <v>978</v>
      </c>
      <c r="Z2356" s="17" t="s">
        <v>303</v>
      </c>
      <c r="AA2356" s="17" t="s">
        <v>919</v>
      </c>
      <c r="AB2356" s="17" t="s">
        <v>41</v>
      </c>
      <c r="AC2356" s="0" t="str">
        <f aca="false">LEFT(G2356,2)</f>
        <v>42</v>
      </c>
      <c r="AD2356" s="0"/>
      <c r="AE2356" s="0"/>
    </row>
    <row r="2357" customFormat="false" ht="15" hidden="false" customHeight="false" outlineLevel="0" collapsed="false">
      <c r="A2357" s="13" t="n">
        <f aca="false">1+A2356</f>
        <v>2355</v>
      </c>
      <c r="B2357" s="14" t="n">
        <v>1009624286</v>
      </c>
      <c r="C2357" s="15" t="s">
        <v>163</v>
      </c>
      <c r="D2357" s="16" t="s">
        <v>64</v>
      </c>
      <c r="E2357" s="17" t="s">
        <v>64</v>
      </c>
      <c r="F2357" s="18" t="s">
        <v>34</v>
      </c>
      <c r="G2357" s="19" t="n">
        <v>429249182230</v>
      </c>
      <c r="H2357" s="17" t="s">
        <v>35</v>
      </c>
      <c r="I2357" s="17" t="s">
        <v>82</v>
      </c>
      <c r="J2357" s="17" t="s">
        <v>100</v>
      </c>
      <c r="K2357" s="17" t="s">
        <v>978</v>
      </c>
      <c r="L2357" s="17" t="n">
        <v>5</v>
      </c>
      <c r="M2357" s="17" t="s">
        <v>952</v>
      </c>
      <c r="N2357" s="17" t="n">
        <v>1</v>
      </c>
      <c r="O2357" s="17" t="s">
        <v>611</v>
      </c>
      <c r="P2357" s="17" t="n">
        <v>11</v>
      </c>
      <c r="Q2357" s="17" t="s">
        <v>953</v>
      </c>
      <c r="R2357" s="17" t="s">
        <v>35</v>
      </c>
      <c r="S2357" s="17" t="s">
        <v>613</v>
      </c>
      <c r="T2357" s="18" t="s">
        <v>248</v>
      </c>
      <c r="U2357" s="20" t="s">
        <v>256</v>
      </c>
      <c r="V2357" s="17" t="n">
        <v>1</v>
      </c>
      <c r="W2357" s="20" t="s">
        <v>256</v>
      </c>
      <c r="X2357" s="17" t="s">
        <v>100</v>
      </c>
      <c r="Y2357" s="17" t="s">
        <v>978</v>
      </c>
      <c r="Z2357" s="17" t="s">
        <v>303</v>
      </c>
      <c r="AA2357" s="17" t="s">
        <v>919</v>
      </c>
      <c r="AB2357" s="17" t="s">
        <v>41</v>
      </c>
      <c r="AC2357" s="0" t="str">
        <f aca="false">LEFT(G2357,2)</f>
        <v>42</v>
      </c>
      <c r="AD2357" s="0"/>
      <c r="AE2357" s="0"/>
    </row>
    <row r="2358" customFormat="false" ht="15" hidden="false" customHeight="false" outlineLevel="0" collapsed="false">
      <c r="A2358" s="13" t="n">
        <f aca="false">1+A2357</f>
        <v>2356</v>
      </c>
      <c r="B2358" s="14" t="n">
        <v>1009561723</v>
      </c>
      <c r="C2358" s="15" t="s">
        <v>192</v>
      </c>
      <c r="D2358" s="16" t="s">
        <v>64</v>
      </c>
      <c r="E2358" s="17" t="s">
        <v>114</v>
      </c>
      <c r="F2358" s="18" t="s">
        <v>34</v>
      </c>
      <c r="G2358" s="19" t="n">
        <v>420267211852</v>
      </c>
      <c r="H2358" s="17" t="s">
        <v>35</v>
      </c>
      <c r="I2358" s="17" t="s">
        <v>82</v>
      </c>
      <c r="J2358" s="17" t="s">
        <v>121</v>
      </c>
      <c r="K2358" s="17" t="s">
        <v>955</v>
      </c>
      <c r="L2358" s="17" t="n">
        <v>2</v>
      </c>
      <c r="M2358" s="17" t="s">
        <v>981</v>
      </c>
      <c r="N2358" s="17" t="n">
        <v>6</v>
      </c>
      <c r="O2358" s="17" t="s">
        <v>982</v>
      </c>
      <c r="P2358" s="17" t="n">
        <v>11</v>
      </c>
      <c r="Q2358" s="17" t="s">
        <v>953</v>
      </c>
      <c r="R2358" s="17" t="s">
        <v>35</v>
      </c>
      <c r="S2358" s="17" t="s">
        <v>613</v>
      </c>
      <c r="T2358" s="18" t="s">
        <v>248</v>
      </c>
      <c r="U2358" s="20" t="s">
        <v>256</v>
      </c>
      <c r="V2358" s="17" t="n">
        <v>1</v>
      </c>
      <c r="W2358" s="20" t="s">
        <v>256</v>
      </c>
      <c r="X2358" s="17" t="s">
        <v>121</v>
      </c>
      <c r="Y2358" s="17" t="s">
        <v>955</v>
      </c>
      <c r="Z2358" s="17" t="s">
        <v>303</v>
      </c>
      <c r="AA2358" s="17" t="s">
        <v>919</v>
      </c>
      <c r="AB2358" s="17" t="s">
        <v>41</v>
      </c>
      <c r="AC2358" s="0" t="str">
        <f aca="false">LEFT(G2358,2)</f>
        <v>42</v>
      </c>
      <c r="AD2358" s="0"/>
      <c r="AE2358" s="0"/>
    </row>
    <row r="2359" customFormat="false" ht="15" hidden="false" customHeight="false" outlineLevel="0" collapsed="false">
      <c r="A2359" s="13" t="n">
        <f aca="false">1+A2358</f>
        <v>2357</v>
      </c>
      <c r="B2359" s="14" t="n">
        <v>1009641142</v>
      </c>
      <c r="C2359" s="15" t="s">
        <v>429</v>
      </c>
      <c r="D2359" s="16" t="s">
        <v>175</v>
      </c>
      <c r="E2359" s="17" t="s">
        <v>176</v>
      </c>
      <c r="F2359" s="18" t="s">
        <v>34</v>
      </c>
      <c r="G2359" s="19" t="n">
        <v>866282123318</v>
      </c>
      <c r="H2359" s="17" t="s">
        <v>35</v>
      </c>
      <c r="I2359" s="17" t="s">
        <v>72</v>
      </c>
      <c r="J2359" s="17" t="s">
        <v>121</v>
      </c>
      <c r="K2359" s="17" t="s">
        <v>955</v>
      </c>
      <c r="L2359" s="17" t="n">
        <v>1</v>
      </c>
      <c r="M2359" s="17" t="s">
        <v>610</v>
      </c>
      <c r="N2359" s="17" t="n">
        <v>1</v>
      </c>
      <c r="O2359" s="17" t="s">
        <v>611</v>
      </c>
      <c r="P2359" s="17" t="n">
        <v>12</v>
      </c>
      <c r="Q2359" s="17" t="s">
        <v>612</v>
      </c>
      <c r="R2359" s="17" t="s">
        <v>35</v>
      </c>
      <c r="S2359" s="17" t="s">
        <v>613</v>
      </c>
      <c r="T2359" s="18" t="s">
        <v>135</v>
      </c>
      <c r="U2359" s="20" t="s">
        <v>101</v>
      </c>
      <c r="V2359" s="17" t="n">
        <v>8</v>
      </c>
      <c r="W2359" s="20" t="s">
        <v>101</v>
      </c>
      <c r="X2359" s="17" t="s">
        <v>121</v>
      </c>
      <c r="Y2359" s="17" t="s">
        <v>955</v>
      </c>
      <c r="Z2359" s="17" t="s">
        <v>959</v>
      </c>
      <c r="AA2359" s="17" t="s">
        <v>919</v>
      </c>
      <c r="AB2359" s="17" t="s">
        <v>41</v>
      </c>
      <c r="AC2359" s="0" t="str">
        <f aca="false">LEFT(G2359,2)</f>
        <v>86</v>
      </c>
      <c r="AD2359" s="0"/>
      <c r="AE2359" s="0"/>
    </row>
    <row r="2360" customFormat="false" ht="15" hidden="false" customHeight="false" outlineLevel="0" collapsed="false">
      <c r="A2360" s="13" t="n">
        <f aca="false">1+A2359</f>
        <v>2358</v>
      </c>
      <c r="B2360" s="14" t="n">
        <v>1009684122</v>
      </c>
      <c r="C2360" s="15" t="s">
        <v>413</v>
      </c>
      <c r="D2360" s="16" t="s">
        <v>183</v>
      </c>
      <c r="E2360" s="17" t="s">
        <v>47</v>
      </c>
      <c r="F2360" s="18" t="s">
        <v>34</v>
      </c>
      <c r="G2360" s="19" t="n">
        <v>867173150147</v>
      </c>
      <c r="H2360" s="17" t="s">
        <v>35</v>
      </c>
      <c r="I2360" s="17" t="s">
        <v>72</v>
      </c>
      <c r="J2360" s="17" t="s">
        <v>121</v>
      </c>
      <c r="K2360" s="17" t="s">
        <v>955</v>
      </c>
      <c r="L2360" s="17" t="n">
        <v>1</v>
      </c>
      <c r="M2360" s="17" t="s">
        <v>610</v>
      </c>
      <c r="N2360" s="17" t="n">
        <v>1</v>
      </c>
      <c r="O2360" s="17" t="s">
        <v>611</v>
      </c>
      <c r="P2360" s="17" t="n">
        <v>11</v>
      </c>
      <c r="Q2360" s="17" t="s">
        <v>953</v>
      </c>
      <c r="R2360" s="17" t="s">
        <v>35</v>
      </c>
      <c r="S2360" s="17" t="s">
        <v>613</v>
      </c>
      <c r="T2360" s="18" t="s">
        <v>248</v>
      </c>
      <c r="U2360" s="20" t="s">
        <v>38</v>
      </c>
      <c r="V2360" s="17" t="n">
        <v>4</v>
      </c>
      <c r="W2360" s="20" t="s">
        <v>38</v>
      </c>
      <c r="X2360" s="17" t="s">
        <v>121</v>
      </c>
      <c r="Y2360" s="17" t="s">
        <v>955</v>
      </c>
      <c r="Z2360" s="17" t="s">
        <v>249</v>
      </c>
      <c r="AA2360" s="17" t="s">
        <v>919</v>
      </c>
      <c r="AB2360" s="17" t="s">
        <v>41</v>
      </c>
      <c r="AC2360" s="0" t="str">
        <f aca="false">LEFT(G2360,2)</f>
        <v>86</v>
      </c>
      <c r="AD2360" s="0"/>
      <c r="AE2360" s="0"/>
    </row>
    <row r="2361" customFormat="false" ht="15" hidden="false" customHeight="false" outlineLevel="0" collapsed="false">
      <c r="A2361" s="13" t="n">
        <f aca="false">1+A2360</f>
        <v>2359</v>
      </c>
      <c r="B2361" s="14" t="n">
        <v>1009625951</v>
      </c>
      <c r="C2361" s="15" t="s">
        <v>146</v>
      </c>
      <c r="D2361" s="16" t="s">
        <v>64</v>
      </c>
      <c r="E2361" s="17" t="s">
        <v>64</v>
      </c>
      <c r="F2361" s="18" t="s">
        <v>34</v>
      </c>
      <c r="G2361" s="19" t="n">
        <v>866029149949</v>
      </c>
      <c r="H2361" s="17" t="s">
        <v>35</v>
      </c>
      <c r="I2361" s="17" t="s">
        <v>72</v>
      </c>
      <c r="J2361" s="17" t="s">
        <v>241</v>
      </c>
      <c r="K2361" s="17" t="s">
        <v>992</v>
      </c>
      <c r="L2361" s="17" t="n">
        <v>5</v>
      </c>
      <c r="M2361" s="17" t="s">
        <v>952</v>
      </c>
      <c r="N2361" s="17" t="n">
        <v>1</v>
      </c>
      <c r="O2361" s="17" t="s">
        <v>611</v>
      </c>
      <c r="P2361" s="17" t="n">
        <v>11</v>
      </c>
      <c r="Q2361" s="17" t="s">
        <v>953</v>
      </c>
      <c r="R2361" s="17" t="s">
        <v>35</v>
      </c>
      <c r="S2361" s="17" t="s">
        <v>613</v>
      </c>
      <c r="T2361" s="18" t="s">
        <v>248</v>
      </c>
      <c r="U2361" s="20" t="s">
        <v>122</v>
      </c>
      <c r="V2361" s="17" t="n">
        <v>2</v>
      </c>
      <c r="W2361" s="20" t="s">
        <v>122</v>
      </c>
      <c r="X2361" s="17" t="s">
        <v>241</v>
      </c>
      <c r="Y2361" s="17" t="s">
        <v>992</v>
      </c>
      <c r="Z2361" s="17" t="s">
        <v>341</v>
      </c>
      <c r="AA2361" s="17" t="s">
        <v>919</v>
      </c>
      <c r="AB2361" s="17" t="s">
        <v>41</v>
      </c>
      <c r="AC2361" s="0" t="str">
        <f aca="false">LEFT(G2361,2)</f>
        <v>86</v>
      </c>
      <c r="AD2361" s="0"/>
      <c r="AE2361" s="0"/>
    </row>
    <row r="2362" customFormat="false" ht="15" hidden="false" customHeight="false" outlineLevel="0" collapsed="false">
      <c r="A2362" s="13" t="n">
        <f aca="false">1+A2361</f>
        <v>2360</v>
      </c>
      <c r="B2362" s="14" t="n">
        <v>1009610914</v>
      </c>
      <c r="C2362" s="15" t="s">
        <v>181</v>
      </c>
      <c r="D2362" s="16" t="s">
        <v>64</v>
      </c>
      <c r="E2362" s="17" t="s">
        <v>64</v>
      </c>
      <c r="F2362" s="18" t="s">
        <v>34</v>
      </c>
      <c r="G2362" s="19" t="n">
        <v>168149921343</v>
      </c>
      <c r="H2362" s="17" t="s">
        <v>35</v>
      </c>
      <c r="I2362" s="17" t="s">
        <v>76</v>
      </c>
      <c r="J2362" s="17" t="s">
        <v>121</v>
      </c>
      <c r="K2362" s="17" t="s">
        <v>955</v>
      </c>
      <c r="L2362" s="17" t="n">
        <v>5</v>
      </c>
      <c r="M2362" s="17" t="s">
        <v>952</v>
      </c>
      <c r="N2362" s="17" t="n">
        <v>1</v>
      </c>
      <c r="O2362" s="17" t="s">
        <v>611</v>
      </c>
      <c r="P2362" s="17" t="n">
        <v>11</v>
      </c>
      <c r="Q2362" s="17" t="s">
        <v>953</v>
      </c>
      <c r="R2362" s="17" t="s">
        <v>35</v>
      </c>
      <c r="S2362" s="17" t="s">
        <v>613</v>
      </c>
      <c r="T2362" s="18" t="s">
        <v>248</v>
      </c>
      <c r="U2362" s="20" t="s">
        <v>38</v>
      </c>
      <c r="V2362" s="17" t="n">
        <v>4</v>
      </c>
      <c r="W2362" s="20" t="s">
        <v>38</v>
      </c>
      <c r="X2362" s="17" t="s">
        <v>121</v>
      </c>
      <c r="Y2362" s="17" t="s">
        <v>955</v>
      </c>
      <c r="Z2362" s="17" t="s">
        <v>302</v>
      </c>
      <c r="AA2362" s="17" t="s">
        <v>919</v>
      </c>
      <c r="AB2362" s="17" t="s">
        <v>41</v>
      </c>
      <c r="AC2362" s="0" t="str">
        <f aca="false">LEFT(G2362,2)</f>
        <v>16</v>
      </c>
      <c r="AD2362" s="0"/>
      <c r="AE2362" s="0"/>
    </row>
    <row r="2363" customFormat="false" ht="15" hidden="false" customHeight="false" outlineLevel="0" collapsed="false">
      <c r="A2363" s="13" t="n">
        <f aca="false">1+A2362</f>
        <v>2361</v>
      </c>
      <c r="B2363" s="14" t="n">
        <v>1009607748</v>
      </c>
      <c r="C2363" s="15" t="s">
        <v>181</v>
      </c>
      <c r="D2363" s="16" t="s">
        <v>64</v>
      </c>
      <c r="E2363" s="17" t="s">
        <v>64</v>
      </c>
      <c r="F2363" s="18" t="s">
        <v>34</v>
      </c>
      <c r="G2363" s="19" t="n">
        <v>167195907529</v>
      </c>
      <c r="H2363" s="17" t="s">
        <v>35</v>
      </c>
      <c r="I2363" s="17" t="s">
        <v>76</v>
      </c>
      <c r="J2363" s="17" t="s">
        <v>100</v>
      </c>
      <c r="K2363" s="17" t="s">
        <v>978</v>
      </c>
      <c r="L2363" s="17" t="n">
        <v>1</v>
      </c>
      <c r="M2363" s="17" t="s">
        <v>610</v>
      </c>
      <c r="N2363" s="17" t="n">
        <v>1</v>
      </c>
      <c r="O2363" s="17" t="s">
        <v>611</v>
      </c>
      <c r="P2363" s="17" t="n">
        <v>12</v>
      </c>
      <c r="Q2363" s="17" t="s">
        <v>612</v>
      </c>
      <c r="R2363" s="17" t="s">
        <v>35</v>
      </c>
      <c r="S2363" s="17" t="s">
        <v>613</v>
      </c>
      <c r="T2363" s="18" t="s">
        <v>135</v>
      </c>
      <c r="U2363" s="20" t="s">
        <v>101</v>
      </c>
      <c r="V2363" s="17" t="n">
        <v>8</v>
      </c>
      <c r="W2363" s="20" t="s">
        <v>101</v>
      </c>
      <c r="X2363" s="17" t="s">
        <v>100</v>
      </c>
      <c r="Y2363" s="17" t="s">
        <v>978</v>
      </c>
      <c r="Z2363" s="17" t="s">
        <v>302</v>
      </c>
      <c r="AA2363" s="17" t="s">
        <v>919</v>
      </c>
      <c r="AB2363" s="17" t="s">
        <v>41</v>
      </c>
      <c r="AC2363" s="0" t="str">
        <f aca="false">LEFT(G2363,2)</f>
        <v>16</v>
      </c>
      <c r="AD2363" s="0"/>
      <c r="AE2363" s="0"/>
    </row>
    <row r="2364" customFormat="false" ht="15" hidden="false" customHeight="false" outlineLevel="0" collapsed="false">
      <c r="A2364" s="13" t="n">
        <f aca="false">1+A2363</f>
        <v>2362</v>
      </c>
      <c r="B2364" s="14" t="n">
        <v>1008356702</v>
      </c>
      <c r="C2364" s="15" t="s">
        <v>1188</v>
      </c>
      <c r="D2364" s="16" t="s">
        <v>138</v>
      </c>
      <c r="E2364" s="17" t="s">
        <v>114</v>
      </c>
      <c r="F2364" s="18" t="s">
        <v>34</v>
      </c>
      <c r="G2364" s="19" t="n">
        <v>134127020144</v>
      </c>
      <c r="H2364" s="17" t="s">
        <v>35</v>
      </c>
      <c r="I2364" s="17" t="s">
        <v>76</v>
      </c>
      <c r="J2364" s="17" t="s">
        <v>289</v>
      </c>
      <c r="K2364" s="17" t="s">
        <v>1067</v>
      </c>
      <c r="L2364" s="17" t="n">
        <v>2</v>
      </c>
      <c r="M2364" s="17" t="s">
        <v>981</v>
      </c>
      <c r="N2364" s="17" t="n">
        <v>6</v>
      </c>
      <c r="O2364" s="17" t="s">
        <v>982</v>
      </c>
      <c r="P2364" s="17" t="n">
        <v>11</v>
      </c>
      <c r="Q2364" s="17" t="s">
        <v>953</v>
      </c>
      <c r="R2364" s="17" t="s">
        <v>35</v>
      </c>
      <c r="S2364" s="17" t="s">
        <v>613</v>
      </c>
      <c r="T2364" s="18" t="s">
        <v>248</v>
      </c>
      <c r="U2364" s="20" t="s">
        <v>122</v>
      </c>
      <c r="V2364" s="17" t="n">
        <v>2</v>
      </c>
      <c r="W2364" s="20" t="s">
        <v>122</v>
      </c>
      <c r="X2364" s="17" t="s">
        <v>289</v>
      </c>
      <c r="Y2364" s="17" t="s">
        <v>1067</v>
      </c>
      <c r="Z2364" s="17" t="s">
        <v>1189</v>
      </c>
      <c r="AA2364" s="17" t="s">
        <v>919</v>
      </c>
      <c r="AB2364" s="17" t="s">
        <v>41</v>
      </c>
      <c r="AC2364" s="0" t="str">
        <f aca="false">LEFT(G2364,2)</f>
        <v>13</v>
      </c>
      <c r="AD2364" s="0"/>
      <c r="AE2364" s="0"/>
      <c r="AQ2364" s="0" t="s">
        <v>1190</v>
      </c>
    </row>
    <row r="2365" customFormat="false" ht="15" hidden="false" customHeight="false" outlineLevel="0" collapsed="false">
      <c r="A2365" s="13" t="n">
        <f aca="false">1+A2364</f>
        <v>2363</v>
      </c>
      <c r="B2365" s="14" t="n">
        <v>1009092286</v>
      </c>
      <c r="C2365" s="15" t="s">
        <v>414</v>
      </c>
      <c r="D2365" s="16" t="s">
        <v>64</v>
      </c>
      <c r="E2365" s="17" t="s">
        <v>47</v>
      </c>
      <c r="F2365" s="18" t="s">
        <v>34</v>
      </c>
      <c r="G2365" s="19" t="n">
        <v>134056153858</v>
      </c>
      <c r="H2365" s="17" t="s">
        <v>35</v>
      </c>
      <c r="I2365" s="17" t="s">
        <v>44</v>
      </c>
      <c r="J2365" s="17" t="s">
        <v>121</v>
      </c>
      <c r="K2365" s="17" t="s">
        <v>955</v>
      </c>
      <c r="L2365" s="17" t="n">
        <v>1</v>
      </c>
      <c r="M2365" s="17" t="s">
        <v>610</v>
      </c>
      <c r="N2365" s="17" t="n">
        <v>1</v>
      </c>
      <c r="O2365" s="17" t="s">
        <v>611</v>
      </c>
      <c r="P2365" s="17" t="n">
        <v>11</v>
      </c>
      <c r="Q2365" s="17" t="s">
        <v>953</v>
      </c>
      <c r="R2365" s="17" t="s">
        <v>35</v>
      </c>
      <c r="S2365" s="17" t="s">
        <v>613</v>
      </c>
      <c r="T2365" s="18" t="s">
        <v>248</v>
      </c>
      <c r="U2365" s="20" t="s">
        <v>38</v>
      </c>
      <c r="V2365" s="17" t="n">
        <v>4</v>
      </c>
      <c r="W2365" s="20" t="s">
        <v>38</v>
      </c>
      <c r="X2365" s="17" t="s">
        <v>121</v>
      </c>
      <c r="Y2365" s="17" t="s">
        <v>955</v>
      </c>
      <c r="Z2365" s="17" t="s">
        <v>1191</v>
      </c>
      <c r="AA2365" s="17" t="s">
        <v>919</v>
      </c>
      <c r="AB2365" s="17" t="s">
        <v>41</v>
      </c>
      <c r="AC2365" s="0" t="str">
        <f aca="false">LEFT(G2365,2)</f>
        <v>13</v>
      </c>
      <c r="AD2365" s="0"/>
      <c r="AE2365" s="0"/>
    </row>
    <row r="2366" customFormat="false" ht="15" hidden="false" customHeight="false" outlineLevel="0" collapsed="false">
      <c r="A2366" s="13" t="n">
        <f aca="false">1+A2365</f>
        <v>2364</v>
      </c>
      <c r="B2366" s="14" t="n">
        <v>1009640048</v>
      </c>
      <c r="C2366" s="15" t="s">
        <v>414</v>
      </c>
      <c r="D2366" s="16" t="s">
        <v>64</v>
      </c>
      <c r="E2366" s="17" t="s">
        <v>64</v>
      </c>
      <c r="F2366" s="18" t="s">
        <v>34</v>
      </c>
      <c r="G2366" s="19" t="n">
        <v>134119137005</v>
      </c>
      <c r="H2366" s="17" t="s">
        <v>35</v>
      </c>
      <c r="I2366" s="17" t="s">
        <v>44</v>
      </c>
      <c r="J2366" s="17" t="s">
        <v>289</v>
      </c>
      <c r="K2366" s="17" t="s">
        <v>1067</v>
      </c>
      <c r="L2366" s="17" t="n">
        <v>1</v>
      </c>
      <c r="M2366" s="17" t="s">
        <v>610</v>
      </c>
      <c r="N2366" s="17" t="n">
        <v>1</v>
      </c>
      <c r="O2366" s="17" t="s">
        <v>611</v>
      </c>
      <c r="P2366" s="17" t="n">
        <v>11</v>
      </c>
      <c r="Q2366" s="17" t="s">
        <v>953</v>
      </c>
      <c r="R2366" s="17" t="s">
        <v>35</v>
      </c>
      <c r="S2366" s="17" t="s">
        <v>613</v>
      </c>
      <c r="T2366" s="18" t="s">
        <v>248</v>
      </c>
      <c r="U2366" s="20" t="s">
        <v>122</v>
      </c>
      <c r="V2366" s="17" t="n">
        <v>2</v>
      </c>
      <c r="W2366" s="20" t="s">
        <v>122</v>
      </c>
      <c r="X2366" s="17" t="s">
        <v>289</v>
      </c>
      <c r="Y2366" s="17" t="s">
        <v>1067</v>
      </c>
      <c r="Z2366" s="17" t="s">
        <v>136</v>
      </c>
      <c r="AA2366" s="17" t="s">
        <v>919</v>
      </c>
      <c r="AB2366" s="17" t="s">
        <v>41</v>
      </c>
      <c r="AC2366" s="0" t="str">
        <f aca="false">LEFT(G2366,2)</f>
        <v>13</v>
      </c>
      <c r="AD2366" s="0"/>
      <c r="AE2366" s="0"/>
    </row>
    <row r="2367" customFormat="false" ht="15" hidden="false" customHeight="false" outlineLevel="0" collapsed="false">
      <c r="A2367" s="13" t="n">
        <f aca="false">1+A2366</f>
        <v>2365</v>
      </c>
      <c r="B2367" s="14" t="n">
        <v>1009091704</v>
      </c>
      <c r="C2367" s="15" t="s">
        <v>229</v>
      </c>
      <c r="D2367" s="16" t="s">
        <v>64</v>
      </c>
      <c r="E2367" s="17" t="s">
        <v>91</v>
      </c>
      <c r="F2367" s="18" t="s">
        <v>34</v>
      </c>
      <c r="G2367" s="19" t="n">
        <v>134301142169</v>
      </c>
      <c r="H2367" s="17" t="s">
        <v>35</v>
      </c>
      <c r="I2367" s="17" t="s">
        <v>44</v>
      </c>
      <c r="J2367" s="17" t="s">
        <v>241</v>
      </c>
      <c r="K2367" s="17" t="s">
        <v>992</v>
      </c>
      <c r="L2367" s="17" t="n">
        <v>5</v>
      </c>
      <c r="M2367" s="17" t="s">
        <v>952</v>
      </c>
      <c r="N2367" s="17" t="n">
        <v>1</v>
      </c>
      <c r="O2367" s="17" t="s">
        <v>611</v>
      </c>
      <c r="P2367" s="17" t="n">
        <v>11</v>
      </c>
      <c r="Q2367" s="17" t="s">
        <v>953</v>
      </c>
      <c r="R2367" s="17" t="s">
        <v>35</v>
      </c>
      <c r="S2367" s="17" t="s">
        <v>613</v>
      </c>
      <c r="T2367" s="18" t="s">
        <v>248</v>
      </c>
      <c r="U2367" s="20" t="s">
        <v>122</v>
      </c>
      <c r="V2367" s="17" t="n">
        <v>2</v>
      </c>
      <c r="W2367" s="20" t="s">
        <v>122</v>
      </c>
      <c r="X2367" s="17" t="s">
        <v>241</v>
      </c>
      <c r="Y2367" s="17" t="s">
        <v>992</v>
      </c>
      <c r="Z2367" s="17" t="s">
        <v>1192</v>
      </c>
      <c r="AA2367" s="17" t="s">
        <v>919</v>
      </c>
      <c r="AB2367" s="17" t="s">
        <v>41</v>
      </c>
      <c r="AC2367" s="0" t="str">
        <f aca="false">LEFT(G2367,2)</f>
        <v>13</v>
      </c>
      <c r="AD2367" s="0"/>
      <c r="AE2367" s="0"/>
    </row>
    <row r="2368" customFormat="false" ht="15" hidden="false" customHeight="false" outlineLevel="0" collapsed="false">
      <c r="A2368" s="13" t="n">
        <f aca="false">1+A2367</f>
        <v>2366</v>
      </c>
      <c r="B2368" s="14" t="n">
        <v>1009092252</v>
      </c>
      <c r="C2368" s="15" t="s">
        <v>414</v>
      </c>
      <c r="D2368" s="16" t="s">
        <v>64</v>
      </c>
      <c r="E2368" s="17" t="s">
        <v>64</v>
      </c>
      <c r="F2368" s="18" t="s">
        <v>34</v>
      </c>
      <c r="G2368" s="19" t="n">
        <v>135213021664</v>
      </c>
      <c r="H2368" s="17" t="s">
        <v>35</v>
      </c>
      <c r="I2368" s="17" t="s">
        <v>44</v>
      </c>
      <c r="J2368" s="17" t="s">
        <v>100</v>
      </c>
      <c r="K2368" s="17" t="s">
        <v>978</v>
      </c>
      <c r="L2368" s="17" t="n">
        <v>1</v>
      </c>
      <c r="M2368" s="17" t="s">
        <v>610</v>
      </c>
      <c r="N2368" s="17" t="n">
        <v>1</v>
      </c>
      <c r="O2368" s="17" t="s">
        <v>611</v>
      </c>
      <c r="P2368" s="17" t="n">
        <v>11</v>
      </c>
      <c r="Q2368" s="17" t="s">
        <v>953</v>
      </c>
      <c r="R2368" s="17" t="s">
        <v>35</v>
      </c>
      <c r="S2368" s="17" t="s">
        <v>613</v>
      </c>
      <c r="T2368" s="18" t="s">
        <v>248</v>
      </c>
      <c r="U2368" s="20" t="s">
        <v>38</v>
      </c>
      <c r="V2368" s="17" t="n">
        <v>4</v>
      </c>
      <c r="W2368" s="20" t="s">
        <v>38</v>
      </c>
      <c r="X2368" s="17" t="s">
        <v>100</v>
      </c>
      <c r="Y2368" s="17" t="s">
        <v>978</v>
      </c>
      <c r="Z2368" s="17" t="s">
        <v>130</v>
      </c>
      <c r="AA2368" s="17" t="s">
        <v>919</v>
      </c>
      <c r="AB2368" s="17" t="s">
        <v>41</v>
      </c>
      <c r="AC2368" s="0" t="str">
        <f aca="false">LEFT(G2368,2)</f>
        <v>13</v>
      </c>
      <c r="AD2368" s="0"/>
      <c r="AE2368" s="0"/>
    </row>
    <row r="2369" customFormat="false" ht="15" hidden="false" customHeight="false" outlineLevel="0" collapsed="false">
      <c r="A2369" s="13" t="n">
        <f aca="false">1+A2368</f>
        <v>2367</v>
      </c>
      <c r="B2369" s="14" t="n">
        <v>1009091707</v>
      </c>
      <c r="C2369" s="15" t="s">
        <v>414</v>
      </c>
      <c r="D2369" s="16" t="s">
        <v>64</v>
      </c>
      <c r="E2369" s="17" t="s">
        <v>91</v>
      </c>
      <c r="F2369" s="18" t="s">
        <v>34</v>
      </c>
      <c r="G2369" s="19" t="n">
        <v>134230487701</v>
      </c>
      <c r="H2369" s="17" t="s">
        <v>35</v>
      </c>
      <c r="I2369" s="17" t="s">
        <v>44</v>
      </c>
      <c r="J2369" s="17" t="s">
        <v>241</v>
      </c>
      <c r="K2369" s="17" t="s">
        <v>992</v>
      </c>
      <c r="L2369" s="17" t="n">
        <v>5</v>
      </c>
      <c r="M2369" s="17" t="s">
        <v>952</v>
      </c>
      <c r="N2369" s="17" t="n">
        <v>1</v>
      </c>
      <c r="O2369" s="17" t="s">
        <v>611</v>
      </c>
      <c r="P2369" s="17" t="n">
        <v>11</v>
      </c>
      <c r="Q2369" s="17" t="s">
        <v>953</v>
      </c>
      <c r="R2369" s="17" t="s">
        <v>35</v>
      </c>
      <c r="S2369" s="17" t="s">
        <v>613</v>
      </c>
      <c r="T2369" s="18" t="s">
        <v>248</v>
      </c>
      <c r="U2369" s="20" t="s">
        <v>122</v>
      </c>
      <c r="V2369" s="17" t="n">
        <v>2</v>
      </c>
      <c r="W2369" s="20" t="s">
        <v>122</v>
      </c>
      <c r="X2369" s="17" t="s">
        <v>241</v>
      </c>
      <c r="Y2369" s="17" t="s">
        <v>992</v>
      </c>
      <c r="Z2369" s="17" t="s">
        <v>130</v>
      </c>
      <c r="AA2369" s="17" t="s">
        <v>919</v>
      </c>
      <c r="AB2369" s="17" t="s">
        <v>41</v>
      </c>
      <c r="AC2369" s="0" t="str">
        <f aca="false">LEFT(G2369,2)</f>
        <v>13</v>
      </c>
    </row>
    <row r="2370" customFormat="false" ht="15" hidden="false" customHeight="false" outlineLevel="0" collapsed="false">
      <c r="A2370" s="13" t="n">
        <f aca="false">1+A2369</f>
        <v>2368</v>
      </c>
      <c r="B2370" s="14" t="n">
        <v>1009092203</v>
      </c>
      <c r="C2370" s="15" t="s">
        <v>414</v>
      </c>
      <c r="D2370" s="16" t="s">
        <v>1193</v>
      </c>
      <c r="E2370" s="17" t="s">
        <v>33</v>
      </c>
      <c r="F2370" s="18" t="s">
        <v>34</v>
      </c>
      <c r="G2370" s="19" t="n">
        <v>134106416677</v>
      </c>
      <c r="H2370" s="17" t="s">
        <v>35</v>
      </c>
      <c r="I2370" s="17" t="s">
        <v>44</v>
      </c>
      <c r="J2370" s="17" t="s">
        <v>267</v>
      </c>
      <c r="K2370" s="17" t="s">
        <v>960</v>
      </c>
      <c r="L2370" s="17" t="n">
        <v>5</v>
      </c>
      <c r="M2370" s="17" t="s">
        <v>952</v>
      </c>
      <c r="N2370" s="17" t="n">
        <v>24</v>
      </c>
      <c r="O2370" s="17" t="s">
        <v>975</v>
      </c>
      <c r="P2370" s="17" t="n">
        <v>11</v>
      </c>
      <c r="Q2370" s="17" t="s">
        <v>953</v>
      </c>
      <c r="R2370" s="17" t="s">
        <v>35</v>
      </c>
      <c r="S2370" s="17" t="s">
        <v>613</v>
      </c>
      <c r="T2370" s="18" t="s">
        <v>248</v>
      </c>
      <c r="U2370" s="20" t="s">
        <v>122</v>
      </c>
      <c r="V2370" s="17" t="n">
        <v>2</v>
      </c>
      <c r="W2370" s="20" t="s">
        <v>122</v>
      </c>
      <c r="X2370" s="17" t="s">
        <v>267</v>
      </c>
      <c r="Y2370" s="17" t="s">
        <v>960</v>
      </c>
      <c r="Z2370" s="17" t="s">
        <v>1194</v>
      </c>
      <c r="AA2370" s="17" t="s">
        <v>919</v>
      </c>
      <c r="AB2370" s="17" t="s">
        <v>41</v>
      </c>
      <c r="AC2370" s="0" t="str">
        <f aca="false">LEFT(G2370,2)</f>
        <v>13</v>
      </c>
    </row>
    <row r="2371" customFormat="false" ht="15" hidden="false" customHeight="false" outlineLevel="0" collapsed="false">
      <c r="A2371" s="13" t="n">
        <f aca="false">1+A2370</f>
        <v>2369</v>
      </c>
      <c r="B2371" s="14" t="n">
        <v>1009091506</v>
      </c>
      <c r="C2371" s="15" t="s">
        <v>414</v>
      </c>
      <c r="D2371" s="16" t="s">
        <v>64</v>
      </c>
      <c r="E2371" s="17" t="s">
        <v>91</v>
      </c>
      <c r="F2371" s="18" t="s">
        <v>34</v>
      </c>
      <c r="G2371" s="19" t="n">
        <v>134283388533</v>
      </c>
      <c r="H2371" s="17" t="s">
        <v>35</v>
      </c>
      <c r="I2371" s="17" t="s">
        <v>44</v>
      </c>
      <c r="J2371" s="17" t="s">
        <v>121</v>
      </c>
      <c r="K2371" s="17" t="s">
        <v>955</v>
      </c>
      <c r="L2371" s="17" t="n">
        <v>1</v>
      </c>
      <c r="M2371" s="17" t="s">
        <v>610</v>
      </c>
      <c r="N2371" s="17" t="n">
        <v>1</v>
      </c>
      <c r="O2371" s="17" t="s">
        <v>611</v>
      </c>
      <c r="P2371" s="17" t="n">
        <v>11</v>
      </c>
      <c r="Q2371" s="17" t="s">
        <v>953</v>
      </c>
      <c r="R2371" s="17" t="s">
        <v>35</v>
      </c>
      <c r="S2371" s="17" t="s">
        <v>613</v>
      </c>
      <c r="T2371" s="18" t="s">
        <v>248</v>
      </c>
      <c r="U2371" s="20" t="s">
        <v>122</v>
      </c>
      <c r="V2371" s="17" t="n">
        <v>2</v>
      </c>
      <c r="W2371" s="20" t="s">
        <v>122</v>
      </c>
      <c r="X2371" s="17" t="s">
        <v>121</v>
      </c>
      <c r="Y2371" s="17" t="s">
        <v>955</v>
      </c>
      <c r="Z2371" s="17" t="s">
        <v>1195</v>
      </c>
      <c r="AA2371" s="17" t="s">
        <v>919</v>
      </c>
      <c r="AB2371" s="17" t="s">
        <v>41</v>
      </c>
      <c r="AC2371" s="0" t="str">
        <f aca="false">LEFT(G2371,2)</f>
        <v>13</v>
      </c>
    </row>
    <row r="2372" customFormat="false" ht="15" hidden="false" customHeight="false" outlineLevel="0" collapsed="false">
      <c r="A2372" s="13" t="n">
        <f aca="false">1+A2371</f>
        <v>2370</v>
      </c>
      <c r="B2372" s="14" t="n">
        <v>1009091606</v>
      </c>
      <c r="C2372" s="15" t="s">
        <v>414</v>
      </c>
      <c r="D2372" s="16" t="s">
        <v>1196</v>
      </c>
      <c r="E2372" s="17" t="s">
        <v>64</v>
      </c>
      <c r="F2372" s="18" t="s">
        <v>34</v>
      </c>
      <c r="G2372" s="19" t="n">
        <v>135224019632</v>
      </c>
      <c r="H2372" s="17" t="s">
        <v>35</v>
      </c>
      <c r="I2372" s="17" t="s">
        <v>44</v>
      </c>
      <c r="J2372" s="17" t="s">
        <v>111</v>
      </c>
      <c r="K2372" s="17" t="s">
        <v>958</v>
      </c>
      <c r="L2372" s="17" t="n">
        <v>1</v>
      </c>
      <c r="M2372" s="17" t="s">
        <v>610</v>
      </c>
      <c r="N2372" s="17" t="n">
        <v>1</v>
      </c>
      <c r="O2372" s="17" t="s">
        <v>611</v>
      </c>
      <c r="P2372" s="17" t="n">
        <v>11</v>
      </c>
      <c r="Q2372" s="17" t="s">
        <v>953</v>
      </c>
      <c r="R2372" s="17" t="s">
        <v>35</v>
      </c>
      <c r="S2372" s="17" t="s">
        <v>613</v>
      </c>
      <c r="T2372" s="18" t="s">
        <v>248</v>
      </c>
      <c r="U2372" s="20" t="s">
        <v>122</v>
      </c>
      <c r="V2372" s="17" t="n">
        <v>2</v>
      </c>
      <c r="W2372" s="20" t="s">
        <v>122</v>
      </c>
      <c r="X2372" s="17" t="s">
        <v>111</v>
      </c>
      <c r="Y2372" s="17" t="s">
        <v>958</v>
      </c>
      <c r="Z2372" s="17" t="s">
        <v>1197</v>
      </c>
      <c r="AA2372" s="17" t="s">
        <v>919</v>
      </c>
      <c r="AB2372" s="17" t="s">
        <v>41</v>
      </c>
      <c r="AC2372" s="0" t="str">
        <f aca="false">LEFT(G2372,2)</f>
        <v>13</v>
      </c>
    </row>
    <row r="2373" customFormat="false" ht="15" hidden="false" customHeight="false" outlineLevel="0" collapsed="false">
      <c r="A2373" s="13" t="n">
        <f aca="false">1+A2372</f>
        <v>2371</v>
      </c>
      <c r="B2373" s="14" t="n">
        <v>1009639861</v>
      </c>
      <c r="C2373" s="15" t="s">
        <v>414</v>
      </c>
      <c r="D2373" s="16" t="s">
        <v>64</v>
      </c>
      <c r="E2373" s="17" t="s">
        <v>64</v>
      </c>
      <c r="F2373" s="18" t="s">
        <v>34</v>
      </c>
      <c r="G2373" s="19" t="n">
        <v>135200031650</v>
      </c>
      <c r="H2373" s="17" t="s">
        <v>35</v>
      </c>
      <c r="I2373" s="17" t="s">
        <v>44</v>
      </c>
      <c r="J2373" s="17" t="s">
        <v>100</v>
      </c>
      <c r="K2373" s="17" t="s">
        <v>978</v>
      </c>
      <c r="L2373" s="17" t="n">
        <v>1</v>
      </c>
      <c r="M2373" s="17" t="s">
        <v>610</v>
      </c>
      <c r="N2373" s="17" t="n">
        <v>1</v>
      </c>
      <c r="O2373" s="17" t="s">
        <v>611</v>
      </c>
      <c r="P2373" s="17" t="n">
        <v>11</v>
      </c>
      <c r="Q2373" s="17" t="s">
        <v>953</v>
      </c>
      <c r="R2373" s="17" t="s">
        <v>35</v>
      </c>
      <c r="S2373" s="17" t="s">
        <v>613</v>
      </c>
      <c r="T2373" s="18" t="s">
        <v>248</v>
      </c>
      <c r="U2373" s="20" t="s">
        <v>122</v>
      </c>
      <c r="V2373" s="17" t="n">
        <v>2</v>
      </c>
      <c r="W2373" s="20" t="s">
        <v>122</v>
      </c>
      <c r="X2373" s="17" t="s">
        <v>100</v>
      </c>
      <c r="Y2373" s="17" t="s">
        <v>978</v>
      </c>
      <c r="Z2373" s="17" t="s">
        <v>1197</v>
      </c>
      <c r="AA2373" s="17" t="s">
        <v>919</v>
      </c>
      <c r="AB2373" s="17" t="s">
        <v>41</v>
      </c>
      <c r="AC2373" s="0" t="str">
        <f aca="false">LEFT(G2373,2)</f>
        <v>13</v>
      </c>
    </row>
    <row r="2374" customFormat="false" ht="15" hidden="false" customHeight="false" outlineLevel="0" collapsed="false">
      <c r="A2374" s="13" t="n">
        <f aca="false">1+A2373</f>
        <v>2372</v>
      </c>
      <c r="B2374" s="14" t="n">
        <v>1009614068</v>
      </c>
      <c r="C2374" s="15" t="s">
        <v>184</v>
      </c>
      <c r="D2374" s="16" t="s">
        <v>64</v>
      </c>
      <c r="E2374" s="17" t="s">
        <v>47</v>
      </c>
      <c r="F2374" s="18" t="s">
        <v>34</v>
      </c>
      <c r="G2374" s="19" t="n">
        <v>134063684820</v>
      </c>
      <c r="H2374" s="17" t="s">
        <v>35</v>
      </c>
      <c r="I2374" s="17" t="s">
        <v>44</v>
      </c>
      <c r="J2374" s="17" t="s">
        <v>100</v>
      </c>
      <c r="K2374" s="17" t="s">
        <v>978</v>
      </c>
      <c r="L2374" s="17" t="n">
        <v>1</v>
      </c>
      <c r="M2374" s="17" t="s">
        <v>610</v>
      </c>
      <c r="N2374" s="17" t="n">
        <v>1</v>
      </c>
      <c r="O2374" s="17" t="s">
        <v>611</v>
      </c>
      <c r="P2374" s="17" t="n">
        <v>11</v>
      </c>
      <c r="Q2374" s="17" t="s">
        <v>953</v>
      </c>
      <c r="R2374" s="17" t="s">
        <v>35</v>
      </c>
      <c r="S2374" s="17" t="s">
        <v>613</v>
      </c>
      <c r="T2374" s="18" t="s">
        <v>248</v>
      </c>
      <c r="U2374" s="20" t="s">
        <v>122</v>
      </c>
      <c r="V2374" s="17" t="n">
        <v>2</v>
      </c>
      <c r="W2374" s="20" t="s">
        <v>122</v>
      </c>
      <c r="X2374" s="17" t="s">
        <v>100</v>
      </c>
      <c r="Y2374" s="17" t="s">
        <v>978</v>
      </c>
      <c r="Z2374" s="17" t="s">
        <v>1197</v>
      </c>
      <c r="AA2374" s="17" t="s">
        <v>919</v>
      </c>
      <c r="AB2374" s="17" t="s">
        <v>41</v>
      </c>
      <c r="AC2374" s="0" t="str">
        <f aca="false">LEFT(G2374,2)</f>
        <v>13</v>
      </c>
    </row>
    <row r="2375" customFormat="false" ht="15" hidden="false" customHeight="false" outlineLevel="0" collapsed="false">
      <c r="A2375" s="13" t="n">
        <f aca="false">1+A2374</f>
        <v>2373</v>
      </c>
      <c r="B2375" s="14" t="n">
        <v>1009091873</v>
      </c>
      <c r="C2375" s="15" t="s">
        <v>414</v>
      </c>
      <c r="D2375" s="16" t="s">
        <v>64</v>
      </c>
      <c r="E2375" s="17" t="s">
        <v>64</v>
      </c>
      <c r="F2375" s="18" t="s">
        <v>34</v>
      </c>
      <c r="G2375" s="19" t="n">
        <v>134119598487</v>
      </c>
      <c r="H2375" s="17" t="s">
        <v>35</v>
      </c>
      <c r="I2375" s="17" t="s">
        <v>44</v>
      </c>
      <c r="J2375" s="17" t="s">
        <v>289</v>
      </c>
      <c r="K2375" s="17" t="s">
        <v>1067</v>
      </c>
      <c r="L2375" s="17" t="n">
        <v>4</v>
      </c>
      <c r="M2375" s="17" t="s">
        <v>976</v>
      </c>
      <c r="N2375" s="17" t="n">
        <v>9</v>
      </c>
      <c r="O2375" s="17" t="s">
        <v>977</v>
      </c>
      <c r="P2375" s="17" t="n">
        <v>11</v>
      </c>
      <c r="Q2375" s="17" t="s">
        <v>953</v>
      </c>
      <c r="R2375" s="17" t="s">
        <v>35</v>
      </c>
      <c r="S2375" s="17" t="s">
        <v>613</v>
      </c>
      <c r="T2375" s="18" t="s">
        <v>248</v>
      </c>
      <c r="U2375" s="20" t="s">
        <v>122</v>
      </c>
      <c r="V2375" s="17" t="n">
        <v>2</v>
      </c>
      <c r="W2375" s="20" t="s">
        <v>122</v>
      </c>
      <c r="X2375" s="17" t="s">
        <v>289</v>
      </c>
      <c r="Y2375" s="17" t="s">
        <v>1067</v>
      </c>
      <c r="Z2375" s="17" t="s">
        <v>866</v>
      </c>
      <c r="AA2375" s="17" t="s">
        <v>919</v>
      </c>
      <c r="AB2375" s="17" t="s">
        <v>41</v>
      </c>
      <c r="AC2375" s="0" t="str">
        <f aca="false">LEFT(G2375,2)</f>
        <v>13</v>
      </c>
    </row>
    <row r="2376" customFormat="false" ht="15" hidden="false" customHeight="false" outlineLevel="0" collapsed="false">
      <c r="A2376" s="13" t="n">
        <f aca="false">1+A2375</f>
        <v>2374</v>
      </c>
      <c r="B2376" s="14" t="n">
        <v>1009616456</v>
      </c>
      <c r="C2376" s="15" t="s">
        <v>184</v>
      </c>
      <c r="D2376" s="16" t="s">
        <v>144</v>
      </c>
      <c r="E2376" s="17" t="s">
        <v>47</v>
      </c>
      <c r="F2376" s="18" t="s">
        <v>34</v>
      </c>
      <c r="G2376" s="19" t="n">
        <v>135225038201</v>
      </c>
      <c r="H2376" s="17" t="s">
        <v>35</v>
      </c>
      <c r="I2376" s="17" t="s">
        <v>44</v>
      </c>
      <c r="J2376" s="17" t="s">
        <v>241</v>
      </c>
      <c r="K2376" s="17" t="s">
        <v>992</v>
      </c>
      <c r="L2376" s="17" t="n">
        <v>5</v>
      </c>
      <c r="M2376" s="17" t="s">
        <v>952</v>
      </c>
      <c r="N2376" s="17" t="n">
        <v>1</v>
      </c>
      <c r="O2376" s="17" t="s">
        <v>611</v>
      </c>
      <c r="P2376" s="17" t="n">
        <v>11</v>
      </c>
      <c r="Q2376" s="17" t="s">
        <v>953</v>
      </c>
      <c r="R2376" s="17" t="s">
        <v>35</v>
      </c>
      <c r="S2376" s="17" t="s">
        <v>613</v>
      </c>
      <c r="T2376" s="18" t="s">
        <v>248</v>
      </c>
      <c r="U2376" s="20" t="s">
        <v>122</v>
      </c>
      <c r="V2376" s="17" t="n">
        <v>2</v>
      </c>
      <c r="W2376" s="20" t="s">
        <v>122</v>
      </c>
      <c r="X2376" s="17" t="s">
        <v>241</v>
      </c>
      <c r="Y2376" s="17" t="s">
        <v>992</v>
      </c>
      <c r="Z2376" s="17" t="s">
        <v>866</v>
      </c>
      <c r="AA2376" s="17" t="s">
        <v>919</v>
      </c>
      <c r="AB2376" s="17" t="s">
        <v>41</v>
      </c>
      <c r="AC2376" s="0" t="str">
        <f aca="false">LEFT(G2376,2)</f>
        <v>13</v>
      </c>
    </row>
    <row r="2377" customFormat="false" ht="15" hidden="false" customHeight="false" outlineLevel="0" collapsed="false">
      <c r="A2377" s="13" t="n">
        <f aca="false">1+A2376</f>
        <v>2375</v>
      </c>
      <c r="B2377" s="14" t="n">
        <v>1009091513</v>
      </c>
      <c r="C2377" s="15" t="s">
        <v>414</v>
      </c>
      <c r="D2377" s="16" t="s">
        <v>64</v>
      </c>
      <c r="E2377" s="17" t="s">
        <v>47</v>
      </c>
      <c r="F2377" s="18" t="s">
        <v>34</v>
      </c>
      <c r="G2377" s="19" t="n">
        <v>134273117298</v>
      </c>
      <c r="H2377" s="17" t="s">
        <v>35</v>
      </c>
      <c r="I2377" s="17" t="s">
        <v>44</v>
      </c>
      <c r="J2377" s="17" t="s">
        <v>111</v>
      </c>
      <c r="K2377" s="17" t="s">
        <v>958</v>
      </c>
      <c r="L2377" s="17" t="n">
        <v>1</v>
      </c>
      <c r="M2377" s="17" t="s">
        <v>610</v>
      </c>
      <c r="N2377" s="17" t="n">
        <v>1</v>
      </c>
      <c r="O2377" s="17" t="s">
        <v>611</v>
      </c>
      <c r="P2377" s="17" t="n">
        <v>11</v>
      </c>
      <c r="Q2377" s="17" t="s">
        <v>953</v>
      </c>
      <c r="R2377" s="17" t="s">
        <v>35</v>
      </c>
      <c r="S2377" s="17" t="s">
        <v>613</v>
      </c>
      <c r="T2377" s="18" t="s">
        <v>248</v>
      </c>
      <c r="U2377" s="20" t="s">
        <v>122</v>
      </c>
      <c r="V2377" s="17" t="n">
        <v>2</v>
      </c>
      <c r="W2377" s="20" t="s">
        <v>122</v>
      </c>
      <c r="X2377" s="17" t="s">
        <v>111</v>
      </c>
      <c r="Y2377" s="17" t="s">
        <v>958</v>
      </c>
      <c r="Z2377" s="17" t="s">
        <v>1198</v>
      </c>
      <c r="AA2377" s="17" t="s">
        <v>919</v>
      </c>
      <c r="AB2377" s="17" t="s">
        <v>41</v>
      </c>
      <c r="AC2377" s="0" t="str">
        <f aca="false">LEFT(G2377,2)</f>
        <v>13</v>
      </c>
    </row>
    <row r="2378" customFormat="false" ht="15" hidden="false" customHeight="false" outlineLevel="0" collapsed="false">
      <c r="A2378" s="13" t="n">
        <f aca="false">1+A2377</f>
        <v>2376</v>
      </c>
      <c r="B2378" s="14" t="n">
        <v>1009091617</v>
      </c>
      <c r="C2378" s="15" t="s">
        <v>414</v>
      </c>
      <c r="D2378" s="16" t="s">
        <v>64</v>
      </c>
      <c r="E2378" s="17" t="s">
        <v>64</v>
      </c>
      <c r="F2378" s="18" t="s">
        <v>34</v>
      </c>
      <c r="G2378" s="19" t="n">
        <v>134230143528</v>
      </c>
      <c r="H2378" s="17" t="s">
        <v>35</v>
      </c>
      <c r="I2378" s="17" t="s">
        <v>44</v>
      </c>
      <c r="J2378" s="17" t="s">
        <v>239</v>
      </c>
      <c r="K2378" s="17" t="s">
        <v>951</v>
      </c>
      <c r="L2378" s="17" t="n">
        <v>5</v>
      </c>
      <c r="M2378" s="17" t="s">
        <v>952</v>
      </c>
      <c r="N2378" s="17" t="n">
        <v>1</v>
      </c>
      <c r="O2378" s="17" t="s">
        <v>611</v>
      </c>
      <c r="P2378" s="17" t="n">
        <v>11</v>
      </c>
      <c r="Q2378" s="17" t="s">
        <v>953</v>
      </c>
      <c r="R2378" s="17" t="s">
        <v>35</v>
      </c>
      <c r="S2378" s="17" t="s">
        <v>613</v>
      </c>
      <c r="T2378" s="18" t="s">
        <v>248</v>
      </c>
      <c r="U2378" s="20" t="s">
        <v>38</v>
      </c>
      <c r="V2378" s="17" t="n">
        <v>4</v>
      </c>
      <c r="W2378" s="20" t="s">
        <v>38</v>
      </c>
      <c r="X2378" s="17" t="s">
        <v>239</v>
      </c>
      <c r="Y2378" s="17" t="s">
        <v>951</v>
      </c>
      <c r="Z2378" s="17" t="s">
        <v>1199</v>
      </c>
      <c r="AA2378" s="17" t="s">
        <v>919</v>
      </c>
      <c r="AB2378" s="17" t="s">
        <v>41</v>
      </c>
      <c r="AC2378" s="0" t="str">
        <f aca="false">LEFT(G2378,2)</f>
        <v>13</v>
      </c>
    </row>
    <row r="2379" customFormat="false" ht="15" hidden="false" customHeight="false" outlineLevel="0" collapsed="false">
      <c r="A2379" s="13" t="n">
        <f aca="false">1+A2378</f>
        <v>2377</v>
      </c>
      <c r="B2379" s="14" t="n">
        <v>1009583406</v>
      </c>
      <c r="C2379" s="15" t="s">
        <v>139</v>
      </c>
      <c r="D2379" s="16" t="s">
        <v>142</v>
      </c>
      <c r="E2379" s="17" t="s">
        <v>64</v>
      </c>
      <c r="F2379" s="18" t="s">
        <v>34</v>
      </c>
      <c r="G2379" s="19" t="n">
        <v>135232049704</v>
      </c>
      <c r="H2379" s="17" t="s">
        <v>35</v>
      </c>
      <c r="I2379" s="17" t="s">
        <v>44</v>
      </c>
      <c r="J2379" s="17" t="s">
        <v>118</v>
      </c>
      <c r="K2379" s="17" t="s">
        <v>609</v>
      </c>
      <c r="L2379" s="17" t="n">
        <v>5</v>
      </c>
      <c r="M2379" s="17" t="s">
        <v>952</v>
      </c>
      <c r="N2379" s="17" t="n">
        <v>24</v>
      </c>
      <c r="O2379" s="17" t="s">
        <v>975</v>
      </c>
      <c r="P2379" s="17" t="n">
        <v>11</v>
      </c>
      <c r="Q2379" s="17" t="s">
        <v>953</v>
      </c>
      <c r="R2379" s="17" t="s">
        <v>35</v>
      </c>
      <c r="S2379" s="17" t="s">
        <v>613</v>
      </c>
      <c r="T2379" s="18" t="s">
        <v>248</v>
      </c>
      <c r="U2379" s="20" t="s">
        <v>122</v>
      </c>
      <c r="V2379" s="17" t="n">
        <v>2</v>
      </c>
      <c r="W2379" s="20" t="s">
        <v>122</v>
      </c>
      <c r="X2379" s="17" t="s">
        <v>118</v>
      </c>
      <c r="Y2379" s="17" t="s">
        <v>609</v>
      </c>
      <c r="Z2379" s="17" t="s">
        <v>1200</v>
      </c>
      <c r="AA2379" s="17" t="s">
        <v>919</v>
      </c>
      <c r="AB2379" s="17" t="s">
        <v>41</v>
      </c>
      <c r="AC2379" s="0" t="str">
        <f aca="false">LEFT(G2379,2)</f>
        <v>13</v>
      </c>
    </row>
    <row r="2380" customFormat="false" ht="15" hidden="false" customHeight="false" outlineLevel="0" collapsed="false">
      <c r="A2380" s="13" t="n">
        <f aca="false">1+A2379</f>
        <v>2378</v>
      </c>
      <c r="B2380" s="14" t="n">
        <v>1009091645</v>
      </c>
      <c r="C2380" s="15" t="s">
        <v>414</v>
      </c>
      <c r="D2380" s="16" t="s">
        <v>64</v>
      </c>
      <c r="E2380" s="17" t="s">
        <v>91</v>
      </c>
      <c r="F2380" s="18" t="s">
        <v>34</v>
      </c>
      <c r="G2380" s="19" t="n">
        <v>134056315168</v>
      </c>
      <c r="H2380" s="17" t="s">
        <v>35</v>
      </c>
      <c r="I2380" s="17" t="s">
        <v>44</v>
      </c>
      <c r="J2380" s="17" t="s">
        <v>111</v>
      </c>
      <c r="K2380" s="17" t="s">
        <v>958</v>
      </c>
      <c r="L2380" s="17" t="n">
        <v>1</v>
      </c>
      <c r="M2380" s="17" t="s">
        <v>610</v>
      </c>
      <c r="N2380" s="17" t="n">
        <v>1</v>
      </c>
      <c r="O2380" s="17" t="s">
        <v>611</v>
      </c>
      <c r="P2380" s="17" t="n">
        <v>11</v>
      </c>
      <c r="Q2380" s="17" t="s">
        <v>953</v>
      </c>
      <c r="R2380" s="17" t="s">
        <v>35</v>
      </c>
      <c r="S2380" s="17" t="s">
        <v>613</v>
      </c>
      <c r="T2380" s="18" t="s">
        <v>248</v>
      </c>
      <c r="U2380" s="20" t="s">
        <v>122</v>
      </c>
      <c r="V2380" s="17" t="n">
        <v>2</v>
      </c>
      <c r="W2380" s="20" t="s">
        <v>122</v>
      </c>
      <c r="X2380" s="17" t="s">
        <v>111</v>
      </c>
      <c r="Y2380" s="17" t="s">
        <v>958</v>
      </c>
      <c r="Z2380" s="17" t="s">
        <v>1201</v>
      </c>
      <c r="AA2380" s="17" t="s">
        <v>919</v>
      </c>
      <c r="AB2380" s="17" t="s">
        <v>41</v>
      </c>
      <c r="AC2380" s="0" t="str">
        <f aca="false">LEFT(G2380,2)</f>
        <v>13</v>
      </c>
    </row>
    <row r="2381" customFormat="false" ht="15" hidden="false" customHeight="false" outlineLevel="0" collapsed="false">
      <c r="A2381" s="13" t="n">
        <f aca="false">1+A2380</f>
        <v>2379</v>
      </c>
      <c r="B2381" s="14" t="n">
        <v>1009091542</v>
      </c>
      <c r="C2381" s="15" t="s">
        <v>414</v>
      </c>
      <c r="D2381" s="16" t="s">
        <v>64</v>
      </c>
      <c r="E2381" s="17" t="s">
        <v>47</v>
      </c>
      <c r="F2381" s="18" t="s">
        <v>34</v>
      </c>
      <c r="G2381" s="19" t="n">
        <v>134230096035</v>
      </c>
      <c r="H2381" s="17" t="s">
        <v>35</v>
      </c>
      <c r="I2381" s="17" t="s">
        <v>44</v>
      </c>
      <c r="J2381" s="17" t="s">
        <v>111</v>
      </c>
      <c r="K2381" s="17" t="s">
        <v>958</v>
      </c>
      <c r="L2381" s="17" t="n">
        <v>1</v>
      </c>
      <c r="M2381" s="17" t="s">
        <v>610</v>
      </c>
      <c r="N2381" s="17" t="n">
        <v>1</v>
      </c>
      <c r="O2381" s="17" t="s">
        <v>611</v>
      </c>
      <c r="P2381" s="17" t="n">
        <v>11</v>
      </c>
      <c r="Q2381" s="17" t="s">
        <v>953</v>
      </c>
      <c r="R2381" s="17" t="s">
        <v>35</v>
      </c>
      <c r="S2381" s="17" t="s">
        <v>613</v>
      </c>
      <c r="T2381" s="18" t="s">
        <v>248</v>
      </c>
      <c r="U2381" s="20" t="s">
        <v>38</v>
      </c>
      <c r="V2381" s="17" t="n">
        <v>4</v>
      </c>
      <c r="W2381" s="20" t="s">
        <v>38</v>
      </c>
      <c r="X2381" s="17" t="s">
        <v>111</v>
      </c>
      <c r="Y2381" s="17" t="s">
        <v>958</v>
      </c>
      <c r="Z2381" s="17" t="s">
        <v>509</v>
      </c>
      <c r="AA2381" s="17" t="s">
        <v>919</v>
      </c>
      <c r="AB2381" s="17" t="s">
        <v>41</v>
      </c>
      <c r="AC2381" s="0" t="str">
        <f aca="false">LEFT(G2381,2)</f>
        <v>13</v>
      </c>
    </row>
    <row r="2382" customFormat="false" ht="15" hidden="false" customHeight="false" outlineLevel="0" collapsed="false">
      <c r="A2382" s="13" t="n">
        <f aca="false">1+A2381</f>
        <v>2380</v>
      </c>
      <c r="B2382" s="14" t="n">
        <v>1009091478</v>
      </c>
      <c r="C2382" s="15" t="s">
        <v>414</v>
      </c>
      <c r="D2382" s="16" t="s">
        <v>64</v>
      </c>
      <c r="E2382" s="17" t="s">
        <v>47</v>
      </c>
      <c r="F2382" s="18" t="s">
        <v>34</v>
      </c>
      <c r="G2382" s="19" t="n">
        <v>134273170552</v>
      </c>
      <c r="H2382" s="17" t="s">
        <v>35</v>
      </c>
      <c r="I2382" s="17" t="s">
        <v>44</v>
      </c>
      <c r="J2382" s="17" t="s">
        <v>111</v>
      </c>
      <c r="K2382" s="17" t="s">
        <v>958</v>
      </c>
      <c r="L2382" s="17" t="n">
        <v>1</v>
      </c>
      <c r="M2382" s="17" t="s">
        <v>610</v>
      </c>
      <c r="N2382" s="17" t="n">
        <v>1</v>
      </c>
      <c r="O2382" s="17" t="s">
        <v>611</v>
      </c>
      <c r="P2382" s="17" t="n">
        <v>11</v>
      </c>
      <c r="Q2382" s="17" t="s">
        <v>953</v>
      </c>
      <c r="R2382" s="17" t="s">
        <v>35</v>
      </c>
      <c r="S2382" s="17" t="s">
        <v>613</v>
      </c>
      <c r="T2382" s="18" t="s">
        <v>248</v>
      </c>
      <c r="U2382" s="20" t="s">
        <v>122</v>
      </c>
      <c r="V2382" s="17" t="n">
        <v>2</v>
      </c>
      <c r="W2382" s="20" t="s">
        <v>122</v>
      </c>
      <c r="X2382" s="17" t="s">
        <v>111</v>
      </c>
      <c r="Y2382" s="17" t="s">
        <v>958</v>
      </c>
      <c r="Z2382" s="17" t="s">
        <v>1202</v>
      </c>
      <c r="AA2382" s="17" t="s">
        <v>919</v>
      </c>
      <c r="AB2382" s="17" t="s">
        <v>41</v>
      </c>
      <c r="AC2382" s="0" t="str">
        <f aca="false">LEFT(G2382,2)</f>
        <v>13</v>
      </c>
    </row>
    <row r="2383" customFormat="false" ht="15" hidden="false" customHeight="false" outlineLevel="0" collapsed="false">
      <c r="A2383" s="13" t="n">
        <f aca="false">1+A2382</f>
        <v>2381</v>
      </c>
      <c r="B2383" s="14" t="n">
        <v>1009092300</v>
      </c>
      <c r="C2383" s="15" t="s">
        <v>414</v>
      </c>
      <c r="D2383" s="16" t="s">
        <v>64</v>
      </c>
      <c r="E2383" s="17" t="s">
        <v>47</v>
      </c>
      <c r="F2383" s="18" t="s">
        <v>34</v>
      </c>
      <c r="G2383" s="19" t="n">
        <v>134255360841</v>
      </c>
      <c r="H2383" s="17" t="s">
        <v>35</v>
      </c>
      <c r="I2383" s="17" t="s">
        <v>44</v>
      </c>
      <c r="J2383" s="17" t="s">
        <v>111</v>
      </c>
      <c r="K2383" s="17" t="s">
        <v>958</v>
      </c>
      <c r="L2383" s="17" t="n">
        <v>1</v>
      </c>
      <c r="M2383" s="17" t="s">
        <v>610</v>
      </c>
      <c r="N2383" s="17" t="n">
        <v>1</v>
      </c>
      <c r="O2383" s="17" t="s">
        <v>611</v>
      </c>
      <c r="P2383" s="17" t="n">
        <v>11</v>
      </c>
      <c r="Q2383" s="17" t="s">
        <v>953</v>
      </c>
      <c r="R2383" s="17" t="s">
        <v>35</v>
      </c>
      <c r="S2383" s="17" t="s">
        <v>613</v>
      </c>
      <c r="T2383" s="18" t="s">
        <v>248</v>
      </c>
      <c r="U2383" s="20" t="s">
        <v>122</v>
      </c>
      <c r="V2383" s="17" t="n">
        <v>2</v>
      </c>
      <c r="W2383" s="20" t="s">
        <v>122</v>
      </c>
      <c r="X2383" s="17" t="s">
        <v>111</v>
      </c>
      <c r="Y2383" s="17" t="s">
        <v>958</v>
      </c>
      <c r="Z2383" s="17" t="s">
        <v>1203</v>
      </c>
      <c r="AA2383" s="17" t="s">
        <v>919</v>
      </c>
      <c r="AB2383" s="17" t="s">
        <v>41</v>
      </c>
      <c r="AC2383" s="0" t="str">
        <f aca="false">LEFT(G2383,2)</f>
        <v>13</v>
      </c>
    </row>
    <row r="2384" customFormat="false" ht="15" hidden="false" customHeight="false" outlineLevel="0" collapsed="false">
      <c r="A2384" s="13" t="n">
        <f aca="false">1+A2383</f>
        <v>2382</v>
      </c>
      <c r="B2384" s="14" t="n">
        <v>1009504977</v>
      </c>
      <c r="C2384" s="15" t="s">
        <v>95</v>
      </c>
      <c r="D2384" s="16" t="s">
        <v>144</v>
      </c>
      <c r="E2384" s="17" t="s">
        <v>114</v>
      </c>
      <c r="F2384" s="18" t="s">
        <v>34</v>
      </c>
      <c r="G2384" s="19" t="n">
        <v>986128132016</v>
      </c>
      <c r="H2384" s="17" t="s">
        <v>35</v>
      </c>
      <c r="I2384" s="17" t="s">
        <v>44</v>
      </c>
      <c r="J2384" s="17" t="s">
        <v>289</v>
      </c>
      <c r="K2384" s="17" t="s">
        <v>1067</v>
      </c>
      <c r="L2384" s="17" t="n">
        <v>1</v>
      </c>
      <c r="M2384" s="17" t="s">
        <v>610</v>
      </c>
      <c r="N2384" s="17" t="n">
        <v>1</v>
      </c>
      <c r="O2384" s="17" t="s">
        <v>611</v>
      </c>
      <c r="P2384" s="17" t="n">
        <v>12</v>
      </c>
      <c r="Q2384" s="17" t="s">
        <v>612</v>
      </c>
      <c r="R2384" s="17" t="s">
        <v>35</v>
      </c>
      <c r="S2384" s="17" t="s">
        <v>613</v>
      </c>
      <c r="T2384" s="18" t="s">
        <v>135</v>
      </c>
      <c r="U2384" s="20" t="s">
        <v>101</v>
      </c>
      <c r="V2384" s="17" t="n">
        <v>8</v>
      </c>
      <c r="W2384" s="20" t="s">
        <v>101</v>
      </c>
      <c r="X2384" s="17" t="s">
        <v>289</v>
      </c>
      <c r="Y2384" s="17" t="s">
        <v>1067</v>
      </c>
      <c r="Z2384" s="17" t="s">
        <v>294</v>
      </c>
      <c r="AA2384" s="17" t="s">
        <v>919</v>
      </c>
      <c r="AB2384" s="17" t="s">
        <v>41</v>
      </c>
      <c r="AC2384" s="0" t="str">
        <f aca="false">LEFT(G2384,2)</f>
        <v>98</v>
      </c>
    </row>
    <row r="2385" customFormat="false" ht="15" hidden="false" customHeight="false" outlineLevel="0" collapsed="false">
      <c r="A2385" s="13" t="n">
        <f aca="false">1+A2384</f>
        <v>2383</v>
      </c>
      <c r="B2385" s="14" t="n">
        <v>1009580422</v>
      </c>
      <c r="C2385" s="15" t="s">
        <v>104</v>
      </c>
      <c r="D2385" s="16" t="s">
        <v>64</v>
      </c>
      <c r="E2385" s="17" t="s">
        <v>64</v>
      </c>
      <c r="F2385" s="18" t="s">
        <v>34</v>
      </c>
      <c r="G2385" s="19" t="n">
        <v>986168121101</v>
      </c>
      <c r="H2385" s="17" t="s">
        <v>35</v>
      </c>
      <c r="I2385" s="17" t="s">
        <v>44</v>
      </c>
      <c r="J2385" s="17" t="s">
        <v>111</v>
      </c>
      <c r="K2385" s="17" t="s">
        <v>958</v>
      </c>
      <c r="L2385" s="17" t="n">
        <v>5</v>
      </c>
      <c r="M2385" s="17" t="s">
        <v>952</v>
      </c>
      <c r="N2385" s="17" t="n">
        <v>24</v>
      </c>
      <c r="O2385" s="17" t="s">
        <v>975</v>
      </c>
      <c r="P2385" s="17" t="n">
        <v>11</v>
      </c>
      <c r="Q2385" s="17" t="s">
        <v>953</v>
      </c>
      <c r="R2385" s="17" t="s">
        <v>35</v>
      </c>
      <c r="S2385" s="17" t="s">
        <v>613</v>
      </c>
      <c r="T2385" s="18" t="s">
        <v>248</v>
      </c>
      <c r="U2385" s="20" t="s">
        <v>122</v>
      </c>
      <c r="V2385" s="17" t="n">
        <v>2</v>
      </c>
      <c r="W2385" s="20" t="s">
        <v>122</v>
      </c>
      <c r="X2385" s="17" t="s">
        <v>111</v>
      </c>
      <c r="Y2385" s="17" t="s">
        <v>958</v>
      </c>
      <c r="Z2385" s="17" t="s">
        <v>1204</v>
      </c>
      <c r="AA2385" s="17" t="s">
        <v>919</v>
      </c>
      <c r="AB2385" s="17" t="s">
        <v>41</v>
      </c>
      <c r="AC2385" s="0" t="str">
        <f aca="false">LEFT(G2385,2)</f>
        <v>98</v>
      </c>
    </row>
    <row r="2386" customFormat="false" ht="15" hidden="false" customHeight="false" outlineLevel="0" collapsed="false">
      <c r="A2386" s="13" t="n">
        <f aca="false">1+A2385</f>
        <v>2384</v>
      </c>
      <c r="B2386" s="14" t="n">
        <v>1009661527</v>
      </c>
      <c r="C2386" s="15" t="s">
        <v>433</v>
      </c>
      <c r="D2386" s="16" t="s">
        <v>64</v>
      </c>
      <c r="E2386" s="17" t="s">
        <v>91</v>
      </c>
      <c r="F2386" s="18" t="s">
        <v>34</v>
      </c>
      <c r="G2386" s="19" t="n">
        <v>986253205397</v>
      </c>
      <c r="H2386" s="17" t="s">
        <v>35</v>
      </c>
      <c r="I2386" s="17" t="s">
        <v>44</v>
      </c>
      <c r="J2386" s="17" t="s">
        <v>267</v>
      </c>
      <c r="K2386" s="17" t="s">
        <v>960</v>
      </c>
      <c r="L2386" s="17" t="n">
        <v>5</v>
      </c>
      <c r="M2386" s="17" t="s">
        <v>952</v>
      </c>
      <c r="N2386" s="17" t="n">
        <v>1</v>
      </c>
      <c r="O2386" s="17" t="s">
        <v>611</v>
      </c>
      <c r="P2386" s="17" t="n">
        <v>11</v>
      </c>
      <c r="Q2386" s="17" t="s">
        <v>953</v>
      </c>
      <c r="R2386" s="17" t="s">
        <v>35</v>
      </c>
      <c r="S2386" s="17" t="s">
        <v>613</v>
      </c>
      <c r="T2386" s="18" t="s">
        <v>248</v>
      </c>
      <c r="U2386" s="20" t="s">
        <v>122</v>
      </c>
      <c r="V2386" s="17" t="n">
        <v>2</v>
      </c>
      <c r="W2386" s="20" t="s">
        <v>122</v>
      </c>
      <c r="X2386" s="17" t="s">
        <v>267</v>
      </c>
      <c r="Y2386" s="17" t="s">
        <v>960</v>
      </c>
      <c r="Z2386" s="17" t="s">
        <v>1205</v>
      </c>
      <c r="AA2386" s="17" t="s">
        <v>919</v>
      </c>
      <c r="AB2386" s="17" t="s">
        <v>41</v>
      </c>
      <c r="AC2386" s="0" t="str">
        <f aca="false">LEFT(G2386,2)</f>
        <v>98</v>
      </c>
    </row>
    <row r="2387" customFormat="false" ht="15" hidden="false" customHeight="false" outlineLevel="0" collapsed="false">
      <c r="A2387" s="13" t="n">
        <f aca="false">1+A2386</f>
        <v>2385</v>
      </c>
      <c r="B2387" s="14" t="n">
        <v>1009581248</v>
      </c>
      <c r="C2387" s="15" t="s">
        <v>104</v>
      </c>
      <c r="D2387" s="16" t="s">
        <v>60</v>
      </c>
      <c r="E2387" s="17" t="s">
        <v>178</v>
      </c>
      <c r="F2387" s="18" t="s">
        <v>34</v>
      </c>
      <c r="G2387" s="19" t="n">
        <v>987249352301</v>
      </c>
      <c r="H2387" s="17" t="s">
        <v>35</v>
      </c>
      <c r="I2387" s="17" t="s">
        <v>44</v>
      </c>
      <c r="J2387" s="17" t="s">
        <v>121</v>
      </c>
      <c r="K2387" s="17" t="s">
        <v>955</v>
      </c>
      <c r="L2387" s="17" t="n">
        <v>5</v>
      </c>
      <c r="M2387" s="17" t="s">
        <v>952</v>
      </c>
      <c r="N2387" s="17" t="n">
        <v>28</v>
      </c>
      <c r="O2387" s="17" t="s">
        <v>1054</v>
      </c>
      <c r="P2387" s="17" t="n">
        <v>11</v>
      </c>
      <c r="Q2387" s="17" t="s">
        <v>953</v>
      </c>
      <c r="R2387" s="17" t="s">
        <v>35</v>
      </c>
      <c r="S2387" s="17" t="s">
        <v>613</v>
      </c>
      <c r="T2387" s="18" t="s">
        <v>248</v>
      </c>
      <c r="U2387" s="20" t="s">
        <v>122</v>
      </c>
      <c r="V2387" s="17" t="n">
        <v>2</v>
      </c>
      <c r="W2387" s="20" t="s">
        <v>122</v>
      </c>
      <c r="X2387" s="17" t="s">
        <v>121</v>
      </c>
      <c r="Y2387" s="17" t="s">
        <v>955</v>
      </c>
      <c r="Z2387" s="17" t="s">
        <v>1206</v>
      </c>
      <c r="AA2387" s="17" t="s">
        <v>919</v>
      </c>
      <c r="AB2387" s="17" t="s">
        <v>41</v>
      </c>
      <c r="AC2387" s="0" t="str">
        <f aca="false">LEFT(G2387,2)</f>
        <v>98</v>
      </c>
    </row>
    <row r="2388" customFormat="false" ht="15" hidden="false" customHeight="false" outlineLevel="0" collapsed="false">
      <c r="A2388" s="13" t="n">
        <f aca="false">1+A2387</f>
        <v>2386</v>
      </c>
      <c r="B2388" s="14" t="n">
        <v>1009668297</v>
      </c>
      <c r="C2388" s="15" t="s">
        <v>436</v>
      </c>
      <c r="D2388" s="16" t="s">
        <v>167</v>
      </c>
      <c r="E2388" s="17" t="s">
        <v>47</v>
      </c>
      <c r="F2388" s="18" t="s">
        <v>34</v>
      </c>
      <c r="G2388" s="19" t="n">
        <v>985316138637</v>
      </c>
      <c r="H2388" s="17" t="s">
        <v>35</v>
      </c>
      <c r="I2388" s="17" t="s">
        <v>44</v>
      </c>
      <c r="J2388" s="17" t="s">
        <v>239</v>
      </c>
      <c r="K2388" s="17" t="s">
        <v>951</v>
      </c>
      <c r="L2388" s="17" t="n">
        <v>5</v>
      </c>
      <c r="M2388" s="17" t="s">
        <v>952</v>
      </c>
      <c r="N2388" s="17" t="n">
        <v>1</v>
      </c>
      <c r="O2388" s="17" t="s">
        <v>611</v>
      </c>
      <c r="P2388" s="17" t="n">
        <v>11</v>
      </c>
      <c r="Q2388" s="17" t="s">
        <v>953</v>
      </c>
      <c r="R2388" s="17" t="s">
        <v>35</v>
      </c>
      <c r="S2388" s="17" t="s">
        <v>613</v>
      </c>
      <c r="T2388" s="18" t="s">
        <v>248</v>
      </c>
      <c r="U2388" s="20" t="s">
        <v>199</v>
      </c>
      <c r="V2388" s="17" t="n">
        <v>3</v>
      </c>
      <c r="W2388" s="20" t="s">
        <v>199</v>
      </c>
      <c r="X2388" s="17" t="s">
        <v>239</v>
      </c>
      <c r="Y2388" s="17" t="s">
        <v>951</v>
      </c>
      <c r="Z2388" s="17" t="s">
        <v>1207</v>
      </c>
      <c r="AA2388" s="17" t="s">
        <v>919</v>
      </c>
      <c r="AB2388" s="17" t="s">
        <v>41</v>
      </c>
      <c r="AC2388" s="0" t="str">
        <f aca="false">LEFT(G2388,2)</f>
        <v>98</v>
      </c>
    </row>
    <row r="2389" customFormat="false" ht="15" hidden="false" customHeight="false" outlineLevel="0" collapsed="false">
      <c r="A2389" s="13" t="n">
        <f aca="false">1+A2388</f>
        <v>2387</v>
      </c>
      <c r="B2389" s="14" t="n">
        <v>1009571917</v>
      </c>
      <c r="C2389" s="15" t="s">
        <v>104</v>
      </c>
      <c r="D2389" s="16" t="s">
        <v>195</v>
      </c>
      <c r="E2389" s="17" t="s">
        <v>176</v>
      </c>
      <c r="F2389" s="18" t="s">
        <v>34</v>
      </c>
      <c r="G2389" s="19" t="n">
        <v>987251161665</v>
      </c>
      <c r="H2389" s="17" t="s">
        <v>35</v>
      </c>
      <c r="I2389" s="17" t="s">
        <v>44</v>
      </c>
      <c r="J2389" s="17" t="s">
        <v>289</v>
      </c>
      <c r="K2389" s="17" t="s">
        <v>1067</v>
      </c>
      <c r="L2389" s="17" t="n">
        <v>1</v>
      </c>
      <c r="M2389" s="17" t="s">
        <v>610</v>
      </c>
      <c r="N2389" s="17" t="n">
        <v>1</v>
      </c>
      <c r="O2389" s="17" t="s">
        <v>611</v>
      </c>
      <c r="P2389" s="17" t="n">
        <v>11</v>
      </c>
      <c r="Q2389" s="17" t="s">
        <v>953</v>
      </c>
      <c r="R2389" s="17" t="s">
        <v>35</v>
      </c>
      <c r="S2389" s="17" t="s">
        <v>613</v>
      </c>
      <c r="T2389" s="18" t="s">
        <v>248</v>
      </c>
      <c r="U2389" s="20" t="s">
        <v>122</v>
      </c>
      <c r="V2389" s="17" t="n">
        <v>2</v>
      </c>
      <c r="W2389" s="20" t="s">
        <v>122</v>
      </c>
      <c r="X2389" s="17" t="s">
        <v>289</v>
      </c>
      <c r="Y2389" s="17" t="s">
        <v>1067</v>
      </c>
      <c r="Z2389" s="17" t="s">
        <v>1208</v>
      </c>
      <c r="AA2389" s="17" t="s">
        <v>919</v>
      </c>
      <c r="AB2389" s="17" t="s">
        <v>41</v>
      </c>
      <c r="AC2389" s="0" t="str">
        <f aca="false">LEFT(G2389,2)</f>
        <v>98</v>
      </c>
    </row>
    <row r="2390" customFormat="false" ht="15" hidden="false" customHeight="false" outlineLevel="0" collapsed="false">
      <c r="A2390" s="13" t="n">
        <f aca="false">1+A2389</f>
        <v>2388</v>
      </c>
      <c r="B2390" s="14" t="n">
        <v>1009573595</v>
      </c>
      <c r="C2390" s="15" t="s">
        <v>104</v>
      </c>
      <c r="D2390" s="16" t="s">
        <v>64</v>
      </c>
      <c r="E2390" s="17" t="s">
        <v>91</v>
      </c>
      <c r="F2390" s="18" t="s">
        <v>34</v>
      </c>
      <c r="G2390" s="19" t="n">
        <v>987234146262</v>
      </c>
      <c r="H2390" s="17" t="s">
        <v>35</v>
      </c>
      <c r="I2390" s="17" t="s">
        <v>44</v>
      </c>
      <c r="J2390" s="17" t="s">
        <v>289</v>
      </c>
      <c r="K2390" s="17" t="s">
        <v>1067</v>
      </c>
      <c r="L2390" s="17" t="n">
        <v>1</v>
      </c>
      <c r="M2390" s="17" t="s">
        <v>610</v>
      </c>
      <c r="N2390" s="17" t="n">
        <v>1</v>
      </c>
      <c r="O2390" s="17" t="s">
        <v>611</v>
      </c>
      <c r="P2390" s="17" t="n">
        <v>11</v>
      </c>
      <c r="Q2390" s="17" t="s">
        <v>953</v>
      </c>
      <c r="R2390" s="17" t="s">
        <v>35</v>
      </c>
      <c r="S2390" s="17" t="s">
        <v>613</v>
      </c>
      <c r="T2390" s="18" t="s">
        <v>248</v>
      </c>
      <c r="U2390" s="20" t="s">
        <v>122</v>
      </c>
      <c r="V2390" s="17" t="n">
        <v>2</v>
      </c>
      <c r="W2390" s="20" t="s">
        <v>122</v>
      </c>
      <c r="X2390" s="17" t="s">
        <v>289</v>
      </c>
      <c r="Y2390" s="17" t="s">
        <v>1067</v>
      </c>
      <c r="Z2390" s="17" t="s">
        <v>125</v>
      </c>
      <c r="AA2390" s="17" t="s">
        <v>919</v>
      </c>
      <c r="AB2390" s="17" t="s">
        <v>41</v>
      </c>
      <c r="AC2390" s="0" t="str">
        <f aca="false">LEFT(G2390,2)</f>
        <v>98</v>
      </c>
    </row>
    <row r="2391" customFormat="false" ht="15" hidden="false" customHeight="false" outlineLevel="0" collapsed="false">
      <c r="A2391" s="13" t="n">
        <f aca="false">1+A2390</f>
        <v>2389</v>
      </c>
      <c r="B2391" s="14" t="n">
        <v>1009647636</v>
      </c>
      <c r="C2391" s="15" t="s">
        <v>126</v>
      </c>
      <c r="D2391" s="16" t="s">
        <v>144</v>
      </c>
      <c r="E2391" s="17" t="s">
        <v>47</v>
      </c>
      <c r="F2391" s="18" t="s">
        <v>34</v>
      </c>
      <c r="G2391" s="19" t="n">
        <v>986163121973</v>
      </c>
      <c r="H2391" s="17" t="s">
        <v>35</v>
      </c>
      <c r="I2391" s="17" t="s">
        <v>44</v>
      </c>
      <c r="J2391" s="17" t="s">
        <v>121</v>
      </c>
      <c r="K2391" s="17" t="s">
        <v>955</v>
      </c>
      <c r="L2391" s="17" t="n">
        <v>4</v>
      </c>
      <c r="M2391" s="17" t="s">
        <v>976</v>
      </c>
      <c r="N2391" s="17" t="n">
        <v>9</v>
      </c>
      <c r="O2391" s="17" t="s">
        <v>977</v>
      </c>
      <c r="P2391" s="17" t="n">
        <v>11</v>
      </c>
      <c r="Q2391" s="17" t="s">
        <v>953</v>
      </c>
      <c r="R2391" s="17" t="s">
        <v>35</v>
      </c>
      <c r="S2391" s="17" t="s">
        <v>613</v>
      </c>
      <c r="T2391" s="18" t="s">
        <v>248</v>
      </c>
      <c r="U2391" s="20" t="s">
        <v>122</v>
      </c>
      <c r="V2391" s="17" t="n">
        <v>2</v>
      </c>
      <c r="W2391" s="20" t="s">
        <v>122</v>
      </c>
      <c r="X2391" s="17" t="s">
        <v>121</v>
      </c>
      <c r="Y2391" s="17" t="s">
        <v>955</v>
      </c>
      <c r="Z2391" s="17" t="s">
        <v>1208</v>
      </c>
      <c r="AA2391" s="17" t="s">
        <v>919</v>
      </c>
      <c r="AB2391" s="17" t="s">
        <v>41</v>
      </c>
      <c r="AC2391" s="0" t="str">
        <f aca="false">LEFT(G2391,2)</f>
        <v>98</v>
      </c>
    </row>
    <row r="2392" customFormat="false" ht="15" hidden="false" customHeight="false" outlineLevel="0" collapsed="false">
      <c r="A2392" s="13" t="n">
        <f aca="false">1+A2391</f>
        <v>2390</v>
      </c>
      <c r="B2392" s="14" t="n">
        <v>1009616111</v>
      </c>
      <c r="C2392" s="15" t="s">
        <v>184</v>
      </c>
      <c r="D2392" s="16" t="s">
        <v>64</v>
      </c>
      <c r="E2392" s="17" t="s">
        <v>64</v>
      </c>
      <c r="F2392" s="18" t="s">
        <v>34</v>
      </c>
      <c r="G2392" s="19" t="n">
        <v>987231195122</v>
      </c>
      <c r="H2392" s="17" t="s">
        <v>35</v>
      </c>
      <c r="I2392" s="17" t="s">
        <v>44</v>
      </c>
      <c r="J2392" s="17" t="s">
        <v>289</v>
      </c>
      <c r="K2392" s="17" t="s">
        <v>1067</v>
      </c>
      <c r="L2392" s="17" t="n">
        <v>1</v>
      </c>
      <c r="M2392" s="17" t="s">
        <v>610</v>
      </c>
      <c r="N2392" s="17" t="n">
        <v>1</v>
      </c>
      <c r="O2392" s="17" t="s">
        <v>611</v>
      </c>
      <c r="P2392" s="17" t="n">
        <v>11</v>
      </c>
      <c r="Q2392" s="17" t="s">
        <v>953</v>
      </c>
      <c r="R2392" s="17" t="s">
        <v>35</v>
      </c>
      <c r="S2392" s="17" t="s">
        <v>613</v>
      </c>
      <c r="T2392" s="18" t="s">
        <v>248</v>
      </c>
      <c r="U2392" s="20" t="s">
        <v>122</v>
      </c>
      <c r="V2392" s="17" t="n">
        <v>2</v>
      </c>
      <c r="W2392" s="20" t="s">
        <v>122</v>
      </c>
      <c r="X2392" s="17" t="s">
        <v>289</v>
      </c>
      <c r="Y2392" s="17" t="s">
        <v>1067</v>
      </c>
      <c r="Z2392" s="17" t="s">
        <v>364</v>
      </c>
      <c r="AA2392" s="17" t="s">
        <v>919</v>
      </c>
      <c r="AB2392" s="17" t="s">
        <v>41</v>
      </c>
      <c r="AC2392" s="0" t="str">
        <f aca="false">LEFT(G2392,2)</f>
        <v>98</v>
      </c>
    </row>
    <row r="2393" customFormat="false" ht="15" hidden="false" customHeight="false" outlineLevel="0" collapsed="false">
      <c r="A2393" s="13" t="n">
        <f aca="false">1+A2392</f>
        <v>2391</v>
      </c>
      <c r="B2393" s="14" t="n">
        <v>1009673738</v>
      </c>
      <c r="C2393" s="15" t="s">
        <v>1185</v>
      </c>
      <c r="D2393" s="16" t="s">
        <v>64</v>
      </c>
      <c r="E2393" s="17" t="s">
        <v>47</v>
      </c>
      <c r="F2393" s="18" t="s">
        <v>34</v>
      </c>
      <c r="G2393" s="19" t="n">
        <v>987220319808</v>
      </c>
      <c r="H2393" s="17" t="s">
        <v>35</v>
      </c>
      <c r="I2393" s="17" t="s">
        <v>44</v>
      </c>
      <c r="J2393" s="17" t="s">
        <v>241</v>
      </c>
      <c r="K2393" s="17" t="s">
        <v>992</v>
      </c>
      <c r="L2393" s="17" t="n">
        <v>5</v>
      </c>
      <c r="M2393" s="17" t="s">
        <v>952</v>
      </c>
      <c r="N2393" s="17" t="n">
        <v>1</v>
      </c>
      <c r="O2393" s="17" t="s">
        <v>611</v>
      </c>
      <c r="P2393" s="17" t="n">
        <v>11</v>
      </c>
      <c r="Q2393" s="17" t="s">
        <v>953</v>
      </c>
      <c r="R2393" s="17" t="s">
        <v>35</v>
      </c>
      <c r="S2393" s="17" t="s">
        <v>613</v>
      </c>
      <c r="T2393" s="18" t="s">
        <v>248</v>
      </c>
      <c r="U2393" s="20" t="s">
        <v>122</v>
      </c>
      <c r="V2393" s="17" t="n">
        <v>2</v>
      </c>
      <c r="W2393" s="20" t="s">
        <v>122</v>
      </c>
      <c r="X2393" s="17" t="s">
        <v>241</v>
      </c>
      <c r="Y2393" s="17" t="s">
        <v>992</v>
      </c>
      <c r="Z2393" s="17" t="s">
        <v>1175</v>
      </c>
      <c r="AA2393" s="17" t="s">
        <v>919</v>
      </c>
      <c r="AB2393" s="17" t="s">
        <v>41</v>
      </c>
      <c r="AC2393" s="0" t="str">
        <f aca="false">LEFT(G2393,2)</f>
        <v>98</v>
      </c>
    </row>
    <row r="2394" customFormat="false" ht="15" hidden="false" customHeight="false" outlineLevel="0" collapsed="false">
      <c r="A2394" s="13" t="n">
        <f aca="false">1+A2393</f>
        <v>2392</v>
      </c>
      <c r="B2394" s="14" t="n">
        <v>1009530945</v>
      </c>
      <c r="C2394" s="15" t="s">
        <v>174</v>
      </c>
      <c r="D2394" s="16" t="s">
        <v>1012</v>
      </c>
      <c r="E2394" s="17" t="s">
        <v>91</v>
      </c>
      <c r="F2394" s="18" t="s">
        <v>34</v>
      </c>
      <c r="G2394" s="19" t="n">
        <v>987255230102</v>
      </c>
      <c r="H2394" s="17" t="s">
        <v>35</v>
      </c>
      <c r="I2394" s="17" t="s">
        <v>44</v>
      </c>
      <c r="J2394" s="17" t="s">
        <v>289</v>
      </c>
      <c r="K2394" s="17" t="s">
        <v>1067</v>
      </c>
      <c r="L2394" s="17" t="n">
        <v>1</v>
      </c>
      <c r="M2394" s="17" t="s">
        <v>610</v>
      </c>
      <c r="N2394" s="17" t="n">
        <v>1</v>
      </c>
      <c r="O2394" s="17" t="s">
        <v>611</v>
      </c>
      <c r="P2394" s="17" t="n">
        <v>11</v>
      </c>
      <c r="Q2394" s="17" t="s">
        <v>953</v>
      </c>
      <c r="R2394" s="17" t="s">
        <v>35</v>
      </c>
      <c r="S2394" s="17" t="s">
        <v>613</v>
      </c>
      <c r="T2394" s="18" t="s">
        <v>248</v>
      </c>
      <c r="U2394" s="20" t="s">
        <v>122</v>
      </c>
      <c r="V2394" s="17" t="n">
        <v>2</v>
      </c>
      <c r="W2394" s="20" t="s">
        <v>122</v>
      </c>
      <c r="X2394" s="17" t="s">
        <v>289</v>
      </c>
      <c r="Y2394" s="17" t="s">
        <v>1067</v>
      </c>
      <c r="Z2394" s="17" t="s">
        <v>1175</v>
      </c>
      <c r="AA2394" s="17" t="s">
        <v>919</v>
      </c>
      <c r="AB2394" s="17" t="s">
        <v>41</v>
      </c>
      <c r="AC2394" s="0" t="str">
        <f aca="false">LEFT(G2394,2)</f>
        <v>98</v>
      </c>
    </row>
    <row r="2395" customFormat="false" ht="15" hidden="false" customHeight="false" outlineLevel="0" collapsed="false">
      <c r="A2395" s="13" t="n">
        <f aca="false">1+A2394</f>
        <v>2393</v>
      </c>
      <c r="B2395" s="14" t="n">
        <v>1009567595</v>
      </c>
      <c r="C2395" s="15" t="s">
        <v>102</v>
      </c>
      <c r="D2395" s="16" t="s">
        <v>64</v>
      </c>
      <c r="E2395" s="17" t="s">
        <v>64</v>
      </c>
      <c r="F2395" s="18" t="s">
        <v>34</v>
      </c>
      <c r="G2395" s="19" t="n">
        <v>987250185483</v>
      </c>
      <c r="H2395" s="17" t="s">
        <v>35</v>
      </c>
      <c r="I2395" s="17" t="s">
        <v>44</v>
      </c>
      <c r="J2395" s="17" t="s">
        <v>289</v>
      </c>
      <c r="K2395" s="17" t="s">
        <v>1067</v>
      </c>
      <c r="L2395" s="17" t="n">
        <v>1</v>
      </c>
      <c r="M2395" s="17" t="s">
        <v>610</v>
      </c>
      <c r="N2395" s="17" t="n">
        <v>1</v>
      </c>
      <c r="O2395" s="17" t="s">
        <v>611</v>
      </c>
      <c r="P2395" s="17" t="n">
        <v>11</v>
      </c>
      <c r="Q2395" s="17" t="s">
        <v>953</v>
      </c>
      <c r="R2395" s="17" t="s">
        <v>35</v>
      </c>
      <c r="S2395" s="17" t="s">
        <v>613</v>
      </c>
      <c r="T2395" s="18" t="s">
        <v>248</v>
      </c>
      <c r="U2395" s="20" t="s">
        <v>122</v>
      </c>
      <c r="V2395" s="17" t="n">
        <v>2</v>
      </c>
      <c r="W2395" s="20" t="s">
        <v>122</v>
      </c>
      <c r="X2395" s="17" t="s">
        <v>289</v>
      </c>
      <c r="Y2395" s="17" t="s">
        <v>1067</v>
      </c>
      <c r="Z2395" s="17" t="s">
        <v>1209</v>
      </c>
      <c r="AA2395" s="17" t="s">
        <v>919</v>
      </c>
      <c r="AB2395" s="17" t="s">
        <v>41</v>
      </c>
      <c r="AC2395" s="0" t="str">
        <f aca="false">LEFT(G2395,2)</f>
        <v>98</v>
      </c>
    </row>
    <row r="2396" customFormat="false" ht="15" hidden="false" customHeight="false" outlineLevel="0" collapsed="false">
      <c r="A2396" s="13" t="n">
        <f aca="false">1+A2395</f>
        <v>2394</v>
      </c>
      <c r="B2396" s="14" t="n">
        <v>1009569934</v>
      </c>
      <c r="C2396" s="15" t="s">
        <v>102</v>
      </c>
      <c r="D2396" s="16" t="s">
        <v>167</v>
      </c>
      <c r="E2396" s="17" t="s">
        <v>47</v>
      </c>
      <c r="F2396" s="18" t="s">
        <v>34</v>
      </c>
      <c r="G2396" s="19" t="n">
        <v>942261922713</v>
      </c>
      <c r="H2396" s="17" t="s">
        <v>35</v>
      </c>
      <c r="I2396" s="17" t="s">
        <v>44</v>
      </c>
      <c r="J2396" s="17" t="s">
        <v>287</v>
      </c>
      <c r="K2396" s="17" t="s">
        <v>1006</v>
      </c>
      <c r="L2396" s="17" t="n">
        <v>5</v>
      </c>
      <c r="M2396" s="17" t="s">
        <v>952</v>
      </c>
      <c r="N2396" s="17" t="n">
        <v>28</v>
      </c>
      <c r="O2396" s="17" t="s">
        <v>1054</v>
      </c>
      <c r="P2396" s="17" t="n">
        <v>12</v>
      </c>
      <c r="Q2396" s="17" t="s">
        <v>612</v>
      </c>
      <c r="R2396" s="17" t="s">
        <v>35</v>
      </c>
      <c r="S2396" s="17" t="s">
        <v>613</v>
      </c>
      <c r="T2396" s="18" t="s">
        <v>135</v>
      </c>
      <c r="U2396" s="20" t="s">
        <v>101</v>
      </c>
      <c r="V2396" s="17" t="n">
        <v>8</v>
      </c>
      <c r="W2396" s="20" t="s">
        <v>101</v>
      </c>
      <c r="X2396" s="17" t="s">
        <v>287</v>
      </c>
      <c r="Y2396" s="17" t="s">
        <v>1006</v>
      </c>
      <c r="Z2396" s="17" t="s">
        <v>387</v>
      </c>
      <c r="AA2396" s="17" t="s">
        <v>919</v>
      </c>
      <c r="AB2396" s="17" t="s">
        <v>41</v>
      </c>
      <c r="AC2396" s="0" t="str">
        <f aca="false">LEFT(G2396,2)</f>
        <v>94</v>
      </c>
    </row>
    <row r="2397" customFormat="false" ht="15" hidden="false" customHeight="false" outlineLevel="0" collapsed="false">
      <c r="A2397" s="13" t="n">
        <f aca="false">1+A2396</f>
        <v>2395</v>
      </c>
      <c r="B2397" s="14" t="n">
        <v>1009561054</v>
      </c>
      <c r="C2397" s="15" t="s">
        <v>192</v>
      </c>
      <c r="D2397" s="16" t="s">
        <v>64</v>
      </c>
      <c r="E2397" s="17" t="s">
        <v>47</v>
      </c>
      <c r="F2397" s="18" t="s">
        <v>34</v>
      </c>
      <c r="G2397" s="19" t="n">
        <v>942109939275</v>
      </c>
      <c r="H2397" s="17" t="s">
        <v>35</v>
      </c>
      <c r="I2397" s="17" t="s">
        <v>44</v>
      </c>
      <c r="J2397" s="17" t="s">
        <v>287</v>
      </c>
      <c r="K2397" s="17" t="s">
        <v>1006</v>
      </c>
      <c r="L2397" s="17" t="n">
        <v>1</v>
      </c>
      <c r="M2397" s="17" t="s">
        <v>610</v>
      </c>
      <c r="N2397" s="17" t="n">
        <v>1</v>
      </c>
      <c r="O2397" s="17" t="s">
        <v>611</v>
      </c>
      <c r="P2397" s="17" t="n">
        <v>11</v>
      </c>
      <c r="Q2397" s="17" t="s">
        <v>953</v>
      </c>
      <c r="R2397" s="17" t="s">
        <v>35</v>
      </c>
      <c r="S2397" s="17" t="s">
        <v>613</v>
      </c>
      <c r="T2397" s="18" t="s">
        <v>248</v>
      </c>
      <c r="U2397" s="20" t="s">
        <v>122</v>
      </c>
      <c r="V2397" s="17" t="n">
        <v>2</v>
      </c>
      <c r="W2397" s="20" t="s">
        <v>122</v>
      </c>
      <c r="X2397" s="17" t="s">
        <v>287</v>
      </c>
      <c r="Y2397" s="17" t="s">
        <v>1006</v>
      </c>
      <c r="Z2397" s="17" t="s">
        <v>1210</v>
      </c>
      <c r="AA2397" s="17" t="s">
        <v>919</v>
      </c>
      <c r="AB2397" s="17" t="s">
        <v>41</v>
      </c>
      <c r="AC2397" s="0" t="str">
        <f aca="false">LEFT(G2397,2)</f>
        <v>94</v>
      </c>
    </row>
    <row r="2398" customFormat="false" ht="15" hidden="false" customHeight="false" outlineLevel="0" collapsed="false">
      <c r="A2398" s="13" t="n">
        <f aca="false">1+A2397</f>
        <v>2396</v>
      </c>
      <c r="B2398" s="14" t="n">
        <v>1009529869</v>
      </c>
      <c r="C2398" s="15" t="s">
        <v>174</v>
      </c>
      <c r="D2398" s="16" t="s">
        <v>64</v>
      </c>
      <c r="E2398" s="17" t="s">
        <v>64</v>
      </c>
      <c r="F2398" s="18" t="s">
        <v>34</v>
      </c>
      <c r="G2398" s="19" t="n">
        <v>943198991912</v>
      </c>
      <c r="H2398" s="17" t="s">
        <v>35</v>
      </c>
      <c r="I2398" s="17" t="s">
        <v>44</v>
      </c>
      <c r="J2398" s="17" t="s">
        <v>267</v>
      </c>
      <c r="K2398" s="17" t="s">
        <v>960</v>
      </c>
      <c r="L2398" s="17" t="n">
        <v>1</v>
      </c>
      <c r="M2398" s="17" t="s">
        <v>610</v>
      </c>
      <c r="N2398" s="17" t="n">
        <v>1</v>
      </c>
      <c r="O2398" s="17" t="s">
        <v>611</v>
      </c>
      <c r="P2398" s="17" t="n">
        <v>11</v>
      </c>
      <c r="Q2398" s="17" t="s">
        <v>953</v>
      </c>
      <c r="R2398" s="17" t="s">
        <v>35</v>
      </c>
      <c r="S2398" s="17" t="s">
        <v>613</v>
      </c>
      <c r="T2398" s="18" t="s">
        <v>248</v>
      </c>
      <c r="U2398" s="20" t="s">
        <v>122</v>
      </c>
      <c r="V2398" s="17" t="n">
        <v>2</v>
      </c>
      <c r="W2398" s="20" t="s">
        <v>122</v>
      </c>
      <c r="X2398" s="17" t="s">
        <v>267</v>
      </c>
      <c r="Y2398" s="17" t="s">
        <v>960</v>
      </c>
      <c r="Z2398" s="17" t="s">
        <v>1210</v>
      </c>
      <c r="AA2398" s="17" t="s">
        <v>919</v>
      </c>
      <c r="AB2398" s="17" t="s">
        <v>41</v>
      </c>
      <c r="AC2398" s="0" t="str">
        <f aca="false">LEFT(G2398,2)</f>
        <v>94</v>
      </c>
    </row>
    <row r="2399" customFormat="false" ht="15" hidden="false" customHeight="false" outlineLevel="0" collapsed="false">
      <c r="A2399" s="13" t="n">
        <f aca="false">1+A2398</f>
        <v>2397</v>
      </c>
      <c r="B2399" s="14" t="n">
        <v>1009361783</v>
      </c>
      <c r="C2399" s="15" t="s">
        <v>442</v>
      </c>
      <c r="D2399" s="16" t="s">
        <v>64</v>
      </c>
      <c r="E2399" s="17" t="s">
        <v>64</v>
      </c>
      <c r="F2399" s="18" t="s">
        <v>34</v>
      </c>
      <c r="G2399" s="19" t="n">
        <v>942156951199</v>
      </c>
      <c r="H2399" s="17" t="s">
        <v>35</v>
      </c>
      <c r="I2399" s="17" t="s">
        <v>44</v>
      </c>
      <c r="J2399" s="17" t="s">
        <v>289</v>
      </c>
      <c r="K2399" s="17" t="s">
        <v>1067</v>
      </c>
      <c r="L2399" s="17" t="n">
        <v>1</v>
      </c>
      <c r="M2399" s="17" t="s">
        <v>610</v>
      </c>
      <c r="N2399" s="17" t="n">
        <v>1</v>
      </c>
      <c r="O2399" s="17" t="s">
        <v>611</v>
      </c>
      <c r="P2399" s="17" t="n">
        <v>11</v>
      </c>
      <c r="Q2399" s="17" t="s">
        <v>953</v>
      </c>
      <c r="R2399" s="17" t="s">
        <v>35</v>
      </c>
      <c r="S2399" s="17" t="s">
        <v>613</v>
      </c>
      <c r="T2399" s="18" t="s">
        <v>248</v>
      </c>
      <c r="U2399" s="20" t="s">
        <v>122</v>
      </c>
      <c r="V2399" s="17" t="n">
        <v>2</v>
      </c>
      <c r="W2399" s="20" t="s">
        <v>122</v>
      </c>
      <c r="X2399" s="17" t="s">
        <v>289</v>
      </c>
      <c r="Y2399" s="17" t="s">
        <v>1067</v>
      </c>
      <c r="Z2399" s="17" t="s">
        <v>387</v>
      </c>
      <c r="AA2399" s="17" t="s">
        <v>919</v>
      </c>
      <c r="AB2399" s="17" t="s">
        <v>41</v>
      </c>
      <c r="AC2399" s="0" t="str">
        <f aca="false">LEFT(G2399,2)</f>
        <v>94</v>
      </c>
    </row>
    <row r="2400" customFormat="false" ht="15" hidden="false" customHeight="false" outlineLevel="0" collapsed="false">
      <c r="A2400" s="13" t="n">
        <f aca="false">1+A2399</f>
        <v>2398</v>
      </c>
      <c r="B2400" s="14" t="n">
        <v>1009395588</v>
      </c>
      <c r="C2400" s="15" t="s">
        <v>104</v>
      </c>
      <c r="D2400" s="16" t="s">
        <v>56</v>
      </c>
      <c r="E2400" s="17" t="s">
        <v>33</v>
      </c>
      <c r="F2400" s="18" t="s">
        <v>34</v>
      </c>
      <c r="G2400" s="19" t="n">
        <v>943345965249</v>
      </c>
      <c r="H2400" s="17" t="s">
        <v>35</v>
      </c>
      <c r="I2400" s="17" t="s">
        <v>44</v>
      </c>
      <c r="J2400" s="17" t="s">
        <v>121</v>
      </c>
      <c r="K2400" s="17" t="s">
        <v>955</v>
      </c>
      <c r="L2400" s="17" t="n">
        <v>5</v>
      </c>
      <c r="M2400" s="17" t="s">
        <v>952</v>
      </c>
      <c r="N2400" s="17" t="n">
        <v>24</v>
      </c>
      <c r="O2400" s="17" t="s">
        <v>975</v>
      </c>
      <c r="P2400" s="17" t="n">
        <v>11</v>
      </c>
      <c r="Q2400" s="17" t="s">
        <v>953</v>
      </c>
      <c r="R2400" s="17" t="s">
        <v>35</v>
      </c>
      <c r="S2400" s="17" t="s">
        <v>613</v>
      </c>
      <c r="T2400" s="18" t="s">
        <v>248</v>
      </c>
      <c r="U2400" s="20" t="s">
        <v>122</v>
      </c>
      <c r="V2400" s="17" t="n">
        <v>2</v>
      </c>
      <c r="W2400" s="20" t="s">
        <v>122</v>
      </c>
      <c r="X2400" s="17" t="s">
        <v>121</v>
      </c>
      <c r="Y2400" s="17" t="s">
        <v>955</v>
      </c>
      <c r="Z2400" s="17" t="s">
        <v>1211</v>
      </c>
      <c r="AA2400" s="17" t="s">
        <v>919</v>
      </c>
      <c r="AB2400" s="17" t="s">
        <v>41</v>
      </c>
      <c r="AC2400" s="0" t="str">
        <f aca="false">LEFT(G2400,2)</f>
        <v>94</v>
      </c>
    </row>
    <row r="2401" customFormat="false" ht="15" hidden="false" customHeight="false" outlineLevel="0" collapsed="false">
      <c r="A2401" s="13" t="n">
        <f aca="false">1+A2400</f>
        <v>2399</v>
      </c>
      <c r="B2401" s="14" t="n">
        <v>1009673479</v>
      </c>
      <c r="C2401" s="15" t="s">
        <v>436</v>
      </c>
      <c r="D2401" s="16" t="s">
        <v>64</v>
      </c>
      <c r="E2401" s="17" t="s">
        <v>64</v>
      </c>
      <c r="F2401" s="18" t="s">
        <v>34</v>
      </c>
      <c r="G2401" s="19" t="n">
        <v>942320955738</v>
      </c>
      <c r="H2401" s="17" t="s">
        <v>35</v>
      </c>
      <c r="I2401" s="17" t="s">
        <v>44</v>
      </c>
      <c r="J2401" s="17" t="s">
        <v>111</v>
      </c>
      <c r="K2401" s="17" t="s">
        <v>958</v>
      </c>
      <c r="L2401" s="17" t="n">
        <v>1</v>
      </c>
      <c r="M2401" s="17" t="s">
        <v>610</v>
      </c>
      <c r="N2401" s="17" t="n">
        <v>1</v>
      </c>
      <c r="O2401" s="17" t="s">
        <v>611</v>
      </c>
      <c r="P2401" s="17" t="n">
        <v>11</v>
      </c>
      <c r="Q2401" s="17" t="s">
        <v>953</v>
      </c>
      <c r="R2401" s="17" t="s">
        <v>35</v>
      </c>
      <c r="S2401" s="17" t="s">
        <v>613</v>
      </c>
      <c r="T2401" s="18" t="s">
        <v>248</v>
      </c>
      <c r="U2401" s="20" t="s">
        <v>38</v>
      </c>
      <c r="V2401" s="17" t="n">
        <v>4</v>
      </c>
      <c r="W2401" s="20" t="s">
        <v>38</v>
      </c>
      <c r="X2401" s="17" t="s">
        <v>111</v>
      </c>
      <c r="Y2401" s="17" t="s">
        <v>958</v>
      </c>
      <c r="Z2401" s="17" t="s">
        <v>1212</v>
      </c>
      <c r="AA2401" s="17" t="s">
        <v>919</v>
      </c>
      <c r="AB2401" s="17" t="s">
        <v>41</v>
      </c>
      <c r="AC2401" s="0" t="str">
        <f aca="false">LEFT(G2401,2)</f>
        <v>94</v>
      </c>
      <c r="AD2401" s="0"/>
    </row>
    <row r="2402" customFormat="false" ht="15" hidden="false" customHeight="false" outlineLevel="0" collapsed="false">
      <c r="A2402" s="13" t="n">
        <f aca="false">1+A2401</f>
        <v>2400</v>
      </c>
      <c r="B2402" s="14" t="n">
        <v>1009678756</v>
      </c>
      <c r="C2402" s="15" t="s">
        <v>436</v>
      </c>
      <c r="D2402" s="16" t="s">
        <v>154</v>
      </c>
      <c r="E2402" s="17" t="s">
        <v>91</v>
      </c>
      <c r="F2402" s="18" t="s">
        <v>34</v>
      </c>
      <c r="G2402" s="19" t="n">
        <v>942126903643</v>
      </c>
      <c r="H2402" s="17" t="s">
        <v>35</v>
      </c>
      <c r="I2402" s="17" t="s">
        <v>44</v>
      </c>
      <c r="J2402" s="17" t="s">
        <v>287</v>
      </c>
      <c r="K2402" s="17" t="s">
        <v>1006</v>
      </c>
      <c r="L2402" s="17" t="n">
        <v>7</v>
      </c>
      <c r="M2402" s="17" t="s">
        <v>993</v>
      </c>
      <c r="N2402" s="17" t="n">
        <v>36</v>
      </c>
      <c r="O2402" s="17" t="s">
        <v>994</v>
      </c>
      <c r="P2402" s="17" t="n">
        <v>11</v>
      </c>
      <c r="Q2402" s="17" t="s">
        <v>953</v>
      </c>
      <c r="R2402" s="17" t="s">
        <v>35</v>
      </c>
      <c r="S2402" s="17" t="s">
        <v>613</v>
      </c>
      <c r="T2402" s="18" t="s">
        <v>248</v>
      </c>
      <c r="U2402" s="20" t="s">
        <v>122</v>
      </c>
      <c r="V2402" s="17" t="n">
        <v>2</v>
      </c>
      <c r="W2402" s="20" t="s">
        <v>122</v>
      </c>
      <c r="X2402" s="17" t="s">
        <v>287</v>
      </c>
      <c r="Y2402" s="17" t="s">
        <v>1006</v>
      </c>
      <c r="Z2402" s="17" t="s">
        <v>387</v>
      </c>
      <c r="AA2402" s="17" t="s">
        <v>919</v>
      </c>
      <c r="AB2402" s="17" t="s">
        <v>41</v>
      </c>
      <c r="AC2402" s="0" t="str">
        <f aca="false">LEFT(G2402,2)</f>
        <v>94</v>
      </c>
      <c r="AD2402" s="0"/>
    </row>
    <row r="2403" customFormat="false" ht="15" hidden="false" customHeight="false" outlineLevel="0" collapsed="false">
      <c r="A2403" s="13" t="n">
        <f aca="false">1+A2402</f>
        <v>2401</v>
      </c>
      <c r="B2403" s="14" t="n">
        <v>1009440937</v>
      </c>
      <c r="C2403" s="15" t="s">
        <v>197</v>
      </c>
      <c r="D2403" s="16" t="s">
        <v>86</v>
      </c>
      <c r="E2403" s="17" t="s">
        <v>47</v>
      </c>
      <c r="F2403" s="18" t="s">
        <v>34</v>
      </c>
      <c r="G2403" s="19" t="n">
        <v>954205173576</v>
      </c>
      <c r="H2403" s="17" t="s">
        <v>35</v>
      </c>
      <c r="I2403" s="17" t="s">
        <v>44</v>
      </c>
      <c r="J2403" s="17" t="s">
        <v>121</v>
      </c>
      <c r="K2403" s="17" t="s">
        <v>955</v>
      </c>
      <c r="L2403" s="17" t="n">
        <v>1</v>
      </c>
      <c r="M2403" s="17" t="s">
        <v>610</v>
      </c>
      <c r="N2403" s="17" t="n">
        <v>1</v>
      </c>
      <c r="O2403" s="17" t="s">
        <v>611</v>
      </c>
      <c r="P2403" s="17" t="n">
        <v>11</v>
      </c>
      <c r="Q2403" s="17" t="s">
        <v>953</v>
      </c>
      <c r="R2403" s="17" t="s">
        <v>35</v>
      </c>
      <c r="S2403" s="17" t="s">
        <v>613</v>
      </c>
      <c r="T2403" s="18" t="s">
        <v>248</v>
      </c>
      <c r="U2403" s="20" t="s">
        <v>122</v>
      </c>
      <c r="V2403" s="17" t="n">
        <v>2</v>
      </c>
      <c r="W2403" s="20" t="s">
        <v>122</v>
      </c>
      <c r="X2403" s="17" t="s">
        <v>121</v>
      </c>
      <c r="Y2403" s="17" t="s">
        <v>955</v>
      </c>
      <c r="Z2403" s="17" t="s">
        <v>1213</v>
      </c>
      <c r="AA2403" s="17" t="s">
        <v>919</v>
      </c>
      <c r="AB2403" s="17" t="s">
        <v>41</v>
      </c>
      <c r="AC2403" s="0" t="str">
        <f aca="false">LEFT(G2403,2)</f>
        <v>95</v>
      </c>
      <c r="AD2403" s="0"/>
    </row>
    <row r="2404" customFormat="false" ht="15" hidden="false" customHeight="false" outlineLevel="0" collapsed="false">
      <c r="A2404" s="13" t="n">
        <f aca="false">1+A2403</f>
        <v>2402</v>
      </c>
      <c r="B2404" s="14" t="n">
        <v>1009606828</v>
      </c>
      <c r="C2404" s="15" t="s">
        <v>1214</v>
      </c>
      <c r="D2404" s="16" t="s">
        <v>88</v>
      </c>
      <c r="E2404" s="17" t="s">
        <v>47</v>
      </c>
      <c r="F2404" s="18" t="s">
        <v>34</v>
      </c>
      <c r="G2404" s="19" t="n">
        <v>954128216700</v>
      </c>
      <c r="H2404" s="17" t="s">
        <v>35</v>
      </c>
      <c r="I2404" s="17" t="s">
        <v>44</v>
      </c>
      <c r="J2404" s="17" t="s">
        <v>118</v>
      </c>
      <c r="K2404" s="17" t="s">
        <v>609</v>
      </c>
      <c r="L2404" s="17" t="n">
        <v>5</v>
      </c>
      <c r="M2404" s="17" t="s">
        <v>952</v>
      </c>
      <c r="N2404" s="17" t="n">
        <v>24</v>
      </c>
      <c r="O2404" s="17" t="s">
        <v>975</v>
      </c>
      <c r="P2404" s="17" t="n">
        <v>11</v>
      </c>
      <c r="Q2404" s="17" t="s">
        <v>953</v>
      </c>
      <c r="R2404" s="17" t="s">
        <v>35</v>
      </c>
      <c r="S2404" s="17" t="s">
        <v>613</v>
      </c>
      <c r="T2404" s="18" t="s">
        <v>248</v>
      </c>
      <c r="U2404" s="20" t="s">
        <v>122</v>
      </c>
      <c r="V2404" s="17" t="n">
        <v>2</v>
      </c>
      <c r="W2404" s="20" t="s">
        <v>122</v>
      </c>
      <c r="X2404" s="17" t="s">
        <v>118</v>
      </c>
      <c r="Y2404" s="17" t="s">
        <v>609</v>
      </c>
      <c r="Z2404" s="17" t="s">
        <v>1213</v>
      </c>
      <c r="AA2404" s="17" t="s">
        <v>919</v>
      </c>
      <c r="AB2404" s="17" t="s">
        <v>41</v>
      </c>
      <c r="AC2404" s="0" t="str">
        <f aca="false">LEFT(G2404,2)</f>
        <v>95</v>
      </c>
      <c r="AD2404" s="0"/>
    </row>
    <row r="2405" customFormat="false" ht="15" hidden="false" customHeight="false" outlineLevel="0" collapsed="false">
      <c r="A2405" s="13" t="n">
        <f aca="false">1+A2404</f>
        <v>2403</v>
      </c>
      <c r="B2405" s="14" t="n">
        <v>1009674102</v>
      </c>
      <c r="C2405" s="15" t="s">
        <v>436</v>
      </c>
      <c r="D2405" s="16" t="s">
        <v>60</v>
      </c>
      <c r="E2405" s="17" t="s">
        <v>109</v>
      </c>
      <c r="F2405" s="18" t="s">
        <v>34</v>
      </c>
      <c r="G2405" s="19" t="n">
        <v>955228203489</v>
      </c>
      <c r="H2405" s="17" t="s">
        <v>35</v>
      </c>
      <c r="I2405" s="17" t="s">
        <v>44</v>
      </c>
      <c r="J2405" s="17" t="s">
        <v>267</v>
      </c>
      <c r="K2405" s="17" t="s">
        <v>960</v>
      </c>
      <c r="L2405" s="17" t="n">
        <v>7</v>
      </c>
      <c r="M2405" s="17" t="s">
        <v>993</v>
      </c>
      <c r="N2405" s="17" t="n">
        <v>36</v>
      </c>
      <c r="O2405" s="17" t="s">
        <v>994</v>
      </c>
      <c r="P2405" s="17" t="n">
        <v>11</v>
      </c>
      <c r="Q2405" s="17" t="s">
        <v>953</v>
      </c>
      <c r="R2405" s="17" t="s">
        <v>35</v>
      </c>
      <c r="S2405" s="17" t="s">
        <v>613</v>
      </c>
      <c r="T2405" s="18" t="s">
        <v>248</v>
      </c>
      <c r="U2405" s="20" t="s">
        <v>122</v>
      </c>
      <c r="V2405" s="17" t="n">
        <v>2</v>
      </c>
      <c r="W2405" s="20" t="s">
        <v>122</v>
      </c>
      <c r="X2405" s="17" t="s">
        <v>267</v>
      </c>
      <c r="Y2405" s="17" t="s">
        <v>960</v>
      </c>
      <c r="Z2405" s="17" t="s">
        <v>1215</v>
      </c>
      <c r="AA2405" s="17" t="s">
        <v>919</v>
      </c>
      <c r="AB2405" s="17" t="s">
        <v>41</v>
      </c>
      <c r="AC2405" s="0" t="str">
        <f aca="false">LEFT(G2405,2)</f>
        <v>95</v>
      </c>
      <c r="AD2405" s="0"/>
    </row>
    <row r="2406" customFormat="false" ht="15" hidden="false" customHeight="false" outlineLevel="0" collapsed="false">
      <c r="A2406" s="13" t="n">
        <f aca="false">1+A2405</f>
        <v>2404</v>
      </c>
      <c r="B2406" s="14" t="n">
        <v>1009582452</v>
      </c>
      <c r="C2406" s="15" t="s">
        <v>139</v>
      </c>
      <c r="D2406" s="16" t="s">
        <v>64</v>
      </c>
      <c r="E2406" s="17" t="s">
        <v>64</v>
      </c>
      <c r="F2406" s="18" t="s">
        <v>34</v>
      </c>
      <c r="G2406" s="19" t="n">
        <v>954223186022</v>
      </c>
      <c r="H2406" s="17" t="s">
        <v>35</v>
      </c>
      <c r="I2406" s="17" t="s">
        <v>44</v>
      </c>
      <c r="J2406" s="17" t="s">
        <v>100</v>
      </c>
      <c r="K2406" s="17" t="s">
        <v>978</v>
      </c>
      <c r="L2406" s="17" t="n">
        <v>1</v>
      </c>
      <c r="M2406" s="17" t="s">
        <v>610</v>
      </c>
      <c r="N2406" s="17" t="n">
        <v>1</v>
      </c>
      <c r="O2406" s="17" t="s">
        <v>611</v>
      </c>
      <c r="P2406" s="17" t="n">
        <v>11</v>
      </c>
      <c r="Q2406" s="17" t="s">
        <v>953</v>
      </c>
      <c r="R2406" s="17" t="s">
        <v>35</v>
      </c>
      <c r="S2406" s="17" t="s">
        <v>613</v>
      </c>
      <c r="T2406" s="18" t="s">
        <v>248</v>
      </c>
      <c r="U2406" s="20" t="s">
        <v>122</v>
      </c>
      <c r="V2406" s="17" t="n">
        <v>2</v>
      </c>
      <c r="W2406" s="20" t="s">
        <v>122</v>
      </c>
      <c r="X2406" s="17" t="s">
        <v>100</v>
      </c>
      <c r="Y2406" s="17" t="s">
        <v>978</v>
      </c>
      <c r="Z2406" s="17" t="s">
        <v>1215</v>
      </c>
      <c r="AA2406" s="17" t="s">
        <v>919</v>
      </c>
      <c r="AB2406" s="17" t="s">
        <v>41</v>
      </c>
      <c r="AC2406" s="0" t="str">
        <f aca="false">LEFT(G2406,2)</f>
        <v>95</v>
      </c>
      <c r="AD2406" s="0"/>
    </row>
    <row r="2407" customFormat="false" ht="15" hidden="false" customHeight="false" outlineLevel="0" collapsed="false">
      <c r="A2407" s="13" t="n">
        <f aca="false">1+A2406</f>
        <v>2405</v>
      </c>
      <c r="B2407" s="14" t="n">
        <v>1009614845</v>
      </c>
      <c r="C2407" s="15" t="s">
        <v>184</v>
      </c>
      <c r="D2407" s="16" t="s">
        <v>158</v>
      </c>
      <c r="E2407" s="17" t="s">
        <v>91</v>
      </c>
      <c r="F2407" s="18" t="s">
        <v>34</v>
      </c>
      <c r="G2407" s="19" t="n">
        <v>954259118436</v>
      </c>
      <c r="H2407" s="17" t="s">
        <v>35</v>
      </c>
      <c r="I2407" s="17" t="s">
        <v>44</v>
      </c>
      <c r="J2407" s="17" t="s">
        <v>121</v>
      </c>
      <c r="K2407" s="17" t="s">
        <v>955</v>
      </c>
      <c r="L2407" s="17" t="n">
        <v>7</v>
      </c>
      <c r="M2407" s="17" t="s">
        <v>993</v>
      </c>
      <c r="N2407" s="17" t="n">
        <v>36</v>
      </c>
      <c r="O2407" s="17" t="s">
        <v>994</v>
      </c>
      <c r="P2407" s="17" t="n">
        <v>11</v>
      </c>
      <c r="Q2407" s="17" t="s">
        <v>953</v>
      </c>
      <c r="R2407" s="17" t="s">
        <v>35</v>
      </c>
      <c r="S2407" s="17" t="s">
        <v>613</v>
      </c>
      <c r="T2407" s="18" t="s">
        <v>248</v>
      </c>
      <c r="U2407" s="20" t="s">
        <v>122</v>
      </c>
      <c r="V2407" s="17" t="n">
        <v>2</v>
      </c>
      <c r="W2407" s="20" t="s">
        <v>122</v>
      </c>
      <c r="X2407" s="17" t="s">
        <v>121</v>
      </c>
      <c r="Y2407" s="17" t="s">
        <v>955</v>
      </c>
      <c r="Z2407" s="17" t="s">
        <v>1215</v>
      </c>
      <c r="AA2407" s="17" t="s">
        <v>919</v>
      </c>
      <c r="AB2407" s="17" t="s">
        <v>41</v>
      </c>
      <c r="AC2407" s="0" t="str">
        <f aca="false">LEFT(G2407,2)</f>
        <v>95</v>
      </c>
      <c r="AD2407" s="0"/>
    </row>
    <row r="2408" customFormat="false" ht="15" hidden="false" customHeight="false" outlineLevel="0" collapsed="false">
      <c r="A2408" s="13" t="n">
        <f aca="false">1+A2407</f>
        <v>2406</v>
      </c>
      <c r="B2408" s="14" t="n">
        <v>1009685907</v>
      </c>
      <c r="C2408" s="15" t="s">
        <v>449</v>
      </c>
      <c r="D2408" s="16" t="s">
        <v>137</v>
      </c>
      <c r="E2408" s="17" t="s">
        <v>91</v>
      </c>
      <c r="F2408" s="18" t="s">
        <v>34</v>
      </c>
      <c r="G2408" s="19" t="n">
        <v>954292139548</v>
      </c>
      <c r="H2408" s="17" t="s">
        <v>35</v>
      </c>
      <c r="I2408" s="17" t="s">
        <v>44</v>
      </c>
      <c r="J2408" s="17" t="s">
        <v>289</v>
      </c>
      <c r="K2408" s="17" t="s">
        <v>1067</v>
      </c>
      <c r="L2408" s="17" t="n">
        <v>5</v>
      </c>
      <c r="M2408" s="17" t="s">
        <v>952</v>
      </c>
      <c r="N2408" s="17" t="n">
        <v>24</v>
      </c>
      <c r="O2408" s="17" t="s">
        <v>975</v>
      </c>
      <c r="P2408" s="17" t="n">
        <v>11</v>
      </c>
      <c r="Q2408" s="17" t="s">
        <v>953</v>
      </c>
      <c r="R2408" s="17" t="s">
        <v>35</v>
      </c>
      <c r="S2408" s="17" t="s">
        <v>613</v>
      </c>
      <c r="T2408" s="18" t="s">
        <v>248</v>
      </c>
      <c r="U2408" s="20" t="s">
        <v>122</v>
      </c>
      <c r="V2408" s="17" t="n">
        <v>2</v>
      </c>
      <c r="W2408" s="20" t="s">
        <v>122</v>
      </c>
      <c r="X2408" s="17" t="s">
        <v>289</v>
      </c>
      <c r="Y2408" s="17" t="s">
        <v>1067</v>
      </c>
      <c r="Z2408" s="17" t="s">
        <v>1216</v>
      </c>
      <c r="AA2408" s="17" t="s">
        <v>919</v>
      </c>
      <c r="AB2408" s="17" t="s">
        <v>41</v>
      </c>
      <c r="AC2408" s="0" t="str">
        <f aca="false">LEFT(G2408,2)</f>
        <v>95</v>
      </c>
      <c r="AD2408" s="0"/>
    </row>
    <row r="2409" customFormat="false" ht="15" hidden="false" customHeight="false" outlineLevel="0" collapsed="false">
      <c r="A2409" s="13" t="n">
        <f aca="false">1+A2408</f>
        <v>2407</v>
      </c>
      <c r="B2409" s="14" t="n">
        <v>1009610565</v>
      </c>
      <c r="C2409" s="15" t="s">
        <v>181</v>
      </c>
      <c r="D2409" s="16" t="s">
        <v>108</v>
      </c>
      <c r="E2409" s="17" t="s">
        <v>64</v>
      </c>
      <c r="F2409" s="18" t="s">
        <v>34</v>
      </c>
      <c r="G2409" s="19" t="n">
        <v>954321107243</v>
      </c>
      <c r="H2409" s="17" t="s">
        <v>35</v>
      </c>
      <c r="I2409" s="17" t="s">
        <v>44</v>
      </c>
      <c r="J2409" s="17" t="s">
        <v>289</v>
      </c>
      <c r="K2409" s="17" t="s">
        <v>1067</v>
      </c>
      <c r="L2409" s="17" t="n">
        <v>1</v>
      </c>
      <c r="M2409" s="17" t="s">
        <v>610</v>
      </c>
      <c r="N2409" s="17" t="n">
        <v>1</v>
      </c>
      <c r="O2409" s="17" t="s">
        <v>611</v>
      </c>
      <c r="P2409" s="17" t="n">
        <v>11</v>
      </c>
      <c r="Q2409" s="17" t="s">
        <v>953</v>
      </c>
      <c r="R2409" s="17" t="s">
        <v>35</v>
      </c>
      <c r="S2409" s="17" t="s">
        <v>613</v>
      </c>
      <c r="T2409" s="18" t="s">
        <v>248</v>
      </c>
      <c r="U2409" s="20" t="s">
        <v>38</v>
      </c>
      <c r="V2409" s="17" t="n">
        <v>4</v>
      </c>
      <c r="W2409" s="20" t="s">
        <v>38</v>
      </c>
      <c r="X2409" s="17" t="s">
        <v>289</v>
      </c>
      <c r="Y2409" s="17" t="s">
        <v>1067</v>
      </c>
      <c r="Z2409" s="17" t="s">
        <v>136</v>
      </c>
      <c r="AA2409" s="17" t="s">
        <v>919</v>
      </c>
      <c r="AB2409" s="17" t="s">
        <v>41</v>
      </c>
      <c r="AC2409" s="0" t="str">
        <f aca="false">LEFT(G2409,2)</f>
        <v>95</v>
      </c>
      <c r="AD2409" s="0"/>
    </row>
    <row r="2410" customFormat="false" ht="15" hidden="false" customHeight="false" outlineLevel="0" collapsed="false">
      <c r="A2410" s="13" t="n">
        <f aca="false">1+A2409</f>
        <v>2408</v>
      </c>
      <c r="B2410" s="14" t="n">
        <v>1009666812</v>
      </c>
      <c r="C2410" s="15" t="s">
        <v>436</v>
      </c>
      <c r="D2410" s="16" t="s">
        <v>64</v>
      </c>
      <c r="E2410" s="17" t="s">
        <v>64</v>
      </c>
      <c r="F2410" s="18" t="s">
        <v>34</v>
      </c>
      <c r="G2410" s="19" t="n">
        <v>954128140595</v>
      </c>
      <c r="H2410" s="17" t="s">
        <v>35</v>
      </c>
      <c r="I2410" s="17" t="s">
        <v>44</v>
      </c>
      <c r="J2410" s="17" t="s">
        <v>121</v>
      </c>
      <c r="K2410" s="17" t="s">
        <v>955</v>
      </c>
      <c r="L2410" s="17" t="n">
        <v>1</v>
      </c>
      <c r="M2410" s="17" t="s">
        <v>610</v>
      </c>
      <c r="N2410" s="17" t="n">
        <v>1</v>
      </c>
      <c r="O2410" s="17" t="s">
        <v>611</v>
      </c>
      <c r="P2410" s="17" t="n">
        <v>11</v>
      </c>
      <c r="Q2410" s="17" t="s">
        <v>953</v>
      </c>
      <c r="R2410" s="17" t="s">
        <v>35</v>
      </c>
      <c r="S2410" s="17" t="s">
        <v>613</v>
      </c>
      <c r="T2410" s="18" t="s">
        <v>248</v>
      </c>
      <c r="U2410" s="20" t="s">
        <v>122</v>
      </c>
      <c r="V2410" s="17" t="n">
        <v>2</v>
      </c>
      <c r="W2410" s="20" t="s">
        <v>122</v>
      </c>
      <c r="X2410" s="17" t="s">
        <v>121</v>
      </c>
      <c r="Y2410" s="17" t="s">
        <v>955</v>
      </c>
      <c r="Z2410" s="17" t="s">
        <v>1217</v>
      </c>
      <c r="AA2410" s="17" t="s">
        <v>919</v>
      </c>
      <c r="AB2410" s="17" t="s">
        <v>41</v>
      </c>
      <c r="AC2410" s="0" t="str">
        <f aca="false">LEFT(G2410,2)</f>
        <v>95</v>
      </c>
      <c r="AD2410" s="0"/>
    </row>
    <row r="2411" customFormat="false" ht="15" hidden="false" customHeight="false" outlineLevel="0" collapsed="false">
      <c r="A2411" s="13" t="n">
        <f aca="false">1+A2410</f>
        <v>2409</v>
      </c>
      <c r="B2411" s="14" t="n">
        <v>1009376706</v>
      </c>
      <c r="C2411" s="15" t="s">
        <v>606</v>
      </c>
      <c r="D2411" s="16" t="s">
        <v>60</v>
      </c>
      <c r="E2411" s="17" t="s">
        <v>109</v>
      </c>
      <c r="F2411" s="18" t="s">
        <v>34</v>
      </c>
      <c r="G2411" s="19" t="n">
        <v>954199106897</v>
      </c>
      <c r="H2411" s="17" t="s">
        <v>35</v>
      </c>
      <c r="I2411" s="17" t="s">
        <v>44</v>
      </c>
      <c r="J2411" s="17" t="s">
        <v>289</v>
      </c>
      <c r="K2411" s="17" t="s">
        <v>1067</v>
      </c>
      <c r="L2411" s="17" t="n">
        <v>5</v>
      </c>
      <c r="M2411" s="17" t="s">
        <v>952</v>
      </c>
      <c r="N2411" s="17" t="n">
        <v>1</v>
      </c>
      <c r="O2411" s="17" t="s">
        <v>611</v>
      </c>
      <c r="P2411" s="17" t="n">
        <v>11</v>
      </c>
      <c r="Q2411" s="17" t="s">
        <v>953</v>
      </c>
      <c r="R2411" s="17" t="s">
        <v>35</v>
      </c>
      <c r="S2411" s="17" t="s">
        <v>613</v>
      </c>
      <c r="T2411" s="18" t="s">
        <v>248</v>
      </c>
      <c r="U2411" s="20" t="s">
        <v>38</v>
      </c>
      <c r="V2411" s="17" t="n">
        <v>4</v>
      </c>
      <c r="W2411" s="20" t="s">
        <v>38</v>
      </c>
      <c r="X2411" s="17" t="s">
        <v>289</v>
      </c>
      <c r="Y2411" s="17" t="s">
        <v>1067</v>
      </c>
      <c r="Z2411" s="17" t="s">
        <v>1217</v>
      </c>
      <c r="AA2411" s="17" t="s">
        <v>919</v>
      </c>
      <c r="AB2411" s="17" t="s">
        <v>41</v>
      </c>
      <c r="AC2411" s="0" t="str">
        <f aca="false">LEFT(G2411,2)</f>
        <v>95</v>
      </c>
      <c r="AD2411" s="0"/>
    </row>
    <row r="2412" customFormat="false" ht="15" hidden="false" customHeight="false" outlineLevel="0" collapsed="false">
      <c r="A2412" s="13" t="n">
        <f aca="false">1+A2411</f>
        <v>2410</v>
      </c>
      <c r="B2412" s="14" t="n">
        <v>1009572546</v>
      </c>
      <c r="C2412" s="15" t="s">
        <v>104</v>
      </c>
      <c r="D2412" s="16" t="s">
        <v>113</v>
      </c>
      <c r="E2412" s="17" t="s">
        <v>172</v>
      </c>
      <c r="F2412" s="18" t="s">
        <v>34</v>
      </c>
      <c r="G2412" s="19" t="n">
        <v>954241115839</v>
      </c>
      <c r="H2412" s="17" t="s">
        <v>35</v>
      </c>
      <c r="I2412" s="17" t="s">
        <v>44</v>
      </c>
      <c r="J2412" s="17" t="s">
        <v>287</v>
      </c>
      <c r="K2412" s="17" t="s">
        <v>1006</v>
      </c>
      <c r="L2412" s="17" t="n">
        <v>5</v>
      </c>
      <c r="M2412" s="17" t="s">
        <v>952</v>
      </c>
      <c r="N2412" s="17" t="n">
        <v>24</v>
      </c>
      <c r="O2412" s="17" t="s">
        <v>975</v>
      </c>
      <c r="P2412" s="17" t="n">
        <v>11</v>
      </c>
      <c r="Q2412" s="17" t="s">
        <v>953</v>
      </c>
      <c r="R2412" s="17" t="s">
        <v>35</v>
      </c>
      <c r="S2412" s="17" t="s">
        <v>613</v>
      </c>
      <c r="T2412" s="18" t="s">
        <v>248</v>
      </c>
      <c r="U2412" s="20" t="s">
        <v>122</v>
      </c>
      <c r="V2412" s="17" t="n">
        <v>2</v>
      </c>
      <c r="W2412" s="20" t="s">
        <v>122</v>
      </c>
      <c r="X2412" s="17" t="s">
        <v>287</v>
      </c>
      <c r="Y2412" s="17" t="s">
        <v>1006</v>
      </c>
      <c r="Z2412" s="17" t="s">
        <v>1218</v>
      </c>
      <c r="AA2412" s="17" t="s">
        <v>919</v>
      </c>
      <c r="AB2412" s="17" t="s">
        <v>41</v>
      </c>
      <c r="AC2412" s="0" t="str">
        <f aca="false">LEFT(G2412,2)</f>
        <v>95</v>
      </c>
      <c r="AD2412" s="0"/>
    </row>
    <row r="2413" customFormat="false" ht="15" hidden="false" customHeight="false" outlineLevel="0" collapsed="false">
      <c r="A2413" s="13" t="n">
        <f aca="false">1+A2412</f>
        <v>2411</v>
      </c>
      <c r="B2413" s="14" t="n">
        <v>1009575403</v>
      </c>
      <c r="C2413" s="15" t="s">
        <v>104</v>
      </c>
      <c r="D2413" s="16" t="s">
        <v>137</v>
      </c>
      <c r="E2413" s="17" t="s">
        <v>91</v>
      </c>
      <c r="F2413" s="18" t="s">
        <v>34</v>
      </c>
      <c r="G2413" s="19" t="n">
        <v>954235158811</v>
      </c>
      <c r="H2413" s="17" t="s">
        <v>35</v>
      </c>
      <c r="I2413" s="17" t="s">
        <v>44</v>
      </c>
      <c r="J2413" s="17" t="s">
        <v>289</v>
      </c>
      <c r="K2413" s="17" t="s">
        <v>1067</v>
      </c>
      <c r="L2413" s="17" t="n">
        <v>1</v>
      </c>
      <c r="M2413" s="17" t="s">
        <v>610</v>
      </c>
      <c r="N2413" s="17" t="n">
        <v>1</v>
      </c>
      <c r="O2413" s="17" t="s">
        <v>611</v>
      </c>
      <c r="P2413" s="17" t="n">
        <v>11</v>
      </c>
      <c r="Q2413" s="17" t="s">
        <v>953</v>
      </c>
      <c r="R2413" s="17" t="s">
        <v>35</v>
      </c>
      <c r="S2413" s="17" t="s">
        <v>613</v>
      </c>
      <c r="T2413" s="18" t="s">
        <v>248</v>
      </c>
      <c r="U2413" s="20" t="s">
        <v>122</v>
      </c>
      <c r="V2413" s="17" t="n">
        <v>2</v>
      </c>
      <c r="W2413" s="20" t="s">
        <v>122</v>
      </c>
      <c r="X2413" s="17" t="s">
        <v>289</v>
      </c>
      <c r="Y2413" s="17" t="s">
        <v>1067</v>
      </c>
      <c r="Z2413" s="17" t="s">
        <v>1219</v>
      </c>
      <c r="AA2413" s="17" t="s">
        <v>919</v>
      </c>
      <c r="AB2413" s="17" t="s">
        <v>41</v>
      </c>
      <c r="AC2413" s="0" t="str">
        <f aca="false">LEFT(G2413,2)</f>
        <v>95</v>
      </c>
      <c r="AD2413" s="0"/>
    </row>
    <row r="2414" customFormat="false" ht="15" hidden="false" customHeight="false" outlineLevel="0" collapsed="false">
      <c r="A2414" s="13" t="n">
        <f aca="false">1+A2413</f>
        <v>2412</v>
      </c>
      <c r="B2414" s="14" t="n">
        <v>1009530319</v>
      </c>
      <c r="C2414" s="15" t="s">
        <v>174</v>
      </c>
      <c r="D2414" s="16" t="s">
        <v>103</v>
      </c>
      <c r="E2414" s="17" t="s">
        <v>47</v>
      </c>
      <c r="F2414" s="18" t="s">
        <v>34</v>
      </c>
      <c r="G2414" s="19" t="n">
        <v>954213156738</v>
      </c>
      <c r="H2414" s="17" t="s">
        <v>35</v>
      </c>
      <c r="I2414" s="17" t="s">
        <v>44</v>
      </c>
      <c r="J2414" s="17" t="s">
        <v>289</v>
      </c>
      <c r="K2414" s="17" t="s">
        <v>1067</v>
      </c>
      <c r="L2414" s="17" t="n">
        <v>1</v>
      </c>
      <c r="M2414" s="17" t="s">
        <v>610</v>
      </c>
      <c r="N2414" s="17" t="n">
        <v>1</v>
      </c>
      <c r="O2414" s="17" t="s">
        <v>611</v>
      </c>
      <c r="P2414" s="17" t="n">
        <v>11</v>
      </c>
      <c r="Q2414" s="17" t="s">
        <v>953</v>
      </c>
      <c r="R2414" s="17" t="s">
        <v>35</v>
      </c>
      <c r="S2414" s="17" t="s">
        <v>613</v>
      </c>
      <c r="T2414" s="18" t="s">
        <v>248</v>
      </c>
      <c r="U2414" s="20" t="s">
        <v>38</v>
      </c>
      <c r="V2414" s="17" t="n">
        <v>4</v>
      </c>
      <c r="W2414" s="20" t="s">
        <v>38</v>
      </c>
      <c r="X2414" s="17" t="s">
        <v>289</v>
      </c>
      <c r="Y2414" s="17" t="s">
        <v>1067</v>
      </c>
      <c r="Z2414" s="17" t="s">
        <v>1220</v>
      </c>
      <c r="AA2414" s="17" t="s">
        <v>919</v>
      </c>
      <c r="AB2414" s="17" t="s">
        <v>41</v>
      </c>
      <c r="AC2414" s="0" t="str">
        <f aca="false">LEFT(G2414,2)</f>
        <v>95</v>
      </c>
      <c r="AD2414" s="0"/>
    </row>
    <row r="2415" customFormat="false" ht="15" hidden="false" customHeight="false" outlineLevel="0" collapsed="false">
      <c r="A2415" s="13" t="n">
        <f aca="false">1+A2414</f>
        <v>2413</v>
      </c>
      <c r="B2415" s="14" t="n">
        <v>1009609490</v>
      </c>
      <c r="C2415" s="15" t="s">
        <v>181</v>
      </c>
      <c r="D2415" s="16" t="s">
        <v>206</v>
      </c>
      <c r="E2415" s="17" t="s">
        <v>47</v>
      </c>
      <c r="F2415" s="18" t="s">
        <v>34</v>
      </c>
      <c r="G2415" s="19" t="n">
        <v>954314120179</v>
      </c>
      <c r="H2415" s="17" t="s">
        <v>35</v>
      </c>
      <c r="I2415" s="17" t="s">
        <v>44</v>
      </c>
      <c r="J2415" s="17" t="s">
        <v>289</v>
      </c>
      <c r="K2415" s="17" t="s">
        <v>1067</v>
      </c>
      <c r="L2415" s="17" t="n">
        <v>5</v>
      </c>
      <c r="M2415" s="17" t="s">
        <v>952</v>
      </c>
      <c r="N2415" s="17" t="n">
        <v>1</v>
      </c>
      <c r="O2415" s="17" t="s">
        <v>611</v>
      </c>
      <c r="P2415" s="17" t="n">
        <v>11</v>
      </c>
      <c r="Q2415" s="17" t="s">
        <v>953</v>
      </c>
      <c r="R2415" s="17" t="s">
        <v>35</v>
      </c>
      <c r="S2415" s="17" t="s">
        <v>613</v>
      </c>
      <c r="T2415" s="18" t="s">
        <v>248</v>
      </c>
      <c r="U2415" s="20" t="s">
        <v>122</v>
      </c>
      <c r="V2415" s="17" t="n">
        <v>2</v>
      </c>
      <c r="W2415" s="20" t="s">
        <v>122</v>
      </c>
      <c r="X2415" s="17" t="s">
        <v>289</v>
      </c>
      <c r="Y2415" s="17" t="s">
        <v>1067</v>
      </c>
      <c r="Z2415" s="17" t="s">
        <v>1221</v>
      </c>
      <c r="AA2415" s="17" t="s">
        <v>919</v>
      </c>
      <c r="AB2415" s="17" t="s">
        <v>41</v>
      </c>
      <c r="AC2415" s="0" t="str">
        <f aca="false">LEFT(G2415,2)</f>
        <v>95</v>
      </c>
      <c r="AD2415" s="0"/>
    </row>
    <row r="2416" customFormat="false" ht="15" hidden="false" customHeight="false" outlineLevel="0" collapsed="false">
      <c r="A2416" s="13" t="n">
        <f aca="false">1+A2415</f>
        <v>2414</v>
      </c>
      <c r="B2416" s="14" t="n">
        <v>1009572527</v>
      </c>
      <c r="C2416" s="15" t="s">
        <v>104</v>
      </c>
      <c r="D2416" s="16" t="s">
        <v>86</v>
      </c>
      <c r="E2416" s="17" t="s">
        <v>47</v>
      </c>
      <c r="F2416" s="18" t="s">
        <v>34</v>
      </c>
      <c r="G2416" s="19" t="n">
        <v>954137272355</v>
      </c>
      <c r="H2416" s="17" t="s">
        <v>35</v>
      </c>
      <c r="I2416" s="17" t="s">
        <v>44</v>
      </c>
      <c r="J2416" s="17" t="s">
        <v>289</v>
      </c>
      <c r="K2416" s="17" t="s">
        <v>1067</v>
      </c>
      <c r="L2416" s="17" t="n">
        <v>1</v>
      </c>
      <c r="M2416" s="17" t="s">
        <v>610</v>
      </c>
      <c r="N2416" s="17" t="n">
        <v>1</v>
      </c>
      <c r="O2416" s="17" t="s">
        <v>611</v>
      </c>
      <c r="P2416" s="17" t="n">
        <v>11</v>
      </c>
      <c r="Q2416" s="17" t="s">
        <v>953</v>
      </c>
      <c r="R2416" s="17" t="s">
        <v>35</v>
      </c>
      <c r="S2416" s="17" t="s">
        <v>613</v>
      </c>
      <c r="T2416" s="18" t="s">
        <v>248</v>
      </c>
      <c r="U2416" s="20" t="s">
        <v>38</v>
      </c>
      <c r="V2416" s="17" t="n">
        <v>4</v>
      </c>
      <c r="W2416" s="20" t="s">
        <v>38</v>
      </c>
      <c r="X2416" s="17" t="s">
        <v>289</v>
      </c>
      <c r="Y2416" s="17" t="s">
        <v>1067</v>
      </c>
      <c r="Z2416" s="17" t="s">
        <v>1222</v>
      </c>
      <c r="AA2416" s="17" t="s">
        <v>919</v>
      </c>
      <c r="AB2416" s="17" t="s">
        <v>41</v>
      </c>
      <c r="AC2416" s="0" t="str">
        <f aca="false">LEFT(G2416,2)</f>
        <v>95</v>
      </c>
      <c r="AD2416" s="0"/>
    </row>
    <row r="2417" customFormat="false" ht="15" hidden="false" customHeight="false" outlineLevel="0" collapsed="false">
      <c r="A2417" s="13" t="n">
        <f aca="false">1+A2416</f>
        <v>2415</v>
      </c>
      <c r="B2417" s="14" t="n">
        <v>1009565467</v>
      </c>
      <c r="C2417" s="15" t="s">
        <v>102</v>
      </c>
      <c r="D2417" s="16" t="s">
        <v>64</v>
      </c>
      <c r="E2417" s="17" t="s">
        <v>91</v>
      </c>
      <c r="F2417" s="18" t="s">
        <v>34</v>
      </c>
      <c r="G2417" s="19" t="n">
        <v>955182131746</v>
      </c>
      <c r="H2417" s="17" t="s">
        <v>35</v>
      </c>
      <c r="I2417" s="17" t="s">
        <v>44</v>
      </c>
      <c r="J2417" s="17" t="s">
        <v>111</v>
      </c>
      <c r="K2417" s="17" t="s">
        <v>958</v>
      </c>
      <c r="L2417" s="17" t="n">
        <v>1</v>
      </c>
      <c r="M2417" s="17" t="s">
        <v>610</v>
      </c>
      <c r="N2417" s="17" t="n">
        <v>1</v>
      </c>
      <c r="O2417" s="17" t="s">
        <v>611</v>
      </c>
      <c r="P2417" s="17" t="n">
        <v>11</v>
      </c>
      <c r="Q2417" s="17" t="s">
        <v>953</v>
      </c>
      <c r="R2417" s="17" t="s">
        <v>35</v>
      </c>
      <c r="S2417" s="17" t="s">
        <v>613</v>
      </c>
      <c r="T2417" s="18" t="s">
        <v>248</v>
      </c>
      <c r="U2417" s="20" t="s">
        <v>122</v>
      </c>
      <c r="V2417" s="17" t="n">
        <v>2</v>
      </c>
      <c r="W2417" s="20" t="s">
        <v>122</v>
      </c>
      <c r="X2417" s="17" t="s">
        <v>111</v>
      </c>
      <c r="Y2417" s="17" t="s">
        <v>958</v>
      </c>
      <c r="Z2417" s="17" t="s">
        <v>1223</v>
      </c>
      <c r="AA2417" s="17" t="s">
        <v>919</v>
      </c>
      <c r="AB2417" s="17" t="s">
        <v>41</v>
      </c>
      <c r="AC2417" s="0" t="str">
        <f aca="false">LEFT(G2417,2)</f>
        <v>95</v>
      </c>
    </row>
    <row r="2418" customFormat="false" ht="15" hidden="false" customHeight="false" outlineLevel="0" collapsed="false">
      <c r="A2418" s="13" t="n">
        <f aca="false">1+A2417</f>
        <v>2416</v>
      </c>
      <c r="B2418" s="14" t="n">
        <v>1009684966</v>
      </c>
      <c r="C2418" s="15" t="s">
        <v>449</v>
      </c>
      <c r="D2418" s="16" t="s">
        <v>64</v>
      </c>
      <c r="E2418" s="17" t="s">
        <v>64</v>
      </c>
      <c r="F2418" s="18" t="s">
        <v>34</v>
      </c>
      <c r="G2418" s="19" t="n">
        <v>954078317631</v>
      </c>
      <c r="H2418" s="17" t="s">
        <v>35</v>
      </c>
      <c r="I2418" s="17" t="s">
        <v>44</v>
      </c>
      <c r="J2418" s="17" t="s">
        <v>111</v>
      </c>
      <c r="K2418" s="17" t="s">
        <v>958</v>
      </c>
      <c r="L2418" s="17" t="n">
        <v>5</v>
      </c>
      <c r="M2418" s="17" t="s">
        <v>952</v>
      </c>
      <c r="N2418" s="17" t="n">
        <v>24</v>
      </c>
      <c r="O2418" s="17" t="s">
        <v>975</v>
      </c>
      <c r="P2418" s="17" t="n">
        <v>11</v>
      </c>
      <c r="Q2418" s="17" t="s">
        <v>953</v>
      </c>
      <c r="R2418" s="17" t="s">
        <v>35</v>
      </c>
      <c r="S2418" s="17" t="s">
        <v>613</v>
      </c>
      <c r="T2418" s="18" t="s">
        <v>248</v>
      </c>
      <c r="U2418" s="20" t="s">
        <v>122</v>
      </c>
      <c r="V2418" s="17" t="n">
        <v>2</v>
      </c>
      <c r="W2418" s="20" t="s">
        <v>122</v>
      </c>
      <c r="X2418" s="17" t="s">
        <v>111</v>
      </c>
      <c r="Y2418" s="17" t="s">
        <v>958</v>
      </c>
      <c r="Z2418" s="17" t="s">
        <v>1223</v>
      </c>
      <c r="AA2418" s="17" t="s">
        <v>919</v>
      </c>
      <c r="AB2418" s="17" t="s">
        <v>41</v>
      </c>
      <c r="AC2418" s="0" t="str">
        <f aca="false">LEFT(G2418,2)</f>
        <v>95</v>
      </c>
    </row>
    <row r="2419" customFormat="false" ht="15" hidden="false" customHeight="false" outlineLevel="0" collapsed="false">
      <c r="A2419" s="13" t="n">
        <f aca="false">1+A2418</f>
        <v>2417</v>
      </c>
      <c r="B2419" s="14" t="n">
        <v>1009504092</v>
      </c>
      <c r="C2419" s="15" t="s">
        <v>95</v>
      </c>
      <c r="D2419" s="16" t="s">
        <v>64</v>
      </c>
      <c r="E2419" s="17" t="s">
        <v>91</v>
      </c>
      <c r="F2419" s="18" t="s">
        <v>34</v>
      </c>
      <c r="G2419" s="19" t="n">
        <v>954259198040</v>
      </c>
      <c r="H2419" s="17" t="s">
        <v>35</v>
      </c>
      <c r="I2419" s="17" t="s">
        <v>44</v>
      </c>
      <c r="J2419" s="17" t="s">
        <v>289</v>
      </c>
      <c r="K2419" s="17" t="s">
        <v>1067</v>
      </c>
      <c r="L2419" s="17" t="n">
        <v>1</v>
      </c>
      <c r="M2419" s="17" t="s">
        <v>610</v>
      </c>
      <c r="N2419" s="17" t="n">
        <v>1</v>
      </c>
      <c r="O2419" s="17" t="s">
        <v>611</v>
      </c>
      <c r="P2419" s="17" t="n">
        <v>11</v>
      </c>
      <c r="Q2419" s="17" t="s">
        <v>953</v>
      </c>
      <c r="R2419" s="17" t="s">
        <v>35</v>
      </c>
      <c r="S2419" s="17" t="s">
        <v>613</v>
      </c>
      <c r="T2419" s="18" t="s">
        <v>248</v>
      </c>
      <c r="U2419" s="20" t="s">
        <v>122</v>
      </c>
      <c r="V2419" s="17" t="n">
        <v>2</v>
      </c>
      <c r="W2419" s="20" t="s">
        <v>122</v>
      </c>
      <c r="X2419" s="17" t="s">
        <v>289</v>
      </c>
      <c r="Y2419" s="17" t="s">
        <v>1067</v>
      </c>
      <c r="Z2419" s="17" t="s">
        <v>1221</v>
      </c>
      <c r="AA2419" s="17" t="s">
        <v>919</v>
      </c>
      <c r="AB2419" s="17" t="s">
        <v>41</v>
      </c>
      <c r="AC2419" s="0" t="str">
        <f aca="false">LEFT(G2419,2)</f>
        <v>95</v>
      </c>
    </row>
    <row r="2420" customFormat="false" ht="15" hidden="false" customHeight="false" outlineLevel="0" collapsed="false">
      <c r="A2420" s="13" t="n">
        <f aca="false">1+A2419</f>
        <v>2418</v>
      </c>
      <c r="B2420" s="14" t="n">
        <v>1009575111</v>
      </c>
      <c r="C2420" s="15" t="s">
        <v>104</v>
      </c>
      <c r="D2420" s="16" t="s">
        <v>138</v>
      </c>
      <c r="E2420" s="17" t="s">
        <v>91</v>
      </c>
      <c r="F2420" s="18" t="s">
        <v>34</v>
      </c>
      <c r="G2420" s="19" t="n">
        <v>954313122044</v>
      </c>
      <c r="H2420" s="17" t="s">
        <v>35</v>
      </c>
      <c r="I2420" s="17" t="s">
        <v>44</v>
      </c>
      <c r="J2420" s="17" t="s">
        <v>287</v>
      </c>
      <c r="K2420" s="17" t="s">
        <v>1006</v>
      </c>
      <c r="L2420" s="17" t="n">
        <v>7</v>
      </c>
      <c r="M2420" s="17" t="s">
        <v>993</v>
      </c>
      <c r="N2420" s="17" t="n">
        <v>37</v>
      </c>
      <c r="O2420" s="17" t="s">
        <v>1034</v>
      </c>
      <c r="P2420" s="17" t="n">
        <v>11</v>
      </c>
      <c r="Q2420" s="17" t="s">
        <v>953</v>
      </c>
      <c r="R2420" s="17" t="s">
        <v>35</v>
      </c>
      <c r="S2420" s="17" t="s">
        <v>613</v>
      </c>
      <c r="T2420" s="18" t="s">
        <v>248</v>
      </c>
      <c r="U2420" s="20" t="s">
        <v>38</v>
      </c>
      <c r="V2420" s="17" t="n">
        <v>4</v>
      </c>
      <c r="W2420" s="20" t="s">
        <v>38</v>
      </c>
      <c r="X2420" s="17" t="s">
        <v>287</v>
      </c>
      <c r="Y2420" s="17" t="s">
        <v>1006</v>
      </c>
      <c r="Z2420" s="17" t="s">
        <v>1224</v>
      </c>
      <c r="AA2420" s="17" t="s">
        <v>919</v>
      </c>
      <c r="AB2420" s="17" t="s">
        <v>41</v>
      </c>
      <c r="AC2420" s="0" t="str">
        <f aca="false">LEFT(G2420,2)</f>
        <v>95</v>
      </c>
    </row>
    <row r="2421" customFormat="false" ht="15" hidden="false" customHeight="false" outlineLevel="0" collapsed="false">
      <c r="A2421" s="13" t="n">
        <f aca="false">1+A2420</f>
        <v>2419</v>
      </c>
      <c r="B2421" s="14" t="n">
        <v>1009673474</v>
      </c>
      <c r="C2421" s="15" t="s">
        <v>436</v>
      </c>
      <c r="D2421" s="16" t="s">
        <v>64</v>
      </c>
      <c r="E2421" s="17" t="s">
        <v>178</v>
      </c>
      <c r="F2421" s="18" t="s">
        <v>34</v>
      </c>
      <c r="G2421" s="19" t="n">
        <v>954347187088</v>
      </c>
      <c r="H2421" s="17" t="s">
        <v>35</v>
      </c>
      <c r="I2421" s="17" t="s">
        <v>44</v>
      </c>
      <c r="J2421" s="17" t="s">
        <v>100</v>
      </c>
      <c r="K2421" s="17" t="s">
        <v>978</v>
      </c>
      <c r="L2421" s="17" t="n">
        <v>1</v>
      </c>
      <c r="M2421" s="17" t="s">
        <v>610</v>
      </c>
      <c r="N2421" s="17" t="n">
        <v>1</v>
      </c>
      <c r="O2421" s="17" t="s">
        <v>611</v>
      </c>
      <c r="P2421" s="17" t="n">
        <v>12</v>
      </c>
      <c r="Q2421" s="17" t="s">
        <v>612</v>
      </c>
      <c r="R2421" s="17" t="s">
        <v>35</v>
      </c>
      <c r="S2421" s="17" t="s">
        <v>613</v>
      </c>
      <c r="T2421" s="18" t="s">
        <v>135</v>
      </c>
      <c r="U2421" s="20" t="s">
        <v>248</v>
      </c>
      <c r="V2421" s="17" t="n">
        <v>11</v>
      </c>
      <c r="W2421" s="20" t="s">
        <v>248</v>
      </c>
      <c r="X2421" s="17" t="s">
        <v>100</v>
      </c>
      <c r="Y2421" s="17" t="s">
        <v>978</v>
      </c>
      <c r="Z2421" s="17" t="s">
        <v>372</v>
      </c>
      <c r="AA2421" s="17" t="s">
        <v>919</v>
      </c>
      <c r="AB2421" s="17" t="s">
        <v>41</v>
      </c>
      <c r="AC2421" s="0" t="str">
        <f aca="false">LEFT(G2421,2)</f>
        <v>95</v>
      </c>
    </row>
    <row r="2422" customFormat="false" ht="15" hidden="false" customHeight="false" outlineLevel="0" collapsed="false">
      <c r="A2422" s="13" t="n">
        <f aca="false">1+A2421</f>
        <v>2420</v>
      </c>
      <c r="B2422" s="14" t="n">
        <v>1009651234</v>
      </c>
      <c r="C2422" s="15" t="s">
        <v>204</v>
      </c>
      <c r="D2422" s="16" t="s">
        <v>64</v>
      </c>
      <c r="E2422" s="17" t="s">
        <v>47</v>
      </c>
      <c r="F2422" s="18" t="s">
        <v>34</v>
      </c>
      <c r="G2422" s="19" t="n">
        <v>288139117387</v>
      </c>
      <c r="H2422" s="17" t="s">
        <v>35</v>
      </c>
      <c r="I2422" s="17" t="s">
        <v>74</v>
      </c>
      <c r="J2422" s="17" t="s">
        <v>239</v>
      </c>
      <c r="K2422" s="17" t="s">
        <v>951</v>
      </c>
      <c r="L2422" s="17" t="n">
        <v>5</v>
      </c>
      <c r="M2422" s="17" t="s">
        <v>952</v>
      </c>
      <c r="N2422" s="17" t="n">
        <v>1</v>
      </c>
      <c r="O2422" s="17" t="s">
        <v>611</v>
      </c>
      <c r="P2422" s="17" t="n">
        <v>11</v>
      </c>
      <c r="Q2422" s="17" t="s">
        <v>953</v>
      </c>
      <c r="R2422" s="17" t="s">
        <v>35</v>
      </c>
      <c r="S2422" s="17" t="s">
        <v>613</v>
      </c>
      <c r="T2422" s="18" t="s">
        <v>248</v>
      </c>
      <c r="U2422" s="20" t="s">
        <v>122</v>
      </c>
      <c r="V2422" s="17" t="n">
        <v>2</v>
      </c>
      <c r="W2422" s="20" t="s">
        <v>122</v>
      </c>
      <c r="X2422" s="17" t="s">
        <v>239</v>
      </c>
      <c r="Y2422" s="17" t="s">
        <v>951</v>
      </c>
      <c r="Z2422" s="17" t="s">
        <v>1225</v>
      </c>
      <c r="AA2422" s="17" t="s">
        <v>919</v>
      </c>
      <c r="AB2422" s="17" t="s">
        <v>41</v>
      </c>
      <c r="AC2422" s="0" t="str">
        <f aca="false">LEFT(G2422,2)</f>
        <v>28</v>
      </c>
    </row>
    <row r="2423" customFormat="false" ht="15" hidden="false" customHeight="false" outlineLevel="0" collapsed="false">
      <c r="A2423" s="13" t="n">
        <f aca="false">1+A2422</f>
        <v>2421</v>
      </c>
      <c r="B2423" s="14" t="n">
        <v>1009456748</v>
      </c>
      <c r="C2423" s="15" t="s">
        <v>165</v>
      </c>
      <c r="D2423" s="16" t="s">
        <v>64</v>
      </c>
      <c r="E2423" s="17" t="s">
        <v>64</v>
      </c>
      <c r="F2423" s="18" t="s">
        <v>34</v>
      </c>
      <c r="G2423" s="19" t="n">
        <v>288080214274</v>
      </c>
      <c r="H2423" s="17" t="s">
        <v>35</v>
      </c>
      <c r="I2423" s="17" t="s">
        <v>74</v>
      </c>
      <c r="J2423" s="17" t="s">
        <v>241</v>
      </c>
      <c r="K2423" s="17" t="s">
        <v>992</v>
      </c>
      <c r="L2423" s="17" t="n">
        <v>5</v>
      </c>
      <c r="M2423" s="17" t="s">
        <v>952</v>
      </c>
      <c r="N2423" s="17" t="n">
        <v>1</v>
      </c>
      <c r="O2423" s="17" t="s">
        <v>611</v>
      </c>
      <c r="P2423" s="17" t="n">
        <v>11</v>
      </c>
      <c r="Q2423" s="17" t="s">
        <v>953</v>
      </c>
      <c r="R2423" s="17" t="s">
        <v>35</v>
      </c>
      <c r="S2423" s="17" t="s">
        <v>613</v>
      </c>
      <c r="T2423" s="18" t="s">
        <v>248</v>
      </c>
      <c r="U2423" s="20" t="s">
        <v>122</v>
      </c>
      <c r="V2423" s="17" t="n">
        <v>2</v>
      </c>
      <c r="W2423" s="20" t="s">
        <v>122</v>
      </c>
      <c r="X2423" s="17" t="s">
        <v>241</v>
      </c>
      <c r="Y2423" s="17" t="s">
        <v>992</v>
      </c>
      <c r="Z2423" s="17" t="s">
        <v>1225</v>
      </c>
      <c r="AA2423" s="17" t="s">
        <v>919</v>
      </c>
      <c r="AB2423" s="17" t="s">
        <v>41</v>
      </c>
      <c r="AC2423" s="0" t="str">
        <f aca="false">LEFT(G2423,2)</f>
        <v>28</v>
      </c>
    </row>
    <row r="2424" customFormat="false" ht="15" hidden="false" customHeight="false" outlineLevel="0" collapsed="false">
      <c r="A2424" s="13" t="n">
        <f aca="false">1+A2423</f>
        <v>2422</v>
      </c>
      <c r="B2424" s="14" t="n">
        <v>1009620396</v>
      </c>
      <c r="C2424" s="15" t="s">
        <v>184</v>
      </c>
      <c r="D2424" s="16" t="s">
        <v>219</v>
      </c>
      <c r="E2424" s="17" t="s">
        <v>47</v>
      </c>
      <c r="F2424" s="18" t="s">
        <v>34</v>
      </c>
      <c r="G2424" s="19" t="n">
        <v>288095129384</v>
      </c>
      <c r="H2424" s="17" t="s">
        <v>35</v>
      </c>
      <c r="I2424" s="17" t="s">
        <v>74</v>
      </c>
      <c r="J2424" s="17" t="s">
        <v>267</v>
      </c>
      <c r="K2424" s="17" t="s">
        <v>960</v>
      </c>
      <c r="L2424" s="17" t="n">
        <v>5</v>
      </c>
      <c r="M2424" s="17" t="s">
        <v>952</v>
      </c>
      <c r="N2424" s="17" t="n">
        <v>1</v>
      </c>
      <c r="O2424" s="17" t="s">
        <v>611</v>
      </c>
      <c r="P2424" s="17" t="n">
        <v>11</v>
      </c>
      <c r="Q2424" s="17" t="s">
        <v>953</v>
      </c>
      <c r="R2424" s="17" t="s">
        <v>35</v>
      </c>
      <c r="S2424" s="17" t="s">
        <v>613</v>
      </c>
      <c r="T2424" s="18" t="s">
        <v>248</v>
      </c>
      <c r="U2424" s="20" t="s">
        <v>256</v>
      </c>
      <c r="V2424" s="17" t="n">
        <v>1</v>
      </c>
      <c r="W2424" s="20" t="s">
        <v>256</v>
      </c>
      <c r="X2424" s="17" t="s">
        <v>267</v>
      </c>
      <c r="Y2424" s="17" t="s">
        <v>960</v>
      </c>
      <c r="Z2424" s="17" t="s">
        <v>384</v>
      </c>
      <c r="AA2424" s="17" t="s">
        <v>919</v>
      </c>
      <c r="AB2424" s="17" t="s">
        <v>41</v>
      </c>
      <c r="AC2424" s="0" t="str">
        <f aca="false">LEFT(G2424,2)</f>
        <v>28</v>
      </c>
    </row>
    <row r="2425" customFormat="false" ht="15" hidden="false" customHeight="false" outlineLevel="0" collapsed="false">
      <c r="A2425" s="13" t="n">
        <f aca="false">1+A2424</f>
        <v>2423</v>
      </c>
      <c r="B2425" s="14" t="n">
        <v>1009551549</v>
      </c>
      <c r="C2425" s="15" t="s">
        <v>126</v>
      </c>
      <c r="D2425" s="16" t="s">
        <v>64</v>
      </c>
      <c r="E2425" s="17" t="s">
        <v>47</v>
      </c>
      <c r="F2425" s="18" t="s">
        <v>34</v>
      </c>
      <c r="G2425" s="19" t="n">
        <v>278005229879</v>
      </c>
      <c r="H2425" s="17" t="s">
        <v>35</v>
      </c>
      <c r="I2425" s="17" t="s">
        <v>74</v>
      </c>
      <c r="J2425" s="17" t="s">
        <v>118</v>
      </c>
      <c r="K2425" s="17" t="s">
        <v>609</v>
      </c>
      <c r="L2425" s="17" t="n">
        <v>5</v>
      </c>
      <c r="M2425" s="17" t="s">
        <v>952</v>
      </c>
      <c r="N2425" s="17" t="n">
        <v>1</v>
      </c>
      <c r="O2425" s="17" t="s">
        <v>611</v>
      </c>
      <c r="P2425" s="17" t="n">
        <v>11</v>
      </c>
      <c r="Q2425" s="17" t="s">
        <v>953</v>
      </c>
      <c r="R2425" s="17" t="s">
        <v>35</v>
      </c>
      <c r="S2425" s="17" t="s">
        <v>613</v>
      </c>
      <c r="T2425" s="18" t="s">
        <v>248</v>
      </c>
      <c r="U2425" s="20" t="s">
        <v>122</v>
      </c>
      <c r="V2425" s="17" t="n">
        <v>2</v>
      </c>
      <c r="W2425" s="20" t="s">
        <v>122</v>
      </c>
      <c r="X2425" s="17" t="s">
        <v>118</v>
      </c>
      <c r="Y2425" s="17" t="s">
        <v>609</v>
      </c>
      <c r="Z2425" s="17" t="s">
        <v>1225</v>
      </c>
      <c r="AA2425" s="17" t="s">
        <v>919</v>
      </c>
      <c r="AB2425" s="17" t="s">
        <v>41</v>
      </c>
      <c r="AC2425" s="0" t="str">
        <f aca="false">LEFT(G2425,2)</f>
        <v>27</v>
      </c>
    </row>
    <row r="2426" customFormat="false" ht="15" hidden="false" customHeight="false" outlineLevel="0" collapsed="false">
      <c r="A2426" s="13" t="n">
        <f aca="false">1+A2425</f>
        <v>2424</v>
      </c>
      <c r="B2426" s="14" t="n">
        <v>1009651231</v>
      </c>
      <c r="C2426" s="15" t="s">
        <v>204</v>
      </c>
      <c r="D2426" s="16" t="s">
        <v>183</v>
      </c>
      <c r="E2426" s="17" t="s">
        <v>47</v>
      </c>
      <c r="F2426" s="18" t="s">
        <v>34</v>
      </c>
      <c r="G2426" s="19" t="n">
        <v>288117217464</v>
      </c>
      <c r="H2426" s="17" t="s">
        <v>35</v>
      </c>
      <c r="I2426" s="17" t="s">
        <v>74</v>
      </c>
      <c r="J2426" s="17" t="s">
        <v>267</v>
      </c>
      <c r="K2426" s="17" t="s">
        <v>960</v>
      </c>
      <c r="L2426" s="17" t="n">
        <v>5</v>
      </c>
      <c r="M2426" s="17" t="s">
        <v>952</v>
      </c>
      <c r="N2426" s="17" t="n">
        <v>1</v>
      </c>
      <c r="O2426" s="17" t="s">
        <v>611</v>
      </c>
      <c r="P2426" s="17" t="n">
        <v>11</v>
      </c>
      <c r="Q2426" s="17" t="s">
        <v>953</v>
      </c>
      <c r="R2426" s="17" t="s">
        <v>35</v>
      </c>
      <c r="S2426" s="17" t="s">
        <v>613</v>
      </c>
      <c r="T2426" s="18" t="s">
        <v>248</v>
      </c>
      <c r="U2426" s="20" t="s">
        <v>38</v>
      </c>
      <c r="V2426" s="17" t="n">
        <v>4</v>
      </c>
      <c r="W2426" s="20" t="s">
        <v>38</v>
      </c>
      <c r="X2426" s="17" t="s">
        <v>267</v>
      </c>
      <c r="Y2426" s="17" t="s">
        <v>960</v>
      </c>
      <c r="Z2426" s="17" t="s">
        <v>381</v>
      </c>
      <c r="AA2426" s="17" t="s">
        <v>919</v>
      </c>
      <c r="AB2426" s="17" t="s">
        <v>41</v>
      </c>
      <c r="AC2426" s="0" t="str">
        <f aca="false">LEFT(G2426,2)</f>
        <v>28</v>
      </c>
    </row>
    <row r="2427" customFormat="false" ht="15" hidden="false" customHeight="false" outlineLevel="0" collapsed="false">
      <c r="A2427" s="13" t="n">
        <f aca="false">1+A2426</f>
        <v>2425</v>
      </c>
      <c r="B2427" s="14" t="n">
        <v>1009584456</v>
      </c>
      <c r="C2427" s="15" t="s">
        <v>139</v>
      </c>
      <c r="D2427" s="16" t="s">
        <v>143</v>
      </c>
      <c r="E2427" s="17" t="s">
        <v>47</v>
      </c>
      <c r="F2427" s="18" t="s">
        <v>34</v>
      </c>
      <c r="G2427" s="19" t="n">
        <v>277325249179</v>
      </c>
      <c r="H2427" s="17" t="s">
        <v>35</v>
      </c>
      <c r="I2427" s="17" t="s">
        <v>74</v>
      </c>
      <c r="J2427" s="17" t="s">
        <v>118</v>
      </c>
      <c r="K2427" s="17" t="s">
        <v>609</v>
      </c>
      <c r="L2427" s="17" t="n">
        <v>5</v>
      </c>
      <c r="M2427" s="17" t="s">
        <v>952</v>
      </c>
      <c r="N2427" s="17" t="n">
        <v>1</v>
      </c>
      <c r="O2427" s="17" t="s">
        <v>611</v>
      </c>
      <c r="P2427" s="17" t="n">
        <v>11</v>
      </c>
      <c r="Q2427" s="17" t="s">
        <v>953</v>
      </c>
      <c r="R2427" s="17" t="s">
        <v>35</v>
      </c>
      <c r="S2427" s="17" t="s">
        <v>613</v>
      </c>
      <c r="T2427" s="18" t="s">
        <v>248</v>
      </c>
      <c r="U2427" s="20" t="s">
        <v>122</v>
      </c>
      <c r="V2427" s="17" t="n">
        <v>2</v>
      </c>
      <c r="W2427" s="20" t="s">
        <v>122</v>
      </c>
      <c r="X2427" s="17" t="s">
        <v>118</v>
      </c>
      <c r="Y2427" s="17" t="s">
        <v>609</v>
      </c>
      <c r="Z2427" s="17" t="s">
        <v>1036</v>
      </c>
      <c r="AA2427" s="17" t="s">
        <v>919</v>
      </c>
      <c r="AB2427" s="17" t="s">
        <v>41</v>
      </c>
      <c r="AC2427" s="0" t="str">
        <f aca="false">LEFT(G2427,2)</f>
        <v>27</v>
      </c>
    </row>
    <row r="2428" customFormat="false" ht="15" hidden="false" customHeight="false" outlineLevel="0" collapsed="false">
      <c r="A2428" s="13" t="n">
        <f aca="false">1+A2427</f>
        <v>2426</v>
      </c>
      <c r="B2428" s="14" t="n">
        <v>1009605114</v>
      </c>
      <c r="C2428" s="15" t="s">
        <v>181</v>
      </c>
      <c r="D2428" s="16" t="s">
        <v>64</v>
      </c>
      <c r="E2428" s="17" t="s">
        <v>64</v>
      </c>
      <c r="F2428" s="18" t="s">
        <v>34</v>
      </c>
      <c r="G2428" s="19" t="n">
        <v>277349111629</v>
      </c>
      <c r="H2428" s="17" t="s">
        <v>35</v>
      </c>
      <c r="I2428" s="17" t="s">
        <v>74</v>
      </c>
      <c r="J2428" s="17" t="s">
        <v>118</v>
      </c>
      <c r="K2428" s="17" t="s">
        <v>609</v>
      </c>
      <c r="L2428" s="17" t="n">
        <v>5</v>
      </c>
      <c r="M2428" s="17" t="s">
        <v>952</v>
      </c>
      <c r="N2428" s="17" t="n">
        <v>1</v>
      </c>
      <c r="O2428" s="17" t="s">
        <v>611</v>
      </c>
      <c r="P2428" s="17" t="n">
        <v>11</v>
      </c>
      <c r="Q2428" s="17" t="s">
        <v>953</v>
      </c>
      <c r="R2428" s="17" t="s">
        <v>35</v>
      </c>
      <c r="S2428" s="17" t="s">
        <v>613</v>
      </c>
      <c r="T2428" s="18" t="s">
        <v>248</v>
      </c>
      <c r="U2428" s="20" t="s">
        <v>122</v>
      </c>
      <c r="V2428" s="17" t="n">
        <v>2</v>
      </c>
      <c r="W2428" s="20" t="s">
        <v>122</v>
      </c>
      <c r="X2428" s="17" t="s">
        <v>118</v>
      </c>
      <c r="Y2428" s="17" t="s">
        <v>609</v>
      </c>
      <c r="Z2428" s="17" t="s">
        <v>381</v>
      </c>
      <c r="AA2428" s="17" t="s">
        <v>919</v>
      </c>
      <c r="AB2428" s="17" t="s">
        <v>41</v>
      </c>
      <c r="AC2428" s="0" t="str">
        <f aca="false">LEFT(G2428,2)</f>
        <v>27</v>
      </c>
    </row>
    <row r="2429" customFormat="false" ht="15" hidden="false" customHeight="false" outlineLevel="0" collapsed="false">
      <c r="A2429" s="13" t="n">
        <f aca="false">1+A2428</f>
        <v>2427</v>
      </c>
      <c r="B2429" s="14" t="n">
        <v>1009663930</v>
      </c>
      <c r="C2429" s="15" t="s">
        <v>433</v>
      </c>
      <c r="D2429" s="16" t="s">
        <v>175</v>
      </c>
      <c r="E2429" s="17" t="s">
        <v>176</v>
      </c>
      <c r="F2429" s="18" t="s">
        <v>34</v>
      </c>
      <c r="G2429" s="19" t="n">
        <v>277285139691</v>
      </c>
      <c r="H2429" s="17" t="s">
        <v>35</v>
      </c>
      <c r="I2429" s="17" t="s">
        <v>74</v>
      </c>
      <c r="J2429" s="17" t="s">
        <v>239</v>
      </c>
      <c r="K2429" s="17" t="s">
        <v>951</v>
      </c>
      <c r="L2429" s="17" t="n">
        <v>5</v>
      </c>
      <c r="M2429" s="17" t="s">
        <v>952</v>
      </c>
      <c r="N2429" s="17" t="n">
        <v>1</v>
      </c>
      <c r="O2429" s="17" t="s">
        <v>611</v>
      </c>
      <c r="P2429" s="17" t="n">
        <v>11</v>
      </c>
      <c r="Q2429" s="17" t="s">
        <v>953</v>
      </c>
      <c r="R2429" s="17" t="s">
        <v>35</v>
      </c>
      <c r="S2429" s="17" t="s">
        <v>613</v>
      </c>
      <c r="T2429" s="18" t="s">
        <v>248</v>
      </c>
      <c r="U2429" s="20" t="s">
        <v>256</v>
      </c>
      <c r="V2429" s="17" t="n">
        <v>1</v>
      </c>
      <c r="W2429" s="20" t="s">
        <v>256</v>
      </c>
      <c r="X2429" s="17" t="s">
        <v>239</v>
      </c>
      <c r="Y2429" s="17" t="s">
        <v>951</v>
      </c>
      <c r="Z2429" s="17" t="s">
        <v>384</v>
      </c>
      <c r="AA2429" s="17" t="s">
        <v>919</v>
      </c>
      <c r="AB2429" s="17" t="s">
        <v>41</v>
      </c>
      <c r="AC2429" s="0" t="str">
        <f aca="false">LEFT(G2429,2)</f>
        <v>27</v>
      </c>
    </row>
    <row r="2430" customFormat="false" ht="15" hidden="false" customHeight="false" outlineLevel="0" collapsed="false">
      <c r="A2430" s="13" t="n">
        <f aca="false">1+A2429</f>
        <v>2428</v>
      </c>
      <c r="B2430" s="14" t="n">
        <v>1009663509</v>
      </c>
      <c r="C2430" s="15" t="s">
        <v>433</v>
      </c>
      <c r="D2430" s="16" t="s">
        <v>64</v>
      </c>
      <c r="E2430" s="17" t="s">
        <v>33</v>
      </c>
      <c r="F2430" s="18" t="s">
        <v>34</v>
      </c>
      <c r="G2430" s="19" t="n">
        <v>288080119325</v>
      </c>
      <c r="H2430" s="17" t="s">
        <v>35</v>
      </c>
      <c r="I2430" s="17" t="s">
        <v>74</v>
      </c>
      <c r="J2430" s="17" t="s">
        <v>121</v>
      </c>
      <c r="K2430" s="17" t="s">
        <v>955</v>
      </c>
      <c r="L2430" s="17" t="n">
        <v>5</v>
      </c>
      <c r="M2430" s="17" t="s">
        <v>952</v>
      </c>
      <c r="N2430" s="17" t="n">
        <v>24</v>
      </c>
      <c r="O2430" s="17" t="s">
        <v>975</v>
      </c>
      <c r="P2430" s="17" t="n">
        <v>11</v>
      </c>
      <c r="Q2430" s="17" t="s">
        <v>953</v>
      </c>
      <c r="R2430" s="17" t="s">
        <v>35</v>
      </c>
      <c r="S2430" s="17" t="s">
        <v>613</v>
      </c>
      <c r="T2430" s="18" t="s">
        <v>248</v>
      </c>
      <c r="U2430" s="20" t="s">
        <v>122</v>
      </c>
      <c r="V2430" s="17" t="n">
        <v>2</v>
      </c>
      <c r="W2430" s="20" t="s">
        <v>122</v>
      </c>
      <c r="X2430" s="17" t="s">
        <v>121</v>
      </c>
      <c r="Y2430" s="17" t="s">
        <v>955</v>
      </c>
      <c r="Z2430" s="17" t="s">
        <v>1225</v>
      </c>
      <c r="AA2430" s="17" t="s">
        <v>919</v>
      </c>
      <c r="AB2430" s="17" t="s">
        <v>41</v>
      </c>
      <c r="AC2430" s="0" t="str">
        <f aca="false">LEFT(G2430,2)</f>
        <v>28</v>
      </c>
    </row>
    <row r="2431" customFormat="false" ht="15" hidden="false" customHeight="false" outlineLevel="0" collapsed="false">
      <c r="A2431" s="13" t="n">
        <f aca="false">1+A2430</f>
        <v>2429</v>
      </c>
      <c r="B2431" s="14" t="n">
        <v>1009427263</v>
      </c>
      <c r="C2431" s="15" t="s">
        <v>433</v>
      </c>
      <c r="D2431" s="16" t="s">
        <v>221</v>
      </c>
      <c r="E2431" s="17" t="s">
        <v>47</v>
      </c>
      <c r="F2431" s="18" t="s">
        <v>34</v>
      </c>
      <c r="G2431" s="19" t="n">
        <v>288095111135</v>
      </c>
      <c r="H2431" s="17" t="s">
        <v>35</v>
      </c>
      <c r="I2431" s="17" t="s">
        <v>74</v>
      </c>
      <c r="J2431" s="17" t="s">
        <v>323</v>
      </c>
      <c r="K2431" s="17" t="s">
        <v>1070</v>
      </c>
      <c r="L2431" s="17" t="n">
        <v>5</v>
      </c>
      <c r="M2431" s="17" t="s">
        <v>952</v>
      </c>
      <c r="N2431" s="17" t="n">
        <v>1</v>
      </c>
      <c r="O2431" s="17" t="s">
        <v>611</v>
      </c>
      <c r="P2431" s="17" t="n">
        <v>11</v>
      </c>
      <c r="Q2431" s="17" t="s">
        <v>953</v>
      </c>
      <c r="R2431" s="17" t="s">
        <v>35</v>
      </c>
      <c r="S2431" s="17" t="s">
        <v>613</v>
      </c>
      <c r="T2431" s="18" t="s">
        <v>248</v>
      </c>
      <c r="U2431" s="20" t="s">
        <v>122</v>
      </c>
      <c r="V2431" s="17" t="n">
        <v>2</v>
      </c>
      <c r="W2431" s="20" t="s">
        <v>122</v>
      </c>
      <c r="X2431" s="17" t="s">
        <v>323</v>
      </c>
      <c r="Y2431" s="17" t="s">
        <v>1070</v>
      </c>
      <c r="Z2431" s="17" t="s">
        <v>1225</v>
      </c>
      <c r="AA2431" s="17" t="s">
        <v>919</v>
      </c>
      <c r="AB2431" s="17" t="s">
        <v>41</v>
      </c>
      <c r="AC2431" s="0" t="str">
        <f aca="false">LEFT(G2431,2)</f>
        <v>28</v>
      </c>
    </row>
    <row r="2432" customFormat="false" ht="15" hidden="false" customHeight="false" outlineLevel="0" collapsed="false">
      <c r="A2432" s="13" t="n">
        <f aca="false">1+A2431</f>
        <v>2430</v>
      </c>
      <c r="B2432" s="14" t="n">
        <v>1009686980</v>
      </c>
      <c r="C2432" s="15" t="s">
        <v>449</v>
      </c>
      <c r="D2432" s="16" t="s">
        <v>175</v>
      </c>
      <c r="E2432" s="17" t="s">
        <v>176</v>
      </c>
      <c r="F2432" s="18" t="s">
        <v>34</v>
      </c>
      <c r="G2432" s="19" t="n">
        <v>277284149501</v>
      </c>
      <c r="H2432" s="17" t="s">
        <v>35</v>
      </c>
      <c r="I2432" s="17" t="s">
        <v>74</v>
      </c>
      <c r="J2432" s="17" t="s">
        <v>267</v>
      </c>
      <c r="K2432" s="17" t="s">
        <v>960</v>
      </c>
      <c r="L2432" s="17" t="n">
        <v>1</v>
      </c>
      <c r="M2432" s="17" t="s">
        <v>610</v>
      </c>
      <c r="N2432" s="17" t="n">
        <v>1</v>
      </c>
      <c r="O2432" s="17" t="s">
        <v>611</v>
      </c>
      <c r="P2432" s="17" t="n">
        <v>11</v>
      </c>
      <c r="Q2432" s="17" t="s">
        <v>953</v>
      </c>
      <c r="R2432" s="17" t="s">
        <v>35</v>
      </c>
      <c r="S2432" s="17" t="s">
        <v>613</v>
      </c>
      <c r="T2432" s="18" t="s">
        <v>248</v>
      </c>
      <c r="U2432" s="20" t="s">
        <v>122</v>
      </c>
      <c r="V2432" s="17" t="n">
        <v>2</v>
      </c>
      <c r="W2432" s="20" t="s">
        <v>122</v>
      </c>
      <c r="X2432" s="17" t="s">
        <v>267</v>
      </c>
      <c r="Y2432" s="17" t="s">
        <v>960</v>
      </c>
      <c r="Z2432" s="17" t="s">
        <v>381</v>
      </c>
      <c r="AA2432" s="17" t="s">
        <v>919</v>
      </c>
      <c r="AB2432" s="17" t="s">
        <v>41</v>
      </c>
      <c r="AC2432" s="0" t="str">
        <f aca="false">LEFT(G2432,2)</f>
        <v>27</v>
      </c>
    </row>
    <row r="2433" customFormat="false" ht="15" hidden="false" customHeight="false" outlineLevel="0" collapsed="false">
      <c r="A2433" s="13" t="n">
        <f aca="false">1+A2432</f>
        <v>2431</v>
      </c>
      <c r="B2433" s="14" t="n">
        <v>1009684934</v>
      </c>
      <c r="C2433" s="15" t="s">
        <v>449</v>
      </c>
      <c r="D2433" s="16" t="s">
        <v>64</v>
      </c>
      <c r="E2433" s="17" t="s">
        <v>178</v>
      </c>
      <c r="F2433" s="18" t="s">
        <v>34</v>
      </c>
      <c r="G2433" s="19" t="n">
        <v>277316102478</v>
      </c>
      <c r="H2433" s="17" t="s">
        <v>35</v>
      </c>
      <c r="I2433" s="17" t="s">
        <v>74</v>
      </c>
      <c r="J2433" s="17" t="s">
        <v>121</v>
      </c>
      <c r="K2433" s="17" t="s">
        <v>955</v>
      </c>
      <c r="L2433" s="17" t="n">
        <v>1</v>
      </c>
      <c r="M2433" s="17" t="s">
        <v>610</v>
      </c>
      <c r="N2433" s="17" t="n">
        <v>1</v>
      </c>
      <c r="O2433" s="17" t="s">
        <v>611</v>
      </c>
      <c r="P2433" s="17" t="n">
        <v>11</v>
      </c>
      <c r="Q2433" s="17" t="s">
        <v>953</v>
      </c>
      <c r="R2433" s="17" t="s">
        <v>35</v>
      </c>
      <c r="S2433" s="17" t="s">
        <v>613</v>
      </c>
      <c r="T2433" s="18" t="s">
        <v>248</v>
      </c>
      <c r="U2433" s="20" t="s">
        <v>122</v>
      </c>
      <c r="V2433" s="17" t="n">
        <v>2</v>
      </c>
      <c r="W2433" s="20" t="s">
        <v>122</v>
      </c>
      <c r="X2433" s="17" t="s">
        <v>121</v>
      </c>
      <c r="Y2433" s="17" t="s">
        <v>955</v>
      </c>
      <c r="Z2433" s="17" t="s">
        <v>1037</v>
      </c>
      <c r="AA2433" s="17" t="s">
        <v>919</v>
      </c>
      <c r="AB2433" s="17" t="s">
        <v>41</v>
      </c>
      <c r="AC2433" s="0" t="str">
        <f aca="false">LEFT(G2433,2)</f>
        <v>27</v>
      </c>
    </row>
    <row r="2434" customFormat="false" ht="15" hidden="false" customHeight="false" outlineLevel="0" collapsed="false">
      <c r="A2434" s="13" t="n">
        <f aca="false">1+A2433</f>
        <v>2432</v>
      </c>
      <c r="B2434" s="14" t="n">
        <v>1009586538</v>
      </c>
      <c r="C2434" s="15" t="s">
        <v>139</v>
      </c>
      <c r="D2434" s="16" t="s">
        <v>64</v>
      </c>
      <c r="E2434" s="17" t="s">
        <v>64</v>
      </c>
      <c r="F2434" s="18" t="s">
        <v>34</v>
      </c>
      <c r="G2434" s="19" t="n">
        <v>277345130615</v>
      </c>
      <c r="H2434" s="17" t="s">
        <v>35</v>
      </c>
      <c r="I2434" s="17" t="s">
        <v>74</v>
      </c>
      <c r="J2434" s="17" t="s">
        <v>106</v>
      </c>
      <c r="K2434" s="17" t="s">
        <v>1144</v>
      </c>
      <c r="L2434" s="17" t="n">
        <v>1</v>
      </c>
      <c r="M2434" s="17" t="s">
        <v>610</v>
      </c>
      <c r="N2434" s="17" t="n">
        <v>1</v>
      </c>
      <c r="O2434" s="17" t="s">
        <v>611</v>
      </c>
      <c r="P2434" s="17" t="n">
        <v>11</v>
      </c>
      <c r="Q2434" s="17" t="s">
        <v>953</v>
      </c>
      <c r="R2434" s="17" t="s">
        <v>35</v>
      </c>
      <c r="S2434" s="17" t="s">
        <v>613</v>
      </c>
      <c r="T2434" s="18" t="s">
        <v>248</v>
      </c>
      <c r="U2434" s="20" t="s">
        <v>122</v>
      </c>
      <c r="V2434" s="17" t="n">
        <v>2</v>
      </c>
      <c r="W2434" s="20" t="s">
        <v>122</v>
      </c>
      <c r="X2434" s="17" t="s">
        <v>106</v>
      </c>
      <c r="Y2434" s="17" t="s">
        <v>1144</v>
      </c>
      <c r="Z2434" s="17" t="s">
        <v>1226</v>
      </c>
      <c r="AA2434" s="17" t="s">
        <v>919</v>
      </c>
      <c r="AB2434" s="17" t="s">
        <v>41</v>
      </c>
      <c r="AC2434" s="0" t="str">
        <f aca="false">LEFT(G2434,2)</f>
        <v>27</v>
      </c>
    </row>
    <row r="2435" customFormat="false" ht="15" hidden="false" customHeight="false" outlineLevel="0" collapsed="false">
      <c r="A2435" s="13" t="n">
        <f aca="false">1+A2434</f>
        <v>2433</v>
      </c>
      <c r="B2435" s="14" t="n">
        <v>1009623582</v>
      </c>
      <c r="C2435" s="15" t="s">
        <v>184</v>
      </c>
      <c r="D2435" s="16" t="s">
        <v>81</v>
      </c>
      <c r="E2435" s="17" t="s">
        <v>114</v>
      </c>
      <c r="F2435" s="18" t="s">
        <v>34</v>
      </c>
      <c r="G2435" s="19" t="n">
        <v>277237160365</v>
      </c>
      <c r="H2435" s="17" t="s">
        <v>35</v>
      </c>
      <c r="I2435" s="17" t="s">
        <v>74</v>
      </c>
      <c r="J2435" s="17" t="s">
        <v>241</v>
      </c>
      <c r="K2435" s="17" t="s">
        <v>992</v>
      </c>
      <c r="L2435" s="17" t="n">
        <v>5</v>
      </c>
      <c r="M2435" s="17" t="s">
        <v>952</v>
      </c>
      <c r="N2435" s="17" t="n">
        <v>1</v>
      </c>
      <c r="O2435" s="17" t="s">
        <v>611</v>
      </c>
      <c r="P2435" s="17" t="n">
        <v>11</v>
      </c>
      <c r="Q2435" s="17" t="s">
        <v>953</v>
      </c>
      <c r="R2435" s="17" t="s">
        <v>35</v>
      </c>
      <c r="S2435" s="17" t="s">
        <v>613</v>
      </c>
      <c r="T2435" s="18" t="s">
        <v>248</v>
      </c>
      <c r="U2435" s="20" t="s">
        <v>122</v>
      </c>
      <c r="V2435" s="17" t="n">
        <v>2</v>
      </c>
      <c r="W2435" s="20" t="s">
        <v>122</v>
      </c>
      <c r="X2435" s="17" t="s">
        <v>241</v>
      </c>
      <c r="Y2435" s="17" t="s">
        <v>992</v>
      </c>
      <c r="Z2435" s="17" t="s">
        <v>1225</v>
      </c>
      <c r="AA2435" s="17" t="s">
        <v>919</v>
      </c>
      <c r="AB2435" s="17" t="s">
        <v>41</v>
      </c>
      <c r="AC2435" s="0" t="str">
        <f aca="false">LEFT(G2435,2)</f>
        <v>27</v>
      </c>
    </row>
    <row r="2436" customFormat="false" ht="15" hidden="false" customHeight="false" outlineLevel="0" collapsed="false">
      <c r="A2436" s="13" t="n">
        <f aca="false">1+A2435</f>
        <v>2434</v>
      </c>
      <c r="B2436" s="14" t="n">
        <v>1009621095</v>
      </c>
      <c r="C2436" s="15" t="s">
        <v>1227</v>
      </c>
      <c r="D2436" s="16" t="s">
        <v>64</v>
      </c>
      <c r="E2436" s="17" t="s">
        <v>64</v>
      </c>
      <c r="F2436" s="18" t="s">
        <v>34</v>
      </c>
      <c r="G2436" s="19" t="n">
        <v>288139224449</v>
      </c>
      <c r="H2436" s="17" t="s">
        <v>35</v>
      </c>
      <c r="I2436" s="17" t="s">
        <v>74</v>
      </c>
      <c r="J2436" s="17" t="s">
        <v>267</v>
      </c>
      <c r="K2436" s="17" t="s">
        <v>960</v>
      </c>
      <c r="L2436" s="17" t="n">
        <v>1</v>
      </c>
      <c r="M2436" s="17" t="s">
        <v>610</v>
      </c>
      <c r="N2436" s="17" t="n">
        <v>1</v>
      </c>
      <c r="O2436" s="17" t="s">
        <v>611</v>
      </c>
      <c r="P2436" s="17" t="n">
        <v>11</v>
      </c>
      <c r="Q2436" s="17" t="s">
        <v>953</v>
      </c>
      <c r="R2436" s="17" t="s">
        <v>35</v>
      </c>
      <c r="S2436" s="17" t="s">
        <v>613</v>
      </c>
      <c r="T2436" s="18" t="s">
        <v>248</v>
      </c>
      <c r="U2436" s="20" t="s">
        <v>122</v>
      </c>
      <c r="V2436" s="17" t="n">
        <v>2</v>
      </c>
      <c r="W2436" s="20" t="s">
        <v>122</v>
      </c>
      <c r="X2436" s="17" t="s">
        <v>267</v>
      </c>
      <c r="Y2436" s="17" t="s">
        <v>960</v>
      </c>
      <c r="Z2436" s="17" t="s">
        <v>381</v>
      </c>
      <c r="AA2436" s="17" t="s">
        <v>919</v>
      </c>
      <c r="AB2436" s="17" t="s">
        <v>41</v>
      </c>
      <c r="AC2436" s="0" t="str">
        <f aca="false">LEFT(G2436,2)</f>
        <v>28</v>
      </c>
    </row>
    <row r="2437" customFormat="false" ht="15" hidden="false" customHeight="false" outlineLevel="0" collapsed="false">
      <c r="A2437" s="13" t="n">
        <f aca="false">1+A2436</f>
        <v>2435</v>
      </c>
      <c r="B2437" s="14" t="n">
        <v>1009611079</v>
      </c>
      <c r="C2437" s="15" t="s">
        <v>181</v>
      </c>
      <c r="D2437" s="16" t="s">
        <v>196</v>
      </c>
      <c r="E2437" s="17" t="s">
        <v>47</v>
      </c>
      <c r="F2437" s="18" t="s">
        <v>34</v>
      </c>
      <c r="G2437" s="19" t="n">
        <v>288118200113</v>
      </c>
      <c r="H2437" s="17" t="s">
        <v>35</v>
      </c>
      <c r="I2437" s="17" t="s">
        <v>74</v>
      </c>
      <c r="J2437" s="17" t="s">
        <v>118</v>
      </c>
      <c r="K2437" s="17" t="s">
        <v>609</v>
      </c>
      <c r="L2437" s="17" t="n">
        <v>2</v>
      </c>
      <c r="M2437" s="17" t="s">
        <v>981</v>
      </c>
      <c r="N2437" s="17" t="n">
        <v>6</v>
      </c>
      <c r="O2437" s="17" t="s">
        <v>982</v>
      </c>
      <c r="P2437" s="17" t="n">
        <v>11</v>
      </c>
      <c r="Q2437" s="17" t="s">
        <v>953</v>
      </c>
      <c r="R2437" s="17" t="s">
        <v>35</v>
      </c>
      <c r="S2437" s="17" t="s">
        <v>613</v>
      </c>
      <c r="T2437" s="18" t="s">
        <v>248</v>
      </c>
      <c r="U2437" s="20" t="s">
        <v>122</v>
      </c>
      <c r="V2437" s="17" t="n">
        <v>2</v>
      </c>
      <c r="W2437" s="20" t="s">
        <v>122</v>
      </c>
      <c r="X2437" s="17" t="s">
        <v>118</v>
      </c>
      <c r="Y2437" s="17" t="s">
        <v>609</v>
      </c>
      <c r="Z2437" s="17" t="s">
        <v>381</v>
      </c>
      <c r="AA2437" s="17" t="s">
        <v>919</v>
      </c>
      <c r="AB2437" s="17" t="s">
        <v>41</v>
      </c>
      <c r="AC2437" s="0" t="str">
        <f aca="false">LEFT(G2437,2)</f>
        <v>28</v>
      </c>
    </row>
    <row r="2438" customFormat="false" ht="15" hidden="false" customHeight="false" outlineLevel="0" collapsed="false">
      <c r="A2438" s="13" t="n">
        <f aca="false">1+A2437</f>
        <v>2436</v>
      </c>
      <c r="B2438" s="14" t="n">
        <v>1009563366</v>
      </c>
      <c r="C2438" s="15" t="s">
        <v>192</v>
      </c>
      <c r="D2438" s="16" t="s">
        <v>64</v>
      </c>
      <c r="E2438" s="17" t="s">
        <v>47</v>
      </c>
      <c r="F2438" s="18" t="s">
        <v>34</v>
      </c>
      <c r="G2438" s="19" t="n">
        <v>277359128398</v>
      </c>
      <c r="H2438" s="17" t="s">
        <v>35</v>
      </c>
      <c r="I2438" s="17" t="s">
        <v>74</v>
      </c>
      <c r="J2438" s="17" t="s">
        <v>118</v>
      </c>
      <c r="K2438" s="17" t="s">
        <v>609</v>
      </c>
      <c r="L2438" s="17" t="n">
        <v>1</v>
      </c>
      <c r="M2438" s="17" t="s">
        <v>610</v>
      </c>
      <c r="N2438" s="17" t="n">
        <v>1</v>
      </c>
      <c r="O2438" s="17" t="s">
        <v>611</v>
      </c>
      <c r="P2438" s="17" t="n">
        <v>11</v>
      </c>
      <c r="Q2438" s="17" t="s">
        <v>953</v>
      </c>
      <c r="R2438" s="17" t="s">
        <v>35</v>
      </c>
      <c r="S2438" s="17" t="s">
        <v>613</v>
      </c>
      <c r="T2438" s="18" t="s">
        <v>248</v>
      </c>
      <c r="U2438" s="20" t="s">
        <v>122</v>
      </c>
      <c r="V2438" s="17" t="n">
        <v>2</v>
      </c>
      <c r="W2438" s="20" t="s">
        <v>122</v>
      </c>
      <c r="X2438" s="17" t="s">
        <v>118</v>
      </c>
      <c r="Y2438" s="17" t="s">
        <v>609</v>
      </c>
      <c r="Z2438" s="17" t="s">
        <v>381</v>
      </c>
      <c r="AA2438" s="17" t="s">
        <v>919</v>
      </c>
      <c r="AB2438" s="17" t="s">
        <v>41</v>
      </c>
      <c r="AC2438" s="0" t="str">
        <f aca="false">LEFT(G2438,2)</f>
        <v>27</v>
      </c>
    </row>
    <row r="2439" customFormat="false" ht="15" hidden="false" customHeight="false" outlineLevel="0" collapsed="false">
      <c r="A2439" s="13" t="n">
        <f aca="false">1+A2438</f>
        <v>2437</v>
      </c>
      <c r="B2439" s="14" t="n">
        <v>1009570500</v>
      </c>
      <c r="C2439" s="15" t="s">
        <v>181</v>
      </c>
      <c r="D2439" s="16" t="s">
        <v>1228</v>
      </c>
      <c r="E2439" s="17" t="s">
        <v>47</v>
      </c>
      <c r="F2439" s="18" t="s">
        <v>34</v>
      </c>
      <c r="G2439" s="19" t="n">
        <v>277325127086</v>
      </c>
      <c r="H2439" s="17" t="s">
        <v>35</v>
      </c>
      <c r="I2439" s="17" t="s">
        <v>74</v>
      </c>
      <c r="J2439" s="17" t="s">
        <v>118</v>
      </c>
      <c r="K2439" s="17" t="s">
        <v>609</v>
      </c>
      <c r="L2439" s="17" t="n">
        <v>1</v>
      </c>
      <c r="M2439" s="17" t="s">
        <v>610</v>
      </c>
      <c r="N2439" s="17" t="n">
        <v>1</v>
      </c>
      <c r="O2439" s="17" t="s">
        <v>611</v>
      </c>
      <c r="P2439" s="17" t="n">
        <v>11</v>
      </c>
      <c r="Q2439" s="17" t="s">
        <v>953</v>
      </c>
      <c r="R2439" s="17" t="s">
        <v>35</v>
      </c>
      <c r="S2439" s="17" t="s">
        <v>613</v>
      </c>
      <c r="T2439" s="18" t="s">
        <v>248</v>
      </c>
      <c r="U2439" s="20" t="s">
        <v>122</v>
      </c>
      <c r="V2439" s="17" t="n">
        <v>2</v>
      </c>
      <c r="W2439" s="20" t="s">
        <v>122</v>
      </c>
      <c r="X2439" s="17" t="s">
        <v>118</v>
      </c>
      <c r="Y2439" s="17" t="s">
        <v>609</v>
      </c>
      <c r="Z2439" s="17" t="s">
        <v>381</v>
      </c>
      <c r="AA2439" s="17" t="s">
        <v>919</v>
      </c>
      <c r="AB2439" s="17" t="s">
        <v>41</v>
      </c>
      <c r="AC2439" s="0" t="str">
        <f aca="false">LEFT(G2439,2)</f>
        <v>27</v>
      </c>
    </row>
    <row r="2440" customFormat="false" ht="15" hidden="false" customHeight="false" outlineLevel="0" collapsed="false">
      <c r="A2440" s="13" t="n">
        <f aca="false">1+A2439</f>
        <v>2438</v>
      </c>
      <c r="B2440" s="14" t="n">
        <v>1009678001</v>
      </c>
      <c r="C2440" s="15" t="s">
        <v>436</v>
      </c>
      <c r="D2440" s="16" t="s">
        <v>64</v>
      </c>
      <c r="E2440" s="17" t="s">
        <v>47</v>
      </c>
      <c r="F2440" s="18" t="s">
        <v>34</v>
      </c>
      <c r="G2440" s="19" t="n">
        <v>288117234329</v>
      </c>
      <c r="H2440" s="17" t="s">
        <v>35</v>
      </c>
      <c r="I2440" s="17" t="s">
        <v>74</v>
      </c>
      <c r="J2440" s="17" t="s">
        <v>121</v>
      </c>
      <c r="K2440" s="17" t="s">
        <v>955</v>
      </c>
      <c r="L2440" s="17" t="n">
        <v>1</v>
      </c>
      <c r="M2440" s="17" t="s">
        <v>610</v>
      </c>
      <c r="N2440" s="17" t="n">
        <v>1</v>
      </c>
      <c r="O2440" s="17" t="s">
        <v>611</v>
      </c>
      <c r="P2440" s="17" t="n">
        <v>11</v>
      </c>
      <c r="Q2440" s="17" t="s">
        <v>953</v>
      </c>
      <c r="R2440" s="17" t="s">
        <v>35</v>
      </c>
      <c r="S2440" s="17" t="s">
        <v>613</v>
      </c>
      <c r="T2440" s="18" t="s">
        <v>248</v>
      </c>
      <c r="U2440" s="20" t="s">
        <v>122</v>
      </c>
      <c r="V2440" s="17" t="n">
        <v>2</v>
      </c>
      <c r="W2440" s="20" t="s">
        <v>122</v>
      </c>
      <c r="X2440" s="17" t="s">
        <v>121</v>
      </c>
      <c r="Y2440" s="17" t="s">
        <v>955</v>
      </c>
      <c r="Z2440" s="17" t="s">
        <v>1229</v>
      </c>
      <c r="AA2440" s="17" t="s">
        <v>919</v>
      </c>
      <c r="AB2440" s="17" t="s">
        <v>41</v>
      </c>
      <c r="AC2440" s="0" t="str">
        <f aca="false">LEFT(G2440,2)</f>
        <v>28</v>
      </c>
    </row>
    <row r="2441" customFormat="false" ht="15" hidden="false" customHeight="false" outlineLevel="0" collapsed="false">
      <c r="A2441" s="13" t="n">
        <f aca="false">1+A2440</f>
        <v>2439</v>
      </c>
      <c r="B2441" s="14" t="n">
        <v>1009466289</v>
      </c>
      <c r="C2441" s="15" t="s">
        <v>151</v>
      </c>
      <c r="D2441" s="16" t="s">
        <v>147</v>
      </c>
      <c r="E2441" s="17" t="s">
        <v>47</v>
      </c>
      <c r="F2441" s="18" t="s">
        <v>34</v>
      </c>
      <c r="G2441" s="19" t="n">
        <v>277244144287</v>
      </c>
      <c r="H2441" s="17" t="s">
        <v>35</v>
      </c>
      <c r="I2441" s="17" t="s">
        <v>74</v>
      </c>
      <c r="J2441" s="17" t="s">
        <v>323</v>
      </c>
      <c r="K2441" s="17" t="s">
        <v>1070</v>
      </c>
      <c r="L2441" s="17" t="n">
        <v>5</v>
      </c>
      <c r="M2441" s="17" t="s">
        <v>952</v>
      </c>
      <c r="N2441" s="17" t="n">
        <v>1</v>
      </c>
      <c r="O2441" s="17" t="s">
        <v>611</v>
      </c>
      <c r="P2441" s="17" t="n">
        <v>12</v>
      </c>
      <c r="Q2441" s="17" t="s">
        <v>612</v>
      </c>
      <c r="R2441" s="17" t="s">
        <v>35</v>
      </c>
      <c r="S2441" s="17" t="s">
        <v>613</v>
      </c>
      <c r="T2441" s="18" t="s">
        <v>135</v>
      </c>
      <c r="U2441" s="20" t="s">
        <v>101</v>
      </c>
      <c r="V2441" s="17" t="n">
        <v>8</v>
      </c>
      <c r="W2441" s="20" t="s">
        <v>101</v>
      </c>
      <c r="X2441" s="17" t="s">
        <v>323</v>
      </c>
      <c r="Y2441" s="17" t="s">
        <v>1070</v>
      </c>
      <c r="Z2441" s="17" t="s">
        <v>381</v>
      </c>
      <c r="AA2441" s="17" t="s">
        <v>919</v>
      </c>
      <c r="AB2441" s="17" t="s">
        <v>41</v>
      </c>
      <c r="AC2441" s="0" t="str">
        <f aca="false">LEFT(G2441,2)</f>
        <v>27</v>
      </c>
    </row>
    <row r="2442" customFormat="false" ht="15" hidden="false" customHeight="false" outlineLevel="0" collapsed="false">
      <c r="A2442" s="13" t="n">
        <f aca="false">1+A2441</f>
        <v>2440</v>
      </c>
      <c r="B2442" s="14" t="n">
        <v>1009360584</v>
      </c>
      <c r="C2442" s="15" t="s">
        <v>442</v>
      </c>
      <c r="D2442" s="16" t="s">
        <v>64</v>
      </c>
      <c r="E2442" s="17" t="s">
        <v>47</v>
      </c>
      <c r="F2442" s="18" t="s">
        <v>34</v>
      </c>
      <c r="G2442" s="19" t="n">
        <v>277316102395</v>
      </c>
      <c r="H2442" s="17" t="s">
        <v>35</v>
      </c>
      <c r="I2442" s="17" t="s">
        <v>74</v>
      </c>
      <c r="J2442" s="17" t="s">
        <v>267</v>
      </c>
      <c r="K2442" s="17" t="s">
        <v>960</v>
      </c>
      <c r="L2442" s="17" t="n">
        <v>1</v>
      </c>
      <c r="M2442" s="17" t="s">
        <v>610</v>
      </c>
      <c r="N2442" s="17" t="n">
        <v>1</v>
      </c>
      <c r="O2442" s="17" t="s">
        <v>611</v>
      </c>
      <c r="P2442" s="17" t="n">
        <v>11</v>
      </c>
      <c r="Q2442" s="17" t="s">
        <v>953</v>
      </c>
      <c r="R2442" s="17" t="s">
        <v>35</v>
      </c>
      <c r="S2442" s="17" t="s">
        <v>613</v>
      </c>
      <c r="T2442" s="18" t="s">
        <v>248</v>
      </c>
      <c r="U2442" s="20" t="s">
        <v>122</v>
      </c>
      <c r="V2442" s="17" t="n">
        <v>2</v>
      </c>
      <c r="W2442" s="20" t="s">
        <v>122</v>
      </c>
      <c r="X2442" s="17" t="s">
        <v>267</v>
      </c>
      <c r="Y2442" s="17" t="s">
        <v>960</v>
      </c>
      <c r="Z2442" s="17" t="s">
        <v>381</v>
      </c>
      <c r="AA2442" s="17" t="s">
        <v>919</v>
      </c>
      <c r="AB2442" s="17" t="s">
        <v>41</v>
      </c>
      <c r="AC2442" s="0" t="str">
        <f aca="false">LEFT(G2442,2)</f>
        <v>27</v>
      </c>
    </row>
    <row r="2443" customFormat="false" ht="15" hidden="false" customHeight="false" outlineLevel="0" collapsed="false">
      <c r="A2443" s="13" t="n">
        <f aca="false">1+A2442</f>
        <v>2441</v>
      </c>
      <c r="B2443" s="14" t="n">
        <v>1009553209</v>
      </c>
      <c r="C2443" s="15" t="s">
        <v>126</v>
      </c>
      <c r="D2443" s="16" t="s">
        <v>64</v>
      </c>
      <c r="E2443" s="17" t="s">
        <v>64</v>
      </c>
      <c r="F2443" s="18" t="s">
        <v>34</v>
      </c>
      <c r="G2443" s="19" t="n">
        <v>277282125503</v>
      </c>
      <c r="H2443" s="17" t="s">
        <v>35</v>
      </c>
      <c r="I2443" s="17" t="s">
        <v>74</v>
      </c>
      <c r="J2443" s="17" t="s">
        <v>111</v>
      </c>
      <c r="K2443" s="17" t="s">
        <v>958</v>
      </c>
      <c r="L2443" s="17" t="n">
        <v>5</v>
      </c>
      <c r="M2443" s="17" t="s">
        <v>952</v>
      </c>
      <c r="N2443" s="17" t="n">
        <v>24</v>
      </c>
      <c r="O2443" s="17" t="s">
        <v>975</v>
      </c>
      <c r="P2443" s="17" t="n">
        <v>11</v>
      </c>
      <c r="Q2443" s="17" t="s">
        <v>953</v>
      </c>
      <c r="R2443" s="17" t="s">
        <v>35</v>
      </c>
      <c r="S2443" s="17" t="s">
        <v>613</v>
      </c>
      <c r="T2443" s="18" t="s">
        <v>248</v>
      </c>
      <c r="U2443" s="20" t="s">
        <v>122</v>
      </c>
      <c r="V2443" s="17" t="n">
        <v>2</v>
      </c>
      <c r="W2443" s="20" t="s">
        <v>122</v>
      </c>
      <c r="X2443" s="17" t="s">
        <v>111</v>
      </c>
      <c r="Y2443" s="17" t="s">
        <v>958</v>
      </c>
      <c r="Z2443" s="17" t="s">
        <v>1230</v>
      </c>
      <c r="AA2443" s="17" t="s">
        <v>919</v>
      </c>
      <c r="AB2443" s="17" t="s">
        <v>41</v>
      </c>
      <c r="AC2443" s="0" t="str">
        <f aca="false">LEFT(G2443,2)</f>
        <v>27</v>
      </c>
    </row>
    <row r="2444" customFormat="false" ht="15" hidden="false" customHeight="false" outlineLevel="0" collapsed="false">
      <c r="A2444" s="13" t="n">
        <f aca="false">1+A2443</f>
        <v>2442</v>
      </c>
      <c r="B2444" s="14" t="n">
        <v>1009684627</v>
      </c>
      <c r="C2444" s="15" t="s">
        <v>413</v>
      </c>
      <c r="D2444" s="16" t="s">
        <v>64</v>
      </c>
      <c r="E2444" s="17" t="s">
        <v>47</v>
      </c>
      <c r="F2444" s="18" t="s">
        <v>34</v>
      </c>
      <c r="G2444" s="19" t="n">
        <v>288146116158</v>
      </c>
      <c r="H2444" s="17" t="s">
        <v>35</v>
      </c>
      <c r="I2444" s="17" t="s">
        <v>74</v>
      </c>
      <c r="J2444" s="17" t="s">
        <v>100</v>
      </c>
      <c r="K2444" s="17" t="s">
        <v>978</v>
      </c>
      <c r="L2444" s="17" t="n">
        <v>1</v>
      </c>
      <c r="M2444" s="17" t="s">
        <v>610</v>
      </c>
      <c r="N2444" s="17" t="n">
        <v>1</v>
      </c>
      <c r="O2444" s="17" t="s">
        <v>611</v>
      </c>
      <c r="P2444" s="17" t="n">
        <v>11</v>
      </c>
      <c r="Q2444" s="17" t="s">
        <v>953</v>
      </c>
      <c r="R2444" s="17" t="s">
        <v>35</v>
      </c>
      <c r="S2444" s="17" t="s">
        <v>613</v>
      </c>
      <c r="T2444" s="18" t="s">
        <v>248</v>
      </c>
      <c r="U2444" s="20" t="s">
        <v>122</v>
      </c>
      <c r="V2444" s="17" t="n">
        <v>2</v>
      </c>
      <c r="W2444" s="20" t="s">
        <v>122</v>
      </c>
      <c r="X2444" s="17" t="s">
        <v>100</v>
      </c>
      <c r="Y2444" s="17" t="s">
        <v>978</v>
      </c>
      <c r="Z2444" s="17" t="s">
        <v>1225</v>
      </c>
      <c r="AA2444" s="17" t="s">
        <v>919</v>
      </c>
      <c r="AB2444" s="17" t="s">
        <v>41</v>
      </c>
      <c r="AC2444" s="0" t="str">
        <f aca="false">LEFT(G2444,2)</f>
        <v>28</v>
      </c>
    </row>
    <row r="2445" customFormat="false" ht="15" hidden="false" customHeight="false" outlineLevel="0" collapsed="false">
      <c r="A2445" s="13" t="n">
        <f aca="false">1+A2444</f>
        <v>2443</v>
      </c>
      <c r="B2445" s="14" t="n">
        <v>1009682356</v>
      </c>
      <c r="C2445" s="15" t="s">
        <v>413</v>
      </c>
      <c r="D2445" s="16" t="s">
        <v>1231</v>
      </c>
      <c r="E2445" s="17" t="s">
        <v>47</v>
      </c>
      <c r="F2445" s="18" t="s">
        <v>34</v>
      </c>
      <c r="G2445" s="19" t="n">
        <v>288084100776</v>
      </c>
      <c r="H2445" s="17" t="s">
        <v>35</v>
      </c>
      <c r="I2445" s="17" t="s">
        <v>74</v>
      </c>
      <c r="J2445" s="17" t="s">
        <v>100</v>
      </c>
      <c r="K2445" s="17" t="s">
        <v>978</v>
      </c>
      <c r="L2445" s="17" t="n">
        <v>1</v>
      </c>
      <c r="M2445" s="17" t="s">
        <v>610</v>
      </c>
      <c r="N2445" s="17" t="n">
        <v>1</v>
      </c>
      <c r="O2445" s="17" t="s">
        <v>611</v>
      </c>
      <c r="P2445" s="17" t="n">
        <v>11</v>
      </c>
      <c r="Q2445" s="17" t="s">
        <v>953</v>
      </c>
      <c r="R2445" s="17" t="s">
        <v>35</v>
      </c>
      <c r="S2445" s="17" t="s">
        <v>613</v>
      </c>
      <c r="T2445" s="18" t="s">
        <v>248</v>
      </c>
      <c r="U2445" s="20" t="s">
        <v>122</v>
      </c>
      <c r="V2445" s="17" t="n">
        <v>2</v>
      </c>
      <c r="W2445" s="20" t="s">
        <v>122</v>
      </c>
      <c r="X2445" s="17" t="s">
        <v>100</v>
      </c>
      <c r="Y2445" s="17" t="s">
        <v>978</v>
      </c>
      <c r="Z2445" s="17" t="s">
        <v>1232</v>
      </c>
      <c r="AA2445" s="17" t="s">
        <v>919</v>
      </c>
      <c r="AB2445" s="17" t="s">
        <v>41</v>
      </c>
      <c r="AC2445" s="0" t="str">
        <f aca="false">LEFT(G2445,2)</f>
        <v>28</v>
      </c>
    </row>
    <row r="2446" customFormat="false" ht="15" hidden="false" customHeight="false" outlineLevel="0" collapsed="false">
      <c r="A2446" s="13" t="n">
        <f aca="false">1+A2445</f>
        <v>2444</v>
      </c>
      <c r="B2446" s="14" t="n">
        <v>1009675804</v>
      </c>
      <c r="C2446" s="15" t="s">
        <v>436</v>
      </c>
      <c r="D2446" s="16" t="s">
        <v>143</v>
      </c>
      <c r="E2446" s="17" t="s">
        <v>33</v>
      </c>
      <c r="F2446" s="18" t="s">
        <v>34</v>
      </c>
      <c r="G2446" s="19" t="n">
        <v>277227138306</v>
      </c>
      <c r="H2446" s="17" t="s">
        <v>35</v>
      </c>
      <c r="I2446" s="17" t="s">
        <v>74</v>
      </c>
      <c r="J2446" s="17" t="s">
        <v>111</v>
      </c>
      <c r="K2446" s="17" t="s">
        <v>958</v>
      </c>
      <c r="L2446" s="17" t="n">
        <v>5</v>
      </c>
      <c r="M2446" s="17" t="s">
        <v>952</v>
      </c>
      <c r="N2446" s="17" t="n">
        <v>24</v>
      </c>
      <c r="O2446" s="17" t="s">
        <v>975</v>
      </c>
      <c r="P2446" s="17" t="n">
        <v>11</v>
      </c>
      <c r="Q2446" s="17" t="s">
        <v>953</v>
      </c>
      <c r="R2446" s="17" t="s">
        <v>35</v>
      </c>
      <c r="S2446" s="17" t="s">
        <v>613</v>
      </c>
      <c r="T2446" s="18" t="s">
        <v>248</v>
      </c>
      <c r="U2446" s="20" t="s">
        <v>38</v>
      </c>
      <c r="V2446" s="17" t="n">
        <v>4</v>
      </c>
      <c r="W2446" s="20" t="s">
        <v>38</v>
      </c>
      <c r="X2446" s="17" t="s">
        <v>111</v>
      </c>
      <c r="Y2446" s="17" t="s">
        <v>958</v>
      </c>
      <c r="Z2446" s="17" t="s">
        <v>381</v>
      </c>
      <c r="AA2446" s="17" t="s">
        <v>919</v>
      </c>
      <c r="AB2446" s="17" t="s">
        <v>41</v>
      </c>
      <c r="AC2446" s="0" t="str">
        <f aca="false">LEFT(G2446,2)</f>
        <v>27</v>
      </c>
    </row>
    <row r="2447" customFormat="false" ht="15" hidden="false" customHeight="false" outlineLevel="0" collapsed="false">
      <c r="A2447" s="13" t="n">
        <f aca="false">1+A2446</f>
        <v>2445</v>
      </c>
      <c r="B2447" s="14" t="n">
        <v>1009675791</v>
      </c>
      <c r="C2447" s="15" t="s">
        <v>436</v>
      </c>
      <c r="D2447" s="16" t="s">
        <v>64</v>
      </c>
      <c r="E2447" s="17" t="s">
        <v>64</v>
      </c>
      <c r="F2447" s="18" t="s">
        <v>34</v>
      </c>
      <c r="G2447" s="19" t="n">
        <v>277282120975</v>
      </c>
      <c r="H2447" s="17" t="s">
        <v>35</v>
      </c>
      <c r="I2447" s="17" t="s">
        <v>74</v>
      </c>
      <c r="J2447" s="17" t="s">
        <v>111</v>
      </c>
      <c r="K2447" s="17" t="s">
        <v>958</v>
      </c>
      <c r="L2447" s="17" t="n">
        <v>1</v>
      </c>
      <c r="M2447" s="17" t="s">
        <v>610</v>
      </c>
      <c r="N2447" s="17" t="n">
        <v>1</v>
      </c>
      <c r="O2447" s="17" t="s">
        <v>611</v>
      </c>
      <c r="P2447" s="17" t="n">
        <v>11</v>
      </c>
      <c r="Q2447" s="17" t="s">
        <v>953</v>
      </c>
      <c r="R2447" s="17" t="s">
        <v>35</v>
      </c>
      <c r="S2447" s="17" t="s">
        <v>613</v>
      </c>
      <c r="T2447" s="18" t="s">
        <v>248</v>
      </c>
      <c r="U2447" s="20" t="s">
        <v>122</v>
      </c>
      <c r="V2447" s="17" t="n">
        <v>2</v>
      </c>
      <c r="W2447" s="20" t="s">
        <v>122</v>
      </c>
      <c r="X2447" s="17" t="s">
        <v>111</v>
      </c>
      <c r="Y2447" s="17" t="s">
        <v>958</v>
      </c>
      <c r="Z2447" s="17" t="s">
        <v>1233</v>
      </c>
      <c r="AA2447" s="17" t="s">
        <v>919</v>
      </c>
      <c r="AB2447" s="17" t="s">
        <v>41</v>
      </c>
      <c r="AC2447" s="0" t="str">
        <f aca="false">LEFT(G2447,2)</f>
        <v>27</v>
      </c>
    </row>
    <row r="2448" customFormat="false" ht="15" hidden="false" customHeight="false" outlineLevel="0" collapsed="false">
      <c r="A2448" s="13" t="n">
        <f aca="false">1+A2447</f>
        <v>2446</v>
      </c>
      <c r="B2448" s="14" t="n">
        <v>1009619867</v>
      </c>
      <c r="C2448" s="15" t="s">
        <v>184</v>
      </c>
      <c r="D2448" s="16" t="s">
        <v>64</v>
      </c>
      <c r="E2448" s="17" t="s">
        <v>47</v>
      </c>
      <c r="F2448" s="18" t="s">
        <v>34</v>
      </c>
      <c r="G2448" s="19" t="n">
        <v>277359230558</v>
      </c>
      <c r="H2448" s="17" t="s">
        <v>35</v>
      </c>
      <c r="I2448" s="17" t="s">
        <v>74</v>
      </c>
      <c r="J2448" s="17" t="s">
        <v>111</v>
      </c>
      <c r="K2448" s="17" t="s">
        <v>958</v>
      </c>
      <c r="L2448" s="17" t="n">
        <v>1</v>
      </c>
      <c r="M2448" s="17" t="s">
        <v>610</v>
      </c>
      <c r="N2448" s="17" t="n">
        <v>1</v>
      </c>
      <c r="O2448" s="17" t="s">
        <v>611</v>
      </c>
      <c r="P2448" s="17" t="n">
        <v>11</v>
      </c>
      <c r="Q2448" s="17" t="s">
        <v>953</v>
      </c>
      <c r="R2448" s="17" t="s">
        <v>35</v>
      </c>
      <c r="S2448" s="17" t="s">
        <v>613</v>
      </c>
      <c r="T2448" s="18" t="s">
        <v>248</v>
      </c>
      <c r="U2448" s="20" t="s">
        <v>122</v>
      </c>
      <c r="V2448" s="17" t="n">
        <v>2</v>
      </c>
      <c r="W2448" s="20" t="s">
        <v>122</v>
      </c>
      <c r="X2448" s="17" t="s">
        <v>111</v>
      </c>
      <c r="Y2448" s="17" t="s">
        <v>958</v>
      </c>
      <c r="Z2448" s="17" t="s">
        <v>1233</v>
      </c>
      <c r="AA2448" s="17" t="s">
        <v>919</v>
      </c>
      <c r="AB2448" s="17" t="s">
        <v>41</v>
      </c>
      <c r="AC2448" s="0" t="str">
        <f aca="false">LEFT(G2448,2)</f>
        <v>27</v>
      </c>
    </row>
    <row r="2449" customFormat="false" ht="15" hidden="false" customHeight="false" outlineLevel="0" collapsed="false">
      <c r="A2449" s="13" t="n">
        <f aca="false">1+A2448</f>
        <v>2447</v>
      </c>
      <c r="B2449" s="14" t="n">
        <v>1009427272</v>
      </c>
      <c r="C2449" s="15" t="s">
        <v>179</v>
      </c>
      <c r="D2449" s="16" t="s">
        <v>143</v>
      </c>
      <c r="E2449" s="17" t="s">
        <v>47</v>
      </c>
      <c r="F2449" s="18" t="s">
        <v>34</v>
      </c>
      <c r="G2449" s="19" t="n">
        <v>277284109638</v>
      </c>
      <c r="H2449" s="17" t="s">
        <v>35</v>
      </c>
      <c r="I2449" s="17" t="s">
        <v>74</v>
      </c>
      <c r="J2449" s="17" t="s">
        <v>118</v>
      </c>
      <c r="K2449" s="17" t="s">
        <v>609</v>
      </c>
      <c r="L2449" s="17" t="n">
        <v>1</v>
      </c>
      <c r="M2449" s="17" t="s">
        <v>610</v>
      </c>
      <c r="N2449" s="17" t="n">
        <v>1</v>
      </c>
      <c r="O2449" s="17" t="s">
        <v>611</v>
      </c>
      <c r="P2449" s="17" t="n">
        <v>11</v>
      </c>
      <c r="Q2449" s="17" t="s">
        <v>953</v>
      </c>
      <c r="R2449" s="17" t="s">
        <v>35</v>
      </c>
      <c r="S2449" s="17" t="s">
        <v>613</v>
      </c>
      <c r="T2449" s="18" t="s">
        <v>248</v>
      </c>
      <c r="U2449" s="20" t="s">
        <v>122</v>
      </c>
      <c r="V2449" s="17" t="n">
        <v>2</v>
      </c>
      <c r="W2449" s="20" t="s">
        <v>122</v>
      </c>
      <c r="X2449" s="17" t="s">
        <v>118</v>
      </c>
      <c r="Y2449" s="17" t="s">
        <v>609</v>
      </c>
      <c r="Z2449" s="17" t="s">
        <v>381</v>
      </c>
      <c r="AA2449" s="17" t="s">
        <v>919</v>
      </c>
      <c r="AB2449" s="17" t="s">
        <v>41</v>
      </c>
      <c r="AC2449" s="0" t="str">
        <f aca="false">LEFT(G2449,2)</f>
        <v>27</v>
      </c>
    </row>
    <row r="2450" customFormat="false" ht="15" hidden="false" customHeight="false" outlineLevel="0" collapsed="false">
      <c r="A2450" s="13" t="n">
        <f aca="false">1+A2449</f>
        <v>2448</v>
      </c>
      <c r="B2450" s="14" t="n">
        <v>1009563489</v>
      </c>
      <c r="C2450" s="15" t="s">
        <v>192</v>
      </c>
      <c r="D2450" s="16" t="s">
        <v>64</v>
      </c>
      <c r="E2450" s="17" t="s">
        <v>114</v>
      </c>
      <c r="F2450" s="18" t="s">
        <v>34</v>
      </c>
      <c r="G2450" s="19" t="n">
        <v>278005217452</v>
      </c>
      <c r="H2450" s="17" t="s">
        <v>35</v>
      </c>
      <c r="I2450" s="17" t="s">
        <v>74</v>
      </c>
      <c r="J2450" s="17" t="s">
        <v>239</v>
      </c>
      <c r="K2450" s="17" t="s">
        <v>951</v>
      </c>
      <c r="L2450" s="17" t="n">
        <v>2</v>
      </c>
      <c r="M2450" s="17" t="s">
        <v>981</v>
      </c>
      <c r="N2450" s="17" t="n">
        <v>6</v>
      </c>
      <c r="O2450" s="17" t="s">
        <v>982</v>
      </c>
      <c r="P2450" s="17" t="n">
        <v>11</v>
      </c>
      <c r="Q2450" s="17" t="s">
        <v>953</v>
      </c>
      <c r="R2450" s="17" t="s">
        <v>35</v>
      </c>
      <c r="S2450" s="17" t="s">
        <v>613</v>
      </c>
      <c r="T2450" s="18" t="s">
        <v>248</v>
      </c>
      <c r="U2450" s="20" t="s">
        <v>256</v>
      </c>
      <c r="V2450" s="17" t="n">
        <v>1</v>
      </c>
      <c r="W2450" s="20" t="s">
        <v>256</v>
      </c>
      <c r="X2450" s="17" t="s">
        <v>239</v>
      </c>
      <c r="Y2450" s="17" t="s">
        <v>951</v>
      </c>
      <c r="Z2450" s="17" t="s">
        <v>384</v>
      </c>
      <c r="AA2450" s="17" t="s">
        <v>919</v>
      </c>
      <c r="AB2450" s="17" t="s">
        <v>41</v>
      </c>
      <c r="AC2450" s="0" t="str">
        <f aca="false">LEFT(G2450,2)</f>
        <v>27</v>
      </c>
    </row>
    <row r="2451" customFormat="false" ht="15" hidden="false" customHeight="false" outlineLevel="0" collapsed="false">
      <c r="A2451" s="13" t="n">
        <f aca="false">1+A2450</f>
        <v>2449</v>
      </c>
      <c r="B2451" s="14" t="n">
        <v>1009357168</v>
      </c>
      <c r="C2451" s="15" t="s">
        <v>278</v>
      </c>
      <c r="D2451" s="16" t="s">
        <v>64</v>
      </c>
      <c r="E2451" s="17" t="s">
        <v>64</v>
      </c>
      <c r="F2451" s="18" t="s">
        <v>34</v>
      </c>
      <c r="G2451" s="19" t="n">
        <v>743032604188</v>
      </c>
      <c r="H2451" s="17" t="s">
        <v>35</v>
      </c>
      <c r="I2451" s="17" t="s">
        <v>69</v>
      </c>
      <c r="J2451" s="17" t="s">
        <v>267</v>
      </c>
      <c r="K2451" s="17" t="s">
        <v>960</v>
      </c>
      <c r="L2451" s="17" t="n">
        <v>1</v>
      </c>
      <c r="M2451" s="17" t="s">
        <v>610</v>
      </c>
      <c r="N2451" s="17" t="n">
        <v>1</v>
      </c>
      <c r="O2451" s="17" t="s">
        <v>611</v>
      </c>
      <c r="P2451" s="17" t="n">
        <v>11</v>
      </c>
      <c r="Q2451" s="17" t="s">
        <v>953</v>
      </c>
      <c r="R2451" s="17" t="s">
        <v>35</v>
      </c>
      <c r="S2451" s="17" t="s">
        <v>613</v>
      </c>
      <c r="T2451" s="18" t="s">
        <v>248</v>
      </c>
      <c r="U2451" s="20" t="s">
        <v>635</v>
      </c>
      <c r="V2451" s="17" t="n">
        <v>5</v>
      </c>
      <c r="W2451" s="20" t="s">
        <v>635</v>
      </c>
      <c r="X2451" s="17" t="s">
        <v>267</v>
      </c>
      <c r="Y2451" s="17" t="s">
        <v>960</v>
      </c>
      <c r="Z2451" s="17" t="s">
        <v>407</v>
      </c>
      <c r="AA2451" s="17" t="s">
        <v>919</v>
      </c>
      <c r="AB2451" s="17" t="s">
        <v>41</v>
      </c>
      <c r="AC2451" s="0" t="str">
        <f aca="false">LEFT(G2451,2)</f>
        <v>74</v>
      </c>
    </row>
    <row r="2452" customFormat="false" ht="15" hidden="false" customHeight="false" outlineLevel="0" collapsed="false">
      <c r="A2452" s="13" t="n">
        <f aca="false">1+A2451</f>
        <v>2450</v>
      </c>
      <c r="B2452" s="14" t="n">
        <v>1009627301</v>
      </c>
      <c r="C2452" s="15" t="s">
        <v>163</v>
      </c>
      <c r="D2452" s="16" t="s">
        <v>64</v>
      </c>
      <c r="E2452" s="17" t="s">
        <v>64</v>
      </c>
      <c r="F2452" s="18" t="s">
        <v>34</v>
      </c>
      <c r="G2452" s="19" t="n">
        <v>752051326847</v>
      </c>
      <c r="H2452" s="17" t="s">
        <v>35</v>
      </c>
      <c r="I2452" s="17" t="s">
        <v>69</v>
      </c>
      <c r="J2452" s="17" t="s">
        <v>267</v>
      </c>
      <c r="K2452" s="17" t="s">
        <v>960</v>
      </c>
      <c r="L2452" s="17" t="n">
        <v>1</v>
      </c>
      <c r="M2452" s="17" t="s">
        <v>610</v>
      </c>
      <c r="N2452" s="17" t="n">
        <v>1</v>
      </c>
      <c r="O2452" s="17" t="s">
        <v>611</v>
      </c>
      <c r="P2452" s="17" t="n">
        <v>11</v>
      </c>
      <c r="Q2452" s="17" t="s">
        <v>953</v>
      </c>
      <c r="R2452" s="17" t="s">
        <v>35</v>
      </c>
      <c r="S2452" s="17" t="s">
        <v>613</v>
      </c>
      <c r="T2452" s="18" t="s">
        <v>248</v>
      </c>
      <c r="U2452" s="20" t="s">
        <v>122</v>
      </c>
      <c r="V2452" s="17" t="n">
        <v>2</v>
      </c>
      <c r="W2452" s="20" t="s">
        <v>122</v>
      </c>
      <c r="X2452" s="17" t="s">
        <v>267</v>
      </c>
      <c r="Y2452" s="17" t="s">
        <v>960</v>
      </c>
      <c r="Z2452" s="17" t="s">
        <v>1234</v>
      </c>
      <c r="AA2452" s="17" t="s">
        <v>919</v>
      </c>
      <c r="AB2452" s="17" t="s">
        <v>41</v>
      </c>
      <c r="AC2452" s="0" t="str">
        <f aca="false">LEFT(G2452,2)</f>
        <v>75</v>
      </c>
    </row>
    <row r="2453" customFormat="false" ht="15" hidden="false" customHeight="false" outlineLevel="0" collapsed="false">
      <c r="A2453" s="13" t="n">
        <f aca="false">1+A2452</f>
        <v>2451</v>
      </c>
      <c r="B2453" s="14" t="n">
        <v>1009279233</v>
      </c>
      <c r="C2453" s="15" t="s">
        <v>75</v>
      </c>
      <c r="D2453" s="16" t="s">
        <v>64</v>
      </c>
      <c r="E2453" s="17" t="s">
        <v>64</v>
      </c>
      <c r="F2453" s="18" t="s">
        <v>34</v>
      </c>
      <c r="G2453" s="19" t="n">
        <v>752066740156</v>
      </c>
      <c r="H2453" s="17" t="s">
        <v>35</v>
      </c>
      <c r="I2453" s="17" t="s">
        <v>69</v>
      </c>
      <c r="J2453" s="17" t="s">
        <v>267</v>
      </c>
      <c r="K2453" s="17" t="s">
        <v>960</v>
      </c>
      <c r="L2453" s="17" t="n">
        <v>1</v>
      </c>
      <c r="M2453" s="17" t="s">
        <v>610</v>
      </c>
      <c r="N2453" s="17" t="n">
        <v>1</v>
      </c>
      <c r="O2453" s="17" t="s">
        <v>611</v>
      </c>
      <c r="P2453" s="17" t="n">
        <v>11</v>
      </c>
      <c r="Q2453" s="17" t="s">
        <v>953</v>
      </c>
      <c r="R2453" s="17" t="s">
        <v>35</v>
      </c>
      <c r="S2453" s="17" t="s">
        <v>613</v>
      </c>
      <c r="T2453" s="18" t="s">
        <v>248</v>
      </c>
      <c r="U2453" s="20" t="s">
        <v>122</v>
      </c>
      <c r="V2453" s="17" t="n">
        <v>2</v>
      </c>
      <c r="W2453" s="20" t="s">
        <v>122</v>
      </c>
      <c r="X2453" s="17" t="s">
        <v>267</v>
      </c>
      <c r="Y2453" s="17" t="s">
        <v>960</v>
      </c>
      <c r="Z2453" s="17" t="s">
        <v>1234</v>
      </c>
      <c r="AA2453" s="17" t="s">
        <v>919</v>
      </c>
      <c r="AB2453" s="17" t="s">
        <v>41</v>
      </c>
      <c r="AC2453" s="0" t="str">
        <f aca="false">LEFT(G2453,2)</f>
        <v>75</v>
      </c>
    </row>
    <row r="2454" customFormat="false" ht="15" hidden="false" customHeight="false" outlineLevel="0" collapsed="false">
      <c r="A2454" s="13" t="n">
        <f aca="false">1+A2453</f>
        <v>2452</v>
      </c>
      <c r="B2454" s="14" t="n">
        <v>1009651255</v>
      </c>
      <c r="C2454" s="15" t="s">
        <v>204</v>
      </c>
      <c r="D2454" s="16" t="s">
        <v>64</v>
      </c>
      <c r="E2454" s="17" t="s">
        <v>64</v>
      </c>
      <c r="F2454" s="18" t="s">
        <v>34</v>
      </c>
      <c r="G2454" s="19" t="n">
        <v>742257043817</v>
      </c>
      <c r="H2454" s="17" t="s">
        <v>35</v>
      </c>
      <c r="I2454" s="17" t="s">
        <v>69</v>
      </c>
      <c r="J2454" s="17" t="s">
        <v>100</v>
      </c>
      <c r="K2454" s="17" t="s">
        <v>978</v>
      </c>
      <c r="L2454" s="17" t="n">
        <v>1</v>
      </c>
      <c r="M2454" s="17" t="s">
        <v>610</v>
      </c>
      <c r="N2454" s="17" t="n">
        <v>1</v>
      </c>
      <c r="O2454" s="17" t="s">
        <v>611</v>
      </c>
      <c r="P2454" s="17" t="n">
        <v>11</v>
      </c>
      <c r="Q2454" s="17" t="s">
        <v>953</v>
      </c>
      <c r="R2454" s="17" t="s">
        <v>35</v>
      </c>
      <c r="S2454" s="17" t="s">
        <v>613</v>
      </c>
      <c r="T2454" s="18" t="s">
        <v>248</v>
      </c>
      <c r="U2454" s="20" t="s">
        <v>122</v>
      </c>
      <c r="V2454" s="17" t="n">
        <v>2</v>
      </c>
      <c r="W2454" s="20" t="s">
        <v>122</v>
      </c>
      <c r="X2454" s="17" t="s">
        <v>100</v>
      </c>
      <c r="Y2454" s="17" t="s">
        <v>978</v>
      </c>
      <c r="Z2454" s="17" t="s">
        <v>1234</v>
      </c>
      <c r="AA2454" s="17" t="s">
        <v>919</v>
      </c>
      <c r="AB2454" s="17" t="s">
        <v>41</v>
      </c>
      <c r="AC2454" s="0" t="str">
        <f aca="false">LEFT(G2454,2)</f>
        <v>74</v>
      </c>
    </row>
    <row r="2455" customFormat="false" ht="15" hidden="false" customHeight="false" outlineLevel="0" collapsed="false">
      <c r="A2455" s="13" t="n">
        <f aca="false">1+A2454</f>
        <v>2453</v>
      </c>
      <c r="B2455" s="14" t="n">
        <v>1009625288</v>
      </c>
      <c r="C2455" s="15" t="s">
        <v>163</v>
      </c>
      <c r="D2455" s="16" t="s">
        <v>64</v>
      </c>
      <c r="E2455" s="17" t="s">
        <v>47</v>
      </c>
      <c r="F2455" s="18" t="s">
        <v>34</v>
      </c>
      <c r="G2455" s="19" t="n">
        <v>743105733286</v>
      </c>
      <c r="H2455" s="17" t="s">
        <v>35</v>
      </c>
      <c r="I2455" s="17" t="s">
        <v>69</v>
      </c>
      <c r="J2455" s="17" t="s">
        <v>100</v>
      </c>
      <c r="K2455" s="17" t="s">
        <v>978</v>
      </c>
      <c r="L2455" s="17" t="n">
        <v>1</v>
      </c>
      <c r="M2455" s="17" t="s">
        <v>610</v>
      </c>
      <c r="N2455" s="17" t="n">
        <v>1</v>
      </c>
      <c r="O2455" s="17" t="s">
        <v>611</v>
      </c>
      <c r="P2455" s="17" t="n">
        <v>11</v>
      </c>
      <c r="Q2455" s="17" t="s">
        <v>953</v>
      </c>
      <c r="R2455" s="17" t="s">
        <v>35</v>
      </c>
      <c r="S2455" s="17" t="s">
        <v>613</v>
      </c>
      <c r="T2455" s="18" t="s">
        <v>248</v>
      </c>
      <c r="U2455" s="20" t="s">
        <v>122</v>
      </c>
      <c r="V2455" s="17" t="n">
        <v>2</v>
      </c>
      <c r="W2455" s="20" t="s">
        <v>122</v>
      </c>
      <c r="X2455" s="17" t="s">
        <v>100</v>
      </c>
      <c r="Y2455" s="17" t="s">
        <v>978</v>
      </c>
      <c r="Z2455" s="17" t="s">
        <v>409</v>
      </c>
      <c r="AA2455" s="17" t="s">
        <v>919</v>
      </c>
      <c r="AB2455" s="17" t="s">
        <v>41</v>
      </c>
      <c r="AC2455" s="0" t="str">
        <f aca="false">LEFT(G2455,2)</f>
        <v>74</v>
      </c>
    </row>
    <row r="2456" customFormat="false" ht="15" hidden="false" customHeight="false" outlineLevel="0" collapsed="false">
      <c r="A2456" s="13" t="n">
        <f aca="false">1+A2455</f>
        <v>2454</v>
      </c>
      <c r="B2456" s="14" t="n">
        <v>1009550965</v>
      </c>
      <c r="C2456" s="15" t="s">
        <v>126</v>
      </c>
      <c r="D2456" s="16" t="s">
        <v>64</v>
      </c>
      <c r="E2456" s="17" t="s">
        <v>64</v>
      </c>
      <c r="F2456" s="18" t="s">
        <v>34</v>
      </c>
      <c r="G2456" s="19" t="n">
        <v>752151140601</v>
      </c>
      <c r="H2456" s="17" t="s">
        <v>35</v>
      </c>
      <c r="I2456" s="17" t="s">
        <v>69</v>
      </c>
      <c r="J2456" s="17" t="s">
        <v>100</v>
      </c>
      <c r="K2456" s="17" t="s">
        <v>978</v>
      </c>
      <c r="L2456" s="17" t="n">
        <v>1</v>
      </c>
      <c r="M2456" s="17" t="s">
        <v>610</v>
      </c>
      <c r="N2456" s="17" t="n">
        <v>1</v>
      </c>
      <c r="O2456" s="17" t="s">
        <v>611</v>
      </c>
      <c r="P2456" s="17" t="n">
        <v>11</v>
      </c>
      <c r="Q2456" s="17" t="s">
        <v>953</v>
      </c>
      <c r="R2456" s="17" t="s">
        <v>35</v>
      </c>
      <c r="S2456" s="17" t="s">
        <v>613</v>
      </c>
      <c r="T2456" s="18" t="s">
        <v>248</v>
      </c>
      <c r="U2456" s="20" t="s">
        <v>122</v>
      </c>
      <c r="V2456" s="17" t="n">
        <v>2</v>
      </c>
      <c r="W2456" s="20" t="s">
        <v>122</v>
      </c>
      <c r="X2456" s="17" t="s">
        <v>100</v>
      </c>
      <c r="Y2456" s="17" t="s">
        <v>978</v>
      </c>
      <c r="Z2456" s="17" t="s">
        <v>409</v>
      </c>
      <c r="AA2456" s="17" t="s">
        <v>919</v>
      </c>
      <c r="AB2456" s="17" t="s">
        <v>41</v>
      </c>
      <c r="AC2456" s="0" t="str">
        <f aca="false">LEFT(G2456,2)</f>
        <v>75</v>
      </c>
    </row>
    <row r="2457" customFormat="false" ht="15" hidden="false" customHeight="false" outlineLevel="0" collapsed="false">
      <c r="A2457" s="13" t="n">
        <f aca="false">1+A2456</f>
        <v>2455</v>
      </c>
      <c r="B2457" s="14" t="n">
        <v>1009649335</v>
      </c>
      <c r="C2457" s="15" t="s">
        <v>204</v>
      </c>
      <c r="D2457" s="16" t="s">
        <v>472</v>
      </c>
      <c r="E2457" s="17" t="s">
        <v>114</v>
      </c>
      <c r="F2457" s="18" t="s">
        <v>34</v>
      </c>
      <c r="G2457" s="19" t="n">
        <v>743021012781</v>
      </c>
      <c r="H2457" s="17" t="s">
        <v>35</v>
      </c>
      <c r="I2457" s="17" t="s">
        <v>69</v>
      </c>
      <c r="J2457" s="17" t="s">
        <v>241</v>
      </c>
      <c r="K2457" s="17" t="s">
        <v>992</v>
      </c>
      <c r="L2457" s="17" t="n">
        <v>5</v>
      </c>
      <c r="M2457" s="17" t="s">
        <v>952</v>
      </c>
      <c r="N2457" s="17" t="n">
        <v>1</v>
      </c>
      <c r="O2457" s="17" t="s">
        <v>611</v>
      </c>
      <c r="P2457" s="17" t="n">
        <v>11</v>
      </c>
      <c r="Q2457" s="17" t="s">
        <v>953</v>
      </c>
      <c r="R2457" s="17" t="s">
        <v>35</v>
      </c>
      <c r="S2457" s="17" t="s">
        <v>613</v>
      </c>
      <c r="T2457" s="18" t="s">
        <v>248</v>
      </c>
      <c r="U2457" s="20" t="s">
        <v>122</v>
      </c>
      <c r="V2457" s="17" t="n">
        <v>2</v>
      </c>
      <c r="W2457" s="20" t="s">
        <v>122</v>
      </c>
      <c r="X2457" s="17" t="s">
        <v>241</v>
      </c>
      <c r="Y2457" s="17" t="s">
        <v>992</v>
      </c>
      <c r="Z2457" s="17" t="s">
        <v>1235</v>
      </c>
      <c r="AA2457" s="17" t="s">
        <v>919</v>
      </c>
      <c r="AB2457" s="17" t="s">
        <v>41</v>
      </c>
      <c r="AC2457" s="0" t="str">
        <f aca="false">LEFT(G2457,2)</f>
        <v>74</v>
      </c>
    </row>
    <row r="2458" customFormat="false" ht="15" hidden="false" customHeight="false" outlineLevel="0" collapsed="false">
      <c r="A2458" s="13" t="n">
        <f aca="false">1+A2457</f>
        <v>2456</v>
      </c>
      <c r="B2458" s="14" t="n">
        <v>1009350558</v>
      </c>
      <c r="C2458" s="15" t="s">
        <v>87</v>
      </c>
      <c r="D2458" s="16" t="s">
        <v>88</v>
      </c>
      <c r="E2458" s="17" t="s">
        <v>47</v>
      </c>
      <c r="F2458" s="18" t="s">
        <v>34</v>
      </c>
      <c r="G2458" s="19" t="n">
        <v>742327022858</v>
      </c>
      <c r="H2458" s="17" t="s">
        <v>35</v>
      </c>
      <c r="I2458" s="17" t="s">
        <v>69</v>
      </c>
      <c r="J2458" s="17" t="s">
        <v>239</v>
      </c>
      <c r="K2458" s="17" t="s">
        <v>951</v>
      </c>
      <c r="L2458" s="17" t="n">
        <v>5</v>
      </c>
      <c r="M2458" s="17" t="s">
        <v>952</v>
      </c>
      <c r="N2458" s="17" t="n">
        <v>1</v>
      </c>
      <c r="O2458" s="17" t="s">
        <v>611</v>
      </c>
      <c r="P2458" s="17" t="n">
        <v>11</v>
      </c>
      <c r="Q2458" s="17" t="s">
        <v>953</v>
      </c>
      <c r="R2458" s="17" t="s">
        <v>35</v>
      </c>
      <c r="S2458" s="17" t="s">
        <v>613</v>
      </c>
      <c r="T2458" s="18" t="s">
        <v>248</v>
      </c>
      <c r="U2458" s="20" t="s">
        <v>122</v>
      </c>
      <c r="V2458" s="17" t="n">
        <v>2</v>
      </c>
      <c r="W2458" s="20" t="s">
        <v>122</v>
      </c>
      <c r="X2458" s="17" t="s">
        <v>239</v>
      </c>
      <c r="Y2458" s="17" t="s">
        <v>951</v>
      </c>
      <c r="Z2458" s="17" t="s">
        <v>1236</v>
      </c>
      <c r="AA2458" s="17" t="s">
        <v>919</v>
      </c>
      <c r="AB2458" s="17" t="s">
        <v>41</v>
      </c>
      <c r="AC2458" s="0" t="str">
        <f aca="false">LEFT(G2458,2)</f>
        <v>74</v>
      </c>
    </row>
    <row r="2459" customFormat="false" ht="15" hidden="false" customHeight="false" outlineLevel="0" collapsed="false">
      <c r="A2459" s="13" t="n">
        <f aca="false">1+A2458</f>
        <v>2457</v>
      </c>
      <c r="B2459" s="14" t="n">
        <v>1009535505</v>
      </c>
      <c r="C2459" s="15" t="s">
        <v>395</v>
      </c>
      <c r="D2459" s="16" t="s">
        <v>64</v>
      </c>
      <c r="E2459" s="17" t="s">
        <v>64</v>
      </c>
      <c r="F2459" s="18" t="s">
        <v>34</v>
      </c>
      <c r="G2459" s="19" t="n">
        <v>752151151160</v>
      </c>
      <c r="H2459" s="17" t="s">
        <v>35</v>
      </c>
      <c r="I2459" s="17" t="s">
        <v>69</v>
      </c>
      <c r="J2459" s="17" t="s">
        <v>111</v>
      </c>
      <c r="K2459" s="17" t="s">
        <v>958</v>
      </c>
      <c r="L2459" s="17" t="n">
        <v>1</v>
      </c>
      <c r="M2459" s="17" t="s">
        <v>610</v>
      </c>
      <c r="N2459" s="17" t="n">
        <v>1</v>
      </c>
      <c r="O2459" s="17" t="s">
        <v>611</v>
      </c>
      <c r="P2459" s="17" t="n">
        <v>11</v>
      </c>
      <c r="Q2459" s="17" t="s">
        <v>953</v>
      </c>
      <c r="R2459" s="17" t="s">
        <v>35</v>
      </c>
      <c r="S2459" s="17" t="s">
        <v>613</v>
      </c>
      <c r="T2459" s="18" t="s">
        <v>248</v>
      </c>
      <c r="U2459" s="20" t="s">
        <v>38</v>
      </c>
      <c r="V2459" s="17" t="n">
        <v>4</v>
      </c>
      <c r="W2459" s="20" t="s">
        <v>38</v>
      </c>
      <c r="X2459" s="17" t="s">
        <v>111</v>
      </c>
      <c r="Y2459" s="17" t="s">
        <v>958</v>
      </c>
      <c r="Z2459" s="17" t="s">
        <v>1237</v>
      </c>
      <c r="AA2459" s="17" t="s">
        <v>919</v>
      </c>
      <c r="AB2459" s="17" t="s">
        <v>41</v>
      </c>
      <c r="AC2459" s="0" t="str">
        <f aca="false">LEFT(G2459,2)</f>
        <v>75</v>
      </c>
    </row>
    <row r="2460" customFormat="false" ht="15" hidden="false" customHeight="false" outlineLevel="0" collapsed="false">
      <c r="A2460" s="13" t="n">
        <f aca="false">1+A2459</f>
        <v>2458</v>
      </c>
      <c r="B2460" s="14" t="n">
        <v>1009419048</v>
      </c>
      <c r="C2460" s="15" t="s">
        <v>179</v>
      </c>
      <c r="D2460" s="16" t="s">
        <v>64</v>
      </c>
      <c r="E2460" s="17" t="s">
        <v>114</v>
      </c>
      <c r="F2460" s="18" t="s">
        <v>34</v>
      </c>
      <c r="G2460" s="19" t="n">
        <v>752052332547</v>
      </c>
      <c r="H2460" s="17" t="s">
        <v>35</v>
      </c>
      <c r="I2460" s="17" t="s">
        <v>69</v>
      </c>
      <c r="J2460" s="17" t="s">
        <v>111</v>
      </c>
      <c r="K2460" s="17" t="s">
        <v>958</v>
      </c>
      <c r="L2460" s="17" t="n">
        <v>1</v>
      </c>
      <c r="M2460" s="17" t="s">
        <v>610</v>
      </c>
      <c r="N2460" s="17" t="n">
        <v>1</v>
      </c>
      <c r="O2460" s="17" t="s">
        <v>611</v>
      </c>
      <c r="P2460" s="17" t="n">
        <v>11</v>
      </c>
      <c r="Q2460" s="17" t="s">
        <v>953</v>
      </c>
      <c r="R2460" s="17" t="s">
        <v>35</v>
      </c>
      <c r="S2460" s="17" t="s">
        <v>613</v>
      </c>
      <c r="T2460" s="18" t="s">
        <v>248</v>
      </c>
      <c r="U2460" s="20" t="s">
        <v>122</v>
      </c>
      <c r="V2460" s="17" t="n">
        <v>2</v>
      </c>
      <c r="W2460" s="20" t="s">
        <v>122</v>
      </c>
      <c r="X2460" s="17" t="s">
        <v>111</v>
      </c>
      <c r="Y2460" s="17" t="s">
        <v>958</v>
      </c>
      <c r="Z2460" s="17" t="s">
        <v>1237</v>
      </c>
      <c r="AA2460" s="17" t="s">
        <v>919</v>
      </c>
      <c r="AB2460" s="17" t="s">
        <v>41</v>
      </c>
      <c r="AC2460" s="0" t="str">
        <f aca="false">LEFT(G2460,2)</f>
        <v>75</v>
      </c>
    </row>
    <row r="2461" customFormat="false" ht="15" hidden="false" customHeight="false" outlineLevel="0" collapsed="false">
      <c r="A2461" s="13" t="n">
        <f aca="false">1+A2460</f>
        <v>2459</v>
      </c>
      <c r="B2461" s="14" t="n">
        <v>1009617437</v>
      </c>
      <c r="C2461" s="15" t="s">
        <v>184</v>
      </c>
      <c r="D2461" s="16" t="s">
        <v>64</v>
      </c>
      <c r="E2461" s="17" t="s">
        <v>64</v>
      </c>
      <c r="F2461" s="18" t="s">
        <v>34</v>
      </c>
      <c r="G2461" s="19" t="n">
        <v>752035403100</v>
      </c>
      <c r="H2461" s="17" t="s">
        <v>35</v>
      </c>
      <c r="I2461" s="17" t="s">
        <v>69</v>
      </c>
      <c r="J2461" s="17" t="s">
        <v>111</v>
      </c>
      <c r="K2461" s="17" t="s">
        <v>958</v>
      </c>
      <c r="L2461" s="17" t="n">
        <v>5</v>
      </c>
      <c r="M2461" s="17" t="s">
        <v>952</v>
      </c>
      <c r="N2461" s="17" t="n">
        <v>1</v>
      </c>
      <c r="O2461" s="17" t="s">
        <v>611</v>
      </c>
      <c r="P2461" s="17" t="n">
        <v>11</v>
      </c>
      <c r="Q2461" s="17" t="s">
        <v>953</v>
      </c>
      <c r="R2461" s="17" t="s">
        <v>35</v>
      </c>
      <c r="S2461" s="17" t="s">
        <v>613</v>
      </c>
      <c r="T2461" s="18" t="s">
        <v>248</v>
      </c>
      <c r="U2461" s="20" t="s">
        <v>122</v>
      </c>
      <c r="V2461" s="17" t="n">
        <v>2</v>
      </c>
      <c r="W2461" s="20" t="s">
        <v>122</v>
      </c>
      <c r="X2461" s="17" t="s">
        <v>111</v>
      </c>
      <c r="Y2461" s="17" t="s">
        <v>958</v>
      </c>
      <c r="Z2461" s="17" t="s">
        <v>1238</v>
      </c>
      <c r="AA2461" s="17" t="s">
        <v>919</v>
      </c>
      <c r="AB2461" s="17" t="s">
        <v>41</v>
      </c>
      <c r="AC2461" s="0" t="str">
        <f aca="false">LEFT(G2461,2)</f>
        <v>75</v>
      </c>
    </row>
    <row r="2462" customFormat="false" ht="15" hidden="false" customHeight="false" outlineLevel="0" collapsed="false">
      <c r="A2462" s="13" t="n">
        <f aca="false">1+A2461</f>
        <v>2460</v>
      </c>
      <c r="B2462" s="14" t="n">
        <v>1009353341</v>
      </c>
      <c r="C2462" s="15" t="s">
        <v>87</v>
      </c>
      <c r="D2462" s="16" t="s">
        <v>64</v>
      </c>
      <c r="E2462" s="17" t="s">
        <v>33</v>
      </c>
      <c r="F2462" s="18" t="s">
        <v>34</v>
      </c>
      <c r="G2462" s="19" t="n">
        <v>743099744729</v>
      </c>
      <c r="H2462" s="17" t="s">
        <v>35</v>
      </c>
      <c r="I2462" s="17" t="s">
        <v>69</v>
      </c>
      <c r="J2462" s="17" t="s">
        <v>121</v>
      </c>
      <c r="K2462" s="17" t="s">
        <v>955</v>
      </c>
      <c r="L2462" s="17" t="n">
        <v>1</v>
      </c>
      <c r="M2462" s="17" t="s">
        <v>610</v>
      </c>
      <c r="N2462" s="17" t="n">
        <v>1</v>
      </c>
      <c r="O2462" s="17" t="s">
        <v>611</v>
      </c>
      <c r="P2462" s="17" t="n">
        <v>11</v>
      </c>
      <c r="Q2462" s="17" t="s">
        <v>953</v>
      </c>
      <c r="R2462" s="17" t="s">
        <v>35</v>
      </c>
      <c r="S2462" s="17" t="s">
        <v>613</v>
      </c>
      <c r="T2462" s="18" t="s">
        <v>248</v>
      </c>
      <c r="U2462" s="20" t="s">
        <v>122</v>
      </c>
      <c r="V2462" s="17" t="n">
        <v>2</v>
      </c>
      <c r="W2462" s="20" t="s">
        <v>122</v>
      </c>
      <c r="X2462" s="17" t="s">
        <v>121</v>
      </c>
      <c r="Y2462" s="17" t="s">
        <v>955</v>
      </c>
      <c r="Z2462" s="17" t="s">
        <v>1237</v>
      </c>
      <c r="AA2462" s="17" t="s">
        <v>919</v>
      </c>
      <c r="AB2462" s="17" t="s">
        <v>41</v>
      </c>
      <c r="AC2462" s="0" t="str">
        <f aca="false">LEFT(G2462,2)</f>
        <v>74</v>
      </c>
    </row>
    <row r="2463" customFormat="false" ht="15" hidden="false" customHeight="false" outlineLevel="0" collapsed="false">
      <c r="A2463" s="13" t="n">
        <f aca="false">1+A2462</f>
        <v>2461</v>
      </c>
      <c r="B2463" s="14" t="n">
        <v>1009556284</v>
      </c>
      <c r="C2463" s="15" t="s">
        <v>192</v>
      </c>
      <c r="D2463" s="16" t="s">
        <v>64</v>
      </c>
      <c r="E2463" s="17" t="s">
        <v>64</v>
      </c>
      <c r="F2463" s="18" t="s">
        <v>34</v>
      </c>
      <c r="G2463" s="19" t="n">
        <v>742307405735</v>
      </c>
      <c r="H2463" s="17" t="s">
        <v>35</v>
      </c>
      <c r="I2463" s="17" t="s">
        <v>69</v>
      </c>
      <c r="J2463" s="17" t="s">
        <v>121</v>
      </c>
      <c r="K2463" s="17" t="s">
        <v>955</v>
      </c>
      <c r="L2463" s="17" t="n">
        <v>1</v>
      </c>
      <c r="M2463" s="17" t="s">
        <v>610</v>
      </c>
      <c r="N2463" s="17" t="n">
        <v>1</v>
      </c>
      <c r="O2463" s="17" t="s">
        <v>611</v>
      </c>
      <c r="P2463" s="17" t="n">
        <v>11</v>
      </c>
      <c r="Q2463" s="17" t="s">
        <v>953</v>
      </c>
      <c r="R2463" s="17" t="s">
        <v>35</v>
      </c>
      <c r="S2463" s="17" t="s">
        <v>613</v>
      </c>
      <c r="T2463" s="18" t="s">
        <v>248</v>
      </c>
      <c r="U2463" s="20" t="s">
        <v>38</v>
      </c>
      <c r="V2463" s="17" t="n">
        <v>4</v>
      </c>
      <c r="W2463" s="20" t="s">
        <v>38</v>
      </c>
      <c r="X2463" s="17" t="s">
        <v>121</v>
      </c>
      <c r="Y2463" s="17" t="s">
        <v>955</v>
      </c>
      <c r="Z2463" s="17" t="s">
        <v>1239</v>
      </c>
      <c r="AA2463" s="17" t="s">
        <v>919</v>
      </c>
      <c r="AB2463" s="17" t="s">
        <v>41</v>
      </c>
      <c r="AC2463" s="0" t="str">
        <f aca="false">LEFT(G2463,2)</f>
        <v>74</v>
      </c>
    </row>
    <row r="2464" customFormat="false" ht="15" hidden="false" customHeight="false" outlineLevel="0" collapsed="false">
      <c r="A2464" s="13" t="n">
        <f aca="false">1+A2463</f>
        <v>2462</v>
      </c>
      <c r="B2464" s="14" t="n">
        <v>1009303212</v>
      </c>
      <c r="C2464" s="15" t="s">
        <v>45</v>
      </c>
      <c r="D2464" s="16" t="s">
        <v>304</v>
      </c>
      <c r="E2464" s="17" t="s">
        <v>91</v>
      </c>
      <c r="F2464" s="18" t="s">
        <v>34</v>
      </c>
      <c r="G2464" s="19" t="n">
        <v>742335401854</v>
      </c>
      <c r="H2464" s="17" t="s">
        <v>35</v>
      </c>
      <c r="I2464" s="17" t="s">
        <v>69</v>
      </c>
      <c r="J2464" s="17" t="s">
        <v>241</v>
      </c>
      <c r="K2464" s="17" t="s">
        <v>992</v>
      </c>
      <c r="L2464" s="17" t="n">
        <v>5</v>
      </c>
      <c r="M2464" s="17" t="s">
        <v>952</v>
      </c>
      <c r="N2464" s="17" t="n">
        <v>1</v>
      </c>
      <c r="O2464" s="17" t="s">
        <v>611</v>
      </c>
      <c r="P2464" s="17" t="n">
        <v>11</v>
      </c>
      <c r="Q2464" s="17" t="s">
        <v>953</v>
      </c>
      <c r="R2464" s="17" t="s">
        <v>35</v>
      </c>
      <c r="S2464" s="17" t="s">
        <v>613</v>
      </c>
      <c r="T2464" s="18" t="s">
        <v>248</v>
      </c>
      <c r="U2464" s="20" t="s">
        <v>122</v>
      </c>
      <c r="V2464" s="17" t="n">
        <v>2</v>
      </c>
      <c r="W2464" s="20" t="s">
        <v>122</v>
      </c>
      <c r="X2464" s="17" t="s">
        <v>241</v>
      </c>
      <c r="Y2464" s="17" t="s">
        <v>992</v>
      </c>
      <c r="Z2464" s="17" t="s">
        <v>1240</v>
      </c>
      <c r="AA2464" s="17" t="s">
        <v>919</v>
      </c>
      <c r="AB2464" s="17" t="s">
        <v>41</v>
      </c>
      <c r="AC2464" s="0" t="str">
        <f aca="false">LEFT(G2464,2)</f>
        <v>74</v>
      </c>
    </row>
    <row r="2465" customFormat="false" ht="15" hidden="false" customHeight="false" outlineLevel="0" collapsed="false">
      <c r="A2465" s="13" t="n">
        <f aca="false">1+A2464</f>
        <v>2463</v>
      </c>
      <c r="B2465" s="14" t="n">
        <v>1009611230</v>
      </c>
      <c r="C2465" s="15" t="s">
        <v>181</v>
      </c>
      <c r="D2465" s="16" t="s">
        <v>88</v>
      </c>
      <c r="E2465" s="17" t="s">
        <v>47</v>
      </c>
      <c r="F2465" s="18" t="s">
        <v>34</v>
      </c>
      <c r="G2465" s="19" t="n">
        <v>752117101580</v>
      </c>
      <c r="H2465" s="17" t="s">
        <v>35</v>
      </c>
      <c r="I2465" s="17" t="s">
        <v>69</v>
      </c>
      <c r="J2465" s="17" t="s">
        <v>111</v>
      </c>
      <c r="K2465" s="17" t="s">
        <v>958</v>
      </c>
      <c r="L2465" s="17" t="n">
        <v>1</v>
      </c>
      <c r="M2465" s="17" t="s">
        <v>610</v>
      </c>
      <c r="N2465" s="17" t="n">
        <v>1</v>
      </c>
      <c r="O2465" s="17" t="s">
        <v>611</v>
      </c>
      <c r="P2465" s="17" t="n">
        <v>11</v>
      </c>
      <c r="Q2465" s="17" t="s">
        <v>953</v>
      </c>
      <c r="R2465" s="17" t="s">
        <v>35</v>
      </c>
      <c r="S2465" s="17" t="s">
        <v>613</v>
      </c>
      <c r="T2465" s="18" t="s">
        <v>248</v>
      </c>
      <c r="U2465" s="20" t="s">
        <v>122</v>
      </c>
      <c r="V2465" s="17" t="n">
        <v>2</v>
      </c>
      <c r="W2465" s="20" t="s">
        <v>122</v>
      </c>
      <c r="X2465" s="17" t="s">
        <v>111</v>
      </c>
      <c r="Y2465" s="17" t="s">
        <v>958</v>
      </c>
      <c r="Z2465" s="17" t="s">
        <v>1241</v>
      </c>
      <c r="AA2465" s="17" t="s">
        <v>919</v>
      </c>
      <c r="AB2465" s="17" t="s">
        <v>41</v>
      </c>
      <c r="AC2465" s="0" t="str">
        <f aca="false">LEFT(G2465,2)</f>
        <v>75</v>
      </c>
    </row>
    <row r="2466" customFormat="false" ht="15" hidden="false" customHeight="false" outlineLevel="0" collapsed="false">
      <c r="A2466" s="13" t="n">
        <f aca="false">1+A2465</f>
        <v>2464</v>
      </c>
      <c r="B2466" s="14" t="n">
        <v>1009628194</v>
      </c>
      <c r="C2466" s="15" t="s">
        <v>229</v>
      </c>
      <c r="D2466" s="16" t="s">
        <v>64</v>
      </c>
      <c r="E2466" s="17" t="s">
        <v>47</v>
      </c>
      <c r="F2466" s="18" t="s">
        <v>34</v>
      </c>
      <c r="G2466" s="19" t="n">
        <v>752051105217</v>
      </c>
      <c r="H2466" s="17" t="s">
        <v>35</v>
      </c>
      <c r="I2466" s="17" t="s">
        <v>69</v>
      </c>
      <c r="J2466" s="17" t="s">
        <v>289</v>
      </c>
      <c r="K2466" s="17" t="s">
        <v>1067</v>
      </c>
      <c r="L2466" s="17" t="n">
        <v>1</v>
      </c>
      <c r="M2466" s="17" t="s">
        <v>610</v>
      </c>
      <c r="N2466" s="17" t="n">
        <v>1</v>
      </c>
      <c r="O2466" s="17" t="s">
        <v>611</v>
      </c>
      <c r="P2466" s="17" t="n">
        <v>11</v>
      </c>
      <c r="Q2466" s="17" t="s">
        <v>953</v>
      </c>
      <c r="R2466" s="17" t="s">
        <v>35</v>
      </c>
      <c r="S2466" s="17" t="s">
        <v>613</v>
      </c>
      <c r="T2466" s="18" t="s">
        <v>248</v>
      </c>
      <c r="U2466" s="20" t="s">
        <v>122</v>
      </c>
      <c r="V2466" s="17" t="n">
        <v>2</v>
      </c>
      <c r="W2466" s="20" t="s">
        <v>122</v>
      </c>
      <c r="X2466" s="17" t="s">
        <v>289</v>
      </c>
      <c r="Y2466" s="17" t="s">
        <v>1067</v>
      </c>
      <c r="Z2466" s="17" t="s">
        <v>150</v>
      </c>
      <c r="AA2466" s="17" t="s">
        <v>919</v>
      </c>
      <c r="AB2466" s="17" t="s">
        <v>41</v>
      </c>
      <c r="AC2466" s="0" t="str">
        <f aca="false">LEFT(G2466,2)</f>
        <v>75</v>
      </c>
    </row>
    <row r="2467" customFormat="false" ht="15" hidden="false" customHeight="false" outlineLevel="0" collapsed="false">
      <c r="A2467" s="13" t="n">
        <f aca="false">1+A2466</f>
        <v>2465</v>
      </c>
      <c r="B2467" s="14" t="n">
        <v>1009603936</v>
      </c>
      <c r="C2467" s="15" t="s">
        <v>146</v>
      </c>
      <c r="D2467" s="16" t="s">
        <v>64</v>
      </c>
      <c r="E2467" s="17" t="s">
        <v>64</v>
      </c>
      <c r="F2467" s="18" t="s">
        <v>34</v>
      </c>
      <c r="G2467" s="19" t="n">
        <v>743029705287</v>
      </c>
      <c r="H2467" s="17" t="s">
        <v>35</v>
      </c>
      <c r="I2467" s="17" t="s">
        <v>69</v>
      </c>
      <c r="J2467" s="17" t="s">
        <v>121</v>
      </c>
      <c r="K2467" s="17" t="s">
        <v>955</v>
      </c>
      <c r="L2467" s="17" t="n">
        <v>1</v>
      </c>
      <c r="M2467" s="17" t="s">
        <v>610</v>
      </c>
      <c r="N2467" s="17" t="n">
        <v>1</v>
      </c>
      <c r="O2467" s="17" t="s">
        <v>611</v>
      </c>
      <c r="P2467" s="17" t="n">
        <v>11</v>
      </c>
      <c r="Q2467" s="17" t="s">
        <v>953</v>
      </c>
      <c r="R2467" s="17" t="s">
        <v>35</v>
      </c>
      <c r="S2467" s="17" t="s">
        <v>613</v>
      </c>
      <c r="T2467" s="18" t="s">
        <v>248</v>
      </c>
      <c r="U2467" s="20" t="s">
        <v>120</v>
      </c>
      <c r="V2467" s="17" t="n">
        <v>6</v>
      </c>
      <c r="W2467" s="20" t="s">
        <v>120</v>
      </c>
      <c r="X2467" s="17" t="s">
        <v>121</v>
      </c>
      <c r="Y2467" s="17" t="s">
        <v>955</v>
      </c>
      <c r="Z2467" s="17" t="s">
        <v>1241</v>
      </c>
      <c r="AA2467" s="17" t="s">
        <v>919</v>
      </c>
      <c r="AB2467" s="17" t="s">
        <v>41</v>
      </c>
      <c r="AC2467" s="0" t="str">
        <f aca="false">LEFT(G2467,2)</f>
        <v>74</v>
      </c>
    </row>
    <row r="2468" customFormat="false" ht="15" hidden="false" customHeight="false" outlineLevel="0" collapsed="false">
      <c r="A2468" s="13" t="n">
        <f aca="false">1+A2467</f>
        <v>2466</v>
      </c>
      <c r="B2468" s="14" t="n">
        <v>1009306554</v>
      </c>
      <c r="C2468" s="15" t="s">
        <v>185</v>
      </c>
      <c r="D2468" s="16" t="s">
        <v>64</v>
      </c>
      <c r="E2468" s="17" t="s">
        <v>47</v>
      </c>
      <c r="F2468" s="18" t="s">
        <v>34</v>
      </c>
      <c r="G2468" s="19" t="n">
        <v>752198219293</v>
      </c>
      <c r="H2468" s="17" t="s">
        <v>35</v>
      </c>
      <c r="I2468" s="17" t="s">
        <v>69</v>
      </c>
      <c r="J2468" s="17" t="s">
        <v>267</v>
      </c>
      <c r="K2468" s="17" t="s">
        <v>960</v>
      </c>
      <c r="L2468" s="17" t="n">
        <v>5</v>
      </c>
      <c r="M2468" s="17" t="s">
        <v>952</v>
      </c>
      <c r="N2468" s="17" t="n">
        <v>1</v>
      </c>
      <c r="O2468" s="17" t="s">
        <v>611</v>
      </c>
      <c r="P2468" s="17" t="n">
        <v>11</v>
      </c>
      <c r="Q2468" s="17" t="s">
        <v>953</v>
      </c>
      <c r="R2468" s="17" t="s">
        <v>35</v>
      </c>
      <c r="S2468" s="17" t="s">
        <v>613</v>
      </c>
      <c r="T2468" s="18" t="s">
        <v>248</v>
      </c>
      <c r="U2468" s="20" t="s">
        <v>122</v>
      </c>
      <c r="V2468" s="17" t="n">
        <v>2</v>
      </c>
      <c r="W2468" s="20" t="s">
        <v>122</v>
      </c>
      <c r="X2468" s="17" t="s">
        <v>267</v>
      </c>
      <c r="Y2468" s="17" t="s">
        <v>960</v>
      </c>
      <c r="Z2468" s="17" t="s">
        <v>149</v>
      </c>
      <c r="AA2468" s="17" t="s">
        <v>919</v>
      </c>
      <c r="AB2468" s="17" t="s">
        <v>41</v>
      </c>
      <c r="AC2468" s="0" t="str">
        <f aca="false">LEFT(G2468,2)</f>
        <v>75</v>
      </c>
    </row>
    <row r="2469" customFormat="false" ht="15" hidden="false" customHeight="false" outlineLevel="0" collapsed="false">
      <c r="A2469" s="13" t="n">
        <f aca="false">1+A2468</f>
        <v>2467</v>
      </c>
      <c r="B2469" s="14" t="n">
        <v>1009337510</v>
      </c>
      <c r="C2469" s="15" t="s">
        <v>59</v>
      </c>
      <c r="D2469" s="16" t="s">
        <v>64</v>
      </c>
      <c r="E2469" s="17" t="s">
        <v>64</v>
      </c>
      <c r="F2469" s="18" t="s">
        <v>34</v>
      </c>
      <c r="G2469" s="19" t="n">
        <v>752117116687</v>
      </c>
      <c r="H2469" s="17" t="s">
        <v>35</v>
      </c>
      <c r="I2469" s="17" t="s">
        <v>69</v>
      </c>
      <c r="J2469" s="17" t="s">
        <v>575</v>
      </c>
      <c r="K2469" s="17" t="s">
        <v>1242</v>
      </c>
      <c r="L2469" s="17" t="n">
        <v>1</v>
      </c>
      <c r="M2469" s="17" t="s">
        <v>610</v>
      </c>
      <c r="N2469" s="17" t="n">
        <v>1</v>
      </c>
      <c r="O2469" s="17" t="s">
        <v>611</v>
      </c>
      <c r="P2469" s="17" t="n">
        <v>11</v>
      </c>
      <c r="Q2469" s="17" t="s">
        <v>953</v>
      </c>
      <c r="R2469" s="17" t="s">
        <v>35</v>
      </c>
      <c r="S2469" s="17" t="s">
        <v>613</v>
      </c>
      <c r="T2469" s="18" t="s">
        <v>248</v>
      </c>
      <c r="U2469" s="20" t="s">
        <v>122</v>
      </c>
      <c r="V2469" s="17" t="n">
        <v>2</v>
      </c>
      <c r="W2469" s="20" t="s">
        <v>122</v>
      </c>
      <c r="X2469" s="17" t="s">
        <v>575</v>
      </c>
      <c r="Y2469" s="17" t="s">
        <v>1242</v>
      </c>
      <c r="Z2469" s="17" t="s">
        <v>650</v>
      </c>
      <c r="AA2469" s="17" t="s">
        <v>919</v>
      </c>
      <c r="AB2469" s="17" t="s">
        <v>41</v>
      </c>
      <c r="AC2469" s="0" t="str">
        <f aca="false">LEFT(G2469,2)</f>
        <v>75</v>
      </c>
    </row>
    <row r="2470" customFormat="false" ht="15" hidden="false" customHeight="false" outlineLevel="0" collapsed="false">
      <c r="A2470" s="13" t="n">
        <f aca="false">1+A2469</f>
        <v>2468</v>
      </c>
      <c r="B2470" s="14" t="n">
        <v>1009310168</v>
      </c>
      <c r="C2470" s="15" t="s">
        <v>185</v>
      </c>
      <c r="D2470" s="16" t="s">
        <v>64</v>
      </c>
      <c r="E2470" s="17" t="s">
        <v>47</v>
      </c>
      <c r="F2470" s="18" t="s">
        <v>34</v>
      </c>
      <c r="G2470" s="19" t="n">
        <v>742301021892</v>
      </c>
      <c r="H2470" s="17" t="s">
        <v>35</v>
      </c>
      <c r="I2470" s="17" t="s">
        <v>69</v>
      </c>
      <c r="J2470" s="17" t="s">
        <v>100</v>
      </c>
      <c r="K2470" s="17" t="s">
        <v>978</v>
      </c>
      <c r="L2470" s="17" t="n">
        <v>1</v>
      </c>
      <c r="M2470" s="17" t="s">
        <v>610</v>
      </c>
      <c r="N2470" s="17" t="n">
        <v>1</v>
      </c>
      <c r="O2470" s="17" t="s">
        <v>611</v>
      </c>
      <c r="P2470" s="17" t="n">
        <v>11</v>
      </c>
      <c r="Q2470" s="17" t="s">
        <v>953</v>
      </c>
      <c r="R2470" s="17" t="s">
        <v>35</v>
      </c>
      <c r="S2470" s="17" t="s">
        <v>613</v>
      </c>
      <c r="T2470" s="18" t="s">
        <v>248</v>
      </c>
      <c r="U2470" s="20" t="s">
        <v>122</v>
      </c>
      <c r="V2470" s="17" t="n">
        <v>2</v>
      </c>
      <c r="W2470" s="20" t="s">
        <v>122</v>
      </c>
      <c r="X2470" s="17" t="s">
        <v>100</v>
      </c>
      <c r="Y2470" s="17" t="s">
        <v>978</v>
      </c>
      <c r="Z2470" s="17" t="s">
        <v>1243</v>
      </c>
      <c r="AA2470" s="17" t="s">
        <v>919</v>
      </c>
      <c r="AB2470" s="17" t="s">
        <v>41</v>
      </c>
      <c r="AC2470" s="0" t="str">
        <f aca="false">LEFT(G2470,2)</f>
        <v>74</v>
      </c>
    </row>
    <row r="2471" customFormat="false" ht="15" hidden="false" customHeight="false" outlineLevel="0" collapsed="false">
      <c r="A2471" s="13" t="n">
        <f aca="false">1+A2470</f>
        <v>2469</v>
      </c>
      <c r="B2471" s="14" t="n">
        <v>1009415594</v>
      </c>
      <c r="C2471" s="15" t="s">
        <v>179</v>
      </c>
      <c r="D2471" s="16" t="s">
        <v>64</v>
      </c>
      <c r="E2471" s="17" t="s">
        <v>64</v>
      </c>
      <c r="F2471" s="18" t="s">
        <v>34</v>
      </c>
      <c r="G2471" s="19" t="n">
        <v>742262037507</v>
      </c>
      <c r="H2471" s="17" t="s">
        <v>35</v>
      </c>
      <c r="I2471" s="17" t="s">
        <v>69</v>
      </c>
      <c r="J2471" s="17" t="s">
        <v>111</v>
      </c>
      <c r="K2471" s="17" t="s">
        <v>958</v>
      </c>
      <c r="L2471" s="17" t="n">
        <v>5</v>
      </c>
      <c r="M2471" s="17" t="s">
        <v>952</v>
      </c>
      <c r="N2471" s="17" t="n">
        <v>1</v>
      </c>
      <c r="O2471" s="17" t="s">
        <v>611</v>
      </c>
      <c r="P2471" s="17" t="n">
        <v>11</v>
      </c>
      <c r="Q2471" s="17" t="s">
        <v>953</v>
      </c>
      <c r="R2471" s="17" t="s">
        <v>35</v>
      </c>
      <c r="S2471" s="17" t="s">
        <v>613</v>
      </c>
      <c r="T2471" s="18" t="s">
        <v>248</v>
      </c>
      <c r="U2471" s="20" t="s">
        <v>199</v>
      </c>
      <c r="V2471" s="17" t="n">
        <v>3</v>
      </c>
      <c r="W2471" s="20" t="s">
        <v>199</v>
      </c>
      <c r="X2471" s="17" t="s">
        <v>111</v>
      </c>
      <c r="Y2471" s="17" t="s">
        <v>958</v>
      </c>
      <c r="Z2471" s="17" t="s">
        <v>1244</v>
      </c>
      <c r="AA2471" s="17" t="s">
        <v>919</v>
      </c>
      <c r="AB2471" s="17" t="s">
        <v>41</v>
      </c>
      <c r="AC2471" s="0" t="str">
        <f aca="false">LEFT(G2471,2)</f>
        <v>74</v>
      </c>
    </row>
    <row r="2472" customFormat="false" ht="15" hidden="false" customHeight="false" outlineLevel="0" collapsed="false">
      <c r="A2472" s="13" t="n">
        <f aca="false">1+A2471</f>
        <v>2470</v>
      </c>
      <c r="B2472" s="14" t="n">
        <v>1009412403</v>
      </c>
      <c r="C2472" s="15" t="s">
        <v>1245</v>
      </c>
      <c r="D2472" s="16" t="s">
        <v>64</v>
      </c>
      <c r="E2472" s="17" t="s">
        <v>47</v>
      </c>
      <c r="F2472" s="18" t="s">
        <v>34</v>
      </c>
      <c r="G2472" s="19" t="n">
        <v>743099744570</v>
      </c>
      <c r="H2472" s="17" t="s">
        <v>35</v>
      </c>
      <c r="I2472" s="17" t="s">
        <v>69</v>
      </c>
      <c r="J2472" s="17" t="s">
        <v>267</v>
      </c>
      <c r="K2472" s="17" t="s">
        <v>960</v>
      </c>
      <c r="L2472" s="17" t="n">
        <v>1</v>
      </c>
      <c r="M2472" s="17" t="s">
        <v>610</v>
      </c>
      <c r="N2472" s="17" t="n">
        <v>1</v>
      </c>
      <c r="O2472" s="17" t="s">
        <v>611</v>
      </c>
      <c r="P2472" s="17" t="n">
        <v>12</v>
      </c>
      <c r="Q2472" s="17" t="s">
        <v>612</v>
      </c>
      <c r="R2472" s="17" t="s">
        <v>35</v>
      </c>
      <c r="S2472" s="17" t="s">
        <v>613</v>
      </c>
      <c r="T2472" s="18" t="s">
        <v>135</v>
      </c>
      <c r="U2472" s="20" t="s">
        <v>110</v>
      </c>
      <c r="V2472" s="17" t="n">
        <v>9</v>
      </c>
      <c r="W2472" s="20" t="s">
        <v>110</v>
      </c>
      <c r="X2472" s="17" t="s">
        <v>267</v>
      </c>
      <c r="Y2472" s="17" t="s">
        <v>960</v>
      </c>
      <c r="Z2472" s="17" t="s">
        <v>41</v>
      </c>
      <c r="AA2472" s="17" t="s">
        <v>919</v>
      </c>
      <c r="AB2472" s="17" t="s">
        <v>41</v>
      </c>
      <c r="AC2472" s="0" t="str">
        <f aca="false">LEFT(G2472,2)</f>
        <v>74</v>
      </c>
    </row>
    <row r="2473" customFormat="false" ht="15" hidden="false" customHeight="false" outlineLevel="0" collapsed="false">
      <c r="A2473" s="13" t="n">
        <f aca="false">1+A2472</f>
        <v>2471</v>
      </c>
      <c r="B2473" s="14" t="n">
        <v>1009649366</v>
      </c>
      <c r="C2473" s="15" t="s">
        <v>204</v>
      </c>
      <c r="D2473" s="16" t="s">
        <v>64</v>
      </c>
      <c r="E2473" s="17" t="s">
        <v>64</v>
      </c>
      <c r="F2473" s="18" t="s">
        <v>34</v>
      </c>
      <c r="G2473" s="19" t="n">
        <v>743105730159</v>
      </c>
      <c r="H2473" s="17" t="s">
        <v>35</v>
      </c>
      <c r="I2473" s="17" t="s">
        <v>69</v>
      </c>
      <c r="J2473" s="17" t="s">
        <v>111</v>
      </c>
      <c r="K2473" s="17" t="s">
        <v>958</v>
      </c>
      <c r="L2473" s="17" t="n">
        <v>1</v>
      </c>
      <c r="M2473" s="17" t="s">
        <v>610</v>
      </c>
      <c r="N2473" s="17" t="n">
        <v>1</v>
      </c>
      <c r="O2473" s="17" t="s">
        <v>611</v>
      </c>
      <c r="P2473" s="17" t="n">
        <v>11</v>
      </c>
      <c r="Q2473" s="17" t="s">
        <v>953</v>
      </c>
      <c r="R2473" s="17" t="s">
        <v>35</v>
      </c>
      <c r="S2473" s="17" t="s">
        <v>613</v>
      </c>
      <c r="T2473" s="18" t="s">
        <v>248</v>
      </c>
      <c r="U2473" s="20" t="s">
        <v>38</v>
      </c>
      <c r="V2473" s="17" t="n">
        <v>4</v>
      </c>
      <c r="W2473" s="20" t="s">
        <v>38</v>
      </c>
      <c r="X2473" s="17" t="s">
        <v>111</v>
      </c>
      <c r="Y2473" s="17" t="s">
        <v>958</v>
      </c>
      <c r="Z2473" s="17" t="s">
        <v>1246</v>
      </c>
      <c r="AA2473" s="17" t="s">
        <v>919</v>
      </c>
      <c r="AB2473" s="17" t="s">
        <v>41</v>
      </c>
      <c r="AC2473" s="0" t="str">
        <f aca="false">LEFT(G2473,2)</f>
        <v>74</v>
      </c>
    </row>
    <row r="2474" customFormat="false" ht="15" hidden="false" customHeight="false" outlineLevel="0" collapsed="false">
      <c r="A2474" s="13" t="n">
        <f aca="false">1+A2473</f>
        <v>2472</v>
      </c>
      <c r="B2474" s="14" t="n">
        <v>1009303053</v>
      </c>
      <c r="C2474" s="15" t="s">
        <v>45</v>
      </c>
      <c r="D2474" s="16" t="s">
        <v>1247</v>
      </c>
      <c r="E2474" s="17" t="s">
        <v>47</v>
      </c>
      <c r="F2474" s="18" t="s">
        <v>34</v>
      </c>
      <c r="G2474" s="19" t="n">
        <v>752116122827</v>
      </c>
      <c r="H2474" s="17" t="s">
        <v>35</v>
      </c>
      <c r="I2474" s="17" t="s">
        <v>69</v>
      </c>
      <c r="J2474" s="17" t="s">
        <v>100</v>
      </c>
      <c r="K2474" s="17" t="s">
        <v>978</v>
      </c>
      <c r="L2474" s="17" t="n">
        <v>1</v>
      </c>
      <c r="M2474" s="17" t="s">
        <v>610</v>
      </c>
      <c r="N2474" s="17" t="n">
        <v>1</v>
      </c>
      <c r="O2474" s="17" t="s">
        <v>611</v>
      </c>
      <c r="P2474" s="17" t="n">
        <v>11</v>
      </c>
      <c r="Q2474" s="17" t="s">
        <v>953</v>
      </c>
      <c r="R2474" s="17" t="s">
        <v>35</v>
      </c>
      <c r="S2474" s="17" t="s">
        <v>613</v>
      </c>
      <c r="T2474" s="18" t="s">
        <v>248</v>
      </c>
      <c r="U2474" s="20" t="s">
        <v>122</v>
      </c>
      <c r="V2474" s="17" t="n">
        <v>2</v>
      </c>
      <c r="W2474" s="20" t="s">
        <v>122</v>
      </c>
      <c r="X2474" s="17" t="s">
        <v>100</v>
      </c>
      <c r="Y2474" s="17" t="s">
        <v>978</v>
      </c>
      <c r="Z2474" s="17" t="s">
        <v>1248</v>
      </c>
      <c r="AA2474" s="17" t="s">
        <v>919</v>
      </c>
      <c r="AB2474" s="17" t="s">
        <v>41</v>
      </c>
      <c r="AC2474" s="0" t="str">
        <f aca="false">LEFT(G2474,2)</f>
        <v>75</v>
      </c>
    </row>
    <row r="2475" customFormat="false" ht="15" hidden="false" customHeight="false" outlineLevel="0" collapsed="false">
      <c r="A2475" s="13" t="n">
        <f aca="false">1+A2474</f>
        <v>2473</v>
      </c>
      <c r="B2475" s="14" t="n">
        <v>1009524874</v>
      </c>
      <c r="C2475" s="15" t="s">
        <v>162</v>
      </c>
      <c r="D2475" s="16" t="s">
        <v>64</v>
      </c>
      <c r="E2475" s="17" t="s">
        <v>114</v>
      </c>
      <c r="F2475" s="18" t="s">
        <v>34</v>
      </c>
      <c r="G2475" s="19" t="n">
        <v>743028439573</v>
      </c>
      <c r="H2475" s="17" t="s">
        <v>35</v>
      </c>
      <c r="I2475" s="17" t="s">
        <v>69</v>
      </c>
      <c r="J2475" s="17" t="s">
        <v>100</v>
      </c>
      <c r="K2475" s="17" t="s">
        <v>978</v>
      </c>
      <c r="L2475" s="17" t="n">
        <v>1</v>
      </c>
      <c r="M2475" s="17" t="s">
        <v>610</v>
      </c>
      <c r="N2475" s="17" t="n">
        <v>1</v>
      </c>
      <c r="O2475" s="17" t="s">
        <v>611</v>
      </c>
      <c r="P2475" s="17" t="n">
        <v>11</v>
      </c>
      <c r="Q2475" s="17" t="s">
        <v>953</v>
      </c>
      <c r="R2475" s="17" t="s">
        <v>35</v>
      </c>
      <c r="S2475" s="17" t="s">
        <v>613</v>
      </c>
      <c r="T2475" s="18" t="s">
        <v>248</v>
      </c>
      <c r="U2475" s="20" t="s">
        <v>122</v>
      </c>
      <c r="V2475" s="17" t="n">
        <v>2</v>
      </c>
      <c r="W2475" s="20" t="s">
        <v>122</v>
      </c>
      <c r="X2475" s="17" t="s">
        <v>100</v>
      </c>
      <c r="Y2475" s="17" t="s">
        <v>978</v>
      </c>
      <c r="Z2475" s="17" t="s">
        <v>1249</v>
      </c>
      <c r="AA2475" s="17" t="s">
        <v>919</v>
      </c>
      <c r="AB2475" s="17" t="s">
        <v>41</v>
      </c>
      <c r="AC2475" s="0" t="str">
        <f aca="false">LEFT(G2475,2)</f>
        <v>74</v>
      </c>
    </row>
    <row r="2476" customFormat="false" ht="15" hidden="false" customHeight="false" outlineLevel="0" collapsed="false">
      <c r="A2476" s="13" t="n">
        <f aca="false">1+A2475</f>
        <v>2474</v>
      </c>
      <c r="B2476" s="14" t="n">
        <v>1009447011</v>
      </c>
      <c r="C2476" s="15" t="s">
        <v>189</v>
      </c>
      <c r="D2476" s="16" t="s">
        <v>81</v>
      </c>
      <c r="E2476" s="17" t="s">
        <v>47</v>
      </c>
      <c r="F2476" s="18" t="s">
        <v>34</v>
      </c>
      <c r="G2476" s="19" t="n">
        <v>752159022843</v>
      </c>
      <c r="H2476" s="17" t="s">
        <v>35</v>
      </c>
      <c r="I2476" s="17" t="s">
        <v>69</v>
      </c>
      <c r="J2476" s="17" t="s">
        <v>100</v>
      </c>
      <c r="K2476" s="17" t="s">
        <v>978</v>
      </c>
      <c r="L2476" s="17" t="n">
        <v>2</v>
      </c>
      <c r="M2476" s="17" t="s">
        <v>981</v>
      </c>
      <c r="N2476" s="17" t="n">
        <v>6</v>
      </c>
      <c r="O2476" s="17" t="s">
        <v>982</v>
      </c>
      <c r="P2476" s="17" t="n">
        <v>11</v>
      </c>
      <c r="Q2476" s="17" t="s">
        <v>953</v>
      </c>
      <c r="R2476" s="17" t="s">
        <v>35</v>
      </c>
      <c r="S2476" s="17" t="s">
        <v>613</v>
      </c>
      <c r="T2476" s="18" t="s">
        <v>248</v>
      </c>
      <c r="U2476" s="20" t="s">
        <v>122</v>
      </c>
      <c r="V2476" s="17" t="n">
        <v>2</v>
      </c>
      <c r="W2476" s="20" t="s">
        <v>122</v>
      </c>
      <c r="X2476" s="17" t="s">
        <v>100</v>
      </c>
      <c r="Y2476" s="17" t="s">
        <v>978</v>
      </c>
      <c r="Z2476" s="17" t="s">
        <v>1250</v>
      </c>
      <c r="AA2476" s="17" t="s">
        <v>919</v>
      </c>
      <c r="AB2476" s="17" t="s">
        <v>41</v>
      </c>
      <c r="AC2476" s="0" t="str">
        <f aca="false">LEFT(G2476,2)</f>
        <v>75</v>
      </c>
    </row>
    <row r="2477" customFormat="false" ht="15" hidden="false" customHeight="false" outlineLevel="0" collapsed="false">
      <c r="A2477" s="13" t="n">
        <f aca="false">1+A2476</f>
        <v>2475</v>
      </c>
      <c r="B2477" s="14" t="n">
        <v>1009627169</v>
      </c>
      <c r="C2477" s="15" t="s">
        <v>163</v>
      </c>
      <c r="D2477" s="16" t="s">
        <v>250</v>
      </c>
      <c r="E2477" s="17" t="s">
        <v>47</v>
      </c>
      <c r="F2477" s="18" t="s">
        <v>34</v>
      </c>
      <c r="G2477" s="19" t="n">
        <v>743025736989</v>
      </c>
      <c r="H2477" s="17" t="s">
        <v>35</v>
      </c>
      <c r="I2477" s="17" t="s">
        <v>69</v>
      </c>
      <c r="J2477" s="17" t="s">
        <v>111</v>
      </c>
      <c r="K2477" s="17" t="s">
        <v>958</v>
      </c>
      <c r="L2477" s="17" t="n">
        <v>1</v>
      </c>
      <c r="M2477" s="17" t="s">
        <v>610</v>
      </c>
      <c r="N2477" s="17" t="n">
        <v>1</v>
      </c>
      <c r="O2477" s="17" t="s">
        <v>611</v>
      </c>
      <c r="P2477" s="17" t="n">
        <v>11</v>
      </c>
      <c r="Q2477" s="17" t="s">
        <v>953</v>
      </c>
      <c r="R2477" s="17" t="s">
        <v>35</v>
      </c>
      <c r="S2477" s="17" t="s">
        <v>613</v>
      </c>
      <c r="T2477" s="18" t="s">
        <v>248</v>
      </c>
      <c r="U2477" s="20" t="s">
        <v>122</v>
      </c>
      <c r="V2477" s="17" t="n">
        <v>2</v>
      </c>
      <c r="W2477" s="20" t="s">
        <v>122</v>
      </c>
      <c r="X2477" s="17" t="s">
        <v>111</v>
      </c>
      <c r="Y2477" s="17" t="s">
        <v>958</v>
      </c>
      <c r="Z2477" s="17" t="s">
        <v>1250</v>
      </c>
      <c r="AA2477" s="17" t="s">
        <v>919</v>
      </c>
      <c r="AB2477" s="17" t="s">
        <v>41</v>
      </c>
      <c r="AC2477" s="0" t="str">
        <f aca="false">LEFT(G2477,2)</f>
        <v>74</v>
      </c>
    </row>
    <row r="2478" customFormat="false" ht="15" hidden="false" customHeight="false" outlineLevel="0" collapsed="false">
      <c r="A2478" s="13" t="n">
        <f aca="false">1+A2477</f>
        <v>2476</v>
      </c>
      <c r="B2478" s="14" t="n">
        <v>1009321734</v>
      </c>
      <c r="C2478" s="15" t="s">
        <v>85</v>
      </c>
      <c r="D2478" s="16" t="s">
        <v>64</v>
      </c>
      <c r="E2478" s="17" t="s">
        <v>47</v>
      </c>
      <c r="F2478" s="18" t="s">
        <v>34</v>
      </c>
      <c r="G2478" s="19" t="n">
        <v>752181158052</v>
      </c>
      <c r="H2478" s="17" t="s">
        <v>35</v>
      </c>
      <c r="I2478" s="17" t="s">
        <v>69</v>
      </c>
      <c r="J2478" s="17" t="s">
        <v>323</v>
      </c>
      <c r="K2478" s="17" t="s">
        <v>1070</v>
      </c>
      <c r="L2478" s="17" t="n">
        <v>5</v>
      </c>
      <c r="M2478" s="17" t="s">
        <v>952</v>
      </c>
      <c r="N2478" s="17" t="n">
        <v>1</v>
      </c>
      <c r="O2478" s="17" t="s">
        <v>611</v>
      </c>
      <c r="P2478" s="17" t="n">
        <v>11</v>
      </c>
      <c r="Q2478" s="17" t="s">
        <v>953</v>
      </c>
      <c r="R2478" s="17" t="s">
        <v>35</v>
      </c>
      <c r="S2478" s="17" t="s">
        <v>613</v>
      </c>
      <c r="T2478" s="18" t="s">
        <v>248</v>
      </c>
      <c r="U2478" s="20" t="s">
        <v>122</v>
      </c>
      <c r="V2478" s="17" t="n">
        <v>2</v>
      </c>
      <c r="W2478" s="20" t="s">
        <v>122</v>
      </c>
      <c r="X2478" s="17" t="s">
        <v>323</v>
      </c>
      <c r="Y2478" s="17" t="s">
        <v>1070</v>
      </c>
      <c r="Z2478" s="17" t="s">
        <v>1251</v>
      </c>
      <c r="AA2478" s="17" t="s">
        <v>919</v>
      </c>
      <c r="AB2478" s="17" t="s">
        <v>41</v>
      </c>
      <c r="AC2478" s="0" t="str">
        <f aca="false">LEFT(G2478,2)</f>
        <v>75</v>
      </c>
    </row>
    <row r="2479" customFormat="false" ht="15" hidden="false" customHeight="false" outlineLevel="0" collapsed="false">
      <c r="A2479" s="13" t="n">
        <f aca="false">1+A2478</f>
        <v>2477</v>
      </c>
      <c r="B2479" s="14" t="n">
        <v>1009431941</v>
      </c>
      <c r="C2479" s="15" t="s">
        <v>31</v>
      </c>
      <c r="D2479" s="16" t="s">
        <v>64</v>
      </c>
      <c r="E2479" s="17" t="s">
        <v>47</v>
      </c>
      <c r="F2479" s="18" t="s">
        <v>34</v>
      </c>
      <c r="G2479" s="19" t="n">
        <v>752040317238</v>
      </c>
      <c r="H2479" s="17" t="s">
        <v>35</v>
      </c>
      <c r="I2479" s="17" t="s">
        <v>54</v>
      </c>
      <c r="J2479" s="17" t="s">
        <v>121</v>
      </c>
      <c r="K2479" s="17" t="str">
        <f aca="false">VLOOKUP(J2479,Sheet2!A:B,2,0)</f>
        <v>SHANI GOHIL</v>
      </c>
      <c r="L2479" s="17" t="n">
        <v>2</v>
      </c>
      <c r="M2479" s="17" t="str">
        <f aca="false">VLOOKUP(L2479,Sheet2!D:E,2,0)</f>
        <v>Tuner Section</v>
      </c>
      <c r="N2479" s="17" t="n">
        <v>6</v>
      </c>
      <c r="O2479" s="17" t="str">
        <f aca="false">VLOOKUP(N2479,Sheet2!G:H,2,0)</f>
        <v>No Signal</v>
      </c>
      <c r="P2479" s="17" t="n">
        <v>11</v>
      </c>
      <c r="Q2479" s="17" t="str">
        <f aca="false">VLOOKUP(P2479,Sheet2!J:K,2,0)</f>
        <v>IR Declared due to CID -TA</v>
      </c>
      <c r="R2479" s="17" t="s">
        <v>35</v>
      </c>
      <c r="S2479" s="17" t="str">
        <f aca="false">VLOOKUP(R2479,Sheet2!N:O,2,0)</f>
        <v>IREPARABLE</v>
      </c>
      <c r="T2479" s="18" t="str">
        <f aca="false">VLOOKUP(P2479,Sheet2!Q:R,2,0)</f>
        <v>IR Normal - Track burn out</v>
      </c>
      <c r="U2479" s="20" t="s">
        <v>41</v>
      </c>
      <c r="V2479" s="17" t="n">
        <v>2</v>
      </c>
      <c r="W2479" s="20" t="str">
        <f aca="false">VLOOKUP(V2479,Sheet2!Q:R,2,0)</f>
        <v>IR CID -  Water log from other area</v>
      </c>
      <c r="X2479" s="17" t="str">
        <f aca="false">J2479</f>
        <v>A063</v>
      </c>
      <c r="Y2479" s="17" t="str">
        <f aca="false">VLOOKUP(X2479,Sheet2!A:B,2,0)</f>
        <v>SHANI GOHIL</v>
      </c>
      <c r="Z2479" s="17" t="s">
        <v>407</v>
      </c>
      <c r="AA2479" s="17"/>
      <c r="AB2479" s="17" t="s">
        <v>41</v>
      </c>
      <c r="AC2479" s="0" t="str">
        <f aca="false">LEFT(G2479,2)</f>
        <v>75</v>
      </c>
      <c r="AE2479" s="0" t="s">
        <v>1252</v>
      </c>
    </row>
    <row r="2480" customFormat="false" ht="15" hidden="false" customHeight="false" outlineLevel="0" collapsed="false">
      <c r="A2480" s="13" t="n">
        <f aca="false">1+A2479</f>
        <v>2478</v>
      </c>
      <c r="B2480" s="14" t="n">
        <v>1009488039</v>
      </c>
      <c r="C2480" s="15" t="s">
        <v>220</v>
      </c>
      <c r="D2480" s="16" t="s">
        <v>230</v>
      </c>
      <c r="E2480" s="17" t="s">
        <v>91</v>
      </c>
      <c r="F2480" s="18" t="s">
        <v>34</v>
      </c>
      <c r="G2480" s="19" t="n">
        <v>752040305324</v>
      </c>
      <c r="H2480" s="17" t="s">
        <v>35</v>
      </c>
      <c r="I2480" s="17" t="s">
        <v>54</v>
      </c>
      <c r="J2480" s="17" t="s">
        <v>239</v>
      </c>
      <c r="K2480" s="17" t="str">
        <f aca="false">VLOOKUP(J2480,Sheet2!A:B,2,0)</f>
        <v>VASANT PARMAR</v>
      </c>
      <c r="L2480" s="17" t="n">
        <v>5</v>
      </c>
      <c r="M2480" s="17" t="str">
        <f aca="false">VLOOKUP(L2480,Sheet2!D:E,2,0)</f>
        <v>Main Processor CPU BGA</v>
      </c>
      <c r="N2480" s="17" t="n">
        <v>1</v>
      </c>
      <c r="O2480" s="17" t="str">
        <f aca="false">VLOOKUP(N2480,Sheet2!G:H,2,0)</f>
        <v>Dead</v>
      </c>
      <c r="P2480" s="17" t="n">
        <v>11</v>
      </c>
      <c r="Q2480" s="17" t="str">
        <f aca="false">VLOOKUP(P2480,Sheet2!J:K,2,0)</f>
        <v>IR Declared due to CID -TA</v>
      </c>
      <c r="R2480" s="17" t="s">
        <v>35</v>
      </c>
      <c r="S2480" s="17" t="str">
        <f aca="false">VLOOKUP(R2480,Sheet2!N:O,2,0)</f>
        <v>IREPARABLE</v>
      </c>
      <c r="T2480" s="18" t="str">
        <f aca="false">VLOOKUP(P2480,Sheet2!Q:R,2,0)</f>
        <v>IR Normal - Track burn out</v>
      </c>
      <c r="U2480" s="20" t="s">
        <v>41</v>
      </c>
      <c r="V2480" s="17" t="n">
        <v>2</v>
      </c>
      <c r="W2480" s="20" t="str">
        <f aca="false">VLOOKUP(V2480,Sheet2!Q:R,2,0)</f>
        <v>IR CID -  Water log from other area</v>
      </c>
      <c r="X2480" s="17" t="str">
        <f aca="false">J2480</f>
        <v>A005</v>
      </c>
      <c r="Y2480" s="17" t="str">
        <f aca="false">VLOOKUP(X2480,Sheet2!A:B,2,0)</f>
        <v>VASANT PARMAR</v>
      </c>
      <c r="Z2480" s="17" t="s">
        <v>1236</v>
      </c>
      <c r="AA2480" s="17"/>
      <c r="AB2480" s="17" t="s">
        <v>41</v>
      </c>
      <c r="AC2480" s="0" t="str">
        <f aca="false">LEFT(G2480,2)</f>
        <v>75</v>
      </c>
    </row>
    <row r="2481" customFormat="false" ht="15" hidden="false" customHeight="false" outlineLevel="0" collapsed="false">
      <c r="A2481" s="13" t="n">
        <f aca="false">1+A2480</f>
        <v>2479</v>
      </c>
      <c r="B2481" s="14" t="n">
        <v>1009646276</v>
      </c>
      <c r="C2481" s="15" t="s">
        <v>163</v>
      </c>
      <c r="D2481" s="16" t="s">
        <v>64</v>
      </c>
      <c r="E2481" s="17" t="s">
        <v>64</v>
      </c>
      <c r="F2481" s="18" t="s">
        <v>34</v>
      </c>
      <c r="G2481" s="19" t="n">
        <v>742304330878</v>
      </c>
      <c r="H2481" s="17" t="s">
        <v>35</v>
      </c>
      <c r="I2481" s="17" t="s">
        <v>54</v>
      </c>
      <c r="J2481" s="17" t="s">
        <v>121</v>
      </c>
      <c r="K2481" s="17" t="str">
        <f aca="false">VLOOKUP(J2481,Sheet2!A:B,2,0)</f>
        <v>SHANI GOHIL</v>
      </c>
      <c r="L2481" s="17" t="n">
        <v>1</v>
      </c>
      <c r="M2481" s="17" t="str">
        <f aca="false">VLOOKUP(L2481,Sheet2!D:E,2,0)</f>
        <v>Power Supply Section</v>
      </c>
      <c r="N2481" s="17" t="n">
        <v>1</v>
      </c>
      <c r="O2481" s="17" t="str">
        <f aca="false">VLOOKUP(N2481,Sheet2!G:H,2,0)</f>
        <v>Dead</v>
      </c>
      <c r="P2481" s="17" t="n">
        <v>11</v>
      </c>
      <c r="Q2481" s="17" t="str">
        <f aca="false">VLOOKUP(P2481,Sheet2!J:K,2,0)</f>
        <v>IR Declared due to CID -TA</v>
      </c>
      <c r="R2481" s="17" t="s">
        <v>35</v>
      </c>
      <c r="S2481" s="17" t="str">
        <f aca="false">VLOOKUP(R2481,Sheet2!N:O,2,0)</f>
        <v>IREPARABLE</v>
      </c>
      <c r="T2481" s="18" t="str">
        <f aca="false">VLOOKUP(P2481,Sheet2!Q:R,2,0)</f>
        <v>IR Normal - Track burn out</v>
      </c>
      <c r="U2481" s="20" t="s">
        <v>41</v>
      </c>
      <c r="V2481" s="17" t="n">
        <v>4</v>
      </c>
      <c r="W2481" s="20" t="str">
        <f aca="false">VLOOKUP(V2481,Sheet2!Q:R,2,0)</f>
        <v>IR CID - Tampered Track burn out</v>
      </c>
      <c r="X2481" s="17" t="str">
        <f aca="false">J2481</f>
        <v>A063</v>
      </c>
      <c r="Y2481" s="17" t="str">
        <f aca="false">VLOOKUP(X2481,Sheet2!A:B,2,0)</f>
        <v>SHANI GOHIL</v>
      </c>
      <c r="Z2481" s="17" t="s">
        <v>1237</v>
      </c>
      <c r="AA2481" s="17"/>
      <c r="AB2481" s="17" t="s">
        <v>41</v>
      </c>
      <c r="AC2481" s="0" t="str">
        <f aca="false">LEFT(G2481,2)</f>
        <v>74</v>
      </c>
    </row>
    <row r="2482" customFormat="false" ht="15" hidden="false" customHeight="false" outlineLevel="0" collapsed="false">
      <c r="A2482" s="13" t="n">
        <f aca="false">1+A2481</f>
        <v>2480</v>
      </c>
      <c r="B2482" s="14" t="n">
        <v>1009611045</v>
      </c>
      <c r="C2482" s="15" t="s">
        <v>181</v>
      </c>
      <c r="D2482" s="16" t="s">
        <v>64</v>
      </c>
      <c r="E2482" s="17" t="s">
        <v>64</v>
      </c>
      <c r="F2482" s="18" t="s">
        <v>34</v>
      </c>
      <c r="G2482" s="19" t="n">
        <v>742258045290</v>
      </c>
      <c r="H2482" s="17" t="s">
        <v>35</v>
      </c>
      <c r="I2482" s="17" t="s">
        <v>54</v>
      </c>
      <c r="J2482" s="17" t="s">
        <v>239</v>
      </c>
      <c r="K2482" s="17" t="str">
        <f aca="false">VLOOKUP(J2482,Sheet2!A:B,2,0)</f>
        <v>VASANT PARMAR</v>
      </c>
      <c r="L2482" s="17" t="n">
        <v>5</v>
      </c>
      <c r="M2482" s="17" t="str">
        <f aca="false">VLOOKUP(L2482,Sheet2!D:E,2,0)</f>
        <v>Main Processor CPU BGA</v>
      </c>
      <c r="N2482" s="17" t="n">
        <v>1</v>
      </c>
      <c r="O2482" s="17" t="str">
        <f aca="false">VLOOKUP(N2482,Sheet2!G:H,2,0)</f>
        <v>Dead</v>
      </c>
      <c r="P2482" s="17" t="n">
        <v>11</v>
      </c>
      <c r="Q2482" s="17" t="str">
        <f aca="false">VLOOKUP(P2482,Sheet2!J:K,2,0)</f>
        <v>IR Declared due to CID -TA</v>
      </c>
      <c r="R2482" s="17" t="s">
        <v>35</v>
      </c>
      <c r="S2482" s="17" t="str">
        <f aca="false">VLOOKUP(R2482,Sheet2!N:O,2,0)</f>
        <v>IREPARABLE</v>
      </c>
      <c r="T2482" s="18" t="str">
        <f aca="false">VLOOKUP(P2482,Sheet2!Q:R,2,0)</f>
        <v>IR Normal - Track burn out</v>
      </c>
      <c r="U2482" s="20" t="s">
        <v>41</v>
      </c>
      <c r="V2482" s="17" t="n">
        <v>2</v>
      </c>
      <c r="W2482" s="20" t="str">
        <f aca="false">VLOOKUP(V2482,Sheet2!Q:R,2,0)</f>
        <v>IR CID -  Water log from other area</v>
      </c>
      <c r="X2482" s="17" t="str">
        <f aca="false">J2482</f>
        <v>A005</v>
      </c>
      <c r="Y2482" s="17" t="str">
        <f aca="false">VLOOKUP(X2482,Sheet2!A:B,2,0)</f>
        <v>VASANT PARMAR</v>
      </c>
      <c r="Z2482" s="17" t="s">
        <v>1243</v>
      </c>
      <c r="AA2482" s="17"/>
      <c r="AB2482" s="17" t="s">
        <v>41</v>
      </c>
      <c r="AC2482" s="0" t="str">
        <f aca="false">LEFT(G2482,2)</f>
        <v>74</v>
      </c>
    </row>
    <row r="2483" customFormat="false" ht="15" hidden="false" customHeight="false" outlineLevel="0" collapsed="false">
      <c r="A2483" s="13" t="n">
        <f aca="false">1+A2482</f>
        <v>2481</v>
      </c>
      <c r="B2483" s="14" t="n">
        <v>1009611840</v>
      </c>
      <c r="C2483" s="15" t="s">
        <v>181</v>
      </c>
      <c r="D2483" s="16" t="s">
        <v>64</v>
      </c>
      <c r="E2483" s="17" t="s">
        <v>114</v>
      </c>
      <c r="F2483" s="18" t="s">
        <v>34</v>
      </c>
      <c r="G2483" s="19" t="n">
        <v>742262038760</v>
      </c>
      <c r="H2483" s="17" t="s">
        <v>35</v>
      </c>
      <c r="I2483" s="17" t="s">
        <v>54</v>
      </c>
      <c r="J2483" s="17" t="s">
        <v>241</v>
      </c>
      <c r="K2483" s="17" t="str">
        <f aca="false">VLOOKUP(J2483,Sheet2!A:B,2,0)</f>
        <v>NILESH NAGAR</v>
      </c>
      <c r="L2483" s="17" t="n">
        <v>5</v>
      </c>
      <c r="M2483" s="17" t="str">
        <f aca="false">VLOOKUP(L2483,Sheet2!D:E,2,0)</f>
        <v>Main Processor CPU BGA</v>
      </c>
      <c r="N2483" s="17" t="n">
        <v>1</v>
      </c>
      <c r="O2483" s="17" t="str">
        <f aca="false">VLOOKUP(N2483,Sheet2!G:H,2,0)</f>
        <v>Dead</v>
      </c>
      <c r="P2483" s="17" t="n">
        <v>11</v>
      </c>
      <c r="Q2483" s="17" t="str">
        <f aca="false">VLOOKUP(P2483,Sheet2!J:K,2,0)</f>
        <v>IR Declared due to CID -TA</v>
      </c>
      <c r="R2483" s="17" t="s">
        <v>35</v>
      </c>
      <c r="S2483" s="17" t="str">
        <f aca="false">VLOOKUP(R2483,Sheet2!N:O,2,0)</f>
        <v>IREPARABLE</v>
      </c>
      <c r="T2483" s="18" t="str">
        <f aca="false">VLOOKUP(P2483,Sheet2!Q:R,2,0)</f>
        <v>IR Normal - Track burn out</v>
      </c>
      <c r="U2483" s="20" t="s">
        <v>41</v>
      </c>
      <c r="V2483" s="17" t="n">
        <v>2</v>
      </c>
      <c r="W2483" s="20" t="str">
        <f aca="false">VLOOKUP(V2483,Sheet2!Q:R,2,0)</f>
        <v>IR CID -  Water log from other area</v>
      </c>
      <c r="X2483" s="17" t="str">
        <f aca="false">J2483</f>
        <v>A008</v>
      </c>
      <c r="Y2483" s="17" t="str">
        <f aca="false">VLOOKUP(X2483,Sheet2!A:B,2,0)</f>
        <v>NILESH NAGAR</v>
      </c>
      <c r="Z2483" s="17" t="s">
        <v>1058</v>
      </c>
      <c r="AA2483" s="17"/>
      <c r="AB2483" s="17" t="s">
        <v>41</v>
      </c>
      <c r="AC2483" s="0" t="str">
        <f aca="false">LEFT(G2483,2)</f>
        <v>74</v>
      </c>
    </row>
    <row r="2484" customFormat="false" ht="15" hidden="false" customHeight="false" outlineLevel="0" collapsed="false">
      <c r="A2484" s="13" t="n">
        <f aca="false">1+A2483</f>
        <v>2482</v>
      </c>
      <c r="B2484" s="14" t="n">
        <v>1009441939</v>
      </c>
      <c r="C2484" s="15" t="s">
        <v>197</v>
      </c>
      <c r="D2484" s="16" t="s">
        <v>64</v>
      </c>
      <c r="E2484" s="17" t="s">
        <v>64</v>
      </c>
      <c r="F2484" s="18" t="s">
        <v>34</v>
      </c>
      <c r="G2484" s="19" t="n">
        <v>743033808135</v>
      </c>
      <c r="H2484" s="17" t="s">
        <v>35</v>
      </c>
      <c r="I2484" s="17" t="s">
        <v>54</v>
      </c>
      <c r="J2484" s="17" t="s">
        <v>100</v>
      </c>
      <c r="K2484" s="17" t="str">
        <f aca="false">VLOOKUP(J2484,Sheet2!A:B,2,0)</f>
        <v>PIYUSH CHAVDA</v>
      </c>
      <c r="L2484" s="17" t="n">
        <v>1</v>
      </c>
      <c r="M2484" s="17" t="str">
        <f aca="false">VLOOKUP(L2484,Sheet2!D:E,2,0)</f>
        <v>Power Supply Section</v>
      </c>
      <c r="N2484" s="17" t="n">
        <v>1</v>
      </c>
      <c r="O2484" s="17" t="str">
        <f aca="false">VLOOKUP(N2484,Sheet2!G:H,2,0)</f>
        <v>Dead</v>
      </c>
      <c r="P2484" s="17" t="n">
        <v>11</v>
      </c>
      <c r="Q2484" s="17" t="str">
        <f aca="false">VLOOKUP(P2484,Sheet2!J:K,2,0)</f>
        <v>IR Declared due to CID -TA</v>
      </c>
      <c r="R2484" s="17" t="s">
        <v>35</v>
      </c>
      <c r="S2484" s="17" t="str">
        <f aca="false">VLOOKUP(R2484,Sheet2!N:O,2,0)</f>
        <v>IREPARABLE</v>
      </c>
      <c r="T2484" s="18" t="str">
        <f aca="false">VLOOKUP(P2484,Sheet2!Q:R,2,0)</f>
        <v>IR Normal - Track burn out</v>
      </c>
      <c r="U2484" s="20" t="s">
        <v>41</v>
      </c>
      <c r="V2484" s="17" t="n">
        <v>8</v>
      </c>
      <c r="W2484" s="20" t="str">
        <f aca="false">VLOOKUP(V2484,Sheet2!Q:R,2,0)</f>
        <v>IR Normal -TrackRust/InternalDamage/open</v>
      </c>
      <c r="X2484" s="17" t="str">
        <f aca="false">J2484</f>
        <v>A050</v>
      </c>
      <c r="Y2484" s="17" t="str">
        <f aca="false">VLOOKUP(X2484,Sheet2!A:B,2,0)</f>
        <v>PIYUSH CHAVDA</v>
      </c>
      <c r="Z2484" s="17" t="s">
        <v>1058</v>
      </c>
      <c r="AA2484" s="17"/>
      <c r="AB2484" s="17" t="s">
        <v>41</v>
      </c>
      <c r="AC2484" s="0" t="str">
        <f aca="false">LEFT(G2484,2)</f>
        <v>74</v>
      </c>
    </row>
    <row r="2485" customFormat="false" ht="15" hidden="false" customHeight="false" outlineLevel="0" collapsed="false">
      <c r="A2485" s="13" t="n">
        <f aca="false">1+A2484</f>
        <v>2483</v>
      </c>
      <c r="B2485" s="14" t="n">
        <v>1009402810</v>
      </c>
      <c r="C2485" s="15" t="s">
        <v>95</v>
      </c>
      <c r="D2485" s="16" t="s">
        <v>64</v>
      </c>
      <c r="E2485" s="17" t="s">
        <v>64</v>
      </c>
      <c r="F2485" s="18" t="s">
        <v>34</v>
      </c>
      <c r="G2485" s="19" t="n">
        <v>752156020881</v>
      </c>
      <c r="H2485" s="17" t="s">
        <v>35</v>
      </c>
      <c r="I2485" s="17" t="s">
        <v>54</v>
      </c>
      <c r="J2485" s="17" t="s">
        <v>121</v>
      </c>
      <c r="K2485" s="17" t="str">
        <f aca="false">VLOOKUP(J2485,Sheet2!A:B,2,0)</f>
        <v>SHANI GOHIL</v>
      </c>
      <c r="L2485" s="17" t="n">
        <v>2</v>
      </c>
      <c r="M2485" s="17" t="str">
        <f aca="false">VLOOKUP(L2485,Sheet2!D:E,2,0)</f>
        <v>Tuner Section</v>
      </c>
      <c r="N2485" s="17" t="n">
        <v>6</v>
      </c>
      <c r="O2485" s="17" t="str">
        <f aca="false">VLOOKUP(N2485,Sheet2!G:H,2,0)</f>
        <v>No Signal</v>
      </c>
      <c r="P2485" s="17" t="n">
        <v>11</v>
      </c>
      <c r="Q2485" s="17" t="str">
        <f aca="false">VLOOKUP(P2485,Sheet2!J:K,2,0)</f>
        <v>IR Declared due to CID -TA</v>
      </c>
      <c r="R2485" s="17" t="s">
        <v>35</v>
      </c>
      <c r="S2485" s="17" t="str">
        <f aca="false">VLOOKUP(R2485,Sheet2!N:O,2,0)</f>
        <v>IREPARABLE</v>
      </c>
      <c r="T2485" s="18" t="str">
        <f aca="false">VLOOKUP(P2485,Sheet2!Q:R,2,0)</f>
        <v>IR Normal - Track burn out</v>
      </c>
      <c r="U2485" s="20" t="s">
        <v>41</v>
      </c>
      <c r="V2485" s="17" t="n">
        <v>2</v>
      </c>
      <c r="W2485" s="20" t="str">
        <f aca="false">VLOOKUP(V2485,Sheet2!Q:R,2,0)</f>
        <v>IR CID -  Water log from other area</v>
      </c>
      <c r="X2485" s="17" t="str">
        <f aca="false">J2485</f>
        <v>A063</v>
      </c>
      <c r="Y2485" s="17" t="str">
        <f aca="false">VLOOKUP(X2485,Sheet2!A:B,2,0)</f>
        <v>SHANI GOHIL</v>
      </c>
      <c r="Z2485" s="17" t="s">
        <v>1058</v>
      </c>
      <c r="AA2485" s="17"/>
      <c r="AB2485" s="17" t="s">
        <v>41</v>
      </c>
      <c r="AC2485" s="0" t="str">
        <f aca="false">LEFT(G2485,2)</f>
        <v>75</v>
      </c>
    </row>
    <row r="2486" customFormat="false" ht="15" hidden="false" customHeight="false" outlineLevel="0" collapsed="false">
      <c r="A2486" s="13" t="n">
        <f aca="false">1+A2485</f>
        <v>2484</v>
      </c>
      <c r="B2486" s="14" t="n">
        <v>1009514761</v>
      </c>
      <c r="C2486" s="15" t="s">
        <v>93</v>
      </c>
      <c r="D2486" s="16" t="s">
        <v>64</v>
      </c>
      <c r="E2486" s="17" t="s">
        <v>33</v>
      </c>
      <c r="F2486" s="18" t="s">
        <v>34</v>
      </c>
      <c r="G2486" s="19" t="n">
        <v>742328036303</v>
      </c>
      <c r="H2486" s="17" t="s">
        <v>35</v>
      </c>
      <c r="I2486" s="17" t="s">
        <v>54</v>
      </c>
      <c r="J2486" s="17" t="s">
        <v>239</v>
      </c>
      <c r="K2486" s="17" t="str">
        <f aca="false">VLOOKUP(J2486,Sheet2!A:B,2,0)</f>
        <v>VASANT PARMAR</v>
      </c>
      <c r="L2486" s="17" t="n">
        <v>5</v>
      </c>
      <c r="M2486" s="17" t="str">
        <f aca="false">VLOOKUP(L2486,Sheet2!D:E,2,0)</f>
        <v>Main Processor CPU BGA</v>
      </c>
      <c r="N2486" s="17" t="n">
        <v>1</v>
      </c>
      <c r="O2486" s="17" t="str">
        <f aca="false">VLOOKUP(N2486,Sheet2!G:H,2,0)</f>
        <v>Dead</v>
      </c>
      <c r="P2486" s="17" t="n">
        <v>11</v>
      </c>
      <c r="Q2486" s="17" t="str">
        <f aca="false">VLOOKUP(P2486,Sheet2!J:K,2,0)</f>
        <v>IR Declared due to CID -TA</v>
      </c>
      <c r="R2486" s="17" t="s">
        <v>35</v>
      </c>
      <c r="S2486" s="17" t="str">
        <f aca="false">VLOOKUP(R2486,Sheet2!N:O,2,0)</f>
        <v>IREPARABLE</v>
      </c>
      <c r="T2486" s="18" t="str">
        <f aca="false">VLOOKUP(P2486,Sheet2!Q:R,2,0)</f>
        <v>IR Normal - Track burn out</v>
      </c>
      <c r="U2486" s="20" t="s">
        <v>41</v>
      </c>
      <c r="V2486" s="17" t="n">
        <v>2</v>
      </c>
      <c r="W2486" s="20" t="str">
        <f aca="false">VLOOKUP(V2486,Sheet2!Q:R,2,0)</f>
        <v>IR CID -  Water log from other area</v>
      </c>
      <c r="X2486" s="17" t="str">
        <f aca="false">J2486</f>
        <v>A005</v>
      </c>
      <c r="Y2486" s="17" t="str">
        <f aca="false">VLOOKUP(X2486,Sheet2!A:B,2,0)</f>
        <v>VASANT PARMAR</v>
      </c>
      <c r="Z2486" s="17" t="s">
        <v>1058</v>
      </c>
      <c r="AA2486" s="17"/>
      <c r="AB2486" s="17" t="s">
        <v>41</v>
      </c>
      <c r="AC2486" s="0" t="str">
        <f aca="false">LEFT(G2486,2)</f>
        <v>74</v>
      </c>
    </row>
    <row r="2487" customFormat="false" ht="15" hidden="false" customHeight="false" outlineLevel="0" collapsed="false">
      <c r="A2487" s="13" t="n">
        <f aca="false">1+A2486</f>
        <v>2485</v>
      </c>
      <c r="B2487" s="14" t="n">
        <v>1009462513</v>
      </c>
      <c r="C2487" s="15" t="s">
        <v>93</v>
      </c>
      <c r="D2487" s="16" t="s">
        <v>64</v>
      </c>
      <c r="E2487" s="17" t="s">
        <v>47</v>
      </c>
      <c r="F2487" s="18" t="s">
        <v>34</v>
      </c>
      <c r="G2487" s="19" t="n">
        <v>742306037141</v>
      </c>
      <c r="H2487" s="17" t="s">
        <v>35</v>
      </c>
      <c r="I2487" s="17" t="s">
        <v>54</v>
      </c>
      <c r="J2487" s="17" t="s">
        <v>121</v>
      </c>
      <c r="K2487" s="17" t="str">
        <f aca="false">VLOOKUP(J2487,Sheet2!A:B,2,0)</f>
        <v>SHANI GOHIL</v>
      </c>
      <c r="L2487" s="17" t="n">
        <v>5</v>
      </c>
      <c r="M2487" s="17" t="str">
        <f aca="false">VLOOKUP(L2487,Sheet2!D:E,2,0)</f>
        <v>Main Processor CPU BGA</v>
      </c>
      <c r="N2487" s="17" t="n">
        <v>1</v>
      </c>
      <c r="O2487" s="17" t="str">
        <f aca="false">VLOOKUP(N2487,Sheet2!G:H,2,0)</f>
        <v>Dead</v>
      </c>
      <c r="P2487" s="17" t="n">
        <v>11</v>
      </c>
      <c r="Q2487" s="17" t="str">
        <f aca="false">VLOOKUP(P2487,Sheet2!J:K,2,0)</f>
        <v>IR Declared due to CID -TA</v>
      </c>
      <c r="R2487" s="17" t="s">
        <v>35</v>
      </c>
      <c r="S2487" s="17" t="str">
        <f aca="false">VLOOKUP(R2487,Sheet2!N:O,2,0)</f>
        <v>IREPARABLE</v>
      </c>
      <c r="T2487" s="18" t="str">
        <f aca="false">VLOOKUP(P2487,Sheet2!Q:R,2,0)</f>
        <v>IR Normal - Track burn out</v>
      </c>
      <c r="U2487" s="20" t="s">
        <v>41</v>
      </c>
      <c r="V2487" s="17" t="n">
        <v>8</v>
      </c>
      <c r="W2487" s="20" t="str">
        <f aca="false">VLOOKUP(V2487,Sheet2!Q:R,2,0)</f>
        <v>IR Normal -TrackRust/InternalDamage/open</v>
      </c>
      <c r="X2487" s="17" t="str">
        <f aca="false">J2487</f>
        <v>A063</v>
      </c>
      <c r="Y2487" s="17" t="str">
        <f aca="false">VLOOKUP(X2487,Sheet2!A:B,2,0)</f>
        <v>SHANI GOHIL</v>
      </c>
      <c r="Z2487" s="17" t="s">
        <v>1253</v>
      </c>
      <c r="AA2487" s="17"/>
      <c r="AB2487" s="17" t="s">
        <v>41</v>
      </c>
      <c r="AC2487" s="0" t="str">
        <f aca="false">LEFT(G2487,2)</f>
        <v>74</v>
      </c>
    </row>
    <row r="2488" customFormat="false" ht="15" hidden="false" customHeight="false" outlineLevel="0" collapsed="false">
      <c r="A2488" s="13" t="n">
        <f aca="false">1+A2487</f>
        <v>2486</v>
      </c>
      <c r="B2488" s="14" t="n">
        <v>1009446986</v>
      </c>
      <c r="C2488" s="15" t="s">
        <v>189</v>
      </c>
      <c r="D2488" s="16" t="s">
        <v>64</v>
      </c>
      <c r="E2488" s="17" t="s">
        <v>114</v>
      </c>
      <c r="F2488" s="18" t="s">
        <v>34</v>
      </c>
      <c r="G2488" s="19" t="n">
        <v>743028435571</v>
      </c>
      <c r="H2488" s="17" t="s">
        <v>35</v>
      </c>
      <c r="I2488" s="17" t="s">
        <v>54</v>
      </c>
      <c r="J2488" s="17" t="s">
        <v>121</v>
      </c>
      <c r="K2488" s="17" t="str">
        <f aca="false">VLOOKUP(J2488,Sheet2!A:B,2,0)</f>
        <v>SHANI GOHIL</v>
      </c>
      <c r="L2488" s="17" t="n">
        <v>2</v>
      </c>
      <c r="M2488" s="17" t="str">
        <f aca="false">VLOOKUP(L2488,Sheet2!D:E,2,0)</f>
        <v>Tuner Section</v>
      </c>
      <c r="N2488" s="17" t="n">
        <v>6</v>
      </c>
      <c r="O2488" s="17" t="str">
        <f aca="false">VLOOKUP(N2488,Sheet2!G:H,2,0)</f>
        <v>No Signal</v>
      </c>
      <c r="P2488" s="17" t="n">
        <v>11</v>
      </c>
      <c r="Q2488" s="17" t="str">
        <f aca="false">VLOOKUP(P2488,Sheet2!J:K,2,0)</f>
        <v>IR Declared due to CID -TA</v>
      </c>
      <c r="R2488" s="17" t="s">
        <v>35</v>
      </c>
      <c r="S2488" s="17" t="str">
        <f aca="false">VLOOKUP(R2488,Sheet2!N:O,2,0)</f>
        <v>IREPARABLE</v>
      </c>
      <c r="T2488" s="18" t="str">
        <f aca="false">VLOOKUP(P2488,Sheet2!Q:R,2,0)</f>
        <v>IR Normal - Track burn out</v>
      </c>
      <c r="U2488" s="20" t="s">
        <v>41</v>
      </c>
      <c r="V2488" s="17" t="n">
        <v>2</v>
      </c>
      <c r="W2488" s="20" t="str">
        <f aca="false">VLOOKUP(V2488,Sheet2!Q:R,2,0)</f>
        <v>IR CID -  Water log from other area</v>
      </c>
      <c r="X2488" s="17" t="str">
        <f aca="false">J2488</f>
        <v>A063</v>
      </c>
      <c r="Y2488" s="17" t="str">
        <f aca="false">VLOOKUP(X2488,Sheet2!A:B,2,0)</f>
        <v>SHANI GOHIL</v>
      </c>
      <c r="Z2488" s="17" t="s">
        <v>409</v>
      </c>
      <c r="AA2488" s="17"/>
      <c r="AB2488" s="17" t="s">
        <v>41</v>
      </c>
      <c r="AC2488" s="0" t="str">
        <f aca="false">LEFT(G2488,2)</f>
        <v>74</v>
      </c>
    </row>
    <row r="2489" customFormat="false" ht="15" hidden="false" customHeight="false" outlineLevel="0" collapsed="false">
      <c r="A2489" s="13" t="n">
        <f aca="false">1+A2488</f>
        <v>2487</v>
      </c>
      <c r="B2489" s="14" t="n">
        <v>1009447234</v>
      </c>
      <c r="C2489" s="15" t="s">
        <v>189</v>
      </c>
      <c r="D2489" s="16" t="s">
        <v>64</v>
      </c>
      <c r="E2489" s="17" t="s">
        <v>47</v>
      </c>
      <c r="F2489" s="18" t="s">
        <v>34</v>
      </c>
      <c r="G2489" s="19" t="n">
        <v>752062106808</v>
      </c>
      <c r="H2489" s="17" t="s">
        <v>35</v>
      </c>
      <c r="I2489" s="17" t="s">
        <v>54</v>
      </c>
      <c r="J2489" s="17" t="s">
        <v>100</v>
      </c>
      <c r="K2489" s="17" t="str">
        <f aca="false">VLOOKUP(J2489,Sheet2!A:B,2,0)</f>
        <v>PIYUSH CHAVDA</v>
      </c>
      <c r="L2489" s="17" t="n">
        <v>1</v>
      </c>
      <c r="M2489" s="17" t="str">
        <f aca="false">VLOOKUP(L2489,Sheet2!D:E,2,0)</f>
        <v>Power Supply Section</v>
      </c>
      <c r="N2489" s="17" t="n">
        <v>1</v>
      </c>
      <c r="O2489" s="17" t="str">
        <f aca="false">VLOOKUP(N2489,Sheet2!G:H,2,0)</f>
        <v>Dead</v>
      </c>
      <c r="P2489" s="17" t="n">
        <v>11</v>
      </c>
      <c r="Q2489" s="17" t="str">
        <f aca="false">VLOOKUP(P2489,Sheet2!J:K,2,0)</f>
        <v>IR Declared due to CID -TA</v>
      </c>
      <c r="R2489" s="17" t="s">
        <v>35</v>
      </c>
      <c r="S2489" s="17" t="str">
        <f aca="false">VLOOKUP(R2489,Sheet2!N:O,2,0)</f>
        <v>IREPARABLE</v>
      </c>
      <c r="T2489" s="18" t="str">
        <f aca="false">VLOOKUP(P2489,Sheet2!Q:R,2,0)</f>
        <v>IR Normal - Track burn out</v>
      </c>
      <c r="U2489" s="20" t="s">
        <v>41</v>
      </c>
      <c r="V2489" s="17" t="n">
        <v>2</v>
      </c>
      <c r="W2489" s="20" t="str">
        <f aca="false">VLOOKUP(V2489,Sheet2!Q:R,2,0)</f>
        <v>IR CID -  Water log from other area</v>
      </c>
      <c r="X2489" s="17" t="str">
        <f aca="false">J2489</f>
        <v>A050</v>
      </c>
      <c r="Y2489" s="17" t="str">
        <f aca="false">VLOOKUP(X2489,Sheet2!A:B,2,0)</f>
        <v>PIYUSH CHAVDA</v>
      </c>
      <c r="Z2489" s="17" t="s">
        <v>407</v>
      </c>
      <c r="AA2489" s="17"/>
      <c r="AB2489" s="17" t="s">
        <v>41</v>
      </c>
      <c r="AC2489" s="0" t="str">
        <f aca="false">LEFT(G2489,2)</f>
        <v>75</v>
      </c>
    </row>
    <row r="2490" customFormat="false" ht="15" hidden="false" customHeight="false" outlineLevel="0" collapsed="false">
      <c r="A2490" s="13" t="n">
        <f aca="false">1+A2489</f>
        <v>2488</v>
      </c>
      <c r="B2490" s="14" t="n">
        <v>1009531853</v>
      </c>
      <c r="C2490" s="15" t="s">
        <v>174</v>
      </c>
      <c r="D2490" s="16" t="s">
        <v>78</v>
      </c>
      <c r="E2490" s="17" t="s">
        <v>47</v>
      </c>
      <c r="F2490" s="18" t="s">
        <v>34</v>
      </c>
      <c r="G2490" s="19" t="n">
        <v>752188805200</v>
      </c>
      <c r="H2490" s="17" t="s">
        <v>35</v>
      </c>
      <c r="I2490" s="17" t="s">
        <v>54</v>
      </c>
      <c r="J2490" s="17" t="s">
        <v>267</v>
      </c>
      <c r="K2490" s="17" t="str">
        <f aca="false">VLOOKUP(J2490,Sheet2!A:B,2,0)</f>
        <v>HARIRAM GUPTA</v>
      </c>
      <c r="L2490" s="17" t="n">
        <v>1</v>
      </c>
      <c r="M2490" s="17" t="str">
        <f aca="false">VLOOKUP(L2490,Sheet2!D:E,2,0)</f>
        <v>Power Supply Section</v>
      </c>
      <c r="N2490" s="17" t="n">
        <v>1</v>
      </c>
      <c r="O2490" s="17" t="str">
        <f aca="false">VLOOKUP(N2490,Sheet2!G:H,2,0)</f>
        <v>Dead</v>
      </c>
      <c r="P2490" s="17" t="n">
        <v>11</v>
      </c>
      <c r="Q2490" s="17" t="str">
        <f aca="false">VLOOKUP(P2490,Sheet2!J:K,2,0)</f>
        <v>IR Declared due to CID -TA</v>
      </c>
      <c r="R2490" s="17" t="s">
        <v>35</v>
      </c>
      <c r="S2490" s="17" t="str">
        <f aca="false">VLOOKUP(R2490,Sheet2!N:O,2,0)</f>
        <v>IREPARABLE</v>
      </c>
      <c r="T2490" s="18" t="str">
        <f aca="false">VLOOKUP(P2490,Sheet2!Q:R,2,0)</f>
        <v>IR Normal - Track burn out</v>
      </c>
      <c r="U2490" s="20" t="s">
        <v>41</v>
      </c>
      <c r="V2490" s="17" t="n">
        <v>2</v>
      </c>
      <c r="W2490" s="20" t="str">
        <f aca="false">VLOOKUP(V2490,Sheet2!Q:R,2,0)</f>
        <v>IR CID -  Water log from other area</v>
      </c>
      <c r="X2490" s="17" t="str">
        <f aca="false">J2490</f>
        <v>A007</v>
      </c>
      <c r="Y2490" s="17" t="str">
        <f aca="false">VLOOKUP(X2490,Sheet2!A:B,2,0)</f>
        <v>HARIRAM GUPTA</v>
      </c>
      <c r="Z2490" s="17" t="s">
        <v>150</v>
      </c>
      <c r="AA2490" s="17"/>
      <c r="AB2490" s="17" t="s">
        <v>41</v>
      </c>
      <c r="AC2490" s="0" t="str">
        <f aca="false">LEFT(G2490,2)</f>
        <v>75</v>
      </c>
    </row>
    <row r="2491" customFormat="false" ht="15" hidden="false" customHeight="false" outlineLevel="0" collapsed="false">
      <c r="A2491" s="13" t="n">
        <f aca="false">1+A2490</f>
        <v>2489</v>
      </c>
      <c r="B2491" s="14" t="n">
        <v>1009502707</v>
      </c>
      <c r="C2491" s="15" t="s">
        <v>104</v>
      </c>
      <c r="D2491" s="16" t="s">
        <v>64</v>
      </c>
      <c r="E2491" s="17" t="s">
        <v>64</v>
      </c>
      <c r="F2491" s="18" t="s">
        <v>34</v>
      </c>
      <c r="G2491" s="19" t="n">
        <v>743099703733</v>
      </c>
      <c r="H2491" s="17" t="s">
        <v>35</v>
      </c>
      <c r="I2491" s="17" t="s">
        <v>54</v>
      </c>
      <c r="J2491" s="17" t="s">
        <v>121</v>
      </c>
      <c r="K2491" s="17" t="str">
        <f aca="false">VLOOKUP(J2491,Sheet2!A:B,2,0)</f>
        <v>SHANI GOHIL</v>
      </c>
      <c r="L2491" s="17" t="n">
        <v>1</v>
      </c>
      <c r="M2491" s="17" t="str">
        <f aca="false">VLOOKUP(L2491,Sheet2!D:E,2,0)</f>
        <v>Power Supply Section</v>
      </c>
      <c r="N2491" s="17" t="n">
        <v>1</v>
      </c>
      <c r="O2491" s="17" t="str">
        <f aca="false">VLOOKUP(N2491,Sheet2!G:H,2,0)</f>
        <v>Dead</v>
      </c>
      <c r="P2491" s="17" t="n">
        <v>11</v>
      </c>
      <c r="Q2491" s="17" t="str">
        <f aca="false">VLOOKUP(P2491,Sheet2!J:K,2,0)</f>
        <v>IR Declared due to CID -TA</v>
      </c>
      <c r="R2491" s="17" t="s">
        <v>35</v>
      </c>
      <c r="S2491" s="17" t="str">
        <f aca="false">VLOOKUP(R2491,Sheet2!N:O,2,0)</f>
        <v>IREPARABLE</v>
      </c>
      <c r="T2491" s="18" t="str">
        <f aca="false">VLOOKUP(P2491,Sheet2!Q:R,2,0)</f>
        <v>IR Normal - Track burn out</v>
      </c>
      <c r="U2491" s="20" t="s">
        <v>41</v>
      </c>
      <c r="V2491" s="17" t="n">
        <v>2</v>
      </c>
      <c r="W2491" s="20" t="str">
        <f aca="false">VLOOKUP(V2491,Sheet2!Q:R,2,0)</f>
        <v>IR CID -  Water log from other area</v>
      </c>
      <c r="X2491" s="17" t="str">
        <f aca="false">J2491</f>
        <v>A063</v>
      </c>
      <c r="Y2491" s="17" t="str">
        <f aca="false">VLOOKUP(X2491,Sheet2!A:B,2,0)</f>
        <v>SHANI GOHIL</v>
      </c>
      <c r="Z2491" s="17" t="s">
        <v>1254</v>
      </c>
      <c r="AA2491" s="17"/>
      <c r="AB2491" s="17" t="s">
        <v>41</v>
      </c>
      <c r="AC2491" s="0" t="str">
        <f aca="false">LEFT(G2491,2)</f>
        <v>74</v>
      </c>
    </row>
    <row r="2492" customFormat="false" ht="15" hidden="false" customHeight="false" outlineLevel="0" collapsed="false">
      <c r="A2492" s="13" t="n">
        <f aca="false">1+A2491</f>
        <v>2490</v>
      </c>
      <c r="B2492" s="14" t="n">
        <v>1009441936</v>
      </c>
      <c r="C2492" s="15" t="s">
        <v>197</v>
      </c>
      <c r="D2492" s="16" t="s">
        <v>78</v>
      </c>
      <c r="E2492" s="17" t="s">
        <v>47</v>
      </c>
      <c r="F2492" s="18" t="s">
        <v>34</v>
      </c>
      <c r="G2492" s="19" t="n">
        <v>752167000047</v>
      </c>
      <c r="H2492" s="17" t="s">
        <v>35</v>
      </c>
      <c r="I2492" s="17" t="s">
        <v>54</v>
      </c>
      <c r="J2492" s="17" t="s">
        <v>121</v>
      </c>
      <c r="K2492" s="17" t="str">
        <f aca="false">VLOOKUP(J2492,Sheet2!A:B,2,0)</f>
        <v>SHANI GOHIL</v>
      </c>
      <c r="L2492" s="17" t="n">
        <v>2</v>
      </c>
      <c r="M2492" s="17" t="str">
        <f aca="false">VLOOKUP(L2492,Sheet2!D:E,2,0)</f>
        <v>Tuner Section</v>
      </c>
      <c r="N2492" s="17" t="n">
        <v>6</v>
      </c>
      <c r="O2492" s="17" t="str">
        <f aca="false">VLOOKUP(N2492,Sheet2!G:H,2,0)</f>
        <v>No Signal</v>
      </c>
      <c r="P2492" s="17" t="n">
        <v>11</v>
      </c>
      <c r="Q2492" s="17" t="str">
        <f aca="false">VLOOKUP(P2492,Sheet2!J:K,2,0)</f>
        <v>IR Declared due to CID -TA</v>
      </c>
      <c r="R2492" s="17" t="s">
        <v>35</v>
      </c>
      <c r="S2492" s="17" t="str">
        <f aca="false">VLOOKUP(R2492,Sheet2!N:O,2,0)</f>
        <v>IREPARABLE</v>
      </c>
      <c r="T2492" s="18" t="str">
        <f aca="false">VLOOKUP(P2492,Sheet2!Q:R,2,0)</f>
        <v>IR Normal - Track burn out</v>
      </c>
      <c r="U2492" s="20" t="s">
        <v>41</v>
      </c>
      <c r="V2492" s="17" t="n">
        <v>2</v>
      </c>
      <c r="W2492" s="20" t="str">
        <f aca="false">VLOOKUP(V2492,Sheet2!Q:R,2,0)</f>
        <v>IR CID -  Water log from other area</v>
      </c>
      <c r="X2492" s="17" t="str">
        <f aca="false">J2492</f>
        <v>A063</v>
      </c>
      <c r="Y2492" s="17" t="str">
        <f aca="false">VLOOKUP(X2492,Sheet2!A:B,2,0)</f>
        <v>SHANI GOHIL</v>
      </c>
      <c r="Z2492" s="17" t="s">
        <v>409</v>
      </c>
      <c r="AA2492" s="17"/>
      <c r="AB2492" s="17" t="s">
        <v>41</v>
      </c>
      <c r="AC2492" s="0" t="str">
        <f aca="false">LEFT(G2492,2)</f>
        <v>75</v>
      </c>
    </row>
    <row r="2493" customFormat="false" ht="15" hidden="false" customHeight="false" outlineLevel="0" collapsed="false">
      <c r="A2493" s="13" t="n">
        <f aca="false">1+A2492</f>
        <v>2491</v>
      </c>
      <c r="B2493" s="14" t="n">
        <v>1009645698</v>
      </c>
      <c r="C2493" s="15" t="s">
        <v>204</v>
      </c>
      <c r="D2493" s="16" t="s">
        <v>64</v>
      </c>
      <c r="E2493" s="17" t="s">
        <v>64</v>
      </c>
      <c r="F2493" s="18" t="s">
        <v>34</v>
      </c>
      <c r="G2493" s="19" t="n">
        <v>865275149686</v>
      </c>
      <c r="H2493" s="17" t="s">
        <v>35</v>
      </c>
      <c r="I2493" s="17" t="s">
        <v>72</v>
      </c>
      <c r="J2493" s="17" t="s">
        <v>241</v>
      </c>
      <c r="K2493" s="17" t="str">
        <f aca="false">VLOOKUP(J2493,Sheet2!A:B,2,0)</f>
        <v>NILESH NAGAR</v>
      </c>
      <c r="L2493" s="17" t="n">
        <v>5</v>
      </c>
      <c r="M2493" s="17" t="str">
        <f aca="false">VLOOKUP(L2493,Sheet2!D:E,2,0)</f>
        <v>Main Processor CPU BGA</v>
      </c>
      <c r="N2493" s="17" t="n">
        <v>1</v>
      </c>
      <c r="O2493" s="17" t="str">
        <f aca="false">VLOOKUP(N2493,Sheet2!G:H,2,0)</f>
        <v>Dead</v>
      </c>
      <c r="P2493" s="17" t="n">
        <v>12</v>
      </c>
      <c r="Q2493" s="17" t="str">
        <f aca="false">VLOOKUP(P2493,Sheet2!J:K,2,0)</f>
        <v>IR Declared due to Others ( IR Normal)TB</v>
      </c>
      <c r="R2493" s="17" t="s">
        <v>35</v>
      </c>
      <c r="S2493" s="17" t="str">
        <f aca="false">VLOOKUP(R2493,Sheet2!N:O,2,0)</f>
        <v>IREPARABLE</v>
      </c>
      <c r="T2493" s="18" t="str">
        <f aca="false">VLOOKUP(P2493,Sheet2!Q:R,2,0)</f>
        <v>IR Normal - BER to IR</v>
      </c>
      <c r="U2493" s="20" t="s">
        <v>41</v>
      </c>
      <c r="V2493" s="17" t="n">
        <v>9</v>
      </c>
      <c r="W2493" s="20" t="str">
        <f aca="false">VLOOKUP(V2493,Sheet2!Q:R,2,0)</f>
        <v>IR Normal - Multiple time repair </v>
      </c>
      <c r="X2493" s="17" t="str">
        <f aca="false">J2493</f>
        <v>A008</v>
      </c>
      <c r="Y2493" s="17" t="str">
        <f aca="false">VLOOKUP(X2493,Sheet2!A:B,2,0)</f>
        <v>NILESH NAGAR</v>
      </c>
      <c r="Z2493" s="17" t="s">
        <v>41</v>
      </c>
      <c r="AA2493" s="17"/>
      <c r="AB2493" s="17" t="s">
        <v>41</v>
      </c>
      <c r="AC2493" s="0" t="str">
        <f aca="false">LEFT(G2493,2)</f>
        <v>86</v>
      </c>
    </row>
    <row r="2494" customFormat="false" ht="15" hidden="false" customHeight="false" outlineLevel="0" collapsed="false">
      <c r="A2494" s="13" t="n">
        <f aca="false">1+A2493</f>
        <v>2492</v>
      </c>
      <c r="B2494" s="14" t="n">
        <v>1009603974</v>
      </c>
      <c r="C2494" s="15" t="s">
        <v>146</v>
      </c>
      <c r="D2494" s="16" t="s">
        <v>52</v>
      </c>
      <c r="E2494" s="17" t="s">
        <v>114</v>
      </c>
      <c r="F2494" s="18" t="s">
        <v>34</v>
      </c>
      <c r="G2494" s="19" t="n">
        <v>743029712291</v>
      </c>
      <c r="H2494" s="17" t="s">
        <v>35</v>
      </c>
      <c r="I2494" s="17" t="s">
        <v>54</v>
      </c>
      <c r="J2494" s="17" t="s">
        <v>267</v>
      </c>
      <c r="K2494" s="17" t="str">
        <f aca="false">VLOOKUP(J2494,Sheet2!A:B,2,0)</f>
        <v>HARIRAM GUPTA</v>
      </c>
      <c r="L2494" s="17" t="n">
        <v>5</v>
      </c>
      <c r="M2494" s="17" t="str">
        <f aca="false">VLOOKUP(L2494,Sheet2!D:E,2,0)</f>
        <v>Main Processor CPU BGA</v>
      </c>
      <c r="N2494" s="17" t="n">
        <v>24</v>
      </c>
      <c r="O2494" s="17" t="str">
        <f aca="false">VLOOKUP(N2494,Sheet2!G:H,2,0)</f>
        <v>STB Auto moving -Stand by mode</v>
      </c>
      <c r="P2494" s="17" t="n">
        <v>11</v>
      </c>
      <c r="Q2494" s="17" t="str">
        <f aca="false">VLOOKUP(P2494,Sheet2!J:K,2,0)</f>
        <v>IR Declared due to CID -TA</v>
      </c>
      <c r="R2494" s="17" t="s">
        <v>35</v>
      </c>
      <c r="S2494" s="17" t="str">
        <f aca="false">VLOOKUP(R2494,Sheet2!N:O,2,0)</f>
        <v>IREPARABLE</v>
      </c>
      <c r="T2494" s="18" t="str">
        <f aca="false">VLOOKUP(P2494,Sheet2!Q:R,2,0)</f>
        <v>IR Normal - Track burn out</v>
      </c>
      <c r="U2494" s="20" t="s">
        <v>41</v>
      </c>
      <c r="V2494" s="17" t="n">
        <v>2</v>
      </c>
      <c r="W2494" s="20" t="str">
        <f aca="false">VLOOKUP(V2494,Sheet2!Q:R,2,0)</f>
        <v>IR CID -  Water log from other area</v>
      </c>
      <c r="X2494" s="17" t="str">
        <f aca="false">J2494</f>
        <v>A007</v>
      </c>
      <c r="Y2494" s="17" t="str">
        <f aca="false">VLOOKUP(X2494,Sheet2!A:B,2,0)</f>
        <v>HARIRAM GUPTA</v>
      </c>
      <c r="Z2494" s="17" t="s">
        <v>1234</v>
      </c>
      <c r="AA2494" s="17"/>
      <c r="AB2494" s="17" t="s">
        <v>41</v>
      </c>
      <c r="AC2494" s="0" t="str">
        <f aca="false">LEFT(G2494,2)</f>
        <v>74</v>
      </c>
    </row>
    <row r="2495" customFormat="false" ht="15" hidden="false" customHeight="false" outlineLevel="0" collapsed="false">
      <c r="A2495" s="13" t="n">
        <f aca="false">1+A2494</f>
        <v>2493</v>
      </c>
      <c r="B2495" s="14" t="n">
        <v>1009450318</v>
      </c>
      <c r="C2495" s="15" t="s">
        <v>268</v>
      </c>
      <c r="D2495" s="16" t="s">
        <v>342</v>
      </c>
      <c r="E2495" s="17" t="s">
        <v>47</v>
      </c>
      <c r="F2495" s="18" t="s">
        <v>34</v>
      </c>
      <c r="G2495" s="19" t="n">
        <v>752124614799</v>
      </c>
      <c r="H2495" s="17" t="s">
        <v>35</v>
      </c>
      <c r="I2495" s="17" t="s">
        <v>54</v>
      </c>
      <c r="J2495" s="17" t="s">
        <v>121</v>
      </c>
      <c r="K2495" s="17" t="str">
        <f aca="false">VLOOKUP(J2495,Sheet2!A:B,2,0)</f>
        <v>SHANI GOHIL</v>
      </c>
      <c r="L2495" s="17" t="n">
        <v>1</v>
      </c>
      <c r="M2495" s="17" t="str">
        <f aca="false">VLOOKUP(L2495,Sheet2!D:E,2,0)</f>
        <v>Power Supply Section</v>
      </c>
      <c r="N2495" s="17" t="n">
        <v>1</v>
      </c>
      <c r="O2495" s="17" t="str">
        <f aca="false">VLOOKUP(N2495,Sheet2!G:H,2,0)</f>
        <v>Dead</v>
      </c>
      <c r="P2495" s="17" t="n">
        <v>11</v>
      </c>
      <c r="Q2495" s="17" t="str">
        <f aca="false">VLOOKUP(P2495,Sheet2!J:K,2,0)</f>
        <v>IR Declared due to CID -TA</v>
      </c>
      <c r="R2495" s="17" t="s">
        <v>35</v>
      </c>
      <c r="S2495" s="17" t="str">
        <f aca="false">VLOOKUP(R2495,Sheet2!N:O,2,0)</f>
        <v>IREPARABLE</v>
      </c>
      <c r="T2495" s="18" t="str">
        <f aca="false">VLOOKUP(P2495,Sheet2!Q:R,2,0)</f>
        <v>IR Normal - Track burn out</v>
      </c>
      <c r="U2495" s="20" t="s">
        <v>41</v>
      </c>
      <c r="V2495" s="17" t="n">
        <v>2</v>
      </c>
      <c r="W2495" s="20" t="str">
        <f aca="false">VLOOKUP(V2495,Sheet2!Q:R,2,0)</f>
        <v>IR CID -  Water log from other area</v>
      </c>
      <c r="X2495" s="17" t="str">
        <f aca="false">J2495</f>
        <v>A063</v>
      </c>
      <c r="Y2495" s="17" t="str">
        <f aca="false">VLOOKUP(X2495,Sheet2!A:B,2,0)</f>
        <v>SHANI GOHIL</v>
      </c>
      <c r="Z2495" s="17" t="s">
        <v>1255</v>
      </c>
      <c r="AA2495" s="17"/>
      <c r="AB2495" s="17" t="s">
        <v>41</v>
      </c>
      <c r="AC2495" s="0" t="str">
        <f aca="false">LEFT(G2495,2)</f>
        <v>75</v>
      </c>
    </row>
    <row r="2496" customFormat="false" ht="15" hidden="false" customHeight="false" outlineLevel="0" collapsed="false">
      <c r="A2496" s="13" t="n">
        <f aca="false">1+A2495</f>
        <v>2494</v>
      </c>
      <c r="B2496" s="14" t="n">
        <v>1009558640</v>
      </c>
      <c r="C2496" s="15" t="s">
        <v>192</v>
      </c>
      <c r="D2496" s="16" t="s">
        <v>64</v>
      </c>
      <c r="E2496" s="17" t="s">
        <v>64</v>
      </c>
      <c r="F2496" s="18" t="s">
        <v>34</v>
      </c>
      <c r="G2496" s="19" t="n">
        <v>752038728156</v>
      </c>
      <c r="H2496" s="17" t="s">
        <v>35</v>
      </c>
      <c r="I2496" s="17" t="s">
        <v>54</v>
      </c>
      <c r="J2496" s="17" t="s">
        <v>100</v>
      </c>
      <c r="K2496" s="17" t="str">
        <f aca="false">VLOOKUP(J2496,Sheet2!A:B,2,0)</f>
        <v>PIYUSH CHAVDA</v>
      </c>
      <c r="L2496" s="17" t="n">
        <v>1</v>
      </c>
      <c r="M2496" s="17" t="str">
        <f aca="false">VLOOKUP(L2496,Sheet2!D:E,2,0)</f>
        <v>Power Supply Section</v>
      </c>
      <c r="N2496" s="17" t="n">
        <v>1</v>
      </c>
      <c r="O2496" s="17" t="str">
        <f aca="false">VLOOKUP(N2496,Sheet2!G:H,2,0)</f>
        <v>Dead</v>
      </c>
      <c r="P2496" s="17" t="n">
        <v>11</v>
      </c>
      <c r="Q2496" s="17" t="str">
        <f aca="false">VLOOKUP(P2496,Sheet2!J:K,2,0)</f>
        <v>IR Declared due to CID -TA</v>
      </c>
      <c r="R2496" s="17" t="s">
        <v>35</v>
      </c>
      <c r="S2496" s="17" t="str">
        <f aca="false">VLOOKUP(R2496,Sheet2!N:O,2,0)</f>
        <v>IREPARABLE</v>
      </c>
      <c r="T2496" s="18" t="str">
        <f aca="false">VLOOKUP(P2496,Sheet2!Q:R,2,0)</f>
        <v>IR Normal - Track burn out</v>
      </c>
      <c r="U2496" s="20" t="s">
        <v>41</v>
      </c>
      <c r="V2496" s="17" t="n">
        <v>8</v>
      </c>
      <c r="W2496" s="20" t="str">
        <f aca="false">VLOOKUP(V2496,Sheet2!Q:R,2,0)</f>
        <v>IR Normal -TrackRust/InternalDamage/open</v>
      </c>
      <c r="X2496" s="17" t="str">
        <f aca="false">J2496</f>
        <v>A050</v>
      </c>
      <c r="Y2496" s="17" t="str">
        <f aca="false">VLOOKUP(X2496,Sheet2!A:B,2,0)</f>
        <v>PIYUSH CHAVDA</v>
      </c>
      <c r="Z2496" s="17" t="s">
        <v>407</v>
      </c>
      <c r="AA2496" s="17"/>
      <c r="AB2496" s="17" t="s">
        <v>41</v>
      </c>
      <c r="AC2496" s="0" t="str">
        <f aca="false">LEFT(G2496,2)</f>
        <v>75</v>
      </c>
    </row>
    <row r="2497" customFormat="false" ht="15" hidden="false" customHeight="false" outlineLevel="0" collapsed="false">
      <c r="A2497" s="13" t="n">
        <f aca="false">1+A2496</f>
        <v>2495</v>
      </c>
      <c r="B2497" s="14" t="n">
        <v>1009599898</v>
      </c>
      <c r="C2497" s="15" t="s">
        <v>159</v>
      </c>
      <c r="D2497" s="16" t="s">
        <v>64</v>
      </c>
      <c r="E2497" s="17" t="s">
        <v>64</v>
      </c>
      <c r="F2497" s="18" t="s">
        <v>34</v>
      </c>
      <c r="G2497" s="19" t="n">
        <v>743106715456</v>
      </c>
      <c r="H2497" s="17" t="s">
        <v>35</v>
      </c>
      <c r="I2497" s="17" t="s">
        <v>54</v>
      </c>
      <c r="J2497" s="17" t="s">
        <v>100</v>
      </c>
      <c r="K2497" s="17" t="str">
        <f aca="false">VLOOKUP(J2497,Sheet2!A:B,2,0)</f>
        <v>PIYUSH CHAVDA</v>
      </c>
      <c r="L2497" s="17" t="n">
        <v>1</v>
      </c>
      <c r="M2497" s="17" t="str">
        <f aca="false">VLOOKUP(L2497,Sheet2!D:E,2,0)</f>
        <v>Power Supply Section</v>
      </c>
      <c r="N2497" s="17" t="n">
        <v>1</v>
      </c>
      <c r="O2497" s="17" t="str">
        <f aca="false">VLOOKUP(N2497,Sheet2!G:H,2,0)</f>
        <v>Dead</v>
      </c>
      <c r="P2497" s="17" t="n">
        <v>11</v>
      </c>
      <c r="Q2497" s="17" t="str">
        <f aca="false">VLOOKUP(P2497,Sheet2!J:K,2,0)</f>
        <v>IR Declared due to CID -TA</v>
      </c>
      <c r="R2497" s="17" t="s">
        <v>35</v>
      </c>
      <c r="S2497" s="17" t="str">
        <f aca="false">VLOOKUP(R2497,Sheet2!N:O,2,0)</f>
        <v>IREPARABLE</v>
      </c>
      <c r="T2497" s="18" t="str">
        <f aca="false">VLOOKUP(P2497,Sheet2!Q:R,2,0)</f>
        <v>IR Normal - Track burn out</v>
      </c>
      <c r="U2497" s="20" t="s">
        <v>41</v>
      </c>
      <c r="V2497" s="17" t="n">
        <v>2</v>
      </c>
      <c r="W2497" s="20" t="str">
        <f aca="false">VLOOKUP(V2497,Sheet2!Q:R,2,0)</f>
        <v>IR CID -  Water log from other area</v>
      </c>
      <c r="X2497" s="17" t="str">
        <f aca="false">J2497</f>
        <v>A050</v>
      </c>
      <c r="Y2497" s="17" t="str">
        <f aca="false">VLOOKUP(X2497,Sheet2!A:B,2,0)</f>
        <v>PIYUSH CHAVDA</v>
      </c>
      <c r="Z2497" s="17" t="s">
        <v>1256</v>
      </c>
      <c r="AA2497" s="17"/>
      <c r="AB2497" s="17" t="s">
        <v>41</v>
      </c>
      <c r="AC2497" s="0" t="str">
        <f aca="false">LEFT(G2497,2)</f>
        <v>74</v>
      </c>
    </row>
    <row r="2498" customFormat="false" ht="15" hidden="false" customHeight="false" outlineLevel="0" collapsed="false">
      <c r="A2498" s="13" t="n">
        <f aca="false">1+A2497</f>
        <v>2496</v>
      </c>
      <c r="B2498" s="14" t="n">
        <v>1009550936</v>
      </c>
      <c r="C2498" s="15" t="s">
        <v>126</v>
      </c>
      <c r="D2498" s="16" t="s">
        <v>64</v>
      </c>
      <c r="E2498" s="17" t="s">
        <v>64</v>
      </c>
      <c r="F2498" s="18" t="s">
        <v>34</v>
      </c>
      <c r="G2498" s="19" t="n">
        <v>752144601107</v>
      </c>
      <c r="H2498" s="17" t="s">
        <v>35</v>
      </c>
      <c r="I2498" s="17" t="s">
        <v>54</v>
      </c>
      <c r="J2498" s="17" t="s">
        <v>100</v>
      </c>
      <c r="K2498" s="17" t="str">
        <f aca="false">VLOOKUP(J2498,Sheet2!A:B,2,0)</f>
        <v>PIYUSH CHAVDA</v>
      </c>
      <c r="L2498" s="17" t="n">
        <v>1</v>
      </c>
      <c r="M2498" s="17" t="str">
        <f aca="false">VLOOKUP(L2498,Sheet2!D:E,2,0)</f>
        <v>Power Supply Section</v>
      </c>
      <c r="N2498" s="17" t="n">
        <v>1</v>
      </c>
      <c r="O2498" s="17" t="str">
        <f aca="false">VLOOKUP(N2498,Sheet2!G:H,2,0)</f>
        <v>Dead</v>
      </c>
      <c r="P2498" s="17" t="n">
        <v>11</v>
      </c>
      <c r="Q2498" s="17" t="str">
        <f aca="false">VLOOKUP(P2498,Sheet2!J:K,2,0)</f>
        <v>IR Declared due to CID -TA</v>
      </c>
      <c r="R2498" s="17" t="s">
        <v>35</v>
      </c>
      <c r="S2498" s="17" t="str">
        <f aca="false">VLOOKUP(R2498,Sheet2!N:O,2,0)</f>
        <v>IREPARABLE</v>
      </c>
      <c r="T2498" s="18" t="str">
        <f aca="false">VLOOKUP(P2498,Sheet2!Q:R,2,0)</f>
        <v>IR Normal - Track burn out</v>
      </c>
      <c r="U2498" s="20" t="s">
        <v>41</v>
      </c>
      <c r="V2498" s="17" t="n">
        <v>2</v>
      </c>
      <c r="W2498" s="20" t="str">
        <f aca="false">VLOOKUP(V2498,Sheet2!Q:R,2,0)</f>
        <v>IR CID -  Water log from other area</v>
      </c>
      <c r="X2498" s="17" t="str">
        <f aca="false">J2498</f>
        <v>A050</v>
      </c>
      <c r="Y2498" s="17" t="str">
        <f aca="false">VLOOKUP(X2498,Sheet2!A:B,2,0)</f>
        <v>PIYUSH CHAVDA</v>
      </c>
      <c r="Z2498" s="17" t="s">
        <v>1257</v>
      </c>
      <c r="AA2498" s="17"/>
      <c r="AB2498" s="17" t="s">
        <v>41</v>
      </c>
      <c r="AC2498" s="0" t="str">
        <f aca="false">LEFT(G2498,2)</f>
        <v>75</v>
      </c>
    </row>
    <row r="2499" customFormat="false" ht="15" hidden="false" customHeight="false" outlineLevel="0" collapsed="false">
      <c r="A2499" s="13" t="n">
        <f aca="false">1+A2498</f>
        <v>2497</v>
      </c>
      <c r="B2499" s="14" t="n">
        <v>1009441938</v>
      </c>
      <c r="C2499" s="15" t="s">
        <v>197</v>
      </c>
      <c r="D2499" s="16" t="s">
        <v>1258</v>
      </c>
      <c r="E2499" s="17" t="s">
        <v>47</v>
      </c>
      <c r="F2499" s="18" t="s">
        <v>34</v>
      </c>
      <c r="G2499" s="19" t="n">
        <v>742310002701</v>
      </c>
      <c r="H2499" s="17" t="s">
        <v>35</v>
      </c>
      <c r="I2499" s="17" t="s">
        <v>54</v>
      </c>
      <c r="J2499" s="17" t="s">
        <v>121</v>
      </c>
      <c r="K2499" s="17" t="str">
        <f aca="false">VLOOKUP(J2499,Sheet2!A:B,2,0)</f>
        <v>SHANI GOHIL</v>
      </c>
      <c r="L2499" s="17" t="n">
        <v>2</v>
      </c>
      <c r="M2499" s="17" t="str">
        <f aca="false">VLOOKUP(L2499,Sheet2!D:E,2,0)</f>
        <v>Tuner Section</v>
      </c>
      <c r="N2499" s="17" t="n">
        <v>6</v>
      </c>
      <c r="O2499" s="17" t="str">
        <f aca="false">VLOOKUP(N2499,Sheet2!G:H,2,0)</f>
        <v>No Signal</v>
      </c>
      <c r="P2499" s="17" t="n">
        <v>11</v>
      </c>
      <c r="Q2499" s="17" t="str">
        <f aca="false">VLOOKUP(P2499,Sheet2!J:K,2,0)</f>
        <v>IR Declared due to CID -TA</v>
      </c>
      <c r="R2499" s="17" t="s">
        <v>35</v>
      </c>
      <c r="S2499" s="17" t="str">
        <f aca="false">VLOOKUP(R2499,Sheet2!N:O,2,0)</f>
        <v>IREPARABLE</v>
      </c>
      <c r="T2499" s="18" t="str">
        <f aca="false">VLOOKUP(P2499,Sheet2!Q:R,2,0)</f>
        <v>IR Normal - Track burn out</v>
      </c>
      <c r="U2499" s="20" t="s">
        <v>41</v>
      </c>
      <c r="V2499" s="17" t="n">
        <v>2</v>
      </c>
      <c r="W2499" s="20" t="str">
        <f aca="false">VLOOKUP(V2499,Sheet2!Q:R,2,0)</f>
        <v>IR CID -  Water log from other area</v>
      </c>
      <c r="X2499" s="17" t="str">
        <f aca="false">J2499</f>
        <v>A063</v>
      </c>
      <c r="Y2499" s="17" t="str">
        <f aca="false">VLOOKUP(X2499,Sheet2!A:B,2,0)</f>
        <v>SHANI GOHIL</v>
      </c>
      <c r="Z2499" s="17" t="s">
        <v>1257</v>
      </c>
      <c r="AA2499" s="17"/>
      <c r="AB2499" s="17" t="s">
        <v>41</v>
      </c>
      <c r="AC2499" s="0" t="str">
        <f aca="false">LEFT(G2499,2)</f>
        <v>74</v>
      </c>
    </row>
    <row r="2500" customFormat="false" ht="15" hidden="false" customHeight="false" outlineLevel="0" collapsed="false">
      <c r="A2500" s="13" t="n">
        <f aca="false">1+A2499</f>
        <v>2498</v>
      </c>
      <c r="B2500" s="14" t="n">
        <v>1009634557</v>
      </c>
      <c r="C2500" s="15" t="s">
        <v>182</v>
      </c>
      <c r="D2500" s="16" t="s">
        <v>64</v>
      </c>
      <c r="E2500" s="17" t="s">
        <v>64</v>
      </c>
      <c r="F2500" s="18" t="s">
        <v>34</v>
      </c>
      <c r="G2500" s="19" t="n">
        <v>752118134887</v>
      </c>
      <c r="H2500" s="17" t="s">
        <v>35</v>
      </c>
      <c r="I2500" s="17" t="s">
        <v>54</v>
      </c>
      <c r="J2500" s="17" t="s">
        <v>241</v>
      </c>
      <c r="K2500" s="17" t="str">
        <f aca="false">VLOOKUP(J2500,Sheet2!A:B,2,0)</f>
        <v>NILESH NAGAR</v>
      </c>
      <c r="L2500" s="17" t="n">
        <v>5</v>
      </c>
      <c r="M2500" s="17" t="str">
        <f aca="false">VLOOKUP(L2500,Sheet2!D:E,2,0)</f>
        <v>Main Processor CPU BGA</v>
      </c>
      <c r="N2500" s="17" t="n">
        <v>1</v>
      </c>
      <c r="O2500" s="17" t="str">
        <f aca="false">VLOOKUP(N2500,Sheet2!G:H,2,0)</f>
        <v>Dead</v>
      </c>
      <c r="P2500" s="17" t="n">
        <v>11</v>
      </c>
      <c r="Q2500" s="17" t="str">
        <f aca="false">VLOOKUP(P2500,Sheet2!J:K,2,0)</f>
        <v>IR Declared due to CID -TA</v>
      </c>
      <c r="R2500" s="17" t="s">
        <v>35</v>
      </c>
      <c r="S2500" s="17" t="str">
        <f aca="false">VLOOKUP(R2500,Sheet2!N:O,2,0)</f>
        <v>IREPARABLE</v>
      </c>
      <c r="T2500" s="18" t="str">
        <f aca="false">VLOOKUP(P2500,Sheet2!Q:R,2,0)</f>
        <v>IR Normal - Track burn out</v>
      </c>
      <c r="U2500" s="20" t="s">
        <v>41</v>
      </c>
      <c r="V2500" s="17" t="n">
        <v>2</v>
      </c>
      <c r="W2500" s="20" t="str">
        <f aca="false">VLOOKUP(V2500,Sheet2!Q:R,2,0)</f>
        <v>IR CID -  Water log from other area</v>
      </c>
      <c r="X2500" s="17" t="str">
        <f aca="false">J2500</f>
        <v>A008</v>
      </c>
      <c r="Y2500" s="17" t="str">
        <f aca="false">VLOOKUP(X2500,Sheet2!A:B,2,0)</f>
        <v>NILESH NAGAR</v>
      </c>
      <c r="Z2500" s="17" t="s">
        <v>409</v>
      </c>
      <c r="AA2500" s="17"/>
      <c r="AB2500" s="17" t="s">
        <v>41</v>
      </c>
      <c r="AC2500" s="0" t="str">
        <f aca="false">LEFT(G2500,2)</f>
        <v>75</v>
      </c>
    </row>
    <row r="2501" customFormat="false" ht="15" hidden="false" customHeight="false" outlineLevel="0" collapsed="false">
      <c r="A2501" s="13" t="n">
        <f aca="false">1+A2500</f>
        <v>2499</v>
      </c>
      <c r="B2501" s="14" t="n">
        <v>1009470035</v>
      </c>
      <c r="C2501" s="15" t="s">
        <v>151</v>
      </c>
      <c r="D2501" s="16" t="s">
        <v>64</v>
      </c>
      <c r="E2501" s="17" t="s">
        <v>64</v>
      </c>
      <c r="F2501" s="18" t="s">
        <v>34</v>
      </c>
      <c r="G2501" s="19" t="n">
        <v>743105717982</v>
      </c>
      <c r="H2501" s="17" t="s">
        <v>35</v>
      </c>
      <c r="I2501" s="17" t="s">
        <v>54</v>
      </c>
      <c r="J2501" s="17" t="s">
        <v>239</v>
      </c>
      <c r="K2501" s="17" t="str">
        <f aca="false">VLOOKUP(J2501,Sheet2!A:B,2,0)</f>
        <v>VASANT PARMAR</v>
      </c>
      <c r="L2501" s="17" t="n">
        <v>5</v>
      </c>
      <c r="M2501" s="17" t="str">
        <f aca="false">VLOOKUP(L2501,Sheet2!D:E,2,0)</f>
        <v>Main Processor CPU BGA</v>
      </c>
      <c r="N2501" s="17" t="n">
        <v>1</v>
      </c>
      <c r="O2501" s="17" t="str">
        <f aca="false">VLOOKUP(N2501,Sheet2!G:H,2,0)</f>
        <v>Dead</v>
      </c>
      <c r="P2501" s="17" t="n">
        <v>11</v>
      </c>
      <c r="Q2501" s="17" t="str">
        <f aca="false">VLOOKUP(P2501,Sheet2!J:K,2,0)</f>
        <v>IR Declared due to CID -TA</v>
      </c>
      <c r="R2501" s="17" t="s">
        <v>35</v>
      </c>
      <c r="S2501" s="17" t="str">
        <f aca="false">VLOOKUP(R2501,Sheet2!N:O,2,0)</f>
        <v>IREPARABLE</v>
      </c>
      <c r="T2501" s="18" t="str">
        <f aca="false">VLOOKUP(P2501,Sheet2!Q:R,2,0)</f>
        <v>IR Normal - Track burn out</v>
      </c>
      <c r="U2501" s="20" t="s">
        <v>41</v>
      </c>
      <c r="V2501" s="17" t="n">
        <v>2</v>
      </c>
      <c r="W2501" s="20" t="str">
        <f aca="false">VLOOKUP(V2501,Sheet2!Q:R,2,0)</f>
        <v>IR CID -  Water log from other area</v>
      </c>
      <c r="X2501" s="17" t="str">
        <f aca="false">J2501</f>
        <v>A005</v>
      </c>
      <c r="Y2501" s="17" t="str">
        <f aca="false">VLOOKUP(X2501,Sheet2!A:B,2,0)</f>
        <v>VASANT PARMAR</v>
      </c>
      <c r="Z2501" s="17" t="s">
        <v>1257</v>
      </c>
      <c r="AA2501" s="17"/>
      <c r="AB2501" s="17" t="s">
        <v>41</v>
      </c>
      <c r="AC2501" s="0" t="str">
        <f aca="false">LEFT(G2501,2)</f>
        <v>74</v>
      </c>
    </row>
    <row r="2502" customFormat="false" ht="15" hidden="false" customHeight="false" outlineLevel="0" collapsed="false">
      <c r="A2502" s="13" t="n">
        <f aca="false">1+A2501</f>
        <v>2500</v>
      </c>
      <c r="B2502" s="14" t="n">
        <v>1009497237</v>
      </c>
      <c r="C2502" s="15" t="s">
        <v>184</v>
      </c>
      <c r="D2502" s="16" t="s">
        <v>64</v>
      </c>
      <c r="E2502" s="17" t="s">
        <v>47</v>
      </c>
      <c r="F2502" s="18" t="s">
        <v>34</v>
      </c>
      <c r="G2502" s="19" t="n">
        <v>752222202166</v>
      </c>
      <c r="H2502" s="17" t="s">
        <v>35</v>
      </c>
      <c r="I2502" s="17" t="s">
        <v>54</v>
      </c>
      <c r="J2502" s="17" t="s">
        <v>267</v>
      </c>
      <c r="K2502" s="17" t="str">
        <f aca="false">VLOOKUP(J2502,Sheet2!A:B,2,0)</f>
        <v>HARIRAM GUPTA</v>
      </c>
      <c r="L2502" s="17" t="n">
        <v>1</v>
      </c>
      <c r="M2502" s="17" t="str">
        <f aca="false">VLOOKUP(L2502,Sheet2!D:E,2,0)</f>
        <v>Power Supply Section</v>
      </c>
      <c r="N2502" s="17" t="n">
        <v>1</v>
      </c>
      <c r="O2502" s="17" t="str">
        <f aca="false">VLOOKUP(N2502,Sheet2!G:H,2,0)</f>
        <v>Dead</v>
      </c>
      <c r="P2502" s="17" t="n">
        <v>11</v>
      </c>
      <c r="Q2502" s="17" t="str">
        <f aca="false">VLOOKUP(P2502,Sheet2!J:K,2,0)</f>
        <v>IR Declared due to CID -TA</v>
      </c>
      <c r="R2502" s="17" t="s">
        <v>35</v>
      </c>
      <c r="S2502" s="17" t="str">
        <f aca="false">VLOOKUP(R2502,Sheet2!N:O,2,0)</f>
        <v>IREPARABLE</v>
      </c>
      <c r="T2502" s="18" t="str">
        <f aca="false">VLOOKUP(P2502,Sheet2!Q:R,2,0)</f>
        <v>IR Normal - Track burn out</v>
      </c>
      <c r="U2502" s="20" t="s">
        <v>41</v>
      </c>
      <c r="V2502" s="17" t="n">
        <v>2</v>
      </c>
      <c r="W2502" s="20" t="str">
        <f aca="false">VLOOKUP(V2502,Sheet2!Q:R,2,0)</f>
        <v>IR CID -  Water log from other area</v>
      </c>
      <c r="X2502" s="17" t="str">
        <f aca="false">J2502</f>
        <v>A007</v>
      </c>
      <c r="Y2502" s="17" t="str">
        <f aca="false">VLOOKUP(X2502,Sheet2!A:B,2,0)</f>
        <v>HARIRAM GUPTA</v>
      </c>
      <c r="Z2502" s="17" t="s">
        <v>150</v>
      </c>
      <c r="AA2502" s="17"/>
      <c r="AB2502" s="17" t="s">
        <v>41</v>
      </c>
      <c r="AC2502" s="0" t="str">
        <f aca="false">LEFT(G2502,2)</f>
        <v>75</v>
      </c>
    </row>
    <row r="2503" customFormat="false" ht="15" hidden="false" customHeight="false" outlineLevel="0" collapsed="false">
      <c r="A2503" s="13" t="n">
        <f aca="false">1+A2502</f>
        <v>2501</v>
      </c>
      <c r="B2503" s="14" t="n">
        <v>1009611054</v>
      </c>
      <c r="C2503" s="15" t="s">
        <v>102</v>
      </c>
      <c r="D2503" s="16" t="s">
        <v>88</v>
      </c>
      <c r="E2503" s="17" t="s">
        <v>47</v>
      </c>
      <c r="F2503" s="18" t="s">
        <v>34</v>
      </c>
      <c r="G2503" s="19" t="n">
        <v>752198201408</v>
      </c>
      <c r="H2503" s="17" t="s">
        <v>35</v>
      </c>
      <c r="I2503" s="17" t="s">
        <v>54</v>
      </c>
      <c r="J2503" s="17" t="s">
        <v>267</v>
      </c>
      <c r="K2503" s="17" t="str">
        <f aca="false">VLOOKUP(J2503,Sheet2!A:B,2,0)</f>
        <v>HARIRAM GUPTA</v>
      </c>
      <c r="L2503" s="17" t="n">
        <v>1</v>
      </c>
      <c r="M2503" s="17" t="str">
        <f aca="false">VLOOKUP(L2503,Sheet2!D:E,2,0)</f>
        <v>Power Supply Section</v>
      </c>
      <c r="N2503" s="17" t="n">
        <v>1</v>
      </c>
      <c r="O2503" s="17" t="str">
        <f aca="false">VLOOKUP(N2503,Sheet2!G:H,2,0)</f>
        <v>Dead</v>
      </c>
      <c r="P2503" s="17" t="n">
        <v>11</v>
      </c>
      <c r="Q2503" s="17" t="str">
        <f aca="false">VLOOKUP(P2503,Sheet2!J:K,2,0)</f>
        <v>IR Declared due to CID -TA</v>
      </c>
      <c r="R2503" s="17" t="s">
        <v>35</v>
      </c>
      <c r="S2503" s="17" t="str">
        <f aca="false">VLOOKUP(R2503,Sheet2!N:O,2,0)</f>
        <v>IREPARABLE</v>
      </c>
      <c r="T2503" s="18" t="str">
        <f aca="false">VLOOKUP(P2503,Sheet2!Q:R,2,0)</f>
        <v>IR Normal - Track burn out</v>
      </c>
      <c r="U2503" s="20" t="s">
        <v>41</v>
      </c>
      <c r="V2503" s="17" t="n">
        <v>2</v>
      </c>
      <c r="W2503" s="20" t="str">
        <f aca="false">VLOOKUP(V2503,Sheet2!Q:R,2,0)</f>
        <v>IR CID -  Water log from other area</v>
      </c>
      <c r="X2503" s="17" t="str">
        <f aca="false">J2503</f>
        <v>A007</v>
      </c>
      <c r="Y2503" s="17" t="str">
        <f aca="false">VLOOKUP(X2503,Sheet2!A:B,2,0)</f>
        <v>HARIRAM GUPTA</v>
      </c>
      <c r="Z2503" s="17" t="s">
        <v>1236</v>
      </c>
      <c r="AA2503" s="17"/>
      <c r="AB2503" s="17" t="s">
        <v>41</v>
      </c>
      <c r="AC2503" s="0" t="str">
        <f aca="false">LEFT(G2503,2)</f>
        <v>75</v>
      </c>
    </row>
    <row r="2504" customFormat="false" ht="15" hidden="false" customHeight="false" outlineLevel="0" collapsed="false">
      <c r="A2504" s="13" t="n">
        <f aca="false">1+A2503</f>
        <v>2502</v>
      </c>
      <c r="B2504" s="14" t="n">
        <v>1009555784</v>
      </c>
      <c r="C2504" s="15" t="s">
        <v>1259</v>
      </c>
      <c r="D2504" s="16" t="s">
        <v>64</v>
      </c>
      <c r="E2504" s="17" t="s">
        <v>460</v>
      </c>
      <c r="F2504" s="18" t="s">
        <v>34</v>
      </c>
      <c r="G2504" s="19" t="n">
        <v>742325506423</v>
      </c>
      <c r="H2504" s="17" t="s">
        <v>35</v>
      </c>
      <c r="I2504" s="17" t="s">
        <v>54</v>
      </c>
      <c r="J2504" s="17" t="s">
        <v>241</v>
      </c>
      <c r="K2504" s="17" t="str">
        <f aca="false">VLOOKUP(J2504,Sheet2!A:B,2,0)</f>
        <v>NILESH NAGAR</v>
      </c>
      <c r="L2504" s="17" t="n">
        <v>5</v>
      </c>
      <c r="M2504" s="17" t="str">
        <f aca="false">VLOOKUP(L2504,Sheet2!D:E,2,0)</f>
        <v>Main Processor CPU BGA</v>
      </c>
      <c r="N2504" s="17" t="n">
        <v>1</v>
      </c>
      <c r="O2504" s="17" t="str">
        <f aca="false">VLOOKUP(N2504,Sheet2!G:H,2,0)</f>
        <v>Dead</v>
      </c>
      <c r="P2504" s="17" t="n">
        <v>11</v>
      </c>
      <c r="Q2504" s="17" t="str">
        <f aca="false">VLOOKUP(P2504,Sheet2!J:K,2,0)</f>
        <v>IR Declared due to CID -TA</v>
      </c>
      <c r="R2504" s="17" t="s">
        <v>35</v>
      </c>
      <c r="S2504" s="17" t="str">
        <f aca="false">VLOOKUP(R2504,Sheet2!N:O,2,0)</f>
        <v>IREPARABLE</v>
      </c>
      <c r="T2504" s="18" t="str">
        <f aca="false">VLOOKUP(P2504,Sheet2!Q:R,2,0)</f>
        <v>IR Normal - Track burn out</v>
      </c>
      <c r="U2504" s="20" t="s">
        <v>41</v>
      </c>
      <c r="V2504" s="17" t="n">
        <v>2</v>
      </c>
      <c r="W2504" s="20" t="str">
        <f aca="false">VLOOKUP(V2504,Sheet2!Q:R,2,0)</f>
        <v>IR CID -  Water log from other area</v>
      </c>
      <c r="X2504" s="17" t="str">
        <f aca="false">J2504</f>
        <v>A008</v>
      </c>
      <c r="Y2504" s="17" t="str">
        <f aca="false">VLOOKUP(X2504,Sheet2!A:B,2,0)</f>
        <v>NILESH NAGAR</v>
      </c>
      <c r="Z2504" s="17" t="s">
        <v>1236</v>
      </c>
      <c r="AA2504" s="17"/>
      <c r="AB2504" s="17" t="s">
        <v>41</v>
      </c>
      <c r="AC2504" s="0" t="str">
        <f aca="false">LEFT(G2504,2)</f>
        <v>74</v>
      </c>
    </row>
    <row r="2505" customFormat="false" ht="15" hidden="false" customHeight="false" outlineLevel="0" collapsed="false">
      <c r="A2505" s="13" t="n">
        <f aca="false">1+A2504</f>
        <v>2503</v>
      </c>
      <c r="B2505" s="14" t="n">
        <v>1009603913</v>
      </c>
      <c r="C2505" s="15" t="s">
        <v>146</v>
      </c>
      <c r="D2505" s="16" t="s">
        <v>64</v>
      </c>
      <c r="E2505" s="17" t="s">
        <v>64</v>
      </c>
      <c r="F2505" s="18" t="s">
        <v>34</v>
      </c>
      <c r="G2505" s="19" t="n">
        <v>743099747664</v>
      </c>
      <c r="H2505" s="17" t="s">
        <v>35</v>
      </c>
      <c r="I2505" s="17" t="s">
        <v>54</v>
      </c>
      <c r="J2505" s="17" t="s">
        <v>239</v>
      </c>
      <c r="K2505" s="17" t="str">
        <f aca="false">VLOOKUP(J2505,Sheet2!A:B,2,0)</f>
        <v>VASANT PARMAR</v>
      </c>
      <c r="L2505" s="17" t="n">
        <v>5</v>
      </c>
      <c r="M2505" s="17" t="str">
        <f aca="false">VLOOKUP(L2505,Sheet2!D:E,2,0)</f>
        <v>Main Processor CPU BGA</v>
      </c>
      <c r="N2505" s="17" t="n">
        <v>1</v>
      </c>
      <c r="O2505" s="17" t="str">
        <f aca="false">VLOOKUP(N2505,Sheet2!G:H,2,0)</f>
        <v>Dead</v>
      </c>
      <c r="P2505" s="17" t="n">
        <v>11</v>
      </c>
      <c r="Q2505" s="17" t="str">
        <f aca="false">VLOOKUP(P2505,Sheet2!J:K,2,0)</f>
        <v>IR Declared due to CID -TA</v>
      </c>
      <c r="R2505" s="17" t="s">
        <v>35</v>
      </c>
      <c r="S2505" s="17" t="str">
        <f aca="false">VLOOKUP(R2505,Sheet2!N:O,2,0)</f>
        <v>IREPARABLE</v>
      </c>
      <c r="T2505" s="18" t="str">
        <f aca="false">VLOOKUP(P2505,Sheet2!Q:R,2,0)</f>
        <v>IR Normal - Track burn out</v>
      </c>
      <c r="U2505" s="20" t="s">
        <v>41</v>
      </c>
      <c r="V2505" s="17" t="n">
        <v>2</v>
      </c>
      <c r="W2505" s="20" t="str">
        <f aca="false">VLOOKUP(V2505,Sheet2!Q:R,2,0)</f>
        <v>IR CID -  Water log from other area</v>
      </c>
      <c r="X2505" s="17" t="str">
        <f aca="false">J2505</f>
        <v>A005</v>
      </c>
      <c r="Y2505" s="17" t="str">
        <f aca="false">VLOOKUP(X2505,Sheet2!A:B,2,0)</f>
        <v>VASANT PARMAR</v>
      </c>
      <c r="Z2505" s="17" t="s">
        <v>1236</v>
      </c>
      <c r="AA2505" s="17"/>
      <c r="AB2505" s="17" t="s">
        <v>41</v>
      </c>
      <c r="AC2505" s="0" t="str">
        <f aca="false">LEFT(G2505,2)</f>
        <v>74</v>
      </c>
    </row>
    <row r="2506" customFormat="false" ht="15" hidden="false" customHeight="false" outlineLevel="0" collapsed="false">
      <c r="A2506" s="13" t="n">
        <f aca="false">1+A2505</f>
        <v>2504</v>
      </c>
      <c r="B2506" s="14" t="n">
        <v>1009542401</v>
      </c>
      <c r="C2506" s="15" t="s">
        <v>126</v>
      </c>
      <c r="D2506" s="16" t="s">
        <v>64</v>
      </c>
      <c r="E2506" s="17" t="s">
        <v>64</v>
      </c>
      <c r="F2506" s="18" t="s">
        <v>34</v>
      </c>
      <c r="G2506" s="19" t="n">
        <v>742312811364</v>
      </c>
      <c r="H2506" s="17" t="s">
        <v>35</v>
      </c>
      <c r="I2506" s="17" t="s">
        <v>54</v>
      </c>
      <c r="J2506" s="17" t="s">
        <v>239</v>
      </c>
      <c r="K2506" s="17" t="str">
        <f aca="false">VLOOKUP(J2506,Sheet2!A:B,2,0)</f>
        <v>VASANT PARMAR</v>
      </c>
      <c r="L2506" s="17" t="n">
        <v>5</v>
      </c>
      <c r="M2506" s="17" t="str">
        <f aca="false">VLOOKUP(L2506,Sheet2!D:E,2,0)</f>
        <v>Main Processor CPU BGA</v>
      </c>
      <c r="N2506" s="17" t="n">
        <v>1</v>
      </c>
      <c r="O2506" s="17" t="str">
        <f aca="false">VLOOKUP(N2506,Sheet2!G:H,2,0)</f>
        <v>Dead</v>
      </c>
      <c r="P2506" s="17" t="n">
        <v>11</v>
      </c>
      <c r="Q2506" s="17" t="str">
        <f aca="false">VLOOKUP(P2506,Sheet2!J:K,2,0)</f>
        <v>IR Declared due to CID -TA</v>
      </c>
      <c r="R2506" s="17" t="s">
        <v>35</v>
      </c>
      <c r="S2506" s="17" t="str">
        <f aca="false">VLOOKUP(R2506,Sheet2!N:O,2,0)</f>
        <v>IREPARABLE</v>
      </c>
      <c r="T2506" s="18" t="str">
        <f aca="false">VLOOKUP(P2506,Sheet2!Q:R,2,0)</f>
        <v>IR Normal - Track burn out</v>
      </c>
      <c r="U2506" s="20" t="s">
        <v>41</v>
      </c>
      <c r="V2506" s="17" t="n">
        <v>2</v>
      </c>
      <c r="W2506" s="20" t="str">
        <f aca="false">VLOOKUP(V2506,Sheet2!Q:R,2,0)</f>
        <v>IR CID -  Water log from other area</v>
      </c>
      <c r="X2506" s="17" t="str">
        <f aca="false">J2506</f>
        <v>A005</v>
      </c>
      <c r="Y2506" s="17" t="str">
        <f aca="false">VLOOKUP(X2506,Sheet2!A:B,2,0)</f>
        <v>VASANT PARMAR</v>
      </c>
      <c r="Z2506" s="17" t="s">
        <v>1236</v>
      </c>
      <c r="AA2506" s="17"/>
      <c r="AB2506" s="17" t="s">
        <v>41</v>
      </c>
      <c r="AC2506" s="0" t="str">
        <f aca="false">LEFT(G2506,2)</f>
        <v>74</v>
      </c>
    </row>
    <row r="2507" customFormat="false" ht="15" hidden="false" customHeight="false" outlineLevel="0" collapsed="false">
      <c r="A2507" s="13" t="n">
        <f aca="false">1+A2506</f>
        <v>2505</v>
      </c>
      <c r="B2507" s="14" t="n">
        <v>1009610513</v>
      </c>
      <c r="C2507" s="15" t="s">
        <v>181</v>
      </c>
      <c r="D2507" s="16" t="s">
        <v>119</v>
      </c>
      <c r="E2507" s="17" t="s">
        <v>33</v>
      </c>
      <c r="F2507" s="18" t="s">
        <v>34</v>
      </c>
      <c r="G2507" s="19" t="n">
        <v>854179790985</v>
      </c>
      <c r="H2507" s="17" t="s">
        <v>35</v>
      </c>
      <c r="I2507" s="17" t="s">
        <v>36</v>
      </c>
      <c r="J2507" s="17" t="s">
        <v>267</v>
      </c>
      <c r="K2507" s="17" t="str">
        <f aca="false">VLOOKUP(J2507,Sheet2!A:B,2,0)</f>
        <v>HARIRAM GUPTA</v>
      </c>
      <c r="L2507" s="17" t="n">
        <v>5</v>
      </c>
      <c r="M2507" s="17" t="str">
        <f aca="false">VLOOKUP(L2507,Sheet2!D:E,2,0)</f>
        <v>Main Processor CPU BGA</v>
      </c>
      <c r="N2507" s="17" t="n">
        <v>1</v>
      </c>
      <c r="O2507" s="17" t="str">
        <f aca="false">VLOOKUP(N2507,Sheet2!G:H,2,0)</f>
        <v>Dead</v>
      </c>
      <c r="P2507" s="17" t="n">
        <v>11</v>
      </c>
      <c r="Q2507" s="17" t="str">
        <f aca="false">VLOOKUP(P2507,Sheet2!J:K,2,0)</f>
        <v>IR Declared due to CID -TA</v>
      </c>
      <c r="R2507" s="17" t="s">
        <v>35</v>
      </c>
      <c r="S2507" s="17" t="str">
        <f aca="false">VLOOKUP(R2507,Sheet2!N:O,2,0)</f>
        <v>IREPARABLE</v>
      </c>
      <c r="T2507" s="18" t="str">
        <f aca="false">VLOOKUP(P2507,Sheet2!Q:R,2,0)</f>
        <v>IR Normal - Track burn out</v>
      </c>
      <c r="U2507" s="20" t="s">
        <v>41</v>
      </c>
      <c r="V2507" s="17" t="n">
        <v>2</v>
      </c>
      <c r="W2507" s="20" t="str">
        <f aca="false">VLOOKUP(V2507,Sheet2!Q:R,2,0)</f>
        <v>IR CID -  Water log from other area</v>
      </c>
      <c r="X2507" s="17" t="str">
        <f aca="false">J2507</f>
        <v>A007</v>
      </c>
      <c r="Y2507" s="17" t="str">
        <f aca="false">VLOOKUP(X2507,Sheet2!A:B,2,0)</f>
        <v>HARIRAM GUPTA</v>
      </c>
      <c r="Z2507" s="17" t="s">
        <v>127</v>
      </c>
      <c r="AA2507" s="17"/>
      <c r="AB2507" s="17" t="s">
        <v>41</v>
      </c>
      <c r="AC2507" s="0" t="str">
        <f aca="false">LEFT(G2507,2)</f>
        <v>85</v>
      </c>
    </row>
    <row r="2508" customFormat="false" ht="15" hidden="false" customHeight="false" outlineLevel="0" collapsed="false">
      <c r="A2508" s="13" t="n">
        <f aca="false">1+A2507</f>
        <v>2506</v>
      </c>
      <c r="B2508" s="14" t="n">
        <v>1009575843</v>
      </c>
      <c r="C2508" s="15" t="s">
        <v>104</v>
      </c>
      <c r="D2508" s="16" t="s">
        <v>190</v>
      </c>
      <c r="E2508" s="17" t="s">
        <v>47</v>
      </c>
      <c r="F2508" s="18" t="s">
        <v>34</v>
      </c>
      <c r="G2508" s="19" t="n">
        <v>853129782043</v>
      </c>
      <c r="H2508" s="17" t="s">
        <v>35</v>
      </c>
      <c r="I2508" s="17" t="s">
        <v>36</v>
      </c>
      <c r="J2508" s="17" t="s">
        <v>37</v>
      </c>
      <c r="K2508" s="17" t="str">
        <f aca="false">VLOOKUP(J2508,Sheet2!A:B,2,0)</f>
        <v>PRASHANT,AKASH</v>
      </c>
      <c r="L2508" s="17" t="n">
        <v>1</v>
      </c>
      <c r="M2508" s="17" t="str">
        <f aca="false">VLOOKUP(L2508,Sheet2!D:E,2,0)</f>
        <v>Power Supply Section</v>
      </c>
      <c r="N2508" s="17" t="n">
        <v>1</v>
      </c>
      <c r="O2508" s="17" t="str">
        <f aca="false">VLOOKUP(N2508,Sheet2!G:H,2,0)</f>
        <v>Dead</v>
      </c>
      <c r="P2508" s="17" t="n">
        <v>12</v>
      </c>
      <c r="Q2508" s="17" t="str">
        <f aca="false">VLOOKUP(P2508,Sheet2!J:K,2,0)</f>
        <v>IR Declared due to Others ( IR Normal)TB</v>
      </c>
      <c r="R2508" s="17" t="s">
        <v>35</v>
      </c>
      <c r="S2508" s="17" t="str">
        <f aca="false">VLOOKUP(R2508,Sheet2!N:O,2,0)</f>
        <v>IREPARABLE</v>
      </c>
      <c r="T2508" s="18" t="str">
        <f aca="false">VLOOKUP(P2508,Sheet2!Q:R,2,0)</f>
        <v>IR Normal - BER to IR</v>
      </c>
      <c r="U2508" s="20" t="s">
        <v>41</v>
      </c>
      <c r="V2508" s="17" t="n">
        <v>12</v>
      </c>
      <c r="W2508" s="20" t="str">
        <f aca="false">VLOOKUP(V2508,Sheet2!Q:R,2,0)</f>
        <v>IR Normal - BER to IR</v>
      </c>
      <c r="X2508" s="17" t="str">
        <f aca="false">J2508</f>
        <v>A041</v>
      </c>
      <c r="Y2508" s="17" t="str">
        <f aca="false">VLOOKUP(X2508,Sheet2!A:B,2,0)</f>
        <v>PRASHANT,AKASH</v>
      </c>
      <c r="Z2508" s="17" t="s">
        <v>127</v>
      </c>
      <c r="AA2508" s="17"/>
      <c r="AB2508" s="17" t="s">
        <v>41</v>
      </c>
      <c r="AC2508" s="0" t="str">
        <f aca="false">LEFT(G2508,2)</f>
        <v>85</v>
      </c>
    </row>
    <row r="2509" customFormat="false" ht="15" hidden="false" customHeight="false" outlineLevel="0" collapsed="false">
      <c r="A2509" s="13" t="n">
        <f aca="false">1+A2508</f>
        <v>2507</v>
      </c>
      <c r="B2509" s="14" t="n">
        <v>1008952365</v>
      </c>
      <c r="C2509" s="15" t="s">
        <v>1260</v>
      </c>
      <c r="D2509" s="16" t="s">
        <v>64</v>
      </c>
      <c r="E2509" s="17" t="s">
        <v>47</v>
      </c>
      <c r="F2509" s="18" t="s">
        <v>34</v>
      </c>
      <c r="G2509" s="19" t="n">
        <v>853338714746</v>
      </c>
      <c r="H2509" s="17" t="s">
        <v>35</v>
      </c>
      <c r="I2509" s="17" t="s">
        <v>36</v>
      </c>
      <c r="J2509" s="17" t="s">
        <v>37</v>
      </c>
      <c r="K2509" s="17" t="str">
        <f aca="false">VLOOKUP(J2509,Sheet2!A:B,2,0)</f>
        <v>PRASHANT,AKASH</v>
      </c>
      <c r="L2509" s="17" t="n">
        <v>5</v>
      </c>
      <c r="M2509" s="17" t="str">
        <f aca="false">VLOOKUP(L2509,Sheet2!D:E,2,0)</f>
        <v>Main Processor CPU BGA</v>
      </c>
      <c r="N2509" s="17" t="n">
        <v>1</v>
      </c>
      <c r="O2509" s="17" t="str">
        <f aca="false">VLOOKUP(N2509,Sheet2!G:H,2,0)</f>
        <v>Dead</v>
      </c>
      <c r="P2509" s="17" t="n">
        <v>12</v>
      </c>
      <c r="Q2509" s="17" t="str">
        <f aca="false">VLOOKUP(P2509,Sheet2!J:K,2,0)</f>
        <v>IR Declared due to Others ( IR Normal)TB</v>
      </c>
      <c r="R2509" s="17" t="s">
        <v>35</v>
      </c>
      <c r="S2509" s="17" t="str">
        <f aca="false">VLOOKUP(R2509,Sheet2!N:O,2,0)</f>
        <v>IREPARABLE</v>
      </c>
      <c r="T2509" s="18" t="str">
        <f aca="false">VLOOKUP(P2509,Sheet2!Q:R,2,0)</f>
        <v>IR Normal - BER to IR</v>
      </c>
      <c r="U2509" s="20" t="s">
        <v>41</v>
      </c>
      <c r="V2509" s="17" t="n">
        <v>12</v>
      </c>
      <c r="W2509" s="20" t="str">
        <f aca="false">VLOOKUP(V2509,Sheet2!Q:R,2,0)</f>
        <v>IR Normal - BER to IR</v>
      </c>
      <c r="X2509" s="17" t="str">
        <f aca="false">J2509</f>
        <v>A041</v>
      </c>
      <c r="Y2509" s="17" t="str">
        <f aca="false">VLOOKUP(X2509,Sheet2!A:B,2,0)</f>
        <v>PRASHANT,AKASH</v>
      </c>
      <c r="Z2509" s="17" t="s">
        <v>39</v>
      </c>
      <c r="AA2509" s="17"/>
      <c r="AB2509" s="17" t="s">
        <v>41</v>
      </c>
      <c r="AC2509" s="0" t="str">
        <f aca="false">LEFT(G2509,2)</f>
        <v>85</v>
      </c>
    </row>
    <row r="2510" customFormat="false" ht="15" hidden="false" customHeight="false" outlineLevel="0" collapsed="false">
      <c r="A2510" s="13" t="n">
        <f aca="false">1+A2509</f>
        <v>2508</v>
      </c>
      <c r="B2510" s="14" t="n">
        <v>1009531495</v>
      </c>
      <c r="C2510" s="15" t="s">
        <v>174</v>
      </c>
      <c r="D2510" s="16" t="s">
        <v>64</v>
      </c>
      <c r="E2510" s="17" t="s">
        <v>1261</v>
      </c>
      <c r="F2510" s="18" t="s">
        <v>34</v>
      </c>
      <c r="G2510" s="19" t="n">
        <v>853246774030</v>
      </c>
      <c r="H2510" s="17" t="s">
        <v>35</v>
      </c>
      <c r="I2510" s="17" t="s">
        <v>36</v>
      </c>
      <c r="J2510" s="17" t="s">
        <v>111</v>
      </c>
      <c r="K2510" s="17" t="str">
        <f aca="false">VLOOKUP(J2510,Sheet2!A:B,2,0)</f>
        <v>NITIN PRANAMI</v>
      </c>
      <c r="L2510" s="17" t="n">
        <v>5</v>
      </c>
      <c r="M2510" s="17" t="str">
        <f aca="false">VLOOKUP(L2510,Sheet2!D:E,2,0)</f>
        <v>Main Processor CPU BGA</v>
      </c>
      <c r="N2510" s="17" t="n">
        <v>1</v>
      </c>
      <c r="O2510" s="17" t="str">
        <f aca="false">VLOOKUP(N2510,Sheet2!G:H,2,0)</f>
        <v>Dead</v>
      </c>
      <c r="P2510" s="17" t="n">
        <v>11</v>
      </c>
      <c r="Q2510" s="17" t="str">
        <f aca="false">VLOOKUP(P2510,Sheet2!J:K,2,0)</f>
        <v>IR Declared due to CID -TA</v>
      </c>
      <c r="R2510" s="17" t="s">
        <v>35</v>
      </c>
      <c r="S2510" s="17" t="str">
        <f aca="false">VLOOKUP(R2510,Sheet2!N:O,2,0)</f>
        <v>IREPARABLE</v>
      </c>
      <c r="T2510" s="18" t="str">
        <f aca="false">VLOOKUP(P2510,Sheet2!Q:R,2,0)</f>
        <v>IR Normal - Track burn out</v>
      </c>
      <c r="U2510" s="20" t="s">
        <v>41</v>
      </c>
      <c r="V2510" s="17" t="n">
        <v>8</v>
      </c>
      <c r="W2510" s="20" t="str">
        <f aca="false">VLOOKUP(V2510,Sheet2!Q:R,2,0)</f>
        <v>IR Normal -TrackRust/InternalDamage/open</v>
      </c>
      <c r="X2510" s="17" t="str">
        <f aca="false">J2510</f>
        <v>A031</v>
      </c>
      <c r="Y2510" s="17" t="str">
        <f aca="false">VLOOKUP(X2510,Sheet2!A:B,2,0)</f>
        <v>NITIN PRANAMI</v>
      </c>
      <c r="Z2510" s="17" t="s">
        <v>127</v>
      </c>
      <c r="AA2510" s="17"/>
      <c r="AB2510" s="17" t="s">
        <v>41</v>
      </c>
      <c r="AC2510" s="0" t="str">
        <f aca="false">LEFT(G2510,2)</f>
        <v>85</v>
      </c>
    </row>
    <row r="2511" customFormat="false" ht="15" hidden="false" customHeight="false" outlineLevel="0" collapsed="false">
      <c r="A2511" s="13" t="n">
        <f aca="false">1+A2510</f>
        <v>2509</v>
      </c>
      <c r="B2511" s="14" t="n">
        <v>1009584549</v>
      </c>
      <c r="C2511" s="15" t="s">
        <v>139</v>
      </c>
      <c r="D2511" s="16" t="s">
        <v>64</v>
      </c>
      <c r="E2511" s="17" t="s">
        <v>64</v>
      </c>
      <c r="F2511" s="18" t="s">
        <v>34</v>
      </c>
      <c r="G2511" s="19" t="n">
        <v>853159759887</v>
      </c>
      <c r="H2511" s="17" t="s">
        <v>35</v>
      </c>
      <c r="I2511" s="17" t="s">
        <v>36</v>
      </c>
      <c r="J2511" s="17" t="s">
        <v>37</v>
      </c>
      <c r="K2511" s="17" t="str">
        <f aca="false">VLOOKUP(J2511,Sheet2!A:B,2,0)</f>
        <v>PRASHANT,AKASH</v>
      </c>
      <c r="L2511" s="17" t="n">
        <v>1</v>
      </c>
      <c r="M2511" s="17" t="str">
        <f aca="false">VLOOKUP(L2511,Sheet2!D:E,2,0)</f>
        <v>Power Supply Section</v>
      </c>
      <c r="N2511" s="17" t="n">
        <v>1</v>
      </c>
      <c r="O2511" s="17" t="str">
        <f aca="false">VLOOKUP(N2511,Sheet2!G:H,2,0)</f>
        <v>Dead</v>
      </c>
      <c r="P2511" s="17" t="n">
        <v>11</v>
      </c>
      <c r="Q2511" s="17" t="str">
        <f aca="false">VLOOKUP(P2511,Sheet2!J:K,2,0)</f>
        <v>IR Declared due to CID -TA</v>
      </c>
      <c r="R2511" s="17" t="s">
        <v>35</v>
      </c>
      <c r="S2511" s="17" t="str">
        <f aca="false">VLOOKUP(R2511,Sheet2!N:O,2,0)</f>
        <v>IREPARABLE</v>
      </c>
      <c r="T2511" s="18" t="str">
        <f aca="false">VLOOKUP(P2511,Sheet2!Q:R,2,0)</f>
        <v>IR Normal - Track burn out</v>
      </c>
      <c r="U2511" s="20" t="s">
        <v>41</v>
      </c>
      <c r="V2511" s="17" t="n">
        <v>8</v>
      </c>
      <c r="W2511" s="20" t="str">
        <f aca="false">VLOOKUP(V2511,Sheet2!Q:R,2,0)</f>
        <v>IR Normal -TrackRust/InternalDamage/open</v>
      </c>
      <c r="X2511" s="17" t="str">
        <f aca="false">J2511</f>
        <v>A041</v>
      </c>
      <c r="Y2511" s="17" t="str">
        <f aca="false">VLOOKUP(X2511,Sheet2!A:B,2,0)</f>
        <v>PRASHANT,AKASH</v>
      </c>
      <c r="Z2511" s="17" t="s">
        <v>127</v>
      </c>
      <c r="AA2511" s="17"/>
      <c r="AB2511" s="17" t="s">
        <v>41</v>
      </c>
      <c r="AC2511" s="0" t="str">
        <f aca="false">LEFT(G2511,2)</f>
        <v>85</v>
      </c>
    </row>
    <row r="2512" customFormat="false" ht="15" hidden="false" customHeight="false" outlineLevel="0" collapsed="false">
      <c r="A2512" s="13" t="n">
        <f aca="false">1+A2511</f>
        <v>2510</v>
      </c>
      <c r="B2512" s="14" t="n">
        <v>1009531522</v>
      </c>
      <c r="C2512" s="15" t="s">
        <v>174</v>
      </c>
      <c r="D2512" s="16" t="s">
        <v>64</v>
      </c>
      <c r="E2512" s="17" t="s">
        <v>487</v>
      </c>
      <c r="F2512" s="18" t="s">
        <v>34</v>
      </c>
      <c r="G2512" s="19" t="n">
        <v>844112707923</v>
      </c>
      <c r="H2512" s="17" t="s">
        <v>35</v>
      </c>
      <c r="I2512" s="17" t="s">
        <v>36</v>
      </c>
      <c r="J2512" s="17" t="s">
        <v>37</v>
      </c>
      <c r="K2512" s="17" t="str">
        <f aca="false">VLOOKUP(J2512,Sheet2!A:B,2,0)</f>
        <v>PRASHANT,AKASH</v>
      </c>
      <c r="L2512" s="17" t="n">
        <v>1</v>
      </c>
      <c r="M2512" s="17" t="str">
        <f aca="false">VLOOKUP(L2512,Sheet2!D:E,2,0)</f>
        <v>Power Supply Section</v>
      </c>
      <c r="N2512" s="17" t="n">
        <v>1</v>
      </c>
      <c r="O2512" s="17" t="str">
        <f aca="false">VLOOKUP(N2512,Sheet2!G:H,2,0)</f>
        <v>Dead</v>
      </c>
      <c r="P2512" s="17" t="n">
        <v>11</v>
      </c>
      <c r="Q2512" s="17" t="str">
        <f aca="false">VLOOKUP(P2512,Sheet2!J:K,2,0)</f>
        <v>IR Declared due to CID -TA</v>
      </c>
      <c r="R2512" s="17" t="s">
        <v>35</v>
      </c>
      <c r="S2512" s="17" t="str">
        <f aca="false">VLOOKUP(R2512,Sheet2!N:O,2,0)</f>
        <v>IREPARABLE</v>
      </c>
      <c r="T2512" s="18" t="str">
        <f aca="false">VLOOKUP(P2512,Sheet2!Q:R,2,0)</f>
        <v>IR Normal - Track burn out</v>
      </c>
      <c r="U2512" s="20" t="s">
        <v>41</v>
      </c>
      <c r="V2512" s="17" t="n">
        <v>8</v>
      </c>
      <c r="W2512" s="20" t="str">
        <f aca="false">VLOOKUP(V2512,Sheet2!Q:R,2,0)</f>
        <v>IR Normal -TrackRust/InternalDamage/open</v>
      </c>
      <c r="X2512" s="17" t="str">
        <f aca="false">J2512</f>
        <v>A041</v>
      </c>
      <c r="Y2512" s="17" t="str">
        <f aca="false">VLOOKUP(X2512,Sheet2!A:B,2,0)</f>
        <v>PRASHANT,AKASH</v>
      </c>
      <c r="Z2512" s="17" t="s">
        <v>127</v>
      </c>
      <c r="AA2512" s="17"/>
      <c r="AB2512" s="17" t="s">
        <v>41</v>
      </c>
      <c r="AC2512" s="0" t="str">
        <f aca="false">LEFT(G2512,2)</f>
        <v>84</v>
      </c>
    </row>
    <row r="2513" customFormat="false" ht="15" hidden="false" customHeight="false" outlineLevel="0" collapsed="false">
      <c r="A2513" s="13" t="n">
        <f aca="false">1+A2512</f>
        <v>2511</v>
      </c>
      <c r="B2513" s="14" t="n">
        <v>1009611080</v>
      </c>
      <c r="C2513" s="15" t="s">
        <v>181</v>
      </c>
      <c r="D2513" s="16" t="s">
        <v>64</v>
      </c>
      <c r="E2513" s="17" t="s">
        <v>64</v>
      </c>
      <c r="F2513" s="18" t="s">
        <v>34</v>
      </c>
      <c r="G2513" s="19" t="n">
        <v>853178745461</v>
      </c>
      <c r="H2513" s="17" t="s">
        <v>35</v>
      </c>
      <c r="I2513" s="17" t="s">
        <v>36</v>
      </c>
      <c r="J2513" s="17" t="s">
        <v>37</v>
      </c>
      <c r="K2513" s="17" t="str">
        <f aca="false">VLOOKUP(J2513,Sheet2!A:B,2,0)</f>
        <v>PRASHANT,AKASH</v>
      </c>
      <c r="L2513" s="17" t="n">
        <v>5</v>
      </c>
      <c r="M2513" s="17" t="str">
        <f aca="false">VLOOKUP(L2513,Sheet2!D:E,2,0)</f>
        <v>Main Processor CPU BGA</v>
      </c>
      <c r="N2513" s="17" t="n">
        <v>1</v>
      </c>
      <c r="O2513" s="17" t="str">
        <f aca="false">VLOOKUP(N2513,Sheet2!G:H,2,0)</f>
        <v>Dead</v>
      </c>
      <c r="P2513" s="17" t="n">
        <v>11</v>
      </c>
      <c r="Q2513" s="17" t="str">
        <f aca="false">VLOOKUP(P2513,Sheet2!J:K,2,0)</f>
        <v>IR Declared due to CID -TA</v>
      </c>
      <c r="R2513" s="17" t="s">
        <v>35</v>
      </c>
      <c r="S2513" s="17" t="str">
        <f aca="false">VLOOKUP(R2513,Sheet2!N:O,2,0)</f>
        <v>IREPARABLE</v>
      </c>
      <c r="T2513" s="18" t="str">
        <f aca="false">VLOOKUP(P2513,Sheet2!Q:R,2,0)</f>
        <v>IR Normal - Track burn out</v>
      </c>
      <c r="U2513" s="20" t="s">
        <v>41</v>
      </c>
      <c r="V2513" s="17" t="n">
        <v>8</v>
      </c>
      <c r="W2513" s="20" t="str">
        <f aca="false">VLOOKUP(V2513,Sheet2!Q:R,2,0)</f>
        <v>IR Normal -TrackRust/InternalDamage/open</v>
      </c>
      <c r="X2513" s="17" t="str">
        <f aca="false">J2513</f>
        <v>A041</v>
      </c>
      <c r="Y2513" s="17" t="str">
        <f aca="false">VLOOKUP(X2513,Sheet2!A:B,2,0)</f>
        <v>PRASHANT,AKASH</v>
      </c>
      <c r="Z2513" s="17" t="s">
        <v>127</v>
      </c>
      <c r="AA2513" s="17"/>
      <c r="AB2513" s="17" t="s">
        <v>41</v>
      </c>
      <c r="AC2513" s="0" t="str">
        <f aca="false">LEFT(G2513,2)</f>
        <v>85</v>
      </c>
    </row>
    <row r="2514" customFormat="false" ht="15" hidden="false" customHeight="false" outlineLevel="0" collapsed="false">
      <c r="A2514" s="13" t="n">
        <f aca="false">1+A2513</f>
        <v>2512</v>
      </c>
      <c r="B2514" s="14" t="n">
        <v>1008908337</v>
      </c>
      <c r="C2514" s="15" t="s">
        <v>1014</v>
      </c>
      <c r="D2514" s="16" t="s">
        <v>64</v>
      </c>
      <c r="E2514" s="17" t="s">
        <v>47</v>
      </c>
      <c r="F2514" s="18" t="s">
        <v>34</v>
      </c>
      <c r="G2514" s="19" t="n">
        <v>853078766237</v>
      </c>
      <c r="H2514" s="17" t="s">
        <v>35</v>
      </c>
      <c r="I2514" s="17" t="s">
        <v>36</v>
      </c>
      <c r="J2514" s="17" t="s">
        <v>37</v>
      </c>
      <c r="K2514" s="17" t="str">
        <f aca="false">VLOOKUP(J2514,Sheet2!A:B,2,0)</f>
        <v>PRASHANT,AKASH</v>
      </c>
      <c r="L2514" s="17" t="n">
        <v>5</v>
      </c>
      <c r="M2514" s="17" t="str">
        <f aca="false">VLOOKUP(L2514,Sheet2!D:E,2,0)</f>
        <v>Main Processor CPU BGA</v>
      </c>
      <c r="N2514" s="17" t="n">
        <v>1</v>
      </c>
      <c r="O2514" s="17" t="str">
        <f aca="false">VLOOKUP(N2514,Sheet2!G:H,2,0)</f>
        <v>Dead</v>
      </c>
      <c r="P2514" s="17" t="n">
        <v>11</v>
      </c>
      <c r="Q2514" s="17" t="str">
        <f aca="false">VLOOKUP(P2514,Sheet2!J:K,2,0)</f>
        <v>IR Declared due to CID -TA</v>
      </c>
      <c r="R2514" s="17" t="s">
        <v>35</v>
      </c>
      <c r="S2514" s="17" t="str">
        <f aca="false">VLOOKUP(R2514,Sheet2!N:O,2,0)</f>
        <v>IREPARABLE</v>
      </c>
      <c r="T2514" s="18" t="str">
        <f aca="false">VLOOKUP(P2514,Sheet2!Q:R,2,0)</f>
        <v>IR Normal - Track burn out</v>
      </c>
      <c r="U2514" s="20" t="s">
        <v>41</v>
      </c>
      <c r="V2514" s="17" t="n">
        <v>2</v>
      </c>
      <c r="W2514" s="20" t="str">
        <f aca="false">VLOOKUP(V2514,Sheet2!Q:R,2,0)</f>
        <v>IR CID -  Water log from other area</v>
      </c>
      <c r="X2514" s="17" t="str">
        <f aca="false">J2514</f>
        <v>A041</v>
      </c>
      <c r="Y2514" s="17" t="str">
        <f aca="false">VLOOKUP(X2514,Sheet2!A:B,2,0)</f>
        <v>PRASHANT,AKASH</v>
      </c>
      <c r="Z2514" s="17" t="s">
        <v>127</v>
      </c>
      <c r="AA2514" s="17"/>
      <c r="AB2514" s="17" t="s">
        <v>41</v>
      </c>
      <c r="AC2514" s="0" t="str">
        <f aca="false">LEFT(G2514,2)</f>
        <v>85</v>
      </c>
    </row>
    <row r="2515" customFormat="false" ht="15" hidden="false" customHeight="false" outlineLevel="0" collapsed="false">
      <c r="A2515" s="13" t="n">
        <f aca="false">1+A2514</f>
        <v>2513</v>
      </c>
      <c r="B2515" s="14" t="n">
        <v>1003895489</v>
      </c>
      <c r="C2515" s="15" t="s">
        <v>936</v>
      </c>
      <c r="D2515" s="16" t="s">
        <v>64</v>
      </c>
      <c r="E2515" s="17" t="s">
        <v>33</v>
      </c>
      <c r="F2515" s="18" t="s">
        <v>34</v>
      </c>
      <c r="G2515" s="19" t="n">
        <v>844053769056</v>
      </c>
      <c r="H2515" s="17" t="s">
        <v>35</v>
      </c>
      <c r="I2515" s="17" t="s">
        <v>36</v>
      </c>
      <c r="J2515" s="17" t="s">
        <v>37</v>
      </c>
      <c r="K2515" s="17" t="str">
        <f aca="false">VLOOKUP(J2515,Sheet2!A:B,2,0)</f>
        <v>PRASHANT,AKASH</v>
      </c>
      <c r="L2515" s="17" t="n">
        <v>5</v>
      </c>
      <c r="M2515" s="17" t="str">
        <f aca="false">VLOOKUP(L2515,Sheet2!D:E,2,0)</f>
        <v>Main Processor CPU BGA</v>
      </c>
      <c r="N2515" s="17" t="n">
        <v>1</v>
      </c>
      <c r="O2515" s="17" t="str">
        <f aca="false">VLOOKUP(N2515,Sheet2!G:H,2,0)</f>
        <v>Dead</v>
      </c>
      <c r="P2515" s="17" t="n">
        <v>12</v>
      </c>
      <c r="Q2515" s="17" t="str">
        <f aca="false">VLOOKUP(P2515,Sheet2!J:K,2,0)</f>
        <v>IR Declared due to Others ( IR Normal)TB</v>
      </c>
      <c r="R2515" s="17" t="s">
        <v>35</v>
      </c>
      <c r="S2515" s="17" t="str">
        <f aca="false">VLOOKUP(R2515,Sheet2!N:O,2,0)</f>
        <v>IREPARABLE</v>
      </c>
      <c r="T2515" s="18" t="str">
        <f aca="false">VLOOKUP(P2515,Sheet2!Q:R,2,0)</f>
        <v>IR Normal - BER to IR</v>
      </c>
      <c r="U2515" s="20" t="s">
        <v>41</v>
      </c>
      <c r="V2515" s="17" t="n">
        <v>12</v>
      </c>
      <c r="W2515" s="20" t="str">
        <f aca="false">VLOOKUP(V2515,Sheet2!Q:R,2,0)</f>
        <v>IR Normal - BER to IR</v>
      </c>
      <c r="X2515" s="17" t="str">
        <f aca="false">J2515</f>
        <v>A041</v>
      </c>
      <c r="Y2515" s="17" t="str">
        <f aca="false">VLOOKUP(X2515,Sheet2!A:B,2,0)</f>
        <v>PRASHANT,AKASH</v>
      </c>
      <c r="Z2515" s="17" t="s">
        <v>127</v>
      </c>
      <c r="AA2515" s="17"/>
      <c r="AB2515" s="17" t="s">
        <v>41</v>
      </c>
      <c r="AC2515" s="0" t="str">
        <f aca="false">LEFT(G2515,2)</f>
        <v>84</v>
      </c>
    </row>
    <row r="2516" customFormat="false" ht="15" hidden="false" customHeight="false" outlineLevel="0" collapsed="false">
      <c r="A2516" s="13" t="n">
        <f aca="false">1+A2515</f>
        <v>2514</v>
      </c>
      <c r="B2516" s="14" t="n">
        <v>1008443724</v>
      </c>
      <c r="C2516" s="15" t="s">
        <v>459</v>
      </c>
      <c r="D2516" s="16" t="s">
        <v>1262</v>
      </c>
      <c r="E2516" s="17" t="s">
        <v>176</v>
      </c>
      <c r="F2516" s="18" t="s">
        <v>34</v>
      </c>
      <c r="G2516" s="19" t="n">
        <v>134268588107</v>
      </c>
      <c r="H2516" s="17" t="s">
        <v>35</v>
      </c>
      <c r="I2516" s="17" t="s">
        <v>36</v>
      </c>
      <c r="J2516" s="17" t="s">
        <v>106</v>
      </c>
      <c r="K2516" s="17" t="str">
        <f aca="false">VLOOKUP(J2516,Sheet2!A:B,2,0)</f>
        <v>PRAKASH CHAVDA</v>
      </c>
      <c r="L2516" s="17" t="n">
        <v>5</v>
      </c>
      <c r="M2516" s="17" t="str">
        <f aca="false">VLOOKUP(L2516,Sheet2!D:E,2,0)</f>
        <v>Main Processor CPU BGA</v>
      </c>
      <c r="N2516" s="17" t="n">
        <v>37</v>
      </c>
      <c r="O2516" s="17" t="str">
        <f aca="false">VLOOKUP(N2516,Sheet2!G:H,2,0)</f>
        <v>Error -2</v>
      </c>
      <c r="P2516" s="17" t="n">
        <v>12</v>
      </c>
      <c r="Q2516" s="17" t="str">
        <f aca="false">VLOOKUP(P2516,Sheet2!J:K,2,0)</f>
        <v>IR Declared due to Others ( IR Normal)TB</v>
      </c>
      <c r="R2516" s="17" t="s">
        <v>35</v>
      </c>
      <c r="S2516" s="17" t="str">
        <f aca="false">VLOOKUP(R2516,Sheet2!N:O,2,0)</f>
        <v>IREPARABLE</v>
      </c>
      <c r="T2516" s="18" t="str">
        <f aca="false">VLOOKUP(P2516,Sheet2!Q:R,2,0)</f>
        <v>IR Normal - BER to IR</v>
      </c>
      <c r="U2516" s="20" t="s">
        <v>41</v>
      </c>
      <c r="V2516" s="17" t="n">
        <v>2</v>
      </c>
      <c r="W2516" s="20" t="str">
        <f aca="false">VLOOKUP(V2516,Sheet2!Q:R,2,0)</f>
        <v>IR CID -  Water log from other area</v>
      </c>
      <c r="X2516" s="17" t="str">
        <f aca="false">J2516</f>
        <v>A018</v>
      </c>
      <c r="Y2516" s="17" t="str">
        <f aca="false">VLOOKUP(X2516,Sheet2!A:B,2,0)</f>
        <v>PRAKASH CHAVDA</v>
      </c>
      <c r="Z2516" s="17" t="s">
        <v>136</v>
      </c>
      <c r="AA2516" s="17"/>
      <c r="AB2516" s="17" t="s">
        <v>41</v>
      </c>
      <c r="AC2516" s="0" t="str">
        <f aca="false">LEFT(G2516,2)</f>
        <v>13</v>
      </c>
    </row>
    <row r="2517" customFormat="false" ht="15" hidden="false" customHeight="false" outlineLevel="0" collapsed="false">
      <c r="A2517" s="13" t="n">
        <f aca="false">1+A2516</f>
        <v>2515</v>
      </c>
      <c r="B2517" s="14" t="n">
        <v>1009404739</v>
      </c>
      <c r="C2517" s="15" t="s">
        <v>73</v>
      </c>
      <c r="D2517" s="16" t="s">
        <v>64</v>
      </c>
      <c r="E2517" s="17" t="s">
        <v>47</v>
      </c>
      <c r="F2517" s="18" t="s">
        <v>34</v>
      </c>
      <c r="G2517" s="19" t="n">
        <v>774324004191</v>
      </c>
      <c r="H2517" s="17" t="s">
        <v>35</v>
      </c>
      <c r="I2517" s="17" t="s">
        <v>36</v>
      </c>
      <c r="J2517" s="17" t="s">
        <v>106</v>
      </c>
      <c r="K2517" s="17" t="str">
        <f aca="false">VLOOKUP(J2517,Sheet2!A:B,2,0)</f>
        <v>PRAKASH CHAVDA</v>
      </c>
      <c r="L2517" s="17" t="n">
        <v>5</v>
      </c>
      <c r="M2517" s="17" t="str">
        <f aca="false">VLOOKUP(L2517,Sheet2!D:E,2,0)</f>
        <v>Main Processor CPU BGA</v>
      </c>
      <c r="N2517" s="17" t="n">
        <v>1</v>
      </c>
      <c r="O2517" s="17" t="str">
        <f aca="false">VLOOKUP(N2517,Sheet2!G:H,2,0)</f>
        <v>Dead</v>
      </c>
      <c r="P2517" s="17" t="n">
        <v>11</v>
      </c>
      <c r="Q2517" s="17" t="str">
        <f aca="false">VLOOKUP(P2517,Sheet2!J:K,2,0)</f>
        <v>IR Declared due to CID -TA</v>
      </c>
      <c r="R2517" s="17" t="s">
        <v>35</v>
      </c>
      <c r="S2517" s="17" t="str">
        <f aca="false">VLOOKUP(R2517,Sheet2!N:O,2,0)</f>
        <v>IREPARABLE</v>
      </c>
      <c r="T2517" s="18" t="str">
        <f aca="false">VLOOKUP(P2517,Sheet2!Q:R,2,0)</f>
        <v>IR Normal - Track burn out</v>
      </c>
      <c r="U2517" s="20" t="s">
        <v>41</v>
      </c>
      <c r="V2517" s="17" t="n">
        <v>4</v>
      </c>
      <c r="W2517" s="20" t="str">
        <f aca="false">VLOOKUP(V2517,Sheet2!Q:R,2,0)</f>
        <v>IR CID - Tampered Track burn out</v>
      </c>
      <c r="X2517" s="17" t="str">
        <f aca="false">J2517</f>
        <v>A018</v>
      </c>
      <c r="Y2517" s="17" t="str">
        <f aca="false">VLOOKUP(X2517,Sheet2!A:B,2,0)</f>
        <v>PRAKASH CHAVDA</v>
      </c>
      <c r="Z2517" s="17" t="s">
        <v>136</v>
      </c>
      <c r="AA2517" s="17"/>
      <c r="AB2517" s="17" t="s">
        <v>41</v>
      </c>
      <c r="AC2517" s="0" t="str">
        <f aca="false">LEFT(G2517,2)</f>
        <v>77</v>
      </c>
    </row>
    <row r="2518" customFormat="false" ht="15" hidden="false" customHeight="false" outlineLevel="0" collapsed="false">
      <c r="A2518" s="13" t="n">
        <f aca="false">1+A2517</f>
        <v>2516</v>
      </c>
      <c r="B2518" s="14" t="n">
        <v>1009632504</v>
      </c>
      <c r="C2518" s="15" t="s">
        <v>182</v>
      </c>
      <c r="D2518" s="16" t="s">
        <v>64</v>
      </c>
      <c r="E2518" s="17" t="s">
        <v>33</v>
      </c>
      <c r="F2518" s="18" t="s">
        <v>34</v>
      </c>
      <c r="G2518" s="19" t="n">
        <v>774310051917</v>
      </c>
      <c r="H2518" s="17" t="s">
        <v>35</v>
      </c>
      <c r="I2518" s="17" t="s">
        <v>36</v>
      </c>
      <c r="J2518" s="17" t="s">
        <v>106</v>
      </c>
      <c r="K2518" s="17" t="str">
        <f aca="false">VLOOKUP(J2518,Sheet2!A:B,2,0)</f>
        <v>PRAKASH CHAVDA</v>
      </c>
      <c r="L2518" s="17" t="n">
        <v>5</v>
      </c>
      <c r="M2518" s="17" t="str">
        <f aca="false">VLOOKUP(L2518,Sheet2!D:E,2,0)</f>
        <v>Main Processor CPU BGA</v>
      </c>
      <c r="N2518" s="17" t="n">
        <v>24</v>
      </c>
      <c r="O2518" s="17" t="str">
        <f aca="false">VLOOKUP(N2518,Sheet2!G:H,2,0)</f>
        <v>STB Auto moving -Stand by mode</v>
      </c>
      <c r="P2518" s="17" t="n">
        <v>12</v>
      </c>
      <c r="Q2518" s="17" t="str">
        <f aca="false">VLOOKUP(P2518,Sheet2!J:K,2,0)</f>
        <v>IR Declared due to Others ( IR Normal)TB</v>
      </c>
      <c r="R2518" s="17" t="s">
        <v>35</v>
      </c>
      <c r="S2518" s="17" t="str">
        <f aca="false">VLOOKUP(R2518,Sheet2!N:O,2,0)</f>
        <v>IREPARABLE</v>
      </c>
      <c r="T2518" s="18" t="str">
        <f aca="false">VLOOKUP(P2518,Sheet2!Q:R,2,0)</f>
        <v>IR Normal - BER to IR</v>
      </c>
      <c r="U2518" s="20" t="s">
        <v>41</v>
      </c>
      <c r="V2518" s="17" t="n">
        <v>12</v>
      </c>
      <c r="W2518" s="20" t="str">
        <f aca="false">VLOOKUP(V2518,Sheet2!Q:R,2,0)</f>
        <v>IR Normal - BER to IR</v>
      </c>
      <c r="X2518" s="17" t="str">
        <f aca="false">J2518</f>
        <v>A018</v>
      </c>
      <c r="Y2518" s="17" t="str">
        <f aca="false">VLOOKUP(X2518,Sheet2!A:B,2,0)</f>
        <v>PRAKASH CHAVDA</v>
      </c>
      <c r="Z2518" s="17" t="s">
        <v>136</v>
      </c>
      <c r="AA2518" s="17"/>
      <c r="AB2518" s="17" t="s">
        <v>41</v>
      </c>
      <c r="AC2518" s="0" t="str">
        <f aca="false">LEFT(G2518,2)</f>
        <v>77</v>
      </c>
    </row>
    <row r="2519" customFormat="false" ht="15" hidden="false" customHeight="false" outlineLevel="0" collapsed="false">
      <c r="A2519" s="13" t="n">
        <f aca="false">1+A2518</f>
        <v>2517</v>
      </c>
      <c r="B2519" s="14" t="n">
        <v>1009568589</v>
      </c>
      <c r="C2519" s="15" t="s">
        <v>102</v>
      </c>
      <c r="D2519" s="16" t="s">
        <v>103</v>
      </c>
      <c r="E2519" s="17" t="s">
        <v>47</v>
      </c>
      <c r="F2519" s="18" t="s">
        <v>34</v>
      </c>
      <c r="G2519" s="19" t="n">
        <v>774284006491</v>
      </c>
      <c r="H2519" s="17" t="s">
        <v>35</v>
      </c>
      <c r="I2519" s="17" t="s">
        <v>36</v>
      </c>
      <c r="J2519" s="17" t="s">
        <v>100</v>
      </c>
      <c r="K2519" s="17" t="str">
        <f aca="false">VLOOKUP(J2519,Sheet2!A:B,2,0)</f>
        <v>PIYUSH CHAVDA</v>
      </c>
      <c r="L2519" s="17" t="n">
        <v>5</v>
      </c>
      <c r="M2519" s="17" t="str">
        <f aca="false">VLOOKUP(L2519,Sheet2!D:E,2,0)</f>
        <v>Main Processor CPU BGA</v>
      </c>
      <c r="N2519" s="17" t="n">
        <v>1</v>
      </c>
      <c r="O2519" s="17" t="str">
        <f aca="false">VLOOKUP(N2519,Sheet2!G:H,2,0)</f>
        <v>Dead</v>
      </c>
      <c r="P2519" s="17" t="n">
        <v>11</v>
      </c>
      <c r="Q2519" s="17" t="str">
        <f aca="false">VLOOKUP(P2519,Sheet2!J:K,2,0)</f>
        <v>IR Declared due to CID -TA</v>
      </c>
      <c r="R2519" s="17" t="s">
        <v>35</v>
      </c>
      <c r="S2519" s="17" t="str">
        <f aca="false">VLOOKUP(R2519,Sheet2!N:O,2,0)</f>
        <v>IREPARABLE</v>
      </c>
      <c r="T2519" s="18" t="str">
        <f aca="false">VLOOKUP(P2519,Sheet2!Q:R,2,0)</f>
        <v>IR Normal - Track burn out</v>
      </c>
      <c r="U2519" s="20" t="s">
        <v>41</v>
      </c>
      <c r="V2519" s="17" t="n">
        <v>8</v>
      </c>
      <c r="W2519" s="20" t="str">
        <f aca="false">VLOOKUP(V2519,Sheet2!Q:R,2,0)</f>
        <v>IR Normal -TrackRust/InternalDamage/open</v>
      </c>
      <c r="X2519" s="17" t="str">
        <f aca="false">J2519</f>
        <v>A050</v>
      </c>
      <c r="Y2519" s="17" t="str">
        <f aca="false">VLOOKUP(X2519,Sheet2!A:B,2,0)</f>
        <v>PIYUSH CHAVDA</v>
      </c>
      <c r="Z2519" s="17" t="s">
        <v>136</v>
      </c>
      <c r="AA2519" s="17"/>
      <c r="AB2519" s="17" t="s">
        <v>41</v>
      </c>
      <c r="AC2519" s="0" t="str">
        <f aca="false">LEFT(G2519,2)</f>
        <v>77</v>
      </c>
    </row>
    <row r="2520" customFormat="false" ht="15" hidden="false" customHeight="false" outlineLevel="0" collapsed="false">
      <c r="A2520" s="13" t="n">
        <f aca="false">1+A2519</f>
        <v>2518</v>
      </c>
      <c r="B2520" s="14" t="n">
        <v>1009618677</v>
      </c>
      <c r="C2520" s="15" t="s">
        <v>184</v>
      </c>
      <c r="D2520" s="16" t="s">
        <v>64</v>
      </c>
      <c r="E2520" s="17" t="s">
        <v>47</v>
      </c>
      <c r="F2520" s="18" t="s">
        <v>34</v>
      </c>
      <c r="G2520" s="19" t="n">
        <v>868157104464</v>
      </c>
      <c r="H2520" s="17" t="s">
        <v>35</v>
      </c>
      <c r="I2520" s="17" t="s">
        <v>72</v>
      </c>
      <c r="J2520" s="17" t="s">
        <v>121</v>
      </c>
      <c r="K2520" s="17" t="str">
        <f aca="false">VLOOKUP(J2520,Sheet2!A:B,2,0)</f>
        <v>SHANI GOHIL</v>
      </c>
      <c r="L2520" s="17" t="n">
        <v>1</v>
      </c>
      <c r="M2520" s="17" t="str">
        <f aca="false">VLOOKUP(L2520,Sheet2!D:E,2,0)</f>
        <v>Power Supply Section</v>
      </c>
      <c r="N2520" s="17" t="n">
        <v>1</v>
      </c>
      <c r="O2520" s="17" t="str">
        <f aca="false">VLOOKUP(N2520,Sheet2!G:H,2,0)</f>
        <v>Dead</v>
      </c>
      <c r="P2520" s="17" t="n">
        <v>11</v>
      </c>
      <c r="Q2520" s="17" t="str">
        <f aca="false">VLOOKUP(P2520,Sheet2!J:K,2,0)</f>
        <v>IR Declared due to CID -TA</v>
      </c>
      <c r="R2520" s="17" t="s">
        <v>35</v>
      </c>
      <c r="S2520" s="17" t="str">
        <f aca="false">VLOOKUP(R2520,Sheet2!N:O,2,0)</f>
        <v>IREPARABLE</v>
      </c>
      <c r="T2520" s="18" t="str">
        <f aca="false">VLOOKUP(P2520,Sheet2!Q:R,2,0)</f>
        <v>IR Normal - Track burn out</v>
      </c>
      <c r="U2520" s="20" t="s">
        <v>41</v>
      </c>
      <c r="V2520" s="17" t="n">
        <v>8</v>
      </c>
      <c r="W2520" s="20" t="str">
        <f aca="false">VLOOKUP(V2520,Sheet2!Q:R,2,0)</f>
        <v>IR Normal -TrackRust/InternalDamage/open</v>
      </c>
      <c r="X2520" s="17" t="str">
        <f aca="false">J2520</f>
        <v>A063</v>
      </c>
      <c r="Y2520" s="17" t="str">
        <f aca="false">VLOOKUP(X2520,Sheet2!A:B,2,0)</f>
        <v>SHANI GOHIL</v>
      </c>
      <c r="Z2520" s="17" t="s">
        <v>1147</v>
      </c>
      <c r="AA2520" s="17"/>
      <c r="AB2520" s="17" t="s">
        <v>41</v>
      </c>
      <c r="AC2520" s="0" t="str">
        <f aca="false">LEFT(G2520,2)</f>
        <v>86</v>
      </c>
    </row>
    <row r="2521" customFormat="false" ht="15" hidden="false" customHeight="false" outlineLevel="0" collapsed="false">
      <c r="A2521" s="13" t="n">
        <f aca="false">1+A2520</f>
        <v>2519</v>
      </c>
      <c r="B2521" s="14" t="n">
        <v>1009678648</v>
      </c>
      <c r="C2521" s="15" t="s">
        <v>436</v>
      </c>
      <c r="D2521" s="16" t="s">
        <v>119</v>
      </c>
      <c r="E2521" s="17" t="s">
        <v>33</v>
      </c>
      <c r="F2521" s="18" t="s">
        <v>34</v>
      </c>
      <c r="G2521" s="19" t="n">
        <v>868165169863</v>
      </c>
      <c r="H2521" s="17" t="s">
        <v>35</v>
      </c>
      <c r="I2521" s="17" t="s">
        <v>72</v>
      </c>
      <c r="J2521" s="17" t="s">
        <v>37</v>
      </c>
      <c r="K2521" s="17" t="str">
        <f aca="false">VLOOKUP(J2521,Sheet2!A:B,2,0)</f>
        <v>PRASHANT,AKASH</v>
      </c>
      <c r="L2521" s="17" t="n">
        <v>5</v>
      </c>
      <c r="M2521" s="17" t="str">
        <f aca="false">VLOOKUP(L2521,Sheet2!D:E,2,0)</f>
        <v>Main Processor CPU BGA</v>
      </c>
      <c r="N2521" s="17" t="n">
        <v>1</v>
      </c>
      <c r="O2521" s="17" t="str">
        <f aca="false">VLOOKUP(N2521,Sheet2!G:H,2,0)</f>
        <v>Dead</v>
      </c>
      <c r="P2521" s="17" t="n">
        <v>11</v>
      </c>
      <c r="Q2521" s="17" t="str">
        <f aca="false">VLOOKUP(P2521,Sheet2!J:K,2,0)</f>
        <v>IR Declared due to CID -TA</v>
      </c>
      <c r="R2521" s="17" t="s">
        <v>35</v>
      </c>
      <c r="S2521" s="17" t="str">
        <f aca="false">VLOOKUP(R2521,Sheet2!N:O,2,0)</f>
        <v>IREPARABLE</v>
      </c>
      <c r="T2521" s="18" t="str">
        <f aca="false">VLOOKUP(P2521,Sheet2!Q:R,2,0)</f>
        <v>IR Normal - Track burn out</v>
      </c>
      <c r="U2521" s="20" t="s">
        <v>41</v>
      </c>
      <c r="V2521" s="17" t="n">
        <v>8</v>
      </c>
      <c r="W2521" s="20" t="str">
        <f aca="false">VLOOKUP(V2521,Sheet2!Q:R,2,0)</f>
        <v>IR Normal -TrackRust/InternalDamage/open</v>
      </c>
      <c r="X2521" s="17" t="str">
        <f aca="false">J2521</f>
        <v>A041</v>
      </c>
      <c r="Y2521" s="17" t="str">
        <f aca="false">VLOOKUP(X2521,Sheet2!A:B,2,0)</f>
        <v>PRASHANT,AKASH</v>
      </c>
      <c r="Z2521" s="17" t="s">
        <v>1147</v>
      </c>
      <c r="AA2521" s="17"/>
      <c r="AB2521" s="17" t="s">
        <v>41</v>
      </c>
      <c r="AC2521" s="0" t="str">
        <f aca="false">LEFT(G2521,2)</f>
        <v>86</v>
      </c>
    </row>
    <row r="2522" customFormat="false" ht="15" hidden="false" customHeight="false" outlineLevel="0" collapsed="false">
      <c r="A2522" s="13" t="n">
        <f aca="false">1+A2521</f>
        <v>2520</v>
      </c>
      <c r="B2522" s="14" t="n">
        <v>1009282029</v>
      </c>
      <c r="C2522" s="15" t="s">
        <v>85</v>
      </c>
      <c r="D2522" s="16" t="s">
        <v>64</v>
      </c>
      <c r="E2522" s="17" t="s">
        <v>91</v>
      </c>
      <c r="F2522" s="18" t="s">
        <v>34</v>
      </c>
      <c r="G2522" s="19" t="n">
        <v>134211101719</v>
      </c>
      <c r="H2522" s="17" t="s">
        <v>35</v>
      </c>
      <c r="I2522" s="17" t="s">
        <v>44</v>
      </c>
      <c r="J2522" s="17" t="s">
        <v>106</v>
      </c>
      <c r="K2522" s="17" t="str">
        <f aca="false">VLOOKUP(J2522,Sheet2!A:B,2,0)</f>
        <v>PRAKASH CHAVDA</v>
      </c>
      <c r="L2522" s="17" t="n">
        <v>5</v>
      </c>
      <c r="M2522" s="17" t="str">
        <f aca="false">VLOOKUP(L2522,Sheet2!D:E,2,0)</f>
        <v>Main Processor CPU BGA</v>
      </c>
      <c r="N2522" s="17" t="n">
        <v>24</v>
      </c>
      <c r="O2522" s="17" t="str">
        <f aca="false">VLOOKUP(N2522,Sheet2!G:H,2,0)</f>
        <v>STB Auto moving -Stand by mode</v>
      </c>
      <c r="P2522" s="17" t="n">
        <v>12</v>
      </c>
      <c r="Q2522" s="17" t="str">
        <f aca="false">VLOOKUP(P2522,Sheet2!J:K,2,0)</f>
        <v>IR Declared due to Others ( IR Normal)TB</v>
      </c>
      <c r="R2522" s="17" t="s">
        <v>35</v>
      </c>
      <c r="S2522" s="17" t="str">
        <f aca="false">VLOOKUP(R2522,Sheet2!N:O,2,0)</f>
        <v>IREPARABLE</v>
      </c>
      <c r="T2522" s="18" t="str">
        <f aca="false">VLOOKUP(P2522,Sheet2!Q:R,2,0)</f>
        <v>IR Normal - BER to IR</v>
      </c>
      <c r="U2522" s="20" t="s">
        <v>41</v>
      </c>
      <c r="V2522" s="17" t="n">
        <v>12</v>
      </c>
      <c r="W2522" s="20" t="str">
        <f aca="false">VLOOKUP(V2522,Sheet2!Q:R,2,0)</f>
        <v>IR Normal - BER to IR</v>
      </c>
      <c r="X2522" s="17" t="str">
        <f aca="false">J2522</f>
        <v>A018</v>
      </c>
      <c r="Y2522" s="17" t="str">
        <f aca="false">VLOOKUP(X2522,Sheet2!A:B,2,0)</f>
        <v>PRAKASH CHAVDA</v>
      </c>
      <c r="Z2522" s="17" t="s">
        <v>136</v>
      </c>
      <c r="AA2522" s="17"/>
      <c r="AB2522" s="17" t="s">
        <v>41</v>
      </c>
      <c r="AC2522" s="0" t="str">
        <f aca="false">LEFT(G2522,2)</f>
        <v>13</v>
      </c>
    </row>
    <row r="2523" customFormat="false" ht="15" hidden="false" customHeight="false" outlineLevel="0" collapsed="false">
      <c r="A2523" s="13" t="n">
        <f aca="false">1+A2522</f>
        <v>2521</v>
      </c>
      <c r="B2523" s="14" t="n">
        <v>1008840546</v>
      </c>
      <c r="C2523" s="15" t="s">
        <v>1263</v>
      </c>
      <c r="D2523" s="16" t="s">
        <v>64</v>
      </c>
      <c r="E2523" s="17" t="s">
        <v>64</v>
      </c>
      <c r="F2523" s="18" t="s">
        <v>34</v>
      </c>
      <c r="G2523" s="19" t="n">
        <v>134240220217</v>
      </c>
      <c r="H2523" s="17" t="s">
        <v>35</v>
      </c>
      <c r="I2523" s="17" t="s">
        <v>44</v>
      </c>
      <c r="J2523" s="17" t="s">
        <v>106</v>
      </c>
      <c r="K2523" s="17" t="str">
        <f aca="false">VLOOKUP(J2523,Sheet2!A:B,2,0)</f>
        <v>PRAKASH CHAVDA</v>
      </c>
      <c r="L2523" s="17" t="n">
        <v>5</v>
      </c>
      <c r="M2523" s="17" t="str">
        <f aca="false">VLOOKUP(L2523,Sheet2!D:E,2,0)</f>
        <v>Main Processor CPU BGA</v>
      </c>
      <c r="N2523" s="17" t="n">
        <v>24</v>
      </c>
      <c r="O2523" s="17" t="str">
        <f aca="false">VLOOKUP(N2523,Sheet2!G:H,2,0)</f>
        <v>STB Auto moving -Stand by mode</v>
      </c>
      <c r="P2523" s="17" t="n">
        <v>12</v>
      </c>
      <c r="Q2523" s="17" t="str">
        <f aca="false">VLOOKUP(P2523,Sheet2!J:K,2,0)</f>
        <v>IR Declared due to Others ( IR Normal)TB</v>
      </c>
      <c r="R2523" s="17" t="s">
        <v>35</v>
      </c>
      <c r="S2523" s="17" t="str">
        <f aca="false">VLOOKUP(R2523,Sheet2!N:O,2,0)</f>
        <v>IREPARABLE</v>
      </c>
      <c r="T2523" s="18" t="str">
        <f aca="false">VLOOKUP(P2523,Sheet2!Q:R,2,0)</f>
        <v>IR Normal - BER to IR</v>
      </c>
      <c r="U2523" s="20" t="s">
        <v>41</v>
      </c>
      <c r="V2523" s="17" t="n">
        <v>12</v>
      </c>
      <c r="W2523" s="20" t="str">
        <f aca="false">VLOOKUP(V2523,Sheet2!Q:R,2,0)</f>
        <v>IR Normal - BER to IR</v>
      </c>
      <c r="X2523" s="17" t="str">
        <f aca="false">J2523</f>
        <v>A018</v>
      </c>
      <c r="Y2523" s="17" t="str">
        <f aca="false">VLOOKUP(X2523,Sheet2!A:B,2,0)</f>
        <v>PRAKASH CHAVDA</v>
      </c>
      <c r="Z2523" s="17" t="s">
        <v>136</v>
      </c>
      <c r="AA2523" s="17"/>
      <c r="AB2523" s="17" t="s">
        <v>41</v>
      </c>
      <c r="AC2523" s="0" t="str">
        <f aca="false">LEFT(G2523,2)</f>
        <v>13</v>
      </c>
    </row>
    <row r="2524" customFormat="false" ht="15" hidden="false" customHeight="false" outlineLevel="0" collapsed="false">
      <c r="A2524" s="13" t="n">
        <f aca="false">1+A2523</f>
        <v>2522</v>
      </c>
      <c r="B2524" s="14" t="n">
        <v>1009091472</v>
      </c>
      <c r="C2524" s="15" t="s">
        <v>414</v>
      </c>
      <c r="D2524" s="16" t="s">
        <v>64</v>
      </c>
      <c r="E2524" s="17" t="s">
        <v>91</v>
      </c>
      <c r="F2524" s="18" t="s">
        <v>34</v>
      </c>
      <c r="G2524" s="19" t="n">
        <v>134283048848</v>
      </c>
      <c r="H2524" s="17" t="s">
        <v>35</v>
      </c>
      <c r="I2524" s="17" t="s">
        <v>44</v>
      </c>
      <c r="J2524" s="17" t="s">
        <v>111</v>
      </c>
      <c r="K2524" s="17" t="str">
        <f aca="false">VLOOKUP(J2524,Sheet2!A:B,2,0)</f>
        <v>NITIN PRANAMI</v>
      </c>
      <c r="L2524" s="17" t="n">
        <v>7</v>
      </c>
      <c r="M2524" s="17" t="str">
        <f aca="false">VLOOKUP(L2524,Sheet2!D:E,2,0)</f>
        <v>Card Reader Section</v>
      </c>
      <c r="N2524" s="17" t="n">
        <v>36</v>
      </c>
      <c r="O2524" s="17" t="str">
        <f aca="false">VLOOKUP(N2524,Sheet2!G:H,2,0)</f>
        <v>Error -1</v>
      </c>
      <c r="P2524" s="17" t="n">
        <v>12</v>
      </c>
      <c r="Q2524" s="17" t="str">
        <f aca="false">VLOOKUP(P2524,Sheet2!J:K,2,0)</f>
        <v>IR Declared due to Others ( IR Normal)TB</v>
      </c>
      <c r="R2524" s="17" t="s">
        <v>35</v>
      </c>
      <c r="S2524" s="17" t="str">
        <f aca="false">VLOOKUP(R2524,Sheet2!N:O,2,0)</f>
        <v>IREPARABLE</v>
      </c>
      <c r="T2524" s="18" t="str">
        <f aca="false">VLOOKUP(P2524,Sheet2!Q:R,2,0)</f>
        <v>IR Normal - BER to IR</v>
      </c>
      <c r="U2524" s="20" t="s">
        <v>41</v>
      </c>
      <c r="V2524" s="17" t="n">
        <v>12</v>
      </c>
      <c r="W2524" s="20" t="str">
        <f aca="false">VLOOKUP(V2524,Sheet2!Q:R,2,0)</f>
        <v>IR Normal - BER to IR</v>
      </c>
      <c r="X2524" s="17" t="str">
        <f aca="false">J2524</f>
        <v>A031</v>
      </c>
      <c r="Y2524" s="17" t="str">
        <f aca="false">VLOOKUP(X2524,Sheet2!A:B,2,0)</f>
        <v>NITIN PRANAMI</v>
      </c>
      <c r="Z2524" s="17" t="s">
        <v>136</v>
      </c>
      <c r="AA2524" s="17"/>
      <c r="AB2524" s="17" t="s">
        <v>41</v>
      </c>
      <c r="AC2524" s="0" t="str">
        <f aca="false">LEFT(G2524,2)</f>
        <v>13</v>
      </c>
    </row>
    <row r="2525" customFormat="false" ht="15" hidden="false" customHeight="false" outlineLevel="0" collapsed="false">
      <c r="A2525" s="13" t="n">
        <f aca="false">1+A2524</f>
        <v>2523</v>
      </c>
      <c r="B2525" s="14" t="n">
        <v>1008823231</v>
      </c>
      <c r="C2525" s="15" t="s">
        <v>438</v>
      </c>
      <c r="D2525" s="16" t="s">
        <v>64</v>
      </c>
      <c r="E2525" s="17" t="s">
        <v>64</v>
      </c>
      <c r="F2525" s="18" t="s">
        <v>34</v>
      </c>
      <c r="G2525" s="19" t="n">
        <v>134317188396</v>
      </c>
      <c r="H2525" s="17" t="s">
        <v>35</v>
      </c>
      <c r="I2525" s="17" t="s">
        <v>44</v>
      </c>
      <c r="J2525" s="17" t="s">
        <v>106</v>
      </c>
      <c r="K2525" s="17" t="str">
        <f aca="false">VLOOKUP(J2525,Sheet2!A:B,2,0)</f>
        <v>PRAKASH CHAVDA</v>
      </c>
      <c r="L2525" s="17" t="n">
        <v>5</v>
      </c>
      <c r="M2525" s="17" t="str">
        <f aca="false">VLOOKUP(L2525,Sheet2!D:E,2,0)</f>
        <v>Main Processor CPU BGA</v>
      </c>
      <c r="N2525" s="17" t="n">
        <v>24</v>
      </c>
      <c r="O2525" s="17" t="str">
        <f aca="false">VLOOKUP(N2525,Sheet2!G:H,2,0)</f>
        <v>STB Auto moving -Stand by mode</v>
      </c>
      <c r="P2525" s="17" t="n">
        <v>12</v>
      </c>
      <c r="Q2525" s="17" t="str">
        <f aca="false">VLOOKUP(P2525,Sheet2!J:K,2,0)</f>
        <v>IR Declared due to Others ( IR Normal)TB</v>
      </c>
      <c r="R2525" s="17" t="s">
        <v>35</v>
      </c>
      <c r="S2525" s="17" t="str">
        <f aca="false">VLOOKUP(R2525,Sheet2!N:O,2,0)</f>
        <v>IREPARABLE</v>
      </c>
      <c r="T2525" s="18" t="str">
        <f aca="false">VLOOKUP(P2525,Sheet2!Q:R,2,0)</f>
        <v>IR Normal - BER to IR</v>
      </c>
      <c r="U2525" s="20" t="s">
        <v>41</v>
      </c>
      <c r="V2525" s="17" t="n">
        <v>12</v>
      </c>
      <c r="W2525" s="20" t="str">
        <f aca="false">VLOOKUP(V2525,Sheet2!Q:R,2,0)</f>
        <v>IR Normal - BER to IR</v>
      </c>
      <c r="X2525" s="17" t="str">
        <f aca="false">J2525</f>
        <v>A018</v>
      </c>
      <c r="Y2525" s="17" t="str">
        <f aca="false">VLOOKUP(X2525,Sheet2!A:B,2,0)</f>
        <v>PRAKASH CHAVDA</v>
      </c>
      <c r="Z2525" s="17" t="s">
        <v>136</v>
      </c>
      <c r="AA2525" s="17"/>
      <c r="AB2525" s="17" t="s">
        <v>41</v>
      </c>
      <c r="AC2525" s="0" t="str">
        <f aca="false">LEFT(G2525,2)</f>
        <v>13</v>
      </c>
    </row>
    <row r="2526" customFormat="false" ht="15" hidden="false" customHeight="false" outlineLevel="0" collapsed="false">
      <c r="A2526" s="13" t="n">
        <f aca="false">1+A2525</f>
        <v>2524</v>
      </c>
      <c r="B2526" s="14" t="n">
        <v>1006426593</v>
      </c>
      <c r="C2526" s="15" t="s">
        <v>1264</v>
      </c>
      <c r="D2526" s="16" t="s">
        <v>64</v>
      </c>
      <c r="E2526" s="17" t="s">
        <v>91</v>
      </c>
      <c r="F2526" s="18" t="s">
        <v>34</v>
      </c>
      <c r="G2526" s="19" t="n">
        <v>134127043120</v>
      </c>
      <c r="H2526" s="17" t="s">
        <v>35</v>
      </c>
      <c r="I2526" s="17" t="s">
        <v>44</v>
      </c>
      <c r="J2526" s="17" t="s">
        <v>106</v>
      </c>
      <c r="K2526" s="17" t="str">
        <f aca="false">VLOOKUP(J2526,Sheet2!A:B,2,0)</f>
        <v>PRAKASH CHAVDA</v>
      </c>
      <c r="L2526" s="17" t="n">
        <v>5</v>
      </c>
      <c r="M2526" s="17" t="str">
        <f aca="false">VLOOKUP(L2526,Sheet2!D:E,2,0)</f>
        <v>Main Processor CPU BGA</v>
      </c>
      <c r="N2526" s="17" t="n">
        <v>24</v>
      </c>
      <c r="O2526" s="17" t="str">
        <f aca="false">VLOOKUP(N2526,Sheet2!G:H,2,0)</f>
        <v>STB Auto moving -Stand by mode</v>
      </c>
      <c r="P2526" s="17" t="n">
        <v>12</v>
      </c>
      <c r="Q2526" s="17" t="str">
        <f aca="false">VLOOKUP(P2526,Sheet2!J:K,2,0)</f>
        <v>IR Declared due to Others ( IR Normal)TB</v>
      </c>
      <c r="R2526" s="17" t="s">
        <v>35</v>
      </c>
      <c r="S2526" s="17" t="str">
        <f aca="false">VLOOKUP(R2526,Sheet2!N:O,2,0)</f>
        <v>IREPARABLE</v>
      </c>
      <c r="T2526" s="18" t="str">
        <f aca="false">VLOOKUP(P2526,Sheet2!Q:R,2,0)</f>
        <v>IR Normal - BER to IR</v>
      </c>
      <c r="U2526" s="20" t="s">
        <v>41</v>
      </c>
      <c r="V2526" s="17" t="n">
        <v>12</v>
      </c>
      <c r="W2526" s="20" t="str">
        <f aca="false">VLOOKUP(V2526,Sheet2!Q:R,2,0)</f>
        <v>IR Normal - BER to IR</v>
      </c>
      <c r="X2526" s="17" t="str">
        <f aca="false">J2526</f>
        <v>A018</v>
      </c>
      <c r="Y2526" s="17" t="str">
        <f aca="false">VLOOKUP(X2526,Sheet2!A:B,2,0)</f>
        <v>PRAKASH CHAVDA</v>
      </c>
      <c r="Z2526" s="17" t="s">
        <v>136</v>
      </c>
      <c r="AA2526" s="17"/>
      <c r="AB2526" s="17" t="s">
        <v>41</v>
      </c>
      <c r="AC2526" s="0" t="str">
        <f aca="false">LEFT(G2526,2)</f>
        <v>13</v>
      </c>
    </row>
    <row r="2527" customFormat="false" ht="15" hidden="false" customHeight="false" outlineLevel="0" collapsed="false">
      <c r="A2527" s="13" t="n">
        <f aca="false">1+A2526</f>
        <v>2525</v>
      </c>
      <c r="B2527" s="14" t="n">
        <v>1007565057</v>
      </c>
      <c r="C2527" s="15" t="s">
        <v>660</v>
      </c>
      <c r="D2527" s="16" t="s">
        <v>64</v>
      </c>
      <c r="E2527" s="17" t="s">
        <v>64</v>
      </c>
      <c r="F2527" s="18" t="s">
        <v>34</v>
      </c>
      <c r="G2527" s="19" t="n">
        <v>134268410930</v>
      </c>
      <c r="H2527" s="17" t="s">
        <v>35</v>
      </c>
      <c r="I2527" s="17" t="s">
        <v>44</v>
      </c>
      <c r="J2527" s="17" t="s">
        <v>106</v>
      </c>
      <c r="K2527" s="17" t="str">
        <f aca="false">VLOOKUP(J2527,Sheet2!A:B,2,0)</f>
        <v>PRAKASH CHAVDA</v>
      </c>
      <c r="L2527" s="17" t="n">
        <v>5</v>
      </c>
      <c r="M2527" s="17" t="str">
        <f aca="false">VLOOKUP(L2527,Sheet2!D:E,2,0)</f>
        <v>Main Processor CPU BGA</v>
      </c>
      <c r="N2527" s="17" t="n">
        <v>24</v>
      </c>
      <c r="O2527" s="17" t="str">
        <f aca="false">VLOOKUP(N2527,Sheet2!G:H,2,0)</f>
        <v>STB Auto moving -Stand by mode</v>
      </c>
      <c r="P2527" s="17" t="n">
        <v>12</v>
      </c>
      <c r="Q2527" s="17" t="str">
        <f aca="false">VLOOKUP(P2527,Sheet2!J:K,2,0)</f>
        <v>IR Declared due to Others ( IR Normal)TB</v>
      </c>
      <c r="R2527" s="17" t="s">
        <v>35</v>
      </c>
      <c r="S2527" s="17" t="str">
        <f aca="false">VLOOKUP(R2527,Sheet2!N:O,2,0)</f>
        <v>IREPARABLE</v>
      </c>
      <c r="T2527" s="18" t="str">
        <f aca="false">VLOOKUP(P2527,Sheet2!Q:R,2,0)</f>
        <v>IR Normal - BER to IR</v>
      </c>
      <c r="U2527" s="20" t="s">
        <v>41</v>
      </c>
      <c r="V2527" s="17" t="n">
        <v>12</v>
      </c>
      <c r="W2527" s="20" t="str">
        <f aca="false">VLOOKUP(V2527,Sheet2!Q:R,2,0)</f>
        <v>IR Normal - BER to IR</v>
      </c>
      <c r="X2527" s="17" t="str">
        <f aca="false">J2527</f>
        <v>A018</v>
      </c>
      <c r="Y2527" s="17" t="str">
        <f aca="false">VLOOKUP(X2527,Sheet2!A:B,2,0)</f>
        <v>PRAKASH CHAVDA</v>
      </c>
      <c r="Z2527" s="17" t="s">
        <v>136</v>
      </c>
      <c r="AA2527" s="17"/>
      <c r="AB2527" s="17" t="s">
        <v>41</v>
      </c>
      <c r="AC2527" s="0" t="str">
        <f aca="false">LEFT(G2527,2)</f>
        <v>13</v>
      </c>
    </row>
    <row r="2528" customFormat="false" ht="15" hidden="false" customHeight="false" outlineLevel="0" collapsed="false">
      <c r="A2528" s="13" t="n">
        <f aca="false">1+A2527</f>
        <v>2526</v>
      </c>
      <c r="B2528" s="14" t="n">
        <v>1008920595</v>
      </c>
      <c r="C2528" s="15" t="s">
        <v>438</v>
      </c>
      <c r="D2528" s="16" t="s">
        <v>64</v>
      </c>
      <c r="E2528" s="17" t="s">
        <v>64</v>
      </c>
      <c r="F2528" s="18" t="s">
        <v>34</v>
      </c>
      <c r="G2528" s="19" t="n">
        <v>134127326673</v>
      </c>
      <c r="H2528" s="17" t="s">
        <v>35</v>
      </c>
      <c r="I2528" s="17" t="s">
        <v>44</v>
      </c>
      <c r="J2528" s="17" t="s">
        <v>111</v>
      </c>
      <c r="K2528" s="17" t="str">
        <f aca="false">VLOOKUP(J2528,Sheet2!A:B,2,0)</f>
        <v>NITIN PRANAMI</v>
      </c>
      <c r="L2528" s="17" t="n">
        <v>5</v>
      </c>
      <c r="M2528" s="17" t="str">
        <f aca="false">VLOOKUP(L2528,Sheet2!D:E,2,0)</f>
        <v>Main Processor CPU BGA</v>
      </c>
      <c r="N2528" s="17" t="n">
        <v>24</v>
      </c>
      <c r="O2528" s="17" t="str">
        <f aca="false">VLOOKUP(N2528,Sheet2!G:H,2,0)</f>
        <v>STB Auto moving -Stand by mode</v>
      </c>
      <c r="P2528" s="17" t="n">
        <v>12</v>
      </c>
      <c r="Q2528" s="17" t="str">
        <f aca="false">VLOOKUP(P2528,Sheet2!J:K,2,0)</f>
        <v>IR Declared due to Others ( IR Normal)TB</v>
      </c>
      <c r="R2528" s="17" t="s">
        <v>35</v>
      </c>
      <c r="S2528" s="17" t="str">
        <f aca="false">VLOOKUP(R2528,Sheet2!N:O,2,0)</f>
        <v>IREPARABLE</v>
      </c>
      <c r="T2528" s="18" t="str">
        <f aca="false">VLOOKUP(P2528,Sheet2!Q:R,2,0)</f>
        <v>IR Normal - BER to IR</v>
      </c>
      <c r="U2528" s="20" t="s">
        <v>41</v>
      </c>
      <c r="V2528" s="17" t="n">
        <v>12</v>
      </c>
      <c r="W2528" s="20" t="str">
        <f aca="false">VLOOKUP(V2528,Sheet2!Q:R,2,0)</f>
        <v>IR Normal - BER to IR</v>
      </c>
      <c r="X2528" s="17" t="str">
        <f aca="false">J2528</f>
        <v>A031</v>
      </c>
      <c r="Y2528" s="17" t="str">
        <f aca="false">VLOOKUP(X2528,Sheet2!A:B,2,0)</f>
        <v>NITIN PRANAMI</v>
      </c>
      <c r="Z2528" s="17" t="s">
        <v>136</v>
      </c>
      <c r="AA2528" s="17"/>
      <c r="AB2528" s="17" t="s">
        <v>41</v>
      </c>
      <c r="AC2528" s="0" t="str">
        <f aca="false">LEFT(G2528,2)</f>
        <v>13</v>
      </c>
    </row>
    <row r="2529" customFormat="false" ht="15" hidden="false" customHeight="false" outlineLevel="0" collapsed="false">
      <c r="A2529" s="13" t="n">
        <f aca="false">1+A2528</f>
        <v>2527</v>
      </c>
      <c r="B2529" s="14" t="n">
        <v>1009635507</v>
      </c>
      <c r="C2529" s="15" t="s">
        <v>182</v>
      </c>
      <c r="D2529" s="16" t="s">
        <v>64</v>
      </c>
      <c r="E2529" s="17" t="s">
        <v>744</v>
      </c>
      <c r="F2529" s="18" t="s">
        <v>34</v>
      </c>
      <c r="G2529" s="19" t="n">
        <v>301005152428</v>
      </c>
      <c r="H2529" s="17" t="s">
        <v>35</v>
      </c>
      <c r="I2529" s="17" t="s">
        <v>79</v>
      </c>
      <c r="J2529" s="17" t="s">
        <v>111</v>
      </c>
      <c r="K2529" s="17" t="str">
        <f aca="false">VLOOKUP(J2529,Sheet2!A:B,2,0)</f>
        <v>NITIN PRANAMI</v>
      </c>
      <c r="L2529" s="17" t="n">
        <v>2</v>
      </c>
      <c r="M2529" s="17" t="str">
        <f aca="false">VLOOKUP(L2529,Sheet2!D:E,2,0)</f>
        <v>Tuner Section</v>
      </c>
      <c r="N2529" s="17" t="n">
        <v>6</v>
      </c>
      <c r="O2529" s="17" t="str">
        <f aca="false">VLOOKUP(N2529,Sheet2!G:H,2,0)</f>
        <v>No Signal</v>
      </c>
      <c r="P2529" s="17" t="n">
        <v>11</v>
      </c>
      <c r="Q2529" s="17" t="str">
        <f aca="false">VLOOKUP(P2529,Sheet2!J:K,2,0)</f>
        <v>IR Declared due to CID -TA</v>
      </c>
      <c r="R2529" s="17" t="s">
        <v>35</v>
      </c>
      <c r="S2529" s="17" t="str">
        <f aca="false">VLOOKUP(R2529,Sheet2!N:O,2,0)</f>
        <v>IREPARABLE</v>
      </c>
      <c r="T2529" s="18" t="str">
        <f aca="false">VLOOKUP(P2529,Sheet2!Q:R,2,0)</f>
        <v>IR Normal - Track burn out</v>
      </c>
      <c r="U2529" s="20" t="s">
        <v>41</v>
      </c>
      <c r="V2529" s="17" t="n">
        <v>1</v>
      </c>
      <c r="W2529" s="20" t="str">
        <f aca="false">VLOOKUP(V2529,Sheet2!Q:R,2,0)</f>
        <v>IR CID -  Water log from IF port</v>
      </c>
      <c r="X2529" s="17" t="str">
        <f aca="false">J2529</f>
        <v>A031</v>
      </c>
      <c r="Y2529" s="17" t="str">
        <f aca="false">VLOOKUP(X2529,Sheet2!A:B,2,0)</f>
        <v>NITIN PRANAMI</v>
      </c>
      <c r="Z2529" s="17" t="s">
        <v>306</v>
      </c>
      <c r="AA2529" s="17"/>
      <c r="AB2529" s="17" t="s">
        <v>41</v>
      </c>
      <c r="AC2529" s="0" t="str">
        <f aca="false">LEFT(G2529,2)</f>
        <v>30</v>
      </c>
    </row>
    <row r="2530" customFormat="false" ht="15" hidden="false" customHeight="false" outlineLevel="0" collapsed="false">
      <c r="A2530" s="13" t="n">
        <f aca="false">1+A2529</f>
        <v>2528</v>
      </c>
      <c r="B2530" s="14" t="n">
        <v>1009624103</v>
      </c>
      <c r="C2530" s="15" t="s">
        <v>163</v>
      </c>
      <c r="D2530" s="16" t="s">
        <v>64</v>
      </c>
      <c r="E2530" s="17" t="s">
        <v>47</v>
      </c>
      <c r="F2530" s="18" t="s">
        <v>34</v>
      </c>
      <c r="G2530" s="19" t="n">
        <v>889326300999</v>
      </c>
      <c r="H2530" s="17" t="s">
        <v>35</v>
      </c>
      <c r="I2530" s="17" t="s">
        <v>79</v>
      </c>
      <c r="J2530" s="17" t="s">
        <v>239</v>
      </c>
      <c r="K2530" s="17" t="str">
        <f aca="false">VLOOKUP(J2530,Sheet2!A:B,2,0)</f>
        <v>VASANT PARMAR</v>
      </c>
      <c r="L2530" s="17" t="n">
        <v>5</v>
      </c>
      <c r="M2530" s="17" t="str">
        <f aca="false">VLOOKUP(L2530,Sheet2!D:E,2,0)</f>
        <v>Main Processor CPU BGA</v>
      </c>
      <c r="N2530" s="17" t="n">
        <v>1</v>
      </c>
      <c r="O2530" s="17" t="str">
        <f aca="false">VLOOKUP(N2530,Sheet2!G:H,2,0)</f>
        <v>Dead</v>
      </c>
      <c r="P2530" s="17" t="n">
        <v>11</v>
      </c>
      <c r="Q2530" s="17" t="str">
        <f aca="false">VLOOKUP(P2530,Sheet2!J:K,2,0)</f>
        <v>IR Declared due to CID -TA</v>
      </c>
      <c r="R2530" s="17" t="s">
        <v>35</v>
      </c>
      <c r="S2530" s="17" t="str">
        <f aca="false">VLOOKUP(R2530,Sheet2!N:O,2,0)</f>
        <v>IREPARABLE</v>
      </c>
      <c r="T2530" s="18" t="str">
        <f aca="false">VLOOKUP(P2530,Sheet2!Q:R,2,0)</f>
        <v>IR Normal - Track burn out</v>
      </c>
      <c r="U2530" s="20" t="s">
        <v>41</v>
      </c>
      <c r="V2530" s="17" t="n">
        <v>2</v>
      </c>
      <c r="W2530" s="20" t="str">
        <f aca="false">VLOOKUP(V2530,Sheet2!Q:R,2,0)</f>
        <v>IR CID -  Water log from other area</v>
      </c>
      <c r="X2530" s="17" t="str">
        <f aca="false">J2530</f>
        <v>A005</v>
      </c>
      <c r="Y2530" s="17" t="str">
        <f aca="false">VLOOKUP(X2530,Sheet2!A:B,2,0)</f>
        <v>VASANT PARMAR</v>
      </c>
      <c r="Z2530" s="17" t="s">
        <v>737</v>
      </c>
      <c r="AA2530" s="17"/>
      <c r="AB2530" s="17" t="s">
        <v>41</v>
      </c>
      <c r="AC2530" s="0" t="str">
        <f aca="false">LEFT(G2530,2)</f>
        <v>88</v>
      </c>
    </row>
    <row r="2531" customFormat="false" ht="15" hidden="false" customHeight="false" outlineLevel="0" collapsed="false">
      <c r="A2531" s="13" t="n">
        <f aca="false">1+A2530</f>
        <v>2529</v>
      </c>
      <c r="B2531" s="14" t="n">
        <v>1009667966</v>
      </c>
      <c r="C2531" s="15" t="s">
        <v>436</v>
      </c>
      <c r="D2531" s="16" t="s">
        <v>190</v>
      </c>
      <c r="E2531" s="17" t="s">
        <v>64</v>
      </c>
      <c r="F2531" s="18" t="s">
        <v>34</v>
      </c>
      <c r="G2531" s="19" t="n">
        <v>889294385550</v>
      </c>
      <c r="H2531" s="17" t="s">
        <v>35</v>
      </c>
      <c r="I2531" s="17" t="s">
        <v>79</v>
      </c>
      <c r="J2531" s="17" t="s">
        <v>239</v>
      </c>
      <c r="K2531" s="17" t="str">
        <f aca="false">VLOOKUP(J2531,Sheet2!A:B,2,0)</f>
        <v>VASANT PARMAR</v>
      </c>
      <c r="L2531" s="17" t="n">
        <v>5</v>
      </c>
      <c r="M2531" s="17" t="str">
        <f aca="false">VLOOKUP(L2531,Sheet2!D:E,2,0)</f>
        <v>Main Processor CPU BGA</v>
      </c>
      <c r="N2531" s="17" t="n">
        <v>1</v>
      </c>
      <c r="O2531" s="17" t="str">
        <f aca="false">VLOOKUP(N2531,Sheet2!G:H,2,0)</f>
        <v>Dead</v>
      </c>
      <c r="P2531" s="17" t="n">
        <v>11</v>
      </c>
      <c r="Q2531" s="17" t="str">
        <f aca="false">VLOOKUP(P2531,Sheet2!J:K,2,0)</f>
        <v>IR Declared due to CID -TA</v>
      </c>
      <c r="R2531" s="17" t="s">
        <v>35</v>
      </c>
      <c r="S2531" s="17" t="str">
        <f aca="false">VLOOKUP(R2531,Sheet2!N:O,2,0)</f>
        <v>IREPARABLE</v>
      </c>
      <c r="T2531" s="18" t="str">
        <f aca="false">VLOOKUP(P2531,Sheet2!Q:R,2,0)</f>
        <v>IR Normal - Track burn out</v>
      </c>
      <c r="U2531" s="20" t="s">
        <v>41</v>
      </c>
      <c r="V2531" s="17" t="n">
        <v>2</v>
      </c>
      <c r="W2531" s="20" t="str">
        <f aca="false">VLOOKUP(V2531,Sheet2!Q:R,2,0)</f>
        <v>IR CID -  Water log from other area</v>
      </c>
      <c r="X2531" s="17" t="str">
        <f aca="false">J2531</f>
        <v>A005</v>
      </c>
      <c r="Y2531" s="17" t="str">
        <f aca="false">VLOOKUP(X2531,Sheet2!A:B,2,0)</f>
        <v>VASANT PARMAR</v>
      </c>
      <c r="Z2531" s="17" t="s">
        <v>141</v>
      </c>
      <c r="AA2531" s="17"/>
      <c r="AB2531" s="17" t="s">
        <v>41</v>
      </c>
      <c r="AC2531" s="0" t="str">
        <f aca="false">LEFT(G2531,2)</f>
        <v>88</v>
      </c>
    </row>
    <row r="2532" customFormat="false" ht="15" hidden="false" customHeight="false" outlineLevel="0" collapsed="false">
      <c r="A2532" s="13" t="n">
        <f aca="false">1+A2531</f>
        <v>2530</v>
      </c>
      <c r="B2532" s="14" t="n">
        <v>1009618776</v>
      </c>
      <c r="C2532" s="15" t="s">
        <v>184</v>
      </c>
      <c r="D2532" s="16" t="s">
        <v>1265</v>
      </c>
      <c r="E2532" s="17" t="s">
        <v>47</v>
      </c>
      <c r="F2532" s="18" t="s">
        <v>34</v>
      </c>
      <c r="G2532" s="19" t="n">
        <v>878347186032</v>
      </c>
      <c r="H2532" s="17" t="s">
        <v>35</v>
      </c>
      <c r="I2532" s="17" t="s">
        <v>79</v>
      </c>
      <c r="J2532" s="17" t="s">
        <v>118</v>
      </c>
      <c r="K2532" s="17" t="str">
        <f aca="false">VLOOKUP(J2532,Sheet2!A:B,2,0)</f>
        <v>DEVENDRA RAJPUT</v>
      </c>
      <c r="L2532" s="17" t="n">
        <v>1</v>
      </c>
      <c r="M2532" s="17" t="str">
        <f aca="false">VLOOKUP(L2532,Sheet2!D:E,2,0)</f>
        <v>Power Supply Section</v>
      </c>
      <c r="N2532" s="17" t="n">
        <v>1</v>
      </c>
      <c r="O2532" s="17" t="str">
        <f aca="false">VLOOKUP(N2532,Sheet2!G:H,2,0)</f>
        <v>Dead</v>
      </c>
      <c r="P2532" s="17" t="n">
        <v>11</v>
      </c>
      <c r="Q2532" s="17" t="str">
        <f aca="false">VLOOKUP(P2532,Sheet2!J:K,2,0)</f>
        <v>IR Declared due to CID -TA</v>
      </c>
      <c r="R2532" s="17" t="s">
        <v>35</v>
      </c>
      <c r="S2532" s="17" t="str">
        <f aca="false">VLOOKUP(R2532,Sheet2!N:O,2,0)</f>
        <v>IREPARABLE</v>
      </c>
      <c r="T2532" s="18" t="str">
        <f aca="false">VLOOKUP(P2532,Sheet2!Q:R,2,0)</f>
        <v>IR Normal - Track burn out</v>
      </c>
      <c r="U2532" s="20" t="s">
        <v>41</v>
      </c>
      <c r="V2532" s="17" t="n">
        <v>1</v>
      </c>
      <c r="W2532" s="20" t="str">
        <f aca="false">VLOOKUP(V2532,Sheet2!Q:R,2,0)</f>
        <v>IR CID -  Water log from IF port</v>
      </c>
      <c r="X2532" s="17" t="str">
        <f aca="false">J2532</f>
        <v>A053</v>
      </c>
      <c r="Y2532" s="17" t="str">
        <f aca="false">VLOOKUP(X2532,Sheet2!A:B,2,0)</f>
        <v>DEVENDRA RAJPUT</v>
      </c>
      <c r="Z2532" s="17" t="s">
        <v>306</v>
      </c>
      <c r="AA2532" s="17"/>
      <c r="AB2532" s="17" t="s">
        <v>41</v>
      </c>
      <c r="AC2532" s="0" t="str">
        <f aca="false">LEFT(G2532,2)</f>
        <v>87</v>
      </c>
    </row>
    <row r="2533" customFormat="false" ht="15" hidden="false" customHeight="false" outlineLevel="0" collapsed="false">
      <c r="A2533" s="13" t="n">
        <f aca="false">1+A2532</f>
        <v>2531</v>
      </c>
      <c r="B2533" s="14" t="n">
        <v>1009662067</v>
      </c>
      <c r="C2533" s="15" t="s">
        <v>433</v>
      </c>
      <c r="D2533" s="16" t="s">
        <v>209</v>
      </c>
      <c r="E2533" s="17" t="s">
        <v>47</v>
      </c>
      <c r="F2533" s="18" t="s">
        <v>34</v>
      </c>
      <c r="G2533" s="19" t="n">
        <v>879240104288</v>
      </c>
      <c r="H2533" s="17" t="s">
        <v>35</v>
      </c>
      <c r="I2533" s="17" t="s">
        <v>79</v>
      </c>
      <c r="J2533" s="17" t="s">
        <v>289</v>
      </c>
      <c r="K2533" s="17" t="str">
        <f aca="false">VLOOKUP(J2533,Sheet2!A:B,2,0)</f>
        <v>AJAY KOSHTI</v>
      </c>
      <c r="L2533" s="17" t="n">
        <v>5</v>
      </c>
      <c r="M2533" s="17" t="str">
        <f aca="false">VLOOKUP(L2533,Sheet2!D:E,2,0)</f>
        <v>Main Processor CPU BGA</v>
      </c>
      <c r="N2533" s="17" t="n">
        <v>1</v>
      </c>
      <c r="O2533" s="17" t="str">
        <f aca="false">VLOOKUP(N2533,Sheet2!G:H,2,0)</f>
        <v>Dead</v>
      </c>
      <c r="P2533" s="17" t="n">
        <v>11</v>
      </c>
      <c r="Q2533" s="17" t="str">
        <f aca="false">VLOOKUP(P2533,Sheet2!J:K,2,0)</f>
        <v>IR Declared due to CID -TA</v>
      </c>
      <c r="R2533" s="17" t="s">
        <v>35</v>
      </c>
      <c r="S2533" s="17" t="str">
        <f aca="false">VLOOKUP(R2533,Sheet2!N:O,2,0)</f>
        <v>IREPARABLE</v>
      </c>
      <c r="T2533" s="18" t="str">
        <f aca="false">VLOOKUP(P2533,Sheet2!Q:R,2,0)</f>
        <v>IR Normal - Track burn out</v>
      </c>
      <c r="U2533" s="20" t="s">
        <v>41</v>
      </c>
      <c r="V2533" s="17" t="n">
        <v>2</v>
      </c>
      <c r="W2533" s="20" t="str">
        <f aca="false">VLOOKUP(V2533,Sheet2!Q:R,2,0)</f>
        <v>IR CID -  Water log from other area</v>
      </c>
      <c r="X2533" s="17" t="str">
        <f aca="false">J2533</f>
        <v>A051</v>
      </c>
      <c r="Y2533" s="17" t="str">
        <f aca="false">VLOOKUP(X2533,Sheet2!A:B,2,0)</f>
        <v>AJAY KOSHTI</v>
      </c>
      <c r="Z2533" s="17" t="s">
        <v>306</v>
      </c>
      <c r="AA2533" s="17"/>
      <c r="AB2533" s="17" t="s">
        <v>41</v>
      </c>
      <c r="AC2533" s="0" t="str">
        <f aca="false">LEFT(G2533,2)</f>
        <v>87</v>
      </c>
    </row>
    <row r="2534" customFormat="false" ht="15" hidden="false" customHeight="false" outlineLevel="0" collapsed="false">
      <c r="A2534" s="13" t="n">
        <f aca="false">1+A2533</f>
        <v>2532</v>
      </c>
      <c r="B2534" s="14" t="n">
        <v>1009527198</v>
      </c>
      <c r="C2534" s="15" t="s">
        <v>162</v>
      </c>
      <c r="D2534" s="16" t="s">
        <v>1266</v>
      </c>
      <c r="E2534" s="17" t="s">
        <v>114</v>
      </c>
      <c r="F2534" s="18" t="s">
        <v>34</v>
      </c>
      <c r="G2534" s="19" t="n">
        <v>889296121748</v>
      </c>
      <c r="H2534" s="17" t="s">
        <v>35</v>
      </c>
      <c r="I2534" s="17" t="s">
        <v>79</v>
      </c>
      <c r="J2534" s="17" t="s">
        <v>106</v>
      </c>
      <c r="K2534" s="17" t="str">
        <f aca="false">VLOOKUP(J2534,Sheet2!A:B,2,0)</f>
        <v>PRAKASH CHAVDA</v>
      </c>
      <c r="L2534" s="17" t="n">
        <v>2</v>
      </c>
      <c r="M2534" s="17" t="str">
        <f aca="false">VLOOKUP(L2534,Sheet2!D:E,2,0)</f>
        <v>Tuner Section</v>
      </c>
      <c r="N2534" s="17" t="n">
        <v>6</v>
      </c>
      <c r="O2534" s="17" t="str">
        <f aca="false">VLOOKUP(N2534,Sheet2!G:H,2,0)</f>
        <v>No Signal</v>
      </c>
      <c r="P2534" s="17" t="n">
        <v>11</v>
      </c>
      <c r="Q2534" s="17" t="str">
        <f aca="false">VLOOKUP(P2534,Sheet2!J:K,2,0)</f>
        <v>IR Declared due to CID -TA</v>
      </c>
      <c r="R2534" s="17" t="s">
        <v>35</v>
      </c>
      <c r="S2534" s="17" t="str">
        <f aca="false">VLOOKUP(R2534,Sheet2!N:O,2,0)</f>
        <v>IREPARABLE</v>
      </c>
      <c r="T2534" s="18" t="str">
        <f aca="false">VLOOKUP(P2534,Sheet2!Q:R,2,0)</f>
        <v>IR Normal - Track burn out</v>
      </c>
      <c r="U2534" s="20" t="s">
        <v>41</v>
      </c>
      <c r="V2534" s="17" t="n">
        <v>1</v>
      </c>
      <c r="W2534" s="20" t="str">
        <f aca="false">VLOOKUP(V2534,Sheet2!Q:R,2,0)</f>
        <v>IR CID -  Water log from IF port</v>
      </c>
      <c r="X2534" s="17" t="str">
        <f aca="false">J2534</f>
        <v>A018</v>
      </c>
      <c r="Y2534" s="17" t="str">
        <f aca="false">VLOOKUP(X2534,Sheet2!A:B,2,0)</f>
        <v>PRAKASH CHAVDA</v>
      </c>
      <c r="Z2534" s="17" t="s">
        <v>306</v>
      </c>
      <c r="AA2534" s="17"/>
      <c r="AB2534" s="17" t="s">
        <v>41</v>
      </c>
      <c r="AC2534" s="0" t="str">
        <f aca="false">LEFT(G2534,2)</f>
        <v>88</v>
      </c>
    </row>
    <row r="2535" customFormat="false" ht="15" hidden="false" customHeight="false" outlineLevel="0" collapsed="false">
      <c r="A2535" s="13" t="n">
        <f aca="false">1+A2534</f>
        <v>2533</v>
      </c>
      <c r="B2535" s="14" t="n">
        <v>1009678808</v>
      </c>
      <c r="C2535" s="15" t="s">
        <v>413</v>
      </c>
      <c r="D2535" s="16" t="s">
        <v>235</v>
      </c>
      <c r="E2535" s="17" t="s">
        <v>148</v>
      </c>
      <c r="F2535" s="18" t="s">
        <v>34</v>
      </c>
      <c r="G2535" s="19" t="n">
        <v>878192180619</v>
      </c>
      <c r="H2535" s="17" t="s">
        <v>35</v>
      </c>
      <c r="I2535" s="17" t="s">
        <v>79</v>
      </c>
      <c r="J2535" s="17" t="s">
        <v>37</v>
      </c>
      <c r="K2535" s="17" t="str">
        <f aca="false">VLOOKUP(J2535,Sheet2!A:B,2,0)</f>
        <v>PRASHANT,AKASH</v>
      </c>
      <c r="L2535" s="17" t="n">
        <v>1</v>
      </c>
      <c r="M2535" s="17" t="str">
        <f aca="false">VLOOKUP(L2535,Sheet2!D:E,2,0)</f>
        <v>Power Supply Section</v>
      </c>
      <c r="N2535" s="17" t="n">
        <v>1</v>
      </c>
      <c r="O2535" s="17" t="str">
        <f aca="false">VLOOKUP(N2535,Sheet2!G:H,2,0)</f>
        <v>Dead</v>
      </c>
      <c r="P2535" s="17" t="n">
        <v>11</v>
      </c>
      <c r="Q2535" s="17" t="str">
        <f aca="false">VLOOKUP(P2535,Sheet2!J:K,2,0)</f>
        <v>IR Declared due to CID -TA</v>
      </c>
      <c r="R2535" s="17" t="s">
        <v>35</v>
      </c>
      <c r="S2535" s="17" t="str">
        <f aca="false">VLOOKUP(R2535,Sheet2!N:O,2,0)</f>
        <v>IREPARABLE</v>
      </c>
      <c r="T2535" s="18" t="str">
        <f aca="false">VLOOKUP(P2535,Sheet2!Q:R,2,0)</f>
        <v>IR Normal - Track burn out</v>
      </c>
      <c r="U2535" s="20" t="s">
        <v>41</v>
      </c>
      <c r="V2535" s="17" t="n">
        <v>2</v>
      </c>
      <c r="W2535" s="20" t="str">
        <f aca="false">VLOOKUP(V2535,Sheet2!Q:R,2,0)</f>
        <v>IR CID -  Water log from other area</v>
      </c>
      <c r="X2535" s="17" t="str">
        <f aca="false">J2535</f>
        <v>A041</v>
      </c>
      <c r="Y2535" s="17" t="str">
        <f aca="false">VLOOKUP(X2535,Sheet2!A:B,2,0)</f>
        <v>PRASHANT,AKASH</v>
      </c>
      <c r="Z2535" s="17" t="s">
        <v>306</v>
      </c>
      <c r="AA2535" s="17"/>
      <c r="AB2535" s="17" t="s">
        <v>41</v>
      </c>
      <c r="AC2535" s="0" t="str">
        <f aca="false">LEFT(G2535,2)</f>
        <v>87</v>
      </c>
    </row>
    <row r="2536" customFormat="false" ht="15" hidden="false" customHeight="false" outlineLevel="0" collapsed="false">
      <c r="A2536" s="13" t="n">
        <f aca="false">1+A2535</f>
        <v>2534</v>
      </c>
      <c r="B2536" s="14" t="n">
        <v>1009576994</v>
      </c>
      <c r="C2536" s="15" t="s">
        <v>139</v>
      </c>
      <c r="D2536" s="16" t="s">
        <v>64</v>
      </c>
      <c r="E2536" s="17" t="s">
        <v>64</v>
      </c>
      <c r="F2536" s="18" t="s">
        <v>34</v>
      </c>
      <c r="G2536" s="19" t="n">
        <v>865340353453</v>
      </c>
      <c r="H2536" s="17" t="s">
        <v>35</v>
      </c>
      <c r="I2536" s="17" t="s">
        <v>72</v>
      </c>
      <c r="J2536" s="17" t="s">
        <v>267</v>
      </c>
      <c r="K2536" s="17" t="str">
        <f aca="false">VLOOKUP(J2536,Sheet2!A:B,2,0)</f>
        <v>HARIRAM GUPTA</v>
      </c>
      <c r="L2536" s="17" t="n">
        <v>5</v>
      </c>
      <c r="M2536" s="17" t="str">
        <f aca="false">VLOOKUP(L2536,Sheet2!D:E,2,0)</f>
        <v>Main Processor CPU BGA</v>
      </c>
      <c r="N2536" s="17" t="n">
        <v>1</v>
      </c>
      <c r="O2536" s="17" t="str">
        <f aca="false">VLOOKUP(N2536,Sheet2!G:H,2,0)</f>
        <v>Dead</v>
      </c>
      <c r="P2536" s="17" t="n">
        <v>11</v>
      </c>
      <c r="Q2536" s="17" t="str">
        <f aca="false">VLOOKUP(P2536,Sheet2!J:K,2,0)</f>
        <v>IR Declared due to CID -TA</v>
      </c>
      <c r="R2536" s="17" t="s">
        <v>35</v>
      </c>
      <c r="S2536" s="17" t="str">
        <f aca="false">VLOOKUP(R2536,Sheet2!N:O,2,0)</f>
        <v>IREPARABLE</v>
      </c>
      <c r="T2536" s="18" t="str">
        <f aca="false">VLOOKUP(P2536,Sheet2!Q:R,2,0)</f>
        <v>IR Normal - Track burn out</v>
      </c>
      <c r="U2536" s="20" t="s">
        <v>41</v>
      </c>
      <c r="V2536" s="17" t="n">
        <v>2</v>
      </c>
      <c r="W2536" s="20" t="str">
        <f aca="false">VLOOKUP(V2536,Sheet2!Q:R,2,0)</f>
        <v>IR CID -  Water log from other area</v>
      </c>
      <c r="X2536" s="17" t="str">
        <f aca="false">J2536</f>
        <v>A007</v>
      </c>
      <c r="Y2536" s="17" t="str">
        <f aca="false">VLOOKUP(X2536,Sheet2!A:B,2,0)</f>
        <v>HARIRAM GUPTA</v>
      </c>
      <c r="Z2536" s="17" t="s">
        <v>276</v>
      </c>
      <c r="AA2536" s="17"/>
      <c r="AB2536" s="17" t="s">
        <v>41</v>
      </c>
      <c r="AC2536" s="0" t="str">
        <f aca="false">LEFT(G2536,2)</f>
        <v>86</v>
      </c>
    </row>
    <row r="2537" customFormat="false" ht="15" hidden="false" customHeight="false" outlineLevel="0" collapsed="false">
      <c r="A2537" s="13" t="n">
        <f aca="false">1+A2536</f>
        <v>2535</v>
      </c>
      <c r="B2537" s="14" t="n">
        <v>1009526682</v>
      </c>
      <c r="C2537" s="15" t="s">
        <v>162</v>
      </c>
      <c r="D2537" s="16" t="s">
        <v>32</v>
      </c>
      <c r="E2537" s="17" t="s">
        <v>33</v>
      </c>
      <c r="F2537" s="18" t="s">
        <v>34</v>
      </c>
      <c r="G2537" s="19" t="n">
        <v>864283187507</v>
      </c>
      <c r="H2537" s="17" t="s">
        <v>35</v>
      </c>
      <c r="I2537" s="17" t="s">
        <v>72</v>
      </c>
      <c r="J2537" s="17" t="s">
        <v>239</v>
      </c>
      <c r="K2537" s="17" t="str">
        <f aca="false">VLOOKUP(J2537,Sheet2!A:B,2,0)</f>
        <v>VASANT PARMAR</v>
      </c>
      <c r="L2537" s="17" t="n">
        <v>5</v>
      </c>
      <c r="M2537" s="17" t="str">
        <f aca="false">VLOOKUP(L2537,Sheet2!D:E,2,0)</f>
        <v>Main Processor CPU BGA</v>
      </c>
      <c r="N2537" s="17" t="n">
        <v>1</v>
      </c>
      <c r="O2537" s="17" t="str">
        <f aca="false">VLOOKUP(N2537,Sheet2!G:H,2,0)</f>
        <v>Dead</v>
      </c>
      <c r="P2537" s="17" t="n">
        <v>11</v>
      </c>
      <c r="Q2537" s="17" t="str">
        <f aca="false">VLOOKUP(P2537,Sheet2!J:K,2,0)</f>
        <v>IR Declared due to CID -TA</v>
      </c>
      <c r="R2537" s="17" t="s">
        <v>35</v>
      </c>
      <c r="S2537" s="17" t="str">
        <f aca="false">VLOOKUP(R2537,Sheet2!N:O,2,0)</f>
        <v>IREPARABLE</v>
      </c>
      <c r="T2537" s="18" t="str">
        <f aca="false">VLOOKUP(P2537,Sheet2!Q:R,2,0)</f>
        <v>IR Normal - Track burn out</v>
      </c>
      <c r="U2537" s="20" t="s">
        <v>41</v>
      </c>
      <c r="V2537" s="17" t="n">
        <v>2</v>
      </c>
      <c r="W2537" s="20" t="str">
        <f aca="false">VLOOKUP(V2537,Sheet2!Q:R,2,0)</f>
        <v>IR CID -  Water log from other area</v>
      </c>
      <c r="X2537" s="17" t="str">
        <f aca="false">J2537</f>
        <v>A005</v>
      </c>
      <c r="Y2537" s="17" t="str">
        <f aca="false">VLOOKUP(X2537,Sheet2!A:B,2,0)</f>
        <v>VASANT PARMAR</v>
      </c>
      <c r="Z2537" s="17" t="s">
        <v>262</v>
      </c>
      <c r="AA2537" s="17"/>
      <c r="AB2537" s="17" t="s">
        <v>41</v>
      </c>
      <c r="AC2537" s="0" t="str">
        <f aca="false">LEFT(G2537,2)</f>
        <v>86</v>
      </c>
    </row>
    <row r="2538" customFormat="false" ht="15" hidden="false" customHeight="false" outlineLevel="0" collapsed="false">
      <c r="A2538" s="13" t="n">
        <f aca="false">1+A2537</f>
        <v>2536</v>
      </c>
      <c r="B2538" s="14" t="n">
        <v>1009467006</v>
      </c>
      <c r="C2538" s="15" t="s">
        <v>179</v>
      </c>
      <c r="D2538" s="16" t="s">
        <v>147</v>
      </c>
      <c r="E2538" s="17" t="s">
        <v>47</v>
      </c>
      <c r="F2538" s="18" t="s">
        <v>34</v>
      </c>
      <c r="G2538" s="19" t="n">
        <v>865305141299</v>
      </c>
      <c r="H2538" s="17" t="s">
        <v>35</v>
      </c>
      <c r="I2538" s="17" t="s">
        <v>72</v>
      </c>
      <c r="J2538" s="17" t="s">
        <v>106</v>
      </c>
      <c r="K2538" s="17" t="str">
        <f aca="false">VLOOKUP(J2538,Sheet2!A:B,2,0)</f>
        <v>PRAKASH CHAVDA</v>
      </c>
      <c r="L2538" s="17" t="n">
        <v>5</v>
      </c>
      <c r="M2538" s="17" t="str">
        <f aca="false">VLOOKUP(L2538,Sheet2!D:E,2,0)</f>
        <v>Main Processor CPU BGA</v>
      </c>
      <c r="N2538" s="17" t="n">
        <v>1</v>
      </c>
      <c r="O2538" s="17" t="str">
        <f aca="false">VLOOKUP(N2538,Sheet2!G:H,2,0)</f>
        <v>Dead</v>
      </c>
      <c r="P2538" s="17" t="n">
        <v>12</v>
      </c>
      <c r="Q2538" s="17" t="str">
        <f aca="false">VLOOKUP(P2538,Sheet2!J:K,2,0)</f>
        <v>IR Declared due to Others ( IR Normal)TB</v>
      </c>
      <c r="R2538" s="17" t="s">
        <v>35</v>
      </c>
      <c r="S2538" s="17" t="str">
        <f aca="false">VLOOKUP(R2538,Sheet2!N:O,2,0)</f>
        <v>IREPARABLE</v>
      </c>
      <c r="T2538" s="18" t="str">
        <f aca="false">VLOOKUP(P2538,Sheet2!Q:R,2,0)</f>
        <v>IR Normal - BER to IR</v>
      </c>
      <c r="U2538" s="20" t="s">
        <v>41</v>
      </c>
      <c r="V2538" s="17" t="n">
        <v>9</v>
      </c>
      <c r="W2538" s="20" t="str">
        <f aca="false">VLOOKUP(V2538,Sheet2!Q:R,2,0)</f>
        <v>IR Normal - Multiple time repair </v>
      </c>
      <c r="X2538" s="17" t="str">
        <f aca="false">J2538</f>
        <v>A018</v>
      </c>
      <c r="Y2538" s="17" t="str">
        <f aca="false">VLOOKUP(X2538,Sheet2!A:B,2,0)</f>
        <v>PRAKASH CHAVDA</v>
      </c>
      <c r="Z2538" s="17" t="s">
        <v>1267</v>
      </c>
      <c r="AA2538" s="17"/>
      <c r="AB2538" s="17" t="s">
        <v>41</v>
      </c>
      <c r="AC2538" s="0" t="str">
        <f aca="false">LEFT(G2538,2)</f>
        <v>86</v>
      </c>
    </row>
    <row r="2539" customFormat="false" ht="15" hidden="false" customHeight="false" outlineLevel="0" collapsed="false">
      <c r="A2539" s="13" t="n">
        <f aca="false">1+A2538</f>
        <v>2537</v>
      </c>
      <c r="B2539" s="14" t="n">
        <v>1009586467</v>
      </c>
      <c r="C2539" s="15" t="s">
        <v>139</v>
      </c>
      <c r="D2539" s="16" t="s">
        <v>64</v>
      </c>
      <c r="E2539" s="17" t="s">
        <v>47</v>
      </c>
      <c r="F2539" s="18" t="s">
        <v>34</v>
      </c>
      <c r="G2539" s="19" t="n">
        <v>866012266932</v>
      </c>
      <c r="H2539" s="17" t="s">
        <v>35</v>
      </c>
      <c r="I2539" s="17" t="s">
        <v>72</v>
      </c>
      <c r="J2539" s="17" t="s">
        <v>239</v>
      </c>
      <c r="K2539" s="17" t="str">
        <f aca="false">VLOOKUP(J2539,Sheet2!A:B,2,0)</f>
        <v>VASANT PARMAR</v>
      </c>
      <c r="L2539" s="17" t="n">
        <v>5</v>
      </c>
      <c r="M2539" s="17" t="str">
        <f aca="false">VLOOKUP(L2539,Sheet2!D:E,2,0)</f>
        <v>Main Processor CPU BGA</v>
      </c>
      <c r="N2539" s="17" t="n">
        <v>24</v>
      </c>
      <c r="O2539" s="17" t="str">
        <f aca="false">VLOOKUP(N2539,Sheet2!G:H,2,0)</f>
        <v>STB Auto moving -Stand by mode</v>
      </c>
      <c r="P2539" s="17" t="n">
        <v>11</v>
      </c>
      <c r="Q2539" s="17" t="str">
        <f aca="false">VLOOKUP(P2539,Sheet2!J:K,2,0)</f>
        <v>IR Declared due to CID -TA</v>
      </c>
      <c r="R2539" s="17" t="s">
        <v>35</v>
      </c>
      <c r="S2539" s="17" t="str">
        <f aca="false">VLOOKUP(R2539,Sheet2!N:O,2,0)</f>
        <v>IREPARABLE</v>
      </c>
      <c r="T2539" s="18" t="str">
        <f aca="false">VLOOKUP(P2539,Sheet2!Q:R,2,0)</f>
        <v>IR Normal - Track burn out</v>
      </c>
      <c r="U2539" s="20" t="s">
        <v>41</v>
      </c>
      <c r="V2539" s="17" t="n">
        <v>1</v>
      </c>
      <c r="W2539" s="20" t="str">
        <f aca="false">VLOOKUP(V2539,Sheet2!Q:R,2,0)</f>
        <v>IR CID -  Water log from IF port</v>
      </c>
      <c r="X2539" s="17" t="str">
        <f aca="false">J2539</f>
        <v>A005</v>
      </c>
      <c r="Y2539" s="17" t="str">
        <f aca="false">VLOOKUP(X2539,Sheet2!A:B,2,0)</f>
        <v>VASANT PARMAR</v>
      </c>
      <c r="Z2539" s="17" t="s">
        <v>257</v>
      </c>
      <c r="AA2539" s="17"/>
      <c r="AB2539" s="17" t="s">
        <v>41</v>
      </c>
      <c r="AC2539" s="0" t="str">
        <f aca="false">LEFT(G2539,2)</f>
        <v>86</v>
      </c>
    </row>
    <row r="2540" customFormat="false" ht="15" hidden="false" customHeight="false" outlineLevel="0" collapsed="false">
      <c r="A2540" s="13" t="n">
        <f aca="false">1+A2539</f>
        <v>2538</v>
      </c>
      <c r="B2540" s="14" t="n">
        <v>1009533297</v>
      </c>
      <c r="C2540" s="15" t="s">
        <v>174</v>
      </c>
      <c r="D2540" s="16" t="s">
        <v>175</v>
      </c>
      <c r="E2540" s="17" t="s">
        <v>176</v>
      </c>
      <c r="F2540" s="18" t="s">
        <v>34</v>
      </c>
      <c r="G2540" s="19" t="n">
        <v>868154123038</v>
      </c>
      <c r="H2540" s="17" t="s">
        <v>35</v>
      </c>
      <c r="I2540" s="17" t="s">
        <v>72</v>
      </c>
      <c r="J2540" s="17" t="s">
        <v>106</v>
      </c>
      <c r="K2540" s="17" t="str">
        <f aca="false">VLOOKUP(J2540,Sheet2!A:B,2,0)</f>
        <v>PRAKASH CHAVDA</v>
      </c>
      <c r="L2540" s="17" t="n">
        <v>5</v>
      </c>
      <c r="M2540" s="17" t="str">
        <f aca="false">VLOOKUP(L2540,Sheet2!D:E,2,0)</f>
        <v>Main Processor CPU BGA</v>
      </c>
      <c r="N2540" s="17" t="n">
        <v>24</v>
      </c>
      <c r="O2540" s="17" t="str">
        <f aca="false">VLOOKUP(N2540,Sheet2!G:H,2,0)</f>
        <v>STB Auto moving -Stand by mode</v>
      </c>
      <c r="P2540" s="17" t="n">
        <v>11</v>
      </c>
      <c r="Q2540" s="17" t="str">
        <f aca="false">VLOOKUP(P2540,Sheet2!J:K,2,0)</f>
        <v>IR Declared due to CID -TA</v>
      </c>
      <c r="R2540" s="17" t="s">
        <v>35</v>
      </c>
      <c r="S2540" s="17" t="str">
        <f aca="false">VLOOKUP(R2540,Sheet2!N:O,2,0)</f>
        <v>IREPARABLE</v>
      </c>
      <c r="T2540" s="18" t="str">
        <f aca="false">VLOOKUP(P2540,Sheet2!Q:R,2,0)</f>
        <v>IR Normal - Track burn out</v>
      </c>
      <c r="U2540" s="20" t="s">
        <v>41</v>
      </c>
      <c r="V2540" s="17" t="n">
        <v>2</v>
      </c>
      <c r="W2540" s="20" t="str">
        <f aca="false">VLOOKUP(V2540,Sheet2!Q:R,2,0)</f>
        <v>IR CID -  Water log from other area</v>
      </c>
      <c r="X2540" s="17" t="str">
        <f aca="false">J2540</f>
        <v>A018</v>
      </c>
      <c r="Y2540" s="17" t="str">
        <f aca="false">VLOOKUP(X2540,Sheet2!A:B,2,0)</f>
        <v>PRAKASH CHAVDA</v>
      </c>
      <c r="Z2540" s="17" t="s">
        <v>1268</v>
      </c>
      <c r="AA2540" s="17"/>
      <c r="AB2540" s="17" t="s">
        <v>41</v>
      </c>
      <c r="AC2540" s="0" t="str">
        <f aca="false">LEFT(G2540,2)</f>
        <v>86</v>
      </c>
    </row>
    <row r="2541" customFormat="false" ht="15" hidden="false" customHeight="false" outlineLevel="0" collapsed="false">
      <c r="A2541" s="13" t="n">
        <f aca="false">1+A2540</f>
        <v>2539</v>
      </c>
      <c r="B2541" s="14" t="n">
        <v>1009630406</v>
      </c>
      <c r="C2541" s="15" t="s">
        <v>182</v>
      </c>
      <c r="D2541" s="16" t="s">
        <v>64</v>
      </c>
      <c r="E2541" s="17" t="s">
        <v>114</v>
      </c>
      <c r="F2541" s="18" t="s">
        <v>34</v>
      </c>
      <c r="G2541" s="19" t="n">
        <v>867009247265</v>
      </c>
      <c r="H2541" s="17" t="s">
        <v>35</v>
      </c>
      <c r="I2541" s="17" t="s">
        <v>72</v>
      </c>
      <c r="J2541" s="17" t="s">
        <v>121</v>
      </c>
      <c r="K2541" s="17" t="str">
        <f aca="false">VLOOKUP(J2541,Sheet2!A:B,2,0)</f>
        <v>SHANI GOHIL</v>
      </c>
      <c r="L2541" s="17" t="n">
        <v>5</v>
      </c>
      <c r="M2541" s="17" t="str">
        <f aca="false">VLOOKUP(L2541,Sheet2!D:E,2,0)</f>
        <v>Main Processor CPU BGA</v>
      </c>
      <c r="N2541" s="17" t="n">
        <v>1</v>
      </c>
      <c r="O2541" s="17" t="str">
        <f aca="false">VLOOKUP(N2541,Sheet2!G:H,2,0)</f>
        <v>Dead</v>
      </c>
      <c r="P2541" s="17" t="n">
        <v>11</v>
      </c>
      <c r="Q2541" s="17" t="str">
        <f aca="false">VLOOKUP(P2541,Sheet2!J:K,2,0)</f>
        <v>IR Declared due to CID -TA</v>
      </c>
      <c r="R2541" s="17" t="s">
        <v>35</v>
      </c>
      <c r="S2541" s="17" t="str">
        <f aca="false">VLOOKUP(R2541,Sheet2!N:O,2,0)</f>
        <v>IREPARABLE</v>
      </c>
      <c r="T2541" s="18" t="str">
        <f aca="false">VLOOKUP(P2541,Sheet2!Q:R,2,0)</f>
        <v>IR Normal - Track burn out</v>
      </c>
      <c r="U2541" s="20" t="s">
        <v>41</v>
      </c>
      <c r="V2541" s="17" t="n">
        <v>2</v>
      </c>
      <c r="W2541" s="20" t="str">
        <f aca="false">VLOOKUP(V2541,Sheet2!Q:R,2,0)</f>
        <v>IR CID -  Water log from other area</v>
      </c>
      <c r="X2541" s="17" t="str">
        <f aca="false">J2541</f>
        <v>A063</v>
      </c>
      <c r="Y2541" s="17" t="str">
        <f aca="false">VLOOKUP(X2541,Sheet2!A:B,2,0)</f>
        <v>SHANI GOHIL</v>
      </c>
      <c r="Z2541" s="17" t="s">
        <v>1269</v>
      </c>
      <c r="AA2541" s="17"/>
      <c r="AB2541" s="17" t="s">
        <v>41</v>
      </c>
      <c r="AC2541" s="0" t="str">
        <f aca="false">LEFT(G2541,2)</f>
        <v>86</v>
      </c>
    </row>
    <row r="2542" customFormat="false" ht="15" hidden="false" customHeight="false" outlineLevel="0" collapsed="false">
      <c r="A2542" s="13" t="n">
        <f aca="false">1+A2541</f>
        <v>2540</v>
      </c>
      <c r="B2542" s="14" t="n">
        <v>100888778</v>
      </c>
      <c r="C2542" s="15" t="s">
        <v>449</v>
      </c>
      <c r="D2542" s="16" t="s">
        <v>64</v>
      </c>
      <c r="E2542" s="17" t="s">
        <v>47</v>
      </c>
      <c r="F2542" s="18" t="s">
        <v>34</v>
      </c>
      <c r="G2542" s="19" t="n">
        <v>864333120045</v>
      </c>
      <c r="H2542" s="17" t="s">
        <v>35</v>
      </c>
      <c r="I2542" s="17" t="s">
        <v>72</v>
      </c>
      <c r="J2542" s="17" t="s">
        <v>106</v>
      </c>
      <c r="K2542" s="17" t="str">
        <f aca="false">VLOOKUP(J2542,Sheet2!A:B,2,0)</f>
        <v>PRAKASH CHAVDA</v>
      </c>
      <c r="L2542" s="17" t="n">
        <v>5</v>
      </c>
      <c r="M2542" s="17" t="str">
        <f aca="false">VLOOKUP(L2542,Sheet2!D:E,2,0)</f>
        <v>Main Processor CPU BGA</v>
      </c>
      <c r="N2542" s="17" t="n">
        <v>1</v>
      </c>
      <c r="O2542" s="17" t="str">
        <f aca="false">VLOOKUP(N2542,Sheet2!G:H,2,0)</f>
        <v>Dead</v>
      </c>
      <c r="P2542" s="17" t="n">
        <v>11</v>
      </c>
      <c r="Q2542" s="17" t="str">
        <f aca="false">VLOOKUP(P2542,Sheet2!J:K,2,0)</f>
        <v>IR Declared due to CID -TA</v>
      </c>
      <c r="R2542" s="17" t="s">
        <v>35</v>
      </c>
      <c r="S2542" s="17" t="str">
        <f aca="false">VLOOKUP(R2542,Sheet2!N:O,2,0)</f>
        <v>IREPARABLE</v>
      </c>
      <c r="T2542" s="18" t="str">
        <f aca="false">VLOOKUP(P2542,Sheet2!Q:R,2,0)</f>
        <v>IR Normal - Track burn out</v>
      </c>
      <c r="U2542" s="20" t="s">
        <v>41</v>
      </c>
      <c r="V2542" s="17" t="n">
        <v>8</v>
      </c>
      <c r="W2542" s="20" t="str">
        <f aca="false">VLOOKUP(V2542,Sheet2!Q:R,2,0)</f>
        <v>IR Normal -TrackRust/InternalDamage/open</v>
      </c>
      <c r="X2542" s="17" t="str">
        <f aca="false">J2542</f>
        <v>A018</v>
      </c>
      <c r="Y2542" s="17" t="str">
        <f aca="false">VLOOKUP(X2542,Sheet2!A:B,2,0)</f>
        <v>PRAKASH CHAVDA</v>
      </c>
      <c r="Z2542" s="17" t="s">
        <v>1270</v>
      </c>
      <c r="AA2542" s="17"/>
      <c r="AB2542" s="17" t="s">
        <v>41</v>
      </c>
      <c r="AC2542" s="0" t="str">
        <f aca="false">LEFT(G2542,2)</f>
        <v>86</v>
      </c>
    </row>
    <row r="2543" customFormat="false" ht="15" hidden="false" customHeight="false" outlineLevel="0" collapsed="false">
      <c r="A2543" s="13" t="n">
        <f aca="false">1+A2542</f>
        <v>2541</v>
      </c>
      <c r="B2543" s="14" t="n">
        <v>1009533711</v>
      </c>
      <c r="C2543" s="15" t="s">
        <v>174</v>
      </c>
      <c r="D2543" s="16" t="s">
        <v>64</v>
      </c>
      <c r="E2543" s="17" t="s">
        <v>64</v>
      </c>
      <c r="F2543" s="18" t="s">
        <v>34</v>
      </c>
      <c r="G2543" s="19" t="n">
        <v>868081141715</v>
      </c>
      <c r="H2543" s="17" t="s">
        <v>35</v>
      </c>
      <c r="I2543" s="17" t="s">
        <v>72</v>
      </c>
      <c r="J2543" s="17" t="s">
        <v>267</v>
      </c>
      <c r="K2543" s="17" t="str">
        <f aca="false">VLOOKUP(J2543,Sheet2!A:B,2,0)</f>
        <v>HARIRAM GUPTA</v>
      </c>
      <c r="L2543" s="17" t="n">
        <v>5</v>
      </c>
      <c r="M2543" s="17" t="str">
        <f aca="false">VLOOKUP(L2543,Sheet2!D:E,2,0)</f>
        <v>Main Processor CPU BGA</v>
      </c>
      <c r="N2543" s="17" t="n">
        <v>37</v>
      </c>
      <c r="O2543" s="17" t="str">
        <f aca="false">VLOOKUP(N2543,Sheet2!G:H,2,0)</f>
        <v>Error -2</v>
      </c>
      <c r="P2543" s="17" t="n">
        <v>11</v>
      </c>
      <c r="Q2543" s="17" t="str">
        <f aca="false">VLOOKUP(P2543,Sheet2!J:K,2,0)</f>
        <v>IR Declared due to CID -TA</v>
      </c>
      <c r="R2543" s="17" t="s">
        <v>35</v>
      </c>
      <c r="S2543" s="17" t="str">
        <f aca="false">VLOOKUP(R2543,Sheet2!N:O,2,0)</f>
        <v>IREPARABLE</v>
      </c>
      <c r="T2543" s="18" t="str">
        <f aca="false">VLOOKUP(P2543,Sheet2!Q:R,2,0)</f>
        <v>IR Normal - Track burn out</v>
      </c>
      <c r="U2543" s="20" t="s">
        <v>41</v>
      </c>
      <c r="V2543" s="17" t="n">
        <v>2</v>
      </c>
      <c r="W2543" s="20" t="str">
        <f aca="false">VLOOKUP(V2543,Sheet2!Q:R,2,0)</f>
        <v>IR CID -  Water log from other area</v>
      </c>
      <c r="X2543" s="17" t="str">
        <f aca="false">J2543</f>
        <v>A007</v>
      </c>
      <c r="Y2543" s="17" t="str">
        <f aca="false">VLOOKUP(X2543,Sheet2!A:B,2,0)</f>
        <v>HARIRAM GUPTA</v>
      </c>
      <c r="Z2543" s="17" t="s">
        <v>276</v>
      </c>
      <c r="AA2543" s="17"/>
      <c r="AB2543" s="17" t="s">
        <v>41</v>
      </c>
      <c r="AC2543" s="0" t="str">
        <f aca="false">LEFT(G2543,2)</f>
        <v>86</v>
      </c>
    </row>
    <row r="2544" customFormat="false" ht="15" hidden="false" customHeight="false" outlineLevel="0" collapsed="false">
      <c r="A2544" s="13" t="n">
        <f aca="false">1+A2543</f>
        <v>2542</v>
      </c>
      <c r="B2544" s="14" t="n">
        <v>1009631054</v>
      </c>
      <c r="C2544" s="15" t="s">
        <v>182</v>
      </c>
      <c r="D2544" s="16" t="s">
        <v>64</v>
      </c>
      <c r="E2544" s="17" t="s">
        <v>200</v>
      </c>
      <c r="F2544" s="18" t="s">
        <v>34</v>
      </c>
      <c r="G2544" s="19" t="n">
        <v>867073107361</v>
      </c>
      <c r="H2544" s="17" t="s">
        <v>35</v>
      </c>
      <c r="I2544" s="17" t="s">
        <v>72</v>
      </c>
      <c r="J2544" s="17" t="s">
        <v>121</v>
      </c>
      <c r="K2544" s="17" t="str">
        <f aca="false">VLOOKUP(J2544,Sheet2!A:B,2,0)</f>
        <v>SHANI GOHIL</v>
      </c>
      <c r="L2544" s="17" t="n">
        <v>5</v>
      </c>
      <c r="M2544" s="17" t="str">
        <f aca="false">VLOOKUP(L2544,Sheet2!D:E,2,0)</f>
        <v>Main Processor CPU BGA</v>
      </c>
      <c r="N2544" s="17" t="n">
        <v>27</v>
      </c>
      <c r="O2544" s="17" t="str">
        <f aca="false">VLOOKUP(N2544,Sheet2!G:H,2,0)</f>
        <v>STB Rebooting Continuously</v>
      </c>
      <c r="P2544" s="17" t="n">
        <v>11</v>
      </c>
      <c r="Q2544" s="17" t="str">
        <f aca="false">VLOOKUP(P2544,Sheet2!J:K,2,0)</f>
        <v>IR Declared due to CID -TA</v>
      </c>
      <c r="R2544" s="17" t="s">
        <v>35</v>
      </c>
      <c r="S2544" s="17" t="str">
        <f aca="false">VLOOKUP(R2544,Sheet2!N:O,2,0)</f>
        <v>IREPARABLE</v>
      </c>
      <c r="T2544" s="18" t="str">
        <f aca="false">VLOOKUP(P2544,Sheet2!Q:R,2,0)</f>
        <v>IR Normal - Track burn out</v>
      </c>
      <c r="U2544" s="20" t="s">
        <v>41</v>
      </c>
      <c r="V2544" s="17" t="n">
        <v>9</v>
      </c>
      <c r="W2544" s="20" t="str">
        <f aca="false">VLOOKUP(V2544,Sheet2!Q:R,2,0)</f>
        <v>IR Normal - Multiple time repair </v>
      </c>
      <c r="X2544" s="17" t="str">
        <f aca="false">J2544</f>
        <v>A063</v>
      </c>
      <c r="Y2544" s="17" t="str">
        <f aca="false">VLOOKUP(X2544,Sheet2!A:B,2,0)</f>
        <v>SHANI GOHIL</v>
      </c>
      <c r="Z2544" s="17" t="s">
        <v>41</v>
      </c>
      <c r="AA2544" s="17"/>
      <c r="AB2544" s="17" t="s">
        <v>41</v>
      </c>
      <c r="AC2544" s="0" t="str">
        <f aca="false">LEFT(G2544,2)</f>
        <v>86</v>
      </c>
    </row>
    <row r="2545" customFormat="false" ht="15" hidden="false" customHeight="false" outlineLevel="0" collapsed="false">
      <c r="A2545" s="13" t="n">
        <f aca="false">1+A2544</f>
        <v>2543</v>
      </c>
      <c r="B2545" s="14" t="n">
        <v>1009579994</v>
      </c>
      <c r="C2545" s="15" t="s">
        <v>139</v>
      </c>
      <c r="D2545" s="16" t="s">
        <v>64</v>
      </c>
      <c r="E2545" s="17" t="s">
        <v>64</v>
      </c>
      <c r="F2545" s="18" t="s">
        <v>34</v>
      </c>
      <c r="G2545" s="19" t="n">
        <v>168113971670</v>
      </c>
      <c r="H2545" s="17" t="s">
        <v>35</v>
      </c>
      <c r="I2545" s="17" t="s">
        <v>76</v>
      </c>
      <c r="J2545" s="17" t="s">
        <v>118</v>
      </c>
      <c r="K2545" s="17" t="str">
        <f aca="false">VLOOKUP(J2545,Sheet2!A:B,2,0)</f>
        <v>DEVENDRA RAJPUT</v>
      </c>
      <c r="L2545" s="17" t="n">
        <v>5</v>
      </c>
      <c r="M2545" s="17" t="str">
        <f aca="false">VLOOKUP(L2545,Sheet2!D:E,2,0)</f>
        <v>Main Processor CPU BGA</v>
      </c>
      <c r="N2545" s="17" t="n">
        <v>24</v>
      </c>
      <c r="O2545" s="17" t="str">
        <f aca="false">VLOOKUP(N2545,Sheet2!G:H,2,0)</f>
        <v>STB Auto moving -Stand by mode</v>
      </c>
      <c r="P2545" s="17" t="n">
        <v>11</v>
      </c>
      <c r="Q2545" s="17" t="str">
        <f aca="false">VLOOKUP(P2545,Sheet2!J:K,2,0)</f>
        <v>IR Declared due to CID -TA</v>
      </c>
      <c r="R2545" s="17" t="s">
        <v>35</v>
      </c>
      <c r="S2545" s="17" t="str">
        <f aca="false">VLOOKUP(R2545,Sheet2!N:O,2,0)</f>
        <v>IREPARABLE</v>
      </c>
      <c r="T2545" s="18" t="str">
        <f aca="false">VLOOKUP(P2545,Sheet2!Q:R,2,0)</f>
        <v>IR Normal - Track burn out</v>
      </c>
      <c r="U2545" s="20" t="s">
        <v>41</v>
      </c>
      <c r="V2545" s="17" t="n">
        <v>2</v>
      </c>
      <c r="W2545" s="20" t="str">
        <f aca="false">VLOOKUP(V2545,Sheet2!Q:R,2,0)</f>
        <v>IR CID -  Water log from other area</v>
      </c>
      <c r="X2545" s="17" t="str">
        <f aca="false">J2545</f>
        <v>A053</v>
      </c>
      <c r="Y2545" s="17" t="str">
        <f aca="false">VLOOKUP(X2545,Sheet2!A:B,2,0)</f>
        <v>DEVENDRA RAJPUT</v>
      </c>
      <c r="Z2545" s="17" t="s">
        <v>363</v>
      </c>
      <c r="AA2545" s="17"/>
      <c r="AB2545" s="17" t="s">
        <v>41</v>
      </c>
      <c r="AC2545" s="0" t="str">
        <f aca="false">LEFT(G2545,2)</f>
        <v>16</v>
      </c>
    </row>
    <row r="2546" customFormat="false" ht="15" hidden="false" customHeight="false" outlineLevel="0" collapsed="false">
      <c r="A2546" s="13" t="n">
        <f aca="false">1+A2545</f>
        <v>2544</v>
      </c>
      <c r="B2546" s="14" t="n">
        <v>1009548067</v>
      </c>
      <c r="C2546" s="15" t="s">
        <v>126</v>
      </c>
      <c r="D2546" s="16" t="s">
        <v>86</v>
      </c>
      <c r="E2546" s="17" t="s">
        <v>47</v>
      </c>
      <c r="F2546" s="18" t="s">
        <v>34</v>
      </c>
      <c r="G2546" s="19" t="n">
        <v>413330220695</v>
      </c>
      <c r="H2546" s="17" t="s">
        <v>35</v>
      </c>
      <c r="I2546" s="17" t="s">
        <v>44</v>
      </c>
      <c r="J2546" s="17" t="s">
        <v>289</v>
      </c>
      <c r="K2546" s="17" t="str">
        <f aca="false">VLOOKUP(J2546,Sheet2!A:B,2,0)</f>
        <v>AJAY KOSHTI</v>
      </c>
      <c r="L2546" s="17" t="n">
        <v>1</v>
      </c>
      <c r="M2546" s="17" t="str">
        <f aca="false">VLOOKUP(L2546,Sheet2!D:E,2,0)</f>
        <v>Power Supply Section</v>
      </c>
      <c r="N2546" s="17" t="n">
        <v>1</v>
      </c>
      <c r="O2546" s="17" t="str">
        <f aca="false">VLOOKUP(N2546,Sheet2!G:H,2,0)</f>
        <v>Dead</v>
      </c>
      <c r="P2546" s="17" t="n">
        <v>11</v>
      </c>
      <c r="Q2546" s="17" t="str">
        <f aca="false">VLOOKUP(P2546,Sheet2!J:K,2,0)</f>
        <v>IR Declared due to CID -TA</v>
      </c>
      <c r="R2546" s="17" t="s">
        <v>35</v>
      </c>
      <c r="S2546" s="17" t="str">
        <f aca="false">VLOOKUP(R2546,Sheet2!N:O,2,0)</f>
        <v>IREPARABLE</v>
      </c>
      <c r="T2546" s="18" t="str">
        <f aca="false">VLOOKUP(P2546,Sheet2!Q:R,2,0)</f>
        <v>IR Normal - Track burn out</v>
      </c>
      <c r="U2546" s="20" t="s">
        <v>41</v>
      </c>
      <c r="V2546" s="17" t="n">
        <v>2</v>
      </c>
      <c r="W2546" s="20" t="str">
        <f aca="false">VLOOKUP(V2546,Sheet2!Q:R,2,0)</f>
        <v>IR CID -  Water log from other area</v>
      </c>
      <c r="X2546" s="17" t="str">
        <f aca="false">J2546</f>
        <v>A051</v>
      </c>
      <c r="Y2546" s="17" t="str">
        <f aca="false">VLOOKUP(X2546,Sheet2!A:B,2,0)</f>
        <v>AJAY KOSHTI</v>
      </c>
      <c r="Z2546" s="17" t="s">
        <v>1271</v>
      </c>
      <c r="AA2546" s="17"/>
      <c r="AB2546" s="17" t="s">
        <v>41</v>
      </c>
      <c r="AC2546" s="0" t="str">
        <f aca="false">LEFT(G2546,2)</f>
        <v>41</v>
      </c>
    </row>
    <row r="2547" customFormat="false" ht="15" hidden="false" customHeight="false" outlineLevel="0" collapsed="false">
      <c r="A2547" s="13" t="n">
        <f aca="false">1+A2546</f>
        <v>2545</v>
      </c>
      <c r="B2547" s="14" t="n">
        <v>1009533641</v>
      </c>
      <c r="C2547" s="15" t="s">
        <v>174</v>
      </c>
      <c r="D2547" s="16" t="s">
        <v>64</v>
      </c>
      <c r="E2547" s="17" t="s">
        <v>47</v>
      </c>
      <c r="F2547" s="18" t="s">
        <v>34</v>
      </c>
      <c r="G2547" s="19" t="n">
        <v>414088108801</v>
      </c>
      <c r="H2547" s="17" t="s">
        <v>35</v>
      </c>
      <c r="I2547" s="17" t="s">
        <v>44</v>
      </c>
      <c r="J2547" s="17" t="s">
        <v>267</v>
      </c>
      <c r="K2547" s="17" t="str">
        <f aca="false">VLOOKUP(J2547,Sheet2!A:B,2,0)</f>
        <v>HARIRAM GUPTA</v>
      </c>
      <c r="L2547" s="17" t="n">
        <v>1</v>
      </c>
      <c r="M2547" s="17" t="str">
        <f aca="false">VLOOKUP(L2547,Sheet2!D:E,2,0)</f>
        <v>Power Supply Section</v>
      </c>
      <c r="N2547" s="17" t="n">
        <v>1</v>
      </c>
      <c r="O2547" s="17" t="str">
        <f aca="false">VLOOKUP(N2547,Sheet2!G:H,2,0)</f>
        <v>Dead</v>
      </c>
      <c r="P2547" s="17" t="n">
        <v>11</v>
      </c>
      <c r="Q2547" s="17" t="str">
        <f aca="false">VLOOKUP(P2547,Sheet2!J:K,2,0)</f>
        <v>IR Declared due to CID -TA</v>
      </c>
      <c r="R2547" s="17" t="s">
        <v>35</v>
      </c>
      <c r="S2547" s="17" t="str">
        <f aca="false">VLOOKUP(R2547,Sheet2!N:O,2,0)</f>
        <v>IREPARABLE</v>
      </c>
      <c r="T2547" s="18" t="str">
        <f aca="false">VLOOKUP(P2547,Sheet2!Q:R,2,0)</f>
        <v>IR Normal - Track burn out</v>
      </c>
      <c r="U2547" s="20" t="s">
        <v>41</v>
      </c>
      <c r="V2547" s="17" t="n">
        <v>2</v>
      </c>
      <c r="W2547" s="20" t="str">
        <f aca="false">VLOOKUP(V2547,Sheet2!Q:R,2,0)</f>
        <v>IR CID -  Water log from other area</v>
      </c>
      <c r="X2547" s="17" t="str">
        <f aca="false">J2547</f>
        <v>A007</v>
      </c>
      <c r="Y2547" s="17" t="str">
        <f aca="false">VLOOKUP(X2547,Sheet2!A:B,2,0)</f>
        <v>HARIRAM GUPTA</v>
      </c>
      <c r="Z2547" s="17" t="s">
        <v>1272</v>
      </c>
      <c r="AA2547" s="17"/>
      <c r="AB2547" s="17" t="s">
        <v>41</v>
      </c>
      <c r="AC2547" s="0" t="str">
        <f aca="false">LEFT(G2547,2)</f>
        <v>41</v>
      </c>
    </row>
    <row r="2548" customFormat="false" ht="15" hidden="false" customHeight="false" outlineLevel="0" collapsed="false">
      <c r="A2548" s="13" t="n">
        <f aca="false">1+A2547</f>
        <v>2546</v>
      </c>
      <c r="B2548" s="14" t="n">
        <v>1009662884</v>
      </c>
      <c r="C2548" s="15" t="s">
        <v>433</v>
      </c>
      <c r="D2548" s="16" t="s">
        <v>196</v>
      </c>
      <c r="E2548" s="17" t="s">
        <v>47</v>
      </c>
      <c r="F2548" s="18" t="s">
        <v>34</v>
      </c>
      <c r="G2548" s="19" t="n">
        <v>413283118524</v>
      </c>
      <c r="H2548" s="17" t="s">
        <v>35</v>
      </c>
      <c r="I2548" s="17" t="s">
        <v>44</v>
      </c>
      <c r="J2548" s="17" t="s">
        <v>289</v>
      </c>
      <c r="K2548" s="17" t="str">
        <f aca="false">VLOOKUP(J2548,Sheet2!A:B,2,0)</f>
        <v>AJAY KOSHTI</v>
      </c>
      <c r="L2548" s="17" t="n">
        <v>1</v>
      </c>
      <c r="M2548" s="17" t="str">
        <f aca="false">VLOOKUP(L2548,Sheet2!D:E,2,0)</f>
        <v>Power Supply Section</v>
      </c>
      <c r="N2548" s="17" t="n">
        <v>1</v>
      </c>
      <c r="O2548" s="17" t="str">
        <f aca="false">VLOOKUP(N2548,Sheet2!G:H,2,0)</f>
        <v>Dead</v>
      </c>
      <c r="P2548" s="17" t="n">
        <v>11</v>
      </c>
      <c r="Q2548" s="17" t="str">
        <f aca="false">VLOOKUP(P2548,Sheet2!J:K,2,0)</f>
        <v>IR Declared due to CID -TA</v>
      </c>
      <c r="R2548" s="17" t="s">
        <v>35</v>
      </c>
      <c r="S2548" s="17" t="str">
        <f aca="false">VLOOKUP(R2548,Sheet2!N:O,2,0)</f>
        <v>IREPARABLE</v>
      </c>
      <c r="T2548" s="18" t="str">
        <f aca="false">VLOOKUP(P2548,Sheet2!Q:R,2,0)</f>
        <v>IR Normal - Track burn out</v>
      </c>
      <c r="U2548" s="20" t="s">
        <v>41</v>
      </c>
      <c r="V2548" s="17" t="n">
        <v>4</v>
      </c>
      <c r="W2548" s="20" t="str">
        <f aca="false">VLOOKUP(V2548,Sheet2!Q:R,2,0)</f>
        <v>IR CID - Tampered Track burn out</v>
      </c>
      <c r="X2548" s="17" t="str">
        <f aca="false">J2548</f>
        <v>A051</v>
      </c>
      <c r="Y2548" s="17" t="str">
        <f aca="false">VLOOKUP(X2548,Sheet2!A:B,2,0)</f>
        <v>AJAY KOSHTI</v>
      </c>
      <c r="Z2548" s="17" t="s">
        <v>1271</v>
      </c>
      <c r="AA2548" s="17"/>
      <c r="AB2548" s="17" t="s">
        <v>41</v>
      </c>
      <c r="AC2548" s="0" t="str">
        <f aca="false">LEFT(G2548,2)</f>
        <v>41</v>
      </c>
    </row>
    <row r="2549" customFormat="false" ht="15" hidden="false" customHeight="false" outlineLevel="0" collapsed="false">
      <c r="A2549" s="13" t="n">
        <f aca="false">1+A2548</f>
        <v>2547</v>
      </c>
      <c r="B2549" s="14" t="n">
        <v>1009615056</v>
      </c>
      <c r="C2549" s="15" t="s">
        <v>184</v>
      </c>
      <c r="D2549" s="16" t="s">
        <v>64</v>
      </c>
      <c r="E2549" s="17" t="s">
        <v>64</v>
      </c>
      <c r="F2549" s="18" t="s">
        <v>34</v>
      </c>
      <c r="G2549" s="19" t="n">
        <v>429260128658</v>
      </c>
      <c r="H2549" s="17" t="s">
        <v>35</v>
      </c>
      <c r="I2549" s="17" t="s">
        <v>82</v>
      </c>
      <c r="J2549" s="17" t="s">
        <v>121</v>
      </c>
      <c r="K2549" s="17" t="str">
        <f aca="false">VLOOKUP(J2549,Sheet2!A:B,2,0)</f>
        <v>SHANI GOHIL</v>
      </c>
      <c r="L2549" s="17" t="n">
        <v>2</v>
      </c>
      <c r="M2549" s="17" t="str">
        <f aca="false">VLOOKUP(L2549,Sheet2!D:E,2,0)</f>
        <v>Tuner Section</v>
      </c>
      <c r="N2549" s="17" t="n">
        <v>6</v>
      </c>
      <c r="O2549" s="17" t="str">
        <f aca="false">VLOOKUP(N2549,Sheet2!G:H,2,0)</f>
        <v>No Signal</v>
      </c>
      <c r="P2549" s="17" t="n">
        <v>11</v>
      </c>
      <c r="Q2549" s="17" t="str">
        <f aca="false">VLOOKUP(P2549,Sheet2!J:K,2,0)</f>
        <v>IR Declared due to CID -TA</v>
      </c>
      <c r="R2549" s="17" t="s">
        <v>35</v>
      </c>
      <c r="S2549" s="17" t="str">
        <f aca="false">VLOOKUP(R2549,Sheet2!N:O,2,0)</f>
        <v>IREPARABLE</v>
      </c>
      <c r="T2549" s="18" t="str">
        <f aca="false">VLOOKUP(P2549,Sheet2!Q:R,2,0)</f>
        <v>IR Normal - Track burn out</v>
      </c>
      <c r="U2549" s="20" t="s">
        <v>41</v>
      </c>
      <c r="V2549" s="17" t="n">
        <v>1</v>
      </c>
      <c r="W2549" s="20" t="str">
        <f aca="false">VLOOKUP(V2549,Sheet2!Q:R,2,0)</f>
        <v>IR CID -  Water log from IF port</v>
      </c>
      <c r="X2549" s="17" t="str">
        <f aca="false">J2549</f>
        <v>A063</v>
      </c>
      <c r="Y2549" s="17" t="str">
        <f aca="false">VLOOKUP(X2549,Sheet2!A:B,2,0)</f>
        <v>SHANI GOHIL</v>
      </c>
      <c r="Z2549" s="17" t="s">
        <v>303</v>
      </c>
      <c r="AA2549" s="17"/>
      <c r="AB2549" s="17" t="s">
        <v>41</v>
      </c>
      <c r="AC2549" s="0" t="str">
        <f aca="false">LEFT(G2549,2)</f>
        <v>42</v>
      </c>
    </row>
    <row r="2550" customFormat="false" ht="15" hidden="false" customHeight="false" outlineLevel="0" collapsed="false">
      <c r="A2550" s="13" t="n">
        <f aca="false">1+A2549</f>
        <v>2548</v>
      </c>
      <c r="B2550" s="14" t="n">
        <v>1009648242</v>
      </c>
      <c r="C2550" s="15" t="s">
        <v>204</v>
      </c>
      <c r="D2550" s="16" t="s">
        <v>472</v>
      </c>
      <c r="E2550" s="17" t="s">
        <v>47</v>
      </c>
      <c r="F2550" s="18" t="s">
        <v>34</v>
      </c>
      <c r="G2550" s="19" t="n">
        <v>775171001099</v>
      </c>
      <c r="H2550" s="17" t="s">
        <v>35</v>
      </c>
      <c r="I2550" s="17" t="s">
        <v>69</v>
      </c>
      <c r="J2550" s="17" t="s">
        <v>106</v>
      </c>
      <c r="K2550" s="17" t="str">
        <f aca="false">VLOOKUP(J2550,Sheet2!A:B,2,0)</f>
        <v>PRAKASH CHAVDA</v>
      </c>
      <c r="L2550" s="17" t="n">
        <v>5</v>
      </c>
      <c r="M2550" s="17" t="str">
        <f aca="false">VLOOKUP(L2550,Sheet2!D:E,2,0)</f>
        <v>Main Processor CPU BGA</v>
      </c>
      <c r="N2550" s="17" t="n">
        <v>15</v>
      </c>
      <c r="O2550" s="17" t="str">
        <f aca="false">VLOOKUP(N2550,Sheet2!G:H,2,0)</f>
        <v>No Video - AV</v>
      </c>
      <c r="P2550" s="17" t="n">
        <v>12</v>
      </c>
      <c r="Q2550" s="17" t="str">
        <f aca="false">VLOOKUP(P2550,Sheet2!J:K,2,0)</f>
        <v>IR Declared due to Others ( IR Normal)TB</v>
      </c>
      <c r="R2550" s="17" t="s">
        <v>35</v>
      </c>
      <c r="S2550" s="17" t="str">
        <f aca="false">VLOOKUP(R2550,Sheet2!N:O,2,0)</f>
        <v>IREPARABLE</v>
      </c>
      <c r="T2550" s="18" t="str">
        <f aca="false">VLOOKUP(P2550,Sheet2!Q:R,2,0)</f>
        <v>IR Normal - BER to IR</v>
      </c>
      <c r="U2550" s="20" t="s">
        <v>41</v>
      </c>
      <c r="V2550" s="17" t="n">
        <v>12</v>
      </c>
      <c r="W2550" s="20" t="str">
        <f aca="false">VLOOKUP(V2550,Sheet2!Q:R,2,0)</f>
        <v>IR Normal - BER to IR</v>
      </c>
      <c r="X2550" s="17" t="str">
        <f aca="false">J2550</f>
        <v>A018</v>
      </c>
      <c r="Y2550" s="17" t="str">
        <f aca="false">VLOOKUP(X2550,Sheet2!A:B,2,0)</f>
        <v>PRAKASH CHAVDA</v>
      </c>
      <c r="Z2550" s="17" t="s">
        <v>136</v>
      </c>
      <c r="AA2550" s="17"/>
      <c r="AB2550" s="17" t="s">
        <v>41</v>
      </c>
      <c r="AC2550" s="0" t="str">
        <f aca="false">LEFT(G2550,2)</f>
        <v>77</v>
      </c>
    </row>
    <row r="2551" customFormat="false" ht="15" hidden="false" customHeight="false" outlineLevel="0" collapsed="false">
      <c r="A2551" s="13" t="n">
        <f aca="false">1+A2550</f>
        <v>2549</v>
      </c>
      <c r="B2551" s="14" t="n">
        <v>1009565352</v>
      </c>
      <c r="C2551" s="15" t="s">
        <v>102</v>
      </c>
      <c r="D2551" s="16" t="s">
        <v>304</v>
      </c>
      <c r="E2551" s="17" t="s">
        <v>91</v>
      </c>
      <c r="F2551" s="18" t="s">
        <v>34</v>
      </c>
      <c r="G2551" s="19" t="n">
        <v>954129116941</v>
      </c>
      <c r="H2551" s="17" t="s">
        <v>35</v>
      </c>
      <c r="I2551" s="17" t="s">
        <v>44</v>
      </c>
      <c r="J2551" s="17" t="s">
        <v>111</v>
      </c>
      <c r="K2551" s="17" t="str">
        <f aca="false">VLOOKUP(J2551,Sheet2!A:B,2,0)</f>
        <v>NITIN PRANAMI</v>
      </c>
      <c r="L2551" s="17" t="n">
        <v>1</v>
      </c>
      <c r="M2551" s="17" t="str">
        <f aca="false">VLOOKUP(L2551,Sheet2!D:E,2,0)</f>
        <v>Power Supply Section</v>
      </c>
      <c r="N2551" s="17" t="n">
        <v>1</v>
      </c>
      <c r="O2551" s="17" t="str">
        <f aca="false">VLOOKUP(N2551,Sheet2!G:H,2,0)</f>
        <v>Dead</v>
      </c>
      <c r="P2551" s="17" t="n">
        <v>11</v>
      </c>
      <c r="Q2551" s="17" t="str">
        <f aca="false">VLOOKUP(P2551,Sheet2!J:K,2,0)</f>
        <v>IR Declared due to CID -TA</v>
      </c>
      <c r="R2551" s="17" t="s">
        <v>35</v>
      </c>
      <c r="S2551" s="17" t="str">
        <f aca="false">VLOOKUP(R2551,Sheet2!N:O,2,0)</f>
        <v>IREPARABLE</v>
      </c>
      <c r="T2551" s="18" t="str">
        <f aca="false">VLOOKUP(P2551,Sheet2!Q:R,2,0)</f>
        <v>IR Normal - Track burn out</v>
      </c>
      <c r="U2551" s="20" t="s">
        <v>41</v>
      </c>
      <c r="V2551" s="17" t="n">
        <v>2</v>
      </c>
      <c r="W2551" s="20" t="str">
        <f aca="false">VLOOKUP(V2551,Sheet2!Q:R,2,0)</f>
        <v>IR CID -  Water log from other area</v>
      </c>
      <c r="X2551" s="17" t="str">
        <f aca="false">J2551</f>
        <v>A031</v>
      </c>
      <c r="Y2551" s="17" t="str">
        <f aca="false">VLOOKUP(X2551,Sheet2!A:B,2,0)</f>
        <v>NITIN PRANAMI</v>
      </c>
      <c r="Z2551" s="17" t="s">
        <v>1223</v>
      </c>
      <c r="AA2551" s="17"/>
      <c r="AB2551" s="17" t="s">
        <v>41</v>
      </c>
      <c r="AC2551" s="0" t="str">
        <f aca="false">LEFT(G2551,2)</f>
        <v>95</v>
      </c>
    </row>
    <row r="2552" customFormat="false" ht="15" hidden="false" customHeight="false" outlineLevel="0" collapsed="false">
      <c r="A2552" s="13" t="n">
        <f aca="false">1+A2551</f>
        <v>2550</v>
      </c>
      <c r="B2552" s="14" t="n">
        <v>1009673460</v>
      </c>
      <c r="C2552" s="15" t="s">
        <v>436</v>
      </c>
      <c r="D2552" s="16" t="s">
        <v>64</v>
      </c>
      <c r="E2552" s="17" t="s">
        <v>33</v>
      </c>
      <c r="F2552" s="18" t="s">
        <v>34</v>
      </c>
      <c r="G2552" s="19" t="n">
        <v>942276904516</v>
      </c>
      <c r="H2552" s="17" t="s">
        <v>35</v>
      </c>
      <c r="I2552" s="17" t="s">
        <v>44</v>
      </c>
      <c r="J2552" s="17" t="s">
        <v>121</v>
      </c>
      <c r="K2552" s="17" t="str">
        <f aca="false">VLOOKUP(J2552,Sheet2!A:B,2,0)</f>
        <v>SHANI GOHIL</v>
      </c>
      <c r="L2552" s="17" t="n">
        <v>5</v>
      </c>
      <c r="M2552" s="17" t="str">
        <f aca="false">VLOOKUP(L2552,Sheet2!D:E,2,0)</f>
        <v>Main Processor CPU BGA</v>
      </c>
      <c r="N2552" s="17" t="n">
        <v>24</v>
      </c>
      <c r="O2552" s="17" t="str">
        <f aca="false">VLOOKUP(N2552,Sheet2!G:H,2,0)</f>
        <v>STB Auto moving -Stand by mode</v>
      </c>
      <c r="P2552" s="17" t="n">
        <v>11</v>
      </c>
      <c r="Q2552" s="17" t="str">
        <f aca="false">VLOOKUP(P2552,Sheet2!J:K,2,0)</f>
        <v>IR Declared due to CID -TA</v>
      </c>
      <c r="R2552" s="17" t="s">
        <v>35</v>
      </c>
      <c r="S2552" s="17" t="str">
        <f aca="false">VLOOKUP(R2552,Sheet2!N:O,2,0)</f>
        <v>IREPARABLE</v>
      </c>
      <c r="T2552" s="18" t="str">
        <f aca="false">VLOOKUP(P2552,Sheet2!Q:R,2,0)</f>
        <v>IR Normal - Track burn out</v>
      </c>
      <c r="U2552" s="20" t="s">
        <v>41</v>
      </c>
      <c r="V2552" s="17" t="n">
        <v>2</v>
      </c>
      <c r="W2552" s="20" t="str">
        <f aca="false">VLOOKUP(V2552,Sheet2!Q:R,2,0)</f>
        <v>IR CID -  Water log from other area</v>
      </c>
      <c r="X2552" s="17" t="str">
        <f aca="false">J2552</f>
        <v>A063</v>
      </c>
      <c r="Y2552" s="17" t="str">
        <f aca="false">VLOOKUP(X2552,Sheet2!A:B,2,0)</f>
        <v>SHANI GOHIL</v>
      </c>
      <c r="Z2552" s="17" t="s">
        <v>1273</v>
      </c>
      <c r="AA2552" s="17"/>
      <c r="AB2552" s="17" t="s">
        <v>41</v>
      </c>
      <c r="AC2552" s="0" t="str">
        <f aca="false">LEFT(G2552,2)</f>
        <v>94</v>
      </c>
    </row>
    <row r="2553" customFormat="false" ht="15" hidden="false" customHeight="false" outlineLevel="0" collapsed="false">
      <c r="A2553" s="13" t="n">
        <f aca="false">1+A2552</f>
        <v>2551</v>
      </c>
      <c r="B2553" s="14" t="n">
        <v>1009416586</v>
      </c>
      <c r="C2553" s="15" t="s">
        <v>179</v>
      </c>
      <c r="D2553" s="16" t="s">
        <v>64</v>
      </c>
      <c r="E2553" s="17" t="s">
        <v>47</v>
      </c>
      <c r="F2553" s="18" t="s">
        <v>34</v>
      </c>
      <c r="G2553" s="19" t="n">
        <v>942266927840</v>
      </c>
      <c r="H2553" s="17" t="s">
        <v>35</v>
      </c>
      <c r="I2553" s="17" t="s">
        <v>44</v>
      </c>
      <c r="J2553" s="17" t="s">
        <v>241</v>
      </c>
      <c r="K2553" s="17" t="str">
        <f aca="false">VLOOKUP(J2553,Sheet2!A:B,2,0)</f>
        <v>NILESH NAGAR</v>
      </c>
      <c r="L2553" s="17" t="n">
        <v>5</v>
      </c>
      <c r="M2553" s="17" t="str">
        <f aca="false">VLOOKUP(L2553,Sheet2!D:E,2,0)</f>
        <v>Main Processor CPU BGA</v>
      </c>
      <c r="N2553" s="17" t="n">
        <v>1</v>
      </c>
      <c r="O2553" s="17" t="str">
        <f aca="false">VLOOKUP(N2553,Sheet2!G:H,2,0)</f>
        <v>Dead</v>
      </c>
      <c r="P2553" s="17" t="n">
        <v>11</v>
      </c>
      <c r="Q2553" s="17" t="str">
        <f aca="false">VLOOKUP(P2553,Sheet2!J:K,2,0)</f>
        <v>IR Declared due to CID -TA</v>
      </c>
      <c r="R2553" s="17" t="s">
        <v>35</v>
      </c>
      <c r="S2553" s="17" t="str">
        <f aca="false">VLOOKUP(R2553,Sheet2!N:O,2,0)</f>
        <v>IREPARABLE</v>
      </c>
      <c r="T2553" s="18" t="str">
        <f aca="false">VLOOKUP(P2553,Sheet2!Q:R,2,0)</f>
        <v>IR Normal - Track burn out</v>
      </c>
      <c r="U2553" s="20" t="s">
        <v>41</v>
      </c>
      <c r="V2553" s="17" t="n">
        <v>3</v>
      </c>
      <c r="W2553" s="20" t="str">
        <f aca="false">VLOOKUP(V2553,Sheet2!Q:R,2,0)</f>
        <v>IR CID - Tampered TrackOpen/Reworkdone </v>
      </c>
      <c r="X2553" s="17" t="str">
        <f aca="false">J2553</f>
        <v>A008</v>
      </c>
      <c r="Y2553" s="17" t="str">
        <f aca="false">VLOOKUP(X2553,Sheet2!A:B,2,0)</f>
        <v>NILESH NAGAR</v>
      </c>
      <c r="Z2553" s="17" t="s">
        <v>149</v>
      </c>
      <c r="AA2553" s="17"/>
      <c r="AB2553" s="17" t="s">
        <v>41</v>
      </c>
      <c r="AC2553" s="0" t="str">
        <f aca="false">LEFT(G2553,2)</f>
        <v>94</v>
      </c>
    </row>
    <row r="2554" customFormat="false" ht="15" hidden="false" customHeight="false" outlineLevel="0" collapsed="false">
      <c r="A2554" s="13" t="n">
        <f aca="false">1+A2553</f>
        <v>2552</v>
      </c>
      <c r="B2554" s="14" t="n">
        <v>1009563464</v>
      </c>
      <c r="C2554" s="15" t="s">
        <v>146</v>
      </c>
      <c r="D2554" s="16" t="s">
        <v>64</v>
      </c>
      <c r="E2554" s="17" t="s">
        <v>47</v>
      </c>
      <c r="F2554" s="18" t="s">
        <v>34</v>
      </c>
      <c r="G2554" s="19" t="n">
        <v>943167926212</v>
      </c>
      <c r="H2554" s="17" t="s">
        <v>35</v>
      </c>
      <c r="I2554" s="17" t="s">
        <v>44</v>
      </c>
      <c r="J2554" s="17" t="s">
        <v>106</v>
      </c>
      <c r="K2554" s="17" t="str">
        <f aca="false">VLOOKUP(J2554,Sheet2!A:B,2,0)</f>
        <v>PRAKASH CHAVDA</v>
      </c>
      <c r="L2554" s="17" t="n">
        <v>5</v>
      </c>
      <c r="M2554" s="17" t="str">
        <f aca="false">VLOOKUP(L2554,Sheet2!D:E,2,0)</f>
        <v>Main Processor CPU BGA</v>
      </c>
      <c r="N2554" s="17" t="n">
        <v>1</v>
      </c>
      <c r="O2554" s="17" t="str">
        <f aca="false">VLOOKUP(N2554,Sheet2!G:H,2,0)</f>
        <v>Dead</v>
      </c>
      <c r="P2554" s="17" t="n">
        <v>12</v>
      </c>
      <c r="Q2554" s="17" t="str">
        <f aca="false">VLOOKUP(P2554,Sheet2!J:K,2,0)</f>
        <v>IR Declared due to Others ( IR Normal)TB</v>
      </c>
      <c r="R2554" s="17" t="s">
        <v>35</v>
      </c>
      <c r="S2554" s="17" t="str">
        <f aca="false">VLOOKUP(R2554,Sheet2!N:O,2,0)</f>
        <v>IREPARABLE</v>
      </c>
      <c r="T2554" s="18" t="str">
        <f aca="false">VLOOKUP(P2554,Sheet2!Q:R,2,0)</f>
        <v>IR Normal - BER to IR</v>
      </c>
      <c r="U2554" s="20" t="s">
        <v>41</v>
      </c>
      <c r="V2554" s="17" t="n">
        <v>12</v>
      </c>
      <c r="W2554" s="20" t="str">
        <f aca="false">VLOOKUP(V2554,Sheet2!Q:R,2,0)</f>
        <v>IR Normal - BER to IR</v>
      </c>
      <c r="X2554" s="17" t="str">
        <f aca="false">J2554</f>
        <v>A018</v>
      </c>
      <c r="Y2554" s="17" t="str">
        <f aca="false">VLOOKUP(X2554,Sheet2!A:B,2,0)</f>
        <v>PRAKASH CHAVDA</v>
      </c>
      <c r="Z2554" s="17" t="s">
        <v>1274</v>
      </c>
      <c r="AA2554" s="17"/>
      <c r="AB2554" s="17" t="s">
        <v>41</v>
      </c>
      <c r="AC2554" s="0" t="str">
        <f aca="false">LEFT(G2554,2)</f>
        <v>94</v>
      </c>
    </row>
    <row r="2555" customFormat="false" ht="15" hidden="false" customHeight="false" outlineLevel="0" collapsed="false">
      <c r="A2555" s="13" t="n">
        <f aca="false">1+A2554</f>
        <v>2553</v>
      </c>
      <c r="B2555" s="14" t="n">
        <v>1009401591</v>
      </c>
      <c r="C2555" s="15" t="s">
        <v>383</v>
      </c>
      <c r="D2555" s="16" t="s">
        <v>78</v>
      </c>
      <c r="E2555" s="17" t="s">
        <v>47</v>
      </c>
      <c r="F2555" s="18" t="s">
        <v>34</v>
      </c>
      <c r="G2555" s="19" t="n">
        <v>954141243228</v>
      </c>
      <c r="H2555" s="17" t="s">
        <v>35</v>
      </c>
      <c r="I2555" s="17" t="s">
        <v>44</v>
      </c>
      <c r="J2555" s="17" t="s">
        <v>106</v>
      </c>
      <c r="K2555" s="17" t="str">
        <f aca="false">VLOOKUP(J2555,Sheet2!A:B,2,0)</f>
        <v>PRAKASH CHAVDA</v>
      </c>
      <c r="L2555" s="17" t="n">
        <v>5</v>
      </c>
      <c r="M2555" s="17" t="str">
        <f aca="false">VLOOKUP(L2555,Sheet2!D:E,2,0)</f>
        <v>Main Processor CPU BGA</v>
      </c>
      <c r="N2555" s="17" t="n">
        <v>1</v>
      </c>
      <c r="O2555" s="17" t="str">
        <f aca="false">VLOOKUP(N2555,Sheet2!G:H,2,0)</f>
        <v>Dead</v>
      </c>
      <c r="P2555" s="17" t="n">
        <v>12</v>
      </c>
      <c r="Q2555" s="17" t="str">
        <f aca="false">VLOOKUP(P2555,Sheet2!J:K,2,0)</f>
        <v>IR Declared due to Others ( IR Normal)TB</v>
      </c>
      <c r="R2555" s="17" t="s">
        <v>35</v>
      </c>
      <c r="S2555" s="17" t="str">
        <f aca="false">VLOOKUP(R2555,Sheet2!N:O,2,0)</f>
        <v>IREPARABLE</v>
      </c>
      <c r="T2555" s="18" t="str">
        <f aca="false">VLOOKUP(P2555,Sheet2!Q:R,2,0)</f>
        <v>IR Normal - BER to IR</v>
      </c>
      <c r="U2555" s="20" t="s">
        <v>41</v>
      </c>
      <c r="V2555" s="17" t="n">
        <v>12</v>
      </c>
      <c r="W2555" s="20" t="str">
        <f aca="false">VLOOKUP(V2555,Sheet2!Q:R,2,0)</f>
        <v>IR Normal - BER to IR</v>
      </c>
      <c r="X2555" s="17" t="str">
        <f aca="false">J2555</f>
        <v>A018</v>
      </c>
      <c r="Y2555" s="17" t="str">
        <f aca="false">VLOOKUP(X2555,Sheet2!A:B,2,0)</f>
        <v>PRAKASH CHAVDA</v>
      </c>
      <c r="Z2555" s="17" t="s">
        <v>150</v>
      </c>
      <c r="AA2555" s="17"/>
      <c r="AB2555" s="17" t="s">
        <v>41</v>
      </c>
      <c r="AC2555" s="0" t="str">
        <f aca="false">LEFT(G2555,2)</f>
        <v>95</v>
      </c>
    </row>
    <row r="2556" customFormat="false" ht="15" hidden="false" customHeight="false" outlineLevel="0" collapsed="false">
      <c r="A2556" s="13" t="n">
        <f aca="false">1+A2555</f>
        <v>2554</v>
      </c>
      <c r="B2556" s="14" t="n">
        <v>1009558950</v>
      </c>
      <c r="C2556" s="15" t="s">
        <v>192</v>
      </c>
      <c r="D2556" s="16" t="s">
        <v>64</v>
      </c>
      <c r="E2556" s="17" t="s">
        <v>64</v>
      </c>
      <c r="F2556" s="18" t="s">
        <v>34</v>
      </c>
      <c r="G2556" s="19" t="n">
        <v>651070004601</v>
      </c>
      <c r="H2556" s="17" t="s">
        <v>35</v>
      </c>
      <c r="I2556" s="17" t="s">
        <v>50</v>
      </c>
      <c r="J2556" s="17" t="s">
        <v>100</v>
      </c>
      <c r="K2556" s="17" t="str">
        <f aca="false">VLOOKUP(J2556,Sheet2!A:B,2,0)</f>
        <v>PIYUSH CHAVDA</v>
      </c>
      <c r="L2556" s="17" t="n">
        <v>1</v>
      </c>
      <c r="M2556" s="17" t="str">
        <f aca="false">VLOOKUP(L2556,Sheet2!D:E,2,0)</f>
        <v>Power Supply Section</v>
      </c>
      <c r="N2556" s="17" t="n">
        <v>1</v>
      </c>
      <c r="O2556" s="17" t="str">
        <f aca="false">VLOOKUP(N2556,Sheet2!G:H,2,0)</f>
        <v>Dead</v>
      </c>
      <c r="P2556" s="17" t="n">
        <v>11</v>
      </c>
      <c r="Q2556" s="17" t="str">
        <f aca="false">VLOOKUP(P2556,Sheet2!J:K,2,0)</f>
        <v>IR Declared due to CID -TA</v>
      </c>
      <c r="R2556" s="17" t="s">
        <v>35</v>
      </c>
      <c r="S2556" s="17" t="str">
        <f aca="false">VLOOKUP(R2556,Sheet2!N:O,2,0)</f>
        <v>IREPARABLE</v>
      </c>
      <c r="T2556" s="18" t="str">
        <f aca="false">VLOOKUP(P2556,Sheet2!Q:R,2,0)</f>
        <v>IR Normal - Track burn out</v>
      </c>
      <c r="U2556" s="20" t="s">
        <v>41</v>
      </c>
      <c r="V2556" s="17" t="n">
        <v>2</v>
      </c>
      <c r="W2556" s="20" t="str">
        <f aca="false">VLOOKUP(V2556,Sheet2!Q:R,2,0)</f>
        <v>IR CID -  Water log from other area</v>
      </c>
      <c r="X2556" s="17" t="str">
        <f aca="false">J2556</f>
        <v>A050</v>
      </c>
      <c r="Y2556" s="17" t="str">
        <f aca="false">VLOOKUP(X2556,Sheet2!A:B,2,0)</f>
        <v>PIYUSH CHAVDA</v>
      </c>
      <c r="Z2556" s="17" t="s">
        <v>1275</v>
      </c>
      <c r="AA2556" s="17"/>
      <c r="AB2556" s="17" t="s">
        <v>41</v>
      </c>
      <c r="AC2556" s="0" t="str">
        <f aca="false">LEFT(G2556,2)</f>
        <v>65</v>
      </c>
    </row>
    <row r="2557" customFormat="false" ht="15" hidden="false" customHeight="false" outlineLevel="0" collapsed="false">
      <c r="A2557" s="13" t="n">
        <f aca="false">1+A2556</f>
        <v>2555</v>
      </c>
      <c r="B2557" s="14" t="n">
        <v>1009373555</v>
      </c>
      <c r="C2557" s="15" t="s">
        <v>395</v>
      </c>
      <c r="D2557" s="16" t="s">
        <v>105</v>
      </c>
      <c r="E2557" s="17" t="s">
        <v>64</v>
      </c>
      <c r="F2557" s="18" t="s">
        <v>34</v>
      </c>
      <c r="G2557" s="19" t="n">
        <v>651127019073</v>
      </c>
      <c r="H2557" s="17" t="s">
        <v>35</v>
      </c>
      <c r="I2557" s="17" t="s">
        <v>50</v>
      </c>
      <c r="J2557" s="17" t="s">
        <v>100</v>
      </c>
      <c r="K2557" s="17" t="str">
        <f aca="false">VLOOKUP(J2557,Sheet2!A:B,2,0)</f>
        <v>PIYUSH CHAVDA</v>
      </c>
      <c r="L2557" s="17" t="n">
        <v>1</v>
      </c>
      <c r="M2557" s="17" t="str">
        <f aca="false">VLOOKUP(L2557,Sheet2!D:E,2,0)</f>
        <v>Power Supply Section</v>
      </c>
      <c r="N2557" s="17" t="n">
        <v>1</v>
      </c>
      <c r="O2557" s="17" t="str">
        <f aca="false">VLOOKUP(N2557,Sheet2!G:H,2,0)</f>
        <v>Dead</v>
      </c>
      <c r="P2557" s="17" t="n">
        <v>11</v>
      </c>
      <c r="Q2557" s="17" t="str">
        <f aca="false">VLOOKUP(P2557,Sheet2!J:K,2,0)</f>
        <v>IR Declared due to CID -TA</v>
      </c>
      <c r="R2557" s="17" t="s">
        <v>35</v>
      </c>
      <c r="S2557" s="17" t="str">
        <f aca="false">VLOOKUP(R2557,Sheet2!N:O,2,0)</f>
        <v>IREPARABLE</v>
      </c>
      <c r="T2557" s="18" t="str">
        <f aca="false">VLOOKUP(P2557,Sheet2!Q:R,2,0)</f>
        <v>IR Normal - Track burn out</v>
      </c>
      <c r="U2557" s="20" t="s">
        <v>41</v>
      </c>
      <c r="V2557" s="17" t="n">
        <v>2</v>
      </c>
      <c r="W2557" s="20" t="str">
        <f aca="false">VLOOKUP(V2557,Sheet2!Q:R,2,0)</f>
        <v>IR CID -  Water log from other area</v>
      </c>
      <c r="X2557" s="17" t="str">
        <f aca="false">J2557</f>
        <v>A050</v>
      </c>
      <c r="Y2557" s="17" t="str">
        <f aca="false">VLOOKUP(X2557,Sheet2!A:B,2,0)</f>
        <v>PIYUSH CHAVDA</v>
      </c>
      <c r="Z2557" s="17" t="s">
        <v>1275</v>
      </c>
      <c r="AA2557" s="17"/>
      <c r="AB2557" s="17" t="s">
        <v>41</v>
      </c>
      <c r="AC2557" s="0" t="str">
        <f aca="false">LEFT(G2557,2)</f>
        <v>65</v>
      </c>
    </row>
    <row r="2558" customFormat="false" ht="15" hidden="false" customHeight="false" outlineLevel="0" collapsed="false">
      <c r="A2558" s="13" t="n">
        <f aca="false">1+A2557</f>
        <v>2556</v>
      </c>
      <c r="B2558" s="14" t="n">
        <v>1009678039</v>
      </c>
      <c r="C2558" s="15" t="s">
        <v>436</v>
      </c>
      <c r="D2558" s="16" t="s">
        <v>108</v>
      </c>
      <c r="E2558" s="17" t="s">
        <v>64</v>
      </c>
      <c r="F2558" s="18" t="s">
        <v>34</v>
      </c>
      <c r="G2558" s="19" t="n">
        <v>652016002956</v>
      </c>
      <c r="H2558" s="17" t="s">
        <v>35</v>
      </c>
      <c r="I2558" s="17" t="s">
        <v>50</v>
      </c>
      <c r="J2558" s="17" t="s">
        <v>241</v>
      </c>
      <c r="K2558" s="17" t="str">
        <f aca="false">VLOOKUP(J2558,Sheet2!A:B,2,0)</f>
        <v>NILESH NAGAR</v>
      </c>
      <c r="L2558" s="17" t="n">
        <v>5</v>
      </c>
      <c r="M2558" s="17" t="str">
        <f aca="false">VLOOKUP(L2558,Sheet2!D:E,2,0)</f>
        <v>Main Processor CPU BGA</v>
      </c>
      <c r="N2558" s="17" t="n">
        <v>1</v>
      </c>
      <c r="O2558" s="17" t="str">
        <f aca="false">VLOOKUP(N2558,Sheet2!G:H,2,0)</f>
        <v>Dead</v>
      </c>
      <c r="P2558" s="17" t="n">
        <v>11</v>
      </c>
      <c r="Q2558" s="17" t="str">
        <f aca="false">VLOOKUP(P2558,Sheet2!J:K,2,0)</f>
        <v>IR Declared due to CID -TA</v>
      </c>
      <c r="R2558" s="17" t="s">
        <v>35</v>
      </c>
      <c r="S2558" s="17" t="str">
        <f aca="false">VLOOKUP(R2558,Sheet2!N:O,2,0)</f>
        <v>IREPARABLE</v>
      </c>
      <c r="T2558" s="18" t="str">
        <f aca="false">VLOOKUP(P2558,Sheet2!Q:R,2,0)</f>
        <v>IR Normal - Track burn out</v>
      </c>
      <c r="U2558" s="20" t="s">
        <v>41</v>
      </c>
      <c r="V2558" s="17" t="n">
        <v>2</v>
      </c>
      <c r="W2558" s="20" t="str">
        <f aca="false">VLOOKUP(V2558,Sheet2!Q:R,2,0)</f>
        <v>IR CID -  Water log from other area</v>
      </c>
      <c r="X2558" s="17" t="str">
        <f aca="false">J2558</f>
        <v>A008</v>
      </c>
      <c r="Y2558" s="17" t="str">
        <f aca="false">VLOOKUP(X2558,Sheet2!A:B,2,0)</f>
        <v>NILESH NAGAR</v>
      </c>
      <c r="Z2558" s="17" t="s">
        <v>149</v>
      </c>
      <c r="AA2558" s="17"/>
      <c r="AB2558" s="17" t="s">
        <v>41</v>
      </c>
      <c r="AC2558" s="0" t="str">
        <f aca="false">LEFT(G2558,2)</f>
        <v>65</v>
      </c>
    </row>
    <row r="2559" customFormat="false" ht="15" hidden="false" customHeight="false" outlineLevel="0" collapsed="false">
      <c r="A2559" s="13" t="n">
        <f aca="false">1+A2558</f>
        <v>2557</v>
      </c>
      <c r="B2559" s="14" t="n">
        <v>1009360578</v>
      </c>
      <c r="C2559" s="15" t="s">
        <v>442</v>
      </c>
      <c r="D2559" s="16" t="s">
        <v>131</v>
      </c>
      <c r="E2559" s="17" t="s">
        <v>33</v>
      </c>
      <c r="F2559" s="18" t="s">
        <v>34</v>
      </c>
      <c r="G2559" s="19" t="n">
        <v>651019018670</v>
      </c>
      <c r="H2559" s="17" t="s">
        <v>35</v>
      </c>
      <c r="I2559" s="17" t="s">
        <v>50</v>
      </c>
      <c r="J2559" s="17" t="s">
        <v>239</v>
      </c>
      <c r="K2559" s="17" t="str">
        <f aca="false">VLOOKUP(J2559,Sheet2!A:B,2,0)</f>
        <v>VASANT PARMAR</v>
      </c>
      <c r="L2559" s="17" t="n">
        <v>5</v>
      </c>
      <c r="M2559" s="17" t="str">
        <f aca="false">VLOOKUP(L2559,Sheet2!D:E,2,0)</f>
        <v>Main Processor CPU BGA</v>
      </c>
      <c r="N2559" s="17" t="n">
        <v>1</v>
      </c>
      <c r="O2559" s="17" t="str">
        <f aca="false">VLOOKUP(N2559,Sheet2!G:H,2,0)</f>
        <v>Dead</v>
      </c>
      <c r="P2559" s="17" t="n">
        <v>11</v>
      </c>
      <c r="Q2559" s="17" t="str">
        <f aca="false">VLOOKUP(P2559,Sheet2!J:K,2,0)</f>
        <v>IR Declared due to CID -TA</v>
      </c>
      <c r="R2559" s="17" t="s">
        <v>35</v>
      </c>
      <c r="S2559" s="17" t="str">
        <f aca="false">VLOOKUP(R2559,Sheet2!N:O,2,0)</f>
        <v>IREPARABLE</v>
      </c>
      <c r="T2559" s="18" t="str">
        <f aca="false">VLOOKUP(P2559,Sheet2!Q:R,2,0)</f>
        <v>IR Normal - Track burn out</v>
      </c>
      <c r="U2559" s="20" t="s">
        <v>41</v>
      </c>
      <c r="V2559" s="17" t="n">
        <v>2</v>
      </c>
      <c r="W2559" s="20" t="str">
        <f aca="false">VLOOKUP(V2559,Sheet2!Q:R,2,0)</f>
        <v>IR CID -  Water log from other area</v>
      </c>
      <c r="X2559" s="17" t="str">
        <f aca="false">J2559</f>
        <v>A005</v>
      </c>
      <c r="Y2559" s="17" t="str">
        <f aca="false">VLOOKUP(X2559,Sheet2!A:B,2,0)</f>
        <v>VASANT PARMAR</v>
      </c>
      <c r="Z2559" s="17" t="s">
        <v>1276</v>
      </c>
      <c r="AA2559" s="17"/>
      <c r="AB2559" s="17" t="s">
        <v>41</v>
      </c>
      <c r="AC2559" s="0" t="str">
        <f aca="false">LEFT(G2559,2)</f>
        <v>65</v>
      </c>
    </row>
    <row r="2560" customFormat="false" ht="15" hidden="false" customHeight="false" outlineLevel="0" collapsed="false">
      <c r="A2560" s="13" t="n">
        <f aca="false">1+A2559</f>
        <v>2558</v>
      </c>
      <c r="B2560" s="14" t="n">
        <v>1009285960</v>
      </c>
      <c r="C2560" s="15" t="s">
        <v>75</v>
      </c>
      <c r="D2560" s="16" t="s">
        <v>64</v>
      </c>
      <c r="E2560" s="17" t="s">
        <v>64</v>
      </c>
      <c r="F2560" s="18" t="s">
        <v>34</v>
      </c>
      <c r="G2560" s="19" t="n">
        <v>651159006972</v>
      </c>
      <c r="H2560" s="17" t="s">
        <v>35</v>
      </c>
      <c r="I2560" s="17" t="s">
        <v>50</v>
      </c>
      <c r="J2560" s="17" t="s">
        <v>100</v>
      </c>
      <c r="K2560" s="17" t="str">
        <f aca="false">VLOOKUP(J2560,Sheet2!A:B,2,0)</f>
        <v>PIYUSH CHAVDA</v>
      </c>
      <c r="L2560" s="17" t="n">
        <v>1</v>
      </c>
      <c r="M2560" s="17" t="str">
        <f aca="false">VLOOKUP(L2560,Sheet2!D:E,2,0)</f>
        <v>Power Supply Section</v>
      </c>
      <c r="N2560" s="17" t="n">
        <v>1</v>
      </c>
      <c r="O2560" s="17" t="str">
        <f aca="false">VLOOKUP(N2560,Sheet2!G:H,2,0)</f>
        <v>Dead</v>
      </c>
      <c r="P2560" s="17" t="n">
        <v>11</v>
      </c>
      <c r="Q2560" s="17" t="str">
        <f aca="false">VLOOKUP(P2560,Sheet2!J:K,2,0)</f>
        <v>IR Declared due to CID -TA</v>
      </c>
      <c r="R2560" s="17" t="s">
        <v>35</v>
      </c>
      <c r="S2560" s="17" t="str">
        <f aca="false">VLOOKUP(R2560,Sheet2!N:O,2,0)</f>
        <v>IREPARABLE</v>
      </c>
      <c r="T2560" s="18" t="str">
        <f aca="false">VLOOKUP(P2560,Sheet2!Q:R,2,0)</f>
        <v>IR Normal - Track burn out</v>
      </c>
      <c r="U2560" s="20" t="s">
        <v>41</v>
      </c>
      <c r="V2560" s="17" t="n">
        <v>2</v>
      </c>
      <c r="W2560" s="20" t="str">
        <f aca="false">VLOOKUP(V2560,Sheet2!Q:R,2,0)</f>
        <v>IR CID -  Water log from other area</v>
      </c>
      <c r="X2560" s="17" t="str">
        <f aca="false">J2560</f>
        <v>A050</v>
      </c>
      <c r="Y2560" s="17" t="str">
        <f aca="false">VLOOKUP(X2560,Sheet2!A:B,2,0)</f>
        <v>PIYUSH CHAVDA</v>
      </c>
      <c r="Z2560" s="17" t="s">
        <v>1277</v>
      </c>
      <c r="AA2560" s="17"/>
      <c r="AB2560" s="17" t="s">
        <v>41</v>
      </c>
      <c r="AC2560" s="0" t="str">
        <f aca="false">LEFT(G2560,2)</f>
        <v>65</v>
      </c>
    </row>
    <row r="2561" customFormat="false" ht="15" hidden="false" customHeight="false" outlineLevel="0" collapsed="false">
      <c r="A2561" s="13" t="n">
        <f aca="false">1+A2560</f>
        <v>2559</v>
      </c>
      <c r="B2561" s="14" t="n">
        <v>1009285594</v>
      </c>
      <c r="C2561" s="15" t="s">
        <v>75</v>
      </c>
      <c r="D2561" s="16" t="s">
        <v>64</v>
      </c>
      <c r="E2561" s="17" t="s">
        <v>64</v>
      </c>
      <c r="F2561" s="18" t="s">
        <v>34</v>
      </c>
      <c r="G2561" s="19" t="n">
        <v>651018027870</v>
      </c>
      <c r="H2561" s="17" t="s">
        <v>35</v>
      </c>
      <c r="I2561" s="17" t="s">
        <v>50</v>
      </c>
      <c r="J2561" s="17" t="s">
        <v>100</v>
      </c>
      <c r="K2561" s="17" t="str">
        <f aca="false">VLOOKUP(J2561,Sheet2!A:B,2,0)</f>
        <v>PIYUSH CHAVDA</v>
      </c>
      <c r="L2561" s="17" t="n">
        <v>1</v>
      </c>
      <c r="M2561" s="17" t="str">
        <f aca="false">VLOOKUP(L2561,Sheet2!D:E,2,0)</f>
        <v>Power Supply Section</v>
      </c>
      <c r="N2561" s="17" t="n">
        <v>1</v>
      </c>
      <c r="O2561" s="17" t="str">
        <f aca="false">VLOOKUP(N2561,Sheet2!G:H,2,0)</f>
        <v>Dead</v>
      </c>
      <c r="P2561" s="17" t="n">
        <v>11</v>
      </c>
      <c r="Q2561" s="17" t="str">
        <f aca="false">VLOOKUP(P2561,Sheet2!J:K,2,0)</f>
        <v>IR Declared due to CID -TA</v>
      </c>
      <c r="R2561" s="17" t="s">
        <v>35</v>
      </c>
      <c r="S2561" s="17" t="str">
        <f aca="false">VLOOKUP(R2561,Sheet2!N:O,2,0)</f>
        <v>IREPARABLE</v>
      </c>
      <c r="T2561" s="18" t="str">
        <f aca="false">VLOOKUP(P2561,Sheet2!Q:R,2,0)</f>
        <v>IR Normal - Track burn out</v>
      </c>
      <c r="U2561" s="20" t="s">
        <v>41</v>
      </c>
      <c r="V2561" s="17" t="n">
        <v>2</v>
      </c>
      <c r="W2561" s="20" t="str">
        <f aca="false">VLOOKUP(V2561,Sheet2!Q:R,2,0)</f>
        <v>IR CID -  Water log from other area</v>
      </c>
      <c r="X2561" s="17" t="str">
        <f aca="false">J2561</f>
        <v>A050</v>
      </c>
      <c r="Y2561" s="17" t="str">
        <f aca="false">VLOOKUP(X2561,Sheet2!A:B,2,0)</f>
        <v>PIYUSH CHAVDA</v>
      </c>
      <c r="Z2561" s="17" t="s">
        <v>1278</v>
      </c>
      <c r="AA2561" s="17"/>
      <c r="AB2561" s="17" t="s">
        <v>41</v>
      </c>
      <c r="AC2561" s="0" t="str">
        <f aca="false">LEFT(G2561,2)</f>
        <v>65</v>
      </c>
    </row>
    <row r="2562" customFormat="false" ht="15" hidden="false" customHeight="false" outlineLevel="0" collapsed="false">
      <c r="A2562" s="13" t="n">
        <f aca="false">1+A2561</f>
        <v>2560</v>
      </c>
      <c r="B2562" s="14" t="n">
        <v>1009364466</v>
      </c>
      <c r="C2562" s="15" t="s">
        <v>442</v>
      </c>
      <c r="D2562" s="16" t="s">
        <v>64</v>
      </c>
      <c r="E2562" s="17" t="s">
        <v>47</v>
      </c>
      <c r="F2562" s="18" t="s">
        <v>34</v>
      </c>
      <c r="G2562" s="19" t="n">
        <v>651172007452</v>
      </c>
      <c r="H2562" s="17" t="s">
        <v>35</v>
      </c>
      <c r="I2562" s="17" t="s">
        <v>50</v>
      </c>
      <c r="J2562" s="17" t="s">
        <v>111</v>
      </c>
      <c r="K2562" s="17" t="str">
        <f aca="false">VLOOKUP(J2562,Sheet2!A:B,2,0)</f>
        <v>NITIN PRANAMI</v>
      </c>
      <c r="L2562" s="17" t="n">
        <v>1</v>
      </c>
      <c r="M2562" s="17" t="str">
        <f aca="false">VLOOKUP(L2562,Sheet2!D:E,2,0)</f>
        <v>Power Supply Section</v>
      </c>
      <c r="N2562" s="17" t="n">
        <v>1</v>
      </c>
      <c r="O2562" s="17" t="str">
        <f aca="false">VLOOKUP(N2562,Sheet2!G:H,2,0)</f>
        <v>Dead</v>
      </c>
      <c r="P2562" s="17" t="n">
        <v>11</v>
      </c>
      <c r="Q2562" s="17" t="str">
        <f aca="false">VLOOKUP(P2562,Sheet2!J:K,2,0)</f>
        <v>IR Declared due to CID -TA</v>
      </c>
      <c r="R2562" s="17" t="s">
        <v>35</v>
      </c>
      <c r="S2562" s="17" t="str">
        <f aca="false">VLOOKUP(R2562,Sheet2!N:O,2,0)</f>
        <v>IREPARABLE</v>
      </c>
      <c r="T2562" s="18" t="str">
        <f aca="false">VLOOKUP(P2562,Sheet2!Q:R,2,0)</f>
        <v>IR Normal - Track burn out</v>
      </c>
      <c r="U2562" s="20" t="s">
        <v>41</v>
      </c>
      <c r="V2562" s="17" t="n">
        <v>2</v>
      </c>
      <c r="W2562" s="20" t="str">
        <f aca="false">VLOOKUP(V2562,Sheet2!Q:R,2,0)</f>
        <v>IR CID -  Water log from other area</v>
      </c>
      <c r="X2562" s="17" t="str">
        <f aca="false">J2562</f>
        <v>A031</v>
      </c>
      <c r="Y2562" s="17" t="str">
        <f aca="false">VLOOKUP(X2562,Sheet2!A:B,2,0)</f>
        <v>NITIN PRANAMI</v>
      </c>
      <c r="Z2562" s="17" t="s">
        <v>1279</v>
      </c>
      <c r="AA2562" s="17"/>
      <c r="AB2562" s="17" t="s">
        <v>41</v>
      </c>
      <c r="AC2562" s="0" t="str">
        <f aca="false">LEFT(G2562,2)</f>
        <v>65</v>
      </c>
    </row>
    <row r="2563" customFormat="false" ht="15" hidden="false" customHeight="false" outlineLevel="0" collapsed="false">
      <c r="A2563" s="13" t="n">
        <f aca="false">1+A2562</f>
        <v>2561</v>
      </c>
      <c r="B2563" s="14" t="n">
        <v>1009323053</v>
      </c>
      <c r="C2563" s="15" t="s">
        <v>85</v>
      </c>
      <c r="D2563" s="16" t="s">
        <v>64</v>
      </c>
      <c r="E2563" s="17" t="s">
        <v>64</v>
      </c>
      <c r="F2563" s="18" t="s">
        <v>34</v>
      </c>
      <c r="G2563" s="19" t="n">
        <v>651018023374</v>
      </c>
      <c r="H2563" s="17" t="s">
        <v>35</v>
      </c>
      <c r="I2563" s="17" t="s">
        <v>50</v>
      </c>
      <c r="J2563" s="17" t="s">
        <v>241</v>
      </c>
      <c r="K2563" s="17" t="str">
        <f aca="false">VLOOKUP(J2563,Sheet2!A:B,2,0)</f>
        <v>NILESH NAGAR</v>
      </c>
      <c r="L2563" s="17" t="n">
        <v>5</v>
      </c>
      <c r="M2563" s="17" t="str">
        <f aca="false">VLOOKUP(L2563,Sheet2!D:E,2,0)</f>
        <v>Main Processor CPU BGA</v>
      </c>
      <c r="N2563" s="17" t="n">
        <v>1</v>
      </c>
      <c r="O2563" s="17" t="str">
        <f aca="false">VLOOKUP(N2563,Sheet2!G:H,2,0)</f>
        <v>Dead</v>
      </c>
      <c r="P2563" s="17" t="n">
        <v>11</v>
      </c>
      <c r="Q2563" s="17" t="str">
        <f aca="false">VLOOKUP(P2563,Sheet2!J:K,2,0)</f>
        <v>IR Declared due to CID -TA</v>
      </c>
      <c r="R2563" s="17" t="s">
        <v>35</v>
      </c>
      <c r="S2563" s="17" t="str">
        <f aca="false">VLOOKUP(R2563,Sheet2!N:O,2,0)</f>
        <v>IREPARABLE</v>
      </c>
      <c r="T2563" s="18" t="str">
        <f aca="false">VLOOKUP(P2563,Sheet2!Q:R,2,0)</f>
        <v>IR Normal - Track burn out</v>
      </c>
      <c r="U2563" s="20" t="s">
        <v>41</v>
      </c>
      <c r="V2563" s="17" t="n">
        <v>4</v>
      </c>
      <c r="W2563" s="20" t="str">
        <f aca="false">VLOOKUP(V2563,Sheet2!Q:R,2,0)</f>
        <v>IR CID - Tampered Track burn out</v>
      </c>
      <c r="X2563" s="17" t="str">
        <f aca="false">J2563</f>
        <v>A008</v>
      </c>
      <c r="Y2563" s="17" t="str">
        <f aca="false">VLOOKUP(X2563,Sheet2!A:B,2,0)</f>
        <v>NILESH NAGAR</v>
      </c>
      <c r="Z2563" s="17" t="s">
        <v>149</v>
      </c>
      <c r="AA2563" s="17"/>
      <c r="AB2563" s="17" t="s">
        <v>41</v>
      </c>
      <c r="AC2563" s="0" t="str">
        <f aca="false">LEFT(G2563,2)</f>
        <v>65</v>
      </c>
    </row>
    <row r="2564" customFormat="false" ht="15" hidden="false" customHeight="false" outlineLevel="0" collapsed="false">
      <c r="A2564" s="13" t="n">
        <f aca="false">1+A2563</f>
        <v>2562</v>
      </c>
      <c r="B2564" s="14" t="n">
        <v>1009357111</v>
      </c>
      <c r="C2564" s="15" t="s">
        <v>85</v>
      </c>
      <c r="D2564" s="16" t="s">
        <v>64</v>
      </c>
      <c r="E2564" s="17" t="s">
        <v>47</v>
      </c>
      <c r="F2564" s="18" t="s">
        <v>34</v>
      </c>
      <c r="G2564" s="19" t="n">
        <v>651087021135</v>
      </c>
      <c r="H2564" s="17" t="s">
        <v>35</v>
      </c>
      <c r="I2564" s="17" t="s">
        <v>50</v>
      </c>
      <c r="J2564" s="17" t="s">
        <v>241</v>
      </c>
      <c r="K2564" s="17" t="str">
        <f aca="false">VLOOKUP(J2564,Sheet2!A:B,2,0)</f>
        <v>NILESH NAGAR</v>
      </c>
      <c r="L2564" s="17" t="n">
        <v>5</v>
      </c>
      <c r="M2564" s="17" t="str">
        <f aca="false">VLOOKUP(L2564,Sheet2!D:E,2,0)</f>
        <v>Main Processor CPU BGA</v>
      </c>
      <c r="N2564" s="17" t="n">
        <v>1</v>
      </c>
      <c r="O2564" s="17" t="str">
        <f aca="false">VLOOKUP(N2564,Sheet2!G:H,2,0)</f>
        <v>Dead</v>
      </c>
      <c r="P2564" s="17" t="n">
        <v>11</v>
      </c>
      <c r="Q2564" s="17" t="str">
        <f aca="false">VLOOKUP(P2564,Sheet2!J:K,2,0)</f>
        <v>IR Declared due to CID -TA</v>
      </c>
      <c r="R2564" s="17" t="s">
        <v>35</v>
      </c>
      <c r="S2564" s="17" t="str">
        <f aca="false">VLOOKUP(R2564,Sheet2!N:O,2,0)</f>
        <v>IREPARABLE</v>
      </c>
      <c r="T2564" s="18" t="str">
        <f aca="false">VLOOKUP(P2564,Sheet2!Q:R,2,0)</f>
        <v>IR Normal - Track burn out</v>
      </c>
      <c r="U2564" s="20" t="s">
        <v>41</v>
      </c>
      <c r="V2564" s="17" t="n">
        <v>2</v>
      </c>
      <c r="W2564" s="20" t="str">
        <f aca="false">VLOOKUP(V2564,Sheet2!Q:R,2,0)</f>
        <v>IR CID -  Water log from other area</v>
      </c>
      <c r="X2564" s="17" t="str">
        <f aca="false">J2564</f>
        <v>A008</v>
      </c>
      <c r="Y2564" s="17" t="str">
        <f aca="false">VLOOKUP(X2564,Sheet2!A:B,2,0)</f>
        <v>NILESH NAGAR</v>
      </c>
      <c r="Z2564" s="17" t="s">
        <v>149</v>
      </c>
      <c r="AA2564" s="17"/>
      <c r="AB2564" s="17" t="s">
        <v>41</v>
      </c>
      <c r="AC2564" s="0" t="str">
        <f aca="false">LEFT(G2564,2)</f>
        <v>65</v>
      </c>
    </row>
    <row r="2565" customFormat="false" ht="15" hidden="false" customHeight="false" outlineLevel="0" collapsed="false">
      <c r="A2565" s="13" t="n">
        <f aca="false">1+A2564</f>
        <v>2563</v>
      </c>
      <c r="B2565" s="14" t="n">
        <v>1009357086</v>
      </c>
      <c r="C2565" s="15" t="s">
        <v>278</v>
      </c>
      <c r="D2565" s="16" t="s">
        <v>64</v>
      </c>
      <c r="E2565" s="17" t="s">
        <v>33</v>
      </c>
      <c r="F2565" s="18" t="s">
        <v>34</v>
      </c>
      <c r="G2565" s="19" t="n">
        <v>652013008642</v>
      </c>
      <c r="H2565" s="17" t="s">
        <v>35</v>
      </c>
      <c r="I2565" s="17" t="s">
        <v>50</v>
      </c>
      <c r="J2565" s="17" t="s">
        <v>118</v>
      </c>
      <c r="K2565" s="17" t="str">
        <f aca="false">VLOOKUP(J2565,Sheet2!A:B,2,0)</f>
        <v>DEVENDRA RAJPUT</v>
      </c>
      <c r="L2565" s="17" t="n">
        <v>5</v>
      </c>
      <c r="M2565" s="17" t="str">
        <f aca="false">VLOOKUP(L2565,Sheet2!D:E,2,0)</f>
        <v>Main Processor CPU BGA</v>
      </c>
      <c r="N2565" s="17" t="n">
        <v>24</v>
      </c>
      <c r="O2565" s="17" t="str">
        <f aca="false">VLOOKUP(N2565,Sheet2!G:H,2,0)</f>
        <v>STB Auto moving -Stand by mode</v>
      </c>
      <c r="P2565" s="17" t="n">
        <v>11</v>
      </c>
      <c r="Q2565" s="17" t="str">
        <f aca="false">VLOOKUP(P2565,Sheet2!J:K,2,0)</f>
        <v>IR Declared due to CID -TA</v>
      </c>
      <c r="R2565" s="17" t="s">
        <v>35</v>
      </c>
      <c r="S2565" s="17" t="str">
        <f aca="false">VLOOKUP(R2565,Sheet2!N:O,2,0)</f>
        <v>IREPARABLE</v>
      </c>
      <c r="T2565" s="18" t="str">
        <f aca="false">VLOOKUP(P2565,Sheet2!Q:R,2,0)</f>
        <v>IR Normal - Track burn out</v>
      </c>
      <c r="U2565" s="20" t="s">
        <v>41</v>
      </c>
      <c r="V2565" s="17" t="n">
        <v>2</v>
      </c>
      <c r="W2565" s="20" t="str">
        <f aca="false">VLOOKUP(V2565,Sheet2!Q:R,2,0)</f>
        <v>IR CID -  Water log from other area</v>
      </c>
      <c r="X2565" s="17" t="str">
        <f aca="false">J2565</f>
        <v>A053</v>
      </c>
      <c r="Y2565" s="17" t="str">
        <f aca="false">VLOOKUP(X2565,Sheet2!A:B,2,0)</f>
        <v>DEVENDRA RAJPUT</v>
      </c>
      <c r="Z2565" s="17" t="s">
        <v>1280</v>
      </c>
      <c r="AA2565" s="17"/>
      <c r="AB2565" s="17" t="s">
        <v>41</v>
      </c>
      <c r="AC2565" s="0" t="str">
        <f aca="false">LEFT(G2565,2)</f>
        <v>65</v>
      </c>
    </row>
    <row r="2566" customFormat="false" ht="15" hidden="false" customHeight="false" outlineLevel="0" collapsed="false">
      <c r="A2566" s="13" t="n">
        <f aca="false">1+A2565</f>
        <v>2564</v>
      </c>
      <c r="B2566" s="14" t="n">
        <v>1009680139</v>
      </c>
      <c r="C2566" s="15" t="s">
        <v>413</v>
      </c>
      <c r="D2566" s="16" t="s">
        <v>64</v>
      </c>
      <c r="E2566" s="17" t="s">
        <v>64</v>
      </c>
      <c r="F2566" s="18" t="s">
        <v>34</v>
      </c>
      <c r="G2566" s="19" t="n">
        <v>844083734062</v>
      </c>
      <c r="H2566" s="17" t="s">
        <v>35</v>
      </c>
      <c r="I2566" s="17" t="s">
        <v>36</v>
      </c>
      <c r="J2566" s="17" t="s">
        <v>37</v>
      </c>
      <c r="K2566" s="17" t="str">
        <f aca="false">VLOOKUP(J2566,Sheet2!A:B,2,0)</f>
        <v>PRASHANT,AKASH</v>
      </c>
      <c r="L2566" s="17" t="n">
        <v>5</v>
      </c>
      <c r="M2566" s="17" t="str">
        <f aca="false">VLOOKUP(L2566,Sheet2!D:E,2,0)</f>
        <v>Main Processor CPU BGA</v>
      </c>
      <c r="N2566" s="17" t="n">
        <v>37</v>
      </c>
      <c r="O2566" s="17" t="str">
        <f aca="false">VLOOKUP(N2566,Sheet2!G:H,2,0)</f>
        <v>Error -2</v>
      </c>
      <c r="P2566" s="17" t="n">
        <v>11</v>
      </c>
      <c r="Q2566" s="17" t="str">
        <f aca="false">VLOOKUP(P2566,Sheet2!J:K,2,0)</f>
        <v>IR Declared due to CID -TA</v>
      </c>
      <c r="R2566" s="17" t="s">
        <v>35</v>
      </c>
      <c r="S2566" s="17" t="str">
        <f aca="false">VLOOKUP(R2566,Sheet2!N:O,2,0)</f>
        <v>IREPARABLE</v>
      </c>
      <c r="T2566" s="18" t="str">
        <f aca="false">VLOOKUP(P2566,Sheet2!Q:R,2,0)</f>
        <v>IR Normal - Track burn out</v>
      </c>
      <c r="U2566" s="20" t="s">
        <v>41</v>
      </c>
      <c r="V2566" s="17" t="n">
        <v>8</v>
      </c>
      <c r="W2566" s="20" t="str">
        <f aca="false">VLOOKUP(V2566,Sheet2!Q:R,2,0)</f>
        <v>IR Normal -TrackRust/InternalDamage/open</v>
      </c>
      <c r="X2566" s="17" t="str">
        <f aca="false">J2566</f>
        <v>A041</v>
      </c>
      <c r="Y2566" s="17" t="str">
        <f aca="false">VLOOKUP(X2566,Sheet2!A:B,2,0)</f>
        <v>PRASHANT,AKASH</v>
      </c>
      <c r="Z2566" s="17" t="s">
        <v>1281</v>
      </c>
      <c r="AA2566" s="17"/>
      <c r="AB2566" s="17" t="s">
        <v>41</v>
      </c>
      <c r="AC2566" s="0" t="str">
        <f aca="false">LEFT(G2566,2)</f>
        <v>84</v>
      </c>
    </row>
    <row r="2567" customFormat="false" ht="15" hidden="false" customHeight="false" outlineLevel="0" collapsed="false">
      <c r="A2567" s="13" t="n">
        <f aca="false">1+A2566</f>
        <v>2565</v>
      </c>
      <c r="B2567" s="14" t="n">
        <v>1009611269</v>
      </c>
      <c r="C2567" s="15" t="s">
        <v>181</v>
      </c>
      <c r="D2567" s="16" t="s">
        <v>113</v>
      </c>
      <c r="E2567" s="17" t="s">
        <v>172</v>
      </c>
      <c r="F2567" s="18" t="s">
        <v>34</v>
      </c>
      <c r="G2567" s="19" t="n">
        <v>853003768639</v>
      </c>
      <c r="H2567" s="17" t="s">
        <v>35</v>
      </c>
      <c r="I2567" s="17" t="s">
        <v>36</v>
      </c>
      <c r="J2567" s="17" t="s">
        <v>267</v>
      </c>
      <c r="K2567" s="17" t="str">
        <f aca="false">VLOOKUP(J2567,Sheet2!A:B,2,0)</f>
        <v>HARIRAM GUPTA</v>
      </c>
      <c r="L2567" s="17" t="n">
        <v>2</v>
      </c>
      <c r="M2567" s="17" t="str">
        <f aca="false">VLOOKUP(L2567,Sheet2!D:E,2,0)</f>
        <v>Tuner Section</v>
      </c>
      <c r="N2567" s="17" t="n">
        <v>6</v>
      </c>
      <c r="O2567" s="17" t="str">
        <f aca="false">VLOOKUP(N2567,Sheet2!G:H,2,0)</f>
        <v>No Signal</v>
      </c>
      <c r="P2567" s="17" t="n">
        <v>11</v>
      </c>
      <c r="Q2567" s="17" t="str">
        <f aca="false">VLOOKUP(P2567,Sheet2!J:K,2,0)</f>
        <v>IR Declared due to CID -TA</v>
      </c>
      <c r="R2567" s="17" t="s">
        <v>35</v>
      </c>
      <c r="S2567" s="17" t="str">
        <f aca="false">VLOOKUP(R2567,Sheet2!N:O,2,0)</f>
        <v>IREPARABLE</v>
      </c>
      <c r="T2567" s="18" t="str">
        <f aca="false">VLOOKUP(P2567,Sheet2!Q:R,2,0)</f>
        <v>IR Normal - Track burn out</v>
      </c>
      <c r="U2567" s="20" t="s">
        <v>41</v>
      </c>
      <c r="V2567" s="17" t="n">
        <v>2</v>
      </c>
      <c r="W2567" s="20" t="str">
        <f aca="false">VLOOKUP(V2567,Sheet2!Q:R,2,0)</f>
        <v>IR CID -  Water log from other area</v>
      </c>
      <c r="X2567" s="17" t="str">
        <f aca="false">J2567</f>
        <v>A007</v>
      </c>
      <c r="Y2567" s="17" t="str">
        <f aca="false">VLOOKUP(X2567,Sheet2!A:B,2,0)</f>
        <v>HARIRAM GUPTA</v>
      </c>
      <c r="Z2567" s="17" t="s">
        <v>402</v>
      </c>
      <c r="AA2567" s="17"/>
      <c r="AB2567" s="17" t="s">
        <v>41</v>
      </c>
      <c r="AC2567" s="0" t="str">
        <f aca="false">LEFT(G2567,2)</f>
        <v>85</v>
      </c>
    </row>
    <row r="2568" customFormat="false" ht="15" hidden="false" customHeight="false" outlineLevel="0" collapsed="false">
      <c r="A2568" s="13" t="n">
        <f aca="false">1+A2567</f>
        <v>2566</v>
      </c>
      <c r="B2568" s="14" t="n">
        <v>100</v>
      </c>
      <c r="C2568" s="15"/>
      <c r="D2568" s="16" t="s">
        <v>64</v>
      </c>
      <c r="E2568" s="17" t="s">
        <v>47</v>
      </c>
      <c r="F2568" s="18" t="s">
        <v>34</v>
      </c>
      <c r="G2568" s="19"/>
      <c r="H2568" s="17" t="s">
        <v>35</v>
      </c>
      <c r="I2568" s="17" t="s">
        <v>44</v>
      </c>
      <c r="J2568" s="17"/>
      <c r="K2568" s="17" t="e">
        <f aca="false">VLOOKUP(J2568,Sheet2!A:B,2,0)</f>
        <v>#N/A</v>
      </c>
      <c r="L2568" s="17" t="n">
        <v>5</v>
      </c>
      <c r="M2568" s="17" t="str">
        <f aca="false">VLOOKUP(L2568,Sheet2!D:E,2,0)</f>
        <v>Main Processor CPU BGA</v>
      </c>
      <c r="N2568" s="17" t="n">
        <v>1</v>
      </c>
      <c r="O2568" s="17" t="str">
        <f aca="false">VLOOKUP(N2568,Sheet2!G:H,2,0)</f>
        <v>Dead</v>
      </c>
      <c r="P2568" s="17" t="n">
        <v>11</v>
      </c>
      <c r="Q2568" s="17" t="str">
        <f aca="false">VLOOKUP(P2568,Sheet2!J:K,2,0)</f>
        <v>IR Declared due to CID -TA</v>
      </c>
      <c r="R2568" s="17" t="s">
        <v>35</v>
      </c>
      <c r="S2568" s="17" t="str">
        <f aca="false">VLOOKUP(R2568,Sheet2!N:O,2,0)</f>
        <v>IREPARABLE</v>
      </c>
      <c r="T2568" s="18" t="str">
        <f aca="false">VLOOKUP(P2568,Sheet2!Q:R,2,0)</f>
        <v>IR Normal - Track burn out</v>
      </c>
      <c r="U2568" s="20" t="s">
        <v>41</v>
      </c>
      <c r="V2568" s="17"/>
      <c r="W2568" s="20" t="e">
        <f aca="false">VLOOKUP(V2568,Sheet2!Q:R,2,0)</f>
        <v>#N/A</v>
      </c>
      <c r="X2568" s="17" t="n">
        <f aca="false">J2568</f>
        <v>0</v>
      </c>
      <c r="Y2568" s="17" t="e">
        <f aca="false">VLOOKUP(X2568,Sheet2!A:B,2,0)</f>
        <v>#N/A</v>
      </c>
      <c r="Z2568" s="17"/>
      <c r="AA2568" s="17"/>
      <c r="AB2568" s="17" t="s">
        <v>41</v>
      </c>
      <c r="AC2568" s="0" t="str">
        <f aca="false">LEFT(G2568,2)</f>
        <v/>
      </c>
    </row>
    <row r="2569" customFormat="false" ht="15" hidden="false" customHeight="false" outlineLevel="0" collapsed="false">
      <c r="A2569" s="13" t="n">
        <f aca="false">1+A2568</f>
        <v>2567</v>
      </c>
      <c r="B2569" s="14" t="n">
        <v>100</v>
      </c>
      <c r="C2569" s="15"/>
      <c r="D2569" s="16" t="s">
        <v>64</v>
      </c>
      <c r="E2569" s="17" t="s">
        <v>47</v>
      </c>
      <c r="F2569" s="18" t="s">
        <v>34</v>
      </c>
      <c r="G2569" s="19"/>
      <c r="H2569" s="17" t="s">
        <v>35</v>
      </c>
      <c r="I2569" s="17" t="s">
        <v>44</v>
      </c>
      <c r="J2569" s="17"/>
      <c r="K2569" s="17" t="e">
        <f aca="false">VLOOKUP(J2569,Sheet2!A:B,2,0)</f>
        <v>#N/A</v>
      </c>
      <c r="L2569" s="17" t="n">
        <v>5</v>
      </c>
      <c r="M2569" s="17" t="str">
        <f aca="false">VLOOKUP(L2569,Sheet2!D:E,2,0)</f>
        <v>Main Processor CPU BGA</v>
      </c>
      <c r="N2569" s="17" t="n">
        <v>1</v>
      </c>
      <c r="O2569" s="17" t="str">
        <f aca="false">VLOOKUP(N2569,Sheet2!G:H,2,0)</f>
        <v>Dead</v>
      </c>
      <c r="P2569" s="17" t="n">
        <v>11</v>
      </c>
      <c r="Q2569" s="17" t="str">
        <f aca="false">VLOOKUP(P2569,Sheet2!J:K,2,0)</f>
        <v>IR Declared due to CID -TA</v>
      </c>
      <c r="R2569" s="17" t="s">
        <v>35</v>
      </c>
      <c r="S2569" s="17" t="str">
        <f aca="false">VLOOKUP(R2569,Sheet2!N:O,2,0)</f>
        <v>IREPARABLE</v>
      </c>
      <c r="T2569" s="18" t="str">
        <f aca="false">VLOOKUP(P2569,Sheet2!Q:R,2,0)</f>
        <v>IR Normal - Track burn out</v>
      </c>
      <c r="U2569" s="20" t="s">
        <v>41</v>
      </c>
      <c r="V2569" s="17"/>
      <c r="W2569" s="20" t="e">
        <f aca="false">VLOOKUP(V2569,Sheet2!Q:R,2,0)</f>
        <v>#N/A</v>
      </c>
      <c r="X2569" s="17" t="n">
        <f aca="false">J2569</f>
        <v>0</v>
      </c>
      <c r="Y2569" s="17" t="e">
        <f aca="false">VLOOKUP(X2569,Sheet2!A:B,2,0)</f>
        <v>#N/A</v>
      </c>
      <c r="Z2569" s="17"/>
      <c r="AA2569" s="17"/>
      <c r="AB2569" s="17" t="s">
        <v>41</v>
      </c>
      <c r="AC2569" s="0" t="str">
        <f aca="false">LEFT(G2569,2)</f>
        <v/>
      </c>
    </row>
    <row r="2570" customFormat="false" ht="15" hidden="false" customHeight="false" outlineLevel="0" collapsed="false">
      <c r="A2570" s="13" t="n">
        <f aca="false">1+A2569</f>
        <v>2568</v>
      </c>
      <c r="B2570" s="14" t="n">
        <v>100</v>
      </c>
      <c r="C2570" s="15"/>
      <c r="D2570" s="16" t="s">
        <v>64</v>
      </c>
      <c r="E2570" s="17" t="s">
        <v>47</v>
      </c>
      <c r="F2570" s="18" t="s">
        <v>34</v>
      </c>
      <c r="G2570" s="19"/>
      <c r="H2570" s="17" t="s">
        <v>35</v>
      </c>
      <c r="I2570" s="17" t="s">
        <v>44</v>
      </c>
      <c r="J2570" s="17"/>
      <c r="K2570" s="17" t="e">
        <f aca="false">VLOOKUP(J2570,Sheet2!A:B,2,0)</f>
        <v>#N/A</v>
      </c>
      <c r="L2570" s="17" t="n">
        <v>5</v>
      </c>
      <c r="M2570" s="17" t="str">
        <f aca="false">VLOOKUP(L2570,Sheet2!D:E,2,0)</f>
        <v>Main Processor CPU BGA</v>
      </c>
      <c r="N2570" s="17" t="n">
        <v>1</v>
      </c>
      <c r="O2570" s="17" t="str">
        <f aca="false">VLOOKUP(N2570,Sheet2!G:H,2,0)</f>
        <v>Dead</v>
      </c>
      <c r="P2570" s="17" t="n">
        <v>11</v>
      </c>
      <c r="Q2570" s="17" t="str">
        <f aca="false">VLOOKUP(P2570,Sheet2!J:K,2,0)</f>
        <v>IR Declared due to CID -TA</v>
      </c>
      <c r="R2570" s="17" t="s">
        <v>35</v>
      </c>
      <c r="S2570" s="17" t="str">
        <f aca="false">VLOOKUP(R2570,Sheet2!N:O,2,0)</f>
        <v>IREPARABLE</v>
      </c>
      <c r="T2570" s="18" t="str">
        <f aca="false">VLOOKUP(P2570,Sheet2!Q:R,2,0)</f>
        <v>IR Normal - Track burn out</v>
      </c>
      <c r="U2570" s="20" t="s">
        <v>41</v>
      </c>
      <c r="V2570" s="17"/>
      <c r="W2570" s="20" t="e">
        <f aca="false">VLOOKUP(V2570,Sheet2!Q:R,2,0)</f>
        <v>#N/A</v>
      </c>
      <c r="X2570" s="17" t="n">
        <f aca="false">J2570</f>
        <v>0</v>
      </c>
      <c r="Y2570" s="17" t="e">
        <f aca="false">VLOOKUP(X2570,Sheet2!A:B,2,0)</f>
        <v>#N/A</v>
      </c>
      <c r="Z2570" s="17"/>
      <c r="AA2570" s="17"/>
      <c r="AB2570" s="17" t="s">
        <v>41</v>
      </c>
      <c r="AC2570" s="0" t="str">
        <f aca="false">LEFT(G2570,2)</f>
        <v/>
      </c>
    </row>
    <row r="2571" customFormat="false" ht="15" hidden="false" customHeight="false" outlineLevel="0" collapsed="false">
      <c r="A2571" s="13" t="n">
        <f aca="false">1+A2570</f>
        <v>2569</v>
      </c>
      <c r="B2571" s="14" t="n">
        <v>100</v>
      </c>
      <c r="C2571" s="15"/>
      <c r="D2571" s="16" t="s">
        <v>64</v>
      </c>
      <c r="E2571" s="17" t="s">
        <v>47</v>
      </c>
      <c r="F2571" s="18" t="s">
        <v>34</v>
      </c>
      <c r="G2571" s="19"/>
      <c r="H2571" s="17" t="s">
        <v>35</v>
      </c>
      <c r="I2571" s="17" t="s">
        <v>44</v>
      </c>
      <c r="J2571" s="17"/>
      <c r="K2571" s="17" t="e">
        <f aca="false">VLOOKUP(J2571,Sheet2!A:B,2,0)</f>
        <v>#N/A</v>
      </c>
      <c r="L2571" s="17" t="n">
        <v>5</v>
      </c>
      <c r="M2571" s="17" t="str">
        <f aca="false">VLOOKUP(L2571,Sheet2!D:E,2,0)</f>
        <v>Main Processor CPU BGA</v>
      </c>
      <c r="N2571" s="17" t="n">
        <v>1</v>
      </c>
      <c r="O2571" s="17" t="str">
        <f aca="false">VLOOKUP(N2571,Sheet2!G:H,2,0)</f>
        <v>Dead</v>
      </c>
      <c r="P2571" s="17" t="n">
        <v>11</v>
      </c>
      <c r="Q2571" s="17" t="str">
        <f aca="false">VLOOKUP(P2571,Sheet2!J:K,2,0)</f>
        <v>IR Declared due to CID -TA</v>
      </c>
      <c r="R2571" s="17" t="s">
        <v>35</v>
      </c>
      <c r="S2571" s="17" t="str">
        <f aca="false">VLOOKUP(R2571,Sheet2!N:O,2,0)</f>
        <v>IREPARABLE</v>
      </c>
      <c r="T2571" s="18" t="str">
        <f aca="false">VLOOKUP(P2571,Sheet2!Q:R,2,0)</f>
        <v>IR Normal - Track burn out</v>
      </c>
      <c r="U2571" s="20" t="s">
        <v>41</v>
      </c>
      <c r="V2571" s="17"/>
      <c r="W2571" s="20" t="e">
        <f aca="false">VLOOKUP(V2571,Sheet2!Q:R,2,0)</f>
        <v>#N/A</v>
      </c>
      <c r="X2571" s="17" t="n">
        <f aca="false">J2571</f>
        <v>0</v>
      </c>
      <c r="Y2571" s="17" t="e">
        <f aca="false">VLOOKUP(X2571,Sheet2!A:B,2,0)</f>
        <v>#N/A</v>
      </c>
      <c r="Z2571" s="17"/>
      <c r="AA2571" s="17"/>
      <c r="AB2571" s="17" t="s">
        <v>41</v>
      </c>
      <c r="AC2571" s="0" t="str">
        <f aca="false">LEFT(G2571,2)</f>
        <v/>
      </c>
    </row>
    <row r="2572" customFormat="false" ht="15" hidden="false" customHeight="false" outlineLevel="0" collapsed="false">
      <c r="A2572" s="13" t="n">
        <f aca="false">1+A2571</f>
        <v>2570</v>
      </c>
      <c r="B2572" s="14" t="n">
        <v>100</v>
      </c>
      <c r="C2572" s="15"/>
      <c r="D2572" s="16" t="s">
        <v>64</v>
      </c>
      <c r="E2572" s="17" t="s">
        <v>47</v>
      </c>
      <c r="F2572" s="18" t="s">
        <v>34</v>
      </c>
      <c r="G2572" s="19"/>
      <c r="H2572" s="17" t="s">
        <v>35</v>
      </c>
      <c r="I2572" s="17" t="s">
        <v>44</v>
      </c>
      <c r="J2572" s="17"/>
      <c r="K2572" s="17" t="e">
        <f aca="false">VLOOKUP(J2572,Sheet2!A:B,2,0)</f>
        <v>#N/A</v>
      </c>
      <c r="L2572" s="17" t="n">
        <v>5</v>
      </c>
      <c r="M2572" s="17" t="str">
        <f aca="false">VLOOKUP(L2572,Sheet2!D:E,2,0)</f>
        <v>Main Processor CPU BGA</v>
      </c>
      <c r="N2572" s="17" t="n">
        <v>1</v>
      </c>
      <c r="O2572" s="17" t="str">
        <f aca="false">VLOOKUP(N2572,Sheet2!G:H,2,0)</f>
        <v>Dead</v>
      </c>
      <c r="P2572" s="17" t="n">
        <v>11</v>
      </c>
      <c r="Q2572" s="17" t="str">
        <f aca="false">VLOOKUP(P2572,Sheet2!J:K,2,0)</f>
        <v>IR Declared due to CID -TA</v>
      </c>
      <c r="R2572" s="17" t="s">
        <v>35</v>
      </c>
      <c r="S2572" s="17" t="str">
        <f aca="false">VLOOKUP(R2572,Sheet2!N:O,2,0)</f>
        <v>IREPARABLE</v>
      </c>
      <c r="T2572" s="18" t="str">
        <f aca="false">VLOOKUP(P2572,Sheet2!Q:R,2,0)</f>
        <v>IR Normal - Track burn out</v>
      </c>
      <c r="U2572" s="20" t="s">
        <v>41</v>
      </c>
      <c r="V2572" s="17"/>
      <c r="W2572" s="20" t="e">
        <f aca="false">VLOOKUP(V2572,Sheet2!Q:R,2,0)</f>
        <v>#N/A</v>
      </c>
      <c r="X2572" s="17" t="n">
        <f aca="false">J2572</f>
        <v>0</v>
      </c>
      <c r="Y2572" s="17" t="e">
        <f aca="false">VLOOKUP(X2572,Sheet2!A:B,2,0)</f>
        <v>#N/A</v>
      </c>
      <c r="Z2572" s="17"/>
      <c r="AA2572" s="17"/>
      <c r="AB2572" s="17" t="s">
        <v>41</v>
      </c>
      <c r="AC2572" s="0" t="str">
        <f aca="false">LEFT(G2572,2)</f>
        <v/>
      </c>
    </row>
    <row r="2573" customFormat="false" ht="15" hidden="false" customHeight="false" outlineLevel="0" collapsed="false">
      <c r="A2573" s="13" t="n">
        <f aca="false">1+A2572</f>
        <v>2571</v>
      </c>
      <c r="B2573" s="14" t="n">
        <v>100</v>
      </c>
      <c r="C2573" s="15"/>
      <c r="D2573" s="16" t="s">
        <v>64</v>
      </c>
      <c r="E2573" s="17" t="s">
        <v>47</v>
      </c>
      <c r="F2573" s="18" t="s">
        <v>34</v>
      </c>
      <c r="G2573" s="19"/>
      <c r="H2573" s="17" t="s">
        <v>35</v>
      </c>
      <c r="I2573" s="17" t="s">
        <v>44</v>
      </c>
      <c r="J2573" s="17"/>
      <c r="K2573" s="17" t="e">
        <f aca="false">VLOOKUP(J2573,Sheet2!A:B,2,0)</f>
        <v>#N/A</v>
      </c>
      <c r="L2573" s="17" t="n">
        <v>5</v>
      </c>
      <c r="M2573" s="17" t="str">
        <f aca="false">VLOOKUP(L2573,Sheet2!D:E,2,0)</f>
        <v>Main Processor CPU BGA</v>
      </c>
      <c r="N2573" s="17" t="n">
        <v>1</v>
      </c>
      <c r="O2573" s="17" t="str">
        <f aca="false">VLOOKUP(N2573,Sheet2!G:H,2,0)</f>
        <v>Dead</v>
      </c>
      <c r="P2573" s="17" t="n">
        <v>11</v>
      </c>
      <c r="Q2573" s="17" t="str">
        <f aca="false">VLOOKUP(P2573,Sheet2!J:K,2,0)</f>
        <v>IR Declared due to CID -TA</v>
      </c>
      <c r="R2573" s="17" t="s">
        <v>35</v>
      </c>
      <c r="S2573" s="17" t="str">
        <f aca="false">VLOOKUP(R2573,Sheet2!N:O,2,0)</f>
        <v>IREPARABLE</v>
      </c>
      <c r="T2573" s="18" t="str">
        <f aca="false">VLOOKUP(P2573,Sheet2!Q:R,2,0)</f>
        <v>IR Normal - Track burn out</v>
      </c>
      <c r="U2573" s="20" t="s">
        <v>41</v>
      </c>
      <c r="V2573" s="17"/>
      <c r="W2573" s="20" t="e">
        <f aca="false">VLOOKUP(V2573,Sheet2!Q:R,2,0)</f>
        <v>#N/A</v>
      </c>
      <c r="X2573" s="17" t="n">
        <f aca="false">J2573</f>
        <v>0</v>
      </c>
      <c r="Y2573" s="17" t="e">
        <f aca="false">VLOOKUP(X2573,Sheet2!A:B,2,0)</f>
        <v>#N/A</v>
      </c>
      <c r="Z2573" s="17"/>
      <c r="AA2573" s="17"/>
      <c r="AB2573" s="17" t="s">
        <v>41</v>
      </c>
      <c r="AC2573" s="0" t="str">
        <f aca="false">LEFT(G2573,2)</f>
        <v/>
      </c>
    </row>
    <row r="2574" customFormat="false" ht="15" hidden="false" customHeight="false" outlineLevel="0" collapsed="false">
      <c r="A2574" s="13" t="n">
        <f aca="false">1+A2573</f>
        <v>2572</v>
      </c>
      <c r="B2574" s="14" t="n">
        <v>100</v>
      </c>
      <c r="C2574" s="15"/>
      <c r="D2574" s="16" t="s">
        <v>64</v>
      </c>
      <c r="E2574" s="17" t="s">
        <v>47</v>
      </c>
      <c r="F2574" s="18" t="s">
        <v>34</v>
      </c>
      <c r="G2574" s="19"/>
      <c r="H2574" s="17" t="s">
        <v>35</v>
      </c>
      <c r="I2574" s="17" t="s">
        <v>44</v>
      </c>
      <c r="J2574" s="17"/>
      <c r="K2574" s="17" t="e">
        <f aca="false">VLOOKUP(J2574,Sheet2!A:B,2,0)</f>
        <v>#N/A</v>
      </c>
      <c r="L2574" s="17" t="n">
        <v>5</v>
      </c>
      <c r="M2574" s="17" t="str">
        <f aca="false">VLOOKUP(L2574,Sheet2!D:E,2,0)</f>
        <v>Main Processor CPU BGA</v>
      </c>
      <c r="N2574" s="17" t="n">
        <v>1</v>
      </c>
      <c r="O2574" s="17" t="str">
        <f aca="false">VLOOKUP(N2574,Sheet2!G:H,2,0)</f>
        <v>Dead</v>
      </c>
      <c r="P2574" s="17" t="n">
        <v>11</v>
      </c>
      <c r="Q2574" s="17" t="str">
        <f aca="false">VLOOKUP(P2574,Sheet2!J:K,2,0)</f>
        <v>IR Declared due to CID -TA</v>
      </c>
      <c r="R2574" s="17" t="s">
        <v>35</v>
      </c>
      <c r="S2574" s="17" t="str">
        <f aca="false">VLOOKUP(R2574,Sheet2!N:O,2,0)</f>
        <v>IREPARABLE</v>
      </c>
      <c r="T2574" s="18" t="str">
        <f aca="false">VLOOKUP(P2574,Sheet2!Q:R,2,0)</f>
        <v>IR Normal - Track burn out</v>
      </c>
      <c r="U2574" s="20" t="s">
        <v>41</v>
      </c>
      <c r="V2574" s="17"/>
      <c r="W2574" s="20" t="e">
        <f aca="false">VLOOKUP(V2574,Sheet2!Q:R,2,0)</f>
        <v>#N/A</v>
      </c>
      <c r="X2574" s="17" t="n">
        <f aca="false">J2574</f>
        <v>0</v>
      </c>
      <c r="Y2574" s="17" t="e">
        <f aca="false">VLOOKUP(X2574,Sheet2!A:B,2,0)</f>
        <v>#N/A</v>
      </c>
      <c r="Z2574" s="17"/>
      <c r="AA2574" s="17"/>
      <c r="AB2574" s="17" t="s">
        <v>41</v>
      </c>
      <c r="AC2574" s="0" t="str">
        <f aca="false">LEFT(G2574,2)</f>
        <v/>
      </c>
    </row>
    <row r="2575" customFormat="false" ht="15" hidden="false" customHeight="false" outlineLevel="0" collapsed="false">
      <c r="A2575" s="13" t="n">
        <f aca="false">1+A2574</f>
        <v>2573</v>
      </c>
      <c r="B2575" s="14" t="n">
        <v>100</v>
      </c>
      <c r="C2575" s="15"/>
      <c r="D2575" s="16" t="s">
        <v>64</v>
      </c>
      <c r="E2575" s="17" t="s">
        <v>47</v>
      </c>
      <c r="F2575" s="18" t="s">
        <v>34</v>
      </c>
      <c r="G2575" s="19"/>
      <c r="H2575" s="17" t="s">
        <v>35</v>
      </c>
      <c r="I2575" s="17" t="s">
        <v>44</v>
      </c>
      <c r="J2575" s="17"/>
      <c r="K2575" s="17" t="e">
        <f aca="false">VLOOKUP(J2575,Sheet2!A:B,2,0)</f>
        <v>#N/A</v>
      </c>
      <c r="L2575" s="17" t="n">
        <v>5</v>
      </c>
      <c r="M2575" s="17" t="str">
        <f aca="false">VLOOKUP(L2575,Sheet2!D:E,2,0)</f>
        <v>Main Processor CPU BGA</v>
      </c>
      <c r="N2575" s="17" t="n">
        <v>1</v>
      </c>
      <c r="O2575" s="17" t="str">
        <f aca="false">VLOOKUP(N2575,Sheet2!G:H,2,0)</f>
        <v>Dead</v>
      </c>
      <c r="P2575" s="17" t="n">
        <v>11</v>
      </c>
      <c r="Q2575" s="17" t="str">
        <f aca="false">VLOOKUP(P2575,Sheet2!J:K,2,0)</f>
        <v>IR Declared due to CID -TA</v>
      </c>
      <c r="R2575" s="17" t="s">
        <v>35</v>
      </c>
      <c r="S2575" s="17" t="str">
        <f aca="false">VLOOKUP(R2575,Sheet2!N:O,2,0)</f>
        <v>IREPARABLE</v>
      </c>
      <c r="T2575" s="18" t="str">
        <f aca="false">VLOOKUP(P2575,Sheet2!Q:R,2,0)</f>
        <v>IR Normal - Track burn out</v>
      </c>
      <c r="U2575" s="20" t="s">
        <v>41</v>
      </c>
      <c r="V2575" s="17"/>
      <c r="W2575" s="20" t="e">
        <f aca="false">VLOOKUP(V2575,Sheet2!Q:R,2,0)</f>
        <v>#N/A</v>
      </c>
      <c r="X2575" s="17" t="n">
        <f aca="false">J2575</f>
        <v>0</v>
      </c>
      <c r="Y2575" s="17" t="e">
        <f aca="false">VLOOKUP(X2575,Sheet2!A:B,2,0)</f>
        <v>#N/A</v>
      </c>
      <c r="Z2575" s="17"/>
      <c r="AA2575" s="17"/>
      <c r="AB2575" s="17" t="s">
        <v>41</v>
      </c>
      <c r="AC2575" s="0" t="str">
        <f aca="false">LEFT(G2575,2)</f>
        <v/>
      </c>
    </row>
    <row r="2576" customFormat="false" ht="15" hidden="false" customHeight="false" outlineLevel="0" collapsed="false">
      <c r="A2576" s="13" t="n">
        <f aca="false">1+A2575</f>
        <v>2574</v>
      </c>
      <c r="B2576" s="14" t="n">
        <v>100</v>
      </c>
      <c r="C2576" s="15"/>
      <c r="D2576" s="16" t="s">
        <v>64</v>
      </c>
      <c r="E2576" s="17" t="s">
        <v>47</v>
      </c>
      <c r="F2576" s="18" t="s">
        <v>34</v>
      </c>
      <c r="G2576" s="19"/>
      <c r="H2576" s="17" t="s">
        <v>35</v>
      </c>
      <c r="I2576" s="17" t="s">
        <v>44</v>
      </c>
      <c r="J2576" s="17"/>
      <c r="K2576" s="17" t="e">
        <f aca="false">VLOOKUP(J2576,Sheet2!A:B,2,0)</f>
        <v>#N/A</v>
      </c>
      <c r="L2576" s="17" t="n">
        <v>5</v>
      </c>
      <c r="M2576" s="17" t="str">
        <f aca="false">VLOOKUP(L2576,Sheet2!D:E,2,0)</f>
        <v>Main Processor CPU BGA</v>
      </c>
      <c r="N2576" s="17" t="n">
        <v>1</v>
      </c>
      <c r="O2576" s="17" t="str">
        <f aca="false">VLOOKUP(N2576,Sheet2!G:H,2,0)</f>
        <v>Dead</v>
      </c>
      <c r="P2576" s="17" t="n">
        <v>11</v>
      </c>
      <c r="Q2576" s="17" t="str">
        <f aca="false">VLOOKUP(P2576,Sheet2!J:K,2,0)</f>
        <v>IR Declared due to CID -TA</v>
      </c>
      <c r="R2576" s="17" t="s">
        <v>35</v>
      </c>
      <c r="S2576" s="17" t="str">
        <f aca="false">VLOOKUP(R2576,Sheet2!N:O,2,0)</f>
        <v>IREPARABLE</v>
      </c>
      <c r="T2576" s="18" t="str">
        <f aca="false">VLOOKUP(P2576,Sheet2!Q:R,2,0)</f>
        <v>IR Normal - Track burn out</v>
      </c>
      <c r="U2576" s="20" t="s">
        <v>41</v>
      </c>
      <c r="V2576" s="17"/>
      <c r="W2576" s="20" t="e">
        <f aca="false">VLOOKUP(V2576,Sheet2!Q:R,2,0)</f>
        <v>#N/A</v>
      </c>
      <c r="X2576" s="17" t="n">
        <f aca="false">J2576</f>
        <v>0</v>
      </c>
      <c r="Y2576" s="17" t="e">
        <f aca="false">VLOOKUP(X2576,Sheet2!A:B,2,0)</f>
        <v>#N/A</v>
      </c>
      <c r="Z2576" s="17"/>
      <c r="AA2576" s="17"/>
      <c r="AB2576" s="17" t="s">
        <v>41</v>
      </c>
      <c r="AC2576" s="0" t="str">
        <f aca="false">LEFT(G2576,2)</f>
        <v/>
      </c>
    </row>
    <row r="2577" customFormat="false" ht="15" hidden="false" customHeight="false" outlineLevel="0" collapsed="false">
      <c r="A2577" s="13" t="n">
        <f aca="false">1+A2576</f>
        <v>2575</v>
      </c>
      <c r="B2577" s="14" t="n">
        <v>100</v>
      </c>
      <c r="C2577" s="15"/>
      <c r="D2577" s="16" t="s">
        <v>64</v>
      </c>
      <c r="E2577" s="17" t="s">
        <v>47</v>
      </c>
      <c r="F2577" s="18" t="s">
        <v>34</v>
      </c>
      <c r="G2577" s="19"/>
      <c r="H2577" s="17" t="s">
        <v>35</v>
      </c>
      <c r="I2577" s="17" t="s">
        <v>44</v>
      </c>
      <c r="J2577" s="17"/>
      <c r="K2577" s="17" t="e">
        <f aca="false">VLOOKUP(J2577,Sheet2!A:B,2,0)</f>
        <v>#N/A</v>
      </c>
      <c r="L2577" s="17" t="n">
        <v>5</v>
      </c>
      <c r="M2577" s="17" t="str">
        <f aca="false">VLOOKUP(L2577,Sheet2!D:E,2,0)</f>
        <v>Main Processor CPU BGA</v>
      </c>
      <c r="N2577" s="17" t="n">
        <v>1</v>
      </c>
      <c r="O2577" s="17" t="str">
        <f aca="false">VLOOKUP(N2577,Sheet2!G:H,2,0)</f>
        <v>Dead</v>
      </c>
      <c r="P2577" s="17" t="n">
        <v>11</v>
      </c>
      <c r="Q2577" s="17" t="str">
        <f aca="false">VLOOKUP(P2577,Sheet2!J:K,2,0)</f>
        <v>IR Declared due to CID -TA</v>
      </c>
      <c r="R2577" s="17" t="s">
        <v>35</v>
      </c>
      <c r="S2577" s="17" t="str">
        <f aca="false">VLOOKUP(R2577,Sheet2!N:O,2,0)</f>
        <v>IREPARABLE</v>
      </c>
      <c r="T2577" s="18" t="str">
        <f aca="false">VLOOKUP(P2577,Sheet2!Q:R,2,0)</f>
        <v>IR Normal - Track burn out</v>
      </c>
      <c r="U2577" s="20" t="s">
        <v>41</v>
      </c>
      <c r="V2577" s="17"/>
      <c r="W2577" s="20" t="e">
        <f aca="false">VLOOKUP(V2577,Sheet2!Q:R,2,0)</f>
        <v>#N/A</v>
      </c>
      <c r="X2577" s="17" t="n">
        <f aca="false">J2577</f>
        <v>0</v>
      </c>
      <c r="Y2577" s="17" t="e">
        <f aca="false">VLOOKUP(X2577,Sheet2!A:B,2,0)</f>
        <v>#N/A</v>
      </c>
      <c r="Z2577" s="17"/>
      <c r="AA2577" s="17"/>
      <c r="AB2577" s="17" t="s">
        <v>41</v>
      </c>
      <c r="AC2577" s="0" t="str">
        <f aca="false">LEFT(G2577,2)</f>
        <v/>
      </c>
    </row>
    <row r="2578" customFormat="false" ht="15" hidden="false" customHeight="false" outlineLevel="0" collapsed="false">
      <c r="A2578" s="13" t="n">
        <f aca="false">1+A2577</f>
        <v>2576</v>
      </c>
      <c r="B2578" s="14" t="n">
        <v>100</v>
      </c>
      <c r="C2578" s="15"/>
      <c r="D2578" s="16" t="s">
        <v>64</v>
      </c>
      <c r="E2578" s="17" t="s">
        <v>47</v>
      </c>
      <c r="F2578" s="18" t="s">
        <v>34</v>
      </c>
      <c r="G2578" s="19"/>
      <c r="H2578" s="17" t="s">
        <v>35</v>
      </c>
      <c r="I2578" s="17" t="s">
        <v>44</v>
      </c>
      <c r="J2578" s="17"/>
      <c r="K2578" s="17" t="e">
        <f aca="false">VLOOKUP(J2578,Sheet2!A:B,2,0)</f>
        <v>#N/A</v>
      </c>
      <c r="L2578" s="17" t="n">
        <v>5</v>
      </c>
      <c r="M2578" s="17" t="str">
        <f aca="false">VLOOKUP(L2578,Sheet2!D:E,2,0)</f>
        <v>Main Processor CPU BGA</v>
      </c>
      <c r="N2578" s="17" t="n">
        <v>1</v>
      </c>
      <c r="O2578" s="17" t="str">
        <f aca="false">VLOOKUP(N2578,Sheet2!G:H,2,0)</f>
        <v>Dead</v>
      </c>
      <c r="P2578" s="17" t="n">
        <v>11</v>
      </c>
      <c r="Q2578" s="17" t="str">
        <f aca="false">VLOOKUP(P2578,Sheet2!J:K,2,0)</f>
        <v>IR Declared due to CID -TA</v>
      </c>
      <c r="R2578" s="17" t="s">
        <v>35</v>
      </c>
      <c r="S2578" s="17" t="str">
        <f aca="false">VLOOKUP(R2578,Sheet2!N:O,2,0)</f>
        <v>IREPARABLE</v>
      </c>
      <c r="T2578" s="18" t="str">
        <f aca="false">VLOOKUP(P2578,Sheet2!Q:R,2,0)</f>
        <v>IR Normal - Track burn out</v>
      </c>
      <c r="U2578" s="20" t="s">
        <v>41</v>
      </c>
      <c r="V2578" s="17"/>
      <c r="W2578" s="20" t="e">
        <f aca="false">VLOOKUP(V2578,Sheet2!Q:R,2,0)</f>
        <v>#N/A</v>
      </c>
      <c r="X2578" s="17" t="n">
        <f aca="false">J2578</f>
        <v>0</v>
      </c>
      <c r="Y2578" s="17" t="e">
        <f aca="false">VLOOKUP(X2578,Sheet2!A:B,2,0)</f>
        <v>#N/A</v>
      </c>
      <c r="Z2578" s="17"/>
      <c r="AA2578" s="17"/>
      <c r="AB2578" s="17" t="s">
        <v>41</v>
      </c>
      <c r="AC2578" s="0" t="str">
        <f aca="false">LEFT(G2578,2)</f>
        <v/>
      </c>
    </row>
    <row r="2579" customFormat="false" ht="15" hidden="false" customHeight="false" outlineLevel="0" collapsed="false">
      <c r="A2579" s="13" t="n">
        <f aca="false">1+A2578</f>
        <v>2577</v>
      </c>
      <c r="B2579" s="14" t="n">
        <v>100</v>
      </c>
      <c r="C2579" s="15"/>
      <c r="D2579" s="16" t="s">
        <v>64</v>
      </c>
      <c r="E2579" s="17" t="s">
        <v>47</v>
      </c>
      <c r="F2579" s="18" t="s">
        <v>34</v>
      </c>
      <c r="G2579" s="19"/>
      <c r="H2579" s="17" t="s">
        <v>35</v>
      </c>
      <c r="I2579" s="17" t="s">
        <v>44</v>
      </c>
      <c r="J2579" s="17"/>
      <c r="K2579" s="17" t="e">
        <f aca="false">VLOOKUP(J2579,Sheet2!A:B,2,0)</f>
        <v>#N/A</v>
      </c>
      <c r="L2579" s="17" t="n">
        <v>5</v>
      </c>
      <c r="M2579" s="17" t="str">
        <f aca="false">VLOOKUP(L2579,Sheet2!D:E,2,0)</f>
        <v>Main Processor CPU BGA</v>
      </c>
      <c r="N2579" s="17" t="n">
        <v>1</v>
      </c>
      <c r="O2579" s="17" t="str">
        <f aca="false">VLOOKUP(N2579,Sheet2!G:H,2,0)</f>
        <v>Dead</v>
      </c>
      <c r="P2579" s="17" t="n">
        <v>11</v>
      </c>
      <c r="Q2579" s="17" t="str">
        <f aca="false">VLOOKUP(P2579,Sheet2!J:K,2,0)</f>
        <v>IR Declared due to CID -TA</v>
      </c>
      <c r="R2579" s="17" t="s">
        <v>35</v>
      </c>
      <c r="S2579" s="17" t="str">
        <f aca="false">VLOOKUP(R2579,Sheet2!N:O,2,0)</f>
        <v>IREPARABLE</v>
      </c>
      <c r="T2579" s="18" t="str">
        <f aca="false">VLOOKUP(P2579,Sheet2!Q:R,2,0)</f>
        <v>IR Normal - Track burn out</v>
      </c>
      <c r="U2579" s="20" t="s">
        <v>41</v>
      </c>
      <c r="V2579" s="17"/>
      <c r="W2579" s="20" t="e">
        <f aca="false">VLOOKUP(V2579,Sheet2!Q:R,2,0)</f>
        <v>#N/A</v>
      </c>
      <c r="X2579" s="17" t="n">
        <f aca="false">J2579</f>
        <v>0</v>
      </c>
      <c r="Y2579" s="17" t="e">
        <f aca="false">VLOOKUP(X2579,Sheet2!A:B,2,0)</f>
        <v>#N/A</v>
      </c>
      <c r="Z2579" s="17"/>
      <c r="AA2579" s="17"/>
      <c r="AB2579" s="17" t="s">
        <v>41</v>
      </c>
      <c r="AC2579" s="0" t="str">
        <f aca="false">LEFT(G2579,2)</f>
        <v/>
      </c>
    </row>
    <row r="2580" customFormat="false" ht="15" hidden="false" customHeight="false" outlineLevel="0" collapsed="false">
      <c r="A2580" s="13" t="n">
        <f aca="false">1+A2579</f>
        <v>2578</v>
      </c>
      <c r="B2580" s="14" t="n">
        <v>100</v>
      </c>
      <c r="C2580" s="15"/>
      <c r="D2580" s="16" t="s">
        <v>64</v>
      </c>
      <c r="E2580" s="17" t="s">
        <v>47</v>
      </c>
      <c r="F2580" s="18" t="s">
        <v>34</v>
      </c>
      <c r="G2580" s="19"/>
      <c r="H2580" s="17" t="s">
        <v>35</v>
      </c>
      <c r="I2580" s="17" t="s">
        <v>44</v>
      </c>
      <c r="J2580" s="17"/>
      <c r="K2580" s="17" t="e">
        <f aca="false">VLOOKUP(J2580,Sheet2!A:B,2,0)</f>
        <v>#N/A</v>
      </c>
      <c r="L2580" s="17" t="n">
        <v>5</v>
      </c>
      <c r="M2580" s="17" t="str">
        <f aca="false">VLOOKUP(L2580,Sheet2!D:E,2,0)</f>
        <v>Main Processor CPU BGA</v>
      </c>
      <c r="N2580" s="17" t="n">
        <v>1</v>
      </c>
      <c r="O2580" s="17" t="str">
        <f aca="false">VLOOKUP(N2580,Sheet2!G:H,2,0)</f>
        <v>Dead</v>
      </c>
      <c r="P2580" s="17" t="n">
        <v>11</v>
      </c>
      <c r="Q2580" s="17" t="str">
        <f aca="false">VLOOKUP(P2580,Sheet2!J:K,2,0)</f>
        <v>IR Declared due to CID -TA</v>
      </c>
      <c r="R2580" s="17" t="s">
        <v>35</v>
      </c>
      <c r="S2580" s="17" t="str">
        <f aca="false">VLOOKUP(R2580,Sheet2!N:O,2,0)</f>
        <v>IREPARABLE</v>
      </c>
      <c r="T2580" s="18" t="str">
        <f aca="false">VLOOKUP(P2580,Sheet2!Q:R,2,0)</f>
        <v>IR Normal - Track burn out</v>
      </c>
      <c r="U2580" s="20" t="s">
        <v>41</v>
      </c>
      <c r="V2580" s="17"/>
      <c r="W2580" s="20" t="e">
        <f aca="false">VLOOKUP(V2580,Sheet2!Q:R,2,0)</f>
        <v>#N/A</v>
      </c>
      <c r="X2580" s="17" t="n">
        <f aca="false">J2580</f>
        <v>0</v>
      </c>
      <c r="Y2580" s="17" t="e">
        <f aca="false">VLOOKUP(X2580,Sheet2!A:B,2,0)</f>
        <v>#N/A</v>
      </c>
      <c r="Z2580" s="17"/>
      <c r="AA2580" s="17"/>
      <c r="AB2580" s="17" t="s">
        <v>41</v>
      </c>
      <c r="AC2580" s="0" t="str">
        <f aca="false">LEFT(G2580,2)</f>
        <v/>
      </c>
    </row>
    <row r="2581" customFormat="false" ht="15" hidden="false" customHeight="false" outlineLevel="0" collapsed="false">
      <c r="A2581" s="13" t="n">
        <f aca="false">1+A2580</f>
        <v>2579</v>
      </c>
      <c r="B2581" s="14" t="n">
        <v>100</v>
      </c>
      <c r="C2581" s="15"/>
      <c r="D2581" s="16" t="s">
        <v>64</v>
      </c>
      <c r="E2581" s="17" t="s">
        <v>47</v>
      </c>
      <c r="F2581" s="18" t="s">
        <v>34</v>
      </c>
      <c r="G2581" s="19"/>
      <c r="H2581" s="17" t="s">
        <v>35</v>
      </c>
      <c r="I2581" s="17" t="s">
        <v>44</v>
      </c>
      <c r="J2581" s="17"/>
      <c r="K2581" s="17" t="e">
        <f aca="false">VLOOKUP(J2581,Sheet2!A:B,2,0)</f>
        <v>#N/A</v>
      </c>
      <c r="L2581" s="17" t="n">
        <v>5</v>
      </c>
      <c r="M2581" s="17" t="str">
        <f aca="false">VLOOKUP(L2581,Sheet2!D:E,2,0)</f>
        <v>Main Processor CPU BGA</v>
      </c>
      <c r="N2581" s="17" t="n">
        <v>1</v>
      </c>
      <c r="O2581" s="17" t="str">
        <f aca="false">VLOOKUP(N2581,Sheet2!G:H,2,0)</f>
        <v>Dead</v>
      </c>
      <c r="P2581" s="17" t="n">
        <v>11</v>
      </c>
      <c r="Q2581" s="17" t="str">
        <f aca="false">VLOOKUP(P2581,Sheet2!J:K,2,0)</f>
        <v>IR Declared due to CID -TA</v>
      </c>
      <c r="R2581" s="17" t="s">
        <v>35</v>
      </c>
      <c r="S2581" s="17" t="str">
        <f aca="false">VLOOKUP(R2581,Sheet2!N:O,2,0)</f>
        <v>IREPARABLE</v>
      </c>
      <c r="T2581" s="18" t="str">
        <f aca="false">VLOOKUP(P2581,Sheet2!Q:R,2,0)</f>
        <v>IR Normal - Track burn out</v>
      </c>
      <c r="U2581" s="20" t="s">
        <v>41</v>
      </c>
      <c r="V2581" s="17"/>
      <c r="W2581" s="20" t="e">
        <f aca="false">VLOOKUP(V2581,Sheet2!Q:R,2,0)</f>
        <v>#N/A</v>
      </c>
      <c r="X2581" s="17" t="n">
        <f aca="false">J2581</f>
        <v>0</v>
      </c>
      <c r="Y2581" s="17" t="e">
        <f aca="false">VLOOKUP(X2581,Sheet2!A:B,2,0)</f>
        <v>#N/A</v>
      </c>
      <c r="Z2581" s="17"/>
      <c r="AA2581" s="17"/>
      <c r="AB2581" s="17" t="s">
        <v>41</v>
      </c>
      <c r="AC2581" s="0" t="str">
        <f aca="false">LEFT(G2581,2)</f>
        <v/>
      </c>
    </row>
    <row r="2582" customFormat="false" ht="15" hidden="false" customHeight="false" outlineLevel="0" collapsed="false">
      <c r="A2582" s="13" t="n">
        <f aca="false">1+A2581</f>
        <v>2580</v>
      </c>
      <c r="B2582" s="14" t="n">
        <v>100</v>
      </c>
      <c r="C2582" s="15"/>
      <c r="D2582" s="16" t="s">
        <v>64</v>
      </c>
      <c r="E2582" s="17" t="s">
        <v>47</v>
      </c>
      <c r="F2582" s="18" t="s">
        <v>34</v>
      </c>
      <c r="G2582" s="19"/>
      <c r="H2582" s="17" t="s">
        <v>35</v>
      </c>
      <c r="I2582" s="17" t="s">
        <v>44</v>
      </c>
      <c r="J2582" s="17"/>
      <c r="K2582" s="17" t="e">
        <f aca="false">VLOOKUP(J2582,Sheet2!A:B,2,0)</f>
        <v>#N/A</v>
      </c>
      <c r="L2582" s="17" t="n">
        <v>5</v>
      </c>
      <c r="M2582" s="17" t="str">
        <f aca="false">VLOOKUP(L2582,Sheet2!D:E,2,0)</f>
        <v>Main Processor CPU BGA</v>
      </c>
      <c r="N2582" s="17" t="n">
        <v>1</v>
      </c>
      <c r="O2582" s="17" t="str">
        <f aca="false">VLOOKUP(N2582,Sheet2!G:H,2,0)</f>
        <v>Dead</v>
      </c>
      <c r="P2582" s="17" t="n">
        <v>11</v>
      </c>
      <c r="Q2582" s="17" t="str">
        <f aca="false">VLOOKUP(P2582,Sheet2!J:K,2,0)</f>
        <v>IR Declared due to CID -TA</v>
      </c>
      <c r="R2582" s="17" t="s">
        <v>35</v>
      </c>
      <c r="S2582" s="17" t="str">
        <f aca="false">VLOOKUP(R2582,Sheet2!N:O,2,0)</f>
        <v>IREPARABLE</v>
      </c>
      <c r="T2582" s="18" t="str">
        <f aca="false">VLOOKUP(P2582,Sheet2!Q:R,2,0)</f>
        <v>IR Normal - Track burn out</v>
      </c>
      <c r="U2582" s="20" t="s">
        <v>41</v>
      </c>
      <c r="V2582" s="17"/>
      <c r="W2582" s="20" t="e">
        <f aca="false">VLOOKUP(V2582,Sheet2!Q:R,2,0)</f>
        <v>#N/A</v>
      </c>
      <c r="X2582" s="17" t="n">
        <f aca="false">J2582</f>
        <v>0</v>
      </c>
      <c r="Y2582" s="17" t="e">
        <f aca="false">VLOOKUP(X2582,Sheet2!A:B,2,0)</f>
        <v>#N/A</v>
      </c>
      <c r="Z2582" s="17"/>
      <c r="AA2582" s="17"/>
      <c r="AB2582" s="17" t="s">
        <v>41</v>
      </c>
      <c r="AC2582" s="0" t="str">
        <f aca="false">LEFT(G2582,2)</f>
        <v/>
      </c>
    </row>
    <row r="2583" customFormat="false" ht="15" hidden="false" customHeight="false" outlineLevel="0" collapsed="false">
      <c r="A2583" s="13" t="n">
        <f aca="false">1+A2582</f>
        <v>2581</v>
      </c>
      <c r="B2583" s="14" t="n">
        <v>100</v>
      </c>
      <c r="C2583" s="15"/>
      <c r="D2583" s="16" t="s">
        <v>64</v>
      </c>
      <c r="E2583" s="17" t="s">
        <v>47</v>
      </c>
      <c r="F2583" s="18" t="s">
        <v>34</v>
      </c>
      <c r="G2583" s="19"/>
      <c r="H2583" s="17" t="s">
        <v>35</v>
      </c>
      <c r="I2583" s="17" t="s">
        <v>44</v>
      </c>
      <c r="J2583" s="17"/>
      <c r="K2583" s="17" t="e">
        <f aca="false">VLOOKUP(J2583,Sheet2!A:B,2,0)</f>
        <v>#N/A</v>
      </c>
      <c r="L2583" s="17" t="n">
        <v>5</v>
      </c>
      <c r="M2583" s="17" t="str">
        <f aca="false">VLOOKUP(L2583,Sheet2!D:E,2,0)</f>
        <v>Main Processor CPU BGA</v>
      </c>
      <c r="N2583" s="17" t="n">
        <v>1</v>
      </c>
      <c r="O2583" s="17" t="str">
        <f aca="false">VLOOKUP(N2583,Sheet2!G:H,2,0)</f>
        <v>Dead</v>
      </c>
      <c r="P2583" s="17" t="n">
        <v>11</v>
      </c>
      <c r="Q2583" s="17" t="str">
        <f aca="false">VLOOKUP(P2583,Sheet2!J:K,2,0)</f>
        <v>IR Declared due to CID -TA</v>
      </c>
      <c r="R2583" s="17" t="s">
        <v>35</v>
      </c>
      <c r="S2583" s="17" t="str">
        <f aca="false">VLOOKUP(R2583,Sheet2!N:O,2,0)</f>
        <v>IREPARABLE</v>
      </c>
      <c r="T2583" s="18" t="str">
        <f aca="false">VLOOKUP(P2583,Sheet2!Q:R,2,0)</f>
        <v>IR Normal - Track burn out</v>
      </c>
      <c r="U2583" s="20" t="s">
        <v>41</v>
      </c>
      <c r="V2583" s="17"/>
      <c r="W2583" s="20" t="e">
        <f aca="false">VLOOKUP(V2583,Sheet2!Q:R,2,0)</f>
        <v>#N/A</v>
      </c>
      <c r="X2583" s="17" t="n">
        <f aca="false">J2583</f>
        <v>0</v>
      </c>
      <c r="Y2583" s="17" t="e">
        <f aca="false">VLOOKUP(X2583,Sheet2!A:B,2,0)</f>
        <v>#N/A</v>
      </c>
      <c r="Z2583" s="17"/>
      <c r="AA2583" s="17"/>
      <c r="AB2583" s="17" t="s">
        <v>41</v>
      </c>
      <c r="AC2583" s="0" t="str">
        <f aca="false">LEFT(G2583,2)</f>
        <v/>
      </c>
    </row>
    <row r="2584" customFormat="false" ht="15" hidden="false" customHeight="false" outlineLevel="0" collapsed="false">
      <c r="A2584" s="13" t="n">
        <f aca="false">1+A2583</f>
        <v>2582</v>
      </c>
      <c r="B2584" s="14" t="n">
        <v>100</v>
      </c>
      <c r="C2584" s="15"/>
      <c r="D2584" s="16" t="s">
        <v>64</v>
      </c>
      <c r="E2584" s="17" t="s">
        <v>47</v>
      </c>
      <c r="F2584" s="18" t="s">
        <v>34</v>
      </c>
      <c r="G2584" s="19"/>
      <c r="H2584" s="17" t="s">
        <v>35</v>
      </c>
      <c r="I2584" s="17" t="s">
        <v>44</v>
      </c>
      <c r="J2584" s="17"/>
      <c r="K2584" s="17" t="e">
        <f aca="false">VLOOKUP(J2584,Sheet2!A:B,2,0)</f>
        <v>#N/A</v>
      </c>
      <c r="L2584" s="17" t="n">
        <v>5</v>
      </c>
      <c r="M2584" s="17" t="str">
        <f aca="false">VLOOKUP(L2584,Sheet2!D:E,2,0)</f>
        <v>Main Processor CPU BGA</v>
      </c>
      <c r="N2584" s="17" t="n">
        <v>1</v>
      </c>
      <c r="O2584" s="17" t="str">
        <f aca="false">VLOOKUP(N2584,Sheet2!G:H,2,0)</f>
        <v>Dead</v>
      </c>
      <c r="P2584" s="17" t="n">
        <v>11</v>
      </c>
      <c r="Q2584" s="17" t="str">
        <f aca="false">VLOOKUP(P2584,Sheet2!J:K,2,0)</f>
        <v>IR Declared due to CID -TA</v>
      </c>
      <c r="R2584" s="17" t="s">
        <v>35</v>
      </c>
      <c r="S2584" s="17" t="str">
        <f aca="false">VLOOKUP(R2584,Sheet2!N:O,2,0)</f>
        <v>IREPARABLE</v>
      </c>
      <c r="T2584" s="18" t="str">
        <f aca="false">VLOOKUP(P2584,Sheet2!Q:R,2,0)</f>
        <v>IR Normal - Track burn out</v>
      </c>
      <c r="U2584" s="20" t="s">
        <v>41</v>
      </c>
      <c r="V2584" s="17"/>
      <c r="W2584" s="20" t="e">
        <f aca="false">VLOOKUP(V2584,Sheet2!Q:R,2,0)</f>
        <v>#N/A</v>
      </c>
      <c r="X2584" s="17" t="n">
        <f aca="false">J2584</f>
        <v>0</v>
      </c>
      <c r="Y2584" s="17" t="e">
        <f aca="false">VLOOKUP(X2584,Sheet2!A:B,2,0)</f>
        <v>#N/A</v>
      </c>
      <c r="Z2584" s="17"/>
      <c r="AA2584" s="17"/>
      <c r="AB2584" s="17" t="s">
        <v>41</v>
      </c>
      <c r="AC2584" s="0" t="str">
        <f aca="false">LEFT(G2584,2)</f>
        <v/>
      </c>
    </row>
    <row r="2585" customFormat="false" ht="15" hidden="false" customHeight="false" outlineLevel="0" collapsed="false">
      <c r="A2585" s="13" t="n">
        <f aca="false">1+A2584</f>
        <v>2583</v>
      </c>
      <c r="B2585" s="14" t="n">
        <v>100</v>
      </c>
      <c r="C2585" s="15"/>
      <c r="D2585" s="16" t="s">
        <v>64</v>
      </c>
      <c r="E2585" s="17" t="s">
        <v>47</v>
      </c>
      <c r="F2585" s="18" t="s">
        <v>34</v>
      </c>
      <c r="G2585" s="19"/>
      <c r="H2585" s="17" t="s">
        <v>35</v>
      </c>
      <c r="I2585" s="17" t="s">
        <v>44</v>
      </c>
      <c r="J2585" s="17"/>
      <c r="K2585" s="17" t="e">
        <f aca="false">VLOOKUP(J2585,Sheet2!A:B,2,0)</f>
        <v>#N/A</v>
      </c>
      <c r="L2585" s="17" t="n">
        <v>5</v>
      </c>
      <c r="M2585" s="17" t="str">
        <f aca="false">VLOOKUP(L2585,Sheet2!D:E,2,0)</f>
        <v>Main Processor CPU BGA</v>
      </c>
      <c r="N2585" s="17" t="n">
        <v>1</v>
      </c>
      <c r="O2585" s="17" t="str">
        <f aca="false">VLOOKUP(N2585,Sheet2!G:H,2,0)</f>
        <v>Dead</v>
      </c>
      <c r="P2585" s="17" t="n">
        <v>11</v>
      </c>
      <c r="Q2585" s="17" t="str">
        <f aca="false">VLOOKUP(P2585,Sheet2!J:K,2,0)</f>
        <v>IR Declared due to CID -TA</v>
      </c>
      <c r="R2585" s="17" t="s">
        <v>35</v>
      </c>
      <c r="S2585" s="17" t="str">
        <f aca="false">VLOOKUP(R2585,Sheet2!N:O,2,0)</f>
        <v>IREPARABLE</v>
      </c>
      <c r="T2585" s="18" t="str">
        <f aca="false">VLOOKUP(P2585,Sheet2!Q:R,2,0)</f>
        <v>IR Normal - Track burn out</v>
      </c>
      <c r="U2585" s="20" t="s">
        <v>41</v>
      </c>
      <c r="V2585" s="17"/>
      <c r="W2585" s="20" t="e">
        <f aca="false">VLOOKUP(V2585,Sheet2!Q:R,2,0)</f>
        <v>#N/A</v>
      </c>
      <c r="X2585" s="17" t="n">
        <f aca="false">J2585</f>
        <v>0</v>
      </c>
      <c r="Y2585" s="17" t="e">
        <f aca="false">VLOOKUP(X2585,Sheet2!A:B,2,0)</f>
        <v>#N/A</v>
      </c>
      <c r="Z2585" s="17"/>
      <c r="AA2585" s="17"/>
      <c r="AB2585" s="17" t="s">
        <v>41</v>
      </c>
      <c r="AC2585" s="0" t="str">
        <f aca="false">LEFT(G2585,2)</f>
        <v/>
      </c>
    </row>
    <row r="2586" customFormat="false" ht="15" hidden="false" customHeight="false" outlineLevel="0" collapsed="false">
      <c r="A2586" s="13" t="n">
        <f aca="false">1+A2585</f>
        <v>2584</v>
      </c>
      <c r="B2586" s="14" t="n">
        <v>100</v>
      </c>
      <c r="C2586" s="15"/>
      <c r="D2586" s="16" t="s">
        <v>64</v>
      </c>
      <c r="E2586" s="17" t="s">
        <v>47</v>
      </c>
      <c r="F2586" s="18" t="s">
        <v>34</v>
      </c>
      <c r="G2586" s="19"/>
      <c r="H2586" s="17" t="s">
        <v>35</v>
      </c>
      <c r="I2586" s="17" t="s">
        <v>44</v>
      </c>
      <c r="J2586" s="17"/>
      <c r="K2586" s="17" t="e">
        <f aca="false">VLOOKUP(J2586,Sheet2!A:B,2,0)</f>
        <v>#N/A</v>
      </c>
      <c r="L2586" s="17" t="n">
        <v>5</v>
      </c>
      <c r="M2586" s="17" t="str">
        <f aca="false">VLOOKUP(L2586,Sheet2!D:E,2,0)</f>
        <v>Main Processor CPU BGA</v>
      </c>
      <c r="N2586" s="17" t="n">
        <v>1</v>
      </c>
      <c r="O2586" s="17" t="str">
        <f aca="false">VLOOKUP(N2586,Sheet2!G:H,2,0)</f>
        <v>Dead</v>
      </c>
      <c r="P2586" s="17" t="n">
        <v>11</v>
      </c>
      <c r="Q2586" s="17" t="str">
        <f aca="false">VLOOKUP(P2586,Sheet2!J:K,2,0)</f>
        <v>IR Declared due to CID -TA</v>
      </c>
      <c r="R2586" s="17" t="s">
        <v>35</v>
      </c>
      <c r="S2586" s="17" t="str">
        <f aca="false">VLOOKUP(R2586,Sheet2!N:O,2,0)</f>
        <v>IREPARABLE</v>
      </c>
      <c r="T2586" s="18" t="str">
        <f aca="false">VLOOKUP(P2586,Sheet2!Q:R,2,0)</f>
        <v>IR Normal - Track burn out</v>
      </c>
      <c r="U2586" s="20" t="s">
        <v>41</v>
      </c>
      <c r="V2586" s="17"/>
      <c r="W2586" s="20" t="e">
        <f aca="false">VLOOKUP(V2586,Sheet2!Q:R,2,0)</f>
        <v>#N/A</v>
      </c>
      <c r="X2586" s="17" t="n">
        <f aca="false">J2586</f>
        <v>0</v>
      </c>
      <c r="Y2586" s="17" t="e">
        <f aca="false">VLOOKUP(X2586,Sheet2!A:B,2,0)</f>
        <v>#N/A</v>
      </c>
      <c r="Z2586" s="17"/>
      <c r="AA2586" s="17"/>
      <c r="AB2586" s="17" t="s">
        <v>41</v>
      </c>
      <c r="AC2586" s="0" t="str">
        <f aca="false">LEFT(G2586,2)</f>
        <v/>
      </c>
    </row>
    <row r="2587" customFormat="false" ht="15" hidden="false" customHeight="false" outlineLevel="0" collapsed="false">
      <c r="A2587" s="13" t="n">
        <f aca="false">1+A2586</f>
        <v>2585</v>
      </c>
      <c r="B2587" s="14" t="n">
        <v>100</v>
      </c>
      <c r="C2587" s="15"/>
      <c r="D2587" s="16" t="s">
        <v>64</v>
      </c>
      <c r="E2587" s="17" t="s">
        <v>47</v>
      </c>
      <c r="F2587" s="18" t="s">
        <v>34</v>
      </c>
      <c r="G2587" s="19"/>
      <c r="H2587" s="17" t="s">
        <v>35</v>
      </c>
      <c r="I2587" s="17" t="s">
        <v>44</v>
      </c>
      <c r="J2587" s="17"/>
      <c r="K2587" s="17" t="e">
        <f aca="false">VLOOKUP(J2587,Sheet2!A:B,2,0)</f>
        <v>#N/A</v>
      </c>
      <c r="L2587" s="17" t="n">
        <v>5</v>
      </c>
      <c r="M2587" s="17" t="str">
        <f aca="false">VLOOKUP(L2587,Sheet2!D:E,2,0)</f>
        <v>Main Processor CPU BGA</v>
      </c>
      <c r="N2587" s="17" t="n">
        <v>1</v>
      </c>
      <c r="O2587" s="17" t="str">
        <f aca="false">VLOOKUP(N2587,Sheet2!G:H,2,0)</f>
        <v>Dead</v>
      </c>
      <c r="P2587" s="17" t="n">
        <v>11</v>
      </c>
      <c r="Q2587" s="17" t="str">
        <f aca="false">VLOOKUP(P2587,Sheet2!J:K,2,0)</f>
        <v>IR Declared due to CID -TA</v>
      </c>
      <c r="R2587" s="17" t="s">
        <v>35</v>
      </c>
      <c r="S2587" s="17" t="str">
        <f aca="false">VLOOKUP(R2587,Sheet2!N:O,2,0)</f>
        <v>IREPARABLE</v>
      </c>
      <c r="T2587" s="18" t="str">
        <f aca="false">VLOOKUP(P2587,Sheet2!Q:R,2,0)</f>
        <v>IR Normal - Track burn out</v>
      </c>
      <c r="U2587" s="20" t="s">
        <v>41</v>
      </c>
      <c r="V2587" s="17"/>
      <c r="W2587" s="20" t="e">
        <f aca="false">VLOOKUP(V2587,Sheet2!Q:R,2,0)</f>
        <v>#N/A</v>
      </c>
      <c r="X2587" s="17" t="n">
        <f aca="false">J2587</f>
        <v>0</v>
      </c>
      <c r="Y2587" s="17" t="e">
        <f aca="false">VLOOKUP(X2587,Sheet2!A:B,2,0)</f>
        <v>#N/A</v>
      </c>
      <c r="Z2587" s="17"/>
      <c r="AA2587" s="17"/>
      <c r="AB2587" s="17" t="s">
        <v>41</v>
      </c>
      <c r="AC2587" s="0" t="str">
        <f aca="false">LEFT(G2587,2)</f>
        <v/>
      </c>
    </row>
    <row r="2588" customFormat="false" ht="15" hidden="false" customHeight="false" outlineLevel="0" collapsed="false">
      <c r="A2588" s="13" t="n">
        <f aca="false">1+A2587</f>
        <v>2586</v>
      </c>
      <c r="B2588" s="14" t="n">
        <v>100</v>
      </c>
      <c r="C2588" s="15"/>
      <c r="D2588" s="16" t="s">
        <v>64</v>
      </c>
      <c r="E2588" s="17" t="s">
        <v>47</v>
      </c>
      <c r="F2588" s="18" t="s">
        <v>34</v>
      </c>
      <c r="G2588" s="19"/>
      <c r="H2588" s="17" t="s">
        <v>35</v>
      </c>
      <c r="I2588" s="17" t="s">
        <v>44</v>
      </c>
      <c r="J2588" s="17"/>
      <c r="K2588" s="17" t="e">
        <f aca="false">VLOOKUP(J2588,Sheet2!A:B,2,0)</f>
        <v>#N/A</v>
      </c>
      <c r="L2588" s="17" t="n">
        <v>5</v>
      </c>
      <c r="M2588" s="17" t="str">
        <f aca="false">VLOOKUP(L2588,Sheet2!D:E,2,0)</f>
        <v>Main Processor CPU BGA</v>
      </c>
      <c r="N2588" s="17" t="n">
        <v>1</v>
      </c>
      <c r="O2588" s="17" t="str">
        <f aca="false">VLOOKUP(N2588,Sheet2!G:H,2,0)</f>
        <v>Dead</v>
      </c>
      <c r="P2588" s="17" t="n">
        <v>11</v>
      </c>
      <c r="Q2588" s="17" t="str">
        <f aca="false">VLOOKUP(P2588,Sheet2!J:K,2,0)</f>
        <v>IR Declared due to CID -TA</v>
      </c>
      <c r="R2588" s="17" t="s">
        <v>35</v>
      </c>
      <c r="S2588" s="17" t="str">
        <f aca="false">VLOOKUP(R2588,Sheet2!N:O,2,0)</f>
        <v>IREPARABLE</v>
      </c>
      <c r="T2588" s="18" t="str">
        <f aca="false">VLOOKUP(P2588,Sheet2!Q:R,2,0)</f>
        <v>IR Normal - Track burn out</v>
      </c>
      <c r="U2588" s="20" t="s">
        <v>41</v>
      </c>
      <c r="V2588" s="17"/>
      <c r="W2588" s="20" t="e">
        <f aca="false">VLOOKUP(V2588,Sheet2!Q:R,2,0)</f>
        <v>#N/A</v>
      </c>
      <c r="X2588" s="17" t="n">
        <f aca="false">J2588</f>
        <v>0</v>
      </c>
      <c r="Y2588" s="17" t="e">
        <f aca="false">VLOOKUP(X2588,Sheet2!A:B,2,0)</f>
        <v>#N/A</v>
      </c>
      <c r="Z2588" s="17"/>
      <c r="AA2588" s="17"/>
      <c r="AB2588" s="17" t="s">
        <v>41</v>
      </c>
      <c r="AC2588" s="0" t="str">
        <f aca="false">LEFT(G2588,2)</f>
        <v/>
      </c>
    </row>
    <row r="2589" customFormat="false" ht="15" hidden="false" customHeight="false" outlineLevel="0" collapsed="false">
      <c r="A2589" s="13" t="n">
        <f aca="false">1+A2588</f>
        <v>2587</v>
      </c>
      <c r="B2589" s="14" t="n">
        <v>100</v>
      </c>
      <c r="C2589" s="15"/>
      <c r="D2589" s="16" t="s">
        <v>64</v>
      </c>
      <c r="E2589" s="17" t="s">
        <v>47</v>
      </c>
      <c r="F2589" s="18" t="s">
        <v>34</v>
      </c>
      <c r="G2589" s="19"/>
      <c r="H2589" s="17" t="s">
        <v>35</v>
      </c>
      <c r="I2589" s="17" t="s">
        <v>44</v>
      </c>
      <c r="J2589" s="17"/>
      <c r="K2589" s="17" t="e">
        <f aca="false">VLOOKUP(J2589,Sheet2!A:B,2,0)</f>
        <v>#N/A</v>
      </c>
      <c r="L2589" s="17" t="n">
        <v>5</v>
      </c>
      <c r="M2589" s="17" t="str">
        <f aca="false">VLOOKUP(L2589,Sheet2!D:E,2,0)</f>
        <v>Main Processor CPU BGA</v>
      </c>
      <c r="N2589" s="17" t="n">
        <v>1</v>
      </c>
      <c r="O2589" s="17" t="str">
        <f aca="false">VLOOKUP(N2589,Sheet2!G:H,2,0)</f>
        <v>Dead</v>
      </c>
      <c r="P2589" s="17" t="n">
        <v>11</v>
      </c>
      <c r="Q2589" s="17" t="str">
        <f aca="false">VLOOKUP(P2589,Sheet2!J:K,2,0)</f>
        <v>IR Declared due to CID -TA</v>
      </c>
      <c r="R2589" s="17" t="s">
        <v>35</v>
      </c>
      <c r="S2589" s="17" t="str">
        <f aca="false">VLOOKUP(R2589,Sheet2!N:O,2,0)</f>
        <v>IREPARABLE</v>
      </c>
      <c r="T2589" s="18" t="str">
        <f aca="false">VLOOKUP(P2589,Sheet2!Q:R,2,0)</f>
        <v>IR Normal - Track burn out</v>
      </c>
      <c r="U2589" s="20" t="s">
        <v>41</v>
      </c>
      <c r="V2589" s="17"/>
      <c r="W2589" s="20" t="e">
        <f aca="false">VLOOKUP(V2589,Sheet2!Q:R,2,0)</f>
        <v>#N/A</v>
      </c>
      <c r="X2589" s="17" t="n">
        <f aca="false">J2589</f>
        <v>0</v>
      </c>
      <c r="Y2589" s="17" t="e">
        <f aca="false">VLOOKUP(X2589,Sheet2!A:B,2,0)</f>
        <v>#N/A</v>
      </c>
      <c r="Z2589" s="17"/>
      <c r="AA2589" s="17"/>
      <c r="AB2589" s="17" t="s">
        <v>41</v>
      </c>
      <c r="AC2589" s="0" t="str">
        <f aca="false">LEFT(G2589,2)</f>
        <v/>
      </c>
    </row>
    <row r="2590" customFormat="false" ht="15" hidden="false" customHeight="false" outlineLevel="0" collapsed="false">
      <c r="A2590" s="13" t="n">
        <f aca="false">1+A2589</f>
        <v>2588</v>
      </c>
      <c r="B2590" s="14" t="n">
        <v>100</v>
      </c>
      <c r="C2590" s="15"/>
      <c r="D2590" s="16" t="s">
        <v>64</v>
      </c>
      <c r="E2590" s="17" t="s">
        <v>47</v>
      </c>
      <c r="F2590" s="18" t="s">
        <v>34</v>
      </c>
      <c r="G2590" s="19"/>
      <c r="H2590" s="17" t="s">
        <v>35</v>
      </c>
      <c r="I2590" s="17" t="s">
        <v>44</v>
      </c>
      <c r="J2590" s="17"/>
      <c r="K2590" s="17" t="e">
        <f aca="false">VLOOKUP(J2590,Sheet2!A:B,2,0)</f>
        <v>#N/A</v>
      </c>
      <c r="L2590" s="17" t="n">
        <v>5</v>
      </c>
      <c r="M2590" s="17" t="str">
        <f aca="false">VLOOKUP(L2590,Sheet2!D:E,2,0)</f>
        <v>Main Processor CPU BGA</v>
      </c>
      <c r="N2590" s="17" t="n">
        <v>1</v>
      </c>
      <c r="O2590" s="17" t="str">
        <f aca="false">VLOOKUP(N2590,Sheet2!G:H,2,0)</f>
        <v>Dead</v>
      </c>
      <c r="P2590" s="17" t="n">
        <v>11</v>
      </c>
      <c r="Q2590" s="17" t="str">
        <f aca="false">VLOOKUP(P2590,Sheet2!J:K,2,0)</f>
        <v>IR Declared due to CID -TA</v>
      </c>
      <c r="R2590" s="17" t="s">
        <v>35</v>
      </c>
      <c r="S2590" s="17" t="str">
        <f aca="false">VLOOKUP(R2590,Sheet2!N:O,2,0)</f>
        <v>IREPARABLE</v>
      </c>
      <c r="T2590" s="18" t="str">
        <f aca="false">VLOOKUP(P2590,Sheet2!Q:R,2,0)</f>
        <v>IR Normal - Track burn out</v>
      </c>
      <c r="U2590" s="20" t="s">
        <v>41</v>
      </c>
      <c r="V2590" s="17"/>
      <c r="W2590" s="20" t="e">
        <f aca="false">VLOOKUP(V2590,Sheet2!Q:R,2,0)</f>
        <v>#N/A</v>
      </c>
      <c r="X2590" s="17" t="n">
        <f aca="false">J2590</f>
        <v>0</v>
      </c>
      <c r="Y2590" s="17" t="e">
        <f aca="false">VLOOKUP(X2590,Sheet2!A:B,2,0)</f>
        <v>#N/A</v>
      </c>
      <c r="Z2590" s="17"/>
      <c r="AA2590" s="17"/>
      <c r="AB2590" s="17" t="s">
        <v>41</v>
      </c>
      <c r="AC2590" s="0" t="str">
        <f aca="false">LEFT(G2590,2)</f>
        <v/>
      </c>
    </row>
    <row r="2591" customFormat="false" ht="15" hidden="false" customHeight="false" outlineLevel="0" collapsed="false">
      <c r="A2591" s="13" t="n">
        <f aca="false">1+A2590</f>
        <v>2589</v>
      </c>
      <c r="B2591" s="14" t="n">
        <v>100</v>
      </c>
      <c r="C2591" s="15"/>
      <c r="D2591" s="16" t="s">
        <v>64</v>
      </c>
      <c r="E2591" s="17" t="s">
        <v>47</v>
      </c>
      <c r="F2591" s="18" t="s">
        <v>34</v>
      </c>
      <c r="G2591" s="19"/>
      <c r="H2591" s="17" t="s">
        <v>35</v>
      </c>
      <c r="I2591" s="17" t="s">
        <v>44</v>
      </c>
      <c r="J2591" s="17"/>
      <c r="K2591" s="17" t="e">
        <f aca="false">VLOOKUP(J2591,Sheet2!A:B,2,0)</f>
        <v>#N/A</v>
      </c>
      <c r="L2591" s="17" t="n">
        <v>5</v>
      </c>
      <c r="M2591" s="17" t="str">
        <f aca="false">VLOOKUP(L2591,Sheet2!D:E,2,0)</f>
        <v>Main Processor CPU BGA</v>
      </c>
      <c r="N2591" s="17" t="n">
        <v>1</v>
      </c>
      <c r="O2591" s="17" t="str">
        <f aca="false">VLOOKUP(N2591,Sheet2!G:H,2,0)</f>
        <v>Dead</v>
      </c>
      <c r="P2591" s="17" t="n">
        <v>11</v>
      </c>
      <c r="Q2591" s="17" t="str">
        <f aca="false">VLOOKUP(P2591,Sheet2!J:K,2,0)</f>
        <v>IR Declared due to CID -TA</v>
      </c>
      <c r="R2591" s="17" t="s">
        <v>35</v>
      </c>
      <c r="S2591" s="17" t="str">
        <f aca="false">VLOOKUP(R2591,Sheet2!N:O,2,0)</f>
        <v>IREPARABLE</v>
      </c>
      <c r="T2591" s="18" t="str">
        <f aca="false">VLOOKUP(P2591,Sheet2!Q:R,2,0)</f>
        <v>IR Normal - Track burn out</v>
      </c>
      <c r="U2591" s="20" t="s">
        <v>41</v>
      </c>
      <c r="V2591" s="17"/>
      <c r="W2591" s="20" t="e">
        <f aca="false">VLOOKUP(V2591,Sheet2!Q:R,2,0)</f>
        <v>#N/A</v>
      </c>
      <c r="X2591" s="17" t="n">
        <f aca="false">J2591</f>
        <v>0</v>
      </c>
      <c r="Y2591" s="17" t="e">
        <f aca="false">VLOOKUP(X2591,Sheet2!A:B,2,0)</f>
        <v>#N/A</v>
      </c>
      <c r="Z2591" s="17"/>
      <c r="AA2591" s="17"/>
      <c r="AB2591" s="17" t="s">
        <v>41</v>
      </c>
      <c r="AC2591" s="0" t="str">
        <f aca="false">LEFT(G2591,2)</f>
        <v/>
      </c>
    </row>
    <row r="2592" customFormat="false" ht="15" hidden="false" customHeight="false" outlineLevel="0" collapsed="false">
      <c r="A2592" s="13" t="n">
        <f aca="false">1+A2591</f>
        <v>2590</v>
      </c>
      <c r="B2592" s="14" t="n">
        <v>100</v>
      </c>
      <c r="C2592" s="15"/>
      <c r="D2592" s="16" t="s">
        <v>64</v>
      </c>
      <c r="E2592" s="17" t="s">
        <v>47</v>
      </c>
      <c r="F2592" s="18" t="s">
        <v>34</v>
      </c>
      <c r="G2592" s="19"/>
      <c r="H2592" s="17" t="s">
        <v>35</v>
      </c>
      <c r="I2592" s="17" t="s">
        <v>44</v>
      </c>
      <c r="J2592" s="17"/>
      <c r="K2592" s="17" t="e">
        <f aca="false">VLOOKUP(J2592,Sheet2!A:B,2,0)</f>
        <v>#N/A</v>
      </c>
      <c r="L2592" s="17" t="n">
        <v>5</v>
      </c>
      <c r="M2592" s="17" t="str">
        <f aca="false">VLOOKUP(L2592,Sheet2!D:E,2,0)</f>
        <v>Main Processor CPU BGA</v>
      </c>
      <c r="N2592" s="17" t="n">
        <v>1</v>
      </c>
      <c r="O2592" s="17" t="str">
        <f aca="false">VLOOKUP(N2592,Sheet2!G:H,2,0)</f>
        <v>Dead</v>
      </c>
      <c r="P2592" s="17" t="n">
        <v>11</v>
      </c>
      <c r="Q2592" s="17" t="str">
        <f aca="false">VLOOKUP(P2592,Sheet2!J:K,2,0)</f>
        <v>IR Declared due to CID -TA</v>
      </c>
      <c r="R2592" s="17" t="s">
        <v>35</v>
      </c>
      <c r="S2592" s="17" t="str">
        <f aca="false">VLOOKUP(R2592,Sheet2!N:O,2,0)</f>
        <v>IREPARABLE</v>
      </c>
      <c r="T2592" s="18" t="str">
        <f aca="false">VLOOKUP(P2592,Sheet2!Q:R,2,0)</f>
        <v>IR Normal - Track burn out</v>
      </c>
      <c r="U2592" s="20" t="s">
        <v>41</v>
      </c>
      <c r="V2592" s="17"/>
      <c r="W2592" s="20" t="e">
        <f aca="false">VLOOKUP(V2592,Sheet2!Q:R,2,0)</f>
        <v>#N/A</v>
      </c>
      <c r="X2592" s="17" t="n">
        <f aca="false">J2592</f>
        <v>0</v>
      </c>
      <c r="Y2592" s="17" t="e">
        <f aca="false">VLOOKUP(X2592,Sheet2!A:B,2,0)</f>
        <v>#N/A</v>
      </c>
      <c r="Z2592" s="17"/>
      <c r="AA2592" s="17"/>
      <c r="AB2592" s="17" t="s">
        <v>41</v>
      </c>
      <c r="AC2592" s="0" t="str">
        <f aca="false">LEFT(G2592,2)</f>
        <v/>
      </c>
    </row>
    <row r="2593" customFormat="false" ht="15" hidden="false" customHeight="false" outlineLevel="0" collapsed="false">
      <c r="A2593" s="13" t="n">
        <f aca="false">1+A2592</f>
        <v>2591</v>
      </c>
      <c r="B2593" s="14" t="n">
        <v>100</v>
      </c>
      <c r="C2593" s="15"/>
      <c r="D2593" s="16" t="s">
        <v>64</v>
      </c>
      <c r="E2593" s="17" t="s">
        <v>47</v>
      </c>
      <c r="F2593" s="18" t="s">
        <v>34</v>
      </c>
      <c r="G2593" s="19"/>
      <c r="H2593" s="17" t="s">
        <v>35</v>
      </c>
      <c r="I2593" s="17" t="s">
        <v>44</v>
      </c>
      <c r="J2593" s="17"/>
      <c r="K2593" s="17" t="e">
        <f aca="false">VLOOKUP(J2593,Sheet2!A:B,2,0)</f>
        <v>#N/A</v>
      </c>
      <c r="L2593" s="17" t="n">
        <v>5</v>
      </c>
      <c r="M2593" s="17" t="str">
        <f aca="false">VLOOKUP(L2593,Sheet2!D:E,2,0)</f>
        <v>Main Processor CPU BGA</v>
      </c>
      <c r="N2593" s="17" t="n">
        <v>1</v>
      </c>
      <c r="O2593" s="17" t="str">
        <f aca="false">VLOOKUP(N2593,Sheet2!G:H,2,0)</f>
        <v>Dead</v>
      </c>
      <c r="P2593" s="17" t="n">
        <v>11</v>
      </c>
      <c r="Q2593" s="17" t="str">
        <f aca="false">VLOOKUP(P2593,Sheet2!J:K,2,0)</f>
        <v>IR Declared due to CID -TA</v>
      </c>
      <c r="R2593" s="17" t="s">
        <v>35</v>
      </c>
      <c r="S2593" s="17" t="str">
        <f aca="false">VLOOKUP(R2593,Sheet2!N:O,2,0)</f>
        <v>IREPARABLE</v>
      </c>
      <c r="T2593" s="18" t="str">
        <f aca="false">VLOOKUP(P2593,Sheet2!Q:R,2,0)</f>
        <v>IR Normal - Track burn out</v>
      </c>
      <c r="U2593" s="20" t="s">
        <v>41</v>
      </c>
      <c r="V2593" s="17"/>
      <c r="W2593" s="20" t="e">
        <f aca="false">VLOOKUP(V2593,Sheet2!Q:R,2,0)</f>
        <v>#N/A</v>
      </c>
      <c r="X2593" s="17" t="n">
        <f aca="false">J2593</f>
        <v>0</v>
      </c>
      <c r="Y2593" s="17" t="e">
        <f aca="false">VLOOKUP(X2593,Sheet2!A:B,2,0)</f>
        <v>#N/A</v>
      </c>
      <c r="Z2593" s="17"/>
      <c r="AA2593" s="17"/>
      <c r="AB2593" s="17" t="s">
        <v>41</v>
      </c>
      <c r="AC2593" s="0" t="str">
        <f aca="false">LEFT(G2593,2)</f>
        <v/>
      </c>
    </row>
    <row r="2594" customFormat="false" ht="15" hidden="false" customHeight="false" outlineLevel="0" collapsed="false">
      <c r="A2594" s="13" t="n">
        <f aca="false">1+A2593</f>
        <v>2592</v>
      </c>
      <c r="B2594" s="14" t="n">
        <v>100</v>
      </c>
      <c r="C2594" s="15"/>
      <c r="D2594" s="16" t="s">
        <v>64</v>
      </c>
      <c r="E2594" s="17" t="s">
        <v>47</v>
      </c>
      <c r="F2594" s="18" t="s">
        <v>34</v>
      </c>
      <c r="G2594" s="19"/>
      <c r="H2594" s="17" t="s">
        <v>35</v>
      </c>
      <c r="I2594" s="17" t="s">
        <v>44</v>
      </c>
      <c r="J2594" s="17"/>
      <c r="K2594" s="17" t="e">
        <f aca="false">VLOOKUP(J2594,Sheet2!A:B,2,0)</f>
        <v>#N/A</v>
      </c>
      <c r="L2594" s="17" t="n">
        <v>5</v>
      </c>
      <c r="M2594" s="17" t="str">
        <f aca="false">VLOOKUP(L2594,Sheet2!D:E,2,0)</f>
        <v>Main Processor CPU BGA</v>
      </c>
      <c r="N2594" s="17" t="n">
        <v>1</v>
      </c>
      <c r="O2594" s="17" t="str">
        <f aca="false">VLOOKUP(N2594,Sheet2!G:H,2,0)</f>
        <v>Dead</v>
      </c>
      <c r="P2594" s="17" t="n">
        <v>11</v>
      </c>
      <c r="Q2594" s="17" t="str">
        <f aca="false">VLOOKUP(P2594,Sheet2!J:K,2,0)</f>
        <v>IR Declared due to CID -TA</v>
      </c>
      <c r="R2594" s="17" t="s">
        <v>35</v>
      </c>
      <c r="S2594" s="17" t="str">
        <f aca="false">VLOOKUP(R2594,Sheet2!N:O,2,0)</f>
        <v>IREPARABLE</v>
      </c>
      <c r="T2594" s="18" t="str">
        <f aca="false">VLOOKUP(P2594,Sheet2!Q:R,2,0)</f>
        <v>IR Normal - Track burn out</v>
      </c>
      <c r="U2594" s="20" t="s">
        <v>41</v>
      </c>
      <c r="V2594" s="17"/>
      <c r="W2594" s="20" t="e">
        <f aca="false">VLOOKUP(V2594,Sheet2!Q:R,2,0)</f>
        <v>#N/A</v>
      </c>
      <c r="X2594" s="17" t="n">
        <f aca="false">J2594</f>
        <v>0</v>
      </c>
      <c r="Y2594" s="17" t="e">
        <f aca="false">VLOOKUP(X2594,Sheet2!A:B,2,0)</f>
        <v>#N/A</v>
      </c>
      <c r="Z2594" s="17"/>
      <c r="AA2594" s="17"/>
      <c r="AB2594" s="17" t="s">
        <v>41</v>
      </c>
      <c r="AC2594" s="0" t="str">
        <f aca="false">LEFT(G2594,2)</f>
        <v/>
      </c>
    </row>
    <row r="2595" customFormat="false" ht="15" hidden="false" customHeight="false" outlineLevel="0" collapsed="false">
      <c r="A2595" s="13" t="n">
        <f aca="false">1+A2594</f>
        <v>2593</v>
      </c>
      <c r="B2595" s="14" t="n">
        <v>100</v>
      </c>
      <c r="C2595" s="15"/>
      <c r="D2595" s="16" t="s">
        <v>64</v>
      </c>
      <c r="E2595" s="17" t="s">
        <v>47</v>
      </c>
      <c r="F2595" s="18" t="s">
        <v>34</v>
      </c>
      <c r="G2595" s="19"/>
      <c r="H2595" s="17" t="s">
        <v>35</v>
      </c>
      <c r="I2595" s="17" t="s">
        <v>44</v>
      </c>
      <c r="J2595" s="17"/>
      <c r="K2595" s="17" t="e">
        <f aca="false">VLOOKUP(J2595,Sheet2!A:B,2,0)</f>
        <v>#N/A</v>
      </c>
      <c r="L2595" s="17" t="n">
        <v>5</v>
      </c>
      <c r="M2595" s="17" t="str">
        <f aca="false">VLOOKUP(L2595,Sheet2!D:E,2,0)</f>
        <v>Main Processor CPU BGA</v>
      </c>
      <c r="N2595" s="17" t="n">
        <v>1</v>
      </c>
      <c r="O2595" s="17" t="str">
        <f aca="false">VLOOKUP(N2595,Sheet2!G:H,2,0)</f>
        <v>Dead</v>
      </c>
      <c r="P2595" s="17" t="n">
        <v>11</v>
      </c>
      <c r="Q2595" s="17" t="str">
        <f aca="false">VLOOKUP(P2595,Sheet2!J:K,2,0)</f>
        <v>IR Declared due to CID -TA</v>
      </c>
      <c r="R2595" s="17" t="s">
        <v>35</v>
      </c>
      <c r="S2595" s="17" t="str">
        <f aca="false">VLOOKUP(R2595,Sheet2!N:O,2,0)</f>
        <v>IREPARABLE</v>
      </c>
      <c r="T2595" s="18" t="str">
        <f aca="false">VLOOKUP(P2595,Sheet2!Q:R,2,0)</f>
        <v>IR Normal - Track burn out</v>
      </c>
      <c r="U2595" s="20" t="s">
        <v>41</v>
      </c>
      <c r="V2595" s="17"/>
      <c r="W2595" s="20" t="e">
        <f aca="false">VLOOKUP(V2595,Sheet2!Q:R,2,0)</f>
        <v>#N/A</v>
      </c>
      <c r="X2595" s="17" t="n">
        <f aca="false">J2595</f>
        <v>0</v>
      </c>
      <c r="Y2595" s="17" t="e">
        <f aca="false">VLOOKUP(X2595,Sheet2!A:B,2,0)</f>
        <v>#N/A</v>
      </c>
      <c r="Z2595" s="17"/>
      <c r="AA2595" s="17"/>
      <c r="AB2595" s="17" t="s">
        <v>41</v>
      </c>
      <c r="AC2595" s="0" t="str">
        <f aca="false">LEFT(G2595,2)</f>
        <v/>
      </c>
    </row>
    <row r="2596" customFormat="false" ht="15" hidden="false" customHeight="false" outlineLevel="0" collapsed="false">
      <c r="A2596" s="13" t="n">
        <f aca="false">1+A2595</f>
        <v>2594</v>
      </c>
      <c r="B2596" s="14" t="n">
        <v>100</v>
      </c>
      <c r="C2596" s="15"/>
      <c r="D2596" s="16" t="s">
        <v>64</v>
      </c>
      <c r="E2596" s="17" t="s">
        <v>47</v>
      </c>
      <c r="F2596" s="18" t="s">
        <v>34</v>
      </c>
      <c r="G2596" s="19"/>
      <c r="H2596" s="17" t="s">
        <v>35</v>
      </c>
      <c r="I2596" s="17" t="s">
        <v>44</v>
      </c>
      <c r="J2596" s="17"/>
      <c r="K2596" s="17" t="e">
        <f aca="false">VLOOKUP(J2596,Sheet2!A:B,2,0)</f>
        <v>#N/A</v>
      </c>
      <c r="L2596" s="17" t="n">
        <v>5</v>
      </c>
      <c r="M2596" s="17" t="str">
        <f aca="false">VLOOKUP(L2596,Sheet2!D:E,2,0)</f>
        <v>Main Processor CPU BGA</v>
      </c>
      <c r="N2596" s="17" t="n">
        <v>1</v>
      </c>
      <c r="O2596" s="17" t="str">
        <f aca="false">VLOOKUP(N2596,Sheet2!G:H,2,0)</f>
        <v>Dead</v>
      </c>
      <c r="P2596" s="17" t="n">
        <v>11</v>
      </c>
      <c r="Q2596" s="17" t="str">
        <f aca="false">VLOOKUP(P2596,Sheet2!J:K,2,0)</f>
        <v>IR Declared due to CID -TA</v>
      </c>
      <c r="R2596" s="17" t="s">
        <v>35</v>
      </c>
      <c r="S2596" s="17" t="str">
        <f aca="false">VLOOKUP(R2596,Sheet2!N:O,2,0)</f>
        <v>IREPARABLE</v>
      </c>
      <c r="T2596" s="18" t="str">
        <f aca="false">VLOOKUP(P2596,Sheet2!Q:R,2,0)</f>
        <v>IR Normal - Track burn out</v>
      </c>
      <c r="U2596" s="20" t="s">
        <v>41</v>
      </c>
      <c r="V2596" s="17"/>
      <c r="W2596" s="20" t="e">
        <f aca="false">VLOOKUP(V2596,Sheet2!Q:R,2,0)</f>
        <v>#N/A</v>
      </c>
      <c r="X2596" s="17" t="n">
        <f aca="false">J2596</f>
        <v>0</v>
      </c>
      <c r="Y2596" s="17" t="e">
        <f aca="false">VLOOKUP(X2596,Sheet2!A:B,2,0)</f>
        <v>#N/A</v>
      </c>
      <c r="Z2596" s="17"/>
      <c r="AA2596" s="17"/>
      <c r="AB2596" s="17" t="s">
        <v>41</v>
      </c>
      <c r="AC2596" s="0" t="str">
        <f aca="false">LEFT(G2596,2)</f>
        <v/>
      </c>
    </row>
    <row r="2597" customFormat="false" ht="15" hidden="false" customHeight="false" outlineLevel="0" collapsed="false">
      <c r="A2597" s="13" t="n">
        <f aca="false">1+A2596</f>
        <v>2595</v>
      </c>
      <c r="B2597" s="14" t="n">
        <v>100</v>
      </c>
      <c r="C2597" s="15"/>
      <c r="D2597" s="16" t="s">
        <v>64</v>
      </c>
      <c r="E2597" s="17" t="s">
        <v>47</v>
      </c>
      <c r="F2597" s="18" t="s">
        <v>34</v>
      </c>
      <c r="G2597" s="19"/>
      <c r="H2597" s="17" t="s">
        <v>35</v>
      </c>
      <c r="I2597" s="17" t="s">
        <v>44</v>
      </c>
      <c r="J2597" s="17"/>
      <c r="K2597" s="17" t="e">
        <f aca="false">VLOOKUP(J2597,Sheet2!A:B,2,0)</f>
        <v>#N/A</v>
      </c>
      <c r="L2597" s="17" t="n">
        <v>5</v>
      </c>
      <c r="M2597" s="17" t="str">
        <f aca="false">VLOOKUP(L2597,Sheet2!D:E,2,0)</f>
        <v>Main Processor CPU BGA</v>
      </c>
      <c r="N2597" s="17" t="n">
        <v>1</v>
      </c>
      <c r="O2597" s="17" t="str">
        <f aca="false">VLOOKUP(N2597,Sheet2!G:H,2,0)</f>
        <v>Dead</v>
      </c>
      <c r="P2597" s="17" t="n">
        <v>11</v>
      </c>
      <c r="Q2597" s="17" t="str">
        <f aca="false">VLOOKUP(P2597,Sheet2!J:K,2,0)</f>
        <v>IR Declared due to CID -TA</v>
      </c>
      <c r="R2597" s="17" t="s">
        <v>35</v>
      </c>
      <c r="S2597" s="17" t="str">
        <f aca="false">VLOOKUP(R2597,Sheet2!N:O,2,0)</f>
        <v>IREPARABLE</v>
      </c>
      <c r="T2597" s="18" t="str">
        <f aca="false">VLOOKUP(P2597,Sheet2!Q:R,2,0)</f>
        <v>IR Normal - Track burn out</v>
      </c>
      <c r="U2597" s="20" t="s">
        <v>41</v>
      </c>
      <c r="V2597" s="17"/>
      <c r="W2597" s="20" t="e">
        <f aca="false">VLOOKUP(V2597,Sheet2!Q:R,2,0)</f>
        <v>#N/A</v>
      </c>
      <c r="X2597" s="17" t="n">
        <f aca="false">J2597</f>
        <v>0</v>
      </c>
      <c r="Y2597" s="17" t="e">
        <f aca="false">VLOOKUP(X2597,Sheet2!A:B,2,0)</f>
        <v>#N/A</v>
      </c>
      <c r="Z2597" s="17"/>
      <c r="AA2597" s="17"/>
      <c r="AB2597" s="17" t="s">
        <v>41</v>
      </c>
      <c r="AC2597" s="0" t="str">
        <f aca="false">LEFT(G2597,2)</f>
        <v/>
      </c>
    </row>
    <row r="2598" customFormat="false" ht="15" hidden="false" customHeight="false" outlineLevel="0" collapsed="false">
      <c r="A2598" s="13" t="n">
        <f aca="false">1+A2597</f>
        <v>2596</v>
      </c>
      <c r="B2598" s="14" t="n">
        <v>100</v>
      </c>
      <c r="C2598" s="15"/>
      <c r="D2598" s="16" t="s">
        <v>64</v>
      </c>
      <c r="E2598" s="17" t="s">
        <v>47</v>
      </c>
      <c r="F2598" s="18" t="s">
        <v>34</v>
      </c>
      <c r="G2598" s="19"/>
      <c r="H2598" s="17" t="s">
        <v>35</v>
      </c>
      <c r="I2598" s="17" t="s">
        <v>44</v>
      </c>
      <c r="J2598" s="17"/>
      <c r="K2598" s="17" t="e">
        <f aca="false">VLOOKUP(J2598,Sheet2!A:B,2,0)</f>
        <v>#N/A</v>
      </c>
      <c r="L2598" s="17" t="n">
        <v>5</v>
      </c>
      <c r="M2598" s="17" t="str">
        <f aca="false">VLOOKUP(L2598,Sheet2!D:E,2,0)</f>
        <v>Main Processor CPU BGA</v>
      </c>
      <c r="N2598" s="17" t="n">
        <v>1</v>
      </c>
      <c r="O2598" s="17" t="str">
        <f aca="false">VLOOKUP(N2598,Sheet2!G:H,2,0)</f>
        <v>Dead</v>
      </c>
      <c r="P2598" s="17" t="n">
        <v>11</v>
      </c>
      <c r="Q2598" s="17" t="str">
        <f aca="false">VLOOKUP(P2598,Sheet2!J:K,2,0)</f>
        <v>IR Declared due to CID -TA</v>
      </c>
      <c r="R2598" s="17" t="s">
        <v>35</v>
      </c>
      <c r="S2598" s="17" t="str">
        <f aca="false">VLOOKUP(R2598,Sheet2!N:O,2,0)</f>
        <v>IREPARABLE</v>
      </c>
      <c r="T2598" s="18" t="str">
        <f aca="false">VLOOKUP(P2598,Sheet2!Q:R,2,0)</f>
        <v>IR Normal - Track burn out</v>
      </c>
      <c r="U2598" s="20" t="s">
        <v>41</v>
      </c>
      <c r="V2598" s="17"/>
      <c r="W2598" s="20" t="e">
        <f aca="false">VLOOKUP(V2598,Sheet2!Q:R,2,0)</f>
        <v>#N/A</v>
      </c>
      <c r="X2598" s="17" t="n">
        <f aca="false">J2598</f>
        <v>0</v>
      </c>
      <c r="Y2598" s="17" t="e">
        <f aca="false">VLOOKUP(X2598,Sheet2!A:B,2,0)</f>
        <v>#N/A</v>
      </c>
      <c r="Z2598" s="17"/>
      <c r="AA2598" s="17"/>
      <c r="AB2598" s="17" t="s">
        <v>41</v>
      </c>
      <c r="AC2598" s="0" t="str">
        <f aca="false">LEFT(G2598,2)</f>
        <v/>
      </c>
    </row>
    <row r="2599" customFormat="false" ht="15" hidden="false" customHeight="false" outlineLevel="0" collapsed="false">
      <c r="A2599" s="13" t="n">
        <f aca="false">1+A2598</f>
        <v>2597</v>
      </c>
      <c r="B2599" s="14" t="n">
        <v>100</v>
      </c>
      <c r="C2599" s="15"/>
      <c r="D2599" s="16" t="s">
        <v>64</v>
      </c>
      <c r="E2599" s="17" t="s">
        <v>47</v>
      </c>
      <c r="F2599" s="18" t="s">
        <v>34</v>
      </c>
      <c r="G2599" s="19"/>
      <c r="H2599" s="17" t="s">
        <v>35</v>
      </c>
      <c r="I2599" s="17" t="s">
        <v>44</v>
      </c>
      <c r="J2599" s="17"/>
      <c r="K2599" s="17" t="e">
        <f aca="false">VLOOKUP(J2599,Sheet2!A:B,2,0)</f>
        <v>#N/A</v>
      </c>
      <c r="L2599" s="17" t="n">
        <v>5</v>
      </c>
      <c r="M2599" s="17" t="str">
        <f aca="false">VLOOKUP(L2599,Sheet2!D:E,2,0)</f>
        <v>Main Processor CPU BGA</v>
      </c>
      <c r="N2599" s="17" t="n">
        <v>1</v>
      </c>
      <c r="O2599" s="17" t="str">
        <f aca="false">VLOOKUP(N2599,Sheet2!G:H,2,0)</f>
        <v>Dead</v>
      </c>
      <c r="P2599" s="17" t="n">
        <v>11</v>
      </c>
      <c r="Q2599" s="17" t="str">
        <f aca="false">VLOOKUP(P2599,Sheet2!J:K,2,0)</f>
        <v>IR Declared due to CID -TA</v>
      </c>
      <c r="R2599" s="17" t="s">
        <v>35</v>
      </c>
      <c r="S2599" s="17" t="str">
        <f aca="false">VLOOKUP(R2599,Sheet2!N:O,2,0)</f>
        <v>IREPARABLE</v>
      </c>
      <c r="T2599" s="18" t="str">
        <f aca="false">VLOOKUP(P2599,Sheet2!Q:R,2,0)</f>
        <v>IR Normal - Track burn out</v>
      </c>
      <c r="U2599" s="20" t="s">
        <v>41</v>
      </c>
      <c r="V2599" s="17"/>
      <c r="W2599" s="20" t="e">
        <f aca="false">VLOOKUP(V2599,Sheet2!Q:R,2,0)</f>
        <v>#N/A</v>
      </c>
      <c r="X2599" s="17" t="n">
        <f aca="false">J2599</f>
        <v>0</v>
      </c>
      <c r="Y2599" s="17" t="e">
        <f aca="false">VLOOKUP(X2599,Sheet2!A:B,2,0)</f>
        <v>#N/A</v>
      </c>
      <c r="Z2599" s="17"/>
      <c r="AA2599" s="17"/>
      <c r="AB2599" s="17" t="s">
        <v>41</v>
      </c>
      <c r="AC2599" s="0" t="str">
        <f aca="false">LEFT(G2599,2)</f>
        <v/>
      </c>
    </row>
    <row r="2600" customFormat="false" ht="15" hidden="false" customHeight="false" outlineLevel="0" collapsed="false">
      <c r="A2600" s="13" t="n">
        <f aca="false">1+A2599</f>
        <v>2598</v>
      </c>
      <c r="B2600" s="14" t="n">
        <v>100</v>
      </c>
      <c r="C2600" s="15"/>
      <c r="D2600" s="16" t="s">
        <v>64</v>
      </c>
      <c r="E2600" s="17" t="s">
        <v>47</v>
      </c>
      <c r="F2600" s="18" t="s">
        <v>34</v>
      </c>
      <c r="G2600" s="19"/>
      <c r="H2600" s="17" t="s">
        <v>35</v>
      </c>
      <c r="I2600" s="17" t="s">
        <v>44</v>
      </c>
      <c r="J2600" s="17"/>
      <c r="K2600" s="17" t="e">
        <f aca="false">VLOOKUP(J2600,Sheet2!A:B,2,0)</f>
        <v>#N/A</v>
      </c>
      <c r="L2600" s="17" t="n">
        <v>5</v>
      </c>
      <c r="M2600" s="17" t="str">
        <f aca="false">VLOOKUP(L2600,Sheet2!D:E,2,0)</f>
        <v>Main Processor CPU BGA</v>
      </c>
      <c r="N2600" s="17" t="n">
        <v>1</v>
      </c>
      <c r="O2600" s="17" t="str">
        <f aca="false">VLOOKUP(N2600,Sheet2!G:H,2,0)</f>
        <v>Dead</v>
      </c>
      <c r="P2600" s="17" t="n">
        <v>11</v>
      </c>
      <c r="Q2600" s="17" t="str">
        <f aca="false">VLOOKUP(P2600,Sheet2!J:K,2,0)</f>
        <v>IR Declared due to CID -TA</v>
      </c>
      <c r="R2600" s="17" t="s">
        <v>35</v>
      </c>
      <c r="S2600" s="17" t="str">
        <f aca="false">VLOOKUP(R2600,Sheet2!N:O,2,0)</f>
        <v>IREPARABLE</v>
      </c>
      <c r="T2600" s="18" t="str">
        <f aca="false">VLOOKUP(P2600,Sheet2!Q:R,2,0)</f>
        <v>IR Normal - Track burn out</v>
      </c>
      <c r="U2600" s="20" t="s">
        <v>41</v>
      </c>
      <c r="V2600" s="17"/>
      <c r="W2600" s="20" t="e">
        <f aca="false">VLOOKUP(V2600,Sheet2!Q:R,2,0)</f>
        <v>#N/A</v>
      </c>
      <c r="X2600" s="17" t="n">
        <f aca="false">J2600</f>
        <v>0</v>
      </c>
      <c r="Y2600" s="17" t="e">
        <f aca="false">VLOOKUP(X2600,Sheet2!A:B,2,0)</f>
        <v>#N/A</v>
      </c>
      <c r="Z2600" s="17"/>
      <c r="AA2600" s="17"/>
      <c r="AB2600" s="17" t="s">
        <v>41</v>
      </c>
      <c r="AC2600" s="0" t="str">
        <f aca="false">LEFT(G2600,2)</f>
        <v/>
      </c>
    </row>
    <row r="2601" customFormat="false" ht="15" hidden="false" customHeight="false" outlineLevel="0" collapsed="false">
      <c r="A2601" s="13" t="n">
        <f aca="false">1+A2600</f>
        <v>2599</v>
      </c>
      <c r="B2601" s="14" t="n">
        <v>100</v>
      </c>
      <c r="C2601" s="15"/>
      <c r="D2601" s="16" t="s">
        <v>64</v>
      </c>
      <c r="E2601" s="17" t="s">
        <v>47</v>
      </c>
      <c r="F2601" s="18" t="s">
        <v>34</v>
      </c>
      <c r="G2601" s="19"/>
      <c r="H2601" s="17" t="s">
        <v>35</v>
      </c>
      <c r="I2601" s="17" t="s">
        <v>44</v>
      </c>
      <c r="J2601" s="17"/>
      <c r="K2601" s="17" t="e">
        <f aca="false">VLOOKUP(J2601,Sheet2!A:B,2,0)</f>
        <v>#N/A</v>
      </c>
      <c r="L2601" s="17" t="n">
        <v>5</v>
      </c>
      <c r="M2601" s="17" t="str">
        <f aca="false">VLOOKUP(L2601,Sheet2!D:E,2,0)</f>
        <v>Main Processor CPU BGA</v>
      </c>
      <c r="N2601" s="17" t="n">
        <v>1</v>
      </c>
      <c r="O2601" s="17" t="str">
        <f aca="false">VLOOKUP(N2601,Sheet2!G:H,2,0)</f>
        <v>Dead</v>
      </c>
      <c r="P2601" s="17" t="n">
        <v>11</v>
      </c>
      <c r="Q2601" s="17" t="str">
        <f aca="false">VLOOKUP(P2601,Sheet2!J:K,2,0)</f>
        <v>IR Declared due to CID -TA</v>
      </c>
      <c r="R2601" s="17" t="s">
        <v>35</v>
      </c>
      <c r="S2601" s="17" t="str">
        <f aca="false">VLOOKUP(R2601,Sheet2!N:O,2,0)</f>
        <v>IREPARABLE</v>
      </c>
      <c r="T2601" s="18" t="str">
        <f aca="false">VLOOKUP(P2601,Sheet2!Q:R,2,0)</f>
        <v>IR Normal - Track burn out</v>
      </c>
      <c r="U2601" s="20" t="s">
        <v>41</v>
      </c>
      <c r="V2601" s="17"/>
      <c r="W2601" s="20" t="e">
        <f aca="false">VLOOKUP(V2601,Sheet2!Q:R,2,0)</f>
        <v>#N/A</v>
      </c>
      <c r="X2601" s="17" t="n">
        <f aca="false">J2601</f>
        <v>0</v>
      </c>
      <c r="Y2601" s="17" t="e">
        <f aca="false">VLOOKUP(X2601,Sheet2!A:B,2,0)</f>
        <v>#N/A</v>
      </c>
      <c r="Z2601" s="17"/>
      <c r="AA2601" s="17"/>
      <c r="AB2601" s="17" t="s">
        <v>41</v>
      </c>
      <c r="AC2601" s="0" t="str">
        <f aca="false">LEFT(G2601,2)</f>
        <v/>
      </c>
    </row>
    <row r="2602" customFormat="false" ht="15" hidden="false" customHeight="false" outlineLevel="0" collapsed="false">
      <c r="A2602" s="13" t="n">
        <f aca="false">1+A2601</f>
        <v>2600</v>
      </c>
      <c r="B2602" s="14" t="n">
        <v>100</v>
      </c>
      <c r="C2602" s="15"/>
      <c r="D2602" s="16" t="s">
        <v>64</v>
      </c>
      <c r="E2602" s="17" t="s">
        <v>47</v>
      </c>
      <c r="F2602" s="18" t="s">
        <v>34</v>
      </c>
      <c r="G2602" s="19"/>
      <c r="H2602" s="17" t="s">
        <v>35</v>
      </c>
      <c r="I2602" s="17" t="s">
        <v>44</v>
      </c>
      <c r="J2602" s="17"/>
      <c r="K2602" s="17" t="e">
        <f aca="false">VLOOKUP(J2602,Sheet2!A:B,2,0)</f>
        <v>#N/A</v>
      </c>
      <c r="L2602" s="17" t="n">
        <v>5</v>
      </c>
      <c r="M2602" s="17" t="str">
        <f aca="false">VLOOKUP(L2602,Sheet2!D:E,2,0)</f>
        <v>Main Processor CPU BGA</v>
      </c>
      <c r="N2602" s="17" t="n">
        <v>1</v>
      </c>
      <c r="O2602" s="17" t="str">
        <f aca="false">VLOOKUP(N2602,Sheet2!G:H,2,0)</f>
        <v>Dead</v>
      </c>
      <c r="P2602" s="17" t="n">
        <v>11</v>
      </c>
      <c r="Q2602" s="17" t="str">
        <f aca="false">VLOOKUP(P2602,Sheet2!J:K,2,0)</f>
        <v>IR Declared due to CID -TA</v>
      </c>
      <c r="R2602" s="17" t="s">
        <v>35</v>
      </c>
      <c r="S2602" s="17" t="str">
        <f aca="false">VLOOKUP(R2602,Sheet2!N:O,2,0)</f>
        <v>IREPARABLE</v>
      </c>
      <c r="T2602" s="18" t="str">
        <f aca="false">VLOOKUP(P2602,Sheet2!Q:R,2,0)</f>
        <v>IR Normal - Track burn out</v>
      </c>
      <c r="U2602" s="20" t="s">
        <v>41</v>
      </c>
      <c r="V2602" s="17"/>
      <c r="W2602" s="20" t="e">
        <f aca="false">VLOOKUP(V2602,Sheet2!Q:R,2,0)</f>
        <v>#N/A</v>
      </c>
      <c r="X2602" s="17" t="n">
        <f aca="false">J2602</f>
        <v>0</v>
      </c>
      <c r="Y2602" s="17" t="e">
        <f aca="false">VLOOKUP(X2602,Sheet2!A:B,2,0)</f>
        <v>#N/A</v>
      </c>
      <c r="Z2602" s="17"/>
      <c r="AA2602" s="17"/>
      <c r="AB2602" s="17" t="s">
        <v>41</v>
      </c>
      <c r="AC2602" s="0" t="str">
        <f aca="false">LEFT(G2602,2)</f>
        <v/>
      </c>
    </row>
    <row r="2603" customFormat="false" ht="15" hidden="false" customHeight="false" outlineLevel="0" collapsed="false">
      <c r="A2603" s="13" t="n">
        <f aca="false">1+A2602</f>
        <v>2601</v>
      </c>
      <c r="B2603" s="14" t="n">
        <v>100</v>
      </c>
      <c r="C2603" s="15"/>
      <c r="D2603" s="16" t="s">
        <v>64</v>
      </c>
      <c r="E2603" s="17" t="s">
        <v>47</v>
      </c>
      <c r="F2603" s="18" t="s">
        <v>34</v>
      </c>
      <c r="G2603" s="19"/>
      <c r="H2603" s="17" t="s">
        <v>35</v>
      </c>
      <c r="I2603" s="17" t="s">
        <v>44</v>
      </c>
      <c r="J2603" s="17"/>
      <c r="K2603" s="17" t="e">
        <f aca="false">VLOOKUP(J2603,Sheet2!A:B,2,0)</f>
        <v>#N/A</v>
      </c>
      <c r="L2603" s="17" t="n">
        <v>5</v>
      </c>
      <c r="M2603" s="17" t="str">
        <f aca="false">VLOOKUP(L2603,Sheet2!D:E,2,0)</f>
        <v>Main Processor CPU BGA</v>
      </c>
      <c r="N2603" s="17" t="n">
        <v>1</v>
      </c>
      <c r="O2603" s="17" t="str">
        <f aca="false">VLOOKUP(N2603,Sheet2!G:H,2,0)</f>
        <v>Dead</v>
      </c>
      <c r="P2603" s="17" t="n">
        <v>11</v>
      </c>
      <c r="Q2603" s="17" t="str">
        <f aca="false">VLOOKUP(P2603,Sheet2!J:K,2,0)</f>
        <v>IR Declared due to CID -TA</v>
      </c>
      <c r="R2603" s="17" t="s">
        <v>35</v>
      </c>
      <c r="S2603" s="17" t="str">
        <f aca="false">VLOOKUP(R2603,Sheet2!N:O,2,0)</f>
        <v>IREPARABLE</v>
      </c>
      <c r="T2603" s="18" t="str">
        <f aca="false">VLOOKUP(P2603,Sheet2!Q:R,2,0)</f>
        <v>IR Normal - Track burn out</v>
      </c>
      <c r="U2603" s="20" t="s">
        <v>41</v>
      </c>
      <c r="V2603" s="17"/>
      <c r="W2603" s="20" t="e">
        <f aca="false">VLOOKUP(V2603,Sheet2!Q:R,2,0)</f>
        <v>#N/A</v>
      </c>
      <c r="X2603" s="17" t="n">
        <f aca="false">J2603</f>
        <v>0</v>
      </c>
      <c r="Y2603" s="17" t="e">
        <f aca="false">VLOOKUP(X2603,Sheet2!A:B,2,0)</f>
        <v>#N/A</v>
      </c>
      <c r="Z2603" s="17"/>
      <c r="AA2603" s="17"/>
      <c r="AB2603" s="17" t="s">
        <v>41</v>
      </c>
      <c r="AC2603" s="0" t="str">
        <f aca="false">LEFT(G2603,2)</f>
        <v/>
      </c>
    </row>
    <row r="2604" customFormat="false" ht="15" hidden="false" customHeight="false" outlineLevel="0" collapsed="false">
      <c r="A2604" s="13" t="n">
        <f aca="false">1+A2603</f>
        <v>2602</v>
      </c>
      <c r="B2604" s="14" t="n">
        <v>100</v>
      </c>
      <c r="C2604" s="15"/>
      <c r="D2604" s="16" t="s">
        <v>64</v>
      </c>
      <c r="E2604" s="17" t="s">
        <v>47</v>
      </c>
      <c r="F2604" s="18" t="s">
        <v>34</v>
      </c>
      <c r="G2604" s="19"/>
      <c r="H2604" s="17" t="s">
        <v>35</v>
      </c>
      <c r="I2604" s="17" t="s">
        <v>44</v>
      </c>
      <c r="J2604" s="17"/>
      <c r="K2604" s="17" t="e">
        <f aca="false">VLOOKUP(J2604,Sheet2!A:B,2,0)</f>
        <v>#N/A</v>
      </c>
      <c r="L2604" s="17" t="n">
        <v>5</v>
      </c>
      <c r="M2604" s="17" t="str">
        <f aca="false">VLOOKUP(L2604,Sheet2!D:E,2,0)</f>
        <v>Main Processor CPU BGA</v>
      </c>
      <c r="N2604" s="17" t="n">
        <v>1</v>
      </c>
      <c r="O2604" s="17" t="str">
        <f aca="false">VLOOKUP(N2604,Sheet2!G:H,2,0)</f>
        <v>Dead</v>
      </c>
      <c r="P2604" s="17" t="n">
        <v>11</v>
      </c>
      <c r="Q2604" s="17" t="str">
        <f aca="false">VLOOKUP(P2604,Sheet2!J:K,2,0)</f>
        <v>IR Declared due to CID -TA</v>
      </c>
      <c r="R2604" s="17" t="s">
        <v>35</v>
      </c>
      <c r="S2604" s="17" t="str">
        <f aca="false">VLOOKUP(R2604,Sheet2!N:O,2,0)</f>
        <v>IREPARABLE</v>
      </c>
      <c r="T2604" s="18" t="str">
        <f aca="false">VLOOKUP(P2604,Sheet2!Q:R,2,0)</f>
        <v>IR Normal - Track burn out</v>
      </c>
      <c r="U2604" s="20" t="s">
        <v>41</v>
      </c>
      <c r="V2604" s="17"/>
      <c r="W2604" s="20" t="e">
        <f aca="false">VLOOKUP(V2604,Sheet2!Q:R,2,0)</f>
        <v>#N/A</v>
      </c>
      <c r="X2604" s="17" t="n">
        <f aca="false">J2604</f>
        <v>0</v>
      </c>
      <c r="Y2604" s="17" t="e">
        <f aca="false">VLOOKUP(X2604,Sheet2!A:B,2,0)</f>
        <v>#N/A</v>
      </c>
      <c r="Z2604" s="17"/>
      <c r="AA2604" s="17"/>
      <c r="AB2604" s="17" t="s">
        <v>41</v>
      </c>
      <c r="AC2604" s="0" t="str">
        <f aca="false">LEFT(G2604,2)</f>
        <v/>
      </c>
    </row>
    <row r="2605" customFormat="false" ht="15" hidden="false" customHeight="false" outlineLevel="0" collapsed="false">
      <c r="A2605" s="13" t="n">
        <f aca="false">1+A2604</f>
        <v>2603</v>
      </c>
      <c r="B2605" s="14" t="n">
        <v>100</v>
      </c>
      <c r="C2605" s="15"/>
      <c r="D2605" s="16" t="s">
        <v>64</v>
      </c>
      <c r="E2605" s="17" t="s">
        <v>47</v>
      </c>
      <c r="F2605" s="18" t="s">
        <v>34</v>
      </c>
      <c r="G2605" s="19"/>
      <c r="H2605" s="17" t="s">
        <v>35</v>
      </c>
      <c r="I2605" s="17" t="s">
        <v>44</v>
      </c>
      <c r="J2605" s="17"/>
      <c r="K2605" s="17" t="e">
        <f aca="false">VLOOKUP(J2605,Sheet2!A:B,2,0)</f>
        <v>#N/A</v>
      </c>
      <c r="L2605" s="17" t="n">
        <v>5</v>
      </c>
      <c r="M2605" s="17" t="str">
        <f aca="false">VLOOKUP(L2605,Sheet2!D:E,2,0)</f>
        <v>Main Processor CPU BGA</v>
      </c>
      <c r="N2605" s="17" t="n">
        <v>1</v>
      </c>
      <c r="O2605" s="17" t="str">
        <f aca="false">VLOOKUP(N2605,Sheet2!G:H,2,0)</f>
        <v>Dead</v>
      </c>
      <c r="P2605" s="17" t="n">
        <v>11</v>
      </c>
      <c r="Q2605" s="17" t="str">
        <f aca="false">VLOOKUP(P2605,Sheet2!J:K,2,0)</f>
        <v>IR Declared due to CID -TA</v>
      </c>
      <c r="R2605" s="17" t="s">
        <v>35</v>
      </c>
      <c r="S2605" s="17" t="str">
        <f aca="false">VLOOKUP(R2605,Sheet2!N:O,2,0)</f>
        <v>IREPARABLE</v>
      </c>
      <c r="T2605" s="18" t="str">
        <f aca="false">VLOOKUP(P2605,Sheet2!Q:R,2,0)</f>
        <v>IR Normal - Track burn out</v>
      </c>
      <c r="U2605" s="20" t="s">
        <v>41</v>
      </c>
      <c r="V2605" s="17"/>
      <c r="W2605" s="20" t="e">
        <f aca="false">VLOOKUP(V2605,Sheet2!Q:R,2,0)</f>
        <v>#N/A</v>
      </c>
      <c r="X2605" s="17" t="n">
        <f aca="false">J2605</f>
        <v>0</v>
      </c>
      <c r="Y2605" s="17" t="e">
        <f aca="false">VLOOKUP(X2605,Sheet2!A:B,2,0)</f>
        <v>#N/A</v>
      </c>
      <c r="Z2605" s="17"/>
      <c r="AA2605" s="17"/>
      <c r="AB2605" s="17" t="s">
        <v>41</v>
      </c>
      <c r="AC2605" s="0" t="str">
        <f aca="false">LEFT(G2605,2)</f>
        <v/>
      </c>
    </row>
    <row r="2606" customFormat="false" ht="15" hidden="false" customHeight="false" outlineLevel="0" collapsed="false">
      <c r="A2606" s="13" t="n">
        <f aca="false">1+A2605</f>
        <v>2604</v>
      </c>
      <c r="B2606" s="14" t="n">
        <v>100</v>
      </c>
      <c r="C2606" s="15"/>
      <c r="D2606" s="16" t="s">
        <v>64</v>
      </c>
      <c r="E2606" s="17" t="s">
        <v>47</v>
      </c>
      <c r="F2606" s="18" t="s">
        <v>34</v>
      </c>
      <c r="G2606" s="19"/>
      <c r="H2606" s="17" t="s">
        <v>35</v>
      </c>
      <c r="I2606" s="17" t="s">
        <v>44</v>
      </c>
      <c r="J2606" s="17"/>
      <c r="K2606" s="17" t="e">
        <f aca="false">VLOOKUP(J2606,Sheet2!A:B,2,0)</f>
        <v>#N/A</v>
      </c>
      <c r="L2606" s="17" t="n">
        <v>5</v>
      </c>
      <c r="M2606" s="17" t="str">
        <f aca="false">VLOOKUP(L2606,Sheet2!D:E,2,0)</f>
        <v>Main Processor CPU BGA</v>
      </c>
      <c r="N2606" s="17" t="n">
        <v>1</v>
      </c>
      <c r="O2606" s="17" t="str">
        <f aca="false">VLOOKUP(N2606,Sheet2!G:H,2,0)</f>
        <v>Dead</v>
      </c>
      <c r="P2606" s="17" t="n">
        <v>11</v>
      </c>
      <c r="Q2606" s="17" t="str">
        <f aca="false">VLOOKUP(P2606,Sheet2!J:K,2,0)</f>
        <v>IR Declared due to CID -TA</v>
      </c>
      <c r="R2606" s="17" t="s">
        <v>35</v>
      </c>
      <c r="S2606" s="17" t="str">
        <f aca="false">VLOOKUP(R2606,Sheet2!N:O,2,0)</f>
        <v>IREPARABLE</v>
      </c>
      <c r="T2606" s="18" t="str">
        <f aca="false">VLOOKUP(P2606,Sheet2!Q:R,2,0)</f>
        <v>IR Normal - Track burn out</v>
      </c>
      <c r="U2606" s="20" t="s">
        <v>41</v>
      </c>
      <c r="V2606" s="17"/>
      <c r="W2606" s="20" t="e">
        <f aca="false">VLOOKUP(V2606,Sheet2!Q:R,2,0)</f>
        <v>#N/A</v>
      </c>
      <c r="X2606" s="17" t="n">
        <f aca="false">J2606</f>
        <v>0</v>
      </c>
      <c r="Y2606" s="17" t="e">
        <f aca="false">VLOOKUP(X2606,Sheet2!A:B,2,0)</f>
        <v>#N/A</v>
      </c>
      <c r="Z2606" s="17"/>
      <c r="AA2606" s="17"/>
      <c r="AB2606" s="17" t="s">
        <v>41</v>
      </c>
      <c r="AC2606" s="0" t="str">
        <f aca="false">LEFT(G2606,2)</f>
        <v/>
      </c>
    </row>
    <row r="2607" customFormat="false" ht="15" hidden="false" customHeight="false" outlineLevel="0" collapsed="false">
      <c r="A2607" s="13" t="n">
        <f aca="false">1+A2606</f>
        <v>2605</v>
      </c>
      <c r="B2607" s="14" t="n">
        <v>100</v>
      </c>
      <c r="C2607" s="15"/>
      <c r="D2607" s="16" t="s">
        <v>64</v>
      </c>
      <c r="E2607" s="17" t="s">
        <v>47</v>
      </c>
      <c r="F2607" s="18" t="s">
        <v>34</v>
      </c>
      <c r="G2607" s="19"/>
      <c r="H2607" s="17" t="s">
        <v>35</v>
      </c>
      <c r="I2607" s="17" t="s">
        <v>44</v>
      </c>
      <c r="J2607" s="17"/>
      <c r="K2607" s="17" t="e">
        <f aca="false">VLOOKUP(J2607,Sheet2!A:B,2,0)</f>
        <v>#N/A</v>
      </c>
      <c r="L2607" s="17" t="n">
        <v>5</v>
      </c>
      <c r="M2607" s="17" t="str">
        <f aca="false">VLOOKUP(L2607,Sheet2!D:E,2,0)</f>
        <v>Main Processor CPU BGA</v>
      </c>
      <c r="N2607" s="17" t="n">
        <v>1</v>
      </c>
      <c r="O2607" s="17" t="str">
        <f aca="false">VLOOKUP(N2607,Sheet2!G:H,2,0)</f>
        <v>Dead</v>
      </c>
      <c r="P2607" s="17" t="n">
        <v>11</v>
      </c>
      <c r="Q2607" s="17" t="str">
        <f aca="false">VLOOKUP(P2607,Sheet2!J:K,2,0)</f>
        <v>IR Declared due to CID -TA</v>
      </c>
      <c r="R2607" s="17" t="s">
        <v>35</v>
      </c>
      <c r="S2607" s="17" t="str">
        <f aca="false">VLOOKUP(R2607,Sheet2!N:O,2,0)</f>
        <v>IREPARABLE</v>
      </c>
      <c r="T2607" s="18" t="str">
        <f aca="false">VLOOKUP(P2607,Sheet2!Q:R,2,0)</f>
        <v>IR Normal - Track burn out</v>
      </c>
      <c r="U2607" s="20" t="s">
        <v>41</v>
      </c>
      <c r="V2607" s="17"/>
      <c r="W2607" s="20" t="e">
        <f aca="false">VLOOKUP(V2607,Sheet2!Q:R,2,0)</f>
        <v>#N/A</v>
      </c>
      <c r="X2607" s="17" t="n">
        <f aca="false">J2607</f>
        <v>0</v>
      </c>
      <c r="Y2607" s="17" t="e">
        <f aca="false">VLOOKUP(X2607,Sheet2!A:B,2,0)</f>
        <v>#N/A</v>
      </c>
      <c r="Z2607" s="17"/>
      <c r="AA2607" s="17"/>
      <c r="AB2607" s="17" t="s">
        <v>41</v>
      </c>
      <c r="AC2607" s="0" t="str">
        <f aca="false">LEFT(G2607,2)</f>
        <v/>
      </c>
    </row>
    <row r="2608" customFormat="false" ht="15" hidden="false" customHeight="false" outlineLevel="0" collapsed="false">
      <c r="A2608" s="13" t="n">
        <f aca="false">1+A2607</f>
        <v>2606</v>
      </c>
      <c r="B2608" s="14" t="n">
        <v>100</v>
      </c>
      <c r="C2608" s="15"/>
      <c r="D2608" s="16" t="s">
        <v>64</v>
      </c>
      <c r="E2608" s="17" t="s">
        <v>47</v>
      </c>
      <c r="F2608" s="18" t="s">
        <v>34</v>
      </c>
      <c r="G2608" s="19"/>
      <c r="H2608" s="17" t="s">
        <v>35</v>
      </c>
      <c r="I2608" s="17" t="s">
        <v>44</v>
      </c>
      <c r="J2608" s="17"/>
      <c r="K2608" s="17" t="e">
        <f aca="false">VLOOKUP(J2608,Sheet2!A:B,2,0)</f>
        <v>#N/A</v>
      </c>
      <c r="L2608" s="17" t="n">
        <v>5</v>
      </c>
      <c r="M2608" s="17" t="str">
        <f aca="false">VLOOKUP(L2608,Sheet2!D:E,2,0)</f>
        <v>Main Processor CPU BGA</v>
      </c>
      <c r="N2608" s="17" t="n">
        <v>1</v>
      </c>
      <c r="O2608" s="17" t="str">
        <f aca="false">VLOOKUP(N2608,Sheet2!G:H,2,0)</f>
        <v>Dead</v>
      </c>
      <c r="P2608" s="17" t="n">
        <v>11</v>
      </c>
      <c r="Q2608" s="17" t="str">
        <f aca="false">VLOOKUP(P2608,Sheet2!J:K,2,0)</f>
        <v>IR Declared due to CID -TA</v>
      </c>
      <c r="R2608" s="17" t="s">
        <v>35</v>
      </c>
      <c r="S2608" s="17" t="str">
        <f aca="false">VLOOKUP(R2608,Sheet2!N:O,2,0)</f>
        <v>IREPARABLE</v>
      </c>
      <c r="T2608" s="18" t="str">
        <f aca="false">VLOOKUP(P2608,Sheet2!Q:R,2,0)</f>
        <v>IR Normal - Track burn out</v>
      </c>
      <c r="U2608" s="20" t="s">
        <v>41</v>
      </c>
      <c r="V2608" s="17"/>
      <c r="W2608" s="20" t="e">
        <f aca="false">VLOOKUP(V2608,Sheet2!Q:R,2,0)</f>
        <v>#N/A</v>
      </c>
      <c r="X2608" s="17" t="n">
        <f aca="false">J2608</f>
        <v>0</v>
      </c>
      <c r="Y2608" s="17" t="e">
        <f aca="false">VLOOKUP(X2608,Sheet2!A:B,2,0)</f>
        <v>#N/A</v>
      </c>
      <c r="Z2608" s="17"/>
      <c r="AA2608" s="17"/>
      <c r="AB2608" s="17" t="s">
        <v>41</v>
      </c>
      <c r="AC2608" s="0" t="str">
        <f aca="false">LEFT(G2608,2)</f>
        <v/>
      </c>
    </row>
    <row r="2609" customFormat="false" ht="15" hidden="false" customHeight="false" outlineLevel="0" collapsed="false">
      <c r="A2609" s="13" t="n">
        <f aca="false">1+A2608</f>
        <v>2607</v>
      </c>
      <c r="B2609" s="14" t="n">
        <v>100</v>
      </c>
      <c r="C2609" s="15"/>
      <c r="D2609" s="16" t="s">
        <v>64</v>
      </c>
      <c r="E2609" s="17" t="s">
        <v>47</v>
      </c>
      <c r="F2609" s="18" t="s">
        <v>34</v>
      </c>
      <c r="G2609" s="19"/>
      <c r="H2609" s="17" t="s">
        <v>35</v>
      </c>
      <c r="I2609" s="17" t="s">
        <v>44</v>
      </c>
      <c r="J2609" s="17"/>
      <c r="K2609" s="17" t="e">
        <f aca="false">VLOOKUP(J2609,Sheet2!A:B,2,0)</f>
        <v>#N/A</v>
      </c>
      <c r="L2609" s="17" t="n">
        <v>5</v>
      </c>
      <c r="M2609" s="17" t="str">
        <f aca="false">VLOOKUP(L2609,Sheet2!D:E,2,0)</f>
        <v>Main Processor CPU BGA</v>
      </c>
      <c r="N2609" s="17" t="n">
        <v>1</v>
      </c>
      <c r="O2609" s="17" t="str">
        <f aca="false">VLOOKUP(N2609,Sheet2!G:H,2,0)</f>
        <v>Dead</v>
      </c>
      <c r="P2609" s="17" t="n">
        <v>11</v>
      </c>
      <c r="Q2609" s="17" t="str">
        <f aca="false">VLOOKUP(P2609,Sheet2!J:K,2,0)</f>
        <v>IR Declared due to CID -TA</v>
      </c>
      <c r="R2609" s="17" t="s">
        <v>35</v>
      </c>
      <c r="S2609" s="17" t="str">
        <f aca="false">VLOOKUP(R2609,Sheet2!N:O,2,0)</f>
        <v>IREPARABLE</v>
      </c>
      <c r="T2609" s="18" t="str">
        <f aca="false">VLOOKUP(P2609,Sheet2!Q:R,2,0)</f>
        <v>IR Normal - Track burn out</v>
      </c>
      <c r="U2609" s="20" t="s">
        <v>41</v>
      </c>
      <c r="V2609" s="17"/>
      <c r="W2609" s="20" t="e">
        <f aca="false">VLOOKUP(V2609,Sheet2!Q:R,2,0)</f>
        <v>#N/A</v>
      </c>
      <c r="X2609" s="17" t="n">
        <f aca="false">J2609</f>
        <v>0</v>
      </c>
      <c r="Y2609" s="17" t="e">
        <f aca="false">VLOOKUP(X2609,Sheet2!A:B,2,0)</f>
        <v>#N/A</v>
      </c>
      <c r="Z2609" s="17"/>
      <c r="AA2609" s="17"/>
      <c r="AB2609" s="17" t="s">
        <v>41</v>
      </c>
      <c r="AC2609" s="0" t="str">
        <f aca="false">LEFT(G2609,2)</f>
        <v/>
      </c>
    </row>
    <row r="2610" customFormat="false" ht="15" hidden="false" customHeight="false" outlineLevel="0" collapsed="false">
      <c r="A2610" s="13" t="n">
        <f aca="false">1+A2609</f>
        <v>2608</v>
      </c>
      <c r="B2610" s="14" t="n">
        <v>100</v>
      </c>
      <c r="C2610" s="15"/>
      <c r="D2610" s="16" t="s">
        <v>64</v>
      </c>
      <c r="E2610" s="17" t="s">
        <v>47</v>
      </c>
      <c r="F2610" s="18" t="s">
        <v>34</v>
      </c>
      <c r="G2610" s="19"/>
      <c r="H2610" s="17" t="s">
        <v>35</v>
      </c>
      <c r="I2610" s="17" t="s">
        <v>44</v>
      </c>
      <c r="J2610" s="17"/>
      <c r="K2610" s="17" t="e">
        <f aca="false">VLOOKUP(J2610,Sheet2!A:B,2,0)</f>
        <v>#N/A</v>
      </c>
      <c r="L2610" s="17" t="n">
        <v>5</v>
      </c>
      <c r="M2610" s="17" t="str">
        <f aca="false">VLOOKUP(L2610,Sheet2!D:E,2,0)</f>
        <v>Main Processor CPU BGA</v>
      </c>
      <c r="N2610" s="17" t="n">
        <v>1</v>
      </c>
      <c r="O2610" s="17" t="str">
        <f aca="false">VLOOKUP(N2610,Sheet2!G:H,2,0)</f>
        <v>Dead</v>
      </c>
      <c r="P2610" s="17" t="n">
        <v>11</v>
      </c>
      <c r="Q2610" s="17" t="str">
        <f aca="false">VLOOKUP(P2610,Sheet2!J:K,2,0)</f>
        <v>IR Declared due to CID -TA</v>
      </c>
      <c r="R2610" s="17" t="s">
        <v>35</v>
      </c>
      <c r="S2610" s="17" t="str">
        <f aca="false">VLOOKUP(R2610,Sheet2!N:O,2,0)</f>
        <v>IREPARABLE</v>
      </c>
      <c r="T2610" s="18" t="str">
        <f aca="false">VLOOKUP(P2610,Sheet2!Q:R,2,0)</f>
        <v>IR Normal - Track burn out</v>
      </c>
      <c r="U2610" s="20" t="s">
        <v>41</v>
      </c>
      <c r="V2610" s="17"/>
      <c r="W2610" s="20" t="e">
        <f aca="false">VLOOKUP(V2610,Sheet2!Q:R,2,0)</f>
        <v>#N/A</v>
      </c>
      <c r="X2610" s="17" t="n">
        <f aca="false">J2610</f>
        <v>0</v>
      </c>
      <c r="Y2610" s="17" t="e">
        <f aca="false">VLOOKUP(X2610,Sheet2!A:B,2,0)</f>
        <v>#N/A</v>
      </c>
      <c r="Z2610" s="17"/>
      <c r="AA2610" s="17"/>
      <c r="AB2610" s="17" t="s">
        <v>41</v>
      </c>
      <c r="AC2610" s="0" t="str">
        <f aca="false">LEFT(G2610,2)</f>
        <v/>
      </c>
    </row>
    <row r="2611" customFormat="false" ht="15" hidden="false" customHeight="false" outlineLevel="0" collapsed="false">
      <c r="A2611" s="13" t="n">
        <f aca="false">1+A2610</f>
        <v>2609</v>
      </c>
      <c r="B2611" s="14" t="n">
        <v>100</v>
      </c>
      <c r="C2611" s="15"/>
      <c r="D2611" s="16" t="s">
        <v>64</v>
      </c>
      <c r="E2611" s="17" t="s">
        <v>47</v>
      </c>
      <c r="F2611" s="18" t="s">
        <v>34</v>
      </c>
      <c r="G2611" s="19"/>
      <c r="H2611" s="17" t="s">
        <v>35</v>
      </c>
      <c r="I2611" s="17" t="s">
        <v>44</v>
      </c>
      <c r="J2611" s="17"/>
      <c r="K2611" s="17" t="e">
        <f aca="false">VLOOKUP(J2611,Sheet2!A:B,2,0)</f>
        <v>#N/A</v>
      </c>
      <c r="L2611" s="17" t="n">
        <v>5</v>
      </c>
      <c r="M2611" s="17" t="str">
        <f aca="false">VLOOKUP(L2611,Sheet2!D:E,2,0)</f>
        <v>Main Processor CPU BGA</v>
      </c>
      <c r="N2611" s="17" t="n">
        <v>1</v>
      </c>
      <c r="O2611" s="17" t="str">
        <f aca="false">VLOOKUP(N2611,Sheet2!G:H,2,0)</f>
        <v>Dead</v>
      </c>
      <c r="P2611" s="17" t="n">
        <v>11</v>
      </c>
      <c r="Q2611" s="17" t="str">
        <f aca="false">VLOOKUP(P2611,Sheet2!J:K,2,0)</f>
        <v>IR Declared due to CID -TA</v>
      </c>
      <c r="R2611" s="17" t="s">
        <v>35</v>
      </c>
      <c r="S2611" s="17" t="str">
        <f aca="false">VLOOKUP(R2611,Sheet2!N:O,2,0)</f>
        <v>IREPARABLE</v>
      </c>
      <c r="T2611" s="18" t="str">
        <f aca="false">VLOOKUP(P2611,Sheet2!Q:R,2,0)</f>
        <v>IR Normal - Track burn out</v>
      </c>
      <c r="U2611" s="20" t="s">
        <v>41</v>
      </c>
      <c r="V2611" s="17"/>
      <c r="W2611" s="20" t="e">
        <f aca="false">VLOOKUP(V2611,Sheet2!Q:R,2,0)</f>
        <v>#N/A</v>
      </c>
      <c r="X2611" s="17" t="n">
        <f aca="false">J2611</f>
        <v>0</v>
      </c>
      <c r="Y2611" s="17" t="e">
        <f aca="false">VLOOKUP(X2611,Sheet2!A:B,2,0)</f>
        <v>#N/A</v>
      </c>
      <c r="Z2611" s="17"/>
      <c r="AA2611" s="17"/>
      <c r="AB2611" s="17" t="s">
        <v>41</v>
      </c>
      <c r="AC2611" s="0" t="str">
        <f aca="false">LEFT(G2611,2)</f>
        <v/>
      </c>
    </row>
    <row r="2612" customFormat="false" ht="15" hidden="false" customHeight="false" outlineLevel="0" collapsed="false">
      <c r="A2612" s="13" t="n">
        <f aca="false">1+A2611</f>
        <v>2610</v>
      </c>
      <c r="B2612" s="14" t="n">
        <v>100</v>
      </c>
      <c r="C2612" s="15"/>
      <c r="D2612" s="16" t="s">
        <v>64</v>
      </c>
      <c r="E2612" s="17" t="s">
        <v>47</v>
      </c>
      <c r="F2612" s="18" t="s">
        <v>34</v>
      </c>
      <c r="G2612" s="19"/>
      <c r="H2612" s="17" t="s">
        <v>35</v>
      </c>
      <c r="I2612" s="17" t="s">
        <v>44</v>
      </c>
      <c r="J2612" s="17"/>
      <c r="K2612" s="17" t="e">
        <f aca="false">VLOOKUP(J2612,Sheet2!A:B,2,0)</f>
        <v>#N/A</v>
      </c>
      <c r="L2612" s="17" t="n">
        <v>5</v>
      </c>
      <c r="M2612" s="17" t="str">
        <f aca="false">VLOOKUP(L2612,Sheet2!D:E,2,0)</f>
        <v>Main Processor CPU BGA</v>
      </c>
      <c r="N2612" s="17" t="n">
        <v>1</v>
      </c>
      <c r="O2612" s="17" t="str">
        <f aca="false">VLOOKUP(N2612,Sheet2!G:H,2,0)</f>
        <v>Dead</v>
      </c>
      <c r="P2612" s="17" t="n">
        <v>11</v>
      </c>
      <c r="Q2612" s="17" t="str">
        <f aca="false">VLOOKUP(P2612,Sheet2!J:K,2,0)</f>
        <v>IR Declared due to CID -TA</v>
      </c>
      <c r="R2612" s="17" t="s">
        <v>35</v>
      </c>
      <c r="S2612" s="17" t="str">
        <f aca="false">VLOOKUP(R2612,Sheet2!N:O,2,0)</f>
        <v>IREPARABLE</v>
      </c>
      <c r="T2612" s="18" t="str">
        <f aca="false">VLOOKUP(P2612,Sheet2!Q:R,2,0)</f>
        <v>IR Normal - Track burn out</v>
      </c>
      <c r="U2612" s="20" t="s">
        <v>41</v>
      </c>
      <c r="V2612" s="17"/>
      <c r="W2612" s="20" t="e">
        <f aca="false">VLOOKUP(V2612,Sheet2!Q:R,2,0)</f>
        <v>#N/A</v>
      </c>
      <c r="X2612" s="17" t="n">
        <f aca="false">J2612</f>
        <v>0</v>
      </c>
      <c r="Y2612" s="17" t="e">
        <f aca="false">VLOOKUP(X2612,Sheet2!A:B,2,0)</f>
        <v>#N/A</v>
      </c>
      <c r="Z2612" s="17"/>
      <c r="AA2612" s="17"/>
      <c r="AB2612" s="17" t="s">
        <v>41</v>
      </c>
      <c r="AC2612" s="0" t="str">
        <f aca="false">LEFT(G2612,2)</f>
        <v/>
      </c>
    </row>
    <row r="2613" customFormat="false" ht="15" hidden="false" customHeight="false" outlineLevel="0" collapsed="false">
      <c r="A2613" s="13" t="n">
        <f aca="false">1+A2612</f>
        <v>2611</v>
      </c>
      <c r="B2613" s="14" t="n">
        <v>100</v>
      </c>
      <c r="C2613" s="15"/>
      <c r="D2613" s="16" t="s">
        <v>64</v>
      </c>
      <c r="E2613" s="17" t="s">
        <v>47</v>
      </c>
      <c r="F2613" s="18" t="s">
        <v>34</v>
      </c>
      <c r="G2613" s="19"/>
      <c r="H2613" s="17" t="s">
        <v>35</v>
      </c>
      <c r="I2613" s="17" t="s">
        <v>44</v>
      </c>
      <c r="J2613" s="17"/>
      <c r="K2613" s="17" t="e">
        <f aca="false">VLOOKUP(J2613,Sheet2!A:B,2,0)</f>
        <v>#N/A</v>
      </c>
      <c r="L2613" s="17" t="n">
        <v>5</v>
      </c>
      <c r="M2613" s="17" t="str">
        <f aca="false">VLOOKUP(L2613,Sheet2!D:E,2,0)</f>
        <v>Main Processor CPU BGA</v>
      </c>
      <c r="N2613" s="17" t="n">
        <v>1</v>
      </c>
      <c r="O2613" s="17" t="str">
        <f aca="false">VLOOKUP(N2613,Sheet2!G:H,2,0)</f>
        <v>Dead</v>
      </c>
      <c r="P2613" s="17" t="n">
        <v>11</v>
      </c>
      <c r="Q2613" s="17" t="str">
        <f aca="false">VLOOKUP(P2613,Sheet2!J:K,2,0)</f>
        <v>IR Declared due to CID -TA</v>
      </c>
      <c r="R2613" s="17" t="s">
        <v>35</v>
      </c>
      <c r="S2613" s="17" t="str">
        <f aca="false">VLOOKUP(R2613,Sheet2!N:O,2,0)</f>
        <v>IREPARABLE</v>
      </c>
      <c r="T2613" s="18" t="str">
        <f aca="false">VLOOKUP(P2613,Sheet2!Q:R,2,0)</f>
        <v>IR Normal - Track burn out</v>
      </c>
      <c r="U2613" s="20" t="s">
        <v>41</v>
      </c>
      <c r="V2613" s="17"/>
      <c r="W2613" s="20" t="e">
        <f aca="false">VLOOKUP(V2613,Sheet2!Q:R,2,0)</f>
        <v>#N/A</v>
      </c>
      <c r="X2613" s="17" t="n">
        <f aca="false">J2613</f>
        <v>0</v>
      </c>
      <c r="Y2613" s="17" t="e">
        <f aca="false">VLOOKUP(X2613,Sheet2!A:B,2,0)</f>
        <v>#N/A</v>
      </c>
      <c r="Z2613" s="17"/>
      <c r="AA2613" s="17"/>
      <c r="AB2613" s="17" t="s">
        <v>41</v>
      </c>
      <c r="AC2613" s="0" t="str">
        <f aca="false">LEFT(G2613,2)</f>
        <v/>
      </c>
    </row>
    <row r="2614" customFormat="false" ht="15" hidden="false" customHeight="false" outlineLevel="0" collapsed="false">
      <c r="A2614" s="13" t="n">
        <f aca="false">1+A2613</f>
        <v>2612</v>
      </c>
      <c r="B2614" s="14" t="n">
        <v>100</v>
      </c>
      <c r="C2614" s="15"/>
      <c r="D2614" s="16" t="s">
        <v>64</v>
      </c>
      <c r="E2614" s="17" t="s">
        <v>47</v>
      </c>
      <c r="F2614" s="18" t="s">
        <v>34</v>
      </c>
      <c r="G2614" s="19"/>
      <c r="H2614" s="17" t="s">
        <v>35</v>
      </c>
      <c r="I2614" s="17" t="s">
        <v>44</v>
      </c>
      <c r="J2614" s="17"/>
      <c r="K2614" s="17" t="e">
        <f aca="false">VLOOKUP(J2614,Sheet2!A:B,2,0)</f>
        <v>#N/A</v>
      </c>
      <c r="L2614" s="17" t="n">
        <v>5</v>
      </c>
      <c r="M2614" s="17" t="str">
        <f aca="false">VLOOKUP(L2614,Sheet2!D:E,2,0)</f>
        <v>Main Processor CPU BGA</v>
      </c>
      <c r="N2614" s="17" t="n">
        <v>1</v>
      </c>
      <c r="O2614" s="17" t="str">
        <f aca="false">VLOOKUP(N2614,Sheet2!G:H,2,0)</f>
        <v>Dead</v>
      </c>
      <c r="P2614" s="17" t="n">
        <v>11</v>
      </c>
      <c r="Q2614" s="17" t="str">
        <f aca="false">VLOOKUP(P2614,Sheet2!J:K,2,0)</f>
        <v>IR Declared due to CID -TA</v>
      </c>
      <c r="R2614" s="17" t="s">
        <v>35</v>
      </c>
      <c r="S2614" s="17" t="str">
        <f aca="false">VLOOKUP(R2614,Sheet2!N:O,2,0)</f>
        <v>IREPARABLE</v>
      </c>
      <c r="T2614" s="18" t="str">
        <f aca="false">VLOOKUP(P2614,Sheet2!Q:R,2,0)</f>
        <v>IR Normal - Track burn out</v>
      </c>
      <c r="U2614" s="20" t="s">
        <v>41</v>
      </c>
      <c r="V2614" s="17"/>
      <c r="W2614" s="20" t="e">
        <f aca="false">VLOOKUP(V2614,Sheet2!Q:R,2,0)</f>
        <v>#N/A</v>
      </c>
      <c r="X2614" s="17" t="n">
        <f aca="false">J2614</f>
        <v>0</v>
      </c>
      <c r="Y2614" s="17" t="e">
        <f aca="false">VLOOKUP(X2614,Sheet2!A:B,2,0)</f>
        <v>#N/A</v>
      </c>
      <c r="Z2614" s="17"/>
      <c r="AA2614" s="17"/>
      <c r="AB2614" s="17" t="s">
        <v>41</v>
      </c>
      <c r="AC2614" s="0" t="str">
        <f aca="false">LEFT(G2614,2)</f>
        <v/>
      </c>
    </row>
    <row r="2615" customFormat="false" ht="15" hidden="false" customHeight="false" outlineLevel="0" collapsed="false">
      <c r="A2615" s="13" t="n">
        <f aca="false">1+A2614</f>
        <v>2613</v>
      </c>
      <c r="B2615" s="14" t="n">
        <v>100</v>
      </c>
      <c r="C2615" s="15"/>
      <c r="D2615" s="16" t="s">
        <v>64</v>
      </c>
      <c r="E2615" s="17" t="s">
        <v>47</v>
      </c>
      <c r="F2615" s="18" t="s">
        <v>34</v>
      </c>
      <c r="G2615" s="19"/>
      <c r="H2615" s="17" t="s">
        <v>35</v>
      </c>
      <c r="I2615" s="17" t="s">
        <v>44</v>
      </c>
      <c r="J2615" s="17"/>
      <c r="K2615" s="17" t="e">
        <f aca="false">VLOOKUP(J2615,Sheet2!A:B,2,0)</f>
        <v>#N/A</v>
      </c>
      <c r="L2615" s="17" t="n">
        <v>5</v>
      </c>
      <c r="M2615" s="17" t="str">
        <f aca="false">VLOOKUP(L2615,Sheet2!D:E,2,0)</f>
        <v>Main Processor CPU BGA</v>
      </c>
      <c r="N2615" s="17" t="n">
        <v>1</v>
      </c>
      <c r="O2615" s="17" t="str">
        <f aca="false">VLOOKUP(N2615,Sheet2!G:H,2,0)</f>
        <v>Dead</v>
      </c>
      <c r="P2615" s="17" t="n">
        <v>11</v>
      </c>
      <c r="Q2615" s="17" t="str">
        <f aca="false">VLOOKUP(P2615,Sheet2!J:K,2,0)</f>
        <v>IR Declared due to CID -TA</v>
      </c>
      <c r="R2615" s="17" t="s">
        <v>35</v>
      </c>
      <c r="S2615" s="17" t="str">
        <f aca="false">VLOOKUP(R2615,Sheet2!N:O,2,0)</f>
        <v>IREPARABLE</v>
      </c>
      <c r="T2615" s="18" t="str">
        <f aca="false">VLOOKUP(P2615,Sheet2!Q:R,2,0)</f>
        <v>IR Normal - Track burn out</v>
      </c>
      <c r="U2615" s="20" t="s">
        <v>41</v>
      </c>
      <c r="V2615" s="17"/>
      <c r="W2615" s="20" t="e">
        <f aca="false">VLOOKUP(V2615,Sheet2!Q:R,2,0)</f>
        <v>#N/A</v>
      </c>
      <c r="X2615" s="17" t="n">
        <f aca="false">J2615</f>
        <v>0</v>
      </c>
      <c r="Y2615" s="17" t="e">
        <f aca="false">VLOOKUP(X2615,Sheet2!A:B,2,0)</f>
        <v>#N/A</v>
      </c>
      <c r="Z2615" s="17"/>
      <c r="AA2615" s="17"/>
      <c r="AB2615" s="17" t="s">
        <v>41</v>
      </c>
      <c r="AC2615" s="0" t="str">
        <f aca="false">LEFT(G2615,2)</f>
        <v/>
      </c>
    </row>
    <row r="2616" customFormat="false" ht="15" hidden="false" customHeight="false" outlineLevel="0" collapsed="false">
      <c r="A2616" s="13" t="n">
        <f aca="false">1+A2615</f>
        <v>2614</v>
      </c>
      <c r="B2616" s="14" t="n">
        <v>100</v>
      </c>
      <c r="C2616" s="15"/>
      <c r="D2616" s="16" t="s">
        <v>64</v>
      </c>
      <c r="E2616" s="17" t="s">
        <v>47</v>
      </c>
      <c r="F2616" s="18" t="s">
        <v>34</v>
      </c>
      <c r="G2616" s="19"/>
      <c r="H2616" s="17" t="s">
        <v>35</v>
      </c>
      <c r="I2616" s="17" t="s">
        <v>44</v>
      </c>
      <c r="J2616" s="17"/>
      <c r="K2616" s="17" t="e">
        <f aca="false">VLOOKUP(J2616,Sheet2!A:B,2,0)</f>
        <v>#N/A</v>
      </c>
      <c r="L2616" s="17" t="n">
        <v>5</v>
      </c>
      <c r="M2616" s="17" t="str">
        <f aca="false">VLOOKUP(L2616,Sheet2!D:E,2,0)</f>
        <v>Main Processor CPU BGA</v>
      </c>
      <c r="N2616" s="17" t="n">
        <v>1</v>
      </c>
      <c r="O2616" s="17" t="str">
        <f aca="false">VLOOKUP(N2616,Sheet2!G:H,2,0)</f>
        <v>Dead</v>
      </c>
      <c r="P2616" s="17" t="n">
        <v>11</v>
      </c>
      <c r="Q2616" s="17" t="str">
        <f aca="false">VLOOKUP(P2616,Sheet2!J:K,2,0)</f>
        <v>IR Declared due to CID -TA</v>
      </c>
      <c r="R2616" s="17" t="s">
        <v>35</v>
      </c>
      <c r="S2616" s="17" t="str">
        <f aca="false">VLOOKUP(R2616,Sheet2!N:O,2,0)</f>
        <v>IREPARABLE</v>
      </c>
      <c r="T2616" s="18" t="str">
        <f aca="false">VLOOKUP(P2616,Sheet2!Q:R,2,0)</f>
        <v>IR Normal - Track burn out</v>
      </c>
      <c r="U2616" s="20" t="s">
        <v>41</v>
      </c>
      <c r="V2616" s="17"/>
      <c r="W2616" s="20" t="e">
        <f aca="false">VLOOKUP(V2616,Sheet2!Q:R,2,0)</f>
        <v>#N/A</v>
      </c>
      <c r="X2616" s="17" t="n">
        <f aca="false">J2616</f>
        <v>0</v>
      </c>
      <c r="Y2616" s="17" t="e">
        <f aca="false">VLOOKUP(X2616,Sheet2!A:B,2,0)</f>
        <v>#N/A</v>
      </c>
      <c r="Z2616" s="17"/>
      <c r="AA2616" s="17"/>
      <c r="AB2616" s="17" t="s">
        <v>41</v>
      </c>
      <c r="AC2616" s="0" t="str">
        <f aca="false">LEFT(G2616,2)</f>
        <v/>
      </c>
    </row>
    <row r="2617" customFormat="false" ht="15" hidden="false" customHeight="false" outlineLevel="0" collapsed="false">
      <c r="A2617" s="13" t="n">
        <f aca="false">1+A2616</f>
        <v>2615</v>
      </c>
      <c r="B2617" s="14" t="n">
        <v>100</v>
      </c>
      <c r="C2617" s="15"/>
      <c r="D2617" s="16" t="s">
        <v>64</v>
      </c>
      <c r="E2617" s="17" t="s">
        <v>47</v>
      </c>
      <c r="F2617" s="18" t="s">
        <v>34</v>
      </c>
      <c r="G2617" s="19"/>
      <c r="H2617" s="17" t="s">
        <v>35</v>
      </c>
      <c r="I2617" s="17" t="s">
        <v>44</v>
      </c>
      <c r="J2617" s="17"/>
      <c r="K2617" s="17" t="e">
        <f aca="false">VLOOKUP(J2617,Sheet2!A:B,2,0)</f>
        <v>#N/A</v>
      </c>
      <c r="L2617" s="17" t="n">
        <v>5</v>
      </c>
      <c r="M2617" s="17" t="str">
        <f aca="false">VLOOKUP(L2617,Sheet2!D:E,2,0)</f>
        <v>Main Processor CPU BGA</v>
      </c>
      <c r="N2617" s="17" t="n">
        <v>1</v>
      </c>
      <c r="O2617" s="17" t="str">
        <f aca="false">VLOOKUP(N2617,Sheet2!G:H,2,0)</f>
        <v>Dead</v>
      </c>
      <c r="P2617" s="17" t="n">
        <v>11</v>
      </c>
      <c r="Q2617" s="17" t="str">
        <f aca="false">VLOOKUP(P2617,Sheet2!J:K,2,0)</f>
        <v>IR Declared due to CID -TA</v>
      </c>
      <c r="R2617" s="17" t="s">
        <v>35</v>
      </c>
      <c r="S2617" s="17" t="str">
        <f aca="false">VLOOKUP(R2617,Sheet2!N:O,2,0)</f>
        <v>IREPARABLE</v>
      </c>
      <c r="T2617" s="18" t="str">
        <f aca="false">VLOOKUP(P2617,Sheet2!Q:R,2,0)</f>
        <v>IR Normal - Track burn out</v>
      </c>
      <c r="U2617" s="20" t="s">
        <v>41</v>
      </c>
      <c r="V2617" s="17"/>
      <c r="W2617" s="20" t="e">
        <f aca="false">VLOOKUP(V2617,Sheet2!Q:R,2,0)</f>
        <v>#N/A</v>
      </c>
      <c r="X2617" s="17" t="n">
        <f aca="false">J2617</f>
        <v>0</v>
      </c>
      <c r="Y2617" s="17" t="e">
        <f aca="false">VLOOKUP(X2617,Sheet2!A:B,2,0)</f>
        <v>#N/A</v>
      </c>
      <c r="Z2617" s="17"/>
      <c r="AA2617" s="17"/>
      <c r="AB2617" s="17" t="s">
        <v>41</v>
      </c>
      <c r="AC2617" s="0" t="str">
        <f aca="false">LEFT(G2617,2)</f>
        <v/>
      </c>
    </row>
    <row r="2618" customFormat="false" ht="15" hidden="false" customHeight="false" outlineLevel="0" collapsed="false">
      <c r="A2618" s="13" t="n">
        <f aca="false">1+A2617</f>
        <v>2616</v>
      </c>
      <c r="B2618" s="14" t="n">
        <v>100</v>
      </c>
      <c r="C2618" s="15"/>
      <c r="D2618" s="16" t="s">
        <v>64</v>
      </c>
      <c r="E2618" s="17" t="s">
        <v>47</v>
      </c>
      <c r="F2618" s="18" t="s">
        <v>34</v>
      </c>
      <c r="G2618" s="19"/>
      <c r="H2618" s="17" t="s">
        <v>35</v>
      </c>
      <c r="I2618" s="17" t="s">
        <v>44</v>
      </c>
      <c r="J2618" s="17"/>
      <c r="K2618" s="17" t="e">
        <f aca="false">VLOOKUP(J2618,Sheet2!A:B,2,0)</f>
        <v>#N/A</v>
      </c>
      <c r="L2618" s="17" t="n">
        <v>5</v>
      </c>
      <c r="M2618" s="17" t="str">
        <f aca="false">VLOOKUP(L2618,Sheet2!D:E,2,0)</f>
        <v>Main Processor CPU BGA</v>
      </c>
      <c r="N2618" s="17" t="n">
        <v>1</v>
      </c>
      <c r="O2618" s="17" t="str">
        <f aca="false">VLOOKUP(N2618,Sheet2!G:H,2,0)</f>
        <v>Dead</v>
      </c>
      <c r="P2618" s="17" t="n">
        <v>11</v>
      </c>
      <c r="Q2618" s="17" t="str">
        <f aca="false">VLOOKUP(P2618,Sheet2!J:K,2,0)</f>
        <v>IR Declared due to CID -TA</v>
      </c>
      <c r="R2618" s="17" t="s">
        <v>35</v>
      </c>
      <c r="S2618" s="17" t="str">
        <f aca="false">VLOOKUP(R2618,Sheet2!N:O,2,0)</f>
        <v>IREPARABLE</v>
      </c>
      <c r="T2618" s="18" t="str">
        <f aca="false">VLOOKUP(P2618,Sheet2!Q:R,2,0)</f>
        <v>IR Normal - Track burn out</v>
      </c>
      <c r="U2618" s="20" t="s">
        <v>41</v>
      </c>
      <c r="V2618" s="17"/>
      <c r="W2618" s="20" t="e">
        <f aca="false">VLOOKUP(V2618,Sheet2!Q:R,2,0)</f>
        <v>#N/A</v>
      </c>
      <c r="X2618" s="17" t="n">
        <f aca="false">J2618</f>
        <v>0</v>
      </c>
      <c r="Y2618" s="17" t="e">
        <f aca="false">VLOOKUP(X2618,Sheet2!A:B,2,0)</f>
        <v>#N/A</v>
      </c>
      <c r="Z2618" s="17"/>
      <c r="AA2618" s="17"/>
      <c r="AB2618" s="17" t="s">
        <v>41</v>
      </c>
      <c r="AC2618" s="0" t="str">
        <f aca="false">LEFT(G2618,2)</f>
        <v/>
      </c>
    </row>
    <row r="2619" customFormat="false" ht="15" hidden="false" customHeight="false" outlineLevel="0" collapsed="false">
      <c r="A2619" s="13" t="n">
        <f aca="false">1+A2618</f>
        <v>2617</v>
      </c>
      <c r="B2619" s="14" t="n">
        <v>100</v>
      </c>
      <c r="C2619" s="15"/>
      <c r="D2619" s="16" t="s">
        <v>64</v>
      </c>
      <c r="E2619" s="17" t="s">
        <v>47</v>
      </c>
      <c r="F2619" s="18" t="s">
        <v>34</v>
      </c>
      <c r="G2619" s="19"/>
      <c r="H2619" s="17" t="s">
        <v>35</v>
      </c>
      <c r="I2619" s="17" t="s">
        <v>44</v>
      </c>
      <c r="J2619" s="17"/>
      <c r="K2619" s="17" t="e">
        <f aca="false">VLOOKUP(J2619,Sheet2!A:B,2,0)</f>
        <v>#N/A</v>
      </c>
      <c r="L2619" s="17" t="n">
        <v>5</v>
      </c>
      <c r="M2619" s="17" t="str">
        <f aca="false">VLOOKUP(L2619,Sheet2!D:E,2,0)</f>
        <v>Main Processor CPU BGA</v>
      </c>
      <c r="N2619" s="17" t="n">
        <v>1</v>
      </c>
      <c r="O2619" s="17" t="str">
        <f aca="false">VLOOKUP(N2619,Sheet2!G:H,2,0)</f>
        <v>Dead</v>
      </c>
      <c r="P2619" s="17" t="n">
        <v>11</v>
      </c>
      <c r="Q2619" s="17" t="str">
        <f aca="false">VLOOKUP(P2619,Sheet2!J:K,2,0)</f>
        <v>IR Declared due to CID -TA</v>
      </c>
      <c r="R2619" s="17" t="s">
        <v>35</v>
      </c>
      <c r="S2619" s="17" t="str">
        <f aca="false">VLOOKUP(R2619,Sheet2!N:O,2,0)</f>
        <v>IREPARABLE</v>
      </c>
      <c r="T2619" s="18" t="str">
        <f aca="false">VLOOKUP(P2619,Sheet2!Q:R,2,0)</f>
        <v>IR Normal - Track burn out</v>
      </c>
      <c r="U2619" s="20" t="s">
        <v>41</v>
      </c>
      <c r="V2619" s="17"/>
      <c r="W2619" s="20" t="e">
        <f aca="false">VLOOKUP(V2619,Sheet2!Q:R,2,0)</f>
        <v>#N/A</v>
      </c>
      <c r="X2619" s="17" t="n">
        <f aca="false">J2619</f>
        <v>0</v>
      </c>
      <c r="Y2619" s="17" t="e">
        <f aca="false">VLOOKUP(X2619,Sheet2!A:B,2,0)</f>
        <v>#N/A</v>
      </c>
      <c r="Z2619" s="17"/>
      <c r="AA2619" s="17"/>
      <c r="AB2619" s="17" t="s">
        <v>41</v>
      </c>
      <c r="AC2619" s="0" t="str">
        <f aca="false">LEFT(G2619,2)</f>
        <v/>
      </c>
    </row>
    <row r="2620" customFormat="false" ht="15" hidden="false" customHeight="false" outlineLevel="0" collapsed="false">
      <c r="A2620" s="13" t="n">
        <f aca="false">1+A2619</f>
        <v>2618</v>
      </c>
      <c r="B2620" s="14" t="n">
        <v>100</v>
      </c>
      <c r="C2620" s="15"/>
      <c r="D2620" s="16" t="s">
        <v>64</v>
      </c>
      <c r="E2620" s="17" t="s">
        <v>47</v>
      </c>
      <c r="F2620" s="18" t="s">
        <v>34</v>
      </c>
      <c r="G2620" s="19"/>
      <c r="H2620" s="17" t="s">
        <v>35</v>
      </c>
      <c r="I2620" s="17" t="s">
        <v>44</v>
      </c>
      <c r="J2620" s="17"/>
      <c r="K2620" s="17" t="e">
        <f aca="false">VLOOKUP(J2620,Sheet2!A:B,2,0)</f>
        <v>#N/A</v>
      </c>
      <c r="L2620" s="17" t="n">
        <v>5</v>
      </c>
      <c r="M2620" s="17" t="str">
        <f aca="false">VLOOKUP(L2620,Sheet2!D:E,2,0)</f>
        <v>Main Processor CPU BGA</v>
      </c>
      <c r="N2620" s="17" t="n">
        <v>1</v>
      </c>
      <c r="O2620" s="17" t="str">
        <f aca="false">VLOOKUP(N2620,Sheet2!G:H,2,0)</f>
        <v>Dead</v>
      </c>
      <c r="P2620" s="17" t="n">
        <v>11</v>
      </c>
      <c r="Q2620" s="17" t="str">
        <f aca="false">VLOOKUP(P2620,Sheet2!J:K,2,0)</f>
        <v>IR Declared due to CID -TA</v>
      </c>
      <c r="R2620" s="17" t="s">
        <v>35</v>
      </c>
      <c r="S2620" s="17" t="str">
        <f aca="false">VLOOKUP(R2620,Sheet2!N:O,2,0)</f>
        <v>IREPARABLE</v>
      </c>
      <c r="T2620" s="18" t="str">
        <f aca="false">VLOOKUP(P2620,Sheet2!Q:R,2,0)</f>
        <v>IR Normal - Track burn out</v>
      </c>
      <c r="U2620" s="20" t="s">
        <v>41</v>
      </c>
      <c r="V2620" s="17"/>
      <c r="W2620" s="20" t="e">
        <f aca="false">VLOOKUP(V2620,Sheet2!Q:R,2,0)</f>
        <v>#N/A</v>
      </c>
      <c r="X2620" s="17" t="n">
        <f aca="false">J2620</f>
        <v>0</v>
      </c>
      <c r="Y2620" s="17" t="e">
        <f aca="false">VLOOKUP(X2620,Sheet2!A:B,2,0)</f>
        <v>#N/A</v>
      </c>
      <c r="Z2620" s="17"/>
      <c r="AA2620" s="17"/>
      <c r="AB2620" s="17" t="s">
        <v>41</v>
      </c>
      <c r="AC2620" s="0" t="str">
        <f aca="false">LEFT(G2620,2)</f>
        <v/>
      </c>
    </row>
    <row r="2621" customFormat="false" ht="15" hidden="false" customHeight="false" outlineLevel="0" collapsed="false">
      <c r="A2621" s="13" t="n">
        <f aca="false">1+A2620</f>
        <v>2619</v>
      </c>
      <c r="B2621" s="14" t="n">
        <v>100</v>
      </c>
      <c r="C2621" s="15"/>
      <c r="D2621" s="16" t="s">
        <v>64</v>
      </c>
      <c r="E2621" s="17" t="s">
        <v>47</v>
      </c>
      <c r="F2621" s="18" t="s">
        <v>34</v>
      </c>
      <c r="G2621" s="19"/>
      <c r="H2621" s="17" t="s">
        <v>35</v>
      </c>
      <c r="I2621" s="17" t="s">
        <v>44</v>
      </c>
      <c r="J2621" s="17"/>
      <c r="K2621" s="17" t="e">
        <f aca="false">VLOOKUP(J2621,Sheet2!A:B,2,0)</f>
        <v>#N/A</v>
      </c>
      <c r="L2621" s="17" t="n">
        <v>5</v>
      </c>
      <c r="M2621" s="17" t="str">
        <f aca="false">VLOOKUP(L2621,Sheet2!D:E,2,0)</f>
        <v>Main Processor CPU BGA</v>
      </c>
      <c r="N2621" s="17" t="n">
        <v>1</v>
      </c>
      <c r="O2621" s="17" t="str">
        <f aca="false">VLOOKUP(N2621,Sheet2!G:H,2,0)</f>
        <v>Dead</v>
      </c>
      <c r="P2621" s="17" t="n">
        <v>11</v>
      </c>
      <c r="Q2621" s="17" t="str">
        <f aca="false">VLOOKUP(P2621,Sheet2!J:K,2,0)</f>
        <v>IR Declared due to CID -TA</v>
      </c>
      <c r="R2621" s="17" t="s">
        <v>35</v>
      </c>
      <c r="S2621" s="17" t="str">
        <f aca="false">VLOOKUP(R2621,Sheet2!N:O,2,0)</f>
        <v>IREPARABLE</v>
      </c>
      <c r="T2621" s="18" t="str">
        <f aca="false">VLOOKUP(P2621,Sheet2!Q:R,2,0)</f>
        <v>IR Normal - Track burn out</v>
      </c>
      <c r="U2621" s="20" t="s">
        <v>41</v>
      </c>
      <c r="V2621" s="17"/>
      <c r="W2621" s="20" t="e">
        <f aca="false">VLOOKUP(V2621,Sheet2!Q:R,2,0)</f>
        <v>#N/A</v>
      </c>
      <c r="X2621" s="17" t="n">
        <f aca="false">J2621</f>
        <v>0</v>
      </c>
      <c r="Y2621" s="17" t="e">
        <f aca="false">VLOOKUP(X2621,Sheet2!A:B,2,0)</f>
        <v>#N/A</v>
      </c>
      <c r="Z2621" s="17"/>
      <c r="AA2621" s="17"/>
      <c r="AB2621" s="17" t="s">
        <v>41</v>
      </c>
      <c r="AC2621" s="0" t="str">
        <f aca="false">LEFT(G2621,2)</f>
        <v/>
      </c>
    </row>
    <row r="2622" customFormat="false" ht="15" hidden="false" customHeight="false" outlineLevel="0" collapsed="false">
      <c r="A2622" s="13" t="n">
        <f aca="false">1+A2621</f>
        <v>2620</v>
      </c>
      <c r="B2622" s="14" t="n">
        <v>100</v>
      </c>
      <c r="C2622" s="15"/>
      <c r="D2622" s="16" t="s">
        <v>64</v>
      </c>
      <c r="E2622" s="17" t="s">
        <v>47</v>
      </c>
      <c r="F2622" s="18" t="s">
        <v>34</v>
      </c>
      <c r="G2622" s="19"/>
      <c r="H2622" s="17" t="s">
        <v>35</v>
      </c>
      <c r="I2622" s="17" t="s">
        <v>44</v>
      </c>
      <c r="J2622" s="17"/>
      <c r="K2622" s="17" t="e">
        <f aca="false">VLOOKUP(J2622,Sheet2!A:B,2,0)</f>
        <v>#N/A</v>
      </c>
      <c r="L2622" s="17" t="n">
        <v>5</v>
      </c>
      <c r="M2622" s="17" t="str">
        <f aca="false">VLOOKUP(L2622,Sheet2!D:E,2,0)</f>
        <v>Main Processor CPU BGA</v>
      </c>
      <c r="N2622" s="17" t="n">
        <v>1</v>
      </c>
      <c r="O2622" s="17" t="str">
        <f aca="false">VLOOKUP(N2622,Sheet2!G:H,2,0)</f>
        <v>Dead</v>
      </c>
      <c r="P2622" s="17" t="n">
        <v>11</v>
      </c>
      <c r="Q2622" s="17" t="str">
        <f aca="false">VLOOKUP(P2622,Sheet2!J:K,2,0)</f>
        <v>IR Declared due to CID -TA</v>
      </c>
      <c r="R2622" s="17" t="s">
        <v>35</v>
      </c>
      <c r="S2622" s="17" t="str">
        <f aca="false">VLOOKUP(R2622,Sheet2!N:O,2,0)</f>
        <v>IREPARABLE</v>
      </c>
      <c r="T2622" s="18" t="str">
        <f aca="false">VLOOKUP(P2622,Sheet2!Q:R,2,0)</f>
        <v>IR Normal - Track burn out</v>
      </c>
      <c r="U2622" s="20" t="s">
        <v>41</v>
      </c>
      <c r="V2622" s="17"/>
      <c r="W2622" s="20" t="e">
        <f aca="false">VLOOKUP(V2622,Sheet2!Q:R,2,0)</f>
        <v>#N/A</v>
      </c>
      <c r="X2622" s="17" t="n">
        <f aca="false">J2622</f>
        <v>0</v>
      </c>
      <c r="Y2622" s="17" t="e">
        <f aca="false">VLOOKUP(X2622,Sheet2!A:B,2,0)</f>
        <v>#N/A</v>
      </c>
      <c r="Z2622" s="17"/>
      <c r="AA2622" s="17"/>
      <c r="AB2622" s="17" t="s">
        <v>41</v>
      </c>
      <c r="AC2622" s="0" t="str">
        <f aca="false">LEFT(G2622,2)</f>
        <v/>
      </c>
    </row>
    <row r="2623" customFormat="false" ht="15" hidden="false" customHeight="false" outlineLevel="0" collapsed="false">
      <c r="A2623" s="13" t="n">
        <f aca="false">1+A2622</f>
        <v>2621</v>
      </c>
      <c r="B2623" s="14" t="n">
        <v>100</v>
      </c>
      <c r="C2623" s="15"/>
      <c r="D2623" s="16" t="s">
        <v>64</v>
      </c>
      <c r="E2623" s="17" t="s">
        <v>47</v>
      </c>
      <c r="F2623" s="18" t="s">
        <v>34</v>
      </c>
      <c r="G2623" s="19"/>
      <c r="H2623" s="17" t="s">
        <v>35</v>
      </c>
      <c r="I2623" s="17" t="s">
        <v>44</v>
      </c>
      <c r="J2623" s="17"/>
      <c r="K2623" s="17" t="e">
        <f aca="false">VLOOKUP(J2623,Sheet2!A:B,2,0)</f>
        <v>#N/A</v>
      </c>
      <c r="L2623" s="17" t="n">
        <v>5</v>
      </c>
      <c r="M2623" s="17" t="str">
        <f aca="false">VLOOKUP(L2623,Sheet2!D:E,2,0)</f>
        <v>Main Processor CPU BGA</v>
      </c>
      <c r="N2623" s="17" t="n">
        <v>1</v>
      </c>
      <c r="O2623" s="17" t="str">
        <f aca="false">VLOOKUP(N2623,Sheet2!G:H,2,0)</f>
        <v>Dead</v>
      </c>
      <c r="P2623" s="17" t="n">
        <v>11</v>
      </c>
      <c r="Q2623" s="17" t="str">
        <f aca="false">VLOOKUP(P2623,Sheet2!J:K,2,0)</f>
        <v>IR Declared due to CID -TA</v>
      </c>
      <c r="R2623" s="17" t="s">
        <v>35</v>
      </c>
      <c r="S2623" s="17" t="str">
        <f aca="false">VLOOKUP(R2623,Sheet2!N:O,2,0)</f>
        <v>IREPARABLE</v>
      </c>
      <c r="T2623" s="18" t="str">
        <f aca="false">VLOOKUP(P2623,Sheet2!Q:R,2,0)</f>
        <v>IR Normal - Track burn out</v>
      </c>
      <c r="U2623" s="20" t="s">
        <v>41</v>
      </c>
      <c r="V2623" s="17"/>
      <c r="W2623" s="20" t="e">
        <f aca="false">VLOOKUP(V2623,Sheet2!Q:R,2,0)</f>
        <v>#N/A</v>
      </c>
      <c r="X2623" s="17" t="n">
        <f aca="false">J2623</f>
        <v>0</v>
      </c>
      <c r="Y2623" s="17" t="e">
        <f aca="false">VLOOKUP(X2623,Sheet2!A:B,2,0)</f>
        <v>#N/A</v>
      </c>
      <c r="Z2623" s="17"/>
      <c r="AA2623" s="17"/>
      <c r="AB2623" s="17" t="s">
        <v>41</v>
      </c>
      <c r="AC2623" s="0" t="str">
        <f aca="false">LEFT(G2623,2)</f>
        <v/>
      </c>
    </row>
    <row r="2624" customFormat="false" ht="15" hidden="false" customHeight="false" outlineLevel="0" collapsed="false">
      <c r="A2624" s="13" t="n">
        <f aca="false">1+A2623</f>
        <v>2622</v>
      </c>
      <c r="B2624" s="14" t="n">
        <v>100</v>
      </c>
      <c r="C2624" s="15"/>
      <c r="D2624" s="16" t="s">
        <v>64</v>
      </c>
      <c r="E2624" s="17" t="s">
        <v>47</v>
      </c>
      <c r="F2624" s="18" t="s">
        <v>34</v>
      </c>
      <c r="G2624" s="19"/>
      <c r="H2624" s="17" t="s">
        <v>35</v>
      </c>
      <c r="I2624" s="17" t="s">
        <v>44</v>
      </c>
      <c r="J2624" s="17"/>
      <c r="K2624" s="17" t="e">
        <f aca="false">VLOOKUP(J2624,Sheet2!A:B,2,0)</f>
        <v>#N/A</v>
      </c>
      <c r="L2624" s="17" t="n">
        <v>5</v>
      </c>
      <c r="M2624" s="17" t="str">
        <f aca="false">VLOOKUP(L2624,Sheet2!D:E,2,0)</f>
        <v>Main Processor CPU BGA</v>
      </c>
      <c r="N2624" s="17" t="n">
        <v>1</v>
      </c>
      <c r="O2624" s="17" t="str">
        <f aca="false">VLOOKUP(N2624,Sheet2!G:H,2,0)</f>
        <v>Dead</v>
      </c>
      <c r="P2624" s="17" t="n">
        <v>11</v>
      </c>
      <c r="Q2624" s="17" t="str">
        <f aca="false">VLOOKUP(P2624,Sheet2!J:K,2,0)</f>
        <v>IR Declared due to CID -TA</v>
      </c>
      <c r="R2624" s="17" t="s">
        <v>35</v>
      </c>
      <c r="S2624" s="17" t="str">
        <f aca="false">VLOOKUP(R2624,Sheet2!N:O,2,0)</f>
        <v>IREPARABLE</v>
      </c>
      <c r="T2624" s="18" t="str">
        <f aca="false">VLOOKUP(P2624,Sheet2!Q:R,2,0)</f>
        <v>IR Normal - Track burn out</v>
      </c>
      <c r="U2624" s="20" t="s">
        <v>41</v>
      </c>
      <c r="V2624" s="17"/>
      <c r="W2624" s="20" t="e">
        <f aca="false">VLOOKUP(V2624,Sheet2!Q:R,2,0)</f>
        <v>#N/A</v>
      </c>
      <c r="X2624" s="17" t="n">
        <f aca="false">J2624</f>
        <v>0</v>
      </c>
      <c r="Y2624" s="17" t="e">
        <f aca="false">VLOOKUP(X2624,Sheet2!A:B,2,0)</f>
        <v>#N/A</v>
      </c>
      <c r="Z2624" s="17"/>
      <c r="AA2624" s="17"/>
      <c r="AB2624" s="17" t="s">
        <v>41</v>
      </c>
      <c r="AC2624" s="0" t="str">
        <f aca="false">LEFT(G2624,2)</f>
        <v/>
      </c>
    </row>
    <row r="2625" customFormat="false" ht="15" hidden="false" customHeight="false" outlineLevel="0" collapsed="false">
      <c r="A2625" s="13" t="n">
        <f aca="false">1+A2624</f>
        <v>2623</v>
      </c>
      <c r="B2625" s="14" t="n">
        <v>100</v>
      </c>
      <c r="C2625" s="15"/>
      <c r="D2625" s="16" t="s">
        <v>64</v>
      </c>
      <c r="E2625" s="17" t="s">
        <v>47</v>
      </c>
      <c r="F2625" s="18" t="s">
        <v>34</v>
      </c>
      <c r="G2625" s="19"/>
      <c r="H2625" s="17" t="s">
        <v>35</v>
      </c>
      <c r="I2625" s="17" t="s">
        <v>44</v>
      </c>
      <c r="J2625" s="17"/>
      <c r="K2625" s="17" t="e">
        <f aca="false">VLOOKUP(J2625,Sheet2!A:B,2,0)</f>
        <v>#N/A</v>
      </c>
      <c r="L2625" s="17" t="n">
        <v>5</v>
      </c>
      <c r="M2625" s="17" t="str">
        <f aca="false">VLOOKUP(L2625,Sheet2!D:E,2,0)</f>
        <v>Main Processor CPU BGA</v>
      </c>
      <c r="N2625" s="17" t="n">
        <v>1</v>
      </c>
      <c r="O2625" s="17" t="str">
        <f aca="false">VLOOKUP(N2625,Sheet2!G:H,2,0)</f>
        <v>Dead</v>
      </c>
      <c r="P2625" s="17" t="n">
        <v>11</v>
      </c>
      <c r="Q2625" s="17" t="str">
        <f aca="false">VLOOKUP(P2625,Sheet2!J:K,2,0)</f>
        <v>IR Declared due to CID -TA</v>
      </c>
      <c r="R2625" s="17" t="s">
        <v>35</v>
      </c>
      <c r="S2625" s="17" t="str">
        <f aca="false">VLOOKUP(R2625,Sheet2!N:O,2,0)</f>
        <v>IREPARABLE</v>
      </c>
      <c r="T2625" s="18" t="str">
        <f aca="false">VLOOKUP(P2625,Sheet2!Q:R,2,0)</f>
        <v>IR Normal - Track burn out</v>
      </c>
      <c r="U2625" s="20" t="s">
        <v>41</v>
      </c>
      <c r="V2625" s="17"/>
      <c r="W2625" s="20" t="e">
        <f aca="false">VLOOKUP(V2625,Sheet2!Q:R,2,0)</f>
        <v>#N/A</v>
      </c>
      <c r="X2625" s="17" t="n">
        <f aca="false">J2625</f>
        <v>0</v>
      </c>
      <c r="Y2625" s="17" t="e">
        <f aca="false">VLOOKUP(X2625,Sheet2!A:B,2,0)</f>
        <v>#N/A</v>
      </c>
      <c r="Z2625" s="17"/>
      <c r="AA2625" s="17"/>
      <c r="AB2625" s="17" t="s">
        <v>41</v>
      </c>
      <c r="AC2625" s="0" t="str">
        <f aca="false">LEFT(G2625,2)</f>
        <v/>
      </c>
    </row>
    <row r="2626" customFormat="false" ht="15" hidden="false" customHeight="false" outlineLevel="0" collapsed="false">
      <c r="A2626" s="13" t="n">
        <f aca="false">1+A2625</f>
        <v>2624</v>
      </c>
      <c r="B2626" s="14" t="n">
        <v>100</v>
      </c>
      <c r="C2626" s="15"/>
      <c r="D2626" s="16" t="s">
        <v>64</v>
      </c>
      <c r="E2626" s="17" t="s">
        <v>47</v>
      </c>
      <c r="F2626" s="18" t="s">
        <v>34</v>
      </c>
      <c r="G2626" s="19"/>
      <c r="H2626" s="17" t="s">
        <v>35</v>
      </c>
      <c r="I2626" s="17" t="s">
        <v>44</v>
      </c>
      <c r="J2626" s="17"/>
      <c r="K2626" s="17" t="e">
        <f aca="false">VLOOKUP(J2626,Sheet2!A:B,2,0)</f>
        <v>#N/A</v>
      </c>
      <c r="L2626" s="17" t="n">
        <v>5</v>
      </c>
      <c r="M2626" s="17" t="str">
        <f aca="false">VLOOKUP(L2626,Sheet2!D:E,2,0)</f>
        <v>Main Processor CPU BGA</v>
      </c>
      <c r="N2626" s="17" t="n">
        <v>1</v>
      </c>
      <c r="O2626" s="17" t="str">
        <f aca="false">VLOOKUP(N2626,Sheet2!G:H,2,0)</f>
        <v>Dead</v>
      </c>
      <c r="P2626" s="17" t="n">
        <v>11</v>
      </c>
      <c r="Q2626" s="17" t="str">
        <f aca="false">VLOOKUP(P2626,Sheet2!J:K,2,0)</f>
        <v>IR Declared due to CID -TA</v>
      </c>
      <c r="R2626" s="17" t="s">
        <v>35</v>
      </c>
      <c r="S2626" s="17" t="str">
        <f aca="false">VLOOKUP(R2626,Sheet2!N:O,2,0)</f>
        <v>IREPARABLE</v>
      </c>
      <c r="T2626" s="18" t="str">
        <f aca="false">VLOOKUP(P2626,Sheet2!Q:R,2,0)</f>
        <v>IR Normal - Track burn out</v>
      </c>
      <c r="U2626" s="20" t="s">
        <v>41</v>
      </c>
      <c r="V2626" s="17"/>
      <c r="W2626" s="20" t="e">
        <f aca="false">VLOOKUP(V2626,Sheet2!Q:R,2,0)</f>
        <v>#N/A</v>
      </c>
      <c r="X2626" s="17" t="n">
        <f aca="false">J2626</f>
        <v>0</v>
      </c>
      <c r="Y2626" s="17" t="e">
        <f aca="false">VLOOKUP(X2626,Sheet2!A:B,2,0)</f>
        <v>#N/A</v>
      </c>
      <c r="Z2626" s="17"/>
      <c r="AA2626" s="17"/>
      <c r="AB2626" s="17" t="s">
        <v>41</v>
      </c>
      <c r="AC2626" s="0" t="str">
        <f aca="false">LEFT(G2626,2)</f>
        <v/>
      </c>
    </row>
    <row r="2627" customFormat="false" ht="15" hidden="false" customHeight="false" outlineLevel="0" collapsed="false">
      <c r="A2627" s="13" t="n">
        <f aca="false">1+A2626</f>
        <v>2625</v>
      </c>
      <c r="B2627" s="14" t="n">
        <v>100</v>
      </c>
      <c r="C2627" s="15"/>
      <c r="D2627" s="16" t="s">
        <v>64</v>
      </c>
      <c r="E2627" s="17" t="s">
        <v>47</v>
      </c>
      <c r="F2627" s="18" t="s">
        <v>34</v>
      </c>
      <c r="G2627" s="19"/>
      <c r="H2627" s="17" t="s">
        <v>35</v>
      </c>
      <c r="I2627" s="17" t="s">
        <v>44</v>
      </c>
      <c r="J2627" s="17"/>
      <c r="K2627" s="17" t="e">
        <f aca="false">VLOOKUP(J2627,Sheet2!A:B,2,0)</f>
        <v>#N/A</v>
      </c>
      <c r="L2627" s="17" t="n">
        <v>5</v>
      </c>
      <c r="M2627" s="17" t="str">
        <f aca="false">VLOOKUP(L2627,Sheet2!D:E,2,0)</f>
        <v>Main Processor CPU BGA</v>
      </c>
      <c r="N2627" s="17" t="n">
        <v>1</v>
      </c>
      <c r="O2627" s="17" t="str">
        <f aca="false">VLOOKUP(N2627,Sheet2!G:H,2,0)</f>
        <v>Dead</v>
      </c>
      <c r="P2627" s="17" t="n">
        <v>11</v>
      </c>
      <c r="Q2627" s="17" t="str">
        <f aca="false">VLOOKUP(P2627,Sheet2!J:K,2,0)</f>
        <v>IR Declared due to CID -TA</v>
      </c>
      <c r="R2627" s="17" t="s">
        <v>35</v>
      </c>
      <c r="S2627" s="17" t="str">
        <f aca="false">VLOOKUP(R2627,Sheet2!N:O,2,0)</f>
        <v>IREPARABLE</v>
      </c>
      <c r="T2627" s="18" t="str">
        <f aca="false">VLOOKUP(P2627,Sheet2!Q:R,2,0)</f>
        <v>IR Normal - Track burn out</v>
      </c>
      <c r="U2627" s="20" t="s">
        <v>41</v>
      </c>
      <c r="V2627" s="17"/>
      <c r="W2627" s="20" t="e">
        <f aca="false">VLOOKUP(V2627,Sheet2!Q:R,2,0)</f>
        <v>#N/A</v>
      </c>
      <c r="X2627" s="17" t="n">
        <f aca="false">J2627</f>
        <v>0</v>
      </c>
      <c r="Y2627" s="17" t="e">
        <f aca="false">VLOOKUP(X2627,Sheet2!A:B,2,0)</f>
        <v>#N/A</v>
      </c>
      <c r="Z2627" s="17"/>
      <c r="AA2627" s="17"/>
      <c r="AB2627" s="17" t="s">
        <v>41</v>
      </c>
      <c r="AC2627" s="0" t="str">
        <f aca="false">LEFT(G2627,2)</f>
        <v/>
      </c>
    </row>
    <row r="2628" customFormat="false" ht="15" hidden="false" customHeight="false" outlineLevel="0" collapsed="false">
      <c r="A2628" s="13" t="n">
        <f aca="false">1+A2627</f>
        <v>2626</v>
      </c>
      <c r="B2628" s="14" t="n">
        <v>100</v>
      </c>
      <c r="C2628" s="15"/>
      <c r="D2628" s="16" t="s">
        <v>64</v>
      </c>
      <c r="E2628" s="17" t="s">
        <v>47</v>
      </c>
      <c r="F2628" s="18" t="s">
        <v>34</v>
      </c>
      <c r="G2628" s="19"/>
      <c r="H2628" s="17" t="s">
        <v>35</v>
      </c>
      <c r="I2628" s="17" t="s">
        <v>44</v>
      </c>
      <c r="J2628" s="17"/>
      <c r="K2628" s="17" t="e">
        <f aca="false">VLOOKUP(J2628,Sheet2!A:B,2,0)</f>
        <v>#N/A</v>
      </c>
      <c r="L2628" s="17" t="n">
        <v>5</v>
      </c>
      <c r="M2628" s="17" t="str">
        <f aca="false">VLOOKUP(L2628,Sheet2!D:E,2,0)</f>
        <v>Main Processor CPU BGA</v>
      </c>
      <c r="N2628" s="17" t="n">
        <v>1</v>
      </c>
      <c r="O2628" s="17" t="str">
        <f aca="false">VLOOKUP(N2628,Sheet2!G:H,2,0)</f>
        <v>Dead</v>
      </c>
      <c r="P2628" s="17" t="n">
        <v>11</v>
      </c>
      <c r="Q2628" s="17" t="str">
        <f aca="false">VLOOKUP(P2628,Sheet2!J:K,2,0)</f>
        <v>IR Declared due to CID -TA</v>
      </c>
      <c r="R2628" s="17" t="s">
        <v>35</v>
      </c>
      <c r="S2628" s="17" t="str">
        <f aca="false">VLOOKUP(R2628,Sheet2!N:O,2,0)</f>
        <v>IREPARABLE</v>
      </c>
      <c r="T2628" s="18" t="str">
        <f aca="false">VLOOKUP(P2628,Sheet2!Q:R,2,0)</f>
        <v>IR Normal - Track burn out</v>
      </c>
      <c r="U2628" s="20" t="s">
        <v>41</v>
      </c>
      <c r="V2628" s="17"/>
      <c r="W2628" s="20" t="e">
        <f aca="false">VLOOKUP(V2628,Sheet2!Q:R,2,0)</f>
        <v>#N/A</v>
      </c>
      <c r="X2628" s="17" t="n">
        <f aca="false">J2628</f>
        <v>0</v>
      </c>
      <c r="Y2628" s="17" t="e">
        <f aca="false">VLOOKUP(X2628,Sheet2!A:B,2,0)</f>
        <v>#N/A</v>
      </c>
      <c r="Z2628" s="17"/>
      <c r="AA2628" s="17"/>
      <c r="AB2628" s="17" t="s">
        <v>41</v>
      </c>
      <c r="AC2628" s="0" t="str">
        <f aca="false">LEFT(G2628,2)</f>
        <v/>
      </c>
    </row>
    <row r="2629" customFormat="false" ht="15" hidden="false" customHeight="false" outlineLevel="0" collapsed="false">
      <c r="A2629" s="13" t="n">
        <f aca="false">1+A2628</f>
        <v>2627</v>
      </c>
      <c r="B2629" s="14" t="n">
        <v>100</v>
      </c>
      <c r="C2629" s="15"/>
      <c r="D2629" s="16" t="s">
        <v>64</v>
      </c>
      <c r="E2629" s="17" t="s">
        <v>47</v>
      </c>
      <c r="F2629" s="18" t="s">
        <v>34</v>
      </c>
      <c r="G2629" s="19"/>
      <c r="H2629" s="17" t="s">
        <v>35</v>
      </c>
      <c r="I2629" s="17" t="s">
        <v>44</v>
      </c>
      <c r="J2629" s="17"/>
      <c r="K2629" s="17" t="e">
        <f aca="false">VLOOKUP(J2629,Sheet2!A:B,2,0)</f>
        <v>#N/A</v>
      </c>
      <c r="L2629" s="17" t="n">
        <v>5</v>
      </c>
      <c r="M2629" s="17" t="str">
        <f aca="false">VLOOKUP(L2629,Sheet2!D:E,2,0)</f>
        <v>Main Processor CPU BGA</v>
      </c>
      <c r="N2629" s="17" t="n">
        <v>1</v>
      </c>
      <c r="O2629" s="17" t="str">
        <f aca="false">VLOOKUP(N2629,Sheet2!G:H,2,0)</f>
        <v>Dead</v>
      </c>
      <c r="P2629" s="17" t="n">
        <v>11</v>
      </c>
      <c r="Q2629" s="17" t="str">
        <f aca="false">VLOOKUP(P2629,Sheet2!J:K,2,0)</f>
        <v>IR Declared due to CID -TA</v>
      </c>
      <c r="R2629" s="17" t="s">
        <v>35</v>
      </c>
      <c r="S2629" s="17" t="str">
        <f aca="false">VLOOKUP(R2629,Sheet2!N:O,2,0)</f>
        <v>IREPARABLE</v>
      </c>
      <c r="T2629" s="18" t="str">
        <f aca="false">VLOOKUP(P2629,Sheet2!Q:R,2,0)</f>
        <v>IR Normal - Track burn out</v>
      </c>
      <c r="U2629" s="20" t="s">
        <v>41</v>
      </c>
      <c r="V2629" s="17"/>
      <c r="W2629" s="20" t="e">
        <f aca="false">VLOOKUP(V2629,Sheet2!Q:R,2,0)</f>
        <v>#N/A</v>
      </c>
      <c r="X2629" s="17" t="n">
        <f aca="false">J2629</f>
        <v>0</v>
      </c>
      <c r="Y2629" s="17" t="e">
        <f aca="false">VLOOKUP(X2629,Sheet2!A:B,2,0)</f>
        <v>#N/A</v>
      </c>
      <c r="Z2629" s="17"/>
      <c r="AA2629" s="17"/>
      <c r="AB2629" s="17" t="s">
        <v>41</v>
      </c>
      <c r="AC2629" s="0" t="str">
        <f aca="false">LEFT(G2629,2)</f>
        <v/>
      </c>
    </row>
    <row r="2630" customFormat="false" ht="15" hidden="false" customHeight="false" outlineLevel="0" collapsed="false">
      <c r="A2630" s="13" t="n">
        <f aca="false">1+A2629</f>
        <v>2628</v>
      </c>
      <c r="B2630" s="14" t="n">
        <v>100</v>
      </c>
      <c r="C2630" s="15"/>
      <c r="D2630" s="16" t="s">
        <v>64</v>
      </c>
      <c r="E2630" s="17" t="s">
        <v>47</v>
      </c>
      <c r="F2630" s="18" t="s">
        <v>34</v>
      </c>
      <c r="G2630" s="19"/>
      <c r="H2630" s="17" t="s">
        <v>35</v>
      </c>
      <c r="I2630" s="17" t="s">
        <v>44</v>
      </c>
      <c r="J2630" s="17"/>
      <c r="K2630" s="17" t="e">
        <f aca="false">VLOOKUP(J2630,Sheet2!A:B,2,0)</f>
        <v>#N/A</v>
      </c>
      <c r="L2630" s="17" t="n">
        <v>5</v>
      </c>
      <c r="M2630" s="17" t="str">
        <f aca="false">VLOOKUP(L2630,Sheet2!D:E,2,0)</f>
        <v>Main Processor CPU BGA</v>
      </c>
      <c r="N2630" s="17" t="n">
        <v>1</v>
      </c>
      <c r="O2630" s="17" t="str">
        <f aca="false">VLOOKUP(N2630,Sheet2!G:H,2,0)</f>
        <v>Dead</v>
      </c>
      <c r="P2630" s="17" t="n">
        <v>11</v>
      </c>
      <c r="Q2630" s="17" t="str">
        <f aca="false">VLOOKUP(P2630,Sheet2!J:K,2,0)</f>
        <v>IR Declared due to CID -TA</v>
      </c>
      <c r="R2630" s="17" t="s">
        <v>35</v>
      </c>
      <c r="S2630" s="17" t="str">
        <f aca="false">VLOOKUP(R2630,Sheet2!N:O,2,0)</f>
        <v>IREPARABLE</v>
      </c>
      <c r="T2630" s="18" t="str">
        <f aca="false">VLOOKUP(P2630,Sheet2!Q:R,2,0)</f>
        <v>IR Normal - Track burn out</v>
      </c>
      <c r="U2630" s="20" t="s">
        <v>41</v>
      </c>
      <c r="V2630" s="17"/>
      <c r="W2630" s="20" t="e">
        <f aca="false">VLOOKUP(V2630,Sheet2!Q:R,2,0)</f>
        <v>#N/A</v>
      </c>
      <c r="X2630" s="17" t="n">
        <f aca="false">J2630</f>
        <v>0</v>
      </c>
      <c r="Y2630" s="17" t="e">
        <f aca="false">VLOOKUP(X2630,Sheet2!A:B,2,0)</f>
        <v>#N/A</v>
      </c>
      <c r="Z2630" s="17"/>
      <c r="AA2630" s="17"/>
      <c r="AB2630" s="17" t="s">
        <v>41</v>
      </c>
      <c r="AC2630" s="0" t="str">
        <f aca="false">LEFT(G2630,2)</f>
        <v/>
      </c>
    </row>
    <row r="2631" customFormat="false" ht="15" hidden="false" customHeight="false" outlineLevel="0" collapsed="false">
      <c r="A2631" s="13" t="n">
        <f aca="false">1+A2630</f>
        <v>2629</v>
      </c>
      <c r="B2631" s="14" t="n">
        <v>100</v>
      </c>
      <c r="C2631" s="15"/>
      <c r="D2631" s="16" t="s">
        <v>64</v>
      </c>
      <c r="E2631" s="17" t="s">
        <v>47</v>
      </c>
      <c r="F2631" s="18" t="s">
        <v>34</v>
      </c>
      <c r="G2631" s="19"/>
      <c r="H2631" s="17" t="s">
        <v>35</v>
      </c>
      <c r="I2631" s="17" t="s">
        <v>44</v>
      </c>
      <c r="J2631" s="17"/>
      <c r="K2631" s="17" t="e">
        <f aca="false">VLOOKUP(J2631,Sheet2!A:B,2,0)</f>
        <v>#N/A</v>
      </c>
      <c r="L2631" s="17" t="n">
        <v>5</v>
      </c>
      <c r="M2631" s="17" t="str">
        <f aca="false">VLOOKUP(L2631,Sheet2!D:E,2,0)</f>
        <v>Main Processor CPU BGA</v>
      </c>
      <c r="N2631" s="17" t="n">
        <v>1</v>
      </c>
      <c r="O2631" s="17" t="str">
        <f aca="false">VLOOKUP(N2631,Sheet2!G:H,2,0)</f>
        <v>Dead</v>
      </c>
      <c r="P2631" s="17" t="n">
        <v>11</v>
      </c>
      <c r="Q2631" s="17" t="str">
        <f aca="false">VLOOKUP(P2631,Sheet2!J:K,2,0)</f>
        <v>IR Declared due to CID -TA</v>
      </c>
      <c r="R2631" s="17" t="s">
        <v>35</v>
      </c>
      <c r="S2631" s="17" t="str">
        <f aca="false">VLOOKUP(R2631,Sheet2!N:O,2,0)</f>
        <v>IREPARABLE</v>
      </c>
      <c r="T2631" s="18" t="str">
        <f aca="false">VLOOKUP(P2631,Sheet2!Q:R,2,0)</f>
        <v>IR Normal - Track burn out</v>
      </c>
      <c r="U2631" s="20" t="s">
        <v>41</v>
      </c>
      <c r="V2631" s="17"/>
      <c r="W2631" s="20" t="e">
        <f aca="false">VLOOKUP(V2631,Sheet2!Q:R,2,0)</f>
        <v>#N/A</v>
      </c>
      <c r="X2631" s="17" t="n">
        <f aca="false">J2631</f>
        <v>0</v>
      </c>
      <c r="Y2631" s="17" t="e">
        <f aca="false">VLOOKUP(X2631,Sheet2!A:B,2,0)</f>
        <v>#N/A</v>
      </c>
      <c r="Z2631" s="17"/>
      <c r="AA2631" s="17"/>
      <c r="AB2631" s="17" t="s">
        <v>41</v>
      </c>
      <c r="AC2631" s="0" t="str">
        <f aca="false">LEFT(G2631,2)</f>
        <v/>
      </c>
    </row>
    <row r="2632" customFormat="false" ht="15" hidden="false" customHeight="false" outlineLevel="0" collapsed="false">
      <c r="A2632" s="13" t="n">
        <f aca="false">1+A2631</f>
        <v>2630</v>
      </c>
      <c r="B2632" s="14" t="n">
        <v>100</v>
      </c>
      <c r="C2632" s="15"/>
      <c r="D2632" s="16" t="s">
        <v>64</v>
      </c>
      <c r="E2632" s="17" t="s">
        <v>47</v>
      </c>
      <c r="F2632" s="18" t="s">
        <v>34</v>
      </c>
      <c r="G2632" s="19"/>
      <c r="H2632" s="17" t="s">
        <v>35</v>
      </c>
      <c r="I2632" s="17" t="s">
        <v>44</v>
      </c>
      <c r="J2632" s="17"/>
      <c r="K2632" s="17" t="e">
        <f aca="false">VLOOKUP(J2632,Sheet2!A:B,2,0)</f>
        <v>#N/A</v>
      </c>
      <c r="L2632" s="17" t="n">
        <v>5</v>
      </c>
      <c r="M2632" s="17" t="str">
        <f aca="false">VLOOKUP(L2632,Sheet2!D:E,2,0)</f>
        <v>Main Processor CPU BGA</v>
      </c>
      <c r="N2632" s="17" t="n">
        <v>1</v>
      </c>
      <c r="O2632" s="17" t="str">
        <f aca="false">VLOOKUP(N2632,Sheet2!G:H,2,0)</f>
        <v>Dead</v>
      </c>
      <c r="P2632" s="17" t="n">
        <v>11</v>
      </c>
      <c r="Q2632" s="17" t="str">
        <f aca="false">VLOOKUP(P2632,Sheet2!J:K,2,0)</f>
        <v>IR Declared due to CID -TA</v>
      </c>
      <c r="R2632" s="17" t="s">
        <v>35</v>
      </c>
      <c r="S2632" s="17" t="str">
        <f aca="false">VLOOKUP(R2632,Sheet2!N:O,2,0)</f>
        <v>IREPARABLE</v>
      </c>
      <c r="T2632" s="18" t="str">
        <f aca="false">VLOOKUP(P2632,Sheet2!Q:R,2,0)</f>
        <v>IR Normal - Track burn out</v>
      </c>
      <c r="U2632" s="20" t="s">
        <v>41</v>
      </c>
      <c r="V2632" s="17"/>
      <c r="W2632" s="20" t="e">
        <f aca="false">VLOOKUP(V2632,Sheet2!Q:R,2,0)</f>
        <v>#N/A</v>
      </c>
      <c r="X2632" s="17" t="n">
        <f aca="false">J2632</f>
        <v>0</v>
      </c>
      <c r="Y2632" s="17" t="e">
        <f aca="false">VLOOKUP(X2632,Sheet2!A:B,2,0)</f>
        <v>#N/A</v>
      </c>
      <c r="Z2632" s="17"/>
      <c r="AA2632" s="17"/>
      <c r="AB2632" s="17" t="s">
        <v>41</v>
      </c>
      <c r="AC2632" s="0" t="str">
        <f aca="false">LEFT(G2632,2)</f>
        <v/>
      </c>
    </row>
    <row r="2633" customFormat="false" ht="15" hidden="false" customHeight="false" outlineLevel="0" collapsed="false">
      <c r="A2633" s="13" t="n">
        <f aca="false">1+A2632</f>
        <v>2631</v>
      </c>
      <c r="B2633" s="14" t="n">
        <v>100</v>
      </c>
      <c r="C2633" s="15"/>
      <c r="D2633" s="16" t="s">
        <v>64</v>
      </c>
      <c r="E2633" s="17" t="s">
        <v>47</v>
      </c>
      <c r="F2633" s="18" t="s">
        <v>34</v>
      </c>
      <c r="G2633" s="19"/>
      <c r="H2633" s="17" t="s">
        <v>35</v>
      </c>
      <c r="I2633" s="17" t="s">
        <v>44</v>
      </c>
      <c r="J2633" s="17"/>
      <c r="K2633" s="17" t="e">
        <f aca="false">VLOOKUP(J2633,Sheet2!A:B,2,0)</f>
        <v>#N/A</v>
      </c>
      <c r="L2633" s="17" t="n">
        <v>5</v>
      </c>
      <c r="M2633" s="17" t="str">
        <f aca="false">VLOOKUP(L2633,Sheet2!D:E,2,0)</f>
        <v>Main Processor CPU BGA</v>
      </c>
      <c r="N2633" s="17" t="n">
        <v>1</v>
      </c>
      <c r="O2633" s="17" t="str">
        <f aca="false">VLOOKUP(N2633,Sheet2!G:H,2,0)</f>
        <v>Dead</v>
      </c>
      <c r="P2633" s="17" t="n">
        <v>11</v>
      </c>
      <c r="Q2633" s="17" t="str">
        <f aca="false">VLOOKUP(P2633,Sheet2!J:K,2,0)</f>
        <v>IR Declared due to CID -TA</v>
      </c>
      <c r="R2633" s="17" t="s">
        <v>35</v>
      </c>
      <c r="S2633" s="17" t="str">
        <f aca="false">VLOOKUP(R2633,Sheet2!N:O,2,0)</f>
        <v>IREPARABLE</v>
      </c>
      <c r="T2633" s="18" t="str">
        <f aca="false">VLOOKUP(P2633,Sheet2!Q:R,2,0)</f>
        <v>IR Normal - Track burn out</v>
      </c>
      <c r="U2633" s="20" t="s">
        <v>41</v>
      </c>
      <c r="V2633" s="17"/>
      <c r="W2633" s="20" t="e">
        <f aca="false">VLOOKUP(V2633,Sheet2!Q:R,2,0)</f>
        <v>#N/A</v>
      </c>
      <c r="X2633" s="17" t="n">
        <f aca="false">J2633</f>
        <v>0</v>
      </c>
      <c r="Y2633" s="17" t="e">
        <f aca="false">VLOOKUP(X2633,Sheet2!A:B,2,0)</f>
        <v>#N/A</v>
      </c>
      <c r="Z2633" s="17"/>
      <c r="AA2633" s="17"/>
      <c r="AB2633" s="17" t="s">
        <v>41</v>
      </c>
      <c r="AC2633" s="0" t="str">
        <f aca="false">LEFT(G2633,2)</f>
        <v/>
      </c>
    </row>
    <row r="2634" customFormat="false" ht="15" hidden="false" customHeight="false" outlineLevel="0" collapsed="false">
      <c r="A2634" s="13" t="n">
        <f aca="false">1+A2633</f>
        <v>2632</v>
      </c>
      <c r="B2634" s="14" t="n">
        <v>100</v>
      </c>
      <c r="C2634" s="15"/>
      <c r="D2634" s="16" t="s">
        <v>64</v>
      </c>
      <c r="E2634" s="17" t="s">
        <v>47</v>
      </c>
      <c r="F2634" s="18" t="s">
        <v>34</v>
      </c>
      <c r="G2634" s="19"/>
      <c r="H2634" s="17" t="s">
        <v>35</v>
      </c>
      <c r="I2634" s="17" t="s">
        <v>44</v>
      </c>
      <c r="J2634" s="17"/>
      <c r="K2634" s="17" t="e">
        <f aca="false">VLOOKUP(J2634,Sheet2!A:B,2,0)</f>
        <v>#N/A</v>
      </c>
      <c r="L2634" s="17" t="n">
        <v>5</v>
      </c>
      <c r="M2634" s="17" t="str">
        <f aca="false">VLOOKUP(L2634,Sheet2!D:E,2,0)</f>
        <v>Main Processor CPU BGA</v>
      </c>
      <c r="N2634" s="17" t="n">
        <v>1</v>
      </c>
      <c r="O2634" s="17" t="str">
        <f aca="false">VLOOKUP(N2634,Sheet2!G:H,2,0)</f>
        <v>Dead</v>
      </c>
      <c r="P2634" s="17" t="n">
        <v>11</v>
      </c>
      <c r="Q2634" s="17" t="str">
        <f aca="false">VLOOKUP(P2634,Sheet2!J:K,2,0)</f>
        <v>IR Declared due to CID -TA</v>
      </c>
      <c r="R2634" s="17" t="s">
        <v>35</v>
      </c>
      <c r="S2634" s="17" t="str">
        <f aca="false">VLOOKUP(R2634,Sheet2!N:O,2,0)</f>
        <v>IREPARABLE</v>
      </c>
      <c r="T2634" s="18" t="str">
        <f aca="false">VLOOKUP(P2634,Sheet2!Q:R,2,0)</f>
        <v>IR Normal - Track burn out</v>
      </c>
      <c r="U2634" s="20" t="s">
        <v>41</v>
      </c>
      <c r="V2634" s="17"/>
      <c r="W2634" s="20" t="e">
        <f aca="false">VLOOKUP(V2634,Sheet2!Q:R,2,0)</f>
        <v>#N/A</v>
      </c>
      <c r="X2634" s="17" t="n">
        <f aca="false">J2634</f>
        <v>0</v>
      </c>
      <c r="Y2634" s="17" t="e">
        <f aca="false">VLOOKUP(X2634,Sheet2!A:B,2,0)</f>
        <v>#N/A</v>
      </c>
      <c r="Z2634" s="17"/>
      <c r="AA2634" s="17"/>
      <c r="AB2634" s="17" t="s">
        <v>41</v>
      </c>
      <c r="AC2634" s="0" t="str">
        <f aca="false">LEFT(G2634,2)</f>
        <v/>
      </c>
    </row>
    <row r="2635" customFormat="false" ht="15" hidden="false" customHeight="false" outlineLevel="0" collapsed="false">
      <c r="A2635" s="13" t="n">
        <f aca="false">1+A2634</f>
        <v>2633</v>
      </c>
      <c r="B2635" s="14" t="n">
        <v>100</v>
      </c>
      <c r="C2635" s="15"/>
      <c r="D2635" s="16" t="s">
        <v>64</v>
      </c>
      <c r="E2635" s="17" t="s">
        <v>47</v>
      </c>
      <c r="F2635" s="18" t="s">
        <v>34</v>
      </c>
      <c r="G2635" s="19"/>
      <c r="H2635" s="17" t="s">
        <v>35</v>
      </c>
      <c r="I2635" s="17" t="s">
        <v>44</v>
      </c>
      <c r="J2635" s="17"/>
      <c r="K2635" s="17" t="e">
        <f aca="false">VLOOKUP(J2635,Sheet2!A:B,2,0)</f>
        <v>#N/A</v>
      </c>
      <c r="L2635" s="17" t="n">
        <v>5</v>
      </c>
      <c r="M2635" s="17" t="str">
        <f aca="false">VLOOKUP(L2635,Sheet2!D:E,2,0)</f>
        <v>Main Processor CPU BGA</v>
      </c>
      <c r="N2635" s="17" t="n">
        <v>1</v>
      </c>
      <c r="O2635" s="17" t="str">
        <f aca="false">VLOOKUP(N2635,Sheet2!G:H,2,0)</f>
        <v>Dead</v>
      </c>
      <c r="P2635" s="17" t="n">
        <v>11</v>
      </c>
      <c r="Q2635" s="17" t="str">
        <f aca="false">VLOOKUP(P2635,Sheet2!J:K,2,0)</f>
        <v>IR Declared due to CID -TA</v>
      </c>
      <c r="R2635" s="17" t="s">
        <v>35</v>
      </c>
      <c r="S2635" s="17" t="str">
        <f aca="false">VLOOKUP(R2635,Sheet2!N:O,2,0)</f>
        <v>IREPARABLE</v>
      </c>
      <c r="T2635" s="18" t="str">
        <f aca="false">VLOOKUP(P2635,Sheet2!Q:R,2,0)</f>
        <v>IR Normal - Track burn out</v>
      </c>
      <c r="U2635" s="20" t="s">
        <v>41</v>
      </c>
      <c r="V2635" s="17"/>
      <c r="W2635" s="20" t="e">
        <f aca="false">VLOOKUP(V2635,Sheet2!Q:R,2,0)</f>
        <v>#N/A</v>
      </c>
      <c r="X2635" s="17" t="n">
        <f aca="false">J2635</f>
        <v>0</v>
      </c>
      <c r="Y2635" s="17" t="e">
        <f aca="false">VLOOKUP(X2635,Sheet2!A:B,2,0)</f>
        <v>#N/A</v>
      </c>
      <c r="Z2635" s="17"/>
      <c r="AA2635" s="17"/>
      <c r="AB2635" s="17" t="s">
        <v>41</v>
      </c>
      <c r="AC2635" s="0" t="str">
        <f aca="false">LEFT(G2635,2)</f>
        <v/>
      </c>
    </row>
    <row r="2636" customFormat="false" ht="15" hidden="false" customHeight="false" outlineLevel="0" collapsed="false">
      <c r="A2636" s="13" t="n">
        <f aca="false">1+A2635</f>
        <v>2634</v>
      </c>
      <c r="B2636" s="14" t="n">
        <v>100</v>
      </c>
      <c r="C2636" s="15"/>
      <c r="D2636" s="16" t="s">
        <v>64</v>
      </c>
      <c r="E2636" s="17" t="s">
        <v>47</v>
      </c>
      <c r="F2636" s="18" t="s">
        <v>34</v>
      </c>
      <c r="G2636" s="19"/>
      <c r="H2636" s="17" t="s">
        <v>35</v>
      </c>
      <c r="I2636" s="17" t="s">
        <v>44</v>
      </c>
      <c r="J2636" s="17"/>
      <c r="K2636" s="17" t="e">
        <f aca="false">VLOOKUP(J2636,Sheet2!A:B,2,0)</f>
        <v>#N/A</v>
      </c>
      <c r="L2636" s="17" t="n">
        <v>5</v>
      </c>
      <c r="M2636" s="17" t="str">
        <f aca="false">VLOOKUP(L2636,Sheet2!D:E,2,0)</f>
        <v>Main Processor CPU BGA</v>
      </c>
      <c r="N2636" s="17" t="n">
        <v>1</v>
      </c>
      <c r="O2636" s="17" t="str">
        <f aca="false">VLOOKUP(N2636,Sheet2!G:H,2,0)</f>
        <v>Dead</v>
      </c>
      <c r="P2636" s="17" t="n">
        <v>11</v>
      </c>
      <c r="Q2636" s="17" t="str">
        <f aca="false">VLOOKUP(P2636,Sheet2!J:K,2,0)</f>
        <v>IR Declared due to CID -TA</v>
      </c>
      <c r="R2636" s="17" t="s">
        <v>35</v>
      </c>
      <c r="S2636" s="17" t="str">
        <f aca="false">VLOOKUP(R2636,Sheet2!N:O,2,0)</f>
        <v>IREPARABLE</v>
      </c>
      <c r="T2636" s="18" t="str">
        <f aca="false">VLOOKUP(P2636,Sheet2!Q:R,2,0)</f>
        <v>IR Normal - Track burn out</v>
      </c>
      <c r="U2636" s="20" t="s">
        <v>41</v>
      </c>
      <c r="V2636" s="17"/>
      <c r="W2636" s="20" t="e">
        <f aca="false">VLOOKUP(V2636,Sheet2!Q:R,2,0)</f>
        <v>#N/A</v>
      </c>
      <c r="X2636" s="17" t="n">
        <f aca="false">J2636</f>
        <v>0</v>
      </c>
      <c r="Y2636" s="17" t="e">
        <f aca="false">VLOOKUP(X2636,Sheet2!A:B,2,0)</f>
        <v>#N/A</v>
      </c>
      <c r="Z2636" s="17"/>
      <c r="AA2636" s="17"/>
      <c r="AB2636" s="17" t="s">
        <v>41</v>
      </c>
      <c r="AC2636" s="0" t="str">
        <f aca="false">LEFT(G2636,2)</f>
        <v/>
      </c>
    </row>
    <row r="2637" customFormat="false" ht="15" hidden="false" customHeight="false" outlineLevel="0" collapsed="false">
      <c r="A2637" s="13" t="n">
        <f aca="false">1+A2636</f>
        <v>2635</v>
      </c>
      <c r="B2637" s="14" t="n">
        <v>100</v>
      </c>
      <c r="C2637" s="15"/>
      <c r="D2637" s="16" t="s">
        <v>64</v>
      </c>
      <c r="E2637" s="17" t="s">
        <v>47</v>
      </c>
      <c r="F2637" s="18" t="s">
        <v>34</v>
      </c>
      <c r="G2637" s="19"/>
      <c r="H2637" s="17" t="s">
        <v>35</v>
      </c>
      <c r="I2637" s="17" t="s">
        <v>44</v>
      </c>
      <c r="J2637" s="17"/>
      <c r="K2637" s="17" t="e">
        <f aca="false">VLOOKUP(J2637,Sheet2!A:B,2,0)</f>
        <v>#N/A</v>
      </c>
      <c r="L2637" s="17" t="n">
        <v>5</v>
      </c>
      <c r="M2637" s="17" t="str">
        <f aca="false">VLOOKUP(L2637,Sheet2!D:E,2,0)</f>
        <v>Main Processor CPU BGA</v>
      </c>
      <c r="N2637" s="17" t="n">
        <v>1</v>
      </c>
      <c r="O2637" s="17" t="str">
        <f aca="false">VLOOKUP(N2637,Sheet2!G:H,2,0)</f>
        <v>Dead</v>
      </c>
      <c r="P2637" s="17" t="n">
        <v>11</v>
      </c>
      <c r="Q2637" s="17" t="str">
        <f aca="false">VLOOKUP(P2637,Sheet2!J:K,2,0)</f>
        <v>IR Declared due to CID -TA</v>
      </c>
      <c r="R2637" s="17" t="s">
        <v>35</v>
      </c>
      <c r="S2637" s="17" t="str">
        <f aca="false">VLOOKUP(R2637,Sheet2!N:O,2,0)</f>
        <v>IREPARABLE</v>
      </c>
      <c r="T2637" s="18" t="str">
        <f aca="false">VLOOKUP(P2637,Sheet2!Q:R,2,0)</f>
        <v>IR Normal - Track burn out</v>
      </c>
      <c r="U2637" s="20" t="s">
        <v>41</v>
      </c>
      <c r="V2637" s="17"/>
      <c r="W2637" s="20" t="e">
        <f aca="false">VLOOKUP(V2637,Sheet2!Q:R,2,0)</f>
        <v>#N/A</v>
      </c>
      <c r="X2637" s="17" t="n">
        <f aca="false">J2637</f>
        <v>0</v>
      </c>
      <c r="Y2637" s="17" t="e">
        <f aca="false">VLOOKUP(X2637,Sheet2!A:B,2,0)</f>
        <v>#N/A</v>
      </c>
      <c r="Z2637" s="17"/>
      <c r="AA2637" s="17"/>
      <c r="AB2637" s="17" t="s">
        <v>41</v>
      </c>
      <c r="AC2637" s="0" t="str">
        <f aca="false">LEFT(G2637,2)</f>
        <v/>
      </c>
    </row>
    <row r="2638" customFormat="false" ht="15" hidden="false" customHeight="false" outlineLevel="0" collapsed="false">
      <c r="A2638" s="13" t="n">
        <f aca="false">1+A2637</f>
        <v>2636</v>
      </c>
      <c r="B2638" s="14" t="n">
        <v>100</v>
      </c>
      <c r="C2638" s="15"/>
      <c r="D2638" s="16" t="s">
        <v>64</v>
      </c>
      <c r="E2638" s="17" t="s">
        <v>47</v>
      </c>
      <c r="F2638" s="18" t="s">
        <v>34</v>
      </c>
      <c r="G2638" s="19"/>
      <c r="H2638" s="17" t="s">
        <v>35</v>
      </c>
      <c r="I2638" s="17" t="s">
        <v>44</v>
      </c>
      <c r="J2638" s="17"/>
      <c r="K2638" s="17" t="e">
        <f aca="false">VLOOKUP(J2638,Sheet2!A:B,2,0)</f>
        <v>#N/A</v>
      </c>
      <c r="L2638" s="17" t="n">
        <v>5</v>
      </c>
      <c r="M2638" s="17" t="str">
        <f aca="false">VLOOKUP(L2638,Sheet2!D:E,2,0)</f>
        <v>Main Processor CPU BGA</v>
      </c>
      <c r="N2638" s="17" t="n">
        <v>1</v>
      </c>
      <c r="O2638" s="17" t="str">
        <f aca="false">VLOOKUP(N2638,Sheet2!G:H,2,0)</f>
        <v>Dead</v>
      </c>
      <c r="P2638" s="17" t="n">
        <v>11</v>
      </c>
      <c r="Q2638" s="17" t="str">
        <f aca="false">VLOOKUP(P2638,Sheet2!J:K,2,0)</f>
        <v>IR Declared due to CID -TA</v>
      </c>
      <c r="R2638" s="17" t="s">
        <v>35</v>
      </c>
      <c r="S2638" s="17" t="str">
        <f aca="false">VLOOKUP(R2638,Sheet2!N:O,2,0)</f>
        <v>IREPARABLE</v>
      </c>
      <c r="T2638" s="18" t="str">
        <f aca="false">VLOOKUP(P2638,Sheet2!Q:R,2,0)</f>
        <v>IR Normal - Track burn out</v>
      </c>
      <c r="U2638" s="20" t="s">
        <v>41</v>
      </c>
      <c r="V2638" s="17"/>
      <c r="W2638" s="20" t="e">
        <f aca="false">VLOOKUP(V2638,Sheet2!Q:R,2,0)</f>
        <v>#N/A</v>
      </c>
      <c r="X2638" s="17" t="n">
        <f aca="false">J2638</f>
        <v>0</v>
      </c>
      <c r="Y2638" s="17" t="e">
        <f aca="false">VLOOKUP(X2638,Sheet2!A:B,2,0)</f>
        <v>#N/A</v>
      </c>
      <c r="Z2638" s="17"/>
      <c r="AA2638" s="17"/>
      <c r="AB2638" s="17" t="s">
        <v>41</v>
      </c>
      <c r="AC2638" s="0" t="str">
        <f aca="false">LEFT(G2638,2)</f>
        <v/>
      </c>
    </row>
    <row r="2639" customFormat="false" ht="15" hidden="false" customHeight="false" outlineLevel="0" collapsed="false">
      <c r="A2639" s="13" t="n">
        <f aca="false">1+A2638</f>
        <v>2637</v>
      </c>
      <c r="B2639" s="14" t="n">
        <v>100</v>
      </c>
      <c r="C2639" s="15"/>
      <c r="D2639" s="16" t="s">
        <v>64</v>
      </c>
      <c r="E2639" s="17" t="s">
        <v>47</v>
      </c>
      <c r="F2639" s="18" t="s">
        <v>34</v>
      </c>
      <c r="G2639" s="19"/>
      <c r="H2639" s="17" t="s">
        <v>35</v>
      </c>
      <c r="I2639" s="17" t="s">
        <v>44</v>
      </c>
      <c r="J2639" s="17"/>
      <c r="K2639" s="17" t="e">
        <f aca="false">VLOOKUP(J2639,Sheet2!A:B,2,0)</f>
        <v>#N/A</v>
      </c>
      <c r="L2639" s="17" t="n">
        <v>5</v>
      </c>
      <c r="M2639" s="17" t="str">
        <f aca="false">VLOOKUP(L2639,Sheet2!D:E,2,0)</f>
        <v>Main Processor CPU BGA</v>
      </c>
      <c r="N2639" s="17" t="n">
        <v>1</v>
      </c>
      <c r="O2639" s="17" t="str">
        <f aca="false">VLOOKUP(N2639,Sheet2!G:H,2,0)</f>
        <v>Dead</v>
      </c>
      <c r="P2639" s="17" t="n">
        <v>11</v>
      </c>
      <c r="Q2639" s="17" t="str">
        <f aca="false">VLOOKUP(P2639,Sheet2!J:K,2,0)</f>
        <v>IR Declared due to CID -TA</v>
      </c>
      <c r="R2639" s="17" t="s">
        <v>35</v>
      </c>
      <c r="S2639" s="17" t="str">
        <f aca="false">VLOOKUP(R2639,Sheet2!N:O,2,0)</f>
        <v>IREPARABLE</v>
      </c>
      <c r="T2639" s="18" t="str">
        <f aca="false">VLOOKUP(P2639,Sheet2!Q:R,2,0)</f>
        <v>IR Normal - Track burn out</v>
      </c>
      <c r="U2639" s="20" t="s">
        <v>41</v>
      </c>
      <c r="V2639" s="17"/>
      <c r="W2639" s="20" t="e">
        <f aca="false">VLOOKUP(V2639,Sheet2!Q:R,2,0)</f>
        <v>#N/A</v>
      </c>
      <c r="X2639" s="17" t="n">
        <f aca="false">J2639</f>
        <v>0</v>
      </c>
      <c r="Y2639" s="17" t="e">
        <f aca="false">VLOOKUP(X2639,Sheet2!A:B,2,0)</f>
        <v>#N/A</v>
      </c>
      <c r="Z2639" s="17"/>
      <c r="AA2639" s="17"/>
      <c r="AB2639" s="17" t="s">
        <v>41</v>
      </c>
      <c r="AC2639" s="0" t="str">
        <f aca="false">LEFT(G2639,2)</f>
        <v/>
      </c>
    </row>
    <row r="2640" customFormat="false" ht="15" hidden="false" customHeight="false" outlineLevel="0" collapsed="false">
      <c r="A2640" s="13" t="n">
        <f aca="false">1+A2639</f>
        <v>2638</v>
      </c>
      <c r="B2640" s="14" t="n">
        <v>100</v>
      </c>
      <c r="C2640" s="15"/>
      <c r="D2640" s="16" t="s">
        <v>64</v>
      </c>
      <c r="E2640" s="17" t="s">
        <v>47</v>
      </c>
      <c r="F2640" s="18" t="s">
        <v>34</v>
      </c>
      <c r="G2640" s="19"/>
      <c r="H2640" s="17" t="s">
        <v>35</v>
      </c>
      <c r="I2640" s="17" t="s">
        <v>44</v>
      </c>
      <c r="J2640" s="17"/>
      <c r="K2640" s="17" t="e">
        <f aca="false">VLOOKUP(J2640,Sheet2!A:B,2,0)</f>
        <v>#N/A</v>
      </c>
      <c r="L2640" s="17" t="n">
        <v>5</v>
      </c>
      <c r="M2640" s="17" t="str">
        <f aca="false">VLOOKUP(L2640,Sheet2!D:E,2,0)</f>
        <v>Main Processor CPU BGA</v>
      </c>
      <c r="N2640" s="17" t="n">
        <v>1</v>
      </c>
      <c r="O2640" s="17" t="str">
        <f aca="false">VLOOKUP(N2640,Sheet2!G:H,2,0)</f>
        <v>Dead</v>
      </c>
      <c r="P2640" s="17" t="n">
        <v>11</v>
      </c>
      <c r="Q2640" s="17" t="str">
        <f aca="false">VLOOKUP(P2640,Sheet2!J:K,2,0)</f>
        <v>IR Declared due to CID -TA</v>
      </c>
      <c r="R2640" s="17" t="s">
        <v>35</v>
      </c>
      <c r="S2640" s="17" t="str">
        <f aca="false">VLOOKUP(R2640,Sheet2!N:O,2,0)</f>
        <v>IREPARABLE</v>
      </c>
      <c r="T2640" s="18" t="str">
        <f aca="false">VLOOKUP(P2640,Sheet2!Q:R,2,0)</f>
        <v>IR Normal - Track burn out</v>
      </c>
      <c r="U2640" s="20" t="s">
        <v>41</v>
      </c>
      <c r="V2640" s="17"/>
      <c r="W2640" s="20" t="e">
        <f aca="false">VLOOKUP(V2640,Sheet2!Q:R,2,0)</f>
        <v>#N/A</v>
      </c>
      <c r="X2640" s="17" t="n">
        <f aca="false">J2640</f>
        <v>0</v>
      </c>
      <c r="Y2640" s="17" t="e">
        <f aca="false">VLOOKUP(X2640,Sheet2!A:B,2,0)</f>
        <v>#N/A</v>
      </c>
      <c r="Z2640" s="17"/>
      <c r="AA2640" s="17"/>
      <c r="AB2640" s="17" t="s">
        <v>41</v>
      </c>
      <c r="AC2640" s="0" t="str">
        <f aca="false">LEFT(G2640,2)</f>
        <v/>
      </c>
    </row>
    <row r="2641" customFormat="false" ht="15" hidden="false" customHeight="false" outlineLevel="0" collapsed="false">
      <c r="A2641" s="13" t="n">
        <f aca="false">1+A2640</f>
        <v>2639</v>
      </c>
      <c r="B2641" s="14" t="n">
        <v>100</v>
      </c>
      <c r="C2641" s="15"/>
      <c r="D2641" s="16" t="s">
        <v>64</v>
      </c>
      <c r="E2641" s="17" t="s">
        <v>47</v>
      </c>
      <c r="F2641" s="18" t="s">
        <v>34</v>
      </c>
      <c r="G2641" s="19"/>
      <c r="H2641" s="17" t="s">
        <v>35</v>
      </c>
      <c r="I2641" s="17" t="s">
        <v>44</v>
      </c>
      <c r="J2641" s="17"/>
      <c r="K2641" s="17" t="e">
        <f aca="false">VLOOKUP(J2641,Sheet2!A:B,2,0)</f>
        <v>#N/A</v>
      </c>
      <c r="L2641" s="17" t="n">
        <v>5</v>
      </c>
      <c r="M2641" s="17" t="str">
        <f aca="false">VLOOKUP(L2641,Sheet2!D:E,2,0)</f>
        <v>Main Processor CPU BGA</v>
      </c>
      <c r="N2641" s="17" t="n">
        <v>1</v>
      </c>
      <c r="O2641" s="17" t="str">
        <f aca="false">VLOOKUP(N2641,Sheet2!G:H,2,0)</f>
        <v>Dead</v>
      </c>
      <c r="P2641" s="17" t="n">
        <v>11</v>
      </c>
      <c r="Q2641" s="17" t="str">
        <f aca="false">VLOOKUP(P2641,Sheet2!J:K,2,0)</f>
        <v>IR Declared due to CID -TA</v>
      </c>
      <c r="R2641" s="17" t="s">
        <v>35</v>
      </c>
      <c r="S2641" s="17" t="str">
        <f aca="false">VLOOKUP(R2641,Sheet2!N:O,2,0)</f>
        <v>IREPARABLE</v>
      </c>
      <c r="T2641" s="18" t="str">
        <f aca="false">VLOOKUP(P2641,Sheet2!Q:R,2,0)</f>
        <v>IR Normal - Track burn out</v>
      </c>
      <c r="U2641" s="20" t="s">
        <v>41</v>
      </c>
      <c r="V2641" s="17"/>
      <c r="W2641" s="20" t="e">
        <f aca="false">VLOOKUP(V2641,Sheet2!Q:R,2,0)</f>
        <v>#N/A</v>
      </c>
      <c r="X2641" s="17" t="n">
        <f aca="false">J2641</f>
        <v>0</v>
      </c>
      <c r="Y2641" s="17" t="e">
        <f aca="false">VLOOKUP(X2641,Sheet2!A:B,2,0)</f>
        <v>#N/A</v>
      </c>
      <c r="Z2641" s="17"/>
      <c r="AA2641" s="17"/>
      <c r="AB2641" s="17" t="s">
        <v>41</v>
      </c>
      <c r="AC2641" s="0" t="str">
        <f aca="false">LEFT(G2641,2)</f>
        <v/>
      </c>
    </row>
    <row r="2642" customFormat="false" ht="15" hidden="false" customHeight="false" outlineLevel="0" collapsed="false">
      <c r="A2642" s="13" t="n">
        <f aca="false">1+A2641</f>
        <v>2640</v>
      </c>
      <c r="B2642" s="14" t="n">
        <v>100</v>
      </c>
      <c r="C2642" s="15"/>
      <c r="D2642" s="16" t="s">
        <v>64</v>
      </c>
      <c r="E2642" s="17" t="s">
        <v>47</v>
      </c>
      <c r="F2642" s="18" t="s">
        <v>34</v>
      </c>
      <c r="G2642" s="19"/>
      <c r="H2642" s="17" t="s">
        <v>35</v>
      </c>
      <c r="I2642" s="17" t="s">
        <v>44</v>
      </c>
      <c r="J2642" s="17"/>
      <c r="K2642" s="17" t="e">
        <f aca="false">VLOOKUP(J2642,Sheet2!A:B,2,0)</f>
        <v>#N/A</v>
      </c>
      <c r="L2642" s="17" t="n">
        <v>5</v>
      </c>
      <c r="M2642" s="17" t="str">
        <f aca="false">VLOOKUP(L2642,Sheet2!D:E,2,0)</f>
        <v>Main Processor CPU BGA</v>
      </c>
      <c r="N2642" s="17" t="n">
        <v>1</v>
      </c>
      <c r="O2642" s="17" t="str">
        <f aca="false">VLOOKUP(N2642,Sheet2!G:H,2,0)</f>
        <v>Dead</v>
      </c>
      <c r="P2642" s="17" t="n">
        <v>11</v>
      </c>
      <c r="Q2642" s="17" t="str">
        <f aca="false">VLOOKUP(P2642,Sheet2!J:K,2,0)</f>
        <v>IR Declared due to CID -TA</v>
      </c>
      <c r="R2642" s="17" t="s">
        <v>35</v>
      </c>
      <c r="S2642" s="17" t="str">
        <f aca="false">VLOOKUP(R2642,Sheet2!N:O,2,0)</f>
        <v>IREPARABLE</v>
      </c>
      <c r="T2642" s="18" t="str">
        <f aca="false">VLOOKUP(P2642,Sheet2!Q:R,2,0)</f>
        <v>IR Normal - Track burn out</v>
      </c>
      <c r="U2642" s="20" t="s">
        <v>41</v>
      </c>
      <c r="V2642" s="17"/>
      <c r="W2642" s="20" t="e">
        <f aca="false">VLOOKUP(V2642,Sheet2!Q:R,2,0)</f>
        <v>#N/A</v>
      </c>
      <c r="X2642" s="17" t="n">
        <f aca="false">J2642</f>
        <v>0</v>
      </c>
      <c r="Y2642" s="17" t="e">
        <f aca="false">VLOOKUP(X2642,Sheet2!A:B,2,0)</f>
        <v>#N/A</v>
      </c>
      <c r="Z2642" s="17"/>
      <c r="AA2642" s="17"/>
      <c r="AB2642" s="17" t="s">
        <v>41</v>
      </c>
      <c r="AC2642" s="0" t="str">
        <f aca="false">LEFT(G2642,2)</f>
        <v/>
      </c>
    </row>
    <row r="2643" customFormat="false" ht="15" hidden="false" customHeight="false" outlineLevel="0" collapsed="false">
      <c r="A2643" s="13" t="n">
        <f aca="false">1+A2642</f>
        <v>2641</v>
      </c>
      <c r="B2643" s="14" t="n">
        <v>100</v>
      </c>
      <c r="C2643" s="15"/>
      <c r="D2643" s="16" t="s">
        <v>64</v>
      </c>
      <c r="E2643" s="17" t="s">
        <v>47</v>
      </c>
      <c r="F2643" s="18" t="s">
        <v>34</v>
      </c>
      <c r="G2643" s="19"/>
      <c r="H2643" s="17" t="s">
        <v>35</v>
      </c>
      <c r="I2643" s="17" t="s">
        <v>44</v>
      </c>
      <c r="J2643" s="17"/>
      <c r="K2643" s="17" t="e">
        <f aca="false">VLOOKUP(J2643,Sheet2!A:B,2,0)</f>
        <v>#N/A</v>
      </c>
      <c r="L2643" s="17" t="n">
        <v>5</v>
      </c>
      <c r="M2643" s="17" t="str">
        <f aca="false">VLOOKUP(L2643,Sheet2!D:E,2,0)</f>
        <v>Main Processor CPU BGA</v>
      </c>
      <c r="N2643" s="17" t="n">
        <v>1</v>
      </c>
      <c r="O2643" s="17" t="str">
        <f aca="false">VLOOKUP(N2643,Sheet2!G:H,2,0)</f>
        <v>Dead</v>
      </c>
      <c r="P2643" s="17" t="n">
        <v>11</v>
      </c>
      <c r="Q2643" s="17" t="str">
        <f aca="false">VLOOKUP(P2643,Sheet2!J:K,2,0)</f>
        <v>IR Declared due to CID -TA</v>
      </c>
      <c r="R2643" s="17" t="s">
        <v>35</v>
      </c>
      <c r="S2643" s="17" t="str">
        <f aca="false">VLOOKUP(R2643,Sheet2!N:O,2,0)</f>
        <v>IREPARABLE</v>
      </c>
      <c r="T2643" s="18" t="str">
        <f aca="false">VLOOKUP(P2643,Sheet2!Q:R,2,0)</f>
        <v>IR Normal - Track burn out</v>
      </c>
      <c r="U2643" s="20" t="s">
        <v>41</v>
      </c>
      <c r="V2643" s="17"/>
      <c r="W2643" s="20" t="e">
        <f aca="false">VLOOKUP(V2643,Sheet2!Q:R,2,0)</f>
        <v>#N/A</v>
      </c>
      <c r="X2643" s="17" t="n">
        <f aca="false">J2643</f>
        <v>0</v>
      </c>
      <c r="Y2643" s="17" t="e">
        <f aca="false">VLOOKUP(X2643,Sheet2!A:B,2,0)</f>
        <v>#N/A</v>
      </c>
      <c r="Z2643" s="17"/>
      <c r="AA2643" s="17"/>
      <c r="AB2643" s="17" t="s">
        <v>41</v>
      </c>
      <c r="AC2643" s="0" t="str">
        <f aca="false">LEFT(G2643,2)</f>
        <v/>
      </c>
    </row>
    <row r="2644" customFormat="false" ht="15" hidden="false" customHeight="false" outlineLevel="0" collapsed="false">
      <c r="A2644" s="13" t="n">
        <f aca="false">1+A2643</f>
        <v>2642</v>
      </c>
      <c r="B2644" s="14" t="n">
        <v>100</v>
      </c>
      <c r="C2644" s="15"/>
      <c r="D2644" s="16" t="s">
        <v>64</v>
      </c>
      <c r="E2644" s="17" t="s">
        <v>47</v>
      </c>
      <c r="F2644" s="18" t="s">
        <v>34</v>
      </c>
      <c r="G2644" s="19"/>
      <c r="H2644" s="17" t="s">
        <v>35</v>
      </c>
      <c r="I2644" s="17" t="s">
        <v>44</v>
      </c>
      <c r="J2644" s="17"/>
      <c r="K2644" s="17" t="e">
        <f aca="false">VLOOKUP(J2644,Sheet2!A:B,2,0)</f>
        <v>#N/A</v>
      </c>
      <c r="L2644" s="17" t="n">
        <v>5</v>
      </c>
      <c r="M2644" s="17" t="str">
        <f aca="false">VLOOKUP(L2644,Sheet2!D:E,2,0)</f>
        <v>Main Processor CPU BGA</v>
      </c>
      <c r="N2644" s="17" t="n">
        <v>1</v>
      </c>
      <c r="O2644" s="17" t="str">
        <f aca="false">VLOOKUP(N2644,Sheet2!G:H,2,0)</f>
        <v>Dead</v>
      </c>
      <c r="P2644" s="17" t="n">
        <v>11</v>
      </c>
      <c r="Q2644" s="17" t="str">
        <f aca="false">VLOOKUP(P2644,Sheet2!J:K,2,0)</f>
        <v>IR Declared due to CID -TA</v>
      </c>
      <c r="R2644" s="17" t="s">
        <v>35</v>
      </c>
      <c r="S2644" s="17" t="str">
        <f aca="false">VLOOKUP(R2644,Sheet2!N:O,2,0)</f>
        <v>IREPARABLE</v>
      </c>
      <c r="T2644" s="18" t="str">
        <f aca="false">VLOOKUP(P2644,Sheet2!Q:R,2,0)</f>
        <v>IR Normal - Track burn out</v>
      </c>
      <c r="U2644" s="20" t="s">
        <v>41</v>
      </c>
      <c r="V2644" s="17"/>
      <c r="W2644" s="20" t="e">
        <f aca="false">VLOOKUP(V2644,Sheet2!Q:R,2,0)</f>
        <v>#N/A</v>
      </c>
      <c r="X2644" s="17" t="n">
        <f aca="false">J2644</f>
        <v>0</v>
      </c>
      <c r="Y2644" s="17" t="e">
        <f aca="false">VLOOKUP(X2644,Sheet2!A:B,2,0)</f>
        <v>#N/A</v>
      </c>
      <c r="Z2644" s="17"/>
      <c r="AA2644" s="17"/>
      <c r="AB2644" s="17" t="s">
        <v>41</v>
      </c>
      <c r="AC2644" s="0" t="str">
        <f aca="false">LEFT(G2644,2)</f>
        <v/>
      </c>
    </row>
    <row r="2645" customFormat="false" ht="15" hidden="false" customHeight="false" outlineLevel="0" collapsed="false">
      <c r="A2645" s="13" t="n">
        <f aca="false">1+A2644</f>
        <v>2643</v>
      </c>
      <c r="B2645" s="14" t="n">
        <v>100</v>
      </c>
      <c r="C2645" s="15"/>
      <c r="D2645" s="16" t="s">
        <v>64</v>
      </c>
      <c r="E2645" s="17" t="s">
        <v>47</v>
      </c>
      <c r="F2645" s="18" t="s">
        <v>34</v>
      </c>
      <c r="G2645" s="19"/>
      <c r="H2645" s="17" t="s">
        <v>35</v>
      </c>
      <c r="I2645" s="17" t="s">
        <v>44</v>
      </c>
      <c r="J2645" s="17"/>
      <c r="K2645" s="17" t="e">
        <f aca="false">VLOOKUP(J2645,Sheet2!A:B,2,0)</f>
        <v>#N/A</v>
      </c>
      <c r="L2645" s="17" t="n">
        <v>5</v>
      </c>
      <c r="M2645" s="17" t="str">
        <f aca="false">VLOOKUP(L2645,Sheet2!D:E,2,0)</f>
        <v>Main Processor CPU BGA</v>
      </c>
      <c r="N2645" s="17" t="n">
        <v>1</v>
      </c>
      <c r="O2645" s="17" t="str">
        <f aca="false">VLOOKUP(N2645,Sheet2!G:H,2,0)</f>
        <v>Dead</v>
      </c>
      <c r="P2645" s="17" t="n">
        <v>11</v>
      </c>
      <c r="Q2645" s="17" t="str">
        <f aca="false">VLOOKUP(P2645,Sheet2!J:K,2,0)</f>
        <v>IR Declared due to CID -TA</v>
      </c>
      <c r="R2645" s="17" t="s">
        <v>35</v>
      </c>
      <c r="S2645" s="17" t="str">
        <f aca="false">VLOOKUP(R2645,Sheet2!N:O,2,0)</f>
        <v>IREPARABLE</v>
      </c>
      <c r="T2645" s="18" t="str">
        <f aca="false">VLOOKUP(P2645,Sheet2!Q:R,2,0)</f>
        <v>IR Normal - Track burn out</v>
      </c>
      <c r="U2645" s="20" t="s">
        <v>41</v>
      </c>
      <c r="V2645" s="17"/>
      <c r="W2645" s="20" t="e">
        <f aca="false">VLOOKUP(V2645,Sheet2!Q:R,2,0)</f>
        <v>#N/A</v>
      </c>
      <c r="X2645" s="17" t="n">
        <f aca="false">J2645</f>
        <v>0</v>
      </c>
      <c r="Y2645" s="17" t="e">
        <f aca="false">VLOOKUP(X2645,Sheet2!A:B,2,0)</f>
        <v>#N/A</v>
      </c>
      <c r="Z2645" s="17"/>
      <c r="AA2645" s="17"/>
      <c r="AB2645" s="17" t="s">
        <v>41</v>
      </c>
      <c r="AC2645" s="0" t="str">
        <f aca="false">LEFT(G2645,2)</f>
        <v/>
      </c>
    </row>
    <row r="2646" customFormat="false" ht="15" hidden="false" customHeight="false" outlineLevel="0" collapsed="false">
      <c r="A2646" s="13" t="n">
        <f aca="false">1+A2645</f>
        <v>2644</v>
      </c>
      <c r="B2646" s="14" t="n">
        <v>100</v>
      </c>
      <c r="C2646" s="15"/>
      <c r="D2646" s="16" t="s">
        <v>64</v>
      </c>
      <c r="E2646" s="17" t="s">
        <v>47</v>
      </c>
      <c r="F2646" s="18" t="s">
        <v>34</v>
      </c>
      <c r="G2646" s="19"/>
      <c r="H2646" s="17" t="s">
        <v>35</v>
      </c>
      <c r="I2646" s="17" t="s">
        <v>44</v>
      </c>
      <c r="J2646" s="17"/>
      <c r="K2646" s="17" t="e">
        <f aca="false">VLOOKUP(J2646,Sheet2!A:B,2,0)</f>
        <v>#N/A</v>
      </c>
      <c r="L2646" s="17" t="n">
        <v>5</v>
      </c>
      <c r="M2646" s="17" t="str">
        <f aca="false">VLOOKUP(L2646,Sheet2!D:E,2,0)</f>
        <v>Main Processor CPU BGA</v>
      </c>
      <c r="N2646" s="17" t="n">
        <v>1</v>
      </c>
      <c r="O2646" s="17" t="str">
        <f aca="false">VLOOKUP(N2646,Sheet2!G:H,2,0)</f>
        <v>Dead</v>
      </c>
      <c r="P2646" s="17" t="n">
        <v>11</v>
      </c>
      <c r="Q2646" s="17" t="str">
        <f aca="false">VLOOKUP(P2646,Sheet2!J:K,2,0)</f>
        <v>IR Declared due to CID -TA</v>
      </c>
      <c r="R2646" s="17" t="s">
        <v>35</v>
      </c>
      <c r="S2646" s="17" t="str">
        <f aca="false">VLOOKUP(R2646,Sheet2!N:O,2,0)</f>
        <v>IREPARABLE</v>
      </c>
      <c r="T2646" s="18" t="str">
        <f aca="false">VLOOKUP(P2646,Sheet2!Q:R,2,0)</f>
        <v>IR Normal - Track burn out</v>
      </c>
      <c r="U2646" s="20" t="s">
        <v>41</v>
      </c>
      <c r="V2646" s="17"/>
      <c r="W2646" s="20" t="e">
        <f aca="false">VLOOKUP(V2646,Sheet2!Q:R,2,0)</f>
        <v>#N/A</v>
      </c>
      <c r="X2646" s="17" t="n">
        <f aca="false">J2646</f>
        <v>0</v>
      </c>
      <c r="Y2646" s="17" t="e">
        <f aca="false">VLOOKUP(X2646,Sheet2!A:B,2,0)</f>
        <v>#N/A</v>
      </c>
      <c r="Z2646" s="17"/>
      <c r="AA2646" s="17"/>
      <c r="AB2646" s="17" t="s">
        <v>41</v>
      </c>
      <c r="AC2646" s="0" t="str">
        <f aca="false">LEFT(G2646,2)</f>
        <v/>
      </c>
    </row>
    <row r="2647" customFormat="false" ht="15" hidden="false" customHeight="false" outlineLevel="0" collapsed="false">
      <c r="A2647" s="13" t="n">
        <f aca="false">1+A2646</f>
        <v>2645</v>
      </c>
      <c r="B2647" s="14" t="n">
        <v>100</v>
      </c>
      <c r="C2647" s="15"/>
      <c r="D2647" s="16" t="s">
        <v>64</v>
      </c>
      <c r="E2647" s="17" t="s">
        <v>47</v>
      </c>
      <c r="F2647" s="18" t="s">
        <v>34</v>
      </c>
      <c r="G2647" s="19"/>
      <c r="H2647" s="17" t="s">
        <v>35</v>
      </c>
      <c r="I2647" s="17" t="s">
        <v>44</v>
      </c>
      <c r="J2647" s="17"/>
      <c r="K2647" s="17" t="e">
        <f aca="false">VLOOKUP(J2647,Sheet2!A:B,2,0)</f>
        <v>#N/A</v>
      </c>
      <c r="L2647" s="17" t="n">
        <v>5</v>
      </c>
      <c r="M2647" s="17" t="str">
        <f aca="false">VLOOKUP(L2647,Sheet2!D:E,2,0)</f>
        <v>Main Processor CPU BGA</v>
      </c>
      <c r="N2647" s="17" t="n">
        <v>1</v>
      </c>
      <c r="O2647" s="17" t="str">
        <f aca="false">VLOOKUP(N2647,Sheet2!G:H,2,0)</f>
        <v>Dead</v>
      </c>
      <c r="P2647" s="17" t="n">
        <v>11</v>
      </c>
      <c r="Q2647" s="17" t="str">
        <f aca="false">VLOOKUP(P2647,Sheet2!J:K,2,0)</f>
        <v>IR Declared due to CID -TA</v>
      </c>
      <c r="R2647" s="17" t="s">
        <v>35</v>
      </c>
      <c r="S2647" s="17" t="str">
        <f aca="false">VLOOKUP(R2647,Sheet2!N:O,2,0)</f>
        <v>IREPARABLE</v>
      </c>
      <c r="T2647" s="18" t="str">
        <f aca="false">VLOOKUP(P2647,Sheet2!Q:R,2,0)</f>
        <v>IR Normal - Track burn out</v>
      </c>
      <c r="U2647" s="20" t="s">
        <v>41</v>
      </c>
      <c r="V2647" s="17"/>
      <c r="W2647" s="20" t="e">
        <f aca="false">VLOOKUP(V2647,Sheet2!Q:R,2,0)</f>
        <v>#N/A</v>
      </c>
      <c r="X2647" s="17" t="n">
        <f aca="false">J2647</f>
        <v>0</v>
      </c>
      <c r="Y2647" s="17" t="e">
        <f aca="false">VLOOKUP(X2647,Sheet2!A:B,2,0)</f>
        <v>#N/A</v>
      </c>
      <c r="Z2647" s="17"/>
      <c r="AA2647" s="17"/>
      <c r="AB2647" s="17" t="s">
        <v>41</v>
      </c>
      <c r="AC2647" s="0" t="str">
        <f aca="false">LEFT(G2647,2)</f>
        <v/>
      </c>
    </row>
    <row r="2648" customFormat="false" ht="15" hidden="false" customHeight="false" outlineLevel="0" collapsed="false">
      <c r="A2648" s="13" t="n">
        <f aca="false">1+A2647</f>
        <v>2646</v>
      </c>
      <c r="B2648" s="14" t="n">
        <v>100</v>
      </c>
      <c r="C2648" s="15"/>
      <c r="D2648" s="16" t="s">
        <v>64</v>
      </c>
      <c r="E2648" s="17" t="s">
        <v>47</v>
      </c>
      <c r="F2648" s="18" t="s">
        <v>34</v>
      </c>
      <c r="G2648" s="19"/>
      <c r="H2648" s="17" t="s">
        <v>35</v>
      </c>
      <c r="I2648" s="17" t="s">
        <v>44</v>
      </c>
      <c r="J2648" s="17"/>
      <c r="K2648" s="17" t="e">
        <f aca="false">VLOOKUP(J2648,Sheet2!A:B,2,0)</f>
        <v>#N/A</v>
      </c>
      <c r="L2648" s="17" t="n">
        <v>5</v>
      </c>
      <c r="M2648" s="17" t="str">
        <f aca="false">VLOOKUP(L2648,Sheet2!D:E,2,0)</f>
        <v>Main Processor CPU BGA</v>
      </c>
      <c r="N2648" s="17" t="n">
        <v>1</v>
      </c>
      <c r="O2648" s="17" t="str">
        <f aca="false">VLOOKUP(N2648,Sheet2!G:H,2,0)</f>
        <v>Dead</v>
      </c>
      <c r="P2648" s="17" t="n">
        <v>11</v>
      </c>
      <c r="Q2648" s="17" t="str">
        <f aca="false">VLOOKUP(P2648,Sheet2!J:K,2,0)</f>
        <v>IR Declared due to CID -TA</v>
      </c>
      <c r="R2648" s="17" t="s">
        <v>35</v>
      </c>
      <c r="S2648" s="17" t="str">
        <f aca="false">VLOOKUP(R2648,Sheet2!N:O,2,0)</f>
        <v>IREPARABLE</v>
      </c>
      <c r="T2648" s="18" t="str">
        <f aca="false">VLOOKUP(P2648,Sheet2!Q:R,2,0)</f>
        <v>IR Normal - Track burn out</v>
      </c>
      <c r="U2648" s="20" t="s">
        <v>41</v>
      </c>
      <c r="V2648" s="17"/>
      <c r="W2648" s="20" t="e">
        <f aca="false">VLOOKUP(V2648,Sheet2!Q:R,2,0)</f>
        <v>#N/A</v>
      </c>
      <c r="X2648" s="17" t="n">
        <f aca="false">J2648</f>
        <v>0</v>
      </c>
      <c r="Y2648" s="17" t="e">
        <f aca="false">VLOOKUP(X2648,Sheet2!A:B,2,0)</f>
        <v>#N/A</v>
      </c>
      <c r="Z2648" s="17"/>
      <c r="AA2648" s="17"/>
      <c r="AB2648" s="17" t="s">
        <v>41</v>
      </c>
      <c r="AC2648" s="0" t="str">
        <f aca="false">LEFT(G2648,2)</f>
        <v/>
      </c>
    </row>
    <row r="2649" customFormat="false" ht="15" hidden="false" customHeight="false" outlineLevel="0" collapsed="false">
      <c r="A2649" s="13" t="n">
        <f aca="false">1+A2648</f>
        <v>2647</v>
      </c>
      <c r="B2649" s="14" t="n">
        <v>100</v>
      </c>
      <c r="C2649" s="15"/>
      <c r="D2649" s="16" t="s">
        <v>64</v>
      </c>
      <c r="E2649" s="17" t="s">
        <v>47</v>
      </c>
      <c r="F2649" s="18" t="s">
        <v>34</v>
      </c>
      <c r="G2649" s="19"/>
      <c r="H2649" s="17" t="s">
        <v>35</v>
      </c>
      <c r="I2649" s="17" t="s">
        <v>44</v>
      </c>
      <c r="J2649" s="17"/>
      <c r="K2649" s="17" t="e">
        <f aca="false">VLOOKUP(J2649,Sheet2!A:B,2,0)</f>
        <v>#N/A</v>
      </c>
      <c r="L2649" s="17" t="n">
        <v>5</v>
      </c>
      <c r="M2649" s="17" t="str">
        <f aca="false">VLOOKUP(L2649,Sheet2!D:E,2,0)</f>
        <v>Main Processor CPU BGA</v>
      </c>
      <c r="N2649" s="17" t="n">
        <v>1</v>
      </c>
      <c r="O2649" s="17" t="str">
        <f aca="false">VLOOKUP(N2649,Sheet2!G:H,2,0)</f>
        <v>Dead</v>
      </c>
      <c r="P2649" s="17" t="n">
        <v>11</v>
      </c>
      <c r="Q2649" s="17" t="str">
        <f aca="false">VLOOKUP(P2649,Sheet2!J:K,2,0)</f>
        <v>IR Declared due to CID -TA</v>
      </c>
      <c r="R2649" s="17" t="s">
        <v>35</v>
      </c>
      <c r="S2649" s="17" t="str">
        <f aca="false">VLOOKUP(R2649,Sheet2!N:O,2,0)</f>
        <v>IREPARABLE</v>
      </c>
      <c r="T2649" s="18" t="str">
        <f aca="false">VLOOKUP(P2649,Sheet2!Q:R,2,0)</f>
        <v>IR Normal - Track burn out</v>
      </c>
      <c r="U2649" s="20" t="s">
        <v>41</v>
      </c>
      <c r="V2649" s="17"/>
      <c r="W2649" s="20" t="e">
        <f aca="false">VLOOKUP(V2649,Sheet2!Q:R,2,0)</f>
        <v>#N/A</v>
      </c>
      <c r="X2649" s="17" t="n">
        <f aca="false">J2649</f>
        <v>0</v>
      </c>
      <c r="Y2649" s="17" t="e">
        <f aca="false">VLOOKUP(X2649,Sheet2!A:B,2,0)</f>
        <v>#N/A</v>
      </c>
      <c r="Z2649" s="17"/>
      <c r="AA2649" s="17"/>
      <c r="AB2649" s="17" t="s">
        <v>41</v>
      </c>
      <c r="AC2649" s="0" t="str">
        <f aca="false">LEFT(G2649,2)</f>
        <v/>
      </c>
    </row>
    <row r="2650" customFormat="false" ht="15" hidden="false" customHeight="false" outlineLevel="0" collapsed="false">
      <c r="A2650" s="13" t="n">
        <f aca="false">1+A2649</f>
        <v>2648</v>
      </c>
      <c r="B2650" s="14" t="n">
        <v>100</v>
      </c>
      <c r="C2650" s="15"/>
      <c r="D2650" s="16" t="s">
        <v>64</v>
      </c>
      <c r="E2650" s="17" t="s">
        <v>47</v>
      </c>
      <c r="F2650" s="18" t="s">
        <v>34</v>
      </c>
      <c r="G2650" s="19"/>
      <c r="H2650" s="17" t="s">
        <v>35</v>
      </c>
      <c r="I2650" s="17" t="s">
        <v>44</v>
      </c>
      <c r="J2650" s="17"/>
      <c r="K2650" s="17" t="e">
        <f aca="false">VLOOKUP(J2650,Sheet2!A:B,2,0)</f>
        <v>#N/A</v>
      </c>
      <c r="L2650" s="17" t="n">
        <v>5</v>
      </c>
      <c r="M2650" s="17" t="str">
        <f aca="false">VLOOKUP(L2650,Sheet2!D:E,2,0)</f>
        <v>Main Processor CPU BGA</v>
      </c>
      <c r="N2650" s="17" t="n">
        <v>1</v>
      </c>
      <c r="O2650" s="17" t="str">
        <f aca="false">VLOOKUP(N2650,Sheet2!G:H,2,0)</f>
        <v>Dead</v>
      </c>
      <c r="P2650" s="17" t="n">
        <v>11</v>
      </c>
      <c r="Q2650" s="17" t="str">
        <f aca="false">VLOOKUP(P2650,Sheet2!J:K,2,0)</f>
        <v>IR Declared due to CID -TA</v>
      </c>
      <c r="R2650" s="17" t="s">
        <v>35</v>
      </c>
      <c r="S2650" s="17" t="str">
        <f aca="false">VLOOKUP(R2650,Sheet2!N:O,2,0)</f>
        <v>IREPARABLE</v>
      </c>
      <c r="T2650" s="18" t="str">
        <f aca="false">VLOOKUP(P2650,Sheet2!Q:R,2,0)</f>
        <v>IR Normal - Track burn out</v>
      </c>
      <c r="U2650" s="20" t="s">
        <v>41</v>
      </c>
      <c r="V2650" s="17"/>
      <c r="W2650" s="20" t="e">
        <f aca="false">VLOOKUP(V2650,Sheet2!Q:R,2,0)</f>
        <v>#N/A</v>
      </c>
      <c r="X2650" s="17" t="n">
        <f aca="false">J2650</f>
        <v>0</v>
      </c>
      <c r="Y2650" s="17" t="e">
        <f aca="false">VLOOKUP(X2650,Sheet2!A:B,2,0)</f>
        <v>#N/A</v>
      </c>
      <c r="Z2650" s="17"/>
      <c r="AA2650" s="17"/>
      <c r="AB2650" s="17" t="s">
        <v>41</v>
      </c>
      <c r="AC2650" s="0" t="str">
        <f aca="false">LEFT(G2650,2)</f>
        <v/>
      </c>
    </row>
    <row r="2651" customFormat="false" ht="15" hidden="false" customHeight="false" outlineLevel="0" collapsed="false">
      <c r="A2651" s="13" t="n">
        <f aca="false">1+A2650</f>
        <v>2649</v>
      </c>
      <c r="B2651" s="14" t="n">
        <v>100</v>
      </c>
      <c r="C2651" s="15"/>
      <c r="D2651" s="16" t="s">
        <v>64</v>
      </c>
      <c r="E2651" s="17" t="s">
        <v>47</v>
      </c>
      <c r="F2651" s="18" t="s">
        <v>34</v>
      </c>
      <c r="G2651" s="19"/>
      <c r="H2651" s="17" t="s">
        <v>35</v>
      </c>
      <c r="I2651" s="17" t="s">
        <v>44</v>
      </c>
      <c r="J2651" s="17"/>
      <c r="K2651" s="17" t="e">
        <f aca="false">VLOOKUP(J2651,Sheet2!A:B,2,0)</f>
        <v>#N/A</v>
      </c>
      <c r="L2651" s="17" t="n">
        <v>5</v>
      </c>
      <c r="M2651" s="17" t="str">
        <f aca="false">VLOOKUP(L2651,Sheet2!D:E,2,0)</f>
        <v>Main Processor CPU BGA</v>
      </c>
      <c r="N2651" s="17" t="n">
        <v>1</v>
      </c>
      <c r="O2651" s="17" t="str">
        <f aca="false">VLOOKUP(N2651,Sheet2!G:H,2,0)</f>
        <v>Dead</v>
      </c>
      <c r="P2651" s="17" t="n">
        <v>11</v>
      </c>
      <c r="Q2651" s="17" t="str">
        <f aca="false">VLOOKUP(P2651,Sheet2!J:K,2,0)</f>
        <v>IR Declared due to CID -TA</v>
      </c>
      <c r="R2651" s="17" t="s">
        <v>35</v>
      </c>
      <c r="S2651" s="17" t="str">
        <f aca="false">VLOOKUP(R2651,Sheet2!N:O,2,0)</f>
        <v>IREPARABLE</v>
      </c>
      <c r="T2651" s="18" t="str">
        <f aca="false">VLOOKUP(P2651,Sheet2!Q:R,2,0)</f>
        <v>IR Normal - Track burn out</v>
      </c>
      <c r="U2651" s="20" t="s">
        <v>41</v>
      </c>
      <c r="V2651" s="17"/>
      <c r="W2651" s="20" t="e">
        <f aca="false">VLOOKUP(V2651,Sheet2!Q:R,2,0)</f>
        <v>#N/A</v>
      </c>
      <c r="X2651" s="17" t="n">
        <f aca="false">J2651</f>
        <v>0</v>
      </c>
      <c r="Y2651" s="17" t="e">
        <f aca="false">VLOOKUP(X2651,Sheet2!A:B,2,0)</f>
        <v>#N/A</v>
      </c>
      <c r="Z2651" s="17"/>
      <c r="AA2651" s="17"/>
      <c r="AB2651" s="17" t="s">
        <v>41</v>
      </c>
      <c r="AC2651" s="0" t="str">
        <f aca="false">LEFT(G2651,2)</f>
        <v/>
      </c>
    </row>
    <row r="2652" customFormat="false" ht="15" hidden="false" customHeight="false" outlineLevel="0" collapsed="false">
      <c r="A2652" s="13" t="n">
        <f aca="false">1+A2651</f>
        <v>2650</v>
      </c>
      <c r="B2652" s="14" t="n">
        <v>100</v>
      </c>
      <c r="C2652" s="15"/>
      <c r="D2652" s="16" t="s">
        <v>64</v>
      </c>
      <c r="E2652" s="17" t="s">
        <v>47</v>
      </c>
      <c r="F2652" s="18" t="s">
        <v>34</v>
      </c>
      <c r="G2652" s="19"/>
      <c r="H2652" s="17" t="s">
        <v>35</v>
      </c>
      <c r="I2652" s="17" t="s">
        <v>44</v>
      </c>
      <c r="J2652" s="17"/>
      <c r="K2652" s="17" t="e">
        <f aca="false">VLOOKUP(J2652,Sheet2!A:B,2,0)</f>
        <v>#N/A</v>
      </c>
      <c r="L2652" s="17" t="n">
        <v>5</v>
      </c>
      <c r="M2652" s="17" t="str">
        <f aca="false">VLOOKUP(L2652,Sheet2!D:E,2,0)</f>
        <v>Main Processor CPU BGA</v>
      </c>
      <c r="N2652" s="17" t="n">
        <v>1</v>
      </c>
      <c r="O2652" s="17" t="str">
        <f aca="false">VLOOKUP(N2652,Sheet2!G:H,2,0)</f>
        <v>Dead</v>
      </c>
      <c r="P2652" s="17" t="n">
        <v>11</v>
      </c>
      <c r="Q2652" s="17" t="str">
        <f aca="false">VLOOKUP(P2652,Sheet2!J:K,2,0)</f>
        <v>IR Declared due to CID -TA</v>
      </c>
      <c r="R2652" s="17" t="s">
        <v>35</v>
      </c>
      <c r="S2652" s="17" t="str">
        <f aca="false">VLOOKUP(R2652,Sheet2!N:O,2,0)</f>
        <v>IREPARABLE</v>
      </c>
      <c r="T2652" s="18" t="str">
        <f aca="false">VLOOKUP(P2652,Sheet2!Q:R,2,0)</f>
        <v>IR Normal - Track burn out</v>
      </c>
      <c r="U2652" s="20" t="s">
        <v>41</v>
      </c>
      <c r="V2652" s="17"/>
      <c r="W2652" s="20" t="e">
        <f aca="false">VLOOKUP(V2652,Sheet2!Q:R,2,0)</f>
        <v>#N/A</v>
      </c>
      <c r="X2652" s="17" t="n">
        <f aca="false">J2652</f>
        <v>0</v>
      </c>
      <c r="Y2652" s="17" t="e">
        <f aca="false">VLOOKUP(X2652,Sheet2!A:B,2,0)</f>
        <v>#N/A</v>
      </c>
      <c r="Z2652" s="17"/>
      <c r="AA2652" s="17"/>
      <c r="AB2652" s="17" t="s">
        <v>41</v>
      </c>
      <c r="AC2652" s="0" t="str">
        <f aca="false">LEFT(G2652,2)</f>
        <v/>
      </c>
    </row>
    <row r="2653" customFormat="false" ht="15" hidden="false" customHeight="false" outlineLevel="0" collapsed="false">
      <c r="A2653" s="13" t="n">
        <f aca="false">1+A2652</f>
        <v>2651</v>
      </c>
      <c r="B2653" s="14" t="n">
        <v>100</v>
      </c>
      <c r="C2653" s="15"/>
      <c r="D2653" s="16" t="s">
        <v>64</v>
      </c>
      <c r="E2653" s="17" t="s">
        <v>47</v>
      </c>
      <c r="F2653" s="18" t="s">
        <v>34</v>
      </c>
      <c r="G2653" s="19"/>
      <c r="H2653" s="17" t="s">
        <v>35</v>
      </c>
      <c r="I2653" s="17" t="s">
        <v>44</v>
      </c>
      <c r="J2653" s="17"/>
      <c r="K2653" s="17" t="e">
        <f aca="false">VLOOKUP(J2653,Sheet2!A:B,2,0)</f>
        <v>#N/A</v>
      </c>
      <c r="L2653" s="17" t="n">
        <v>5</v>
      </c>
      <c r="M2653" s="17" t="str">
        <f aca="false">VLOOKUP(L2653,Sheet2!D:E,2,0)</f>
        <v>Main Processor CPU BGA</v>
      </c>
      <c r="N2653" s="17" t="n">
        <v>1</v>
      </c>
      <c r="O2653" s="17" t="str">
        <f aca="false">VLOOKUP(N2653,Sheet2!G:H,2,0)</f>
        <v>Dead</v>
      </c>
      <c r="P2653" s="17" t="n">
        <v>11</v>
      </c>
      <c r="Q2653" s="17" t="str">
        <f aca="false">VLOOKUP(P2653,Sheet2!J:K,2,0)</f>
        <v>IR Declared due to CID -TA</v>
      </c>
      <c r="R2653" s="17" t="s">
        <v>35</v>
      </c>
      <c r="S2653" s="17" t="str">
        <f aca="false">VLOOKUP(R2653,Sheet2!N:O,2,0)</f>
        <v>IREPARABLE</v>
      </c>
      <c r="T2653" s="18" t="str">
        <f aca="false">VLOOKUP(P2653,Sheet2!Q:R,2,0)</f>
        <v>IR Normal - Track burn out</v>
      </c>
      <c r="U2653" s="20" t="s">
        <v>41</v>
      </c>
      <c r="V2653" s="17"/>
      <c r="W2653" s="20" t="e">
        <f aca="false">VLOOKUP(V2653,Sheet2!Q:R,2,0)</f>
        <v>#N/A</v>
      </c>
      <c r="X2653" s="17" t="n">
        <f aca="false">J2653</f>
        <v>0</v>
      </c>
      <c r="Y2653" s="17" t="e">
        <f aca="false">VLOOKUP(X2653,Sheet2!A:B,2,0)</f>
        <v>#N/A</v>
      </c>
      <c r="Z2653" s="17"/>
      <c r="AA2653" s="17"/>
      <c r="AB2653" s="17" t="s">
        <v>41</v>
      </c>
      <c r="AC2653" s="0" t="str">
        <f aca="false">LEFT(G2653,2)</f>
        <v/>
      </c>
    </row>
    <row r="2654" customFormat="false" ht="15" hidden="false" customHeight="false" outlineLevel="0" collapsed="false">
      <c r="A2654" s="13" t="n">
        <f aca="false">1+A2653</f>
        <v>2652</v>
      </c>
      <c r="B2654" s="14" t="n">
        <v>100</v>
      </c>
      <c r="C2654" s="15"/>
      <c r="D2654" s="16" t="s">
        <v>64</v>
      </c>
      <c r="E2654" s="17" t="s">
        <v>47</v>
      </c>
      <c r="F2654" s="18" t="s">
        <v>34</v>
      </c>
      <c r="G2654" s="19"/>
      <c r="H2654" s="17" t="s">
        <v>35</v>
      </c>
      <c r="I2654" s="17" t="s">
        <v>44</v>
      </c>
      <c r="J2654" s="17"/>
      <c r="K2654" s="17" t="e">
        <f aca="false">VLOOKUP(J2654,Sheet2!A:B,2,0)</f>
        <v>#N/A</v>
      </c>
      <c r="L2654" s="17" t="n">
        <v>5</v>
      </c>
      <c r="M2654" s="17" t="str">
        <f aca="false">VLOOKUP(L2654,Sheet2!D:E,2,0)</f>
        <v>Main Processor CPU BGA</v>
      </c>
      <c r="N2654" s="17" t="n">
        <v>1</v>
      </c>
      <c r="O2654" s="17" t="str">
        <f aca="false">VLOOKUP(N2654,Sheet2!G:H,2,0)</f>
        <v>Dead</v>
      </c>
      <c r="P2654" s="17" t="n">
        <v>11</v>
      </c>
      <c r="Q2654" s="17" t="str">
        <f aca="false">VLOOKUP(P2654,Sheet2!J:K,2,0)</f>
        <v>IR Declared due to CID -TA</v>
      </c>
      <c r="R2654" s="17" t="s">
        <v>35</v>
      </c>
      <c r="S2654" s="17" t="str">
        <f aca="false">VLOOKUP(R2654,Sheet2!N:O,2,0)</f>
        <v>IREPARABLE</v>
      </c>
      <c r="T2654" s="18" t="str">
        <f aca="false">VLOOKUP(P2654,Sheet2!Q:R,2,0)</f>
        <v>IR Normal - Track burn out</v>
      </c>
      <c r="U2654" s="20" t="s">
        <v>41</v>
      </c>
      <c r="V2654" s="17"/>
      <c r="W2654" s="20" t="e">
        <f aca="false">VLOOKUP(V2654,Sheet2!Q:R,2,0)</f>
        <v>#N/A</v>
      </c>
      <c r="X2654" s="17" t="n">
        <f aca="false">J2654</f>
        <v>0</v>
      </c>
      <c r="Y2654" s="17" t="e">
        <f aca="false">VLOOKUP(X2654,Sheet2!A:B,2,0)</f>
        <v>#N/A</v>
      </c>
      <c r="Z2654" s="17"/>
      <c r="AA2654" s="17"/>
      <c r="AB2654" s="17" t="s">
        <v>41</v>
      </c>
      <c r="AC2654" s="0" t="str">
        <f aca="false">LEFT(G2654,2)</f>
        <v/>
      </c>
    </row>
    <row r="2655" customFormat="false" ht="15" hidden="false" customHeight="false" outlineLevel="0" collapsed="false">
      <c r="A2655" s="13" t="n">
        <f aca="false">1+A2654</f>
        <v>2653</v>
      </c>
      <c r="B2655" s="14" t="n">
        <v>100</v>
      </c>
      <c r="C2655" s="15"/>
      <c r="D2655" s="16" t="s">
        <v>64</v>
      </c>
      <c r="E2655" s="17" t="s">
        <v>47</v>
      </c>
      <c r="F2655" s="18" t="s">
        <v>34</v>
      </c>
      <c r="G2655" s="19"/>
      <c r="H2655" s="17" t="s">
        <v>35</v>
      </c>
      <c r="I2655" s="17" t="s">
        <v>44</v>
      </c>
      <c r="J2655" s="17"/>
      <c r="K2655" s="17" t="e">
        <f aca="false">VLOOKUP(J2655,Sheet2!A:B,2,0)</f>
        <v>#N/A</v>
      </c>
      <c r="L2655" s="17" t="n">
        <v>5</v>
      </c>
      <c r="M2655" s="17" t="str">
        <f aca="false">VLOOKUP(L2655,Sheet2!D:E,2,0)</f>
        <v>Main Processor CPU BGA</v>
      </c>
      <c r="N2655" s="17" t="n">
        <v>1</v>
      </c>
      <c r="O2655" s="17" t="str">
        <f aca="false">VLOOKUP(N2655,Sheet2!G:H,2,0)</f>
        <v>Dead</v>
      </c>
      <c r="P2655" s="17" t="n">
        <v>11</v>
      </c>
      <c r="Q2655" s="17" t="str">
        <f aca="false">VLOOKUP(P2655,Sheet2!J:K,2,0)</f>
        <v>IR Declared due to CID -TA</v>
      </c>
      <c r="R2655" s="17" t="s">
        <v>35</v>
      </c>
      <c r="S2655" s="17" t="str">
        <f aca="false">VLOOKUP(R2655,Sheet2!N:O,2,0)</f>
        <v>IREPARABLE</v>
      </c>
      <c r="T2655" s="18" t="str">
        <f aca="false">VLOOKUP(P2655,Sheet2!Q:R,2,0)</f>
        <v>IR Normal - Track burn out</v>
      </c>
      <c r="U2655" s="20" t="s">
        <v>41</v>
      </c>
      <c r="V2655" s="17"/>
      <c r="W2655" s="20" t="e">
        <f aca="false">VLOOKUP(V2655,Sheet2!Q:R,2,0)</f>
        <v>#N/A</v>
      </c>
      <c r="X2655" s="17" t="n">
        <f aca="false">J2655</f>
        <v>0</v>
      </c>
      <c r="Y2655" s="17" t="e">
        <f aca="false">VLOOKUP(X2655,Sheet2!A:B,2,0)</f>
        <v>#N/A</v>
      </c>
      <c r="Z2655" s="17"/>
      <c r="AA2655" s="17"/>
      <c r="AB2655" s="17" t="s">
        <v>41</v>
      </c>
      <c r="AC2655" s="0" t="str">
        <f aca="false">LEFT(G2655,2)</f>
        <v/>
      </c>
    </row>
    <row r="2656" customFormat="false" ht="15" hidden="false" customHeight="false" outlineLevel="0" collapsed="false">
      <c r="A2656" s="13" t="n">
        <f aca="false">1+A2655</f>
        <v>2654</v>
      </c>
      <c r="B2656" s="14" t="n">
        <v>100</v>
      </c>
      <c r="C2656" s="15"/>
      <c r="D2656" s="16" t="s">
        <v>64</v>
      </c>
      <c r="E2656" s="17" t="s">
        <v>47</v>
      </c>
      <c r="F2656" s="18" t="s">
        <v>34</v>
      </c>
      <c r="G2656" s="19"/>
      <c r="H2656" s="17" t="s">
        <v>35</v>
      </c>
      <c r="I2656" s="17" t="s">
        <v>44</v>
      </c>
      <c r="J2656" s="17"/>
      <c r="K2656" s="17" t="e">
        <f aca="false">VLOOKUP(J2656,Sheet2!A:B,2,0)</f>
        <v>#N/A</v>
      </c>
      <c r="L2656" s="17" t="n">
        <v>5</v>
      </c>
      <c r="M2656" s="17" t="str">
        <f aca="false">VLOOKUP(L2656,Sheet2!D:E,2,0)</f>
        <v>Main Processor CPU BGA</v>
      </c>
      <c r="N2656" s="17" t="n">
        <v>1</v>
      </c>
      <c r="O2656" s="17" t="str">
        <f aca="false">VLOOKUP(N2656,Sheet2!G:H,2,0)</f>
        <v>Dead</v>
      </c>
      <c r="P2656" s="17" t="n">
        <v>11</v>
      </c>
      <c r="Q2656" s="17" t="str">
        <f aca="false">VLOOKUP(P2656,Sheet2!J:K,2,0)</f>
        <v>IR Declared due to CID -TA</v>
      </c>
      <c r="R2656" s="17" t="s">
        <v>35</v>
      </c>
      <c r="S2656" s="17" t="str">
        <f aca="false">VLOOKUP(R2656,Sheet2!N:O,2,0)</f>
        <v>IREPARABLE</v>
      </c>
      <c r="T2656" s="18" t="str">
        <f aca="false">VLOOKUP(P2656,Sheet2!Q:R,2,0)</f>
        <v>IR Normal - Track burn out</v>
      </c>
      <c r="U2656" s="20" t="s">
        <v>41</v>
      </c>
      <c r="V2656" s="17"/>
      <c r="W2656" s="20" t="e">
        <f aca="false">VLOOKUP(V2656,Sheet2!Q:R,2,0)</f>
        <v>#N/A</v>
      </c>
      <c r="X2656" s="17" t="n">
        <f aca="false">J2656</f>
        <v>0</v>
      </c>
      <c r="Y2656" s="17" t="e">
        <f aca="false">VLOOKUP(X2656,Sheet2!A:B,2,0)</f>
        <v>#N/A</v>
      </c>
      <c r="Z2656" s="17"/>
      <c r="AA2656" s="17"/>
      <c r="AB2656" s="17" t="s">
        <v>41</v>
      </c>
      <c r="AC2656" s="0" t="str">
        <f aca="false">LEFT(G2656,2)</f>
        <v/>
      </c>
    </row>
    <row r="2657" customFormat="false" ht="15" hidden="false" customHeight="false" outlineLevel="0" collapsed="false">
      <c r="A2657" s="13" t="n">
        <f aca="false">1+A2656</f>
        <v>2655</v>
      </c>
      <c r="B2657" s="14" t="n">
        <v>100</v>
      </c>
      <c r="C2657" s="15"/>
      <c r="D2657" s="16" t="s">
        <v>64</v>
      </c>
      <c r="E2657" s="17" t="s">
        <v>47</v>
      </c>
      <c r="F2657" s="18" t="s">
        <v>34</v>
      </c>
      <c r="G2657" s="19"/>
      <c r="H2657" s="17" t="s">
        <v>35</v>
      </c>
      <c r="I2657" s="17" t="s">
        <v>44</v>
      </c>
      <c r="J2657" s="17"/>
      <c r="K2657" s="17" t="e">
        <f aca="false">VLOOKUP(J2657,Sheet2!A:B,2,0)</f>
        <v>#N/A</v>
      </c>
      <c r="L2657" s="17" t="n">
        <v>5</v>
      </c>
      <c r="M2657" s="17" t="str">
        <f aca="false">VLOOKUP(L2657,Sheet2!D:E,2,0)</f>
        <v>Main Processor CPU BGA</v>
      </c>
      <c r="N2657" s="17" t="n">
        <v>1</v>
      </c>
      <c r="O2657" s="17" t="str">
        <f aca="false">VLOOKUP(N2657,Sheet2!G:H,2,0)</f>
        <v>Dead</v>
      </c>
      <c r="P2657" s="17" t="n">
        <v>11</v>
      </c>
      <c r="Q2657" s="17" t="str">
        <f aca="false">VLOOKUP(P2657,Sheet2!J:K,2,0)</f>
        <v>IR Declared due to CID -TA</v>
      </c>
      <c r="R2657" s="17" t="s">
        <v>35</v>
      </c>
      <c r="S2657" s="17" t="str">
        <f aca="false">VLOOKUP(R2657,Sheet2!N:O,2,0)</f>
        <v>IREPARABLE</v>
      </c>
      <c r="T2657" s="18" t="str">
        <f aca="false">VLOOKUP(P2657,Sheet2!Q:R,2,0)</f>
        <v>IR Normal - Track burn out</v>
      </c>
      <c r="U2657" s="20" t="s">
        <v>41</v>
      </c>
      <c r="V2657" s="17"/>
      <c r="W2657" s="20" t="e">
        <f aca="false">VLOOKUP(V2657,Sheet2!Q:R,2,0)</f>
        <v>#N/A</v>
      </c>
      <c r="X2657" s="17" t="n">
        <f aca="false">J2657</f>
        <v>0</v>
      </c>
      <c r="Y2657" s="17" t="e">
        <f aca="false">VLOOKUP(X2657,Sheet2!A:B,2,0)</f>
        <v>#N/A</v>
      </c>
      <c r="Z2657" s="17"/>
      <c r="AA2657" s="17"/>
      <c r="AB2657" s="17" t="s">
        <v>41</v>
      </c>
      <c r="AC2657" s="0" t="str">
        <f aca="false">LEFT(G2657,2)</f>
        <v/>
      </c>
    </row>
    <row r="2658" customFormat="false" ht="15" hidden="false" customHeight="false" outlineLevel="0" collapsed="false">
      <c r="A2658" s="13" t="n">
        <f aca="false">1+A2657</f>
        <v>2656</v>
      </c>
      <c r="B2658" s="14" t="n">
        <v>100</v>
      </c>
      <c r="C2658" s="15"/>
      <c r="D2658" s="16" t="s">
        <v>64</v>
      </c>
      <c r="E2658" s="17" t="s">
        <v>47</v>
      </c>
      <c r="F2658" s="18" t="s">
        <v>34</v>
      </c>
      <c r="G2658" s="19"/>
      <c r="H2658" s="17" t="s">
        <v>35</v>
      </c>
      <c r="I2658" s="17" t="s">
        <v>44</v>
      </c>
      <c r="J2658" s="17"/>
      <c r="K2658" s="17" t="e">
        <f aca="false">VLOOKUP(J2658,Sheet2!A:B,2,0)</f>
        <v>#N/A</v>
      </c>
      <c r="L2658" s="17" t="n">
        <v>5</v>
      </c>
      <c r="M2658" s="17" t="str">
        <f aca="false">VLOOKUP(L2658,Sheet2!D:E,2,0)</f>
        <v>Main Processor CPU BGA</v>
      </c>
      <c r="N2658" s="17" t="n">
        <v>1</v>
      </c>
      <c r="O2658" s="17" t="str">
        <f aca="false">VLOOKUP(N2658,Sheet2!G:H,2,0)</f>
        <v>Dead</v>
      </c>
      <c r="P2658" s="17" t="n">
        <v>11</v>
      </c>
      <c r="Q2658" s="17" t="str">
        <f aca="false">VLOOKUP(P2658,Sheet2!J:K,2,0)</f>
        <v>IR Declared due to CID -TA</v>
      </c>
      <c r="R2658" s="17" t="s">
        <v>35</v>
      </c>
      <c r="S2658" s="17" t="str">
        <f aca="false">VLOOKUP(R2658,Sheet2!N:O,2,0)</f>
        <v>IREPARABLE</v>
      </c>
      <c r="T2658" s="18" t="str">
        <f aca="false">VLOOKUP(P2658,Sheet2!Q:R,2,0)</f>
        <v>IR Normal - Track burn out</v>
      </c>
      <c r="U2658" s="20" t="s">
        <v>41</v>
      </c>
      <c r="V2658" s="17"/>
      <c r="W2658" s="20" t="e">
        <f aca="false">VLOOKUP(V2658,Sheet2!Q:R,2,0)</f>
        <v>#N/A</v>
      </c>
      <c r="X2658" s="17" t="n">
        <f aca="false">J2658</f>
        <v>0</v>
      </c>
      <c r="Y2658" s="17" t="e">
        <f aca="false">VLOOKUP(X2658,Sheet2!A:B,2,0)</f>
        <v>#N/A</v>
      </c>
      <c r="Z2658" s="17"/>
      <c r="AA2658" s="17"/>
      <c r="AB2658" s="17" t="s">
        <v>41</v>
      </c>
      <c r="AC2658" s="0" t="str">
        <f aca="false">LEFT(G2658,2)</f>
        <v/>
      </c>
    </row>
    <row r="2659" customFormat="false" ht="15" hidden="false" customHeight="false" outlineLevel="0" collapsed="false">
      <c r="A2659" s="13" t="n">
        <f aca="false">1+A2658</f>
        <v>2657</v>
      </c>
      <c r="B2659" s="14" t="n">
        <v>100</v>
      </c>
      <c r="C2659" s="15"/>
      <c r="D2659" s="16" t="s">
        <v>64</v>
      </c>
      <c r="E2659" s="17" t="s">
        <v>47</v>
      </c>
      <c r="F2659" s="18" t="s">
        <v>34</v>
      </c>
      <c r="G2659" s="19"/>
      <c r="H2659" s="17" t="s">
        <v>35</v>
      </c>
      <c r="I2659" s="17" t="s">
        <v>44</v>
      </c>
      <c r="J2659" s="17"/>
      <c r="K2659" s="17" t="e">
        <f aca="false">VLOOKUP(J2659,Sheet2!A:B,2,0)</f>
        <v>#N/A</v>
      </c>
      <c r="L2659" s="17" t="n">
        <v>5</v>
      </c>
      <c r="M2659" s="17" t="str">
        <f aca="false">VLOOKUP(L2659,Sheet2!D:E,2,0)</f>
        <v>Main Processor CPU BGA</v>
      </c>
      <c r="N2659" s="17" t="n">
        <v>1</v>
      </c>
      <c r="O2659" s="17" t="str">
        <f aca="false">VLOOKUP(N2659,Sheet2!G:H,2,0)</f>
        <v>Dead</v>
      </c>
      <c r="P2659" s="17" t="n">
        <v>11</v>
      </c>
      <c r="Q2659" s="17" t="str">
        <f aca="false">VLOOKUP(P2659,Sheet2!J:K,2,0)</f>
        <v>IR Declared due to CID -TA</v>
      </c>
      <c r="R2659" s="17" t="s">
        <v>35</v>
      </c>
      <c r="S2659" s="17" t="str">
        <f aca="false">VLOOKUP(R2659,Sheet2!N:O,2,0)</f>
        <v>IREPARABLE</v>
      </c>
      <c r="T2659" s="18" t="str">
        <f aca="false">VLOOKUP(P2659,Sheet2!Q:R,2,0)</f>
        <v>IR Normal - Track burn out</v>
      </c>
      <c r="U2659" s="20" t="s">
        <v>41</v>
      </c>
      <c r="V2659" s="17"/>
      <c r="W2659" s="20" t="e">
        <f aca="false">VLOOKUP(V2659,Sheet2!Q:R,2,0)</f>
        <v>#N/A</v>
      </c>
      <c r="X2659" s="17" t="n">
        <f aca="false">J2659</f>
        <v>0</v>
      </c>
      <c r="Y2659" s="17" t="e">
        <f aca="false">VLOOKUP(X2659,Sheet2!A:B,2,0)</f>
        <v>#N/A</v>
      </c>
      <c r="Z2659" s="17"/>
      <c r="AA2659" s="17"/>
      <c r="AB2659" s="17" t="s">
        <v>41</v>
      </c>
      <c r="AC2659" s="0" t="str">
        <f aca="false">LEFT(G2659,2)</f>
        <v/>
      </c>
    </row>
    <row r="2660" customFormat="false" ht="15" hidden="false" customHeight="false" outlineLevel="0" collapsed="false">
      <c r="A2660" s="13" t="n">
        <f aca="false">1+A2659</f>
        <v>2658</v>
      </c>
      <c r="B2660" s="14" t="n">
        <v>100</v>
      </c>
      <c r="C2660" s="15"/>
      <c r="D2660" s="16" t="s">
        <v>64</v>
      </c>
      <c r="E2660" s="17" t="s">
        <v>47</v>
      </c>
      <c r="F2660" s="18" t="s">
        <v>34</v>
      </c>
      <c r="G2660" s="19"/>
      <c r="H2660" s="17" t="s">
        <v>35</v>
      </c>
      <c r="I2660" s="17" t="s">
        <v>44</v>
      </c>
      <c r="J2660" s="17"/>
      <c r="K2660" s="17" t="e">
        <f aca="false">VLOOKUP(J2660,Sheet2!A:B,2,0)</f>
        <v>#N/A</v>
      </c>
      <c r="L2660" s="17" t="n">
        <v>5</v>
      </c>
      <c r="M2660" s="17" t="str">
        <f aca="false">VLOOKUP(L2660,Sheet2!D:E,2,0)</f>
        <v>Main Processor CPU BGA</v>
      </c>
      <c r="N2660" s="17" t="n">
        <v>1</v>
      </c>
      <c r="O2660" s="17" t="str">
        <f aca="false">VLOOKUP(N2660,Sheet2!G:H,2,0)</f>
        <v>Dead</v>
      </c>
      <c r="P2660" s="17" t="n">
        <v>11</v>
      </c>
      <c r="Q2660" s="17" t="str">
        <f aca="false">VLOOKUP(P2660,Sheet2!J:K,2,0)</f>
        <v>IR Declared due to CID -TA</v>
      </c>
      <c r="R2660" s="17" t="s">
        <v>35</v>
      </c>
      <c r="S2660" s="17" t="str">
        <f aca="false">VLOOKUP(R2660,Sheet2!N:O,2,0)</f>
        <v>IREPARABLE</v>
      </c>
      <c r="T2660" s="18" t="str">
        <f aca="false">VLOOKUP(P2660,Sheet2!Q:R,2,0)</f>
        <v>IR Normal - Track burn out</v>
      </c>
      <c r="U2660" s="20" t="s">
        <v>41</v>
      </c>
      <c r="V2660" s="17"/>
      <c r="W2660" s="20" t="e">
        <f aca="false">VLOOKUP(V2660,Sheet2!Q:R,2,0)</f>
        <v>#N/A</v>
      </c>
      <c r="X2660" s="17" t="n">
        <f aca="false">J2660</f>
        <v>0</v>
      </c>
      <c r="Y2660" s="17" t="e">
        <f aca="false">VLOOKUP(X2660,Sheet2!A:B,2,0)</f>
        <v>#N/A</v>
      </c>
      <c r="Z2660" s="17"/>
      <c r="AA2660" s="17"/>
      <c r="AB2660" s="17" t="s">
        <v>41</v>
      </c>
      <c r="AC2660" s="0" t="str">
        <f aca="false">LEFT(G2660,2)</f>
        <v/>
      </c>
    </row>
    <row r="2661" customFormat="false" ht="15" hidden="false" customHeight="false" outlineLevel="0" collapsed="false">
      <c r="A2661" s="13" t="n">
        <f aca="false">1+A2660</f>
        <v>2659</v>
      </c>
      <c r="B2661" s="14" t="n">
        <v>100</v>
      </c>
      <c r="C2661" s="15"/>
      <c r="D2661" s="16" t="s">
        <v>64</v>
      </c>
      <c r="E2661" s="17" t="s">
        <v>47</v>
      </c>
      <c r="F2661" s="18" t="s">
        <v>34</v>
      </c>
      <c r="G2661" s="19"/>
      <c r="H2661" s="17" t="s">
        <v>35</v>
      </c>
      <c r="I2661" s="17" t="s">
        <v>44</v>
      </c>
      <c r="J2661" s="17"/>
      <c r="K2661" s="17" t="e">
        <f aca="false">VLOOKUP(J2661,Sheet2!A:B,2,0)</f>
        <v>#N/A</v>
      </c>
      <c r="L2661" s="17" t="n">
        <v>5</v>
      </c>
      <c r="M2661" s="17" t="str">
        <f aca="false">VLOOKUP(L2661,Sheet2!D:E,2,0)</f>
        <v>Main Processor CPU BGA</v>
      </c>
      <c r="N2661" s="17" t="n">
        <v>1</v>
      </c>
      <c r="O2661" s="17" t="str">
        <f aca="false">VLOOKUP(N2661,Sheet2!G:H,2,0)</f>
        <v>Dead</v>
      </c>
      <c r="P2661" s="17" t="n">
        <v>11</v>
      </c>
      <c r="Q2661" s="17" t="str">
        <f aca="false">VLOOKUP(P2661,Sheet2!J:K,2,0)</f>
        <v>IR Declared due to CID -TA</v>
      </c>
      <c r="R2661" s="17" t="s">
        <v>35</v>
      </c>
      <c r="S2661" s="17" t="str">
        <f aca="false">VLOOKUP(R2661,Sheet2!N:O,2,0)</f>
        <v>IREPARABLE</v>
      </c>
      <c r="T2661" s="18" t="str">
        <f aca="false">VLOOKUP(P2661,Sheet2!Q:R,2,0)</f>
        <v>IR Normal - Track burn out</v>
      </c>
      <c r="U2661" s="20" t="s">
        <v>41</v>
      </c>
      <c r="V2661" s="17"/>
      <c r="W2661" s="20" t="e">
        <f aca="false">VLOOKUP(V2661,Sheet2!Q:R,2,0)</f>
        <v>#N/A</v>
      </c>
      <c r="X2661" s="17" t="n">
        <f aca="false">J2661</f>
        <v>0</v>
      </c>
      <c r="Y2661" s="17" t="e">
        <f aca="false">VLOOKUP(X2661,Sheet2!A:B,2,0)</f>
        <v>#N/A</v>
      </c>
      <c r="Z2661" s="17"/>
      <c r="AA2661" s="17"/>
      <c r="AB2661" s="17" t="s">
        <v>41</v>
      </c>
      <c r="AC2661" s="0" t="str">
        <f aca="false">LEFT(G2661,2)</f>
        <v/>
      </c>
    </row>
    <row r="2662" customFormat="false" ht="15" hidden="false" customHeight="false" outlineLevel="0" collapsed="false">
      <c r="A2662" s="13" t="n">
        <f aca="false">1+A2661</f>
        <v>2660</v>
      </c>
      <c r="B2662" s="14" t="n">
        <v>100</v>
      </c>
      <c r="C2662" s="15"/>
      <c r="D2662" s="16" t="s">
        <v>64</v>
      </c>
      <c r="E2662" s="17" t="s">
        <v>47</v>
      </c>
      <c r="F2662" s="18" t="s">
        <v>34</v>
      </c>
      <c r="G2662" s="19"/>
      <c r="H2662" s="17" t="s">
        <v>35</v>
      </c>
      <c r="I2662" s="17" t="s">
        <v>44</v>
      </c>
      <c r="J2662" s="17"/>
      <c r="K2662" s="17" t="e">
        <f aca="false">VLOOKUP(J2662,Sheet2!A:B,2,0)</f>
        <v>#N/A</v>
      </c>
      <c r="L2662" s="17" t="n">
        <v>5</v>
      </c>
      <c r="M2662" s="17" t="str">
        <f aca="false">VLOOKUP(L2662,Sheet2!D:E,2,0)</f>
        <v>Main Processor CPU BGA</v>
      </c>
      <c r="N2662" s="17" t="n">
        <v>1</v>
      </c>
      <c r="O2662" s="17" t="str">
        <f aca="false">VLOOKUP(N2662,Sheet2!G:H,2,0)</f>
        <v>Dead</v>
      </c>
      <c r="P2662" s="17" t="n">
        <v>11</v>
      </c>
      <c r="Q2662" s="17" t="str">
        <f aca="false">VLOOKUP(P2662,Sheet2!J:K,2,0)</f>
        <v>IR Declared due to CID -TA</v>
      </c>
      <c r="R2662" s="17" t="s">
        <v>35</v>
      </c>
      <c r="S2662" s="17" t="str">
        <f aca="false">VLOOKUP(R2662,Sheet2!N:O,2,0)</f>
        <v>IREPARABLE</v>
      </c>
      <c r="T2662" s="18" t="str">
        <f aca="false">VLOOKUP(P2662,Sheet2!Q:R,2,0)</f>
        <v>IR Normal - Track burn out</v>
      </c>
      <c r="U2662" s="20" t="s">
        <v>41</v>
      </c>
      <c r="V2662" s="17"/>
      <c r="W2662" s="20" t="e">
        <f aca="false">VLOOKUP(V2662,Sheet2!Q:R,2,0)</f>
        <v>#N/A</v>
      </c>
      <c r="X2662" s="17" t="n">
        <f aca="false">J2662</f>
        <v>0</v>
      </c>
      <c r="Y2662" s="17" t="e">
        <f aca="false">VLOOKUP(X2662,Sheet2!A:B,2,0)</f>
        <v>#N/A</v>
      </c>
      <c r="Z2662" s="17"/>
      <c r="AA2662" s="17"/>
      <c r="AB2662" s="17" t="s">
        <v>41</v>
      </c>
      <c r="AC2662" s="0" t="str">
        <f aca="false">LEFT(G2662,2)</f>
        <v/>
      </c>
    </row>
    <row r="2663" customFormat="false" ht="15" hidden="false" customHeight="false" outlineLevel="0" collapsed="false">
      <c r="A2663" s="13" t="n">
        <f aca="false">1+A2662</f>
        <v>2661</v>
      </c>
      <c r="B2663" s="14" t="n">
        <v>100</v>
      </c>
      <c r="C2663" s="15"/>
      <c r="D2663" s="16" t="s">
        <v>64</v>
      </c>
      <c r="E2663" s="17" t="s">
        <v>47</v>
      </c>
      <c r="F2663" s="18" t="s">
        <v>34</v>
      </c>
      <c r="G2663" s="19"/>
      <c r="H2663" s="17" t="s">
        <v>35</v>
      </c>
      <c r="I2663" s="17" t="s">
        <v>44</v>
      </c>
      <c r="J2663" s="17"/>
      <c r="K2663" s="17" t="e">
        <f aca="false">VLOOKUP(J2663,Sheet2!A:B,2,0)</f>
        <v>#N/A</v>
      </c>
      <c r="L2663" s="17" t="n">
        <v>5</v>
      </c>
      <c r="M2663" s="17" t="str">
        <f aca="false">VLOOKUP(L2663,Sheet2!D:E,2,0)</f>
        <v>Main Processor CPU BGA</v>
      </c>
      <c r="N2663" s="17" t="n">
        <v>1</v>
      </c>
      <c r="O2663" s="17" t="str">
        <f aca="false">VLOOKUP(N2663,Sheet2!G:H,2,0)</f>
        <v>Dead</v>
      </c>
      <c r="P2663" s="17" t="n">
        <v>11</v>
      </c>
      <c r="Q2663" s="17" t="str">
        <f aca="false">VLOOKUP(P2663,Sheet2!J:K,2,0)</f>
        <v>IR Declared due to CID -TA</v>
      </c>
      <c r="R2663" s="17" t="s">
        <v>35</v>
      </c>
      <c r="S2663" s="17" t="str">
        <f aca="false">VLOOKUP(R2663,Sheet2!N:O,2,0)</f>
        <v>IREPARABLE</v>
      </c>
      <c r="T2663" s="18" t="str">
        <f aca="false">VLOOKUP(P2663,Sheet2!Q:R,2,0)</f>
        <v>IR Normal - Track burn out</v>
      </c>
      <c r="U2663" s="20" t="s">
        <v>41</v>
      </c>
      <c r="V2663" s="17"/>
      <c r="W2663" s="20" t="e">
        <f aca="false">VLOOKUP(V2663,Sheet2!Q:R,2,0)</f>
        <v>#N/A</v>
      </c>
      <c r="X2663" s="17" t="n">
        <f aca="false">J2663</f>
        <v>0</v>
      </c>
      <c r="Y2663" s="17" t="e">
        <f aca="false">VLOOKUP(X2663,Sheet2!A:B,2,0)</f>
        <v>#N/A</v>
      </c>
      <c r="Z2663" s="17"/>
      <c r="AA2663" s="17"/>
      <c r="AB2663" s="17" t="s">
        <v>41</v>
      </c>
      <c r="AC2663" s="0" t="str">
        <f aca="false">LEFT(G2663,2)</f>
        <v/>
      </c>
    </row>
    <row r="2664" customFormat="false" ht="15" hidden="false" customHeight="false" outlineLevel="0" collapsed="false">
      <c r="A2664" s="13" t="n">
        <f aca="false">1+A2663</f>
        <v>2662</v>
      </c>
      <c r="B2664" s="14" t="n">
        <v>100</v>
      </c>
      <c r="C2664" s="15"/>
      <c r="D2664" s="16" t="s">
        <v>64</v>
      </c>
      <c r="E2664" s="17" t="s">
        <v>47</v>
      </c>
      <c r="F2664" s="18" t="s">
        <v>34</v>
      </c>
      <c r="G2664" s="19"/>
      <c r="H2664" s="17" t="s">
        <v>35</v>
      </c>
      <c r="I2664" s="17" t="s">
        <v>44</v>
      </c>
      <c r="J2664" s="17"/>
      <c r="K2664" s="17" t="e">
        <f aca="false">VLOOKUP(J2664,Sheet2!A:B,2,0)</f>
        <v>#N/A</v>
      </c>
      <c r="L2664" s="17" t="n">
        <v>5</v>
      </c>
      <c r="M2664" s="17" t="str">
        <f aca="false">VLOOKUP(L2664,Sheet2!D:E,2,0)</f>
        <v>Main Processor CPU BGA</v>
      </c>
      <c r="N2664" s="17" t="n">
        <v>1</v>
      </c>
      <c r="O2664" s="17" t="str">
        <f aca="false">VLOOKUP(N2664,Sheet2!G:H,2,0)</f>
        <v>Dead</v>
      </c>
      <c r="P2664" s="17" t="n">
        <v>11</v>
      </c>
      <c r="Q2664" s="17" t="str">
        <f aca="false">VLOOKUP(P2664,Sheet2!J:K,2,0)</f>
        <v>IR Declared due to CID -TA</v>
      </c>
      <c r="R2664" s="17" t="s">
        <v>35</v>
      </c>
      <c r="S2664" s="17" t="str">
        <f aca="false">VLOOKUP(R2664,Sheet2!N:O,2,0)</f>
        <v>IREPARABLE</v>
      </c>
      <c r="T2664" s="18" t="str">
        <f aca="false">VLOOKUP(P2664,Sheet2!Q:R,2,0)</f>
        <v>IR Normal - Track burn out</v>
      </c>
      <c r="U2664" s="20" t="s">
        <v>41</v>
      </c>
      <c r="V2664" s="17"/>
      <c r="W2664" s="20" t="e">
        <f aca="false">VLOOKUP(V2664,Sheet2!Q:R,2,0)</f>
        <v>#N/A</v>
      </c>
      <c r="X2664" s="17" t="n">
        <f aca="false">J2664</f>
        <v>0</v>
      </c>
      <c r="Y2664" s="17" t="e">
        <f aca="false">VLOOKUP(X2664,Sheet2!A:B,2,0)</f>
        <v>#N/A</v>
      </c>
      <c r="Z2664" s="17"/>
      <c r="AA2664" s="17"/>
      <c r="AB2664" s="17" t="s">
        <v>41</v>
      </c>
      <c r="AC2664" s="0" t="str">
        <f aca="false">LEFT(G2664,2)</f>
        <v/>
      </c>
    </row>
    <row r="2665" customFormat="false" ht="15" hidden="false" customHeight="false" outlineLevel="0" collapsed="false">
      <c r="A2665" s="13" t="n">
        <f aca="false">1+A2664</f>
        <v>2663</v>
      </c>
      <c r="B2665" s="14" t="n">
        <v>100</v>
      </c>
      <c r="C2665" s="15"/>
      <c r="D2665" s="16" t="s">
        <v>64</v>
      </c>
      <c r="E2665" s="17" t="s">
        <v>47</v>
      </c>
      <c r="F2665" s="18" t="s">
        <v>34</v>
      </c>
      <c r="G2665" s="19"/>
      <c r="H2665" s="17" t="s">
        <v>35</v>
      </c>
      <c r="I2665" s="17" t="s">
        <v>44</v>
      </c>
      <c r="J2665" s="17"/>
      <c r="K2665" s="17" t="e">
        <f aca="false">VLOOKUP(J2665,Sheet2!A:B,2,0)</f>
        <v>#N/A</v>
      </c>
      <c r="L2665" s="17" t="n">
        <v>5</v>
      </c>
      <c r="M2665" s="17" t="str">
        <f aca="false">VLOOKUP(L2665,Sheet2!D:E,2,0)</f>
        <v>Main Processor CPU BGA</v>
      </c>
      <c r="N2665" s="17" t="n">
        <v>1</v>
      </c>
      <c r="O2665" s="17" t="str">
        <f aca="false">VLOOKUP(N2665,Sheet2!G:H,2,0)</f>
        <v>Dead</v>
      </c>
      <c r="P2665" s="17" t="n">
        <v>11</v>
      </c>
      <c r="Q2665" s="17" t="str">
        <f aca="false">VLOOKUP(P2665,Sheet2!J:K,2,0)</f>
        <v>IR Declared due to CID -TA</v>
      </c>
      <c r="R2665" s="17" t="s">
        <v>35</v>
      </c>
      <c r="S2665" s="17" t="str">
        <f aca="false">VLOOKUP(R2665,Sheet2!N:O,2,0)</f>
        <v>IREPARABLE</v>
      </c>
      <c r="T2665" s="18" t="str">
        <f aca="false">VLOOKUP(P2665,Sheet2!Q:R,2,0)</f>
        <v>IR Normal - Track burn out</v>
      </c>
      <c r="U2665" s="20" t="s">
        <v>41</v>
      </c>
      <c r="V2665" s="17"/>
      <c r="W2665" s="20" t="e">
        <f aca="false">VLOOKUP(V2665,Sheet2!Q:R,2,0)</f>
        <v>#N/A</v>
      </c>
      <c r="X2665" s="17" t="n">
        <f aca="false">J2665</f>
        <v>0</v>
      </c>
      <c r="Y2665" s="17" t="e">
        <f aca="false">VLOOKUP(X2665,Sheet2!A:B,2,0)</f>
        <v>#N/A</v>
      </c>
      <c r="Z2665" s="17"/>
      <c r="AA2665" s="17"/>
      <c r="AB2665" s="17" t="s">
        <v>41</v>
      </c>
      <c r="AC2665" s="0" t="str">
        <f aca="false">LEFT(G2665,2)</f>
        <v/>
      </c>
    </row>
    <row r="2666" customFormat="false" ht="15" hidden="false" customHeight="false" outlineLevel="0" collapsed="false">
      <c r="A2666" s="13" t="n">
        <f aca="false">1+A2665</f>
        <v>2664</v>
      </c>
      <c r="B2666" s="14" t="n">
        <v>100</v>
      </c>
      <c r="C2666" s="15"/>
      <c r="D2666" s="16" t="s">
        <v>64</v>
      </c>
      <c r="E2666" s="17" t="s">
        <v>47</v>
      </c>
      <c r="F2666" s="18" t="s">
        <v>34</v>
      </c>
      <c r="G2666" s="19"/>
      <c r="H2666" s="17" t="s">
        <v>35</v>
      </c>
      <c r="I2666" s="17" t="s">
        <v>44</v>
      </c>
      <c r="J2666" s="17"/>
      <c r="K2666" s="17" t="e">
        <f aca="false">VLOOKUP(J2666,Sheet2!A:B,2,0)</f>
        <v>#N/A</v>
      </c>
      <c r="L2666" s="17" t="n">
        <v>5</v>
      </c>
      <c r="M2666" s="17" t="str">
        <f aca="false">VLOOKUP(L2666,Sheet2!D:E,2,0)</f>
        <v>Main Processor CPU BGA</v>
      </c>
      <c r="N2666" s="17" t="n">
        <v>1</v>
      </c>
      <c r="O2666" s="17" t="str">
        <f aca="false">VLOOKUP(N2666,Sheet2!G:H,2,0)</f>
        <v>Dead</v>
      </c>
      <c r="P2666" s="17" t="n">
        <v>11</v>
      </c>
      <c r="Q2666" s="17" t="str">
        <f aca="false">VLOOKUP(P2666,Sheet2!J:K,2,0)</f>
        <v>IR Declared due to CID -TA</v>
      </c>
      <c r="R2666" s="17" t="s">
        <v>35</v>
      </c>
      <c r="S2666" s="17" t="str">
        <f aca="false">VLOOKUP(R2666,Sheet2!N:O,2,0)</f>
        <v>IREPARABLE</v>
      </c>
      <c r="T2666" s="18" t="str">
        <f aca="false">VLOOKUP(P2666,Sheet2!Q:R,2,0)</f>
        <v>IR Normal - Track burn out</v>
      </c>
      <c r="U2666" s="20" t="s">
        <v>41</v>
      </c>
      <c r="V2666" s="17"/>
      <c r="W2666" s="20" t="e">
        <f aca="false">VLOOKUP(V2666,Sheet2!Q:R,2,0)</f>
        <v>#N/A</v>
      </c>
      <c r="X2666" s="17" t="n">
        <f aca="false">J2666</f>
        <v>0</v>
      </c>
      <c r="Y2666" s="17" t="e">
        <f aca="false">VLOOKUP(X2666,Sheet2!A:B,2,0)</f>
        <v>#N/A</v>
      </c>
      <c r="Z2666" s="17"/>
      <c r="AA2666" s="17"/>
      <c r="AB2666" s="17" t="s">
        <v>41</v>
      </c>
      <c r="AC2666" s="0" t="str">
        <f aca="false">LEFT(G2666,2)</f>
        <v/>
      </c>
    </row>
    <row r="2667" customFormat="false" ht="15" hidden="false" customHeight="false" outlineLevel="0" collapsed="false">
      <c r="A2667" s="13" t="n">
        <f aca="false">1+A2666</f>
        <v>2665</v>
      </c>
      <c r="B2667" s="14" t="n">
        <v>100</v>
      </c>
      <c r="C2667" s="15"/>
      <c r="D2667" s="16" t="s">
        <v>64</v>
      </c>
      <c r="E2667" s="17" t="s">
        <v>47</v>
      </c>
      <c r="F2667" s="18" t="s">
        <v>34</v>
      </c>
      <c r="G2667" s="19"/>
      <c r="H2667" s="17" t="s">
        <v>35</v>
      </c>
      <c r="I2667" s="17" t="s">
        <v>44</v>
      </c>
      <c r="J2667" s="17"/>
      <c r="K2667" s="17" t="e">
        <f aca="false">VLOOKUP(J2667,Sheet2!A:B,2,0)</f>
        <v>#N/A</v>
      </c>
      <c r="L2667" s="17" t="n">
        <v>5</v>
      </c>
      <c r="M2667" s="17" t="str">
        <f aca="false">VLOOKUP(L2667,Sheet2!D:E,2,0)</f>
        <v>Main Processor CPU BGA</v>
      </c>
      <c r="N2667" s="17" t="n">
        <v>1</v>
      </c>
      <c r="O2667" s="17" t="str">
        <f aca="false">VLOOKUP(N2667,Sheet2!G:H,2,0)</f>
        <v>Dead</v>
      </c>
      <c r="P2667" s="17" t="n">
        <v>11</v>
      </c>
      <c r="Q2667" s="17" t="str">
        <f aca="false">VLOOKUP(P2667,Sheet2!J:K,2,0)</f>
        <v>IR Declared due to CID -TA</v>
      </c>
      <c r="R2667" s="17" t="s">
        <v>35</v>
      </c>
      <c r="S2667" s="17" t="str">
        <f aca="false">VLOOKUP(R2667,Sheet2!N:O,2,0)</f>
        <v>IREPARABLE</v>
      </c>
      <c r="T2667" s="18" t="str">
        <f aca="false">VLOOKUP(P2667,Sheet2!Q:R,2,0)</f>
        <v>IR Normal - Track burn out</v>
      </c>
      <c r="U2667" s="20" t="s">
        <v>41</v>
      </c>
      <c r="V2667" s="17"/>
      <c r="W2667" s="20" t="e">
        <f aca="false">VLOOKUP(V2667,Sheet2!Q:R,2,0)</f>
        <v>#N/A</v>
      </c>
      <c r="X2667" s="17" t="n">
        <f aca="false">J2667</f>
        <v>0</v>
      </c>
      <c r="Y2667" s="17" t="e">
        <f aca="false">VLOOKUP(X2667,Sheet2!A:B,2,0)</f>
        <v>#N/A</v>
      </c>
      <c r="Z2667" s="17"/>
      <c r="AA2667" s="17"/>
      <c r="AB2667" s="17" t="s">
        <v>41</v>
      </c>
      <c r="AC2667" s="0" t="str">
        <f aca="false">LEFT(G2667,2)</f>
        <v/>
      </c>
    </row>
    <row r="2668" customFormat="false" ht="15" hidden="false" customHeight="false" outlineLevel="0" collapsed="false">
      <c r="A2668" s="13" t="n">
        <f aca="false">1+A2667</f>
        <v>2666</v>
      </c>
      <c r="B2668" s="14" t="n">
        <v>100</v>
      </c>
      <c r="C2668" s="15"/>
      <c r="D2668" s="16" t="s">
        <v>64</v>
      </c>
      <c r="E2668" s="17" t="s">
        <v>47</v>
      </c>
      <c r="F2668" s="18" t="s">
        <v>34</v>
      </c>
      <c r="G2668" s="19"/>
      <c r="H2668" s="17" t="s">
        <v>35</v>
      </c>
      <c r="I2668" s="17" t="s">
        <v>44</v>
      </c>
      <c r="J2668" s="17"/>
      <c r="K2668" s="17" t="e">
        <f aca="false">VLOOKUP(J2668,Sheet2!A:B,2,0)</f>
        <v>#N/A</v>
      </c>
      <c r="L2668" s="17" t="n">
        <v>5</v>
      </c>
      <c r="M2668" s="17" t="str">
        <f aca="false">VLOOKUP(L2668,Sheet2!D:E,2,0)</f>
        <v>Main Processor CPU BGA</v>
      </c>
      <c r="N2668" s="17" t="n">
        <v>1</v>
      </c>
      <c r="O2668" s="17" t="str">
        <f aca="false">VLOOKUP(N2668,Sheet2!G:H,2,0)</f>
        <v>Dead</v>
      </c>
      <c r="P2668" s="17" t="n">
        <v>11</v>
      </c>
      <c r="Q2668" s="17" t="str">
        <f aca="false">VLOOKUP(P2668,Sheet2!J:K,2,0)</f>
        <v>IR Declared due to CID -TA</v>
      </c>
      <c r="R2668" s="17" t="s">
        <v>35</v>
      </c>
      <c r="S2668" s="17" t="str">
        <f aca="false">VLOOKUP(R2668,Sheet2!N:O,2,0)</f>
        <v>IREPARABLE</v>
      </c>
      <c r="T2668" s="18" t="str">
        <f aca="false">VLOOKUP(P2668,Sheet2!Q:R,2,0)</f>
        <v>IR Normal - Track burn out</v>
      </c>
      <c r="U2668" s="20" t="s">
        <v>41</v>
      </c>
      <c r="V2668" s="17"/>
      <c r="W2668" s="20" t="e">
        <f aca="false">VLOOKUP(V2668,Sheet2!Q:R,2,0)</f>
        <v>#N/A</v>
      </c>
      <c r="X2668" s="17" t="n">
        <f aca="false">J2668</f>
        <v>0</v>
      </c>
      <c r="Y2668" s="17" t="e">
        <f aca="false">VLOOKUP(X2668,Sheet2!A:B,2,0)</f>
        <v>#N/A</v>
      </c>
      <c r="Z2668" s="17"/>
      <c r="AA2668" s="17"/>
      <c r="AB2668" s="17" t="s">
        <v>41</v>
      </c>
      <c r="AC2668" s="0" t="str">
        <f aca="false">LEFT(G2668,2)</f>
        <v/>
      </c>
    </row>
    <row r="2669" customFormat="false" ht="15" hidden="false" customHeight="false" outlineLevel="0" collapsed="false">
      <c r="A2669" s="13" t="n">
        <f aca="false">1+A2668</f>
        <v>2667</v>
      </c>
      <c r="B2669" s="14" t="n">
        <v>100</v>
      </c>
      <c r="C2669" s="15"/>
      <c r="D2669" s="16" t="s">
        <v>64</v>
      </c>
      <c r="E2669" s="17" t="s">
        <v>47</v>
      </c>
      <c r="F2669" s="18" t="s">
        <v>34</v>
      </c>
      <c r="G2669" s="19"/>
      <c r="H2669" s="17" t="s">
        <v>35</v>
      </c>
      <c r="I2669" s="17" t="s">
        <v>44</v>
      </c>
      <c r="J2669" s="17"/>
      <c r="K2669" s="17" t="e">
        <f aca="false">VLOOKUP(J2669,Sheet2!A:B,2,0)</f>
        <v>#N/A</v>
      </c>
      <c r="L2669" s="17" t="n">
        <v>5</v>
      </c>
      <c r="M2669" s="17" t="str">
        <f aca="false">VLOOKUP(L2669,Sheet2!D:E,2,0)</f>
        <v>Main Processor CPU BGA</v>
      </c>
      <c r="N2669" s="17" t="n">
        <v>1</v>
      </c>
      <c r="O2669" s="17" t="str">
        <f aca="false">VLOOKUP(N2669,Sheet2!G:H,2,0)</f>
        <v>Dead</v>
      </c>
      <c r="P2669" s="17" t="n">
        <v>11</v>
      </c>
      <c r="Q2669" s="17" t="str">
        <f aca="false">VLOOKUP(P2669,Sheet2!J:K,2,0)</f>
        <v>IR Declared due to CID -TA</v>
      </c>
      <c r="R2669" s="17" t="s">
        <v>35</v>
      </c>
      <c r="S2669" s="17" t="str">
        <f aca="false">VLOOKUP(R2669,Sheet2!N:O,2,0)</f>
        <v>IREPARABLE</v>
      </c>
      <c r="T2669" s="18" t="str">
        <f aca="false">VLOOKUP(P2669,Sheet2!Q:R,2,0)</f>
        <v>IR Normal - Track burn out</v>
      </c>
      <c r="U2669" s="20" t="s">
        <v>41</v>
      </c>
      <c r="V2669" s="17"/>
      <c r="W2669" s="20" t="e">
        <f aca="false">VLOOKUP(V2669,Sheet2!Q:R,2,0)</f>
        <v>#N/A</v>
      </c>
      <c r="X2669" s="17" t="n">
        <f aca="false">J2669</f>
        <v>0</v>
      </c>
      <c r="Y2669" s="17" t="e">
        <f aca="false">VLOOKUP(X2669,Sheet2!A:B,2,0)</f>
        <v>#N/A</v>
      </c>
      <c r="Z2669" s="17"/>
      <c r="AA2669" s="17"/>
      <c r="AB2669" s="17" t="s">
        <v>41</v>
      </c>
      <c r="AC2669" s="0" t="str">
        <f aca="false">LEFT(G2669,2)</f>
        <v/>
      </c>
    </row>
    <row r="2670" customFormat="false" ht="15" hidden="false" customHeight="false" outlineLevel="0" collapsed="false">
      <c r="A2670" s="13" t="n">
        <f aca="false">1+A2669</f>
        <v>2668</v>
      </c>
      <c r="B2670" s="14" t="n">
        <v>100</v>
      </c>
      <c r="C2670" s="15"/>
      <c r="D2670" s="16" t="s">
        <v>64</v>
      </c>
      <c r="E2670" s="17" t="s">
        <v>47</v>
      </c>
      <c r="F2670" s="18" t="s">
        <v>34</v>
      </c>
      <c r="G2670" s="19"/>
      <c r="H2670" s="17" t="s">
        <v>35</v>
      </c>
      <c r="I2670" s="17" t="s">
        <v>44</v>
      </c>
      <c r="J2670" s="17"/>
      <c r="K2670" s="17" t="e">
        <f aca="false">VLOOKUP(J2670,Sheet2!A:B,2,0)</f>
        <v>#N/A</v>
      </c>
      <c r="L2670" s="17" t="n">
        <v>5</v>
      </c>
      <c r="M2670" s="17" t="str">
        <f aca="false">VLOOKUP(L2670,Sheet2!D:E,2,0)</f>
        <v>Main Processor CPU BGA</v>
      </c>
      <c r="N2670" s="17" t="n">
        <v>1</v>
      </c>
      <c r="O2670" s="17" t="str">
        <f aca="false">VLOOKUP(N2670,Sheet2!G:H,2,0)</f>
        <v>Dead</v>
      </c>
      <c r="P2670" s="17" t="n">
        <v>11</v>
      </c>
      <c r="Q2670" s="17" t="str">
        <f aca="false">VLOOKUP(P2670,Sheet2!J:K,2,0)</f>
        <v>IR Declared due to CID -TA</v>
      </c>
      <c r="R2670" s="17" t="s">
        <v>35</v>
      </c>
      <c r="S2670" s="17" t="str">
        <f aca="false">VLOOKUP(R2670,Sheet2!N:O,2,0)</f>
        <v>IREPARABLE</v>
      </c>
      <c r="T2670" s="18" t="str">
        <f aca="false">VLOOKUP(P2670,Sheet2!Q:R,2,0)</f>
        <v>IR Normal - Track burn out</v>
      </c>
      <c r="U2670" s="20" t="s">
        <v>41</v>
      </c>
      <c r="V2670" s="17"/>
      <c r="W2670" s="20" t="e">
        <f aca="false">VLOOKUP(V2670,Sheet2!Q:R,2,0)</f>
        <v>#N/A</v>
      </c>
      <c r="X2670" s="17" t="n">
        <f aca="false">J2670</f>
        <v>0</v>
      </c>
      <c r="Y2670" s="17" t="e">
        <f aca="false">VLOOKUP(X2670,Sheet2!A:B,2,0)</f>
        <v>#N/A</v>
      </c>
      <c r="Z2670" s="17"/>
      <c r="AA2670" s="17"/>
      <c r="AB2670" s="17" t="s">
        <v>41</v>
      </c>
      <c r="AC2670" s="0" t="str">
        <f aca="false">LEFT(G2670,2)</f>
        <v/>
      </c>
    </row>
    <row r="2671" customFormat="false" ht="15" hidden="false" customHeight="false" outlineLevel="0" collapsed="false">
      <c r="A2671" s="13" t="n">
        <f aca="false">1+A2670</f>
        <v>2669</v>
      </c>
      <c r="B2671" s="14" t="n">
        <v>100</v>
      </c>
      <c r="C2671" s="15"/>
      <c r="D2671" s="16" t="s">
        <v>64</v>
      </c>
      <c r="E2671" s="17" t="s">
        <v>47</v>
      </c>
      <c r="F2671" s="18" t="s">
        <v>34</v>
      </c>
      <c r="G2671" s="19"/>
      <c r="H2671" s="17" t="s">
        <v>35</v>
      </c>
      <c r="I2671" s="17" t="s">
        <v>44</v>
      </c>
      <c r="J2671" s="17"/>
      <c r="K2671" s="17" t="e">
        <f aca="false">VLOOKUP(J2671,Sheet2!A:B,2,0)</f>
        <v>#N/A</v>
      </c>
      <c r="L2671" s="17" t="n">
        <v>5</v>
      </c>
      <c r="M2671" s="17" t="str">
        <f aca="false">VLOOKUP(L2671,Sheet2!D:E,2,0)</f>
        <v>Main Processor CPU BGA</v>
      </c>
      <c r="N2671" s="17" t="n">
        <v>1</v>
      </c>
      <c r="O2671" s="17" t="str">
        <f aca="false">VLOOKUP(N2671,Sheet2!G:H,2,0)</f>
        <v>Dead</v>
      </c>
      <c r="P2671" s="17" t="n">
        <v>11</v>
      </c>
      <c r="Q2671" s="17" t="str">
        <f aca="false">VLOOKUP(P2671,Sheet2!J:K,2,0)</f>
        <v>IR Declared due to CID -TA</v>
      </c>
      <c r="R2671" s="17" t="s">
        <v>35</v>
      </c>
      <c r="S2671" s="17" t="str">
        <f aca="false">VLOOKUP(R2671,Sheet2!N:O,2,0)</f>
        <v>IREPARABLE</v>
      </c>
      <c r="T2671" s="18" t="str">
        <f aca="false">VLOOKUP(P2671,Sheet2!Q:R,2,0)</f>
        <v>IR Normal - Track burn out</v>
      </c>
      <c r="U2671" s="20" t="s">
        <v>41</v>
      </c>
      <c r="V2671" s="17"/>
      <c r="W2671" s="20" t="e">
        <f aca="false">VLOOKUP(V2671,Sheet2!Q:R,2,0)</f>
        <v>#N/A</v>
      </c>
      <c r="X2671" s="17" t="n">
        <f aca="false">J2671</f>
        <v>0</v>
      </c>
      <c r="Y2671" s="17" t="e">
        <f aca="false">VLOOKUP(X2671,Sheet2!A:B,2,0)</f>
        <v>#N/A</v>
      </c>
      <c r="Z2671" s="17"/>
      <c r="AA2671" s="17"/>
      <c r="AB2671" s="17" t="s">
        <v>41</v>
      </c>
      <c r="AC2671" s="0" t="str">
        <f aca="false">LEFT(G2671,2)</f>
        <v/>
      </c>
    </row>
    <row r="2672" customFormat="false" ht="15" hidden="false" customHeight="false" outlineLevel="0" collapsed="false">
      <c r="A2672" s="13" t="n">
        <f aca="false">1+A2671</f>
        <v>2670</v>
      </c>
      <c r="B2672" s="14" t="n">
        <v>100</v>
      </c>
      <c r="C2672" s="15"/>
      <c r="D2672" s="16" t="s">
        <v>64</v>
      </c>
      <c r="E2672" s="17" t="s">
        <v>47</v>
      </c>
      <c r="F2672" s="18" t="s">
        <v>34</v>
      </c>
      <c r="G2672" s="19"/>
      <c r="H2672" s="17" t="s">
        <v>35</v>
      </c>
      <c r="I2672" s="17" t="s">
        <v>44</v>
      </c>
      <c r="J2672" s="17"/>
      <c r="K2672" s="17" t="e">
        <f aca="false">VLOOKUP(J2672,Sheet2!A:B,2,0)</f>
        <v>#N/A</v>
      </c>
      <c r="L2672" s="17" t="n">
        <v>5</v>
      </c>
      <c r="M2672" s="17" t="str">
        <f aca="false">VLOOKUP(L2672,Sheet2!D:E,2,0)</f>
        <v>Main Processor CPU BGA</v>
      </c>
      <c r="N2672" s="17" t="n">
        <v>1</v>
      </c>
      <c r="O2672" s="17" t="str">
        <f aca="false">VLOOKUP(N2672,Sheet2!G:H,2,0)</f>
        <v>Dead</v>
      </c>
      <c r="P2672" s="17" t="n">
        <v>11</v>
      </c>
      <c r="Q2672" s="17" t="str">
        <f aca="false">VLOOKUP(P2672,Sheet2!J:K,2,0)</f>
        <v>IR Declared due to CID -TA</v>
      </c>
      <c r="R2672" s="17" t="s">
        <v>35</v>
      </c>
      <c r="S2672" s="17" t="str">
        <f aca="false">VLOOKUP(R2672,Sheet2!N:O,2,0)</f>
        <v>IREPARABLE</v>
      </c>
      <c r="T2672" s="18" t="str">
        <f aca="false">VLOOKUP(P2672,Sheet2!Q:R,2,0)</f>
        <v>IR Normal - Track burn out</v>
      </c>
      <c r="U2672" s="20" t="s">
        <v>41</v>
      </c>
      <c r="V2672" s="17"/>
      <c r="W2672" s="20" t="e">
        <f aca="false">VLOOKUP(V2672,Sheet2!Q:R,2,0)</f>
        <v>#N/A</v>
      </c>
      <c r="X2672" s="17" t="n">
        <f aca="false">J2672</f>
        <v>0</v>
      </c>
      <c r="Y2672" s="17" t="e">
        <f aca="false">VLOOKUP(X2672,Sheet2!A:B,2,0)</f>
        <v>#N/A</v>
      </c>
      <c r="Z2672" s="17"/>
      <c r="AA2672" s="17"/>
      <c r="AB2672" s="17" t="s">
        <v>41</v>
      </c>
      <c r="AC2672" s="0" t="str">
        <f aca="false">LEFT(G2672,2)</f>
        <v/>
      </c>
    </row>
    <row r="2673" customFormat="false" ht="15" hidden="false" customHeight="false" outlineLevel="0" collapsed="false">
      <c r="A2673" s="13" t="n">
        <f aca="false">1+A2672</f>
        <v>2671</v>
      </c>
      <c r="B2673" s="14" t="n">
        <v>100</v>
      </c>
      <c r="C2673" s="15"/>
      <c r="D2673" s="16" t="s">
        <v>64</v>
      </c>
      <c r="E2673" s="17" t="s">
        <v>47</v>
      </c>
      <c r="F2673" s="18" t="s">
        <v>34</v>
      </c>
      <c r="G2673" s="19"/>
      <c r="H2673" s="17" t="s">
        <v>35</v>
      </c>
      <c r="I2673" s="17" t="s">
        <v>44</v>
      </c>
      <c r="J2673" s="17"/>
      <c r="K2673" s="17" t="e">
        <f aca="false">VLOOKUP(J2673,Sheet2!A:B,2,0)</f>
        <v>#N/A</v>
      </c>
      <c r="L2673" s="17" t="n">
        <v>5</v>
      </c>
      <c r="M2673" s="17" t="str">
        <f aca="false">VLOOKUP(L2673,Sheet2!D:E,2,0)</f>
        <v>Main Processor CPU BGA</v>
      </c>
      <c r="N2673" s="17" t="n">
        <v>1</v>
      </c>
      <c r="O2673" s="17" t="str">
        <f aca="false">VLOOKUP(N2673,Sheet2!G:H,2,0)</f>
        <v>Dead</v>
      </c>
      <c r="P2673" s="17" t="n">
        <v>11</v>
      </c>
      <c r="Q2673" s="17" t="str">
        <f aca="false">VLOOKUP(P2673,Sheet2!J:K,2,0)</f>
        <v>IR Declared due to CID -TA</v>
      </c>
      <c r="R2673" s="17" t="s">
        <v>35</v>
      </c>
      <c r="S2673" s="17" t="str">
        <f aca="false">VLOOKUP(R2673,Sheet2!N:O,2,0)</f>
        <v>IREPARABLE</v>
      </c>
      <c r="T2673" s="18" t="str">
        <f aca="false">VLOOKUP(P2673,Sheet2!Q:R,2,0)</f>
        <v>IR Normal - Track burn out</v>
      </c>
      <c r="U2673" s="20" t="s">
        <v>41</v>
      </c>
      <c r="V2673" s="17"/>
      <c r="W2673" s="20" t="e">
        <f aca="false">VLOOKUP(V2673,Sheet2!Q:R,2,0)</f>
        <v>#N/A</v>
      </c>
      <c r="X2673" s="17" t="n">
        <f aca="false">J2673</f>
        <v>0</v>
      </c>
      <c r="Y2673" s="17" t="e">
        <f aca="false">VLOOKUP(X2673,Sheet2!A:B,2,0)</f>
        <v>#N/A</v>
      </c>
      <c r="Z2673" s="17"/>
      <c r="AA2673" s="17"/>
      <c r="AB2673" s="17" t="s">
        <v>41</v>
      </c>
      <c r="AC2673" s="0" t="str">
        <f aca="false">LEFT(G2673,2)</f>
        <v/>
      </c>
      <c r="AD2673" s="0"/>
    </row>
    <row r="2674" customFormat="false" ht="15" hidden="false" customHeight="false" outlineLevel="0" collapsed="false">
      <c r="A2674" s="13" t="n">
        <f aca="false">1+A2673</f>
        <v>2672</v>
      </c>
      <c r="B2674" s="14" t="n">
        <v>100</v>
      </c>
      <c r="C2674" s="15"/>
      <c r="D2674" s="16" t="s">
        <v>64</v>
      </c>
      <c r="E2674" s="17" t="s">
        <v>47</v>
      </c>
      <c r="F2674" s="18" t="s">
        <v>34</v>
      </c>
      <c r="G2674" s="19"/>
      <c r="H2674" s="17" t="s">
        <v>35</v>
      </c>
      <c r="I2674" s="17" t="s">
        <v>44</v>
      </c>
      <c r="J2674" s="17"/>
      <c r="K2674" s="17" t="e">
        <f aca="false">VLOOKUP(J2674,Sheet2!A:B,2,0)</f>
        <v>#N/A</v>
      </c>
      <c r="L2674" s="17" t="n">
        <v>5</v>
      </c>
      <c r="M2674" s="17" t="str">
        <f aca="false">VLOOKUP(L2674,Sheet2!D:E,2,0)</f>
        <v>Main Processor CPU BGA</v>
      </c>
      <c r="N2674" s="17" t="n">
        <v>1</v>
      </c>
      <c r="O2674" s="17" t="str">
        <f aca="false">VLOOKUP(N2674,Sheet2!G:H,2,0)</f>
        <v>Dead</v>
      </c>
      <c r="P2674" s="17" t="n">
        <v>11</v>
      </c>
      <c r="Q2674" s="17" t="str">
        <f aca="false">VLOOKUP(P2674,Sheet2!J:K,2,0)</f>
        <v>IR Declared due to CID -TA</v>
      </c>
      <c r="R2674" s="17" t="s">
        <v>35</v>
      </c>
      <c r="S2674" s="17" t="str">
        <f aca="false">VLOOKUP(R2674,Sheet2!N:O,2,0)</f>
        <v>IREPARABLE</v>
      </c>
      <c r="T2674" s="18" t="str">
        <f aca="false">VLOOKUP(P2674,Sheet2!Q:R,2,0)</f>
        <v>IR Normal - Track burn out</v>
      </c>
      <c r="U2674" s="20" t="s">
        <v>41</v>
      </c>
      <c r="V2674" s="17"/>
      <c r="W2674" s="20" t="e">
        <f aca="false">VLOOKUP(V2674,Sheet2!Q:R,2,0)</f>
        <v>#N/A</v>
      </c>
      <c r="X2674" s="17" t="n">
        <f aca="false">J2674</f>
        <v>0</v>
      </c>
      <c r="Y2674" s="17" t="e">
        <f aca="false">VLOOKUP(X2674,Sheet2!A:B,2,0)</f>
        <v>#N/A</v>
      </c>
      <c r="Z2674" s="17"/>
      <c r="AA2674" s="17"/>
      <c r="AB2674" s="17" t="s">
        <v>41</v>
      </c>
      <c r="AC2674" s="0" t="str">
        <f aca="false">LEFT(G2674,2)</f>
        <v/>
      </c>
      <c r="AD2674" s="0"/>
    </row>
    <row r="2675" customFormat="false" ht="15" hidden="false" customHeight="false" outlineLevel="0" collapsed="false">
      <c r="A2675" s="13" t="n">
        <f aca="false">1+A2674</f>
        <v>2673</v>
      </c>
      <c r="B2675" s="14" t="n">
        <v>100</v>
      </c>
      <c r="C2675" s="15"/>
      <c r="D2675" s="16" t="s">
        <v>64</v>
      </c>
      <c r="E2675" s="17" t="s">
        <v>47</v>
      </c>
      <c r="F2675" s="18" t="s">
        <v>34</v>
      </c>
      <c r="G2675" s="19"/>
      <c r="H2675" s="17" t="s">
        <v>35</v>
      </c>
      <c r="I2675" s="17" t="s">
        <v>44</v>
      </c>
      <c r="J2675" s="17"/>
      <c r="K2675" s="17" t="e">
        <f aca="false">VLOOKUP(J2675,Sheet2!A:B,2,0)</f>
        <v>#N/A</v>
      </c>
      <c r="L2675" s="17" t="n">
        <v>5</v>
      </c>
      <c r="M2675" s="17" t="str">
        <f aca="false">VLOOKUP(L2675,Sheet2!D:E,2,0)</f>
        <v>Main Processor CPU BGA</v>
      </c>
      <c r="N2675" s="17" t="n">
        <v>1</v>
      </c>
      <c r="O2675" s="17" t="str">
        <f aca="false">VLOOKUP(N2675,Sheet2!G:H,2,0)</f>
        <v>Dead</v>
      </c>
      <c r="P2675" s="17" t="n">
        <v>11</v>
      </c>
      <c r="Q2675" s="17" t="str">
        <f aca="false">VLOOKUP(P2675,Sheet2!J:K,2,0)</f>
        <v>IR Declared due to CID -TA</v>
      </c>
      <c r="R2675" s="17" t="s">
        <v>35</v>
      </c>
      <c r="S2675" s="17" t="str">
        <f aca="false">VLOOKUP(R2675,Sheet2!N:O,2,0)</f>
        <v>IREPARABLE</v>
      </c>
      <c r="T2675" s="18" t="str">
        <f aca="false">VLOOKUP(P2675,Sheet2!Q:R,2,0)</f>
        <v>IR Normal - Track burn out</v>
      </c>
      <c r="U2675" s="20" t="s">
        <v>41</v>
      </c>
      <c r="V2675" s="17"/>
      <c r="W2675" s="20" t="e">
        <f aca="false">VLOOKUP(V2675,Sheet2!Q:R,2,0)</f>
        <v>#N/A</v>
      </c>
      <c r="X2675" s="17" t="n">
        <f aca="false">J2675</f>
        <v>0</v>
      </c>
      <c r="Y2675" s="17" t="e">
        <f aca="false">VLOOKUP(X2675,Sheet2!A:B,2,0)</f>
        <v>#N/A</v>
      </c>
      <c r="Z2675" s="17"/>
      <c r="AA2675" s="17"/>
      <c r="AB2675" s="17" t="s">
        <v>41</v>
      </c>
      <c r="AC2675" s="0" t="str">
        <f aca="false">LEFT(G2675,2)</f>
        <v/>
      </c>
      <c r="AD2675" s="0"/>
    </row>
    <row r="2676" customFormat="false" ht="15" hidden="false" customHeight="false" outlineLevel="0" collapsed="false">
      <c r="A2676" s="13" t="n">
        <f aca="false">1+A2675</f>
        <v>2674</v>
      </c>
      <c r="B2676" s="14" t="n">
        <v>100</v>
      </c>
      <c r="C2676" s="15"/>
      <c r="D2676" s="16" t="s">
        <v>64</v>
      </c>
      <c r="E2676" s="17" t="s">
        <v>47</v>
      </c>
      <c r="F2676" s="18" t="s">
        <v>34</v>
      </c>
      <c r="G2676" s="19"/>
      <c r="H2676" s="17" t="s">
        <v>35</v>
      </c>
      <c r="I2676" s="17" t="s">
        <v>44</v>
      </c>
      <c r="J2676" s="17"/>
      <c r="K2676" s="17" t="e">
        <f aca="false">VLOOKUP(J2676,Sheet2!A:B,2,0)</f>
        <v>#N/A</v>
      </c>
      <c r="L2676" s="17" t="n">
        <v>5</v>
      </c>
      <c r="M2676" s="17" t="str">
        <f aca="false">VLOOKUP(L2676,Sheet2!D:E,2,0)</f>
        <v>Main Processor CPU BGA</v>
      </c>
      <c r="N2676" s="17" t="n">
        <v>1</v>
      </c>
      <c r="O2676" s="17" t="str">
        <f aca="false">VLOOKUP(N2676,Sheet2!G:H,2,0)</f>
        <v>Dead</v>
      </c>
      <c r="P2676" s="17" t="n">
        <v>11</v>
      </c>
      <c r="Q2676" s="17" t="str">
        <f aca="false">VLOOKUP(P2676,Sheet2!J:K,2,0)</f>
        <v>IR Declared due to CID -TA</v>
      </c>
      <c r="R2676" s="17" t="s">
        <v>35</v>
      </c>
      <c r="S2676" s="17" t="str">
        <f aca="false">VLOOKUP(R2676,Sheet2!N:O,2,0)</f>
        <v>IREPARABLE</v>
      </c>
      <c r="T2676" s="18" t="str">
        <f aca="false">VLOOKUP(P2676,Sheet2!Q:R,2,0)</f>
        <v>IR Normal - Track burn out</v>
      </c>
      <c r="U2676" s="20" t="s">
        <v>41</v>
      </c>
      <c r="V2676" s="17"/>
      <c r="W2676" s="20" t="e">
        <f aca="false">VLOOKUP(V2676,Sheet2!Q:R,2,0)</f>
        <v>#N/A</v>
      </c>
      <c r="X2676" s="17" t="n">
        <f aca="false">J2676</f>
        <v>0</v>
      </c>
      <c r="Y2676" s="17" t="e">
        <f aca="false">VLOOKUP(X2676,Sheet2!A:B,2,0)</f>
        <v>#N/A</v>
      </c>
      <c r="Z2676" s="17"/>
      <c r="AA2676" s="17"/>
      <c r="AB2676" s="17" t="s">
        <v>41</v>
      </c>
      <c r="AC2676" s="0" t="str">
        <f aca="false">LEFT(G2676,2)</f>
        <v/>
      </c>
      <c r="AD2676" s="0"/>
    </row>
    <row r="2677" customFormat="false" ht="15" hidden="false" customHeight="false" outlineLevel="0" collapsed="false">
      <c r="A2677" s="13" t="n">
        <f aca="false">1+A2676</f>
        <v>2675</v>
      </c>
      <c r="B2677" s="14" t="n">
        <v>100</v>
      </c>
      <c r="C2677" s="15"/>
      <c r="D2677" s="16" t="s">
        <v>64</v>
      </c>
      <c r="E2677" s="17" t="s">
        <v>47</v>
      </c>
      <c r="F2677" s="18" t="s">
        <v>34</v>
      </c>
      <c r="G2677" s="19"/>
      <c r="H2677" s="17" t="s">
        <v>35</v>
      </c>
      <c r="I2677" s="17" t="s">
        <v>44</v>
      </c>
      <c r="J2677" s="17"/>
      <c r="K2677" s="17" t="e">
        <f aca="false">VLOOKUP(J2677,Sheet2!A:B,2,0)</f>
        <v>#N/A</v>
      </c>
      <c r="L2677" s="17" t="n">
        <v>5</v>
      </c>
      <c r="M2677" s="17" t="str">
        <f aca="false">VLOOKUP(L2677,Sheet2!D:E,2,0)</f>
        <v>Main Processor CPU BGA</v>
      </c>
      <c r="N2677" s="17" t="n">
        <v>1</v>
      </c>
      <c r="O2677" s="17" t="str">
        <f aca="false">VLOOKUP(N2677,Sheet2!G:H,2,0)</f>
        <v>Dead</v>
      </c>
      <c r="P2677" s="17" t="n">
        <v>11</v>
      </c>
      <c r="Q2677" s="17" t="str">
        <f aca="false">VLOOKUP(P2677,Sheet2!J:K,2,0)</f>
        <v>IR Declared due to CID -TA</v>
      </c>
      <c r="R2677" s="17" t="s">
        <v>35</v>
      </c>
      <c r="S2677" s="17" t="str">
        <f aca="false">VLOOKUP(R2677,Sheet2!N:O,2,0)</f>
        <v>IREPARABLE</v>
      </c>
      <c r="T2677" s="18" t="str">
        <f aca="false">VLOOKUP(P2677,Sheet2!Q:R,2,0)</f>
        <v>IR Normal - Track burn out</v>
      </c>
      <c r="U2677" s="20" t="s">
        <v>41</v>
      </c>
      <c r="V2677" s="17"/>
      <c r="W2677" s="20" t="e">
        <f aca="false">VLOOKUP(V2677,Sheet2!Q:R,2,0)</f>
        <v>#N/A</v>
      </c>
      <c r="X2677" s="17" t="n">
        <f aca="false">J2677</f>
        <v>0</v>
      </c>
      <c r="Y2677" s="17" t="e">
        <f aca="false">VLOOKUP(X2677,Sheet2!A:B,2,0)</f>
        <v>#N/A</v>
      </c>
      <c r="Z2677" s="17"/>
      <c r="AA2677" s="17"/>
      <c r="AB2677" s="17" t="s">
        <v>41</v>
      </c>
      <c r="AC2677" s="0" t="str">
        <f aca="false">LEFT(G2677,2)</f>
        <v/>
      </c>
      <c r="AD2677" s="0"/>
    </row>
    <row r="2678" customFormat="false" ht="15" hidden="false" customHeight="false" outlineLevel="0" collapsed="false">
      <c r="A2678" s="13" t="n">
        <f aca="false">1+A2677</f>
        <v>2676</v>
      </c>
      <c r="B2678" s="14" t="n">
        <v>100</v>
      </c>
      <c r="C2678" s="15"/>
      <c r="D2678" s="16" t="s">
        <v>64</v>
      </c>
      <c r="E2678" s="17" t="s">
        <v>47</v>
      </c>
      <c r="F2678" s="18" t="s">
        <v>34</v>
      </c>
      <c r="G2678" s="19"/>
      <c r="H2678" s="17" t="s">
        <v>35</v>
      </c>
      <c r="I2678" s="17" t="s">
        <v>44</v>
      </c>
      <c r="J2678" s="17"/>
      <c r="K2678" s="17" t="e">
        <f aca="false">VLOOKUP(J2678,Sheet2!A:B,2,0)</f>
        <v>#N/A</v>
      </c>
      <c r="L2678" s="17" t="n">
        <v>5</v>
      </c>
      <c r="M2678" s="17" t="str">
        <f aca="false">VLOOKUP(L2678,Sheet2!D:E,2,0)</f>
        <v>Main Processor CPU BGA</v>
      </c>
      <c r="N2678" s="17" t="n">
        <v>1</v>
      </c>
      <c r="O2678" s="17" t="str">
        <f aca="false">VLOOKUP(N2678,Sheet2!G:H,2,0)</f>
        <v>Dead</v>
      </c>
      <c r="P2678" s="17" t="n">
        <v>11</v>
      </c>
      <c r="Q2678" s="17" t="str">
        <f aca="false">VLOOKUP(P2678,Sheet2!J:K,2,0)</f>
        <v>IR Declared due to CID -TA</v>
      </c>
      <c r="R2678" s="17" t="s">
        <v>35</v>
      </c>
      <c r="S2678" s="17" t="str">
        <f aca="false">VLOOKUP(R2678,Sheet2!N:O,2,0)</f>
        <v>IREPARABLE</v>
      </c>
      <c r="T2678" s="18" t="str">
        <f aca="false">VLOOKUP(P2678,Sheet2!Q:R,2,0)</f>
        <v>IR Normal - Track burn out</v>
      </c>
      <c r="U2678" s="20" t="s">
        <v>41</v>
      </c>
      <c r="V2678" s="17"/>
      <c r="W2678" s="20" t="e">
        <f aca="false">VLOOKUP(V2678,Sheet2!Q:R,2,0)</f>
        <v>#N/A</v>
      </c>
      <c r="X2678" s="17" t="n">
        <f aca="false">J2678</f>
        <v>0</v>
      </c>
      <c r="Y2678" s="17" t="e">
        <f aca="false">VLOOKUP(X2678,Sheet2!A:B,2,0)</f>
        <v>#N/A</v>
      </c>
      <c r="Z2678" s="17"/>
      <c r="AA2678" s="17"/>
      <c r="AB2678" s="17" t="s">
        <v>41</v>
      </c>
      <c r="AC2678" s="0" t="str">
        <f aca="false">LEFT(G2678,2)</f>
        <v/>
      </c>
      <c r="AD2678" s="0"/>
    </row>
    <row r="2679" customFormat="false" ht="15" hidden="false" customHeight="false" outlineLevel="0" collapsed="false">
      <c r="A2679" s="13" t="n">
        <f aca="false">1+A2678</f>
        <v>2677</v>
      </c>
      <c r="B2679" s="14" t="n">
        <v>100</v>
      </c>
      <c r="C2679" s="15"/>
      <c r="D2679" s="16" t="s">
        <v>64</v>
      </c>
      <c r="E2679" s="17" t="s">
        <v>47</v>
      </c>
      <c r="F2679" s="18" t="s">
        <v>34</v>
      </c>
      <c r="G2679" s="19"/>
      <c r="H2679" s="17" t="s">
        <v>35</v>
      </c>
      <c r="I2679" s="17" t="s">
        <v>44</v>
      </c>
      <c r="J2679" s="17"/>
      <c r="K2679" s="17" t="e">
        <f aca="false">VLOOKUP(J2679,Sheet2!A:B,2,0)</f>
        <v>#N/A</v>
      </c>
      <c r="L2679" s="17" t="n">
        <v>5</v>
      </c>
      <c r="M2679" s="17" t="str">
        <f aca="false">VLOOKUP(L2679,Sheet2!D:E,2,0)</f>
        <v>Main Processor CPU BGA</v>
      </c>
      <c r="N2679" s="17" t="n">
        <v>1</v>
      </c>
      <c r="O2679" s="17" t="str">
        <f aca="false">VLOOKUP(N2679,Sheet2!G:H,2,0)</f>
        <v>Dead</v>
      </c>
      <c r="P2679" s="17" t="n">
        <v>11</v>
      </c>
      <c r="Q2679" s="17" t="str">
        <f aca="false">VLOOKUP(P2679,Sheet2!J:K,2,0)</f>
        <v>IR Declared due to CID -TA</v>
      </c>
      <c r="R2679" s="17" t="s">
        <v>35</v>
      </c>
      <c r="S2679" s="17" t="str">
        <f aca="false">VLOOKUP(R2679,Sheet2!N:O,2,0)</f>
        <v>IREPARABLE</v>
      </c>
      <c r="T2679" s="18" t="str">
        <f aca="false">VLOOKUP(P2679,Sheet2!Q:R,2,0)</f>
        <v>IR Normal - Track burn out</v>
      </c>
      <c r="U2679" s="20" t="s">
        <v>41</v>
      </c>
      <c r="V2679" s="17"/>
      <c r="W2679" s="20" t="e">
        <f aca="false">VLOOKUP(V2679,Sheet2!Q:R,2,0)</f>
        <v>#N/A</v>
      </c>
      <c r="X2679" s="17" t="n">
        <f aca="false">J2679</f>
        <v>0</v>
      </c>
      <c r="Y2679" s="17" t="e">
        <f aca="false">VLOOKUP(X2679,Sheet2!A:B,2,0)</f>
        <v>#N/A</v>
      </c>
      <c r="Z2679" s="17"/>
      <c r="AA2679" s="17"/>
      <c r="AB2679" s="17" t="s">
        <v>41</v>
      </c>
      <c r="AC2679" s="0" t="str">
        <f aca="false">LEFT(G2679,2)</f>
        <v/>
      </c>
      <c r="AD2679" s="0"/>
    </row>
    <row r="2680" customFormat="false" ht="15" hidden="false" customHeight="false" outlineLevel="0" collapsed="false">
      <c r="A2680" s="13" t="n">
        <f aca="false">1+A2679</f>
        <v>2678</v>
      </c>
      <c r="B2680" s="14" t="n">
        <v>100</v>
      </c>
      <c r="C2680" s="15"/>
      <c r="D2680" s="16" t="s">
        <v>64</v>
      </c>
      <c r="E2680" s="17" t="s">
        <v>47</v>
      </c>
      <c r="F2680" s="18" t="s">
        <v>34</v>
      </c>
      <c r="G2680" s="19"/>
      <c r="H2680" s="17" t="s">
        <v>35</v>
      </c>
      <c r="I2680" s="17" t="s">
        <v>44</v>
      </c>
      <c r="J2680" s="17"/>
      <c r="K2680" s="17" t="e">
        <f aca="false">VLOOKUP(J2680,Sheet2!A:B,2,0)</f>
        <v>#N/A</v>
      </c>
      <c r="L2680" s="17" t="n">
        <v>5</v>
      </c>
      <c r="M2680" s="17" t="str">
        <f aca="false">VLOOKUP(L2680,Sheet2!D:E,2,0)</f>
        <v>Main Processor CPU BGA</v>
      </c>
      <c r="N2680" s="17" t="n">
        <v>1</v>
      </c>
      <c r="O2680" s="17" t="str">
        <f aca="false">VLOOKUP(N2680,Sheet2!G:H,2,0)</f>
        <v>Dead</v>
      </c>
      <c r="P2680" s="17" t="n">
        <v>11</v>
      </c>
      <c r="Q2680" s="17" t="str">
        <f aca="false">VLOOKUP(P2680,Sheet2!J:K,2,0)</f>
        <v>IR Declared due to CID -TA</v>
      </c>
      <c r="R2680" s="17" t="s">
        <v>35</v>
      </c>
      <c r="S2680" s="17" t="str">
        <f aca="false">VLOOKUP(R2680,Sheet2!N:O,2,0)</f>
        <v>IREPARABLE</v>
      </c>
      <c r="T2680" s="18" t="str">
        <f aca="false">VLOOKUP(P2680,Sheet2!Q:R,2,0)</f>
        <v>IR Normal - Track burn out</v>
      </c>
      <c r="U2680" s="20" t="s">
        <v>41</v>
      </c>
      <c r="V2680" s="17"/>
      <c r="W2680" s="20" t="e">
        <f aca="false">VLOOKUP(V2680,Sheet2!Q:R,2,0)</f>
        <v>#N/A</v>
      </c>
      <c r="X2680" s="17" t="n">
        <f aca="false">J2680</f>
        <v>0</v>
      </c>
      <c r="Y2680" s="17" t="e">
        <f aca="false">VLOOKUP(X2680,Sheet2!A:B,2,0)</f>
        <v>#N/A</v>
      </c>
      <c r="Z2680" s="17"/>
      <c r="AA2680" s="17"/>
      <c r="AB2680" s="17" t="s">
        <v>41</v>
      </c>
      <c r="AC2680" s="0" t="str">
        <f aca="false">LEFT(G2680,2)</f>
        <v/>
      </c>
      <c r="AD2680" s="0"/>
    </row>
    <row r="2681" customFormat="false" ht="15" hidden="false" customHeight="false" outlineLevel="0" collapsed="false">
      <c r="A2681" s="13" t="n">
        <f aca="false">1+A2680</f>
        <v>2679</v>
      </c>
      <c r="B2681" s="14" t="n">
        <v>100</v>
      </c>
      <c r="C2681" s="15"/>
      <c r="D2681" s="16" t="s">
        <v>64</v>
      </c>
      <c r="E2681" s="17" t="s">
        <v>47</v>
      </c>
      <c r="F2681" s="18" t="s">
        <v>34</v>
      </c>
      <c r="G2681" s="19"/>
      <c r="H2681" s="17" t="s">
        <v>35</v>
      </c>
      <c r="I2681" s="17" t="s">
        <v>44</v>
      </c>
      <c r="J2681" s="17"/>
      <c r="K2681" s="17" t="e">
        <f aca="false">VLOOKUP(J2681,Sheet2!A:B,2,0)</f>
        <v>#N/A</v>
      </c>
      <c r="L2681" s="17" t="n">
        <v>5</v>
      </c>
      <c r="M2681" s="17" t="str">
        <f aca="false">VLOOKUP(L2681,Sheet2!D:E,2,0)</f>
        <v>Main Processor CPU BGA</v>
      </c>
      <c r="N2681" s="17" t="n">
        <v>1</v>
      </c>
      <c r="O2681" s="17" t="str">
        <f aca="false">VLOOKUP(N2681,Sheet2!G:H,2,0)</f>
        <v>Dead</v>
      </c>
      <c r="P2681" s="17" t="n">
        <v>11</v>
      </c>
      <c r="Q2681" s="17" t="str">
        <f aca="false">VLOOKUP(P2681,Sheet2!J:K,2,0)</f>
        <v>IR Declared due to CID -TA</v>
      </c>
      <c r="R2681" s="17" t="s">
        <v>35</v>
      </c>
      <c r="S2681" s="17" t="str">
        <f aca="false">VLOOKUP(R2681,Sheet2!N:O,2,0)</f>
        <v>IREPARABLE</v>
      </c>
      <c r="T2681" s="18" t="str">
        <f aca="false">VLOOKUP(P2681,Sheet2!Q:R,2,0)</f>
        <v>IR Normal - Track burn out</v>
      </c>
      <c r="U2681" s="20" t="s">
        <v>41</v>
      </c>
      <c r="V2681" s="17"/>
      <c r="W2681" s="20" t="e">
        <f aca="false">VLOOKUP(V2681,Sheet2!Q:R,2,0)</f>
        <v>#N/A</v>
      </c>
      <c r="X2681" s="17" t="n">
        <f aca="false">J2681</f>
        <v>0</v>
      </c>
      <c r="Y2681" s="17" t="e">
        <f aca="false">VLOOKUP(X2681,Sheet2!A:B,2,0)</f>
        <v>#N/A</v>
      </c>
      <c r="Z2681" s="17"/>
      <c r="AA2681" s="17"/>
      <c r="AB2681" s="17" t="s">
        <v>41</v>
      </c>
      <c r="AC2681" s="0" t="str">
        <f aca="false">LEFT(G2681,2)</f>
        <v/>
      </c>
      <c r="AD2681" s="0"/>
    </row>
    <row r="2682" customFormat="false" ht="15" hidden="false" customHeight="false" outlineLevel="0" collapsed="false">
      <c r="A2682" s="13" t="n">
        <f aca="false">1+A2681</f>
        <v>2680</v>
      </c>
      <c r="B2682" s="14" t="n">
        <v>100</v>
      </c>
      <c r="C2682" s="15"/>
      <c r="D2682" s="16" t="s">
        <v>64</v>
      </c>
      <c r="E2682" s="17" t="s">
        <v>47</v>
      </c>
      <c r="F2682" s="18" t="s">
        <v>34</v>
      </c>
      <c r="G2682" s="19"/>
      <c r="H2682" s="17" t="s">
        <v>35</v>
      </c>
      <c r="I2682" s="17" t="s">
        <v>44</v>
      </c>
      <c r="J2682" s="17"/>
      <c r="K2682" s="17" t="e">
        <f aca="false">VLOOKUP(J2682,Sheet2!A:B,2,0)</f>
        <v>#N/A</v>
      </c>
      <c r="L2682" s="17" t="n">
        <v>5</v>
      </c>
      <c r="M2682" s="17" t="str">
        <f aca="false">VLOOKUP(L2682,Sheet2!D:E,2,0)</f>
        <v>Main Processor CPU BGA</v>
      </c>
      <c r="N2682" s="17" t="n">
        <v>1</v>
      </c>
      <c r="O2682" s="17" t="str">
        <f aca="false">VLOOKUP(N2682,Sheet2!G:H,2,0)</f>
        <v>Dead</v>
      </c>
      <c r="P2682" s="17" t="n">
        <v>11</v>
      </c>
      <c r="Q2682" s="17" t="str">
        <f aca="false">VLOOKUP(P2682,Sheet2!J:K,2,0)</f>
        <v>IR Declared due to CID -TA</v>
      </c>
      <c r="R2682" s="17" t="s">
        <v>35</v>
      </c>
      <c r="S2682" s="17" t="str">
        <f aca="false">VLOOKUP(R2682,Sheet2!N:O,2,0)</f>
        <v>IREPARABLE</v>
      </c>
      <c r="T2682" s="18" t="str">
        <f aca="false">VLOOKUP(P2682,Sheet2!Q:R,2,0)</f>
        <v>IR Normal - Track burn out</v>
      </c>
      <c r="U2682" s="20" t="s">
        <v>41</v>
      </c>
      <c r="V2682" s="17"/>
      <c r="W2682" s="20" t="e">
        <f aca="false">VLOOKUP(V2682,Sheet2!Q:R,2,0)</f>
        <v>#N/A</v>
      </c>
      <c r="X2682" s="17" t="n">
        <f aca="false">J2682</f>
        <v>0</v>
      </c>
      <c r="Y2682" s="17" t="e">
        <f aca="false">VLOOKUP(X2682,Sheet2!A:B,2,0)</f>
        <v>#N/A</v>
      </c>
      <c r="Z2682" s="17"/>
      <c r="AA2682" s="17"/>
      <c r="AB2682" s="17" t="s">
        <v>41</v>
      </c>
      <c r="AC2682" s="0" t="str">
        <f aca="false">LEFT(G2682,2)</f>
        <v/>
      </c>
      <c r="AD2682" s="0"/>
    </row>
    <row r="2683" customFormat="false" ht="15" hidden="false" customHeight="false" outlineLevel="0" collapsed="false">
      <c r="A2683" s="13" t="n">
        <f aca="false">1+A2682</f>
        <v>2681</v>
      </c>
      <c r="B2683" s="14" t="n">
        <v>100</v>
      </c>
      <c r="C2683" s="15"/>
      <c r="D2683" s="16" t="s">
        <v>64</v>
      </c>
      <c r="E2683" s="17" t="s">
        <v>47</v>
      </c>
      <c r="F2683" s="18" t="s">
        <v>34</v>
      </c>
      <c r="G2683" s="19"/>
      <c r="H2683" s="17" t="s">
        <v>35</v>
      </c>
      <c r="I2683" s="17" t="s">
        <v>44</v>
      </c>
      <c r="J2683" s="17"/>
      <c r="K2683" s="17" t="e">
        <f aca="false">VLOOKUP(J2683,Sheet2!A:B,2,0)</f>
        <v>#N/A</v>
      </c>
      <c r="L2683" s="17" t="n">
        <v>5</v>
      </c>
      <c r="M2683" s="17" t="str">
        <f aca="false">VLOOKUP(L2683,Sheet2!D:E,2,0)</f>
        <v>Main Processor CPU BGA</v>
      </c>
      <c r="N2683" s="17" t="n">
        <v>1</v>
      </c>
      <c r="O2683" s="17" t="str">
        <f aca="false">VLOOKUP(N2683,Sheet2!G:H,2,0)</f>
        <v>Dead</v>
      </c>
      <c r="P2683" s="17" t="n">
        <v>11</v>
      </c>
      <c r="Q2683" s="17" t="str">
        <f aca="false">VLOOKUP(P2683,Sheet2!J:K,2,0)</f>
        <v>IR Declared due to CID -TA</v>
      </c>
      <c r="R2683" s="17" t="s">
        <v>35</v>
      </c>
      <c r="S2683" s="17" t="str">
        <f aca="false">VLOOKUP(R2683,Sheet2!N:O,2,0)</f>
        <v>IREPARABLE</v>
      </c>
      <c r="T2683" s="18" t="str">
        <f aca="false">VLOOKUP(P2683,Sheet2!Q:R,2,0)</f>
        <v>IR Normal - Track burn out</v>
      </c>
      <c r="U2683" s="20" t="s">
        <v>41</v>
      </c>
      <c r="V2683" s="17"/>
      <c r="W2683" s="20" t="e">
        <f aca="false">VLOOKUP(V2683,Sheet2!Q:R,2,0)</f>
        <v>#N/A</v>
      </c>
      <c r="X2683" s="17" t="n">
        <f aca="false">J2683</f>
        <v>0</v>
      </c>
      <c r="Y2683" s="17" t="e">
        <f aca="false">VLOOKUP(X2683,Sheet2!A:B,2,0)</f>
        <v>#N/A</v>
      </c>
      <c r="Z2683" s="17"/>
      <c r="AA2683" s="17"/>
      <c r="AB2683" s="17" t="s">
        <v>41</v>
      </c>
      <c r="AC2683" s="0" t="str">
        <f aca="false">LEFT(G2683,2)</f>
        <v/>
      </c>
      <c r="AD2683" s="0"/>
    </row>
    <row r="2684" customFormat="false" ht="15" hidden="false" customHeight="false" outlineLevel="0" collapsed="false">
      <c r="A2684" s="13" t="n">
        <f aca="false">1+A2683</f>
        <v>2682</v>
      </c>
      <c r="B2684" s="14" t="n">
        <v>100</v>
      </c>
      <c r="C2684" s="15"/>
      <c r="D2684" s="16" t="s">
        <v>64</v>
      </c>
      <c r="E2684" s="17" t="s">
        <v>47</v>
      </c>
      <c r="F2684" s="18" t="s">
        <v>34</v>
      </c>
      <c r="G2684" s="19"/>
      <c r="H2684" s="17" t="s">
        <v>35</v>
      </c>
      <c r="I2684" s="17" t="s">
        <v>44</v>
      </c>
      <c r="J2684" s="17"/>
      <c r="K2684" s="17" t="e">
        <f aca="false">VLOOKUP(J2684,Sheet2!A:B,2,0)</f>
        <v>#N/A</v>
      </c>
      <c r="L2684" s="17" t="n">
        <v>5</v>
      </c>
      <c r="M2684" s="17" t="str">
        <f aca="false">VLOOKUP(L2684,Sheet2!D:E,2,0)</f>
        <v>Main Processor CPU BGA</v>
      </c>
      <c r="N2684" s="17" t="n">
        <v>1</v>
      </c>
      <c r="O2684" s="17" t="str">
        <f aca="false">VLOOKUP(N2684,Sheet2!G:H,2,0)</f>
        <v>Dead</v>
      </c>
      <c r="P2684" s="17" t="n">
        <v>11</v>
      </c>
      <c r="Q2684" s="17" t="str">
        <f aca="false">VLOOKUP(P2684,Sheet2!J:K,2,0)</f>
        <v>IR Declared due to CID -TA</v>
      </c>
      <c r="R2684" s="17" t="s">
        <v>35</v>
      </c>
      <c r="S2684" s="17" t="str">
        <f aca="false">VLOOKUP(R2684,Sheet2!N:O,2,0)</f>
        <v>IREPARABLE</v>
      </c>
      <c r="T2684" s="18" t="str">
        <f aca="false">VLOOKUP(P2684,Sheet2!Q:R,2,0)</f>
        <v>IR Normal - Track burn out</v>
      </c>
      <c r="U2684" s="20" t="s">
        <v>41</v>
      </c>
      <c r="V2684" s="17"/>
      <c r="W2684" s="20" t="e">
        <f aca="false">VLOOKUP(V2684,Sheet2!Q:R,2,0)</f>
        <v>#N/A</v>
      </c>
      <c r="X2684" s="17" t="n">
        <f aca="false">J2684</f>
        <v>0</v>
      </c>
      <c r="Y2684" s="17" t="e">
        <f aca="false">VLOOKUP(X2684,Sheet2!A:B,2,0)</f>
        <v>#N/A</v>
      </c>
      <c r="Z2684" s="17"/>
      <c r="AA2684" s="17"/>
      <c r="AB2684" s="17" t="s">
        <v>41</v>
      </c>
      <c r="AC2684" s="0" t="str">
        <f aca="false">LEFT(G2684,2)</f>
        <v/>
      </c>
      <c r="AD2684" s="0"/>
    </row>
    <row r="2685" customFormat="false" ht="15" hidden="false" customHeight="false" outlineLevel="0" collapsed="false">
      <c r="A2685" s="13" t="n">
        <f aca="false">1+A2684</f>
        <v>2683</v>
      </c>
      <c r="B2685" s="14" t="n">
        <v>100</v>
      </c>
      <c r="C2685" s="15"/>
      <c r="D2685" s="16" t="s">
        <v>64</v>
      </c>
      <c r="E2685" s="17" t="s">
        <v>47</v>
      </c>
      <c r="F2685" s="18" t="s">
        <v>34</v>
      </c>
      <c r="G2685" s="19"/>
      <c r="H2685" s="17" t="s">
        <v>35</v>
      </c>
      <c r="I2685" s="17" t="s">
        <v>44</v>
      </c>
      <c r="J2685" s="17"/>
      <c r="K2685" s="17" t="e">
        <f aca="false">VLOOKUP(J2685,Sheet2!A:B,2,0)</f>
        <v>#N/A</v>
      </c>
      <c r="L2685" s="17" t="n">
        <v>5</v>
      </c>
      <c r="M2685" s="17" t="str">
        <f aca="false">VLOOKUP(L2685,Sheet2!D:E,2,0)</f>
        <v>Main Processor CPU BGA</v>
      </c>
      <c r="N2685" s="17" t="n">
        <v>1</v>
      </c>
      <c r="O2685" s="17" t="str">
        <f aca="false">VLOOKUP(N2685,Sheet2!G:H,2,0)</f>
        <v>Dead</v>
      </c>
      <c r="P2685" s="17" t="n">
        <v>11</v>
      </c>
      <c r="Q2685" s="17" t="str">
        <f aca="false">VLOOKUP(P2685,Sheet2!J:K,2,0)</f>
        <v>IR Declared due to CID -TA</v>
      </c>
      <c r="R2685" s="17" t="s">
        <v>35</v>
      </c>
      <c r="S2685" s="17" t="str">
        <f aca="false">VLOOKUP(R2685,Sheet2!N:O,2,0)</f>
        <v>IREPARABLE</v>
      </c>
      <c r="T2685" s="18" t="str">
        <f aca="false">VLOOKUP(P2685,Sheet2!Q:R,2,0)</f>
        <v>IR Normal - Track burn out</v>
      </c>
      <c r="U2685" s="20" t="s">
        <v>41</v>
      </c>
      <c r="V2685" s="17"/>
      <c r="W2685" s="20" t="e">
        <f aca="false">VLOOKUP(V2685,Sheet2!Q:R,2,0)</f>
        <v>#N/A</v>
      </c>
      <c r="X2685" s="17" t="n">
        <f aca="false">J2685</f>
        <v>0</v>
      </c>
      <c r="Y2685" s="17" t="e">
        <f aca="false">VLOOKUP(X2685,Sheet2!A:B,2,0)</f>
        <v>#N/A</v>
      </c>
      <c r="Z2685" s="17"/>
      <c r="AA2685" s="17"/>
      <c r="AB2685" s="17" t="s">
        <v>41</v>
      </c>
      <c r="AC2685" s="0" t="str">
        <f aca="false">LEFT(G2685,2)</f>
        <v/>
      </c>
      <c r="AD2685" s="0"/>
    </row>
    <row r="2686" customFormat="false" ht="15" hidden="false" customHeight="false" outlineLevel="0" collapsed="false">
      <c r="A2686" s="13" t="n">
        <f aca="false">1+A2685</f>
        <v>2684</v>
      </c>
      <c r="B2686" s="14" t="n">
        <v>100</v>
      </c>
      <c r="C2686" s="15"/>
      <c r="D2686" s="16" t="s">
        <v>64</v>
      </c>
      <c r="E2686" s="17" t="s">
        <v>47</v>
      </c>
      <c r="F2686" s="18" t="s">
        <v>34</v>
      </c>
      <c r="G2686" s="19"/>
      <c r="H2686" s="17" t="s">
        <v>35</v>
      </c>
      <c r="I2686" s="17" t="s">
        <v>44</v>
      </c>
      <c r="J2686" s="17"/>
      <c r="K2686" s="17" t="e">
        <f aca="false">VLOOKUP(J2686,Sheet2!A:B,2,0)</f>
        <v>#N/A</v>
      </c>
      <c r="L2686" s="17" t="n">
        <v>5</v>
      </c>
      <c r="M2686" s="17" t="str">
        <f aca="false">VLOOKUP(L2686,Sheet2!D:E,2,0)</f>
        <v>Main Processor CPU BGA</v>
      </c>
      <c r="N2686" s="17" t="n">
        <v>1</v>
      </c>
      <c r="O2686" s="17" t="str">
        <f aca="false">VLOOKUP(N2686,Sheet2!G:H,2,0)</f>
        <v>Dead</v>
      </c>
      <c r="P2686" s="17" t="n">
        <v>11</v>
      </c>
      <c r="Q2686" s="17" t="str">
        <f aca="false">VLOOKUP(P2686,Sheet2!J:K,2,0)</f>
        <v>IR Declared due to CID -TA</v>
      </c>
      <c r="R2686" s="17" t="s">
        <v>35</v>
      </c>
      <c r="S2686" s="17" t="str">
        <f aca="false">VLOOKUP(R2686,Sheet2!N:O,2,0)</f>
        <v>IREPARABLE</v>
      </c>
      <c r="T2686" s="18" t="str">
        <f aca="false">VLOOKUP(P2686,Sheet2!Q:R,2,0)</f>
        <v>IR Normal - Track burn out</v>
      </c>
      <c r="U2686" s="20" t="s">
        <v>41</v>
      </c>
      <c r="V2686" s="17"/>
      <c r="W2686" s="20" t="e">
        <f aca="false">VLOOKUP(V2686,Sheet2!Q:R,2,0)</f>
        <v>#N/A</v>
      </c>
      <c r="X2686" s="17" t="n">
        <f aca="false">J2686</f>
        <v>0</v>
      </c>
      <c r="Y2686" s="17" t="e">
        <f aca="false">VLOOKUP(X2686,Sheet2!A:B,2,0)</f>
        <v>#N/A</v>
      </c>
      <c r="Z2686" s="17"/>
      <c r="AA2686" s="17"/>
      <c r="AB2686" s="17" t="s">
        <v>41</v>
      </c>
      <c r="AC2686" s="0" t="str">
        <f aca="false">LEFT(G2686,2)</f>
        <v/>
      </c>
      <c r="AD2686" s="0"/>
    </row>
    <row r="2687" customFormat="false" ht="15" hidden="false" customHeight="false" outlineLevel="0" collapsed="false">
      <c r="A2687" s="13" t="n">
        <f aca="false">1+A2686</f>
        <v>2685</v>
      </c>
      <c r="B2687" s="14" t="n">
        <v>100</v>
      </c>
      <c r="C2687" s="15"/>
      <c r="D2687" s="16" t="s">
        <v>64</v>
      </c>
      <c r="E2687" s="17" t="s">
        <v>47</v>
      </c>
      <c r="F2687" s="18" t="s">
        <v>34</v>
      </c>
      <c r="G2687" s="19"/>
      <c r="H2687" s="17" t="s">
        <v>35</v>
      </c>
      <c r="I2687" s="17" t="s">
        <v>44</v>
      </c>
      <c r="J2687" s="17"/>
      <c r="K2687" s="17" t="e">
        <f aca="false">VLOOKUP(J2687,Sheet2!A:B,2,0)</f>
        <v>#N/A</v>
      </c>
      <c r="L2687" s="17" t="n">
        <v>5</v>
      </c>
      <c r="M2687" s="17" t="str">
        <f aca="false">VLOOKUP(L2687,Sheet2!D:E,2,0)</f>
        <v>Main Processor CPU BGA</v>
      </c>
      <c r="N2687" s="17" t="n">
        <v>1</v>
      </c>
      <c r="O2687" s="17" t="str">
        <f aca="false">VLOOKUP(N2687,Sheet2!G:H,2,0)</f>
        <v>Dead</v>
      </c>
      <c r="P2687" s="17" t="n">
        <v>11</v>
      </c>
      <c r="Q2687" s="17" t="str">
        <f aca="false">VLOOKUP(P2687,Sheet2!J:K,2,0)</f>
        <v>IR Declared due to CID -TA</v>
      </c>
      <c r="R2687" s="17" t="s">
        <v>35</v>
      </c>
      <c r="S2687" s="17" t="str">
        <f aca="false">VLOOKUP(R2687,Sheet2!N:O,2,0)</f>
        <v>IREPARABLE</v>
      </c>
      <c r="T2687" s="18" t="str">
        <f aca="false">VLOOKUP(P2687,Sheet2!Q:R,2,0)</f>
        <v>IR Normal - Track burn out</v>
      </c>
      <c r="U2687" s="20" t="s">
        <v>41</v>
      </c>
      <c r="V2687" s="17"/>
      <c r="W2687" s="20" t="e">
        <f aca="false">VLOOKUP(V2687,Sheet2!Q:R,2,0)</f>
        <v>#N/A</v>
      </c>
      <c r="X2687" s="17" t="n">
        <f aca="false">J2687</f>
        <v>0</v>
      </c>
      <c r="Y2687" s="17" t="e">
        <f aca="false">VLOOKUP(X2687,Sheet2!A:B,2,0)</f>
        <v>#N/A</v>
      </c>
      <c r="Z2687" s="17"/>
      <c r="AA2687" s="17"/>
      <c r="AB2687" s="17" t="s">
        <v>41</v>
      </c>
      <c r="AC2687" s="0" t="str">
        <f aca="false">LEFT(G2687,2)</f>
        <v/>
      </c>
      <c r="AD2687" s="0"/>
    </row>
    <row r="2688" customFormat="false" ht="15" hidden="false" customHeight="false" outlineLevel="0" collapsed="false">
      <c r="A2688" s="13" t="n">
        <f aca="false">1+A2687</f>
        <v>2686</v>
      </c>
      <c r="B2688" s="14" t="n">
        <v>100</v>
      </c>
      <c r="C2688" s="15"/>
      <c r="D2688" s="16" t="s">
        <v>64</v>
      </c>
      <c r="E2688" s="17" t="s">
        <v>47</v>
      </c>
      <c r="F2688" s="18" t="s">
        <v>34</v>
      </c>
      <c r="G2688" s="19"/>
      <c r="H2688" s="17" t="s">
        <v>35</v>
      </c>
      <c r="I2688" s="17" t="s">
        <v>44</v>
      </c>
      <c r="J2688" s="17"/>
      <c r="K2688" s="17" t="e">
        <f aca="false">VLOOKUP(J2688,Sheet2!A:B,2,0)</f>
        <v>#N/A</v>
      </c>
      <c r="L2688" s="17" t="n">
        <v>5</v>
      </c>
      <c r="M2688" s="17" t="str">
        <f aca="false">VLOOKUP(L2688,Sheet2!D:E,2,0)</f>
        <v>Main Processor CPU BGA</v>
      </c>
      <c r="N2688" s="17" t="n">
        <v>1</v>
      </c>
      <c r="O2688" s="17" t="str">
        <f aca="false">VLOOKUP(N2688,Sheet2!G:H,2,0)</f>
        <v>Dead</v>
      </c>
      <c r="P2688" s="17" t="n">
        <v>11</v>
      </c>
      <c r="Q2688" s="17" t="str">
        <f aca="false">VLOOKUP(P2688,Sheet2!J:K,2,0)</f>
        <v>IR Declared due to CID -TA</v>
      </c>
      <c r="R2688" s="17" t="s">
        <v>35</v>
      </c>
      <c r="S2688" s="17" t="str">
        <f aca="false">VLOOKUP(R2688,Sheet2!N:O,2,0)</f>
        <v>IREPARABLE</v>
      </c>
      <c r="T2688" s="18" t="str">
        <f aca="false">VLOOKUP(P2688,Sheet2!Q:R,2,0)</f>
        <v>IR Normal - Track burn out</v>
      </c>
      <c r="U2688" s="20" t="s">
        <v>41</v>
      </c>
      <c r="V2688" s="17"/>
      <c r="W2688" s="20" t="e">
        <f aca="false">VLOOKUP(V2688,Sheet2!Q:R,2,0)</f>
        <v>#N/A</v>
      </c>
      <c r="X2688" s="17" t="n">
        <f aca="false">J2688</f>
        <v>0</v>
      </c>
      <c r="Y2688" s="17" t="e">
        <f aca="false">VLOOKUP(X2688,Sheet2!A:B,2,0)</f>
        <v>#N/A</v>
      </c>
      <c r="Z2688" s="17"/>
      <c r="AA2688" s="17"/>
      <c r="AB2688" s="17" t="s">
        <v>41</v>
      </c>
      <c r="AC2688" s="0" t="str">
        <f aca="false">LEFT(G2688,2)</f>
        <v/>
      </c>
      <c r="AD2688" s="0"/>
    </row>
    <row r="2689" customFormat="false" ht="15" hidden="false" customHeight="false" outlineLevel="0" collapsed="false">
      <c r="A2689" s="13" t="n">
        <f aca="false">1+A2688</f>
        <v>2687</v>
      </c>
      <c r="B2689" s="14" t="n">
        <v>100</v>
      </c>
      <c r="C2689" s="15"/>
      <c r="D2689" s="16" t="s">
        <v>64</v>
      </c>
      <c r="E2689" s="17" t="s">
        <v>47</v>
      </c>
      <c r="F2689" s="18" t="s">
        <v>34</v>
      </c>
      <c r="G2689" s="19"/>
      <c r="H2689" s="17" t="s">
        <v>35</v>
      </c>
      <c r="I2689" s="17" t="s">
        <v>44</v>
      </c>
      <c r="J2689" s="17"/>
      <c r="K2689" s="17" t="e">
        <f aca="false">VLOOKUP(J2689,Sheet2!A:B,2,0)</f>
        <v>#N/A</v>
      </c>
      <c r="L2689" s="17" t="n">
        <v>5</v>
      </c>
      <c r="M2689" s="17" t="str">
        <f aca="false">VLOOKUP(L2689,Sheet2!D:E,2,0)</f>
        <v>Main Processor CPU BGA</v>
      </c>
      <c r="N2689" s="17" t="n">
        <v>1</v>
      </c>
      <c r="O2689" s="17" t="str">
        <f aca="false">VLOOKUP(N2689,Sheet2!G:H,2,0)</f>
        <v>Dead</v>
      </c>
      <c r="P2689" s="17" t="n">
        <v>11</v>
      </c>
      <c r="Q2689" s="17" t="str">
        <f aca="false">VLOOKUP(P2689,Sheet2!J:K,2,0)</f>
        <v>IR Declared due to CID -TA</v>
      </c>
      <c r="R2689" s="17" t="s">
        <v>35</v>
      </c>
      <c r="S2689" s="17" t="str">
        <f aca="false">VLOOKUP(R2689,Sheet2!N:O,2,0)</f>
        <v>IREPARABLE</v>
      </c>
      <c r="T2689" s="18" t="str">
        <f aca="false">VLOOKUP(P2689,Sheet2!Q:R,2,0)</f>
        <v>IR Normal - Track burn out</v>
      </c>
      <c r="U2689" s="20" t="s">
        <v>41</v>
      </c>
      <c r="V2689" s="17"/>
      <c r="W2689" s="20" t="e">
        <f aca="false">VLOOKUP(V2689,Sheet2!Q:R,2,0)</f>
        <v>#N/A</v>
      </c>
      <c r="X2689" s="17" t="n">
        <f aca="false">J2689</f>
        <v>0</v>
      </c>
      <c r="Y2689" s="17" t="e">
        <f aca="false">VLOOKUP(X2689,Sheet2!A:B,2,0)</f>
        <v>#N/A</v>
      </c>
      <c r="Z2689" s="17"/>
      <c r="AA2689" s="17"/>
      <c r="AB2689" s="17" t="s">
        <v>41</v>
      </c>
      <c r="AC2689" s="0" t="str">
        <f aca="false">LEFT(G2689,2)</f>
        <v/>
      </c>
    </row>
    <row r="2690" customFormat="false" ht="15" hidden="false" customHeight="false" outlineLevel="0" collapsed="false">
      <c r="A2690" s="13" t="n">
        <f aca="false">1+A2689</f>
        <v>2688</v>
      </c>
      <c r="B2690" s="14" t="n">
        <v>100</v>
      </c>
      <c r="C2690" s="15"/>
      <c r="D2690" s="16" t="s">
        <v>64</v>
      </c>
      <c r="E2690" s="17" t="s">
        <v>47</v>
      </c>
      <c r="F2690" s="18" t="s">
        <v>34</v>
      </c>
      <c r="G2690" s="19"/>
      <c r="H2690" s="17" t="s">
        <v>35</v>
      </c>
      <c r="I2690" s="17" t="s">
        <v>44</v>
      </c>
      <c r="J2690" s="17"/>
      <c r="K2690" s="17" t="e">
        <f aca="false">VLOOKUP(J2690,Sheet2!A:B,2,0)</f>
        <v>#N/A</v>
      </c>
      <c r="L2690" s="17" t="n">
        <v>5</v>
      </c>
      <c r="M2690" s="17" t="str">
        <f aca="false">VLOOKUP(L2690,Sheet2!D:E,2,0)</f>
        <v>Main Processor CPU BGA</v>
      </c>
      <c r="N2690" s="17" t="n">
        <v>1</v>
      </c>
      <c r="O2690" s="17" t="str">
        <f aca="false">VLOOKUP(N2690,Sheet2!G:H,2,0)</f>
        <v>Dead</v>
      </c>
      <c r="P2690" s="17" t="n">
        <v>11</v>
      </c>
      <c r="Q2690" s="17" t="str">
        <f aca="false">VLOOKUP(P2690,Sheet2!J:K,2,0)</f>
        <v>IR Declared due to CID -TA</v>
      </c>
      <c r="R2690" s="17" t="s">
        <v>35</v>
      </c>
      <c r="S2690" s="17" t="str">
        <f aca="false">VLOOKUP(R2690,Sheet2!N:O,2,0)</f>
        <v>IREPARABLE</v>
      </c>
      <c r="T2690" s="18" t="str">
        <f aca="false">VLOOKUP(P2690,Sheet2!Q:R,2,0)</f>
        <v>IR Normal - Track burn out</v>
      </c>
      <c r="U2690" s="20" t="s">
        <v>41</v>
      </c>
      <c r="V2690" s="17"/>
      <c r="W2690" s="20" t="e">
        <f aca="false">VLOOKUP(V2690,Sheet2!Q:R,2,0)</f>
        <v>#N/A</v>
      </c>
      <c r="X2690" s="17" t="n">
        <f aca="false">J2690</f>
        <v>0</v>
      </c>
      <c r="Y2690" s="17" t="e">
        <f aca="false">VLOOKUP(X2690,Sheet2!A:B,2,0)</f>
        <v>#N/A</v>
      </c>
      <c r="Z2690" s="17"/>
      <c r="AA2690" s="17"/>
      <c r="AB2690" s="17" t="s">
        <v>41</v>
      </c>
      <c r="AC2690" s="0" t="str">
        <f aca="false">LEFT(G2690,2)</f>
        <v/>
      </c>
    </row>
    <row r="2691" customFormat="false" ht="15" hidden="false" customHeight="false" outlineLevel="0" collapsed="false">
      <c r="A2691" s="13" t="n">
        <f aca="false">1+A2690</f>
        <v>2689</v>
      </c>
      <c r="B2691" s="14" t="n">
        <v>100</v>
      </c>
      <c r="C2691" s="15"/>
      <c r="D2691" s="16" t="s">
        <v>64</v>
      </c>
      <c r="E2691" s="17" t="s">
        <v>47</v>
      </c>
      <c r="F2691" s="18" t="s">
        <v>34</v>
      </c>
      <c r="G2691" s="19"/>
      <c r="H2691" s="17" t="s">
        <v>35</v>
      </c>
      <c r="I2691" s="17" t="s">
        <v>44</v>
      </c>
      <c r="J2691" s="17"/>
      <c r="K2691" s="17" t="e">
        <f aca="false">VLOOKUP(J2691,Sheet2!A:B,2,0)</f>
        <v>#N/A</v>
      </c>
      <c r="L2691" s="17" t="n">
        <v>5</v>
      </c>
      <c r="M2691" s="17" t="str">
        <f aca="false">VLOOKUP(L2691,Sheet2!D:E,2,0)</f>
        <v>Main Processor CPU BGA</v>
      </c>
      <c r="N2691" s="17" t="n">
        <v>1</v>
      </c>
      <c r="O2691" s="17" t="str">
        <f aca="false">VLOOKUP(N2691,Sheet2!G:H,2,0)</f>
        <v>Dead</v>
      </c>
      <c r="P2691" s="17" t="n">
        <v>11</v>
      </c>
      <c r="Q2691" s="17" t="str">
        <f aca="false">VLOOKUP(P2691,Sheet2!J:K,2,0)</f>
        <v>IR Declared due to CID -TA</v>
      </c>
      <c r="R2691" s="17" t="s">
        <v>35</v>
      </c>
      <c r="S2691" s="17" t="str">
        <f aca="false">VLOOKUP(R2691,Sheet2!N:O,2,0)</f>
        <v>IREPARABLE</v>
      </c>
      <c r="T2691" s="18" t="str">
        <f aca="false">VLOOKUP(P2691,Sheet2!Q:R,2,0)</f>
        <v>IR Normal - Track burn out</v>
      </c>
      <c r="U2691" s="20" t="s">
        <v>41</v>
      </c>
      <c r="V2691" s="17"/>
      <c r="W2691" s="20" t="e">
        <f aca="false">VLOOKUP(V2691,Sheet2!Q:R,2,0)</f>
        <v>#N/A</v>
      </c>
      <c r="X2691" s="17" t="n">
        <f aca="false">J2691</f>
        <v>0</v>
      </c>
      <c r="Y2691" s="17" t="e">
        <f aca="false">VLOOKUP(X2691,Sheet2!A:B,2,0)</f>
        <v>#N/A</v>
      </c>
      <c r="Z2691" s="17"/>
      <c r="AA2691" s="17"/>
      <c r="AB2691" s="17" t="s">
        <v>41</v>
      </c>
      <c r="AC2691" s="0" t="str">
        <f aca="false">LEFT(G2691,2)</f>
        <v/>
      </c>
    </row>
    <row r="2692" customFormat="false" ht="15" hidden="false" customHeight="false" outlineLevel="0" collapsed="false">
      <c r="A2692" s="13" t="n">
        <f aca="false">1+A2691</f>
        <v>2690</v>
      </c>
      <c r="B2692" s="14" t="n">
        <v>100</v>
      </c>
      <c r="C2692" s="15"/>
      <c r="D2692" s="16" t="s">
        <v>64</v>
      </c>
      <c r="E2692" s="17" t="s">
        <v>47</v>
      </c>
      <c r="F2692" s="18" t="s">
        <v>34</v>
      </c>
      <c r="G2692" s="19"/>
      <c r="H2692" s="17" t="s">
        <v>35</v>
      </c>
      <c r="I2692" s="17" t="s">
        <v>44</v>
      </c>
      <c r="J2692" s="17"/>
      <c r="K2692" s="17" t="e">
        <f aca="false">VLOOKUP(J2692,Sheet2!A:B,2,0)</f>
        <v>#N/A</v>
      </c>
      <c r="L2692" s="17" t="n">
        <v>5</v>
      </c>
      <c r="M2692" s="17" t="str">
        <f aca="false">VLOOKUP(L2692,Sheet2!D:E,2,0)</f>
        <v>Main Processor CPU BGA</v>
      </c>
      <c r="N2692" s="17" t="n">
        <v>1</v>
      </c>
      <c r="O2692" s="17" t="str">
        <f aca="false">VLOOKUP(N2692,Sheet2!G:H,2,0)</f>
        <v>Dead</v>
      </c>
      <c r="P2692" s="17" t="n">
        <v>11</v>
      </c>
      <c r="Q2692" s="17" t="str">
        <f aca="false">VLOOKUP(P2692,Sheet2!J:K,2,0)</f>
        <v>IR Declared due to CID -TA</v>
      </c>
      <c r="R2692" s="17" t="s">
        <v>35</v>
      </c>
      <c r="S2692" s="17" t="str">
        <f aca="false">VLOOKUP(R2692,Sheet2!N:O,2,0)</f>
        <v>IREPARABLE</v>
      </c>
      <c r="T2692" s="18" t="str">
        <f aca="false">VLOOKUP(P2692,Sheet2!Q:R,2,0)</f>
        <v>IR Normal - Track burn out</v>
      </c>
      <c r="U2692" s="20" t="s">
        <v>41</v>
      </c>
      <c r="V2692" s="17"/>
      <c r="W2692" s="20" t="e">
        <f aca="false">VLOOKUP(V2692,Sheet2!Q:R,2,0)</f>
        <v>#N/A</v>
      </c>
      <c r="X2692" s="17" t="n">
        <f aca="false">J2692</f>
        <v>0</v>
      </c>
      <c r="Y2692" s="17" t="e">
        <f aca="false">VLOOKUP(X2692,Sheet2!A:B,2,0)</f>
        <v>#N/A</v>
      </c>
      <c r="Z2692" s="17"/>
      <c r="AA2692" s="17"/>
      <c r="AB2692" s="17" t="s">
        <v>41</v>
      </c>
      <c r="AC2692" s="0" t="str">
        <f aca="false">LEFT(G2692,2)</f>
        <v/>
      </c>
    </row>
    <row r="2693" customFormat="false" ht="15" hidden="false" customHeight="false" outlineLevel="0" collapsed="false">
      <c r="A2693" s="13" t="n">
        <f aca="false">1+A2692</f>
        <v>2691</v>
      </c>
      <c r="B2693" s="14" t="n">
        <v>100</v>
      </c>
      <c r="C2693" s="15"/>
      <c r="D2693" s="16" t="s">
        <v>64</v>
      </c>
      <c r="E2693" s="17" t="s">
        <v>47</v>
      </c>
      <c r="F2693" s="18" t="s">
        <v>34</v>
      </c>
      <c r="G2693" s="19"/>
      <c r="H2693" s="17" t="s">
        <v>35</v>
      </c>
      <c r="I2693" s="17" t="s">
        <v>44</v>
      </c>
      <c r="J2693" s="17"/>
      <c r="K2693" s="17" t="e">
        <f aca="false">VLOOKUP(J2693,Sheet2!A:B,2,0)</f>
        <v>#N/A</v>
      </c>
      <c r="L2693" s="17" t="n">
        <v>5</v>
      </c>
      <c r="M2693" s="17" t="str">
        <f aca="false">VLOOKUP(L2693,Sheet2!D:E,2,0)</f>
        <v>Main Processor CPU BGA</v>
      </c>
      <c r="N2693" s="17" t="n">
        <v>1</v>
      </c>
      <c r="O2693" s="17" t="str">
        <f aca="false">VLOOKUP(N2693,Sheet2!G:H,2,0)</f>
        <v>Dead</v>
      </c>
      <c r="P2693" s="17" t="n">
        <v>11</v>
      </c>
      <c r="Q2693" s="17" t="str">
        <f aca="false">VLOOKUP(P2693,Sheet2!J:K,2,0)</f>
        <v>IR Declared due to CID -TA</v>
      </c>
      <c r="R2693" s="17" t="s">
        <v>35</v>
      </c>
      <c r="S2693" s="17" t="str">
        <f aca="false">VLOOKUP(R2693,Sheet2!N:O,2,0)</f>
        <v>IREPARABLE</v>
      </c>
      <c r="T2693" s="18" t="str">
        <f aca="false">VLOOKUP(P2693,Sheet2!Q:R,2,0)</f>
        <v>IR Normal - Track burn out</v>
      </c>
      <c r="U2693" s="20" t="s">
        <v>41</v>
      </c>
      <c r="V2693" s="17"/>
      <c r="W2693" s="20" t="e">
        <f aca="false">VLOOKUP(V2693,Sheet2!Q:R,2,0)</f>
        <v>#N/A</v>
      </c>
      <c r="X2693" s="17" t="n">
        <f aca="false">J2693</f>
        <v>0</v>
      </c>
      <c r="Y2693" s="17" t="e">
        <f aca="false">VLOOKUP(X2693,Sheet2!A:B,2,0)</f>
        <v>#N/A</v>
      </c>
      <c r="Z2693" s="17"/>
      <c r="AA2693" s="17"/>
      <c r="AB2693" s="17" t="s">
        <v>41</v>
      </c>
      <c r="AC2693" s="0" t="str">
        <f aca="false">LEFT(G2693,2)</f>
        <v/>
      </c>
    </row>
    <row r="2694" customFormat="false" ht="15" hidden="false" customHeight="false" outlineLevel="0" collapsed="false">
      <c r="A2694" s="13" t="n">
        <f aca="false">1+A2693</f>
        <v>2692</v>
      </c>
      <c r="B2694" s="14" t="n">
        <v>100</v>
      </c>
      <c r="C2694" s="15"/>
      <c r="D2694" s="16" t="s">
        <v>64</v>
      </c>
      <c r="E2694" s="17" t="s">
        <v>47</v>
      </c>
      <c r="F2694" s="18" t="s">
        <v>34</v>
      </c>
      <c r="G2694" s="19"/>
      <c r="H2694" s="17" t="s">
        <v>35</v>
      </c>
      <c r="I2694" s="17" t="s">
        <v>44</v>
      </c>
      <c r="J2694" s="17"/>
      <c r="K2694" s="17" t="e">
        <f aca="false">VLOOKUP(J2694,Sheet2!A:B,2,0)</f>
        <v>#N/A</v>
      </c>
      <c r="L2694" s="17" t="n">
        <v>5</v>
      </c>
      <c r="M2694" s="17" t="str">
        <f aca="false">VLOOKUP(L2694,Sheet2!D:E,2,0)</f>
        <v>Main Processor CPU BGA</v>
      </c>
      <c r="N2694" s="17" t="n">
        <v>1</v>
      </c>
      <c r="O2694" s="17" t="str">
        <f aca="false">VLOOKUP(N2694,Sheet2!G:H,2,0)</f>
        <v>Dead</v>
      </c>
      <c r="P2694" s="17" t="n">
        <v>11</v>
      </c>
      <c r="Q2694" s="17" t="str">
        <f aca="false">VLOOKUP(P2694,Sheet2!J:K,2,0)</f>
        <v>IR Declared due to CID -TA</v>
      </c>
      <c r="R2694" s="17" t="s">
        <v>35</v>
      </c>
      <c r="S2694" s="17" t="str">
        <f aca="false">VLOOKUP(R2694,Sheet2!N:O,2,0)</f>
        <v>IREPARABLE</v>
      </c>
      <c r="T2694" s="18" t="str">
        <f aca="false">VLOOKUP(P2694,Sheet2!Q:R,2,0)</f>
        <v>IR Normal - Track burn out</v>
      </c>
      <c r="U2694" s="20" t="s">
        <v>41</v>
      </c>
      <c r="V2694" s="17"/>
      <c r="W2694" s="20" t="e">
        <f aca="false">VLOOKUP(V2694,Sheet2!Q:R,2,0)</f>
        <v>#N/A</v>
      </c>
      <c r="X2694" s="17" t="n">
        <f aca="false">J2694</f>
        <v>0</v>
      </c>
      <c r="Y2694" s="17" t="e">
        <f aca="false">VLOOKUP(X2694,Sheet2!A:B,2,0)</f>
        <v>#N/A</v>
      </c>
      <c r="Z2694" s="17"/>
      <c r="AA2694" s="17"/>
      <c r="AB2694" s="17" t="s">
        <v>41</v>
      </c>
      <c r="AC2694" s="0" t="str">
        <f aca="false">LEFT(G2694,2)</f>
        <v/>
      </c>
    </row>
    <row r="2695" customFormat="false" ht="15" hidden="false" customHeight="false" outlineLevel="0" collapsed="false">
      <c r="A2695" s="13" t="n">
        <f aca="false">1+A2694</f>
        <v>2693</v>
      </c>
      <c r="B2695" s="14" t="n">
        <v>100</v>
      </c>
      <c r="C2695" s="15"/>
      <c r="D2695" s="16" t="s">
        <v>64</v>
      </c>
      <c r="E2695" s="17" t="s">
        <v>47</v>
      </c>
      <c r="F2695" s="18" t="s">
        <v>34</v>
      </c>
      <c r="G2695" s="19"/>
      <c r="H2695" s="17" t="s">
        <v>35</v>
      </c>
      <c r="I2695" s="17" t="s">
        <v>44</v>
      </c>
      <c r="J2695" s="17"/>
      <c r="K2695" s="17" t="e">
        <f aca="false">VLOOKUP(J2695,Sheet2!A:B,2,0)</f>
        <v>#N/A</v>
      </c>
      <c r="L2695" s="17" t="n">
        <v>5</v>
      </c>
      <c r="M2695" s="17" t="str">
        <f aca="false">VLOOKUP(L2695,Sheet2!D:E,2,0)</f>
        <v>Main Processor CPU BGA</v>
      </c>
      <c r="N2695" s="17" t="n">
        <v>1</v>
      </c>
      <c r="O2695" s="17" t="str">
        <f aca="false">VLOOKUP(N2695,Sheet2!G:H,2,0)</f>
        <v>Dead</v>
      </c>
      <c r="P2695" s="17" t="n">
        <v>11</v>
      </c>
      <c r="Q2695" s="17" t="str">
        <f aca="false">VLOOKUP(P2695,Sheet2!J:K,2,0)</f>
        <v>IR Declared due to CID -TA</v>
      </c>
      <c r="R2695" s="17" t="s">
        <v>35</v>
      </c>
      <c r="S2695" s="17" t="str">
        <f aca="false">VLOOKUP(R2695,Sheet2!N:O,2,0)</f>
        <v>IREPARABLE</v>
      </c>
      <c r="T2695" s="18" t="str">
        <f aca="false">VLOOKUP(P2695,Sheet2!Q:R,2,0)</f>
        <v>IR Normal - Track burn out</v>
      </c>
      <c r="U2695" s="20" t="s">
        <v>41</v>
      </c>
      <c r="V2695" s="17"/>
      <c r="W2695" s="20" t="e">
        <f aca="false">VLOOKUP(V2695,Sheet2!Q:R,2,0)</f>
        <v>#N/A</v>
      </c>
      <c r="X2695" s="17" t="n">
        <f aca="false">J2695</f>
        <v>0</v>
      </c>
      <c r="Y2695" s="17" t="e">
        <f aca="false">VLOOKUP(X2695,Sheet2!A:B,2,0)</f>
        <v>#N/A</v>
      </c>
      <c r="Z2695" s="17"/>
      <c r="AA2695" s="17"/>
      <c r="AB2695" s="17" t="s">
        <v>41</v>
      </c>
      <c r="AC2695" s="0" t="str">
        <f aca="false">LEFT(G2695,2)</f>
        <v/>
      </c>
    </row>
    <row r="2696" customFormat="false" ht="15" hidden="false" customHeight="false" outlineLevel="0" collapsed="false">
      <c r="A2696" s="13" t="n">
        <f aca="false">1+A2695</f>
        <v>2694</v>
      </c>
      <c r="B2696" s="14" t="n">
        <v>100</v>
      </c>
      <c r="C2696" s="15"/>
      <c r="D2696" s="16" t="s">
        <v>64</v>
      </c>
      <c r="E2696" s="17" t="s">
        <v>47</v>
      </c>
      <c r="F2696" s="18" t="s">
        <v>34</v>
      </c>
      <c r="G2696" s="19"/>
      <c r="H2696" s="17" t="s">
        <v>35</v>
      </c>
      <c r="I2696" s="17" t="s">
        <v>44</v>
      </c>
      <c r="J2696" s="17"/>
      <c r="K2696" s="17" t="e">
        <f aca="false">VLOOKUP(J2696,Sheet2!A:B,2,0)</f>
        <v>#N/A</v>
      </c>
      <c r="L2696" s="17" t="n">
        <v>5</v>
      </c>
      <c r="M2696" s="17" t="str">
        <f aca="false">VLOOKUP(L2696,Sheet2!D:E,2,0)</f>
        <v>Main Processor CPU BGA</v>
      </c>
      <c r="N2696" s="17" t="n">
        <v>1</v>
      </c>
      <c r="O2696" s="17" t="str">
        <f aca="false">VLOOKUP(N2696,Sheet2!G:H,2,0)</f>
        <v>Dead</v>
      </c>
      <c r="P2696" s="17" t="n">
        <v>11</v>
      </c>
      <c r="Q2696" s="17" t="str">
        <f aca="false">VLOOKUP(P2696,Sheet2!J:K,2,0)</f>
        <v>IR Declared due to CID -TA</v>
      </c>
      <c r="R2696" s="17" t="s">
        <v>35</v>
      </c>
      <c r="S2696" s="17" t="str">
        <f aca="false">VLOOKUP(R2696,Sheet2!N:O,2,0)</f>
        <v>IREPARABLE</v>
      </c>
      <c r="T2696" s="18" t="str">
        <f aca="false">VLOOKUP(P2696,Sheet2!Q:R,2,0)</f>
        <v>IR Normal - Track burn out</v>
      </c>
      <c r="U2696" s="20" t="s">
        <v>41</v>
      </c>
      <c r="V2696" s="17"/>
      <c r="W2696" s="20" t="e">
        <f aca="false">VLOOKUP(V2696,Sheet2!Q:R,2,0)</f>
        <v>#N/A</v>
      </c>
      <c r="X2696" s="17" t="n">
        <f aca="false">J2696</f>
        <v>0</v>
      </c>
      <c r="Y2696" s="17" t="e">
        <f aca="false">VLOOKUP(X2696,Sheet2!A:B,2,0)</f>
        <v>#N/A</v>
      </c>
      <c r="Z2696" s="17"/>
      <c r="AA2696" s="17"/>
      <c r="AB2696" s="17" t="s">
        <v>41</v>
      </c>
      <c r="AC2696" s="0" t="str">
        <f aca="false">LEFT(G2696,2)</f>
        <v/>
      </c>
    </row>
    <row r="2697" customFormat="false" ht="15" hidden="false" customHeight="false" outlineLevel="0" collapsed="false">
      <c r="A2697" s="13" t="n">
        <f aca="false">1+A2696</f>
        <v>2695</v>
      </c>
      <c r="B2697" s="14" t="n">
        <v>100</v>
      </c>
      <c r="C2697" s="15"/>
      <c r="D2697" s="16" t="s">
        <v>64</v>
      </c>
      <c r="E2697" s="17" t="s">
        <v>47</v>
      </c>
      <c r="F2697" s="18" t="s">
        <v>34</v>
      </c>
      <c r="G2697" s="19"/>
      <c r="H2697" s="17" t="s">
        <v>35</v>
      </c>
      <c r="I2697" s="17" t="s">
        <v>44</v>
      </c>
      <c r="J2697" s="17"/>
      <c r="K2697" s="17" t="e">
        <f aca="false">VLOOKUP(J2697,Sheet2!A:B,2,0)</f>
        <v>#N/A</v>
      </c>
      <c r="L2697" s="17" t="n">
        <v>5</v>
      </c>
      <c r="M2697" s="17" t="str">
        <f aca="false">VLOOKUP(L2697,Sheet2!D:E,2,0)</f>
        <v>Main Processor CPU BGA</v>
      </c>
      <c r="N2697" s="17" t="n">
        <v>1</v>
      </c>
      <c r="O2697" s="17" t="str">
        <f aca="false">VLOOKUP(N2697,Sheet2!G:H,2,0)</f>
        <v>Dead</v>
      </c>
      <c r="P2697" s="17" t="n">
        <v>11</v>
      </c>
      <c r="Q2697" s="17" t="str">
        <f aca="false">VLOOKUP(P2697,Sheet2!J:K,2,0)</f>
        <v>IR Declared due to CID -TA</v>
      </c>
      <c r="R2697" s="17" t="s">
        <v>35</v>
      </c>
      <c r="S2697" s="17" t="str">
        <f aca="false">VLOOKUP(R2697,Sheet2!N:O,2,0)</f>
        <v>IREPARABLE</v>
      </c>
      <c r="T2697" s="18" t="str">
        <f aca="false">VLOOKUP(P2697,Sheet2!Q:R,2,0)</f>
        <v>IR Normal - Track burn out</v>
      </c>
      <c r="U2697" s="20" t="s">
        <v>41</v>
      </c>
      <c r="V2697" s="17"/>
      <c r="W2697" s="20" t="e">
        <f aca="false">VLOOKUP(V2697,Sheet2!Q:R,2,0)</f>
        <v>#N/A</v>
      </c>
      <c r="X2697" s="17" t="n">
        <f aca="false">J2697</f>
        <v>0</v>
      </c>
      <c r="Y2697" s="17" t="e">
        <f aca="false">VLOOKUP(X2697,Sheet2!A:B,2,0)</f>
        <v>#N/A</v>
      </c>
      <c r="Z2697" s="17"/>
      <c r="AA2697" s="17"/>
      <c r="AB2697" s="17" t="s">
        <v>41</v>
      </c>
      <c r="AC2697" s="0" t="str">
        <f aca="false">LEFT(G2697,2)</f>
        <v/>
      </c>
    </row>
    <row r="2698" customFormat="false" ht="15" hidden="false" customHeight="false" outlineLevel="0" collapsed="false">
      <c r="A2698" s="13" t="n">
        <f aca="false">1+A2697</f>
        <v>2696</v>
      </c>
      <c r="B2698" s="14" t="n">
        <v>100</v>
      </c>
      <c r="C2698" s="15"/>
      <c r="D2698" s="16" t="s">
        <v>64</v>
      </c>
      <c r="E2698" s="17" t="s">
        <v>47</v>
      </c>
      <c r="F2698" s="18" t="s">
        <v>34</v>
      </c>
      <c r="G2698" s="19"/>
      <c r="H2698" s="17" t="s">
        <v>35</v>
      </c>
      <c r="I2698" s="17" t="s">
        <v>44</v>
      </c>
      <c r="J2698" s="17"/>
      <c r="K2698" s="17" t="e">
        <f aca="false">VLOOKUP(J2698,Sheet2!A:B,2,0)</f>
        <v>#N/A</v>
      </c>
      <c r="L2698" s="17" t="n">
        <v>5</v>
      </c>
      <c r="M2698" s="17" t="str">
        <f aca="false">VLOOKUP(L2698,Sheet2!D:E,2,0)</f>
        <v>Main Processor CPU BGA</v>
      </c>
      <c r="N2698" s="17" t="n">
        <v>1</v>
      </c>
      <c r="O2698" s="17" t="str">
        <f aca="false">VLOOKUP(N2698,Sheet2!G:H,2,0)</f>
        <v>Dead</v>
      </c>
      <c r="P2698" s="17" t="n">
        <v>11</v>
      </c>
      <c r="Q2698" s="17" t="str">
        <f aca="false">VLOOKUP(P2698,Sheet2!J:K,2,0)</f>
        <v>IR Declared due to CID -TA</v>
      </c>
      <c r="R2698" s="17" t="s">
        <v>35</v>
      </c>
      <c r="S2698" s="17" t="str">
        <f aca="false">VLOOKUP(R2698,Sheet2!N:O,2,0)</f>
        <v>IREPARABLE</v>
      </c>
      <c r="T2698" s="18" t="str">
        <f aca="false">VLOOKUP(P2698,Sheet2!Q:R,2,0)</f>
        <v>IR Normal - Track burn out</v>
      </c>
      <c r="U2698" s="20" t="s">
        <v>41</v>
      </c>
      <c r="V2698" s="17"/>
      <c r="W2698" s="20" t="e">
        <f aca="false">VLOOKUP(V2698,Sheet2!Q:R,2,0)</f>
        <v>#N/A</v>
      </c>
      <c r="X2698" s="17" t="n">
        <f aca="false">J2698</f>
        <v>0</v>
      </c>
      <c r="Y2698" s="17" t="e">
        <f aca="false">VLOOKUP(X2698,Sheet2!A:B,2,0)</f>
        <v>#N/A</v>
      </c>
      <c r="Z2698" s="17"/>
      <c r="AA2698" s="17"/>
      <c r="AB2698" s="17" t="s">
        <v>41</v>
      </c>
      <c r="AC2698" s="0" t="str">
        <f aca="false">LEFT(G2698,2)</f>
        <v/>
      </c>
    </row>
    <row r="2699" customFormat="false" ht="15" hidden="false" customHeight="false" outlineLevel="0" collapsed="false">
      <c r="A2699" s="13" t="n">
        <f aca="false">1+A2698</f>
        <v>2697</v>
      </c>
      <c r="B2699" s="14" t="n">
        <v>100</v>
      </c>
      <c r="C2699" s="15"/>
      <c r="D2699" s="16" t="s">
        <v>64</v>
      </c>
      <c r="E2699" s="17" t="s">
        <v>47</v>
      </c>
      <c r="F2699" s="18" t="s">
        <v>34</v>
      </c>
      <c r="G2699" s="19"/>
      <c r="H2699" s="17" t="s">
        <v>35</v>
      </c>
      <c r="I2699" s="17" t="s">
        <v>44</v>
      </c>
      <c r="J2699" s="17"/>
      <c r="K2699" s="17" t="e">
        <f aca="false">VLOOKUP(J2699,Sheet2!A:B,2,0)</f>
        <v>#N/A</v>
      </c>
      <c r="L2699" s="17" t="n">
        <v>5</v>
      </c>
      <c r="M2699" s="17" t="str">
        <f aca="false">VLOOKUP(L2699,Sheet2!D:E,2,0)</f>
        <v>Main Processor CPU BGA</v>
      </c>
      <c r="N2699" s="17" t="n">
        <v>1</v>
      </c>
      <c r="O2699" s="17" t="str">
        <f aca="false">VLOOKUP(N2699,Sheet2!G:H,2,0)</f>
        <v>Dead</v>
      </c>
      <c r="P2699" s="17" t="n">
        <v>11</v>
      </c>
      <c r="Q2699" s="17" t="str">
        <f aca="false">VLOOKUP(P2699,Sheet2!J:K,2,0)</f>
        <v>IR Declared due to CID -TA</v>
      </c>
      <c r="R2699" s="17" t="s">
        <v>35</v>
      </c>
      <c r="S2699" s="17" t="str">
        <f aca="false">VLOOKUP(R2699,Sheet2!N:O,2,0)</f>
        <v>IREPARABLE</v>
      </c>
      <c r="T2699" s="18" t="str">
        <f aca="false">VLOOKUP(P2699,Sheet2!Q:R,2,0)</f>
        <v>IR Normal - Track burn out</v>
      </c>
      <c r="U2699" s="20" t="s">
        <v>41</v>
      </c>
      <c r="V2699" s="17"/>
      <c r="W2699" s="20" t="e">
        <f aca="false">VLOOKUP(V2699,Sheet2!Q:R,2,0)</f>
        <v>#N/A</v>
      </c>
      <c r="X2699" s="17" t="n">
        <f aca="false">J2699</f>
        <v>0</v>
      </c>
      <c r="Y2699" s="17" t="e">
        <f aca="false">VLOOKUP(X2699,Sheet2!A:B,2,0)</f>
        <v>#N/A</v>
      </c>
      <c r="Z2699" s="17"/>
      <c r="AA2699" s="17"/>
      <c r="AB2699" s="17" t="s">
        <v>41</v>
      </c>
      <c r="AC2699" s="0" t="str">
        <f aca="false">LEFT(G2699,2)</f>
        <v/>
      </c>
    </row>
    <row r="2700" customFormat="false" ht="15" hidden="false" customHeight="false" outlineLevel="0" collapsed="false">
      <c r="A2700" s="13" t="n">
        <f aca="false">1+A2699</f>
        <v>2698</v>
      </c>
      <c r="B2700" s="14" t="n">
        <v>100</v>
      </c>
      <c r="C2700" s="15"/>
      <c r="D2700" s="16" t="s">
        <v>64</v>
      </c>
      <c r="E2700" s="17" t="s">
        <v>47</v>
      </c>
      <c r="F2700" s="18" t="s">
        <v>34</v>
      </c>
      <c r="G2700" s="19"/>
      <c r="H2700" s="17" t="s">
        <v>35</v>
      </c>
      <c r="I2700" s="17" t="s">
        <v>44</v>
      </c>
      <c r="J2700" s="17"/>
      <c r="K2700" s="17" t="e">
        <f aca="false">VLOOKUP(J2700,Sheet2!A:B,2,0)</f>
        <v>#N/A</v>
      </c>
      <c r="L2700" s="17" t="n">
        <v>5</v>
      </c>
      <c r="M2700" s="17" t="str">
        <f aca="false">VLOOKUP(L2700,Sheet2!D:E,2,0)</f>
        <v>Main Processor CPU BGA</v>
      </c>
      <c r="N2700" s="17" t="n">
        <v>1</v>
      </c>
      <c r="O2700" s="17" t="str">
        <f aca="false">VLOOKUP(N2700,Sheet2!G:H,2,0)</f>
        <v>Dead</v>
      </c>
      <c r="P2700" s="17" t="n">
        <v>11</v>
      </c>
      <c r="Q2700" s="17" t="str">
        <f aca="false">VLOOKUP(P2700,Sheet2!J:K,2,0)</f>
        <v>IR Declared due to CID -TA</v>
      </c>
      <c r="R2700" s="17" t="s">
        <v>35</v>
      </c>
      <c r="S2700" s="17" t="str">
        <f aca="false">VLOOKUP(R2700,Sheet2!N:O,2,0)</f>
        <v>IREPARABLE</v>
      </c>
      <c r="T2700" s="18" t="str">
        <f aca="false">VLOOKUP(P2700,Sheet2!Q:R,2,0)</f>
        <v>IR Normal - Track burn out</v>
      </c>
      <c r="U2700" s="20" t="s">
        <v>41</v>
      </c>
      <c r="V2700" s="17"/>
      <c r="W2700" s="20" t="e">
        <f aca="false">VLOOKUP(V2700,Sheet2!Q:R,2,0)</f>
        <v>#N/A</v>
      </c>
      <c r="X2700" s="17" t="n">
        <f aca="false">J2700</f>
        <v>0</v>
      </c>
      <c r="Y2700" s="17" t="e">
        <f aca="false">VLOOKUP(X2700,Sheet2!A:B,2,0)</f>
        <v>#N/A</v>
      </c>
      <c r="Z2700" s="17"/>
      <c r="AA2700" s="17"/>
      <c r="AB2700" s="17" t="s">
        <v>41</v>
      </c>
      <c r="AC2700" s="0" t="str">
        <f aca="false">LEFT(G2700,2)</f>
        <v/>
      </c>
    </row>
    <row r="2701" customFormat="false" ht="15" hidden="false" customHeight="false" outlineLevel="0" collapsed="false">
      <c r="A2701" s="13" t="n">
        <f aca="false">1+A2700</f>
        <v>2699</v>
      </c>
      <c r="B2701" s="14" t="n">
        <v>100</v>
      </c>
      <c r="C2701" s="15"/>
      <c r="D2701" s="16" t="s">
        <v>64</v>
      </c>
      <c r="E2701" s="17" t="s">
        <v>47</v>
      </c>
      <c r="F2701" s="18" t="s">
        <v>34</v>
      </c>
      <c r="G2701" s="19"/>
      <c r="H2701" s="17" t="s">
        <v>35</v>
      </c>
      <c r="I2701" s="17" t="s">
        <v>44</v>
      </c>
      <c r="J2701" s="17"/>
      <c r="K2701" s="17" t="e">
        <f aca="false">VLOOKUP(J2701,Sheet2!A:B,2,0)</f>
        <v>#N/A</v>
      </c>
      <c r="L2701" s="17" t="n">
        <v>5</v>
      </c>
      <c r="M2701" s="17" t="str">
        <f aca="false">VLOOKUP(L2701,Sheet2!D:E,2,0)</f>
        <v>Main Processor CPU BGA</v>
      </c>
      <c r="N2701" s="17" t="n">
        <v>1</v>
      </c>
      <c r="O2701" s="17" t="str">
        <f aca="false">VLOOKUP(N2701,Sheet2!G:H,2,0)</f>
        <v>Dead</v>
      </c>
      <c r="P2701" s="17" t="n">
        <v>11</v>
      </c>
      <c r="Q2701" s="17" t="str">
        <f aca="false">VLOOKUP(P2701,Sheet2!J:K,2,0)</f>
        <v>IR Declared due to CID -TA</v>
      </c>
      <c r="R2701" s="17" t="s">
        <v>35</v>
      </c>
      <c r="S2701" s="17" t="str">
        <f aca="false">VLOOKUP(R2701,Sheet2!N:O,2,0)</f>
        <v>IREPARABLE</v>
      </c>
      <c r="T2701" s="18" t="str">
        <f aca="false">VLOOKUP(P2701,Sheet2!Q:R,2,0)</f>
        <v>IR Normal - Track burn out</v>
      </c>
      <c r="U2701" s="20" t="s">
        <v>41</v>
      </c>
      <c r="V2701" s="17"/>
      <c r="W2701" s="20" t="e">
        <f aca="false">VLOOKUP(V2701,Sheet2!Q:R,2,0)</f>
        <v>#N/A</v>
      </c>
      <c r="X2701" s="17" t="n">
        <f aca="false">J2701</f>
        <v>0</v>
      </c>
      <c r="Y2701" s="17" t="e">
        <f aca="false">VLOOKUP(X2701,Sheet2!A:B,2,0)</f>
        <v>#N/A</v>
      </c>
      <c r="Z2701" s="17"/>
      <c r="AA2701" s="17"/>
      <c r="AB2701" s="17" t="s">
        <v>41</v>
      </c>
      <c r="AC2701" s="0" t="str">
        <f aca="false">LEFT(G2701,2)</f>
        <v/>
      </c>
    </row>
    <row r="2702" customFormat="false" ht="15" hidden="false" customHeight="false" outlineLevel="0" collapsed="false">
      <c r="A2702" s="13" t="n">
        <f aca="false">1+A2701</f>
        <v>2700</v>
      </c>
      <c r="B2702" s="14" t="n">
        <v>100</v>
      </c>
      <c r="C2702" s="15"/>
      <c r="D2702" s="16" t="s">
        <v>64</v>
      </c>
      <c r="E2702" s="17" t="s">
        <v>47</v>
      </c>
      <c r="F2702" s="18" t="s">
        <v>34</v>
      </c>
      <c r="G2702" s="19"/>
      <c r="H2702" s="17" t="s">
        <v>35</v>
      </c>
      <c r="I2702" s="17" t="s">
        <v>44</v>
      </c>
      <c r="J2702" s="17"/>
      <c r="K2702" s="17" t="e">
        <f aca="false">VLOOKUP(J2702,Sheet2!A:B,2,0)</f>
        <v>#N/A</v>
      </c>
      <c r="L2702" s="17" t="n">
        <v>5</v>
      </c>
      <c r="M2702" s="17" t="str">
        <f aca="false">VLOOKUP(L2702,Sheet2!D:E,2,0)</f>
        <v>Main Processor CPU BGA</v>
      </c>
      <c r="N2702" s="17" t="n">
        <v>1</v>
      </c>
      <c r="O2702" s="17" t="str">
        <f aca="false">VLOOKUP(N2702,Sheet2!G:H,2,0)</f>
        <v>Dead</v>
      </c>
      <c r="P2702" s="17" t="n">
        <v>11</v>
      </c>
      <c r="Q2702" s="17" t="str">
        <f aca="false">VLOOKUP(P2702,Sheet2!J:K,2,0)</f>
        <v>IR Declared due to CID -TA</v>
      </c>
      <c r="R2702" s="17" t="s">
        <v>35</v>
      </c>
      <c r="S2702" s="17" t="str">
        <f aca="false">VLOOKUP(R2702,Sheet2!N:O,2,0)</f>
        <v>IREPARABLE</v>
      </c>
      <c r="T2702" s="18" t="str">
        <f aca="false">VLOOKUP(P2702,Sheet2!Q:R,2,0)</f>
        <v>IR Normal - Track burn out</v>
      </c>
      <c r="U2702" s="20" t="s">
        <v>41</v>
      </c>
      <c r="V2702" s="17"/>
      <c r="W2702" s="20" t="e">
        <f aca="false">VLOOKUP(V2702,Sheet2!Q:R,2,0)</f>
        <v>#N/A</v>
      </c>
      <c r="X2702" s="17" t="n">
        <f aca="false">J2702</f>
        <v>0</v>
      </c>
      <c r="Y2702" s="17" t="e">
        <f aca="false">VLOOKUP(X2702,Sheet2!A:B,2,0)</f>
        <v>#N/A</v>
      </c>
      <c r="Z2702" s="17"/>
      <c r="AA2702" s="17"/>
      <c r="AB2702" s="17" t="s">
        <v>41</v>
      </c>
      <c r="AC2702" s="0" t="str">
        <f aca="false">LEFT(G2702,2)</f>
        <v/>
      </c>
    </row>
    <row r="2703" customFormat="false" ht="15" hidden="false" customHeight="false" outlineLevel="0" collapsed="false">
      <c r="A2703" s="13" t="n">
        <f aca="false">1+A2702</f>
        <v>2701</v>
      </c>
      <c r="B2703" s="14" t="n">
        <v>100</v>
      </c>
      <c r="C2703" s="15"/>
      <c r="D2703" s="16" t="s">
        <v>64</v>
      </c>
      <c r="E2703" s="17" t="s">
        <v>47</v>
      </c>
      <c r="F2703" s="18" t="s">
        <v>34</v>
      </c>
      <c r="G2703" s="19"/>
      <c r="H2703" s="17" t="s">
        <v>35</v>
      </c>
      <c r="I2703" s="17" t="s">
        <v>44</v>
      </c>
      <c r="J2703" s="17"/>
      <c r="K2703" s="17" t="e">
        <f aca="false">VLOOKUP(J2703,Sheet2!A:B,2,0)</f>
        <v>#N/A</v>
      </c>
      <c r="L2703" s="17" t="n">
        <v>5</v>
      </c>
      <c r="M2703" s="17" t="str">
        <f aca="false">VLOOKUP(L2703,Sheet2!D:E,2,0)</f>
        <v>Main Processor CPU BGA</v>
      </c>
      <c r="N2703" s="17" t="n">
        <v>1</v>
      </c>
      <c r="O2703" s="17" t="str">
        <f aca="false">VLOOKUP(N2703,Sheet2!G:H,2,0)</f>
        <v>Dead</v>
      </c>
      <c r="P2703" s="17" t="n">
        <v>11</v>
      </c>
      <c r="Q2703" s="17" t="str">
        <f aca="false">VLOOKUP(P2703,Sheet2!J:K,2,0)</f>
        <v>IR Declared due to CID -TA</v>
      </c>
      <c r="R2703" s="17" t="s">
        <v>35</v>
      </c>
      <c r="S2703" s="17" t="str">
        <f aca="false">VLOOKUP(R2703,Sheet2!N:O,2,0)</f>
        <v>IREPARABLE</v>
      </c>
      <c r="T2703" s="18" t="str">
        <f aca="false">VLOOKUP(P2703,Sheet2!Q:R,2,0)</f>
        <v>IR Normal - Track burn out</v>
      </c>
      <c r="U2703" s="20" t="s">
        <v>41</v>
      </c>
      <c r="V2703" s="17"/>
      <c r="W2703" s="20" t="e">
        <f aca="false">VLOOKUP(V2703,Sheet2!Q:R,2,0)</f>
        <v>#N/A</v>
      </c>
      <c r="X2703" s="17" t="n">
        <f aca="false">J2703</f>
        <v>0</v>
      </c>
      <c r="Y2703" s="17" t="e">
        <f aca="false">VLOOKUP(X2703,Sheet2!A:B,2,0)</f>
        <v>#N/A</v>
      </c>
      <c r="Z2703" s="17"/>
      <c r="AA2703" s="17"/>
      <c r="AB2703" s="17" t="s">
        <v>41</v>
      </c>
      <c r="AC2703" s="0" t="str">
        <f aca="false">LEFT(G2703,2)</f>
        <v/>
      </c>
    </row>
    <row r="2704" customFormat="false" ht="15" hidden="false" customHeight="false" outlineLevel="0" collapsed="false">
      <c r="A2704" s="13" t="n">
        <f aca="false">1+A2703</f>
        <v>2702</v>
      </c>
      <c r="B2704" s="14" t="n">
        <v>100</v>
      </c>
      <c r="C2704" s="15"/>
      <c r="D2704" s="16" t="s">
        <v>64</v>
      </c>
      <c r="E2704" s="17" t="s">
        <v>47</v>
      </c>
      <c r="F2704" s="18" t="s">
        <v>34</v>
      </c>
      <c r="G2704" s="19"/>
      <c r="H2704" s="17" t="s">
        <v>35</v>
      </c>
      <c r="I2704" s="17" t="s">
        <v>44</v>
      </c>
      <c r="J2704" s="17"/>
      <c r="K2704" s="17" t="e">
        <f aca="false">VLOOKUP(J2704,Sheet2!A:B,2,0)</f>
        <v>#N/A</v>
      </c>
      <c r="L2704" s="17" t="n">
        <v>5</v>
      </c>
      <c r="M2704" s="17" t="str">
        <f aca="false">VLOOKUP(L2704,Sheet2!D:E,2,0)</f>
        <v>Main Processor CPU BGA</v>
      </c>
      <c r="N2704" s="17" t="n">
        <v>1</v>
      </c>
      <c r="O2704" s="17" t="str">
        <f aca="false">VLOOKUP(N2704,Sheet2!G:H,2,0)</f>
        <v>Dead</v>
      </c>
      <c r="P2704" s="17" t="n">
        <v>11</v>
      </c>
      <c r="Q2704" s="17" t="str">
        <f aca="false">VLOOKUP(P2704,Sheet2!J:K,2,0)</f>
        <v>IR Declared due to CID -TA</v>
      </c>
      <c r="R2704" s="17" t="s">
        <v>35</v>
      </c>
      <c r="S2704" s="17" t="str">
        <f aca="false">VLOOKUP(R2704,Sheet2!N:O,2,0)</f>
        <v>IREPARABLE</v>
      </c>
      <c r="T2704" s="18" t="str">
        <f aca="false">VLOOKUP(P2704,Sheet2!Q:R,2,0)</f>
        <v>IR Normal - Track burn out</v>
      </c>
      <c r="U2704" s="20" t="s">
        <v>41</v>
      </c>
      <c r="V2704" s="17"/>
      <c r="W2704" s="20" t="e">
        <f aca="false">VLOOKUP(V2704,Sheet2!Q:R,2,0)</f>
        <v>#N/A</v>
      </c>
      <c r="X2704" s="17" t="n">
        <f aca="false">J2704</f>
        <v>0</v>
      </c>
      <c r="Y2704" s="17" t="e">
        <f aca="false">VLOOKUP(X2704,Sheet2!A:B,2,0)</f>
        <v>#N/A</v>
      </c>
      <c r="Z2704" s="17"/>
      <c r="AA2704" s="17"/>
      <c r="AB2704" s="17" t="s">
        <v>41</v>
      </c>
      <c r="AC2704" s="0" t="str">
        <f aca="false">LEFT(G2704,2)</f>
        <v/>
      </c>
    </row>
    <row r="2705" customFormat="false" ht="15" hidden="false" customHeight="false" outlineLevel="0" collapsed="false">
      <c r="A2705" s="13" t="n">
        <f aca="false">1+A2704</f>
        <v>2703</v>
      </c>
      <c r="B2705" s="14" t="n">
        <v>100</v>
      </c>
      <c r="C2705" s="15"/>
      <c r="D2705" s="16" t="s">
        <v>64</v>
      </c>
      <c r="E2705" s="17" t="s">
        <v>47</v>
      </c>
      <c r="F2705" s="18" t="s">
        <v>34</v>
      </c>
      <c r="G2705" s="19"/>
      <c r="H2705" s="17" t="s">
        <v>35</v>
      </c>
      <c r="I2705" s="17" t="s">
        <v>44</v>
      </c>
      <c r="J2705" s="17"/>
      <c r="K2705" s="17" t="e">
        <f aca="false">VLOOKUP(J2705,Sheet2!A:B,2,0)</f>
        <v>#N/A</v>
      </c>
      <c r="L2705" s="17" t="n">
        <v>5</v>
      </c>
      <c r="M2705" s="17" t="str">
        <f aca="false">VLOOKUP(L2705,Sheet2!D:E,2,0)</f>
        <v>Main Processor CPU BGA</v>
      </c>
      <c r="N2705" s="17" t="n">
        <v>1</v>
      </c>
      <c r="O2705" s="17" t="str">
        <f aca="false">VLOOKUP(N2705,Sheet2!G:H,2,0)</f>
        <v>Dead</v>
      </c>
      <c r="P2705" s="17" t="n">
        <v>11</v>
      </c>
      <c r="Q2705" s="17" t="str">
        <f aca="false">VLOOKUP(P2705,Sheet2!J:K,2,0)</f>
        <v>IR Declared due to CID -TA</v>
      </c>
      <c r="R2705" s="17" t="s">
        <v>35</v>
      </c>
      <c r="S2705" s="17" t="str">
        <f aca="false">VLOOKUP(R2705,Sheet2!N:O,2,0)</f>
        <v>IREPARABLE</v>
      </c>
      <c r="T2705" s="18" t="str">
        <f aca="false">VLOOKUP(P2705,Sheet2!Q:R,2,0)</f>
        <v>IR Normal - Track burn out</v>
      </c>
      <c r="U2705" s="20" t="s">
        <v>41</v>
      </c>
      <c r="V2705" s="17"/>
      <c r="W2705" s="20" t="e">
        <f aca="false">VLOOKUP(V2705,Sheet2!Q:R,2,0)</f>
        <v>#N/A</v>
      </c>
      <c r="X2705" s="17" t="n">
        <f aca="false">J2705</f>
        <v>0</v>
      </c>
      <c r="Y2705" s="17" t="e">
        <f aca="false">VLOOKUP(X2705,Sheet2!A:B,2,0)</f>
        <v>#N/A</v>
      </c>
      <c r="Z2705" s="17"/>
      <c r="AA2705" s="17"/>
      <c r="AB2705" s="17" t="s">
        <v>41</v>
      </c>
      <c r="AC2705" s="0" t="str">
        <f aca="false">LEFT(G2705,2)</f>
        <v/>
      </c>
    </row>
    <row r="2706" customFormat="false" ht="15" hidden="false" customHeight="false" outlineLevel="0" collapsed="false">
      <c r="A2706" s="13" t="n">
        <f aca="false">1+A2705</f>
        <v>2704</v>
      </c>
      <c r="B2706" s="14" t="n">
        <v>100</v>
      </c>
      <c r="C2706" s="15"/>
      <c r="D2706" s="16" t="s">
        <v>64</v>
      </c>
      <c r="E2706" s="17" t="s">
        <v>47</v>
      </c>
      <c r="F2706" s="18" t="s">
        <v>34</v>
      </c>
      <c r="G2706" s="19"/>
      <c r="H2706" s="17" t="s">
        <v>35</v>
      </c>
      <c r="I2706" s="17" t="s">
        <v>44</v>
      </c>
      <c r="J2706" s="17"/>
      <c r="K2706" s="17" t="e">
        <f aca="false">VLOOKUP(J2706,Sheet2!A:B,2,0)</f>
        <v>#N/A</v>
      </c>
      <c r="L2706" s="17" t="n">
        <v>5</v>
      </c>
      <c r="M2706" s="17" t="str">
        <f aca="false">VLOOKUP(L2706,Sheet2!D:E,2,0)</f>
        <v>Main Processor CPU BGA</v>
      </c>
      <c r="N2706" s="17" t="n">
        <v>1</v>
      </c>
      <c r="O2706" s="17" t="str">
        <f aca="false">VLOOKUP(N2706,Sheet2!G:H,2,0)</f>
        <v>Dead</v>
      </c>
      <c r="P2706" s="17" t="n">
        <v>11</v>
      </c>
      <c r="Q2706" s="17" t="str">
        <f aca="false">VLOOKUP(P2706,Sheet2!J:K,2,0)</f>
        <v>IR Declared due to CID -TA</v>
      </c>
      <c r="R2706" s="17" t="s">
        <v>35</v>
      </c>
      <c r="S2706" s="17" t="str">
        <f aca="false">VLOOKUP(R2706,Sheet2!N:O,2,0)</f>
        <v>IREPARABLE</v>
      </c>
      <c r="T2706" s="18" t="str">
        <f aca="false">VLOOKUP(P2706,Sheet2!Q:R,2,0)</f>
        <v>IR Normal - Track burn out</v>
      </c>
      <c r="U2706" s="20" t="s">
        <v>41</v>
      </c>
      <c r="V2706" s="17"/>
      <c r="W2706" s="20" t="e">
        <f aca="false">VLOOKUP(V2706,Sheet2!Q:R,2,0)</f>
        <v>#N/A</v>
      </c>
      <c r="X2706" s="17" t="n">
        <f aca="false">J2706</f>
        <v>0</v>
      </c>
      <c r="Y2706" s="17" t="e">
        <f aca="false">VLOOKUP(X2706,Sheet2!A:B,2,0)</f>
        <v>#N/A</v>
      </c>
      <c r="Z2706" s="17"/>
      <c r="AA2706" s="17"/>
      <c r="AB2706" s="17" t="s">
        <v>41</v>
      </c>
      <c r="AC2706" s="0" t="str">
        <f aca="false">LEFT(G2706,2)</f>
        <v/>
      </c>
    </row>
    <row r="2707" customFormat="false" ht="15" hidden="false" customHeight="false" outlineLevel="0" collapsed="false">
      <c r="A2707" s="13" t="n">
        <f aca="false">1+A2706</f>
        <v>2705</v>
      </c>
      <c r="B2707" s="14" t="n">
        <v>100</v>
      </c>
      <c r="C2707" s="15"/>
      <c r="D2707" s="16" t="s">
        <v>64</v>
      </c>
      <c r="E2707" s="17" t="s">
        <v>47</v>
      </c>
      <c r="F2707" s="18" t="s">
        <v>34</v>
      </c>
      <c r="G2707" s="19"/>
      <c r="H2707" s="17" t="s">
        <v>35</v>
      </c>
      <c r="I2707" s="17" t="s">
        <v>44</v>
      </c>
      <c r="J2707" s="17"/>
      <c r="K2707" s="17" t="e">
        <f aca="false">VLOOKUP(J2707,Sheet2!A:B,2,0)</f>
        <v>#N/A</v>
      </c>
      <c r="L2707" s="17" t="n">
        <v>5</v>
      </c>
      <c r="M2707" s="17" t="str">
        <f aca="false">VLOOKUP(L2707,Sheet2!D:E,2,0)</f>
        <v>Main Processor CPU BGA</v>
      </c>
      <c r="N2707" s="17" t="n">
        <v>1</v>
      </c>
      <c r="O2707" s="17" t="str">
        <f aca="false">VLOOKUP(N2707,Sheet2!G:H,2,0)</f>
        <v>Dead</v>
      </c>
      <c r="P2707" s="17" t="n">
        <v>11</v>
      </c>
      <c r="Q2707" s="17" t="str">
        <f aca="false">VLOOKUP(P2707,Sheet2!J:K,2,0)</f>
        <v>IR Declared due to CID -TA</v>
      </c>
      <c r="R2707" s="17" t="s">
        <v>35</v>
      </c>
      <c r="S2707" s="17" t="str">
        <f aca="false">VLOOKUP(R2707,Sheet2!N:O,2,0)</f>
        <v>IREPARABLE</v>
      </c>
      <c r="T2707" s="18" t="str">
        <f aca="false">VLOOKUP(P2707,Sheet2!Q:R,2,0)</f>
        <v>IR Normal - Track burn out</v>
      </c>
      <c r="U2707" s="20" t="s">
        <v>41</v>
      </c>
      <c r="V2707" s="17"/>
      <c r="W2707" s="20" t="e">
        <f aca="false">VLOOKUP(V2707,Sheet2!Q:R,2,0)</f>
        <v>#N/A</v>
      </c>
      <c r="X2707" s="17" t="n">
        <f aca="false">J2707</f>
        <v>0</v>
      </c>
      <c r="Y2707" s="17" t="e">
        <f aca="false">VLOOKUP(X2707,Sheet2!A:B,2,0)</f>
        <v>#N/A</v>
      </c>
      <c r="Z2707" s="17"/>
      <c r="AA2707" s="17"/>
      <c r="AB2707" s="17" t="s">
        <v>41</v>
      </c>
      <c r="AC2707" s="0" t="str">
        <f aca="false">LEFT(G2707,2)</f>
        <v/>
      </c>
    </row>
    <row r="2708" customFormat="false" ht="15" hidden="false" customHeight="false" outlineLevel="0" collapsed="false">
      <c r="A2708" s="13" t="n">
        <f aca="false">1+A2707</f>
        <v>2706</v>
      </c>
      <c r="B2708" s="14" t="n">
        <v>100</v>
      </c>
      <c r="C2708" s="15"/>
      <c r="D2708" s="16" t="s">
        <v>64</v>
      </c>
      <c r="E2708" s="17" t="s">
        <v>47</v>
      </c>
      <c r="F2708" s="18" t="s">
        <v>34</v>
      </c>
      <c r="G2708" s="19"/>
      <c r="H2708" s="17" t="s">
        <v>35</v>
      </c>
      <c r="I2708" s="17" t="s">
        <v>44</v>
      </c>
      <c r="J2708" s="17"/>
      <c r="K2708" s="17" t="e">
        <f aca="false">VLOOKUP(J2708,Sheet2!A:B,2,0)</f>
        <v>#N/A</v>
      </c>
      <c r="L2708" s="17" t="n">
        <v>5</v>
      </c>
      <c r="M2708" s="17" t="str">
        <f aca="false">VLOOKUP(L2708,Sheet2!D:E,2,0)</f>
        <v>Main Processor CPU BGA</v>
      </c>
      <c r="N2708" s="17" t="n">
        <v>1</v>
      </c>
      <c r="O2708" s="17" t="str">
        <f aca="false">VLOOKUP(N2708,Sheet2!G:H,2,0)</f>
        <v>Dead</v>
      </c>
      <c r="P2708" s="17" t="n">
        <v>11</v>
      </c>
      <c r="Q2708" s="17" t="str">
        <f aca="false">VLOOKUP(P2708,Sheet2!J:K,2,0)</f>
        <v>IR Declared due to CID -TA</v>
      </c>
      <c r="R2708" s="17" t="s">
        <v>35</v>
      </c>
      <c r="S2708" s="17" t="str">
        <f aca="false">VLOOKUP(R2708,Sheet2!N:O,2,0)</f>
        <v>IREPARABLE</v>
      </c>
      <c r="T2708" s="18" t="str">
        <f aca="false">VLOOKUP(P2708,Sheet2!Q:R,2,0)</f>
        <v>IR Normal - Track burn out</v>
      </c>
      <c r="U2708" s="20" t="s">
        <v>41</v>
      </c>
      <c r="V2708" s="17"/>
      <c r="W2708" s="20" t="e">
        <f aca="false">VLOOKUP(V2708,Sheet2!Q:R,2,0)</f>
        <v>#N/A</v>
      </c>
      <c r="X2708" s="17" t="n">
        <f aca="false">J2708</f>
        <v>0</v>
      </c>
      <c r="Y2708" s="17" t="e">
        <f aca="false">VLOOKUP(X2708,Sheet2!A:B,2,0)</f>
        <v>#N/A</v>
      </c>
      <c r="Z2708" s="17"/>
      <c r="AA2708" s="17"/>
      <c r="AB2708" s="17" t="s">
        <v>41</v>
      </c>
      <c r="AC2708" s="0" t="str">
        <f aca="false">LEFT(G2708,2)</f>
        <v/>
      </c>
    </row>
    <row r="2709" customFormat="false" ht="15" hidden="false" customHeight="false" outlineLevel="0" collapsed="false">
      <c r="A2709" s="13" t="n">
        <f aca="false">1+A2708</f>
        <v>2707</v>
      </c>
      <c r="B2709" s="14" t="n">
        <v>100</v>
      </c>
      <c r="C2709" s="15"/>
      <c r="D2709" s="16" t="s">
        <v>64</v>
      </c>
      <c r="E2709" s="17" t="s">
        <v>47</v>
      </c>
      <c r="F2709" s="18" t="s">
        <v>34</v>
      </c>
      <c r="G2709" s="19"/>
      <c r="H2709" s="17" t="s">
        <v>35</v>
      </c>
      <c r="I2709" s="17" t="s">
        <v>44</v>
      </c>
      <c r="J2709" s="17"/>
      <c r="K2709" s="17" t="e">
        <f aca="false">VLOOKUP(J2709,Sheet2!A:B,2,0)</f>
        <v>#N/A</v>
      </c>
      <c r="L2709" s="17" t="n">
        <v>5</v>
      </c>
      <c r="M2709" s="17" t="str">
        <f aca="false">VLOOKUP(L2709,Sheet2!D:E,2,0)</f>
        <v>Main Processor CPU BGA</v>
      </c>
      <c r="N2709" s="17" t="n">
        <v>1</v>
      </c>
      <c r="O2709" s="17" t="str">
        <f aca="false">VLOOKUP(N2709,Sheet2!G:H,2,0)</f>
        <v>Dead</v>
      </c>
      <c r="P2709" s="17" t="n">
        <v>11</v>
      </c>
      <c r="Q2709" s="17" t="str">
        <f aca="false">VLOOKUP(P2709,Sheet2!J:K,2,0)</f>
        <v>IR Declared due to CID -TA</v>
      </c>
      <c r="R2709" s="17" t="s">
        <v>35</v>
      </c>
      <c r="S2709" s="17" t="str">
        <f aca="false">VLOOKUP(R2709,Sheet2!N:O,2,0)</f>
        <v>IREPARABLE</v>
      </c>
      <c r="T2709" s="18" t="str">
        <f aca="false">VLOOKUP(P2709,Sheet2!Q:R,2,0)</f>
        <v>IR Normal - Track burn out</v>
      </c>
      <c r="U2709" s="20" t="s">
        <v>41</v>
      </c>
      <c r="V2709" s="17"/>
      <c r="W2709" s="20" t="e">
        <f aca="false">VLOOKUP(V2709,Sheet2!Q:R,2,0)</f>
        <v>#N/A</v>
      </c>
      <c r="X2709" s="17" t="n">
        <f aca="false">J2709</f>
        <v>0</v>
      </c>
      <c r="Y2709" s="17" t="e">
        <f aca="false">VLOOKUP(X2709,Sheet2!A:B,2,0)</f>
        <v>#N/A</v>
      </c>
      <c r="Z2709" s="17"/>
      <c r="AA2709" s="17"/>
      <c r="AB2709" s="17" t="s">
        <v>41</v>
      </c>
      <c r="AC2709" s="0" t="str">
        <f aca="false">LEFT(G2709,2)</f>
        <v/>
      </c>
    </row>
    <row r="2710" customFormat="false" ht="15" hidden="false" customHeight="false" outlineLevel="0" collapsed="false">
      <c r="A2710" s="13" t="n">
        <f aca="false">1+A2709</f>
        <v>2708</v>
      </c>
      <c r="B2710" s="14" t="n">
        <v>100</v>
      </c>
      <c r="C2710" s="15"/>
      <c r="D2710" s="16" t="s">
        <v>64</v>
      </c>
      <c r="E2710" s="17" t="s">
        <v>47</v>
      </c>
      <c r="F2710" s="18" t="s">
        <v>34</v>
      </c>
      <c r="G2710" s="19"/>
      <c r="H2710" s="17" t="s">
        <v>35</v>
      </c>
      <c r="I2710" s="17" t="s">
        <v>44</v>
      </c>
      <c r="J2710" s="17"/>
      <c r="K2710" s="17" t="e">
        <f aca="false">VLOOKUP(J2710,Sheet2!A:B,2,0)</f>
        <v>#N/A</v>
      </c>
      <c r="L2710" s="17" t="n">
        <v>5</v>
      </c>
      <c r="M2710" s="17" t="str">
        <f aca="false">VLOOKUP(L2710,Sheet2!D:E,2,0)</f>
        <v>Main Processor CPU BGA</v>
      </c>
      <c r="N2710" s="17" t="n">
        <v>1</v>
      </c>
      <c r="O2710" s="17" t="str">
        <f aca="false">VLOOKUP(N2710,Sheet2!G:H,2,0)</f>
        <v>Dead</v>
      </c>
      <c r="P2710" s="17" t="n">
        <v>11</v>
      </c>
      <c r="Q2710" s="17" t="str">
        <f aca="false">VLOOKUP(P2710,Sheet2!J:K,2,0)</f>
        <v>IR Declared due to CID -TA</v>
      </c>
      <c r="R2710" s="17" t="s">
        <v>35</v>
      </c>
      <c r="S2710" s="17" t="str">
        <f aca="false">VLOOKUP(R2710,Sheet2!N:O,2,0)</f>
        <v>IREPARABLE</v>
      </c>
      <c r="T2710" s="18" t="str">
        <f aca="false">VLOOKUP(P2710,Sheet2!Q:R,2,0)</f>
        <v>IR Normal - Track burn out</v>
      </c>
      <c r="U2710" s="20" t="s">
        <v>41</v>
      </c>
      <c r="V2710" s="17"/>
      <c r="W2710" s="20" t="e">
        <f aca="false">VLOOKUP(V2710,Sheet2!Q:R,2,0)</f>
        <v>#N/A</v>
      </c>
      <c r="X2710" s="17" t="n">
        <f aca="false">J2710</f>
        <v>0</v>
      </c>
      <c r="Y2710" s="17" t="e">
        <f aca="false">VLOOKUP(X2710,Sheet2!A:B,2,0)</f>
        <v>#N/A</v>
      </c>
      <c r="Z2710" s="17"/>
      <c r="AA2710" s="17"/>
      <c r="AB2710" s="17" t="s">
        <v>41</v>
      </c>
      <c r="AC2710" s="0" t="str">
        <f aca="false">LEFT(G2710,2)</f>
        <v/>
      </c>
    </row>
    <row r="2711" customFormat="false" ht="15" hidden="false" customHeight="false" outlineLevel="0" collapsed="false">
      <c r="A2711" s="13" t="n">
        <f aca="false">1+A2710</f>
        <v>2709</v>
      </c>
      <c r="B2711" s="14" t="n">
        <v>100</v>
      </c>
      <c r="C2711" s="15"/>
      <c r="D2711" s="16" t="s">
        <v>64</v>
      </c>
      <c r="E2711" s="17" t="s">
        <v>47</v>
      </c>
      <c r="F2711" s="18" t="s">
        <v>34</v>
      </c>
      <c r="G2711" s="19"/>
      <c r="H2711" s="17" t="s">
        <v>35</v>
      </c>
      <c r="I2711" s="17" t="s">
        <v>44</v>
      </c>
      <c r="J2711" s="17"/>
      <c r="K2711" s="17" t="e">
        <f aca="false">VLOOKUP(J2711,Sheet2!A:B,2,0)</f>
        <v>#N/A</v>
      </c>
      <c r="L2711" s="17" t="n">
        <v>5</v>
      </c>
      <c r="M2711" s="17" t="str">
        <f aca="false">VLOOKUP(L2711,Sheet2!D:E,2,0)</f>
        <v>Main Processor CPU BGA</v>
      </c>
      <c r="N2711" s="17" t="n">
        <v>1</v>
      </c>
      <c r="O2711" s="17" t="str">
        <f aca="false">VLOOKUP(N2711,Sheet2!G:H,2,0)</f>
        <v>Dead</v>
      </c>
      <c r="P2711" s="17" t="n">
        <v>11</v>
      </c>
      <c r="Q2711" s="17" t="str">
        <f aca="false">VLOOKUP(P2711,Sheet2!J:K,2,0)</f>
        <v>IR Declared due to CID -TA</v>
      </c>
      <c r="R2711" s="17" t="s">
        <v>35</v>
      </c>
      <c r="S2711" s="17" t="str">
        <f aca="false">VLOOKUP(R2711,Sheet2!N:O,2,0)</f>
        <v>IREPARABLE</v>
      </c>
      <c r="T2711" s="18" t="str">
        <f aca="false">VLOOKUP(P2711,Sheet2!Q:R,2,0)</f>
        <v>IR Normal - Track burn out</v>
      </c>
      <c r="U2711" s="20" t="s">
        <v>41</v>
      </c>
      <c r="V2711" s="17"/>
      <c r="W2711" s="20" t="e">
        <f aca="false">VLOOKUP(V2711,Sheet2!Q:R,2,0)</f>
        <v>#N/A</v>
      </c>
      <c r="X2711" s="17" t="n">
        <f aca="false">J2711</f>
        <v>0</v>
      </c>
      <c r="Y2711" s="17" t="e">
        <f aca="false">VLOOKUP(X2711,Sheet2!A:B,2,0)</f>
        <v>#N/A</v>
      </c>
      <c r="Z2711" s="17"/>
      <c r="AA2711" s="17"/>
      <c r="AB2711" s="17" t="s">
        <v>41</v>
      </c>
      <c r="AC2711" s="0" t="str">
        <f aca="false">LEFT(G2711,2)</f>
        <v/>
      </c>
    </row>
    <row r="2712" customFormat="false" ht="15" hidden="false" customHeight="false" outlineLevel="0" collapsed="false">
      <c r="A2712" s="13" t="n">
        <f aca="false">1+A2711</f>
        <v>2710</v>
      </c>
      <c r="B2712" s="14" t="n">
        <v>100</v>
      </c>
      <c r="C2712" s="15"/>
      <c r="D2712" s="16" t="s">
        <v>64</v>
      </c>
      <c r="E2712" s="17" t="s">
        <v>47</v>
      </c>
      <c r="F2712" s="18" t="s">
        <v>34</v>
      </c>
      <c r="G2712" s="19"/>
      <c r="H2712" s="17" t="s">
        <v>35</v>
      </c>
      <c r="I2712" s="17" t="s">
        <v>44</v>
      </c>
      <c r="J2712" s="17"/>
      <c r="K2712" s="17" t="e">
        <f aca="false">VLOOKUP(J2712,Sheet2!A:B,2,0)</f>
        <v>#N/A</v>
      </c>
      <c r="L2712" s="17" t="n">
        <v>5</v>
      </c>
      <c r="M2712" s="17" t="str">
        <f aca="false">VLOOKUP(L2712,Sheet2!D:E,2,0)</f>
        <v>Main Processor CPU BGA</v>
      </c>
      <c r="N2712" s="17" t="n">
        <v>1</v>
      </c>
      <c r="O2712" s="17" t="str">
        <f aca="false">VLOOKUP(N2712,Sheet2!G:H,2,0)</f>
        <v>Dead</v>
      </c>
      <c r="P2712" s="17" t="n">
        <v>11</v>
      </c>
      <c r="Q2712" s="17" t="str">
        <f aca="false">VLOOKUP(P2712,Sheet2!J:K,2,0)</f>
        <v>IR Declared due to CID -TA</v>
      </c>
      <c r="R2712" s="17" t="s">
        <v>35</v>
      </c>
      <c r="S2712" s="17" t="str">
        <f aca="false">VLOOKUP(R2712,Sheet2!N:O,2,0)</f>
        <v>IREPARABLE</v>
      </c>
      <c r="T2712" s="18" t="str">
        <f aca="false">VLOOKUP(P2712,Sheet2!Q:R,2,0)</f>
        <v>IR Normal - Track burn out</v>
      </c>
      <c r="U2712" s="20" t="s">
        <v>41</v>
      </c>
      <c r="V2712" s="17"/>
      <c r="W2712" s="20" t="e">
        <f aca="false">VLOOKUP(V2712,Sheet2!Q:R,2,0)</f>
        <v>#N/A</v>
      </c>
      <c r="X2712" s="17" t="n">
        <f aca="false">J2712</f>
        <v>0</v>
      </c>
      <c r="Y2712" s="17" t="e">
        <f aca="false">VLOOKUP(X2712,Sheet2!A:B,2,0)</f>
        <v>#N/A</v>
      </c>
      <c r="Z2712" s="17"/>
      <c r="AA2712" s="17"/>
      <c r="AB2712" s="17" t="s">
        <v>41</v>
      </c>
      <c r="AC2712" s="0" t="str">
        <f aca="false">LEFT(G2712,2)</f>
        <v/>
      </c>
    </row>
    <row r="2713" customFormat="false" ht="15" hidden="false" customHeight="false" outlineLevel="0" collapsed="false">
      <c r="A2713" s="13" t="n">
        <f aca="false">1+A2712</f>
        <v>2711</v>
      </c>
      <c r="B2713" s="14" t="n">
        <v>100</v>
      </c>
      <c r="C2713" s="15"/>
      <c r="D2713" s="16" t="s">
        <v>64</v>
      </c>
      <c r="E2713" s="17" t="s">
        <v>47</v>
      </c>
      <c r="F2713" s="18" t="s">
        <v>34</v>
      </c>
      <c r="G2713" s="19"/>
      <c r="H2713" s="17" t="s">
        <v>35</v>
      </c>
      <c r="I2713" s="17" t="s">
        <v>44</v>
      </c>
      <c r="J2713" s="17"/>
      <c r="K2713" s="17" t="e">
        <f aca="false">VLOOKUP(J2713,Sheet2!A:B,2,0)</f>
        <v>#N/A</v>
      </c>
      <c r="L2713" s="17" t="n">
        <v>5</v>
      </c>
      <c r="M2713" s="17" t="str">
        <f aca="false">VLOOKUP(L2713,Sheet2!D:E,2,0)</f>
        <v>Main Processor CPU BGA</v>
      </c>
      <c r="N2713" s="17" t="n">
        <v>1</v>
      </c>
      <c r="O2713" s="17" t="str">
        <f aca="false">VLOOKUP(N2713,Sheet2!G:H,2,0)</f>
        <v>Dead</v>
      </c>
      <c r="P2713" s="17" t="n">
        <v>11</v>
      </c>
      <c r="Q2713" s="17" t="str">
        <f aca="false">VLOOKUP(P2713,Sheet2!J:K,2,0)</f>
        <v>IR Declared due to CID -TA</v>
      </c>
      <c r="R2713" s="17" t="s">
        <v>35</v>
      </c>
      <c r="S2713" s="17" t="str">
        <f aca="false">VLOOKUP(R2713,Sheet2!N:O,2,0)</f>
        <v>IREPARABLE</v>
      </c>
      <c r="T2713" s="18" t="str">
        <f aca="false">VLOOKUP(P2713,Sheet2!Q:R,2,0)</f>
        <v>IR Normal - Track burn out</v>
      </c>
      <c r="U2713" s="20" t="s">
        <v>41</v>
      </c>
      <c r="V2713" s="17"/>
      <c r="W2713" s="20" t="e">
        <f aca="false">VLOOKUP(V2713,Sheet2!Q:R,2,0)</f>
        <v>#N/A</v>
      </c>
      <c r="X2713" s="17" t="n">
        <f aca="false">J2713</f>
        <v>0</v>
      </c>
      <c r="Y2713" s="17" t="e">
        <f aca="false">VLOOKUP(X2713,Sheet2!A:B,2,0)</f>
        <v>#N/A</v>
      </c>
      <c r="Z2713" s="17"/>
      <c r="AA2713" s="17"/>
      <c r="AB2713" s="17" t="s">
        <v>41</v>
      </c>
      <c r="AC2713" s="0" t="str">
        <f aca="false">LEFT(G2713,2)</f>
        <v/>
      </c>
    </row>
    <row r="2714" customFormat="false" ht="15" hidden="false" customHeight="false" outlineLevel="0" collapsed="false">
      <c r="A2714" s="13" t="n">
        <f aca="false">1+A2713</f>
        <v>2712</v>
      </c>
      <c r="B2714" s="14" t="n">
        <v>100</v>
      </c>
      <c r="C2714" s="15"/>
      <c r="D2714" s="16" t="s">
        <v>64</v>
      </c>
      <c r="E2714" s="17" t="s">
        <v>47</v>
      </c>
      <c r="F2714" s="18" t="s">
        <v>34</v>
      </c>
      <c r="G2714" s="19"/>
      <c r="H2714" s="17" t="s">
        <v>35</v>
      </c>
      <c r="I2714" s="17" t="s">
        <v>44</v>
      </c>
      <c r="J2714" s="17"/>
      <c r="K2714" s="17" t="e">
        <f aca="false">VLOOKUP(J2714,Sheet2!A:B,2,0)</f>
        <v>#N/A</v>
      </c>
      <c r="L2714" s="17" t="n">
        <v>5</v>
      </c>
      <c r="M2714" s="17" t="str">
        <f aca="false">VLOOKUP(L2714,Sheet2!D:E,2,0)</f>
        <v>Main Processor CPU BGA</v>
      </c>
      <c r="N2714" s="17" t="n">
        <v>1</v>
      </c>
      <c r="O2714" s="17" t="str">
        <f aca="false">VLOOKUP(N2714,Sheet2!G:H,2,0)</f>
        <v>Dead</v>
      </c>
      <c r="P2714" s="17" t="n">
        <v>11</v>
      </c>
      <c r="Q2714" s="17" t="str">
        <f aca="false">VLOOKUP(P2714,Sheet2!J:K,2,0)</f>
        <v>IR Declared due to CID -TA</v>
      </c>
      <c r="R2714" s="17" t="s">
        <v>35</v>
      </c>
      <c r="S2714" s="17" t="str">
        <f aca="false">VLOOKUP(R2714,Sheet2!N:O,2,0)</f>
        <v>IREPARABLE</v>
      </c>
      <c r="T2714" s="18" t="str">
        <f aca="false">VLOOKUP(P2714,Sheet2!Q:R,2,0)</f>
        <v>IR Normal - Track burn out</v>
      </c>
      <c r="U2714" s="20" t="s">
        <v>41</v>
      </c>
      <c r="V2714" s="17"/>
      <c r="W2714" s="20" t="e">
        <f aca="false">VLOOKUP(V2714,Sheet2!Q:R,2,0)</f>
        <v>#N/A</v>
      </c>
      <c r="X2714" s="17" t="n">
        <f aca="false">J2714</f>
        <v>0</v>
      </c>
      <c r="Y2714" s="17" t="e">
        <f aca="false">VLOOKUP(X2714,Sheet2!A:B,2,0)</f>
        <v>#N/A</v>
      </c>
      <c r="Z2714" s="17"/>
      <c r="AA2714" s="17"/>
      <c r="AB2714" s="17" t="s">
        <v>41</v>
      </c>
      <c r="AC2714" s="0" t="str">
        <f aca="false">LEFT(G2714,2)</f>
        <v/>
      </c>
    </row>
    <row r="2715" customFormat="false" ht="15" hidden="false" customHeight="false" outlineLevel="0" collapsed="false">
      <c r="A2715" s="13" t="n">
        <f aca="false">1+A2714</f>
        <v>2713</v>
      </c>
      <c r="B2715" s="14" t="n">
        <v>100</v>
      </c>
      <c r="C2715" s="15"/>
      <c r="D2715" s="16" t="s">
        <v>64</v>
      </c>
      <c r="E2715" s="17" t="s">
        <v>47</v>
      </c>
      <c r="F2715" s="18" t="s">
        <v>34</v>
      </c>
      <c r="G2715" s="19"/>
      <c r="H2715" s="17" t="s">
        <v>35</v>
      </c>
      <c r="I2715" s="17" t="s">
        <v>44</v>
      </c>
      <c r="J2715" s="17"/>
      <c r="K2715" s="17" t="e">
        <f aca="false">VLOOKUP(J2715,Sheet2!A:B,2,0)</f>
        <v>#N/A</v>
      </c>
      <c r="L2715" s="17" t="n">
        <v>5</v>
      </c>
      <c r="M2715" s="17" t="str">
        <f aca="false">VLOOKUP(L2715,Sheet2!D:E,2,0)</f>
        <v>Main Processor CPU BGA</v>
      </c>
      <c r="N2715" s="17" t="n">
        <v>1</v>
      </c>
      <c r="O2715" s="17" t="str">
        <f aca="false">VLOOKUP(N2715,Sheet2!G:H,2,0)</f>
        <v>Dead</v>
      </c>
      <c r="P2715" s="17" t="n">
        <v>11</v>
      </c>
      <c r="Q2715" s="17" t="str">
        <f aca="false">VLOOKUP(P2715,Sheet2!J:K,2,0)</f>
        <v>IR Declared due to CID -TA</v>
      </c>
      <c r="R2715" s="17" t="s">
        <v>35</v>
      </c>
      <c r="S2715" s="17" t="str">
        <f aca="false">VLOOKUP(R2715,Sheet2!N:O,2,0)</f>
        <v>IREPARABLE</v>
      </c>
      <c r="T2715" s="18" t="str">
        <f aca="false">VLOOKUP(P2715,Sheet2!Q:R,2,0)</f>
        <v>IR Normal - Track burn out</v>
      </c>
      <c r="U2715" s="20" t="s">
        <v>41</v>
      </c>
      <c r="V2715" s="17"/>
      <c r="W2715" s="20" t="e">
        <f aca="false">VLOOKUP(V2715,Sheet2!Q:R,2,0)</f>
        <v>#N/A</v>
      </c>
      <c r="X2715" s="17" t="n">
        <f aca="false">J2715</f>
        <v>0</v>
      </c>
      <c r="Y2715" s="17" t="e">
        <f aca="false">VLOOKUP(X2715,Sheet2!A:B,2,0)</f>
        <v>#N/A</v>
      </c>
      <c r="Z2715" s="17"/>
      <c r="AA2715" s="17"/>
      <c r="AB2715" s="17" t="s">
        <v>41</v>
      </c>
      <c r="AC2715" s="0" t="str">
        <f aca="false">LEFT(G2715,2)</f>
        <v/>
      </c>
    </row>
    <row r="2716" customFormat="false" ht="15" hidden="false" customHeight="false" outlineLevel="0" collapsed="false">
      <c r="A2716" s="13" t="n">
        <f aca="false">1+A2715</f>
        <v>2714</v>
      </c>
      <c r="B2716" s="14" t="n">
        <v>100</v>
      </c>
      <c r="C2716" s="15"/>
      <c r="D2716" s="16" t="s">
        <v>64</v>
      </c>
      <c r="E2716" s="17" t="s">
        <v>47</v>
      </c>
      <c r="F2716" s="18" t="s">
        <v>34</v>
      </c>
      <c r="G2716" s="19"/>
      <c r="H2716" s="17" t="s">
        <v>35</v>
      </c>
      <c r="I2716" s="17" t="s">
        <v>44</v>
      </c>
      <c r="J2716" s="17"/>
      <c r="K2716" s="17" t="e">
        <f aca="false">VLOOKUP(J2716,Sheet2!A:B,2,0)</f>
        <v>#N/A</v>
      </c>
      <c r="L2716" s="17" t="n">
        <v>5</v>
      </c>
      <c r="M2716" s="17" t="str">
        <f aca="false">VLOOKUP(L2716,Sheet2!D:E,2,0)</f>
        <v>Main Processor CPU BGA</v>
      </c>
      <c r="N2716" s="17" t="n">
        <v>1</v>
      </c>
      <c r="O2716" s="17" t="str">
        <f aca="false">VLOOKUP(N2716,Sheet2!G:H,2,0)</f>
        <v>Dead</v>
      </c>
      <c r="P2716" s="17" t="n">
        <v>11</v>
      </c>
      <c r="Q2716" s="17" t="str">
        <f aca="false">VLOOKUP(P2716,Sheet2!J:K,2,0)</f>
        <v>IR Declared due to CID -TA</v>
      </c>
      <c r="R2716" s="17" t="s">
        <v>35</v>
      </c>
      <c r="S2716" s="17" t="str">
        <f aca="false">VLOOKUP(R2716,Sheet2!N:O,2,0)</f>
        <v>IREPARABLE</v>
      </c>
      <c r="T2716" s="18" t="str">
        <f aca="false">VLOOKUP(P2716,Sheet2!Q:R,2,0)</f>
        <v>IR Normal - Track burn out</v>
      </c>
      <c r="U2716" s="20" t="s">
        <v>41</v>
      </c>
      <c r="V2716" s="17"/>
      <c r="W2716" s="20" t="e">
        <f aca="false">VLOOKUP(V2716,Sheet2!Q:R,2,0)</f>
        <v>#N/A</v>
      </c>
      <c r="X2716" s="17" t="n">
        <f aca="false">J2716</f>
        <v>0</v>
      </c>
      <c r="Y2716" s="17" t="e">
        <f aca="false">VLOOKUP(X2716,Sheet2!A:B,2,0)</f>
        <v>#N/A</v>
      </c>
      <c r="Z2716" s="17"/>
      <c r="AA2716" s="17"/>
      <c r="AB2716" s="17" t="s">
        <v>41</v>
      </c>
      <c r="AC2716" s="0" t="str">
        <f aca="false">LEFT(G2716,2)</f>
        <v/>
      </c>
    </row>
    <row r="2717" customFormat="false" ht="15" hidden="false" customHeight="false" outlineLevel="0" collapsed="false">
      <c r="A2717" s="13" t="n">
        <f aca="false">1+A2716</f>
        <v>2715</v>
      </c>
      <c r="B2717" s="14" t="n">
        <v>100</v>
      </c>
      <c r="C2717" s="15"/>
      <c r="D2717" s="16" t="s">
        <v>64</v>
      </c>
      <c r="E2717" s="17" t="s">
        <v>47</v>
      </c>
      <c r="F2717" s="18" t="s">
        <v>34</v>
      </c>
      <c r="G2717" s="19"/>
      <c r="H2717" s="17" t="s">
        <v>35</v>
      </c>
      <c r="I2717" s="17" t="s">
        <v>44</v>
      </c>
      <c r="J2717" s="17"/>
      <c r="K2717" s="17" t="e">
        <f aca="false">VLOOKUP(J2717,Sheet2!A:B,2,0)</f>
        <v>#N/A</v>
      </c>
      <c r="L2717" s="17" t="n">
        <v>5</v>
      </c>
      <c r="M2717" s="17" t="str">
        <f aca="false">VLOOKUP(L2717,Sheet2!D:E,2,0)</f>
        <v>Main Processor CPU BGA</v>
      </c>
      <c r="N2717" s="17" t="n">
        <v>1</v>
      </c>
      <c r="O2717" s="17" t="str">
        <f aca="false">VLOOKUP(N2717,Sheet2!G:H,2,0)</f>
        <v>Dead</v>
      </c>
      <c r="P2717" s="17" t="n">
        <v>11</v>
      </c>
      <c r="Q2717" s="17" t="str">
        <f aca="false">VLOOKUP(P2717,Sheet2!J:K,2,0)</f>
        <v>IR Declared due to CID -TA</v>
      </c>
      <c r="R2717" s="17" t="s">
        <v>35</v>
      </c>
      <c r="S2717" s="17" t="str">
        <f aca="false">VLOOKUP(R2717,Sheet2!N:O,2,0)</f>
        <v>IREPARABLE</v>
      </c>
      <c r="T2717" s="18" t="str">
        <f aca="false">VLOOKUP(P2717,Sheet2!Q:R,2,0)</f>
        <v>IR Normal - Track burn out</v>
      </c>
      <c r="U2717" s="20" t="s">
        <v>41</v>
      </c>
      <c r="V2717" s="17"/>
      <c r="W2717" s="20" t="e">
        <f aca="false">VLOOKUP(V2717,Sheet2!Q:R,2,0)</f>
        <v>#N/A</v>
      </c>
      <c r="X2717" s="17" t="n">
        <f aca="false">J2717</f>
        <v>0</v>
      </c>
      <c r="Y2717" s="17" t="e">
        <f aca="false">VLOOKUP(X2717,Sheet2!A:B,2,0)</f>
        <v>#N/A</v>
      </c>
      <c r="Z2717" s="17"/>
      <c r="AA2717" s="17"/>
      <c r="AB2717" s="17" t="s">
        <v>41</v>
      </c>
      <c r="AC2717" s="0" t="str">
        <f aca="false">LEFT(G2717,2)</f>
        <v/>
      </c>
    </row>
    <row r="2718" customFormat="false" ht="15" hidden="false" customHeight="false" outlineLevel="0" collapsed="false">
      <c r="A2718" s="13" t="n">
        <f aca="false">1+A2717</f>
        <v>2716</v>
      </c>
      <c r="B2718" s="14" t="n">
        <v>100</v>
      </c>
      <c r="C2718" s="15"/>
      <c r="D2718" s="16" t="s">
        <v>64</v>
      </c>
      <c r="E2718" s="17" t="s">
        <v>47</v>
      </c>
      <c r="F2718" s="18" t="s">
        <v>34</v>
      </c>
      <c r="G2718" s="19"/>
      <c r="H2718" s="17" t="s">
        <v>35</v>
      </c>
      <c r="I2718" s="17" t="s">
        <v>44</v>
      </c>
      <c r="J2718" s="17"/>
      <c r="K2718" s="17" t="e">
        <f aca="false">VLOOKUP(J2718,Sheet2!A:B,2,0)</f>
        <v>#N/A</v>
      </c>
      <c r="L2718" s="17" t="n">
        <v>5</v>
      </c>
      <c r="M2718" s="17" t="str">
        <f aca="false">VLOOKUP(L2718,Sheet2!D:E,2,0)</f>
        <v>Main Processor CPU BGA</v>
      </c>
      <c r="N2718" s="17" t="n">
        <v>1</v>
      </c>
      <c r="O2718" s="17" t="str">
        <f aca="false">VLOOKUP(N2718,Sheet2!G:H,2,0)</f>
        <v>Dead</v>
      </c>
      <c r="P2718" s="17" t="n">
        <v>11</v>
      </c>
      <c r="Q2718" s="17" t="str">
        <f aca="false">VLOOKUP(P2718,Sheet2!J:K,2,0)</f>
        <v>IR Declared due to CID -TA</v>
      </c>
      <c r="R2718" s="17" t="s">
        <v>35</v>
      </c>
      <c r="S2718" s="17" t="str">
        <f aca="false">VLOOKUP(R2718,Sheet2!N:O,2,0)</f>
        <v>IREPARABLE</v>
      </c>
      <c r="T2718" s="18" t="str">
        <f aca="false">VLOOKUP(P2718,Sheet2!Q:R,2,0)</f>
        <v>IR Normal - Track burn out</v>
      </c>
      <c r="U2718" s="20" t="s">
        <v>41</v>
      </c>
      <c r="V2718" s="17"/>
      <c r="W2718" s="20" t="e">
        <f aca="false">VLOOKUP(V2718,Sheet2!Q:R,2,0)</f>
        <v>#N/A</v>
      </c>
      <c r="X2718" s="17" t="n">
        <f aca="false">J2718</f>
        <v>0</v>
      </c>
      <c r="Y2718" s="17" t="e">
        <f aca="false">VLOOKUP(X2718,Sheet2!A:B,2,0)</f>
        <v>#N/A</v>
      </c>
      <c r="Z2718" s="17"/>
      <c r="AA2718" s="17"/>
      <c r="AB2718" s="17" t="s">
        <v>41</v>
      </c>
      <c r="AC2718" s="0" t="str">
        <f aca="false">LEFT(G2718,2)</f>
        <v/>
      </c>
    </row>
    <row r="2719" customFormat="false" ht="15" hidden="false" customHeight="false" outlineLevel="0" collapsed="false">
      <c r="A2719" s="13" t="n">
        <f aca="false">1+A2718</f>
        <v>2717</v>
      </c>
      <c r="B2719" s="14" t="n">
        <v>100</v>
      </c>
      <c r="C2719" s="15"/>
      <c r="D2719" s="16" t="s">
        <v>64</v>
      </c>
      <c r="E2719" s="17" t="s">
        <v>47</v>
      </c>
      <c r="F2719" s="18" t="s">
        <v>34</v>
      </c>
      <c r="G2719" s="19"/>
      <c r="H2719" s="17" t="s">
        <v>35</v>
      </c>
      <c r="I2719" s="17" t="s">
        <v>44</v>
      </c>
      <c r="J2719" s="17"/>
      <c r="K2719" s="17" t="e">
        <f aca="false">VLOOKUP(J2719,Sheet2!A:B,2,0)</f>
        <v>#N/A</v>
      </c>
      <c r="L2719" s="17" t="n">
        <v>5</v>
      </c>
      <c r="M2719" s="17" t="str">
        <f aca="false">VLOOKUP(L2719,Sheet2!D:E,2,0)</f>
        <v>Main Processor CPU BGA</v>
      </c>
      <c r="N2719" s="17" t="n">
        <v>1</v>
      </c>
      <c r="O2719" s="17" t="str">
        <f aca="false">VLOOKUP(N2719,Sheet2!G:H,2,0)</f>
        <v>Dead</v>
      </c>
      <c r="P2719" s="17" t="n">
        <v>11</v>
      </c>
      <c r="Q2719" s="17" t="str">
        <f aca="false">VLOOKUP(P2719,Sheet2!J:K,2,0)</f>
        <v>IR Declared due to CID -TA</v>
      </c>
      <c r="R2719" s="17" t="s">
        <v>35</v>
      </c>
      <c r="S2719" s="17" t="str">
        <f aca="false">VLOOKUP(R2719,Sheet2!N:O,2,0)</f>
        <v>IREPARABLE</v>
      </c>
      <c r="T2719" s="18" t="str">
        <f aca="false">VLOOKUP(P2719,Sheet2!Q:R,2,0)</f>
        <v>IR Normal - Track burn out</v>
      </c>
      <c r="U2719" s="20" t="s">
        <v>41</v>
      </c>
      <c r="V2719" s="17"/>
      <c r="W2719" s="20" t="e">
        <f aca="false">VLOOKUP(V2719,Sheet2!Q:R,2,0)</f>
        <v>#N/A</v>
      </c>
      <c r="X2719" s="17" t="n">
        <f aca="false">J2719</f>
        <v>0</v>
      </c>
      <c r="Y2719" s="17" t="e">
        <f aca="false">VLOOKUP(X2719,Sheet2!A:B,2,0)</f>
        <v>#N/A</v>
      </c>
      <c r="Z2719" s="17"/>
      <c r="AA2719" s="17"/>
      <c r="AB2719" s="17" t="s">
        <v>41</v>
      </c>
      <c r="AC2719" s="0" t="str">
        <f aca="false">LEFT(G2719,2)</f>
        <v/>
      </c>
    </row>
    <row r="2720" customFormat="false" ht="15" hidden="false" customHeight="false" outlineLevel="0" collapsed="false">
      <c r="A2720" s="13" t="n">
        <f aca="false">1+A2719</f>
        <v>2718</v>
      </c>
      <c r="B2720" s="14" t="n">
        <v>100</v>
      </c>
      <c r="C2720" s="15"/>
      <c r="D2720" s="16" t="s">
        <v>64</v>
      </c>
      <c r="E2720" s="17" t="s">
        <v>47</v>
      </c>
      <c r="F2720" s="18" t="s">
        <v>34</v>
      </c>
      <c r="G2720" s="19"/>
      <c r="H2720" s="17" t="s">
        <v>35</v>
      </c>
      <c r="I2720" s="17" t="s">
        <v>44</v>
      </c>
      <c r="J2720" s="17"/>
      <c r="K2720" s="17" t="e">
        <f aca="false">VLOOKUP(J2720,Sheet2!A:B,2,0)</f>
        <v>#N/A</v>
      </c>
      <c r="L2720" s="17" t="n">
        <v>5</v>
      </c>
      <c r="M2720" s="17" t="str">
        <f aca="false">VLOOKUP(L2720,Sheet2!D:E,2,0)</f>
        <v>Main Processor CPU BGA</v>
      </c>
      <c r="N2720" s="17" t="n">
        <v>1</v>
      </c>
      <c r="O2720" s="17" t="str">
        <f aca="false">VLOOKUP(N2720,Sheet2!G:H,2,0)</f>
        <v>Dead</v>
      </c>
      <c r="P2720" s="17" t="n">
        <v>11</v>
      </c>
      <c r="Q2720" s="17" t="str">
        <f aca="false">VLOOKUP(P2720,Sheet2!J:K,2,0)</f>
        <v>IR Declared due to CID -TA</v>
      </c>
      <c r="R2720" s="17" t="s">
        <v>35</v>
      </c>
      <c r="S2720" s="17" t="str">
        <f aca="false">VLOOKUP(R2720,Sheet2!N:O,2,0)</f>
        <v>IREPARABLE</v>
      </c>
      <c r="T2720" s="18" t="str">
        <f aca="false">VLOOKUP(P2720,Sheet2!Q:R,2,0)</f>
        <v>IR Normal - Track burn out</v>
      </c>
      <c r="U2720" s="20" t="s">
        <v>41</v>
      </c>
      <c r="V2720" s="17"/>
      <c r="W2720" s="20" t="e">
        <f aca="false">VLOOKUP(V2720,Sheet2!Q:R,2,0)</f>
        <v>#N/A</v>
      </c>
      <c r="X2720" s="17" t="n">
        <f aca="false">J2720</f>
        <v>0</v>
      </c>
      <c r="Y2720" s="17" t="e">
        <f aca="false">VLOOKUP(X2720,Sheet2!A:B,2,0)</f>
        <v>#N/A</v>
      </c>
      <c r="Z2720" s="17"/>
      <c r="AA2720" s="17"/>
      <c r="AB2720" s="17" t="s">
        <v>41</v>
      </c>
      <c r="AC2720" s="0" t="str">
        <f aca="false">LEFT(G2720,2)</f>
        <v/>
      </c>
    </row>
    <row r="2721" customFormat="false" ht="15" hidden="false" customHeight="false" outlineLevel="0" collapsed="false">
      <c r="A2721" s="13" t="n">
        <f aca="false">1+A2720</f>
        <v>2719</v>
      </c>
      <c r="B2721" s="14" t="n">
        <v>100</v>
      </c>
      <c r="C2721" s="15"/>
      <c r="D2721" s="16" t="s">
        <v>64</v>
      </c>
      <c r="E2721" s="17" t="s">
        <v>47</v>
      </c>
      <c r="F2721" s="18" t="s">
        <v>34</v>
      </c>
      <c r="G2721" s="19"/>
      <c r="H2721" s="17" t="s">
        <v>35</v>
      </c>
      <c r="I2721" s="17" t="s">
        <v>44</v>
      </c>
      <c r="J2721" s="17"/>
      <c r="K2721" s="17" t="e">
        <f aca="false">VLOOKUP(J2721,Sheet2!A:B,2,0)</f>
        <v>#N/A</v>
      </c>
      <c r="L2721" s="17" t="n">
        <v>5</v>
      </c>
      <c r="M2721" s="17" t="str">
        <f aca="false">VLOOKUP(L2721,Sheet2!D:E,2,0)</f>
        <v>Main Processor CPU BGA</v>
      </c>
      <c r="N2721" s="17" t="n">
        <v>1</v>
      </c>
      <c r="O2721" s="17" t="str">
        <f aca="false">VLOOKUP(N2721,Sheet2!G:H,2,0)</f>
        <v>Dead</v>
      </c>
      <c r="P2721" s="17" t="n">
        <v>11</v>
      </c>
      <c r="Q2721" s="17" t="str">
        <f aca="false">VLOOKUP(P2721,Sheet2!J:K,2,0)</f>
        <v>IR Declared due to CID -TA</v>
      </c>
      <c r="R2721" s="17" t="s">
        <v>35</v>
      </c>
      <c r="S2721" s="17" t="str">
        <f aca="false">VLOOKUP(R2721,Sheet2!N:O,2,0)</f>
        <v>IREPARABLE</v>
      </c>
      <c r="T2721" s="18" t="str">
        <f aca="false">VLOOKUP(P2721,Sheet2!Q:R,2,0)</f>
        <v>IR Normal - Track burn out</v>
      </c>
      <c r="U2721" s="20" t="s">
        <v>41</v>
      </c>
      <c r="V2721" s="17"/>
      <c r="W2721" s="20" t="e">
        <f aca="false">VLOOKUP(V2721,Sheet2!Q:R,2,0)</f>
        <v>#N/A</v>
      </c>
      <c r="X2721" s="17" t="n">
        <f aca="false">J2721</f>
        <v>0</v>
      </c>
      <c r="Y2721" s="17" t="e">
        <f aca="false">VLOOKUP(X2721,Sheet2!A:B,2,0)</f>
        <v>#N/A</v>
      </c>
      <c r="Z2721" s="17"/>
      <c r="AA2721" s="17"/>
      <c r="AB2721" s="17" t="s">
        <v>41</v>
      </c>
      <c r="AC2721" s="0" t="str">
        <f aca="false">LEFT(G2721,2)</f>
        <v/>
      </c>
    </row>
    <row r="2722" customFormat="false" ht="15" hidden="false" customHeight="false" outlineLevel="0" collapsed="false">
      <c r="A2722" s="13" t="n">
        <f aca="false">1+A2721</f>
        <v>2720</v>
      </c>
      <c r="B2722" s="14" t="n">
        <v>100</v>
      </c>
      <c r="C2722" s="15"/>
      <c r="D2722" s="16" t="s">
        <v>64</v>
      </c>
      <c r="E2722" s="17" t="s">
        <v>47</v>
      </c>
      <c r="F2722" s="18" t="s">
        <v>34</v>
      </c>
      <c r="G2722" s="19"/>
      <c r="H2722" s="17" t="s">
        <v>35</v>
      </c>
      <c r="I2722" s="17" t="s">
        <v>44</v>
      </c>
      <c r="J2722" s="17"/>
      <c r="K2722" s="17" t="e">
        <f aca="false">VLOOKUP(J2722,Sheet2!A:B,2,0)</f>
        <v>#N/A</v>
      </c>
      <c r="L2722" s="17" t="n">
        <v>5</v>
      </c>
      <c r="M2722" s="17" t="str">
        <f aca="false">VLOOKUP(L2722,Sheet2!D:E,2,0)</f>
        <v>Main Processor CPU BGA</v>
      </c>
      <c r="N2722" s="17" t="n">
        <v>1</v>
      </c>
      <c r="O2722" s="17" t="str">
        <f aca="false">VLOOKUP(N2722,Sheet2!G:H,2,0)</f>
        <v>Dead</v>
      </c>
      <c r="P2722" s="17" t="n">
        <v>11</v>
      </c>
      <c r="Q2722" s="17" t="str">
        <f aca="false">VLOOKUP(P2722,Sheet2!J:K,2,0)</f>
        <v>IR Declared due to CID -TA</v>
      </c>
      <c r="R2722" s="17" t="s">
        <v>35</v>
      </c>
      <c r="S2722" s="17" t="str">
        <f aca="false">VLOOKUP(R2722,Sheet2!N:O,2,0)</f>
        <v>IREPARABLE</v>
      </c>
      <c r="T2722" s="18" t="str">
        <f aca="false">VLOOKUP(P2722,Sheet2!Q:R,2,0)</f>
        <v>IR Normal - Track burn out</v>
      </c>
      <c r="U2722" s="20" t="s">
        <v>41</v>
      </c>
      <c r="V2722" s="17"/>
      <c r="W2722" s="20" t="e">
        <f aca="false">VLOOKUP(V2722,Sheet2!Q:R,2,0)</f>
        <v>#N/A</v>
      </c>
      <c r="X2722" s="17" t="n">
        <f aca="false">J2722</f>
        <v>0</v>
      </c>
      <c r="Y2722" s="17" t="e">
        <f aca="false">VLOOKUP(X2722,Sheet2!A:B,2,0)</f>
        <v>#N/A</v>
      </c>
      <c r="Z2722" s="17"/>
      <c r="AA2722" s="17"/>
      <c r="AB2722" s="17" t="s">
        <v>41</v>
      </c>
      <c r="AC2722" s="0" t="str">
        <f aca="false">LEFT(G2722,2)</f>
        <v/>
      </c>
    </row>
    <row r="2723" customFormat="false" ht="15" hidden="false" customHeight="false" outlineLevel="0" collapsed="false">
      <c r="A2723" s="13" t="n">
        <f aca="false">1+A2722</f>
        <v>2721</v>
      </c>
      <c r="B2723" s="14" t="n">
        <v>100</v>
      </c>
      <c r="C2723" s="15"/>
      <c r="D2723" s="16" t="s">
        <v>64</v>
      </c>
      <c r="E2723" s="17" t="s">
        <v>47</v>
      </c>
      <c r="F2723" s="18" t="s">
        <v>34</v>
      </c>
      <c r="G2723" s="19"/>
      <c r="H2723" s="17" t="s">
        <v>35</v>
      </c>
      <c r="I2723" s="17" t="s">
        <v>44</v>
      </c>
      <c r="J2723" s="17"/>
      <c r="K2723" s="17" t="e">
        <f aca="false">VLOOKUP(J2723,Sheet2!A:B,2,0)</f>
        <v>#N/A</v>
      </c>
      <c r="L2723" s="17" t="n">
        <v>5</v>
      </c>
      <c r="M2723" s="17" t="str">
        <f aca="false">VLOOKUP(L2723,Sheet2!D:E,2,0)</f>
        <v>Main Processor CPU BGA</v>
      </c>
      <c r="N2723" s="17" t="n">
        <v>1</v>
      </c>
      <c r="O2723" s="17" t="str">
        <f aca="false">VLOOKUP(N2723,Sheet2!G:H,2,0)</f>
        <v>Dead</v>
      </c>
      <c r="P2723" s="17" t="n">
        <v>11</v>
      </c>
      <c r="Q2723" s="17" t="str">
        <f aca="false">VLOOKUP(P2723,Sheet2!J:K,2,0)</f>
        <v>IR Declared due to CID -TA</v>
      </c>
      <c r="R2723" s="17" t="s">
        <v>35</v>
      </c>
      <c r="S2723" s="17" t="str">
        <f aca="false">VLOOKUP(R2723,Sheet2!N:O,2,0)</f>
        <v>IREPARABLE</v>
      </c>
      <c r="T2723" s="18" t="str">
        <f aca="false">VLOOKUP(P2723,Sheet2!Q:R,2,0)</f>
        <v>IR Normal - Track burn out</v>
      </c>
      <c r="U2723" s="20" t="s">
        <v>41</v>
      </c>
      <c r="V2723" s="17"/>
      <c r="W2723" s="20" t="e">
        <f aca="false">VLOOKUP(V2723,Sheet2!Q:R,2,0)</f>
        <v>#N/A</v>
      </c>
      <c r="X2723" s="17" t="n">
        <f aca="false">J2723</f>
        <v>0</v>
      </c>
      <c r="Y2723" s="17" t="e">
        <f aca="false">VLOOKUP(X2723,Sheet2!A:B,2,0)</f>
        <v>#N/A</v>
      </c>
      <c r="Z2723" s="17"/>
      <c r="AA2723" s="17"/>
      <c r="AB2723" s="17" t="s">
        <v>41</v>
      </c>
      <c r="AC2723" s="0" t="str">
        <f aca="false">LEFT(G2723,2)</f>
        <v/>
      </c>
    </row>
    <row r="2724" customFormat="false" ht="15" hidden="false" customHeight="false" outlineLevel="0" collapsed="false">
      <c r="A2724" s="13" t="n">
        <f aca="false">1+A2723</f>
        <v>2722</v>
      </c>
      <c r="B2724" s="14" t="n">
        <v>100</v>
      </c>
      <c r="C2724" s="15"/>
      <c r="D2724" s="16" t="s">
        <v>64</v>
      </c>
      <c r="E2724" s="17" t="s">
        <v>47</v>
      </c>
      <c r="F2724" s="18" t="s">
        <v>34</v>
      </c>
      <c r="G2724" s="19"/>
      <c r="H2724" s="17" t="s">
        <v>35</v>
      </c>
      <c r="I2724" s="17" t="s">
        <v>44</v>
      </c>
      <c r="J2724" s="17"/>
      <c r="K2724" s="17" t="e">
        <f aca="false">VLOOKUP(J2724,Sheet2!A:B,2,0)</f>
        <v>#N/A</v>
      </c>
      <c r="L2724" s="17" t="n">
        <v>5</v>
      </c>
      <c r="M2724" s="17" t="str">
        <f aca="false">VLOOKUP(L2724,Sheet2!D:E,2,0)</f>
        <v>Main Processor CPU BGA</v>
      </c>
      <c r="N2724" s="17" t="n">
        <v>1</v>
      </c>
      <c r="O2724" s="17" t="str">
        <f aca="false">VLOOKUP(N2724,Sheet2!G:H,2,0)</f>
        <v>Dead</v>
      </c>
      <c r="P2724" s="17" t="n">
        <v>11</v>
      </c>
      <c r="Q2724" s="17" t="str">
        <f aca="false">VLOOKUP(P2724,Sheet2!J:K,2,0)</f>
        <v>IR Declared due to CID -TA</v>
      </c>
      <c r="R2724" s="17" t="s">
        <v>35</v>
      </c>
      <c r="S2724" s="17" t="str">
        <f aca="false">VLOOKUP(R2724,Sheet2!N:O,2,0)</f>
        <v>IREPARABLE</v>
      </c>
      <c r="T2724" s="18" t="str">
        <f aca="false">VLOOKUP(P2724,Sheet2!Q:R,2,0)</f>
        <v>IR Normal - Track burn out</v>
      </c>
      <c r="U2724" s="20" t="s">
        <v>41</v>
      </c>
      <c r="V2724" s="17"/>
      <c r="W2724" s="20" t="e">
        <f aca="false">VLOOKUP(V2724,Sheet2!Q:R,2,0)</f>
        <v>#N/A</v>
      </c>
      <c r="X2724" s="17" t="n">
        <f aca="false">J2724</f>
        <v>0</v>
      </c>
      <c r="Y2724" s="17" t="e">
        <f aca="false">VLOOKUP(X2724,Sheet2!A:B,2,0)</f>
        <v>#N/A</v>
      </c>
      <c r="Z2724" s="17"/>
      <c r="AA2724" s="17"/>
      <c r="AB2724" s="17" t="s">
        <v>41</v>
      </c>
      <c r="AC2724" s="0" t="str">
        <f aca="false">LEFT(G2724,2)</f>
        <v/>
      </c>
    </row>
    <row r="2725" customFormat="false" ht="15" hidden="false" customHeight="false" outlineLevel="0" collapsed="false">
      <c r="A2725" s="13" t="n">
        <f aca="false">1+A2724</f>
        <v>2723</v>
      </c>
      <c r="B2725" s="14" t="n">
        <v>100</v>
      </c>
      <c r="C2725" s="15"/>
      <c r="D2725" s="16" t="s">
        <v>64</v>
      </c>
      <c r="E2725" s="17" t="s">
        <v>47</v>
      </c>
      <c r="F2725" s="18" t="s">
        <v>34</v>
      </c>
      <c r="G2725" s="19"/>
      <c r="H2725" s="17" t="s">
        <v>35</v>
      </c>
      <c r="I2725" s="17" t="s">
        <v>44</v>
      </c>
      <c r="J2725" s="17"/>
      <c r="K2725" s="17" t="e">
        <f aca="false">VLOOKUP(J2725,Sheet2!A:B,2,0)</f>
        <v>#N/A</v>
      </c>
      <c r="L2725" s="17" t="n">
        <v>5</v>
      </c>
      <c r="M2725" s="17" t="str">
        <f aca="false">VLOOKUP(L2725,Sheet2!D:E,2,0)</f>
        <v>Main Processor CPU BGA</v>
      </c>
      <c r="N2725" s="17" t="n">
        <v>1</v>
      </c>
      <c r="O2725" s="17" t="str">
        <f aca="false">VLOOKUP(N2725,Sheet2!G:H,2,0)</f>
        <v>Dead</v>
      </c>
      <c r="P2725" s="17" t="n">
        <v>11</v>
      </c>
      <c r="Q2725" s="17" t="str">
        <f aca="false">VLOOKUP(P2725,Sheet2!J:K,2,0)</f>
        <v>IR Declared due to CID -TA</v>
      </c>
      <c r="R2725" s="17" t="s">
        <v>35</v>
      </c>
      <c r="S2725" s="17" t="str">
        <f aca="false">VLOOKUP(R2725,Sheet2!N:O,2,0)</f>
        <v>IREPARABLE</v>
      </c>
      <c r="T2725" s="18" t="str">
        <f aca="false">VLOOKUP(P2725,Sheet2!Q:R,2,0)</f>
        <v>IR Normal - Track burn out</v>
      </c>
      <c r="U2725" s="20" t="s">
        <v>41</v>
      </c>
      <c r="V2725" s="17"/>
      <c r="W2725" s="20" t="e">
        <f aca="false">VLOOKUP(V2725,Sheet2!Q:R,2,0)</f>
        <v>#N/A</v>
      </c>
      <c r="X2725" s="17" t="n">
        <f aca="false">J2725</f>
        <v>0</v>
      </c>
      <c r="Y2725" s="17" t="e">
        <f aca="false">VLOOKUP(X2725,Sheet2!A:B,2,0)</f>
        <v>#N/A</v>
      </c>
      <c r="Z2725" s="17"/>
      <c r="AA2725" s="17"/>
      <c r="AB2725" s="17" t="s">
        <v>41</v>
      </c>
      <c r="AC2725" s="0" t="str">
        <f aca="false">LEFT(G2725,2)</f>
        <v/>
      </c>
    </row>
    <row r="2726" customFormat="false" ht="15" hidden="false" customHeight="false" outlineLevel="0" collapsed="false">
      <c r="A2726" s="13" t="n">
        <f aca="false">1+A2725</f>
        <v>2724</v>
      </c>
      <c r="B2726" s="14" t="n">
        <v>100</v>
      </c>
      <c r="C2726" s="15"/>
      <c r="D2726" s="16" t="s">
        <v>64</v>
      </c>
      <c r="E2726" s="17" t="s">
        <v>47</v>
      </c>
      <c r="F2726" s="18" t="s">
        <v>34</v>
      </c>
      <c r="G2726" s="19"/>
      <c r="H2726" s="17" t="s">
        <v>35</v>
      </c>
      <c r="I2726" s="17" t="s">
        <v>44</v>
      </c>
      <c r="J2726" s="17"/>
      <c r="K2726" s="17" t="e">
        <f aca="false">VLOOKUP(J2726,Sheet2!A:B,2,0)</f>
        <v>#N/A</v>
      </c>
      <c r="L2726" s="17" t="n">
        <v>5</v>
      </c>
      <c r="M2726" s="17" t="str">
        <f aca="false">VLOOKUP(L2726,Sheet2!D:E,2,0)</f>
        <v>Main Processor CPU BGA</v>
      </c>
      <c r="N2726" s="17" t="n">
        <v>1</v>
      </c>
      <c r="O2726" s="17" t="str">
        <f aca="false">VLOOKUP(N2726,Sheet2!G:H,2,0)</f>
        <v>Dead</v>
      </c>
      <c r="P2726" s="17" t="n">
        <v>11</v>
      </c>
      <c r="Q2726" s="17" t="str">
        <f aca="false">VLOOKUP(P2726,Sheet2!J:K,2,0)</f>
        <v>IR Declared due to CID -TA</v>
      </c>
      <c r="R2726" s="17" t="s">
        <v>35</v>
      </c>
      <c r="S2726" s="17" t="str">
        <f aca="false">VLOOKUP(R2726,Sheet2!N:O,2,0)</f>
        <v>IREPARABLE</v>
      </c>
      <c r="T2726" s="18" t="str">
        <f aca="false">VLOOKUP(P2726,Sheet2!Q:R,2,0)</f>
        <v>IR Normal - Track burn out</v>
      </c>
      <c r="U2726" s="20" t="s">
        <v>41</v>
      </c>
      <c r="V2726" s="17"/>
      <c r="W2726" s="20" t="e">
        <f aca="false">VLOOKUP(V2726,Sheet2!Q:R,2,0)</f>
        <v>#N/A</v>
      </c>
      <c r="X2726" s="17" t="n">
        <f aca="false">J2726</f>
        <v>0</v>
      </c>
      <c r="Y2726" s="17" t="e">
        <f aca="false">VLOOKUP(X2726,Sheet2!A:B,2,0)</f>
        <v>#N/A</v>
      </c>
      <c r="Z2726" s="17"/>
      <c r="AA2726" s="17"/>
      <c r="AB2726" s="17" t="s">
        <v>41</v>
      </c>
      <c r="AC2726" s="0" t="str">
        <f aca="false">LEFT(G2726,2)</f>
        <v/>
      </c>
    </row>
    <row r="2727" customFormat="false" ht="15" hidden="false" customHeight="false" outlineLevel="0" collapsed="false">
      <c r="A2727" s="13" t="n">
        <f aca="false">1+A2726</f>
        <v>2725</v>
      </c>
      <c r="B2727" s="14" t="n">
        <v>100</v>
      </c>
      <c r="C2727" s="15"/>
      <c r="D2727" s="16" t="s">
        <v>64</v>
      </c>
      <c r="E2727" s="17" t="s">
        <v>47</v>
      </c>
      <c r="F2727" s="18" t="s">
        <v>34</v>
      </c>
      <c r="G2727" s="19"/>
      <c r="H2727" s="17" t="s">
        <v>35</v>
      </c>
      <c r="I2727" s="17" t="s">
        <v>44</v>
      </c>
      <c r="J2727" s="17"/>
      <c r="K2727" s="17" t="e">
        <f aca="false">VLOOKUP(J2727,Sheet2!A:B,2,0)</f>
        <v>#N/A</v>
      </c>
      <c r="L2727" s="17" t="n">
        <v>5</v>
      </c>
      <c r="M2727" s="17" t="str">
        <f aca="false">VLOOKUP(L2727,Sheet2!D:E,2,0)</f>
        <v>Main Processor CPU BGA</v>
      </c>
      <c r="N2727" s="17" t="n">
        <v>1</v>
      </c>
      <c r="O2727" s="17" t="str">
        <f aca="false">VLOOKUP(N2727,Sheet2!G:H,2,0)</f>
        <v>Dead</v>
      </c>
      <c r="P2727" s="17" t="n">
        <v>11</v>
      </c>
      <c r="Q2727" s="17" t="str">
        <f aca="false">VLOOKUP(P2727,Sheet2!J:K,2,0)</f>
        <v>IR Declared due to CID -TA</v>
      </c>
      <c r="R2727" s="17" t="s">
        <v>35</v>
      </c>
      <c r="S2727" s="17" t="str">
        <f aca="false">VLOOKUP(R2727,Sheet2!N:O,2,0)</f>
        <v>IREPARABLE</v>
      </c>
      <c r="T2727" s="18" t="str">
        <f aca="false">VLOOKUP(P2727,Sheet2!Q:R,2,0)</f>
        <v>IR Normal - Track burn out</v>
      </c>
      <c r="U2727" s="20" t="s">
        <v>41</v>
      </c>
      <c r="V2727" s="17"/>
      <c r="W2727" s="20" t="e">
        <f aca="false">VLOOKUP(V2727,Sheet2!Q:R,2,0)</f>
        <v>#N/A</v>
      </c>
      <c r="X2727" s="17" t="n">
        <f aca="false">J2727</f>
        <v>0</v>
      </c>
      <c r="Y2727" s="17" t="e">
        <f aca="false">VLOOKUP(X2727,Sheet2!A:B,2,0)</f>
        <v>#N/A</v>
      </c>
      <c r="Z2727" s="17"/>
      <c r="AA2727" s="17"/>
      <c r="AB2727" s="17" t="s">
        <v>41</v>
      </c>
      <c r="AC2727" s="0" t="str">
        <f aca="false">LEFT(G2727,2)</f>
        <v/>
      </c>
    </row>
    <row r="2728" customFormat="false" ht="15" hidden="false" customHeight="false" outlineLevel="0" collapsed="false">
      <c r="A2728" s="13" t="n">
        <f aca="false">1+A2727</f>
        <v>2726</v>
      </c>
      <c r="B2728" s="14" t="n">
        <v>100</v>
      </c>
      <c r="C2728" s="15"/>
      <c r="D2728" s="16" t="s">
        <v>64</v>
      </c>
      <c r="E2728" s="17" t="s">
        <v>47</v>
      </c>
      <c r="F2728" s="18" t="s">
        <v>34</v>
      </c>
      <c r="G2728" s="19"/>
      <c r="H2728" s="17" t="s">
        <v>35</v>
      </c>
      <c r="I2728" s="17" t="s">
        <v>44</v>
      </c>
      <c r="J2728" s="17"/>
      <c r="K2728" s="17" t="e">
        <f aca="false">VLOOKUP(J2728,Sheet2!A:B,2,0)</f>
        <v>#N/A</v>
      </c>
      <c r="L2728" s="17" t="n">
        <v>5</v>
      </c>
      <c r="M2728" s="17" t="str">
        <f aca="false">VLOOKUP(L2728,Sheet2!D:E,2,0)</f>
        <v>Main Processor CPU BGA</v>
      </c>
      <c r="N2728" s="17" t="n">
        <v>1</v>
      </c>
      <c r="O2728" s="17" t="str">
        <f aca="false">VLOOKUP(N2728,Sheet2!G:H,2,0)</f>
        <v>Dead</v>
      </c>
      <c r="P2728" s="17" t="n">
        <v>11</v>
      </c>
      <c r="Q2728" s="17" t="str">
        <f aca="false">VLOOKUP(P2728,Sheet2!J:K,2,0)</f>
        <v>IR Declared due to CID -TA</v>
      </c>
      <c r="R2728" s="17" t="s">
        <v>35</v>
      </c>
      <c r="S2728" s="17" t="str">
        <f aca="false">VLOOKUP(R2728,Sheet2!N:O,2,0)</f>
        <v>IREPARABLE</v>
      </c>
      <c r="T2728" s="18" t="str">
        <f aca="false">VLOOKUP(P2728,Sheet2!Q:R,2,0)</f>
        <v>IR Normal - Track burn out</v>
      </c>
      <c r="U2728" s="20" t="s">
        <v>41</v>
      </c>
      <c r="V2728" s="17"/>
      <c r="W2728" s="20" t="e">
        <f aca="false">VLOOKUP(V2728,Sheet2!Q:R,2,0)</f>
        <v>#N/A</v>
      </c>
      <c r="X2728" s="17" t="n">
        <f aca="false">J2728</f>
        <v>0</v>
      </c>
      <c r="Y2728" s="17" t="e">
        <f aca="false">VLOOKUP(X2728,Sheet2!A:B,2,0)</f>
        <v>#N/A</v>
      </c>
      <c r="Z2728" s="17"/>
      <c r="AA2728" s="17"/>
      <c r="AB2728" s="17" t="s">
        <v>41</v>
      </c>
      <c r="AC2728" s="0" t="str">
        <f aca="false">LEFT(G2728,2)</f>
        <v/>
      </c>
    </row>
    <row r="2729" customFormat="false" ht="15" hidden="false" customHeight="false" outlineLevel="0" collapsed="false">
      <c r="A2729" s="13" t="n">
        <f aca="false">1+A2728</f>
        <v>2727</v>
      </c>
      <c r="B2729" s="14" t="n">
        <v>100</v>
      </c>
      <c r="C2729" s="15"/>
      <c r="D2729" s="16" t="s">
        <v>64</v>
      </c>
      <c r="E2729" s="17" t="s">
        <v>47</v>
      </c>
      <c r="F2729" s="18" t="s">
        <v>34</v>
      </c>
      <c r="G2729" s="19"/>
      <c r="H2729" s="17" t="s">
        <v>35</v>
      </c>
      <c r="I2729" s="17" t="s">
        <v>44</v>
      </c>
      <c r="J2729" s="17"/>
      <c r="K2729" s="17" t="e">
        <f aca="false">VLOOKUP(J2729,Sheet2!A:B,2,0)</f>
        <v>#N/A</v>
      </c>
      <c r="L2729" s="17" t="n">
        <v>5</v>
      </c>
      <c r="M2729" s="17" t="str">
        <f aca="false">VLOOKUP(L2729,Sheet2!D:E,2,0)</f>
        <v>Main Processor CPU BGA</v>
      </c>
      <c r="N2729" s="17" t="n">
        <v>1</v>
      </c>
      <c r="O2729" s="17" t="str">
        <f aca="false">VLOOKUP(N2729,Sheet2!G:H,2,0)</f>
        <v>Dead</v>
      </c>
      <c r="P2729" s="17" t="n">
        <v>11</v>
      </c>
      <c r="Q2729" s="17" t="str">
        <f aca="false">VLOOKUP(P2729,Sheet2!J:K,2,0)</f>
        <v>IR Declared due to CID -TA</v>
      </c>
      <c r="R2729" s="17" t="s">
        <v>35</v>
      </c>
      <c r="S2729" s="17" t="str">
        <f aca="false">VLOOKUP(R2729,Sheet2!N:O,2,0)</f>
        <v>IREPARABLE</v>
      </c>
      <c r="T2729" s="18" t="str">
        <f aca="false">VLOOKUP(P2729,Sheet2!Q:R,2,0)</f>
        <v>IR Normal - Track burn out</v>
      </c>
      <c r="U2729" s="20" t="s">
        <v>41</v>
      </c>
      <c r="V2729" s="17"/>
      <c r="W2729" s="20" t="e">
        <f aca="false">VLOOKUP(V2729,Sheet2!Q:R,2,0)</f>
        <v>#N/A</v>
      </c>
      <c r="X2729" s="17" t="n">
        <f aca="false">J2729</f>
        <v>0</v>
      </c>
      <c r="Y2729" s="17" t="e">
        <f aca="false">VLOOKUP(X2729,Sheet2!A:B,2,0)</f>
        <v>#N/A</v>
      </c>
      <c r="Z2729" s="17"/>
      <c r="AA2729" s="17"/>
      <c r="AB2729" s="17" t="s">
        <v>41</v>
      </c>
      <c r="AC2729" s="0" t="str">
        <f aca="false">LEFT(G2729,2)</f>
        <v/>
      </c>
    </row>
    <row r="2730" customFormat="false" ht="15" hidden="false" customHeight="false" outlineLevel="0" collapsed="false">
      <c r="A2730" s="13" t="n">
        <f aca="false">1+A2729</f>
        <v>2728</v>
      </c>
      <c r="B2730" s="14" t="n">
        <v>100</v>
      </c>
      <c r="C2730" s="15"/>
      <c r="D2730" s="16" t="s">
        <v>64</v>
      </c>
      <c r="E2730" s="17" t="s">
        <v>47</v>
      </c>
      <c r="F2730" s="18" t="s">
        <v>34</v>
      </c>
      <c r="G2730" s="19"/>
      <c r="H2730" s="17" t="s">
        <v>35</v>
      </c>
      <c r="I2730" s="17" t="s">
        <v>44</v>
      </c>
      <c r="J2730" s="17"/>
      <c r="K2730" s="17" t="e">
        <f aca="false">VLOOKUP(J2730,Sheet2!A:B,2,0)</f>
        <v>#N/A</v>
      </c>
      <c r="L2730" s="17" t="n">
        <v>5</v>
      </c>
      <c r="M2730" s="17" t="str">
        <f aca="false">VLOOKUP(L2730,Sheet2!D:E,2,0)</f>
        <v>Main Processor CPU BGA</v>
      </c>
      <c r="N2730" s="17" t="n">
        <v>1</v>
      </c>
      <c r="O2730" s="17" t="str">
        <f aca="false">VLOOKUP(N2730,Sheet2!G:H,2,0)</f>
        <v>Dead</v>
      </c>
      <c r="P2730" s="17" t="n">
        <v>11</v>
      </c>
      <c r="Q2730" s="17" t="str">
        <f aca="false">VLOOKUP(P2730,Sheet2!J:K,2,0)</f>
        <v>IR Declared due to CID -TA</v>
      </c>
      <c r="R2730" s="17" t="s">
        <v>35</v>
      </c>
      <c r="S2730" s="17" t="str">
        <f aca="false">VLOOKUP(R2730,Sheet2!N:O,2,0)</f>
        <v>IREPARABLE</v>
      </c>
      <c r="T2730" s="18" t="str">
        <f aca="false">VLOOKUP(P2730,Sheet2!Q:R,2,0)</f>
        <v>IR Normal - Track burn out</v>
      </c>
      <c r="U2730" s="20" t="s">
        <v>41</v>
      </c>
      <c r="V2730" s="17"/>
      <c r="W2730" s="20" t="e">
        <f aca="false">VLOOKUP(V2730,Sheet2!Q:R,2,0)</f>
        <v>#N/A</v>
      </c>
      <c r="X2730" s="17" t="n">
        <f aca="false">J2730</f>
        <v>0</v>
      </c>
      <c r="Y2730" s="17" t="e">
        <f aca="false">VLOOKUP(X2730,Sheet2!A:B,2,0)</f>
        <v>#N/A</v>
      </c>
      <c r="Z2730" s="17"/>
      <c r="AA2730" s="17"/>
      <c r="AB2730" s="17" t="s">
        <v>41</v>
      </c>
      <c r="AC2730" s="0" t="str">
        <f aca="false">LEFT(G2730,2)</f>
        <v/>
      </c>
    </row>
    <row r="2731" customFormat="false" ht="15" hidden="false" customHeight="false" outlineLevel="0" collapsed="false">
      <c r="A2731" s="13" t="n">
        <f aca="false">1+A2730</f>
        <v>2729</v>
      </c>
      <c r="B2731" s="14" t="n">
        <v>100</v>
      </c>
      <c r="C2731" s="15"/>
      <c r="D2731" s="16" t="s">
        <v>64</v>
      </c>
      <c r="E2731" s="17" t="s">
        <v>47</v>
      </c>
      <c r="F2731" s="18" t="s">
        <v>34</v>
      </c>
      <c r="G2731" s="19"/>
      <c r="H2731" s="17" t="s">
        <v>35</v>
      </c>
      <c r="I2731" s="17" t="s">
        <v>44</v>
      </c>
      <c r="J2731" s="17"/>
      <c r="K2731" s="17" t="e">
        <f aca="false">VLOOKUP(J2731,Sheet2!A:B,2,0)</f>
        <v>#N/A</v>
      </c>
      <c r="L2731" s="17" t="n">
        <v>5</v>
      </c>
      <c r="M2731" s="17" t="str">
        <f aca="false">VLOOKUP(L2731,Sheet2!D:E,2,0)</f>
        <v>Main Processor CPU BGA</v>
      </c>
      <c r="N2731" s="17" t="n">
        <v>1</v>
      </c>
      <c r="O2731" s="17" t="str">
        <f aca="false">VLOOKUP(N2731,Sheet2!G:H,2,0)</f>
        <v>Dead</v>
      </c>
      <c r="P2731" s="17" t="n">
        <v>11</v>
      </c>
      <c r="Q2731" s="17" t="str">
        <f aca="false">VLOOKUP(P2731,Sheet2!J:K,2,0)</f>
        <v>IR Declared due to CID -TA</v>
      </c>
      <c r="R2731" s="17" t="s">
        <v>35</v>
      </c>
      <c r="S2731" s="17" t="str">
        <f aca="false">VLOOKUP(R2731,Sheet2!N:O,2,0)</f>
        <v>IREPARABLE</v>
      </c>
      <c r="T2731" s="18" t="str">
        <f aca="false">VLOOKUP(P2731,Sheet2!Q:R,2,0)</f>
        <v>IR Normal - Track burn out</v>
      </c>
      <c r="U2731" s="20" t="s">
        <v>41</v>
      </c>
      <c r="V2731" s="17"/>
      <c r="W2731" s="20" t="e">
        <f aca="false">VLOOKUP(V2731,Sheet2!Q:R,2,0)</f>
        <v>#N/A</v>
      </c>
      <c r="X2731" s="17" t="n">
        <f aca="false">J2731</f>
        <v>0</v>
      </c>
      <c r="Y2731" s="17" t="e">
        <f aca="false">VLOOKUP(X2731,Sheet2!A:B,2,0)</f>
        <v>#N/A</v>
      </c>
      <c r="Z2731" s="17"/>
      <c r="AA2731" s="17"/>
      <c r="AB2731" s="17" t="s">
        <v>41</v>
      </c>
      <c r="AC2731" s="0" t="str">
        <f aca="false">LEFT(G2731,2)</f>
        <v/>
      </c>
    </row>
    <row r="2732" customFormat="false" ht="15" hidden="false" customHeight="false" outlineLevel="0" collapsed="false">
      <c r="A2732" s="13" t="n">
        <f aca="false">1+A2731</f>
        <v>2730</v>
      </c>
      <c r="B2732" s="14" t="n">
        <v>100</v>
      </c>
      <c r="C2732" s="15"/>
      <c r="D2732" s="16" t="s">
        <v>64</v>
      </c>
      <c r="E2732" s="17" t="s">
        <v>47</v>
      </c>
      <c r="F2732" s="18" t="s">
        <v>34</v>
      </c>
      <c r="G2732" s="19"/>
      <c r="H2732" s="17" t="s">
        <v>35</v>
      </c>
      <c r="I2732" s="17" t="s">
        <v>44</v>
      </c>
      <c r="J2732" s="17"/>
      <c r="K2732" s="17" t="e">
        <f aca="false">VLOOKUP(J2732,Sheet2!A:B,2,0)</f>
        <v>#N/A</v>
      </c>
      <c r="L2732" s="17" t="n">
        <v>5</v>
      </c>
      <c r="M2732" s="17" t="str">
        <f aca="false">VLOOKUP(L2732,Sheet2!D:E,2,0)</f>
        <v>Main Processor CPU BGA</v>
      </c>
      <c r="N2732" s="17" t="n">
        <v>1</v>
      </c>
      <c r="O2732" s="17" t="str">
        <f aca="false">VLOOKUP(N2732,Sheet2!G:H,2,0)</f>
        <v>Dead</v>
      </c>
      <c r="P2732" s="17" t="n">
        <v>11</v>
      </c>
      <c r="Q2732" s="17" t="str">
        <f aca="false">VLOOKUP(P2732,Sheet2!J:K,2,0)</f>
        <v>IR Declared due to CID -TA</v>
      </c>
      <c r="R2732" s="17" t="s">
        <v>35</v>
      </c>
      <c r="S2732" s="17" t="str">
        <f aca="false">VLOOKUP(R2732,Sheet2!N:O,2,0)</f>
        <v>IREPARABLE</v>
      </c>
      <c r="T2732" s="18" t="str">
        <f aca="false">VLOOKUP(P2732,Sheet2!Q:R,2,0)</f>
        <v>IR Normal - Track burn out</v>
      </c>
      <c r="U2732" s="20" t="s">
        <v>41</v>
      </c>
      <c r="V2732" s="17"/>
      <c r="W2732" s="20" t="e">
        <f aca="false">VLOOKUP(V2732,Sheet2!Q:R,2,0)</f>
        <v>#N/A</v>
      </c>
      <c r="X2732" s="17" t="n">
        <f aca="false">J2732</f>
        <v>0</v>
      </c>
      <c r="Y2732" s="17" t="e">
        <f aca="false">VLOOKUP(X2732,Sheet2!A:B,2,0)</f>
        <v>#N/A</v>
      </c>
      <c r="Z2732" s="17"/>
      <c r="AA2732" s="17"/>
      <c r="AB2732" s="17" t="s">
        <v>41</v>
      </c>
      <c r="AC2732" s="0" t="str">
        <f aca="false">LEFT(G2732,2)</f>
        <v/>
      </c>
    </row>
    <row r="2733" customFormat="false" ht="15" hidden="false" customHeight="false" outlineLevel="0" collapsed="false">
      <c r="A2733" s="13" t="n">
        <f aca="false">1+A2732</f>
        <v>2731</v>
      </c>
      <c r="B2733" s="14" t="n">
        <v>100</v>
      </c>
      <c r="C2733" s="15"/>
      <c r="D2733" s="16" t="s">
        <v>64</v>
      </c>
      <c r="E2733" s="17" t="s">
        <v>47</v>
      </c>
      <c r="F2733" s="18" t="s">
        <v>34</v>
      </c>
      <c r="G2733" s="19"/>
      <c r="H2733" s="17" t="s">
        <v>35</v>
      </c>
      <c r="I2733" s="17" t="s">
        <v>44</v>
      </c>
      <c r="J2733" s="17"/>
      <c r="K2733" s="17" t="e">
        <f aca="false">VLOOKUP(J2733,Sheet2!A:B,2,0)</f>
        <v>#N/A</v>
      </c>
      <c r="L2733" s="17" t="n">
        <v>5</v>
      </c>
      <c r="M2733" s="17" t="str">
        <f aca="false">VLOOKUP(L2733,Sheet2!D:E,2,0)</f>
        <v>Main Processor CPU BGA</v>
      </c>
      <c r="N2733" s="17" t="n">
        <v>1</v>
      </c>
      <c r="O2733" s="17" t="str">
        <f aca="false">VLOOKUP(N2733,Sheet2!G:H,2,0)</f>
        <v>Dead</v>
      </c>
      <c r="P2733" s="17" t="n">
        <v>11</v>
      </c>
      <c r="Q2733" s="17" t="str">
        <f aca="false">VLOOKUP(P2733,Sheet2!J:K,2,0)</f>
        <v>IR Declared due to CID -TA</v>
      </c>
      <c r="R2733" s="17" t="s">
        <v>35</v>
      </c>
      <c r="S2733" s="17" t="str">
        <f aca="false">VLOOKUP(R2733,Sheet2!N:O,2,0)</f>
        <v>IREPARABLE</v>
      </c>
      <c r="T2733" s="18" t="str">
        <f aca="false">VLOOKUP(P2733,Sheet2!Q:R,2,0)</f>
        <v>IR Normal - Track burn out</v>
      </c>
      <c r="U2733" s="20" t="s">
        <v>41</v>
      </c>
      <c r="V2733" s="17"/>
      <c r="W2733" s="20" t="e">
        <f aca="false">VLOOKUP(V2733,Sheet2!Q:R,2,0)</f>
        <v>#N/A</v>
      </c>
      <c r="X2733" s="17" t="n">
        <f aca="false">J2733</f>
        <v>0</v>
      </c>
      <c r="Y2733" s="17" t="e">
        <f aca="false">VLOOKUP(X2733,Sheet2!A:B,2,0)</f>
        <v>#N/A</v>
      </c>
      <c r="Z2733" s="17"/>
      <c r="AA2733" s="17"/>
      <c r="AB2733" s="17" t="s">
        <v>41</v>
      </c>
      <c r="AC2733" s="0" t="str">
        <f aca="false">LEFT(G2733,2)</f>
        <v/>
      </c>
    </row>
    <row r="2734" customFormat="false" ht="15" hidden="false" customHeight="false" outlineLevel="0" collapsed="false">
      <c r="A2734" s="13" t="n">
        <f aca="false">1+A2733</f>
        <v>2732</v>
      </c>
      <c r="B2734" s="14" t="n">
        <v>100</v>
      </c>
      <c r="C2734" s="15"/>
      <c r="D2734" s="16" t="s">
        <v>64</v>
      </c>
      <c r="E2734" s="17" t="s">
        <v>47</v>
      </c>
      <c r="F2734" s="18" t="s">
        <v>34</v>
      </c>
      <c r="G2734" s="19"/>
      <c r="H2734" s="17" t="s">
        <v>35</v>
      </c>
      <c r="I2734" s="17" t="s">
        <v>44</v>
      </c>
      <c r="J2734" s="17"/>
      <c r="K2734" s="17" t="e">
        <f aca="false">VLOOKUP(J2734,Sheet2!A:B,2,0)</f>
        <v>#N/A</v>
      </c>
      <c r="L2734" s="17" t="n">
        <v>5</v>
      </c>
      <c r="M2734" s="17" t="str">
        <f aca="false">VLOOKUP(L2734,Sheet2!D:E,2,0)</f>
        <v>Main Processor CPU BGA</v>
      </c>
      <c r="N2734" s="17" t="n">
        <v>1</v>
      </c>
      <c r="O2734" s="17" t="str">
        <f aca="false">VLOOKUP(N2734,Sheet2!G:H,2,0)</f>
        <v>Dead</v>
      </c>
      <c r="P2734" s="17" t="n">
        <v>11</v>
      </c>
      <c r="Q2734" s="17" t="str">
        <f aca="false">VLOOKUP(P2734,Sheet2!J:K,2,0)</f>
        <v>IR Declared due to CID -TA</v>
      </c>
      <c r="R2734" s="17" t="s">
        <v>35</v>
      </c>
      <c r="S2734" s="17" t="str">
        <f aca="false">VLOOKUP(R2734,Sheet2!N:O,2,0)</f>
        <v>IREPARABLE</v>
      </c>
      <c r="T2734" s="18" t="str">
        <f aca="false">VLOOKUP(P2734,Sheet2!Q:R,2,0)</f>
        <v>IR Normal - Track burn out</v>
      </c>
      <c r="U2734" s="20" t="s">
        <v>41</v>
      </c>
      <c r="V2734" s="17"/>
      <c r="W2734" s="20" t="e">
        <f aca="false">VLOOKUP(V2734,Sheet2!Q:R,2,0)</f>
        <v>#N/A</v>
      </c>
      <c r="X2734" s="17" t="n">
        <f aca="false">J2734</f>
        <v>0</v>
      </c>
      <c r="Y2734" s="17" t="e">
        <f aca="false">VLOOKUP(X2734,Sheet2!A:B,2,0)</f>
        <v>#N/A</v>
      </c>
      <c r="Z2734" s="17"/>
      <c r="AA2734" s="17"/>
      <c r="AB2734" s="17" t="s">
        <v>41</v>
      </c>
      <c r="AC2734" s="0" t="str">
        <f aca="false">LEFT(G2734,2)</f>
        <v/>
      </c>
    </row>
    <row r="2735" customFormat="false" ht="15" hidden="false" customHeight="false" outlineLevel="0" collapsed="false">
      <c r="A2735" s="13" t="n">
        <f aca="false">1+A2734</f>
        <v>2733</v>
      </c>
      <c r="B2735" s="14" t="n">
        <v>100</v>
      </c>
      <c r="C2735" s="15"/>
      <c r="D2735" s="16" t="s">
        <v>64</v>
      </c>
      <c r="E2735" s="17" t="s">
        <v>47</v>
      </c>
      <c r="F2735" s="18" t="s">
        <v>34</v>
      </c>
      <c r="G2735" s="19"/>
      <c r="H2735" s="17" t="s">
        <v>35</v>
      </c>
      <c r="I2735" s="17" t="s">
        <v>44</v>
      </c>
      <c r="J2735" s="17"/>
      <c r="K2735" s="17" t="e">
        <f aca="false">VLOOKUP(J2735,Sheet2!A:B,2,0)</f>
        <v>#N/A</v>
      </c>
      <c r="L2735" s="17" t="n">
        <v>5</v>
      </c>
      <c r="M2735" s="17" t="str">
        <f aca="false">VLOOKUP(L2735,Sheet2!D:E,2,0)</f>
        <v>Main Processor CPU BGA</v>
      </c>
      <c r="N2735" s="17" t="n">
        <v>1</v>
      </c>
      <c r="O2735" s="17" t="str">
        <f aca="false">VLOOKUP(N2735,Sheet2!G:H,2,0)</f>
        <v>Dead</v>
      </c>
      <c r="P2735" s="17" t="n">
        <v>11</v>
      </c>
      <c r="Q2735" s="17" t="str">
        <f aca="false">VLOOKUP(P2735,Sheet2!J:K,2,0)</f>
        <v>IR Declared due to CID -TA</v>
      </c>
      <c r="R2735" s="17" t="s">
        <v>35</v>
      </c>
      <c r="S2735" s="17" t="str">
        <f aca="false">VLOOKUP(R2735,Sheet2!N:O,2,0)</f>
        <v>IREPARABLE</v>
      </c>
      <c r="T2735" s="18" t="str">
        <f aca="false">VLOOKUP(P2735,Sheet2!Q:R,2,0)</f>
        <v>IR Normal - Track burn out</v>
      </c>
      <c r="U2735" s="20" t="s">
        <v>41</v>
      </c>
      <c r="V2735" s="17"/>
      <c r="W2735" s="20" t="e">
        <f aca="false">VLOOKUP(V2735,Sheet2!Q:R,2,0)</f>
        <v>#N/A</v>
      </c>
      <c r="X2735" s="17" t="n">
        <f aca="false">J2735</f>
        <v>0</v>
      </c>
      <c r="Y2735" s="17" t="e">
        <f aca="false">VLOOKUP(X2735,Sheet2!A:B,2,0)</f>
        <v>#N/A</v>
      </c>
      <c r="Z2735" s="17"/>
      <c r="AA2735" s="17"/>
      <c r="AB2735" s="17" t="s">
        <v>41</v>
      </c>
      <c r="AC2735" s="0" t="str">
        <f aca="false">LEFT(G2735,2)</f>
        <v/>
      </c>
    </row>
    <row r="2736" customFormat="false" ht="15" hidden="false" customHeight="false" outlineLevel="0" collapsed="false">
      <c r="A2736" s="13" t="n">
        <f aca="false">1+A2735</f>
        <v>2734</v>
      </c>
      <c r="B2736" s="14" t="n">
        <v>100</v>
      </c>
      <c r="C2736" s="15"/>
      <c r="D2736" s="16" t="s">
        <v>64</v>
      </c>
      <c r="E2736" s="17" t="s">
        <v>47</v>
      </c>
      <c r="F2736" s="18" t="s">
        <v>34</v>
      </c>
      <c r="G2736" s="19"/>
      <c r="H2736" s="17" t="s">
        <v>35</v>
      </c>
      <c r="I2736" s="17" t="s">
        <v>44</v>
      </c>
      <c r="J2736" s="17"/>
      <c r="K2736" s="17" t="e">
        <f aca="false">VLOOKUP(J2736,Sheet2!A:B,2,0)</f>
        <v>#N/A</v>
      </c>
      <c r="L2736" s="17" t="n">
        <v>5</v>
      </c>
      <c r="M2736" s="17" t="str">
        <f aca="false">VLOOKUP(L2736,Sheet2!D:E,2,0)</f>
        <v>Main Processor CPU BGA</v>
      </c>
      <c r="N2736" s="17" t="n">
        <v>1</v>
      </c>
      <c r="O2736" s="17" t="str">
        <f aca="false">VLOOKUP(N2736,Sheet2!G:H,2,0)</f>
        <v>Dead</v>
      </c>
      <c r="P2736" s="17" t="n">
        <v>11</v>
      </c>
      <c r="Q2736" s="17" t="str">
        <f aca="false">VLOOKUP(P2736,Sheet2!J:K,2,0)</f>
        <v>IR Declared due to CID -TA</v>
      </c>
      <c r="R2736" s="17" t="s">
        <v>35</v>
      </c>
      <c r="S2736" s="17" t="str">
        <f aca="false">VLOOKUP(R2736,Sheet2!N:O,2,0)</f>
        <v>IREPARABLE</v>
      </c>
      <c r="T2736" s="18" t="str">
        <f aca="false">VLOOKUP(P2736,Sheet2!Q:R,2,0)</f>
        <v>IR Normal - Track burn out</v>
      </c>
      <c r="U2736" s="20" t="s">
        <v>41</v>
      </c>
      <c r="V2736" s="17"/>
      <c r="W2736" s="20" t="e">
        <f aca="false">VLOOKUP(V2736,Sheet2!Q:R,2,0)</f>
        <v>#N/A</v>
      </c>
      <c r="X2736" s="17" t="n">
        <f aca="false">J2736</f>
        <v>0</v>
      </c>
      <c r="Y2736" s="17" t="e">
        <f aca="false">VLOOKUP(X2736,Sheet2!A:B,2,0)</f>
        <v>#N/A</v>
      </c>
      <c r="Z2736" s="17"/>
      <c r="AA2736" s="17"/>
      <c r="AB2736" s="17" t="s">
        <v>41</v>
      </c>
      <c r="AC2736" s="0" t="str">
        <f aca="false">LEFT(G2736,2)</f>
        <v/>
      </c>
    </row>
    <row r="2737" customFormat="false" ht="15" hidden="false" customHeight="false" outlineLevel="0" collapsed="false">
      <c r="A2737" s="13" t="n">
        <f aca="false">1+A2736</f>
        <v>2735</v>
      </c>
      <c r="B2737" s="14" t="n">
        <v>100</v>
      </c>
      <c r="C2737" s="15"/>
      <c r="D2737" s="16" t="s">
        <v>64</v>
      </c>
      <c r="E2737" s="17" t="s">
        <v>47</v>
      </c>
      <c r="F2737" s="18" t="s">
        <v>34</v>
      </c>
      <c r="G2737" s="19"/>
      <c r="H2737" s="17" t="s">
        <v>35</v>
      </c>
      <c r="I2737" s="17" t="s">
        <v>44</v>
      </c>
      <c r="J2737" s="17"/>
      <c r="K2737" s="17" t="e">
        <f aca="false">VLOOKUP(J2737,Sheet2!A:B,2,0)</f>
        <v>#N/A</v>
      </c>
      <c r="L2737" s="17" t="n">
        <v>5</v>
      </c>
      <c r="M2737" s="17" t="str">
        <f aca="false">VLOOKUP(L2737,Sheet2!D:E,2,0)</f>
        <v>Main Processor CPU BGA</v>
      </c>
      <c r="N2737" s="17" t="n">
        <v>1</v>
      </c>
      <c r="O2737" s="17" t="str">
        <f aca="false">VLOOKUP(N2737,Sheet2!G:H,2,0)</f>
        <v>Dead</v>
      </c>
      <c r="P2737" s="17" t="n">
        <v>11</v>
      </c>
      <c r="Q2737" s="17" t="str">
        <f aca="false">VLOOKUP(P2737,Sheet2!J:K,2,0)</f>
        <v>IR Declared due to CID -TA</v>
      </c>
      <c r="R2737" s="17" t="s">
        <v>35</v>
      </c>
      <c r="S2737" s="17" t="str">
        <f aca="false">VLOOKUP(R2737,Sheet2!N:O,2,0)</f>
        <v>IREPARABLE</v>
      </c>
      <c r="T2737" s="18" t="str">
        <f aca="false">VLOOKUP(P2737,Sheet2!Q:R,2,0)</f>
        <v>IR Normal - Track burn out</v>
      </c>
      <c r="U2737" s="20" t="s">
        <v>41</v>
      </c>
      <c r="V2737" s="17"/>
      <c r="W2737" s="20" t="e">
        <f aca="false">VLOOKUP(V2737,Sheet2!Q:R,2,0)</f>
        <v>#N/A</v>
      </c>
      <c r="X2737" s="17" t="n">
        <f aca="false">J2737</f>
        <v>0</v>
      </c>
      <c r="Y2737" s="17" t="e">
        <f aca="false">VLOOKUP(X2737,Sheet2!A:B,2,0)</f>
        <v>#N/A</v>
      </c>
      <c r="Z2737" s="17"/>
      <c r="AA2737" s="17"/>
      <c r="AB2737" s="17" t="s">
        <v>41</v>
      </c>
      <c r="AC2737" s="0" t="str">
        <f aca="false">LEFT(G2737,2)</f>
        <v/>
      </c>
    </row>
    <row r="2738" customFormat="false" ht="15" hidden="false" customHeight="false" outlineLevel="0" collapsed="false">
      <c r="A2738" s="13" t="n">
        <f aca="false">1+A2737</f>
        <v>2736</v>
      </c>
      <c r="B2738" s="14" t="n">
        <v>100</v>
      </c>
      <c r="C2738" s="15"/>
      <c r="D2738" s="16" t="s">
        <v>64</v>
      </c>
      <c r="E2738" s="17" t="s">
        <v>47</v>
      </c>
      <c r="F2738" s="18" t="s">
        <v>34</v>
      </c>
      <c r="G2738" s="19"/>
      <c r="H2738" s="17" t="s">
        <v>35</v>
      </c>
      <c r="I2738" s="17" t="s">
        <v>44</v>
      </c>
      <c r="J2738" s="17"/>
      <c r="K2738" s="17" t="e">
        <f aca="false">VLOOKUP(J2738,Sheet2!A:B,2,0)</f>
        <v>#N/A</v>
      </c>
      <c r="L2738" s="17" t="n">
        <v>5</v>
      </c>
      <c r="M2738" s="17" t="str">
        <f aca="false">VLOOKUP(L2738,Sheet2!D:E,2,0)</f>
        <v>Main Processor CPU BGA</v>
      </c>
      <c r="N2738" s="17" t="n">
        <v>1</v>
      </c>
      <c r="O2738" s="17" t="str">
        <f aca="false">VLOOKUP(N2738,Sheet2!G:H,2,0)</f>
        <v>Dead</v>
      </c>
      <c r="P2738" s="17" t="n">
        <v>11</v>
      </c>
      <c r="Q2738" s="17" t="str">
        <f aca="false">VLOOKUP(P2738,Sheet2!J:K,2,0)</f>
        <v>IR Declared due to CID -TA</v>
      </c>
      <c r="R2738" s="17" t="s">
        <v>35</v>
      </c>
      <c r="S2738" s="17" t="str">
        <f aca="false">VLOOKUP(R2738,Sheet2!N:O,2,0)</f>
        <v>IREPARABLE</v>
      </c>
      <c r="T2738" s="18" t="str">
        <f aca="false">VLOOKUP(P2738,Sheet2!Q:R,2,0)</f>
        <v>IR Normal - Track burn out</v>
      </c>
      <c r="U2738" s="20" t="s">
        <v>41</v>
      </c>
      <c r="V2738" s="17"/>
      <c r="W2738" s="20" t="e">
        <f aca="false">VLOOKUP(V2738,Sheet2!Q:R,2,0)</f>
        <v>#N/A</v>
      </c>
      <c r="X2738" s="17" t="n">
        <f aca="false">J2738</f>
        <v>0</v>
      </c>
      <c r="Y2738" s="17" t="e">
        <f aca="false">VLOOKUP(X2738,Sheet2!A:B,2,0)</f>
        <v>#N/A</v>
      </c>
      <c r="Z2738" s="17"/>
      <c r="AA2738" s="17"/>
      <c r="AB2738" s="17" t="s">
        <v>41</v>
      </c>
      <c r="AC2738" s="0" t="str">
        <f aca="false">LEFT(G2738,2)</f>
        <v/>
      </c>
    </row>
    <row r="2739" customFormat="false" ht="15" hidden="false" customHeight="false" outlineLevel="0" collapsed="false">
      <c r="A2739" s="13" t="n">
        <f aca="false">1+A2738</f>
        <v>2737</v>
      </c>
      <c r="B2739" s="14" t="n">
        <v>100</v>
      </c>
      <c r="C2739" s="15"/>
      <c r="D2739" s="16" t="s">
        <v>64</v>
      </c>
      <c r="E2739" s="17" t="s">
        <v>47</v>
      </c>
      <c r="F2739" s="18" t="s">
        <v>34</v>
      </c>
      <c r="G2739" s="19"/>
      <c r="H2739" s="17" t="s">
        <v>35</v>
      </c>
      <c r="I2739" s="17" t="s">
        <v>44</v>
      </c>
      <c r="J2739" s="17"/>
      <c r="K2739" s="17" t="e">
        <f aca="false">VLOOKUP(J2739,Sheet2!A:B,2,0)</f>
        <v>#N/A</v>
      </c>
      <c r="L2739" s="17" t="n">
        <v>5</v>
      </c>
      <c r="M2739" s="17" t="str">
        <f aca="false">VLOOKUP(L2739,Sheet2!D:E,2,0)</f>
        <v>Main Processor CPU BGA</v>
      </c>
      <c r="N2739" s="17" t="n">
        <v>1</v>
      </c>
      <c r="O2739" s="17" t="str">
        <f aca="false">VLOOKUP(N2739,Sheet2!G:H,2,0)</f>
        <v>Dead</v>
      </c>
      <c r="P2739" s="17" t="n">
        <v>11</v>
      </c>
      <c r="Q2739" s="17" t="str">
        <f aca="false">VLOOKUP(P2739,Sheet2!J:K,2,0)</f>
        <v>IR Declared due to CID -TA</v>
      </c>
      <c r="R2739" s="17" t="s">
        <v>35</v>
      </c>
      <c r="S2739" s="17" t="str">
        <f aca="false">VLOOKUP(R2739,Sheet2!N:O,2,0)</f>
        <v>IREPARABLE</v>
      </c>
      <c r="T2739" s="18" t="str">
        <f aca="false">VLOOKUP(P2739,Sheet2!Q:R,2,0)</f>
        <v>IR Normal - Track burn out</v>
      </c>
      <c r="U2739" s="20" t="s">
        <v>41</v>
      </c>
      <c r="V2739" s="17"/>
      <c r="W2739" s="20" t="e">
        <f aca="false">VLOOKUP(V2739,Sheet2!Q:R,2,0)</f>
        <v>#N/A</v>
      </c>
      <c r="X2739" s="17" t="n">
        <f aca="false">J2739</f>
        <v>0</v>
      </c>
      <c r="Y2739" s="17" t="e">
        <f aca="false">VLOOKUP(X2739,Sheet2!A:B,2,0)</f>
        <v>#N/A</v>
      </c>
      <c r="Z2739" s="17"/>
      <c r="AA2739" s="17"/>
      <c r="AB2739" s="17" t="s">
        <v>41</v>
      </c>
      <c r="AC2739" s="0" t="str">
        <f aca="false">LEFT(G2739,2)</f>
        <v/>
      </c>
    </row>
    <row r="2740" customFormat="false" ht="15" hidden="false" customHeight="false" outlineLevel="0" collapsed="false">
      <c r="A2740" s="13" t="n">
        <f aca="false">1+A2739</f>
        <v>2738</v>
      </c>
      <c r="B2740" s="14" t="n">
        <v>100</v>
      </c>
      <c r="C2740" s="15"/>
      <c r="D2740" s="16" t="s">
        <v>64</v>
      </c>
      <c r="E2740" s="17" t="s">
        <v>47</v>
      </c>
      <c r="F2740" s="18" t="s">
        <v>34</v>
      </c>
      <c r="G2740" s="19"/>
      <c r="H2740" s="17" t="s">
        <v>35</v>
      </c>
      <c r="I2740" s="17" t="s">
        <v>44</v>
      </c>
      <c r="J2740" s="17"/>
      <c r="K2740" s="17" t="e">
        <f aca="false">VLOOKUP(J2740,Sheet2!A:B,2,0)</f>
        <v>#N/A</v>
      </c>
      <c r="L2740" s="17" t="n">
        <v>5</v>
      </c>
      <c r="M2740" s="17" t="str">
        <f aca="false">VLOOKUP(L2740,Sheet2!D:E,2,0)</f>
        <v>Main Processor CPU BGA</v>
      </c>
      <c r="N2740" s="17" t="n">
        <v>1</v>
      </c>
      <c r="O2740" s="17" t="str">
        <f aca="false">VLOOKUP(N2740,Sheet2!G:H,2,0)</f>
        <v>Dead</v>
      </c>
      <c r="P2740" s="17" t="n">
        <v>11</v>
      </c>
      <c r="Q2740" s="17" t="str">
        <f aca="false">VLOOKUP(P2740,Sheet2!J:K,2,0)</f>
        <v>IR Declared due to CID -TA</v>
      </c>
      <c r="R2740" s="17" t="s">
        <v>35</v>
      </c>
      <c r="S2740" s="17" t="str">
        <f aca="false">VLOOKUP(R2740,Sheet2!N:O,2,0)</f>
        <v>IREPARABLE</v>
      </c>
      <c r="T2740" s="18" t="str">
        <f aca="false">VLOOKUP(P2740,Sheet2!Q:R,2,0)</f>
        <v>IR Normal - Track burn out</v>
      </c>
      <c r="U2740" s="20" t="s">
        <v>41</v>
      </c>
      <c r="V2740" s="17"/>
      <c r="W2740" s="20" t="e">
        <f aca="false">VLOOKUP(V2740,Sheet2!Q:R,2,0)</f>
        <v>#N/A</v>
      </c>
      <c r="X2740" s="17" t="n">
        <f aca="false">J2740</f>
        <v>0</v>
      </c>
      <c r="Y2740" s="17" t="e">
        <f aca="false">VLOOKUP(X2740,Sheet2!A:B,2,0)</f>
        <v>#N/A</v>
      </c>
      <c r="Z2740" s="17"/>
      <c r="AA2740" s="17"/>
      <c r="AB2740" s="17" t="s">
        <v>41</v>
      </c>
      <c r="AC2740" s="0" t="str">
        <f aca="false">LEFT(G2740,2)</f>
        <v/>
      </c>
    </row>
    <row r="2741" customFormat="false" ht="15" hidden="false" customHeight="false" outlineLevel="0" collapsed="false">
      <c r="A2741" s="13" t="n">
        <f aca="false">1+A2740</f>
        <v>2739</v>
      </c>
      <c r="B2741" s="14" t="n">
        <v>100</v>
      </c>
      <c r="C2741" s="15"/>
      <c r="D2741" s="16" t="s">
        <v>64</v>
      </c>
      <c r="E2741" s="17" t="s">
        <v>47</v>
      </c>
      <c r="F2741" s="18" t="s">
        <v>34</v>
      </c>
      <c r="G2741" s="19"/>
      <c r="H2741" s="17" t="s">
        <v>35</v>
      </c>
      <c r="I2741" s="17" t="s">
        <v>44</v>
      </c>
      <c r="J2741" s="17"/>
      <c r="K2741" s="17" t="e">
        <f aca="false">VLOOKUP(J2741,Sheet2!A:B,2,0)</f>
        <v>#N/A</v>
      </c>
      <c r="L2741" s="17" t="n">
        <v>5</v>
      </c>
      <c r="M2741" s="17" t="str">
        <f aca="false">VLOOKUP(L2741,Sheet2!D:E,2,0)</f>
        <v>Main Processor CPU BGA</v>
      </c>
      <c r="N2741" s="17" t="n">
        <v>1</v>
      </c>
      <c r="O2741" s="17" t="str">
        <f aca="false">VLOOKUP(N2741,Sheet2!G:H,2,0)</f>
        <v>Dead</v>
      </c>
      <c r="P2741" s="17" t="n">
        <v>11</v>
      </c>
      <c r="Q2741" s="17" t="str">
        <f aca="false">VLOOKUP(P2741,Sheet2!J:K,2,0)</f>
        <v>IR Declared due to CID -TA</v>
      </c>
      <c r="R2741" s="17" t="s">
        <v>35</v>
      </c>
      <c r="S2741" s="17" t="str">
        <f aca="false">VLOOKUP(R2741,Sheet2!N:O,2,0)</f>
        <v>IREPARABLE</v>
      </c>
      <c r="T2741" s="18" t="str">
        <f aca="false">VLOOKUP(P2741,Sheet2!Q:R,2,0)</f>
        <v>IR Normal - Track burn out</v>
      </c>
      <c r="U2741" s="20" t="s">
        <v>41</v>
      </c>
      <c r="V2741" s="17"/>
      <c r="W2741" s="20" t="e">
        <f aca="false">VLOOKUP(V2741,Sheet2!Q:R,2,0)</f>
        <v>#N/A</v>
      </c>
      <c r="X2741" s="17" t="n">
        <f aca="false">J2741</f>
        <v>0</v>
      </c>
      <c r="Y2741" s="17" t="e">
        <f aca="false">VLOOKUP(X2741,Sheet2!A:B,2,0)</f>
        <v>#N/A</v>
      </c>
      <c r="Z2741" s="17"/>
      <c r="AA2741" s="17"/>
      <c r="AB2741" s="17" t="s">
        <v>41</v>
      </c>
      <c r="AC2741" s="0" t="str">
        <f aca="false">LEFT(G2741,2)</f>
        <v/>
      </c>
    </row>
    <row r="2742" customFormat="false" ht="15" hidden="false" customHeight="false" outlineLevel="0" collapsed="false">
      <c r="A2742" s="13" t="n">
        <f aca="false">1+A2741</f>
        <v>2740</v>
      </c>
      <c r="B2742" s="14" t="n">
        <v>100</v>
      </c>
      <c r="C2742" s="15"/>
      <c r="D2742" s="16" t="s">
        <v>64</v>
      </c>
      <c r="E2742" s="17" t="s">
        <v>47</v>
      </c>
      <c r="F2742" s="18" t="s">
        <v>34</v>
      </c>
      <c r="G2742" s="19"/>
      <c r="H2742" s="17" t="s">
        <v>35</v>
      </c>
      <c r="I2742" s="17" t="s">
        <v>44</v>
      </c>
      <c r="J2742" s="17"/>
      <c r="K2742" s="17" t="e">
        <f aca="false">VLOOKUP(J2742,Sheet2!A:B,2,0)</f>
        <v>#N/A</v>
      </c>
      <c r="L2742" s="17" t="n">
        <v>5</v>
      </c>
      <c r="M2742" s="17" t="str">
        <f aca="false">VLOOKUP(L2742,Sheet2!D:E,2,0)</f>
        <v>Main Processor CPU BGA</v>
      </c>
      <c r="N2742" s="17" t="n">
        <v>1</v>
      </c>
      <c r="O2742" s="17" t="str">
        <f aca="false">VLOOKUP(N2742,Sheet2!G:H,2,0)</f>
        <v>Dead</v>
      </c>
      <c r="P2742" s="17" t="n">
        <v>11</v>
      </c>
      <c r="Q2742" s="17" t="str">
        <f aca="false">VLOOKUP(P2742,Sheet2!J:K,2,0)</f>
        <v>IR Declared due to CID -TA</v>
      </c>
      <c r="R2742" s="17" t="s">
        <v>35</v>
      </c>
      <c r="S2742" s="17" t="str">
        <f aca="false">VLOOKUP(R2742,Sheet2!N:O,2,0)</f>
        <v>IREPARABLE</v>
      </c>
      <c r="T2742" s="18" t="str">
        <f aca="false">VLOOKUP(P2742,Sheet2!Q:R,2,0)</f>
        <v>IR Normal - Track burn out</v>
      </c>
      <c r="U2742" s="20" t="s">
        <v>41</v>
      </c>
      <c r="V2742" s="17"/>
      <c r="W2742" s="20" t="e">
        <f aca="false">VLOOKUP(V2742,Sheet2!Q:R,2,0)</f>
        <v>#N/A</v>
      </c>
      <c r="X2742" s="17" t="n">
        <f aca="false">J2742</f>
        <v>0</v>
      </c>
      <c r="Y2742" s="17" t="e">
        <f aca="false">VLOOKUP(X2742,Sheet2!A:B,2,0)</f>
        <v>#N/A</v>
      </c>
      <c r="Z2742" s="17"/>
      <c r="AA2742" s="17"/>
      <c r="AB2742" s="17" t="s">
        <v>41</v>
      </c>
      <c r="AC2742" s="0" t="str">
        <f aca="false">LEFT(G2742,2)</f>
        <v/>
      </c>
    </row>
    <row r="2743" customFormat="false" ht="15" hidden="false" customHeight="false" outlineLevel="0" collapsed="false">
      <c r="A2743" s="13" t="n">
        <f aca="false">1+A2742</f>
        <v>2741</v>
      </c>
      <c r="B2743" s="14" t="n">
        <v>100</v>
      </c>
      <c r="C2743" s="15"/>
      <c r="D2743" s="16" t="s">
        <v>64</v>
      </c>
      <c r="E2743" s="17" t="s">
        <v>47</v>
      </c>
      <c r="F2743" s="18" t="s">
        <v>34</v>
      </c>
      <c r="G2743" s="19"/>
      <c r="H2743" s="17" t="s">
        <v>35</v>
      </c>
      <c r="I2743" s="17" t="s">
        <v>44</v>
      </c>
      <c r="J2743" s="17"/>
      <c r="K2743" s="17" t="e">
        <f aca="false">VLOOKUP(J2743,Sheet2!A:B,2,0)</f>
        <v>#N/A</v>
      </c>
      <c r="L2743" s="17" t="n">
        <v>5</v>
      </c>
      <c r="M2743" s="17" t="str">
        <f aca="false">VLOOKUP(L2743,Sheet2!D:E,2,0)</f>
        <v>Main Processor CPU BGA</v>
      </c>
      <c r="N2743" s="17" t="n">
        <v>1</v>
      </c>
      <c r="O2743" s="17" t="str">
        <f aca="false">VLOOKUP(N2743,Sheet2!G:H,2,0)</f>
        <v>Dead</v>
      </c>
      <c r="P2743" s="17" t="n">
        <v>11</v>
      </c>
      <c r="Q2743" s="17" t="str">
        <f aca="false">VLOOKUP(P2743,Sheet2!J:K,2,0)</f>
        <v>IR Declared due to CID -TA</v>
      </c>
      <c r="R2743" s="17" t="s">
        <v>35</v>
      </c>
      <c r="S2743" s="17" t="str">
        <f aca="false">VLOOKUP(R2743,Sheet2!N:O,2,0)</f>
        <v>IREPARABLE</v>
      </c>
      <c r="T2743" s="18" t="str">
        <f aca="false">VLOOKUP(P2743,Sheet2!Q:R,2,0)</f>
        <v>IR Normal - Track burn out</v>
      </c>
      <c r="U2743" s="20" t="s">
        <v>41</v>
      </c>
      <c r="V2743" s="17"/>
      <c r="W2743" s="20" t="e">
        <f aca="false">VLOOKUP(V2743,Sheet2!Q:R,2,0)</f>
        <v>#N/A</v>
      </c>
      <c r="X2743" s="17" t="n">
        <f aca="false">J2743</f>
        <v>0</v>
      </c>
      <c r="Y2743" s="17" t="e">
        <f aca="false">VLOOKUP(X2743,Sheet2!A:B,2,0)</f>
        <v>#N/A</v>
      </c>
      <c r="Z2743" s="17"/>
      <c r="AA2743" s="17"/>
      <c r="AB2743" s="17" t="s">
        <v>41</v>
      </c>
      <c r="AC2743" s="0" t="str">
        <f aca="false">LEFT(G2743,2)</f>
        <v/>
      </c>
    </row>
    <row r="2744" customFormat="false" ht="15" hidden="false" customHeight="false" outlineLevel="0" collapsed="false">
      <c r="A2744" s="13" t="n">
        <f aca="false">1+A2743</f>
        <v>2742</v>
      </c>
      <c r="B2744" s="14" t="n">
        <v>100</v>
      </c>
      <c r="C2744" s="15"/>
      <c r="D2744" s="16" t="s">
        <v>64</v>
      </c>
      <c r="E2744" s="17" t="s">
        <v>47</v>
      </c>
      <c r="F2744" s="18" t="s">
        <v>34</v>
      </c>
      <c r="G2744" s="19"/>
      <c r="H2744" s="17" t="s">
        <v>35</v>
      </c>
      <c r="I2744" s="17" t="s">
        <v>44</v>
      </c>
      <c r="J2744" s="17"/>
      <c r="K2744" s="17" t="e">
        <f aca="false">VLOOKUP(J2744,Sheet2!A:B,2,0)</f>
        <v>#N/A</v>
      </c>
      <c r="L2744" s="17" t="n">
        <v>5</v>
      </c>
      <c r="M2744" s="17" t="str">
        <f aca="false">VLOOKUP(L2744,Sheet2!D:E,2,0)</f>
        <v>Main Processor CPU BGA</v>
      </c>
      <c r="N2744" s="17" t="n">
        <v>1</v>
      </c>
      <c r="O2744" s="17" t="str">
        <f aca="false">VLOOKUP(N2744,Sheet2!G:H,2,0)</f>
        <v>Dead</v>
      </c>
      <c r="P2744" s="17" t="n">
        <v>11</v>
      </c>
      <c r="Q2744" s="17" t="str">
        <f aca="false">VLOOKUP(P2744,Sheet2!J:K,2,0)</f>
        <v>IR Declared due to CID -TA</v>
      </c>
      <c r="R2744" s="17" t="s">
        <v>35</v>
      </c>
      <c r="S2744" s="17" t="str">
        <f aca="false">VLOOKUP(R2744,Sheet2!N:O,2,0)</f>
        <v>IREPARABLE</v>
      </c>
      <c r="T2744" s="18" t="str">
        <f aca="false">VLOOKUP(P2744,Sheet2!Q:R,2,0)</f>
        <v>IR Normal - Track burn out</v>
      </c>
      <c r="U2744" s="20" t="s">
        <v>41</v>
      </c>
      <c r="V2744" s="17"/>
      <c r="W2744" s="20" t="e">
        <f aca="false">VLOOKUP(V2744,Sheet2!Q:R,2,0)</f>
        <v>#N/A</v>
      </c>
      <c r="X2744" s="17" t="n">
        <f aca="false">J2744</f>
        <v>0</v>
      </c>
      <c r="Y2744" s="17" t="e">
        <f aca="false">VLOOKUP(X2744,Sheet2!A:B,2,0)</f>
        <v>#N/A</v>
      </c>
      <c r="Z2744" s="17"/>
      <c r="AA2744" s="17"/>
      <c r="AB2744" s="17" t="s">
        <v>41</v>
      </c>
      <c r="AC2744" s="0" t="str">
        <f aca="false">LEFT(G2744,2)</f>
        <v/>
      </c>
    </row>
    <row r="2745" customFormat="false" ht="15" hidden="false" customHeight="false" outlineLevel="0" collapsed="false">
      <c r="A2745" s="13" t="n">
        <f aca="false">1+A2744</f>
        <v>2743</v>
      </c>
      <c r="B2745" s="14" t="n">
        <v>100</v>
      </c>
      <c r="C2745" s="15"/>
      <c r="D2745" s="16" t="s">
        <v>64</v>
      </c>
      <c r="E2745" s="17" t="s">
        <v>47</v>
      </c>
      <c r="F2745" s="18" t="s">
        <v>34</v>
      </c>
      <c r="G2745" s="19"/>
      <c r="H2745" s="17" t="s">
        <v>35</v>
      </c>
      <c r="I2745" s="17" t="s">
        <v>44</v>
      </c>
      <c r="J2745" s="17"/>
      <c r="K2745" s="17" t="e">
        <f aca="false">VLOOKUP(J2745,Sheet2!A:B,2,0)</f>
        <v>#N/A</v>
      </c>
      <c r="L2745" s="17" t="n">
        <v>5</v>
      </c>
      <c r="M2745" s="17" t="str">
        <f aca="false">VLOOKUP(L2745,Sheet2!D:E,2,0)</f>
        <v>Main Processor CPU BGA</v>
      </c>
      <c r="N2745" s="17" t="n">
        <v>1</v>
      </c>
      <c r="O2745" s="17" t="str">
        <f aca="false">VLOOKUP(N2745,Sheet2!G:H,2,0)</f>
        <v>Dead</v>
      </c>
      <c r="P2745" s="17" t="n">
        <v>11</v>
      </c>
      <c r="Q2745" s="17" t="str">
        <f aca="false">VLOOKUP(P2745,Sheet2!J:K,2,0)</f>
        <v>IR Declared due to CID -TA</v>
      </c>
      <c r="R2745" s="17" t="s">
        <v>35</v>
      </c>
      <c r="S2745" s="17" t="str">
        <f aca="false">VLOOKUP(R2745,Sheet2!N:O,2,0)</f>
        <v>IREPARABLE</v>
      </c>
      <c r="T2745" s="18" t="str">
        <f aca="false">VLOOKUP(P2745,Sheet2!Q:R,2,0)</f>
        <v>IR Normal - Track burn out</v>
      </c>
      <c r="U2745" s="20" t="s">
        <v>41</v>
      </c>
      <c r="V2745" s="17"/>
      <c r="W2745" s="20" t="e">
        <f aca="false">VLOOKUP(V2745,Sheet2!Q:R,2,0)</f>
        <v>#N/A</v>
      </c>
      <c r="X2745" s="17" t="n">
        <f aca="false">J2745</f>
        <v>0</v>
      </c>
      <c r="Y2745" s="17" t="e">
        <f aca="false">VLOOKUP(X2745,Sheet2!A:B,2,0)</f>
        <v>#N/A</v>
      </c>
      <c r="Z2745" s="17"/>
      <c r="AA2745" s="17"/>
      <c r="AB2745" s="17" t="s">
        <v>41</v>
      </c>
      <c r="AC2745" s="0" t="str">
        <f aca="false">LEFT(G2745,2)</f>
        <v/>
      </c>
    </row>
    <row r="2746" customFormat="false" ht="15" hidden="false" customHeight="false" outlineLevel="0" collapsed="false">
      <c r="A2746" s="13" t="n">
        <f aca="false">1+A2745</f>
        <v>2744</v>
      </c>
      <c r="B2746" s="14" t="n">
        <v>100</v>
      </c>
      <c r="C2746" s="15"/>
      <c r="D2746" s="16" t="s">
        <v>64</v>
      </c>
      <c r="E2746" s="17" t="s">
        <v>47</v>
      </c>
      <c r="F2746" s="18" t="s">
        <v>34</v>
      </c>
      <c r="G2746" s="19"/>
      <c r="H2746" s="17" t="s">
        <v>35</v>
      </c>
      <c r="I2746" s="17" t="s">
        <v>44</v>
      </c>
      <c r="J2746" s="17"/>
      <c r="K2746" s="17" t="e">
        <f aca="false">VLOOKUP(J2746,Sheet2!A:B,2,0)</f>
        <v>#N/A</v>
      </c>
      <c r="L2746" s="17" t="n">
        <v>5</v>
      </c>
      <c r="M2746" s="17" t="str">
        <f aca="false">VLOOKUP(L2746,Sheet2!D:E,2,0)</f>
        <v>Main Processor CPU BGA</v>
      </c>
      <c r="N2746" s="17" t="n">
        <v>1</v>
      </c>
      <c r="O2746" s="17" t="str">
        <f aca="false">VLOOKUP(N2746,Sheet2!G:H,2,0)</f>
        <v>Dead</v>
      </c>
      <c r="P2746" s="17" t="n">
        <v>11</v>
      </c>
      <c r="Q2746" s="17" t="str">
        <f aca="false">VLOOKUP(P2746,Sheet2!J:K,2,0)</f>
        <v>IR Declared due to CID -TA</v>
      </c>
      <c r="R2746" s="17" t="s">
        <v>35</v>
      </c>
      <c r="S2746" s="17" t="str">
        <f aca="false">VLOOKUP(R2746,Sheet2!N:O,2,0)</f>
        <v>IREPARABLE</v>
      </c>
      <c r="T2746" s="18" t="str">
        <f aca="false">VLOOKUP(P2746,Sheet2!Q:R,2,0)</f>
        <v>IR Normal - Track burn out</v>
      </c>
      <c r="U2746" s="20" t="s">
        <v>41</v>
      </c>
      <c r="V2746" s="17"/>
      <c r="W2746" s="20" t="e">
        <f aca="false">VLOOKUP(V2746,Sheet2!Q:R,2,0)</f>
        <v>#N/A</v>
      </c>
      <c r="X2746" s="17" t="n">
        <f aca="false">J2746</f>
        <v>0</v>
      </c>
      <c r="Y2746" s="17" t="e">
        <f aca="false">VLOOKUP(X2746,Sheet2!A:B,2,0)</f>
        <v>#N/A</v>
      </c>
      <c r="Z2746" s="17"/>
      <c r="AA2746" s="17"/>
      <c r="AB2746" s="17" t="s">
        <v>41</v>
      </c>
      <c r="AC2746" s="0" t="str">
        <f aca="false">LEFT(G2746,2)</f>
        <v/>
      </c>
    </row>
    <row r="2747" customFormat="false" ht="15" hidden="false" customHeight="false" outlineLevel="0" collapsed="false">
      <c r="A2747" s="13" t="n">
        <f aca="false">1+A2746</f>
        <v>2745</v>
      </c>
      <c r="B2747" s="14" t="n">
        <v>100</v>
      </c>
      <c r="C2747" s="15"/>
      <c r="D2747" s="16" t="s">
        <v>64</v>
      </c>
      <c r="E2747" s="17" t="s">
        <v>47</v>
      </c>
      <c r="F2747" s="18" t="s">
        <v>34</v>
      </c>
      <c r="G2747" s="19"/>
      <c r="H2747" s="17" t="s">
        <v>35</v>
      </c>
      <c r="I2747" s="17" t="s">
        <v>44</v>
      </c>
      <c r="J2747" s="17"/>
      <c r="K2747" s="17" t="e">
        <f aca="false">VLOOKUP(J2747,Sheet2!A:B,2,0)</f>
        <v>#N/A</v>
      </c>
      <c r="L2747" s="17" t="n">
        <v>5</v>
      </c>
      <c r="M2747" s="17" t="str">
        <f aca="false">VLOOKUP(L2747,Sheet2!D:E,2,0)</f>
        <v>Main Processor CPU BGA</v>
      </c>
      <c r="N2747" s="17" t="n">
        <v>1</v>
      </c>
      <c r="O2747" s="17" t="str">
        <f aca="false">VLOOKUP(N2747,Sheet2!G:H,2,0)</f>
        <v>Dead</v>
      </c>
      <c r="P2747" s="17" t="n">
        <v>11</v>
      </c>
      <c r="Q2747" s="17" t="str">
        <f aca="false">VLOOKUP(P2747,Sheet2!J:K,2,0)</f>
        <v>IR Declared due to CID -TA</v>
      </c>
      <c r="R2747" s="17" t="s">
        <v>35</v>
      </c>
      <c r="S2747" s="17" t="str">
        <f aca="false">VLOOKUP(R2747,Sheet2!N:O,2,0)</f>
        <v>IREPARABLE</v>
      </c>
      <c r="T2747" s="18" t="str">
        <f aca="false">VLOOKUP(P2747,Sheet2!Q:R,2,0)</f>
        <v>IR Normal - Track burn out</v>
      </c>
      <c r="U2747" s="20" t="s">
        <v>41</v>
      </c>
      <c r="V2747" s="17"/>
      <c r="W2747" s="20" t="e">
        <f aca="false">VLOOKUP(V2747,Sheet2!Q:R,2,0)</f>
        <v>#N/A</v>
      </c>
      <c r="X2747" s="17" t="n">
        <f aca="false">J2747</f>
        <v>0</v>
      </c>
      <c r="Y2747" s="17" t="e">
        <f aca="false">VLOOKUP(X2747,Sheet2!A:B,2,0)</f>
        <v>#N/A</v>
      </c>
      <c r="Z2747" s="17"/>
      <c r="AA2747" s="17"/>
      <c r="AB2747" s="17" t="s">
        <v>41</v>
      </c>
      <c r="AC2747" s="0" t="str">
        <f aca="false">LEFT(G2747,2)</f>
        <v/>
      </c>
    </row>
    <row r="2748" customFormat="false" ht="15" hidden="false" customHeight="false" outlineLevel="0" collapsed="false">
      <c r="A2748" s="13" t="n">
        <f aca="false">1+A2747</f>
        <v>2746</v>
      </c>
      <c r="B2748" s="14" t="n">
        <v>100</v>
      </c>
      <c r="C2748" s="15"/>
      <c r="D2748" s="16" t="s">
        <v>64</v>
      </c>
      <c r="E2748" s="17" t="s">
        <v>47</v>
      </c>
      <c r="F2748" s="18" t="s">
        <v>34</v>
      </c>
      <c r="G2748" s="19"/>
      <c r="H2748" s="17" t="s">
        <v>35</v>
      </c>
      <c r="I2748" s="17" t="s">
        <v>44</v>
      </c>
      <c r="J2748" s="17"/>
      <c r="K2748" s="17" t="e">
        <f aca="false">VLOOKUP(J2748,Sheet2!A:B,2,0)</f>
        <v>#N/A</v>
      </c>
      <c r="L2748" s="17" t="n">
        <v>5</v>
      </c>
      <c r="M2748" s="17" t="str">
        <f aca="false">VLOOKUP(L2748,Sheet2!D:E,2,0)</f>
        <v>Main Processor CPU BGA</v>
      </c>
      <c r="N2748" s="17" t="n">
        <v>1</v>
      </c>
      <c r="O2748" s="17" t="str">
        <f aca="false">VLOOKUP(N2748,Sheet2!G:H,2,0)</f>
        <v>Dead</v>
      </c>
      <c r="P2748" s="17" t="n">
        <v>11</v>
      </c>
      <c r="Q2748" s="17" t="str">
        <f aca="false">VLOOKUP(P2748,Sheet2!J:K,2,0)</f>
        <v>IR Declared due to CID -TA</v>
      </c>
      <c r="R2748" s="17" t="s">
        <v>35</v>
      </c>
      <c r="S2748" s="17" t="str">
        <f aca="false">VLOOKUP(R2748,Sheet2!N:O,2,0)</f>
        <v>IREPARABLE</v>
      </c>
      <c r="T2748" s="18" t="str">
        <f aca="false">VLOOKUP(P2748,Sheet2!Q:R,2,0)</f>
        <v>IR Normal - Track burn out</v>
      </c>
      <c r="U2748" s="20" t="s">
        <v>41</v>
      </c>
      <c r="V2748" s="17"/>
      <c r="W2748" s="20" t="e">
        <f aca="false">VLOOKUP(V2748,Sheet2!Q:R,2,0)</f>
        <v>#N/A</v>
      </c>
      <c r="X2748" s="17" t="n">
        <f aca="false">J2748</f>
        <v>0</v>
      </c>
      <c r="Y2748" s="17" t="e">
        <f aca="false">VLOOKUP(X2748,Sheet2!A:B,2,0)</f>
        <v>#N/A</v>
      </c>
      <c r="Z2748" s="17"/>
      <c r="AA2748" s="17"/>
      <c r="AB2748" s="17" t="s">
        <v>41</v>
      </c>
      <c r="AC2748" s="0" t="str">
        <f aca="false">LEFT(G2748,2)</f>
        <v/>
      </c>
    </row>
    <row r="2749" customFormat="false" ht="15" hidden="false" customHeight="false" outlineLevel="0" collapsed="false">
      <c r="A2749" s="13" t="n">
        <f aca="false">1+A2748</f>
        <v>2747</v>
      </c>
      <c r="B2749" s="14" t="n">
        <v>100</v>
      </c>
      <c r="C2749" s="15"/>
      <c r="D2749" s="16" t="s">
        <v>64</v>
      </c>
      <c r="E2749" s="17" t="s">
        <v>47</v>
      </c>
      <c r="F2749" s="18" t="s">
        <v>34</v>
      </c>
      <c r="G2749" s="19"/>
      <c r="H2749" s="17" t="s">
        <v>35</v>
      </c>
      <c r="I2749" s="17" t="s">
        <v>44</v>
      </c>
      <c r="J2749" s="17"/>
      <c r="K2749" s="17" t="e">
        <f aca="false">VLOOKUP(J2749,Sheet2!A:B,2,0)</f>
        <v>#N/A</v>
      </c>
      <c r="L2749" s="17" t="n">
        <v>5</v>
      </c>
      <c r="M2749" s="17" t="str">
        <f aca="false">VLOOKUP(L2749,Sheet2!D:E,2,0)</f>
        <v>Main Processor CPU BGA</v>
      </c>
      <c r="N2749" s="17" t="n">
        <v>1</v>
      </c>
      <c r="O2749" s="17" t="str">
        <f aca="false">VLOOKUP(N2749,Sheet2!G:H,2,0)</f>
        <v>Dead</v>
      </c>
      <c r="P2749" s="17" t="n">
        <v>11</v>
      </c>
      <c r="Q2749" s="17" t="str">
        <f aca="false">VLOOKUP(P2749,Sheet2!J:K,2,0)</f>
        <v>IR Declared due to CID -TA</v>
      </c>
      <c r="R2749" s="17" t="s">
        <v>35</v>
      </c>
      <c r="S2749" s="17" t="str">
        <f aca="false">VLOOKUP(R2749,Sheet2!N:O,2,0)</f>
        <v>IREPARABLE</v>
      </c>
      <c r="T2749" s="18" t="str">
        <f aca="false">VLOOKUP(P2749,Sheet2!Q:R,2,0)</f>
        <v>IR Normal - Track burn out</v>
      </c>
      <c r="U2749" s="20" t="s">
        <v>41</v>
      </c>
      <c r="V2749" s="17"/>
      <c r="W2749" s="20" t="e">
        <f aca="false">VLOOKUP(V2749,Sheet2!Q:R,2,0)</f>
        <v>#N/A</v>
      </c>
      <c r="X2749" s="17" t="n">
        <f aca="false">J2749</f>
        <v>0</v>
      </c>
      <c r="Y2749" s="17" t="e">
        <f aca="false">VLOOKUP(X2749,Sheet2!A:B,2,0)</f>
        <v>#N/A</v>
      </c>
      <c r="Z2749" s="17"/>
      <c r="AA2749" s="17"/>
      <c r="AB2749" s="17" t="s">
        <v>41</v>
      </c>
      <c r="AC2749" s="0" t="str">
        <f aca="false">LEFT(G2749,2)</f>
        <v/>
      </c>
    </row>
    <row r="2750" customFormat="false" ht="15" hidden="false" customHeight="false" outlineLevel="0" collapsed="false">
      <c r="A2750" s="13" t="n">
        <f aca="false">1+A2749</f>
        <v>2748</v>
      </c>
      <c r="B2750" s="14" t="n">
        <v>100</v>
      </c>
      <c r="C2750" s="15"/>
      <c r="D2750" s="16" t="s">
        <v>64</v>
      </c>
      <c r="E2750" s="17" t="s">
        <v>47</v>
      </c>
      <c r="F2750" s="18" t="s">
        <v>34</v>
      </c>
      <c r="G2750" s="19"/>
      <c r="H2750" s="17" t="s">
        <v>35</v>
      </c>
      <c r="I2750" s="17" t="s">
        <v>44</v>
      </c>
      <c r="J2750" s="17"/>
      <c r="K2750" s="17" t="e">
        <f aca="false">VLOOKUP(J2750,Sheet2!A:B,2,0)</f>
        <v>#N/A</v>
      </c>
      <c r="L2750" s="17" t="n">
        <v>5</v>
      </c>
      <c r="M2750" s="17" t="str">
        <f aca="false">VLOOKUP(L2750,Sheet2!D:E,2,0)</f>
        <v>Main Processor CPU BGA</v>
      </c>
      <c r="N2750" s="17" t="n">
        <v>1</v>
      </c>
      <c r="O2750" s="17" t="str">
        <f aca="false">VLOOKUP(N2750,Sheet2!G:H,2,0)</f>
        <v>Dead</v>
      </c>
      <c r="P2750" s="17" t="n">
        <v>11</v>
      </c>
      <c r="Q2750" s="17" t="str">
        <f aca="false">VLOOKUP(P2750,Sheet2!J:K,2,0)</f>
        <v>IR Declared due to CID -TA</v>
      </c>
      <c r="R2750" s="17" t="s">
        <v>35</v>
      </c>
      <c r="S2750" s="17" t="str">
        <f aca="false">VLOOKUP(R2750,Sheet2!N:O,2,0)</f>
        <v>IREPARABLE</v>
      </c>
      <c r="T2750" s="18" t="str">
        <f aca="false">VLOOKUP(P2750,Sheet2!Q:R,2,0)</f>
        <v>IR Normal - Track burn out</v>
      </c>
      <c r="U2750" s="20" t="s">
        <v>41</v>
      </c>
      <c r="V2750" s="17"/>
      <c r="W2750" s="20" t="e">
        <f aca="false">VLOOKUP(V2750,Sheet2!Q:R,2,0)</f>
        <v>#N/A</v>
      </c>
      <c r="X2750" s="17" t="n">
        <f aca="false">J2750</f>
        <v>0</v>
      </c>
      <c r="Y2750" s="17" t="e">
        <f aca="false">VLOOKUP(X2750,Sheet2!A:B,2,0)</f>
        <v>#N/A</v>
      </c>
      <c r="Z2750" s="17"/>
      <c r="AA2750" s="17"/>
      <c r="AB2750" s="17" t="s">
        <v>41</v>
      </c>
      <c r="AC2750" s="0" t="str">
        <f aca="false">LEFT(G2750,2)</f>
        <v/>
      </c>
    </row>
    <row r="2751" customFormat="false" ht="15" hidden="false" customHeight="false" outlineLevel="0" collapsed="false">
      <c r="A2751" s="13" t="n">
        <f aca="false">1+A2750</f>
        <v>2749</v>
      </c>
      <c r="B2751" s="14" t="n">
        <v>100</v>
      </c>
      <c r="C2751" s="15"/>
      <c r="D2751" s="16" t="s">
        <v>64</v>
      </c>
      <c r="E2751" s="17" t="s">
        <v>47</v>
      </c>
      <c r="F2751" s="18" t="s">
        <v>34</v>
      </c>
      <c r="G2751" s="19"/>
      <c r="H2751" s="17" t="s">
        <v>35</v>
      </c>
      <c r="I2751" s="17" t="s">
        <v>44</v>
      </c>
      <c r="J2751" s="17"/>
      <c r="K2751" s="17" t="e">
        <f aca="false">VLOOKUP(J2751,Sheet2!A:B,2,0)</f>
        <v>#N/A</v>
      </c>
      <c r="L2751" s="17" t="n">
        <v>5</v>
      </c>
      <c r="M2751" s="17" t="str">
        <f aca="false">VLOOKUP(L2751,Sheet2!D:E,2,0)</f>
        <v>Main Processor CPU BGA</v>
      </c>
      <c r="N2751" s="17" t="n">
        <v>1</v>
      </c>
      <c r="O2751" s="17" t="str">
        <f aca="false">VLOOKUP(N2751,Sheet2!G:H,2,0)</f>
        <v>Dead</v>
      </c>
      <c r="P2751" s="17" t="n">
        <v>11</v>
      </c>
      <c r="Q2751" s="17" t="str">
        <f aca="false">VLOOKUP(P2751,Sheet2!J:K,2,0)</f>
        <v>IR Declared due to CID -TA</v>
      </c>
      <c r="R2751" s="17" t="s">
        <v>35</v>
      </c>
      <c r="S2751" s="17" t="str">
        <f aca="false">VLOOKUP(R2751,Sheet2!N:O,2,0)</f>
        <v>IREPARABLE</v>
      </c>
      <c r="T2751" s="18" t="str">
        <f aca="false">VLOOKUP(P2751,Sheet2!Q:R,2,0)</f>
        <v>IR Normal - Track burn out</v>
      </c>
      <c r="U2751" s="20" t="s">
        <v>41</v>
      </c>
      <c r="V2751" s="17"/>
      <c r="W2751" s="20" t="e">
        <f aca="false">VLOOKUP(V2751,Sheet2!Q:R,2,0)</f>
        <v>#N/A</v>
      </c>
      <c r="X2751" s="17" t="n">
        <f aca="false">J2751</f>
        <v>0</v>
      </c>
      <c r="Y2751" s="17" t="e">
        <f aca="false">VLOOKUP(X2751,Sheet2!A:B,2,0)</f>
        <v>#N/A</v>
      </c>
      <c r="Z2751" s="17"/>
      <c r="AA2751" s="17"/>
      <c r="AB2751" s="17" t="s">
        <v>41</v>
      </c>
      <c r="AC2751" s="0" t="str">
        <f aca="false">LEFT(G2751,2)</f>
        <v/>
      </c>
    </row>
    <row r="2752" customFormat="false" ht="15" hidden="false" customHeight="false" outlineLevel="0" collapsed="false">
      <c r="A2752" s="13" t="n">
        <f aca="false">1+A2751</f>
        <v>2750</v>
      </c>
      <c r="B2752" s="14" t="n">
        <v>100</v>
      </c>
      <c r="C2752" s="15"/>
      <c r="D2752" s="16" t="s">
        <v>64</v>
      </c>
      <c r="E2752" s="17" t="s">
        <v>47</v>
      </c>
      <c r="F2752" s="18" t="s">
        <v>34</v>
      </c>
      <c r="G2752" s="19"/>
      <c r="H2752" s="17" t="s">
        <v>35</v>
      </c>
      <c r="I2752" s="17" t="s">
        <v>44</v>
      </c>
      <c r="J2752" s="17"/>
      <c r="K2752" s="17" t="e">
        <f aca="false">VLOOKUP(J2752,Sheet2!A:B,2,0)</f>
        <v>#N/A</v>
      </c>
      <c r="L2752" s="17" t="n">
        <v>5</v>
      </c>
      <c r="M2752" s="17" t="str">
        <f aca="false">VLOOKUP(L2752,Sheet2!D:E,2,0)</f>
        <v>Main Processor CPU BGA</v>
      </c>
      <c r="N2752" s="17" t="n">
        <v>1</v>
      </c>
      <c r="O2752" s="17" t="str">
        <f aca="false">VLOOKUP(N2752,Sheet2!G:H,2,0)</f>
        <v>Dead</v>
      </c>
      <c r="P2752" s="17" t="n">
        <v>11</v>
      </c>
      <c r="Q2752" s="17" t="str">
        <f aca="false">VLOOKUP(P2752,Sheet2!J:K,2,0)</f>
        <v>IR Declared due to CID -TA</v>
      </c>
      <c r="R2752" s="17" t="s">
        <v>35</v>
      </c>
      <c r="S2752" s="17" t="str">
        <f aca="false">VLOOKUP(R2752,Sheet2!N:O,2,0)</f>
        <v>IREPARABLE</v>
      </c>
      <c r="T2752" s="18" t="str">
        <f aca="false">VLOOKUP(P2752,Sheet2!Q:R,2,0)</f>
        <v>IR Normal - Track burn out</v>
      </c>
      <c r="U2752" s="20" t="s">
        <v>41</v>
      </c>
      <c r="V2752" s="17"/>
      <c r="W2752" s="20" t="e">
        <f aca="false">VLOOKUP(V2752,Sheet2!Q:R,2,0)</f>
        <v>#N/A</v>
      </c>
      <c r="X2752" s="17" t="n">
        <f aca="false">J2752</f>
        <v>0</v>
      </c>
      <c r="Y2752" s="17" t="e">
        <f aca="false">VLOOKUP(X2752,Sheet2!A:B,2,0)</f>
        <v>#N/A</v>
      </c>
      <c r="Z2752" s="17"/>
      <c r="AA2752" s="17"/>
      <c r="AB2752" s="17" t="s">
        <v>41</v>
      </c>
      <c r="AC2752" s="0" t="str">
        <f aca="false">LEFT(G2752,2)</f>
        <v/>
      </c>
    </row>
    <row r="2753" customFormat="false" ht="15" hidden="false" customHeight="false" outlineLevel="0" collapsed="false">
      <c r="A2753" s="13" t="n">
        <f aca="false">1+A2752</f>
        <v>2751</v>
      </c>
      <c r="B2753" s="14" t="n">
        <v>100</v>
      </c>
      <c r="C2753" s="15"/>
      <c r="D2753" s="16" t="s">
        <v>64</v>
      </c>
      <c r="E2753" s="17" t="s">
        <v>47</v>
      </c>
      <c r="F2753" s="18" t="s">
        <v>34</v>
      </c>
      <c r="G2753" s="19"/>
      <c r="H2753" s="17" t="s">
        <v>35</v>
      </c>
      <c r="I2753" s="17" t="s">
        <v>44</v>
      </c>
      <c r="J2753" s="17"/>
      <c r="K2753" s="17" t="e">
        <f aca="false">VLOOKUP(J2753,Sheet2!A:B,2,0)</f>
        <v>#N/A</v>
      </c>
      <c r="L2753" s="17" t="n">
        <v>5</v>
      </c>
      <c r="M2753" s="17" t="str">
        <f aca="false">VLOOKUP(L2753,Sheet2!D:E,2,0)</f>
        <v>Main Processor CPU BGA</v>
      </c>
      <c r="N2753" s="17" t="n">
        <v>1</v>
      </c>
      <c r="O2753" s="17" t="str">
        <f aca="false">VLOOKUP(N2753,Sheet2!G:H,2,0)</f>
        <v>Dead</v>
      </c>
      <c r="P2753" s="17" t="n">
        <v>11</v>
      </c>
      <c r="Q2753" s="17" t="str">
        <f aca="false">VLOOKUP(P2753,Sheet2!J:K,2,0)</f>
        <v>IR Declared due to CID -TA</v>
      </c>
      <c r="R2753" s="17" t="s">
        <v>35</v>
      </c>
      <c r="S2753" s="17" t="str">
        <f aca="false">VLOOKUP(R2753,Sheet2!N:O,2,0)</f>
        <v>IREPARABLE</v>
      </c>
      <c r="T2753" s="18" t="str">
        <f aca="false">VLOOKUP(P2753,Sheet2!Q:R,2,0)</f>
        <v>IR Normal - Track burn out</v>
      </c>
      <c r="U2753" s="20" t="s">
        <v>41</v>
      </c>
      <c r="V2753" s="17"/>
      <c r="W2753" s="20" t="e">
        <f aca="false">VLOOKUP(V2753,Sheet2!Q:R,2,0)</f>
        <v>#N/A</v>
      </c>
      <c r="X2753" s="17" t="n">
        <f aca="false">J2753</f>
        <v>0</v>
      </c>
      <c r="Y2753" s="17" t="e">
        <f aca="false">VLOOKUP(X2753,Sheet2!A:B,2,0)</f>
        <v>#N/A</v>
      </c>
      <c r="Z2753" s="17"/>
      <c r="AA2753" s="17"/>
      <c r="AB2753" s="17" t="s">
        <v>41</v>
      </c>
      <c r="AC2753" s="0" t="str">
        <f aca="false">LEFT(G2753,2)</f>
        <v/>
      </c>
    </row>
    <row r="2754" customFormat="false" ht="15" hidden="false" customHeight="false" outlineLevel="0" collapsed="false">
      <c r="A2754" s="13" t="n">
        <f aca="false">1+A2753</f>
        <v>2752</v>
      </c>
      <c r="B2754" s="14" t="n">
        <v>100</v>
      </c>
      <c r="C2754" s="15"/>
      <c r="D2754" s="16" t="s">
        <v>64</v>
      </c>
      <c r="E2754" s="17" t="s">
        <v>47</v>
      </c>
      <c r="F2754" s="18" t="s">
        <v>34</v>
      </c>
      <c r="G2754" s="19"/>
      <c r="H2754" s="17" t="s">
        <v>35</v>
      </c>
      <c r="I2754" s="17" t="s">
        <v>44</v>
      </c>
      <c r="J2754" s="17"/>
      <c r="K2754" s="17" t="e">
        <f aca="false">VLOOKUP(J2754,Sheet2!A:B,2,0)</f>
        <v>#N/A</v>
      </c>
      <c r="L2754" s="17" t="n">
        <v>5</v>
      </c>
      <c r="M2754" s="17" t="str">
        <f aca="false">VLOOKUP(L2754,Sheet2!D:E,2,0)</f>
        <v>Main Processor CPU BGA</v>
      </c>
      <c r="N2754" s="17" t="n">
        <v>1</v>
      </c>
      <c r="O2754" s="17" t="str">
        <f aca="false">VLOOKUP(N2754,Sheet2!G:H,2,0)</f>
        <v>Dead</v>
      </c>
      <c r="P2754" s="17" t="n">
        <v>11</v>
      </c>
      <c r="Q2754" s="17" t="str">
        <f aca="false">VLOOKUP(P2754,Sheet2!J:K,2,0)</f>
        <v>IR Declared due to CID -TA</v>
      </c>
      <c r="R2754" s="17" t="s">
        <v>35</v>
      </c>
      <c r="S2754" s="17" t="str">
        <f aca="false">VLOOKUP(R2754,Sheet2!N:O,2,0)</f>
        <v>IREPARABLE</v>
      </c>
      <c r="T2754" s="18" t="str">
        <f aca="false">VLOOKUP(P2754,Sheet2!Q:R,2,0)</f>
        <v>IR Normal - Track burn out</v>
      </c>
      <c r="U2754" s="20" t="s">
        <v>41</v>
      </c>
      <c r="V2754" s="17"/>
      <c r="W2754" s="20" t="e">
        <f aca="false">VLOOKUP(V2754,Sheet2!Q:R,2,0)</f>
        <v>#N/A</v>
      </c>
      <c r="X2754" s="17" t="n">
        <f aca="false">J2754</f>
        <v>0</v>
      </c>
      <c r="Y2754" s="17" t="e">
        <f aca="false">VLOOKUP(X2754,Sheet2!A:B,2,0)</f>
        <v>#N/A</v>
      </c>
      <c r="Z2754" s="17"/>
      <c r="AA2754" s="17"/>
      <c r="AB2754" s="17" t="s">
        <v>41</v>
      </c>
      <c r="AC2754" s="0" t="str">
        <f aca="false">LEFT(G2754,2)</f>
        <v/>
      </c>
    </row>
    <row r="2755" customFormat="false" ht="15" hidden="false" customHeight="false" outlineLevel="0" collapsed="false">
      <c r="A2755" s="13" t="n">
        <f aca="false">1+A2754</f>
        <v>2753</v>
      </c>
      <c r="B2755" s="14" t="n">
        <v>100</v>
      </c>
      <c r="C2755" s="15"/>
      <c r="D2755" s="16" t="s">
        <v>64</v>
      </c>
      <c r="E2755" s="17" t="s">
        <v>47</v>
      </c>
      <c r="F2755" s="18" t="s">
        <v>34</v>
      </c>
      <c r="G2755" s="19"/>
      <c r="H2755" s="17" t="s">
        <v>35</v>
      </c>
      <c r="I2755" s="17" t="s">
        <v>44</v>
      </c>
      <c r="J2755" s="17"/>
      <c r="K2755" s="17" t="e">
        <f aca="false">VLOOKUP(J2755,Sheet2!A:B,2,0)</f>
        <v>#N/A</v>
      </c>
      <c r="L2755" s="17" t="n">
        <v>5</v>
      </c>
      <c r="M2755" s="17" t="str">
        <f aca="false">VLOOKUP(L2755,Sheet2!D:E,2,0)</f>
        <v>Main Processor CPU BGA</v>
      </c>
      <c r="N2755" s="17" t="n">
        <v>1</v>
      </c>
      <c r="O2755" s="17" t="str">
        <f aca="false">VLOOKUP(N2755,Sheet2!G:H,2,0)</f>
        <v>Dead</v>
      </c>
      <c r="P2755" s="17" t="n">
        <v>11</v>
      </c>
      <c r="Q2755" s="17" t="str">
        <f aca="false">VLOOKUP(P2755,Sheet2!J:K,2,0)</f>
        <v>IR Declared due to CID -TA</v>
      </c>
      <c r="R2755" s="17" t="s">
        <v>35</v>
      </c>
      <c r="S2755" s="17" t="str">
        <f aca="false">VLOOKUP(R2755,Sheet2!N:O,2,0)</f>
        <v>IREPARABLE</v>
      </c>
      <c r="T2755" s="18" t="str">
        <f aca="false">VLOOKUP(P2755,Sheet2!Q:R,2,0)</f>
        <v>IR Normal - Track burn out</v>
      </c>
      <c r="U2755" s="20" t="s">
        <v>41</v>
      </c>
      <c r="V2755" s="17"/>
      <c r="W2755" s="20" t="e">
        <f aca="false">VLOOKUP(V2755,Sheet2!Q:R,2,0)</f>
        <v>#N/A</v>
      </c>
      <c r="X2755" s="17" t="n">
        <f aca="false">J2755</f>
        <v>0</v>
      </c>
      <c r="Y2755" s="17" t="e">
        <f aca="false">VLOOKUP(X2755,Sheet2!A:B,2,0)</f>
        <v>#N/A</v>
      </c>
      <c r="Z2755" s="17"/>
      <c r="AA2755" s="17"/>
      <c r="AB2755" s="17" t="s">
        <v>41</v>
      </c>
      <c r="AC2755" s="0" t="str">
        <f aca="false">LEFT(G2755,2)</f>
        <v/>
      </c>
    </row>
    <row r="2756" customFormat="false" ht="15" hidden="false" customHeight="false" outlineLevel="0" collapsed="false">
      <c r="A2756" s="13" t="n">
        <f aca="false">1+A2755</f>
        <v>2754</v>
      </c>
      <c r="B2756" s="14" t="n">
        <v>100</v>
      </c>
      <c r="C2756" s="15"/>
      <c r="D2756" s="16" t="s">
        <v>64</v>
      </c>
      <c r="E2756" s="17" t="s">
        <v>47</v>
      </c>
      <c r="F2756" s="18" t="s">
        <v>34</v>
      </c>
      <c r="G2756" s="19"/>
      <c r="H2756" s="17" t="s">
        <v>35</v>
      </c>
      <c r="I2756" s="17" t="s">
        <v>44</v>
      </c>
      <c r="J2756" s="17"/>
      <c r="K2756" s="17" t="e">
        <f aca="false">VLOOKUP(J2756,Sheet2!A:B,2,0)</f>
        <v>#N/A</v>
      </c>
      <c r="L2756" s="17" t="n">
        <v>5</v>
      </c>
      <c r="M2756" s="17" t="str">
        <f aca="false">VLOOKUP(L2756,Sheet2!D:E,2,0)</f>
        <v>Main Processor CPU BGA</v>
      </c>
      <c r="N2756" s="17" t="n">
        <v>1</v>
      </c>
      <c r="O2756" s="17" t="str">
        <f aca="false">VLOOKUP(N2756,Sheet2!G:H,2,0)</f>
        <v>Dead</v>
      </c>
      <c r="P2756" s="17" t="n">
        <v>11</v>
      </c>
      <c r="Q2756" s="17" t="str">
        <f aca="false">VLOOKUP(P2756,Sheet2!J:K,2,0)</f>
        <v>IR Declared due to CID -TA</v>
      </c>
      <c r="R2756" s="17" t="s">
        <v>35</v>
      </c>
      <c r="S2756" s="17" t="str">
        <f aca="false">VLOOKUP(R2756,Sheet2!N:O,2,0)</f>
        <v>IREPARABLE</v>
      </c>
      <c r="T2756" s="18" t="str">
        <f aca="false">VLOOKUP(P2756,Sheet2!Q:R,2,0)</f>
        <v>IR Normal - Track burn out</v>
      </c>
      <c r="U2756" s="20" t="s">
        <v>41</v>
      </c>
      <c r="V2756" s="17"/>
      <c r="W2756" s="20" t="e">
        <f aca="false">VLOOKUP(V2756,Sheet2!Q:R,2,0)</f>
        <v>#N/A</v>
      </c>
      <c r="X2756" s="17" t="n">
        <f aca="false">J2756</f>
        <v>0</v>
      </c>
      <c r="Y2756" s="17" t="e">
        <f aca="false">VLOOKUP(X2756,Sheet2!A:B,2,0)</f>
        <v>#N/A</v>
      </c>
      <c r="Z2756" s="17"/>
      <c r="AA2756" s="17"/>
      <c r="AB2756" s="17" t="s">
        <v>41</v>
      </c>
      <c r="AC2756" s="0" t="str">
        <f aca="false">LEFT(G2756,2)</f>
        <v/>
      </c>
    </row>
    <row r="2757" customFormat="false" ht="15" hidden="false" customHeight="false" outlineLevel="0" collapsed="false">
      <c r="A2757" s="13" t="n">
        <f aca="false">1+A2756</f>
        <v>2755</v>
      </c>
      <c r="B2757" s="14" t="n">
        <v>100</v>
      </c>
      <c r="C2757" s="15"/>
      <c r="D2757" s="16" t="s">
        <v>64</v>
      </c>
      <c r="E2757" s="17" t="s">
        <v>47</v>
      </c>
      <c r="F2757" s="18" t="s">
        <v>34</v>
      </c>
      <c r="G2757" s="19"/>
      <c r="H2757" s="17" t="s">
        <v>35</v>
      </c>
      <c r="I2757" s="17" t="s">
        <v>44</v>
      </c>
      <c r="J2757" s="17"/>
      <c r="K2757" s="17" t="e">
        <f aca="false">VLOOKUP(J2757,Sheet2!A:B,2,0)</f>
        <v>#N/A</v>
      </c>
      <c r="L2757" s="17" t="n">
        <v>5</v>
      </c>
      <c r="M2757" s="17" t="str">
        <f aca="false">VLOOKUP(L2757,Sheet2!D:E,2,0)</f>
        <v>Main Processor CPU BGA</v>
      </c>
      <c r="N2757" s="17" t="n">
        <v>1</v>
      </c>
      <c r="O2757" s="17" t="str">
        <f aca="false">VLOOKUP(N2757,Sheet2!G:H,2,0)</f>
        <v>Dead</v>
      </c>
      <c r="P2757" s="17" t="n">
        <v>11</v>
      </c>
      <c r="Q2757" s="17" t="str">
        <f aca="false">VLOOKUP(P2757,Sheet2!J:K,2,0)</f>
        <v>IR Declared due to CID -TA</v>
      </c>
      <c r="R2757" s="17" t="s">
        <v>35</v>
      </c>
      <c r="S2757" s="17" t="str">
        <f aca="false">VLOOKUP(R2757,Sheet2!N:O,2,0)</f>
        <v>IREPARABLE</v>
      </c>
      <c r="T2757" s="18" t="str">
        <f aca="false">VLOOKUP(P2757,Sheet2!Q:R,2,0)</f>
        <v>IR Normal - Track burn out</v>
      </c>
      <c r="U2757" s="20" t="s">
        <v>41</v>
      </c>
      <c r="V2757" s="17"/>
      <c r="W2757" s="20" t="e">
        <f aca="false">VLOOKUP(V2757,Sheet2!Q:R,2,0)</f>
        <v>#N/A</v>
      </c>
      <c r="X2757" s="17" t="n">
        <f aca="false">J2757</f>
        <v>0</v>
      </c>
      <c r="Y2757" s="17" t="e">
        <f aca="false">VLOOKUP(X2757,Sheet2!A:B,2,0)</f>
        <v>#N/A</v>
      </c>
      <c r="Z2757" s="17"/>
      <c r="AA2757" s="17"/>
      <c r="AB2757" s="17" t="s">
        <v>41</v>
      </c>
      <c r="AC2757" s="0" t="str">
        <f aca="false">LEFT(G2757,2)</f>
        <v/>
      </c>
    </row>
    <row r="2758" customFormat="false" ht="15" hidden="false" customHeight="false" outlineLevel="0" collapsed="false">
      <c r="A2758" s="13" t="n">
        <f aca="false">1+A2757</f>
        <v>2756</v>
      </c>
      <c r="B2758" s="14" t="n">
        <v>100</v>
      </c>
      <c r="C2758" s="15"/>
      <c r="D2758" s="16" t="s">
        <v>64</v>
      </c>
      <c r="E2758" s="17" t="s">
        <v>47</v>
      </c>
      <c r="F2758" s="18" t="s">
        <v>34</v>
      </c>
      <c r="G2758" s="19"/>
      <c r="H2758" s="17" t="s">
        <v>35</v>
      </c>
      <c r="I2758" s="17" t="s">
        <v>44</v>
      </c>
      <c r="J2758" s="17"/>
      <c r="K2758" s="17" t="e">
        <f aca="false">VLOOKUP(J2758,Sheet2!A:B,2,0)</f>
        <v>#N/A</v>
      </c>
      <c r="L2758" s="17" t="n">
        <v>5</v>
      </c>
      <c r="M2758" s="17" t="str">
        <f aca="false">VLOOKUP(L2758,Sheet2!D:E,2,0)</f>
        <v>Main Processor CPU BGA</v>
      </c>
      <c r="N2758" s="17" t="n">
        <v>1</v>
      </c>
      <c r="O2758" s="17" t="str">
        <f aca="false">VLOOKUP(N2758,Sheet2!G:H,2,0)</f>
        <v>Dead</v>
      </c>
      <c r="P2758" s="17" t="n">
        <v>11</v>
      </c>
      <c r="Q2758" s="17" t="str">
        <f aca="false">VLOOKUP(P2758,Sheet2!J:K,2,0)</f>
        <v>IR Declared due to CID -TA</v>
      </c>
      <c r="R2758" s="17" t="s">
        <v>35</v>
      </c>
      <c r="S2758" s="17" t="str">
        <f aca="false">VLOOKUP(R2758,Sheet2!N:O,2,0)</f>
        <v>IREPARABLE</v>
      </c>
      <c r="T2758" s="18" t="str">
        <f aca="false">VLOOKUP(P2758,Sheet2!Q:R,2,0)</f>
        <v>IR Normal - Track burn out</v>
      </c>
      <c r="U2758" s="20" t="s">
        <v>41</v>
      </c>
      <c r="V2758" s="17"/>
      <c r="W2758" s="20" t="e">
        <f aca="false">VLOOKUP(V2758,Sheet2!Q:R,2,0)</f>
        <v>#N/A</v>
      </c>
      <c r="X2758" s="17" t="n">
        <f aca="false">J2758</f>
        <v>0</v>
      </c>
      <c r="Y2758" s="17" t="e">
        <f aca="false">VLOOKUP(X2758,Sheet2!A:B,2,0)</f>
        <v>#N/A</v>
      </c>
      <c r="Z2758" s="17"/>
      <c r="AA2758" s="17"/>
      <c r="AB2758" s="17" t="s">
        <v>41</v>
      </c>
      <c r="AC2758" s="0" t="str">
        <f aca="false">LEFT(G2758,2)</f>
        <v/>
      </c>
    </row>
    <row r="2759" customFormat="false" ht="15" hidden="false" customHeight="false" outlineLevel="0" collapsed="false">
      <c r="A2759" s="13" t="n">
        <f aca="false">1+A2758</f>
        <v>2757</v>
      </c>
      <c r="B2759" s="14" t="n">
        <v>100</v>
      </c>
      <c r="C2759" s="15"/>
      <c r="D2759" s="16" t="s">
        <v>64</v>
      </c>
      <c r="E2759" s="17" t="s">
        <v>47</v>
      </c>
      <c r="F2759" s="18" t="s">
        <v>34</v>
      </c>
      <c r="G2759" s="19"/>
      <c r="H2759" s="17" t="s">
        <v>35</v>
      </c>
      <c r="I2759" s="17" t="s">
        <v>44</v>
      </c>
      <c r="J2759" s="17"/>
      <c r="K2759" s="17" t="e">
        <f aca="false">VLOOKUP(J2759,Sheet2!A:B,2,0)</f>
        <v>#N/A</v>
      </c>
      <c r="L2759" s="17" t="n">
        <v>5</v>
      </c>
      <c r="M2759" s="17" t="str">
        <f aca="false">VLOOKUP(L2759,Sheet2!D:E,2,0)</f>
        <v>Main Processor CPU BGA</v>
      </c>
      <c r="N2759" s="17" t="n">
        <v>1</v>
      </c>
      <c r="O2759" s="17" t="str">
        <f aca="false">VLOOKUP(N2759,Sheet2!G:H,2,0)</f>
        <v>Dead</v>
      </c>
      <c r="P2759" s="17" t="n">
        <v>11</v>
      </c>
      <c r="Q2759" s="17" t="str">
        <f aca="false">VLOOKUP(P2759,Sheet2!J:K,2,0)</f>
        <v>IR Declared due to CID -TA</v>
      </c>
      <c r="R2759" s="17" t="s">
        <v>35</v>
      </c>
      <c r="S2759" s="17" t="str">
        <f aca="false">VLOOKUP(R2759,Sheet2!N:O,2,0)</f>
        <v>IREPARABLE</v>
      </c>
      <c r="T2759" s="18" t="str">
        <f aca="false">VLOOKUP(P2759,Sheet2!Q:R,2,0)</f>
        <v>IR Normal - Track burn out</v>
      </c>
      <c r="U2759" s="20" t="s">
        <v>41</v>
      </c>
      <c r="V2759" s="17"/>
      <c r="W2759" s="20" t="e">
        <f aca="false">VLOOKUP(V2759,Sheet2!Q:R,2,0)</f>
        <v>#N/A</v>
      </c>
      <c r="X2759" s="17" t="n">
        <f aca="false">J2759</f>
        <v>0</v>
      </c>
      <c r="Y2759" s="17" t="e">
        <f aca="false">VLOOKUP(X2759,Sheet2!A:B,2,0)</f>
        <v>#N/A</v>
      </c>
      <c r="Z2759" s="17"/>
      <c r="AA2759" s="17"/>
      <c r="AB2759" s="17" t="s">
        <v>41</v>
      </c>
      <c r="AC2759" s="0" t="str">
        <f aca="false">LEFT(G2759,2)</f>
        <v/>
      </c>
    </row>
    <row r="2760" customFormat="false" ht="15" hidden="false" customHeight="false" outlineLevel="0" collapsed="false">
      <c r="A2760" s="13" t="n">
        <f aca="false">1+A2759</f>
        <v>2758</v>
      </c>
      <c r="B2760" s="14" t="n">
        <v>100</v>
      </c>
      <c r="C2760" s="15"/>
      <c r="D2760" s="16" t="s">
        <v>64</v>
      </c>
      <c r="E2760" s="17" t="s">
        <v>47</v>
      </c>
      <c r="F2760" s="18" t="s">
        <v>34</v>
      </c>
      <c r="G2760" s="19"/>
      <c r="H2760" s="17" t="s">
        <v>35</v>
      </c>
      <c r="I2760" s="17" t="s">
        <v>44</v>
      </c>
      <c r="J2760" s="17"/>
      <c r="K2760" s="17" t="e">
        <f aca="false">VLOOKUP(J2760,Sheet2!A:B,2,0)</f>
        <v>#N/A</v>
      </c>
      <c r="L2760" s="17" t="n">
        <v>5</v>
      </c>
      <c r="M2760" s="17" t="str">
        <f aca="false">VLOOKUP(L2760,Sheet2!D:E,2,0)</f>
        <v>Main Processor CPU BGA</v>
      </c>
      <c r="N2760" s="17" t="n">
        <v>1</v>
      </c>
      <c r="O2760" s="17" t="str">
        <f aca="false">VLOOKUP(N2760,Sheet2!G:H,2,0)</f>
        <v>Dead</v>
      </c>
      <c r="P2760" s="17" t="n">
        <v>11</v>
      </c>
      <c r="Q2760" s="17" t="str">
        <f aca="false">VLOOKUP(P2760,Sheet2!J:K,2,0)</f>
        <v>IR Declared due to CID -TA</v>
      </c>
      <c r="R2760" s="17" t="s">
        <v>35</v>
      </c>
      <c r="S2760" s="17" t="str">
        <f aca="false">VLOOKUP(R2760,Sheet2!N:O,2,0)</f>
        <v>IREPARABLE</v>
      </c>
      <c r="T2760" s="18" t="str">
        <f aca="false">VLOOKUP(P2760,Sheet2!Q:R,2,0)</f>
        <v>IR Normal - Track burn out</v>
      </c>
      <c r="U2760" s="20" t="s">
        <v>41</v>
      </c>
      <c r="V2760" s="17"/>
      <c r="W2760" s="20" t="e">
        <f aca="false">VLOOKUP(V2760,Sheet2!Q:R,2,0)</f>
        <v>#N/A</v>
      </c>
      <c r="X2760" s="17" t="n">
        <f aca="false">J2760</f>
        <v>0</v>
      </c>
      <c r="Y2760" s="17" t="e">
        <f aca="false">VLOOKUP(X2760,Sheet2!A:B,2,0)</f>
        <v>#N/A</v>
      </c>
      <c r="Z2760" s="17"/>
      <c r="AA2760" s="17"/>
      <c r="AB2760" s="17" t="s">
        <v>41</v>
      </c>
      <c r="AC2760" s="0" t="str">
        <f aca="false">LEFT(G2760,2)</f>
        <v/>
      </c>
    </row>
    <row r="2761" customFormat="false" ht="15" hidden="false" customHeight="false" outlineLevel="0" collapsed="false">
      <c r="A2761" s="13" t="n">
        <f aca="false">1+A2760</f>
        <v>2759</v>
      </c>
      <c r="B2761" s="14" t="n">
        <v>100</v>
      </c>
      <c r="C2761" s="15"/>
      <c r="D2761" s="16" t="s">
        <v>64</v>
      </c>
      <c r="E2761" s="17" t="s">
        <v>47</v>
      </c>
      <c r="F2761" s="18" t="s">
        <v>34</v>
      </c>
      <c r="G2761" s="19"/>
      <c r="H2761" s="17" t="s">
        <v>35</v>
      </c>
      <c r="I2761" s="17" t="s">
        <v>44</v>
      </c>
      <c r="J2761" s="17"/>
      <c r="K2761" s="17" t="e">
        <f aca="false">VLOOKUP(J2761,Sheet2!A:B,2,0)</f>
        <v>#N/A</v>
      </c>
      <c r="L2761" s="17" t="n">
        <v>5</v>
      </c>
      <c r="M2761" s="17" t="str">
        <f aca="false">VLOOKUP(L2761,Sheet2!D:E,2,0)</f>
        <v>Main Processor CPU BGA</v>
      </c>
      <c r="N2761" s="17" t="n">
        <v>1</v>
      </c>
      <c r="O2761" s="17" t="str">
        <f aca="false">VLOOKUP(N2761,Sheet2!G:H,2,0)</f>
        <v>Dead</v>
      </c>
      <c r="P2761" s="17" t="n">
        <v>11</v>
      </c>
      <c r="Q2761" s="17" t="str">
        <f aca="false">VLOOKUP(P2761,Sheet2!J:K,2,0)</f>
        <v>IR Declared due to CID -TA</v>
      </c>
      <c r="R2761" s="17" t="s">
        <v>35</v>
      </c>
      <c r="S2761" s="17" t="str">
        <f aca="false">VLOOKUP(R2761,Sheet2!N:O,2,0)</f>
        <v>IREPARABLE</v>
      </c>
      <c r="T2761" s="18" t="str">
        <f aca="false">VLOOKUP(P2761,Sheet2!Q:R,2,0)</f>
        <v>IR Normal - Track burn out</v>
      </c>
      <c r="U2761" s="20" t="s">
        <v>41</v>
      </c>
      <c r="V2761" s="17"/>
      <c r="W2761" s="20" t="e">
        <f aca="false">VLOOKUP(V2761,Sheet2!Q:R,2,0)</f>
        <v>#N/A</v>
      </c>
      <c r="X2761" s="17" t="n">
        <f aca="false">J2761</f>
        <v>0</v>
      </c>
      <c r="Y2761" s="17" t="e">
        <f aca="false">VLOOKUP(X2761,Sheet2!A:B,2,0)</f>
        <v>#N/A</v>
      </c>
      <c r="Z2761" s="17"/>
      <c r="AA2761" s="17"/>
      <c r="AB2761" s="17" t="s">
        <v>41</v>
      </c>
      <c r="AC2761" s="0" t="str">
        <f aca="false">LEFT(G2761,2)</f>
        <v/>
      </c>
    </row>
    <row r="2762" customFormat="false" ht="15" hidden="false" customHeight="false" outlineLevel="0" collapsed="false">
      <c r="A2762" s="13" t="n">
        <f aca="false">1+A2761</f>
        <v>2760</v>
      </c>
      <c r="B2762" s="14" t="n">
        <v>100</v>
      </c>
      <c r="C2762" s="15"/>
      <c r="D2762" s="16" t="s">
        <v>64</v>
      </c>
      <c r="E2762" s="17" t="s">
        <v>47</v>
      </c>
      <c r="F2762" s="18" t="s">
        <v>34</v>
      </c>
      <c r="G2762" s="19"/>
      <c r="H2762" s="17" t="s">
        <v>35</v>
      </c>
      <c r="I2762" s="17" t="s">
        <v>44</v>
      </c>
      <c r="J2762" s="17"/>
      <c r="K2762" s="17" t="e">
        <f aca="false">VLOOKUP(J2762,Sheet2!A:B,2,0)</f>
        <v>#N/A</v>
      </c>
      <c r="L2762" s="17" t="n">
        <v>5</v>
      </c>
      <c r="M2762" s="17" t="str">
        <f aca="false">VLOOKUP(L2762,Sheet2!D:E,2,0)</f>
        <v>Main Processor CPU BGA</v>
      </c>
      <c r="N2762" s="17" t="n">
        <v>1</v>
      </c>
      <c r="O2762" s="17" t="str">
        <f aca="false">VLOOKUP(N2762,Sheet2!G:H,2,0)</f>
        <v>Dead</v>
      </c>
      <c r="P2762" s="17" t="n">
        <v>11</v>
      </c>
      <c r="Q2762" s="17" t="str">
        <f aca="false">VLOOKUP(P2762,Sheet2!J:K,2,0)</f>
        <v>IR Declared due to CID -TA</v>
      </c>
      <c r="R2762" s="17" t="s">
        <v>35</v>
      </c>
      <c r="S2762" s="17" t="str">
        <f aca="false">VLOOKUP(R2762,Sheet2!N:O,2,0)</f>
        <v>IREPARABLE</v>
      </c>
      <c r="T2762" s="18" t="str">
        <f aca="false">VLOOKUP(P2762,Sheet2!Q:R,2,0)</f>
        <v>IR Normal - Track burn out</v>
      </c>
      <c r="U2762" s="20" t="s">
        <v>41</v>
      </c>
      <c r="V2762" s="17"/>
      <c r="W2762" s="20" t="e">
        <f aca="false">VLOOKUP(V2762,Sheet2!Q:R,2,0)</f>
        <v>#N/A</v>
      </c>
      <c r="X2762" s="17" t="n">
        <f aca="false">J2762</f>
        <v>0</v>
      </c>
      <c r="Y2762" s="17" t="e">
        <f aca="false">VLOOKUP(X2762,Sheet2!A:B,2,0)</f>
        <v>#N/A</v>
      </c>
      <c r="Z2762" s="17"/>
      <c r="AA2762" s="17"/>
      <c r="AB2762" s="17" t="s">
        <v>41</v>
      </c>
      <c r="AC2762" s="0" t="str">
        <f aca="false">LEFT(G2762,2)</f>
        <v/>
      </c>
    </row>
    <row r="2763" customFormat="false" ht="15" hidden="false" customHeight="false" outlineLevel="0" collapsed="false">
      <c r="A2763" s="13" t="n">
        <f aca="false">1+A2762</f>
        <v>2761</v>
      </c>
      <c r="B2763" s="14" t="n">
        <v>100</v>
      </c>
      <c r="C2763" s="15"/>
      <c r="D2763" s="16" t="s">
        <v>64</v>
      </c>
      <c r="E2763" s="17" t="s">
        <v>47</v>
      </c>
      <c r="F2763" s="18" t="s">
        <v>34</v>
      </c>
      <c r="G2763" s="19"/>
      <c r="H2763" s="17" t="s">
        <v>35</v>
      </c>
      <c r="I2763" s="17" t="s">
        <v>44</v>
      </c>
      <c r="J2763" s="17"/>
      <c r="K2763" s="17" t="e">
        <f aca="false">VLOOKUP(J2763,Sheet2!A:B,2,0)</f>
        <v>#N/A</v>
      </c>
      <c r="L2763" s="17" t="n">
        <v>5</v>
      </c>
      <c r="M2763" s="17" t="str">
        <f aca="false">VLOOKUP(L2763,Sheet2!D:E,2,0)</f>
        <v>Main Processor CPU BGA</v>
      </c>
      <c r="N2763" s="17" t="n">
        <v>1</v>
      </c>
      <c r="O2763" s="17" t="str">
        <f aca="false">VLOOKUP(N2763,Sheet2!G:H,2,0)</f>
        <v>Dead</v>
      </c>
      <c r="P2763" s="17" t="n">
        <v>11</v>
      </c>
      <c r="Q2763" s="17" t="str">
        <f aca="false">VLOOKUP(P2763,Sheet2!J:K,2,0)</f>
        <v>IR Declared due to CID -TA</v>
      </c>
      <c r="R2763" s="17" t="s">
        <v>35</v>
      </c>
      <c r="S2763" s="17" t="str">
        <f aca="false">VLOOKUP(R2763,Sheet2!N:O,2,0)</f>
        <v>IREPARABLE</v>
      </c>
      <c r="T2763" s="18" t="str">
        <f aca="false">VLOOKUP(P2763,Sheet2!Q:R,2,0)</f>
        <v>IR Normal - Track burn out</v>
      </c>
      <c r="U2763" s="20" t="s">
        <v>41</v>
      </c>
      <c r="V2763" s="17"/>
      <c r="W2763" s="20" t="e">
        <f aca="false">VLOOKUP(V2763,Sheet2!Q:R,2,0)</f>
        <v>#N/A</v>
      </c>
      <c r="X2763" s="17" t="n">
        <f aca="false">J2763</f>
        <v>0</v>
      </c>
      <c r="Y2763" s="17" t="e">
        <f aca="false">VLOOKUP(X2763,Sheet2!A:B,2,0)</f>
        <v>#N/A</v>
      </c>
      <c r="Z2763" s="17"/>
      <c r="AA2763" s="17"/>
      <c r="AB2763" s="17" t="s">
        <v>41</v>
      </c>
      <c r="AC2763" s="0" t="str">
        <f aca="false">LEFT(G2763,2)</f>
        <v/>
      </c>
    </row>
    <row r="2764" customFormat="false" ht="15" hidden="false" customHeight="false" outlineLevel="0" collapsed="false">
      <c r="A2764" s="13" t="n">
        <f aca="false">1+A2763</f>
        <v>2762</v>
      </c>
      <c r="B2764" s="14" t="n">
        <v>100</v>
      </c>
      <c r="C2764" s="15"/>
      <c r="D2764" s="16" t="s">
        <v>64</v>
      </c>
      <c r="E2764" s="17" t="s">
        <v>47</v>
      </c>
      <c r="F2764" s="18" t="s">
        <v>34</v>
      </c>
      <c r="G2764" s="19"/>
      <c r="H2764" s="17" t="s">
        <v>35</v>
      </c>
      <c r="I2764" s="17" t="s">
        <v>44</v>
      </c>
      <c r="J2764" s="17"/>
      <c r="K2764" s="17" t="e">
        <f aca="false">VLOOKUP(J2764,Sheet2!A:B,2,0)</f>
        <v>#N/A</v>
      </c>
      <c r="L2764" s="17" t="n">
        <v>5</v>
      </c>
      <c r="M2764" s="17" t="str">
        <f aca="false">VLOOKUP(L2764,Sheet2!D:E,2,0)</f>
        <v>Main Processor CPU BGA</v>
      </c>
      <c r="N2764" s="17" t="n">
        <v>1</v>
      </c>
      <c r="O2764" s="17" t="str">
        <f aca="false">VLOOKUP(N2764,Sheet2!G:H,2,0)</f>
        <v>Dead</v>
      </c>
      <c r="P2764" s="17" t="n">
        <v>11</v>
      </c>
      <c r="Q2764" s="17" t="str">
        <f aca="false">VLOOKUP(P2764,Sheet2!J:K,2,0)</f>
        <v>IR Declared due to CID -TA</v>
      </c>
      <c r="R2764" s="17" t="s">
        <v>35</v>
      </c>
      <c r="S2764" s="17" t="str">
        <f aca="false">VLOOKUP(R2764,Sheet2!N:O,2,0)</f>
        <v>IREPARABLE</v>
      </c>
      <c r="T2764" s="18" t="str">
        <f aca="false">VLOOKUP(P2764,Sheet2!Q:R,2,0)</f>
        <v>IR Normal - Track burn out</v>
      </c>
      <c r="U2764" s="20" t="s">
        <v>41</v>
      </c>
      <c r="V2764" s="17"/>
      <c r="W2764" s="20" t="e">
        <f aca="false">VLOOKUP(V2764,Sheet2!Q:R,2,0)</f>
        <v>#N/A</v>
      </c>
      <c r="X2764" s="17" t="n">
        <f aca="false">J2764</f>
        <v>0</v>
      </c>
      <c r="Y2764" s="17" t="e">
        <f aca="false">VLOOKUP(X2764,Sheet2!A:B,2,0)</f>
        <v>#N/A</v>
      </c>
      <c r="Z2764" s="17"/>
      <c r="AA2764" s="17"/>
      <c r="AB2764" s="17" t="s">
        <v>41</v>
      </c>
      <c r="AC2764" s="0" t="str">
        <f aca="false">LEFT(G2764,2)</f>
        <v/>
      </c>
    </row>
    <row r="2765" customFormat="false" ht="15" hidden="false" customHeight="false" outlineLevel="0" collapsed="false">
      <c r="A2765" s="13" t="n">
        <f aca="false">1+A2764</f>
        <v>2763</v>
      </c>
      <c r="B2765" s="14" t="n">
        <v>100</v>
      </c>
      <c r="C2765" s="15"/>
      <c r="D2765" s="16" t="s">
        <v>64</v>
      </c>
      <c r="E2765" s="17" t="s">
        <v>47</v>
      </c>
      <c r="F2765" s="18" t="s">
        <v>34</v>
      </c>
      <c r="G2765" s="19"/>
      <c r="H2765" s="17" t="s">
        <v>35</v>
      </c>
      <c r="I2765" s="17" t="s">
        <v>44</v>
      </c>
      <c r="J2765" s="17"/>
      <c r="K2765" s="17" t="e">
        <f aca="false">VLOOKUP(J2765,Sheet2!A:B,2,0)</f>
        <v>#N/A</v>
      </c>
      <c r="L2765" s="17" t="n">
        <v>5</v>
      </c>
      <c r="M2765" s="17" t="str">
        <f aca="false">VLOOKUP(L2765,Sheet2!D:E,2,0)</f>
        <v>Main Processor CPU BGA</v>
      </c>
      <c r="N2765" s="17" t="n">
        <v>1</v>
      </c>
      <c r="O2765" s="17" t="str">
        <f aca="false">VLOOKUP(N2765,Sheet2!G:H,2,0)</f>
        <v>Dead</v>
      </c>
      <c r="P2765" s="17" t="n">
        <v>11</v>
      </c>
      <c r="Q2765" s="17" t="str">
        <f aca="false">VLOOKUP(P2765,Sheet2!J:K,2,0)</f>
        <v>IR Declared due to CID -TA</v>
      </c>
      <c r="R2765" s="17" t="s">
        <v>35</v>
      </c>
      <c r="S2765" s="17" t="str">
        <f aca="false">VLOOKUP(R2765,Sheet2!N:O,2,0)</f>
        <v>IREPARABLE</v>
      </c>
      <c r="T2765" s="18" t="str">
        <f aca="false">VLOOKUP(P2765,Sheet2!Q:R,2,0)</f>
        <v>IR Normal - Track burn out</v>
      </c>
      <c r="U2765" s="20" t="s">
        <v>41</v>
      </c>
      <c r="V2765" s="17"/>
      <c r="W2765" s="20" t="e">
        <f aca="false">VLOOKUP(V2765,Sheet2!Q:R,2,0)</f>
        <v>#N/A</v>
      </c>
      <c r="X2765" s="17" t="n">
        <f aca="false">J2765</f>
        <v>0</v>
      </c>
      <c r="Y2765" s="17" t="e">
        <f aca="false">VLOOKUP(X2765,Sheet2!A:B,2,0)</f>
        <v>#N/A</v>
      </c>
      <c r="Z2765" s="17"/>
      <c r="AA2765" s="17"/>
      <c r="AB2765" s="17" t="s">
        <v>41</v>
      </c>
      <c r="AC2765" s="0" t="str">
        <f aca="false">LEFT(G2765,2)</f>
        <v/>
      </c>
    </row>
    <row r="2766" customFormat="false" ht="15" hidden="false" customHeight="false" outlineLevel="0" collapsed="false">
      <c r="A2766" s="13" t="n">
        <f aca="false">1+A2765</f>
        <v>2764</v>
      </c>
      <c r="B2766" s="14" t="n">
        <v>100</v>
      </c>
      <c r="C2766" s="15"/>
      <c r="D2766" s="16" t="s">
        <v>64</v>
      </c>
      <c r="E2766" s="17" t="s">
        <v>47</v>
      </c>
      <c r="F2766" s="18" t="s">
        <v>34</v>
      </c>
      <c r="G2766" s="19"/>
      <c r="H2766" s="17" t="s">
        <v>35</v>
      </c>
      <c r="I2766" s="17" t="s">
        <v>44</v>
      </c>
      <c r="J2766" s="17"/>
      <c r="K2766" s="17" t="e">
        <f aca="false">VLOOKUP(J2766,Sheet2!A:B,2,0)</f>
        <v>#N/A</v>
      </c>
      <c r="L2766" s="17" t="n">
        <v>5</v>
      </c>
      <c r="M2766" s="17" t="str">
        <f aca="false">VLOOKUP(L2766,Sheet2!D:E,2,0)</f>
        <v>Main Processor CPU BGA</v>
      </c>
      <c r="N2766" s="17" t="n">
        <v>1</v>
      </c>
      <c r="O2766" s="17" t="str">
        <f aca="false">VLOOKUP(N2766,Sheet2!G:H,2,0)</f>
        <v>Dead</v>
      </c>
      <c r="P2766" s="17" t="n">
        <v>11</v>
      </c>
      <c r="Q2766" s="17" t="str">
        <f aca="false">VLOOKUP(P2766,Sheet2!J:K,2,0)</f>
        <v>IR Declared due to CID -TA</v>
      </c>
      <c r="R2766" s="17" t="s">
        <v>35</v>
      </c>
      <c r="S2766" s="17" t="str">
        <f aca="false">VLOOKUP(R2766,Sheet2!N:O,2,0)</f>
        <v>IREPARABLE</v>
      </c>
      <c r="T2766" s="18" t="str">
        <f aca="false">VLOOKUP(P2766,Sheet2!Q:R,2,0)</f>
        <v>IR Normal - Track burn out</v>
      </c>
      <c r="U2766" s="20" t="s">
        <v>41</v>
      </c>
      <c r="V2766" s="17"/>
      <c r="W2766" s="20" t="e">
        <f aca="false">VLOOKUP(V2766,Sheet2!Q:R,2,0)</f>
        <v>#N/A</v>
      </c>
      <c r="X2766" s="17" t="n">
        <f aca="false">J2766</f>
        <v>0</v>
      </c>
      <c r="Y2766" s="17" t="e">
        <f aca="false">VLOOKUP(X2766,Sheet2!A:B,2,0)</f>
        <v>#N/A</v>
      </c>
      <c r="Z2766" s="17"/>
      <c r="AA2766" s="17"/>
      <c r="AB2766" s="17" t="s">
        <v>41</v>
      </c>
      <c r="AC2766" s="0" t="str">
        <f aca="false">LEFT(G2766,2)</f>
        <v/>
      </c>
    </row>
    <row r="2767" customFormat="false" ht="15" hidden="false" customHeight="false" outlineLevel="0" collapsed="false">
      <c r="A2767" s="13" t="n">
        <f aca="false">1+A2766</f>
        <v>2765</v>
      </c>
      <c r="B2767" s="14" t="n">
        <v>100</v>
      </c>
      <c r="C2767" s="15"/>
      <c r="D2767" s="16" t="s">
        <v>64</v>
      </c>
      <c r="E2767" s="17" t="s">
        <v>47</v>
      </c>
      <c r="F2767" s="18" t="s">
        <v>34</v>
      </c>
      <c r="G2767" s="19"/>
      <c r="H2767" s="17" t="s">
        <v>35</v>
      </c>
      <c r="I2767" s="17" t="s">
        <v>44</v>
      </c>
      <c r="J2767" s="17"/>
      <c r="K2767" s="17" t="e">
        <f aca="false">VLOOKUP(J2767,Sheet2!A:B,2,0)</f>
        <v>#N/A</v>
      </c>
      <c r="L2767" s="17" t="n">
        <v>5</v>
      </c>
      <c r="M2767" s="17" t="str">
        <f aca="false">VLOOKUP(L2767,Sheet2!D:E,2,0)</f>
        <v>Main Processor CPU BGA</v>
      </c>
      <c r="N2767" s="17" t="n">
        <v>1</v>
      </c>
      <c r="O2767" s="17" t="str">
        <f aca="false">VLOOKUP(N2767,Sheet2!G:H,2,0)</f>
        <v>Dead</v>
      </c>
      <c r="P2767" s="17" t="n">
        <v>11</v>
      </c>
      <c r="Q2767" s="17" t="str">
        <f aca="false">VLOOKUP(P2767,Sheet2!J:K,2,0)</f>
        <v>IR Declared due to CID -TA</v>
      </c>
      <c r="R2767" s="17" t="s">
        <v>35</v>
      </c>
      <c r="S2767" s="17" t="str">
        <f aca="false">VLOOKUP(R2767,Sheet2!N:O,2,0)</f>
        <v>IREPARABLE</v>
      </c>
      <c r="T2767" s="18" t="str">
        <f aca="false">VLOOKUP(P2767,Sheet2!Q:R,2,0)</f>
        <v>IR Normal - Track burn out</v>
      </c>
      <c r="U2767" s="20" t="s">
        <v>41</v>
      </c>
      <c r="V2767" s="17"/>
      <c r="W2767" s="20" t="e">
        <f aca="false">VLOOKUP(V2767,Sheet2!Q:R,2,0)</f>
        <v>#N/A</v>
      </c>
      <c r="X2767" s="17" t="n">
        <f aca="false">J2767</f>
        <v>0</v>
      </c>
      <c r="Y2767" s="17" t="e">
        <f aca="false">VLOOKUP(X2767,Sheet2!A:B,2,0)</f>
        <v>#N/A</v>
      </c>
      <c r="Z2767" s="17"/>
      <c r="AA2767" s="17"/>
      <c r="AB2767" s="17" t="s">
        <v>41</v>
      </c>
      <c r="AC2767" s="0" t="str">
        <f aca="false">LEFT(G2767,2)</f>
        <v/>
      </c>
    </row>
    <row r="2768" customFormat="false" ht="15" hidden="false" customHeight="false" outlineLevel="0" collapsed="false">
      <c r="A2768" s="13" t="n">
        <f aca="false">1+A2767</f>
        <v>2766</v>
      </c>
      <c r="B2768" s="14" t="n">
        <v>100</v>
      </c>
      <c r="C2768" s="15"/>
      <c r="D2768" s="16" t="s">
        <v>64</v>
      </c>
      <c r="E2768" s="17" t="s">
        <v>47</v>
      </c>
      <c r="F2768" s="18" t="s">
        <v>34</v>
      </c>
      <c r="G2768" s="19"/>
      <c r="H2768" s="17" t="s">
        <v>35</v>
      </c>
      <c r="I2768" s="17" t="s">
        <v>44</v>
      </c>
      <c r="J2768" s="17"/>
      <c r="K2768" s="17" t="e">
        <f aca="false">VLOOKUP(J2768,Sheet2!A:B,2,0)</f>
        <v>#N/A</v>
      </c>
      <c r="L2768" s="17" t="n">
        <v>5</v>
      </c>
      <c r="M2768" s="17" t="str">
        <f aca="false">VLOOKUP(L2768,Sheet2!D:E,2,0)</f>
        <v>Main Processor CPU BGA</v>
      </c>
      <c r="N2768" s="17" t="n">
        <v>1</v>
      </c>
      <c r="O2768" s="17" t="str">
        <f aca="false">VLOOKUP(N2768,Sheet2!G:H,2,0)</f>
        <v>Dead</v>
      </c>
      <c r="P2768" s="17" t="n">
        <v>11</v>
      </c>
      <c r="Q2768" s="17" t="str">
        <f aca="false">VLOOKUP(P2768,Sheet2!J:K,2,0)</f>
        <v>IR Declared due to CID -TA</v>
      </c>
      <c r="R2768" s="17" t="s">
        <v>35</v>
      </c>
      <c r="S2768" s="17" t="str">
        <f aca="false">VLOOKUP(R2768,Sheet2!N:O,2,0)</f>
        <v>IREPARABLE</v>
      </c>
      <c r="T2768" s="18" t="str">
        <f aca="false">VLOOKUP(P2768,Sheet2!Q:R,2,0)</f>
        <v>IR Normal - Track burn out</v>
      </c>
      <c r="U2768" s="20" t="s">
        <v>41</v>
      </c>
      <c r="V2768" s="17"/>
      <c r="W2768" s="20" t="e">
        <f aca="false">VLOOKUP(V2768,Sheet2!Q:R,2,0)</f>
        <v>#N/A</v>
      </c>
      <c r="X2768" s="17" t="n">
        <f aca="false">J2768</f>
        <v>0</v>
      </c>
      <c r="Y2768" s="17" t="e">
        <f aca="false">VLOOKUP(X2768,Sheet2!A:B,2,0)</f>
        <v>#N/A</v>
      </c>
      <c r="Z2768" s="17"/>
      <c r="AA2768" s="17"/>
      <c r="AB2768" s="17" t="s">
        <v>41</v>
      </c>
      <c r="AC2768" s="0" t="str">
        <f aca="false">LEFT(G2768,2)</f>
        <v/>
      </c>
    </row>
    <row r="2769" customFormat="false" ht="15" hidden="false" customHeight="false" outlineLevel="0" collapsed="false">
      <c r="A2769" s="13" t="n">
        <f aca="false">1+A2768</f>
        <v>2767</v>
      </c>
      <c r="B2769" s="14" t="n">
        <v>100</v>
      </c>
      <c r="C2769" s="15"/>
      <c r="D2769" s="16" t="s">
        <v>64</v>
      </c>
      <c r="E2769" s="17" t="s">
        <v>47</v>
      </c>
      <c r="F2769" s="18" t="s">
        <v>34</v>
      </c>
      <c r="G2769" s="19"/>
      <c r="H2769" s="17" t="s">
        <v>35</v>
      </c>
      <c r="I2769" s="17" t="s">
        <v>44</v>
      </c>
      <c r="J2769" s="17"/>
      <c r="K2769" s="17" t="e">
        <f aca="false">VLOOKUP(J2769,Sheet2!A:B,2,0)</f>
        <v>#N/A</v>
      </c>
      <c r="L2769" s="17" t="n">
        <v>5</v>
      </c>
      <c r="M2769" s="17" t="str">
        <f aca="false">VLOOKUP(L2769,Sheet2!D:E,2,0)</f>
        <v>Main Processor CPU BGA</v>
      </c>
      <c r="N2769" s="17" t="n">
        <v>1</v>
      </c>
      <c r="O2769" s="17" t="str">
        <f aca="false">VLOOKUP(N2769,Sheet2!G:H,2,0)</f>
        <v>Dead</v>
      </c>
      <c r="P2769" s="17" t="n">
        <v>11</v>
      </c>
      <c r="Q2769" s="17" t="str">
        <f aca="false">VLOOKUP(P2769,Sheet2!J:K,2,0)</f>
        <v>IR Declared due to CID -TA</v>
      </c>
      <c r="R2769" s="17" t="s">
        <v>35</v>
      </c>
      <c r="S2769" s="17" t="str">
        <f aca="false">VLOOKUP(R2769,Sheet2!N:O,2,0)</f>
        <v>IREPARABLE</v>
      </c>
      <c r="T2769" s="18" t="str">
        <f aca="false">VLOOKUP(P2769,Sheet2!Q:R,2,0)</f>
        <v>IR Normal - Track burn out</v>
      </c>
      <c r="U2769" s="20" t="s">
        <v>41</v>
      </c>
      <c r="V2769" s="17"/>
      <c r="W2769" s="20" t="e">
        <f aca="false">VLOOKUP(V2769,Sheet2!Q:R,2,0)</f>
        <v>#N/A</v>
      </c>
      <c r="X2769" s="17" t="n">
        <f aca="false">J2769</f>
        <v>0</v>
      </c>
      <c r="Y2769" s="17" t="e">
        <f aca="false">VLOOKUP(X2769,Sheet2!A:B,2,0)</f>
        <v>#N/A</v>
      </c>
      <c r="Z2769" s="17"/>
      <c r="AA2769" s="17"/>
      <c r="AB2769" s="17" t="s">
        <v>41</v>
      </c>
      <c r="AC2769" s="0" t="str">
        <f aca="false">LEFT(G2769,2)</f>
        <v/>
      </c>
      <c r="AD2769" s="0"/>
    </row>
    <row r="2770" customFormat="false" ht="15" hidden="false" customHeight="false" outlineLevel="0" collapsed="false">
      <c r="A2770" s="13" t="n">
        <f aca="false">1+A2769</f>
        <v>2768</v>
      </c>
      <c r="B2770" s="14" t="n">
        <v>100</v>
      </c>
      <c r="C2770" s="15"/>
      <c r="D2770" s="16" t="s">
        <v>64</v>
      </c>
      <c r="E2770" s="17" t="s">
        <v>47</v>
      </c>
      <c r="F2770" s="18" t="s">
        <v>34</v>
      </c>
      <c r="G2770" s="19"/>
      <c r="H2770" s="17" t="s">
        <v>35</v>
      </c>
      <c r="I2770" s="17" t="s">
        <v>44</v>
      </c>
      <c r="J2770" s="17"/>
      <c r="K2770" s="17" t="e">
        <f aca="false">VLOOKUP(J2770,Sheet2!A:B,2,0)</f>
        <v>#N/A</v>
      </c>
      <c r="L2770" s="17" t="n">
        <v>5</v>
      </c>
      <c r="M2770" s="17" t="str">
        <f aca="false">VLOOKUP(L2770,Sheet2!D:E,2,0)</f>
        <v>Main Processor CPU BGA</v>
      </c>
      <c r="N2770" s="17" t="n">
        <v>1</v>
      </c>
      <c r="O2770" s="17" t="str">
        <f aca="false">VLOOKUP(N2770,Sheet2!G:H,2,0)</f>
        <v>Dead</v>
      </c>
      <c r="P2770" s="17" t="n">
        <v>11</v>
      </c>
      <c r="Q2770" s="17" t="str">
        <f aca="false">VLOOKUP(P2770,Sheet2!J:K,2,0)</f>
        <v>IR Declared due to CID -TA</v>
      </c>
      <c r="R2770" s="17" t="s">
        <v>35</v>
      </c>
      <c r="S2770" s="17" t="str">
        <f aca="false">VLOOKUP(R2770,Sheet2!N:O,2,0)</f>
        <v>IREPARABLE</v>
      </c>
      <c r="T2770" s="18" t="str">
        <f aca="false">VLOOKUP(P2770,Sheet2!Q:R,2,0)</f>
        <v>IR Normal - Track burn out</v>
      </c>
      <c r="U2770" s="20" t="s">
        <v>41</v>
      </c>
      <c r="V2770" s="17"/>
      <c r="W2770" s="20" t="e">
        <f aca="false">VLOOKUP(V2770,Sheet2!Q:R,2,0)</f>
        <v>#N/A</v>
      </c>
      <c r="X2770" s="17" t="n">
        <f aca="false">J2770</f>
        <v>0</v>
      </c>
      <c r="Y2770" s="17" t="e">
        <f aca="false">VLOOKUP(X2770,Sheet2!A:B,2,0)</f>
        <v>#N/A</v>
      </c>
      <c r="Z2770" s="17"/>
      <c r="AA2770" s="17"/>
      <c r="AB2770" s="17" t="s">
        <v>41</v>
      </c>
      <c r="AC2770" s="0" t="str">
        <f aca="false">LEFT(G2770,2)</f>
        <v/>
      </c>
      <c r="AD2770" s="0"/>
    </row>
    <row r="2771" customFormat="false" ht="15" hidden="false" customHeight="false" outlineLevel="0" collapsed="false">
      <c r="A2771" s="13" t="n">
        <f aca="false">1+A2770</f>
        <v>2769</v>
      </c>
      <c r="B2771" s="14" t="n">
        <v>100</v>
      </c>
      <c r="C2771" s="15"/>
      <c r="D2771" s="16" t="s">
        <v>64</v>
      </c>
      <c r="E2771" s="17" t="s">
        <v>47</v>
      </c>
      <c r="F2771" s="18" t="s">
        <v>34</v>
      </c>
      <c r="G2771" s="19"/>
      <c r="H2771" s="17" t="s">
        <v>35</v>
      </c>
      <c r="I2771" s="17" t="s">
        <v>44</v>
      </c>
      <c r="J2771" s="17"/>
      <c r="K2771" s="17" t="e">
        <f aca="false">VLOOKUP(J2771,Sheet2!A:B,2,0)</f>
        <v>#N/A</v>
      </c>
      <c r="L2771" s="17" t="n">
        <v>5</v>
      </c>
      <c r="M2771" s="17" t="str">
        <f aca="false">VLOOKUP(L2771,Sheet2!D:E,2,0)</f>
        <v>Main Processor CPU BGA</v>
      </c>
      <c r="N2771" s="17" t="n">
        <v>1</v>
      </c>
      <c r="O2771" s="17" t="str">
        <f aca="false">VLOOKUP(N2771,Sheet2!G:H,2,0)</f>
        <v>Dead</v>
      </c>
      <c r="P2771" s="17" t="n">
        <v>11</v>
      </c>
      <c r="Q2771" s="17" t="str">
        <f aca="false">VLOOKUP(P2771,Sheet2!J:K,2,0)</f>
        <v>IR Declared due to CID -TA</v>
      </c>
      <c r="R2771" s="17" t="s">
        <v>35</v>
      </c>
      <c r="S2771" s="17" t="str">
        <f aca="false">VLOOKUP(R2771,Sheet2!N:O,2,0)</f>
        <v>IREPARABLE</v>
      </c>
      <c r="T2771" s="18" t="str">
        <f aca="false">VLOOKUP(P2771,Sheet2!Q:R,2,0)</f>
        <v>IR Normal - Track burn out</v>
      </c>
      <c r="U2771" s="20" t="s">
        <v>41</v>
      </c>
      <c r="V2771" s="17"/>
      <c r="W2771" s="20" t="e">
        <f aca="false">VLOOKUP(V2771,Sheet2!Q:R,2,0)</f>
        <v>#N/A</v>
      </c>
      <c r="X2771" s="17" t="n">
        <f aca="false">J2771</f>
        <v>0</v>
      </c>
      <c r="Y2771" s="17" t="e">
        <f aca="false">VLOOKUP(X2771,Sheet2!A:B,2,0)</f>
        <v>#N/A</v>
      </c>
      <c r="Z2771" s="17"/>
      <c r="AA2771" s="17"/>
      <c r="AB2771" s="17" t="s">
        <v>41</v>
      </c>
      <c r="AC2771" s="0" t="str">
        <f aca="false">LEFT(G2771,2)</f>
        <v/>
      </c>
      <c r="AD2771" s="0"/>
    </row>
    <row r="2772" customFormat="false" ht="15" hidden="false" customHeight="false" outlineLevel="0" collapsed="false">
      <c r="A2772" s="13" t="n">
        <f aca="false">1+A2771</f>
        <v>2770</v>
      </c>
      <c r="B2772" s="14" t="n">
        <v>100</v>
      </c>
      <c r="C2772" s="15"/>
      <c r="D2772" s="16" t="s">
        <v>64</v>
      </c>
      <c r="E2772" s="17" t="s">
        <v>47</v>
      </c>
      <c r="F2772" s="18" t="s">
        <v>34</v>
      </c>
      <c r="G2772" s="19"/>
      <c r="H2772" s="17" t="s">
        <v>35</v>
      </c>
      <c r="I2772" s="17" t="s">
        <v>44</v>
      </c>
      <c r="J2772" s="17"/>
      <c r="K2772" s="17" t="e">
        <f aca="false">VLOOKUP(J2772,Sheet2!A:B,2,0)</f>
        <v>#N/A</v>
      </c>
      <c r="L2772" s="17" t="n">
        <v>5</v>
      </c>
      <c r="M2772" s="17" t="str">
        <f aca="false">VLOOKUP(L2772,Sheet2!D:E,2,0)</f>
        <v>Main Processor CPU BGA</v>
      </c>
      <c r="N2772" s="17" t="n">
        <v>1</v>
      </c>
      <c r="O2772" s="17" t="str">
        <f aca="false">VLOOKUP(N2772,Sheet2!G:H,2,0)</f>
        <v>Dead</v>
      </c>
      <c r="P2772" s="17" t="n">
        <v>11</v>
      </c>
      <c r="Q2772" s="17" t="str">
        <f aca="false">VLOOKUP(P2772,Sheet2!J:K,2,0)</f>
        <v>IR Declared due to CID -TA</v>
      </c>
      <c r="R2772" s="17" t="s">
        <v>35</v>
      </c>
      <c r="S2772" s="17" t="str">
        <f aca="false">VLOOKUP(R2772,Sheet2!N:O,2,0)</f>
        <v>IREPARABLE</v>
      </c>
      <c r="T2772" s="18" t="str">
        <f aca="false">VLOOKUP(P2772,Sheet2!Q:R,2,0)</f>
        <v>IR Normal - Track burn out</v>
      </c>
      <c r="U2772" s="20" t="s">
        <v>41</v>
      </c>
      <c r="V2772" s="17"/>
      <c r="W2772" s="20" t="e">
        <f aca="false">VLOOKUP(V2772,Sheet2!Q:R,2,0)</f>
        <v>#N/A</v>
      </c>
      <c r="X2772" s="17" t="n">
        <f aca="false">J2772</f>
        <v>0</v>
      </c>
      <c r="Y2772" s="17" t="e">
        <f aca="false">VLOOKUP(X2772,Sheet2!A:B,2,0)</f>
        <v>#N/A</v>
      </c>
      <c r="Z2772" s="17"/>
      <c r="AA2772" s="17"/>
      <c r="AB2772" s="17" t="s">
        <v>41</v>
      </c>
      <c r="AC2772" s="0" t="str">
        <f aca="false">LEFT(G2772,2)</f>
        <v/>
      </c>
      <c r="AD2772" s="0"/>
    </row>
    <row r="2773" customFormat="false" ht="15" hidden="false" customHeight="false" outlineLevel="0" collapsed="false">
      <c r="A2773" s="13" t="n">
        <f aca="false">1+A2772</f>
        <v>2771</v>
      </c>
      <c r="B2773" s="14" t="n">
        <v>100</v>
      </c>
      <c r="C2773" s="15"/>
      <c r="D2773" s="16" t="s">
        <v>64</v>
      </c>
      <c r="E2773" s="17" t="s">
        <v>47</v>
      </c>
      <c r="F2773" s="18" t="s">
        <v>34</v>
      </c>
      <c r="G2773" s="19"/>
      <c r="H2773" s="17" t="s">
        <v>35</v>
      </c>
      <c r="I2773" s="17" t="s">
        <v>44</v>
      </c>
      <c r="J2773" s="17"/>
      <c r="K2773" s="17" t="e">
        <f aca="false">VLOOKUP(J2773,Sheet2!A:B,2,0)</f>
        <v>#N/A</v>
      </c>
      <c r="L2773" s="17" t="n">
        <v>5</v>
      </c>
      <c r="M2773" s="17" t="str">
        <f aca="false">VLOOKUP(L2773,Sheet2!D:E,2,0)</f>
        <v>Main Processor CPU BGA</v>
      </c>
      <c r="N2773" s="17" t="n">
        <v>1</v>
      </c>
      <c r="O2773" s="17" t="str">
        <f aca="false">VLOOKUP(N2773,Sheet2!G:H,2,0)</f>
        <v>Dead</v>
      </c>
      <c r="P2773" s="17" t="n">
        <v>11</v>
      </c>
      <c r="Q2773" s="17" t="str">
        <f aca="false">VLOOKUP(P2773,Sheet2!J:K,2,0)</f>
        <v>IR Declared due to CID -TA</v>
      </c>
      <c r="R2773" s="17" t="s">
        <v>35</v>
      </c>
      <c r="S2773" s="17" t="str">
        <f aca="false">VLOOKUP(R2773,Sheet2!N:O,2,0)</f>
        <v>IREPARABLE</v>
      </c>
      <c r="T2773" s="18" t="str">
        <f aca="false">VLOOKUP(P2773,Sheet2!Q:R,2,0)</f>
        <v>IR Normal - Track burn out</v>
      </c>
      <c r="U2773" s="20" t="s">
        <v>41</v>
      </c>
      <c r="V2773" s="17"/>
      <c r="W2773" s="20" t="e">
        <f aca="false">VLOOKUP(V2773,Sheet2!Q:R,2,0)</f>
        <v>#N/A</v>
      </c>
      <c r="X2773" s="17" t="n">
        <f aca="false">J2773</f>
        <v>0</v>
      </c>
      <c r="Y2773" s="17" t="e">
        <f aca="false">VLOOKUP(X2773,Sheet2!A:B,2,0)</f>
        <v>#N/A</v>
      </c>
      <c r="Z2773" s="17"/>
      <c r="AA2773" s="17"/>
      <c r="AB2773" s="17" t="s">
        <v>41</v>
      </c>
      <c r="AC2773" s="0" t="str">
        <f aca="false">LEFT(G2773,2)</f>
        <v/>
      </c>
      <c r="AD2773" s="0"/>
    </row>
    <row r="2774" customFormat="false" ht="15" hidden="false" customHeight="false" outlineLevel="0" collapsed="false">
      <c r="A2774" s="13" t="n">
        <f aca="false">1+A2773</f>
        <v>2772</v>
      </c>
      <c r="B2774" s="14" t="n">
        <v>100</v>
      </c>
      <c r="C2774" s="15"/>
      <c r="D2774" s="16" t="s">
        <v>64</v>
      </c>
      <c r="E2774" s="17" t="s">
        <v>47</v>
      </c>
      <c r="F2774" s="18" t="s">
        <v>34</v>
      </c>
      <c r="G2774" s="19"/>
      <c r="H2774" s="17" t="s">
        <v>35</v>
      </c>
      <c r="I2774" s="17" t="s">
        <v>44</v>
      </c>
      <c r="J2774" s="17"/>
      <c r="K2774" s="17" t="e">
        <f aca="false">VLOOKUP(J2774,Sheet2!A:B,2,0)</f>
        <v>#N/A</v>
      </c>
      <c r="L2774" s="17" t="n">
        <v>5</v>
      </c>
      <c r="M2774" s="17" t="str">
        <f aca="false">VLOOKUP(L2774,Sheet2!D:E,2,0)</f>
        <v>Main Processor CPU BGA</v>
      </c>
      <c r="N2774" s="17" t="n">
        <v>1</v>
      </c>
      <c r="O2774" s="17" t="str">
        <f aca="false">VLOOKUP(N2774,Sheet2!G:H,2,0)</f>
        <v>Dead</v>
      </c>
      <c r="P2774" s="17" t="n">
        <v>11</v>
      </c>
      <c r="Q2774" s="17" t="str">
        <f aca="false">VLOOKUP(P2774,Sheet2!J:K,2,0)</f>
        <v>IR Declared due to CID -TA</v>
      </c>
      <c r="R2774" s="17" t="s">
        <v>35</v>
      </c>
      <c r="S2774" s="17" t="str">
        <f aca="false">VLOOKUP(R2774,Sheet2!N:O,2,0)</f>
        <v>IREPARABLE</v>
      </c>
      <c r="T2774" s="18" t="str">
        <f aca="false">VLOOKUP(P2774,Sheet2!Q:R,2,0)</f>
        <v>IR Normal - Track burn out</v>
      </c>
      <c r="U2774" s="20" t="s">
        <v>41</v>
      </c>
      <c r="V2774" s="17"/>
      <c r="W2774" s="20" t="e">
        <f aca="false">VLOOKUP(V2774,Sheet2!Q:R,2,0)</f>
        <v>#N/A</v>
      </c>
      <c r="X2774" s="17" t="n">
        <f aca="false">J2774</f>
        <v>0</v>
      </c>
      <c r="Y2774" s="17" t="e">
        <f aca="false">VLOOKUP(X2774,Sheet2!A:B,2,0)</f>
        <v>#N/A</v>
      </c>
      <c r="Z2774" s="17"/>
      <c r="AA2774" s="17"/>
      <c r="AB2774" s="17" t="s">
        <v>41</v>
      </c>
      <c r="AC2774" s="0" t="str">
        <f aca="false">LEFT(G2774,2)</f>
        <v/>
      </c>
      <c r="AD2774" s="0"/>
    </row>
    <row r="2775" customFormat="false" ht="15" hidden="false" customHeight="false" outlineLevel="0" collapsed="false">
      <c r="A2775" s="13" t="n">
        <f aca="false">1+A2774</f>
        <v>2773</v>
      </c>
      <c r="B2775" s="14" t="n">
        <v>100</v>
      </c>
      <c r="C2775" s="15"/>
      <c r="D2775" s="16" t="s">
        <v>64</v>
      </c>
      <c r="E2775" s="17" t="s">
        <v>47</v>
      </c>
      <c r="F2775" s="18" t="s">
        <v>34</v>
      </c>
      <c r="G2775" s="19"/>
      <c r="H2775" s="17" t="s">
        <v>35</v>
      </c>
      <c r="I2775" s="17" t="s">
        <v>44</v>
      </c>
      <c r="J2775" s="17"/>
      <c r="K2775" s="17" t="e">
        <f aca="false">VLOOKUP(J2775,Sheet2!A:B,2,0)</f>
        <v>#N/A</v>
      </c>
      <c r="L2775" s="17" t="n">
        <v>5</v>
      </c>
      <c r="M2775" s="17" t="str">
        <f aca="false">VLOOKUP(L2775,Sheet2!D:E,2,0)</f>
        <v>Main Processor CPU BGA</v>
      </c>
      <c r="N2775" s="17" t="n">
        <v>1</v>
      </c>
      <c r="O2775" s="17" t="str">
        <f aca="false">VLOOKUP(N2775,Sheet2!G:H,2,0)</f>
        <v>Dead</v>
      </c>
      <c r="P2775" s="17" t="n">
        <v>11</v>
      </c>
      <c r="Q2775" s="17" t="str">
        <f aca="false">VLOOKUP(P2775,Sheet2!J:K,2,0)</f>
        <v>IR Declared due to CID -TA</v>
      </c>
      <c r="R2775" s="17" t="s">
        <v>35</v>
      </c>
      <c r="S2775" s="17" t="str">
        <f aca="false">VLOOKUP(R2775,Sheet2!N:O,2,0)</f>
        <v>IREPARABLE</v>
      </c>
      <c r="T2775" s="18" t="str">
        <f aca="false">VLOOKUP(P2775,Sheet2!Q:R,2,0)</f>
        <v>IR Normal - Track burn out</v>
      </c>
      <c r="U2775" s="20" t="s">
        <v>41</v>
      </c>
      <c r="V2775" s="17"/>
      <c r="W2775" s="20" t="e">
        <f aca="false">VLOOKUP(V2775,Sheet2!Q:R,2,0)</f>
        <v>#N/A</v>
      </c>
      <c r="X2775" s="17" t="n">
        <f aca="false">J2775</f>
        <v>0</v>
      </c>
      <c r="Y2775" s="17" t="e">
        <f aca="false">VLOOKUP(X2775,Sheet2!A:B,2,0)</f>
        <v>#N/A</v>
      </c>
      <c r="Z2775" s="17"/>
      <c r="AA2775" s="17"/>
      <c r="AB2775" s="17" t="s">
        <v>41</v>
      </c>
      <c r="AC2775" s="0" t="str">
        <f aca="false">LEFT(G2775,2)</f>
        <v/>
      </c>
      <c r="AD2775" s="0"/>
    </row>
    <row r="2776" customFormat="false" ht="15" hidden="false" customHeight="false" outlineLevel="0" collapsed="false">
      <c r="A2776" s="13" t="n">
        <f aca="false">1+A2775</f>
        <v>2774</v>
      </c>
      <c r="B2776" s="14" t="n">
        <v>100</v>
      </c>
      <c r="C2776" s="15"/>
      <c r="D2776" s="16" t="s">
        <v>64</v>
      </c>
      <c r="E2776" s="17" t="s">
        <v>47</v>
      </c>
      <c r="F2776" s="18" t="s">
        <v>34</v>
      </c>
      <c r="G2776" s="19"/>
      <c r="H2776" s="17" t="s">
        <v>35</v>
      </c>
      <c r="I2776" s="17" t="s">
        <v>44</v>
      </c>
      <c r="J2776" s="17"/>
      <c r="K2776" s="17" t="e">
        <f aca="false">VLOOKUP(J2776,Sheet2!A:B,2,0)</f>
        <v>#N/A</v>
      </c>
      <c r="L2776" s="17" t="n">
        <v>5</v>
      </c>
      <c r="M2776" s="17" t="str">
        <f aca="false">VLOOKUP(L2776,Sheet2!D:E,2,0)</f>
        <v>Main Processor CPU BGA</v>
      </c>
      <c r="N2776" s="17" t="n">
        <v>1</v>
      </c>
      <c r="O2776" s="17" t="str">
        <f aca="false">VLOOKUP(N2776,Sheet2!G:H,2,0)</f>
        <v>Dead</v>
      </c>
      <c r="P2776" s="17" t="n">
        <v>11</v>
      </c>
      <c r="Q2776" s="17" t="str">
        <f aca="false">VLOOKUP(P2776,Sheet2!J:K,2,0)</f>
        <v>IR Declared due to CID -TA</v>
      </c>
      <c r="R2776" s="17" t="s">
        <v>35</v>
      </c>
      <c r="S2776" s="17" t="str">
        <f aca="false">VLOOKUP(R2776,Sheet2!N:O,2,0)</f>
        <v>IREPARABLE</v>
      </c>
      <c r="T2776" s="18" t="str">
        <f aca="false">VLOOKUP(P2776,Sheet2!Q:R,2,0)</f>
        <v>IR Normal - Track burn out</v>
      </c>
      <c r="U2776" s="20" t="s">
        <v>41</v>
      </c>
      <c r="V2776" s="17"/>
      <c r="W2776" s="20" t="e">
        <f aca="false">VLOOKUP(V2776,Sheet2!Q:R,2,0)</f>
        <v>#N/A</v>
      </c>
      <c r="X2776" s="17" t="n">
        <f aca="false">J2776</f>
        <v>0</v>
      </c>
      <c r="Y2776" s="17" t="e">
        <f aca="false">VLOOKUP(X2776,Sheet2!A:B,2,0)</f>
        <v>#N/A</v>
      </c>
      <c r="Z2776" s="17"/>
      <c r="AA2776" s="17"/>
      <c r="AB2776" s="17" t="s">
        <v>41</v>
      </c>
      <c r="AC2776" s="0" t="str">
        <f aca="false">LEFT(G2776,2)</f>
        <v/>
      </c>
      <c r="AD2776" s="0"/>
    </row>
    <row r="2777" customFormat="false" ht="15" hidden="false" customHeight="false" outlineLevel="0" collapsed="false">
      <c r="A2777" s="13" t="n">
        <f aca="false">1+A2776</f>
        <v>2775</v>
      </c>
      <c r="B2777" s="14" t="n">
        <v>100</v>
      </c>
      <c r="C2777" s="15"/>
      <c r="D2777" s="16" t="s">
        <v>64</v>
      </c>
      <c r="E2777" s="17" t="s">
        <v>47</v>
      </c>
      <c r="F2777" s="18" t="s">
        <v>34</v>
      </c>
      <c r="G2777" s="19"/>
      <c r="H2777" s="17" t="s">
        <v>35</v>
      </c>
      <c r="I2777" s="17" t="s">
        <v>44</v>
      </c>
      <c r="J2777" s="17"/>
      <c r="K2777" s="17" t="e">
        <f aca="false">VLOOKUP(J2777,Sheet2!A:B,2,0)</f>
        <v>#N/A</v>
      </c>
      <c r="L2777" s="17" t="n">
        <v>5</v>
      </c>
      <c r="M2777" s="17" t="str">
        <f aca="false">VLOOKUP(L2777,Sheet2!D:E,2,0)</f>
        <v>Main Processor CPU BGA</v>
      </c>
      <c r="N2777" s="17" t="n">
        <v>1</v>
      </c>
      <c r="O2777" s="17" t="str">
        <f aca="false">VLOOKUP(N2777,Sheet2!G:H,2,0)</f>
        <v>Dead</v>
      </c>
      <c r="P2777" s="17" t="n">
        <v>11</v>
      </c>
      <c r="Q2777" s="17" t="str">
        <f aca="false">VLOOKUP(P2777,Sheet2!J:K,2,0)</f>
        <v>IR Declared due to CID -TA</v>
      </c>
      <c r="R2777" s="17" t="s">
        <v>35</v>
      </c>
      <c r="S2777" s="17" t="str">
        <f aca="false">VLOOKUP(R2777,Sheet2!N:O,2,0)</f>
        <v>IREPARABLE</v>
      </c>
      <c r="T2777" s="18" t="str">
        <f aca="false">VLOOKUP(P2777,Sheet2!Q:R,2,0)</f>
        <v>IR Normal - Track burn out</v>
      </c>
      <c r="U2777" s="20" t="s">
        <v>41</v>
      </c>
      <c r="V2777" s="17"/>
      <c r="W2777" s="20" t="e">
        <f aca="false">VLOOKUP(V2777,Sheet2!Q:R,2,0)</f>
        <v>#N/A</v>
      </c>
      <c r="X2777" s="17" t="n">
        <f aca="false">J2777</f>
        <v>0</v>
      </c>
      <c r="Y2777" s="17" t="e">
        <f aca="false">VLOOKUP(X2777,Sheet2!A:B,2,0)</f>
        <v>#N/A</v>
      </c>
      <c r="Z2777" s="17"/>
      <c r="AA2777" s="17"/>
      <c r="AB2777" s="17" t="s">
        <v>41</v>
      </c>
      <c r="AC2777" s="0" t="str">
        <f aca="false">LEFT(G2777,2)</f>
        <v/>
      </c>
      <c r="AD2777" s="0"/>
    </row>
    <row r="2778" customFormat="false" ht="15" hidden="false" customHeight="false" outlineLevel="0" collapsed="false">
      <c r="A2778" s="13" t="n">
        <f aca="false">1+A2777</f>
        <v>2776</v>
      </c>
      <c r="B2778" s="14" t="n">
        <v>100</v>
      </c>
      <c r="C2778" s="15"/>
      <c r="D2778" s="16" t="s">
        <v>64</v>
      </c>
      <c r="E2778" s="17" t="s">
        <v>47</v>
      </c>
      <c r="F2778" s="18" t="s">
        <v>34</v>
      </c>
      <c r="G2778" s="19"/>
      <c r="H2778" s="17" t="s">
        <v>35</v>
      </c>
      <c r="I2778" s="17" t="s">
        <v>44</v>
      </c>
      <c r="J2778" s="17"/>
      <c r="K2778" s="17" t="e">
        <f aca="false">VLOOKUP(J2778,Sheet2!A:B,2,0)</f>
        <v>#N/A</v>
      </c>
      <c r="L2778" s="17" t="n">
        <v>5</v>
      </c>
      <c r="M2778" s="17" t="str">
        <f aca="false">VLOOKUP(L2778,Sheet2!D:E,2,0)</f>
        <v>Main Processor CPU BGA</v>
      </c>
      <c r="N2778" s="17" t="n">
        <v>1</v>
      </c>
      <c r="O2778" s="17" t="str">
        <f aca="false">VLOOKUP(N2778,Sheet2!G:H,2,0)</f>
        <v>Dead</v>
      </c>
      <c r="P2778" s="17" t="n">
        <v>11</v>
      </c>
      <c r="Q2778" s="17" t="str">
        <f aca="false">VLOOKUP(P2778,Sheet2!J:K,2,0)</f>
        <v>IR Declared due to CID -TA</v>
      </c>
      <c r="R2778" s="17" t="s">
        <v>35</v>
      </c>
      <c r="S2778" s="17" t="str">
        <f aca="false">VLOOKUP(R2778,Sheet2!N:O,2,0)</f>
        <v>IREPARABLE</v>
      </c>
      <c r="T2778" s="18" t="str">
        <f aca="false">VLOOKUP(P2778,Sheet2!Q:R,2,0)</f>
        <v>IR Normal - Track burn out</v>
      </c>
      <c r="U2778" s="20" t="s">
        <v>41</v>
      </c>
      <c r="V2778" s="17"/>
      <c r="W2778" s="20" t="e">
        <f aca="false">VLOOKUP(V2778,Sheet2!Q:R,2,0)</f>
        <v>#N/A</v>
      </c>
      <c r="X2778" s="17" t="n">
        <f aca="false">J2778</f>
        <v>0</v>
      </c>
      <c r="Y2778" s="17" t="e">
        <f aca="false">VLOOKUP(X2778,Sheet2!A:B,2,0)</f>
        <v>#N/A</v>
      </c>
      <c r="Z2778" s="17"/>
      <c r="AA2778" s="17"/>
      <c r="AB2778" s="17" t="s">
        <v>41</v>
      </c>
      <c r="AC2778" s="0" t="str">
        <f aca="false">LEFT(G2778,2)</f>
        <v/>
      </c>
      <c r="AD2778" s="0"/>
    </row>
    <row r="2779" customFormat="false" ht="15" hidden="false" customHeight="false" outlineLevel="0" collapsed="false">
      <c r="A2779" s="13" t="n">
        <f aca="false">1+A2778</f>
        <v>2777</v>
      </c>
      <c r="B2779" s="14" t="n">
        <v>100</v>
      </c>
      <c r="C2779" s="15"/>
      <c r="D2779" s="16" t="s">
        <v>64</v>
      </c>
      <c r="E2779" s="17" t="s">
        <v>47</v>
      </c>
      <c r="F2779" s="18" t="s">
        <v>34</v>
      </c>
      <c r="G2779" s="19"/>
      <c r="H2779" s="17" t="s">
        <v>35</v>
      </c>
      <c r="I2779" s="17" t="s">
        <v>44</v>
      </c>
      <c r="J2779" s="17"/>
      <c r="K2779" s="17" t="e">
        <f aca="false">VLOOKUP(J2779,Sheet2!A:B,2,0)</f>
        <v>#N/A</v>
      </c>
      <c r="L2779" s="17" t="n">
        <v>5</v>
      </c>
      <c r="M2779" s="17" t="str">
        <f aca="false">VLOOKUP(L2779,Sheet2!D:E,2,0)</f>
        <v>Main Processor CPU BGA</v>
      </c>
      <c r="N2779" s="17" t="n">
        <v>1</v>
      </c>
      <c r="O2779" s="17" t="str">
        <f aca="false">VLOOKUP(N2779,Sheet2!G:H,2,0)</f>
        <v>Dead</v>
      </c>
      <c r="P2779" s="17" t="n">
        <v>11</v>
      </c>
      <c r="Q2779" s="17" t="str">
        <f aca="false">VLOOKUP(P2779,Sheet2!J:K,2,0)</f>
        <v>IR Declared due to CID -TA</v>
      </c>
      <c r="R2779" s="17" t="s">
        <v>35</v>
      </c>
      <c r="S2779" s="17" t="str">
        <f aca="false">VLOOKUP(R2779,Sheet2!N:O,2,0)</f>
        <v>IREPARABLE</v>
      </c>
      <c r="T2779" s="18" t="str">
        <f aca="false">VLOOKUP(P2779,Sheet2!Q:R,2,0)</f>
        <v>IR Normal - Track burn out</v>
      </c>
      <c r="U2779" s="20" t="s">
        <v>41</v>
      </c>
      <c r="V2779" s="17"/>
      <c r="W2779" s="20" t="e">
        <f aca="false">VLOOKUP(V2779,Sheet2!Q:R,2,0)</f>
        <v>#N/A</v>
      </c>
      <c r="X2779" s="17" t="n">
        <f aca="false">J2779</f>
        <v>0</v>
      </c>
      <c r="Y2779" s="17" t="e">
        <f aca="false">VLOOKUP(X2779,Sheet2!A:B,2,0)</f>
        <v>#N/A</v>
      </c>
      <c r="Z2779" s="17"/>
      <c r="AA2779" s="17"/>
      <c r="AB2779" s="17" t="s">
        <v>41</v>
      </c>
      <c r="AC2779" s="0" t="str">
        <f aca="false">LEFT(G2779,2)</f>
        <v/>
      </c>
      <c r="AD2779" s="0"/>
    </row>
    <row r="2780" customFormat="false" ht="15" hidden="false" customHeight="false" outlineLevel="0" collapsed="false">
      <c r="A2780" s="13" t="n">
        <f aca="false">1+A2779</f>
        <v>2778</v>
      </c>
      <c r="B2780" s="14" t="n">
        <v>100</v>
      </c>
      <c r="C2780" s="15"/>
      <c r="D2780" s="16" t="s">
        <v>64</v>
      </c>
      <c r="E2780" s="17" t="s">
        <v>47</v>
      </c>
      <c r="F2780" s="18" t="s">
        <v>34</v>
      </c>
      <c r="G2780" s="19"/>
      <c r="H2780" s="17" t="s">
        <v>35</v>
      </c>
      <c r="I2780" s="17" t="s">
        <v>44</v>
      </c>
      <c r="J2780" s="17"/>
      <c r="K2780" s="17" t="e">
        <f aca="false">VLOOKUP(J2780,Sheet2!A:B,2,0)</f>
        <v>#N/A</v>
      </c>
      <c r="L2780" s="17" t="n">
        <v>5</v>
      </c>
      <c r="M2780" s="17" t="str">
        <f aca="false">VLOOKUP(L2780,Sheet2!D:E,2,0)</f>
        <v>Main Processor CPU BGA</v>
      </c>
      <c r="N2780" s="17" t="n">
        <v>1</v>
      </c>
      <c r="O2780" s="17" t="str">
        <f aca="false">VLOOKUP(N2780,Sheet2!G:H,2,0)</f>
        <v>Dead</v>
      </c>
      <c r="P2780" s="17" t="n">
        <v>11</v>
      </c>
      <c r="Q2780" s="17" t="str">
        <f aca="false">VLOOKUP(P2780,Sheet2!J:K,2,0)</f>
        <v>IR Declared due to CID -TA</v>
      </c>
      <c r="R2780" s="17" t="s">
        <v>35</v>
      </c>
      <c r="S2780" s="17" t="str">
        <f aca="false">VLOOKUP(R2780,Sheet2!N:O,2,0)</f>
        <v>IREPARABLE</v>
      </c>
      <c r="T2780" s="18" t="str">
        <f aca="false">VLOOKUP(P2780,Sheet2!Q:R,2,0)</f>
        <v>IR Normal - Track burn out</v>
      </c>
      <c r="U2780" s="20" t="s">
        <v>41</v>
      </c>
      <c r="V2780" s="17"/>
      <c r="W2780" s="20" t="e">
        <f aca="false">VLOOKUP(V2780,Sheet2!Q:R,2,0)</f>
        <v>#N/A</v>
      </c>
      <c r="X2780" s="17" t="n">
        <f aca="false">J2780</f>
        <v>0</v>
      </c>
      <c r="Y2780" s="17" t="e">
        <f aca="false">VLOOKUP(X2780,Sheet2!A:B,2,0)</f>
        <v>#N/A</v>
      </c>
      <c r="Z2780" s="17"/>
      <c r="AA2780" s="17"/>
      <c r="AB2780" s="17" t="s">
        <v>41</v>
      </c>
      <c r="AC2780" s="0" t="str">
        <f aca="false">LEFT(G2780,2)</f>
        <v/>
      </c>
      <c r="AD2780" s="0"/>
    </row>
    <row r="2781" customFormat="false" ht="15" hidden="false" customHeight="false" outlineLevel="0" collapsed="false">
      <c r="A2781" s="13" t="n">
        <f aca="false">1+A2780</f>
        <v>2779</v>
      </c>
      <c r="B2781" s="14" t="n">
        <v>100</v>
      </c>
      <c r="C2781" s="15"/>
      <c r="D2781" s="16" t="s">
        <v>64</v>
      </c>
      <c r="E2781" s="17" t="s">
        <v>47</v>
      </c>
      <c r="F2781" s="18" t="s">
        <v>34</v>
      </c>
      <c r="G2781" s="19"/>
      <c r="H2781" s="17" t="s">
        <v>35</v>
      </c>
      <c r="I2781" s="17" t="s">
        <v>44</v>
      </c>
      <c r="J2781" s="17"/>
      <c r="K2781" s="17" t="e">
        <f aca="false">VLOOKUP(J2781,Sheet2!A:B,2,0)</f>
        <v>#N/A</v>
      </c>
      <c r="L2781" s="17" t="n">
        <v>5</v>
      </c>
      <c r="M2781" s="17" t="str">
        <f aca="false">VLOOKUP(L2781,Sheet2!D:E,2,0)</f>
        <v>Main Processor CPU BGA</v>
      </c>
      <c r="N2781" s="17" t="n">
        <v>1</v>
      </c>
      <c r="O2781" s="17" t="str">
        <f aca="false">VLOOKUP(N2781,Sheet2!G:H,2,0)</f>
        <v>Dead</v>
      </c>
      <c r="P2781" s="17" t="n">
        <v>11</v>
      </c>
      <c r="Q2781" s="17" t="str">
        <f aca="false">VLOOKUP(P2781,Sheet2!J:K,2,0)</f>
        <v>IR Declared due to CID -TA</v>
      </c>
      <c r="R2781" s="17" t="s">
        <v>35</v>
      </c>
      <c r="S2781" s="17" t="str">
        <f aca="false">VLOOKUP(R2781,Sheet2!N:O,2,0)</f>
        <v>IREPARABLE</v>
      </c>
      <c r="T2781" s="18" t="str">
        <f aca="false">VLOOKUP(P2781,Sheet2!Q:R,2,0)</f>
        <v>IR Normal - Track burn out</v>
      </c>
      <c r="U2781" s="20" t="s">
        <v>41</v>
      </c>
      <c r="V2781" s="17"/>
      <c r="W2781" s="20" t="e">
        <f aca="false">VLOOKUP(V2781,Sheet2!Q:R,2,0)</f>
        <v>#N/A</v>
      </c>
      <c r="X2781" s="17" t="n">
        <f aca="false">J2781</f>
        <v>0</v>
      </c>
      <c r="Y2781" s="17" t="e">
        <f aca="false">VLOOKUP(X2781,Sheet2!A:B,2,0)</f>
        <v>#N/A</v>
      </c>
      <c r="Z2781" s="17"/>
      <c r="AA2781" s="17"/>
      <c r="AB2781" s="17" t="s">
        <v>41</v>
      </c>
      <c r="AC2781" s="0" t="str">
        <f aca="false">LEFT(G2781,2)</f>
        <v/>
      </c>
      <c r="AD2781" s="0"/>
    </row>
    <row r="2782" customFormat="false" ht="15" hidden="false" customHeight="false" outlineLevel="0" collapsed="false">
      <c r="A2782" s="13" t="n">
        <f aca="false">1+A2781</f>
        <v>2780</v>
      </c>
      <c r="B2782" s="14" t="n">
        <v>100</v>
      </c>
      <c r="C2782" s="15"/>
      <c r="D2782" s="16" t="s">
        <v>64</v>
      </c>
      <c r="E2782" s="17" t="s">
        <v>47</v>
      </c>
      <c r="F2782" s="18" t="s">
        <v>34</v>
      </c>
      <c r="G2782" s="19"/>
      <c r="H2782" s="17" t="s">
        <v>35</v>
      </c>
      <c r="I2782" s="17" t="s">
        <v>44</v>
      </c>
      <c r="J2782" s="17"/>
      <c r="K2782" s="17" t="e">
        <f aca="false">VLOOKUP(J2782,Sheet2!A:B,2,0)</f>
        <v>#N/A</v>
      </c>
      <c r="L2782" s="17" t="n">
        <v>5</v>
      </c>
      <c r="M2782" s="17" t="str">
        <f aca="false">VLOOKUP(L2782,Sheet2!D:E,2,0)</f>
        <v>Main Processor CPU BGA</v>
      </c>
      <c r="N2782" s="17" t="n">
        <v>1</v>
      </c>
      <c r="O2782" s="17" t="str">
        <f aca="false">VLOOKUP(N2782,Sheet2!G:H,2,0)</f>
        <v>Dead</v>
      </c>
      <c r="P2782" s="17" t="n">
        <v>11</v>
      </c>
      <c r="Q2782" s="17" t="str">
        <f aca="false">VLOOKUP(P2782,Sheet2!J:K,2,0)</f>
        <v>IR Declared due to CID -TA</v>
      </c>
      <c r="R2782" s="17" t="s">
        <v>35</v>
      </c>
      <c r="S2782" s="17" t="str">
        <f aca="false">VLOOKUP(R2782,Sheet2!N:O,2,0)</f>
        <v>IREPARABLE</v>
      </c>
      <c r="T2782" s="18" t="str">
        <f aca="false">VLOOKUP(P2782,Sheet2!Q:R,2,0)</f>
        <v>IR Normal - Track burn out</v>
      </c>
      <c r="U2782" s="20" t="s">
        <v>41</v>
      </c>
      <c r="V2782" s="17"/>
      <c r="W2782" s="20" t="e">
        <f aca="false">VLOOKUP(V2782,Sheet2!Q:R,2,0)</f>
        <v>#N/A</v>
      </c>
      <c r="X2782" s="17" t="n">
        <f aca="false">J2782</f>
        <v>0</v>
      </c>
      <c r="Y2782" s="17" t="e">
        <f aca="false">VLOOKUP(X2782,Sheet2!A:B,2,0)</f>
        <v>#N/A</v>
      </c>
      <c r="Z2782" s="17"/>
      <c r="AA2782" s="17"/>
      <c r="AB2782" s="17" t="s">
        <v>41</v>
      </c>
      <c r="AC2782" s="0" t="str">
        <f aca="false">LEFT(G2782,2)</f>
        <v/>
      </c>
      <c r="AD2782" s="0"/>
    </row>
    <row r="2783" customFormat="false" ht="15" hidden="false" customHeight="false" outlineLevel="0" collapsed="false">
      <c r="A2783" s="13" t="n">
        <f aca="false">1+A2782</f>
        <v>2781</v>
      </c>
      <c r="B2783" s="14" t="n">
        <v>100</v>
      </c>
      <c r="C2783" s="15"/>
      <c r="D2783" s="16" t="s">
        <v>64</v>
      </c>
      <c r="E2783" s="17" t="s">
        <v>47</v>
      </c>
      <c r="F2783" s="18" t="s">
        <v>34</v>
      </c>
      <c r="G2783" s="19"/>
      <c r="H2783" s="17" t="s">
        <v>35</v>
      </c>
      <c r="I2783" s="17" t="s">
        <v>44</v>
      </c>
      <c r="J2783" s="17"/>
      <c r="K2783" s="17" t="e">
        <f aca="false">VLOOKUP(J2783,Sheet2!A:B,2,0)</f>
        <v>#N/A</v>
      </c>
      <c r="L2783" s="17" t="n">
        <v>5</v>
      </c>
      <c r="M2783" s="17" t="str">
        <f aca="false">VLOOKUP(L2783,Sheet2!D:E,2,0)</f>
        <v>Main Processor CPU BGA</v>
      </c>
      <c r="N2783" s="17" t="n">
        <v>1</v>
      </c>
      <c r="O2783" s="17" t="str">
        <f aca="false">VLOOKUP(N2783,Sheet2!G:H,2,0)</f>
        <v>Dead</v>
      </c>
      <c r="P2783" s="17" t="n">
        <v>11</v>
      </c>
      <c r="Q2783" s="17" t="str">
        <f aca="false">VLOOKUP(P2783,Sheet2!J:K,2,0)</f>
        <v>IR Declared due to CID -TA</v>
      </c>
      <c r="R2783" s="17" t="s">
        <v>35</v>
      </c>
      <c r="S2783" s="17" t="str">
        <f aca="false">VLOOKUP(R2783,Sheet2!N:O,2,0)</f>
        <v>IREPARABLE</v>
      </c>
      <c r="T2783" s="18" t="str">
        <f aca="false">VLOOKUP(P2783,Sheet2!Q:R,2,0)</f>
        <v>IR Normal - Track burn out</v>
      </c>
      <c r="U2783" s="20" t="s">
        <v>41</v>
      </c>
      <c r="V2783" s="17"/>
      <c r="W2783" s="20" t="e">
        <f aca="false">VLOOKUP(V2783,Sheet2!Q:R,2,0)</f>
        <v>#N/A</v>
      </c>
      <c r="X2783" s="17" t="n">
        <f aca="false">J2783</f>
        <v>0</v>
      </c>
      <c r="Y2783" s="17" t="e">
        <f aca="false">VLOOKUP(X2783,Sheet2!A:B,2,0)</f>
        <v>#N/A</v>
      </c>
      <c r="Z2783" s="17"/>
      <c r="AA2783" s="17"/>
      <c r="AB2783" s="17" t="s">
        <v>41</v>
      </c>
      <c r="AC2783" s="0" t="str">
        <f aca="false">LEFT(G2783,2)</f>
        <v/>
      </c>
      <c r="AD2783" s="0"/>
    </row>
    <row r="2784" customFormat="false" ht="15" hidden="false" customHeight="false" outlineLevel="0" collapsed="false">
      <c r="A2784" s="13" t="n">
        <f aca="false">1+A2783</f>
        <v>2782</v>
      </c>
      <c r="B2784" s="14" t="n">
        <v>100</v>
      </c>
      <c r="C2784" s="15"/>
      <c r="D2784" s="16" t="s">
        <v>64</v>
      </c>
      <c r="E2784" s="17" t="s">
        <v>47</v>
      </c>
      <c r="F2784" s="18" t="s">
        <v>34</v>
      </c>
      <c r="G2784" s="19"/>
      <c r="H2784" s="17" t="s">
        <v>35</v>
      </c>
      <c r="I2784" s="17" t="s">
        <v>44</v>
      </c>
      <c r="J2784" s="17"/>
      <c r="K2784" s="17" t="e">
        <f aca="false">VLOOKUP(J2784,Sheet2!A:B,2,0)</f>
        <v>#N/A</v>
      </c>
      <c r="L2784" s="17" t="n">
        <v>5</v>
      </c>
      <c r="M2784" s="17" t="str">
        <f aca="false">VLOOKUP(L2784,Sheet2!D:E,2,0)</f>
        <v>Main Processor CPU BGA</v>
      </c>
      <c r="N2784" s="17" t="n">
        <v>1</v>
      </c>
      <c r="O2784" s="17" t="str">
        <f aca="false">VLOOKUP(N2784,Sheet2!G:H,2,0)</f>
        <v>Dead</v>
      </c>
      <c r="P2784" s="17" t="n">
        <v>11</v>
      </c>
      <c r="Q2784" s="17" t="str">
        <f aca="false">VLOOKUP(P2784,Sheet2!J:K,2,0)</f>
        <v>IR Declared due to CID -TA</v>
      </c>
      <c r="R2784" s="17" t="s">
        <v>35</v>
      </c>
      <c r="S2784" s="17" t="str">
        <f aca="false">VLOOKUP(R2784,Sheet2!N:O,2,0)</f>
        <v>IREPARABLE</v>
      </c>
      <c r="T2784" s="18" t="str">
        <f aca="false">VLOOKUP(P2784,Sheet2!Q:R,2,0)</f>
        <v>IR Normal - Track burn out</v>
      </c>
      <c r="U2784" s="20" t="s">
        <v>41</v>
      </c>
      <c r="V2784" s="17"/>
      <c r="W2784" s="20" t="e">
        <f aca="false">VLOOKUP(V2784,Sheet2!Q:R,2,0)</f>
        <v>#N/A</v>
      </c>
      <c r="X2784" s="17" t="n">
        <f aca="false">J2784</f>
        <v>0</v>
      </c>
      <c r="Y2784" s="17" t="e">
        <f aca="false">VLOOKUP(X2784,Sheet2!A:B,2,0)</f>
        <v>#N/A</v>
      </c>
      <c r="Z2784" s="17"/>
      <c r="AA2784" s="17"/>
      <c r="AB2784" s="17" t="s">
        <v>41</v>
      </c>
      <c r="AC2784" s="0" t="str">
        <f aca="false">LEFT(G2784,2)</f>
        <v/>
      </c>
      <c r="AD2784" s="0"/>
    </row>
    <row r="2785" customFormat="false" ht="15" hidden="false" customHeight="false" outlineLevel="0" collapsed="false">
      <c r="A2785" s="13" t="n">
        <f aca="false">1+A2784</f>
        <v>2783</v>
      </c>
      <c r="B2785" s="14" t="n">
        <v>100</v>
      </c>
      <c r="C2785" s="15"/>
      <c r="D2785" s="16" t="s">
        <v>64</v>
      </c>
      <c r="E2785" s="17" t="s">
        <v>47</v>
      </c>
      <c r="F2785" s="18" t="s">
        <v>34</v>
      </c>
      <c r="G2785" s="19"/>
      <c r="H2785" s="17" t="s">
        <v>35</v>
      </c>
      <c r="I2785" s="17" t="s">
        <v>44</v>
      </c>
      <c r="J2785" s="17"/>
      <c r="K2785" s="17" t="e">
        <f aca="false">VLOOKUP(J2785,Sheet2!A:B,2,0)</f>
        <v>#N/A</v>
      </c>
      <c r="L2785" s="17" t="n">
        <v>5</v>
      </c>
      <c r="M2785" s="17" t="str">
        <f aca="false">VLOOKUP(L2785,Sheet2!D:E,2,0)</f>
        <v>Main Processor CPU BGA</v>
      </c>
      <c r="N2785" s="17" t="n">
        <v>1</v>
      </c>
      <c r="O2785" s="17" t="str">
        <f aca="false">VLOOKUP(N2785,Sheet2!G:H,2,0)</f>
        <v>Dead</v>
      </c>
      <c r="P2785" s="17" t="n">
        <v>11</v>
      </c>
      <c r="Q2785" s="17" t="str">
        <f aca="false">VLOOKUP(P2785,Sheet2!J:K,2,0)</f>
        <v>IR Declared due to CID -TA</v>
      </c>
      <c r="R2785" s="17" t="s">
        <v>35</v>
      </c>
      <c r="S2785" s="17" t="str">
        <f aca="false">VLOOKUP(R2785,Sheet2!N:O,2,0)</f>
        <v>IREPARABLE</v>
      </c>
      <c r="T2785" s="18" t="str">
        <f aca="false">VLOOKUP(P2785,Sheet2!Q:R,2,0)</f>
        <v>IR Normal - Track burn out</v>
      </c>
      <c r="U2785" s="20" t="s">
        <v>41</v>
      </c>
      <c r="V2785" s="17"/>
      <c r="W2785" s="20" t="e">
        <f aca="false">VLOOKUP(V2785,Sheet2!Q:R,2,0)</f>
        <v>#N/A</v>
      </c>
      <c r="X2785" s="17" t="n">
        <f aca="false">J2785</f>
        <v>0</v>
      </c>
      <c r="Y2785" s="17" t="e">
        <f aca="false">VLOOKUP(X2785,Sheet2!A:B,2,0)</f>
        <v>#N/A</v>
      </c>
      <c r="Z2785" s="17"/>
      <c r="AA2785" s="17"/>
      <c r="AB2785" s="17" t="s">
        <v>41</v>
      </c>
      <c r="AC2785" s="0" t="str">
        <f aca="false">LEFT(G2785,2)</f>
        <v/>
      </c>
    </row>
    <row r="2786" customFormat="false" ht="15" hidden="false" customHeight="false" outlineLevel="0" collapsed="false">
      <c r="A2786" s="13" t="n">
        <f aca="false">1+A2785</f>
        <v>2784</v>
      </c>
      <c r="B2786" s="14" t="n">
        <v>100</v>
      </c>
      <c r="C2786" s="15"/>
      <c r="D2786" s="16" t="s">
        <v>64</v>
      </c>
      <c r="E2786" s="17" t="s">
        <v>47</v>
      </c>
      <c r="F2786" s="18" t="s">
        <v>34</v>
      </c>
      <c r="G2786" s="19"/>
      <c r="H2786" s="17" t="s">
        <v>35</v>
      </c>
      <c r="I2786" s="17" t="s">
        <v>44</v>
      </c>
      <c r="J2786" s="17"/>
      <c r="K2786" s="17" t="e">
        <f aca="false">VLOOKUP(J2786,Sheet2!A:B,2,0)</f>
        <v>#N/A</v>
      </c>
      <c r="L2786" s="17" t="n">
        <v>5</v>
      </c>
      <c r="M2786" s="17" t="str">
        <f aca="false">VLOOKUP(L2786,Sheet2!D:E,2,0)</f>
        <v>Main Processor CPU BGA</v>
      </c>
      <c r="N2786" s="17" t="n">
        <v>1</v>
      </c>
      <c r="O2786" s="17" t="str">
        <f aca="false">VLOOKUP(N2786,Sheet2!G:H,2,0)</f>
        <v>Dead</v>
      </c>
      <c r="P2786" s="17" t="n">
        <v>11</v>
      </c>
      <c r="Q2786" s="17" t="str">
        <f aca="false">VLOOKUP(P2786,Sheet2!J:K,2,0)</f>
        <v>IR Declared due to CID -TA</v>
      </c>
      <c r="R2786" s="17" t="s">
        <v>35</v>
      </c>
      <c r="S2786" s="17" t="str">
        <f aca="false">VLOOKUP(R2786,Sheet2!N:O,2,0)</f>
        <v>IREPARABLE</v>
      </c>
      <c r="T2786" s="18" t="str">
        <f aca="false">VLOOKUP(P2786,Sheet2!Q:R,2,0)</f>
        <v>IR Normal - Track burn out</v>
      </c>
      <c r="U2786" s="20" t="s">
        <v>41</v>
      </c>
      <c r="V2786" s="17"/>
      <c r="W2786" s="20" t="e">
        <f aca="false">VLOOKUP(V2786,Sheet2!Q:R,2,0)</f>
        <v>#N/A</v>
      </c>
      <c r="X2786" s="17" t="n">
        <f aca="false">J2786</f>
        <v>0</v>
      </c>
      <c r="Y2786" s="17" t="e">
        <f aca="false">VLOOKUP(X2786,Sheet2!A:B,2,0)</f>
        <v>#N/A</v>
      </c>
      <c r="Z2786" s="17"/>
      <c r="AA2786" s="17"/>
      <c r="AB2786" s="17" t="s">
        <v>41</v>
      </c>
      <c r="AC2786" s="0" t="str">
        <f aca="false">LEFT(G2786,2)</f>
        <v/>
      </c>
    </row>
    <row r="2787" customFormat="false" ht="15" hidden="false" customHeight="false" outlineLevel="0" collapsed="false">
      <c r="A2787" s="13" t="n">
        <f aca="false">1+A2786</f>
        <v>2785</v>
      </c>
      <c r="B2787" s="14" t="n">
        <v>100</v>
      </c>
      <c r="C2787" s="15"/>
      <c r="D2787" s="16" t="s">
        <v>64</v>
      </c>
      <c r="E2787" s="17" t="s">
        <v>47</v>
      </c>
      <c r="F2787" s="18" t="s">
        <v>34</v>
      </c>
      <c r="G2787" s="19"/>
      <c r="H2787" s="17" t="s">
        <v>35</v>
      </c>
      <c r="I2787" s="17" t="s">
        <v>44</v>
      </c>
      <c r="J2787" s="17"/>
      <c r="K2787" s="17" t="e">
        <f aca="false">VLOOKUP(J2787,Sheet2!A:B,2,0)</f>
        <v>#N/A</v>
      </c>
      <c r="L2787" s="17" t="n">
        <v>5</v>
      </c>
      <c r="M2787" s="17" t="str">
        <f aca="false">VLOOKUP(L2787,Sheet2!D:E,2,0)</f>
        <v>Main Processor CPU BGA</v>
      </c>
      <c r="N2787" s="17" t="n">
        <v>1</v>
      </c>
      <c r="O2787" s="17" t="str">
        <f aca="false">VLOOKUP(N2787,Sheet2!G:H,2,0)</f>
        <v>Dead</v>
      </c>
      <c r="P2787" s="17" t="n">
        <v>11</v>
      </c>
      <c r="Q2787" s="17" t="str">
        <f aca="false">VLOOKUP(P2787,Sheet2!J:K,2,0)</f>
        <v>IR Declared due to CID -TA</v>
      </c>
      <c r="R2787" s="17" t="s">
        <v>35</v>
      </c>
      <c r="S2787" s="17" t="str">
        <f aca="false">VLOOKUP(R2787,Sheet2!N:O,2,0)</f>
        <v>IREPARABLE</v>
      </c>
      <c r="T2787" s="18" t="str">
        <f aca="false">VLOOKUP(P2787,Sheet2!Q:R,2,0)</f>
        <v>IR Normal - Track burn out</v>
      </c>
      <c r="U2787" s="20" t="s">
        <v>41</v>
      </c>
      <c r="V2787" s="17"/>
      <c r="W2787" s="20" t="e">
        <f aca="false">VLOOKUP(V2787,Sheet2!Q:R,2,0)</f>
        <v>#N/A</v>
      </c>
      <c r="X2787" s="17" t="n">
        <f aca="false">J2787</f>
        <v>0</v>
      </c>
      <c r="Y2787" s="17" t="e">
        <f aca="false">VLOOKUP(X2787,Sheet2!A:B,2,0)</f>
        <v>#N/A</v>
      </c>
      <c r="Z2787" s="17"/>
      <c r="AA2787" s="17"/>
      <c r="AB2787" s="17" t="s">
        <v>41</v>
      </c>
      <c r="AC2787" s="0" t="str">
        <f aca="false">LEFT(G2787,2)</f>
        <v/>
      </c>
    </row>
    <row r="2788" customFormat="false" ht="15" hidden="false" customHeight="false" outlineLevel="0" collapsed="false">
      <c r="A2788" s="13" t="n">
        <f aca="false">1+A2787</f>
        <v>2786</v>
      </c>
      <c r="B2788" s="14" t="n">
        <v>100</v>
      </c>
      <c r="C2788" s="15"/>
      <c r="D2788" s="16" t="s">
        <v>64</v>
      </c>
      <c r="E2788" s="17" t="s">
        <v>47</v>
      </c>
      <c r="F2788" s="18" t="s">
        <v>34</v>
      </c>
      <c r="G2788" s="19"/>
      <c r="H2788" s="17" t="s">
        <v>35</v>
      </c>
      <c r="I2788" s="17" t="s">
        <v>44</v>
      </c>
      <c r="J2788" s="17"/>
      <c r="K2788" s="17" t="e">
        <f aca="false">VLOOKUP(J2788,Sheet2!A:B,2,0)</f>
        <v>#N/A</v>
      </c>
      <c r="L2788" s="17" t="n">
        <v>5</v>
      </c>
      <c r="M2788" s="17" t="str">
        <f aca="false">VLOOKUP(L2788,Sheet2!D:E,2,0)</f>
        <v>Main Processor CPU BGA</v>
      </c>
      <c r="N2788" s="17" t="n">
        <v>1</v>
      </c>
      <c r="O2788" s="17" t="str">
        <f aca="false">VLOOKUP(N2788,Sheet2!G:H,2,0)</f>
        <v>Dead</v>
      </c>
      <c r="P2788" s="17" t="n">
        <v>11</v>
      </c>
      <c r="Q2788" s="17" t="str">
        <f aca="false">VLOOKUP(P2788,Sheet2!J:K,2,0)</f>
        <v>IR Declared due to CID -TA</v>
      </c>
      <c r="R2788" s="17" t="s">
        <v>35</v>
      </c>
      <c r="S2788" s="17" t="str">
        <f aca="false">VLOOKUP(R2788,Sheet2!N:O,2,0)</f>
        <v>IREPARABLE</v>
      </c>
      <c r="T2788" s="18" t="str">
        <f aca="false">VLOOKUP(P2788,Sheet2!Q:R,2,0)</f>
        <v>IR Normal - Track burn out</v>
      </c>
      <c r="U2788" s="20" t="s">
        <v>41</v>
      </c>
      <c r="V2788" s="17"/>
      <c r="W2788" s="20" t="e">
        <f aca="false">VLOOKUP(V2788,Sheet2!Q:R,2,0)</f>
        <v>#N/A</v>
      </c>
      <c r="X2788" s="17" t="n">
        <f aca="false">J2788</f>
        <v>0</v>
      </c>
      <c r="Y2788" s="17" t="e">
        <f aca="false">VLOOKUP(X2788,Sheet2!A:B,2,0)</f>
        <v>#N/A</v>
      </c>
      <c r="Z2788" s="17"/>
      <c r="AA2788" s="17"/>
      <c r="AB2788" s="17" t="s">
        <v>41</v>
      </c>
      <c r="AC2788" s="0" t="str">
        <f aca="false">LEFT(G2788,2)</f>
        <v/>
      </c>
    </row>
    <row r="2789" customFormat="false" ht="15" hidden="false" customHeight="false" outlineLevel="0" collapsed="false">
      <c r="A2789" s="13" t="n">
        <f aca="false">1+A2788</f>
        <v>2787</v>
      </c>
      <c r="B2789" s="14" t="n">
        <v>100</v>
      </c>
      <c r="C2789" s="15"/>
      <c r="D2789" s="16" t="s">
        <v>64</v>
      </c>
      <c r="E2789" s="17" t="s">
        <v>47</v>
      </c>
      <c r="F2789" s="18" t="s">
        <v>34</v>
      </c>
      <c r="G2789" s="19"/>
      <c r="H2789" s="17" t="s">
        <v>35</v>
      </c>
      <c r="I2789" s="17" t="s">
        <v>44</v>
      </c>
      <c r="J2789" s="17"/>
      <c r="K2789" s="17" t="e">
        <f aca="false">VLOOKUP(J2789,Sheet2!A:B,2,0)</f>
        <v>#N/A</v>
      </c>
      <c r="L2789" s="17" t="n">
        <v>5</v>
      </c>
      <c r="M2789" s="17" t="str">
        <f aca="false">VLOOKUP(L2789,Sheet2!D:E,2,0)</f>
        <v>Main Processor CPU BGA</v>
      </c>
      <c r="N2789" s="17" t="n">
        <v>1</v>
      </c>
      <c r="O2789" s="17" t="str">
        <f aca="false">VLOOKUP(N2789,Sheet2!G:H,2,0)</f>
        <v>Dead</v>
      </c>
      <c r="P2789" s="17" t="n">
        <v>11</v>
      </c>
      <c r="Q2789" s="17" t="str">
        <f aca="false">VLOOKUP(P2789,Sheet2!J:K,2,0)</f>
        <v>IR Declared due to CID -TA</v>
      </c>
      <c r="R2789" s="17" t="s">
        <v>35</v>
      </c>
      <c r="S2789" s="17" t="str">
        <f aca="false">VLOOKUP(R2789,Sheet2!N:O,2,0)</f>
        <v>IREPARABLE</v>
      </c>
      <c r="T2789" s="18" t="str">
        <f aca="false">VLOOKUP(P2789,Sheet2!Q:R,2,0)</f>
        <v>IR Normal - Track burn out</v>
      </c>
      <c r="U2789" s="20" t="s">
        <v>41</v>
      </c>
      <c r="V2789" s="17"/>
      <c r="W2789" s="20" t="e">
        <f aca="false">VLOOKUP(V2789,Sheet2!Q:R,2,0)</f>
        <v>#N/A</v>
      </c>
      <c r="X2789" s="17" t="n">
        <f aca="false">J2789</f>
        <v>0</v>
      </c>
      <c r="Y2789" s="17" t="e">
        <f aca="false">VLOOKUP(X2789,Sheet2!A:B,2,0)</f>
        <v>#N/A</v>
      </c>
      <c r="Z2789" s="17"/>
      <c r="AA2789" s="17"/>
      <c r="AB2789" s="17" t="s">
        <v>41</v>
      </c>
      <c r="AC2789" s="0" t="str">
        <f aca="false">LEFT(G2789,2)</f>
        <v/>
      </c>
    </row>
    <row r="2790" customFormat="false" ht="15" hidden="false" customHeight="false" outlineLevel="0" collapsed="false">
      <c r="A2790" s="13" t="n">
        <f aca="false">1+A2789</f>
        <v>2788</v>
      </c>
      <c r="B2790" s="14" t="n">
        <v>100</v>
      </c>
      <c r="C2790" s="15"/>
      <c r="D2790" s="16" t="s">
        <v>64</v>
      </c>
      <c r="E2790" s="17" t="s">
        <v>47</v>
      </c>
      <c r="F2790" s="18" t="s">
        <v>34</v>
      </c>
      <c r="G2790" s="19"/>
      <c r="H2790" s="17" t="s">
        <v>35</v>
      </c>
      <c r="I2790" s="17" t="s">
        <v>44</v>
      </c>
      <c r="J2790" s="17"/>
      <c r="K2790" s="17" t="e">
        <f aca="false">VLOOKUP(J2790,Sheet2!A:B,2,0)</f>
        <v>#N/A</v>
      </c>
      <c r="L2790" s="17" t="n">
        <v>5</v>
      </c>
      <c r="M2790" s="17" t="str">
        <f aca="false">VLOOKUP(L2790,Sheet2!D:E,2,0)</f>
        <v>Main Processor CPU BGA</v>
      </c>
      <c r="N2790" s="17" t="n">
        <v>1</v>
      </c>
      <c r="O2790" s="17" t="str">
        <f aca="false">VLOOKUP(N2790,Sheet2!G:H,2,0)</f>
        <v>Dead</v>
      </c>
      <c r="P2790" s="17" t="n">
        <v>11</v>
      </c>
      <c r="Q2790" s="17" t="str">
        <f aca="false">VLOOKUP(P2790,Sheet2!J:K,2,0)</f>
        <v>IR Declared due to CID -TA</v>
      </c>
      <c r="R2790" s="17" t="s">
        <v>35</v>
      </c>
      <c r="S2790" s="17" t="str">
        <f aca="false">VLOOKUP(R2790,Sheet2!N:O,2,0)</f>
        <v>IREPARABLE</v>
      </c>
      <c r="T2790" s="18" t="str">
        <f aca="false">VLOOKUP(P2790,Sheet2!Q:R,2,0)</f>
        <v>IR Normal - Track burn out</v>
      </c>
      <c r="U2790" s="20" t="s">
        <v>41</v>
      </c>
      <c r="V2790" s="17"/>
      <c r="W2790" s="20" t="e">
        <f aca="false">VLOOKUP(V2790,Sheet2!Q:R,2,0)</f>
        <v>#N/A</v>
      </c>
      <c r="X2790" s="17" t="n">
        <f aca="false">J2790</f>
        <v>0</v>
      </c>
      <c r="Y2790" s="17" t="e">
        <f aca="false">VLOOKUP(X2790,Sheet2!A:B,2,0)</f>
        <v>#N/A</v>
      </c>
      <c r="Z2790" s="17"/>
      <c r="AA2790" s="17"/>
      <c r="AB2790" s="17" t="s">
        <v>41</v>
      </c>
      <c r="AC2790" s="0" t="str">
        <f aca="false">LEFT(G2790,2)</f>
        <v/>
      </c>
    </row>
    <row r="2791" customFormat="false" ht="15" hidden="false" customHeight="false" outlineLevel="0" collapsed="false">
      <c r="A2791" s="13" t="n">
        <f aca="false">1+A2790</f>
        <v>2789</v>
      </c>
      <c r="B2791" s="14" t="n">
        <v>100</v>
      </c>
      <c r="C2791" s="15"/>
      <c r="D2791" s="16" t="s">
        <v>64</v>
      </c>
      <c r="E2791" s="17" t="s">
        <v>47</v>
      </c>
      <c r="F2791" s="18" t="s">
        <v>34</v>
      </c>
      <c r="G2791" s="19"/>
      <c r="H2791" s="17" t="s">
        <v>35</v>
      </c>
      <c r="I2791" s="17" t="s">
        <v>44</v>
      </c>
      <c r="J2791" s="17"/>
      <c r="K2791" s="17" t="e">
        <f aca="false">VLOOKUP(J2791,Sheet2!A:B,2,0)</f>
        <v>#N/A</v>
      </c>
      <c r="L2791" s="17" t="n">
        <v>5</v>
      </c>
      <c r="M2791" s="17" t="str">
        <f aca="false">VLOOKUP(L2791,Sheet2!D:E,2,0)</f>
        <v>Main Processor CPU BGA</v>
      </c>
      <c r="N2791" s="17" t="n">
        <v>1</v>
      </c>
      <c r="O2791" s="17" t="str">
        <f aca="false">VLOOKUP(N2791,Sheet2!G:H,2,0)</f>
        <v>Dead</v>
      </c>
      <c r="P2791" s="17" t="n">
        <v>11</v>
      </c>
      <c r="Q2791" s="17" t="str">
        <f aca="false">VLOOKUP(P2791,Sheet2!J:K,2,0)</f>
        <v>IR Declared due to CID -TA</v>
      </c>
      <c r="R2791" s="17" t="s">
        <v>35</v>
      </c>
      <c r="S2791" s="17" t="str">
        <f aca="false">VLOOKUP(R2791,Sheet2!N:O,2,0)</f>
        <v>IREPARABLE</v>
      </c>
      <c r="T2791" s="18" t="str">
        <f aca="false">VLOOKUP(P2791,Sheet2!Q:R,2,0)</f>
        <v>IR Normal - Track burn out</v>
      </c>
      <c r="U2791" s="20" t="s">
        <v>41</v>
      </c>
      <c r="V2791" s="17"/>
      <c r="W2791" s="20" t="e">
        <f aca="false">VLOOKUP(V2791,Sheet2!Q:R,2,0)</f>
        <v>#N/A</v>
      </c>
      <c r="X2791" s="17" t="n">
        <f aca="false">J2791</f>
        <v>0</v>
      </c>
      <c r="Y2791" s="17" t="e">
        <f aca="false">VLOOKUP(X2791,Sheet2!A:B,2,0)</f>
        <v>#N/A</v>
      </c>
      <c r="Z2791" s="17"/>
      <c r="AA2791" s="17"/>
      <c r="AB2791" s="17" t="s">
        <v>41</v>
      </c>
      <c r="AC2791" s="0" t="str">
        <f aca="false">LEFT(G2791,2)</f>
        <v/>
      </c>
    </row>
    <row r="2792" customFormat="false" ht="15" hidden="false" customHeight="false" outlineLevel="0" collapsed="false">
      <c r="A2792" s="13" t="n">
        <f aca="false">1+A2791</f>
        <v>2790</v>
      </c>
      <c r="B2792" s="14" t="n">
        <v>100</v>
      </c>
      <c r="C2792" s="15"/>
      <c r="D2792" s="16" t="s">
        <v>64</v>
      </c>
      <c r="E2792" s="17" t="s">
        <v>47</v>
      </c>
      <c r="F2792" s="18" t="s">
        <v>34</v>
      </c>
      <c r="G2792" s="19"/>
      <c r="H2792" s="17" t="s">
        <v>35</v>
      </c>
      <c r="I2792" s="17" t="s">
        <v>44</v>
      </c>
      <c r="J2792" s="17"/>
      <c r="K2792" s="17" t="e">
        <f aca="false">VLOOKUP(J2792,Sheet2!A:B,2,0)</f>
        <v>#N/A</v>
      </c>
      <c r="L2792" s="17" t="n">
        <v>5</v>
      </c>
      <c r="M2792" s="17" t="str">
        <f aca="false">VLOOKUP(L2792,Sheet2!D:E,2,0)</f>
        <v>Main Processor CPU BGA</v>
      </c>
      <c r="N2792" s="17" t="n">
        <v>1</v>
      </c>
      <c r="O2792" s="17" t="str">
        <f aca="false">VLOOKUP(N2792,Sheet2!G:H,2,0)</f>
        <v>Dead</v>
      </c>
      <c r="P2792" s="17" t="n">
        <v>11</v>
      </c>
      <c r="Q2792" s="17" t="str">
        <f aca="false">VLOOKUP(P2792,Sheet2!J:K,2,0)</f>
        <v>IR Declared due to CID -TA</v>
      </c>
      <c r="R2792" s="17" t="s">
        <v>35</v>
      </c>
      <c r="S2792" s="17" t="str">
        <f aca="false">VLOOKUP(R2792,Sheet2!N:O,2,0)</f>
        <v>IREPARABLE</v>
      </c>
      <c r="T2792" s="18" t="str">
        <f aca="false">VLOOKUP(P2792,Sheet2!Q:R,2,0)</f>
        <v>IR Normal - Track burn out</v>
      </c>
      <c r="U2792" s="20" t="s">
        <v>41</v>
      </c>
      <c r="V2792" s="17"/>
      <c r="W2792" s="20" t="e">
        <f aca="false">VLOOKUP(V2792,Sheet2!Q:R,2,0)</f>
        <v>#N/A</v>
      </c>
      <c r="X2792" s="17" t="n">
        <f aca="false">J2792</f>
        <v>0</v>
      </c>
      <c r="Y2792" s="17" t="e">
        <f aca="false">VLOOKUP(X2792,Sheet2!A:B,2,0)</f>
        <v>#N/A</v>
      </c>
      <c r="Z2792" s="17"/>
      <c r="AA2792" s="17"/>
      <c r="AB2792" s="17" t="s">
        <v>41</v>
      </c>
      <c r="AC2792" s="0" t="str">
        <f aca="false">LEFT(G2792,2)</f>
        <v/>
      </c>
    </row>
    <row r="2793" customFormat="false" ht="15" hidden="false" customHeight="false" outlineLevel="0" collapsed="false">
      <c r="A2793" s="13" t="n">
        <f aca="false">1+A2792</f>
        <v>2791</v>
      </c>
      <c r="B2793" s="14" t="n">
        <v>100</v>
      </c>
      <c r="C2793" s="15"/>
      <c r="D2793" s="16" t="s">
        <v>64</v>
      </c>
      <c r="E2793" s="17" t="s">
        <v>47</v>
      </c>
      <c r="F2793" s="18" t="s">
        <v>34</v>
      </c>
      <c r="G2793" s="19"/>
      <c r="H2793" s="17" t="s">
        <v>35</v>
      </c>
      <c r="I2793" s="17" t="s">
        <v>44</v>
      </c>
      <c r="J2793" s="17"/>
      <c r="K2793" s="17" t="e">
        <f aca="false">VLOOKUP(J2793,Sheet2!A:B,2,0)</f>
        <v>#N/A</v>
      </c>
      <c r="L2793" s="17" t="n">
        <v>5</v>
      </c>
      <c r="M2793" s="17" t="str">
        <f aca="false">VLOOKUP(L2793,Sheet2!D:E,2,0)</f>
        <v>Main Processor CPU BGA</v>
      </c>
      <c r="N2793" s="17" t="n">
        <v>1</v>
      </c>
      <c r="O2793" s="17" t="str">
        <f aca="false">VLOOKUP(N2793,Sheet2!G:H,2,0)</f>
        <v>Dead</v>
      </c>
      <c r="P2793" s="17" t="n">
        <v>11</v>
      </c>
      <c r="Q2793" s="17" t="str">
        <f aca="false">VLOOKUP(P2793,Sheet2!J:K,2,0)</f>
        <v>IR Declared due to CID -TA</v>
      </c>
      <c r="R2793" s="17" t="s">
        <v>35</v>
      </c>
      <c r="S2793" s="17" t="str">
        <f aca="false">VLOOKUP(R2793,Sheet2!N:O,2,0)</f>
        <v>IREPARABLE</v>
      </c>
      <c r="T2793" s="18" t="str">
        <f aca="false">VLOOKUP(P2793,Sheet2!Q:R,2,0)</f>
        <v>IR Normal - Track burn out</v>
      </c>
      <c r="U2793" s="20" t="s">
        <v>41</v>
      </c>
      <c r="V2793" s="17"/>
      <c r="W2793" s="20" t="e">
        <f aca="false">VLOOKUP(V2793,Sheet2!Q:R,2,0)</f>
        <v>#N/A</v>
      </c>
      <c r="X2793" s="17" t="n">
        <f aca="false">J2793</f>
        <v>0</v>
      </c>
      <c r="Y2793" s="17" t="e">
        <f aca="false">VLOOKUP(X2793,Sheet2!A:B,2,0)</f>
        <v>#N/A</v>
      </c>
      <c r="Z2793" s="17"/>
      <c r="AA2793" s="17"/>
      <c r="AB2793" s="17" t="s">
        <v>41</v>
      </c>
      <c r="AC2793" s="0" t="str">
        <f aca="false">LEFT(G2793,2)</f>
        <v/>
      </c>
    </row>
    <row r="2794" customFormat="false" ht="15" hidden="false" customHeight="false" outlineLevel="0" collapsed="false">
      <c r="A2794" s="13" t="n">
        <f aca="false">1+A2793</f>
        <v>2792</v>
      </c>
      <c r="B2794" s="14" t="n">
        <v>100</v>
      </c>
      <c r="C2794" s="15"/>
      <c r="D2794" s="16" t="s">
        <v>64</v>
      </c>
      <c r="E2794" s="17" t="s">
        <v>47</v>
      </c>
      <c r="F2794" s="18" t="s">
        <v>34</v>
      </c>
      <c r="G2794" s="19"/>
      <c r="H2794" s="17" t="s">
        <v>35</v>
      </c>
      <c r="I2794" s="17" t="s">
        <v>44</v>
      </c>
      <c r="J2794" s="17"/>
      <c r="K2794" s="17" t="e">
        <f aca="false">VLOOKUP(J2794,Sheet2!A:B,2,0)</f>
        <v>#N/A</v>
      </c>
      <c r="L2794" s="17" t="n">
        <v>5</v>
      </c>
      <c r="M2794" s="17" t="str">
        <f aca="false">VLOOKUP(L2794,Sheet2!D:E,2,0)</f>
        <v>Main Processor CPU BGA</v>
      </c>
      <c r="N2794" s="17" t="n">
        <v>1</v>
      </c>
      <c r="O2794" s="17" t="str">
        <f aca="false">VLOOKUP(N2794,Sheet2!G:H,2,0)</f>
        <v>Dead</v>
      </c>
      <c r="P2794" s="17" t="n">
        <v>11</v>
      </c>
      <c r="Q2794" s="17" t="str">
        <f aca="false">VLOOKUP(P2794,Sheet2!J:K,2,0)</f>
        <v>IR Declared due to CID -TA</v>
      </c>
      <c r="R2794" s="17" t="s">
        <v>35</v>
      </c>
      <c r="S2794" s="17" t="str">
        <f aca="false">VLOOKUP(R2794,Sheet2!N:O,2,0)</f>
        <v>IREPARABLE</v>
      </c>
      <c r="T2794" s="18" t="str">
        <f aca="false">VLOOKUP(P2794,Sheet2!Q:R,2,0)</f>
        <v>IR Normal - Track burn out</v>
      </c>
      <c r="U2794" s="20" t="s">
        <v>41</v>
      </c>
      <c r="V2794" s="17"/>
      <c r="W2794" s="20" t="e">
        <f aca="false">VLOOKUP(V2794,Sheet2!Q:R,2,0)</f>
        <v>#N/A</v>
      </c>
      <c r="X2794" s="17" t="n">
        <f aca="false">J2794</f>
        <v>0</v>
      </c>
      <c r="Y2794" s="17" t="e">
        <f aca="false">VLOOKUP(X2794,Sheet2!A:B,2,0)</f>
        <v>#N/A</v>
      </c>
      <c r="Z2794" s="17"/>
      <c r="AA2794" s="17"/>
      <c r="AB2794" s="17" t="s">
        <v>41</v>
      </c>
      <c r="AC2794" s="0" t="str">
        <f aca="false">LEFT(G2794,2)</f>
        <v/>
      </c>
    </row>
    <row r="2795" customFormat="false" ht="15" hidden="false" customHeight="false" outlineLevel="0" collapsed="false">
      <c r="A2795" s="13" t="n">
        <f aca="false">1+A2794</f>
        <v>2793</v>
      </c>
      <c r="B2795" s="14" t="n">
        <v>100</v>
      </c>
      <c r="C2795" s="15"/>
      <c r="D2795" s="16" t="s">
        <v>64</v>
      </c>
      <c r="E2795" s="17" t="s">
        <v>47</v>
      </c>
      <c r="F2795" s="18" t="s">
        <v>34</v>
      </c>
      <c r="G2795" s="19"/>
      <c r="H2795" s="17" t="s">
        <v>35</v>
      </c>
      <c r="I2795" s="17" t="s">
        <v>44</v>
      </c>
      <c r="J2795" s="17"/>
      <c r="K2795" s="17" t="e">
        <f aca="false">VLOOKUP(J2795,Sheet2!A:B,2,0)</f>
        <v>#N/A</v>
      </c>
      <c r="L2795" s="17" t="n">
        <v>5</v>
      </c>
      <c r="M2795" s="17" t="str">
        <f aca="false">VLOOKUP(L2795,Sheet2!D:E,2,0)</f>
        <v>Main Processor CPU BGA</v>
      </c>
      <c r="N2795" s="17" t="n">
        <v>1</v>
      </c>
      <c r="O2795" s="17" t="str">
        <f aca="false">VLOOKUP(N2795,Sheet2!G:H,2,0)</f>
        <v>Dead</v>
      </c>
      <c r="P2795" s="17" t="n">
        <v>11</v>
      </c>
      <c r="Q2795" s="17" t="str">
        <f aca="false">VLOOKUP(P2795,Sheet2!J:K,2,0)</f>
        <v>IR Declared due to CID -TA</v>
      </c>
      <c r="R2795" s="17" t="s">
        <v>35</v>
      </c>
      <c r="S2795" s="17" t="str">
        <f aca="false">VLOOKUP(R2795,Sheet2!N:O,2,0)</f>
        <v>IREPARABLE</v>
      </c>
      <c r="T2795" s="18" t="str">
        <f aca="false">VLOOKUP(P2795,Sheet2!Q:R,2,0)</f>
        <v>IR Normal - Track burn out</v>
      </c>
      <c r="U2795" s="20" t="s">
        <v>41</v>
      </c>
      <c r="V2795" s="17"/>
      <c r="W2795" s="20" t="e">
        <f aca="false">VLOOKUP(V2795,Sheet2!Q:R,2,0)</f>
        <v>#N/A</v>
      </c>
      <c r="X2795" s="17" t="n">
        <f aca="false">J2795</f>
        <v>0</v>
      </c>
      <c r="Y2795" s="17" t="e">
        <f aca="false">VLOOKUP(X2795,Sheet2!A:B,2,0)</f>
        <v>#N/A</v>
      </c>
      <c r="Z2795" s="17"/>
      <c r="AA2795" s="17"/>
      <c r="AB2795" s="17" t="s">
        <v>41</v>
      </c>
      <c r="AC2795" s="0" t="str">
        <f aca="false">LEFT(G2795,2)</f>
        <v/>
      </c>
    </row>
    <row r="2796" customFormat="false" ht="15" hidden="false" customHeight="false" outlineLevel="0" collapsed="false">
      <c r="A2796" s="13" t="n">
        <f aca="false">1+A2795</f>
        <v>2794</v>
      </c>
      <c r="B2796" s="14" t="n">
        <v>100</v>
      </c>
      <c r="C2796" s="15"/>
      <c r="D2796" s="16" t="s">
        <v>64</v>
      </c>
      <c r="E2796" s="17" t="s">
        <v>47</v>
      </c>
      <c r="F2796" s="18" t="s">
        <v>34</v>
      </c>
      <c r="G2796" s="19"/>
      <c r="H2796" s="17" t="s">
        <v>35</v>
      </c>
      <c r="I2796" s="17" t="s">
        <v>44</v>
      </c>
      <c r="J2796" s="17"/>
      <c r="K2796" s="17" t="e">
        <f aca="false">VLOOKUP(J2796,Sheet2!A:B,2,0)</f>
        <v>#N/A</v>
      </c>
      <c r="L2796" s="17" t="n">
        <v>5</v>
      </c>
      <c r="M2796" s="17" t="str">
        <f aca="false">VLOOKUP(L2796,Sheet2!D:E,2,0)</f>
        <v>Main Processor CPU BGA</v>
      </c>
      <c r="N2796" s="17" t="n">
        <v>1</v>
      </c>
      <c r="O2796" s="17" t="str">
        <f aca="false">VLOOKUP(N2796,Sheet2!G:H,2,0)</f>
        <v>Dead</v>
      </c>
      <c r="P2796" s="17" t="n">
        <v>11</v>
      </c>
      <c r="Q2796" s="17" t="str">
        <f aca="false">VLOOKUP(P2796,Sheet2!J:K,2,0)</f>
        <v>IR Declared due to CID -TA</v>
      </c>
      <c r="R2796" s="17" t="s">
        <v>35</v>
      </c>
      <c r="S2796" s="17" t="str">
        <f aca="false">VLOOKUP(R2796,Sheet2!N:O,2,0)</f>
        <v>IREPARABLE</v>
      </c>
      <c r="T2796" s="18" t="str">
        <f aca="false">VLOOKUP(P2796,Sheet2!Q:R,2,0)</f>
        <v>IR Normal - Track burn out</v>
      </c>
      <c r="U2796" s="20" t="s">
        <v>41</v>
      </c>
      <c r="V2796" s="17"/>
      <c r="W2796" s="20" t="e">
        <f aca="false">VLOOKUP(V2796,Sheet2!Q:R,2,0)</f>
        <v>#N/A</v>
      </c>
      <c r="X2796" s="17" t="n">
        <f aca="false">J2796</f>
        <v>0</v>
      </c>
      <c r="Y2796" s="17" t="e">
        <f aca="false">VLOOKUP(X2796,Sheet2!A:B,2,0)</f>
        <v>#N/A</v>
      </c>
      <c r="Z2796" s="17"/>
      <c r="AA2796" s="17"/>
      <c r="AB2796" s="17" t="s">
        <v>41</v>
      </c>
      <c r="AC2796" s="0" t="str">
        <f aca="false">LEFT(G2796,2)</f>
        <v/>
      </c>
    </row>
    <row r="2797" customFormat="false" ht="15" hidden="false" customHeight="false" outlineLevel="0" collapsed="false">
      <c r="A2797" s="13" t="n">
        <f aca="false">1+A2796</f>
        <v>2795</v>
      </c>
      <c r="B2797" s="14" t="n">
        <v>100</v>
      </c>
      <c r="C2797" s="15"/>
      <c r="D2797" s="16" t="s">
        <v>64</v>
      </c>
      <c r="E2797" s="17" t="s">
        <v>47</v>
      </c>
      <c r="F2797" s="18" t="s">
        <v>34</v>
      </c>
      <c r="G2797" s="19"/>
      <c r="H2797" s="17" t="s">
        <v>35</v>
      </c>
      <c r="I2797" s="17" t="s">
        <v>44</v>
      </c>
      <c r="J2797" s="17"/>
      <c r="K2797" s="17" t="e">
        <f aca="false">VLOOKUP(J2797,Sheet2!A:B,2,0)</f>
        <v>#N/A</v>
      </c>
      <c r="L2797" s="17" t="n">
        <v>5</v>
      </c>
      <c r="M2797" s="17" t="str">
        <f aca="false">VLOOKUP(L2797,Sheet2!D:E,2,0)</f>
        <v>Main Processor CPU BGA</v>
      </c>
      <c r="N2797" s="17" t="n">
        <v>1</v>
      </c>
      <c r="O2797" s="17" t="str">
        <f aca="false">VLOOKUP(N2797,Sheet2!G:H,2,0)</f>
        <v>Dead</v>
      </c>
      <c r="P2797" s="17" t="n">
        <v>11</v>
      </c>
      <c r="Q2797" s="17" t="str">
        <f aca="false">VLOOKUP(P2797,Sheet2!J:K,2,0)</f>
        <v>IR Declared due to CID -TA</v>
      </c>
      <c r="R2797" s="17" t="s">
        <v>35</v>
      </c>
      <c r="S2797" s="17" t="str">
        <f aca="false">VLOOKUP(R2797,Sheet2!N:O,2,0)</f>
        <v>IREPARABLE</v>
      </c>
      <c r="T2797" s="18" t="str">
        <f aca="false">VLOOKUP(P2797,Sheet2!Q:R,2,0)</f>
        <v>IR Normal - Track burn out</v>
      </c>
      <c r="U2797" s="20" t="s">
        <v>41</v>
      </c>
      <c r="V2797" s="17"/>
      <c r="W2797" s="20" t="e">
        <f aca="false">VLOOKUP(V2797,Sheet2!Q:R,2,0)</f>
        <v>#N/A</v>
      </c>
      <c r="X2797" s="17" t="n">
        <f aca="false">J2797</f>
        <v>0</v>
      </c>
      <c r="Y2797" s="17" t="e">
        <f aca="false">VLOOKUP(X2797,Sheet2!A:B,2,0)</f>
        <v>#N/A</v>
      </c>
      <c r="Z2797" s="17"/>
      <c r="AA2797" s="17"/>
      <c r="AB2797" s="17" t="s">
        <v>41</v>
      </c>
      <c r="AC2797" s="0" t="str">
        <f aca="false">LEFT(G2797,2)</f>
        <v/>
      </c>
    </row>
    <row r="2798" customFormat="false" ht="15" hidden="false" customHeight="false" outlineLevel="0" collapsed="false">
      <c r="A2798" s="13" t="n">
        <f aca="false">1+A2797</f>
        <v>2796</v>
      </c>
      <c r="B2798" s="14" t="n">
        <v>100</v>
      </c>
      <c r="C2798" s="15"/>
      <c r="D2798" s="16" t="s">
        <v>64</v>
      </c>
      <c r="E2798" s="17" t="s">
        <v>47</v>
      </c>
      <c r="F2798" s="18" t="s">
        <v>34</v>
      </c>
      <c r="G2798" s="19"/>
      <c r="H2798" s="17" t="s">
        <v>35</v>
      </c>
      <c r="I2798" s="17" t="s">
        <v>44</v>
      </c>
      <c r="J2798" s="17"/>
      <c r="K2798" s="17" t="e">
        <f aca="false">VLOOKUP(J2798,Sheet2!A:B,2,0)</f>
        <v>#N/A</v>
      </c>
      <c r="L2798" s="17" t="n">
        <v>5</v>
      </c>
      <c r="M2798" s="17" t="str">
        <f aca="false">VLOOKUP(L2798,Sheet2!D:E,2,0)</f>
        <v>Main Processor CPU BGA</v>
      </c>
      <c r="N2798" s="17" t="n">
        <v>1</v>
      </c>
      <c r="O2798" s="17" t="str">
        <f aca="false">VLOOKUP(N2798,Sheet2!G:H,2,0)</f>
        <v>Dead</v>
      </c>
      <c r="P2798" s="17" t="n">
        <v>11</v>
      </c>
      <c r="Q2798" s="17" t="str">
        <f aca="false">VLOOKUP(P2798,Sheet2!J:K,2,0)</f>
        <v>IR Declared due to CID -TA</v>
      </c>
      <c r="R2798" s="17" t="s">
        <v>35</v>
      </c>
      <c r="S2798" s="17" t="str">
        <f aca="false">VLOOKUP(R2798,Sheet2!N:O,2,0)</f>
        <v>IREPARABLE</v>
      </c>
      <c r="T2798" s="18" t="str">
        <f aca="false">VLOOKUP(P2798,Sheet2!Q:R,2,0)</f>
        <v>IR Normal - Track burn out</v>
      </c>
      <c r="U2798" s="20" t="s">
        <v>41</v>
      </c>
      <c r="V2798" s="17"/>
      <c r="W2798" s="20" t="e">
        <f aca="false">VLOOKUP(V2798,Sheet2!Q:R,2,0)</f>
        <v>#N/A</v>
      </c>
      <c r="X2798" s="17" t="n">
        <f aca="false">J2798</f>
        <v>0</v>
      </c>
      <c r="Y2798" s="17" t="e">
        <f aca="false">VLOOKUP(X2798,Sheet2!A:B,2,0)</f>
        <v>#N/A</v>
      </c>
      <c r="Z2798" s="17"/>
      <c r="AA2798" s="17"/>
      <c r="AB2798" s="17" t="s">
        <v>41</v>
      </c>
      <c r="AC2798" s="0" t="str">
        <f aca="false">LEFT(G2798,2)</f>
        <v/>
      </c>
    </row>
    <row r="2799" customFormat="false" ht="15" hidden="false" customHeight="false" outlineLevel="0" collapsed="false">
      <c r="A2799" s="13" t="n">
        <f aca="false">1+A2798</f>
        <v>2797</v>
      </c>
      <c r="B2799" s="14" t="n">
        <v>100</v>
      </c>
      <c r="C2799" s="15"/>
      <c r="D2799" s="16" t="s">
        <v>64</v>
      </c>
      <c r="E2799" s="17" t="s">
        <v>47</v>
      </c>
      <c r="F2799" s="18" t="s">
        <v>34</v>
      </c>
      <c r="G2799" s="19"/>
      <c r="H2799" s="17" t="s">
        <v>35</v>
      </c>
      <c r="I2799" s="17" t="s">
        <v>44</v>
      </c>
      <c r="J2799" s="17"/>
      <c r="K2799" s="17" t="e">
        <f aca="false">VLOOKUP(J2799,Sheet2!A:B,2,0)</f>
        <v>#N/A</v>
      </c>
      <c r="L2799" s="17" t="n">
        <v>5</v>
      </c>
      <c r="M2799" s="17" t="str">
        <f aca="false">VLOOKUP(L2799,Sheet2!D:E,2,0)</f>
        <v>Main Processor CPU BGA</v>
      </c>
      <c r="N2799" s="17" t="n">
        <v>1</v>
      </c>
      <c r="O2799" s="17" t="str">
        <f aca="false">VLOOKUP(N2799,Sheet2!G:H,2,0)</f>
        <v>Dead</v>
      </c>
      <c r="P2799" s="17" t="n">
        <v>11</v>
      </c>
      <c r="Q2799" s="17" t="str">
        <f aca="false">VLOOKUP(P2799,Sheet2!J:K,2,0)</f>
        <v>IR Declared due to CID -TA</v>
      </c>
      <c r="R2799" s="17" t="s">
        <v>35</v>
      </c>
      <c r="S2799" s="17" t="str">
        <f aca="false">VLOOKUP(R2799,Sheet2!N:O,2,0)</f>
        <v>IREPARABLE</v>
      </c>
      <c r="T2799" s="18" t="str">
        <f aca="false">VLOOKUP(P2799,Sheet2!Q:R,2,0)</f>
        <v>IR Normal - Track burn out</v>
      </c>
      <c r="U2799" s="20" t="s">
        <v>41</v>
      </c>
      <c r="V2799" s="17"/>
      <c r="W2799" s="20" t="e">
        <f aca="false">VLOOKUP(V2799,Sheet2!Q:R,2,0)</f>
        <v>#N/A</v>
      </c>
      <c r="X2799" s="17" t="n">
        <f aca="false">J2799</f>
        <v>0</v>
      </c>
      <c r="Y2799" s="17" t="e">
        <f aca="false">VLOOKUP(X2799,Sheet2!A:B,2,0)</f>
        <v>#N/A</v>
      </c>
      <c r="Z2799" s="17"/>
      <c r="AA2799" s="17"/>
      <c r="AB2799" s="17" t="s">
        <v>41</v>
      </c>
      <c r="AC2799" s="0" t="str">
        <f aca="false">LEFT(G2799,2)</f>
        <v/>
      </c>
    </row>
    <row r="2800" customFormat="false" ht="15" hidden="false" customHeight="false" outlineLevel="0" collapsed="false">
      <c r="A2800" s="13" t="n">
        <f aca="false">1+A2799</f>
        <v>2798</v>
      </c>
      <c r="B2800" s="14" t="n">
        <v>100</v>
      </c>
      <c r="C2800" s="15"/>
      <c r="D2800" s="16" t="s">
        <v>64</v>
      </c>
      <c r="E2800" s="17" t="s">
        <v>47</v>
      </c>
      <c r="F2800" s="18" t="s">
        <v>34</v>
      </c>
      <c r="G2800" s="19"/>
      <c r="H2800" s="17" t="s">
        <v>35</v>
      </c>
      <c r="I2800" s="17" t="s">
        <v>44</v>
      </c>
      <c r="J2800" s="17"/>
      <c r="K2800" s="17" t="e">
        <f aca="false">VLOOKUP(J2800,Sheet2!A:B,2,0)</f>
        <v>#N/A</v>
      </c>
      <c r="L2800" s="17" t="n">
        <v>5</v>
      </c>
      <c r="M2800" s="17" t="str">
        <f aca="false">VLOOKUP(L2800,Sheet2!D:E,2,0)</f>
        <v>Main Processor CPU BGA</v>
      </c>
      <c r="N2800" s="17" t="n">
        <v>1</v>
      </c>
      <c r="O2800" s="17" t="str">
        <f aca="false">VLOOKUP(N2800,Sheet2!G:H,2,0)</f>
        <v>Dead</v>
      </c>
      <c r="P2800" s="17" t="n">
        <v>11</v>
      </c>
      <c r="Q2800" s="17" t="str">
        <f aca="false">VLOOKUP(P2800,Sheet2!J:K,2,0)</f>
        <v>IR Declared due to CID -TA</v>
      </c>
      <c r="R2800" s="17" t="s">
        <v>35</v>
      </c>
      <c r="S2800" s="17" t="str">
        <f aca="false">VLOOKUP(R2800,Sheet2!N:O,2,0)</f>
        <v>IREPARABLE</v>
      </c>
      <c r="T2800" s="18" t="str">
        <f aca="false">VLOOKUP(P2800,Sheet2!Q:R,2,0)</f>
        <v>IR Normal - Track burn out</v>
      </c>
      <c r="U2800" s="20" t="s">
        <v>41</v>
      </c>
      <c r="V2800" s="17"/>
      <c r="W2800" s="20" t="e">
        <f aca="false">VLOOKUP(V2800,Sheet2!Q:R,2,0)</f>
        <v>#N/A</v>
      </c>
      <c r="X2800" s="17" t="n">
        <f aca="false">J2800</f>
        <v>0</v>
      </c>
      <c r="Y2800" s="17" t="e">
        <f aca="false">VLOOKUP(X2800,Sheet2!A:B,2,0)</f>
        <v>#N/A</v>
      </c>
      <c r="Z2800" s="17"/>
      <c r="AA2800" s="17"/>
      <c r="AB2800" s="17" t="s">
        <v>41</v>
      </c>
      <c r="AC2800" s="0" t="str">
        <f aca="false">LEFT(G2800,2)</f>
        <v/>
      </c>
    </row>
    <row r="2801" customFormat="false" ht="15" hidden="false" customHeight="false" outlineLevel="0" collapsed="false">
      <c r="A2801" s="13" t="n">
        <f aca="false">1+A2800</f>
        <v>2799</v>
      </c>
      <c r="B2801" s="14" t="n">
        <v>100</v>
      </c>
      <c r="C2801" s="15"/>
      <c r="D2801" s="16" t="s">
        <v>64</v>
      </c>
      <c r="E2801" s="17" t="s">
        <v>47</v>
      </c>
      <c r="F2801" s="18" t="s">
        <v>34</v>
      </c>
      <c r="G2801" s="19"/>
      <c r="H2801" s="17" t="s">
        <v>35</v>
      </c>
      <c r="I2801" s="17" t="s">
        <v>44</v>
      </c>
      <c r="J2801" s="17"/>
      <c r="K2801" s="17" t="e">
        <f aca="false">VLOOKUP(J2801,Sheet2!A:B,2,0)</f>
        <v>#N/A</v>
      </c>
      <c r="L2801" s="17" t="n">
        <v>5</v>
      </c>
      <c r="M2801" s="17" t="str">
        <f aca="false">VLOOKUP(L2801,Sheet2!D:E,2,0)</f>
        <v>Main Processor CPU BGA</v>
      </c>
      <c r="N2801" s="17" t="n">
        <v>1</v>
      </c>
      <c r="O2801" s="17" t="str">
        <f aca="false">VLOOKUP(N2801,Sheet2!G:H,2,0)</f>
        <v>Dead</v>
      </c>
      <c r="P2801" s="17" t="n">
        <v>11</v>
      </c>
      <c r="Q2801" s="17" t="str">
        <f aca="false">VLOOKUP(P2801,Sheet2!J:K,2,0)</f>
        <v>IR Declared due to CID -TA</v>
      </c>
      <c r="R2801" s="17" t="s">
        <v>35</v>
      </c>
      <c r="S2801" s="17" t="str">
        <f aca="false">VLOOKUP(R2801,Sheet2!N:O,2,0)</f>
        <v>IREPARABLE</v>
      </c>
      <c r="T2801" s="18" t="str">
        <f aca="false">VLOOKUP(P2801,Sheet2!Q:R,2,0)</f>
        <v>IR Normal - Track burn out</v>
      </c>
      <c r="U2801" s="20" t="s">
        <v>41</v>
      </c>
      <c r="V2801" s="17"/>
      <c r="W2801" s="20" t="e">
        <f aca="false">VLOOKUP(V2801,Sheet2!Q:R,2,0)</f>
        <v>#N/A</v>
      </c>
      <c r="X2801" s="17" t="n">
        <f aca="false">J2801</f>
        <v>0</v>
      </c>
      <c r="Y2801" s="17" t="e">
        <f aca="false">VLOOKUP(X2801,Sheet2!A:B,2,0)</f>
        <v>#N/A</v>
      </c>
      <c r="Z2801" s="17"/>
      <c r="AA2801" s="17"/>
      <c r="AB2801" s="17" t="s">
        <v>41</v>
      </c>
      <c r="AC2801" s="0" t="str">
        <f aca="false">LEFT(G2801,2)</f>
        <v/>
      </c>
    </row>
    <row r="2802" customFormat="false" ht="15" hidden="false" customHeight="false" outlineLevel="0" collapsed="false">
      <c r="A2802" s="13" t="n">
        <f aca="false">1+A2801</f>
        <v>2800</v>
      </c>
      <c r="B2802" s="14" t="n">
        <v>100</v>
      </c>
      <c r="C2802" s="15"/>
      <c r="D2802" s="16" t="s">
        <v>64</v>
      </c>
      <c r="E2802" s="17" t="s">
        <v>47</v>
      </c>
      <c r="F2802" s="18" t="s">
        <v>34</v>
      </c>
      <c r="G2802" s="19"/>
      <c r="H2802" s="17" t="s">
        <v>35</v>
      </c>
      <c r="I2802" s="17" t="s">
        <v>44</v>
      </c>
      <c r="J2802" s="17"/>
      <c r="K2802" s="17" t="e">
        <f aca="false">VLOOKUP(J2802,Sheet2!A:B,2,0)</f>
        <v>#N/A</v>
      </c>
      <c r="L2802" s="17" t="n">
        <v>5</v>
      </c>
      <c r="M2802" s="17" t="str">
        <f aca="false">VLOOKUP(L2802,Sheet2!D:E,2,0)</f>
        <v>Main Processor CPU BGA</v>
      </c>
      <c r="N2802" s="17" t="n">
        <v>1</v>
      </c>
      <c r="O2802" s="17" t="str">
        <f aca="false">VLOOKUP(N2802,Sheet2!G:H,2,0)</f>
        <v>Dead</v>
      </c>
      <c r="P2802" s="17" t="n">
        <v>11</v>
      </c>
      <c r="Q2802" s="17" t="str">
        <f aca="false">VLOOKUP(P2802,Sheet2!J:K,2,0)</f>
        <v>IR Declared due to CID -TA</v>
      </c>
      <c r="R2802" s="17" t="s">
        <v>35</v>
      </c>
      <c r="S2802" s="17" t="str">
        <f aca="false">VLOOKUP(R2802,Sheet2!N:O,2,0)</f>
        <v>IREPARABLE</v>
      </c>
      <c r="T2802" s="18" t="str">
        <f aca="false">VLOOKUP(P2802,Sheet2!Q:R,2,0)</f>
        <v>IR Normal - Track burn out</v>
      </c>
      <c r="U2802" s="20" t="s">
        <v>41</v>
      </c>
      <c r="V2802" s="17"/>
      <c r="W2802" s="20" t="e">
        <f aca="false">VLOOKUP(V2802,Sheet2!Q:R,2,0)</f>
        <v>#N/A</v>
      </c>
      <c r="X2802" s="17" t="n">
        <f aca="false">J2802</f>
        <v>0</v>
      </c>
      <c r="Y2802" s="17" t="e">
        <f aca="false">VLOOKUP(X2802,Sheet2!A:B,2,0)</f>
        <v>#N/A</v>
      </c>
      <c r="Z2802" s="17"/>
      <c r="AA2802" s="17"/>
      <c r="AB2802" s="17" t="s">
        <v>41</v>
      </c>
      <c r="AC2802" s="0" t="str">
        <f aca="false">LEFT(G2802,2)</f>
        <v/>
      </c>
    </row>
    <row r="2803" customFormat="false" ht="15" hidden="false" customHeight="false" outlineLevel="0" collapsed="false">
      <c r="A2803" s="13" t="n">
        <f aca="false">1+A2802</f>
        <v>2801</v>
      </c>
      <c r="B2803" s="14" t="n">
        <v>100</v>
      </c>
      <c r="C2803" s="15"/>
      <c r="D2803" s="16" t="s">
        <v>64</v>
      </c>
      <c r="E2803" s="17" t="s">
        <v>47</v>
      </c>
      <c r="F2803" s="18" t="s">
        <v>34</v>
      </c>
      <c r="G2803" s="19"/>
      <c r="H2803" s="17" t="s">
        <v>35</v>
      </c>
      <c r="I2803" s="17" t="s">
        <v>44</v>
      </c>
      <c r="J2803" s="17"/>
      <c r="K2803" s="17" t="e">
        <f aca="false">VLOOKUP(J2803,Sheet2!A:B,2,0)</f>
        <v>#N/A</v>
      </c>
      <c r="L2803" s="17" t="n">
        <v>5</v>
      </c>
      <c r="M2803" s="17" t="str">
        <f aca="false">VLOOKUP(L2803,Sheet2!D:E,2,0)</f>
        <v>Main Processor CPU BGA</v>
      </c>
      <c r="N2803" s="17" t="n">
        <v>1</v>
      </c>
      <c r="O2803" s="17" t="str">
        <f aca="false">VLOOKUP(N2803,Sheet2!G:H,2,0)</f>
        <v>Dead</v>
      </c>
      <c r="P2803" s="17" t="n">
        <v>11</v>
      </c>
      <c r="Q2803" s="17" t="str">
        <f aca="false">VLOOKUP(P2803,Sheet2!J:K,2,0)</f>
        <v>IR Declared due to CID -TA</v>
      </c>
      <c r="R2803" s="17" t="s">
        <v>35</v>
      </c>
      <c r="S2803" s="17" t="str">
        <f aca="false">VLOOKUP(R2803,Sheet2!N:O,2,0)</f>
        <v>IREPARABLE</v>
      </c>
      <c r="T2803" s="18" t="str">
        <f aca="false">VLOOKUP(P2803,Sheet2!Q:R,2,0)</f>
        <v>IR Normal - Track burn out</v>
      </c>
      <c r="U2803" s="20" t="s">
        <v>41</v>
      </c>
      <c r="V2803" s="17"/>
      <c r="W2803" s="20" t="e">
        <f aca="false">VLOOKUP(V2803,Sheet2!Q:R,2,0)</f>
        <v>#N/A</v>
      </c>
      <c r="X2803" s="17" t="n">
        <f aca="false">J2803</f>
        <v>0</v>
      </c>
      <c r="Y2803" s="17" t="e">
        <f aca="false">VLOOKUP(X2803,Sheet2!A:B,2,0)</f>
        <v>#N/A</v>
      </c>
      <c r="Z2803" s="17"/>
      <c r="AA2803" s="17"/>
      <c r="AB2803" s="17" t="s">
        <v>41</v>
      </c>
      <c r="AC2803" s="0" t="str">
        <f aca="false">LEFT(G2803,2)</f>
        <v/>
      </c>
    </row>
    <row r="2804" customFormat="false" ht="15" hidden="false" customHeight="false" outlineLevel="0" collapsed="false">
      <c r="A2804" s="13" t="n">
        <f aca="false">1+A2803</f>
        <v>2802</v>
      </c>
      <c r="B2804" s="14" t="n">
        <v>100</v>
      </c>
      <c r="C2804" s="15"/>
      <c r="D2804" s="16" t="s">
        <v>64</v>
      </c>
      <c r="E2804" s="17" t="s">
        <v>47</v>
      </c>
      <c r="F2804" s="18" t="s">
        <v>34</v>
      </c>
      <c r="G2804" s="19"/>
      <c r="H2804" s="17" t="s">
        <v>35</v>
      </c>
      <c r="I2804" s="17" t="s">
        <v>44</v>
      </c>
      <c r="J2804" s="17"/>
      <c r="K2804" s="17" t="e">
        <f aca="false">VLOOKUP(J2804,Sheet2!A:B,2,0)</f>
        <v>#N/A</v>
      </c>
      <c r="L2804" s="17" t="n">
        <v>5</v>
      </c>
      <c r="M2804" s="17" t="str">
        <f aca="false">VLOOKUP(L2804,Sheet2!D:E,2,0)</f>
        <v>Main Processor CPU BGA</v>
      </c>
      <c r="N2804" s="17" t="n">
        <v>1</v>
      </c>
      <c r="O2804" s="17" t="str">
        <f aca="false">VLOOKUP(N2804,Sheet2!G:H,2,0)</f>
        <v>Dead</v>
      </c>
      <c r="P2804" s="17" t="n">
        <v>11</v>
      </c>
      <c r="Q2804" s="17" t="str">
        <f aca="false">VLOOKUP(P2804,Sheet2!J:K,2,0)</f>
        <v>IR Declared due to CID -TA</v>
      </c>
      <c r="R2804" s="17" t="s">
        <v>35</v>
      </c>
      <c r="S2804" s="17" t="str">
        <f aca="false">VLOOKUP(R2804,Sheet2!N:O,2,0)</f>
        <v>IREPARABLE</v>
      </c>
      <c r="T2804" s="18" t="str">
        <f aca="false">VLOOKUP(P2804,Sheet2!Q:R,2,0)</f>
        <v>IR Normal - Track burn out</v>
      </c>
      <c r="U2804" s="20" t="s">
        <v>41</v>
      </c>
      <c r="V2804" s="17"/>
      <c r="W2804" s="20" t="e">
        <f aca="false">VLOOKUP(V2804,Sheet2!Q:R,2,0)</f>
        <v>#N/A</v>
      </c>
      <c r="X2804" s="17" t="n">
        <f aca="false">J2804</f>
        <v>0</v>
      </c>
      <c r="Y2804" s="17" t="e">
        <f aca="false">VLOOKUP(X2804,Sheet2!A:B,2,0)</f>
        <v>#N/A</v>
      </c>
      <c r="Z2804" s="17"/>
      <c r="AA2804" s="17"/>
      <c r="AB2804" s="17" t="s">
        <v>41</v>
      </c>
      <c r="AC2804" s="0" t="str">
        <f aca="false">LEFT(G2804,2)</f>
        <v/>
      </c>
    </row>
    <row r="2805" customFormat="false" ht="15" hidden="false" customHeight="false" outlineLevel="0" collapsed="false">
      <c r="A2805" s="13" t="n">
        <f aca="false">1+A2804</f>
        <v>2803</v>
      </c>
      <c r="B2805" s="14" t="n">
        <v>100</v>
      </c>
      <c r="C2805" s="15"/>
      <c r="D2805" s="16" t="s">
        <v>64</v>
      </c>
      <c r="E2805" s="17" t="s">
        <v>47</v>
      </c>
      <c r="F2805" s="18" t="s">
        <v>34</v>
      </c>
      <c r="G2805" s="19"/>
      <c r="H2805" s="17" t="s">
        <v>35</v>
      </c>
      <c r="I2805" s="17" t="s">
        <v>44</v>
      </c>
      <c r="J2805" s="17"/>
      <c r="K2805" s="17" t="e">
        <f aca="false">VLOOKUP(J2805,Sheet2!A:B,2,0)</f>
        <v>#N/A</v>
      </c>
      <c r="L2805" s="17" t="n">
        <v>5</v>
      </c>
      <c r="M2805" s="17" t="str">
        <f aca="false">VLOOKUP(L2805,Sheet2!D:E,2,0)</f>
        <v>Main Processor CPU BGA</v>
      </c>
      <c r="N2805" s="17" t="n">
        <v>1</v>
      </c>
      <c r="O2805" s="17" t="str">
        <f aca="false">VLOOKUP(N2805,Sheet2!G:H,2,0)</f>
        <v>Dead</v>
      </c>
      <c r="P2805" s="17" t="n">
        <v>11</v>
      </c>
      <c r="Q2805" s="17" t="str">
        <f aca="false">VLOOKUP(P2805,Sheet2!J:K,2,0)</f>
        <v>IR Declared due to CID -TA</v>
      </c>
      <c r="R2805" s="17" t="s">
        <v>35</v>
      </c>
      <c r="S2805" s="17" t="str">
        <f aca="false">VLOOKUP(R2805,Sheet2!N:O,2,0)</f>
        <v>IREPARABLE</v>
      </c>
      <c r="T2805" s="18" t="str">
        <f aca="false">VLOOKUP(P2805,Sheet2!Q:R,2,0)</f>
        <v>IR Normal - Track burn out</v>
      </c>
      <c r="U2805" s="20" t="s">
        <v>41</v>
      </c>
      <c r="V2805" s="17"/>
      <c r="W2805" s="20" t="e">
        <f aca="false">VLOOKUP(V2805,Sheet2!Q:R,2,0)</f>
        <v>#N/A</v>
      </c>
      <c r="X2805" s="17" t="n">
        <f aca="false">J2805</f>
        <v>0</v>
      </c>
      <c r="Y2805" s="17" t="e">
        <f aca="false">VLOOKUP(X2805,Sheet2!A:B,2,0)</f>
        <v>#N/A</v>
      </c>
      <c r="Z2805" s="17"/>
      <c r="AA2805" s="17"/>
      <c r="AB2805" s="17" t="s">
        <v>41</v>
      </c>
      <c r="AC2805" s="0" t="str">
        <f aca="false">LEFT(G2805,2)</f>
        <v/>
      </c>
    </row>
    <row r="2806" customFormat="false" ht="15" hidden="false" customHeight="false" outlineLevel="0" collapsed="false">
      <c r="A2806" s="13" t="n">
        <f aca="false">1+A2805</f>
        <v>2804</v>
      </c>
      <c r="B2806" s="14" t="n">
        <v>100</v>
      </c>
      <c r="C2806" s="15"/>
      <c r="D2806" s="16" t="s">
        <v>64</v>
      </c>
      <c r="E2806" s="17" t="s">
        <v>47</v>
      </c>
      <c r="F2806" s="18" t="s">
        <v>34</v>
      </c>
      <c r="G2806" s="19"/>
      <c r="H2806" s="17" t="s">
        <v>35</v>
      </c>
      <c r="I2806" s="17" t="s">
        <v>44</v>
      </c>
      <c r="J2806" s="17"/>
      <c r="K2806" s="17" t="e">
        <f aca="false">VLOOKUP(J2806,Sheet2!A:B,2,0)</f>
        <v>#N/A</v>
      </c>
      <c r="L2806" s="17" t="n">
        <v>5</v>
      </c>
      <c r="M2806" s="17" t="str">
        <f aca="false">VLOOKUP(L2806,Sheet2!D:E,2,0)</f>
        <v>Main Processor CPU BGA</v>
      </c>
      <c r="N2806" s="17" t="n">
        <v>1</v>
      </c>
      <c r="O2806" s="17" t="str">
        <f aca="false">VLOOKUP(N2806,Sheet2!G:H,2,0)</f>
        <v>Dead</v>
      </c>
      <c r="P2806" s="17" t="n">
        <v>11</v>
      </c>
      <c r="Q2806" s="17" t="str">
        <f aca="false">VLOOKUP(P2806,Sheet2!J:K,2,0)</f>
        <v>IR Declared due to CID -TA</v>
      </c>
      <c r="R2806" s="17" t="s">
        <v>35</v>
      </c>
      <c r="S2806" s="17" t="str">
        <f aca="false">VLOOKUP(R2806,Sheet2!N:O,2,0)</f>
        <v>IREPARABLE</v>
      </c>
      <c r="T2806" s="18" t="str">
        <f aca="false">VLOOKUP(P2806,Sheet2!Q:R,2,0)</f>
        <v>IR Normal - Track burn out</v>
      </c>
      <c r="U2806" s="20" t="s">
        <v>41</v>
      </c>
      <c r="V2806" s="17"/>
      <c r="W2806" s="20" t="e">
        <f aca="false">VLOOKUP(V2806,Sheet2!Q:R,2,0)</f>
        <v>#N/A</v>
      </c>
      <c r="X2806" s="17" t="n">
        <f aca="false">J2806</f>
        <v>0</v>
      </c>
      <c r="Y2806" s="17" t="e">
        <f aca="false">VLOOKUP(X2806,Sheet2!A:B,2,0)</f>
        <v>#N/A</v>
      </c>
      <c r="Z2806" s="17"/>
      <c r="AA2806" s="17"/>
      <c r="AB2806" s="17" t="s">
        <v>41</v>
      </c>
      <c r="AC2806" s="0" t="str">
        <f aca="false">LEFT(G2806,2)</f>
        <v/>
      </c>
    </row>
    <row r="2807" customFormat="false" ht="15" hidden="false" customHeight="false" outlineLevel="0" collapsed="false">
      <c r="A2807" s="13" t="n">
        <f aca="false">1+A2806</f>
        <v>2805</v>
      </c>
      <c r="B2807" s="14" t="n">
        <v>100</v>
      </c>
      <c r="C2807" s="15"/>
      <c r="D2807" s="16" t="s">
        <v>64</v>
      </c>
      <c r="E2807" s="17" t="s">
        <v>47</v>
      </c>
      <c r="F2807" s="18" t="s">
        <v>34</v>
      </c>
      <c r="G2807" s="19"/>
      <c r="H2807" s="17" t="s">
        <v>35</v>
      </c>
      <c r="I2807" s="17" t="s">
        <v>44</v>
      </c>
      <c r="J2807" s="17"/>
      <c r="K2807" s="17" t="e">
        <f aca="false">VLOOKUP(J2807,Sheet2!A:B,2,0)</f>
        <v>#N/A</v>
      </c>
      <c r="L2807" s="17" t="n">
        <v>5</v>
      </c>
      <c r="M2807" s="17" t="str">
        <f aca="false">VLOOKUP(L2807,Sheet2!D:E,2,0)</f>
        <v>Main Processor CPU BGA</v>
      </c>
      <c r="N2807" s="17" t="n">
        <v>1</v>
      </c>
      <c r="O2807" s="17" t="str">
        <f aca="false">VLOOKUP(N2807,Sheet2!G:H,2,0)</f>
        <v>Dead</v>
      </c>
      <c r="P2807" s="17" t="n">
        <v>11</v>
      </c>
      <c r="Q2807" s="17" t="str">
        <f aca="false">VLOOKUP(P2807,Sheet2!J:K,2,0)</f>
        <v>IR Declared due to CID -TA</v>
      </c>
      <c r="R2807" s="17" t="s">
        <v>35</v>
      </c>
      <c r="S2807" s="17" t="str">
        <f aca="false">VLOOKUP(R2807,Sheet2!N:O,2,0)</f>
        <v>IREPARABLE</v>
      </c>
      <c r="T2807" s="18" t="str">
        <f aca="false">VLOOKUP(P2807,Sheet2!Q:R,2,0)</f>
        <v>IR Normal - Track burn out</v>
      </c>
      <c r="U2807" s="20" t="s">
        <v>41</v>
      </c>
      <c r="V2807" s="17"/>
      <c r="W2807" s="20" t="e">
        <f aca="false">VLOOKUP(V2807,Sheet2!Q:R,2,0)</f>
        <v>#N/A</v>
      </c>
      <c r="X2807" s="17" t="n">
        <f aca="false">J2807</f>
        <v>0</v>
      </c>
      <c r="Y2807" s="17" t="e">
        <f aca="false">VLOOKUP(X2807,Sheet2!A:B,2,0)</f>
        <v>#N/A</v>
      </c>
      <c r="Z2807" s="17"/>
      <c r="AA2807" s="17"/>
      <c r="AB2807" s="17" t="s">
        <v>41</v>
      </c>
      <c r="AC2807" s="0" t="str">
        <f aca="false">LEFT(G2807,2)</f>
        <v/>
      </c>
    </row>
    <row r="2808" customFormat="false" ht="15" hidden="false" customHeight="false" outlineLevel="0" collapsed="false">
      <c r="A2808" s="13" t="n">
        <f aca="false">1+A2807</f>
        <v>2806</v>
      </c>
      <c r="B2808" s="14" t="n">
        <v>100</v>
      </c>
      <c r="C2808" s="15"/>
      <c r="D2808" s="16" t="s">
        <v>64</v>
      </c>
      <c r="E2808" s="17" t="s">
        <v>47</v>
      </c>
      <c r="F2808" s="18" t="s">
        <v>34</v>
      </c>
      <c r="G2808" s="19"/>
      <c r="H2808" s="17" t="s">
        <v>35</v>
      </c>
      <c r="I2808" s="17" t="s">
        <v>44</v>
      </c>
      <c r="J2808" s="17"/>
      <c r="K2808" s="17" t="e">
        <f aca="false">VLOOKUP(J2808,Sheet2!A:B,2,0)</f>
        <v>#N/A</v>
      </c>
      <c r="L2808" s="17" t="n">
        <v>5</v>
      </c>
      <c r="M2808" s="17" t="str">
        <f aca="false">VLOOKUP(L2808,Sheet2!D:E,2,0)</f>
        <v>Main Processor CPU BGA</v>
      </c>
      <c r="N2808" s="17" t="n">
        <v>1</v>
      </c>
      <c r="O2808" s="17" t="str">
        <f aca="false">VLOOKUP(N2808,Sheet2!G:H,2,0)</f>
        <v>Dead</v>
      </c>
      <c r="P2808" s="17" t="n">
        <v>11</v>
      </c>
      <c r="Q2808" s="17" t="str">
        <f aca="false">VLOOKUP(P2808,Sheet2!J:K,2,0)</f>
        <v>IR Declared due to CID -TA</v>
      </c>
      <c r="R2808" s="17" t="s">
        <v>35</v>
      </c>
      <c r="S2808" s="17" t="str">
        <f aca="false">VLOOKUP(R2808,Sheet2!N:O,2,0)</f>
        <v>IREPARABLE</v>
      </c>
      <c r="T2808" s="18" t="str">
        <f aca="false">VLOOKUP(P2808,Sheet2!Q:R,2,0)</f>
        <v>IR Normal - Track burn out</v>
      </c>
      <c r="U2808" s="20" t="s">
        <v>41</v>
      </c>
      <c r="V2808" s="17"/>
      <c r="W2808" s="20" t="e">
        <f aca="false">VLOOKUP(V2808,Sheet2!Q:R,2,0)</f>
        <v>#N/A</v>
      </c>
      <c r="X2808" s="17" t="n">
        <f aca="false">J2808</f>
        <v>0</v>
      </c>
      <c r="Y2808" s="17" t="e">
        <f aca="false">VLOOKUP(X2808,Sheet2!A:B,2,0)</f>
        <v>#N/A</v>
      </c>
      <c r="Z2808" s="17"/>
      <c r="AA2808" s="17"/>
      <c r="AB2808" s="17" t="s">
        <v>41</v>
      </c>
      <c r="AC2808" s="0" t="str">
        <f aca="false">LEFT(G2808,2)</f>
        <v/>
      </c>
    </row>
    <row r="2809" customFormat="false" ht="15" hidden="false" customHeight="false" outlineLevel="0" collapsed="false">
      <c r="A2809" s="13" t="n">
        <f aca="false">1+A2808</f>
        <v>2807</v>
      </c>
      <c r="B2809" s="14" t="n">
        <v>100</v>
      </c>
      <c r="C2809" s="15"/>
      <c r="D2809" s="16" t="s">
        <v>64</v>
      </c>
      <c r="E2809" s="17" t="s">
        <v>47</v>
      </c>
      <c r="F2809" s="18" t="s">
        <v>34</v>
      </c>
      <c r="G2809" s="19"/>
      <c r="H2809" s="17" t="s">
        <v>35</v>
      </c>
      <c r="I2809" s="17" t="s">
        <v>44</v>
      </c>
      <c r="J2809" s="17"/>
      <c r="K2809" s="17" t="e">
        <f aca="false">VLOOKUP(J2809,Sheet2!A:B,2,0)</f>
        <v>#N/A</v>
      </c>
      <c r="L2809" s="17" t="n">
        <v>5</v>
      </c>
      <c r="M2809" s="17" t="str">
        <f aca="false">VLOOKUP(L2809,Sheet2!D:E,2,0)</f>
        <v>Main Processor CPU BGA</v>
      </c>
      <c r="N2809" s="17" t="n">
        <v>1</v>
      </c>
      <c r="O2809" s="17" t="str">
        <f aca="false">VLOOKUP(N2809,Sheet2!G:H,2,0)</f>
        <v>Dead</v>
      </c>
      <c r="P2809" s="17" t="n">
        <v>11</v>
      </c>
      <c r="Q2809" s="17" t="str">
        <f aca="false">VLOOKUP(P2809,Sheet2!J:K,2,0)</f>
        <v>IR Declared due to CID -TA</v>
      </c>
      <c r="R2809" s="17" t="s">
        <v>35</v>
      </c>
      <c r="S2809" s="17" t="str">
        <f aca="false">VLOOKUP(R2809,Sheet2!N:O,2,0)</f>
        <v>IREPARABLE</v>
      </c>
      <c r="T2809" s="18" t="str">
        <f aca="false">VLOOKUP(P2809,Sheet2!Q:R,2,0)</f>
        <v>IR Normal - Track burn out</v>
      </c>
      <c r="U2809" s="20" t="s">
        <v>41</v>
      </c>
      <c r="V2809" s="17"/>
      <c r="W2809" s="20" t="e">
        <f aca="false">VLOOKUP(V2809,Sheet2!Q:R,2,0)</f>
        <v>#N/A</v>
      </c>
      <c r="X2809" s="17" t="n">
        <f aca="false">J2809</f>
        <v>0</v>
      </c>
      <c r="Y2809" s="17" t="e">
        <f aca="false">VLOOKUP(X2809,Sheet2!A:B,2,0)</f>
        <v>#N/A</v>
      </c>
      <c r="Z2809" s="17"/>
      <c r="AA2809" s="17"/>
      <c r="AB2809" s="17" t="s">
        <v>41</v>
      </c>
      <c r="AC2809" s="0" t="str">
        <f aca="false">LEFT(G2809,2)</f>
        <v/>
      </c>
    </row>
    <row r="2810" customFormat="false" ht="15" hidden="false" customHeight="false" outlineLevel="0" collapsed="false">
      <c r="A2810" s="13" t="n">
        <f aca="false">1+A2809</f>
        <v>2808</v>
      </c>
      <c r="B2810" s="14" t="n">
        <v>100</v>
      </c>
      <c r="C2810" s="15"/>
      <c r="D2810" s="16" t="s">
        <v>64</v>
      </c>
      <c r="E2810" s="17" t="s">
        <v>47</v>
      </c>
      <c r="F2810" s="18" t="s">
        <v>34</v>
      </c>
      <c r="G2810" s="19"/>
      <c r="H2810" s="17" t="s">
        <v>35</v>
      </c>
      <c r="I2810" s="17" t="s">
        <v>44</v>
      </c>
      <c r="J2810" s="17"/>
      <c r="K2810" s="17" t="e">
        <f aca="false">VLOOKUP(J2810,Sheet2!A:B,2,0)</f>
        <v>#N/A</v>
      </c>
      <c r="L2810" s="17" t="n">
        <v>5</v>
      </c>
      <c r="M2810" s="17" t="str">
        <f aca="false">VLOOKUP(L2810,Sheet2!D:E,2,0)</f>
        <v>Main Processor CPU BGA</v>
      </c>
      <c r="N2810" s="17" t="n">
        <v>1</v>
      </c>
      <c r="O2810" s="17" t="str">
        <f aca="false">VLOOKUP(N2810,Sheet2!G:H,2,0)</f>
        <v>Dead</v>
      </c>
      <c r="P2810" s="17" t="n">
        <v>11</v>
      </c>
      <c r="Q2810" s="17" t="str">
        <f aca="false">VLOOKUP(P2810,Sheet2!J:K,2,0)</f>
        <v>IR Declared due to CID -TA</v>
      </c>
      <c r="R2810" s="17" t="s">
        <v>35</v>
      </c>
      <c r="S2810" s="17" t="str">
        <f aca="false">VLOOKUP(R2810,Sheet2!N:O,2,0)</f>
        <v>IREPARABLE</v>
      </c>
      <c r="T2810" s="18" t="str">
        <f aca="false">VLOOKUP(P2810,Sheet2!Q:R,2,0)</f>
        <v>IR Normal - Track burn out</v>
      </c>
      <c r="U2810" s="20" t="s">
        <v>41</v>
      </c>
      <c r="V2810" s="17"/>
      <c r="W2810" s="20" t="e">
        <f aca="false">VLOOKUP(V2810,Sheet2!Q:R,2,0)</f>
        <v>#N/A</v>
      </c>
      <c r="X2810" s="17" t="n">
        <f aca="false">J2810</f>
        <v>0</v>
      </c>
      <c r="Y2810" s="17" t="e">
        <f aca="false">VLOOKUP(X2810,Sheet2!A:B,2,0)</f>
        <v>#N/A</v>
      </c>
      <c r="Z2810" s="17"/>
      <c r="AA2810" s="17"/>
      <c r="AB2810" s="17" t="s">
        <v>41</v>
      </c>
      <c r="AC2810" s="0" t="str">
        <f aca="false">LEFT(G2810,2)</f>
        <v/>
      </c>
    </row>
    <row r="2811" customFormat="false" ht="15" hidden="false" customHeight="false" outlineLevel="0" collapsed="false">
      <c r="A2811" s="13" t="n">
        <f aca="false">1+A2810</f>
        <v>2809</v>
      </c>
      <c r="B2811" s="14" t="n">
        <v>100</v>
      </c>
      <c r="C2811" s="15"/>
      <c r="D2811" s="16" t="s">
        <v>64</v>
      </c>
      <c r="E2811" s="17" t="s">
        <v>47</v>
      </c>
      <c r="F2811" s="18" t="s">
        <v>34</v>
      </c>
      <c r="G2811" s="19"/>
      <c r="H2811" s="17" t="s">
        <v>35</v>
      </c>
      <c r="I2811" s="17" t="s">
        <v>44</v>
      </c>
      <c r="J2811" s="17"/>
      <c r="K2811" s="17" t="e">
        <f aca="false">VLOOKUP(J2811,Sheet2!A:B,2,0)</f>
        <v>#N/A</v>
      </c>
      <c r="L2811" s="17" t="n">
        <v>5</v>
      </c>
      <c r="M2811" s="17" t="str">
        <f aca="false">VLOOKUP(L2811,Sheet2!D:E,2,0)</f>
        <v>Main Processor CPU BGA</v>
      </c>
      <c r="N2811" s="17" t="n">
        <v>1</v>
      </c>
      <c r="O2811" s="17" t="str">
        <f aca="false">VLOOKUP(N2811,Sheet2!G:H,2,0)</f>
        <v>Dead</v>
      </c>
      <c r="P2811" s="17" t="n">
        <v>11</v>
      </c>
      <c r="Q2811" s="17" t="str">
        <f aca="false">VLOOKUP(P2811,Sheet2!J:K,2,0)</f>
        <v>IR Declared due to CID -TA</v>
      </c>
      <c r="R2811" s="17" t="s">
        <v>35</v>
      </c>
      <c r="S2811" s="17" t="str">
        <f aca="false">VLOOKUP(R2811,Sheet2!N:O,2,0)</f>
        <v>IREPARABLE</v>
      </c>
      <c r="T2811" s="18" t="str">
        <f aca="false">VLOOKUP(P2811,Sheet2!Q:R,2,0)</f>
        <v>IR Normal - Track burn out</v>
      </c>
      <c r="U2811" s="20" t="s">
        <v>41</v>
      </c>
      <c r="V2811" s="17"/>
      <c r="W2811" s="20" t="e">
        <f aca="false">VLOOKUP(V2811,Sheet2!Q:R,2,0)</f>
        <v>#N/A</v>
      </c>
      <c r="X2811" s="17" t="n">
        <f aca="false">J2811</f>
        <v>0</v>
      </c>
      <c r="Y2811" s="17" t="e">
        <f aca="false">VLOOKUP(X2811,Sheet2!A:B,2,0)</f>
        <v>#N/A</v>
      </c>
      <c r="Z2811" s="17"/>
      <c r="AA2811" s="17"/>
      <c r="AB2811" s="17" t="s">
        <v>41</v>
      </c>
      <c r="AC2811" s="0" t="str">
        <f aca="false">LEFT(G2811,2)</f>
        <v/>
      </c>
    </row>
    <row r="2812" customFormat="false" ht="15" hidden="false" customHeight="false" outlineLevel="0" collapsed="false">
      <c r="A2812" s="13" t="n">
        <f aca="false">1+A2811</f>
        <v>2810</v>
      </c>
      <c r="B2812" s="14" t="n">
        <v>100</v>
      </c>
      <c r="C2812" s="15"/>
      <c r="D2812" s="16" t="s">
        <v>64</v>
      </c>
      <c r="E2812" s="17" t="s">
        <v>47</v>
      </c>
      <c r="F2812" s="18" t="s">
        <v>34</v>
      </c>
      <c r="G2812" s="19"/>
      <c r="H2812" s="17" t="s">
        <v>35</v>
      </c>
      <c r="I2812" s="17" t="s">
        <v>44</v>
      </c>
      <c r="J2812" s="17"/>
      <c r="K2812" s="17" t="e">
        <f aca="false">VLOOKUP(J2812,Sheet2!A:B,2,0)</f>
        <v>#N/A</v>
      </c>
      <c r="L2812" s="17" t="n">
        <v>5</v>
      </c>
      <c r="M2812" s="17" t="str">
        <f aca="false">VLOOKUP(L2812,Sheet2!D:E,2,0)</f>
        <v>Main Processor CPU BGA</v>
      </c>
      <c r="N2812" s="17" t="n">
        <v>1</v>
      </c>
      <c r="O2812" s="17" t="str">
        <f aca="false">VLOOKUP(N2812,Sheet2!G:H,2,0)</f>
        <v>Dead</v>
      </c>
      <c r="P2812" s="17" t="n">
        <v>11</v>
      </c>
      <c r="Q2812" s="17" t="str">
        <f aca="false">VLOOKUP(P2812,Sheet2!J:K,2,0)</f>
        <v>IR Declared due to CID -TA</v>
      </c>
      <c r="R2812" s="17" t="s">
        <v>35</v>
      </c>
      <c r="S2812" s="17" t="str">
        <f aca="false">VLOOKUP(R2812,Sheet2!N:O,2,0)</f>
        <v>IREPARABLE</v>
      </c>
      <c r="T2812" s="18" t="str">
        <f aca="false">VLOOKUP(P2812,Sheet2!Q:R,2,0)</f>
        <v>IR Normal - Track burn out</v>
      </c>
      <c r="U2812" s="20" t="s">
        <v>41</v>
      </c>
      <c r="V2812" s="17"/>
      <c r="W2812" s="20" t="e">
        <f aca="false">VLOOKUP(V2812,Sheet2!Q:R,2,0)</f>
        <v>#N/A</v>
      </c>
      <c r="X2812" s="17" t="n">
        <f aca="false">J2812</f>
        <v>0</v>
      </c>
      <c r="Y2812" s="17" t="e">
        <f aca="false">VLOOKUP(X2812,Sheet2!A:B,2,0)</f>
        <v>#N/A</v>
      </c>
      <c r="Z2812" s="17"/>
      <c r="AA2812" s="17"/>
      <c r="AB2812" s="17" t="s">
        <v>41</v>
      </c>
      <c r="AC2812" s="0" t="str">
        <f aca="false">LEFT(G2812,2)</f>
        <v/>
      </c>
    </row>
    <row r="2813" customFormat="false" ht="15" hidden="false" customHeight="false" outlineLevel="0" collapsed="false">
      <c r="A2813" s="13" t="n">
        <f aca="false">1+A2812</f>
        <v>2811</v>
      </c>
      <c r="B2813" s="14" t="n">
        <v>100</v>
      </c>
      <c r="C2813" s="15"/>
      <c r="D2813" s="16" t="s">
        <v>64</v>
      </c>
      <c r="E2813" s="17" t="s">
        <v>47</v>
      </c>
      <c r="F2813" s="18" t="s">
        <v>34</v>
      </c>
      <c r="G2813" s="19"/>
      <c r="H2813" s="17" t="s">
        <v>35</v>
      </c>
      <c r="I2813" s="17" t="s">
        <v>44</v>
      </c>
      <c r="J2813" s="17"/>
      <c r="K2813" s="17" t="e">
        <f aca="false">VLOOKUP(J2813,Sheet2!A:B,2,0)</f>
        <v>#N/A</v>
      </c>
      <c r="L2813" s="17" t="n">
        <v>5</v>
      </c>
      <c r="M2813" s="17" t="str">
        <f aca="false">VLOOKUP(L2813,Sheet2!D:E,2,0)</f>
        <v>Main Processor CPU BGA</v>
      </c>
      <c r="N2813" s="17" t="n">
        <v>1</v>
      </c>
      <c r="O2813" s="17" t="str">
        <f aca="false">VLOOKUP(N2813,Sheet2!G:H,2,0)</f>
        <v>Dead</v>
      </c>
      <c r="P2813" s="17" t="n">
        <v>11</v>
      </c>
      <c r="Q2813" s="17" t="str">
        <f aca="false">VLOOKUP(P2813,Sheet2!J:K,2,0)</f>
        <v>IR Declared due to CID -TA</v>
      </c>
      <c r="R2813" s="17" t="s">
        <v>35</v>
      </c>
      <c r="S2813" s="17" t="str">
        <f aca="false">VLOOKUP(R2813,Sheet2!N:O,2,0)</f>
        <v>IREPARABLE</v>
      </c>
      <c r="T2813" s="18" t="str">
        <f aca="false">VLOOKUP(P2813,Sheet2!Q:R,2,0)</f>
        <v>IR Normal - Track burn out</v>
      </c>
      <c r="U2813" s="20" t="s">
        <v>41</v>
      </c>
      <c r="V2813" s="17"/>
      <c r="W2813" s="20" t="e">
        <f aca="false">VLOOKUP(V2813,Sheet2!Q:R,2,0)</f>
        <v>#N/A</v>
      </c>
      <c r="X2813" s="17" t="n">
        <f aca="false">J2813</f>
        <v>0</v>
      </c>
      <c r="Y2813" s="17" t="e">
        <f aca="false">VLOOKUP(X2813,Sheet2!A:B,2,0)</f>
        <v>#N/A</v>
      </c>
      <c r="Z2813" s="17"/>
      <c r="AA2813" s="17"/>
      <c r="AB2813" s="17" t="s">
        <v>41</v>
      </c>
      <c r="AC2813" s="0" t="str">
        <f aca="false">LEFT(G2813,2)</f>
        <v/>
      </c>
    </row>
    <row r="2814" customFormat="false" ht="15" hidden="false" customHeight="false" outlineLevel="0" collapsed="false">
      <c r="A2814" s="13" t="n">
        <f aca="false">1+A2813</f>
        <v>2812</v>
      </c>
      <c r="B2814" s="14" t="n">
        <v>100</v>
      </c>
      <c r="C2814" s="15"/>
      <c r="D2814" s="16" t="s">
        <v>64</v>
      </c>
      <c r="E2814" s="17" t="s">
        <v>47</v>
      </c>
      <c r="F2814" s="18" t="s">
        <v>34</v>
      </c>
      <c r="G2814" s="19"/>
      <c r="H2814" s="17" t="s">
        <v>35</v>
      </c>
      <c r="I2814" s="17" t="s">
        <v>44</v>
      </c>
      <c r="J2814" s="17"/>
      <c r="K2814" s="17" t="e">
        <f aca="false">VLOOKUP(J2814,Sheet2!A:B,2,0)</f>
        <v>#N/A</v>
      </c>
      <c r="L2814" s="17" t="n">
        <v>5</v>
      </c>
      <c r="M2814" s="17" t="str">
        <f aca="false">VLOOKUP(L2814,Sheet2!D:E,2,0)</f>
        <v>Main Processor CPU BGA</v>
      </c>
      <c r="N2814" s="17" t="n">
        <v>1</v>
      </c>
      <c r="O2814" s="17" t="str">
        <f aca="false">VLOOKUP(N2814,Sheet2!G:H,2,0)</f>
        <v>Dead</v>
      </c>
      <c r="P2814" s="17" t="n">
        <v>11</v>
      </c>
      <c r="Q2814" s="17" t="str">
        <f aca="false">VLOOKUP(P2814,Sheet2!J:K,2,0)</f>
        <v>IR Declared due to CID -TA</v>
      </c>
      <c r="R2814" s="17" t="s">
        <v>35</v>
      </c>
      <c r="S2814" s="17" t="str">
        <f aca="false">VLOOKUP(R2814,Sheet2!N:O,2,0)</f>
        <v>IREPARABLE</v>
      </c>
      <c r="T2814" s="18" t="str">
        <f aca="false">VLOOKUP(P2814,Sheet2!Q:R,2,0)</f>
        <v>IR Normal - Track burn out</v>
      </c>
      <c r="U2814" s="20" t="s">
        <v>41</v>
      </c>
      <c r="V2814" s="17"/>
      <c r="W2814" s="20" t="e">
        <f aca="false">VLOOKUP(V2814,Sheet2!Q:R,2,0)</f>
        <v>#N/A</v>
      </c>
      <c r="X2814" s="17" t="n">
        <f aca="false">J2814</f>
        <v>0</v>
      </c>
      <c r="Y2814" s="17" t="e">
        <f aca="false">VLOOKUP(X2814,Sheet2!A:B,2,0)</f>
        <v>#N/A</v>
      </c>
      <c r="Z2814" s="17"/>
      <c r="AA2814" s="17"/>
      <c r="AB2814" s="17" t="s">
        <v>41</v>
      </c>
      <c r="AC2814" s="0" t="str">
        <f aca="false">LEFT(G2814,2)</f>
        <v/>
      </c>
    </row>
    <row r="2815" customFormat="false" ht="15" hidden="false" customHeight="false" outlineLevel="0" collapsed="false">
      <c r="A2815" s="13" t="n">
        <f aca="false">1+A2814</f>
        <v>2813</v>
      </c>
      <c r="B2815" s="14" t="n">
        <v>100</v>
      </c>
      <c r="C2815" s="15"/>
      <c r="D2815" s="16" t="s">
        <v>64</v>
      </c>
      <c r="E2815" s="17" t="s">
        <v>47</v>
      </c>
      <c r="F2815" s="18" t="s">
        <v>34</v>
      </c>
      <c r="G2815" s="19"/>
      <c r="H2815" s="17" t="s">
        <v>35</v>
      </c>
      <c r="I2815" s="17" t="s">
        <v>44</v>
      </c>
      <c r="J2815" s="17"/>
      <c r="K2815" s="17" t="e">
        <f aca="false">VLOOKUP(J2815,Sheet2!A:B,2,0)</f>
        <v>#N/A</v>
      </c>
      <c r="L2815" s="17" t="n">
        <v>5</v>
      </c>
      <c r="M2815" s="17" t="str">
        <f aca="false">VLOOKUP(L2815,Sheet2!D:E,2,0)</f>
        <v>Main Processor CPU BGA</v>
      </c>
      <c r="N2815" s="17" t="n">
        <v>1</v>
      </c>
      <c r="O2815" s="17" t="str">
        <f aca="false">VLOOKUP(N2815,Sheet2!G:H,2,0)</f>
        <v>Dead</v>
      </c>
      <c r="P2815" s="17" t="n">
        <v>11</v>
      </c>
      <c r="Q2815" s="17" t="str">
        <f aca="false">VLOOKUP(P2815,Sheet2!J:K,2,0)</f>
        <v>IR Declared due to CID -TA</v>
      </c>
      <c r="R2815" s="17" t="s">
        <v>35</v>
      </c>
      <c r="S2815" s="17" t="str">
        <f aca="false">VLOOKUP(R2815,Sheet2!N:O,2,0)</f>
        <v>IREPARABLE</v>
      </c>
      <c r="T2815" s="18" t="str">
        <f aca="false">VLOOKUP(P2815,Sheet2!Q:R,2,0)</f>
        <v>IR Normal - Track burn out</v>
      </c>
      <c r="U2815" s="20" t="s">
        <v>41</v>
      </c>
      <c r="V2815" s="17"/>
      <c r="W2815" s="20" t="e">
        <f aca="false">VLOOKUP(V2815,Sheet2!Q:R,2,0)</f>
        <v>#N/A</v>
      </c>
      <c r="X2815" s="17" t="n">
        <f aca="false">J2815</f>
        <v>0</v>
      </c>
      <c r="Y2815" s="17" t="e">
        <f aca="false">VLOOKUP(X2815,Sheet2!A:B,2,0)</f>
        <v>#N/A</v>
      </c>
      <c r="Z2815" s="17"/>
      <c r="AA2815" s="17"/>
      <c r="AB2815" s="17" t="s">
        <v>41</v>
      </c>
      <c r="AC2815" s="0" t="str">
        <f aca="false">LEFT(G2815,2)</f>
        <v/>
      </c>
    </row>
    <row r="2816" customFormat="false" ht="15" hidden="false" customHeight="false" outlineLevel="0" collapsed="false">
      <c r="A2816" s="13" t="n">
        <f aca="false">1+A2815</f>
        <v>2814</v>
      </c>
      <c r="B2816" s="14" t="n">
        <v>100</v>
      </c>
      <c r="C2816" s="15"/>
      <c r="D2816" s="16" t="s">
        <v>64</v>
      </c>
      <c r="E2816" s="17" t="s">
        <v>47</v>
      </c>
      <c r="F2816" s="18" t="s">
        <v>34</v>
      </c>
      <c r="G2816" s="19"/>
      <c r="H2816" s="17" t="s">
        <v>35</v>
      </c>
      <c r="I2816" s="17" t="s">
        <v>44</v>
      </c>
      <c r="J2816" s="17"/>
      <c r="K2816" s="17" t="e">
        <f aca="false">VLOOKUP(J2816,Sheet2!A:B,2,0)</f>
        <v>#N/A</v>
      </c>
      <c r="L2816" s="17" t="n">
        <v>5</v>
      </c>
      <c r="M2816" s="17" t="str">
        <f aca="false">VLOOKUP(L2816,Sheet2!D:E,2,0)</f>
        <v>Main Processor CPU BGA</v>
      </c>
      <c r="N2816" s="17" t="n">
        <v>1</v>
      </c>
      <c r="O2816" s="17" t="str">
        <f aca="false">VLOOKUP(N2816,Sheet2!G:H,2,0)</f>
        <v>Dead</v>
      </c>
      <c r="P2816" s="17" t="n">
        <v>11</v>
      </c>
      <c r="Q2816" s="17" t="str">
        <f aca="false">VLOOKUP(P2816,Sheet2!J:K,2,0)</f>
        <v>IR Declared due to CID -TA</v>
      </c>
      <c r="R2816" s="17" t="s">
        <v>35</v>
      </c>
      <c r="S2816" s="17" t="str">
        <f aca="false">VLOOKUP(R2816,Sheet2!N:O,2,0)</f>
        <v>IREPARABLE</v>
      </c>
      <c r="T2816" s="18" t="str">
        <f aca="false">VLOOKUP(P2816,Sheet2!Q:R,2,0)</f>
        <v>IR Normal - Track burn out</v>
      </c>
      <c r="U2816" s="20" t="s">
        <v>41</v>
      </c>
      <c r="V2816" s="17"/>
      <c r="W2816" s="20" t="e">
        <f aca="false">VLOOKUP(V2816,Sheet2!Q:R,2,0)</f>
        <v>#N/A</v>
      </c>
      <c r="X2816" s="17" t="n">
        <f aca="false">J2816</f>
        <v>0</v>
      </c>
      <c r="Y2816" s="17" t="e">
        <f aca="false">VLOOKUP(X2816,Sheet2!A:B,2,0)</f>
        <v>#N/A</v>
      </c>
      <c r="Z2816" s="17"/>
      <c r="AA2816" s="17"/>
      <c r="AB2816" s="17" t="s">
        <v>41</v>
      </c>
      <c r="AC2816" s="0" t="str">
        <f aca="false">LEFT(G2816,2)</f>
        <v/>
      </c>
    </row>
    <row r="2817" customFormat="false" ht="15" hidden="false" customHeight="false" outlineLevel="0" collapsed="false">
      <c r="A2817" s="13" t="n">
        <f aca="false">1+A2816</f>
        <v>2815</v>
      </c>
      <c r="B2817" s="14" t="n">
        <v>100</v>
      </c>
      <c r="C2817" s="15"/>
      <c r="D2817" s="16" t="s">
        <v>64</v>
      </c>
      <c r="E2817" s="17" t="s">
        <v>47</v>
      </c>
      <c r="F2817" s="18" t="s">
        <v>34</v>
      </c>
      <c r="G2817" s="19"/>
      <c r="H2817" s="17" t="s">
        <v>35</v>
      </c>
      <c r="I2817" s="17" t="s">
        <v>44</v>
      </c>
      <c r="J2817" s="17"/>
      <c r="K2817" s="17" t="e">
        <f aca="false">VLOOKUP(J2817,Sheet2!A:B,2,0)</f>
        <v>#N/A</v>
      </c>
      <c r="L2817" s="17" t="n">
        <v>5</v>
      </c>
      <c r="M2817" s="17" t="str">
        <f aca="false">VLOOKUP(L2817,Sheet2!D:E,2,0)</f>
        <v>Main Processor CPU BGA</v>
      </c>
      <c r="N2817" s="17" t="n">
        <v>1</v>
      </c>
      <c r="O2817" s="17" t="str">
        <f aca="false">VLOOKUP(N2817,Sheet2!G:H,2,0)</f>
        <v>Dead</v>
      </c>
      <c r="P2817" s="17" t="n">
        <v>11</v>
      </c>
      <c r="Q2817" s="17" t="str">
        <f aca="false">VLOOKUP(P2817,Sheet2!J:K,2,0)</f>
        <v>IR Declared due to CID -TA</v>
      </c>
      <c r="R2817" s="17" t="s">
        <v>35</v>
      </c>
      <c r="S2817" s="17" t="str">
        <f aca="false">VLOOKUP(R2817,Sheet2!N:O,2,0)</f>
        <v>IREPARABLE</v>
      </c>
      <c r="T2817" s="18" t="str">
        <f aca="false">VLOOKUP(P2817,Sheet2!Q:R,2,0)</f>
        <v>IR Normal - Track burn out</v>
      </c>
      <c r="U2817" s="20" t="s">
        <v>41</v>
      </c>
      <c r="V2817" s="17"/>
      <c r="W2817" s="20" t="e">
        <f aca="false">VLOOKUP(V2817,Sheet2!Q:R,2,0)</f>
        <v>#N/A</v>
      </c>
      <c r="X2817" s="17" t="n">
        <f aca="false">J2817</f>
        <v>0</v>
      </c>
      <c r="Y2817" s="17" t="e">
        <f aca="false">VLOOKUP(X2817,Sheet2!A:B,2,0)</f>
        <v>#N/A</v>
      </c>
      <c r="Z2817" s="17"/>
      <c r="AA2817" s="17"/>
      <c r="AB2817" s="17" t="s">
        <v>41</v>
      </c>
      <c r="AC2817" s="0" t="str">
        <f aca="false">LEFT(G2817,2)</f>
        <v/>
      </c>
    </row>
    <row r="2818" customFormat="false" ht="15" hidden="false" customHeight="false" outlineLevel="0" collapsed="false">
      <c r="A2818" s="13" t="n">
        <f aca="false">1+A2817</f>
        <v>2816</v>
      </c>
      <c r="B2818" s="14" t="n">
        <v>100</v>
      </c>
      <c r="C2818" s="15"/>
      <c r="D2818" s="16" t="s">
        <v>64</v>
      </c>
      <c r="E2818" s="17" t="s">
        <v>47</v>
      </c>
      <c r="F2818" s="18" t="s">
        <v>34</v>
      </c>
      <c r="G2818" s="19"/>
      <c r="H2818" s="17" t="s">
        <v>35</v>
      </c>
      <c r="I2818" s="17" t="s">
        <v>44</v>
      </c>
      <c r="J2818" s="17"/>
      <c r="K2818" s="17" t="e">
        <f aca="false">VLOOKUP(J2818,Sheet2!A:B,2,0)</f>
        <v>#N/A</v>
      </c>
      <c r="L2818" s="17" t="n">
        <v>5</v>
      </c>
      <c r="M2818" s="17" t="str">
        <f aca="false">VLOOKUP(L2818,Sheet2!D:E,2,0)</f>
        <v>Main Processor CPU BGA</v>
      </c>
      <c r="N2818" s="17" t="n">
        <v>1</v>
      </c>
      <c r="O2818" s="17" t="str">
        <f aca="false">VLOOKUP(N2818,Sheet2!G:H,2,0)</f>
        <v>Dead</v>
      </c>
      <c r="P2818" s="17" t="n">
        <v>11</v>
      </c>
      <c r="Q2818" s="17" t="str">
        <f aca="false">VLOOKUP(P2818,Sheet2!J:K,2,0)</f>
        <v>IR Declared due to CID -TA</v>
      </c>
      <c r="R2818" s="17" t="s">
        <v>35</v>
      </c>
      <c r="S2818" s="17" t="str">
        <f aca="false">VLOOKUP(R2818,Sheet2!N:O,2,0)</f>
        <v>IREPARABLE</v>
      </c>
      <c r="T2818" s="18" t="str">
        <f aca="false">VLOOKUP(P2818,Sheet2!Q:R,2,0)</f>
        <v>IR Normal - Track burn out</v>
      </c>
      <c r="U2818" s="20" t="s">
        <v>41</v>
      </c>
      <c r="V2818" s="17"/>
      <c r="W2818" s="20" t="e">
        <f aca="false">VLOOKUP(V2818,Sheet2!Q:R,2,0)</f>
        <v>#N/A</v>
      </c>
      <c r="X2818" s="17" t="n">
        <f aca="false">J2818</f>
        <v>0</v>
      </c>
      <c r="Y2818" s="17" t="e">
        <f aca="false">VLOOKUP(X2818,Sheet2!A:B,2,0)</f>
        <v>#N/A</v>
      </c>
      <c r="Z2818" s="17"/>
      <c r="AA2818" s="17"/>
      <c r="AB2818" s="17" t="s">
        <v>41</v>
      </c>
      <c r="AC2818" s="0" t="str">
        <f aca="false">LEFT(G2818,2)</f>
        <v/>
      </c>
    </row>
    <row r="2819" customFormat="false" ht="15" hidden="false" customHeight="false" outlineLevel="0" collapsed="false">
      <c r="A2819" s="13" t="n">
        <f aca="false">1+A2818</f>
        <v>2817</v>
      </c>
      <c r="B2819" s="14" t="n">
        <v>100</v>
      </c>
      <c r="C2819" s="15"/>
      <c r="D2819" s="16" t="s">
        <v>64</v>
      </c>
      <c r="E2819" s="17" t="s">
        <v>47</v>
      </c>
      <c r="F2819" s="18" t="s">
        <v>34</v>
      </c>
      <c r="G2819" s="19"/>
      <c r="H2819" s="17" t="s">
        <v>35</v>
      </c>
      <c r="I2819" s="17" t="s">
        <v>44</v>
      </c>
      <c r="J2819" s="17"/>
      <c r="K2819" s="17" t="e">
        <f aca="false">VLOOKUP(J2819,Sheet2!A:B,2,0)</f>
        <v>#N/A</v>
      </c>
      <c r="L2819" s="17" t="n">
        <v>5</v>
      </c>
      <c r="M2819" s="17" t="str">
        <f aca="false">VLOOKUP(L2819,Sheet2!D:E,2,0)</f>
        <v>Main Processor CPU BGA</v>
      </c>
      <c r="N2819" s="17" t="n">
        <v>1</v>
      </c>
      <c r="O2819" s="17" t="str">
        <f aca="false">VLOOKUP(N2819,Sheet2!G:H,2,0)</f>
        <v>Dead</v>
      </c>
      <c r="P2819" s="17" t="n">
        <v>11</v>
      </c>
      <c r="Q2819" s="17" t="str">
        <f aca="false">VLOOKUP(P2819,Sheet2!J:K,2,0)</f>
        <v>IR Declared due to CID -TA</v>
      </c>
      <c r="R2819" s="17" t="s">
        <v>35</v>
      </c>
      <c r="S2819" s="17" t="str">
        <f aca="false">VLOOKUP(R2819,Sheet2!N:O,2,0)</f>
        <v>IREPARABLE</v>
      </c>
      <c r="T2819" s="18" t="str">
        <f aca="false">VLOOKUP(P2819,Sheet2!Q:R,2,0)</f>
        <v>IR Normal - Track burn out</v>
      </c>
      <c r="U2819" s="20" t="s">
        <v>41</v>
      </c>
      <c r="V2819" s="17"/>
      <c r="W2819" s="20" t="e">
        <f aca="false">VLOOKUP(V2819,Sheet2!Q:R,2,0)</f>
        <v>#N/A</v>
      </c>
      <c r="X2819" s="17" t="n">
        <f aca="false">J2819</f>
        <v>0</v>
      </c>
      <c r="Y2819" s="17" t="e">
        <f aca="false">VLOOKUP(X2819,Sheet2!A:B,2,0)</f>
        <v>#N/A</v>
      </c>
      <c r="Z2819" s="17"/>
      <c r="AA2819" s="17"/>
      <c r="AB2819" s="17" t="s">
        <v>41</v>
      </c>
      <c r="AC2819" s="0" t="str">
        <f aca="false">LEFT(G2819,2)</f>
        <v/>
      </c>
    </row>
    <row r="2820" customFormat="false" ht="15" hidden="false" customHeight="false" outlineLevel="0" collapsed="false">
      <c r="A2820" s="13" t="n">
        <f aca="false">1+A2819</f>
        <v>2818</v>
      </c>
      <c r="B2820" s="14" t="n">
        <v>100</v>
      </c>
      <c r="C2820" s="15"/>
      <c r="D2820" s="16" t="s">
        <v>64</v>
      </c>
      <c r="E2820" s="17" t="s">
        <v>47</v>
      </c>
      <c r="F2820" s="18" t="s">
        <v>34</v>
      </c>
      <c r="G2820" s="19"/>
      <c r="H2820" s="17" t="s">
        <v>35</v>
      </c>
      <c r="I2820" s="17" t="s">
        <v>44</v>
      </c>
      <c r="J2820" s="17"/>
      <c r="K2820" s="17" t="e">
        <f aca="false">VLOOKUP(J2820,Sheet2!A:B,2,0)</f>
        <v>#N/A</v>
      </c>
      <c r="L2820" s="17" t="n">
        <v>5</v>
      </c>
      <c r="M2820" s="17" t="str">
        <f aca="false">VLOOKUP(L2820,Sheet2!D:E,2,0)</f>
        <v>Main Processor CPU BGA</v>
      </c>
      <c r="N2820" s="17" t="n">
        <v>1</v>
      </c>
      <c r="O2820" s="17" t="str">
        <f aca="false">VLOOKUP(N2820,Sheet2!G:H,2,0)</f>
        <v>Dead</v>
      </c>
      <c r="P2820" s="17" t="n">
        <v>11</v>
      </c>
      <c r="Q2820" s="17" t="str">
        <f aca="false">VLOOKUP(P2820,Sheet2!J:K,2,0)</f>
        <v>IR Declared due to CID -TA</v>
      </c>
      <c r="R2820" s="17" t="s">
        <v>35</v>
      </c>
      <c r="S2820" s="17" t="str">
        <f aca="false">VLOOKUP(R2820,Sheet2!N:O,2,0)</f>
        <v>IREPARABLE</v>
      </c>
      <c r="T2820" s="18" t="str">
        <f aca="false">VLOOKUP(P2820,Sheet2!Q:R,2,0)</f>
        <v>IR Normal - Track burn out</v>
      </c>
      <c r="U2820" s="20" t="s">
        <v>41</v>
      </c>
      <c r="V2820" s="17"/>
      <c r="W2820" s="20" t="e">
        <f aca="false">VLOOKUP(V2820,Sheet2!Q:R,2,0)</f>
        <v>#N/A</v>
      </c>
      <c r="X2820" s="17" t="n">
        <f aca="false">J2820</f>
        <v>0</v>
      </c>
      <c r="Y2820" s="17" t="e">
        <f aca="false">VLOOKUP(X2820,Sheet2!A:B,2,0)</f>
        <v>#N/A</v>
      </c>
      <c r="Z2820" s="17"/>
      <c r="AA2820" s="17"/>
      <c r="AB2820" s="17" t="s">
        <v>41</v>
      </c>
      <c r="AC2820" s="0" t="str">
        <f aca="false">LEFT(G2820,2)</f>
        <v/>
      </c>
    </row>
    <row r="2821" customFormat="false" ht="15" hidden="false" customHeight="false" outlineLevel="0" collapsed="false">
      <c r="A2821" s="13" t="n">
        <f aca="false">1+A2820</f>
        <v>2819</v>
      </c>
      <c r="B2821" s="14" t="n">
        <v>100</v>
      </c>
      <c r="C2821" s="15"/>
      <c r="D2821" s="16" t="s">
        <v>64</v>
      </c>
      <c r="E2821" s="17" t="s">
        <v>47</v>
      </c>
      <c r="F2821" s="18" t="s">
        <v>34</v>
      </c>
      <c r="G2821" s="19"/>
      <c r="H2821" s="17" t="s">
        <v>35</v>
      </c>
      <c r="I2821" s="17" t="s">
        <v>44</v>
      </c>
      <c r="J2821" s="17"/>
      <c r="K2821" s="17" t="e">
        <f aca="false">VLOOKUP(J2821,Sheet2!A:B,2,0)</f>
        <v>#N/A</v>
      </c>
      <c r="L2821" s="17" t="n">
        <v>5</v>
      </c>
      <c r="M2821" s="17" t="str">
        <f aca="false">VLOOKUP(L2821,Sheet2!D:E,2,0)</f>
        <v>Main Processor CPU BGA</v>
      </c>
      <c r="N2821" s="17" t="n">
        <v>1</v>
      </c>
      <c r="O2821" s="17" t="str">
        <f aca="false">VLOOKUP(N2821,Sheet2!G:H,2,0)</f>
        <v>Dead</v>
      </c>
      <c r="P2821" s="17" t="n">
        <v>11</v>
      </c>
      <c r="Q2821" s="17" t="str">
        <f aca="false">VLOOKUP(P2821,Sheet2!J:K,2,0)</f>
        <v>IR Declared due to CID -TA</v>
      </c>
      <c r="R2821" s="17" t="s">
        <v>35</v>
      </c>
      <c r="S2821" s="17" t="str">
        <f aca="false">VLOOKUP(R2821,Sheet2!N:O,2,0)</f>
        <v>IREPARABLE</v>
      </c>
      <c r="T2821" s="18" t="str">
        <f aca="false">VLOOKUP(P2821,Sheet2!Q:R,2,0)</f>
        <v>IR Normal - Track burn out</v>
      </c>
      <c r="U2821" s="20" t="s">
        <v>41</v>
      </c>
      <c r="V2821" s="17"/>
      <c r="W2821" s="20" t="e">
        <f aca="false">VLOOKUP(V2821,Sheet2!Q:R,2,0)</f>
        <v>#N/A</v>
      </c>
      <c r="X2821" s="17" t="n">
        <f aca="false">J2821</f>
        <v>0</v>
      </c>
      <c r="Y2821" s="17" t="e">
        <f aca="false">VLOOKUP(X2821,Sheet2!A:B,2,0)</f>
        <v>#N/A</v>
      </c>
      <c r="Z2821" s="17"/>
      <c r="AA2821" s="17"/>
      <c r="AB2821" s="17" t="s">
        <v>41</v>
      </c>
      <c r="AC2821" s="0" t="str">
        <f aca="false">LEFT(G2821,2)</f>
        <v/>
      </c>
    </row>
    <row r="2822" customFormat="false" ht="15" hidden="false" customHeight="false" outlineLevel="0" collapsed="false">
      <c r="A2822" s="13" t="n">
        <f aca="false">1+A2821</f>
        <v>2820</v>
      </c>
      <c r="B2822" s="14" t="n">
        <v>100</v>
      </c>
      <c r="C2822" s="15"/>
      <c r="D2822" s="16" t="s">
        <v>64</v>
      </c>
      <c r="E2822" s="17" t="s">
        <v>47</v>
      </c>
      <c r="F2822" s="18" t="s">
        <v>34</v>
      </c>
      <c r="G2822" s="19"/>
      <c r="H2822" s="17" t="s">
        <v>35</v>
      </c>
      <c r="I2822" s="17" t="s">
        <v>44</v>
      </c>
      <c r="J2822" s="17"/>
      <c r="K2822" s="17" t="e">
        <f aca="false">VLOOKUP(J2822,Sheet2!A:B,2,0)</f>
        <v>#N/A</v>
      </c>
      <c r="L2822" s="17" t="n">
        <v>5</v>
      </c>
      <c r="M2822" s="17" t="str">
        <f aca="false">VLOOKUP(L2822,Sheet2!D:E,2,0)</f>
        <v>Main Processor CPU BGA</v>
      </c>
      <c r="N2822" s="17" t="n">
        <v>1</v>
      </c>
      <c r="O2822" s="17" t="str">
        <f aca="false">VLOOKUP(N2822,Sheet2!G:H,2,0)</f>
        <v>Dead</v>
      </c>
      <c r="P2822" s="17" t="n">
        <v>11</v>
      </c>
      <c r="Q2822" s="17" t="str">
        <f aca="false">VLOOKUP(P2822,Sheet2!J:K,2,0)</f>
        <v>IR Declared due to CID -TA</v>
      </c>
      <c r="R2822" s="17" t="s">
        <v>35</v>
      </c>
      <c r="S2822" s="17" t="str">
        <f aca="false">VLOOKUP(R2822,Sheet2!N:O,2,0)</f>
        <v>IREPARABLE</v>
      </c>
      <c r="T2822" s="18" t="str">
        <f aca="false">VLOOKUP(P2822,Sheet2!Q:R,2,0)</f>
        <v>IR Normal - Track burn out</v>
      </c>
      <c r="U2822" s="20" t="s">
        <v>41</v>
      </c>
      <c r="V2822" s="17"/>
      <c r="W2822" s="20" t="e">
        <f aca="false">VLOOKUP(V2822,Sheet2!Q:R,2,0)</f>
        <v>#N/A</v>
      </c>
      <c r="X2822" s="17" t="n">
        <f aca="false">J2822</f>
        <v>0</v>
      </c>
      <c r="Y2822" s="17" t="e">
        <f aca="false">VLOOKUP(X2822,Sheet2!A:B,2,0)</f>
        <v>#N/A</v>
      </c>
      <c r="Z2822" s="17"/>
      <c r="AA2822" s="17"/>
      <c r="AB2822" s="17" t="s">
        <v>41</v>
      </c>
      <c r="AC2822" s="0" t="str">
        <f aca="false">LEFT(G2822,2)</f>
        <v/>
      </c>
    </row>
    <row r="2823" customFormat="false" ht="15" hidden="false" customHeight="false" outlineLevel="0" collapsed="false">
      <c r="A2823" s="13" t="n">
        <f aca="false">1+A2822</f>
        <v>2821</v>
      </c>
      <c r="B2823" s="14" t="n">
        <v>100</v>
      </c>
      <c r="C2823" s="15"/>
      <c r="D2823" s="16" t="s">
        <v>64</v>
      </c>
      <c r="E2823" s="17" t="s">
        <v>47</v>
      </c>
      <c r="F2823" s="18" t="s">
        <v>34</v>
      </c>
      <c r="G2823" s="19"/>
      <c r="H2823" s="17" t="s">
        <v>35</v>
      </c>
      <c r="I2823" s="17" t="s">
        <v>44</v>
      </c>
      <c r="J2823" s="17"/>
      <c r="K2823" s="17" t="e">
        <f aca="false">VLOOKUP(J2823,Sheet2!A:B,2,0)</f>
        <v>#N/A</v>
      </c>
      <c r="L2823" s="17" t="n">
        <v>5</v>
      </c>
      <c r="M2823" s="17" t="str">
        <f aca="false">VLOOKUP(L2823,Sheet2!D:E,2,0)</f>
        <v>Main Processor CPU BGA</v>
      </c>
      <c r="N2823" s="17" t="n">
        <v>1</v>
      </c>
      <c r="O2823" s="17" t="str">
        <f aca="false">VLOOKUP(N2823,Sheet2!G:H,2,0)</f>
        <v>Dead</v>
      </c>
      <c r="P2823" s="17" t="n">
        <v>11</v>
      </c>
      <c r="Q2823" s="17" t="str">
        <f aca="false">VLOOKUP(P2823,Sheet2!J:K,2,0)</f>
        <v>IR Declared due to CID -TA</v>
      </c>
      <c r="R2823" s="17" t="s">
        <v>35</v>
      </c>
      <c r="S2823" s="17" t="str">
        <f aca="false">VLOOKUP(R2823,Sheet2!N:O,2,0)</f>
        <v>IREPARABLE</v>
      </c>
      <c r="T2823" s="18" t="str">
        <f aca="false">VLOOKUP(P2823,Sheet2!Q:R,2,0)</f>
        <v>IR Normal - Track burn out</v>
      </c>
      <c r="U2823" s="20" t="s">
        <v>41</v>
      </c>
      <c r="V2823" s="17"/>
      <c r="W2823" s="20" t="e">
        <f aca="false">VLOOKUP(V2823,Sheet2!Q:R,2,0)</f>
        <v>#N/A</v>
      </c>
      <c r="X2823" s="17" t="n">
        <f aca="false">J2823</f>
        <v>0</v>
      </c>
      <c r="Y2823" s="17" t="e">
        <f aca="false">VLOOKUP(X2823,Sheet2!A:B,2,0)</f>
        <v>#N/A</v>
      </c>
      <c r="Z2823" s="17"/>
      <c r="AA2823" s="17"/>
      <c r="AB2823" s="17" t="s">
        <v>41</v>
      </c>
      <c r="AC2823" s="0" t="str">
        <f aca="false">LEFT(G2823,2)</f>
        <v/>
      </c>
    </row>
    <row r="2824" customFormat="false" ht="15" hidden="false" customHeight="false" outlineLevel="0" collapsed="false">
      <c r="A2824" s="13" t="n">
        <f aca="false">1+A2823</f>
        <v>2822</v>
      </c>
      <c r="B2824" s="14" t="n">
        <v>100</v>
      </c>
      <c r="C2824" s="15"/>
      <c r="D2824" s="16" t="s">
        <v>64</v>
      </c>
      <c r="E2824" s="17" t="s">
        <v>47</v>
      </c>
      <c r="F2824" s="18" t="s">
        <v>34</v>
      </c>
      <c r="G2824" s="19"/>
      <c r="H2824" s="17" t="s">
        <v>35</v>
      </c>
      <c r="I2824" s="17" t="s">
        <v>44</v>
      </c>
      <c r="J2824" s="17"/>
      <c r="K2824" s="17" t="e">
        <f aca="false">VLOOKUP(J2824,Sheet2!A:B,2,0)</f>
        <v>#N/A</v>
      </c>
      <c r="L2824" s="17" t="n">
        <v>5</v>
      </c>
      <c r="M2824" s="17" t="str">
        <f aca="false">VLOOKUP(L2824,Sheet2!D:E,2,0)</f>
        <v>Main Processor CPU BGA</v>
      </c>
      <c r="N2824" s="17" t="n">
        <v>1</v>
      </c>
      <c r="O2824" s="17" t="str">
        <f aca="false">VLOOKUP(N2824,Sheet2!G:H,2,0)</f>
        <v>Dead</v>
      </c>
      <c r="P2824" s="17" t="n">
        <v>11</v>
      </c>
      <c r="Q2824" s="17" t="str">
        <f aca="false">VLOOKUP(P2824,Sheet2!J:K,2,0)</f>
        <v>IR Declared due to CID -TA</v>
      </c>
      <c r="R2824" s="17" t="s">
        <v>35</v>
      </c>
      <c r="S2824" s="17" t="str">
        <f aca="false">VLOOKUP(R2824,Sheet2!N:O,2,0)</f>
        <v>IREPARABLE</v>
      </c>
      <c r="T2824" s="18" t="str">
        <f aca="false">VLOOKUP(P2824,Sheet2!Q:R,2,0)</f>
        <v>IR Normal - Track burn out</v>
      </c>
      <c r="U2824" s="20" t="s">
        <v>41</v>
      </c>
      <c r="V2824" s="17"/>
      <c r="W2824" s="20" t="e">
        <f aca="false">VLOOKUP(V2824,Sheet2!Q:R,2,0)</f>
        <v>#N/A</v>
      </c>
      <c r="X2824" s="17" t="n">
        <f aca="false">J2824</f>
        <v>0</v>
      </c>
      <c r="Y2824" s="17" t="e">
        <f aca="false">VLOOKUP(X2824,Sheet2!A:B,2,0)</f>
        <v>#N/A</v>
      </c>
      <c r="Z2824" s="17"/>
      <c r="AA2824" s="17"/>
      <c r="AB2824" s="17" t="s">
        <v>41</v>
      </c>
      <c r="AC2824" s="0" t="str">
        <f aca="false">LEFT(G2824,2)</f>
        <v/>
      </c>
    </row>
    <row r="2825" customFormat="false" ht="15" hidden="false" customHeight="false" outlineLevel="0" collapsed="false">
      <c r="A2825" s="13" t="n">
        <f aca="false">1+A2824</f>
        <v>2823</v>
      </c>
      <c r="B2825" s="14" t="n">
        <v>100</v>
      </c>
      <c r="C2825" s="15"/>
      <c r="D2825" s="16" t="s">
        <v>64</v>
      </c>
      <c r="E2825" s="17" t="s">
        <v>47</v>
      </c>
      <c r="F2825" s="18" t="s">
        <v>34</v>
      </c>
      <c r="G2825" s="19"/>
      <c r="H2825" s="17" t="s">
        <v>35</v>
      </c>
      <c r="I2825" s="17" t="s">
        <v>44</v>
      </c>
      <c r="J2825" s="17"/>
      <c r="K2825" s="17" t="e">
        <f aca="false">VLOOKUP(J2825,Sheet2!A:B,2,0)</f>
        <v>#N/A</v>
      </c>
      <c r="L2825" s="17" t="n">
        <v>5</v>
      </c>
      <c r="M2825" s="17" t="str">
        <f aca="false">VLOOKUP(L2825,Sheet2!D:E,2,0)</f>
        <v>Main Processor CPU BGA</v>
      </c>
      <c r="N2825" s="17" t="n">
        <v>1</v>
      </c>
      <c r="O2825" s="17" t="str">
        <f aca="false">VLOOKUP(N2825,Sheet2!G:H,2,0)</f>
        <v>Dead</v>
      </c>
      <c r="P2825" s="17" t="n">
        <v>11</v>
      </c>
      <c r="Q2825" s="17" t="str">
        <f aca="false">VLOOKUP(P2825,Sheet2!J:K,2,0)</f>
        <v>IR Declared due to CID -TA</v>
      </c>
      <c r="R2825" s="17" t="s">
        <v>35</v>
      </c>
      <c r="S2825" s="17" t="str">
        <f aca="false">VLOOKUP(R2825,Sheet2!N:O,2,0)</f>
        <v>IREPARABLE</v>
      </c>
      <c r="T2825" s="18" t="str">
        <f aca="false">VLOOKUP(P2825,Sheet2!Q:R,2,0)</f>
        <v>IR Normal - Track burn out</v>
      </c>
      <c r="U2825" s="20" t="s">
        <v>41</v>
      </c>
      <c r="V2825" s="17"/>
      <c r="W2825" s="20" t="e">
        <f aca="false">VLOOKUP(V2825,Sheet2!Q:R,2,0)</f>
        <v>#N/A</v>
      </c>
      <c r="X2825" s="17" t="n">
        <f aca="false">J2825</f>
        <v>0</v>
      </c>
      <c r="Y2825" s="17" t="e">
        <f aca="false">VLOOKUP(X2825,Sheet2!A:B,2,0)</f>
        <v>#N/A</v>
      </c>
      <c r="Z2825" s="17"/>
      <c r="AA2825" s="17"/>
      <c r="AB2825" s="17" t="s">
        <v>41</v>
      </c>
      <c r="AC2825" s="0" t="str">
        <f aca="false">LEFT(G2825,2)</f>
        <v/>
      </c>
    </row>
    <row r="2826" customFormat="false" ht="15" hidden="false" customHeight="false" outlineLevel="0" collapsed="false">
      <c r="A2826" s="13" t="n">
        <f aca="false">1+A2825</f>
        <v>2824</v>
      </c>
      <c r="B2826" s="14" t="n">
        <v>100</v>
      </c>
      <c r="C2826" s="15"/>
      <c r="D2826" s="16" t="s">
        <v>64</v>
      </c>
      <c r="E2826" s="17" t="s">
        <v>47</v>
      </c>
      <c r="F2826" s="18" t="s">
        <v>34</v>
      </c>
      <c r="G2826" s="19"/>
      <c r="H2826" s="17" t="s">
        <v>35</v>
      </c>
      <c r="I2826" s="17" t="s">
        <v>44</v>
      </c>
      <c r="J2826" s="17"/>
      <c r="K2826" s="17" t="e">
        <f aca="false">VLOOKUP(J2826,Sheet2!A:B,2,0)</f>
        <v>#N/A</v>
      </c>
      <c r="L2826" s="17" t="n">
        <v>5</v>
      </c>
      <c r="M2826" s="17" t="str">
        <f aca="false">VLOOKUP(L2826,Sheet2!D:E,2,0)</f>
        <v>Main Processor CPU BGA</v>
      </c>
      <c r="N2826" s="17" t="n">
        <v>1</v>
      </c>
      <c r="O2826" s="17" t="str">
        <f aca="false">VLOOKUP(N2826,Sheet2!G:H,2,0)</f>
        <v>Dead</v>
      </c>
      <c r="P2826" s="17" t="n">
        <v>11</v>
      </c>
      <c r="Q2826" s="17" t="str">
        <f aca="false">VLOOKUP(P2826,Sheet2!J:K,2,0)</f>
        <v>IR Declared due to CID -TA</v>
      </c>
      <c r="R2826" s="17" t="s">
        <v>35</v>
      </c>
      <c r="S2826" s="17" t="str">
        <f aca="false">VLOOKUP(R2826,Sheet2!N:O,2,0)</f>
        <v>IREPARABLE</v>
      </c>
      <c r="T2826" s="18" t="str">
        <f aca="false">VLOOKUP(P2826,Sheet2!Q:R,2,0)</f>
        <v>IR Normal - Track burn out</v>
      </c>
      <c r="U2826" s="20" t="s">
        <v>41</v>
      </c>
      <c r="V2826" s="17"/>
      <c r="W2826" s="20" t="e">
        <f aca="false">VLOOKUP(V2826,Sheet2!Q:R,2,0)</f>
        <v>#N/A</v>
      </c>
      <c r="X2826" s="17" t="n">
        <f aca="false">J2826</f>
        <v>0</v>
      </c>
      <c r="Y2826" s="17" t="e">
        <f aca="false">VLOOKUP(X2826,Sheet2!A:B,2,0)</f>
        <v>#N/A</v>
      </c>
      <c r="Z2826" s="17"/>
      <c r="AA2826" s="17"/>
      <c r="AB2826" s="17" t="s">
        <v>41</v>
      </c>
      <c r="AC2826" s="0" t="str">
        <f aca="false">LEFT(G2826,2)</f>
        <v/>
      </c>
    </row>
    <row r="2827" customFormat="false" ht="15" hidden="false" customHeight="false" outlineLevel="0" collapsed="false">
      <c r="A2827" s="13" t="n">
        <f aca="false">1+A2826</f>
        <v>2825</v>
      </c>
      <c r="B2827" s="14" t="n">
        <v>100</v>
      </c>
      <c r="C2827" s="15"/>
      <c r="D2827" s="16" t="s">
        <v>64</v>
      </c>
      <c r="E2827" s="17" t="s">
        <v>47</v>
      </c>
      <c r="F2827" s="18" t="s">
        <v>34</v>
      </c>
      <c r="G2827" s="19"/>
      <c r="H2827" s="17" t="s">
        <v>35</v>
      </c>
      <c r="I2827" s="17" t="s">
        <v>44</v>
      </c>
      <c r="J2827" s="17"/>
      <c r="K2827" s="17" t="e">
        <f aca="false">VLOOKUP(J2827,Sheet2!A:B,2,0)</f>
        <v>#N/A</v>
      </c>
      <c r="L2827" s="17" t="n">
        <v>5</v>
      </c>
      <c r="M2827" s="17" t="str">
        <f aca="false">VLOOKUP(L2827,Sheet2!D:E,2,0)</f>
        <v>Main Processor CPU BGA</v>
      </c>
      <c r="N2827" s="17" t="n">
        <v>1</v>
      </c>
      <c r="O2827" s="17" t="str">
        <f aca="false">VLOOKUP(N2827,Sheet2!G:H,2,0)</f>
        <v>Dead</v>
      </c>
      <c r="P2827" s="17" t="n">
        <v>11</v>
      </c>
      <c r="Q2827" s="17" t="str">
        <f aca="false">VLOOKUP(P2827,Sheet2!J:K,2,0)</f>
        <v>IR Declared due to CID -TA</v>
      </c>
      <c r="R2827" s="17" t="s">
        <v>35</v>
      </c>
      <c r="S2827" s="17" t="str">
        <f aca="false">VLOOKUP(R2827,Sheet2!N:O,2,0)</f>
        <v>IREPARABLE</v>
      </c>
      <c r="T2827" s="18" t="str">
        <f aca="false">VLOOKUP(P2827,Sheet2!Q:R,2,0)</f>
        <v>IR Normal - Track burn out</v>
      </c>
      <c r="U2827" s="20" t="s">
        <v>41</v>
      </c>
      <c r="V2827" s="17"/>
      <c r="W2827" s="20" t="e">
        <f aca="false">VLOOKUP(V2827,Sheet2!Q:R,2,0)</f>
        <v>#N/A</v>
      </c>
      <c r="X2827" s="17" t="n">
        <f aca="false">J2827</f>
        <v>0</v>
      </c>
      <c r="Y2827" s="17" t="e">
        <f aca="false">VLOOKUP(X2827,Sheet2!A:B,2,0)</f>
        <v>#N/A</v>
      </c>
      <c r="Z2827" s="17"/>
      <c r="AA2827" s="17"/>
      <c r="AB2827" s="17" t="s">
        <v>41</v>
      </c>
      <c r="AC2827" s="0" t="str">
        <f aca="false">LEFT(G2827,2)</f>
        <v/>
      </c>
    </row>
    <row r="2828" customFormat="false" ht="15" hidden="false" customHeight="false" outlineLevel="0" collapsed="false">
      <c r="A2828" s="13" t="n">
        <f aca="false">1+A2827</f>
        <v>2826</v>
      </c>
      <c r="B2828" s="14" t="n">
        <v>100</v>
      </c>
      <c r="C2828" s="15"/>
      <c r="D2828" s="16" t="s">
        <v>64</v>
      </c>
      <c r="E2828" s="17" t="s">
        <v>47</v>
      </c>
      <c r="F2828" s="18" t="s">
        <v>34</v>
      </c>
      <c r="G2828" s="19"/>
      <c r="H2828" s="17" t="s">
        <v>35</v>
      </c>
      <c r="I2828" s="17" t="s">
        <v>44</v>
      </c>
      <c r="J2828" s="17"/>
      <c r="K2828" s="17" t="e">
        <f aca="false">VLOOKUP(J2828,Sheet2!A:B,2,0)</f>
        <v>#N/A</v>
      </c>
      <c r="L2828" s="17" t="n">
        <v>5</v>
      </c>
      <c r="M2828" s="17" t="str">
        <f aca="false">VLOOKUP(L2828,Sheet2!D:E,2,0)</f>
        <v>Main Processor CPU BGA</v>
      </c>
      <c r="N2828" s="17" t="n">
        <v>1</v>
      </c>
      <c r="O2828" s="17" t="str">
        <f aca="false">VLOOKUP(N2828,Sheet2!G:H,2,0)</f>
        <v>Dead</v>
      </c>
      <c r="P2828" s="17" t="n">
        <v>11</v>
      </c>
      <c r="Q2828" s="17" t="str">
        <f aca="false">VLOOKUP(P2828,Sheet2!J:K,2,0)</f>
        <v>IR Declared due to CID -TA</v>
      </c>
      <c r="R2828" s="17" t="s">
        <v>35</v>
      </c>
      <c r="S2828" s="17" t="str">
        <f aca="false">VLOOKUP(R2828,Sheet2!N:O,2,0)</f>
        <v>IREPARABLE</v>
      </c>
      <c r="T2828" s="18" t="str">
        <f aca="false">VLOOKUP(P2828,Sheet2!Q:R,2,0)</f>
        <v>IR Normal - Track burn out</v>
      </c>
      <c r="U2828" s="20" t="s">
        <v>41</v>
      </c>
      <c r="V2828" s="17"/>
      <c r="W2828" s="20" t="e">
        <f aca="false">VLOOKUP(V2828,Sheet2!Q:R,2,0)</f>
        <v>#N/A</v>
      </c>
      <c r="X2828" s="17" t="n">
        <f aca="false">J2828</f>
        <v>0</v>
      </c>
      <c r="Y2828" s="17" t="e">
        <f aca="false">VLOOKUP(X2828,Sheet2!A:B,2,0)</f>
        <v>#N/A</v>
      </c>
      <c r="Z2828" s="17"/>
      <c r="AA2828" s="17"/>
      <c r="AB2828" s="17" t="s">
        <v>41</v>
      </c>
      <c r="AC2828" s="0" t="str">
        <f aca="false">LEFT(G2828,2)</f>
        <v/>
      </c>
    </row>
    <row r="2829" customFormat="false" ht="15" hidden="false" customHeight="false" outlineLevel="0" collapsed="false">
      <c r="A2829" s="13" t="n">
        <f aca="false">1+A2828</f>
        <v>2827</v>
      </c>
      <c r="B2829" s="14" t="n">
        <v>100</v>
      </c>
      <c r="C2829" s="15"/>
      <c r="D2829" s="16" t="s">
        <v>64</v>
      </c>
      <c r="E2829" s="17" t="s">
        <v>47</v>
      </c>
      <c r="F2829" s="18" t="s">
        <v>34</v>
      </c>
      <c r="G2829" s="19"/>
      <c r="H2829" s="17" t="s">
        <v>35</v>
      </c>
      <c r="I2829" s="17" t="s">
        <v>44</v>
      </c>
      <c r="J2829" s="17"/>
      <c r="K2829" s="17" t="e">
        <f aca="false">VLOOKUP(J2829,Sheet2!A:B,2,0)</f>
        <v>#N/A</v>
      </c>
      <c r="L2829" s="17" t="n">
        <v>5</v>
      </c>
      <c r="M2829" s="17" t="str">
        <f aca="false">VLOOKUP(L2829,Sheet2!D:E,2,0)</f>
        <v>Main Processor CPU BGA</v>
      </c>
      <c r="N2829" s="17" t="n">
        <v>1</v>
      </c>
      <c r="O2829" s="17" t="str">
        <f aca="false">VLOOKUP(N2829,Sheet2!G:H,2,0)</f>
        <v>Dead</v>
      </c>
      <c r="P2829" s="17" t="n">
        <v>11</v>
      </c>
      <c r="Q2829" s="17" t="str">
        <f aca="false">VLOOKUP(P2829,Sheet2!J:K,2,0)</f>
        <v>IR Declared due to CID -TA</v>
      </c>
      <c r="R2829" s="17" t="s">
        <v>35</v>
      </c>
      <c r="S2829" s="17" t="str">
        <f aca="false">VLOOKUP(R2829,Sheet2!N:O,2,0)</f>
        <v>IREPARABLE</v>
      </c>
      <c r="T2829" s="18" t="str">
        <f aca="false">VLOOKUP(P2829,Sheet2!Q:R,2,0)</f>
        <v>IR Normal - Track burn out</v>
      </c>
      <c r="U2829" s="20" t="s">
        <v>41</v>
      </c>
      <c r="V2829" s="17"/>
      <c r="W2829" s="20" t="e">
        <f aca="false">VLOOKUP(V2829,Sheet2!Q:R,2,0)</f>
        <v>#N/A</v>
      </c>
      <c r="X2829" s="17" t="n">
        <f aca="false">J2829</f>
        <v>0</v>
      </c>
      <c r="Y2829" s="17" t="e">
        <f aca="false">VLOOKUP(X2829,Sheet2!A:B,2,0)</f>
        <v>#N/A</v>
      </c>
      <c r="Z2829" s="17"/>
      <c r="AA2829" s="17"/>
      <c r="AB2829" s="17" t="s">
        <v>41</v>
      </c>
      <c r="AC2829" s="0" t="str">
        <f aca="false">LEFT(G2829,2)</f>
        <v/>
      </c>
    </row>
    <row r="2830" customFormat="false" ht="15" hidden="false" customHeight="false" outlineLevel="0" collapsed="false">
      <c r="A2830" s="13" t="n">
        <f aca="false">1+A2829</f>
        <v>2828</v>
      </c>
      <c r="B2830" s="14" t="n">
        <v>100</v>
      </c>
      <c r="C2830" s="15"/>
      <c r="D2830" s="16" t="s">
        <v>64</v>
      </c>
      <c r="E2830" s="17" t="s">
        <v>47</v>
      </c>
      <c r="F2830" s="18" t="s">
        <v>34</v>
      </c>
      <c r="G2830" s="19"/>
      <c r="H2830" s="17" t="s">
        <v>35</v>
      </c>
      <c r="I2830" s="17" t="s">
        <v>44</v>
      </c>
      <c r="J2830" s="17"/>
      <c r="K2830" s="17" t="e">
        <f aca="false">VLOOKUP(J2830,Sheet2!A:B,2,0)</f>
        <v>#N/A</v>
      </c>
      <c r="L2830" s="17" t="n">
        <v>5</v>
      </c>
      <c r="M2830" s="17" t="str">
        <f aca="false">VLOOKUP(L2830,Sheet2!D:E,2,0)</f>
        <v>Main Processor CPU BGA</v>
      </c>
      <c r="N2830" s="17" t="n">
        <v>1</v>
      </c>
      <c r="O2830" s="17" t="str">
        <f aca="false">VLOOKUP(N2830,Sheet2!G:H,2,0)</f>
        <v>Dead</v>
      </c>
      <c r="P2830" s="17" t="n">
        <v>11</v>
      </c>
      <c r="Q2830" s="17" t="str">
        <f aca="false">VLOOKUP(P2830,Sheet2!J:K,2,0)</f>
        <v>IR Declared due to CID -TA</v>
      </c>
      <c r="R2830" s="17" t="s">
        <v>35</v>
      </c>
      <c r="S2830" s="17" t="str">
        <f aca="false">VLOOKUP(R2830,Sheet2!N:O,2,0)</f>
        <v>IREPARABLE</v>
      </c>
      <c r="T2830" s="18" t="str">
        <f aca="false">VLOOKUP(P2830,Sheet2!Q:R,2,0)</f>
        <v>IR Normal - Track burn out</v>
      </c>
      <c r="U2830" s="20" t="s">
        <v>41</v>
      </c>
      <c r="V2830" s="17"/>
      <c r="W2830" s="20" t="e">
        <f aca="false">VLOOKUP(V2830,Sheet2!Q:R,2,0)</f>
        <v>#N/A</v>
      </c>
      <c r="X2830" s="17" t="n">
        <f aca="false">J2830</f>
        <v>0</v>
      </c>
      <c r="Y2830" s="17" t="e">
        <f aca="false">VLOOKUP(X2830,Sheet2!A:B,2,0)</f>
        <v>#N/A</v>
      </c>
      <c r="Z2830" s="17"/>
      <c r="AA2830" s="17"/>
      <c r="AB2830" s="17" t="s">
        <v>41</v>
      </c>
      <c r="AC2830" s="0" t="str">
        <f aca="false">LEFT(G2830,2)</f>
        <v/>
      </c>
    </row>
    <row r="2831" customFormat="false" ht="15" hidden="false" customHeight="false" outlineLevel="0" collapsed="false">
      <c r="A2831" s="13" t="n">
        <f aca="false">1+A2830</f>
        <v>2829</v>
      </c>
      <c r="B2831" s="14" t="n">
        <v>100</v>
      </c>
      <c r="C2831" s="15"/>
      <c r="D2831" s="16" t="s">
        <v>64</v>
      </c>
      <c r="E2831" s="17" t="s">
        <v>47</v>
      </c>
      <c r="F2831" s="18" t="s">
        <v>34</v>
      </c>
      <c r="G2831" s="19"/>
      <c r="H2831" s="17" t="s">
        <v>35</v>
      </c>
      <c r="I2831" s="17" t="s">
        <v>44</v>
      </c>
      <c r="J2831" s="17"/>
      <c r="K2831" s="17" t="e">
        <f aca="false">VLOOKUP(J2831,Sheet2!A:B,2,0)</f>
        <v>#N/A</v>
      </c>
      <c r="L2831" s="17" t="n">
        <v>5</v>
      </c>
      <c r="M2831" s="17" t="str">
        <f aca="false">VLOOKUP(L2831,Sheet2!D:E,2,0)</f>
        <v>Main Processor CPU BGA</v>
      </c>
      <c r="N2831" s="17" t="n">
        <v>1</v>
      </c>
      <c r="O2831" s="17" t="str">
        <f aca="false">VLOOKUP(N2831,Sheet2!G:H,2,0)</f>
        <v>Dead</v>
      </c>
      <c r="P2831" s="17" t="n">
        <v>11</v>
      </c>
      <c r="Q2831" s="17" t="str">
        <f aca="false">VLOOKUP(P2831,Sheet2!J:K,2,0)</f>
        <v>IR Declared due to CID -TA</v>
      </c>
      <c r="R2831" s="17" t="s">
        <v>35</v>
      </c>
      <c r="S2831" s="17" t="str">
        <f aca="false">VLOOKUP(R2831,Sheet2!N:O,2,0)</f>
        <v>IREPARABLE</v>
      </c>
      <c r="T2831" s="18" t="str">
        <f aca="false">VLOOKUP(P2831,Sheet2!Q:R,2,0)</f>
        <v>IR Normal - Track burn out</v>
      </c>
      <c r="U2831" s="20" t="s">
        <v>41</v>
      </c>
      <c r="V2831" s="17"/>
      <c r="W2831" s="20" t="e">
        <f aca="false">VLOOKUP(V2831,Sheet2!Q:R,2,0)</f>
        <v>#N/A</v>
      </c>
      <c r="X2831" s="17" t="n">
        <f aca="false">J2831</f>
        <v>0</v>
      </c>
      <c r="Y2831" s="17" t="e">
        <f aca="false">VLOOKUP(X2831,Sheet2!A:B,2,0)</f>
        <v>#N/A</v>
      </c>
      <c r="Z2831" s="17"/>
      <c r="AA2831" s="17"/>
      <c r="AB2831" s="17" t="s">
        <v>41</v>
      </c>
      <c r="AC2831" s="0" t="str">
        <f aca="false">LEFT(G2831,2)</f>
        <v/>
      </c>
    </row>
    <row r="2832" customFormat="false" ht="15" hidden="false" customHeight="false" outlineLevel="0" collapsed="false">
      <c r="A2832" s="13" t="n">
        <f aca="false">1+A2831</f>
        <v>2830</v>
      </c>
      <c r="B2832" s="14" t="n">
        <v>100</v>
      </c>
      <c r="C2832" s="15"/>
      <c r="D2832" s="16" t="s">
        <v>64</v>
      </c>
      <c r="E2832" s="17" t="s">
        <v>47</v>
      </c>
      <c r="F2832" s="18" t="s">
        <v>34</v>
      </c>
      <c r="G2832" s="19"/>
      <c r="H2832" s="17" t="s">
        <v>35</v>
      </c>
      <c r="I2832" s="17" t="s">
        <v>44</v>
      </c>
      <c r="J2832" s="17"/>
      <c r="K2832" s="17" t="e">
        <f aca="false">VLOOKUP(J2832,Sheet2!A:B,2,0)</f>
        <v>#N/A</v>
      </c>
      <c r="L2832" s="17" t="n">
        <v>5</v>
      </c>
      <c r="M2832" s="17" t="str">
        <f aca="false">VLOOKUP(L2832,Sheet2!D:E,2,0)</f>
        <v>Main Processor CPU BGA</v>
      </c>
      <c r="N2832" s="17" t="n">
        <v>1</v>
      </c>
      <c r="O2832" s="17" t="str">
        <f aca="false">VLOOKUP(N2832,Sheet2!G:H,2,0)</f>
        <v>Dead</v>
      </c>
      <c r="P2832" s="17" t="n">
        <v>11</v>
      </c>
      <c r="Q2832" s="17" t="str">
        <f aca="false">VLOOKUP(P2832,Sheet2!J:K,2,0)</f>
        <v>IR Declared due to CID -TA</v>
      </c>
      <c r="R2832" s="17" t="s">
        <v>35</v>
      </c>
      <c r="S2832" s="17" t="str">
        <f aca="false">VLOOKUP(R2832,Sheet2!N:O,2,0)</f>
        <v>IREPARABLE</v>
      </c>
      <c r="T2832" s="18" t="str">
        <f aca="false">VLOOKUP(P2832,Sheet2!Q:R,2,0)</f>
        <v>IR Normal - Track burn out</v>
      </c>
      <c r="U2832" s="20" t="s">
        <v>41</v>
      </c>
      <c r="V2832" s="17"/>
      <c r="W2832" s="20" t="e">
        <f aca="false">VLOOKUP(V2832,Sheet2!Q:R,2,0)</f>
        <v>#N/A</v>
      </c>
      <c r="X2832" s="17" t="n">
        <f aca="false">J2832</f>
        <v>0</v>
      </c>
      <c r="Y2832" s="17" t="e">
        <f aca="false">VLOOKUP(X2832,Sheet2!A:B,2,0)</f>
        <v>#N/A</v>
      </c>
      <c r="Z2832" s="17"/>
      <c r="AA2832" s="17"/>
      <c r="AB2832" s="17" t="s">
        <v>41</v>
      </c>
      <c r="AC2832" s="0" t="str">
        <f aca="false">LEFT(G2832,2)</f>
        <v/>
      </c>
    </row>
    <row r="2833" customFormat="false" ht="15" hidden="false" customHeight="false" outlineLevel="0" collapsed="false">
      <c r="A2833" s="13" t="n">
        <f aca="false">1+A2832</f>
        <v>2831</v>
      </c>
      <c r="B2833" s="14" t="n">
        <v>100</v>
      </c>
      <c r="C2833" s="15"/>
      <c r="D2833" s="16" t="s">
        <v>64</v>
      </c>
      <c r="E2833" s="17" t="s">
        <v>47</v>
      </c>
      <c r="F2833" s="18" t="s">
        <v>34</v>
      </c>
      <c r="G2833" s="19"/>
      <c r="H2833" s="17" t="s">
        <v>35</v>
      </c>
      <c r="I2833" s="17" t="s">
        <v>44</v>
      </c>
      <c r="J2833" s="17"/>
      <c r="K2833" s="17" t="e">
        <f aca="false">VLOOKUP(J2833,Sheet2!A:B,2,0)</f>
        <v>#N/A</v>
      </c>
      <c r="L2833" s="17" t="n">
        <v>5</v>
      </c>
      <c r="M2833" s="17" t="str">
        <f aca="false">VLOOKUP(L2833,Sheet2!D:E,2,0)</f>
        <v>Main Processor CPU BGA</v>
      </c>
      <c r="N2833" s="17" t="n">
        <v>1</v>
      </c>
      <c r="O2833" s="17" t="str">
        <f aca="false">VLOOKUP(N2833,Sheet2!G:H,2,0)</f>
        <v>Dead</v>
      </c>
      <c r="P2833" s="17" t="n">
        <v>11</v>
      </c>
      <c r="Q2833" s="17" t="str">
        <f aca="false">VLOOKUP(P2833,Sheet2!J:K,2,0)</f>
        <v>IR Declared due to CID -TA</v>
      </c>
      <c r="R2833" s="17" t="s">
        <v>35</v>
      </c>
      <c r="S2833" s="17" t="str">
        <f aca="false">VLOOKUP(R2833,Sheet2!N:O,2,0)</f>
        <v>IREPARABLE</v>
      </c>
      <c r="T2833" s="18" t="str">
        <f aca="false">VLOOKUP(P2833,Sheet2!Q:R,2,0)</f>
        <v>IR Normal - Track burn out</v>
      </c>
      <c r="U2833" s="20" t="s">
        <v>41</v>
      </c>
      <c r="V2833" s="17"/>
      <c r="W2833" s="20" t="e">
        <f aca="false">VLOOKUP(V2833,Sheet2!Q:R,2,0)</f>
        <v>#N/A</v>
      </c>
      <c r="X2833" s="17" t="n">
        <f aca="false">J2833</f>
        <v>0</v>
      </c>
      <c r="Y2833" s="17" t="e">
        <f aca="false">VLOOKUP(X2833,Sheet2!A:B,2,0)</f>
        <v>#N/A</v>
      </c>
      <c r="Z2833" s="17"/>
      <c r="AA2833" s="17"/>
      <c r="AB2833" s="17" t="s">
        <v>41</v>
      </c>
      <c r="AC2833" s="0" t="str">
        <f aca="false">LEFT(G2833,2)</f>
        <v/>
      </c>
    </row>
    <row r="2834" customFormat="false" ht="15" hidden="false" customHeight="false" outlineLevel="0" collapsed="false">
      <c r="A2834" s="13" t="n">
        <f aca="false">1+A2833</f>
        <v>2832</v>
      </c>
      <c r="B2834" s="14" t="n">
        <v>100</v>
      </c>
      <c r="C2834" s="15"/>
      <c r="D2834" s="16" t="s">
        <v>64</v>
      </c>
      <c r="E2834" s="17" t="s">
        <v>47</v>
      </c>
      <c r="F2834" s="18" t="s">
        <v>34</v>
      </c>
      <c r="G2834" s="19"/>
      <c r="H2834" s="17" t="s">
        <v>35</v>
      </c>
      <c r="I2834" s="17" t="s">
        <v>44</v>
      </c>
      <c r="J2834" s="17"/>
      <c r="K2834" s="17" t="e">
        <f aca="false">VLOOKUP(J2834,Sheet2!A:B,2,0)</f>
        <v>#N/A</v>
      </c>
      <c r="L2834" s="17" t="n">
        <v>5</v>
      </c>
      <c r="M2834" s="17" t="str">
        <f aca="false">VLOOKUP(L2834,Sheet2!D:E,2,0)</f>
        <v>Main Processor CPU BGA</v>
      </c>
      <c r="N2834" s="17" t="n">
        <v>1</v>
      </c>
      <c r="O2834" s="17" t="str">
        <f aca="false">VLOOKUP(N2834,Sheet2!G:H,2,0)</f>
        <v>Dead</v>
      </c>
      <c r="P2834" s="17" t="n">
        <v>11</v>
      </c>
      <c r="Q2834" s="17" t="str">
        <f aca="false">VLOOKUP(P2834,Sheet2!J:K,2,0)</f>
        <v>IR Declared due to CID -TA</v>
      </c>
      <c r="R2834" s="17" t="s">
        <v>35</v>
      </c>
      <c r="S2834" s="17" t="str">
        <f aca="false">VLOOKUP(R2834,Sheet2!N:O,2,0)</f>
        <v>IREPARABLE</v>
      </c>
      <c r="T2834" s="18" t="str">
        <f aca="false">VLOOKUP(P2834,Sheet2!Q:R,2,0)</f>
        <v>IR Normal - Track burn out</v>
      </c>
      <c r="U2834" s="20" t="s">
        <v>41</v>
      </c>
      <c r="V2834" s="17"/>
      <c r="W2834" s="20" t="e">
        <f aca="false">VLOOKUP(V2834,Sheet2!Q:R,2,0)</f>
        <v>#N/A</v>
      </c>
      <c r="X2834" s="17" t="n">
        <f aca="false">J2834</f>
        <v>0</v>
      </c>
      <c r="Y2834" s="17" t="e">
        <f aca="false">VLOOKUP(X2834,Sheet2!A:B,2,0)</f>
        <v>#N/A</v>
      </c>
      <c r="Z2834" s="17"/>
      <c r="AA2834" s="17"/>
      <c r="AB2834" s="17" t="s">
        <v>41</v>
      </c>
      <c r="AC2834" s="0" t="str">
        <f aca="false">LEFT(G2834,2)</f>
        <v/>
      </c>
    </row>
    <row r="2835" customFormat="false" ht="15" hidden="false" customHeight="false" outlineLevel="0" collapsed="false">
      <c r="A2835" s="13" t="n">
        <f aca="false">1+A2834</f>
        <v>2833</v>
      </c>
      <c r="B2835" s="14" t="n">
        <v>100</v>
      </c>
      <c r="C2835" s="15"/>
      <c r="D2835" s="16" t="s">
        <v>64</v>
      </c>
      <c r="E2835" s="17" t="s">
        <v>47</v>
      </c>
      <c r="F2835" s="18" t="s">
        <v>34</v>
      </c>
      <c r="G2835" s="19"/>
      <c r="H2835" s="17" t="s">
        <v>35</v>
      </c>
      <c r="I2835" s="17" t="s">
        <v>44</v>
      </c>
      <c r="J2835" s="17"/>
      <c r="K2835" s="17" t="e">
        <f aca="false">VLOOKUP(J2835,Sheet2!A:B,2,0)</f>
        <v>#N/A</v>
      </c>
      <c r="L2835" s="17" t="n">
        <v>5</v>
      </c>
      <c r="M2835" s="17" t="str">
        <f aca="false">VLOOKUP(L2835,Sheet2!D:E,2,0)</f>
        <v>Main Processor CPU BGA</v>
      </c>
      <c r="N2835" s="17" t="n">
        <v>1</v>
      </c>
      <c r="O2835" s="17" t="str">
        <f aca="false">VLOOKUP(N2835,Sheet2!G:H,2,0)</f>
        <v>Dead</v>
      </c>
      <c r="P2835" s="17" t="n">
        <v>11</v>
      </c>
      <c r="Q2835" s="17" t="str">
        <f aca="false">VLOOKUP(P2835,Sheet2!J:K,2,0)</f>
        <v>IR Declared due to CID -TA</v>
      </c>
      <c r="R2835" s="17" t="s">
        <v>35</v>
      </c>
      <c r="S2835" s="17" t="str">
        <f aca="false">VLOOKUP(R2835,Sheet2!N:O,2,0)</f>
        <v>IREPARABLE</v>
      </c>
      <c r="T2835" s="18" t="str">
        <f aca="false">VLOOKUP(P2835,Sheet2!Q:R,2,0)</f>
        <v>IR Normal - Track burn out</v>
      </c>
      <c r="U2835" s="20" t="s">
        <v>41</v>
      </c>
      <c r="V2835" s="17"/>
      <c r="W2835" s="20" t="e">
        <f aca="false">VLOOKUP(V2835,Sheet2!Q:R,2,0)</f>
        <v>#N/A</v>
      </c>
      <c r="X2835" s="17" t="n">
        <f aca="false">J2835</f>
        <v>0</v>
      </c>
      <c r="Y2835" s="17" t="e">
        <f aca="false">VLOOKUP(X2835,Sheet2!A:B,2,0)</f>
        <v>#N/A</v>
      </c>
      <c r="Z2835" s="17"/>
      <c r="AA2835" s="17"/>
      <c r="AB2835" s="17" t="s">
        <v>41</v>
      </c>
      <c r="AC2835" s="0" t="str">
        <f aca="false">LEFT(G2835,2)</f>
        <v/>
      </c>
    </row>
    <row r="2836" customFormat="false" ht="15" hidden="false" customHeight="false" outlineLevel="0" collapsed="false">
      <c r="A2836" s="13" t="n">
        <f aca="false">1+A2835</f>
        <v>2834</v>
      </c>
      <c r="B2836" s="14" t="n">
        <v>100</v>
      </c>
      <c r="C2836" s="15"/>
      <c r="D2836" s="16" t="s">
        <v>64</v>
      </c>
      <c r="E2836" s="17" t="s">
        <v>47</v>
      </c>
      <c r="F2836" s="18" t="s">
        <v>34</v>
      </c>
      <c r="G2836" s="19"/>
      <c r="H2836" s="17" t="s">
        <v>35</v>
      </c>
      <c r="I2836" s="17" t="s">
        <v>44</v>
      </c>
      <c r="J2836" s="17"/>
      <c r="K2836" s="17" t="e">
        <f aca="false">VLOOKUP(J2836,Sheet2!A:B,2,0)</f>
        <v>#N/A</v>
      </c>
      <c r="L2836" s="17" t="n">
        <v>5</v>
      </c>
      <c r="M2836" s="17" t="str">
        <f aca="false">VLOOKUP(L2836,Sheet2!D:E,2,0)</f>
        <v>Main Processor CPU BGA</v>
      </c>
      <c r="N2836" s="17" t="n">
        <v>1</v>
      </c>
      <c r="O2836" s="17" t="str">
        <f aca="false">VLOOKUP(N2836,Sheet2!G:H,2,0)</f>
        <v>Dead</v>
      </c>
      <c r="P2836" s="17" t="n">
        <v>11</v>
      </c>
      <c r="Q2836" s="17" t="str">
        <f aca="false">VLOOKUP(P2836,Sheet2!J:K,2,0)</f>
        <v>IR Declared due to CID -TA</v>
      </c>
      <c r="R2836" s="17" t="s">
        <v>35</v>
      </c>
      <c r="S2836" s="17" t="str">
        <f aca="false">VLOOKUP(R2836,Sheet2!N:O,2,0)</f>
        <v>IREPARABLE</v>
      </c>
      <c r="T2836" s="18" t="str">
        <f aca="false">VLOOKUP(P2836,Sheet2!Q:R,2,0)</f>
        <v>IR Normal - Track burn out</v>
      </c>
      <c r="U2836" s="20" t="s">
        <v>41</v>
      </c>
      <c r="V2836" s="17"/>
      <c r="W2836" s="20" t="e">
        <f aca="false">VLOOKUP(V2836,Sheet2!Q:R,2,0)</f>
        <v>#N/A</v>
      </c>
      <c r="X2836" s="17" t="n">
        <f aca="false">J2836</f>
        <v>0</v>
      </c>
      <c r="Y2836" s="17" t="e">
        <f aca="false">VLOOKUP(X2836,Sheet2!A:B,2,0)</f>
        <v>#N/A</v>
      </c>
      <c r="Z2836" s="17"/>
      <c r="AA2836" s="17"/>
      <c r="AB2836" s="17" t="s">
        <v>41</v>
      </c>
      <c r="AC2836" s="0" t="str">
        <f aca="false">LEFT(G2836,2)</f>
        <v/>
      </c>
    </row>
    <row r="2837" customFormat="false" ht="15" hidden="false" customHeight="false" outlineLevel="0" collapsed="false">
      <c r="A2837" s="13" t="n">
        <f aca="false">1+A2836</f>
        <v>2835</v>
      </c>
      <c r="B2837" s="14" t="n">
        <v>100</v>
      </c>
      <c r="C2837" s="15"/>
      <c r="D2837" s="16" t="s">
        <v>64</v>
      </c>
      <c r="E2837" s="17" t="s">
        <v>47</v>
      </c>
      <c r="F2837" s="18" t="s">
        <v>34</v>
      </c>
      <c r="G2837" s="19"/>
      <c r="H2837" s="17" t="s">
        <v>35</v>
      </c>
      <c r="I2837" s="17" t="s">
        <v>44</v>
      </c>
      <c r="J2837" s="17"/>
      <c r="K2837" s="17" t="e">
        <f aca="false">VLOOKUP(J2837,Sheet2!A:B,2,0)</f>
        <v>#N/A</v>
      </c>
      <c r="L2837" s="17" t="n">
        <v>5</v>
      </c>
      <c r="M2837" s="17" t="str">
        <f aca="false">VLOOKUP(L2837,Sheet2!D:E,2,0)</f>
        <v>Main Processor CPU BGA</v>
      </c>
      <c r="N2837" s="17" t="n">
        <v>1</v>
      </c>
      <c r="O2837" s="17" t="str">
        <f aca="false">VLOOKUP(N2837,Sheet2!G:H,2,0)</f>
        <v>Dead</v>
      </c>
      <c r="P2837" s="17" t="n">
        <v>11</v>
      </c>
      <c r="Q2837" s="17" t="str">
        <f aca="false">VLOOKUP(P2837,Sheet2!J:K,2,0)</f>
        <v>IR Declared due to CID -TA</v>
      </c>
      <c r="R2837" s="17" t="s">
        <v>35</v>
      </c>
      <c r="S2837" s="17" t="str">
        <f aca="false">VLOOKUP(R2837,Sheet2!N:O,2,0)</f>
        <v>IREPARABLE</v>
      </c>
      <c r="T2837" s="18" t="str">
        <f aca="false">VLOOKUP(P2837,Sheet2!Q:R,2,0)</f>
        <v>IR Normal - Track burn out</v>
      </c>
      <c r="U2837" s="20" t="s">
        <v>41</v>
      </c>
      <c r="V2837" s="17"/>
      <c r="W2837" s="20" t="e">
        <f aca="false">VLOOKUP(V2837,Sheet2!Q:R,2,0)</f>
        <v>#N/A</v>
      </c>
      <c r="X2837" s="17" t="n">
        <f aca="false">J2837</f>
        <v>0</v>
      </c>
      <c r="Y2837" s="17" t="e">
        <f aca="false">VLOOKUP(X2837,Sheet2!A:B,2,0)</f>
        <v>#N/A</v>
      </c>
      <c r="Z2837" s="17"/>
      <c r="AA2837" s="17"/>
      <c r="AB2837" s="17" t="s">
        <v>41</v>
      </c>
      <c r="AC2837" s="0" t="str">
        <f aca="false">LEFT(G2837,2)</f>
        <v/>
      </c>
    </row>
    <row r="2838" customFormat="false" ht="15" hidden="false" customHeight="false" outlineLevel="0" collapsed="false">
      <c r="A2838" s="13" t="n">
        <f aca="false">1+A2837</f>
        <v>2836</v>
      </c>
      <c r="B2838" s="14" t="n">
        <v>100</v>
      </c>
      <c r="C2838" s="15"/>
      <c r="D2838" s="16" t="s">
        <v>64</v>
      </c>
      <c r="E2838" s="17" t="s">
        <v>47</v>
      </c>
      <c r="F2838" s="18" t="s">
        <v>34</v>
      </c>
      <c r="G2838" s="19"/>
      <c r="H2838" s="17" t="s">
        <v>35</v>
      </c>
      <c r="I2838" s="17" t="s">
        <v>44</v>
      </c>
      <c r="J2838" s="17"/>
      <c r="K2838" s="17" t="e">
        <f aca="false">VLOOKUP(J2838,Sheet2!A:B,2,0)</f>
        <v>#N/A</v>
      </c>
      <c r="L2838" s="17" t="n">
        <v>5</v>
      </c>
      <c r="M2838" s="17" t="str">
        <f aca="false">VLOOKUP(L2838,Sheet2!D:E,2,0)</f>
        <v>Main Processor CPU BGA</v>
      </c>
      <c r="N2838" s="17" t="n">
        <v>1</v>
      </c>
      <c r="O2838" s="17" t="str">
        <f aca="false">VLOOKUP(N2838,Sheet2!G:H,2,0)</f>
        <v>Dead</v>
      </c>
      <c r="P2838" s="17" t="n">
        <v>11</v>
      </c>
      <c r="Q2838" s="17" t="str">
        <f aca="false">VLOOKUP(P2838,Sheet2!J:K,2,0)</f>
        <v>IR Declared due to CID -TA</v>
      </c>
      <c r="R2838" s="17" t="s">
        <v>35</v>
      </c>
      <c r="S2838" s="17" t="str">
        <f aca="false">VLOOKUP(R2838,Sheet2!N:O,2,0)</f>
        <v>IREPARABLE</v>
      </c>
      <c r="T2838" s="18" t="str">
        <f aca="false">VLOOKUP(P2838,Sheet2!Q:R,2,0)</f>
        <v>IR Normal - Track burn out</v>
      </c>
      <c r="U2838" s="20" t="s">
        <v>41</v>
      </c>
      <c r="V2838" s="17"/>
      <c r="W2838" s="20" t="e">
        <f aca="false">VLOOKUP(V2838,Sheet2!Q:R,2,0)</f>
        <v>#N/A</v>
      </c>
      <c r="X2838" s="17" t="n">
        <f aca="false">J2838</f>
        <v>0</v>
      </c>
      <c r="Y2838" s="17" t="e">
        <f aca="false">VLOOKUP(X2838,Sheet2!A:B,2,0)</f>
        <v>#N/A</v>
      </c>
      <c r="Z2838" s="17"/>
      <c r="AA2838" s="17"/>
      <c r="AB2838" s="17" t="s">
        <v>41</v>
      </c>
      <c r="AC2838" s="0" t="str">
        <f aca="false">LEFT(G2838,2)</f>
        <v/>
      </c>
    </row>
    <row r="2839" customFormat="false" ht="15" hidden="false" customHeight="false" outlineLevel="0" collapsed="false">
      <c r="A2839" s="13" t="n">
        <f aca="false">1+A2838</f>
        <v>2837</v>
      </c>
      <c r="B2839" s="14" t="n">
        <v>100</v>
      </c>
      <c r="C2839" s="15"/>
      <c r="D2839" s="16" t="s">
        <v>64</v>
      </c>
      <c r="E2839" s="17" t="s">
        <v>47</v>
      </c>
      <c r="F2839" s="18" t="s">
        <v>34</v>
      </c>
      <c r="G2839" s="19"/>
      <c r="H2839" s="17" t="s">
        <v>35</v>
      </c>
      <c r="I2839" s="17" t="s">
        <v>44</v>
      </c>
      <c r="J2839" s="17"/>
      <c r="K2839" s="17" t="e">
        <f aca="false">VLOOKUP(J2839,Sheet2!A:B,2,0)</f>
        <v>#N/A</v>
      </c>
      <c r="L2839" s="17" t="n">
        <v>5</v>
      </c>
      <c r="M2839" s="17" t="str">
        <f aca="false">VLOOKUP(L2839,Sheet2!D:E,2,0)</f>
        <v>Main Processor CPU BGA</v>
      </c>
      <c r="N2839" s="17" t="n">
        <v>1</v>
      </c>
      <c r="O2839" s="17" t="str">
        <f aca="false">VLOOKUP(N2839,Sheet2!G:H,2,0)</f>
        <v>Dead</v>
      </c>
      <c r="P2839" s="17" t="n">
        <v>11</v>
      </c>
      <c r="Q2839" s="17" t="str">
        <f aca="false">VLOOKUP(P2839,Sheet2!J:K,2,0)</f>
        <v>IR Declared due to CID -TA</v>
      </c>
      <c r="R2839" s="17" t="s">
        <v>35</v>
      </c>
      <c r="S2839" s="17" t="str">
        <f aca="false">VLOOKUP(R2839,Sheet2!N:O,2,0)</f>
        <v>IREPARABLE</v>
      </c>
      <c r="T2839" s="18" t="str">
        <f aca="false">VLOOKUP(P2839,Sheet2!Q:R,2,0)</f>
        <v>IR Normal - Track burn out</v>
      </c>
      <c r="U2839" s="20" t="s">
        <v>41</v>
      </c>
      <c r="V2839" s="17"/>
      <c r="W2839" s="20" t="e">
        <f aca="false">VLOOKUP(V2839,Sheet2!Q:R,2,0)</f>
        <v>#N/A</v>
      </c>
      <c r="X2839" s="17" t="n">
        <f aca="false">J2839</f>
        <v>0</v>
      </c>
      <c r="Y2839" s="17" t="e">
        <f aca="false">VLOOKUP(X2839,Sheet2!A:B,2,0)</f>
        <v>#N/A</v>
      </c>
      <c r="Z2839" s="17"/>
      <c r="AA2839" s="17"/>
      <c r="AB2839" s="17" t="s">
        <v>41</v>
      </c>
      <c r="AC2839" s="0" t="str">
        <f aca="false">LEFT(G2839,2)</f>
        <v/>
      </c>
    </row>
    <row r="2840" customFormat="false" ht="15" hidden="false" customHeight="false" outlineLevel="0" collapsed="false">
      <c r="A2840" s="13" t="n">
        <f aca="false">1+A2839</f>
        <v>2838</v>
      </c>
      <c r="B2840" s="14" t="n">
        <v>100</v>
      </c>
      <c r="C2840" s="15"/>
      <c r="D2840" s="16" t="s">
        <v>64</v>
      </c>
      <c r="E2840" s="17" t="s">
        <v>47</v>
      </c>
      <c r="F2840" s="18" t="s">
        <v>34</v>
      </c>
      <c r="G2840" s="19"/>
      <c r="H2840" s="17" t="s">
        <v>35</v>
      </c>
      <c r="I2840" s="17" t="s">
        <v>44</v>
      </c>
      <c r="J2840" s="17"/>
      <c r="K2840" s="17" t="e">
        <f aca="false">VLOOKUP(J2840,Sheet2!A:B,2,0)</f>
        <v>#N/A</v>
      </c>
      <c r="L2840" s="17" t="n">
        <v>5</v>
      </c>
      <c r="M2840" s="17" t="str">
        <f aca="false">VLOOKUP(L2840,Sheet2!D:E,2,0)</f>
        <v>Main Processor CPU BGA</v>
      </c>
      <c r="N2840" s="17" t="n">
        <v>1</v>
      </c>
      <c r="O2840" s="17" t="str">
        <f aca="false">VLOOKUP(N2840,Sheet2!G:H,2,0)</f>
        <v>Dead</v>
      </c>
      <c r="P2840" s="17" t="n">
        <v>11</v>
      </c>
      <c r="Q2840" s="17" t="str">
        <f aca="false">VLOOKUP(P2840,Sheet2!J:K,2,0)</f>
        <v>IR Declared due to CID -TA</v>
      </c>
      <c r="R2840" s="17" t="s">
        <v>35</v>
      </c>
      <c r="S2840" s="17" t="str">
        <f aca="false">VLOOKUP(R2840,Sheet2!N:O,2,0)</f>
        <v>IREPARABLE</v>
      </c>
      <c r="T2840" s="18" t="str">
        <f aca="false">VLOOKUP(P2840,Sheet2!Q:R,2,0)</f>
        <v>IR Normal - Track burn out</v>
      </c>
      <c r="U2840" s="20" t="s">
        <v>41</v>
      </c>
      <c r="V2840" s="17"/>
      <c r="W2840" s="20" t="e">
        <f aca="false">VLOOKUP(V2840,Sheet2!Q:R,2,0)</f>
        <v>#N/A</v>
      </c>
      <c r="X2840" s="17" t="n">
        <f aca="false">J2840</f>
        <v>0</v>
      </c>
      <c r="Y2840" s="17" t="e">
        <f aca="false">VLOOKUP(X2840,Sheet2!A:B,2,0)</f>
        <v>#N/A</v>
      </c>
      <c r="Z2840" s="17"/>
      <c r="AA2840" s="17"/>
      <c r="AB2840" s="17" t="s">
        <v>41</v>
      </c>
      <c r="AC2840" s="0" t="str">
        <f aca="false">LEFT(G2840,2)</f>
        <v/>
      </c>
    </row>
    <row r="2841" customFormat="false" ht="15" hidden="false" customHeight="false" outlineLevel="0" collapsed="false">
      <c r="A2841" s="13" t="n">
        <f aca="false">1+A2840</f>
        <v>2839</v>
      </c>
      <c r="B2841" s="14" t="n">
        <v>100</v>
      </c>
      <c r="C2841" s="15"/>
      <c r="D2841" s="16" t="s">
        <v>64</v>
      </c>
      <c r="E2841" s="17" t="s">
        <v>47</v>
      </c>
      <c r="F2841" s="18" t="s">
        <v>34</v>
      </c>
      <c r="G2841" s="19"/>
      <c r="H2841" s="17" t="s">
        <v>35</v>
      </c>
      <c r="I2841" s="17" t="s">
        <v>44</v>
      </c>
      <c r="J2841" s="17"/>
      <c r="K2841" s="17" t="e">
        <f aca="false">VLOOKUP(J2841,Sheet2!A:B,2,0)</f>
        <v>#N/A</v>
      </c>
      <c r="L2841" s="17" t="n">
        <v>5</v>
      </c>
      <c r="M2841" s="17" t="str">
        <f aca="false">VLOOKUP(L2841,Sheet2!D:E,2,0)</f>
        <v>Main Processor CPU BGA</v>
      </c>
      <c r="N2841" s="17" t="n">
        <v>1</v>
      </c>
      <c r="O2841" s="17" t="str">
        <f aca="false">VLOOKUP(N2841,Sheet2!G:H,2,0)</f>
        <v>Dead</v>
      </c>
      <c r="P2841" s="17" t="n">
        <v>11</v>
      </c>
      <c r="Q2841" s="17" t="str">
        <f aca="false">VLOOKUP(P2841,Sheet2!J:K,2,0)</f>
        <v>IR Declared due to CID -TA</v>
      </c>
      <c r="R2841" s="17" t="s">
        <v>35</v>
      </c>
      <c r="S2841" s="17" t="str">
        <f aca="false">VLOOKUP(R2841,Sheet2!N:O,2,0)</f>
        <v>IREPARABLE</v>
      </c>
      <c r="T2841" s="18" t="str">
        <f aca="false">VLOOKUP(P2841,Sheet2!Q:R,2,0)</f>
        <v>IR Normal - Track burn out</v>
      </c>
      <c r="U2841" s="20" t="s">
        <v>41</v>
      </c>
      <c r="V2841" s="17"/>
      <c r="W2841" s="20" t="e">
        <f aca="false">VLOOKUP(V2841,Sheet2!Q:R,2,0)</f>
        <v>#N/A</v>
      </c>
      <c r="X2841" s="17" t="n">
        <f aca="false">J2841</f>
        <v>0</v>
      </c>
      <c r="Y2841" s="17" t="e">
        <f aca="false">VLOOKUP(X2841,Sheet2!A:B,2,0)</f>
        <v>#N/A</v>
      </c>
      <c r="Z2841" s="17"/>
      <c r="AA2841" s="17"/>
      <c r="AB2841" s="17" t="s">
        <v>41</v>
      </c>
      <c r="AC2841" s="0" t="str">
        <f aca="false">LEFT(G2841,2)</f>
        <v/>
      </c>
    </row>
    <row r="2842" customFormat="false" ht="15" hidden="false" customHeight="false" outlineLevel="0" collapsed="false">
      <c r="A2842" s="13" t="n">
        <f aca="false">1+A2841</f>
        <v>2840</v>
      </c>
      <c r="B2842" s="14" t="n">
        <v>100</v>
      </c>
      <c r="C2842" s="15"/>
      <c r="D2842" s="16" t="s">
        <v>64</v>
      </c>
      <c r="E2842" s="17" t="s">
        <v>47</v>
      </c>
      <c r="F2842" s="18" t="s">
        <v>34</v>
      </c>
      <c r="G2842" s="19"/>
      <c r="H2842" s="17" t="s">
        <v>35</v>
      </c>
      <c r="I2842" s="17" t="s">
        <v>44</v>
      </c>
      <c r="J2842" s="17"/>
      <c r="K2842" s="17" t="e">
        <f aca="false">VLOOKUP(J2842,Sheet2!A:B,2,0)</f>
        <v>#N/A</v>
      </c>
      <c r="L2842" s="17" t="n">
        <v>5</v>
      </c>
      <c r="M2842" s="17" t="str">
        <f aca="false">VLOOKUP(L2842,Sheet2!D:E,2,0)</f>
        <v>Main Processor CPU BGA</v>
      </c>
      <c r="N2842" s="17" t="n">
        <v>1</v>
      </c>
      <c r="O2842" s="17" t="str">
        <f aca="false">VLOOKUP(N2842,Sheet2!G:H,2,0)</f>
        <v>Dead</v>
      </c>
      <c r="P2842" s="17" t="n">
        <v>11</v>
      </c>
      <c r="Q2842" s="17" t="str">
        <f aca="false">VLOOKUP(P2842,Sheet2!J:K,2,0)</f>
        <v>IR Declared due to CID -TA</v>
      </c>
      <c r="R2842" s="17" t="s">
        <v>35</v>
      </c>
      <c r="S2842" s="17" t="str">
        <f aca="false">VLOOKUP(R2842,Sheet2!N:O,2,0)</f>
        <v>IREPARABLE</v>
      </c>
      <c r="T2842" s="18" t="str">
        <f aca="false">VLOOKUP(P2842,Sheet2!Q:R,2,0)</f>
        <v>IR Normal - Track burn out</v>
      </c>
      <c r="U2842" s="20" t="s">
        <v>41</v>
      </c>
      <c r="V2842" s="17"/>
      <c r="W2842" s="20" t="e">
        <f aca="false">VLOOKUP(V2842,Sheet2!Q:R,2,0)</f>
        <v>#N/A</v>
      </c>
      <c r="X2842" s="17" t="n">
        <f aca="false">J2842</f>
        <v>0</v>
      </c>
      <c r="Y2842" s="17" t="e">
        <f aca="false">VLOOKUP(X2842,Sheet2!A:B,2,0)</f>
        <v>#N/A</v>
      </c>
      <c r="Z2842" s="17"/>
      <c r="AA2842" s="17"/>
      <c r="AB2842" s="17" t="s">
        <v>41</v>
      </c>
      <c r="AC2842" s="0" t="str">
        <f aca="false">LEFT(G2842,2)</f>
        <v/>
      </c>
    </row>
    <row r="2843" customFormat="false" ht="15" hidden="false" customHeight="false" outlineLevel="0" collapsed="false">
      <c r="A2843" s="13" t="n">
        <f aca="false">1+A2842</f>
        <v>2841</v>
      </c>
      <c r="B2843" s="14" t="n">
        <v>100</v>
      </c>
      <c r="C2843" s="15"/>
      <c r="D2843" s="16" t="s">
        <v>64</v>
      </c>
      <c r="E2843" s="17" t="s">
        <v>47</v>
      </c>
      <c r="F2843" s="18" t="s">
        <v>34</v>
      </c>
      <c r="G2843" s="19"/>
      <c r="H2843" s="17" t="s">
        <v>35</v>
      </c>
      <c r="I2843" s="17" t="s">
        <v>44</v>
      </c>
      <c r="J2843" s="17"/>
      <c r="K2843" s="17" t="e">
        <f aca="false">VLOOKUP(J2843,Sheet2!A:B,2,0)</f>
        <v>#N/A</v>
      </c>
      <c r="L2843" s="17" t="n">
        <v>5</v>
      </c>
      <c r="M2843" s="17" t="str">
        <f aca="false">VLOOKUP(L2843,Sheet2!D:E,2,0)</f>
        <v>Main Processor CPU BGA</v>
      </c>
      <c r="N2843" s="17" t="n">
        <v>1</v>
      </c>
      <c r="O2843" s="17" t="str">
        <f aca="false">VLOOKUP(N2843,Sheet2!G:H,2,0)</f>
        <v>Dead</v>
      </c>
      <c r="P2843" s="17" t="n">
        <v>11</v>
      </c>
      <c r="Q2843" s="17" t="str">
        <f aca="false">VLOOKUP(P2843,Sheet2!J:K,2,0)</f>
        <v>IR Declared due to CID -TA</v>
      </c>
      <c r="R2843" s="17" t="s">
        <v>35</v>
      </c>
      <c r="S2843" s="17" t="str">
        <f aca="false">VLOOKUP(R2843,Sheet2!N:O,2,0)</f>
        <v>IREPARABLE</v>
      </c>
      <c r="T2843" s="18" t="str">
        <f aca="false">VLOOKUP(P2843,Sheet2!Q:R,2,0)</f>
        <v>IR Normal - Track burn out</v>
      </c>
      <c r="U2843" s="20" t="s">
        <v>41</v>
      </c>
      <c r="V2843" s="17"/>
      <c r="W2843" s="20" t="e">
        <f aca="false">VLOOKUP(V2843,Sheet2!Q:R,2,0)</f>
        <v>#N/A</v>
      </c>
      <c r="X2843" s="17" t="n">
        <f aca="false">J2843</f>
        <v>0</v>
      </c>
      <c r="Y2843" s="17" t="e">
        <f aca="false">VLOOKUP(X2843,Sheet2!A:B,2,0)</f>
        <v>#N/A</v>
      </c>
      <c r="Z2843" s="17"/>
      <c r="AA2843" s="17"/>
      <c r="AB2843" s="17" t="s">
        <v>41</v>
      </c>
      <c r="AC2843" s="0" t="str">
        <f aca="false">LEFT(G2843,2)</f>
        <v/>
      </c>
    </row>
    <row r="2844" customFormat="false" ht="15" hidden="false" customHeight="false" outlineLevel="0" collapsed="false">
      <c r="A2844" s="13" t="n">
        <f aca="false">1+A2843</f>
        <v>2842</v>
      </c>
      <c r="B2844" s="14" t="n">
        <v>100</v>
      </c>
      <c r="C2844" s="15"/>
      <c r="D2844" s="16" t="s">
        <v>64</v>
      </c>
      <c r="E2844" s="17" t="s">
        <v>47</v>
      </c>
      <c r="F2844" s="18" t="s">
        <v>34</v>
      </c>
      <c r="G2844" s="19"/>
      <c r="H2844" s="17" t="s">
        <v>35</v>
      </c>
      <c r="I2844" s="17" t="s">
        <v>44</v>
      </c>
      <c r="J2844" s="17"/>
      <c r="K2844" s="17" t="e">
        <f aca="false">VLOOKUP(J2844,Sheet2!A:B,2,0)</f>
        <v>#N/A</v>
      </c>
      <c r="L2844" s="17" t="n">
        <v>5</v>
      </c>
      <c r="M2844" s="17" t="str">
        <f aca="false">VLOOKUP(L2844,Sheet2!D:E,2,0)</f>
        <v>Main Processor CPU BGA</v>
      </c>
      <c r="N2844" s="17" t="n">
        <v>1</v>
      </c>
      <c r="O2844" s="17" t="str">
        <f aca="false">VLOOKUP(N2844,Sheet2!G:H,2,0)</f>
        <v>Dead</v>
      </c>
      <c r="P2844" s="17" t="n">
        <v>11</v>
      </c>
      <c r="Q2844" s="17" t="str">
        <f aca="false">VLOOKUP(P2844,Sheet2!J:K,2,0)</f>
        <v>IR Declared due to CID -TA</v>
      </c>
      <c r="R2844" s="17" t="s">
        <v>35</v>
      </c>
      <c r="S2844" s="17" t="str">
        <f aca="false">VLOOKUP(R2844,Sheet2!N:O,2,0)</f>
        <v>IREPARABLE</v>
      </c>
      <c r="T2844" s="18" t="str">
        <f aca="false">VLOOKUP(P2844,Sheet2!Q:R,2,0)</f>
        <v>IR Normal - Track burn out</v>
      </c>
      <c r="U2844" s="20" t="s">
        <v>41</v>
      </c>
      <c r="V2844" s="17"/>
      <c r="W2844" s="20" t="e">
        <f aca="false">VLOOKUP(V2844,Sheet2!Q:R,2,0)</f>
        <v>#N/A</v>
      </c>
      <c r="X2844" s="17" t="n">
        <f aca="false">J2844</f>
        <v>0</v>
      </c>
      <c r="Y2844" s="17" t="e">
        <f aca="false">VLOOKUP(X2844,Sheet2!A:B,2,0)</f>
        <v>#N/A</v>
      </c>
      <c r="Z2844" s="17"/>
      <c r="AA2844" s="17"/>
      <c r="AB2844" s="17" t="s">
        <v>41</v>
      </c>
      <c r="AC2844" s="0" t="str">
        <f aca="false">LEFT(G2844,2)</f>
        <v/>
      </c>
    </row>
    <row r="2845" customFormat="false" ht="15" hidden="false" customHeight="false" outlineLevel="0" collapsed="false">
      <c r="A2845" s="13" t="n">
        <f aca="false">1+A2844</f>
        <v>2843</v>
      </c>
      <c r="B2845" s="14" t="n">
        <v>100</v>
      </c>
      <c r="C2845" s="15"/>
      <c r="D2845" s="16" t="s">
        <v>64</v>
      </c>
      <c r="E2845" s="17" t="s">
        <v>47</v>
      </c>
      <c r="F2845" s="18" t="s">
        <v>34</v>
      </c>
      <c r="G2845" s="19"/>
      <c r="H2845" s="17" t="s">
        <v>35</v>
      </c>
      <c r="I2845" s="17" t="s">
        <v>44</v>
      </c>
      <c r="J2845" s="17"/>
      <c r="K2845" s="17" t="e">
        <f aca="false">VLOOKUP(J2845,Sheet2!A:B,2,0)</f>
        <v>#N/A</v>
      </c>
      <c r="L2845" s="17" t="n">
        <v>5</v>
      </c>
      <c r="M2845" s="17" t="str">
        <f aca="false">VLOOKUP(L2845,Sheet2!D:E,2,0)</f>
        <v>Main Processor CPU BGA</v>
      </c>
      <c r="N2845" s="17" t="n">
        <v>1</v>
      </c>
      <c r="O2845" s="17" t="str">
        <f aca="false">VLOOKUP(N2845,Sheet2!G:H,2,0)</f>
        <v>Dead</v>
      </c>
      <c r="P2845" s="17" t="n">
        <v>11</v>
      </c>
      <c r="Q2845" s="17" t="str">
        <f aca="false">VLOOKUP(P2845,Sheet2!J:K,2,0)</f>
        <v>IR Declared due to CID -TA</v>
      </c>
      <c r="R2845" s="17" t="s">
        <v>35</v>
      </c>
      <c r="S2845" s="17" t="str">
        <f aca="false">VLOOKUP(R2845,Sheet2!N:O,2,0)</f>
        <v>IREPARABLE</v>
      </c>
      <c r="T2845" s="18" t="str">
        <f aca="false">VLOOKUP(P2845,Sheet2!Q:R,2,0)</f>
        <v>IR Normal - Track burn out</v>
      </c>
      <c r="U2845" s="20" t="s">
        <v>41</v>
      </c>
      <c r="V2845" s="17"/>
      <c r="W2845" s="20" t="e">
        <f aca="false">VLOOKUP(V2845,Sheet2!Q:R,2,0)</f>
        <v>#N/A</v>
      </c>
      <c r="X2845" s="17" t="n">
        <f aca="false">J2845</f>
        <v>0</v>
      </c>
      <c r="Y2845" s="17" t="e">
        <f aca="false">VLOOKUP(X2845,Sheet2!A:B,2,0)</f>
        <v>#N/A</v>
      </c>
      <c r="Z2845" s="17"/>
      <c r="AA2845" s="17"/>
      <c r="AB2845" s="17" t="s">
        <v>41</v>
      </c>
      <c r="AC2845" s="0" t="str">
        <f aca="false">LEFT(G2845,2)</f>
        <v/>
      </c>
    </row>
    <row r="2846" customFormat="false" ht="15" hidden="false" customHeight="false" outlineLevel="0" collapsed="false">
      <c r="A2846" s="13" t="n">
        <f aca="false">1+A2845</f>
        <v>2844</v>
      </c>
      <c r="B2846" s="14" t="n">
        <v>100</v>
      </c>
      <c r="C2846" s="15"/>
      <c r="D2846" s="16" t="s">
        <v>64</v>
      </c>
      <c r="E2846" s="17" t="s">
        <v>47</v>
      </c>
      <c r="F2846" s="18" t="s">
        <v>34</v>
      </c>
      <c r="G2846" s="19"/>
      <c r="H2846" s="17" t="s">
        <v>35</v>
      </c>
      <c r="I2846" s="17" t="s">
        <v>44</v>
      </c>
      <c r="J2846" s="17"/>
      <c r="K2846" s="17" t="e">
        <f aca="false">VLOOKUP(J2846,Sheet2!A:B,2,0)</f>
        <v>#N/A</v>
      </c>
      <c r="L2846" s="17" t="n">
        <v>5</v>
      </c>
      <c r="M2846" s="17" t="str">
        <f aca="false">VLOOKUP(L2846,Sheet2!D:E,2,0)</f>
        <v>Main Processor CPU BGA</v>
      </c>
      <c r="N2846" s="17" t="n">
        <v>1</v>
      </c>
      <c r="O2846" s="17" t="str">
        <f aca="false">VLOOKUP(N2846,Sheet2!G:H,2,0)</f>
        <v>Dead</v>
      </c>
      <c r="P2846" s="17" t="n">
        <v>11</v>
      </c>
      <c r="Q2846" s="17" t="str">
        <f aca="false">VLOOKUP(P2846,Sheet2!J:K,2,0)</f>
        <v>IR Declared due to CID -TA</v>
      </c>
      <c r="R2846" s="17" t="s">
        <v>35</v>
      </c>
      <c r="S2846" s="17" t="str">
        <f aca="false">VLOOKUP(R2846,Sheet2!N:O,2,0)</f>
        <v>IREPARABLE</v>
      </c>
      <c r="T2846" s="18" t="str">
        <f aca="false">VLOOKUP(P2846,Sheet2!Q:R,2,0)</f>
        <v>IR Normal - Track burn out</v>
      </c>
      <c r="U2846" s="20" t="s">
        <v>41</v>
      </c>
      <c r="V2846" s="17"/>
      <c r="W2846" s="20" t="e">
        <f aca="false">VLOOKUP(V2846,Sheet2!Q:R,2,0)</f>
        <v>#N/A</v>
      </c>
      <c r="X2846" s="17" t="n">
        <f aca="false">J2846</f>
        <v>0</v>
      </c>
      <c r="Y2846" s="17" t="e">
        <f aca="false">VLOOKUP(X2846,Sheet2!A:B,2,0)</f>
        <v>#N/A</v>
      </c>
      <c r="Z2846" s="17"/>
      <c r="AA2846" s="17"/>
      <c r="AB2846" s="17" t="s">
        <v>41</v>
      </c>
      <c r="AC2846" s="0" t="str">
        <f aca="false">LEFT(G2846,2)</f>
        <v/>
      </c>
    </row>
    <row r="2847" customFormat="false" ht="15" hidden="false" customHeight="false" outlineLevel="0" collapsed="false">
      <c r="A2847" s="13" t="n">
        <f aca="false">1+A2846</f>
        <v>2845</v>
      </c>
      <c r="B2847" s="14" t="n">
        <v>100</v>
      </c>
      <c r="C2847" s="15"/>
      <c r="D2847" s="16" t="s">
        <v>64</v>
      </c>
      <c r="E2847" s="17" t="s">
        <v>47</v>
      </c>
      <c r="F2847" s="18" t="s">
        <v>34</v>
      </c>
      <c r="G2847" s="19"/>
      <c r="H2847" s="17" t="s">
        <v>35</v>
      </c>
      <c r="I2847" s="17" t="s">
        <v>44</v>
      </c>
      <c r="J2847" s="17"/>
      <c r="K2847" s="17" t="e">
        <f aca="false">VLOOKUP(J2847,Sheet2!A:B,2,0)</f>
        <v>#N/A</v>
      </c>
      <c r="L2847" s="17" t="n">
        <v>5</v>
      </c>
      <c r="M2847" s="17" t="str">
        <f aca="false">VLOOKUP(L2847,Sheet2!D:E,2,0)</f>
        <v>Main Processor CPU BGA</v>
      </c>
      <c r="N2847" s="17" t="n">
        <v>1</v>
      </c>
      <c r="O2847" s="17" t="str">
        <f aca="false">VLOOKUP(N2847,Sheet2!G:H,2,0)</f>
        <v>Dead</v>
      </c>
      <c r="P2847" s="17" t="n">
        <v>11</v>
      </c>
      <c r="Q2847" s="17" t="str">
        <f aca="false">VLOOKUP(P2847,Sheet2!J:K,2,0)</f>
        <v>IR Declared due to CID -TA</v>
      </c>
      <c r="R2847" s="17" t="s">
        <v>35</v>
      </c>
      <c r="S2847" s="17" t="str">
        <f aca="false">VLOOKUP(R2847,Sheet2!N:O,2,0)</f>
        <v>IREPARABLE</v>
      </c>
      <c r="T2847" s="18" t="str">
        <f aca="false">VLOOKUP(P2847,Sheet2!Q:R,2,0)</f>
        <v>IR Normal - Track burn out</v>
      </c>
      <c r="U2847" s="20" t="s">
        <v>41</v>
      </c>
      <c r="V2847" s="17"/>
      <c r="W2847" s="20" t="e">
        <f aca="false">VLOOKUP(V2847,Sheet2!Q:R,2,0)</f>
        <v>#N/A</v>
      </c>
      <c r="X2847" s="17" t="n">
        <f aca="false">J2847</f>
        <v>0</v>
      </c>
      <c r="Y2847" s="17" t="e">
        <f aca="false">VLOOKUP(X2847,Sheet2!A:B,2,0)</f>
        <v>#N/A</v>
      </c>
      <c r="Z2847" s="17"/>
      <c r="AA2847" s="17"/>
      <c r="AB2847" s="17" t="s">
        <v>41</v>
      </c>
      <c r="AC2847" s="0" t="str">
        <f aca="false">LEFT(G2847,2)</f>
        <v/>
      </c>
    </row>
    <row r="2848" customFormat="false" ht="15" hidden="false" customHeight="false" outlineLevel="0" collapsed="false">
      <c r="A2848" s="13" t="n">
        <f aca="false">1+A2847</f>
        <v>2846</v>
      </c>
      <c r="B2848" s="14" t="n">
        <v>100</v>
      </c>
      <c r="C2848" s="15"/>
      <c r="D2848" s="16" t="s">
        <v>64</v>
      </c>
      <c r="E2848" s="17" t="s">
        <v>47</v>
      </c>
      <c r="F2848" s="18" t="s">
        <v>34</v>
      </c>
      <c r="G2848" s="19"/>
      <c r="H2848" s="17" t="s">
        <v>35</v>
      </c>
      <c r="I2848" s="17" t="s">
        <v>44</v>
      </c>
      <c r="J2848" s="17"/>
      <c r="K2848" s="17" t="e">
        <f aca="false">VLOOKUP(J2848,Sheet2!A:B,2,0)</f>
        <v>#N/A</v>
      </c>
      <c r="L2848" s="17" t="n">
        <v>5</v>
      </c>
      <c r="M2848" s="17" t="str">
        <f aca="false">VLOOKUP(L2848,Sheet2!D:E,2,0)</f>
        <v>Main Processor CPU BGA</v>
      </c>
      <c r="N2848" s="17" t="n">
        <v>1</v>
      </c>
      <c r="O2848" s="17" t="str">
        <f aca="false">VLOOKUP(N2848,Sheet2!G:H,2,0)</f>
        <v>Dead</v>
      </c>
      <c r="P2848" s="17" t="n">
        <v>11</v>
      </c>
      <c r="Q2848" s="17" t="str">
        <f aca="false">VLOOKUP(P2848,Sheet2!J:K,2,0)</f>
        <v>IR Declared due to CID -TA</v>
      </c>
      <c r="R2848" s="17" t="s">
        <v>35</v>
      </c>
      <c r="S2848" s="17" t="str">
        <f aca="false">VLOOKUP(R2848,Sheet2!N:O,2,0)</f>
        <v>IREPARABLE</v>
      </c>
      <c r="T2848" s="18" t="str">
        <f aca="false">VLOOKUP(P2848,Sheet2!Q:R,2,0)</f>
        <v>IR Normal - Track burn out</v>
      </c>
      <c r="U2848" s="20" t="s">
        <v>41</v>
      </c>
      <c r="V2848" s="17"/>
      <c r="W2848" s="20" t="e">
        <f aca="false">VLOOKUP(V2848,Sheet2!Q:R,2,0)</f>
        <v>#N/A</v>
      </c>
      <c r="X2848" s="17" t="n">
        <f aca="false">J2848</f>
        <v>0</v>
      </c>
      <c r="Y2848" s="17" t="e">
        <f aca="false">VLOOKUP(X2848,Sheet2!A:B,2,0)</f>
        <v>#N/A</v>
      </c>
      <c r="Z2848" s="17"/>
      <c r="AA2848" s="17"/>
      <c r="AB2848" s="17" t="s">
        <v>41</v>
      </c>
      <c r="AC2848" s="0" t="str">
        <f aca="false">LEFT(G2848,2)</f>
        <v/>
      </c>
    </row>
    <row r="2849" customFormat="false" ht="15" hidden="false" customHeight="false" outlineLevel="0" collapsed="false">
      <c r="A2849" s="13" t="n">
        <f aca="false">1+A2848</f>
        <v>2847</v>
      </c>
      <c r="B2849" s="14" t="n">
        <v>100</v>
      </c>
      <c r="C2849" s="15"/>
      <c r="D2849" s="16" t="s">
        <v>64</v>
      </c>
      <c r="E2849" s="17" t="s">
        <v>47</v>
      </c>
      <c r="F2849" s="18" t="s">
        <v>34</v>
      </c>
      <c r="G2849" s="19"/>
      <c r="H2849" s="17" t="s">
        <v>35</v>
      </c>
      <c r="I2849" s="17" t="s">
        <v>44</v>
      </c>
      <c r="J2849" s="17"/>
      <c r="K2849" s="17" t="e">
        <f aca="false">VLOOKUP(J2849,Sheet2!A:B,2,0)</f>
        <v>#N/A</v>
      </c>
      <c r="L2849" s="17" t="n">
        <v>5</v>
      </c>
      <c r="M2849" s="17" t="str">
        <f aca="false">VLOOKUP(L2849,Sheet2!D:E,2,0)</f>
        <v>Main Processor CPU BGA</v>
      </c>
      <c r="N2849" s="17" t="n">
        <v>1</v>
      </c>
      <c r="O2849" s="17" t="str">
        <f aca="false">VLOOKUP(N2849,Sheet2!G:H,2,0)</f>
        <v>Dead</v>
      </c>
      <c r="P2849" s="17" t="n">
        <v>11</v>
      </c>
      <c r="Q2849" s="17" t="str">
        <f aca="false">VLOOKUP(P2849,Sheet2!J:K,2,0)</f>
        <v>IR Declared due to CID -TA</v>
      </c>
      <c r="R2849" s="17" t="s">
        <v>35</v>
      </c>
      <c r="S2849" s="17" t="str">
        <f aca="false">VLOOKUP(R2849,Sheet2!N:O,2,0)</f>
        <v>IREPARABLE</v>
      </c>
      <c r="T2849" s="18" t="str">
        <f aca="false">VLOOKUP(P2849,Sheet2!Q:R,2,0)</f>
        <v>IR Normal - Track burn out</v>
      </c>
      <c r="U2849" s="20" t="s">
        <v>41</v>
      </c>
      <c r="V2849" s="17"/>
      <c r="W2849" s="20" t="e">
        <f aca="false">VLOOKUP(V2849,Sheet2!Q:R,2,0)</f>
        <v>#N/A</v>
      </c>
      <c r="X2849" s="17" t="n">
        <f aca="false">J2849</f>
        <v>0</v>
      </c>
      <c r="Y2849" s="17" t="e">
        <f aca="false">VLOOKUP(X2849,Sheet2!A:B,2,0)</f>
        <v>#N/A</v>
      </c>
      <c r="Z2849" s="17"/>
      <c r="AA2849" s="17"/>
      <c r="AB2849" s="17" t="s">
        <v>41</v>
      </c>
      <c r="AC2849" s="0" t="str">
        <f aca="false">LEFT(G2849,2)</f>
        <v/>
      </c>
    </row>
    <row r="2850" customFormat="false" ht="15" hidden="false" customHeight="false" outlineLevel="0" collapsed="false">
      <c r="A2850" s="13" t="n">
        <f aca="false">1+A2849</f>
        <v>2848</v>
      </c>
      <c r="B2850" s="14" t="n">
        <v>100</v>
      </c>
      <c r="C2850" s="15"/>
      <c r="D2850" s="16" t="s">
        <v>64</v>
      </c>
      <c r="E2850" s="17" t="s">
        <v>47</v>
      </c>
      <c r="F2850" s="18" t="s">
        <v>34</v>
      </c>
      <c r="G2850" s="19"/>
      <c r="H2850" s="17" t="s">
        <v>35</v>
      </c>
      <c r="I2850" s="17" t="s">
        <v>44</v>
      </c>
      <c r="J2850" s="17"/>
      <c r="K2850" s="17" t="e">
        <f aca="false">VLOOKUP(J2850,Sheet2!A:B,2,0)</f>
        <v>#N/A</v>
      </c>
      <c r="L2850" s="17" t="n">
        <v>5</v>
      </c>
      <c r="M2850" s="17" t="str">
        <f aca="false">VLOOKUP(L2850,Sheet2!D:E,2,0)</f>
        <v>Main Processor CPU BGA</v>
      </c>
      <c r="N2850" s="17" t="n">
        <v>1</v>
      </c>
      <c r="O2850" s="17" t="str">
        <f aca="false">VLOOKUP(N2850,Sheet2!G:H,2,0)</f>
        <v>Dead</v>
      </c>
      <c r="P2850" s="17" t="n">
        <v>11</v>
      </c>
      <c r="Q2850" s="17" t="str">
        <f aca="false">VLOOKUP(P2850,Sheet2!J:K,2,0)</f>
        <v>IR Declared due to CID -TA</v>
      </c>
      <c r="R2850" s="17" t="s">
        <v>35</v>
      </c>
      <c r="S2850" s="17" t="str">
        <f aca="false">VLOOKUP(R2850,Sheet2!N:O,2,0)</f>
        <v>IREPARABLE</v>
      </c>
      <c r="T2850" s="18" t="str">
        <f aca="false">VLOOKUP(P2850,Sheet2!Q:R,2,0)</f>
        <v>IR Normal - Track burn out</v>
      </c>
      <c r="U2850" s="20" t="s">
        <v>41</v>
      </c>
      <c r="V2850" s="17"/>
      <c r="W2850" s="20" t="e">
        <f aca="false">VLOOKUP(V2850,Sheet2!Q:R,2,0)</f>
        <v>#N/A</v>
      </c>
      <c r="X2850" s="17" t="n">
        <f aca="false">J2850</f>
        <v>0</v>
      </c>
      <c r="Y2850" s="17" t="e">
        <f aca="false">VLOOKUP(X2850,Sheet2!A:B,2,0)</f>
        <v>#N/A</v>
      </c>
      <c r="Z2850" s="17"/>
      <c r="AA2850" s="17"/>
      <c r="AB2850" s="17" t="s">
        <v>41</v>
      </c>
      <c r="AC2850" s="0" t="str">
        <f aca="false">LEFT(G2850,2)</f>
        <v/>
      </c>
    </row>
    <row r="2851" customFormat="false" ht="15" hidden="false" customHeight="false" outlineLevel="0" collapsed="false">
      <c r="A2851" s="13" t="n">
        <f aca="false">1+A2850</f>
        <v>2849</v>
      </c>
      <c r="B2851" s="14" t="n">
        <v>100</v>
      </c>
      <c r="C2851" s="15"/>
      <c r="D2851" s="16" t="s">
        <v>64</v>
      </c>
      <c r="E2851" s="17" t="s">
        <v>47</v>
      </c>
      <c r="F2851" s="18" t="s">
        <v>34</v>
      </c>
      <c r="G2851" s="19"/>
      <c r="H2851" s="17" t="s">
        <v>35</v>
      </c>
      <c r="I2851" s="17" t="s">
        <v>44</v>
      </c>
      <c r="J2851" s="17"/>
      <c r="K2851" s="17" t="e">
        <f aca="false">VLOOKUP(J2851,Sheet2!A:B,2,0)</f>
        <v>#N/A</v>
      </c>
      <c r="L2851" s="17" t="n">
        <v>5</v>
      </c>
      <c r="M2851" s="17" t="str">
        <f aca="false">VLOOKUP(L2851,Sheet2!D:E,2,0)</f>
        <v>Main Processor CPU BGA</v>
      </c>
      <c r="N2851" s="17" t="n">
        <v>1</v>
      </c>
      <c r="O2851" s="17" t="str">
        <f aca="false">VLOOKUP(N2851,Sheet2!G:H,2,0)</f>
        <v>Dead</v>
      </c>
      <c r="P2851" s="17" t="n">
        <v>11</v>
      </c>
      <c r="Q2851" s="17" t="str">
        <f aca="false">VLOOKUP(P2851,Sheet2!J:K,2,0)</f>
        <v>IR Declared due to CID -TA</v>
      </c>
      <c r="R2851" s="17" t="s">
        <v>35</v>
      </c>
      <c r="S2851" s="17" t="str">
        <f aca="false">VLOOKUP(R2851,Sheet2!N:O,2,0)</f>
        <v>IREPARABLE</v>
      </c>
      <c r="T2851" s="18" t="str">
        <f aca="false">VLOOKUP(P2851,Sheet2!Q:R,2,0)</f>
        <v>IR Normal - Track burn out</v>
      </c>
      <c r="U2851" s="20" t="s">
        <v>41</v>
      </c>
      <c r="V2851" s="17"/>
      <c r="W2851" s="20" t="e">
        <f aca="false">VLOOKUP(V2851,Sheet2!Q:R,2,0)</f>
        <v>#N/A</v>
      </c>
      <c r="X2851" s="17" t="n">
        <f aca="false">J2851</f>
        <v>0</v>
      </c>
      <c r="Y2851" s="17" t="e">
        <f aca="false">VLOOKUP(X2851,Sheet2!A:B,2,0)</f>
        <v>#N/A</v>
      </c>
      <c r="Z2851" s="17"/>
      <c r="AA2851" s="17"/>
      <c r="AB2851" s="17" t="s">
        <v>41</v>
      </c>
      <c r="AC2851" s="0" t="str">
        <f aca="false">LEFT(G2851,2)</f>
        <v/>
      </c>
    </row>
    <row r="2852" customFormat="false" ht="15" hidden="false" customHeight="false" outlineLevel="0" collapsed="false">
      <c r="A2852" s="13" t="n">
        <f aca="false">1+A2851</f>
        <v>2850</v>
      </c>
      <c r="B2852" s="14" t="n">
        <v>100</v>
      </c>
      <c r="C2852" s="15"/>
      <c r="D2852" s="16" t="s">
        <v>64</v>
      </c>
      <c r="E2852" s="17" t="s">
        <v>47</v>
      </c>
      <c r="F2852" s="18" t="s">
        <v>34</v>
      </c>
      <c r="G2852" s="19"/>
      <c r="H2852" s="17" t="s">
        <v>35</v>
      </c>
      <c r="I2852" s="17" t="s">
        <v>44</v>
      </c>
      <c r="J2852" s="17"/>
      <c r="K2852" s="17" t="e">
        <f aca="false">VLOOKUP(J2852,Sheet2!A:B,2,0)</f>
        <v>#N/A</v>
      </c>
      <c r="L2852" s="17" t="n">
        <v>5</v>
      </c>
      <c r="M2852" s="17" t="str">
        <f aca="false">VLOOKUP(L2852,Sheet2!D:E,2,0)</f>
        <v>Main Processor CPU BGA</v>
      </c>
      <c r="N2852" s="17" t="n">
        <v>1</v>
      </c>
      <c r="O2852" s="17" t="str">
        <f aca="false">VLOOKUP(N2852,Sheet2!G:H,2,0)</f>
        <v>Dead</v>
      </c>
      <c r="P2852" s="17" t="n">
        <v>11</v>
      </c>
      <c r="Q2852" s="17" t="str">
        <f aca="false">VLOOKUP(P2852,Sheet2!J:K,2,0)</f>
        <v>IR Declared due to CID -TA</v>
      </c>
      <c r="R2852" s="17" t="s">
        <v>35</v>
      </c>
      <c r="S2852" s="17" t="str">
        <f aca="false">VLOOKUP(R2852,Sheet2!N:O,2,0)</f>
        <v>IREPARABLE</v>
      </c>
      <c r="T2852" s="18" t="str">
        <f aca="false">VLOOKUP(P2852,Sheet2!Q:R,2,0)</f>
        <v>IR Normal - Track burn out</v>
      </c>
      <c r="U2852" s="20" t="s">
        <v>41</v>
      </c>
      <c r="V2852" s="17"/>
      <c r="W2852" s="20" t="e">
        <f aca="false">VLOOKUP(V2852,Sheet2!Q:R,2,0)</f>
        <v>#N/A</v>
      </c>
      <c r="X2852" s="17" t="n">
        <f aca="false">J2852</f>
        <v>0</v>
      </c>
      <c r="Y2852" s="17" t="e">
        <f aca="false">VLOOKUP(X2852,Sheet2!A:B,2,0)</f>
        <v>#N/A</v>
      </c>
      <c r="Z2852" s="17"/>
      <c r="AA2852" s="17"/>
      <c r="AB2852" s="17" t="s">
        <v>41</v>
      </c>
      <c r="AC2852" s="0" t="str">
        <f aca="false">LEFT(G2852,2)</f>
        <v/>
      </c>
    </row>
    <row r="2853" customFormat="false" ht="15" hidden="false" customHeight="false" outlineLevel="0" collapsed="false">
      <c r="A2853" s="13" t="n">
        <f aca="false">1+A2852</f>
        <v>2851</v>
      </c>
      <c r="B2853" s="14" t="n">
        <v>100</v>
      </c>
      <c r="C2853" s="15"/>
      <c r="D2853" s="16" t="s">
        <v>64</v>
      </c>
      <c r="E2853" s="17" t="s">
        <v>47</v>
      </c>
      <c r="F2853" s="18" t="s">
        <v>34</v>
      </c>
      <c r="G2853" s="19"/>
      <c r="H2853" s="17" t="s">
        <v>35</v>
      </c>
      <c r="I2853" s="17" t="s">
        <v>44</v>
      </c>
      <c r="J2853" s="17"/>
      <c r="K2853" s="17" t="e">
        <f aca="false">VLOOKUP(J2853,Sheet2!A:B,2,0)</f>
        <v>#N/A</v>
      </c>
      <c r="L2853" s="17" t="n">
        <v>5</v>
      </c>
      <c r="M2853" s="17" t="str">
        <f aca="false">VLOOKUP(L2853,Sheet2!D:E,2,0)</f>
        <v>Main Processor CPU BGA</v>
      </c>
      <c r="N2853" s="17" t="n">
        <v>1</v>
      </c>
      <c r="O2853" s="17" t="str">
        <f aca="false">VLOOKUP(N2853,Sheet2!G:H,2,0)</f>
        <v>Dead</v>
      </c>
      <c r="P2853" s="17" t="n">
        <v>11</v>
      </c>
      <c r="Q2853" s="17" t="str">
        <f aca="false">VLOOKUP(P2853,Sheet2!J:K,2,0)</f>
        <v>IR Declared due to CID -TA</v>
      </c>
      <c r="R2853" s="17" t="s">
        <v>35</v>
      </c>
      <c r="S2853" s="17" t="str">
        <f aca="false">VLOOKUP(R2853,Sheet2!N:O,2,0)</f>
        <v>IREPARABLE</v>
      </c>
      <c r="T2853" s="18" t="str">
        <f aca="false">VLOOKUP(P2853,Sheet2!Q:R,2,0)</f>
        <v>IR Normal - Track burn out</v>
      </c>
      <c r="U2853" s="20" t="s">
        <v>41</v>
      </c>
      <c r="V2853" s="17"/>
      <c r="W2853" s="20" t="e">
        <f aca="false">VLOOKUP(V2853,Sheet2!Q:R,2,0)</f>
        <v>#N/A</v>
      </c>
      <c r="X2853" s="17" t="n">
        <f aca="false">J2853</f>
        <v>0</v>
      </c>
      <c r="Y2853" s="17" t="e">
        <f aca="false">VLOOKUP(X2853,Sheet2!A:B,2,0)</f>
        <v>#N/A</v>
      </c>
      <c r="Z2853" s="17"/>
      <c r="AA2853" s="17"/>
      <c r="AB2853" s="17" t="s">
        <v>41</v>
      </c>
      <c r="AC2853" s="0" t="str">
        <f aca="false">LEFT(G2853,2)</f>
        <v/>
      </c>
    </row>
    <row r="2854" customFormat="false" ht="15" hidden="false" customHeight="false" outlineLevel="0" collapsed="false">
      <c r="A2854" s="13" t="n">
        <f aca="false">1+A2853</f>
        <v>2852</v>
      </c>
      <c r="B2854" s="14" t="n">
        <v>100</v>
      </c>
      <c r="C2854" s="15"/>
      <c r="D2854" s="16" t="s">
        <v>64</v>
      </c>
      <c r="E2854" s="17" t="s">
        <v>47</v>
      </c>
      <c r="F2854" s="18" t="s">
        <v>34</v>
      </c>
      <c r="G2854" s="19"/>
      <c r="H2854" s="17" t="s">
        <v>35</v>
      </c>
      <c r="I2854" s="17" t="s">
        <v>44</v>
      </c>
      <c r="J2854" s="17"/>
      <c r="K2854" s="17" t="e">
        <f aca="false">VLOOKUP(J2854,Sheet2!A:B,2,0)</f>
        <v>#N/A</v>
      </c>
      <c r="L2854" s="17" t="n">
        <v>5</v>
      </c>
      <c r="M2854" s="17" t="str">
        <f aca="false">VLOOKUP(L2854,Sheet2!D:E,2,0)</f>
        <v>Main Processor CPU BGA</v>
      </c>
      <c r="N2854" s="17" t="n">
        <v>1</v>
      </c>
      <c r="O2854" s="17" t="str">
        <f aca="false">VLOOKUP(N2854,Sheet2!G:H,2,0)</f>
        <v>Dead</v>
      </c>
      <c r="P2854" s="17" t="n">
        <v>11</v>
      </c>
      <c r="Q2854" s="17" t="str">
        <f aca="false">VLOOKUP(P2854,Sheet2!J:K,2,0)</f>
        <v>IR Declared due to CID -TA</v>
      </c>
      <c r="R2854" s="17" t="s">
        <v>35</v>
      </c>
      <c r="S2854" s="17" t="str">
        <f aca="false">VLOOKUP(R2854,Sheet2!N:O,2,0)</f>
        <v>IREPARABLE</v>
      </c>
      <c r="T2854" s="18" t="str">
        <f aca="false">VLOOKUP(P2854,Sheet2!Q:R,2,0)</f>
        <v>IR Normal - Track burn out</v>
      </c>
      <c r="U2854" s="20" t="s">
        <v>41</v>
      </c>
      <c r="V2854" s="17"/>
      <c r="W2854" s="20" t="e">
        <f aca="false">VLOOKUP(V2854,Sheet2!Q:R,2,0)</f>
        <v>#N/A</v>
      </c>
      <c r="X2854" s="17" t="n">
        <f aca="false">J2854</f>
        <v>0</v>
      </c>
      <c r="Y2854" s="17" t="e">
        <f aca="false">VLOOKUP(X2854,Sheet2!A:B,2,0)</f>
        <v>#N/A</v>
      </c>
      <c r="Z2854" s="17"/>
      <c r="AA2854" s="17"/>
      <c r="AB2854" s="17" t="s">
        <v>41</v>
      </c>
      <c r="AC2854" s="0" t="str">
        <f aca="false">LEFT(G2854,2)</f>
        <v/>
      </c>
    </row>
    <row r="2855" customFormat="false" ht="15" hidden="false" customHeight="false" outlineLevel="0" collapsed="false">
      <c r="A2855" s="13" t="n">
        <f aca="false">1+A2854</f>
        <v>2853</v>
      </c>
      <c r="B2855" s="14" t="n">
        <v>100</v>
      </c>
      <c r="C2855" s="15"/>
      <c r="D2855" s="16" t="s">
        <v>64</v>
      </c>
      <c r="E2855" s="17" t="s">
        <v>47</v>
      </c>
      <c r="F2855" s="18" t="s">
        <v>34</v>
      </c>
      <c r="G2855" s="19"/>
      <c r="H2855" s="17" t="s">
        <v>35</v>
      </c>
      <c r="I2855" s="17" t="s">
        <v>44</v>
      </c>
      <c r="J2855" s="17"/>
      <c r="K2855" s="17" t="e">
        <f aca="false">VLOOKUP(J2855,Sheet2!A:B,2,0)</f>
        <v>#N/A</v>
      </c>
      <c r="L2855" s="17" t="n">
        <v>5</v>
      </c>
      <c r="M2855" s="17" t="str">
        <f aca="false">VLOOKUP(L2855,Sheet2!D:E,2,0)</f>
        <v>Main Processor CPU BGA</v>
      </c>
      <c r="N2855" s="17" t="n">
        <v>1</v>
      </c>
      <c r="O2855" s="17" t="str">
        <f aca="false">VLOOKUP(N2855,Sheet2!G:H,2,0)</f>
        <v>Dead</v>
      </c>
      <c r="P2855" s="17" t="n">
        <v>11</v>
      </c>
      <c r="Q2855" s="17" t="str">
        <f aca="false">VLOOKUP(P2855,Sheet2!J:K,2,0)</f>
        <v>IR Declared due to CID -TA</v>
      </c>
      <c r="R2855" s="17" t="s">
        <v>35</v>
      </c>
      <c r="S2855" s="17" t="str">
        <f aca="false">VLOOKUP(R2855,Sheet2!N:O,2,0)</f>
        <v>IREPARABLE</v>
      </c>
      <c r="T2855" s="18" t="str">
        <f aca="false">VLOOKUP(P2855,Sheet2!Q:R,2,0)</f>
        <v>IR Normal - Track burn out</v>
      </c>
      <c r="U2855" s="20" t="s">
        <v>41</v>
      </c>
      <c r="V2855" s="17"/>
      <c r="W2855" s="20" t="e">
        <f aca="false">VLOOKUP(V2855,Sheet2!Q:R,2,0)</f>
        <v>#N/A</v>
      </c>
      <c r="X2855" s="17" t="n">
        <f aca="false">J2855</f>
        <v>0</v>
      </c>
      <c r="Y2855" s="17" t="e">
        <f aca="false">VLOOKUP(X2855,Sheet2!A:B,2,0)</f>
        <v>#N/A</v>
      </c>
      <c r="Z2855" s="17"/>
      <c r="AA2855" s="17"/>
      <c r="AB2855" s="17" t="s">
        <v>41</v>
      </c>
      <c r="AC2855" s="0" t="str">
        <f aca="false">LEFT(G2855,2)</f>
        <v/>
      </c>
    </row>
    <row r="2856" customFormat="false" ht="15" hidden="false" customHeight="false" outlineLevel="0" collapsed="false">
      <c r="A2856" s="13" t="n">
        <f aca="false">1+A2855</f>
        <v>2854</v>
      </c>
      <c r="B2856" s="14" t="n">
        <v>100</v>
      </c>
      <c r="C2856" s="15"/>
      <c r="D2856" s="16" t="s">
        <v>64</v>
      </c>
      <c r="E2856" s="17" t="s">
        <v>47</v>
      </c>
      <c r="F2856" s="18" t="s">
        <v>34</v>
      </c>
      <c r="G2856" s="19"/>
      <c r="H2856" s="17" t="s">
        <v>35</v>
      </c>
      <c r="I2856" s="17" t="s">
        <v>44</v>
      </c>
      <c r="J2856" s="17"/>
      <c r="K2856" s="17" t="e">
        <f aca="false">VLOOKUP(J2856,Sheet2!A:B,2,0)</f>
        <v>#N/A</v>
      </c>
      <c r="L2856" s="17" t="n">
        <v>5</v>
      </c>
      <c r="M2856" s="17" t="str">
        <f aca="false">VLOOKUP(L2856,Sheet2!D:E,2,0)</f>
        <v>Main Processor CPU BGA</v>
      </c>
      <c r="N2856" s="17" t="n">
        <v>1</v>
      </c>
      <c r="O2856" s="17" t="str">
        <f aca="false">VLOOKUP(N2856,Sheet2!G:H,2,0)</f>
        <v>Dead</v>
      </c>
      <c r="P2856" s="17" t="n">
        <v>11</v>
      </c>
      <c r="Q2856" s="17" t="str">
        <f aca="false">VLOOKUP(P2856,Sheet2!J:K,2,0)</f>
        <v>IR Declared due to CID -TA</v>
      </c>
      <c r="R2856" s="17" t="s">
        <v>35</v>
      </c>
      <c r="S2856" s="17" t="str">
        <f aca="false">VLOOKUP(R2856,Sheet2!N:O,2,0)</f>
        <v>IREPARABLE</v>
      </c>
      <c r="T2856" s="18" t="str">
        <f aca="false">VLOOKUP(P2856,Sheet2!Q:R,2,0)</f>
        <v>IR Normal - Track burn out</v>
      </c>
      <c r="U2856" s="20" t="s">
        <v>41</v>
      </c>
      <c r="V2856" s="17"/>
      <c r="W2856" s="20" t="e">
        <f aca="false">VLOOKUP(V2856,Sheet2!Q:R,2,0)</f>
        <v>#N/A</v>
      </c>
      <c r="X2856" s="17" t="n">
        <f aca="false">J2856</f>
        <v>0</v>
      </c>
      <c r="Y2856" s="17" t="e">
        <f aca="false">VLOOKUP(X2856,Sheet2!A:B,2,0)</f>
        <v>#N/A</v>
      </c>
      <c r="Z2856" s="17"/>
      <c r="AA2856" s="17"/>
      <c r="AB2856" s="17" t="s">
        <v>41</v>
      </c>
      <c r="AC2856" s="0" t="str">
        <f aca="false">LEFT(G2856,2)</f>
        <v/>
      </c>
    </row>
    <row r="2857" customFormat="false" ht="15" hidden="false" customHeight="false" outlineLevel="0" collapsed="false">
      <c r="A2857" s="13" t="n">
        <f aca="false">1+A2856</f>
        <v>2855</v>
      </c>
      <c r="B2857" s="14" t="n">
        <v>100</v>
      </c>
      <c r="C2857" s="15"/>
      <c r="D2857" s="16" t="s">
        <v>64</v>
      </c>
      <c r="E2857" s="17" t="s">
        <v>47</v>
      </c>
      <c r="F2857" s="18" t="s">
        <v>34</v>
      </c>
      <c r="G2857" s="19"/>
      <c r="H2857" s="17" t="s">
        <v>35</v>
      </c>
      <c r="I2857" s="17" t="s">
        <v>44</v>
      </c>
      <c r="J2857" s="17"/>
      <c r="K2857" s="17" t="e">
        <f aca="false">VLOOKUP(J2857,Sheet2!A:B,2,0)</f>
        <v>#N/A</v>
      </c>
      <c r="L2857" s="17" t="n">
        <v>5</v>
      </c>
      <c r="M2857" s="17" t="str">
        <f aca="false">VLOOKUP(L2857,Sheet2!D:E,2,0)</f>
        <v>Main Processor CPU BGA</v>
      </c>
      <c r="N2857" s="17" t="n">
        <v>1</v>
      </c>
      <c r="O2857" s="17" t="str">
        <f aca="false">VLOOKUP(N2857,Sheet2!G:H,2,0)</f>
        <v>Dead</v>
      </c>
      <c r="P2857" s="17" t="n">
        <v>11</v>
      </c>
      <c r="Q2857" s="17" t="str">
        <f aca="false">VLOOKUP(P2857,Sheet2!J:K,2,0)</f>
        <v>IR Declared due to CID -TA</v>
      </c>
      <c r="R2857" s="17" t="s">
        <v>35</v>
      </c>
      <c r="S2857" s="17" t="str">
        <f aca="false">VLOOKUP(R2857,Sheet2!N:O,2,0)</f>
        <v>IREPARABLE</v>
      </c>
      <c r="T2857" s="18" t="str">
        <f aca="false">VLOOKUP(P2857,Sheet2!Q:R,2,0)</f>
        <v>IR Normal - Track burn out</v>
      </c>
      <c r="U2857" s="20" t="s">
        <v>41</v>
      </c>
      <c r="V2857" s="17"/>
      <c r="W2857" s="20" t="e">
        <f aca="false">VLOOKUP(V2857,Sheet2!Q:R,2,0)</f>
        <v>#N/A</v>
      </c>
      <c r="X2857" s="17" t="n">
        <f aca="false">J2857</f>
        <v>0</v>
      </c>
      <c r="Y2857" s="17" t="e">
        <f aca="false">VLOOKUP(X2857,Sheet2!A:B,2,0)</f>
        <v>#N/A</v>
      </c>
      <c r="Z2857" s="17"/>
      <c r="AA2857" s="17"/>
      <c r="AB2857" s="17" t="s">
        <v>41</v>
      </c>
      <c r="AC2857" s="0" t="str">
        <f aca="false">LEFT(G2857,2)</f>
        <v/>
      </c>
    </row>
    <row r="2858" customFormat="false" ht="15" hidden="false" customHeight="false" outlineLevel="0" collapsed="false">
      <c r="A2858" s="13" t="n">
        <f aca="false">1+A2857</f>
        <v>2856</v>
      </c>
      <c r="B2858" s="14" t="n">
        <v>100</v>
      </c>
      <c r="C2858" s="15"/>
      <c r="D2858" s="16" t="s">
        <v>64</v>
      </c>
      <c r="E2858" s="17" t="s">
        <v>47</v>
      </c>
      <c r="F2858" s="18" t="s">
        <v>34</v>
      </c>
      <c r="G2858" s="19"/>
      <c r="H2858" s="17" t="s">
        <v>35</v>
      </c>
      <c r="I2858" s="17" t="s">
        <v>44</v>
      </c>
      <c r="J2858" s="17"/>
      <c r="K2858" s="17" t="e">
        <f aca="false">VLOOKUP(J2858,Sheet2!A:B,2,0)</f>
        <v>#N/A</v>
      </c>
      <c r="L2858" s="17" t="n">
        <v>5</v>
      </c>
      <c r="M2858" s="17" t="str">
        <f aca="false">VLOOKUP(L2858,Sheet2!D:E,2,0)</f>
        <v>Main Processor CPU BGA</v>
      </c>
      <c r="N2858" s="17" t="n">
        <v>1</v>
      </c>
      <c r="O2858" s="17" t="str">
        <f aca="false">VLOOKUP(N2858,Sheet2!G:H,2,0)</f>
        <v>Dead</v>
      </c>
      <c r="P2858" s="17" t="n">
        <v>11</v>
      </c>
      <c r="Q2858" s="17" t="str">
        <f aca="false">VLOOKUP(P2858,Sheet2!J:K,2,0)</f>
        <v>IR Declared due to CID -TA</v>
      </c>
      <c r="R2858" s="17" t="s">
        <v>35</v>
      </c>
      <c r="S2858" s="17" t="str">
        <f aca="false">VLOOKUP(R2858,Sheet2!N:O,2,0)</f>
        <v>IREPARABLE</v>
      </c>
      <c r="T2858" s="18" t="str">
        <f aca="false">VLOOKUP(P2858,Sheet2!Q:R,2,0)</f>
        <v>IR Normal - Track burn out</v>
      </c>
      <c r="U2858" s="20" t="s">
        <v>41</v>
      </c>
      <c r="V2858" s="17"/>
      <c r="W2858" s="20" t="e">
        <f aca="false">VLOOKUP(V2858,Sheet2!Q:R,2,0)</f>
        <v>#N/A</v>
      </c>
      <c r="X2858" s="17" t="n">
        <f aca="false">J2858</f>
        <v>0</v>
      </c>
      <c r="Y2858" s="17" t="e">
        <f aca="false">VLOOKUP(X2858,Sheet2!A:B,2,0)</f>
        <v>#N/A</v>
      </c>
      <c r="Z2858" s="17"/>
      <c r="AA2858" s="17"/>
      <c r="AB2858" s="17" t="s">
        <v>41</v>
      </c>
      <c r="AC2858" s="0" t="str">
        <f aca="false">LEFT(G2858,2)</f>
        <v/>
      </c>
    </row>
    <row r="2859" customFormat="false" ht="15" hidden="false" customHeight="false" outlineLevel="0" collapsed="false">
      <c r="A2859" s="13" t="n">
        <f aca="false">1+A2858</f>
        <v>2857</v>
      </c>
      <c r="B2859" s="14" t="n">
        <v>100</v>
      </c>
      <c r="C2859" s="15"/>
      <c r="D2859" s="16" t="s">
        <v>64</v>
      </c>
      <c r="E2859" s="17" t="s">
        <v>47</v>
      </c>
      <c r="F2859" s="18" t="s">
        <v>34</v>
      </c>
      <c r="G2859" s="19"/>
      <c r="H2859" s="17" t="s">
        <v>35</v>
      </c>
      <c r="I2859" s="17" t="s">
        <v>44</v>
      </c>
      <c r="J2859" s="17"/>
      <c r="K2859" s="17" t="e">
        <f aca="false">VLOOKUP(J2859,Sheet2!A:B,2,0)</f>
        <v>#N/A</v>
      </c>
      <c r="L2859" s="17" t="n">
        <v>5</v>
      </c>
      <c r="M2859" s="17" t="str">
        <f aca="false">VLOOKUP(L2859,Sheet2!D:E,2,0)</f>
        <v>Main Processor CPU BGA</v>
      </c>
      <c r="N2859" s="17" t="n">
        <v>1</v>
      </c>
      <c r="O2859" s="17" t="str">
        <f aca="false">VLOOKUP(N2859,Sheet2!G:H,2,0)</f>
        <v>Dead</v>
      </c>
      <c r="P2859" s="17" t="n">
        <v>11</v>
      </c>
      <c r="Q2859" s="17" t="str">
        <f aca="false">VLOOKUP(P2859,Sheet2!J:K,2,0)</f>
        <v>IR Declared due to CID -TA</v>
      </c>
      <c r="R2859" s="17" t="s">
        <v>35</v>
      </c>
      <c r="S2859" s="17" t="str">
        <f aca="false">VLOOKUP(R2859,Sheet2!N:O,2,0)</f>
        <v>IREPARABLE</v>
      </c>
      <c r="T2859" s="18" t="str">
        <f aca="false">VLOOKUP(P2859,Sheet2!Q:R,2,0)</f>
        <v>IR Normal - Track burn out</v>
      </c>
      <c r="U2859" s="20" t="s">
        <v>41</v>
      </c>
      <c r="V2859" s="17"/>
      <c r="W2859" s="20" t="e">
        <f aca="false">VLOOKUP(V2859,Sheet2!Q:R,2,0)</f>
        <v>#N/A</v>
      </c>
      <c r="X2859" s="17" t="n">
        <f aca="false">J2859</f>
        <v>0</v>
      </c>
      <c r="Y2859" s="17" t="e">
        <f aca="false">VLOOKUP(X2859,Sheet2!A:B,2,0)</f>
        <v>#N/A</v>
      </c>
      <c r="Z2859" s="17"/>
      <c r="AA2859" s="17"/>
      <c r="AB2859" s="17" t="s">
        <v>41</v>
      </c>
      <c r="AC2859" s="0" t="str">
        <f aca="false">LEFT(G2859,2)</f>
        <v/>
      </c>
    </row>
    <row r="2860" customFormat="false" ht="15" hidden="false" customHeight="false" outlineLevel="0" collapsed="false">
      <c r="A2860" s="13" t="n">
        <f aca="false">1+A2859</f>
        <v>2858</v>
      </c>
      <c r="B2860" s="14" t="n">
        <v>100</v>
      </c>
      <c r="C2860" s="15"/>
      <c r="D2860" s="16" t="s">
        <v>64</v>
      </c>
      <c r="E2860" s="17" t="s">
        <v>47</v>
      </c>
      <c r="F2860" s="18" t="s">
        <v>34</v>
      </c>
      <c r="G2860" s="19"/>
      <c r="H2860" s="17" t="s">
        <v>35</v>
      </c>
      <c r="I2860" s="17" t="s">
        <v>44</v>
      </c>
      <c r="J2860" s="17"/>
      <c r="K2860" s="17" t="e">
        <f aca="false">VLOOKUP(J2860,Sheet2!A:B,2,0)</f>
        <v>#N/A</v>
      </c>
      <c r="L2860" s="17" t="n">
        <v>5</v>
      </c>
      <c r="M2860" s="17" t="str">
        <f aca="false">VLOOKUP(L2860,Sheet2!D:E,2,0)</f>
        <v>Main Processor CPU BGA</v>
      </c>
      <c r="N2860" s="17" t="n">
        <v>1</v>
      </c>
      <c r="O2860" s="17" t="str">
        <f aca="false">VLOOKUP(N2860,Sheet2!G:H,2,0)</f>
        <v>Dead</v>
      </c>
      <c r="P2860" s="17" t="n">
        <v>11</v>
      </c>
      <c r="Q2860" s="17" t="str">
        <f aca="false">VLOOKUP(P2860,Sheet2!J:K,2,0)</f>
        <v>IR Declared due to CID -TA</v>
      </c>
      <c r="R2860" s="17" t="s">
        <v>35</v>
      </c>
      <c r="S2860" s="17" t="str">
        <f aca="false">VLOOKUP(R2860,Sheet2!N:O,2,0)</f>
        <v>IREPARABLE</v>
      </c>
      <c r="T2860" s="18" t="str">
        <f aca="false">VLOOKUP(P2860,Sheet2!Q:R,2,0)</f>
        <v>IR Normal - Track burn out</v>
      </c>
      <c r="U2860" s="20" t="s">
        <v>41</v>
      </c>
      <c r="V2860" s="17"/>
      <c r="W2860" s="20" t="e">
        <f aca="false">VLOOKUP(V2860,Sheet2!Q:R,2,0)</f>
        <v>#N/A</v>
      </c>
      <c r="X2860" s="17" t="n">
        <f aca="false">J2860</f>
        <v>0</v>
      </c>
      <c r="Y2860" s="17" t="e">
        <f aca="false">VLOOKUP(X2860,Sheet2!A:B,2,0)</f>
        <v>#N/A</v>
      </c>
      <c r="Z2860" s="17"/>
      <c r="AA2860" s="17"/>
      <c r="AB2860" s="17" t="s">
        <v>41</v>
      </c>
      <c r="AC2860" s="0" t="str">
        <f aca="false">LEFT(G2860,2)</f>
        <v/>
      </c>
    </row>
    <row r="2861" customFormat="false" ht="15" hidden="false" customHeight="false" outlineLevel="0" collapsed="false">
      <c r="A2861" s="13" t="n">
        <f aca="false">1+A2860</f>
        <v>2859</v>
      </c>
      <c r="B2861" s="14" t="n">
        <v>100</v>
      </c>
      <c r="C2861" s="15"/>
      <c r="D2861" s="16" t="s">
        <v>64</v>
      </c>
      <c r="E2861" s="17" t="s">
        <v>47</v>
      </c>
      <c r="F2861" s="18" t="s">
        <v>34</v>
      </c>
      <c r="G2861" s="19"/>
      <c r="H2861" s="17" t="s">
        <v>35</v>
      </c>
      <c r="I2861" s="17" t="s">
        <v>44</v>
      </c>
      <c r="J2861" s="17"/>
      <c r="K2861" s="17" t="e">
        <f aca="false">VLOOKUP(J2861,Sheet2!A:B,2,0)</f>
        <v>#N/A</v>
      </c>
      <c r="L2861" s="17" t="n">
        <v>5</v>
      </c>
      <c r="M2861" s="17" t="str">
        <f aca="false">VLOOKUP(L2861,Sheet2!D:E,2,0)</f>
        <v>Main Processor CPU BGA</v>
      </c>
      <c r="N2861" s="17" t="n">
        <v>1</v>
      </c>
      <c r="O2861" s="17" t="str">
        <f aca="false">VLOOKUP(N2861,Sheet2!G:H,2,0)</f>
        <v>Dead</v>
      </c>
      <c r="P2861" s="17" t="n">
        <v>11</v>
      </c>
      <c r="Q2861" s="17" t="str">
        <f aca="false">VLOOKUP(P2861,Sheet2!J:K,2,0)</f>
        <v>IR Declared due to CID -TA</v>
      </c>
      <c r="R2861" s="17" t="s">
        <v>35</v>
      </c>
      <c r="S2861" s="17" t="str">
        <f aca="false">VLOOKUP(R2861,Sheet2!N:O,2,0)</f>
        <v>IREPARABLE</v>
      </c>
      <c r="T2861" s="18" t="str">
        <f aca="false">VLOOKUP(P2861,Sheet2!Q:R,2,0)</f>
        <v>IR Normal - Track burn out</v>
      </c>
      <c r="U2861" s="20" t="s">
        <v>41</v>
      </c>
      <c r="V2861" s="17"/>
      <c r="W2861" s="20" t="e">
        <f aca="false">VLOOKUP(V2861,Sheet2!Q:R,2,0)</f>
        <v>#N/A</v>
      </c>
      <c r="X2861" s="17" t="n">
        <f aca="false">J2861</f>
        <v>0</v>
      </c>
      <c r="Y2861" s="17" t="e">
        <f aca="false">VLOOKUP(X2861,Sheet2!A:B,2,0)</f>
        <v>#N/A</v>
      </c>
      <c r="Z2861" s="17"/>
      <c r="AA2861" s="17"/>
      <c r="AB2861" s="17" t="s">
        <v>41</v>
      </c>
      <c r="AC2861" s="0" t="str">
        <f aca="false">LEFT(G2861,2)</f>
        <v/>
      </c>
    </row>
    <row r="2862" customFormat="false" ht="15" hidden="false" customHeight="false" outlineLevel="0" collapsed="false">
      <c r="A2862" s="13" t="n">
        <f aca="false">1+A2861</f>
        <v>2860</v>
      </c>
      <c r="B2862" s="14" t="n">
        <v>100</v>
      </c>
      <c r="C2862" s="15"/>
      <c r="D2862" s="16" t="s">
        <v>64</v>
      </c>
      <c r="E2862" s="17" t="s">
        <v>47</v>
      </c>
      <c r="F2862" s="18" t="s">
        <v>34</v>
      </c>
      <c r="G2862" s="19"/>
      <c r="H2862" s="17" t="s">
        <v>35</v>
      </c>
      <c r="I2862" s="17" t="s">
        <v>44</v>
      </c>
      <c r="J2862" s="17"/>
      <c r="K2862" s="17" t="e">
        <f aca="false">VLOOKUP(J2862,Sheet2!A:B,2,0)</f>
        <v>#N/A</v>
      </c>
      <c r="L2862" s="17" t="n">
        <v>5</v>
      </c>
      <c r="M2862" s="17" t="str">
        <f aca="false">VLOOKUP(L2862,Sheet2!D:E,2,0)</f>
        <v>Main Processor CPU BGA</v>
      </c>
      <c r="N2862" s="17" t="n">
        <v>1</v>
      </c>
      <c r="O2862" s="17" t="str">
        <f aca="false">VLOOKUP(N2862,Sheet2!G:H,2,0)</f>
        <v>Dead</v>
      </c>
      <c r="P2862" s="17" t="n">
        <v>11</v>
      </c>
      <c r="Q2862" s="17" t="str">
        <f aca="false">VLOOKUP(P2862,Sheet2!J:K,2,0)</f>
        <v>IR Declared due to CID -TA</v>
      </c>
      <c r="R2862" s="17" t="s">
        <v>35</v>
      </c>
      <c r="S2862" s="17" t="str">
        <f aca="false">VLOOKUP(R2862,Sheet2!N:O,2,0)</f>
        <v>IREPARABLE</v>
      </c>
      <c r="T2862" s="18" t="str">
        <f aca="false">VLOOKUP(P2862,Sheet2!Q:R,2,0)</f>
        <v>IR Normal - Track burn out</v>
      </c>
      <c r="U2862" s="20" t="s">
        <v>41</v>
      </c>
      <c r="V2862" s="17"/>
      <c r="W2862" s="20" t="e">
        <f aca="false">VLOOKUP(V2862,Sheet2!Q:R,2,0)</f>
        <v>#N/A</v>
      </c>
      <c r="X2862" s="17" t="n">
        <f aca="false">J2862</f>
        <v>0</v>
      </c>
      <c r="Y2862" s="17" t="e">
        <f aca="false">VLOOKUP(X2862,Sheet2!A:B,2,0)</f>
        <v>#N/A</v>
      </c>
      <c r="Z2862" s="17"/>
      <c r="AA2862" s="17"/>
      <c r="AB2862" s="17" t="s">
        <v>41</v>
      </c>
      <c r="AC2862" s="0" t="str">
        <f aca="false">LEFT(G2862,2)</f>
        <v/>
      </c>
    </row>
    <row r="2863" customFormat="false" ht="15" hidden="false" customHeight="false" outlineLevel="0" collapsed="false">
      <c r="A2863" s="13" t="n">
        <f aca="false">1+A2862</f>
        <v>2861</v>
      </c>
      <c r="B2863" s="14" t="n">
        <v>100</v>
      </c>
      <c r="C2863" s="15"/>
      <c r="D2863" s="16" t="s">
        <v>64</v>
      </c>
      <c r="E2863" s="17" t="s">
        <v>47</v>
      </c>
      <c r="F2863" s="18" t="s">
        <v>34</v>
      </c>
      <c r="G2863" s="19"/>
      <c r="H2863" s="17" t="s">
        <v>35</v>
      </c>
      <c r="I2863" s="17" t="s">
        <v>44</v>
      </c>
      <c r="J2863" s="17"/>
      <c r="K2863" s="17" t="e">
        <f aca="false">VLOOKUP(J2863,Sheet2!A:B,2,0)</f>
        <v>#N/A</v>
      </c>
      <c r="L2863" s="17" t="n">
        <v>5</v>
      </c>
      <c r="M2863" s="17" t="str">
        <f aca="false">VLOOKUP(L2863,Sheet2!D:E,2,0)</f>
        <v>Main Processor CPU BGA</v>
      </c>
      <c r="N2863" s="17" t="n">
        <v>1</v>
      </c>
      <c r="O2863" s="17" t="str">
        <f aca="false">VLOOKUP(N2863,Sheet2!G:H,2,0)</f>
        <v>Dead</v>
      </c>
      <c r="P2863" s="17" t="n">
        <v>11</v>
      </c>
      <c r="Q2863" s="17" t="str">
        <f aca="false">VLOOKUP(P2863,Sheet2!J:K,2,0)</f>
        <v>IR Declared due to CID -TA</v>
      </c>
      <c r="R2863" s="17" t="s">
        <v>35</v>
      </c>
      <c r="S2863" s="17" t="str">
        <f aca="false">VLOOKUP(R2863,Sheet2!N:O,2,0)</f>
        <v>IREPARABLE</v>
      </c>
      <c r="T2863" s="18" t="str">
        <f aca="false">VLOOKUP(P2863,Sheet2!Q:R,2,0)</f>
        <v>IR Normal - Track burn out</v>
      </c>
      <c r="U2863" s="20" t="s">
        <v>41</v>
      </c>
      <c r="V2863" s="17"/>
      <c r="W2863" s="20" t="e">
        <f aca="false">VLOOKUP(V2863,Sheet2!Q:R,2,0)</f>
        <v>#N/A</v>
      </c>
      <c r="X2863" s="17" t="n">
        <f aca="false">J2863</f>
        <v>0</v>
      </c>
      <c r="Y2863" s="17" t="e">
        <f aca="false">VLOOKUP(X2863,Sheet2!A:B,2,0)</f>
        <v>#N/A</v>
      </c>
      <c r="Z2863" s="17"/>
      <c r="AA2863" s="17"/>
      <c r="AB2863" s="17" t="s">
        <v>41</v>
      </c>
      <c r="AC2863" s="0" t="str">
        <f aca="false">LEFT(G2863,2)</f>
        <v/>
      </c>
    </row>
    <row r="2864" customFormat="false" ht="15" hidden="false" customHeight="false" outlineLevel="0" collapsed="false">
      <c r="A2864" s="13" t="n">
        <f aca="false">1+A2863</f>
        <v>2862</v>
      </c>
      <c r="B2864" s="14" t="n">
        <v>100</v>
      </c>
      <c r="C2864" s="15"/>
      <c r="D2864" s="16" t="s">
        <v>64</v>
      </c>
      <c r="E2864" s="17" t="s">
        <v>47</v>
      </c>
      <c r="F2864" s="18" t="s">
        <v>34</v>
      </c>
      <c r="G2864" s="19"/>
      <c r="H2864" s="17" t="s">
        <v>35</v>
      </c>
      <c r="I2864" s="17" t="s">
        <v>44</v>
      </c>
      <c r="J2864" s="17"/>
      <c r="K2864" s="17" t="e">
        <f aca="false">VLOOKUP(J2864,Sheet2!A:B,2,0)</f>
        <v>#N/A</v>
      </c>
      <c r="L2864" s="17" t="n">
        <v>5</v>
      </c>
      <c r="M2864" s="17" t="str">
        <f aca="false">VLOOKUP(L2864,Sheet2!D:E,2,0)</f>
        <v>Main Processor CPU BGA</v>
      </c>
      <c r="N2864" s="17" t="n">
        <v>1</v>
      </c>
      <c r="O2864" s="17" t="str">
        <f aca="false">VLOOKUP(N2864,Sheet2!G:H,2,0)</f>
        <v>Dead</v>
      </c>
      <c r="P2864" s="17" t="n">
        <v>11</v>
      </c>
      <c r="Q2864" s="17" t="str">
        <f aca="false">VLOOKUP(P2864,Sheet2!J:K,2,0)</f>
        <v>IR Declared due to CID -TA</v>
      </c>
      <c r="R2864" s="17" t="s">
        <v>35</v>
      </c>
      <c r="S2864" s="17" t="str">
        <f aca="false">VLOOKUP(R2864,Sheet2!N:O,2,0)</f>
        <v>IREPARABLE</v>
      </c>
      <c r="T2864" s="18" t="str">
        <f aca="false">VLOOKUP(P2864,Sheet2!Q:R,2,0)</f>
        <v>IR Normal - Track burn out</v>
      </c>
      <c r="U2864" s="20" t="s">
        <v>41</v>
      </c>
      <c r="V2864" s="17"/>
      <c r="W2864" s="20" t="e">
        <f aca="false">VLOOKUP(V2864,Sheet2!Q:R,2,0)</f>
        <v>#N/A</v>
      </c>
      <c r="X2864" s="17" t="n">
        <f aca="false">J2864</f>
        <v>0</v>
      </c>
      <c r="Y2864" s="17" t="e">
        <f aca="false">VLOOKUP(X2864,Sheet2!A:B,2,0)</f>
        <v>#N/A</v>
      </c>
      <c r="Z2864" s="17"/>
      <c r="AA2864" s="17"/>
      <c r="AB2864" s="17" t="s">
        <v>41</v>
      </c>
      <c r="AC2864" s="0" t="str">
        <f aca="false">LEFT(G2864,2)</f>
        <v/>
      </c>
    </row>
    <row r="2865" customFormat="false" ht="15" hidden="false" customHeight="false" outlineLevel="0" collapsed="false">
      <c r="A2865" s="13" t="n">
        <f aca="false">1+A2864</f>
        <v>2863</v>
      </c>
      <c r="B2865" s="14" t="n">
        <v>100</v>
      </c>
      <c r="C2865" s="15"/>
      <c r="D2865" s="16" t="s">
        <v>64</v>
      </c>
      <c r="E2865" s="17" t="s">
        <v>47</v>
      </c>
      <c r="F2865" s="18" t="s">
        <v>34</v>
      </c>
      <c r="G2865" s="19"/>
      <c r="H2865" s="17" t="s">
        <v>35</v>
      </c>
      <c r="I2865" s="17" t="s">
        <v>44</v>
      </c>
      <c r="J2865" s="17"/>
      <c r="K2865" s="17" t="e">
        <f aca="false">VLOOKUP(J2865,Sheet2!A:B,2,0)</f>
        <v>#N/A</v>
      </c>
      <c r="L2865" s="17" t="n">
        <v>5</v>
      </c>
      <c r="M2865" s="17" t="str">
        <f aca="false">VLOOKUP(L2865,Sheet2!D:E,2,0)</f>
        <v>Main Processor CPU BGA</v>
      </c>
      <c r="N2865" s="17" t="n">
        <v>1</v>
      </c>
      <c r="O2865" s="17" t="str">
        <f aca="false">VLOOKUP(N2865,Sheet2!G:H,2,0)</f>
        <v>Dead</v>
      </c>
      <c r="P2865" s="17" t="n">
        <v>11</v>
      </c>
      <c r="Q2865" s="17" t="str">
        <f aca="false">VLOOKUP(P2865,Sheet2!J:K,2,0)</f>
        <v>IR Declared due to CID -TA</v>
      </c>
      <c r="R2865" s="17" t="s">
        <v>35</v>
      </c>
      <c r="S2865" s="17" t="str">
        <f aca="false">VLOOKUP(R2865,Sheet2!N:O,2,0)</f>
        <v>IREPARABLE</v>
      </c>
      <c r="T2865" s="18" t="str">
        <f aca="false">VLOOKUP(P2865,Sheet2!Q:R,2,0)</f>
        <v>IR Normal - Track burn out</v>
      </c>
      <c r="U2865" s="20" t="s">
        <v>41</v>
      </c>
      <c r="V2865" s="17"/>
      <c r="W2865" s="20" t="e">
        <f aca="false">VLOOKUP(V2865,Sheet2!Q:R,2,0)</f>
        <v>#N/A</v>
      </c>
      <c r="X2865" s="17" t="n">
        <f aca="false">J2865</f>
        <v>0</v>
      </c>
      <c r="Y2865" s="17" t="e">
        <f aca="false">VLOOKUP(X2865,Sheet2!A:B,2,0)</f>
        <v>#N/A</v>
      </c>
      <c r="Z2865" s="17"/>
      <c r="AA2865" s="17"/>
      <c r="AB2865" s="17" t="s">
        <v>41</v>
      </c>
      <c r="AC2865" s="0" t="str">
        <f aca="false">LEFT(G2865,2)</f>
        <v/>
      </c>
    </row>
    <row r="2866" customFormat="false" ht="15" hidden="false" customHeight="false" outlineLevel="0" collapsed="false">
      <c r="A2866" s="13" t="n">
        <f aca="false">1+A2865</f>
        <v>2864</v>
      </c>
      <c r="B2866" s="14" t="n">
        <v>100</v>
      </c>
      <c r="C2866" s="15"/>
      <c r="D2866" s="16" t="s">
        <v>64</v>
      </c>
      <c r="E2866" s="17" t="s">
        <v>47</v>
      </c>
      <c r="F2866" s="18" t="s">
        <v>34</v>
      </c>
      <c r="G2866" s="19"/>
      <c r="H2866" s="17" t="s">
        <v>35</v>
      </c>
      <c r="I2866" s="17" t="s">
        <v>44</v>
      </c>
      <c r="J2866" s="17"/>
      <c r="K2866" s="17" t="e">
        <f aca="false">VLOOKUP(J2866,Sheet2!A:B,2,0)</f>
        <v>#N/A</v>
      </c>
      <c r="L2866" s="17" t="n">
        <v>5</v>
      </c>
      <c r="M2866" s="17" t="str">
        <f aca="false">VLOOKUP(L2866,Sheet2!D:E,2,0)</f>
        <v>Main Processor CPU BGA</v>
      </c>
      <c r="N2866" s="17" t="n">
        <v>1</v>
      </c>
      <c r="O2866" s="17" t="str">
        <f aca="false">VLOOKUP(N2866,Sheet2!G:H,2,0)</f>
        <v>Dead</v>
      </c>
      <c r="P2866" s="17" t="n">
        <v>11</v>
      </c>
      <c r="Q2866" s="17" t="str">
        <f aca="false">VLOOKUP(P2866,Sheet2!J:K,2,0)</f>
        <v>IR Declared due to CID -TA</v>
      </c>
      <c r="R2866" s="17" t="s">
        <v>35</v>
      </c>
      <c r="S2866" s="17" t="str">
        <f aca="false">VLOOKUP(R2866,Sheet2!N:O,2,0)</f>
        <v>IREPARABLE</v>
      </c>
      <c r="T2866" s="18" t="str">
        <f aca="false">VLOOKUP(P2866,Sheet2!Q:R,2,0)</f>
        <v>IR Normal - Track burn out</v>
      </c>
      <c r="U2866" s="20" t="s">
        <v>41</v>
      </c>
      <c r="V2866" s="17"/>
      <c r="W2866" s="20" t="e">
        <f aca="false">VLOOKUP(V2866,Sheet2!Q:R,2,0)</f>
        <v>#N/A</v>
      </c>
      <c r="X2866" s="17" t="n">
        <f aca="false">J2866</f>
        <v>0</v>
      </c>
      <c r="Y2866" s="17" t="e">
        <f aca="false">VLOOKUP(X2866,Sheet2!A:B,2,0)</f>
        <v>#N/A</v>
      </c>
      <c r="Z2866" s="17"/>
      <c r="AA2866" s="17"/>
      <c r="AB2866" s="17" t="s">
        <v>41</v>
      </c>
      <c r="AC2866" s="0" t="str">
        <f aca="false">LEFT(G2866,2)</f>
        <v/>
      </c>
    </row>
    <row r="2867" customFormat="false" ht="15" hidden="false" customHeight="false" outlineLevel="0" collapsed="false">
      <c r="A2867" s="13" t="n">
        <f aca="false">1+A2866</f>
        <v>2865</v>
      </c>
      <c r="B2867" s="14" t="n">
        <v>100</v>
      </c>
      <c r="C2867" s="15"/>
      <c r="D2867" s="16" t="s">
        <v>64</v>
      </c>
      <c r="E2867" s="17" t="s">
        <v>47</v>
      </c>
      <c r="F2867" s="18" t="s">
        <v>34</v>
      </c>
      <c r="G2867" s="19"/>
      <c r="H2867" s="17" t="s">
        <v>35</v>
      </c>
      <c r="I2867" s="17" t="s">
        <v>44</v>
      </c>
      <c r="J2867" s="17"/>
      <c r="K2867" s="17" t="e">
        <f aca="false">VLOOKUP(J2867,Sheet2!A:B,2,0)</f>
        <v>#N/A</v>
      </c>
      <c r="L2867" s="17" t="n">
        <v>5</v>
      </c>
      <c r="M2867" s="17" t="str">
        <f aca="false">VLOOKUP(L2867,Sheet2!D:E,2,0)</f>
        <v>Main Processor CPU BGA</v>
      </c>
      <c r="N2867" s="17" t="n">
        <v>1</v>
      </c>
      <c r="O2867" s="17" t="str">
        <f aca="false">VLOOKUP(N2867,Sheet2!G:H,2,0)</f>
        <v>Dead</v>
      </c>
      <c r="P2867" s="17" t="n">
        <v>11</v>
      </c>
      <c r="Q2867" s="17" t="str">
        <f aca="false">VLOOKUP(P2867,Sheet2!J:K,2,0)</f>
        <v>IR Declared due to CID -TA</v>
      </c>
      <c r="R2867" s="17" t="s">
        <v>35</v>
      </c>
      <c r="S2867" s="17" t="str">
        <f aca="false">VLOOKUP(R2867,Sheet2!N:O,2,0)</f>
        <v>IREPARABLE</v>
      </c>
      <c r="T2867" s="18" t="str">
        <f aca="false">VLOOKUP(P2867,Sheet2!Q:R,2,0)</f>
        <v>IR Normal - Track burn out</v>
      </c>
      <c r="U2867" s="20" t="s">
        <v>41</v>
      </c>
      <c r="V2867" s="17"/>
      <c r="W2867" s="20" t="e">
        <f aca="false">VLOOKUP(V2867,Sheet2!Q:R,2,0)</f>
        <v>#N/A</v>
      </c>
      <c r="X2867" s="17" t="n">
        <f aca="false">J2867</f>
        <v>0</v>
      </c>
      <c r="Y2867" s="17" t="e">
        <f aca="false">VLOOKUP(X2867,Sheet2!A:B,2,0)</f>
        <v>#N/A</v>
      </c>
      <c r="Z2867" s="17"/>
      <c r="AA2867" s="17"/>
      <c r="AB2867" s="17" t="s">
        <v>41</v>
      </c>
      <c r="AC2867" s="0" t="str">
        <f aca="false">LEFT(G2867,2)</f>
        <v/>
      </c>
    </row>
    <row r="2868" customFormat="false" ht="15" hidden="false" customHeight="false" outlineLevel="0" collapsed="false">
      <c r="A2868" s="13" t="n">
        <f aca="false">1+A2867</f>
        <v>2866</v>
      </c>
      <c r="B2868" s="14" t="n">
        <v>100</v>
      </c>
      <c r="C2868" s="15"/>
      <c r="D2868" s="16" t="s">
        <v>64</v>
      </c>
      <c r="E2868" s="17" t="s">
        <v>47</v>
      </c>
      <c r="F2868" s="18" t="s">
        <v>34</v>
      </c>
      <c r="G2868" s="19"/>
      <c r="H2868" s="17" t="s">
        <v>35</v>
      </c>
      <c r="I2868" s="17" t="s">
        <v>44</v>
      </c>
      <c r="J2868" s="17"/>
      <c r="K2868" s="17" t="e">
        <f aca="false">VLOOKUP(J2868,Sheet2!A:B,2,0)</f>
        <v>#N/A</v>
      </c>
      <c r="L2868" s="17" t="n">
        <v>5</v>
      </c>
      <c r="M2868" s="17" t="str">
        <f aca="false">VLOOKUP(L2868,Sheet2!D:E,2,0)</f>
        <v>Main Processor CPU BGA</v>
      </c>
      <c r="N2868" s="17" t="n">
        <v>1</v>
      </c>
      <c r="O2868" s="17" t="str">
        <f aca="false">VLOOKUP(N2868,Sheet2!G:H,2,0)</f>
        <v>Dead</v>
      </c>
      <c r="P2868" s="17" t="n">
        <v>11</v>
      </c>
      <c r="Q2868" s="17" t="str">
        <f aca="false">VLOOKUP(P2868,Sheet2!J:K,2,0)</f>
        <v>IR Declared due to CID -TA</v>
      </c>
      <c r="R2868" s="17" t="s">
        <v>35</v>
      </c>
      <c r="S2868" s="17" t="str">
        <f aca="false">VLOOKUP(R2868,Sheet2!N:O,2,0)</f>
        <v>IREPARABLE</v>
      </c>
      <c r="T2868" s="18" t="str">
        <f aca="false">VLOOKUP(P2868,Sheet2!Q:R,2,0)</f>
        <v>IR Normal - Track burn out</v>
      </c>
      <c r="U2868" s="20" t="s">
        <v>41</v>
      </c>
      <c r="V2868" s="17"/>
      <c r="W2868" s="20" t="e">
        <f aca="false">VLOOKUP(V2868,Sheet2!Q:R,2,0)</f>
        <v>#N/A</v>
      </c>
      <c r="X2868" s="17" t="n">
        <f aca="false">J2868</f>
        <v>0</v>
      </c>
      <c r="Y2868" s="17" t="e">
        <f aca="false">VLOOKUP(X2868,Sheet2!A:B,2,0)</f>
        <v>#N/A</v>
      </c>
      <c r="Z2868" s="17"/>
      <c r="AA2868" s="17"/>
      <c r="AB2868" s="17" t="s">
        <v>41</v>
      </c>
      <c r="AC2868" s="0" t="str">
        <f aca="false">LEFT(G2868,2)</f>
        <v/>
      </c>
    </row>
    <row r="2869" customFormat="false" ht="15" hidden="false" customHeight="false" outlineLevel="0" collapsed="false">
      <c r="A2869" s="13" t="n">
        <f aca="false">1+A2868</f>
        <v>2867</v>
      </c>
      <c r="B2869" s="14" t="n">
        <v>100</v>
      </c>
      <c r="C2869" s="15"/>
      <c r="D2869" s="16" t="s">
        <v>64</v>
      </c>
      <c r="E2869" s="17" t="s">
        <v>47</v>
      </c>
      <c r="F2869" s="18" t="s">
        <v>34</v>
      </c>
      <c r="G2869" s="19"/>
      <c r="H2869" s="17" t="s">
        <v>35</v>
      </c>
      <c r="I2869" s="17" t="s">
        <v>44</v>
      </c>
      <c r="J2869" s="17"/>
      <c r="K2869" s="17" t="e">
        <f aca="false">VLOOKUP(J2869,Sheet2!A:B,2,0)</f>
        <v>#N/A</v>
      </c>
      <c r="L2869" s="17" t="n">
        <v>5</v>
      </c>
      <c r="M2869" s="17" t="str">
        <f aca="false">VLOOKUP(L2869,Sheet2!D:E,2,0)</f>
        <v>Main Processor CPU BGA</v>
      </c>
      <c r="N2869" s="17" t="n">
        <v>1</v>
      </c>
      <c r="O2869" s="17" t="str">
        <f aca="false">VLOOKUP(N2869,Sheet2!G:H,2,0)</f>
        <v>Dead</v>
      </c>
      <c r="P2869" s="17" t="n">
        <v>11</v>
      </c>
      <c r="Q2869" s="17" t="str">
        <f aca="false">VLOOKUP(P2869,Sheet2!J:K,2,0)</f>
        <v>IR Declared due to CID -TA</v>
      </c>
      <c r="R2869" s="17" t="s">
        <v>35</v>
      </c>
      <c r="S2869" s="17" t="str">
        <f aca="false">VLOOKUP(R2869,Sheet2!N:O,2,0)</f>
        <v>IREPARABLE</v>
      </c>
      <c r="T2869" s="18" t="str">
        <f aca="false">VLOOKUP(P2869,Sheet2!Q:R,2,0)</f>
        <v>IR Normal - Track burn out</v>
      </c>
      <c r="U2869" s="20" t="s">
        <v>41</v>
      </c>
      <c r="V2869" s="17"/>
      <c r="W2869" s="20" t="e">
        <f aca="false">VLOOKUP(V2869,Sheet2!Q:R,2,0)</f>
        <v>#N/A</v>
      </c>
      <c r="X2869" s="17" t="n">
        <f aca="false">J2869</f>
        <v>0</v>
      </c>
      <c r="Y2869" s="17" t="e">
        <f aca="false">VLOOKUP(X2869,Sheet2!A:B,2,0)</f>
        <v>#N/A</v>
      </c>
      <c r="Z2869" s="17"/>
      <c r="AA2869" s="17"/>
      <c r="AB2869" s="17" t="s">
        <v>41</v>
      </c>
      <c r="AC2869" s="0" t="str">
        <f aca="false">LEFT(G2869,2)</f>
        <v/>
      </c>
    </row>
    <row r="2870" customFormat="false" ht="15" hidden="false" customHeight="false" outlineLevel="0" collapsed="false">
      <c r="A2870" s="13" t="n">
        <f aca="false">1+A2869</f>
        <v>2868</v>
      </c>
      <c r="B2870" s="14" t="n">
        <v>100</v>
      </c>
      <c r="C2870" s="15"/>
      <c r="D2870" s="16" t="s">
        <v>64</v>
      </c>
      <c r="E2870" s="17" t="s">
        <v>47</v>
      </c>
      <c r="F2870" s="18" t="s">
        <v>34</v>
      </c>
      <c r="G2870" s="19"/>
      <c r="H2870" s="17" t="s">
        <v>35</v>
      </c>
      <c r="I2870" s="17" t="s">
        <v>44</v>
      </c>
      <c r="J2870" s="17"/>
      <c r="K2870" s="17" t="e">
        <f aca="false">VLOOKUP(J2870,Sheet2!A:B,2,0)</f>
        <v>#N/A</v>
      </c>
      <c r="L2870" s="17" t="n">
        <v>5</v>
      </c>
      <c r="M2870" s="17" t="str">
        <f aca="false">VLOOKUP(L2870,Sheet2!D:E,2,0)</f>
        <v>Main Processor CPU BGA</v>
      </c>
      <c r="N2870" s="17" t="n">
        <v>1</v>
      </c>
      <c r="O2870" s="17" t="str">
        <f aca="false">VLOOKUP(N2870,Sheet2!G:H,2,0)</f>
        <v>Dead</v>
      </c>
      <c r="P2870" s="17" t="n">
        <v>11</v>
      </c>
      <c r="Q2870" s="17" t="str">
        <f aca="false">VLOOKUP(P2870,Sheet2!J:K,2,0)</f>
        <v>IR Declared due to CID -TA</v>
      </c>
      <c r="R2870" s="17" t="s">
        <v>35</v>
      </c>
      <c r="S2870" s="17" t="str">
        <f aca="false">VLOOKUP(R2870,Sheet2!N:O,2,0)</f>
        <v>IREPARABLE</v>
      </c>
      <c r="T2870" s="18" t="str">
        <f aca="false">VLOOKUP(P2870,Sheet2!Q:R,2,0)</f>
        <v>IR Normal - Track burn out</v>
      </c>
      <c r="U2870" s="20" t="s">
        <v>41</v>
      </c>
      <c r="V2870" s="17"/>
      <c r="W2870" s="20" t="e">
        <f aca="false">VLOOKUP(V2870,Sheet2!Q:R,2,0)</f>
        <v>#N/A</v>
      </c>
      <c r="X2870" s="17" t="n">
        <f aca="false">J2870</f>
        <v>0</v>
      </c>
      <c r="Y2870" s="17" t="e">
        <f aca="false">VLOOKUP(X2870,Sheet2!A:B,2,0)</f>
        <v>#N/A</v>
      </c>
      <c r="Z2870" s="17"/>
      <c r="AA2870" s="17"/>
      <c r="AB2870" s="17" t="s">
        <v>41</v>
      </c>
      <c r="AC2870" s="0" t="str">
        <f aca="false">LEFT(G2870,2)</f>
        <v/>
      </c>
    </row>
    <row r="2871" customFormat="false" ht="15" hidden="false" customHeight="false" outlineLevel="0" collapsed="false">
      <c r="A2871" s="13" t="n">
        <f aca="false">1+A2870</f>
        <v>2869</v>
      </c>
      <c r="B2871" s="14" t="n">
        <v>100</v>
      </c>
      <c r="C2871" s="15"/>
      <c r="D2871" s="16" t="s">
        <v>64</v>
      </c>
      <c r="E2871" s="17" t="s">
        <v>47</v>
      </c>
      <c r="F2871" s="18" t="s">
        <v>34</v>
      </c>
      <c r="G2871" s="19"/>
      <c r="H2871" s="17" t="s">
        <v>35</v>
      </c>
      <c r="I2871" s="17" t="s">
        <v>44</v>
      </c>
      <c r="J2871" s="17"/>
      <c r="K2871" s="17" t="e">
        <f aca="false">VLOOKUP(J2871,Sheet2!A:B,2,0)</f>
        <v>#N/A</v>
      </c>
      <c r="L2871" s="17" t="n">
        <v>5</v>
      </c>
      <c r="M2871" s="17" t="str">
        <f aca="false">VLOOKUP(L2871,Sheet2!D:E,2,0)</f>
        <v>Main Processor CPU BGA</v>
      </c>
      <c r="N2871" s="17" t="n">
        <v>1</v>
      </c>
      <c r="O2871" s="17" t="str">
        <f aca="false">VLOOKUP(N2871,Sheet2!G:H,2,0)</f>
        <v>Dead</v>
      </c>
      <c r="P2871" s="17" t="n">
        <v>11</v>
      </c>
      <c r="Q2871" s="17" t="str">
        <f aca="false">VLOOKUP(P2871,Sheet2!J:K,2,0)</f>
        <v>IR Declared due to CID -TA</v>
      </c>
      <c r="R2871" s="17" t="s">
        <v>35</v>
      </c>
      <c r="S2871" s="17" t="str">
        <f aca="false">VLOOKUP(R2871,Sheet2!N:O,2,0)</f>
        <v>IREPARABLE</v>
      </c>
      <c r="T2871" s="18" t="str">
        <f aca="false">VLOOKUP(P2871,Sheet2!Q:R,2,0)</f>
        <v>IR Normal - Track burn out</v>
      </c>
      <c r="U2871" s="20" t="s">
        <v>41</v>
      </c>
      <c r="V2871" s="17"/>
      <c r="W2871" s="20" t="e">
        <f aca="false">VLOOKUP(V2871,Sheet2!Q:R,2,0)</f>
        <v>#N/A</v>
      </c>
      <c r="X2871" s="17" t="n">
        <f aca="false">J2871</f>
        <v>0</v>
      </c>
      <c r="Y2871" s="17" t="e">
        <f aca="false">VLOOKUP(X2871,Sheet2!A:B,2,0)</f>
        <v>#N/A</v>
      </c>
      <c r="Z2871" s="17"/>
      <c r="AA2871" s="17"/>
      <c r="AB2871" s="17" t="s">
        <v>41</v>
      </c>
      <c r="AC2871" s="0" t="str">
        <f aca="false">LEFT(G2871,2)</f>
        <v/>
      </c>
    </row>
    <row r="2872" customFormat="false" ht="15" hidden="false" customHeight="false" outlineLevel="0" collapsed="false">
      <c r="A2872" s="13" t="n">
        <f aca="false">1+A2871</f>
        <v>2870</v>
      </c>
      <c r="B2872" s="14" t="n">
        <v>100</v>
      </c>
      <c r="C2872" s="15"/>
      <c r="D2872" s="16" t="s">
        <v>64</v>
      </c>
      <c r="E2872" s="17" t="s">
        <v>47</v>
      </c>
      <c r="F2872" s="18" t="s">
        <v>34</v>
      </c>
      <c r="G2872" s="19"/>
      <c r="H2872" s="17" t="s">
        <v>35</v>
      </c>
      <c r="I2872" s="17" t="s">
        <v>44</v>
      </c>
      <c r="J2872" s="17"/>
      <c r="K2872" s="17" t="e">
        <f aca="false">VLOOKUP(J2872,Sheet2!A:B,2,0)</f>
        <v>#N/A</v>
      </c>
      <c r="L2872" s="17" t="n">
        <v>5</v>
      </c>
      <c r="M2872" s="17" t="str">
        <f aca="false">VLOOKUP(L2872,Sheet2!D:E,2,0)</f>
        <v>Main Processor CPU BGA</v>
      </c>
      <c r="N2872" s="17" t="n">
        <v>1</v>
      </c>
      <c r="O2872" s="17" t="str">
        <f aca="false">VLOOKUP(N2872,Sheet2!G:H,2,0)</f>
        <v>Dead</v>
      </c>
      <c r="P2872" s="17" t="n">
        <v>11</v>
      </c>
      <c r="Q2872" s="17" t="str">
        <f aca="false">VLOOKUP(P2872,Sheet2!J:K,2,0)</f>
        <v>IR Declared due to CID -TA</v>
      </c>
      <c r="R2872" s="17" t="s">
        <v>35</v>
      </c>
      <c r="S2872" s="17" t="str">
        <f aca="false">VLOOKUP(R2872,Sheet2!N:O,2,0)</f>
        <v>IREPARABLE</v>
      </c>
      <c r="T2872" s="18" t="str">
        <f aca="false">VLOOKUP(P2872,Sheet2!Q:R,2,0)</f>
        <v>IR Normal - Track burn out</v>
      </c>
      <c r="U2872" s="20" t="s">
        <v>41</v>
      </c>
      <c r="V2872" s="17"/>
      <c r="W2872" s="20" t="e">
        <f aca="false">VLOOKUP(V2872,Sheet2!Q:R,2,0)</f>
        <v>#N/A</v>
      </c>
      <c r="X2872" s="17" t="n">
        <f aca="false">J2872</f>
        <v>0</v>
      </c>
      <c r="Y2872" s="17" t="e">
        <f aca="false">VLOOKUP(X2872,Sheet2!A:B,2,0)</f>
        <v>#N/A</v>
      </c>
      <c r="Z2872" s="17"/>
      <c r="AA2872" s="17"/>
      <c r="AB2872" s="17" t="s">
        <v>41</v>
      </c>
      <c r="AC2872" s="0" t="str">
        <f aca="false">LEFT(G2872,2)</f>
        <v/>
      </c>
    </row>
    <row r="2873" customFormat="false" ht="15" hidden="false" customHeight="false" outlineLevel="0" collapsed="false">
      <c r="A2873" s="13" t="n">
        <f aca="false">1+A2872</f>
        <v>2871</v>
      </c>
      <c r="B2873" s="14" t="n">
        <v>100</v>
      </c>
      <c r="C2873" s="15"/>
      <c r="D2873" s="16" t="s">
        <v>64</v>
      </c>
      <c r="E2873" s="17" t="s">
        <v>47</v>
      </c>
      <c r="F2873" s="18" t="s">
        <v>34</v>
      </c>
      <c r="G2873" s="19"/>
      <c r="H2873" s="17" t="s">
        <v>35</v>
      </c>
      <c r="I2873" s="17" t="s">
        <v>44</v>
      </c>
      <c r="J2873" s="17"/>
      <c r="K2873" s="17" t="e">
        <f aca="false">VLOOKUP(J2873,Sheet2!A:B,2,0)</f>
        <v>#N/A</v>
      </c>
      <c r="L2873" s="17" t="n">
        <v>5</v>
      </c>
      <c r="M2873" s="17" t="str">
        <f aca="false">VLOOKUP(L2873,Sheet2!D:E,2,0)</f>
        <v>Main Processor CPU BGA</v>
      </c>
      <c r="N2873" s="17" t="n">
        <v>1</v>
      </c>
      <c r="O2873" s="17" t="str">
        <f aca="false">VLOOKUP(N2873,Sheet2!G:H,2,0)</f>
        <v>Dead</v>
      </c>
      <c r="P2873" s="17" t="n">
        <v>11</v>
      </c>
      <c r="Q2873" s="17" t="str">
        <f aca="false">VLOOKUP(P2873,Sheet2!J:K,2,0)</f>
        <v>IR Declared due to CID -TA</v>
      </c>
      <c r="R2873" s="17" t="s">
        <v>35</v>
      </c>
      <c r="S2873" s="17" t="str">
        <f aca="false">VLOOKUP(R2873,Sheet2!N:O,2,0)</f>
        <v>IREPARABLE</v>
      </c>
      <c r="T2873" s="18" t="str">
        <f aca="false">VLOOKUP(P2873,Sheet2!Q:R,2,0)</f>
        <v>IR Normal - Track burn out</v>
      </c>
      <c r="U2873" s="20" t="s">
        <v>41</v>
      </c>
      <c r="V2873" s="17"/>
      <c r="W2873" s="20" t="e">
        <f aca="false">VLOOKUP(V2873,Sheet2!Q:R,2,0)</f>
        <v>#N/A</v>
      </c>
      <c r="X2873" s="17" t="n">
        <f aca="false">J2873</f>
        <v>0</v>
      </c>
      <c r="Y2873" s="17" t="e">
        <f aca="false">VLOOKUP(X2873,Sheet2!A:B,2,0)</f>
        <v>#N/A</v>
      </c>
      <c r="Z2873" s="17"/>
      <c r="AA2873" s="17"/>
      <c r="AB2873" s="17" t="s">
        <v>41</v>
      </c>
      <c r="AC2873" s="0" t="str">
        <f aca="false">LEFT(G2873,2)</f>
        <v/>
      </c>
    </row>
    <row r="2874" customFormat="false" ht="15" hidden="false" customHeight="false" outlineLevel="0" collapsed="false">
      <c r="A2874" s="13" t="n">
        <f aca="false">1+A2873</f>
        <v>2872</v>
      </c>
      <c r="B2874" s="14" t="n">
        <v>100</v>
      </c>
      <c r="C2874" s="15"/>
      <c r="D2874" s="16" t="s">
        <v>64</v>
      </c>
      <c r="E2874" s="17" t="s">
        <v>47</v>
      </c>
      <c r="F2874" s="18" t="s">
        <v>34</v>
      </c>
      <c r="G2874" s="19"/>
      <c r="H2874" s="17" t="s">
        <v>35</v>
      </c>
      <c r="I2874" s="17" t="s">
        <v>44</v>
      </c>
      <c r="J2874" s="17"/>
      <c r="K2874" s="17" t="e">
        <f aca="false">VLOOKUP(J2874,Sheet2!A:B,2,0)</f>
        <v>#N/A</v>
      </c>
      <c r="L2874" s="17" t="n">
        <v>5</v>
      </c>
      <c r="M2874" s="17" t="str">
        <f aca="false">VLOOKUP(L2874,Sheet2!D:E,2,0)</f>
        <v>Main Processor CPU BGA</v>
      </c>
      <c r="N2874" s="17" t="n">
        <v>1</v>
      </c>
      <c r="O2874" s="17" t="str">
        <f aca="false">VLOOKUP(N2874,Sheet2!G:H,2,0)</f>
        <v>Dead</v>
      </c>
      <c r="P2874" s="17" t="n">
        <v>11</v>
      </c>
      <c r="Q2874" s="17" t="str">
        <f aca="false">VLOOKUP(P2874,Sheet2!J:K,2,0)</f>
        <v>IR Declared due to CID -TA</v>
      </c>
      <c r="R2874" s="17" t="s">
        <v>35</v>
      </c>
      <c r="S2874" s="17" t="str">
        <f aca="false">VLOOKUP(R2874,Sheet2!N:O,2,0)</f>
        <v>IREPARABLE</v>
      </c>
      <c r="T2874" s="18" t="str">
        <f aca="false">VLOOKUP(P2874,Sheet2!Q:R,2,0)</f>
        <v>IR Normal - Track burn out</v>
      </c>
      <c r="U2874" s="20" t="s">
        <v>41</v>
      </c>
      <c r="V2874" s="17"/>
      <c r="W2874" s="20" t="e">
        <f aca="false">VLOOKUP(V2874,Sheet2!Q:R,2,0)</f>
        <v>#N/A</v>
      </c>
      <c r="X2874" s="17" t="n">
        <f aca="false">J2874</f>
        <v>0</v>
      </c>
      <c r="Y2874" s="17" t="e">
        <f aca="false">VLOOKUP(X2874,Sheet2!A:B,2,0)</f>
        <v>#N/A</v>
      </c>
      <c r="Z2874" s="17"/>
      <c r="AA2874" s="17"/>
      <c r="AB2874" s="17" t="s">
        <v>41</v>
      </c>
      <c r="AC2874" s="0" t="str">
        <f aca="false">LEFT(G2874,2)</f>
        <v/>
      </c>
    </row>
    <row r="2875" customFormat="false" ht="15" hidden="false" customHeight="false" outlineLevel="0" collapsed="false">
      <c r="A2875" s="13" t="n">
        <f aca="false">1+A2874</f>
        <v>2873</v>
      </c>
      <c r="B2875" s="14" t="n">
        <v>100</v>
      </c>
      <c r="C2875" s="15"/>
      <c r="D2875" s="16" t="s">
        <v>64</v>
      </c>
      <c r="E2875" s="17" t="s">
        <v>47</v>
      </c>
      <c r="F2875" s="18" t="s">
        <v>34</v>
      </c>
      <c r="G2875" s="19"/>
      <c r="H2875" s="17" t="s">
        <v>35</v>
      </c>
      <c r="I2875" s="17" t="s">
        <v>44</v>
      </c>
      <c r="J2875" s="17"/>
      <c r="K2875" s="17" t="e">
        <f aca="false">VLOOKUP(J2875,Sheet2!A:B,2,0)</f>
        <v>#N/A</v>
      </c>
      <c r="L2875" s="17" t="n">
        <v>5</v>
      </c>
      <c r="M2875" s="17" t="str">
        <f aca="false">VLOOKUP(L2875,Sheet2!D:E,2,0)</f>
        <v>Main Processor CPU BGA</v>
      </c>
      <c r="N2875" s="17" t="n">
        <v>1</v>
      </c>
      <c r="O2875" s="17" t="str">
        <f aca="false">VLOOKUP(N2875,Sheet2!G:H,2,0)</f>
        <v>Dead</v>
      </c>
      <c r="P2875" s="17" t="n">
        <v>11</v>
      </c>
      <c r="Q2875" s="17" t="str">
        <f aca="false">VLOOKUP(P2875,Sheet2!J:K,2,0)</f>
        <v>IR Declared due to CID -TA</v>
      </c>
      <c r="R2875" s="17" t="s">
        <v>35</v>
      </c>
      <c r="S2875" s="17" t="str">
        <f aca="false">VLOOKUP(R2875,Sheet2!N:O,2,0)</f>
        <v>IREPARABLE</v>
      </c>
      <c r="T2875" s="18" t="str">
        <f aca="false">VLOOKUP(P2875,Sheet2!Q:R,2,0)</f>
        <v>IR Normal - Track burn out</v>
      </c>
      <c r="U2875" s="20" t="s">
        <v>41</v>
      </c>
      <c r="V2875" s="17"/>
      <c r="W2875" s="20" t="e">
        <f aca="false">VLOOKUP(V2875,Sheet2!Q:R,2,0)</f>
        <v>#N/A</v>
      </c>
      <c r="X2875" s="17" t="n">
        <f aca="false">J2875</f>
        <v>0</v>
      </c>
      <c r="Y2875" s="17" t="e">
        <f aca="false">VLOOKUP(X2875,Sheet2!A:B,2,0)</f>
        <v>#N/A</v>
      </c>
      <c r="Z2875" s="17"/>
      <c r="AA2875" s="17"/>
      <c r="AB2875" s="17" t="s">
        <v>41</v>
      </c>
      <c r="AC2875" s="0" t="str">
        <f aca="false">LEFT(G2875,2)</f>
        <v/>
      </c>
    </row>
    <row r="2876" customFormat="false" ht="15" hidden="false" customHeight="false" outlineLevel="0" collapsed="false">
      <c r="A2876" s="13" t="n">
        <f aca="false">1+A2875</f>
        <v>2874</v>
      </c>
      <c r="B2876" s="14" t="n">
        <v>100</v>
      </c>
      <c r="C2876" s="15"/>
      <c r="D2876" s="16" t="s">
        <v>64</v>
      </c>
      <c r="E2876" s="17" t="s">
        <v>47</v>
      </c>
      <c r="F2876" s="18" t="s">
        <v>34</v>
      </c>
      <c r="G2876" s="19"/>
      <c r="H2876" s="17" t="s">
        <v>35</v>
      </c>
      <c r="I2876" s="17" t="s">
        <v>44</v>
      </c>
      <c r="J2876" s="17"/>
      <c r="K2876" s="17" t="e">
        <f aca="false">VLOOKUP(J2876,Sheet2!A:B,2,0)</f>
        <v>#N/A</v>
      </c>
      <c r="L2876" s="17" t="n">
        <v>5</v>
      </c>
      <c r="M2876" s="17" t="str">
        <f aca="false">VLOOKUP(L2876,Sheet2!D:E,2,0)</f>
        <v>Main Processor CPU BGA</v>
      </c>
      <c r="N2876" s="17" t="n">
        <v>1</v>
      </c>
      <c r="O2876" s="17" t="str">
        <f aca="false">VLOOKUP(N2876,Sheet2!G:H,2,0)</f>
        <v>Dead</v>
      </c>
      <c r="P2876" s="17" t="n">
        <v>11</v>
      </c>
      <c r="Q2876" s="17" t="str">
        <f aca="false">VLOOKUP(P2876,Sheet2!J:K,2,0)</f>
        <v>IR Declared due to CID -TA</v>
      </c>
      <c r="R2876" s="17" t="s">
        <v>35</v>
      </c>
      <c r="S2876" s="17" t="str">
        <f aca="false">VLOOKUP(R2876,Sheet2!N:O,2,0)</f>
        <v>IREPARABLE</v>
      </c>
      <c r="T2876" s="18" t="str">
        <f aca="false">VLOOKUP(P2876,Sheet2!Q:R,2,0)</f>
        <v>IR Normal - Track burn out</v>
      </c>
      <c r="U2876" s="20" t="s">
        <v>41</v>
      </c>
      <c r="V2876" s="17"/>
      <c r="W2876" s="20" t="e">
        <f aca="false">VLOOKUP(V2876,Sheet2!Q:R,2,0)</f>
        <v>#N/A</v>
      </c>
      <c r="X2876" s="17" t="n">
        <f aca="false">J2876</f>
        <v>0</v>
      </c>
      <c r="Y2876" s="17" t="e">
        <f aca="false">VLOOKUP(X2876,Sheet2!A:B,2,0)</f>
        <v>#N/A</v>
      </c>
      <c r="Z2876" s="17"/>
      <c r="AA2876" s="17"/>
      <c r="AB2876" s="17" t="s">
        <v>41</v>
      </c>
      <c r="AC2876" s="0" t="str">
        <f aca="false">LEFT(G2876,2)</f>
        <v/>
      </c>
    </row>
    <row r="2877" customFormat="false" ht="15" hidden="false" customHeight="false" outlineLevel="0" collapsed="false">
      <c r="A2877" s="13" t="n">
        <f aca="false">1+A2876</f>
        <v>2875</v>
      </c>
      <c r="B2877" s="14" t="n">
        <v>100</v>
      </c>
      <c r="C2877" s="15"/>
      <c r="D2877" s="16" t="s">
        <v>64</v>
      </c>
      <c r="E2877" s="17" t="s">
        <v>47</v>
      </c>
      <c r="F2877" s="18" t="s">
        <v>34</v>
      </c>
      <c r="G2877" s="19"/>
      <c r="H2877" s="17" t="s">
        <v>35</v>
      </c>
      <c r="I2877" s="17" t="s">
        <v>44</v>
      </c>
      <c r="J2877" s="17"/>
      <c r="K2877" s="17" t="e">
        <f aca="false">VLOOKUP(J2877,Sheet2!A:B,2,0)</f>
        <v>#N/A</v>
      </c>
      <c r="L2877" s="17" t="n">
        <v>5</v>
      </c>
      <c r="M2877" s="17" t="str">
        <f aca="false">VLOOKUP(L2877,Sheet2!D:E,2,0)</f>
        <v>Main Processor CPU BGA</v>
      </c>
      <c r="N2877" s="17" t="n">
        <v>1</v>
      </c>
      <c r="O2877" s="17" t="str">
        <f aca="false">VLOOKUP(N2877,Sheet2!G:H,2,0)</f>
        <v>Dead</v>
      </c>
      <c r="P2877" s="17" t="n">
        <v>11</v>
      </c>
      <c r="Q2877" s="17" t="str">
        <f aca="false">VLOOKUP(P2877,Sheet2!J:K,2,0)</f>
        <v>IR Declared due to CID -TA</v>
      </c>
      <c r="R2877" s="17" t="s">
        <v>35</v>
      </c>
      <c r="S2877" s="17" t="str">
        <f aca="false">VLOOKUP(R2877,Sheet2!N:O,2,0)</f>
        <v>IREPARABLE</v>
      </c>
      <c r="T2877" s="18" t="str">
        <f aca="false">VLOOKUP(P2877,Sheet2!Q:R,2,0)</f>
        <v>IR Normal - Track burn out</v>
      </c>
      <c r="U2877" s="20" t="s">
        <v>41</v>
      </c>
      <c r="V2877" s="17"/>
      <c r="W2877" s="20" t="e">
        <f aca="false">VLOOKUP(V2877,Sheet2!Q:R,2,0)</f>
        <v>#N/A</v>
      </c>
      <c r="X2877" s="17" t="n">
        <f aca="false">J2877</f>
        <v>0</v>
      </c>
      <c r="Y2877" s="17" t="e">
        <f aca="false">VLOOKUP(X2877,Sheet2!A:B,2,0)</f>
        <v>#N/A</v>
      </c>
      <c r="Z2877" s="17"/>
      <c r="AA2877" s="17"/>
      <c r="AB2877" s="17" t="s">
        <v>41</v>
      </c>
      <c r="AC2877" s="0" t="str">
        <f aca="false">LEFT(G2877,2)</f>
        <v/>
      </c>
    </row>
    <row r="2878" customFormat="false" ht="15" hidden="false" customHeight="false" outlineLevel="0" collapsed="false">
      <c r="A2878" s="13" t="n">
        <f aca="false">1+A2877</f>
        <v>2876</v>
      </c>
      <c r="B2878" s="14" t="n">
        <v>100</v>
      </c>
      <c r="C2878" s="15"/>
      <c r="D2878" s="16" t="s">
        <v>64</v>
      </c>
      <c r="E2878" s="17" t="s">
        <v>47</v>
      </c>
      <c r="F2878" s="18" t="s">
        <v>34</v>
      </c>
      <c r="G2878" s="19"/>
      <c r="H2878" s="17" t="s">
        <v>35</v>
      </c>
      <c r="I2878" s="17" t="s">
        <v>44</v>
      </c>
      <c r="J2878" s="17"/>
      <c r="K2878" s="17" t="e">
        <f aca="false">VLOOKUP(J2878,Sheet2!A:B,2,0)</f>
        <v>#N/A</v>
      </c>
      <c r="L2878" s="17" t="n">
        <v>5</v>
      </c>
      <c r="M2878" s="17" t="str">
        <f aca="false">VLOOKUP(L2878,Sheet2!D:E,2,0)</f>
        <v>Main Processor CPU BGA</v>
      </c>
      <c r="N2878" s="17" t="n">
        <v>1</v>
      </c>
      <c r="O2878" s="17" t="str">
        <f aca="false">VLOOKUP(N2878,Sheet2!G:H,2,0)</f>
        <v>Dead</v>
      </c>
      <c r="P2878" s="17" t="n">
        <v>11</v>
      </c>
      <c r="Q2878" s="17" t="str">
        <f aca="false">VLOOKUP(P2878,Sheet2!J:K,2,0)</f>
        <v>IR Declared due to CID -TA</v>
      </c>
      <c r="R2878" s="17" t="s">
        <v>35</v>
      </c>
      <c r="S2878" s="17" t="str">
        <f aca="false">VLOOKUP(R2878,Sheet2!N:O,2,0)</f>
        <v>IREPARABLE</v>
      </c>
      <c r="T2878" s="18" t="str">
        <f aca="false">VLOOKUP(P2878,Sheet2!Q:R,2,0)</f>
        <v>IR Normal - Track burn out</v>
      </c>
      <c r="U2878" s="20" t="s">
        <v>41</v>
      </c>
      <c r="V2878" s="17"/>
      <c r="W2878" s="20" t="e">
        <f aca="false">VLOOKUP(V2878,Sheet2!Q:R,2,0)</f>
        <v>#N/A</v>
      </c>
      <c r="X2878" s="17" t="n">
        <f aca="false">J2878</f>
        <v>0</v>
      </c>
      <c r="Y2878" s="17" t="e">
        <f aca="false">VLOOKUP(X2878,Sheet2!A:B,2,0)</f>
        <v>#N/A</v>
      </c>
      <c r="Z2878" s="17"/>
      <c r="AA2878" s="17"/>
      <c r="AB2878" s="17" t="s">
        <v>41</v>
      </c>
      <c r="AC2878" s="0" t="str">
        <f aca="false">LEFT(G2878,2)</f>
        <v/>
      </c>
    </row>
    <row r="2879" customFormat="false" ht="15" hidden="false" customHeight="false" outlineLevel="0" collapsed="false">
      <c r="A2879" s="13" t="n">
        <f aca="false">1+A2878</f>
        <v>2877</v>
      </c>
      <c r="B2879" s="14" t="n">
        <v>100</v>
      </c>
      <c r="C2879" s="15"/>
      <c r="D2879" s="16" t="s">
        <v>64</v>
      </c>
      <c r="E2879" s="17" t="s">
        <v>47</v>
      </c>
      <c r="F2879" s="18" t="s">
        <v>34</v>
      </c>
      <c r="G2879" s="19"/>
      <c r="H2879" s="17" t="s">
        <v>35</v>
      </c>
      <c r="I2879" s="17" t="s">
        <v>44</v>
      </c>
      <c r="J2879" s="17"/>
      <c r="K2879" s="17" t="e">
        <f aca="false">VLOOKUP(J2879,Sheet2!A:B,2,0)</f>
        <v>#N/A</v>
      </c>
      <c r="L2879" s="17" t="n">
        <v>5</v>
      </c>
      <c r="M2879" s="17" t="str">
        <f aca="false">VLOOKUP(L2879,Sheet2!D:E,2,0)</f>
        <v>Main Processor CPU BGA</v>
      </c>
      <c r="N2879" s="17" t="n">
        <v>1</v>
      </c>
      <c r="O2879" s="17" t="str">
        <f aca="false">VLOOKUP(N2879,Sheet2!G:H,2,0)</f>
        <v>Dead</v>
      </c>
      <c r="P2879" s="17" t="n">
        <v>11</v>
      </c>
      <c r="Q2879" s="17" t="str">
        <f aca="false">VLOOKUP(P2879,Sheet2!J:K,2,0)</f>
        <v>IR Declared due to CID -TA</v>
      </c>
      <c r="R2879" s="17" t="s">
        <v>35</v>
      </c>
      <c r="S2879" s="17" t="str">
        <f aca="false">VLOOKUP(R2879,Sheet2!N:O,2,0)</f>
        <v>IREPARABLE</v>
      </c>
      <c r="T2879" s="18" t="str">
        <f aca="false">VLOOKUP(P2879,Sheet2!Q:R,2,0)</f>
        <v>IR Normal - Track burn out</v>
      </c>
      <c r="U2879" s="20" t="s">
        <v>41</v>
      </c>
      <c r="V2879" s="17"/>
      <c r="W2879" s="20" t="e">
        <f aca="false">VLOOKUP(V2879,Sheet2!Q:R,2,0)</f>
        <v>#N/A</v>
      </c>
      <c r="X2879" s="17" t="n">
        <f aca="false">J2879</f>
        <v>0</v>
      </c>
      <c r="Y2879" s="17" t="e">
        <f aca="false">VLOOKUP(X2879,Sheet2!A:B,2,0)</f>
        <v>#N/A</v>
      </c>
      <c r="Z2879" s="17"/>
      <c r="AA2879" s="17"/>
      <c r="AB2879" s="17" t="s">
        <v>41</v>
      </c>
      <c r="AC2879" s="0" t="str">
        <f aca="false">LEFT(G2879,2)</f>
        <v/>
      </c>
    </row>
    <row r="2880" customFormat="false" ht="15" hidden="false" customHeight="false" outlineLevel="0" collapsed="false">
      <c r="A2880" s="13" t="n">
        <f aca="false">1+A2879</f>
        <v>2878</v>
      </c>
      <c r="B2880" s="14" t="n">
        <v>100</v>
      </c>
      <c r="C2880" s="15"/>
      <c r="D2880" s="16" t="s">
        <v>64</v>
      </c>
      <c r="E2880" s="17" t="s">
        <v>47</v>
      </c>
      <c r="F2880" s="18" t="s">
        <v>34</v>
      </c>
      <c r="G2880" s="19"/>
      <c r="H2880" s="17" t="s">
        <v>35</v>
      </c>
      <c r="I2880" s="17" t="s">
        <v>44</v>
      </c>
      <c r="J2880" s="17"/>
      <c r="K2880" s="17" t="e">
        <f aca="false">VLOOKUP(J2880,Sheet2!A:B,2,0)</f>
        <v>#N/A</v>
      </c>
      <c r="L2880" s="17" t="n">
        <v>5</v>
      </c>
      <c r="M2880" s="17" t="str">
        <f aca="false">VLOOKUP(L2880,Sheet2!D:E,2,0)</f>
        <v>Main Processor CPU BGA</v>
      </c>
      <c r="N2880" s="17" t="n">
        <v>1</v>
      </c>
      <c r="O2880" s="17" t="str">
        <f aca="false">VLOOKUP(N2880,Sheet2!G:H,2,0)</f>
        <v>Dead</v>
      </c>
      <c r="P2880" s="17" t="n">
        <v>11</v>
      </c>
      <c r="Q2880" s="17" t="str">
        <f aca="false">VLOOKUP(P2880,Sheet2!J:K,2,0)</f>
        <v>IR Declared due to CID -TA</v>
      </c>
      <c r="R2880" s="17" t="s">
        <v>35</v>
      </c>
      <c r="S2880" s="17" t="str">
        <f aca="false">VLOOKUP(R2880,Sheet2!N:O,2,0)</f>
        <v>IREPARABLE</v>
      </c>
      <c r="T2880" s="18" t="str">
        <f aca="false">VLOOKUP(P2880,Sheet2!Q:R,2,0)</f>
        <v>IR Normal - Track burn out</v>
      </c>
      <c r="U2880" s="20" t="s">
        <v>41</v>
      </c>
      <c r="V2880" s="17"/>
      <c r="W2880" s="20" t="e">
        <f aca="false">VLOOKUP(V2880,Sheet2!Q:R,2,0)</f>
        <v>#N/A</v>
      </c>
      <c r="X2880" s="17" t="n">
        <f aca="false">J2880</f>
        <v>0</v>
      </c>
      <c r="Y2880" s="17" t="e">
        <f aca="false">VLOOKUP(X2880,Sheet2!A:B,2,0)</f>
        <v>#N/A</v>
      </c>
      <c r="Z2880" s="17"/>
      <c r="AA2880" s="17"/>
      <c r="AB2880" s="17" t="s">
        <v>41</v>
      </c>
      <c r="AC2880" s="0" t="str">
        <f aca="false">LEFT(G2880,2)</f>
        <v/>
      </c>
    </row>
    <row r="2881" customFormat="false" ht="15" hidden="false" customHeight="false" outlineLevel="0" collapsed="false">
      <c r="A2881" s="13" t="n">
        <f aca="false">1+A2880</f>
        <v>2879</v>
      </c>
      <c r="B2881" s="14" t="n">
        <v>100</v>
      </c>
      <c r="C2881" s="15"/>
      <c r="D2881" s="16" t="s">
        <v>64</v>
      </c>
      <c r="E2881" s="17" t="s">
        <v>47</v>
      </c>
      <c r="F2881" s="18" t="s">
        <v>34</v>
      </c>
      <c r="G2881" s="19"/>
      <c r="H2881" s="17" t="s">
        <v>35</v>
      </c>
      <c r="I2881" s="17" t="s">
        <v>44</v>
      </c>
      <c r="J2881" s="17"/>
      <c r="K2881" s="17" t="e">
        <f aca="false">VLOOKUP(J2881,Sheet2!A:B,2,0)</f>
        <v>#N/A</v>
      </c>
      <c r="L2881" s="17" t="n">
        <v>5</v>
      </c>
      <c r="M2881" s="17" t="str">
        <f aca="false">VLOOKUP(L2881,Sheet2!D:E,2,0)</f>
        <v>Main Processor CPU BGA</v>
      </c>
      <c r="N2881" s="17" t="n">
        <v>1</v>
      </c>
      <c r="O2881" s="17" t="str">
        <f aca="false">VLOOKUP(N2881,Sheet2!G:H,2,0)</f>
        <v>Dead</v>
      </c>
      <c r="P2881" s="17" t="n">
        <v>11</v>
      </c>
      <c r="Q2881" s="17" t="str">
        <f aca="false">VLOOKUP(P2881,Sheet2!J:K,2,0)</f>
        <v>IR Declared due to CID -TA</v>
      </c>
      <c r="R2881" s="17" t="s">
        <v>35</v>
      </c>
      <c r="S2881" s="17" t="str">
        <f aca="false">VLOOKUP(R2881,Sheet2!N:O,2,0)</f>
        <v>IREPARABLE</v>
      </c>
      <c r="T2881" s="18" t="str">
        <f aca="false">VLOOKUP(P2881,Sheet2!Q:R,2,0)</f>
        <v>IR Normal - Track burn out</v>
      </c>
      <c r="U2881" s="20" t="s">
        <v>41</v>
      </c>
      <c r="V2881" s="17"/>
      <c r="W2881" s="20" t="e">
        <f aca="false">VLOOKUP(V2881,Sheet2!Q:R,2,0)</f>
        <v>#N/A</v>
      </c>
      <c r="X2881" s="17" t="n">
        <f aca="false">J2881</f>
        <v>0</v>
      </c>
      <c r="Y2881" s="17" t="e">
        <f aca="false">VLOOKUP(X2881,Sheet2!A:B,2,0)</f>
        <v>#N/A</v>
      </c>
      <c r="Z2881" s="17"/>
      <c r="AA2881" s="17"/>
      <c r="AB2881" s="17" t="s">
        <v>41</v>
      </c>
      <c r="AC2881" s="0" t="str">
        <f aca="false">LEFT(G2881,2)</f>
        <v/>
      </c>
    </row>
    <row r="2882" customFormat="false" ht="15" hidden="false" customHeight="false" outlineLevel="0" collapsed="false">
      <c r="A2882" s="13" t="n">
        <f aca="false">1+A2881</f>
        <v>2880</v>
      </c>
      <c r="B2882" s="14" t="n">
        <v>100</v>
      </c>
      <c r="C2882" s="15"/>
      <c r="D2882" s="16" t="s">
        <v>64</v>
      </c>
      <c r="E2882" s="17" t="s">
        <v>47</v>
      </c>
      <c r="F2882" s="18" t="s">
        <v>34</v>
      </c>
      <c r="G2882" s="19"/>
      <c r="H2882" s="17" t="s">
        <v>35</v>
      </c>
      <c r="I2882" s="17" t="s">
        <v>44</v>
      </c>
      <c r="J2882" s="17"/>
      <c r="K2882" s="17" t="e">
        <f aca="false">VLOOKUP(J2882,Sheet2!A:B,2,0)</f>
        <v>#N/A</v>
      </c>
      <c r="L2882" s="17" t="n">
        <v>5</v>
      </c>
      <c r="M2882" s="17" t="str">
        <f aca="false">VLOOKUP(L2882,Sheet2!D:E,2,0)</f>
        <v>Main Processor CPU BGA</v>
      </c>
      <c r="N2882" s="17" t="n">
        <v>1</v>
      </c>
      <c r="O2882" s="17" t="str">
        <f aca="false">VLOOKUP(N2882,Sheet2!G:H,2,0)</f>
        <v>Dead</v>
      </c>
      <c r="P2882" s="17" t="n">
        <v>11</v>
      </c>
      <c r="Q2882" s="17" t="str">
        <f aca="false">VLOOKUP(P2882,Sheet2!J:K,2,0)</f>
        <v>IR Declared due to CID -TA</v>
      </c>
      <c r="R2882" s="17" t="s">
        <v>35</v>
      </c>
      <c r="S2882" s="17" t="str">
        <f aca="false">VLOOKUP(R2882,Sheet2!N:O,2,0)</f>
        <v>IREPARABLE</v>
      </c>
      <c r="T2882" s="18" t="str">
        <f aca="false">VLOOKUP(P2882,Sheet2!Q:R,2,0)</f>
        <v>IR Normal - Track burn out</v>
      </c>
      <c r="U2882" s="20" t="s">
        <v>41</v>
      </c>
      <c r="V2882" s="17"/>
      <c r="W2882" s="20" t="e">
        <f aca="false">VLOOKUP(V2882,Sheet2!Q:R,2,0)</f>
        <v>#N/A</v>
      </c>
      <c r="X2882" s="17" t="n">
        <f aca="false">J2882</f>
        <v>0</v>
      </c>
      <c r="Y2882" s="17" t="e">
        <f aca="false">VLOOKUP(X2882,Sheet2!A:B,2,0)</f>
        <v>#N/A</v>
      </c>
      <c r="Z2882" s="17"/>
      <c r="AA2882" s="17"/>
      <c r="AB2882" s="17" t="s">
        <v>41</v>
      </c>
      <c r="AC2882" s="0" t="str">
        <f aca="false">LEFT(G2882,2)</f>
        <v/>
      </c>
    </row>
    <row r="2883" customFormat="false" ht="15" hidden="false" customHeight="false" outlineLevel="0" collapsed="false">
      <c r="A2883" s="13" t="n">
        <f aca="false">1+A2882</f>
        <v>2881</v>
      </c>
      <c r="B2883" s="14" t="n">
        <v>100</v>
      </c>
      <c r="C2883" s="15"/>
      <c r="D2883" s="16" t="s">
        <v>64</v>
      </c>
      <c r="E2883" s="17" t="s">
        <v>47</v>
      </c>
      <c r="F2883" s="18" t="s">
        <v>34</v>
      </c>
      <c r="G2883" s="19"/>
      <c r="H2883" s="17" t="s">
        <v>35</v>
      </c>
      <c r="I2883" s="17" t="s">
        <v>44</v>
      </c>
      <c r="J2883" s="17"/>
      <c r="K2883" s="17" t="e">
        <f aca="false">VLOOKUP(J2883,Sheet2!A:B,2,0)</f>
        <v>#N/A</v>
      </c>
      <c r="L2883" s="17" t="n">
        <v>5</v>
      </c>
      <c r="M2883" s="17" t="str">
        <f aca="false">VLOOKUP(L2883,Sheet2!D:E,2,0)</f>
        <v>Main Processor CPU BGA</v>
      </c>
      <c r="N2883" s="17" t="n">
        <v>1</v>
      </c>
      <c r="O2883" s="17" t="str">
        <f aca="false">VLOOKUP(N2883,Sheet2!G:H,2,0)</f>
        <v>Dead</v>
      </c>
      <c r="P2883" s="17" t="n">
        <v>11</v>
      </c>
      <c r="Q2883" s="17" t="str">
        <f aca="false">VLOOKUP(P2883,Sheet2!J:K,2,0)</f>
        <v>IR Declared due to CID -TA</v>
      </c>
      <c r="R2883" s="17" t="s">
        <v>35</v>
      </c>
      <c r="S2883" s="17" t="str">
        <f aca="false">VLOOKUP(R2883,Sheet2!N:O,2,0)</f>
        <v>IREPARABLE</v>
      </c>
      <c r="T2883" s="18" t="str">
        <f aca="false">VLOOKUP(P2883,Sheet2!Q:R,2,0)</f>
        <v>IR Normal - Track burn out</v>
      </c>
      <c r="U2883" s="20" t="s">
        <v>41</v>
      </c>
      <c r="V2883" s="17"/>
      <c r="W2883" s="20" t="e">
        <f aca="false">VLOOKUP(V2883,Sheet2!Q:R,2,0)</f>
        <v>#N/A</v>
      </c>
      <c r="X2883" s="17" t="n">
        <f aca="false">J2883</f>
        <v>0</v>
      </c>
      <c r="Y2883" s="17" t="e">
        <f aca="false">VLOOKUP(X2883,Sheet2!A:B,2,0)</f>
        <v>#N/A</v>
      </c>
      <c r="Z2883" s="17"/>
      <c r="AA2883" s="17"/>
      <c r="AB2883" s="17" t="s">
        <v>41</v>
      </c>
      <c r="AC2883" s="0" t="str">
        <f aca="false">LEFT(G2883,2)</f>
        <v/>
      </c>
    </row>
    <row r="2884" customFormat="false" ht="15" hidden="false" customHeight="false" outlineLevel="0" collapsed="false">
      <c r="A2884" s="13" t="n">
        <f aca="false">1+A2883</f>
        <v>2882</v>
      </c>
      <c r="B2884" s="14" t="n">
        <v>100</v>
      </c>
      <c r="C2884" s="15"/>
      <c r="D2884" s="16" t="s">
        <v>64</v>
      </c>
      <c r="E2884" s="17" t="s">
        <v>47</v>
      </c>
      <c r="F2884" s="18" t="s">
        <v>34</v>
      </c>
      <c r="G2884" s="19"/>
      <c r="H2884" s="17" t="s">
        <v>35</v>
      </c>
      <c r="I2884" s="17" t="s">
        <v>44</v>
      </c>
      <c r="J2884" s="17"/>
      <c r="K2884" s="17" t="e">
        <f aca="false">VLOOKUP(J2884,Sheet2!A:B,2,0)</f>
        <v>#N/A</v>
      </c>
      <c r="L2884" s="17" t="n">
        <v>5</v>
      </c>
      <c r="M2884" s="17" t="str">
        <f aca="false">VLOOKUP(L2884,Sheet2!D:E,2,0)</f>
        <v>Main Processor CPU BGA</v>
      </c>
      <c r="N2884" s="17" t="n">
        <v>1</v>
      </c>
      <c r="O2884" s="17" t="str">
        <f aca="false">VLOOKUP(N2884,Sheet2!G:H,2,0)</f>
        <v>Dead</v>
      </c>
      <c r="P2884" s="17" t="n">
        <v>11</v>
      </c>
      <c r="Q2884" s="17" t="str">
        <f aca="false">VLOOKUP(P2884,Sheet2!J:K,2,0)</f>
        <v>IR Declared due to CID -TA</v>
      </c>
      <c r="R2884" s="17" t="s">
        <v>35</v>
      </c>
      <c r="S2884" s="17" t="str">
        <f aca="false">VLOOKUP(R2884,Sheet2!N:O,2,0)</f>
        <v>IREPARABLE</v>
      </c>
      <c r="T2884" s="18" t="str">
        <f aca="false">VLOOKUP(P2884,Sheet2!Q:R,2,0)</f>
        <v>IR Normal - Track burn out</v>
      </c>
      <c r="U2884" s="20" t="s">
        <v>41</v>
      </c>
      <c r="V2884" s="17"/>
      <c r="W2884" s="20" t="e">
        <f aca="false">VLOOKUP(V2884,Sheet2!Q:R,2,0)</f>
        <v>#N/A</v>
      </c>
      <c r="X2884" s="17" t="n">
        <f aca="false">J2884</f>
        <v>0</v>
      </c>
      <c r="Y2884" s="17" t="e">
        <f aca="false">VLOOKUP(X2884,Sheet2!A:B,2,0)</f>
        <v>#N/A</v>
      </c>
      <c r="Z2884" s="17"/>
      <c r="AA2884" s="17"/>
      <c r="AB2884" s="17" t="s">
        <v>41</v>
      </c>
      <c r="AC2884" s="0" t="str">
        <f aca="false">LEFT(G2884,2)</f>
        <v/>
      </c>
    </row>
    <row r="2885" customFormat="false" ht="15" hidden="false" customHeight="false" outlineLevel="0" collapsed="false">
      <c r="A2885" s="13" t="n">
        <f aca="false">1+A2884</f>
        <v>2883</v>
      </c>
      <c r="B2885" s="14" t="n">
        <v>100</v>
      </c>
      <c r="C2885" s="15"/>
      <c r="D2885" s="16" t="s">
        <v>64</v>
      </c>
      <c r="E2885" s="17" t="s">
        <v>47</v>
      </c>
      <c r="F2885" s="18" t="s">
        <v>34</v>
      </c>
      <c r="G2885" s="19"/>
      <c r="H2885" s="17" t="s">
        <v>35</v>
      </c>
      <c r="I2885" s="17" t="s">
        <v>44</v>
      </c>
      <c r="J2885" s="17"/>
      <c r="K2885" s="17" t="e">
        <f aca="false">VLOOKUP(J2885,Sheet2!A:B,2,0)</f>
        <v>#N/A</v>
      </c>
      <c r="L2885" s="17" t="n">
        <v>5</v>
      </c>
      <c r="M2885" s="17" t="str">
        <f aca="false">VLOOKUP(L2885,Sheet2!D:E,2,0)</f>
        <v>Main Processor CPU BGA</v>
      </c>
      <c r="N2885" s="17" t="n">
        <v>1</v>
      </c>
      <c r="O2885" s="17" t="str">
        <f aca="false">VLOOKUP(N2885,Sheet2!G:H,2,0)</f>
        <v>Dead</v>
      </c>
      <c r="P2885" s="17" t="n">
        <v>11</v>
      </c>
      <c r="Q2885" s="17" t="str">
        <f aca="false">VLOOKUP(P2885,Sheet2!J:K,2,0)</f>
        <v>IR Declared due to CID -TA</v>
      </c>
      <c r="R2885" s="17" t="s">
        <v>35</v>
      </c>
      <c r="S2885" s="17" t="str">
        <f aca="false">VLOOKUP(R2885,Sheet2!N:O,2,0)</f>
        <v>IREPARABLE</v>
      </c>
      <c r="T2885" s="18" t="str">
        <f aca="false">VLOOKUP(P2885,Sheet2!Q:R,2,0)</f>
        <v>IR Normal - Track burn out</v>
      </c>
      <c r="U2885" s="20" t="s">
        <v>41</v>
      </c>
      <c r="V2885" s="17"/>
      <c r="W2885" s="20" t="e">
        <f aca="false">VLOOKUP(V2885,Sheet2!Q:R,2,0)</f>
        <v>#N/A</v>
      </c>
      <c r="X2885" s="17" t="n">
        <f aca="false">J2885</f>
        <v>0</v>
      </c>
      <c r="Y2885" s="17" t="e">
        <f aca="false">VLOOKUP(X2885,Sheet2!A:B,2,0)</f>
        <v>#N/A</v>
      </c>
      <c r="Z2885" s="17"/>
      <c r="AA2885" s="17"/>
      <c r="AB2885" s="17" t="s">
        <v>41</v>
      </c>
      <c r="AC2885" s="0" t="str">
        <f aca="false">LEFT(G2885,2)</f>
        <v/>
      </c>
    </row>
    <row r="2886" customFormat="false" ht="15" hidden="false" customHeight="false" outlineLevel="0" collapsed="false">
      <c r="A2886" s="13" t="n">
        <f aca="false">1+A2885</f>
        <v>2884</v>
      </c>
      <c r="B2886" s="14" t="n">
        <v>100</v>
      </c>
      <c r="C2886" s="15"/>
      <c r="D2886" s="16" t="s">
        <v>64</v>
      </c>
      <c r="E2886" s="17" t="s">
        <v>47</v>
      </c>
      <c r="F2886" s="18" t="s">
        <v>34</v>
      </c>
      <c r="G2886" s="19"/>
      <c r="H2886" s="17" t="s">
        <v>35</v>
      </c>
      <c r="I2886" s="17" t="s">
        <v>44</v>
      </c>
      <c r="J2886" s="17"/>
      <c r="K2886" s="17" t="e">
        <f aca="false">VLOOKUP(J2886,Sheet2!A:B,2,0)</f>
        <v>#N/A</v>
      </c>
      <c r="L2886" s="17" t="n">
        <v>5</v>
      </c>
      <c r="M2886" s="17" t="str">
        <f aca="false">VLOOKUP(L2886,Sheet2!D:E,2,0)</f>
        <v>Main Processor CPU BGA</v>
      </c>
      <c r="N2886" s="17" t="n">
        <v>1</v>
      </c>
      <c r="O2886" s="17" t="str">
        <f aca="false">VLOOKUP(N2886,Sheet2!G:H,2,0)</f>
        <v>Dead</v>
      </c>
      <c r="P2886" s="17" t="n">
        <v>11</v>
      </c>
      <c r="Q2886" s="17" t="str">
        <f aca="false">VLOOKUP(P2886,Sheet2!J:K,2,0)</f>
        <v>IR Declared due to CID -TA</v>
      </c>
      <c r="R2886" s="17" t="s">
        <v>35</v>
      </c>
      <c r="S2886" s="17" t="str">
        <f aca="false">VLOOKUP(R2886,Sheet2!N:O,2,0)</f>
        <v>IREPARABLE</v>
      </c>
      <c r="T2886" s="18" t="str">
        <f aca="false">VLOOKUP(P2886,Sheet2!Q:R,2,0)</f>
        <v>IR Normal - Track burn out</v>
      </c>
      <c r="U2886" s="20" t="s">
        <v>41</v>
      </c>
      <c r="V2886" s="17"/>
      <c r="W2886" s="20" t="e">
        <f aca="false">VLOOKUP(V2886,Sheet2!Q:R,2,0)</f>
        <v>#N/A</v>
      </c>
      <c r="X2886" s="17" t="n">
        <f aca="false">J2886</f>
        <v>0</v>
      </c>
      <c r="Y2886" s="17" t="e">
        <f aca="false">VLOOKUP(X2886,Sheet2!A:B,2,0)</f>
        <v>#N/A</v>
      </c>
      <c r="Z2886" s="17"/>
      <c r="AA2886" s="17"/>
      <c r="AB2886" s="17" t="s">
        <v>41</v>
      </c>
      <c r="AC2886" s="0" t="str">
        <f aca="false">LEFT(G2886,2)</f>
        <v/>
      </c>
    </row>
    <row r="2887" customFormat="false" ht="15" hidden="false" customHeight="false" outlineLevel="0" collapsed="false">
      <c r="A2887" s="13" t="n">
        <f aca="false">1+A2886</f>
        <v>2885</v>
      </c>
      <c r="B2887" s="14" t="n">
        <v>100</v>
      </c>
      <c r="C2887" s="15"/>
      <c r="D2887" s="16" t="s">
        <v>64</v>
      </c>
      <c r="E2887" s="17" t="s">
        <v>47</v>
      </c>
      <c r="F2887" s="18" t="s">
        <v>34</v>
      </c>
      <c r="G2887" s="19"/>
      <c r="H2887" s="17" t="s">
        <v>35</v>
      </c>
      <c r="I2887" s="17" t="s">
        <v>44</v>
      </c>
      <c r="J2887" s="17"/>
      <c r="K2887" s="17" t="e">
        <f aca="false">VLOOKUP(J2887,Sheet2!A:B,2,0)</f>
        <v>#N/A</v>
      </c>
      <c r="L2887" s="17" t="n">
        <v>5</v>
      </c>
      <c r="M2887" s="17" t="str">
        <f aca="false">VLOOKUP(L2887,Sheet2!D:E,2,0)</f>
        <v>Main Processor CPU BGA</v>
      </c>
      <c r="N2887" s="17" t="n">
        <v>1</v>
      </c>
      <c r="O2887" s="17" t="str">
        <f aca="false">VLOOKUP(N2887,Sheet2!G:H,2,0)</f>
        <v>Dead</v>
      </c>
      <c r="P2887" s="17" t="n">
        <v>11</v>
      </c>
      <c r="Q2887" s="17" t="str">
        <f aca="false">VLOOKUP(P2887,Sheet2!J:K,2,0)</f>
        <v>IR Declared due to CID -TA</v>
      </c>
      <c r="R2887" s="17" t="s">
        <v>35</v>
      </c>
      <c r="S2887" s="17" t="str">
        <f aca="false">VLOOKUP(R2887,Sheet2!N:O,2,0)</f>
        <v>IREPARABLE</v>
      </c>
      <c r="T2887" s="18" t="str">
        <f aca="false">VLOOKUP(P2887,Sheet2!Q:R,2,0)</f>
        <v>IR Normal - Track burn out</v>
      </c>
      <c r="U2887" s="20" t="s">
        <v>41</v>
      </c>
      <c r="V2887" s="17"/>
      <c r="W2887" s="20" t="e">
        <f aca="false">VLOOKUP(V2887,Sheet2!Q:R,2,0)</f>
        <v>#N/A</v>
      </c>
      <c r="X2887" s="17" t="n">
        <f aca="false">J2887</f>
        <v>0</v>
      </c>
      <c r="Y2887" s="17" t="e">
        <f aca="false">VLOOKUP(X2887,Sheet2!A:B,2,0)</f>
        <v>#N/A</v>
      </c>
      <c r="Z2887" s="17"/>
      <c r="AA2887" s="17"/>
      <c r="AB2887" s="17" t="s">
        <v>41</v>
      </c>
      <c r="AC2887" s="0" t="str">
        <f aca="false">LEFT(G2887,2)</f>
        <v/>
      </c>
    </row>
    <row r="2888" customFormat="false" ht="15" hidden="false" customHeight="false" outlineLevel="0" collapsed="false">
      <c r="A2888" s="13" t="n">
        <f aca="false">1+A2887</f>
        <v>2886</v>
      </c>
      <c r="B2888" s="14" t="n">
        <v>100</v>
      </c>
      <c r="C2888" s="15"/>
      <c r="D2888" s="16" t="s">
        <v>64</v>
      </c>
      <c r="E2888" s="17" t="s">
        <v>47</v>
      </c>
      <c r="F2888" s="18" t="s">
        <v>34</v>
      </c>
      <c r="G2888" s="19"/>
      <c r="H2888" s="17" t="s">
        <v>35</v>
      </c>
      <c r="I2888" s="17" t="s">
        <v>44</v>
      </c>
      <c r="J2888" s="17"/>
      <c r="K2888" s="17" t="e">
        <f aca="false">VLOOKUP(J2888,Sheet2!A:B,2,0)</f>
        <v>#N/A</v>
      </c>
      <c r="L2888" s="17" t="n">
        <v>5</v>
      </c>
      <c r="M2888" s="17" t="str">
        <f aca="false">VLOOKUP(L2888,Sheet2!D:E,2,0)</f>
        <v>Main Processor CPU BGA</v>
      </c>
      <c r="N2888" s="17" t="n">
        <v>1</v>
      </c>
      <c r="O2888" s="17" t="str">
        <f aca="false">VLOOKUP(N2888,Sheet2!G:H,2,0)</f>
        <v>Dead</v>
      </c>
      <c r="P2888" s="17" t="n">
        <v>11</v>
      </c>
      <c r="Q2888" s="17" t="str">
        <f aca="false">VLOOKUP(P2888,Sheet2!J:K,2,0)</f>
        <v>IR Declared due to CID -TA</v>
      </c>
      <c r="R2888" s="17" t="s">
        <v>35</v>
      </c>
      <c r="S2888" s="17" t="str">
        <f aca="false">VLOOKUP(R2888,Sheet2!N:O,2,0)</f>
        <v>IREPARABLE</v>
      </c>
      <c r="T2888" s="18" t="str">
        <f aca="false">VLOOKUP(P2888,Sheet2!Q:R,2,0)</f>
        <v>IR Normal - Track burn out</v>
      </c>
      <c r="U2888" s="20" t="s">
        <v>41</v>
      </c>
      <c r="V2888" s="17"/>
      <c r="W2888" s="20" t="e">
        <f aca="false">VLOOKUP(V2888,Sheet2!Q:R,2,0)</f>
        <v>#N/A</v>
      </c>
      <c r="X2888" s="17" t="n">
        <f aca="false">J2888</f>
        <v>0</v>
      </c>
      <c r="Y2888" s="17" t="e">
        <f aca="false">VLOOKUP(X2888,Sheet2!A:B,2,0)</f>
        <v>#N/A</v>
      </c>
      <c r="Z2888" s="17"/>
      <c r="AA2888" s="17"/>
      <c r="AB2888" s="17" t="s">
        <v>41</v>
      </c>
      <c r="AC2888" s="0" t="str">
        <f aca="false">LEFT(G2888,2)</f>
        <v/>
      </c>
    </row>
    <row r="2889" customFormat="false" ht="15" hidden="false" customHeight="false" outlineLevel="0" collapsed="false">
      <c r="A2889" s="13" t="n">
        <f aca="false">1+A2888</f>
        <v>2887</v>
      </c>
      <c r="B2889" s="14" t="n">
        <v>100</v>
      </c>
      <c r="C2889" s="15"/>
      <c r="D2889" s="16" t="s">
        <v>64</v>
      </c>
      <c r="E2889" s="17" t="s">
        <v>47</v>
      </c>
      <c r="F2889" s="18" t="s">
        <v>34</v>
      </c>
      <c r="G2889" s="19"/>
      <c r="H2889" s="17" t="s">
        <v>35</v>
      </c>
      <c r="I2889" s="17" t="s">
        <v>44</v>
      </c>
      <c r="J2889" s="17"/>
      <c r="K2889" s="17" t="e">
        <f aca="false">VLOOKUP(J2889,Sheet2!A:B,2,0)</f>
        <v>#N/A</v>
      </c>
      <c r="L2889" s="17" t="n">
        <v>5</v>
      </c>
      <c r="M2889" s="17" t="str">
        <f aca="false">VLOOKUP(L2889,Sheet2!D:E,2,0)</f>
        <v>Main Processor CPU BGA</v>
      </c>
      <c r="N2889" s="17" t="n">
        <v>1</v>
      </c>
      <c r="O2889" s="17" t="str">
        <f aca="false">VLOOKUP(N2889,Sheet2!G:H,2,0)</f>
        <v>Dead</v>
      </c>
      <c r="P2889" s="17" t="n">
        <v>11</v>
      </c>
      <c r="Q2889" s="17" t="str">
        <f aca="false">VLOOKUP(P2889,Sheet2!J:K,2,0)</f>
        <v>IR Declared due to CID -TA</v>
      </c>
      <c r="R2889" s="17" t="s">
        <v>35</v>
      </c>
      <c r="S2889" s="17" t="str">
        <f aca="false">VLOOKUP(R2889,Sheet2!N:O,2,0)</f>
        <v>IREPARABLE</v>
      </c>
      <c r="T2889" s="18" t="str">
        <f aca="false">VLOOKUP(P2889,Sheet2!Q:R,2,0)</f>
        <v>IR Normal - Track burn out</v>
      </c>
      <c r="U2889" s="20" t="s">
        <v>41</v>
      </c>
      <c r="V2889" s="17"/>
      <c r="W2889" s="20" t="e">
        <f aca="false">VLOOKUP(V2889,Sheet2!Q:R,2,0)</f>
        <v>#N/A</v>
      </c>
      <c r="X2889" s="17" t="n">
        <f aca="false">J2889</f>
        <v>0</v>
      </c>
      <c r="Y2889" s="17" t="e">
        <f aca="false">VLOOKUP(X2889,Sheet2!A:B,2,0)</f>
        <v>#N/A</v>
      </c>
      <c r="Z2889" s="17"/>
      <c r="AA2889" s="17"/>
      <c r="AB2889" s="17" t="s">
        <v>41</v>
      </c>
      <c r="AC2889" s="0" t="str">
        <f aca="false">LEFT(G2889,2)</f>
        <v/>
      </c>
    </row>
    <row r="2890" customFormat="false" ht="15" hidden="false" customHeight="false" outlineLevel="0" collapsed="false">
      <c r="A2890" s="13" t="n">
        <f aca="false">1+A2889</f>
        <v>2888</v>
      </c>
      <c r="B2890" s="14" t="n">
        <v>100</v>
      </c>
      <c r="C2890" s="15"/>
      <c r="D2890" s="16" t="s">
        <v>64</v>
      </c>
      <c r="E2890" s="17" t="s">
        <v>47</v>
      </c>
      <c r="F2890" s="18" t="s">
        <v>34</v>
      </c>
      <c r="G2890" s="19"/>
      <c r="H2890" s="17" t="s">
        <v>35</v>
      </c>
      <c r="I2890" s="17" t="s">
        <v>44</v>
      </c>
      <c r="J2890" s="17"/>
      <c r="K2890" s="17" t="e">
        <f aca="false">VLOOKUP(J2890,Sheet2!A:B,2,0)</f>
        <v>#N/A</v>
      </c>
      <c r="L2890" s="17" t="n">
        <v>5</v>
      </c>
      <c r="M2890" s="17" t="str">
        <f aca="false">VLOOKUP(L2890,Sheet2!D:E,2,0)</f>
        <v>Main Processor CPU BGA</v>
      </c>
      <c r="N2890" s="17" t="n">
        <v>1</v>
      </c>
      <c r="O2890" s="17" t="str">
        <f aca="false">VLOOKUP(N2890,Sheet2!G:H,2,0)</f>
        <v>Dead</v>
      </c>
      <c r="P2890" s="17" t="n">
        <v>11</v>
      </c>
      <c r="Q2890" s="17" t="str">
        <f aca="false">VLOOKUP(P2890,Sheet2!J:K,2,0)</f>
        <v>IR Declared due to CID -TA</v>
      </c>
      <c r="R2890" s="17" t="s">
        <v>35</v>
      </c>
      <c r="S2890" s="17" t="str">
        <f aca="false">VLOOKUP(R2890,Sheet2!N:O,2,0)</f>
        <v>IREPARABLE</v>
      </c>
      <c r="T2890" s="18" t="str">
        <f aca="false">VLOOKUP(P2890,Sheet2!Q:R,2,0)</f>
        <v>IR Normal - Track burn out</v>
      </c>
      <c r="U2890" s="20" t="s">
        <v>41</v>
      </c>
      <c r="V2890" s="17"/>
      <c r="W2890" s="20" t="e">
        <f aca="false">VLOOKUP(V2890,Sheet2!Q:R,2,0)</f>
        <v>#N/A</v>
      </c>
      <c r="X2890" s="17" t="n">
        <f aca="false">J2890</f>
        <v>0</v>
      </c>
      <c r="Y2890" s="17" t="e">
        <f aca="false">VLOOKUP(X2890,Sheet2!A:B,2,0)</f>
        <v>#N/A</v>
      </c>
      <c r="Z2890" s="17"/>
      <c r="AA2890" s="17"/>
      <c r="AB2890" s="17" t="s">
        <v>41</v>
      </c>
      <c r="AC2890" s="0" t="str">
        <f aca="false">LEFT(G2890,2)</f>
        <v/>
      </c>
    </row>
    <row r="2891" customFormat="false" ht="15" hidden="false" customHeight="false" outlineLevel="0" collapsed="false">
      <c r="A2891" s="13" t="n">
        <f aca="false">1+A2890</f>
        <v>2889</v>
      </c>
      <c r="B2891" s="14" t="n">
        <v>100</v>
      </c>
      <c r="C2891" s="15"/>
      <c r="D2891" s="16" t="s">
        <v>64</v>
      </c>
      <c r="E2891" s="17" t="s">
        <v>47</v>
      </c>
      <c r="F2891" s="18" t="s">
        <v>34</v>
      </c>
      <c r="G2891" s="19"/>
      <c r="H2891" s="17" t="s">
        <v>35</v>
      </c>
      <c r="I2891" s="17" t="s">
        <v>44</v>
      </c>
      <c r="J2891" s="17"/>
      <c r="K2891" s="17" t="e">
        <f aca="false">VLOOKUP(J2891,Sheet2!A:B,2,0)</f>
        <v>#N/A</v>
      </c>
      <c r="L2891" s="17" t="n">
        <v>5</v>
      </c>
      <c r="M2891" s="17" t="str">
        <f aca="false">VLOOKUP(L2891,Sheet2!D:E,2,0)</f>
        <v>Main Processor CPU BGA</v>
      </c>
      <c r="N2891" s="17" t="n">
        <v>1</v>
      </c>
      <c r="O2891" s="17" t="str">
        <f aca="false">VLOOKUP(N2891,Sheet2!G:H,2,0)</f>
        <v>Dead</v>
      </c>
      <c r="P2891" s="17" t="n">
        <v>11</v>
      </c>
      <c r="Q2891" s="17" t="str">
        <f aca="false">VLOOKUP(P2891,Sheet2!J:K,2,0)</f>
        <v>IR Declared due to CID -TA</v>
      </c>
      <c r="R2891" s="17" t="s">
        <v>35</v>
      </c>
      <c r="S2891" s="17" t="str">
        <f aca="false">VLOOKUP(R2891,Sheet2!N:O,2,0)</f>
        <v>IREPARABLE</v>
      </c>
      <c r="T2891" s="18" t="str">
        <f aca="false">VLOOKUP(P2891,Sheet2!Q:R,2,0)</f>
        <v>IR Normal - Track burn out</v>
      </c>
      <c r="U2891" s="20" t="s">
        <v>41</v>
      </c>
      <c r="V2891" s="17"/>
      <c r="W2891" s="20" t="e">
        <f aca="false">VLOOKUP(V2891,Sheet2!Q:R,2,0)</f>
        <v>#N/A</v>
      </c>
      <c r="X2891" s="17" t="n">
        <f aca="false">J2891</f>
        <v>0</v>
      </c>
      <c r="Y2891" s="17" t="e">
        <f aca="false">VLOOKUP(X2891,Sheet2!A:B,2,0)</f>
        <v>#N/A</v>
      </c>
      <c r="Z2891" s="17"/>
      <c r="AA2891" s="17"/>
      <c r="AB2891" s="17" t="s">
        <v>41</v>
      </c>
      <c r="AC2891" s="0" t="str">
        <f aca="false">LEFT(G2891,2)</f>
        <v/>
      </c>
    </row>
    <row r="2892" customFormat="false" ht="15" hidden="false" customHeight="false" outlineLevel="0" collapsed="false">
      <c r="A2892" s="13" t="n">
        <f aca="false">1+A2891</f>
        <v>2890</v>
      </c>
      <c r="B2892" s="14" t="n">
        <v>100</v>
      </c>
      <c r="C2892" s="15"/>
      <c r="D2892" s="16" t="s">
        <v>64</v>
      </c>
      <c r="E2892" s="17" t="s">
        <v>47</v>
      </c>
      <c r="F2892" s="18" t="s">
        <v>34</v>
      </c>
      <c r="G2892" s="19"/>
      <c r="H2892" s="17" t="s">
        <v>35</v>
      </c>
      <c r="I2892" s="17" t="s">
        <v>44</v>
      </c>
      <c r="J2892" s="17"/>
      <c r="K2892" s="17" t="e">
        <f aca="false">VLOOKUP(J2892,Sheet2!A:B,2,0)</f>
        <v>#N/A</v>
      </c>
      <c r="L2892" s="17" t="n">
        <v>5</v>
      </c>
      <c r="M2892" s="17" t="str">
        <f aca="false">VLOOKUP(L2892,Sheet2!D:E,2,0)</f>
        <v>Main Processor CPU BGA</v>
      </c>
      <c r="N2892" s="17" t="n">
        <v>1</v>
      </c>
      <c r="O2892" s="17" t="str">
        <f aca="false">VLOOKUP(N2892,Sheet2!G:H,2,0)</f>
        <v>Dead</v>
      </c>
      <c r="P2892" s="17" t="n">
        <v>11</v>
      </c>
      <c r="Q2892" s="17" t="str">
        <f aca="false">VLOOKUP(P2892,Sheet2!J:K,2,0)</f>
        <v>IR Declared due to CID -TA</v>
      </c>
      <c r="R2892" s="17" t="s">
        <v>35</v>
      </c>
      <c r="S2892" s="17" t="str">
        <f aca="false">VLOOKUP(R2892,Sheet2!N:O,2,0)</f>
        <v>IREPARABLE</v>
      </c>
      <c r="T2892" s="18" t="str">
        <f aca="false">VLOOKUP(P2892,Sheet2!Q:R,2,0)</f>
        <v>IR Normal - Track burn out</v>
      </c>
      <c r="U2892" s="20" t="s">
        <v>41</v>
      </c>
      <c r="V2892" s="17"/>
      <c r="W2892" s="20" t="e">
        <f aca="false">VLOOKUP(V2892,Sheet2!Q:R,2,0)</f>
        <v>#N/A</v>
      </c>
      <c r="X2892" s="17" t="n">
        <f aca="false">J2892</f>
        <v>0</v>
      </c>
      <c r="Y2892" s="17" t="e">
        <f aca="false">VLOOKUP(X2892,Sheet2!A:B,2,0)</f>
        <v>#N/A</v>
      </c>
      <c r="Z2892" s="17"/>
      <c r="AA2892" s="17"/>
      <c r="AB2892" s="17" t="s">
        <v>41</v>
      </c>
      <c r="AC2892" s="0" t="str">
        <f aca="false">LEFT(G2892,2)</f>
        <v/>
      </c>
    </row>
    <row r="2893" customFormat="false" ht="15" hidden="false" customHeight="false" outlineLevel="0" collapsed="false">
      <c r="A2893" s="13" t="n">
        <f aca="false">1+A2892</f>
        <v>2891</v>
      </c>
      <c r="B2893" s="14" t="n">
        <v>100</v>
      </c>
      <c r="C2893" s="15"/>
      <c r="D2893" s="16" t="s">
        <v>64</v>
      </c>
      <c r="E2893" s="17" t="s">
        <v>47</v>
      </c>
      <c r="F2893" s="18" t="s">
        <v>34</v>
      </c>
      <c r="G2893" s="19"/>
      <c r="H2893" s="17" t="s">
        <v>35</v>
      </c>
      <c r="I2893" s="17" t="s">
        <v>44</v>
      </c>
      <c r="J2893" s="17"/>
      <c r="K2893" s="17" t="e">
        <f aca="false">VLOOKUP(J2893,Sheet2!A:B,2,0)</f>
        <v>#N/A</v>
      </c>
      <c r="L2893" s="17" t="n">
        <v>5</v>
      </c>
      <c r="M2893" s="17" t="str">
        <f aca="false">VLOOKUP(L2893,Sheet2!D:E,2,0)</f>
        <v>Main Processor CPU BGA</v>
      </c>
      <c r="N2893" s="17" t="n">
        <v>1</v>
      </c>
      <c r="O2893" s="17" t="str">
        <f aca="false">VLOOKUP(N2893,Sheet2!G:H,2,0)</f>
        <v>Dead</v>
      </c>
      <c r="P2893" s="17" t="n">
        <v>11</v>
      </c>
      <c r="Q2893" s="17" t="str">
        <f aca="false">VLOOKUP(P2893,Sheet2!J:K,2,0)</f>
        <v>IR Declared due to CID -TA</v>
      </c>
      <c r="R2893" s="17" t="s">
        <v>35</v>
      </c>
      <c r="S2893" s="17" t="str">
        <f aca="false">VLOOKUP(R2893,Sheet2!N:O,2,0)</f>
        <v>IREPARABLE</v>
      </c>
      <c r="T2893" s="18" t="str">
        <f aca="false">VLOOKUP(P2893,Sheet2!Q:R,2,0)</f>
        <v>IR Normal - Track burn out</v>
      </c>
      <c r="U2893" s="20" t="s">
        <v>41</v>
      </c>
      <c r="V2893" s="17"/>
      <c r="W2893" s="20" t="e">
        <f aca="false">VLOOKUP(V2893,Sheet2!Q:R,2,0)</f>
        <v>#N/A</v>
      </c>
      <c r="X2893" s="17" t="n">
        <f aca="false">J2893</f>
        <v>0</v>
      </c>
      <c r="Y2893" s="17" t="e">
        <f aca="false">VLOOKUP(X2893,Sheet2!A:B,2,0)</f>
        <v>#N/A</v>
      </c>
      <c r="Z2893" s="17"/>
      <c r="AA2893" s="17"/>
      <c r="AB2893" s="17" t="s">
        <v>41</v>
      </c>
      <c r="AC2893" s="0" t="str">
        <f aca="false">LEFT(G2893,2)</f>
        <v/>
      </c>
    </row>
    <row r="2894" customFormat="false" ht="15" hidden="false" customHeight="false" outlineLevel="0" collapsed="false">
      <c r="A2894" s="13" t="n">
        <f aca="false">1+A2893</f>
        <v>2892</v>
      </c>
      <c r="B2894" s="14" t="n">
        <v>100</v>
      </c>
      <c r="C2894" s="15"/>
      <c r="D2894" s="16" t="s">
        <v>64</v>
      </c>
      <c r="E2894" s="17" t="s">
        <v>47</v>
      </c>
      <c r="F2894" s="18" t="s">
        <v>34</v>
      </c>
      <c r="G2894" s="19"/>
      <c r="H2894" s="17" t="s">
        <v>35</v>
      </c>
      <c r="I2894" s="17" t="s">
        <v>44</v>
      </c>
      <c r="J2894" s="17"/>
      <c r="K2894" s="17" t="e">
        <f aca="false">VLOOKUP(J2894,Sheet2!A:B,2,0)</f>
        <v>#N/A</v>
      </c>
      <c r="L2894" s="17" t="n">
        <v>5</v>
      </c>
      <c r="M2894" s="17" t="str">
        <f aca="false">VLOOKUP(L2894,Sheet2!D:E,2,0)</f>
        <v>Main Processor CPU BGA</v>
      </c>
      <c r="N2894" s="17" t="n">
        <v>1</v>
      </c>
      <c r="O2894" s="17" t="str">
        <f aca="false">VLOOKUP(N2894,Sheet2!G:H,2,0)</f>
        <v>Dead</v>
      </c>
      <c r="P2894" s="17" t="n">
        <v>11</v>
      </c>
      <c r="Q2894" s="17" t="str">
        <f aca="false">VLOOKUP(P2894,Sheet2!J:K,2,0)</f>
        <v>IR Declared due to CID -TA</v>
      </c>
      <c r="R2894" s="17" t="s">
        <v>35</v>
      </c>
      <c r="S2894" s="17" t="str">
        <f aca="false">VLOOKUP(R2894,Sheet2!N:O,2,0)</f>
        <v>IREPARABLE</v>
      </c>
      <c r="T2894" s="18" t="str">
        <f aca="false">VLOOKUP(P2894,Sheet2!Q:R,2,0)</f>
        <v>IR Normal - Track burn out</v>
      </c>
      <c r="U2894" s="20" t="s">
        <v>41</v>
      </c>
      <c r="V2894" s="17"/>
      <c r="W2894" s="20" t="e">
        <f aca="false">VLOOKUP(V2894,Sheet2!Q:R,2,0)</f>
        <v>#N/A</v>
      </c>
      <c r="X2894" s="17" t="n">
        <f aca="false">J2894</f>
        <v>0</v>
      </c>
      <c r="Y2894" s="17" t="e">
        <f aca="false">VLOOKUP(X2894,Sheet2!A:B,2,0)</f>
        <v>#N/A</v>
      </c>
      <c r="Z2894" s="17"/>
      <c r="AA2894" s="17"/>
      <c r="AB2894" s="17" t="s">
        <v>41</v>
      </c>
      <c r="AC2894" s="0" t="str">
        <f aca="false">LEFT(G2894,2)</f>
        <v/>
      </c>
    </row>
    <row r="2895" customFormat="false" ht="15" hidden="false" customHeight="false" outlineLevel="0" collapsed="false">
      <c r="A2895" s="13" t="n">
        <f aca="false">1+A2894</f>
        <v>2893</v>
      </c>
      <c r="B2895" s="14" t="n">
        <v>100</v>
      </c>
      <c r="C2895" s="15"/>
      <c r="D2895" s="16" t="s">
        <v>64</v>
      </c>
      <c r="E2895" s="17" t="s">
        <v>47</v>
      </c>
      <c r="F2895" s="18" t="s">
        <v>34</v>
      </c>
      <c r="G2895" s="19"/>
      <c r="H2895" s="17" t="s">
        <v>35</v>
      </c>
      <c r="I2895" s="17" t="s">
        <v>44</v>
      </c>
      <c r="J2895" s="17"/>
      <c r="K2895" s="17" t="e">
        <f aca="false">VLOOKUP(J2895,Sheet2!A:B,2,0)</f>
        <v>#N/A</v>
      </c>
      <c r="L2895" s="17" t="n">
        <v>5</v>
      </c>
      <c r="M2895" s="17" t="str">
        <f aca="false">VLOOKUP(L2895,Sheet2!D:E,2,0)</f>
        <v>Main Processor CPU BGA</v>
      </c>
      <c r="N2895" s="17" t="n">
        <v>1</v>
      </c>
      <c r="O2895" s="17" t="str">
        <f aca="false">VLOOKUP(N2895,Sheet2!G:H,2,0)</f>
        <v>Dead</v>
      </c>
      <c r="P2895" s="17" t="n">
        <v>11</v>
      </c>
      <c r="Q2895" s="17" t="str">
        <f aca="false">VLOOKUP(P2895,Sheet2!J:K,2,0)</f>
        <v>IR Declared due to CID -TA</v>
      </c>
      <c r="R2895" s="17" t="s">
        <v>35</v>
      </c>
      <c r="S2895" s="17" t="str">
        <f aca="false">VLOOKUP(R2895,Sheet2!N:O,2,0)</f>
        <v>IREPARABLE</v>
      </c>
      <c r="T2895" s="18" t="str">
        <f aca="false">VLOOKUP(P2895,Sheet2!Q:R,2,0)</f>
        <v>IR Normal - Track burn out</v>
      </c>
      <c r="U2895" s="20" t="s">
        <v>41</v>
      </c>
      <c r="V2895" s="17"/>
      <c r="W2895" s="20" t="e">
        <f aca="false">VLOOKUP(V2895,Sheet2!Q:R,2,0)</f>
        <v>#N/A</v>
      </c>
      <c r="X2895" s="17" t="n">
        <f aca="false">J2895</f>
        <v>0</v>
      </c>
      <c r="Y2895" s="17" t="e">
        <f aca="false">VLOOKUP(X2895,Sheet2!A:B,2,0)</f>
        <v>#N/A</v>
      </c>
      <c r="Z2895" s="17"/>
      <c r="AA2895" s="17"/>
      <c r="AB2895" s="17" t="s">
        <v>41</v>
      </c>
      <c r="AC2895" s="0" t="str">
        <f aca="false">LEFT(G2895,2)</f>
        <v/>
      </c>
    </row>
    <row r="2896" customFormat="false" ht="15" hidden="false" customHeight="false" outlineLevel="0" collapsed="false">
      <c r="A2896" s="13" t="n">
        <f aca="false">1+A2895</f>
        <v>2894</v>
      </c>
      <c r="B2896" s="14" t="n">
        <v>100</v>
      </c>
      <c r="C2896" s="15"/>
      <c r="D2896" s="16" t="s">
        <v>64</v>
      </c>
      <c r="E2896" s="17" t="s">
        <v>47</v>
      </c>
      <c r="F2896" s="18" t="s">
        <v>34</v>
      </c>
      <c r="G2896" s="19"/>
      <c r="H2896" s="17" t="s">
        <v>35</v>
      </c>
      <c r="I2896" s="17" t="s">
        <v>44</v>
      </c>
      <c r="J2896" s="17"/>
      <c r="K2896" s="17" t="e">
        <f aca="false">VLOOKUP(J2896,Sheet2!A:B,2,0)</f>
        <v>#N/A</v>
      </c>
      <c r="L2896" s="17" t="n">
        <v>5</v>
      </c>
      <c r="M2896" s="17" t="str">
        <f aca="false">VLOOKUP(L2896,Sheet2!D:E,2,0)</f>
        <v>Main Processor CPU BGA</v>
      </c>
      <c r="N2896" s="17" t="n">
        <v>1</v>
      </c>
      <c r="O2896" s="17" t="str">
        <f aca="false">VLOOKUP(N2896,Sheet2!G:H,2,0)</f>
        <v>Dead</v>
      </c>
      <c r="P2896" s="17" t="n">
        <v>11</v>
      </c>
      <c r="Q2896" s="17" t="str">
        <f aca="false">VLOOKUP(P2896,Sheet2!J:K,2,0)</f>
        <v>IR Declared due to CID -TA</v>
      </c>
      <c r="R2896" s="17" t="s">
        <v>35</v>
      </c>
      <c r="S2896" s="17" t="str">
        <f aca="false">VLOOKUP(R2896,Sheet2!N:O,2,0)</f>
        <v>IREPARABLE</v>
      </c>
      <c r="T2896" s="18" t="str">
        <f aca="false">VLOOKUP(P2896,Sheet2!Q:R,2,0)</f>
        <v>IR Normal - Track burn out</v>
      </c>
      <c r="U2896" s="20" t="s">
        <v>41</v>
      </c>
      <c r="V2896" s="17"/>
      <c r="W2896" s="20" t="e">
        <f aca="false">VLOOKUP(V2896,Sheet2!Q:R,2,0)</f>
        <v>#N/A</v>
      </c>
      <c r="X2896" s="17" t="n">
        <f aca="false">J2896</f>
        <v>0</v>
      </c>
      <c r="Y2896" s="17" t="e">
        <f aca="false">VLOOKUP(X2896,Sheet2!A:B,2,0)</f>
        <v>#N/A</v>
      </c>
      <c r="Z2896" s="17"/>
      <c r="AA2896" s="17"/>
      <c r="AB2896" s="17" t="s">
        <v>41</v>
      </c>
      <c r="AC2896" s="0" t="str">
        <f aca="false">LEFT(G2896,2)</f>
        <v/>
      </c>
    </row>
    <row r="2897" customFormat="false" ht="15" hidden="false" customHeight="false" outlineLevel="0" collapsed="false">
      <c r="A2897" s="13" t="n">
        <f aca="false">1+A2896</f>
        <v>2895</v>
      </c>
      <c r="B2897" s="14" t="n">
        <v>100</v>
      </c>
      <c r="C2897" s="15"/>
      <c r="D2897" s="16" t="s">
        <v>64</v>
      </c>
      <c r="E2897" s="17" t="s">
        <v>47</v>
      </c>
      <c r="F2897" s="18" t="s">
        <v>34</v>
      </c>
      <c r="G2897" s="19"/>
      <c r="H2897" s="17" t="s">
        <v>35</v>
      </c>
      <c r="I2897" s="17" t="s">
        <v>44</v>
      </c>
      <c r="J2897" s="17"/>
      <c r="K2897" s="17" t="e">
        <f aca="false">VLOOKUP(J2897,Sheet2!A:B,2,0)</f>
        <v>#N/A</v>
      </c>
      <c r="L2897" s="17" t="n">
        <v>5</v>
      </c>
      <c r="M2897" s="17" t="str">
        <f aca="false">VLOOKUP(L2897,Sheet2!D:E,2,0)</f>
        <v>Main Processor CPU BGA</v>
      </c>
      <c r="N2897" s="17" t="n">
        <v>1</v>
      </c>
      <c r="O2897" s="17" t="str">
        <f aca="false">VLOOKUP(N2897,Sheet2!G:H,2,0)</f>
        <v>Dead</v>
      </c>
      <c r="P2897" s="17" t="n">
        <v>11</v>
      </c>
      <c r="Q2897" s="17" t="str">
        <f aca="false">VLOOKUP(P2897,Sheet2!J:K,2,0)</f>
        <v>IR Declared due to CID -TA</v>
      </c>
      <c r="R2897" s="17" t="s">
        <v>35</v>
      </c>
      <c r="S2897" s="17" t="str">
        <f aca="false">VLOOKUP(R2897,Sheet2!N:O,2,0)</f>
        <v>IREPARABLE</v>
      </c>
      <c r="T2897" s="18" t="str">
        <f aca="false">VLOOKUP(P2897,Sheet2!Q:R,2,0)</f>
        <v>IR Normal - Track burn out</v>
      </c>
      <c r="U2897" s="20" t="s">
        <v>41</v>
      </c>
      <c r="V2897" s="17"/>
      <c r="W2897" s="20" t="e">
        <f aca="false">VLOOKUP(V2897,Sheet2!Q:R,2,0)</f>
        <v>#N/A</v>
      </c>
      <c r="X2897" s="17" t="n">
        <f aca="false">J2897</f>
        <v>0</v>
      </c>
      <c r="Y2897" s="17" t="e">
        <f aca="false">VLOOKUP(X2897,Sheet2!A:B,2,0)</f>
        <v>#N/A</v>
      </c>
      <c r="Z2897" s="17"/>
      <c r="AA2897" s="17"/>
      <c r="AB2897" s="17" t="s">
        <v>41</v>
      </c>
      <c r="AC2897" s="0" t="str">
        <f aca="false">LEFT(G2897,2)</f>
        <v/>
      </c>
    </row>
    <row r="2898" customFormat="false" ht="15" hidden="false" customHeight="false" outlineLevel="0" collapsed="false">
      <c r="A2898" s="13" t="n">
        <f aca="false">1+A2897</f>
        <v>2896</v>
      </c>
      <c r="B2898" s="14" t="n">
        <v>100</v>
      </c>
      <c r="C2898" s="15"/>
      <c r="D2898" s="16" t="s">
        <v>64</v>
      </c>
      <c r="E2898" s="17" t="s">
        <v>47</v>
      </c>
      <c r="F2898" s="18" t="s">
        <v>34</v>
      </c>
      <c r="G2898" s="19"/>
      <c r="H2898" s="17" t="s">
        <v>35</v>
      </c>
      <c r="I2898" s="17" t="s">
        <v>44</v>
      </c>
      <c r="J2898" s="17"/>
      <c r="K2898" s="17" t="e">
        <f aca="false">VLOOKUP(J2898,Sheet2!A:B,2,0)</f>
        <v>#N/A</v>
      </c>
      <c r="L2898" s="17" t="n">
        <v>5</v>
      </c>
      <c r="M2898" s="17" t="str">
        <f aca="false">VLOOKUP(L2898,Sheet2!D:E,2,0)</f>
        <v>Main Processor CPU BGA</v>
      </c>
      <c r="N2898" s="17" t="n">
        <v>1</v>
      </c>
      <c r="O2898" s="17" t="str">
        <f aca="false">VLOOKUP(N2898,Sheet2!G:H,2,0)</f>
        <v>Dead</v>
      </c>
      <c r="P2898" s="17" t="n">
        <v>11</v>
      </c>
      <c r="Q2898" s="17" t="str">
        <f aca="false">VLOOKUP(P2898,Sheet2!J:K,2,0)</f>
        <v>IR Declared due to CID -TA</v>
      </c>
      <c r="R2898" s="17" t="s">
        <v>35</v>
      </c>
      <c r="S2898" s="17" t="str">
        <f aca="false">VLOOKUP(R2898,Sheet2!N:O,2,0)</f>
        <v>IREPARABLE</v>
      </c>
      <c r="T2898" s="18" t="str">
        <f aca="false">VLOOKUP(P2898,Sheet2!Q:R,2,0)</f>
        <v>IR Normal - Track burn out</v>
      </c>
      <c r="U2898" s="20" t="s">
        <v>41</v>
      </c>
      <c r="V2898" s="17"/>
      <c r="W2898" s="20" t="e">
        <f aca="false">VLOOKUP(V2898,Sheet2!Q:R,2,0)</f>
        <v>#N/A</v>
      </c>
      <c r="X2898" s="17" t="n">
        <f aca="false">J2898</f>
        <v>0</v>
      </c>
      <c r="Y2898" s="17" t="e">
        <f aca="false">VLOOKUP(X2898,Sheet2!A:B,2,0)</f>
        <v>#N/A</v>
      </c>
      <c r="Z2898" s="17"/>
      <c r="AA2898" s="17"/>
      <c r="AB2898" s="17" t="s">
        <v>41</v>
      </c>
      <c r="AC2898" s="0" t="str">
        <f aca="false">LEFT(G2898,2)</f>
        <v/>
      </c>
    </row>
    <row r="2899" customFormat="false" ht="15" hidden="false" customHeight="false" outlineLevel="0" collapsed="false">
      <c r="A2899" s="13" t="n">
        <f aca="false">1+A2898</f>
        <v>2897</v>
      </c>
      <c r="B2899" s="14" t="n">
        <v>100</v>
      </c>
      <c r="C2899" s="15"/>
      <c r="D2899" s="16" t="s">
        <v>64</v>
      </c>
      <c r="E2899" s="17" t="s">
        <v>47</v>
      </c>
      <c r="F2899" s="18" t="s">
        <v>34</v>
      </c>
      <c r="G2899" s="19"/>
      <c r="H2899" s="17" t="s">
        <v>35</v>
      </c>
      <c r="I2899" s="17" t="s">
        <v>44</v>
      </c>
      <c r="J2899" s="17"/>
      <c r="K2899" s="17" t="e">
        <f aca="false">VLOOKUP(J2899,Sheet2!A:B,2,0)</f>
        <v>#N/A</v>
      </c>
      <c r="L2899" s="17" t="n">
        <v>5</v>
      </c>
      <c r="M2899" s="17" t="str">
        <f aca="false">VLOOKUP(L2899,Sheet2!D:E,2,0)</f>
        <v>Main Processor CPU BGA</v>
      </c>
      <c r="N2899" s="17" t="n">
        <v>1</v>
      </c>
      <c r="O2899" s="17" t="str">
        <f aca="false">VLOOKUP(N2899,Sheet2!G:H,2,0)</f>
        <v>Dead</v>
      </c>
      <c r="P2899" s="17" t="n">
        <v>11</v>
      </c>
      <c r="Q2899" s="17" t="str">
        <f aca="false">VLOOKUP(P2899,Sheet2!J:K,2,0)</f>
        <v>IR Declared due to CID -TA</v>
      </c>
      <c r="R2899" s="17" t="s">
        <v>35</v>
      </c>
      <c r="S2899" s="17" t="str">
        <f aca="false">VLOOKUP(R2899,Sheet2!N:O,2,0)</f>
        <v>IREPARABLE</v>
      </c>
      <c r="T2899" s="18" t="str">
        <f aca="false">VLOOKUP(P2899,Sheet2!Q:R,2,0)</f>
        <v>IR Normal - Track burn out</v>
      </c>
      <c r="U2899" s="20" t="s">
        <v>41</v>
      </c>
      <c r="V2899" s="17"/>
      <c r="W2899" s="20" t="e">
        <f aca="false">VLOOKUP(V2899,Sheet2!Q:R,2,0)</f>
        <v>#N/A</v>
      </c>
      <c r="X2899" s="17" t="n">
        <f aca="false">J2899</f>
        <v>0</v>
      </c>
      <c r="Y2899" s="17" t="e">
        <f aca="false">VLOOKUP(X2899,Sheet2!A:B,2,0)</f>
        <v>#N/A</v>
      </c>
      <c r="Z2899" s="17"/>
      <c r="AA2899" s="17"/>
      <c r="AB2899" s="17" t="s">
        <v>41</v>
      </c>
      <c r="AC2899" s="0" t="str">
        <f aca="false">LEFT(G2899,2)</f>
        <v/>
      </c>
    </row>
    <row r="2900" customFormat="false" ht="15" hidden="false" customHeight="false" outlineLevel="0" collapsed="false">
      <c r="A2900" s="13" t="n">
        <f aca="false">1+A2899</f>
        <v>2898</v>
      </c>
      <c r="B2900" s="14" t="n">
        <v>100</v>
      </c>
      <c r="C2900" s="15"/>
      <c r="D2900" s="16" t="s">
        <v>64</v>
      </c>
      <c r="E2900" s="17" t="s">
        <v>47</v>
      </c>
      <c r="F2900" s="18" t="s">
        <v>34</v>
      </c>
      <c r="G2900" s="19"/>
      <c r="H2900" s="17" t="s">
        <v>35</v>
      </c>
      <c r="I2900" s="17" t="s">
        <v>44</v>
      </c>
      <c r="J2900" s="17"/>
      <c r="K2900" s="17" t="e">
        <f aca="false">VLOOKUP(J2900,Sheet2!A:B,2,0)</f>
        <v>#N/A</v>
      </c>
      <c r="L2900" s="17" t="n">
        <v>5</v>
      </c>
      <c r="M2900" s="17" t="str">
        <f aca="false">VLOOKUP(L2900,Sheet2!D:E,2,0)</f>
        <v>Main Processor CPU BGA</v>
      </c>
      <c r="N2900" s="17" t="n">
        <v>1</v>
      </c>
      <c r="O2900" s="17" t="str">
        <f aca="false">VLOOKUP(N2900,Sheet2!G:H,2,0)</f>
        <v>Dead</v>
      </c>
      <c r="P2900" s="17" t="n">
        <v>11</v>
      </c>
      <c r="Q2900" s="17" t="str">
        <f aca="false">VLOOKUP(P2900,Sheet2!J:K,2,0)</f>
        <v>IR Declared due to CID -TA</v>
      </c>
      <c r="R2900" s="17" t="s">
        <v>35</v>
      </c>
      <c r="S2900" s="17" t="str">
        <f aca="false">VLOOKUP(R2900,Sheet2!N:O,2,0)</f>
        <v>IREPARABLE</v>
      </c>
      <c r="T2900" s="18" t="str">
        <f aca="false">VLOOKUP(P2900,Sheet2!Q:R,2,0)</f>
        <v>IR Normal - Track burn out</v>
      </c>
      <c r="U2900" s="20" t="s">
        <v>41</v>
      </c>
      <c r="V2900" s="17"/>
      <c r="W2900" s="20" t="e">
        <f aca="false">VLOOKUP(V2900,Sheet2!Q:R,2,0)</f>
        <v>#N/A</v>
      </c>
      <c r="X2900" s="17" t="n">
        <f aca="false">J2900</f>
        <v>0</v>
      </c>
      <c r="Y2900" s="17" t="e">
        <f aca="false">VLOOKUP(X2900,Sheet2!A:B,2,0)</f>
        <v>#N/A</v>
      </c>
      <c r="Z2900" s="17"/>
      <c r="AA2900" s="17"/>
      <c r="AB2900" s="17" t="s">
        <v>41</v>
      </c>
      <c r="AC2900" s="0" t="str">
        <f aca="false">LEFT(G2900,2)</f>
        <v/>
      </c>
    </row>
    <row r="2901" customFormat="false" ht="15" hidden="false" customHeight="false" outlineLevel="0" collapsed="false">
      <c r="A2901" s="13" t="n">
        <f aca="false">1+A2900</f>
        <v>2899</v>
      </c>
      <c r="B2901" s="14" t="n">
        <v>100</v>
      </c>
      <c r="C2901" s="15"/>
      <c r="D2901" s="16" t="s">
        <v>64</v>
      </c>
      <c r="E2901" s="17" t="s">
        <v>47</v>
      </c>
      <c r="F2901" s="18" t="s">
        <v>34</v>
      </c>
      <c r="G2901" s="19"/>
      <c r="H2901" s="17" t="s">
        <v>35</v>
      </c>
      <c r="I2901" s="17" t="s">
        <v>44</v>
      </c>
      <c r="J2901" s="17"/>
      <c r="K2901" s="17" t="e">
        <f aca="false">VLOOKUP(J2901,Sheet2!A:B,2,0)</f>
        <v>#N/A</v>
      </c>
      <c r="L2901" s="17" t="n">
        <v>5</v>
      </c>
      <c r="M2901" s="17" t="str">
        <f aca="false">VLOOKUP(L2901,Sheet2!D:E,2,0)</f>
        <v>Main Processor CPU BGA</v>
      </c>
      <c r="N2901" s="17" t="n">
        <v>1</v>
      </c>
      <c r="O2901" s="17" t="str">
        <f aca="false">VLOOKUP(N2901,Sheet2!G:H,2,0)</f>
        <v>Dead</v>
      </c>
      <c r="P2901" s="17" t="n">
        <v>11</v>
      </c>
      <c r="Q2901" s="17" t="str">
        <f aca="false">VLOOKUP(P2901,Sheet2!J:K,2,0)</f>
        <v>IR Declared due to CID -TA</v>
      </c>
      <c r="R2901" s="17" t="s">
        <v>35</v>
      </c>
      <c r="S2901" s="17" t="str">
        <f aca="false">VLOOKUP(R2901,Sheet2!N:O,2,0)</f>
        <v>IREPARABLE</v>
      </c>
      <c r="T2901" s="18" t="str">
        <f aca="false">VLOOKUP(P2901,Sheet2!Q:R,2,0)</f>
        <v>IR Normal - Track burn out</v>
      </c>
      <c r="U2901" s="20" t="s">
        <v>41</v>
      </c>
      <c r="V2901" s="17"/>
      <c r="W2901" s="20" t="e">
        <f aca="false">VLOOKUP(V2901,Sheet2!Q:R,2,0)</f>
        <v>#N/A</v>
      </c>
      <c r="X2901" s="17" t="n">
        <f aca="false">J2901</f>
        <v>0</v>
      </c>
      <c r="Y2901" s="17" t="e">
        <f aca="false">VLOOKUP(X2901,Sheet2!A:B,2,0)</f>
        <v>#N/A</v>
      </c>
      <c r="Z2901" s="17"/>
      <c r="AA2901" s="17"/>
      <c r="AB2901" s="17" t="s">
        <v>41</v>
      </c>
      <c r="AC2901" s="0" t="str">
        <f aca="false">LEFT(G2901,2)</f>
        <v/>
      </c>
    </row>
    <row r="2902" customFormat="false" ht="15" hidden="false" customHeight="false" outlineLevel="0" collapsed="false">
      <c r="A2902" s="13" t="n">
        <f aca="false">1+A2901</f>
        <v>2900</v>
      </c>
      <c r="B2902" s="14" t="n">
        <v>100</v>
      </c>
      <c r="C2902" s="15"/>
      <c r="D2902" s="16" t="s">
        <v>64</v>
      </c>
      <c r="E2902" s="17" t="s">
        <v>47</v>
      </c>
      <c r="F2902" s="18" t="s">
        <v>34</v>
      </c>
      <c r="G2902" s="19"/>
      <c r="H2902" s="17" t="s">
        <v>35</v>
      </c>
      <c r="I2902" s="17" t="s">
        <v>44</v>
      </c>
      <c r="J2902" s="17"/>
      <c r="K2902" s="17" t="e">
        <f aca="false">VLOOKUP(J2902,Sheet2!A:B,2,0)</f>
        <v>#N/A</v>
      </c>
      <c r="L2902" s="17" t="n">
        <v>5</v>
      </c>
      <c r="M2902" s="17" t="str">
        <f aca="false">VLOOKUP(L2902,Sheet2!D:E,2,0)</f>
        <v>Main Processor CPU BGA</v>
      </c>
      <c r="N2902" s="17" t="n">
        <v>1</v>
      </c>
      <c r="O2902" s="17" t="str">
        <f aca="false">VLOOKUP(N2902,Sheet2!G:H,2,0)</f>
        <v>Dead</v>
      </c>
      <c r="P2902" s="17" t="n">
        <v>11</v>
      </c>
      <c r="Q2902" s="17" t="str">
        <f aca="false">VLOOKUP(P2902,Sheet2!J:K,2,0)</f>
        <v>IR Declared due to CID -TA</v>
      </c>
      <c r="R2902" s="17" t="s">
        <v>35</v>
      </c>
      <c r="S2902" s="17" t="str">
        <f aca="false">VLOOKUP(R2902,Sheet2!N:O,2,0)</f>
        <v>IREPARABLE</v>
      </c>
      <c r="T2902" s="18" t="str">
        <f aca="false">VLOOKUP(P2902,Sheet2!Q:R,2,0)</f>
        <v>IR Normal - Track burn out</v>
      </c>
      <c r="U2902" s="20" t="s">
        <v>41</v>
      </c>
      <c r="V2902" s="17"/>
      <c r="W2902" s="20" t="e">
        <f aca="false">VLOOKUP(V2902,Sheet2!Q:R,2,0)</f>
        <v>#N/A</v>
      </c>
      <c r="X2902" s="17" t="n">
        <f aca="false">J2902</f>
        <v>0</v>
      </c>
      <c r="Y2902" s="17" t="e">
        <f aca="false">VLOOKUP(X2902,Sheet2!A:B,2,0)</f>
        <v>#N/A</v>
      </c>
      <c r="Z2902" s="17"/>
      <c r="AA2902" s="17"/>
      <c r="AB2902" s="17" t="s">
        <v>41</v>
      </c>
      <c r="AC2902" s="0" t="str">
        <f aca="false">LEFT(G2902,2)</f>
        <v/>
      </c>
    </row>
    <row r="2903" customFormat="false" ht="15" hidden="false" customHeight="false" outlineLevel="0" collapsed="false">
      <c r="A2903" s="13" t="n">
        <f aca="false">1+A2902</f>
        <v>2901</v>
      </c>
      <c r="B2903" s="14" t="n">
        <v>100</v>
      </c>
      <c r="C2903" s="15"/>
      <c r="D2903" s="16" t="s">
        <v>64</v>
      </c>
      <c r="E2903" s="17" t="s">
        <v>47</v>
      </c>
      <c r="F2903" s="18" t="s">
        <v>34</v>
      </c>
      <c r="G2903" s="19"/>
      <c r="H2903" s="17" t="s">
        <v>35</v>
      </c>
      <c r="I2903" s="17" t="s">
        <v>44</v>
      </c>
      <c r="J2903" s="17"/>
      <c r="K2903" s="17" t="e">
        <f aca="false">VLOOKUP(J2903,Sheet2!A:B,2,0)</f>
        <v>#N/A</v>
      </c>
      <c r="L2903" s="17" t="n">
        <v>5</v>
      </c>
      <c r="M2903" s="17" t="str">
        <f aca="false">VLOOKUP(L2903,Sheet2!D:E,2,0)</f>
        <v>Main Processor CPU BGA</v>
      </c>
      <c r="N2903" s="17" t="n">
        <v>1</v>
      </c>
      <c r="O2903" s="17" t="str">
        <f aca="false">VLOOKUP(N2903,Sheet2!G:H,2,0)</f>
        <v>Dead</v>
      </c>
      <c r="P2903" s="17" t="n">
        <v>11</v>
      </c>
      <c r="Q2903" s="17" t="str">
        <f aca="false">VLOOKUP(P2903,Sheet2!J:K,2,0)</f>
        <v>IR Declared due to CID -TA</v>
      </c>
      <c r="R2903" s="17" t="s">
        <v>35</v>
      </c>
      <c r="S2903" s="17" t="str">
        <f aca="false">VLOOKUP(R2903,Sheet2!N:O,2,0)</f>
        <v>IREPARABLE</v>
      </c>
      <c r="T2903" s="18" t="str">
        <f aca="false">VLOOKUP(P2903,Sheet2!Q:R,2,0)</f>
        <v>IR Normal - Track burn out</v>
      </c>
      <c r="U2903" s="20" t="s">
        <v>41</v>
      </c>
      <c r="V2903" s="17"/>
      <c r="W2903" s="20" t="e">
        <f aca="false">VLOOKUP(V2903,Sheet2!Q:R,2,0)</f>
        <v>#N/A</v>
      </c>
      <c r="X2903" s="17" t="n">
        <f aca="false">J2903</f>
        <v>0</v>
      </c>
      <c r="Y2903" s="17" t="e">
        <f aca="false">VLOOKUP(X2903,Sheet2!A:B,2,0)</f>
        <v>#N/A</v>
      </c>
      <c r="Z2903" s="17"/>
      <c r="AA2903" s="17"/>
      <c r="AB2903" s="17" t="s">
        <v>41</v>
      </c>
      <c r="AC2903" s="0" t="str">
        <f aca="false">LEFT(G2903,2)</f>
        <v/>
      </c>
    </row>
    <row r="2904" customFormat="false" ht="15" hidden="false" customHeight="false" outlineLevel="0" collapsed="false">
      <c r="A2904" s="13" t="n">
        <f aca="false">1+A2903</f>
        <v>2902</v>
      </c>
      <c r="B2904" s="14" t="n">
        <v>100</v>
      </c>
      <c r="C2904" s="15"/>
      <c r="D2904" s="16" t="s">
        <v>64</v>
      </c>
      <c r="E2904" s="17" t="s">
        <v>47</v>
      </c>
      <c r="F2904" s="18" t="s">
        <v>34</v>
      </c>
      <c r="G2904" s="19"/>
      <c r="H2904" s="17" t="s">
        <v>35</v>
      </c>
      <c r="I2904" s="17" t="s">
        <v>44</v>
      </c>
      <c r="J2904" s="17"/>
      <c r="K2904" s="17" t="e">
        <f aca="false">VLOOKUP(J2904,Sheet2!A:B,2,0)</f>
        <v>#N/A</v>
      </c>
      <c r="L2904" s="17" t="n">
        <v>5</v>
      </c>
      <c r="M2904" s="17" t="str">
        <f aca="false">VLOOKUP(L2904,Sheet2!D:E,2,0)</f>
        <v>Main Processor CPU BGA</v>
      </c>
      <c r="N2904" s="17" t="n">
        <v>1</v>
      </c>
      <c r="O2904" s="17" t="str">
        <f aca="false">VLOOKUP(N2904,Sheet2!G:H,2,0)</f>
        <v>Dead</v>
      </c>
      <c r="P2904" s="17" t="n">
        <v>11</v>
      </c>
      <c r="Q2904" s="17" t="str">
        <f aca="false">VLOOKUP(P2904,Sheet2!J:K,2,0)</f>
        <v>IR Declared due to CID -TA</v>
      </c>
      <c r="R2904" s="17" t="s">
        <v>35</v>
      </c>
      <c r="S2904" s="17" t="str">
        <f aca="false">VLOOKUP(R2904,Sheet2!N:O,2,0)</f>
        <v>IREPARABLE</v>
      </c>
      <c r="T2904" s="18" t="str">
        <f aca="false">VLOOKUP(P2904,Sheet2!Q:R,2,0)</f>
        <v>IR Normal - Track burn out</v>
      </c>
      <c r="U2904" s="20" t="s">
        <v>41</v>
      </c>
      <c r="V2904" s="17"/>
      <c r="W2904" s="20" t="e">
        <f aca="false">VLOOKUP(V2904,Sheet2!Q:R,2,0)</f>
        <v>#N/A</v>
      </c>
      <c r="X2904" s="17" t="n">
        <f aca="false">J2904</f>
        <v>0</v>
      </c>
      <c r="Y2904" s="17" t="e">
        <f aca="false">VLOOKUP(X2904,Sheet2!A:B,2,0)</f>
        <v>#N/A</v>
      </c>
      <c r="Z2904" s="17"/>
      <c r="AA2904" s="17"/>
      <c r="AB2904" s="17" t="s">
        <v>41</v>
      </c>
      <c r="AC2904" s="0" t="str">
        <f aca="false">LEFT(G2904,2)</f>
        <v/>
      </c>
    </row>
    <row r="2905" customFormat="false" ht="15" hidden="false" customHeight="false" outlineLevel="0" collapsed="false">
      <c r="A2905" s="13" t="n">
        <f aca="false">1+A2904</f>
        <v>2903</v>
      </c>
      <c r="B2905" s="14" t="n">
        <v>100</v>
      </c>
      <c r="C2905" s="15"/>
      <c r="D2905" s="16" t="s">
        <v>64</v>
      </c>
      <c r="E2905" s="17" t="s">
        <v>47</v>
      </c>
      <c r="F2905" s="18" t="s">
        <v>34</v>
      </c>
      <c r="G2905" s="19"/>
      <c r="H2905" s="17" t="s">
        <v>35</v>
      </c>
      <c r="I2905" s="17" t="s">
        <v>44</v>
      </c>
      <c r="J2905" s="17"/>
      <c r="K2905" s="17" t="e">
        <f aca="false">VLOOKUP(J2905,Sheet2!A:B,2,0)</f>
        <v>#N/A</v>
      </c>
      <c r="L2905" s="17" t="n">
        <v>5</v>
      </c>
      <c r="M2905" s="17" t="str">
        <f aca="false">VLOOKUP(L2905,Sheet2!D:E,2,0)</f>
        <v>Main Processor CPU BGA</v>
      </c>
      <c r="N2905" s="17" t="n">
        <v>1</v>
      </c>
      <c r="O2905" s="17" t="str">
        <f aca="false">VLOOKUP(N2905,Sheet2!G:H,2,0)</f>
        <v>Dead</v>
      </c>
      <c r="P2905" s="17" t="n">
        <v>11</v>
      </c>
      <c r="Q2905" s="17" t="str">
        <f aca="false">VLOOKUP(P2905,Sheet2!J:K,2,0)</f>
        <v>IR Declared due to CID -TA</v>
      </c>
      <c r="R2905" s="17" t="s">
        <v>35</v>
      </c>
      <c r="S2905" s="17" t="str">
        <f aca="false">VLOOKUP(R2905,Sheet2!N:O,2,0)</f>
        <v>IREPARABLE</v>
      </c>
      <c r="T2905" s="18" t="str">
        <f aca="false">VLOOKUP(P2905,Sheet2!Q:R,2,0)</f>
        <v>IR Normal - Track burn out</v>
      </c>
      <c r="U2905" s="20" t="s">
        <v>41</v>
      </c>
      <c r="V2905" s="17"/>
      <c r="W2905" s="20" t="e">
        <f aca="false">VLOOKUP(V2905,Sheet2!Q:R,2,0)</f>
        <v>#N/A</v>
      </c>
      <c r="X2905" s="17" t="n">
        <f aca="false">J2905</f>
        <v>0</v>
      </c>
      <c r="Y2905" s="17" t="e">
        <f aca="false">VLOOKUP(X2905,Sheet2!A:B,2,0)</f>
        <v>#N/A</v>
      </c>
      <c r="Z2905" s="17"/>
      <c r="AA2905" s="17"/>
      <c r="AB2905" s="17" t="s">
        <v>41</v>
      </c>
      <c r="AC2905" s="0" t="str">
        <f aca="false">LEFT(G2905,2)</f>
        <v/>
      </c>
    </row>
    <row r="2906" customFormat="false" ht="15" hidden="false" customHeight="false" outlineLevel="0" collapsed="false">
      <c r="A2906" s="13" t="n">
        <f aca="false">1+A2905</f>
        <v>2904</v>
      </c>
      <c r="B2906" s="14" t="n">
        <v>100</v>
      </c>
      <c r="C2906" s="15"/>
      <c r="D2906" s="16" t="s">
        <v>64</v>
      </c>
      <c r="E2906" s="17" t="s">
        <v>47</v>
      </c>
      <c r="F2906" s="18" t="s">
        <v>34</v>
      </c>
      <c r="G2906" s="19"/>
      <c r="H2906" s="17" t="s">
        <v>35</v>
      </c>
      <c r="I2906" s="17" t="s">
        <v>44</v>
      </c>
      <c r="J2906" s="17"/>
      <c r="K2906" s="17" t="e">
        <f aca="false">VLOOKUP(J2906,Sheet2!A:B,2,0)</f>
        <v>#N/A</v>
      </c>
      <c r="L2906" s="17" t="n">
        <v>5</v>
      </c>
      <c r="M2906" s="17" t="str">
        <f aca="false">VLOOKUP(L2906,Sheet2!D:E,2,0)</f>
        <v>Main Processor CPU BGA</v>
      </c>
      <c r="N2906" s="17" t="n">
        <v>1</v>
      </c>
      <c r="O2906" s="17" t="str">
        <f aca="false">VLOOKUP(N2906,Sheet2!G:H,2,0)</f>
        <v>Dead</v>
      </c>
      <c r="P2906" s="17" t="n">
        <v>11</v>
      </c>
      <c r="Q2906" s="17" t="str">
        <f aca="false">VLOOKUP(P2906,Sheet2!J:K,2,0)</f>
        <v>IR Declared due to CID -TA</v>
      </c>
      <c r="R2906" s="17" t="s">
        <v>35</v>
      </c>
      <c r="S2906" s="17" t="str">
        <f aca="false">VLOOKUP(R2906,Sheet2!N:O,2,0)</f>
        <v>IREPARABLE</v>
      </c>
      <c r="T2906" s="18" t="str">
        <f aca="false">VLOOKUP(P2906,Sheet2!Q:R,2,0)</f>
        <v>IR Normal - Track burn out</v>
      </c>
      <c r="U2906" s="20" t="s">
        <v>41</v>
      </c>
      <c r="V2906" s="17"/>
      <c r="W2906" s="20" t="e">
        <f aca="false">VLOOKUP(V2906,Sheet2!Q:R,2,0)</f>
        <v>#N/A</v>
      </c>
      <c r="X2906" s="17" t="n">
        <f aca="false">J2906</f>
        <v>0</v>
      </c>
      <c r="Y2906" s="17" t="e">
        <f aca="false">VLOOKUP(X2906,Sheet2!A:B,2,0)</f>
        <v>#N/A</v>
      </c>
      <c r="Z2906" s="17"/>
      <c r="AA2906" s="17"/>
      <c r="AB2906" s="17" t="s">
        <v>41</v>
      </c>
      <c r="AC2906" s="0" t="str">
        <f aca="false">LEFT(G2906,2)</f>
        <v/>
      </c>
    </row>
    <row r="2907" customFormat="false" ht="15" hidden="false" customHeight="false" outlineLevel="0" collapsed="false">
      <c r="A2907" s="13" t="n">
        <f aca="false">1+A2906</f>
        <v>2905</v>
      </c>
      <c r="B2907" s="14" t="n">
        <v>100</v>
      </c>
      <c r="C2907" s="15"/>
      <c r="D2907" s="16" t="s">
        <v>64</v>
      </c>
      <c r="E2907" s="17" t="s">
        <v>47</v>
      </c>
      <c r="F2907" s="18" t="s">
        <v>34</v>
      </c>
      <c r="G2907" s="19"/>
      <c r="H2907" s="17" t="s">
        <v>35</v>
      </c>
      <c r="I2907" s="17" t="s">
        <v>44</v>
      </c>
      <c r="J2907" s="17"/>
      <c r="K2907" s="17" t="e">
        <f aca="false">VLOOKUP(J2907,Sheet2!A:B,2,0)</f>
        <v>#N/A</v>
      </c>
      <c r="L2907" s="17" t="n">
        <v>5</v>
      </c>
      <c r="M2907" s="17" t="str">
        <f aca="false">VLOOKUP(L2907,Sheet2!D:E,2,0)</f>
        <v>Main Processor CPU BGA</v>
      </c>
      <c r="N2907" s="17" t="n">
        <v>1</v>
      </c>
      <c r="O2907" s="17" t="str">
        <f aca="false">VLOOKUP(N2907,Sheet2!G:H,2,0)</f>
        <v>Dead</v>
      </c>
      <c r="P2907" s="17" t="n">
        <v>11</v>
      </c>
      <c r="Q2907" s="17" t="str">
        <f aca="false">VLOOKUP(P2907,Sheet2!J:K,2,0)</f>
        <v>IR Declared due to CID -TA</v>
      </c>
      <c r="R2907" s="17" t="s">
        <v>35</v>
      </c>
      <c r="S2907" s="17" t="str">
        <f aca="false">VLOOKUP(R2907,Sheet2!N:O,2,0)</f>
        <v>IREPARABLE</v>
      </c>
      <c r="T2907" s="18" t="str">
        <f aca="false">VLOOKUP(P2907,Sheet2!Q:R,2,0)</f>
        <v>IR Normal - Track burn out</v>
      </c>
      <c r="U2907" s="20" t="s">
        <v>41</v>
      </c>
      <c r="V2907" s="17"/>
      <c r="W2907" s="20" t="e">
        <f aca="false">VLOOKUP(V2907,Sheet2!Q:R,2,0)</f>
        <v>#N/A</v>
      </c>
      <c r="X2907" s="17" t="n">
        <f aca="false">J2907</f>
        <v>0</v>
      </c>
      <c r="Y2907" s="17" t="e">
        <f aca="false">VLOOKUP(X2907,Sheet2!A:B,2,0)</f>
        <v>#N/A</v>
      </c>
      <c r="Z2907" s="17"/>
      <c r="AA2907" s="17"/>
      <c r="AB2907" s="17" t="s">
        <v>41</v>
      </c>
      <c r="AC2907" s="0" t="str">
        <f aca="false">LEFT(G2907,2)</f>
        <v/>
      </c>
    </row>
    <row r="2908" customFormat="false" ht="15" hidden="false" customHeight="false" outlineLevel="0" collapsed="false">
      <c r="A2908" s="13" t="n">
        <f aca="false">1+A2907</f>
        <v>2906</v>
      </c>
      <c r="B2908" s="14" t="n">
        <v>100</v>
      </c>
      <c r="C2908" s="15"/>
      <c r="D2908" s="16" t="s">
        <v>64</v>
      </c>
      <c r="E2908" s="17" t="s">
        <v>47</v>
      </c>
      <c r="F2908" s="18" t="s">
        <v>34</v>
      </c>
      <c r="G2908" s="19"/>
      <c r="H2908" s="17" t="s">
        <v>35</v>
      </c>
      <c r="I2908" s="17" t="s">
        <v>44</v>
      </c>
      <c r="J2908" s="17"/>
      <c r="K2908" s="17" t="e">
        <f aca="false">VLOOKUP(J2908,Sheet2!A:B,2,0)</f>
        <v>#N/A</v>
      </c>
      <c r="L2908" s="17" t="n">
        <v>5</v>
      </c>
      <c r="M2908" s="17" t="str">
        <f aca="false">VLOOKUP(L2908,Sheet2!D:E,2,0)</f>
        <v>Main Processor CPU BGA</v>
      </c>
      <c r="N2908" s="17" t="n">
        <v>1</v>
      </c>
      <c r="O2908" s="17" t="str">
        <f aca="false">VLOOKUP(N2908,Sheet2!G:H,2,0)</f>
        <v>Dead</v>
      </c>
      <c r="P2908" s="17" t="n">
        <v>11</v>
      </c>
      <c r="Q2908" s="17" t="str">
        <f aca="false">VLOOKUP(P2908,Sheet2!J:K,2,0)</f>
        <v>IR Declared due to CID -TA</v>
      </c>
      <c r="R2908" s="17" t="s">
        <v>35</v>
      </c>
      <c r="S2908" s="17" t="str">
        <f aca="false">VLOOKUP(R2908,Sheet2!N:O,2,0)</f>
        <v>IREPARABLE</v>
      </c>
      <c r="T2908" s="18" t="str">
        <f aca="false">VLOOKUP(P2908,Sheet2!Q:R,2,0)</f>
        <v>IR Normal - Track burn out</v>
      </c>
      <c r="U2908" s="20" t="s">
        <v>41</v>
      </c>
      <c r="V2908" s="17"/>
      <c r="W2908" s="20" t="e">
        <f aca="false">VLOOKUP(V2908,Sheet2!Q:R,2,0)</f>
        <v>#N/A</v>
      </c>
      <c r="X2908" s="17" t="n">
        <f aca="false">J2908</f>
        <v>0</v>
      </c>
      <c r="Y2908" s="17" t="e">
        <f aca="false">VLOOKUP(X2908,Sheet2!A:B,2,0)</f>
        <v>#N/A</v>
      </c>
      <c r="Z2908" s="17"/>
      <c r="AA2908" s="17"/>
      <c r="AB2908" s="17" t="s">
        <v>41</v>
      </c>
      <c r="AC2908" s="0" t="str">
        <f aca="false">LEFT(G2908,2)</f>
        <v/>
      </c>
    </row>
    <row r="2909" customFormat="false" ht="15" hidden="false" customHeight="false" outlineLevel="0" collapsed="false">
      <c r="A2909" s="13" t="n">
        <f aca="false">1+A2908</f>
        <v>2907</v>
      </c>
      <c r="B2909" s="14" t="n">
        <v>100</v>
      </c>
      <c r="C2909" s="15"/>
      <c r="D2909" s="16" t="s">
        <v>64</v>
      </c>
      <c r="E2909" s="17" t="s">
        <v>47</v>
      </c>
      <c r="F2909" s="18" t="s">
        <v>34</v>
      </c>
      <c r="G2909" s="19"/>
      <c r="H2909" s="17" t="s">
        <v>35</v>
      </c>
      <c r="I2909" s="17" t="s">
        <v>44</v>
      </c>
      <c r="J2909" s="17"/>
      <c r="K2909" s="17" t="e">
        <f aca="false">VLOOKUP(J2909,Sheet2!A:B,2,0)</f>
        <v>#N/A</v>
      </c>
      <c r="L2909" s="17" t="n">
        <v>5</v>
      </c>
      <c r="M2909" s="17" t="str">
        <f aca="false">VLOOKUP(L2909,Sheet2!D:E,2,0)</f>
        <v>Main Processor CPU BGA</v>
      </c>
      <c r="N2909" s="17" t="n">
        <v>1</v>
      </c>
      <c r="O2909" s="17" t="str">
        <f aca="false">VLOOKUP(N2909,Sheet2!G:H,2,0)</f>
        <v>Dead</v>
      </c>
      <c r="P2909" s="17" t="n">
        <v>11</v>
      </c>
      <c r="Q2909" s="17" t="str">
        <f aca="false">VLOOKUP(P2909,Sheet2!J:K,2,0)</f>
        <v>IR Declared due to CID -TA</v>
      </c>
      <c r="R2909" s="17" t="s">
        <v>35</v>
      </c>
      <c r="S2909" s="17" t="str">
        <f aca="false">VLOOKUP(R2909,Sheet2!N:O,2,0)</f>
        <v>IREPARABLE</v>
      </c>
      <c r="T2909" s="18" t="str">
        <f aca="false">VLOOKUP(P2909,Sheet2!Q:R,2,0)</f>
        <v>IR Normal - Track burn out</v>
      </c>
      <c r="U2909" s="20" t="s">
        <v>41</v>
      </c>
      <c r="V2909" s="17"/>
      <c r="W2909" s="20" t="e">
        <f aca="false">VLOOKUP(V2909,Sheet2!Q:R,2,0)</f>
        <v>#N/A</v>
      </c>
      <c r="X2909" s="17" t="n">
        <f aca="false">J2909</f>
        <v>0</v>
      </c>
      <c r="Y2909" s="17" t="e">
        <f aca="false">VLOOKUP(X2909,Sheet2!A:B,2,0)</f>
        <v>#N/A</v>
      </c>
      <c r="Z2909" s="17"/>
      <c r="AA2909" s="17"/>
      <c r="AB2909" s="17" t="s">
        <v>41</v>
      </c>
      <c r="AC2909" s="0" t="str">
        <f aca="false">LEFT(G2909,2)</f>
        <v/>
      </c>
    </row>
    <row r="2910" customFormat="false" ht="15" hidden="false" customHeight="false" outlineLevel="0" collapsed="false">
      <c r="A2910" s="13" t="n">
        <f aca="false">1+A2909</f>
        <v>2908</v>
      </c>
      <c r="B2910" s="14" t="n">
        <v>100</v>
      </c>
      <c r="C2910" s="15"/>
      <c r="D2910" s="16" t="s">
        <v>64</v>
      </c>
      <c r="E2910" s="17" t="s">
        <v>47</v>
      </c>
      <c r="F2910" s="18" t="s">
        <v>34</v>
      </c>
      <c r="G2910" s="19"/>
      <c r="H2910" s="17" t="s">
        <v>35</v>
      </c>
      <c r="I2910" s="17" t="s">
        <v>44</v>
      </c>
      <c r="J2910" s="17"/>
      <c r="K2910" s="17" t="e">
        <f aca="false">VLOOKUP(J2910,Sheet2!A:B,2,0)</f>
        <v>#N/A</v>
      </c>
      <c r="L2910" s="17" t="n">
        <v>5</v>
      </c>
      <c r="M2910" s="17" t="str">
        <f aca="false">VLOOKUP(L2910,Sheet2!D:E,2,0)</f>
        <v>Main Processor CPU BGA</v>
      </c>
      <c r="N2910" s="17" t="n">
        <v>1</v>
      </c>
      <c r="O2910" s="17" t="str">
        <f aca="false">VLOOKUP(N2910,Sheet2!G:H,2,0)</f>
        <v>Dead</v>
      </c>
      <c r="P2910" s="17" t="n">
        <v>11</v>
      </c>
      <c r="Q2910" s="17" t="str">
        <f aca="false">VLOOKUP(P2910,Sheet2!J:K,2,0)</f>
        <v>IR Declared due to CID -TA</v>
      </c>
      <c r="R2910" s="17" t="s">
        <v>35</v>
      </c>
      <c r="S2910" s="17" t="str">
        <f aca="false">VLOOKUP(R2910,Sheet2!N:O,2,0)</f>
        <v>IREPARABLE</v>
      </c>
      <c r="T2910" s="18" t="str">
        <f aca="false">VLOOKUP(P2910,Sheet2!Q:R,2,0)</f>
        <v>IR Normal - Track burn out</v>
      </c>
      <c r="U2910" s="20" t="s">
        <v>41</v>
      </c>
      <c r="V2910" s="17"/>
      <c r="W2910" s="20" t="e">
        <f aca="false">VLOOKUP(V2910,Sheet2!Q:R,2,0)</f>
        <v>#N/A</v>
      </c>
      <c r="X2910" s="17" t="n">
        <f aca="false">J2910</f>
        <v>0</v>
      </c>
      <c r="Y2910" s="17" t="e">
        <f aca="false">VLOOKUP(X2910,Sheet2!A:B,2,0)</f>
        <v>#N/A</v>
      </c>
      <c r="Z2910" s="17"/>
      <c r="AA2910" s="17"/>
      <c r="AB2910" s="17" t="s">
        <v>41</v>
      </c>
      <c r="AC2910" s="0" t="str">
        <f aca="false">LEFT(G2910,2)</f>
        <v/>
      </c>
    </row>
    <row r="2911" customFormat="false" ht="15" hidden="false" customHeight="false" outlineLevel="0" collapsed="false">
      <c r="A2911" s="13" t="n">
        <f aca="false">1+A2910</f>
        <v>2909</v>
      </c>
      <c r="B2911" s="14" t="n">
        <v>100</v>
      </c>
      <c r="C2911" s="15"/>
      <c r="D2911" s="16" t="s">
        <v>64</v>
      </c>
      <c r="E2911" s="17" t="s">
        <v>47</v>
      </c>
      <c r="F2911" s="18" t="s">
        <v>34</v>
      </c>
      <c r="G2911" s="19"/>
      <c r="H2911" s="17" t="s">
        <v>35</v>
      </c>
      <c r="I2911" s="17" t="s">
        <v>44</v>
      </c>
      <c r="J2911" s="17"/>
      <c r="K2911" s="17" t="e">
        <f aca="false">VLOOKUP(J2911,Sheet2!A:B,2,0)</f>
        <v>#N/A</v>
      </c>
      <c r="L2911" s="17" t="n">
        <v>5</v>
      </c>
      <c r="M2911" s="17" t="str">
        <f aca="false">VLOOKUP(L2911,Sheet2!D:E,2,0)</f>
        <v>Main Processor CPU BGA</v>
      </c>
      <c r="N2911" s="17" t="n">
        <v>1</v>
      </c>
      <c r="O2911" s="17" t="str">
        <f aca="false">VLOOKUP(N2911,Sheet2!G:H,2,0)</f>
        <v>Dead</v>
      </c>
      <c r="P2911" s="17" t="n">
        <v>11</v>
      </c>
      <c r="Q2911" s="17" t="str">
        <f aca="false">VLOOKUP(P2911,Sheet2!J:K,2,0)</f>
        <v>IR Declared due to CID -TA</v>
      </c>
      <c r="R2911" s="17" t="s">
        <v>35</v>
      </c>
      <c r="S2911" s="17" t="str">
        <f aca="false">VLOOKUP(R2911,Sheet2!N:O,2,0)</f>
        <v>IREPARABLE</v>
      </c>
      <c r="T2911" s="18" t="str">
        <f aca="false">VLOOKUP(P2911,Sheet2!Q:R,2,0)</f>
        <v>IR Normal - Track burn out</v>
      </c>
      <c r="U2911" s="20" t="s">
        <v>41</v>
      </c>
      <c r="V2911" s="17"/>
      <c r="W2911" s="20" t="e">
        <f aca="false">VLOOKUP(V2911,Sheet2!Q:R,2,0)</f>
        <v>#N/A</v>
      </c>
      <c r="X2911" s="17" t="n">
        <f aca="false">J2911</f>
        <v>0</v>
      </c>
      <c r="Y2911" s="17" t="e">
        <f aca="false">VLOOKUP(X2911,Sheet2!A:B,2,0)</f>
        <v>#N/A</v>
      </c>
      <c r="Z2911" s="17"/>
      <c r="AA2911" s="17"/>
      <c r="AB2911" s="17" t="s">
        <v>41</v>
      </c>
      <c r="AC2911" s="0" t="str">
        <f aca="false">LEFT(G2911,2)</f>
        <v/>
      </c>
    </row>
    <row r="2912" customFormat="false" ht="15" hidden="false" customHeight="false" outlineLevel="0" collapsed="false">
      <c r="A2912" s="13" t="n">
        <f aca="false">1+A2911</f>
        <v>2910</v>
      </c>
      <c r="B2912" s="14" t="n">
        <v>100</v>
      </c>
      <c r="C2912" s="15"/>
      <c r="D2912" s="16" t="s">
        <v>64</v>
      </c>
      <c r="E2912" s="17" t="s">
        <v>47</v>
      </c>
      <c r="F2912" s="18" t="s">
        <v>34</v>
      </c>
      <c r="G2912" s="19"/>
      <c r="H2912" s="17" t="s">
        <v>35</v>
      </c>
      <c r="I2912" s="17" t="s">
        <v>44</v>
      </c>
      <c r="J2912" s="17"/>
      <c r="K2912" s="17" t="e">
        <f aca="false">VLOOKUP(J2912,Sheet2!A:B,2,0)</f>
        <v>#N/A</v>
      </c>
      <c r="L2912" s="17" t="n">
        <v>5</v>
      </c>
      <c r="M2912" s="17" t="str">
        <f aca="false">VLOOKUP(L2912,Sheet2!D:E,2,0)</f>
        <v>Main Processor CPU BGA</v>
      </c>
      <c r="N2912" s="17" t="n">
        <v>1</v>
      </c>
      <c r="O2912" s="17" t="str">
        <f aca="false">VLOOKUP(N2912,Sheet2!G:H,2,0)</f>
        <v>Dead</v>
      </c>
      <c r="P2912" s="17" t="n">
        <v>11</v>
      </c>
      <c r="Q2912" s="17" t="str">
        <f aca="false">VLOOKUP(P2912,Sheet2!J:K,2,0)</f>
        <v>IR Declared due to CID -TA</v>
      </c>
      <c r="R2912" s="17" t="s">
        <v>35</v>
      </c>
      <c r="S2912" s="17" t="str">
        <f aca="false">VLOOKUP(R2912,Sheet2!N:O,2,0)</f>
        <v>IREPARABLE</v>
      </c>
      <c r="T2912" s="18" t="str">
        <f aca="false">VLOOKUP(P2912,Sheet2!Q:R,2,0)</f>
        <v>IR Normal - Track burn out</v>
      </c>
      <c r="U2912" s="20" t="s">
        <v>41</v>
      </c>
      <c r="V2912" s="17"/>
      <c r="W2912" s="20" t="e">
        <f aca="false">VLOOKUP(V2912,Sheet2!Q:R,2,0)</f>
        <v>#N/A</v>
      </c>
      <c r="X2912" s="17" t="n">
        <f aca="false">J2912</f>
        <v>0</v>
      </c>
      <c r="Y2912" s="17" t="e">
        <f aca="false">VLOOKUP(X2912,Sheet2!A:B,2,0)</f>
        <v>#N/A</v>
      </c>
      <c r="Z2912" s="17"/>
      <c r="AA2912" s="17"/>
      <c r="AB2912" s="17" t="s">
        <v>41</v>
      </c>
      <c r="AC2912" s="0" t="str">
        <f aca="false">LEFT(G2912,2)</f>
        <v/>
      </c>
    </row>
    <row r="2913" customFormat="false" ht="15" hidden="false" customHeight="false" outlineLevel="0" collapsed="false">
      <c r="A2913" s="13" t="n">
        <f aca="false">1+A2912</f>
        <v>2911</v>
      </c>
      <c r="B2913" s="14" t="n">
        <v>100</v>
      </c>
      <c r="C2913" s="15"/>
      <c r="D2913" s="16" t="s">
        <v>64</v>
      </c>
      <c r="E2913" s="17" t="s">
        <v>47</v>
      </c>
      <c r="F2913" s="18" t="s">
        <v>34</v>
      </c>
      <c r="G2913" s="19"/>
      <c r="H2913" s="17" t="s">
        <v>35</v>
      </c>
      <c r="I2913" s="17" t="s">
        <v>44</v>
      </c>
      <c r="J2913" s="17"/>
      <c r="K2913" s="17" t="e">
        <f aca="false">VLOOKUP(J2913,Sheet2!A:B,2,0)</f>
        <v>#N/A</v>
      </c>
      <c r="L2913" s="17" t="n">
        <v>5</v>
      </c>
      <c r="M2913" s="17" t="str">
        <f aca="false">VLOOKUP(L2913,Sheet2!D:E,2,0)</f>
        <v>Main Processor CPU BGA</v>
      </c>
      <c r="N2913" s="17" t="n">
        <v>1</v>
      </c>
      <c r="O2913" s="17" t="str">
        <f aca="false">VLOOKUP(N2913,Sheet2!G:H,2,0)</f>
        <v>Dead</v>
      </c>
      <c r="P2913" s="17" t="n">
        <v>11</v>
      </c>
      <c r="Q2913" s="17" t="str">
        <f aca="false">VLOOKUP(P2913,Sheet2!J:K,2,0)</f>
        <v>IR Declared due to CID -TA</v>
      </c>
      <c r="R2913" s="17" t="s">
        <v>35</v>
      </c>
      <c r="S2913" s="17" t="str">
        <f aca="false">VLOOKUP(R2913,Sheet2!N:O,2,0)</f>
        <v>IREPARABLE</v>
      </c>
      <c r="T2913" s="18" t="str">
        <f aca="false">VLOOKUP(P2913,Sheet2!Q:R,2,0)</f>
        <v>IR Normal - Track burn out</v>
      </c>
      <c r="U2913" s="20" t="s">
        <v>41</v>
      </c>
      <c r="V2913" s="17"/>
      <c r="W2913" s="20" t="e">
        <f aca="false">VLOOKUP(V2913,Sheet2!Q:R,2,0)</f>
        <v>#N/A</v>
      </c>
      <c r="X2913" s="17" t="n">
        <f aca="false">J2913</f>
        <v>0</v>
      </c>
      <c r="Y2913" s="17" t="e">
        <f aca="false">VLOOKUP(X2913,Sheet2!A:B,2,0)</f>
        <v>#N/A</v>
      </c>
      <c r="Z2913" s="17"/>
      <c r="AA2913" s="17"/>
      <c r="AB2913" s="17" t="s">
        <v>41</v>
      </c>
      <c r="AC2913" s="0" t="str">
        <f aca="false">LEFT(G2913,2)</f>
        <v/>
      </c>
    </row>
    <row r="2914" customFormat="false" ht="15" hidden="false" customHeight="false" outlineLevel="0" collapsed="false">
      <c r="A2914" s="13" t="n">
        <f aca="false">1+A2913</f>
        <v>2912</v>
      </c>
      <c r="B2914" s="14" t="n">
        <v>100</v>
      </c>
      <c r="C2914" s="15"/>
      <c r="D2914" s="16" t="s">
        <v>64</v>
      </c>
      <c r="E2914" s="17" t="s">
        <v>47</v>
      </c>
      <c r="F2914" s="18" t="s">
        <v>34</v>
      </c>
      <c r="G2914" s="19"/>
      <c r="H2914" s="17" t="s">
        <v>35</v>
      </c>
      <c r="I2914" s="17" t="s">
        <v>44</v>
      </c>
      <c r="J2914" s="17"/>
      <c r="K2914" s="17" t="e">
        <f aca="false">VLOOKUP(J2914,Sheet2!A:B,2,0)</f>
        <v>#N/A</v>
      </c>
      <c r="L2914" s="17" t="n">
        <v>5</v>
      </c>
      <c r="M2914" s="17" t="str">
        <f aca="false">VLOOKUP(L2914,Sheet2!D:E,2,0)</f>
        <v>Main Processor CPU BGA</v>
      </c>
      <c r="N2914" s="17" t="n">
        <v>1</v>
      </c>
      <c r="O2914" s="17" t="str">
        <f aca="false">VLOOKUP(N2914,Sheet2!G:H,2,0)</f>
        <v>Dead</v>
      </c>
      <c r="P2914" s="17" t="n">
        <v>11</v>
      </c>
      <c r="Q2914" s="17" t="str">
        <f aca="false">VLOOKUP(P2914,Sheet2!J:K,2,0)</f>
        <v>IR Declared due to CID -TA</v>
      </c>
      <c r="R2914" s="17" t="s">
        <v>35</v>
      </c>
      <c r="S2914" s="17" t="str">
        <f aca="false">VLOOKUP(R2914,Sheet2!N:O,2,0)</f>
        <v>IREPARABLE</v>
      </c>
      <c r="T2914" s="18" t="str">
        <f aca="false">VLOOKUP(P2914,Sheet2!Q:R,2,0)</f>
        <v>IR Normal - Track burn out</v>
      </c>
      <c r="U2914" s="20" t="s">
        <v>41</v>
      </c>
      <c r="V2914" s="17"/>
      <c r="W2914" s="20" t="e">
        <f aca="false">VLOOKUP(V2914,Sheet2!Q:R,2,0)</f>
        <v>#N/A</v>
      </c>
      <c r="X2914" s="17" t="n">
        <f aca="false">J2914</f>
        <v>0</v>
      </c>
      <c r="Y2914" s="17" t="e">
        <f aca="false">VLOOKUP(X2914,Sheet2!A:B,2,0)</f>
        <v>#N/A</v>
      </c>
      <c r="Z2914" s="17"/>
      <c r="AA2914" s="17"/>
      <c r="AB2914" s="17" t="s">
        <v>41</v>
      </c>
      <c r="AC2914" s="0" t="str">
        <f aca="false">LEFT(G2914,2)</f>
        <v/>
      </c>
    </row>
    <row r="2915" customFormat="false" ht="15" hidden="false" customHeight="false" outlineLevel="0" collapsed="false">
      <c r="A2915" s="13" t="n">
        <f aca="false">1+A2914</f>
        <v>2913</v>
      </c>
      <c r="B2915" s="14" t="n">
        <v>100</v>
      </c>
      <c r="C2915" s="15"/>
      <c r="D2915" s="16" t="s">
        <v>64</v>
      </c>
      <c r="E2915" s="17" t="s">
        <v>47</v>
      </c>
      <c r="F2915" s="18" t="s">
        <v>34</v>
      </c>
      <c r="G2915" s="19"/>
      <c r="H2915" s="17" t="s">
        <v>35</v>
      </c>
      <c r="I2915" s="17" t="s">
        <v>44</v>
      </c>
      <c r="J2915" s="17"/>
      <c r="K2915" s="17" t="e">
        <f aca="false">VLOOKUP(J2915,Sheet2!A:B,2,0)</f>
        <v>#N/A</v>
      </c>
      <c r="L2915" s="17" t="n">
        <v>5</v>
      </c>
      <c r="M2915" s="17" t="str">
        <f aca="false">VLOOKUP(L2915,Sheet2!D:E,2,0)</f>
        <v>Main Processor CPU BGA</v>
      </c>
      <c r="N2915" s="17" t="n">
        <v>1</v>
      </c>
      <c r="O2915" s="17" t="str">
        <f aca="false">VLOOKUP(N2915,Sheet2!G:H,2,0)</f>
        <v>Dead</v>
      </c>
      <c r="P2915" s="17" t="n">
        <v>11</v>
      </c>
      <c r="Q2915" s="17" t="str">
        <f aca="false">VLOOKUP(P2915,Sheet2!J:K,2,0)</f>
        <v>IR Declared due to CID -TA</v>
      </c>
      <c r="R2915" s="17" t="s">
        <v>35</v>
      </c>
      <c r="S2915" s="17" t="str">
        <f aca="false">VLOOKUP(R2915,Sheet2!N:O,2,0)</f>
        <v>IREPARABLE</v>
      </c>
      <c r="T2915" s="18" t="str">
        <f aca="false">VLOOKUP(P2915,Sheet2!Q:R,2,0)</f>
        <v>IR Normal - Track burn out</v>
      </c>
      <c r="U2915" s="20" t="s">
        <v>41</v>
      </c>
      <c r="V2915" s="17"/>
      <c r="W2915" s="20" t="e">
        <f aca="false">VLOOKUP(V2915,Sheet2!Q:R,2,0)</f>
        <v>#N/A</v>
      </c>
      <c r="X2915" s="17" t="n">
        <f aca="false">J2915</f>
        <v>0</v>
      </c>
      <c r="Y2915" s="17" t="e">
        <f aca="false">VLOOKUP(X2915,Sheet2!A:B,2,0)</f>
        <v>#N/A</v>
      </c>
      <c r="Z2915" s="17"/>
      <c r="AA2915" s="17"/>
      <c r="AB2915" s="17" t="s">
        <v>41</v>
      </c>
      <c r="AC2915" s="0" t="str">
        <f aca="false">LEFT(G2915,2)</f>
        <v/>
      </c>
    </row>
    <row r="2916" customFormat="false" ht="15" hidden="false" customHeight="false" outlineLevel="0" collapsed="false">
      <c r="A2916" s="13" t="n">
        <f aca="false">1+A2915</f>
        <v>2914</v>
      </c>
      <c r="B2916" s="14" t="n">
        <v>100</v>
      </c>
      <c r="C2916" s="15"/>
      <c r="D2916" s="16" t="s">
        <v>64</v>
      </c>
      <c r="E2916" s="17" t="s">
        <v>47</v>
      </c>
      <c r="F2916" s="18" t="s">
        <v>34</v>
      </c>
      <c r="G2916" s="19"/>
      <c r="H2916" s="17" t="s">
        <v>35</v>
      </c>
      <c r="I2916" s="17" t="s">
        <v>44</v>
      </c>
      <c r="J2916" s="17"/>
      <c r="K2916" s="17" t="e">
        <f aca="false">VLOOKUP(J2916,Sheet2!A:B,2,0)</f>
        <v>#N/A</v>
      </c>
      <c r="L2916" s="17" t="n">
        <v>5</v>
      </c>
      <c r="M2916" s="17" t="str">
        <f aca="false">VLOOKUP(L2916,Sheet2!D:E,2,0)</f>
        <v>Main Processor CPU BGA</v>
      </c>
      <c r="N2916" s="17" t="n">
        <v>1</v>
      </c>
      <c r="O2916" s="17" t="str">
        <f aca="false">VLOOKUP(N2916,Sheet2!G:H,2,0)</f>
        <v>Dead</v>
      </c>
      <c r="P2916" s="17" t="n">
        <v>11</v>
      </c>
      <c r="Q2916" s="17" t="str">
        <f aca="false">VLOOKUP(P2916,Sheet2!J:K,2,0)</f>
        <v>IR Declared due to CID -TA</v>
      </c>
      <c r="R2916" s="17" t="s">
        <v>35</v>
      </c>
      <c r="S2916" s="17" t="str">
        <f aca="false">VLOOKUP(R2916,Sheet2!N:O,2,0)</f>
        <v>IREPARABLE</v>
      </c>
      <c r="T2916" s="18" t="str">
        <f aca="false">VLOOKUP(P2916,Sheet2!Q:R,2,0)</f>
        <v>IR Normal - Track burn out</v>
      </c>
      <c r="U2916" s="20" t="s">
        <v>41</v>
      </c>
      <c r="V2916" s="17"/>
      <c r="W2916" s="20" t="e">
        <f aca="false">VLOOKUP(V2916,Sheet2!Q:R,2,0)</f>
        <v>#N/A</v>
      </c>
      <c r="X2916" s="17" t="n">
        <f aca="false">J2916</f>
        <v>0</v>
      </c>
      <c r="Y2916" s="17" t="e">
        <f aca="false">VLOOKUP(X2916,Sheet2!A:B,2,0)</f>
        <v>#N/A</v>
      </c>
      <c r="Z2916" s="17"/>
      <c r="AA2916" s="17"/>
      <c r="AB2916" s="17" t="s">
        <v>41</v>
      </c>
      <c r="AC2916" s="0" t="str">
        <f aca="false">LEFT(G2916,2)</f>
        <v/>
      </c>
    </row>
    <row r="2917" customFormat="false" ht="15" hidden="false" customHeight="false" outlineLevel="0" collapsed="false">
      <c r="A2917" s="13" t="n">
        <f aca="false">1+A2916</f>
        <v>2915</v>
      </c>
      <c r="B2917" s="14" t="n">
        <v>100</v>
      </c>
      <c r="C2917" s="15"/>
      <c r="D2917" s="16" t="s">
        <v>64</v>
      </c>
      <c r="E2917" s="17" t="s">
        <v>47</v>
      </c>
      <c r="F2917" s="18" t="s">
        <v>34</v>
      </c>
      <c r="G2917" s="19"/>
      <c r="H2917" s="17" t="s">
        <v>35</v>
      </c>
      <c r="I2917" s="17" t="s">
        <v>44</v>
      </c>
      <c r="J2917" s="17"/>
      <c r="K2917" s="17" t="e">
        <f aca="false">VLOOKUP(J2917,Sheet2!A:B,2,0)</f>
        <v>#N/A</v>
      </c>
      <c r="L2917" s="17" t="n">
        <v>5</v>
      </c>
      <c r="M2917" s="17" t="str">
        <f aca="false">VLOOKUP(L2917,Sheet2!D:E,2,0)</f>
        <v>Main Processor CPU BGA</v>
      </c>
      <c r="N2917" s="17" t="n">
        <v>1</v>
      </c>
      <c r="O2917" s="17" t="str">
        <f aca="false">VLOOKUP(N2917,Sheet2!G:H,2,0)</f>
        <v>Dead</v>
      </c>
      <c r="P2917" s="17" t="n">
        <v>11</v>
      </c>
      <c r="Q2917" s="17" t="str">
        <f aca="false">VLOOKUP(P2917,Sheet2!J:K,2,0)</f>
        <v>IR Declared due to CID -TA</v>
      </c>
      <c r="R2917" s="17" t="s">
        <v>35</v>
      </c>
      <c r="S2917" s="17" t="str">
        <f aca="false">VLOOKUP(R2917,Sheet2!N:O,2,0)</f>
        <v>IREPARABLE</v>
      </c>
      <c r="T2917" s="18" t="str">
        <f aca="false">VLOOKUP(P2917,Sheet2!Q:R,2,0)</f>
        <v>IR Normal - Track burn out</v>
      </c>
      <c r="U2917" s="20" t="s">
        <v>41</v>
      </c>
      <c r="V2917" s="17"/>
      <c r="W2917" s="20" t="e">
        <f aca="false">VLOOKUP(V2917,Sheet2!Q:R,2,0)</f>
        <v>#N/A</v>
      </c>
      <c r="X2917" s="17" t="n">
        <f aca="false">J2917</f>
        <v>0</v>
      </c>
      <c r="Y2917" s="17" t="e">
        <f aca="false">VLOOKUP(X2917,Sheet2!A:B,2,0)</f>
        <v>#N/A</v>
      </c>
      <c r="Z2917" s="17"/>
      <c r="AA2917" s="17"/>
      <c r="AB2917" s="17" t="s">
        <v>41</v>
      </c>
      <c r="AC2917" s="0" t="str">
        <f aca="false">LEFT(G2917,2)</f>
        <v/>
      </c>
    </row>
    <row r="2918" customFormat="false" ht="15" hidden="false" customHeight="false" outlineLevel="0" collapsed="false">
      <c r="A2918" s="13" t="n">
        <f aca="false">1+A2917</f>
        <v>2916</v>
      </c>
      <c r="B2918" s="14" t="n">
        <v>100</v>
      </c>
      <c r="C2918" s="15"/>
      <c r="D2918" s="16" t="s">
        <v>64</v>
      </c>
      <c r="E2918" s="17" t="s">
        <v>47</v>
      </c>
      <c r="F2918" s="18" t="s">
        <v>34</v>
      </c>
      <c r="G2918" s="19"/>
      <c r="H2918" s="17" t="s">
        <v>35</v>
      </c>
      <c r="I2918" s="17" t="s">
        <v>44</v>
      </c>
      <c r="J2918" s="17"/>
      <c r="K2918" s="17" t="e">
        <f aca="false">VLOOKUP(J2918,Sheet2!A:B,2,0)</f>
        <v>#N/A</v>
      </c>
      <c r="L2918" s="17" t="n">
        <v>5</v>
      </c>
      <c r="M2918" s="17" t="str">
        <f aca="false">VLOOKUP(L2918,Sheet2!D:E,2,0)</f>
        <v>Main Processor CPU BGA</v>
      </c>
      <c r="N2918" s="17" t="n">
        <v>1</v>
      </c>
      <c r="O2918" s="17" t="str">
        <f aca="false">VLOOKUP(N2918,Sheet2!G:H,2,0)</f>
        <v>Dead</v>
      </c>
      <c r="P2918" s="17" t="n">
        <v>11</v>
      </c>
      <c r="Q2918" s="17" t="str">
        <f aca="false">VLOOKUP(P2918,Sheet2!J:K,2,0)</f>
        <v>IR Declared due to CID -TA</v>
      </c>
      <c r="R2918" s="17" t="s">
        <v>35</v>
      </c>
      <c r="S2918" s="17" t="str">
        <f aca="false">VLOOKUP(R2918,Sheet2!N:O,2,0)</f>
        <v>IREPARABLE</v>
      </c>
      <c r="T2918" s="18" t="str">
        <f aca="false">VLOOKUP(P2918,Sheet2!Q:R,2,0)</f>
        <v>IR Normal - Track burn out</v>
      </c>
      <c r="U2918" s="20" t="s">
        <v>41</v>
      </c>
      <c r="V2918" s="17"/>
      <c r="W2918" s="20" t="e">
        <f aca="false">VLOOKUP(V2918,Sheet2!Q:R,2,0)</f>
        <v>#N/A</v>
      </c>
      <c r="X2918" s="17" t="n">
        <f aca="false">J2918</f>
        <v>0</v>
      </c>
      <c r="Y2918" s="17" t="e">
        <f aca="false">VLOOKUP(X2918,Sheet2!A:B,2,0)</f>
        <v>#N/A</v>
      </c>
      <c r="Z2918" s="17"/>
      <c r="AA2918" s="17"/>
      <c r="AB2918" s="17" t="s">
        <v>41</v>
      </c>
      <c r="AC2918" s="0" t="str">
        <f aca="false">LEFT(G2918,2)</f>
        <v/>
      </c>
    </row>
    <row r="2919" customFormat="false" ht="15" hidden="false" customHeight="false" outlineLevel="0" collapsed="false">
      <c r="A2919" s="13" t="n">
        <f aca="false">1+A2918</f>
        <v>2917</v>
      </c>
      <c r="B2919" s="14" t="n">
        <v>100</v>
      </c>
      <c r="C2919" s="15"/>
      <c r="D2919" s="16" t="s">
        <v>64</v>
      </c>
      <c r="E2919" s="17" t="s">
        <v>47</v>
      </c>
      <c r="F2919" s="18" t="s">
        <v>34</v>
      </c>
      <c r="G2919" s="19"/>
      <c r="H2919" s="17" t="s">
        <v>35</v>
      </c>
      <c r="I2919" s="17" t="s">
        <v>44</v>
      </c>
      <c r="J2919" s="17"/>
      <c r="K2919" s="17" t="e">
        <f aca="false">VLOOKUP(J2919,Sheet2!A:B,2,0)</f>
        <v>#N/A</v>
      </c>
      <c r="L2919" s="17" t="n">
        <v>5</v>
      </c>
      <c r="M2919" s="17" t="str">
        <f aca="false">VLOOKUP(L2919,Sheet2!D:E,2,0)</f>
        <v>Main Processor CPU BGA</v>
      </c>
      <c r="N2919" s="17" t="n">
        <v>1</v>
      </c>
      <c r="O2919" s="17" t="str">
        <f aca="false">VLOOKUP(N2919,Sheet2!G:H,2,0)</f>
        <v>Dead</v>
      </c>
      <c r="P2919" s="17" t="n">
        <v>11</v>
      </c>
      <c r="Q2919" s="17" t="str">
        <f aca="false">VLOOKUP(P2919,Sheet2!J:K,2,0)</f>
        <v>IR Declared due to CID -TA</v>
      </c>
      <c r="R2919" s="17" t="s">
        <v>35</v>
      </c>
      <c r="S2919" s="17" t="str">
        <f aca="false">VLOOKUP(R2919,Sheet2!N:O,2,0)</f>
        <v>IREPARABLE</v>
      </c>
      <c r="T2919" s="18" t="str">
        <f aca="false">VLOOKUP(P2919,Sheet2!Q:R,2,0)</f>
        <v>IR Normal - Track burn out</v>
      </c>
      <c r="U2919" s="20" t="s">
        <v>41</v>
      </c>
      <c r="V2919" s="17"/>
      <c r="W2919" s="20" t="e">
        <f aca="false">VLOOKUP(V2919,Sheet2!Q:R,2,0)</f>
        <v>#N/A</v>
      </c>
      <c r="X2919" s="17" t="n">
        <f aca="false">J2919</f>
        <v>0</v>
      </c>
      <c r="Y2919" s="17" t="e">
        <f aca="false">VLOOKUP(X2919,Sheet2!A:B,2,0)</f>
        <v>#N/A</v>
      </c>
      <c r="Z2919" s="17"/>
      <c r="AA2919" s="17"/>
      <c r="AB2919" s="17" t="s">
        <v>41</v>
      </c>
      <c r="AC2919" s="0" t="str">
        <f aca="false">LEFT(G2919,2)</f>
        <v/>
      </c>
    </row>
    <row r="2920" customFormat="false" ht="15" hidden="false" customHeight="false" outlineLevel="0" collapsed="false">
      <c r="A2920" s="13" t="n">
        <f aca="false">1+A2919</f>
        <v>2918</v>
      </c>
      <c r="B2920" s="14" t="n">
        <v>100</v>
      </c>
      <c r="C2920" s="15"/>
      <c r="D2920" s="16" t="s">
        <v>64</v>
      </c>
      <c r="E2920" s="17" t="s">
        <v>47</v>
      </c>
      <c r="F2920" s="18" t="s">
        <v>34</v>
      </c>
      <c r="G2920" s="19"/>
      <c r="H2920" s="17" t="s">
        <v>35</v>
      </c>
      <c r="I2920" s="17" t="s">
        <v>44</v>
      </c>
      <c r="J2920" s="17"/>
      <c r="K2920" s="17" t="e">
        <f aca="false">VLOOKUP(J2920,Sheet2!A:B,2,0)</f>
        <v>#N/A</v>
      </c>
      <c r="L2920" s="17" t="n">
        <v>5</v>
      </c>
      <c r="M2920" s="17" t="str">
        <f aca="false">VLOOKUP(L2920,Sheet2!D:E,2,0)</f>
        <v>Main Processor CPU BGA</v>
      </c>
      <c r="N2920" s="17" t="n">
        <v>1</v>
      </c>
      <c r="O2920" s="17" t="str">
        <f aca="false">VLOOKUP(N2920,Sheet2!G:H,2,0)</f>
        <v>Dead</v>
      </c>
      <c r="P2920" s="17" t="n">
        <v>11</v>
      </c>
      <c r="Q2920" s="17" t="str">
        <f aca="false">VLOOKUP(P2920,Sheet2!J:K,2,0)</f>
        <v>IR Declared due to CID -TA</v>
      </c>
      <c r="R2920" s="17" t="s">
        <v>35</v>
      </c>
      <c r="S2920" s="17" t="str">
        <f aca="false">VLOOKUP(R2920,Sheet2!N:O,2,0)</f>
        <v>IREPARABLE</v>
      </c>
      <c r="T2920" s="18" t="str">
        <f aca="false">VLOOKUP(P2920,Sheet2!Q:R,2,0)</f>
        <v>IR Normal - Track burn out</v>
      </c>
      <c r="U2920" s="20" t="s">
        <v>41</v>
      </c>
      <c r="V2920" s="17"/>
      <c r="W2920" s="20" t="e">
        <f aca="false">VLOOKUP(V2920,Sheet2!Q:R,2,0)</f>
        <v>#N/A</v>
      </c>
      <c r="X2920" s="17" t="n">
        <f aca="false">J2920</f>
        <v>0</v>
      </c>
      <c r="Y2920" s="17" t="e">
        <f aca="false">VLOOKUP(X2920,Sheet2!A:B,2,0)</f>
        <v>#N/A</v>
      </c>
      <c r="Z2920" s="17"/>
      <c r="AA2920" s="17"/>
      <c r="AB2920" s="17" t="s">
        <v>41</v>
      </c>
      <c r="AC2920" s="0" t="str">
        <f aca="false">LEFT(G2920,2)</f>
        <v/>
      </c>
    </row>
    <row r="2921" customFormat="false" ht="15" hidden="false" customHeight="false" outlineLevel="0" collapsed="false">
      <c r="A2921" s="13" t="n">
        <f aca="false">1+A2920</f>
        <v>2919</v>
      </c>
      <c r="B2921" s="14" t="n">
        <v>100</v>
      </c>
      <c r="C2921" s="15"/>
      <c r="D2921" s="16" t="s">
        <v>64</v>
      </c>
      <c r="E2921" s="17" t="s">
        <v>47</v>
      </c>
      <c r="F2921" s="18" t="s">
        <v>34</v>
      </c>
      <c r="G2921" s="19"/>
      <c r="H2921" s="17" t="s">
        <v>35</v>
      </c>
      <c r="I2921" s="17" t="s">
        <v>44</v>
      </c>
      <c r="J2921" s="17"/>
      <c r="K2921" s="17" t="e">
        <f aca="false">VLOOKUP(J2921,Sheet2!A:B,2,0)</f>
        <v>#N/A</v>
      </c>
      <c r="L2921" s="17" t="n">
        <v>5</v>
      </c>
      <c r="M2921" s="17" t="str">
        <f aca="false">VLOOKUP(L2921,Sheet2!D:E,2,0)</f>
        <v>Main Processor CPU BGA</v>
      </c>
      <c r="N2921" s="17" t="n">
        <v>1</v>
      </c>
      <c r="O2921" s="17" t="str">
        <f aca="false">VLOOKUP(N2921,Sheet2!G:H,2,0)</f>
        <v>Dead</v>
      </c>
      <c r="P2921" s="17" t="n">
        <v>11</v>
      </c>
      <c r="Q2921" s="17" t="str">
        <f aca="false">VLOOKUP(P2921,Sheet2!J:K,2,0)</f>
        <v>IR Declared due to CID -TA</v>
      </c>
      <c r="R2921" s="17" t="s">
        <v>35</v>
      </c>
      <c r="S2921" s="17" t="str">
        <f aca="false">VLOOKUP(R2921,Sheet2!N:O,2,0)</f>
        <v>IREPARABLE</v>
      </c>
      <c r="T2921" s="18" t="str">
        <f aca="false">VLOOKUP(P2921,Sheet2!Q:R,2,0)</f>
        <v>IR Normal - Track burn out</v>
      </c>
      <c r="U2921" s="20" t="s">
        <v>41</v>
      </c>
      <c r="V2921" s="17"/>
      <c r="W2921" s="20" t="e">
        <f aca="false">VLOOKUP(V2921,Sheet2!Q:R,2,0)</f>
        <v>#N/A</v>
      </c>
      <c r="X2921" s="17" t="n">
        <f aca="false">J2921</f>
        <v>0</v>
      </c>
      <c r="Y2921" s="17" t="e">
        <f aca="false">VLOOKUP(X2921,Sheet2!A:B,2,0)</f>
        <v>#N/A</v>
      </c>
      <c r="Z2921" s="17"/>
      <c r="AA2921" s="17"/>
      <c r="AB2921" s="17" t="s">
        <v>41</v>
      </c>
      <c r="AC2921" s="0" t="str">
        <f aca="false">LEFT(G2921,2)</f>
        <v/>
      </c>
    </row>
    <row r="2922" customFormat="false" ht="15" hidden="false" customHeight="false" outlineLevel="0" collapsed="false">
      <c r="A2922" s="13" t="n">
        <f aca="false">1+A2921</f>
        <v>2920</v>
      </c>
      <c r="B2922" s="14" t="n">
        <v>100</v>
      </c>
      <c r="C2922" s="15"/>
      <c r="D2922" s="16" t="s">
        <v>64</v>
      </c>
      <c r="E2922" s="17" t="s">
        <v>47</v>
      </c>
      <c r="F2922" s="18" t="s">
        <v>34</v>
      </c>
      <c r="G2922" s="19"/>
      <c r="H2922" s="17" t="s">
        <v>35</v>
      </c>
      <c r="I2922" s="17" t="s">
        <v>44</v>
      </c>
      <c r="J2922" s="17"/>
      <c r="K2922" s="17" t="e">
        <f aca="false">VLOOKUP(J2922,Sheet2!A:B,2,0)</f>
        <v>#N/A</v>
      </c>
      <c r="L2922" s="17" t="n">
        <v>5</v>
      </c>
      <c r="M2922" s="17" t="str">
        <f aca="false">VLOOKUP(L2922,Sheet2!D:E,2,0)</f>
        <v>Main Processor CPU BGA</v>
      </c>
      <c r="N2922" s="17" t="n">
        <v>1</v>
      </c>
      <c r="O2922" s="17" t="str">
        <f aca="false">VLOOKUP(N2922,Sheet2!G:H,2,0)</f>
        <v>Dead</v>
      </c>
      <c r="P2922" s="17" t="n">
        <v>11</v>
      </c>
      <c r="Q2922" s="17" t="str">
        <f aca="false">VLOOKUP(P2922,Sheet2!J:K,2,0)</f>
        <v>IR Declared due to CID -TA</v>
      </c>
      <c r="R2922" s="17" t="s">
        <v>35</v>
      </c>
      <c r="S2922" s="17" t="str">
        <f aca="false">VLOOKUP(R2922,Sheet2!N:O,2,0)</f>
        <v>IREPARABLE</v>
      </c>
      <c r="T2922" s="18" t="str">
        <f aca="false">VLOOKUP(P2922,Sheet2!Q:R,2,0)</f>
        <v>IR Normal - Track burn out</v>
      </c>
      <c r="U2922" s="20" t="s">
        <v>41</v>
      </c>
      <c r="V2922" s="17"/>
      <c r="W2922" s="20" t="e">
        <f aca="false">VLOOKUP(V2922,Sheet2!Q:R,2,0)</f>
        <v>#N/A</v>
      </c>
      <c r="X2922" s="17" t="n">
        <f aca="false">J2922</f>
        <v>0</v>
      </c>
      <c r="Y2922" s="17" t="e">
        <f aca="false">VLOOKUP(X2922,Sheet2!A:B,2,0)</f>
        <v>#N/A</v>
      </c>
      <c r="Z2922" s="17"/>
      <c r="AA2922" s="17"/>
      <c r="AB2922" s="17" t="s">
        <v>41</v>
      </c>
      <c r="AC2922" s="0" t="str">
        <f aca="false">LEFT(G2922,2)</f>
        <v/>
      </c>
    </row>
    <row r="2923" customFormat="false" ht="15" hidden="false" customHeight="false" outlineLevel="0" collapsed="false">
      <c r="A2923" s="13" t="n">
        <f aca="false">1+A2922</f>
        <v>2921</v>
      </c>
      <c r="B2923" s="14" t="n">
        <v>100</v>
      </c>
      <c r="C2923" s="15"/>
      <c r="D2923" s="16" t="s">
        <v>64</v>
      </c>
      <c r="E2923" s="17" t="s">
        <v>47</v>
      </c>
      <c r="F2923" s="18" t="s">
        <v>34</v>
      </c>
      <c r="G2923" s="19"/>
      <c r="H2923" s="17" t="s">
        <v>35</v>
      </c>
      <c r="I2923" s="17" t="s">
        <v>44</v>
      </c>
      <c r="J2923" s="17"/>
      <c r="K2923" s="17" t="e">
        <f aca="false">VLOOKUP(J2923,Sheet2!A:B,2,0)</f>
        <v>#N/A</v>
      </c>
      <c r="L2923" s="17" t="n">
        <v>5</v>
      </c>
      <c r="M2923" s="17" t="str">
        <f aca="false">VLOOKUP(L2923,Sheet2!D:E,2,0)</f>
        <v>Main Processor CPU BGA</v>
      </c>
      <c r="N2923" s="17" t="n">
        <v>1</v>
      </c>
      <c r="O2923" s="17" t="str">
        <f aca="false">VLOOKUP(N2923,Sheet2!G:H,2,0)</f>
        <v>Dead</v>
      </c>
      <c r="P2923" s="17" t="n">
        <v>11</v>
      </c>
      <c r="Q2923" s="17" t="str">
        <f aca="false">VLOOKUP(P2923,Sheet2!J:K,2,0)</f>
        <v>IR Declared due to CID -TA</v>
      </c>
      <c r="R2923" s="17" t="s">
        <v>35</v>
      </c>
      <c r="S2923" s="17" t="str">
        <f aca="false">VLOOKUP(R2923,Sheet2!N:O,2,0)</f>
        <v>IREPARABLE</v>
      </c>
      <c r="T2923" s="18" t="str">
        <f aca="false">VLOOKUP(P2923,Sheet2!Q:R,2,0)</f>
        <v>IR Normal - Track burn out</v>
      </c>
      <c r="U2923" s="20" t="s">
        <v>41</v>
      </c>
      <c r="V2923" s="17"/>
      <c r="W2923" s="20" t="e">
        <f aca="false">VLOOKUP(V2923,Sheet2!Q:R,2,0)</f>
        <v>#N/A</v>
      </c>
      <c r="X2923" s="17" t="n">
        <f aca="false">J2923</f>
        <v>0</v>
      </c>
      <c r="Y2923" s="17" t="e">
        <f aca="false">VLOOKUP(X2923,Sheet2!A:B,2,0)</f>
        <v>#N/A</v>
      </c>
      <c r="Z2923" s="17"/>
      <c r="AA2923" s="17"/>
      <c r="AB2923" s="17" t="s">
        <v>41</v>
      </c>
      <c r="AC2923" s="0" t="str">
        <f aca="false">LEFT(G2923,2)</f>
        <v/>
      </c>
    </row>
    <row r="2924" customFormat="false" ht="15" hidden="false" customHeight="false" outlineLevel="0" collapsed="false">
      <c r="A2924" s="13" t="n">
        <f aca="false">1+A2923</f>
        <v>2922</v>
      </c>
      <c r="B2924" s="14" t="n">
        <v>100</v>
      </c>
      <c r="C2924" s="15"/>
      <c r="D2924" s="16" t="s">
        <v>64</v>
      </c>
      <c r="E2924" s="17" t="s">
        <v>47</v>
      </c>
      <c r="F2924" s="18" t="s">
        <v>34</v>
      </c>
      <c r="G2924" s="19"/>
      <c r="H2924" s="17" t="s">
        <v>35</v>
      </c>
      <c r="I2924" s="17" t="s">
        <v>44</v>
      </c>
      <c r="J2924" s="17"/>
      <c r="K2924" s="17" t="e">
        <f aca="false">VLOOKUP(J2924,Sheet2!A:B,2,0)</f>
        <v>#N/A</v>
      </c>
      <c r="L2924" s="17" t="n">
        <v>5</v>
      </c>
      <c r="M2924" s="17" t="str">
        <f aca="false">VLOOKUP(L2924,Sheet2!D:E,2,0)</f>
        <v>Main Processor CPU BGA</v>
      </c>
      <c r="N2924" s="17" t="n">
        <v>1</v>
      </c>
      <c r="O2924" s="17" t="str">
        <f aca="false">VLOOKUP(N2924,Sheet2!G:H,2,0)</f>
        <v>Dead</v>
      </c>
      <c r="P2924" s="17" t="n">
        <v>11</v>
      </c>
      <c r="Q2924" s="17" t="str">
        <f aca="false">VLOOKUP(P2924,Sheet2!J:K,2,0)</f>
        <v>IR Declared due to CID -TA</v>
      </c>
      <c r="R2924" s="17" t="s">
        <v>35</v>
      </c>
      <c r="S2924" s="17" t="str">
        <f aca="false">VLOOKUP(R2924,Sheet2!N:O,2,0)</f>
        <v>IREPARABLE</v>
      </c>
      <c r="T2924" s="18" t="str">
        <f aca="false">VLOOKUP(P2924,Sheet2!Q:R,2,0)</f>
        <v>IR Normal - Track burn out</v>
      </c>
      <c r="U2924" s="20" t="s">
        <v>41</v>
      </c>
      <c r="V2924" s="17"/>
      <c r="W2924" s="20" t="e">
        <f aca="false">VLOOKUP(V2924,Sheet2!Q:R,2,0)</f>
        <v>#N/A</v>
      </c>
      <c r="X2924" s="17" t="n">
        <f aca="false">J2924</f>
        <v>0</v>
      </c>
      <c r="Y2924" s="17" t="e">
        <f aca="false">VLOOKUP(X2924,Sheet2!A:B,2,0)</f>
        <v>#N/A</v>
      </c>
      <c r="Z2924" s="17"/>
      <c r="AA2924" s="17"/>
      <c r="AB2924" s="17" t="s">
        <v>41</v>
      </c>
      <c r="AC2924" s="0" t="str">
        <f aca="false">LEFT(G2924,2)</f>
        <v/>
      </c>
    </row>
    <row r="2925" customFormat="false" ht="15" hidden="false" customHeight="false" outlineLevel="0" collapsed="false">
      <c r="A2925" s="13" t="n">
        <f aca="false">1+A2924</f>
        <v>2923</v>
      </c>
      <c r="B2925" s="14" t="n">
        <v>100</v>
      </c>
      <c r="C2925" s="15"/>
      <c r="D2925" s="16" t="s">
        <v>64</v>
      </c>
      <c r="E2925" s="17" t="s">
        <v>47</v>
      </c>
      <c r="F2925" s="18" t="s">
        <v>34</v>
      </c>
      <c r="G2925" s="19"/>
      <c r="H2925" s="17" t="s">
        <v>35</v>
      </c>
      <c r="I2925" s="17" t="s">
        <v>44</v>
      </c>
      <c r="J2925" s="17"/>
      <c r="K2925" s="17" t="e">
        <f aca="false">VLOOKUP(J2925,Sheet2!A:B,2,0)</f>
        <v>#N/A</v>
      </c>
      <c r="L2925" s="17" t="n">
        <v>5</v>
      </c>
      <c r="M2925" s="17" t="str">
        <f aca="false">VLOOKUP(L2925,Sheet2!D:E,2,0)</f>
        <v>Main Processor CPU BGA</v>
      </c>
      <c r="N2925" s="17" t="n">
        <v>1</v>
      </c>
      <c r="O2925" s="17" t="str">
        <f aca="false">VLOOKUP(N2925,Sheet2!G:H,2,0)</f>
        <v>Dead</v>
      </c>
      <c r="P2925" s="17" t="n">
        <v>11</v>
      </c>
      <c r="Q2925" s="17" t="str">
        <f aca="false">VLOOKUP(P2925,Sheet2!J:K,2,0)</f>
        <v>IR Declared due to CID -TA</v>
      </c>
      <c r="R2925" s="17" t="s">
        <v>35</v>
      </c>
      <c r="S2925" s="17" t="str">
        <f aca="false">VLOOKUP(R2925,Sheet2!N:O,2,0)</f>
        <v>IREPARABLE</v>
      </c>
      <c r="T2925" s="18" t="str">
        <f aca="false">VLOOKUP(P2925,Sheet2!Q:R,2,0)</f>
        <v>IR Normal - Track burn out</v>
      </c>
      <c r="U2925" s="20" t="s">
        <v>41</v>
      </c>
      <c r="V2925" s="17"/>
      <c r="W2925" s="20" t="e">
        <f aca="false">VLOOKUP(V2925,Sheet2!Q:R,2,0)</f>
        <v>#N/A</v>
      </c>
      <c r="X2925" s="17" t="n">
        <f aca="false">J2925</f>
        <v>0</v>
      </c>
      <c r="Y2925" s="17" t="e">
        <f aca="false">VLOOKUP(X2925,Sheet2!A:B,2,0)</f>
        <v>#N/A</v>
      </c>
      <c r="Z2925" s="17"/>
      <c r="AA2925" s="17"/>
      <c r="AB2925" s="17" t="s">
        <v>41</v>
      </c>
      <c r="AC2925" s="0" t="str">
        <f aca="false">LEFT(G2925,2)</f>
        <v/>
      </c>
    </row>
    <row r="2926" customFormat="false" ht="15" hidden="false" customHeight="false" outlineLevel="0" collapsed="false">
      <c r="A2926" s="13" t="n">
        <f aca="false">1+A2925</f>
        <v>2924</v>
      </c>
      <c r="B2926" s="14" t="n">
        <v>100</v>
      </c>
      <c r="C2926" s="15"/>
      <c r="D2926" s="16" t="s">
        <v>64</v>
      </c>
      <c r="E2926" s="17" t="s">
        <v>47</v>
      </c>
      <c r="F2926" s="18" t="s">
        <v>34</v>
      </c>
      <c r="G2926" s="19"/>
      <c r="H2926" s="17" t="s">
        <v>35</v>
      </c>
      <c r="I2926" s="17" t="s">
        <v>44</v>
      </c>
      <c r="J2926" s="17"/>
      <c r="K2926" s="17" t="e">
        <f aca="false">VLOOKUP(J2926,Sheet2!A:B,2,0)</f>
        <v>#N/A</v>
      </c>
      <c r="L2926" s="17" t="n">
        <v>5</v>
      </c>
      <c r="M2926" s="17" t="str">
        <f aca="false">VLOOKUP(L2926,Sheet2!D:E,2,0)</f>
        <v>Main Processor CPU BGA</v>
      </c>
      <c r="N2926" s="17" t="n">
        <v>1</v>
      </c>
      <c r="O2926" s="17" t="str">
        <f aca="false">VLOOKUP(N2926,Sheet2!G:H,2,0)</f>
        <v>Dead</v>
      </c>
      <c r="P2926" s="17" t="n">
        <v>11</v>
      </c>
      <c r="Q2926" s="17" t="str">
        <f aca="false">VLOOKUP(P2926,Sheet2!J:K,2,0)</f>
        <v>IR Declared due to CID -TA</v>
      </c>
      <c r="R2926" s="17" t="s">
        <v>35</v>
      </c>
      <c r="S2926" s="17" t="str">
        <f aca="false">VLOOKUP(R2926,Sheet2!N:O,2,0)</f>
        <v>IREPARABLE</v>
      </c>
      <c r="T2926" s="18" t="str">
        <f aca="false">VLOOKUP(P2926,Sheet2!Q:R,2,0)</f>
        <v>IR Normal - Track burn out</v>
      </c>
      <c r="U2926" s="20" t="s">
        <v>41</v>
      </c>
      <c r="V2926" s="17"/>
      <c r="W2926" s="20" t="e">
        <f aca="false">VLOOKUP(V2926,Sheet2!Q:R,2,0)</f>
        <v>#N/A</v>
      </c>
      <c r="X2926" s="17" t="n">
        <f aca="false">J2926</f>
        <v>0</v>
      </c>
      <c r="Y2926" s="17" t="e">
        <f aca="false">VLOOKUP(X2926,Sheet2!A:B,2,0)</f>
        <v>#N/A</v>
      </c>
      <c r="Z2926" s="17"/>
      <c r="AA2926" s="17"/>
      <c r="AB2926" s="17" t="s">
        <v>41</v>
      </c>
      <c r="AC2926" s="0" t="str">
        <f aca="false">LEFT(G2926,2)</f>
        <v/>
      </c>
    </row>
    <row r="2927" customFormat="false" ht="15" hidden="false" customHeight="false" outlineLevel="0" collapsed="false">
      <c r="A2927" s="13" t="n">
        <f aca="false">1+A2926</f>
        <v>2925</v>
      </c>
      <c r="B2927" s="14" t="n">
        <v>100</v>
      </c>
      <c r="C2927" s="15"/>
      <c r="D2927" s="16" t="s">
        <v>64</v>
      </c>
      <c r="E2927" s="17" t="s">
        <v>47</v>
      </c>
      <c r="F2927" s="18" t="s">
        <v>34</v>
      </c>
      <c r="G2927" s="19"/>
      <c r="H2927" s="17" t="s">
        <v>35</v>
      </c>
      <c r="I2927" s="17" t="s">
        <v>44</v>
      </c>
      <c r="J2927" s="17"/>
      <c r="K2927" s="17" t="e">
        <f aca="false">VLOOKUP(J2927,Sheet2!A:B,2,0)</f>
        <v>#N/A</v>
      </c>
      <c r="L2927" s="17" t="n">
        <v>5</v>
      </c>
      <c r="M2927" s="17" t="str">
        <f aca="false">VLOOKUP(L2927,Sheet2!D:E,2,0)</f>
        <v>Main Processor CPU BGA</v>
      </c>
      <c r="N2927" s="17" t="n">
        <v>1</v>
      </c>
      <c r="O2927" s="17" t="str">
        <f aca="false">VLOOKUP(N2927,Sheet2!G:H,2,0)</f>
        <v>Dead</v>
      </c>
      <c r="P2927" s="17" t="n">
        <v>11</v>
      </c>
      <c r="Q2927" s="17" t="str">
        <f aca="false">VLOOKUP(P2927,Sheet2!J:K,2,0)</f>
        <v>IR Declared due to CID -TA</v>
      </c>
      <c r="R2927" s="17" t="s">
        <v>35</v>
      </c>
      <c r="S2927" s="17" t="str">
        <f aca="false">VLOOKUP(R2927,Sheet2!N:O,2,0)</f>
        <v>IREPARABLE</v>
      </c>
      <c r="T2927" s="18" t="str">
        <f aca="false">VLOOKUP(P2927,Sheet2!Q:R,2,0)</f>
        <v>IR Normal - Track burn out</v>
      </c>
      <c r="U2927" s="20" t="s">
        <v>41</v>
      </c>
      <c r="V2927" s="17"/>
      <c r="W2927" s="20" t="e">
        <f aca="false">VLOOKUP(V2927,Sheet2!Q:R,2,0)</f>
        <v>#N/A</v>
      </c>
      <c r="X2927" s="17" t="n">
        <f aca="false">J2927</f>
        <v>0</v>
      </c>
      <c r="Y2927" s="17" t="e">
        <f aca="false">VLOOKUP(X2927,Sheet2!A:B,2,0)</f>
        <v>#N/A</v>
      </c>
      <c r="Z2927" s="17"/>
      <c r="AA2927" s="17"/>
      <c r="AB2927" s="17" t="s">
        <v>41</v>
      </c>
      <c r="AC2927" s="0" t="str">
        <f aca="false">LEFT(G2927,2)</f>
        <v/>
      </c>
    </row>
    <row r="2928" customFormat="false" ht="15" hidden="false" customHeight="false" outlineLevel="0" collapsed="false">
      <c r="A2928" s="13" t="n">
        <f aca="false">1+A2927</f>
        <v>2926</v>
      </c>
      <c r="B2928" s="14" t="n">
        <v>100</v>
      </c>
      <c r="C2928" s="15"/>
      <c r="D2928" s="16" t="s">
        <v>64</v>
      </c>
      <c r="E2928" s="17" t="s">
        <v>47</v>
      </c>
      <c r="F2928" s="18" t="s">
        <v>34</v>
      </c>
      <c r="G2928" s="19"/>
      <c r="H2928" s="17" t="s">
        <v>35</v>
      </c>
      <c r="I2928" s="17" t="s">
        <v>44</v>
      </c>
      <c r="J2928" s="17"/>
      <c r="K2928" s="17" t="e">
        <f aca="false">VLOOKUP(J2928,Sheet2!A:B,2,0)</f>
        <v>#N/A</v>
      </c>
      <c r="L2928" s="17" t="n">
        <v>5</v>
      </c>
      <c r="M2928" s="17" t="str">
        <f aca="false">VLOOKUP(L2928,Sheet2!D:E,2,0)</f>
        <v>Main Processor CPU BGA</v>
      </c>
      <c r="N2928" s="17" t="n">
        <v>1</v>
      </c>
      <c r="O2928" s="17" t="str">
        <f aca="false">VLOOKUP(N2928,Sheet2!G:H,2,0)</f>
        <v>Dead</v>
      </c>
      <c r="P2928" s="17" t="n">
        <v>11</v>
      </c>
      <c r="Q2928" s="17" t="str">
        <f aca="false">VLOOKUP(P2928,Sheet2!J:K,2,0)</f>
        <v>IR Declared due to CID -TA</v>
      </c>
      <c r="R2928" s="17" t="s">
        <v>35</v>
      </c>
      <c r="S2928" s="17" t="str">
        <f aca="false">VLOOKUP(R2928,Sheet2!N:O,2,0)</f>
        <v>IREPARABLE</v>
      </c>
      <c r="T2928" s="18" t="str">
        <f aca="false">VLOOKUP(P2928,Sheet2!Q:R,2,0)</f>
        <v>IR Normal - Track burn out</v>
      </c>
      <c r="U2928" s="20" t="s">
        <v>41</v>
      </c>
      <c r="V2928" s="17"/>
      <c r="W2928" s="20" t="e">
        <f aca="false">VLOOKUP(V2928,Sheet2!Q:R,2,0)</f>
        <v>#N/A</v>
      </c>
      <c r="X2928" s="17" t="n">
        <f aca="false">J2928</f>
        <v>0</v>
      </c>
      <c r="Y2928" s="17" t="e">
        <f aca="false">VLOOKUP(X2928,Sheet2!A:B,2,0)</f>
        <v>#N/A</v>
      </c>
      <c r="Z2928" s="17"/>
      <c r="AA2928" s="17"/>
      <c r="AB2928" s="17" t="s">
        <v>41</v>
      </c>
      <c r="AC2928" s="0" t="str">
        <f aca="false">LEFT(G2928,2)</f>
        <v/>
      </c>
    </row>
    <row r="2929" customFormat="false" ht="15" hidden="false" customHeight="false" outlineLevel="0" collapsed="false">
      <c r="A2929" s="13" t="n">
        <f aca="false">1+A2928</f>
        <v>2927</v>
      </c>
      <c r="B2929" s="14" t="n">
        <v>100</v>
      </c>
      <c r="C2929" s="15"/>
      <c r="D2929" s="16" t="s">
        <v>64</v>
      </c>
      <c r="E2929" s="17" t="s">
        <v>47</v>
      </c>
      <c r="F2929" s="18" t="s">
        <v>34</v>
      </c>
      <c r="G2929" s="19"/>
      <c r="H2929" s="17" t="s">
        <v>35</v>
      </c>
      <c r="I2929" s="17" t="s">
        <v>44</v>
      </c>
      <c r="J2929" s="17"/>
      <c r="K2929" s="17" t="e">
        <f aca="false">VLOOKUP(J2929,Sheet2!A:B,2,0)</f>
        <v>#N/A</v>
      </c>
      <c r="L2929" s="17" t="n">
        <v>5</v>
      </c>
      <c r="M2929" s="17" t="str">
        <f aca="false">VLOOKUP(L2929,Sheet2!D:E,2,0)</f>
        <v>Main Processor CPU BGA</v>
      </c>
      <c r="N2929" s="17" t="n">
        <v>1</v>
      </c>
      <c r="O2929" s="17" t="str">
        <f aca="false">VLOOKUP(N2929,Sheet2!G:H,2,0)</f>
        <v>Dead</v>
      </c>
      <c r="P2929" s="17" t="n">
        <v>11</v>
      </c>
      <c r="Q2929" s="17" t="str">
        <f aca="false">VLOOKUP(P2929,Sheet2!J:K,2,0)</f>
        <v>IR Declared due to CID -TA</v>
      </c>
      <c r="R2929" s="17" t="s">
        <v>35</v>
      </c>
      <c r="S2929" s="17" t="str">
        <f aca="false">VLOOKUP(R2929,Sheet2!N:O,2,0)</f>
        <v>IREPARABLE</v>
      </c>
      <c r="T2929" s="18" t="str">
        <f aca="false">VLOOKUP(P2929,Sheet2!Q:R,2,0)</f>
        <v>IR Normal - Track burn out</v>
      </c>
      <c r="U2929" s="20" t="s">
        <v>41</v>
      </c>
      <c r="V2929" s="17"/>
      <c r="W2929" s="20" t="e">
        <f aca="false">VLOOKUP(V2929,Sheet2!Q:R,2,0)</f>
        <v>#N/A</v>
      </c>
      <c r="X2929" s="17" t="n">
        <f aca="false">J2929</f>
        <v>0</v>
      </c>
      <c r="Y2929" s="17" t="e">
        <f aca="false">VLOOKUP(X2929,Sheet2!A:B,2,0)</f>
        <v>#N/A</v>
      </c>
      <c r="Z2929" s="17"/>
      <c r="AA2929" s="17"/>
      <c r="AB2929" s="17" t="s">
        <v>41</v>
      </c>
      <c r="AC2929" s="0" t="str">
        <f aca="false">LEFT(G2929,2)</f>
        <v/>
      </c>
    </row>
    <row r="2930" customFormat="false" ht="15" hidden="false" customHeight="false" outlineLevel="0" collapsed="false">
      <c r="A2930" s="13" t="n">
        <f aca="false">1+A2929</f>
        <v>2928</v>
      </c>
      <c r="B2930" s="14" t="n">
        <v>100</v>
      </c>
      <c r="C2930" s="15"/>
      <c r="D2930" s="16" t="s">
        <v>64</v>
      </c>
      <c r="E2930" s="17" t="s">
        <v>47</v>
      </c>
      <c r="F2930" s="18" t="s">
        <v>34</v>
      </c>
      <c r="G2930" s="19"/>
      <c r="H2930" s="17" t="s">
        <v>35</v>
      </c>
      <c r="I2930" s="17" t="s">
        <v>44</v>
      </c>
      <c r="J2930" s="17"/>
      <c r="K2930" s="17" t="e">
        <f aca="false">VLOOKUP(J2930,Sheet2!A:B,2,0)</f>
        <v>#N/A</v>
      </c>
      <c r="L2930" s="17" t="n">
        <v>5</v>
      </c>
      <c r="M2930" s="17" t="str">
        <f aca="false">VLOOKUP(L2930,Sheet2!D:E,2,0)</f>
        <v>Main Processor CPU BGA</v>
      </c>
      <c r="N2930" s="17" t="n">
        <v>1</v>
      </c>
      <c r="O2930" s="17" t="str">
        <f aca="false">VLOOKUP(N2930,Sheet2!G:H,2,0)</f>
        <v>Dead</v>
      </c>
      <c r="P2930" s="17" t="n">
        <v>11</v>
      </c>
      <c r="Q2930" s="17" t="str">
        <f aca="false">VLOOKUP(P2930,Sheet2!J:K,2,0)</f>
        <v>IR Declared due to CID -TA</v>
      </c>
      <c r="R2930" s="17" t="s">
        <v>35</v>
      </c>
      <c r="S2930" s="17" t="str">
        <f aca="false">VLOOKUP(R2930,Sheet2!N:O,2,0)</f>
        <v>IREPARABLE</v>
      </c>
      <c r="T2930" s="18" t="str">
        <f aca="false">VLOOKUP(P2930,Sheet2!Q:R,2,0)</f>
        <v>IR Normal - Track burn out</v>
      </c>
      <c r="U2930" s="20" t="s">
        <v>41</v>
      </c>
      <c r="V2930" s="17"/>
      <c r="W2930" s="20" t="e">
        <f aca="false">VLOOKUP(V2930,Sheet2!Q:R,2,0)</f>
        <v>#N/A</v>
      </c>
      <c r="X2930" s="17" t="n">
        <f aca="false">J2930</f>
        <v>0</v>
      </c>
      <c r="Y2930" s="17" t="e">
        <f aca="false">VLOOKUP(X2930,Sheet2!A:B,2,0)</f>
        <v>#N/A</v>
      </c>
      <c r="Z2930" s="17"/>
      <c r="AA2930" s="17"/>
      <c r="AB2930" s="17" t="s">
        <v>41</v>
      </c>
      <c r="AC2930" s="0" t="str">
        <f aca="false">LEFT(G2930,2)</f>
        <v/>
      </c>
    </row>
    <row r="2931" customFormat="false" ht="15" hidden="false" customHeight="false" outlineLevel="0" collapsed="false">
      <c r="A2931" s="13" t="n">
        <f aca="false">1+A2930</f>
        <v>2929</v>
      </c>
      <c r="B2931" s="14" t="n">
        <v>100</v>
      </c>
      <c r="C2931" s="15"/>
      <c r="D2931" s="16" t="s">
        <v>64</v>
      </c>
      <c r="E2931" s="17" t="s">
        <v>47</v>
      </c>
      <c r="F2931" s="18" t="s">
        <v>34</v>
      </c>
      <c r="G2931" s="19"/>
      <c r="H2931" s="17" t="s">
        <v>35</v>
      </c>
      <c r="I2931" s="17" t="s">
        <v>44</v>
      </c>
      <c r="J2931" s="17"/>
      <c r="K2931" s="17" t="e">
        <f aca="false">VLOOKUP(J2931,Sheet2!A:B,2,0)</f>
        <v>#N/A</v>
      </c>
      <c r="L2931" s="17" t="n">
        <v>5</v>
      </c>
      <c r="M2931" s="17" t="str">
        <f aca="false">VLOOKUP(L2931,Sheet2!D:E,2,0)</f>
        <v>Main Processor CPU BGA</v>
      </c>
      <c r="N2931" s="17" t="n">
        <v>1</v>
      </c>
      <c r="O2931" s="17" t="str">
        <f aca="false">VLOOKUP(N2931,Sheet2!G:H,2,0)</f>
        <v>Dead</v>
      </c>
      <c r="P2931" s="17" t="n">
        <v>11</v>
      </c>
      <c r="Q2931" s="17" t="str">
        <f aca="false">VLOOKUP(P2931,Sheet2!J:K,2,0)</f>
        <v>IR Declared due to CID -TA</v>
      </c>
      <c r="R2931" s="17" t="s">
        <v>35</v>
      </c>
      <c r="S2931" s="17" t="str">
        <f aca="false">VLOOKUP(R2931,Sheet2!N:O,2,0)</f>
        <v>IREPARABLE</v>
      </c>
      <c r="T2931" s="18" t="str">
        <f aca="false">VLOOKUP(P2931,Sheet2!Q:R,2,0)</f>
        <v>IR Normal - Track burn out</v>
      </c>
      <c r="U2931" s="20" t="s">
        <v>41</v>
      </c>
      <c r="V2931" s="17"/>
      <c r="W2931" s="20" t="e">
        <f aca="false">VLOOKUP(V2931,Sheet2!Q:R,2,0)</f>
        <v>#N/A</v>
      </c>
      <c r="X2931" s="17" t="n">
        <f aca="false">J2931</f>
        <v>0</v>
      </c>
      <c r="Y2931" s="17" t="e">
        <f aca="false">VLOOKUP(X2931,Sheet2!A:B,2,0)</f>
        <v>#N/A</v>
      </c>
      <c r="Z2931" s="17"/>
      <c r="AA2931" s="17"/>
      <c r="AB2931" s="17" t="s">
        <v>41</v>
      </c>
      <c r="AC2931" s="0" t="str">
        <f aca="false">LEFT(G2931,2)</f>
        <v/>
      </c>
    </row>
    <row r="2932" customFormat="false" ht="15" hidden="false" customHeight="false" outlineLevel="0" collapsed="false">
      <c r="A2932" s="13" t="n">
        <f aca="false">1+A2931</f>
        <v>2930</v>
      </c>
      <c r="B2932" s="14" t="n">
        <v>100</v>
      </c>
      <c r="C2932" s="15"/>
      <c r="D2932" s="16" t="s">
        <v>64</v>
      </c>
      <c r="E2932" s="17" t="s">
        <v>47</v>
      </c>
      <c r="F2932" s="18" t="s">
        <v>34</v>
      </c>
      <c r="G2932" s="19"/>
      <c r="H2932" s="17" t="s">
        <v>35</v>
      </c>
      <c r="I2932" s="17" t="s">
        <v>44</v>
      </c>
      <c r="J2932" s="17"/>
      <c r="K2932" s="17" t="e">
        <f aca="false">VLOOKUP(J2932,Sheet2!A:B,2,0)</f>
        <v>#N/A</v>
      </c>
      <c r="L2932" s="17" t="n">
        <v>5</v>
      </c>
      <c r="M2932" s="17" t="str">
        <f aca="false">VLOOKUP(L2932,Sheet2!D:E,2,0)</f>
        <v>Main Processor CPU BGA</v>
      </c>
      <c r="N2932" s="17" t="n">
        <v>1</v>
      </c>
      <c r="O2932" s="17" t="str">
        <f aca="false">VLOOKUP(N2932,Sheet2!G:H,2,0)</f>
        <v>Dead</v>
      </c>
      <c r="P2932" s="17" t="n">
        <v>11</v>
      </c>
      <c r="Q2932" s="17" t="str">
        <f aca="false">VLOOKUP(P2932,Sheet2!J:K,2,0)</f>
        <v>IR Declared due to CID -TA</v>
      </c>
      <c r="R2932" s="17" t="s">
        <v>35</v>
      </c>
      <c r="S2932" s="17" t="str">
        <f aca="false">VLOOKUP(R2932,Sheet2!N:O,2,0)</f>
        <v>IREPARABLE</v>
      </c>
      <c r="T2932" s="18" t="str">
        <f aca="false">VLOOKUP(P2932,Sheet2!Q:R,2,0)</f>
        <v>IR Normal - Track burn out</v>
      </c>
      <c r="U2932" s="20" t="s">
        <v>41</v>
      </c>
      <c r="V2932" s="17"/>
      <c r="W2932" s="20" t="e">
        <f aca="false">VLOOKUP(V2932,Sheet2!Q:R,2,0)</f>
        <v>#N/A</v>
      </c>
      <c r="X2932" s="17" t="n">
        <f aca="false">J2932</f>
        <v>0</v>
      </c>
      <c r="Y2932" s="17" t="e">
        <f aca="false">VLOOKUP(X2932,Sheet2!A:B,2,0)</f>
        <v>#N/A</v>
      </c>
      <c r="Z2932" s="17"/>
      <c r="AA2932" s="17"/>
      <c r="AB2932" s="17" t="s">
        <v>41</v>
      </c>
      <c r="AC2932" s="0" t="str">
        <f aca="false">LEFT(G2932,2)</f>
        <v/>
      </c>
    </row>
    <row r="2933" customFormat="false" ht="15" hidden="false" customHeight="false" outlineLevel="0" collapsed="false">
      <c r="A2933" s="13" t="n">
        <f aca="false">1+A2932</f>
        <v>2931</v>
      </c>
      <c r="B2933" s="14" t="n">
        <v>100</v>
      </c>
      <c r="C2933" s="15"/>
      <c r="D2933" s="16" t="s">
        <v>64</v>
      </c>
      <c r="E2933" s="17" t="s">
        <v>47</v>
      </c>
      <c r="F2933" s="18" t="s">
        <v>34</v>
      </c>
      <c r="G2933" s="19"/>
      <c r="H2933" s="17" t="s">
        <v>35</v>
      </c>
      <c r="I2933" s="17" t="s">
        <v>44</v>
      </c>
      <c r="J2933" s="17"/>
      <c r="K2933" s="17" t="e">
        <f aca="false">VLOOKUP(J2933,Sheet2!A:B,2,0)</f>
        <v>#N/A</v>
      </c>
      <c r="L2933" s="17" t="n">
        <v>5</v>
      </c>
      <c r="M2933" s="17" t="str">
        <f aca="false">VLOOKUP(L2933,Sheet2!D:E,2,0)</f>
        <v>Main Processor CPU BGA</v>
      </c>
      <c r="N2933" s="17" t="n">
        <v>1</v>
      </c>
      <c r="O2933" s="17" t="str">
        <f aca="false">VLOOKUP(N2933,Sheet2!G:H,2,0)</f>
        <v>Dead</v>
      </c>
      <c r="P2933" s="17" t="n">
        <v>11</v>
      </c>
      <c r="Q2933" s="17" t="str">
        <f aca="false">VLOOKUP(P2933,Sheet2!J:K,2,0)</f>
        <v>IR Declared due to CID -TA</v>
      </c>
      <c r="R2933" s="17" t="s">
        <v>35</v>
      </c>
      <c r="S2933" s="17" t="str">
        <f aca="false">VLOOKUP(R2933,Sheet2!N:O,2,0)</f>
        <v>IREPARABLE</v>
      </c>
      <c r="T2933" s="18" t="str">
        <f aca="false">VLOOKUP(P2933,Sheet2!Q:R,2,0)</f>
        <v>IR Normal - Track burn out</v>
      </c>
      <c r="U2933" s="20" t="s">
        <v>41</v>
      </c>
      <c r="V2933" s="17"/>
      <c r="W2933" s="20" t="e">
        <f aca="false">VLOOKUP(V2933,Sheet2!Q:R,2,0)</f>
        <v>#N/A</v>
      </c>
      <c r="X2933" s="17" t="n">
        <f aca="false">J2933</f>
        <v>0</v>
      </c>
      <c r="Y2933" s="17" t="e">
        <f aca="false">VLOOKUP(X2933,Sheet2!A:B,2,0)</f>
        <v>#N/A</v>
      </c>
      <c r="Z2933" s="17"/>
      <c r="AA2933" s="17"/>
      <c r="AB2933" s="17" t="s">
        <v>41</v>
      </c>
      <c r="AC2933" s="0" t="str">
        <f aca="false">LEFT(G2933,2)</f>
        <v/>
      </c>
    </row>
    <row r="2934" customFormat="false" ht="15" hidden="false" customHeight="false" outlineLevel="0" collapsed="false">
      <c r="A2934" s="13" t="n">
        <f aca="false">1+A2933</f>
        <v>2932</v>
      </c>
      <c r="B2934" s="14" t="n">
        <v>100</v>
      </c>
      <c r="C2934" s="15"/>
      <c r="D2934" s="16" t="s">
        <v>64</v>
      </c>
      <c r="E2934" s="17" t="s">
        <v>47</v>
      </c>
      <c r="F2934" s="18" t="s">
        <v>34</v>
      </c>
      <c r="G2934" s="19"/>
      <c r="H2934" s="17" t="s">
        <v>35</v>
      </c>
      <c r="I2934" s="17" t="s">
        <v>44</v>
      </c>
      <c r="J2934" s="17"/>
      <c r="K2934" s="17" t="e">
        <f aca="false">VLOOKUP(J2934,Sheet2!A:B,2,0)</f>
        <v>#N/A</v>
      </c>
      <c r="L2934" s="17" t="n">
        <v>5</v>
      </c>
      <c r="M2934" s="17" t="str">
        <f aca="false">VLOOKUP(L2934,Sheet2!D:E,2,0)</f>
        <v>Main Processor CPU BGA</v>
      </c>
      <c r="N2934" s="17" t="n">
        <v>1</v>
      </c>
      <c r="O2934" s="17" t="str">
        <f aca="false">VLOOKUP(N2934,Sheet2!G:H,2,0)</f>
        <v>Dead</v>
      </c>
      <c r="P2934" s="17" t="n">
        <v>11</v>
      </c>
      <c r="Q2934" s="17" t="str">
        <f aca="false">VLOOKUP(P2934,Sheet2!J:K,2,0)</f>
        <v>IR Declared due to CID -TA</v>
      </c>
      <c r="R2934" s="17" t="s">
        <v>35</v>
      </c>
      <c r="S2934" s="17" t="str">
        <f aca="false">VLOOKUP(R2934,Sheet2!N:O,2,0)</f>
        <v>IREPARABLE</v>
      </c>
      <c r="T2934" s="18" t="str">
        <f aca="false">VLOOKUP(P2934,Sheet2!Q:R,2,0)</f>
        <v>IR Normal - Track burn out</v>
      </c>
      <c r="U2934" s="20" t="s">
        <v>41</v>
      </c>
      <c r="V2934" s="17"/>
      <c r="W2934" s="20" t="e">
        <f aca="false">VLOOKUP(V2934,Sheet2!Q:R,2,0)</f>
        <v>#N/A</v>
      </c>
      <c r="X2934" s="17" t="n">
        <f aca="false">J2934</f>
        <v>0</v>
      </c>
      <c r="Y2934" s="17" t="e">
        <f aca="false">VLOOKUP(X2934,Sheet2!A:B,2,0)</f>
        <v>#N/A</v>
      </c>
      <c r="Z2934" s="17"/>
      <c r="AA2934" s="17"/>
      <c r="AB2934" s="17" t="s">
        <v>41</v>
      </c>
      <c r="AC2934" s="0" t="str">
        <f aca="false">LEFT(G2934,2)</f>
        <v/>
      </c>
    </row>
    <row r="2935" customFormat="false" ht="15" hidden="false" customHeight="false" outlineLevel="0" collapsed="false">
      <c r="A2935" s="13" t="n">
        <f aca="false">1+A2934</f>
        <v>2933</v>
      </c>
      <c r="B2935" s="14" t="n">
        <v>100</v>
      </c>
      <c r="C2935" s="15"/>
      <c r="D2935" s="16" t="s">
        <v>64</v>
      </c>
      <c r="E2935" s="17" t="s">
        <v>47</v>
      </c>
      <c r="F2935" s="18" t="s">
        <v>34</v>
      </c>
      <c r="G2935" s="19"/>
      <c r="H2935" s="17" t="s">
        <v>35</v>
      </c>
      <c r="I2935" s="17" t="s">
        <v>44</v>
      </c>
      <c r="J2935" s="17"/>
      <c r="K2935" s="17" t="e">
        <f aca="false">VLOOKUP(J2935,Sheet2!A:B,2,0)</f>
        <v>#N/A</v>
      </c>
      <c r="L2935" s="17" t="n">
        <v>5</v>
      </c>
      <c r="M2935" s="17" t="str">
        <f aca="false">VLOOKUP(L2935,Sheet2!D:E,2,0)</f>
        <v>Main Processor CPU BGA</v>
      </c>
      <c r="N2935" s="17" t="n">
        <v>1</v>
      </c>
      <c r="O2935" s="17" t="str">
        <f aca="false">VLOOKUP(N2935,Sheet2!G:H,2,0)</f>
        <v>Dead</v>
      </c>
      <c r="P2935" s="17" t="n">
        <v>11</v>
      </c>
      <c r="Q2935" s="17" t="str">
        <f aca="false">VLOOKUP(P2935,Sheet2!J:K,2,0)</f>
        <v>IR Declared due to CID -TA</v>
      </c>
      <c r="R2935" s="17" t="s">
        <v>35</v>
      </c>
      <c r="S2935" s="17" t="str">
        <f aca="false">VLOOKUP(R2935,Sheet2!N:O,2,0)</f>
        <v>IREPARABLE</v>
      </c>
      <c r="T2935" s="18" t="str">
        <f aca="false">VLOOKUP(P2935,Sheet2!Q:R,2,0)</f>
        <v>IR Normal - Track burn out</v>
      </c>
      <c r="U2935" s="20" t="s">
        <v>41</v>
      </c>
      <c r="V2935" s="17"/>
      <c r="W2935" s="20" t="e">
        <f aca="false">VLOOKUP(V2935,Sheet2!Q:R,2,0)</f>
        <v>#N/A</v>
      </c>
      <c r="X2935" s="17" t="n">
        <f aca="false">J2935</f>
        <v>0</v>
      </c>
      <c r="Y2935" s="17" t="e">
        <f aca="false">VLOOKUP(X2935,Sheet2!A:B,2,0)</f>
        <v>#N/A</v>
      </c>
      <c r="Z2935" s="17"/>
      <c r="AA2935" s="17"/>
      <c r="AB2935" s="17" t="s">
        <v>41</v>
      </c>
      <c r="AC2935" s="0" t="str">
        <f aca="false">LEFT(G2935,2)</f>
        <v/>
      </c>
    </row>
    <row r="2936" customFormat="false" ht="15" hidden="false" customHeight="false" outlineLevel="0" collapsed="false">
      <c r="A2936" s="13" t="n">
        <f aca="false">1+A2935</f>
        <v>2934</v>
      </c>
      <c r="B2936" s="14" t="n">
        <v>100</v>
      </c>
      <c r="C2936" s="15"/>
      <c r="D2936" s="16" t="s">
        <v>64</v>
      </c>
      <c r="E2936" s="17" t="s">
        <v>47</v>
      </c>
      <c r="F2936" s="18" t="s">
        <v>34</v>
      </c>
      <c r="G2936" s="19"/>
      <c r="H2936" s="17" t="s">
        <v>35</v>
      </c>
      <c r="I2936" s="17" t="s">
        <v>44</v>
      </c>
      <c r="J2936" s="17"/>
      <c r="K2936" s="17" t="e">
        <f aca="false">VLOOKUP(J2936,Sheet2!A:B,2,0)</f>
        <v>#N/A</v>
      </c>
      <c r="L2936" s="17" t="n">
        <v>5</v>
      </c>
      <c r="M2936" s="17" t="str">
        <f aca="false">VLOOKUP(L2936,Sheet2!D:E,2,0)</f>
        <v>Main Processor CPU BGA</v>
      </c>
      <c r="N2936" s="17" t="n">
        <v>1</v>
      </c>
      <c r="O2936" s="17" t="str">
        <f aca="false">VLOOKUP(N2936,Sheet2!G:H,2,0)</f>
        <v>Dead</v>
      </c>
      <c r="P2936" s="17" t="n">
        <v>11</v>
      </c>
      <c r="Q2936" s="17" t="str">
        <f aca="false">VLOOKUP(P2936,Sheet2!J:K,2,0)</f>
        <v>IR Declared due to CID -TA</v>
      </c>
      <c r="R2936" s="17" t="s">
        <v>35</v>
      </c>
      <c r="S2936" s="17" t="str">
        <f aca="false">VLOOKUP(R2936,Sheet2!N:O,2,0)</f>
        <v>IREPARABLE</v>
      </c>
      <c r="T2936" s="18" t="str">
        <f aca="false">VLOOKUP(P2936,Sheet2!Q:R,2,0)</f>
        <v>IR Normal - Track burn out</v>
      </c>
      <c r="U2936" s="20" t="s">
        <v>41</v>
      </c>
      <c r="V2936" s="17"/>
      <c r="W2936" s="20" t="e">
        <f aca="false">VLOOKUP(V2936,Sheet2!Q:R,2,0)</f>
        <v>#N/A</v>
      </c>
      <c r="X2936" s="17" t="n">
        <f aca="false">J2936</f>
        <v>0</v>
      </c>
      <c r="Y2936" s="17" t="e">
        <f aca="false">VLOOKUP(X2936,Sheet2!A:B,2,0)</f>
        <v>#N/A</v>
      </c>
      <c r="Z2936" s="17"/>
      <c r="AA2936" s="17"/>
      <c r="AB2936" s="17" t="s">
        <v>41</v>
      </c>
      <c r="AC2936" s="0" t="str">
        <f aca="false">LEFT(G2936,2)</f>
        <v/>
      </c>
    </row>
    <row r="2937" customFormat="false" ht="15" hidden="false" customHeight="false" outlineLevel="0" collapsed="false">
      <c r="A2937" s="13" t="n">
        <f aca="false">1+A2936</f>
        <v>2935</v>
      </c>
      <c r="B2937" s="14" t="n">
        <v>100</v>
      </c>
      <c r="C2937" s="15"/>
      <c r="D2937" s="16" t="s">
        <v>64</v>
      </c>
      <c r="E2937" s="17" t="s">
        <v>47</v>
      </c>
      <c r="F2937" s="18" t="s">
        <v>34</v>
      </c>
      <c r="G2937" s="19"/>
      <c r="H2937" s="17" t="s">
        <v>35</v>
      </c>
      <c r="I2937" s="17" t="s">
        <v>44</v>
      </c>
      <c r="J2937" s="17"/>
      <c r="K2937" s="17" t="e">
        <f aca="false">VLOOKUP(J2937,Sheet2!A:B,2,0)</f>
        <v>#N/A</v>
      </c>
      <c r="L2937" s="17" t="n">
        <v>5</v>
      </c>
      <c r="M2937" s="17" t="str">
        <f aca="false">VLOOKUP(L2937,Sheet2!D:E,2,0)</f>
        <v>Main Processor CPU BGA</v>
      </c>
      <c r="N2937" s="17" t="n">
        <v>1</v>
      </c>
      <c r="O2937" s="17" t="str">
        <f aca="false">VLOOKUP(N2937,Sheet2!G:H,2,0)</f>
        <v>Dead</v>
      </c>
      <c r="P2937" s="17" t="n">
        <v>11</v>
      </c>
      <c r="Q2937" s="17" t="str">
        <f aca="false">VLOOKUP(P2937,Sheet2!J:K,2,0)</f>
        <v>IR Declared due to CID -TA</v>
      </c>
      <c r="R2937" s="17" t="s">
        <v>35</v>
      </c>
      <c r="S2937" s="17" t="str">
        <f aca="false">VLOOKUP(R2937,Sheet2!N:O,2,0)</f>
        <v>IREPARABLE</v>
      </c>
      <c r="T2937" s="18" t="str">
        <f aca="false">VLOOKUP(P2937,Sheet2!Q:R,2,0)</f>
        <v>IR Normal - Track burn out</v>
      </c>
      <c r="U2937" s="20" t="s">
        <v>41</v>
      </c>
      <c r="V2937" s="17"/>
      <c r="W2937" s="20" t="e">
        <f aca="false">VLOOKUP(V2937,Sheet2!Q:R,2,0)</f>
        <v>#N/A</v>
      </c>
      <c r="X2937" s="17" t="n">
        <f aca="false">J2937</f>
        <v>0</v>
      </c>
      <c r="Y2937" s="17" t="e">
        <f aca="false">VLOOKUP(X2937,Sheet2!A:B,2,0)</f>
        <v>#N/A</v>
      </c>
      <c r="Z2937" s="17"/>
      <c r="AA2937" s="17"/>
      <c r="AB2937" s="17" t="s">
        <v>41</v>
      </c>
      <c r="AC2937" s="0" t="str">
        <f aca="false">LEFT(G2937,2)</f>
        <v/>
      </c>
    </row>
    <row r="2938" customFormat="false" ht="15" hidden="false" customHeight="false" outlineLevel="0" collapsed="false">
      <c r="A2938" s="13" t="n">
        <f aca="false">1+A2937</f>
        <v>2936</v>
      </c>
      <c r="B2938" s="14" t="n">
        <v>100</v>
      </c>
      <c r="C2938" s="15"/>
      <c r="D2938" s="16" t="s">
        <v>64</v>
      </c>
      <c r="E2938" s="17" t="s">
        <v>47</v>
      </c>
      <c r="F2938" s="18" t="s">
        <v>34</v>
      </c>
      <c r="G2938" s="19"/>
      <c r="H2938" s="17" t="s">
        <v>35</v>
      </c>
      <c r="I2938" s="17" t="s">
        <v>44</v>
      </c>
      <c r="J2938" s="17"/>
      <c r="K2938" s="17" t="e">
        <f aca="false">VLOOKUP(J2938,Sheet2!A:B,2,0)</f>
        <v>#N/A</v>
      </c>
      <c r="L2938" s="17" t="n">
        <v>5</v>
      </c>
      <c r="M2938" s="17" t="str">
        <f aca="false">VLOOKUP(L2938,Sheet2!D:E,2,0)</f>
        <v>Main Processor CPU BGA</v>
      </c>
      <c r="N2938" s="17" t="n">
        <v>1</v>
      </c>
      <c r="O2938" s="17" t="str">
        <f aca="false">VLOOKUP(N2938,Sheet2!G:H,2,0)</f>
        <v>Dead</v>
      </c>
      <c r="P2938" s="17" t="n">
        <v>11</v>
      </c>
      <c r="Q2938" s="17" t="str">
        <f aca="false">VLOOKUP(P2938,Sheet2!J:K,2,0)</f>
        <v>IR Declared due to CID -TA</v>
      </c>
      <c r="R2938" s="17" t="s">
        <v>35</v>
      </c>
      <c r="S2938" s="17" t="str">
        <f aca="false">VLOOKUP(R2938,Sheet2!N:O,2,0)</f>
        <v>IREPARABLE</v>
      </c>
      <c r="T2938" s="18" t="str">
        <f aca="false">VLOOKUP(P2938,Sheet2!Q:R,2,0)</f>
        <v>IR Normal - Track burn out</v>
      </c>
      <c r="U2938" s="20" t="s">
        <v>41</v>
      </c>
      <c r="V2938" s="17"/>
      <c r="W2938" s="20" t="e">
        <f aca="false">VLOOKUP(V2938,Sheet2!Q:R,2,0)</f>
        <v>#N/A</v>
      </c>
      <c r="X2938" s="17" t="n">
        <f aca="false">J2938</f>
        <v>0</v>
      </c>
      <c r="Y2938" s="17" t="e">
        <f aca="false">VLOOKUP(X2938,Sheet2!A:B,2,0)</f>
        <v>#N/A</v>
      </c>
      <c r="Z2938" s="17"/>
      <c r="AA2938" s="17"/>
      <c r="AB2938" s="17" t="s">
        <v>41</v>
      </c>
      <c r="AC2938" s="0" t="str">
        <f aca="false">LEFT(G2938,2)</f>
        <v/>
      </c>
    </row>
    <row r="2939" customFormat="false" ht="15" hidden="false" customHeight="false" outlineLevel="0" collapsed="false">
      <c r="A2939" s="13" t="n">
        <f aca="false">1+A2938</f>
        <v>2937</v>
      </c>
      <c r="B2939" s="14" t="n">
        <v>100</v>
      </c>
      <c r="C2939" s="15"/>
      <c r="D2939" s="16" t="s">
        <v>64</v>
      </c>
      <c r="E2939" s="17" t="s">
        <v>47</v>
      </c>
      <c r="F2939" s="18" t="s">
        <v>34</v>
      </c>
      <c r="G2939" s="19"/>
      <c r="H2939" s="17" t="s">
        <v>35</v>
      </c>
      <c r="I2939" s="17" t="s">
        <v>44</v>
      </c>
      <c r="J2939" s="17"/>
      <c r="K2939" s="17" t="e">
        <f aca="false">VLOOKUP(J2939,Sheet2!A:B,2,0)</f>
        <v>#N/A</v>
      </c>
      <c r="L2939" s="17" t="n">
        <v>5</v>
      </c>
      <c r="M2939" s="17" t="str">
        <f aca="false">VLOOKUP(L2939,Sheet2!D:E,2,0)</f>
        <v>Main Processor CPU BGA</v>
      </c>
      <c r="N2939" s="17" t="n">
        <v>1</v>
      </c>
      <c r="O2939" s="17" t="str">
        <f aca="false">VLOOKUP(N2939,Sheet2!G:H,2,0)</f>
        <v>Dead</v>
      </c>
      <c r="P2939" s="17" t="n">
        <v>11</v>
      </c>
      <c r="Q2939" s="17" t="str">
        <f aca="false">VLOOKUP(P2939,Sheet2!J:K,2,0)</f>
        <v>IR Declared due to CID -TA</v>
      </c>
      <c r="R2939" s="17" t="s">
        <v>35</v>
      </c>
      <c r="S2939" s="17" t="str">
        <f aca="false">VLOOKUP(R2939,Sheet2!N:O,2,0)</f>
        <v>IREPARABLE</v>
      </c>
      <c r="T2939" s="18" t="str">
        <f aca="false">VLOOKUP(P2939,Sheet2!Q:R,2,0)</f>
        <v>IR Normal - Track burn out</v>
      </c>
      <c r="U2939" s="20" t="s">
        <v>41</v>
      </c>
      <c r="V2939" s="17"/>
      <c r="W2939" s="20" t="e">
        <f aca="false">VLOOKUP(V2939,Sheet2!Q:R,2,0)</f>
        <v>#N/A</v>
      </c>
      <c r="X2939" s="17" t="n">
        <f aca="false">J2939</f>
        <v>0</v>
      </c>
      <c r="Y2939" s="17" t="e">
        <f aca="false">VLOOKUP(X2939,Sheet2!A:B,2,0)</f>
        <v>#N/A</v>
      </c>
      <c r="Z2939" s="17"/>
      <c r="AA2939" s="17"/>
      <c r="AB2939" s="17" t="s">
        <v>41</v>
      </c>
      <c r="AC2939" s="0" t="str">
        <f aca="false">LEFT(G2939,2)</f>
        <v/>
      </c>
    </row>
    <row r="2940" customFormat="false" ht="15" hidden="false" customHeight="false" outlineLevel="0" collapsed="false">
      <c r="A2940" s="13" t="n">
        <f aca="false">1+A2939</f>
        <v>2938</v>
      </c>
      <c r="B2940" s="14" t="n">
        <v>100</v>
      </c>
      <c r="C2940" s="15"/>
      <c r="D2940" s="16" t="s">
        <v>64</v>
      </c>
      <c r="E2940" s="17" t="s">
        <v>47</v>
      </c>
      <c r="F2940" s="18" t="s">
        <v>34</v>
      </c>
      <c r="G2940" s="19"/>
      <c r="H2940" s="17" t="s">
        <v>35</v>
      </c>
      <c r="I2940" s="17" t="s">
        <v>44</v>
      </c>
      <c r="J2940" s="17"/>
      <c r="K2940" s="17" t="e">
        <f aca="false">VLOOKUP(J2940,Sheet2!A:B,2,0)</f>
        <v>#N/A</v>
      </c>
      <c r="L2940" s="17" t="n">
        <v>5</v>
      </c>
      <c r="M2940" s="17" t="str">
        <f aca="false">VLOOKUP(L2940,Sheet2!D:E,2,0)</f>
        <v>Main Processor CPU BGA</v>
      </c>
      <c r="N2940" s="17" t="n">
        <v>1</v>
      </c>
      <c r="O2940" s="17" t="str">
        <f aca="false">VLOOKUP(N2940,Sheet2!G:H,2,0)</f>
        <v>Dead</v>
      </c>
      <c r="P2940" s="17" t="n">
        <v>11</v>
      </c>
      <c r="Q2940" s="17" t="str">
        <f aca="false">VLOOKUP(P2940,Sheet2!J:K,2,0)</f>
        <v>IR Declared due to CID -TA</v>
      </c>
      <c r="R2940" s="17" t="s">
        <v>35</v>
      </c>
      <c r="S2940" s="17" t="str">
        <f aca="false">VLOOKUP(R2940,Sheet2!N:O,2,0)</f>
        <v>IREPARABLE</v>
      </c>
      <c r="T2940" s="18" t="str">
        <f aca="false">VLOOKUP(P2940,Sheet2!Q:R,2,0)</f>
        <v>IR Normal - Track burn out</v>
      </c>
      <c r="U2940" s="20" t="s">
        <v>41</v>
      </c>
      <c r="V2940" s="17"/>
      <c r="W2940" s="20" t="e">
        <f aca="false">VLOOKUP(V2940,Sheet2!Q:R,2,0)</f>
        <v>#N/A</v>
      </c>
      <c r="X2940" s="17" t="n">
        <f aca="false">J2940</f>
        <v>0</v>
      </c>
      <c r="Y2940" s="17" t="e">
        <f aca="false">VLOOKUP(X2940,Sheet2!A:B,2,0)</f>
        <v>#N/A</v>
      </c>
      <c r="Z2940" s="17"/>
      <c r="AA2940" s="17"/>
      <c r="AB2940" s="17" t="s">
        <v>41</v>
      </c>
      <c r="AC2940" s="0" t="str">
        <f aca="false">LEFT(G2940,2)</f>
        <v/>
      </c>
    </row>
    <row r="2941" customFormat="false" ht="15" hidden="false" customHeight="false" outlineLevel="0" collapsed="false">
      <c r="A2941" s="13" t="n">
        <f aca="false">1+A2940</f>
        <v>2939</v>
      </c>
      <c r="B2941" s="14" t="n">
        <v>100</v>
      </c>
      <c r="C2941" s="15"/>
      <c r="D2941" s="16" t="s">
        <v>64</v>
      </c>
      <c r="E2941" s="17" t="s">
        <v>47</v>
      </c>
      <c r="F2941" s="18" t="s">
        <v>34</v>
      </c>
      <c r="G2941" s="19"/>
      <c r="H2941" s="17" t="s">
        <v>35</v>
      </c>
      <c r="I2941" s="17" t="s">
        <v>44</v>
      </c>
      <c r="J2941" s="17"/>
      <c r="K2941" s="17" t="e">
        <f aca="false">VLOOKUP(J2941,Sheet2!A:B,2,0)</f>
        <v>#N/A</v>
      </c>
      <c r="L2941" s="17" t="n">
        <v>5</v>
      </c>
      <c r="M2941" s="17" t="str">
        <f aca="false">VLOOKUP(L2941,Sheet2!D:E,2,0)</f>
        <v>Main Processor CPU BGA</v>
      </c>
      <c r="N2941" s="17" t="n">
        <v>1</v>
      </c>
      <c r="O2941" s="17" t="str">
        <f aca="false">VLOOKUP(N2941,Sheet2!G:H,2,0)</f>
        <v>Dead</v>
      </c>
      <c r="P2941" s="17" t="n">
        <v>11</v>
      </c>
      <c r="Q2941" s="17" t="str">
        <f aca="false">VLOOKUP(P2941,Sheet2!J:K,2,0)</f>
        <v>IR Declared due to CID -TA</v>
      </c>
      <c r="R2941" s="17" t="s">
        <v>35</v>
      </c>
      <c r="S2941" s="17" t="str">
        <f aca="false">VLOOKUP(R2941,Sheet2!N:O,2,0)</f>
        <v>IREPARABLE</v>
      </c>
      <c r="T2941" s="18" t="str">
        <f aca="false">VLOOKUP(P2941,Sheet2!Q:R,2,0)</f>
        <v>IR Normal - Track burn out</v>
      </c>
      <c r="U2941" s="20" t="s">
        <v>41</v>
      </c>
      <c r="V2941" s="17"/>
      <c r="W2941" s="20" t="e">
        <f aca="false">VLOOKUP(V2941,Sheet2!Q:R,2,0)</f>
        <v>#N/A</v>
      </c>
      <c r="X2941" s="17" t="n">
        <f aca="false">J2941</f>
        <v>0</v>
      </c>
      <c r="Y2941" s="17" t="e">
        <f aca="false">VLOOKUP(X2941,Sheet2!A:B,2,0)</f>
        <v>#N/A</v>
      </c>
      <c r="Z2941" s="17"/>
      <c r="AA2941" s="17"/>
      <c r="AB2941" s="17" t="s">
        <v>41</v>
      </c>
      <c r="AC2941" s="0" t="str">
        <f aca="false">LEFT(G2941,2)</f>
        <v/>
      </c>
    </row>
    <row r="2942" customFormat="false" ht="15" hidden="false" customHeight="false" outlineLevel="0" collapsed="false">
      <c r="A2942" s="13" t="n">
        <f aca="false">1+A2941</f>
        <v>2940</v>
      </c>
      <c r="B2942" s="14" t="n">
        <v>100</v>
      </c>
      <c r="C2942" s="15"/>
      <c r="D2942" s="16" t="s">
        <v>64</v>
      </c>
      <c r="E2942" s="17" t="s">
        <v>47</v>
      </c>
      <c r="F2942" s="18" t="s">
        <v>34</v>
      </c>
      <c r="G2942" s="19"/>
      <c r="H2942" s="17" t="s">
        <v>35</v>
      </c>
      <c r="I2942" s="17" t="s">
        <v>44</v>
      </c>
      <c r="J2942" s="17"/>
      <c r="K2942" s="17" t="e">
        <f aca="false">VLOOKUP(J2942,Sheet2!A:B,2,0)</f>
        <v>#N/A</v>
      </c>
      <c r="L2942" s="17" t="n">
        <v>5</v>
      </c>
      <c r="M2942" s="17" t="str">
        <f aca="false">VLOOKUP(L2942,Sheet2!D:E,2,0)</f>
        <v>Main Processor CPU BGA</v>
      </c>
      <c r="N2942" s="17" t="n">
        <v>1</v>
      </c>
      <c r="O2942" s="17" t="str">
        <f aca="false">VLOOKUP(N2942,Sheet2!G:H,2,0)</f>
        <v>Dead</v>
      </c>
      <c r="P2942" s="17" t="n">
        <v>11</v>
      </c>
      <c r="Q2942" s="17" t="str">
        <f aca="false">VLOOKUP(P2942,Sheet2!J:K,2,0)</f>
        <v>IR Declared due to CID -TA</v>
      </c>
      <c r="R2942" s="17" t="s">
        <v>35</v>
      </c>
      <c r="S2942" s="17" t="str">
        <f aca="false">VLOOKUP(R2942,Sheet2!N:O,2,0)</f>
        <v>IREPARABLE</v>
      </c>
      <c r="T2942" s="18" t="str">
        <f aca="false">VLOOKUP(P2942,Sheet2!Q:R,2,0)</f>
        <v>IR Normal - Track burn out</v>
      </c>
      <c r="U2942" s="20" t="s">
        <v>41</v>
      </c>
      <c r="V2942" s="17"/>
      <c r="W2942" s="20" t="e">
        <f aca="false">VLOOKUP(V2942,Sheet2!Q:R,2,0)</f>
        <v>#N/A</v>
      </c>
      <c r="X2942" s="17" t="n">
        <f aca="false">J2942</f>
        <v>0</v>
      </c>
      <c r="Y2942" s="17" t="e">
        <f aca="false">VLOOKUP(X2942,Sheet2!A:B,2,0)</f>
        <v>#N/A</v>
      </c>
      <c r="Z2942" s="17"/>
      <c r="AA2942" s="17"/>
      <c r="AB2942" s="17" t="s">
        <v>41</v>
      </c>
      <c r="AC2942" s="0" t="str">
        <f aca="false">LEFT(G2942,2)</f>
        <v/>
      </c>
    </row>
    <row r="2943" customFormat="false" ht="15" hidden="false" customHeight="false" outlineLevel="0" collapsed="false">
      <c r="A2943" s="13" t="n">
        <f aca="false">1+A2942</f>
        <v>2941</v>
      </c>
      <c r="B2943" s="14" t="n">
        <v>100</v>
      </c>
      <c r="C2943" s="15"/>
      <c r="D2943" s="16" t="s">
        <v>64</v>
      </c>
      <c r="E2943" s="17" t="s">
        <v>47</v>
      </c>
      <c r="F2943" s="18" t="s">
        <v>34</v>
      </c>
      <c r="G2943" s="19"/>
      <c r="H2943" s="17" t="s">
        <v>35</v>
      </c>
      <c r="I2943" s="17" t="s">
        <v>44</v>
      </c>
      <c r="J2943" s="17"/>
      <c r="K2943" s="17" t="e">
        <f aca="false">VLOOKUP(J2943,Sheet2!A:B,2,0)</f>
        <v>#N/A</v>
      </c>
      <c r="L2943" s="17" t="n">
        <v>5</v>
      </c>
      <c r="M2943" s="17" t="str">
        <f aca="false">VLOOKUP(L2943,Sheet2!D:E,2,0)</f>
        <v>Main Processor CPU BGA</v>
      </c>
      <c r="N2943" s="17" t="n">
        <v>1</v>
      </c>
      <c r="O2943" s="17" t="str">
        <f aca="false">VLOOKUP(N2943,Sheet2!G:H,2,0)</f>
        <v>Dead</v>
      </c>
      <c r="P2943" s="17" t="n">
        <v>11</v>
      </c>
      <c r="Q2943" s="17" t="str">
        <f aca="false">VLOOKUP(P2943,Sheet2!J:K,2,0)</f>
        <v>IR Declared due to CID -TA</v>
      </c>
      <c r="R2943" s="17" t="s">
        <v>35</v>
      </c>
      <c r="S2943" s="17" t="str">
        <f aca="false">VLOOKUP(R2943,Sheet2!N:O,2,0)</f>
        <v>IREPARABLE</v>
      </c>
      <c r="T2943" s="18" t="str">
        <f aca="false">VLOOKUP(P2943,Sheet2!Q:R,2,0)</f>
        <v>IR Normal - Track burn out</v>
      </c>
      <c r="U2943" s="20" t="s">
        <v>41</v>
      </c>
      <c r="V2943" s="17"/>
      <c r="W2943" s="20" t="e">
        <f aca="false">VLOOKUP(V2943,Sheet2!Q:R,2,0)</f>
        <v>#N/A</v>
      </c>
      <c r="X2943" s="17" t="n">
        <f aca="false">J2943</f>
        <v>0</v>
      </c>
      <c r="Y2943" s="17" t="e">
        <f aca="false">VLOOKUP(X2943,Sheet2!A:B,2,0)</f>
        <v>#N/A</v>
      </c>
      <c r="Z2943" s="17"/>
      <c r="AA2943" s="17"/>
      <c r="AB2943" s="17" t="s">
        <v>41</v>
      </c>
      <c r="AC2943" s="0" t="str">
        <f aca="false">LEFT(G2943,2)</f>
        <v/>
      </c>
    </row>
    <row r="2944" customFormat="false" ht="15" hidden="false" customHeight="false" outlineLevel="0" collapsed="false">
      <c r="A2944" s="13" t="n">
        <f aca="false">1+A2943</f>
        <v>2942</v>
      </c>
      <c r="B2944" s="14" t="n">
        <v>100</v>
      </c>
      <c r="C2944" s="15"/>
      <c r="D2944" s="16" t="s">
        <v>64</v>
      </c>
      <c r="E2944" s="17" t="s">
        <v>47</v>
      </c>
      <c r="F2944" s="18" t="s">
        <v>34</v>
      </c>
      <c r="G2944" s="19"/>
      <c r="H2944" s="17" t="s">
        <v>35</v>
      </c>
      <c r="I2944" s="17" t="s">
        <v>44</v>
      </c>
      <c r="J2944" s="17"/>
      <c r="K2944" s="17" t="e">
        <f aca="false">VLOOKUP(J2944,Sheet2!A:B,2,0)</f>
        <v>#N/A</v>
      </c>
      <c r="L2944" s="17" t="n">
        <v>5</v>
      </c>
      <c r="M2944" s="17" t="str">
        <f aca="false">VLOOKUP(L2944,Sheet2!D:E,2,0)</f>
        <v>Main Processor CPU BGA</v>
      </c>
      <c r="N2944" s="17" t="n">
        <v>1</v>
      </c>
      <c r="O2944" s="17" t="str">
        <f aca="false">VLOOKUP(N2944,Sheet2!G:H,2,0)</f>
        <v>Dead</v>
      </c>
      <c r="P2944" s="17" t="n">
        <v>11</v>
      </c>
      <c r="Q2944" s="17" t="str">
        <f aca="false">VLOOKUP(P2944,Sheet2!J:K,2,0)</f>
        <v>IR Declared due to CID -TA</v>
      </c>
      <c r="R2944" s="17" t="s">
        <v>35</v>
      </c>
      <c r="S2944" s="17" t="str">
        <f aca="false">VLOOKUP(R2944,Sheet2!N:O,2,0)</f>
        <v>IREPARABLE</v>
      </c>
      <c r="T2944" s="18" t="str">
        <f aca="false">VLOOKUP(P2944,Sheet2!Q:R,2,0)</f>
        <v>IR Normal - Track burn out</v>
      </c>
      <c r="U2944" s="20" t="s">
        <v>41</v>
      </c>
      <c r="V2944" s="17"/>
      <c r="W2944" s="20" t="e">
        <f aca="false">VLOOKUP(V2944,Sheet2!Q:R,2,0)</f>
        <v>#N/A</v>
      </c>
      <c r="X2944" s="17" t="n">
        <f aca="false">J2944</f>
        <v>0</v>
      </c>
      <c r="Y2944" s="17" t="e">
        <f aca="false">VLOOKUP(X2944,Sheet2!A:B,2,0)</f>
        <v>#N/A</v>
      </c>
      <c r="Z2944" s="17"/>
      <c r="AA2944" s="17"/>
      <c r="AB2944" s="17" t="s">
        <v>41</v>
      </c>
      <c r="AC2944" s="0" t="str">
        <f aca="false">LEFT(G2944,2)</f>
        <v/>
      </c>
    </row>
    <row r="2945" customFormat="false" ht="15" hidden="false" customHeight="false" outlineLevel="0" collapsed="false">
      <c r="A2945" s="13" t="n">
        <f aca="false">1+A2944</f>
        <v>2943</v>
      </c>
      <c r="B2945" s="14" t="n">
        <v>100</v>
      </c>
      <c r="C2945" s="15"/>
      <c r="D2945" s="16" t="s">
        <v>64</v>
      </c>
      <c r="E2945" s="17" t="s">
        <v>47</v>
      </c>
      <c r="F2945" s="18" t="s">
        <v>34</v>
      </c>
      <c r="G2945" s="19"/>
      <c r="H2945" s="17" t="s">
        <v>35</v>
      </c>
      <c r="I2945" s="17" t="s">
        <v>44</v>
      </c>
      <c r="J2945" s="17"/>
      <c r="K2945" s="17" t="e">
        <f aca="false">VLOOKUP(J2945,Sheet2!A:B,2,0)</f>
        <v>#N/A</v>
      </c>
      <c r="L2945" s="17" t="n">
        <v>5</v>
      </c>
      <c r="M2945" s="17" t="str">
        <f aca="false">VLOOKUP(L2945,Sheet2!D:E,2,0)</f>
        <v>Main Processor CPU BGA</v>
      </c>
      <c r="N2945" s="17" t="n">
        <v>1</v>
      </c>
      <c r="O2945" s="17" t="str">
        <f aca="false">VLOOKUP(N2945,Sheet2!G:H,2,0)</f>
        <v>Dead</v>
      </c>
      <c r="P2945" s="17" t="n">
        <v>11</v>
      </c>
      <c r="Q2945" s="17" t="str">
        <f aca="false">VLOOKUP(P2945,Sheet2!J:K,2,0)</f>
        <v>IR Declared due to CID -TA</v>
      </c>
      <c r="R2945" s="17" t="s">
        <v>35</v>
      </c>
      <c r="S2945" s="17" t="str">
        <f aca="false">VLOOKUP(R2945,Sheet2!N:O,2,0)</f>
        <v>IREPARABLE</v>
      </c>
      <c r="T2945" s="18" t="str">
        <f aca="false">VLOOKUP(P2945,Sheet2!Q:R,2,0)</f>
        <v>IR Normal - Track burn out</v>
      </c>
      <c r="U2945" s="20" t="s">
        <v>41</v>
      </c>
      <c r="V2945" s="17"/>
      <c r="W2945" s="20" t="e">
        <f aca="false">VLOOKUP(V2945,Sheet2!Q:R,2,0)</f>
        <v>#N/A</v>
      </c>
      <c r="X2945" s="17" t="n">
        <f aca="false">J2945</f>
        <v>0</v>
      </c>
      <c r="Y2945" s="17" t="e">
        <f aca="false">VLOOKUP(X2945,Sheet2!A:B,2,0)</f>
        <v>#N/A</v>
      </c>
      <c r="Z2945" s="17"/>
      <c r="AA2945" s="17"/>
      <c r="AB2945" s="17" t="s">
        <v>41</v>
      </c>
      <c r="AC2945" s="0" t="str">
        <f aca="false">LEFT(G2945,2)</f>
        <v/>
      </c>
    </row>
    <row r="2946" customFormat="false" ht="15" hidden="false" customHeight="false" outlineLevel="0" collapsed="false">
      <c r="A2946" s="13" t="n">
        <f aca="false">1+A2945</f>
        <v>2944</v>
      </c>
      <c r="B2946" s="14" t="n">
        <v>100</v>
      </c>
      <c r="C2946" s="15"/>
      <c r="D2946" s="16" t="s">
        <v>64</v>
      </c>
      <c r="E2946" s="17" t="s">
        <v>47</v>
      </c>
      <c r="F2946" s="18" t="s">
        <v>34</v>
      </c>
      <c r="G2946" s="19"/>
      <c r="H2946" s="17" t="s">
        <v>35</v>
      </c>
      <c r="I2946" s="17" t="s">
        <v>44</v>
      </c>
      <c r="J2946" s="17"/>
      <c r="K2946" s="17" t="e">
        <f aca="false">VLOOKUP(J2946,Sheet2!A:B,2,0)</f>
        <v>#N/A</v>
      </c>
      <c r="L2946" s="17" t="n">
        <v>5</v>
      </c>
      <c r="M2946" s="17" t="str">
        <f aca="false">VLOOKUP(L2946,Sheet2!D:E,2,0)</f>
        <v>Main Processor CPU BGA</v>
      </c>
      <c r="N2946" s="17" t="n">
        <v>1</v>
      </c>
      <c r="O2946" s="17" t="str">
        <f aca="false">VLOOKUP(N2946,Sheet2!G:H,2,0)</f>
        <v>Dead</v>
      </c>
      <c r="P2946" s="17" t="n">
        <v>11</v>
      </c>
      <c r="Q2946" s="17" t="str">
        <f aca="false">VLOOKUP(P2946,Sheet2!J:K,2,0)</f>
        <v>IR Declared due to CID -TA</v>
      </c>
      <c r="R2946" s="17" t="s">
        <v>35</v>
      </c>
      <c r="S2946" s="17" t="str">
        <f aca="false">VLOOKUP(R2946,Sheet2!N:O,2,0)</f>
        <v>IREPARABLE</v>
      </c>
      <c r="T2946" s="18" t="str">
        <f aca="false">VLOOKUP(P2946,Sheet2!Q:R,2,0)</f>
        <v>IR Normal - Track burn out</v>
      </c>
      <c r="U2946" s="20" t="s">
        <v>41</v>
      </c>
      <c r="V2946" s="17"/>
      <c r="W2946" s="20" t="e">
        <f aca="false">VLOOKUP(V2946,Sheet2!Q:R,2,0)</f>
        <v>#N/A</v>
      </c>
      <c r="X2946" s="17" t="n">
        <f aca="false">J2946</f>
        <v>0</v>
      </c>
      <c r="Y2946" s="17" t="e">
        <f aca="false">VLOOKUP(X2946,Sheet2!A:B,2,0)</f>
        <v>#N/A</v>
      </c>
      <c r="Z2946" s="17"/>
      <c r="AA2946" s="17"/>
      <c r="AB2946" s="17" t="s">
        <v>41</v>
      </c>
      <c r="AC2946" s="0" t="str">
        <f aca="false">LEFT(G2946,2)</f>
        <v/>
      </c>
    </row>
    <row r="2947" customFormat="false" ht="15" hidden="false" customHeight="false" outlineLevel="0" collapsed="false">
      <c r="A2947" s="13" t="n">
        <f aca="false">1+A2946</f>
        <v>2945</v>
      </c>
      <c r="B2947" s="14" t="n">
        <v>100</v>
      </c>
      <c r="C2947" s="15"/>
      <c r="D2947" s="16" t="s">
        <v>64</v>
      </c>
      <c r="E2947" s="17" t="s">
        <v>47</v>
      </c>
      <c r="F2947" s="18" t="s">
        <v>34</v>
      </c>
      <c r="G2947" s="19"/>
      <c r="H2947" s="17" t="s">
        <v>35</v>
      </c>
      <c r="I2947" s="17" t="s">
        <v>44</v>
      </c>
      <c r="J2947" s="17"/>
      <c r="K2947" s="17" t="e">
        <f aca="false">VLOOKUP(J2947,Sheet2!A:B,2,0)</f>
        <v>#N/A</v>
      </c>
      <c r="L2947" s="17" t="n">
        <v>5</v>
      </c>
      <c r="M2947" s="17" t="str">
        <f aca="false">VLOOKUP(L2947,Sheet2!D:E,2,0)</f>
        <v>Main Processor CPU BGA</v>
      </c>
      <c r="N2947" s="17" t="n">
        <v>1</v>
      </c>
      <c r="O2947" s="17" t="str">
        <f aca="false">VLOOKUP(N2947,Sheet2!G:H,2,0)</f>
        <v>Dead</v>
      </c>
      <c r="P2947" s="17" t="n">
        <v>11</v>
      </c>
      <c r="Q2947" s="17" t="str">
        <f aca="false">VLOOKUP(P2947,Sheet2!J:K,2,0)</f>
        <v>IR Declared due to CID -TA</v>
      </c>
      <c r="R2947" s="17" t="s">
        <v>35</v>
      </c>
      <c r="S2947" s="17" t="str">
        <f aca="false">VLOOKUP(R2947,Sheet2!N:O,2,0)</f>
        <v>IREPARABLE</v>
      </c>
      <c r="T2947" s="18" t="str">
        <f aca="false">VLOOKUP(P2947,Sheet2!Q:R,2,0)</f>
        <v>IR Normal - Track burn out</v>
      </c>
      <c r="U2947" s="20" t="s">
        <v>41</v>
      </c>
      <c r="V2947" s="17"/>
      <c r="W2947" s="20" t="e">
        <f aca="false">VLOOKUP(V2947,Sheet2!Q:R,2,0)</f>
        <v>#N/A</v>
      </c>
      <c r="X2947" s="17" t="n">
        <f aca="false">J2947</f>
        <v>0</v>
      </c>
      <c r="Y2947" s="17" t="e">
        <f aca="false">VLOOKUP(X2947,Sheet2!A:B,2,0)</f>
        <v>#N/A</v>
      </c>
      <c r="Z2947" s="17"/>
      <c r="AA2947" s="17"/>
      <c r="AB2947" s="17" t="s">
        <v>41</v>
      </c>
      <c r="AC2947" s="0" t="str">
        <f aca="false">LEFT(G2947,2)</f>
        <v/>
      </c>
    </row>
    <row r="2948" customFormat="false" ht="15" hidden="false" customHeight="false" outlineLevel="0" collapsed="false">
      <c r="A2948" s="13" t="n">
        <f aca="false">1+A2947</f>
        <v>2946</v>
      </c>
      <c r="B2948" s="14" t="n">
        <v>100</v>
      </c>
      <c r="C2948" s="15"/>
      <c r="D2948" s="16" t="s">
        <v>64</v>
      </c>
      <c r="E2948" s="17" t="s">
        <v>47</v>
      </c>
      <c r="F2948" s="18" t="s">
        <v>34</v>
      </c>
      <c r="G2948" s="19"/>
      <c r="H2948" s="17" t="s">
        <v>35</v>
      </c>
      <c r="I2948" s="17" t="s">
        <v>44</v>
      </c>
      <c r="J2948" s="17"/>
      <c r="K2948" s="17" t="e">
        <f aca="false">VLOOKUP(J2948,Sheet2!A:B,2,0)</f>
        <v>#N/A</v>
      </c>
      <c r="L2948" s="17" t="n">
        <v>5</v>
      </c>
      <c r="M2948" s="17" t="str">
        <f aca="false">VLOOKUP(L2948,Sheet2!D:E,2,0)</f>
        <v>Main Processor CPU BGA</v>
      </c>
      <c r="N2948" s="17" t="n">
        <v>1</v>
      </c>
      <c r="O2948" s="17" t="str">
        <f aca="false">VLOOKUP(N2948,Sheet2!G:H,2,0)</f>
        <v>Dead</v>
      </c>
      <c r="P2948" s="17" t="n">
        <v>11</v>
      </c>
      <c r="Q2948" s="17" t="str">
        <f aca="false">VLOOKUP(P2948,Sheet2!J:K,2,0)</f>
        <v>IR Declared due to CID -TA</v>
      </c>
      <c r="R2948" s="17" t="s">
        <v>35</v>
      </c>
      <c r="S2948" s="17" t="str">
        <f aca="false">VLOOKUP(R2948,Sheet2!N:O,2,0)</f>
        <v>IREPARABLE</v>
      </c>
      <c r="T2948" s="18" t="str">
        <f aca="false">VLOOKUP(P2948,Sheet2!Q:R,2,0)</f>
        <v>IR Normal - Track burn out</v>
      </c>
      <c r="U2948" s="20" t="s">
        <v>41</v>
      </c>
      <c r="V2948" s="17"/>
      <c r="W2948" s="20" t="e">
        <f aca="false">VLOOKUP(V2948,Sheet2!Q:R,2,0)</f>
        <v>#N/A</v>
      </c>
      <c r="X2948" s="17" t="n">
        <f aca="false">J2948</f>
        <v>0</v>
      </c>
      <c r="Y2948" s="17" t="e">
        <f aca="false">VLOOKUP(X2948,Sheet2!A:B,2,0)</f>
        <v>#N/A</v>
      </c>
      <c r="Z2948" s="17"/>
      <c r="AA2948" s="17"/>
      <c r="AB2948" s="17" t="s">
        <v>41</v>
      </c>
      <c r="AC2948" s="0" t="str">
        <f aca="false">LEFT(G2948,2)</f>
        <v/>
      </c>
    </row>
    <row r="2949" customFormat="false" ht="15" hidden="false" customHeight="false" outlineLevel="0" collapsed="false">
      <c r="A2949" s="13" t="n">
        <f aca="false">1+A2948</f>
        <v>2947</v>
      </c>
      <c r="B2949" s="14" t="n">
        <v>100</v>
      </c>
      <c r="C2949" s="15"/>
      <c r="D2949" s="16" t="s">
        <v>64</v>
      </c>
      <c r="E2949" s="17" t="s">
        <v>47</v>
      </c>
      <c r="F2949" s="18" t="s">
        <v>34</v>
      </c>
      <c r="G2949" s="19"/>
      <c r="H2949" s="17" t="s">
        <v>35</v>
      </c>
      <c r="I2949" s="17" t="s">
        <v>44</v>
      </c>
      <c r="J2949" s="17"/>
      <c r="K2949" s="17" t="e">
        <f aca="false">VLOOKUP(J2949,Sheet2!A:B,2,0)</f>
        <v>#N/A</v>
      </c>
      <c r="L2949" s="17" t="n">
        <v>5</v>
      </c>
      <c r="M2949" s="17" t="str">
        <f aca="false">VLOOKUP(L2949,Sheet2!D:E,2,0)</f>
        <v>Main Processor CPU BGA</v>
      </c>
      <c r="N2949" s="17" t="n">
        <v>1</v>
      </c>
      <c r="O2949" s="17" t="str">
        <f aca="false">VLOOKUP(N2949,Sheet2!G:H,2,0)</f>
        <v>Dead</v>
      </c>
      <c r="P2949" s="17" t="n">
        <v>11</v>
      </c>
      <c r="Q2949" s="17" t="str">
        <f aca="false">VLOOKUP(P2949,Sheet2!J:K,2,0)</f>
        <v>IR Declared due to CID -TA</v>
      </c>
      <c r="R2949" s="17" t="s">
        <v>35</v>
      </c>
      <c r="S2949" s="17" t="str">
        <f aca="false">VLOOKUP(R2949,Sheet2!N:O,2,0)</f>
        <v>IREPARABLE</v>
      </c>
      <c r="T2949" s="18" t="str">
        <f aca="false">VLOOKUP(P2949,Sheet2!Q:R,2,0)</f>
        <v>IR Normal - Track burn out</v>
      </c>
      <c r="U2949" s="20" t="s">
        <v>41</v>
      </c>
      <c r="V2949" s="17"/>
      <c r="W2949" s="20" t="e">
        <f aca="false">VLOOKUP(V2949,Sheet2!Q:R,2,0)</f>
        <v>#N/A</v>
      </c>
      <c r="X2949" s="17" t="n">
        <f aca="false">J2949</f>
        <v>0</v>
      </c>
      <c r="Y2949" s="17" t="e">
        <f aca="false">VLOOKUP(X2949,Sheet2!A:B,2,0)</f>
        <v>#N/A</v>
      </c>
      <c r="Z2949" s="17"/>
      <c r="AA2949" s="17"/>
      <c r="AB2949" s="17" t="s">
        <v>41</v>
      </c>
      <c r="AC2949" s="0" t="str">
        <f aca="false">LEFT(G2949,2)</f>
        <v/>
      </c>
    </row>
    <row r="2950" customFormat="false" ht="15" hidden="false" customHeight="false" outlineLevel="0" collapsed="false">
      <c r="A2950" s="13" t="n">
        <f aca="false">1+A2949</f>
        <v>2948</v>
      </c>
      <c r="B2950" s="14" t="n">
        <v>100</v>
      </c>
      <c r="C2950" s="15"/>
      <c r="D2950" s="16" t="s">
        <v>64</v>
      </c>
      <c r="E2950" s="17" t="s">
        <v>47</v>
      </c>
      <c r="F2950" s="18" t="s">
        <v>34</v>
      </c>
      <c r="G2950" s="19"/>
      <c r="H2950" s="17" t="s">
        <v>35</v>
      </c>
      <c r="I2950" s="17" t="s">
        <v>44</v>
      </c>
      <c r="J2950" s="17"/>
      <c r="K2950" s="17" t="e">
        <f aca="false">VLOOKUP(J2950,Sheet2!A:B,2,0)</f>
        <v>#N/A</v>
      </c>
      <c r="L2950" s="17" t="n">
        <v>5</v>
      </c>
      <c r="M2950" s="17" t="str">
        <f aca="false">VLOOKUP(L2950,Sheet2!D:E,2,0)</f>
        <v>Main Processor CPU BGA</v>
      </c>
      <c r="N2950" s="17" t="n">
        <v>1</v>
      </c>
      <c r="O2950" s="17" t="str">
        <f aca="false">VLOOKUP(N2950,Sheet2!G:H,2,0)</f>
        <v>Dead</v>
      </c>
      <c r="P2950" s="17" t="n">
        <v>11</v>
      </c>
      <c r="Q2950" s="17" t="str">
        <f aca="false">VLOOKUP(P2950,Sheet2!J:K,2,0)</f>
        <v>IR Declared due to CID -TA</v>
      </c>
      <c r="R2950" s="17" t="s">
        <v>35</v>
      </c>
      <c r="S2950" s="17" t="str">
        <f aca="false">VLOOKUP(R2950,Sheet2!N:O,2,0)</f>
        <v>IREPARABLE</v>
      </c>
      <c r="T2950" s="18" t="str">
        <f aca="false">VLOOKUP(P2950,Sheet2!Q:R,2,0)</f>
        <v>IR Normal - Track burn out</v>
      </c>
      <c r="U2950" s="20" t="s">
        <v>41</v>
      </c>
      <c r="V2950" s="17"/>
      <c r="W2950" s="20" t="e">
        <f aca="false">VLOOKUP(V2950,Sheet2!Q:R,2,0)</f>
        <v>#N/A</v>
      </c>
      <c r="X2950" s="17" t="n">
        <f aca="false">J2950</f>
        <v>0</v>
      </c>
      <c r="Y2950" s="17" t="e">
        <f aca="false">VLOOKUP(X2950,Sheet2!A:B,2,0)</f>
        <v>#N/A</v>
      </c>
      <c r="Z2950" s="17"/>
      <c r="AA2950" s="17"/>
      <c r="AB2950" s="17" t="s">
        <v>41</v>
      </c>
      <c r="AC2950" s="0" t="str">
        <f aca="false">LEFT(G2950,2)</f>
        <v/>
      </c>
    </row>
    <row r="2951" customFormat="false" ht="15" hidden="false" customHeight="false" outlineLevel="0" collapsed="false">
      <c r="A2951" s="13" t="n">
        <f aca="false">1+A2950</f>
        <v>2949</v>
      </c>
      <c r="B2951" s="14" t="n">
        <v>100</v>
      </c>
      <c r="C2951" s="15"/>
      <c r="D2951" s="16" t="s">
        <v>64</v>
      </c>
      <c r="E2951" s="17" t="s">
        <v>47</v>
      </c>
      <c r="F2951" s="18" t="s">
        <v>34</v>
      </c>
      <c r="G2951" s="19"/>
      <c r="H2951" s="17" t="s">
        <v>35</v>
      </c>
      <c r="I2951" s="17" t="s">
        <v>44</v>
      </c>
      <c r="J2951" s="17"/>
      <c r="K2951" s="17" t="e">
        <f aca="false">VLOOKUP(J2951,Sheet2!A:B,2,0)</f>
        <v>#N/A</v>
      </c>
      <c r="L2951" s="17" t="n">
        <v>5</v>
      </c>
      <c r="M2951" s="17" t="str">
        <f aca="false">VLOOKUP(L2951,Sheet2!D:E,2,0)</f>
        <v>Main Processor CPU BGA</v>
      </c>
      <c r="N2951" s="17" t="n">
        <v>1</v>
      </c>
      <c r="O2951" s="17" t="str">
        <f aca="false">VLOOKUP(N2951,Sheet2!G:H,2,0)</f>
        <v>Dead</v>
      </c>
      <c r="P2951" s="17" t="n">
        <v>11</v>
      </c>
      <c r="Q2951" s="17" t="str">
        <f aca="false">VLOOKUP(P2951,Sheet2!J:K,2,0)</f>
        <v>IR Declared due to CID -TA</v>
      </c>
      <c r="R2951" s="17" t="s">
        <v>35</v>
      </c>
      <c r="S2951" s="17" t="str">
        <f aca="false">VLOOKUP(R2951,Sheet2!N:O,2,0)</f>
        <v>IREPARABLE</v>
      </c>
      <c r="T2951" s="18" t="str">
        <f aca="false">VLOOKUP(P2951,Sheet2!Q:R,2,0)</f>
        <v>IR Normal - Track burn out</v>
      </c>
      <c r="U2951" s="20" t="s">
        <v>41</v>
      </c>
      <c r="V2951" s="17"/>
      <c r="W2951" s="20" t="e">
        <f aca="false">VLOOKUP(V2951,Sheet2!Q:R,2,0)</f>
        <v>#N/A</v>
      </c>
      <c r="X2951" s="17" t="n">
        <f aca="false">J2951</f>
        <v>0</v>
      </c>
      <c r="Y2951" s="17" t="e">
        <f aca="false">VLOOKUP(X2951,Sheet2!A:B,2,0)</f>
        <v>#N/A</v>
      </c>
      <c r="Z2951" s="17"/>
      <c r="AA2951" s="17"/>
      <c r="AB2951" s="17" t="s">
        <v>41</v>
      </c>
      <c r="AC2951" s="0" t="str">
        <f aca="false">LEFT(G2951,2)</f>
        <v/>
      </c>
    </row>
    <row r="2952" customFormat="false" ht="15" hidden="false" customHeight="false" outlineLevel="0" collapsed="false">
      <c r="A2952" s="13" t="n">
        <f aca="false">1+A2951</f>
        <v>2950</v>
      </c>
      <c r="B2952" s="14" t="n">
        <v>100</v>
      </c>
      <c r="C2952" s="15"/>
      <c r="D2952" s="16" t="s">
        <v>64</v>
      </c>
      <c r="E2952" s="17" t="s">
        <v>47</v>
      </c>
      <c r="F2952" s="18" t="s">
        <v>34</v>
      </c>
      <c r="G2952" s="19"/>
      <c r="H2952" s="17" t="s">
        <v>35</v>
      </c>
      <c r="I2952" s="17" t="s">
        <v>44</v>
      </c>
      <c r="J2952" s="17"/>
      <c r="K2952" s="17" t="e">
        <f aca="false">VLOOKUP(J2952,Sheet2!A:B,2,0)</f>
        <v>#N/A</v>
      </c>
      <c r="L2952" s="17" t="n">
        <v>5</v>
      </c>
      <c r="M2952" s="17" t="str">
        <f aca="false">VLOOKUP(L2952,Sheet2!D:E,2,0)</f>
        <v>Main Processor CPU BGA</v>
      </c>
      <c r="N2952" s="17" t="n">
        <v>1</v>
      </c>
      <c r="O2952" s="17" t="str">
        <f aca="false">VLOOKUP(N2952,Sheet2!G:H,2,0)</f>
        <v>Dead</v>
      </c>
      <c r="P2952" s="17" t="n">
        <v>11</v>
      </c>
      <c r="Q2952" s="17" t="str">
        <f aca="false">VLOOKUP(P2952,Sheet2!J:K,2,0)</f>
        <v>IR Declared due to CID -TA</v>
      </c>
      <c r="R2952" s="17" t="s">
        <v>35</v>
      </c>
      <c r="S2952" s="17" t="str">
        <f aca="false">VLOOKUP(R2952,Sheet2!N:O,2,0)</f>
        <v>IREPARABLE</v>
      </c>
      <c r="T2952" s="18" t="str">
        <f aca="false">VLOOKUP(P2952,Sheet2!Q:R,2,0)</f>
        <v>IR Normal - Track burn out</v>
      </c>
      <c r="U2952" s="20" t="s">
        <v>41</v>
      </c>
      <c r="V2952" s="17"/>
      <c r="W2952" s="20" t="e">
        <f aca="false">VLOOKUP(V2952,Sheet2!Q:R,2,0)</f>
        <v>#N/A</v>
      </c>
      <c r="X2952" s="17" t="n">
        <f aca="false">J2952</f>
        <v>0</v>
      </c>
      <c r="Y2952" s="17" t="e">
        <f aca="false">VLOOKUP(X2952,Sheet2!A:B,2,0)</f>
        <v>#N/A</v>
      </c>
      <c r="Z2952" s="17"/>
      <c r="AA2952" s="17"/>
      <c r="AB2952" s="17" t="s">
        <v>41</v>
      </c>
      <c r="AC2952" s="0" t="str">
        <f aca="false">LEFT(G2952,2)</f>
        <v/>
      </c>
    </row>
    <row r="2953" customFormat="false" ht="15" hidden="false" customHeight="false" outlineLevel="0" collapsed="false">
      <c r="A2953" s="13" t="n">
        <f aca="false">1+A2952</f>
        <v>2951</v>
      </c>
      <c r="B2953" s="14" t="n">
        <v>100</v>
      </c>
      <c r="C2953" s="15"/>
      <c r="D2953" s="16" t="s">
        <v>64</v>
      </c>
      <c r="E2953" s="17" t="s">
        <v>47</v>
      </c>
      <c r="F2953" s="18" t="s">
        <v>34</v>
      </c>
      <c r="G2953" s="19"/>
      <c r="H2953" s="17" t="s">
        <v>35</v>
      </c>
      <c r="I2953" s="17" t="s">
        <v>44</v>
      </c>
      <c r="J2953" s="17"/>
      <c r="K2953" s="17" t="e">
        <f aca="false">VLOOKUP(J2953,Sheet2!A:B,2,0)</f>
        <v>#N/A</v>
      </c>
      <c r="L2953" s="17" t="n">
        <v>5</v>
      </c>
      <c r="M2953" s="17" t="str">
        <f aca="false">VLOOKUP(L2953,Sheet2!D:E,2,0)</f>
        <v>Main Processor CPU BGA</v>
      </c>
      <c r="N2953" s="17" t="n">
        <v>1</v>
      </c>
      <c r="O2953" s="17" t="str">
        <f aca="false">VLOOKUP(N2953,Sheet2!G:H,2,0)</f>
        <v>Dead</v>
      </c>
      <c r="P2953" s="17" t="n">
        <v>11</v>
      </c>
      <c r="Q2953" s="17" t="str">
        <f aca="false">VLOOKUP(P2953,Sheet2!J:K,2,0)</f>
        <v>IR Declared due to CID -TA</v>
      </c>
      <c r="R2953" s="17" t="s">
        <v>35</v>
      </c>
      <c r="S2953" s="17" t="str">
        <f aca="false">VLOOKUP(R2953,Sheet2!N:O,2,0)</f>
        <v>IREPARABLE</v>
      </c>
      <c r="T2953" s="18" t="str">
        <f aca="false">VLOOKUP(P2953,Sheet2!Q:R,2,0)</f>
        <v>IR Normal - Track burn out</v>
      </c>
      <c r="U2953" s="20" t="s">
        <v>41</v>
      </c>
      <c r="V2953" s="17"/>
      <c r="W2953" s="20" t="e">
        <f aca="false">VLOOKUP(V2953,Sheet2!Q:R,2,0)</f>
        <v>#N/A</v>
      </c>
      <c r="X2953" s="17" t="n">
        <f aca="false">J2953</f>
        <v>0</v>
      </c>
      <c r="Y2953" s="17" t="e">
        <f aca="false">VLOOKUP(X2953,Sheet2!A:B,2,0)</f>
        <v>#N/A</v>
      </c>
      <c r="Z2953" s="17"/>
      <c r="AA2953" s="17"/>
      <c r="AB2953" s="17" t="s">
        <v>41</v>
      </c>
      <c r="AC2953" s="0" t="str">
        <f aca="false">LEFT(G2953,2)</f>
        <v/>
      </c>
    </row>
    <row r="2954" customFormat="false" ht="15" hidden="false" customHeight="false" outlineLevel="0" collapsed="false">
      <c r="A2954" s="13" t="n">
        <f aca="false">1+A2953</f>
        <v>2952</v>
      </c>
      <c r="B2954" s="14" t="n">
        <v>100</v>
      </c>
      <c r="C2954" s="15"/>
      <c r="D2954" s="16" t="s">
        <v>64</v>
      </c>
      <c r="E2954" s="17" t="s">
        <v>47</v>
      </c>
      <c r="F2954" s="18" t="s">
        <v>34</v>
      </c>
      <c r="G2954" s="19"/>
      <c r="H2954" s="17" t="s">
        <v>35</v>
      </c>
      <c r="I2954" s="17" t="s">
        <v>44</v>
      </c>
      <c r="J2954" s="17"/>
      <c r="K2954" s="17" t="e">
        <f aca="false">VLOOKUP(J2954,Sheet2!A:B,2,0)</f>
        <v>#N/A</v>
      </c>
      <c r="L2954" s="17" t="n">
        <v>5</v>
      </c>
      <c r="M2954" s="17" t="str">
        <f aca="false">VLOOKUP(L2954,Sheet2!D:E,2,0)</f>
        <v>Main Processor CPU BGA</v>
      </c>
      <c r="N2954" s="17" t="n">
        <v>1</v>
      </c>
      <c r="O2954" s="17" t="str">
        <f aca="false">VLOOKUP(N2954,Sheet2!G:H,2,0)</f>
        <v>Dead</v>
      </c>
      <c r="P2954" s="17" t="n">
        <v>11</v>
      </c>
      <c r="Q2954" s="17" t="str">
        <f aca="false">VLOOKUP(P2954,Sheet2!J:K,2,0)</f>
        <v>IR Declared due to CID -TA</v>
      </c>
      <c r="R2954" s="17" t="s">
        <v>35</v>
      </c>
      <c r="S2954" s="17" t="str">
        <f aca="false">VLOOKUP(R2954,Sheet2!N:O,2,0)</f>
        <v>IREPARABLE</v>
      </c>
      <c r="T2954" s="18" t="str">
        <f aca="false">VLOOKUP(P2954,Sheet2!Q:R,2,0)</f>
        <v>IR Normal - Track burn out</v>
      </c>
      <c r="U2954" s="20" t="s">
        <v>41</v>
      </c>
      <c r="V2954" s="17"/>
      <c r="W2954" s="20" t="e">
        <f aca="false">VLOOKUP(V2954,Sheet2!Q:R,2,0)</f>
        <v>#N/A</v>
      </c>
      <c r="X2954" s="17" t="n">
        <f aca="false">J2954</f>
        <v>0</v>
      </c>
      <c r="Y2954" s="17" t="e">
        <f aca="false">VLOOKUP(X2954,Sheet2!A:B,2,0)</f>
        <v>#N/A</v>
      </c>
      <c r="Z2954" s="17"/>
      <c r="AA2954" s="17"/>
      <c r="AB2954" s="17" t="s">
        <v>41</v>
      </c>
      <c r="AC2954" s="0" t="str">
        <f aca="false">LEFT(G2954,2)</f>
        <v/>
      </c>
    </row>
    <row r="2955" customFormat="false" ht="15" hidden="false" customHeight="false" outlineLevel="0" collapsed="false">
      <c r="A2955" s="13" t="n">
        <f aca="false">1+A2954</f>
        <v>2953</v>
      </c>
      <c r="B2955" s="14" t="n">
        <v>100</v>
      </c>
      <c r="C2955" s="15"/>
      <c r="D2955" s="16" t="s">
        <v>64</v>
      </c>
      <c r="E2955" s="17" t="s">
        <v>47</v>
      </c>
      <c r="F2955" s="18" t="s">
        <v>34</v>
      </c>
      <c r="G2955" s="19"/>
      <c r="H2955" s="17" t="s">
        <v>35</v>
      </c>
      <c r="I2955" s="17" t="s">
        <v>44</v>
      </c>
      <c r="J2955" s="17"/>
      <c r="K2955" s="17" t="e">
        <f aca="false">VLOOKUP(J2955,Sheet2!A:B,2,0)</f>
        <v>#N/A</v>
      </c>
      <c r="L2955" s="17" t="n">
        <v>5</v>
      </c>
      <c r="M2955" s="17" t="str">
        <f aca="false">VLOOKUP(L2955,Sheet2!D:E,2,0)</f>
        <v>Main Processor CPU BGA</v>
      </c>
      <c r="N2955" s="17" t="n">
        <v>1</v>
      </c>
      <c r="O2955" s="17" t="str">
        <f aca="false">VLOOKUP(N2955,Sheet2!G:H,2,0)</f>
        <v>Dead</v>
      </c>
      <c r="P2955" s="17" t="n">
        <v>11</v>
      </c>
      <c r="Q2955" s="17" t="str">
        <f aca="false">VLOOKUP(P2955,Sheet2!J:K,2,0)</f>
        <v>IR Declared due to CID -TA</v>
      </c>
      <c r="R2955" s="17" t="s">
        <v>35</v>
      </c>
      <c r="S2955" s="17" t="str">
        <f aca="false">VLOOKUP(R2955,Sheet2!N:O,2,0)</f>
        <v>IREPARABLE</v>
      </c>
      <c r="T2955" s="18" t="str">
        <f aca="false">VLOOKUP(P2955,Sheet2!Q:R,2,0)</f>
        <v>IR Normal - Track burn out</v>
      </c>
      <c r="U2955" s="20" t="s">
        <v>41</v>
      </c>
      <c r="V2955" s="17"/>
      <c r="W2955" s="20" t="e">
        <f aca="false">VLOOKUP(V2955,Sheet2!Q:R,2,0)</f>
        <v>#N/A</v>
      </c>
      <c r="X2955" s="17" t="n">
        <f aca="false">J2955</f>
        <v>0</v>
      </c>
      <c r="Y2955" s="17" t="e">
        <f aca="false">VLOOKUP(X2955,Sheet2!A:B,2,0)</f>
        <v>#N/A</v>
      </c>
      <c r="Z2955" s="17"/>
      <c r="AA2955" s="17"/>
      <c r="AB2955" s="17" t="s">
        <v>41</v>
      </c>
      <c r="AC2955" s="0" t="str">
        <f aca="false">LEFT(G2955,2)</f>
        <v/>
      </c>
    </row>
    <row r="2956" customFormat="false" ht="15" hidden="false" customHeight="false" outlineLevel="0" collapsed="false">
      <c r="A2956" s="13" t="n">
        <f aca="false">1+A2955</f>
        <v>2954</v>
      </c>
      <c r="B2956" s="14" t="n">
        <v>100</v>
      </c>
      <c r="C2956" s="15"/>
      <c r="D2956" s="16" t="s">
        <v>64</v>
      </c>
      <c r="E2956" s="17" t="s">
        <v>47</v>
      </c>
      <c r="F2956" s="18" t="s">
        <v>34</v>
      </c>
      <c r="G2956" s="19"/>
      <c r="H2956" s="17" t="s">
        <v>35</v>
      </c>
      <c r="I2956" s="17" t="s">
        <v>44</v>
      </c>
      <c r="J2956" s="17"/>
      <c r="K2956" s="17" t="e">
        <f aca="false">VLOOKUP(J2956,Sheet2!A:B,2,0)</f>
        <v>#N/A</v>
      </c>
      <c r="L2956" s="17" t="n">
        <v>5</v>
      </c>
      <c r="M2956" s="17" t="str">
        <f aca="false">VLOOKUP(L2956,Sheet2!D:E,2,0)</f>
        <v>Main Processor CPU BGA</v>
      </c>
      <c r="N2956" s="17" t="n">
        <v>1</v>
      </c>
      <c r="O2956" s="17" t="str">
        <f aca="false">VLOOKUP(N2956,Sheet2!G:H,2,0)</f>
        <v>Dead</v>
      </c>
      <c r="P2956" s="17" t="n">
        <v>11</v>
      </c>
      <c r="Q2956" s="17" t="str">
        <f aca="false">VLOOKUP(P2956,Sheet2!J:K,2,0)</f>
        <v>IR Declared due to CID -TA</v>
      </c>
      <c r="R2956" s="17" t="s">
        <v>35</v>
      </c>
      <c r="S2956" s="17" t="str">
        <f aca="false">VLOOKUP(R2956,Sheet2!N:O,2,0)</f>
        <v>IREPARABLE</v>
      </c>
      <c r="T2956" s="18" t="str">
        <f aca="false">VLOOKUP(P2956,Sheet2!Q:R,2,0)</f>
        <v>IR Normal - Track burn out</v>
      </c>
      <c r="U2956" s="20" t="s">
        <v>41</v>
      </c>
      <c r="V2956" s="17"/>
      <c r="W2956" s="20" t="e">
        <f aca="false">VLOOKUP(V2956,Sheet2!Q:R,2,0)</f>
        <v>#N/A</v>
      </c>
      <c r="X2956" s="17" t="n">
        <f aca="false">J2956</f>
        <v>0</v>
      </c>
      <c r="Y2956" s="17" t="e">
        <f aca="false">VLOOKUP(X2956,Sheet2!A:B,2,0)</f>
        <v>#N/A</v>
      </c>
      <c r="Z2956" s="17"/>
      <c r="AA2956" s="17"/>
      <c r="AB2956" s="17" t="s">
        <v>41</v>
      </c>
      <c r="AC2956" s="0" t="str">
        <f aca="false">LEFT(G2956,2)</f>
        <v/>
      </c>
    </row>
    <row r="2957" customFormat="false" ht="15" hidden="false" customHeight="false" outlineLevel="0" collapsed="false">
      <c r="A2957" s="13" t="n">
        <f aca="false">1+A2956</f>
        <v>2955</v>
      </c>
      <c r="B2957" s="14" t="n">
        <v>100</v>
      </c>
      <c r="C2957" s="15"/>
      <c r="D2957" s="16" t="s">
        <v>64</v>
      </c>
      <c r="E2957" s="17" t="s">
        <v>47</v>
      </c>
      <c r="F2957" s="18" t="s">
        <v>34</v>
      </c>
      <c r="G2957" s="19"/>
      <c r="H2957" s="17" t="s">
        <v>35</v>
      </c>
      <c r="I2957" s="17" t="s">
        <v>44</v>
      </c>
      <c r="J2957" s="17"/>
      <c r="K2957" s="17" t="e">
        <f aca="false">VLOOKUP(J2957,Sheet2!A:B,2,0)</f>
        <v>#N/A</v>
      </c>
      <c r="L2957" s="17" t="n">
        <v>5</v>
      </c>
      <c r="M2957" s="17" t="str">
        <f aca="false">VLOOKUP(L2957,Sheet2!D:E,2,0)</f>
        <v>Main Processor CPU BGA</v>
      </c>
      <c r="N2957" s="17" t="n">
        <v>1</v>
      </c>
      <c r="O2957" s="17" t="str">
        <f aca="false">VLOOKUP(N2957,Sheet2!G:H,2,0)</f>
        <v>Dead</v>
      </c>
      <c r="P2957" s="17" t="n">
        <v>11</v>
      </c>
      <c r="Q2957" s="17" t="str">
        <f aca="false">VLOOKUP(P2957,Sheet2!J:K,2,0)</f>
        <v>IR Declared due to CID -TA</v>
      </c>
      <c r="R2957" s="17" t="s">
        <v>35</v>
      </c>
      <c r="S2957" s="17" t="str">
        <f aca="false">VLOOKUP(R2957,Sheet2!N:O,2,0)</f>
        <v>IREPARABLE</v>
      </c>
      <c r="T2957" s="18" t="str">
        <f aca="false">VLOOKUP(P2957,Sheet2!Q:R,2,0)</f>
        <v>IR Normal - Track burn out</v>
      </c>
      <c r="U2957" s="20" t="s">
        <v>41</v>
      </c>
      <c r="V2957" s="17"/>
      <c r="W2957" s="20" t="e">
        <f aca="false">VLOOKUP(V2957,Sheet2!Q:R,2,0)</f>
        <v>#N/A</v>
      </c>
      <c r="X2957" s="17" t="n">
        <f aca="false">J2957</f>
        <v>0</v>
      </c>
      <c r="Y2957" s="17" t="e">
        <f aca="false">VLOOKUP(X2957,Sheet2!A:B,2,0)</f>
        <v>#N/A</v>
      </c>
      <c r="Z2957" s="17"/>
      <c r="AA2957" s="17"/>
      <c r="AB2957" s="17" t="s">
        <v>41</v>
      </c>
      <c r="AC2957" s="0" t="str">
        <f aca="false">LEFT(G2957,2)</f>
        <v/>
      </c>
    </row>
    <row r="2958" customFormat="false" ht="15" hidden="false" customHeight="false" outlineLevel="0" collapsed="false">
      <c r="A2958" s="13" t="n">
        <f aca="false">1+A2957</f>
        <v>2956</v>
      </c>
      <c r="B2958" s="14" t="n">
        <v>100</v>
      </c>
      <c r="C2958" s="15"/>
      <c r="D2958" s="16" t="s">
        <v>64</v>
      </c>
      <c r="E2958" s="17" t="s">
        <v>47</v>
      </c>
      <c r="F2958" s="18" t="s">
        <v>34</v>
      </c>
      <c r="G2958" s="19"/>
      <c r="H2958" s="17" t="s">
        <v>35</v>
      </c>
      <c r="I2958" s="17" t="s">
        <v>44</v>
      </c>
      <c r="J2958" s="17"/>
      <c r="K2958" s="17" t="e">
        <f aca="false">VLOOKUP(J2958,Sheet2!A:B,2,0)</f>
        <v>#N/A</v>
      </c>
      <c r="L2958" s="17" t="n">
        <v>5</v>
      </c>
      <c r="M2958" s="17" t="str">
        <f aca="false">VLOOKUP(L2958,Sheet2!D:E,2,0)</f>
        <v>Main Processor CPU BGA</v>
      </c>
      <c r="N2958" s="17" t="n">
        <v>1</v>
      </c>
      <c r="O2958" s="17" t="str">
        <f aca="false">VLOOKUP(N2958,Sheet2!G:H,2,0)</f>
        <v>Dead</v>
      </c>
      <c r="P2958" s="17" t="n">
        <v>11</v>
      </c>
      <c r="Q2958" s="17" t="str">
        <f aca="false">VLOOKUP(P2958,Sheet2!J:K,2,0)</f>
        <v>IR Declared due to CID -TA</v>
      </c>
      <c r="R2958" s="17" t="s">
        <v>35</v>
      </c>
      <c r="S2958" s="17" t="str">
        <f aca="false">VLOOKUP(R2958,Sheet2!N:O,2,0)</f>
        <v>IREPARABLE</v>
      </c>
      <c r="T2958" s="18" t="str">
        <f aca="false">VLOOKUP(P2958,Sheet2!Q:R,2,0)</f>
        <v>IR Normal - Track burn out</v>
      </c>
      <c r="U2958" s="20" t="s">
        <v>41</v>
      </c>
      <c r="V2958" s="17"/>
      <c r="W2958" s="20" t="e">
        <f aca="false">VLOOKUP(V2958,Sheet2!Q:R,2,0)</f>
        <v>#N/A</v>
      </c>
      <c r="X2958" s="17" t="n">
        <f aca="false">J2958</f>
        <v>0</v>
      </c>
      <c r="Y2958" s="17" t="e">
        <f aca="false">VLOOKUP(X2958,Sheet2!A:B,2,0)</f>
        <v>#N/A</v>
      </c>
      <c r="Z2958" s="17"/>
      <c r="AA2958" s="17"/>
      <c r="AB2958" s="17" t="s">
        <v>41</v>
      </c>
      <c r="AC2958" s="0" t="str">
        <f aca="false">LEFT(G2958,2)</f>
        <v/>
      </c>
    </row>
    <row r="2959" customFormat="false" ht="15" hidden="false" customHeight="false" outlineLevel="0" collapsed="false">
      <c r="A2959" s="13" t="n">
        <f aca="false">1+A2958</f>
        <v>2957</v>
      </c>
      <c r="B2959" s="14" t="n">
        <v>100</v>
      </c>
      <c r="C2959" s="15"/>
      <c r="D2959" s="16" t="s">
        <v>64</v>
      </c>
      <c r="E2959" s="17" t="s">
        <v>47</v>
      </c>
      <c r="F2959" s="18" t="s">
        <v>34</v>
      </c>
      <c r="G2959" s="19"/>
      <c r="H2959" s="17" t="s">
        <v>35</v>
      </c>
      <c r="I2959" s="17" t="s">
        <v>44</v>
      </c>
      <c r="J2959" s="17"/>
      <c r="K2959" s="17" t="e">
        <f aca="false">VLOOKUP(J2959,Sheet2!A:B,2,0)</f>
        <v>#N/A</v>
      </c>
      <c r="L2959" s="17" t="n">
        <v>5</v>
      </c>
      <c r="M2959" s="17" t="str">
        <f aca="false">VLOOKUP(L2959,Sheet2!D:E,2,0)</f>
        <v>Main Processor CPU BGA</v>
      </c>
      <c r="N2959" s="17" t="n">
        <v>1</v>
      </c>
      <c r="O2959" s="17" t="str">
        <f aca="false">VLOOKUP(N2959,Sheet2!G:H,2,0)</f>
        <v>Dead</v>
      </c>
      <c r="P2959" s="17" t="n">
        <v>11</v>
      </c>
      <c r="Q2959" s="17" t="str">
        <f aca="false">VLOOKUP(P2959,Sheet2!J:K,2,0)</f>
        <v>IR Declared due to CID -TA</v>
      </c>
      <c r="R2959" s="17" t="s">
        <v>35</v>
      </c>
      <c r="S2959" s="17" t="str">
        <f aca="false">VLOOKUP(R2959,Sheet2!N:O,2,0)</f>
        <v>IREPARABLE</v>
      </c>
      <c r="T2959" s="18" t="str">
        <f aca="false">VLOOKUP(P2959,Sheet2!Q:R,2,0)</f>
        <v>IR Normal - Track burn out</v>
      </c>
      <c r="U2959" s="20" t="s">
        <v>41</v>
      </c>
      <c r="V2959" s="17"/>
      <c r="W2959" s="20" t="e">
        <f aca="false">VLOOKUP(V2959,Sheet2!Q:R,2,0)</f>
        <v>#N/A</v>
      </c>
      <c r="X2959" s="17" t="n">
        <f aca="false">J2959</f>
        <v>0</v>
      </c>
      <c r="Y2959" s="17" t="e">
        <f aca="false">VLOOKUP(X2959,Sheet2!A:B,2,0)</f>
        <v>#N/A</v>
      </c>
      <c r="Z2959" s="17"/>
      <c r="AA2959" s="17"/>
      <c r="AB2959" s="17" t="s">
        <v>41</v>
      </c>
      <c r="AC2959" s="0" t="str">
        <f aca="false">LEFT(G2959,2)</f>
        <v/>
      </c>
    </row>
    <row r="2960" customFormat="false" ht="15" hidden="false" customHeight="false" outlineLevel="0" collapsed="false">
      <c r="A2960" s="13" t="n">
        <f aca="false">1+A2959</f>
        <v>2958</v>
      </c>
      <c r="B2960" s="14" t="n">
        <v>100</v>
      </c>
      <c r="C2960" s="15"/>
      <c r="D2960" s="16" t="s">
        <v>64</v>
      </c>
      <c r="E2960" s="17" t="s">
        <v>47</v>
      </c>
      <c r="F2960" s="18" t="s">
        <v>34</v>
      </c>
      <c r="G2960" s="19"/>
      <c r="H2960" s="17" t="s">
        <v>35</v>
      </c>
      <c r="I2960" s="17" t="s">
        <v>44</v>
      </c>
      <c r="J2960" s="17"/>
      <c r="K2960" s="17" t="e">
        <f aca="false">VLOOKUP(J2960,Sheet2!A:B,2,0)</f>
        <v>#N/A</v>
      </c>
      <c r="L2960" s="17" t="n">
        <v>5</v>
      </c>
      <c r="M2960" s="17" t="str">
        <f aca="false">VLOOKUP(L2960,Sheet2!D:E,2,0)</f>
        <v>Main Processor CPU BGA</v>
      </c>
      <c r="N2960" s="17" t="n">
        <v>1</v>
      </c>
      <c r="O2960" s="17" t="str">
        <f aca="false">VLOOKUP(N2960,Sheet2!G:H,2,0)</f>
        <v>Dead</v>
      </c>
      <c r="P2960" s="17" t="n">
        <v>11</v>
      </c>
      <c r="Q2960" s="17" t="str">
        <f aca="false">VLOOKUP(P2960,Sheet2!J:K,2,0)</f>
        <v>IR Declared due to CID -TA</v>
      </c>
      <c r="R2960" s="17" t="s">
        <v>35</v>
      </c>
      <c r="S2960" s="17" t="str">
        <f aca="false">VLOOKUP(R2960,Sheet2!N:O,2,0)</f>
        <v>IREPARABLE</v>
      </c>
      <c r="T2960" s="18" t="str">
        <f aca="false">VLOOKUP(P2960,Sheet2!Q:R,2,0)</f>
        <v>IR Normal - Track burn out</v>
      </c>
      <c r="U2960" s="20" t="s">
        <v>41</v>
      </c>
      <c r="V2960" s="17"/>
      <c r="W2960" s="20" t="e">
        <f aca="false">VLOOKUP(V2960,Sheet2!Q:R,2,0)</f>
        <v>#N/A</v>
      </c>
      <c r="X2960" s="17" t="n">
        <f aca="false">J2960</f>
        <v>0</v>
      </c>
      <c r="Y2960" s="17" t="e">
        <f aca="false">VLOOKUP(X2960,Sheet2!A:B,2,0)</f>
        <v>#N/A</v>
      </c>
      <c r="Z2960" s="17"/>
      <c r="AA2960" s="17"/>
      <c r="AB2960" s="17" t="s">
        <v>41</v>
      </c>
      <c r="AC2960" s="0" t="str">
        <f aca="false">LEFT(G2960,2)</f>
        <v/>
      </c>
    </row>
    <row r="2961" customFormat="false" ht="15" hidden="false" customHeight="false" outlineLevel="0" collapsed="false">
      <c r="A2961" s="13" t="n">
        <f aca="false">1+A2960</f>
        <v>2959</v>
      </c>
      <c r="B2961" s="14" t="n">
        <v>100</v>
      </c>
      <c r="C2961" s="15"/>
      <c r="D2961" s="16" t="s">
        <v>64</v>
      </c>
      <c r="E2961" s="17" t="s">
        <v>47</v>
      </c>
      <c r="F2961" s="18" t="s">
        <v>34</v>
      </c>
      <c r="G2961" s="19"/>
      <c r="H2961" s="17" t="s">
        <v>35</v>
      </c>
      <c r="I2961" s="17" t="s">
        <v>44</v>
      </c>
      <c r="J2961" s="17"/>
      <c r="K2961" s="17" t="e">
        <f aca="false">VLOOKUP(J2961,Sheet2!A:B,2,0)</f>
        <v>#N/A</v>
      </c>
      <c r="L2961" s="17" t="n">
        <v>5</v>
      </c>
      <c r="M2961" s="17" t="str">
        <f aca="false">VLOOKUP(L2961,Sheet2!D:E,2,0)</f>
        <v>Main Processor CPU BGA</v>
      </c>
      <c r="N2961" s="17" t="n">
        <v>1</v>
      </c>
      <c r="O2961" s="17" t="str">
        <f aca="false">VLOOKUP(N2961,Sheet2!G:H,2,0)</f>
        <v>Dead</v>
      </c>
      <c r="P2961" s="17" t="n">
        <v>11</v>
      </c>
      <c r="Q2961" s="17" t="str">
        <f aca="false">VLOOKUP(P2961,Sheet2!J:K,2,0)</f>
        <v>IR Declared due to CID -TA</v>
      </c>
      <c r="R2961" s="17" t="s">
        <v>35</v>
      </c>
      <c r="S2961" s="17" t="str">
        <f aca="false">VLOOKUP(R2961,Sheet2!N:O,2,0)</f>
        <v>IREPARABLE</v>
      </c>
      <c r="T2961" s="18" t="str">
        <f aca="false">VLOOKUP(P2961,Sheet2!Q:R,2,0)</f>
        <v>IR Normal - Track burn out</v>
      </c>
      <c r="U2961" s="20" t="s">
        <v>41</v>
      </c>
      <c r="V2961" s="17"/>
      <c r="W2961" s="20" t="e">
        <f aca="false">VLOOKUP(V2961,Sheet2!Q:R,2,0)</f>
        <v>#N/A</v>
      </c>
      <c r="X2961" s="17" t="n">
        <f aca="false">J2961</f>
        <v>0</v>
      </c>
      <c r="Y2961" s="17" t="e">
        <f aca="false">VLOOKUP(X2961,Sheet2!A:B,2,0)</f>
        <v>#N/A</v>
      </c>
      <c r="Z2961" s="17"/>
      <c r="AA2961" s="17"/>
      <c r="AB2961" s="17" t="s">
        <v>41</v>
      </c>
      <c r="AC2961" s="0" t="str">
        <f aca="false">LEFT(G2961,2)</f>
        <v/>
      </c>
    </row>
    <row r="2962" customFormat="false" ht="15" hidden="false" customHeight="false" outlineLevel="0" collapsed="false">
      <c r="A2962" s="13" t="n">
        <f aca="false">1+A2961</f>
        <v>2960</v>
      </c>
      <c r="B2962" s="14" t="n">
        <v>100</v>
      </c>
      <c r="C2962" s="15"/>
      <c r="D2962" s="16" t="s">
        <v>64</v>
      </c>
      <c r="E2962" s="17" t="s">
        <v>47</v>
      </c>
      <c r="F2962" s="18" t="s">
        <v>34</v>
      </c>
      <c r="G2962" s="19"/>
      <c r="H2962" s="17" t="s">
        <v>35</v>
      </c>
      <c r="I2962" s="17" t="s">
        <v>44</v>
      </c>
      <c r="J2962" s="17"/>
      <c r="K2962" s="17" t="e">
        <f aca="false">VLOOKUP(J2962,Sheet2!A:B,2,0)</f>
        <v>#N/A</v>
      </c>
      <c r="L2962" s="17" t="n">
        <v>5</v>
      </c>
      <c r="M2962" s="17" t="str">
        <f aca="false">VLOOKUP(L2962,Sheet2!D:E,2,0)</f>
        <v>Main Processor CPU BGA</v>
      </c>
      <c r="N2962" s="17" t="n">
        <v>1</v>
      </c>
      <c r="O2962" s="17" t="str">
        <f aca="false">VLOOKUP(N2962,Sheet2!G:H,2,0)</f>
        <v>Dead</v>
      </c>
      <c r="P2962" s="17" t="n">
        <v>11</v>
      </c>
      <c r="Q2962" s="17" t="str">
        <f aca="false">VLOOKUP(P2962,Sheet2!J:K,2,0)</f>
        <v>IR Declared due to CID -TA</v>
      </c>
      <c r="R2962" s="17" t="s">
        <v>35</v>
      </c>
      <c r="S2962" s="17" t="str">
        <f aca="false">VLOOKUP(R2962,Sheet2!N:O,2,0)</f>
        <v>IREPARABLE</v>
      </c>
      <c r="T2962" s="18" t="str">
        <f aca="false">VLOOKUP(P2962,Sheet2!Q:R,2,0)</f>
        <v>IR Normal - Track burn out</v>
      </c>
      <c r="U2962" s="20" t="s">
        <v>41</v>
      </c>
      <c r="V2962" s="17"/>
      <c r="W2962" s="20" t="e">
        <f aca="false">VLOOKUP(V2962,Sheet2!Q:R,2,0)</f>
        <v>#N/A</v>
      </c>
      <c r="X2962" s="17" t="n">
        <f aca="false">J2962</f>
        <v>0</v>
      </c>
      <c r="Y2962" s="17" t="e">
        <f aca="false">VLOOKUP(X2962,Sheet2!A:B,2,0)</f>
        <v>#N/A</v>
      </c>
      <c r="Z2962" s="17"/>
      <c r="AA2962" s="17"/>
      <c r="AB2962" s="17" t="s">
        <v>41</v>
      </c>
      <c r="AC2962" s="0" t="str">
        <f aca="false">LEFT(G2962,2)</f>
        <v/>
      </c>
    </row>
    <row r="2963" customFormat="false" ht="15" hidden="false" customHeight="false" outlineLevel="0" collapsed="false">
      <c r="A2963" s="13" t="n">
        <f aca="false">1+A2962</f>
        <v>2961</v>
      </c>
      <c r="B2963" s="14" t="n">
        <v>100</v>
      </c>
      <c r="C2963" s="15"/>
      <c r="D2963" s="16" t="s">
        <v>64</v>
      </c>
      <c r="E2963" s="17" t="s">
        <v>47</v>
      </c>
      <c r="F2963" s="18" t="s">
        <v>34</v>
      </c>
      <c r="G2963" s="19"/>
      <c r="H2963" s="17" t="s">
        <v>35</v>
      </c>
      <c r="I2963" s="17" t="s">
        <v>44</v>
      </c>
      <c r="J2963" s="17"/>
      <c r="K2963" s="17" t="e">
        <f aca="false">VLOOKUP(J2963,Sheet2!A:B,2,0)</f>
        <v>#N/A</v>
      </c>
      <c r="L2963" s="17" t="n">
        <v>5</v>
      </c>
      <c r="M2963" s="17" t="str">
        <f aca="false">VLOOKUP(L2963,Sheet2!D:E,2,0)</f>
        <v>Main Processor CPU BGA</v>
      </c>
      <c r="N2963" s="17" t="n">
        <v>1</v>
      </c>
      <c r="O2963" s="17" t="str">
        <f aca="false">VLOOKUP(N2963,Sheet2!G:H,2,0)</f>
        <v>Dead</v>
      </c>
      <c r="P2963" s="17" t="n">
        <v>11</v>
      </c>
      <c r="Q2963" s="17" t="str">
        <f aca="false">VLOOKUP(P2963,Sheet2!J:K,2,0)</f>
        <v>IR Declared due to CID -TA</v>
      </c>
      <c r="R2963" s="17" t="s">
        <v>35</v>
      </c>
      <c r="S2963" s="17" t="str">
        <f aca="false">VLOOKUP(R2963,Sheet2!N:O,2,0)</f>
        <v>IREPARABLE</v>
      </c>
      <c r="T2963" s="18" t="str">
        <f aca="false">VLOOKUP(P2963,Sheet2!Q:R,2,0)</f>
        <v>IR Normal - Track burn out</v>
      </c>
      <c r="U2963" s="20" t="s">
        <v>41</v>
      </c>
      <c r="V2963" s="17"/>
      <c r="W2963" s="20" t="e">
        <f aca="false">VLOOKUP(V2963,Sheet2!Q:R,2,0)</f>
        <v>#N/A</v>
      </c>
      <c r="X2963" s="17" t="n">
        <f aca="false">J2963</f>
        <v>0</v>
      </c>
      <c r="Y2963" s="17" t="e">
        <f aca="false">VLOOKUP(X2963,Sheet2!A:B,2,0)</f>
        <v>#N/A</v>
      </c>
      <c r="Z2963" s="17"/>
      <c r="AA2963" s="17"/>
      <c r="AB2963" s="17" t="s">
        <v>41</v>
      </c>
      <c r="AC2963" s="0" t="str">
        <f aca="false">LEFT(G2963,2)</f>
        <v/>
      </c>
    </row>
    <row r="2964" customFormat="false" ht="15" hidden="false" customHeight="false" outlineLevel="0" collapsed="false">
      <c r="A2964" s="13" t="n">
        <f aca="false">1+A2963</f>
        <v>2962</v>
      </c>
      <c r="B2964" s="14" t="n">
        <v>100</v>
      </c>
      <c r="C2964" s="15"/>
      <c r="D2964" s="16" t="s">
        <v>64</v>
      </c>
      <c r="E2964" s="17" t="s">
        <v>47</v>
      </c>
      <c r="F2964" s="18" t="s">
        <v>34</v>
      </c>
      <c r="G2964" s="19"/>
      <c r="H2964" s="17" t="s">
        <v>35</v>
      </c>
      <c r="I2964" s="17" t="s">
        <v>44</v>
      </c>
      <c r="J2964" s="17"/>
      <c r="K2964" s="17" t="e">
        <f aca="false">VLOOKUP(J2964,Sheet2!A:B,2,0)</f>
        <v>#N/A</v>
      </c>
      <c r="L2964" s="17" t="n">
        <v>5</v>
      </c>
      <c r="M2964" s="17" t="str">
        <f aca="false">VLOOKUP(L2964,Sheet2!D:E,2,0)</f>
        <v>Main Processor CPU BGA</v>
      </c>
      <c r="N2964" s="17" t="n">
        <v>1</v>
      </c>
      <c r="O2964" s="17" t="str">
        <f aca="false">VLOOKUP(N2964,Sheet2!G:H,2,0)</f>
        <v>Dead</v>
      </c>
      <c r="P2964" s="17" t="n">
        <v>11</v>
      </c>
      <c r="Q2964" s="17" t="str">
        <f aca="false">VLOOKUP(P2964,Sheet2!J:K,2,0)</f>
        <v>IR Declared due to CID -TA</v>
      </c>
      <c r="R2964" s="17" t="s">
        <v>35</v>
      </c>
      <c r="S2964" s="17" t="str">
        <f aca="false">VLOOKUP(R2964,Sheet2!N:O,2,0)</f>
        <v>IREPARABLE</v>
      </c>
      <c r="T2964" s="18" t="str">
        <f aca="false">VLOOKUP(P2964,Sheet2!Q:R,2,0)</f>
        <v>IR Normal - Track burn out</v>
      </c>
      <c r="U2964" s="20" t="s">
        <v>41</v>
      </c>
      <c r="V2964" s="17"/>
      <c r="W2964" s="20" t="e">
        <f aca="false">VLOOKUP(V2964,Sheet2!Q:R,2,0)</f>
        <v>#N/A</v>
      </c>
      <c r="X2964" s="17" t="n">
        <f aca="false">J2964</f>
        <v>0</v>
      </c>
      <c r="Y2964" s="17" t="e">
        <f aca="false">VLOOKUP(X2964,Sheet2!A:B,2,0)</f>
        <v>#N/A</v>
      </c>
      <c r="Z2964" s="17"/>
      <c r="AA2964" s="17"/>
      <c r="AB2964" s="17" t="s">
        <v>41</v>
      </c>
      <c r="AC2964" s="0" t="str">
        <f aca="false">LEFT(G2964,2)</f>
        <v/>
      </c>
    </row>
    <row r="2965" customFormat="false" ht="15" hidden="false" customHeight="false" outlineLevel="0" collapsed="false">
      <c r="A2965" s="13" t="n">
        <f aca="false">1+A2964</f>
        <v>2963</v>
      </c>
      <c r="B2965" s="14" t="n">
        <v>100</v>
      </c>
      <c r="C2965" s="15"/>
      <c r="D2965" s="16" t="s">
        <v>64</v>
      </c>
      <c r="E2965" s="17" t="s">
        <v>47</v>
      </c>
      <c r="F2965" s="18" t="s">
        <v>34</v>
      </c>
      <c r="G2965" s="19"/>
      <c r="H2965" s="17" t="s">
        <v>35</v>
      </c>
      <c r="I2965" s="17" t="s">
        <v>44</v>
      </c>
      <c r="J2965" s="17"/>
      <c r="K2965" s="17" t="e">
        <f aca="false">VLOOKUP(J2965,Sheet2!A:B,2,0)</f>
        <v>#N/A</v>
      </c>
      <c r="L2965" s="17" t="n">
        <v>5</v>
      </c>
      <c r="M2965" s="17" t="str">
        <f aca="false">VLOOKUP(L2965,Sheet2!D:E,2,0)</f>
        <v>Main Processor CPU BGA</v>
      </c>
      <c r="N2965" s="17" t="n">
        <v>1</v>
      </c>
      <c r="O2965" s="17" t="str">
        <f aca="false">VLOOKUP(N2965,Sheet2!G:H,2,0)</f>
        <v>Dead</v>
      </c>
      <c r="P2965" s="17" t="n">
        <v>11</v>
      </c>
      <c r="Q2965" s="17" t="str">
        <f aca="false">VLOOKUP(P2965,Sheet2!J:K,2,0)</f>
        <v>IR Declared due to CID -TA</v>
      </c>
      <c r="R2965" s="17" t="s">
        <v>35</v>
      </c>
      <c r="S2965" s="17" t="str">
        <f aca="false">VLOOKUP(R2965,Sheet2!N:O,2,0)</f>
        <v>IREPARABLE</v>
      </c>
      <c r="T2965" s="18" t="str">
        <f aca="false">VLOOKUP(P2965,Sheet2!Q:R,2,0)</f>
        <v>IR Normal - Track burn out</v>
      </c>
      <c r="U2965" s="20" t="s">
        <v>41</v>
      </c>
      <c r="V2965" s="17"/>
      <c r="W2965" s="20" t="e">
        <f aca="false">VLOOKUP(V2965,Sheet2!Q:R,2,0)</f>
        <v>#N/A</v>
      </c>
      <c r="X2965" s="17" t="n">
        <f aca="false">J2965</f>
        <v>0</v>
      </c>
      <c r="Y2965" s="17" t="e">
        <f aca="false">VLOOKUP(X2965,Sheet2!A:B,2,0)</f>
        <v>#N/A</v>
      </c>
      <c r="Z2965" s="17"/>
      <c r="AA2965" s="17"/>
      <c r="AB2965" s="17" t="s">
        <v>41</v>
      </c>
      <c r="AC2965" s="0" t="str">
        <f aca="false">LEFT(G2965,2)</f>
        <v/>
      </c>
    </row>
    <row r="2966" customFormat="false" ht="15" hidden="false" customHeight="false" outlineLevel="0" collapsed="false">
      <c r="A2966" s="13" t="n">
        <f aca="false">1+A2965</f>
        <v>2964</v>
      </c>
      <c r="B2966" s="14" t="n">
        <v>100</v>
      </c>
      <c r="C2966" s="15"/>
      <c r="D2966" s="16" t="s">
        <v>64</v>
      </c>
      <c r="E2966" s="17" t="s">
        <v>47</v>
      </c>
      <c r="F2966" s="18" t="s">
        <v>34</v>
      </c>
      <c r="G2966" s="19"/>
      <c r="H2966" s="17" t="s">
        <v>35</v>
      </c>
      <c r="I2966" s="17" t="s">
        <v>44</v>
      </c>
      <c r="J2966" s="17"/>
      <c r="K2966" s="17" t="e">
        <f aca="false">VLOOKUP(J2966,Sheet2!A:B,2,0)</f>
        <v>#N/A</v>
      </c>
      <c r="L2966" s="17" t="n">
        <v>5</v>
      </c>
      <c r="M2966" s="17" t="str">
        <f aca="false">VLOOKUP(L2966,Sheet2!D:E,2,0)</f>
        <v>Main Processor CPU BGA</v>
      </c>
      <c r="N2966" s="17" t="n">
        <v>1</v>
      </c>
      <c r="O2966" s="17" t="str">
        <f aca="false">VLOOKUP(N2966,Sheet2!G:H,2,0)</f>
        <v>Dead</v>
      </c>
      <c r="P2966" s="17" t="n">
        <v>11</v>
      </c>
      <c r="Q2966" s="17" t="str">
        <f aca="false">VLOOKUP(P2966,Sheet2!J:K,2,0)</f>
        <v>IR Declared due to CID -TA</v>
      </c>
      <c r="R2966" s="17" t="s">
        <v>35</v>
      </c>
      <c r="S2966" s="17" t="str">
        <f aca="false">VLOOKUP(R2966,Sheet2!N:O,2,0)</f>
        <v>IREPARABLE</v>
      </c>
      <c r="T2966" s="18" t="str">
        <f aca="false">VLOOKUP(P2966,Sheet2!Q:R,2,0)</f>
        <v>IR Normal - Track burn out</v>
      </c>
      <c r="U2966" s="20" t="s">
        <v>41</v>
      </c>
      <c r="V2966" s="17"/>
      <c r="W2966" s="20" t="e">
        <f aca="false">VLOOKUP(V2966,Sheet2!Q:R,2,0)</f>
        <v>#N/A</v>
      </c>
      <c r="X2966" s="17" t="n">
        <f aca="false">J2966</f>
        <v>0</v>
      </c>
      <c r="Y2966" s="17" t="e">
        <f aca="false">VLOOKUP(X2966,Sheet2!A:B,2,0)</f>
        <v>#N/A</v>
      </c>
      <c r="Z2966" s="17"/>
      <c r="AA2966" s="17"/>
      <c r="AB2966" s="17" t="s">
        <v>41</v>
      </c>
      <c r="AC2966" s="0" t="str">
        <f aca="false">LEFT(G2966,2)</f>
        <v/>
      </c>
    </row>
    <row r="2967" customFormat="false" ht="15" hidden="false" customHeight="false" outlineLevel="0" collapsed="false">
      <c r="A2967" s="13" t="n">
        <f aca="false">1+A2966</f>
        <v>2965</v>
      </c>
      <c r="B2967" s="14" t="n">
        <v>100</v>
      </c>
      <c r="C2967" s="15"/>
      <c r="D2967" s="16" t="s">
        <v>64</v>
      </c>
      <c r="E2967" s="17" t="s">
        <v>47</v>
      </c>
      <c r="F2967" s="18" t="s">
        <v>34</v>
      </c>
      <c r="G2967" s="19"/>
      <c r="H2967" s="17" t="s">
        <v>35</v>
      </c>
      <c r="I2967" s="17" t="s">
        <v>44</v>
      </c>
      <c r="J2967" s="17"/>
      <c r="K2967" s="17" t="e">
        <f aca="false">VLOOKUP(J2967,Sheet2!A:B,2,0)</f>
        <v>#N/A</v>
      </c>
      <c r="L2967" s="17" t="n">
        <v>5</v>
      </c>
      <c r="M2967" s="17" t="str">
        <f aca="false">VLOOKUP(L2967,Sheet2!D:E,2,0)</f>
        <v>Main Processor CPU BGA</v>
      </c>
      <c r="N2967" s="17" t="n">
        <v>1</v>
      </c>
      <c r="O2967" s="17" t="str">
        <f aca="false">VLOOKUP(N2967,Sheet2!G:H,2,0)</f>
        <v>Dead</v>
      </c>
      <c r="P2967" s="17" t="n">
        <v>11</v>
      </c>
      <c r="Q2967" s="17" t="str">
        <f aca="false">VLOOKUP(P2967,Sheet2!J:K,2,0)</f>
        <v>IR Declared due to CID -TA</v>
      </c>
      <c r="R2967" s="17" t="s">
        <v>35</v>
      </c>
      <c r="S2967" s="17" t="str">
        <f aca="false">VLOOKUP(R2967,Sheet2!N:O,2,0)</f>
        <v>IREPARABLE</v>
      </c>
      <c r="T2967" s="18" t="str">
        <f aca="false">VLOOKUP(P2967,Sheet2!Q:R,2,0)</f>
        <v>IR Normal - Track burn out</v>
      </c>
      <c r="U2967" s="20" t="s">
        <v>41</v>
      </c>
      <c r="V2967" s="17"/>
      <c r="W2967" s="20" t="e">
        <f aca="false">VLOOKUP(V2967,Sheet2!Q:R,2,0)</f>
        <v>#N/A</v>
      </c>
      <c r="X2967" s="17" t="n">
        <f aca="false">J2967</f>
        <v>0</v>
      </c>
      <c r="Y2967" s="17" t="e">
        <f aca="false">VLOOKUP(X2967,Sheet2!A:B,2,0)</f>
        <v>#N/A</v>
      </c>
      <c r="Z2967" s="17"/>
      <c r="AA2967" s="17"/>
      <c r="AB2967" s="17" t="s">
        <v>41</v>
      </c>
      <c r="AC2967" s="0" t="str">
        <f aca="false">LEFT(G2967,2)</f>
        <v/>
      </c>
    </row>
    <row r="2968" customFormat="false" ht="15" hidden="false" customHeight="false" outlineLevel="0" collapsed="false">
      <c r="A2968" s="13" t="n">
        <f aca="false">1+A2967</f>
        <v>2966</v>
      </c>
      <c r="B2968" s="14" t="n">
        <v>100</v>
      </c>
      <c r="C2968" s="15"/>
      <c r="D2968" s="16" t="s">
        <v>64</v>
      </c>
      <c r="E2968" s="17" t="s">
        <v>47</v>
      </c>
      <c r="F2968" s="18" t="s">
        <v>34</v>
      </c>
      <c r="G2968" s="19"/>
      <c r="H2968" s="17" t="s">
        <v>35</v>
      </c>
      <c r="I2968" s="17" t="s">
        <v>44</v>
      </c>
      <c r="J2968" s="17"/>
      <c r="K2968" s="17" t="e">
        <f aca="false">VLOOKUP(J2968,Sheet2!A:B,2,0)</f>
        <v>#N/A</v>
      </c>
      <c r="L2968" s="17" t="n">
        <v>5</v>
      </c>
      <c r="M2968" s="17" t="str">
        <f aca="false">VLOOKUP(L2968,Sheet2!D:E,2,0)</f>
        <v>Main Processor CPU BGA</v>
      </c>
      <c r="N2968" s="17" t="n">
        <v>1</v>
      </c>
      <c r="O2968" s="17" t="str">
        <f aca="false">VLOOKUP(N2968,Sheet2!G:H,2,0)</f>
        <v>Dead</v>
      </c>
      <c r="P2968" s="17" t="n">
        <v>11</v>
      </c>
      <c r="Q2968" s="17" t="str">
        <f aca="false">VLOOKUP(P2968,Sheet2!J:K,2,0)</f>
        <v>IR Declared due to CID -TA</v>
      </c>
      <c r="R2968" s="17" t="s">
        <v>35</v>
      </c>
      <c r="S2968" s="17" t="str">
        <f aca="false">VLOOKUP(R2968,Sheet2!N:O,2,0)</f>
        <v>IREPARABLE</v>
      </c>
      <c r="T2968" s="18" t="str">
        <f aca="false">VLOOKUP(P2968,Sheet2!Q:R,2,0)</f>
        <v>IR Normal - Track burn out</v>
      </c>
      <c r="U2968" s="20" t="s">
        <v>41</v>
      </c>
      <c r="V2968" s="17"/>
      <c r="W2968" s="20" t="e">
        <f aca="false">VLOOKUP(V2968,Sheet2!Q:R,2,0)</f>
        <v>#N/A</v>
      </c>
      <c r="X2968" s="17" t="n">
        <f aca="false">J2968</f>
        <v>0</v>
      </c>
      <c r="Y2968" s="17" t="e">
        <f aca="false">VLOOKUP(X2968,Sheet2!A:B,2,0)</f>
        <v>#N/A</v>
      </c>
      <c r="Z2968" s="17"/>
      <c r="AA2968" s="17"/>
      <c r="AB2968" s="17" t="s">
        <v>41</v>
      </c>
      <c r="AC2968" s="0" t="str">
        <f aca="false">LEFT(G2968,2)</f>
        <v/>
      </c>
    </row>
    <row r="2969" customFormat="false" ht="15" hidden="false" customHeight="false" outlineLevel="0" collapsed="false">
      <c r="A2969" s="13" t="n">
        <f aca="false">1+A2968</f>
        <v>2967</v>
      </c>
      <c r="B2969" s="14" t="n">
        <v>100</v>
      </c>
      <c r="C2969" s="15"/>
      <c r="D2969" s="16" t="s">
        <v>64</v>
      </c>
      <c r="E2969" s="17" t="s">
        <v>47</v>
      </c>
      <c r="F2969" s="18" t="s">
        <v>34</v>
      </c>
      <c r="G2969" s="19"/>
      <c r="H2969" s="17" t="s">
        <v>35</v>
      </c>
      <c r="I2969" s="17" t="s">
        <v>44</v>
      </c>
      <c r="J2969" s="17"/>
      <c r="K2969" s="17" t="e">
        <f aca="false">VLOOKUP(J2969,Sheet2!A:B,2,0)</f>
        <v>#N/A</v>
      </c>
      <c r="L2969" s="17" t="n">
        <v>5</v>
      </c>
      <c r="M2969" s="17" t="str">
        <f aca="false">VLOOKUP(L2969,Sheet2!D:E,2,0)</f>
        <v>Main Processor CPU BGA</v>
      </c>
      <c r="N2969" s="17" t="n">
        <v>1</v>
      </c>
      <c r="O2969" s="17" t="str">
        <f aca="false">VLOOKUP(N2969,Sheet2!G:H,2,0)</f>
        <v>Dead</v>
      </c>
      <c r="P2969" s="17" t="n">
        <v>11</v>
      </c>
      <c r="Q2969" s="17" t="str">
        <f aca="false">VLOOKUP(P2969,Sheet2!J:K,2,0)</f>
        <v>IR Declared due to CID -TA</v>
      </c>
      <c r="R2969" s="17" t="s">
        <v>35</v>
      </c>
      <c r="S2969" s="17" t="str">
        <f aca="false">VLOOKUP(R2969,Sheet2!N:O,2,0)</f>
        <v>IREPARABLE</v>
      </c>
      <c r="T2969" s="18" t="str">
        <f aca="false">VLOOKUP(P2969,Sheet2!Q:R,2,0)</f>
        <v>IR Normal - Track burn out</v>
      </c>
      <c r="U2969" s="20" t="s">
        <v>41</v>
      </c>
      <c r="V2969" s="17"/>
      <c r="W2969" s="20" t="e">
        <f aca="false">VLOOKUP(V2969,Sheet2!Q:R,2,0)</f>
        <v>#N/A</v>
      </c>
      <c r="X2969" s="17" t="n">
        <f aca="false">J2969</f>
        <v>0</v>
      </c>
      <c r="Y2969" s="17" t="e">
        <f aca="false">VLOOKUP(X2969,Sheet2!A:B,2,0)</f>
        <v>#N/A</v>
      </c>
      <c r="Z2969" s="17"/>
      <c r="AA2969" s="17"/>
      <c r="AB2969" s="17" t="s">
        <v>41</v>
      </c>
      <c r="AC2969" s="0" t="str">
        <f aca="false">LEFT(G2969,2)</f>
        <v/>
      </c>
    </row>
    <row r="2970" customFormat="false" ht="15" hidden="false" customHeight="false" outlineLevel="0" collapsed="false">
      <c r="A2970" s="13" t="n">
        <f aca="false">1+A2969</f>
        <v>2968</v>
      </c>
      <c r="B2970" s="14" t="n">
        <v>100</v>
      </c>
      <c r="C2970" s="15"/>
      <c r="D2970" s="16" t="s">
        <v>64</v>
      </c>
      <c r="E2970" s="17" t="s">
        <v>47</v>
      </c>
      <c r="F2970" s="18" t="s">
        <v>34</v>
      </c>
      <c r="G2970" s="19"/>
      <c r="H2970" s="17" t="s">
        <v>35</v>
      </c>
      <c r="I2970" s="17" t="s">
        <v>44</v>
      </c>
      <c r="J2970" s="17"/>
      <c r="K2970" s="17" t="e">
        <f aca="false">VLOOKUP(J2970,Sheet2!A:B,2,0)</f>
        <v>#N/A</v>
      </c>
      <c r="L2970" s="17" t="n">
        <v>5</v>
      </c>
      <c r="M2970" s="17" t="str">
        <f aca="false">VLOOKUP(L2970,Sheet2!D:E,2,0)</f>
        <v>Main Processor CPU BGA</v>
      </c>
      <c r="N2970" s="17" t="n">
        <v>1</v>
      </c>
      <c r="O2970" s="17" t="str">
        <f aca="false">VLOOKUP(N2970,Sheet2!G:H,2,0)</f>
        <v>Dead</v>
      </c>
      <c r="P2970" s="17" t="n">
        <v>11</v>
      </c>
      <c r="Q2970" s="17" t="str">
        <f aca="false">VLOOKUP(P2970,Sheet2!J:K,2,0)</f>
        <v>IR Declared due to CID -TA</v>
      </c>
      <c r="R2970" s="17" t="s">
        <v>35</v>
      </c>
      <c r="S2970" s="17" t="str">
        <f aca="false">VLOOKUP(R2970,Sheet2!N:O,2,0)</f>
        <v>IREPARABLE</v>
      </c>
      <c r="T2970" s="18" t="str">
        <f aca="false">VLOOKUP(P2970,Sheet2!Q:R,2,0)</f>
        <v>IR Normal - Track burn out</v>
      </c>
      <c r="U2970" s="20" t="s">
        <v>41</v>
      </c>
      <c r="V2970" s="17"/>
      <c r="W2970" s="20" t="e">
        <f aca="false">VLOOKUP(V2970,Sheet2!Q:R,2,0)</f>
        <v>#N/A</v>
      </c>
      <c r="X2970" s="17" t="n">
        <f aca="false">J2970</f>
        <v>0</v>
      </c>
      <c r="Y2970" s="17" t="e">
        <f aca="false">VLOOKUP(X2970,Sheet2!A:B,2,0)</f>
        <v>#N/A</v>
      </c>
      <c r="Z2970" s="17"/>
      <c r="AA2970" s="17"/>
      <c r="AB2970" s="17" t="s">
        <v>41</v>
      </c>
      <c r="AC2970" s="0" t="str">
        <f aca="false">LEFT(G2970,2)</f>
        <v/>
      </c>
    </row>
    <row r="2971" customFormat="false" ht="15" hidden="false" customHeight="false" outlineLevel="0" collapsed="false">
      <c r="A2971" s="13" t="n">
        <f aca="false">1+A2970</f>
        <v>2969</v>
      </c>
      <c r="B2971" s="14" t="n">
        <v>100</v>
      </c>
      <c r="C2971" s="15"/>
      <c r="D2971" s="16" t="s">
        <v>64</v>
      </c>
      <c r="E2971" s="17" t="s">
        <v>47</v>
      </c>
      <c r="F2971" s="18" t="s">
        <v>34</v>
      </c>
      <c r="G2971" s="19"/>
      <c r="H2971" s="17" t="s">
        <v>35</v>
      </c>
      <c r="I2971" s="17" t="s">
        <v>44</v>
      </c>
      <c r="J2971" s="17"/>
      <c r="K2971" s="17" t="e">
        <f aca="false">VLOOKUP(J2971,Sheet2!A:B,2,0)</f>
        <v>#N/A</v>
      </c>
      <c r="L2971" s="17" t="n">
        <v>5</v>
      </c>
      <c r="M2971" s="17" t="str">
        <f aca="false">VLOOKUP(L2971,Sheet2!D:E,2,0)</f>
        <v>Main Processor CPU BGA</v>
      </c>
      <c r="N2971" s="17" t="n">
        <v>1</v>
      </c>
      <c r="O2971" s="17" t="str">
        <f aca="false">VLOOKUP(N2971,Sheet2!G:H,2,0)</f>
        <v>Dead</v>
      </c>
      <c r="P2971" s="17" t="n">
        <v>11</v>
      </c>
      <c r="Q2971" s="17" t="str">
        <f aca="false">VLOOKUP(P2971,Sheet2!J:K,2,0)</f>
        <v>IR Declared due to CID -TA</v>
      </c>
      <c r="R2971" s="17" t="s">
        <v>35</v>
      </c>
      <c r="S2971" s="17" t="str">
        <f aca="false">VLOOKUP(R2971,Sheet2!N:O,2,0)</f>
        <v>IREPARABLE</v>
      </c>
      <c r="T2971" s="18" t="str">
        <f aca="false">VLOOKUP(P2971,Sheet2!Q:R,2,0)</f>
        <v>IR Normal - Track burn out</v>
      </c>
      <c r="U2971" s="20" t="s">
        <v>41</v>
      </c>
      <c r="V2971" s="17"/>
      <c r="W2971" s="20" t="e">
        <f aca="false">VLOOKUP(V2971,Sheet2!Q:R,2,0)</f>
        <v>#N/A</v>
      </c>
      <c r="X2971" s="17" t="n">
        <f aca="false">J2971</f>
        <v>0</v>
      </c>
      <c r="Y2971" s="17" t="e">
        <f aca="false">VLOOKUP(X2971,Sheet2!A:B,2,0)</f>
        <v>#N/A</v>
      </c>
      <c r="Z2971" s="17"/>
      <c r="AA2971" s="17"/>
      <c r="AB2971" s="17" t="s">
        <v>41</v>
      </c>
      <c r="AC2971" s="0" t="str">
        <f aca="false">LEFT(G2971,2)</f>
        <v/>
      </c>
    </row>
    <row r="2972" customFormat="false" ht="15" hidden="false" customHeight="false" outlineLevel="0" collapsed="false">
      <c r="A2972" s="13" t="n">
        <f aca="false">1+A2971</f>
        <v>2970</v>
      </c>
      <c r="B2972" s="14" t="n">
        <v>100</v>
      </c>
      <c r="C2972" s="15"/>
      <c r="D2972" s="16" t="s">
        <v>64</v>
      </c>
      <c r="E2972" s="17" t="s">
        <v>47</v>
      </c>
      <c r="F2972" s="18" t="s">
        <v>34</v>
      </c>
      <c r="G2972" s="19"/>
      <c r="H2972" s="17" t="s">
        <v>35</v>
      </c>
      <c r="I2972" s="17" t="s">
        <v>44</v>
      </c>
      <c r="J2972" s="17"/>
      <c r="K2972" s="17" t="e">
        <f aca="false">VLOOKUP(J2972,Sheet2!A:B,2,0)</f>
        <v>#N/A</v>
      </c>
      <c r="L2972" s="17" t="n">
        <v>5</v>
      </c>
      <c r="M2972" s="17" t="str">
        <f aca="false">VLOOKUP(L2972,Sheet2!D:E,2,0)</f>
        <v>Main Processor CPU BGA</v>
      </c>
      <c r="N2972" s="17" t="n">
        <v>1</v>
      </c>
      <c r="O2972" s="17" t="str">
        <f aca="false">VLOOKUP(N2972,Sheet2!G:H,2,0)</f>
        <v>Dead</v>
      </c>
      <c r="P2972" s="17" t="n">
        <v>11</v>
      </c>
      <c r="Q2972" s="17" t="str">
        <f aca="false">VLOOKUP(P2972,Sheet2!J:K,2,0)</f>
        <v>IR Declared due to CID -TA</v>
      </c>
      <c r="R2972" s="17" t="s">
        <v>35</v>
      </c>
      <c r="S2972" s="17" t="str">
        <f aca="false">VLOOKUP(R2972,Sheet2!N:O,2,0)</f>
        <v>IREPARABLE</v>
      </c>
      <c r="T2972" s="18" t="str">
        <f aca="false">VLOOKUP(P2972,Sheet2!Q:R,2,0)</f>
        <v>IR Normal - Track burn out</v>
      </c>
      <c r="U2972" s="20" t="s">
        <v>41</v>
      </c>
      <c r="V2972" s="17"/>
      <c r="W2972" s="20" t="e">
        <f aca="false">VLOOKUP(V2972,Sheet2!Q:R,2,0)</f>
        <v>#N/A</v>
      </c>
      <c r="X2972" s="17" t="n">
        <f aca="false">J2972</f>
        <v>0</v>
      </c>
      <c r="Y2972" s="17" t="e">
        <f aca="false">VLOOKUP(X2972,Sheet2!A:B,2,0)</f>
        <v>#N/A</v>
      </c>
      <c r="Z2972" s="17"/>
      <c r="AA2972" s="17"/>
      <c r="AB2972" s="17" t="s">
        <v>41</v>
      </c>
      <c r="AC2972" s="0" t="str">
        <f aca="false">LEFT(G2972,2)</f>
        <v/>
      </c>
    </row>
    <row r="2973" customFormat="false" ht="15" hidden="false" customHeight="false" outlineLevel="0" collapsed="false">
      <c r="A2973" s="13" t="n">
        <f aca="false">1+A2972</f>
        <v>2971</v>
      </c>
      <c r="B2973" s="14" t="n">
        <v>100</v>
      </c>
      <c r="C2973" s="15"/>
      <c r="D2973" s="16" t="s">
        <v>64</v>
      </c>
      <c r="E2973" s="17" t="s">
        <v>47</v>
      </c>
      <c r="F2973" s="18" t="s">
        <v>34</v>
      </c>
      <c r="G2973" s="19"/>
      <c r="H2973" s="17" t="s">
        <v>35</v>
      </c>
      <c r="I2973" s="17" t="s">
        <v>44</v>
      </c>
      <c r="J2973" s="17"/>
      <c r="K2973" s="17" t="e">
        <f aca="false">VLOOKUP(J2973,Sheet2!A:B,2,0)</f>
        <v>#N/A</v>
      </c>
      <c r="L2973" s="17" t="n">
        <v>5</v>
      </c>
      <c r="M2973" s="17" t="str">
        <f aca="false">VLOOKUP(L2973,Sheet2!D:E,2,0)</f>
        <v>Main Processor CPU BGA</v>
      </c>
      <c r="N2973" s="17" t="n">
        <v>1</v>
      </c>
      <c r="O2973" s="17" t="str">
        <f aca="false">VLOOKUP(N2973,Sheet2!G:H,2,0)</f>
        <v>Dead</v>
      </c>
      <c r="P2973" s="17" t="n">
        <v>11</v>
      </c>
      <c r="Q2973" s="17" t="str">
        <f aca="false">VLOOKUP(P2973,Sheet2!J:K,2,0)</f>
        <v>IR Declared due to CID -TA</v>
      </c>
      <c r="R2973" s="17" t="s">
        <v>35</v>
      </c>
      <c r="S2973" s="17" t="str">
        <f aca="false">VLOOKUP(R2973,Sheet2!N:O,2,0)</f>
        <v>IREPARABLE</v>
      </c>
      <c r="T2973" s="18" t="str">
        <f aca="false">VLOOKUP(P2973,Sheet2!Q:R,2,0)</f>
        <v>IR Normal - Track burn out</v>
      </c>
      <c r="U2973" s="20" t="s">
        <v>41</v>
      </c>
      <c r="V2973" s="17"/>
      <c r="W2973" s="20" t="e">
        <f aca="false">VLOOKUP(V2973,Sheet2!Q:R,2,0)</f>
        <v>#N/A</v>
      </c>
      <c r="X2973" s="17" t="n">
        <f aca="false">J2973</f>
        <v>0</v>
      </c>
      <c r="Y2973" s="17" t="e">
        <f aca="false">VLOOKUP(X2973,Sheet2!A:B,2,0)</f>
        <v>#N/A</v>
      </c>
      <c r="Z2973" s="17"/>
      <c r="AA2973" s="17"/>
      <c r="AB2973" s="17" t="s">
        <v>41</v>
      </c>
      <c r="AC2973" s="0" t="str">
        <f aca="false">LEFT(G2973,2)</f>
        <v/>
      </c>
    </row>
    <row r="2974" customFormat="false" ht="15" hidden="false" customHeight="false" outlineLevel="0" collapsed="false">
      <c r="A2974" s="13" t="n">
        <f aca="false">1+A2973</f>
        <v>2972</v>
      </c>
      <c r="B2974" s="14" t="n">
        <v>100</v>
      </c>
      <c r="C2974" s="15"/>
      <c r="D2974" s="16" t="s">
        <v>64</v>
      </c>
      <c r="E2974" s="17" t="s">
        <v>47</v>
      </c>
      <c r="F2974" s="18" t="s">
        <v>34</v>
      </c>
      <c r="G2974" s="19"/>
      <c r="H2974" s="17" t="s">
        <v>35</v>
      </c>
      <c r="I2974" s="17" t="s">
        <v>44</v>
      </c>
      <c r="J2974" s="17"/>
      <c r="K2974" s="17" t="e">
        <f aca="false">VLOOKUP(J2974,Sheet2!A:B,2,0)</f>
        <v>#N/A</v>
      </c>
      <c r="L2974" s="17" t="n">
        <v>5</v>
      </c>
      <c r="M2974" s="17" t="str">
        <f aca="false">VLOOKUP(L2974,Sheet2!D:E,2,0)</f>
        <v>Main Processor CPU BGA</v>
      </c>
      <c r="N2974" s="17" t="n">
        <v>1</v>
      </c>
      <c r="O2974" s="17" t="str">
        <f aca="false">VLOOKUP(N2974,Sheet2!G:H,2,0)</f>
        <v>Dead</v>
      </c>
      <c r="P2974" s="17" t="n">
        <v>11</v>
      </c>
      <c r="Q2974" s="17" t="str">
        <f aca="false">VLOOKUP(P2974,Sheet2!J:K,2,0)</f>
        <v>IR Declared due to CID -TA</v>
      </c>
      <c r="R2974" s="17" t="s">
        <v>35</v>
      </c>
      <c r="S2974" s="17" t="str">
        <f aca="false">VLOOKUP(R2974,Sheet2!N:O,2,0)</f>
        <v>IREPARABLE</v>
      </c>
      <c r="T2974" s="18" t="str">
        <f aca="false">VLOOKUP(P2974,Sheet2!Q:R,2,0)</f>
        <v>IR Normal - Track burn out</v>
      </c>
      <c r="U2974" s="20" t="s">
        <v>41</v>
      </c>
      <c r="V2974" s="17"/>
      <c r="W2974" s="20" t="e">
        <f aca="false">VLOOKUP(V2974,Sheet2!Q:R,2,0)</f>
        <v>#N/A</v>
      </c>
      <c r="X2974" s="17" t="n">
        <f aca="false">J2974</f>
        <v>0</v>
      </c>
      <c r="Y2974" s="17" t="e">
        <f aca="false">VLOOKUP(X2974,Sheet2!A:B,2,0)</f>
        <v>#N/A</v>
      </c>
      <c r="Z2974" s="17"/>
      <c r="AA2974" s="17"/>
      <c r="AB2974" s="17" t="s">
        <v>41</v>
      </c>
      <c r="AC2974" s="0" t="str">
        <f aca="false">LEFT(G2974,2)</f>
        <v/>
      </c>
    </row>
    <row r="2975" customFormat="false" ht="15" hidden="false" customHeight="false" outlineLevel="0" collapsed="false">
      <c r="A2975" s="13" t="n">
        <f aca="false">1+A2974</f>
        <v>2973</v>
      </c>
      <c r="B2975" s="14" t="n">
        <v>100</v>
      </c>
      <c r="C2975" s="15"/>
      <c r="D2975" s="16" t="s">
        <v>64</v>
      </c>
      <c r="E2975" s="17" t="s">
        <v>47</v>
      </c>
      <c r="F2975" s="18" t="s">
        <v>34</v>
      </c>
      <c r="G2975" s="19"/>
      <c r="H2975" s="17" t="s">
        <v>35</v>
      </c>
      <c r="I2975" s="17" t="s">
        <v>44</v>
      </c>
      <c r="J2975" s="17"/>
      <c r="K2975" s="17" t="e">
        <f aca="false">VLOOKUP(J2975,Sheet2!A:B,2,0)</f>
        <v>#N/A</v>
      </c>
      <c r="L2975" s="17" t="n">
        <v>5</v>
      </c>
      <c r="M2975" s="17" t="str">
        <f aca="false">VLOOKUP(L2975,Sheet2!D:E,2,0)</f>
        <v>Main Processor CPU BGA</v>
      </c>
      <c r="N2975" s="17" t="n">
        <v>1</v>
      </c>
      <c r="O2975" s="17" t="str">
        <f aca="false">VLOOKUP(N2975,Sheet2!G:H,2,0)</f>
        <v>Dead</v>
      </c>
      <c r="P2975" s="17" t="n">
        <v>11</v>
      </c>
      <c r="Q2975" s="17" t="str">
        <f aca="false">VLOOKUP(P2975,Sheet2!J:K,2,0)</f>
        <v>IR Declared due to CID -TA</v>
      </c>
      <c r="R2975" s="17" t="s">
        <v>35</v>
      </c>
      <c r="S2975" s="17" t="str">
        <f aca="false">VLOOKUP(R2975,Sheet2!N:O,2,0)</f>
        <v>IREPARABLE</v>
      </c>
      <c r="T2975" s="18" t="str">
        <f aca="false">VLOOKUP(P2975,Sheet2!Q:R,2,0)</f>
        <v>IR Normal - Track burn out</v>
      </c>
      <c r="U2975" s="20" t="s">
        <v>41</v>
      </c>
      <c r="V2975" s="17"/>
      <c r="W2975" s="20" t="e">
        <f aca="false">VLOOKUP(V2975,Sheet2!Q:R,2,0)</f>
        <v>#N/A</v>
      </c>
      <c r="X2975" s="17" t="n">
        <f aca="false">J2975</f>
        <v>0</v>
      </c>
      <c r="Y2975" s="17" t="e">
        <f aca="false">VLOOKUP(X2975,Sheet2!A:B,2,0)</f>
        <v>#N/A</v>
      </c>
      <c r="Z2975" s="17"/>
      <c r="AA2975" s="17"/>
      <c r="AB2975" s="17" t="s">
        <v>41</v>
      </c>
      <c r="AC2975" s="0" t="str">
        <f aca="false">LEFT(G2975,2)</f>
        <v/>
      </c>
    </row>
    <row r="2976" customFormat="false" ht="15" hidden="false" customHeight="false" outlineLevel="0" collapsed="false">
      <c r="A2976" s="13" t="n">
        <f aca="false">1+A2975</f>
        <v>2974</v>
      </c>
      <c r="B2976" s="14" t="n">
        <v>100</v>
      </c>
      <c r="C2976" s="15"/>
      <c r="D2976" s="16" t="s">
        <v>64</v>
      </c>
      <c r="E2976" s="17" t="s">
        <v>47</v>
      </c>
      <c r="F2976" s="18" t="s">
        <v>34</v>
      </c>
      <c r="G2976" s="19"/>
      <c r="H2976" s="17" t="s">
        <v>35</v>
      </c>
      <c r="I2976" s="17" t="s">
        <v>44</v>
      </c>
      <c r="J2976" s="17"/>
      <c r="K2976" s="17" t="e">
        <f aca="false">VLOOKUP(J2976,Sheet2!A:B,2,0)</f>
        <v>#N/A</v>
      </c>
      <c r="L2976" s="17" t="n">
        <v>5</v>
      </c>
      <c r="M2976" s="17" t="str">
        <f aca="false">VLOOKUP(L2976,Sheet2!D:E,2,0)</f>
        <v>Main Processor CPU BGA</v>
      </c>
      <c r="N2976" s="17" t="n">
        <v>1</v>
      </c>
      <c r="O2976" s="17" t="str">
        <f aca="false">VLOOKUP(N2976,Sheet2!G:H,2,0)</f>
        <v>Dead</v>
      </c>
      <c r="P2976" s="17" t="n">
        <v>11</v>
      </c>
      <c r="Q2976" s="17" t="str">
        <f aca="false">VLOOKUP(P2976,Sheet2!J:K,2,0)</f>
        <v>IR Declared due to CID -TA</v>
      </c>
      <c r="R2976" s="17" t="s">
        <v>35</v>
      </c>
      <c r="S2976" s="17" t="str">
        <f aca="false">VLOOKUP(R2976,Sheet2!N:O,2,0)</f>
        <v>IREPARABLE</v>
      </c>
      <c r="T2976" s="18" t="str">
        <f aca="false">VLOOKUP(P2976,Sheet2!Q:R,2,0)</f>
        <v>IR Normal - Track burn out</v>
      </c>
      <c r="U2976" s="20" t="s">
        <v>41</v>
      </c>
      <c r="V2976" s="17"/>
      <c r="W2976" s="20" t="e">
        <f aca="false">VLOOKUP(V2976,Sheet2!Q:R,2,0)</f>
        <v>#N/A</v>
      </c>
      <c r="X2976" s="17" t="n">
        <f aca="false">J2976</f>
        <v>0</v>
      </c>
      <c r="Y2976" s="17" t="e">
        <f aca="false">VLOOKUP(X2976,Sheet2!A:B,2,0)</f>
        <v>#N/A</v>
      </c>
      <c r="Z2976" s="17"/>
      <c r="AA2976" s="17"/>
      <c r="AB2976" s="17" t="s">
        <v>41</v>
      </c>
      <c r="AC2976" s="0" t="str">
        <f aca="false">LEFT(G2976,2)</f>
        <v/>
      </c>
    </row>
    <row r="2977" customFormat="false" ht="15" hidden="false" customHeight="false" outlineLevel="0" collapsed="false">
      <c r="A2977" s="13" t="n">
        <f aca="false">1+A2976</f>
        <v>2975</v>
      </c>
      <c r="B2977" s="14" t="n">
        <v>100</v>
      </c>
      <c r="C2977" s="15"/>
      <c r="D2977" s="16" t="s">
        <v>64</v>
      </c>
      <c r="E2977" s="17" t="s">
        <v>47</v>
      </c>
      <c r="F2977" s="18" t="s">
        <v>34</v>
      </c>
      <c r="G2977" s="19"/>
      <c r="H2977" s="17" t="s">
        <v>35</v>
      </c>
      <c r="I2977" s="17" t="s">
        <v>44</v>
      </c>
      <c r="J2977" s="17"/>
      <c r="K2977" s="17" t="e">
        <f aca="false">VLOOKUP(J2977,Sheet2!A:B,2,0)</f>
        <v>#N/A</v>
      </c>
      <c r="L2977" s="17" t="n">
        <v>5</v>
      </c>
      <c r="M2977" s="17" t="str">
        <f aca="false">VLOOKUP(L2977,Sheet2!D:E,2,0)</f>
        <v>Main Processor CPU BGA</v>
      </c>
      <c r="N2977" s="17" t="n">
        <v>1</v>
      </c>
      <c r="O2977" s="17" t="str">
        <f aca="false">VLOOKUP(N2977,Sheet2!G:H,2,0)</f>
        <v>Dead</v>
      </c>
      <c r="P2977" s="17" t="n">
        <v>11</v>
      </c>
      <c r="Q2977" s="17" t="str">
        <f aca="false">VLOOKUP(P2977,Sheet2!J:K,2,0)</f>
        <v>IR Declared due to CID -TA</v>
      </c>
      <c r="R2977" s="17" t="s">
        <v>35</v>
      </c>
      <c r="S2977" s="17" t="str">
        <f aca="false">VLOOKUP(R2977,Sheet2!N:O,2,0)</f>
        <v>IREPARABLE</v>
      </c>
      <c r="T2977" s="18" t="str">
        <f aca="false">VLOOKUP(P2977,Sheet2!Q:R,2,0)</f>
        <v>IR Normal - Track burn out</v>
      </c>
      <c r="U2977" s="20" t="s">
        <v>41</v>
      </c>
      <c r="V2977" s="17"/>
      <c r="W2977" s="20" t="e">
        <f aca="false">VLOOKUP(V2977,Sheet2!Q:R,2,0)</f>
        <v>#N/A</v>
      </c>
      <c r="X2977" s="17" t="n">
        <f aca="false">J2977</f>
        <v>0</v>
      </c>
      <c r="Y2977" s="17" t="e">
        <f aca="false">VLOOKUP(X2977,Sheet2!A:B,2,0)</f>
        <v>#N/A</v>
      </c>
      <c r="Z2977" s="17"/>
      <c r="AA2977" s="17"/>
      <c r="AB2977" s="17" t="s">
        <v>41</v>
      </c>
      <c r="AC2977" s="0" t="str">
        <f aca="false">LEFT(G2977,2)</f>
        <v/>
      </c>
    </row>
    <row r="2978" customFormat="false" ht="15" hidden="false" customHeight="false" outlineLevel="0" collapsed="false">
      <c r="A2978" s="13" t="n">
        <f aca="false">1+A2977</f>
        <v>2976</v>
      </c>
      <c r="B2978" s="14" t="n">
        <v>100</v>
      </c>
      <c r="C2978" s="15"/>
      <c r="D2978" s="16" t="s">
        <v>64</v>
      </c>
      <c r="E2978" s="17" t="s">
        <v>47</v>
      </c>
      <c r="F2978" s="18" t="s">
        <v>34</v>
      </c>
      <c r="G2978" s="19"/>
      <c r="H2978" s="17" t="s">
        <v>35</v>
      </c>
      <c r="I2978" s="17" t="s">
        <v>44</v>
      </c>
      <c r="J2978" s="17"/>
      <c r="K2978" s="17" t="e">
        <f aca="false">VLOOKUP(J2978,Sheet2!A:B,2,0)</f>
        <v>#N/A</v>
      </c>
      <c r="L2978" s="17" t="n">
        <v>5</v>
      </c>
      <c r="M2978" s="17" t="str">
        <f aca="false">VLOOKUP(L2978,Sheet2!D:E,2,0)</f>
        <v>Main Processor CPU BGA</v>
      </c>
      <c r="N2978" s="17" t="n">
        <v>1</v>
      </c>
      <c r="O2978" s="17" t="str">
        <f aca="false">VLOOKUP(N2978,Sheet2!G:H,2,0)</f>
        <v>Dead</v>
      </c>
      <c r="P2978" s="17" t="n">
        <v>11</v>
      </c>
      <c r="Q2978" s="17" t="str">
        <f aca="false">VLOOKUP(P2978,Sheet2!J:K,2,0)</f>
        <v>IR Declared due to CID -TA</v>
      </c>
      <c r="R2978" s="17" t="s">
        <v>35</v>
      </c>
      <c r="S2978" s="17" t="str">
        <f aca="false">VLOOKUP(R2978,Sheet2!N:O,2,0)</f>
        <v>IREPARABLE</v>
      </c>
      <c r="T2978" s="18" t="str">
        <f aca="false">VLOOKUP(P2978,Sheet2!Q:R,2,0)</f>
        <v>IR Normal - Track burn out</v>
      </c>
      <c r="U2978" s="20" t="s">
        <v>41</v>
      </c>
      <c r="V2978" s="17"/>
      <c r="W2978" s="20" t="e">
        <f aca="false">VLOOKUP(V2978,Sheet2!Q:R,2,0)</f>
        <v>#N/A</v>
      </c>
      <c r="X2978" s="17" t="n">
        <f aca="false">J2978</f>
        <v>0</v>
      </c>
      <c r="Y2978" s="17" t="e">
        <f aca="false">VLOOKUP(X2978,Sheet2!A:B,2,0)</f>
        <v>#N/A</v>
      </c>
      <c r="Z2978" s="17"/>
      <c r="AA2978" s="17"/>
      <c r="AB2978" s="17" t="s">
        <v>41</v>
      </c>
      <c r="AC2978" s="0" t="str">
        <f aca="false">LEFT(G2978,2)</f>
        <v/>
      </c>
    </row>
    <row r="2979" customFormat="false" ht="15" hidden="false" customHeight="false" outlineLevel="0" collapsed="false">
      <c r="A2979" s="13" t="n">
        <f aca="false">1+A2978</f>
        <v>2977</v>
      </c>
      <c r="B2979" s="14" t="n">
        <v>100</v>
      </c>
      <c r="C2979" s="15"/>
      <c r="D2979" s="16" t="s">
        <v>64</v>
      </c>
      <c r="E2979" s="17" t="s">
        <v>47</v>
      </c>
      <c r="F2979" s="18" t="s">
        <v>34</v>
      </c>
      <c r="G2979" s="19"/>
      <c r="H2979" s="17" t="s">
        <v>35</v>
      </c>
      <c r="I2979" s="17" t="s">
        <v>44</v>
      </c>
      <c r="J2979" s="17"/>
      <c r="K2979" s="17" t="e">
        <f aca="false">VLOOKUP(J2979,Sheet2!A:B,2,0)</f>
        <v>#N/A</v>
      </c>
      <c r="L2979" s="17" t="n">
        <v>5</v>
      </c>
      <c r="M2979" s="17" t="str">
        <f aca="false">VLOOKUP(L2979,Sheet2!D:E,2,0)</f>
        <v>Main Processor CPU BGA</v>
      </c>
      <c r="N2979" s="17" t="n">
        <v>1</v>
      </c>
      <c r="O2979" s="17" t="str">
        <f aca="false">VLOOKUP(N2979,Sheet2!G:H,2,0)</f>
        <v>Dead</v>
      </c>
      <c r="P2979" s="17" t="n">
        <v>11</v>
      </c>
      <c r="Q2979" s="17" t="str">
        <f aca="false">VLOOKUP(P2979,Sheet2!J:K,2,0)</f>
        <v>IR Declared due to CID -TA</v>
      </c>
      <c r="R2979" s="17" t="s">
        <v>35</v>
      </c>
      <c r="S2979" s="17" t="str">
        <f aca="false">VLOOKUP(R2979,Sheet2!N:O,2,0)</f>
        <v>IREPARABLE</v>
      </c>
      <c r="T2979" s="18" t="str">
        <f aca="false">VLOOKUP(P2979,Sheet2!Q:R,2,0)</f>
        <v>IR Normal - Track burn out</v>
      </c>
      <c r="U2979" s="20" t="s">
        <v>41</v>
      </c>
      <c r="V2979" s="17"/>
      <c r="W2979" s="20" t="e">
        <f aca="false">VLOOKUP(V2979,Sheet2!Q:R,2,0)</f>
        <v>#N/A</v>
      </c>
      <c r="X2979" s="17" t="n">
        <f aca="false">J2979</f>
        <v>0</v>
      </c>
      <c r="Y2979" s="17" t="e">
        <f aca="false">VLOOKUP(X2979,Sheet2!A:B,2,0)</f>
        <v>#N/A</v>
      </c>
      <c r="Z2979" s="17"/>
      <c r="AA2979" s="17"/>
      <c r="AB2979" s="17" t="s">
        <v>41</v>
      </c>
      <c r="AC2979" s="0" t="str">
        <f aca="false">LEFT(G2979,2)</f>
        <v/>
      </c>
    </row>
    <row r="2980" customFormat="false" ht="15" hidden="false" customHeight="false" outlineLevel="0" collapsed="false">
      <c r="A2980" s="13" t="n">
        <f aca="false">1+A2979</f>
        <v>2978</v>
      </c>
      <c r="B2980" s="14" t="n">
        <v>100</v>
      </c>
      <c r="C2980" s="15"/>
      <c r="D2980" s="16" t="s">
        <v>64</v>
      </c>
      <c r="E2980" s="17" t="s">
        <v>47</v>
      </c>
      <c r="F2980" s="18" t="s">
        <v>34</v>
      </c>
      <c r="G2980" s="19"/>
      <c r="H2980" s="17" t="s">
        <v>35</v>
      </c>
      <c r="I2980" s="17" t="s">
        <v>44</v>
      </c>
      <c r="J2980" s="17"/>
      <c r="K2980" s="17" t="e">
        <f aca="false">VLOOKUP(J2980,Sheet2!A:B,2,0)</f>
        <v>#N/A</v>
      </c>
      <c r="L2980" s="17" t="n">
        <v>5</v>
      </c>
      <c r="M2980" s="17" t="str">
        <f aca="false">VLOOKUP(L2980,Sheet2!D:E,2,0)</f>
        <v>Main Processor CPU BGA</v>
      </c>
      <c r="N2980" s="17" t="n">
        <v>1</v>
      </c>
      <c r="O2980" s="17" t="str">
        <f aca="false">VLOOKUP(N2980,Sheet2!G:H,2,0)</f>
        <v>Dead</v>
      </c>
      <c r="P2980" s="17" t="n">
        <v>11</v>
      </c>
      <c r="Q2980" s="17" t="str">
        <f aca="false">VLOOKUP(P2980,Sheet2!J:K,2,0)</f>
        <v>IR Declared due to CID -TA</v>
      </c>
      <c r="R2980" s="17" t="s">
        <v>35</v>
      </c>
      <c r="S2980" s="17" t="str">
        <f aca="false">VLOOKUP(R2980,Sheet2!N:O,2,0)</f>
        <v>IREPARABLE</v>
      </c>
      <c r="T2980" s="18" t="str">
        <f aca="false">VLOOKUP(P2980,Sheet2!Q:R,2,0)</f>
        <v>IR Normal - Track burn out</v>
      </c>
      <c r="U2980" s="20" t="s">
        <v>41</v>
      </c>
      <c r="V2980" s="17"/>
      <c r="W2980" s="20" t="e">
        <f aca="false">VLOOKUP(V2980,Sheet2!Q:R,2,0)</f>
        <v>#N/A</v>
      </c>
      <c r="X2980" s="17" t="n">
        <f aca="false">J2980</f>
        <v>0</v>
      </c>
      <c r="Y2980" s="17" t="e">
        <f aca="false">VLOOKUP(X2980,Sheet2!A:B,2,0)</f>
        <v>#N/A</v>
      </c>
      <c r="Z2980" s="17"/>
      <c r="AA2980" s="17"/>
      <c r="AB2980" s="17" t="s">
        <v>41</v>
      </c>
      <c r="AC2980" s="0" t="str">
        <f aca="false">LEFT(G2980,2)</f>
        <v/>
      </c>
    </row>
    <row r="2981" customFormat="false" ht="15" hidden="false" customHeight="false" outlineLevel="0" collapsed="false">
      <c r="A2981" s="13" t="n">
        <f aca="false">1+A2980</f>
        <v>2979</v>
      </c>
      <c r="B2981" s="14" t="n">
        <v>100</v>
      </c>
      <c r="C2981" s="15"/>
      <c r="D2981" s="16" t="s">
        <v>64</v>
      </c>
      <c r="E2981" s="17" t="s">
        <v>47</v>
      </c>
      <c r="F2981" s="18" t="s">
        <v>34</v>
      </c>
      <c r="G2981" s="19"/>
      <c r="H2981" s="17" t="s">
        <v>35</v>
      </c>
      <c r="I2981" s="17" t="s">
        <v>44</v>
      </c>
      <c r="J2981" s="17"/>
      <c r="K2981" s="17" t="e">
        <f aca="false">VLOOKUP(J2981,Sheet2!A:B,2,0)</f>
        <v>#N/A</v>
      </c>
      <c r="L2981" s="17" t="n">
        <v>5</v>
      </c>
      <c r="M2981" s="17" t="str">
        <f aca="false">VLOOKUP(L2981,Sheet2!D:E,2,0)</f>
        <v>Main Processor CPU BGA</v>
      </c>
      <c r="N2981" s="17" t="n">
        <v>1</v>
      </c>
      <c r="O2981" s="17" t="str">
        <f aca="false">VLOOKUP(N2981,Sheet2!G:H,2,0)</f>
        <v>Dead</v>
      </c>
      <c r="P2981" s="17" t="n">
        <v>11</v>
      </c>
      <c r="Q2981" s="17" t="str">
        <f aca="false">VLOOKUP(P2981,Sheet2!J:K,2,0)</f>
        <v>IR Declared due to CID -TA</v>
      </c>
      <c r="R2981" s="17" t="s">
        <v>35</v>
      </c>
      <c r="S2981" s="17" t="str">
        <f aca="false">VLOOKUP(R2981,Sheet2!N:O,2,0)</f>
        <v>IREPARABLE</v>
      </c>
      <c r="T2981" s="18" t="str">
        <f aca="false">VLOOKUP(P2981,Sheet2!Q:R,2,0)</f>
        <v>IR Normal - Track burn out</v>
      </c>
      <c r="U2981" s="20" t="s">
        <v>41</v>
      </c>
      <c r="V2981" s="17"/>
      <c r="W2981" s="20" t="e">
        <f aca="false">VLOOKUP(V2981,Sheet2!Q:R,2,0)</f>
        <v>#N/A</v>
      </c>
      <c r="X2981" s="17" t="n">
        <f aca="false">J2981</f>
        <v>0</v>
      </c>
      <c r="Y2981" s="17" t="e">
        <f aca="false">VLOOKUP(X2981,Sheet2!A:B,2,0)</f>
        <v>#N/A</v>
      </c>
      <c r="Z2981" s="17"/>
      <c r="AA2981" s="17"/>
      <c r="AB2981" s="17" t="s">
        <v>41</v>
      </c>
      <c r="AC2981" s="0" t="str">
        <f aca="false">LEFT(G2981,2)</f>
        <v/>
      </c>
    </row>
    <row r="2982" customFormat="false" ht="15" hidden="false" customHeight="false" outlineLevel="0" collapsed="false">
      <c r="A2982" s="13" t="n">
        <f aca="false">1+A2981</f>
        <v>2980</v>
      </c>
      <c r="B2982" s="14" t="n">
        <v>100</v>
      </c>
      <c r="C2982" s="15"/>
      <c r="D2982" s="16" t="s">
        <v>64</v>
      </c>
      <c r="E2982" s="17" t="s">
        <v>47</v>
      </c>
      <c r="F2982" s="18" t="s">
        <v>34</v>
      </c>
      <c r="G2982" s="19"/>
      <c r="H2982" s="17" t="s">
        <v>35</v>
      </c>
      <c r="I2982" s="17" t="s">
        <v>44</v>
      </c>
      <c r="J2982" s="17"/>
      <c r="K2982" s="17" t="e">
        <f aca="false">VLOOKUP(J2982,Sheet2!A:B,2,0)</f>
        <v>#N/A</v>
      </c>
      <c r="L2982" s="17" t="n">
        <v>5</v>
      </c>
      <c r="M2982" s="17" t="str">
        <f aca="false">VLOOKUP(L2982,Sheet2!D:E,2,0)</f>
        <v>Main Processor CPU BGA</v>
      </c>
      <c r="N2982" s="17" t="n">
        <v>1</v>
      </c>
      <c r="O2982" s="17" t="str">
        <f aca="false">VLOOKUP(N2982,Sheet2!G:H,2,0)</f>
        <v>Dead</v>
      </c>
      <c r="P2982" s="17" t="n">
        <v>11</v>
      </c>
      <c r="Q2982" s="17" t="str">
        <f aca="false">VLOOKUP(P2982,Sheet2!J:K,2,0)</f>
        <v>IR Declared due to CID -TA</v>
      </c>
      <c r="R2982" s="17" t="s">
        <v>35</v>
      </c>
      <c r="S2982" s="17" t="str">
        <f aca="false">VLOOKUP(R2982,Sheet2!N:O,2,0)</f>
        <v>IREPARABLE</v>
      </c>
      <c r="T2982" s="18" t="str">
        <f aca="false">VLOOKUP(P2982,Sheet2!Q:R,2,0)</f>
        <v>IR Normal - Track burn out</v>
      </c>
      <c r="U2982" s="20" t="s">
        <v>41</v>
      </c>
      <c r="V2982" s="17"/>
      <c r="W2982" s="20" t="e">
        <f aca="false">VLOOKUP(V2982,Sheet2!Q:R,2,0)</f>
        <v>#N/A</v>
      </c>
      <c r="X2982" s="17" t="n">
        <f aca="false">J2982</f>
        <v>0</v>
      </c>
      <c r="Y2982" s="17" t="e">
        <f aca="false">VLOOKUP(X2982,Sheet2!A:B,2,0)</f>
        <v>#N/A</v>
      </c>
      <c r="Z2982" s="17"/>
      <c r="AA2982" s="17"/>
      <c r="AB2982" s="17" t="s">
        <v>41</v>
      </c>
      <c r="AC2982" s="0" t="str">
        <f aca="false">LEFT(G2982,2)</f>
        <v/>
      </c>
    </row>
    <row r="2983" customFormat="false" ht="15" hidden="false" customHeight="false" outlineLevel="0" collapsed="false">
      <c r="A2983" s="13" t="n">
        <f aca="false">1+A2982</f>
        <v>2981</v>
      </c>
      <c r="B2983" s="14" t="n">
        <v>100</v>
      </c>
      <c r="C2983" s="15"/>
      <c r="D2983" s="16" t="s">
        <v>64</v>
      </c>
      <c r="E2983" s="17" t="s">
        <v>47</v>
      </c>
      <c r="F2983" s="18" t="s">
        <v>34</v>
      </c>
      <c r="G2983" s="19"/>
      <c r="H2983" s="17" t="s">
        <v>35</v>
      </c>
      <c r="I2983" s="17" t="s">
        <v>44</v>
      </c>
      <c r="J2983" s="17"/>
      <c r="K2983" s="17" t="e">
        <f aca="false">VLOOKUP(J2983,Sheet2!A:B,2,0)</f>
        <v>#N/A</v>
      </c>
      <c r="L2983" s="17" t="n">
        <v>5</v>
      </c>
      <c r="M2983" s="17" t="str">
        <f aca="false">VLOOKUP(L2983,Sheet2!D:E,2,0)</f>
        <v>Main Processor CPU BGA</v>
      </c>
      <c r="N2983" s="17" t="n">
        <v>1</v>
      </c>
      <c r="O2983" s="17" t="str">
        <f aca="false">VLOOKUP(N2983,Sheet2!G:H,2,0)</f>
        <v>Dead</v>
      </c>
      <c r="P2983" s="17" t="n">
        <v>11</v>
      </c>
      <c r="Q2983" s="17" t="str">
        <f aca="false">VLOOKUP(P2983,Sheet2!J:K,2,0)</f>
        <v>IR Declared due to CID -TA</v>
      </c>
      <c r="R2983" s="17" t="s">
        <v>35</v>
      </c>
      <c r="S2983" s="17" t="str">
        <f aca="false">VLOOKUP(R2983,Sheet2!N:O,2,0)</f>
        <v>IREPARABLE</v>
      </c>
      <c r="T2983" s="18" t="str">
        <f aca="false">VLOOKUP(P2983,Sheet2!Q:R,2,0)</f>
        <v>IR Normal - Track burn out</v>
      </c>
      <c r="U2983" s="20" t="s">
        <v>41</v>
      </c>
      <c r="V2983" s="17"/>
      <c r="W2983" s="20" t="e">
        <f aca="false">VLOOKUP(V2983,Sheet2!Q:R,2,0)</f>
        <v>#N/A</v>
      </c>
      <c r="X2983" s="17" t="n">
        <f aca="false">J2983</f>
        <v>0</v>
      </c>
      <c r="Y2983" s="17" t="e">
        <f aca="false">VLOOKUP(X2983,Sheet2!A:B,2,0)</f>
        <v>#N/A</v>
      </c>
      <c r="Z2983" s="17"/>
      <c r="AA2983" s="17"/>
      <c r="AB2983" s="17" t="s">
        <v>41</v>
      </c>
      <c r="AC2983" s="0" t="str">
        <f aca="false">LEFT(G2983,2)</f>
        <v/>
      </c>
    </row>
    <row r="2984" customFormat="false" ht="15" hidden="false" customHeight="false" outlineLevel="0" collapsed="false">
      <c r="A2984" s="13" t="n">
        <f aca="false">1+A2983</f>
        <v>2982</v>
      </c>
      <c r="B2984" s="14" t="n">
        <v>100</v>
      </c>
      <c r="C2984" s="15"/>
      <c r="D2984" s="16" t="s">
        <v>64</v>
      </c>
      <c r="E2984" s="17" t="s">
        <v>47</v>
      </c>
      <c r="F2984" s="18" t="s">
        <v>34</v>
      </c>
      <c r="G2984" s="19"/>
      <c r="H2984" s="17" t="s">
        <v>35</v>
      </c>
      <c r="I2984" s="17" t="s">
        <v>44</v>
      </c>
      <c r="J2984" s="17"/>
      <c r="K2984" s="17" t="e">
        <f aca="false">VLOOKUP(J2984,Sheet2!A:B,2,0)</f>
        <v>#N/A</v>
      </c>
      <c r="L2984" s="17" t="n">
        <v>5</v>
      </c>
      <c r="M2984" s="17" t="str">
        <f aca="false">VLOOKUP(L2984,Sheet2!D:E,2,0)</f>
        <v>Main Processor CPU BGA</v>
      </c>
      <c r="N2984" s="17" t="n">
        <v>1</v>
      </c>
      <c r="O2984" s="17" t="str">
        <f aca="false">VLOOKUP(N2984,Sheet2!G:H,2,0)</f>
        <v>Dead</v>
      </c>
      <c r="P2984" s="17" t="n">
        <v>11</v>
      </c>
      <c r="Q2984" s="17" t="str">
        <f aca="false">VLOOKUP(P2984,Sheet2!J:K,2,0)</f>
        <v>IR Declared due to CID -TA</v>
      </c>
      <c r="R2984" s="17" t="s">
        <v>35</v>
      </c>
      <c r="S2984" s="17" t="str">
        <f aca="false">VLOOKUP(R2984,Sheet2!N:O,2,0)</f>
        <v>IREPARABLE</v>
      </c>
      <c r="T2984" s="18" t="str">
        <f aca="false">VLOOKUP(P2984,Sheet2!Q:R,2,0)</f>
        <v>IR Normal - Track burn out</v>
      </c>
      <c r="U2984" s="20" t="s">
        <v>41</v>
      </c>
      <c r="V2984" s="17"/>
      <c r="W2984" s="20" t="e">
        <f aca="false">VLOOKUP(V2984,Sheet2!Q:R,2,0)</f>
        <v>#N/A</v>
      </c>
      <c r="X2984" s="17" t="n">
        <f aca="false">J2984</f>
        <v>0</v>
      </c>
      <c r="Y2984" s="17" t="e">
        <f aca="false">VLOOKUP(X2984,Sheet2!A:B,2,0)</f>
        <v>#N/A</v>
      </c>
      <c r="Z2984" s="17"/>
      <c r="AA2984" s="17"/>
      <c r="AB2984" s="17" t="s">
        <v>41</v>
      </c>
      <c r="AC2984" s="0" t="str">
        <f aca="false">LEFT(G2984,2)</f>
        <v/>
      </c>
    </row>
    <row r="2985" customFormat="false" ht="15" hidden="false" customHeight="false" outlineLevel="0" collapsed="false">
      <c r="A2985" s="13" t="n">
        <f aca="false">1+A2984</f>
        <v>2983</v>
      </c>
      <c r="B2985" s="14" t="n">
        <v>100</v>
      </c>
      <c r="C2985" s="15"/>
      <c r="D2985" s="16" t="s">
        <v>64</v>
      </c>
      <c r="E2985" s="17" t="s">
        <v>47</v>
      </c>
      <c r="F2985" s="18" t="s">
        <v>34</v>
      </c>
      <c r="G2985" s="19"/>
      <c r="H2985" s="17" t="s">
        <v>35</v>
      </c>
      <c r="I2985" s="17" t="s">
        <v>44</v>
      </c>
      <c r="J2985" s="17"/>
      <c r="K2985" s="17" t="e">
        <f aca="false">VLOOKUP(J2985,Sheet2!A:B,2,0)</f>
        <v>#N/A</v>
      </c>
      <c r="L2985" s="17" t="n">
        <v>5</v>
      </c>
      <c r="M2985" s="17" t="str">
        <f aca="false">VLOOKUP(L2985,Sheet2!D:E,2,0)</f>
        <v>Main Processor CPU BGA</v>
      </c>
      <c r="N2985" s="17" t="n">
        <v>1</v>
      </c>
      <c r="O2985" s="17" t="str">
        <f aca="false">VLOOKUP(N2985,Sheet2!G:H,2,0)</f>
        <v>Dead</v>
      </c>
      <c r="P2985" s="17" t="n">
        <v>11</v>
      </c>
      <c r="Q2985" s="17" t="str">
        <f aca="false">VLOOKUP(P2985,Sheet2!J:K,2,0)</f>
        <v>IR Declared due to CID -TA</v>
      </c>
      <c r="R2985" s="17" t="s">
        <v>35</v>
      </c>
      <c r="S2985" s="17" t="str">
        <f aca="false">VLOOKUP(R2985,Sheet2!N:O,2,0)</f>
        <v>IREPARABLE</v>
      </c>
      <c r="T2985" s="18" t="str">
        <f aca="false">VLOOKUP(P2985,Sheet2!Q:R,2,0)</f>
        <v>IR Normal - Track burn out</v>
      </c>
      <c r="U2985" s="20" t="s">
        <v>41</v>
      </c>
      <c r="V2985" s="17"/>
      <c r="W2985" s="20" t="e">
        <f aca="false">VLOOKUP(V2985,Sheet2!Q:R,2,0)</f>
        <v>#N/A</v>
      </c>
      <c r="X2985" s="17" t="n">
        <f aca="false">J2985</f>
        <v>0</v>
      </c>
      <c r="Y2985" s="17" t="e">
        <f aca="false">VLOOKUP(X2985,Sheet2!A:B,2,0)</f>
        <v>#N/A</v>
      </c>
      <c r="Z2985" s="17"/>
      <c r="AA2985" s="17"/>
      <c r="AB2985" s="17" t="s">
        <v>41</v>
      </c>
      <c r="AC2985" s="0" t="str">
        <f aca="false">LEFT(G2985,2)</f>
        <v/>
      </c>
    </row>
    <row r="2986" customFormat="false" ht="15" hidden="false" customHeight="false" outlineLevel="0" collapsed="false">
      <c r="A2986" s="13" t="n">
        <f aca="false">1+A2985</f>
        <v>2984</v>
      </c>
      <c r="B2986" s="14" t="n">
        <v>100</v>
      </c>
      <c r="C2986" s="15"/>
      <c r="D2986" s="16" t="s">
        <v>64</v>
      </c>
      <c r="E2986" s="17" t="s">
        <v>47</v>
      </c>
      <c r="F2986" s="18" t="s">
        <v>34</v>
      </c>
      <c r="G2986" s="19"/>
      <c r="H2986" s="17" t="s">
        <v>35</v>
      </c>
      <c r="I2986" s="17" t="s">
        <v>44</v>
      </c>
      <c r="J2986" s="17"/>
      <c r="K2986" s="17" t="e">
        <f aca="false">VLOOKUP(J2986,Sheet2!A:B,2,0)</f>
        <v>#N/A</v>
      </c>
      <c r="L2986" s="17" t="n">
        <v>5</v>
      </c>
      <c r="M2986" s="17" t="str">
        <f aca="false">VLOOKUP(L2986,Sheet2!D:E,2,0)</f>
        <v>Main Processor CPU BGA</v>
      </c>
      <c r="N2986" s="17" t="n">
        <v>1</v>
      </c>
      <c r="O2986" s="17" t="str">
        <f aca="false">VLOOKUP(N2986,Sheet2!G:H,2,0)</f>
        <v>Dead</v>
      </c>
      <c r="P2986" s="17" t="n">
        <v>11</v>
      </c>
      <c r="Q2986" s="17" t="str">
        <f aca="false">VLOOKUP(P2986,Sheet2!J:K,2,0)</f>
        <v>IR Declared due to CID -TA</v>
      </c>
      <c r="R2986" s="17" t="s">
        <v>35</v>
      </c>
      <c r="S2986" s="17" t="str">
        <f aca="false">VLOOKUP(R2986,Sheet2!N:O,2,0)</f>
        <v>IREPARABLE</v>
      </c>
      <c r="T2986" s="18" t="str">
        <f aca="false">VLOOKUP(P2986,Sheet2!Q:R,2,0)</f>
        <v>IR Normal - Track burn out</v>
      </c>
      <c r="U2986" s="20" t="s">
        <v>41</v>
      </c>
      <c r="V2986" s="17"/>
      <c r="W2986" s="20" t="e">
        <f aca="false">VLOOKUP(V2986,Sheet2!Q:R,2,0)</f>
        <v>#N/A</v>
      </c>
      <c r="X2986" s="17" t="n">
        <f aca="false">J2986</f>
        <v>0</v>
      </c>
      <c r="Y2986" s="17" t="e">
        <f aca="false">VLOOKUP(X2986,Sheet2!A:B,2,0)</f>
        <v>#N/A</v>
      </c>
      <c r="Z2986" s="17"/>
      <c r="AA2986" s="17"/>
      <c r="AB2986" s="17" t="s">
        <v>41</v>
      </c>
      <c r="AC2986" s="0" t="str">
        <f aca="false">LEFT(G2986,2)</f>
        <v/>
      </c>
    </row>
    <row r="2987" customFormat="false" ht="15" hidden="false" customHeight="false" outlineLevel="0" collapsed="false">
      <c r="A2987" s="13" t="n">
        <f aca="false">1+A2986</f>
        <v>2985</v>
      </c>
      <c r="B2987" s="14" t="n">
        <v>100</v>
      </c>
      <c r="C2987" s="15"/>
      <c r="D2987" s="16" t="s">
        <v>64</v>
      </c>
      <c r="E2987" s="17" t="s">
        <v>47</v>
      </c>
      <c r="F2987" s="18" t="s">
        <v>34</v>
      </c>
      <c r="G2987" s="19"/>
      <c r="H2987" s="17" t="s">
        <v>35</v>
      </c>
      <c r="I2987" s="17" t="s">
        <v>44</v>
      </c>
      <c r="J2987" s="17"/>
      <c r="K2987" s="17" t="e">
        <f aca="false">VLOOKUP(J2987,Sheet2!A:B,2,0)</f>
        <v>#N/A</v>
      </c>
      <c r="L2987" s="17" t="n">
        <v>5</v>
      </c>
      <c r="M2987" s="17" t="str">
        <f aca="false">VLOOKUP(L2987,Sheet2!D:E,2,0)</f>
        <v>Main Processor CPU BGA</v>
      </c>
      <c r="N2987" s="17" t="n">
        <v>1</v>
      </c>
      <c r="O2987" s="17" t="str">
        <f aca="false">VLOOKUP(N2987,Sheet2!G:H,2,0)</f>
        <v>Dead</v>
      </c>
      <c r="P2987" s="17" t="n">
        <v>11</v>
      </c>
      <c r="Q2987" s="17" t="str">
        <f aca="false">VLOOKUP(P2987,Sheet2!J:K,2,0)</f>
        <v>IR Declared due to CID -TA</v>
      </c>
      <c r="R2987" s="17" t="s">
        <v>35</v>
      </c>
      <c r="S2987" s="17" t="str">
        <f aca="false">VLOOKUP(R2987,Sheet2!N:O,2,0)</f>
        <v>IREPARABLE</v>
      </c>
      <c r="T2987" s="18" t="str">
        <f aca="false">VLOOKUP(P2987,Sheet2!Q:R,2,0)</f>
        <v>IR Normal - Track burn out</v>
      </c>
      <c r="U2987" s="20" t="s">
        <v>41</v>
      </c>
      <c r="V2987" s="17"/>
      <c r="W2987" s="20" t="e">
        <f aca="false">VLOOKUP(V2987,Sheet2!Q:R,2,0)</f>
        <v>#N/A</v>
      </c>
      <c r="X2987" s="17" t="n">
        <f aca="false">J2987</f>
        <v>0</v>
      </c>
      <c r="Y2987" s="17" t="e">
        <f aca="false">VLOOKUP(X2987,Sheet2!A:B,2,0)</f>
        <v>#N/A</v>
      </c>
      <c r="Z2987" s="17"/>
      <c r="AA2987" s="17"/>
      <c r="AB2987" s="17" t="s">
        <v>41</v>
      </c>
      <c r="AC2987" s="0" t="str">
        <f aca="false">LEFT(G2987,2)</f>
        <v/>
      </c>
    </row>
    <row r="2988" customFormat="false" ht="15" hidden="false" customHeight="false" outlineLevel="0" collapsed="false">
      <c r="A2988" s="13" t="n">
        <f aca="false">1+A2987</f>
        <v>2986</v>
      </c>
      <c r="B2988" s="14" t="n">
        <v>100</v>
      </c>
      <c r="C2988" s="15"/>
      <c r="D2988" s="16" t="s">
        <v>64</v>
      </c>
      <c r="E2988" s="17" t="s">
        <v>47</v>
      </c>
      <c r="F2988" s="18" t="s">
        <v>34</v>
      </c>
      <c r="G2988" s="19"/>
      <c r="H2988" s="17" t="s">
        <v>35</v>
      </c>
      <c r="I2988" s="17" t="s">
        <v>44</v>
      </c>
      <c r="J2988" s="17"/>
      <c r="K2988" s="17" t="e">
        <f aca="false">VLOOKUP(J2988,Sheet2!A:B,2,0)</f>
        <v>#N/A</v>
      </c>
      <c r="L2988" s="17" t="n">
        <v>5</v>
      </c>
      <c r="M2988" s="17" t="str">
        <f aca="false">VLOOKUP(L2988,Sheet2!D:E,2,0)</f>
        <v>Main Processor CPU BGA</v>
      </c>
      <c r="N2988" s="17" t="n">
        <v>1</v>
      </c>
      <c r="O2988" s="17" t="str">
        <f aca="false">VLOOKUP(N2988,Sheet2!G:H,2,0)</f>
        <v>Dead</v>
      </c>
      <c r="P2988" s="17" t="n">
        <v>11</v>
      </c>
      <c r="Q2988" s="17" t="str">
        <f aca="false">VLOOKUP(P2988,Sheet2!J:K,2,0)</f>
        <v>IR Declared due to CID -TA</v>
      </c>
      <c r="R2988" s="17" t="s">
        <v>35</v>
      </c>
      <c r="S2988" s="17" t="str">
        <f aca="false">VLOOKUP(R2988,Sheet2!N:O,2,0)</f>
        <v>IREPARABLE</v>
      </c>
      <c r="T2988" s="18" t="str">
        <f aca="false">VLOOKUP(P2988,Sheet2!Q:R,2,0)</f>
        <v>IR Normal - Track burn out</v>
      </c>
      <c r="U2988" s="20" t="s">
        <v>41</v>
      </c>
      <c r="V2988" s="17"/>
      <c r="W2988" s="20" t="e">
        <f aca="false">VLOOKUP(V2988,Sheet2!Q:R,2,0)</f>
        <v>#N/A</v>
      </c>
      <c r="X2988" s="17" t="n">
        <f aca="false">J2988</f>
        <v>0</v>
      </c>
      <c r="Y2988" s="17" t="e">
        <f aca="false">VLOOKUP(X2988,Sheet2!A:B,2,0)</f>
        <v>#N/A</v>
      </c>
      <c r="Z2988" s="17"/>
      <c r="AA2988" s="17"/>
      <c r="AB2988" s="17" t="s">
        <v>41</v>
      </c>
      <c r="AC2988" s="0" t="str">
        <f aca="false">LEFT(G2988,2)</f>
        <v/>
      </c>
    </row>
    <row r="2989" customFormat="false" ht="15" hidden="false" customHeight="false" outlineLevel="0" collapsed="false">
      <c r="A2989" s="13" t="n">
        <f aca="false">1+A2988</f>
        <v>2987</v>
      </c>
      <c r="B2989" s="14" t="n">
        <v>100</v>
      </c>
      <c r="C2989" s="15"/>
      <c r="D2989" s="16" t="s">
        <v>64</v>
      </c>
      <c r="E2989" s="17" t="s">
        <v>47</v>
      </c>
      <c r="F2989" s="18" t="s">
        <v>34</v>
      </c>
      <c r="G2989" s="19"/>
      <c r="H2989" s="17" t="s">
        <v>35</v>
      </c>
      <c r="I2989" s="17" t="s">
        <v>44</v>
      </c>
      <c r="J2989" s="17"/>
      <c r="K2989" s="17" t="e">
        <f aca="false">VLOOKUP(J2989,Sheet2!A:B,2,0)</f>
        <v>#N/A</v>
      </c>
      <c r="L2989" s="17" t="n">
        <v>5</v>
      </c>
      <c r="M2989" s="17" t="str">
        <f aca="false">VLOOKUP(L2989,Sheet2!D:E,2,0)</f>
        <v>Main Processor CPU BGA</v>
      </c>
      <c r="N2989" s="17" t="n">
        <v>1</v>
      </c>
      <c r="O2989" s="17" t="str">
        <f aca="false">VLOOKUP(N2989,Sheet2!G:H,2,0)</f>
        <v>Dead</v>
      </c>
      <c r="P2989" s="17" t="n">
        <v>11</v>
      </c>
      <c r="Q2989" s="17" t="str">
        <f aca="false">VLOOKUP(P2989,Sheet2!J:K,2,0)</f>
        <v>IR Declared due to CID -TA</v>
      </c>
      <c r="R2989" s="17" t="s">
        <v>35</v>
      </c>
      <c r="S2989" s="17" t="str">
        <f aca="false">VLOOKUP(R2989,Sheet2!N:O,2,0)</f>
        <v>IREPARABLE</v>
      </c>
      <c r="T2989" s="18" t="str">
        <f aca="false">VLOOKUP(P2989,Sheet2!Q:R,2,0)</f>
        <v>IR Normal - Track burn out</v>
      </c>
      <c r="U2989" s="20" t="s">
        <v>41</v>
      </c>
      <c r="V2989" s="17"/>
      <c r="W2989" s="20" t="e">
        <f aca="false">VLOOKUP(V2989,Sheet2!Q:R,2,0)</f>
        <v>#N/A</v>
      </c>
      <c r="X2989" s="17" t="n">
        <f aca="false">J2989</f>
        <v>0</v>
      </c>
      <c r="Y2989" s="17" t="e">
        <f aca="false">VLOOKUP(X2989,Sheet2!A:B,2,0)</f>
        <v>#N/A</v>
      </c>
      <c r="Z2989" s="17"/>
      <c r="AA2989" s="17"/>
      <c r="AB2989" s="17" t="s">
        <v>41</v>
      </c>
      <c r="AC2989" s="0" t="str">
        <f aca="false">LEFT(G2989,2)</f>
        <v/>
      </c>
    </row>
    <row r="2990" customFormat="false" ht="15" hidden="false" customHeight="false" outlineLevel="0" collapsed="false">
      <c r="A2990" s="13" t="n">
        <f aca="false">1+A2989</f>
        <v>2988</v>
      </c>
      <c r="B2990" s="14" t="n">
        <v>100</v>
      </c>
      <c r="C2990" s="15"/>
      <c r="D2990" s="16" t="s">
        <v>64</v>
      </c>
      <c r="E2990" s="17" t="s">
        <v>47</v>
      </c>
      <c r="F2990" s="18" t="s">
        <v>34</v>
      </c>
      <c r="G2990" s="19"/>
      <c r="H2990" s="17" t="s">
        <v>35</v>
      </c>
      <c r="I2990" s="17" t="s">
        <v>44</v>
      </c>
      <c r="J2990" s="17"/>
      <c r="K2990" s="17" t="e">
        <f aca="false">VLOOKUP(J2990,Sheet2!A:B,2,0)</f>
        <v>#N/A</v>
      </c>
      <c r="L2990" s="17" t="n">
        <v>5</v>
      </c>
      <c r="M2990" s="17" t="str">
        <f aca="false">VLOOKUP(L2990,Sheet2!D:E,2,0)</f>
        <v>Main Processor CPU BGA</v>
      </c>
      <c r="N2990" s="17" t="n">
        <v>1</v>
      </c>
      <c r="O2990" s="17" t="str">
        <f aca="false">VLOOKUP(N2990,Sheet2!G:H,2,0)</f>
        <v>Dead</v>
      </c>
      <c r="P2990" s="17" t="n">
        <v>11</v>
      </c>
      <c r="Q2990" s="17" t="str">
        <f aca="false">VLOOKUP(P2990,Sheet2!J:K,2,0)</f>
        <v>IR Declared due to CID -TA</v>
      </c>
      <c r="R2990" s="17" t="s">
        <v>35</v>
      </c>
      <c r="S2990" s="17" t="str">
        <f aca="false">VLOOKUP(R2990,Sheet2!N:O,2,0)</f>
        <v>IREPARABLE</v>
      </c>
      <c r="T2990" s="18" t="str">
        <f aca="false">VLOOKUP(P2990,Sheet2!Q:R,2,0)</f>
        <v>IR Normal - Track burn out</v>
      </c>
      <c r="U2990" s="20" t="s">
        <v>41</v>
      </c>
      <c r="V2990" s="17"/>
      <c r="W2990" s="20" t="e">
        <f aca="false">VLOOKUP(V2990,Sheet2!Q:R,2,0)</f>
        <v>#N/A</v>
      </c>
      <c r="X2990" s="17" t="n">
        <f aca="false">J2990</f>
        <v>0</v>
      </c>
      <c r="Y2990" s="17" t="e">
        <f aca="false">VLOOKUP(X2990,Sheet2!A:B,2,0)</f>
        <v>#N/A</v>
      </c>
      <c r="Z2990" s="17"/>
      <c r="AA2990" s="17"/>
      <c r="AB2990" s="17" t="s">
        <v>41</v>
      </c>
      <c r="AC2990" s="0" t="str">
        <f aca="false">LEFT(G2990,2)</f>
        <v/>
      </c>
    </row>
    <row r="2991" customFormat="false" ht="15" hidden="false" customHeight="false" outlineLevel="0" collapsed="false">
      <c r="A2991" s="13" t="n">
        <f aca="false">1+A2990</f>
        <v>2989</v>
      </c>
      <c r="B2991" s="14" t="n">
        <v>100</v>
      </c>
      <c r="C2991" s="15"/>
      <c r="D2991" s="16" t="s">
        <v>64</v>
      </c>
      <c r="E2991" s="17" t="s">
        <v>47</v>
      </c>
      <c r="F2991" s="18" t="s">
        <v>34</v>
      </c>
      <c r="G2991" s="19"/>
      <c r="H2991" s="17" t="s">
        <v>35</v>
      </c>
      <c r="I2991" s="17" t="s">
        <v>44</v>
      </c>
      <c r="J2991" s="17"/>
      <c r="K2991" s="17" t="e">
        <f aca="false">VLOOKUP(J2991,Sheet2!A:B,2,0)</f>
        <v>#N/A</v>
      </c>
      <c r="L2991" s="17" t="n">
        <v>5</v>
      </c>
      <c r="M2991" s="17" t="str">
        <f aca="false">VLOOKUP(L2991,Sheet2!D:E,2,0)</f>
        <v>Main Processor CPU BGA</v>
      </c>
      <c r="N2991" s="17" t="n">
        <v>1</v>
      </c>
      <c r="O2991" s="17" t="str">
        <f aca="false">VLOOKUP(N2991,Sheet2!G:H,2,0)</f>
        <v>Dead</v>
      </c>
      <c r="P2991" s="17" t="n">
        <v>11</v>
      </c>
      <c r="Q2991" s="17" t="str">
        <f aca="false">VLOOKUP(P2991,Sheet2!J:K,2,0)</f>
        <v>IR Declared due to CID -TA</v>
      </c>
      <c r="R2991" s="17" t="s">
        <v>35</v>
      </c>
      <c r="S2991" s="17" t="str">
        <f aca="false">VLOOKUP(R2991,Sheet2!N:O,2,0)</f>
        <v>IREPARABLE</v>
      </c>
      <c r="T2991" s="18" t="str">
        <f aca="false">VLOOKUP(P2991,Sheet2!Q:R,2,0)</f>
        <v>IR Normal - Track burn out</v>
      </c>
      <c r="U2991" s="20" t="s">
        <v>41</v>
      </c>
      <c r="V2991" s="17"/>
      <c r="W2991" s="20" t="e">
        <f aca="false">VLOOKUP(V2991,Sheet2!Q:R,2,0)</f>
        <v>#N/A</v>
      </c>
      <c r="X2991" s="17" t="n">
        <f aca="false">J2991</f>
        <v>0</v>
      </c>
      <c r="Y2991" s="17" t="e">
        <f aca="false">VLOOKUP(X2991,Sheet2!A:B,2,0)</f>
        <v>#N/A</v>
      </c>
      <c r="Z2991" s="17"/>
      <c r="AA2991" s="17"/>
      <c r="AB2991" s="17" t="s">
        <v>41</v>
      </c>
      <c r="AC2991" s="0" t="str">
        <f aca="false">LEFT(G2991,2)</f>
        <v/>
      </c>
    </row>
    <row r="2992" customFormat="false" ht="15" hidden="false" customHeight="false" outlineLevel="0" collapsed="false">
      <c r="A2992" s="13" t="n">
        <f aca="false">1+A2991</f>
        <v>2990</v>
      </c>
      <c r="B2992" s="14" t="n">
        <v>100</v>
      </c>
      <c r="C2992" s="15"/>
      <c r="D2992" s="16" t="s">
        <v>64</v>
      </c>
      <c r="E2992" s="17" t="s">
        <v>47</v>
      </c>
      <c r="F2992" s="18" t="s">
        <v>34</v>
      </c>
      <c r="G2992" s="19"/>
      <c r="H2992" s="17" t="s">
        <v>35</v>
      </c>
      <c r="I2992" s="17" t="s">
        <v>44</v>
      </c>
      <c r="J2992" s="17"/>
      <c r="K2992" s="17" t="e">
        <f aca="false">VLOOKUP(J2992,Sheet2!A:B,2,0)</f>
        <v>#N/A</v>
      </c>
      <c r="L2992" s="17" t="n">
        <v>5</v>
      </c>
      <c r="M2992" s="17" t="str">
        <f aca="false">VLOOKUP(L2992,Sheet2!D:E,2,0)</f>
        <v>Main Processor CPU BGA</v>
      </c>
      <c r="N2992" s="17" t="n">
        <v>1</v>
      </c>
      <c r="O2992" s="17" t="str">
        <f aca="false">VLOOKUP(N2992,Sheet2!G:H,2,0)</f>
        <v>Dead</v>
      </c>
      <c r="P2992" s="17" t="n">
        <v>11</v>
      </c>
      <c r="Q2992" s="17" t="str">
        <f aca="false">VLOOKUP(P2992,Sheet2!J:K,2,0)</f>
        <v>IR Declared due to CID -TA</v>
      </c>
      <c r="R2992" s="17" t="s">
        <v>35</v>
      </c>
      <c r="S2992" s="17" t="str">
        <f aca="false">VLOOKUP(R2992,Sheet2!N:O,2,0)</f>
        <v>IREPARABLE</v>
      </c>
      <c r="T2992" s="18" t="str">
        <f aca="false">VLOOKUP(P2992,Sheet2!Q:R,2,0)</f>
        <v>IR Normal - Track burn out</v>
      </c>
      <c r="U2992" s="20" t="s">
        <v>41</v>
      </c>
      <c r="V2992" s="17"/>
      <c r="W2992" s="20" t="e">
        <f aca="false">VLOOKUP(V2992,Sheet2!Q:R,2,0)</f>
        <v>#N/A</v>
      </c>
      <c r="X2992" s="17" t="n">
        <f aca="false">J2992</f>
        <v>0</v>
      </c>
      <c r="Y2992" s="17" t="e">
        <f aca="false">VLOOKUP(X2992,Sheet2!A:B,2,0)</f>
        <v>#N/A</v>
      </c>
      <c r="Z2992" s="17"/>
      <c r="AA2992" s="17"/>
      <c r="AB2992" s="17" t="s">
        <v>41</v>
      </c>
      <c r="AC2992" s="0" t="str">
        <f aca="false">LEFT(G2992,2)</f>
        <v/>
      </c>
    </row>
    <row r="2993" customFormat="false" ht="15" hidden="false" customHeight="false" outlineLevel="0" collapsed="false">
      <c r="A2993" s="13" t="n">
        <f aca="false">1+A2992</f>
        <v>2991</v>
      </c>
      <c r="B2993" s="14" t="n">
        <v>100</v>
      </c>
      <c r="C2993" s="15"/>
      <c r="D2993" s="16" t="s">
        <v>64</v>
      </c>
      <c r="E2993" s="17" t="s">
        <v>47</v>
      </c>
      <c r="F2993" s="18" t="s">
        <v>34</v>
      </c>
      <c r="G2993" s="19"/>
      <c r="H2993" s="17" t="s">
        <v>35</v>
      </c>
      <c r="I2993" s="17" t="s">
        <v>44</v>
      </c>
      <c r="J2993" s="17"/>
      <c r="K2993" s="17" t="e">
        <f aca="false">VLOOKUP(J2993,Sheet2!A:B,2,0)</f>
        <v>#N/A</v>
      </c>
      <c r="L2993" s="17" t="n">
        <v>5</v>
      </c>
      <c r="M2993" s="17" t="str">
        <f aca="false">VLOOKUP(L2993,Sheet2!D:E,2,0)</f>
        <v>Main Processor CPU BGA</v>
      </c>
      <c r="N2993" s="17" t="n">
        <v>1</v>
      </c>
      <c r="O2993" s="17" t="str">
        <f aca="false">VLOOKUP(N2993,Sheet2!G:H,2,0)</f>
        <v>Dead</v>
      </c>
      <c r="P2993" s="17" t="n">
        <v>11</v>
      </c>
      <c r="Q2993" s="17" t="str">
        <f aca="false">VLOOKUP(P2993,Sheet2!J:K,2,0)</f>
        <v>IR Declared due to CID -TA</v>
      </c>
      <c r="R2993" s="17" t="s">
        <v>35</v>
      </c>
      <c r="S2993" s="17" t="str">
        <f aca="false">VLOOKUP(R2993,Sheet2!N:O,2,0)</f>
        <v>IREPARABLE</v>
      </c>
      <c r="T2993" s="18" t="str">
        <f aca="false">VLOOKUP(P2993,Sheet2!Q:R,2,0)</f>
        <v>IR Normal - Track burn out</v>
      </c>
      <c r="U2993" s="20" t="s">
        <v>41</v>
      </c>
      <c r="V2993" s="17"/>
      <c r="W2993" s="20" t="e">
        <f aca="false">VLOOKUP(V2993,Sheet2!Q:R,2,0)</f>
        <v>#N/A</v>
      </c>
      <c r="X2993" s="17" t="n">
        <f aca="false">J2993</f>
        <v>0</v>
      </c>
      <c r="Y2993" s="17" t="e">
        <f aca="false">VLOOKUP(X2993,Sheet2!A:B,2,0)</f>
        <v>#N/A</v>
      </c>
      <c r="Z2993" s="17"/>
      <c r="AA2993" s="17"/>
      <c r="AB2993" s="17" t="s">
        <v>41</v>
      </c>
      <c r="AC2993" s="0" t="str">
        <f aca="false">LEFT(G2993,2)</f>
        <v/>
      </c>
    </row>
    <row r="2994" customFormat="false" ht="15" hidden="false" customHeight="false" outlineLevel="0" collapsed="false">
      <c r="A2994" s="13" t="n">
        <f aca="false">1+A2993</f>
        <v>2992</v>
      </c>
      <c r="B2994" s="14" t="n">
        <v>100</v>
      </c>
      <c r="C2994" s="15"/>
      <c r="D2994" s="16" t="s">
        <v>64</v>
      </c>
      <c r="E2994" s="17" t="s">
        <v>47</v>
      </c>
      <c r="F2994" s="18" t="s">
        <v>34</v>
      </c>
      <c r="G2994" s="19"/>
      <c r="H2994" s="17" t="s">
        <v>35</v>
      </c>
      <c r="I2994" s="17" t="s">
        <v>44</v>
      </c>
      <c r="J2994" s="17"/>
      <c r="K2994" s="17" t="e">
        <f aca="false">VLOOKUP(J2994,Sheet2!A:B,2,0)</f>
        <v>#N/A</v>
      </c>
      <c r="L2994" s="17" t="n">
        <v>5</v>
      </c>
      <c r="M2994" s="17" t="str">
        <f aca="false">VLOOKUP(L2994,Sheet2!D:E,2,0)</f>
        <v>Main Processor CPU BGA</v>
      </c>
      <c r="N2994" s="17" t="n">
        <v>1</v>
      </c>
      <c r="O2994" s="17" t="str">
        <f aca="false">VLOOKUP(N2994,Sheet2!G:H,2,0)</f>
        <v>Dead</v>
      </c>
      <c r="P2994" s="17" t="n">
        <v>11</v>
      </c>
      <c r="Q2994" s="17" t="str">
        <f aca="false">VLOOKUP(P2994,Sheet2!J:K,2,0)</f>
        <v>IR Declared due to CID -TA</v>
      </c>
      <c r="R2994" s="17" t="s">
        <v>35</v>
      </c>
      <c r="S2994" s="17" t="str">
        <f aca="false">VLOOKUP(R2994,Sheet2!N:O,2,0)</f>
        <v>IREPARABLE</v>
      </c>
      <c r="T2994" s="18" t="str">
        <f aca="false">VLOOKUP(P2994,Sheet2!Q:R,2,0)</f>
        <v>IR Normal - Track burn out</v>
      </c>
      <c r="U2994" s="20" t="s">
        <v>41</v>
      </c>
      <c r="V2994" s="17"/>
      <c r="W2994" s="20" t="e">
        <f aca="false">VLOOKUP(V2994,Sheet2!Q:R,2,0)</f>
        <v>#N/A</v>
      </c>
      <c r="X2994" s="17" t="n">
        <f aca="false">J2994</f>
        <v>0</v>
      </c>
      <c r="Y2994" s="17" t="e">
        <f aca="false">VLOOKUP(X2994,Sheet2!A:B,2,0)</f>
        <v>#N/A</v>
      </c>
      <c r="Z2994" s="17"/>
      <c r="AA2994" s="17"/>
      <c r="AB2994" s="17" t="s">
        <v>41</v>
      </c>
      <c r="AC2994" s="0" t="str">
        <f aca="false">LEFT(G2994,2)</f>
        <v/>
      </c>
    </row>
    <row r="2995" customFormat="false" ht="15" hidden="false" customHeight="false" outlineLevel="0" collapsed="false">
      <c r="A2995" s="13" t="n">
        <f aca="false">1+A2994</f>
        <v>2993</v>
      </c>
      <c r="B2995" s="14" t="n">
        <v>100</v>
      </c>
      <c r="C2995" s="15"/>
      <c r="D2995" s="16" t="s">
        <v>64</v>
      </c>
      <c r="E2995" s="17" t="s">
        <v>47</v>
      </c>
      <c r="F2995" s="18" t="s">
        <v>34</v>
      </c>
      <c r="G2995" s="19"/>
      <c r="H2995" s="17" t="s">
        <v>35</v>
      </c>
      <c r="I2995" s="17" t="s">
        <v>44</v>
      </c>
      <c r="J2995" s="17"/>
      <c r="K2995" s="17" t="e">
        <f aca="false">VLOOKUP(J2995,Sheet2!A:B,2,0)</f>
        <v>#N/A</v>
      </c>
      <c r="L2995" s="17" t="n">
        <v>5</v>
      </c>
      <c r="M2995" s="17" t="str">
        <f aca="false">VLOOKUP(L2995,Sheet2!D:E,2,0)</f>
        <v>Main Processor CPU BGA</v>
      </c>
      <c r="N2995" s="17" t="n">
        <v>1</v>
      </c>
      <c r="O2995" s="17" t="str">
        <f aca="false">VLOOKUP(N2995,Sheet2!G:H,2,0)</f>
        <v>Dead</v>
      </c>
      <c r="P2995" s="17" t="n">
        <v>11</v>
      </c>
      <c r="Q2995" s="17" t="str">
        <f aca="false">VLOOKUP(P2995,Sheet2!J:K,2,0)</f>
        <v>IR Declared due to CID -TA</v>
      </c>
      <c r="R2995" s="17" t="s">
        <v>35</v>
      </c>
      <c r="S2995" s="17" t="str">
        <f aca="false">VLOOKUP(R2995,Sheet2!N:O,2,0)</f>
        <v>IREPARABLE</v>
      </c>
      <c r="T2995" s="18" t="str">
        <f aca="false">VLOOKUP(P2995,Sheet2!Q:R,2,0)</f>
        <v>IR Normal - Track burn out</v>
      </c>
      <c r="U2995" s="20" t="s">
        <v>41</v>
      </c>
      <c r="V2995" s="17"/>
      <c r="W2995" s="20" t="e">
        <f aca="false">VLOOKUP(V2995,Sheet2!Q:R,2,0)</f>
        <v>#N/A</v>
      </c>
      <c r="X2995" s="17" t="n">
        <f aca="false">J2995</f>
        <v>0</v>
      </c>
      <c r="Y2995" s="17" t="e">
        <f aca="false">VLOOKUP(X2995,Sheet2!A:B,2,0)</f>
        <v>#N/A</v>
      </c>
      <c r="Z2995" s="17"/>
      <c r="AA2995" s="17"/>
      <c r="AB2995" s="17" t="s">
        <v>41</v>
      </c>
      <c r="AC2995" s="0" t="str">
        <f aca="false">LEFT(G2995,2)</f>
        <v/>
      </c>
    </row>
    <row r="2996" customFormat="false" ht="15" hidden="false" customHeight="false" outlineLevel="0" collapsed="false">
      <c r="A2996" s="13" t="n">
        <f aca="false">1+A2995</f>
        <v>2994</v>
      </c>
      <c r="B2996" s="14" t="n">
        <v>100</v>
      </c>
      <c r="C2996" s="15"/>
      <c r="D2996" s="16" t="s">
        <v>64</v>
      </c>
      <c r="E2996" s="17" t="s">
        <v>47</v>
      </c>
      <c r="F2996" s="18" t="s">
        <v>34</v>
      </c>
      <c r="G2996" s="19"/>
      <c r="H2996" s="17" t="s">
        <v>35</v>
      </c>
      <c r="I2996" s="17" t="s">
        <v>44</v>
      </c>
      <c r="J2996" s="17"/>
      <c r="K2996" s="17" t="e">
        <f aca="false">VLOOKUP(J2996,Sheet2!A:B,2,0)</f>
        <v>#N/A</v>
      </c>
      <c r="L2996" s="17" t="n">
        <v>5</v>
      </c>
      <c r="M2996" s="17" t="str">
        <f aca="false">VLOOKUP(L2996,Sheet2!D:E,2,0)</f>
        <v>Main Processor CPU BGA</v>
      </c>
      <c r="N2996" s="17" t="n">
        <v>1</v>
      </c>
      <c r="O2996" s="17" t="str">
        <f aca="false">VLOOKUP(N2996,Sheet2!G:H,2,0)</f>
        <v>Dead</v>
      </c>
      <c r="P2996" s="17" t="n">
        <v>11</v>
      </c>
      <c r="Q2996" s="17" t="str">
        <f aca="false">VLOOKUP(P2996,Sheet2!J:K,2,0)</f>
        <v>IR Declared due to CID -TA</v>
      </c>
      <c r="R2996" s="17" t="s">
        <v>35</v>
      </c>
      <c r="S2996" s="17" t="str">
        <f aca="false">VLOOKUP(R2996,Sheet2!N:O,2,0)</f>
        <v>IREPARABLE</v>
      </c>
      <c r="T2996" s="18" t="str">
        <f aca="false">VLOOKUP(P2996,Sheet2!Q:R,2,0)</f>
        <v>IR Normal - Track burn out</v>
      </c>
      <c r="U2996" s="20" t="s">
        <v>41</v>
      </c>
      <c r="V2996" s="17"/>
      <c r="W2996" s="20" t="e">
        <f aca="false">VLOOKUP(V2996,Sheet2!Q:R,2,0)</f>
        <v>#N/A</v>
      </c>
      <c r="X2996" s="17" t="n">
        <f aca="false">J2996</f>
        <v>0</v>
      </c>
      <c r="Y2996" s="17" t="e">
        <f aca="false">VLOOKUP(X2996,Sheet2!A:B,2,0)</f>
        <v>#N/A</v>
      </c>
      <c r="Z2996" s="17"/>
      <c r="AA2996" s="17"/>
      <c r="AB2996" s="17" t="s">
        <v>41</v>
      </c>
      <c r="AC2996" s="0" t="str">
        <f aca="false">LEFT(G2996,2)</f>
        <v/>
      </c>
    </row>
    <row r="2997" customFormat="false" ht="15" hidden="false" customHeight="false" outlineLevel="0" collapsed="false">
      <c r="A2997" s="13" t="n">
        <f aca="false">1+A2996</f>
        <v>2995</v>
      </c>
      <c r="B2997" s="14" t="n">
        <v>100</v>
      </c>
      <c r="C2997" s="15"/>
      <c r="D2997" s="16" t="s">
        <v>64</v>
      </c>
      <c r="E2997" s="17" t="s">
        <v>47</v>
      </c>
      <c r="F2997" s="18" t="s">
        <v>34</v>
      </c>
      <c r="G2997" s="19"/>
      <c r="H2997" s="17" t="s">
        <v>35</v>
      </c>
      <c r="I2997" s="17" t="s">
        <v>44</v>
      </c>
      <c r="J2997" s="17"/>
      <c r="K2997" s="17" t="e">
        <f aca="false">VLOOKUP(J2997,Sheet2!A:B,2,0)</f>
        <v>#N/A</v>
      </c>
      <c r="L2997" s="17" t="n">
        <v>5</v>
      </c>
      <c r="M2997" s="17" t="str">
        <f aca="false">VLOOKUP(L2997,Sheet2!D:E,2,0)</f>
        <v>Main Processor CPU BGA</v>
      </c>
      <c r="N2997" s="17" t="n">
        <v>1</v>
      </c>
      <c r="O2997" s="17" t="str">
        <f aca="false">VLOOKUP(N2997,Sheet2!G:H,2,0)</f>
        <v>Dead</v>
      </c>
      <c r="P2997" s="17" t="n">
        <v>11</v>
      </c>
      <c r="Q2997" s="17" t="str">
        <f aca="false">VLOOKUP(P2997,Sheet2!J:K,2,0)</f>
        <v>IR Declared due to CID -TA</v>
      </c>
      <c r="R2997" s="17" t="s">
        <v>35</v>
      </c>
      <c r="S2997" s="17" t="str">
        <f aca="false">VLOOKUP(R2997,Sheet2!N:O,2,0)</f>
        <v>IREPARABLE</v>
      </c>
      <c r="T2997" s="18" t="str">
        <f aca="false">VLOOKUP(P2997,Sheet2!Q:R,2,0)</f>
        <v>IR Normal - Track burn out</v>
      </c>
      <c r="U2997" s="20" t="s">
        <v>41</v>
      </c>
      <c r="V2997" s="17"/>
      <c r="W2997" s="20" t="e">
        <f aca="false">VLOOKUP(V2997,Sheet2!Q:R,2,0)</f>
        <v>#N/A</v>
      </c>
      <c r="X2997" s="17" t="n">
        <f aca="false">J2997</f>
        <v>0</v>
      </c>
      <c r="Y2997" s="17" t="e">
        <f aca="false">VLOOKUP(X2997,Sheet2!A:B,2,0)</f>
        <v>#N/A</v>
      </c>
      <c r="Z2997" s="17"/>
      <c r="AA2997" s="17"/>
      <c r="AB2997" s="17" t="s">
        <v>41</v>
      </c>
      <c r="AC2997" s="0" t="str">
        <f aca="false">LEFT(G2997,2)</f>
        <v/>
      </c>
    </row>
    <row r="2998" customFormat="false" ht="15" hidden="false" customHeight="false" outlineLevel="0" collapsed="false">
      <c r="A2998" s="13" t="n">
        <f aca="false">1+A2997</f>
        <v>2996</v>
      </c>
      <c r="B2998" s="14" t="n">
        <v>100</v>
      </c>
      <c r="C2998" s="15"/>
      <c r="D2998" s="16" t="s">
        <v>64</v>
      </c>
      <c r="E2998" s="17" t="s">
        <v>47</v>
      </c>
      <c r="F2998" s="18" t="s">
        <v>34</v>
      </c>
      <c r="G2998" s="19"/>
      <c r="H2998" s="17" t="s">
        <v>35</v>
      </c>
      <c r="I2998" s="17" t="s">
        <v>44</v>
      </c>
      <c r="J2998" s="17"/>
      <c r="K2998" s="17" t="e">
        <f aca="false">VLOOKUP(J2998,Sheet2!A:B,2,0)</f>
        <v>#N/A</v>
      </c>
      <c r="L2998" s="17" t="n">
        <v>5</v>
      </c>
      <c r="M2998" s="17" t="str">
        <f aca="false">VLOOKUP(L2998,Sheet2!D:E,2,0)</f>
        <v>Main Processor CPU BGA</v>
      </c>
      <c r="N2998" s="17" t="n">
        <v>1</v>
      </c>
      <c r="O2998" s="17" t="str">
        <f aca="false">VLOOKUP(N2998,Sheet2!G:H,2,0)</f>
        <v>Dead</v>
      </c>
      <c r="P2998" s="17" t="n">
        <v>11</v>
      </c>
      <c r="Q2998" s="17" t="str">
        <f aca="false">VLOOKUP(P2998,Sheet2!J:K,2,0)</f>
        <v>IR Declared due to CID -TA</v>
      </c>
      <c r="R2998" s="17" t="s">
        <v>35</v>
      </c>
      <c r="S2998" s="17" t="str">
        <f aca="false">VLOOKUP(R2998,Sheet2!N:O,2,0)</f>
        <v>IREPARABLE</v>
      </c>
      <c r="T2998" s="18" t="str">
        <f aca="false">VLOOKUP(P2998,Sheet2!Q:R,2,0)</f>
        <v>IR Normal - Track burn out</v>
      </c>
      <c r="U2998" s="20" t="s">
        <v>41</v>
      </c>
      <c r="V2998" s="17"/>
      <c r="W2998" s="20" t="e">
        <f aca="false">VLOOKUP(V2998,Sheet2!Q:R,2,0)</f>
        <v>#N/A</v>
      </c>
      <c r="X2998" s="17" t="n">
        <f aca="false">J2998</f>
        <v>0</v>
      </c>
      <c r="Y2998" s="17" t="e">
        <f aca="false">VLOOKUP(X2998,Sheet2!A:B,2,0)</f>
        <v>#N/A</v>
      </c>
      <c r="Z2998" s="17"/>
      <c r="AA2998" s="17"/>
      <c r="AB2998" s="17" t="s">
        <v>41</v>
      </c>
      <c r="AC2998" s="0" t="str">
        <f aca="false">LEFT(G2998,2)</f>
        <v/>
      </c>
    </row>
    <row r="2999" customFormat="false" ht="15" hidden="false" customHeight="false" outlineLevel="0" collapsed="false">
      <c r="A2999" s="13" t="n">
        <f aca="false">1+A2998</f>
        <v>2997</v>
      </c>
      <c r="B2999" s="14" t="n">
        <v>100</v>
      </c>
      <c r="C2999" s="15"/>
      <c r="D2999" s="16" t="s">
        <v>64</v>
      </c>
      <c r="E2999" s="17" t="s">
        <v>47</v>
      </c>
      <c r="F2999" s="18" t="s">
        <v>34</v>
      </c>
      <c r="G2999" s="19"/>
      <c r="H2999" s="17" t="s">
        <v>35</v>
      </c>
      <c r="I2999" s="17" t="s">
        <v>44</v>
      </c>
      <c r="J2999" s="17"/>
      <c r="K2999" s="17" t="e">
        <f aca="false">VLOOKUP(J2999,Sheet2!A:B,2,0)</f>
        <v>#N/A</v>
      </c>
      <c r="L2999" s="17" t="n">
        <v>5</v>
      </c>
      <c r="M2999" s="17" t="str">
        <f aca="false">VLOOKUP(L2999,Sheet2!D:E,2,0)</f>
        <v>Main Processor CPU BGA</v>
      </c>
      <c r="N2999" s="17" t="n">
        <v>1</v>
      </c>
      <c r="O2999" s="17" t="str">
        <f aca="false">VLOOKUP(N2999,Sheet2!G:H,2,0)</f>
        <v>Dead</v>
      </c>
      <c r="P2999" s="17" t="n">
        <v>11</v>
      </c>
      <c r="Q2999" s="17" t="str">
        <f aca="false">VLOOKUP(P2999,Sheet2!J:K,2,0)</f>
        <v>IR Declared due to CID -TA</v>
      </c>
      <c r="R2999" s="17" t="s">
        <v>35</v>
      </c>
      <c r="S2999" s="17" t="str">
        <f aca="false">VLOOKUP(R2999,Sheet2!N:O,2,0)</f>
        <v>IREPARABLE</v>
      </c>
      <c r="T2999" s="18" t="str">
        <f aca="false">VLOOKUP(P2999,Sheet2!Q:R,2,0)</f>
        <v>IR Normal - Track burn out</v>
      </c>
      <c r="U2999" s="20" t="s">
        <v>41</v>
      </c>
      <c r="V2999" s="17"/>
      <c r="W2999" s="20" t="e">
        <f aca="false">VLOOKUP(V2999,Sheet2!Q:R,2,0)</f>
        <v>#N/A</v>
      </c>
      <c r="X2999" s="17" t="n">
        <f aca="false">J2999</f>
        <v>0</v>
      </c>
      <c r="Y2999" s="17" t="e">
        <f aca="false">VLOOKUP(X2999,Sheet2!A:B,2,0)</f>
        <v>#N/A</v>
      </c>
      <c r="Z2999" s="17"/>
      <c r="AA2999" s="17"/>
      <c r="AB2999" s="17" t="s">
        <v>41</v>
      </c>
      <c r="AC2999" s="0" t="str">
        <f aca="false">LEFT(G2999,2)</f>
        <v/>
      </c>
    </row>
    <row r="3000" customFormat="false" ht="15" hidden="false" customHeight="false" outlineLevel="0" collapsed="false">
      <c r="A3000" s="13" t="n">
        <f aca="false">1+A2999</f>
        <v>2998</v>
      </c>
      <c r="B3000" s="14" t="n">
        <v>100</v>
      </c>
      <c r="C3000" s="15"/>
      <c r="D3000" s="16" t="s">
        <v>64</v>
      </c>
      <c r="E3000" s="17" t="s">
        <v>47</v>
      </c>
      <c r="F3000" s="18" t="s">
        <v>34</v>
      </c>
      <c r="G3000" s="19"/>
      <c r="H3000" s="17" t="s">
        <v>35</v>
      </c>
      <c r="I3000" s="17" t="s">
        <v>44</v>
      </c>
      <c r="J3000" s="17"/>
      <c r="K3000" s="17" t="e">
        <f aca="false">VLOOKUP(J3000,Sheet2!A:B,2,0)</f>
        <v>#N/A</v>
      </c>
      <c r="L3000" s="17" t="n">
        <v>5</v>
      </c>
      <c r="M3000" s="17" t="str">
        <f aca="false">VLOOKUP(L3000,Sheet2!D:E,2,0)</f>
        <v>Main Processor CPU BGA</v>
      </c>
      <c r="N3000" s="17" t="n">
        <v>1</v>
      </c>
      <c r="O3000" s="17" t="str">
        <f aca="false">VLOOKUP(N3000,Sheet2!G:H,2,0)</f>
        <v>Dead</v>
      </c>
      <c r="P3000" s="17" t="n">
        <v>11</v>
      </c>
      <c r="Q3000" s="17" t="str">
        <f aca="false">VLOOKUP(P3000,Sheet2!J:K,2,0)</f>
        <v>IR Declared due to CID -TA</v>
      </c>
      <c r="R3000" s="17" t="s">
        <v>35</v>
      </c>
      <c r="S3000" s="17" t="str">
        <f aca="false">VLOOKUP(R3000,Sheet2!N:O,2,0)</f>
        <v>IREPARABLE</v>
      </c>
      <c r="T3000" s="18" t="str">
        <f aca="false">VLOOKUP(P3000,Sheet2!Q:R,2,0)</f>
        <v>IR Normal - Track burn out</v>
      </c>
      <c r="U3000" s="20" t="s">
        <v>41</v>
      </c>
      <c r="V3000" s="17"/>
      <c r="W3000" s="20" t="e">
        <f aca="false">VLOOKUP(V3000,Sheet2!Q:R,2,0)</f>
        <v>#N/A</v>
      </c>
      <c r="X3000" s="17" t="n">
        <f aca="false">J3000</f>
        <v>0</v>
      </c>
      <c r="Y3000" s="17" t="e">
        <f aca="false">VLOOKUP(X3000,Sheet2!A:B,2,0)</f>
        <v>#N/A</v>
      </c>
      <c r="Z3000" s="17"/>
      <c r="AA3000" s="17"/>
      <c r="AB3000" s="17" t="s">
        <v>41</v>
      </c>
      <c r="AC3000" s="0" t="str">
        <f aca="false">LEFT(G3000,2)</f>
        <v/>
      </c>
    </row>
    <row r="3001" customFormat="false" ht="15" hidden="false" customHeight="false" outlineLevel="0" collapsed="false">
      <c r="A3001" s="13" t="n">
        <f aca="false">1+A3000</f>
        <v>2999</v>
      </c>
      <c r="B3001" s="14" t="n">
        <v>100</v>
      </c>
      <c r="C3001" s="15"/>
      <c r="D3001" s="16" t="s">
        <v>64</v>
      </c>
      <c r="E3001" s="17" t="s">
        <v>47</v>
      </c>
      <c r="F3001" s="18" t="s">
        <v>34</v>
      </c>
      <c r="G3001" s="19"/>
      <c r="H3001" s="17" t="s">
        <v>35</v>
      </c>
      <c r="I3001" s="17" t="s">
        <v>44</v>
      </c>
      <c r="J3001" s="17"/>
      <c r="K3001" s="17" t="e">
        <f aca="false">VLOOKUP(J3001,Sheet2!A:B,2,0)</f>
        <v>#N/A</v>
      </c>
      <c r="L3001" s="17" t="n">
        <v>5</v>
      </c>
      <c r="M3001" s="17" t="str">
        <f aca="false">VLOOKUP(L3001,Sheet2!D:E,2,0)</f>
        <v>Main Processor CPU BGA</v>
      </c>
      <c r="N3001" s="17" t="n">
        <v>1</v>
      </c>
      <c r="O3001" s="17" t="str">
        <f aca="false">VLOOKUP(N3001,Sheet2!G:H,2,0)</f>
        <v>Dead</v>
      </c>
      <c r="P3001" s="17" t="n">
        <v>11</v>
      </c>
      <c r="Q3001" s="17" t="str">
        <f aca="false">VLOOKUP(P3001,Sheet2!J:K,2,0)</f>
        <v>IR Declared due to CID -TA</v>
      </c>
      <c r="R3001" s="17" t="s">
        <v>35</v>
      </c>
      <c r="S3001" s="17" t="str">
        <f aca="false">VLOOKUP(R3001,Sheet2!N:O,2,0)</f>
        <v>IREPARABLE</v>
      </c>
      <c r="T3001" s="18" t="str">
        <f aca="false">VLOOKUP(P3001,Sheet2!Q:R,2,0)</f>
        <v>IR Normal - Track burn out</v>
      </c>
      <c r="U3001" s="20" t="s">
        <v>41</v>
      </c>
      <c r="V3001" s="17"/>
      <c r="W3001" s="20" t="e">
        <f aca="false">VLOOKUP(V3001,Sheet2!Q:R,2,0)</f>
        <v>#N/A</v>
      </c>
      <c r="X3001" s="17" t="n">
        <f aca="false">J3001</f>
        <v>0</v>
      </c>
      <c r="Y3001" s="17" t="e">
        <f aca="false">VLOOKUP(X3001,Sheet2!A:B,2,0)</f>
        <v>#N/A</v>
      </c>
      <c r="Z3001" s="17"/>
      <c r="AA3001" s="17"/>
      <c r="AB3001" s="17" t="s">
        <v>41</v>
      </c>
      <c r="AC3001" s="0" t="str">
        <f aca="false">LEFT(G3001,2)</f>
        <v/>
      </c>
    </row>
    <row r="3002" customFormat="false" ht="15" hidden="false" customHeight="false" outlineLevel="0" collapsed="false">
      <c r="A3002" s="13" t="n">
        <f aca="false">1+A3001</f>
        <v>3000</v>
      </c>
      <c r="B3002" s="14" t="n">
        <v>100</v>
      </c>
      <c r="C3002" s="15"/>
      <c r="D3002" s="16" t="s">
        <v>64</v>
      </c>
      <c r="E3002" s="17" t="s">
        <v>47</v>
      </c>
      <c r="F3002" s="18" t="s">
        <v>34</v>
      </c>
      <c r="G3002" s="19"/>
      <c r="H3002" s="17" t="s">
        <v>35</v>
      </c>
      <c r="I3002" s="17" t="s">
        <v>44</v>
      </c>
      <c r="J3002" s="17"/>
      <c r="K3002" s="17" t="e">
        <f aca="false">VLOOKUP(J3002,Sheet2!A:B,2,0)</f>
        <v>#N/A</v>
      </c>
      <c r="L3002" s="17" t="n">
        <v>5</v>
      </c>
      <c r="M3002" s="17" t="str">
        <f aca="false">VLOOKUP(L3002,Sheet2!D:E,2,0)</f>
        <v>Main Processor CPU BGA</v>
      </c>
      <c r="N3002" s="17" t="n">
        <v>1</v>
      </c>
      <c r="O3002" s="17" t="str">
        <f aca="false">VLOOKUP(N3002,Sheet2!G:H,2,0)</f>
        <v>Dead</v>
      </c>
      <c r="P3002" s="17" t="n">
        <v>11</v>
      </c>
      <c r="Q3002" s="17" t="str">
        <f aca="false">VLOOKUP(P3002,Sheet2!J:K,2,0)</f>
        <v>IR Declared due to CID -TA</v>
      </c>
      <c r="R3002" s="17" t="s">
        <v>35</v>
      </c>
      <c r="S3002" s="17" t="str">
        <f aca="false">VLOOKUP(R3002,Sheet2!N:O,2,0)</f>
        <v>IREPARABLE</v>
      </c>
      <c r="T3002" s="18" t="str">
        <f aca="false">VLOOKUP(P3002,Sheet2!Q:R,2,0)</f>
        <v>IR Normal - Track burn out</v>
      </c>
      <c r="U3002" s="20" t="s">
        <v>41</v>
      </c>
      <c r="V3002" s="17"/>
      <c r="W3002" s="20" t="e">
        <f aca="false">VLOOKUP(V3002,Sheet2!Q:R,2,0)</f>
        <v>#N/A</v>
      </c>
      <c r="X3002" s="17" t="n">
        <f aca="false">J3002</f>
        <v>0</v>
      </c>
      <c r="Y3002" s="17" t="e">
        <f aca="false">VLOOKUP(X3002,Sheet2!A:B,2,0)</f>
        <v>#N/A</v>
      </c>
      <c r="Z3002" s="17"/>
      <c r="AA3002" s="17"/>
      <c r="AB3002" s="17" t="s">
        <v>41</v>
      </c>
      <c r="AC3002" s="0" t="str">
        <f aca="false">LEFT(G3002,2)</f>
        <v/>
      </c>
    </row>
    <row r="3003" customFormat="false" ht="15" hidden="false" customHeight="false" outlineLevel="0" collapsed="false">
      <c r="A3003" s="13" t="n">
        <f aca="false">1+A3002</f>
        <v>3001</v>
      </c>
      <c r="B3003" s="14" t="n">
        <v>100</v>
      </c>
      <c r="C3003" s="15"/>
      <c r="D3003" s="16" t="s">
        <v>64</v>
      </c>
      <c r="E3003" s="17" t="s">
        <v>47</v>
      </c>
      <c r="F3003" s="18" t="s">
        <v>34</v>
      </c>
      <c r="G3003" s="19"/>
      <c r="H3003" s="17" t="s">
        <v>35</v>
      </c>
      <c r="I3003" s="17" t="s">
        <v>44</v>
      </c>
      <c r="J3003" s="17"/>
      <c r="K3003" s="17" t="e">
        <f aca="false">VLOOKUP(J3003,Sheet2!A:B,2,0)</f>
        <v>#N/A</v>
      </c>
      <c r="L3003" s="17" t="n">
        <v>5</v>
      </c>
      <c r="M3003" s="17" t="str">
        <f aca="false">VLOOKUP(L3003,Sheet2!D:E,2,0)</f>
        <v>Main Processor CPU BGA</v>
      </c>
      <c r="N3003" s="17" t="n">
        <v>1</v>
      </c>
      <c r="O3003" s="17" t="str">
        <f aca="false">VLOOKUP(N3003,Sheet2!G:H,2,0)</f>
        <v>Dead</v>
      </c>
      <c r="P3003" s="17" t="n">
        <v>11</v>
      </c>
      <c r="Q3003" s="17" t="str">
        <f aca="false">VLOOKUP(P3003,Sheet2!J:K,2,0)</f>
        <v>IR Declared due to CID -TA</v>
      </c>
      <c r="R3003" s="17" t="s">
        <v>35</v>
      </c>
      <c r="S3003" s="17" t="str">
        <f aca="false">VLOOKUP(R3003,Sheet2!N:O,2,0)</f>
        <v>IREPARABLE</v>
      </c>
      <c r="T3003" s="18" t="str">
        <f aca="false">VLOOKUP(P3003,Sheet2!Q:R,2,0)</f>
        <v>IR Normal - Track burn out</v>
      </c>
      <c r="U3003" s="20" t="s">
        <v>41</v>
      </c>
      <c r="V3003" s="17"/>
      <c r="W3003" s="20" t="e">
        <f aca="false">VLOOKUP(V3003,Sheet2!Q:R,2,0)</f>
        <v>#N/A</v>
      </c>
      <c r="X3003" s="17" t="n">
        <f aca="false">J3003</f>
        <v>0</v>
      </c>
      <c r="Y3003" s="17" t="e">
        <f aca="false">VLOOKUP(X3003,Sheet2!A:B,2,0)</f>
        <v>#N/A</v>
      </c>
      <c r="Z3003" s="17"/>
      <c r="AA3003" s="17"/>
      <c r="AB3003" s="17" t="s">
        <v>41</v>
      </c>
      <c r="AC3003" s="0" t="str">
        <f aca="false">LEFT(G3003,2)</f>
        <v/>
      </c>
    </row>
    <row r="3004" customFormat="false" ht="15" hidden="false" customHeight="false" outlineLevel="0" collapsed="false">
      <c r="A3004" s="13" t="n">
        <f aca="false">1+A3003</f>
        <v>3002</v>
      </c>
      <c r="B3004" s="14" t="n">
        <v>100</v>
      </c>
      <c r="C3004" s="15"/>
      <c r="D3004" s="16" t="s">
        <v>64</v>
      </c>
      <c r="E3004" s="17" t="s">
        <v>47</v>
      </c>
      <c r="F3004" s="18" t="s">
        <v>34</v>
      </c>
      <c r="G3004" s="19"/>
      <c r="H3004" s="17" t="s">
        <v>35</v>
      </c>
      <c r="I3004" s="17" t="s">
        <v>44</v>
      </c>
      <c r="J3004" s="17"/>
      <c r="K3004" s="17" t="e">
        <f aca="false">VLOOKUP(J3004,Sheet2!A:B,2,0)</f>
        <v>#N/A</v>
      </c>
      <c r="L3004" s="17" t="n">
        <v>5</v>
      </c>
      <c r="M3004" s="17" t="str">
        <f aca="false">VLOOKUP(L3004,Sheet2!D:E,2,0)</f>
        <v>Main Processor CPU BGA</v>
      </c>
      <c r="N3004" s="17" t="n">
        <v>1</v>
      </c>
      <c r="O3004" s="17" t="str">
        <f aca="false">VLOOKUP(N3004,Sheet2!G:H,2,0)</f>
        <v>Dead</v>
      </c>
      <c r="P3004" s="17" t="n">
        <v>11</v>
      </c>
      <c r="Q3004" s="17" t="str">
        <f aca="false">VLOOKUP(P3004,Sheet2!J:K,2,0)</f>
        <v>IR Declared due to CID -TA</v>
      </c>
      <c r="R3004" s="17" t="s">
        <v>35</v>
      </c>
      <c r="S3004" s="17" t="str">
        <f aca="false">VLOOKUP(R3004,Sheet2!N:O,2,0)</f>
        <v>IREPARABLE</v>
      </c>
      <c r="T3004" s="18" t="str">
        <f aca="false">VLOOKUP(P3004,Sheet2!Q:R,2,0)</f>
        <v>IR Normal - Track burn out</v>
      </c>
      <c r="U3004" s="20" t="s">
        <v>41</v>
      </c>
      <c r="V3004" s="17"/>
      <c r="W3004" s="20" t="e">
        <f aca="false">VLOOKUP(V3004,Sheet2!Q:R,2,0)</f>
        <v>#N/A</v>
      </c>
      <c r="X3004" s="17" t="n">
        <f aca="false">J3004</f>
        <v>0</v>
      </c>
      <c r="Y3004" s="17" t="e">
        <f aca="false">VLOOKUP(X3004,Sheet2!A:B,2,0)</f>
        <v>#N/A</v>
      </c>
      <c r="Z3004" s="17"/>
      <c r="AA3004" s="17"/>
      <c r="AB3004" s="17" t="s">
        <v>41</v>
      </c>
      <c r="AC3004" s="0" t="str">
        <f aca="false">LEFT(G3004,2)</f>
        <v/>
      </c>
    </row>
    <row r="3005" customFormat="false" ht="15" hidden="false" customHeight="false" outlineLevel="0" collapsed="false">
      <c r="A3005" s="13" t="n">
        <f aca="false">1+A3004</f>
        <v>3003</v>
      </c>
      <c r="B3005" s="14" t="n">
        <v>100</v>
      </c>
      <c r="C3005" s="15"/>
      <c r="D3005" s="16" t="s">
        <v>64</v>
      </c>
      <c r="E3005" s="17" t="s">
        <v>47</v>
      </c>
      <c r="F3005" s="18" t="s">
        <v>34</v>
      </c>
      <c r="G3005" s="19"/>
      <c r="H3005" s="17" t="s">
        <v>35</v>
      </c>
      <c r="I3005" s="17" t="s">
        <v>44</v>
      </c>
      <c r="J3005" s="17"/>
      <c r="K3005" s="17" t="e">
        <f aca="false">VLOOKUP(J3005,Sheet2!A:B,2,0)</f>
        <v>#N/A</v>
      </c>
      <c r="L3005" s="17" t="n">
        <v>5</v>
      </c>
      <c r="M3005" s="17" t="str">
        <f aca="false">VLOOKUP(L3005,Sheet2!D:E,2,0)</f>
        <v>Main Processor CPU BGA</v>
      </c>
      <c r="N3005" s="17" t="n">
        <v>1</v>
      </c>
      <c r="O3005" s="17" t="str">
        <f aca="false">VLOOKUP(N3005,Sheet2!G:H,2,0)</f>
        <v>Dead</v>
      </c>
      <c r="P3005" s="17" t="n">
        <v>11</v>
      </c>
      <c r="Q3005" s="17" t="str">
        <f aca="false">VLOOKUP(P3005,Sheet2!J:K,2,0)</f>
        <v>IR Declared due to CID -TA</v>
      </c>
      <c r="R3005" s="17" t="s">
        <v>35</v>
      </c>
      <c r="S3005" s="17" t="str">
        <f aca="false">VLOOKUP(R3005,Sheet2!N:O,2,0)</f>
        <v>IREPARABLE</v>
      </c>
      <c r="T3005" s="18" t="str">
        <f aca="false">VLOOKUP(P3005,Sheet2!Q:R,2,0)</f>
        <v>IR Normal - Track burn out</v>
      </c>
      <c r="U3005" s="20" t="s">
        <v>41</v>
      </c>
      <c r="V3005" s="17"/>
      <c r="W3005" s="20" t="e">
        <f aca="false">VLOOKUP(V3005,Sheet2!Q:R,2,0)</f>
        <v>#N/A</v>
      </c>
      <c r="X3005" s="17" t="n">
        <f aca="false">J3005</f>
        <v>0</v>
      </c>
      <c r="Y3005" s="17" t="e">
        <f aca="false">VLOOKUP(X3005,Sheet2!A:B,2,0)</f>
        <v>#N/A</v>
      </c>
      <c r="Z3005" s="17"/>
      <c r="AA3005" s="17"/>
      <c r="AB3005" s="17" t="s">
        <v>41</v>
      </c>
      <c r="AC3005" s="0" t="str">
        <f aca="false">LEFT(G3005,2)</f>
        <v/>
      </c>
    </row>
    <row r="3006" customFormat="false" ht="15" hidden="false" customHeight="false" outlineLevel="0" collapsed="false">
      <c r="A3006" s="13" t="n">
        <f aca="false">1+A3005</f>
        <v>3004</v>
      </c>
      <c r="B3006" s="14" t="n">
        <v>100</v>
      </c>
      <c r="C3006" s="15"/>
      <c r="D3006" s="16" t="s">
        <v>64</v>
      </c>
      <c r="E3006" s="17" t="s">
        <v>47</v>
      </c>
      <c r="F3006" s="18" t="s">
        <v>34</v>
      </c>
      <c r="G3006" s="19"/>
      <c r="H3006" s="17" t="s">
        <v>35</v>
      </c>
      <c r="I3006" s="17" t="s">
        <v>44</v>
      </c>
      <c r="J3006" s="17"/>
      <c r="K3006" s="17" t="e">
        <f aca="false">VLOOKUP(J3006,Sheet2!A:B,2,0)</f>
        <v>#N/A</v>
      </c>
      <c r="L3006" s="17" t="n">
        <v>5</v>
      </c>
      <c r="M3006" s="17" t="str">
        <f aca="false">VLOOKUP(L3006,Sheet2!D:E,2,0)</f>
        <v>Main Processor CPU BGA</v>
      </c>
      <c r="N3006" s="17" t="n">
        <v>1</v>
      </c>
      <c r="O3006" s="17" t="str">
        <f aca="false">VLOOKUP(N3006,Sheet2!G:H,2,0)</f>
        <v>Dead</v>
      </c>
      <c r="P3006" s="17" t="n">
        <v>11</v>
      </c>
      <c r="Q3006" s="17" t="str">
        <f aca="false">VLOOKUP(P3006,Sheet2!J:K,2,0)</f>
        <v>IR Declared due to CID -TA</v>
      </c>
      <c r="R3006" s="17" t="s">
        <v>35</v>
      </c>
      <c r="S3006" s="17" t="str">
        <f aca="false">VLOOKUP(R3006,Sheet2!N:O,2,0)</f>
        <v>IREPARABLE</v>
      </c>
      <c r="T3006" s="18" t="str">
        <f aca="false">VLOOKUP(P3006,Sheet2!Q:R,2,0)</f>
        <v>IR Normal - Track burn out</v>
      </c>
      <c r="U3006" s="20" t="s">
        <v>41</v>
      </c>
      <c r="V3006" s="17"/>
      <c r="W3006" s="20" t="e">
        <f aca="false">VLOOKUP(V3006,Sheet2!Q:R,2,0)</f>
        <v>#N/A</v>
      </c>
      <c r="X3006" s="17" t="n">
        <f aca="false">J3006</f>
        <v>0</v>
      </c>
      <c r="Y3006" s="17" t="e">
        <f aca="false">VLOOKUP(X3006,Sheet2!A:B,2,0)</f>
        <v>#N/A</v>
      </c>
      <c r="Z3006" s="17"/>
      <c r="AA3006" s="17"/>
      <c r="AB3006" s="17" t="s">
        <v>41</v>
      </c>
      <c r="AC3006" s="0" t="str">
        <f aca="false">LEFT(G3006,2)</f>
        <v/>
      </c>
    </row>
    <row r="3007" customFormat="false" ht="15" hidden="false" customHeight="false" outlineLevel="0" collapsed="false">
      <c r="A3007" s="13" t="n">
        <f aca="false">1+A3006</f>
        <v>3005</v>
      </c>
      <c r="B3007" s="14" t="n">
        <v>100</v>
      </c>
      <c r="C3007" s="15"/>
      <c r="D3007" s="16" t="s">
        <v>64</v>
      </c>
      <c r="E3007" s="17" t="s">
        <v>47</v>
      </c>
      <c r="F3007" s="18" t="s">
        <v>34</v>
      </c>
      <c r="G3007" s="19"/>
      <c r="H3007" s="17" t="s">
        <v>35</v>
      </c>
      <c r="I3007" s="17" t="s">
        <v>44</v>
      </c>
      <c r="J3007" s="17"/>
      <c r="K3007" s="17" t="e">
        <f aca="false">VLOOKUP(J3007,Sheet2!A:B,2,0)</f>
        <v>#N/A</v>
      </c>
      <c r="L3007" s="17" t="n">
        <v>5</v>
      </c>
      <c r="M3007" s="17" t="str">
        <f aca="false">VLOOKUP(L3007,Sheet2!D:E,2,0)</f>
        <v>Main Processor CPU BGA</v>
      </c>
      <c r="N3007" s="17" t="n">
        <v>1</v>
      </c>
      <c r="O3007" s="17" t="str">
        <f aca="false">VLOOKUP(N3007,Sheet2!G:H,2,0)</f>
        <v>Dead</v>
      </c>
      <c r="P3007" s="17" t="n">
        <v>11</v>
      </c>
      <c r="Q3007" s="17" t="str">
        <f aca="false">VLOOKUP(P3007,Sheet2!J:K,2,0)</f>
        <v>IR Declared due to CID -TA</v>
      </c>
      <c r="R3007" s="17" t="s">
        <v>35</v>
      </c>
      <c r="S3007" s="17" t="str">
        <f aca="false">VLOOKUP(R3007,Sheet2!N:O,2,0)</f>
        <v>IREPARABLE</v>
      </c>
      <c r="T3007" s="18" t="str">
        <f aca="false">VLOOKUP(P3007,Sheet2!Q:R,2,0)</f>
        <v>IR Normal - Track burn out</v>
      </c>
      <c r="U3007" s="20" t="s">
        <v>41</v>
      </c>
      <c r="V3007" s="17"/>
      <c r="W3007" s="20" t="e">
        <f aca="false">VLOOKUP(V3007,Sheet2!Q:R,2,0)</f>
        <v>#N/A</v>
      </c>
      <c r="X3007" s="17" t="n">
        <f aca="false">J3007</f>
        <v>0</v>
      </c>
      <c r="Y3007" s="17" t="e">
        <f aca="false">VLOOKUP(X3007,Sheet2!A:B,2,0)</f>
        <v>#N/A</v>
      </c>
      <c r="Z3007" s="17"/>
      <c r="AA3007" s="17"/>
      <c r="AB3007" s="17" t="s">
        <v>41</v>
      </c>
      <c r="AC3007" s="0" t="str">
        <f aca="false">LEFT(G3007,2)</f>
        <v/>
      </c>
    </row>
    <row r="3008" customFormat="false" ht="15" hidden="false" customHeight="false" outlineLevel="0" collapsed="false">
      <c r="A3008" s="13" t="n">
        <f aca="false">1+A3007</f>
        <v>3006</v>
      </c>
      <c r="B3008" s="14" t="n">
        <v>100</v>
      </c>
      <c r="C3008" s="15"/>
      <c r="D3008" s="16" t="s">
        <v>64</v>
      </c>
      <c r="E3008" s="17" t="s">
        <v>47</v>
      </c>
      <c r="F3008" s="18" t="s">
        <v>34</v>
      </c>
      <c r="G3008" s="19"/>
      <c r="H3008" s="17" t="s">
        <v>35</v>
      </c>
      <c r="I3008" s="17" t="s">
        <v>44</v>
      </c>
      <c r="J3008" s="17"/>
      <c r="K3008" s="17" t="e">
        <f aca="false">VLOOKUP(J3008,Sheet2!A:B,2,0)</f>
        <v>#N/A</v>
      </c>
      <c r="L3008" s="17" t="n">
        <v>5</v>
      </c>
      <c r="M3008" s="17" t="str">
        <f aca="false">VLOOKUP(L3008,Sheet2!D:E,2,0)</f>
        <v>Main Processor CPU BGA</v>
      </c>
      <c r="N3008" s="17" t="n">
        <v>1</v>
      </c>
      <c r="O3008" s="17" t="str">
        <f aca="false">VLOOKUP(N3008,Sheet2!G:H,2,0)</f>
        <v>Dead</v>
      </c>
      <c r="P3008" s="17" t="n">
        <v>11</v>
      </c>
      <c r="Q3008" s="17" t="str">
        <f aca="false">VLOOKUP(P3008,Sheet2!J:K,2,0)</f>
        <v>IR Declared due to CID -TA</v>
      </c>
      <c r="R3008" s="17" t="s">
        <v>35</v>
      </c>
      <c r="S3008" s="17" t="str">
        <f aca="false">VLOOKUP(R3008,Sheet2!N:O,2,0)</f>
        <v>IREPARABLE</v>
      </c>
      <c r="T3008" s="18" t="str">
        <f aca="false">VLOOKUP(P3008,Sheet2!Q:R,2,0)</f>
        <v>IR Normal - Track burn out</v>
      </c>
      <c r="U3008" s="20" t="s">
        <v>41</v>
      </c>
      <c r="V3008" s="17"/>
      <c r="W3008" s="20" t="e">
        <f aca="false">VLOOKUP(V3008,Sheet2!Q:R,2,0)</f>
        <v>#N/A</v>
      </c>
      <c r="X3008" s="17" t="n">
        <f aca="false">J3008</f>
        <v>0</v>
      </c>
      <c r="Y3008" s="17" t="e">
        <f aca="false">VLOOKUP(X3008,Sheet2!A:B,2,0)</f>
        <v>#N/A</v>
      </c>
      <c r="Z3008" s="17"/>
      <c r="AA3008" s="17"/>
      <c r="AB3008" s="17" t="s">
        <v>41</v>
      </c>
      <c r="AC3008" s="0" t="str">
        <f aca="false">LEFT(G3008,2)</f>
        <v/>
      </c>
    </row>
    <row r="3009" customFormat="false" ht="15" hidden="false" customHeight="false" outlineLevel="0" collapsed="false">
      <c r="A3009" s="13" t="n">
        <f aca="false">1+A3008</f>
        <v>3007</v>
      </c>
      <c r="B3009" s="14" t="n">
        <v>100</v>
      </c>
      <c r="C3009" s="15"/>
      <c r="D3009" s="16" t="s">
        <v>64</v>
      </c>
      <c r="E3009" s="17" t="s">
        <v>47</v>
      </c>
      <c r="F3009" s="18" t="s">
        <v>34</v>
      </c>
      <c r="G3009" s="19"/>
      <c r="H3009" s="17" t="s">
        <v>35</v>
      </c>
      <c r="I3009" s="17" t="s">
        <v>44</v>
      </c>
      <c r="J3009" s="17"/>
      <c r="K3009" s="17" t="e">
        <f aca="false">VLOOKUP(J3009,Sheet2!A:B,2,0)</f>
        <v>#N/A</v>
      </c>
      <c r="L3009" s="17" t="n">
        <v>5</v>
      </c>
      <c r="M3009" s="17" t="str">
        <f aca="false">VLOOKUP(L3009,Sheet2!D:E,2,0)</f>
        <v>Main Processor CPU BGA</v>
      </c>
      <c r="N3009" s="17" t="n">
        <v>1</v>
      </c>
      <c r="O3009" s="17" t="str">
        <f aca="false">VLOOKUP(N3009,Sheet2!G:H,2,0)</f>
        <v>Dead</v>
      </c>
      <c r="P3009" s="17" t="n">
        <v>11</v>
      </c>
      <c r="Q3009" s="17" t="str">
        <f aca="false">VLOOKUP(P3009,Sheet2!J:K,2,0)</f>
        <v>IR Declared due to CID -TA</v>
      </c>
      <c r="R3009" s="17" t="s">
        <v>35</v>
      </c>
      <c r="S3009" s="17" t="str">
        <f aca="false">VLOOKUP(R3009,Sheet2!N:O,2,0)</f>
        <v>IREPARABLE</v>
      </c>
      <c r="T3009" s="18" t="str">
        <f aca="false">VLOOKUP(P3009,Sheet2!Q:R,2,0)</f>
        <v>IR Normal - Track burn out</v>
      </c>
      <c r="U3009" s="20" t="s">
        <v>41</v>
      </c>
      <c r="V3009" s="17"/>
      <c r="W3009" s="20" t="e">
        <f aca="false">VLOOKUP(V3009,Sheet2!Q:R,2,0)</f>
        <v>#N/A</v>
      </c>
      <c r="X3009" s="17" t="n">
        <f aca="false">J3009</f>
        <v>0</v>
      </c>
      <c r="Y3009" s="17" t="e">
        <f aca="false">VLOOKUP(X3009,Sheet2!A:B,2,0)</f>
        <v>#N/A</v>
      </c>
      <c r="Z3009" s="17"/>
      <c r="AA3009" s="17"/>
      <c r="AB3009" s="17" t="s">
        <v>41</v>
      </c>
      <c r="AC3009" s="0" t="str">
        <f aca="false">LEFT(G3009,2)</f>
        <v/>
      </c>
    </row>
    <row r="3010" customFormat="false" ht="15" hidden="false" customHeight="false" outlineLevel="0" collapsed="false">
      <c r="A3010" s="13" t="n">
        <f aca="false">1+A3009</f>
        <v>3008</v>
      </c>
      <c r="B3010" s="14" t="n">
        <v>100</v>
      </c>
      <c r="C3010" s="15"/>
      <c r="D3010" s="16" t="s">
        <v>64</v>
      </c>
      <c r="E3010" s="17" t="s">
        <v>47</v>
      </c>
      <c r="F3010" s="18" t="s">
        <v>34</v>
      </c>
      <c r="G3010" s="19"/>
      <c r="H3010" s="17" t="s">
        <v>35</v>
      </c>
      <c r="I3010" s="17" t="s">
        <v>44</v>
      </c>
      <c r="J3010" s="17"/>
      <c r="K3010" s="17" t="e">
        <f aca="false">VLOOKUP(J3010,Sheet2!A:B,2,0)</f>
        <v>#N/A</v>
      </c>
      <c r="L3010" s="17" t="n">
        <v>5</v>
      </c>
      <c r="M3010" s="17" t="str">
        <f aca="false">VLOOKUP(L3010,Sheet2!D:E,2,0)</f>
        <v>Main Processor CPU BGA</v>
      </c>
      <c r="N3010" s="17" t="n">
        <v>1</v>
      </c>
      <c r="O3010" s="17" t="str">
        <f aca="false">VLOOKUP(N3010,Sheet2!G:H,2,0)</f>
        <v>Dead</v>
      </c>
      <c r="P3010" s="17" t="n">
        <v>11</v>
      </c>
      <c r="Q3010" s="17" t="str">
        <f aca="false">VLOOKUP(P3010,Sheet2!J:K,2,0)</f>
        <v>IR Declared due to CID -TA</v>
      </c>
      <c r="R3010" s="17" t="s">
        <v>35</v>
      </c>
      <c r="S3010" s="17" t="str">
        <f aca="false">VLOOKUP(R3010,Sheet2!N:O,2,0)</f>
        <v>IREPARABLE</v>
      </c>
      <c r="T3010" s="18" t="str">
        <f aca="false">VLOOKUP(P3010,Sheet2!Q:R,2,0)</f>
        <v>IR Normal - Track burn out</v>
      </c>
      <c r="U3010" s="20" t="s">
        <v>41</v>
      </c>
      <c r="V3010" s="17"/>
      <c r="W3010" s="20" t="e">
        <f aca="false">VLOOKUP(V3010,Sheet2!Q:R,2,0)</f>
        <v>#N/A</v>
      </c>
      <c r="X3010" s="17" t="n">
        <f aca="false">J3010</f>
        <v>0</v>
      </c>
      <c r="Y3010" s="17" t="e">
        <f aca="false">VLOOKUP(X3010,Sheet2!A:B,2,0)</f>
        <v>#N/A</v>
      </c>
      <c r="Z3010" s="17"/>
      <c r="AA3010" s="17"/>
      <c r="AB3010" s="17" t="s">
        <v>41</v>
      </c>
      <c r="AC3010" s="0" t="str">
        <f aca="false">LEFT(G3010,2)</f>
        <v/>
      </c>
    </row>
    <row r="3011" customFormat="false" ht="15" hidden="false" customHeight="false" outlineLevel="0" collapsed="false">
      <c r="A3011" s="13" t="n">
        <f aca="false">1+A3010</f>
        <v>3009</v>
      </c>
      <c r="B3011" s="14" t="n">
        <v>100</v>
      </c>
      <c r="C3011" s="15"/>
      <c r="D3011" s="16" t="s">
        <v>64</v>
      </c>
      <c r="E3011" s="17" t="s">
        <v>47</v>
      </c>
      <c r="F3011" s="18" t="s">
        <v>34</v>
      </c>
      <c r="G3011" s="19"/>
      <c r="H3011" s="17" t="s">
        <v>35</v>
      </c>
      <c r="I3011" s="17" t="s">
        <v>44</v>
      </c>
      <c r="J3011" s="17"/>
      <c r="K3011" s="17" t="e">
        <f aca="false">VLOOKUP(J3011,Sheet2!A:B,2,0)</f>
        <v>#N/A</v>
      </c>
      <c r="L3011" s="17" t="n">
        <v>5</v>
      </c>
      <c r="M3011" s="17" t="str">
        <f aca="false">VLOOKUP(L3011,Sheet2!D:E,2,0)</f>
        <v>Main Processor CPU BGA</v>
      </c>
      <c r="N3011" s="17" t="n">
        <v>1</v>
      </c>
      <c r="O3011" s="17" t="str">
        <f aca="false">VLOOKUP(N3011,Sheet2!G:H,2,0)</f>
        <v>Dead</v>
      </c>
      <c r="P3011" s="17" t="n">
        <v>11</v>
      </c>
      <c r="Q3011" s="17" t="str">
        <f aca="false">VLOOKUP(P3011,Sheet2!J:K,2,0)</f>
        <v>IR Declared due to CID -TA</v>
      </c>
      <c r="R3011" s="17" t="s">
        <v>35</v>
      </c>
      <c r="S3011" s="17" t="str">
        <f aca="false">VLOOKUP(R3011,Sheet2!N:O,2,0)</f>
        <v>IREPARABLE</v>
      </c>
      <c r="T3011" s="18" t="str">
        <f aca="false">VLOOKUP(P3011,Sheet2!Q:R,2,0)</f>
        <v>IR Normal - Track burn out</v>
      </c>
      <c r="U3011" s="20" t="s">
        <v>41</v>
      </c>
      <c r="V3011" s="17"/>
      <c r="W3011" s="20" t="e">
        <f aca="false">VLOOKUP(V3011,Sheet2!Q:R,2,0)</f>
        <v>#N/A</v>
      </c>
      <c r="X3011" s="17" t="n">
        <f aca="false">J3011</f>
        <v>0</v>
      </c>
      <c r="Y3011" s="17" t="e">
        <f aca="false">VLOOKUP(X3011,Sheet2!A:B,2,0)</f>
        <v>#N/A</v>
      </c>
      <c r="Z3011" s="17"/>
      <c r="AA3011" s="17"/>
      <c r="AB3011" s="17" t="s">
        <v>41</v>
      </c>
      <c r="AC3011" s="0" t="str">
        <f aca="false">LEFT(G3011,2)</f>
        <v/>
      </c>
    </row>
    <row r="3012" customFormat="false" ht="15" hidden="false" customHeight="false" outlineLevel="0" collapsed="false">
      <c r="A3012" s="13" t="n">
        <f aca="false">1+A3011</f>
        <v>3010</v>
      </c>
      <c r="B3012" s="14" t="n">
        <v>100</v>
      </c>
      <c r="C3012" s="15"/>
      <c r="D3012" s="16" t="s">
        <v>64</v>
      </c>
      <c r="E3012" s="17" t="s">
        <v>47</v>
      </c>
      <c r="F3012" s="18" t="s">
        <v>34</v>
      </c>
      <c r="G3012" s="19"/>
      <c r="H3012" s="17" t="s">
        <v>35</v>
      </c>
      <c r="I3012" s="17" t="s">
        <v>44</v>
      </c>
      <c r="J3012" s="17"/>
      <c r="K3012" s="17" t="e">
        <f aca="false">VLOOKUP(J3012,Sheet2!A:B,2,0)</f>
        <v>#N/A</v>
      </c>
      <c r="L3012" s="17" t="n">
        <v>5</v>
      </c>
      <c r="M3012" s="17" t="str">
        <f aca="false">VLOOKUP(L3012,Sheet2!D:E,2,0)</f>
        <v>Main Processor CPU BGA</v>
      </c>
      <c r="N3012" s="17" t="n">
        <v>1</v>
      </c>
      <c r="O3012" s="17" t="str">
        <f aca="false">VLOOKUP(N3012,Sheet2!G:H,2,0)</f>
        <v>Dead</v>
      </c>
      <c r="P3012" s="17" t="n">
        <v>11</v>
      </c>
      <c r="Q3012" s="17" t="str">
        <f aca="false">VLOOKUP(P3012,Sheet2!J:K,2,0)</f>
        <v>IR Declared due to CID -TA</v>
      </c>
      <c r="R3012" s="17" t="s">
        <v>35</v>
      </c>
      <c r="S3012" s="17" t="str">
        <f aca="false">VLOOKUP(R3012,Sheet2!N:O,2,0)</f>
        <v>IREPARABLE</v>
      </c>
      <c r="T3012" s="18" t="str">
        <f aca="false">VLOOKUP(P3012,Sheet2!Q:R,2,0)</f>
        <v>IR Normal - Track burn out</v>
      </c>
      <c r="U3012" s="20" t="s">
        <v>41</v>
      </c>
      <c r="V3012" s="17"/>
      <c r="W3012" s="20" t="e">
        <f aca="false">VLOOKUP(V3012,Sheet2!Q:R,2,0)</f>
        <v>#N/A</v>
      </c>
      <c r="X3012" s="17" t="n">
        <f aca="false">J3012</f>
        <v>0</v>
      </c>
      <c r="Y3012" s="17" t="e">
        <f aca="false">VLOOKUP(X3012,Sheet2!A:B,2,0)</f>
        <v>#N/A</v>
      </c>
      <c r="Z3012" s="17"/>
      <c r="AA3012" s="17"/>
      <c r="AB3012" s="17" t="s">
        <v>41</v>
      </c>
      <c r="AC3012" s="0" t="str">
        <f aca="false">LEFT(G3012,2)</f>
        <v/>
      </c>
    </row>
    <row r="3013" customFormat="false" ht="15" hidden="false" customHeight="false" outlineLevel="0" collapsed="false">
      <c r="A3013" s="13" t="n">
        <f aca="false">1+A3012</f>
        <v>3011</v>
      </c>
      <c r="B3013" s="14" t="n">
        <v>100</v>
      </c>
      <c r="C3013" s="15"/>
      <c r="D3013" s="16" t="s">
        <v>64</v>
      </c>
      <c r="E3013" s="17" t="s">
        <v>47</v>
      </c>
      <c r="F3013" s="18" t="s">
        <v>34</v>
      </c>
      <c r="G3013" s="19"/>
      <c r="H3013" s="17" t="s">
        <v>35</v>
      </c>
      <c r="I3013" s="17" t="s">
        <v>44</v>
      </c>
      <c r="J3013" s="17"/>
      <c r="K3013" s="17" t="e">
        <f aca="false">VLOOKUP(J3013,Sheet2!A:B,2,0)</f>
        <v>#N/A</v>
      </c>
      <c r="L3013" s="17" t="n">
        <v>5</v>
      </c>
      <c r="M3013" s="17" t="str">
        <f aca="false">VLOOKUP(L3013,Sheet2!D:E,2,0)</f>
        <v>Main Processor CPU BGA</v>
      </c>
      <c r="N3013" s="17" t="n">
        <v>1</v>
      </c>
      <c r="O3013" s="17" t="str">
        <f aca="false">VLOOKUP(N3013,Sheet2!G:H,2,0)</f>
        <v>Dead</v>
      </c>
      <c r="P3013" s="17" t="n">
        <v>11</v>
      </c>
      <c r="Q3013" s="17" t="str">
        <f aca="false">VLOOKUP(P3013,Sheet2!J:K,2,0)</f>
        <v>IR Declared due to CID -TA</v>
      </c>
      <c r="R3013" s="17" t="s">
        <v>35</v>
      </c>
      <c r="S3013" s="17" t="str">
        <f aca="false">VLOOKUP(R3013,Sheet2!N:O,2,0)</f>
        <v>IREPARABLE</v>
      </c>
      <c r="T3013" s="18" t="str">
        <f aca="false">VLOOKUP(P3013,Sheet2!Q:R,2,0)</f>
        <v>IR Normal - Track burn out</v>
      </c>
      <c r="U3013" s="20" t="s">
        <v>41</v>
      </c>
      <c r="V3013" s="17"/>
      <c r="W3013" s="20" t="e">
        <f aca="false">VLOOKUP(V3013,Sheet2!Q:R,2,0)</f>
        <v>#N/A</v>
      </c>
      <c r="X3013" s="17" t="n">
        <f aca="false">J3013</f>
        <v>0</v>
      </c>
      <c r="Y3013" s="17" t="e">
        <f aca="false">VLOOKUP(X3013,Sheet2!A:B,2,0)</f>
        <v>#N/A</v>
      </c>
      <c r="Z3013" s="17"/>
      <c r="AA3013" s="17"/>
      <c r="AB3013" s="17" t="s">
        <v>41</v>
      </c>
      <c r="AC3013" s="0" t="str">
        <f aca="false">LEFT(G3013,2)</f>
        <v/>
      </c>
    </row>
    <row r="3014" customFormat="false" ht="15" hidden="false" customHeight="false" outlineLevel="0" collapsed="false">
      <c r="A3014" s="13" t="n">
        <f aca="false">1+A3013</f>
        <v>3012</v>
      </c>
      <c r="B3014" s="14" t="n">
        <v>100</v>
      </c>
      <c r="C3014" s="15"/>
      <c r="D3014" s="16" t="s">
        <v>64</v>
      </c>
      <c r="E3014" s="17" t="s">
        <v>47</v>
      </c>
      <c r="F3014" s="18" t="s">
        <v>34</v>
      </c>
      <c r="G3014" s="19"/>
      <c r="H3014" s="17" t="s">
        <v>35</v>
      </c>
      <c r="I3014" s="17" t="s">
        <v>44</v>
      </c>
      <c r="J3014" s="17"/>
      <c r="K3014" s="17" t="e">
        <f aca="false">VLOOKUP(J3014,Sheet2!A:B,2,0)</f>
        <v>#N/A</v>
      </c>
      <c r="L3014" s="17" t="n">
        <v>5</v>
      </c>
      <c r="M3014" s="17" t="str">
        <f aca="false">VLOOKUP(L3014,Sheet2!D:E,2,0)</f>
        <v>Main Processor CPU BGA</v>
      </c>
      <c r="N3014" s="17" t="n">
        <v>1</v>
      </c>
      <c r="O3014" s="17" t="str">
        <f aca="false">VLOOKUP(N3014,Sheet2!G:H,2,0)</f>
        <v>Dead</v>
      </c>
      <c r="P3014" s="17" t="n">
        <v>11</v>
      </c>
      <c r="Q3014" s="17" t="str">
        <f aca="false">VLOOKUP(P3014,Sheet2!J:K,2,0)</f>
        <v>IR Declared due to CID -TA</v>
      </c>
      <c r="R3014" s="17" t="s">
        <v>35</v>
      </c>
      <c r="S3014" s="17" t="str">
        <f aca="false">VLOOKUP(R3014,Sheet2!N:O,2,0)</f>
        <v>IREPARABLE</v>
      </c>
      <c r="T3014" s="18" t="str">
        <f aca="false">VLOOKUP(P3014,Sheet2!Q:R,2,0)</f>
        <v>IR Normal - Track burn out</v>
      </c>
      <c r="U3014" s="20" t="s">
        <v>41</v>
      </c>
      <c r="V3014" s="17"/>
      <c r="W3014" s="20" t="e">
        <f aca="false">VLOOKUP(V3014,Sheet2!Q:R,2,0)</f>
        <v>#N/A</v>
      </c>
      <c r="X3014" s="17" t="n">
        <f aca="false">J3014</f>
        <v>0</v>
      </c>
      <c r="Y3014" s="17" t="e">
        <f aca="false">VLOOKUP(X3014,Sheet2!A:B,2,0)</f>
        <v>#N/A</v>
      </c>
      <c r="Z3014" s="17"/>
      <c r="AA3014" s="17"/>
      <c r="AB3014" s="17" t="s">
        <v>41</v>
      </c>
      <c r="AC3014" s="0" t="str">
        <f aca="false">LEFT(G3014,2)</f>
        <v/>
      </c>
    </row>
    <row r="3015" customFormat="false" ht="15" hidden="false" customHeight="false" outlineLevel="0" collapsed="false">
      <c r="A3015" s="13" t="n">
        <f aca="false">1+A3014</f>
        <v>3013</v>
      </c>
      <c r="B3015" s="14" t="n">
        <v>100</v>
      </c>
      <c r="C3015" s="15"/>
      <c r="D3015" s="16" t="s">
        <v>64</v>
      </c>
      <c r="E3015" s="17" t="s">
        <v>47</v>
      </c>
      <c r="F3015" s="18" t="s">
        <v>34</v>
      </c>
      <c r="G3015" s="19"/>
      <c r="H3015" s="17" t="s">
        <v>35</v>
      </c>
      <c r="I3015" s="17" t="s">
        <v>44</v>
      </c>
      <c r="J3015" s="17"/>
      <c r="K3015" s="17" t="e">
        <f aca="false">VLOOKUP(J3015,Sheet2!A:B,2,0)</f>
        <v>#N/A</v>
      </c>
      <c r="L3015" s="17" t="n">
        <v>5</v>
      </c>
      <c r="M3015" s="17" t="str">
        <f aca="false">VLOOKUP(L3015,Sheet2!D:E,2,0)</f>
        <v>Main Processor CPU BGA</v>
      </c>
      <c r="N3015" s="17" t="n">
        <v>1</v>
      </c>
      <c r="O3015" s="17" t="str">
        <f aca="false">VLOOKUP(N3015,Sheet2!G:H,2,0)</f>
        <v>Dead</v>
      </c>
      <c r="P3015" s="17" t="n">
        <v>11</v>
      </c>
      <c r="Q3015" s="17" t="str">
        <f aca="false">VLOOKUP(P3015,Sheet2!J:K,2,0)</f>
        <v>IR Declared due to CID -TA</v>
      </c>
      <c r="R3015" s="17" t="s">
        <v>35</v>
      </c>
      <c r="S3015" s="17" t="str">
        <f aca="false">VLOOKUP(R3015,Sheet2!N:O,2,0)</f>
        <v>IREPARABLE</v>
      </c>
      <c r="T3015" s="18" t="str">
        <f aca="false">VLOOKUP(P3015,Sheet2!Q:R,2,0)</f>
        <v>IR Normal - Track burn out</v>
      </c>
      <c r="U3015" s="20" t="s">
        <v>41</v>
      </c>
      <c r="V3015" s="17"/>
      <c r="W3015" s="20" t="e">
        <f aca="false">VLOOKUP(V3015,Sheet2!Q:R,2,0)</f>
        <v>#N/A</v>
      </c>
      <c r="X3015" s="17" t="n">
        <f aca="false">J3015</f>
        <v>0</v>
      </c>
      <c r="Y3015" s="17" t="e">
        <f aca="false">VLOOKUP(X3015,Sheet2!A:B,2,0)</f>
        <v>#N/A</v>
      </c>
      <c r="Z3015" s="17"/>
      <c r="AA3015" s="17"/>
      <c r="AB3015" s="17" t="s">
        <v>41</v>
      </c>
      <c r="AC3015" s="0" t="str">
        <f aca="false">LEFT(G3015,2)</f>
        <v/>
      </c>
    </row>
    <row r="3016" customFormat="false" ht="15" hidden="false" customHeight="false" outlineLevel="0" collapsed="false">
      <c r="A3016" s="13" t="n">
        <f aca="false">1+A3015</f>
        <v>3014</v>
      </c>
      <c r="B3016" s="14" t="n">
        <v>100</v>
      </c>
      <c r="C3016" s="15"/>
      <c r="D3016" s="16" t="s">
        <v>64</v>
      </c>
      <c r="E3016" s="17" t="s">
        <v>47</v>
      </c>
      <c r="F3016" s="18" t="s">
        <v>34</v>
      </c>
      <c r="G3016" s="19"/>
      <c r="H3016" s="17" t="s">
        <v>35</v>
      </c>
      <c r="I3016" s="17" t="s">
        <v>44</v>
      </c>
      <c r="J3016" s="17"/>
      <c r="K3016" s="17" t="e">
        <f aca="false">VLOOKUP(J3016,Sheet2!A:B,2,0)</f>
        <v>#N/A</v>
      </c>
      <c r="L3016" s="17" t="n">
        <v>5</v>
      </c>
      <c r="M3016" s="17" t="str">
        <f aca="false">VLOOKUP(L3016,Sheet2!D:E,2,0)</f>
        <v>Main Processor CPU BGA</v>
      </c>
      <c r="N3016" s="17" t="n">
        <v>1</v>
      </c>
      <c r="O3016" s="17" t="str">
        <f aca="false">VLOOKUP(N3016,Sheet2!G:H,2,0)</f>
        <v>Dead</v>
      </c>
      <c r="P3016" s="17" t="n">
        <v>11</v>
      </c>
      <c r="Q3016" s="17" t="str">
        <f aca="false">VLOOKUP(P3016,Sheet2!J:K,2,0)</f>
        <v>IR Declared due to CID -TA</v>
      </c>
      <c r="R3016" s="17" t="s">
        <v>35</v>
      </c>
      <c r="S3016" s="17" t="str">
        <f aca="false">VLOOKUP(R3016,Sheet2!N:O,2,0)</f>
        <v>IREPARABLE</v>
      </c>
      <c r="T3016" s="18" t="str">
        <f aca="false">VLOOKUP(P3016,Sheet2!Q:R,2,0)</f>
        <v>IR Normal - Track burn out</v>
      </c>
      <c r="U3016" s="20" t="s">
        <v>41</v>
      </c>
      <c r="V3016" s="17"/>
      <c r="W3016" s="20" t="e">
        <f aca="false">VLOOKUP(V3016,Sheet2!Q:R,2,0)</f>
        <v>#N/A</v>
      </c>
      <c r="X3016" s="17" t="n">
        <f aca="false">J3016</f>
        <v>0</v>
      </c>
      <c r="Y3016" s="17" t="e">
        <f aca="false">VLOOKUP(X3016,Sheet2!A:B,2,0)</f>
        <v>#N/A</v>
      </c>
      <c r="Z3016" s="17"/>
      <c r="AA3016" s="17"/>
      <c r="AB3016" s="17" t="s">
        <v>41</v>
      </c>
      <c r="AC3016" s="0" t="str">
        <f aca="false">LEFT(G3016,2)</f>
        <v/>
      </c>
    </row>
    <row r="3017" customFormat="false" ht="15" hidden="false" customHeight="false" outlineLevel="0" collapsed="false">
      <c r="A3017" s="13" t="n">
        <f aca="false">1+A3016</f>
        <v>3015</v>
      </c>
      <c r="B3017" s="14" t="n">
        <v>100</v>
      </c>
      <c r="C3017" s="15"/>
      <c r="D3017" s="16" t="s">
        <v>64</v>
      </c>
      <c r="E3017" s="17" t="s">
        <v>47</v>
      </c>
      <c r="F3017" s="18" t="s">
        <v>34</v>
      </c>
      <c r="G3017" s="19"/>
      <c r="H3017" s="17" t="s">
        <v>35</v>
      </c>
      <c r="I3017" s="17" t="s">
        <v>44</v>
      </c>
      <c r="J3017" s="17"/>
      <c r="K3017" s="17" t="e">
        <f aca="false">VLOOKUP(J3017,Sheet2!A:B,2,0)</f>
        <v>#N/A</v>
      </c>
      <c r="L3017" s="17" t="n">
        <v>5</v>
      </c>
      <c r="M3017" s="17" t="str">
        <f aca="false">VLOOKUP(L3017,Sheet2!D:E,2,0)</f>
        <v>Main Processor CPU BGA</v>
      </c>
      <c r="N3017" s="17" t="n">
        <v>1</v>
      </c>
      <c r="O3017" s="17" t="str">
        <f aca="false">VLOOKUP(N3017,Sheet2!G:H,2,0)</f>
        <v>Dead</v>
      </c>
      <c r="P3017" s="17" t="n">
        <v>11</v>
      </c>
      <c r="Q3017" s="17" t="str">
        <f aca="false">VLOOKUP(P3017,Sheet2!J:K,2,0)</f>
        <v>IR Declared due to CID -TA</v>
      </c>
      <c r="R3017" s="17" t="s">
        <v>35</v>
      </c>
      <c r="S3017" s="17" t="str">
        <f aca="false">VLOOKUP(R3017,Sheet2!N:O,2,0)</f>
        <v>IREPARABLE</v>
      </c>
      <c r="T3017" s="18" t="str">
        <f aca="false">VLOOKUP(P3017,Sheet2!Q:R,2,0)</f>
        <v>IR Normal - Track burn out</v>
      </c>
      <c r="U3017" s="20" t="s">
        <v>41</v>
      </c>
      <c r="V3017" s="17"/>
      <c r="W3017" s="20" t="e">
        <f aca="false">VLOOKUP(V3017,Sheet2!Q:R,2,0)</f>
        <v>#N/A</v>
      </c>
      <c r="X3017" s="17" t="n">
        <f aca="false">J3017</f>
        <v>0</v>
      </c>
      <c r="Y3017" s="17" t="e">
        <f aca="false">VLOOKUP(X3017,Sheet2!A:B,2,0)</f>
        <v>#N/A</v>
      </c>
      <c r="Z3017" s="17"/>
      <c r="AA3017" s="17"/>
      <c r="AB3017" s="17" t="s">
        <v>41</v>
      </c>
      <c r="AC3017" s="0" t="str">
        <f aca="false">LEFT(G3017,2)</f>
        <v/>
      </c>
    </row>
    <row r="3018" customFormat="false" ht="15" hidden="false" customHeight="false" outlineLevel="0" collapsed="false">
      <c r="A3018" s="13" t="n">
        <f aca="false">1+A3017</f>
        <v>3016</v>
      </c>
      <c r="B3018" s="14" t="n">
        <v>100</v>
      </c>
      <c r="C3018" s="15"/>
      <c r="D3018" s="16" t="s">
        <v>64</v>
      </c>
      <c r="E3018" s="17" t="s">
        <v>47</v>
      </c>
      <c r="F3018" s="18" t="s">
        <v>34</v>
      </c>
      <c r="G3018" s="19"/>
      <c r="H3018" s="17" t="s">
        <v>35</v>
      </c>
      <c r="I3018" s="17" t="s">
        <v>44</v>
      </c>
      <c r="J3018" s="17"/>
      <c r="K3018" s="17" t="e">
        <f aca="false">VLOOKUP(J3018,Sheet2!A:B,2,0)</f>
        <v>#N/A</v>
      </c>
      <c r="L3018" s="17" t="n">
        <v>5</v>
      </c>
      <c r="M3018" s="17" t="str">
        <f aca="false">VLOOKUP(L3018,Sheet2!D:E,2,0)</f>
        <v>Main Processor CPU BGA</v>
      </c>
      <c r="N3018" s="17" t="n">
        <v>1</v>
      </c>
      <c r="O3018" s="17" t="str">
        <f aca="false">VLOOKUP(N3018,Sheet2!G:H,2,0)</f>
        <v>Dead</v>
      </c>
      <c r="P3018" s="17" t="n">
        <v>11</v>
      </c>
      <c r="Q3018" s="17" t="str">
        <f aca="false">VLOOKUP(P3018,Sheet2!J:K,2,0)</f>
        <v>IR Declared due to CID -TA</v>
      </c>
      <c r="R3018" s="17" t="s">
        <v>35</v>
      </c>
      <c r="S3018" s="17" t="str">
        <f aca="false">VLOOKUP(R3018,Sheet2!N:O,2,0)</f>
        <v>IREPARABLE</v>
      </c>
      <c r="T3018" s="18" t="str">
        <f aca="false">VLOOKUP(P3018,Sheet2!Q:R,2,0)</f>
        <v>IR Normal - Track burn out</v>
      </c>
      <c r="U3018" s="20" t="s">
        <v>41</v>
      </c>
      <c r="V3018" s="17"/>
      <c r="W3018" s="20" t="e">
        <f aca="false">VLOOKUP(V3018,Sheet2!Q:R,2,0)</f>
        <v>#N/A</v>
      </c>
      <c r="X3018" s="17" t="n">
        <f aca="false">J3018</f>
        <v>0</v>
      </c>
      <c r="Y3018" s="17" t="e">
        <f aca="false">VLOOKUP(X3018,Sheet2!A:B,2,0)</f>
        <v>#N/A</v>
      </c>
      <c r="Z3018" s="17"/>
      <c r="AA3018" s="17"/>
      <c r="AB3018" s="17" t="s">
        <v>41</v>
      </c>
      <c r="AC3018" s="0" t="str">
        <f aca="false">LEFT(G3018,2)</f>
        <v/>
      </c>
    </row>
    <row r="3019" customFormat="false" ht="15" hidden="false" customHeight="false" outlineLevel="0" collapsed="false">
      <c r="A3019" s="13" t="n">
        <f aca="false">1+A3018</f>
        <v>3017</v>
      </c>
      <c r="B3019" s="14" t="n">
        <v>100</v>
      </c>
      <c r="C3019" s="15"/>
      <c r="D3019" s="16" t="s">
        <v>64</v>
      </c>
      <c r="E3019" s="17" t="s">
        <v>47</v>
      </c>
      <c r="F3019" s="18" t="s">
        <v>34</v>
      </c>
      <c r="G3019" s="19"/>
      <c r="H3019" s="17" t="s">
        <v>35</v>
      </c>
      <c r="I3019" s="17" t="s">
        <v>44</v>
      </c>
      <c r="J3019" s="17"/>
      <c r="K3019" s="17" t="e">
        <f aca="false">VLOOKUP(J3019,Sheet2!A:B,2,0)</f>
        <v>#N/A</v>
      </c>
      <c r="L3019" s="17" t="n">
        <v>5</v>
      </c>
      <c r="M3019" s="17" t="str">
        <f aca="false">VLOOKUP(L3019,Sheet2!D:E,2,0)</f>
        <v>Main Processor CPU BGA</v>
      </c>
      <c r="N3019" s="17" t="n">
        <v>1</v>
      </c>
      <c r="O3019" s="17" t="str">
        <f aca="false">VLOOKUP(N3019,Sheet2!G:H,2,0)</f>
        <v>Dead</v>
      </c>
      <c r="P3019" s="17" t="n">
        <v>11</v>
      </c>
      <c r="Q3019" s="17" t="str">
        <f aca="false">VLOOKUP(P3019,Sheet2!J:K,2,0)</f>
        <v>IR Declared due to CID -TA</v>
      </c>
      <c r="R3019" s="17" t="s">
        <v>35</v>
      </c>
      <c r="S3019" s="17" t="str">
        <f aca="false">VLOOKUP(R3019,Sheet2!N:O,2,0)</f>
        <v>IREPARABLE</v>
      </c>
      <c r="T3019" s="18" t="str">
        <f aca="false">VLOOKUP(P3019,Sheet2!Q:R,2,0)</f>
        <v>IR Normal - Track burn out</v>
      </c>
      <c r="U3019" s="20" t="s">
        <v>41</v>
      </c>
      <c r="V3019" s="17"/>
      <c r="W3019" s="20" t="e">
        <f aca="false">VLOOKUP(V3019,Sheet2!Q:R,2,0)</f>
        <v>#N/A</v>
      </c>
      <c r="X3019" s="17" t="n">
        <f aca="false">J3019</f>
        <v>0</v>
      </c>
      <c r="Y3019" s="17" t="e">
        <f aca="false">VLOOKUP(X3019,Sheet2!A:B,2,0)</f>
        <v>#N/A</v>
      </c>
      <c r="Z3019" s="17"/>
      <c r="AA3019" s="17"/>
      <c r="AB3019" s="17" t="s">
        <v>41</v>
      </c>
      <c r="AC3019" s="0" t="str">
        <f aca="false">LEFT(G3019,2)</f>
        <v/>
      </c>
    </row>
    <row r="3020" customFormat="false" ht="15" hidden="false" customHeight="false" outlineLevel="0" collapsed="false">
      <c r="A3020" s="13" t="n">
        <f aca="false">1+A3019</f>
        <v>3018</v>
      </c>
      <c r="B3020" s="14" t="n">
        <v>100</v>
      </c>
      <c r="C3020" s="15"/>
      <c r="D3020" s="16" t="s">
        <v>64</v>
      </c>
      <c r="E3020" s="17" t="s">
        <v>47</v>
      </c>
      <c r="F3020" s="18" t="s">
        <v>34</v>
      </c>
      <c r="G3020" s="19"/>
      <c r="H3020" s="17" t="s">
        <v>35</v>
      </c>
      <c r="I3020" s="17" t="s">
        <v>44</v>
      </c>
      <c r="J3020" s="17"/>
      <c r="K3020" s="17" t="e">
        <f aca="false">VLOOKUP(J3020,Sheet2!A:B,2,0)</f>
        <v>#N/A</v>
      </c>
      <c r="L3020" s="17" t="n">
        <v>5</v>
      </c>
      <c r="M3020" s="17" t="str">
        <f aca="false">VLOOKUP(L3020,Sheet2!D:E,2,0)</f>
        <v>Main Processor CPU BGA</v>
      </c>
      <c r="N3020" s="17" t="n">
        <v>1</v>
      </c>
      <c r="O3020" s="17" t="str">
        <f aca="false">VLOOKUP(N3020,Sheet2!G:H,2,0)</f>
        <v>Dead</v>
      </c>
      <c r="P3020" s="17" t="n">
        <v>11</v>
      </c>
      <c r="Q3020" s="17" t="str">
        <f aca="false">VLOOKUP(P3020,Sheet2!J:K,2,0)</f>
        <v>IR Declared due to CID -TA</v>
      </c>
      <c r="R3020" s="17" t="s">
        <v>35</v>
      </c>
      <c r="S3020" s="17" t="str">
        <f aca="false">VLOOKUP(R3020,Sheet2!N:O,2,0)</f>
        <v>IREPARABLE</v>
      </c>
      <c r="T3020" s="18" t="str">
        <f aca="false">VLOOKUP(P3020,Sheet2!Q:R,2,0)</f>
        <v>IR Normal - Track burn out</v>
      </c>
      <c r="U3020" s="20" t="s">
        <v>41</v>
      </c>
      <c r="V3020" s="17"/>
      <c r="W3020" s="20" t="e">
        <f aca="false">VLOOKUP(V3020,Sheet2!Q:R,2,0)</f>
        <v>#N/A</v>
      </c>
      <c r="X3020" s="17" t="n">
        <f aca="false">J3020</f>
        <v>0</v>
      </c>
      <c r="Y3020" s="17" t="e">
        <f aca="false">VLOOKUP(X3020,Sheet2!A:B,2,0)</f>
        <v>#N/A</v>
      </c>
      <c r="Z3020" s="17"/>
      <c r="AA3020" s="17"/>
      <c r="AB3020" s="17" t="s">
        <v>41</v>
      </c>
      <c r="AC3020" s="0" t="str">
        <f aca="false">LEFT(G3020,2)</f>
        <v/>
      </c>
    </row>
    <row r="3021" customFormat="false" ht="15" hidden="false" customHeight="false" outlineLevel="0" collapsed="false">
      <c r="A3021" s="13" t="n">
        <f aca="false">1+A3020</f>
        <v>3019</v>
      </c>
      <c r="B3021" s="14" t="n">
        <v>100</v>
      </c>
      <c r="C3021" s="15"/>
      <c r="D3021" s="16" t="s">
        <v>64</v>
      </c>
      <c r="E3021" s="17" t="s">
        <v>47</v>
      </c>
      <c r="F3021" s="18" t="s">
        <v>34</v>
      </c>
      <c r="G3021" s="19"/>
      <c r="H3021" s="17" t="s">
        <v>35</v>
      </c>
      <c r="I3021" s="17" t="s">
        <v>44</v>
      </c>
      <c r="J3021" s="17"/>
      <c r="K3021" s="17" t="e">
        <f aca="false">VLOOKUP(J3021,Sheet2!A:B,2,0)</f>
        <v>#N/A</v>
      </c>
      <c r="L3021" s="17" t="n">
        <v>5</v>
      </c>
      <c r="M3021" s="17" t="str">
        <f aca="false">VLOOKUP(L3021,Sheet2!D:E,2,0)</f>
        <v>Main Processor CPU BGA</v>
      </c>
      <c r="N3021" s="17" t="n">
        <v>1</v>
      </c>
      <c r="O3021" s="17" t="str">
        <f aca="false">VLOOKUP(N3021,Sheet2!G:H,2,0)</f>
        <v>Dead</v>
      </c>
      <c r="P3021" s="17" t="n">
        <v>11</v>
      </c>
      <c r="Q3021" s="17" t="str">
        <f aca="false">VLOOKUP(P3021,Sheet2!J:K,2,0)</f>
        <v>IR Declared due to CID -TA</v>
      </c>
      <c r="R3021" s="17" t="s">
        <v>35</v>
      </c>
      <c r="S3021" s="17" t="str">
        <f aca="false">VLOOKUP(R3021,Sheet2!N:O,2,0)</f>
        <v>IREPARABLE</v>
      </c>
      <c r="T3021" s="18" t="str">
        <f aca="false">VLOOKUP(P3021,Sheet2!Q:R,2,0)</f>
        <v>IR Normal - Track burn out</v>
      </c>
      <c r="U3021" s="20" t="s">
        <v>41</v>
      </c>
      <c r="V3021" s="17"/>
      <c r="W3021" s="20" t="e">
        <f aca="false">VLOOKUP(V3021,Sheet2!Q:R,2,0)</f>
        <v>#N/A</v>
      </c>
      <c r="X3021" s="17" t="n">
        <f aca="false">J3021</f>
        <v>0</v>
      </c>
      <c r="Y3021" s="17" t="e">
        <f aca="false">VLOOKUP(X3021,Sheet2!A:B,2,0)</f>
        <v>#N/A</v>
      </c>
      <c r="Z3021" s="17"/>
      <c r="AA3021" s="17"/>
      <c r="AB3021" s="17" t="s">
        <v>41</v>
      </c>
      <c r="AC3021" s="0" t="str">
        <f aca="false">LEFT(G3021,2)</f>
        <v/>
      </c>
    </row>
    <row r="3022" customFormat="false" ht="15" hidden="false" customHeight="false" outlineLevel="0" collapsed="false">
      <c r="A3022" s="13" t="n">
        <f aca="false">1+A3021</f>
        <v>3020</v>
      </c>
      <c r="B3022" s="14" t="n">
        <v>100</v>
      </c>
      <c r="C3022" s="15"/>
      <c r="D3022" s="16" t="s">
        <v>64</v>
      </c>
      <c r="E3022" s="17" t="s">
        <v>47</v>
      </c>
      <c r="F3022" s="18" t="s">
        <v>34</v>
      </c>
      <c r="G3022" s="19"/>
      <c r="H3022" s="17" t="s">
        <v>35</v>
      </c>
      <c r="I3022" s="17" t="s">
        <v>44</v>
      </c>
      <c r="J3022" s="17"/>
      <c r="K3022" s="17" t="e">
        <f aca="false">VLOOKUP(J3022,Sheet2!A:B,2,0)</f>
        <v>#N/A</v>
      </c>
      <c r="L3022" s="17" t="n">
        <v>5</v>
      </c>
      <c r="M3022" s="17" t="str">
        <f aca="false">VLOOKUP(L3022,Sheet2!D:E,2,0)</f>
        <v>Main Processor CPU BGA</v>
      </c>
      <c r="N3022" s="17" t="n">
        <v>1</v>
      </c>
      <c r="O3022" s="17" t="str">
        <f aca="false">VLOOKUP(N3022,Sheet2!G:H,2,0)</f>
        <v>Dead</v>
      </c>
      <c r="P3022" s="17" t="n">
        <v>11</v>
      </c>
      <c r="Q3022" s="17" t="str">
        <f aca="false">VLOOKUP(P3022,Sheet2!J:K,2,0)</f>
        <v>IR Declared due to CID -TA</v>
      </c>
      <c r="R3022" s="17" t="s">
        <v>35</v>
      </c>
      <c r="S3022" s="17" t="str">
        <f aca="false">VLOOKUP(R3022,Sheet2!N:O,2,0)</f>
        <v>IREPARABLE</v>
      </c>
      <c r="T3022" s="18" t="str">
        <f aca="false">VLOOKUP(P3022,Sheet2!Q:R,2,0)</f>
        <v>IR Normal - Track burn out</v>
      </c>
      <c r="U3022" s="20" t="s">
        <v>41</v>
      </c>
      <c r="V3022" s="17"/>
      <c r="W3022" s="20" t="e">
        <f aca="false">VLOOKUP(V3022,Sheet2!Q:R,2,0)</f>
        <v>#N/A</v>
      </c>
      <c r="X3022" s="17" t="n">
        <f aca="false">J3022</f>
        <v>0</v>
      </c>
      <c r="Y3022" s="17" t="e">
        <f aca="false">VLOOKUP(X3022,Sheet2!A:B,2,0)</f>
        <v>#N/A</v>
      </c>
      <c r="Z3022" s="17"/>
      <c r="AA3022" s="17"/>
      <c r="AB3022" s="17" t="s">
        <v>41</v>
      </c>
      <c r="AC3022" s="0" t="str">
        <f aca="false">LEFT(G3022,2)</f>
        <v/>
      </c>
    </row>
    <row r="3023" customFormat="false" ht="15" hidden="false" customHeight="false" outlineLevel="0" collapsed="false">
      <c r="A3023" s="13" t="n">
        <f aca="false">1+A3022</f>
        <v>3021</v>
      </c>
      <c r="B3023" s="14" t="n">
        <v>100</v>
      </c>
      <c r="C3023" s="15"/>
      <c r="D3023" s="16" t="s">
        <v>64</v>
      </c>
      <c r="E3023" s="17" t="s">
        <v>47</v>
      </c>
      <c r="F3023" s="18" t="s">
        <v>34</v>
      </c>
      <c r="G3023" s="19"/>
      <c r="H3023" s="17" t="s">
        <v>35</v>
      </c>
      <c r="I3023" s="17" t="s">
        <v>44</v>
      </c>
      <c r="J3023" s="17"/>
      <c r="K3023" s="17" t="e">
        <f aca="false">VLOOKUP(J3023,Sheet2!A:B,2,0)</f>
        <v>#N/A</v>
      </c>
      <c r="L3023" s="17" t="n">
        <v>5</v>
      </c>
      <c r="M3023" s="17" t="str">
        <f aca="false">VLOOKUP(L3023,Sheet2!D:E,2,0)</f>
        <v>Main Processor CPU BGA</v>
      </c>
      <c r="N3023" s="17" t="n">
        <v>1</v>
      </c>
      <c r="O3023" s="17" t="str">
        <f aca="false">VLOOKUP(N3023,Sheet2!G:H,2,0)</f>
        <v>Dead</v>
      </c>
      <c r="P3023" s="17" t="n">
        <v>11</v>
      </c>
      <c r="Q3023" s="17" t="str">
        <f aca="false">VLOOKUP(P3023,Sheet2!J:K,2,0)</f>
        <v>IR Declared due to CID -TA</v>
      </c>
      <c r="R3023" s="17" t="s">
        <v>35</v>
      </c>
      <c r="S3023" s="17" t="str">
        <f aca="false">VLOOKUP(R3023,Sheet2!N:O,2,0)</f>
        <v>IREPARABLE</v>
      </c>
      <c r="T3023" s="18" t="str">
        <f aca="false">VLOOKUP(P3023,Sheet2!Q:R,2,0)</f>
        <v>IR Normal - Track burn out</v>
      </c>
      <c r="U3023" s="20" t="s">
        <v>41</v>
      </c>
      <c r="V3023" s="17"/>
      <c r="W3023" s="20" t="e">
        <f aca="false">VLOOKUP(V3023,Sheet2!Q:R,2,0)</f>
        <v>#N/A</v>
      </c>
      <c r="X3023" s="17" t="n">
        <f aca="false">J3023</f>
        <v>0</v>
      </c>
      <c r="Y3023" s="17" t="e">
        <f aca="false">VLOOKUP(X3023,Sheet2!A:B,2,0)</f>
        <v>#N/A</v>
      </c>
      <c r="Z3023" s="17"/>
      <c r="AA3023" s="17"/>
      <c r="AB3023" s="17" t="s">
        <v>41</v>
      </c>
      <c r="AC3023" s="0" t="str">
        <f aca="false">LEFT(G3023,2)</f>
        <v/>
      </c>
    </row>
    <row r="3024" customFormat="false" ht="15" hidden="false" customHeight="false" outlineLevel="0" collapsed="false">
      <c r="A3024" s="13" t="n">
        <f aca="false">1+A3023</f>
        <v>3022</v>
      </c>
      <c r="B3024" s="14" t="n">
        <v>100</v>
      </c>
      <c r="C3024" s="15"/>
      <c r="D3024" s="16" t="s">
        <v>64</v>
      </c>
      <c r="E3024" s="17" t="s">
        <v>47</v>
      </c>
      <c r="F3024" s="18" t="s">
        <v>34</v>
      </c>
      <c r="G3024" s="19"/>
      <c r="H3024" s="17" t="s">
        <v>35</v>
      </c>
      <c r="I3024" s="17" t="s">
        <v>44</v>
      </c>
      <c r="J3024" s="17"/>
      <c r="K3024" s="17" t="e">
        <f aca="false">VLOOKUP(J3024,Sheet2!A:B,2,0)</f>
        <v>#N/A</v>
      </c>
      <c r="L3024" s="17" t="n">
        <v>5</v>
      </c>
      <c r="M3024" s="17" t="str">
        <f aca="false">VLOOKUP(L3024,Sheet2!D:E,2,0)</f>
        <v>Main Processor CPU BGA</v>
      </c>
      <c r="N3024" s="17" t="n">
        <v>1</v>
      </c>
      <c r="O3024" s="17" t="str">
        <f aca="false">VLOOKUP(N3024,Sheet2!G:H,2,0)</f>
        <v>Dead</v>
      </c>
      <c r="P3024" s="17" t="n">
        <v>11</v>
      </c>
      <c r="Q3024" s="17" t="str">
        <f aca="false">VLOOKUP(P3024,Sheet2!J:K,2,0)</f>
        <v>IR Declared due to CID -TA</v>
      </c>
      <c r="R3024" s="17" t="s">
        <v>35</v>
      </c>
      <c r="S3024" s="17" t="str">
        <f aca="false">VLOOKUP(R3024,Sheet2!N:O,2,0)</f>
        <v>IREPARABLE</v>
      </c>
      <c r="T3024" s="18" t="str">
        <f aca="false">VLOOKUP(P3024,Sheet2!Q:R,2,0)</f>
        <v>IR Normal - Track burn out</v>
      </c>
      <c r="U3024" s="20" t="s">
        <v>41</v>
      </c>
      <c r="V3024" s="17"/>
      <c r="W3024" s="20" t="e">
        <f aca="false">VLOOKUP(V3024,Sheet2!Q:R,2,0)</f>
        <v>#N/A</v>
      </c>
      <c r="X3024" s="17" t="n">
        <f aca="false">J3024</f>
        <v>0</v>
      </c>
      <c r="Y3024" s="17" t="e">
        <f aca="false">VLOOKUP(X3024,Sheet2!A:B,2,0)</f>
        <v>#N/A</v>
      </c>
      <c r="Z3024" s="17"/>
      <c r="AA3024" s="17"/>
      <c r="AB3024" s="17" t="s">
        <v>41</v>
      </c>
      <c r="AC3024" s="0" t="str">
        <f aca="false">LEFT(G3024,2)</f>
        <v/>
      </c>
    </row>
    <row r="3025" customFormat="false" ht="15" hidden="false" customHeight="false" outlineLevel="0" collapsed="false">
      <c r="A3025" s="13" t="n">
        <f aca="false">1+A3024</f>
        <v>3023</v>
      </c>
      <c r="B3025" s="14" t="n">
        <v>100</v>
      </c>
      <c r="C3025" s="15"/>
      <c r="D3025" s="16" t="s">
        <v>64</v>
      </c>
      <c r="E3025" s="17" t="s">
        <v>47</v>
      </c>
      <c r="F3025" s="18" t="s">
        <v>34</v>
      </c>
      <c r="G3025" s="19"/>
      <c r="H3025" s="17" t="s">
        <v>35</v>
      </c>
      <c r="I3025" s="17" t="s">
        <v>44</v>
      </c>
      <c r="J3025" s="17"/>
      <c r="K3025" s="17" t="e">
        <f aca="false">VLOOKUP(J3025,Sheet2!A:B,2,0)</f>
        <v>#N/A</v>
      </c>
      <c r="L3025" s="17" t="n">
        <v>5</v>
      </c>
      <c r="M3025" s="17" t="str">
        <f aca="false">VLOOKUP(L3025,Sheet2!D:E,2,0)</f>
        <v>Main Processor CPU BGA</v>
      </c>
      <c r="N3025" s="17" t="n">
        <v>1</v>
      </c>
      <c r="O3025" s="17" t="str">
        <f aca="false">VLOOKUP(N3025,Sheet2!G:H,2,0)</f>
        <v>Dead</v>
      </c>
      <c r="P3025" s="17" t="n">
        <v>11</v>
      </c>
      <c r="Q3025" s="17" t="str">
        <f aca="false">VLOOKUP(P3025,Sheet2!J:K,2,0)</f>
        <v>IR Declared due to CID -TA</v>
      </c>
      <c r="R3025" s="17" t="s">
        <v>35</v>
      </c>
      <c r="S3025" s="17" t="str">
        <f aca="false">VLOOKUP(R3025,Sheet2!N:O,2,0)</f>
        <v>IREPARABLE</v>
      </c>
      <c r="T3025" s="18" t="str">
        <f aca="false">VLOOKUP(P3025,Sheet2!Q:R,2,0)</f>
        <v>IR Normal - Track burn out</v>
      </c>
      <c r="U3025" s="20" t="s">
        <v>41</v>
      </c>
      <c r="V3025" s="17"/>
      <c r="W3025" s="20" t="e">
        <f aca="false">VLOOKUP(V3025,Sheet2!Q:R,2,0)</f>
        <v>#N/A</v>
      </c>
      <c r="X3025" s="17" t="n">
        <f aca="false">J3025</f>
        <v>0</v>
      </c>
      <c r="Y3025" s="17" t="e">
        <f aca="false">VLOOKUP(X3025,Sheet2!A:B,2,0)</f>
        <v>#N/A</v>
      </c>
      <c r="Z3025" s="17"/>
      <c r="AA3025" s="17"/>
      <c r="AB3025" s="17" t="s">
        <v>41</v>
      </c>
      <c r="AC3025" s="0" t="str">
        <f aca="false">LEFT(G3025,2)</f>
        <v/>
      </c>
    </row>
    <row r="3026" customFormat="false" ht="15" hidden="false" customHeight="false" outlineLevel="0" collapsed="false">
      <c r="A3026" s="13" t="n">
        <f aca="false">1+A3025</f>
        <v>3024</v>
      </c>
      <c r="B3026" s="14" t="n">
        <v>100</v>
      </c>
      <c r="C3026" s="15"/>
      <c r="D3026" s="16" t="s">
        <v>64</v>
      </c>
      <c r="E3026" s="17" t="s">
        <v>47</v>
      </c>
      <c r="F3026" s="18" t="s">
        <v>34</v>
      </c>
      <c r="G3026" s="19"/>
      <c r="H3026" s="17" t="s">
        <v>35</v>
      </c>
      <c r="I3026" s="17" t="s">
        <v>44</v>
      </c>
      <c r="J3026" s="17"/>
      <c r="K3026" s="17" t="e">
        <f aca="false">VLOOKUP(J3026,Sheet2!A:B,2,0)</f>
        <v>#N/A</v>
      </c>
      <c r="L3026" s="17" t="n">
        <v>5</v>
      </c>
      <c r="M3026" s="17" t="str">
        <f aca="false">VLOOKUP(L3026,Sheet2!D:E,2,0)</f>
        <v>Main Processor CPU BGA</v>
      </c>
      <c r="N3026" s="17" t="n">
        <v>1</v>
      </c>
      <c r="O3026" s="17" t="str">
        <f aca="false">VLOOKUP(N3026,Sheet2!G:H,2,0)</f>
        <v>Dead</v>
      </c>
      <c r="P3026" s="17" t="n">
        <v>11</v>
      </c>
      <c r="Q3026" s="17" t="str">
        <f aca="false">VLOOKUP(P3026,Sheet2!J:K,2,0)</f>
        <v>IR Declared due to CID -TA</v>
      </c>
      <c r="R3026" s="17" t="s">
        <v>35</v>
      </c>
      <c r="S3026" s="17" t="str">
        <f aca="false">VLOOKUP(R3026,Sheet2!N:O,2,0)</f>
        <v>IREPARABLE</v>
      </c>
      <c r="T3026" s="18" t="str">
        <f aca="false">VLOOKUP(P3026,Sheet2!Q:R,2,0)</f>
        <v>IR Normal - Track burn out</v>
      </c>
      <c r="U3026" s="20" t="s">
        <v>41</v>
      </c>
      <c r="V3026" s="17"/>
      <c r="W3026" s="20" t="e">
        <f aca="false">VLOOKUP(V3026,Sheet2!Q:R,2,0)</f>
        <v>#N/A</v>
      </c>
      <c r="X3026" s="17" t="n">
        <f aca="false">J3026</f>
        <v>0</v>
      </c>
      <c r="Y3026" s="17" t="e">
        <f aca="false">VLOOKUP(X3026,Sheet2!A:B,2,0)</f>
        <v>#N/A</v>
      </c>
      <c r="Z3026" s="17"/>
      <c r="AA3026" s="17"/>
      <c r="AB3026" s="17" t="s">
        <v>41</v>
      </c>
      <c r="AC3026" s="0" t="str">
        <f aca="false">LEFT(G3026,2)</f>
        <v/>
      </c>
    </row>
    <row r="3027" customFormat="false" ht="15" hidden="false" customHeight="false" outlineLevel="0" collapsed="false">
      <c r="A3027" s="13" t="n">
        <f aca="false">1+A3026</f>
        <v>3025</v>
      </c>
      <c r="B3027" s="14" t="n">
        <v>100</v>
      </c>
      <c r="C3027" s="15"/>
      <c r="D3027" s="16" t="s">
        <v>64</v>
      </c>
      <c r="E3027" s="17" t="s">
        <v>47</v>
      </c>
      <c r="F3027" s="18" t="s">
        <v>34</v>
      </c>
      <c r="G3027" s="19"/>
      <c r="H3027" s="17" t="s">
        <v>35</v>
      </c>
      <c r="I3027" s="17" t="s">
        <v>44</v>
      </c>
      <c r="J3027" s="17"/>
      <c r="K3027" s="17" t="e">
        <f aca="false">VLOOKUP(J3027,Sheet2!A:B,2,0)</f>
        <v>#N/A</v>
      </c>
      <c r="L3027" s="17" t="n">
        <v>5</v>
      </c>
      <c r="M3027" s="17" t="str">
        <f aca="false">VLOOKUP(L3027,Sheet2!D:E,2,0)</f>
        <v>Main Processor CPU BGA</v>
      </c>
      <c r="N3027" s="17" t="n">
        <v>1</v>
      </c>
      <c r="O3027" s="17" t="str">
        <f aca="false">VLOOKUP(N3027,Sheet2!G:H,2,0)</f>
        <v>Dead</v>
      </c>
      <c r="P3027" s="17" t="n">
        <v>11</v>
      </c>
      <c r="Q3027" s="17" t="str">
        <f aca="false">VLOOKUP(P3027,Sheet2!J:K,2,0)</f>
        <v>IR Declared due to CID -TA</v>
      </c>
      <c r="R3027" s="17" t="s">
        <v>35</v>
      </c>
      <c r="S3027" s="17" t="str">
        <f aca="false">VLOOKUP(R3027,Sheet2!N:O,2,0)</f>
        <v>IREPARABLE</v>
      </c>
      <c r="T3027" s="18" t="str">
        <f aca="false">VLOOKUP(P3027,Sheet2!Q:R,2,0)</f>
        <v>IR Normal - Track burn out</v>
      </c>
      <c r="U3027" s="20" t="s">
        <v>41</v>
      </c>
      <c r="V3027" s="17"/>
      <c r="W3027" s="20" t="e">
        <f aca="false">VLOOKUP(V3027,Sheet2!Q:R,2,0)</f>
        <v>#N/A</v>
      </c>
      <c r="X3027" s="17" t="n">
        <f aca="false">J3027</f>
        <v>0</v>
      </c>
      <c r="Y3027" s="17" t="e">
        <f aca="false">VLOOKUP(X3027,Sheet2!A:B,2,0)</f>
        <v>#N/A</v>
      </c>
      <c r="Z3027" s="17"/>
      <c r="AA3027" s="17"/>
      <c r="AB3027" s="17" t="s">
        <v>41</v>
      </c>
      <c r="AC3027" s="0" t="str">
        <f aca="false">LEFT(G3027,2)</f>
        <v/>
      </c>
    </row>
    <row r="3028" customFormat="false" ht="15" hidden="false" customHeight="false" outlineLevel="0" collapsed="false">
      <c r="A3028" s="13" t="n">
        <f aca="false">1+A3027</f>
        <v>3026</v>
      </c>
      <c r="B3028" s="14" t="n">
        <v>100</v>
      </c>
      <c r="C3028" s="15"/>
      <c r="D3028" s="16" t="s">
        <v>64</v>
      </c>
      <c r="E3028" s="17" t="s">
        <v>47</v>
      </c>
      <c r="F3028" s="18" t="s">
        <v>34</v>
      </c>
      <c r="G3028" s="19"/>
      <c r="H3028" s="17" t="s">
        <v>35</v>
      </c>
      <c r="I3028" s="17" t="s">
        <v>44</v>
      </c>
      <c r="J3028" s="17"/>
      <c r="K3028" s="17" t="e">
        <f aca="false">VLOOKUP(J3028,Sheet2!A:B,2,0)</f>
        <v>#N/A</v>
      </c>
      <c r="L3028" s="17" t="n">
        <v>5</v>
      </c>
      <c r="M3028" s="17" t="str">
        <f aca="false">VLOOKUP(L3028,Sheet2!D:E,2,0)</f>
        <v>Main Processor CPU BGA</v>
      </c>
      <c r="N3028" s="17" t="n">
        <v>1</v>
      </c>
      <c r="O3028" s="17" t="str">
        <f aca="false">VLOOKUP(N3028,Sheet2!G:H,2,0)</f>
        <v>Dead</v>
      </c>
      <c r="P3028" s="17" t="n">
        <v>11</v>
      </c>
      <c r="Q3028" s="17" t="str">
        <f aca="false">VLOOKUP(P3028,Sheet2!J:K,2,0)</f>
        <v>IR Declared due to CID -TA</v>
      </c>
      <c r="R3028" s="17" t="s">
        <v>35</v>
      </c>
      <c r="S3028" s="17" t="str">
        <f aca="false">VLOOKUP(R3028,Sheet2!N:O,2,0)</f>
        <v>IREPARABLE</v>
      </c>
      <c r="T3028" s="18" t="str">
        <f aca="false">VLOOKUP(P3028,Sheet2!Q:R,2,0)</f>
        <v>IR Normal - Track burn out</v>
      </c>
      <c r="U3028" s="20" t="s">
        <v>41</v>
      </c>
      <c r="V3028" s="17"/>
      <c r="W3028" s="20" t="e">
        <f aca="false">VLOOKUP(V3028,Sheet2!Q:R,2,0)</f>
        <v>#N/A</v>
      </c>
      <c r="X3028" s="17" t="n">
        <f aca="false">J3028</f>
        <v>0</v>
      </c>
      <c r="Y3028" s="17" t="e">
        <f aca="false">VLOOKUP(X3028,Sheet2!A:B,2,0)</f>
        <v>#N/A</v>
      </c>
      <c r="Z3028" s="17"/>
      <c r="AA3028" s="17"/>
      <c r="AB3028" s="17" t="s">
        <v>41</v>
      </c>
      <c r="AC3028" s="0" t="str">
        <f aca="false">LEFT(G3028,2)</f>
        <v/>
      </c>
    </row>
    <row r="3029" customFormat="false" ht="15" hidden="false" customHeight="false" outlineLevel="0" collapsed="false">
      <c r="A3029" s="13" t="n">
        <f aca="false">1+A3028</f>
        <v>3027</v>
      </c>
      <c r="B3029" s="14" t="n">
        <v>100</v>
      </c>
      <c r="C3029" s="15"/>
      <c r="D3029" s="16" t="s">
        <v>64</v>
      </c>
      <c r="E3029" s="17" t="s">
        <v>47</v>
      </c>
      <c r="F3029" s="18" t="s">
        <v>34</v>
      </c>
      <c r="G3029" s="19"/>
      <c r="H3029" s="17" t="s">
        <v>35</v>
      </c>
      <c r="I3029" s="17" t="s">
        <v>44</v>
      </c>
      <c r="J3029" s="17"/>
      <c r="K3029" s="17" t="e">
        <f aca="false">VLOOKUP(J3029,Sheet2!A:B,2,0)</f>
        <v>#N/A</v>
      </c>
      <c r="L3029" s="17" t="n">
        <v>5</v>
      </c>
      <c r="M3029" s="17" t="str">
        <f aca="false">VLOOKUP(L3029,Sheet2!D:E,2,0)</f>
        <v>Main Processor CPU BGA</v>
      </c>
      <c r="N3029" s="17" t="n">
        <v>1</v>
      </c>
      <c r="O3029" s="17" t="str">
        <f aca="false">VLOOKUP(N3029,Sheet2!G:H,2,0)</f>
        <v>Dead</v>
      </c>
      <c r="P3029" s="17" t="n">
        <v>11</v>
      </c>
      <c r="Q3029" s="17" t="str">
        <f aca="false">VLOOKUP(P3029,Sheet2!J:K,2,0)</f>
        <v>IR Declared due to CID -TA</v>
      </c>
      <c r="R3029" s="17" t="s">
        <v>35</v>
      </c>
      <c r="S3029" s="17" t="str">
        <f aca="false">VLOOKUP(R3029,Sheet2!N:O,2,0)</f>
        <v>IREPARABLE</v>
      </c>
      <c r="T3029" s="18" t="str">
        <f aca="false">VLOOKUP(P3029,Sheet2!Q:R,2,0)</f>
        <v>IR Normal - Track burn out</v>
      </c>
      <c r="U3029" s="20" t="s">
        <v>41</v>
      </c>
      <c r="V3029" s="17"/>
      <c r="W3029" s="20" t="e">
        <f aca="false">VLOOKUP(V3029,Sheet2!Q:R,2,0)</f>
        <v>#N/A</v>
      </c>
      <c r="X3029" s="17" t="n">
        <f aca="false">J3029</f>
        <v>0</v>
      </c>
      <c r="Y3029" s="17" t="e">
        <f aca="false">VLOOKUP(X3029,Sheet2!A:B,2,0)</f>
        <v>#N/A</v>
      </c>
      <c r="Z3029" s="17"/>
      <c r="AA3029" s="17"/>
      <c r="AB3029" s="17" t="s">
        <v>41</v>
      </c>
      <c r="AC3029" s="0" t="str">
        <f aca="false">LEFT(G3029,2)</f>
        <v/>
      </c>
    </row>
    <row r="3030" customFormat="false" ht="15" hidden="false" customHeight="false" outlineLevel="0" collapsed="false">
      <c r="A3030" s="13" t="n">
        <f aca="false">1+A3029</f>
        <v>3028</v>
      </c>
      <c r="B3030" s="14" t="n">
        <v>100</v>
      </c>
      <c r="C3030" s="15"/>
      <c r="D3030" s="16" t="s">
        <v>64</v>
      </c>
      <c r="E3030" s="17" t="s">
        <v>47</v>
      </c>
      <c r="F3030" s="18" t="s">
        <v>34</v>
      </c>
      <c r="G3030" s="19"/>
      <c r="H3030" s="17" t="s">
        <v>35</v>
      </c>
      <c r="I3030" s="17" t="s">
        <v>44</v>
      </c>
      <c r="J3030" s="17"/>
      <c r="K3030" s="17" t="e">
        <f aca="false">VLOOKUP(J3030,Sheet2!A:B,2,0)</f>
        <v>#N/A</v>
      </c>
      <c r="L3030" s="17" t="n">
        <v>5</v>
      </c>
      <c r="M3030" s="17" t="str">
        <f aca="false">VLOOKUP(L3030,Sheet2!D:E,2,0)</f>
        <v>Main Processor CPU BGA</v>
      </c>
      <c r="N3030" s="17" t="n">
        <v>1</v>
      </c>
      <c r="O3030" s="17" t="str">
        <f aca="false">VLOOKUP(N3030,Sheet2!G:H,2,0)</f>
        <v>Dead</v>
      </c>
      <c r="P3030" s="17" t="n">
        <v>11</v>
      </c>
      <c r="Q3030" s="17" t="str">
        <f aca="false">VLOOKUP(P3030,Sheet2!J:K,2,0)</f>
        <v>IR Declared due to CID -TA</v>
      </c>
      <c r="R3030" s="17" t="s">
        <v>35</v>
      </c>
      <c r="S3030" s="17" t="str">
        <f aca="false">VLOOKUP(R3030,Sheet2!N:O,2,0)</f>
        <v>IREPARABLE</v>
      </c>
      <c r="T3030" s="18" t="str">
        <f aca="false">VLOOKUP(P3030,Sheet2!Q:R,2,0)</f>
        <v>IR Normal - Track burn out</v>
      </c>
      <c r="U3030" s="20" t="s">
        <v>41</v>
      </c>
      <c r="V3030" s="17"/>
      <c r="W3030" s="20" t="e">
        <f aca="false">VLOOKUP(V3030,Sheet2!Q:R,2,0)</f>
        <v>#N/A</v>
      </c>
      <c r="X3030" s="17" t="n">
        <f aca="false">J3030</f>
        <v>0</v>
      </c>
      <c r="Y3030" s="17" t="e">
        <f aca="false">VLOOKUP(X3030,Sheet2!A:B,2,0)</f>
        <v>#N/A</v>
      </c>
      <c r="Z3030" s="17"/>
      <c r="AA3030" s="17"/>
      <c r="AB3030" s="17" t="s">
        <v>41</v>
      </c>
      <c r="AC3030" s="0" t="str">
        <f aca="false">LEFT(G3030,2)</f>
        <v/>
      </c>
    </row>
    <row r="3031" customFormat="false" ht="15" hidden="false" customHeight="false" outlineLevel="0" collapsed="false">
      <c r="A3031" s="13" t="n">
        <f aca="false">1+A3030</f>
        <v>3029</v>
      </c>
      <c r="B3031" s="14" t="n">
        <v>100</v>
      </c>
      <c r="C3031" s="15"/>
      <c r="D3031" s="16" t="s">
        <v>64</v>
      </c>
      <c r="E3031" s="17" t="s">
        <v>47</v>
      </c>
      <c r="F3031" s="18" t="s">
        <v>34</v>
      </c>
      <c r="G3031" s="19"/>
      <c r="H3031" s="17" t="s">
        <v>35</v>
      </c>
      <c r="I3031" s="17" t="s">
        <v>44</v>
      </c>
      <c r="J3031" s="17"/>
      <c r="K3031" s="17" t="e">
        <f aca="false">VLOOKUP(J3031,Sheet2!A:B,2,0)</f>
        <v>#N/A</v>
      </c>
      <c r="L3031" s="17" t="n">
        <v>5</v>
      </c>
      <c r="M3031" s="17" t="str">
        <f aca="false">VLOOKUP(L3031,Sheet2!D:E,2,0)</f>
        <v>Main Processor CPU BGA</v>
      </c>
      <c r="N3031" s="17" t="n">
        <v>1</v>
      </c>
      <c r="O3031" s="17" t="str">
        <f aca="false">VLOOKUP(N3031,Sheet2!G:H,2,0)</f>
        <v>Dead</v>
      </c>
      <c r="P3031" s="17" t="n">
        <v>11</v>
      </c>
      <c r="Q3031" s="17" t="str">
        <f aca="false">VLOOKUP(P3031,Sheet2!J:K,2,0)</f>
        <v>IR Declared due to CID -TA</v>
      </c>
      <c r="R3031" s="17" t="s">
        <v>35</v>
      </c>
      <c r="S3031" s="17" t="str">
        <f aca="false">VLOOKUP(R3031,Sheet2!N:O,2,0)</f>
        <v>IREPARABLE</v>
      </c>
      <c r="T3031" s="18" t="str">
        <f aca="false">VLOOKUP(P3031,Sheet2!Q:R,2,0)</f>
        <v>IR Normal - Track burn out</v>
      </c>
      <c r="U3031" s="20" t="s">
        <v>41</v>
      </c>
      <c r="V3031" s="17"/>
      <c r="W3031" s="20" t="e">
        <f aca="false">VLOOKUP(V3031,Sheet2!Q:R,2,0)</f>
        <v>#N/A</v>
      </c>
      <c r="X3031" s="17" t="n">
        <f aca="false">J3031</f>
        <v>0</v>
      </c>
      <c r="Y3031" s="17" t="e">
        <f aca="false">VLOOKUP(X3031,Sheet2!A:B,2,0)</f>
        <v>#N/A</v>
      </c>
      <c r="Z3031" s="17"/>
      <c r="AA3031" s="17"/>
      <c r="AB3031" s="17" t="s">
        <v>41</v>
      </c>
      <c r="AC3031" s="0" t="str">
        <f aca="false">LEFT(G3031,2)</f>
        <v/>
      </c>
    </row>
    <row r="3032" customFormat="false" ht="15" hidden="false" customHeight="false" outlineLevel="0" collapsed="false">
      <c r="A3032" s="13" t="n">
        <f aca="false">1+A3031</f>
        <v>3030</v>
      </c>
      <c r="B3032" s="14" t="n">
        <v>100</v>
      </c>
      <c r="C3032" s="15"/>
      <c r="D3032" s="16" t="s">
        <v>64</v>
      </c>
      <c r="E3032" s="17" t="s">
        <v>47</v>
      </c>
      <c r="F3032" s="18" t="s">
        <v>34</v>
      </c>
      <c r="G3032" s="19"/>
      <c r="H3032" s="17" t="s">
        <v>35</v>
      </c>
      <c r="I3032" s="17" t="s">
        <v>44</v>
      </c>
      <c r="J3032" s="17"/>
      <c r="K3032" s="17" t="e">
        <f aca="false">VLOOKUP(J3032,Sheet2!A:B,2,0)</f>
        <v>#N/A</v>
      </c>
      <c r="L3032" s="17" t="n">
        <v>5</v>
      </c>
      <c r="M3032" s="17" t="str">
        <f aca="false">VLOOKUP(L3032,Sheet2!D:E,2,0)</f>
        <v>Main Processor CPU BGA</v>
      </c>
      <c r="N3032" s="17" t="n">
        <v>1</v>
      </c>
      <c r="O3032" s="17" t="str">
        <f aca="false">VLOOKUP(N3032,Sheet2!G:H,2,0)</f>
        <v>Dead</v>
      </c>
      <c r="P3032" s="17" t="n">
        <v>11</v>
      </c>
      <c r="Q3032" s="17" t="str">
        <f aca="false">VLOOKUP(P3032,Sheet2!J:K,2,0)</f>
        <v>IR Declared due to CID -TA</v>
      </c>
      <c r="R3032" s="17" t="s">
        <v>35</v>
      </c>
      <c r="S3032" s="17" t="str">
        <f aca="false">VLOOKUP(R3032,Sheet2!N:O,2,0)</f>
        <v>IREPARABLE</v>
      </c>
      <c r="T3032" s="18" t="str">
        <f aca="false">VLOOKUP(P3032,Sheet2!Q:R,2,0)</f>
        <v>IR Normal - Track burn out</v>
      </c>
      <c r="U3032" s="20" t="s">
        <v>41</v>
      </c>
      <c r="V3032" s="17"/>
      <c r="W3032" s="20" t="e">
        <f aca="false">VLOOKUP(V3032,Sheet2!Q:R,2,0)</f>
        <v>#N/A</v>
      </c>
      <c r="X3032" s="17" t="n">
        <f aca="false">J3032</f>
        <v>0</v>
      </c>
      <c r="Y3032" s="17" t="e">
        <f aca="false">VLOOKUP(X3032,Sheet2!A:B,2,0)</f>
        <v>#N/A</v>
      </c>
      <c r="Z3032" s="17"/>
      <c r="AA3032" s="17"/>
      <c r="AB3032" s="17" t="s">
        <v>41</v>
      </c>
      <c r="AC3032" s="0" t="str">
        <f aca="false">LEFT(G3032,2)</f>
        <v/>
      </c>
    </row>
    <row r="3033" customFormat="false" ht="15" hidden="false" customHeight="false" outlineLevel="0" collapsed="false">
      <c r="A3033" s="13" t="n">
        <f aca="false">1+A3032</f>
        <v>3031</v>
      </c>
      <c r="B3033" s="14" t="n">
        <v>100</v>
      </c>
      <c r="C3033" s="15"/>
      <c r="D3033" s="16" t="s">
        <v>64</v>
      </c>
      <c r="E3033" s="17" t="s">
        <v>47</v>
      </c>
      <c r="F3033" s="18" t="s">
        <v>34</v>
      </c>
      <c r="G3033" s="19"/>
      <c r="H3033" s="17" t="s">
        <v>35</v>
      </c>
      <c r="I3033" s="17" t="s">
        <v>44</v>
      </c>
      <c r="J3033" s="17"/>
      <c r="K3033" s="17" t="e">
        <f aca="false">VLOOKUP(J3033,Sheet2!A:B,2,0)</f>
        <v>#N/A</v>
      </c>
      <c r="L3033" s="17" t="n">
        <v>5</v>
      </c>
      <c r="M3033" s="17" t="str">
        <f aca="false">VLOOKUP(L3033,Sheet2!D:E,2,0)</f>
        <v>Main Processor CPU BGA</v>
      </c>
      <c r="N3033" s="17" t="n">
        <v>1</v>
      </c>
      <c r="O3033" s="17" t="str">
        <f aca="false">VLOOKUP(N3033,Sheet2!G:H,2,0)</f>
        <v>Dead</v>
      </c>
      <c r="P3033" s="17" t="n">
        <v>11</v>
      </c>
      <c r="Q3033" s="17" t="str">
        <f aca="false">VLOOKUP(P3033,Sheet2!J:K,2,0)</f>
        <v>IR Declared due to CID -TA</v>
      </c>
      <c r="R3033" s="17" t="s">
        <v>35</v>
      </c>
      <c r="S3033" s="17" t="str">
        <f aca="false">VLOOKUP(R3033,Sheet2!N:O,2,0)</f>
        <v>IREPARABLE</v>
      </c>
      <c r="T3033" s="18" t="str">
        <f aca="false">VLOOKUP(P3033,Sheet2!Q:R,2,0)</f>
        <v>IR Normal - Track burn out</v>
      </c>
      <c r="U3033" s="20" t="s">
        <v>41</v>
      </c>
      <c r="V3033" s="17"/>
      <c r="W3033" s="20" t="e">
        <f aca="false">VLOOKUP(V3033,Sheet2!Q:R,2,0)</f>
        <v>#N/A</v>
      </c>
      <c r="X3033" s="17" t="n">
        <f aca="false">J3033</f>
        <v>0</v>
      </c>
      <c r="Y3033" s="17" t="e">
        <f aca="false">VLOOKUP(X3033,Sheet2!A:B,2,0)</f>
        <v>#N/A</v>
      </c>
      <c r="Z3033" s="17"/>
      <c r="AA3033" s="17"/>
      <c r="AB3033" s="17" t="s">
        <v>41</v>
      </c>
      <c r="AC3033" s="0" t="str">
        <f aca="false">LEFT(G3033,2)</f>
        <v/>
      </c>
    </row>
    <row r="3034" customFormat="false" ht="15" hidden="false" customHeight="false" outlineLevel="0" collapsed="false">
      <c r="A3034" s="13" t="n">
        <f aca="false">1+A3033</f>
        <v>3032</v>
      </c>
      <c r="B3034" s="14" t="n">
        <v>100</v>
      </c>
      <c r="C3034" s="15"/>
      <c r="D3034" s="16" t="s">
        <v>64</v>
      </c>
      <c r="E3034" s="17" t="s">
        <v>47</v>
      </c>
      <c r="F3034" s="18" t="s">
        <v>34</v>
      </c>
      <c r="G3034" s="19"/>
      <c r="H3034" s="17" t="s">
        <v>35</v>
      </c>
      <c r="I3034" s="17" t="s">
        <v>44</v>
      </c>
      <c r="J3034" s="17"/>
      <c r="K3034" s="17" t="e">
        <f aca="false">VLOOKUP(J3034,Sheet2!A:B,2,0)</f>
        <v>#N/A</v>
      </c>
      <c r="L3034" s="17" t="n">
        <v>5</v>
      </c>
      <c r="M3034" s="17" t="str">
        <f aca="false">VLOOKUP(L3034,Sheet2!D:E,2,0)</f>
        <v>Main Processor CPU BGA</v>
      </c>
      <c r="N3034" s="17" t="n">
        <v>1</v>
      </c>
      <c r="O3034" s="17" t="str">
        <f aca="false">VLOOKUP(N3034,Sheet2!G:H,2,0)</f>
        <v>Dead</v>
      </c>
      <c r="P3034" s="17" t="n">
        <v>11</v>
      </c>
      <c r="Q3034" s="17" t="str">
        <f aca="false">VLOOKUP(P3034,Sheet2!J:K,2,0)</f>
        <v>IR Declared due to CID -TA</v>
      </c>
      <c r="R3034" s="17" t="s">
        <v>35</v>
      </c>
      <c r="S3034" s="17" t="str">
        <f aca="false">VLOOKUP(R3034,Sheet2!N:O,2,0)</f>
        <v>IREPARABLE</v>
      </c>
      <c r="T3034" s="18" t="str">
        <f aca="false">VLOOKUP(P3034,Sheet2!Q:R,2,0)</f>
        <v>IR Normal - Track burn out</v>
      </c>
      <c r="U3034" s="20" t="s">
        <v>41</v>
      </c>
      <c r="V3034" s="17"/>
      <c r="W3034" s="20" t="e">
        <f aca="false">VLOOKUP(V3034,Sheet2!Q:R,2,0)</f>
        <v>#N/A</v>
      </c>
      <c r="X3034" s="17" t="n">
        <f aca="false">J3034</f>
        <v>0</v>
      </c>
      <c r="Y3034" s="17" t="e">
        <f aca="false">VLOOKUP(X3034,Sheet2!A:B,2,0)</f>
        <v>#N/A</v>
      </c>
      <c r="Z3034" s="17"/>
      <c r="AA3034" s="17"/>
      <c r="AB3034" s="17" t="s">
        <v>41</v>
      </c>
      <c r="AC3034" s="0" t="str">
        <f aca="false">LEFT(G3034,2)</f>
        <v/>
      </c>
    </row>
    <row r="3035" customFormat="false" ht="15" hidden="false" customHeight="false" outlineLevel="0" collapsed="false">
      <c r="A3035" s="13" t="n">
        <f aca="false">1+A3034</f>
        <v>3033</v>
      </c>
      <c r="B3035" s="14" t="n">
        <v>100</v>
      </c>
      <c r="C3035" s="15"/>
      <c r="D3035" s="16" t="s">
        <v>64</v>
      </c>
      <c r="E3035" s="17" t="s">
        <v>47</v>
      </c>
      <c r="F3035" s="18" t="s">
        <v>34</v>
      </c>
      <c r="G3035" s="19"/>
      <c r="H3035" s="17" t="s">
        <v>35</v>
      </c>
      <c r="I3035" s="17" t="s">
        <v>44</v>
      </c>
      <c r="J3035" s="17"/>
      <c r="K3035" s="17" t="e">
        <f aca="false">VLOOKUP(J3035,Sheet2!A:B,2,0)</f>
        <v>#N/A</v>
      </c>
      <c r="L3035" s="17" t="n">
        <v>5</v>
      </c>
      <c r="M3035" s="17" t="str">
        <f aca="false">VLOOKUP(L3035,Sheet2!D:E,2,0)</f>
        <v>Main Processor CPU BGA</v>
      </c>
      <c r="N3035" s="17" t="n">
        <v>1</v>
      </c>
      <c r="O3035" s="17" t="str">
        <f aca="false">VLOOKUP(N3035,Sheet2!G:H,2,0)</f>
        <v>Dead</v>
      </c>
      <c r="P3035" s="17" t="n">
        <v>11</v>
      </c>
      <c r="Q3035" s="17" t="str">
        <f aca="false">VLOOKUP(P3035,Sheet2!J:K,2,0)</f>
        <v>IR Declared due to CID -TA</v>
      </c>
      <c r="R3035" s="17" t="s">
        <v>35</v>
      </c>
      <c r="S3035" s="17" t="str">
        <f aca="false">VLOOKUP(R3035,Sheet2!N:O,2,0)</f>
        <v>IREPARABLE</v>
      </c>
      <c r="T3035" s="18" t="str">
        <f aca="false">VLOOKUP(P3035,Sheet2!Q:R,2,0)</f>
        <v>IR Normal - Track burn out</v>
      </c>
      <c r="U3035" s="20" t="s">
        <v>41</v>
      </c>
      <c r="V3035" s="17"/>
      <c r="W3035" s="20" t="e">
        <f aca="false">VLOOKUP(V3035,Sheet2!Q:R,2,0)</f>
        <v>#N/A</v>
      </c>
      <c r="X3035" s="17" t="n">
        <f aca="false">J3035</f>
        <v>0</v>
      </c>
      <c r="Y3035" s="17" t="e">
        <f aca="false">VLOOKUP(X3035,Sheet2!A:B,2,0)</f>
        <v>#N/A</v>
      </c>
      <c r="Z3035" s="17"/>
      <c r="AA3035" s="17"/>
      <c r="AB3035" s="17" t="s">
        <v>41</v>
      </c>
      <c r="AC3035" s="0" t="str">
        <f aca="false">LEFT(G3035,2)</f>
        <v/>
      </c>
    </row>
    <row r="3036" customFormat="false" ht="15" hidden="false" customHeight="false" outlineLevel="0" collapsed="false">
      <c r="A3036" s="13" t="n">
        <f aca="false">1+A3035</f>
        <v>3034</v>
      </c>
      <c r="B3036" s="14" t="n">
        <v>100</v>
      </c>
      <c r="C3036" s="15"/>
      <c r="D3036" s="16" t="s">
        <v>64</v>
      </c>
      <c r="E3036" s="17" t="s">
        <v>47</v>
      </c>
      <c r="F3036" s="18" t="s">
        <v>34</v>
      </c>
      <c r="G3036" s="19"/>
      <c r="H3036" s="17" t="s">
        <v>35</v>
      </c>
      <c r="I3036" s="17" t="s">
        <v>44</v>
      </c>
      <c r="J3036" s="17"/>
      <c r="K3036" s="17" t="e">
        <f aca="false">VLOOKUP(J3036,Sheet2!A:B,2,0)</f>
        <v>#N/A</v>
      </c>
      <c r="L3036" s="17" t="n">
        <v>5</v>
      </c>
      <c r="M3036" s="17" t="str">
        <f aca="false">VLOOKUP(L3036,Sheet2!D:E,2,0)</f>
        <v>Main Processor CPU BGA</v>
      </c>
      <c r="N3036" s="17" t="n">
        <v>1</v>
      </c>
      <c r="O3036" s="17" t="str">
        <f aca="false">VLOOKUP(N3036,Sheet2!G:H,2,0)</f>
        <v>Dead</v>
      </c>
      <c r="P3036" s="17" t="n">
        <v>11</v>
      </c>
      <c r="Q3036" s="17" t="str">
        <f aca="false">VLOOKUP(P3036,Sheet2!J:K,2,0)</f>
        <v>IR Declared due to CID -TA</v>
      </c>
      <c r="R3036" s="17" t="s">
        <v>35</v>
      </c>
      <c r="S3036" s="17" t="str">
        <f aca="false">VLOOKUP(R3036,Sheet2!N:O,2,0)</f>
        <v>IREPARABLE</v>
      </c>
      <c r="T3036" s="18" t="str">
        <f aca="false">VLOOKUP(P3036,Sheet2!Q:R,2,0)</f>
        <v>IR Normal - Track burn out</v>
      </c>
      <c r="U3036" s="20" t="s">
        <v>41</v>
      </c>
      <c r="V3036" s="17"/>
      <c r="W3036" s="20" t="e">
        <f aca="false">VLOOKUP(V3036,Sheet2!Q:R,2,0)</f>
        <v>#N/A</v>
      </c>
      <c r="X3036" s="17" t="n">
        <f aca="false">J3036</f>
        <v>0</v>
      </c>
      <c r="Y3036" s="17" t="e">
        <f aca="false">VLOOKUP(X3036,Sheet2!A:B,2,0)</f>
        <v>#N/A</v>
      </c>
      <c r="Z3036" s="17"/>
      <c r="AA3036" s="17"/>
      <c r="AB3036" s="17" t="s">
        <v>41</v>
      </c>
      <c r="AC3036" s="0" t="str">
        <f aca="false">LEFT(G3036,2)</f>
        <v/>
      </c>
    </row>
    <row r="3037" customFormat="false" ht="15" hidden="false" customHeight="false" outlineLevel="0" collapsed="false">
      <c r="A3037" s="13" t="n">
        <f aca="false">1+A3036</f>
        <v>3035</v>
      </c>
      <c r="B3037" s="14" t="n">
        <v>100</v>
      </c>
      <c r="C3037" s="15"/>
      <c r="D3037" s="16" t="s">
        <v>64</v>
      </c>
      <c r="E3037" s="17" t="s">
        <v>47</v>
      </c>
      <c r="F3037" s="18" t="s">
        <v>34</v>
      </c>
      <c r="G3037" s="19"/>
      <c r="H3037" s="17" t="s">
        <v>35</v>
      </c>
      <c r="I3037" s="17" t="s">
        <v>44</v>
      </c>
      <c r="J3037" s="17"/>
      <c r="K3037" s="17" t="e">
        <f aca="false">VLOOKUP(J3037,Sheet2!A:B,2,0)</f>
        <v>#N/A</v>
      </c>
      <c r="L3037" s="17" t="n">
        <v>5</v>
      </c>
      <c r="M3037" s="17" t="str">
        <f aca="false">VLOOKUP(L3037,Sheet2!D:E,2,0)</f>
        <v>Main Processor CPU BGA</v>
      </c>
      <c r="N3037" s="17" t="n">
        <v>1</v>
      </c>
      <c r="O3037" s="17" t="str">
        <f aca="false">VLOOKUP(N3037,Sheet2!G:H,2,0)</f>
        <v>Dead</v>
      </c>
      <c r="P3037" s="17" t="n">
        <v>11</v>
      </c>
      <c r="Q3037" s="17" t="str">
        <f aca="false">VLOOKUP(P3037,Sheet2!J:K,2,0)</f>
        <v>IR Declared due to CID -TA</v>
      </c>
      <c r="R3037" s="17" t="s">
        <v>35</v>
      </c>
      <c r="S3037" s="17" t="str">
        <f aca="false">VLOOKUP(R3037,Sheet2!N:O,2,0)</f>
        <v>IREPARABLE</v>
      </c>
      <c r="T3037" s="18" t="str">
        <f aca="false">VLOOKUP(P3037,Sheet2!Q:R,2,0)</f>
        <v>IR Normal - Track burn out</v>
      </c>
      <c r="U3037" s="20" t="s">
        <v>41</v>
      </c>
      <c r="V3037" s="17"/>
      <c r="W3037" s="20" t="e">
        <f aca="false">VLOOKUP(V3037,Sheet2!Q:R,2,0)</f>
        <v>#N/A</v>
      </c>
      <c r="X3037" s="17" t="n">
        <f aca="false">J3037</f>
        <v>0</v>
      </c>
      <c r="Y3037" s="17" t="e">
        <f aca="false">VLOOKUP(X3037,Sheet2!A:B,2,0)</f>
        <v>#N/A</v>
      </c>
      <c r="Z3037" s="17"/>
      <c r="AA3037" s="17"/>
      <c r="AB3037" s="17" t="s">
        <v>41</v>
      </c>
      <c r="AC3037" s="0" t="str">
        <f aca="false">LEFT(G3037,2)</f>
        <v/>
      </c>
    </row>
    <row r="3038" customFormat="false" ht="15" hidden="false" customHeight="false" outlineLevel="0" collapsed="false">
      <c r="A3038" s="13" t="n">
        <f aca="false">1+A3037</f>
        <v>3036</v>
      </c>
      <c r="B3038" s="14" t="n">
        <v>100</v>
      </c>
      <c r="C3038" s="15"/>
      <c r="D3038" s="16" t="s">
        <v>64</v>
      </c>
      <c r="E3038" s="17" t="s">
        <v>47</v>
      </c>
      <c r="F3038" s="18" t="s">
        <v>34</v>
      </c>
      <c r="G3038" s="19"/>
      <c r="H3038" s="17" t="s">
        <v>35</v>
      </c>
      <c r="I3038" s="17" t="s">
        <v>44</v>
      </c>
      <c r="J3038" s="17"/>
      <c r="K3038" s="17" t="e">
        <f aca="false">VLOOKUP(J3038,Sheet2!A:B,2,0)</f>
        <v>#N/A</v>
      </c>
      <c r="L3038" s="17" t="n">
        <v>5</v>
      </c>
      <c r="M3038" s="17" t="str">
        <f aca="false">VLOOKUP(L3038,Sheet2!D:E,2,0)</f>
        <v>Main Processor CPU BGA</v>
      </c>
      <c r="N3038" s="17" t="n">
        <v>1</v>
      </c>
      <c r="O3038" s="17" t="str">
        <f aca="false">VLOOKUP(N3038,Sheet2!G:H,2,0)</f>
        <v>Dead</v>
      </c>
      <c r="P3038" s="17" t="n">
        <v>11</v>
      </c>
      <c r="Q3038" s="17" t="str">
        <f aca="false">VLOOKUP(P3038,Sheet2!J:K,2,0)</f>
        <v>IR Declared due to CID -TA</v>
      </c>
      <c r="R3038" s="17" t="s">
        <v>35</v>
      </c>
      <c r="S3038" s="17" t="str">
        <f aca="false">VLOOKUP(R3038,Sheet2!N:O,2,0)</f>
        <v>IREPARABLE</v>
      </c>
      <c r="T3038" s="18" t="str">
        <f aca="false">VLOOKUP(P3038,Sheet2!Q:R,2,0)</f>
        <v>IR Normal - Track burn out</v>
      </c>
      <c r="U3038" s="20" t="s">
        <v>41</v>
      </c>
      <c r="V3038" s="17"/>
      <c r="W3038" s="20" t="e">
        <f aca="false">VLOOKUP(V3038,Sheet2!Q:R,2,0)</f>
        <v>#N/A</v>
      </c>
      <c r="X3038" s="17" t="n">
        <f aca="false">J3038</f>
        <v>0</v>
      </c>
      <c r="Y3038" s="17" t="e">
        <f aca="false">VLOOKUP(X3038,Sheet2!A:B,2,0)</f>
        <v>#N/A</v>
      </c>
      <c r="Z3038" s="17"/>
      <c r="AA3038" s="17"/>
      <c r="AB3038" s="17" t="s">
        <v>41</v>
      </c>
      <c r="AC3038" s="0" t="str">
        <f aca="false">LEFT(G3038,2)</f>
        <v/>
      </c>
    </row>
    <row r="3039" customFormat="false" ht="15" hidden="false" customHeight="false" outlineLevel="0" collapsed="false">
      <c r="A3039" s="13" t="n">
        <f aca="false">1+A3038</f>
        <v>3037</v>
      </c>
      <c r="B3039" s="14" t="n">
        <v>100</v>
      </c>
      <c r="C3039" s="15"/>
      <c r="D3039" s="16" t="s">
        <v>64</v>
      </c>
      <c r="E3039" s="17" t="s">
        <v>47</v>
      </c>
      <c r="F3039" s="18" t="s">
        <v>34</v>
      </c>
      <c r="G3039" s="19"/>
      <c r="H3039" s="17" t="s">
        <v>35</v>
      </c>
      <c r="I3039" s="17" t="s">
        <v>44</v>
      </c>
      <c r="J3039" s="17"/>
      <c r="K3039" s="17" t="e">
        <f aca="false">VLOOKUP(J3039,Sheet2!A:B,2,0)</f>
        <v>#N/A</v>
      </c>
      <c r="L3039" s="17" t="n">
        <v>5</v>
      </c>
      <c r="M3039" s="17" t="str">
        <f aca="false">VLOOKUP(L3039,Sheet2!D:E,2,0)</f>
        <v>Main Processor CPU BGA</v>
      </c>
      <c r="N3039" s="17" t="n">
        <v>1</v>
      </c>
      <c r="O3039" s="17" t="str">
        <f aca="false">VLOOKUP(N3039,Sheet2!G:H,2,0)</f>
        <v>Dead</v>
      </c>
      <c r="P3039" s="17" t="n">
        <v>11</v>
      </c>
      <c r="Q3039" s="17" t="str">
        <f aca="false">VLOOKUP(P3039,Sheet2!J:K,2,0)</f>
        <v>IR Declared due to CID -TA</v>
      </c>
      <c r="R3039" s="17" t="s">
        <v>35</v>
      </c>
      <c r="S3039" s="17" t="str">
        <f aca="false">VLOOKUP(R3039,Sheet2!N:O,2,0)</f>
        <v>IREPARABLE</v>
      </c>
      <c r="T3039" s="18" t="str">
        <f aca="false">VLOOKUP(P3039,Sheet2!Q:R,2,0)</f>
        <v>IR Normal - Track burn out</v>
      </c>
      <c r="U3039" s="20" t="s">
        <v>41</v>
      </c>
      <c r="V3039" s="17"/>
      <c r="W3039" s="20" t="e">
        <f aca="false">VLOOKUP(V3039,Sheet2!Q:R,2,0)</f>
        <v>#N/A</v>
      </c>
      <c r="X3039" s="17" t="n">
        <f aca="false">J3039</f>
        <v>0</v>
      </c>
      <c r="Y3039" s="17" t="e">
        <f aca="false">VLOOKUP(X3039,Sheet2!A:B,2,0)</f>
        <v>#N/A</v>
      </c>
      <c r="Z3039" s="17"/>
      <c r="AA3039" s="17"/>
      <c r="AB3039" s="17" t="s">
        <v>41</v>
      </c>
      <c r="AC3039" s="0" t="str">
        <f aca="false">LEFT(G3039,2)</f>
        <v/>
      </c>
    </row>
    <row r="3040" customFormat="false" ht="15" hidden="false" customHeight="false" outlineLevel="0" collapsed="false">
      <c r="A3040" s="13" t="n">
        <f aca="false">1+A3039</f>
        <v>3038</v>
      </c>
      <c r="B3040" s="14" t="n">
        <v>100</v>
      </c>
      <c r="C3040" s="15"/>
      <c r="D3040" s="16" t="s">
        <v>64</v>
      </c>
      <c r="E3040" s="17" t="s">
        <v>47</v>
      </c>
      <c r="F3040" s="18" t="s">
        <v>34</v>
      </c>
      <c r="G3040" s="19"/>
      <c r="H3040" s="17" t="s">
        <v>35</v>
      </c>
      <c r="I3040" s="17" t="s">
        <v>44</v>
      </c>
      <c r="J3040" s="17"/>
      <c r="K3040" s="17" t="e">
        <f aca="false">VLOOKUP(J3040,Sheet2!A:B,2,0)</f>
        <v>#N/A</v>
      </c>
      <c r="L3040" s="17" t="n">
        <v>5</v>
      </c>
      <c r="M3040" s="17" t="str">
        <f aca="false">VLOOKUP(L3040,Sheet2!D:E,2,0)</f>
        <v>Main Processor CPU BGA</v>
      </c>
      <c r="N3040" s="17" t="n">
        <v>1</v>
      </c>
      <c r="O3040" s="17" t="str">
        <f aca="false">VLOOKUP(N3040,Sheet2!G:H,2,0)</f>
        <v>Dead</v>
      </c>
      <c r="P3040" s="17" t="n">
        <v>11</v>
      </c>
      <c r="Q3040" s="17" t="str">
        <f aca="false">VLOOKUP(P3040,Sheet2!J:K,2,0)</f>
        <v>IR Declared due to CID -TA</v>
      </c>
      <c r="R3040" s="17" t="s">
        <v>35</v>
      </c>
      <c r="S3040" s="17" t="str">
        <f aca="false">VLOOKUP(R3040,Sheet2!N:O,2,0)</f>
        <v>IREPARABLE</v>
      </c>
      <c r="T3040" s="18" t="str">
        <f aca="false">VLOOKUP(P3040,Sheet2!Q:R,2,0)</f>
        <v>IR Normal - Track burn out</v>
      </c>
      <c r="U3040" s="20" t="s">
        <v>41</v>
      </c>
      <c r="V3040" s="17"/>
      <c r="W3040" s="20" t="e">
        <f aca="false">VLOOKUP(V3040,Sheet2!Q:R,2,0)</f>
        <v>#N/A</v>
      </c>
      <c r="X3040" s="17" t="n">
        <f aca="false">J3040</f>
        <v>0</v>
      </c>
      <c r="Y3040" s="17" t="e">
        <f aca="false">VLOOKUP(X3040,Sheet2!A:B,2,0)</f>
        <v>#N/A</v>
      </c>
      <c r="Z3040" s="17"/>
      <c r="AA3040" s="17"/>
      <c r="AB3040" s="17" t="s">
        <v>41</v>
      </c>
      <c r="AC3040" s="0" t="str">
        <f aca="false">LEFT(G3040,2)</f>
        <v/>
      </c>
    </row>
    <row r="3041" customFormat="false" ht="15" hidden="false" customHeight="false" outlineLevel="0" collapsed="false">
      <c r="A3041" s="13" t="n">
        <f aca="false">1+A3040</f>
        <v>3039</v>
      </c>
      <c r="B3041" s="14" t="n">
        <v>100</v>
      </c>
      <c r="C3041" s="15"/>
      <c r="D3041" s="16" t="s">
        <v>64</v>
      </c>
      <c r="E3041" s="17" t="s">
        <v>47</v>
      </c>
      <c r="F3041" s="18" t="s">
        <v>34</v>
      </c>
      <c r="G3041" s="19"/>
      <c r="H3041" s="17" t="s">
        <v>35</v>
      </c>
      <c r="I3041" s="17" t="s">
        <v>44</v>
      </c>
      <c r="J3041" s="17"/>
      <c r="K3041" s="17" t="e">
        <f aca="false">VLOOKUP(J3041,Sheet2!A:B,2,0)</f>
        <v>#N/A</v>
      </c>
      <c r="L3041" s="17" t="n">
        <v>5</v>
      </c>
      <c r="M3041" s="17" t="str">
        <f aca="false">VLOOKUP(L3041,Sheet2!D:E,2,0)</f>
        <v>Main Processor CPU BGA</v>
      </c>
      <c r="N3041" s="17" t="n">
        <v>1</v>
      </c>
      <c r="O3041" s="17" t="str">
        <f aca="false">VLOOKUP(N3041,Sheet2!G:H,2,0)</f>
        <v>Dead</v>
      </c>
      <c r="P3041" s="17" t="n">
        <v>11</v>
      </c>
      <c r="Q3041" s="17" t="str">
        <f aca="false">VLOOKUP(P3041,Sheet2!J:K,2,0)</f>
        <v>IR Declared due to CID -TA</v>
      </c>
      <c r="R3041" s="17" t="s">
        <v>35</v>
      </c>
      <c r="S3041" s="17" t="str">
        <f aca="false">VLOOKUP(R3041,Sheet2!N:O,2,0)</f>
        <v>IREPARABLE</v>
      </c>
      <c r="T3041" s="18" t="str">
        <f aca="false">VLOOKUP(P3041,Sheet2!Q:R,2,0)</f>
        <v>IR Normal - Track burn out</v>
      </c>
      <c r="U3041" s="20" t="s">
        <v>41</v>
      </c>
      <c r="V3041" s="17"/>
      <c r="W3041" s="20" t="e">
        <f aca="false">VLOOKUP(V3041,Sheet2!Q:R,2,0)</f>
        <v>#N/A</v>
      </c>
      <c r="X3041" s="17" t="n">
        <f aca="false">J3041</f>
        <v>0</v>
      </c>
      <c r="Y3041" s="17" t="e">
        <f aca="false">VLOOKUP(X3041,Sheet2!A:B,2,0)</f>
        <v>#N/A</v>
      </c>
      <c r="Z3041" s="17"/>
      <c r="AA3041" s="17"/>
      <c r="AB3041" s="17" t="s">
        <v>41</v>
      </c>
      <c r="AC3041" s="0" t="str">
        <f aca="false">LEFT(G3041,2)</f>
        <v/>
      </c>
    </row>
    <row r="3042" customFormat="false" ht="15" hidden="false" customHeight="false" outlineLevel="0" collapsed="false">
      <c r="A3042" s="13" t="n">
        <f aca="false">1+A3041</f>
        <v>3040</v>
      </c>
      <c r="B3042" s="14" t="n">
        <v>100</v>
      </c>
      <c r="C3042" s="15"/>
      <c r="D3042" s="16" t="s">
        <v>64</v>
      </c>
      <c r="E3042" s="17" t="s">
        <v>47</v>
      </c>
      <c r="F3042" s="18" t="s">
        <v>34</v>
      </c>
      <c r="G3042" s="19"/>
      <c r="H3042" s="17" t="s">
        <v>35</v>
      </c>
      <c r="I3042" s="17" t="s">
        <v>44</v>
      </c>
      <c r="J3042" s="17"/>
      <c r="K3042" s="17" t="e">
        <f aca="false">VLOOKUP(J3042,Sheet2!A:B,2,0)</f>
        <v>#N/A</v>
      </c>
      <c r="L3042" s="17" t="n">
        <v>5</v>
      </c>
      <c r="M3042" s="17" t="str">
        <f aca="false">VLOOKUP(L3042,Sheet2!D:E,2,0)</f>
        <v>Main Processor CPU BGA</v>
      </c>
      <c r="N3042" s="17" t="n">
        <v>1</v>
      </c>
      <c r="O3042" s="17" t="str">
        <f aca="false">VLOOKUP(N3042,Sheet2!G:H,2,0)</f>
        <v>Dead</v>
      </c>
      <c r="P3042" s="17" t="n">
        <v>11</v>
      </c>
      <c r="Q3042" s="17" t="str">
        <f aca="false">VLOOKUP(P3042,Sheet2!J:K,2,0)</f>
        <v>IR Declared due to CID -TA</v>
      </c>
      <c r="R3042" s="17" t="s">
        <v>35</v>
      </c>
      <c r="S3042" s="17" t="str">
        <f aca="false">VLOOKUP(R3042,Sheet2!N:O,2,0)</f>
        <v>IREPARABLE</v>
      </c>
      <c r="T3042" s="18" t="str">
        <f aca="false">VLOOKUP(P3042,Sheet2!Q:R,2,0)</f>
        <v>IR Normal - Track burn out</v>
      </c>
      <c r="U3042" s="20" t="s">
        <v>41</v>
      </c>
      <c r="V3042" s="17"/>
      <c r="W3042" s="20" t="e">
        <f aca="false">VLOOKUP(V3042,Sheet2!Q:R,2,0)</f>
        <v>#N/A</v>
      </c>
      <c r="X3042" s="17" t="n">
        <f aca="false">J3042</f>
        <v>0</v>
      </c>
      <c r="Y3042" s="17" t="e">
        <f aca="false">VLOOKUP(X3042,Sheet2!A:B,2,0)</f>
        <v>#N/A</v>
      </c>
      <c r="Z3042" s="17"/>
      <c r="AA3042" s="17"/>
      <c r="AB3042" s="17" t="s">
        <v>41</v>
      </c>
      <c r="AC3042" s="0" t="str">
        <f aca="false">LEFT(G3042,2)</f>
        <v/>
      </c>
    </row>
    <row r="3043" customFormat="false" ht="15" hidden="false" customHeight="false" outlineLevel="0" collapsed="false">
      <c r="A3043" s="13" t="n">
        <f aca="false">1+A3042</f>
        <v>3041</v>
      </c>
      <c r="B3043" s="14" t="n">
        <v>100</v>
      </c>
      <c r="C3043" s="15"/>
      <c r="D3043" s="16" t="s">
        <v>64</v>
      </c>
      <c r="E3043" s="17" t="s">
        <v>47</v>
      </c>
      <c r="F3043" s="18" t="s">
        <v>34</v>
      </c>
      <c r="G3043" s="19"/>
      <c r="H3043" s="17" t="s">
        <v>35</v>
      </c>
      <c r="I3043" s="17" t="s">
        <v>44</v>
      </c>
      <c r="J3043" s="17"/>
      <c r="K3043" s="17" t="e">
        <f aca="false">VLOOKUP(J3043,Sheet2!A:B,2,0)</f>
        <v>#N/A</v>
      </c>
      <c r="L3043" s="17" t="n">
        <v>5</v>
      </c>
      <c r="M3043" s="17" t="str">
        <f aca="false">VLOOKUP(L3043,Sheet2!D:E,2,0)</f>
        <v>Main Processor CPU BGA</v>
      </c>
      <c r="N3043" s="17" t="n">
        <v>1</v>
      </c>
      <c r="O3043" s="17" t="str">
        <f aca="false">VLOOKUP(N3043,Sheet2!G:H,2,0)</f>
        <v>Dead</v>
      </c>
      <c r="P3043" s="17" t="n">
        <v>11</v>
      </c>
      <c r="Q3043" s="17" t="str">
        <f aca="false">VLOOKUP(P3043,Sheet2!J:K,2,0)</f>
        <v>IR Declared due to CID -TA</v>
      </c>
      <c r="R3043" s="17" t="s">
        <v>35</v>
      </c>
      <c r="S3043" s="17" t="str">
        <f aca="false">VLOOKUP(R3043,Sheet2!N:O,2,0)</f>
        <v>IREPARABLE</v>
      </c>
      <c r="T3043" s="18" t="str">
        <f aca="false">VLOOKUP(P3043,Sheet2!Q:R,2,0)</f>
        <v>IR Normal - Track burn out</v>
      </c>
      <c r="U3043" s="20" t="s">
        <v>41</v>
      </c>
      <c r="V3043" s="17"/>
      <c r="W3043" s="20" t="e">
        <f aca="false">VLOOKUP(V3043,Sheet2!Q:R,2,0)</f>
        <v>#N/A</v>
      </c>
      <c r="X3043" s="17" t="n">
        <f aca="false">J3043</f>
        <v>0</v>
      </c>
      <c r="Y3043" s="17" t="e">
        <f aca="false">VLOOKUP(X3043,Sheet2!A:B,2,0)</f>
        <v>#N/A</v>
      </c>
      <c r="Z3043" s="17"/>
      <c r="AA3043" s="17"/>
      <c r="AB3043" s="17" t="s">
        <v>41</v>
      </c>
      <c r="AC3043" s="0" t="str">
        <f aca="false">LEFT(G3043,2)</f>
        <v/>
      </c>
    </row>
    <row r="3044" customFormat="false" ht="15" hidden="false" customHeight="false" outlineLevel="0" collapsed="false">
      <c r="A3044" s="13" t="n">
        <f aca="false">1+A3043</f>
        <v>3042</v>
      </c>
      <c r="B3044" s="14" t="n">
        <v>100</v>
      </c>
      <c r="C3044" s="15"/>
      <c r="D3044" s="16" t="s">
        <v>64</v>
      </c>
      <c r="E3044" s="17" t="s">
        <v>47</v>
      </c>
      <c r="F3044" s="18" t="s">
        <v>34</v>
      </c>
      <c r="G3044" s="19"/>
      <c r="H3044" s="17" t="s">
        <v>35</v>
      </c>
      <c r="I3044" s="17" t="s">
        <v>44</v>
      </c>
      <c r="J3044" s="17"/>
      <c r="K3044" s="17" t="e">
        <f aca="false">VLOOKUP(J3044,Sheet2!A:B,2,0)</f>
        <v>#N/A</v>
      </c>
      <c r="L3044" s="17" t="n">
        <v>5</v>
      </c>
      <c r="M3044" s="17" t="str">
        <f aca="false">VLOOKUP(L3044,Sheet2!D:E,2,0)</f>
        <v>Main Processor CPU BGA</v>
      </c>
      <c r="N3044" s="17" t="n">
        <v>1</v>
      </c>
      <c r="O3044" s="17" t="str">
        <f aca="false">VLOOKUP(N3044,Sheet2!G:H,2,0)</f>
        <v>Dead</v>
      </c>
      <c r="P3044" s="17" t="n">
        <v>11</v>
      </c>
      <c r="Q3044" s="17" t="str">
        <f aca="false">VLOOKUP(P3044,Sheet2!J:K,2,0)</f>
        <v>IR Declared due to CID -TA</v>
      </c>
      <c r="R3044" s="17" t="s">
        <v>35</v>
      </c>
      <c r="S3044" s="17" t="str">
        <f aca="false">VLOOKUP(R3044,Sheet2!N:O,2,0)</f>
        <v>IREPARABLE</v>
      </c>
      <c r="T3044" s="18" t="str">
        <f aca="false">VLOOKUP(P3044,Sheet2!Q:R,2,0)</f>
        <v>IR Normal - Track burn out</v>
      </c>
      <c r="U3044" s="20" t="s">
        <v>41</v>
      </c>
      <c r="V3044" s="17"/>
      <c r="W3044" s="20" t="e">
        <f aca="false">VLOOKUP(V3044,Sheet2!Q:R,2,0)</f>
        <v>#N/A</v>
      </c>
      <c r="X3044" s="17" t="n">
        <f aca="false">J3044</f>
        <v>0</v>
      </c>
      <c r="Y3044" s="17" t="e">
        <f aca="false">VLOOKUP(X3044,Sheet2!A:B,2,0)</f>
        <v>#N/A</v>
      </c>
      <c r="Z3044" s="17"/>
      <c r="AA3044" s="17"/>
      <c r="AB3044" s="17" t="s">
        <v>41</v>
      </c>
      <c r="AC3044" s="0" t="str">
        <f aca="false">LEFT(G3044,2)</f>
        <v/>
      </c>
    </row>
    <row r="3045" customFormat="false" ht="15" hidden="false" customHeight="false" outlineLevel="0" collapsed="false">
      <c r="A3045" s="13" t="n">
        <f aca="false">1+A3044</f>
        <v>3043</v>
      </c>
      <c r="B3045" s="14" t="n">
        <v>100</v>
      </c>
      <c r="C3045" s="15"/>
      <c r="D3045" s="16" t="s">
        <v>64</v>
      </c>
      <c r="E3045" s="17" t="s">
        <v>47</v>
      </c>
      <c r="F3045" s="18" t="s">
        <v>34</v>
      </c>
      <c r="G3045" s="19"/>
      <c r="H3045" s="17" t="s">
        <v>35</v>
      </c>
      <c r="I3045" s="17" t="s">
        <v>44</v>
      </c>
      <c r="J3045" s="17"/>
      <c r="K3045" s="17" t="e">
        <f aca="false">VLOOKUP(J3045,Sheet2!A:B,2,0)</f>
        <v>#N/A</v>
      </c>
      <c r="L3045" s="17" t="n">
        <v>5</v>
      </c>
      <c r="M3045" s="17" t="str">
        <f aca="false">VLOOKUP(L3045,Sheet2!D:E,2,0)</f>
        <v>Main Processor CPU BGA</v>
      </c>
      <c r="N3045" s="17" t="n">
        <v>1</v>
      </c>
      <c r="O3045" s="17" t="str">
        <f aca="false">VLOOKUP(N3045,Sheet2!G:H,2,0)</f>
        <v>Dead</v>
      </c>
      <c r="P3045" s="17" t="n">
        <v>11</v>
      </c>
      <c r="Q3045" s="17" t="str">
        <f aca="false">VLOOKUP(P3045,Sheet2!J:K,2,0)</f>
        <v>IR Declared due to CID -TA</v>
      </c>
      <c r="R3045" s="17" t="s">
        <v>35</v>
      </c>
      <c r="S3045" s="17" t="str">
        <f aca="false">VLOOKUP(R3045,Sheet2!N:O,2,0)</f>
        <v>IREPARABLE</v>
      </c>
      <c r="T3045" s="18" t="str">
        <f aca="false">VLOOKUP(P3045,Sheet2!Q:R,2,0)</f>
        <v>IR Normal - Track burn out</v>
      </c>
      <c r="U3045" s="20" t="s">
        <v>41</v>
      </c>
      <c r="V3045" s="17"/>
      <c r="W3045" s="20" t="e">
        <f aca="false">VLOOKUP(V3045,Sheet2!Q:R,2,0)</f>
        <v>#N/A</v>
      </c>
      <c r="X3045" s="17" t="n">
        <f aca="false">J3045</f>
        <v>0</v>
      </c>
      <c r="Y3045" s="17" t="e">
        <f aca="false">VLOOKUP(X3045,Sheet2!A:B,2,0)</f>
        <v>#N/A</v>
      </c>
      <c r="Z3045" s="17"/>
      <c r="AA3045" s="17"/>
      <c r="AB3045" s="17" t="s">
        <v>41</v>
      </c>
      <c r="AC3045" s="0" t="str">
        <f aca="false">LEFT(G3045,2)</f>
        <v/>
      </c>
    </row>
    <row r="3046" customFormat="false" ht="15" hidden="false" customHeight="false" outlineLevel="0" collapsed="false">
      <c r="A3046" s="13" t="n">
        <f aca="false">1+A3045</f>
        <v>3044</v>
      </c>
      <c r="B3046" s="14" t="n">
        <v>100</v>
      </c>
      <c r="C3046" s="15"/>
      <c r="D3046" s="16" t="s">
        <v>64</v>
      </c>
      <c r="E3046" s="17" t="s">
        <v>47</v>
      </c>
      <c r="F3046" s="18" t="s">
        <v>34</v>
      </c>
      <c r="G3046" s="19"/>
      <c r="H3046" s="17" t="s">
        <v>35</v>
      </c>
      <c r="I3046" s="17" t="s">
        <v>44</v>
      </c>
      <c r="J3046" s="17"/>
      <c r="K3046" s="17" t="e">
        <f aca="false">VLOOKUP(J3046,Sheet2!A:B,2,0)</f>
        <v>#N/A</v>
      </c>
      <c r="L3046" s="17" t="n">
        <v>5</v>
      </c>
      <c r="M3046" s="17" t="str">
        <f aca="false">VLOOKUP(L3046,Sheet2!D:E,2,0)</f>
        <v>Main Processor CPU BGA</v>
      </c>
      <c r="N3046" s="17" t="n">
        <v>1</v>
      </c>
      <c r="O3046" s="17" t="str">
        <f aca="false">VLOOKUP(N3046,Sheet2!G:H,2,0)</f>
        <v>Dead</v>
      </c>
      <c r="P3046" s="17" t="n">
        <v>11</v>
      </c>
      <c r="Q3046" s="17" t="str">
        <f aca="false">VLOOKUP(P3046,Sheet2!J:K,2,0)</f>
        <v>IR Declared due to CID -TA</v>
      </c>
      <c r="R3046" s="17" t="s">
        <v>35</v>
      </c>
      <c r="S3046" s="17" t="str">
        <f aca="false">VLOOKUP(R3046,Sheet2!N:O,2,0)</f>
        <v>IREPARABLE</v>
      </c>
      <c r="T3046" s="18" t="str">
        <f aca="false">VLOOKUP(P3046,Sheet2!Q:R,2,0)</f>
        <v>IR Normal - Track burn out</v>
      </c>
      <c r="U3046" s="20" t="s">
        <v>41</v>
      </c>
      <c r="V3046" s="17"/>
      <c r="W3046" s="20" t="e">
        <f aca="false">VLOOKUP(V3046,Sheet2!Q:R,2,0)</f>
        <v>#N/A</v>
      </c>
      <c r="X3046" s="17" t="n">
        <f aca="false">J3046</f>
        <v>0</v>
      </c>
      <c r="Y3046" s="17" t="e">
        <f aca="false">VLOOKUP(X3046,Sheet2!A:B,2,0)</f>
        <v>#N/A</v>
      </c>
      <c r="Z3046" s="17"/>
      <c r="AA3046" s="17"/>
      <c r="AB3046" s="17" t="s">
        <v>41</v>
      </c>
      <c r="AC3046" s="0" t="str">
        <f aca="false">LEFT(G3046,2)</f>
        <v/>
      </c>
    </row>
    <row r="3047" customFormat="false" ht="15" hidden="false" customHeight="false" outlineLevel="0" collapsed="false">
      <c r="A3047" s="13" t="n">
        <f aca="false">1+A3046</f>
        <v>3045</v>
      </c>
      <c r="B3047" s="14" t="n">
        <v>100</v>
      </c>
      <c r="C3047" s="15"/>
      <c r="D3047" s="16" t="s">
        <v>64</v>
      </c>
      <c r="E3047" s="17" t="s">
        <v>47</v>
      </c>
      <c r="F3047" s="18" t="s">
        <v>34</v>
      </c>
      <c r="G3047" s="19"/>
      <c r="H3047" s="17" t="s">
        <v>35</v>
      </c>
      <c r="I3047" s="17" t="s">
        <v>44</v>
      </c>
      <c r="J3047" s="17"/>
      <c r="K3047" s="17" t="e">
        <f aca="false">VLOOKUP(J3047,Sheet2!A:B,2,0)</f>
        <v>#N/A</v>
      </c>
      <c r="L3047" s="17" t="n">
        <v>5</v>
      </c>
      <c r="M3047" s="17" t="str">
        <f aca="false">VLOOKUP(L3047,Sheet2!D:E,2,0)</f>
        <v>Main Processor CPU BGA</v>
      </c>
      <c r="N3047" s="17" t="n">
        <v>1</v>
      </c>
      <c r="O3047" s="17" t="str">
        <f aca="false">VLOOKUP(N3047,Sheet2!G:H,2,0)</f>
        <v>Dead</v>
      </c>
      <c r="P3047" s="17" t="n">
        <v>11</v>
      </c>
      <c r="Q3047" s="17" t="str">
        <f aca="false">VLOOKUP(P3047,Sheet2!J:K,2,0)</f>
        <v>IR Declared due to CID -TA</v>
      </c>
      <c r="R3047" s="17" t="s">
        <v>35</v>
      </c>
      <c r="S3047" s="17" t="str">
        <f aca="false">VLOOKUP(R3047,Sheet2!N:O,2,0)</f>
        <v>IREPARABLE</v>
      </c>
      <c r="T3047" s="18" t="str">
        <f aca="false">VLOOKUP(P3047,Sheet2!Q:R,2,0)</f>
        <v>IR Normal - Track burn out</v>
      </c>
      <c r="U3047" s="20" t="s">
        <v>41</v>
      </c>
      <c r="V3047" s="17"/>
      <c r="W3047" s="20" t="e">
        <f aca="false">VLOOKUP(V3047,Sheet2!Q:R,2,0)</f>
        <v>#N/A</v>
      </c>
      <c r="X3047" s="17" t="n">
        <f aca="false">J3047</f>
        <v>0</v>
      </c>
      <c r="Y3047" s="17" t="e">
        <f aca="false">VLOOKUP(X3047,Sheet2!A:B,2,0)</f>
        <v>#N/A</v>
      </c>
      <c r="Z3047" s="17"/>
      <c r="AA3047" s="17"/>
      <c r="AB3047" s="17" t="s">
        <v>41</v>
      </c>
      <c r="AC3047" s="0" t="str">
        <f aca="false">LEFT(G3047,2)</f>
        <v/>
      </c>
    </row>
    <row r="3048" customFormat="false" ht="15" hidden="false" customHeight="false" outlineLevel="0" collapsed="false">
      <c r="A3048" s="13" t="n">
        <f aca="false">1+A3047</f>
        <v>3046</v>
      </c>
      <c r="B3048" s="14" t="n">
        <v>100</v>
      </c>
      <c r="C3048" s="15"/>
      <c r="D3048" s="16" t="s">
        <v>64</v>
      </c>
      <c r="E3048" s="17" t="s">
        <v>47</v>
      </c>
      <c r="F3048" s="18" t="s">
        <v>34</v>
      </c>
      <c r="G3048" s="19"/>
      <c r="H3048" s="17" t="s">
        <v>35</v>
      </c>
      <c r="I3048" s="17" t="s">
        <v>44</v>
      </c>
      <c r="J3048" s="17"/>
      <c r="K3048" s="17" t="e">
        <f aca="false">VLOOKUP(J3048,Sheet2!A:B,2,0)</f>
        <v>#N/A</v>
      </c>
      <c r="L3048" s="17" t="n">
        <v>5</v>
      </c>
      <c r="M3048" s="17" t="str">
        <f aca="false">VLOOKUP(L3048,Sheet2!D:E,2,0)</f>
        <v>Main Processor CPU BGA</v>
      </c>
      <c r="N3048" s="17" t="n">
        <v>1</v>
      </c>
      <c r="O3048" s="17" t="str">
        <f aca="false">VLOOKUP(N3048,Sheet2!G:H,2,0)</f>
        <v>Dead</v>
      </c>
      <c r="P3048" s="17" t="n">
        <v>11</v>
      </c>
      <c r="Q3048" s="17" t="str">
        <f aca="false">VLOOKUP(P3048,Sheet2!J:K,2,0)</f>
        <v>IR Declared due to CID -TA</v>
      </c>
      <c r="R3048" s="17" t="s">
        <v>35</v>
      </c>
      <c r="S3048" s="17" t="str">
        <f aca="false">VLOOKUP(R3048,Sheet2!N:O,2,0)</f>
        <v>IREPARABLE</v>
      </c>
      <c r="T3048" s="18" t="str">
        <f aca="false">VLOOKUP(P3048,Sheet2!Q:R,2,0)</f>
        <v>IR Normal - Track burn out</v>
      </c>
      <c r="U3048" s="20" t="s">
        <v>41</v>
      </c>
      <c r="V3048" s="17"/>
      <c r="W3048" s="20" t="e">
        <f aca="false">VLOOKUP(V3048,Sheet2!Q:R,2,0)</f>
        <v>#N/A</v>
      </c>
      <c r="X3048" s="17" t="n">
        <f aca="false">J3048</f>
        <v>0</v>
      </c>
      <c r="Y3048" s="17" t="e">
        <f aca="false">VLOOKUP(X3048,Sheet2!A:B,2,0)</f>
        <v>#N/A</v>
      </c>
      <c r="Z3048" s="17"/>
      <c r="AA3048" s="17"/>
      <c r="AB3048" s="17" t="s">
        <v>41</v>
      </c>
      <c r="AC3048" s="0" t="str">
        <f aca="false">LEFT(G3048,2)</f>
        <v/>
      </c>
    </row>
    <row r="3049" customFormat="false" ht="15" hidden="false" customHeight="false" outlineLevel="0" collapsed="false">
      <c r="A3049" s="13" t="n">
        <f aca="false">1+A3048</f>
        <v>3047</v>
      </c>
      <c r="B3049" s="14" t="n">
        <v>100</v>
      </c>
      <c r="C3049" s="15"/>
      <c r="D3049" s="16" t="s">
        <v>64</v>
      </c>
      <c r="E3049" s="17" t="s">
        <v>47</v>
      </c>
      <c r="F3049" s="18" t="s">
        <v>34</v>
      </c>
      <c r="G3049" s="19"/>
      <c r="H3049" s="17" t="s">
        <v>35</v>
      </c>
      <c r="I3049" s="17" t="s">
        <v>44</v>
      </c>
      <c r="J3049" s="17"/>
      <c r="K3049" s="17" t="e">
        <f aca="false">VLOOKUP(J3049,Sheet2!A:B,2,0)</f>
        <v>#N/A</v>
      </c>
      <c r="L3049" s="17" t="n">
        <v>5</v>
      </c>
      <c r="M3049" s="17" t="str">
        <f aca="false">VLOOKUP(L3049,Sheet2!D:E,2,0)</f>
        <v>Main Processor CPU BGA</v>
      </c>
      <c r="N3049" s="17" t="n">
        <v>1</v>
      </c>
      <c r="O3049" s="17" t="str">
        <f aca="false">VLOOKUP(N3049,Sheet2!G:H,2,0)</f>
        <v>Dead</v>
      </c>
      <c r="P3049" s="17" t="n">
        <v>11</v>
      </c>
      <c r="Q3049" s="17" t="str">
        <f aca="false">VLOOKUP(P3049,Sheet2!J:K,2,0)</f>
        <v>IR Declared due to CID -TA</v>
      </c>
      <c r="R3049" s="17" t="s">
        <v>35</v>
      </c>
      <c r="S3049" s="17" t="str">
        <f aca="false">VLOOKUP(R3049,Sheet2!N:O,2,0)</f>
        <v>IREPARABLE</v>
      </c>
      <c r="T3049" s="18" t="str">
        <f aca="false">VLOOKUP(P3049,Sheet2!Q:R,2,0)</f>
        <v>IR Normal - Track burn out</v>
      </c>
      <c r="U3049" s="20" t="s">
        <v>41</v>
      </c>
      <c r="V3049" s="17"/>
      <c r="W3049" s="20" t="e">
        <f aca="false">VLOOKUP(V3049,Sheet2!Q:R,2,0)</f>
        <v>#N/A</v>
      </c>
      <c r="X3049" s="17" t="n">
        <f aca="false">J3049</f>
        <v>0</v>
      </c>
      <c r="Y3049" s="17" t="e">
        <f aca="false">VLOOKUP(X3049,Sheet2!A:B,2,0)</f>
        <v>#N/A</v>
      </c>
      <c r="Z3049" s="17"/>
      <c r="AA3049" s="17"/>
      <c r="AB3049" s="17" t="s">
        <v>41</v>
      </c>
      <c r="AC3049" s="0" t="str">
        <f aca="false">LEFT(G3049,2)</f>
        <v/>
      </c>
    </row>
    <row r="3050" customFormat="false" ht="15" hidden="false" customHeight="false" outlineLevel="0" collapsed="false">
      <c r="A3050" s="13" t="n">
        <f aca="false">1+A3049</f>
        <v>3048</v>
      </c>
      <c r="B3050" s="14" t="n">
        <v>100</v>
      </c>
      <c r="C3050" s="15"/>
      <c r="D3050" s="16" t="s">
        <v>64</v>
      </c>
      <c r="E3050" s="17" t="s">
        <v>47</v>
      </c>
      <c r="F3050" s="18" t="s">
        <v>34</v>
      </c>
      <c r="G3050" s="19"/>
      <c r="H3050" s="17" t="s">
        <v>35</v>
      </c>
      <c r="I3050" s="17" t="s">
        <v>44</v>
      </c>
      <c r="J3050" s="17"/>
      <c r="K3050" s="17" t="e">
        <f aca="false">VLOOKUP(J3050,Sheet2!A:B,2,0)</f>
        <v>#N/A</v>
      </c>
      <c r="L3050" s="17" t="n">
        <v>5</v>
      </c>
      <c r="M3050" s="17" t="str">
        <f aca="false">VLOOKUP(L3050,Sheet2!D:E,2,0)</f>
        <v>Main Processor CPU BGA</v>
      </c>
      <c r="N3050" s="17" t="n">
        <v>1</v>
      </c>
      <c r="O3050" s="17" t="str">
        <f aca="false">VLOOKUP(N3050,Sheet2!G:H,2,0)</f>
        <v>Dead</v>
      </c>
      <c r="P3050" s="17" t="n">
        <v>11</v>
      </c>
      <c r="Q3050" s="17" t="str">
        <f aca="false">VLOOKUP(P3050,Sheet2!J:K,2,0)</f>
        <v>IR Declared due to CID -TA</v>
      </c>
      <c r="R3050" s="17" t="s">
        <v>35</v>
      </c>
      <c r="S3050" s="17" t="str">
        <f aca="false">VLOOKUP(R3050,Sheet2!N:O,2,0)</f>
        <v>IREPARABLE</v>
      </c>
      <c r="T3050" s="18" t="str">
        <f aca="false">VLOOKUP(P3050,Sheet2!Q:R,2,0)</f>
        <v>IR Normal - Track burn out</v>
      </c>
      <c r="U3050" s="20" t="s">
        <v>41</v>
      </c>
      <c r="V3050" s="17"/>
      <c r="W3050" s="20" t="e">
        <f aca="false">VLOOKUP(V3050,Sheet2!Q:R,2,0)</f>
        <v>#N/A</v>
      </c>
      <c r="X3050" s="17" t="n">
        <f aca="false">J3050</f>
        <v>0</v>
      </c>
      <c r="Y3050" s="17" t="e">
        <f aca="false">VLOOKUP(X3050,Sheet2!A:B,2,0)</f>
        <v>#N/A</v>
      </c>
      <c r="Z3050" s="17"/>
      <c r="AA3050" s="17"/>
      <c r="AB3050" s="17" t="s">
        <v>41</v>
      </c>
      <c r="AC3050" s="0" t="str">
        <f aca="false">LEFT(G3050,2)</f>
        <v/>
      </c>
    </row>
    <row r="3051" customFormat="false" ht="15" hidden="false" customHeight="false" outlineLevel="0" collapsed="false">
      <c r="A3051" s="13" t="n">
        <f aca="false">1+A3050</f>
        <v>3049</v>
      </c>
      <c r="B3051" s="14" t="n">
        <v>100</v>
      </c>
      <c r="C3051" s="15"/>
      <c r="D3051" s="16" t="s">
        <v>64</v>
      </c>
      <c r="E3051" s="17" t="s">
        <v>47</v>
      </c>
      <c r="F3051" s="18" t="s">
        <v>34</v>
      </c>
      <c r="G3051" s="19"/>
      <c r="H3051" s="17" t="s">
        <v>35</v>
      </c>
      <c r="I3051" s="17" t="s">
        <v>44</v>
      </c>
      <c r="J3051" s="17"/>
      <c r="K3051" s="17" t="e">
        <f aca="false">VLOOKUP(J3051,Sheet2!A:B,2,0)</f>
        <v>#N/A</v>
      </c>
      <c r="L3051" s="17" t="n">
        <v>5</v>
      </c>
      <c r="M3051" s="17" t="str">
        <f aca="false">VLOOKUP(L3051,Sheet2!D:E,2,0)</f>
        <v>Main Processor CPU BGA</v>
      </c>
      <c r="N3051" s="17" t="n">
        <v>1</v>
      </c>
      <c r="O3051" s="17" t="str">
        <f aca="false">VLOOKUP(N3051,Sheet2!G:H,2,0)</f>
        <v>Dead</v>
      </c>
      <c r="P3051" s="17" t="n">
        <v>11</v>
      </c>
      <c r="Q3051" s="17" t="str">
        <f aca="false">VLOOKUP(P3051,Sheet2!J:K,2,0)</f>
        <v>IR Declared due to CID -TA</v>
      </c>
      <c r="R3051" s="17" t="s">
        <v>35</v>
      </c>
      <c r="S3051" s="17" t="str">
        <f aca="false">VLOOKUP(R3051,Sheet2!N:O,2,0)</f>
        <v>IREPARABLE</v>
      </c>
      <c r="T3051" s="18" t="str">
        <f aca="false">VLOOKUP(P3051,Sheet2!Q:R,2,0)</f>
        <v>IR Normal - Track burn out</v>
      </c>
      <c r="U3051" s="20" t="s">
        <v>41</v>
      </c>
      <c r="V3051" s="17"/>
      <c r="W3051" s="20" t="e">
        <f aca="false">VLOOKUP(V3051,Sheet2!Q:R,2,0)</f>
        <v>#N/A</v>
      </c>
      <c r="X3051" s="17" t="n">
        <f aca="false">J3051</f>
        <v>0</v>
      </c>
      <c r="Y3051" s="17" t="e">
        <f aca="false">VLOOKUP(X3051,Sheet2!A:B,2,0)</f>
        <v>#N/A</v>
      </c>
      <c r="Z3051" s="17"/>
      <c r="AA3051" s="17"/>
      <c r="AB3051" s="17" t="s">
        <v>41</v>
      </c>
      <c r="AC3051" s="0" t="str">
        <f aca="false">LEFT(G3051,2)</f>
        <v/>
      </c>
    </row>
    <row r="3052" customFormat="false" ht="15" hidden="false" customHeight="false" outlineLevel="0" collapsed="false">
      <c r="A3052" s="13" t="n">
        <f aca="false">1+A3051</f>
        <v>3050</v>
      </c>
      <c r="B3052" s="14" t="n">
        <v>100</v>
      </c>
      <c r="C3052" s="15"/>
      <c r="D3052" s="16" t="s">
        <v>64</v>
      </c>
      <c r="E3052" s="17" t="s">
        <v>47</v>
      </c>
      <c r="F3052" s="18" t="s">
        <v>34</v>
      </c>
      <c r="G3052" s="19"/>
      <c r="H3052" s="17" t="s">
        <v>35</v>
      </c>
      <c r="I3052" s="17" t="s">
        <v>44</v>
      </c>
      <c r="J3052" s="17"/>
      <c r="K3052" s="17" t="e">
        <f aca="false">VLOOKUP(J3052,Sheet2!A:B,2,0)</f>
        <v>#N/A</v>
      </c>
      <c r="L3052" s="17" t="n">
        <v>5</v>
      </c>
      <c r="M3052" s="17" t="str">
        <f aca="false">VLOOKUP(L3052,Sheet2!D:E,2,0)</f>
        <v>Main Processor CPU BGA</v>
      </c>
      <c r="N3052" s="17" t="n">
        <v>1</v>
      </c>
      <c r="O3052" s="17" t="str">
        <f aca="false">VLOOKUP(N3052,Sheet2!G:H,2,0)</f>
        <v>Dead</v>
      </c>
      <c r="P3052" s="17" t="n">
        <v>11</v>
      </c>
      <c r="Q3052" s="17" t="str">
        <f aca="false">VLOOKUP(P3052,Sheet2!J:K,2,0)</f>
        <v>IR Declared due to CID -TA</v>
      </c>
      <c r="R3052" s="17" t="s">
        <v>35</v>
      </c>
      <c r="S3052" s="17" t="str">
        <f aca="false">VLOOKUP(R3052,Sheet2!N:O,2,0)</f>
        <v>IREPARABLE</v>
      </c>
      <c r="T3052" s="18" t="str">
        <f aca="false">VLOOKUP(P3052,Sheet2!Q:R,2,0)</f>
        <v>IR Normal - Track burn out</v>
      </c>
      <c r="U3052" s="20" t="s">
        <v>41</v>
      </c>
      <c r="V3052" s="17"/>
      <c r="W3052" s="20" t="e">
        <f aca="false">VLOOKUP(V3052,Sheet2!Q:R,2,0)</f>
        <v>#N/A</v>
      </c>
      <c r="X3052" s="17" t="n">
        <f aca="false">J3052</f>
        <v>0</v>
      </c>
      <c r="Y3052" s="17" t="e">
        <f aca="false">VLOOKUP(X3052,Sheet2!A:B,2,0)</f>
        <v>#N/A</v>
      </c>
      <c r="Z3052" s="17"/>
      <c r="AA3052" s="17"/>
      <c r="AB3052" s="17" t="s">
        <v>41</v>
      </c>
      <c r="AC3052" s="0" t="str">
        <f aca="false">LEFT(G3052,2)</f>
        <v/>
      </c>
    </row>
    <row r="3053" customFormat="false" ht="15" hidden="false" customHeight="false" outlineLevel="0" collapsed="false">
      <c r="A3053" s="13" t="n">
        <f aca="false">1+A3052</f>
        <v>3051</v>
      </c>
      <c r="B3053" s="14" t="n">
        <v>100</v>
      </c>
      <c r="C3053" s="15"/>
      <c r="D3053" s="16" t="s">
        <v>64</v>
      </c>
      <c r="E3053" s="17" t="s">
        <v>47</v>
      </c>
      <c r="F3053" s="18" t="s">
        <v>34</v>
      </c>
      <c r="G3053" s="19"/>
      <c r="H3053" s="17" t="s">
        <v>35</v>
      </c>
      <c r="I3053" s="17" t="s">
        <v>44</v>
      </c>
      <c r="J3053" s="17"/>
      <c r="K3053" s="17" t="e">
        <f aca="false">VLOOKUP(J3053,Sheet2!A:B,2,0)</f>
        <v>#N/A</v>
      </c>
      <c r="L3053" s="17" t="n">
        <v>5</v>
      </c>
      <c r="M3053" s="17" t="str">
        <f aca="false">VLOOKUP(L3053,Sheet2!D:E,2,0)</f>
        <v>Main Processor CPU BGA</v>
      </c>
      <c r="N3053" s="17" t="n">
        <v>1</v>
      </c>
      <c r="O3053" s="17" t="str">
        <f aca="false">VLOOKUP(N3053,Sheet2!G:H,2,0)</f>
        <v>Dead</v>
      </c>
      <c r="P3053" s="17" t="n">
        <v>11</v>
      </c>
      <c r="Q3053" s="17" t="str">
        <f aca="false">VLOOKUP(P3053,Sheet2!J:K,2,0)</f>
        <v>IR Declared due to CID -TA</v>
      </c>
      <c r="R3053" s="17" t="s">
        <v>35</v>
      </c>
      <c r="S3053" s="17" t="str">
        <f aca="false">VLOOKUP(R3053,Sheet2!N:O,2,0)</f>
        <v>IREPARABLE</v>
      </c>
      <c r="T3053" s="18" t="str">
        <f aca="false">VLOOKUP(P3053,Sheet2!Q:R,2,0)</f>
        <v>IR Normal - Track burn out</v>
      </c>
      <c r="U3053" s="20" t="s">
        <v>41</v>
      </c>
      <c r="V3053" s="17"/>
      <c r="W3053" s="20" t="e">
        <f aca="false">VLOOKUP(V3053,Sheet2!Q:R,2,0)</f>
        <v>#N/A</v>
      </c>
      <c r="X3053" s="17" t="n">
        <f aca="false">J3053</f>
        <v>0</v>
      </c>
      <c r="Y3053" s="17" t="e">
        <f aca="false">VLOOKUP(X3053,Sheet2!A:B,2,0)</f>
        <v>#N/A</v>
      </c>
      <c r="Z3053" s="17"/>
      <c r="AA3053" s="17"/>
      <c r="AB3053" s="17" t="s">
        <v>41</v>
      </c>
      <c r="AC3053" s="0" t="str">
        <f aca="false">LEFT(G3053,2)</f>
        <v/>
      </c>
    </row>
    <row r="3054" customFormat="false" ht="15" hidden="false" customHeight="false" outlineLevel="0" collapsed="false">
      <c r="A3054" s="13" t="n">
        <f aca="false">1+A3053</f>
        <v>3052</v>
      </c>
      <c r="B3054" s="14" t="n">
        <v>100</v>
      </c>
      <c r="C3054" s="15"/>
      <c r="D3054" s="16" t="s">
        <v>64</v>
      </c>
      <c r="E3054" s="17" t="s">
        <v>47</v>
      </c>
      <c r="F3054" s="18" t="s">
        <v>34</v>
      </c>
      <c r="G3054" s="19"/>
      <c r="H3054" s="17" t="s">
        <v>35</v>
      </c>
      <c r="I3054" s="17" t="s">
        <v>44</v>
      </c>
      <c r="J3054" s="17"/>
      <c r="K3054" s="17" t="e">
        <f aca="false">VLOOKUP(J3054,Sheet2!A:B,2,0)</f>
        <v>#N/A</v>
      </c>
      <c r="L3054" s="17" t="n">
        <v>5</v>
      </c>
      <c r="M3054" s="17" t="str">
        <f aca="false">VLOOKUP(L3054,Sheet2!D:E,2,0)</f>
        <v>Main Processor CPU BGA</v>
      </c>
      <c r="N3054" s="17" t="n">
        <v>1</v>
      </c>
      <c r="O3054" s="17" t="str">
        <f aca="false">VLOOKUP(N3054,Sheet2!G:H,2,0)</f>
        <v>Dead</v>
      </c>
      <c r="P3054" s="17" t="n">
        <v>11</v>
      </c>
      <c r="Q3054" s="17" t="str">
        <f aca="false">VLOOKUP(P3054,Sheet2!J:K,2,0)</f>
        <v>IR Declared due to CID -TA</v>
      </c>
      <c r="R3054" s="17" t="s">
        <v>35</v>
      </c>
      <c r="S3054" s="17" t="str">
        <f aca="false">VLOOKUP(R3054,Sheet2!N:O,2,0)</f>
        <v>IREPARABLE</v>
      </c>
      <c r="T3054" s="18" t="str">
        <f aca="false">VLOOKUP(P3054,Sheet2!Q:R,2,0)</f>
        <v>IR Normal - Track burn out</v>
      </c>
      <c r="U3054" s="20" t="s">
        <v>41</v>
      </c>
      <c r="V3054" s="17"/>
      <c r="W3054" s="20" t="e">
        <f aca="false">VLOOKUP(V3054,Sheet2!Q:R,2,0)</f>
        <v>#N/A</v>
      </c>
      <c r="X3054" s="17" t="n">
        <f aca="false">J3054</f>
        <v>0</v>
      </c>
      <c r="Y3054" s="17" t="e">
        <f aca="false">VLOOKUP(X3054,Sheet2!A:B,2,0)</f>
        <v>#N/A</v>
      </c>
      <c r="Z3054" s="17"/>
      <c r="AA3054" s="17"/>
      <c r="AB3054" s="17" t="s">
        <v>41</v>
      </c>
      <c r="AC3054" s="0" t="str">
        <f aca="false">LEFT(G3054,2)</f>
        <v/>
      </c>
    </row>
    <row r="3055" customFormat="false" ht="15" hidden="false" customHeight="false" outlineLevel="0" collapsed="false">
      <c r="A3055" s="13" t="n">
        <f aca="false">1+A3054</f>
        <v>3053</v>
      </c>
      <c r="B3055" s="14" t="n">
        <v>100</v>
      </c>
      <c r="C3055" s="15"/>
      <c r="D3055" s="16" t="s">
        <v>64</v>
      </c>
      <c r="E3055" s="17" t="s">
        <v>47</v>
      </c>
      <c r="F3055" s="18" t="s">
        <v>34</v>
      </c>
      <c r="G3055" s="19"/>
      <c r="H3055" s="17" t="s">
        <v>35</v>
      </c>
      <c r="I3055" s="17" t="s">
        <v>44</v>
      </c>
      <c r="J3055" s="17"/>
      <c r="K3055" s="17" t="e">
        <f aca="false">VLOOKUP(J3055,Sheet2!A:B,2,0)</f>
        <v>#N/A</v>
      </c>
      <c r="L3055" s="17" t="n">
        <v>5</v>
      </c>
      <c r="M3055" s="17" t="str">
        <f aca="false">VLOOKUP(L3055,Sheet2!D:E,2,0)</f>
        <v>Main Processor CPU BGA</v>
      </c>
      <c r="N3055" s="17" t="n">
        <v>1</v>
      </c>
      <c r="O3055" s="17" t="str">
        <f aca="false">VLOOKUP(N3055,Sheet2!G:H,2,0)</f>
        <v>Dead</v>
      </c>
      <c r="P3055" s="17" t="n">
        <v>11</v>
      </c>
      <c r="Q3055" s="17" t="str">
        <f aca="false">VLOOKUP(P3055,Sheet2!J:K,2,0)</f>
        <v>IR Declared due to CID -TA</v>
      </c>
      <c r="R3055" s="17" t="s">
        <v>35</v>
      </c>
      <c r="S3055" s="17" t="str">
        <f aca="false">VLOOKUP(R3055,Sheet2!N:O,2,0)</f>
        <v>IREPARABLE</v>
      </c>
      <c r="T3055" s="18" t="str">
        <f aca="false">VLOOKUP(P3055,Sheet2!Q:R,2,0)</f>
        <v>IR Normal - Track burn out</v>
      </c>
      <c r="U3055" s="20" t="s">
        <v>41</v>
      </c>
      <c r="V3055" s="17"/>
      <c r="W3055" s="20" t="e">
        <f aca="false">VLOOKUP(V3055,Sheet2!Q:R,2,0)</f>
        <v>#N/A</v>
      </c>
      <c r="X3055" s="17" t="n">
        <f aca="false">J3055</f>
        <v>0</v>
      </c>
      <c r="Y3055" s="17" t="e">
        <f aca="false">VLOOKUP(X3055,Sheet2!A:B,2,0)</f>
        <v>#N/A</v>
      </c>
      <c r="Z3055" s="17"/>
      <c r="AA3055" s="17"/>
      <c r="AB3055" s="17" t="s">
        <v>41</v>
      </c>
      <c r="AC3055" s="0" t="str">
        <f aca="false">LEFT(G3055,2)</f>
        <v/>
      </c>
    </row>
    <row r="3056" customFormat="false" ht="15" hidden="false" customHeight="false" outlineLevel="0" collapsed="false">
      <c r="A3056" s="13" t="n">
        <f aca="false">1+A3055</f>
        <v>3054</v>
      </c>
      <c r="B3056" s="14" t="n">
        <v>100</v>
      </c>
      <c r="C3056" s="15"/>
      <c r="D3056" s="16" t="s">
        <v>64</v>
      </c>
      <c r="E3056" s="17" t="s">
        <v>47</v>
      </c>
      <c r="F3056" s="18" t="s">
        <v>34</v>
      </c>
      <c r="G3056" s="19"/>
      <c r="H3056" s="17" t="s">
        <v>35</v>
      </c>
      <c r="I3056" s="17" t="s">
        <v>44</v>
      </c>
      <c r="J3056" s="17"/>
      <c r="K3056" s="17" t="e">
        <f aca="false">VLOOKUP(J3056,Sheet2!A:B,2,0)</f>
        <v>#N/A</v>
      </c>
      <c r="L3056" s="17" t="n">
        <v>5</v>
      </c>
      <c r="M3056" s="17" t="str">
        <f aca="false">VLOOKUP(L3056,Sheet2!D:E,2,0)</f>
        <v>Main Processor CPU BGA</v>
      </c>
      <c r="N3056" s="17" t="n">
        <v>1</v>
      </c>
      <c r="O3056" s="17" t="str">
        <f aca="false">VLOOKUP(N3056,Sheet2!G:H,2,0)</f>
        <v>Dead</v>
      </c>
      <c r="P3056" s="17" t="n">
        <v>11</v>
      </c>
      <c r="Q3056" s="17" t="str">
        <f aca="false">VLOOKUP(P3056,Sheet2!J:K,2,0)</f>
        <v>IR Declared due to CID -TA</v>
      </c>
      <c r="R3056" s="17" t="s">
        <v>35</v>
      </c>
      <c r="S3056" s="17" t="str">
        <f aca="false">VLOOKUP(R3056,Sheet2!N:O,2,0)</f>
        <v>IREPARABLE</v>
      </c>
      <c r="T3056" s="18" t="str">
        <f aca="false">VLOOKUP(P3056,Sheet2!Q:R,2,0)</f>
        <v>IR Normal - Track burn out</v>
      </c>
      <c r="U3056" s="20" t="s">
        <v>41</v>
      </c>
      <c r="V3056" s="17"/>
      <c r="W3056" s="20" t="e">
        <f aca="false">VLOOKUP(V3056,Sheet2!Q:R,2,0)</f>
        <v>#N/A</v>
      </c>
      <c r="X3056" s="17" t="n">
        <f aca="false">J3056</f>
        <v>0</v>
      </c>
      <c r="Y3056" s="17" t="e">
        <f aca="false">VLOOKUP(X3056,Sheet2!A:B,2,0)</f>
        <v>#N/A</v>
      </c>
      <c r="Z3056" s="17"/>
      <c r="AA3056" s="17"/>
      <c r="AB3056" s="17" t="s">
        <v>41</v>
      </c>
      <c r="AC3056" s="0" t="str">
        <f aca="false">LEFT(G3056,2)</f>
        <v/>
      </c>
    </row>
    <row r="3057" customFormat="false" ht="15" hidden="false" customHeight="false" outlineLevel="0" collapsed="false">
      <c r="A3057" s="13" t="n">
        <f aca="false">1+A3056</f>
        <v>3055</v>
      </c>
      <c r="B3057" s="14" t="n">
        <v>100</v>
      </c>
      <c r="C3057" s="15"/>
      <c r="D3057" s="16" t="s">
        <v>64</v>
      </c>
      <c r="E3057" s="17" t="s">
        <v>47</v>
      </c>
      <c r="F3057" s="18" t="s">
        <v>34</v>
      </c>
      <c r="G3057" s="19"/>
      <c r="H3057" s="17" t="s">
        <v>35</v>
      </c>
      <c r="I3057" s="17" t="s">
        <v>44</v>
      </c>
      <c r="J3057" s="17"/>
      <c r="K3057" s="17" t="e">
        <f aca="false">VLOOKUP(J3057,Sheet2!A:B,2,0)</f>
        <v>#N/A</v>
      </c>
      <c r="L3057" s="17" t="n">
        <v>5</v>
      </c>
      <c r="M3057" s="17" t="str">
        <f aca="false">VLOOKUP(L3057,Sheet2!D:E,2,0)</f>
        <v>Main Processor CPU BGA</v>
      </c>
      <c r="N3057" s="17" t="n">
        <v>1</v>
      </c>
      <c r="O3057" s="17" t="str">
        <f aca="false">VLOOKUP(N3057,Sheet2!G:H,2,0)</f>
        <v>Dead</v>
      </c>
      <c r="P3057" s="17" t="n">
        <v>11</v>
      </c>
      <c r="Q3057" s="17" t="str">
        <f aca="false">VLOOKUP(P3057,Sheet2!J:K,2,0)</f>
        <v>IR Declared due to CID -TA</v>
      </c>
      <c r="R3057" s="17" t="s">
        <v>35</v>
      </c>
      <c r="S3057" s="17" t="str">
        <f aca="false">VLOOKUP(R3057,Sheet2!N:O,2,0)</f>
        <v>IREPARABLE</v>
      </c>
      <c r="T3057" s="18" t="str">
        <f aca="false">VLOOKUP(P3057,Sheet2!Q:R,2,0)</f>
        <v>IR Normal - Track burn out</v>
      </c>
      <c r="U3057" s="20" t="s">
        <v>41</v>
      </c>
      <c r="V3057" s="17"/>
      <c r="W3057" s="20" t="e">
        <f aca="false">VLOOKUP(V3057,Sheet2!Q:R,2,0)</f>
        <v>#N/A</v>
      </c>
      <c r="X3057" s="17" t="n">
        <f aca="false">J3057</f>
        <v>0</v>
      </c>
      <c r="Y3057" s="17" t="e">
        <f aca="false">VLOOKUP(X3057,Sheet2!A:B,2,0)</f>
        <v>#N/A</v>
      </c>
      <c r="Z3057" s="17"/>
      <c r="AA3057" s="17"/>
      <c r="AB3057" s="17" t="s">
        <v>41</v>
      </c>
      <c r="AC3057" s="0" t="str">
        <f aca="false">LEFT(G3057,2)</f>
        <v/>
      </c>
    </row>
    <row r="3058" customFormat="false" ht="15" hidden="false" customHeight="false" outlineLevel="0" collapsed="false">
      <c r="A3058" s="13" t="n">
        <f aca="false">1+A3057</f>
        <v>3056</v>
      </c>
      <c r="B3058" s="14" t="n">
        <v>100</v>
      </c>
      <c r="C3058" s="15"/>
      <c r="D3058" s="16" t="s">
        <v>64</v>
      </c>
      <c r="E3058" s="17" t="s">
        <v>47</v>
      </c>
      <c r="F3058" s="18" t="s">
        <v>34</v>
      </c>
      <c r="G3058" s="19"/>
      <c r="H3058" s="17" t="s">
        <v>35</v>
      </c>
      <c r="I3058" s="17" t="s">
        <v>44</v>
      </c>
      <c r="J3058" s="17"/>
      <c r="K3058" s="17" t="e">
        <f aca="false">VLOOKUP(J3058,Sheet2!A:B,2,0)</f>
        <v>#N/A</v>
      </c>
      <c r="L3058" s="17" t="n">
        <v>5</v>
      </c>
      <c r="M3058" s="17" t="str">
        <f aca="false">VLOOKUP(L3058,Sheet2!D:E,2,0)</f>
        <v>Main Processor CPU BGA</v>
      </c>
      <c r="N3058" s="17" t="n">
        <v>1</v>
      </c>
      <c r="O3058" s="17" t="str">
        <f aca="false">VLOOKUP(N3058,Sheet2!G:H,2,0)</f>
        <v>Dead</v>
      </c>
      <c r="P3058" s="17" t="n">
        <v>11</v>
      </c>
      <c r="Q3058" s="17" t="str">
        <f aca="false">VLOOKUP(P3058,Sheet2!J:K,2,0)</f>
        <v>IR Declared due to CID -TA</v>
      </c>
      <c r="R3058" s="17" t="s">
        <v>35</v>
      </c>
      <c r="S3058" s="17" t="str">
        <f aca="false">VLOOKUP(R3058,Sheet2!N:O,2,0)</f>
        <v>IREPARABLE</v>
      </c>
      <c r="T3058" s="18" t="str">
        <f aca="false">VLOOKUP(P3058,Sheet2!Q:R,2,0)</f>
        <v>IR Normal - Track burn out</v>
      </c>
      <c r="U3058" s="20" t="s">
        <v>41</v>
      </c>
      <c r="V3058" s="17"/>
      <c r="W3058" s="20" t="e">
        <f aca="false">VLOOKUP(V3058,Sheet2!Q:R,2,0)</f>
        <v>#N/A</v>
      </c>
      <c r="X3058" s="17" t="n">
        <f aca="false">J3058</f>
        <v>0</v>
      </c>
      <c r="Y3058" s="17" t="e">
        <f aca="false">VLOOKUP(X3058,Sheet2!A:B,2,0)</f>
        <v>#N/A</v>
      </c>
      <c r="Z3058" s="17"/>
      <c r="AA3058" s="17"/>
      <c r="AB3058" s="17" t="s">
        <v>41</v>
      </c>
      <c r="AC3058" s="0" t="str">
        <f aca="false">LEFT(G3058,2)</f>
        <v/>
      </c>
    </row>
    <row r="3059" customFormat="false" ht="15" hidden="false" customHeight="false" outlineLevel="0" collapsed="false">
      <c r="A3059" s="13" t="n">
        <f aca="false">1+A3058</f>
        <v>3057</v>
      </c>
      <c r="B3059" s="14" t="n">
        <v>100</v>
      </c>
      <c r="C3059" s="15"/>
      <c r="D3059" s="16" t="s">
        <v>64</v>
      </c>
      <c r="E3059" s="17" t="s">
        <v>47</v>
      </c>
      <c r="F3059" s="18" t="s">
        <v>34</v>
      </c>
      <c r="G3059" s="19"/>
      <c r="H3059" s="17" t="s">
        <v>35</v>
      </c>
      <c r="I3059" s="17" t="s">
        <v>44</v>
      </c>
      <c r="J3059" s="17"/>
      <c r="K3059" s="17" t="e">
        <f aca="false">VLOOKUP(J3059,Sheet2!A:B,2,0)</f>
        <v>#N/A</v>
      </c>
      <c r="L3059" s="17" t="n">
        <v>5</v>
      </c>
      <c r="M3059" s="17" t="str">
        <f aca="false">VLOOKUP(L3059,Sheet2!D:E,2,0)</f>
        <v>Main Processor CPU BGA</v>
      </c>
      <c r="N3059" s="17" t="n">
        <v>1</v>
      </c>
      <c r="O3059" s="17" t="str">
        <f aca="false">VLOOKUP(N3059,Sheet2!G:H,2,0)</f>
        <v>Dead</v>
      </c>
      <c r="P3059" s="17" t="n">
        <v>11</v>
      </c>
      <c r="Q3059" s="17" t="str">
        <f aca="false">VLOOKUP(P3059,Sheet2!J:K,2,0)</f>
        <v>IR Declared due to CID -TA</v>
      </c>
      <c r="R3059" s="17" t="s">
        <v>35</v>
      </c>
      <c r="S3059" s="17" t="str">
        <f aca="false">VLOOKUP(R3059,Sheet2!N:O,2,0)</f>
        <v>IREPARABLE</v>
      </c>
      <c r="T3059" s="18" t="str">
        <f aca="false">VLOOKUP(P3059,Sheet2!Q:R,2,0)</f>
        <v>IR Normal - Track burn out</v>
      </c>
      <c r="U3059" s="20" t="s">
        <v>41</v>
      </c>
      <c r="V3059" s="17"/>
      <c r="W3059" s="20" t="e">
        <f aca="false">VLOOKUP(V3059,Sheet2!Q:R,2,0)</f>
        <v>#N/A</v>
      </c>
      <c r="X3059" s="17" t="n">
        <f aca="false">J3059</f>
        <v>0</v>
      </c>
      <c r="Y3059" s="17" t="e">
        <f aca="false">VLOOKUP(X3059,Sheet2!A:B,2,0)</f>
        <v>#N/A</v>
      </c>
      <c r="Z3059" s="17"/>
      <c r="AA3059" s="17"/>
      <c r="AB3059" s="17" t="s">
        <v>41</v>
      </c>
      <c r="AC3059" s="0" t="str">
        <f aca="false">LEFT(G3059,2)</f>
        <v/>
      </c>
    </row>
    <row r="3060" customFormat="false" ht="15" hidden="false" customHeight="false" outlineLevel="0" collapsed="false">
      <c r="A3060" s="13" t="n">
        <f aca="false">1+A3059</f>
        <v>3058</v>
      </c>
      <c r="B3060" s="14" t="n">
        <v>100</v>
      </c>
      <c r="C3060" s="15"/>
      <c r="D3060" s="16" t="s">
        <v>64</v>
      </c>
      <c r="E3060" s="17" t="s">
        <v>47</v>
      </c>
      <c r="F3060" s="18" t="s">
        <v>34</v>
      </c>
      <c r="G3060" s="19"/>
      <c r="H3060" s="17" t="s">
        <v>35</v>
      </c>
      <c r="I3060" s="17" t="s">
        <v>44</v>
      </c>
      <c r="J3060" s="17"/>
      <c r="K3060" s="17" t="e">
        <f aca="false">VLOOKUP(J3060,Sheet2!A:B,2,0)</f>
        <v>#N/A</v>
      </c>
      <c r="L3060" s="17" t="n">
        <v>5</v>
      </c>
      <c r="M3060" s="17" t="str">
        <f aca="false">VLOOKUP(L3060,Sheet2!D:E,2,0)</f>
        <v>Main Processor CPU BGA</v>
      </c>
      <c r="N3060" s="17" t="n">
        <v>1</v>
      </c>
      <c r="O3060" s="17" t="str">
        <f aca="false">VLOOKUP(N3060,Sheet2!G:H,2,0)</f>
        <v>Dead</v>
      </c>
      <c r="P3060" s="17" t="n">
        <v>11</v>
      </c>
      <c r="Q3060" s="17" t="str">
        <f aca="false">VLOOKUP(P3060,Sheet2!J:K,2,0)</f>
        <v>IR Declared due to CID -TA</v>
      </c>
      <c r="R3060" s="17" t="s">
        <v>35</v>
      </c>
      <c r="S3060" s="17" t="str">
        <f aca="false">VLOOKUP(R3060,Sheet2!N:O,2,0)</f>
        <v>IREPARABLE</v>
      </c>
      <c r="T3060" s="18" t="str">
        <f aca="false">VLOOKUP(P3060,Sheet2!Q:R,2,0)</f>
        <v>IR Normal - Track burn out</v>
      </c>
      <c r="U3060" s="20" t="s">
        <v>41</v>
      </c>
      <c r="V3060" s="17"/>
      <c r="W3060" s="20" t="e">
        <f aca="false">VLOOKUP(V3060,Sheet2!Q:R,2,0)</f>
        <v>#N/A</v>
      </c>
      <c r="X3060" s="17" t="n">
        <f aca="false">J3060</f>
        <v>0</v>
      </c>
      <c r="Y3060" s="17" t="e">
        <f aca="false">VLOOKUP(X3060,Sheet2!A:B,2,0)</f>
        <v>#N/A</v>
      </c>
      <c r="Z3060" s="17"/>
      <c r="AA3060" s="17"/>
      <c r="AB3060" s="17" t="s">
        <v>41</v>
      </c>
      <c r="AC3060" s="0" t="str">
        <f aca="false">LEFT(G3060,2)</f>
        <v/>
      </c>
    </row>
    <row r="3061" customFormat="false" ht="15" hidden="false" customHeight="false" outlineLevel="0" collapsed="false">
      <c r="A3061" s="13" t="n">
        <f aca="false">1+A3060</f>
        <v>3059</v>
      </c>
      <c r="B3061" s="14" t="n">
        <v>100</v>
      </c>
      <c r="C3061" s="15"/>
      <c r="D3061" s="16" t="s">
        <v>64</v>
      </c>
      <c r="E3061" s="17" t="s">
        <v>47</v>
      </c>
      <c r="F3061" s="18" t="s">
        <v>34</v>
      </c>
      <c r="G3061" s="19"/>
      <c r="H3061" s="17" t="s">
        <v>35</v>
      </c>
      <c r="I3061" s="17" t="s">
        <v>44</v>
      </c>
      <c r="J3061" s="17"/>
      <c r="K3061" s="17" t="e">
        <f aca="false">VLOOKUP(J3061,Sheet2!A:B,2,0)</f>
        <v>#N/A</v>
      </c>
      <c r="L3061" s="17" t="n">
        <v>5</v>
      </c>
      <c r="M3061" s="17" t="str">
        <f aca="false">VLOOKUP(L3061,Sheet2!D:E,2,0)</f>
        <v>Main Processor CPU BGA</v>
      </c>
      <c r="N3061" s="17" t="n">
        <v>1</v>
      </c>
      <c r="O3061" s="17" t="str">
        <f aca="false">VLOOKUP(N3061,Sheet2!G:H,2,0)</f>
        <v>Dead</v>
      </c>
      <c r="P3061" s="17" t="n">
        <v>11</v>
      </c>
      <c r="Q3061" s="17" t="str">
        <f aca="false">VLOOKUP(P3061,Sheet2!J:K,2,0)</f>
        <v>IR Declared due to CID -TA</v>
      </c>
      <c r="R3061" s="17" t="s">
        <v>35</v>
      </c>
      <c r="S3061" s="17" t="str">
        <f aca="false">VLOOKUP(R3061,Sheet2!N:O,2,0)</f>
        <v>IREPARABLE</v>
      </c>
      <c r="T3061" s="18" t="str">
        <f aca="false">VLOOKUP(P3061,Sheet2!Q:R,2,0)</f>
        <v>IR Normal - Track burn out</v>
      </c>
      <c r="U3061" s="20" t="s">
        <v>41</v>
      </c>
      <c r="V3061" s="17"/>
      <c r="W3061" s="20" t="e">
        <f aca="false">VLOOKUP(V3061,Sheet2!Q:R,2,0)</f>
        <v>#N/A</v>
      </c>
      <c r="X3061" s="17" t="n">
        <f aca="false">J3061</f>
        <v>0</v>
      </c>
      <c r="Y3061" s="17" t="e">
        <f aca="false">VLOOKUP(X3061,Sheet2!A:B,2,0)</f>
        <v>#N/A</v>
      </c>
      <c r="Z3061" s="17"/>
      <c r="AA3061" s="17"/>
      <c r="AB3061" s="17" t="s">
        <v>41</v>
      </c>
      <c r="AC3061" s="0" t="str">
        <f aca="false">LEFT(G3061,2)</f>
        <v/>
      </c>
    </row>
    <row r="3062" customFormat="false" ht="15" hidden="false" customHeight="false" outlineLevel="0" collapsed="false">
      <c r="A3062" s="13" t="n">
        <f aca="false">1+A3061</f>
        <v>3060</v>
      </c>
      <c r="B3062" s="14" t="n">
        <v>100</v>
      </c>
      <c r="C3062" s="15"/>
      <c r="D3062" s="16" t="s">
        <v>64</v>
      </c>
      <c r="E3062" s="17" t="s">
        <v>47</v>
      </c>
      <c r="F3062" s="18" t="s">
        <v>34</v>
      </c>
      <c r="G3062" s="19"/>
      <c r="H3062" s="17" t="s">
        <v>35</v>
      </c>
      <c r="I3062" s="17" t="s">
        <v>44</v>
      </c>
      <c r="J3062" s="17"/>
      <c r="K3062" s="17" t="e">
        <f aca="false">VLOOKUP(J3062,Sheet2!A:B,2,0)</f>
        <v>#N/A</v>
      </c>
      <c r="L3062" s="17" t="n">
        <v>5</v>
      </c>
      <c r="M3062" s="17" t="str">
        <f aca="false">VLOOKUP(L3062,Sheet2!D:E,2,0)</f>
        <v>Main Processor CPU BGA</v>
      </c>
      <c r="N3062" s="17" t="n">
        <v>1</v>
      </c>
      <c r="O3062" s="17" t="str">
        <f aca="false">VLOOKUP(N3062,Sheet2!G:H,2,0)</f>
        <v>Dead</v>
      </c>
      <c r="P3062" s="17" t="n">
        <v>11</v>
      </c>
      <c r="Q3062" s="17" t="str">
        <f aca="false">VLOOKUP(P3062,Sheet2!J:K,2,0)</f>
        <v>IR Declared due to CID -TA</v>
      </c>
      <c r="R3062" s="17" t="s">
        <v>35</v>
      </c>
      <c r="S3062" s="17" t="str">
        <f aca="false">VLOOKUP(R3062,Sheet2!N:O,2,0)</f>
        <v>IREPARABLE</v>
      </c>
      <c r="T3062" s="18" t="str">
        <f aca="false">VLOOKUP(P3062,Sheet2!Q:R,2,0)</f>
        <v>IR Normal - Track burn out</v>
      </c>
      <c r="U3062" s="20" t="s">
        <v>41</v>
      </c>
      <c r="V3062" s="17"/>
      <c r="W3062" s="20" t="e">
        <f aca="false">VLOOKUP(V3062,Sheet2!Q:R,2,0)</f>
        <v>#N/A</v>
      </c>
      <c r="X3062" s="17" t="n">
        <f aca="false">J3062</f>
        <v>0</v>
      </c>
      <c r="Y3062" s="17" t="e">
        <f aca="false">VLOOKUP(X3062,Sheet2!A:B,2,0)</f>
        <v>#N/A</v>
      </c>
      <c r="Z3062" s="17"/>
      <c r="AA3062" s="17"/>
      <c r="AB3062" s="17" t="s">
        <v>41</v>
      </c>
      <c r="AC3062" s="0" t="str">
        <f aca="false">LEFT(G3062,2)</f>
        <v/>
      </c>
    </row>
    <row r="3063" customFormat="false" ht="15" hidden="false" customHeight="false" outlineLevel="0" collapsed="false">
      <c r="A3063" s="13" t="n">
        <f aca="false">1+A3062</f>
        <v>3061</v>
      </c>
      <c r="B3063" s="14" t="n">
        <v>100</v>
      </c>
      <c r="C3063" s="15"/>
      <c r="D3063" s="16" t="s">
        <v>64</v>
      </c>
      <c r="E3063" s="17" t="s">
        <v>47</v>
      </c>
      <c r="F3063" s="18" t="s">
        <v>34</v>
      </c>
      <c r="G3063" s="19"/>
      <c r="H3063" s="17" t="s">
        <v>35</v>
      </c>
      <c r="I3063" s="17" t="s">
        <v>44</v>
      </c>
      <c r="J3063" s="17"/>
      <c r="K3063" s="17" t="e">
        <f aca="false">VLOOKUP(J3063,Sheet2!A:B,2,0)</f>
        <v>#N/A</v>
      </c>
      <c r="L3063" s="17" t="n">
        <v>5</v>
      </c>
      <c r="M3063" s="17" t="str">
        <f aca="false">VLOOKUP(L3063,Sheet2!D:E,2,0)</f>
        <v>Main Processor CPU BGA</v>
      </c>
      <c r="N3063" s="17" t="n">
        <v>1</v>
      </c>
      <c r="O3063" s="17" t="str">
        <f aca="false">VLOOKUP(N3063,Sheet2!G:H,2,0)</f>
        <v>Dead</v>
      </c>
      <c r="P3063" s="17" t="n">
        <v>11</v>
      </c>
      <c r="Q3063" s="17" t="str">
        <f aca="false">VLOOKUP(P3063,Sheet2!J:K,2,0)</f>
        <v>IR Declared due to CID -TA</v>
      </c>
      <c r="R3063" s="17" t="s">
        <v>35</v>
      </c>
      <c r="S3063" s="17" t="str">
        <f aca="false">VLOOKUP(R3063,Sheet2!N:O,2,0)</f>
        <v>IREPARABLE</v>
      </c>
      <c r="T3063" s="18" t="str">
        <f aca="false">VLOOKUP(P3063,Sheet2!Q:R,2,0)</f>
        <v>IR Normal - Track burn out</v>
      </c>
      <c r="U3063" s="20" t="s">
        <v>41</v>
      </c>
      <c r="V3063" s="17"/>
      <c r="W3063" s="20" t="e">
        <f aca="false">VLOOKUP(V3063,Sheet2!Q:R,2,0)</f>
        <v>#N/A</v>
      </c>
      <c r="X3063" s="17" t="n">
        <f aca="false">J3063</f>
        <v>0</v>
      </c>
      <c r="Y3063" s="17" t="e">
        <f aca="false">VLOOKUP(X3063,Sheet2!A:B,2,0)</f>
        <v>#N/A</v>
      </c>
      <c r="Z3063" s="17"/>
      <c r="AA3063" s="17"/>
      <c r="AB3063" s="17" t="s">
        <v>41</v>
      </c>
      <c r="AC3063" s="0" t="str">
        <f aca="false">LEFT(G3063,2)</f>
        <v/>
      </c>
    </row>
    <row r="3064" customFormat="false" ht="15" hidden="false" customHeight="false" outlineLevel="0" collapsed="false">
      <c r="A3064" s="13" t="n">
        <f aca="false">1+A3063</f>
        <v>3062</v>
      </c>
      <c r="B3064" s="14" t="n">
        <v>100</v>
      </c>
      <c r="C3064" s="15"/>
      <c r="D3064" s="16" t="s">
        <v>64</v>
      </c>
      <c r="E3064" s="17" t="s">
        <v>47</v>
      </c>
      <c r="F3064" s="18" t="s">
        <v>34</v>
      </c>
      <c r="G3064" s="19"/>
      <c r="H3064" s="17" t="s">
        <v>35</v>
      </c>
      <c r="I3064" s="17" t="s">
        <v>44</v>
      </c>
      <c r="J3064" s="17"/>
      <c r="K3064" s="17" t="e">
        <f aca="false">VLOOKUP(J3064,Sheet2!A:B,2,0)</f>
        <v>#N/A</v>
      </c>
      <c r="L3064" s="17" t="n">
        <v>5</v>
      </c>
      <c r="M3064" s="17" t="str">
        <f aca="false">VLOOKUP(L3064,Sheet2!D:E,2,0)</f>
        <v>Main Processor CPU BGA</v>
      </c>
      <c r="N3064" s="17" t="n">
        <v>1</v>
      </c>
      <c r="O3064" s="17" t="str">
        <f aca="false">VLOOKUP(N3064,Sheet2!G:H,2,0)</f>
        <v>Dead</v>
      </c>
      <c r="P3064" s="17" t="n">
        <v>11</v>
      </c>
      <c r="Q3064" s="17" t="str">
        <f aca="false">VLOOKUP(P3064,Sheet2!J:K,2,0)</f>
        <v>IR Declared due to CID -TA</v>
      </c>
      <c r="R3064" s="17" t="s">
        <v>35</v>
      </c>
      <c r="S3064" s="17" t="str">
        <f aca="false">VLOOKUP(R3064,Sheet2!N:O,2,0)</f>
        <v>IREPARABLE</v>
      </c>
      <c r="T3064" s="18" t="str">
        <f aca="false">VLOOKUP(P3064,Sheet2!Q:R,2,0)</f>
        <v>IR Normal - Track burn out</v>
      </c>
      <c r="U3064" s="20" t="s">
        <v>41</v>
      </c>
      <c r="V3064" s="17"/>
      <c r="W3064" s="20" t="e">
        <f aca="false">VLOOKUP(V3064,Sheet2!Q:R,2,0)</f>
        <v>#N/A</v>
      </c>
      <c r="X3064" s="17" t="n">
        <f aca="false">J3064</f>
        <v>0</v>
      </c>
      <c r="Y3064" s="17" t="e">
        <f aca="false">VLOOKUP(X3064,Sheet2!A:B,2,0)</f>
        <v>#N/A</v>
      </c>
      <c r="Z3064" s="17"/>
      <c r="AA3064" s="17"/>
      <c r="AB3064" s="17" t="s">
        <v>41</v>
      </c>
      <c r="AC3064" s="0" t="str">
        <f aca="false">LEFT(G3064,2)</f>
        <v/>
      </c>
    </row>
    <row r="3065" customFormat="false" ht="15" hidden="false" customHeight="false" outlineLevel="0" collapsed="false">
      <c r="A3065" s="13" t="n">
        <f aca="false">1+A3064</f>
        <v>3063</v>
      </c>
      <c r="B3065" s="14" t="n">
        <v>100</v>
      </c>
      <c r="C3065" s="15"/>
      <c r="D3065" s="16" t="s">
        <v>64</v>
      </c>
      <c r="E3065" s="17" t="s">
        <v>47</v>
      </c>
      <c r="F3065" s="18" t="s">
        <v>34</v>
      </c>
      <c r="G3065" s="19"/>
      <c r="H3065" s="17" t="s">
        <v>35</v>
      </c>
      <c r="I3065" s="17" t="s">
        <v>44</v>
      </c>
      <c r="J3065" s="17"/>
      <c r="K3065" s="17" t="e">
        <f aca="false">VLOOKUP(J3065,Sheet2!A:B,2,0)</f>
        <v>#N/A</v>
      </c>
      <c r="L3065" s="17" t="n">
        <v>5</v>
      </c>
      <c r="M3065" s="17" t="str">
        <f aca="false">VLOOKUP(L3065,Sheet2!D:E,2,0)</f>
        <v>Main Processor CPU BGA</v>
      </c>
      <c r="N3065" s="17" t="n">
        <v>1</v>
      </c>
      <c r="O3065" s="17" t="str">
        <f aca="false">VLOOKUP(N3065,Sheet2!G:H,2,0)</f>
        <v>Dead</v>
      </c>
      <c r="P3065" s="17" t="n">
        <v>11</v>
      </c>
      <c r="Q3065" s="17" t="str">
        <f aca="false">VLOOKUP(P3065,Sheet2!J:K,2,0)</f>
        <v>IR Declared due to CID -TA</v>
      </c>
      <c r="R3065" s="17" t="s">
        <v>35</v>
      </c>
      <c r="S3065" s="17" t="str">
        <f aca="false">VLOOKUP(R3065,Sheet2!N:O,2,0)</f>
        <v>IREPARABLE</v>
      </c>
      <c r="T3065" s="18" t="str">
        <f aca="false">VLOOKUP(P3065,Sheet2!Q:R,2,0)</f>
        <v>IR Normal - Track burn out</v>
      </c>
      <c r="U3065" s="20" t="s">
        <v>41</v>
      </c>
      <c r="V3065" s="17"/>
      <c r="W3065" s="20" t="e">
        <f aca="false">VLOOKUP(V3065,Sheet2!Q:R,2,0)</f>
        <v>#N/A</v>
      </c>
      <c r="X3065" s="17" t="n">
        <f aca="false">J3065</f>
        <v>0</v>
      </c>
      <c r="Y3065" s="17" t="e">
        <f aca="false">VLOOKUP(X3065,Sheet2!A:B,2,0)</f>
        <v>#N/A</v>
      </c>
      <c r="Z3065" s="17"/>
      <c r="AA3065" s="17"/>
      <c r="AB3065" s="17" t="s">
        <v>41</v>
      </c>
      <c r="AC3065" s="0" t="str">
        <f aca="false">LEFT(G3065,2)</f>
        <v/>
      </c>
    </row>
    <row r="3066" customFormat="false" ht="15" hidden="false" customHeight="false" outlineLevel="0" collapsed="false">
      <c r="A3066" s="13" t="n">
        <f aca="false">1+A3065</f>
        <v>3064</v>
      </c>
      <c r="B3066" s="14" t="n">
        <v>100</v>
      </c>
      <c r="C3066" s="15"/>
      <c r="D3066" s="16" t="s">
        <v>64</v>
      </c>
      <c r="E3066" s="17" t="s">
        <v>47</v>
      </c>
      <c r="F3066" s="18" t="s">
        <v>34</v>
      </c>
      <c r="G3066" s="19"/>
      <c r="H3066" s="17" t="s">
        <v>35</v>
      </c>
      <c r="I3066" s="17" t="s">
        <v>44</v>
      </c>
      <c r="J3066" s="17"/>
      <c r="K3066" s="17" t="e">
        <f aca="false">VLOOKUP(J3066,Sheet2!A:B,2,0)</f>
        <v>#N/A</v>
      </c>
      <c r="L3066" s="17" t="n">
        <v>5</v>
      </c>
      <c r="M3066" s="17" t="str">
        <f aca="false">VLOOKUP(L3066,Sheet2!D:E,2,0)</f>
        <v>Main Processor CPU BGA</v>
      </c>
      <c r="N3066" s="17" t="n">
        <v>1</v>
      </c>
      <c r="O3066" s="17" t="str">
        <f aca="false">VLOOKUP(N3066,Sheet2!G:H,2,0)</f>
        <v>Dead</v>
      </c>
      <c r="P3066" s="17" t="n">
        <v>11</v>
      </c>
      <c r="Q3066" s="17" t="str">
        <f aca="false">VLOOKUP(P3066,Sheet2!J:K,2,0)</f>
        <v>IR Declared due to CID -TA</v>
      </c>
      <c r="R3066" s="17" t="s">
        <v>35</v>
      </c>
      <c r="S3066" s="17" t="str">
        <f aca="false">VLOOKUP(R3066,Sheet2!N:O,2,0)</f>
        <v>IREPARABLE</v>
      </c>
      <c r="T3066" s="18" t="str">
        <f aca="false">VLOOKUP(P3066,Sheet2!Q:R,2,0)</f>
        <v>IR Normal - Track burn out</v>
      </c>
      <c r="U3066" s="20" t="s">
        <v>41</v>
      </c>
      <c r="V3066" s="17"/>
      <c r="W3066" s="20" t="e">
        <f aca="false">VLOOKUP(V3066,Sheet2!Q:R,2,0)</f>
        <v>#N/A</v>
      </c>
      <c r="X3066" s="17" t="n">
        <f aca="false">J3066</f>
        <v>0</v>
      </c>
      <c r="Y3066" s="17" t="e">
        <f aca="false">VLOOKUP(X3066,Sheet2!A:B,2,0)</f>
        <v>#N/A</v>
      </c>
      <c r="Z3066" s="17"/>
      <c r="AA3066" s="17"/>
      <c r="AB3066" s="17" t="s">
        <v>41</v>
      </c>
      <c r="AC3066" s="0" t="str">
        <f aca="false">LEFT(G3066,2)</f>
        <v/>
      </c>
    </row>
    <row r="3067" customFormat="false" ht="15" hidden="false" customHeight="false" outlineLevel="0" collapsed="false">
      <c r="A3067" s="13" t="n">
        <f aca="false">1+A3066</f>
        <v>3065</v>
      </c>
      <c r="B3067" s="14" t="n">
        <v>100</v>
      </c>
      <c r="C3067" s="15"/>
      <c r="D3067" s="16" t="s">
        <v>64</v>
      </c>
      <c r="E3067" s="17" t="s">
        <v>47</v>
      </c>
      <c r="F3067" s="18" t="s">
        <v>34</v>
      </c>
      <c r="G3067" s="19"/>
      <c r="H3067" s="17" t="s">
        <v>35</v>
      </c>
      <c r="I3067" s="17" t="s">
        <v>44</v>
      </c>
      <c r="J3067" s="17"/>
      <c r="K3067" s="17" t="e">
        <f aca="false">VLOOKUP(J3067,Sheet2!A:B,2,0)</f>
        <v>#N/A</v>
      </c>
      <c r="L3067" s="17" t="n">
        <v>5</v>
      </c>
      <c r="M3067" s="17" t="str">
        <f aca="false">VLOOKUP(L3067,Sheet2!D:E,2,0)</f>
        <v>Main Processor CPU BGA</v>
      </c>
      <c r="N3067" s="17" t="n">
        <v>1</v>
      </c>
      <c r="O3067" s="17" t="str">
        <f aca="false">VLOOKUP(N3067,Sheet2!G:H,2,0)</f>
        <v>Dead</v>
      </c>
      <c r="P3067" s="17" t="n">
        <v>11</v>
      </c>
      <c r="Q3067" s="17" t="str">
        <f aca="false">VLOOKUP(P3067,Sheet2!J:K,2,0)</f>
        <v>IR Declared due to CID -TA</v>
      </c>
      <c r="R3067" s="17" t="s">
        <v>35</v>
      </c>
      <c r="S3067" s="17" t="str">
        <f aca="false">VLOOKUP(R3067,Sheet2!N:O,2,0)</f>
        <v>IREPARABLE</v>
      </c>
      <c r="T3067" s="18" t="str">
        <f aca="false">VLOOKUP(P3067,Sheet2!Q:R,2,0)</f>
        <v>IR Normal - Track burn out</v>
      </c>
      <c r="U3067" s="20" t="s">
        <v>41</v>
      </c>
      <c r="V3067" s="17"/>
      <c r="W3067" s="20" t="e">
        <f aca="false">VLOOKUP(V3067,Sheet2!Q:R,2,0)</f>
        <v>#N/A</v>
      </c>
      <c r="X3067" s="17" t="n">
        <f aca="false">J3067</f>
        <v>0</v>
      </c>
      <c r="Y3067" s="17" t="e">
        <f aca="false">VLOOKUP(X3067,Sheet2!A:B,2,0)</f>
        <v>#N/A</v>
      </c>
      <c r="Z3067" s="17"/>
      <c r="AA3067" s="17"/>
      <c r="AB3067" s="17" t="s">
        <v>41</v>
      </c>
      <c r="AC3067" s="0" t="str">
        <f aca="false">LEFT(G3067,2)</f>
        <v/>
      </c>
    </row>
    <row r="3068" customFormat="false" ht="15" hidden="false" customHeight="false" outlineLevel="0" collapsed="false">
      <c r="A3068" s="13" t="n">
        <f aca="false">1+A3067</f>
        <v>3066</v>
      </c>
      <c r="B3068" s="14" t="n">
        <v>100</v>
      </c>
      <c r="C3068" s="15"/>
      <c r="D3068" s="16" t="s">
        <v>64</v>
      </c>
      <c r="E3068" s="17" t="s">
        <v>47</v>
      </c>
      <c r="F3068" s="18" t="s">
        <v>34</v>
      </c>
      <c r="G3068" s="19"/>
      <c r="H3068" s="17" t="s">
        <v>35</v>
      </c>
      <c r="I3068" s="17" t="s">
        <v>44</v>
      </c>
      <c r="J3068" s="17"/>
      <c r="K3068" s="17" t="e">
        <f aca="false">VLOOKUP(J3068,Sheet2!A:B,2,0)</f>
        <v>#N/A</v>
      </c>
      <c r="L3068" s="17" t="n">
        <v>5</v>
      </c>
      <c r="M3068" s="17" t="str">
        <f aca="false">VLOOKUP(L3068,Sheet2!D:E,2,0)</f>
        <v>Main Processor CPU BGA</v>
      </c>
      <c r="N3068" s="17" t="n">
        <v>1</v>
      </c>
      <c r="O3068" s="17" t="str">
        <f aca="false">VLOOKUP(N3068,Sheet2!G:H,2,0)</f>
        <v>Dead</v>
      </c>
      <c r="P3068" s="17" t="n">
        <v>11</v>
      </c>
      <c r="Q3068" s="17" t="str">
        <f aca="false">VLOOKUP(P3068,Sheet2!J:K,2,0)</f>
        <v>IR Declared due to CID -TA</v>
      </c>
      <c r="R3068" s="17" t="s">
        <v>35</v>
      </c>
      <c r="S3068" s="17" t="str">
        <f aca="false">VLOOKUP(R3068,Sheet2!N:O,2,0)</f>
        <v>IREPARABLE</v>
      </c>
      <c r="T3068" s="18" t="str">
        <f aca="false">VLOOKUP(P3068,Sheet2!Q:R,2,0)</f>
        <v>IR Normal - Track burn out</v>
      </c>
      <c r="U3068" s="20" t="s">
        <v>41</v>
      </c>
      <c r="V3068" s="17"/>
      <c r="W3068" s="20" t="e">
        <f aca="false">VLOOKUP(V3068,Sheet2!Q:R,2,0)</f>
        <v>#N/A</v>
      </c>
      <c r="X3068" s="17" t="n">
        <f aca="false">J3068</f>
        <v>0</v>
      </c>
      <c r="Y3068" s="17" t="e">
        <f aca="false">VLOOKUP(X3068,Sheet2!A:B,2,0)</f>
        <v>#N/A</v>
      </c>
      <c r="Z3068" s="17"/>
      <c r="AA3068" s="17"/>
      <c r="AB3068" s="17" t="s">
        <v>41</v>
      </c>
      <c r="AC3068" s="0" t="str">
        <f aca="false">LEFT(G3068,2)</f>
        <v/>
      </c>
    </row>
    <row r="3069" customFormat="false" ht="15" hidden="false" customHeight="false" outlineLevel="0" collapsed="false">
      <c r="A3069" s="13" t="n">
        <f aca="false">1+A3068</f>
        <v>3067</v>
      </c>
      <c r="B3069" s="14" t="n">
        <v>100</v>
      </c>
      <c r="C3069" s="15"/>
      <c r="D3069" s="16" t="s">
        <v>64</v>
      </c>
      <c r="E3069" s="17" t="s">
        <v>47</v>
      </c>
      <c r="F3069" s="18" t="s">
        <v>34</v>
      </c>
      <c r="G3069" s="19"/>
      <c r="H3069" s="17" t="s">
        <v>35</v>
      </c>
      <c r="I3069" s="17" t="s">
        <v>44</v>
      </c>
      <c r="J3069" s="17"/>
      <c r="K3069" s="17" t="e">
        <f aca="false">VLOOKUP(J3069,Sheet2!A:B,2,0)</f>
        <v>#N/A</v>
      </c>
      <c r="L3069" s="17" t="n">
        <v>5</v>
      </c>
      <c r="M3069" s="17" t="str">
        <f aca="false">VLOOKUP(L3069,Sheet2!D:E,2,0)</f>
        <v>Main Processor CPU BGA</v>
      </c>
      <c r="N3069" s="17" t="n">
        <v>1</v>
      </c>
      <c r="O3069" s="17" t="str">
        <f aca="false">VLOOKUP(N3069,Sheet2!G:H,2,0)</f>
        <v>Dead</v>
      </c>
      <c r="P3069" s="17" t="n">
        <v>11</v>
      </c>
      <c r="Q3069" s="17" t="str">
        <f aca="false">VLOOKUP(P3069,Sheet2!J:K,2,0)</f>
        <v>IR Declared due to CID -TA</v>
      </c>
      <c r="R3069" s="17" t="s">
        <v>35</v>
      </c>
      <c r="S3069" s="17" t="str">
        <f aca="false">VLOOKUP(R3069,Sheet2!N:O,2,0)</f>
        <v>IREPARABLE</v>
      </c>
      <c r="T3069" s="18" t="str">
        <f aca="false">VLOOKUP(P3069,Sheet2!Q:R,2,0)</f>
        <v>IR Normal - Track burn out</v>
      </c>
      <c r="U3069" s="20" t="s">
        <v>41</v>
      </c>
      <c r="V3069" s="17"/>
      <c r="W3069" s="20" t="e">
        <f aca="false">VLOOKUP(V3069,Sheet2!Q:R,2,0)</f>
        <v>#N/A</v>
      </c>
      <c r="X3069" s="17" t="n">
        <f aca="false">J3069</f>
        <v>0</v>
      </c>
      <c r="Y3069" s="17" t="e">
        <f aca="false">VLOOKUP(X3069,Sheet2!A:B,2,0)</f>
        <v>#N/A</v>
      </c>
      <c r="Z3069" s="17"/>
      <c r="AA3069" s="17"/>
      <c r="AB3069" s="17" t="s">
        <v>41</v>
      </c>
      <c r="AC3069" s="0" t="str">
        <f aca="false">LEFT(G3069,2)</f>
        <v/>
      </c>
    </row>
    <row r="3070" customFormat="false" ht="15" hidden="false" customHeight="false" outlineLevel="0" collapsed="false">
      <c r="A3070" s="13" t="n">
        <f aca="false">1+A3069</f>
        <v>3068</v>
      </c>
      <c r="B3070" s="14" t="n">
        <v>100</v>
      </c>
      <c r="C3070" s="15"/>
      <c r="D3070" s="16" t="s">
        <v>64</v>
      </c>
      <c r="E3070" s="17" t="s">
        <v>47</v>
      </c>
      <c r="F3070" s="18" t="s">
        <v>34</v>
      </c>
      <c r="G3070" s="19"/>
      <c r="H3070" s="17" t="s">
        <v>35</v>
      </c>
      <c r="I3070" s="17" t="s">
        <v>44</v>
      </c>
      <c r="J3070" s="17"/>
      <c r="K3070" s="17" t="e">
        <f aca="false">VLOOKUP(J3070,Sheet2!A:B,2,0)</f>
        <v>#N/A</v>
      </c>
      <c r="L3070" s="17" t="n">
        <v>5</v>
      </c>
      <c r="M3070" s="17" t="str">
        <f aca="false">VLOOKUP(L3070,Sheet2!D:E,2,0)</f>
        <v>Main Processor CPU BGA</v>
      </c>
      <c r="N3070" s="17" t="n">
        <v>1</v>
      </c>
      <c r="O3070" s="17" t="str">
        <f aca="false">VLOOKUP(N3070,Sheet2!G:H,2,0)</f>
        <v>Dead</v>
      </c>
      <c r="P3070" s="17" t="n">
        <v>11</v>
      </c>
      <c r="Q3070" s="17" t="str">
        <f aca="false">VLOOKUP(P3070,Sheet2!J:K,2,0)</f>
        <v>IR Declared due to CID -TA</v>
      </c>
      <c r="R3070" s="17" t="s">
        <v>35</v>
      </c>
      <c r="S3070" s="17" t="str">
        <f aca="false">VLOOKUP(R3070,Sheet2!N:O,2,0)</f>
        <v>IREPARABLE</v>
      </c>
      <c r="T3070" s="18" t="str">
        <f aca="false">VLOOKUP(P3070,Sheet2!Q:R,2,0)</f>
        <v>IR Normal - Track burn out</v>
      </c>
      <c r="U3070" s="20" t="s">
        <v>41</v>
      </c>
      <c r="V3070" s="17"/>
      <c r="W3070" s="20" t="e">
        <f aca="false">VLOOKUP(V3070,Sheet2!Q:R,2,0)</f>
        <v>#N/A</v>
      </c>
      <c r="X3070" s="17" t="n">
        <f aca="false">J3070</f>
        <v>0</v>
      </c>
      <c r="Y3070" s="17" t="e">
        <f aca="false">VLOOKUP(X3070,Sheet2!A:B,2,0)</f>
        <v>#N/A</v>
      </c>
      <c r="Z3070" s="17"/>
      <c r="AA3070" s="17"/>
      <c r="AB3070" s="17" t="s">
        <v>41</v>
      </c>
      <c r="AC3070" s="0" t="str">
        <f aca="false">LEFT(G3070,2)</f>
        <v/>
      </c>
    </row>
    <row r="3071" customFormat="false" ht="15" hidden="false" customHeight="false" outlineLevel="0" collapsed="false">
      <c r="A3071" s="13" t="n">
        <f aca="false">1+A3070</f>
        <v>3069</v>
      </c>
      <c r="B3071" s="14" t="n">
        <v>100</v>
      </c>
      <c r="C3071" s="15"/>
      <c r="D3071" s="16" t="s">
        <v>64</v>
      </c>
      <c r="E3071" s="17" t="s">
        <v>47</v>
      </c>
      <c r="F3071" s="18" t="s">
        <v>34</v>
      </c>
      <c r="G3071" s="19"/>
      <c r="H3071" s="17" t="s">
        <v>35</v>
      </c>
      <c r="I3071" s="17" t="s">
        <v>44</v>
      </c>
      <c r="J3071" s="17"/>
      <c r="K3071" s="17" t="e">
        <f aca="false">VLOOKUP(J3071,Sheet2!A:B,2,0)</f>
        <v>#N/A</v>
      </c>
      <c r="L3071" s="17" t="n">
        <v>5</v>
      </c>
      <c r="M3071" s="17" t="str">
        <f aca="false">VLOOKUP(L3071,Sheet2!D:E,2,0)</f>
        <v>Main Processor CPU BGA</v>
      </c>
      <c r="N3071" s="17" t="n">
        <v>1</v>
      </c>
      <c r="O3071" s="17" t="str">
        <f aca="false">VLOOKUP(N3071,Sheet2!G:H,2,0)</f>
        <v>Dead</v>
      </c>
      <c r="P3071" s="17" t="n">
        <v>11</v>
      </c>
      <c r="Q3071" s="17" t="str">
        <f aca="false">VLOOKUP(P3071,Sheet2!J:K,2,0)</f>
        <v>IR Declared due to CID -TA</v>
      </c>
      <c r="R3071" s="17" t="s">
        <v>35</v>
      </c>
      <c r="S3071" s="17" t="str">
        <f aca="false">VLOOKUP(R3071,Sheet2!N:O,2,0)</f>
        <v>IREPARABLE</v>
      </c>
      <c r="T3071" s="18" t="str">
        <f aca="false">VLOOKUP(P3071,Sheet2!Q:R,2,0)</f>
        <v>IR Normal - Track burn out</v>
      </c>
      <c r="U3071" s="20" t="s">
        <v>41</v>
      </c>
      <c r="V3071" s="17"/>
      <c r="W3071" s="20" t="e">
        <f aca="false">VLOOKUP(V3071,Sheet2!Q:R,2,0)</f>
        <v>#N/A</v>
      </c>
      <c r="X3071" s="17" t="n">
        <f aca="false">J3071</f>
        <v>0</v>
      </c>
      <c r="Y3071" s="17" t="e">
        <f aca="false">VLOOKUP(X3071,Sheet2!A:B,2,0)</f>
        <v>#N/A</v>
      </c>
      <c r="Z3071" s="17"/>
      <c r="AA3071" s="17"/>
      <c r="AB3071" s="17" t="s">
        <v>41</v>
      </c>
      <c r="AC3071" s="0" t="str">
        <f aca="false">LEFT(G3071,2)</f>
        <v/>
      </c>
    </row>
    <row r="3072" customFormat="false" ht="15" hidden="false" customHeight="false" outlineLevel="0" collapsed="false">
      <c r="A3072" s="13" t="n">
        <f aca="false">1+A3071</f>
        <v>3070</v>
      </c>
      <c r="B3072" s="14" t="n">
        <v>100</v>
      </c>
      <c r="C3072" s="15"/>
      <c r="D3072" s="16" t="s">
        <v>64</v>
      </c>
      <c r="E3072" s="17" t="s">
        <v>47</v>
      </c>
      <c r="F3072" s="18" t="s">
        <v>34</v>
      </c>
      <c r="G3072" s="19"/>
      <c r="H3072" s="17" t="s">
        <v>35</v>
      </c>
      <c r="I3072" s="17" t="s">
        <v>44</v>
      </c>
      <c r="J3072" s="17"/>
      <c r="K3072" s="17" t="e">
        <f aca="false">VLOOKUP(J3072,Sheet2!A:B,2,0)</f>
        <v>#N/A</v>
      </c>
      <c r="L3072" s="17" t="n">
        <v>5</v>
      </c>
      <c r="M3072" s="17" t="str">
        <f aca="false">VLOOKUP(L3072,Sheet2!D:E,2,0)</f>
        <v>Main Processor CPU BGA</v>
      </c>
      <c r="N3072" s="17" t="n">
        <v>1</v>
      </c>
      <c r="O3072" s="17" t="str">
        <f aca="false">VLOOKUP(N3072,Sheet2!G:H,2,0)</f>
        <v>Dead</v>
      </c>
      <c r="P3072" s="17" t="n">
        <v>11</v>
      </c>
      <c r="Q3072" s="17" t="str">
        <f aca="false">VLOOKUP(P3072,Sheet2!J:K,2,0)</f>
        <v>IR Declared due to CID -TA</v>
      </c>
      <c r="R3072" s="17" t="s">
        <v>35</v>
      </c>
      <c r="S3072" s="17" t="str">
        <f aca="false">VLOOKUP(R3072,Sheet2!N:O,2,0)</f>
        <v>IREPARABLE</v>
      </c>
      <c r="T3072" s="18" t="str">
        <f aca="false">VLOOKUP(P3072,Sheet2!Q:R,2,0)</f>
        <v>IR Normal - Track burn out</v>
      </c>
      <c r="U3072" s="20" t="s">
        <v>41</v>
      </c>
      <c r="V3072" s="17"/>
      <c r="W3072" s="20" t="e">
        <f aca="false">VLOOKUP(V3072,Sheet2!Q:R,2,0)</f>
        <v>#N/A</v>
      </c>
      <c r="X3072" s="17" t="n">
        <f aca="false">J3072</f>
        <v>0</v>
      </c>
      <c r="Y3072" s="17" t="e">
        <f aca="false">VLOOKUP(X3072,Sheet2!A:B,2,0)</f>
        <v>#N/A</v>
      </c>
      <c r="Z3072" s="17"/>
      <c r="AA3072" s="17"/>
      <c r="AB3072" s="17" t="s">
        <v>41</v>
      </c>
      <c r="AC3072" s="0" t="str">
        <f aca="false">LEFT(G3072,2)</f>
        <v/>
      </c>
    </row>
    <row r="3073" customFormat="false" ht="15" hidden="false" customHeight="false" outlineLevel="0" collapsed="false">
      <c r="A3073" s="13" t="n">
        <f aca="false">1+A3072</f>
        <v>3071</v>
      </c>
      <c r="B3073" s="14" t="n">
        <v>100</v>
      </c>
      <c r="C3073" s="15"/>
      <c r="D3073" s="16" t="s">
        <v>64</v>
      </c>
      <c r="E3073" s="17" t="s">
        <v>47</v>
      </c>
      <c r="F3073" s="18" t="s">
        <v>34</v>
      </c>
      <c r="G3073" s="19"/>
      <c r="H3073" s="17" t="s">
        <v>35</v>
      </c>
      <c r="I3073" s="17" t="s">
        <v>44</v>
      </c>
      <c r="J3073" s="17"/>
      <c r="K3073" s="17" t="e">
        <f aca="false">VLOOKUP(J3073,Sheet2!A:B,2,0)</f>
        <v>#N/A</v>
      </c>
      <c r="L3073" s="17" t="n">
        <v>5</v>
      </c>
      <c r="M3073" s="17" t="str">
        <f aca="false">VLOOKUP(L3073,Sheet2!D:E,2,0)</f>
        <v>Main Processor CPU BGA</v>
      </c>
      <c r="N3073" s="17" t="n">
        <v>1</v>
      </c>
      <c r="O3073" s="17" t="str">
        <f aca="false">VLOOKUP(N3073,Sheet2!G:H,2,0)</f>
        <v>Dead</v>
      </c>
      <c r="P3073" s="17" t="n">
        <v>11</v>
      </c>
      <c r="Q3073" s="17" t="str">
        <f aca="false">VLOOKUP(P3073,Sheet2!J:K,2,0)</f>
        <v>IR Declared due to CID -TA</v>
      </c>
      <c r="R3073" s="17" t="s">
        <v>35</v>
      </c>
      <c r="S3073" s="17" t="str">
        <f aca="false">VLOOKUP(R3073,Sheet2!N:O,2,0)</f>
        <v>IREPARABLE</v>
      </c>
      <c r="T3073" s="18" t="str">
        <f aca="false">VLOOKUP(P3073,Sheet2!Q:R,2,0)</f>
        <v>IR Normal - Track burn out</v>
      </c>
      <c r="U3073" s="20" t="s">
        <v>41</v>
      </c>
      <c r="V3073" s="17"/>
      <c r="W3073" s="20" t="e">
        <f aca="false">VLOOKUP(V3073,Sheet2!Q:R,2,0)</f>
        <v>#N/A</v>
      </c>
      <c r="X3073" s="17" t="n">
        <f aca="false">J3073</f>
        <v>0</v>
      </c>
      <c r="Y3073" s="17" t="e">
        <f aca="false">VLOOKUP(X3073,Sheet2!A:B,2,0)</f>
        <v>#N/A</v>
      </c>
      <c r="Z3073" s="17"/>
      <c r="AA3073" s="17"/>
      <c r="AB3073" s="17" t="s">
        <v>41</v>
      </c>
      <c r="AC3073" s="0" t="str">
        <f aca="false">LEFT(G3073,2)</f>
        <v/>
      </c>
    </row>
    <row r="3074" customFormat="false" ht="15" hidden="false" customHeight="false" outlineLevel="0" collapsed="false">
      <c r="A3074" s="13" t="n">
        <f aca="false">1+A3073</f>
        <v>3072</v>
      </c>
      <c r="B3074" s="14" t="n">
        <v>100</v>
      </c>
      <c r="C3074" s="15"/>
      <c r="D3074" s="16" t="s">
        <v>64</v>
      </c>
      <c r="E3074" s="17" t="s">
        <v>47</v>
      </c>
      <c r="F3074" s="18" t="s">
        <v>34</v>
      </c>
      <c r="G3074" s="19"/>
      <c r="H3074" s="17" t="s">
        <v>35</v>
      </c>
      <c r="I3074" s="17" t="s">
        <v>44</v>
      </c>
      <c r="J3074" s="17"/>
      <c r="K3074" s="17" t="e">
        <f aca="false">VLOOKUP(J3074,Sheet2!A:B,2,0)</f>
        <v>#N/A</v>
      </c>
      <c r="L3074" s="17" t="n">
        <v>5</v>
      </c>
      <c r="M3074" s="17" t="str">
        <f aca="false">VLOOKUP(L3074,Sheet2!D:E,2,0)</f>
        <v>Main Processor CPU BGA</v>
      </c>
      <c r="N3074" s="17" t="n">
        <v>1</v>
      </c>
      <c r="O3074" s="17" t="str">
        <f aca="false">VLOOKUP(N3074,Sheet2!G:H,2,0)</f>
        <v>Dead</v>
      </c>
      <c r="P3074" s="17" t="n">
        <v>11</v>
      </c>
      <c r="Q3074" s="17" t="str">
        <f aca="false">VLOOKUP(P3074,Sheet2!J:K,2,0)</f>
        <v>IR Declared due to CID -TA</v>
      </c>
      <c r="R3074" s="17" t="s">
        <v>35</v>
      </c>
      <c r="S3074" s="17" t="str">
        <f aca="false">VLOOKUP(R3074,Sheet2!N:O,2,0)</f>
        <v>IREPARABLE</v>
      </c>
      <c r="T3074" s="18" t="str">
        <f aca="false">VLOOKUP(P3074,Sheet2!Q:R,2,0)</f>
        <v>IR Normal - Track burn out</v>
      </c>
      <c r="U3074" s="20" t="s">
        <v>41</v>
      </c>
      <c r="V3074" s="17"/>
      <c r="W3074" s="20" t="e">
        <f aca="false">VLOOKUP(V3074,Sheet2!Q:R,2,0)</f>
        <v>#N/A</v>
      </c>
      <c r="X3074" s="17" t="n">
        <f aca="false">J3074</f>
        <v>0</v>
      </c>
      <c r="Y3074" s="17" t="e">
        <f aca="false">VLOOKUP(X3074,Sheet2!A:B,2,0)</f>
        <v>#N/A</v>
      </c>
      <c r="Z3074" s="17"/>
      <c r="AA3074" s="17"/>
      <c r="AB3074" s="17" t="s">
        <v>41</v>
      </c>
      <c r="AC3074" s="0" t="str">
        <f aca="false">LEFT(G3074,2)</f>
        <v/>
      </c>
    </row>
    <row r="3075" customFormat="false" ht="15" hidden="false" customHeight="false" outlineLevel="0" collapsed="false">
      <c r="A3075" s="13" t="n">
        <f aca="false">1+A3074</f>
        <v>3073</v>
      </c>
      <c r="B3075" s="14" t="n">
        <v>100</v>
      </c>
      <c r="C3075" s="15"/>
      <c r="D3075" s="16" t="s">
        <v>64</v>
      </c>
      <c r="E3075" s="17" t="s">
        <v>47</v>
      </c>
      <c r="F3075" s="18" t="s">
        <v>34</v>
      </c>
      <c r="G3075" s="19"/>
      <c r="H3075" s="17" t="s">
        <v>35</v>
      </c>
      <c r="I3075" s="17" t="s">
        <v>44</v>
      </c>
      <c r="J3075" s="17"/>
      <c r="K3075" s="17" t="e">
        <f aca="false">VLOOKUP(J3075,Sheet2!A:B,2,0)</f>
        <v>#N/A</v>
      </c>
      <c r="L3075" s="17" t="n">
        <v>5</v>
      </c>
      <c r="M3075" s="17" t="str">
        <f aca="false">VLOOKUP(L3075,Sheet2!D:E,2,0)</f>
        <v>Main Processor CPU BGA</v>
      </c>
      <c r="N3075" s="17" t="n">
        <v>1</v>
      </c>
      <c r="O3075" s="17" t="str">
        <f aca="false">VLOOKUP(N3075,Sheet2!G:H,2,0)</f>
        <v>Dead</v>
      </c>
      <c r="P3075" s="17" t="n">
        <v>11</v>
      </c>
      <c r="Q3075" s="17" t="str">
        <f aca="false">VLOOKUP(P3075,Sheet2!J:K,2,0)</f>
        <v>IR Declared due to CID -TA</v>
      </c>
      <c r="R3075" s="17" t="s">
        <v>35</v>
      </c>
      <c r="S3075" s="17" t="str">
        <f aca="false">VLOOKUP(R3075,Sheet2!N:O,2,0)</f>
        <v>IREPARABLE</v>
      </c>
      <c r="T3075" s="18" t="str">
        <f aca="false">VLOOKUP(P3075,Sheet2!Q:R,2,0)</f>
        <v>IR Normal - Track burn out</v>
      </c>
      <c r="U3075" s="20" t="s">
        <v>41</v>
      </c>
      <c r="V3075" s="17"/>
      <c r="W3075" s="20" t="e">
        <f aca="false">VLOOKUP(V3075,Sheet2!Q:R,2,0)</f>
        <v>#N/A</v>
      </c>
      <c r="X3075" s="17" t="n">
        <f aca="false">J3075</f>
        <v>0</v>
      </c>
      <c r="Y3075" s="17" t="e">
        <f aca="false">VLOOKUP(X3075,Sheet2!A:B,2,0)</f>
        <v>#N/A</v>
      </c>
      <c r="Z3075" s="17"/>
      <c r="AA3075" s="17"/>
      <c r="AB3075" s="17" t="s">
        <v>41</v>
      </c>
      <c r="AC3075" s="0" t="str">
        <f aca="false">LEFT(G3075,2)</f>
        <v/>
      </c>
    </row>
    <row r="3076" customFormat="false" ht="15" hidden="false" customHeight="false" outlineLevel="0" collapsed="false">
      <c r="A3076" s="13" t="n">
        <f aca="false">1+A3075</f>
        <v>3074</v>
      </c>
      <c r="B3076" s="14" t="n">
        <v>100</v>
      </c>
      <c r="C3076" s="15"/>
      <c r="D3076" s="16" t="s">
        <v>64</v>
      </c>
      <c r="E3076" s="17" t="s">
        <v>47</v>
      </c>
      <c r="F3076" s="18" t="s">
        <v>34</v>
      </c>
      <c r="G3076" s="19"/>
      <c r="H3076" s="17" t="s">
        <v>35</v>
      </c>
      <c r="I3076" s="17" t="s">
        <v>44</v>
      </c>
      <c r="J3076" s="17"/>
      <c r="K3076" s="17" t="e">
        <f aca="false">VLOOKUP(J3076,Sheet2!A:B,2,0)</f>
        <v>#N/A</v>
      </c>
      <c r="L3076" s="17" t="n">
        <v>5</v>
      </c>
      <c r="M3076" s="17" t="str">
        <f aca="false">VLOOKUP(L3076,Sheet2!D:E,2,0)</f>
        <v>Main Processor CPU BGA</v>
      </c>
      <c r="N3076" s="17" t="n">
        <v>1</v>
      </c>
      <c r="O3076" s="17" t="str">
        <f aca="false">VLOOKUP(N3076,Sheet2!G:H,2,0)</f>
        <v>Dead</v>
      </c>
      <c r="P3076" s="17" t="n">
        <v>11</v>
      </c>
      <c r="Q3076" s="17" t="str">
        <f aca="false">VLOOKUP(P3076,Sheet2!J:K,2,0)</f>
        <v>IR Declared due to CID -TA</v>
      </c>
      <c r="R3076" s="17" t="s">
        <v>35</v>
      </c>
      <c r="S3076" s="17" t="str">
        <f aca="false">VLOOKUP(R3076,Sheet2!N:O,2,0)</f>
        <v>IREPARABLE</v>
      </c>
      <c r="T3076" s="18" t="str">
        <f aca="false">VLOOKUP(P3076,Sheet2!Q:R,2,0)</f>
        <v>IR Normal - Track burn out</v>
      </c>
      <c r="U3076" s="20" t="s">
        <v>41</v>
      </c>
      <c r="V3076" s="17"/>
      <c r="W3076" s="20" t="e">
        <f aca="false">VLOOKUP(V3076,Sheet2!Q:R,2,0)</f>
        <v>#N/A</v>
      </c>
      <c r="X3076" s="17" t="n">
        <f aca="false">J3076</f>
        <v>0</v>
      </c>
      <c r="Y3076" s="17" t="e">
        <f aca="false">VLOOKUP(X3076,Sheet2!A:B,2,0)</f>
        <v>#N/A</v>
      </c>
      <c r="Z3076" s="17"/>
      <c r="AA3076" s="17"/>
      <c r="AB3076" s="17" t="s">
        <v>41</v>
      </c>
      <c r="AC3076" s="0" t="str">
        <f aca="false">LEFT(G3076,2)</f>
        <v/>
      </c>
    </row>
    <row r="3077" customFormat="false" ht="15" hidden="false" customHeight="false" outlineLevel="0" collapsed="false">
      <c r="A3077" s="13" t="n">
        <f aca="false">1+A3076</f>
        <v>3075</v>
      </c>
      <c r="B3077" s="14" t="n">
        <v>100</v>
      </c>
      <c r="C3077" s="15"/>
      <c r="D3077" s="16" t="s">
        <v>64</v>
      </c>
      <c r="E3077" s="17" t="s">
        <v>47</v>
      </c>
      <c r="F3077" s="18" t="s">
        <v>34</v>
      </c>
      <c r="G3077" s="19"/>
      <c r="H3077" s="17" t="s">
        <v>35</v>
      </c>
      <c r="I3077" s="17" t="s">
        <v>44</v>
      </c>
      <c r="J3077" s="17"/>
      <c r="K3077" s="17" t="e">
        <f aca="false">VLOOKUP(J3077,Sheet2!A:B,2,0)</f>
        <v>#N/A</v>
      </c>
      <c r="L3077" s="17" t="n">
        <v>5</v>
      </c>
      <c r="M3077" s="17" t="str">
        <f aca="false">VLOOKUP(L3077,Sheet2!D:E,2,0)</f>
        <v>Main Processor CPU BGA</v>
      </c>
      <c r="N3077" s="17" t="n">
        <v>1</v>
      </c>
      <c r="O3077" s="17" t="str">
        <f aca="false">VLOOKUP(N3077,Sheet2!G:H,2,0)</f>
        <v>Dead</v>
      </c>
      <c r="P3077" s="17" t="n">
        <v>11</v>
      </c>
      <c r="Q3077" s="17" t="str">
        <f aca="false">VLOOKUP(P3077,Sheet2!J:K,2,0)</f>
        <v>IR Declared due to CID -TA</v>
      </c>
      <c r="R3077" s="17" t="s">
        <v>35</v>
      </c>
      <c r="S3077" s="17" t="str">
        <f aca="false">VLOOKUP(R3077,Sheet2!N:O,2,0)</f>
        <v>IREPARABLE</v>
      </c>
      <c r="T3077" s="18" t="str">
        <f aca="false">VLOOKUP(P3077,Sheet2!Q:R,2,0)</f>
        <v>IR Normal - Track burn out</v>
      </c>
      <c r="U3077" s="20" t="s">
        <v>41</v>
      </c>
      <c r="V3077" s="17"/>
      <c r="W3077" s="20" t="e">
        <f aca="false">VLOOKUP(V3077,Sheet2!Q:R,2,0)</f>
        <v>#N/A</v>
      </c>
      <c r="X3077" s="17" t="n">
        <f aca="false">J3077</f>
        <v>0</v>
      </c>
      <c r="Y3077" s="17" t="e">
        <f aca="false">VLOOKUP(X3077,Sheet2!A:B,2,0)</f>
        <v>#N/A</v>
      </c>
      <c r="Z3077" s="17"/>
      <c r="AA3077" s="17"/>
      <c r="AB3077" s="17" t="s">
        <v>41</v>
      </c>
      <c r="AC3077" s="0" t="str">
        <f aca="false">LEFT(G3077,2)</f>
        <v/>
      </c>
    </row>
    <row r="3078" customFormat="false" ht="15" hidden="false" customHeight="false" outlineLevel="0" collapsed="false">
      <c r="A3078" s="13" t="n">
        <f aca="false">1+A3077</f>
        <v>3076</v>
      </c>
      <c r="B3078" s="14" t="n">
        <v>100</v>
      </c>
      <c r="C3078" s="15"/>
      <c r="D3078" s="16" t="s">
        <v>64</v>
      </c>
      <c r="E3078" s="17" t="s">
        <v>47</v>
      </c>
      <c r="F3078" s="18" t="s">
        <v>34</v>
      </c>
      <c r="G3078" s="19"/>
      <c r="H3078" s="17" t="s">
        <v>35</v>
      </c>
      <c r="I3078" s="17" t="s">
        <v>44</v>
      </c>
      <c r="J3078" s="17"/>
      <c r="K3078" s="17" t="e">
        <f aca="false">VLOOKUP(J3078,Sheet2!A:B,2,0)</f>
        <v>#N/A</v>
      </c>
      <c r="L3078" s="17" t="n">
        <v>5</v>
      </c>
      <c r="M3078" s="17" t="str">
        <f aca="false">VLOOKUP(L3078,Sheet2!D:E,2,0)</f>
        <v>Main Processor CPU BGA</v>
      </c>
      <c r="N3078" s="17" t="n">
        <v>1</v>
      </c>
      <c r="O3078" s="17" t="str">
        <f aca="false">VLOOKUP(N3078,Sheet2!G:H,2,0)</f>
        <v>Dead</v>
      </c>
      <c r="P3078" s="17" t="n">
        <v>11</v>
      </c>
      <c r="Q3078" s="17" t="str">
        <f aca="false">VLOOKUP(P3078,Sheet2!J:K,2,0)</f>
        <v>IR Declared due to CID -TA</v>
      </c>
      <c r="R3078" s="17" t="s">
        <v>35</v>
      </c>
      <c r="S3078" s="17" t="str">
        <f aca="false">VLOOKUP(R3078,Sheet2!N:O,2,0)</f>
        <v>IREPARABLE</v>
      </c>
      <c r="T3078" s="18" t="str">
        <f aca="false">VLOOKUP(P3078,Sheet2!Q:R,2,0)</f>
        <v>IR Normal - Track burn out</v>
      </c>
      <c r="U3078" s="20" t="s">
        <v>41</v>
      </c>
      <c r="V3078" s="17"/>
      <c r="W3078" s="20" t="e">
        <f aca="false">VLOOKUP(V3078,Sheet2!Q:R,2,0)</f>
        <v>#N/A</v>
      </c>
      <c r="X3078" s="17" t="n">
        <f aca="false">J3078</f>
        <v>0</v>
      </c>
      <c r="Y3078" s="17" t="e">
        <f aca="false">VLOOKUP(X3078,Sheet2!A:B,2,0)</f>
        <v>#N/A</v>
      </c>
      <c r="Z3078" s="17"/>
      <c r="AA3078" s="17"/>
      <c r="AB3078" s="17" t="s">
        <v>41</v>
      </c>
      <c r="AC3078" s="0" t="str">
        <f aca="false">LEFT(G3078,2)</f>
        <v/>
      </c>
    </row>
    <row r="3079" customFormat="false" ht="15" hidden="false" customHeight="false" outlineLevel="0" collapsed="false">
      <c r="A3079" s="13" t="n">
        <f aca="false">1+A3078</f>
        <v>3077</v>
      </c>
      <c r="B3079" s="14" t="n">
        <v>100</v>
      </c>
      <c r="C3079" s="15"/>
      <c r="D3079" s="16" t="s">
        <v>64</v>
      </c>
      <c r="E3079" s="17" t="s">
        <v>47</v>
      </c>
      <c r="F3079" s="18" t="s">
        <v>34</v>
      </c>
      <c r="G3079" s="19"/>
      <c r="H3079" s="17" t="s">
        <v>35</v>
      </c>
      <c r="I3079" s="17" t="s">
        <v>44</v>
      </c>
      <c r="J3079" s="17"/>
      <c r="K3079" s="17" t="e">
        <f aca="false">VLOOKUP(J3079,Sheet2!A:B,2,0)</f>
        <v>#N/A</v>
      </c>
      <c r="L3079" s="17" t="n">
        <v>5</v>
      </c>
      <c r="M3079" s="17" t="str">
        <f aca="false">VLOOKUP(L3079,Sheet2!D:E,2,0)</f>
        <v>Main Processor CPU BGA</v>
      </c>
      <c r="N3079" s="17" t="n">
        <v>1</v>
      </c>
      <c r="O3079" s="17" t="str">
        <f aca="false">VLOOKUP(N3079,Sheet2!G:H,2,0)</f>
        <v>Dead</v>
      </c>
      <c r="P3079" s="17" t="n">
        <v>11</v>
      </c>
      <c r="Q3079" s="17" t="str">
        <f aca="false">VLOOKUP(P3079,Sheet2!J:K,2,0)</f>
        <v>IR Declared due to CID -TA</v>
      </c>
      <c r="R3079" s="17" t="s">
        <v>35</v>
      </c>
      <c r="S3079" s="17" t="str">
        <f aca="false">VLOOKUP(R3079,Sheet2!N:O,2,0)</f>
        <v>IREPARABLE</v>
      </c>
      <c r="T3079" s="18" t="str">
        <f aca="false">VLOOKUP(P3079,Sheet2!Q:R,2,0)</f>
        <v>IR Normal - Track burn out</v>
      </c>
      <c r="U3079" s="20" t="s">
        <v>41</v>
      </c>
      <c r="V3079" s="17"/>
      <c r="W3079" s="20" t="e">
        <f aca="false">VLOOKUP(V3079,Sheet2!Q:R,2,0)</f>
        <v>#N/A</v>
      </c>
      <c r="X3079" s="17" t="n">
        <f aca="false">J3079</f>
        <v>0</v>
      </c>
      <c r="Y3079" s="17" t="e">
        <f aca="false">VLOOKUP(X3079,Sheet2!A:B,2,0)</f>
        <v>#N/A</v>
      </c>
      <c r="Z3079" s="17"/>
      <c r="AA3079" s="17"/>
      <c r="AB3079" s="17" t="s">
        <v>41</v>
      </c>
      <c r="AC3079" s="0" t="str">
        <f aca="false">LEFT(G3079,2)</f>
        <v/>
      </c>
    </row>
    <row r="3080" customFormat="false" ht="15" hidden="false" customHeight="false" outlineLevel="0" collapsed="false">
      <c r="A3080" s="13" t="n">
        <f aca="false">1+A3079</f>
        <v>3078</v>
      </c>
      <c r="B3080" s="14" t="n">
        <v>100</v>
      </c>
      <c r="C3080" s="15"/>
      <c r="D3080" s="16" t="s">
        <v>64</v>
      </c>
      <c r="E3080" s="17" t="s">
        <v>47</v>
      </c>
      <c r="F3080" s="18" t="s">
        <v>34</v>
      </c>
      <c r="G3080" s="19"/>
      <c r="H3080" s="17" t="s">
        <v>35</v>
      </c>
      <c r="I3080" s="17" t="s">
        <v>44</v>
      </c>
      <c r="J3080" s="17"/>
      <c r="K3080" s="17" t="e">
        <f aca="false">VLOOKUP(J3080,Sheet2!A:B,2,0)</f>
        <v>#N/A</v>
      </c>
      <c r="L3080" s="17" t="n">
        <v>5</v>
      </c>
      <c r="M3080" s="17" t="str">
        <f aca="false">VLOOKUP(L3080,Sheet2!D:E,2,0)</f>
        <v>Main Processor CPU BGA</v>
      </c>
      <c r="N3080" s="17" t="n">
        <v>1</v>
      </c>
      <c r="O3080" s="17" t="str">
        <f aca="false">VLOOKUP(N3080,Sheet2!G:H,2,0)</f>
        <v>Dead</v>
      </c>
      <c r="P3080" s="17" t="n">
        <v>11</v>
      </c>
      <c r="Q3080" s="17" t="str">
        <f aca="false">VLOOKUP(P3080,Sheet2!J:K,2,0)</f>
        <v>IR Declared due to CID -TA</v>
      </c>
      <c r="R3080" s="17" t="s">
        <v>35</v>
      </c>
      <c r="S3080" s="17" t="str">
        <f aca="false">VLOOKUP(R3080,Sheet2!N:O,2,0)</f>
        <v>IREPARABLE</v>
      </c>
      <c r="T3080" s="18" t="str">
        <f aca="false">VLOOKUP(P3080,Sheet2!Q:R,2,0)</f>
        <v>IR Normal - Track burn out</v>
      </c>
      <c r="U3080" s="20" t="s">
        <v>41</v>
      </c>
      <c r="V3080" s="17"/>
      <c r="W3080" s="20" t="e">
        <f aca="false">VLOOKUP(V3080,Sheet2!Q:R,2,0)</f>
        <v>#N/A</v>
      </c>
      <c r="X3080" s="17" t="n">
        <f aca="false">J3080</f>
        <v>0</v>
      </c>
      <c r="Y3080" s="17" t="e">
        <f aca="false">VLOOKUP(X3080,Sheet2!A:B,2,0)</f>
        <v>#N/A</v>
      </c>
      <c r="Z3080" s="17"/>
      <c r="AA3080" s="17"/>
      <c r="AB3080" s="17" t="s">
        <v>41</v>
      </c>
      <c r="AC3080" s="0" t="str">
        <f aca="false">LEFT(G3080,2)</f>
        <v/>
      </c>
    </row>
    <row r="3081" customFormat="false" ht="15" hidden="false" customHeight="false" outlineLevel="0" collapsed="false">
      <c r="A3081" s="13" t="n">
        <f aca="false">1+A3080</f>
        <v>3079</v>
      </c>
      <c r="B3081" s="14" t="n">
        <v>100</v>
      </c>
      <c r="C3081" s="15"/>
      <c r="D3081" s="16" t="s">
        <v>64</v>
      </c>
      <c r="E3081" s="17" t="s">
        <v>47</v>
      </c>
      <c r="F3081" s="18" t="s">
        <v>34</v>
      </c>
      <c r="G3081" s="19"/>
      <c r="H3081" s="17" t="s">
        <v>35</v>
      </c>
      <c r="I3081" s="17" t="s">
        <v>44</v>
      </c>
      <c r="J3081" s="17"/>
      <c r="K3081" s="17" t="e">
        <f aca="false">VLOOKUP(J3081,Sheet2!A:B,2,0)</f>
        <v>#N/A</v>
      </c>
      <c r="L3081" s="17" t="n">
        <v>5</v>
      </c>
      <c r="M3081" s="17" t="str">
        <f aca="false">VLOOKUP(L3081,Sheet2!D:E,2,0)</f>
        <v>Main Processor CPU BGA</v>
      </c>
      <c r="N3081" s="17" t="n">
        <v>1</v>
      </c>
      <c r="O3081" s="17" t="str">
        <f aca="false">VLOOKUP(N3081,Sheet2!G:H,2,0)</f>
        <v>Dead</v>
      </c>
      <c r="P3081" s="17" t="n">
        <v>11</v>
      </c>
      <c r="Q3081" s="17" t="str">
        <f aca="false">VLOOKUP(P3081,Sheet2!J:K,2,0)</f>
        <v>IR Declared due to CID -TA</v>
      </c>
      <c r="R3081" s="17" t="s">
        <v>35</v>
      </c>
      <c r="S3081" s="17" t="str">
        <f aca="false">VLOOKUP(R3081,Sheet2!N:O,2,0)</f>
        <v>IREPARABLE</v>
      </c>
      <c r="T3081" s="18" t="str">
        <f aca="false">VLOOKUP(P3081,Sheet2!Q:R,2,0)</f>
        <v>IR Normal - Track burn out</v>
      </c>
      <c r="U3081" s="20" t="s">
        <v>41</v>
      </c>
      <c r="V3081" s="17"/>
      <c r="W3081" s="20" t="e">
        <f aca="false">VLOOKUP(V3081,Sheet2!Q:R,2,0)</f>
        <v>#N/A</v>
      </c>
      <c r="X3081" s="17" t="n">
        <f aca="false">J3081</f>
        <v>0</v>
      </c>
      <c r="Y3081" s="17" t="e">
        <f aca="false">VLOOKUP(X3081,Sheet2!A:B,2,0)</f>
        <v>#N/A</v>
      </c>
      <c r="Z3081" s="17"/>
      <c r="AA3081" s="17"/>
      <c r="AB3081" s="17" t="s">
        <v>41</v>
      </c>
      <c r="AC3081" s="0" t="str">
        <f aca="false">LEFT(G3081,2)</f>
        <v/>
      </c>
    </row>
    <row r="3082" customFormat="false" ht="15" hidden="false" customHeight="false" outlineLevel="0" collapsed="false">
      <c r="A3082" s="13" t="n">
        <f aca="false">1+A3081</f>
        <v>3080</v>
      </c>
      <c r="B3082" s="14" t="n">
        <v>100</v>
      </c>
      <c r="C3082" s="15"/>
      <c r="D3082" s="16" t="s">
        <v>64</v>
      </c>
      <c r="E3082" s="17" t="s">
        <v>47</v>
      </c>
      <c r="F3082" s="18" t="s">
        <v>34</v>
      </c>
      <c r="G3082" s="19"/>
      <c r="H3082" s="17" t="s">
        <v>35</v>
      </c>
      <c r="I3082" s="17" t="s">
        <v>44</v>
      </c>
      <c r="J3082" s="17"/>
      <c r="K3082" s="17" t="e">
        <f aca="false">VLOOKUP(J3082,Sheet2!A:B,2,0)</f>
        <v>#N/A</v>
      </c>
      <c r="L3082" s="17" t="n">
        <v>5</v>
      </c>
      <c r="M3082" s="17" t="str">
        <f aca="false">VLOOKUP(L3082,Sheet2!D:E,2,0)</f>
        <v>Main Processor CPU BGA</v>
      </c>
      <c r="N3082" s="17" t="n">
        <v>1</v>
      </c>
      <c r="O3082" s="17" t="str">
        <f aca="false">VLOOKUP(N3082,Sheet2!G:H,2,0)</f>
        <v>Dead</v>
      </c>
      <c r="P3082" s="17" t="n">
        <v>11</v>
      </c>
      <c r="Q3082" s="17" t="str">
        <f aca="false">VLOOKUP(P3082,Sheet2!J:K,2,0)</f>
        <v>IR Declared due to CID -TA</v>
      </c>
      <c r="R3082" s="17" t="s">
        <v>35</v>
      </c>
      <c r="S3082" s="17" t="str">
        <f aca="false">VLOOKUP(R3082,Sheet2!N:O,2,0)</f>
        <v>IREPARABLE</v>
      </c>
      <c r="T3082" s="18" t="str">
        <f aca="false">VLOOKUP(P3082,Sheet2!Q:R,2,0)</f>
        <v>IR Normal - Track burn out</v>
      </c>
      <c r="U3082" s="20" t="s">
        <v>41</v>
      </c>
      <c r="V3082" s="17"/>
      <c r="W3082" s="20" t="e">
        <f aca="false">VLOOKUP(V3082,Sheet2!Q:R,2,0)</f>
        <v>#N/A</v>
      </c>
      <c r="X3082" s="17" t="n">
        <f aca="false">J3082</f>
        <v>0</v>
      </c>
      <c r="Y3082" s="17" t="e">
        <f aca="false">VLOOKUP(X3082,Sheet2!A:B,2,0)</f>
        <v>#N/A</v>
      </c>
      <c r="Z3082" s="17"/>
      <c r="AA3082" s="17"/>
      <c r="AB3082" s="17" t="s">
        <v>41</v>
      </c>
      <c r="AC3082" s="0" t="str">
        <f aca="false">LEFT(G3082,2)</f>
        <v/>
      </c>
    </row>
    <row r="3083" customFormat="false" ht="15" hidden="false" customHeight="false" outlineLevel="0" collapsed="false">
      <c r="A3083" s="13" t="n">
        <f aca="false">1+A3082</f>
        <v>3081</v>
      </c>
      <c r="B3083" s="14" t="n">
        <v>100</v>
      </c>
      <c r="C3083" s="15"/>
      <c r="D3083" s="16" t="s">
        <v>64</v>
      </c>
      <c r="E3083" s="17" t="s">
        <v>47</v>
      </c>
      <c r="F3083" s="18" t="s">
        <v>34</v>
      </c>
      <c r="G3083" s="19"/>
      <c r="H3083" s="17" t="s">
        <v>35</v>
      </c>
      <c r="I3083" s="17" t="s">
        <v>44</v>
      </c>
      <c r="J3083" s="17"/>
      <c r="K3083" s="17" t="e">
        <f aca="false">VLOOKUP(J3083,Sheet2!A:B,2,0)</f>
        <v>#N/A</v>
      </c>
      <c r="L3083" s="17" t="n">
        <v>5</v>
      </c>
      <c r="M3083" s="17" t="str">
        <f aca="false">VLOOKUP(L3083,Sheet2!D:E,2,0)</f>
        <v>Main Processor CPU BGA</v>
      </c>
      <c r="N3083" s="17" t="n">
        <v>1</v>
      </c>
      <c r="O3083" s="17" t="str">
        <f aca="false">VLOOKUP(N3083,Sheet2!G:H,2,0)</f>
        <v>Dead</v>
      </c>
      <c r="P3083" s="17" t="n">
        <v>11</v>
      </c>
      <c r="Q3083" s="17" t="str">
        <f aca="false">VLOOKUP(P3083,Sheet2!J:K,2,0)</f>
        <v>IR Declared due to CID -TA</v>
      </c>
      <c r="R3083" s="17" t="s">
        <v>35</v>
      </c>
      <c r="S3083" s="17" t="str">
        <f aca="false">VLOOKUP(R3083,Sheet2!N:O,2,0)</f>
        <v>IREPARABLE</v>
      </c>
      <c r="T3083" s="18" t="str">
        <f aca="false">VLOOKUP(P3083,Sheet2!Q:R,2,0)</f>
        <v>IR Normal - Track burn out</v>
      </c>
      <c r="U3083" s="20" t="s">
        <v>41</v>
      </c>
      <c r="V3083" s="17"/>
      <c r="W3083" s="20" t="e">
        <f aca="false">VLOOKUP(V3083,Sheet2!Q:R,2,0)</f>
        <v>#N/A</v>
      </c>
      <c r="X3083" s="17" t="n">
        <f aca="false">J3083</f>
        <v>0</v>
      </c>
      <c r="Y3083" s="17" t="e">
        <f aca="false">VLOOKUP(X3083,Sheet2!A:B,2,0)</f>
        <v>#N/A</v>
      </c>
      <c r="Z3083" s="17"/>
      <c r="AA3083" s="17"/>
      <c r="AB3083" s="17" t="s">
        <v>41</v>
      </c>
      <c r="AC3083" s="0" t="str">
        <f aca="false">LEFT(G3083,2)</f>
        <v/>
      </c>
    </row>
    <row r="3084" customFormat="false" ht="15" hidden="false" customHeight="false" outlineLevel="0" collapsed="false">
      <c r="A3084" s="13" t="n">
        <f aca="false">1+A3083</f>
        <v>3082</v>
      </c>
      <c r="B3084" s="14" t="n">
        <v>100</v>
      </c>
      <c r="C3084" s="15"/>
      <c r="D3084" s="16" t="s">
        <v>64</v>
      </c>
      <c r="E3084" s="17" t="s">
        <v>47</v>
      </c>
      <c r="F3084" s="18" t="s">
        <v>34</v>
      </c>
      <c r="G3084" s="19"/>
      <c r="H3084" s="17" t="s">
        <v>35</v>
      </c>
      <c r="I3084" s="17" t="s">
        <v>44</v>
      </c>
      <c r="J3084" s="17"/>
      <c r="K3084" s="17" t="e">
        <f aca="false">VLOOKUP(J3084,Sheet2!A:B,2,0)</f>
        <v>#N/A</v>
      </c>
      <c r="L3084" s="17" t="n">
        <v>5</v>
      </c>
      <c r="M3084" s="17" t="str">
        <f aca="false">VLOOKUP(L3084,Sheet2!D:E,2,0)</f>
        <v>Main Processor CPU BGA</v>
      </c>
      <c r="N3084" s="17" t="n">
        <v>1</v>
      </c>
      <c r="O3084" s="17" t="str">
        <f aca="false">VLOOKUP(N3084,Sheet2!G:H,2,0)</f>
        <v>Dead</v>
      </c>
      <c r="P3084" s="17" t="n">
        <v>11</v>
      </c>
      <c r="Q3084" s="17" t="str">
        <f aca="false">VLOOKUP(P3084,Sheet2!J:K,2,0)</f>
        <v>IR Declared due to CID -TA</v>
      </c>
      <c r="R3084" s="17" t="s">
        <v>35</v>
      </c>
      <c r="S3084" s="17" t="str">
        <f aca="false">VLOOKUP(R3084,Sheet2!N:O,2,0)</f>
        <v>IREPARABLE</v>
      </c>
      <c r="T3084" s="18" t="str">
        <f aca="false">VLOOKUP(P3084,Sheet2!Q:R,2,0)</f>
        <v>IR Normal - Track burn out</v>
      </c>
      <c r="U3084" s="20" t="s">
        <v>41</v>
      </c>
      <c r="V3084" s="17"/>
      <c r="W3084" s="20" t="e">
        <f aca="false">VLOOKUP(V3084,Sheet2!Q:R,2,0)</f>
        <v>#N/A</v>
      </c>
      <c r="X3084" s="17" t="n">
        <f aca="false">J3084</f>
        <v>0</v>
      </c>
      <c r="Y3084" s="17" t="e">
        <f aca="false">VLOOKUP(X3084,Sheet2!A:B,2,0)</f>
        <v>#N/A</v>
      </c>
      <c r="Z3084" s="17"/>
      <c r="AA3084" s="17"/>
      <c r="AB3084" s="17" t="s">
        <v>41</v>
      </c>
      <c r="AC3084" s="0" t="str">
        <f aca="false">LEFT(G3084,2)</f>
        <v/>
      </c>
    </row>
    <row r="3085" customFormat="false" ht="15" hidden="false" customHeight="false" outlineLevel="0" collapsed="false">
      <c r="A3085" s="13" t="n">
        <f aca="false">1+A3084</f>
        <v>3083</v>
      </c>
      <c r="B3085" s="14" t="n">
        <v>100</v>
      </c>
      <c r="C3085" s="15"/>
      <c r="D3085" s="16" t="s">
        <v>64</v>
      </c>
      <c r="E3085" s="17" t="s">
        <v>47</v>
      </c>
      <c r="F3085" s="18" t="s">
        <v>34</v>
      </c>
      <c r="G3085" s="19"/>
      <c r="H3085" s="17" t="s">
        <v>35</v>
      </c>
      <c r="I3085" s="17" t="s">
        <v>44</v>
      </c>
      <c r="J3085" s="17"/>
      <c r="K3085" s="17" t="e">
        <f aca="false">VLOOKUP(J3085,Sheet2!A:B,2,0)</f>
        <v>#N/A</v>
      </c>
      <c r="L3085" s="17" t="n">
        <v>5</v>
      </c>
      <c r="M3085" s="17" t="str">
        <f aca="false">VLOOKUP(L3085,Sheet2!D:E,2,0)</f>
        <v>Main Processor CPU BGA</v>
      </c>
      <c r="N3085" s="17" t="n">
        <v>1</v>
      </c>
      <c r="O3085" s="17" t="str">
        <f aca="false">VLOOKUP(N3085,Sheet2!G:H,2,0)</f>
        <v>Dead</v>
      </c>
      <c r="P3085" s="17" t="n">
        <v>11</v>
      </c>
      <c r="Q3085" s="17" t="str">
        <f aca="false">VLOOKUP(P3085,Sheet2!J:K,2,0)</f>
        <v>IR Declared due to CID -TA</v>
      </c>
      <c r="R3085" s="17" t="s">
        <v>35</v>
      </c>
      <c r="S3085" s="17" t="str">
        <f aca="false">VLOOKUP(R3085,Sheet2!N:O,2,0)</f>
        <v>IREPARABLE</v>
      </c>
      <c r="T3085" s="18" t="str">
        <f aca="false">VLOOKUP(P3085,Sheet2!Q:R,2,0)</f>
        <v>IR Normal - Track burn out</v>
      </c>
      <c r="U3085" s="20" t="s">
        <v>41</v>
      </c>
      <c r="V3085" s="17"/>
      <c r="W3085" s="20" t="e">
        <f aca="false">VLOOKUP(V3085,Sheet2!Q:R,2,0)</f>
        <v>#N/A</v>
      </c>
      <c r="X3085" s="17" t="n">
        <f aca="false">J3085</f>
        <v>0</v>
      </c>
      <c r="Y3085" s="17" t="e">
        <f aca="false">VLOOKUP(X3085,Sheet2!A:B,2,0)</f>
        <v>#N/A</v>
      </c>
      <c r="Z3085" s="17"/>
      <c r="AA3085" s="17"/>
      <c r="AB3085" s="17" t="s">
        <v>41</v>
      </c>
      <c r="AC3085" s="0" t="str">
        <f aca="false">LEFT(G3085,2)</f>
        <v/>
      </c>
    </row>
    <row r="3086" customFormat="false" ht="15" hidden="false" customHeight="false" outlineLevel="0" collapsed="false">
      <c r="A3086" s="13" t="n">
        <f aca="false">1+A3085</f>
        <v>3084</v>
      </c>
      <c r="B3086" s="14" t="n">
        <v>100</v>
      </c>
      <c r="C3086" s="15"/>
      <c r="D3086" s="16" t="s">
        <v>64</v>
      </c>
      <c r="E3086" s="17" t="s">
        <v>47</v>
      </c>
      <c r="F3086" s="18" t="s">
        <v>34</v>
      </c>
      <c r="G3086" s="19"/>
      <c r="H3086" s="17" t="s">
        <v>35</v>
      </c>
      <c r="I3086" s="17" t="s">
        <v>44</v>
      </c>
      <c r="J3086" s="17"/>
      <c r="K3086" s="17" t="e">
        <f aca="false">VLOOKUP(J3086,Sheet2!A:B,2,0)</f>
        <v>#N/A</v>
      </c>
      <c r="L3086" s="17" t="n">
        <v>5</v>
      </c>
      <c r="M3086" s="17" t="str">
        <f aca="false">VLOOKUP(L3086,Sheet2!D:E,2,0)</f>
        <v>Main Processor CPU BGA</v>
      </c>
      <c r="N3086" s="17" t="n">
        <v>1</v>
      </c>
      <c r="O3086" s="17" t="str">
        <f aca="false">VLOOKUP(N3086,Sheet2!G:H,2,0)</f>
        <v>Dead</v>
      </c>
      <c r="P3086" s="17" t="n">
        <v>11</v>
      </c>
      <c r="Q3086" s="17" t="str">
        <f aca="false">VLOOKUP(P3086,Sheet2!J:K,2,0)</f>
        <v>IR Declared due to CID -TA</v>
      </c>
      <c r="R3086" s="17" t="s">
        <v>35</v>
      </c>
      <c r="S3086" s="17" t="str">
        <f aca="false">VLOOKUP(R3086,Sheet2!N:O,2,0)</f>
        <v>IREPARABLE</v>
      </c>
      <c r="T3086" s="18" t="str">
        <f aca="false">VLOOKUP(P3086,Sheet2!Q:R,2,0)</f>
        <v>IR Normal - Track burn out</v>
      </c>
      <c r="U3086" s="20" t="s">
        <v>41</v>
      </c>
      <c r="V3086" s="17"/>
      <c r="W3086" s="20" t="e">
        <f aca="false">VLOOKUP(V3086,Sheet2!Q:R,2,0)</f>
        <v>#N/A</v>
      </c>
      <c r="X3086" s="17" t="n">
        <f aca="false">J3086</f>
        <v>0</v>
      </c>
      <c r="Y3086" s="17" t="e">
        <f aca="false">VLOOKUP(X3086,Sheet2!A:B,2,0)</f>
        <v>#N/A</v>
      </c>
      <c r="Z3086" s="17"/>
      <c r="AA3086" s="17"/>
      <c r="AB3086" s="17" t="s">
        <v>41</v>
      </c>
      <c r="AC3086" s="0" t="str">
        <f aca="false">LEFT(G3086,2)</f>
        <v/>
      </c>
    </row>
    <row r="3087" customFormat="false" ht="15" hidden="false" customHeight="false" outlineLevel="0" collapsed="false">
      <c r="A3087" s="13" t="n">
        <f aca="false">1+A3086</f>
        <v>3085</v>
      </c>
      <c r="B3087" s="14" t="n">
        <v>100</v>
      </c>
      <c r="C3087" s="15"/>
      <c r="D3087" s="16" t="s">
        <v>64</v>
      </c>
      <c r="E3087" s="17" t="s">
        <v>47</v>
      </c>
      <c r="F3087" s="18" t="s">
        <v>34</v>
      </c>
      <c r="G3087" s="19"/>
      <c r="H3087" s="17" t="s">
        <v>35</v>
      </c>
      <c r="I3087" s="17" t="s">
        <v>44</v>
      </c>
      <c r="J3087" s="17"/>
      <c r="K3087" s="17" t="e">
        <f aca="false">VLOOKUP(J3087,Sheet2!A:B,2,0)</f>
        <v>#N/A</v>
      </c>
      <c r="L3087" s="17" t="n">
        <v>5</v>
      </c>
      <c r="M3087" s="17" t="str">
        <f aca="false">VLOOKUP(L3087,Sheet2!D:E,2,0)</f>
        <v>Main Processor CPU BGA</v>
      </c>
      <c r="N3087" s="17" t="n">
        <v>1</v>
      </c>
      <c r="O3087" s="17" t="str">
        <f aca="false">VLOOKUP(N3087,Sheet2!G:H,2,0)</f>
        <v>Dead</v>
      </c>
      <c r="P3087" s="17" t="n">
        <v>11</v>
      </c>
      <c r="Q3087" s="17" t="str">
        <f aca="false">VLOOKUP(P3087,Sheet2!J:K,2,0)</f>
        <v>IR Declared due to CID -TA</v>
      </c>
      <c r="R3087" s="17" t="s">
        <v>35</v>
      </c>
      <c r="S3087" s="17" t="str">
        <f aca="false">VLOOKUP(R3087,Sheet2!N:O,2,0)</f>
        <v>IREPARABLE</v>
      </c>
      <c r="T3087" s="18" t="str">
        <f aca="false">VLOOKUP(P3087,Sheet2!Q:R,2,0)</f>
        <v>IR Normal - Track burn out</v>
      </c>
      <c r="U3087" s="20" t="s">
        <v>41</v>
      </c>
      <c r="V3087" s="17"/>
      <c r="W3087" s="20" t="e">
        <f aca="false">VLOOKUP(V3087,Sheet2!Q:R,2,0)</f>
        <v>#N/A</v>
      </c>
      <c r="X3087" s="17" t="n">
        <f aca="false">J3087</f>
        <v>0</v>
      </c>
      <c r="Y3087" s="17" t="e">
        <f aca="false">VLOOKUP(X3087,Sheet2!A:B,2,0)</f>
        <v>#N/A</v>
      </c>
      <c r="Z3087" s="17"/>
      <c r="AA3087" s="17"/>
      <c r="AB3087" s="17" t="s">
        <v>41</v>
      </c>
      <c r="AC3087" s="0" t="str">
        <f aca="false">LEFT(G3087,2)</f>
        <v/>
      </c>
    </row>
    <row r="3088" customFormat="false" ht="15" hidden="false" customHeight="false" outlineLevel="0" collapsed="false">
      <c r="A3088" s="13" t="n">
        <f aca="false">1+A3087</f>
        <v>3086</v>
      </c>
      <c r="B3088" s="14" t="n">
        <v>100</v>
      </c>
      <c r="C3088" s="15"/>
      <c r="D3088" s="16" t="s">
        <v>64</v>
      </c>
      <c r="E3088" s="17" t="s">
        <v>47</v>
      </c>
      <c r="F3088" s="18" t="s">
        <v>34</v>
      </c>
      <c r="G3088" s="19"/>
      <c r="H3088" s="17" t="s">
        <v>35</v>
      </c>
      <c r="I3088" s="17" t="s">
        <v>44</v>
      </c>
      <c r="J3088" s="17"/>
      <c r="K3088" s="17" t="e">
        <f aca="false">VLOOKUP(J3088,Sheet2!A:B,2,0)</f>
        <v>#N/A</v>
      </c>
      <c r="L3088" s="17" t="n">
        <v>5</v>
      </c>
      <c r="M3088" s="17" t="str">
        <f aca="false">VLOOKUP(L3088,Sheet2!D:E,2,0)</f>
        <v>Main Processor CPU BGA</v>
      </c>
      <c r="N3088" s="17" t="n">
        <v>1</v>
      </c>
      <c r="O3088" s="17" t="str">
        <f aca="false">VLOOKUP(N3088,Sheet2!G:H,2,0)</f>
        <v>Dead</v>
      </c>
      <c r="P3088" s="17" t="n">
        <v>11</v>
      </c>
      <c r="Q3088" s="17" t="str">
        <f aca="false">VLOOKUP(P3088,Sheet2!J:K,2,0)</f>
        <v>IR Declared due to CID -TA</v>
      </c>
      <c r="R3088" s="17" t="s">
        <v>35</v>
      </c>
      <c r="S3088" s="17" t="str">
        <f aca="false">VLOOKUP(R3088,Sheet2!N:O,2,0)</f>
        <v>IREPARABLE</v>
      </c>
      <c r="T3088" s="18" t="str">
        <f aca="false">VLOOKUP(P3088,Sheet2!Q:R,2,0)</f>
        <v>IR Normal - Track burn out</v>
      </c>
      <c r="U3088" s="20" t="s">
        <v>41</v>
      </c>
      <c r="V3088" s="17"/>
      <c r="W3088" s="20" t="e">
        <f aca="false">VLOOKUP(V3088,Sheet2!Q:R,2,0)</f>
        <v>#N/A</v>
      </c>
      <c r="X3088" s="17" t="n">
        <f aca="false">J3088</f>
        <v>0</v>
      </c>
      <c r="Y3088" s="17" t="e">
        <f aca="false">VLOOKUP(X3088,Sheet2!A:B,2,0)</f>
        <v>#N/A</v>
      </c>
      <c r="Z3088" s="17"/>
      <c r="AA3088" s="17"/>
      <c r="AB3088" s="17" t="s">
        <v>41</v>
      </c>
      <c r="AC3088" s="0" t="str">
        <f aca="false">LEFT(G3088,2)</f>
        <v/>
      </c>
    </row>
    <row r="3089" customFormat="false" ht="15" hidden="false" customHeight="false" outlineLevel="0" collapsed="false">
      <c r="A3089" s="13" t="n">
        <f aca="false">1+A3088</f>
        <v>3087</v>
      </c>
      <c r="B3089" s="14" t="n">
        <v>100</v>
      </c>
      <c r="C3089" s="15"/>
      <c r="D3089" s="16" t="s">
        <v>64</v>
      </c>
      <c r="E3089" s="17" t="s">
        <v>47</v>
      </c>
      <c r="F3089" s="18" t="s">
        <v>34</v>
      </c>
      <c r="G3089" s="19"/>
      <c r="H3089" s="17" t="s">
        <v>35</v>
      </c>
      <c r="I3089" s="17" t="s">
        <v>44</v>
      </c>
      <c r="J3089" s="17"/>
      <c r="K3089" s="17" t="e">
        <f aca="false">VLOOKUP(J3089,Sheet2!A:B,2,0)</f>
        <v>#N/A</v>
      </c>
      <c r="L3089" s="17" t="n">
        <v>5</v>
      </c>
      <c r="M3089" s="17" t="str">
        <f aca="false">VLOOKUP(L3089,Sheet2!D:E,2,0)</f>
        <v>Main Processor CPU BGA</v>
      </c>
      <c r="N3089" s="17" t="n">
        <v>1</v>
      </c>
      <c r="O3089" s="17" t="str">
        <f aca="false">VLOOKUP(N3089,Sheet2!G:H,2,0)</f>
        <v>Dead</v>
      </c>
      <c r="P3089" s="17" t="n">
        <v>11</v>
      </c>
      <c r="Q3089" s="17" t="str">
        <f aca="false">VLOOKUP(P3089,Sheet2!J:K,2,0)</f>
        <v>IR Declared due to CID -TA</v>
      </c>
      <c r="R3089" s="17" t="s">
        <v>35</v>
      </c>
      <c r="S3089" s="17" t="str">
        <f aca="false">VLOOKUP(R3089,Sheet2!N:O,2,0)</f>
        <v>IREPARABLE</v>
      </c>
      <c r="T3089" s="18" t="str">
        <f aca="false">VLOOKUP(P3089,Sheet2!Q:R,2,0)</f>
        <v>IR Normal - Track burn out</v>
      </c>
      <c r="U3089" s="20" t="s">
        <v>41</v>
      </c>
      <c r="V3089" s="17"/>
      <c r="W3089" s="20" t="e">
        <f aca="false">VLOOKUP(V3089,Sheet2!Q:R,2,0)</f>
        <v>#N/A</v>
      </c>
      <c r="X3089" s="17" t="n">
        <f aca="false">J3089</f>
        <v>0</v>
      </c>
      <c r="Y3089" s="17" t="e">
        <f aca="false">VLOOKUP(X3089,Sheet2!A:B,2,0)</f>
        <v>#N/A</v>
      </c>
      <c r="Z3089" s="17"/>
      <c r="AA3089" s="17"/>
      <c r="AB3089" s="17" t="s">
        <v>41</v>
      </c>
      <c r="AC3089" s="0" t="str">
        <f aca="false">LEFT(G3089,2)</f>
        <v/>
      </c>
      <c r="AD3089" s="0"/>
    </row>
    <row r="3090" customFormat="false" ht="15" hidden="false" customHeight="false" outlineLevel="0" collapsed="false">
      <c r="A3090" s="13" t="n">
        <f aca="false">1+A3089</f>
        <v>3088</v>
      </c>
      <c r="B3090" s="14" t="n">
        <v>100</v>
      </c>
      <c r="C3090" s="15"/>
      <c r="D3090" s="16" t="s">
        <v>64</v>
      </c>
      <c r="E3090" s="17" t="s">
        <v>47</v>
      </c>
      <c r="F3090" s="18" t="s">
        <v>34</v>
      </c>
      <c r="G3090" s="19"/>
      <c r="H3090" s="17" t="s">
        <v>35</v>
      </c>
      <c r="I3090" s="17" t="s">
        <v>44</v>
      </c>
      <c r="J3090" s="17"/>
      <c r="K3090" s="17" t="e">
        <f aca="false">VLOOKUP(J3090,Sheet2!A:B,2,0)</f>
        <v>#N/A</v>
      </c>
      <c r="L3090" s="17" t="n">
        <v>5</v>
      </c>
      <c r="M3090" s="17" t="str">
        <f aca="false">VLOOKUP(L3090,Sheet2!D:E,2,0)</f>
        <v>Main Processor CPU BGA</v>
      </c>
      <c r="N3090" s="17" t="n">
        <v>1</v>
      </c>
      <c r="O3090" s="17" t="str">
        <f aca="false">VLOOKUP(N3090,Sheet2!G:H,2,0)</f>
        <v>Dead</v>
      </c>
      <c r="P3090" s="17" t="n">
        <v>11</v>
      </c>
      <c r="Q3090" s="17" t="str">
        <f aca="false">VLOOKUP(P3090,Sheet2!J:K,2,0)</f>
        <v>IR Declared due to CID -TA</v>
      </c>
      <c r="R3090" s="17" t="s">
        <v>35</v>
      </c>
      <c r="S3090" s="17" t="str">
        <f aca="false">VLOOKUP(R3090,Sheet2!N:O,2,0)</f>
        <v>IREPARABLE</v>
      </c>
      <c r="T3090" s="18" t="str">
        <f aca="false">VLOOKUP(P3090,Sheet2!Q:R,2,0)</f>
        <v>IR Normal - Track burn out</v>
      </c>
      <c r="U3090" s="20" t="s">
        <v>41</v>
      </c>
      <c r="V3090" s="17"/>
      <c r="W3090" s="20" t="e">
        <f aca="false">VLOOKUP(V3090,Sheet2!Q:R,2,0)</f>
        <v>#N/A</v>
      </c>
      <c r="X3090" s="17" t="n">
        <f aca="false">J3090</f>
        <v>0</v>
      </c>
      <c r="Y3090" s="17" t="e">
        <f aca="false">VLOOKUP(X3090,Sheet2!A:B,2,0)</f>
        <v>#N/A</v>
      </c>
      <c r="Z3090" s="17"/>
      <c r="AA3090" s="17"/>
      <c r="AB3090" s="17" t="s">
        <v>41</v>
      </c>
      <c r="AC3090" s="0" t="str">
        <f aca="false">LEFT(G3090,2)</f>
        <v/>
      </c>
      <c r="AD3090" s="0"/>
    </row>
    <row r="3091" customFormat="false" ht="15" hidden="false" customHeight="false" outlineLevel="0" collapsed="false">
      <c r="A3091" s="13" t="n">
        <f aca="false">1+A3090</f>
        <v>3089</v>
      </c>
      <c r="B3091" s="14" t="n">
        <v>100</v>
      </c>
      <c r="C3091" s="15"/>
      <c r="D3091" s="16" t="s">
        <v>64</v>
      </c>
      <c r="E3091" s="17" t="s">
        <v>47</v>
      </c>
      <c r="F3091" s="18" t="s">
        <v>34</v>
      </c>
      <c r="G3091" s="19"/>
      <c r="H3091" s="17" t="s">
        <v>35</v>
      </c>
      <c r="I3091" s="17" t="s">
        <v>44</v>
      </c>
      <c r="J3091" s="17"/>
      <c r="K3091" s="17" t="e">
        <f aca="false">VLOOKUP(J3091,Sheet2!A:B,2,0)</f>
        <v>#N/A</v>
      </c>
      <c r="L3091" s="17" t="n">
        <v>5</v>
      </c>
      <c r="M3091" s="17" t="str">
        <f aca="false">VLOOKUP(L3091,Sheet2!D:E,2,0)</f>
        <v>Main Processor CPU BGA</v>
      </c>
      <c r="N3091" s="17" t="n">
        <v>1</v>
      </c>
      <c r="O3091" s="17" t="str">
        <f aca="false">VLOOKUP(N3091,Sheet2!G:H,2,0)</f>
        <v>Dead</v>
      </c>
      <c r="P3091" s="17" t="n">
        <v>11</v>
      </c>
      <c r="Q3091" s="17" t="str">
        <f aca="false">VLOOKUP(P3091,Sheet2!J:K,2,0)</f>
        <v>IR Declared due to CID -TA</v>
      </c>
      <c r="R3091" s="17" t="s">
        <v>35</v>
      </c>
      <c r="S3091" s="17" t="str">
        <f aca="false">VLOOKUP(R3091,Sheet2!N:O,2,0)</f>
        <v>IREPARABLE</v>
      </c>
      <c r="T3091" s="18" t="str">
        <f aca="false">VLOOKUP(P3091,Sheet2!Q:R,2,0)</f>
        <v>IR Normal - Track burn out</v>
      </c>
      <c r="U3091" s="20" t="s">
        <v>41</v>
      </c>
      <c r="V3091" s="17"/>
      <c r="W3091" s="20" t="e">
        <f aca="false">VLOOKUP(V3091,Sheet2!Q:R,2,0)</f>
        <v>#N/A</v>
      </c>
      <c r="X3091" s="17" t="n">
        <f aca="false">J3091</f>
        <v>0</v>
      </c>
      <c r="Y3091" s="17" t="e">
        <f aca="false">VLOOKUP(X3091,Sheet2!A:B,2,0)</f>
        <v>#N/A</v>
      </c>
      <c r="Z3091" s="17"/>
      <c r="AA3091" s="17"/>
      <c r="AB3091" s="17" t="s">
        <v>41</v>
      </c>
      <c r="AC3091" s="0" t="str">
        <f aca="false">LEFT(G3091,2)</f>
        <v/>
      </c>
      <c r="AD3091" s="0"/>
    </row>
    <row r="3092" customFormat="false" ht="15" hidden="false" customHeight="false" outlineLevel="0" collapsed="false">
      <c r="A3092" s="13" t="n">
        <f aca="false">1+A3091</f>
        <v>3090</v>
      </c>
      <c r="B3092" s="14" t="n">
        <v>100</v>
      </c>
      <c r="C3092" s="15"/>
      <c r="D3092" s="16" t="s">
        <v>64</v>
      </c>
      <c r="E3092" s="17" t="s">
        <v>47</v>
      </c>
      <c r="F3092" s="18" t="s">
        <v>34</v>
      </c>
      <c r="G3092" s="19"/>
      <c r="H3092" s="17" t="s">
        <v>35</v>
      </c>
      <c r="I3092" s="17" t="s">
        <v>44</v>
      </c>
      <c r="J3092" s="17"/>
      <c r="K3092" s="17" t="e">
        <f aca="false">VLOOKUP(J3092,Sheet2!A:B,2,0)</f>
        <v>#N/A</v>
      </c>
      <c r="L3092" s="17" t="n">
        <v>5</v>
      </c>
      <c r="M3092" s="17" t="str">
        <f aca="false">VLOOKUP(L3092,Sheet2!D:E,2,0)</f>
        <v>Main Processor CPU BGA</v>
      </c>
      <c r="N3092" s="17" t="n">
        <v>1</v>
      </c>
      <c r="O3092" s="17" t="str">
        <f aca="false">VLOOKUP(N3092,Sheet2!G:H,2,0)</f>
        <v>Dead</v>
      </c>
      <c r="P3092" s="17" t="n">
        <v>11</v>
      </c>
      <c r="Q3092" s="17" t="str">
        <f aca="false">VLOOKUP(P3092,Sheet2!J:K,2,0)</f>
        <v>IR Declared due to CID -TA</v>
      </c>
      <c r="R3092" s="17" t="s">
        <v>35</v>
      </c>
      <c r="S3092" s="17" t="str">
        <f aca="false">VLOOKUP(R3092,Sheet2!N:O,2,0)</f>
        <v>IREPARABLE</v>
      </c>
      <c r="T3092" s="18" t="str">
        <f aca="false">VLOOKUP(P3092,Sheet2!Q:R,2,0)</f>
        <v>IR Normal - Track burn out</v>
      </c>
      <c r="U3092" s="20" t="s">
        <v>41</v>
      </c>
      <c r="V3092" s="17"/>
      <c r="W3092" s="20" t="e">
        <f aca="false">VLOOKUP(V3092,Sheet2!Q:R,2,0)</f>
        <v>#N/A</v>
      </c>
      <c r="X3092" s="17" t="n">
        <f aca="false">J3092</f>
        <v>0</v>
      </c>
      <c r="Y3092" s="17" t="e">
        <f aca="false">VLOOKUP(X3092,Sheet2!A:B,2,0)</f>
        <v>#N/A</v>
      </c>
      <c r="Z3092" s="17"/>
      <c r="AA3092" s="17"/>
      <c r="AB3092" s="17" t="s">
        <v>41</v>
      </c>
      <c r="AC3092" s="0" t="str">
        <f aca="false">LEFT(G3092,2)</f>
        <v/>
      </c>
      <c r="AD3092" s="0"/>
    </row>
    <row r="3093" customFormat="false" ht="15" hidden="false" customHeight="false" outlineLevel="0" collapsed="false">
      <c r="A3093" s="13" t="n">
        <f aca="false">1+A3092</f>
        <v>3091</v>
      </c>
      <c r="B3093" s="14" t="n">
        <v>100</v>
      </c>
      <c r="C3093" s="15"/>
      <c r="D3093" s="16" t="s">
        <v>64</v>
      </c>
      <c r="E3093" s="17" t="s">
        <v>47</v>
      </c>
      <c r="F3093" s="18" t="s">
        <v>34</v>
      </c>
      <c r="G3093" s="19"/>
      <c r="H3093" s="17" t="s">
        <v>35</v>
      </c>
      <c r="I3093" s="17" t="s">
        <v>44</v>
      </c>
      <c r="J3093" s="17"/>
      <c r="K3093" s="17" t="e">
        <f aca="false">VLOOKUP(J3093,Sheet2!A:B,2,0)</f>
        <v>#N/A</v>
      </c>
      <c r="L3093" s="17" t="n">
        <v>5</v>
      </c>
      <c r="M3093" s="17" t="str">
        <f aca="false">VLOOKUP(L3093,Sheet2!D:E,2,0)</f>
        <v>Main Processor CPU BGA</v>
      </c>
      <c r="N3093" s="17" t="n">
        <v>1</v>
      </c>
      <c r="O3093" s="17" t="str">
        <f aca="false">VLOOKUP(N3093,Sheet2!G:H,2,0)</f>
        <v>Dead</v>
      </c>
      <c r="P3093" s="17" t="n">
        <v>11</v>
      </c>
      <c r="Q3093" s="17" t="str">
        <f aca="false">VLOOKUP(P3093,Sheet2!J:K,2,0)</f>
        <v>IR Declared due to CID -TA</v>
      </c>
      <c r="R3093" s="17" t="s">
        <v>35</v>
      </c>
      <c r="S3093" s="17" t="str">
        <f aca="false">VLOOKUP(R3093,Sheet2!N:O,2,0)</f>
        <v>IREPARABLE</v>
      </c>
      <c r="T3093" s="18" t="str">
        <f aca="false">VLOOKUP(P3093,Sheet2!Q:R,2,0)</f>
        <v>IR Normal - Track burn out</v>
      </c>
      <c r="U3093" s="20" t="s">
        <v>41</v>
      </c>
      <c r="V3093" s="17"/>
      <c r="W3093" s="20" t="e">
        <f aca="false">VLOOKUP(V3093,Sheet2!Q:R,2,0)</f>
        <v>#N/A</v>
      </c>
      <c r="X3093" s="17" t="n">
        <f aca="false">J3093</f>
        <v>0</v>
      </c>
      <c r="Y3093" s="17" t="e">
        <f aca="false">VLOOKUP(X3093,Sheet2!A:B,2,0)</f>
        <v>#N/A</v>
      </c>
      <c r="Z3093" s="17"/>
      <c r="AA3093" s="17"/>
      <c r="AB3093" s="17" t="s">
        <v>41</v>
      </c>
      <c r="AC3093" s="0" t="str">
        <f aca="false">LEFT(G3093,2)</f>
        <v/>
      </c>
      <c r="AD3093" s="0"/>
    </row>
    <row r="3094" customFormat="false" ht="15" hidden="false" customHeight="false" outlineLevel="0" collapsed="false">
      <c r="A3094" s="13" t="n">
        <f aca="false">1+A3093</f>
        <v>3092</v>
      </c>
      <c r="B3094" s="14" t="n">
        <v>100</v>
      </c>
      <c r="C3094" s="15"/>
      <c r="D3094" s="16" t="s">
        <v>64</v>
      </c>
      <c r="E3094" s="17" t="s">
        <v>47</v>
      </c>
      <c r="F3094" s="18" t="s">
        <v>34</v>
      </c>
      <c r="G3094" s="19"/>
      <c r="H3094" s="17" t="s">
        <v>35</v>
      </c>
      <c r="I3094" s="17" t="s">
        <v>44</v>
      </c>
      <c r="J3094" s="17"/>
      <c r="K3094" s="17" t="e">
        <f aca="false">VLOOKUP(J3094,Sheet2!A:B,2,0)</f>
        <v>#N/A</v>
      </c>
      <c r="L3094" s="17" t="n">
        <v>5</v>
      </c>
      <c r="M3094" s="17" t="str">
        <f aca="false">VLOOKUP(L3094,Sheet2!D:E,2,0)</f>
        <v>Main Processor CPU BGA</v>
      </c>
      <c r="N3094" s="17" t="n">
        <v>1</v>
      </c>
      <c r="O3094" s="17" t="str">
        <f aca="false">VLOOKUP(N3094,Sheet2!G:H,2,0)</f>
        <v>Dead</v>
      </c>
      <c r="P3094" s="17" t="n">
        <v>11</v>
      </c>
      <c r="Q3094" s="17" t="str">
        <f aca="false">VLOOKUP(P3094,Sheet2!J:K,2,0)</f>
        <v>IR Declared due to CID -TA</v>
      </c>
      <c r="R3094" s="17" t="s">
        <v>35</v>
      </c>
      <c r="S3094" s="17" t="str">
        <f aca="false">VLOOKUP(R3094,Sheet2!N:O,2,0)</f>
        <v>IREPARABLE</v>
      </c>
      <c r="T3094" s="18" t="str">
        <f aca="false">VLOOKUP(P3094,Sheet2!Q:R,2,0)</f>
        <v>IR Normal - Track burn out</v>
      </c>
      <c r="U3094" s="20" t="s">
        <v>41</v>
      </c>
      <c r="V3094" s="17"/>
      <c r="W3094" s="20" t="e">
        <f aca="false">VLOOKUP(V3094,Sheet2!Q:R,2,0)</f>
        <v>#N/A</v>
      </c>
      <c r="X3094" s="17" t="n">
        <f aca="false">J3094</f>
        <v>0</v>
      </c>
      <c r="Y3094" s="17" t="e">
        <f aca="false">VLOOKUP(X3094,Sheet2!A:B,2,0)</f>
        <v>#N/A</v>
      </c>
      <c r="Z3094" s="17"/>
      <c r="AA3094" s="17"/>
      <c r="AB3094" s="17" t="s">
        <v>41</v>
      </c>
      <c r="AC3094" s="0" t="str">
        <f aca="false">LEFT(G3094,2)</f>
        <v/>
      </c>
      <c r="AD3094" s="0"/>
    </row>
    <row r="3095" customFormat="false" ht="15" hidden="false" customHeight="false" outlineLevel="0" collapsed="false">
      <c r="A3095" s="13" t="n">
        <f aca="false">1+A3094</f>
        <v>3093</v>
      </c>
      <c r="B3095" s="14" t="n">
        <v>100</v>
      </c>
      <c r="C3095" s="15"/>
      <c r="D3095" s="16" t="s">
        <v>64</v>
      </c>
      <c r="E3095" s="17" t="s">
        <v>47</v>
      </c>
      <c r="F3095" s="18" t="s">
        <v>34</v>
      </c>
      <c r="G3095" s="19"/>
      <c r="H3095" s="17" t="s">
        <v>35</v>
      </c>
      <c r="I3095" s="17" t="s">
        <v>44</v>
      </c>
      <c r="J3095" s="17"/>
      <c r="K3095" s="17" t="e">
        <f aca="false">VLOOKUP(J3095,Sheet2!A:B,2,0)</f>
        <v>#N/A</v>
      </c>
      <c r="L3095" s="17" t="n">
        <v>5</v>
      </c>
      <c r="M3095" s="17" t="str">
        <f aca="false">VLOOKUP(L3095,Sheet2!D:E,2,0)</f>
        <v>Main Processor CPU BGA</v>
      </c>
      <c r="N3095" s="17" t="n">
        <v>1</v>
      </c>
      <c r="O3095" s="17" t="str">
        <f aca="false">VLOOKUP(N3095,Sheet2!G:H,2,0)</f>
        <v>Dead</v>
      </c>
      <c r="P3095" s="17" t="n">
        <v>11</v>
      </c>
      <c r="Q3095" s="17" t="str">
        <f aca="false">VLOOKUP(P3095,Sheet2!J:K,2,0)</f>
        <v>IR Declared due to CID -TA</v>
      </c>
      <c r="R3095" s="17" t="s">
        <v>35</v>
      </c>
      <c r="S3095" s="17" t="str">
        <f aca="false">VLOOKUP(R3095,Sheet2!N:O,2,0)</f>
        <v>IREPARABLE</v>
      </c>
      <c r="T3095" s="18" t="str">
        <f aca="false">VLOOKUP(P3095,Sheet2!Q:R,2,0)</f>
        <v>IR Normal - Track burn out</v>
      </c>
      <c r="U3095" s="20" t="s">
        <v>41</v>
      </c>
      <c r="V3095" s="17"/>
      <c r="W3095" s="20" t="e">
        <f aca="false">VLOOKUP(V3095,Sheet2!Q:R,2,0)</f>
        <v>#N/A</v>
      </c>
      <c r="X3095" s="17" t="n">
        <f aca="false">J3095</f>
        <v>0</v>
      </c>
      <c r="Y3095" s="17" t="e">
        <f aca="false">VLOOKUP(X3095,Sheet2!A:B,2,0)</f>
        <v>#N/A</v>
      </c>
      <c r="Z3095" s="17"/>
      <c r="AA3095" s="17"/>
      <c r="AB3095" s="17" t="s">
        <v>41</v>
      </c>
      <c r="AC3095" s="0" t="str">
        <f aca="false">LEFT(G3095,2)</f>
        <v/>
      </c>
      <c r="AD3095" s="0"/>
    </row>
    <row r="3096" customFormat="false" ht="15" hidden="false" customHeight="false" outlineLevel="0" collapsed="false">
      <c r="A3096" s="13" t="n">
        <f aca="false">1+A3095</f>
        <v>3094</v>
      </c>
      <c r="B3096" s="14" t="n">
        <v>100</v>
      </c>
      <c r="C3096" s="15"/>
      <c r="D3096" s="16" t="s">
        <v>64</v>
      </c>
      <c r="E3096" s="17" t="s">
        <v>47</v>
      </c>
      <c r="F3096" s="18" t="s">
        <v>34</v>
      </c>
      <c r="G3096" s="19"/>
      <c r="H3096" s="17" t="s">
        <v>35</v>
      </c>
      <c r="I3096" s="17" t="s">
        <v>44</v>
      </c>
      <c r="J3096" s="17"/>
      <c r="K3096" s="17" t="e">
        <f aca="false">VLOOKUP(J3096,Sheet2!A:B,2,0)</f>
        <v>#N/A</v>
      </c>
      <c r="L3096" s="17" t="n">
        <v>5</v>
      </c>
      <c r="M3096" s="17" t="str">
        <f aca="false">VLOOKUP(L3096,Sheet2!D:E,2,0)</f>
        <v>Main Processor CPU BGA</v>
      </c>
      <c r="N3096" s="17" t="n">
        <v>1</v>
      </c>
      <c r="O3096" s="17" t="str">
        <f aca="false">VLOOKUP(N3096,Sheet2!G:H,2,0)</f>
        <v>Dead</v>
      </c>
      <c r="P3096" s="17" t="n">
        <v>11</v>
      </c>
      <c r="Q3096" s="17" t="str">
        <f aca="false">VLOOKUP(P3096,Sheet2!J:K,2,0)</f>
        <v>IR Declared due to CID -TA</v>
      </c>
      <c r="R3096" s="17" t="s">
        <v>35</v>
      </c>
      <c r="S3096" s="17" t="str">
        <f aca="false">VLOOKUP(R3096,Sheet2!N:O,2,0)</f>
        <v>IREPARABLE</v>
      </c>
      <c r="T3096" s="18" t="str">
        <f aca="false">VLOOKUP(P3096,Sheet2!Q:R,2,0)</f>
        <v>IR Normal - Track burn out</v>
      </c>
      <c r="U3096" s="20" t="s">
        <v>41</v>
      </c>
      <c r="V3096" s="17"/>
      <c r="W3096" s="20" t="e">
        <f aca="false">VLOOKUP(V3096,Sheet2!Q:R,2,0)</f>
        <v>#N/A</v>
      </c>
      <c r="X3096" s="17" t="n">
        <f aca="false">J3096</f>
        <v>0</v>
      </c>
      <c r="Y3096" s="17" t="e">
        <f aca="false">VLOOKUP(X3096,Sheet2!A:B,2,0)</f>
        <v>#N/A</v>
      </c>
      <c r="Z3096" s="17"/>
      <c r="AA3096" s="17"/>
      <c r="AB3096" s="17" t="s">
        <v>41</v>
      </c>
      <c r="AC3096" s="0" t="str">
        <f aca="false">LEFT(G3096,2)</f>
        <v/>
      </c>
      <c r="AD3096" s="0"/>
    </row>
    <row r="3097" customFormat="false" ht="15" hidden="false" customHeight="false" outlineLevel="0" collapsed="false">
      <c r="A3097" s="13" t="n">
        <f aca="false">1+A3096</f>
        <v>3095</v>
      </c>
      <c r="B3097" s="14" t="n">
        <v>100</v>
      </c>
      <c r="C3097" s="15"/>
      <c r="D3097" s="16" t="s">
        <v>64</v>
      </c>
      <c r="E3097" s="17" t="s">
        <v>47</v>
      </c>
      <c r="F3097" s="18" t="s">
        <v>34</v>
      </c>
      <c r="G3097" s="19"/>
      <c r="H3097" s="17" t="s">
        <v>35</v>
      </c>
      <c r="I3097" s="17" t="s">
        <v>44</v>
      </c>
      <c r="J3097" s="17"/>
      <c r="K3097" s="17" t="e">
        <f aca="false">VLOOKUP(J3097,Sheet2!A:B,2,0)</f>
        <v>#N/A</v>
      </c>
      <c r="L3097" s="17" t="n">
        <v>5</v>
      </c>
      <c r="M3097" s="17" t="str">
        <f aca="false">VLOOKUP(L3097,Sheet2!D:E,2,0)</f>
        <v>Main Processor CPU BGA</v>
      </c>
      <c r="N3097" s="17" t="n">
        <v>1</v>
      </c>
      <c r="O3097" s="17" t="str">
        <f aca="false">VLOOKUP(N3097,Sheet2!G:H,2,0)</f>
        <v>Dead</v>
      </c>
      <c r="P3097" s="17" t="n">
        <v>11</v>
      </c>
      <c r="Q3097" s="17" t="str">
        <f aca="false">VLOOKUP(P3097,Sheet2!J:K,2,0)</f>
        <v>IR Declared due to CID -TA</v>
      </c>
      <c r="R3097" s="17" t="s">
        <v>35</v>
      </c>
      <c r="S3097" s="17" t="str">
        <f aca="false">VLOOKUP(R3097,Sheet2!N:O,2,0)</f>
        <v>IREPARABLE</v>
      </c>
      <c r="T3097" s="18" t="str">
        <f aca="false">VLOOKUP(P3097,Sheet2!Q:R,2,0)</f>
        <v>IR Normal - Track burn out</v>
      </c>
      <c r="U3097" s="20" t="s">
        <v>41</v>
      </c>
      <c r="V3097" s="17"/>
      <c r="W3097" s="20" t="e">
        <f aca="false">VLOOKUP(V3097,Sheet2!Q:R,2,0)</f>
        <v>#N/A</v>
      </c>
      <c r="X3097" s="17" t="n">
        <f aca="false">J3097</f>
        <v>0</v>
      </c>
      <c r="Y3097" s="17" t="e">
        <f aca="false">VLOOKUP(X3097,Sheet2!A:B,2,0)</f>
        <v>#N/A</v>
      </c>
      <c r="Z3097" s="17"/>
      <c r="AA3097" s="17"/>
      <c r="AB3097" s="17" t="s">
        <v>41</v>
      </c>
      <c r="AC3097" s="0" t="str">
        <f aca="false">LEFT(G3097,2)</f>
        <v/>
      </c>
      <c r="AD3097" s="0"/>
    </row>
    <row r="3098" customFormat="false" ht="15" hidden="false" customHeight="false" outlineLevel="0" collapsed="false">
      <c r="A3098" s="13" t="n">
        <f aca="false">1+A3097</f>
        <v>3096</v>
      </c>
      <c r="B3098" s="14" t="n">
        <v>100</v>
      </c>
      <c r="C3098" s="15"/>
      <c r="D3098" s="16" t="s">
        <v>64</v>
      </c>
      <c r="E3098" s="17" t="s">
        <v>47</v>
      </c>
      <c r="F3098" s="18" t="s">
        <v>34</v>
      </c>
      <c r="G3098" s="19"/>
      <c r="H3098" s="17" t="s">
        <v>35</v>
      </c>
      <c r="I3098" s="17" t="s">
        <v>44</v>
      </c>
      <c r="J3098" s="17"/>
      <c r="K3098" s="17" t="e">
        <f aca="false">VLOOKUP(J3098,Sheet2!A:B,2,0)</f>
        <v>#N/A</v>
      </c>
      <c r="L3098" s="17" t="n">
        <v>5</v>
      </c>
      <c r="M3098" s="17" t="str">
        <f aca="false">VLOOKUP(L3098,Sheet2!D:E,2,0)</f>
        <v>Main Processor CPU BGA</v>
      </c>
      <c r="N3098" s="17" t="n">
        <v>1</v>
      </c>
      <c r="O3098" s="17" t="str">
        <f aca="false">VLOOKUP(N3098,Sheet2!G:H,2,0)</f>
        <v>Dead</v>
      </c>
      <c r="P3098" s="17" t="n">
        <v>11</v>
      </c>
      <c r="Q3098" s="17" t="str">
        <f aca="false">VLOOKUP(P3098,Sheet2!J:K,2,0)</f>
        <v>IR Declared due to CID -TA</v>
      </c>
      <c r="R3098" s="17" t="s">
        <v>35</v>
      </c>
      <c r="S3098" s="17" t="str">
        <f aca="false">VLOOKUP(R3098,Sheet2!N:O,2,0)</f>
        <v>IREPARABLE</v>
      </c>
      <c r="T3098" s="18" t="str">
        <f aca="false">VLOOKUP(P3098,Sheet2!Q:R,2,0)</f>
        <v>IR Normal - Track burn out</v>
      </c>
      <c r="U3098" s="20" t="s">
        <v>41</v>
      </c>
      <c r="V3098" s="17"/>
      <c r="W3098" s="20" t="e">
        <f aca="false">VLOOKUP(V3098,Sheet2!Q:R,2,0)</f>
        <v>#N/A</v>
      </c>
      <c r="X3098" s="17" t="n">
        <f aca="false">J3098</f>
        <v>0</v>
      </c>
      <c r="Y3098" s="17" t="e">
        <f aca="false">VLOOKUP(X3098,Sheet2!A:B,2,0)</f>
        <v>#N/A</v>
      </c>
      <c r="Z3098" s="17"/>
      <c r="AA3098" s="17"/>
      <c r="AB3098" s="17" t="s">
        <v>41</v>
      </c>
      <c r="AC3098" s="0" t="str">
        <f aca="false">LEFT(G3098,2)</f>
        <v/>
      </c>
      <c r="AD3098" s="0"/>
    </row>
    <row r="3099" customFormat="false" ht="15" hidden="false" customHeight="false" outlineLevel="0" collapsed="false">
      <c r="A3099" s="13" t="n">
        <f aca="false">1+A3098</f>
        <v>3097</v>
      </c>
      <c r="B3099" s="14" t="n">
        <v>100</v>
      </c>
      <c r="C3099" s="15"/>
      <c r="D3099" s="16" t="s">
        <v>64</v>
      </c>
      <c r="E3099" s="17" t="s">
        <v>47</v>
      </c>
      <c r="F3099" s="18" t="s">
        <v>34</v>
      </c>
      <c r="G3099" s="19"/>
      <c r="H3099" s="17" t="s">
        <v>35</v>
      </c>
      <c r="I3099" s="17" t="s">
        <v>44</v>
      </c>
      <c r="J3099" s="17"/>
      <c r="K3099" s="17" t="e">
        <f aca="false">VLOOKUP(J3099,Sheet2!A:B,2,0)</f>
        <v>#N/A</v>
      </c>
      <c r="L3099" s="17" t="n">
        <v>5</v>
      </c>
      <c r="M3099" s="17" t="str">
        <f aca="false">VLOOKUP(L3099,Sheet2!D:E,2,0)</f>
        <v>Main Processor CPU BGA</v>
      </c>
      <c r="N3099" s="17" t="n">
        <v>1</v>
      </c>
      <c r="O3099" s="17" t="str">
        <f aca="false">VLOOKUP(N3099,Sheet2!G:H,2,0)</f>
        <v>Dead</v>
      </c>
      <c r="P3099" s="17" t="n">
        <v>11</v>
      </c>
      <c r="Q3099" s="17" t="str">
        <f aca="false">VLOOKUP(P3099,Sheet2!J:K,2,0)</f>
        <v>IR Declared due to CID -TA</v>
      </c>
      <c r="R3099" s="17" t="s">
        <v>35</v>
      </c>
      <c r="S3099" s="17" t="str">
        <f aca="false">VLOOKUP(R3099,Sheet2!N:O,2,0)</f>
        <v>IREPARABLE</v>
      </c>
      <c r="T3099" s="18" t="str">
        <f aca="false">VLOOKUP(P3099,Sheet2!Q:R,2,0)</f>
        <v>IR Normal - Track burn out</v>
      </c>
      <c r="U3099" s="20" t="s">
        <v>41</v>
      </c>
      <c r="V3099" s="17"/>
      <c r="W3099" s="20" t="e">
        <f aca="false">VLOOKUP(V3099,Sheet2!Q:R,2,0)</f>
        <v>#N/A</v>
      </c>
      <c r="X3099" s="17" t="n">
        <f aca="false">J3099</f>
        <v>0</v>
      </c>
      <c r="Y3099" s="17" t="e">
        <f aca="false">VLOOKUP(X3099,Sheet2!A:B,2,0)</f>
        <v>#N/A</v>
      </c>
      <c r="Z3099" s="17"/>
      <c r="AA3099" s="17"/>
      <c r="AB3099" s="17" t="s">
        <v>41</v>
      </c>
      <c r="AC3099" s="0" t="str">
        <f aca="false">LEFT(G3099,2)</f>
        <v/>
      </c>
      <c r="AD3099" s="0"/>
    </row>
    <row r="3100" customFormat="false" ht="15" hidden="false" customHeight="false" outlineLevel="0" collapsed="false">
      <c r="A3100" s="13" t="n">
        <f aca="false">1+A3099</f>
        <v>3098</v>
      </c>
      <c r="B3100" s="14" t="n">
        <v>100</v>
      </c>
      <c r="C3100" s="15"/>
      <c r="D3100" s="16" t="s">
        <v>64</v>
      </c>
      <c r="E3100" s="17" t="s">
        <v>47</v>
      </c>
      <c r="F3100" s="18" t="s">
        <v>34</v>
      </c>
      <c r="G3100" s="19"/>
      <c r="H3100" s="17" t="s">
        <v>35</v>
      </c>
      <c r="I3100" s="17" t="s">
        <v>44</v>
      </c>
      <c r="J3100" s="17"/>
      <c r="K3100" s="17" t="e">
        <f aca="false">VLOOKUP(J3100,Sheet2!A:B,2,0)</f>
        <v>#N/A</v>
      </c>
      <c r="L3100" s="17" t="n">
        <v>5</v>
      </c>
      <c r="M3100" s="17" t="str">
        <f aca="false">VLOOKUP(L3100,Sheet2!D:E,2,0)</f>
        <v>Main Processor CPU BGA</v>
      </c>
      <c r="N3100" s="17" t="n">
        <v>1</v>
      </c>
      <c r="O3100" s="17" t="str">
        <f aca="false">VLOOKUP(N3100,Sheet2!G:H,2,0)</f>
        <v>Dead</v>
      </c>
      <c r="P3100" s="17" t="n">
        <v>11</v>
      </c>
      <c r="Q3100" s="17" t="str">
        <f aca="false">VLOOKUP(P3100,Sheet2!J:K,2,0)</f>
        <v>IR Declared due to CID -TA</v>
      </c>
      <c r="R3100" s="17" t="s">
        <v>35</v>
      </c>
      <c r="S3100" s="17" t="str">
        <f aca="false">VLOOKUP(R3100,Sheet2!N:O,2,0)</f>
        <v>IREPARABLE</v>
      </c>
      <c r="T3100" s="18" t="str">
        <f aca="false">VLOOKUP(P3100,Sheet2!Q:R,2,0)</f>
        <v>IR Normal - Track burn out</v>
      </c>
      <c r="U3100" s="20" t="s">
        <v>41</v>
      </c>
      <c r="V3100" s="17"/>
      <c r="W3100" s="20" t="e">
        <f aca="false">VLOOKUP(V3100,Sheet2!Q:R,2,0)</f>
        <v>#N/A</v>
      </c>
      <c r="X3100" s="17" t="n">
        <f aca="false">J3100</f>
        <v>0</v>
      </c>
      <c r="Y3100" s="17" t="e">
        <f aca="false">VLOOKUP(X3100,Sheet2!A:B,2,0)</f>
        <v>#N/A</v>
      </c>
      <c r="Z3100" s="17"/>
      <c r="AA3100" s="17"/>
      <c r="AB3100" s="17" t="s">
        <v>41</v>
      </c>
      <c r="AC3100" s="0" t="str">
        <f aca="false">LEFT(G3100,2)</f>
        <v/>
      </c>
      <c r="AD3100" s="0"/>
    </row>
    <row r="3101" customFormat="false" ht="15" hidden="false" customHeight="false" outlineLevel="0" collapsed="false">
      <c r="A3101" s="13" t="n">
        <f aca="false">1+A3100</f>
        <v>3099</v>
      </c>
      <c r="B3101" s="14" t="n">
        <v>100</v>
      </c>
      <c r="C3101" s="15"/>
      <c r="D3101" s="16" t="s">
        <v>64</v>
      </c>
      <c r="E3101" s="17" t="s">
        <v>47</v>
      </c>
      <c r="F3101" s="18" t="s">
        <v>34</v>
      </c>
      <c r="G3101" s="19"/>
      <c r="H3101" s="17" t="s">
        <v>35</v>
      </c>
      <c r="I3101" s="17" t="s">
        <v>44</v>
      </c>
      <c r="J3101" s="17"/>
      <c r="K3101" s="17" t="e">
        <f aca="false">VLOOKUP(J3101,Sheet2!A:B,2,0)</f>
        <v>#N/A</v>
      </c>
      <c r="L3101" s="17" t="n">
        <v>5</v>
      </c>
      <c r="M3101" s="17" t="str">
        <f aca="false">VLOOKUP(L3101,Sheet2!D:E,2,0)</f>
        <v>Main Processor CPU BGA</v>
      </c>
      <c r="N3101" s="17" t="n">
        <v>1</v>
      </c>
      <c r="O3101" s="17" t="str">
        <f aca="false">VLOOKUP(N3101,Sheet2!G:H,2,0)</f>
        <v>Dead</v>
      </c>
      <c r="P3101" s="17" t="n">
        <v>11</v>
      </c>
      <c r="Q3101" s="17" t="str">
        <f aca="false">VLOOKUP(P3101,Sheet2!J:K,2,0)</f>
        <v>IR Declared due to CID -TA</v>
      </c>
      <c r="R3101" s="17" t="s">
        <v>35</v>
      </c>
      <c r="S3101" s="17" t="str">
        <f aca="false">VLOOKUP(R3101,Sheet2!N:O,2,0)</f>
        <v>IREPARABLE</v>
      </c>
      <c r="T3101" s="18" t="str">
        <f aca="false">VLOOKUP(P3101,Sheet2!Q:R,2,0)</f>
        <v>IR Normal - Track burn out</v>
      </c>
      <c r="U3101" s="20" t="s">
        <v>41</v>
      </c>
      <c r="V3101" s="17"/>
      <c r="W3101" s="20" t="e">
        <f aca="false">VLOOKUP(V3101,Sheet2!Q:R,2,0)</f>
        <v>#N/A</v>
      </c>
      <c r="X3101" s="17" t="n">
        <f aca="false">J3101</f>
        <v>0</v>
      </c>
      <c r="Y3101" s="17" t="e">
        <f aca="false">VLOOKUP(X3101,Sheet2!A:B,2,0)</f>
        <v>#N/A</v>
      </c>
      <c r="Z3101" s="17"/>
      <c r="AA3101" s="17"/>
      <c r="AB3101" s="17" t="s">
        <v>41</v>
      </c>
      <c r="AC3101" s="0" t="str">
        <f aca="false">LEFT(G3101,2)</f>
        <v/>
      </c>
      <c r="AD3101" s="0"/>
    </row>
    <row r="3102" customFormat="false" ht="15" hidden="false" customHeight="false" outlineLevel="0" collapsed="false">
      <c r="A3102" s="13" t="n">
        <f aca="false">1+A3101</f>
        <v>3100</v>
      </c>
      <c r="B3102" s="14" t="n">
        <v>100</v>
      </c>
      <c r="C3102" s="15"/>
      <c r="D3102" s="16" t="s">
        <v>64</v>
      </c>
      <c r="E3102" s="17" t="s">
        <v>47</v>
      </c>
      <c r="F3102" s="18" t="s">
        <v>34</v>
      </c>
      <c r="G3102" s="19"/>
      <c r="H3102" s="17" t="s">
        <v>35</v>
      </c>
      <c r="I3102" s="17" t="s">
        <v>44</v>
      </c>
      <c r="J3102" s="17"/>
      <c r="K3102" s="17" t="e">
        <f aca="false">VLOOKUP(J3102,Sheet2!A:B,2,0)</f>
        <v>#N/A</v>
      </c>
      <c r="L3102" s="17" t="n">
        <v>5</v>
      </c>
      <c r="M3102" s="17" t="str">
        <f aca="false">VLOOKUP(L3102,Sheet2!D:E,2,0)</f>
        <v>Main Processor CPU BGA</v>
      </c>
      <c r="N3102" s="17" t="n">
        <v>1</v>
      </c>
      <c r="O3102" s="17" t="str">
        <f aca="false">VLOOKUP(N3102,Sheet2!G:H,2,0)</f>
        <v>Dead</v>
      </c>
      <c r="P3102" s="17" t="n">
        <v>11</v>
      </c>
      <c r="Q3102" s="17" t="str">
        <f aca="false">VLOOKUP(P3102,Sheet2!J:K,2,0)</f>
        <v>IR Declared due to CID -TA</v>
      </c>
      <c r="R3102" s="17" t="s">
        <v>35</v>
      </c>
      <c r="S3102" s="17" t="str">
        <f aca="false">VLOOKUP(R3102,Sheet2!N:O,2,0)</f>
        <v>IREPARABLE</v>
      </c>
      <c r="T3102" s="18" t="str">
        <f aca="false">VLOOKUP(P3102,Sheet2!Q:R,2,0)</f>
        <v>IR Normal - Track burn out</v>
      </c>
      <c r="U3102" s="20" t="s">
        <v>41</v>
      </c>
      <c r="V3102" s="17"/>
      <c r="W3102" s="20" t="e">
        <f aca="false">VLOOKUP(V3102,Sheet2!Q:R,2,0)</f>
        <v>#N/A</v>
      </c>
      <c r="X3102" s="17" t="n">
        <f aca="false">J3102</f>
        <v>0</v>
      </c>
      <c r="Y3102" s="17" t="e">
        <f aca="false">VLOOKUP(X3102,Sheet2!A:B,2,0)</f>
        <v>#N/A</v>
      </c>
      <c r="Z3102" s="17"/>
      <c r="AA3102" s="17"/>
      <c r="AB3102" s="17" t="s">
        <v>41</v>
      </c>
      <c r="AC3102" s="0" t="str">
        <f aca="false">LEFT(G3102,2)</f>
        <v/>
      </c>
      <c r="AD3102" s="0"/>
    </row>
    <row r="3103" customFormat="false" ht="15" hidden="false" customHeight="false" outlineLevel="0" collapsed="false">
      <c r="A3103" s="13" t="n">
        <f aca="false">1+A3102</f>
        <v>3101</v>
      </c>
      <c r="B3103" s="14" t="n">
        <v>100</v>
      </c>
      <c r="C3103" s="15"/>
      <c r="D3103" s="16" t="s">
        <v>64</v>
      </c>
      <c r="E3103" s="17" t="s">
        <v>47</v>
      </c>
      <c r="F3103" s="18" t="s">
        <v>34</v>
      </c>
      <c r="G3103" s="19"/>
      <c r="H3103" s="17" t="s">
        <v>35</v>
      </c>
      <c r="I3103" s="17" t="s">
        <v>44</v>
      </c>
      <c r="J3103" s="17"/>
      <c r="K3103" s="17" t="e">
        <f aca="false">VLOOKUP(J3103,Sheet2!A:B,2,0)</f>
        <v>#N/A</v>
      </c>
      <c r="L3103" s="17" t="n">
        <v>5</v>
      </c>
      <c r="M3103" s="17" t="str">
        <f aca="false">VLOOKUP(L3103,Sheet2!D:E,2,0)</f>
        <v>Main Processor CPU BGA</v>
      </c>
      <c r="N3103" s="17" t="n">
        <v>1</v>
      </c>
      <c r="O3103" s="17" t="str">
        <f aca="false">VLOOKUP(N3103,Sheet2!G:H,2,0)</f>
        <v>Dead</v>
      </c>
      <c r="P3103" s="17" t="n">
        <v>11</v>
      </c>
      <c r="Q3103" s="17" t="str">
        <f aca="false">VLOOKUP(P3103,Sheet2!J:K,2,0)</f>
        <v>IR Declared due to CID -TA</v>
      </c>
      <c r="R3103" s="17" t="s">
        <v>35</v>
      </c>
      <c r="S3103" s="17" t="str">
        <f aca="false">VLOOKUP(R3103,Sheet2!N:O,2,0)</f>
        <v>IREPARABLE</v>
      </c>
      <c r="T3103" s="18" t="str">
        <f aca="false">VLOOKUP(P3103,Sheet2!Q:R,2,0)</f>
        <v>IR Normal - Track burn out</v>
      </c>
      <c r="U3103" s="20" t="s">
        <v>41</v>
      </c>
      <c r="V3103" s="17"/>
      <c r="W3103" s="20" t="e">
        <f aca="false">VLOOKUP(V3103,Sheet2!Q:R,2,0)</f>
        <v>#N/A</v>
      </c>
      <c r="X3103" s="17" t="n">
        <f aca="false">J3103</f>
        <v>0</v>
      </c>
      <c r="Y3103" s="17" t="e">
        <f aca="false">VLOOKUP(X3103,Sheet2!A:B,2,0)</f>
        <v>#N/A</v>
      </c>
      <c r="Z3103" s="17"/>
      <c r="AA3103" s="17"/>
      <c r="AB3103" s="17" t="s">
        <v>41</v>
      </c>
      <c r="AC3103" s="0" t="str">
        <f aca="false">LEFT(G3103,2)</f>
        <v/>
      </c>
      <c r="AD3103" s="0"/>
    </row>
    <row r="3104" customFormat="false" ht="15" hidden="false" customHeight="false" outlineLevel="0" collapsed="false">
      <c r="A3104" s="13" t="n">
        <f aca="false">1+A3103</f>
        <v>3102</v>
      </c>
      <c r="B3104" s="14" t="n">
        <v>100</v>
      </c>
      <c r="C3104" s="15"/>
      <c r="D3104" s="16" t="s">
        <v>64</v>
      </c>
      <c r="E3104" s="17" t="s">
        <v>47</v>
      </c>
      <c r="F3104" s="18" t="s">
        <v>34</v>
      </c>
      <c r="G3104" s="19"/>
      <c r="H3104" s="17" t="s">
        <v>35</v>
      </c>
      <c r="I3104" s="17" t="s">
        <v>44</v>
      </c>
      <c r="J3104" s="17"/>
      <c r="K3104" s="17" t="e">
        <f aca="false">VLOOKUP(J3104,Sheet2!A:B,2,0)</f>
        <v>#N/A</v>
      </c>
      <c r="L3104" s="17" t="n">
        <v>5</v>
      </c>
      <c r="M3104" s="17" t="str">
        <f aca="false">VLOOKUP(L3104,Sheet2!D:E,2,0)</f>
        <v>Main Processor CPU BGA</v>
      </c>
      <c r="N3104" s="17" t="n">
        <v>1</v>
      </c>
      <c r="O3104" s="17" t="str">
        <f aca="false">VLOOKUP(N3104,Sheet2!G:H,2,0)</f>
        <v>Dead</v>
      </c>
      <c r="P3104" s="17" t="n">
        <v>11</v>
      </c>
      <c r="Q3104" s="17" t="str">
        <f aca="false">VLOOKUP(P3104,Sheet2!J:K,2,0)</f>
        <v>IR Declared due to CID -TA</v>
      </c>
      <c r="R3104" s="17" t="s">
        <v>35</v>
      </c>
      <c r="S3104" s="17" t="str">
        <f aca="false">VLOOKUP(R3104,Sheet2!N:O,2,0)</f>
        <v>IREPARABLE</v>
      </c>
      <c r="T3104" s="18" t="str">
        <f aca="false">VLOOKUP(P3104,Sheet2!Q:R,2,0)</f>
        <v>IR Normal - Track burn out</v>
      </c>
      <c r="U3104" s="20" t="s">
        <v>41</v>
      </c>
      <c r="V3104" s="17"/>
      <c r="W3104" s="20" t="e">
        <f aca="false">VLOOKUP(V3104,Sheet2!Q:R,2,0)</f>
        <v>#N/A</v>
      </c>
      <c r="X3104" s="17" t="n">
        <f aca="false">J3104</f>
        <v>0</v>
      </c>
      <c r="Y3104" s="17" t="e">
        <f aca="false">VLOOKUP(X3104,Sheet2!A:B,2,0)</f>
        <v>#N/A</v>
      </c>
      <c r="Z3104" s="17"/>
      <c r="AA3104" s="17"/>
      <c r="AB3104" s="17" t="s">
        <v>41</v>
      </c>
      <c r="AC3104" s="0" t="str">
        <f aca="false">LEFT(G3104,2)</f>
        <v/>
      </c>
      <c r="AD3104" s="0"/>
    </row>
    <row r="3105" customFormat="false" ht="15" hidden="false" customHeight="false" outlineLevel="0" collapsed="false">
      <c r="A3105" s="13" t="n">
        <f aca="false">1+A3104</f>
        <v>3103</v>
      </c>
      <c r="B3105" s="14" t="n">
        <v>100</v>
      </c>
      <c r="C3105" s="15"/>
      <c r="D3105" s="16" t="s">
        <v>64</v>
      </c>
      <c r="E3105" s="17" t="s">
        <v>47</v>
      </c>
      <c r="F3105" s="18" t="s">
        <v>34</v>
      </c>
      <c r="G3105" s="19"/>
      <c r="H3105" s="17" t="s">
        <v>35</v>
      </c>
      <c r="I3105" s="17" t="s">
        <v>44</v>
      </c>
      <c r="J3105" s="17"/>
      <c r="K3105" s="17" t="e">
        <f aca="false">VLOOKUP(J3105,Sheet2!A:B,2,0)</f>
        <v>#N/A</v>
      </c>
      <c r="L3105" s="17" t="n">
        <v>5</v>
      </c>
      <c r="M3105" s="17" t="str">
        <f aca="false">VLOOKUP(L3105,Sheet2!D:E,2,0)</f>
        <v>Main Processor CPU BGA</v>
      </c>
      <c r="N3105" s="17" t="n">
        <v>1</v>
      </c>
      <c r="O3105" s="17" t="str">
        <f aca="false">VLOOKUP(N3105,Sheet2!G:H,2,0)</f>
        <v>Dead</v>
      </c>
      <c r="P3105" s="17" t="n">
        <v>11</v>
      </c>
      <c r="Q3105" s="17" t="str">
        <f aca="false">VLOOKUP(P3105,Sheet2!J:K,2,0)</f>
        <v>IR Declared due to CID -TA</v>
      </c>
      <c r="R3105" s="17" t="s">
        <v>35</v>
      </c>
      <c r="S3105" s="17" t="str">
        <f aca="false">VLOOKUP(R3105,Sheet2!N:O,2,0)</f>
        <v>IREPARABLE</v>
      </c>
      <c r="T3105" s="18" t="str">
        <f aca="false">VLOOKUP(P3105,Sheet2!Q:R,2,0)</f>
        <v>IR Normal - Track burn out</v>
      </c>
      <c r="U3105" s="20" t="s">
        <v>41</v>
      </c>
      <c r="V3105" s="17"/>
      <c r="W3105" s="20" t="e">
        <f aca="false">VLOOKUP(V3105,Sheet2!Q:R,2,0)</f>
        <v>#N/A</v>
      </c>
      <c r="X3105" s="17" t="n">
        <f aca="false">J3105</f>
        <v>0</v>
      </c>
      <c r="Y3105" s="17" t="e">
        <f aca="false">VLOOKUP(X3105,Sheet2!A:B,2,0)</f>
        <v>#N/A</v>
      </c>
      <c r="Z3105" s="17"/>
      <c r="AA3105" s="17"/>
      <c r="AB3105" s="17" t="s">
        <v>41</v>
      </c>
      <c r="AC3105" s="0" t="str">
        <f aca="false">LEFT(G3105,2)</f>
        <v/>
      </c>
    </row>
    <row r="3106" customFormat="false" ht="15" hidden="false" customHeight="false" outlineLevel="0" collapsed="false">
      <c r="A3106" s="13" t="n">
        <f aca="false">1+A3105</f>
        <v>3104</v>
      </c>
      <c r="B3106" s="14" t="n">
        <v>100</v>
      </c>
      <c r="C3106" s="15"/>
      <c r="D3106" s="16" t="s">
        <v>64</v>
      </c>
      <c r="E3106" s="17" t="s">
        <v>47</v>
      </c>
      <c r="F3106" s="18" t="s">
        <v>34</v>
      </c>
      <c r="G3106" s="19"/>
      <c r="H3106" s="17" t="s">
        <v>35</v>
      </c>
      <c r="I3106" s="17" t="s">
        <v>44</v>
      </c>
      <c r="J3106" s="17"/>
      <c r="K3106" s="17" t="e">
        <f aca="false">VLOOKUP(J3106,Sheet2!A:B,2,0)</f>
        <v>#N/A</v>
      </c>
      <c r="L3106" s="17" t="n">
        <v>5</v>
      </c>
      <c r="M3106" s="17" t="str">
        <f aca="false">VLOOKUP(L3106,Sheet2!D:E,2,0)</f>
        <v>Main Processor CPU BGA</v>
      </c>
      <c r="N3106" s="17" t="n">
        <v>1</v>
      </c>
      <c r="O3106" s="17" t="str">
        <f aca="false">VLOOKUP(N3106,Sheet2!G:H,2,0)</f>
        <v>Dead</v>
      </c>
      <c r="P3106" s="17" t="n">
        <v>11</v>
      </c>
      <c r="Q3106" s="17" t="str">
        <f aca="false">VLOOKUP(P3106,Sheet2!J:K,2,0)</f>
        <v>IR Declared due to CID -TA</v>
      </c>
      <c r="R3106" s="17" t="s">
        <v>35</v>
      </c>
      <c r="S3106" s="17" t="str">
        <f aca="false">VLOOKUP(R3106,Sheet2!N:O,2,0)</f>
        <v>IREPARABLE</v>
      </c>
      <c r="T3106" s="18" t="str">
        <f aca="false">VLOOKUP(P3106,Sheet2!Q:R,2,0)</f>
        <v>IR Normal - Track burn out</v>
      </c>
      <c r="U3106" s="20" t="s">
        <v>41</v>
      </c>
      <c r="V3106" s="17"/>
      <c r="W3106" s="20" t="e">
        <f aca="false">VLOOKUP(V3106,Sheet2!Q:R,2,0)</f>
        <v>#N/A</v>
      </c>
      <c r="X3106" s="17" t="n">
        <f aca="false">J3106</f>
        <v>0</v>
      </c>
      <c r="Y3106" s="17" t="e">
        <f aca="false">VLOOKUP(X3106,Sheet2!A:B,2,0)</f>
        <v>#N/A</v>
      </c>
      <c r="Z3106" s="17"/>
      <c r="AA3106" s="17"/>
      <c r="AB3106" s="17" t="s">
        <v>41</v>
      </c>
      <c r="AC3106" s="0" t="str">
        <f aca="false">LEFT(G3106,2)</f>
        <v/>
      </c>
    </row>
    <row r="3107" customFormat="false" ht="15" hidden="false" customHeight="false" outlineLevel="0" collapsed="false">
      <c r="A3107" s="13" t="n">
        <f aca="false">1+A3106</f>
        <v>3105</v>
      </c>
      <c r="B3107" s="14" t="n">
        <v>100</v>
      </c>
      <c r="C3107" s="15"/>
      <c r="D3107" s="16" t="s">
        <v>64</v>
      </c>
      <c r="E3107" s="17" t="s">
        <v>47</v>
      </c>
      <c r="F3107" s="18" t="s">
        <v>34</v>
      </c>
      <c r="G3107" s="19"/>
      <c r="H3107" s="17" t="s">
        <v>35</v>
      </c>
      <c r="I3107" s="17" t="s">
        <v>44</v>
      </c>
      <c r="J3107" s="17"/>
      <c r="K3107" s="17" t="e">
        <f aca="false">VLOOKUP(J3107,Sheet2!A:B,2,0)</f>
        <v>#N/A</v>
      </c>
      <c r="L3107" s="17" t="n">
        <v>5</v>
      </c>
      <c r="M3107" s="17" t="str">
        <f aca="false">VLOOKUP(L3107,Sheet2!D:E,2,0)</f>
        <v>Main Processor CPU BGA</v>
      </c>
      <c r="N3107" s="17" t="n">
        <v>1</v>
      </c>
      <c r="O3107" s="17" t="str">
        <f aca="false">VLOOKUP(N3107,Sheet2!G:H,2,0)</f>
        <v>Dead</v>
      </c>
      <c r="P3107" s="17" t="n">
        <v>11</v>
      </c>
      <c r="Q3107" s="17" t="str">
        <f aca="false">VLOOKUP(P3107,Sheet2!J:K,2,0)</f>
        <v>IR Declared due to CID -TA</v>
      </c>
      <c r="R3107" s="17" t="s">
        <v>35</v>
      </c>
      <c r="S3107" s="17" t="str">
        <f aca="false">VLOOKUP(R3107,Sheet2!N:O,2,0)</f>
        <v>IREPARABLE</v>
      </c>
      <c r="T3107" s="18" t="str">
        <f aca="false">VLOOKUP(P3107,Sheet2!Q:R,2,0)</f>
        <v>IR Normal - Track burn out</v>
      </c>
      <c r="U3107" s="20" t="s">
        <v>41</v>
      </c>
      <c r="V3107" s="17"/>
      <c r="W3107" s="20" t="e">
        <f aca="false">VLOOKUP(V3107,Sheet2!Q:R,2,0)</f>
        <v>#N/A</v>
      </c>
      <c r="X3107" s="17" t="n">
        <f aca="false">J3107</f>
        <v>0</v>
      </c>
      <c r="Y3107" s="17" t="e">
        <f aca="false">VLOOKUP(X3107,Sheet2!A:B,2,0)</f>
        <v>#N/A</v>
      </c>
      <c r="Z3107" s="17"/>
      <c r="AA3107" s="17"/>
      <c r="AB3107" s="17" t="s">
        <v>41</v>
      </c>
      <c r="AC3107" s="0" t="str">
        <f aca="false">LEFT(G3107,2)</f>
        <v/>
      </c>
    </row>
    <row r="3108" customFormat="false" ht="15" hidden="false" customHeight="false" outlineLevel="0" collapsed="false">
      <c r="A3108" s="13" t="n">
        <f aca="false">1+A3107</f>
        <v>3106</v>
      </c>
      <c r="B3108" s="14" t="n">
        <v>100</v>
      </c>
      <c r="C3108" s="15"/>
      <c r="D3108" s="16" t="s">
        <v>64</v>
      </c>
      <c r="E3108" s="17" t="s">
        <v>47</v>
      </c>
      <c r="F3108" s="18" t="s">
        <v>34</v>
      </c>
      <c r="G3108" s="19"/>
      <c r="H3108" s="17" t="s">
        <v>35</v>
      </c>
      <c r="I3108" s="17" t="s">
        <v>44</v>
      </c>
      <c r="J3108" s="17"/>
      <c r="K3108" s="17" t="e">
        <f aca="false">VLOOKUP(J3108,Sheet2!A:B,2,0)</f>
        <v>#N/A</v>
      </c>
      <c r="L3108" s="17" t="n">
        <v>5</v>
      </c>
      <c r="M3108" s="17" t="str">
        <f aca="false">VLOOKUP(L3108,Sheet2!D:E,2,0)</f>
        <v>Main Processor CPU BGA</v>
      </c>
      <c r="N3108" s="17" t="n">
        <v>1</v>
      </c>
      <c r="O3108" s="17" t="str">
        <f aca="false">VLOOKUP(N3108,Sheet2!G:H,2,0)</f>
        <v>Dead</v>
      </c>
      <c r="P3108" s="17" t="n">
        <v>11</v>
      </c>
      <c r="Q3108" s="17" t="str">
        <f aca="false">VLOOKUP(P3108,Sheet2!J:K,2,0)</f>
        <v>IR Declared due to CID -TA</v>
      </c>
      <c r="R3108" s="17" t="s">
        <v>35</v>
      </c>
      <c r="S3108" s="17" t="str">
        <f aca="false">VLOOKUP(R3108,Sheet2!N:O,2,0)</f>
        <v>IREPARABLE</v>
      </c>
      <c r="T3108" s="18" t="str">
        <f aca="false">VLOOKUP(P3108,Sheet2!Q:R,2,0)</f>
        <v>IR Normal - Track burn out</v>
      </c>
      <c r="U3108" s="20" t="s">
        <v>41</v>
      </c>
      <c r="V3108" s="17"/>
      <c r="W3108" s="20" t="e">
        <f aca="false">VLOOKUP(V3108,Sheet2!Q:R,2,0)</f>
        <v>#N/A</v>
      </c>
      <c r="X3108" s="17" t="n">
        <f aca="false">J3108</f>
        <v>0</v>
      </c>
      <c r="Y3108" s="17" t="e">
        <f aca="false">VLOOKUP(X3108,Sheet2!A:B,2,0)</f>
        <v>#N/A</v>
      </c>
      <c r="Z3108" s="17"/>
      <c r="AA3108" s="17"/>
      <c r="AB3108" s="17" t="s">
        <v>41</v>
      </c>
      <c r="AC3108" s="0" t="str">
        <f aca="false">LEFT(G3108,2)</f>
        <v/>
      </c>
    </row>
    <row r="3109" customFormat="false" ht="15" hidden="false" customHeight="false" outlineLevel="0" collapsed="false">
      <c r="A3109" s="13" t="n">
        <f aca="false">1+A3108</f>
        <v>3107</v>
      </c>
      <c r="B3109" s="14" t="n">
        <v>100</v>
      </c>
      <c r="C3109" s="15"/>
      <c r="D3109" s="16" t="s">
        <v>64</v>
      </c>
      <c r="E3109" s="17" t="s">
        <v>47</v>
      </c>
      <c r="F3109" s="18" t="s">
        <v>34</v>
      </c>
      <c r="G3109" s="19"/>
      <c r="H3109" s="17" t="s">
        <v>35</v>
      </c>
      <c r="I3109" s="17" t="s">
        <v>44</v>
      </c>
      <c r="J3109" s="17"/>
      <c r="K3109" s="17" t="e">
        <f aca="false">VLOOKUP(J3109,Sheet2!A:B,2,0)</f>
        <v>#N/A</v>
      </c>
      <c r="L3109" s="17" t="n">
        <v>5</v>
      </c>
      <c r="M3109" s="17" t="str">
        <f aca="false">VLOOKUP(L3109,Sheet2!D:E,2,0)</f>
        <v>Main Processor CPU BGA</v>
      </c>
      <c r="N3109" s="17" t="n">
        <v>1</v>
      </c>
      <c r="O3109" s="17" t="str">
        <f aca="false">VLOOKUP(N3109,Sheet2!G:H,2,0)</f>
        <v>Dead</v>
      </c>
      <c r="P3109" s="17" t="n">
        <v>11</v>
      </c>
      <c r="Q3109" s="17" t="str">
        <f aca="false">VLOOKUP(P3109,Sheet2!J:K,2,0)</f>
        <v>IR Declared due to CID -TA</v>
      </c>
      <c r="R3109" s="17" t="s">
        <v>35</v>
      </c>
      <c r="S3109" s="17" t="str">
        <f aca="false">VLOOKUP(R3109,Sheet2!N:O,2,0)</f>
        <v>IREPARABLE</v>
      </c>
      <c r="T3109" s="18" t="str">
        <f aca="false">VLOOKUP(P3109,Sheet2!Q:R,2,0)</f>
        <v>IR Normal - Track burn out</v>
      </c>
      <c r="U3109" s="20" t="s">
        <v>41</v>
      </c>
      <c r="V3109" s="17"/>
      <c r="W3109" s="20" t="e">
        <f aca="false">VLOOKUP(V3109,Sheet2!Q:R,2,0)</f>
        <v>#N/A</v>
      </c>
      <c r="X3109" s="17" t="n">
        <f aca="false">J3109</f>
        <v>0</v>
      </c>
      <c r="Y3109" s="17" t="e">
        <f aca="false">VLOOKUP(X3109,Sheet2!A:B,2,0)</f>
        <v>#N/A</v>
      </c>
      <c r="Z3109" s="17"/>
      <c r="AA3109" s="17"/>
      <c r="AB3109" s="17" t="s">
        <v>41</v>
      </c>
      <c r="AC3109" s="0" t="str">
        <f aca="false">LEFT(G3109,2)</f>
        <v/>
      </c>
    </row>
    <row r="3110" customFormat="false" ht="15" hidden="false" customHeight="false" outlineLevel="0" collapsed="false">
      <c r="A3110" s="13" t="n">
        <f aca="false">1+A3109</f>
        <v>3108</v>
      </c>
      <c r="B3110" s="14" t="n">
        <v>100</v>
      </c>
      <c r="C3110" s="15"/>
      <c r="D3110" s="16" t="s">
        <v>64</v>
      </c>
      <c r="E3110" s="17" t="s">
        <v>47</v>
      </c>
      <c r="F3110" s="18" t="s">
        <v>34</v>
      </c>
      <c r="G3110" s="19"/>
      <c r="H3110" s="17" t="s">
        <v>35</v>
      </c>
      <c r="I3110" s="17" t="s">
        <v>44</v>
      </c>
      <c r="J3110" s="17"/>
      <c r="K3110" s="17" t="e">
        <f aca="false">VLOOKUP(J3110,Sheet2!A:B,2,0)</f>
        <v>#N/A</v>
      </c>
      <c r="L3110" s="17" t="n">
        <v>5</v>
      </c>
      <c r="M3110" s="17" t="str">
        <f aca="false">VLOOKUP(L3110,Sheet2!D:E,2,0)</f>
        <v>Main Processor CPU BGA</v>
      </c>
      <c r="N3110" s="17" t="n">
        <v>1</v>
      </c>
      <c r="O3110" s="17" t="str">
        <f aca="false">VLOOKUP(N3110,Sheet2!G:H,2,0)</f>
        <v>Dead</v>
      </c>
      <c r="P3110" s="17" t="n">
        <v>11</v>
      </c>
      <c r="Q3110" s="17" t="str">
        <f aca="false">VLOOKUP(P3110,Sheet2!J:K,2,0)</f>
        <v>IR Declared due to CID -TA</v>
      </c>
      <c r="R3110" s="17" t="s">
        <v>35</v>
      </c>
      <c r="S3110" s="17" t="str">
        <f aca="false">VLOOKUP(R3110,Sheet2!N:O,2,0)</f>
        <v>IREPARABLE</v>
      </c>
      <c r="T3110" s="18" t="str">
        <f aca="false">VLOOKUP(P3110,Sheet2!Q:R,2,0)</f>
        <v>IR Normal - Track burn out</v>
      </c>
      <c r="U3110" s="20" t="s">
        <v>41</v>
      </c>
      <c r="V3110" s="17"/>
      <c r="W3110" s="20" t="e">
        <f aca="false">VLOOKUP(V3110,Sheet2!Q:R,2,0)</f>
        <v>#N/A</v>
      </c>
      <c r="X3110" s="17" t="n">
        <f aca="false">J3110</f>
        <v>0</v>
      </c>
      <c r="Y3110" s="17" t="e">
        <f aca="false">VLOOKUP(X3110,Sheet2!A:B,2,0)</f>
        <v>#N/A</v>
      </c>
      <c r="Z3110" s="17"/>
      <c r="AA3110" s="17"/>
      <c r="AB3110" s="17" t="s">
        <v>41</v>
      </c>
      <c r="AC3110" s="0" t="str">
        <f aca="false">LEFT(G3110,2)</f>
        <v/>
      </c>
    </row>
    <row r="3111" customFormat="false" ht="15" hidden="false" customHeight="false" outlineLevel="0" collapsed="false">
      <c r="A3111" s="13" t="n">
        <f aca="false">1+A3110</f>
        <v>3109</v>
      </c>
      <c r="B3111" s="14" t="n">
        <v>100</v>
      </c>
      <c r="C3111" s="15"/>
      <c r="D3111" s="16" t="s">
        <v>64</v>
      </c>
      <c r="E3111" s="17" t="s">
        <v>47</v>
      </c>
      <c r="F3111" s="18" t="s">
        <v>34</v>
      </c>
      <c r="G3111" s="19"/>
      <c r="H3111" s="17" t="s">
        <v>35</v>
      </c>
      <c r="I3111" s="17" t="s">
        <v>44</v>
      </c>
      <c r="J3111" s="17"/>
      <c r="K3111" s="17" t="e">
        <f aca="false">VLOOKUP(J3111,Sheet2!A:B,2,0)</f>
        <v>#N/A</v>
      </c>
      <c r="L3111" s="17" t="n">
        <v>5</v>
      </c>
      <c r="M3111" s="17" t="str">
        <f aca="false">VLOOKUP(L3111,Sheet2!D:E,2,0)</f>
        <v>Main Processor CPU BGA</v>
      </c>
      <c r="N3111" s="17" t="n">
        <v>1</v>
      </c>
      <c r="O3111" s="17" t="str">
        <f aca="false">VLOOKUP(N3111,Sheet2!G:H,2,0)</f>
        <v>Dead</v>
      </c>
      <c r="P3111" s="17" t="n">
        <v>11</v>
      </c>
      <c r="Q3111" s="17" t="str">
        <f aca="false">VLOOKUP(P3111,Sheet2!J:K,2,0)</f>
        <v>IR Declared due to CID -TA</v>
      </c>
      <c r="R3111" s="17" t="s">
        <v>35</v>
      </c>
      <c r="S3111" s="17" t="str">
        <f aca="false">VLOOKUP(R3111,Sheet2!N:O,2,0)</f>
        <v>IREPARABLE</v>
      </c>
      <c r="T3111" s="18" t="str">
        <f aca="false">VLOOKUP(P3111,Sheet2!Q:R,2,0)</f>
        <v>IR Normal - Track burn out</v>
      </c>
      <c r="U3111" s="20" t="s">
        <v>41</v>
      </c>
      <c r="V3111" s="17"/>
      <c r="W3111" s="20" t="e">
        <f aca="false">VLOOKUP(V3111,Sheet2!Q:R,2,0)</f>
        <v>#N/A</v>
      </c>
      <c r="X3111" s="17" t="n">
        <f aca="false">J3111</f>
        <v>0</v>
      </c>
      <c r="Y3111" s="17" t="e">
        <f aca="false">VLOOKUP(X3111,Sheet2!A:B,2,0)</f>
        <v>#N/A</v>
      </c>
      <c r="Z3111" s="17"/>
      <c r="AA3111" s="17"/>
      <c r="AB3111" s="17" t="s">
        <v>41</v>
      </c>
      <c r="AC3111" s="0" t="str">
        <f aca="false">LEFT(G3111,2)</f>
        <v/>
      </c>
    </row>
    <row r="3112" customFormat="false" ht="15" hidden="false" customHeight="false" outlineLevel="0" collapsed="false">
      <c r="A3112" s="13" t="n">
        <f aca="false">1+A3111</f>
        <v>3110</v>
      </c>
      <c r="B3112" s="14" t="n">
        <v>100</v>
      </c>
      <c r="C3112" s="15"/>
      <c r="D3112" s="16" t="s">
        <v>64</v>
      </c>
      <c r="E3112" s="17" t="s">
        <v>47</v>
      </c>
      <c r="F3112" s="18" t="s">
        <v>34</v>
      </c>
      <c r="G3112" s="19"/>
      <c r="H3112" s="17" t="s">
        <v>35</v>
      </c>
      <c r="I3112" s="17" t="s">
        <v>44</v>
      </c>
      <c r="J3112" s="17"/>
      <c r="K3112" s="17" t="e">
        <f aca="false">VLOOKUP(J3112,Sheet2!A:B,2,0)</f>
        <v>#N/A</v>
      </c>
      <c r="L3112" s="17" t="n">
        <v>5</v>
      </c>
      <c r="M3112" s="17" t="str">
        <f aca="false">VLOOKUP(L3112,Sheet2!D:E,2,0)</f>
        <v>Main Processor CPU BGA</v>
      </c>
      <c r="N3112" s="17" t="n">
        <v>1</v>
      </c>
      <c r="O3112" s="17" t="str">
        <f aca="false">VLOOKUP(N3112,Sheet2!G:H,2,0)</f>
        <v>Dead</v>
      </c>
      <c r="P3112" s="17" t="n">
        <v>11</v>
      </c>
      <c r="Q3112" s="17" t="str">
        <f aca="false">VLOOKUP(P3112,Sheet2!J:K,2,0)</f>
        <v>IR Declared due to CID -TA</v>
      </c>
      <c r="R3112" s="17" t="s">
        <v>35</v>
      </c>
      <c r="S3112" s="17" t="str">
        <f aca="false">VLOOKUP(R3112,Sheet2!N:O,2,0)</f>
        <v>IREPARABLE</v>
      </c>
      <c r="T3112" s="18" t="str">
        <f aca="false">VLOOKUP(P3112,Sheet2!Q:R,2,0)</f>
        <v>IR Normal - Track burn out</v>
      </c>
      <c r="U3112" s="20" t="s">
        <v>41</v>
      </c>
      <c r="V3112" s="17"/>
      <c r="W3112" s="20" t="e">
        <f aca="false">VLOOKUP(V3112,Sheet2!Q:R,2,0)</f>
        <v>#N/A</v>
      </c>
      <c r="X3112" s="17" t="n">
        <f aca="false">J3112</f>
        <v>0</v>
      </c>
      <c r="Y3112" s="17" t="e">
        <f aca="false">VLOOKUP(X3112,Sheet2!A:B,2,0)</f>
        <v>#N/A</v>
      </c>
      <c r="Z3112" s="17"/>
      <c r="AA3112" s="17"/>
      <c r="AB3112" s="17" t="s">
        <v>41</v>
      </c>
      <c r="AC3112" s="0" t="str">
        <f aca="false">LEFT(G3112,2)</f>
        <v/>
      </c>
    </row>
    <row r="3113" customFormat="false" ht="15" hidden="false" customHeight="false" outlineLevel="0" collapsed="false">
      <c r="A3113" s="13" t="n">
        <f aca="false">1+A3112</f>
        <v>3111</v>
      </c>
      <c r="B3113" s="14" t="n">
        <v>100</v>
      </c>
      <c r="C3113" s="15"/>
      <c r="D3113" s="16" t="s">
        <v>64</v>
      </c>
      <c r="E3113" s="17" t="s">
        <v>47</v>
      </c>
      <c r="F3113" s="18" t="s">
        <v>34</v>
      </c>
      <c r="G3113" s="19"/>
      <c r="H3113" s="17" t="s">
        <v>35</v>
      </c>
      <c r="I3113" s="17" t="s">
        <v>44</v>
      </c>
      <c r="J3113" s="17"/>
      <c r="K3113" s="17" t="e">
        <f aca="false">VLOOKUP(J3113,Sheet2!A:B,2,0)</f>
        <v>#N/A</v>
      </c>
      <c r="L3113" s="17" t="n">
        <v>5</v>
      </c>
      <c r="M3113" s="17" t="str">
        <f aca="false">VLOOKUP(L3113,Sheet2!D:E,2,0)</f>
        <v>Main Processor CPU BGA</v>
      </c>
      <c r="N3113" s="17" t="n">
        <v>1</v>
      </c>
      <c r="O3113" s="17" t="str">
        <f aca="false">VLOOKUP(N3113,Sheet2!G:H,2,0)</f>
        <v>Dead</v>
      </c>
      <c r="P3113" s="17" t="n">
        <v>11</v>
      </c>
      <c r="Q3113" s="17" t="str">
        <f aca="false">VLOOKUP(P3113,Sheet2!J:K,2,0)</f>
        <v>IR Declared due to CID -TA</v>
      </c>
      <c r="R3113" s="17" t="s">
        <v>35</v>
      </c>
      <c r="S3113" s="17" t="str">
        <f aca="false">VLOOKUP(R3113,Sheet2!N:O,2,0)</f>
        <v>IREPARABLE</v>
      </c>
      <c r="T3113" s="18" t="str">
        <f aca="false">VLOOKUP(P3113,Sheet2!Q:R,2,0)</f>
        <v>IR Normal - Track burn out</v>
      </c>
      <c r="U3113" s="20" t="s">
        <v>41</v>
      </c>
      <c r="V3113" s="17"/>
      <c r="W3113" s="20" t="e">
        <f aca="false">VLOOKUP(V3113,Sheet2!Q:R,2,0)</f>
        <v>#N/A</v>
      </c>
      <c r="X3113" s="17" t="n">
        <f aca="false">J3113</f>
        <v>0</v>
      </c>
      <c r="Y3113" s="17" t="e">
        <f aca="false">VLOOKUP(X3113,Sheet2!A:B,2,0)</f>
        <v>#N/A</v>
      </c>
      <c r="Z3113" s="17"/>
      <c r="AA3113" s="17"/>
      <c r="AB3113" s="17" t="s">
        <v>41</v>
      </c>
      <c r="AC3113" s="0" t="str">
        <f aca="false">LEFT(G3113,2)</f>
        <v/>
      </c>
    </row>
    <row r="3114" customFormat="false" ht="15" hidden="false" customHeight="false" outlineLevel="0" collapsed="false">
      <c r="A3114" s="13" t="n">
        <f aca="false">1+A3113</f>
        <v>3112</v>
      </c>
      <c r="B3114" s="14" t="n">
        <v>100</v>
      </c>
      <c r="C3114" s="15"/>
      <c r="D3114" s="16" t="s">
        <v>64</v>
      </c>
      <c r="E3114" s="17" t="s">
        <v>47</v>
      </c>
      <c r="F3114" s="18" t="s">
        <v>34</v>
      </c>
      <c r="G3114" s="19"/>
      <c r="H3114" s="17" t="s">
        <v>35</v>
      </c>
      <c r="I3114" s="17" t="s">
        <v>44</v>
      </c>
      <c r="J3114" s="17"/>
      <c r="K3114" s="17" t="e">
        <f aca="false">VLOOKUP(J3114,Sheet2!A:B,2,0)</f>
        <v>#N/A</v>
      </c>
      <c r="L3114" s="17" t="n">
        <v>5</v>
      </c>
      <c r="M3114" s="17" t="str">
        <f aca="false">VLOOKUP(L3114,Sheet2!D:E,2,0)</f>
        <v>Main Processor CPU BGA</v>
      </c>
      <c r="N3114" s="17" t="n">
        <v>1</v>
      </c>
      <c r="O3114" s="17" t="str">
        <f aca="false">VLOOKUP(N3114,Sheet2!G:H,2,0)</f>
        <v>Dead</v>
      </c>
      <c r="P3114" s="17" t="n">
        <v>11</v>
      </c>
      <c r="Q3114" s="17" t="str">
        <f aca="false">VLOOKUP(P3114,Sheet2!J:K,2,0)</f>
        <v>IR Declared due to CID -TA</v>
      </c>
      <c r="R3114" s="17" t="s">
        <v>35</v>
      </c>
      <c r="S3114" s="17" t="str">
        <f aca="false">VLOOKUP(R3114,Sheet2!N:O,2,0)</f>
        <v>IREPARABLE</v>
      </c>
      <c r="T3114" s="18" t="str">
        <f aca="false">VLOOKUP(P3114,Sheet2!Q:R,2,0)</f>
        <v>IR Normal - Track burn out</v>
      </c>
      <c r="U3114" s="20" t="s">
        <v>41</v>
      </c>
      <c r="V3114" s="17"/>
      <c r="W3114" s="20" t="e">
        <f aca="false">VLOOKUP(V3114,Sheet2!Q:R,2,0)</f>
        <v>#N/A</v>
      </c>
      <c r="X3114" s="17" t="n">
        <f aca="false">J3114</f>
        <v>0</v>
      </c>
      <c r="Y3114" s="17" t="e">
        <f aca="false">VLOOKUP(X3114,Sheet2!A:B,2,0)</f>
        <v>#N/A</v>
      </c>
      <c r="Z3114" s="17"/>
      <c r="AA3114" s="17"/>
      <c r="AB3114" s="17" t="s">
        <v>41</v>
      </c>
      <c r="AC3114" s="0" t="str">
        <f aca="false">LEFT(G3114,2)</f>
        <v/>
      </c>
    </row>
    <row r="3115" customFormat="false" ht="15" hidden="false" customHeight="false" outlineLevel="0" collapsed="false">
      <c r="A3115" s="13" t="n">
        <f aca="false">1+A3114</f>
        <v>3113</v>
      </c>
      <c r="B3115" s="14" t="n">
        <v>100</v>
      </c>
      <c r="C3115" s="15"/>
      <c r="D3115" s="16" t="s">
        <v>64</v>
      </c>
      <c r="E3115" s="17" t="s">
        <v>47</v>
      </c>
      <c r="F3115" s="18" t="s">
        <v>34</v>
      </c>
      <c r="G3115" s="19"/>
      <c r="H3115" s="17" t="s">
        <v>35</v>
      </c>
      <c r="I3115" s="17" t="s">
        <v>44</v>
      </c>
      <c r="J3115" s="17"/>
      <c r="K3115" s="17" t="e">
        <f aca="false">VLOOKUP(J3115,Sheet2!A:B,2,0)</f>
        <v>#N/A</v>
      </c>
      <c r="L3115" s="17" t="n">
        <v>5</v>
      </c>
      <c r="M3115" s="17" t="str">
        <f aca="false">VLOOKUP(L3115,Sheet2!D:E,2,0)</f>
        <v>Main Processor CPU BGA</v>
      </c>
      <c r="N3115" s="17" t="n">
        <v>1</v>
      </c>
      <c r="O3115" s="17" t="str">
        <f aca="false">VLOOKUP(N3115,Sheet2!G:H,2,0)</f>
        <v>Dead</v>
      </c>
      <c r="P3115" s="17" t="n">
        <v>11</v>
      </c>
      <c r="Q3115" s="17" t="str">
        <f aca="false">VLOOKUP(P3115,Sheet2!J:K,2,0)</f>
        <v>IR Declared due to CID -TA</v>
      </c>
      <c r="R3115" s="17" t="s">
        <v>35</v>
      </c>
      <c r="S3115" s="17" t="str">
        <f aca="false">VLOOKUP(R3115,Sheet2!N:O,2,0)</f>
        <v>IREPARABLE</v>
      </c>
      <c r="T3115" s="18" t="str">
        <f aca="false">VLOOKUP(P3115,Sheet2!Q:R,2,0)</f>
        <v>IR Normal - Track burn out</v>
      </c>
      <c r="U3115" s="20" t="s">
        <v>41</v>
      </c>
      <c r="V3115" s="17"/>
      <c r="W3115" s="20" t="e">
        <f aca="false">VLOOKUP(V3115,Sheet2!Q:R,2,0)</f>
        <v>#N/A</v>
      </c>
      <c r="X3115" s="17" t="n">
        <f aca="false">J3115</f>
        <v>0</v>
      </c>
      <c r="Y3115" s="17" t="e">
        <f aca="false">VLOOKUP(X3115,Sheet2!A:B,2,0)</f>
        <v>#N/A</v>
      </c>
      <c r="Z3115" s="17"/>
      <c r="AA3115" s="17"/>
      <c r="AB3115" s="17" t="s">
        <v>41</v>
      </c>
      <c r="AC3115" s="0" t="str">
        <f aca="false">LEFT(G3115,2)</f>
        <v/>
      </c>
    </row>
    <row r="3116" customFormat="false" ht="15" hidden="false" customHeight="false" outlineLevel="0" collapsed="false">
      <c r="A3116" s="13" t="n">
        <f aca="false">1+A3115</f>
        <v>3114</v>
      </c>
      <c r="B3116" s="14" t="n">
        <v>100</v>
      </c>
      <c r="C3116" s="15"/>
      <c r="D3116" s="16" t="s">
        <v>64</v>
      </c>
      <c r="E3116" s="17" t="s">
        <v>47</v>
      </c>
      <c r="F3116" s="18" t="s">
        <v>34</v>
      </c>
      <c r="G3116" s="19"/>
      <c r="H3116" s="17" t="s">
        <v>35</v>
      </c>
      <c r="I3116" s="17" t="s">
        <v>44</v>
      </c>
      <c r="J3116" s="17"/>
      <c r="K3116" s="17" t="e">
        <f aca="false">VLOOKUP(J3116,Sheet2!A:B,2,0)</f>
        <v>#N/A</v>
      </c>
      <c r="L3116" s="17" t="n">
        <v>5</v>
      </c>
      <c r="M3116" s="17" t="str">
        <f aca="false">VLOOKUP(L3116,Sheet2!D:E,2,0)</f>
        <v>Main Processor CPU BGA</v>
      </c>
      <c r="N3116" s="17" t="n">
        <v>1</v>
      </c>
      <c r="O3116" s="17" t="str">
        <f aca="false">VLOOKUP(N3116,Sheet2!G:H,2,0)</f>
        <v>Dead</v>
      </c>
      <c r="P3116" s="17" t="n">
        <v>11</v>
      </c>
      <c r="Q3116" s="17" t="str">
        <f aca="false">VLOOKUP(P3116,Sheet2!J:K,2,0)</f>
        <v>IR Declared due to CID -TA</v>
      </c>
      <c r="R3116" s="17" t="s">
        <v>35</v>
      </c>
      <c r="S3116" s="17" t="str">
        <f aca="false">VLOOKUP(R3116,Sheet2!N:O,2,0)</f>
        <v>IREPARABLE</v>
      </c>
      <c r="T3116" s="18" t="str">
        <f aca="false">VLOOKUP(P3116,Sheet2!Q:R,2,0)</f>
        <v>IR Normal - Track burn out</v>
      </c>
      <c r="U3116" s="20" t="s">
        <v>41</v>
      </c>
      <c r="V3116" s="17"/>
      <c r="W3116" s="20" t="e">
        <f aca="false">VLOOKUP(V3116,Sheet2!Q:R,2,0)</f>
        <v>#N/A</v>
      </c>
      <c r="X3116" s="17" t="n">
        <f aca="false">J3116</f>
        <v>0</v>
      </c>
      <c r="Y3116" s="17" t="e">
        <f aca="false">VLOOKUP(X3116,Sheet2!A:B,2,0)</f>
        <v>#N/A</v>
      </c>
      <c r="Z3116" s="17"/>
      <c r="AA3116" s="17"/>
      <c r="AB3116" s="17" t="s">
        <v>41</v>
      </c>
      <c r="AC3116" s="0" t="str">
        <f aca="false">LEFT(G3116,2)</f>
        <v/>
      </c>
    </row>
    <row r="3117" customFormat="false" ht="15" hidden="false" customHeight="false" outlineLevel="0" collapsed="false">
      <c r="A3117" s="13" t="n">
        <f aca="false">1+A3116</f>
        <v>3115</v>
      </c>
      <c r="B3117" s="14" t="n">
        <v>100</v>
      </c>
      <c r="C3117" s="15"/>
      <c r="D3117" s="16" t="s">
        <v>64</v>
      </c>
      <c r="E3117" s="17" t="s">
        <v>47</v>
      </c>
      <c r="F3117" s="18" t="s">
        <v>34</v>
      </c>
      <c r="G3117" s="19"/>
      <c r="H3117" s="17" t="s">
        <v>35</v>
      </c>
      <c r="I3117" s="17" t="s">
        <v>44</v>
      </c>
      <c r="J3117" s="17"/>
      <c r="K3117" s="17" t="e">
        <f aca="false">VLOOKUP(J3117,Sheet2!A:B,2,0)</f>
        <v>#N/A</v>
      </c>
      <c r="L3117" s="17" t="n">
        <v>5</v>
      </c>
      <c r="M3117" s="17" t="str">
        <f aca="false">VLOOKUP(L3117,Sheet2!D:E,2,0)</f>
        <v>Main Processor CPU BGA</v>
      </c>
      <c r="N3117" s="17" t="n">
        <v>1</v>
      </c>
      <c r="O3117" s="17" t="str">
        <f aca="false">VLOOKUP(N3117,Sheet2!G:H,2,0)</f>
        <v>Dead</v>
      </c>
      <c r="P3117" s="17" t="n">
        <v>11</v>
      </c>
      <c r="Q3117" s="17" t="str">
        <f aca="false">VLOOKUP(P3117,Sheet2!J:K,2,0)</f>
        <v>IR Declared due to CID -TA</v>
      </c>
      <c r="R3117" s="17" t="s">
        <v>35</v>
      </c>
      <c r="S3117" s="17" t="str">
        <f aca="false">VLOOKUP(R3117,Sheet2!N:O,2,0)</f>
        <v>IREPARABLE</v>
      </c>
      <c r="T3117" s="18" t="str">
        <f aca="false">VLOOKUP(P3117,Sheet2!Q:R,2,0)</f>
        <v>IR Normal - Track burn out</v>
      </c>
      <c r="U3117" s="20" t="s">
        <v>41</v>
      </c>
      <c r="V3117" s="17"/>
      <c r="W3117" s="20" t="e">
        <f aca="false">VLOOKUP(V3117,Sheet2!Q:R,2,0)</f>
        <v>#N/A</v>
      </c>
      <c r="X3117" s="17" t="n">
        <f aca="false">J3117</f>
        <v>0</v>
      </c>
      <c r="Y3117" s="17" t="e">
        <f aca="false">VLOOKUP(X3117,Sheet2!A:B,2,0)</f>
        <v>#N/A</v>
      </c>
      <c r="Z3117" s="17"/>
      <c r="AA3117" s="17"/>
      <c r="AB3117" s="17" t="s">
        <v>41</v>
      </c>
      <c r="AC3117" s="0" t="str">
        <f aca="false">LEFT(G3117,2)</f>
        <v/>
      </c>
    </row>
    <row r="3118" customFormat="false" ht="15" hidden="false" customHeight="false" outlineLevel="0" collapsed="false">
      <c r="A3118" s="13" t="n">
        <f aca="false">1+A3117</f>
        <v>3116</v>
      </c>
      <c r="B3118" s="14" t="n">
        <v>100</v>
      </c>
      <c r="C3118" s="15"/>
      <c r="D3118" s="16" t="s">
        <v>64</v>
      </c>
      <c r="E3118" s="17" t="s">
        <v>47</v>
      </c>
      <c r="F3118" s="18" t="s">
        <v>34</v>
      </c>
      <c r="G3118" s="19"/>
      <c r="H3118" s="17" t="s">
        <v>35</v>
      </c>
      <c r="I3118" s="17" t="s">
        <v>44</v>
      </c>
      <c r="J3118" s="17"/>
      <c r="K3118" s="17" t="e">
        <f aca="false">VLOOKUP(J3118,Sheet2!A:B,2,0)</f>
        <v>#N/A</v>
      </c>
      <c r="L3118" s="17" t="n">
        <v>5</v>
      </c>
      <c r="M3118" s="17" t="str">
        <f aca="false">VLOOKUP(L3118,Sheet2!D:E,2,0)</f>
        <v>Main Processor CPU BGA</v>
      </c>
      <c r="N3118" s="17" t="n">
        <v>1</v>
      </c>
      <c r="O3118" s="17" t="str">
        <f aca="false">VLOOKUP(N3118,Sheet2!G:H,2,0)</f>
        <v>Dead</v>
      </c>
      <c r="P3118" s="17" t="n">
        <v>11</v>
      </c>
      <c r="Q3118" s="17" t="str">
        <f aca="false">VLOOKUP(P3118,Sheet2!J:K,2,0)</f>
        <v>IR Declared due to CID -TA</v>
      </c>
      <c r="R3118" s="17" t="s">
        <v>35</v>
      </c>
      <c r="S3118" s="17" t="str">
        <f aca="false">VLOOKUP(R3118,Sheet2!N:O,2,0)</f>
        <v>IREPARABLE</v>
      </c>
      <c r="T3118" s="18" t="str">
        <f aca="false">VLOOKUP(P3118,Sheet2!Q:R,2,0)</f>
        <v>IR Normal - Track burn out</v>
      </c>
      <c r="U3118" s="20" t="s">
        <v>41</v>
      </c>
      <c r="V3118" s="17"/>
      <c r="W3118" s="20" t="e">
        <f aca="false">VLOOKUP(V3118,Sheet2!Q:R,2,0)</f>
        <v>#N/A</v>
      </c>
      <c r="X3118" s="17" t="n">
        <f aca="false">J3118</f>
        <v>0</v>
      </c>
      <c r="Y3118" s="17" t="e">
        <f aca="false">VLOOKUP(X3118,Sheet2!A:B,2,0)</f>
        <v>#N/A</v>
      </c>
      <c r="Z3118" s="17"/>
      <c r="AA3118" s="17"/>
      <c r="AB3118" s="17" t="s">
        <v>41</v>
      </c>
      <c r="AC3118" s="0" t="str">
        <f aca="false">LEFT(G3118,2)</f>
        <v/>
      </c>
    </row>
    <row r="3119" customFormat="false" ht="15" hidden="false" customHeight="false" outlineLevel="0" collapsed="false">
      <c r="A3119" s="13" t="n">
        <f aca="false">1+A3118</f>
        <v>3117</v>
      </c>
      <c r="B3119" s="14" t="n">
        <v>100</v>
      </c>
      <c r="C3119" s="15"/>
      <c r="D3119" s="16" t="s">
        <v>64</v>
      </c>
      <c r="E3119" s="17" t="s">
        <v>47</v>
      </c>
      <c r="F3119" s="18" t="s">
        <v>34</v>
      </c>
      <c r="G3119" s="19"/>
      <c r="H3119" s="17" t="s">
        <v>35</v>
      </c>
      <c r="I3119" s="17" t="s">
        <v>44</v>
      </c>
      <c r="J3119" s="17"/>
      <c r="K3119" s="17" t="e">
        <f aca="false">VLOOKUP(J3119,Sheet2!A:B,2,0)</f>
        <v>#N/A</v>
      </c>
      <c r="L3119" s="17" t="n">
        <v>5</v>
      </c>
      <c r="M3119" s="17" t="str">
        <f aca="false">VLOOKUP(L3119,Sheet2!D:E,2,0)</f>
        <v>Main Processor CPU BGA</v>
      </c>
      <c r="N3119" s="17" t="n">
        <v>1</v>
      </c>
      <c r="O3119" s="17" t="str">
        <f aca="false">VLOOKUP(N3119,Sheet2!G:H,2,0)</f>
        <v>Dead</v>
      </c>
      <c r="P3119" s="17" t="n">
        <v>11</v>
      </c>
      <c r="Q3119" s="17" t="str">
        <f aca="false">VLOOKUP(P3119,Sheet2!J:K,2,0)</f>
        <v>IR Declared due to CID -TA</v>
      </c>
      <c r="R3119" s="17" t="s">
        <v>35</v>
      </c>
      <c r="S3119" s="17" t="str">
        <f aca="false">VLOOKUP(R3119,Sheet2!N:O,2,0)</f>
        <v>IREPARABLE</v>
      </c>
      <c r="T3119" s="18" t="str">
        <f aca="false">VLOOKUP(P3119,Sheet2!Q:R,2,0)</f>
        <v>IR Normal - Track burn out</v>
      </c>
      <c r="U3119" s="20" t="s">
        <v>41</v>
      </c>
      <c r="V3119" s="17"/>
      <c r="W3119" s="20" t="e">
        <f aca="false">VLOOKUP(V3119,Sheet2!Q:R,2,0)</f>
        <v>#N/A</v>
      </c>
      <c r="X3119" s="17" t="n">
        <f aca="false">J3119</f>
        <v>0</v>
      </c>
      <c r="Y3119" s="17" t="e">
        <f aca="false">VLOOKUP(X3119,Sheet2!A:B,2,0)</f>
        <v>#N/A</v>
      </c>
      <c r="Z3119" s="17"/>
      <c r="AA3119" s="17"/>
      <c r="AB3119" s="17" t="s">
        <v>41</v>
      </c>
      <c r="AC3119" s="0" t="str">
        <f aca="false">LEFT(G3119,2)</f>
        <v/>
      </c>
    </row>
    <row r="3120" customFormat="false" ht="15" hidden="false" customHeight="false" outlineLevel="0" collapsed="false">
      <c r="A3120" s="13" t="n">
        <f aca="false">1+A3119</f>
        <v>3118</v>
      </c>
      <c r="B3120" s="14" t="n">
        <v>100</v>
      </c>
      <c r="C3120" s="15"/>
      <c r="D3120" s="16" t="s">
        <v>64</v>
      </c>
      <c r="E3120" s="17" t="s">
        <v>47</v>
      </c>
      <c r="F3120" s="18" t="s">
        <v>34</v>
      </c>
      <c r="G3120" s="19"/>
      <c r="H3120" s="17" t="s">
        <v>35</v>
      </c>
      <c r="I3120" s="17" t="s">
        <v>44</v>
      </c>
      <c r="J3120" s="17"/>
      <c r="K3120" s="17" t="e">
        <f aca="false">VLOOKUP(J3120,Sheet2!A:B,2,0)</f>
        <v>#N/A</v>
      </c>
      <c r="L3120" s="17" t="n">
        <v>5</v>
      </c>
      <c r="M3120" s="17" t="str">
        <f aca="false">VLOOKUP(L3120,Sheet2!D:E,2,0)</f>
        <v>Main Processor CPU BGA</v>
      </c>
      <c r="N3120" s="17" t="n">
        <v>1</v>
      </c>
      <c r="O3120" s="17" t="str">
        <f aca="false">VLOOKUP(N3120,Sheet2!G:H,2,0)</f>
        <v>Dead</v>
      </c>
      <c r="P3120" s="17" t="n">
        <v>11</v>
      </c>
      <c r="Q3120" s="17" t="str">
        <f aca="false">VLOOKUP(P3120,Sheet2!J:K,2,0)</f>
        <v>IR Declared due to CID -TA</v>
      </c>
      <c r="R3120" s="17" t="s">
        <v>35</v>
      </c>
      <c r="S3120" s="17" t="str">
        <f aca="false">VLOOKUP(R3120,Sheet2!N:O,2,0)</f>
        <v>IREPARABLE</v>
      </c>
      <c r="T3120" s="18" t="str">
        <f aca="false">VLOOKUP(P3120,Sheet2!Q:R,2,0)</f>
        <v>IR Normal - Track burn out</v>
      </c>
      <c r="U3120" s="20" t="s">
        <v>41</v>
      </c>
      <c r="V3120" s="17"/>
      <c r="W3120" s="20" t="e">
        <f aca="false">VLOOKUP(V3120,Sheet2!Q:R,2,0)</f>
        <v>#N/A</v>
      </c>
      <c r="X3120" s="17" t="n">
        <f aca="false">J3120</f>
        <v>0</v>
      </c>
      <c r="Y3120" s="17" t="e">
        <f aca="false">VLOOKUP(X3120,Sheet2!A:B,2,0)</f>
        <v>#N/A</v>
      </c>
      <c r="Z3120" s="17"/>
      <c r="AA3120" s="17"/>
      <c r="AB3120" s="17" t="s">
        <v>41</v>
      </c>
      <c r="AC3120" s="0" t="str">
        <f aca="false">LEFT(G3120,2)</f>
        <v/>
      </c>
    </row>
    <row r="3121" customFormat="false" ht="15" hidden="false" customHeight="false" outlineLevel="0" collapsed="false">
      <c r="A3121" s="13" t="n">
        <f aca="false">1+A3120</f>
        <v>3119</v>
      </c>
      <c r="B3121" s="14" t="n">
        <v>100</v>
      </c>
      <c r="C3121" s="15"/>
      <c r="D3121" s="16" t="s">
        <v>64</v>
      </c>
      <c r="E3121" s="17" t="s">
        <v>47</v>
      </c>
      <c r="F3121" s="18" t="s">
        <v>34</v>
      </c>
      <c r="G3121" s="19"/>
      <c r="H3121" s="17" t="s">
        <v>35</v>
      </c>
      <c r="I3121" s="17" t="s">
        <v>44</v>
      </c>
      <c r="J3121" s="17"/>
      <c r="K3121" s="17" t="e">
        <f aca="false">VLOOKUP(J3121,Sheet2!A:B,2,0)</f>
        <v>#N/A</v>
      </c>
      <c r="L3121" s="17" t="n">
        <v>5</v>
      </c>
      <c r="M3121" s="17" t="str">
        <f aca="false">VLOOKUP(L3121,Sheet2!D:E,2,0)</f>
        <v>Main Processor CPU BGA</v>
      </c>
      <c r="N3121" s="17" t="n">
        <v>1</v>
      </c>
      <c r="O3121" s="17" t="str">
        <f aca="false">VLOOKUP(N3121,Sheet2!G:H,2,0)</f>
        <v>Dead</v>
      </c>
      <c r="P3121" s="17" t="n">
        <v>11</v>
      </c>
      <c r="Q3121" s="17" t="str">
        <f aca="false">VLOOKUP(P3121,Sheet2!J:K,2,0)</f>
        <v>IR Declared due to CID -TA</v>
      </c>
      <c r="R3121" s="17" t="s">
        <v>35</v>
      </c>
      <c r="S3121" s="17" t="str">
        <f aca="false">VLOOKUP(R3121,Sheet2!N:O,2,0)</f>
        <v>IREPARABLE</v>
      </c>
      <c r="T3121" s="18" t="str">
        <f aca="false">VLOOKUP(P3121,Sheet2!Q:R,2,0)</f>
        <v>IR Normal - Track burn out</v>
      </c>
      <c r="U3121" s="20" t="s">
        <v>41</v>
      </c>
      <c r="V3121" s="17"/>
      <c r="W3121" s="20" t="e">
        <f aca="false">VLOOKUP(V3121,Sheet2!Q:R,2,0)</f>
        <v>#N/A</v>
      </c>
      <c r="X3121" s="17" t="n">
        <f aca="false">J3121</f>
        <v>0</v>
      </c>
      <c r="Y3121" s="17" t="e">
        <f aca="false">VLOOKUP(X3121,Sheet2!A:B,2,0)</f>
        <v>#N/A</v>
      </c>
      <c r="Z3121" s="17"/>
      <c r="AA3121" s="17"/>
      <c r="AB3121" s="17" t="s">
        <v>41</v>
      </c>
      <c r="AC3121" s="0" t="str">
        <f aca="false">LEFT(G3121,2)</f>
        <v/>
      </c>
    </row>
    <row r="3122" customFormat="false" ht="15" hidden="false" customHeight="false" outlineLevel="0" collapsed="false">
      <c r="A3122" s="13" t="n">
        <f aca="false">1+A3121</f>
        <v>3120</v>
      </c>
      <c r="B3122" s="14" t="n">
        <v>100</v>
      </c>
      <c r="C3122" s="15"/>
      <c r="D3122" s="16" t="s">
        <v>64</v>
      </c>
      <c r="E3122" s="17" t="s">
        <v>47</v>
      </c>
      <c r="F3122" s="18" t="s">
        <v>34</v>
      </c>
      <c r="G3122" s="19"/>
      <c r="H3122" s="17" t="s">
        <v>35</v>
      </c>
      <c r="I3122" s="17" t="s">
        <v>44</v>
      </c>
      <c r="J3122" s="17"/>
      <c r="K3122" s="17" t="e">
        <f aca="false">VLOOKUP(J3122,Sheet2!A:B,2,0)</f>
        <v>#N/A</v>
      </c>
      <c r="L3122" s="17" t="n">
        <v>5</v>
      </c>
      <c r="M3122" s="17" t="str">
        <f aca="false">VLOOKUP(L3122,Sheet2!D:E,2,0)</f>
        <v>Main Processor CPU BGA</v>
      </c>
      <c r="N3122" s="17" t="n">
        <v>1</v>
      </c>
      <c r="O3122" s="17" t="str">
        <f aca="false">VLOOKUP(N3122,Sheet2!G:H,2,0)</f>
        <v>Dead</v>
      </c>
      <c r="P3122" s="17" t="n">
        <v>11</v>
      </c>
      <c r="Q3122" s="17" t="str">
        <f aca="false">VLOOKUP(P3122,Sheet2!J:K,2,0)</f>
        <v>IR Declared due to CID -TA</v>
      </c>
      <c r="R3122" s="17" t="s">
        <v>35</v>
      </c>
      <c r="S3122" s="17" t="str">
        <f aca="false">VLOOKUP(R3122,Sheet2!N:O,2,0)</f>
        <v>IREPARABLE</v>
      </c>
      <c r="T3122" s="18" t="str">
        <f aca="false">VLOOKUP(P3122,Sheet2!Q:R,2,0)</f>
        <v>IR Normal - Track burn out</v>
      </c>
      <c r="U3122" s="20" t="s">
        <v>41</v>
      </c>
      <c r="V3122" s="17"/>
      <c r="W3122" s="20" t="e">
        <f aca="false">VLOOKUP(V3122,Sheet2!Q:R,2,0)</f>
        <v>#N/A</v>
      </c>
      <c r="X3122" s="17" t="n">
        <f aca="false">J3122</f>
        <v>0</v>
      </c>
      <c r="Y3122" s="17" t="e">
        <f aca="false">VLOOKUP(X3122,Sheet2!A:B,2,0)</f>
        <v>#N/A</v>
      </c>
      <c r="Z3122" s="17"/>
      <c r="AA3122" s="17"/>
      <c r="AB3122" s="17" t="s">
        <v>41</v>
      </c>
      <c r="AC3122" s="0" t="str">
        <f aca="false">LEFT(G3122,2)</f>
        <v/>
      </c>
    </row>
    <row r="3123" customFormat="false" ht="15" hidden="false" customHeight="false" outlineLevel="0" collapsed="false">
      <c r="A3123" s="13" t="n">
        <f aca="false">1+A3122</f>
        <v>3121</v>
      </c>
      <c r="B3123" s="14" t="n">
        <v>100</v>
      </c>
      <c r="C3123" s="15"/>
      <c r="D3123" s="16" t="s">
        <v>64</v>
      </c>
      <c r="E3123" s="17" t="s">
        <v>47</v>
      </c>
      <c r="F3123" s="18" t="s">
        <v>34</v>
      </c>
      <c r="G3123" s="19"/>
      <c r="H3123" s="17" t="s">
        <v>35</v>
      </c>
      <c r="I3123" s="17" t="s">
        <v>44</v>
      </c>
      <c r="J3123" s="17"/>
      <c r="K3123" s="17" t="e">
        <f aca="false">VLOOKUP(J3123,Sheet2!A:B,2,0)</f>
        <v>#N/A</v>
      </c>
      <c r="L3123" s="17" t="n">
        <v>5</v>
      </c>
      <c r="M3123" s="17" t="str">
        <f aca="false">VLOOKUP(L3123,Sheet2!D:E,2,0)</f>
        <v>Main Processor CPU BGA</v>
      </c>
      <c r="N3123" s="17" t="n">
        <v>1</v>
      </c>
      <c r="O3123" s="17" t="str">
        <f aca="false">VLOOKUP(N3123,Sheet2!G:H,2,0)</f>
        <v>Dead</v>
      </c>
      <c r="P3123" s="17" t="n">
        <v>11</v>
      </c>
      <c r="Q3123" s="17" t="str">
        <f aca="false">VLOOKUP(P3123,Sheet2!J:K,2,0)</f>
        <v>IR Declared due to CID -TA</v>
      </c>
      <c r="R3123" s="17" t="s">
        <v>35</v>
      </c>
      <c r="S3123" s="17" t="str">
        <f aca="false">VLOOKUP(R3123,Sheet2!N:O,2,0)</f>
        <v>IREPARABLE</v>
      </c>
      <c r="T3123" s="18" t="str">
        <f aca="false">VLOOKUP(P3123,Sheet2!Q:R,2,0)</f>
        <v>IR Normal - Track burn out</v>
      </c>
      <c r="U3123" s="20" t="s">
        <v>41</v>
      </c>
      <c r="V3123" s="17"/>
      <c r="W3123" s="20" t="e">
        <f aca="false">VLOOKUP(V3123,Sheet2!Q:R,2,0)</f>
        <v>#N/A</v>
      </c>
      <c r="X3123" s="17" t="n">
        <f aca="false">J3123</f>
        <v>0</v>
      </c>
      <c r="Y3123" s="17" t="e">
        <f aca="false">VLOOKUP(X3123,Sheet2!A:B,2,0)</f>
        <v>#N/A</v>
      </c>
      <c r="Z3123" s="17"/>
      <c r="AA3123" s="17"/>
      <c r="AB3123" s="17" t="s">
        <v>41</v>
      </c>
      <c r="AC3123" s="0" t="str">
        <f aca="false">LEFT(G3123,2)</f>
        <v/>
      </c>
    </row>
    <row r="3124" customFormat="false" ht="15" hidden="false" customHeight="false" outlineLevel="0" collapsed="false">
      <c r="A3124" s="13" t="n">
        <f aca="false">1+A3123</f>
        <v>3122</v>
      </c>
      <c r="B3124" s="14" t="n">
        <v>100</v>
      </c>
      <c r="C3124" s="15"/>
      <c r="D3124" s="16" t="s">
        <v>64</v>
      </c>
      <c r="E3124" s="17" t="s">
        <v>47</v>
      </c>
      <c r="F3124" s="18" t="s">
        <v>34</v>
      </c>
      <c r="G3124" s="19"/>
      <c r="H3124" s="17" t="s">
        <v>35</v>
      </c>
      <c r="I3124" s="17" t="s">
        <v>44</v>
      </c>
      <c r="J3124" s="17"/>
      <c r="K3124" s="17" t="e">
        <f aca="false">VLOOKUP(J3124,Sheet2!A:B,2,0)</f>
        <v>#N/A</v>
      </c>
      <c r="L3124" s="17" t="n">
        <v>5</v>
      </c>
      <c r="M3124" s="17" t="str">
        <f aca="false">VLOOKUP(L3124,Sheet2!D:E,2,0)</f>
        <v>Main Processor CPU BGA</v>
      </c>
      <c r="N3124" s="17" t="n">
        <v>1</v>
      </c>
      <c r="O3124" s="17" t="str">
        <f aca="false">VLOOKUP(N3124,Sheet2!G:H,2,0)</f>
        <v>Dead</v>
      </c>
      <c r="P3124" s="17" t="n">
        <v>11</v>
      </c>
      <c r="Q3124" s="17" t="str">
        <f aca="false">VLOOKUP(P3124,Sheet2!J:K,2,0)</f>
        <v>IR Declared due to CID -TA</v>
      </c>
      <c r="R3124" s="17" t="s">
        <v>35</v>
      </c>
      <c r="S3124" s="17" t="str">
        <f aca="false">VLOOKUP(R3124,Sheet2!N:O,2,0)</f>
        <v>IREPARABLE</v>
      </c>
      <c r="T3124" s="18" t="str">
        <f aca="false">VLOOKUP(P3124,Sheet2!Q:R,2,0)</f>
        <v>IR Normal - Track burn out</v>
      </c>
      <c r="U3124" s="20" t="s">
        <v>41</v>
      </c>
      <c r="V3124" s="17"/>
      <c r="W3124" s="20" t="e">
        <f aca="false">VLOOKUP(V3124,Sheet2!Q:R,2,0)</f>
        <v>#N/A</v>
      </c>
      <c r="X3124" s="17" t="n">
        <f aca="false">J3124</f>
        <v>0</v>
      </c>
      <c r="Y3124" s="17" t="e">
        <f aca="false">VLOOKUP(X3124,Sheet2!A:B,2,0)</f>
        <v>#N/A</v>
      </c>
      <c r="Z3124" s="17"/>
      <c r="AA3124" s="17"/>
      <c r="AB3124" s="17" t="s">
        <v>41</v>
      </c>
      <c r="AC3124" s="0" t="str">
        <f aca="false">LEFT(G3124,2)</f>
        <v/>
      </c>
    </row>
    <row r="3125" customFormat="false" ht="15" hidden="false" customHeight="false" outlineLevel="0" collapsed="false">
      <c r="A3125" s="13" t="n">
        <f aca="false">1+A3124</f>
        <v>3123</v>
      </c>
      <c r="B3125" s="14" t="n">
        <v>100</v>
      </c>
      <c r="C3125" s="15"/>
      <c r="D3125" s="16" t="s">
        <v>64</v>
      </c>
      <c r="E3125" s="17" t="s">
        <v>47</v>
      </c>
      <c r="F3125" s="18" t="s">
        <v>34</v>
      </c>
      <c r="G3125" s="19"/>
      <c r="H3125" s="17" t="s">
        <v>35</v>
      </c>
      <c r="I3125" s="17" t="s">
        <v>44</v>
      </c>
      <c r="J3125" s="17"/>
      <c r="K3125" s="17" t="e">
        <f aca="false">VLOOKUP(J3125,Sheet2!A:B,2,0)</f>
        <v>#N/A</v>
      </c>
      <c r="L3125" s="17" t="n">
        <v>5</v>
      </c>
      <c r="M3125" s="17" t="str">
        <f aca="false">VLOOKUP(L3125,Sheet2!D:E,2,0)</f>
        <v>Main Processor CPU BGA</v>
      </c>
      <c r="N3125" s="17" t="n">
        <v>1</v>
      </c>
      <c r="O3125" s="17" t="str">
        <f aca="false">VLOOKUP(N3125,Sheet2!G:H,2,0)</f>
        <v>Dead</v>
      </c>
      <c r="P3125" s="17" t="n">
        <v>11</v>
      </c>
      <c r="Q3125" s="17" t="str">
        <f aca="false">VLOOKUP(P3125,Sheet2!J:K,2,0)</f>
        <v>IR Declared due to CID -TA</v>
      </c>
      <c r="R3125" s="17" t="s">
        <v>35</v>
      </c>
      <c r="S3125" s="17" t="str">
        <f aca="false">VLOOKUP(R3125,Sheet2!N:O,2,0)</f>
        <v>IREPARABLE</v>
      </c>
      <c r="T3125" s="18" t="str">
        <f aca="false">VLOOKUP(P3125,Sheet2!Q:R,2,0)</f>
        <v>IR Normal - Track burn out</v>
      </c>
      <c r="U3125" s="20" t="s">
        <v>41</v>
      </c>
      <c r="V3125" s="17"/>
      <c r="W3125" s="20" t="e">
        <f aca="false">VLOOKUP(V3125,Sheet2!Q:R,2,0)</f>
        <v>#N/A</v>
      </c>
      <c r="X3125" s="17" t="n">
        <f aca="false">J3125</f>
        <v>0</v>
      </c>
      <c r="Y3125" s="17" t="e">
        <f aca="false">VLOOKUP(X3125,Sheet2!A:B,2,0)</f>
        <v>#N/A</v>
      </c>
      <c r="Z3125" s="17"/>
      <c r="AA3125" s="17"/>
      <c r="AB3125" s="17" t="s">
        <v>41</v>
      </c>
      <c r="AC3125" s="0" t="str">
        <f aca="false">LEFT(G3125,2)</f>
        <v/>
      </c>
    </row>
    <row r="3126" customFormat="false" ht="15" hidden="false" customHeight="false" outlineLevel="0" collapsed="false">
      <c r="A3126" s="13" t="n">
        <f aca="false">1+A3125</f>
        <v>3124</v>
      </c>
      <c r="B3126" s="14" t="n">
        <v>100</v>
      </c>
      <c r="C3126" s="15"/>
      <c r="D3126" s="16" t="s">
        <v>64</v>
      </c>
      <c r="E3126" s="17" t="s">
        <v>47</v>
      </c>
      <c r="F3126" s="18" t="s">
        <v>34</v>
      </c>
      <c r="G3126" s="19"/>
      <c r="H3126" s="17" t="s">
        <v>35</v>
      </c>
      <c r="I3126" s="17" t="s">
        <v>44</v>
      </c>
      <c r="J3126" s="17"/>
      <c r="K3126" s="17" t="e">
        <f aca="false">VLOOKUP(J3126,Sheet2!A:B,2,0)</f>
        <v>#N/A</v>
      </c>
      <c r="L3126" s="17" t="n">
        <v>5</v>
      </c>
      <c r="M3126" s="17" t="str">
        <f aca="false">VLOOKUP(L3126,Sheet2!D:E,2,0)</f>
        <v>Main Processor CPU BGA</v>
      </c>
      <c r="N3126" s="17" t="n">
        <v>1</v>
      </c>
      <c r="O3126" s="17" t="str">
        <f aca="false">VLOOKUP(N3126,Sheet2!G:H,2,0)</f>
        <v>Dead</v>
      </c>
      <c r="P3126" s="17" t="n">
        <v>11</v>
      </c>
      <c r="Q3126" s="17" t="str">
        <f aca="false">VLOOKUP(P3126,Sheet2!J:K,2,0)</f>
        <v>IR Declared due to CID -TA</v>
      </c>
      <c r="R3126" s="17" t="s">
        <v>35</v>
      </c>
      <c r="S3126" s="17" t="str">
        <f aca="false">VLOOKUP(R3126,Sheet2!N:O,2,0)</f>
        <v>IREPARABLE</v>
      </c>
      <c r="T3126" s="18" t="str">
        <f aca="false">VLOOKUP(P3126,Sheet2!Q:R,2,0)</f>
        <v>IR Normal - Track burn out</v>
      </c>
      <c r="U3126" s="20" t="s">
        <v>41</v>
      </c>
      <c r="V3126" s="17"/>
      <c r="W3126" s="20" t="e">
        <f aca="false">VLOOKUP(V3126,Sheet2!Q:R,2,0)</f>
        <v>#N/A</v>
      </c>
      <c r="X3126" s="17" t="n">
        <f aca="false">J3126</f>
        <v>0</v>
      </c>
      <c r="Y3126" s="17" t="e">
        <f aca="false">VLOOKUP(X3126,Sheet2!A:B,2,0)</f>
        <v>#N/A</v>
      </c>
      <c r="Z3126" s="17"/>
      <c r="AA3126" s="17"/>
      <c r="AB3126" s="17" t="s">
        <v>41</v>
      </c>
      <c r="AC3126" s="0" t="str">
        <f aca="false">LEFT(G3126,2)</f>
        <v/>
      </c>
    </row>
    <row r="3127" customFormat="false" ht="15" hidden="false" customHeight="false" outlineLevel="0" collapsed="false">
      <c r="A3127" s="13" t="n">
        <f aca="false">1+A3126</f>
        <v>3125</v>
      </c>
      <c r="B3127" s="14" t="n">
        <v>100</v>
      </c>
      <c r="C3127" s="15"/>
      <c r="D3127" s="16" t="s">
        <v>64</v>
      </c>
      <c r="E3127" s="17" t="s">
        <v>47</v>
      </c>
      <c r="F3127" s="18" t="s">
        <v>34</v>
      </c>
      <c r="G3127" s="19"/>
      <c r="H3127" s="17" t="s">
        <v>35</v>
      </c>
      <c r="I3127" s="17" t="s">
        <v>44</v>
      </c>
      <c r="J3127" s="17"/>
      <c r="K3127" s="17" t="e">
        <f aca="false">VLOOKUP(J3127,Sheet2!A:B,2,0)</f>
        <v>#N/A</v>
      </c>
      <c r="L3127" s="17" t="n">
        <v>5</v>
      </c>
      <c r="M3127" s="17" t="str">
        <f aca="false">VLOOKUP(L3127,Sheet2!D:E,2,0)</f>
        <v>Main Processor CPU BGA</v>
      </c>
      <c r="N3127" s="17" t="n">
        <v>1</v>
      </c>
      <c r="O3127" s="17" t="str">
        <f aca="false">VLOOKUP(N3127,Sheet2!G:H,2,0)</f>
        <v>Dead</v>
      </c>
      <c r="P3127" s="17" t="n">
        <v>11</v>
      </c>
      <c r="Q3127" s="17" t="str">
        <f aca="false">VLOOKUP(P3127,Sheet2!J:K,2,0)</f>
        <v>IR Declared due to CID -TA</v>
      </c>
      <c r="R3127" s="17" t="s">
        <v>35</v>
      </c>
      <c r="S3127" s="17" t="str">
        <f aca="false">VLOOKUP(R3127,Sheet2!N:O,2,0)</f>
        <v>IREPARABLE</v>
      </c>
      <c r="T3127" s="18" t="str">
        <f aca="false">VLOOKUP(P3127,Sheet2!Q:R,2,0)</f>
        <v>IR Normal - Track burn out</v>
      </c>
      <c r="U3127" s="20" t="s">
        <v>41</v>
      </c>
      <c r="V3127" s="17"/>
      <c r="W3127" s="20" t="e">
        <f aca="false">VLOOKUP(V3127,Sheet2!Q:R,2,0)</f>
        <v>#N/A</v>
      </c>
      <c r="X3127" s="17" t="n">
        <f aca="false">J3127</f>
        <v>0</v>
      </c>
      <c r="Y3127" s="17" t="e">
        <f aca="false">VLOOKUP(X3127,Sheet2!A:B,2,0)</f>
        <v>#N/A</v>
      </c>
      <c r="Z3127" s="17"/>
      <c r="AA3127" s="17"/>
      <c r="AB3127" s="17" t="s">
        <v>41</v>
      </c>
      <c r="AC3127" s="0" t="str">
        <f aca="false">LEFT(G3127,2)</f>
        <v/>
      </c>
    </row>
    <row r="3128" customFormat="false" ht="15" hidden="false" customHeight="false" outlineLevel="0" collapsed="false">
      <c r="A3128" s="13" t="n">
        <f aca="false">1+A3127</f>
        <v>3126</v>
      </c>
      <c r="B3128" s="14" t="n">
        <v>100</v>
      </c>
      <c r="C3128" s="15"/>
      <c r="D3128" s="16" t="s">
        <v>64</v>
      </c>
      <c r="E3128" s="17" t="s">
        <v>47</v>
      </c>
      <c r="F3128" s="18" t="s">
        <v>34</v>
      </c>
      <c r="G3128" s="19"/>
      <c r="H3128" s="17" t="s">
        <v>35</v>
      </c>
      <c r="I3128" s="17" t="s">
        <v>44</v>
      </c>
      <c r="J3128" s="17"/>
      <c r="K3128" s="17" t="e">
        <f aca="false">VLOOKUP(J3128,Sheet2!A:B,2,0)</f>
        <v>#N/A</v>
      </c>
      <c r="L3128" s="17" t="n">
        <v>5</v>
      </c>
      <c r="M3128" s="17" t="str">
        <f aca="false">VLOOKUP(L3128,Sheet2!D:E,2,0)</f>
        <v>Main Processor CPU BGA</v>
      </c>
      <c r="N3128" s="17" t="n">
        <v>1</v>
      </c>
      <c r="O3128" s="17" t="str">
        <f aca="false">VLOOKUP(N3128,Sheet2!G:H,2,0)</f>
        <v>Dead</v>
      </c>
      <c r="P3128" s="17" t="n">
        <v>11</v>
      </c>
      <c r="Q3128" s="17" t="str">
        <f aca="false">VLOOKUP(P3128,Sheet2!J:K,2,0)</f>
        <v>IR Declared due to CID -TA</v>
      </c>
      <c r="R3128" s="17" t="s">
        <v>35</v>
      </c>
      <c r="S3128" s="17" t="str">
        <f aca="false">VLOOKUP(R3128,Sheet2!N:O,2,0)</f>
        <v>IREPARABLE</v>
      </c>
      <c r="T3128" s="18" t="str">
        <f aca="false">VLOOKUP(P3128,Sheet2!Q:R,2,0)</f>
        <v>IR Normal - Track burn out</v>
      </c>
      <c r="U3128" s="20" t="s">
        <v>41</v>
      </c>
      <c r="V3128" s="17"/>
      <c r="W3128" s="20" t="e">
        <f aca="false">VLOOKUP(V3128,Sheet2!Q:R,2,0)</f>
        <v>#N/A</v>
      </c>
      <c r="X3128" s="17" t="n">
        <f aca="false">J3128</f>
        <v>0</v>
      </c>
      <c r="Y3128" s="17" t="e">
        <f aca="false">VLOOKUP(X3128,Sheet2!A:B,2,0)</f>
        <v>#N/A</v>
      </c>
      <c r="Z3128" s="17"/>
      <c r="AA3128" s="17"/>
      <c r="AB3128" s="17" t="s">
        <v>41</v>
      </c>
      <c r="AC3128" s="0" t="str">
        <f aca="false">LEFT(G3128,2)</f>
        <v/>
      </c>
    </row>
    <row r="3129" customFormat="false" ht="15" hidden="false" customHeight="false" outlineLevel="0" collapsed="false">
      <c r="A3129" s="13" t="n">
        <f aca="false">1+A3128</f>
        <v>3127</v>
      </c>
      <c r="B3129" s="14" t="n">
        <v>100</v>
      </c>
      <c r="C3129" s="15"/>
      <c r="D3129" s="16" t="s">
        <v>64</v>
      </c>
      <c r="E3129" s="17" t="s">
        <v>47</v>
      </c>
      <c r="F3129" s="18" t="s">
        <v>34</v>
      </c>
      <c r="G3129" s="19"/>
      <c r="H3129" s="17" t="s">
        <v>35</v>
      </c>
      <c r="I3129" s="17" t="s">
        <v>44</v>
      </c>
      <c r="J3129" s="17"/>
      <c r="K3129" s="17" t="e">
        <f aca="false">VLOOKUP(J3129,Sheet2!A:B,2,0)</f>
        <v>#N/A</v>
      </c>
      <c r="L3129" s="17" t="n">
        <v>5</v>
      </c>
      <c r="M3129" s="17" t="str">
        <f aca="false">VLOOKUP(L3129,Sheet2!D:E,2,0)</f>
        <v>Main Processor CPU BGA</v>
      </c>
      <c r="N3129" s="17" t="n">
        <v>1</v>
      </c>
      <c r="O3129" s="17" t="str">
        <f aca="false">VLOOKUP(N3129,Sheet2!G:H,2,0)</f>
        <v>Dead</v>
      </c>
      <c r="P3129" s="17" t="n">
        <v>11</v>
      </c>
      <c r="Q3129" s="17" t="str">
        <f aca="false">VLOOKUP(P3129,Sheet2!J:K,2,0)</f>
        <v>IR Declared due to CID -TA</v>
      </c>
      <c r="R3129" s="17" t="s">
        <v>35</v>
      </c>
      <c r="S3129" s="17" t="str">
        <f aca="false">VLOOKUP(R3129,Sheet2!N:O,2,0)</f>
        <v>IREPARABLE</v>
      </c>
      <c r="T3129" s="18" t="str">
        <f aca="false">VLOOKUP(P3129,Sheet2!Q:R,2,0)</f>
        <v>IR Normal - Track burn out</v>
      </c>
      <c r="U3129" s="20" t="s">
        <v>41</v>
      </c>
      <c r="V3129" s="17"/>
      <c r="W3129" s="20" t="e">
        <f aca="false">VLOOKUP(V3129,Sheet2!Q:R,2,0)</f>
        <v>#N/A</v>
      </c>
      <c r="X3129" s="17" t="n">
        <f aca="false">J3129</f>
        <v>0</v>
      </c>
      <c r="Y3129" s="17" t="e">
        <f aca="false">VLOOKUP(X3129,Sheet2!A:B,2,0)</f>
        <v>#N/A</v>
      </c>
      <c r="Z3129" s="17"/>
      <c r="AA3129" s="17"/>
      <c r="AB3129" s="17" t="s">
        <v>41</v>
      </c>
      <c r="AC3129" s="0" t="str">
        <f aca="false">LEFT(G3129,2)</f>
        <v/>
      </c>
    </row>
    <row r="3130" customFormat="false" ht="15" hidden="false" customHeight="false" outlineLevel="0" collapsed="false">
      <c r="A3130" s="13" t="n">
        <f aca="false">1+A3129</f>
        <v>3128</v>
      </c>
      <c r="B3130" s="14" t="n">
        <v>100</v>
      </c>
      <c r="C3130" s="15"/>
      <c r="D3130" s="16" t="s">
        <v>64</v>
      </c>
      <c r="E3130" s="17" t="s">
        <v>47</v>
      </c>
      <c r="F3130" s="18" t="s">
        <v>34</v>
      </c>
      <c r="G3130" s="19"/>
      <c r="H3130" s="17" t="s">
        <v>35</v>
      </c>
      <c r="I3130" s="17" t="s">
        <v>44</v>
      </c>
      <c r="J3130" s="17"/>
      <c r="K3130" s="17" t="e">
        <f aca="false">VLOOKUP(J3130,Sheet2!A:B,2,0)</f>
        <v>#N/A</v>
      </c>
      <c r="L3130" s="17" t="n">
        <v>5</v>
      </c>
      <c r="M3130" s="17" t="str">
        <f aca="false">VLOOKUP(L3130,Sheet2!D:E,2,0)</f>
        <v>Main Processor CPU BGA</v>
      </c>
      <c r="N3130" s="17" t="n">
        <v>1</v>
      </c>
      <c r="O3130" s="17" t="str">
        <f aca="false">VLOOKUP(N3130,Sheet2!G:H,2,0)</f>
        <v>Dead</v>
      </c>
      <c r="P3130" s="17" t="n">
        <v>11</v>
      </c>
      <c r="Q3130" s="17" t="str">
        <f aca="false">VLOOKUP(P3130,Sheet2!J:K,2,0)</f>
        <v>IR Declared due to CID -TA</v>
      </c>
      <c r="R3130" s="17" t="s">
        <v>35</v>
      </c>
      <c r="S3130" s="17" t="str">
        <f aca="false">VLOOKUP(R3130,Sheet2!N:O,2,0)</f>
        <v>IREPARABLE</v>
      </c>
      <c r="T3130" s="18" t="str">
        <f aca="false">VLOOKUP(P3130,Sheet2!Q:R,2,0)</f>
        <v>IR Normal - Track burn out</v>
      </c>
      <c r="U3130" s="20" t="s">
        <v>41</v>
      </c>
      <c r="V3130" s="17"/>
      <c r="W3130" s="20" t="e">
        <f aca="false">VLOOKUP(V3130,Sheet2!Q:R,2,0)</f>
        <v>#N/A</v>
      </c>
      <c r="X3130" s="17" t="n">
        <f aca="false">J3130</f>
        <v>0</v>
      </c>
      <c r="Y3130" s="17" t="e">
        <f aca="false">VLOOKUP(X3130,Sheet2!A:B,2,0)</f>
        <v>#N/A</v>
      </c>
      <c r="Z3130" s="17"/>
      <c r="AA3130" s="17"/>
      <c r="AB3130" s="17" t="s">
        <v>41</v>
      </c>
      <c r="AC3130" s="0" t="str">
        <f aca="false">LEFT(G3130,2)</f>
        <v/>
      </c>
    </row>
    <row r="3131" customFormat="false" ht="15" hidden="false" customHeight="false" outlineLevel="0" collapsed="false">
      <c r="A3131" s="13" t="n">
        <f aca="false">1+A3130</f>
        <v>3129</v>
      </c>
      <c r="B3131" s="14" t="n">
        <v>100</v>
      </c>
      <c r="C3131" s="15"/>
      <c r="D3131" s="16" t="s">
        <v>64</v>
      </c>
      <c r="E3131" s="17" t="s">
        <v>47</v>
      </c>
      <c r="F3131" s="18" t="s">
        <v>34</v>
      </c>
      <c r="G3131" s="19"/>
      <c r="H3131" s="17" t="s">
        <v>35</v>
      </c>
      <c r="I3131" s="17" t="s">
        <v>44</v>
      </c>
      <c r="J3131" s="17"/>
      <c r="K3131" s="17" t="e">
        <f aca="false">VLOOKUP(J3131,Sheet2!A:B,2,0)</f>
        <v>#N/A</v>
      </c>
      <c r="L3131" s="17" t="n">
        <v>5</v>
      </c>
      <c r="M3131" s="17" t="str">
        <f aca="false">VLOOKUP(L3131,Sheet2!D:E,2,0)</f>
        <v>Main Processor CPU BGA</v>
      </c>
      <c r="N3131" s="17" t="n">
        <v>1</v>
      </c>
      <c r="O3131" s="17" t="str">
        <f aca="false">VLOOKUP(N3131,Sheet2!G:H,2,0)</f>
        <v>Dead</v>
      </c>
      <c r="P3131" s="17" t="n">
        <v>11</v>
      </c>
      <c r="Q3131" s="17" t="str">
        <f aca="false">VLOOKUP(P3131,Sheet2!J:K,2,0)</f>
        <v>IR Declared due to CID -TA</v>
      </c>
      <c r="R3131" s="17" t="s">
        <v>35</v>
      </c>
      <c r="S3131" s="17" t="str">
        <f aca="false">VLOOKUP(R3131,Sheet2!N:O,2,0)</f>
        <v>IREPARABLE</v>
      </c>
      <c r="T3131" s="18" t="str">
        <f aca="false">VLOOKUP(P3131,Sheet2!Q:R,2,0)</f>
        <v>IR Normal - Track burn out</v>
      </c>
      <c r="U3131" s="20" t="s">
        <v>41</v>
      </c>
      <c r="V3131" s="17"/>
      <c r="W3131" s="20" t="e">
        <f aca="false">VLOOKUP(V3131,Sheet2!Q:R,2,0)</f>
        <v>#N/A</v>
      </c>
      <c r="X3131" s="17" t="n">
        <f aca="false">J3131</f>
        <v>0</v>
      </c>
      <c r="Y3131" s="17" t="e">
        <f aca="false">VLOOKUP(X3131,Sheet2!A:B,2,0)</f>
        <v>#N/A</v>
      </c>
      <c r="Z3131" s="17"/>
      <c r="AA3131" s="17"/>
      <c r="AB3131" s="17" t="s">
        <v>41</v>
      </c>
      <c r="AC3131" s="0" t="str">
        <f aca="false">LEFT(G3131,2)</f>
        <v/>
      </c>
    </row>
    <row r="3132" customFormat="false" ht="15" hidden="false" customHeight="false" outlineLevel="0" collapsed="false">
      <c r="A3132" s="13" t="n">
        <f aca="false">1+A3131</f>
        <v>3130</v>
      </c>
      <c r="B3132" s="14" t="n">
        <v>100</v>
      </c>
      <c r="C3132" s="15"/>
      <c r="D3132" s="16" t="s">
        <v>64</v>
      </c>
      <c r="E3132" s="17" t="s">
        <v>47</v>
      </c>
      <c r="F3132" s="18" t="s">
        <v>34</v>
      </c>
      <c r="G3132" s="19"/>
      <c r="H3132" s="17" t="s">
        <v>35</v>
      </c>
      <c r="I3132" s="17" t="s">
        <v>44</v>
      </c>
      <c r="J3132" s="17"/>
      <c r="K3132" s="17" t="e">
        <f aca="false">VLOOKUP(J3132,Sheet2!A:B,2,0)</f>
        <v>#N/A</v>
      </c>
      <c r="L3132" s="17" t="n">
        <v>5</v>
      </c>
      <c r="M3132" s="17" t="str">
        <f aca="false">VLOOKUP(L3132,Sheet2!D:E,2,0)</f>
        <v>Main Processor CPU BGA</v>
      </c>
      <c r="N3132" s="17" t="n">
        <v>1</v>
      </c>
      <c r="O3132" s="17" t="str">
        <f aca="false">VLOOKUP(N3132,Sheet2!G:H,2,0)</f>
        <v>Dead</v>
      </c>
      <c r="P3132" s="17" t="n">
        <v>11</v>
      </c>
      <c r="Q3132" s="17" t="str">
        <f aca="false">VLOOKUP(P3132,Sheet2!J:K,2,0)</f>
        <v>IR Declared due to CID -TA</v>
      </c>
      <c r="R3132" s="17" t="s">
        <v>35</v>
      </c>
      <c r="S3132" s="17" t="str">
        <f aca="false">VLOOKUP(R3132,Sheet2!N:O,2,0)</f>
        <v>IREPARABLE</v>
      </c>
      <c r="T3132" s="18" t="str">
        <f aca="false">VLOOKUP(P3132,Sheet2!Q:R,2,0)</f>
        <v>IR Normal - Track burn out</v>
      </c>
      <c r="U3132" s="20" t="s">
        <v>41</v>
      </c>
      <c r="V3132" s="17"/>
      <c r="W3132" s="20" t="e">
        <f aca="false">VLOOKUP(V3132,Sheet2!Q:R,2,0)</f>
        <v>#N/A</v>
      </c>
      <c r="X3132" s="17" t="n">
        <f aca="false">J3132</f>
        <v>0</v>
      </c>
      <c r="Y3132" s="17" t="e">
        <f aca="false">VLOOKUP(X3132,Sheet2!A:B,2,0)</f>
        <v>#N/A</v>
      </c>
      <c r="Z3132" s="17"/>
      <c r="AA3132" s="17"/>
      <c r="AB3132" s="17" t="s">
        <v>41</v>
      </c>
      <c r="AC3132" s="0" t="str">
        <f aca="false">LEFT(G3132,2)</f>
        <v/>
      </c>
    </row>
    <row r="3133" customFormat="false" ht="15" hidden="false" customHeight="false" outlineLevel="0" collapsed="false">
      <c r="A3133" s="13" t="n">
        <f aca="false">1+A3132</f>
        <v>3131</v>
      </c>
      <c r="B3133" s="14" t="n">
        <v>100</v>
      </c>
      <c r="C3133" s="15"/>
      <c r="D3133" s="16" t="s">
        <v>64</v>
      </c>
      <c r="E3133" s="17" t="s">
        <v>47</v>
      </c>
      <c r="F3133" s="18" t="s">
        <v>34</v>
      </c>
      <c r="G3133" s="19"/>
      <c r="H3133" s="17" t="s">
        <v>35</v>
      </c>
      <c r="I3133" s="17" t="s">
        <v>44</v>
      </c>
      <c r="J3133" s="17"/>
      <c r="K3133" s="17" t="e">
        <f aca="false">VLOOKUP(J3133,Sheet2!A:B,2,0)</f>
        <v>#N/A</v>
      </c>
      <c r="L3133" s="17" t="n">
        <v>5</v>
      </c>
      <c r="M3133" s="17" t="str">
        <f aca="false">VLOOKUP(L3133,Sheet2!D:E,2,0)</f>
        <v>Main Processor CPU BGA</v>
      </c>
      <c r="N3133" s="17" t="n">
        <v>1</v>
      </c>
      <c r="O3133" s="17" t="str">
        <f aca="false">VLOOKUP(N3133,Sheet2!G:H,2,0)</f>
        <v>Dead</v>
      </c>
      <c r="P3133" s="17" t="n">
        <v>11</v>
      </c>
      <c r="Q3133" s="17" t="str">
        <f aca="false">VLOOKUP(P3133,Sheet2!J:K,2,0)</f>
        <v>IR Declared due to CID -TA</v>
      </c>
      <c r="R3133" s="17" t="s">
        <v>35</v>
      </c>
      <c r="S3133" s="17" t="str">
        <f aca="false">VLOOKUP(R3133,Sheet2!N:O,2,0)</f>
        <v>IREPARABLE</v>
      </c>
      <c r="T3133" s="18" t="str">
        <f aca="false">VLOOKUP(P3133,Sheet2!Q:R,2,0)</f>
        <v>IR Normal - Track burn out</v>
      </c>
      <c r="U3133" s="20" t="s">
        <v>41</v>
      </c>
      <c r="V3133" s="17"/>
      <c r="W3133" s="20" t="e">
        <f aca="false">VLOOKUP(V3133,Sheet2!Q:R,2,0)</f>
        <v>#N/A</v>
      </c>
      <c r="X3133" s="17" t="n">
        <f aca="false">J3133</f>
        <v>0</v>
      </c>
      <c r="Y3133" s="17" t="e">
        <f aca="false">VLOOKUP(X3133,Sheet2!A:B,2,0)</f>
        <v>#N/A</v>
      </c>
      <c r="Z3133" s="17"/>
      <c r="AA3133" s="17"/>
      <c r="AB3133" s="17" t="s">
        <v>41</v>
      </c>
      <c r="AC3133" s="0" t="str">
        <f aca="false">LEFT(G3133,2)</f>
        <v/>
      </c>
    </row>
    <row r="3134" customFormat="false" ht="15" hidden="false" customHeight="false" outlineLevel="0" collapsed="false">
      <c r="A3134" s="13" t="n">
        <f aca="false">1+A3133</f>
        <v>3132</v>
      </c>
      <c r="B3134" s="14" t="n">
        <v>100</v>
      </c>
      <c r="C3134" s="15"/>
      <c r="D3134" s="16" t="s">
        <v>64</v>
      </c>
      <c r="E3134" s="17" t="s">
        <v>47</v>
      </c>
      <c r="F3134" s="18" t="s">
        <v>34</v>
      </c>
      <c r="G3134" s="19"/>
      <c r="H3134" s="17" t="s">
        <v>35</v>
      </c>
      <c r="I3134" s="17" t="s">
        <v>44</v>
      </c>
      <c r="J3134" s="17"/>
      <c r="K3134" s="17" t="e">
        <f aca="false">VLOOKUP(J3134,Sheet2!A:B,2,0)</f>
        <v>#N/A</v>
      </c>
      <c r="L3134" s="17" t="n">
        <v>5</v>
      </c>
      <c r="M3134" s="17" t="str">
        <f aca="false">VLOOKUP(L3134,Sheet2!D:E,2,0)</f>
        <v>Main Processor CPU BGA</v>
      </c>
      <c r="N3134" s="17" t="n">
        <v>1</v>
      </c>
      <c r="O3134" s="17" t="str">
        <f aca="false">VLOOKUP(N3134,Sheet2!G:H,2,0)</f>
        <v>Dead</v>
      </c>
      <c r="P3134" s="17" t="n">
        <v>11</v>
      </c>
      <c r="Q3134" s="17" t="str">
        <f aca="false">VLOOKUP(P3134,Sheet2!J:K,2,0)</f>
        <v>IR Declared due to CID -TA</v>
      </c>
      <c r="R3134" s="17" t="s">
        <v>35</v>
      </c>
      <c r="S3134" s="17" t="str">
        <f aca="false">VLOOKUP(R3134,Sheet2!N:O,2,0)</f>
        <v>IREPARABLE</v>
      </c>
      <c r="T3134" s="18" t="str">
        <f aca="false">VLOOKUP(P3134,Sheet2!Q:R,2,0)</f>
        <v>IR Normal - Track burn out</v>
      </c>
      <c r="U3134" s="20" t="s">
        <v>41</v>
      </c>
      <c r="V3134" s="17"/>
      <c r="W3134" s="20" t="e">
        <f aca="false">VLOOKUP(V3134,Sheet2!Q:R,2,0)</f>
        <v>#N/A</v>
      </c>
      <c r="X3134" s="17" t="n">
        <f aca="false">J3134</f>
        <v>0</v>
      </c>
      <c r="Y3134" s="17" t="e">
        <f aca="false">VLOOKUP(X3134,Sheet2!A:B,2,0)</f>
        <v>#N/A</v>
      </c>
      <c r="Z3134" s="17"/>
      <c r="AA3134" s="17"/>
      <c r="AB3134" s="17" t="s">
        <v>41</v>
      </c>
      <c r="AC3134" s="0" t="str">
        <f aca="false">LEFT(G3134,2)</f>
        <v/>
      </c>
    </row>
    <row r="3135" customFormat="false" ht="15" hidden="false" customHeight="false" outlineLevel="0" collapsed="false">
      <c r="A3135" s="13" t="n">
        <f aca="false">1+A3134</f>
        <v>3133</v>
      </c>
      <c r="B3135" s="14" t="n">
        <v>100</v>
      </c>
      <c r="C3135" s="15"/>
      <c r="D3135" s="16" t="s">
        <v>64</v>
      </c>
      <c r="E3135" s="17" t="s">
        <v>47</v>
      </c>
      <c r="F3135" s="18" t="s">
        <v>34</v>
      </c>
      <c r="G3135" s="19"/>
      <c r="H3135" s="17" t="s">
        <v>35</v>
      </c>
      <c r="I3135" s="17" t="s">
        <v>44</v>
      </c>
      <c r="J3135" s="17"/>
      <c r="K3135" s="17" t="e">
        <f aca="false">VLOOKUP(J3135,Sheet2!A:B,2,0)</f>
        <v>#N/A</v>
      </c>
      <c r="L3135" s="17" t="n">
        <v>5</v>
      </c>
      <c r="M3135" s="17" t="str">
        <f aca="false">VLOOKUP(L3135,Sheet2!D:E,2,0)</f>
        <v>Main Processor CPU BGA</v>
      </c>
      <c r="N3135" s="17" t="n">
        <v>1</v>
      </c>
      <c r="O3135" s="17" t="str">
        <f aca="false">VLOOKUP(N3135,Sheet2!G:H,2,0)</f>
        <v>Dead</v>
      </c>
      <c r="P3135" s="17" t="n">
        <v>11</v>
      </c>
      <c r="Q3135" s="17" t="str">
        <f aca="false">VLOOKUP(P3135,Sheet2!J:K,2,0)</f>
        <v>IR Declared due to CID -TA</v>
      </c>
      <c r="R3135" s="17" t="s">
        <v>35</v>
      </c>
      <c r="S3135" s="17" t="str">
        <f aca="false">VLOOKUP(R3135,Sheet2!N:O,2,0)</f>
        <v>IREPARABLE</v>
      </c>
      <c r="T3135" s="18" t="str">
        <f aca="false">VLOOKUP(P3135,Sheet2!Q:R,2,0)</f>
        <v>IR Normal - Track burn out</v>
      </c>
      <c r="U3135" s="20" t="s">
        <v>41</v>
      </c>
      <c r="V3135" s="17"/>
      <c r="W3135" s="20" t="e">
        <f aca="false">VLOOKUP(V3135,Sheet2!Q:R,2,0)</f>
        <v>#N/A</v>
      </c>
      <c r="X3135" s="17" t="n">
        <f aca="false">J3135</f>
        <v>0</v>
      </c>
      <c r="Y3135" s="17" t="e">
        <f aca="false">VLOOKUP(X3135,Sheet2!A:B,2,0)</f>
        <v>#N/A</v>
      </c>
      <c r="Z3135" s="17"/>
      <c r="AA3135" s="17"/>
      <c r="AB3135" s="17" t="s">
        <v>41</v>
      </c>
      <c r="AC3135" s="0" t="str">
        <f aca="false">LEFT(G3135,2)</f>
        <v/>
      </c>
    </row>
    <row r="3136" customFormat="false" ht="15" hidden="false" customHeight="false" outlineLevel="0" collapsed="false">
      <c r="A3136" s="13" t="n">
        <f aca="false">1+A3135</f>
        <v>3134</v>
      </c>
      <c r="B3136" s="14" t="n">
        <v>100</v>
      </c>
      <c r="C3136" s="15"/>
      <c r="D3136" s="16" t="s">
        <v>64</v>
      </c>
      <c r="E3136" s="17" t="s">
        <v>47</v>
      </c>
      <c r="F3136" s="18" t="s">
        <v>34</v>
      </c>
      <c r="G3136" s="19"/>
      <c r="H3136" s="17" t="s">
        <v>35</v>
      </c>
      <c r="I3136" s="17" t="s">
        <v>44</v>
      </c>
      <c r="J3136" s="17"/>
      <c r="K3136" s="17" t="e">
        <f aca="false">VLOOKUP(J3136,Sheet2!A:B,2,0)</f>
        <v>#N/A</v>
      </c>
      <c r="L3136" s="17" t="n">
        <v>5</v>
      </c>
      <c r="M3136" s="17" t="str">
        <f aca="false">VLOOKUP(L3136,Sheet2!D:E,2,0)</f>
        <v>Main Processor CPU BGA</v>
      </c>
      <c r="N3136" s="17" t="n">
        <v>1</v>
      </c>
      <c r="O3136" s="17" t="str">
        <f aca="false">VLOOKUP(N3136,Sheet2!G:H,2,0)</f>
        <v>Dead</v>
      </c>
      <c r="P3136" s="17" t="n">
        <v>11</v>
      </c>
      <c r="Q3136" s="17" t="str">
        <f aca="false">VLOOKUP(P3136,Sheet2!J:K,2,0)</f>
        <v>IR Declared due to CID -TA</v>
      </c>
      <c r="R3136" s="17" t="s">
        <v>35</v>
      </c>
      <c r="S3136" s="17" t="str">
        <f aca="false">VLOOKUP(R3136,Sheet2!N:O,2,0)</f>
        <v>IREPARABLE</v>
      </c>
      <c r="T3136" s="18" t="str">
        <f aca="false">VLOOKUP(P3136,Sheet2!Q:R,2,0)</f>
        <v>IR Normal - Track burn out</v>
      </c>
      <c r="U3136" s="20" t="s">
        <v>41</v>
      </c>
      <c r="V3136" s="17"/>
      <c r="W3136" s="20" t="e">
        <f aca="false">VLOOKUP(V3136,Sheet2!Q:R,2,0)</f>
        <v>#N/A</v>
      </c>
      <c r="X3136" s="17" t="n">
        <f aca="false">J3136</f>
        <v>0</v>
      </c>
      <c r="Y3136" s="17" t="e">
        <f aca="false">VLOOKUP(X3136,Sheet2!A:B,2,0)</f>
        <v>#N/A</v>
      </c>
      <c r="Z3136" s="17"/>
      <c r="AA3136" s="17"/>
      <c r="AB3136" s="17" t="s">
        <v>41</v>
      </c>
      <c r="AC3136" s="0" t="str">
        <f aca="false">LEFT(G3136,2)</f>
        <v/>
      </c>
    </row>
    <row r="3137" customFormat="false" ht="15" hidden="false" customHeight="false" outlineLevel="0" collapsed="false">
      <c r="A3137" s="13" t="n">
        <f aca="false">1+A3136</f>
        <v>3135</v>
      </c>
      <c r="B3137" s="14" t="n">
        <v>100</v>
      </c>
      <c r="C3137" s="15"/>
      <c r="D3137" s="16" t="s">
        <v>64</v>
      </c>
      <c r="E3137" s="17" t="s">
        <v>47</v>
      </c>
      <c r="F3137" s="18" t="s">
        <v>34</v>
      </c>
      <c r="G3137" s="19"/>
      <c r="H3137" s="17" t="s">
        <v>35</v>
      </c>
      <c r="I3137" s="17" t="s">
        <v>44</v>
      </c>
      <c r="J3137" s="17"/>
      <c r="K3137" s="17" t="e">
        <f aca="false">VLOOKUP(J3137,Sheet2!A:B,2,0)</f>
        <v>#N/A</v>
      </c>
      <c r="L3137" s="17" t="n">
        <v>5</v>
      </c>
      <c r="M3137" s="17" t="str">
        <f aca="false">VLOOKUP(L3137,Sheet2!D:E,2,0)</f>
        <v>Main Processor CPU BGA</v>
      </c>
      <c r="N3137" s="17" t="n">
        <v>1</v>
      </c>
      <c r="O3137" s="17" t="str">
        <f aca="false">VLOOKUP(N3137,Sheet2!G:H,2,0)</f>
        <v>Dead</v>
      </c>
      <c r="P3137" s="17" t="n">
        <v>11</v>
      </c>
      <c r="Q3137" s="17" t="str">
        <f aca="false">VLOOKUP(P3137,Sheet2!J:K,2,0)</f>
        <v>IR Declared due to CID -TA</v>
      </c>
      <c r="R3137" s="17" t="s">
        <v>35</v>
      </c>
      <c r="S3137" s="17" t="str">
        <f aca="false">VLOOKUP(R3137,Sheet2!N:O,2,0)</f>
        <v>IREPARABLE</v>
      </c>
      <c r="T3137" s="18" t="str">
        <f aca="false">VLOOKUP(P3137,Sheet2!Q:R,2,0)</f>
        <v>IR Normal - Track burn out</v>
      </c>
      <c r="U3137" s="20" t="s">
        <v>41</v>
      </c>
      <c r="V3137" s="17"/>
      <c r="W3137" s="20" t="e">
        <f aca="false">VLOOKUP(V3137,Sheet2!Q:R,2,0)</f>
        <v>#N/A</v>
      </c>
      <c r="X3137" s="17" t="n">
        <f aca="false">J3137</f>
        <v>0</v>
      </c>
      <c r="Y3137" s="17" t="e">
        <f aca="false">VLOOKUP(X3137,Sheet2!A:B,2,0)</f>
        <v>#N/A</v>
      </c>
      <c r="Z3137" s="17"/>
      <c r="AA3137" s="17"/>
      <c r="AB3137" s="17" t="s">
        <v>41</v>
      </c>
      <c r="AC3137" s="0" t="str">
        <f aca="false">LEFT(G3137,2)</f>
        <v/>
      </c>
    </row>
    <row r="3138" customFormat="false" ht="15" hidden="false" customHeight="false" outlineLevel="0" collapsed="false">
      <c r="A3138" s="13" t="n">
        <f aca="false">1+A3137</f>
        <v>3136</v>
      </c>
      <c r="B3138" s="14" t="n">
        <v>100</v>
      </c>
      <c r="C3138" s="15"/>
      <c r="D3138" s="16" t="s">
        <v>64</v>
      </c>
      <c r="E3138" s="17" t="s">
        <v>47</v>
      </c>
      <c r="F3138" s="18" t="s">
        <v>34</v>
      </c>
      <c r="G3138" s="19"/>
      <c r="H3138" s="17" t="s">
        <v>35</v>
      </c>
      <c r="I3138" s="17" t="s">
        <v>44</v>
      </c>
      <c r="J3138" s="17"/>
      <c r="K3138" s="17" t="e">
        <f aca="false">VLOOKUP(J3138,Sheet2!A:B,2,0)</f>
        <v>#N/A</v>
      </c>
      <c r="L3138" s="17" t="n">
        <v>5</v>
      </c>
      <c r="M3138" s="17" t="str">
        <f aca="false">VLOOKUP(L3138,Sheet2!D:E,2,0)</f>
        <v>Main Processor CPU BGA</v>
      </c>
      <c r="N3138" s="17" t="n">
        <v>1</v>
      </c>
      <c r="O3138" s="17" t="str">
        <f aca="false">VLOOKUP(N3138,Sheet2!G:H,2,0)</f>
        <v>Dead</v>
      </c>
      <c r="P3138" s="17" t="n">
        <v>11</v>
      </c>
      <c r="Q3138" s="17" t="str">
        <f aca="false">VLOOKUP(P3138,Sheet2!J:K,2,0)</f>
        <v>IR Declared due to CID -TA</v>
      </c>
      <c r="R3138" s="17" t="s">
        <v>35</v>
      </c>
      <c r="S3138" s="17" t="str">
        <f aca="false">VLOOKUP(R3138,Sheet2!N:O,2,0)</f>
        <v>IREPARABLE</v>
      </c>
      <c r="T3138" s="18" t="str">
        <f aca="false">VLOOKUP(P3138,Sheet2!Q:R,2,0)</f>
        <v>IR Normal - Track burn out</v>
      </c>
      <c r="U3138" s="20" t="s">
        <v>41</v>
      </c>
      <c r="V3138" s="17"/>
      <c r="W3138" s="20" t="e">
        <f aca="false">VLOOKUP(V3138,Sheet2!Q:R,2,0)</f>
        <v>#N/A</v>
      </c>
      <c r="X3138" s="17" t="n">
        <f aca="false">J3138</f>
        <v>0</v>
      </c>
      <c r="Y3138" s="17" t="e">
        <f aca="false">VLOOKUP(X3138,Sheet2!A:B,2,0)</f>
        <v>#N/A</v>
      </c>
      <c r="Z3138" s="17"/>
      <c r="AA3138" s="17"/>
      <c r="AB3138" s="17" t="s">
        <v>41</v>
      </c>
      <c r="AC3138" s="0" t="str">
        <f aca="false">LEFT(G3138,2)</f>
        <v/>
      </c>
    </row>
    <row r="3139" customFormat="false" ht="15" hidden="false" customHeight="false" outlineLevel="0" collapsed="false">
      <c r="A3139" s="13" t="n">
        <f aca="false">1+A3138</f>
        <v>3137</v>
      </c>
      <c r="B3139" s="14" t="n">
        <v>100</v>
      </c>
      <c r="C3139" s="15"/>
      <c r="D3139" s="16" t="s">
        <v>64</v>
      </c>
      <c r="E3139" s="17" t="s">
        <v>47</v>
      </c>
      <c r="F3139" s="18" t="s">
        <v>34</v>
      </c>
      <c r="G3139" s="19"/>
      <c r="H3139" s="17" t="s">
        <v>35</v>
      </c>
      <c r="I3139" s="17" t="s">
        <v>44</v>
      </c>
      <c r="J3139" s="17"/>
      <c r="K3139" s="17" t="e">
        <f aca="false">VLOOKUP(J3139,Sheet2!A:B,2,0)</f>
        <v>#N/A</v>
      </c>
      <c r="L3139" s="17" t="n">
        <v>5</v>
      </c>
      <c r="M3139" s="17" t="str">
        <f aca="false">VLOOKUP(L3139,Sheet2!D:E,2,0)</f>
        <v>Main Processor CPU BGA</v>
      </c>
      <c r="N3139" s="17" t="n">
        <v>1</v>
      </c>
      <c r="O3139" s="17" t="str">
        <f aca="false">VLOOKUP(N3139,Sheet2!G:H,2,0)</f>
        <v>Dead</v>
      </c>
      <c r="P3139" s="17" t="n">
        <v>11</v>
      </c>
      <c r="Q3139" s="17" t="str">
        <f aca="false">VLOOKUP(P3139,Sheet2!J:K,2,0)</f>
        <v>IR Declared due to CID -TA</v>
      </c>
      <c r="R3139" s="17" t="s">
        <v>35</v>
      </c>
      <c r="S3139" s="17" t="str">
        <f aca="false">VLOOKUP(R3139,Sheet2!N:O,2,0)</f>
        <v>IREPARABLE</v>
      </c>
      <c r="T3139" s="18" t="str">
        <f aca="false">VLOOKUP(P3139,Sheet2!Q:R,2,0)</f>
        <v>IR Normal - Track burn out</v>
      </c>
      <c r="U3139" s="20" t="s">
        <v>41</v>
      </c>
      <c r="V3139" s="17"/>
      <c r="W3139" s="20" t="e">
        <f aca="false">VLOOKUP(V3139,Sheet2!Q:R,2,0)</f>
        <v>#N/A</v>
      </c>
      <c r="X3139" s="17" t="n">
        <f aca="false">J3139</f>
        <v>0</v>
      </c>
      <c r="Y3139" s="17" t="e">
        <f aca="false">VLOOKUP(X3139,Sheet2!A:B,2,0)</f>
        <v>#N/A</v>
      </c>
      <c r="Z3139" s="17"/>
      <c r="AA3139" s="17"/>
      <c r="AB3139" s="17" t="s">
        <v>41</v>
      </c>
      <c r="AC3139" s="0" t="str">
        <f aca="false">LEFT(G3139,2)</f>
        <v/>
      </c>
    </row>
    <row r="3140" customFormat="false" ht="15" hidden="false" customHeight="false" outlineLevel="0" collapsed="false">
      <c r="A3140" s="13" t="n">
        <f aca="false">1+A3139</f>
        <v>3138</v>
      </c>
      <c r="B3140" s="14" t="n">
        <v>100</v>
      </c>
      <c r="C3140" s="15"/>
      <c r="D3140" s="16" t="s">
        <v>64</v>
      </c>
      <c r="E3140" s="17" t="s">
        <v>47</v>
      </c>
      <c r="F3140" s="18" t="s">
        <v>34</v>
      </c>
      <c r="G3140" s="19"/>
      <c r="H3140" s="17" t="s">
        <v>35</v>
      </c>
      <c r="I3140" s="17" t="s">
        <v>44</v>
      </c>
      <c r="J3140" s="17"/>
      <c r="K3140" s="17" t="e">
        <f aca="false">VLOOKUP(J3140,Sheet2!A:B,2,0)</f>
        <v>#N/A</v>
      </c>
      <c r="L3140" s="17" t="n">
        <v>5</v>
      </c>
      <c r="M3140" s="17" t="str">
        <f aca="false">VLOOKUP(L3140,Sheet2!D:E,2,0)</f>
        <v>Main Processor CPU BGA</v>
      </c>
      <c r="N3140" s="17" t="n">
        <v>1</v>
      </c>
      <c r="O3140" s="17" t="str">
        <f aca="false">VLOOKUP(N3140,Sheet2!G:H,2,0)</f>
        <v>Dead</v>
      </c>
      <c r="P3140" s="17" t="n">
        <v>11</v>
      </c>
      <c r="Q3140" s="17" t="str">
        <f aca="false">VLOOKUP(P3140,Sheet2!J:K,2,0)</f>
        <v>IR Declared due to CID -TA</v>
      </c>
      <c r="R3140" s="17" t="s">
        <v>35</v>
      </c>
      <c r="S3140" s="17" t="str">
        <f aca="false">VLOOKUP(R3140,Sheet2!N:O,2,0)</f>
        <v>IREPARABLE</v>
      </c>
      <c r="T3140" s="18" t="str">
        <f aca="false">VLOOKUP(P3140,Sheet2!Q:R,2,0)</f>
        <v>IR Normal - Track burn out</v>
      </c>
      <c r="U3140" s="20" t="s">
        <v>41</v>
      </c>
      <c r="V3140" s="17"/>
      <c r="W3140" s="20" t="e">
        <f aca="false">VLOOKUP(V3140,Sheet2!Q:R,2,0)</f>
        <v>#N/A</v>
      </c>
      <c r="X3140" s="17" t="n">
        <f aca="false">J3140</f>
        <v>0</v>
      </c>
      <c r="Y3140" s="17" t="e">
        <f aca="false">VLOOKUP(X3140,Sheet2!A:B,2,0)</f>
        <v>#N/A</v>
      </c>
      <c r="Z3140" s="17"/>
      <c r="AA3140" s="17"/>
      <c r="AB3140" s="17" t="s">
        <v>41</v>
      </c>
      <c r="AC3140" s="0" t="str">
        <f aca="false">LEFT(G3140,2)</f>
        <v/>
      </c>
    </row>
    <row r="3141" customFormat="false" ht="15" hidden="false" customHeight="false" outlineLevel="0" collapsed="false">
      <c r="A3141" s="13" t="n">
        <f aca="false">1+A3140</f>
        <v>3139</v>
      </c>
      <c r="B3141" s="14" t="n">
        <v>100</v>
      </c>
      <c r="C3141" s="15"/>
      <c r="D3141" s="16" t="s">
        <v>64</v>
      </c>
      <c r="E3141" s="17" t="s">
        <v>47</v>
      </c>
      <c r="F3141" s="18" t="s">
        <v>34</v>
      </c>
      <c r="G3141" s="19"/>
      <c r="H3141" s="17" t="s">
        <v>35</v>
      </c>
      <c r="I3141" s="17" t="s">
        <v>44</v>
      </c>
      <c r="J3141" s="17"/>
      <c r="K3141" s="17" t="e">
        <f aca="false">VLOOKUP(J3141,Sheet2!A:B,2,0)</f>
        <v>#N/A</v>
      </c>
      <c r="L3141" s="17" t="n">
        <v>5</v>
      </c>
      <c r="M3141" s="17" t="str">
        <f aca="false">VLOOKUP(L3141,Sheet2!D:E,2,0)</f>
        <v>Main Processor CPU BGA</v>
      </c>
      <c r="N3141" s="17" t="n">
        <v>1</v>
      </c>
      <c r="O3141" s="17" t="str">
        <f aca="false">VLOOKUP(N3141,Sheet2!G:H,2,0)</f>
        <v>Dead</v>
      </c>
      <c r="P3141" s="17" t="n">
        <v>11</v>
      </c>
      <c r="Q3141" s="17" t="str">
        <f aca="false">VLOOKUP(P3141,Sheet2!J:K,2,0)</f>
        <v>IR Declared due to CID -TA</v>
      </c>
      <c r="R3141" s="17" t="s">
        <v>35</v>
      </c>
      <c r="S3141" s="17" t="str">
        <f aca="false">VLOOKUP(R3141,Sheet2!N:O,2,0)</f>
        <v>IREPARABLE</v>
      </c>
      <c r="T3141" s="18" t="str">
        <f aca="false">VLOOKUP(P3141,Sheet2!Q:R,2,0)</f>
        <v>IR Normal - Track burn out</v>
      </c>
      <c r="U3141" s="20" t="s">
        <v>41</v>
      </c>
      <c r="V3141" s="17"/>
      <c r="W3141" s="20" t="e">
        <f aca="false">VLOOKUP(V3141,Sheet2!Q:R,2,0)</f>
        <v>#N/A</v>
      </c>
      <c r="X3141" s="17" t="n">
        <f aca="false">J3141</f>
        <v>0</v>
      </c>
      <c r="Y3141" s="17" t="e">
        <f aca="false">VLOOKUP(X3141,Sheet2!A:B,2,0)</f>
        <v>#N/A</v>
      </c>
      <c r="Z3141" s="17"/>
      <c r="AA3141" s="17"/>
      <c r="AB3141" s="17" t="s">
        <v>41</v>
      </c>
      <c r="AC3141" s="0" t="str">
        <f aca="false">LEFT(G3141,2)</f>
        <v/>
      </c>
    </row>
    <row r="3142" customFormat="false" ht="15" hidden="false" customHeight="false" outlineLevel="0" collapsed="false">
      <c r="A3142" s="13" t="n">
        <f aca="false">1+A3141</f>
        <v>3140</v>
      </c>
      <c r="B3142" s="14" t="n">
        <v>100</v>
      </c>
      <c r="C3142" s="15"/>
      <c r="D3142" s="16" t="s">
        <v>64</v>
      </c>
      <c r="E3142" s="17" t="s">
        <v>47</v>
      </c>
      <c r="F3142" s="18" t="s">
        <v>34</v>
      </c>
      <c r="G3142" s="19"/>
      <c r="H3142" s="17" t="s">
        <v>35</v>
      </c>
      <c r="I3142" s="17" t="s">
        <v>44</v>
      </c>
      <c r="J3142" s="17"/>
      <c r="K3142" s="17" t="e">
        <f aca="false">VLOOKUP(J3142,Sheet2!A:B,2,0)</f>
        <v>#N/A</v>
      </c>
      <c r="L3142" s="17" t="n">
        <v>5</v>
      </c>
      <c r="M3142" s="17" t="str">
        <f aca="false">VLOOKUP(L3142,Sheet2!D:E,2,0)</f>
        <v>Main Processor CPU BGA</v>
      </c>
      <c r="N3142" s="17" t="n">
        <v>1</v>
      </c>
      <c r="O3142" s="17" t="str">
        <f aca="false">VLOOKUP(N3142,Sheet2!G:H,2,0)</f>
        <v>Dead</v>
      </c>
      <c r="P3142" s="17" t="n">
        <v>11</v>
      </c>
      <c r="Q3142" s="17" t="str">
        <f aca="false">VLOOKUP(P3142,Sheet2!J:K,2,0)</f>
        <v>IR Declared due to CID -TA</v>
      </c>
      <c r="R3142" s="17" t="s">
        <v>35</v>
      </c>
      <c r="S3142" s="17" t="str">
        <f aca="false">VLOOKUP(R3142,Sheet2!N:O,2,0)</f>
        <v>IREPARABLE</v>
      </c>
      <c r="T3142" s="18" t="str">
        <f aca="false">VLOOKUP(P3142,Sheet2!Q:R,2,0)</f>
        <v>IR Normal - Track burn out</v>
      </c>
      <c r="U3142" s="20" t="s">
        <v>41</v>
      </c>
      <c r="V3142" s="17"/>
      <c r="W3142" s="20" t="e">
        <f aca="false">VLOOKUP(V3142,Sheet2!Q:R,2,0)</f>
        <v>#N/A</v>
      </c>
      <c r="X3142" s="17" t="n">
        <f aca="false">J3142</f>
        <v>0</v>
      </c>
      <c r="Y3142" s="17" t="e">
        <f aca="false">VLOOKUP(X3142,Sheet2!A:B,2,0)</f>
        <v>#N/A</v>
      </c>
      <c r="Z3142" s="17"/>
      <c r="AA3142" s="17"/>
      <c r="AB3142" s="17" t="s">
        <v>41</v>
      </c>
      <c r="AC3142" s="0" t="str">
        <f aca="false">LEFT(G3142,2)</f>
        <v/>
      </c>
    </row>
    <row r="3143" customFormat="false" ht="15" hidden="false" customHeight="false" outlineLevel="0" collapsed="false">
      <c r="A3143" s="13" t="n">
        <f aca="false">1+A3142</f>
        <v>3141</v>
      </c>
      <c r="B3143" s="14" t="n">
        <v>100</v>
      </c>
      <c r="C3143" s="15"/>
      <c r="D3143" s="16" t="s">
        <v>64</v>
      </c>
      <c r="E3143" s="17" t="s">
        <v>47</v>
      </c>
      <c r="F3143" s="18" t="s">
        <v>34</v>
      </c>
      <c r="G3143" s="19"/>
      <c r="H3143" s="17" t="s">
        <v>35</v>
      </c>
      <c r="I3143" s="17" t="s">
        <v>44</v>
      </c>
      <c r="J3143" s="17"/>
      <c r="K3143" s="17" t="e">
        <f aca="false">VLOOKUP(J3143,Sheet2!A:B,2,0)</f>
        <v>#N/A</v>
      </c>
      <c r="L3143" s="17" t="n">
        <v>5</v>
      </c>
      <c r="M3143" s="17" t="str">
        <f aca="false">VLOOKUP(L3143,Sheet2!D:E,2,0)</f>
        <v>Main Processor CPU BGA</v>
      </c>
      <c r="N3143" s="17" t="n">
        <v>1</v>
      </c>
      <c r="O3143" s="17" t="str">
        <f aca="false">VLOOKUP(N3143,Sheet2!G:H,2,0)</f>
        <v>Dead</v>
      </c>
      <c r="P3143" s="17" t="n">
        <v>11</v>
      </c>
      <c r="Q3143" s="17" t="str">
        <f aca="false">VLOOKUP(P3143,Sheet2!J:K,2,0)</f>
        <v>IR Declared due to CID -TA</v>
      </c>
      <c r="R3143" s="17" t="s">
        <v>35</v>
      </c>
      <c r="S3143" s="17" t="str">
        <f aca="false">VLOOKUP(R3143,Sheet2!N:O,2,0)</f>
        <v>IREPARABLE</v>
      </c>
      <c r="T3143" s="18" t="str">
        <f aca="false">VLOOKUP(P3143,Sheet2!Q:R,2,0)</f>
        <v>IR Normal - Track burn out</v>
      </c>
      <c r="U3143" s="20" t="s">
        <v>41</v>
      </c>
      <c r="V3143" s="17"/>
      <c r="W3143" s="20" t="e">
        <f aca="false">VLOOKUP(V3143,Sheet2!Q:R,2,0)</f>
        <v>#N/A</v>
      </c>
      <c r="X3143" s="17" t="n">
        <f aca="false">J3143</f>
        <v>0</v>
      </c>
      <c r="Y3143" s="17" t="e">
        <f aca="false">VLOOKUP(X3143,Sheet2!A:B,2,0)</f>
        <v>#N/A</v>
      </c>
      <c r="Z3143" s="17"/>
      <c r="AA3143" s="17"/>
      <c r="AB3143" s="17" t="s">
        <v>41</v>
      </c>
      <c r="AC3143" s="0" t="str">
        <f aca="false">LEFT(G3143,2)</f>
        <v/>
      </c>
    </row>
    <row r="3144" customFormat="false" ht="15" hidden="false" customHeight="false" outlineLevel="0" collapsed="false">
      <c r="A3144" s="13" t="n">
        <f aca="false">1+A3143</f>
        <v>3142</v>
      </c>
      <c r="B3144" s="14" t="n">
        <v>100</v>
      </c>
      <c r="C3144" s="15"/>
      <c r="D3144" s="16" t="s">
        <v>64</v>
      </c>
      <c r="E3144" s="17" t="s">
        <v>47</v>
      </c>
      <c r="F3144" s="18" t="s">
        <v>34</v>
      </c>
      <c r="G3144" s="19"/>
      <c r="H3144" s="17" t="s">
        <v>35</v>
      </c>
      <c r="I3144" s="17" t="s">
        <v>44</v>
      </c>
      <c r="J3144" s="17"/>
      <c r="K3144" s="17" t="e">
        <f aca="false">VLOOKUP(J3144,Sheet2!A:B,2,0)</f>
        <v>#N/A</v>
      </c>
      <c r="L3144" s="17" t="n">
        <v>5</v>
      </c>
      <c r="M3144" s="17" t="str">
        <f aca="false">VLOOKUP(L3144,Sheet2!D:E,2,0)</f>
        <v>Main Processor CPU BGA</v>
      </c>
      <c r="N3144" s="17" t="n">
        <v>1</v>
      </c>
      <c r="O3144" s="17" t="str">
        <f aca="false">VLOOKUP(N3144,Sheet2!G:H,2,0)</f>
        <v>Dead</v>
      </c>
      <c r="P3144" s="17" t="n">
        <v>11</v>
      </c>
      <c r="Q3144" s="17" t="str">
        <f aca="false">VLOOKUP(P3144,Sheet2!J:K,2,0)</f>
        <v>IR Declared due to CID -TA</v>
      </c>
      <c r="R3144" s="17" t="s">
        <v>35</v>
      </c>
      <c r="S3144" s="17" t="str">
        <f aca="false">VLOOKUP(R3144,Sheet2!N:O,2,0)</f>
        <v>IREPARABLE</v>
      </c>
      <c r="T3144" s="18" t="str">
        <f aca="false">VLOOKUP(P3144,Sheet2!Q:R,2,0)</f>
        <v>IR Normal - Track burn out</v>
      </c>
      <c r="U3144" s="20" t="s">
        <v>41</v>
      </c>
      <c r="V3144" s="17"/>
      <c r="W3144" s="20" t="e">
        <f aca="false">VLOOKUP(V3144,Sheet2!Q:R,2,0)</f>
        <v>#N/A</v>
      </c>
      <c r="X3144" s="17" t="n">
        <f aca="false">J3144</f>
        <v>0</v>
      </c>
      <c r="Y3144" s="17" t="e">
        <f aca="false">VLOOKUP(X3144,Sheet2!A:B,2,0)</f>
        <v>#N/A</v>
      </c>
      <c r="Z3144" s="17"/>
      <c r="AA3144" s="17"/>
      <c r="AB3144" s="17" t="s">
        <v>41</v>
      </c>
      <c r="AC3144" s="0" t="str">
        <f aca="false">LEFT(G3144,2)</f>
        <v/>
      </c>
    </row>
    <row r="3145" customFormat="false" ht="15" hidden="false" customHeight="false" outlineLevel="0" collapsed="false">
      <c r="A3145" s="13" t="n">
        <f aca="false">1+A3144</f>
        <v>3143</v>
      </c>
      <c r="B3145" s="14" t="n">
        <v>100</v>
      </c>
      <c r="C3145" s="15"/>
      <c r="D3145" s="16" t="s">
        <v>64</v>
      </c>
      <c r="E3145" s="17" t="s">
        <v>47</v>
      </c>
      <c r="F3145" s="18" t="s">
        <v>34</v>
      </c>
      <c r="G3145" s="19"/>
      <c r="H3145" s="17" t="s">
        <v>35</v>
      </c>
      <c r="I3145" s="17" t="s">
        <v>44</v>
      </c>
      <c r="J3145" s="17"/>
      <c r="K3145" s="17" t="e">
        <f aca="false">VLOOKUP(J3145,Sheet2!A:B,2,0)</f>
        <v>#N/A</v>
      </c>
      <c r="L3145" s="17" t="n">
        <v>5</v>
      </c>
      <c r="M3145" s="17" t="str">
        <f aca="false">VLOOKUP(L3145,Sheet2!D:E,2,0)</f>
        <v>Main Processor CPU BGA</v>
      </c>
      <c r="N3145" s="17" t="n">
        <v>1</v>
      </c>
      <c r="O3145" s="17" t="str">
        <f aca="false">VLOOKUP(N3145,Sheet2!G:H,2,0)</f>
        <v>Dead</v>
      </c>
      <c r="P3145" s="17" t="n">
        <v>11</v>
      </c>
      <c r="Q3145" s="17" t="str">
        <f aca="false">VLOOKUP(P3145,Sheet2!J:K,2,0)</f>
        <v>IR Declared due to CID -TA</v>
      </c>
      <c r="R3145" s="17" t="s">
        <v>35</v>
      </c>
      <c r="S3145" s="17" t="str">
        <f aca="false">VLOOKUP(R3145,Sheet2!N:O,2,0)</f>
        <v>IREPARABLE</v>
      </c>
      <c r="T3145" s="18" t="str">
        <f aca="false">VLOOKUP(P3145,Sheet2!Q:R,2,0)</f>
        <v>IR Normal - Track burn out</v>
      </c>
      <c r="U3145" s="20" t="s">
        <v>41</v>
      </c>
      <c r="V3145" s="17"/>
      <c r="W3145" s="20" t="e">
        <f aca="false">VLOOKUP(V3145,Sheet2!Q:R,2,0)</f>
        <v>#N/A</v>
      </c>
      <c r="X3145" s="17" t="n">
        <f aca="false">J3145</f>
        <v>0</v>
      </c>
      <c r="Y3145" s="17" t="e">
        <f aca="false">VLOOKUP(X3145,Sheet2!A:B,2,0)</f>
        <v>#N/A</v>
      </c>
      <c r="Z3145" s="17"/>
      <c r="AA3145" s="17"/>
      <c r="AB3145" s="17" t="s">
        <v>41</v>
      </c>
      <c r="AC3145" s="0" t="str">
        <f aca="false">LEFT(G3145,2)</f>
        <v/>
      </c>
    </row>
    <row r="3146" customFormat="false" ht="15" hidden="false" customHeight="false" outlineLevel="0" collapsed="false">
      <c r="A3146" s="13" t="n">
        <f aca="false">1+A3145</f>
        <v>3144</v>
      </c>
      <c r="B3146" s="14" t="n">
        <v>100</v>
      </c>
      <c r="C3146" s="15"/>
      <c r="D3146" s="16" t="s">
        <v>64</v>
      </c>
      <c r="E3146" s="17" t="s">
        <v>47</v>
      </c>
      <c r="F3146" s="18" t="s">
        <v>34</v>
      </c>
      <c r="G3146" s="19"/>
      <c r="H3146" s="17" t="s">
        <v>35</v>
      </c>
      <c r="I3146" s="17" t="s">
        <v>44</v>
      </c>
      <c r="J3146" s="17"/>
      <c r="K3146" s="17" t="e">
        <f aca="false">VLOOKUP(J3146,Sheet2!A:B,2,0)</f>
        <v>#N/A</v>
      </c>
      <c r="L3146" s="17" t="n">
        <v>5</v>
      </c>
      <c r="M3146" s="17" t="str">
        <f aca="false">VLOOKUP(L3146,Sheet2!D:E,2,0)</f>
        <v>Main Processor CPU BGA</v>
      </c>
      <c r="N3146" s="17" t="n">
        <v>1</v>
      </c>
      <c r="O3146" s="17" t="str">
        <f aca="false">VLOOKUP(N3146,Sheet2!G:H,2,0)</f>
        <v>Dead</v>
      </c>
      <c r="P3146" s="17" t="n">
        <v>11</v>
      </c>
      <c r="Q3146" s="17" t="str">
        <f aca="false">VLOOKUP(P3146,Sheet2!J:K,2,0)</f>
        <v>IR Declared due to CID -TA</v>
      </c>
      <c r="R3146" s="17" t="s">
        <v>35</v>
      </c>
      <c r="S3146" s="17" t="str">
        <f aca="false">VLOOKUP(R3146,Sheet2!N:O,2,0)</f>
        <v>IREPARABLE</v>
      </c>
      <c r="T3146" s="18" t="str">
        <f aca="false">VLOOKUP(P3146,Sheet2!Q:R,2,0)</f>
        <v>IR Normal - Track burn out</v>
      </c>
      <c r="U3146" s="20" t="s">
        <v>41</v>
      </c>
      <c r="V3146" s="17"/>
      <c r="W3146" s="20" t="e">
        <f aca="false">VLOOKUP(V3146,Sheet2!Q:R,2,0)</f>
        <v>#N/A</v>
      </c>
      <c r="X3146" s="17" t="n">
        <f aca="false">J3146</f>
        <v>0</v>
      </c>
      <c r="Y3146" s="17" t="e">
        <f aca="false">VLOOKUP(X3146,Sheet2!A:B,2,0)</f>
        <v>#N/A</v>
      </c>
      <c r="Z3146" s="17"/>
      <c r="AA3146" s="17"/>
      <c r="AB3146" s="17" t="s">
        <v>41</v>
      </c>
      <c r="AC3146" s="0" t="str">
        <f aca="false">LEFT(G3146,2)</f>
        <v/>
      </c>
    </row>
    <row r="3147" customFormat="false" ht="15" hidden="false" customHeight="false" outlineLevel="0" collapsed="false">
      <c r="A3147" s="13" t="n">
        <f aca="false">1+A3146</f>
        <v>3145</v>
      </c>
      <c r="B3147" s="14" t="n">
        <v>100</v>
      </c>
      <c r="C3147" s="15"/>
      <c r="D3147" s="16" t="s">
        <v>64</v>
      </c>
      <c r="E3147" s="17" t="s">
        <v>47</v>
      </c>
      <c r="F3147" s="18" t="s">
        <v>34</v>
      </c>
      <c r="G3147" s="19"/>
      <c r="H3147" s="17" t="s">
        <v>35</v>
      </c>
      <c r="I3147" s="17" t="s">
        <v>44</v>
      </c>
      <c r="J3147" s="17"/>
      <c r="K3147" s="17" t="e">
        <f aca="false">VLOOKUP(J3147,Sheet2!A:B,2,0)</f>
        <v>#N/A</v>
      </c>
      <c r="L3147" s="17" t="n">
        <v>5</v>
      </c>
      <c r="M3147" s="17" t="str">
        <f aca="false">VLOOKUP(L3147,Sheet2!D:E,2,0)</f>
        <v>Main Processor CPU BGA</v>
      </c>
      <c r="N3147" s="17" t="n">
        <v>1</v>
      </c>
      <c r="O3147" s="17" t="str">
        <f aca="false">VLOOKUP(N3147,Sheet2!G:H,2,0)</f>
        <v>Dead</v>
      </c>
      <c r="P3147" s="17" t="n">
        <v>11</v>
      </c>
      <c r="Q3147" s="17" t="str">
        <f aca="false">VLOOKUP(P3147,Sheet2!J:K,2,0)</f>
        <v>IR Declared due to CID -TA</v>
      </c>
      <c r="R3147" s="17" t="s">
        <v>35</v>
      </c>
      <c r="S3147" s="17" t="str">
        <f aca="false">VLOOKUP(R3147,Sheet2!N:O,2,0)</f>
        <v>IREPARABLE</v>
      </c>
      <c r="T3147" s="18" t="str">
        <f aca="false">VLOOKUP(P3147,Sheet2!Q:R,2,0)</f>
        <v>IR Normal - Track burn out</v>
      </c>
      <c r="U3147" s="20" t="s">
        <v>41</v>
      </c>
      <c r="V3147" s="17"/>
      <c r="W3147" s="20" t="e">
        <f aca="false">VLOOKUP(V3147,Sheet2!Q:R,2,0)</f>
        <v>#N/A</v>
      </c>
      <c r="X3147" s="17" t="n">
        <f aca="false">J3147</f>
        <v>0</v>
      </c>
      <c r="Y3147" s="17" t="e">
        <f aca="false">VLOOKUP(X3147,Sheet2!A:B,2,0)</f>
        <v>#N/A</v>
      </c>
      <c r="Z3147" s="17"/>
      <c r="AA3147" s="17"/>
      <c r="AB3147" s="17" t="s">
        <v>41</v>
      </c>
      <c r="AC3147" s="0" t="str">
        <f aca="false">LEFT(G3147,2)</f>
        <v/>
      </c>
    </row>
    <row r="3148" customFormat="false" ht="15" hidden="false" customHeight="false" outlineLevel="0" collapsed="false">
      <c r="A3148" s="13" t="n">
        <f aca="false">1+A3147</f>
        <v>3146</v>
      </c>
      <c r="B3148" s="14" t="n">
        <v>100</v>
      </c>
      <c r="C3148" s="15"/>
      <c r="D3148" s="16" t="s">
        <v>64</v>
      </c>
      <c r="E3148" s="17" t="s">
        <v>47</v>
      </c>
      <c r="F3148" s="18" t="s">
        <v>34</v>
      </c>
      <c r="G3148" s="19"/>
      <c r="H3148" s="17" t="s">
        <v>35</v>
      </c>
      <c r="I3148" s="17" t="s">
        <v>44</v>
      </c>
      <c r="J3148" s="17"/>
      <c r="K3148" s="17" t="e">
        <f aca="false">VLOOKUP(J3148,Sheet2!A:B,2,0)</f>
        <v>#N/A</v>
      </c>
      <c r="L3148" s="17" t="n">
        <v>5</v>
      </c>
      <c r="M3148" s="17" t="str">
        <f aca="false">VLOOKUP(L3148,Sheet2!D:E,2,0)</f>
        <v>Main Processor CPU BGA</v>
      </c>
      <c r="N3148" s="17" t="n">
        <v>1</v>
      </c>
      <c r="O3148" s="17" t="str">
        <f aca="false">VLOOKUP(N3148,Sheet2!G:H,2,0)</f>
        <v>Dead</v>
      </c>
      <c r="P3148" s="17" t="n">
        <v>11</v>
      </c>
      <c r="Q3148" s="17" t="str">
        <f aca="false">VLOOKUP(P3148,Sheet2!J:K,2,0)</f>
        <v>IR Declared due to CID -TA</v>
      </c>
      <c r="R3148" s="17" t="s">
        <v>35</v>
      </c>
      <c r="S3148" s="17" t="str">
        <f aca="false">VLOOKUP(R3148,Sheet2!N:O,2,0)</f>
        <v>IREPARABLE</v>
      </c>
      <c r="T3148" s="18" t="str">
        <f aca="false">VLOOKUP(P3148,Sheet2!Q:R,2,0)</f>
        <v>IR Normal - Track burn out</v>
      </c>
      <c r="U3148" s="20" t="s">
        <v>41</v>
      </c>
      <c r="V3148" s="17"/>
      <c r="W3148" s="20" t="e">
        <f aca="false">VLOOKUP(V3148,Sheet2!Q:R,2,0)</f>
        <v>#N/A</v>
      </c>
      <c r="X3148" s="17" t="n">
        <f aca="false">J3148</f>
        <v>0</v>
      </c>
      <c r="Y3148" s="17" t="e">
        <f aca="false">VLOOKUP(X3148,Sheet2!A:B,2,0)</f>
        <v>#N/A</v>
      </c>
      <c r="Z3148" s="17"/>
      <c r="AA3148" s="17"/>
      <c r="AB3148" s="17" t="s">
        <v>41</v>
      </c>
      <c r="AC3148" s="0" t="str">
        <f aca="false">LEFT(G3148,2)</f>
        <v/>
      </c>
    </row>
    <row r="3149" customFormat="false" ht="15" hidden="false" customHeight="false" outlineLevel="0" collapsed="false">
      <c r="A3149" s="13" t="n">
        <f aca="false">1+A3148</f>
        <v>3147</v>
      </c>
      <c r="B3149" s="14" t="n">
        <v>100</v>
      </c>
      <c r="C3149" s="15"/>
      <c r="D3149" s="16" t="s">
        <v>64</v>
      </c>
      <c r="E3149" s="17" t="s">
        <v>47</v>
      </c>
      <c r="F3149" s="18" t="s">
        <v>34</v>
      </c>
      <c r="G3149" s="19"/>
      <c r="H3149" s="17" t="s">
        <v>35</v>
      </c>
      <c r="I3149" s="17" t="s">
        <v>44</v>
      </c>
      <c r="J3149" s="17"/>
      <c r="K3149" s="17" t="e">
        <f aca="false">VLOOKUP(J3149,Sheet2!A:B,2,0)</f>
        <v>#N/A</v>
      </c>
      <c r="L3149" s="17" t="n">
        <v>5</v>
      </c>
      <c r="M3149" s="17" t="str">
        <f aca="false">VLOOKUP(L3149,Sheet2!D:E,2,0)</f>
        <v>Main Processor CPU BGA</v>
      </c>
      <c r="N3149" s="17" t="n">
        <v>1</v>
      </c>
      <c r="O3149" s="17" t="str">
        <f aca="false">VLOOKUP(N3149,Sheet2!G:H,2,0)</f>
        <v>Dead</v>
      </c>
      <c r="P3149" s="17" t="n">
        <v>11</v>
      </c>
      <c r="Q3149" s="17" t="str">
        <f aca="false">VLOOKUP(P3149,Sheet2!J:K,2,0)</f>
        <v>IR Declared due to CID -TA</v>
      </c>
      <c r="R3149" s="17" t="s">
        <v>35</v>
      </c>
      <c r="S3149" s="17" t="str">
        <f aca="false">VLOOKUP(R3149,Sheet2!N:O,2,0)</f>
        <v>IREPARABLE</v>
      </c>
      <c r="T3149" s="18" t="str">
        <f aca="false">VLOOKUP(P3149,Sheet2!Q:R,2,0)</f>
        <v>IR Normal - Track burn out</v>
      </c>
      <c r="U3149" s="20" t="s">
        <v>41</v>
      </c>
      <c r="V3149" s="17"/>
      <c r="W3149" s="20" t="e">
        <f aca="false">VLOOKUP(V3149,Sheet2!Q:R,2,0)</f>
        <v>#N/A</v>
      </c>
      <c r="X3149" s="17" t="n">
        <f aca="false">J3149</f>
        <v>0</v>
      </c>
      <c r="Y3149" s="17" t="e">
        <f aca="false">VLOOKUP(X3149,Sheet2!A:B,2,0)</f>
        <v>#N/A</v>
      </c>
      <c r="Z3149" s="17"/>
      <c r="AA3149" s="17"/>
      <c r="AB3149" s="17" t="s">
        <v>41</v>
      </c>
      <c r="AC3149" s="0" t="str">
        <f aca="false">LEFT(G3149,2)</f>
        <v/>
      </c>
    </row>
    <row r="3150" customFormat="false" ht="15" hidden="false" customHeight="false" outlineLevel="0" collapsed="false">
      <c r="A3150" s="13" t="n">
        <f aca="false">1+A3149</f>
        <v>3148</v>
      </c>
      <c r="B3150" s="14" t="n">
        <v>100</v>
      </c>
      <c r="C3150" s="15"/>
      <c r="D3150" s="16" t="s">
        <v>64</v>
      </c>
      <c r="E3150" s="17" t="s">
        <v>47</v>
      </c>
      <c r="F3150" s="18" t="s">
        <v>34</v>
      </c>
      <c r="G3150" s="19"/>
      <c r="H3150" s="17" t="s">
        <v>35</v>
      </c>
      <c r="I3150" s="17" t="s">
        <v>44</v>
      </c>
      <c r="J3150" s="17"/>
      <c r="K3150" s="17" t="e">
        <f aca="false">VLOOKUP(J3150,Sheet2!A:B,2,0)</f>
        <v>#N/A</v>
      </c>
      <c r="L3150" s="17" t="n">
        <v>5</v>
      </c>
      <c r="M3150" s="17" t="str">
        <f aca="false">VLOOKUP(L3150,Sheet2!D:E,2,0)</f>
        <v>Main Processor CPU BGA</v>
      </c>
      <c r="N3150" s="17" t="n">
        <v>1</v>
      </c>
      <c r="O3150" s="17" t="str">
        <f aca="false">VLOOKUP(N3150,Sheet2!G:H,2,0)</f>
        <v>Dead</v>
      </c>
      <c r="P3150" s="17" t="n">
        <v>11</v>
      </c>
      <c r="Q3150" s="17" t="str">
        <f aca="false">VLOOKUP(P3150,Sheet2!J:K,2,0)</f>
        <v>IR Declared due to CID -TA</v>
      </c>
      <c r="R3150" s="17" t="s">
        <v>35</v>
      </c>
      <c r="S3150" s="17" t="str">
        <f aca="false">VLOOKUP(R3150,Sheet2!N:O,2,0)</f>
        <v>IREPARABLE</v>
      </c>
      <c r="T3150" s="18" t="str">
        <f aca="false">VLOOKUP(P3150,Sheet2!Q:R,2,0)</f>
        <v>IR Normal - Track burn out</v>
      </c>
      <c r="U3150" s="20" t="s">
        <v>41</v>
      </c>
      <c r="V3150" s="17"/>
      <c r="W3150" s="20" t="e">
        <f aca="false">VLOOKUP(V3150,Sheet2!Q:R,2,0)</f>
        <v>#N/A</v>
      </c>
      <c r="X3150" s="17" t="n">
        <f aca="false">J3150</f>
        <v>0</v>
      </c>
      <c r="Y3150" s="17" t="e">
        <f aca="false">VLOOKUP(X3150,Sheet2!A:B,2,0)</f>
        <v>#N/A</v>
      </c>
      <c r="Z3150" s="17"/>
      <c r="AA3150" s="17"/>
      <c r="AB3150" s="17" t="s">
        <v>41</v>
      </c>
      <c r="AC3150" s="0" t="str">
        <f aca="false">LEFT(G3150,2)</f>
        <v/>
      </c>
    </row>
    <row r="3151" customFormat="false" ht="15" hidden="false" customHeight="false" outlineLevel="0" collapsed="false">
      <c r="A3151" s="13" t="n">
        <f aca="false">1+A3150</f>
        <v>3149</v>
      </c>
      <c r="B3151" s="14" t="n">
        <v>100</v>
      </c>
      <c r="C3151" s="15"/>
      <c r="D3151" s="16" t="s">
        <v>64</v>
      </c>
      <c r="E3151" s="17" t="s">
        <v>47</v>
      </c>
      <c r="F3151" s="18" t="s">
        <v>34</v>
      </c>
      <c r="G3151" s="19"/>
      <c r="H3151" s="17" t="s">
        <v>35</v>
      </c>
      <c r="I3151" s="17" t="s">
        <v>44</v>
      </c>
      <c r="J3151" s="17"/>
      <c r="K3151" s="17" t="e">
        <f aca="false">VLOOKUP(J3151,Sheet2!A:B,2,0)</f>
        <v>#N/A</v>
      </c>
      <c r="L3151" s="17" t="n">
        <v>5</v>
      </c>
      <c r="M3151" s="17" t="str">
        <f aca="false">VLOOKUP(L3151,Sheet2!D:E,2,0)</f>
        <v>Main Processor CPU BGA</v>
      </c>
      <c r="N3151" s="17" t="n">
        <v>1</v>
      </c>
      <c r="O3151" s="17" t="str">
        <f aca="false">VLOOKUP(N3151,Sheet2!G:H,2,0)</f>
        <v>Dead</v>
      </c>
      <c r="P3151" s="17" t="n">
        <v>11</v>
      </c>
      <c r="Q3151" s="17" t="str">
        <f aca="false">VLOOKUP(P3151,Sheet2!J:K,2,0)</f>
        <v>IR Declared due to CID -TA</v>
      </c>
      <c r="R3151" s="17" t="s">
        <v>35</v>
      </c>
      <c r="S3151" s="17" t="str">
        <f aca="false">VLOOKUP(R3151,Sheet2!N:O,2,0)</f>
        <v>IREPARABLE</v>
      </c>
      <c r="T3151" s="18" t="str">
        <f aca="false">VLOOKUP(P3151,Sheet2!Q:R,2,0)</f>
        <v>IR Normal - Track burn out</v>
      </c>
      <c r="U3151" s="20" t="s">
        <v>41</v>
      </c>
      <c r="V3151" s="17"/>
      <c r="W3151" s="20" t="e">
        <f aca="false">VLOOKUP(V3151,Sheet2!Q:R,2,0)</f>
        <v>#N/A</v>
      </c>
      <c r="X3151" s="17" t="n">
        <f aca="false">J3151</f>
        <v>0</v>
      </c>
      <c r="Y3151" s="17" t="e">
        <f aca="false">VLOOKUP(X3151,Sheet2!A:B,2,0)</f>
        <v>#N/A</v>
      </c>
      <c r="Z3151" s="17"/>
      <c r="AA3151" s="17"/>
      <c r="AB3151" s="17" t="s">
        <v>41</v>
      </c>
      <c r="AC3151" s="0" t="str">
        <f aca="false">LEFT(G3151,2)</f>
        <v/>
      </c>
    </row>
    <row r="3152" customFormat="false" ht="15" hidden="false" customHeight="false" outlineLevel="0" collapsed="false">
      <c r="A3152" s="13" t="n">
        <f aca="false">1+A3151</f>
        <v>3150</v>
      </c>
      <c r="B3152" s="14" t="n">
        <v>100</v>
      </c>
      <c r="C3152" s="15"/>
      <c r="D3152" s="16" t="s">
        <v>64</v>
      </c>
      <c r="E3152" s="17" t="s">
        <v>47</v>
      </c>
      <c r="F3152" s="18" t="s">
        <v>34</v>
      </c>
      <c r="G3152" s="19"/>
      <c r="H3152" s="17" t="s">
        <v>35</v>
      </c>
      <c r="I3152" s="17" t="s">
        <v>44</v>
      </c>
      <c r="J3152" s="17"/>
      <c r="K3152" s="17" t="e">
        <f aca="false">VLOOKUP(J3152,Sheet2!A:B,2,0)</f>
        <v>#N/A</v>
      </c>
      <c r="L3152" s="17" t="n">
        <v>5</v>
      </c>
      <c r="M3152" s="17" t="str">
        <f aca="false">VLOOKUP(L3152,Sheet2!D:E,2,0)</f>
        <v>Main Processor CPU BGA</v>
      </c>
      <c r="N3152" s="17" t="n">
        <v>1</v>
      </c>
      <c r="O3152" s="17" t="str">
        <f aca="false">VLOOKUP(N3152,Sheet2!G:H,2,0)</f>
        <v>Dead</v>
      </c>
      <c r="P3152" s="17" t="n">
        <v>11</v>
      </c>
      <c r="Q3152" s="17" t="str">
        <f aca="false">VLOOKUP(P3152,Sheet2!J:K,2,0)</f>
        <v>IR Declared due to CID -TA</v>
      </c>
      <c r="R3152" s="17" t="s">
        <v>35</v>
      </c>
      <c r="S3152" s="17" t="str">
        <f aca="false">VLOOKUP(R3152,Sheet2!N:O,2,0)</f>
        <v>IREPARABLE</v>
      </c>
      <c r="T3152" s="18" t="str">
        <f aca="false">VLOOKUP(P3152,Sheet2!Q:R,2,0)</f>
        <v>IR Normal - Track burn out</v>
      </c>
      <c r="U3152" s="20" t="s">
        <v>41</v>
      </c>
      <c r="V3152" s="17"/>
      <c r="W3152" s="20" t="e">
        <f aca="false">VLOOKUP(V3152,Sheet2!Q:R,2,0)</f>
        <v>#N/A</v>
      </c>
      <c r="X3152" s="17" t="n">
        <f aca="false">J3152</f>
        <v>0</v>
      </c>
      <c r="Y3152" s="17" t="e">
        <f aca="false">VLOOKUP(X3152,Sheet2!A:B,2,0)</f>
        <v>#N/A</v>
      </c>
      <c r="Z3152" s="17"/>
      <c r="AA3152" s="17"/>
      <c r="AB3152" s="17" t="s">
        <v>41</v>
      </c>
      <c r="AC3152" s="0" t="str">
        <f aca="false">LEFT(G3152,2)</f>
        <v/>
      </c>
    </row>
    <row r="3153" customFormat="false" ht="15" hidden="false" customHeight="false" outlineLevel="0" collapsed="false">
      <c r="A3153" s="13" t="n">
        <f aca="false">1+A3152</f>
        <v>3151</v>
      </c>
      <c r="B3153" s="14" t="n">
        <v>100</v>
      </c>
      <c r="C3153" s="15"/>
      <c r="D3153" s="16" t="s">
        <v>64</v>
      </c>
      <c r="E3153" s="17" t="s">
        <v>47</v>
      </c>
      <c r="F3153" s="18" t="s">
        <v>34</v>
      </c>
      <c r="G3153" s="19"/>
      <c r="H3153" s="17" t="s">
        <v>35</v>
      </c>
      <c r="I3153" s="17" t="s">
        <v>44</v>
      </c>
      <c r="J3153" s="17"/>
      <c r="K3153" s="17" t="e">
        <f aca="false">VLOOKUP(J3153,Sheet2!A:B,2,0)</f>
        <v>#N/A</v>
      </c>
      <c r="L3153" s="17" t="n">
        <v>5</v>
      </c>
      <c r="M3153" s="17" t="str">
        <f aca="false">VLOOKUP(L3153,Sheet2!D:E,2,0)</f>
        <v>Main Processor CPU BGA</v>
      </c>
      <c r="N3153" s="17" t="n">
        <v>1</v>
      </c>
      <c r="O3153" s="17" t="str">
        <f aca="false">VLOOKUP(N3153,Sheet2!G:H,2,0)</f>
        <v>Dead</v>
      </c>
      <c r="P3153" s="17" t="n">
        <v>11</v>
      </c>
      <c r="Q3153" s="17" t="str">
        <f aca="false">VLOOKUP(P3153,Sheet2!J:K,2,0)</f>
        <v>IR Declared due to CID -TA</v>
      </c>
      <c r="R3153" s="17" t="s">
        <v>35</v>
      </c>
      <c r="S3153" s="17" t="str">
        <f aca="false">VLOOKUP(R3153,Sheet2!N:O,2,0)</f>
        <v>IREPARABLE</v>
      </c>
      <c r="T3153" s="18" t="str">
        <f aca="false">VLOOKUP(P3153,Sheet2!Q:R,2,0)</f>
        <v>IR Normal - Track burn out</v>
      </c>
      <c r="U3153" s="20" t="s">
        <v>41</v>
      </c>
      <c r="V3153" s="17"/>
      <c r="W3153" s="20" t="e">
        <f aca="false">VLOOKUP(V3153,Sheet2!Q:R,2,0)</f>
        <v>#N/A</v>
      </c>
      <c r="X3153" s="17" t="n">
        <f aca="false">J3153</f>
        <v>0</v>
      </c>
      <c r="Y3153" s="17" t="e">
        <f aca="false">VLOOKUP(X3153,Sheet2!A:B,2,0)</f>
        <v>#N/A</v>
      </c>
      <c r="Z3153" s="17"/>
      <c r="AA3153" s="17"/>
      <c r="AB3153" s="17" t="s">
        <v>41</v>
      </c>
      <c r="AC3153" s="0" t="str">
        <f aca="false">LEFT(G3153,2)</f>
        <v/>
      </c>
    </row>
    <row r="3154" customFormat="false" ht="15" hidden="false" customHeight="false" outlineLevel="0" collapsed="false">
      <c r="A3154" s="13" t="n">
        <f aca="false">1+A3153</f>
        <v>3152</v>
      </c>
      <c r="B3154" s="14" t="n">
        <v>100</v>
      </c>
      <c r="C3154" s="15"/>
      <c r="D3154" s="16" t="s">
        <v>64</v>
      </c>
      <c r="E3154" s="17" t="s">
        <v>47</v>
      </c>
      <c r="F3154" s="18" t="s">
        <v>34</v>
      </c>
      <c r="G3154" s="19"/>
      <c r="H3154" s="17" t="s">
        <v>35</v>
      </c>
      <c r="I3154" s="17" t="s">
        <v>44</v>
      </c>
      <c r="J3154" s="17"/>
      <c r="K3154" s="17" t="e">
        <f aca="false">VLOOKUP(J3154,Sheet2!A:B,2,0)</f>
        <v>#N/A</v>
      </c>
      <c r="L3154" s="17" t="n">
        <v>5</v>
      </c>
      <c r="M3154" s="17" t="str">
        <f aca="false">VLOOKUP(L3154,Sheet2!D:E,2,0)</f>
        <v>Main Processor CPU BGA</v>
      </c>
      <c r="N3154" s="17" t="n">
        <v>1</v>
      </c>
      <c r="O3154" s="17" t="str">
        <f aca="false">VLOOKUP(N3154,Sheet2!G:H,2,0)</f>
        <v>Dead</v>
      </c>
      <c r="P3154" s="17" t="n">
        <v>11</v>
      </c>
      <c r="Q3154" s="17" t="str">
        <f aca="false">VLOOKUP(P3154,Sheet2!J:K,2,0)</f>
        <v>IR Declared due to CID -TA</v>
      </c>
      <c r="R3154" s="17" t="s">
        <v>35</v>
      </c>
      <c r="S3154" s="17" t="str">
        <f aca="false">VLOOKUP(R3154,Sheet2!N:O,2,0)</f>
        <v>IREPARABLE</v>
      </c>
      <c r="T3154" s="18" t="str">
        <f aca="false">VLOOKUP(P3154,Sheet2!Q:R,2,0)</f>
        <v>IR Normal - Track burn out</v>
      </c>
      <c r="U3154" s="20" t="s">
        <v>41</v>
      </c>
      <c r="V3154" s="17"/>
      <c r="W3154" s="20" t="e">
        <f aca="false">VLOOKUP(V3154,Sheet2!Q:R,2,0)</f>
        <v>#N/A</v>
      </c>
      <c r="X3154" s="17" t="n">
        <f aca="false">J3154</f>
        <v>0</v>
      </c>
      <c r="Y3154" s="17" t="e">
        <f aca="false">VLOOKUP(X3154,Sheet2!A:B,2,0)</f>
        <v>#N/A</v>
      </c>
      <c r="Z3154" s="17"/>
      <c r="AA3154" s="17"/>
      <c r="AB3154" s="17" t="s">
        <v>41</v>
      </c>
      <c r="AC3154" s="0" t="str">
        <f aca="false">LEFT(G3154,2)</f>
        <v/>
      </c>
    </row>
    <row r="3155" customFormat="false" ht="15" hidden="false" customHeight="false" outlineLevel="0" collapsed="false">
      <c r="A3155" s="13" t="n">
        <f aca="false">1+A3154</f>
        <v>3153</v>
      </c>
      <c r="B3155" s="14" t="n">
        <v>100</v>
      </c>
      <c r="C3155" s="15"/>
      <c r="D3155" s="16" t="s">
        <v>64</v>
      </c>
      <c r="E3155" s="17" t="s">
        <v>47</v>
      </c>
      <c r="F3155" s="18" t="s">
        <v>34</v>
      </c>
      <c r="G3155" s="19"/>
      <c r="H3155" s="17" t="s">
        <v>35</v>
      </c>
      <c r="I3155" s="17" t="s">
        <v>44</v>
      </c>
      <c r="J3155" s="17"/>
      <c r="K3155" s="17" t="e">
        <f aca="false">VLOOKUP(J3155,Sheet2!A:B,2,0)</f>
        <v>#N/A</v>
      </c>
      <c r="L3155" s="17" t="n">
        <v>5</v>
      </c>
      <c r="M3155" s="17" t="str">
        <f aca="false">VLOOKUP(L3155,Sheet2!D:E,2,0)</f>
        <v>Main Processor CPU BGA</v>
      </c>
      <c r="N3155" s="17" t="n">
        <v>1</v>
      </c>
      <c r="O3155" s="17" t="str">
        <f aca="false">VLOOKUP(N3155,Sheet2!G:H,2,0)</f>
        <v>Dead</v>
      </c>
      <c r="P3155" s="17" t="n">
        <v>11</v>
      </c>
      <c r="Q3155" s="17" t="str">
        <f aca="false">VLOOKUP(P3155,Sheet2!J:K,2,0)</f>
        <v>IR Declared due to CID -TA</v>
      </c>
      <c r="R3155" s="17" t="s">
        <v>35</v>
      </c>
      <c r="S3155" s="17" t="str">
        <f aca="false">VLOOKUP(R3155,Sheet2!N:O,2,0)</f>
        <v>IREPARABLE</v>
      </c>
      <c r="T3155" s="18" t="str">
        <f aca="false">VLOOKUP(P3155,Sheet2!Q:R,2,0)</f>
        <v>IR Normal - Track burn out</v>
      </c>
      <c r="U3155" s="20" t="s">
        <v>41</v>
      </c>
      <c r="V3155" s="17"/>
      <c r="W3155" s="20" t="e">
        <f aca="false">VLOOKUP(V3155,Sheet2!Q:R,2,0)</f>
        <v>#N/A</v>
      </c>
      <c r="X3155" s="17" t="n">
        <f aca="false">J3155</f>
        <v>0</v>
      </c>
      <c r="Y3155" s="17" t="e">
        <f aca="false">VLOOKUP(X3155,Sheet2!A:B,2,0)</f>
        <v>#N/A</v>
      </c>
      <c r="Z3155" s="17"/>
      <c r="AA3155" s="17"/>
      <c r="AB3155" s="17" t="s">
        <v>41</v>
      </c>
      <c r="AC3155" s="0" t="str">
        <f aca="false">LEFT(G3155,2)</f>
        <v/>
      </c>
    </row>
    <row r="3156" customFormat="false" ht="15" hidden="false" customHeight="false" outlineLevel="0" collapsed="false">
      <c r="A3156" s="13" t="n">
        <f aca="false">1+A3155</f>
        <v>3154</v>
      </c>
      <c r="B3156" s="14" t="n">
        <v>100</v>
      </c>
      <c r="C3156" s="15"/>
      <c r="D3156" s="16" t="s">
        <v>64</v>
      </c>
      <c r="E3156" s="17" t="s">
        <v>47</v>
      </c>
      <c r="F3156" s="18" t="s">
        <v>34</v>
      </c>
      <c r="G3156" s="19"/>
      <c r="H3156" s="17" t="s">
        <v>35</v>
      </c>
      <c r="I3156" s="17" t="s">
        <v>44</v>
      </c>
      <c r="J3156" s="17"/>
      <c r="K3156" s="17" t="e">
        <f aca="false">VLOOKUP(J3156,Sheet2!A:B,2,0)</f>
        <v>#N/A</v>
      </c>
      <c r="L3156" s="17" t="n">
        <v>5</v>
      </c>
      <c r="M3156" s="17" t="str">
        <f aca="false">VLOOKUP(L3156,Sheet2!D:E,2,0)</f>
        <v>Main Processor CPU BGA</v>
      </c>
      <c r="N3156" s="17" t="n">
        <v>1</v>
      </c>
      <c r="O3156" s="17" t="str">
        <f aca="false">VLOOKUP(N3156,Sheet2!G:H,2,0)</f>
        <v>Dead</v>
      </c>
      <c r="P3156" s="17" t="n">
        <v>11</v>
      </c>
      <c r="Q3156" s="17" t="str">
        <f aca="false">VLOOKUP(P3156,Sheet2!J:K,2,0)</f>
        <v>IR Declared due to CID -TA</v>
      </c>
      <c r="R3156" s="17" t="s">
        <v>35</v>
      </c>
      <c r="S3156" s="17" t="str">
        <f aca="false">VLOOKUP(R3156,Sheet2!N:O,2,0)</f>
        <v>IREPARABLE</v>
      </c>
      <c r="T3156" s="18" t="str">
        <f aca="false">VLOOKUP(P3156,Sheet2!Q:R,2,0)</f>
        <v>IR Normal - Track burn out</v>
      </c>
      <c r="U3156" s="20" t="s">
        <v>41</v>
      </c>
      <c r="V3156" s="17"/>
      <c r="W3156" s="20" t="e">
        <f aca="false">VLOOKUP(V3156,Sheet2!Q:R,2,0)</f>
        <v>#N/A</v>
      </c>
      <c r="X3156" s="17" t="n">
        <f aca="false">J3156</f>
        <v>0</v>
      </c>
      <c r="Y3156" s="17" t="e">
        <f aca="false">VLOOKUP(X3156,Sheet2!A:B,2,0)</f>
        <v>#N/A</v>
      </c>
      <c r="Z3156" s="17"/>
      <c r="AA3156" s="17"/>
      <c r="AB3156" s="17" t="s">
        <v>41</v>
      </c>
      <c r="AC3156" s="0" t="str">
        <f aca="false">LEFT(G3156,2)</f>
        <v/>
      </c>
    </row>
    <row r="3157" customFormat="false" ht="15" hidden="false" customHeight="false" outlineLevel="0" collapsed="false">
      <c r="A3157" s="13" t="n">
        <f aca="false">1+A3156</f>
        <v>3155</v>
      </c>
      <c r="B3157" s="14" t="n">
        <v>100</v>
      </c>
      <c r="C3157" s="15"/>
      <c r="D3157" s="16" t="s">
        <v>64</v>
      </c>
      <c r="E3157" s="17" t="s">
        <v>47</v>
      </c>
      <c r="F3157" s="18" t="s">
        <v>34</v>
      </c>
      <c r="G3157" s="19"/>
      <c r="H3157" s="17" t="s">
        <v>35</v>
      </c>
      <c r="I3157" s="17" t="s">
        <v>44</v>
      </c>
      <c r="J3157" s="17"/>
      <c r="K3157" s="17" t="e">
        <f aca="false">VLOOKUP(J3157,Sheet2!A:B,2,0)</f>
        <v>#N/A</v>
      </c>
      <c r="L3157" s="17" t="n">
        <v>5</v>
      </c>
      <c r="M3157" s="17" t="str">
        <f aca="false">VLOOKUP(L3157,Sheet2!D:E,2,0)</f>
        <v>Main Processor CPU BGA</v>
      </c>
      <c r="N3157" s="17" t="n">
        <v>1</v>
      </c>
      <c r="O3157" s="17" t="str">
        <f aca="false">VLOOKUP(N3157,Sheet2!G:H,2,0)</f>
        <v>Dead</v>
      </c>
      <c r="P3157" s="17" t="n">
        <v>11</v>
      </c>
      <c r="Q3157" s="17" t="str">
        <f aca="false">VLOOKUP(P3157,Sheet2!J:K,2,0)</f>
        <v>IR Declared due to CID -TA</v>
      </c>
      <c r="R3157" s="17" t="s">
        <v>35</v>
      </c>
      <c r="S3157" s="17" t="str">
        <f aca="false">VLOOKUP(R3157,Sheet2!N:O,2,0)</f>
        <v>IREPARABLE</v>
      </c>
      <c r="T3157" s="18" t="str">
        <f aca="false">VLOOKUP(P3157,Sheet2!Q:R,2,0)</f>
        <v>IR Normal - Track burn out</v>
      </c>
      <c r="U3157" s="20" t="s">
        <v>41</v>
      </c>
      <c r="V3157" s="17"/>
      <c r="W3157" s="20" t="e">
        <f aca="false">VLOOKUP(V3157,Sheet2!Q:R,2,0)</f>
        <v>#N/A</v>
      </c>
      <c r="X3157" s="17" t="n">
        <f aca="false">J3157</f>
        <v>0</v>
      </c>
      <c r="Y3157" s="17" t="e">
        <f aca="false">VLOOKUP(X3157,Sheet2!A:B,2,0)</f>
        <v>#N/A</v>
      </c>
      <c r="Z3157" s="17"/>
      <c r="AA3157" s="17"/>
      <c r="AB3157" s="17" t="s">
        <v>41</v>
      </c>
      <c r="AC3157" s="0" t="str">
        <f aca="false">LEFT(G3157,2)</f>
        <v/>
      </c>
    </row>
    <row r="3158" customFormat="false" ht="15" hidden="false" customHeight="false" outlineLevel="0" collapsed="false">
      <c r="A3158" s="13" t="n">
        <f aca="false">1+A3157</f>
        <v>3156</v>
      </c>
      <c r="B3158" s="14" t="n">
        <v>100</v>
      </c>
      <c r="C3158" s="15"/>
      <c r="D3158" s="16" t="s">
        <v>64</v>
      </c>
      <c r="E3158" s="17" t="s">
        <v>47</v>
      </c>
      <c r="F3158" s="18" t="s">
        <v>34</v>
      </c>
      <c r="G3158" s="19"/>
      <c r="H3158" s="17" t="s">
        <v>35</v>
      </c>
      <c r="I3158" s="17" t="s">
        <v>44</v>
      </c>
      <c r="J3158" s="17"/>
      <c r="K3158" s="17" t="e">
        <f aca="false">VLOOKUP(J3158,Sheet2!A:B,2,0)</f>
        <v>#N/A</v>
      </c>
      <c r="L3158" s="17" t="n">
        <v>5</v>
      </c>
      <c r="M3158" s="17" t="str">
        <f aca="false">VLOOKUP(L3158,Sheet2!D:E,2,0)</f>
        <v>Main Processor CPU BGA</v>
      </c>
      <c r="N3158" s="17" t="n">
        <v>1</v>
      </c>
      <c r="O3158" s="17" t="str">
        <f aca="false">VLOOKUP(N3158,Sheet2!G:H,2,0)</f>
        <v>Dead</v>
      </c>
      <c r="P3158" s="17" t="n">
        <v>11</v>
      </c>
      <c r="Q3158" s="17" t="str">
        <f aca="false">VLOOKUP(P3158,Sheet2!J:K,2,0)</f>
        <v>IR Declared due to CID -TA</v>
      </c>
      <c r="R3158" s="17" t="s">
        <v>35</v>
      </c>
      <c r="S3158" s="17" t="str">
        <f aca="false">VLOOKUP(R3158,Sheet2!N:O,2,0)</f>
        <v>IREPARABLE</v>
      </c>
      <c r="T3158" s="18" t="str">
        <f aca="false">VLOOKUP(P3158,Sheet2!Q:R,2,0)</f>
        <v>IR Normal - Track burn out</v>
      </c>
      <c r="U3158" s="20" t="s">
        <v>41</v>
      </c>
      <c r="V3158" s="17"/>
      <c r="W3158" s="20" t="e">
        <f aca="false">VLOOKUP(V3158,Sheet2!Q:R,2,0)</f>
        <v>#N/A</v>
      </c>
      <c r="X3158" s="17" t="n">
        <f aca="false">J3158</f>
        <v>0</v>
      </c>
      <c r="Y3158" s="17" t="e">
        <f aca="false">VLOOKUP(X3158,Sheet2!A:B,2,0)</f>
        <v>#N/A</v>
      </c>
      <c r="Z3158" s="17"/>
      <c r="AA3158" s="17"/>
      <c r="AB3158" s="17" t="s">
        <v>41</v>
      </c>
      <c r="AC3158" s="0" t="str">
        <f aca="false">LEFT(G3158,2)</f>
        <v/>
      </c>
    </row>
    <row r="3159" customFormat="false" ht="15" hidden="false" customHeight="false" outlineLevel="0" collapsed="false">
      <c r="A3159" s="13" t="n">
        <f aca="false">1+A3158</f>
        <v>3157</v>
      </c>
      <c r="B3159" s="14" t="n">
        <v>100</v>
      </c>
      <c r="C3159" s="15"/>
      <c r="D3159" s="16" t="s">
        <v>64</v>
      </c>
      <c r="E3159" s="17" t="s">
        <v>47</v>
      </c>
      <c r="F3159" s="18" t="s">
        <v>34</v>
      </c>
      <c r="G3159" s="19"/>
      <c r="H3159" s="17" t="s">
        <v>35</v>
      </c>
      <c r="I3159" s="17" t="s">
        <v>44</v>
      </c>
      <c r="J3159" s="17"/>
      <c r="K3159" s="17" t="e">
        <f aca="false">VLOOKUP(J3159,Sheet2!A:B,2,0)</f>
        <v>#N/A</v>
      </c>
      <c r="L3159" s="17" t="n">
        <v>5</v>
      </c>
      <c r="M3159" s="17" t="str">
        <f aca="false">VLOOKUP(L3159,Sheet2!D:E,2,0)</f>
        <v>Main Processor CPU BGA</v>
      </c>
      <c r="N3159" s="17" t="n">
        <v>1</v>
      </c>
      <c r="O3159" s="17" t="str">
        <f aca="false">VLOOKUP(N3159,Sheet2!G:H,2,0)</f>
        <v>Dead</v>
      </c>
      <c r="P3159" s="17" t="n">
        <v>11</v>
      </c>
      <c r="Q3159" s="17" t="str">
        <f aca="false">VLOOKUP(P3159,Sheet2!J:K,2,0)</f>
        <v>IR Declared due to CID -TA</v>
      </c>
      <c r="R3159" s="17" t="s">
        <v>35</v>
      </c>
      <c r="S3159" s="17" t="str">
        <f aca="false">VLOOKUP(R3159,Sheet2!N:O,2,0)</f>
        <v>IREPARABLE</v>
      </c>
      <c r="T3159" s="18" t="str">
        <f aca="false">VLOOKUP(P3159,Sheet2!Q:R,2,0)</f>
        <v>IR Normal - Track burn out</v>
      </c>
      <c r="U3159" s="20" t="s">
        <v>41</v>
      </c>
      <c r="V3159" s="17"/>
      <c r="W3159" s="20" t="e">
        <f aca="false">VLOOKUP(V3159,Sheet2!Q:R,2,0)</f>
        <v>#N/A</v>
      </c>
      <c r="X3159" s="17" t="n">
        <f aca="false">J3159</f>
        <v>0</v>
      </c>
      <c r="Y3159" s="17" t="e">
        <f aca="false">VLOOKUP(X3159,Sheet2!A:B,2,0)</f>
        <v>#N/A</v>
      </c>
      <c r="Z3159" s="17"/>
      <c r="AA3159" s="17"/>
      <c r="AB3159" s="17" t="s">
        <v>41</v>
      </c>
      <c r="AC3159" s="0" t="str">
        <f aca="false">LEFT(G3159,2)</f>
        <v/>
      </c>
    </row>
    <row r="3160" customFormat="false" ht="15" hidden="false" customHeight="false" outlineLevel="0" collapsed="false">
      <c r="A3160" s="13" t="n">
        <f aca="false">1+A3159</f>
        <v>3158</v>
      </c>
      <c r="B3160" s="14" t="n">
        <v>100</v>
      </c>
      <c r="C3160" s="15"/>
      <c r="D3160" s="16" t="s">
        <v>64</v>
      </c>
      <c r="E3160" s="17" t="s">
        <v>47</v>
      </c>
      <c r="F3160" s="18" t="s">
        <v>34</v>
      </c>
      <c r="G3160" s="19"/>
      <c r="H3160" s="17" t="s">
        <v>35</v>
      </c>
      <c r="I3160" s="17" t="s">
        <v>44</v>
      </c>
      <c r="J3160" s="17"/>
      <c r="K3160" s="17" t="e">
        <f aca="false">VLOOKUP(J3160,Sheet2!A:B,2,0)</f>
        <v>#N/A</v>
      </c>
      <c r="L3160" s="17" t="n">
        <v>5</v>
      </c>
      <c r="M3160" s="17" t="str">
        <f aca="false">VLOOKUP(L3160,Sheet2!D:E,2,0)</f>
        <v>Main Processor CPU BGA</v>
      </c>
      <c r="N3160" s="17" t="n">
        <v>1</v>
      </c>
      <c r="O3160" s="17" t="str">
        <f aca="false">VLOOKUP(N3160,Sheet2!G:H,2,0)</f>
        <v>Dead</v>
      </c>
      <c r="P3160" s="17" t="n">
        <v>11</v>
      </c>
      <c r="Q3160" s="17" t="str">
        <f aca="false">VLOOKUP(P3160,Sheet2!J:K,2,0)</f>
        <v>IR Declared due to CID -TA</v>
      </c>
      <c r="R3160" s="17" t="s">
        <v>35</v>
      </c>
      <c r="S3160" s="17" t="str">
        <f aca="false">VLOOKUP(R3160,Sheet2!N:O,2,0)</f>
        <v>IREPARABLE</v>
      </c>
      <c r="T3160" s="18" t="str">
        <f aca="false">VLOOKUP(P3160,Sheet2!Q:R,2,0)</f>
        <v>IR Normal - Track burn out</v>
      </c>
      <c r="U3160" s="20" t="s">
        <v>41</v>
      </c>
      <c r="V3160" s="17"/>
      <c r="W3160" s="20" t="e">
        <f aca="false">VLOOKUP(V3160,Sheet2!Q:R,2,0)</f>
        <v>#N/A</v>
      </c>
      <c r="X3160" s="17" t="n">
        <f aca="false">J3160</f>
        <v>0</v>
      </c>
      <c r="Y3160" s="17" t="e">
        <f aca="false">VLOOKUP(X3160,Sheet2!A:B,2,0)</f>
        <v>#N/A</v>
      </c>
      <c r="Z3160" s="17"/>
      <c r="AA3160" s="17"/>
      <c r="AB3160" s="17" t="s">
        <v>41</v>
      </c>
      <c r="AC3160" s="0" t="str">
        <f aca="false">LEFT(G3160,2)</f>
        <v/>
      </c>
    </row>
    <row r="3161" customFormat="false" ht="15" hidden="false" customHeight="false" outlineLevel="0" collapsed="false">
      <c r="A3161" s="13" t="n">
        <f aca="false">1+A3160</f>
        <v>3159</v>
      </c>
      <c r="B3161" s="14" t="n">
        <v>100</v>
      </c>
      <c r="C3161" s="15"/>
      <c r="D3161" s="16" t="s">
        <v>64</v>
      </c>
      <c r="E3161" s="17" t="s">
        <v>47</v>
      </c>
      <c r="F3161" s="18" t="s">
        <v>34</v>
      </c>
      <c r="G3161" s="19"/>
      <c r="H3161" s="17" t="s">
        <v>35</v>
      </c>
      <c r="I3161" s="17" t="s">
        <v>44</v>
      </c>
      <c r="J3161" s="17"/>
      <c r="K3161" s="17" t="e">
        <f aca="false">VLOOKUP(J3161,Sheet2!A:B,2,0)</f>
        <v>#N/A</v>
      </c>
      <c r="L3161" s="17" t="n">
        <v>5</v>
      </c>
      <c r="M3161" s="17" t="str">
        <f aca="false">VLOOKUP(L3161,Sheet2!D:E,2,0)</f>
        <v>Main Processor CPU BGA</v>
      </c>
      <c r="N3161" s="17" t="n">
        <v>1</v>
      </c>
      <c r="O3161" s="17" t="str">
        <f aca="false">VLOOKUP(N3161,Sheet2!G:H,2,0)</f>
        <v>Dead</v>
      </c>
      <c r="P3161" s="17" t="n">
        <v>11</v>
      </c>
      <c r="Q3161" s="17" t="str">
        <f aca="false">VLOOKUP(P3161,Sheet2!J:K,2,0)</f>
        <v>IR Declared due to CID -TA</v>
      </c>
      <c r="R3161" s="17" t="s">
        <v>35</v>
      </c>
      <c r="S3161" s="17" t="str">
        <f aca="false">VLOOKUP(R3161,Sheet2!N:O,2,0)</f>
        <v>IREPARABLE</v>
      </c>
      <c r="T3161" s="18" t="str">
        <f aca="false">VLOOKUP(P3161,Sheet2!Q:R,2,0)</f>
        <v>IR Normal - Track burn out</v>
      </c>
      <c r="U3161" s="20" t="s">
        <v>41</v>
      </c>
      <c r="V3161" s="17"/>
      <c r="W3161" s="20" t="e">
        <f aca="false">VLOOKUP(V3161,Sheet2!Q:R,2,0)</f>
        <v>#N/A</v>
      </c>
      <c r="X3161" s="17" t="n">
        <f aca="false">J3161</f>
        <v>0</v>
      </c>
      <c r="Y3161" s="17" t="e">
        <f aca="false">VLOOKUP(X3161,Sheet2!A:B,2,0)</f>
        <v>#N/A</v>
      </c>
      <c r="Z3161" s="17"/>
      <c r="AA3161" s="17"/>
      <c r="AB3161" s="17" t="s">
        <v>41</v>
      </c>
      <c r="AC3161" s="0" t="str">
        <f aca="false">LEFT(G3161,2)</f>
        <v/>
      </c>
    </row>
    <row r="3162" customFormat="false" ht="15" hidden="false" customHeight="false" outlineLevel="0" collapsed="false">
      <c r="A3162" s="13" t="n">
        <f aca="false">1+A3161</f>
        <v>3160</v>
      </c>
      <c r="B3162" s="14" t="n">
        <v>100</v>
      </c>
      <c r="C3162" s="15"/>
      <c r="D3162" s="16" t="s">
        <v>64</v>
      </c>
      <c r="E3162" s="17" t="s">
        <v>47</v>
      </c>
      <c r="F3162" s="18" t="s">
        <v>34</v>
      </c>
      <c r="G3162" s="19"/>
      <c r="H3162" s="17" t="s">
        <v>35</v>
      </c>
      <c r="I3162" s="17" t="s">
        <v>44</v>
      </c>
      <c r="J3162" s="17"/>
      <c r="K3162" s="17" t="e">
        <f aca="false">VLOOKUP(J3162,Sheet2!A:B,2,0)</f>
        <v>#N/A</v>
      </c>
      <c r="L3162" s="17" t="n">
        <v>5</v>
      </c>
      <c r="M3162" s="17" t="str">
        <f aca="false">VLOOKUP(L3162,Sheet2!D:E,2,0)</f>
        <v>Main Processor CPU BGA</v>
      </c>
      <c r="N3162" s="17" t="n">
        <v>1</v>
      </c>
      <c r="O3162" s="17" t="str">
        <f aca="false">VLOOKUP(N3162,Sheet2!G:H,2,0)</f>
        <v>Dead</v>
      </c>
      <c r="P3162" s="17" t="n">
        <v>11</v>
      </c>
      <c r="Q3162" s="17" t="str">
        <f aca="false">VLOOKUP(P3162,Sheet2!J:K,2,0)</f>
        <v>IR Declared due to CID -TA</v>
      </c>
      <c r="R3162" s="17" t="s">
        <v>35</v>
      </c>
      <c r="S3162" s="17" t="str">
        <f aca="false">VLOOKUP(R3162,Sheet2!N:O,2,0)</f>
        <v>IREPARABLE</v>
      </c>
      <c r="T3162" s="18" t="str">
        <f aca="false">VLOOKUP(P3162,Sheet2!Q:R,2,0)</f>
        <v>IR Normal - Track burn out</v>
      </c>
      <c r="U3162" s="20" t="s">
        <v>41</v>
      </c>
      <c r="V3162" s="17"/>
      <c r="W3162" s="20" t="e">
        <f aca="false">VLOOKUP(V3162,Sheet2!Q:R,2,0)</f>
        <v>#N/A</v>
      </c>
      <c r="X3162" s="17" t="n">
        <f aca="false">J3162</f>
        <v>0</v>
      </c>
      <c r="Y3162" s="17" t="e">
        <f aca="false">VLOOKUP(X3162,Sheet2!A:B,2,0)</f>
        <v>#N/A</v>
      </c>
      <c r="Z3162" s="17"/>
      <c r="AA3162" s="17"/>
      <c r="AB3162" s="17" t="s">
        <v>41</v>
      </c>
      <c r="AC3162" s="0" t="str">
        <f aca="false">LEFT(G3162,2)</f>
        <v/>
      </c>
    </row>
    <row r="3163" customFormat="false" ht="15" hidden="false" customHeight="false" outlineLevel="0" collapsed="false">
      <c r="A3163" s="13" t="n">
        <f aca="false">1+A3162</f>
        <v>3161</v>
      </c>
      <c r="B3163" s="14" t="n">
        <v>100</v>
      </c>
      <c r="C3163" s="15"/>
      <c r="D3163" s="16" t="s">
        <v>64</v>
      </c>
      <c r="E3163" s="17" t="s">
        <v>47</v>
      </c>
      <c r="F3163" s="18" t="s">
        <v>34</v>
      </c>
      <c r="G3163" s="19"/>
      <c r="H3163" s="17" t="s">
        <v>35</v>
      </c>
      <c r="I3163" s="17" t="s">
        <v>44</v>
      </c>
      <c r="J3163" s="17"/>
      <c r="K3163" s="17" t="e">
        <f aca="false">VLOOKUP(J3163,Sheet2!A:B,2,0)</f>
        <v>#N/A</v>
      </c>
      <c r="L3163" s="17" t="n">
        <v>5</v>
      </c>
      <c r="M3163" s="17" t="str">
        <f aca="false">VLOOKUP(L3163,Sheet2!D:E,2,0)</f>
        <v>Main Processor CPU BGA</v>
      </c>
      <c r="N3163" s="17" t="n">
        <v>1</v>
      </c>
      <c r="O3163" s="17" t="str">
        <f aca="false">VLOOKUP(N3163,Sheet2!G:H,2,0)</f>
        <v>Dead</v>
      </c>
      <c r="P3163" s="17" t="n">
        <v>11</v>
      </c>
      <c r="Q3163" s="17" t="str">
        <f aca="false">VLOOKUP(P3163,Sheet2!J:K,2,0)</f>
        <v>IR Declared due to CID -TA</v>
      </c>
      <c r="R3163" s="17" t="s">
        <v>35</v>
      </c>
      <c r="S3163" s="17" t="str">
        <f aca="false">VLOOKUP(R3163,Sheet2!N:O,2,0)</f>
        <v>IREPARABLE</v>
      </c>
      <c r="T3163" s="18" t="str">
        <f aca="false">VLOOKUP(P3163,Sheet2!Q:R,2,0)</f>
        <v>IR Normal - Track burn out</v>
      </c>
      <c r="U3163" s="20" t="s">
        <v>41</v>
      </c>
      <c r="V3163" s="17"/>
      <c r="W3163" s="20" t="e">
        <f aca="false">VLOOKUP(V3163,Sheet2!Q:R,2,0)</f>
        <v>#N/A</v>
      </c>
      <c r="X3163" s="17" t="n">
        <f aca="false">J3163</f>
        <v>0</v>
      </c>
      <c r="Y3163" s="17" t="e">
        <f aca="false">VLOOKUP(X3163,Sheet2!A:B,2,0)</f>
        <v>#N/A</v>
      </c>
      <c r="Z3163" s="17"/>
      <c r="AA3163" s="17"/>
      <c r="AB3163" s="17" t="s">
        <v>41</v>
      </c>
      <c r="AC3163" s="0" t="str">
        <f aca="false">LEFT(G3163,2)</f>
        <v/>
      </c>
    </row>
    <row r="3164" customFormat="false" ht="15" hidden="false" customHeight="false" outlineLevel="0" collapsed="false">
      <c r="A3164" s="13" t="n">
        <f aca="false">1+A3163</f>
        <v>3162</v>
      </c>
      <c r="B3164" s="14" t="n">
        <v>100</v>
      </c>
      <c r="C3164" s="15"/>
      <c r="D3164" s="16" t="s">
        <v>64</v>
      </c>
      <c r="E3164" s="17" t="s">
        <v>47</v>
      </c>
      <c r="F3164" s="18" t="s">
        <v>34</v>
      </c>
      <c r="G3164" s="19"/>
      <c r="H3164" s="17" t="s">
        <v>35</v>
      </c>
      <c r="I3164" s="17" t="s">
        <v>44</v>
      </c>
      <c r="J3164" s="17"/>
      <c r="K3164" s="17" t="e">
        <f aca="false">VLOOKUP(J3164,Sheet2!A:B,2,0)</f>
        <v>#N/A</v>
      </c>
      <c r="L3164" s="17" t="n">
        <v>5</v>
      </c>
      <c r="M3164" s="17" t="str">
        <f aca="false">VLOOKUP(L3164,Sheet2!D:E,2,0)</f>
        <v>Main Processor CPU BGA</v>
      </c>
      <c r="N3164" s="17" t="n">
        <v>1</v>
      </c>
      <c r="O3164" s="17" t="str">
        <f aca="false">VLOOKUP(N3164,Sheet2!G:H,2,0)</f>
        <v>Dead</v>
      </c>
      <c r="P3164" s="17" t="n">
        <v>11</v>
      </c>
      <c r="Q3164" s="17" t="str">
        <f aca="false">VLOOKUP(P3164,Sheet2!J:K,2,0)</f>
        <v>IR Declared due to CID -TA</v>
      </c>
      <c r="R3164" s="17" t="s">
        <v>35</v>
      </c>
      <c r="S3164" s="17" t="str">
        <f aca="false">VLOOKUP(R3164,Sheet2!N:O,2,0)</f>
        <v>IREPARABLE</v>
      </c>
      <c r="T3164" s="18" t="str">
        <f aca="false">VLOOKUP(P3164,Sheet2!Q:R,2,0)</f>
        <v>IR Normal - Track burn out</v>
      </c>
      <c r="U3164" s="20" t="s">
        <v>41</v>
      </c>
      <c r="V3164" s="17"/>
      <c r="W3164" s="20" t="e">
        <f aca="false">VLOOKUP(V3164,Sheet2!Q:R,2,0)</f>
        <v>#N/A</v>
      </c>
      <c r="X3164" s="17" t="n">
        <f aca="false">J3164</f>
        <v>0</v>
      </c>
      <c r="Y3164" s="17" t="e">
        <f aca="false">VLOOKUP(X3164,Sheet2!A:B,2,0)</f>
        <v>#N/A</v>
      </c>
      <c r="Z3164" s="17"/>
      <c r="AA3164" s="17"/>
      <c r="AB3164" s="17" t="s">
        <v>41</v>
      </c>
      <c r="AC3164" s="0" t="str">
        <f aca="false">LEFT(G3164,2)</f>
        <v/>
      </c>
    </row>
    <row r="3165" customFormat="false" ht="15" hidden="false" customHeight="false" outlineLevel="0" collapsed="false">
      <c r="A3165" s="13" t="n">
        <f aca="false">1+A3164</f>
        <v>3163</v>
      </c>
      <c r="B3165" s="14" t="n">
        <v>100</v>
      </c>
      <c r="C3165" s="15"/>
      <c r="D3165" s="16" t="s">
        <v>64</v>
      </c>
      <c r="E3165" s="17" t="s">
        <v>47</v>
      </c>
      <c r="F3165" s="18" t="s">
        <v>34</v>
      </c>
      <c r="G3165" s="19"/>
      <c r="H3165" s="17" t="s">
        <v>35</v>
      </c>
      <c r="I3165" s="17" t="s">
        <v>44</v>
      </c>
      <c r="J3165" s="17"/>
      <c r="K3165" s="17" t="e">
        <f aca="false">VLOOKUP(J3165,Sheet2!A:B,2,0)</f>
        <v>#N/A</v>
      </c>
      <c r="L3165" s="17" t="n">
        <v>5</v>
      </c>
      <c r="M3165" s="17" t="str">
        <f aca="false">VLOOKUP(L3165,Sheet2!D:E,2,0)</f>
        <v>Main Processor CPU BGA</v>
      </c>
      <c r="N3165" s="17" t="n">
        <v>1</v>
      </c>
      <c r="O3165" s="17" t="str">
        <f aca="false">VLOOKUP(N3165,Sheet2!G:H,2,0)</f>
        <v>Dead</v>
      </c>
      <c r="P3165" s="17" t="n">
        <v>11</v>
      </c>
      <c r="Q3165" s="17" t="str">
        <f aca="false">VLOOKUP(P3165,Sheet2!J:K,2,0)</f>
        <v>IR Declared due to CID -TA</v>
      </c>
      <c r="R3165" s="17" t="s">
        <v>35</v>
      </c>
      <c r="S3165" s="17" t="str">
        <f aca="false">VLOOKUP(R3165,Sheet2!N:O,2,0)</f>
        <v>IREPARABLE</v>
      </c>
      <c r="T3165" s="18" t="str">
        <f aca="false">VLOOKUP(P3165,Sheet2!Q:R,2,0)</f>
        <v>IR Normal - Track burn out</v>
      </c>
      <c r="U3165" s="20" t="s">
        <v>41</v>
      </c>
      <c r="V3165" s="17"/>
      <c r="W3165" s="20" t="e">
        <f aca="false">VLOOKUP(V3165,Sheet2!Q:R,2,0)</f>
        <v>#N/A</v>
      </c>
      <c r="X3165" s="17" t="n">
        <f aca="false">J3165</f>
        <v>0</v>
      </c>
      <c r="Y3165" s="17" t="e">
        <f aca="false">VLOOKUP(X3165,Sheet2!A:B,2,0)</f>
        <v>#N/A</v>
      </c>
      <c r="Z3165" s="17"/>
      <c r="AA3165" s="17"/>
      <c r="AB3165" s="17" t="s">
        <v>41</v>
      </c>
      <c r="AC3165" s="0" t="str">
        <f aca="false">LEFT(G3165,2)</f>
        <v/>
      </c>
    </row>
    <row r="3166" customFormat="false" ht="15" hidden="false" customHeight="false" outlineLevel="0" collapsed="false">
      <c r="A3166" s="13" t="n">
        <f aca="false">1+A3165</f>
        <v>3164</v>
      </c>
      <c r="B3166" s="14" t="n">
        <v>100</v>
      </c>
      <c r="C3166" s="15"/>
      <c r="D3166" s="16" t="s">
        <v>64</v>
      </c>
      <c r="E3166" s="17" t="s">
        <v>47</v>
      </c>
      <c r="F3166" s="18" t="s">
        <v>34</v>
      </c>
      <c r="G3166" s="19"/>
      <c r="H3166" s="17" t="s">
        <v>35</v>
      </c>
      <c r="I3166" s="17" t="s">
        <v>44</v>
      </c>
      <c r="J3166" s="17"/>
      <c r="K3166" s="17" t="e">
        <f aca="false">VLOOKUP(J3166,Sheet2!A:B,2,0)</f>
        <v>#N/A</v>
      </c>
      <c r="L3166" s="17" t="n">
        <v>5</v>
      </c>
      <c r="M3166" s="17" t="str">
        <f aca="false">VLOOKUP(L3166,Sheet2!D:E,2,0)</f>
        <v>Main Processor CPU BGA</v>
      </c>
      <c r="N3166" s="17" t="n">
        <v>1</v>
      </c>
      <c r="O3166" s="17" t="str">
        <f aca="false">VLOOKUP(N3166,Sheet2!G:H,2,0)</f>
        <v>Dead</v>
      </c>
      <c r="P3166" s="17" t="n">
        <v>11</v>
      </c>
      <c r="Q3166" s="17" t="str">
        <f aca="false">VLOOKUP(P3166,Sheet2!J:K,2,0)</f>
        <v>IR Declared due to CID -TA</v>
      </c>
      <c r="R3166" s="17" t="s">
        <v>35</v>
      </c>
      <c r="S3166" s="17" t="str">
        <f aca="false">VLOOKUP(R3166,Sheet2!N:O,2,0)</f>
        <v>IREPARABLE</v>
      </c>
      <c r="T3166" s="18" t="str">
        <f aca="false">VLOOKUP(P3166,Sheet2!Q:R,2,0)</f>
        <v>IR Normal - Track burn out</v>
      </c>
      <c r="U3166" s="20" t="s">
        <v>41</v>
      </c>
      <c r="V3166" s="17"/>
      <c r="W3166" s="20" t="e">
        <f aca="false">VLOOKUP(V3166,Sheet2!Q:R,2,0)</f>
        <v>#N/A</v>
      </c>
      <c r="X3166" s="17" t="n">
        <f aca="false">J3166</f>
        <v>0</v>
      </c>
      <c r="Y3166" s="17" t="e">
        <f aca="false">VLOOKUP(X3166,Sheet2!A:B,2,0)</f>
        <v>#N/A</v>
      </c>
      <c r="Z3166" s="17"/>
      <c r="AA3166" s="17"/>
      <c r="AB3166" s="17" t="s">
        <v>41</v>
      </c>
      <c r="AC3166" s="0" t="str">
        <f aca="false">LEFT(G3166,2)</f>
        <v/>
      </c>
    </row>
    <row r="3167" customFormat="false" ht="15" hidden="false" customHeight="false" outlineLevel="0" collapsed="false">
      <c r="A3167" s="13" t="n">
        <f aca="false">1+A3166</f>
        <v>3165</v>
      </c>
      <c r="B3167" s="14" t="n">
        <v>100</v>
      </c>
      <c r="C3167" s="15"/>
      <c r="D3167" s="16" t="s">
        <v>64</v>
      </c>
      <c r="E3167" s="17" t="s">
        <v>47</v>
      </c>
      <c r="F3167" s="18" t="s">
        <v>34</v>
      </c>
      <c r="G3167" s="19"/>
      <c r="H3167" s="17" t="s">
        <v>35</v>
      </c>
      <c r="I3167" s="17" t="s">
        <v>44</v>
      </c>
      <c r="J3167" s="17"/>
      <c r="K3167" s="17" t="e">
        <f aca="false">VLOOKUP(J3167,Sheet2!A:B,2,0)</f>
        <v>#N/A</v>
      </c>
      <c r="L3167" s="17" t="n">
        <v>5</v>
      </c>
      <c r="M3167" s="17" t="str">
        <f aca="false">VLOOKUP(L3167,Sheet2!D:E,2,0)</f>
        <v>Main Processor CPU BGA</v>
      </c>
      <c r="N3167" s="17" t="n">
        <v>1</v>
      </c>
      <c r="O3167" s="17" t="str">
        <f aca="false">VLOOKUP(N3167,Sheet2!G:H,2,0)</f>
        <v>Dead</v>
      </c>
      <c r="P3167" s="17" t="n">
        <v>11</v>
      </c>
      <c r="Q3167" s="17" t="str">
        <f aca="false">VLOOKUP(P3167,Sheet2!J:K,2,0)</f>
        <v>IR Declared due to CID -TA</v>
      </c>
      <c r="R3167" s="17" t="s">
        <v>35</v>
      </c>
      <c r="S3167" s="17" t="str">
        <f aca="false">VLOOKUP(R3167,Sheet2!N:O,2,0)</f>
        <v>IREPARABLE</v>
      </c>
      <c r="T3167" s="18" t="str">
        <f aca="false">VLOOKUP(P3167,Sheet2!Q:R,2,0)</f>
        <v>IR Normal - Track burn out</v>
      </c>
      <c r="U3167" s="20" t="s">
        <v>41</v>
      </c>
      <c r="V3167" s="17"/>
      <c r="W3167" s="20" t="e">
        <f aca="false">VLOOKUP(V3167,Sheet2!Q:R,2,0)</f>
        <v>#N/A</v>
      </c>
      <c r="X3167" s="17" t="n">
        <f aca="false">J3167</f>
        <v>0</v>
      </c>
      <c r="Y3167" s="17" t="e">
        <f aca="false">VLOOKUP(X3167,Sheet2!A:B,2,0)</f>
        <v>#N/A</v>
      </c>
      <c r="Z3167" s="17"/>
      <c r="AA3167" s="17"/>
      <c r="AB3167" s="17" t="s">
        <v>41</v>
      </c>
      <c r="AC3167" s="0" t="str">
        <f aca="false">LEFT(G3167,2)</f>
        <v/>
      </c>
    </row>
    <row r="3168" customFormat="false" ht="15" hidden="false" customHeight="false" outlineLevel="0" collapsed="false">
      <c r="A3168" s="13" t="n">
        <f aca="false">1+A3167</f>
        <v>3166</v>
      </c>
      <c r="B3168" s="14" t="n">
        <v>100</v>
      </c>
      <c r="C3168" s="15"/>
      <c r="D3168" s="16" t="s">
        <v>64</v>
      </c>
      <c r="E3168" s="17" t="s">
        <v>47</v>
      </c>
      <c r="F3168" s="18" t="s">
        <v>34</v>
      </c>
      <c r="G3168" s="19"/>
      <c r="H3168" s="17" t="s">
        <v>35</v>
      </c>
      <c r="I3168" s="17" t="s">
        <v>44</v>
      </c>
      <c r="J3168" s="17"/>
      <c r="K3168" s="17" t="e">
        <f aca="false">VLOOKUP(J3168,Sheet2!A:B,2,0)</f>
        <v>#N/A</v>
      </c>
      <c r="L3168" s="17" t="n">
        <v>5</v>
      </c>
      <c r="M3168" s="17" t="str">
        <f aca="false">VLOOKUP(L3168,Sheet2!D:E,2,0)</f>
        <v>Main Processor CPU BGA</v>
      </c>
      <c r="N3168" s="17" t="n">
        <v>1</v>
      </c>
      <c r="O3168" s="17" t="str">
        <f aca="false">VLOOKUP(N3168,Sheet2!G:H,2,0)</f>
        <v>Dead</v>
      </c>
      <c r="P3168" s="17" t="n">
        <v>11</v>
      </c>
      <c r="Q3168" s="17" t="str">
        <f aca="false">VLOOKUP(P3168,Sheet2!J:K,2,0)</f>
        <v>IR Declared due to CID -TA</v>
      </c>
      <c r="R3168" s="17" t="s">
        <v>35</v>
      </c>
      <c r="S3168" s="17" t="str">
        <f aca="false">VLOOKUP(R3168,Sheet2!N:O,2,0)</f>
        <v>IREPARABLE</v>
      </c>
      <c r="T3168" s="18" t="str">
        <f aca="false">VLOOKUP(P3168,Sheet2!Q:R,2,0)</f>
        <v>IR Normal - Track burn out</v>
      </c>
      <c r="U3168" s="20" t="s">
        <v>41</v>
      </c>
      <c r="V3168" s="17"/>
      <c r="W3168" s="20" t="e">
        <f aca="false">VLOOKUP(V3168,Sheet2!Q:R,2,0)</f>
        <v>#N/A</v>
      </c>
      <c r="X3168" s="17" t="n">
        <f aca="false">J3168</f>
        <v>0</v>
      </c>
      <c r="Y3168" s="17" t="e">
        <f aca="false">VLOOKUP(X3168,Sheet2!A:B,2,0)</f>
        <v>#N/A</v>
      </c>
      <c r="Z3168" s="17"/>
      <c r="AA3168" s="17"/>
      <c r="AB3168" s="17" t="s">
        <v>41</v>
      </c>
      <c r="AC3168" s="0" t="str">
        <f aca="false">LEFT(G3168,2)</f>
        <v/>
      </c>
    </row>
    <row r="3169" customFormat="false" ht="15" hidden="false" customHeight="false" outlineLevel="0" collapsed="false">
      <c r="A3169" s="13" t="n">
        <f aca="false">1+A3168</f>
        <v>3167</v>
      </c>
      <c r="B3169" s="14" t="n">
        <v>100</v>
      </c>
      <c r="C3169" s="15"/>
      <c r="D3169" s="16" t="s">
        <v>64</v>
      </c>
      <c r="E3169" s="17" t="s">
        <v>47</v>
      </c>
      <c r="F3169" s="18" t="s">
        <v>34</v>
      </c>
      <c r="G3169" s="19"/>
      <c r="H3169" s="17" t="s">
        <v>35</v>
      </c>
      <c r="I3169" s="17" t="s">
        <v>44</v>
      </c>
      <c r="J3169" s="17"/>
      <c r="K3169" s="17" t="e">
        <f aca="false">VLOOKUP(J3169,Sheet2!A:B,2,0)</f>
        <v>#N/A</v>
      </c>
      <c r="L3169" s="17" t="n">
        <v>5</v>
      </c>
      <c r="M3169" s="17" t="str">
        <f aca="false">VLOOKUP(L3169,Sheet2!D:E,2,0)</f>
        <v>Main Processor CPU BGA</v>
      </c>
      <c r="N3169" s="17" t="n">
        <v>1</v>
      </c>
      <c r="O3169" s="17" t="str">
        <f aca="false">VLOOKUP(N3169,Sheet2!G:H,2,0)</f>
        <v>Dead</v>
      </c>
      <c r="P3169" s="17" t="n">
        <v>11</v>
      </c>
      <c r="Q3169" s="17" t="str">
        <f aca="false">VLOOKUP(P3169,Sheet2!J:K,2,0)</f>
        <v>IR Declared due to CID -TA</v>
      </c>
      <c r="R3169" s="17" t="s">
        <v>35</v>
      </c>
      <c r="S3169" s="17" t="str">
        <f aca="false">VLOOKUP(R3169,Sheet2!N:O,2,0)</f>
        <v>IREPARABLE</v>
      </c>
      <c r="T3169" s="18" t="str">
        <f aca="false">VLOOKUP(P3169,Sheet2!Q:R,2,0)</f>
        <v>IR Normal - Track burn out</v>
      </c>
      <c r="U3169" s="20" t="s">
        <v>41</v>
      </c>
      <c r="V3169" s="17"/>
      <c r="W3169" s="20" t="e">
        <f aca="false">VLOOKUP(V3169,Sheet2!Q:R,2,0)</f>
        <v>#N/A</v>
      </c>
      <c r="X3169" s="17" t="n">
        <f aca="false">J3169</f>
        <v>0</v>
      </c>
      <c r="Y3169" s="17" t="e">
        <f aca="false">VLOOKUP(X3169,Sheet2!A:B,2,0)</f>
        <v>#N/A</v>
      </c>
      <c r="Z3169" s="17"/>
      <c r="AA3169" s="17"/>
      <c r="AB3169" s="17" t="s">
        <v>41</v>
      </c>
      <c r="AC3169" s="0" t="str">
        <f aca="false">LEFT(G3169,2)</f>
        <v/>
      </c>
    </row>
    <row r="3170" customFormat="false" ht="15" hidden="false" customHeight="false" outlineLevel="0" collapsed="false">
      <c r="A3170" s="13" t="n">
        <f aca="false">1+A3169</f>
        <v>3168</v>
      </c>
      <c r="B3170" s="14" t="n">
        <v>100</v>
      </c>
      <c r="C3170" s="15"/>
      <c r="D3170" s="16" t="s">
        <v>64</v>
      </c>
      <c r="E3170" s="17" t="s">
        <v>47</v>
      </c>
      <c r="F3170" s="18" t="s">
        <v>34</v>
      </c>
      <c r="G3170" s="19"/>
      <c r="H3170" s="17" t="s">
        <v>35</v>
      </c>
      <c r="I3170" s="17" t="s">
        <v>44</v>
      </c>
      <c r="J3170" s="17"/>
      <c r="K3170" s="17" t="e">
        <f aca="false">VLOOKUP(J3170,Sheet2!A:B,2,0)</f>
        <v>#N/A</v>
      </c>
      <c r="L3170" s="17" t="n">
        <v>5</v>
      </c>
      <c r="M3170" s="17" t="str">
        <f aca="false">VLOOKUP(L3170,Sheet2!D:E,2,0)</f>
        <v>Main Processor CPU BGA</v>
      </c>
      <c r="N3170" s="17" t="n">
        <v>1</v>
      </c>
      <c r="O3170" s="17" t="str">
        <f aca="false">VLOOKUP(N3170,Sheet2!G:H,2,0)</f>
        <v>Dead</v>
      </c>
      <c r="P3170" s="17" t="n">
        <v>11</v>
      </c>
      <c r="Q3170" s="17" t="str">
        <f aca="false">VLOOKUP(P3170,Sheet2!J:K,2,0)</f>
        <v>IR Declared due to CID -TA</v>
      </c>
      <c r="R3170" s="17" t="s">
        <v>35</v>
      </c>
      <c r="S3170" s="17" t="str">
        <f aca="false">VLOOKUP(R3170,Sheet2!N:O,2,0)</f>
        <v>IREPARABLE</v>
      </c>
      <c r="T3170" s="18" t="str">
        <f aca="false">VLOOKUP(P3170,Sheet2!Q:R,2,0)</f>
        <v>IR Normal - Track burn out</v>
      </c>
      <c r="U3170" s="20" t="s">
        <v>41</v>
      </c>
      <c r="V3170" s="17"/>
      <c r="W3170" s="20" t="e">
        <f aca="false">VLOOKUP(V3170,Sheet2!Q:R,2,0)</f>
        <v>#N/A</v>
      </c>
      <c r="X3170" s="17" t="n">
        <f aca="false">J3170</f>
        <v>0</v>
      </c>
      <c r="Y3170" s="17" t="e">
        <f aca="false">VLOOKUP(X3170,Sheet2!A:B,2,0)</f>
        <v>#N/A</v>
      </c>
      <c r="Z3170" s="17"/>
      <c r="AA3170" s="17"/>
      <c r="AB3170" s="17" t="s">
        <v>41</v>
      </c>
      <c r="AC3170" s="0" t="str">
        <f aca="false">LEFT(G3170,2)</f>
        <v/>
      </c>
    </row>
    <row r="3171" customFormat="false" ht="15" hidden="false" customHeight="false" outlineLevel="0" collapsed="false">
      <c r="A3171" s="13" t="n">
        <f aca="false">1+A3170</f>
        <v>3169</v>
      </c>
      <c r="B3171" s="14" t="n">
        <v>100</v>
      </c>
      <c r="C3171" s="15"/>
      <c r="D3171" s="16" t="s">
        <v>64</v>
      </c>
      <c r="E3171" s="17" t="s">
        <v>47</v>
      </c>
      <c r="F3171" s="18" t="s">
        <v>34</v>
      </c>
      <c r="G3171" s="19"/>
      <c r="H3171" s="17" t="s">
        <v>35</v>
      </c>
      <c r="I3171" s="17" t="s">
        <v>44</v>
      </c>
      <c r="J3171" s="17"/>
      <c r="K3171" s="17" t="e">
        <f aca="false">VLOOKUP(J3171,Sheet2!A:B,2,0)</f>
        <v>#N/A</v>
      </c>
      <c r="L3171" s="17" t="n">
        <v>5</v>
      </c>
      <c r="M3171" s="17" t="str">
        <f aca="false">VLOOKUP(L3171,Sheet2!D:E,2,0)</f>
        <v>Main Processor CPU BGA</v>
      </c>
      <c r="N3171" s="17" t="n">
        <v>1</v>
      </c>
      <c r="O3171" s="17" t="str">
        <f aca="false">VLOOKUP(N3171,Sheet2!G:H,2,0)</f>
        <v>Dead</v>
      </c>
      <c r="P3171" s="17" t="n">
        <v>11</v>
      </c>
      <c r="Q3171" s="17" t="str">
        <f aca="false">VLOOKUP(P3171,Sheet2!J:K,2,0)</f>
        <v>IR Declared due to CID -TA</v>
      </c>
      <c r="R3171" s="17" t="s">
        <v>35</v>
      </c>
      <c r="S3171" s="17" t="str">
        <f aca="false">VLOOKUP(R3171,Sheet2!N:O,2,0)</f>
        <v>IREPARABLE</v>
      </c>
      <c r="T3171" s="18" t="str">
        <f aca="false">VLOOKUP(P3171,Sheet2!Q:R,2,0)</f>
        <v>IR Normal - Track burn out</v>
      </c>
      <c r="U3171" s="20" t="s">
        <v>41</v>
      </c>
      <c r="V3171" s="17"/>
      <c r="W3171" s="20" t="e">
        <f aca="false">VLOOKUP(V3171,Sheet2!Q:R,2,0)</f>
        <v>#N/A</v>
      </c>
      <c r="X3171" s="17" t="n">
        <f aca="false">J3171</f>
        <v>0</v>
      </c>
      <c r="Y3171" s="17" t="e">
        <f aca="false">VLOOKUP(X3171,Sheet2!A:B,2,0)</f>
        <v>#N/A</v>
      </c>
      <c r="Z3171" s="17"/>
      <c r="AA3171" s="17"/>
      <c r="AB3171" s="17" t="s">
        <v>41</v>
      </c>
      <c r="AC3171" s="0" t="str">
        <f aca="false">LEFT(G3171,2)</f>
        <v/>
      </c>
    </row>
    <row r="3172" customFormat="false" ht="15" hidden="false" customHeight="false" outlineLevel="0" collapsed="false">
      <c r="A3172" s="13" t="n">
        <f aca="false">1+A3171</f>
        <v>3170</v>
      </c>
      <c r="B3172" s="14" t="n">
        <v>100</v>
      </c>
      <c r="C3172" s="15"/>
      <c r="D3172" s="16" t="s">
        <v>64</v>
      </c>
      <c r="E3172" s="17" t="s">
        <v>47</v>
      </c>
      <c r="F3172" s="18" t="s">
        <v>34</v>
      </c>
      <c r="G3172" s="19"/>
      <c r="H3172" s="17" t="s">
        <v>35</v>
      </c>
      <c r="I3172" s="17" t="s">
        <v>44</v>
      </c>
      <c r="J3172" s="17"/>
      <c r="K3172" s="17" t="e">
        <f aca="false">VLOOKUP(J3172,Sheet2!A:B,2,0)</f>
        <v>#N/A</v>
      </c>
      <c r="L3172" s="17" t="n">
        <v>5</v>
      </c>
      <c r="M3172" s="17" t="str">
        <f aca="false">VLOOKUP(L3172,Sheet2!D:E,2,0)</f>
        <v>Main Processor CPU BGA</v>
      </c>
      <c r="N3172" s="17" t="n">
        <v>1</v>
      </c>
      <c r="O3172" s="17" t="str">
        <f aca="false">VLOOKUP(N3172,Sheet2!G:H,2,0)</f>
        <v>Dead</v>
      </c>
      <c r="P3172" s="17" t="n">
        <v>11</v>
      </c>
      <c r="Q3172" s="17" t="str">
        <f aca="false">VLOOKUP(P3172,Sheet2!J:K,2,0)</f>
        <v>IR Declared due to CID -TA</v>
      </c>
      <c r="R3172" s="17" t="s">
        <v>35</v>
      </c>
      <c r="S3172" s="17" t="str">
        <f aca="false">VLOOKUP(R3172,Sheet2!N:O,2,0)</f>
        <v>IREPARABLE</v>
      </c>
      <c r="T3172" s="18" t="str">
        <f aca="false">VLOOKUP(P3172,Sheet2!Q:R,2,0)</f>
        <v>IR Normal - Track burn out</v>
      </c>
      <c r="U3172" s="20" t="s">
        <v>41</v>
      </c>
      <c r="V3172" s="17"/>
      <c r="W3172" s="20" t="e">
        <f aca="false">VLOOKUP(V3172,Sheet2!Q:R,2,0)</f>
        <v>#N/A</v>
      </c>
      <c r="X3172" s="17" t="n">
        <f aca="false">J3172</f>
        <v>0</v>
      </c>
      <c r="Y3172" s="17" t="e">
        <f aca="false">VLOOKUP(X3172,Sheet2!A:B,2,0)</f>
        <v>#N/A</v>
      </c>
      <c r="Z3172" s="17"/>
      <c r="AA3172" s="17"/>
      <c r="AB3172" s="17" t="s">
        <v>41</v>
      </c>
      <c r="AC3172" s="0" t="str">
        <f aca="false">LEFT(G3172,2)</f>
        <v/>
      </c>
    </row>
    <row r="3173" customFormat="false" ht="15" hidden="false" customHeight="false" outlineLevel="0" collapsed="false">
      <c r="A3173" s="13" t="n">
        <f aca="false">1+A3172</f>
        <v>3171</v>
      </c>
      <c r="B3173" s="14" t="n">
        <v>100</v>
      </c>
      <c r="C3173" s="15"/>
      <c r="D3173" s="16" t="s">
        <v>64</v>
      </c>
      <c r="E3173" s="17" t="s">
        <v>47</v>
      </c>
      <c r="F3173" s="18" t="s">
        <v>34</v>
      </c>
      <c r="G3173" s="19"/>
      <c r="H3173" s="17" t="s">
        <v>35</v>
      </c>
      <c r="I3173" s="17" t="s">
        <v>44</v>
      </c>
      <c r="J3173" s="17"/>
      <c r="K3173" s="17" t="e">
        <f aca="false">VLOOKUP(J3173,Sheet2!A:B,2,0)</f>
        <v>#N/A</v>
      </c>
      <c r="L3173" s="17" t="n">
        <v>5</v>
      </c>
      <c r="M3173" s="17" t="str">
        <f aca="false">VLOOKUP(L3173,Sheet2!D:E,2,0)</f>
        <v>Main Processor CPU BGA</v>
      </c>
      <c r="N3173" s="17" t="n">
        <v>1</v>
      </c>
      <c r="O3173" s="17" t="str">
        <f aca="false">VLOOKUP(N3173,Sheet2!G:H,2,0)</f>
        <v>Dead</v>
      </c>
      <c r="P3173" s="17" t="n">
        <v>11</v>
      </c>
      <c r="Q3173" s="17" t="str">
        <f aca="false">VLOOKUP(P3173,Sheet2!J:K,2,0)</f>
        <v>IR Declared due to CID -TA</v>
      </c>
      <c r="R3173" s="17" t="s">
        <v>35</v>
      </c>
      <c r="S3173" s="17" t="str">
        <f aca="false">VLOOKUP(R3173,Sheet2!N:O,2,0)</f>
        <v>IREPARABLE</v>
      </c>
      <c r="T3173" s="18" t="str">
        <f aca="false">VLOOKUP(P3173,Sheet2!Q:R,2,0)</f>
        <v>IR Normal - Track burn out</v>
      </c>
      <c r="U3173" s="20" t="s">
        <v>41</v>
      </c>
      <c r="V3173" s="17"/>
      <c r="W3173" s="20" t="e">
        <f aca="false">VLOOKUP(V3173,Sheet2!Q:R,2,0)</f>
        <v>#N/A</v>
      </c>
      <c r="X3173" s="17" t="n">
        <f aca="false">J3173</f>
        <v>0</v>
      </c>
      <c r="Y3173" s="17" t="e">
        <f aca="false">VLOOKUP(X3173,Sheet2!A:B,2,0)</f>
        <v>#N/A</v>
      </c>
      <c r="Z3173" s="17"/>
      <c r="AA3173" s="17"/>
      <c r="AB3173" s="17" t="s">
        <v>41</v>
      </c>
      <c r="AC3173" s="0" t="str">
        <f aca="false">LEFT(G3173,2)</f>
        <v/>
      </c>
    </row>
    <row r="3174" customFormat="false" ht="15" hidden="false" customHeight="false" outlineLevel="0" collapsed="false">
      <c r="A3174" s="13" t="n">
        <f aca="false">1+A3173</f>
        <v>3172</v>
      </c>
      <c r="B3174" s="14" t="n">
        <v>100</v>
      </c>
      <c r="C3174" s="15"/>
      <c r="D3174" s="16" t="s">
        <v>64</v>
      </c>
      <c r="E3174" s="17" t="s">
        <v>47</v>
      </c>
      <c r="F3174" s="18" t="s">
        <v>34</v>
      </c>
      <c r="G3174" s="19"/>
      <c r="H3174" s="17" t="s">
        <v>35</v>
      </c>
      <c r="I3174" s="17" t="s">
        <v>44</v>
      </c>
      <c r="J3174" s="17"/>
      <c r="K3174" s="17" t="e">
        <f aca="false">VLOOKUP(J3174,Sheet2!A:B,2,0)</f>
        <v>#N/A</v>
      </c>
      <c r="L3174" s="17" t="n">
        <v>5</v>
      </c>
      <c r="M3174" s="17" t="str">
        <f aca="false">VLOOKUP(L3174,Sheet2!D:E,2,0)</f>
        <v>Main Processor CPU BGA</v>
      </c>
      <c r="N3174" s="17" t="n">
        <v>1</v>
      </c>
      <c r="O3174" s="17" t="str">
        <f aca="false">VLOOKUP(N3174,Sheet2!G:H,2,0)</f>
        <v>Dead</v>
      </c>
      <c r="P3174" s="17" t="n">
        <v>11</v>
      </c>
      <c r="Q3174" s="17" t="str">
        <f aca="false">VLOOKUP(P3174,Sheet2!J:K,2,0)</f>
        <v>IR Declared due to CID -TA</v>
      </c>
      <c r="R3174" s="17" t="s">
        <v>35</v>
      </c>
      <c r="S3174" s="17" t="str">
        <f aca="false">VLOOKUP(R3174,Sheet2!N:O,2,0)</f>
        <v>IREPARABLE</v>
      </c>
      <c r="T3174" s="18" t="str">
        <f aca="false">VLOOKUP(P3174,Sheet2!Q:R,2,0)</f>
        <v>IR Normal - Track burn out</v>
      </c>
      <c r="U3174" s="20" t="s">
        <v>41</v>
      </c>
      <c r="V3174" s="17"/>
      <c r="W3174" s="20" t="e">
        <f aca="false">VLOOKUP(V3174,Sheet2!Q:R,2,0)</f>
        <v>#N/A</v>
      </c>
      <c r="X3174" s="17" t="n">
        <f aca="false">J3174</f>
        <v>0</v>
      </c>
      <c r="Y3174" s="17" t="e">
        <f aca="false">VLOOKUP(X3174,Sheet2!A:B,2,0)</f>
        <v>#N/A</v>
      </c>
      <c r="Z3174" s="17"/>
      <c r="AA3174" s="17"/>
      <c r="AB3174" s="17" t="s">
        <v>41</v>
      </c>
      <c r="AC3174" s="0" t="str">
        <f aca="false">LEFT(G3174,2)</f>
        <v/>
      </c>
    </row>
    <row r="3175" customFormat="false" ht="15" hidden="false" customHeight="false" outlineLevel="0" collapsed="false">
      <c r="A3175" s="13" t="n">
        <f aca="false">1+A3174</f>
        <v>3173</v>
      </c>
      <c r="B3175" s="14" t="n">
        <v>100</v>
      </c>
      <c r="C3175" s="15"/>
      <c r="D3175" s="16" t="s">
        <v>64</v>
      </c>
      <c r="E3175" s="17" t="s">
        <v>47</v>
      </c>
      <c r="F3175" s="18" t="s">
        <v>34</v>
      </c>
      <c r="G3175" s="19"/>
      <c r="H3175" s="17" t="s">
        <v>35</v>
      </c>
      <c r="I3175" s="17" t="s">
        <v>44</v>
      </c>
      <c r="J3175" s="17"/>
      <c r="K3175" s="17" t="e">
        <f aca="false">VLOOKUP(J3175,Sheet2!A:B,2,0)</f>
        <v>#N/A</v>
      </c>
      <c r="L3175" s="17" t="n">
        <v>5</v>
      </c>
      <c r="M3175" s="17" t="str">
        <f aca="false">VLOOKUP(L3175,Sheet2!D:E,2,0)</f>
        <v>Main Processor CPU BGA</v>
      </c>
      <c r="N3175" s="17" t="n">
        <v>1</v>
      </c>
      <c r="O3175" s="17" t="str">
        <f aca="false">VLOOKUP(N3175,Sheet2!G:H,2,0)</f>
        <v>Dead</v>
      </c>
      <c r="P3175" s="17" t="n">
        <v>11</v>
      </c>
      <c r="Q3175" s="17" t="str">
        <f aca="false">VLOOKUP(P3175,Sheet2!J:K,2,0)</f>
        <v>IR Declared due to CID -TA</v>
      </c>
      <c r="R3175" s="17" t="s">
        <v>35</v>
      </c>
      <c r="S3175" s="17" t="str">
        <f aca="false">VLOOKUP(R3175,Sheet2!N:O,2,0)</f>
        <v>IREPARABLE</v>
      </c>
      <c r="T3175" s="18" t="str">
        <f aca="false">VLOOKUP(P3175,Sheet2!Q:R,2,0)</f>
        <v>IR Normal - Track burn out</v>
      </c>
      <c r="U3175" s="20" t="s">
        <v>41</v>
      </c>
      <c r="V3175" s="17"/>
      <c r="W3175" s="20" t="e">
        <f aca="false">VLOOKUP(V3175,Sheet2!Q:R,2,0)</f>
        <v>#N/A</v>
      </c>
      <c r="X3175" s="17" t="n">
        <f aca="false">J3175</f>
        <v>0</v>
      </c>
      <c r="Y3175" s="17" t="e">
        <f aca="false">VLOOKUP(X3175,Sheet2!A:B,2,0)</f>
        <v>#N/A</v>
      </c>
      <c r="Z3175" s="17"/>
      <c r="AA3175" s="17"/>
      <c r="AB3175" s="17" t="s">
        <v>41</v>
      </c>
      <c r="AC3175" s="0" t="str">
        <f aca="false">LEFT(G3175,2)</f>
        <v/>
      </c>
    </row>
    <row r="3176" customFormat="false" ht="15" hidden="false" customHeight="false" outlineLevel="0" collapsed="false">
      <c r="A3176" s="13" t="n">
        <f aca="false">1+A3175</f>
        <v>3174</v>
      </c>
      <c r="B3176" s="14" t="n">
        <v>100</v>
      </c>
      <c r="C3176" s="15"/>
      <c r="D3176" s="16" t="s">
        <v>64</v>
      </c>
      <c r="E3176" s="17" t="s">
        <v>47</v>
      </c>
      <c r="F3176" s="18" t="s">
        <v>34</v>
      </c>
      <c r="G3176" s="19"/>
      <c r="H3176" s="17" t="s">
        <v>35</v>
      </c>
      <c r="I3176" s="17" t="s">
        <v>44</v>
      </c>
      <c r="J3176" s="17"/>
      <c r="K3176" s="17" t="e">
        <f aca="false">VLOOKUP(J3176,Sheet2!A:B,2,0)</f>
        <v>#N/A</v>
      </c>
      <c r="L3176" s="17" t="n">
        <v>5</v>
      </c>
      <c r="M3176" s="17" t="str">
        <f aca="false">VLOOKUP(L3176,Sheet2!D:E,2,0)</f>
        <v>Main Processor CPU BGA</v>
      </c>
      <c r="N3176" s="17" t="n">
        <v>1</v>
      </c>
      <c r="O3176" s="17" t="str">
        <f aca="false">VLOOKUP(N3176,Sheet2!G:H,2,0)</f>
        <v>Dead</v>
      </c>
      <c r="P3176" s="17" t="n">
        <v>11</v>
      </c>
      <c r="Q3176" s="17" t="str">
        <f aca="false">VLOOKUP(P3176,Sheet2!J:K,2,0)</f>
        <v>IR Declared due to CID -TA</v>
      </c>
      <c r="R3176" s="17" t="s">
        <v>35</v>
      </c>
      <c r="S3176" s="17" t="str">
        <f aca="false">VLOOKUP(R3176,Sheet2!N:O,2,0)</f>
        <v>IREPARABLE</v>
      </c>
      <c r="T3176" s="18" t="str">
        <f aca="false">VLOOKUP(P3176,Sheet2!Q:R,2,0)</f>
        <v>IR Normal - Track burn out</v>
      </c>
      <c r="U3176" s="20" t="s">
        <v>41</v>
      </c>
      <c r="V3176" s="17"/>
      <c r="W3176" s="20" t="e">
        <f aca="false">VLOOKUP(V3176,Sheet2!Q:R,2,0)</f>
        <v>#N/A</v>
      </c>
      <c r="X3176" s="17" t="n">
        <f aca="false">J3176</f>
        <v>0</v>
      </c>
      <c r="Y3176" s="17" t="e">
        <f aca="false">VLOOKUP(X3176,Sheet2!A:B,2,0)</f>
        <v>#N/A</v>
      </c>
      <c r="Z3176" s="17"/>
      <c r="AA3176" s="17"/>
      <c r="AB3176" s="17" t="s">
        <v>41</v>
      </c>
      <c r="AC3176" s="0" t="str">
        <f aca="false">LEFT(G3176,2)</f>
        <v/>
      </c>
    </row>
    <row r="3177" customFormat="false" ht="15" hidden="false" customHeight="false" outlineLevel="0" collapsed="false">
      <c r="A3177" s="13" t="n">
        <f aca="false">1+A3176</f>
        <v>3175</v>
      </c>
      <c r="B3177" s="14" t="n">
        <v>100</v>
      </c>
      <c r="C3177" s="15"/>
      <c r="D3177" s="16" t="s">
        <v>64</v>
      </c>
      <c r="E3177" s="17" t="s">
        <v>47</v>
      </c>
      <c r="F3177" s="18" t="s">
        <v>34</v>
      </c>
      <c r="G3177" s="19"/>
      <c r="H3177" s="17" t="s">
        <v>35</v>
      </c>
      <c r="I3177" s="17" t="s">
        <v>44</v>
      </c>
      <c r="J3177" s="17"/>
      <c r="K3177" s="17" t="e">
        <f aca="false">VLOOKUP(J3177,Sheet2!A:B,2,0)</f>
        <v>#N/A</v>
      </c>
      <c r="L3177" s="17" t="n">
        <v>5</v>
      </c>
      <c r="M3177" s="17" t="str">
        <f aca="false">VLOOKUP(L3177,Sheet2!D:E,2,0)</f>
        <v>Main Processor CPU BGA</v>
      </c>
      <c r="N3177" s="17" t="n">
        <v>1</v>
      </c>
      <c r="O3177" s="17" t="str">
        <f aca="false">VLOOKUP(N3177,Sheet2!G:H,2,0)</f>
        <v>Dead</v>
      </c>
      <c r="P3177" s="17" t="n">
        <v>11</v>
      </c>
      <c r="Q3177" s="17" t="str">
        <f aca="false">VLOOKUP(P3177,Sheet2!J:K,2,0)</f>
        <v>IR Declared due to CID -TA</v>
      </c>
      <c r="R3177" s="17" t="s">
        <v>35</v>
      </c>
      <c r="S3177" s="17" t="str">
        <f aca="false">VLOOKUP(R3177,Sheet2!N:O,2,0)</f>
        <v>IREPARABLE</v>
      </c>
      <c r="T3177" s="18" t="str">
        <f aca="false">VLOOKUP(P3177,Sheet2!Q:R,2,0)</f>
        <v>IR Normal - Track burn out</v>
      </c>
      <c r="U3177" s="20" t="s">
        <v>41</v>
      </c>
      <c r="V3177" s="17"/>
      <c r="W3177" s="20" t="e">
        <f aca="false">VLOOKUP(V3177,Sheet2!Q:R,2,0)</f>
        <v>#N/A</v>
      </c>
      <c r="X3177" s="17" t="n">
        <f aca="false">J3177</f>
        <v>0</v>
      </c>
      <c r="Y3177" s="17" t="e">
        <f aca="false">VLOOKUP(X3177,Sheet2!A:B,2,0)</f>
        <v>#N/A</v>
      </c>
      <c r="Z3177" s="17"/>
      <c r="AA3177" s="17"/>
      <c r="AB3177" s="17" t="s">
        <v>41</v>
      </c>
      <c r="AC3177" s="0" t="str">
        <f aca="false">LEFT(G3177,2)</f>
        <v/>
      </c>
    </row>
    <row r="3178" customFormat="false" ht="15" hidden="false" customHeight="false" outlineLevel="0" collapsed="false">
      <c r="A3178" s="13" t="n">
        <f aca="false">1+A3177</f>
        <v>3176</v>
      </c>
      <c r="B3178" s="14" t="n">
        <v>100</v>
      </c>
      <c r="C3178" s="15"/>
      <c r="D3178" s="16" t="s">
        <v>64</v>
      </c>
      <c r="E3178" s="17" t="s">
        <v>47</v>
      </c>
      <c r="F3178" s="18" t="s">
        <v>34</v>
      </c>
      <c r="G3178" s="19"/>
      <c r="H3178" s="17" t="s">
        <v>35</v>
      </c>
      <c r="I3178" s="17" t="s">
        <v>44</v>
      </c>
      <c r="J3178" s="17"/>
      <c r="K3178" s="17" t="e">
        <f aca="false">VLOOKUP(J3178,Sheet2!A:B,2,0)</f>
        <v>#N/A</v>
      </c>
      <c r="L3178" s="17" t="n">
        <v>5</v>
      </c>
      <c r="M3178" s="17" t="str">
        <f aca="false">VLOOKUP(L3178,Sheet2!D:E,2,0)</f>
        <v>Main Processor CPU BGA</v>
      </c>
      <c r="N3178" s="17" t="n">
        <v>1</v>
      </c>
      <c r="O3178" s="17" t="str">
        <f aca="false">VLOOKUP(N3178,Sheet2!G:H,2,0)</f>
        <v>Dead</v>
      </c>
      <c r="P3178" s="17" t="n">
        <v>11</v>
      </c>
      <c r="Q3178" s="17" t="str">
        <f aca="false">VLOOKUP(P3178,Sheet2!J:K,2,0)</f>
        <v>IR Declared due to CID -TA</v>
      </c>
      <c r="R3178" s="17" t="s">
        <v>35</v>
      </c>
      <c r="S3178" s="17" t="str">
        <f aca="false">VLOOKUP(R3178,Sheet2!N:O,2,0)</f>
        <v>IREPARABLE</v>
      </c>
      <c r="T3178" s="18" t="str">
        <f aca="false">VLOOKUP(P3178,Sheet2!Q:R,2,0)</f>
        <v>IR Normal - Track burn out</v>
      </c>
      <c r="U3178" s="20" t="s">
        <v>41</v>
      </c>
      <c r="V3178" s="17"/>
      <c r="W3178" s="20" t="e">
        <f aca="false">VLOOKUP(V3178,Sheet2!Q:R,2,0)</f>
        <v>#N/A</v>
      </c>
      <c r="X3178" s="17" t="n">
        <f aca="false">J3178</f>
        <v>0</v>
      </c>
      <c r="Y3178" s="17" t="e">
        <f aca="false">VLOOKUP(X3178,Sheet2!A:B,2,0)</f>
        <v>#N/A</v>
      </c>
      <c r="Z3178" s="17"/>
      <c r="AA3178" s="17"/>
      <c r="AB3178" s="17" t="s">
        <v>41</v>
      </c>
      <c r="AC3178" s="0" t="str">
        <f aca="false">LEFT(G3178,2)</f>
        <v/>
      </c>
    </row>
    <row r="3179" customFormat="false" ht="15" hidden="false" customHeight="false" outlineLevel="0" collapsed="false">
      <c r="A3179" s="13" t="n">
        <f aca="false">1+A3178</f>
        <v>3177</v>
      </c>
      <c r="B3179" s="14" t="n">
        <v>100</v>
      </c>
      <c r="C3179" s="15"/>
      <c r="D3179" s="16" t="s">
        <v>64</v>
      </c>
      <c r="E3179" s="17" t="s">
        <v>47</v>
      </c>
      <c r="F3179" s="18" t="s">
        <v>34</v>
      </c>
      <c r="G3179" s="19"/>
      <c r="H3179" s="17" t="s">
        <v>35</v>
      </c>
      <c r="I3179" s="17" t="s">
        <v>44</v>
      </c>
      <c r="J3179" s="17"/>
      <c r="K3179" s="17" t="e">
        <f aca="false">VLOOKUP(J3179,Sheet2!A:B,2,0)</f>
        <v>#N/A</v>
      </c>
      <c r="L3179" s="17" t="n">
        <v>5</v>
      </c>
      <c r="M3179" s="17" t="str">
        <f aca="false">VLOOKUP(L3179,Sheet2!D:E,2,0)</f>
        <v>Main Processor CPU BGA</v>
      </c>
      <c r="N3179" s="17" t="n">
        <v>1</v>
      </c>
      <c r="O3179" s="17" t="str">
        <f aca="false">VLOOKUP(N3179,Sheet2!G:H,2,0)</f>
        <v>Dead</v>
      </c>
      <c r="P3179" s="17" t="n">
        <v>11</v>
      </c>
      <c r="Q3179" s="17" t="str">
        <f aca="false">VLOOKUP(P3179,Sheet2!J:K,2,0)</f>
        <v>IR Declared due to CID -TA</v>
      </c>
      <c r="R3179" s="17" t="s">
        <v>35</v>
      </c>
      <c r="S3179" s="17" t="str">
        <f aca="false">VLOOKUP(R3179,Sheet2!N:O,2,0)</f>
        <v>IREPARABLE</v>
      </c>
      <c r="T3179" s="18" t="str">
        <f aca="false">VLOOKUP(P3179,Sheet2!Q:R,2,0)</f>
        <v>IR Normal - Track burn out</v>
      </c>
      <c r="U3179" s="20" t="s">
        <v>41</v>
      </c>
      <c r="V3179" s="17"/>
      <c r="W3179" s="20" t="e">
        <f aca="false">VLOOKUP(V3179,Sheet2!Q:R,2,0)</f>
        <v>#N/A</v>
      </c>
      <c r="X3179" s="17" t="n">
        <f aca="false">J3179</f>
        <v>0</v>
      </c>
      <c r="Y3179" s="17" t="e">
        <f aca="false">VLOOKUP(X3179,Sheet2!A:B,2,0)</f>
        <v>#N/A</v>
      </c>
      <c r="Z3179" s="17"/>
      <c r="AA3179" s="17"/>
      <c r="AB3179" s="17" t="s">
        <v>41</v>
      </c>
      <c r="AC3179" s="0" t="str">
        <f aca="false">LEFT(G3179,2)</f>
        <v/>
      </c>
    </row>
    <row r="3180" customFormat="false" ht="15" hidden="false" customHeight="false" outlineLevel="0" collapsed="false">
      <c r="A3180" s="13" t="n">
        <f aca="false">1+A3179</f>
        <v>3178</v>
      </c>
      <c r="B3180" s="14" t="n">
        <v>100</v>
      </c>
      <c r="C3180" s="15"/>
      <c r="D3180" s="16" t="s">
        <v>64</v>
      </c>
      <c r="E3180" s="17" t="s">
        <v>47</v>
      </c>
      <c r="F3180" s="18" t="s">
        <v>34</v>
      </c>
      <c r="G3180" s="19"/>
      <c r="H3180" s="17" t="s">
        <v>35</v>
      </c>
      <c r="I3180" s="17" t="s">
        <v>44</v>
      </c>
      <c r="J3180" s="17"/>
      <c r="K3180" s="17" t="e">
        <f aca="false">VLOOKUP(J3180,Sheet2!A:B,2,0)</f>
        <v>#N/A</v>
      </c>
      <c r="L3180" s="17" t="n">
        <v>5</v>
      </c>
      <c r="M3180" s="17" t="str">
        <f aca="false">VLOOKUP(L3180,Sheet2!D:E,2,0)</f>
        <v>Main Processor CPU BGA</v>
      </c>
      <c r="N3180" s="17" t="n">
        <v>1</v>
      </c>
      <c r="O3180" s="17" t="str">
        <f aca="false">VLOOKUP(N3180,Sheet2!G:H,2,0)</f>
        <v>Dead</v>
      </c>
      <c r="P3180" s="17" t="n">
        <v>11</v>
      </c>
      <c r="Q3180" s="17" t="str">
        <f aca="false">VLOOKUP(P3180,Sheet2!J:K,2,0)</f>
        <v>IR Declared due to CID -TA</v>
      </c>
      <c r="R3180" s="17" t="s">
        <v>35</v>
      </c>
      <c r="S3180" s="17" t="str">
        <f aca="false">VLOOKUP(R3180,Sheet2!N:O,2,0)</f>
        <v>IREPARABLE</v>
      </c>
      <c r="T3180" s="18" t="str">
        <f aca="false">VLOOKUP(P3180,Sheet2!Q:R,2,0)</f>
        <v>IR Normal - Track burn out</v>
      </c>
      <c r="U3180" s="20" t="s">
        <v>41</v>
      </c>
      <c r="V3180" s="17"/>
      <c r="W3180" s="20" t="e">
        <f aca="false">VLOOKUP(V3180,Sheet2!Q:R,2,0)</f>
        <v>#N/A</v>
      </c>
      <c r="X3180" s="17" t="n">
        <f aca="false">J3180</f>
        <v>0</v>
      </c>
      <c r="Y3180" s="17" t="e">
        <f aca="false">VLOOKUP(X3180,Sheet2!A:B,2,0)</f>
        <v>#N/A</v>
      </c>
      <c r="Z3180" s="17"/>
      <c r="AA3180" s="17"/>
      <c r="AB3180" s="17" t="s">
        <v>41</v>
      </c>
      <c r="AC3180" s="0" t="str">
        <f aca="false">LEFT(G3180,2)</f>
        <v/>
      </c>
    </row>
    <row r="3181" customFormat="false" ht="15" hidden="false" customHeight="false" outlineLevel="0" collapsed="false">
      <c r="A3181" s="13" t="n">
        <f aca="false">1+A3180</f>
        <v>3179</v>
      </c>
      <c r="B3181" s="14" t="n">
        <v>100</v>
      </c>
      <c r="C3181" s="15"/>
      <c r="D3181" s="16" t="s">
        <v>64</v>
      </c>
      <c r="E3181" s="17" t="s">
        <v>47</v>
      </c>
      <c r="F3181" s="18" t="s">
        <v>34</v>
      </c>
      <c r="G3181" s="19"/>
      <c r="H3181" s="17" t="s">
        <v>35</v>
      </c>
      <c r="I3181" s="17" t="s">
        <v>44</v>
      </c>
      <c r="J3181" s="17"/>
      <c r="K3181" s="17" t="e">
        <f aca="false">VLOOKUP(J3181,Sheet2!A:B,2,0)</f>
        <v>#N/A</v>
      </c>
      <c r="L3181" s="17" t="n">
        <v>5</v>
      </c>
      <c r="M3181" s="17" t="str">
        <f aca="false">VLOOKUP(L3181,Sheet2!D:E,2,0)</f>
        <v>Main Processor CPU BGA</v>
      </c>
      <c r="N3181" s="17" t="n">
        <v>1</v>
      </c>
      <c r="O3181" s="17" t="str">
        <f aca="false">VLOOKUP(N3181,Sheet2!G:H,2,0)</f>
        <v>Dead</v>
      </c>
      <c r="P3181" s="17" t="n">
        <v>11</v>
      </c>
      <c r="Q3181" s="17" t="str">
        <f aca="false">VLOOKUP(P3181,Sheet2!J:K,2,0)</f>
        <v>IR Declared due to CID -TA</v>
      </c>
      <c r="R3181" s="17" t="s">
        <v>35</v>
      </c>
      <c r="S3181" s="17" t="str">
        <f aca="false">VLOOKUP(R3181,Sheet2!N:O,2,0)</f>
        <v>IREPARABLE</v>
      </c>
      <c r="T3181" s="18" t="str">
        <f aca="false">VLOOKUP(P3181,Sheet2!Q:R,2,0)</f>
        <v>IR Normal - Track burn out</v>
      </c>
      <c r="U3181" s="20" t="s">
        <v>41</v>
      </c>
      <c r="V3181" s="17"/>
      <c r="W3181" s="20" t="e">
        <f aca="false">VLOOKUP(V3181,Sheet2!Q:R,2,0)</f>
        <v>#N/A</v>
      </c>
      <c r="X3181" s="17" t="n">
        <f aca="false">J3181</f>
        <v>0</v>
      </c>
      <c r="Y3181" s="17" t="e">
        <f aca="false">VLOOKUP(X3181,Sheet2!A:B,2,0)</f>
        <v>#N/A</v>
      </c>
      <c r="Z3181" s="17"/>
      <c r="AA3181" s="17"/>
      <c r="AB3181" s="17" t="s">
        <v>41</v>
      </c>
      <c r="AC3181" s="0" t="str">
        <f aca="false">LEFT(G3181,2)</f>
        <v/>
      </c>
    </row>
    <row r="3182" customFormat="false" ht="15" hidden="false" customHeight="false" outlineLevel="0" collapsed="false">
      <c r="A3182" s="13" t="n">
        <f aca="false">1+A3181</f>
        <v>3180</v>
      </c>
      <c r="B3182" s="14" t="n">
        <v>100</v>
      </c>
      <c r="C3182" s="15"/>
      <c r="D3182" s="16" t="s">
        <v>64</v>
      </c>
      <c r="E3182" s="17" t="s">
        <v>47</v>
      </c>
      <c r="F3182" s="18" t="s">
        <v>34</v>
      </c>
      <c r="G3182" s="19"/>
      <c r="H3182" s="17" t="s">
        <v>35</v>
      </c>
      <c r="I3182" s="17" t="s">
        <v>44</v>
      </c>
      <c r="J3182" s="17"/>
      <c r="K3182" s="17" t="e">
        <f aca="false">VLOOKUP(J3182,Sheet2!A:B,2,0)</f>
        <v>#N/A</v>
      </c>
      <c r="L3182" s="17" t="n">
        <v>5</v>
      </c>
      <c r="M3182" s="17" t="str">
        <f aca="false">VLOOKUP(L3182,Sheet2!D:E,2,0)</f>
        <v>Main Processor CPU BGA</v>
      </c>
      <c r="N3182" s="17" t="n">
        <v>1</v>
      </c>
      <c r="O3182" s="17" t="str">
        <f aca="false">VLOOKUP(N3182,Sheet2!G:H,2,0)</f>
        <v>Dead</v>
      </c>
      <c r="P3182" s="17" t="n">
        <v>11</v>
      </c>
      <c r="Q3182" s="17" t="str">
        <f aca="false">VLOOKUP(P3182,Sheet2!J:K,2,0)</f>
        <v>IR Declared due to CID -TA</v>
      </c>
      <c r="R3182" s="17" t="s">
        <v>35</v>
      </c>
      <c r="S3182" s="17" t="str">
        <f aca="false">VLOOKUP(R3182,Sheet2!N:O,2,0)</f>
        <v>IREPARABLE</v>
      </c>
      <c r="T3182" s="18" t="str">
        <f aca="false">VLOOKUP(P3182,Sheet2!Q:R,2,0)</f>
        <v>IR Normal - Track burn out</v>
      </c>
      <c r="U3182" s="20" t="s">
        <v>41</v>
      </c>
      <c r="V3182" s="17"/>
      <c r="W3182" s="20" t="e">
        <f aca="false">VLOOKUP(V3182,Sheet2!Q:R,2,0)</f>
        <v>#N/A</v>
      </c>
      <c r="X3182" s="17" t="n">
        <f aca="false">J3182</f>
        <v>0</v>
      </c>
      <c r="Y3182" s="17" t="e">
        <f aca="false">VLOOKUP(X3182,Sheet2!A:B,2,0)</f>
        <v>#N/A</v>
      </c>
      <c r="Z3182" s="17"/>
      <c r="AA3182" s="17"/>
      <c r="AB3182" s="17" t="s">
        <v>41</v>
      </c>
      <c r="AC3182" s="0" t="str">
        <f aca="false">LEFT(G3182,2)</f>
        <v/>
      </c>
    </row>
    <row r="3183" customFormat="false" ht="15" hidden="false" customHeight="false" outlineLevel="0" collapsed="false">
      <c r="A3183" s="13" t="n">
        <f aca="false">1+A3182</f>
        <v>3181</v>
      </c>
      <c r="B3183" s="14" t="n">
        <v>100</v>
      </c>
      <c r="C3183" s="15"/>
      <c r="D3183" s="16" t="s">
        <v>64</v>
      </c>
      <c r="E3183" s="17" t="s">
        <v>47</v>
      </c>
      <c r="F3183" s="18" t="s">
        <v>34</v>
      </c>
      <c r="G3183" s="19"/>
      <c r="H3183" s="17" t="s">
        <v>35</v>
      </c>
      <c r="I3183" s="17" t="s">
        <v>44</v>
      </c>
      <c r="J3183" s="17"/>
      <c r="K3183" s="17" t="e">
        <f aca="false">VLOOKUP(J3183,Sheet2!A:B,2,0)</f>
        <v>#N/A</v>
      </c>
      <c r="L3183" s="17" t="n">
        <v>5</v>
      </c>
      <c r="M3183" s="17" t="str">
        <f aca="false">VLOOKUP(L3183,Sheet2!D:E,2,0)</f>
        <v>Main Processor CPU BGA</v>
      </c>
      <c r="N3183" s="17" t="n">
        <v>1</v>
      </c>
      <c r="O3183" s="17" t="str">
        <f aca="false">VLOOKUP(N3183,Sheet2!G:H,2,0)</f>
        <v>Dead</v>
      </c>
      <c r="P3183" s="17" t="n">
        <v>11</v>
      </c>
      <c r="Q3183" s="17" t="str">
        <f aca="false">VLOOKUP(P3183,Sheet2!J:K,2,0)</f>
        <v>IR Declared due to CID -TA</v>
      </c>
      <c r="R3183" s="17" t="s">
        <v>35</v>
      </c>
      <c r="S3183" s="17" t="str">
        <f aca="false">VLOOKUP(R3183,Sheet2!N:O,2,0)</f>
        <v>IREPARABLE</v>
      </c>
      <c r="T3183" s="18" t="str">
        <f aca="false">VLOOKUP(P3183,Sheet2!Q:R,2,0)</f>
        <v>IR Normal - Track burn out</v>
      </c>
      <c r="U3183" s="20" t="s">
        <v>41</v>
      </c>
      <c r="V3183" s="17"/>
      <c r="W3183" s="20" t="e">
        <f aca="false">VLOOKUP(V3183,Sheet2!Q:R,2,0)</f>
        <v>#N/A</v>
      </c>
      <c r="X3183" s="17" t="n">
        <f aca="false">J3183</f>
        <v>0</v>
      </c>
      <c r="Y3183" s="17" t="e">
        <f aca="false">VLOOKUP(X3183,Sheet2!A:B,2,0)</f>
        <v>#N/A</v>
      </c>
      <c r="Z3183" s="17"/>
      <c r="AA3183" s="17"/>
      <c r="AB3183" s="17" t="s">
        <v>41</v>
      </c>
      <c r="AC3183" s="0" t="str">
        <f aca="false">LEFT(G3183,2)</f>
        <v/>
      </c>
    </row>
    <row r="3184" customFormat="false" ht="15" hidden="false" customHeight="false" outlineLevel="0" collapsed="false">
      <c r="A3184" s="13" t="n">
        <f aca="false">1+A3183</f>
        <v>3182</v>
      </c>
      <c r="B3184" s="14" t="n">
        <v>100</v>
      </c>
      <c r="C3184" s="15"/>
      <c r="D3184" s="16" t="s">
        <v>64</v>
      </c>
      <c r="E3184" s="17" t="s">
        <v>47</v>
      </c>
      <c r="F3184" s="18" t="s">
        <v>34</v>
      </c>
      <c r="G3184" s="19"/>
      <c r="H3184" s="17" t="s">
        <v>35</v>
      </c>
      <c r="I3184" s="17" t="s">
        <v>44</v>
      </c>
      <c r="J3184" s="17"/>
      <c r="K3184" s="17" t="e">
        <f aca="false">VLOOKUP(J3184,Sheet2!A:B,2,0)</f>
        <v>#N/A</v>
      </c>
      <c r="L3184" s="17" t="n">
        <v>5</v>
      </c>
      <c r="M3184" s="17" t="str">
        <f aca="false">VLOOKUP(L3184,Sheet2!D:E,2,0)</f>
        <v>Main Processor CPU BGA</v>
      </c>
      <c r="N3184" s="17" t="n">
        <v>1</v>
      </c>
      <c r="O3184" s="17" t="str">
        <f aca="false">VLOOKUP(N3184,Sheet2!G:H,2,0)</f>
        <v>Dead</v>
      </c>
      <c r="P3184" s="17" t="n">
        <v>11</v>
      </c>
      <c r="Q3184" s="17" t="str">
        <f aca="false">VLOOKUP(P3184,Sheet2!J:K,2,0)</f>
        <v>IR Declared due to CID -TA</v>
      </c>
      <c r="R3184" s="17" t="s">
        <v>35</v>
      </c>
      <c r="S3184" s="17" t="str">
        <f aca="false">VLOOKUP(R3184,Sheet2!N:O,2,0)</f>
        <v>IREPARABLE</v>
      </c>
      <c r="T3184" s="18" t="str">
        <f aca="false">VLOOKUP(P3184,Sheet2!Q:R,2,0)</f>
        <v>IR Normal - Track burn out</v>
      </c>
      <c r="U3184" s="20" t="s">
        <v>41</v>
      </c>
      <c r="V3184" s="17"/>
      <c r="W3184" s="20" t="e">
        <f aca="false">VLOOKUP(V3184,Sheet2!Q:R,2,0)</f>
        <v>#N/A</v>
      </c>
      <c r="X3184" s="17" t="n">
        <f aca="false">J3184</f>
        <v>0</v>
      </c>
      <c r="Y3184" s="17" t="e">
        <f aca="false">VLOOKUP(X3184,Sheet2!A:B,2,0)</f>
        <v>#N/A</v>
      </c>
      <c r="Z3184" s="17"/>
      <c r="AA3184" s="17"/>
      <c r="AB3184" s="17" t="s">
        <v>41</v>
      </c>
      <c r="AC3184" s="0" t="str">
        <f aca="false">LEFT(G3184,2)</f>
        <v/>
      </c>
    </row>
    <row r="3185" customFormat="false" ht="15" hidden="false" customHeight="false" outlineLevel="0" collapsed="false">
      <c r="A3185" s="13" t="n">
        <f aca="false">1+A3184</f>
        <v>3183</v>
      </c>
      <c r="B3185" s="14" t="n">
        <v>100</v>
      </c>
      <c r="C3185" s="15"/>
      <c r="D3185" s="16" t="s">
        <v>64</v>
      </c>
      <c r="E3185" s="17" t="s">
        <v>47</v>
      </c>
      <c r="F3185" s="18" t="s">
        <v>34</v>
      </c>
      <c r="G3185" s="19"/>
      <c r="H3185" s="17" t="s">
        <v>35</v>
      </c>
      <c r="I3185" s="17" t="s">
        <v>44</v>
      </c>
      <c r="J3185" s="17"/>
      <c r="K3185" s="17" t="e">
        <f aca="false">VLOOKUP(J3185,Sheet2!A:B,2,0)</f>
        <v>#N/A</v>
      </c>
      <c r="L3185" s="17" t="n">
        <v>5</v>
      </c>
      <c r="M3185" s="17" t="str">
        <f aca="false">VLOOKUP(L3185,Sheet2!D:E,2,0)</f>
        <v>Main Processor CPU BGA</v>
      </c>
      <c r="N3185" s="17" t="n">
        <v>1</v>
      </c>
      <c r="O3185" s="17" t="str">
        <f aca="false">VLOOKUP(N3185,Sheet2!G:H,2,0)</f>
        <v>Dead</v>
      </c>
      <c r="P3185" s="17" t="n">
        <v>11</v>
      </c>
      <c r="Q3185" s="17" t="str">
        <f aca="false">VLOOKUP(P3185,Sheet2!J:K,2,0)</f>
        <v>IR Declared due to CID -TA</v>
      </c>
      <c r="R3185" s="17" t="s">
        <v>35</v>
      </c>
      <c r="S3185" s="17" t="str">
        <f aca="false">VLOOKUP(R3185,Sheet2!N:O,2,0)</f>
        <v>IREPARABLE</v>
      </c>
      <c r="T3185" s="18" t="str">
        <f aca="false">VLOOKUP(P3185,Sheet2!Q:R,2,0)</f>
        <v>IR Normal - Track burn out</v>
      </c>
      <c r="U3185" s="20" t="s">
        <v>41</v>
      </c>
      <c r="V3185" s="17"/>
      <c r="W3185" s="20" t="e">
        <f aca="false">VLOOKUP(V3185,Sheet2!Q:R,2,0)</f>
        <v>#N/A</v>
      </c>
      <c r="X3185" s="17" t="n">
        <f aca="false">J3185</f>
        <v>0</v>
      </c>
      <c r="Y3185" s="17" t="e">
        <f aca="false">VLOOKUP(X3185,Sheet2!A:B,2,0)</f>
        <v>#N/A</v>
      </c>
      <c r="Z3185" s="17"/>
      <c r="AA3185" s="17"/>
      <c r="AB3185" s="17" t="s">
        <v>41</v>
      </c>
      <c r="AC3185" s="0" t="str">
        <f aca="false">LEFT(G3185,2)</f>
        <v/>
      </c>
    </row>
    <row r="3186" customFormat="false" ht="15" hidden="false" customHeight="false" outlineLevel="0" collapsed="false">
      <c r="A3186" s="13" t="n">
        <f aca="false">1+A3185</f>
        <v>3184</v>
      </c>
      <c r="B3186" s="14" t="n">
        <v>100</v>
      </c>
      <c r="C3186" s="15"/>
      <c r="D3186" s="16" t="s">
        <v>64</v>
      </c>
      <c r="E3186" s="17" t="s">
        <v>47</v>
      </c>
      <c r="F3186" s="18" t="s">
        <v>34</v>
      </c>
      <c r="G3186" s="19"/>
      <c r="H3186" s="17" t="s">
        <v>35</v>
      </c>
      <c r="I3186" s="17" t="s">
        <v>44</v>
      </c>
      <c r="J3186" s="17"/>
      <c r="K3186" s="17" t="e">
        <f aca="false">VLOOKUP(J3186,Sheet2!A:B,2,0)</f>
        <v>#N/A</v>
      </c>
      <c r="L3186" s="17" t="n">
        <v>5</v>
      </c>
      <c r="M3186" s="17" t="str">
        <f aca="false">VLOOKUP(L3186,Sheet2!D:E,2,0)</f>
        <v>Main Processor CPU BGA</v>
      </c>
      <c r="N3186" s="17" t="n">
        <v>1</v>
      </c>
      <c r="O3186" s="17" t="str">
        <f aca="false">VLOOKUP(N3186,Sheet2!G:H,2,0)</f>
        <v>Dead</v>
      </c>
      <c r="P3186" s="17" t="n">
        <v>11</v>
      </c>
      <c r="Q3186" s="17" t="str">
        <f aca="false">VLOOKUP(P3186,Sheet2!J:K,2,0)</f>
        <v>IR Declared due to CID -TA</v>
      </c>
      <c r="R3186" s="17" t="s">
        <v>35</v>
      </c>
      <c r="S3186" s="17" t="str">
        <f aca="false">VLOOKUP(R3186,Sheet2!N:O,2,0)</f>
        <v>IREPARABLE</v>
      </c>
      <c r="T3186" s="18" t="str">
        <f aca="false">VLOOKUP(P3186,Sheet2!Q:R,2,0)</f>
        <v>IR Normal - Track burn out</v>
      </c>
      <c r="U3186" s="20" t="s">
        <v>41</v>
      </c>
      <c r="V3186" s="17"/>
      <c r="W3186" s="20" t="e">
        <f aca="false">VLOOKUP(V3186,Sheet2!Q:R,2,0)</f>
        <v>#N/A</v>
      </c>
      <c r="X3186" s="17" t="n">
        <f aca="false">J3186</f>
        <v>0</v>
      </c>
      <c r="Y3186" s="17" t="e">
        <f aca="false">VLOOKUP(X3186,Sheet2!A:B,2,0)</f>
        <v>#N/A</v>
      </c>
      <c r="Z3186" s="17"/>
      <c r="AA3186" s="17"/>
      <c r="AB3186" s="17" t="s">
        <v>41</v>
      </c>
      <c r="AC3186" s="0" t="str">
        <f aca="false">LEFT(G3186,2)</f>
        <v/>
      </c>
    </row>
    <row r="3187" customFormat="false" ht="15" hidden="false" customHeight="false" outlineLevel="0" collapsed="false">
      <c r="A3187" s="13" t="n">
        <f aca="false">1+A3186</f>
        <v>3185</v>
      </c>
      <c r="B3187" s="14" t="n">
        <v>100</v>
      </c>
      <c r="C3187" s="15"/>
      <c r="D3187" s="16" t="s">
        <v>64</v>
      </c>
      <c r="E3187" s="17" t="s">
        <v>47</v>
      </c>
      <c r="F3187" s="18" t="s">
        <v>34</v>
      </c>
      <c r="G3187" s="19"/>
      <c r="H3187" s="17" t="s">
        <v>35</v>
      </c>
      <c r="I3187" s="17" t="s">
        <v>44</v>
      </c>
      <c r="J3187" s="17"/>
      <c r="K3187" s="17" t="e">
        <f aca="false">VLOOKUP(J3187,Sheet2!A:B,2,0)</f>
        <v>#N/A</v>
      </c>
      <c r="L3187" s="17" t="n">
        <v>5</v>
      </c>
      <c r="M3187" s="17" t="str">
        <f aca="false">VLOOKUP(L3187,Sheet2!D:E,2,0)</f>
        <v>Main Processor CPU BGA</v>
      </c>
      <c r="N3187" s="17" t="n">
        <v>1</v>
      </c>
      <c r="O3187" s="17" t="str">
        <f aca="false">VLOOKUP(N3187,Sheet2!G:H,2,0)</f>
        <v>Dead</v>
      </c>
      <c r="P3187" s="17" t="n">
        <v>11</v>
      </c>
      <c r="Q3187" s="17" t="str">
        <f aca="false">VLOOKUP(P3187,Sheet2!J:K,2,0)</f>
        <v>IR Declared due to CID -TA</v>
      </c>
      <c r="R3187" s="17" t="s">
        <v>35</v>
      </c>
      <c r="S3187" s="17" t="str">
        <f aca="false">VLOOKUP(R3187,Sheet2!N:O,2,0)</f>
        <v>IREPARABLE</v>
      </c>
      <c r="T3187" s="18" t="str">
        <f aca="false">VLOOKUP(P3187,Sheet2!Q:R,2,0)</f>
        <v>IR Normal - Track burn out</v>
      </c>
      <c r="U3187" s="20" t="s">
        <v>41</v>
      </c>
      <c r="V3187" s="17"/>
      <c r="W3187" s="20" t="e">
        <f aca="false">VLOOKUP(V3187,Sheet2!Q:R,2,0)</f>
        <v>#N/A</v>
      </c>
      <c r="X3187" s="17" t="n">
        <f aca="false">J3187</f>
        <v>0</v>
      </c>
      <c r="Y3187" s="17" t="e">
        <f aca="false">VLOOKUP(X3187,Sheet2!A:B,2,0)</f>
        <v>#N/A</v>
      </c>
      <c r="Z3187" s="17"/>
      <c r="AA3187" s="17"/>
      <c r="AB3187" s="17" t="s">
        <v>41</v>
      </c>
      <c r="AC3187" s="0" t="str">
        <f aca="false">LEFT(G3187,2)</f>
        <v/>
      </c>
    </row>
    <row r="3188" customFormat="false" ht="15" hidden="false" customHeight="false" outlineLevel="0" collapsed="false">
      <c r="A3188" s="13" t="n">
        <f aca="false">1+A3187</f>
        <v>3186</v>
      </c>
      <c r="B3188" s="14" t="n">
        <v>100</v>
      </c>
      <c r="C3188" s="15"/>
      <c r="D3188" s="16" t="s">
        <v>64</v>
      </c>
      <c r="E3188" s="17" t="s">
        <v>47</v>
      </c>
      <c r="F3188" s="18" t="s">
        <v>34</v>
      </c>
      <c r="G3188" s="19"/>
      <c r="H3188" s="17" t="s">
        <v>35</v>
      </c>
      <c r="I3188" s="17" t="s">
        <v>44</v>
      </c>
      <c r="J3188" s="17"/>
      <c r="K3188" s="17" t="e">
        <f aca="false">VLOOKUP(J3188,Sheet2!A:B,2,0)</f>
        <v>#N/A</v>
      </c>
      <c r="L3188" s="17" t="n">
        <v>5</v>
      </c>
      <c r="M3188" s="17" t="str">
        <f aca="false">VLOOKUP(L3188,Sheet2!D:E,2,0)</f>
        <v>Main Processor CPU BGA</v>
      </c>
      <c r="N3188" s="17" t="n">
        <v>1</v>
      </c>
      <c r="O3188" s="17" t="str">
        <f aca="false">VLOOKUP(N3188,Sheet2!G:H,2,0)</f>
        <v>Dead</v>
      </c>
      <c r="P3188" s="17" t="n">
        <v>11</v>
      </c>
      <c r="Q3188" s="17" t="str">
        <f aca="false">VLOOKUP(P3188,Sheet2!J:K,2,0)</f>
        <v>IR Declared due to CID -TA</v>
      </c>
      <c r="R3188" s="17" t="s">
        <v>35</v>
      </c>
      <c r="S3188" s="17" t="str">
        <f aca="false">VLOOKUP(R3188,Sheet2!N:O,2,0)</f>
        <v>IREPARABLE</v>
      </c>
      <c r="T3188" s="18" t="str">
        <f aca="false">VLOOKUP(P3188,Sheet2!Q:R,2,0)</f>
        <v>IR Normal - Track burn out</v>
      </c>
      <c r="U3188" s="20" t="s">
        <v>41</v>
      </c>
      <c r="V3188" s="17"/>
      <c r="W3188" s="20" t="e">
        <f aca="false">VLOOKUP(V3188,Sheet2!Q:R,2,0)</f>
        <v>#N/A</v>
      </c>
      <c r="X3188" s="17" t="n">
        <f aca="false">J3188</f>
        <v>0</v>
      </c>
      <c r="Y3188" s="17" t="e">
        <f aca="false">VLOOKUP(X3188,Sheet2!A:B,2,0)</f>
        <v>#N/A</v>
      </c>
      <c r="Z3188" s="17"/>
      <c r="AA3188" s="17"/>
      <c r="AB3188" s="17" t="s">
        <v>41</v>
      </c>
      <c r="AC3188" s="0" t="str">
        <f aca="false">LEFT(G3188,2)</f>
        <v/>
      </c>
    </row>
    <row r="3189" customFormat="false" ht="15" hidden="false" customHeight="false" outlineLevel="0" collapsed="false">
      <c r="A3189" s="13" t="n">
        <f aca="false">1+A3188</f>
        <v>3187</v>
      </c>
      <c r="B3189" s="14" t="n">
        <v>100</v>
      </c>
      <c r="C3189" s="15"/>
      <c r="D3189" s="16" t="s">
        <v>64</v>
      </c>
      <c r="E3189" s="17" t="s">
        <v>47</v>
      </c>
      <c r="F3189" s="18" t="s">
        <v>34</v>
      </c>
      <c r="G3189" s="19"/>
      <c r="H3189" s="17" t="s">
        <v>35</v>
      </c>
      <c r="I3189" s="17" t="s">
        <v>44</v>
      </c>
      <c r="J3189" s="17"/>
      <c r="K3189" s="17" t="e">
        <f aca="false">VLOOKUP(J3189,Sheet2!A:B,2,0)</f>
        <v>#N/A</v>
      </c>
      <c r="L3189" s="17" t="n">
        <v>5</v>
      </c>
      <c r="M3189" s="17" t="str">
        <f aca="false">VLOOKUP(L3189,Sheet2!D:E,2,0)</f>
        <v>Main Processor CPU BGA</v>
      </c>
      <c r="N3189" s="17" t="n">
        <v>1</v>
      </c>
      <c r="O3189" s="17" t="str">
        <f aca="false">VLOOKUP(N3189,Sheet2!G:H,2,0)</f>
        <v>Dead</v>
      </c>
      <c r="P3189" s="17" t="n">
        <v>11</v>
      </c>
      <c r="Q3189" s="17" t="str">
        <f aca="false">VLOOKUP(P3189,Sheet2!J:K,2,0)</f>
        <v>IR Declared due to CID -TA</v>
      </c>
      <c r="R3189" s="17" t="s">
        <v>35</v>
      </c>
      <c r="S3189" s="17" t="str">
        <f aca="false">VLOOKUP(R3189,Sheet2!N:O,2,0)</f>
        <v>IREPARABLE</v>
      </c>
      <c r="T3189" s="18" t="str">
        <f aca="false">VLOOKUP(P3189,Sheet2!Q:R,2,0)</f>
        <v>IR Normal - Track burn out</v>
      </c>
      <c r="U3189" s="20" t="s">
        <v>41</v>
      </c>
      <c r="V3189" s="17"/>
      <c r="W3189" s="20" t="e">
        <f aca="false">VLOOKUP(V3189,Sheet2!Q:R,2,0)</f>
        <v>#N/A</v>
      </c>
      <c r="X3189" s="17" t="n">
        <f aca="false">J3189</f>
        <v>0</v>
      </c>
      <c r="Y3189" s="17" t="e">
        <f aca="false">VLOOKUP(X3189,Sheet2!A:B,2,0)</f>
        <v>#N/A</v>
      </c>
      <c r="Z3189" s="17"/>
      <c r="AA3189" s="17"/>
      <c r="AB3189" s="17" t="s">
        <v>41</v>
      </c>
      <c r="AC3189" s="0" t="str">
        <f aca="false">LEFT(G3189,2)</f>
        <v/>
      </c>
    </row>
    <row r="3190" customFormat="false" ht="15" hidden="false" customHeight="false" outlineLevel="0" collapsed="false">
      <c r="A3190" s="13" t="n">
        <f aca="false">1+A3189</f>
        <v>3188</v>
      </c>
      <c r="B3190" s="14" t="n">
        <v>100</v>
      </c>
      <c r="C3190" s="15"/>
      <c r="D3190" s="16" t="s">
        <v>64</v>
      </c>
      <c r="E3190" s="17" t="s">
        <v>47</v>
      </c>
      <c r="F3190" s="18" t="s">
        <v>34</v>
      </c>
      <c r="G3190" s="19"/>
      <c r="H3190" s="17" t="s">
        <v>35</v>
      </c>
      <c r="I3190" s="17" t="s">
        <v>44</v>
      </c>
      <c r="J3190" s="17"/>
      <c r="K3190" s="17" t="e">
        <f aca="false">VLOOKUP(J3190,Sheet2!A:B,2,0)</f>
        <v>#N/A</v>
      </c>
      <c r="L3190" s="17" t="n">
        <v>5</v>
      </c>
      <c r="M3190" s="17" t="str">
        <f aca="false">VLOOKUP(L3190,Sheet2!D:E,2,0)</f>
        <v>Main Processor CPU BGA</v>
      </c>
      <c r="N3190" s="17" t="n">
        <v>1</v>
      </c>
      <c r="O3190" s="17" t="str">
        <f aca="false">VLOOKUP(N3190,Sheet2!G:H,2,0)</f>
        <v>Dead</v>
      </c>
      <c r="P3190" s="17" t="n">
        <v>11</v>
      </c>
      <c r="Q3190" s="17" t="str">
        <f aca="false">VLOOKUP(P3190,Sheet2!J:K,2,0)</f>
        <v>IR Declared due to CID -TA</v>
      </c>
      <c r="R3190" s="17" t="s">
        <v>35</v>
      </c>
      <c r="S3190" s="17" t="str">
        <f aca="false">VLOOKUP(R3190,Sheet2!N:O,2,0)</f>
        <v>IREPARABLE</v>
      </c>
      <c r="T3190" s="18" t="str">
        <f aca="false">VLOOKUP(P3190,Sheet2!Q:R,2,0)</f>
        <v>IR Normal - Track burn out</v>
      </c>
      <c r="U3190" s="20" t="s">
        <v>41</v>
      </c>
      <c r="V3190" s="17"/>
      <c r="W3190" s="20" t="e">
        <f aca="false">VLOOKUP(V3190,Sheet2!Q:R,2,0)</f>
        <v>#N/A</v>
      </c>
      <c r="X3190" s="17" t="n">
        <f aca="false">J3190</f>
        <v>0</v>
      </c>
      <c r="Y3190" s="17" t="e">
        <f aca="false">VLOOKUP(X3190,Sheet2!A:B,2,0)</f>
        <v>#N/A</v>
      </c>
      <c r="Z3190" s="17"/>
      <c r="AA3190" s="17"/>
      <c r="AB3190" s="17" t="s">
        <v>41</v>
      </c>
      <c r="AC3190" s="0" t="str">
        <f aca="false">LEFT(G3190,2)</f>
        <v/>
      </c>
    </row>
    <row r="3191" customFormat="false" ht="15" hidden="false" customHeight="false" outlineLevel="0" collapsed="false">
      <c r="A3191" s="13" t="n">
        <f aca="false">1+A3190</f>
        <v>3189</v>
      </c>
      <c r="B3191" s="14" t="n">
        <v>100</v>
      </c>
      <c r="C3191" s="15"/>
      <c r="D3191" s="16" t="s">
        <v>64</v>
      </c>
      <c r="E3191" s="17" t="s">
        <v>47</v>
      </c>
      <c r="F3191" s="18" t="s">
        <v>34</v>
      </c>
      <c r="G3191" s="19"/>
      <c r="H3191" s="17" t="s">
        <v>35</v>
      </c>
      <c r="I3191" s="17" t="s">
        <v>44</v>
      </c>
      <c r="J3191" s="17"/>
      <c r="K3191" s="17" t="e">
        <f aca="false">VLOOKUP(J3191,Sheet2!A:B,2,0)</f>
        <v>#N/A</v>
      </c>
      <c r="L3191" s="17" t="n">
        <v>5</v>
      </c>
      <c r="M3191" s="17" t="str">
        <f aca="false">VLOOKUP(L3191,Sheet2!D:E,2,0)</f>
        <v>Main Processor CPU BGA</v>
      </c>
      <c r="N3191" s="17" t="n">
        <v>1</v>
      </c>
      <c r="O3191" s="17" t="str">
        <f aca="false">VLOOKUP(N3191,Sheet2!G:H,2,0)</f>
        <v>Dead</v>
      </c>
      <c r="P3191" s="17" t="n">
        <v>11</v>
      </c>
      <c r="Q3191" s="17" t="str">
        <f aca="false">VLOOKUP(P3191,Sheet2!J:K,2,0)</f>
        <v>IR Declared due to CID -TA</v>
      </c>
      <c r="R3191" s="17" t="s">
        <v>35</v>
      </c>
      <c r="S3191" s="17" t="str">
        <f aca="false">VLOOKUP(R3191,Sheet2!N:O,2,0)</f>
        <v>IREPARABLE</v>
      </c>
      <c r="T3191" s="18" t="str">
        <f aca="false">VLOOKUP(P3191,Sheet2!Q:R,2,0)</f>
        <v>IR Normal - Track burn out</v>
      </c>
      <c r="U3191" s="20" t="s">
        <v>41</v>
      </c>
      <c r="V3191" s="17"/>
      <c r="W3191" s="20" t="e">
        <f aca="false">VLOOKUP(V3191,Sheet2!Q:R,2,0)</f>
        <v>#N/A</v>
      </c>
      <c r="X3191" s="17" t="n">
        <f aca="false">J3191</f>
        <v>0</v>
      </c>
      <c r="Y3191" s="17" t="e">
        <f aca="false">VLOOKUP(X3191,Sheet2!A:B,2,0)</f>
        <v>#N/A</v>
      </c>
      <c r="Z3191" s="17"/>
      <c r="AA3191" s="17"/>
      <c r="AB3191" s="17" t="s">
        <v>41</v>
      </c>
      <c r="AC3191" s="0" t="str">
        <f aca="false">LEFT(G3191,2)</f>
        <v/>
      </c>
    </row>
    <row r="3192" customFormat="false" ht="15" hidden="false" customHeight="false" outlineLevel="0" collapsed="false">
      <c r="A3192" s="13" t="n">
        <f aca="false">1+A3191</f>
        <v>3190</v>
      </c>
      <c r="B3192" s="14" t="n">
        <v>100</v>
      </c>
      <c r="C3192" s="15"/>
      <c r="D3192" s="16" t="s">
        <v>64</v>
      </c>
      <c r="E3192" s="17" t="s">
        <v>47</v>
      </c>
      <c r="F3192" s="18" t="s">
        <v>34</v>
      </c>
      <c r="G3192" s="19"/>
      <c r="H3192" s="17" t="s">
        <v>35</v>
      </c>
      <c r="I3192" s="17" t="s">
        <v>44</v>
      </c>
      <c r="J3192" s="17"/>
      <c r="K3192" s="17" t="e">
        <f aca="false">VLOOKUP(J3192,Sheet2!A:B,2,0)</f>
        <v>#N/A</v>
      </c>
      <c r="L3192" s="17" t="n">
        <v>5</v>
      </c>
      <c r="M3192" s="17" t="str">
        <f aca="false">VLOOKUP(L3192,Sheet2!D:E,2,0)</f>
        <v>Main Processor CPU BGA</v>
      </c>
      <c r="N3192" s="17" t="n">
        <v>1</v>
      </c>
      <c r="O3192" s="17" t="str">
        <f aca="false">VLOOKUP(N3192,Sheet2!G:H,2,0)</f>
        <v>Dead</v>
      </c>
      <c r="P3192" s="17" t="n">
        <v>11</v>
      </c>
      <c r="Q3192" s="17" t="str">
        <f aca="false">VLOOKUP(P3192,Sheet2!J:K,2,0)</f>
        <v>IR Declared due to CID -TA</v>
      </c>
      <c r="R3192" s="17" t="s">
        <v>35</v>
      </c>
      <c r="S3192" s="17" t="str">
        <f aca="false">VLOOKUP(R3192,Sheet2!N:O,2,0)</f>
        <v>IREPARABLE</v>
      </c>
      <c r="T3192" s="18" t="str">
        <f aca="false">VLOOKUP(P3192,Sheet2!Q:R,2,0)</f>
        <v>IR Normal - Track burn out</v>
      </c>
      <c r="U3192" s="20" t="s">
        <v>41</v>
      </c>
      <c r="V3192" s="17"/>
      <c r="W3192" s="20" t="e">
        <f aca="false">VLOOKUP(V3192,Sheet2!Q:R,2,0)</f>
        <v>#N/A</v>
      </c>
      <c r="X3192" s="17" t="n">
        <f aca="false">J3192</f>
        <v>0</v>
      </c>
      <c r="Y3192" s="17" t="e">
        <f aca="false">VLOOKUP(X3192,Sheet2!A:B,2,0)</f>
        <v>#N/A</v>
      </c>
      <c r="Z3192" s="17"/>
      <c r="AA3192" s="17"/>
      <c r="AB3192" s="17" t="s">
        <v>41</v>
      </c>
      <c r="AC3192" s="0" t="str">
        <f aca="false">LEFT(G3192,2)</f>
        <v/>
      </c>
    </row>
    <row r="3193" customFormat="false" ht="15" hidden="false" customHeight="false" outlineLevel="0" collapsed="false">
      <c r="A3193" s="13" t="n">
        <f aca="false">1+A3192</f>
        <v>3191</v>
      </c>
      <c r="B3193" s="14" t="n">
        <v>100</v>
      </c>
      <c r="C3193" s="15"/>
      <c r="D3193" s="16" t="s">
        <v>64</v>
      </c>
      <c r="E3193" s="17" t="s">
        <v>47</v>
      </c>
      <c r="F3193" s="18" t="s">
        <v>34</v>
      </c>
      <c r="G3193" s="19"/>
      <c r="H3193" s="17" t="s">
        <v>35</v>
      </c>
      <c r="I3193" s="17" t="s">
        <v>44</v>
      </c>
      <c r="J3193" s="17"/>
      <c r="K3193" s="17" t="e">
        <f aca="false">VLOOKUP(J3193,Sheet2!A:B,2,0)</f>
        <v>#N/A</v>
      </c>
      <c r="L3193" s="17" t="n">
        <v>5</v>
      </c>
      <c r="M3193" s="17" t="str">
        <f aca="false">VLOOKUP(L3193,Sheet2!D:E,2,0)</f>
        <v>Main Processor CPU BGA</v>
      </c>
      <c r="N3193" s="17" t="n">
        <v>1</v>
      </c>
      <c r="O3193" s="17" t="str">
        <f aca="false">VLOOKUP(N3193,Sheet2!G:H,2,0)</f>
        <v>Dead</v>
      </c>
      <c r="P3193" s="17" t="n">
        <v>11</v>
      </c>
      <c r="Q3193" s="17" t="str">
        <f aca="false">VLOOKUP(P3193,Sheet2!J:K,2,0)</f>
        <v>IR Declared due to CID -TA</v>
      </c>
      <c r="R3193" s="17" t="s">
        <v>35</v>
      </c>
      <c r="S3193" s="17" t="str">
        <f aca="false">VLOOKUP(R3193,Sheet2!N:O,2,0)</f>
        <v>IREPARABLE</v>
      </c>
      <c r="T3193" s="18" t="str">
        <f aca="false">VLOOKUP(P3193,Sheet2!Q:R,2,0)</f>
        <v>IR Normal - Track burn out</v>
      </c>
      <c r="U3193" s="20" t="s">
        <v>41</v>
      </c>
      <c r="V3193" s="17"/>
      <c r="W3193" s="20" t="e">
        <f aca="false">VLOOKUP(V3193,Sheet2!Q:R,2,0)</f>
        <v>#N/A</v>
      </c>
      <c r="X3193" s="17" t="n">
        <f aca="false">J3193</f>
        <v>0</v>
      </c>
      <c r="Y3193" s="17" t="e">
        <f aca="false">VLOOKUP(X3193,Sheet2!A:B,2,0)</f>
        <v>#N/A</v>
      </c>
      <c r="Z3193" s="17"/>
      <c r="AA3193" s="17"/>
      <c r="AB3193" s="17" t="s">
        <v>41</v>
      </c>
      <c r="AC3193" s="0" t="str">
        <f aca="false">LEFT(G3193,2)</f>
        <v/>
      </c>
    </row>
    <row r="3194" customFormat="false" ht="15" hidden="false" customHeight="false" outlineLevel="0" collapsed="false">
      <c r="A3194" s="13" t="n">
        <f aca="false">1+A3193</f>
        <v>3192</v>
      </c>
      <c r="B3194" s="14" t="n">
        <v>100</v>
      </c>
      <c r="C3194" s="15"/>
      <c r="D3194" s="16" t="s">
        <v>64</v>
      </c>
      <c r="E3194" s="17" t="s">
        <v>47</v>
      </c>
      <c r="F3194" s="22"/>
      <c r="G3194" s="19"/>
      <c r="H3194" s="17" t="s">
        <v>35</v>
      </c>
      <c r="I3194" s="17" t="s">
        <v>44</v>
      </c>
      <c r="J3194" s="17"/>
      <c r="K3194" s="17" t="e">
        <f aca="false">VLOOKUP(J3194,[1]Sheet2!A$1:B$1048576,2,0)</f>
        <v>#N/A</v>
      </c>
      <c r="L3194" s="17" t="n">
        <v>5</v>
      </c>
      <c r="M3194" s="17" t="str">
        <f aca="false">VLOOKUP(L3194,Sheet2!D:E,2,0)</f>
        <v>Main Processor CPU BGA</v>
      </c>
      <c r="N3194" s="17" t="n">
        <v>1</v>
      </c>
      <c r="O3194" s="17" t="str">
        <f aca="false">VLOOKUP(N3194,Sheet2!G:H,2,0)</f>
        <v>Dead</v>
      </c>
      <c r="P3194" s="17" t="n">
        <v>11</v>
      </c>
      <c r="Q3194" s="17" t="s">
        <v>612</v>
      </c>
      <c r="R3194" s="17" t="s">
        <v>35</v>
      </c>
      <c r="S3194" s="17" t="s">
        <v>613</v>
      </c>
      <c r="T3194" s="18" t="str">
        <f aca="false">VLOOKUP(P3194,Sheet2!Q:R,2,0)</f>
        <v>IR Normal - Track burn out</v>
      </c>
      <c r="U3194" s="20" t="s">
        <v>41</v>
      </c>
      <c r="V3194" s="17"/>
      <c r="W3194" s="20" t="e">
        <f aca="false">VLOOKUP(V3194,Sheet2!Q:R,2,0)</f>
        <v>#N/A</v>
      </c>
      <c r="X3194" s="17" t="n">
        <f aca="false">J3194</f>
        <v>0</v>
      </c>
      <c r="Y3194" s="17" t="e">
        <f aca="false">VLOOKUP(X3194,Sheet2!A:B,2,0)</f>
        <v>#N/A</v>
      </c>
      <c r="Z3194" s="17"/>
      <c r="AA3194" s="17"/>
      <c r="AB3194" s="17" t="s">
        <v>41</v>
      </c>
      <c r="AC3194" s="0" t="str">
        <f aca="false">LEFT(G3194,2)</f>
        <v/>
      </c>
    </row>
    <row r="3195" customFormat="false" ht="15" hidden="false" customHeight="false" outlineLevel="0" collapsed="false">
      <c r="A3195" s="13" t="n">
        <f aca="false">1+A3194</f>
        <v>3193</v>
      </c>
      <c r="B3195" s="14" t="n">
        <v>100</v>
      </c>
      <c r="C3195" s="15"/>
      <c r="D3195" s="16" t="s">
        <v>64</v>
      </c>
      <c r="E3195" s="17" t="s">
        <v>47</v>
      </c>
      <c r="F3195" s="22"/>
      <c r="G3195" s="19"/>
      <c r="H3195" s="17" t="s">
        <v>35</v>
      </c>
      <c r="I3195" s="17" t="s">
        <v>44</v>
      </c>
      <c r="J3195" s="17"/>
      <c r="K3195" s="17" t="e">
        <f aca="false">VLOOKUP(J3195,[1]Sheet2!A$1:B$1048576,2,0)</f>
        <v>#N/A</v>
      </c>
      <c r="L3195" s="17" t="n">
        <v>5</v>
      </c>
      <c r="M3195" s="17" t="str">
        <f aca="false">VLOOKUP(L3195,Sheet2!D:E,2,0)</f>
        <v>Main Processor CPU BGA</v>
      </c>
      <c r="N3195" s="17" t="n">
        <v>1</v>
      </c>
      <c r="O3195" s="17" t="str">
        <f aca="false">VLOOKUP(N3195,Sheet2!G:H,2,0)</f>
        <v>Dead</v>
      </c>
      <c r="P3195" s="17" t="n">
        <v>11</v>
      </c>
      <c r="Q3195" s="17" t="s">
        <v>612</v>
      </c>
      <c r="R3195" s="17" t="s">
        <v>35</v>
      </c>
      <c r="S3195" s="17" t="s">
        <v>613</v>
      </c>
      <c r="T3195" s="18" t="str">
        <f aca="false">VLOOKUP(P3195,Sheet2!Q:R,2,0)</f>
        <v>IR Normal - Track burn out</v>
      </c>
      <c r="U3195" s="20" t="s">
        <v>41</v>
      </c>
      <c r="V3195" s="17"/>
      <c r="W3195" s="20" t="e">
        <f aca="false">VLOOKUP(V3195,Sheet2!Q:R,2,0)</f>
        <v>#N/A</v>
      </c>
      <c r="X3195" s="17" t="n">
        <f aca="false">J3195</f>
        <v>0</v>
      </c>
      <c r="Y3195" s="17" t="e">
        <f aca="false">VLOOKUP(X3195,Sheet2!A:B,2,0)</f>
        <v>#N/A</v>
      </c>
      <c r="Z3195" s="17"/>
      <c r="AA3195" s="17"/>
      <c r="AB3195" s="17" t="s">
        <v>41</v>
      </c>
      <c r="AC3195" s="0" t="str">
        <f aca="false">LEFT(G3195,2)</f>
        <v/>
      </c>
    </row>
    <row r="3196" customFormat="false" ht="15" hidden="false" customHeight="false" outlineLevel="0" collapsed="false">
      <c r="A3196" s="13" t="n">
        <f aca="false">1+A3195</f>
        <v>3194</v>
      </c>
      <c r="B3196" s="14" t="n">
        <v>100</v>
      </c>
      <c r="C3196" s="15"/>
      <c r="D3196" s="16" t="s">
        <v>64</v>
      </c>
      <c r="E3196" s="17" t="s">
        <v>47</v>
      </c>
      <c r="F3196" s="18" t="s">
        <v>34</v>
      </c>
      <c r="G3196" s="19"/>
      <c r="H3196" s="17" t="s">
        <v>35</v>
      </c>
      <c r="I3196" s="17" t="s">
        <v>44</v>
      </c>
      <c r="J3196" s="17"/>
      <c r="K3196" s="17" t="e">
        <f aca="false">VLOOKUP(J3196,Sheet2!A:B,2,0)</f>
        <v>#N/A</v>
      </c>
      <c r="L3196" s="17" t="n">
        <v>5</v>
      </c>
      <c r="M3196" s="17" t="str">
        <f aca="false">VLOOKUP(L3196,Sheet2!D:E,2,0)</f>
        <v>Main Processor CPU BGA</v>
      </c>
      <c r="N3196" s="17" t="n">
        <v>1</v>
      </c>
      <c r="O3196" s="17" t="str">
        <f aca="false">VLOOKUP(N3196,Sheet2!G:H,2,0)</f>
        <v>Dead</v>
      </c>
      <c r="P3196" s="17" t="n">
        <v>11</v>
      </c>
      <c r="Q3196" s="17" t="str">
        <f aca="false">VLOOKUP(P3196,Sheet2!J:K,2,0)</f>
        <v>IR Declared due to CID -TA</v>
      </c>
      <c r="R3196" s="17" t="s">
        <v>35</v>
      </c>
      <c r="S3196" s="17" t="str">
        <f aca="false">VLOOKUP(R3196,Sheet2!N:O,2,0)</f>
        <v>IREPARABLE</v>
      </c>
      <c r="T3196" s="18" t="str">
        <f aca="false">VLOOKUP(P3196,Sheet2!Q:R,2,0)</f>
        <v>IR Normal - Track burn out</v>
      </c>
      <c r="U3196" s="20" t="s">
        <v>41</v>
      </c>
      <c r="V3196" s="17"/>
      <c r="W3196" s="20" t="e">
        <f aca="false">VLOOKUP(V3196,Sheet2!Q:R,2,0)</f>
        <v>#N/A</v>
      </c>
      <c r="X3196" s="17" t="n">
        <f aca="false">J3196</f>
        <v>0</v>
      </c>
      <c r="Y3196" s="17" t="e">
        <f aca="false">VLOOKUP(X3196,Sheet2!A:B,2,0)</f>
        <v>#N/A</v>
      </c>
      <c r="Z3196" s="17"/>
      <c r="AA3196" s="17"/>
      <c r="AB3196" s="17" t="s">
        <v>41</v>
      </c>
      <c r="AC3196" s="0" t="str">
        <f aca="false">LEFT(G3196,2)</f>
        <v/>
      </c>
    </row>
    <row r="3197" customFormat="false" ht="15" hidden="false" customHeight="false" outlineLevel="0" collapsed="false">
      <c r="A3197" s="13" t="n">
        <f aca="false">1+A3196</f>
        <v>3195</v>
      </c>
      <c r="B3197" s="14" t="n">
        <v>100</v>
      </c>
      <c r="C3197" s="15"/>
      <c r="D3197" s="16" t="s">
        <v>64</v>
      </c>
      <c r="E3197" s="17" t="s">
        <v>47</v>
      </c>
      <c r="F3197" s="18" t="s">
        <v>34</v>
      </c>
      <c r="G3197" s="19"/>
      <c r="H3197" s="17" t="s">
        <v>35</v>
      </c>
      <c r="I3197" s="17" t="s">
        <v>44</v>
      </c>
      <c r="J3197" s="17"/>
      <c r="K3197" s="17" t="e">
        <f aca="false">VLOOKUP(J3197,Sheet2!A:B,2,0)</f>
        <v>#N/A</v>
      </c>
      <c r="L3197" s="17" t="n">
        <v>5</v>
      </c>
      <c r="M3197" s="17" t="str">
        <f aca="false">VLOOKUP(L3197,Sheet2!D:E,2,0)</f>
        <v>Main Processor CPU BGA</v>
      </c>
      <c r="N3197" s="17" t="n">
        <v>1</v>
      </c>
      <c r="O3197" s="17" t="str">
        <f aca="false">VLOOKUP(N3197,Sheet2!G:H,2,0)</f>
        <v>Dead</v>
      </c>
      <c r="P3197" s="17" t="n">
        <v>11</v>
      </c>
      <c r="Q3197" s="17" t="str">
        <f aca="false">VLOOKUP(P3197,Sheet2!J:K,2,0)</f>
        <v>IR Declared due to CID -TA</v>
      </c>
      <c r="R3197" s="17" t="s">
        <v>35</v>
      </c>
      <c r="S3197" s="17" t="str">
        <f aca="false">VLOOKUP(R3197,Sheet2!N:O,2,0)</f>
        <v>IREPARABLE</v>
      </c>
      <c r="T3197" s="18" t="str">
        <f aca="false">VLOOKUP(P3197,Sheet2!Q:R,2,0)</f>
        <v>IR Normal - Track burn out</v>
      </c>
      <c r="U3197" s="20" t="s">
        <v>41</v>
      </c>
      <c r="V3197" s="17"/>
      <c r="W3197" s="20" t="e">
        <f aca="false">VLOOKUP(V3197,Sheet2!Q:R,2,0)</f>
        <v>#N/A</v>
      </c>
      <c r="X3197" s="17" t="n">
        <f aca="false">J3197</f>
        <v>0</v>
      </c>
      <c r="Y3197" s="17" t="e">
        <f aca="false">VLOOKUP(X3197,Sheet2!A:B,2,0)</f>
        <v>#N/A</v>
      </c>
      <c r="Z3197" s="17"/>
      <c r="AA3197" s="17"/>
      <c r="AB3197" s="17" t="s">
        <v>41</v>
      </c>
      <c r="AC3197" s="0" t="str">
        <f aca="false">LEFT(G3197,2)</f>
        <v/>
      </c>
    </row>
    <row r="3198" customFormat="false" ht="15" hidden="false" customHeight="false" outlineLevel="0" collapsed="false">
      <c r="A3198" s="13" t="n">
        <f aca="false">1+A3197</f>
        <v>3196</v>
      </c>
      <c r="B3198" s="14" t="n">
        <v>100</v>
      </c>
      <c r="C3198" s="15"/>
      <c r="D3198" s="16" t="s">
        <v>64</v>
      </c>
      <c r="E3198" s="17" t="s">
        <v>47</v>
      </c>
      <c r="F3198" s="18" t="s">
        <v>34</v>
      </c>
      <c r="G3198" s="19"/>
      <c r="H3198" s="17" t="s">
        <v>35</v>
      </c>
      <c r="I3198" s="17" t="s">
        <v>44</v>
      </c>
      <c r="J3198" s="17"/>
      <c r="K3198" s="17" t="e">
        <f aca="false">VLOOKUP(J3198,Sheet2!A:B,2,0)</f>
        <v>#N/A</v>
      </c>
      <c r="L3198" s="17" t="n">
        <v>5</v>
      </c>
      <c r="M3198" s="17" t="str">
        <f aca="false">VLOOKUP(L3198,Sheet2!D:E,2,0)</f>
        <v>Main Processor CPU BGA</v>
      </c>
      <c r="N3198" s="17" t="n">
        <v>1</v>
      </c>
      <c r="O3198" s="17" t="str">
        <f aca="false">VLOOKUP(N3198,Sheet2!G:H,2,0)</f>
        <v>Dead</v>
      </c>
      <c r="P3198" s="17" t="n">
        <v>11</v>
      </c>
      <c r="Q3198" s="17" t="str">
        <f aca="false">VLOOKUP(P3198,Sheet2!J:K,2,0)</f>
        <v>IR Declared due to CID -TA</v>
      </c>
      <c r="R3198" s="17" t="s">
        <v>35</v>
      </c>
      <c r="S3198" s="17" t="str">
        <f aca="false">VLOOKUP(R3198,Sheet2!N:O,2,0)</f>
        <v>IREPARABLE</v>
      </c>
      <c r="T3198" s="18" t="str">
        <f aca="false">VLOOKUP(P3198,Sheet2!Q:R,2,0)</f>
        <v>IR Normal - Track burn out</v>
      </c>
      <c r="U3198" s="20" t="s">
        <v>41</v>
      </c>
      <c r="V3198" s="17"/>
      <c r="W3198" s="20" t="e">
        <f aca="false">VLOOKUP(V3198,Sheet2!Q:R,2,0)</f>
        <v>#N/A</v>
      </c>
      <c r="X3198" s="17" t="n">
        <f aca="false">J3198</f>
        <v>0</v>
      </c>
      <c r="Y3198" s="17" t="e">
        <f aca="false">VLOOKUP(X3198,Sheet2!A:B,2,0)</f>
        <v>#N/A</v>
      </c>
      <c r="Z3198" s="17"/>
      <c r="AA3198" s="17"/>
      <c r="AB3198" s="17" t="s">
        <v>41</v>
      </c>
      <c r="AC3198" s="0" t="str">
        <f aca="false">LEFT(G3198,2)</f>
        <v/>
      </c>
    </row>
    <row r="3199" customFormat="false" ht="15" hidden="false" customHeight="false" outlineLevel="0" collapsed="false">
      <c r="A3199" s="13" t="n">
        <f aca="false">1+A3198</f>
        <v>3197</v>
      </c>
      <c r="B3199" s="14" t="n">
        <v>100</v>
      </c>
      <c r="C3199" s="15"/>
      <c r="D3199" s="16" t="s">
        <v>64</v>
      </c>
      <c r="E3199" s="17" t="s">
        <v>47</v>
      </c>
      <c r="F3199" s="18" t="s">
        <v>34</v>
      </c>
      <c r="G3199" s="19"/>
      <c r="H3199" s="17" t="s">
        <v>35</v>
      </c>
      <c r="I3199" s="17" t="s">
        <v>44</v>
      </c>
      <c r="J3199" s="17"/>
      <c r="K3199" s="17" t="e">
        <f aca="false">VLOOKUP(J3199,Sheet2!A:B,2,0)</f>
        <v>#N/A</v>
      </c>
      <c r="L3199" s="17" t="n">
        <v>5</v>
      </c>
      <c r="M3199" s="17" t="str">
        <f aca="false">VLOOKUP(L3199,Sheet2!D:E,2,0)</f>
        <v>Main Processor CPU BGA</v>
      </c>
      <c r="N3199" s="17" t="n">
        <v>1</v>
      </c>
      <c r="O3199" s="17" t="str">
        <f aca="false">VLOOKUP(N3199,Sheet2!G:H,2,0)</f>
        <v>Dead</v>
      </c>
      <c r="P3199" s="17" t="n">
        <v>11</v>
      </c>
      <c r="Q3199" s="17" t="str">
        <f aca="false">VLOOKUP(P3199,Sheet2!J:K,2,0)</f>
        <v>IR Declared due to CID -TA</v>
      </c>
      <c r="R3199" s="17" t="s">
        <v>35</v>
      </c>
      <c r="S3199" s="17" t="str">
        <f aca="false">VLOOKUP(R3199,Sheet2!N:O,2,0)</f>
        <v>IREPARABLE</v>
      </c>
      <c r="T3199" s="18" t="str">
        <f aca="false">VLOOKUP(P3199,Sheet2!Q:R,2,0)</f>
        <v>IR Normal - Track burn out</v>
      </c>
      <c r="U3199" s="20" t="s">
        <v>41</v>
      </c>
      <c r="V3199" s="17"/>
      <c r="W3199" s="20" t="e">
        <f aca="false">VLOOKUP(V3199,Sheet2!Q:R,2,0)</f>
        <v>#N/A</v>
      </c>
      <c r="X3199" s="17" t="n">
        <f aca="false">J3199</f>
        <v>0</v>
      </c>
      <c r="Y3199" s="17" t="e">
        <f aca="false">VLOOKUP(X3199,Sheet2!A:B,2,0)</f>
        <v>#N/A</v>
      </c>
      <c r="Z3199" s="17"/>
      <c r="AA3199" s="17"/>
      <c r="AB3199" s="17" t="s">
        <v>41</v>
      </c>
      <c r="AC3199" s="0" t="str">
        <f aca="false">LEFT(G3199,2)</f>
        <v/>
      </c>
    </row>
    <row r="3200" customFormat="false" ht="15" hidden="false" customHeight="false" outlineLevel="0" collapsed="false">
      <c r="A3200" s="13" t="n">
        <f aca="false">1+A3199</f>
        <v>3198</v>
      </c>
      <c r="B3200" s="14" t="n">
        <v>100</v>
      </c>
      <c r="C3200" s="15"/>
      <c r="D3200" s="16" t="s">
        <v>64</v>
      </c>
      <c r="E3200" s="17" t="s">
        <v>47</v>
      </c>
      <c r="F3200" s="18" t="s">
        <v>34</v>
      </c>
      <c r="G3200" s="19"/>
      <c r="H3200" s="17" t="s">
        <v>35</v>
      </c>
      <c r="I3200" s="17" t="s">
        <v>44</v>
      </c>
      <c r="J3200" s="17"/>
      <c r="K3200" s="17" t="e">
        <f aca="false">VLOOKUP(J3200,Sheet2!A:B,2,0)</f>
        <v>#N/A</v>
      </c>
      <c r="L3200" s="17" t="n">
        <v>5</v>
      </c>
      <c r="M3200" s="17" t="str">
        <f aca="false">VLOOKUP(L3200,Sheet2!D:E,2,0)</f>
        <v>Main Processor CPU BGA</v>
      </c>
      <c r="N3200" s="17" t="n">
        <v>1</v>
      </c>
      <c r="O3200" s="17" t="str">
        <f aca="false">VLOOKUP(N3200,Sheet2!G:H,2,0)</f>
        <v>Dead</v>
      </c>
      <c r="P3200" s="17" t="n">
        <v>11</v>
      </c>
      <c r="Q3200" s="17" t="str">
        <f aca="false">VLOOKUP(P3200,Sheet2!J:K,2,0)</f>
        <v>IR Declared due to CID -TA</v>
      </c>
      <c r="R3200" s="17" t="s">
        <v>35</v>
      </c>
      <c r="S3200" s="17" t="str">
        <f aca="false">VLOOKUP(R3200,Sheet2!N:O,2,0)</f>
        <v>IREPARABLE</v>
      </c>
      <c r="T3200" s="18" t="str">
        <f aca="false">VLOOKUP(P3200,Sheet2!Q:R,2,0)</f>
        <v>IR Normal - Track burn out</v>
      </c>
      <c r="U3200" s="20" t="s">
        <v>41</v>
      </c>
      <c r="V3200" s="17"/>
      <c r="W3200" s="20" t="e">
        <f aca="false">VLOOKUP(V3200,Sheet2!Q:R,2,0)</f>
        <v>#N/A</v>
      </c>
      <c r="X3200" s="17" t="n">
        <f aca="false">J3200</f>
        <v>0</v>
      </c>
      <c r="Y3200" s="17" t="e">
        <f aca="false">VLOOKUP(X3200,Sheet2!A:B,2,0)</f>
        <v>#N/A</v>
      </c>
      <c r="Z3200" s="17"/>
      <c r="AA3200" s="17"/>
      <c r="AB3200" s="17" t="s">
        <v>41</v>
      </c>
      <c r="AC3200" s="0" t="str">
        <f aca="false">LEFT(G3200,2)</f>
        <v/>
      </c>
    </row>
    <row r="3201" customFormat="false" ht="15" hidden="false" customHeight="false" outlineLevel="0" collapsed="false">
      <c r="A3201" s="13" t="n">
        <f aca="false">1+A3200</f>
        <v>3199</v>
      </c>
      <c r="B3201" s="14" t="n">
        <v>100</v>
      </c>
      <c r="C3201" s="15"/>
      <c r="D3201" s="16" t="s">
        <v>64</v>
      </c>
      <c r="E3201" s="17" t="s">
        <v>47</v>
      </c>
      <c r="F3201" s="18" t="s">
        <v>34</v>
      </c>
      <c r="G3201" s="19"/>
      <c r="H3201" s="17" t="s">
        <v>35</v>
      </c>
      <c r="I3201" s="17" t="s">
        <v>44</v>
      </c>
      <c r="J3201" s="17"/>
      <c r="K3201" s="17" t="e">
        <f aca="false">VLOOKUP(J3201,Sheet2!A:B,2,0)</f>
        <v>#N/A</v>
      </c>
      <c r="L3201" s="17" t="n">
        <v>5</v>
      </c>
      <c r="M3201" s="17" t="str">
        <f aca="false">VLOOKUP(L3201,Sheet2!D:E,2,0)</f>
        <v>Main Processor CPU BGA</v>
      </c>
      <c r="N3201" s="17" t="n">
        <v>1</v>
      </c>
      <c r="O3201" s="17" t="str">
        <f aca="false">VLOOKUP(N3201,Sheet2!G:H,2,0)</f>
        <v>Dead</v>
      </c>
      <c r="P3201" s="17" t="n">
        <v>11</v>
      </c>
      <c r="Q3201" s="17" t="str">
        <f aca="false">VLOOKUP(P3201,Sheet2!J:K,2,0)</f>
        <v>IR Declared due to CID -TA</v>
      </c>
      <c r="R3201" s="17" t="s">
        <v>35</v>
      </c>
      <c r="S3201" s="17" t="str">
        <f aca="false">VLOOKUP(R3201,Sheet2!N:O,2,0)</f>
        <v>IREPARABLE</v>
      </c>
      <c r="T3201" s="18" t="str">
        <f aca="false">VLOOKUP(P3201,Sheet2!Q:R,2,0)</f>
        <v>IR Normal - Track burn out</v>
      </c>
      <c r="U3201" s="20" t="s">
        <v>41</v>
      </c>
      <c r="V3201" s="17"/>
      <c r="W3201" s="20" t="e">
        <f aca="false">VLOOKUP(V3201,Sheet2!Q:R,2,0)</f>
        <v>#N/A</v>
      </c>
      <c r="X3201" s="17" t="n">
        <f aca="false">J3201</f>
        <v>0</v>
      </c>
      <c r="Y3201" s="17" t="e">
        <f aca="false">VLOOKUP(X3201,Sheet2!A:B,2,0)</f>
        <v>#N/A</v>
      </c>
      <c r="Z3201" s="17"/>
      <c r="AA3201" s="17"/>
      <c r="AB3201" s="17" t="s">
        <v>41</v>
      </c>
      <c r="AC3201" s="0" t="str">
        <f aca="false">LEFT(G3201,2)</f>
        <v/>
      </c>
    </row>
    <row r="3202" customFormat="false" ht="15" hidden="false" customHeight="false" outlineLevel="0" collapsed="false">
      <c r="A3202" s="13" t="n">
        <f aca="false">1+A3201</f>
        <v>3200</v>
      </c>
      <c r="B3202" s="14" t="n">
        <v>100</v>
      </c>
      <c r="C3202" s="15"/>
      <c r="D3202" s="16" t="s">
        <v>64</v>
      </c>
      <c r="E3202" s="17" t="s">
        <v>47</v>
      </c>
      <c r="F3202" s="18" t="s">
        <v>34</v>
      </c>
      <c r="G3202" s="19"/>
      <c r="H3202" s="17" t="s">
        <v>35</v>
      </c>
      <c r="I3202" s="17" t="s">
        <v>44</v>
      </c>
      <c r="J3202" s="17"/>
      <c r="K3202" s="17" t="e">
        <f aca="false">VLOOKUP(J3202,Sheet2!A:B,2,0)</f>
        <v>#N/A</v>
      </c>
      <c r="L3202" s="17" t="n">
        <v>5</v>
      </c>
      <c r="M3202" s="17" t="str">
        <f aca="false">VLOOKUP(L3202,Sheet2!D:E,2,0)</f>
        <v>Main Processor CPU BGA</v>
      </c>
      <c r="N3202" s="17" t="n">
        <v>1</v>
      </c>
      <c r="O3202" s="17" t="str">
        <f aca="false">VLOOKUP(N3202,Sheet2!G:H,2,0)</f>
        <v>Dead</v>
      </c>
      <c r="P3202" s="17" t="n">
        <v>11</v>
      </c>
      <c r="Q3202" s="17" t="str">
        <f aca="false">VLOOKUP(P3202,Sheet2!J:K,2,0)</f>
        <v>IR Declared due to CID -TA</v>
      </c>
      <c r="R3202" s="17" t="s">
        <v>35</v>
      </c>
      <c r="S3202" s="17" t="str">
        <f aca="false">VLOOKUP(R3202,Sheet2!N:O,2,0)</f>
        <v>IREPARABLE</v>
      </c>
      <c r="T3202" s="18" t="str">
        <f aca="false">VLOOKUP(P3202,Sheet2!Q:R,2,0)</f>
        <v>IR Normal - Track burn out</v>
      </c>
      <c r="U3202" s="20" t="s">
        <v>41</v>
      </c>
      <c r="V3202" s="17"/>
      <c r="W3202" s="20" t="e">
        <f aca="false">VLOOKUP(V3202,Sheet2!Q:R,2,0)</f>
        <v>#N/A</v>
      </c>
      <c r="X3202" s="17" t="n">
        <f aca="false">J3202</f>
        <v>0</v>
      </c>
      <c r="Y3202" s="17" t="e">
        <f aca="false">VLOOKUP(X3202,Sheet2!A:B,2,0)</f>
        <v>#N/A</v>
      </c>
      <c r="Z3202" s="17"/>
      <c r="AA3202" s="17"/>
      <c r="AB3202" s="17" t="s">
        <v>41</v>
      </c>
      <c r="AC3202" s="0" t="str">
        <f aca="false">LEFT(G3202,2)</f>
        <v/>
      </c>
    </row>
    <row r="3203" customFormat="false" ht="15" hidden="false" customHeight="false" outlineLevel="0" collapsed="false">
      <c r="A3203" s="13" t="n">
        <f aca="false">1+A3202</f>
        <v>3201</v>
      </c>
      <c r="B3203" s="14" t="n">
        <v>100</v>
      </c>
      <c r="C3203" s="15"/>
      <c r="D3203" s="16" t="s">
        <v>64</v>
      </c>
      <c r="E3203" s="17" t="s">
        <v>47</v>
      </c>
      <c r="F3203" s="18" t="s">
        <v>34</v>
      </c>
      <c r="G3203" s="19"/>
      <c r="H3203" s="17" t="s">
        <v>35</v>
      </c>
      <c r="I3203" s="17" t="s">
        <v>44</v>
      </c>
      <c r="J3203" s="17"/>
      <c r="K3203" s="17" t="e">
        <f aca="false">VLOOKUP(J3203,Sheet2!A:B,2,0)</f>
        <v>#N/A</v>
      </c>
      <c r="L3203" s="17" t="n">
        <v>5</v>
      </c>
      <c r="M3203" s="17" t="str">
        <f aca="false">VLOOKUP(L3203,Sheet2!D:E,2,0)</f>
        <v>Main Processor CPU BGA</v>
      </c>
      <c r="N3203" s="17" t="n">
        <v>1</v>
      </c>
      <c r="O3203" s="17" t="str">
        <f aca="false">VLOOKUP(N3203,Sheet2!G:H,2,0)</f>
        <v>Dead</v>
      </c>
      <c r="P3203" s="17" t="n">
        <v>11</v>
      </c>
      <c r="Q3203" s="17" t="str">
        <f aca="false">VLOOKUP(P3203,Sheet2!J:K,2,0)</f>
        <v>IR Declared due to CID -TA</v>
      </c>
      <c r="R3203" s="17" t="s">
        <v>35</v>
      </c>
      <c r="S3203" s="17" t="str">
        <f aca="false">VLOOKUP(R3203,Sheet2!N:O,2,0)</f>
        <v>IREPARABLE</v>
      </c>
      <c r="T3203" s="18" t="str">
        <f aca="false">VLOOKUP(P3203,Sheet2!Q:R,2,0)</f>
        <v>IR Normal - Track burn out</v>
      </c>
      <c r="U3203" s="20" t="s">
        <v>41</v>
      </c>
      <c r="V3203" s="17"/>
      <c r="W3203" s="20" t="e">
        <f aca="false">VLOOKUP(V3203,Sheet2!Q:R,2,0)</f>
        <v>#N/A</v>
      </c>
      <c r="X3203" s="17" t="n">
        <f aca="false">J3203</f>
        <v>0</v>
      </c>
      <c r="Y3203" s="17" t="e">
        <f aca="false">VLOOKUP(X3203,Sheet2!A:B,2,0)</f>
        <v>#N/A</v>
      </c>
      <c r="Z3203" s="17"/>
      <c r="AA3203" s="17"/>
      <c r="AB3203" s="17" t="s">
        <v>41</v>
      </c>
      <c r="AC3203" s="0" t="str">
        <f aca="false">LEFT(G3203,2)</f>
        <v/>
      </c>
    </row>
    <row r="3204" customFormat="false" ht="15" hidden="false" customHeight="false" outlineLevel="0" collapsed="false">
      <c r="A3204" s="13" t="n">
        <f aca="false">1+A3203</f>
        <v>3202</v>
      </c>
      <c r="B3204" s="14" t="n">
        <v>100</v>
      </c>
      <c r="C3204" s="15"/>
      <c r="D3204" s="16" t="s">
        <v>64</v>
      </c>
      <c r="E3204" s="17" t="s">
        <v>47</v>
      </c>
      <c r="F3204" s="18" t="s">
        <v>34</v>
      </c>
      <c r="G3204" s="19"/>
      <c r="H3204" s="17" t="s">
        <v>35</v>
      </c>
      <c r="I3204" s="17" t="s">
        <v>44</v>
      </c>
      <c r="J3204" s="17"/>
      <c r="K3204" s="17" t="e">
        <f aca="false">VLOOKUP(J3204,Sheet2!A:B,2,0)</f>
        <v>#N/A</v>
      </c>
      <c r="L3204" s="17" t="n">
        <v>5</v>
      </c>
      <c r="M3204" s="17" t="str">
        <f aca="false">VLOOKUP(L3204,Sheet2!D:E,2,0)</f>
        <v>Main Processor CPU BGA</v>
      </c>
      <c r="N3204" s="17" t="n">
        <v>1</v>
      </c>
      <c r="O3204" s="17" t="str">
        <f aca="false">VLOOKUP(N3204,Sheet2!G:H,2,0)</f>
        <v>Dead</v>
      </c>
      <c r="P3204" s="17" t="n">
        <v>11</v>
      </c>
      <c r="Q3204" s="17" t="str">
        <f aca="false">VLOOKUP(P3204,Sheet2!J:K,2,0)</f>
        <v>IR Declared due to CID -TA</v>
      </c>
      <c r="R3204" s="17" t="s">
        <v>35</v>
      </c>
      <c r="S3204" s="17" t="str">
        <f aca="false">VLOOKUP(R3204,Sheet2!N:O,2,0)</f>
        <v>IREPARABLE</v>
      </c>
      <c r="T3204" s="18" t="str">
        <f aca="false">VLOOKUP(P3204,Sheet2!Q:R,2,0)</f>
        <v>IR Normal - Track burn out</v>
      </c>
      <c r="U3204" s="20" t="s">
        <v>41</v>
      </c>
      <c r="V3204" s="17"/>
      <c r="W3204" s="20" t="e">
        <f aca="false">VLOOKUP(V3204,Sheet2!Q:R,2,0)</f>
        <v>#N/A</v>
      </c>
      <c r="X3204" s="17" t="n">
        <f aca="false">J3204</f>
        <v>0</v>
      </c>
      <c r="Y3204" s="17" t="e">
        <f aca="false">VLOOKUP(X3204,Sheet2!A:B,2,0)</f>
        <v>#N/A</v>
      </c>
      <c r="Z3204" s="17"/>
      <c r="AA3204" s="17"/>
      <c r="AB3204" s="17" t="s">
        <v>41</v>
      </c>
      <c r="AC3204" s="0" t="str">
        <f aca="false">LEFT(G3204,2)</f>
        <v/>
      </c>
    </row>
    <row r="3205" customFormat="false" ht="15" hidden="false" customHeight="false" outlineLevel="0" collapsed="false">
      <c r="A3205" s="13" t="n">
        <f aca="false">1+A3204</f>
        <v>3203</v>
      </c>
      <c r="B3205" s="14" t="n">
        <v>100</v>
      </c>
      <c r="C3205" s="15"/>
      <c r="D3205" s="16" t="s">
        <v>64</v>
      </c>
      <c r="E3205" s="17" t="s">
        <v>47</v>
      </c>
      <c r="F3205" s="18" t="s">
        <v>34</v>
      </c>
      <c r="G3205" s="19"/>
      <c r="H3205" s="17" t="s">
        <v>35</v>
      </c>
      <c r="I3205" s="17" t="s">
        <v>44</v>
      </c>
      <c r="J3205" s="17"/>
      <c r="K3205" s="17" t="e">
        <f aca="false">VLOOKUP(J3205,Sheet2!A:B,2,0)</f>
        <v>#N/A</v>
      </c>
      <c r="L3205" s="17" t="n">
        <v>5</v>
      </c>
      <c r="M3205" s="17" t="str">
        <f aca="false">VLOOKUP(L3205,Sheet2!D:E,2,0)</f>
        <v>Main Processor CPU BGA</v>
      </c>
      <c r="N3205" s="17" t="n">
        <v>1</v>
      </c>
      <c r="O3205" s="17" t="str">
        <f aca="false">VLOOKUP(N3205,Sheet2!G:H,2,0)</f>
        <v>Dead</v>
      </c>
      <c r="P3205" s="17" t="n">
        <v>11</v>
      </c>
      <c r="Q3205" s="17" t="str">
        <f aca="false">VLOOKUP(P3205,Sheet2!J:K,2,0)</f>
        <v>IR Declared due to CID -TA</v>
      </c>
      <c r="R3205" s="17" t="s">
        <v>35</v>
      </c>
      <c r="S3205" s="17" t="str">
        <f aca="false">VLOOKUP(R3205,Sheet2!N:O,2,0)</f>
        <v>IREPARABLE</v>
      </c>
      <c r="T3205" s="18" t="str">
        <f aca="false">VLOOKUP(P3205,Sheet2!Q:R,2,0)</f>
        <v>IR Normal - Track burn out</v>
      </c>
      <c r="U3205" s="20" t="s">
        <v>41</v>
      </c>
      <c r="V3205" s="17"/>
      <c r="W3205" s="20" t="e">
        <f aca="false">VLOOKUP(V3205,Sheet2!Q:R,2,0)</f>
        <v>#N/A</v>
      </c>
      <c r="X3205" s="17" t="n">
        <f aca="false">J3205</f>
        <v>0</v>
      </c>
      <c r="Y3205" s="17" t="e">
        <f aca="false">VLOOKUP(X3205,Sheet2!A:B,2,0)</f>
        <v>#N/A</v>
      </c>
      <c r="Z3205" s="17"/>
      <c r="AA3205" s="17"/>
      <c r="AB3205" s="17" t="s">
        <v>41</v>
      </c>
      <c r="AC3205" s="0" t="str">
        <f aca="false">LEFT(G3205,2)</f>
        <v/>
      </c>
    </row>
    <row r="3206" customFormat="false" ht="15" hidden="false" customHeight="false" outlineLevel="0" collapsed="false">
      <c r="A3206" s="13" t="n">
        <f aca="false">1+A3205</f>
        <v>3204</v>
      </c>
      <c r="B3206" s="14" t="n">
        <v>100</v>
      </c>
      <c r="C3206" s="15"/>
      <c r="D3206" s="16" t="s">
        <v>64</v>
      </c>
      <c r="E3206" s="17" t="s">
        <v>47</v>
      </c>
      <c r="F3206" s="18" t="s">
        <v>34</v>
      </c>
      <c r="G3206" s="19"/>
      <c r="H3206" s="17" t="s">
        <v>35</v>
      </c>
      <c r="I3206" s="17" t="s">
        <v>44</v>
      </c>
      <c r="J3206" s="17"/>
      <c r="K3206" s="17" t="e">
        <f aca="false">VLOOKUP(J3206,Sheet2!A:B,2,0)</f>
        <v>#N/A</v>
      </c>
      <c r="L3206" s="17" t="n">
        <v>5</v>
      </c>
      <c r="M3206" s="17" t="str">
        <f aca="false">VLOOKUP(L3206,Sheet2!D:E,2,0)</f>
        <v>Main Processor CPU BGA</v>
      </c>
      <c r="N3206" s="17" t="n">
        <v>1</v>
      </c>
      <c r="O3206" s="17" t="str">
        <f aca="false">VLOOKUP(N3206,Sheet2!G:H,2,0)</f>
        <v>Dead</v>
      </c>
      <c r="P3206" s="17" t="n">
        <v>11</v>
      </c>
      <c r="Q3206" s="17" t="str">
        <f aca="false">VLOOKUP(P3206,Sheet2!J:K,2,0)</f>
        <v>IR Declared due to CID -TA</v>
      </c>
      <c r="R3206" s="17" t="s">
        <v>35</v>
      </c>
      <c r="S3206" s="17" t="str">
        <f aca="false">VLOOKUP(R3206,Sheet2!N:O,2,0)</f>
        <v>IREPARABLE</v>
      </c>
      <c r="T3206" s="18" t="str">
        <f aca="false">VLOOKUP(P3206,Sheet2!Q:R,2,0)</f>
        <v>IR Normal - Track burn out</v>
      </c>
      <c r="U3206" s="20" t="s">
        <v>41</v>
      </c>
      <c r="V3206" s="17"/>
      <c r="W3206" s="20" t="e">
        <f aca="false">VLOOKUP(V3206,Sheet2!Q:R,2,0)</f>
        <v>#N/A</v>
      </c>
      <c r="X3206" s="17" t="n">
        <f aca="false">J3206</f>
        <v>0</v>
      </c>
      <c r="Y3206" s="17" t="e">
        <f aca="false">VLOOKUP(X3206,Sheet2!A:B,2,0)</f>
        <v>#N/A</v>
      </c>
      <c r="Z3206" s="17"/>
      <c r="AA3206" s="17"/>
      <c r="AB3206" s="17" t="s">
        <v>41</v>
      </c>
      <c r="AC3206" s="0" t="str">
        <f aca="false">LEFT(G3206,2)</f>
        <v/>
      </c>
    </row>
    <row r="3207" customFormat="false" ht="15" hidden="false" customHeight="false" outlineLevel="0" collapsed="false">
      <c r="A3207" s="13" t="n">
        <f aca="false">1+A3206</f>
        <v>3205</v>
      </c>
      <c r="B3207" s="14" t="n">
        <v>100</v>
      </c>
      <c r="C3207" s="15"/>
      <c r="D3207" s="16" t="s">
        <v>64</v>
      </c>
      <c r="E3207" s="17" t="s">
        <v>47</v>
      </c>
      <c r="F3207" s="18" t="s">
        <v>34</v>
      </c>
      <c r="G3207" s="19"/>
      <c r="H3207" s="17" t="s">
        <v>35</v>
      </c>
      <c r="I3207" s="17" t="s">
        <v>44</v>
      </c>
      <c r="J3207" s="17"/>
      <c r="K3207" s="17" t="e">
        <f aca="false">VLOOKUP(J3207,Sheet2!A:B,2,0)</f>
        <v>#N/A</v>
      </c>
      <c r="L3207" s="17" t="n">
        <v>5</v>
      </c>
      <c r="M3207" s="17" t="str">
        <f aca="false">VLOOKUP(L3207,Sheet2!D:E,2,0)</f>
        <v>Main Processor CPU BGA</v>
      </c>
      <c r="N3207" s="17" t="n">
        <v>1</v>
      </c>
      <c r="O3207" s="17" t="str">
        <f aca="false">VLOOKUP(N3207,Sheet2!G:H,2,0)</f>
        <v>Dead</v>
      </c>
      <c r="P3207" s="17" t="n">
        <v>11</v>
      </c>
      <c r="Q3207" s="17" t="str">
        <f aca="false">VLOOKUP(P3207,Sheet2!J:K,2,0)</f>
        <v>IR Declared due to CID -TA</v>
      </c>
      <c r="R3207" s="17" t="s">
        <v>35</v>
      </c>
      <c r="S3207" s="17" t="str">
        <f aca="false">VLOOKUP(R3207,Sheet2!N:O,2,0)</f>
        <v>IREPARABLE</v>
      </c>
      <c r="T3207" s="18" t="str">
        <f aca="false">VLOOKUP(P3207,Sheet2!Q:R,2,0)</f>
        <v>IR Normal - Track burn out</v>
      </c>
      <c r="U3207" s="20" t="s">
        <v>41</v>
      </c>
      <c r="V3207" s="17"/>
      <c r="W3207" s="20" t="e">
        <f aca="false">VLOOKUP(V3207,Sheet2!Q:R,2,0)</f>
        <v>#N/A</v>
      </c>
      <c r="X3207" s="17" t="n">
        <f aca="false">J3207</f>
        <v>0</v>
      </c>
      <c r="Y3207" s="17" t="e">
        <f aca="false">VLOOKUP(X3207,Sheet2!A:B,2,0)</f>
        <v>#N/A</v>
      </c>
      <c r="Z3207" s="17"/>
      <c r="AA3207" s="17"/>
      <c r="AB3207" s="17" t="s">
        <v>41</v>
      </c>
      <c r="AC3207" s="0" t="str">
        <f aca="false">LEFT(G3207,2)</f>
        <v/>
      </c>
    </row>
    <row r="3208" customFormat="false" ht="15" hidden="false" customHeight="false" outlineLevel="0" collapsed="false">
      <c r="A3208" s="13" t="n">
        <f aca="false">1+A3207</f>
        <v>3206</v>
      </c>
      <c r="B3208" s="14" t="n">
        <v>100</v>
      </c>
      <c r="C3208" s="15"/>
      <c r="D3208" s="16" t="s">
        <v>64</v>
      </c>
      <c r="E3208" s="17" t="s">
        <v>47</v>
      </c>
      <c r="F3208" s="18" t="s">
        <v>34</v>
      </c>
      <c r="G3208" s="19"/>
      <c r="H3208" s="17" t="s">
        <v>35</v>
      </c>
      <c r="I3208" s="17" t="s">
        <v>44</v>
      </c>
      <c r="J3208" s="17"/>
      <c r="K3208" s="17" t="e">
        <f aca="false">VLOOKUP(J3208,Sheet2!A:B,2,0)</f>
        <v>#N/A</v>
      </c>
      <c r="L3208" s="17" t="n">
        <v>5</v>
      </c>
      <c r="M3208" s="17" t="str">
        <f aca="false">VLOOKUP(L3208,Sheet2!D:E,2,0)</f>
        <v>Main Processor CPU BGA</v>
      </c>
      <c r="N3208" s="17" t="n">
        <v>1</v>
      </c>
      <c r="O3208" s="17" t="str">
        <f aca="false">VLOOKUP(N3208,Sheet2!G:H,2,0)</f>
        <v>Dead</v>
      </c>
      <c r="P3208" s="17" t="n">
        <v>11</v>
      </c>
      <c r="Q3208" s="17" t="str">
        <f aca="false">VLOOKUP(P3208,Sheet2!J:K,2,0)</f>
        <v>IR Declared due to CID -TA</v>
      </c>
      <c r="R3208" s="17" t="s">
        <v>35</v>
      </c>
      <c r="S3208" s="17" t="str">
        <f aca="false">VLOOKUP(R3208,Sheet2!N:O,2,0)</f>
        <v>IREPARABLE</v>
      </c>
      <c r="T3208" s="18" t="str">
        <f aca="false">VLOOKUP(P3208,Sheet2!Q:R,2,0)</f>
        <v>IR Normal - Track burn out</v>
      </c>
      <c r="U3208" s="20" t="s">
        <v>41</v>
      </c>
      <c r="V3208" s="17"/>
      <c r="W3208" s="20" t="e">
        <f aca="false">VLOOKUP(V3208,Sheet2!Q:R,2,0)</f>
        <v>#N/A</v>
      </c>
      <c r="X3208" s="17" t="n">
        <f aca="false">J3208</f>
        <v>0</v>
      </c>
      <c r="Y3208" s="17" t="e">
        <f aca="false">VLOOKUP(X3208,Sheet2!A:B,2,0)</f>
        <v>#N/A</v>
      </c>
      <c r="Z3208" s="17"/>
      <c r="AA3208" s="17"/>
      <c r="AB3208" s="17" t="s">
        <v>41</v>
      </c>
      <c r="AC3208" s="0" t="str">
        <f aca="false">LEFT(G3208,2)</f>
        <v/>
      </c>
    </row>
    <row r="3209" customFormat="false" ht="15" hidden="false" customHeight="false" outlineLevel="0" collapsed="false">
      <c r="A3209" s="13" t="n">
        <f aca="false">1+A3208</f>
        <v>3207</v>
      </c>
      <c r="B3209" s="14" t="n">
        <v>100</v>
      </c>
      <c r="C3209" s="15"/>
      <c r="D3209" s="16" t="s">
        <v>64</v>
      </c>
      <c r="E3209" s="17" t="s">
        <v>47</v>
      </c>
      <c r="F3209" s="18" t="s">
        <v>34</v>
      </c>
      <c r="G3209" s="19"/>
      <c r="H3209" s="17" t="s">
        <v>35</v>
      </c>
      <c r="I3209" s="17" t="s">
        <v>44</v>
      </c>
      <c r="J3209" s="17"/>
      <c r="K3209" s="17" t="e">
        <f aca="false">VLOOKUP(J3209,Sheet2!A:B,2,0)</f>
        <v>#N/A</v>
      </c>
      <c r="L3209" s="17" t="n">
        <v>5</v>
      </c>
      <c r="M3209" s="17" t="str">
        <f aca="false">VLOOKUP(L3209,Sheet2!D:E,2,0)</f>
        <v>Main Processor CPU BGA</v>
      </c>
      <c r="N3209" s="17" t="n">
        <v>1</v>
      </c>
      <c r="O3209" s="17" t="str">
        <f aca="false">VLOOKUP(N3209,Sheet2!G:H,2,0)</f>
        <v>Dead</v>
      </c>
      <c r="P3209" s="17" t="n">
        <v>11</v>
      </c>
      <c r="Q3209" s="17" t="str">
        <f aca="false">VLOOKUP(P3209,Sheet2!J:K,2,0)</f>
        <v>IR Declared due to CID -TA</v>
      </c>
      <c r="R3209" s="17" t="s">
        <v>35</v>
      </c>
      <c r="S3209" s="17" t="str">
        <f aca="false">VLOOKUP(R3209,Sheet2!N:O,2,0)</f>
        <v>IREPARABLE</v>
      </c>
      <c r="T3209" s="18" t="str">
        <f aca="false">VLOOKUP(P3209,Sheet2!Q:R,2,0)</f>
        <v>IR Normal - Track burn out</v>
      </c>
      <c r="U3209" s="20" t="s">
        <v>41</v>
      </c>
      <c r="V3209" s="17"/>
      <c r="W3209" s="20" t="e">
        <f aca="false">VLOOKUP(V3209,Sheet2!Q:R,2,0)</f>
        <v>#N/A</v>
      </c>
      <c r="X3209" s="17" t="n">
        <f aca="false">J3209</f>
        <v>0</v>
      </c>
      <c r="Y3209" s="17" t="e">
        <f aca="false">VLOOKUP(X3209,Sheet2!A:B,2,0)</f>
        <v>#N/A</v>
      </c>
      <c r="Z3209" s="17"/>
      <c r="AA3209" s="17"/>
      <c r="AB3209" s="17" t="s">
        <v>41</v>
      </c>
      <c r="AC3209" s="0" t="str">
        <f aca="false">LEFT(G3209,2)</f>
        <v/>
      </c>
    </row>
    <row r="3210" customFormat="false" ht="15" hidden="false" customHeight="false" outlineLevel="0" collapsed="false">
      <c r="A3210" s="13" t="n">
        <f aca="false">1+A3209</f>
        <v>3208</v>
      </c>
      <c r="B3210" s="14" t="n">
        <v>100</v>
      </c>
      <c r="C3210" s="15"/>
      <c r="D3210" s="16" t="s">
        <v>64</v>
      </c>
      <c r="E3210" s="17" t="s">
        <v>47</v>
      </c>
      <c r="F3210" s="18" t="s">
        <v>34</v>
      </c>
      <c r="G3210" s="19"/>
      <c r="H3210" s="17" t="s">
        <v>35</v>
      </c>
      <c r="I3210" s="17" t="s">
        <v>44</v>
      </c>
      <c r="J3210" s="17"/>
      <c r="K3210" s="17" t="e">
        <f aca="false">VLOOKUP(J3210,Sheet2!A:B,2,0)</f>
        <v>#N/A</v>
      </c>
      <c r="L3210" s="17" t="n">
        <v>5</v>
      </c>
      <c r="M3210" s="17" t="str">
        <f aca="false">VLOOKUP(L3210,Sheet2!D:E,2,0)</f>
        <v>Main Processor CPU BGA</v>
      </c>
      <c r="N3210" s="17" t="n">
        <v>1</v>
      </c>
      <c r="O3210" s="17" t="str">
        <f aca="false">VLOOKUP(N3210,Sheet2!G:H,2,0)</f>
        <v>Dead</v>
      </c>
      <c r="P3210" s="17" t="n">
        <v>11</v>
      </c>
      <c r="Q3210" s="17" t="str">
        <f aca="false">VLOOKUP(P3210,Sheet2!J:K,2,0)</f>
        <v>IR Declared due to CID -TA</v>
      </c>
      <c r="R3210" s="17" t="s">
        <v>35</v>
      </c>
      <c r="S3210" s="17" t="str">
        <f aca="false">VLOOKUP(R3210,Sheet2!N:O,2,0)</f>
        <v>IREPARABLE</v>
      </c>
      <c r="T3210" s="18" t="str">
        <f aca="false">VLOOKUP(P3210,Sheet2!Q:R,2,0)</f>
        <v>IR Normal - Track burn out</v>
      </c>
      <c r="U3210" s="20" t="s">
        <v>41</v>
      </c>
      <c r="V3210" s="17"/>
      <c r="W3210" s="20" t="e">
        <f aca="false">VLOOKUP(V3210,Sheet2!Q:R,2,0)</f>
        <v>#N/A</v>
      </c>
      <c r="X3210" s="17" t="n">
        <f aca="false">J3210</f>
        <v>0</v>
      </c>
      <c r="Y3210" s="17" t="e">
        <f aca="false">VLOOKUP(X3210,Sheet2!A:B,2,0)</f>
        <v>#N/A</v>
      </c>
      <c r="Z3210" s="17"/>
      <c r="AA3210" s="17"/>
      <c r="AB3210" s="17" t="s">
        <v>41</v>
      </c>
      <c r="AC3210" s="0" t="str">
        <f aca="false">LEFT(G3210,2)</f>
        <v/>
      </c>
    </row>
    <row r="3211" customFormat="false" ht="15" hidden="false" customHeight="false" outlineLevel="0" collapsed="false">
      <c r="A3211" s="13" t="n">
        <f aca="false">1+A3210</f>
        <v>3209</v>
      </c>
      <c r="B3211" s="14" t="n">
        <v>100</v>
      </c>
      <c r="C3211" s="15"/>
      <c r="D3211" s="16" t="s">
        <v>64</v>
      </c>
      <c r="E3211" s="17" t="s">
        <v>47</v>
      </c>
      <c r="F3211" s="18" t="s">
        <v>34</v>
      </c>
      <c r="G3211" s="19"/>
      <c r="H3211" s="17" t="s">
        <v>35</v>
      </c>
      <c r="I3211" s="17" t="s">
        <v>44</v>
      </c>
      <c r="J3211" s="17"/>
      <c r="K3211" s="17" t="e">
        <f aca="false">VLOOKUP(J3211,Sheet2!A:B,2,0)</f>
        <v>#N/A</v>
      </c>
      <c r="L3211" s="17" t="n">
        <v>5</v>
      </c>
      <c r="M3211" s="17" t="str">
        <f aca="false">VLOOKUP(L3211,Sheet2!D:E,2,0)</f>
        <v>Main Processor CPU BGA</v>
      </c>
      <c r="N3211" s="17" t="n">
        <v>1</v>
      </c>
      <c r="O3211" s="17" t="str">
        <f aca="false">VLOOKUP(N3211,Sheet2!G:H,2,0)</f>
        <v>Dead</v>
      </c>
      <c r="P3211" s="17" t="n">
        <v>11</v>
      </c>
      <c r="Q3211" s="17" t="str">
        <f aca="false">VLOOKUP(P3211,Sheet2!J:K,2,0)</f>
        <v>IR Declared due to CID -TA</v>
      </c>
      <c r="R3211" s="17" t="s">
        <v>35</v>
      </c>
      <c r="S3211" s="17" t="str">
        <f aca="false">VLOOKUP(R3211,Sheet2!N:O,2,0)</f>
        <v>IREPARABLE</v>
      </c>
      <c r="T3211" s="18" t="str">
        <f aca="false">VLOOKUP(P3211,Sheet2!Q:R,2,0)</f>
        <v>IR Normal - Track burn out</v>
      </c>
      <c r="U3211" s="20" t="s">
        <v>41</v>
      </c>
      <c r="V3211" s="17"/>
      <c r="W3211" s="20" t="e">
        <f aca="false">VLOOKUP(V3211,Sheet2!Q:R,2,0)</f>
        <v>#N/A</v>
      </c>
      <c r="X3211" s="17" t="n">
        <f aca="false">J3211</f>
        <v>0</v>
      </c>
      <c r="Y3211" s="17" t="e">
        <f aca="false">VLOOKUP(X3211,Sheet2!A:B,2,0)</f>
        <v>#N/A</v>
      </c>
      <c r="Z3211" s="17"/>
      <c r="AA3211" s="17"/>
      <c r="AB3211" s="17" t="s">
        <v>41</v>
      </c>
      <c r="AC3211" s="0" t="str">
        <f aca="false">LEFT(G3211,2)</f>
        <v/>
      </c>
    </row>
    <row r="3212" customFormat="false" ht="15" hidden="false" customHeight="false" outlineLevel="0" collapsed="false">
      <c r="A3212" s="13" t="n">
        <f aca="false">1+A3211</f>
        <v>3210</v>
      </c>
      <c r="B3212" s="14" t="n">
        <v>100</v>
      </c>
      <c r="C3212" s="15"/>
      <c r="D3212" s="16" t="s">
        <v>64</v>
      </c>
      <c r="E3212" s="17" t="s">
        <v>47</v>
      </c>
      <c r="F3212" s="18" t="s">
        <v>34</v>
      </c>
      <c r="G3212" s="19"/>
      <c r="H3212" s="17" t="s">
        <v>35</v>
      </c>
      <c r="I3212" s="17" t="s">
        <v>44</v>
      </c>
      <c r="J3212" s="17"/>
      <c r="K3212" s="17" t="e">
        <f aca="false">VLOOKUP(J3212,Sheet2!A:B,2,0)</f>
        <v>#N/A</v>
      </c>
      <c r="L3212" s="17" t="n">
        <v>5</v>
      </c>
      <c r="M3212" s="17" t="str">
        <f aca="false">VLOOKUP(L3212,Sheet2!D:E,2,0)</f>
        <v>Main Processor CPU BGA</v>
      </c>
      <c r="N3212" s="17" t="n">
        <v>1</v>
      </c>
      <c r="O3212" s="17" t="str">
        <f aca="false">VLOOKUP(N3212,Sheet2!G:H,2,0)</f>
        <v>Dead</v>
      </c>
      <c r="P3212" s="17" t="n">
        <v>11</v>
      </c>
      <c r="Q3212" s="17" t="str">
        <f aca="false">VLOOKUP(P3212,Sheet2!J:K,2,0)</f>
        <v>IR Declared due to CID -TA</v>
      </c>
      <c r="R3212" s="17" t="s">
        <v>35</v>
      </c>
      <c r="S3212" s="17" t="str">
        <f aca="false">VLOOKUP(R3212,Sheet2!N:O,2,0)</f>
        <v>IREPARABLE</v>
      </c>
      <c r="T3212" s="18" t="str">
        <f aca="false">VLOOKUP(P3212,Sheet2!Q:R,2,0)</f>
        <v>IR Normal - Track burn out</v>
      </c>
      <c r="U3212" s="20" t="s">
        <v>41</v>
      </c>
      <c r="V3212" s="17"/>
      <c r="W3212" s="20" t="e">
        <f aca="false">VLOOKUP(V3212,Sheet2!Q:R,2,0)</f>
        <v>#N/A</v>
      </c>
      <c r="X3212" s="17" t="n">
        <f aca="false">J3212</f>
        <v>0</v>
      </c>
      <c r="Y3212" s="17" t="e">
        <f aca="false">VLOOKUP(X3212,Sheet2!A:B,2,0)</f>
        <v>#N/A</v>
      </c>
      <c r="Z3212" s="17"/>
      <c r="AA3212" s="17"/>
      <c r="AB3212" s="17" t="s">
        <v>41</v>
      </c>
      <c r="AC3212" s="0" t="str">
        <f aca="false">LEFT(G3212,2)</f>
        <v/>
      </c>
    </row>
    <row r="3213" customFormat="false" ht="15" hidden="false" customHeight="false" outlineLevel="0" collapsed="false">
      <c r="A3213" s="13" t="n">
        <f aca="false">1+A3212</f>
        <v>3211</v>
      </c>
      <c r="B3213" s="14" t="n">
        <v>100</v>
      </c>
      <c r="C3213" s="15"/>
      <c r="D3213" s="16" t="s">
        <v>64</v>
      </c>
      <c r="E3213" s="17" t="s">
        <v>47</v>
      </c>
      <c r="F3213" s="18" t="s">
        <v>34</v>
      </c>
      <c r="G3213" s="19"/>
      <c r="H3213" s="17" t="s">
        <v>35</v>
      </c>
      <c r="I3213" s="17" t="s">
        <v>44</v>
      </c>
      <c r="J3213" s="17"/>
      <c r="K3213" s="17" t="e">
        <f aca="false">VLOOKUP(J3213,Sheet2!A:B,2,0)</f>
        <v>#N/A</v>
      </c>
      <c r="L3213" s="17" t="n">
        <v>5</v>
      </c>
      <c r="M3213" s="17" t="str">
        <f aca="false">VLOOKUP(L3213,Sheet2!D:E,2,0)</f>
        <v>Main Processor CPU BGA</v>
      </c>
      <c r="N3213" s="17" t="n">
        <v>1</v>
      </c>
      <c r="O3213" s="17" t="str">
        <f aca="false">VLOOKUP(N3213,Sheet2!G:H,2,0)</f>
        <v>Dead</v>
      </c>
      <c r="P3213" s="17" t="n">
        <v>11</v>
      </c>
      <c r="Q3213" s="17" t="str">
        <f aca="false">VLOOKUP(P3213,Sheet2!J:K,2,0)</f>
        <v>IR Declared due to CID -TA</v>
      </c>
      <c r="R3213" s="17" t="s">
        <v>35</v>
      </c>
      <c r="S3213" s="17" t="str">
        <f aca="false">VLOOKUP(R3213,Sheet2!N:O,2,0)</f>
        <v>IREPARABLE</v>
      </c>
      <c r="T3213" s="18" t="str">
        <f aca="false">VLOOKUP(P3213,Sheet2!Q:R,2,0)</f>
        <v>IR Normal - Track burn out</v>
      </c>
      <c r="U3213" s="20" t="s">
        <v>41</v>
      </c>
      <c r="V3213" s="17"/>
      <c r="W3213" s="20" t="e">
        <f aca="false">VLOOKUP(V3213,Sheet2!Q:R,2,0)</f>
        <v>#N/A</v>
      </c>
      <c r="X3213" s="17" t="n">
        <f aca="false">J3213</f>
        <v>0</v>
      </c>
      <c r="Y3213" s="17" t="e">
        <f aca="false">VLOOKUP(X3213,Sheet2!A:B,2,0)</f>
        <v>#N/A</v>
      </c>
      <c r="Z3213" s="17"/>
      <c r="AA3213" s="17"/>
      <c r="AB3213" s="17" t="s">
        <v>41</v>
      </c>
      <c r="AC3213" s="0" t="str">
        <f aca="false">LEFT(G3213,2)</f>
        <v/>
      </c>
    </row>
    <row r="3214" customFormat="false" ht="15" hidden="false" customHeight="false" outlineLevel="0" collapsed="false">
      <c r="A3214" s="13" t="n">
        <f aca="false">1+A3213</f>
        <v>3212</v>
      </c>
      <c r="B3214" s="14" t="n">
        <v>100</v>
      </c>
      <c r="C3214" s="15"/>
      <c r="D3214" s="16" t="s">
        <v>64</v>
      </c>
      <c r="E3214" s="17" t="s">
        <v>47</v>
      </c>
      <c r="F3214" s="18" t="s">
        <v>34</v>
      </c>
      <c r="G3214" s="19"/>
      <c r="H3214" s="17" t="s">
        <v>35</v>
      </c>
      <c r="I3214" s="17" t="s">
        <v>44</v>
      </c>
      <c r="J3214" s="17"/>
      <c r="K3214" s="17" t="e">
        <f aca="false">VLOOKUP(J3214,Sheet2!A:B,2,0)</f>
        <v>#N/A</v>
      </c>
      <c r="L3214" s="17" t="n">
        <v>5</v>
      </c>
      <c r="M3214" s="17" t="str">
        <f aca="false">VLOOKUP(L3214,Sheet2!D:E,2,0)</f>
        <v>Main Processor CPU BGA</v>
      </c>
      <c r="N3214" s="17" t="n">
        <v>1</v>
      </c>
      <c r="O3214" s="17" t="str">
        <f aca="false">VLOOKUP(N3214,Sheet2!G:H,2,0)</f>
        <v>Dead</v>
      </c>
      <c r="P3214" s="17" t="n">
        <v>11</v>
      </c>
      <c r="Q3214" s="17" t="str">
        <f aca="false">VLOOKUP(P3214,Sheet2!J:K,2,0)</f>
        <v>IR Declared due to CID -TA</v>
      </c>
      <c r="R3214" s="17" t="s">
        <v>35</v>
      </c>
      <c r="S3214" s="17" t="str">
        <f aca="false">VLOOKUP(R3214,Sheet2!N:O,2,0)</f>
        <v>IREPARABLE</v>
      </c>
      <c r="T3214" s="18" t="str">
        <f aca="false">VLOOKUP(P3214,Sheet2!Q:R,2,0)</f>
        <v>IR Normal - Track burn out</v>
      </c>
      <c r="U3214" s="20" t="s">
        <v>41</v>
      </c>
      <c r="V3214" s="17"/>
      <c r="W3214" s="20" t="e">
        <f aca="false">VLOOKUP(V3214,Sheet2!Q:R,2,0)</f>
        <v>#N/A</v>
      </c>
      <c r="X3214" s="17" t="n">
        <f aca="false">J3214</f>
        <v>0</v>
      </c>
      <c r="Y3214" s="17" t="e">
        <f aca="false">VLOOKUP(X3214,Sheet2!A:B,2,0)</f>
        <v>#N/A</v>
      </c>
      <c r="Z3214" s="17"/>
      <c r="AA3214" s="17"/>
      <c r="AB3214" s="17" t="s">
        <v>41</v>
      </c>
      <c r="AC3214" s="0" t="str">
        <f aca="false">LEFT(G3214,2)</f>
        <v/>
      </c>
    </row>
    <row r="3215" customFormat="false" ht="15" hidden="false" customHeight="false" outlineLevel="0" collapsed="false">
      <c r="A3215" s="13" t="n">
        <f aca="false">1+A3214</f>
        <v>3213</v>
      </c>
      <c r="B3215" s="14" t="n">
        <v>100</v>
      </c>
      <c r="C3215" s="15"/>
      <c r="D3215" s="16" t="s">
        <v>64</v>
      </c>
      <c r="E3215" s="17" t="s">
        <v>47</v>
      </c>
      <c r="F3215" s="18" t="s">
        <v>34</v>
      </c>
      <c r="G3215" s="19"/>
      <c r="H3215" s="17" t="s">
        <v>35</v>
      </c>
      <c r="I3215" s="17" t="s">
        <v>44</v>
      </c>
      <c r="J3215" s="17"/>
      <c r="K3215" s="17" t="e">
        <f aca="false">VLOOKUP(J3215,Sheet2!A:B,2,0)</f>
        <v>#N/A</v>
      </c>
      <c r="L3215" s="17" t="n">
        <v>5</v>
      </c>
      <c r="M3215" s="17" t="str">
        <f aca="false">VLOOKUP(L3215,Sheet2!D:E,2,0)</f>
        <v>Main Processor CPU BGA</v>
      </c>
      <c r="N3215" s="17" t="n">
        <v>1</v>
      </c>
      <c r="O3215" s="17" t="str">
        <f aca="false">VLOOKUP(N3215,Sheet2!G:H,2,0)</f>
        <v>Dead</v>
      </c>
      <c r="P3215" s="17" t="n">
        <v>11</v>
      </c>
      <c r="Q3215" s="17" t="str">
        <f aca="false">VLOOKUP(P3215,Sheet2!J:K,2,0)</f>
        <v>IR Declared due to CID -TA</v>
      </c>
      <c r="R3215" s="17" t="s">
        <v>35</v>
      </c>
      <c r="S3215" s="17" t="str">
        <f aca="false">VLOOKUP(R3215,Sheet2!N:O,2,0)</f>
        <v>IREPARABLE</v>
      </c>
      <c r="T3215" s="18" t="str">
        <f aca="false">VLOOKUP(P3215,Sheet2!Q:R,2,0)</f>
        <v>IR Normal - Track burn out</v>
      </c>
      <c r="U3215" s="20" t="s">
        <v>41</v>
      </c>
      <c r="V3215" s="17"/>
      <c r="W3215" s="20" t="e">
        <f aca="false">VLOOKUP(V3215,Sheet2!Q:R,2,0)</f>
        <v>#N/A</v>
      </c>
      <c r="X3215" s="17" t="n">
        <f aca="false">J3215</f>
        <v>0</v>
      </c>
      <c r="Y3215" s="17" t="e">
        <f aca="false">VLOOKUP(X3215,Sheet2!A:B,2,0)</f>
        <v>#N/A</v>
      </c>
      <c r="Z3215" s="17"/>
      <c r="AA3215" s="17"/>
      <c r="AB3215" s="17" t="s">
        <v>41</v>
      </c>
      <c r="AC3215" s="0" t="str">
        <f aca="false">LEFT(G3215,2)</f>
        <v/>
      </c>
    </row>
    <row r="3216" customFormat="false" ht="15" hidden="false" customHeight="false" outlineLevel="0" collapsed="false">
      <c r="A3216" s="13" t="n">
        <f aca="false">1+A3215</f>
        <v>3214</v>
      </c>
      <c r="B3216" s="14" t="n">
        <v>100</v>
      </c>
      <c r="C3216" s="15"/>
      <c r="D3216" s="16" t="s">
        <v>64</v>
      </c>
      <c r="E3216" s="17" t="s">
        <v>47</v>
      </c>
      <c r="F3216" s="18" t="s">
        <v>34</v>
      </c>
      <c r="G3216" s="19"/>
      <c r="H3216" s="17" t="s">
        <v>35</v>
      </c>
      <c r="I3216" s="17" t="s">
        <v>44</v>
      </c>
      <c r="J3216" s="17"/>
      <c r="K3216" s="17" t="e">
        <f aca="false">VLOOKUP(J3216,Sheet2!A:B,2,0)</f>
        <v>#N/A</v>
      </c>
      <c r="L3216" s="17" t="n">
        <v>5</v>
      </c>
      <c r="M3216" s="17" t="str">
        <f aca="false">VLOOKUP(L3216,Sheet2!D:E,2,0)</f>
        <v>Main Processor CPU BGA</v>
      </c>
      <c r="N3216" s="17" t="n">
        <v>1</v>
      </c>
      <c r="O3216" s="17" t="str">
        <f aca="false">VLOOKUP(N3216,Sheet2!G:H,2,0)</f>
        <v>Dead</v>
      </c>
      <c r="P3216" s="17" t="n">
        <v>11</v>
      </c>
      <c r="Q3216" s="17" t="str">
        <f aca="false">VLOOKUP(P3216,Sheet2!J:K,2,0)</f>
        <v>IR Declared due to CID -TA</v>
      </c>
      <c r="R3216" s="17" t="s">
        <v>35</v>
      </c>
      <c r="S3216" s="17" t="str">
        <f aca="false">VLOOKUP(R3216,Sheet2!N:O,2,0)</f>
        <v>IREPARABLE</v>
      </c>
      <c r="T3216" s="18" t="str">
        <f aca="false">VLOOKUP(P3216,Sheet2!Q:R,2,0)</f>
        <v>IR Normal - Track burn out</v>
      </c>
      <c r="U3216" s="20" t="s">
        <v>41</v>
      </c>
      <c r="V3216" s="17"/>
      <c r="W3216" s="20" t="e">
        <f aca="false">VLOOKUP(V3216,Sheet2!Q:R,2,0)</f>
        <v>#N/A</v>
      </c>
      <c r="X3216" s="17" t="n">
        <f aca="false">J3216</f>
        <v>0</v>
      </c>
      <c r="Y3216" s="17" t="e">
        <f aca="false">VLOOKUP(X3216,Sheet2!A:B,2,0)</f>
        <v>#N/A</v>
      </c>
      <c r="Z3216" s="17"/>
      <c r="AA3216" s="17"/>
      <c r="AB3216" s="17" t="s">
        <v>41</v>
      </c>
      <c r="AC3216" s="0" t="str">
        <f aca="false">LEFT(G3216,2)</f>
        <v/>
      </c>
    </row>
    <row r="3217" customFormat="false" ht="15" hidden="false" customHeight="false" outlineLevel="0" collapsed="false">
      <c r="A3217" s="13" t="n">
        <f aca="false">1+A3216</f>
        <v>3215</v>
      </c>
      <c r="B3217" s="14" t="n">
        <v>100</v>
      </c>
      <c r="C3217" s="15"/>
      <c r="D3217" s="16" t="s">
        <v>64</v>
      </c>
      <c r="E3217" s="17" t="s">
        <v>47</v>
      </c>
      <c r="F3217" s="18" t="s">
        <v>34</v>
      </c>
      <c r="G3217" s="19"/>
      <c r="H3217" s="17" t="s">
        <v>35</v>
      </c>
      <c r="I3217" s="17" t="s">
        <v>44</v>
      </c>
      <c r="J3217" s="17"/>
      <c r="K3217" s="17" t="e">
        <f aca="false">VLOOKUP(J3217,Sheet2!A:B,2,0)</f>
        <v>#N/A</v>
      </c>
      <c r="L3217" s="17" t="n">
        <v>5</v>
      </c>
      <c r="M3217" s="17" t="str">
        <f aca="false">VLOOKUP(L3217,Sheet2!D:E,2,0)</f>
        <v>Main Processor CPU BGA</v>
      </c>
      <c r="N3217" s="17" t="n">
        <v>1</v>
      </c>
      <c r="O3217" s="17" t="str">
        <f aca="false">VLOOKUP(N3217,Sheet2!G:H,2,0)</f>
        <v>Dead</v>
      </c>
      <c r="P3217" s="17" t="n">
        <v>11</v>
      </c>
      <c r="Q3217" s="17" t="str">
        <f aca="false">VLOOKUP(P3217,Sheet2!J:K,2,0)</f>
        <v>IR Declared due to CID -TA</v>
      </c>
      <c r="R3217" s="17" t="s">
        <v>35</v>
      </c>
      <c r="S3217" s="17" t="str">
        <f aca="false">VLOOKUP(R3217,Sheet2!N:O,2,0)</f>
        <v>IREPARABLE</v>
      </c>
      <c r="T3217" s="18" t="str">
        <f aca="false">VLOOKUP(P3217,Sheet2!Q:R,2,0)</f>
        <v>IR Normal - Track burn out</v>
      </c>
      <c r="U3217" s="20" t="s">
        <v>41</v>
      </c>
      <c r="V3217" s="17"/>
      <c r="W3217" s="20" t="e">
        <f aca="false">VLOOKUP(V3217,Sheet2!Q:R,2,0)</f>
        <v>#N/A</v>
      </c>
      <c r="X3217" s="17" t="n">
        <f aca="false">J3217</f>
        <v>0</v>
      </c>
      <c r="Y3217" s="17" t="e">
        <f aca="false">VLOOKUP(X3217,Sheet2!A:B,2,0)</f>
        <v>#N/A</v>
      </c>
      <c r="Z3217" s="17"/>
      <c r="AA3217" s="17"/>
      <c r="AB3217" s="17" t="s">
        <v>41</v>
      </c>
      <c r="AC3217" s="0" t="str">
        <f aca="false">LEFT(G3217,2)</f>
        <v/>
      </c>
    </row>
    <row r="3218" customFormat="false" ht="15" hidden="false" customHeight="false" outlineLevel="0" collapsed="false">
      <c r="A3218" s="13" t="n">
        <f aca="false">1+A3217</f>
        <v>3216</v>
      </c>
      <c r="B3218" s="14" t="n">
        <v>100</v>
      </c>
      <c r="C3218" s="15"/>
      <c r="D3218" s="16" t="s">
        <v>64</v>
      </c>
      <c r="E3218" s="17" t="s">
        <v>47</v>
      </c>
      <c r="F3218" s="18" t="s">
        <v>34</v>
      </c>
      <c r="G3218" s="19"/>
      <c r="H3218" s="17" t="s">
        <v>35</v>
      </c>
      <c r="I3218" s="17" t="s">
        <v>44</v>
      </c>
      <c r="J3218" s="17"/>
      <c r="K3218" s="17" t="e">
        <f aca="false">VLOOKUP(J3218,Sheet2!A:B,2,0)</f>
        <v>#N/A</v>
      </c>
      <c r="L3218" s="17" t="n">
        <v>5</v>
      </c>
      <c r="M3218" s="17" t="str">
        <f aca="false">VLOOKUP(L3218,Sheet2!D:E,2,0)</f>
        <v>Main Processor CPU BGA</v>
      </c>
      <c r="N3218" s="17" t="n">
        <v>1</v>
      </c>
      <c r="O3218" s="17" t="str">
        <f aca="false">VLOOKUP(N3218,Sheet2!G:H,2,0)</f>
        <v>Dead</v>
      </c>
      <c r="P3218" s="17" t="n">
        <v>11</v>
      </c>
      <c r="Q3218" s="17" t="str">
        <f aca="false">VLOOKUP(P3218,Sheet2!J:K,2,0)</f>
        <v>IR Declared due to CID -TA</v>
      </c>
      <c r="R3218" s="17" t="s">
        <v>35</v>
      </c>
      <c r="S3218" s="17" t="str">
        <f aca="false">VLOOKUP(R3218,Sheet2!N:O,2,0)</f>
        <v>IREPARABLE</v>
      </c>
      <c r="T3218" s="18" t="str">
        <f aca="false">VLOOKUP(P3218,Sheet2!Q:R,2,0)</f>
        <v>IR Normal - Track burn out</v>
      </c>
      <c r="U3218" s="20" t="s">
        <v>41</v>
      </c>
      <c r="V3218" s="17"/>
      <c r="W3218" s="20" t="e">
        <f aca="false">VLOOKUP(V3218,Sheet2!Q:R,2,0)</f>
        <v>#N/A</v>
      </c>
      <c r="X3218" s="17" t="n">
        <f aca="false">J3218</f>
        <v>0</v>
      </c>
      <c r="Y3218" s="17" t="e">
        <f aca="false">VLOOKUP(X3218,Sheet2!A:B,2,0)</f>
        <v>#N/A</v>
      </c>
      <c r="Z3218" s="17"/>
      <c r="AA3218" s="17"/>
      <c r="AB3218" s="17" t="s">
        <v>41</v>
      </c>
      <c r="AC3218" s="0" t="str">
        <f aca="false">LEFT(G3218,2)</f>
        <v/>
      </c>
    </row>
    <row r="3219" customFormat="false" ht="15" hidden="false" customHeight="false" outlineLevel="0" collapsed="false">
      <c r="A3219" s="13" t="n">
        <f aca="false">1+A3218</f>
        <v>3217</v>
      </c>
      <c r="B3219" s="14" t="n">
        <v>100</v>
      </c>
      <c r="C3219" s="15"/>
      <c r="D3219" s="16" t="s">
        <v>64</v>
      </c>
      <c r="E3219" s="17" t="s">
        <v>47</v>
      </c>
      <c r="F3219" s="18" t="s">
        <v>34</v>
      </c>
      <c r="G3219" s="19"/>
      <c r="H3219" s="17" t="s">
        <v>35</v>
      </c>
      <c r="I3219" s="17" t="s">
        <v>44</v>
      </c>
      <c r="J3219" s="17"/>
      <c r="K3219" s="17" t="e">
        <f aca="false">VLOOKUP(J3219,Sheet2!A:B,2,0)</f>
        <v>#N/A</v>
      </c>
      <c r="L3219" s="17" t="n">
        <v>5</v>
      </c>
      <c r="M3219" s="17" t="str">
        <f aca="false">VLOOKUP(L3219,Sheet2!D:E,2,0)</f>
        <v>Main Processor CPU BGA</v>
      </c>
      <c r="N3219" s="17" t="n">
        <v>1</v>
      </c>
      <c r="O3219" s="17" t="str">
        <f aca="false">VLOOKUP(N3219,Sheet2!G:H,2,0)</f>
        <v>Dead</v>
      </c>
      <c r="P3219" s="17" t="n">
        <v>11</v>
      </c>
      <c r="Q3219" s="17" t="str">
        <f aca="false">VLOOKUP(P3219,Sheet2!J:K,2,0)</f>
        <v>IR Declared due to CID -TA</v>
      </c>
      <c r="R3219" s="17" t="s">
        <v>35</v>
      </c>
      <c r="S3219" s="17" t="str">
        <f aca="false">VLOOKUP(R3219,Sheet2!N:O,2,0)</f>
        <v>IREPARABLE</v>
      </c>
      <c r="T3219" s="18" t="str">
        <f aca="false">VLOOKUP(P3219,Sheet2!Q:R,2,0)</f>
        <v>IR Normal - Track burn out</v>
      </c>
      <c r="U3219" s="20" t="s">
        <v>41</v>
      </c>
      <c r="V3219" s="17"/>
      <c r="W3219" s="20" t="e">
        <f aca="false">VLOOKUP(V3219,Sheet2!Q:R,2,0)</f>
        <v>#N/A</v>
      </c>
      <c r="X3219" s="17" t="n">
        <f aca="false">J3219</f>
        <v>0</v>
      </c>
      <c r="Y3219" s="17" t="e">
        <f aca="false">VLOOKUP(X3219,Sheet2!A:B,2,0)</f>
        <v>#N/A</v>
      </c>
      <c r="Z3219" s="17"/>
      <c r="AA3219" s="17"/>
      <c r="AB3219" s="17" t="s">
        <v>41</v>
      </c>
      <c r="AC3219" s="0" t="str">
        <f aca="false">LEFT(G3219,2)</f>
        <v/>
      </c>
    </row>
    <row r="3220" customFormat="false" ht="15" hidden="false" customHeight="false" outlineLevel="0" collapsed="false">
      <c r="A3220" s="13" t="n">
        <f aca="false">1+A3219</f>
        <v>3218</v>
      </c>
      <c r="B3220" s="14" t="n">
        <v>100</v>
      </c>
      <c r="C3220" s="15"/>
      <c r="D3220" s="16" t="s">
        <v>64</v>
      </c>
      <c r="E3220" s="17" t="s">
        <v>47</v>
      </c>
      <c r="F3220" s="18" t="s">
        <v>34</v>
      </c>
      <c r="G3220" s="19"/>
      <c r="H3220" s="17" t="s">
        <v>35</v>
      </c>
      <c r="I3220" s="17" t="s">
        <v>44</v>
      </c>
      <c r="J3220" s="17"/>
      <c r="K3220" s="17" t="e">
        <f aca="false">VLOOKUP(J3220,Sheet2!A:B,2,0)</f>
        <v>#N/A</v>
      </c>
      <c r="L3220" s="17" t="n">
        <v>5</v>
      </c>
      <c r="M3220" s="17" t="str">
        <f aca="false">VLOOKUP(L3220,Sheet2!D:E,2,0)</f>
        <v>Main Processor CPU BGA</v>
      </c>
      <c r="N3220" s="17" t="n">
        <v>1</v>
      </c>
      <c r="O3220" s="17" t="str">
        <f aca="false">VLOOKUP(N3220,Sheet2!G:H,2,0)</f>
        <v>Dead</v>
      </c>
      <c r="P3220" s="17" t="n">
        <v>11</v>
      </c>
      <c r="Q3220" s="17" t="str">
        <f aca="false">VLOOKUP(P3220,Sheet2!J:K,2,0)</f>
        <v>IR Declared due to CID -TA</v>
      </c>
      <c r="R3220" s="17" t="s">
        <v>35</v>
      </c>
      <c r="S3220" s="17" t="str">
        <f aca="false">VLOOKUP(R3220,Sheet2!N:O,2,0)</f>
        <v>IREPARABLE</v>
      </c>
      <c r="T3220" s="18" t="str">
        <f aca="false">VLOOKUP(P3220,Sheet2!Q:R,2,0)</f>
        <v>IR Normal - Track burn out</v>
      </c>
      <c r="U3220" s="20" t="s">
        <v>41</v>
      </c>
      <c r="V3220" s="17"/>
      <c r="W3220" s="20" t="e">
        <f aca="false">VLOOKUP(V3220,Sheet2!Q:R,2,0)</f>
        <v>#N/A</v>
      </c>
      <c r="X3220" s="17" t="n">
        <f aca="false">J3220</f>
        <v>0</v>
      </c>
      <c r="Y3220" s="17" t="e">
        <f aca="false">VLOOKUP(X3220,Sheet2!A:B,2,0)</f>
        <v>#N/A</v>
      </c>
      <c r="Z3220" s="17"/>
      <c r="AA3220" s="17"/>
      <c r="AB3220" s="17" t="s">
        <v>41</v>
      </c>
      <c r="AC3220" s="0" t="str">
        <f aca="false">LEFT(G3220,2)</f>
        <v/>
      </c>
    </row>
    <row r="3221" customFormat="false" ht="15" hidden="false" customHeight="false" outlineLevel="0" collapsed="false">
      <c r="A3221" s="13" t="n">
        <f aca="false">1+A3220</f>
        <v>3219</v>
      </c>
      <c r="B3221" s="14" t="n">
        <v>100</v>
      </c>
      <c r="C3221" s="15"/>
      <c r="D3221" s="16" t="s">
        <v>64</v>
      </c>
      <c r="E3221" s="17" t="s">
        <v>47</v>
      </c>
      <c r="F3221" s="18" t="s">
        <v>34</v>
      </c>
      <c r="G3221" s="19"/>
      <c r="H3221" s="17" t="s">
        <v>35</v>
      </c>
      <c r="I3221" s="17" t="s">
        <v>44</v>
      </c>
      <c r="J3221" s="17"/>
      <c r="K3221" s="17" t="e">
        <f aca="false">VLOOKUP(J3221,Sheet2!A:B,2,0)</f>
        <v>#N/A</v>
      </c>
      <c r="L3221" s="17" t="n">
        <v>5</v>
      </c>
      <c r="M3221" s="17" t="str">
        <f aca="false">VLOOKUP(L3221,Sheet2!D:E,2,0)</f>
        <v>Main Processor CPU BGA</v>
      </c>
      <c r="N3221" s="17" t="n">
        <v>1</v>
      </c>
      <c r="O3221" s="17" t="str">
        <f aca="false">VLOOKUP(N3221,Sheet2!G:H,2,0)</f>
        <v>Dead</v>
      </c>
      <c r="P3221" s="17" t="n">
        <v>11</v>
      </c>
      <c r="Q3221" s="17" t="str">
        <f aca="false">VLOOKUP(P3221,Sheet2!J:K,2,0)</f>
        <v>IR Declared due to CID -TA</v>
      </c>
      <c r="R3221" s="17" t="s">
        <v>35</v>
      </c>
      <c r="S3221" s="17" t="str">
        <f aca="false">VLOOKUP(R3221,Sheet2!N:O,2,0)</f>
        <v>IREPARABLE</v>
      </c>
      <c r="T3221" s="18" t="str">
        <f aca="false">VLOOKUP(P3221,Sheet2!Q:R,2,0)</f>
        <v>IR Normal - Track burn out</v>
      </c>
      <c r="U3221" s="20" t="s">
        <v>41</v>
      </c>
      <c r="V3221" s="17"/>
      <c r="W3221" s="20" t="e">
        <f aca="false">VLOOKUP(V3221,Sheet2!Q:R,2,0)</f>
        <v>#N/A</v>
      </c>
      <c r="X3221" s="17" t="n">
        <f aca="false">J3221</f>
        <v>0</v>
      </c>
      <c r="Y3221" s="17" t="e">
        <f aca="false">VLOOKUP(X3221,Sheet2!A:B,2,0)</f>
        <v>#N/A</v>
      </c>
      <c r="Z3221" s="17"/>
      <c r="AA3221" s="17"/>
      <c r="AB3221" s="17" t="s">
        <v>41</v>
      </c>
      <c r="AC3221" s="0" t="str">
        <f aca="false">LEFT(G3221,2)</f>
        <v/>
      </c>
    </row>
    <row r="3222" customFormat="false" ht="15" hidden="false" customHeight="false" outlineLevel="0" collapsed="false">
      <c r="A3222" s="13" t="n">
        <f aca="false">1+A3221</f>
        <v>3220</v>
      </c>
      <c r="B3222" s="14" t="n">
        <v>100</v>
      </c>
      <c r="C3222" s="15"/>
      <c r="D3222" s="16" t="s">
        <v>64</v>
      </c>
      <c r="E3222" s="17" t="s">
        <v>47</v>
      </c>
      <c r="F3222" s="18" t="s">
        <v>34</v>
      </c>
      <c r="G3222" s="19"/>
      <c r="H3222" s="17" t="s">
        <v>35</v>
      </c>
      <c r="I3222" s="17" t="s">
        <v>44</v>
      </c>
      <c r="J3222" s="17"/>
      <c r="K3222" s="17" t="e">
        <f aca="false">VLOOKUP(J3222,Sheet2!A:B,2,0)</f>
        <v>#N/A</v>
      </c>
      <c r="L3222" s="17" t="n">
        <v>5</v>
      </c>
      <c r="M3222" s="17" t="str">
        <f aca="false">VLOOKUP(L3222,Sheet2!D:E,2,0)</f>
        <v>Main Processor CPU BGA</v>
      </c>
      <c r="N3222" s="17" t="n">
        <v>1</v>
      </c>
      <c r="O3222" s="17" t="str">
        <f aca="false">VLOOKUP(N3222,Sheet2!G:H,2,0)</f>
        <v>Dead</v>
      </c>
      <c r="P3222" s="17" t="n">
        <v>11</v>
      </c>
      <c r="Q3222" s="17" t="str">
        <f aca="false">VLOOKUP(P3222,Sheet2!J:K,2,0)</f>
        <v>IR Declared due to CID -TA</v>
      </c>
      <c r="R3222" s="17" t="s">
        <v>35</v>
      </c>
      <c r="S3222" s="17" t="str">
        <f aca="false">VLOOKUP(R3222,Sheet2!N:O,2,0)</f>
        <v>IREPARABLE</v>
      </c>
      <c r="T3222" s="18" t="str">
        <f aca="false">VLOOKUP(P3222,Sheet2!Q:R,2,0)</f>
        <v>IR Normal - Track burn out</v>
      </c>
      <c r="U3222" s="20" t="s">
        <v>41</v>
      </c>
      <c r="V3222" s="17"/>
      <c r="W3222" s="20" t="e">
        <f aca="false">VLOOKUP(V3222,Sheet2!Q:R,2,0)</f>
        <v>#N/A</v>
      </c>
      <c r="X3222" s="17" t="n">
        <f aca="false">J3222</f>
        <v>0</v>
      </c>
      <c r="Y3222" s="17" t="e">
        <f aca="false">VLOOKUP(X3222,Sheet2!A:B,2,0)</f>
        <v>#N/A</v>
      </c>
      <c r="Z3222" s="17"/>
      <c r="AA3222" s="17"/>
      <c r="AB3222" s="17" t="s">
        <v>41</v>
      </c>
      <c r="AC3222" s="0" t="str">
        <f aca="false">LEFT(G3222,2)</f>
        <v/>
      </c>
    </row>
    <row r="3223" customFormat="false" ht="15" hidden="false" customHeight="false" outlineLevel="0" collapsed="false">
      <c r="A3223" s="13" t="n">
        <f aca="false">1+A3222</f>
        <v>3221</v>
      </c>
      <c r="B3223" s="14" t="n">
        <v>100</v>
      </c>
      <c r="C3223" s="15"/>
      <c r="D3223" s="16" t="s">
        <v>64</v>
      </c>
      <c r="E3223" s="17" t="s">
        <v>47</v>
      </c>
      <c r="F3223" s="18" t="s">
        <v>34</v>
      </c>
      <c r="G3223" s="19"/>
      <c r="H3223" s="17" t="s">
        <v>35</v>
      </c>
      <c r="I3223" s="17" t="s">
        <v>44</v>
      </c>
      <c r="J3223" s="17"/>
      <c r="K3223" s="17" t="e">
        <f aca="false">VLOOKUP(J3223,Sheet2!A:B,2,0)</f>
        <v>#N/A</v>
      </c>
      <c r="L3223" s="17" t="n">
        <v>5</v>
      </c>
      <c r="M3223" s="17" t="str">
        <f aca="false">VLOOKUP(L3223,Sheet2!D:E,2,0)</f>
        <v>Main Processor CPU BGA</v>
      </c>
      <c r="N3223" s="17" t="n">
        <v>1</v>
      </c>
      <c r="O3223" s="17" t="str">
        <f aca="false">VLOOKUP(N3223,Sheet2!G:H,2,0)</f>
        <v>Dead</v>
      </c>
      <c r="P3223" s="17" t="n">
        <v>11</v>
      </c>
      <c r="Q3223" s="17" t="str">
        <f aca="false">VLOOKUP(P3223,Sheet2!J:K,2,0)</f>
        <v>IR Declared due to CID -TA</v>
      </c>
      <c r="R3223" s="17" t="s">
        <v>35</v>
      </c>
      <c r="S3223" s="17" t="str">
        <f aca="false">VLOOKUP(R3223,Sheet2!N:O,2,0)</f>
        <v>IREPARABLE</v>
      </c>
      <c r="T3223" s="18" t="str">
        <f aca="false">VLOOKUP(P3223,Sheet2!Q:R,2,0)</f>
        <v>IR Normal - Track burn out</v>
      </c>
      <c r="U3223" s="20" t="s">
        <v>41</v>
      </c>
      <c r="V3223" s="17"/>
      <c r="W3223" s="20" t="e">
        <f aca="false">VLOOKUP(V3223,Sheet2!Q:R,2,0)</f>
        <v>#N/A</v>
      </c>
      <c r="X3223" s="17" t="n">
        <f aca="false">J3223</f>
        <v>0</v>
      </c>
      <c r="Y3223" s="17" t="e">
        <f aca="false">VLOOKUP(X3223,Sheet2!A:B,2,0)</f>
        <v>#N/A</v>
      </c>
      <c r="Z3223" s="17"/>
      <c r="AA3223" s="17"/>
      <c r="AB3223" s="17" t="s">
        <v>41</v>
      </c>
      <c r="AC3223" s="0" t="str">
        <f aca="false">LEFT(G3223,2)</f>
        <v/>
      </c>
    </row>
    <row r="3224" customFormat="false" ht="15" hidden="false" customHeight="false" outlineLevel="0" collapsed="false">
      <c r="A3224" s="13" t="n">
        <f aca="false">1+A3223</f>
        <v>3222</v>
      </c>
      <c r="B3224" s="14" t="n">
        <v>100</v>
      </c>
      <c r="C3224" s="15"/>
      <c r="D3224" s="16" t="s">
        <v>64</v>
      </c>
      <c r="E3224" s="17" t="s">
        <v>47</v>
      </c>
      <c r="F3224" s="18" t="s">
        <v>34</v>
      </c>
      <c r="G3224" s="19"/>
      <c r="H3224" s="17" t="s">
        <v>35</v>
      </c>
      <c r="I3224" s="17" t="s">
        <v>44</v>
      </c>
      <c r="J3224" s="17"/>
      <c r="K3224" s="17" t="e">
        <f aca="false">VLOOKUP(J3224,Sheet2!A:B,2,0)</f>
        <v>#N/A</v>
      </c>
      <c r="L3224" s="17" t="n">
        <v>5</v>
      </c>
      <c r="M3224" s="17" t="str">
        <f aca="false">VLOOKUP(L3224,Sheet2!D:E,2,0)</f>
        <v>Main Processor CPU BGA</v>
      </c>
      <c r="N3224" s="17" t="n">
        <v>1</v>
      </c>
      <c r="O3224" s="17" t="str">
        <f aca="false">VLOOKUP(N3224,Sheet2!G:H,2,0)</f>
        <v>Dead</v>
      </c>
      <c r="P3224" s="17" t="n">
        <v>11</v>
      </c>
      <c r="Q3224" s="17" t="str">
        <f aca="false">VLOOKUP(P3224,Sheet2!J:K,2,0)</f>
        <v>IR Declared due to CID -TA</v>
      </c>
      <c r="R3224" s="17" t="s">
        <v>35</v>
      </c>
      <c r="S3224" s="17" t="str">
        <f aca="false">VLOOKUP(R3224,Sheet2!N:O,2,0)</f>
        <v>IREPARABLE</v>
      </c>
      <c r="T3224" s="18" t="str">
        <f aca="false">VLOOKUP(P3224,Sheet2!Q:R,2,0)</f>
        <v>IR Normal - Track burn out</v>
      </c>
      <c r="U3224" s="20" t="s">
        <v>41</v>
      </c>
      <c r="V3224" s="17"/>
      <c r="W3224" s="20" t="e">
        <f aca="false">VLOOKUP(V3224,Sheet2!Q:R,2,0)</f>
        <v>#N/A</v>
      </c>
      <c r="X3224" s="17" t="n">
        <f aca="false">J3224</f>
        <v>0</v>
      </c>
      <c r="Y3224" s="17" t="e">
        <f aca="false">VLOOKUP(X3224,Sheet2!A:B,2,0)</f>
        <v>#N/A</v>
      </c>
      <c r="Z3224" s="17"/>
      <c r="AA3224" s="17"/>
      <c r="AB3224" s="17" t="s">
        <v>41</v>
      </c>
      <c r="AC3224" s="0" t="str">
        <f aca="false">LEFT(G3224,2)</f>
        <v/>
      </c>
    </row>
    <row r="3225" customFormat="false" ht="15" hidden="false" customHeight="false" outlineLevel="0" collapsed="false">
      <c r="A3225" s="13" t="n">
        <f aca="false">1+A3224</f>
        <v>3223</v>
      </c>
      <c r="B3225" s="14" t="n">
        <v>100</v>
      </c>
      <c r="C3225" s="15"/>
      <c r="D3225" s="16" t="s">
        <v>64</v>
      </c>
      <c r="E3225" s="17" t="s">
        <v>47</v>
      </c>
      <c r="F3225" s="18" t="s">
        <v>34</v>
      </c>
      <c r="G3225" s="19"/>
      <c r="H3225" s="17" t="s">
        <v>35</v>
      </c>
      <c r="I3225" s="17" t="s">
        <v>44</v>
      </c>
      <c r="J3225" s="17"/>
      <c r="K3225" s="17" t="e">
        <f aca="false">VLOOKUP(J3225,Sheet2!A:B,2,0)</f>
        <v>#N/A</v>
      </c>
      <c r="L3225" s="17" t="n">
        <v>5</v>
      </c>
      <c r="M3225" s="17" t="str">
        <f aca="false">VLOOKUP(L3225,Sheet2!D:E,2,0)</f>
        <v>Main Processor CPU BGA</v>
      </c>
      <c r="N3225" s="17" t="n">
        <v>1</v>
      </c>
      <c r="O3225" s="17" t="str">
        <f aca="false">VLOOKUP(N3225,Sheet2!G:H,2,0)</f>
        <v>Dead</v>
      </c>
      <c r="P3225" s="17" t="n">
        <v>11</v>
      </c>
      <c r="Q3225" s="17" t="str">
        <f aca="false">VLOOKUP(P3225,Sheet2!J:K,2,0)</f>
        <v>IR Declared due to CID -TA</v>
      </c>
      <c r="R3225" s="17" t="s">
        <v>35</v>
      </c>
      <c r="S3225" s="17" t="str">
        <f aca="false">VLOOKUP(R3225,Sheet2!N:O,2,0)</f>
        <v>IREPARABLE</v>
      </c>
      <c r="T3225" s="18" t="str">
        <f aca="false">VLOOKUP(P3225,Sheet2!Q:R,2,0)</f>
        <v>IR Normal - Track burn out</v>
      </c>
      <c r="U3225" s="20" t="s">
        <v>41</v>
      </c>
      <c r="V3225" s="17"/>
      <c r="W3225" s="20" t="e">
        <f aca="false">VLOOKUP(V3225,Sheet2!Q:R,2,0)</f>
        <v>#N/A</v>
      </c>
      <c r="X3225" s="17" t="n">
        <f aca="false">J3225</f>
        <v>0</v>
      </c>
      <c r="Y3225" s="17" t="e">
        <f aca="false">VLOOKUP(X3225,Sheet2!A:B,2,0)</f>
        <v>#N/A</v>
      </c>
      <c r="Z3225" s="17"/>
      <c r="AA3225" s="17"/>
      <c r="AB3225" s="17" t="s">
        <v>41</v>
      </c>
      <c r="AC3225" s="0" t="str">
        <f aca="false">LEFT(G3225,2)</f>
        <v/>
      </c>
    </row>
    <row r="3226" customFormat="false" ht="15" hidden="false" customHeight="false" outlineLevel="0" collapsed="false">
      <c r="A3226" s="13" t="n">
        <f aca="false">1+A3225</f>
        <v>3224</v>
      </c>
      <c r="B3226" s="14" t="n">
        <v>100</v>
      </c>
      <c r="C3226" s="15"/>
      <c r="D3226" s="16" t="s">
        <v>64</v>
      </c>
      <c r="E3226" s="17" t="s">
        <v>47</v>
      </c>
      <c r="F3226" s="18" t="s">
        <v>34</v>
      </c>
      <c r="G3226" s="19"/>
      <c r="H3226" s="17" t="s">
        <v>35</v>
      </c>
      <c r="I3226" s="17" t="s">
        <v>44</v>
      </c>
      <c r="J3226" s="17"/>
      <c r="K3226" s="17" t="e">
        <f aca="false">VLOOKUP(J3226,Sheet2!A:B,2,0)</f>
        <v>#N/A</v>
      </c>
      <c r="L3226" s="17" t="n">
        <v>5</v>
      </c>
      <c r="M3226" s="17" t="str">
        <f aca="false">VLOOKUP(L3226,Sheet2!D:E,2,0)</f>
        <v>Main Processor CPU BGA</v>
      </c>
      <c r="N3226" s="17" t="n">
        <v>1</v>
      </c>
      <c r="O3226" s="17" t="str">
        <f aca="false">VLOOKUP(N3226,Sheet2!G:H,2,0)</f>
        <v>Dead</v>
      </c>
      <c r="P3226" s="17" t="n">
        <v>11</v>
      </c>
      <c r="Q3226" s="17" t="str">
        <f aca="false">VLOOKUP(P3226,Sheet2!J:K,2,0)</f>
        <v>IR Declared due to CID -TA</v>
      </c>
      <c r="R3226" s="17" t="s">
        <v>35</v>
      </c>
      <c r="S3226" s="17" t="str">
        <f aca="false">VLOOKUP(R3226,Sheet2!N:O,2,0)</f>
        <v>IREPARABLE</v>
      </c>
      <c r="T3226" s="18" t="str">
        <f aca="false">VLOOKUP(P3226,Sheet2!Q:R,2,0)</f>
        <v>IR Normal - Track burn out</v>
      </c>
      <c r="U3226" s="20" t="s">
        <v>41</v>
      </c>
      <c r="V3226" s="17"/>
      <c r="W3226" s="20" t="e">
        <f aca="false">VLOOKUP(V3226,Sheet2!Q:R,2,0)</f>
        <v>#N/A</v>
      </c>
      <c r="X3226" s="17" t="n">
        <f aca="false">J3226</f>
        <v>0</v>
      </c>
      <c r="Y3226" s="17" t="e">
        <f aca="false">VLOOKUP(X3226,Sheet2!A:B,2,0)</f>
        <v>#N/A</v>
      </c>
      <c r="Z3226" s="17"/>
      <c r="AA3226" s="17"/>
      <c r="AB3226" s="17" t="s">
        <v>41</v>
      </c>
      <c r="AC3226" s="0" t="str">
        <f aca="false">LEFT(G3226,2)</f>
        <v/>
      </c>
    </row>
    <row r="3227" customFormat="false" ht="15" hidden="false" customHeight="false" outlineLevel="0" collapsed="false">
      <c r="A3227" s="13" t="n">
        <f aca="false">1+A3226</f>
        <v>3225</v>
      </c>
      <c r="B3227" s="14" t="n">
        <v>100</v>
      </c>
      <c r="C3227" s="15"/>
      <c r="D3227" s="16" t="s">
        <v>64</v>
      </c>
      <c r="E3227" s="17" t="s">
        <v>47</v>
      </c>
      <c r="F3227" s="18" t="s">
        <v>34</v>
      </c>
      <c r="G3227" s="19"/>
      <c r="H3227" s="17" t="s">
        <v>35</v>
      </c>
      <c r="I3227" s="17" t="s">
        <v>44</v>
      </c>
      <c r="J3227" s="17"/>
      <c r="K3227" s="17" t="e">
        <f aca="false">VLOOKUP(J3227,Sheet2!A:B,2,0)</f>
        <v>#N/A</v>
      </c>
      <c r="L3227" s="17" t="n">
        <v>5</v>
      </c>
      <c r="M3227" s="17" t="str">
        <f aca="false">VLOOKUP(L3227,Sheet2!D:E,2,0)</f>
        <v>Main Processor CPU BGA</v>
      </c>
      <c r="N3227" s="17" t="n">
        <v>1</v>
      </c>
      <c r="O3227" s="17" t="str">
        <f aca="false">VLOOKUP(N3227,Sheet2!G:H,2,0)</f>
        <v>Dead</v>
      </c>
      <c r="P3227" s="17" t="n">
        <v>11</v>
      </c>
      <c r="Q3227" s="17" t="str">
        <f aca="false">VLOOKUP(P3227,Sheet2!J:K,2,0)</f>
        <v>IR Declared due to CID -TA</v>
      </c>
      <c r="R3227" s="17" t="s">
        <v>35</v>
      </c>
      <c r="S3227" s="17" t="str">
        <f aca="false">VLOOKUP(R3227,Sheet2!N:O,2,0)</f>
        <v>IREPARABLE</v>
      </c>
      <c r="T3227" s="18" t="str">
        <f aca="false">VLOOKUP(P3227,Sheet2!Q:R,2,0)</f>
        <v>IR Normal - Track burn out</v>
      </c>
      <c r="U3227" s="20" t="s">
        <v>41</v>
      </c>
      <c r="V3227" s="17"/>
      <c r="W3227" s="20" t="e">
        <f aca="false">VLOOKUP(V3227,Sheet2!Q:R,2,0)</f>
        <v>#N/A</v>
      </c>
      <c r="X3227" s="17" t="n">
        <f aca="false">J3227</f>
        <v>0</v>
      </c>
      <c r="Y3227" s="17" t="e">
        <f aca="false">VLOOKUP(X3227,Sheet2!A:B,2,0)</f>
        <v>#N/A</v>
      </c>
      <c r="Z3227" s="17"/>
      <c r="AA3227" s="17"/>
      <c r="AB3227" s="17" t="s">
        <v>41</v>
      </c>
      <c r="AC3227" s="0" t="str">
        <f aca="false">LEFT(G3227,2)</f>
        <v/>
      </c>
    </row>
    <row r="3228" customFormat="false" ht="15" hidden="false" customHeight="false" outlineLevel="0" collapsed="false">
      <c r="A3228" s="13" t="n">
        <f aca="false">1+A3227</f>
        <v>3226</v>
      </c>
      <c r="B3228" s="14" t="n">
        <v>100</v>
      </c>
      <c r="C3228" s="15"/>
      <c r="D3228" s="16" t="s">
        <v>64</v>
      </c>
      <c r="E3228" s="17" t="s">
        <v>47</v>
      </c>
      <c r="F3228" s="18" t="s">
        <v>34</v>
      </c>
      <c r="G3228" s="19"/>
      <c r="H3228" s="17" t="s">
        <v>35</v>
      </c>
      <c r="I3228" s="17" t="s">
        <v>44</v>
      </c>
      <c r="J3228" s="17"/>
      <c r="K3228" s="17" t="e">
        <f aca="false">VLOOKUP(J3228,Sheet2!A:B,2,0)</f>
        <v>#N/A</v>
      </c>
      <c r="L3228" s="17" t="n">
        <v>5</v>
      </c>
      <c r="M3228" s="17" t="str">
        <f aca="false">VLOOKUP(L3228,Sheet2!D:E,2,0)</f>
        <v>Main Processor CPU BGA</v>
      </c>
      <c r="N3228" s="17" t="n">
        <v>1</v>
      </c>
      <c r="O3228" s="17" t="str">
        <f aca="false">VLOOKUP(N3228,Sheet2!G:H,2,0)</f>
        <v>Dead</v>
      </c>
      <c r="P3228" s="17" t="n">
        <v>11</v>
      </c>
      <c r="Q3228" s="17" t="str">
        <f aca="false">VLOOKUP(P3228,Sheet2!J:K,2,0)</f>
        <v>IR Declared due to CID -TA</v>
      </c>
      <c r="R3228" s="17" t="s">
        <v>35</v>
      </c>
      <c r="S3228" s="17" t="str">
        <f aca="false">VLOOKUP(R3228,Sheet2!N:O,2,0)</f>
        <v>IREPARABLE</v>
      </c>
      <c r="T3228" s="18" t="str">
        <f aca="false">VLOOKUP(P3228,Sheet2!Q:R,2,0)</f>
        <v>IR Normal - Track burn out</v>
      </c>
      <c r="U3228" s="20" t="s">
        <v>41</v>
      </c>
      <c r="V3228" s="17"/>
      <c r="W3228" s="20" t="e">
        <f aca="false">VLOOKUP(V3228,Sheet2!Q:R,2,0)</f>
        <v>#N/A</v>
      </c>
      <c r="X3228" s="17" t="n">
        <f aca="false">J3228</f>
        <v>0</v>
      </c>
      <c r="Y3228" s="17" t="e">
        <f aca="false">VLOOKUP(X3228,Sheet2!A:B,2,0)</f>
        <v>#N/A</v>
      </c>
      <c r="Z3228" s="17"/>
      <c r="AA3228" s="17"/>
      <c r="AB3228" s="17" t="s">
        <v>41</v>
      </c>
      <c r="AC3228" s="0" t="str">
        <f aca="false">LEFT(G3228,2)</f>
        <v/>
      </c>
    </row>
    <row r="3229" customFormat="false" ht="15" hidden="false" customHeight="false" outlineLevel="0" collapsed="false">
      <c r="A3229" s="13" t="n">
        <f aca="false">1+A3228</f>
        <v>3227</v>
      </c>
      <c r="B3229" s="14" t="n">
        <v>100</v>
      </c>
      <c r="C3229" s="15"/>
      <c r="D3229" s="16" t="s">
        <v>64</v>
      </c>
      <c r="E3229" s="17" t="s">
        <v>47</v>
      </c>
      <c r="F3229" s="18" t="s">
        <v>34</v>
      </c>
      <c r="G3229" s="19"/>
      <c r="H3229" s="17" t="s">
        <v>35</v>
      </c>
      <c r="I3229" s="17" t="s">
        <v>44</v>
      </c>
      <c r="J3229" s="17"/>
      <c r="K3229" s="17" t="e">
        <f aca="false">VLOOKUP(J3229,Sheet2!A:B,2,0)</f>
        <v>#N/A</v>
      </c>
      <c r="L3229" s="17" t="n">
        <v>5</v>
      </c>
      <c r="M3229" s="17" t="str">
        <f aca="false">VLOOKUP(L3229,Sheet2!D:E,2,0)</f>
        <v>Main Processor CPU BGA</v>
      </c>
      <c r="N3229" s="17" t="n">
        <v>1</v>
      </c>
      <c r="O3229" s="17" t="str">
        <f aca="false">VLOOKUP(N3229,Sheet2!G:H,2,0)</f>
        <v>Dead</v>
      </c>
      <c r="P3229" s="17" t="n">
        <v>11</v>
      </c>
      <c r="Q3229" s="17" t="str">
        <f aca="false">VLOOKUP(P3229,Sheet2!J:K,2,0)</f>
        <v>IR Declared due to CID -TA</v>
      </c>
      <c r="R3229" s="17" t="s">
        <v>35</v>
      </c>
      <c r="S3229" s="17" t="str">
        <f aca="false">VLOOKUP(R3229,Sheet2!N:O,2,0)</f>
        <v>IREPARABLE</v>
      </c>
      <c r="T3229" s="18" t="str">
        <f aca="false">VLOOKUP(P3229,Sheet2!Q:R,2,0)</f>
        <v>IR Normal - Track burn out</v>
      </c>
      <c r="U3229" s="20" t="s">
        <v>41</v>
      </c>
      <c r="V3229" s="17"/>
      <c r="W3229" s="20" t="e">
        <f aca="false">VLOOKUP(V3229,Sheet2!Q:R,2,0)</f>
        <v>#N/A</v>
      </c>
      <c r="X3229" s="17" t="n">
        <f aca="false">J3229</f>
        <v>0</v>
      </c>
      <c r="Y3229" s="17" t="e">
        <f aca="false">VLOOKUP(X3229,Sheet2!A:B,2,0)</f>
        <v>#N/A</v>
      </c>
      <c r="Z3229" s="17"/>
      <c r="AA3229" s="17"/>
      <c r="AB3229" s="17" t="s">
        <v>41</v>
      </c>
      <c r="AC3229" s="0" t="str">
        <f aca="false">LEFT(G3229,2)</f>
        <v/>
      </c>
    </row>
    <row r="3230" customFormat="false" ht="15" hidden="false" customHeight="false" outlineLevel="0" collapsed="false">
      <c r="A3230" s="13" t="n">
        <f aca="false">1+A3229</f>
        <v>3228</v>
      </c>
      <c r="B3230" s="14" t="n">
        <v>100</v>
      </c>
      <c r="C3230" s="15"/>
      <c r="D3230" s="16" t="s">
        <v>64</v>
      </c>
      <c r="E3230" s="17" t="s">
        <v>47</v>
      </c>
      <c r="F3230" s="18" t="s">
        <v>34</v>
      </c>
      <c r="G3230" s="19"/>
      <c r="H3230" s="17" t="s">
        <v>35</v>
      </c>
      <c r="I3230" s="17" t="s">
        <v>44</v>
      </c>
      <c r="J3230" s="17"/>
      <c r="K3230" s="17" t="e">
        <f aca="false">VLOOKUP(J3230,Sheet2!A:B,2,0)</f>
        <v>#N/A</v>
      </c>
      <c r="L3230" s="17" t="n">
        <v>5</v>
      </c>
      <c r="M3230" s="17" t="str">
        <f aca="false">VLOOKUP(L3230,Sheet2!D:E,2,0)</f>
        <v>Main Processor CPU BGA</v>
      </c>
      <c r="N3230" s="17" t="n">
        <v>1</v>
      </c>
      <c r="O3230" s="17" t="str">
        <f aca="false">VLOOKUP(N3230,Sheet2!G:H,2,0)</f>
        <v>Dead</v>
      </c>
      <c r="P3230" s="17" t="n">
        <v>11</v>
      </c>
      <c r="Q3230" s="17" t="str">
        <f aca="false">VLOOKUP(P3230,Sheet2!J:K,2,0)</f>
        <v>IR Declared due to CID -TA</v>
      </c>
      <c r="R3230" s="17" t="s">
        <v>35</v>
      </c>
      <c r="S3230" s="17" t="str">
        <f aca="false">VLOOKUP(R3230,Sheet2!N:O,2,0)</f>
        <v>IREPARABLE</v>
      </c>
      <c r="T3230" s="18" t="str">
        <f aca="false">VLOOKUP(P3230,Sheet2!Q:R,2,0)</f>
        <v>IR Normal - Track burn out</v>
      </c>
      <c r="U3230" s="20" t="s">
        <v>41</v>
      </c>
      <c r="V3230" s="17"/>
      <c r="W3230" s="20" t="e">
        <f aca="false">VLOOKUP(V3230,Sheet2!Q:R,2,0)</f>
        <v>#N/A</v>
      </c>
      <c r="X3230" s="17" t="n">
        <f aca="false">J3230</f>
        <v>0</v>
      </c>
      <c r="Y3230" s="17" t="e">
        <f aca="false">VLOOKUP(X3230,Sheet2!A:B,2,0)</f>
        <v>#N/A</v>
      </c>
      <c r="Z3230" s="17"/>
      <c r="AA3230" s="17"/>
      <c r="AB3230" s="17" t="s">
        <v>41</v>
      </c>
      <c r="AC3230" s="0" t="str">
        <f aca="false">LEFT(G3230,2)</f>
        <v/>
      </c>
    </row>
    <row r="3231" customFormat="false" ht="15" hidden="false" customHeight="false" outlineLevel="0" collapsed="false">
      <c r="A3231" s="13" t="n">
        <f aca="false">1+A3230</f>
        <v>3229</v>
      </c>
      <c r="B3231" s="14" t="n">
        <v>100</v>
      </c>
      <c r="C3231" s="15"/>
      <c r="D3231" s="16" t="s">
        <v>64</v>
      </c>
      <c r="E3231" s="17" t="s">
        <v>47</v>
      </c>
      <c r="F3231" s="18" t="s">
        <v>34</v>
      </c>
      <c r="G3231" s="19"/>
      <c r="H3231" s="17" t="s">
        <v>35</v>
      </c>
      <c r="I3231" s="17" t="s">
        <v>44</v>
      </c>
      <c r="J3231" s="17"/>
      <c r="K3231" s="17" t="e">
        <f aca="false">VLOOKUP(J3231,Sheet2!A:B,2,0)</f>
        <v>#N/A</v>
      </c>
      <c r="L3231" s="17" t="n">
        <v>5</v>
      </c>
      <c r="M3231" s="17" t="str">
        <f aca="false">VLOOKUP(L3231,Sheet2!D:E,2,0)</f>
        <v>Main Processor CPU BGA</v>
      </c>
      <c r="N3231" s="17" t="n">
        <v>1</v>
      </c>
      <c r="O3231" s="17" t="str">
        <f aca="false">VLOOKUP(N3231,Sheet2!G:H,2,0)</f>
        <v>Dead</v>
      </c>
      <c r="P3231" s="17" t="n">
        <v>11</v>
      </c>
      <c r="Q3231" s="17" t="str">
        <f aca="false">VLOOKUP(P3231,Sheet2!J:K,2,0)</f>
        <v>IR Declared due to CID -TA</v>
      </c>
      <c r="R3231" s="17" t="s">
        <v>35</v>
      </c>
      <c r="S3231" s="17" t="str">
        <f aca="false">VLOOKUP(R3231,Sheet2!N:O,2,0)</f>
        <v>IREPARABLE</v>
      </c>
      <c r="T3231" s="18" t="str">
        <f aca="false">VLOOKUP(P3231,Sheet2!Q:R,2,0)</f>
        <v>IR Normal - Track burn out</v>
      </c>
      <c r="U3231" s="20" t="s">
        <v>41</v>
      </c>
      <c r="V3231" s="17"/>
      <c r="W3231" s="20" t="e">
        <f aca="false">VLOOKUP(V3231,Sheet2!Q:R,2,0)</f>
        <v>#N/A</v>
      </c>
      <c r="X3231" s="17" t="n">
        <f aca="false">J3231</f>
        <v>0</v>
      </c>
      <c r="Y3231" s="17" t="e">
        <f aca="false">VLOOKUP(X3231,Sheet2!A:B,2,0)</f>
        <v>#N/A</v>
      </c>
      <c r="Z3231" s="17"/>
      <c r="AA3231" s="17"/>
      <c r="AB3231" s="17" t="s">
        <v>41</v>
      </c>
      <c r="AC3231" s="0" t="str">
        <f aca="false">LEFT(G3231,2)</f>
        <v/>
      </c>
    </row>
    <row r="3232" customFormat="false" ht="15" hidden="false" customHeight="false" outlineLevel="0" collapsed="false">
      <c r="A3232" s="13" t="n">
        <f aca="false">1+A3231</f>
        <v>3230</v>
      </c>
      <c r="B3232" s="14" t="n">
        <v>100</v>
      </c>
      <c r="C3232" s="15"/>
      <c r="D3232" s="16" t="s">
        <v>64</v>
      </c>
      <c r="E3232" s="17" t="s">
        <v>47</v>
      </c>
      <c r="F3232" s="18" t="s">
        <v>34</v>
      </c>
      <c r="G3232" s="19"/>
      <c r="H3232" s="17" t="s">
        <v>35</v>
      </c>
      <c r="I3232" s="17" t="s">
        <v>44</v>
      </c>
      <c r="J3232" s="17"/>
      <c r="K3232" s="17" t="e">
        <f aca="false">VLOOKUP(J3232,Sheet2!A:B,2,0)</f>
        <v>#N/A</v>
      </c>
      <c r="L3232" s="17" t="n">
        <v>5</v>
      </c>
      <c r="M3232" s="17" t="str">
        <f aca="false">VLOOKUP(L3232,Sheet2!D:E,2,0)</f>
        <v>Main Processor CPU BGA</v>
      </c>
      <c r="N3232" s="17" t="n">
        <v>1</v>
      </c>
      <c r="O3232" s="17" t="str">
        <f aca="false">VLOOKUP(N3232,Sheet2!G:H,2,0)</f>
        <v>Dead</v>
      </c>
      <c r="P3232" s="17" t="n">
        <v>11</v>
      </c>
      <c r="Q3232" s="17" t="str">
        <f aca="false">VLOOKUP(P3232,Sheet2!J:K,2,0)</f>
        <v>IR Declared due to CID -TA</v>
      </c>
      <c r="R3232" s="17" t="s">
        <v>35</v>
      </c>
      <c r="S3232" s="17" t="str">
        <f aca="false">VLOOKUP(R3232,Sheet2!N:O,2,0)</f>
        <v>IREPARABLE</v>
      </c>
      <c r="T3232" s="18" t="str">
        <f aca="false">VLOOKUP(P3232,Sheet2!Q:R,2,0)</f>
        <v>IR Normal - Track burn out</v>
      </c>
      <c r="U3232" s="20" t="s">
        <v>41</v>
      </c>
      <c r="V3232" s="17"/>
      <c r="W3232" s="20" t="e">
        <f aca="false">VLOOKUP(V3232,Sheet2!Q:R,2,0)</f>
        <v>#N/A</v>
      </c>
      <c r="X3232" s="17" t="n">
        <f aca="false">J3232</f>
        <v>0</v>
      </c>
      <c r="Y3232" s="17" t="e">
        <f aca="false">VLOOKUP(X3232,Sheet2!A:B,2,0)</f>
        <v>#N/A</v>
      </c>
      <c r="Z3232" s="17"/>
      <c r="AA3232" s="17"/>
      <c r="AB3232" s="17" t="s">
        <v>41</v>
      </c>
      <c r="AC3232" s="0" t="str">
        <f aca="false">LEFT(G3232,2)</f>
        <v/>
      </c>
    </row>
    <row r="3233" customFormat="false" ht="15" hidden="false" customHeight="false" outlineLevel="0" collapsed="false">
      <c r="A3233" s="13" t="n">
        <f aca="false">1+A3232</f>
        <v>3231</v>
      </c>
      <c r="B3233" s="14" t="n">
        <v>100</v>
      </c>
      <c r="C3233" s="15"/>
      <c r="D3233" s="16" t="s">
        <v>64</v>
      </c>
      <c r="E3233" s="17" t="s">
        <v>47</v>
      </c>
      <c r="F3233" s="18" t="s">
        <v>34</v>
      </c>
      <c r="G3233" s="19"/>
      <c r="H3233" s="17" t="s">
        <v>35</v>
      </c>
      <c r="I3233" s="17" t="s">
        <v>44</v>
      </c>
      <c r="J3233" s="17"/>
      <c r="K3233" s="17" t="e">
        <f aca="false">VLOOKUP(J3233,Sheet2!A:B,2,0)</f>
        <v>#N/A</v>
      </c>
      <c r="L3233" s="17" t="n">
        <v>5</v>
      </c>
      <c r="M3233" s="17" t="str">
        <f aca="false">VLOOKUP(L3233,Sheet2!D:E,2,0)</f>
        <v>Main Processor CPU BGA</v>
      </c>
      <c r="N3233" s="17" t="n">
        <v>1</v>
      </c>
      <c r="O3233" s="17" t="str">
        <f aca="false">VLOOKUP(N3233,Sheet2!G:H,2,0)</f>
        <v>Dead</v>
      </c>
      <c r="P3233" s="17" t="n">
        <v>11</v>
      </c>
      <c r="Q3233" s="17" t="str">
        <f aca="false">VLOOKUP(P3233,Sheet2!J:K,2,0)</f>
        <v>IR Declared due to CID -TA</v>
      </c>
      <c r="R3233" s="17" t="s">
        <v>35</v>
      </c>
      <c r="S3233" s="17" t="str">
        <f aca="false">VLOOKUP(R3233,Sheet2!N:O,2,0)</f>
        <v>IREPARABLE</v>
      </c>
      <c r="T3233" s="18" t="str">
        <f aca="false">VLOOKUP(P3233,Sheet2!Q:R,2,0)</f>
        <v>IR Normal - Track burn out</v>
      </c>
      <c r="U3233" s="20" t="s">
        <v>41</v>
      </c>
      <c r="V3233" s="17"/>
      <c r="W3233" s="20" t="e">
        <f aca="false">VLOOKUP(V3233,Sheet2!Q:R,2,0)</f>
        <v>#N/A</v>
      </c>
      <c r="X3233" s="17" t="n">
        <f aca="false">J3233</f>
        <v>0</v>
      </c>
      <c r="Y3233" s="17" t="e">
        <f aca="false">VLOOKUP(X3233,Sheet2!A:B,2,0)</f>
        <v>#N/A</v>
      </c>
      <c r="Z3233" s="17"/>
      <c r="AA3233" s="17"/>
      <c r="AB3233" s="17" t="s">
        <v>41</v>
      </c>
      <c r="AC3233" s="0" t="str">
        <f aca="false">LEFT(G3233,2)</f>
        <v/>
      </c>
    </row>
    <row r="3234" customFormat="false" ht="15" hidden="false" customHeight="false" outlineLevel="0" collapsed="false">
      <c r="A3234" s="13" t="n">
        <f aca="false">1+A3233</f>
        <v>3232</v>
      </c>
      <c r="B3234" s="14" t="n">
        <v>100</v>
      </c>
      <c r="C3234" s="15"/>
      <c r="D3234" s="16" t="s">
        <v>64</v>
      </c>
      <c r="E3234" s="17" t="s">
        <v>47</v>
      </c>
      <c r="F3234" s="18" t="s">
        <v>34</v>
      </c>
      <c r="G3234" s="19"/>
      <c r="H3234" s="17" t="s">
        <v>35</v>
      </c>
      <c r="I3234" s="17" t="s">
        <v>44</v>
      </c>
      <c r="J3234" s="17"/>
      <c r="K3234" s="17" t="e">
        <f aca="false">VLOOKUP(J3234,Sheet2!A:B,2,0)</f>
        <v>#N/A</v>
      </c>
      <c r="L3234" s="17" t="n">
        <v>5</v>
      </c>
      <c r="M3234" s="17" t="str">
        <f aca="false">VLOOKUP(L3234,Sheet2!D:E,2,0)</f>
        <v>Main Processor CPU BGA</v>
      </c>
      <c r="N3234" s="17" t="n">
        <v>1</v>
      </c>
      <c r="O3234" s="17" t="str">
        <f aca="false">VLOOKUP(N3234,Sheet2!G:H,2,0)</f>
        <v>Dead</v>
      </c>
      <c r="P3234" s="17" t="n">
        <v>11</v>
      </c>
      <c r="Q3234" s="17" t="str">
        <f aca="false">VLOOKUP(P3234,Sheet2!J:K,2,0)</f>
        <v>IR Declared due to CID -TA</v>
      </c>
      <c r="R3234" s="17" t="s">
        <v>35</v>
      </c>
      <c r="S3234" s="17" t="str">
        <f aca="false">VLOOKUP(R3234,Sheet2!N:O,2,0)</f>
        <v>IREPARABLE</v>
      </c>
      <c r="T3234" s="18" t="str">
        <f aca="false">VLOOKUP(P3234,Sheet2!Q:R,2,0)</f>
        <v>IR Normal - Track burn out</v>
      </c>
      <c r="U3234" s="20" t="s">
        <v>41</v>
      </c>
      <c r="V3234" s="17"/>
      <c r="W3234" s="20" t="e">
        <f aca="false">VLOOKUP(V3234,Sheet2!Q:R,2,0)</f>
        <v>#N/A</v>
      </c>
      <c r="X3234" s="17" t="n">
        <f aca="false">J3234</f>
        <v>0</v>
      </c>
      <c r="Y3234" s="17" t="e">
        <f aca="false">VLOOKUP(X3234,Sheet2!A:B,2,0)</f>
        <v>#N/A</v>
      </c>
      <c r="Z3234" s="17"/>
      <c r="AA3234" s="17"/>
      <c r="AB3234" s="17" t="s">
        <v>41</v>
      </c>
      <c r="AC3234" s="0" t="str">
        <f aca="false">LEFT(G3234,2)</f>
        <v/>
      </c>
    </row>
    <row r="3235" customFormat="false" ht="15" hidden="false" customHeight="false" outlineLevel="0" collapsed="false">
      <c r="A3235" s="13" t="n">
        <f aca="false">1+A3234</f>
        <v>3233</v>
      </c>
      <c r="B3235" s="14" t="n">
        <v>100</v>
      </c>
      <c r="C3235" s="15"/>
      <c r="D3235" s="16" t="s">
        <v>64</v>
      </c>
      <c r="E3235" s="17" t="s">
        <v>47</v>
      </c>
      <c r="F3235" s="18" t="s">
        <v>34</v>
      </c>
      <c r="G3235" s="19"/>
      <c r="H3235" s="17" t="s">
        <v>35</v>
      </c>
      <c r="I3235" s="17" t="s">
        <v>44</v>
      </c>
      <c r="J3235" s="17"/>
      <c r="K3235" s="17" t="e">
        <f aca="false">VLOOKUP(J3235,Sheet2!A:B,2,0)</f>
        <v>#N/A</v>
      </c>
      <c r="L3235" s="17" t="n">
        <v>5</v>
      </c>
      <c r="M3235" s="17" t="str">
        <f aca="false">VLOOKUP(L3235,Sheet2!D:E,2,0)</f>
        <v>Main Processor CPU BGA</v>
      </c>
      <c r="N3235" s="17" t="n">
        <v>1</v>
      </c>
      <c r="O3235" s="17" t="str">
        <f aca="false">VLOOKUP(N3235,Sheet2!G:H,2,0)</f>
        <v>Dead</v>
      </c>
      <c r="P3235" s="17" t="n">
        <v>11</v>
      </c>
      <c r="Q3235" s="17" t="str">
        <f aca="false">VLOOKUP(P3235,Sheet2!J:K,2,0)</f>
        <v>IR Declared due to CID -TA</v>
      </c>
      <c r="R3235" s="17" t="s">
        <v>35</v>
      </c>
      <c r="S3235" s="17" t="str">
        <f aca="false">VLOOKUP(R3235,Sheet2!N:O,2,0)</f>
        <v>IREPARABLE</v>
      </c>
      <c r="T3235" s="18" t="str">
        <f aca="false">VLOOKUP(P3235,Sheet2!Q:R,2,0)</f>
        <v>IR Normal - Track burn out</v>
      </c>
      <c r="U3235" s="20" t="s">
        <v>41</v>
      </c>
      <c r="V3235" s="17"/>
      <c r="W3235" s="20" t="e">
        <f aca="false">VLOOKUP(V3235,Sheet2!Q:R,2,0)</f>
        <v>#N/A</v>
      </c>
      <c r="X3235" s="17" t="n">
        <f aca="false">J3235</f>
        <v>0</v>
      </c>
      <c r="Y3235" s="17" t="e">
        <f aca="false">VLOOKUP(X3235,Sheet2!A:B,2,0)</f>
        <v>#N/A</v>
      </c>
      <c r="Z3235" s="17"/>
      <c r="AA3235" s="17"/>
      <c r="AB3235" s="17" t="s">
        <v>41</v>
      </c>
      <c r="AC3235" s="0" t="str">
        <f aca="false">LEFT(G3235,2)</f>
        <v/>
      </c>
    </row>
    <row r="3236" customFormat="false" ht="15" hidden="false" customHeight="false" outlineLevel="0" collapsed="false">
      <c r="A3236" s="13" t="n">
        <f aca="false">1+A3235</f>
        <v>3234</v>
      </c>
      <c r="B3236" s="14" t="n">
        <v>100</v>
      </c>
      <c r="C3236" s="15"/>
      <c r="D3236" s="16" t="s">
        <v>64</v>
      </c>
      <c r="E3236" s="17" t="s">
        <v>47</v>
      </c>
      <c r="F3236" s="18" t="s">
        <v>34</v>
      </c>
      <c r="G3236" s="19"/>
      <c r="H3236" s="17" t="s">
        <v>35</v>
      </c>
      <c r="I3236" s="17" t="s">
        <v>44</v>
      </c>
      <c r="J3236" s="17"/>
      <c r="K3236" s="17" t="e">
        <f aca="false">VLOOKUP(J3236,Sheet2!A:B,2,0)</f>
        <v>#N/A</v>
      </c>
      <c r="L3236" s="17" t="n">
        <v>5</v>
      </c>
      <c r="M3236" s="17" t="str">
        <f aca="false">VLOOKUP(L3236,Sheet2!D:E,2,0)</f>
        <v>Main Processor CPU BGA</v>
      </c>
      <c r="N3236" s="17" t="n">
        <v>1</v>
      </c>
      <c r="O3236" s="17" t="str">
        <f aca="false">VLOOKUP(N3236,Sheet2!G:H,2,0)</f>
        <v>Dead</v>
      </c>
      <c r="P3236" s="17" t="n">
        <v>11</v>
      </c>
      <c r="Q3236" s="17" t="str">
        <f aca="false">VLOOKUP(P3236,Sheet2!J:K,2,0)</f>
        <v>IR Declared due to CID -TA</v>
      </c>
      <c r="R3236" s="17" t="s">
        <v>35</v>
      </c>
      <c r="S3236" s="17" t="str">
        <f aca="false">VLOOKUP(R3236,Sheet2!N:O,2,0)</f>
        <v>IREPARABLE</v>
      </c>
      <c r="T3236" s="18" t="str">
        <f aca="false">VLOOKUP(P3236,Sheet2!Q:R,2,0)</f>
        <v>IR Normal - Track burn out</v>
      </c>
      <c r="U3236" s="20" t="s">
        <v>41</v>
      </c>
      <c r="V3236" s="17"/>
      <c r="W3236" s="20" t="e">
        <f aca="false">VLOOKUP(V3236,Sheet2!Q:R,2,0)</f>
        <v>#N/A</v>
      </c>
      <c r="X3236" s="17" t="n">
        <f aca="false">J3236</f>
        <v>0</v>
      </c>
      <c r="Y3236" s="17" t="e">
        <f aca="false">VLOOKUP(X3236,Sheet2!A:B,2,0)</f>
        <v>#N/A</v>
      </c>
      <c r="Z3236" s="17"/>
      <c r="AA3236" s="17"/>
      <c r="AB3236" s="17" t="s">
        <v>41</v>
      </c>
      <c r="AC3236" s="0" t="str">
        <f aca="false">LEFT(G3236,2)</f>
        <v/>
      </c>
    </row>
    <row r="3237" customFormat="false" ht="15" hidden="false" customHeight="false" outlineLevel="0" collapsed="false">
      <c r="A3237" s="13" t="n">
        <f aca="false">1+A3236</f>
        <v>3235</v>
      </c>
      <c r="B3237" s="14" t="n">
        <v>100</v>
      </c>
      <c r="C3237" s="15"/>
      <c r="D3237" s="16" t="s">
        <v>64</v>
      </c>
      <c r="E3237" s="17" t="s">
        <v>47</v>
      </c>
      <c r="F3237" s="18" t="s">
        <v>34</v>
      </c>
      <c r="G3237" s="19"/>
      <c r="H3237" s="17" t="s">
        <v>35</v>
      </c>
      <c r="I3237" s="17" t="s">
        <v>44</v>
      </c>
      <c r="J3237" s="17"/>
      <c r="K3237" s="17" t="e">
        <f aca="false">VLOOKUP(J3237,Sheet2!A:B,2,0)</f>
        <v>#N/A</v>
      </c>
      <c r="L3237" s="17" t="n">
        <v>5</v>
      </c>
      <c r="M3237" s="17" t="str">
        <f aca="false">VLOOKUP(L3237,Sheet2!D:E,2,0)</f>
        <v>Main Processor CPU BGA</v>
      </c>
      <c r="N3237" s="17" t="n">
        <v>1</v>
      </c>
      <c r="O3237" s="17" t="str">
        <f aca="false">VLOOKUP(N3237,Sheet2!G:H,2,0)</f>
        <v>Dead</v>
      </c>
      <c r="P3237" s="17" t="n">
        <v>11</v>
      </c>
      <c r="Q3237" s="17" t="str">
        <f aca="false">VLOOKUP(P3237,Sheet2!J:K,2,0)</f>
        <v>IR Declared due to CID -TA</v>
      </c>
      <c r="R3237" s="17" t="s">
        <v>35</v>
      </c>
      <c r="S3237" s="17" t="str">
        <f aca="false">VLOOKUP(R3237,Sheet2!N:O,2,0)</f>
        <v>IREPARABLE</v>
      </c>
      <c r="T3237" s="18" t="str">
        <f aca="false">VLOOKUP(P3237,Sheet2!Q:R,2,0)</f>
        <v>IR Normal - Track burn out</v>
      </c>
      <c r="U3237" s="20" t="s">
        <v>41</v>
      </c>
      <c r="V3237" s="17"/>
      <c r="W3237" s="20" t="e">
        <f aca="false">VLOOKUP(V3237,Sheet2!Q:R,2,0)</f>
        <v>#N/A</v>
      </c>
      <c r="X3237" s="17" t="n">
        <f aca="false">J3237</f>
        <v>0</v>
      </c>
      <c r="Y3237" s="17" t="e">
        <f aca="false">VLOOKUP(X3237,Sheet2!A:B,2,0)</f>
        <v>#N/A</v>
      </c>
      <c r="Z3237" s="17"/>
      <c r="AA3237" s="17"/>
      <c r="AB3237" s="17" t="s">
        <v>41</v>
      </c>
      <c r="AC3237" s="0" t="str">
        <f aca="false">LEFT(G3237,2)</f>
        <v/>
      </c>
    </row>
    <row r="3238" customFormat="false" ht="15" hidden="false" customHeight="false" outlineLevel="0" collapsed="false">
      <c r="A3238" s="13" t="n">
        <f aca="false">1+A3237</f>
        <v>3236</v>
      </c>
      <c r="B3238" s="14" t="n">
        <v>100</v>
      </c>
      <c r="C3238" s="15"/>
      <c r="D3238" s="16" t="s">
        <v>64</v>
      </c>
      <c r="E3238" s="17" t="s">
        <v>47</v>
      </c>
      <c r="F3238" s="18" t="s">
        <v>34</v>
      </c>
      <c r="G3238" s="19"/>
      <c r="H3238" s="17" t="s">
        <v>35</v>
      </c>
      <c r="I3238" s="17" t="s">
        <v>44</v>
      </c>
      <c r="J3238" s="17"/>
      <c r="K3238" s="17" t="e">
        <f aca="false">VLOOKUP(J3238,Sheet2!A:B,2,0)</f>
        <v>#N/A</v>
      </c>
      <c r="L3238" s="17" t="n">
        <v>5</v>
      </c>
      <c r="M3238" s="17" t="str">
        <f aca="false">VLOOKUP(L3238,Sheet2!D:E,2,0)</f>
        <v>Main Processor CPU BGA</v>
      </c>
      <c r="N3238" s="17" t="n">
        <v>1</v>
      </c>
      <c r="O3238" s="17" t="str">
        <f aca="false">VLOOKUP(N3238,Sheet2!G:H,2,0)</f>
        <v>Dead</v>
      </c>
      <c r="P3238" s="17" t="n">
        <v>11</v>
      </c>
      <c r="Q3238" s="17" t="str">
        <f aca="false">VLOOKUP(P3238,Sheet2!J:K,2,0)</f>
        <v>IR Declared due to CID -TA</v>
      </c>
      <c r="R3238" s="17" t="s">
        <v>35</v>
      </c>
      <c r="S3238" s="17" t="str">
        <f aca="false">VLOOKUP(R3238,Sheet2!N:O,2,0)</f>
        <v>IREPARABLE</v>
      </c>
      <c r="T3238" s="18" t="str">
        <f aca="false">VLOOKUP(P3238,Sheet2!Q:R,2,0)</f>
        <v>IR Normal - Track burn out</v>
      </c>
      <c r="U3238" s="20" t="s">
        <v>41</v>
      </c>
      <c r="V3238" s="17"/>
      <c r="W3238" s="20" t="e">
        <f aca="false">VLOOKUP(V3238,Sheet2!Q:R,2,0)</f>
        <v>#N/A</v>
      </c>
      <c r="X3238" s="17" t="n">
        <f aca="false">J3238</f>
        <v>0</v>
      </c>
      <c r="Y3238" s="17" t="e">
        <f aca="false">VLOOKUP(X3238,Sheet2!A:B,2,0)</f>
        <v>#N/A</v>
      </c>
      <c r="Z3238" s="17"/>
      <c r="AA3238" s="17"/>
      <c r="AB3238" s="17" t="s">
        <v>41</v>
      </c>
      <c r="AC3238" s="0" t="str">
        <f aca="false">LEFT(G3238,2)</f>
        <v/>
      </c>
    </row>
    <row r="3239" customFormat="false" ht="15" hidden="false" customHeight="false" outlineLevel="0" collapsed="false">
      <c r="A3239" s="13" t="n">
        <f aca="false">1+A3238</f>
        <v>3237</v>
      </c>
      <c r="B3239" s="14" t="n">
        <v>100</v>
      </c>
      <c r="C3239" s="15"/>
      <c r="D3239" s="16" t="s">
        <v>64</v>
      </c>
      <c r="E3239" s="17" t="s">
        <v>47</v>
      </c>
      <c r="F3239" s="18" t="s">
        <v>34</v>
      </c>
      <c r="G3239" s="19"/>
      <c r="H3239" s="17" t="s">
        <v>35</v>
      </c>
      <c r="I3239" s="17" t="s">
        <v>44</v>
      </c>
      <c r="J3239" s="17"/>
      <c r="K3239" s="17" t="e">
        <f aca="false">VLOOKUP(J3239,Sheet2!A:B,2,0)</f>
        <v>#N/A</v>
      </c>
      <c r="L3239" s="17" t="n">
        <v>5</v>
      </c>
      <c r="M3239" s="17" t="str">
        <f aca="false">VLOOKUP(L3239,Sheet2!D:E,2,0)</f>
        <v>Main Processor CPU BGA</v>
      </c>
      <c r="N3239" s="17" t="n">
        <v>1</v>
      </c>
      <c r="O3239" s="17" t="str">
        <f aca="false">VLOOKUP(N3239,Sheet2!G:H,2,0)</f>
        <v>Dead</v>
      </c>
      <c r="P3239" s="17" t="n">
        <v>11</v>
      </c>
      <c r="Q3239" s="17" t="str">
        <f aca="false">VLOOKUP(P3239,Sheet2!J:K,2,0)</f>
        <v>IR Declared due to CID -TA</v>
      </c>
      <c r="R3239" s="17" t="s">
        <v>35</v>
      </c>
      <c r="S3239" s="17" t="str">
        <f aca="false">VLOOKUP(R3239,Sheet2!N:O,2,0)</f>
        <v>IREPARABLE</v>
      </c>
      <c r="T3239" s="18" t="str">
        <f aca="false">VLOOKUP(P3239,Sheet2!Q:R,2,0)</f>
        <v>IR Normal - Track burn out</v>
      </c>
      <c r="U3239" s="20" t="s">
        <v>41</v>
      </c>
      <c r="V3239" s="17"/>
      <c r="W3239" s="20" t="e">
        <f aca="false">VLOOKUP(V3239,Sheet2!Q:R,2,0)</f>
        <v>#N/A</v>
      </c>
      <c r="X3239" s="17" t="n">
        <f aca="false">J3239</f>
        <v>0</v>
      </c>
      <c r="Y3239" s="17" t="e">
        <f aca="false">VLOOKUP(X3239,Sheet2!A:B,2,0)</f>
        <v>#N/A</v>
      </c>
      <c r="Z3239" s="17"/>
      <c r="AA3239" s="17"/>
      <c r="AB3239" s="17" t="s">
        <v>41</v>
      </c>
      <c r="AC3239" s="0" t="str">
        <f aca="false">LEFT(G3239,2)</f>
        <v/>
      </c>
    </row>
    <row r="3240" customFormat="false" ht="15" hidden="false" customHeight="false" outlineLevel="0" collapsed="false">
      <c r="A3240" s="13" t="n">
        <f aca="false">1+A3239</f>
        <v>3238</v>
      </c>
      <c r="B3240" s="14" t="n">
        <v>100</v>
      </c>
      <c r="C3240" s="15"/>
      <c r="D3240" s="16" t="s">
        <v>64</v>
      </c>
      <c r="E3240" s="17" t="s">
        <v>47</v>
      </c>
      <c r="F3240" s="18" t="s">
        <v>34</v>
      </c>
      <c r="G3240" s="19"/>
      <c r="H3240" s="17" t="s">
        <v>35</v>
      </c>
      <c r="I3240" s="17" t="s">
        <v>44</v>
      </c>
      <c r="J3240" s="17"/>
      <c r="K3240" s="17" t="e">
        <f aca="false">VLOOKUP(J3240,Sheet2!A:B,2,0)</f>
        <v>#N/A</v>
      </c>
      <c r="L3240" s="17" t="n">
        <v>5</v>
      </c>
      <c r="M3240" s="17" t="str">
        <f aca="false">VLOOKUP(L3240,Sheet2!D:E,2,0)</f>
        <v>Main Processor CPU BGA</v>
      </c>
      <c r="N3240" s="17" t="n">
        <v>1</v>
      </c>
      <c r="O3240" s="17" t="str">
        <f aca="false">VLOOKUP(N3240,Sheet2!G:H,2,0)</f>
        <v>Dead</v>
      </c>
      <c r="P3240" s="17" t="n">
        <v>11</v>
      </c>
      <c r="Q3240" s="17" t="str">
        <f aca="false">VLOOKUP(P3240,Sheet2!J:K,2,0)</f>
        <v>IR Declared due to CID -TA</v>
      </c>
      <c r="R3240" s="17" t="s">
        <v>35</v>
      </c>
      <c r="S3240" s="17" t="str">
        <f aca="false">VLOOKUP(R3240,Sheet2!N:O,2,0)</f>
        <v>IREPARABLE</v>
      </c>
      <c r="T3240" s="18" t="str">
        <f aca="false">VLOOKUP(P3240,Sheet2!Q:R,2,0)</f>
        <v>IR Normal - Track burn out</v>
      </c>
      <c r="U3240" s="20" t="s">
        <v>41</v>
      </c>
      <c r="V3240" s="17"/>
      <c r="W3240" s="20" t="e">
        <f aca="false">VLOOKUP(V3240,Sheet2!Q:R,2,0)</f>
        <v>#N/A</v>
      </c>
      <c r="X3240" s="17" t="n">
        <f aca="false">J3240</f>
        <v>0</v>
      </c>
      <c r="Y3240" s="17" t="e">
        <f aca="false">VLOOKUP(X3240,Sheet2!A:B,2,0)</f>
        <v>#N/A</v>
      </c>
      <c r="Z3240" s="17"/>
      <c r="AA3240" s="17"/>
      <c r="AB3240" s="17" t="s">
        <v>41</v>
      </c>
      <c r="AC3240" s="0" t="str">
        <f aca="false">LEFT(G3240,2)</f>
        <v/>
      </c>
    </row>
    <row r="3241" customFormat="false" ht="15" hidden="false" customHeight="false" outlineLevel="0" collapsed="false">
      <c r="A3241" s="13" t="n">
        <f aca="false">1+A3240</f>
        <v>3239</v>
      </c>
      <c r="B3241" s="14" t="n">
        <v>100</v>
      </c>
      <c r="C3241" s="15"/>
      <c r="D3241" s="16" t="s">
        <v>64</v>
      </c>
      <c r="E3241" s="17" t="s">
        <v>47</v>
      </c>
      <c r="F3241" s="18" t="s">
        <v>34</v>
      </c>
      <c r="G3241" s="19"/>
      <c r="H3241" s="17" t="s">
        <v>35</v>
      </c>
      <c r="I3241" s="17" t="s">
        <v>44</v>
      </c>
      <c r="J3241" s="17"/>
      <c r="K3241" s="17" t="e">
        <f aca="false">VLOOKUP(J3241,Sheet2!A:B,2,0)</f>
        <v>#N/A</v>
      </c>
      <c r="L3241" s="17" t="n">
        <v>5</v>
      </c>
      <c r="M3241" s="17" t="str">
        <f aca="false">VLOOKUP(L3241,Sheet2!D:E,2,0)</f>
        <v>Main Processor CPU BGA</v>
      </c>
      <c r="N3241" s="17" t="n">
        <v>1</v>
      </c>
      <c r="O3241" s="17" t="str">
        <f aca="false">VLOOKUP(N3241,Sheet2!G:H,2,0)</f>
        <v>Dead</v>
      </c>
      <c r="P3241" s="17" t="n">
        <v>11</v>
      </c>
      <c r="Q3241" s="17" t="str">
        <f aca="false">VLOOKUP(P3241,Sheet2!J:K,2,0)</f>
        <v>IR Declared due to CID -TA</v>
      </c>
      <c r="R3241" s="17" t="s">
        <v>35</v>
      </c>
      <c r="S3241" s="17" t="str">
        <f aca="false">VLOOKUP(R3241,Sheet2!N:O,2,0)</f>
        <v>IREPARABLE</v>
      </c>
      <c r="T3241" s="18" t="str">
        <f aca="false">VLOOKUP(P3241,Sheet2!Q:R,2,0)</f>
        <v>IR Normal - Track burn out</v>
      </c>
      <c r="U3241" s="20" t="s">
        <v>41</v>
      </c>
      <c r="V3241" s="17"/>
      <c r="W3241" s="20" t="e">
        <f aca="false">VLOOKUP(V3241,Sheet2!Q:R,2,0)</f>
        <v>#N/A</v>
      </c>
      <c r="X3241" s="17" t="n">
        <f aca="false">J3241</f>
        <v>0</v>
      </c>
      <c r="Y3241" s="17" t="e">
        <f aca="false">VLOOKUP(X3241,Sheet2!A:B,2,0)</f>
        <v>#N/A</v>
      </c>
      <c r="Z3241" s="17"/>
      <c r="AA3241" s="17"/>
      <c r="AB3241" s="17" t="s">
        <v>41</v>
      </c>
      <c r="AC3241" s="0" t="str">
        <f aca="false">LEFT(G3241,2)</f>
        <v/>
      </c>
    </row>
    <row r="3242" customFormat="false" ht="15" hidden="false" customHeight="false" outlineLevel="0" collapsed="false">
      <c r="A3242" s="13" t="n">
        <f aca="false">1+A3241</f>
        <v>3240</v>
      </c>
      <c r="B3242" s="14" t="n">
        <v>100</v>
      </c>
      <c r="C3242" s="15"/>
      <c r="D3242" s="16" t="s">
        <v>64</v>
      </c>
      <c r="E3242" s="17" t="s">
        <v>47</v>
      </c>
      <c r="F3242" s="18" t="s">
        <v>34</v>
      </c>
      <c r="G3242" s="19"/>
      <c r="H3242" s="17" t="s">
        <v>35</v>
      </c>
      <c r="I3242" s="17" t="s">
        <v>44</v>
      </c>
      <c r="J3242" s="17"/>
      <c r="K3242" s="17" t="e">
        <f aca="false">VLOOKUP(J3242,Sheet2!A:B,2,0)</f>
        <v>#N/A</v>
      </c>
      <c r="L3242" s="17" t="n">
        <v>5</v>
      </c>
      <c r="M3242" s="17" t="str">
        <f aca="false">VLOOKUP(L3242,Sheet2!D:E,2,0)</f>
        <v>Main Processor CPU BGA</v>
      </c>
      <c r="N3242" s="17" t="n">
        <v>1</v>
      </c>
      <c r="O3242" s="17" t="str">
        <f aca="false">VLOOKUP(N3242,Sheet2!G:H,2,0)</f>
        <v>Dead</v>
      </c>
      <c r="P3242" s="17" t="n">
        <v>11</v>
      </c>
      <c r="Q3242" s="17" t="str">
        <f aca="false">VLOOKUP(P3242,Sheet2!J:K,2,0)</f>
        <v>IR Declared due to CID -TA</v>
      </c>
      <c r="R3242" s="17" t="s">
        <v>35</v>
      </c>
      <c r="S3242" s="17" t="str">
        <f aca="false">VLOOKUP(R3242,Sheet2!N:O,2,0)</f>
        <v>IREPARABLE</v>
      </c>
      <c r="T3242" s="18" t="str">
        <f aca="false">VLOOKUP(P3242,Sheet2!Q:R,2,0)</f>
        <v>IR Normal - Track burn out</v>
      </c>
      <c r="U3242" s="20" t="s">
        <v>41</v>
      </c>
      <c r="V3242" s="17"/>
      <c r="W3242" s="20" t="e">
        <f aca="false">VLOOKUP(V3242,Sheet2!Q:R,2,0)</f>
        <v>#N/A</v>
      </c>
      <c r="X3242" s="17" t="n">
        <f aca="false">J3242</f>
        <v>0</v>
      </c>
      <c r="Y3242" s="17" t="e">
        <f aca="false">VLOOKUP(X3242,Sheet2!A:B,2,0)</f>
        <v>#N/A</v>
      </c>
      <c r="Z3242" s="17"/>
      <c r="AA3242" s="17"/>
      <c r="AB3242" s="17" t="s">
        <v>41</v>
      </c>
      <c r="AC3242" s="0" t="str">
        <f aca="false">LEFT(G3242,2)</f>
        <v/>
      </c>
    </row>
    <row r="3243" customFormat="false" ht="15" hidden="false" customHeight="false" outlineLevel="0" collapsed="false">
      <c r="A3243" s="13" t="n">
        <f aca="false">1+A3242</f>
        <v>3241</v>
      </c>
      <c r="B3243" s="14" t="n">
        <v>100</v>
      </c>
      <c r="C3243" s="15"/>
      <c r="D3243" s="16" t="s">
        <v>64</v>
      </c>
      <c r="E3243" s="17" t="s">
        <v>47</v>
      </c>
      <c r="F3243" s="18" t="s">
        <v>34</v>
      </c>
      <c r="G3243" s="19"/>
      <c r="H3243" s="17" t="s">
        <v>35</v>
      </c>
      <c r="I3243" s="17" t="s">
        <v>44</v>
      </c>
      <c r="J3243" s="17"/>
      <c r="K3243" s="17" t="e">
        <f aca="false">VLOOKUP(J3243,Sheet2!A:B,2,0)</f>
        <v>#N/A</v>
      </c>
      <c r="L3243" s="17" t="n">
        <v>5</v>
      </c>
      <c r="M3243" s="17" t="str">
        <f aca="false">VLOOKUP(L3243,Sheet2!D:E,2,0)</f>
        <v>Main Processor CPU BGA</v>
      </c>
      <c r="N3243" s="17" t="n">
        <v>1</v>
      </c>
      <c r="O3243" s="17" t="str">
        <f aca="false">VLOOKUP(N3243,Sheet2!G:H,2,0)</f>
        <v>Dead</v>
      </c>
      <c r="P3243" s="17" t="n">
        <v>11</v>
      </c>
      <c r="Q3243" s="17" t="str">
        <f aca="false">VLOOKUP(P3243,Sheet2!J:K,2,0)</f>
        <v>IR Declared due to CID -TA</v>
      </c>
      <c r="R3243" s="17" t="s">
        <v>35</v>
      </c>
      <c r="S3243" s="17" t="str">
        <f aca="false">VLOOKUP(R3243,Sheet2!N:O,2,0)</f>
        <v>IREPARABLE</v>
      </c>
      <c r="T3243" s="18" t="str">
        <f aca="false">VLOOKUP(P3243,Sheet2!Q:R,2,0)</f>
        <v>IR Normal - Track burn out</v>
      </c>
      <c r="U3243" s="20" t="s">
        <v>41</v>
      </c>
      <c r="V3243" s="17"/>
      <c r="W3243" s="20" t="e">
        <f aca="false">VLOOKUP(V3243,Sheet2!Q:R,2,0)</f>
        <v>#N/A</v>
      </c>
      <c r="X3243" s="17" t="n">
        <f aca="false">J3243</f>
        <v>0</v>
      </c>
      <c r="Y3243" s="17" t="e">
        <f aca="false">VLOOKUP(X3243,Sheet2!A:B,2,0)</f>
        <v>#N/A</v>
      </c>
      <c r="Z3243" s="17"/>
      <c r="AA3243" s="17"/>
      <c r="AB3243" s="17" t="s">
        <v>41</v>
      </c>
      <c r="AC3243" s="0" t="str">
        <f aca="false">LEFT(G3243,2)</f>
        <v/>
      </c>
    </row>
    <row r="3244" customFormat="false" ht="15" hidden="false" customHeight="false" outlineLevel="0" collapsed="false">
      <c r="A3244" s="13" t="n">
        <f aca="false">1+A3243</f>
        <v>3242</v>
      </c>
      <c r="B3244" s="14" t="n">
        <v>100</v>
      </c>
      <c r="C3244" s="15"/>
      <c r="D3244" s="16" t="s">
        <v>64</v>
      </c>
      <c r="E3244" s="17" t="s">
        <v>47</v>
      </c>
      <c r="F3244" s="18" t="s">
        <v>34</v>
      </c>
      <c r="G3244" s="19"/>
      <c r="H3244" s="17" t="s">
        <v>35</v>
      </c>
      <c r="I3244" s="17" t="s">
        <v>44</v>
      </c>
      <c r="J3244" s="17"/>
      <c r="K3244" s="17" t="e">
        <f aca="false">VLOOKUP(J3244,Sheet2!A:B,2,0)</f>
        <v>#N/A</v>
      </c>
      <c r="L3244" s="17" t="n">
        <v>5</v>
      </c>
      <c r="M3244" s="17" t="str">
        <f aca="false">VLOOKUP(L3244,Sheet2!D:E,2,0)</f>
        <v>Main Processor CPU BGA</v>
      </c>
      <c r="N3244" s="17" t="n">
        <v>1</v>
      </c>
      <c r="O3244" s="17" t="str">
        <f aca="false">VLOOKUP(N3244,Sheet2!G:H,2,0)</f>
        <v>Dead</v>
      </c>
      <c r="P3244" s="17" t="n">
        <v>11</v>
      </c>
      <c r="Q3244" s="17" t="str">
        <f aca="false">VLOOKUP(P3244,Sheet2!J:K,2,0)</f>
        <v>IR Declared due to CID -TA</v>
      </c>
      <c r="R3244" s="17" t="s">
        <v>35</v>
      </c>
      <c r="S3244" s="17" t="str">
        <f aca="false">VLOOKUP(R3244,Sheet2!N:O,2,0)</f>
        <v>IREPARABLE</v>
      </c>
      <c r="T3244" s="18" t="str">
        <f aca="false">VLOOKUP(P3244,Sheet2!Q:R,2,0)</f>
        <v>IR Normal - Track burn out</v>
      </c>
      <c r="U3244" s="20" t="s">
        <v>41</v>
      </c>
      <c r="V3244" s="17"/>
      <c r="W3244" s="20" t="e">
        <f aca="false">VLOOKUP(V3244,Sheet2!Q:R,2,0)</f>
        <v>#N/A</v>
      </c>
      <c r="X3244" s="17" t="n">
        <f aca="false">J3244</f>
        <v>0</v>
      </c>
      <c r="Y3244" s="17" t="e">
        <f aca="false">VLOOKUP(X3244,Sheet2!A:B,2,0)</f>
        <v>#N/A</v>
      </c>
      <c r="Z3244" s="17"/>
      <c r="AA3244" s="17"/>
      <c r="AB3244" s="17" t="s">
        <v>41</v>
      </c>
      <c r="AC3244" s="0" t="str">
        <f aca="false">LEFT(G3244,2)</f>
        <v/>
      </c>
    </row>
    <row r="3245" customFormat="false" ht="15" hidden="false" customHeight="false" outlineLevel="0" collapsed="false">
      <c r="A3245" s="13" t="n">
        <f aca="false">1+A3244</f>
        <v>3243</v>
      </c>
      <c r="B3245" s="14" t="n">
        <v>100</v>
      </c>
      <c r="C3245" s="15"/>
      <c r="D3245" s="16" t="s">
        <v>64</v>
      </c>
      <c r="E3245" s="17" t="s">
        <v>47</v>
      </c>
      <c r="F3245" s="18" t="s">
        <v>34</v>
      </c>
      <c r="G3245" s="19"/>
      <c r="H3245" s="17" t="s">
        <v>35</v>
      </c>
      <c r="I3245" s="17" t="s">
        <v>44</v>
      </c>
      <c r="J3245" s="17"/>
      <c r="K3245" s="17" t="e">
        <f aca="false">VLOOKUP(J3245,Sheet2!A:B,2,0)</f>
        <v>#N/A</v>
      </c>
      <c r="L3245" s="17" t="n">
        <v>5</v>
      </c>
      <c r="M3245" s="17" t="str">
        <f aca="false">VLOOKUP(L3245,Sheet2!D:E,2,0)</f>
        <v>Main Processor CPU BGA</v>
      </c>
      <c r="N3245" s="17" t="n">
        <v>1</v>
      </c>
      <c r="O3245" s="17" t="str">
        <f aca="false">VLOOKUP(N3245,Sheet2!G:H,2,0)</f>
        <v>Dead</v>
      </c>
      <c r="P3245" s="17" t="n">
        <v>11</v>
      </c>
      <c r="Q3245" s="17" t="str">
        <f aca="false">VLOOKUP(P3245,Sheet2!J:K,2,0)</f>
        <v>IR Declared due to CID -TA</v>
      </c>
      <c r="R3245" s="17" t="s">
        <v>35</v>
      </c>
      <c r="S3245" s="17" t="str">
        <f aca="false">VLOOKUP(R3245,Sheet2!N:O,2,0)</f>
        <v>IREPARABLE</v>
      </c>
      <c r="T3245" s="18" t="str">
        <f aca="false">VLOOKUP(P3245,Sheet2!Q:R,2,0)</f>
        <v>IR Normal - Track burn out</v>
      </c>
      <c r="U3245" s="20" t="s">
        <v>41</v>
      </c>
      <c r="V3245" s="17"/>
      <c r="W3245" s="20" t="e">
        <f aca="false">VLOOKUP(V3245,Sheet2!Q:R,2,0)</f>
        <v>#N/A</v>
      </c>
      <c r="X3245" s="17" t="n">
        <f aca="false">J3245</f>
        <v>0</v>
      </c>
      <c r="Y3245" s="17" t="e">
        <f aca="false">VLOOKUP(X3245,Sheet2!A:B,2,0)</f>
        <v>#N/A</v>
      </c>
      <c r="Z3245" s="17"/>
      <c r="AA3245" s="17"/>
      <c r="AB3245" s="17" t="s">
        <v>41</v>
      </c>
      <c r="AC3245" s="0" t="str">
        <f aca="false">LEFT(G3245,2)</f>
        <v/>
      </c>
    </row>
    <row r="3246" customFormat="false" ht="15" hidden="false" customHeight="false" outlineLevel="0" collapsed="false">
      <c r="A3246" s="13" t="n">
        <f aca="false">1+A3245</f>
        <v>3244</v>
      </c>
      <c r="B3246" s="14" t="n">
        <v>100</v>
      </c>
      <c r="C3246" s="15"/>
      <c r="D3246" s="16" t="s">
        <v>64</v>
      </c>
      <c r="E3246" s="17" t="s">
        <v>47</v>
      </c>
      <c r="F3246" s="18" t="s">
        <v>34</v>
      </c>
      <c r="G3246" s="19"/>
      <c r="H3246" s="17" t="s">
        <v>35</v>
      </c>
      <c r="I3246" s="17" t="s">
        <v>44</v>
      </c>
      <c r="J3246" s="17"/>
      <c r="K3246" s="17" t="e">
        <f aca="false">VLOOKUP(J3246,Sheet2!A:B,2,0)</f>
        <v>#N/A</v>
      </c>
      <c r="L3246" s="17" t="n">
        <v>5</v>
      </c>
      <c r="M3246" s="17" t="str">
        <f aca="false">VLOOKUP(L3246,Sheet2!D:E,2,0)</f>
        <v>Main Processor CPU BGA</v>
      </c>
      <c r="N3246" s="17" t="n">
        <v>1</v>
      </c>
      <c r="O3246" s="17" t="str">
        <f aca="false">VLOOKUP(N3246,Sheet2!G:H,2,0)</f>
        <v>Dead</v>
      </c>
      <c r="P3246" s="17" t="n">
        <v>11</v>
      </c>
      <c r="Q3246" s="17" t="str">
        <f aca="false">VLOOKUP(P3246,Sheet2!J:K,2,0)</f>
        <v>IR Declared due to CID -TA</v>
      </c>
      <c r="R3246" s="17" t="s">
        <v>35</v>
      </c>
      <c r="S3246" s="17" t="str">
        <f aca="false">VLOOKUP(R3246,Sheet2!N:O,2,0)</f>
        <v>IREPARABLE</v>
      </c>
      <c r="T3246" s="18" t="str">
        <f aca="false">VLOOKUP(P3246,Sheet2!Q:R,2,0)</f>
        <v>IR Normal - Track burn out</v>
      </c>
      <c r="U3246" s="20" t="s">
        <v>41</v>
      </c>
      <c r="V3246" s="17"/>
      <c r="W3246" s="20" t="e">
        <f aca="false">VLOOKUP(V3246,Sheet2!Q:R,2,0)</f>
        <v>#N/A</v>
      </c>
      <c r="X3246" s="17" t="n">
        <f aca="false">J3246</f>
        <v>0</v>
      </c>
      <c r="Y3246" s="17" t="e">
        <f aca="false">VLOOKUP(X3246,Sheet2!A:B,2,0)</f>
        <v>#N/A</v>
      </c>
      <c r="Z3246" s="17"/>
      <c r="AA3246" s="17"/>
      <c r="AB3246" s="17" t="s">
        <v>41</v>
      </c>
      <c r="AC3246" s="0" t="str">
        <f aca="false">LEFT(G3246,2)</f>
        <v/>
      </c>
    </row>
    <row r="3247" customFormat="false" ht="15" hidden="false" customHeight="false" outlineLevel="0" collapsed="false">
      <c r="A3247" s="13" t="n">
        <f aca="false">1+A3246</f>
        <v>3245</v>
      </c>
      <c r="B3247" s="14" t="n">
        <v>100</v>
      </c>
      <c r="C3247" s="15"/>
      <c r="D3247" s="16" t="s">
        <v>64</v>
      </c>
      <c r="E3247" s="17" t="s">
        <v>47</v>
      </c>
      <c r="F3247" s="18" t="s">
        <v>34</v>
      </c>
      <c r="G3247" s="19"/>
      <c r="H3247" s="17" t="s">
        <v>35</v>
      </c>
      <c r="I3247" s="17" t="s">
        <v>44</v>
      </c>
      <c r="J3247" s="17"/>
      <c r="K3247" s="17" t="e">
        <f aca="false">VLOOKUP(J3247,Sheet2!A:B,2,0)</f>
        <v>#N/A</v>
      </c>
      <c r="L3247" s="17" t="n">
        <v>5</v>
      </c>
      <c r="M3247" s="17" t="str">
        <f aca="false">VLOOKUP(L3247,Sheet2!D:E,2,0)</f>
        <v>Main Processor CPU BGA</v>
      </c>
      <c r="N3247" s="17" t="n">
        <v>1</v>
      </c>
      <c r="O3247" s="17" t="str">
        <f aca="false">VLOOKUP(N3247,Sheet2!G:H,2,0)</f>
        <v>Dead</v>
      </c>
      <c r="P3247" s="17" t="n">
        <v>11</v>
      </c>
      <c r="Q3247" s="17" t="str">
        <f aca="false">VLOOKUP(P3247,Sheet2!J:K,2,0)</f>
        <v>IR Declared due to CID -TA</v>
      </c>
      <c r="R3247" s="17" t="s">
        <v>35</v>
      </c>
      <c r="S3247" s="17" t="str">
        <f aca="false">VLOOKUP(R3247,Sheet2!N:O,2,0)</f>
        <v>IREPARABLE</v>
      </c>
      <c r="T3247" s="18" t="str">
        <f aca="false">VLOOKUP(P3247,Sheet2!Q:R,2,0)</f>
        <v>IR Normal - Track burn out</v>
      </c>
      <c r="U3247" s="20" t="s">
        <v>41</v>
      </c>
      <c r="V3247" s="17"/>
      <c r="W3247" s="20" t="e">
        <f aca="false">VLOOKUP(V3247,Sheet2!Q:R,2,0)</f>
        <v>#N/A</v>
      </c>
      <c r="X3247" s="17" t="n">
        <f aca="false">J3247</f>
        <v>0</v>
      </c>
      <c r="Y3247" s="17" t="e">
        <f aca="false">VLOOKUP(X3247,Sheet2!A:B,2,0)</f>
        <v>#N/A</v>
      </c>
      <c r="Z3247" s="17"/>
      <c r="AA3247" s="17"/>
      <c r="AB3247" s="17" t="s">
        <v>41</v>
      </c>
      <c r="AC3247" s="0" t="str">
        <f aca="false">LEFT(G3247,2)</f>
        <v/>
      </c>
    </row>
    <row r="3248" customFormat="false" ht="15" hidden="false" customHeight="false" outlineLevel="0" collapsed="false">
      <c r="A3248" s="13" t="n">
        <f aca="false">1+A3247</f>
        <v>3246</v>
      </c>
      <c r="B3248" s="14" t="n">
        <v>100</v>
      </c>
      <c r="C3248" s="15"/>
      <c r="D3248" s="16" t="s">
        <v>64</v>
      </c>
      <c r="E3248" s="17" t="s">
        <v>47</v>
      </c>
      <c r="F3248" s="18" t="s">
        <v>34</v>
      </c>
      <c r="G3248" s="19"/>
      <c r="H3248" s="17" t="s">
        <v>35</v>
      </c>
      <c r="I3248" s="17" t="s">
        <v>44</v>
      </c>
      <c r="J3248" s="17"/>
      <c r="K3248" s="17" t="e">
        <f aca="false">VLOOKUP(J3248,Sheet2!A:B,2,0)</f>
        <v>#N/A</v>
      </c>
      <c r="L3248" s="17" t="n">
        <v>5</v>
      </c>
      <c r="M3248" s="17" t="str">
        <f aca="false">VLOOKUP(L3248,Sheet2!D:E,2,0)</f>
        <v>Main Processor CPU BGA</v>
      </c>
      <c r="N3248" s="17" t="n">
        <v>1</v>
      </c>
      <c r="O3248" s="17" t="str">
        <f aca="false">VLOOKUP(N3248,Sheet2!G:H,2,0)</f>
        <v>Dead</v>
      </c>
      <c r="P3248" s="17" t="n">
        <v>11</v>
      </c>
      <c r="Q3248" s="17" t="str">
        <f aca="false">VLOOKUP(P3248,Sheet2!J:K,2,0)</f>
        <v>IR Declared due to CID -TA</v>
      </c>
      <c r="R3248" s="17" t="s">
        <v>35</v>
      </c>
      <c r="S3248" s="17" t="str">
        <f aca="false">VLOOKUP(R3248,Sheet2!N:O,2,0)</f>
        <v>IREPARABLE</v>
      </c>
      <c r="T3248" s="18" t="str">
        <f aca="false">VLOOKUP(P3248,Sheet2!Q:R,2,0)</f>
        <v>IR Normal - Track burn out</v>
      </c>
      <c r="U3248" s="20" t="s">
        <v>41</v>
      </c>
      <c r="V3248" s="17"/>
      <c r="W3248" s="20" t="e">
        <f aca="false">VLOOKUP(V3248,Sheet2!Q:R,2,0)</f>
        <v>#N/A</v>
      </c>
      <c r="X3248" s="17" t="n">
        <f aca="false">J3248</f>
        <v>0</v>
      </c>
      <c r="Y3248" s="17" t="e">
        <f aca="false">VLOOKUP(X3248,Sheet2!A:B,2,0)</f>
        <v>#N/A</v>
      </c>
      <c r="Z3248" s="17"/>
      <c r="AA3248" s="17"/>
      <c r="AB3248" s="17" t="s">
        <v>41</v>
      </c>
      <c r="AC3248" s="0" t="str">
        <f aca="false">LEFT(G3248,2)</f>
        <v/>
      </c>
    </row>
    <row r="3249" customFormat="false" ht="15" hidden="false" customHeight="false" outlineLevel="0" collapsed="false">
      <c r="A3249" s="13" t="n">
        <f aca="false">1+A3248</f>
        <v>3247</v>
      </c>
      <c r="B3249" s="14" t="n">
        <v>100</v>
      </c>
      <c r="C3249" s="15"/>
      <c r="D3249" s="16" t="s">
        <v>64</v>
      </c>
      <c r="E3249" s="17" t="s">
        <v>47</v>
      </c>
      <c r="F3249" s="18" t="s">
        <v>34</v>
      </c>
      <c r="G3249" s="19"/>
      <c r="H3249" s="17" t="s">
        <v>35</v>
      </c>
      <c r="I3249" s="17" t="s">
        <v>44</v>
      </c>
      <c r="J3249" s="17"/>
      <c r="K3249" s="17" t="e">
        <f aca="false">VLOOKUP(J3249,Sheet2!A:B,2,0)</f>
        <v>#N/A</v>
      </c>
      <c r="L3249" s="17" t="n">
        <v>5</v>
      </c>
      <c r="M3249" s="17" t="str">
        <f aca="false">VLOOKUP(L3249,Sheet2!D:E,2,0)</f>
        <v>Main Processor CPU BGA</v>
      </c>
      <c r="N3249" s="17" t="n">
        <v>1</v>
      </c>
      <c r="O3249" s="17" t="str">
        <f aca="false">VLOOKUP(N3249,Sheet2!G:H,2,0)</f>
        <v>Dead</v>
      </c>
      <c r="P3249" s="17" t="n">
        <v>11</v>
      </c>
      <c r="Q3249" s="17" t="str">
        <f aca="false">VLOOKUP(P3249,Sheet2!J:K,2,0)</f>
        <v>IR Declared due to CID -TA</v>
      </c>
      <c r="R3249" s="17" t="s">
        <v>35</v>
      </c>
      <c r="S3249" s="17" t="str">
        <f aca="false">VLOOKUP(R3249,Sheet2!N:O,2,0)</f>
        <v>IREPARABLE</v>
      </c>
      <c r="T3249" s="18" t="str">
        <f aca="false">VLOOKUP(P3249,Sheet2!Q:R,2,0)</f>
        <v>IR Normal - Track burn out</v>
      </c>
      <c r="U3249" s="20" t="s">
        <v>41</v>
      </c>
      <c r="V3249" s="17"/>
      <c r="W3249" s="20" t="e">
        <f aca="false">VLOOKUP(V3249,Sheet2!Q:R,2,0)</f>
        <v>#N/A</v>
      </c>
      <c r="X3249" s="17" t="n">
        <f aca="false">J3249</f>
        <v>0</v>
      </c>
      <c r="Y3249" s="17" t="e">
        <f aca="false">VLOOKUP(X3249,Sheet2!A:B,2,0)</f>
        <v>#N/A</v>
      </c>
      <c r="Z3249" s="17"/>
      <c r="AA3249" s="17"/>
      <c r="AB3249" s="17" t="s">
        <v>41</v>
      </c>
      <c r="AC3249" s="0" t="str">
        <f aca="false">LEFT(G3249,2)</f>
        <v/>
      </c>
    </row>
    <row r="3250" customFormat="false" ht="15" hidden="false" customHeight="false" outlineLevel="0" collapsed="false">
      <c r="A3250" s="13" t="n">
        <f aca="false">1+A3249</f>
        <v>3248</v>
      </c>
      <c r="B3250" s="14" t="n">
        <v>100</v>
      </c>
      <c r="C3250" s="15"/>
      <c r="D3250" s="16" t="s">
        <v>64</v>
      </c>
      <c r="E3250" s="17" t="s">
        <v>47</v>
      </c>
      <c r="F3250" s="18" t="s">
        <v>34</v>
      </c>
      <c r="G3250" s="19"/>
      <c r="H3250" s="17" t="s">
        <v>35</v>
      </c>
      <c r="I3250" s="17" t="s">
        <v>44</v>
      </c>
      <c r="J3250" s="17"/>
      <c r="K3250" s="17" t="e">
        <f aca="false">VLOOKUP(J3250,Sheet2!A:B,2,0)</f>
        <v>#N/A</v>
      </c>
      <c r="L3250" s="17" t="n">
        <v>5</v>
      </c>
      <c r="M3250" s="17" t="str">
        <f aca="false">VLOOKUP(L3250,Sheet2!D:E,2,0)</f>
        <v>Main Processor CPU BGA</v>
      </c>
      <c r="N3250" s="17" t="n">
        <v>1</v>
      </c>
      <c r="O3250" s="17" t="str">
        <f aca="false">VLOOKUP(N3250,Sheet2!G:H,2,0)</f>
        <v>Dead</v>
      </c>
      <c r="P3250" s="17" t="n">
        <v>11</v>
      </c>
      <c r="Q3250" s="17" t="str">
        <f aca="false">VLOOKUP(P3250,Sheet2!J:K,2,0)</f>
        <v>IR Declared due to CID -TA</v>
      </c>
      <c r="R3250" s="17" t="s">
        <v>35</v>
      </c>
      <c r="S3250" s="17" t="str">
        <f aca="false">VLOOKUP(R3250,Sheet2!N:O,2,0)</f>
        <v>IREPARABLE</v>
      </c>
      <c r="T3250" s="18" t="str">
        <f aca="false">VLOOKUP(P3250,Sheet2!Q:R,2,0)</f>
        <v>IR Normal - Track burn out</v>
      </c>
      <c r="U3250" s="20" t="s">
        <v>41</v>
      </c>
      <c r="V3250" s="17"/>
      <c r="W3250" s="20" t="e">
        <f aca="false">VLOOKUP(V3250,Sheet2!Q:R,2,0)</f>
        <v>#N/A</v>
      </c>
      <c r="X3250" s="17" t="n">
        <f aca="false">J3250</f>
        <v>0</v>
      </c>
      <c r="Y3250" s="17" t="e">
        <f aca="false">VLOOKUP(X3250,Sheet2!A:B,2,0)</f>
        <v>#N/A</v>
      </c>
      <c r="Z3250" s="17"/>
      <c r="AA3250" s="17"/>
      <c r="AB3250" s="17" t="s">
        <v>41</v>
      </c>
      <c r="AC3250" s="0" t="str">
        <f aca="false">LEFT(G3250,2)</f>
        <v/>
      </c>
    </row>
    <row r="3251" customFormat="false" ht="15" hidden="false" customHeight="false" outlineLevel="0" collapsed="false">
      <c r="A3251" s="13" t="n">
        <f aca="false">1+A3250</f>
        <v>3249</v>
      </c>
      <c r="B3251" s="14" t="n">
        <v>100</v>
      </c>
      <c r="C3251" s="15"/>
      <c r="D3251" s="16" t="s">
        <v>64</v>
      </c>
      <c r="E3251" s="17" t="s">
        <v>47</v>
      </c>
      <c r="F3251" s="18" t="s">
        <v>34</v>
      </c>
      <c r="G3251" s="19"/>
      <c r="H3251" s="17" t="s">
        <v>35</v>
      </c>
      <c r="I3251" s="17" t="s">
        <v>44</v>
      </c>
      <c r="J3251" s="17"/>
      <c r="K3251" s="17" t="e">
        <f aca="false">VLOOKUP(J3251,Sheet2!A:B,2,0)</f>
        <v>#N/A</v>
      </c>
      <c r="L3251" s="17" t="n">
        <v>5</v>
      </c>
      <c r="M3251" s="17" t="str">
        <f aca="false">VLOOKUP(L3251,Sheet2!D:E,2,0)</f>
        <v>Main Processor CPU BGA</v>
      </c>
      <c r="N3251" s="17" t="n">
        <v>1</v>
      </c>
      <c r="O3251" s="17" t="str">
        <f aca="false">VLOOKUP(N3251,Sheet2!G:H,2,0)</f>
        <v>Dead</v>
      </c>
      <c r="P3251" s="17" t="n">
        <v>11</v>
      </c>
      <c r="Q3251" s="17" t="str">
        <f aca="false">VLOOKUP(P3251,Sheet2!J:K,2,0)</f>
        <v>IR Declared due to CID -TA</v>
      </c>
      <c r="R3251" s="17" t="s">
        <v>35</v>
      </c>
      <c r="S3251" s="17" t="str">
        <f aca="false">VLOOKUP(R3251,Sheet2!N:O,2,0)</f>
        <v>IREPARABLE</v>
      </c>
      <c r="T3251" s="18" t="str">
        <f aca="false">VLOOKUP(P3251,Sheet2!Q:R,2,0)</f>
        <v>IR Normal - Track burn out</v>
      </c>
      <c r="U3251" s="20" t="s">
        <v>41</v>
      </c>
      <c r="V3251" s="17"/>
      <c r="W3251" s="20" t="e">
        <f aca="false">VLOOKUP(V3251,Sheet2!Q:R,2,0)</f>
        <v>#N/A</v>
      </c>
      <c r="X3251" s="17" t="n">
        <f aca="false">J3251</f>
        <v>0</v>
      </c>
      <c r="Y3251" s="17" t="e">
        <f aca="false">VLOOKUP(X3251,Sheet2!A:B,2,0)</f>
        <v>#N/A</v>
      </c>
      <c r="Z3251" s="17"/>
      <c r="AA3251" s="17"/>
      <c r="AB3251" s="17" t="s">
        <v>41</v>
      </c>
      <c r="AC3251" s="0" t="str">
        <f aca="false">LEFT(G3251,2)</f>
        <v/>
      </c>
    </row>
    <row r="3252" customFormat="false" ht="15" hidden="false" customHeight="false" outlineLevel="0" collapsed="false">
      <c r="A3252" s="13" t="n">
        <f aca="false">1+A3251</f>
        <v>3250</v>
      </c>
      <c r="B3252" s="14" t="n">
        <v>100</v>
      </c>
      <c r="C3252" s="15"/>
      <c r="D3252" s="16" t="s">
        <v>64</v>
      </c>
      <c r="E3252" s="17" t="s">
        <v>47</v>
      </c>
      <c r="F3252" s="18" t="s">
        <v>34</v>
      </c>
      <c r="G3252" s="19"/>
      <c r="H3252" s="17" t="s">
        <v>35</v>
      </c>
      <c r="I3252" s="17" t="s">
        <v>44</v>
      </c>
      <c r="J3252" s="17"/>
      <c r="K3252" s="17" t="e">
        <f aca="false">VLOOKUP(J3252,Sheet2!A:B,2,0)</f>
        <v>#N/A</v>
      </c>
      <c r="L3252" s="17" t="n">
        <v>5</v>
      </c>
      <c r="M3252" s="17" t="str">
        <f aca="false">VLOOKUP(L3252,Sheet2!D:E,2,0)</f>
        <v>Main Processor CPU BGA</v>
      </c>
      <c r="N3252" s="17" t="n">
        <v>1</v>
      </c>
      <c r="O3252" s="17" t="str">
        <f aca="false">VLOOKUP(N3252,Sheet2!G:H,2,0)</f>
        <v>Dead</v>
      </c>
      <c r="P3252" s="17" t="n">
        <v>11</v>
      </c>
      <c r="Q3252" s="17" t="str">
        <f aca="false">VLOOKUP(P3252,Sheet2!J:K,2,0)</f>
        <v>IR Declared due to CID -TA</v>
      </c>
      <c r="R3252" s="17" t="s">
        <v>35</v>
      </c>
      <c r="S3252" s="17" t="str">
        <f aca="false">VLOOKUP(R3252,Sheet2!N:O,2,0)</f>
        <v>IREPARABLE</v>
      </c>
      <c r="T3252" s="18" t="str">
        <f aca="false">VLOOKUP(P3252,Sheet2!Q:R,2,0)</f>
        <v>IR Normal - Track burn out</v>
      </c>
      <c r="U3252" s="20" t="s">
        <v>41</v>
      </c>
      <c r="V3252" s="17"/>
      <c r="W3252" s="20" t="e">
        <f aca="false">VLOOKUP(V3252,Sheet2!Q:R,2,0)</f>
        <v>#N/A</v>
      </c>
      <c r="X3252" s="17" t="n">
        <f aca="false">J3252</f>
        <v>0</v>
      </c>
      <c r="Y3252" s="17" t="e">
        <f aca="false">VLOOKUP(X3252,Sheet2!A:B,2,0)</f>
        <v>#N/A</v>
      </c>
      <c r="Z3252" s="17"/>
      <c r="AA3252" s="17"/>
      <c r="AB3252" s="17" t="s">
        <v>41</v>
      </c>
      <c r="AC3252" s="0" t="str">
        <f aca="false">LEFT(G3252,2)</f>
        <v/>
      </c>
    </row>
    <row r="3253" customFormat="false" ht="15" hidden="false" customHeight="false" outlineLevel="0" collapsed="false">
      <c r="A3253" s="13" t="n">
        <f aca="false">1+A3252</f>
        <v>3251</v>
      </c>
      <c r="B3253" s="14" t="n">
        <v>100</v>
      </c>
      <c r="C3253" s="15"/>
      <c r="D3253" s="16" t="s">
        <v>64</v>
      </c>
      <c r="E3253" s="17" t="s">
        <v>47</v>
      </c>
      <c r="F3253" s="18" t="s">
        <v>34</v>
      </c>
      <c r="G3253" s="19"/>
      <c r="H3253" s="17" t="s">
        <v>35</v>
      </c>
      <c r="I3253" s="17" t="s">
        <v>44</v>
      </c>
      <c r="J3253" s="17"/>
      <c r="K3253" s="17" t="e">
        <f aca="false">VLOOKUP(J3253,Sheet2!A:B,2,0)</f>
        <v>#N/A</v>
      </c>
      <c r="L3253" s="17" t="n">
        <v>5</v>
      </c>
      <c r="M3253" s="17" t="str">
        <f aca="false">VLOOKUP(L3253,Sheet2!D:E,2,0)</f>
        <v>Main Processor CPU BGA</v>
      </c>
      <c r="N3253" s="17" t="n">
        <v>1</v>
      </c>
      <c r="O3253" s="17" t="str">
        <f aca="false">VLOOKUP(N3253,Sheet2!G:H,2,0)</f>
        <v>Dead</v>
      </c>
      <c r="P3253" s="17" t="n">
        <v>11</v>
      </c>
      <c r="Q3253" s="17" t="str">
        <f aca="false">VLOOKUP(P3253,Sheet2!J:K,2,0)</f>
        <v>IR Declared due to CID -TA</v>
      </c>
      <c r="R3253" s="17" t="s">
        <v>35</v>
      </c>
      <c r="S3253" s="17" t="str">
        <f aca="false">VLOOKUP(R3253,Sheet2!N:O,2,0)</f>
        <v>IREPARABLE</v>
      </c>
      <c r="T3253" s="18" t="str">
        <f aca="false">VLOOKUP(P3253,Sheet2!Q:R,2,0)</f>
        <v>IR Normal - Track burn out</v>
      </c>
      <c r="U3253" s="20" t="s">
        <v>41</v>
      </c>
      <c r="V3253" s="17"/>
      <c r="W3253" s="20" t="e">
        <f aca="false">VLOOKUP(V3253,Sheet2!Q:R,2,0)</f>
        <v>#N/A</v>
      </c>
      <c r="X3253" s="17" t="n">
        <f aca="false">J3253</f>
        <v>0</v>
      </c>
      <c r="Y3253" s="17" t="e">
        <f aca="false">VLOOKUP(X3253,Sheet2!A:B,2,0)</f>
        <v>#N/A</v>
      </c>
      <c r="Z3253" s="17"/>
      <c r="AA3253" s="17"/>
      <c r="AB3253" s="17" t="s">
        <v>41</v>
      </c>
      <c r="AC3253" s="0" t="str">
        <f aca="false">LEFT(G3253,2)</f>
        <v/>
      </c>
    </row>
    <row r="3254" customFormat="false" ht="15" hidden="false" customHeight="false" outlineLevel="0" collapsed="false">
      <c r="A3254" s="13" t="n">
        <f aca="false">1+A3253</f>
        <v>3252</v>
      </c>
      <c r="B3254" s="14" t="n">
        <v>100</v>
      </c>
      <c r="C3254" s="15"/>
      <c r="D3254" s="16" t="s">
        <v>64</v>
      </c>
      <c r="E3254" s="17" t="s">
        <v>47</v>
      </c>
      <c r="F3254" s="18" t="s">
        <v>34</v>
      </c>
      <c r="G3254" s="19"/>
      <c r="H3254" s="17" t="s">
        <v>35</v>
      </c>
      <c r="I3254" s="17" t="s">
        <v>44</v>
      </c>
      <c r="J3254" s="17"/>
      <c r="K3254" s="17" t="e">
        <f aca="false">VLOOKUP(J3254,Sheet2!A:B,2,0)</f>
        <v>#N/A</v>
      </c>
      <c r="L3254" s="17" t="n">
        <v>5</v>
      </c>
      <c r="M3254" s="17" t="str">
        <f aca="false">VLOOKUP(L3254,Sheet2!D:E,2,0)</f>
        <v>Main Processor CPU BGA</v>
      </c>
      <c r="N3254" s="17" t="n">
        <v>1</v>
      </c>
      <c r="O3254" s="17" t="str">
        <f aca="false">VLOOKUP(N3254,Sheet2!G:H,2,0)</f>
        <v>Dead</v>
      </c>
      <c r="P3254" s="17" t="n">
        <v>11</v>
      </c>
      <c r="Q3254" s="17" t="str">
        <f aca="false">VLOOKUP(P3254,Sheet2!J:K,2,0)</f>
        <v>IR Declared due to CID -TA</v>
      </c>
      <c r="R3254" s="17" t="s">
        <v>35</v>
      </c>
      <c r="S3254" s="17" t="str">
        <f aca="false">VLOOKUP(R3254,Sheet2!N:O,2,0)</f>
        <v>IREPARABLE</v>
      </c>
      <c r="T3254" s="18" t="str">
        <f aca="false">VLOOKUP(P3254,Sheet2!Q:R,2,0)</f>
        <v>IR Normal - Track burn out</v>
      </c>
      <c r="U3254" s="20" t="s">
        <v>41</v>
      </c>
      <c r="V3254" s="17"/>
      <c r="W3254" s="20" t="e">
        <f aca="false">VLOOKUP(V3254,Sheet2!Q:R,2,0)</f>
        <v>#N/A</v>
      </c>
      <c r="X3254" s="17" t="n">
        <f aca="false">J3254</f>
        <v>0</v>
      </c>
      <c r="Y3254" s="17" t="e">
        <f aca="false">VLOOKUP(X3254,Sheet2!A:B,2,0)</f>
        <v>#N/A</v>
      </c>
      <c r="Z3254" s="17"/>
      <c r="AA3254" s="17"/>
      <c r="AB3254" s="17" t="s">
        <v>41</v>
      </c>
      <c r="AC3254" s="0" t="str">
        <f aca="false">LEFT(G3254,2)</f>
        <v/>
      </c>
    </row>
    <row r="3255" customFormat="false" ht="15" hidden="false" customHeight="false" outlineLevel="0" collapsed="false">
      <c r="A3255" s="13" t="n">
        <f aca="false">1+A3254</f>
        <v>3253</v>
      </c>
      <c r="B3255" s="14" t="n">
        <v>100</v>
      </c>
      <c r="C3255" s="15"/>
      <c r="D3255" s="16" t="s">
        <v>64</v>
      </c>
      <c r="E3255" s="17" t="s">
        <v>47</v>
      </c>
      <c r="F3255" s="18" t="s">
        <v>34</v>
      </c>
      <c r="G3255" s="19"/>
      <c r="H3255" s="17" t="s">
        <v>35</v>
      </c>
      <c r="I3255" s="17" t="s">
        <v>44</v>
      </c>
      <c r="J3255" s="17"/>
      <c r="K3255" s="17" t="e">
        <f aca="false">VLOOKUP(J3255,Sheet2!A:B,2,0)</f>
        <v>#N/A</v>
      </c>
      <c r="L3255" s="17" t="n">
        <v>5</v>
      </c>
      <c r="M3255" s="17" t="str">
        <f aca="false">VLOOKUP(L3255,Sheet2!D:E,2,0)</f>
        <v>Main Processor CPU BGA</v>
      </c>
      <c r="N3255" s="17" t="n">
        <v>1</v>
      </c>
      <c r="O3255" s="17" t="str">
        <f aca="false">VLOOKUP(N3255,Sheet2!G:H,2,0)</f>
        <v>Dead</v>
      </c>
      <c r="P3255" s="17" t="n">
        <v>11</v>
      </c>
      <c r="Q3255" s="17" t="str">
        <f aca="false">VLOOKUP(P3255,Sheet2!J:K,2,0)</f>
        <v>IR Declared due to CID -TA</v>
      </c>
      <c r="R3255" s="17" t="s">
        <v>35</v>
      </c>
      <c r="S3255" s="17" t="str">
        <f aca="false">VLOOKUP(R3255,Sheet2!N:O,2,0)</f>
        <v>IREPARABLE</v>
      </c>
      <c r="T3255" s="18" t="str">
        <f aca="false">VLOOKUP(P3255,Sheet2!Q:R,2,0)</f>
        <v>IR Normal - Track burn out</v>
      </c>
      <c r="U3255" s="20" t="s">
        <v>41</v>
      </c>
      <c r="V3255" s="17"/>
      <c r="W3255" s="20" t="e">
        <f aca="false">VLOOKUP(V3255,Sheet2!Q:R,2,0)</f>
        <v>#N/A</v>
      </c>
      <c r="X3255" s="17" t="n">
        <f aca="false">J3255</f>
        <v>0</v>
      </c>
      <c r="Y3255" s="17" t="e">
        <f aca="false">VLOOKUP(X3255,Sheet2!A:B,2,0)</f>
        <v>#N/A</v>
      </c>
      <c r="Z3255" s="17"/>
      <c r="AA3255" s="17"/>
      <c r="AB3255" s="17" t="s">
        <v>41</v>
      </c>
      <c r="AC3255" s="0" t="str">
        <f aca="false">LEFT(G3255,2)</f>
        <v/>
      </c>
    </row>
    <row r="3256" customFormat="false" ht="15" hidden="false" customHeight="false" outlineLevel="0" collapsed="false">
      <c r="A3256" s="13" t="n">
        <f aca="false">1+A3255</f>
        <v>3254</v>
      </c>
      <c r="B3256" s="14" t="n">
        <v>100</v>
      </c>
      <c r="C3256" s="15"/>
      <c r="D3256" s="16" t="s">
        <v>64</v>
      </c>
      <c r="E3256" s="17" t="s">
        <v>47</v>
      </c>
      <c r="F3256" s="18" t="s">
        <v>34</v>
      </c>
      <c r="G3256" s="19"/>
      <c r="H3256" s="17" t="s">
        <v>35</v>
      </c>
      <c r="I3256" s="17" t="s">
        <v>44</v>
      </c>
      <c r="J3256" s="17"/>
      <c r="K3256" s="17" t="e">
        <f aca="false">VLOOKUP(J3256,Sheet2!A:B,2,0)</f>
        <v>#N/A</v>
      </c>
      <c r="L3256" s="17" t="n">
        <v>5</v>
      </c>
      <c r="M3256" s="17" t="str">
        <f aca="false">VLOOKUP(L3256,Sheet2!D:E,2,0)</f>
        <v>Main Processor CPU BGA</v>
      </c>
      <c r="N3256" s="17" t="n">
        <v>1</v>
      </c>
      <c r="O3256" s="17" t="str">
        <f aca="false">VLOOKUP(N3256,Sheet2!G:H,2,0)</f>
        <v>Dead</v>
      </c>
      <c r="P3256" s="17" t="n">
        <v>11</v>
      </c>
      <c r="Q3256" s="17" t="str">
        <f aca="false">VLOOKUP(P3256,Sheet2!J:K,2,0)</f>
        <v>IR Declared due to CID -TA</v>
      </c>
      <c r="R3256" s="17" t="s">
        <v>35</v>
      </c>
      <c r="S3256" s="17" t="str">
        <f aca="false">VLOOKUP(R3256,Sheet2!N:O,2,0)</f>
        <v>IREPARABLE</v>
      </c>
      <c r="T3256" s="18" t="str">
        <f aca="false">VLOOKUP(P3256,Sheet2!Q:R,2,0)</f>
        <v>IR Normal - Track burn out</v>
      </c>
      <c r="U3256" s="20" t="s">
        <v>41</v>
      </c>
      <c r="V3256" s="17"/>
      <c r="W3256" s="20" t="e">
        <f aca="false">VLOOKUP(V3256,Sheet2!Q:R,2,0)</f>
        <v>#N/A</v>
      </c>
      <c r="X3256" s="17" t="n">
        <f aca="false">J3256</f>
        <v>0</v>
      </c>
      <c r="Y3256" s="17" t="e">
        <f aca="false">VLOOKUP(X3256,Sheet2!A:B,2,0)</f>
        <v>#N/A</v>
      </c>
      <c r="Z3256" s="17"/>
      <c r="AA3256" s="17"/>
      <c r="AB3256" s="17" t="s">
        <v>41</v>
      </c>
      <c r="AC3256" s="0" t="str">
        <f aca="false">LEFT(G3256,2)</f>
        <v/>
      </c>
    </row>
    <row r="3257" customFormat="false" ht="15" hidden="false" customHeight="false" outlineLevel="0" collapsed="false">
      <c r="A3257" s="13" t="n">
        <f aca="false">1+A3256</f>
        <v>3255</v>
      </c>
      <c r="B3257" s="14" t="n">
        <v>100</v>
      </c>
      <c r="C3257" s="15"/>
      <c r="D3257" s="16" t="s">
        <v>64</v>
      </c>
      <c r="E3257" s="17" t="s">
        <v>47</v>
      </c>
      <c r="F3257" s="18" t="s">
        <v>34</v>
      </c>
      <c r="G3257" s="19"/>
      <c r="H3257" s="17" t="s">
        <v>35</v>
      </c>
      <c r="I3257" s="17" t="s">
        <v>44</v>
      </c>
      <c r="J3257" s="17"/>
      <c r="K3257" s="17" t="e">
        <f aca="false">VLOOKUP(J3257,Sheet2!A:B,2,0)</f>
        <v>#N/A</v>
      </c>
      <c r="L3257" s="17" t="n">
        <v>5</v>
      </c>
      <c r="M3257" s="17" t="str">
        <f aca="false">VLOOKUP(L3257,Sheet2!D:E,2,0)</f>
        <v>Main Processor CPU BGA</v>
      </c>
      <c r="N3257" s="17" t="n">
        <v>1</v>
      </c>
      <c r="O3257" s="17" t="str">
        <f aca="false">VLOOKUP(N3257,Sheet2!G:H,2,0)</f>
        <v>Dead</v>
      </c>
      <c r="P3257" s="17" t="n">
        <v>11</v>
      </c>
      <c r="Q3257" s="17" t="str">
        <f aca="false">VLOOKUP(P3257,Sheet2!J:K,2,0)</f>
        <v>IR Declared due to CID -TA</v>
      </c>
      <c r="R3257" s="17" t="s">
        <v>35</v>
      </c>
      <c r="S3257" s="17" t="str">
        <f aca="false">VLOOKUP(R3257,Sheet2!N:O,2,0)</f>
        <v>IREPARABLE</v>
      </c>
      <c r="T3257" s="18" t="str">
        <f aca="false">VLOOKUP(P3257,Sheet2!Q:R,2,0)</f>
        <v>IR Normal - Track burn out</v>
      </c>
      <c r="U3257" s="20" t="s">
        <v>41</v>
      </c>
      <c r="V3257" s="17"/>
      <c r="W3257" s="20" t="e">
        <f aca="false">VLOOKUP(V3257,Sheet2!Q:R,2,0)</f>
        <v>#N/A</v>
      </c>
      <c r="X3257" s="17" t="n">
        <f aca="false">J3257</f>
        <v>0</v>
      </c>
      <c r="Y3257" s="17" t="e">
        <f aca="false">VLOOKUP(X3257,Sheet2!A:B,2,0)</f>
        <v>#N/A</v>
      </c>
      <c r="Z3257" s="17"/>
      <c r="AA3257" s="17"/>
      <c r="AB3257" s="17" t="s">
        <v>41</v>
      </c>
      <c r="AC3257" s="0" t="str">
        <f aca="false">LEFT(G3257,2)</f>
        <v/>
      </c>
    </row>
    <row r="3258" customFormat="false" ht="15" hidden="false" customHeight="false" outlineLevel="0" collapsed="false">
      <c r="A3258" s="13" t="n">
        <f aca="false">1+A3257</f>
        <v>3256</v>
      </c>
      <c r="B3258" s="14" t="n">
        <v>100</v>
      </c>
      <c r="C3258" s="15"/>
      <c r="D3258" s="16" t="s">
        <v>64</v>
      </c>
      <c r="E3258" s="17" t="s">
        <v>47</v>
      </c>
      <c r="F3258" s="18" t="s">
        <v>34</v>
      </c>
      <c r="G3258" s="19"/>
      <c r="H3258" s="17" t="s">
        <v>35</v>
      </c>
      <c r="I3258" s="17" t="s">
        <v>44</v>
      </c>
      <c r="J3258" s="17"/>
      <c r="K3258" s="17" t="e">
        <f aca="false">VLOOKUP(J3258,Sheet2!A:B,2,0)</f>
        <v>#N/A</v>
      </c>
      <c r="L3258" s="17" t="n">
        <v>5</v>
      </c>
      <c r="M3258" s="17" t="str">
        <f aca="false">VLOOKUP(L3258,Sheet2!D:E,2,0)</f>
        <v>Main Processor CPU BGA</v>
      </c>
      <c r="N3258" s="17" t="n">
        <v>1</v>
      </c>
      <c r="O3258" s="17" t="str">
        <f aca="false">VLOOKUP(N3258,Sheet2!G:H,2,0)</f>
        <v>Dead</v>
      </c>
      <c r="P3258" s="17" t="n">
        <v>11</v>
      </c>
      <c r="Q3258" s="17" t="str">
        <f aca="false">VLOOKUP(P3258,Sheet2!J:K,2,0)</f>
        <v>IR Declared due to CID -TA</v>
      </c>
      <c r="R3258" s="17" t="s">
        <v>35</v>
      </c>
      <c r="S3258" s="17" t="str">
        <f aca="false">VLOOKUP(R3258,Sheet2!N:O,2,0)</f>
        <v>IREPARABLE</v>
      </c>
      <c r="T3258" s="18" t="str">
        <f aca="false">VLOOKUP(P3258,Sheet2!Q:R,2,0)</f>
        <v>IR Normal - Track burn out</v>
      </c>
      <c r="U3258" s="20" t="s">
        <v>41</v>
      </c>
      <c r="V3258" s="17"/>
      <c r="W3258" s="20" t="e">
        <f aca="false">VLOOKUP(V3258,Sheet2!Q:R,2,0)</f>
        <v>#N/A</v>
      </c>
      <c r="X3258" s="17" t="n">
        <f aca="false">J3258</f>
        <v>0</v>
      </c>
      <c r="Y3258" s="17" t="e">
        <f aca="false">VLOOKUP(X3258,Sheet2!A:B,2,0)</f>
        <v>#N/A</v>
      </c>
      <c r="Z3258" s="17"/>
      <c r="AA3258" s="17"/>
      <c r="AB3258" s="17" t="s">
        <v>41</v>
      </c>
      <c r="AC3258" s="0" t="str">
        <f aca="false">LEFT(G3258,2)</f>
        <v/>
      </c>
    </row>
    <row r="3259" customFormat="false" ht="15" hidden="false" customHeight="false" outlineLevel="0" collapsed="false">
      <c r="A3259" s="13" t="n">
        <f aca="false">1+A3258</f>
        <v>3257</v>
      </c>
      <c r="B3259" s="14" t="n">
        <v>100</v>
      </c>
      <c r="C3259" s="15"/>
      <c r="D3259" s="16" t="s">
        <v>64</v>
      </c>
      <c r="E3259" s="17" t="s">
        <v>47</v>
      </c>
      <c r="F3259" s="18" t="s">
        <v>34</v>
      </c>
      <c r="G3259" s="19"/>
      <c r="H3259" s="17" t="s">
        <v>35</v>
      </c>
      <c r="I3259" s="17" t="s">
        <v>44</v>
      </c>
      <c r="J3259" s="17"/>
      <c r="K3259" s="17" t="e">
        <f aca="false">VLOOKUP(J3259,Sheet2!A:B,2,0)</f>
        <v>#N/A</v>
      </c>
      <c r="L3259" s="17" t="n">
        <v>5</v>
      </c>
      <c r="M3259" s="17" t="str">
        <f aca="false">VLOOKUP(L3259,Sheet2!D:E,2,0)</f>
        <v>Main Processor CPU BGA</v>
      </c>
      <c r="N3259" s="17" t="n">
        <v>1</v>
      </c>
      <c r="O3259" s="17" t="str">
        <f aca="false">VLOOKUP(N3259,Sheet2!G:H,2,0)</f>
        <v>Dead</v>
      </c>
      <c r="P3259" s="17" t="n">
        <v>11</v>
      </c>
      <c r="Q3259" s="17" t="str">
        <f aca="false">VLOOKUP(P3259,Sheet2!J:K,2,0)</f>
        <v>IR Declared due to CID -TA</v>
      </c>
      <c r="R3259" s="17" t="s">
        <v>35</v>
      </c>
      <c r="S3259" s="17" t="str">
        <f aca="false">VLOOKUP(R3259,Sheet2!N:O,2,0)</f>
        <v>IREPARABLE</v>
      </c>
      <c r="T3259" s="18" t="str">
        <f aca="false">VLOOKUP(P3259,Sheet2!Q:R,2,0)</f>
        <v>IR Normal - Track burn out</v>
      </c>
      <c r="U3259" s="20" t="s">
        <v>41</v>
      </c>
      <c r="V3259" s="17"/>
      <c r="W3259" s="20" t="e">
        <f aca="false">VLOOKUP(V3259,Sheet2!Q:R,2,0)</f>
        <v>#N/A</v>
      </c>
      <c r="X3259" s="17" t="n">
        <f aca="false">J3259</f>
        <v>0</v>
      </c>
      <c r="Y3259" s="17" t="e">
        <f aca="false">VLOOKUP(X3259,Sheet2!A:B,2,0)</f>
        <v>#N/A</v>
      </c>
      <c r="Z3259" s="17"/>
      <c r="AA3259" s="17"/>
      <c r="AB3259" s="17" t="s">
        <v>41</v>
      </c>
      <c r="AC3259" s="0" t="str">
        <f aca="false">LEFT(G3259,2)</f>
        <v/>
      </c>
    </row>
    <row r="3260" customFormat="false" ht="15" hidden="false" customHeight="false" outlineLevel="0" collapsed="false">
      <c r="A3260" s="13" t="n">
        <f aca="false">1+A3259</f>
        <v>3258</v>
      </c>
      <c r="B3260" s="14" t="n">
        <v>100</v>
      </c>
      <c r="C3260" s="15"/>
      <c r="D3260" s="16" t="s">
        <v>64</v>
      </c>
      <c r="E3260" s="17" t="s">
        <v>47</v>
      </c>
      <c r="F3260" s="18" t="s">
        <v>34</v>
      </c>
      <c r="G3260" s="19"/>
      <c r="H3260" s="17" t="s">
        <v>35</v>
      </c>
      <c r="I3260" s="17" t="s">
        <v>44</v>
      </c>
      <c r="J3260" s="17"/>
      <c r="K3260" s="17" t="e">
        <f aca="false">VLOOKUP(J3260,Sheet2!A:B,2,0)</f>
        <v>#N/A</v>
      </c>
      <c r="L3260" s="17" t="n">
        <v>5</v>
      </c>
      <c r="M3260" s="17" t="str">
        <f aca="false">VLOOKUP(L3260,Sheet2!D:E,2,0)</f>
        <v>Main Processor CPU BGA</v>
      </c>
      <c r="N3260" s="17" t="n">
        <v>1</v>
      </c>
      <c r="O3260" s="17" t="str">
        <f aca="false">VLOOKUP(N3260,Sheet2!G:H,2,0)</f>
        <v>Dead</v>
      </c>
      <c r="P3260" s="17" t="n">
        <v>11</v>
      </c>
      <c r="Q3260" s="17" t="str">
        <f aca="false">VLOOKUP(P3260,Sheet2!J:K,2,0)</f>
        <v>IR Declared due to CID -TA</v>
      </c>
      <c r="R3260" s="17" t="s">
        <v>35</v>
      </c>
      <c r="S3260" s="17" t="str">
        <f aca="false">VLOOKUP(R3260,Sheet2!N:O,2,0)</f>
        <v>IREPARABLE</v>
      </c>
      <c r="T3260" s="18" t="str">
        <f aca="false">VLOOKUP(P3260,Sheet2!Q:R,2,0)</f>
        <v>IR Normal - Track burn out</v>
      </c>
      <c r="U3260" s="20" t="s">
        <v>41</v>
      </c>
      <c r="V3260" s="17"/>
      <c r="W3260" s="20" t="e">
        <f aca="false">VLOOKUP(V3260,Sheet2!Q:R,2,0)</f>
        <v>#N/A</v>
      </c>
      <c r="X3260" s="17" t="n">
        <f aca="false">J3260</f>
        <v>0</v>
      </c>
      <c r="Y3260" s="17" t="e">
        <f aca="false">VLOOKUP(X3260,Sheet2!A:B,2,0)</f>
        <v>#N/A</v>
      </c>
      <c r="Z3260" s="17"/>
      <c r="AA3260" s="17"/>
      <c r="AB3260" s="17" t="s">
        <v>41</v>
      </c>
      <c r="AC3260" s="0" t="str">
        <f aca="false">LEFT(G3260,2)</f>
        <v/>
      </c>
    </row>
    <row r="3261" customFormat="false" ht="15" hidden="false" customHeight="false" outlineLevel="0" collapsed="false">
      <c r="A3261" s="13" t="n">
        <f aca="false">1+A3260</f>
        <v>3259</v>
      </c>
      <c r="B3261" s="14" t="n">
        <v>100</v>
      </c>
      <c r="C3261" s="15"/>
      <c r="D3261" s="16" t="s">
        <v>64</v>
      </c>
      <c r="E3261" s="17" t="s">
        <v>47</v>
      </c>
      <c r="F3261" s="18" t="s">
        <v>34</v>
      </c>
      <c r="G3261" s="19"/>
      <c r="H3261" s="17" t="s">
        <v>35</v>
      </c>
      <c r="I3261" s="17" t="s">
        <v>44</v>
      </c>
      <c r="J3261" s="17"/>
      <c r="K3261" s="17" t="e">
        <f aca="false">VLOOKUP(J3261,Sheet2!A:B,2,0)</f>
        <v>#N/A</v>
      </c>
      <c r="L3261" s="17" t="n">
        <v>5</v>
      </c>
      <c r="M3261" s="17" t="str">
        <f aca="false">VLOOKUP(L3261,Sheet2!D:E,2,0)</f>
        <v>Main Processor CPU BGA</v>
      </c>
      <c r="N3261" s="17" t="n">
        <v>1</v>
      </c>
      <c r="O3261" s="17" t="str">
        <f aca="false">VLOOKUP(N3261,Sheet2!G:H,2,0)</f>
        <v>Dead</v>
      </c>
      <c r="P3261" s="17" t="n">
        <v>11</v>
      </c>
      <c r="Q3261" s="17" t="str">
        <f aca="false">VLOOKUP(P3261,Sheet2!J:K,2,0)</f>
        <v>IR Declared due to CID -TA</v>
      </c>
      <c r="R3261" s="17" t="s">
        <v>35</v>
      </c>
      <c r="S3261" s="17" t="str">
        <f aca="false">VLOOKUP(R3261,Sheet2!N:O,2,0)</f>
        <v>IREPARABLE</v>
      </c>
      <c r="T3261" s="18" t="str">
        <f aca="false">VLOOKUP(P3261,Sheet2!Q:R,2,0)</f>
        <v>IR Normal - Track burn out</v>
      </c>
      <c r="U3261" s="20" t="s">
        <v>41</v>
      </c>
      <c r="V3261" s="17"/>
      <c r="W3261" s="20" t="e">
        <f aca="false">VLOOKUP(V3261,Sheet2!Q:R,2,0)</f>
        <v>#N/A</v>
      </c>
      <c r="X3261" s="17" t="n">
        <f aca="false">J3261</f>
        <v>0</v>
      </c>
      <c r="Y3261" s="17" t="e">
        <f aca="false">VLOOKUP(X3261,Sheet2!A:B,2,0)</f>
        <v>#N/A</v>
      </c>
      <c r="Z3261" s="17"/>
      <c r="AA3261" s="17"/>
      <c r="AB3261" s="17" t="s">
        <v>41</v>
      </c>
      <c r="AC3261" s="0" t="str">
        <f aca="false">LEFT(G3261,2)</f>
        <v/>
      </c>
    </row>
    <row r="3262" customFormat="false" ht="15" hidden="false" customHeight="false" outlineLevel="0" collapsed="false">
      <c r="A3262" s="13" t="n">
        <f aca="false">1+A3261</f>
        <v>3260</v>
      </c>
      <c r="B3262" s="14" t="n">
        <v>100</v>
      </c>
      <c r="C3262" s="15"/>
      <c r="D3262" s="16" t="s">
        <v>64</v>
      </c>
      <c r="E3262" s="17" t="s">
        <v>47</v>
      </c>
      <c r="F3262" s="18" t="s">
        <v>34</v>
      </c>
      <c r="G3262" s="19"/>
      <c r="H3262" s="17" t="s">
        <v>35</v>
      </c>
      <c r="I3262" s="17" t="s">
        <v>44</v>
      </c>
      <c r="J3262" s="17"/>
      <c r="K3262" s="17" t="e">
        <f aca="false">VLOOKUP(J3262,Sheet2!A:B,2,0)</f>
        <v>#N/A</v>
      </c>
      <c r="L3262" s="17" t="n">
        <v>5</v>
      </c>
      <c r="M3262" s="17" t="str">
        <f aca="false">VLOOKUP(L3262,Sheet2!D:E,2,0)</f>
        <v>Main Processor CPU BGA</v>
      </c>
      <c r="N3262" s="17" t="n">
        <v>1</v>
      </c>
      <c r="O3262" s="17" t="str">
        <f aca="false">VLOOKUP(N3262,Sheet2!G:H,2,0)</f>
        <v>Dead</v>
      </c>
      <c r="P3262" s="17" t="n">
        <v>11</v>
      </c>
      <c r="Q3262" s="17" t="str">
        <f aca="false">VLOOKUP(P3262,Sheet2!J:K,2,0)</f>
        <v>IR Declared due to CID -TA</v>
      </c>
      <c r="R3262" s="17" t="s">
        <v>35</v>
      </c>
      <c r="S3262" s="17" t="str">
        <f aca="false">VLOOKUP(R3262,Sheet2!N:O,2,0)</f>
        <v>IREPARABLE</v>
      </c>
      <c r="T3262" s="18" t="str">
        <f aca="false">VLOOKUP(P3262,Sheet2!Q:R,2,0)</f>
        <v>IR Normal - Track burn out</v>
      </c>
      <c r="U3262" s="20" t="s">
        <v>41</v>
      </c>
      <c r="V3262" s="17"/>
      <c r="W3262" s="20" t="e">
        <f aca="false">VLOOKUP(V3262,Sheet2!Q:R,2,0)</f>
        <v>#N/A</v>
      </c>
      <c r="X3262" s="17" t="n">
        <f aca="false">J3262</f>
        <v>0</v>
      </c>
      <c r="Y3262" s="17" t="e">
        <f aca="false">VLOOKUP(X3262,Sheet2!A:B,2,0)</f>
        <v>#N/A</v>
      </c>
      <c r="Z3262" s="17"/>
      <c r="AA3262" s="17"/>
      <c r="AB3262" s="17" t="s">
        <v>41</v>
      </c>
      <c r="AC3262" s="0" t="str">
        <f aca="false">LEFT(G3262,2)</f>
        <v/>
      </c>
    </row>
    <row r="3263" customFormat="false" ht="15" hidden="false" customHeight="false" outlineLevel="0" collapsed="false">
      <c r="A3263" s="13" t="n">
        <f aca="false">1+A3262</f>
        <v>3261</v>
      </c>
      <c r="B3263" s="14" t="n">
        <v>100</v>
      </c>
      <c r="C3263" s="15"/>
      <c r="D3263" s="16" t="s">
        <v>64</v>
      </c>
      <c r="E3263" s="17" t="s">
        <v>47</v>
      </c>
      <c r="F3263" s="18" t="s">
        <v>34</v>
      </c>
      <c r="G3263" s="19"/>
      <c r="H3263" s="17" t="s">
        <v>35</v>
      </c>
      <c r="I3263" s="17" t="s">
        <v>44</v>
      </c>
      <c r="J3263" s="17"/>
      <c r="K3263" s="17" t="e">
        <f aca="false">VLOOKUP(J3263,Sheet2!A:B,2,0)</f>
        <v>#N/A</v>
      </c>
      <c r="L3263" s="17" t="n">
        <v>5</v>
      </c>
      <c r="M3263" s="17" t="str">
        <f aca="false">VLOOKUP(L3263,Sheet2!D:E,2,0)</f>
        <v>Main Processor CPU BGA</v>
      </c>
      <c r="N3263" s="17" t="n">
        <v>1</v>
      </c>
      <c r="O3263" s="17" t="str">
        <f aca="false">VLOOKUP(N3263,Sheet2!G:H,2,0)</f>
        <v>Dead</v>
      </c>
      <c r="P3263" s="17" t="n">
        <v>11</v>
      </c>
      <c r="Q3263" s="17" t="str">
        <f aca="false">VLOOKUP(P3263,Sheet2!J:K,2,0)</f>
        <v>IR Declared due to CID -TA</v>
      </c>
      <c r="R3263" s="17" t="s">
        <v>35</v>
      </c>
      <c r="S3263" s="17" t="str">
        <f aca="false">VLOOKUP(R3263,Sheet2!N:O,2,0)</f>
        <v>IREPARABLE</v>
      </c>
      <c r="T3263" s="18" t="str">
        <f aca="false">VLOOKUP(P3263,Sheet2!Q:R,2,0)</f>
        <v>IR Normal - Track burn out</v>
      </c>
      <c r="U3263" s="20" t="s">
        <v>41</v>
      </c>
      <c r="V3263" s="17"/>
      <c r="W3263" s="20" t="e">
        <f aca="false">VLOOKUP(V3263,Sheet2!Q:R,2,0)</f>
        <v>#N/A</v>
      </c>
      <c r="X3263" s="17" t="n">
        <f aca="false">J3263</f>
        <v>0</v>
      </c>
      <c r="Y3263" s="17" t="e">
        <f aca="false">VLOOKUP(X3263,Sheet2!A:B,2,0)</f>
        <v>#N/A</v>
      </c>
      <c r="Z3263" s="17"/>
      <c r="AA3263" s="17"/>
      <c r="AB3263" s="17" t="s">
        <v>41</v>
      </c>
      <c r="AC3263" s="0" t="str">
        <f aca="false">LEFT(G3263,2)</f>
        <v/>
      </c>
    </row>
    <row r="3264" customFormat="false" ht="15" hidden="false" customHeight="false" outlineLevel="0" collapsed="false">
      <c r="A3264" s="13" t="n">
        <f aca="false">1+A3263</f>
        <v>3262</v>
      </c>
      <c r="B3264" s="14" t="n">
        <v>100</v>
      </c>
      <c r="C3264" s="15"/>
      <c r="D3264" s="16" t="s">
        <v>64</v>
      </c>
      <c r="E3264" s="17" t="s">
        <v>47</v>
      </c>
      <c r="F3264" s="18" t="s">
        <v>34</v>
      </c>
      <c r="G3264" s="19"/>
      <c r="H3264" s="17" t="s">
        <v>35</v>
      </c>
      <c r="I3264" s="17" t="s">
        <v>44</v>
      </c>
      <c r="J3264" s="17"/>
      <c r="K3264" s="17" t="e">
        <f aca="false">VLOOKUP(J3264,Sheet2!A:B,2,0)</f>
        <v>#N/A</v>
      </c>
      <c r="L3264" s="17" t="n">
        <v>5</v>
      </c>
      <c r="M3264" s="17" t="str">
        <f aca="false">VLOOKUP(L3264,Sheet2!D:E,2,0)</f>
        <v>Main Processor CPU BGA</v>
      </c>
      <c r="N3264" s="17" t="n">
        <v>1</v>
      </c>
      <c r="O3264" s="17" t="str">
        <f aca="false">VLOOKUP(N3264,Sheet2!G:H,2,0)</f>
        <v>Dead</v>
      </c>
      <c r="P3264" s="17" t="n">
        <v>11</v>
      </c>
      <c r="Q3264" s="17" t="str">
        <f aca="false">VLOOKUP(P3264,Sheet2!J:K,2,0)</f>
        <v>IR Declared due to CID -TA</v>
      </c>
      <c r="R3264" s="17" t="s">
        <v>35</v>
      </c>
      <c r="S3264" s="17" t="str">
        <f aca="false">VLOOKUP(R3264,Sheet2!N:O,2,0)</f>
        <v>IREPARABLE</v>
      </c>
      <c r="T3264" s="18" t="str">
        <f aca="false">VLOOKUP(P3264,Sheet2!Q:R,2,0)</f>
        <v>IR Normal - Track burn out</v>
      </c>
      <c r="U3264" s="20" t="s">
        <v>41</v>
      </c>
      <c r="V3264" s="17"/>
      <c r="W3264" s="20" t="e">
        <f aca="false">VLOOKUP(V3264,Sheet2!Q:R,2,0)</f>
        <v>#N/A</v>
      </c>
      <c r="X3264" s="17" t="n">
        <f aca="false">J3264</f>
        <v>0</v>
      </c>
      <c r="Y3264" s="17" t="e">
        <f aca="false">VLOOKUP(X3264,Sheet2!A:B,2,0)</f>
        <v>#N/A</v>
      </c>
      <c r="Z3264" s="17"/>
      <c r="AA3264" s="17"/>
      <c r="AB3264" s="17" t="s">
        <v>41</v>
      </c>
      <c r="AC3264" s="0" t="str">
        <f aca="false">LEFT(G3264,2)</f>
        <v/>
      </c>
    </row>
    <row r="3265" customFormat="false" ht="15" hidden="false" customHeight="false" outlineLevel="0" collapsed="false">
      <c r="A3265" s="13" t="n">
        <f aca="false">1+A3264</f>
        <v>3263</v>
      </c>
      <c r="B3265" s="14" t="n">
        <v>100</v>
      </c>
      <c r="C3265" s="15"/>
      <c r="D3265" s="16" t="s">
        <v>64</v>
      </c>
      <c r="E3265" s="17" t="s">
        <v>47</v>
      </c>
      <c r="F3265" s="18" t="s">
        <v>34</v>
      </c>
      <c r="G3265" s="19"/>
      <c r="H3265" s="17" t="s">
        <v>35</v>
      </c>
      <c r="I3265" s="17" t="s">
        <v>44</v>
      </c>
      <c r="J3265" s="17"/>
      <c r="K3265" s="17" t="e">
        <f aca="false">VLOOKUP(J3265,Sheet2!A:B,2,0)</f>
        <v>#N/A</v>
      </c>
      <c r="L3265" s="17" t="n">
        <v>5</v>
      </c>
      <c r="M3265" s="17" t="str">
        <f aca="false">VLOOKUP(L3265,Sheet2!D:E,2,0)</f>
        <v>Main Processor CPU BGA</v>
      </c>
      <c r="N3265" s="17" t="n">
        <v>1</v>
      </c>
      <c r="O3265" s="17" t="str">
        <f aca="false">VLOOKUP(N3265,Sheet2!G:H,2,0)</f>
        <v>Dead</v>
      </c>
      <c r="P3265" s="17" t="n">
        <v>11</v>
      </c>
      <c r="Q3265" s="17" t="str">
        <f aca="false">VLOOKUP(P3265,Sheet2!J:K,2,0)</f>
        <v>IR Declared due to CID -TA</v>
      </c>
      <c r="R3265" s="17" t="s">
        <v>35</v>
      </c>
      <c r="S3265" s="17" t="str">
        <f aca="false">VLOOKUP(R3265,Sheet2!N:O,2,0)</f>
        <v>IREPARABLE</v>
      </c>
      <c r="T3265" s="18" t="str">
        <f aca="false">VLOOKUP(P3265,Sheet2!Q:R,2,0)</f>
        <v>IR Normal - Track burn out</v>
      </c>
      <c r="U3265" s="20" t="s">
        <v>41</v>
      </c>
      <c r="V3265" s="17"/>
      <c r="W3265" s="20" t="e">
        <f aca="false">VLOOKUP(V3265,Sheet2!Q:R,2,0)</f>
        <v>#N/A</v>
      </c>
      <c r="X3265" s="17" t="n">
        <f aca="false">J3265</f>
        <v>0</v>
      </c>
      <c r="Y3265" s="17" t="e">
        <f aca="false">VLOOKUP(X3265,Sheet2!A:B,2,0)</f>
        <v>#N/A</v>
      </c>
      <c r="Z3265" s="17"/>
      <c r="AA3265" s="17"/>
      <c r="AB3265" s="17" t="s">
        <v>41</v>
      </c>
      <c r="AC3265" s="0" t="str">
        <f aca="false">LEFT(G3265,2)</f>
        <v/>
      </c>
    </row>
    <row r="3266" customFormat="false" ht="15" hidden="false" customHeight="false" outlineLevel="0" collapsed="false">
      <c r="A3266" s="13" t="n">
        <f aca="false">1+A3265</f>
        <v>3264</v>
      </c>
      <c r="B3266" s="14" t="n">
        <v>100</v>
      </c>
      <c r="C3266" s="15"/>
      <c r="D3266" s="16" t="s">
        <v>64</v>
      </c>
      <c r="E3266" s="17" t="s">
        <v>47</v>
      </c>
      <c r="F3266" s="18" t="s">
        <v>34</v>
      </c>
      <c r="G3266" s="19"/>
      <c r="H3266" s="17" t="s">
        <v>35</v>
      </c>
      <c r="I3266" s="17" t="s">
        <v>44</v>
      </c>
      <c r="J3266" s="17"/>
      <c r="K3266" s="17" t="e">
        <f aca="false">VLOOKUP(J3266,Sheet2!A:B,2,0)</f>
        <v>#N/A</v>
      </c>
      <c r="L3266" s="17" t="n">
        <v>5</v>
      </c>
      <c r="M3266" s="17" t="str">
        <f aca="false">VLOOKUP(L3266,Sheet2!D:E,2,0)</f>
        <v>Main Processor CPU BGA</v>
      </c>
      <c r="N3266" s="17" t="n">
        <v>1</v>
      </c>
      <c r="O3266" s="17" t="str">
        <f aca="false">VLOOKUP(N3266,Sheet2!G:H,2,0)</f>
        <v>Dead</v>
      </c>
      <c r="P3266" s="17" t="n">
        <v>11</v>
      </c>
      <c r="Q3266" s="17" t="str">
        <f aca="false">VLOOKUP(P3266,Sheet2!J:K,2,0)</f>
        <v>IR Declared due to CID -TA</v>
      </c>
      <c r="R3266" s="17" t="s">
        <v>35</v>
      </c>
      <c r="S3266" s="17" t="str">
        <f aca="false">VLOOKUP(R3266,Sheet2!N:O,2,0)</f>
        <v>IREPARABLE</v>
      </c>
      <c r="T3266" s="18" t="str">
        <f aca="false">VLOOKUP(P3266,Sheet2!Q:R,2,0)</f>
        <v>IR Normal - Track burn out</v>
      </c>
      <c r="U3266" s="20" t="s">
        <v>41</v>
      </c>
      <c r="V3266" s="17"/>
      <c r="W3266" s="20" t="e">
        <f aca="false">VLOOKUP(V3266,Sheet2!Q:R,2,0)</f>
        <v>#N/A</v>
      </c>
      <c r="X3266" s="17" t="n">
        <f aca="false">J3266</f>
        <v>0</v>
      </c>
      <c r="Y3266" s="17" t="e">
        <f aca="false">VLOOKUP(X3266,Sheet2!A:B,2,0)</f>
        <v>#N/A</v>
      </c>
      <c r="Z3266" s="17"/>
      <c r="AA3266" s="17"/>
      <c r="AB3266" s="17" t="s">
        <v>41</v>
      </c>
      <c r="AC3266" s="0" t="str">
        <f aca="false">LEFT(G3266,2)</f>
        <v/>
      </c>
    </row>
    <row r="3267" customFormat="false" ht="15" hidden="false" customHeight="false" outlineLevel="0" collapsed="false">
      <c r="A3267" s="13" t="n">
        <f aca="false">1+A3266</f>
        <v>3265</v>
      </c>
      <c r="B3267" s="14" t="n">
        <v>100</v>
      </c>
      <c r="C3267" s="15"/>
      <c r="D3267" s="16" t="s">
        <v>64</v>
      </c>
      <c r="E3267" s="17" t="s">
        <v>47</v>
      </c>
      <c r="F3267" s="18" t="s">
        <v>34</v>
      </c>
      <c r="G3267" s="19"/>
      <c r="H3267" s="17" t="s">
        <v>35</v>
      </c>
      <c r="I3267" s="17" t="s">
        <v>44</v>
      </c>
      <c r="J3267" s="17"/>
      <c r="K3267" s="17" t="e">
        <f aca="false">VLOOKUP(J3267,Sheet2!A:B,2,0)</f>
        <v>#N/A</v>
      </c>
      <c r="L3267" s="17" t="n">
        <v>5</v>
      </c>
      <c r="M3267" s="17" t="str">
        <f aca="false">VLOOKUP(L3267,Sheet2!D:E,2,0)</f>
        <v>Main Processor CPU BGA</v>
      </c>
      <c r="N3267" s="17" t="n">
        <v>1</v>
      </c>
      <c r="O3267" s="17" t="str">
        <f aca="false">VLOOKUP(N3267,Sheet2!G:H,2,0)</f>
        <v>Dead</v>
      </c>
      <c r="P3267" s="17" t="n">
        <v>11</v>
      </c>
      <c r="Q3267" s="17" t="str">
        <f aca="false">VLOOKUP(P3267,Sheet2!J:K,2,0)</f>
        <v>IR Declared due to CID -TA</v>
      </c>
      <c r="R3267" s="17" t="s">
        <v>35</v>
      </c>
      <c r="S3267" s="17" t="str">
        <f aca="false">VLOOKUP(R3267,Sheet2!N:O,2,0)</f>
        <v>IREPARABLE</v>
      </c>
      <c r="T3267" s="18" t="str">
        <f aca="false">VLOOKUP(P3267,Sheet2!Q:R,2,0)</f>
        <v>IR Normal - Track burn out</v>
      </c>
      <c r="U3267" s="20" t="s">
        <v>41</v>
      </c>
      <c r="V3267" s="17"/>
      <c r="W3267" s="20" t="e">
        <f aca="false">VLOOKUP(V3267,Sheet2!Q:R,2,0)</f>
        <v>#N/A</v>
      </c>
      <c r="X3267" s="17" t="n">
        <f aca="false">J3267</f>
        <v>0</v>
      </c>
      <c r="Y3267" s="17" t="e">
        <f aca="false">VLOOKUP(X3267,Sheet2!A:B,2,0)</f>
        <v>#N/A</v>
      </c>
      <c r="Z3267" s="17"/>
      <c r="AA3267" s="17"/>
      <c r="AB3267" s="17" t="s">
        <v>41</v>
      </c>
      <c r="AC3267" s="0" t="str">
        <f aca="false">LEFT(G3267,2)</f>
        <v/>
      </c>
    </row>
    <row r="3268" customFormat="false" ht="15" hidden="false" customHeight="false" outlineLevel="0" collapsed="false">
      <c r="A3268" s="13" t="n">
        <f aca="false">1+A3267</f>
        <v>3266</v>
      </c>
      <c r="B3268" s="14" t="n">
        <v>100</v>
      </c>
      <c r="C3268" s="15"/>
      <c r="D3268" s="16" t="s">
        <v>64</v>
      </c>
      <c r="E3268" s="17" t="s">
        <v>47</v>
      </c>
      <c r="F3268" s="18" t="s">
        <v>34</v>
      </c>
      <c r="G3268" s="19"/>
      <c r="H3268" s="17" t="s">
        <v>35</v>
      </c>
      <c r="I3268" s="17" t="s">
        <v>44</v>
      </c>
      <c r="J3268" s="17"/>
      <c r="K3268" s="17" t="e">
        <f aca="false">VLOOKUP(J3268,Sheet2!A:B,2,0)</f>
        <v>#N/A</v>
      </c>
      <c r="L3268" s="17" t="n">
        <v>5</v>
      </c>
      <c r="M3268" s="17" t="str">
        <f aca="false">VLOOKUP(L3268,Sheet2!D:E,2,0)</f>
        <v>Main Processor CPU BGA</v>
      </c>
      <c r="N3268" s="17" t="n">
        <v>1</v>
      </c>
      <c r="O3268" s="17" t="str">
        <f aca="false">VLOOKUP(N3268,Sheet2!G:H,2,0)</f>
        <v>Dead</v>
      </c>
      <c r="P3268" s="17" t="n">
        <v>11</v>
      </c>
      <c r="Q3268" s="17" t="str">
        <f aca="false">VLOOKUP(P3268,Sheet2!J:K,2,0)</f>
        <v>IR Declared due to CID -TA</v>
      </c>
      <c r="R3268" s="17" t="s">
        <v>35</v>
      </c>
      <c r="S3268" s="17" t="str">
        <f aca="false">VLOOKUP(R3268,Sheet2!N:O,2,0)</f>
        <v>IREPARABLE</v>
      </c>
      <c r="T3268" s="18" t="str">
        <f aca="false">VLOOKUP(P3268,Sheet2!Q:R,2,0)</f>
        <v>IR Normal - Track burn out</v>
      </c>
      <c r="U3268" s="20" t="s">
        <v>41</v>
      </c>
      <c r="V3268" s="17"/>
      <c r="W3268" s="20" t="e">
        <f aca="false">VLOOKUP(V3268,Sheet2!Q:R,2,0)</f>
        <v>#N/A</v>
      </c>
      <c r="X3268" s="17" t="n">
        <f aca="false">J3268</f>
        <v>0</v>
      </c>
      <c r="Y3268" s="17" t="e">
        <f aca="false">VLOOKUP(X3268,Sheet2!A:B,2,0)</f>
        <v>#N/A</v>
      </c>
      <c r="Z3268" s="17"/>
      <c r="AA3268" s="17"/>
      <c r="AB3268" s="17" t="s">
        <v>41</v>
      </c>
      <c r="AC3268" s="0" t="str">
        <f aca="false">LEFT(G3268,2)</f>
        <v/>
      </c>
    </row>
    <row r="3269" customFormat="false" ht="15" hidden="false" customHeight="false" outlineLevel="0" collapsed="false">
      <c r="A3269" s="13" t="n">
        <f aca="false">1+A3268</f>
        <v>3267</v>
      </c>
      <c r="B3269" s="14" t="n">
        <v>100</v>
      </c>
      <c r="C3269" s="15"/>
      <c r="D3269" s="16" t="s">
        <v>64</v>
      </c>
      <c r="E3269" s="17" t="s">
        <v>47</v>
      </c>
      <c r="F3269" s="18" t="s">
        <v>34</v>
      </c>
      <c r="G3269" s="19"/>
      <c r="H3269" s="17" t="s">
        <v>35</v>
      </c>
      <c r="I3269" s="17" t="s">
        <v>44</v>
      </c>
      <c r="J3269" s="17"/>
      <c r="K3269" s="17" t="e">
        <f aca="false">VLOOKUP(J3269,Sheet2!A:B,2,0)</f>
        <v>#N/A</v>
      </c>
      <c r="L3269" s="17" t="n">
        <v>5</v>
      </c>
      <c r="M3269" s="17" t="str">
        <f aca="false">VLOOKUP(L3269,Sheet2!D:E,2,0)</f>
        <v>Main Processor CPU BGA</v>
      </c>
      <c r="N3269" s="17" t="n">
        <v>1</v>
      </c>
      <c r="O3269" s="17" t="str">
        <f aca="false">VLOOKUP(N3269,Sheet2!G:H,2,0)</f>
        <v>Dead</v>
      </c>
      <c r="P3269" s="17" t="n">
        <v>11</v>
      </c>
      <c r="Q3269" s="17" t="str">
        <f aca="false">VLOOKUP(P3269,Sheet2!J:K,2,0)</f>
        <v>IR Declared due to CID -TA</v>
      </c>
      <c r="R3269" s="17" t="s">
        <v>35</v>
      </c>
      <c r="S3269" s="17" t="str">
        <f aca="false">VLOOKUP(R3269,Sheet2!N:O,2,0)</f>
        <v>IREPARABLE</v>
      </c>
      <c r="T3269" s="18" t="str">
        <f aca="false">VLOOKUP(P3269,Sheet2!Q:R,2,0)</f>
        <v>IR Normal - Track burn out</v>
      </c>
      <c r="U3269" s="20" t="s">
        <v>41</v>
      </c>
      <c r="V3269" s="17"/>
      <c r="W3269" s="20" t="e">
        <f aca="false">VLOOKUP(V3269,Sheet2!Q:R,2,0)</f>
        <v>#N/A</v>
      </c>
      <c r="X3269" s="17" t="n">
        <f aca="false">J3269</f>
        <v>0</v>
      </c>
      <c r="Y3269" s="17" t="e">
        <f aca="false">VLOOKUP(X3269,Sheet2!A:B,2,0)</f>
        <v>#N/A</v>
      </c>
      <c r="Z3269" s="17"/>
      <c r="AA3269" s="17"/>
      <c r="AB3269" s="17" t="s">
        <v>41</v>
      </c>
      <c r="AC3269" s="0" t="str">
        <f aca="false">LEFT(G3269,2)</f>
        <v/>
      </c>
    </row>
    <row r="3270" customFormat="false" ht="15" hidden="false" customHeight="false" outlineLevel="0" collapsed="false">
      <c r="A3270" s="13" t="n">
        <f aca="false">1+A3269</f>
        <v>3268</v>
      </c>
      <c r="B3270" s="14" t="n">
        <v>100</v>
      </c>
      <c r="C3270" s="15"/>
      <c r="D3270" s="16" t="s">
        <v>64</v>
      </c>
      <c r="E3270" s="17" t="s">
        <v>47</v>
      </c>
      <c r="F3270" s="18" t="s">
        <v>34</v>
      </c>
      <c r="G3270" s="19"/>
      <c r="H3270" s="17" t="s">
        <v>35</v>
      </c>
      <c r="I3270" s="17" t="s">
        <v>44</v>
      </c>
      <c r="J3270" s="17"/>
      <c r="K3270" s="17" t="e">
        <f aca="false">VLOOKUP(J3270,Sheet2!A:B,2,0)</f>
        <v>#N/A</v>
      </c>
      <c r="L3270" s="17" t="n">
        <v>5</v>
      </c>
      <c r="M3270" s="17" t="str">
        <f aca="false">VLOOKUP(L3270,Sheet2!D:E,2,0)</f>
        <v>Main Processor CPU BGA</v>
      </c>
      <c r="N3270" s="17" t="n">
        <v>1</v>
      </c>
      <c r="O3270" s="17" t="str">
        <f aca="false">VLOOKUP(N3270,Sheet2!G:H,2,0)</f>
        <v>Dead</v>
      </c>
      <c r="P3270" s="17" t="n">
        <v>11</v>
      </c>
      <c r="Q3270" s="17" t="str">
        <f aca="false">VLOOKUP(P3270,Sheet2!J:K,2,0)</f>
        <v>IR Declared due to CID -TA</v>
      </c>
      <c r="R3270" s="17" t="s">
        <v>35</v>
      </c>
      <c r="S3270" s="17" t="str">
        <f aca="false">VLOOKUP(R3270,Sheet2!N:O,2,0)</f>
        <v>IREPARABLE</v>
      </c>
      <c r="T3270" s="18" t="str">
        <f aca="false">VLOOKUP(P3270,Sheet2!Q:R,2,0)</f>
        <v>IR Normal - Track burn out</v>
      </c>
      <c r="U3270" s="20" t="s">
        <v>41</v>
      </c>
      <c r="V3270" s="17"/>
      <c r="W3270" s="20" t="e">
        <f aca="false">VLOOKUP(V3270,Sheet2!Q:R,2,0)</f>
        <v>#N/A</v>
      </c>
      <c r="X3270" s="17" t="n">
        <f aca="false">J3270</f>
        <v>0</v>
      </c>
      <c r="Y3270" s="17" t="e">
        <f aca="false">VLOOKUP(X3270,Sheet2!A:B,2,0)</f>
        <v>#N/A</v>
      </c>
      <c r="Z3270" s="17"/>
      <c r="AA3270" s="17"/>
      <c r="AB3270" s="17" t="s">
        <v>41</v>
      </c>
      <c r="AC3270" s="0" t="str">
        <f aca="false">LEFT(G3270,2)</f>
        <v/>
      </c>
    </row>
    <row r="3271" customFormat="false" ht="15" hidden="false" customHeight="false" outlineLevel="0" collapsed="false">
      <c r="A3271" s="13" t="n">
        <f aca="false">1+A3270</f>
        <v>3269</v>
      </c>
      <c r="B3271" s="14" t="n">
        <v>100</v>
      </c>
      <c r="C3271" s="15"/>
      <c r="D3271" s="16" t="s">
        <v>64</v>
      </c>
      <c r="E3271" s="17" t="s">
        <v>47</v>
      </c>
      <c r="F3271" s="18" t="s">
        <v>34</v>
      </c>
      <c r="G3271" s="19"/>
      <c r="H3271" s="17" t="s">
        <v>35</v>
      </c>
      <c r="I3271" s="17" t="s">
        <v>44</v>
      </c>
      <c r="J3271" s="17"/>
      <c r="K3271" s="17" t="e">
        <f aca="false">VLOOKUP(J3271,Sheet2!A:B,2,0)</f>
        <v>#N/A</v>
      </c>
      <c r="L3271" s="17" t="n">
        <v>5</v>
      </c>
      <c r="M3271" s="17" t="str">
        <f aca="false">VLOOKUP(L3271,Sheet2!D:E,2,0)</f>
        <v>Main Processor CPU BGA</v>
      </c>
      <c r="N3271" s="17" t="n">
        <v>1</v>
      </c>
      <c r="O3271" s="17" t="str">
        <f aca="false">VLOOKUP(N3271,Sheet2!G:H,2,0)</f>
        <v>Dead</v>
      </c>
      <c r="P3271" s="17" t="n">
        <v>11</v>
      </c>
      <c r="Q3271" s="17" t="str">
        <f aca="false">VLOOKUP(P3271,Sheet2!J:K,2,0)</f>
        <v>IR Declared due to CID -TA</v>
      </c>
      <c r="R3271" s="17" t="s">
        <v>35</v>
      </c>
      <c r="S3271" s="17" t="str">
        <f aca="false">VLOOKUP(R3271,Sheet2!N:O,2,0)</f>
        <v>IREPARABLE</v>
      </c>
      <c r="T3271" s="18" t="str">
        <f aca="false">VLOOKUP(P3271,Sheet2!Q:R,2,0)</f>
        <v>IR Normal - Track burn out</v>
      </c>
      <c r="U3271" s="20" t="s">
        <v>41</v>
      </c>
      <c r="V3271" s="17"/>
      <c r="W3271" s="20" t="e">
        <f aca="false">VLOOKUP(V3271,Sheet2!Q:R,2,0)</f>
        <v>#N/A</v>
      </c>
      <c r="X3271" s="17" t="n">
        <f aca="false">J3271</f>
        <v>0</v>
      </c>
      <c r="Y3271" s="17" t="e">
        <f aca="false">VLOOKUP(X3271,Sheet2!A:B,2,0)</f>
        <v>#N/A</v>
      </c>
      <c r="Z3271" s="17"/>
      <c r="AA3271" s="17"/>
      <c r="AB3271" s="17" t="s">
        <v>41</v>
      </c>
      <c r="AC3271" s="0" t="str">
        <f aca="false">LEFT(G3271,2)</f>
        <v/>
      </c>
    </row>
    <row r="3272" customFormat="false" ht="15" hidden="false" customHeight="false" outlineLevel="0" collapsed="false">
      <c r="A3272" s="13" t="n">
        <f aca="false">1+A3271</f>
        <v>3270</v>
      </c>
      <c r="B3272" s="14" t="n">
        <v>100</v>
      </c>
      <c r="C3272" s="15"/>
      <c r="D3272" s="16" t="s">
        <v>64</v>
      </c>
      <c r="E3272" s="17" t="s">
        <v>47</v>
      </c>
      <c r="F3272" s="18" t="s">
        <v>34</v>
      </c>
      <c r="G3272" s="19"/>
      <c r="H3272" s="17" t="s">
        <v>35</v>
      </c>
      <c r="I3272" s="17" t="s">
        <v>44</v>
      </c>
      <c r="J3272" s="17"/>
      <c r="K3272" s="17" t="e">
        <f aca="false">VLOOKUP(J3272,Sheet2!A:B,2,0)</f>
        <v>#N/A</v>
      </c>
      <c r="L3272" s="17" t="n">
        <v>5</v>
      </c>
      <c r="M3272" s="17" t="str">
        <f aca="false">VLOOKUP(L3272,Sheet2!D:E,2,0)</f>
        <v>Main Processor CPU BGA</v>
      </c>
      <c r="N3272" s="17" t="n">
        <v>1</v>
      </c>
      <c r="O3272" s="17" t="str">
        <f aca="false">VLOOKUP(N3272,Sheet2!G:H,2,0)</f>
        <v>Dead</v>
      </c>
      <c r="P3272" s="17" t="n">
        <v>11</v>
      </c>
      <c r="Q3272" s="17" t="str">
        <f aca="false">VLOOKUP(P3272,Sheet2!J:K,2,0)</f>
        <v>IR Declared due to CID -TA</v>
      </c>
      <c r="R3272" s="17" t="s">
        <v>35</v>
      </c>
      <c r="S3272" s="17" t="str">
        <f aca="false">VLOOKUP(R3272,Sheet2!N:O,2,0)</f>
        <v>IREPARABLE</v>
      </c>
      <c r="T3272" s="18" t="str">
        <f aca="false">VLOOKUP(P3272,Sheet2!Q:R,2,0)</f>
        <v>IR Normal - Track burn out</v>
      </c>
      <c r="U3272" s="20" t="s">
        <v>41</v>
      </c>
      <c r="V3272" s="17"/>
      <c r="W3272" s="20" t="e">
        <f aca="false">VLOOKUP(V3272,Sheet2!Q:R,2,0)</f>
        <v>#N/A</v>
      </c>
      <c r="X3272" s="17" t="n">
        <f aca="false">J3272</f>
        <v>0</v>
      </c>
      <c r="Y3272" s="17" t="e">
        <f aca="false">VLOOKUP(X3272,Sheet2!A:B,2,0)</f>
        <v>#N/A</v>
      </c>
      <c r="Z3272" s="17"/>
      <c r="AA3272" s="17"/>
      <c r="AB3272" s="17" t="s">
        <v>41</v>
      </c>
      <c r="AC3272" s="0" t="str">
        <f aca="false">LEFT(G3272,2)</f>
        <v/>
      </c>
    </row>
    <row r="3273" customFormat="false" ht="15" hidden="false" customHeight="false" outlineLevel="0" collapsed="false">
      <c r="A3273" s="13" t="n">
        <f aca="false">1+A3272</f>
        <v>3271</v>
      </c>
      <c r="B3273" s="14" t="n">
        <v>100</v>
      </c>
      <c r="C3273" s="15"/>
      <c r="D3273" s="16" t="s">
        <v>64</v>
      </c>
      <c r="E3273" s="17" t="s">
        <v>47</v>
      </c>
      <c r="F3273" s="18" t="s">
        <v>34</v>
      </c>
      <c r="G3273" s="19"/>
      <c r="H3273" s="17" t="s">
        <v>35</v>
      </c>
      <c r="I3273" s="17" t="s">
        <v>44</v>
      </c>
      <c r="J3273" s="17"/>
      <c r="K3273" s="17" t="e">
        <f aca="false">VLOOKUP(J3273,Sheet2!A:B,2,0)</f>
        <v>#N/A</v>
      </c>
      <c r="L3273" s="17" t="n">
        <v>5</v>
      </c>
      <c r="M3273" s="17" t="str">
        <f aca="false">VLOOKUP(L3273,Sheet2!D:E,2,0)</f>
        <v>Main Processor CPU BGA</v>
      </c>
      <c r="N3273" s="17" t="n">
        <v>1</v>
      </c>
      <c r="O3273" s="17" t="str">
        <f aca="false">VLOOKUP(N3273,Sheet2!G:H,2,0)</f>
        <v>Dead</v>
      </c>
      <c r="P3273" s="17" t="n">
        <v>11</v>
      </c>
      <c r="Q3273" s="17" t="str">
        <f aca="false">VLOOKUP(P3273,Sheet2!J:K,2,0)</f>
        <v>IR Declared due to CID -TA</v>
      </c>
      <c r="R3273" s="17" t="s">
        <v>35</v>
      </c>
      <c r="S3273" s="17" t="str">
        <f aca="false">VLOOKUP(R3273,Sheet2!N:O,2,0)</f>
        <v>IREPARABLE</v>
      </c>
      <c r="T3273" s="18" t="str">
        <f aca="false">VLOOKUP(P3273,Sheet2!Q:R,2,0)</f>
        <v>IR Normal - Track burn out</v>
      </c>
      <c r="U3273" s="20" t="s">
        <v>41</v>
      </c>
      <c r="V3273" s="17"/>
      <c r="W3273" s="20" t="e">
        <f aca="false">VLOOKUP(V3273,Sheet2!Q:R,2,0)</f>
        <v>#N/A</v>
      </c>
      <c r="X3273" s="17" t="n">
        <f aca="false">J3273</f>
        <v>0</v>
      </c>
      <c r="Y3273" s="17" t="e">
        <f aca="false">VLOOKUP(X3273,Sheet2!A:B,2,0)</f>
        <v>#N/A</v>
      </c>
      <c r="Z3273" s="17"/>
      <c r="AA3273" s="17"/>
      <c r="AB3273" s="17" t="s">
        <v>41</v>
      </c>
      <c r="AC3273" s="0" t="str">
        <f aca="false">LEFT(G3273,2)</f>
        <v/>
      </c>
    </row>
    <row r="3274" customFormat="false" ht="15" hidden="false" customHeight="false" outlineLevel="0" collapsed="false">
      <c r="A3274" s="13" t="n">
        <f aca="false">1+A3273</f>
        <v>3272</v>
      </c>
      <c r="B3274" s="14" t="n">
        <v>100</v>
      </c>
      <c r="C3274" s="15"/>
      <c r="D3274" s="16" t="s">
        <v>64</v>
      </c>
      <c r="E3274" s="17" t="s">
        <v>47</v>
      </c>
      <c r="F3274" s="18" t="s">
        <v>34</v>
      </c>
      <c r="G3274" s="19"/>
      <c r="H3274" s="17" t="s">
        <v>35</v>
      </c>
      <c r="I3274" s="17" t="s">
        <v>44</v>
      </c>
      <c r="J3274" s="17"/>
      <c r="K3274" s="17" t="e">
        <f aca="false">VLOOKUP(J3274,Sheet2!A:B,2,0)</f>
        <v>#N/A</v>
      </c>
      <c r="L3274" s="17" t="n">
        <v>5</v>
      </c>
      <c r="M3274" s="17" t="str">
        <f aca="false">VLOOKUP(L3274,Sheet2!D:E,2,0)</f>
        <v>Main Processor CPU BGA</v>
      </c>
      <c r="N3274" s="17" t="n">
        <v>1</v>
      </c>
      <c r="O3274" s="17" t="str">
        <f aca="false">VLOOKUP(N3274,Sheet2!G:H,2,0)</f>
        <v>Dead</v>
      </c>
      <c r="P3274" s="17" t="n">
        <v>11</v>
      </c>
      <c r="Q3274" s="17" t="str">
        <f aca="false">VLOOKUP(P3274,Sheet2!J:K,2,0)</f>
        <v>IR Declared due to CID -TA</v>
      </c>
      <c r="R3274" s="17" t="s">
        <v>35</v>
      </c>
      <c r="S3274" s="17" t="str">
        <f aca="false">VLOOKUP(R3274,Sheet2!N:O,2,0)</f>
        <v>IREPARABLE</v>
      </c>
      <c r="T3274" s="18" t="str">
        <f aca="false">VLOOKUP(P3274,Sheet2!Q:R,2,0)</f>
        <v>IR Normal - Track burn out</v>
      </c>
      <c r="U3274" s="20" t="s">
        <v>41</v>
      </c>
      <c r="V3274" s="17"/>
      <c r="W3274" s="20" t="e">
        <f aca="false">VLOOKUP(V3274,Sheet2!Q:R,2,0)</f>
        <v>#N/A</v>
      </c>
      <c r="X3274" s="17" t="n">
        <f aca="false">J3274</f>
        <v>0</v>
      </c>
      <c r="Y3274" s="17" t="e">
        <f aca="false">VLOOKUP(X3274,Sheet2!A:B,2,0)</f>
        <v>#N/A</v>
      </c>
      <c r="Z3274" s="17"/>
      <c r="AA3274" s="17"/>
      <c r="AB3274" s="17" t="s">
        <v>41</v>
      </c>
      <c r="AC3274" s="0" t="str">
        <f aca="false">LEFT(G3274,2)</f>
        <v/>
      </c>
    </row>
    <row r="3275" customFormat="false" ht="15" hidden="false" customHeight="false" outlineLevel="0" collapsed="false">
      <c r="A3275" s="13" t="n">
        <f aca="false">1+A3274</f>
        <v>3273</v>
      </c>
      <c r="B3275" s="14" t="n">
        <v>100</v>
      </c>
      <c r="C3275" s="15"/>
      <c r="D3275" s="16" t="s">
        <v>64</v>
      </c>
      <c r="E3275" s="17" t="s">
        <v>47</v>
      </c>
      <c r="F3275" s="18" t="s">
        <v>34</v>
      </c>
      <c r="G3275" s="19"/>
      <c r="H3275" s="17" t="s">
        <v>35</v>
      </c>
      <c r="I3275" s="17" t="s">
        <v>44</v>
      </c>
      <c r="J3275" s="17"/>
      <c r="K3275" s="17" t="e">
        <f aca="false">VLOOKUP(J3275,Sheet2!A:B,2,0)</f>
        <v>#N/A</v>
      </c>
      <c r="L3275" s="17" t="n">
        <v>5</v>
      </c>
      <c r="M3275" s="17" t="str">
        <f aca="false">VLOOKUP(L3275,Sheet2!D:E,2,0)</f>
        <v>Main Processor CPU BGA</v>
      </c>
      <c r="N3275" s="17" t="n">
        <v>1</v>
      </c>
      <c r="O3275" s="17" t="str">
        <f aca="false">VLOOKUP(N3275,Sheet2!G:H,2,0)</f>
        <v>Dead</v>
      </c>
      <c r="P3275" s="17" t="n">
        <v>11</v>
      </c>
      <c r="Q3275" s="17" t="str">
        <f aca="false">VLOOKUP(P3275,Sheet2!J:K,2,0)</f>
        <v>IR Declared due to CID -TA</v>
      </c>
      <c r="R3275" s="17" t="s">
        <v>35</v>
      </c>
      <c r="S3275" s="17" t="str">
        <f aca="false">VLOOKUP(R3275,Sheet2!N:O,2,0)</f>
        <v>IREPARABLE</v>
      </c>
      <c r="T3275" s="18" t="str">
        <f aca="false">VLOOKUP(P3275,Sheet2!Q:R,2,0)</f>
        <v>IR Normal - Track burn out</v>
      </c>
      <c r="U3275" s="20" t="s">
        <v>41</v>
      </c>
      <c r="V3275" s="17"/>
      <c r="W3275" s="20" t="e">
        <f aca="false">VLOOKUP(V3275,Sheet2!Q:R,2,0)</f>
        <v>#N/A</v>
      </c>
      <c r="X3275" s="17" t="n">
        <f aca="false">J3275</f>
        <v>0</v>
      </c>
      <c r="Y3275" s="17" t="e">
        <f aca="false">VLOOKUP(X3275,Sheet2!A:B,2,0)</f>
        <v>#N/A</v>
      </c>
      <c r="Z3275" s="17"/>
      <c r="AA3275" s="17"/>
      <c r="AB3275" s="17" t="s">
        <v>41</v>
      </c>
      <c r="AC3275" s="0" t="str">
        <f aca="false">LEFT(G3275,2)</f>
        <v/>
      </c>
    </row>
    <row r="3276" customFormat="false" ht="15" hidden="false" customHeight="false" outlineLevel="0" collapsed="false">
      <c r="A3276" s="13" t="n">
        <f aca="false">1+A3275</f>
        <v>3274</v>
      </c>
      <c r="B3276" s="14" t="n">
        <v>100</v>
      </c>
      <c r="C3276" s="15"/>
      <c r="D3276" s="16" t="s">
        <v>64</v>
      </c>
      <c r="E3276" s="17" t="s">
        <v>47</v>
      </c>
      <c r="F3276" s="18" t="s">
        <v>34</v>
      </c>
      <c r="G3276" s="19"/>
      <c r="H3276" s="17" t="s">
        <v>35</v>
      </c>
      <c r="I3276" s="17" t="s">
        <v>44</v>
      </c>
      <c r="J3276" s="17"/>
      <c r="K3276" s="17" t="e">
        <f aca="false">VLOOKUP(J3276,Sheet2!A:B,2,0)</f>
        <v>#N/A</v>
      </c>
      <c r="L3276" s="17" t="n">
        <v>5</v>
      </c>
      <c r="M3276" s="17" t="str">
        <f aca="false">VLOOKUP(L3276,Sheet2!D:E,2,0)</f>
        <v>Main Processor CPU BGA</v>
      </c>
      <c r="N3276" s="17" t="n">
        <v>1</v>
      </c>
      <c r="O3276" s="17" t="str">
        <f aca="false">VLOOKUP(N3276,Sheet2!G:H,2,0)</f>
        <v>Dead</v>
      </c>
      <c r="P3276" s="17" t="n">
        <v>11</v>
      </c>
      <c r="Q3276" s="17" t="str">
        <f aca="false">VLOOKUP(P3276,Sheet2!J:K,2,0)</f>
        <v>IR Declared due to CID -TA</v>
      </c>
      <c r="R3276" s="17" t="s">
        <v>35</v>
      </c>
      <c r="S3276" s="17" t="str">
        <f aca="false">VLOOKUP(R3276,Sheet2!N:O,2,0)</f>
        <v>IREPARABLE</v>
      </c>
      <c r="T3276" s="18" t="str">
        <f aca="false">VLOOKUP(P3276,Sheet2!Q:R,2,0)</f>
        <v>IR Normal - Track burn out</v>
      </c>
      <c r="U3276" s="20" t="s">
        <v>41</v>
      </c>
      <c r="V3276" s="17"/>
      <c r="W3276" s="20" t="e">
        <f aca="false">VLOOKUP(V3276,Sheet2!Q:R,2,0)</f>
        <v>#N/A</v>
      </c>
      <c r="X3276" s="17" t="n">
        <f aca="false">J3276</f>
        <v>0</v>
      </c>
      <c r="Y3276" s="17" t="e">
        <f aca="false">VLOOKUP(X3276,Sheet2!A:B,2,0)</f>
        <v>#N/A</v>
      </c>
      <c r="Z3276" s="17"/>
      <c r="AA3276" s="17"/>
      <c r="AB3276" s="17" t="s">
        <v>41</v>
      </c>
      <c r="AC3276" s="0" t="str">
        <f aca="false">LEFT(G3276,2)</f>
        <v/>
      </c>
    </row>
    <row r="3277" customFormat="false" ht="15" hidden="false" customHeight="false" outlineLevel="0" collapsed="false">
      <c r="A3277" s="13" t="n">
        <f aca="false">1+A3276</f>
        <v>3275</v>
      </c>
      <c r="B3277" s="14" t="n">
        <v>100</v>
      </c>
      <c r="C3277" s="15"/>
      <c r="D3277" s="16" t="s">
        <v>64</v>
      </c>
      <c r="E3277" s="17" t="s">
        <v>47</v>
      </c>
      <c r="F3277" s="18" t="s">
        <v>34</v>
      </c>
      <c r="G3277" s="19"/>
      <c r="H3277" s="17" t="s">
        <v>35</v>
      </c>
      <c r="I3277" s="17" t="s">
        <v>44</v>
      </c>
      <c r="J3277" s="17"/>
      <c r="K3277" s="17" t="e">
        <f aca="false">VLOOKUP(J3277,Sheet2!A:B,2,0)</f>
        <v>#N/A</v>
      </c>
      <c r="L3277" s="17" t="n">
        <v>5</v>
      </c>
      <c r="M3277" s="17" t="str">
        <f aca="false">VLOOKUP(L3277,Sheet2!D:E,2,0)</f>
        <v>Main Processor CPU BGA</v>
      </c>
      <c r="N3277" s="17" t="n">
        <v>1</v>
      </c>
      <c r="O3277" s="17" t="str">
        <f aca="false">VLOOKUP(N3277,Sheet2!G:H,2,0)</f>
        <v>Dead</v>
      </c>
      <c r="P3277" s="17" t="n">
        <v>11</v>
      </c>
      <c r="Q3277" s="17" t="str">
        <f aca="false">VLOOKUP(P3277,Sheet2!J:K,2,0)</f>
        <v>IR Declared due to CID -TA</v>
      </c>
      <c r="R3277" s="17" t="s">
        <v>35</v>
      </c>
      <c r="S3277" s="17" t="str">
        <f aca="false">VLOOKUP(R3277,Sheet2!N:O,2,0)</f>
        <v>IREPARABLE</v>
      </c>
      <c r="T3277" s="18" t="str">
        <f aca="false">VLOOKUP(P3277,Sheet2!Q:R,2,0)</f>
        <v>IR Normal - Track burn out</v>
      </c>
      <c r="U3277" s="20" t="s">
        <v>41</v>
      </c>
      <c r="V3277" s="17"/>
      <c r="W3277" s="20" t="e">
        <f aca="false">VLOOKUP(V3277,Sheet2!Q:R,2,0)</f>
        <v>#N/A</v>
      </c>
      <c r="X3277" s="17" t="n">
        <f aca="false">J3277</f>
        <v>0</v>
      </c>
      <c r="Y3277" s="17" t="e">
        <f aca="false">VLOOKUP(X3277,Sheet2!A:B,2,0)</f>
        <v>#N/A</v>
      </c>
      <c r="Z3277" s="17"/>
      <c r="AA3277" s="17"/>
      <c r="AB3277" s="17" t="s">
        <v>41</v>
      </c>
      <c r="AC3277" s="0" t="str">
        <f aca="false">LEFT(G3277,2)</f>
        <v/>
      </c>
    </row>
    <row r="3278" customFormat="false" ht="15" hidden="false" customHeight="false" outlineLevel="0" collapsed="false">
      <c r="A3278" s="13" t="n">
        <f aca="false">1+A3277</f>
        <v>3276</v>
      </c>
      <c r="B3278" s="14" t="n">
        <v>100</v>
      </c>
      <c r="C3278" s="15"/>
      <c r="D3278" s="16" t="s">
        <v>64</v>
      </c>
      <c r="E3278" s="17" t="s">
        <v>47</v>
      </c>
      <c r="F3278" s="18" t="s">
        <v>34</v>
      </c>
      <c r="G3278" s="19"/>
      <c r="H3278" s="17" t="s">
        <v>35</v>
      </c>
      <c r="I3278" s="17" t="s">
        <v>44</v>
      </c>
      <c r="J3278" s="17"/>
      <c r="K3278" s="17" t="e">
        <f aca="false">VLOOKUP(J3278,Sheet2!A:B,2,0)</f>
        <v>#N/A</v>
      </c>
      <c r="L3278" s="17" t="n">
        <v>5</v>
      </c>
      <c r="M3278" s="17" t="str">
        <f aca="false">VLOOKUP(L3278,Sheet2!D:E,2,0)</f>
        <v>Main Processor CPU BGA</v>
      </c>
      <c r="N3278" s="17" t="n">
        <v>1</v>
      </c>
      <c r="O3278" s="17" t="str">
        <f aca="false">VLOOKUP(N3278,Sheet2!G:H,2,0)</f>
        <v>Dead</v>
      </c>
      <c r="P3278" s="17" t="n">
        <v>11</v>
      </c>
      <c r="Q3278" s="17" t="str">
        <f aca="false">VLOOKUP(P3278,Sheet2!J:K,2,0)</f>
        <v>IR Declared due to CID -TA</v>
      </c>
      <c r="R3278" s="17" t="s">
        <v>35</v>
      </c>
      <c r="S3278" s="17" t="str">
        <f aca="false">VLOOKUP(R3278,Sheet2!N:O,2,0)</f>
        <v>IREPARABLE</v>
      </c>
      <c r="T3278" s="18" t="str">
        <f aca="false">VLOOKUP(P3278,Sheet2!Q:R,2,0)</f>
        <v>IR Normal - Track burn out</v>
      </c>
      <c r="U3278" s="20" t="s">
        <v>41</v>
      </c>
      <c r="V3278" s="17"/>
      <c r="W3278" s="20" t="e">
        <f aca="false">VLOOKUP(V3278,Sheet2!Q:R,2,0)</f>
        <v>#N/A</v>
      </c>
      <c r="X3278" s="17" t="n">
        <f aca="false">J3278</f>
        <v>0</v>
      </c>
      <c r="Y3278" s="17" t="e">
        <f aca="false">VLOOKUP(X3278,Sheet2!A:B,2,0)</f>
        <v>#N/A</v>
      </c>
      <c r="Z3278" s="17"/>
      <c r="AA3278" s="17"/>
      <c r="AB3278" s="17" t="s">
        <v>41</v>
      </c>
      <c r="AC3278" s="0" t="str">
        <f aca="false">LEFT(G3278,2)</f>
        <v/>
      </c>
    </row>
    <row r="3279" customFormat="false" ht="15" hidden="false" customHeight="false" outlineLevel="0" collapsed="false">
      <c r="A3279" s="13" t="n">
        <f aca="false">1+A3278</f>
        <v>3277</v>
      </c>
      <c r="B3279" s="14" t="n">
        <v>100</v>
      </c>
      <c r="C3279" s="15"/>
      <c r="D3279" s="16" t="s">
        <v>64</v>
      </c>
      <c r="E3279" s="17" t="s">
        <v>47</v>
      </c>
      <c r="F3279" s="18" t="s">
        <v>34</v>
      </c>
      <c r="G3279" s="19"/>
      <c r="H3279" s="17" t="s">
        <v>35</v>
      </c>
      <c r="I3279" s="17" t="s">
        <v>44</v>
      </c>
      <c r="J3279" s="17"/>
      <c r="K3279" s="17" t="e">
        <f aca="false">VLOOKUP(J3279,Sheet2!A:B,2,0)</f>
        <v>#N/A</v>
      </c>
      <c r="L3279" s="17" t="n">
        <v>5</v>
      </c>
      <c r="M3279" s="17" t="str">
        <f aca="false">VLOOKUP(L3279,Sheet2!D:E,2,0)</f>
        <v>Main Processor CPU BGA</v>
      </c>
      <c r="N3279" s="17" t="n">
        <v>1</v>
      </c>
      <c r="O3279" s="17" t="str">
        <f aca="false">VLOOKUP(N3279,Sheet2!G:H,2,0)</f>
        <v>Dead</v>
      </c>
      <c r="P3279" s="17" t="n">
        <v>11</v>
      </c>
      <c r="Q3279" s="17" t="str">
        <f aca="false">VLOOKUP(P3279,Sheet2!J:K,2,0)</f>
        <v>IR Declared due to CID -TA</v>
      </c>
      <c r="R3279" s="17" t="s">
        <v>35</v>
      </c>
      <c r="S3279" s="17" t="str">
        <f aca="false">VLOOKUP(R3279,Sheet2!N:O,2,0)</f>
        <v>IREPARABLE</v>
      </c>
      <c r="T3279" s="18" t="str">
        <f aca="false">VLOOKUP(P3279,Sheet2!Q:R,2,0)</f>
        <v>IR Normal - Track burn out</v>
      </c>
      <c r="U3279" s="20" t="s">
        <v>41</v>
      </c>
      <c r="V3279" s="17"/>
      <c r="W3279" s="20" t="e">
        <f aca="false">VLOOKUP(V3279,Sheet2!Q:R,2,0)</f>
        <v>#N/A</v>
      </c>
      <c r="X3279" s="17" t="n">
        <f aca="false">J3279</f>
        <v>0</v>
      </c>
      <c r="Y3279" s="17" t="e">
        <f aca="false">VLOOKUP(X3279,Sheet2!A:B,2,0)</f>
        <v>#N/A</v>
      </c>
      <c r="Z3279" s="17"/>
      <c r="AA3279" s="17"/>
      <c r="AB3279" s="17" t="s">
        <v>41</v>
      </c>
      <c r="AC3279" s="0" t="str">
        <f aca="false">LEFT(G3279,2)</f>
        <v/>
      </c>
    </row>
    <row r="3280" customFormat="false" ht="15" hidden="false" customHeight="false" outlineLevel="0" collapsed="false">
      <c r="A3280" s="13" t="n">
        <f aca="false">1+A3279</f>
        <v>3278</v>
      </c>
      <c r="B3280" s="14" t="n">
        <v>100</v>
      </c>
      <c r="C3280" s="15"/>
      <c r="D3280" s="16" t="s">
        <v>64</v>
      </c>
      <c r="E3280" s="17" t="s">
        <v>47</v>
      </c>
      <c r="F3280" s="18" t="s">
        <v>34</v>
      </c>
      <c r="G3280" s="19"/>
      <c r="H3280" s="17" t="s">
        <v>35</v>
      </c>
      <c r="I3280" s="17" t="s">
        <v>44</v>
      </c>
      <c r="J3280" s="17"/>
      <c r="K3280" s="17" t="e">
        <f aca="false">VLOOKUP(J3280,Sheet2!A:B,2,0)</f>
        <v>#N/A</v>
      </c>
      <c r="L3280" s="17" t="n">
        <v>5</v>
      </c>
      <c r="M3280" s="17" t="str">
        <f aca="false">VLOOKUP(L3280,Sheet2!D:E,2,0)</f>
        <v>Main Processor CPU BGA</v>
      </c>
      <c r="N3280" s="17" t="n">
        <v>1</v>
      </c>
      <c r="O3280" s="17" t="str">
        <f aca="false">VLOOKUP(N3280,Sheet2!G:H,2,0)</f>
        <v>Dead</v>
      </c>
      <c r="P3280" s="17" t="n">
        <v>11</v>
      </c>
      <c r="Q3280" s="17" t="str">
        <f aca="false">VLOOKUP(P3280,Sheet2!J:K,2,0)</f>
        <v>IR Declared due to CID -TA</v>
      </c>
      <c r="R3280" s="17" t="s">
        <v>35</v>
      </c>
      <c r="S3280" s="17" t="str">
        <f aca="false">VLOOKUP(R3280,Sheet2!N:O,2,0)</f>
        <v>IREPARABLE</v>
      </c>
      <c r="T3280" s="18" t="str">
        <f aca="false">VLOOKUP(P3280,Sheet2!Q:R,2,0)</f>
        <v>IR Normal - Track burn out</v>
      </c>
      <c r="U3280" s="20" t="s">
        <v>41</v>
      </c>
      <c r="V3280" s="17"/>
      <c r="W3280" s="20" t="e">
        <f aca="false">VLOOKUP(V3280,Sheet2!Q:R,2,0)</f>
        <v>#N/A</v>
      </c>
      <c r="X3280" s="17" t="n">
        <f aca="false">J3280</f>
        <v>0</v>
      </c>
      <c r="Y3280" s="17" t="e">
        <f aca="false">VLOOKUP(X3280,Sheet2!A:B,2,0)</f>
        <v>#N/A</v>
      </c>
      <c r="Z3280" s="17"/>
      <c r="AA3280" s="17"/>
      <c r="AB3280" s="17" t="s">
        <v>41</v>
      </c>
      <c r="AC3280" s="0" t="str">
        <f aca="false">LEFT(G3280,2)</f>
        <v/>
      </c>
    </row>
    <row r="3281" customFormat="false" ht="15" hidden="false" customHeight="false" outlineLevel="0" collapsed="false">
      <c r="A3281" s="13" t="n">
        <f aca="false">1+A3280</f>
        <v>3279</v>
      </c>
      <c r="B3281" s="14" t="n">
        <v>100</v>
      </c>
      <c r="C3281" s="15"/>
      <c r="D3281" s="16" t="s">
        <v>64</v>
      </c>
      <c r="E3281" s="17" t="s">
        <v>47</v>
      </c>
      <c r="F3281" s="18" t="s">
        <v>34</v>
      </c>
      <c r="G3281" s="19"/>
      <c r="H3281" s="17" t="s">
        <v>35</v>
      </c>
      <c r="I3281" s="17" t="s">
        <v>44</v>
      </c>
      <c r="J3281" s="17"/>
      <c r="K3281" s="17" t="e">
        <f aca="false">VLOOKUP(J3281,Sheet2!A:B,2,0)</f>
        <v>#N/A</v>
      </c>
      <c r="L3281" s="17" t="n">
        <v>5</v>
      </c>
      <c r="M3281" s="17" t="str">
        <f aca="false">VLOOKUP(L3281,Sheet2!D:E,2,0)</f>
        <v>Main Processor CPU BGA</v>
      </c>
      <c r="N3281" s="17" t="n">
        <v>1</v>
      </c>
      <c r="O3281" s="17" t="str">
        <f aca="false">VLOOKUP(N3281,Sheet2!G:H,2,0)</f>
        <v>Dead</v>
      </c>
      <c r="P3281" s="17" t="n">
        <v>11</v>
      </c>
      <c r="Q3281" s="17" t="str">
        <f aca="false">VLOOKUP(P3281,Sheet2!J:K,2,0)</f>
        <v>IR Declared due to CID -TA</v>
      </c>
      <c r="R3281" s="17" t="s">
        <v>35</v>
      </c>
      <c r="S3281" s="17" t="str">
        <f aca="false">VLOOKUP(R3281,Sheet2!N:O,2,0)</f>
        <v>IREPARABLE</v>
      </c>
      <c r="T3281" s="18" t="str">
        <f aca="false">VLOOKUP(P3281,Sheet2!Q:R,2,0)</f>
        <v>IR Normal - Track burn out</v>
      </c>
      <c r="U3281" s="20" t="s">
        <v>41</v>
      </c>
      <c r="V3281" s="17"/>
      <c r="W3281" s="20" t="e">
        <f aca="false">VLOOKUP(V3281,Sheet2!Q:R,2,0)</f>
        <v>#N/A</v>
      </c>
      <c r="X3281" s="17" t="n">
        <f aca="false">J3281</f>
        <v>0</v>
      </c>
      <c r="Y3281" s="17" t="e">
        <f aca="false">VLOOKUP(X3281,Sheet2!A:B,2,0)</f>
        <v>#N/A</v>
      </c>
      <c r="Z3281" s="17"/>
      <c r="AA3281" s="17"/>
      <c r="AB3281" s="17" t="s">
        <v>41</v>
      </c>
      <c r="AC3281" s="0" t="str">
        <f aca="false">LEFT(G3281,2)</f>
        <v/>
      </c>
    </row>
    <row r="3282" customFormat="false" ht="15" hidden="false" customHeight="false" outlineLevel="0" collapsed="false">
      <c r="A3282" s="13" t="n">
        <f aca="false">1+A3281</f>
        <v>3280</v>
      </c>
      <c r="B3282" s="14" t="n">
        <v>100</v>
      </c>
      <c r="C3282" s="15"/>
      <c r="D3282" s="16" t="s">
        <v>64</v>
      </c>
      <c r="E3282" s="17" t="s">
        <v>47</v>
      </c>
      <c r="F3282" s="18" t="s">
        <v>34</v>
      </c>
      <c r="G3282" s="19"/>
      <c r="H3282" s="17" t="s">
        <v>35</v>
      </c>
      <c r="I3282" s="17" t="s">
        <v>44</v>
      </c>
      <c r="J3282" s="17"/>
      <c r="K3282" s="17" t="e">
        <f aca="false">VLOOKUP(J3282,Sheet2!A:B,2,0)</f>
        <v>#N/A</v>
      </c>
      <c r="L3282" s="17" t="n">
        <v>5</v>
      </c>
      <c r="M3282" s="17" t="str">
        <f aca="false">VLOOKUP(L3282,Sheet2!D:E,2,0)</f>
        <v>Main Processor CPU BGA</v>
      </c>
      <c r="N3282" s="17" t="n">
        <v>1</v>
      </c>
      <c r="O3282" s="17" t="str">
        <f aca="false">VLOOKUP(N3282,Sheet2!G:H,2,0)</f>
        <v>Dead</v>
      </c>
      <c r="P3282" s="17" t="n">
        <v>11</v>
      </c>
      <c r="Q3282" s="17" t="str">
        <f aca="false">VLOOKUP(P3282,Sheet2!J:K,2,0)</f>
        <v>IR Declared due to CID -TA</v>
      </c>
      <c r="R3282" s="17" t="s">
        <v>35</v>
      </c>
      <c r="S3282" s="17" t="str">
        <f aca="false">VLOOKUP(R3282,Sheet2!N:O,2,0)</f>
        <v>IREPARABLE</v>
      </c>
      <c r="T3282" s="18" t="str">
        <f aca="false">VLOOKUP(P3282,Sheet2!Q:R,2,0)</f>
        <v>IR Normal - Track burn out</v>
      </c>
      <c r="U3282" s="20" t="s">
        <v>41</v>
      </c>
      <c r="V3282" s="17"/>
      <c r="W3282" s="20" t="e">
        <f aca="false">VLOOKUP(V3282,Sheet2!Q:R,2,0)</f>
        <v>#N/A</v>
      </c>
      <c r="X3282" s="17" t="n">
        <f aca="false">J3282</f>
        <v>0</v>
      </c>
      <c r="Y3282" s="17" t="e">
        <f aca="false">VLOOKUP(X3282,Sheet2!A:B,2,0)</f>
        <v>#N/A</v>
      </c>
      <c r="Z3282" s="17"/>
      <c r="AA3282" s="17"/>
      <c r="AB3282" s="17" t="s">
        <v>41</v>
      </c>
      <c r="AC3282" s="0" t="str">
        <f aca="false">LEFT(G3282,2)</f>
        <v/>
      </c>
    </row>
    <row r="3283" customFormat="false" ht="15" hidden="false" customHeight="false" outlineLevel="0" collapsed="false">
      <c r="A3283" s="13" t="n">
        <f aca="false">1+A3282</f>
        <v>3281</v>
      </c>
      <c r="B3283" s="14" t="n">
        <v>100</v>
      </c>
      <c r="C3283" s="15"/>
      <c r="D3283" s="16" t="s">
        <v>64</v>
      </c>
      <c r="E3283" s="17" t="s">
        <v>47</v>
      </c>
      <c r="F3283" s="18" t="s">
        <v>34</v>
      </c>
      <c r="G3283" s="19"/>
      <c r="H3283" s="17" t="s">
        <v>35</v>
      </c>
      <c r="I3283" s="17" t="s">
        <v>44</v>
      </c>
      <c r="J3283" s="17"/>
      <c r="K3283" s="17" t="e">
        <f aca="false">VLOOKUP(J3283,Sheet2!A:B,2,0)</f>
        <v>#N/A</v>
      </c>
      <c r="L3283" s="17" t="n">
        <v>5</v>
      </c>
      <c r="M3283" s="17" t="str">
        <f aca="false">VLOOKUP(L3283,Sheet2!D:E,2,0)</f>
        <v>Main Processor CPU BGA</v>
      </c>
      <c r="N3283" s="17" t="n">
        <v>1</v>
      </c>
      <c r="O3283" s="17" t="str">
        <f aca="false">VLOOKUP(N3283,Sheet2!G:H,2,0)</f>
        <v>Dead</v>
      </c>
      <c r="P3283" s="17" t="n">
        <v>11</v>
      </c>
      <c r="Q3283" s="17" t="str">
        <f aca="false">VLOOKUP(P3283,Sheet2!J:K,2,0)</f>
        <v>IR Declared due to CID -TA</v>
      </c>
      <c r="R3283" s="17" t="s">
        <v>35</v>
      </c>
      <c r="S3283" s="17" t="str">
        <f aca="false">VLOOKUP(R3283,Sheet2!N:O,2,0)</f>
        <v>IREPARABLE</v>
      </c>
      <c r="T3283" s="18" t="str">
        <f aca="false">VLOOKUP(P3283,Sheet2!Q:R,2,0)</f>
        <v>IR Normal - Track burn out</v>
      </c>
      <c r="U3283" s="20" t="s">
        <v>41</v>
      </c>
      <c r="V3283" s="17"/>
      <c r="W3283" s="20" t="e">
        <f aca="false">VLOOKUP(V3283,Sheet2!Q:R,2,0)</f>
        <v>#N/A</v>
      </c>
      <c r="X3283" s="17" t="n">
        <f aca="false">J3283</f>
        <v>0</v>
      </c>
      <c r="Y3283" s="17" t="e">
        <f aca="false">VLOOKUP(X3283,Sheet2!A:B,2,0)</f>
        <v>#N/A</v>
      </c>
      <c r="Z3283" s="17"/>
      <c r="AA3283" s="17"/>
      <c r="AB3283" s="17" t="s">
        <v>41</v>
      </c>
      <c r="AC3283" s="0" t="str">
        <f aca="false">LEFT(G3283,2)</f>
        <v/>
      </c>
    </row>
    <row r="3284" customFormat="false" ht="15" hidden="false" customHeight="false" outlineLevel="0" collapsed="false">
      <c r="A3284" s="13" t="n">
        <f aca="false">1+A3283</f>
        <v>3282</v>
      </c>
      <c r="B3284" s="14" t="n">
        <v>100</v>
      </c>
      <c r="C3284" s="15"/>
      <c r="D3284" s="16" t="s">
        <v>64</v>
      </c>
      <c r="E3284" s="17" t="s">
        <v>47</v>
      </c>
      <c r="F3284" s="18" t="s">
        <v>34</v>
      </c>
      <c r="G3284" s="19"/>
      <c r="H3284" s="17" t="s">
        <v>35</v>
      </c>
      <c r="I3284" s="17" t="s">
        <v>44</v>
      </c>
      <c r="J3284" s="17"/>
      <c r="K3284" s="17" t="e">
        <f aca="false">VLOOKUP(J3284,Sheet2!A:B,2,0)</f>
        <v>#N/A</v>
      </c>
      <c r="L3284" s="17" t="n">
        <v>5</v>
      </c>
      <c r="M3284" s="17" t="str">
        <f aca="false">VLOOKUP(L3284,Sheet2!D:E,2,0)</f>
        <v>Main Processor CPU BGA</v>
      </c>
      <c r="N3284" s="17" t="n">
        <v>1</v>
      </c>
      <c r="O3284" s="17" t="str">
        <f aca="false">VLOOKUP(N3284,Sheet2!G:H,2,0)</f>
        <v>Dead</v>
      </c>
      <c r="P3284" s="17" t="n">
        <v>11</v>
      </c>
      <c r="Q3284" s="17" t="str">
        <f aca="false">VLOOKUP(P3284,Sheet2!J:K,2,0)</f>
        <v>IR Declared due to CID -TA</v>
      </c>
      <c r="R3284" s="17" t="s">
        <v>35</v>
      </c>
      <c r="S3284" s="17" t="str">
        <f aca="false">VLOOKUP(R3284,Sheet2!N:O,2,0)</f>
        <v>IREPARABLE</v>
      </c>
      <c r="T3284" s="18" t="str">
        <f aca="false">VLOOKUP(P3284,Sheet2!Q:R,2,0)</f>
        <v>IR Normal - Track burn out</v>
      </c>
      <c r="U3284" s="20" t="s">
        <v>41</v>
      </c>
      <c r="V3284" s="17"/>
      <c r="W3284" s="20" t="e">
        <f aca="false">VLOOKUP(V3284,Sheet2!Q:R,2,0)</f>
        <v>#N/A</v>
      </c>
      <c r="X3284" s="17" t="n">
        <f aca="false">J3284</f>
        <v>0</v>
      </c>
      <c r="Y3284" s="17" t="e">
        <f aca="false">VLOOKUP(X3284,Sheet2!A:B,2,0)</f>
        <v>#N/A</v>
      </c>
      <c r="Z3284" s="17"/>
      <c r="AA3284" s="17"/>
      <c r="AB3284" s="17" t="s">
        <v>41</v>
      </c>
      <c r="AC3284" s="0" t="str">
        <f aca="false">LEFT(G3284,2)</f>
        <v/>
      </c>
    </row>
    <row r="3285" customFormat="false" ht="15" hidden="false" customHeight="false" outlineLevel="0" collapsed="false">
      <c r="A3285" s="13" t="n">
        <f aca="false">1+A3284</f>
        <v>3283</v>
      </c>
      <c r="B3285" s="14" t="n">
        <v>100</v>
      </c>
      <c r="C3285" s="15"/>
      <c r="D3285" s="16" t="s">
        <v>64</v>
      </c>
      <c r="E3285" s="17" t="s">
        <v>47</v>
      </c>
      <c r="F3285" s="18" t="s">
        <v>34</v>
      </c>
      <c r="G3285" s="19"/>
      <c r="H3285" s="17" t="s">
        <v>35</v>
      </c>
      <c r="I3285" s="17" t="s">
        <v>44</v>
      </c>
      <c r="J3285" s="17"/>
      <c r="K3285" s="17" t="e">
        <f aca="false">VLOOKUP(J3285,Sheet2!A:B,2,0)</f>
        <v>#N/A</v>
      </c>
      <c r="L3285" s="17" t="n">
        <v>5</v>
      </c>
      <c r="M3285" s="17" t="str">
        <f aca="false">VLOOKUP(L3285,Sheet2!D:E,2,0)</f>
        <v>Main Processor CPU BGA</v>
      </c>
      <c r="N3285" s="17" t="n">
        <v>1</v>
      </c>
      <c r="O3285" s="17" t="str">
        <f aca="false">VLOOKUP(N3285,Sheet2!G:H,2,0)</f>
        <v>Dead</v>
      </c>
      <c r="P3285" s="17" t="n">
        <v>11</v>
      </c>
      <c r="Q3285" s="17" t="str">
        <f aca="false">VLOOKUP(P3285,Sheet2!J:K,2,0)</f>
        <v>IR Declared due to CID -TA</v>
      </c>
      <c r="R3285" s="17" t="s">
        <v>35</v>
      </c>
      <c r="S3285" s="17" t="str">
        <f aca="false">VLOOKUP(R3285,Sheet2!N:O,2,0)</f>
        <v>IREPARABLE</v>
      </c>
      <c r="T3285" s="18" t="str">
        <f aca="false">VLOOKUP(P3285,Sheet2!Q:R,2,0)</f>
        <v>IR Normal - Track burn out</v>
      </c>
      <c r="U3285" s="20" t="s">
        <v>41</v>
      </c>
      <c r="V3285" s="17"/>
      <c r="W3285" s="20" t="e">
        <f aca="false">VLOOKUP(V3285,Sheet2!Q:R,2,0)</f>
        <v>#N/A</v>
      </c>
      <c r="X3285" s="17" t="n">
        <f aca="false">J3285</f>
        <v>0</v>
      </c>
      <c r="Y3285" s="17" t="e">
        <f aca="false">VLOOKUP(X3285,Sheet2!A:B,2,0)</f>
        <v>#N/A</v>
      </c>
      <c r="Z3285" s="17"/>
      <c r="AA3285" s="17"/>
      <c r="AB3285" s="17" t="s">
        <v>41</v>
      </c>
      <c r="AC3285" s="0" t="str">
        <f aca="false">LEFT(G3285,2)</f>
        <v/>
      </c>
    </row>
    <row r="3286" customFormat="false" ht="15" hidden="false" customHeight="false" outlineLevel="0" collapsed="false">
      <c r="A3286" s="13" t="n">
        <f aca="false">1+A3285</f>
        <v>3284</v>
      </c>
      <c r="B3286" s="14" t="n">
        <v>100</v>
      </c>
      <c r="C3286" s="15"/>
      <c r="D3286" s="16" t="s">
        <v>64</v>
      </c>
      <c r="E3286" s="17" t="s">
        <v>47</v>
      </c>
      <c r="F3286" s="18" t="s">
        <v>34</v>
      </c>
      <c r="G3286" s="19"/>
      <c r="H3286" s="17" t="s">
        <v>35</v>
      </c>
      <c r="I3286" s="17" t="s">
        <v>44</v>
      </c>
      <c r="J3286" s="17"/>
      <c r="K3286" s="17" t="e">
        <f aca="false">VLOOKUP(J3286,Sheet2!A:B,2,0)</f>
        <v>#N/A</v>
      </c>
      <c r="L3286" s="17" t="n">
        <v>5</v>
      </c>
      <c r="M3286" s="17" t="str">
        <f aca="false">VLOOKUP(L3286,Sheet2!D:E,2,0)</f>
        <v>Main Processor CPU BGA</v>
      </c>
      <c r="N3286" s="17" t="n">
        <v>1</v>
      </c>
      <c r="O3286" s="17" t="str">
        <f aca="false">VLOOKUP(N3286,Sheet2!G:H,2,0)</f>
        <v>Dead</v>
      </c>
      <c r="P3286" s="17" t="n">
        <v>11</v>
      </c>
      <c r="Q3286" s="17" t="str">
        <f aca="false">VLOOKUP(P3286,Sheet2!J:K,2,0)</f>
        <v>IR Declared due to CID -TA</v>
      </c>
      <c r="R3286" s="17" t="s">
        <v>35</v>
      </c>
      <c r="S3286" s="17" t="str">
        <f aca="false">VLOOKUP(R3286,Sheet2!N:O,2,0)</f>
        <v>IREPARABLE</v>
      </c>
      <c r="T3286" s="18" t="str">
        <f aca="false">VLOOKUP(P3286,Sheet2!Q:R,2,0)</f>
        <v>IR Normal - Track burn out</v>
      </c>
      <c r="U3286" s="20" t="s">
        <v>41</v>
      </c>
      <c r="V3286" s="17"/>
      <c r="W3286" s="20" t="e">
        <f aca="false">VLOOKUP(V3286,Sheet2!Q:R,2,0)</f>
        <v>#N/A</v>
      </c>
      <c r="X3286" s="17" t="n">
        <f aca="false">J3286</f>
        <v>0</v>
      </c>
      <c r="Y3286" s="17" t="e">
        <f aca="false">VLOOKUP(X3286,Sheet2!A:B,2,0)</f>
        <v>#N/A</v>
      </c>
      <c r="Z3286" s="17"/>
      <c r="AA3286" s="17"/>
      <c r="AB3286" s="17" t="s">
        <v>41</v>
      </c>
      <c r="AC3286" s="0" t="str">
        <f aca="false">LEFT(G3286,2)</f>
        <v/>
      </c>
    </row>
    <row r="3287" customFormat="false" ht="15" hidden="false" customHeight="false" outlineLevel="0" collapsed="false">
      <c r="A3287" s="13" t="n">
        <f aca="false">1+A3286</f>
        <v>3285</v>
      </c>
      <c r="B3287" s="14" t="n">
        <v>100</v>
      </c>
      <c r="C3287" s="15"/>
      <c r="D3287" s="16" t="s">
        <v>64</v>
      </c>
      <c r="E3287" s="17" t="s">
        <v>47</v>
      </c>
      <c r="F3287" s="18" t="s">
        <v>34</v>
      </c>
      <c r="G3287" s="19"/>
      <c r="H3287" s="17" t="s">
        <v>35</v>
      </c>
      <c r="I3287" s="17" t="s">
        <v>44</v>
      </c>
      <c r="J3287" s="17"/>
      <c r="K3287" s="17" t="e">
        <f aca="false">VLOOKUP(J3287,Sheet2!A:B,2,0)</f>
        <v>#N/A</v>
      </c>
      <c r="L3287" s="17" t="n">
        <v>5</v>
      </c>
      <c r="M3287" s="17" t="str">
        <f aca="false">VLOOKUP(L3287,Sheet2!D:E,2,0)</f>
        <v>Main Processor CPU BGA</v>
      </c>
      <c r="N3287" s="17" t="n">
        <v>1</v>
      </c>
      <c r="O3287" s="17" t="str">
        <f aca="false">VLOOKUP(N3287,Sheet2!G:H,2,0)</f>
        <v>Dead</v>
      </c>
      <c r="P3287" s="17" t="n">
        <v>11</v>
      </c>
      <c r="Q3287" s="17" t="str">
        <f aca="false">VLOOKUP(P3287,Sheet2!J:K,2,0)</f>
        <v>IR Declared due to CID -TA</v>
      </c>
      <c r="R3287" s="17" t="s">
        <v>35</v>
      </c>
      <c r="S3287" s="17" t="str">
        <f aca="false">VLOOKUP(R3287,Sheet2!N:O,2,0)</f>
        <v>IREPARABLE</v>
      </c>
      <c r="T3287" s="18" t="str">
        <f aca="false">VLOOKUP(P3287,Sheet2!Q:R,2,0)</f>
        <v>IR Normal - Track burn out</v>
      </c>
      <c r="U3287" s="20" t="s">
        <v>41</v>
      </c>
      <c r="V3287" s="17"/>
      <c r="W3287" s="20" t="e">
        <f aca="false">VLOOKUP(V3287,Sheet2!Q:R,2,0)</f>
        <v>#N/A</v>
      </c>
      <c r="X3287" s="17" t="n">
        <f aca="false">J3287</f>
        <v>0</v>
      </c>
      <c r="Y3287" s="17" t="e">
        <f aca="false">VLOOKUP(X3287,Sheet2!A:B,2,0)</f>
        <v>#N/A</v>
      </c>
      <c r="Z3287" s="17"/>
      <c r="AA3287" s="17"/>
      <c r="AB3287" s="17" t="s">
        <v>41</v>
      </c>
      <c r="AC3287" s="0" t="str">
        <f aca="false">LEFT(G3287,2)</f>
        <v/>
      </c>
    </row>
    <row r="3288" customFormat="false" ht="15" hidden="false" customHeight="false" outlineLevel="0" collapsed="false">
      <c r="A3288" s="13" t="n">
        <f aca="false">1+A3287</f>
        <v>3286</v>
      </c>
      <c r="B3288" s="14" t="n">
        <v>100</v>
      </c>
      <c r="C3288" s="15"/>
      <c r="D3288" s="16" t="s">
        <v>64</v>
      </c>
      <c r="E3288" s="17" t="s">
        <v>47</v>
      </c>
      <c r="F3288" s="18" t="s">
        <v>34</v>
      </c>
      <c r="G3288" s="19"/>
      <c r="H3288" s="17" t="s">
        <v>35</v>
      </c>
      <c r="I3288" s="17" t="s">
        <v>44</v>
      </c>
      <c r="J3288" s="17"/>
      <c r="K3288" s="17" t="e">
        <f aca="false">VLOOKUP(J3288,Sheet2!A:B,2,0)</f>
        <v>#N/A</v>
      </c>
      <c r="L3288" s="17" t="n">
        <v>5</v>
      </c>
      <c r="M3288" s="17" t="str">
        <f aca="false">VLOOKUP(L3288,Sheet2!D:E,2,0)</f>
        <v>Main Processor CPU BGA</v>
      </c>
      <c r="N3288" s="17" t="n">
        <v>1</v>
      </c>
      <c r="O3288" s="17" t="str">
        <f aca="false">VLOOKUP(N3288,Sheet2!G:H,2,0)</f>
        <v>Dead</v>
      </c>
      <c r="P3288" s="17" t="n">
        <v>11</v>
      </c>
      <c r="Q3288" s="17" t="str">
        <f aca="false">VLOOKUP(P3288,Sheet2!J:K,2,0)</f>
        <v>IR Declared due to CID -TA</v>
      </c>
      <c r="R3288" s="17" t="s">
        <v>35</v>
      </c>
      <c r="S3288" s="17" t="str">
        <f aca="false">VLOOKUP(R3288,Sheet2!N:O,2,0)</f>
        <v>IREPARABLE</v>
      </c>
      <c r="T3288" s="18" t="str">
        <f aca="false">VLOOKUP(P3288,Sheet2!Q:R,2,0)</f>
        <v>IR Normal - Track burn out</v>
      </c>
      <c r="U3288" s="20" t="s">
        <v>41</v>
      </c>
      <c r="V3288" s="17"/>
      <c r="W3288" s="20" t="e">
        <f aca="false">VLOOKUP(V3288,Sheet2!Q:R,2,0)</f>
        <v>#N/A</v>
      </c>
      <c r="X3288" s="17" t="n">
        <f aca="false">J3288</f>
        <v>0</v>
      </c>
      <c r="Y3288" s="17" t="e">
        <f aca="false">VLOOKUP(X3288,Sheet2!A:B,2,0)</f>
        <v>#N/A</v>
      </c>
      <c r="Z3288" s="17"/>
      <c r="AA3288" s="17"/>
      <c r="AB3288" s="17" t="s">
        <v>41</v>
      </c>
      <c r="AC3288" s="0" t="str">
        <f aca="false">LEFT(G3288,2)</f>
        <v/>
      </c>
    </row>
    <row r="3289" customFormat="false" ht="15" hidden="false" customHeight="false" outlineLevel="0" collapsed="false">
      <c r="A3289" s="13" t="n">
        <f aca="false">1+A3288</f>
        <v>3287</v>
      </c>
      <c r="B3289" s="14" t="n">
        <v>100</v>
      </c>
      <c r="C3289" s="15"/>
      <c r="D3289" s="16" t="s">
        <v>64</v>
      </c>
      <c r="E3289" s="17" t="s">
        <v>47</v>
      </c>
      <c r="F3289" s="18" t="s">
        <v>34</v>
      </c>
      <c r="G3289" s="19"/>
      <c r="H3289" s="17" t="s">
        <v>35</v>
      </c>
      <c r="I3289" s="17" t="s">
        <v>44</v>
      </c>
      <c r="J3289" s="17"/>
      <c r="K3289" s="17" t="e">
        <f aca="false">VLOOKUP(J3289,Sheet2!A:B,2,0)</f>
        <v>#N/A</v>
      </c>
      <c r="L3289" s="17" t="n">
        <v>5</v>
      </c>
      <c r="M3289" s="17" t="str">
        <f aca="false">VLOOKUP(L3289,Sheet2!D:E,2,0)</f>
        <v>Main Processor CPU BGA</v>
      </c>
      <c r="N3289" s="17" t="n">
        <v>1</v>
      </c>
      <c r="O3289" s="17" t="str">
        <f aca="false">VLOOKUP(N3289,Sheet2!G:H,2,0)</f>
        <v>Dead</v>
      </c>
      <c r="P3289" s="17" t="n">
        <v>11</v>
      </c>
      <c r="Q3289" s="17" t="str">
        <f aca="false">VLOOKUP(P3289,Sheet2!J:K,2,0)</f>
        <v>IR Declared due to CID -TA</v>
      </c>
      <c r="R3289" s="17" t="s">
        <v>35</v>
      </c>
      <c r="S3289" s="17" t="str">
        <f aca="false">VLOOKUP(R3289,Sheet2!N:O,2,0)</f>
        <v>IREPARABLE</v>
      </c>
      <c r="T3289" s="18" t="str">
        <f aca="false">VLOOKUP(P3289,Sheet2!Q:R,2,0)</f>
        <v>IR Normal - Track burn out</v>
      </c>
      <c r="U3289" s="20" t="s">
        <v>41</v>
      </c>
      <c r="V3289" s="17"/>
      <c r="W3289" s="20" t="e">
        <f aca="false">VLOOKUP(V3289,Sheet2!Q:R,2,0)</f>
        <v>#N/A</v>
      </c>
      <c r="X3289" s="17" t="n">
        <f aca="false">J3289</f>
        <v>0</v>
      </c>
      <c r="Y3289" s="17" t="e">
        <f aca="false">VLOOKUP(X3289,Sheet2!A:B,2,0)</f>
        <v>#N/A</v>
      </c>
      <c r="Z3289" s="17"/>
      <c r="AA3289" s="17"/>
      <c r="AB3289" s="17" t="s">
        <v>41</v>
      </c>
      <c r="AC3289" s="0" t="str">
        <f aca="false">LEFT(G3289,2)</f>
        <v/>
      </c>
    </row>
    <row r="3290" customFormat="false" ht="15" hidden="false" customHeight="false" outlineLevel="0" collapsed="false">
      <c r="A3290" s="13" t="n">
        <f aca="false">1+A3289</f>
        <v>3288</v>
      </c>
      <c r="B3290" s="14" t="n">
        <v>100</v>
      </c>
      <c r="C3290" s="15"/>
      <c r="D3290" s="16" t="s">
        <v>64</v>
      </c>
      <c r="E3290" s="17" t="s">
        <v>47</v>
      </c>
      <c r="F3290" s="18" t="s">
        <v>34</v>
      </c>
      <c r="G3290" s="19"/>
      <c r="H3290" s="17" t="s">
        <v>35</v>
      </c>
      <c r="I3290" s="17" t="s">
        <v>44</v>
      </c>
      <c r="J3290" s="17"/>
      <c r="K3290" s="17" t="e">
        <f aca="false">VLOOKUP(J3290,Sheet2!A:B,2,0)</f>
        <v>#N/A</v>
      </c>
      <c r="L3290" s="17" t="n">
        <v>5</v>
      </c>
      <c r="M3290" s="17" t="str">
        <f aca="false">VLOOKUP(L3290,Sheet2!D:E,2,0)</f>
        <v>Main Processor CPU BGA</v>
      </c>
      <c r="N3290" s="17" t="n">
        <v>1</v>
      </c>
      <c r="O3290" s="17" t="str">
        <f aca="false">VLOOKUP(N3290,Sheet2!G:H,2,0)</f>
        <v>Dead</v>
      </c>
      <c r="P3290" s="17" t="n">
        <v>11</v>
      </c>
      <c r="Q3290" s="17" t="str">
        <f aca="false">VLOOKUP(P3290,Sheet2!J:K,2,0)</f>
        <v>IR Declared due to CID -TA</v>
      </c>
      <c r="R3290" s="17" t="s">
        <v>35</v>
      </c>
      <c r="S3290" s="17" t="str">
        <f aca="false">VLOOKUP(R3290,Sheet2!N:O,2,0)</f>
        <v>IREPARABLE</v>
      </c>
      <c r="T3290" s="18" t="str">
        <f aca="false">VLOOKUP(P3290,Sheet2!Q:R,2,0)</f>
        <v>IR Normal - Track burn out</v>
      </c>
      <c r="U3290" s="20" t="s">
        <v>41</v>
      </c>
      <c r="V3290" s="17"/>
      <c r="W3290" s="20" t="e">
        <f aca="false">VLOOKUP(V3290,Sheet2!Q:R,2,0)</f>
        <v>#N/A</v>
      </c>
      <c r="X3290" s="17" t="n">
        <f aca="false">J3290</f>
        <v>0</v>
      </c>
      <c r="Y3290" s="17" t="e">
        <f aca="false">VLOOKUP(X3290,Sheet2!A:B,2,0)</f>
        <v>#N/A</v>
      </c>
      <c r="Z3290" s="17"/>
      <c r="AA3290" s="17"/>
      <c r="AB3290" s="17" t="s">
        <v>41</v>
      </c>
      <c r="AC3290" s="0" t="str">
        <f aca="false">LEFT(G3290,2)</f>
        <v/>
      </c>
    </row>
    <row r="3291" customFormat="false" ht="15" hidden="false" customHeight="false" outlineLevel="0" collapsed="false">
      <c r="A3291" s="13" t="n">
        <f aca="false">1+A3290</f>
        <v>3289</v>
      </c>
      <c r="B3291" s="14" t="n">
        <v>100</v>
      </c>
      <c r="C3291" s="15"/>
      <c r="D3291" s="16" t="s">
        <v>64</v>
      </c>
      <c r="E3291" s="17" t="s">
        <v>47</v>
      </c>
      <c r="F3291" s="18" t="s">
        <v>34</v>
      </c>
      <c r="G3291" s="19"/>
      <c r="H3291" s="17" t="s">
        <v>35</v>
      </c>
      <c r="I3291" s="17" t="s">
        <v>44</v>
      </c>
      <c r="J3291" s="17"/>
      <c r="K3291" s="17" t="e">
        <f aca="false">VLOOKUP(J3291,Sheet2!A:B,2,0)</f>
        <v>#N/A</v>
      </c>
      <c r="L3291" s="17" t="n">
        <v>5</v>
      </c>
      <c r="M3291" s="17" t="str">
        <f aca="false">VLOOKUP(L3291,Sheet2!D:E,2,0)</f>
        <v>Main Processor CPU BGA</v>
      </c>
      <c r="N3291" s="17" t="n">
        <v>1</v>
      </c>
      <c r="O3291" s="17" t="str">
        <f aca="false">VLOOKUP(N3291,Sheet2!G:H,2,0)</f>
        <v>Dead</v>
      </c>
      <c r="P3291" s="17" t="n">
        <v>11</v>
      </c>
      <c r="Q3291" s="17" t="str">
        <f aca="false">VLOOKUP(P3291,Sheet2!J:K,2,0)</f>
        <v>IR Declared due to CID -TA</v>
      </c>
      <c r="R3291" s="17" t="s">
        <v>35</v>
      </c>
      <c r="S3291" s="17" t="str">
        <f aca="false">VLOOKUP(R3291,Sheet2!N:O,2,0)</f>
        <v>IREPARABLE</v>
      </c>
      <c r="T3291" s="18" t="str">
        <f aca="false">VLOOKUP(P3291,Sheet2!Q:R,2,0)</f>
        <v>IR Normal - Track burn out</v>
      </c>
      <c r="U3291" s="20" t="s">
        <v>41</v>
      </c>
      <c r="V3291" s="17"/>
      <c r="W3291" s="20" t="e">
        <f aca="false">VLOOKUP(V3291,Sheet2!Q:R,2,0)</f>
        <v>#N/A</v>
      </c>
      <c r="X3291" s="17" t="n">
        <f aca="false">J3291</f>
        <v>0</v>
      </c>
      <c r="Y3291" s="17" t="e">
        <f aca="false">VLOOKUP(X3291,Sheet2!A:B,2,0)</f>
        <v>#N/A</v>
      </c>
      <c r="Z3291" s="17"/>
      <c r="AA3291" s="17"/>
      <c r="AB3291" s="17" t="s">
        <v>41</v>
      </c>
      <c r="AC3291" s="0" t="str">
        <f aca="false">LEFT(G3291,2)</f>
        <v/>
      </c>
    </row>
    <row r="3292" customFormat="false" ht="15" hidden="false" customHeight="false" outlineLevel="0" collapsed="false">
      <c r="A3292" s="13" t="n">
        <f aca="false">1+A3291</f>
        <v>3290</v>
      </c>
      <c r="B3292" s="14" t="n">
        <v>100</v>
      </c>
      <c r="C3292" s="15"/>
      <c r="D3292" s="16" t="s">
        <v>64</v>
      </c>
      <c r="E3292" s="17" t="s">
        <v>47</v>
      </c>
      <c r="F3292" s="18" t="s">
        <v>34</v>
      </c>
      <c r="G3292" s="19"/>
      <c r="H3292" s="17" t="s">
        <v>35</v>
      </c>
      <c r="I3292" s="17" t="s">
        <v>44</v>
      </c>
      <c r="J3292" s="17"/>
      <c r="K3292" s="17" t="e">
        <f aca="false">VLOOKUP(J3292,Sheet2!A:B,2,0)</f>
        <v>#N/A</v>
      </c>
      <c r="L3292" s="17" t="n">
        <v>5</v>
      </c>
      <c r="M3292" s="17" t="str">
        <f aca="false">VLOOKUP(L3292,Sheet2!D:E,2,0)</f>
        <v>Main Processor CPU BGA</v>
      </c>
      <c r="N3292" s="17" t="n">
        <v>1</v>
      </c>
      <c r="O3292" s="17" t="str">
        <f aca="false">VLOOKUP(N3292,Sheet2!G:H,2,0)</f>
        <v>Dead</v>
      </c>
      <c r="P3292" s="17" t="n">
        <v>11</v>
      </c>
      <c r="Q3292" s="17" t="str">
        <f aca="false">VLOOKUP(P3292,Sheet2!J:K,2,0)</f>
        <v>IR Declared due to CID -TA</v>
      </c>
      <c r="R3292" s="17" t="s">
        <v>35</v>
      </c>
      <c r="S3292" s="17" t="str">
        <f aca="false">VLOOKUP(R3292,Sheet2!N:O,2,0)</f>
        <v>IREPARABLE</v>
      </c>
      <c r="T3292" s="18" t="str">
        <f aca="false">VLOOKUP(P3292,Sheet2!Q:R,2,0)</f>
        <v>IR Normal - Track burn out</v>
      </c>
      <c r="U3292" s="20" t="s">
        <v>41</v>
      </c>
      <c r="V3292" s="17"/>
      <c r="W3292" s="20" t="e">
        <f aca="false">VLOOKUP(V3292,Sheet2!Q:R,2,0)</f>
        <v>#N/A</v>
      </c>
      <c r="X3292" s="17" t="n">
        <f aca="false">J3292</f>
        <v>0</v>
      </c>
      <c r="Y3292" s="17" t="e">
        <f aca="false">VLOOKUP(X3292,Sheet2!A:B,2,0)</f>
        <v>#N/A</v>
      </c>
      <c r="Z3292" s="17"/>
      <c r="AA3292" s="17"/>
      <c r="AB3292" s="17" t="s">
        <v>41</v>
      </c>
      <c r="AC3292" s="0" t="str">
        <f aca="false">LEFT(G3292,2)</f>
        <v/>
      </c>
    </row>
    <row r="3293" customFormat="false" ht="15" hidden="false" customHeight="false" outlineLevel="0" collapsed="false">
      <c r="A3293" s="13" t="n">
        <f aca="false">1+A3292</f>
        <v>3291</v>
      </c>
      <c r="B3293" s="14" t="n">
        <v>100</v>
      </c>
      <c r="C3293" s="15"/>
      <c r="D3293" s="16" t="s">
        <v>64</v>
      </c>
      <c r="E3293" s="17" t="s">
        <v>47</v>
      </c>
      <c r="F3293" s="18" t="s">
        <v>34</v>
      </c>
      <c r="G3293" s="19"/>
      <c r="H3293" s="17" t="s">
        <v>35</v>
      </c>
      <c r="I3293" s="17" t="s">
        <v>44</v>
      </c>
      <c r="J3293" s="17"/>
      <c r="K3293" s="17" t="e">
        <f aca="false">VLOOKUP(J3293,Sheet2!A:B,2,0)</f>
        <v>#N/A</v>
      </c>
      <c r="L3293" s="17" t="n">
        <v>5</v>
      </c>
      <c r="M3293" s="17" t="str">
        <f aca="false">VLOOKUP(L3293,Sheet2!D:E,2,0)</f>
        <v>Main Processor CPU BGA</v>
      </c>
      <c r="N3293" s="17" t="n">
        <v>1</v>
      </c>
      <c r="O3293" s="17" t="str">
        <f aca="false">VLOOKUP(N3293,Sheet2!G:H,2,0)</f>
        <v>Dead</v>
      </c>
      <c r="P3293" s="17" t="n">
        <v>11</v>
      </c>
      <c r="Q3293" s="17" t="str">
        <f aca="false">VLOOKUP(P3293,Sheet2!J:K,2,0)</f>
        <v>IR Declared due to CID -TA</v>
      </c>
      <c r="R3293" s="17" t="s">
        <v>35</v>
      </c>
      <c r="S3293" s="17" t="str">
        <f aca="false">VLOOKUP(R3293,Sheet2!N:O,2,0)</f>
        <v>IREPARABLE</v>
      </c>
      <c r="T3293" s="18" t="str">
        <f aca="false">VLOOKUP(P3293,Sheet2!Q:R,2,0)</f>
        <v>IR Normal - Track burn out</v>
      </c>
      <c r="U3293" s="20" t="s">
        <v>41</v>
      </c>
      <c r="V3293" s="17"/>
      <c r="W3293" s="20" t="e">
        <f aca="false">VLOOKUP(V3293,Sheet2!Q:R,2,0)</f>
        <v>#N/A</v>
      </c>
      <c r="X3293" s="17" t="n">
        <f aca="false">J3293</f>
        <v>0</v>
      </c>
      <c r="Y3293" s="17" t="e">
        <f aca="false">VLOOKUP(X3293,Sheet2!A:B,2,0)</f>
        <v>#N/A</v>
      </c>
      <c r="Z3293" s="17"/>
      <c r="AA3293" s="17"/>
      <c r="AB3293" s="17" t="s">
        <v>41</v>
      </c>
      <c r="AC3293" s="0" t="str">
        <f aca="false">LEFT(G3293,2)</f>
        <v/>
      </c>
    </row>
    <row r="3294" customFormat="false" ht="15" hidden="false" customHeight="false" outlineLevel="0" collapsed="false">
      <c r="A3294" s="13" t="n">
        <f aca="false">1+A3293</f>
        <v>3292</v>
      </c>
      <c r="B3294" s="14" t="n">
        <v>100</v>
      </c>
      <c r="C3294" s="15"/>
      <c r="D3294" s="16" t="s">
        <v>64</v>
      </c>
      <c r="E3294" s="17" t="s">
        <v>47</v>
      </c>
      <c r="F3294" s="18" t="s">
        <v>34</v>
      </c>
      <c r="G3294" s="19"/>
      <c r="H3294" s="17" t="s">
        <v>35</v>
      </c>
      <c r="I3294" s="17" t="s">
        <v>44</v>
      </c>
      <c r="J3294" s="17"/>
      <c r="K3294" s="17" t="e">
        <f aca="false">VLOOKUP(J3294,Sheet2!A:B,2,0)</f>
        <v>#N/A</v>
      </c>
      <c r="L3294" s="17" t="n">
        <v>5</v>
      </c>
      <c r="M3294" s="17" t="str">
        <f aca="false">VLOOKUP(L3294,Sheet2!D:E,2,0)</f>
        <v>Main Processor CPU BGA</v>
      </c>
      <c r="N3294" s="17" t="n">
        <v>1</v>
      </c>
      <c r="O3294" s="17" t="str">
        <f aca="false">VLOOKUP(N3294,Sheet2!G:H,2,0)</f>
        <v>Dead</v>
      </c>
      <c r="P3294" s="17" t="n">
        <v>11</v>
      </c>
      <c r="Q3294" s="17" t="str">
        <f aca="false">VLOOKUP(P3294,Sheet2!J:K,2,0)</f>
        <v>IR Declared due to CID -TA</v>
      </c>
      <c r="R3294" s="17" t="s">
        <v>35</v>
      </c>
      <c r="S3294" s="17" t="str">
        <f aca="false">VLOOKUP(R3294,Sheet2!N:O,2,0)</f>
        <v>IREPARABLE</v>
      </c>
      <c r="T3294" s="18" t="str">
        <f aca="false">VLOOKUP(P3294,Sheet2!Q:R,2,0)</f>
        <v>IR Normal - Track burn out</v>
      </c>
      <c r="U3294" s="20" t="s">
        <v>41</v>
      </c>
      <c r="V3294" s="17"/>
      <c r="W3294" s="20" t="e">
        <f aca="false">VLOOKUP(V3294,Sheet2!Q:R,2,0)</f>
        <v>#N/A</v>
      </c>
      <c r="X3294" s="17" t="n">
        <f aca="false">J3294</f>
        <v>0</v>
      </c>
      <c r="Y3294" s="17" t="e">
        <f aca="false">VLOOKUP(X3294,Sheet2!A:B,2,0)</f>
        <v>#N/A</v>
      </c>
      <c r="Z3294" s="17"/>
      <c r="AA3294" s="17"/>
      <c r="AB3294" s="17" t="s">
        <v>41</v>
      </c>
      <c r="AC3294" s="0" t="str">
        <f aca="false">LEFT(G3294,2)</f>
        <v/>
      </c>
    </row>
    <row r="3295" customFormat="false" ht="15" hidden="false" customHeight="false" outlineLevel="0" collapsed="false">
      <c r="A3295" s="13" t="n">
        <f aca="false">1+A3294</f>
        <v>3293</v>
      </c>
      <c r="B3295" s="14" t="n">
        <v>100</v>
      </c>
      <c r="C3295" s="15"/>
      <c r="D3295" s="16" t="s">
        <v>64</v>
      </c>
      <c r="E3295" s="17" t="s">
        <v>47</v>
      </c>
      <c r="F3295" s="18" t="s">
        <v>34</v>
      </c>
      <c r="G3295" s="19"/>
      <c r="H3295" s="17" t="s">
        <v>35</v>
      </c>
      <c r="I3295" s="17" t="s">
        <v>44</v>
      </c>
      <c r="J3295" s="17"/>
      <c r="K3295" s="17" t="e">
        <f aca="false">VLOOKUP(J3295,Sheet2!A:B,2,0)</f>
        <v>#N/A</v>
      </c>
      <c r="L3295" s="17" t="n">
        <v>5</v>
      </c>
      <c r="M3295" s="17" t="str">
        <f aca="false">VLOOKUP(L3295,Sheet2!D:E,2,0)</f>
        <v>Main Processor CPU BGA</v>
      </c>
      <c r="N3295" s="17" t="n">
        <v>1</v>
      </c>
      <c r="O3295" s="17" t="str">
        <f aca="false">VLOOKUP(N3295,Sheet2!G:H,2,0)</f>
        <v>Dead</v>
      </c>
      <c r="P3295" s="17" t="n">
        <v>11</v>
      </c>
      <c r="Q3295" s="17" t="str">
        <f aca="false">VLOOKUP(P3295,Sheet2!J:K,2,0)</f>
        <v>IR Declared due to CID -TA</v>
      </c>
      <c r="R3295" s="17" t="s">
        <v>35</v>
      </c>
      <c r="S3295" s="17" t="str">
        <f aca="false">VLOOKUP(R3295,Sheet2!N:O,2,0)</f>
        <v>IREPARABLE</v>
      </c>
      <c r="T3295" s="18" t="str">
        <f aca="false">VLOOKUP(P3295,Sheet2!Q:R,2,0)</f>
        <v>IR Normal - Track burn out</v>
      </c>
      <c r="U3295" s="20" t="s">
        <v>41</v>
      </c>
      <c r="V3295" s="17"/>
      <c r="W3295" s="20" t="e">
        <f aca="false">VLOOKUP(V3295,Sheet2!Q:R,2,0)</f>
        <v>#N/A</v>
      </c>
      <c r="X3295" s="17" t="n">
        <f aca="false">J3295</f>
        <v>0</v>
      </c>
      <c r="Y3295" s="17" t="e">
        <f aca="false">VLOOKUP(X3295,Sheet2!A:B,2,0)</f>
        <v>#N/A</v>
      </c>
      <c r="Z3295" s="17"/>
      <c r="AA3295" s="17"/>
      <c r="AB3295" s="17" t="s">
        <v>41</v>
      </c>
      <c r="AC3295" s="0" t="str">
        <f aca="false">LEFT(G3295,2)</f>
        <v/>
      </c>
    </row>
    <row r="3296" customFormat="false" ht="15" hidden="false" customHeight="false" outlineLevel="0" collapsed="false">
      <c r="A3296" s="13" t="n">
        <f aca="false">1+A3295</f>
        <v>3294</v>
      </c>
      <c r="B3296" s="14" t="n">
        <v>100</v>
      </c>
      <c r="C3296" s="15"/>
      <c r="D3296" s="16" t="s">
        <v>64</v>
      </c>
      <c r="E3296" s="17" t="s">
        <v>47</v>
      </c>
      <c r="F3296" s="18" t="s">
        <v>34</v>
      </c>
      <c r="G3296" s="19"/>
      <c r="H3296" s="17" t="s">
        <v>35</v>
      </c>
      <c r="I3296" s="17" t="s">
        <v>44</v>
      </c>
      <c r="J3296" s="17"/>
      <c r="K3296" s="17" t="e">
        <f aca="false">VLOOKUP(J3296,Sheet2!A:B,2,0)</f>
        <v>#N/A</v>
      </c>
      <c r="L3296" s="17" t="n">
        <v>5</v>
      </c>
      <c r="M3296" s="17" t="str">
        <f aca="false">VLOOKUP(L3296,Sheet2!D:E,2,0)</f>
        <v>Main Processor CPU BGA</v>
      </c>
      <c r="N3296" s="17" t="n">
        <v>1</v>
      </c>
      <c r="O3296" s="17" t="str">
        <f aca="false">VLOOKUP(N3296,Sheet2!G:H,2,0)</f>
        <v>Dead</v>
      </c>
      <c r="P3296" s="17" t="n">
        <v>11</v>
      </c>
      <c r="Q3296" s="17" t="str">
        <f aca="false">VLOOKUP(P3296,Sheet2!J:K,2,0)</f>
        <v>IR Declared due to CID -TA</v>
      </c>
      <c r="R3296" s="17" t="s">
        <v>35</v>
      </c>
      <c r="S3296" s="17" t="str">
        <f aca="false">VLOOKUP(R3296,Sheet2!N:O,2,0)</f>
        <v>IREPARABLE</v>
      </c>
      <c r="T3296" s="18" t="str">
        <f aca="false">VLOOKUP(P3296,Sheet2!Q:R,2,0)</f>
        <v>IR Normal - Track burn out</v>
      </c>
      <c r="U3296" s="20" t="s">
        <v>41</v>
      </c>
      <c r="V3296" s="17"/>
      <c r="W3296" s="20" t="e">
        <f aca="false">VLOOKUP(V3296,Sheet2!Q:R,2,0)</f>
        <v>#N/A</v>
      </c>
      <c r="X3296" s="17" t="n">
        <f aca="false">J3296</f>
        <v>0</v>
      </c>
      <c r="Y3296" s="17" t="e">
        <f aca="false">VLOOKUP(X3296,Sheet2!A:B,2,0)</f>
        <v>#N/A</v>
      </c>
      <c r="Z3296" s="17"/>
      <c r="AA3296" s="17"/>
      <c r="AB3296" s="17" t="s">
        <v>41</v>
      </c>
      <c r="AC3296" s="0" t="str">
        <f aca="false">LEFT(G3296,2)</f>
        <v/>
      </c>
    </row>
    <row r="3297" customFormat="false" ht="15" hidden="false" customHeight="false" outlineLevel="0" collapsed="false">
      <c r="A3297" s="13" t="n">
        <f aca="false">1+A3296</f>
        <v>3295</v>
      </c>
      <c r="B3297" s="14" t="n">
        <v>100</v>
      </c>
      <c r="C3297" s="15"/>
      <c r="D3297" s="16" t="s">
        <v>64</v>
      </c>
      <c r="E3297" s="17" t="s">
        <v>47</v>
      </c>
      <c r="F3297" s="18" t="s">
        <v>34</v>
      </c>
      <c r="G3297" s="19"/>
      <c r="H3297" s="17" t="s">
        <v>35</v>
      </c>
      <c r="I3297" s="17" t="s">
        <v>44</v>
      </c>
      <c r="J3297" s="17"/>
      <c r="K3297" s="17" t="e">
        <f aca="false">VLOOKUP(J3297,Sheet2!A:B,2,0)</f>
        <v>#N/A</v>
      </c>
      <c r="L3297" s="17" t="n">
        <v>5</v>
      </c>
      <c r="M3297" s="17" t="str">
        <f aca="false">VLOOKUP(L3297,Sheet2!D:E,2,0)</f>
        <v>Main Processor CPU BGA</v>
      </c>
      <c r="N3297" s="17" t="n">
        <v>1</v>
      </c>
      <c r="O3297" s="17" t="str">
        <f aca="false">VLOOKUP(N3297,Sheet2!G:H,2,0)</f>
        <v>Dead</v>
      </c>
      <c r="P3297" s="17" t="n">
        <v>11</v>
      </c>
      <c r="Q3297" s="17" t="str">
        <f aca="false">VLOOKUP(P3297,Sheet2!J:K,2,0)</f>
        <v>IR Declared due to CID -TA</v>
      </c>
      <c r="R3297" s="17" t="s">
        <v>35</v>
      </c>
      <c r="S3297" s="17" t="str">
        <f aca="false">VLOOKUP(R3297,Sheet2!N:O,2,0)</f>
        <v>IREPARABLE</v>
      </c>
      <c r="T3297" s="18" t="str">
        <f aca="false">VLOOKUP(P3297,Sheet2!Q:R,2,0)</f>
        <v>IR Normal - Track burn out</v>
      </c>
      <c r="U3297" s="20" t="s">
        <v>41</v>
      </c>
      <c r="V3297" s="17"/>
      <c r="W3297" s="20" t="e">
        <f aca="false">VLOOKUP(V3297,Sheet2!Q:R,2,0)</f>
        <v>#N/A</v>
      </c>
      <c r="X3297" s="17" t="n">
        <f aca="false">J3297</f>
        <v>0</v>
      </c>
      <c r="Y3297" s="17" t="e">
        <f aca="false">VLOOKUP(X3297,Sheet2!A:B,2,0)</f>
        <v>#N/A</v>
      </c>
      <c r="Z3297" s="17"/>
      <c r="AA3297" s="17"/>
      <c r="AB3297" s="17" t="s">
        <v>41</v>
      </c>
      <c r="AC3297" s="0" t="str">
        <f aca="false">LEFT(G3297,2)</f>
        <v/>
      </c>
    </row>
    <row r="3298" customFormat="false" ht="15" hidden="false" customHeight="false" outlineLevel="0" collapsed="false">
      <c r="A3298" s="13" t="n">
        <f aca="false">1+A3297</f>
        <v>3296</v>
      </c>
      <c r="B3298" s="14" t="n">
        <v>100</v>
      </c>
      <c r="C3298" s="15"/>
      <c r="D3298" s="16" t="s">
        <v>64</v>
      </c>
      <c r="E3298" s="17" t="s">
        <v>47</v>
      </c>
      <c r="F3298" s="18" t="s">
        <v>34</v>
      </c>
      <c r="G3298" s="19"/>
      <c r="H3298" s="17" t="s">
        <v>35</v>
      </c>
      <c r="I3298" s="17" t="s">
        <v>44</v>
      </c>
      <c r="J3298" s="17"/>
      <c r="K3298" s="17" t="e">
        <f aca="false">VLOOKUP(J3298,Sheet2!A:B,2,0)</f>
        <v>#N/A</v>
      </c>
      <c r="L3298" s="17" t="n">
        <v>5</v>
      </c>
      <c r="M3298" s="17" t="str">
        <f aca="false">VLOOKUP(L3298,Sheet2!D:E,2,0)</f>
        <v>Main Processor CPU BGA</v>
      </c>
      <c r="N3298" s="17" t="n">
        <v>1</v>
      </c>
      <c r="O3298" s="17" t="str">
        <f aca="false">VLOOKUP(N3298,Sheet2!G:H,2,0)</f>
        <v>Dead</v>
      </c>
      <c r="P3298" s="17" t="n">
        <v>11</v>
      </c>
      <c r="Q3298" s="17" t="str">
        <f aca="false">VLOOKUP(P3298,Sheet2!J:K,2,0)</f>
        <v>IR Declared due to CID -TA</v>
      </c>
      <c r="R3298" s="17" t="s">
        <v>35</v>
      </c>
      <c r="S3298" s="17" t="str">
        <f aca="false">VLOOKUP(R3298,Sheet2!N:O,2,0)</f>
        <v>IREPARABLE</v>
      </c>
      <c r="T3298" s="18" t="str">
        <f aca="false">VLOOKUP(P3298,Sheet2!Q:R,2,0)</f>
        <v>IR Normal - Track burn out</v>
      </c>
      <c r="U3298" s="20" t="s">
        <v>41</v>
      </c>
      <c r="V3298" s="17"/>
      <c r="W3298" s="20" t="e">
        <f aca="false">VLOOKUP(V3298,Sheet2!Q:R,2,0)</f>
        <v>#N/A</v>
      </c>
      <c r="X3298" s="17" t="n">
        <f aca="false">J3298</f>
        <v>0</v>
      </c>
      <c r="Y3298" s="17" t="e">
        <f aca="false">VLOOKUP(X3298,Sheet2!A:B,2,0)</f>
        <v>#N/A</v>
      </c>
      <c r="Z3298" s="17"/>
      <c r="AA3298" s="17"/>
      <c r="AB3298" s="17" t="s">
        <v>41</v>
      </c>
      <c r="AC3298" s="0" t="str">
        <f aca="false">LEFT(G3298,2)</f>
        <v/>
      </c>
    </row>
    <row r="3299" customFormat="false" ht="15" hidden="false" customHeight="false" outlineLevel="0" collapsed="false">
      <c r="A3299" s="13" t="n">
        <f aca="false">1+A3298</f>
        <v>3297</v>
      </c>
      <c r="B3299" s="14" t="n">
        <v>100</v>
      </c>
      <c r="C3299" s="15"/>
      <c r="D3299" s="16" t="s">
        <v>64</v>
      </c>
      <c r="E3299" s="17" t="s">
        <v>47</v>
      </c>
      <c r="F3299" s="18" t="s">
        <v>34</v>
      </c>
      <c r="G3299" s="19"/>
      <c r="H3299" s="17" t="s">
        <v>35</v>
      </c>
      <c r="I3299" s="17" t="s">
        <v>44</v>
      </c>
      <c r="J3299" s="17"/>
      <c r="K3299" s="17" t="e">
        <f aca="false">VLOOKUP(J3299,Sheet2!A:B,2,0)</f>
        <v>#N/A</v>
      </c>
      <c r="L3299" s="17" t="n">
        <v>5</v>
      </c>
      <c r="M3299" s="17" t="str">
        <f aca="false">VLOOKUP(L3299,Sheet2!D:E,2,0)</f>
        <v>Main Processor CPU BGA</v>
      </c>
      <c r="N3299" s="17" t="n">
        <v>1</v>
      </c>
      <c r="O3299" s="17" t="str">
        <f aca="false">VLOOKUP(N3299,Sheet2!G:H,2,0)</f>
        <v>Dead</v>
      </c>
      <c r="P3299" s="17" t="n">
        <v>11</v>
      </c>
      <c r="Q3299" s="17" t="str">
        <f aca="false">VLOOKUP(P3299,Sheet2!J:K,2,0)</f>
        <v>IR Declared due to CID -TA</v>
      </c>
      <c r="R3299" s="17" t="s">
        <v>35</v>
      </c>
      <c r="S3299" s="17" t="str">
        <f aca="false">VLOOKUP(R3299,Sheet2!N:O,2,0)</f>
        <v>IREPARABLE</v>
      </c>
      <c r="T3299" s="18" t="str">
        <f aca="false">VLOOKUP(P3299,Sheet2!Q:R,2,0)</f>
        <v>IR Normal - Track burn out</v>
      </c>
      <c r="U3299" s="20" t="s">
        <v>41</v>
      </c>
      <c r="V3299" s="17"/>
      <c r="W3299" s="20" t="e">
        <f aca="false">VLOOKUP(V3299,Sheet2!Q:R,2,0)</f>
        <v>#N/A</v>
      </c>
      <c r="X3299" s="17" t="n">
        <f aca="false">J3299</f>
        <v>0</v>
      </c>
      <c r="Y3299" s="17" t="e">
        <f aca="false">VLOOKUP(X3299,Sheet2!A:B,2,0)</f>
        <v>#N/A</v>
      </c>
      <c r="Z3299" s="17"/>
      <c r="AA3299" s="17"/>
      <c r="AB3299" s="17" t="s">
        <v>41</v>
      </c>
      <c r="AC3299" s="0" t="str">
        <f aca="false">LEFT(G3299,2)</f>
        <v/>
      </c>
    </row>
    <row r="3300" customFormat="false" ht="15" hidden="false" customHeight="false" outlineLevel="0" collapsed="false">
      <c r="A3300" s="13" t="n">
        <f aca="false">1+A3299</f>
        <v>3298</v>
      </c>
      <c r="B3300" s="14" t="n">
        <v>100</v>
      </c>
      <c r="C3300" s="15"/>
      <c r="D3300" s="16" t="s">
        <v>64</v>
      </c>
      <c r="E3300" s="17" t="s">
        <v>47</v>
      </c>
      <c r="F3300" s="18" t="s">
        <v>34</v>
      </c>
      <c r="G3300" s="19"/>
      <c r="H3300" s="17" t="s">
        <v>35</v>
      </c>
      <c r="I3300" s="17" t="s">
        <v>44</v>
      </c>
      <c r="J3300" s="17"/>
      <c r="K3300" s="17" t="e">
        <f aca="false">VLOOKUP(J3300,Sheet2!A:B,2,0)</f>
        <v>#N/A</v>
      </c>
      <c r="L3300" s="17" t="n">
        <v>5</v>
      </c>
      <c r="M3300" s="17" t="str">
        <f aca="false">VLOOKUP(L3300,Sheet2!D:E,2,0)</f>
        <v>Main Processor CPU BGA</v>
      </c>
      <c r="N3300" s="17" t="n">
        <v>1</v>
      </c>
      <c r="O3300" s="17" t="str">
        <f aca="false">VLOOKUP(N3300,Sheet2!G:H,2,0)</f>
        <v>Dead</v>
      </c>
      <c r="P3300" s="17" t="n">
        <v>11</v>
      </c>
      <c r="Q3300" s="17" t="str">
        <f aca="false">VLOOKUP(P3300,Sheet2!J:K,2,0)</f>
        <v>IR Declared due to CID -TA</v>
      </c>
      <c r="R3300" s="17" t="s">
        <v>35</v>
      </c>
      <c r="S3300" s="17" t="str">
        <f aca="false">VLOOKUP(R3300,Sheet2!N:O,2,0)</f>
        <v>IREPARABLE</v>
      </c>
      <c r="T3300" s="18" t="str">
        <f aca="false">VLOOKUP(P3300,Sheet2!Q:R,2,0)</f>
        <v>IR Normal - Track burn out</v>
      </c>
      <c r="U3300" s="20" t="s">
        <v>41</v>
      </c>
      <c r="V3300" s="17"/>
      <c r="W3300" s="20" t="e">
        <f aca="false">VLOOKUP(V3300,Sheet2!Q:R,2,0)</f>
        <v>#N/A</v>
      </c>
      <c r="X3300" s="17" t="n">
        <f aca="false">J3300</f>
        <v>0</v>
      </c>
      <c r="Y3300" s="17" t="e">
        <f aca="false">VLOOKUP(X3300,Sheet2!A:B,2,0)</f>
        <v>#N/A</v>
      </c>
      <c r="Z3300" s="17"/>
      <c r="AA3300" s="17"/>
      <c r="AB3300" s="17" t="s">
        <v>41</v>
      </c>
      <c r="AC3300" s="0" t="str">
        <f aca="false">LEFT(G3300,2)</f>
        <v/>
      </c>
    </row>
    <row r="3301" customFormat="false" ht="15" hidden="false" customHeight="false" outlineLevel="0" collapsed="false">
      <c r="A3301" s="13" t="n">
        <f aca="false">1+A3300</f>
        <v>3299</v>
      </c>
      <c r="B3301" s="14" t="n">
        <v>100</v>
      </c>
      <c r="C3301" s="15"/>
      <c r="D3301" s="16" t="s">
        <v>64</v>
      </c>
      <c r="E3301" s="17" t="s">
        <v>47</v>
      </c>
      <c r="F3301" s="18" t="s">
        <v>34</v>
      </c>
      <c r="G3301" s="19"/>
      <c r="H3301" s="17" t="s">
        <v>35</v>
      </c>
      <c r="I3301" s="17" t="s">
        <v>44</v>
      </c>
      <c r="J3301" s="17"/>
      <c r="K3301" s="17" t="e">
        <f aca="false">VLOOKUP(J3301,Sheet2!A:B,2,0)</f>
        <v>#N/A</v>
      </c>
      <c r="L3301" s="17" t="n">
        <v>5</v>
      </c>
      <c r="M3301" s="17" t="str">
        <f aca="false">VLOOKUP(L3301,Sheet2!D:E,2,0)</f>
        <v>Main Processor CPU BGA</v>
      </c>
      <c r="N3301" s="17" t="n">
        <v>1</v>
      </c>
      <c r="O3301" s="17" t="str">
        <f aca="false">VLOOKUP(N3301,Sheet2!G:H,2,0)</f>
        <v>Dead</v>
      </c>
      <c r="P3301" s="17" t="n">
        <v>11</v>
      </c>
      <c r="Q3301" s="17" t="str">
        <f aca="false">VLOOKUP(P3301,Sheet2!J:K,2,0)</f>
        <v>IR Declared due to CID -TA</v>
      </c>
      <c r="R3301" s="17" t="s">
        <v>35</v>
      </c>
      <c r="S3301" s="17" t="str">
        <f aca="false">VLOOKUP(R3301,Sheet2!N:O,2,0)</f>
        <v>IREPARABLE</v>
      </c>
      <c r="T3301" s="18" t="str">
        <f aca="false">VLOOKUP(P3301,Sheet2!Q:R,2,0)</f>
        <v>IR Normal - Track burn out</v>
      </c>
      <c r="U3301" s="20" t="s">
        <v>41</v>
      </c>
      <c r="V3301" s="17"/>
      <c r="W3301" s="20" t="e">
        <f aca="false">VLOOKUP(V3301,Sheet2!Q:R,2,0)</f>
        <v>#N/A</v>
      </c>
      <c r="X3301" s="17" t="n">
        <f aca="false">J3301</f>
        <v>0</v>
      </c>
      <c r="Y3301" s="17" t="e">
        <f aca="false">VLOOKUP(X3301,Sheet2!A:B,2,0)</f>
        <v>#N/A</v>
      </c>
      <c r="Z3301" s="17"/>
      <c r="AA3301" s="17"/>
      <c r="AB3301" s="17" t="s">
        <v>41</v>
      </c>
      <c r="AC3301" s="0" t="str">
        <f aca="false">LEFT(G3301,2)</f>
        <v/>
      </c>
    </row>
    <row r="3302" customFormat="false" ht="15" hidden="false" customHeight="false" outlineLevel="0" collapsed="false">
      <c r="A3302" s="13" t="n">
        <f aca="false">1+A3301</f>
        <v>3300</v>
      </c>
      <c r="B3302" s="14" t="n">
        <v>100</v>
      </c>
      <c r="C3302" s="15"/>
      <c r="D3302" s="16" t="s">
        <v>64</v>
      </c>
      <c r="E3302" s="17" t="s">
        <v>47</v>
      </c>
      <c r="F3302" s="18" t="s">
        <v>34</v>
      </c>
      <c r="G3302" s="19"/>
      <c r="H3302" s="17" t="s">
        <v>35</v>
      </c>
      <c r="I3302" s="17" t="s">
        <v>44</v>
      </c>
      <c r="J3302" s="17"/>
      <c r="K3302" s="17" t="e">
        <f aca="false">VLOOKUP(J3302,Sheet2!A:B,2,0)</f>
        <v>#N/A</v>
      </c>
      <c r="L3302" s="17" t="n">
        <v>5</v>
      </c>
      <c r="M3302" s="17" t="str">
        <f aca="false">VLOOKUP(L3302,Sheet2!D:E,2,0)</f>
        <v>Main Processor CPU BGA</v>
      </c>
      <c r="N3302" s="17" t="n">
        <v>1</v>
      </c>
      <c r="O3302" s="17" t="str">
        <f aca="false">VLOOKUP(N3302,Sheet2!G:H,2,0)</f>
        <v>Dead</v>
      </c>
      <c r="P3302" s="17" t="n">
        <v>11</v>
      </c>
      <c r="Q3302" s="17" t="str">
        <f aca="false">VLOOKUP(P3302,Sheet2!J:K,2,0)</f>
        <v>IR Declared due to CID -TA</v>
      </c>
      <c r="R3302" s="17" t="s">
        <v>35</v>
      </c>
      <c r="S3302" s="17" t="str">
        <f aca="false">VLOOKUP(R3302,Sheet2!N:O,2,0)</f>
        <v>IREPARABLE</v>
      </c>
      <c r="T3302" s="18" t="str">
        <f aca="false">VLOOKUP(P3302,Sheet2!Q:R,2,0)</f>
        <v>IR Normal - Track burn out</v>
      </c>
      <c r="U3302" s="20" t="s">
        <v>41</v>
      </c>
      <c r="V3302" s="17"/>
      <c r="W3302" s="20" t="e">
        <f aca="false">VLOOKUP(V3302,Sheet2!Q:R,2,0)</f>
        <v>#N/A</v>
      </c>
      <c r="X3302" s="17" t="n">
        <f aca="false">J3302</f>
        <v>0</v>
      </c>
      <c r="Y3302" s="17" t="e">
        <f aca="false">VLOOKUP(X3302,Sheet2!A:B,2,0)</f>
        <v>#N/A</v>
      </c>
      <c r="Z3302" s="17"/>
      <c r="AA3302" s="17"/>
      <c r="AB3302" s="17" t="s">
        <v>41</v>
      </c>
      <c r="AC3302" s="0" t="str">
        <f aca="false">LEFT(G3302,2)</f>
        <v/>
      </c>
    </row>
    <row r="3303" customFormat="false" ht="15" hidden="false" customHeight="false" outlineLevel="0" collapsed="false">
      <c r="A3303" s="13" t="n">
        <f aca="false">1+A3302</f>
        <v>3301</v>
      </c>
      <c r="B3303" s="14" t="n">
        <v>100</v>
      </c>
      <c r="C3303" s="15"/>
      <c r="D3303" s="16" t="s">
        <v>64</v>
      </c>
      <c r="E3303" s="17" t="s">
        <v>47</v>
      </c>
      <c r="F3303" s="18" t="s">
        <v>34</v>
      </c>
      <c r="G3303" s="19"/>
      <c r="H3303" s="17" t="s">
        <v>35</v>
      </c>
      <c r="I3303" s="17" t="s">
        <v>44</v>
      </c>
      <c r="J3303" s="17"/>
      <c r="K3303" s="17" t="e">
        <f aca="false">VLOOKUP(J3303,Sheet2!A:B,2,0)</f>
        <v>#N/A</v>
      </c>
      <c r="L3303" s="17" t="n">
        <v>5</v>
      </c>
      <c r="M3303" s="17" t="str">
        <f aca="false">VLOOKUP(L3303,Sheet2!D:E,2,0)</f>
        <v>Main Processor CPU BGA</v>
      </c>
      <c r="N3303" s="17" t="n">
        <v>1</v>
      </c>
      <c r="O3303" s="17" t="str">
        <f aca="false">VLOOKUP(N3303,Sheet2!G:H,2,0)</f>
        <v>Dead</v>
      </c>
      <c r="P3303" s="17" t="n">
        <v>11</v>
      </c>
      <c r="Q3303" s="17" t="str">
        <f aca="false">VLOOKUP(P3303,Sheet2!J:K,2,0)</f>
        <v>IR Declared due to CID -TA</v>
      </c>
      <c r="R3303" s="17" t="s">
        <v>35</v>
      </c>
      <c r="S3303" s="17" t="str">
        <f aca="false">VLOOKUP(R3303,Sheet2!N:O,2,0)</f>
        <v>IREPARABLE</v>
      </c>
      <c r="T3303" s="18" t="str">
        <f aca="false">VLOOKUP(P3303,Sheet2!Q:R,2,0)</f>
        <v>IR Normal - Track burn out</v>
      </c>
      <c r="U3303" s="20" t="s">
        <v>41</v>
      </c>
      <c r="V3303" s="17"/>
      <c r="W3303" s="20" t="e">
        <f aca="false">VLOOKUP(V3303,Sheet2!Q:R,2,0)</f>
        <v>#N/A</v>
      </c>
      <c r="X3303" s="17" t="n">
        <f aca="false">J3303</f>
        <v>0</v>
      </c>
      <c r="Y3303" s="17" t="e">
        <f aca="false">VLOOKUP(X3303,Sheet2!A:B,2,0)</f>
        <v>#N/A</v>
      </c>
      <c r="Z3303" s="17"/>
      <c r="AA3303" s="17"/>
      <c r="AB3303" s="17" t="s">
        <v>41</v>
      </c>
      <c r="AC3303" s="0" t="str">
        <f aca="false">LEFT(G3303,2)</f>
        <v/>
      </c>
    </row>
    <row r="3304" customFormat="false" ht="15" hidden="false" customHeight="false" outlineLevel="0" collapsed="false">
      <c r="A3304" s="13" t="n">
        <f aca="false">1+A3303</f>
        <v>3302</v>
      </c>
      <c r="B3304" s="14" t="n">
        <v>100</v>
      </c>
      <c r="C3304" s="15"/>
      <c r="D3304" s="16" t="s">
        <v>64</v>
      </c>
      <c r="E3304" s="17" t="s">
        <v>47</v>
      </c>
      <c r="F3304" s="18" t="s">
        <v>34</v>
      </c>
      <c r="G3304" s="19"/>
      <c r="H3304" s="17" t="s">
        <v>35</v>
      </c>
      <c r="I3304" s="17" t="s">
        <v>44</v>
      </c>
      <c r="J3304" s="17"/>
      <c r="K3304" s="17" t="e">
        <f aca="false">VLOOKUP(J3304,Sheet2!A:B,2,0)</f>
        <v>#N/A</v>
      </c>
      <c r="L3304" s="17" t="n">
        <v>5</v>
      </c>
      <c r="M3304" s="17" t="str">
        <f aca="false">VLOOKUP(L3304,Sheet2!D:E,2,0)</f>
        <v>Main Processor CPU BGA</v>
      </c>
      <c r="N3304" s="17" t="n">
        <v>1</v>
      </c>
      <c r="O3304" s="17" t="str">
        <f aca="false">VLOOKUP(N3304,Sheet2!G:H,2,0)</f>
        <v>Dead</v>
      </c>
      <c r="P3304" s="17" t="n">
        <v>11</v>
      </c>
      <c r="Q3304" s="17" t="str">
        <f aca="false">VLOOKUP(P3304,Sheet2!J:K,2,0)</f>
        <v>IR Declared due to CID -TA</v>
      </c>
      <c r="R3304" s="17" t="s">
        <v>35</v>
      </c>
      <c r="S3304" s="17" t="str">
        <f aca="false">VLOOKUP(R3304,Sheet2!N:O,2,0)</f>
        <v>IREPARABLE</v>
      </c>
      <c r="T3304" s="18" t="str">
        <f aca="false">VLOOKUP(P3304,Sheet2!Q:R,2,0)</f>
        <v>IR Normal - Track burn out</v>
      </c>
      <c r="U3304" s="20" t="s">
        <v>41</v>
      </c>
      <c r="V3304" s="17"/>
      <c r="W3304" s="20" t="e">
        <f aca="false">VLOOKUP(V3304,Sheet2!Q:R,2,0)</f>
        <v>#N/A</v>
      </c>
      <c r="X3304" s="17" t="n">
        <f aca="false">J3304</f>
        <v>0</v>
      </c>
      <c r="Y3304" s="17" t="e">
        <f aca="false">VLOOKUP(X3304,Sheet2!A:B,2,0)</f>
        <v>#N/A</v>
      </c>
      <c r="Z3304" s="17"/>
      <c r="AA3304" s="17"/>
      <c r="AB3304" s="17" t="s">
        <v>41</v>
      </c>
      <c r="AC3304" s="0" t="str">
        <f aca="false">LEFT(G3304,2)</f>
        <v/>
      </c>
    </row>
    <row r="3305" customFormat="false" ht="15" hidden="false" customHeight="false" outlineLevel="0" collapsed="false">
      <c r="A3305" s="13" t="n">
        <f aca="false">1+A3304</f>
        <v>3303</v>
      </c>
      <c r="B3305" s="14" t="n">
        <v>100</v>
      </c>
      <c r="C3305" s="15"/>
      <c r="D3305" s="16" t="s">
        <v>64</v>
      </c>
      <c r="E3305" s="17" t="s">
        <v>47</v>
      </c>
      <c r="F3305" s="18" t="s">
        <v>34</v>
      </c>
      <c r="G3305" s="19"/>
      <c r="H3305" s="17" t="s">
        <v>35</v>
      </c>
      <c r="I3305" s="17" t="s">
        <v>44</v>
      </c>
      <c r="J3305" s="17"/>
      <c r="K3305" s="17" t="e">
        <f aca="false">VLOOKUP(J3305,Sheet2!A:B,2,0)</f>
        <v>#N/A</v>
      </c>
      <c r="L3305" s="17" t="n">
        <v>5</v>
      </c>
      <c r="M3305" s="17" t="str">
        <f aca="false">VLOOKUP(L3305,Sheet2!D:E,2,0)</f>
        <v>Main Processor CPU BGA</v>
      </c>
      <c r="N3305" s="17" t="n">
        <v>1</v>
      </c>
      <c r="O3305" s="17" t="str">
        <f aca="false">VLOOKUP(N3305,Sheet2!G:H,2,0)</f>
        <v>Dead</v>
      </c>
      <c r="P3305" s="17" t="n">
        <v>11</v>
      </c>
      <c r="Q3305" s="17" t="str">
        <f aca="false">VLOOKUP(P3305,Sheet2!J:K,2,0)</f>
        <v>IR Declared due to CID -TA</v>
      </c>
      <c r="R3305" s="17" t="s">
        <v>35</v>
      </c>
      <c r="S3305" s="17" t="str">
        <f aca="false">VLOOKUP(R3305,Sheet2!N:O,2,0)</f>
        <v>IREPARABLE</v>
      </c>
      <c r="T3305" s="18" t="str">
        <f aca="false">VLOOKUP(P3305,Sheet2!Q:R,2,0)</f>
        <v>IR Normal - Track burn out</v>
      </c>
      <c r="U3305" s="20" t="s">
        <v>41</v>
      </c>
      <c r="V3305" s="17"/>
      <c r="W3305" s="20" t="e">
        <f aca="false">VLOOKUP(V3305,Sheet2!Q:R,2,0)</f>
        <v>#N/A</v>
      </c>
      <c r="X3305" s="17" t="n">
        <f aca="false">J3305</f>
        <v>0</v>
      </c>
      <c r="Y3305" s="17" t="e">
        <f aca="false">VLOOKUP(X3305,Sheet2!A:B,2,0)</f>
        <v>#N/A</v>
      </c>
      <c r="Z3305" s="17"/>
      <c r="AA3305" s="17"/>
      <c r="AB3305" s="17" t="s">
        <v>41</v>
      </c>
      <c r="AC3305" s="0" t="str">
        <f aca="false">LEFT(G3305,2)</f>
        <v/>
      </c>
    </row>
    <row r="3306" customFormat="false" ht="15" hidden="false" customHeight="false" outlineLevel="0" collapsed="false">
      <c r="A3306" s="13" t="n">
        <f aca="false">1+A3305</f>
        <v>3304</v>
      </c>
      <c r="B3306" s="14" t="n">
        <v>100</v>
      </c>
      <c r="C3306" s="15"/>
      <c r="D3306" s="16" t="s">
        <v>64</v>
      </c>
      <c r="E3306" s="17" t="s">
        <v>47</v>
      </c>
      <c r="F3306" s="18" t="s">
        <v>34</v>
      </c>
      <c r="G3306" s="19"/>
      <c r="H3306" s="17" t="s">
        <v>35</v>
      </c>
      <c r="I3306" s="17" t="s">
        <v>44</v>
      </c>
      <c r="J3306" s="17"/>
      <c r="K3306" s="17" t="e">
        <f aca="false">VLOOKUP(J3306,Sheet2!A:B,2,0)</f>
        <v>#N/A</v>
      </c>
      <c r="L3306" s="17" t="n">
        <v>5</v>
      </c>
      <c r="M3306" s="17" t="str">
        <f aca="false">VLOOKUP(L3306,Sheet2!D:E,2,0)</f>
        <v>Main Processor CPU BGA</v>
      </c>
      <c r="N3306" s="17" t="n">
        <v>1</v>
      </c>
      <c r="O3306" s="17" t="str">
        <f aca="false">VLOOKUP(N3306,Sheet2!G:H,2,0)</f>
        <v>Dead</v>
      </c>
      <c r="P3306" s="17" t="n">
        <v>11</v>
      </c>
      <c r="Q3306" s="17" t="str">
        <f aca="false">VLOOKUP(P3306,Sheet2!J:K,2,0)</f>
        <v>IR Declared due to CID -TA</v>
      </c>
      <c r="R3306" s="17" t="s">
        <v>35</v>
      </c>
      <c r="S3306" s="17" t="str">
        <f aca="false">VLOOKUP(R3306,Sheet2!N:O,2,0)</f>
        <v>IREPARABLE</v>
      </c>
      <c r="T3306" s="18" t="str">
        <f aca="false">VLOOKUP(P3306,Sheet2!Q:R,2,0)</f>
        <v>IR Normal - Track burn out</v>
      </c>
      <c r="U3306" s="20" t="s">
        <v>41</v>
      </c>
      <c r="V3306" s="17"/>
      <c r="W3306" s="20" t="e">
        <f aca="false">VLOOKUP(V3306,Sheet2!Q:R,2,0)</f>
        <v>#N/A</v>
      </c>
      <c r="X3306" s="17" t="n">
        <f aca="false">J3306</f>
        <v>0</v>
      </c>
      <c r="Y3306" s="17" t="e">
        <f aca="false">VLOOKUP(X3306,Sheet2!A:B,2,0)</f>
        <v>#N/A</v>
      </c>
      <c r="Z3306" s="17"/>
      <c r="AA3306" s="17"/>
      <c r="AB3306" s="17" t="s">
        <v>41</v>
      </c>
      <c r="AC3306" s="0" t="str">
        <f aca="false">LEFT(G3306,2)</f>
        <v/>
      </c>
    </row>
    <row r="3307" customFormat="false" ht="15" hidden="false" customHeight="false" outlineLevel="0" collapsed="false">
      <c r="A3307" s="13" t="n">
        <f aca="false">1+A3306</f>
        <v>3305</v>
      </c>
      <c r="B3307" s="14" t="n">
        <v>100</v>
      </c>
      <c r="C3307" s="15"/>
      <c r="D3307" s="16" t="s">
        <v>64</v>
      </c>
      <c r="E3307" s="17" t="s">
        <v>47</v>
      </c>
      <c r="F3307" s="18" t="s">
        <v>34</v>
      </c>
      <c r="G3307" s="19"/>
      <c r="H3307" s="17" t="s">
        <v>35</v>
      </c>
      <c r="I3307" s="17" t="s">
        <v>44</v>
      </c>
      <c r="J3307" s="17"/>
      <c r="K3307" s="17" t="e">
        <f aca="false">VLOOKUP(J3307,Sheet2!A:B,2,0)</f>
        <v>#N/A</v>
      </c>
      <c r="L3307" s="17" t="n">
        <v>5</v>
      </c>
      <c r="M3307" s="17" t="str">
        <f aca="false">VLOOKUP(L3307,Sheet2!D:E,2,0)</f>
        <v>Main Processor CPU BGA</v>
      </c>
      <c r="N3307" s="17" t="n">
        <v>1</v>
      </c>
      <c r="O3307" s="17" t="str">
        <f aca="false">VLOOKUP(N3307,Sheet2!G:H,2,0)</f>
        <v>Dead</v>
      </c>
      <c r="P3307" s="17" t="n">
        <v>11</v>
      </c>
      <c r="Q3307" s="17" t="str">
        <f aca="false">VLOOKUP(P3307,Sheet2!J:K,2,0)</f>
        <v>IR Declared due to CID -TA</v>
      </c>
      <c r="R3307" s="17" t="s">
        <v>35</v>
      </c>
      <c r="S3307" s="17" t="str">
        <f aca="false">VLOOKUP(R3307,Sheet2!N:O,2,0)</f>
        <v>IREPARABLE</v>
      </c>
      <c r="T3307" s="18" t="str">
        <f aca="false">VLOOKUP(P3307,Sheet2!Q:R,2,0)</f>
        <v>IR Normal - Track burn out</v>
      </c>
      <c r="U3307" s="20" t="s">
        <v>41</v>
      </c>
      <c r="V3307" s="17"/>
      <c r="W3307" s="20" t="e">
        <f aca="false">VLOOKUP(V3307,Sheet2!Q:R,2,0)</f>
        <v>#N/A</v>
      </c>
      <c r="X3307" s="17" t="n">
        <f aca="false">J3307</f>
        <v>0</v>
      </c>
      <c r="Y3307" s="17" t="e">
        <f aca="false">VLOOKUP(X3307,Sheet2!A:B,2,0)</f>
        <v>#N/A</v>
      </c>
      <c r="Z3307" s="17"/>
      <c r="AA3307" s="17"/>
      <c r="AB3307" s="17" t="s">
        <v>41</v>
      </c>
      <c r="AC3307" s="0" t="str">
        <f aca="false">LEFT(G3307,2)</f>
        <v/>
      </c>
    </row>
    <row r="3308" customFormat="false" ht="15" hidden="false" customHeight="false" outlineLevel="0" collapsed="false">
      <c r="A3308" s="13" t="n">
        <f aca="false">1+A3307</f>
        <v>3306</v>
      </c>
      <c r="B3308" s="14" t="n">
        <v>100</v>
      </c>
      <c r="C3308" s="15"/>
      <c r="D3308" s="16" t="s">
        <v>64</v>
      </c>
      <c r="E3308" s="17" t="s">
        <v>47</v>
      </c>
      <c r="F3308" s="18" t="s">
        <v>34</v>
      </c>
      <c r="G3308" s="19"/>
      <c r="H3308" s="17" t="s">
        <v>35</v>
      </c>
      <c r="I3308" s="17" t="s">
        <v>44</v>
      </c>
      <c r="J3308" s="17"/>
      <c r="K3308" s="17" t="e">
        <f aca="false">VLOOKUP(J3308,Sheet2!A:B,2,0)</f>
        <v>#N/A</v>
      </c>
      <c r="L3308" s="17" t="n">
        <v>5</v>
      </c>
      <c r="M3308" s="17" t="str">
        <f aca="false">VLOOKUP(L3308,Sheet2!D:E,2,0)</f>
        <v>Main Processor CPU BGA</v>
      </c>
      <c r="N3308" s="17" t="n">
        <v>1</v>
      </c>
      <c r="O3308" s="17" t="str">
        <f aca="false">VLOOKUP(N3308,Sheet2!G:H,2,0)</f>
        <v>Dead</v>
      </c>
      <c r="P3308" s="17" t="n">
        <v>11</v>
      </c>
      <c r="Q3308" s="17" t="str">
        <f aca="false">VLOOKUP(P3308,Sheet2!J:K,2,0)</f>
        <v>IR Declared due to CID -TA</v>
      </c>
      <c r="R3308" s="17" t="s">
        <v>35</v>
      </c>
      <c r="S3308" s="17" t="str">
        <f aca="false">VLOOKUP(R3308,Sheet2!N:O,2,0)</f>
        <v>IREPARABLE</v>
      </c>
      <c r="T3308" s="18" t="str">
        <f aca="false">VLOOKUP(P3308,Sheet2!Q:R,2,0)</f>
        <v>IR Normal - Track burn out</v>
      </c>
      <c r="U3308" s="20" t="s">
        <v>41</v>
      </c>
      <c r="V3308" s="17"/>
      <c r="W3308" s="20" t="e">
        <f aca="false">VLOOKUP(V3308,Sheet2!Q:R,2,0)</f>
        <v>#N/A</v>
      </c>
      <c r="X3308" s="17" t="n">
        <f aca="false">J3308</f>
        <v>0</v>
      </c>
      <c r="Y3308" s="17" t="e">
        <f aca="false">VLOOKUP(X3308,Sheet2!A:B,2,0)</f>
        <v>#N/A</v>
      </c>
      <c r="Z3308" s="17"/>
      <c r="AA3308" s="17"/>
      <c r="AB3308" s="17" t="s">
        <v>41</v>
      </c>
      <c r="AC3308" s="0" t="str">
        <f aca="false">LEFT(G3308,2)</f>
        <v/>
      </c>
    </row>
    <row r="3309" customFormat="false" ht="15" hidden="false" customHeight="false" outlineLevel="0" collapsed="false">
      <c r="A3309" s="13" t="n">
        <f aca="false">1+A3308</f>
        <v>3307</v>
      </c>
      <c r="B3309" s="14" t="n">
        <v>100</v>
      </c>
      <c r="C3309" s="15"/>
      <c r="D3309" s="16" t="s">
        <v>64</v>
      </c>
      <c r="E3309" s="17" t="s">
        <v>47</v>
      </c>
      <c r="F3309" s="18" t="s">
        <v>34</v>
      </c>
      <c r="G3309" s="19"/>
      <c r="H3309" s="17" t="s">
        <v>35</v>
      </c>
      <c r="I3309" s="17" t="s">
        <v>44</v>
      </c>
      <c r="J3309" s="17"/>
      <c r="K3309" s="17" t="e">
        <f aca="false">VLOOKUP(J3309,Sheet2!A:B,2,0)</f>
        <v>#N/A</v>
      </c>
      <c r="L3309" s="17" t="n">
        <v>5</v>
      </c>
      <c r="M3309" s="17" t="str">
        <f aca="false">VLOOKUP(L3309,Sheet2!D:E,2,0)</f>
        <v>Main Processor CPU BGA</v>
      </c>
      <c r="N3309" s="17" t="n">
        <v>1</v>
      </c>
      <c r="O3309" s="17" t="str">
        <f aca="false">VLOOKUP(N3309,Sheet2!G:H,2,0)</f>
        <v>Dead</v>
      </c>
      <c r="P3309" s="17" t="n">
        <v>11</v>
      </c>
      <c r="Q3309" s="17" t="str">
        <f aca="false">VLOOKUP(P3309,Sheet2!J:K,2,0)</f>
        <v>IR Declared due to CID -TA</v>
      </c>
      <c r="R3309" s="17" t="s">
        <v>35</v>
      </c>
      <c r="S3309" s="17" t="str">
        <f aca="false">VLOOKUP(R3309,Sheet2!N:O,2,0)</f>
        <v>IREPARABLE</v>
      </c>
      <c r="T3309" s="18" t="str">
        <f aca="false">VLOOKUP(P3309,Sheet2!Q:R,2,0)</f>
        <v>IR Normal - Track burn out</v>
      </c>
      <c r="U3309" s="20" t="s">
        <v>41</v>
      </c>
      <c r="V3309" s="17"/>
      <c r="W3309" s="20" t="e">
        <f aca="false">VLOOKUP(V3309,Sheet2!Q:R,2,0)</f>
        <v>#N/A</v>
      </c>
      <c r="X3309" s="17" t="n">
        <f aca="false">J3309</f>
        <v>0</v>
      </c>
      <c r="Y3309" s="17" t="e">
        <f aca="false">VLOOKUP(X3309,Sheet2!A:B,2,0)</f>
        <v>#N/A</v>
      </c>
      <c r="Z3309" s="17"/>
      <c r="AA3309" s="17"/>
      <c r="AB3309" s="17" t="s">
        <v>41</v>
      </c>
      <c r="AC3309" s="0" t="str">
        <f aca="false">LEFT(G3309,2)</f>
        <v/>
      </c>
    </row>
    <row r="3310" customFormat="false" ht="15" hidden="false" customHeight="false" outlineLevel="0" collapsed="false">
      <c r="A3310" s="13" t="n">
        <f aca="false">1+A3309</f>
        <v>3308</v>
      </c>
      <c r="B3310" s="14" t="n">
        <v>100</v>
      </c>
      <c r="C3310" s="15"/>
      <c r="D3310" s="16" t="s">
        <v>64</v>
      </c>
      <c r="E3310" s="17" t="s">
        <v>47</v>
      </c>
      <c r="F3310" s="18" t="s">
        <v>34</v>
      </c>
      <c r="G3310" s="19"/>
      <c r="H3310" s="17" t="s">
        <v>35</v>
      </c>
      <c r="I3310" s="17" t="s">
        <v>44</v>
      </c>
      <c r="J3310" s="17"/>
      <c r="K3310" s="17" t="e">
        <f aca="false">VLOOKUP(J3310,Sheet2!A:B,2,0)</f>
        <v>#N/A</v>
      </c>
      <c r="L3310" s="17" t="n">
        <v>5</v>
      </c>
      <c r="M3310" s="17" t="str">
        <f aca="false">VLOOKUP(L3310,Sheet2!D:E,2,0)</f>
        <v>Main Processor CPU BGA</v>
      </c>
      <c r="N3310" s="17" t="n">
        <v>1</v>
      </c>
      <c r="O3310" s="17" t="str">
        <f aca="false">VLOOKUP(N3310,Sheet2!G:H,2,0)</f>
        <v>Dead</v>
      </c>
      <c r="P3310" s="17" t="n">
        <v>11</v>
      </c>
      <c r="Q3310" s="17" t="str">
        <f aca="false">VLOOKUP(P3310,Sheet2!J:K,2,0)</f>
        <v>IR Declared due to CID -TA</v>
      </c>
      <c r="R3310" s="17" t="s">
        <v>35</v>
      </c>
      <c r="S3310" s="17" t="str">
        <f aca="false">VLOOKUP(R3310,Sheet2!N:O,2,0)</f>
        <v>IREPARABLE</v>
      </c>
      <c r="T3310" s="18" t="str">
        <f aca="false">VLOOKUP(P3310,Sheet2!Q:R,2,0)</f>
        <v>IR Normal - Track burn out</v>
      </c>
      <c r="U3310" s="20" t="s">
        <v>41</v>
      </c>
      <c r="V3310" s="17"/>
      <c r="W3310" s="20" t="e">
        <f aca="false">VLOOKUP(V3310,Sheet2!Q:R,2,0)</f>
        <v>#N/A</v>
      </c>
      <c r="X3310" s="17" t="n">
        <f aca="false">J3310</f>
        <v>0</v>
      </c>
      <c r="Y3310" s="17" t="e">
        <f aca="false">VLOOKUP(X3310,Sheet2!A:B,2,0)</f>
        <v>#N/A</v>
      </c>
      <c r="Z3310" s="17"/>
      <c r="AA3310" s="17"/>
      <c r="AB3310" s="17" t="s">
        <v>41</v>
      </c>
      <c r="AC3310" s="0" t="str">
        <f aca="false">LEFT(G3310,2)</f>
        <v/>
      </c>
    </row>
    <row r="3311" customFormat="false" ht="15" hidden="false" customHeight="false" outlineLevel="0" collapsed="false">
      <c r="A3311" s="13" t="n">
        <f aca="false">1+A3310</f>
        <v>3309</v>
      </c>
      <c r="B3311" s="14" t="n">
        <v>100</v>
      </c>
      <c r="C3311" s="15"/>
      <c r="D3311" s="16" t="s">
        <v>64</v>
      </c>
      <c r="E3311" s="17" t="s">
        <v>47</v>
      </c>
      <c r="F3311" s="18" t="s">
        <v>34</v>
      </c>
      <c r="G3311" s="19"/>
      <c r="H3311" s="17" t="s">
        <v>35</v>
      </c>
      <c r="I3311" s="17" t="s">
        <v>44</v>
      </c>
      <c r="J3311" s="17"/>
      <c r="K3311" s="17" t="e">
        <f aca="false">VLOOKUP(J3311,Sheet2!A:B,2,0)</f>
        <v>#N/A</v>
      </c>
      <c r="L3311" s="17" t="n">
        <v>5</v>
      </c>
      <c r="M3311" s="17" t="str">
        <f aca="false">VLOOKUP(L3311,Sheet2!D:E,2,0)</f>
        <v>Main Processor CPU BGA</v>
      </c>
      <c r="N3311" s="17" t="n">
        <v>1</v>
      </c>
      <c r="O3311" s="17" t="str">
        <f aca="false">VLOOKUP(N3311,Sheet2!G:H,2,0)</f>
        <v>Dead</v>
      </c>
      <c r="P3311" s="17" t="n">
        <v>11</v>
      </c>
      <c r="Q3311" s="17" t="str">
        <f aca="false">VLOOKUP(P3311,Sheet2!J:K,2,0)</f>
        <v>IR Declared due to CID -TA</v>
      </c>
      <c r="R3311" s="17" t="s">
        <v>35</v>
      </c>
      <c r="S3311" s="17" t="str">
        <f aca="false">VLOOKUP(R3311,Sheet2!N:O,2,0)</f>
        <v>IREPARABLE</v>
      </c>
      <c r="T3311" s="18" t="str">
        <f aca="false">VLOOKUP(P3311,Sheet2!Q:R,2,0)</f>
        <v>IR Normal - Track burn out</v>
      </c>
      <c r="U3311" s="20" t="s">
        <v>41</v>
      </c>
      <c r="V3311" s="17"/>
      <c r="W3311" s="20" t="e">
        <f aca="false">VLOOKUP(V3311,Sheet2!Q:R,2,0)</f>
        <v>#N/A</v>
      </c>
      <c r="X3311" s="17" t="n">
        <f aca="false">J3311</f>
        <v>0</v>
      </c>
      <c r="Y3311" s="17" t="e">
        <f aca="false">VLOOKUP(X3311,Sheet2!A:B,2,0)</f>
        <v>#N/A</v>
      </c>
      <c r="Z3311" s="17"/>
      <c r="AA3311" s="17"/>
      <c r="AB3311" s="17" t="s">
        <v>41</v>
      </c>
      <c r="AC3311" s="0" t="str">
        <f aca="false">LEFT(G3311,2)</f>
        <v/>
      </c>
    </row>
    <row r="3312" customFormat="false" ht="15" hidden="false" customHeight="false" outlineLevel="0" collapsed="false">
      <c r="A3312" s="13" t="n">
        <f aca="false">1+A3311</f>
        <v>3310</v>
      </c>
      <c r="B3312" s="14" t="n">
        <v>100</v>
      </c>
      <c r="C3312" s="15"/>
      <c r="D3312" s="16" t="s">
        <v>64</v>
      </c>
      <c r="E3312" s="17" t="s">
        <v>47</v>
      </c>
      <c r="F3312" s="18" t="s">
        <v>34</v>
      </c>
      <c r="G3312" s="19"/>
      <c r="H3312" s="17" t="s">
        <v>35</v>
      </c>
      <c r="I3312" s="17" t="s">
        <v>44</v>
      </c>
      <c r="J3312" s="17"/>
      <c r="K3312" s="17" t="e">
        <f aca="false">VLOOKUP(J3312,Sheet2!A:B,2,0)</f>
        <v>#N/A</v>
      </c>
      <c r="L3312" s="17" t="n">
        <v>5</v>
      </c>
      <c r="M3312" s="17" t="str">
        <f aca="false">VLOOKUP(L3312,Sheet2!D:E,2,0)</f>
        <v>Main Processor CPU BGA</v>
      </c>
      <c r="N3312" s="17" t="n">
        <v>1</v>
      </c>
      <c r="O3312" s="17" t="str">
        <f aca="false">VLOOKUP(N3312,Sheet2!G:H,2,0)</f>
        <v>Dead</v>
      </c>
      <c r="P3312" s="17" t="n">
        <v>11</v>
      </c>
      <c r="Q3312" s="17" t="str">
        <f aca="false">VLOOKUP(P3312,Sheet2!J:K,2,0)</f>
        <v>IR Declared due to CID -TA</v>
      </c>
      <c r="R3312" s="17" t="s">
        <v>35</v>
      </c>
      <c r="S3312" s="17" t="str">
        <f aca="false">VLOOKUP(R3312,Sheet2!N:O,2,0)</f>
        <v>IREPARABLE</v>
      </c>
      <c r="T3312" s="18" t="str">
        <f aca="false">VLOOKUP(P3312,Sheet2!Q:R,2,0)</f>
        <v>IR Normal - Track burn out</v>
      </c>
      <c r="U3312" s="20" t="s">
        <v>41</v>
      </c>
      <c r="V3312" s="17"/>
      <c r="W3312" s="20" t="e">
        <f aca="false">VLOOKUP(V3312,Sheet2!Q:R,2,0)</f>
        <v>#N/A</v>
      </c>
      <c r="X3312" s="17" t="n">
        <f aca="false">J3312</f>
        <v>0</v>
      </c>
      <c r="Y3312" s="17" t="e">
        <f aca="false">VLOOKUP(X3312,Sheet2!A:B,2,0)</f>
        <v>#N/A</v>
      </c>
      <c r="Z3312" s="17"/>
      <c r="AA3312" s="17"/>
      <c r="AB3312" s="17" t="s">
        <v>41</v>
      </c>
      <c r="AC3312" s="0" t="str">
        <f aca="false">LEFT(G3312,2)</f>
        <v/>
      </c>
    </row>
    <row r="3313" customFormat="false" ht="15" hidden="false" customHeight="false" outlineLevel="0" collapsed="false">
      <c r="A3313" s="13" t="n">
        <f aca="false">1+A3312</f>
        <v>3311</v>
      </c>
      <c r="B3313" s="14" t="n">
        <v>100</v>
      </c>
      <c r="C3313" s="15"/>
      <c r="D3313" s="16" t="s">
        <v>64</v>
      </c>
      <c r="E3313" s="17" t="s">
        <v>47</v>
      </c>
      <c r="F3313" s="18" t="s">
        <v>34</v>
      </c>
      <c r="G3313" s="19"/>
      <c r="H3313" s="17" t="s">
        <v>35</v>
      </c>
      <c r="I3313" s="17" t="s">
        <v>44</v>
      </c>
      <c r="J3313" s="17"/>
      <c r="K3313" s="17" t="e">
        <f aca="false">VLOOKUP(J3313,Sheet2!A:B,2,0)</f>
        <v>#N/A</v>
      </c>
      <c r="L3313" s="17" t="n">
        <v>5</v>
      </c>
      <c r="M3313" s="17" t="str">
        <f aca="false">VLOOKUP(L3313,Sheet2!D:E,2,0)</f>
        <v>Main Processor CPU BGA</v>
      </c>
      <c r="N3313" s="17" t="n">
        <v>1</v>
      </c>
      <c r="O3313" s="17" t="str">
        <f aca="false">VLOOKUP(N3313,Sheet2!G:H,2,0)</f>
        <v>Dead</v>
      </c>
      <c r="P3313" s="17" t="n">
        <v>11</v>
      </c>
      <c r="Q3313" s="17" t="str">
        <f aca="false">VLOOKUP(P3313,Sheet2!J:K,2,0)</f>
        <v>IR Declared due to CID -TA</v>
      </c>
      <c r="R3313" s="17" t="s">
        <v>35</v>
      </c>
      <c r="S3313" s="17" t="str">
        <f aca="false">VLOOKUP(R3313,Sheet2!N:O,2,0)</f>
        <v>IREPARABLE</v>
      </c>
      <c r="T3313" s="18" t="str">
        <f aca="false">VLOOKUP(P3313,Sheet2!Q:R,2,0)</f>
        <v>IR Normal - Track burn out</v>
      </c>
      <c r="U3313" s="20" t="s">
        <v>41</v>
      </c>
      <c r="V3313" s="17"/>
      <c r="W3313" s="20" t="e">
        <f aca="false">VLOOKUP(V3313,Sheet2!Q:R,2,0)</f>
        <v>#N/A</v>
      </c>
      <c r="X3313" s="17" t="n">
        <f aca="false">J3313</f>
        <v>0</v>
      </c>
      <c r="Y3313" s="17" t="e">
        <f aca="false">VLOOKUP(X3313,Sheet2!A:B,2,0)</f>
        <v>#N/A</v>
      </c>
      <c r="Z3313" s="17"/>
      <c r="AA3313" s="17"/>
      <c r="AB3313" s="17" t="s">
        <v>41</v>
      </c>
      <c r="AC3313" s="0" t="str">
        <f aca="false">LEFT(G3313,2)</f>
        <v/>
      </c>
    </row>
    <row r="3314" customFormat="false" ht="15" hidden="false" customHeight="false" outlineLevel="0" collapsed="false">
      <c r="A3314" s="13" t="n">
        <f aca="false">1+A3313</f>
        <v>3312</v>
      </c>
      <c r="B3314" s="14" t="n">
        <v>100</v>
      </c>
      <c r="C3314" s="15"/>
      <c r="D3314" s="16" t="s">
        <v>64</v>
      </c>
      <c r="E3314" s="17" t="s">
        <v>47</v>
      </c>
      <c r="F3314" s="18" t="s">
        <v>34</v>
      </c>
      <c r="G3314" s="19"/>
      <c r="H3314" s="17" t="s">
        <v>35</v>
      </c>
      <c r="I3314" s="17" t="s">
        <v>44</v>
      </c>
      <c r="J3314" s="17"/>
      <c r="K3314" s="17" t="e">
        <f aca="false">VLOOKUP(J3314,Sheet2!A:B,2,0)</f>
        <v>#N/A</v>
      </c>
      <c r="L3314" s="17" t="n">
        <v>5</v>
      </c>
      <c r="M3314" s="17" t="str">
        <f aca="false">VLOOKUP(L3314,Sheet2!D:E,2,0)</f>
        <v>Main Processor CPU BGA</v>
      </c>
      <c r="N3314" s="17" t="n">
        <v>1</v>
      </c>
      <c r="O3314" s="17" t="str">
        <f aca="false">VLOOKUP(N3314,Sheet2!G:H,2,0)</f>
        <v>Dead</v>
      </c>
      <c r="P3314" s="17" t="n">
        <v>11</v>
      </c>
      <c r="Q3314" s="17" t="str">
        <f aca="false">VLOOKUP(P3314,Sheet2!J:K,2,0)</f>
        <v>IR Declared due to CID -TA</v>
      </c>
      <c r="R3314" s="17" t="s">
        <v>35</v>
      </c>
      <c r="S3314" s="17" t="str">
        <f aca="false">VLOOKUP(R3314,Sheet2!N:O,2,0)</f>
        <v>IREPARABLE</v>
      </c>
      <c r="T3314" s="18" t="str">
        <f aca="false">VLOOKUP(P3314,Sheet2!Q:R,2,0)</f>
        <v>IR Normal - Track burn out</v>
      </c>
      <c r="U3314" s="20" t="s">
        <v>41</v>
      </c>
      <c r="V3314" s="17"/>
      <c r="W3314" s="20" t="e">
        <f aca="false">VLOOKUP(V3314,Sheet2!Q:R,2,0)</f>
        <v>#N/A</v>
      </c>
      <c r="X3314" s="17" t="n">
        <f aca="false">J3314</f>
        <v>0</v>
      </c>
      <c r="Y3314" s="17" t="e">
        <f aca="false">VLOOKUP(X3314,Sheet2!A:B,2,0)</f>
        <v>#N/A</v>
      </c>
      <c r="Z3314" s="17"/>
      <c r="AA3314" s="17"/>
      <c r="AB3314" s="17" t="s">
        <v>41</v>
      </c>
      <c r="AC3314" s="0" t="str">
        <f aca="false">LEFT(G3314,2)</f>
        <v/>
      </c>
    </row>
    <row r="3315" customFormat="false" ht="15" hidden="false" customHeight="false" outlineLevel="0" collapsed="false">
      <c r="A3315" s="13" t="n">
        <f aca="false">1+A3314</f>
        <v>3313</v>
      </c>
      <c r="B3315" s="14" t="n">
        <v>100</v>
      </c>
      <c r="C3315" s="15"/>
      <c r="D3315" s="16" t="s">
        <v>64</v>
      </c>
      <c r="E3315" s="17" t="s">
        <v>47</v>
      </c>
      <c r="F3315" s="18" t="s">
        <v>34</v>
      </c>
      <c r="G3315" s="19"/>
      <c r="H3315" s="17" t="s">
        <v>35</v>
      </c>
      <c r="I3315" s="17" t="s">
        <v>44</v>
      </c>
      <c r="J3315" s="17"/>
      <c r="K3315" s="17" t="e">
        <f aca="false">VLOOKUP(J3315,Sheet2!A:B,2,0)</f>
        <v>#N/A</v>
      </c>
      <c r="L3315" s="17" t="n">
        <v>5</v>
      </c>
      <c r="M3315" s="17" t="str">
        <f aca="false">VLOOKUP(L3315,Sheet2!D:E,2,0)</f>
        <v>Main Processor CPU BGA</v>
      </c>
      <c r="N3315" s="17" t="n">
        <v>1</v>
      </c>
      <c r="O3315" s="17" t="str">
        <f aca="false">VLOOKUP(N3315,Sheet2!G:H,2,0)</f>
        <v>Dead</v>
      </c>
      <c r="P3315" s="17" t="n">
        <v>11</v>
      </c>
      <c r="Q3315" s="17" t="str">
        <f aca="false">VLOOKUP(P3315,Sheet2!J:K,2,0)</f>
        <v>IR Declared due to CID -TA</v>
      </c>
      <c r="R3315" s="17" t="s">
        <v>35</v>
      </c>
      <c r="S3315" s="17" t="str">
        <f aca="false">VLOOKUP(R3315,Sheet2!N:O,2,0)</f>
        <v>IREPARABLE</v>
      </c>
      <c r="T3315" s="18" t="str">
        <f aca="false">VLOOKUP(P3315,Sheet2!Q:R,2,0)</f>
        <v>IR Normal - Track burn out</v>
      </c>
      <c r="U3315" s="20" t="s">
        <v>41</v>
      </c>
      <c r="V3315" s="17"/>
      <c r="W3315" s="20" t="e">
        <f aca="false">VLOOKUP(V3315,Sheet2!Q:R,2,0)</f>
        <v>#N/A</v>
      </c>
      <c r="X3315" s="17" t="n">
        <f aca="false">J3315</f>
        <v>0</v>
      </c>
      <c r="Y3315" s="17" t="e">
        <f aca="false">VLOOKUP(X3315,Sheet2!A:B,2,0)</f>
        <v>#N/A</v>
      </c>
      <c r="Z3315" s="17"/>
      <c r="AA3315" s="17"/>
      <c r="AB3315" s="17" t="s">
        <v>41</v>
      </c>
      <c r="AC3315" s="0" t="str">
        <f aca="false">LEFT(G3315,2)</f>
        <v/>
      </c>
    </row>
    <row r="3316" customFormat="false" ht="15" hidden="false" customHeight="false" outlineLevel="0" collapsed="false">
      <c r="A3316" s="13" t="n">
        <f aca="false">1+A3315</f>
        <v>3314</v>
      </c>
      <c r="B3316" s="14" t="n">
        <v>100</v>
      </c>
      <c r="C3316" s="15"/>
      <c r="D3316" s="16" t="s">
        <v>64</v>
      </c>
      <c r="E3316" s="17" t="s">
        <v>47</v>
      </c>
      <c r="F3316" s="18" t="s">
        <v>34</v>
      </c>
      <c r="G3316" s="19"/>
      <c r="H3316" s="17" t="s">
        <v>35</v>
      </c>
      <c r="I3316" s="17" t="s">
        <v>44</v>
      </c>
      <c r="J3316" s="17"/>
      <c r="K3316" s="17" t="e">
        <f aca="false">VLOOKUP(J3316,Sheet2!A:B,2,0)</f>
        <v>#N/A</v>
      </c>
      <c r="L3316" s="17" t="n">
        <v>5</v>
      </c>
      <c r="M3316" s="17" t="str">
        <f aca="false">VLOOKUP(L3316,Sheet2!D:E,2,0)</f>
        <v>Main Processor CPU BGA</v>
      </c>
      <c r="N3316" s="17" t="n">
        <v>1</v>
      </c>
      <c r="O3316" s="17" t="str">
        <f aca="false">VLOOKUP(N3316,Sheet2!G:H,2,0)</f>
        <v>Dead</v>
      </c>
      <c r="P3316" s="17" t="n">
        <v>11</v>
      </c>
      <c r="Q3316" s="17" t="str">
        <f aca="false">VLOOKUP(P3316,Sheet2!J:K,2,0)</f>
        <v>IR Declared due to CID -TA</v>
      </c>
      <c r="R3316" s="17" t="s">
        <v>35</v>
      </c>
      <c r="S3316" s="17" t="str">
        <f aca="false">VLOOKUP(R3316,Sheet2!N:O,2,0)</f>
        <v>IREPARABLE</v>
      </c>
      <c r="T3316" s="18" t="str">
        <f aca="false">VLOOKUP(P3316,Sheet2!Q:R,2,0)</f>
        <v>IR Normal - Track burn out</v>
      </c>
      <c r="U3316" s="20" t="s">
        <v>41</v>
      </c>
      <c r="V3316" s="17"/>
      <c r="W3316" s="20" t="e">
        <f aca="false">VLOOKUP(V3316,Sheet2!Q:R,2,0)</f>
        <v>#N/A</v>
      </c>
      <c r="X3316" s="17" t="n">
        <f aca="false">J3316</f>
        <v>0</v>
      </c>
      <c r="Y3316" s="17" t="e">
        <f aca="false">VLOOKUP(X3316,Sheet2!A:B,2,0)</f>
        <v>#N/A</v>
      </c>
      <c r="Z3316" s="17"/>
      <c r="AA3316" s="17"/>
      <c r="AB3316" s="17" t="s">
        <v>41</v>
      </c>
      <c r="AC3316" s="0" t="str">
        <f aca="false">LEFT(G3316,2)</f>
        <v/>
      </c>
    </row>
    <row r="3317" customFormat="false" ht="15" hidden="false" customHeight="false" outlineLevel="0" collapsed="false">
      <c r="A3317" s="13" t="n">
        <f aca="false">1+A3316</f>
        <v>3315</v>
      </c>
      <c r="B3317" s="14" t="n">
        <v>100</v>
      </c>
      <c r="C3317" s="15"/>
      <c r="D3317" s="16" t="s">
        <v>64</v>
      </c>
      <c r="E3317" s="17" t="s">
        <v>47</v>
      </c>
      <c r="F3317" s="18" t="s">
        <v>34</v>
      </c>
      <c r="G3317" s="19"/>
      <c r="H3317" s="17" t="s">
        <v>35</v>
      </c>
      <c r="I3317" s="17" t="s">
        <v>44</v>
      </c>
      <c r="J3317" s="17"/>
      <c r="K3317" s="17" t="e">
        <f aca="false">VLOOKUP(J3317,Sheet2!A:B,2,0)</f>
        <v>#N/A</v>
      </c>
      <c r="L3317" s="17" t="n">
        <v>5</v>
      </c>
      <c r="M3317" s="17" t="str">
        <f aca="false">VLOOKUP(L3317,Sheet2!D:E,2,0)</f>
        <v>Main Processor CPU BGA</v>
      </c>
      <c r="N3317" s="17" t="n">
        <v>1</v>
      </c>
      <c r="O3317" s="17" t="str">
        <f aca="false">VLOOKUP(N3317,Sheet2!G:H,2,0)</f>
        <v>Dead</v>
      </c>
      <c r="P3317" s="17" t="n">
        <v>11</v>
      </c>
      <c r="Q3317" s="17" t="str">
        <f aca="false">VLOOKUP(P3317,Sheet2!J:K,2,0)</f>
        <v>IR Declared due to CID -TA</v>
      </c>
      <c r="R3317" s="17" t="s">
        <v>35</v>
      </c>
      <c r="S3317" s="17" t="str">
        <f aca="false">VLOOKUP(R3317,Sheet2!N:O,2,0)</f>
        <v>IREPARABLE</v>
      </c>
      <c r="T3317" s="18" t="str">
        <f aca="false">VLOOKUP(P3317,Sheet2!Q:R,2,0)</f>
        <v>IR Normal - Track burn out</v>
      </c>
      <c r="U3317" s="20" t="s">
        <v>41</v>
      </c>
      <c r="V3317" s="17"/>
      <c r="W3317" s="20" t="e">
        <f aca="false">VLOOKUP(V3317,Sheet2!Q:R,2,0)</f>
        <v>#N/A</v>
      </c>
      <c r="X3317" s="17" t="n">
        <f aca="false">J3317</f>
        <v>0</v>
      </c>
      <c r="Y3317" s="17" t="e">
        <f aca="false">VLOOKUP(X3317,Sheet2!A:B,2,0)</f>
        <v>#N/A</v>
      </c>
      <c r="Z3317" s="17"/>
      <c r="AA3317" s="17"/>
      <c r="AB3317" s="17" t="s">
        <v>41</v>
      </c>
      <c r="AC3317" s="0" t="str">
        <f aca="false">LEFT(G3317,2)</f>
        <v/>
      </c>
    </row>
    <row r="3318" customFormat="false" ht="15" hidden="false" customHeight="false" outlineLevel="0" collapsed="false">
      <c r="A3318" s="13" t="n">
        <f aca="false">1+A3317</f>
        <v>3316</v>
      </c>
      <c r="B3318" s="14" t="n">
        <v>100</v>
      </c>
      <c r="C3318" s="15"/>
      <c r="D3318" s="16" t="s">
        <v>64</v>
      </c>
      <c r="E3318" s="17" t="s">
        <v>47</v>
      </c>
      <c r="F3318" s="18" t="s">
        <v>34</v>
      </c>
      <c r="G3318" s="19"/>
      <c r="H3318" s="17" t="s">
        <v>35</v>
      </c>
      <c r="I3318" s="17" t="s">
        <v>44</v>
      </c>
      <c r="J3318" s="17"/>
      <c r="K3318" s="17" t="e">
        <f aca="false">VLOOKUP(J3318,Sheet2!A:B,2,0)</f>
        <v>#N/A</v>
      </c>
      <c r="L3318" s="17" t="n">
        <v>5</v>
      </c>
      <c r="M3318" s="17" t="str">
        <f aca="false">VLOOKUP(L3318,Sheet2!D:E,2,0)</f>
        <v>Main Processor CPU BGA</v>
      </c>
      <c r="N3318" s="17" t="n">
        <v>1</v>
      </c>
      <c r="O3318" s="17" t="str">
        <f aca="false">VLOOKUP(N3318,Sheet2!G:H,2,0)</f>
        <v>Dead</v>
      </c>
      <c r="P3318" s="17" t="n">
        <v>11</v>
      </c>
      <c r="Q3318" s="17" t="str">
        <f aca="false">VLOOKUP(P3318,Sheet2!J:K,2,0)</f>
        <v>IR Declared due to CID -TA</v>
      </c>
      <c r="R3318" s="17" t="s">
        <v>35</v>
      </c>
      <c r="S3318" s="17" t="str">
        <f aca="false">VLOOKUP(R3318,Sheet2!N:O,2,0)</f>
        <v>IREPARABLE</v>
      </c>
      <c r="T3318" s="18" t="str">
        <f aca="false">VLOOKUP(P3318,Sheet2!Q:R,2,0)</f>
        <v>IR Normal - Track burn out</v>
      </c>
      <c r="U3318" s="20" t="s">
        <v>41</v>
      </c>
      <c r="V3318" s="17"/>
      <c r="W3318" s="20" t="e">
        <f aca="false">VLOOKUP(V3318,Sheet2!Q:R,2,0)</f>
        <v>#N/A</v>
      </c>
      <c r="X3318" s="17" t="n">
        <f aca="false">J3318</f>
        <v>0</v>
      </c>
      <c r="Y3318" s="17" t="e">
        <f aca="false">VLOOKUP(X3318,Sheet2!A:B,2,0)</f>
        <v>#N/A</v>
      </c>
      <c r="Z3318" s="17"/>
      <c r="AA3318" s="17"/>
      <c r="AB3318" s="17" t="s">
        <v>41</v>
      </c>
      <c r="AC3318" s="0" t="str">
        <f aca="false">LEFT(G3318,2)</f>
        <v/>
      </c>
    </row>
    <row r="3319" customFormat="false" ht="15" hidden="false" customHeight="false" outlineLevel="0" collapsed="false">
      <c r="A3319" s="13" t="n">
        <f aca="false">1+A3318</f>
        <v>3317</v>
      </c>
      <c r="B3319" s="14" t="n">
        <v>100</v>
      </c>
      <c r="C3319" s="15"/>
      <c r="D3319" s="16" t="s">
        <v>64</v>
      </c>
      <c r="E3319" s="17" t="s">
        <v>47</v>
      </c>
      <c r="F3319" s="18" t="s">
        <v>34</v>
      </c>
      <c r="G3319" s="19"/>
      <c r="H3319" s="17" t="s">
        <v>35</v>
      </c>
      <c r="I3319" s="17" t="s">
        <v>44</v>
      </c>
      <c r="J3319" s="17"/>
      <c r="K3319" s="17" t="e">
        <f aca="false">VLOOKUP(J3319,Sheet2!A:B,2,0)</f>
        <v>#N/A</v>
      </c>
      <c r="L3319" s="17" t="n">
        <v>5</v>
      </c>
      <c r="M3319" s="17" t="str">
        <f aca="false">VLOOKUP(L3319,Sheet2!D:E,2,0)</f>
        <v>Main Processor CPU BGA</v>
      </c>
      <c r="N3319" s="17" t="n">
        <v>1</v>
      </c>
      <c r="O3319" s="17" t="str">
        <f aca="false">VLOOKUP(N3319,Sheet2!G:H,2,0)</f>
        <v>Dead</v>
      </c>
      <c r="P3319" s="17" t="n">
        <v>11</v>
      </c>
      <c r="Q3319" s="17" t="str">
        <f aca="false">VLOOKUP(P3319,Sheet2!J:K,2,0)</f>
        <v>IR Declared due to CID -TA</v>
      </c>
      <c r="R3319" s="17" t="s">
        <v>35</v>
      </c>
      <c r="S3319" s="17" t="str">
        <f aca="false">VLOOKUP(R3319,Sheet2!N:O,2,0)</f>
        <v>IREPARABLE</v>
      </c>
      <c r="T3319" s="18" t="str">
        <f aca="false">VLOOKUP(P3319,Sheet2!Q:R,2,0)</f>
        <v>IR Normal - Track burn out</v>
      </c>
      <c r="U3319" s="20" t="s">
        <v>41</v>
      </c>
      <c r="V3319" s="17"/>
      <c r="W3319" s="20" t="e">
        <f aca="false">VLOOKUP(V3319,Sheet2!Q:R,2,0)</f>
        <v>#N/A</v>
      </c>
      <c r="X3319" s="17" t="n">
        <f aca="false">J3319</f>
        <v>0</v>
      </c>
      <c r="Y3319" s="17" t="e">
        <f aca="false">VLOOKUP(X3319,Sheet2!A:B,2,0)</f>
        <v>#N/A</v>
      </c>
      <c r="Z3319" s="17"/>
      <c r="AA3319" s="17"/>
      <c r="AB3319" s="17" t="s">
        <v>41</v>
      </c>
      <c r="AC3319" s="0" t="str">
        <f aca="false">LEFT(G3319,2)</f>
        <v/>
      </c>
      <c r="AE3319" s="0"/>
    </row>
    <row r="3320" customFormat="false" ht="15" hidden="false" customHeight="false" outlineLevel="0" collapsed="false">
      <c r="A3320" s="13" t="n">
        <f aca="false">1+A3319</f>
        <v>3318</v>
      </c>
      <c r="B3320" s="14" t="n">
        <v>100</v>
      </c>
      <c r="C3320" s="15"/>
      <c r="D3320" s="16" t="s">
        <v>64</v>
      </c>
      <c r="E3320" s="17" t="s">
        <v>47</v>
      </c>
      <c r="F3320" s="19" t="s">
        <v>34</v>
      </c>
      <c r="G3320" s="19"/>
      <c r="H3320" s="17" t="s">
        <v>35</v>
      </c>
      <c r="I3320" s="17" t="s">
        <v>44</v>
      </c>
      <c r="J3320" s="17"/>
      <c r="K3320" s="17" t="e">
        <f aca="false">VLOOKUP(J3320,Sheet2!A:B,2,0)</f>
        <v>#N/A</v>
      </c>
      <c r="L3320" s="17" t="n">
        <v>5</v>
      </c>
      <c r="M3320" s="17" t="str">
        <f aca="false">VLOOKUP(L3320,Sheet2!D:E,2,0)</f>
        <v>Main Processor CPU BGA</v>
      </c>
      <c r="N3320" s="17" t="n">
        <v>1</v>
      </c>
      <c r="O3320" s="17" t="str">
        <f aca="false">VLOOKUP(N3320,Sheet2!G:H,2,0)</f>
        <v>Dead</v>
      </c>
      <c r="P3320" s="17" t="n">
        <v>11</v>
      </c>
      <c r="Q3320" s="17" t="str">
        <f aca="false">VLOOKUP(P3320,Sheet2!J:K,2,0)</f>
        <v>IR Declared due to CID -TA</v>
      </c>
      <c r="R3320" s="17" t="s">
        <v>35</v>
      </c>
      <c r="S3320" s="17" t="str">
        <f aca="false">VLOOKUP(R3320,Sheet2!N:O,2,0)</f>
        <v>IREPARABLE</v>
      </c>
      <c r="T3320" s="18" t="str">
        <f aca="false">VLOOKUP(P3320,Sheet2!Q:R,2,0)</f>
        <v>IR Normal - Track burn out</v>
      </c>
      <c r="U3320" s="20" t="s">
        <v>41</v>
      </c>
      <c r="V3320" s="17"/>
      <c r="W3320" s="20" t="e">
        <f aca="false">VLOOKUP(V3320,Sheet2!Q:R,2,0)</f>
        <v>#N/A</v>
      </c>
      <c r="X3320" s="17" t="n">
        <f aca="false">J3320</f>
        <v>0</v>
      </c>
      <c r="Y3320" s="17" t="e">
        <f aca="false">VLOOKUP(X3320,Sheet2!A:B,2,0)</f>
        <v>#N/A</v>
      </c>
      <c r="Z3320" s="17"/>
      <c r="AA3320" s="17"/>
      <c r="AB3320" s="17" t="s">
        <v>41</v>
      </c>
      <c r="AC3320" s="0" t="str">
        <f aca="false">LEFT(G3320,2)</f>
        <v/>
      </c>
      <c r="AE3320" s="0"/>
    </row>
    <row r="3321" customFormat="false" ht="15" hidden="false" customHeight="false" outlineLevel="0" collapsed="false">
      <c r="A3321" s="13" t="n">
        <f aca="false">1+A3320</f>
        <v>3319</v>
      </c>
      <c r="B3321" s="14" t="n">
        <v>100</v>
      </c>
      <c r="C3321" s="15"/>
      <c r="D3321" s="16" t="s">
        <v>64</v>
      </c>
      <c r="E3321" s="17" t="s">
        <v>47</v>
      </c>
      <c r="F3321" s="19" t="s">
        <v>34</v>
      </c>
      <c r="G3321" s="19"/>
      <c r="H3321" s="17" t="s">
        <v>35</v>
      </c>
      <c r="I3321" s="17" t="s">
        <v>44</v>
      </c>
      <c r="J3321" s="17"/>
      <c r="K3321" s="17" t="e">
        <f aca="false">VLOOKUP(J3321,Sheet2!A:B,2,0)</f>
        <v>#N/A</v>
      </c>
      <c r="L3321" s="17" t="n">
        <v>5</v>
      </c>
      <c r="M3321" s="17" t="str">
        <f aca="false">VLOOKUP(L3321,Sheet2!D:E,2,0)</f>
        <v>Main Processor CPU BGA</v>
      </c>
      <c r="N3321" s="17" t="n">
        <v>1</v>
      </c>
      <c r="O3321" s="17" t="str">
        <f aca="false">VLOOKUP(N3321,Sheet2!G:H,2,0)</f>
        <v>Dead</v>
      </c>
      <c r="P3321" s="17" t="n">
        <v>11</v>
      </c>
      <c r="Q3321" s="17" t="str">
        <f aca="false">VLOOKUP(P3321,Sheet2!J:K,2,0)</f>
        <v>IR Declared due to CID -TA</v>
      </c>
      <c r="R3321" s="17" t="s">
        <v>35</v>
      </c>
      <c r="S3321" s="17" t="str">
        <f aca="false">VLOOKUP(R3321,Sheet2!N:O,2,0)</f>
        <v>IREPARABLE</v>
      </c>
      <c r="T3321" s="18" t="str">
        <f aca="false">VLOOKUP(P3321,Sheet2!Q:R,2,0)</f>
        <v>IR Normal - Track burn out</v>
      </c>
      <c r="U3321" s="20" t="s">
        <v>41</v>
      </c>
      <c r="V3321" s="17"/>
      <c r="W3321" s="20" t="e">
        <f aca="false">VLOOKUP(V3321,Sheet2!Q:R,2,0)</f>
        <v>#N/A</v>
      </c>
      <c r="X3321" s="17" t="n">
        <f aca="false">J3321</f>
        <v>0</v>
      </c>
      <c r="Y3321" s="17" t="e">
        <f aca="false">VLOOKUP(X3321,Sheet2!A:B,2,0)</f>
        <v>#N/A</v>
      </c>
      <c r="Z3321" s="17"/>
      <c r="AA3321" s="17"/>
      <c r="AB3321" s="17" t="s">
        <v>41</v>
      </c>
      <c r="AC3321" s="0" t="str">
        <f aca="false">LEFT(G3321,2)</f>
        <v/>
      </c>
      <c r="AE3321" s="0"/>
    </row>
    <row r="3322" customFormat="false" ht="15" hidden="false" customHeight="false" outlineLevel="0" collapsed="false">
      <c r="A3322" s="13" t="n">
        <f aca="false">1+A3321</f>
        <v>3320</v>
      </c>
      <c r="B3322" s="14" t="n">
        <v>100</v>
      </c>
      <c r="C3322" s="15"/>
      <c r="D3322" s="16" t="s">
        <v>64</v>
      </c>
      <c r="E3322" s="17" t="s">
        <v>47</v>
      </c>
      <c r="F3322" s="19" t="s">
        <v>34</v>
      </c>
      <c r="G3322" s="19"/>
      <c r="H3322" s="17" t="s">
        <v>35</v>
      </c>
      <c r="I3322" s="17" t="s">
        <v>44</v>
      </c>
      <c r="J3322" s="17"/>
      <c r="K3322" s="17" t="e">
        <f aca="false">VLOOKUP(J3322,Sheet2!A:B,2,0)</f>
        <v>#N/A</v>
      </c>
      <c r="L3322" s="17" t="n">
        <v>5</v>
      </c>
      <c r="M3322" s="17" t="str">
        <f aca="false">VLOOKUP(L3322,Sheet2!D:E,2,0)</f>
        <v>Main Processor CPU BGA</v>
      </c>
      <c r="N3322" s="17" t="n">
        <v>1</v>
      </c>
      <c r="O3322" s="17" t="str">
        <f aca="false">VLOOKUP(N3322,Sheet2!G:H,2,0)</f>
        <v>Dead</v>
      </c>
      <c r="P3322" s="17" t="n">
        <v>11</v>
      </c>
      <c r="Q3322" s="17" t="str">
        <f aca="false">VLOOKUP(P3322,Sheet2!J:K,2,0)</f>
        <v>IR Declared due to CID -TA</v>
      </c>
      <c r="R3322" s="17" t="s">
        <v>35</v>
      </c>
      <c r="S3322" s="17" t="str">
        <f aca="false">VLOOKUP(R3322,Sheet2!N:O,2,0)</f>
        <v>IREPARABLE</v>
      </c>
      <c r="T3322" s="18" t="str">
        <f aca="false">VLOOKUP(P3322,Sheet2!Q:R,2,0)</f>
        <v>IR Normal - Track burn out</v>
      </c>
      <c r="U3322" s="20" t="s">
        <v>41</v>
      </c>
      <c r="V3322" s="17"/>
      <c r="W3322" s="20" t="e">
        <f aca="false">VLOOKUP(V3322,Sheet2!Q:R,2,0)</f>
        <v>#N/A</v>
      </c>
      <c r="X3322" s="17" t="n">
        <f aca="false">J3322</f>
        <v>0</v>
      </c>
      <c r="Y3322" s="17" t="e">
        <f aca="false">VLOOKUP(X3322,Sheet2!A:B,2,0)</f>
        <v>#N/A</v>
      </c>
      <c r="Z3322" s="17"/>
      <c r="AA3322" s="17"/>
      <c r="AB3322" s="17" t="s">
        <v>41</v>
      </c>
      <c r="AC3322" s="0" t="str">
        <f aca="false">LEFT(G3322,2)</f>
        <v/>
      </c>
      <c r="AE3322" s="0"/>
    </row>
    <row r="3323" customFormat="false" ht="15" hidden="false" customHeight="false" outlineLevel="0" collapsed="false">
      <c r="A3323" s="13" t="n">
        <f aca="false">1+A3322</f>
        <v>3321</v>
      </c>
      <c r="B3323" s="14" t="n">
        <v>100</v>
      </c>
      <c r="C3323" s="15"/>
      <c r="D3323" s="16" t="s">
        <v>64</v>
      </c>
      <c r="E3323" s="17" t="s">
        <v>47</v>
      </c>
      <c r="F3323" s="19" t="s">
        <v>34</v>
      </c>
      <c r="G3323" s="19"/>
      <c r="H3323" s="17" t="s">
        <v>35</v>
      </c>
      <c r="I3323" s="17" t="s">
        <v>44</v>
      </c>
      <c r="J3323" s="17"/>
      <c r="K3323" s="17" t="e">
        <f aca="false">VLOOKUP(J3323,Sheet2!A:B,2,0)</f>
        <v>#N/A</v>
      </c>
      <c r="L3323" s="17" t="n">
        <v>5</v>
      </c>
      <c r="M3323" s="17" t="str">
        <f aca="false">VLOOKUP(L3323,Sheet2!D:E,2,0)</f>
        <v>Main Processor CPU BGA</v>
      </c>
      <c r="N3323" s="17" t="n">
        <v>1</v>
      </c>
      <c r="O3323" s="17" t="str">
        <f aca="false">VLOOKUP(N3323,Sheet2!G:H,2,0)</f>
        <v>Dead</v>
      </c>
      <c r="P3323" s="17" t="n">
        <v>11</v>
      </c>
      <c r="Q3323" s="17" t="str">
        <f aca="false">VLOOKUP(P3323,Sheet2!J:K,2,0)</f>
        <v>IR Declared due to CID -TA</v>
      </c>
      <c r="R3323" s="17" t="s">
        <v>35</v>
      </c>
      <c r="S3323" s="17" t="str">
        <f aca="false">VLOOKUP(R3323,Sheet2!N:O,2,0)</f>
        <v>IREPARABLE</v>
      </c>
      <c r="T3323" s="18" t="str">
        <f aca="false">VLOOKUP(P3323,Sheet2!Q:R,2,0)</f>
        <v>IR Normal - Track burn out</v>
      </c>
      <c r="U3323" s="20" t="s">
        <v>41</v>
      </c>
      <c r="V3323" s="17"/>
      <c r="W3323" s="20" t="e">
        <f aca="false">VLOOKUP(V3323,Sheet2!Q:R,2,0)</f>
        <v>#N/A</v>
      </c>
      <c r="X3323" s="17" t="n">
        <f aca="false">J3323</f>
        <v>0</v>
      </c>
      <c r="Y3323" s="17" t="e">
        <f aca="false">VLOOKUP(X3323,Sheet2!A:B,2,0)</f>
        <v>#N/A</v>
      </c>
      <c r="Z3323" s="17"/>
      <c r="AA3323" s="17"/>
      <c r="AB3323" s="17" t="s">
        <v>41</v>
      </c>
      <c r="AC3323" s="0" t="str">
        <f aca="false">LEFT(G3323,2)</f>
        <v/>
      </c>
      <c r="AE3323" s="0"/>
    </row>
    <row r="3324" customFormat="false" ht="15" hidden="false" customHeight="false" outlineLevel="0" collapsed="false">
      <c r="A3324" s="13" t="n">
        <f aca="false">1+A3323</f>
        <v>3322</v>
      </c>
      <c r="B3324" s="14" t="n">
        <v>100</v>
      </c>
      <c r="C3324" s="15"/>
      <c r="D3324" s="16" t="s">
        <v>64</v>
      </c>
      <c r="E3324" s="17" t="s">
        <v>47</v>
      </c>
      <c r="F3324" s="19" t="s">
        <v>34</v>
      </c>
      <c r="G3324" s="19"/>
      <c r="H3324" s="17" t="s">
        <v>35</v>
      </c>
      <c r="I3324" s="17" t="s">
        <v>44</v>
      </c>
      <c r="J3324" s="17"/>
      <c r="K3324" s="17" t="e">
        <f aca="false">VLOOKUP(J3324,Sheet2!A:B,2,0)</f>
        <v>#N/A</v>
      </c>
      <c r="L3324" s="17" t="n">
        <v>5</v>
      </c>
      <c r="M3324" s="17" t="str">
        <f aca="false">VLOOKUP(L3324,Sheet2!D:E,2,0)</f>
        <v>Main Processor CPU BGA</v>
      </c>
      <c r="N3324" s="17" t="n">
        <v>1</v>
      </c>
      <c r="O3324" s="17" t="str">
        <f aca="false">VLOOKUP(N3324,Sheet2!G:H,2,0)</f>
        <v>Dead</v>
      </c>
      <c r="P3324" s="17" t="n">
        <v>11</v>
      </c>
      <c r="Q3324" s="17" t="str">
        <f aca="false">VLOOKUP(P3324,Sheet2!J:K,2,0)</f>
        <v>IR Declared due to CID -TA</v>
      </c>
      <c r="R3324" s="17" t="s">
        <v>35</v>
      </c>
      <c r="S3324" s="17" t="str">
        <f aca="false">VLOOKUP(R3324,Sheet2!N:O,2,0)</f>
        <v>IREPARABLE</v>
      </c>
      <c r="T3324" s="18" t="str">
        <f aca="false">VLOOKUP(P3324,Sheet2!Q:R,2,0)</f>
        <v>IR Normal - Track burn out</v>
      </c>
      <c r="U3324" s="20" t="s">
        <v>41</v>
      </c>
      <c r="V3324" s="17"/>
      <c r="W3324" s="20" t="e">
        <f aca="false">VLOOKUP(V3324,Sheet2!Q:R,2,0)</f>
        <v>#N/A</v>
      </c>
      <c r="X3324" s="17" t="n">
        <f aca="false">J3324</f>
        <v>0</v>
      </c>
      <c r="Y3324" s="17" t="e">
        <f aca="false">VLOOKUP(X3324,Sheet2!A:B,2,0)</f>
        <v>#N/A</v>
      </c>
      <c r="Z3324" s="17"/>
      <c r="AA3324" s="17"/>
      <c r="AB3324" s="17" t="s">
        <v>41</v>
      </c>
      <c r="AC3324" s="0" t="str">
        <f aca="false">LEFT(G3324,2)</f>
        <v/>
      </c>
      <c r="AE3324" s="0"/>
    </row>
    <row r="3325" customFormat="false" ht="15" hidden="false" customHeight="false" outlineLevel="0" collapsed="false">
      <c r="A3325" s="13" t="n">
        <f aca="false">1+A3324</f>
        <v>3323</v>
      </c>
      <c r="B3325" s="14" t="n">
        <v>100</v>
      </c>
      <c r="C3325" s="15"/>
      <c r="D3325" s="16" t="s">
        <v>64</v>
      </c>
      <c r="E3325" s="17" t="s">
        <v>47</v>
      </c>
      <c r="F3325" s="19" t="s">
        <v>34</v>
      </c>
      <c r="G3325" s="19"/>
      <c r="H3325" s="17" t="s">
        <v>35</v>
      </c>
      <c r="I3325" s="17" t="s">
        <v>44</v>
      </c>
      <c r="J3325" s="17"/>
      <c r="K3325" s="17" t="e">
        <f aca="false">VLOOKUP(J3325,Sheet2!A:B,2,0)</f>
        <v>#N/A</v>
      </c>
      <c r="L3325" s="17" t="n">
        <v>5</v>
      </c>
      <c r="M3325" s="17" t="str">
        <f aca="false">VLOOKUP(L3325,Sheet2!D:E,2,0)</f>
        <v>Main Processor CPU BGA</v>
      </c>
      <c r="N3325" s="17" t="n">
        <v>1</v>
      </c>
      <c r="O3325" s="17" t="str">
        <f aca="false">VLOOKUP(N3325,Sheet2!G:H,2,0)</f>
        <v>Dead</v>
      </c>
      <c r="P3325" s="17" t="n">
        <v>11</v>
      </c>
      <c r="Q3325" s="17" t="str">
        <f aca="false">VLOOKUP(P3325,Sheet2!J:K,2,0)</f>
        <v>IR Declared due to CID -TA</v>
      </c>
      <c r="R3325" s="17" t="s">
        <v>35</v>
      </c>
      <c r="S3325" s="17" t="str">
        <f aca="false">VLOOKUP(R3325,Sheet2!N:O,2,0)</f>
        <v>IREPARABLE</v>
      </c>
      <c r="T3325" s="18" t="str">
        <f aca="false">VLOOKUP(P3325,Sheet2!Q:R,2,0)</f>
        <v>IR Normal - Track burn out</v>
      </c>
      <c r="U3325" s="20" t="s">
        <v>41</v>
      </c>
      <c r="V3325" s="17"/>
      <c r="W3325" s="20" t="e">
        <f aca="false">VLOOKUP(V3325,Sheet2!Q:R,2,0)</f>
        <v>#N/A</v>
      </c>
      <c r="X3325" s="17" t="n">
        <f aca="false">J3325</f>
        <v>0</v>
      </c>
      <c r="Y3325" s="17" t="e">
        <f aca="false">VLOOKUP(X3325,Sheet2!A:B,2,0)</f>
        <v>#N/A</v>
      </c>
      <c r="Z3325" s="17"/>
      <c r="AA3325" s="17"/>
      <c r="AB3325" s="17" t="s">
        <v>41</v>
      </c>
      <c r="AC3325" s="0" t="str">
        <f aca="false">LEFT(G3325,2)</f>
        <v/>
      </c>
      <c r="AE3325" s="0"/>
    </row>
    <row r="3326" customFormat="false" ht="15" hidden="false" customHeight="false" outlineLevel="0" collapsed="false">
      <c r="A3326" s="13" t="n">
        <f aca="false">1+A3325</f>
        <v>3324</v>
      </c>
      <c r="B3326" s="14" t="n">
        <v>100</v>
      </c>
      <c r="C3326" s="15"/>
      <c r="D3326" s="16" t="s">
        <v>64</v>
      </c>
      <c r="E3326" s="17" t="s">
        <v>47</v>
      </c>
      <c r="F3326" s="19" t="s">
        <v>34</v>
      </c>
      <c r="G3326" s="19"/>
      <c r="H3326" s="17" t="s">
        <v>35</v>
      </c>
      <c r="I3326" s="17" t="s">
        <v>44</v>
      </c>
      <c r="J3326" s="17"/>
      <c r="K3326" s="17" t="e">
        <f aca="false">VLOOKUP(J3326,Sheet2!A:B,2,0)</f>
        <v>#N/A</v>
      </c>
      <c r="L3326" s="17" t="n">
        <v>5</v>
      </c>
      <c r="M3326" s="17" t="str">
        <f aca="false">VLOOKUP(L3326,Sheet2!D:E,2,0)</f>
        <v>Main Processor CPU BGA</v>
      </c>
      <c r="N3326" s="17" t="n">
        <v>1</v>
      </c>
      <c r="O3326" s="17" t="str">
        <f aca="false">VLOOKUP(N3326,Sheet2!G:H,2,0)</f>
        <v>Dead</v>
      </c>
      <c r="P3326" s="17" t="n">
        <v>11</v>
      </c>
      <c r="Q3326" s="17" t="str">
        <f aca="false">VLOOKUP(P3326,Sheet2!J:K,2,0)</f>
        <v>IR Declared due to CID -TA</v>
      </c>
      <c r="R3326" s="17" t="s">
        <v>35</v>
      </c>
      <c r="S3326" s="17" t="str">
        <f aca="false">VLOOKUP(R3326,Sheet2!N:O,2,0)</f>
        <v>IREPARABLE</v>
      </c>
      <c r="T3326" s="18" t="str">
        <f aca="false">VLOOKUP(P3326,Sheet2!Q:R,2,0)</f>
        <v>IR Normal - Track burn out</v>
      </c>
      <c r="U3326" s="20" t="s">
        <v>41</v>
      </c>
      <c r="V3326" s="17"/>
      <c r="W3326" s="20" t="e">
        <f aca="false">VLOOKUP(V3326,Sheet2!Q:R,2,0)</f>
        <v>#N/A</v>
      </c>
      <c r="X3326" s="17" t="n">
        <f aca="false">J3326</f>
        <v>0</v>
      </c>
      <c r="Y3326" s="17" t="e">
        <f aca="false">VLOOKUP(X3326,Sheet2!A:B,2,0)</f>
        <v>#N/A</v>
      </c>
      <c r="Z3326" s="17"/>
      <c r="AA3326" s="17"/>
      <c r="AB3326" s="17" t="s">
        <v>41</v>
      </c>
      <c r="AC3326" s="0" t="str">
        <f aca="false">LEFT(G3326,2)</f>
        <v/>
      </c>
      <c r="AE3326" s="0"/>
    </row>
    <row r="3327" customFormat="false" ht="15" hidden="false" customHeight="false" outlineLevel="0" collapsed="false">
      <c r="A3327" s="13" t="n">
        <f aca="false">1+A3326</f>
        <v>3325</v>
      </c>
      <c r="B3327" s="14" t="n">
        <v>100</v>
      </c>
      <c r="C3327" s="15"/>
      <c r="D3327" s="16" t="s">
        <v>64</v>
      </c>
      <c r="E3327" s="17" t="s">
        <v>47</v>
      </c>
      <c r="F3327" s="18" t="s">
        <v>34</v>
      </c>
      <c r="G3327" s="19"/>
      <c r="H3327" s="17" t="s">
        <v>35</v>
      </c>
      <c r="I3327" s="17" t="s">
        <v>44</v>
      </c>
      <c r="J3327" s="17"/>
      <c r="K3327" s="17" t="e">
        <f aca="false">VLOOKUP(J3327,Sheet2!A:B,2,0)</f>
        <v>#N/A</v>
      </c>
      <c r="L3327" s="17" t="n">
        <v>5</v>
      </c>
      <c r="M3327" s="17" t="str">
        <f aca="false">VLOOKUP(L3327,Sheet2!D:E,2,0)</f>
        <v>Main Processor CPU BGA</v>
      </c>
      <c r="N3327" s="17" t="n">
        <v>1</v>
      </c>
      <c r="O3327" s="17" t="str">
        <f aca="false">VLOOKUP(N3327,Sheet2!G:H,2,0)</f>
        <v>Dead</v>
      </c>
      <c r="P3327" s="17" t="n">
        <v>11</v>
      </c>
      <c r="Q3327" s="17" t="str">
        <f aca="false">VLOOKUP(P3327,Sheet2!J:K,2,0)</f>
        <v>IR Declared due to CID -TA</v>
      </c>
      <c r="R3327" s="17" t="s">
        <v>35</v>
      </c>
      <c r="S3327" s="17" t="str">
        <f aca="false">VLOOKUP(R3327,Sheet2!N:O,2,0)</f>
        <v>IREPARABLE</v>
      </c>
      <c r="T3327" s="18" t="str">
        <f aca="false">VLOOKUP(P3327,Sheet2!Q:R,2,0)</f>
        <v>IR Normal - Track burn out</v>
      </c>
      <c r="U3327" s="20" t="s">
        <v>41</v>
      </c>
      <c r="V3327" s="17"/>
      <c r="W3327" s="20" t="e">
        <f aca="false">VLOOKUP(V3327,Sheet2!Q:R,2,0)</f>
        <v>#N/A</v>
      </c>
      <c r="X3327" s="17" t="n">
        <f aca="false">J3327</f>
        <v>0</v>
      </c>
      <c r="Y3327" s="17" t="e">
        <f aca="false">VLOOKUP(X3327,Sheet2!A:B,2,0)</f>
        <v>#N/A</v>
      </c>
      <c r="Z3327" s="17"/>
      <c r="AA3327" s="17"/>
      <c r="AB3327" s="17" t="s">
        <v>41</v>
      </c>
      <c r="AC3327" s="0" t="str">
        <f aca="false">LEFT(G3327,2)</f>
        <v/>
      </c>
      <c r="AE3327" s="0"/>
    </row>
    <row r="3328" customFormat="false" ht="15" hidden="false" customHeight="false" outlineLevel="0" collapsed="false">
      <c r="A3328" s="13" t="n">
        <f aca="false">1+A3327</f>
        <v>3326</v>
      </c>
      <c r="B3328" s="14" t="n">
        <v>100</v>
      </c>
      <c r="C3328" s="15"/>
      <c r="D3328" s="16" t="s">
        <v>64</v>
      </c>
      <c r="E3328" s="17" t="s">
        <v>47</v>
      </c>
      <c r="F3328" s="18" t="s">
        <v>34</v>
      </c>
      <c r="G3328" s="19"/>
      <c r="H3328" s="17" t="s">
        <v>35</v>
      </c>
      <c r="I3328" s="17" t="s">
        <v>44</v>
      </c>
      <c r="J3328" s="17"/>
      <c r="K3328" s="17" t="e">
        <f aca="false">VLOOKUP(J3328,Sheet2!A:B,2,0)</f>
        <v>#N/A</v>
      </c>
      <c r="L3328" s="17" t="n">
        <v>5</v>
      </c>
      <c r="M3328" s="17" t="str">
        <f aca="false">VLOOKUP(L3328,Sheet2!D:E,2,0)</f>
        <v>Main Processor CPU BGA</v>
      </c>
      <c r="N3328" s="17" t="n">
        <v>1</v>
      </c>
      <c r="O3328" s="17" t="str">
        <f aca="false">VLOOKUP(N3328,Sheet2!G:H,2,0)</f>
        <v>Dead</v>
      </c>
      <c r="P3328" s="17" t="n">
        <v>11</v>
      </c>
      <c r="Q3328" s="17" t="str">
        <f aca="false">VLOOKUP(P3328,Sheet2!J:K,2,0)</f>
        <v>IR Declared due to CID -TA</v>
      </c>
      <c r="R3328" s="17" t="s">
        <v>35</v>
      </c>
      <c r="S3328" s="17" t="str">
        <f aca="false">VLOOKUP(R3328,Sheet2!N:O,2,0)</f>
        <v>IREPARABLE</v>
      </c>
      <c r="T3328" s="18" t="str">
        <f aca="false">VLOOKUP(P3328,Sheet2!Q:R,2,0)</f>
        <v>IR Normal - Track burn out</v>
      </c>
      <c r="U3328" s="20" t="s">
        <v>41</v>
      </c>
      <c r="V3328" s="17"/>
      <c r="W3328" s="20" t="e">
        <f aca="false">VLOOKUP(V3328,Sheet2!Q:R,2,0)</f>
        <v>#N/A</v>
      </c>
      <c r="X3328" s="17" t="n">
        <f aca="false">J3328</f>
        <v>0</v>
      </c>
      <c r="Y3328" s="17" t="e">
        <f aca="false">VLOOKUP(X3328,Sheet2!A:B,2,0)</f>
        <v>#N/A</v>
      </c>
      <c r="Z3328" s="17"/>
      <c r="AA3328" s="17"/>
      <c r="AB3328" s="17" t="s">
        <v>41</v>
      </c>
      <c r="AC3328" s="0" t="str">
        <f aca="false">LEFT(G3328,2)</f>
        <v/>
      </c>
      <c r="AE3328" s="0"/>
    </row>
    <row r="3329" customFormat="false" ht="15" hidden="false" customHeight="false" outlineLevel="0" collapsed="false">
      <c r="A3329" s="13" t="n">
        <f aca="false">1+A3328</f>
        <v>3327</v>
      </c>
      <c r="B3329" s="14" t="n">
        <v>100</v>
      </c>
      <c r="C3329" s="15"/>
      <c r="D3329" s="16" t="s">
        <v>64</v>
      </c>
      <c r="E3329" s="17" t="s">
        <v>47</v>
      </c>
      <c r="F3329" s="18" t="s">
        <v>34</v>
      </c>
      <c r="G3329" s="19"/>
      <c r="H3329" s="17" t="s">
        <v>35</v>
      </c>
      <c r="I3329" s="17" t="s">
        <v>44</v>
      </c>
      <c r="J3329" s="17"/>
      <c r="K3329" s="17" t="e">
        <f aca="false">VLOOKUP(J3329,Sheet2!A:B,2,0)</f>
        <v>#N/A</v>
      </c>
      <c r="L3329" s="17" t="n">
        <v>5</v>
      </c>
      <c r="M3329" s="17" t="str">
        <f aca="false">VLOOKUP(L3329,Sheet2!D:E,2,0)</f>
        <v>Main Processor CPU BGA</v>
      </c>
      <c r="N3329" s="17" t="n">
        <v>1</v>
      </c>
      <c r="O3329" s="17" t="str">
        <f aca="false">VLOOKUP(N3329,Sheet2!G:H,2,0)</f>
        <v>Dead</v>
      </c>
      <c r="P3329" s="17" t="n">
        <v>11</v>
      </c>
      <c r="Q3329" s="17" t="str">
        <f aca="false">VLOOKUP(P3329,Sheet2!J:K,2,0)</f>
        <v>IR Declared due to CID -TA</v>
      </c>
      <c r="R3329" s="17" t="s">
        <v>35</v>
      </c>
      <c r="S3329" s="17" t="str">
        <f aca="false">VLOOKUP(R3329,Sheet2!N:O,2,0)</f>
        <v>IREPARABLE</v>
      </c>
      <c r="T3329" s="18" t="str">
        <f aca="false">VLOOKUP(P3329,Sheet2!Q:R,2,0)</f>
        <v>IR Normal - Track burn out</v>
      </c>
      <c r="U3329" s="20" t="s">
        <v>41</v>
      </c>
      <c r="V3329" s="17"/>
      <c r="W3329" s="20" t="e">
        <f aca="false">VLOOKUP(V3329,Sheet2!Q:R,2,0)</f>
        <v>#N/A</v>
      </c>
      <c r="X3329" s="17" t="n">
        <f aca="false">J3329</f>
        <v>0</v>
      </c>
      <c r="Y3329" s="17" t="e">
        <f aca="false">VLOOKUP(X3329,Sheet2!A:B,2,0)</f>
        <v>#N/A</v>
      </c>
      <c r="Z3329" s="17"/>
      <c r="AA3329" s="17"/>
      <c r="AB3329" s="17" t="s">
        <v>41</v>
      </c>
      <c r="AC3329" s="0" t="str">
        <f aca="false">LEFT(G3329,2)</f>
        <v/>
      </c>
      <c r="AE3329" s="0"/>
    </row>
    <row r="3330" customFormat="false" ht="15" hidden="false" customHeight="false" outlineLevel="0" collapsed="false">
      <c r="A3330" s="13" t="n">
        <f aca="false">1+A3329</f>
        <v>3328</v>
      </c>
      <c r="B3330" s="14" t="n">
        <v>100</v>
      </c>
      <c r="C3330" s="15"/>
      <c r="D3330" s="16" t="s">
        <v>64</v>
      </c>
      <c r="E3330" s="17" t="s">
        <v>47</v>
      </c>
      <c r="F3330" s="18" t="s">
        <v>34</v>
      </c>
      <c r="G3330" s="19"/>
      <c r="H3330" s="17" t="s">
        <v>35</v>
      </c>
      <c r="I3330" s="17" t="s">
        <v>44</v>
      </c>
      <c r="J3330" s="17"/>
      <c r="K3330" s="17" t="e">
        <f aca="false">VLOOKUP(J3330,Sheet2!A:B,2,0)</f>
        <v>#N/A</v>
      </c>
      <c r="L3330" s="17" t="n">
        <v>5</v>
      </c>
      <c r="M3330" s="17" t="str">
        <f aca="false">VLOOKUP(L3330,Sheet2!D:E,2,0)</f>
        <v>Main Processor CPU BGA</v>
      </c>
      <c r="N3330" s="17" t="n">
        <v>1</v>
      </c>
      <c r="O3330" s="17" t="str">
        <f aca="false">VLOOKUP(N3330,Sheet2!G:H,2,0)</f>
        <v>Dead</v>
      </c>
      <c r="P3330" s="17" t="n">
        <v>11</v>
      </c>
      <c r="Q3330" s="17" t="str">
        <f aca="false">VLOOKUP(P3330,Sheet2!J:K,2,0)</f>
        <v>IR Declared due to CID -TA</v>
      </c>
      <c r="R3330" s="17" t="s">
        <v>35</v>
      </c>
      <c r="S3330" s="17" t="str">
        <f aca="false">VLOOKUP(R3330,Sheet2!N:O,2,0)</f>
        <v>IREPARABLE</v>
      </c>
      <c r="T3330" s="18" t="str">
        <f aca="false">VLOOKUP(P3330,Sheet2!Q:R,2,0)</f>
        <v>IR Normal - Track burn out</v>
      </c>
      <c r="U3330" s="20" t="s">
        <v>41</v>
      </c>
      <c r="V3330" s="17"/>
      <c r="W3330" s="20" t="e">
        <f aca="false">VLOOKUP(V3330,Sheet2!Q:R,2,0)</f>
        <v>#N/A</v>
      </c>
      <c r="X3330" s="17" t="n">
        <f aca="false">J3330</f>
        <v>0</v>
      </c>
      <c r="Y3330" s="17" t="e">
        <f aca="false">VLOOKUP(X3330,Sheet2!A:B,2,0)</f>
        <v>#N/A</v>
      </c>
      <c r="Z3330" s="17"/>
      <c r="AA3330" s="17"/>
      <c r="AB3330" s="17" t="s">
        <v>41</v>
      </c>
      <c r="AC3330" s="0" t="str">
        <f aca="false">LEFT(G3330,2)</f>
        <v/>
      </c>
      <c r="AE3330" s="0"/>
    </row>
    <row r="3331" customFormat="false" ht="15" hidden="false" customHeight="false" outlineLevel="0" collapsed="false">
      <c r="A3331" s="13" t="n">
        <f aca="false">1+A3330</f>
        <v>3329</v>
      </c>
      <c r="B3331" s="14" t="n">
        <v>100</v>
      </c>
      <c r="C3331" s="15"/>
      <c r="D3331" s="16" t="s">
        <v>64</v>
      </c>
      <c r="E3331" s="17" t="s">
        <v>47</v>
      </c>
      <c r="F3331" s="18" t="s">
        <v>34</v>
      </c>
      <c r="G3331" s="19"/>
      <c r="H3331" s="17" t="s">
        <v>35</v>
      </c>
      <c r="I3331" s="17" t="s">
        <v>44</v>
      </c>
      <c r="J3331" s="17"/>
      <c r="K3331" s="17" t="e">
        <f aca="false">VLOOKUP(J3331,Sheet2!A:B,2,0)</f>
        <v>#N/A</v>
      </c>
      <c r="L3331" s="17" t="n">
        <v>5</v>
      </c>
      <c r="M3331" s="17" t="str">
        <f aca="false">VLOOKUP(L3331,Sheet2!D:E,2,0)</f>
        <v>Main Processor CPU BGA</v>
      </c>
      <c r="N3331" s="17" t="n">
        <v>1</v>
      </c>
      <c r="O3331" s="17" t="str">
        <f aca="false">VLOOKUP(N3331,Sheet2!G:H,2,0)</f>
        <v>Dead</v>
      </c>
      <c r="P3331" s="17" t="n">
        <v>11</v>
      </c>
      <c r="Q3331" s="17" t="str">
        <f aca="false">VLOOKUP(P3331,Sheet2!J:K,2,0)</f>
        <v>IR Declared due to CID -TA</v>
      </c>
      <c r="R3331" s="17" t="s">
        <v>35</v>
      </c>
      <c r="S3331" s="17" t="str">
        <f aca="false">VLOOKUP(R3331,Sheet2!N:O,2,0)</f>
        <v>IREPARABLE</v>
      </c>
      <c r="T3331" s="18" t="str">
        <f aca="false">VLOOKUP(P3331,Sheet2!Q:R,2,0)</f>
        <v>IR Normal - Track burn out</v>
      </c>
      <c r="U3331" s="20" t="s">
        <v>41</v>
      </c>
      <c r="V3331" s="17"/>
      <c r="W3331" s="20" t="e">
        <f aca="false">VLOOKUP(V3331,Sheet2!Q:R,2,0)</f>
        <v>#N/A</v>
      </c>
      <c r="X3331" s="17" t="n">
        <f aca="false">J3331</f>
        <v>0</v>
      </c>
      <c r="Y3331" s="17" t="e">
        <f aca="false">VLOOKUP(X3331,Sheet2!A:B,2,0)</f>
        <v>#N/A</v>
      </c>
      <c r="Z3331" s="17"/>
      <c r="AA3331" s="17"/>
      <c r="AB3331" s="17" t="s">
        <v>41</v>
      </c>
      <c r="AC3331" s="0" t="str">
        <f aca="false">LEFT(G3331,2)</f>
        <v/>
      </c>
      <c r="AE3331" s="0"/>
    </row>
    <row r="3332" customFormat="false" ht="15" hidden="false" customHeight="false" outlineLevel="0" collapsed="false">
      <c r="A3332" s="13" t="n">
        <f aca="false">1+A3331</f>
        <v>3330</v>
      </c>
      <c r="B3332" s="14" t="n">
        <v>100</v>
      </c>
      <c r="C3332" s="15"/>
      <c r="D3332" s="16" t="s">
        <v>64</v>
      </c>
      <c r="E3332" s="17" t="s">
        <v>47</v>
      </c>
      <c r="F3332" s="18" t="s">
        <v>34</v>
      </c>
      <c r="G3332" s="19"/>
      <c r="H3332" s="17" t="s">
        <v>35</v>
      </c>
      <c r="I3332" s="17" t="s">
        <v>44</v>
      </c>
      <c r="J3332" s="17"/>
      <c r="K3332" s="17" t="e">
        <f aca="false">VLOOKUP(J3332,Sheet2!A:B,2,0)</f>
        <v>#N/A</v>
      </c>
      <c r="L3332" s="17" t="n">
        <v>5</v>
      </c>
      <c r="M3332" s="17" t="str">
        <f aca="false">VLOOKUP(L3332,Sheet2!D:E,2,0)</f>
        <v>Main Processor CPU BGA</v>
      </c>
      <c r="N3332" s="17" t="n">
        <v>1</v>
      </c>
      <c r="O3332" s="17" t="str">
        <f aca="false">VLOOKUP(N3332,Sheet2!G:H,2,0)</f>
        <v>Dead</v>
      </c>
      <c r="P3332" s="17" t="n">
        <v>11</v>
      </c>
      <c r="Q3332" s="17" t="str">
        <f aca="false">VLOOKUP(P3332,Sheet2!J:K,2,0)</f>
        <v>IR Declared due to CID -TA</v>
      </c>
      <c r="R3332" s="17" t="s">
        <v>35</v>
      </c>
      <c r="S3332" s="17" t="str">
        <f aca="false">VLOOKUP(R3332,Sheet2!N:O,2,0)</f>
        <v>IREPARABLE</v>
      </c>
      <c r="T3332" s="18" t="str">
        <f aca="false">VLOOKUP(P3332,Sheet2!Q:R,2,0)</f>
        <v>IR Normal - Track burn out</v>
      </c>
      <c r="U3332" s="20" t="s">
        <v>41</v>
      </c>
      <c r="V3332" s="17"/>
      <c r="W3332" s="20" t="e">
        <f aca="false">VLOOKUP(V3332,Sheet2!Q:R,2,0)</f>
        <v>#N/A</v>
      </c>
      <c r="X3332" s="17" t="n">
        <f aca="false">J3332</f>
        <v>0</v>
      </c>
      <c r="Y3332" s="17" t="e">
        <f aca="false">VLOOKUP(X3332,Sheet2!A:B,2,0)</f>
        <v>#N/A</v>
      </c>
      <c r="Z3332" s="17"/>
      <c r="AA3332" s="17"/>
      <c r="AB3332" s="17" t="s">
        <v>41</v>
      </c>
      <c r="AC3332" s="0" t="str">
        <f aca="false">LEFT(G3332,2)</f>
        <v/>
      </c>
      <c r="AE3332" s="0"/>
    </row>
    <row r="3333" customFormat="false" ht="15" hidden="false" customHeight="false" outlineLevel="0" collapsed="false">
      <c r="A3333" s="13" t="n">
        <f aca="false">1+A3332</f>
        <v>3331</v>
      </c>
      <c r="B3333" s="14" t="n">
        <v>100</v>
      </c>
      <c r="C3333" s="15"/>
      <c r="D3333" s="16" t="s">
        <v>64</v>
      </c>
      <c r="E3333" s="17" t="s">
        <v>47</v>
      </c>
      <c r="F3333" s="18" t="s">
        <v>34</v>
      </c>
      <c r="G3333" s="19"/>
      <c r="H3333" s="17" t="s">
        <v>35</v>
      </c>
      <c r="I3333" s="17" t="s">
        <v>44</v>
      </c>
      <c r="J3333" s="17"/>
      <c r="K3333" s="17" t="e">
        <f aca="false">VLOOKUP(J3333,Sheet2!A:B,2,0)</f>
        <v>#N/A</v>
      </c>
      <c r="L3333" s="17" t="n">
        <v>5</v>
      </c>
      <c r="M3333" s="17" t="str">
        <f aca="false">VLOOKUP(L3333,Sheet2!D:E,2,0)</f>
        <v>Main Processor CPU BGA</v>
      </c>
      <c r="N3333" s="17" t="n">
        <v>1</v>
      </c>
      <c r="O3333" s="17" t="str">
        <f aca="false">VLOOKUP(N3333,Sheet2!G:H,2,0)</f>
        <v>Dead</v>
      </c>
      <c r="P3333" s="17" t="n">
        <v>11</v>
      </c>
      <c r="Q3333" s="17" t="str">
        <f aca="false">VLOOKUP(P3333,Sheet2!J:K,2,0)</f>
        <v>IR Declared due to CID -TA</v>
      </c>
      <c r="R3333" s="17" t="s">
        <v>35</v>
      </c>
      <c r="S3333" s="17" t="str">
        <f aca="false">VLOOKUP(R3333,Sheet2!N:O,2,0)</f>
        <v>IREPARABLE</v>
      </c>
      <c r="T3333" s="18" t="str">
        <f aca="false">VLOOKUP(P3333,Sheet2!Q:R,2,0)</f>
        <v>IR Normal - Track burn out</v>
      </c>
      <c r="U3333" s="20" t="s">
        <v>41</v>
      </c>
      <c r="V3333" s="17"/>
      <c r="W3333" s="20" t="e">
        <f aca="false">VLOOKUP(V3333,Sheet2!Q:R,2,0)</f>
        <v>#N/A</v>
      </c>
      <c r="X3333" s="17" t="n">
        <f aca="false">J3333</f>
        <v>0</v>
      </c>
      <c r="Y3333" s="17" t="e">
        <f aca="false">VLOOKUP(X3333,Sheet2!A:B,2,0)</f>
        <v>#N/A</v>
      </c>
      <c r="Z3333" s="17"/>
      <c r="AA3333" s="17"/>
      <c r="AB3333" s="17" t="s">
        <v>41</v>
      </c>
      <c r="AC3333" s="0" t="str">
        <f aca="false">LEFT(G3333,2)</f>
        <v/>
      </c>
      <c r="AE3333" s="0"/>
    </row>
    <row r="3334" customFormat="false" ht="15" hidden="false" customHeight="false" outlineLevel="0" collapsed="false">
      <c r="A3334" s="13" t="n">
        <f aca="false">1+A3333</f>
        <v>3332</v>
      </c>
      <c r="B3334" s="14" t="n">
        <v>100</v>
      </c>
      <c r="C3334" s="15"/>
      <c r="D3334" s="16" t="s">
        <v>64</v>
      </c>
      <c r="E3334" s="17" t="s">
        <v>47</v>
      </c>
      <c r="F3334" s="18" t="s">
        <v>34</v>
      </c>
      <c r="G3334" s="19"/>
      <c r="H3334" s="17" t="s">
        <v>35</v>
      </c>
      <c r="I3334" s="17" t="s">
        <v>44</v>
      </c>
      <c r="J3334" s="17"/>
      <c r="K3334" s="17" t="e">
        <f aca="false">VLOOKUP(J3334,Sheet2!A:B,2,0)</f>
        <v>#N/A</v>
      </c>
      <c r="L3334" s="17" t="n">
        <v>5</v>
      </c>
      <c r="M3334" s="17" t="str">
        <f aca="false">VLOOKUP(L3334,Sheet2!D:E,2,0)</f>
        <v>Main Processor CPU BGA</v>
      </c>
      <c r="N3334" s="17" t="n">
        <v>1</v>
      </c>
      <c r="O3334" s="17" t="str">
        <f aca="false">VLOOKUP(N3334,Sheet2!G:H,2,0)</f>
        <v>Dead</v>
      </c>
      <c r="P3334" s="17" t="n">
        <v>11</v>
      </c>
      <c r="Q3334" s="17" t="str">
        <f aca="false">VLOOKUP(P3334,Sheet2!J:K,2,0)</f>
        <v>IR Declared due to CID -TA</v>
      </c>
      <c r="R3334" s="17" t="s">
        <v>35</v>
      </c>
      <c r="S3334" s="17" t="str">
        <f aca="false">VLOOKUP(R3334,Sheet2!N:O,2,0)</f>
        <v>IREPARABLE</v>
      </c>
      <c r="T3334" s="18" t="str">
        <f aca="false">VLOOKUP(P3334,Sheet2!Q:R,2,0)</f>
        <v>IR Normal - Track burn out</v>
      </c>
      <c r="U3334" s="20" t="s">
        <v>41</v>
      </c>
      <c r="V3334" s="17"/>
      <c r="W3334" s="20" t="e">
        <f aca="false">VLOOKUP(V3334,Sheet2!Q:R,2,0)</f>
        <v>#N/A</v>
      </c>
      <c r="X3334" s="17" t="n">
        <f aca="false">J3334</f>
        <v>0</v>
      </c>
      <c r="Y3334" s="17" t="e">
        <f aca="false">VLOOKUP(X3334,Sheet2!A:B,2,0)</f>
        <v>#N/A</v>
      </c>
      <c r="Z3334" s="17"/>
      <c r="AA3334" s="17"/>
      <c r="AB3334" s="17" t="s">
        <v>41</v>
      </c>
      <c r="AC3334" s="0" t="str">
        <f aca="false">LEFT(G3334,2)</f>
        <v/>
      </c>
      <c r="AE3334" s="0"/>
    </row>
    <row r="3335" customFormat="false" ht="15" hidden="false" customHeight="false" outlineLevel="0" collapsed="false">
      <c r="A3335" s="13" t="n">
        <f aca="false">1+A3334</f>
        <v>3333</v>
      </c>
      <c r="B3335" s="14" t="n">
        <v>100</v>
      </c>
      <c r="C3335" s="15"/>
      <c r="D3335" s="16" t="s">
        <v>64</v>
      </c>
      <c r="E3335" s="17" t="s">
        <v>47</v>
      </c>
      <c r="F3335" s="18" t="s">
        <v>34</v>
      </c>
      <c r="G3335" s="19"/>
      <c r="H3335" s="17" t="s">
        <v>35</v>
      </c>
      <c r="I3335" s="17" t="s">
        <v>44</v>
      </c>
      <c r="J3335" s="17"/>
      <c r="K3335" s="17" t="e">
        <f aca="false">VLOOKUP(J3335,Sheet2!A:B,2,0)</f>
        <v>#N/A</v>
      </c>
      <c r="L3335" s="17" t="n">
        <v>5</v>
      </c>
      <c r="M3335" s="17" t="str">
        <f aca="false">VLOOKUP(L3335,Sheet2!D:E,2,0)</f>
        <v>Main Processor CPU BGA</v>
      </c>
      <c r="N3335" s="17" t="n">
        <v>1</v>
      </c>
      <c r="O3335" s="17" t="str">
        <f aca="false">VLOOKUP(N3335,Sheet2!G:H,2,0)</f>
        <v>Dead</v>
      </c>
      <c r="P3335" s="17" t="n">
        <v>11</v>
      </c>
      <c r="Q3335" s="17" t="str">
        <f aca="false">VLOOKUP(P3335,Sheet2!J:K,2,0)</f>
        <v>IR Declared due to CID -TA</v>
      </c>
      <c r="R3335" s="17" t="s">
        <v>35</v>
      </c>
      <c r="S3335" s="17" t="str">
        <f aca="false">VLOOKUP(R3335,Sheet2!N:O,2,0)</f>
        <v>IREPARABLE</v>
      </c>
      <c r="T3335" s="18" t="str">
        <f aca="false">VLOOKUP(P3335,Sheet2!Q:R,2,0)</f>
        <v>IR Normal - Track burn out</v>
      </c>
      <c r="U3335" s="20" t="s">
        <v>41</v>
      </c>
      <c r="V3335" s="17"/>
      <c r="W3335" s="20" t="e">
        <f aca="false">VLOOKUP(V3335,Sheet2!Q:R,2,0)</f>
        <v>#N/A</v>
      </c>
      <c r="X3335" s="17" t="n">
        <f aca="false">J3335</f>
        <v>0</v>
      </c>
      <c r="Y3335" s="17" t="e">
        <f aca="false">VLOOKUP(X3335,Sheet2!A:B,2,0)</f>
        <v>#N/A</v>
      </c>
      <c r="Z3335" s="17"/>
      <c r="AA3335" s="17"/>
      <c r="AB3335" s="17" t="s">
        <v>41</v>
      </c>
      <c r="AC3335" s="0" t="str">
        <f aca="false">LEFT(G3335,2)</f>
        <v/>
      </c>
      <c r="AE3335" s="0"/>
    </row>
    <row r="3336" customFormat="false" ht="15" hidden="false" customHeight="false" outlineLevel="0" collapsed="false">
      <c r="A3336" s="13" t="n">
        <f aca="false">1+A3335</f>
        <v>3334</v>
      </c>
      <c r="B3336" s="14" t="n">
        <v>100</v>
      </c>
      <c r="C3336" s="15"/>
      <c r="D3336" s="16" t="s">
        <v>64</v>
      </c>
      <c r="E3336" s="17" t="s">
        <v>47</v>
      </c>
      <c r="F3336" s="18" t="s">
        <v>34</v>
      </c>
      <c r="G3336" s="19"/>
      <c r="H3336" s="17" t="s">
        <v>35</v>
      </c>
      <c r="I3336" s="17" t="s">
        <v>44</v>
      </c>
      <c r="J3336" s="17"/>
      <c r="K3336" s="17" t="e">
        <f aca="false">VLOOKUP(J3336,Sheet2!A:B,2,0)</f>
        <v>#N/A</v>
      </c>
      <c r="L3336" s="17" t="n">
        <v>5</v>
      </c>
      <c r="M3336" s="17" t="str">
        <f aca="false">VLOOKUP(L3336,Sheet2!D:E,2,0)</f>
        <v>Main Processor CPU BGA</v>
      </c>
      <c r="N3336" s="17" t="n">
        <v>1</v>
      </c>
      <c r="O3336" s="17" t="str">
        <f aca="false">VLOOKUP(N3336,Sheet2!G:H,2,0)</f>
        <v>Dead</v>
      </c>
      <c r="P3336" s="17" t="n">
        <v>11</v>
      </c>
      <c r="Q3336" s="17" t="str">
        <f aca="false">VLOOKUP(P3336,Sheet2!J:K,2,0)</f>
        <v>IR Declared due to CID -TA</v>
      </c>
      <c r="R3336" s="17" t="s">
        <v>35</v>
      </c>
      <c r="S3336" s="17" t="str">
        <f aca="false">VLOOKUP(R3336,Sheet2!N:O,2,0)</f>
        <v>IREPARABLE</v>
      </c>
      <c r="T3336" s="18" t="str">
        <f aca="false">VLOOKUP(P3336,Sheet2!Q:R,2,0)</f>
        <v>IR Normal - Track burn out</v>
      </c>
      <c r="U3336" s="20" t="s">
        <v>41</v>
      </c>
      <c r="V3336" s="17"/>
      <c r="W3336" s="20" t="e">
        <f aca="false">VLOOKUP(V3336,Sheet2!Q:R,2,0)</f>
        <v>#N/A</v>
      </c>
      <c r="X3336" s="17" t="n">
        <f aca="false">J3336</f>
        <v>0</v>
      </c>
      <c r="Y3336" s="17" t="e">
        <f aca="false">VLOOKUP(X3336,Sheet2!A:B,2,0)</f>
        <v>#N/A</v>
      </c>
      <c r="Z3336" s="17"/>
      <c r="AA3336" s="17"/>
      <c r="AB3336" s="17" t="s">
        <v>41</v>
      </c>
      <c r="AC3336" s="0" t="str">
        <f aca="false">LEFT(G3336,2)</f>
        <v/>
      </c>
      <c r="AE3336" s="0"/>
    </row>
    <row r="3337" customFormat="false" ht="15" hidden="false" customHeight="false" outlineLevel="0" collapsed="false">
      <c r="A3337" s="13" t="n">
        <f aca="false">1+A3336</f>
        <v>3335</v>
      </c>
      <c r="B3337" s="14" t="n">
        <v>100</v>
      </c>
      <c r="C3337" s="15"/>
      <c r="D3337" s="16" t="s">
        <v>64</v>
      </c>
      <c r="E3337" s="17" t="s">
        <v>47</v>
      </c>
      <c r="F3337" s="18" t="s">
        <v>34</v>
      </c>
      <c r="G3337" s="19"/>
      <c r="H3337" s="17" t="s">
        <v>35</v>
      </c>
      <c r="I3337" s="17" t="s">
        <v>44</v>
      </c>
      <c r="J3337" s="17"/>
      <c r="K3337" s="17" t="e">
        <f aca="false">VLOOKUP(J3337,Sheet2!A:B,2,0)</f>
        <v>#N/A</v>
      </c>
      <c r="L3337" s="17" t="n">
        <v>5</v>
      </c>
      <c r="M3337" s="17" t="str">
        <f aca="false">VLOOKUP(L3337,Sheet2!D:E,2,0)</f>
        <v>Main Processor CPU BGA</v>
      </c>
      <c r="N3337" s="17" t="n">
        <v>1</v>
      </c>
      <c r="O3337" s="17" t="str">
        <f aca="false">VLOOKUP(N3337,Sheet2!G:H,2,0)</f>
        <v>Dead</v>
      </c>
      <c r="P3337" s="17" t="n">
        <v>11</v>
      </c>
      <c r="Q3337" s="17" t="str">
        <f aca="false">VLOOKUP(P3337,Sheet2!J:K,2,0)</f>
        <v>IR Declared due to CID -TA</v>
      </c>
      <c r="R3337" s="17" t="s">
        <v>35</v>
      </c>
      <c r="S3337" s="17" t="str">
        <f aca="false">VLOOKUP(R3337,Sheet2!N:O,2,0)</f>
        <v>IREPARABLE</v>
      </c>
      <c r="T3337" s="18" t="str">
        <f aca="false">VLOOKUP(P3337,Sheet2!Q:R,2,0)</f>
        <v>IR Normal - Track burn out</v>
      </c>
      <c r="U3337" s="20" t="s">
        <v>41</v>
      </c>
      <c r="V3337" s="17"/>
      <c r="W3337" s="20" t="e">
        <f aca="false">VLOOKUP(V3337,Sheet2!Q:R,2,0)</f>
        <v>#N/A</v>
      </c>
      <c r="X3337" s="17" t="n">
        <f aca="false">J3337</f>
        <v>0</v>
      </c>
      <c r="Y3337" s="17" t="e">
        <f aca="false">VLOOKUP(X3337,Sheet2!A:B,2,0)</f>
        <v>#N/A</v>
      </c>
      <c r="Z3337" s="17"/>
      <c r="AA3337" s="17"/>
      <c r="AB3337" s="17" t="s">
        <v>41</v>
      </c>
      <c r="AC3337" s="0" t="str">
        <f aca="false">LEFT(G3337,2)</f>
        <v/>
      </c>
      <c r="AE3337" s="0"/>
    </row>
    <row r="3338" customFormat="false" ht="15" hidden="false" customHeight="false" outlineLevel="0" collapsed="false">
      <c r="A3338" s="13" t="n">
        <f aca="false">1+A3337</f>
        <v>3336</v>
      </c>
      <c r="B3338" s="14" t="n">
        <v>100</v>
      </c>
      <c r="C3338" s="15"/>
      <c r="D3338" s="16" t="s">
        <v>64</v>
      </c>
      <c r="E3338" s="17" t="s">
        <v>47</v>
      </c>
      <c r="F3338" s="18" t="s">
        <v>34</v>
      </c>
      <c r="G3338" s="19"/>
      <c r="H3338" s="17" t="s">
        <v>35</v>
      </c>
      <c r="I3338" s="17" t="s">
        <v>44</v>
      </c>
      <c r="J3338" s="17"/>
      <c r="K3338" s="17" t="e">
        <f aca="false">VLOOKUP(J3338,Sheet2!A:B,2,0)</f>
        <v>#N/A</v>
      </c>
      <c r="L3338" s="17" t="n">
        <v>5</v>
      </c>
      <c r="M3338" s="17" t="str">
        <f aca="false">VLOOKUP(L3338,Sheet2!D:E,2,0)</f>
        <v>Main Processor CPU BGA</v>
      </c>
      <c r="N3338" s="17" t="n">
        <v>1</v>
      </c>
      <c r="O3338" s="17" t="str">
        <f aca="false">VLOOKUP(N3338,Sheet2!G:H,2,0)</f>
        <v>Dead</v>
      </c>
      <c r="P3338" s="17" t="n">
        <v>11</v>
      </c>
      <c r="Q3338" s="17" t="str">
        <f aca="false">VLOOKUP(P3338,Sheet2!J:K,2,0)</f>
        <v>IR Declared due to CID -TA</v>
      </c>
      <c r="R3338" s="17" t="s">
        <v>35</v>
      </c>
      <c r="S3338" s="17" t="str">
        <f aca="false">VLOOKUP(R3338,Sheet2!N:O,2,0)</f>
        <v>IREPARABLE</v>
      </c>
      <c r="T3338" s="18" t="str">
        <f aca="false">VLOOKUP(P3338,Sheet2!Q:R,2,0)</f>
        <v>IR Normal - Track burn out</v>
      </c>
      <c r="U3338" s="20" t="s">
        <v>41</v>
      </c>
      <c r="V3338" s="17"/>
      <c r="W3338" s="20" t="e">
        <f aca="false">VLOOKUP(V3338,Sheet2!Q:R,2,0)</f>
        <v>#N/A</v>
      </c>
      <c r="X3338" s="17" t="n">
        <f aca="false">J3338</f>
        <v>0</v>
      </c>
      <c r="Y3338" s="17" t="e">
        <f aca="false">VLOOKUP(X3338,Sheet2!A:B,2,0)</f>
        <v>#N/A</v>
      </c>
      <c r="Z3338" s="17"/>
      <c r="AA3338" s="17"/>
      <c r="AB3338" s="17" t="s">
        <v>41</v>
      </c>
      <c r="AC3338" s="0" t="str">
        <f aca="false">LEFT(G3338,2)</f>
        <v/>
      </c>
      <c r="AE3338" s="0"/>
    </row>
    <row r="3339" customFormat="false" ht="15" hidden="false" customHeight="false" outlineLevel="0" collapsed="false">
      <c r="A3339" s="13" t="n">
        <f aca="false">1+A3338</f>
        <v>3337</v>
      </c>
      <c r="B3339" s="14" t="n">
        <v>100</v>
      </c>
      <c r="C3339" s="15"/>
      <c r="D3339" s="16" t="s">
        <v>64</v>
      </c>
      <c r="E3339" s="17" t="s">
        <v>47</v>
      </c>
      <c r="F3339" s="18" t="s">
        <v>34</v>
      </c>
      <c r="G3339" s="19"/>
      <c r="H3339" s="17" t="s">
        <v>35</v>
      </c>
      <c r="I3339" s="17" t="s">
        <v>44</v>
      </c>
      <c r="J3339" s="17"/>
      <c r="K3339" s="17" t="e">
        <f aca="false">VLOOKUP(J3339,Sheet2!A:B,2,0)</f>
        <v>#N/A</v>
      </c>
      <c r="L3339" s="17" t="n">
        <v>5</v>
      </c>
      <c r="M3339" s="17" t="str">
        <f aca="false">VLOOKUP(L3339,Sheet2!D:E,2,0)</f>
        <v>Main Processor CPU BGA</v>
      </c>
      <c r="N3339" s="17" t="n">
        <v>1</v>
      </c>
      <c r="O3339" s="17" t="str">
        <f aca="false">VLOOKUP(N3339,Sheet2!G:H,2,0)</f>
        <v>Dead</v>
      </c>
      <c r="P3339" s="17" t="n">
        <v>11</v>
      </c>
      <c r="Q3339" s="17" t="str">
        <f aca="false">VLOOKUP(P3339,Sheet2!J:K,2,0)</f>
        <v>IR Declared due to CID -TA</v>
      </c>
      <c r="R3339" s="17" t="s">
        <v>35</v>
      </c>
      <c r="S3339" s="17" t="str">
        <f aca="false">VLOOKUP(R3339,Sheet2!N:O,2,0)</f>
        <v>IREPARABLE</v>
      </c>
      <c r="T3339" s="18" t="str">
        <f aca="false">VLOOKUP(P3339,Sheet2!Q:R,2,0)</f>
        <v>IR Normal - Track burn out</v>
      </c>
      <c r="U3339" s="20" t="s">
        <v>41</v>
      </c>
      <c r="V3339" s="17"/>
      <c r="W3339" s="20" t="e">
        <f aca="false">VLOOKUP(V3339,Sheet2!Q:R,2,0)</f>
        <v>#N/A</v>
      </c>
      <c r="X3339" s="17" t="n">
        <f aca="false">J3339</f>
        <v>0</v>
      </c>
      <c r="Y3339" s="17" t="e">
        <f aca="false">VLOOKUP(X3339,Sheet2!A:B,2,0)</f>
        <v>#N/A</v>
      </c>
      <c r="Z3339" s="17"/>
      <c r="AA3339" s="17"/>
      <c r="AB3339" s="17" t="s">
        <v>41</v>
      </c>
      <c r="AC3339" s="0" t="str">
        <f aca="false">LEFT(G3339,2)</f>
        <v/>
      </c>
      <c r="AE3339" s="0"/>
    </row>
    <row r="3340" customFormat="false" ht="15" hidden="false" customHeight="false" outlineLevel="0" collapsed="false">
      <c r="A3340" s="13" t="n">
        <f aca="false">1+A3339</f>
        <v>3338</v>
      </c>
      <c r="B3340" s="14" t="n">
        <v>100</v>
      </c>
      <c r="C3340" s="15"/>
      <c r="D3340" s="16" t="s">
        <v>64</v>
      </c>
      <c r="E3340" s="17" t="s">
        <v>47</v>
      </c>
      <c r="F3340" s="18" t="s">
        <v>34</v>
      </c>
      <c r="G3340" s="19"/>
      <c r="H3340" s="17" t="s">
        <v>35</v>
      </c>
      <c r="I3340" s="17" t="s">
        <v>44</v>
      </c>
      <c r="J3340" s="17"/>
      <c r="K3340" s="17" t="e">
        <f aca="false">VLOOKUP(J3340,Sheet2!A:B,2,0)</f>
        <v>#N/A</v>
      </c>
      <c r="L3340" s="17" t="n">
        <v>5</v>
      </c>
      <c r="M3340" s="17" t="str">
        <f aca="false">VLOOKUP(L3340,Sheet2!D:E,2,0)</f>
        <v>Main Processor CPU BGA</v>
      </c>
      <c r="N3340" s="17" t="n">
        <v>1</v>
      </c>
      <c r="O3340" s="17" t="str">
        <f aca="false">VLOOKUP(N3340,Sheet2!G:H,2,0)</f>
        <v>Dead</v>
      </c>
      <c r="P3340" s="17" t="n">
        <v>11</v>
      </c>
      <c r="Q3340" s="17" t="str">
        <f aca="false">VLOOKUP(P3340,Sheet2!J:K,2,0)</f>
        <v>IR Declared due to CID -TA</v>
      </c>
      <c r="R3340" s="17" t="s">
        <v>35</v>
      </c>
      <c r="S3340" s="17" t="str">
        <f aca="false">VLOOKUP(R3340,Sheet2!N:O,2,0)</f>
        <v>IREPARABLE</v>
      </c>
      <c r="T3340" s="18" t="str">
        <f aca="false">VLOOKUP(P3340,Sheet2!Q:R,2,0)</f>
        <v>IR Normal - Track burn out</v>
      </c>
      <c r="U3340" s="20" t="s">
        <v>41</v>
      </c>
      <c r="V3340" s="17"/>
      <c r="W3340" s="20" t="e">
        <f aca="false">VLOOKUP(V3340,Sheet2!Q:R,2,0)</f>
        <v>#N/A</v>
      </c>
      <c r="X3340" s="17" t="n">
        <f aca="false">J3340</f>
        <v>0</v>
      </c>
      <c r="Y3340" s="17" t="e">
        <f aca="false">VLOOKUP(X3340,Sheet2!A:B,2,0)</f>
        <v>#N/A</v>
      </c>
      <c r="Z3340" s="17"/>
      <c r="AA3340" s="17"/>
      <c r="AB3340" s="17" t="s">
        <v>41</v>
      </c>
      <c r="AC3340" s="0" t="str">
        <f aca="false">LEFT(G3340,2)</f>
        <v/>
      </c>
      <c r="AE3340" s="0"/>
    </row>
    <row r="3341" customFormat="false" ht="15" hidden="false" customHeight="false" outlineLevel="0" collapsed="false">
      <c r="A3341" s="13" t="n">
        <f aca="false">1+A3340</f>
        <v>3339</v>
      </c>
      <c r="B3341" s="14" t="n">
        <v>100</v>
      </c>
      <c r="C3341" s="15"/>
      <c r="D3341" s="16" t="s">
        <v>64</v>
      </c>
      <c r="E3341" s="17" t="s">
        <v>47</v>
      </c>
      <c r="F3341" s="18" t="s">
        <v>34</v>
      </c>
      <c r="G3341" s="19"/>
      <c r="H3341" s="17" t="s">
        <v>35</v>
      </c>
      <c r="I3341" s="17" t="s">
        <v>44</v>
      </c>
      <c r="J3341" s="17"/>
      <c r="K3341" s="17" t="e">
        <f aca="false">VLOOKUP(J3341,Sheet2!A:B,2,0)</f>
        <v>#N/A</v>
      </c>
      <c r="L3341" s="17" t="n">
        <v>5</v>
      </c>
      <c r="M3341" s="17" t="str">
        <f aca="false">VLOOKUP(L3341,Sheet2!D:E,2,0)</f>
        <v>Main Processor CPU BGA</v>
      </c>
      <c r="N3341" s="17" t="n">
        <v>1</v>
      </c>
      <c r="O3341" s="17" t="str">
        <f aca="false">VLOOKUP(N3341,Sheet2!G:H,2,0)</f>
        <v>Dead</v>
      </c>
      <c r="P3341" s="17" t="n">
        <v>11</v>
      </c>
      <c r="Q3341" s="17" t="str">
        <f aca="false">VLOOKUP(P3341,Sheet2!J:K,2,0)</f>
        <v>IR Declared due to CID -TA</v>
      </c>
      <c r="R3341" s="17" t="s">
        <v>35</v>
      </c>
      <c r="S3341" s="17" t="str">
        <f aca="false">VLOOKUP(R3341,Sheet2!N:O,2,0)</f>
        <v>IREPARABLE</v>
      </c>
      <c r="T3341" s="18" t="str">
        <f aca="false">VLOOKUP(P3341,Sheet2!Q:R,2,0)</f>
        <v>IR Normal - Track burn out</v>
      </c>
      <c r="U3341" s="20" t="s">
        <v>41</v>
      </c>
      <c r="V3341" s="17"/>
      <c r="W3341" s="20" t="e">
        <f aca="false">VLOOKUP(V3341,Sheet2!Q:R,2,0)</f>
        <v>#N/A</v>
      </c>
      <c r="X3341" s="17" t="n">
        <f aca="false">J3341</f>
        <v>0</v>
      </c>
      <c r="Y3341" s="17" t="e">
        <f aca="false">VLOOKUP(X3341,Sheet2!A:B,2,0)</f>
        <v>#N/A</v>
      </c>
      <c r="Z3341" s="17"/>
      <c r="AA3341" s="17"/>
      <c r="AB3341" s="17" t="s">
        <v>41</v>
      </c>
      <c r="AC3341" s="0" t="str">
        <f aca="false">LEFT(G3341,2)</f>
        <v/>
      </c>
      <c r="AE3341" s="0"/>
    </row>
    <row r="3342" customFormat="false" ht="15" hidden="false" customHeight="false" outlineLevel="0" collapsed="false">
      <c r="A3342" s="13" t="n">
        <f aca="false">1+A3341</f>
        <v>3340</v>
      </c>
      <c r="B3342" s="14" t="n">
        <v>100</v>
      </c>
      <c r="C3342" s="15"/>
      <c r="D3342" s="16" t="s">
        <v>64</v>
      </c>
      <c r="E3342" s="17" t="s">
        <v>47</v>
      </c>
      <c r="F3342" s="18" t="s">
        <v>34</v>
      </c>
      <c r="G3342" s="19"/>
      <c r="H3342" s="17" t="s">
        <v>35</v>
      </c>
      <c r="I3342" s="17" t="s">
        <v>44</v>
      </c>
      <c r="J3342" s="17"/>
      <c r="K3342" s="17" t="e">
        <f aca="false">VLOOKUP(J3342,Sheet2!A:B,2,0)</f>
        <v>#N/A</v>
      </c>
      <c r="L3342" s="17" t="n">
        <v>5</v>
      </c>
      <c r="M3342" s="17" t="str">
        <f aca="false">VLOOKUP(L3342,Sheet2!D:E,2,0)</f>
        <v>Main Processor CPU BGA</v>
      </c>
      <c r="N3342" s="17" t="n">
        <v>1</v>
      </c>
      <c r="O3342" s="17" t="str">
        <f aca="false">VLOOKUP(N3342,Sheet2!G:H,2,0)</f>
        <v>Dead</v>
      </c>
      <c r="P3342" s="17" t="n">
        <v>11</v>
      </c>
      <c r="Q3342" s="17" t="str">
        <f aca="false">VLOOKUP(P3342,Sheet2!J:K,2,0)</f>
        <v>IR Declared due to CID -TA</v>
      </c>
      <c r="R3342" s="17" t="s">
        <v>35</v>
      </c>
      <c r="S3342" s="17" t="str">
        <f aca="false">VLOOKUP(R3342,Sheet2!N:O,2,0)</f>
        <v>IREPARABLE</v>
      </c>
      <c r="T3342" s="18" t="str">
        <f aca="false">VLOOKUP(P3342,Sheet2!Q:R,2,0)</f>
        <v>IR Normal - Track burn out</v>
      </c>
      <c r="U3342" s="20" t="s">
        <v>41</v>
      </c>
      <c r="V3342" s="17"/>
      <c r="W3342" s="20" t="e">
        <f aca="false">VLOOKUP(V3342,Sheet2!Q:R,2,0)</f>
        <v>#N/A</v>
      </c>
      <c r="X3342" s="17" t="n">
        <f aca="false">J3342</f>
        <v>0</v>
      </c>
      <c r="Y3342" s="17" t="e">
        <f aca="false">VLOOKUP(X3342,Sheet2!A:B,2,0)</f>
        <v>#N/A</v>
      </c>
      <c r="Z3342" s="17"/>
      <c r="AA3342" s="17"/>
      <c r="AB3342" s="17" t="s">
        <v>41</v>
      </c>
      <c r="AC3342" s="0" t="str">
        <f aca="false">LEFT(G3342,2)</f>
        <v/>
      </c>
      <c r="AE3342" s="0"/>
    </row>
    <row r="3343" customFormat="false" ht="15" hidden="false" customHeight="false" outlineLevel="0" collapsed="false">
      <c r="A3343" s="13" t="n">
        <f aca="false">1+A3342</f>
        <v>3341</v>
      </c>
      <c r="B3343" s="14" t="n">
        <v>100</v>
      </c>
      <c r="C3343" s="15"/>
      <c r="D3343" s="16" t="s">
        <v>64</v>
      </c>
      <c r="E3343" s="17" t="s">
        <v>47</v>
      </c>
      <c r="F3343" s="18" t="s">
        <v>34</v>
      </c>
      <c r="G3343" s="19"/>
      <c r="H3343" s="17" t="s">
        <v>35</v>
      </c>
      <c r="I3343" s="17" t="s">
        <v>44</v>
      </c>
      <c r="J3343" s="17"/>
      <c r="K3343" s="17" t="e">
        <f aca="false">VLOOKUP(J3343,Sheet2!A:B,2,0)</f>
        <v>#N/A</v>
      </c>
      <c r="L3343" s="17" t="n">
        <v>5</v>
      </c>
      <c r="M3343" s="17" t="str">
        <f aca="false">VLOOKUP(L3343,Sheet2!D:E,2,0)</f>
        <v>Main Processor CPU BGA</v>
      </c>
      <c r="N3343" s="17" t="n">
        <v>1</v>
      </c>
      <c r="O3343" s="17" t="str">
        <f aca="false">VLOOKUP(N3343,Sheet2!G:H,2,0)</f>
        <v>Dead</v>
      </c>
      <c r="P3343" s="17" t="n">
        <v>11</v>
      </c>
      <c r="Q3343" s="17" t="str">
        <f aca="false">VLOOKUP(P3343,Sheet2!J:K,2,0)</f>
        <v>IR Declared due to CID -TA</v>
      </c>
      <c r="R3343" s="17" t="s">
        <v>35</v>
      </c>
      <c r="S3343" s="17" t="str">
        <f aca="false">VLOOKUP(R3343,Sheet2!N:O,2,0)</f>
        <v>IREPARABLE</v>
      </c>
      <c r="T3343" s="18" t="str">
        <f aca="false">VLOOKUP(P3343,Sheet2!Q:R,2,0)</f>
        <v>IR Normal - Track burn out</v>
      </c>
      <c r="U3343" s="20" t="s">
        <v>41</v>
      </c>
      <c r="V3343" s="17"/>
      <c r="W3343" s="20" t="e">
        <f aca="false">VLOOKUP(V3343,Sheet2!Q:R,2,0)</f>
        <v>#N/A</v>
      </c>
      <c r="X3343" s="17" t="n">
        <f aca="false">J3343</f>
        <v>0</v>
      </c>
      <c r="Y3343" s="17" t="e">
        <f aca="false">VLOOKUP(X3343,Sheet2!A:B,2,0)</f>
        <v>#N/A</v>
      </c>
      <c r="Z3343" s="17"/>
      <c r="AA3343" s="17"/>
      <c r="AB3343" s="17" t="s">
        <v>41</v>
      </c>
      <c r="AC3343" s="0" t="str">
        <f aca="false">LEFT(G3343,2)</f>
        <v/>
      </c>
      <c r="AE3343" s="0"/>
    </row>
    <row r="3344" customFormat="false" ht="15" hidden="false" customHeight="false" outlineLevel="0" collapsed="false">
      <c r="A3344" s="13" t="n">
        <f aca="false">1+A3343</f>
        <v>3342</v>
      </c>
      <c r="B3344" s="14" t="n">
        <v>100</v>
      </c>
      <c r="C3344" s="15"/>
      <c r="D3344" s="16" t="s">
        <v>64</v>
      </c>
      <c r="E3344" s="17" t="s">
        <v>47</v>
      </c>
      <c r="F3344" s="18" t="s">
        <v>34</v>
      </c>
      <c r="G3344" s="19"/>
      <c r="H3344" s="17" t="s">
        <v>35</v>
      </c>
      <c r="I3344" s="17" t="s">
        <v>44</v>
      </c>
      <c r="J3344" s="17"/>
      <c r="K3344" s="17" t="e">
        <f aca="false">VLOOKUP(J3344,Sheet2!A:B,2,0)</f>
        <v>#N/A</v>
      </c>
      <c r="L3344" s="17" t="n">
        <v>5</v>
      </c>
      <c r="M3344" s="17" t="str">
        <f aca="false">VLOOKUP(L3344,Sheet2!D:E,2,0)</f>
        <v>Main Processor CPU BGA</v>
      </c>
      <c r="N3344" s="17" t="n">
        <v>1</v>
      </c>
      <c r="O3344" s="17" t="str">
        <f aca="false">VLOOKUP(N3344,Sheet2!G:H,2,0)</f>
        <v>Dead</v>
      </c>
      <c r="P3344" s="17" t="n">
        <v>11</v>
      </c>
      <c r="Q3344" s="17" t="str">
        <f aca="false">VLOOKUP(P3344,Sheet2!J:K,2,0)</f>
        <v>IR Declared due to CID -TA</v>
      </c>
      <c r="R3344" s="17" t="s">
        <v>35</v>
      </c>
      <c r="S3344" s="17" t="str">
        <f aca="false">VLOOKUP(R3344,Sheet2!N:O,2,0)</f>
        <v>IREPARABLE</v>
      </c>
      <c r="T3344" s="18" t="str">
        <f aca="false">VLOOKUP(P3344,Sheet2!Q:R,2,0)</f>
        <v>IR Normal - Track burn out</v>
      </c>
      <c r="U3344" s="20" t="s">
        <v>41</v>
      </c>
      <c r="V3344" s="17"/>
      <c r="W3344" s="20" t="e">
        <f aca="false">VLOOKUP(V3344,Sheet2!Q:R,2,0)</f>
        <v>#N/A</v>
      </c>
      <c r="X3344" s="17" t="n">
        <f aca="false">J3344</f>
        <v>0</v>
      </c>
      <c r="Y3344" s="17" t="e">
        <f aca="false">VLOOKUP(X3344,Sheet2!A:B,2,0)</f>
        <v>#N/A</v>
      </c>
      <c r="Z3344" s="17"/>
      <c r="AA3344" s="17"/>
      <c r="AB3344" s="17" t="s">
        <v>41</v>
      </c>
      <c r="AC3344" s="0" t="str">
        <f aca="false">LEFT(G3344,2)</f>
        <v/>
      </c>
      <c r="AE3344" s="0"/>
    </row>
    <row r="3345" customFormat="false" ht="15" hidden="false" customHeight="false" outlineLevel="0" collapsed="false">
      <c r="A3345" s="13" t="n">
        <f aca="false">1+A3344</f>
        <v>3343</v>
      </c>
      <c r="B3345" s="14" t="n">
        <v>100</v>
      </c>
      <c r="C3345" s="15"/>
      <c r="D3345" s="16" t="s">
        <v>64</v>
      </c>
      <c r="E3345" s="17" t="s">
        <v>47</v>
      </c>
      <c r="F3345" s="18" t="s">
        <v>34</v>
      </c>
      <c r="G3345" s="19"/>
      <c r="H3345" s="17" t="s">
        <v>35</v>
      </c>
      <c r="I3345" s="17" t="s">
        <v>44</v>
      </c>
      <c r="J3345" s="17"/>
      <c r="K3345" s="17" t="e">
        <f aca="false">VLOOKUP(J3345,Sheet2!A:B,2,0)</f>
        <v>#N/A</v>
      </c>
      <c r="L3345" s="17" t="n">
        <v>5</v>
      </c>
      <c r="M3345" s="17" t="str">
        <f aca="false">VLOOKUP(L3345,Sheet2!D:E,2,0)</f>
        <v>Main Processor CPU BGA</v>
      </c>
      <c r="N3345" s="17" t="n">
        <v>1</v>
      </c>
      <c r="O3345" s="17" t="str">
        <f aca="false">VLOOKUP(N3345,Sheet2!G:H,2,0)</f>
        <v>Dead</v>
      </c>
      <c r="P3345" s="17" t="n">
        <v>11</v>
      </c>
      <c r="Q3345" s="17" t="str">
        <f aca="false">VLOOKUP(P3345,Sheet2!J:K,2,0)</f>
        <v>IR Declared due to CID -TA</v>
      </c>
      <c r="R3345" s="17" t="s">
        <v>35</v>
      </c>
      <c r="S3345" s="17" t="str">
        <f aca="false">VLOOKUP(R3345,Sheet2!N:O,2,0)</f>
        <v>IREPARABLE</v>
      </c>
      <c r="T3345" s="18" t="str">
        <f aca="false">VLOOKUP(P3345,Sheet2!Q:R,2,0)</f>
        <v>IR Normal - Track burn out</v>
      </c>
      <c r="U3345" s="20" t="s">
        <v>41</v>
      </c>
      <c r="V3345" s="17"/>
      <c r="W3345" s="20" t="e">
        <f aca="false">VLOOKUP(V3345,Sheet2!Q:R,2,0)</f>
        <v>#N/A</v>
      </c>
      <c r="X3345" s="17" t="n">
        <f aca="false">J3345</f>
        <v>0</v>
      </c>
      <c r="Y3345" s="17" t="e">
        <f aca="false">VLOOKUP(X3345,Sheet2!A:B,2,0)</f>
        <v>#N/A</v>
      </c>
      <c r="Z3345" s="17"/>
      <c r="AA3345" s="17"/>
      <c r="AB3345" s="17" t="s">
        <v>41</v>
      </c>
      <c r="AC3345" s="0" t="str">
        <f aca="false">LEFT(G3345,2)</f>
        <v/>
      </c>
      <c r="AE3345" s="0"/>
    </row>
    <row r="3346" customFormat="false" ht="15" hidden="false" customHeight="false" outlineLevel="0" collapsed="false">
      <c r="A3346" s="13" t="n">
        <f aca="false">1+A3345</f>
        <v>3344</v>
      </c>
      <c r="B3346" s="14" t="n">
        <v>100</v>
      </c>
      <c r="C3346" s="15"/>
      <c r="D3346" s="16" t="s">
        <v>64</v>
      </c>
      <c r="E3346" s="17" t="s">
        <v>47</v>
      </c>
      <c r="F3346" s="18" t="s">
        <v>34</v>
      </c>
      <c r="G3346" s="19"/>
      <c r="H3346" s="17" t="s">
        <v>35</v>
      </c>
      <c r="I3346" s="17" t="s">
        <v>44</v>
      </c>
      <c r="J3346" s="17"/>
      <c r="K3346" s="17" t="e">
        <f aca="false">VLOOKUP(J3346,Sheet2!A:B,2,0)</f>
        <v>#N/A</v>
      </c>
      <c r="L3346" s="17" t="n">
        <v>5</v>
      </c>
      <c r="M3346" s="17" t="str">
        <f aca="false">VLOOKUP(L3346,Sheet2!D:E,2,0)</f>
        <v>Main Processor CPU BGA</v>
      </c>
      <c r="N3346" s="17" t="n">
        <v>1</v>
      </c>
      <c r="O3346" s="17" t="str">
        <f aca="false">VLOOKUP(N3346,Sheet2!G:H,2,0)</f>
        <v>Dead</v>
      </c>
      <c r="P3346" s="17" t="n">
        <v>11</v>
      </c>
      <c r="Q3346" s="17" t="str">
        <f aca="false">VLOOKUP(P3346,Sheet2!J:K,2,0)</f>
        <v>IR Declared due to CID -TA</v>
      </c>
      <c r="R3346" s="17" t="s">
        <v>35</v>
      </c>
      <c r="S3346" s="17" t="str">
        <f aca="false">VLOOKUP(R3346,Sheet2!N:O,2,0)</f>
        <v>IREPARABLE</v>
      </c>
      <c r="T3346" s="18" t="str">
        <f aca="false">VLOOKUP(P3346,Sheet2!Q:R,2,0)</f>
        <v>IR Normal - Track burn out</v>
      </c>
      <c r="U3346" s="20" t="s">
        <v>41</v>
      </c>
      <c r="V3346" s="17"/>
      <c r="W3346" s="20" t="e">
        <f aca="false">VLOOKUP(V3346,Sheet2!Q:R,2,0)</f>
        <v>#N/A</v>
      </c>
      <c r="X3346" s="17" t="n">
        <f aca="false">J3346</f>
        <v>0</v>
      </c>
      <c r="Y3346" s="17" t="e">
        <f aca="false">VLOOKUP(X3346,Sheet2!A:B,2,0)</f>
        <v>#N/A</v>
      </c>
      <c r="Z3346" s="17"/>
      <c r="AA3346" s="17"/>
      <c r="AB3346" s="17" t="s">
        <v>41</v>
      </c>
      <c r="AC3346" s="0" t="str">
        <f aca="false">LEFT(G3346,2)</f>
        <v/>
      </c>
      <c r="AE3346" s="0"/>
    </row>
    <row r="3347" customFormat="false" ht="15" hidden="false" customHeight="false" outlineLevel="0" collapsed="false">
      <c r="A3347" s="13" t="n">
        <f aca="false">1+A3346</f>
        <v>3345</v>
      </c>
      <c r="B3347" s="14" t="n">
        <v>100</v>
      </c>
      <c r="C3347" s="15"/>
      <c r="D3347" s="16" t="s">
        <v>64</v>
      </c>
      <c r="E3347" s="17" t="s">
        <v>47</v>
      </c>
      <c r="F3347" s="18" t="s">
        <v>34</v>
      </c>
      <c r="G3347" s="19"/>
      <c r="H3347" s="17" t="s">
        <v>35</v>
      </c>
      <c r="I3347" s="17" t="s">
        <v>44</v>
      </c>
      <c r="J3347" s="17"/>
      <c r="K3347" s="17" t="e">
        <f aca="false">VLOOKUP(J3347,Sheet2!A:B,2,0)</f>
        <v>#N/A</v>
      </c>
      <c r="L3347" s="17" t="n">
        <v>5</v>
      </c>
      <c r="M3347" s="17" t="str">
        <f aca="false">VLOOKUP(L3347,Sheet2!D:E,2,0)</f>
        <v>Main Processor CPU BGA</v>
      </c>
      <c r="N3347" s="17" t="n">
        <v>1</v>
      </c>
      <c r="O3347" s="17" t="str">
        <f aca="false">VLOOKUP(N3347,Sheet2!G:H,2,0)</f>
        <v>Dead</v>
      </c>
      <c r="P3347" s="17" t="n">
        <v>11</v>
      </c>
      <c r="Q3347" s="17" t="str">
        <f aca="false">VLOOKUP(P3347,Sheet2!J:K,2,0)</f>
        <v>IR Declared due to CID -TA</v>
      </c>
      <c r="R3347" s="17" t="s">
        <v>35</v>
      </c>
      <c r="S3347" s="17" t="str">
        <f aca="false">VLOOKUP(R3347,Sheet2!N:O,2,0)</f>
        <v>IREPARABLE</v>
      </c>
      <c r="T3347" s="18" t="str">
        <f aca="false">VLOOKUP(P3347,Sheet2!Q:R,2,0)</f>
        <v>IR Normal - Track burn out</v>
      </c>
      <c r="U3347" s="20" t="s">
        <v>41</v>
      </c>
      <c r="V3347" s="17"/>
      <c r="W3347" s="20" t="e">
        <f aca="false">VLOOKUP(V3347,Sheet2!Q:R,2,0)</f>
        <v>#N/A</v>
      </c>
      <c r="X3347" s="17" t="n">
        <f aca="false">J3347</f>
        <v>0</v>
      </c>
      <c r="Y3347" s="17" t="e">
        <f aca="false">VLOOKUP(X3347,Sheet2!A:B,2,0)</f>
        <v>#N/A</v>
      </c>
      <c r="Z3347" s="17"/>
      <c r="AA3347" s="17"/>
      <c r="AB3347" s="17" t="s">
        <v>41</v>
      </c>
      <c r="AC3347" s="0" t="str">
        <f aca="false">LEFT(G3347,2)</f>
        <v/>
      </c>
      <c r="AE3347" s="0"/>
    </row>
    <row r="3348" customFormat="false" ht="15" hidden="false" customHeight="false" outlineLevel="0" collapsed="false">
      <c r="A3348" s="13" t="n">
        <f aca="false">1+A3347</f>
        <v>3346</v>
      </c>
      <c r="B3348" s="14" t="n">
        <v>100</v>
      </c>
      <c r="C3348" s="15"/>
      <c r="D3348" s="16" t="s">
        <v>64</v>
      </c>
      <c r="E3348" s="17" t="s">
        <v>47</v>
      </c>
      <c r="F3348" s="18" t="s">
        <v>34</v>
      </c>
      <c r="G3348" s="19"/>
      <c r="H3348" s="17" t="s">
        <v>35</v>
      </c>
      <c r="I3348" s="17" t="s">
        <v>44</v>
      </c>
      <c r="J3348" s="17"/>
      <c r="K3348" s="17" t="e">
        <f aca="false">VLOOKUP(J3348,Sheet2!A:B,2,0)</f>
        <v>#N/A</v>
      </c>
      <c r="L3348" s="17" t="n">
        <v>5</v>
      </c>
      <c r="M3348" s="17" t="str">
        <f aca="false">VLOOKUP(L3348,Sheet2!D:E,2,0)</f>
        <v>Main Processor CPU BGA</v>
      </c>
      <c r="N3348" s="17" t="n">
        <v>1</v>
      </c>
      <c r="O3348" s="17" t="str">
        <f aca="false">VLOOKUP(N3348,Sheet2!G:H,2,0)</f>
        <v>Dead</v>
      </c>
      <c r="P3348" s="17" t="n">
        <v>11</v>
      </c>
      <c r="Q3348" s="17" t="str">
        <f aca="false">VLOOKUP(P3348,Sheet2!J:K,2,0)</f>
        <v>IR Declared due to CID -TA</v>
      </c>
      <c r="R3348" s="17" t="s">
        <v>35</v>
      </c>
      <c r="S3348" s="17" t="str">
        <f aca="false">VLOOKUP(R3348,Sheet2!N:O,2,0)</f>
        <v>IREPARABLE</v>
      </c>
      <c r="T3348" s="18" t="str">
        <f aca="false">VLOOKUP(P3348,Sheet2!Q:R,2,0)</f>
        <v>IR Normal - Track burn out</v>
      </c>
      <c r="U3348" s="20" t="s">
        <v>41</v>
      </c>
      <c r="V3348" s="17"/>
      <c r="W3348" s="20" t="e">
        <f aca="false">VLOOKUP(V3348,Sheet2!Q:R,2,0)</f>
        <v>#N/A</v>
      </c>
      <c r="X3348" s="17" t="n">
        <f aca="false">J3348</f>
        <v>0</v>
      </c>
      <c r="Y3348" s="17" t="e">
        <f aca="false">VLOOKUP(X3348,Sheet2!A:B,2,0)</f>
        <v>#N/A</v>
      </c>
      <c r="Z3348" s="17"/>
      <c r="AA3348" s="17"/>
      <c r="AB3348" s="17" t="s">
        <v>41</v>
      </c>
      <c r="AC3348" s="0" t="str">
        <f aca="false">LEFT(G3348,2)</f>
        <v/>
      </c>
      <c r="AE3348" s="0"/>
    </row>
    <row r="3349" customFormat="false" ht="15" hidden="false" customHeight="false" outlineLevel="0" collapsed="false">
      <c r="A3349" s="13" t="n">
        <f aca="false">1+A3348</f>
        <v>3347</v>
      </c>
      <c r="B3349" s="14" t="n">
        <v>100</v>
      </c>
      <c r="C3349" s="15"/>
      <c r="D3349" s="16" t="s">
        <v>64</v>
      </c>
      <c r="E3349" s="17" t="s">
        <v>47</v>
      </c>
      <c r="F3349" s="18" t="s">
        <v>34</v>
      </c>
      <c r="G3349" s="19"/>
      <c r="H3349" s="17" t="s">
        <v>35</v>
      </c>
      <c r="I3349" s="17" t="s">
        <v>44</v>
      </c>
      <c r="J3349" s="17"/>
      <c r="K3349" s="17" t="e">
        <f aca="false">VLOOKUP(J3349,Sheet2!A:B,2,0)</f>
        <v>#N/A</v>
      </c>
      <c r="L3349" s="17" t="n">
        <v>5</v>
      </c>
      <c r="M3349" s="17" t="str">
        <f aca="false">VLOOKUP(L3349,Sheet2!D:E,2,0)</f>
        <v>Main Processor CPU BGA</v>
      </c>
      <c r="N3349" s="17" t="n">
        <v>1</v>
      </c>
      <c r="O3349" s="17" t="str">
        <f aca="false">VLOOKUP(N3349,Sheet2!G:H,2,0)</f>
        <v>Dead</v>
      </c>
      <c r="P3349" s="17" t="n">
        <v>11</v>
      </c>
      <c r="Q3349" s="17" t="str">
        <f aca="false">VLOOKUP(P3349,Sheet2!J:K,2,0)</f>
        <v>IR Declared due to CID -TA</v>
      </c>
      <c r="R3349" s="17" t="s">
        <v>35</v>
      </c>
      <c r="S3349" s="17" t="str">
        <f aca="false">VLOOKUP(R3349,Sheet2!N:O,2,0)</f>
        <v>IREPARABLE</v>
      </c>
      <c r="T3349" s="18" t="str">
        <f aca="false">VLOOKUP(P3349,Sheet2!Q:R,2,0)</f>
        <v>IR Normal - Track burn out</v>
      </c>
      <c r="U3349" s="20" t="s">
        <v>41</v>
      </c>
      <c r="V3349" s="17"/>
      <c r="W3349" s="20" t="e">
        <f aca="false">VLOOKUP(V3349,Sheet2!Q:R,2,0)</f>
        <v>#N/A</v>
      </c>
      <c r="X3349" s="17" t="n">
        <f aca="false">J3349</f>
        <v>0</v>
      </c>
      <c r="Y3349" s="17" t="e">
        <f aca="false">VLOOKUP(X3349,Sheet2!A:B,2,0)</f>
        <v>#N/A</v>
      </c>
      <c r="Z3349" s="17"/>
      <c r="AA3349" s="17"/>
      <c r="AB3349" s="17" t="s">
        <v>41</v>
      </c>
      <c r="AC3349" s="0" t="str">
        <f aca="false">LEFT(G3349,2)</f>
        <v/>
      </c>
      <c r="AE3349" s="0"/>
    </row>
    <row r="3350" customFormat="false" ht="15" hidden="false" customHeight="false" outlineLevel="0" collapsed="false">
      <c r="A3350" s="13" t="n">
        <f aca="false">1+A3349</f>
        <v>3348</v>
      </c>
      <c r="B3350" s="14" t="n">
        <v>100</v>
      </c>
      <c r="C3350" s="15"/>
      <c r="D3350" s="16" t="s">
        <v>64</v>
      </c>
      <c r="E3350" s="17" t="s">
        <v>47</v>
      </c>
      <c r="F3350" s="18" t="s">
        <v>34</v>
      </c>
      <c r="G3350" s="19"/>
      <c r="H3350" s="17" t="s">
        <v>35</v>
      </c>
      <c r="I3350" s="17" t="s">
        <v>44</v>
      </c>
      <c r="J3350" s="17"/>
      <c r="K3350" s="17" t="e">
        <f aca="false">VLOOKUP(J3350,Sheet2!A:B,2,0)</f>
        <v>#N/A</v>
      </c>
      <c r="L3350" s="17" t="n">
        <v>5</v>
      </c>
      <c r="M3350" s="17" t="str">
        <f aca="false">VLOOKUP(L3350,Sheet2!D:E,2,0)</f>
        <v>Main Processor CPU BGA</v>
      </c>
      <c r="N3350" s="17" t="n">
        <v>1</v>
      </c>
      <c r="O3350" s="17" t="str">
        <f aca="false">VLOOKUP(N3350,Sheet2!G:H,2,0)</f>
        <v>Dead</v>
      </c>
      <c r="P3350" s="17" t="n">
        <v>11</v>
      </c>
      <c r="Q3350" s="17" t="str">
        <f aca="false">VLOOKUP(P3350,Sheet2!J:K,2,0)</f>
        <v>IR Declared due to CID -TA</v>
      </c>
      <c r="R3350" s="17" t="s">
        <v>35</v>
      </c>
      <c r="S3350" s="17" t="str">
        <f aca="false">VLOOKUP(R3350,Sheet2!N:O,2,0)</f>
        <v>IREPARABLE</v>
      </c>
      <c r="T3350" s="18" t="str">
        <f aca="false">VLOOKUP(P3350,Sheet2!Q:R,2,0)</f>
        <v>IR Normal - Track burn out</v>
      </c>
      <c r="U3350" s="20" t="s">
        <v>41</v>
      </c>
      <c r="V3350" s="17"/>
      <c r="W3350" s="20" t="e">
        <f aca="false">VLOOKUP(V3350,Sheet2!Q:R,2,0)</f>
        <v>#N/A</v>
      </c>
      <c r="X3350" s="17" t="n">
        <f aca="false">J3350</f>
        <v>0</v>
      </c>
      <c r="Y3350" s="17" t="e">
        <f aca="false">VLOOKUP(X3350,Sheet2!A:B,2,0)</f>
        <v>#N/A</v>
      </c>
      <c r="Z3350" s="17"/>
      <c r="AA3350" s="17"/>
      <c r="AB3350" s="17" t="s">
        <v>41</v>
      </c>
      <c r="AC3350" s="0" t="str">
        <f aca="false">LEFT(G3350,2)</f>
        <v/>
      </c>
      <c r="AE3350" s="0"/>
    </row>
    <row r="3351" customFormat="false" ht="15" hidden="false" customHeight="false" outlineLevel="0" collapsed="false">
      <c r="A3351" s="13" t="n">
        <f aca="false">1+A3350</f>
        <v>3349</v>
      </c>
      <c r="B3351" s="14" t="n">
        <v>100</v>
      </c>
      <c r="C3351" s="15"/>
      <c r="D3351" s="16" t="s">
        <v>64</v>
      </c>
      <c r="E3351" s="17" t="s">
        <v>47</v>
      </c>
      <c r="F3351" s="18" t="s">
        <v>34</v>
      </c>
      <c r="G3351" s="19"/>
      <c r="H3351" s="17" t="s">
        <v>35</v>
      </c>
      <c r="I3351" s="17" t="s">
        <v>44</v>
      </c>
      <c r="J3351" s="17"/>
      <c r="K3351" s="17" t="e">
        <f aca="false">VLOOKUP(J3351,Sheet2!A:B,2,0)</f>
        <v>#N/A</v>
      </c>
      <c r="L3351" s="17" t="n">
        <v>5</v>
      </c>
      <c r="M3351" s="17" t="str">
        <f aca="false">VLOOKUP(L3351,Sheet2!D:E,2,0)</f>
        <v>Main Processor CPU BGA</v>
      </c>
      <c r="N3351" s="17" t="n">
        <v>1</v>
      </c>
      <c r="O3351" s="17" t="str">
        <f aca="false">VLOOKUP(N3351,Sheet2!G:H,2,0)</f>
        <v>Dead</v>
      </c>
      <c r="P3351" s="17" t="n">
        <v>11</v>
      </c>
      <c r="Q3351" s="17" t="str">
        <f aca="false">VLOOKUP(P3351,Sheet2!J:K,2,0)</f>
        <v>IR Declared due to CID -TA</v>
      </c>
      <c r="R3351" s="17" t="s">
        <v>35</v>
      </c>
      <c r="S3351" s="17" t="str">
        <f aca="false">VLOOKUP(R3351,Sheet2!N:O,2,0)</f>
        <v>IREPARABLE</v>
      </c>
      <c r="T3351" s="18" t="str">
        <f aca="false">VLOOKUP(P3351,Sheet2!Q:R,2,0)</f>
        <v>IR Normal - Track burn out</v>
      </c>
      <c r="U3351" s="20" t="s">
        <v>41</v>
      </c>
      <c r="V3351" s="17"/>
      <c r="W3351" s="20" t="e">
        <f aca="false">VLOOKUP(V3351,Sheet2!Q:R,2,0)</f>
        <v>#N/A</v>
      </c>
      <c r="X3351" s="17" t="n">
        <f aca="false">J3351</f>
        <v>0</v>
      </c>
      <c r="Y3351" s="17" t="e">
        <f aca="false">VLOOKUP(X3351,Sheet2!A:B,2,0)</f>
        <v>#N/A</v>
      </c>
      <c r="Z3351" s="17"/>
      <c r="AA3351" s="17"/>
      <c r="AB3351" s="17" t="s">
        <v>41</v>
      </c>
      <c r="AC3351" s="0" t="str">
        <f aca="false">LEFT(G3351,2)</f>
        <v/>
      </c>
      <c r="AE3351" s="0"/>
    </row>
    <row r="3352" customFormat="false" ht="15" hidden="false" customHeight="false" outlineLevel="0" collapsed="false">
      <c r="A3352" s="13" t="n">
        <f aca="false">1+A3351</f>
        <v>3350</v>
      </c>
      <c r="B3352" s="14" t="n">
        <v>100</v>
      </c>
      <c r="C3352" s="15"/>
      <c r="D3352" s="16" t="s">
        <v>64</v>
      </c>
      <c r="E3352" s="17" t="s">
        <v>47</v>
      </c>
      <c r="F3352" s="18" t="s">
        <v>34</v>
      </c>
      <c r="G3352" s="19"/>
      <c r="H3352" s="17" t="s">
        <v>35</v>
      </c>
      <c r="I3352" s="17" t="s">
        <v>44</v>
      </c>
      <c r="J3352" s="17"/>
      <c r="K3352" s="17" t="e">
        <f aca="false">VLOOKUP(J3352,Sheet2!A:B,2,0)</f>
        <v>#N/A</v>
      </c>
      <c r="L3352" s="17" t="n">
        <v>5</v>
      </c>
      <c r="M3352" s="17" t="str">
        <f aca="false">VLOOKUP(L3352,Sheet2!D:E,2,0)</f>
        <v>Main Processor CPU BGA</v>
      </c>
      <c r="N3352" s="17" t="n">
        <v>1</v>
      </c>
      <c r="O3352" s="17" t="str">
        <f aca="false">VLOOKUP(N3352,Sheet2!G:H,2,0)</f>
        <v>Dead</v>
      </c>
      <c r="P3352" s="17" t="n">
        <v>11</v>
      </c>
      <c r="Q3352" s="17" t="str">
        <f aca="false">VLOOKUP(P3352,Sheet2!J:K,2,0)</f>
        <v>IR Declared due to CID -TA</v>
      </c>
      <c r="R3352" s="17" t="s">
        <v>35</v>
      </c>
      <c r="S3352" s="17" t="str">
        <f aca="false">VLOOKUP(R3352,Sheet2!N:O,2,0)</f>
        <v>IREPARABLE</v>
      </c>
      <c r="T3352" s="18" t="str">
        <f aca="false">VLOOKUP(P3352,Sheet2!Q:R,2,0)</f>
        <v>IR Normal - Track burn out</v>
      </c>
      <c r="U3352" s="20" t="s">
        <v>41</v>
      </c>
      <c r="V3352" s="17"/>
      <c r="W3352" s="20" t="e">
        <f aca="false">VLOOKUP(V3352,Sheet2!Q:R,2,0)</f>
        <v>#N/A</v>
      </c>
      <c r="X3352" s="17" t="n">
        <f aca="false">J3352</f>
        <v>0</v>
      </c>
      <c r="Y3352" s="17" t="e">
        <f aca="false">VLOOKUP(X3352,Sheet2!A:B,2,0)</f>
        <v>#N/A</v>
      </c>
      <c r="Z3352" s="17"/>
      <c r="AA3352" s="17"/>
      <c r="AB3352" s="17" t="s">
        <v>41</v>
      </c>
      <c r="AC3352" s="0" t="str">
        <f aca="false">LEFT(G3352,2)</f>
        <v/>
      </c>
      <c r="AE3352" s="0"/>
    </row>
    <row r="3353" customFormat="false" ht="15" hidden="false" customHeight="false" outlineLevel="0" collapsed="false">
      <c r="A3353" s="13" t="n">
        <f aca="false">1+A3352</f>
        <v>3351</v>
      </c>
      <c r="B3353" s="14" t="n">
        <v>100</v>
      </c>
      <c r="C3353" s="15"/>
      <c r="D3353" s="16" t="s">
        <v>64</v>
      </c>
      <c r="E3353" s="17" t="s">
        <v>47</v>
      </c>
      <c r="F3353" s="18" t="s">
        <v>34</v>
      </c>
      <c r="G3353" s="19"/>
      <c r="H3353" s="17" t="s">
        <v>35</v>
      </c>
      <c r="I3353" s="17" t="s">
        <v>44</v>
      </c>
      <c r="J3353" s="17"/>
      <c r="K3353" s="17" t="e">
        <f aca="false">VLOOKUP(J3353,Sheet2!A:B,2,0)</f>
        <v>#N/A</v>
      </c>
      <c r="L3353" s="17" t="n">
        <v>5</v>
      </c>
      <c r="M3353" s="17" t="str">
        <f aca="false">VLOOKUP(L3353,Sheet2!D:E,2,0)</f>
        <v>Main Processor CPU BGA</v>
      </c>
      <c r="N3353" s="17" t="n">
        <v>1</v>
      </c>
      <c r="O3353" s="17" t="str">
        <f aca="false">VLOOKUP(N3353,Sheet2!G:H,2,0)</f>
        <v>Dead</v>
      </c>
      <c r="P3353" s="17" t="n">
        <v>11</v>
      </c>
      <c r="Q3353" s="17" t="str">
        <f aca="false">VLOOKUP(P3353,Sheet2!J:K,2,0)</f>
        <v>IR Declared due to CID -TA</v>
      </c>
      <c r="R3353" s="17" t="s">
        <v>35</v>
      </c>
      <c r="S3353" s="17" t="str">
        <f aca="false">VLOOKUP(R3353,Sheet2!N:O,2,0)</f>
        <v>IREPARABLE</v>
      </c>
      <c r="T3353" s="18" t="str">
        <f aca="false">VLOOKUP(P3353,Sheet2!Q:R,2,0)</f>
        <v>IR Normal - Track burn out</v>
      </c>
      <c r="U3353" s="20" t="s">
        <v>41</v>
      </c>
      <c r="V3353" s="17"/>
      <c r="W3353" s="20" t="e">
        <f aca="false">VLOOKUP(V3353,Sheet2!Q:R,2,0)</f>
        <v>#N/A</v>
      </c>
      <c r="X3353" s="17" t="n">
        <f aca="false">J3353</f>
        <v>0</v>
      </c>
      <c r="Y3353" s="17" t="e">
        <f aca="false">VLOOKUP(X3353,Sheet2!A:B,2,0)</f>
        <v>#N/A</v>
      </c>
      <c r="Z3353" s="17"/>
      <c r="AA3353" s="17"/>
      <c r="AB3353" s="17" t="s">
        <v>41</v>
      </c>
      <c r="AC3353" s="0" t="str">
        <f aca="false">LEFT(G3353,2)</f>
        <v/>
      </c>
      <c r="AE3353" s="0"/>
    </row>
    <row r="3354" customFormat="false" ht="15" hidden="false" customHeight="false" outlineLevel="0" collapsed="false">
      <c r="A3354" s="13" t="n">
        <f aca="false">1+A3353</f>
        <v>3352</v>
      </c>
      <c r="B3354" s="14" t="n">
        <v>100</v>
      </c>
      <c r="C3354" s="15"/>
      <c r="D3354" s="16" t="s">
        <v>64</v>
      </c>
      <c r="E3354" s="17" t="s">
        <v>47</v>
      </c>
      <c r="F3354" s="18" t="s">
        <v>34</v>
      </c>
      <c r="G3354" s="19"/>
      <c r="H3354" s="17" t="s">
        <v>35</v>
      </c>
      <c r="I3354" s="17" t="s">
        <v>44</v>
      </c>
      <c r="J3354" s="17"/>
      <c r="K3354" s="17" t="e">
        <f aca="false">VLOOKUP(J3354,Sheet2!A:B,2,0)</f>
        <v>#N/A</v>
      </c>
      <c r="L3354" s="17" t="n">
        <v>5</v>
      </c>
      <c r="M3354" s="17" t="str">
        <f aca="false">VLOOKUP(L3354,Sheet2!D:E,2,0)</f>
        <v>Main Processor CPU BGA</v>
      </c>
      <c r="N3354" s="17" t="n">
        <v>1</v>
      </c>
      <c r="O3354" s="17" t="str">
        <f aca="false">VLOOKUP(N3354,Sheet2!G:H,2,0)</f>
        <v>Dead</v>
      </c>
      <c r="P3354" s="17" t="n">
        <v>11</v>
      </c>
      <c r="Q3354" s="17" t="str">
        <f aca="false">VLOOKUP(P3354,Sheet2!J:K,2,0)</f>
        <v>IR Declared due to CID -TA</v>
      </c>
      <c r="R3354" s="17" t="s">
        <v>35</v>
      </c>
      <c r="S3354" s="17" t="str">
        <f aca="false">VLOOKUP(R3354,Sheet2!N:O,2,0)</f>
        <v>IREPARABLE</v>
      </c>
      <c r="T3354" s="18" t="str">
        <f aca="false">VLOOKUP(P3354,Sheet2!Q:R,2,0)</f>
        <v>IR Normal - Track burn out</v>
      </c>
      <c r="U3354" s="20" t="s">
        <v>41</v>
      </c>
      <c r="V3354" s="17"/>
      <c r="W3354" s="20" t="e">
        <f aca="false">VLOOKUP(V3354,Sheet2!Q:R,2,0)</f>
        <v>#N/A</v>
      </c>
      <c r="X3354" s="17" t="n">
        <f aca="false">J3354</f>
        <v>0</v>
      </c>
      <c r="Y3354" s="17" t="e">
        <f aca="false">VLOOKUP(X3354,Sheet2!A:B,2,0)</f>
        <v>#N/A</v>
      </c>
      <c r="Z3354" s="17"/>
      <c r="AA3354" s="17"/>
      <c r="AB3354" s="17" t="s">
        <v>41</v>
      </c>
      <c r="AC3354" s="0" t="str">
        <f aca="false">LEFT(G3354,2)</f>
        <v/>
      </c>
      <c r="AE3354" s="0"/>
    </row>
    <row r="3355" customFormat="false" ht="15" hidden="false" customHeight="false" outlineLevel="0" collapsed="false">
      <c r="A3355" s="13" t="n">
        <f aca="false">1+A3354</f>
        <v>3353</v>
      </c>
      <c r="B3355" s="14" t="n">
        <v>100</v>
      </c>
      <c r="C3355" s="15"/>
      <c r="D3355" s="16" t="s">
        <v>64</v>
      </c>
      <c r="E3355" s="17" t="s">
        <v>47</v>
      </c>
      <c r="F3355" s="18" t="s">
        <v>34</v>
      </c>
      <c r="G3355" s="19"/>
      <c r="H3355" s="17" t="s">
        <v>35</v>
      </c>
      <c r="I3355" s="17" t="s">
        <v>44</v>
      </c>
      <c r="J3355" s="17"/>
      <c r="K3355" s="17" t="e">
        <f aca="false">VLOOKUP(J3355,Sheet2!A:B,2,0)</f>
        <v>#N/A</v>
      </c>
      <c r="L3355" s="17" t="n">
        <v>5</v>
      </c>
      <c r="M3355" s="17" t="str">
        <f aca="false">VLOOKUP(L3355,Sheet2!D:E,2,0)</f>
        <v>Main Processor CPU BGA</v>
      </c>
      <c r="N3355" s="17" t="n">
        <v>1</v>
      </c>
      <c r="O3355" s="17" t="str">
        <f aca="false">VLOOKUP(N3355,Sheet2!G:H,2,0)</f>
        <v>Dead</v>
      </c>
      <c r="P3355" s="17" t="n">
        <v>11</v>
      </c>
      <c r="Q3355" s="17" t="str">
        <f aca="false">VLOOKUP(P3355,Sheet2!J:K,2,0)</f>
        <v>IR Declared due to CID -TA</v>
      </c>
      <c r="R3355" s="17" t="s">
        <v>35</v>
      </c>
      <c r="S3355" s="17" t="str">
        <f aca="false">VLOOKUP(R3355,Sheet2!N:O,2,0)</f>
        <v>IREPARABLE</v>
      </c>
      <c r="T3355" s="18" t="str">
        <f aca="false">VLOOKUP(P3355,Sheet2!Q:R,2,0)</f>
        <v>IR Normal - Track burn out</v>
      </c>
      <c r="U3355" s="20" t="s">
        <v>41</v>
      </c>
      <c r="V3355" s="17"/>
      <c r="W3355" s="20" t="e">
        <f aca="false">VLOOKUP(V3355,Sheet2!Q:R,2,0)</f>
        <v>#N/A</v>
      </c>
      <c r="X3355" s="17" t="n">
        <f aca="false">J3355</f>
        <v>0</v>
      </c>
      <c r="Y3355" s="17" t="e">
        <f aca="false">VLOOKUP(X3355,Sheet2!A:B,2,0)</f>
        <v>#N/A</v>
      </c>
      <c r="Z3355" s="17"/>
      <c r="AA3355" s="17"/>
      <c r="AB3355" s="17" t="s">
        <v>41</v>
      </c>
      <c r="AC3355" s="0" t="str">
        <f aca="false">LEFT(G3355,2)</f>
        <v/>
      </c>
      <c r="AE3355" s="0"/>
    </row>
    <row r="3356" customFormat="false" ht="15" hidden="false" customHeight="false" outlineLevel="0" collapsed="false">
      <c r="A3356" s="13" t="n">
        <f aca="false">1+A3355</f>
        <v>3354</v>
      </c>
      <c r="B3356" s="14" t="n">
        <v>100</v>
      </c>
      <c r="C3356" s="15"/>
      <c r="D3356" s="16" t="s">
        <v>64</v>
      </c>
      <c r="E3356" s="17" t="s">
        <v>47</v>
      </c>
      <c r="F3356" s="18" t="s">
        <v>34</v>
      </c>
      <c r="G3356" s="19"/>
      <c r="H3356" s="17" t="s">
        <v>35</v>
      </c>
      <c r="I3356" s="17" t="s">
        <v>44</v>
      </c>
      <c r="J3356" s="17"/>
      <c r="K3356" s="17" t="e">
        <f aca="false">VLOOKUP(J3356,Sheet2!A:B,2,0)</f>
        <v>#N/A</v>
      </c>
      <c r="L3356" s="17" t="n">
        <v>5</v>
      </c>
      <c r="M3356" s="17" t="str">
        <f aca="false">VLOOKUP(L3356,Sheet2!D:E,2,0)</f>
        <v>Main Processor CPU BGA</v>
      </c>
      <c r="N3356" s="17" t="n">
        <v>1</v>
      </c>
      <c r="O3356" s="17" t="str">
        <f aca="false">VLOOKUP(N3356,Sheet2!G:H,2,0)</f>
        <v>Dead</v>
      </c>
      <c r="P3356" s="17" t="n">
        <v>11</v>
      </c>
      <c r="Q3356" s="17" t="str">
        <f aca="false">VLOOKUP(P3356,Sheet2!J:K,2,0)</f>
        <v>IR Declared due to CID -TA</v>
      </c>
      <c r="R3356" s="17" t="s">
        <v>35</v>
      </c>
      <c r="S3356" s="17" t="str">
        <f aca="false">VLOOKUP(R3356,Sheet2!N:O,2,0)</f>
        <v>IREPARABLE</v>
      </c>
      <c r="T3356" s="18" t="str">
        <f aca="false">VLOOKUP(P3356,Sheet2!Q:R,2,0)</f>
        <v>IR Normal - Track burn out</v>
      </c>
      <c r="U3356" s="20" t="s">
        <v>41</v>
      </c>
      <c r="V3356" s="17"/>
      <c r="W3356" s="20" t="e">
        <f aca="false">VLOOKUP(V3356,Sheet2!Q:R,2,0)</f>
        <v>#N/A</v>
      </c>
      <c r="X3356" s="17" t="n">
        <f aca="false">J3356</f>
        <v>0</v>
      </c>
      <c r="Y3356" s="17" t="e">
        <f aca="false">VLOOKUP(X3356,Sheet2!A:B,2,0)</f>
        <v>#N/A</v>
      </c>
      <c r="Z3356" s="17"/>
      <c r="AA3356" s="17"/>
      <c r="AB3356" s="17" t="s">
        <v>41</v>
      </c>
      <c r="AC3356" s="0" t="str">
        <f aca="false">LEFT(G3356,2)</f>
        <v/>
      </c>
      <c r="AE3356" s="0"/>
    </row>
    <row r="3357" customFormat="false" ht="15" hidden="false" customHeight="false" outlineLevel="0" collapsed="false">
      <c r="A3357" s="13" t="n">
        <f aca="false">1+A3356</f>
        <v>3355</v>
      </c>
      <c r="B3357" s="14" t="n">
        <v>100</v>
      </c>
      <c r="C3357" s="15"/>
      <c r="D3357" s="16" t="s">
        <v>64</v>
      </c>
      <c r="E3357" s="17" t="s">
        <v>47</v>
      </c>
      <c r="F3357" s="18" t="s">
        <v>34</v>
      </c>
      <c r="G3357" s="19"/>
      <c r="H3357" s="17" t="s">
        <v>35</v>
      </c>
      <c r="I3357" s="17" t="s">
        <v>44</v>
      </c>
      <c r="J3357" s="17"/>
      <c r="K3357" s="17" t="e">
        <f aca="false">VLOOKUP(J3357,Sheet2!A:B,2,0)</f>
        <v>#N/A</v>
      </c>
      <c r="L3357" s="17" t="n">
        <v>5</v>
      </c>
      <c r="M3357" s="17" t="str">
        <f aca="false">VLOOKUP(L3357,Sheet2!D:E,2,0)</f>
        <v>Main Processor CPU BGA</v>
      </c>
      <c r="N3357" s="17" t="n">
        <v>1</v>
      </c>
      <c r="O3357" s="17" t="str">
        <f aca="false">VLOOKUP(N3357,Sheet2!G:H,2,0)</f>
        <v>Dead</v>
      </c>
      <c r="P3357" s="17" t="n">
        <v>11</v>
      </c>
      <c r="Q3357" s="17" t="str">
        <f aca="false">VLOOKUP(P3357,Sheet2!J:K,2,0)</f>
        <v>IR Declared due to CID -TA</v>
      </c>
      <c r="R3357" s="17" t="s">
        <v>35</v>
      </c>
      <c r="S3357" s="17" t="str">
        <f aca="false">VLOOKUP(R3357,Sheet2!N:O,2,0)</f>
        <v>IREPARABLE</v>
      </c>
      <c r="T3357" s="18" t="str">
        <f aca="false">VLOOKUP(P3357,Sheet2!Q:R,2,0)</f>
        <v>IR Normal - Track burn out</v>
      </c>
      <c r="U3357" s="20" t="s">
        <v>41</v>
      </c>
      <c r="V3357" s="17"/>
      <c r="W3357" s="20" t="e">
        <f aca="false">VLOOKUP(V3357,Sheet2!Q:R,2,0)</f>
        <v>#N/A</v>
      </c>
      <c r="X3357" s="17" t="n">
        <f aca="false">J3357</f>
        <v>0</v>
      </c>
      <c r="Y3357" s="17" t="e">
        <f aca="false">VLOOKUP(X3357,Sheet2!A:B,2,0)</f>
        <v>#N/A</v>
      </c>
      <c r="Z3357" s="17"/>
      <c r="AA3357" s="17"/>
      <c r="AB3357" s="17" t="s">
        <v>41</v>
      </c>
      <c r="AC3357" s="0" t="str">
        <f aca="false">LEFT(G3357,2)</f>
        <v/>
      </c>
      <c r="AE3357" s="0"/>
    </row>
    <row r="3358" customFormat="false" ht="15" hidden="false" customHeight="false" outlineLevel="0" collapsed="false">
      <c r="A3358" s="13" t="n">
        <f aca="false">1+A3357</f>
        <v>3356</v>
      </c>
      <c r="B3358" s="14" t="n">
        <v>100</v>
      </c>
      <c r="C3358" s="15"/>
      <c r="D3358" s="16" t="s">
        <v>64</v>
      </c>
      <c r="E3358" s="17" t="s">
        <v>47</v>
      </c>
      <c r="F3358" s="18" t="s">
        <v>34</v>
      </c>
      <c r="G3358" s="19"/>
      <c r="H3358" s="17" t="s">
        <v>35</v>
      </c>
      <c r="I3358" s="17" t="s">
        <v>44</v>
      </c>
      <c r="J3358" s="17"/>
      <c r="K3358" s="17" t="e">
        <f aca="false">VLOOKUP(J3358,Sheet2!A:B,2,0)</f>
        <v>#N/A</v>
      </c>
      <c r="L3358" s="17" t="n">
        <v>5</v>
      </c>
      <c r="M3358" s="17" t="str">
        <f aca="false">VLOOKUP(L3358,Sheet2!D:E,2,0)</f>
        <v>Main Processor CPU BGA</v>
      </c>
      <c r="N3358" s="17" t="n">
        <v>1</v>
      </c>
      <c r="O3358" s="17" t="str">
        <f aca="false">VLOOKUP(N3358,Sheet2!G:H,2,0)</f>
        <v>Dead</v>
      </c>
      <c r="P3358" s="17" t="n">
        <v>11</v>
      </c>
      <c r="Q3358" s="17" t="str">
        <f aca="false">VLOOKUP(P3358,Sheet2!J:K,2,0)</f>
        <v>IR Declared due to CID -TA</v>
      </c>
      <c r="R3358" s="17" t="s">
        <v>35</v>
      </c>
      <c r="S3358" s="17" t="str">
        <f aca="false">VLOOKUP(R3358,Sheet2!N:O,2,0)</f>
        <v>IREPARABLE</v>
      </c>
      <c r="T3358" s="18" t="str">
        <f aca="false">VLOOKUP(P3358,Sheet2!Q:R,2,0)</f>
        <v>IR Normal - Track burn out</v>
      </c>
      <c r="U3358" s="20" t="s">
        <v>41</v>
      </c>
      <c r="V3358" s="17"/>
      <c r="W3358" s="20" t="e">
        <f aca="false">VLOOKUP(V3358,Sheet2!Q:R,2,0)</f>
        <v>#N/A</v>
      </c>
      <c r="X3358" s="17" t="n">
        <f aca="false">J3358</f>
        <v>0</v>
      </c>
      <c r="Y3358" s="17" t="e">
        <f aca="false">VLOOKUP(X3358,Sheet2!A:B,2,0)</f>
        <v>#N/A</v>
      </c>
      <c r="Z3358" s="17"/>
      <c r="AA3358" s="17"/>
      <c r="AB3358" s="17" t="s">
        <v>41</v>
      </c>
      <c r="AC3358" s="0" t="str">
        <f aca="false">LEFT(G3358,2)</f>
        <v/>
      </c>
      <c r="AE3358" s="0"/>
    </row>
    <row r="3359" customFormat="false" ht="15" hidden="false" customHeight="false" outlineLevel="0" collapsed="false">
      <c r="A3359" s="13" t="n">
        <f aca="false">1+A3358</f>
        <v>3357</v>
      </c>
      <c r="B3359" s="14" t="n">
        <v>100</v>
      </c>
      <c r="C3359" s="15"/>
      <c r="D3359" s="16" t="s">
        <v>64</v>
      </c>
      <c r="E3359" s="17" t="s">
        <v>47</v>
      </c>
      <c r="F3359" s="18" t="s">
        <v>34</v>
      </c>
      <c r="G3359" s="19"/>
      <c r="H3359" s="17" t="s">
        <v>35</v>
      </c>
      <c r="I3359" s="17" t="s">
        <v>44</v>
      </c>
      <c r="J3359" s="17"/>
      <c r="K3359" s="17" t="e">
        <f aca="false">VLOOKUP(J3359,Sheet2!A:B,2,0)</f>
        <v>#N/A</v>
      </c>
      <c r="L3359" s="17" t="n">
        <v>5</v>
      </c>
      <c r="M3359" s="17" t="str">
        <f aca="false">VLOOKUP(L3359,Sheet2!D:E,2,0)</f>
        <v>Main Processor CPU BGA</v>
      </c>
      <c r="N3359" s="17" t="n">
        <v>1</v>
      </c>
      <c r="O3359" s="17" t="str">
        <f aca="false">VLOOKUP(N3359,Sheet2!G:H,2,0)</f>
        <v>Dead</v>
      </c>
      <c r="P3359" s="17" t="n">
        <v>11</v>
      </c>
      <c r="Q3359" s="17" t="str">
        <f aca="false">VLOOKUP(P3359,Sheet2!J:K,2,0)</f>
        <v>IR Declared due to CID -TA</v>
      </c>
      <c r="R3359" s="17" t="s">
        <v>35</v>
      </c>
      <c r="S3359" s="17" t="str">
        <f aca="false">VLOOKUP(R3359,Sheet2!N:O,2,0)</f>
        <v>IREPARABLE</v>
      </c>
      <c r="T3359" s="18" t="str">
        <f aca="false">VLOOKUP(P3359,Sheet2!Q:R,2,0)</f>
        <v>IR Normal - Track burn out</v>
      </c>
      <c r="U3359" s="20" t="s">
        <v>41</v>
      </c>
      <c r="V3359" s="17"/>
      <c r="W3359" s="20" t="e">
        <f aca="false">VLOOKUP(V3359,Sheet2!Q:R,2,0)</f>
        <v>#N/A</v>
      </c>
      <c r="X3359" s="17" t="n">
        <f aca="false">J3359</f>
        <v>0</v>
      </c>
      <c r="Y3359" s="17" t="e">
        <f aca="false">VLOOKUP(X3359,Sheet2!A:B,2,0)</f>
        <v>#N/A</v>
      </c>
      <c r="Z3359" s="17"/>
      <c r="AA3359" s="17"/>
      <c r="AB3359" s="17" t="s">
        <v>41</v>
      </c>
      <c r="AC3359" s="0" t="str">
        <f aca="false">LEFT(G3359,2)</f>
        <v/>
      </c>
      <c r="AE3359" s="0"/>
    </row>
    <row r="3360" customFormat="false" ht="15" hidden="false" customHeight="false" outlineLevel="0" collapsed="false">
      <c r="A3360" s="13" t="n">
        <f aca="false">1+A3359</f>
        <v>3358</v>
      </c>
      <c r="B3360" s="14" t="n">
        <v>100</v>
      </c>
      <c r="C3360" s="15"/>
      <c r="D3360" s="16" t="s">
        <v>64</v>
      </c>
      <c r="E3360" s="17" t="s">
        <v>47</v>
      </c>
      <c r="F3360" s="18" t="s">
        <v>34</v>
      </c>
      <c r="G3360" s="19"/>
      <c r="H3360" s="17" t="s">
        <v>35</v>
      </c>
      <c r="I3360" s="17" t="s">
        <v>44</v>
      </c>
      <c r="J3360" s="17"/>
      <c r="K3360" s="17" t="e">
        <f aca="false">VLOOKUP(J3360,Sheet2!A:B,2,0)</f>
        <v>#N/A</v>
      </c>
      <c r="L3360" s="17" t="n">
        <v>5</v>
      </c>
      <c r="M3360" s="17" t="str">
        <f aca="false">VLOOKUP(L3360,Sheet2!D:E,2,0)</f>
        <v>Main Processor CPU BGA</v>
      </c>
      <c r="N3360" s="17" t="n">
        <v>1</v>
      </c>
      <c r="O3360" s="17" t="str">
        <f aca="false">VLOOKUP(N3360,Sheet2!G:H,2,0)</f>
        <v>Dead</v>
      </c>
      <c r="P3360" s="17" t="n">
        <v>11</v>
      </c>
      <c r="Q3360" s="17" t="str">
        <f aca="false">VLOOKUP(P3360,Sheet2!J:K,2,0)</f>
        <v>IR Declared due to CID -TA</v>
      </c>
      <c r="R3360" s="17" t="s">
        <v>35</v>
      </c>
      <c r="S3360" s="17" t="str">
        <f aca="false">VLOOKUP(R3360,Sheet2!N:O,2,0)</f>
        <v>IREPARABLE</v>
      </c>
      <c r="T3360" s="18" t="str">
        <f aca="false">VLOOKUP(P3360,Sheet2!Q:R,2,0)</f>
        <v>IR Normal - Track burn out</v>
      </c>
      <c r="U3360" s="20" t="s">
        <v>41</v>
      </c>
      <c r="V3360" s="17"/>
      <c r="W3360" s="20" t="e">
        <f aca="false">VLOOKUP(V3360,Sheet2!Q:R,2,0)</f>
        <v>#N/A</v>
      </c>
      <c r="X3360" s="17" t="n">
        <f aca="false">J3360</f>
        <v>0</v>
      </c>
      <c r="Y3360" s="17" t="e">
        <f aca="false">VLOOKUP(X3360,Sheet2!A:B,2,0)</f>
        <v>#N/A</v>
      </c>
      <c r="Z3360" s="17"/>
      <c r="AA3360" s="17"/>
      <c r="AB3360" s="17" t="s">
        <v>41</v>
      </c>
      <c r="AC3360" s="0" t="str">
        <f aca="false">LEFT(G3360,2)</f>
        <v/>
      </c>
      <c r="AE3360" s="0"/>
    </row>
    <row r="3361" customFormat="false" ht="15" hidden="false" customHeight="false" outlineLevel="0" collapsed="false">
      <c r="A3361" s="13" t="n">
        <f aca="false">1+A3360</f>
        <v>3359</v>
      </c>
      <c r="B3361" s="14" t="n">
        <v>100</v>
      </c>
      <c r="C3361" s="15"/>
      <c r="D3361" s="16" t="s">
        <v>64</v>
      </c>
      <c r="E3361" s="17" t="s">
        <v>47</v>
      </c>
      <c r="F3361" s="18" t="s">
        <v>34</v>
      </c>
      <c r="G3361" s="19"/>
      <c r="H3361" s="17" t="s">
        <v>35</v>
      </c>
      <c r="I3361" s="17" t="s">
        <v>44</v>
      </c>
      <c r="J3361" s="17"/>
      <c r="K3361" s="17" t="e">
        <f aca="false">VLOOKUP(J3361,Sheet2!A:B,2,0)</f>
        <v>#N/A</v>
      </c>
      <c r="L3361" s="17" t="n">
        <v>5</v>
      </c>
      <c r="M3361" s="17" t="str">
        <f aca="false">VLOOKUP(L3361,Sheet2!D:E,2,0)</f>
        <v>Main Processor CPU BGA</v>
      </c>
      <c r="N3361" s="17" t="n">
        <v>1</v>
      </c>
      <c r="O3361" s="17" t="str">
        <f aca="false">VLOOKUP(N3361,Sheet2!G:H,2,0)</f>
        <v>Dead</v>
      </c>
      <c r="P3361" s="17" t="n">
        <v>11</v>
      </c>
      <c r="Q3361" s="17" t="str">
        <f aca="false">VLOOKUP(P3361,Sheet2!J:K,2,0)</f>
        <v>IR Declared due to CID -TA</v>
      </c>
      <c r="R3361" s="17" t="s">
        <v>35</v>
      </c>
      <c r="S3361" s="17" t="str">
        <f aca="false">VLOOKUP(R3361,Sheet2!N:O,2,0)</f>
        <v>IREPARABLE</v>
      </c>
      <c r="T3361" s="18" t="str">
        <f aca="false">VLOOKUP(P3361,Sheet2!Q:R,2,0)</f>
        <v>IR Normal - Track burn out</v>
      </c>
      <c r="U3361" s="20" t="s">
        <v>41</v>
      </c>
      <c r="V3361" s="17"/>
      <c r="W3361" s="20" t="e">
        <f aca="false">VLOOKUP(V3361,Sheet2!Q:R,2,0)</f>
        <v>#N/A</v>
      </c>
      <c r="X3361" s="17" t="n">
        <f aca="false">J3361</f>
        <v>0</v>
      </c>
      <c r="Y3361" s="17" t="e">
        <f aca="false">VLOOKUP(X3361,Sheet2!A:B,2,0)</f>
        <v>#N/A</v>
      </c>
      <c r="Z3361" s="17"/>
      <c r="AA3361" s="17"/>
      <c r="AB3361" s="17" t="s">
        <v>41</v>
      </c>
      <c r="AC3361" s="0" t="str">
        <f aca="false">LEFT(G3361,2)</f>
        <v/>
      </c>
      <c r="AE3361" s="0"/>
    </row>
    <row r="3362" customFormat="false" ht="15" hidden="false" customHeight="false" outlineLevel="0" collapsed="false">
      <c r="A3362" s="13" t="n">
        <f aca="false">1+A3361</f>
        <v>3360</v>
      </c>
      <c r="B3362" s="14" t="n">
        <v>100</v>
      </c>
      <c r="C3362" s="15"/>
      <c r="D3362" s="16" t="s">
        <v>64</v>
      </c>
      <c r="E3362" s="17" t="s">
        <v>47</v>
      </c>
      <c r="F3362" s="18" t="s">
        <v>34</v>
      </c>
      <c r="G3362" s="19"/>
      <c r="H3362" s="17" t="s">
        <v>35</v>
      </c>
      <c r="I3362" s="17" t="s">
        <v>44</v>
      </c>
      <c r="J3362" s="17"/>
      <c r="K3362" s="17" t="e">
        <f aca="false">VLOOKUP(J3362,Sheet2!A:B,2,0)</f>
        <v>#N/A</v>
      </c>
      <c r="L3362" s="17" t="n">
        <v>5</v>
      </c>
      <c r="M3362" s="17" t="str">
        <f aca="false">VLOOKUP(L3362,Sheet2!D:E,2,0)</f>
        <v>Main Processor CPU BGA</v>
      </c>
      <c r="N3362" s="17" t="n">
        <v>1</v>
      </c>
      <c r="O3362" s="17" t="str">
        <f aca="false">VLOOKUP(N3362,Sheet2!G:H,2,0)</f>
        <v>Dead</v>
      </c>
      <c r="P3362" s="17" t="n">
        <v>11</v>
      </c>
      <c r="Q3362" s="17" t="str">
        <f aca="false">VLOOKUP(P3362,Sheet2!J:K,2,0)</f>
        <v>IR Declared due to CID -TA</v>
      </c>
      <c r="R3362" s="17" t="s">
        <v>35</v>
      </c>
      <c r="S3362" s="17" t="str">
        <f aca="false">VLOOKUP(R3362,Sheet2!N:O,2,0)</f>
        <v>IREPARABLE</v>
      </c>
      <c r="T3362" s="18" t="str">
        <f aca="false">VLOOKUP(P3362,Sheet2!Q:R,2,0)</f>
        <v>IR Normal - Track burn out</v>
      </c>
      <c r="U3362" s="20" t="s">
        <v>41</v>
      </c>
      <c r="V3362" s="17"/>
      <c r="W3362" s="20" t="e">
        <f aca="false">VLOOKUP(V3362,Sheet2!Q:R,2,0)</f>
        <v>#N/A</v>
      </c>
      <c r="X3362" s="17" t="n">
        <f aca="false">J3362</f>
        <v>0</v>
      </c>
      <c r="Y3362" s="17" t="e">
        <f aca="false">VLOOKUP(X3362,Sheet2!A:B,2,0)</f>
        <v>#N/A</v>
      </c>
      <c r="Z3362" s="17"/>
      <c r="AA3362" s="17"/>
      <c r="AB3362" s="17" t="s">
        <v>41</v>
      </c>
      <c r="AC3362" s="0" t="str">
        <f aca="false">LEFT(G3362,2)</f>
        <v/>
      </c>
      <c r="AE3362" s="0"/>
    </row>
    <row r="3363" customFormat="false" ht="15" hidden="false" customHeight="false" outlineLevel="0" collapsed="false">
      <c r="A3363" s="13" t="n">
        <f aca="false">1+A3362</f>
        <v>3361</v>
      </c>
      <c r="B3363" s="14" t="n">
        <v>100</v>
      </c>
      <c r="C3363" s="15"/>
      <c r="D3363" s="16" t="s">
        <v>64</v>
      </c>
      <c r="E3363" s="17" t="s">
        <v>47</v>
      </c>
      <c r="F3363" s="18" t="s">
        <v>34</v>
      </c>
      <c r="G3363" s="19"/>
      <c r="H3363" s="17" t="s">
        <v>35</v>
      </c>
      <c r="I3363" s="17" t="s">
        <v>44</v>
      </c>
      <c r="J3363" s="17"/>
      <c r="K3363" s="17" t="e">
        <f aca="false">VLOOKUP(J3363,Sheet2!A:B,2,0)</f>
        <v>#N/A</v>
      </c>
      <c r="L3363" s="17" t="n">
        <v>5</v>
      </c>
      <c r="M3363" s="17" t="str">
        <f aca="false">VLOOKUP(L3363,Sheet2!D:E,2,0)</f>
        <v>Main Processor CPU BGA</v>
      </c>
      <c r="N3363" s="17" t="n">
        <v>1</v>
      </c>
      <c r="O3363" s="17" t="str">
        <f aca="false">VLOOKUP(N3363,Sheet2!G:H,2,0)</f>
        <v>Dead</v>
      </c>
      <c r="P3363" s="17" t="n">
        <v>11</v>
      </c>
      <c r="Q3363" s="17" t="str">
        <f aca="false">VLOOKUP(P3363,Sheet2!J:K,2,0)</f>
        <v>IR Declared due to CID -TA</v>
      </c>
      <c r="R3363" s="17" t="s">
        <v>35</v>
      </c>
      <c r="S3363" s="17" t="str">
        <f aca="false">VLOOKUP(R3363,Sheet2!N:O,2,0)</f>
        <v>IREPARABLE</v>
      </c>
      <c r="T3363" s="18" t="str">
        <f aca="false">VLOOKUP(P3363,Sheet2!Q:R,2,0)</f>
        <v>IR Normal - Track burn out</v>
      </c>
      <c r="U3363" s="20" t="s">
        <v>41</v>
      </c>
      <c r="V3363" s="17"/>
      <c r="W3363" s="20" t="e">
        <f aca="false">VLOOKUP(V3363,Sheet2!Q:R,2,0)</f>
        <v>#N/A</v>
      </c>
      <c r="X3363" s="17" t="n">
        <f aca="false">J3363</f>
        <v>0</v>
      </c>
      <c r="Y3363" s="17" t="e">
        <f aca="false">VLOOKUP(X3363,Sheet2!A:B,2,0)</f>
        <v>#N/A</v>
      </c>
      <c r="Z3363" s="17"/>
      <c r="AA3363" s="17"/>
      <c r="AB3363" s="17" t="s">
        <v>41</v>
      </c>
      <c r="AC3363" s="0" t="str">
        <f aca="false">LEFT(G3363,2)</f>
        <v/>
      </c>
      <c r="AE3363" s="0"/>
    </row>
    <row r="3364" customFormat="false" ht="15" hidden="false" customHeight="false" outlineLevel="0" collapsed="false">
      <c r="A3364" s="13" t="n">
        <f aca="false">1+A3363</f>
        <v>3362</v>
      </c>
      <c r="B3364" s="14" t="n">
        <v>100</v>
      </c>
      <c r="C3364" s="15"/>
      <c r="D3364" s="16" t="s">
        <v>64</v>
      </c>
      <c r="E3364" s="17" t="s">
        <v>47</v>
      </c>
      <c r="F3364" s="18" t="s">
        <v>34</v>
      </c>
      <c r="G3364" s="19"/>
      <c r="H3364" s="17" t="s">
        <v>35</v>
      </c>
      <c r="I3364" s="17" t="s">
        <v>44</v>
      </c>
      <c r="J3364" s="17"/>
      <c r="K3364" s="17" t="e">
        <f aca="false">VLOOKUP(J3364,Sheet2!A:B,2,0)</f>
        <v>#N/A</v>
      </c>
      <c r="L3364" s="17" t="n">
        <v>5</v>
      </c>
      <c r="M3364" s="17" t="str">
        <f aca="false">VLOOKUP(L3364,Sheet2!D:E,2,0)</f>
        <v>Main Processor CPU BGA</v>
      </c>
      <c r="N3364" s="17" t="n">
        <v>1</v>
      </c>
      <c r="O3364" s="17" t="str">
        <f aca="false">VLOOKUP(N3364,Sheet2!G:H,2,0)</f>
        <v>Dead</v>
      </c>
      <c r="P3364" s="17" t="n">
        <v>11</v>
      </c>
      <c r="Q3364" s="17" t="str">
        <f aca="false">VLOOKUP(P3364,Sheet2!J:K,2,0)</f>
        <v>IR Declared due to CID -TA</v>
      </c>
      <c r="R3364" s="17" t="s">
        <v>35</v>
      </c>
      <c r="S3364" s="17" t="str">
        <f aca="false">VLOOKUP(R3364,Sheet2!N:O,2,0)</f>
        <v>IREPARABLE</v>
      </c>
      <c r="T3364" s="18" t="str">
        <f aca="false">VLOOKUP(P3364,Sheet2!Q:R,2,0)</f>
        <v>IR Normal - Track burn out</v>
      </c>
      <c r="U3364" s="20" t="s">
        <v>41</v>
      </c>
      <c r="V3364" s="17"/>
      <c r="W3364" s="20" t="e">
        <f aca="false">VLOOKUP(V3364,Sheet2!Q:R,2,0)</f>
        <v>#N/A</v>
      </c>
      <c r="X3364" s="17" t="n">
        <f aca="false">J3364</f>
        <v>0</v>
      </c>
      <c r="Y3364" s="17" t="e">
        <f aca="false">VLOOKUP(X3364,Sheet2!A:B,2,0)</f>
        <v>#N/A</v>
      </c>
      <c r="Z3364" s="17"/>
      <c r="AA3364" s="17"/>
      <c r="AB3364" s="17" t="s">
        <v>41</v>
      </c>
      <c r="AC3364" s="0" t="str">
        <f aca="false">LEFT(G3364,2)</f>
        <v/>
      </c>
      <c r="AE3364" s="0"/>
    </row>
    <row r="3365" customFormat="false" ht="15" hidden="false" customHeight="false" outlineLevel="0" collapsed="false">
      <c r="A3365" s="13" t="n">
        <f aca="false">1+A3364</f>
        <v>3363</v>
      </c>
      <c r="B3365" s="14" t="n">
        <v>100</v>
      </c>
      <c r="C3365" s="15"/>
      <c r="D3365" s="16" t="s">
        <v>64</v>
      </c>
      <c r="E3365" s="17" t="s">
        <v>47</v>
      </c>
      <c r="F3365" s="18" t="s">
        <v>34</v>
      </c>
      <c r="G3365" s="19"/>
      <c r="H3365" s="17" t="s">
        <v>35</v>
      </c>
      <c r="I3365" s="17" t="s">
        <v>44</v>
      </c>
      <c r="J3365" s="17"/>
      <c r="K3365" s="17" t="e">
        <f aca="false">VLOOKUP(J3365,Sheet2!A:B,2,0)</f>
        <v>#N/A</v>
      </c>
      <c r="L3365" s="17" t="n">
        <v>5</v>
      </c>
      <c r="M3365" s="17" t="str">
        <f aca="false">VLOOKUP(L3365,Sheet2!D:E,2,0)</f>
        <v>Main Processor CPU BGA</v>
      </c>
      <c r="N3365" s="17" t="n">
        <v>1</v>
      </c>
      <c r="O3365" s="17" t="str">
        <f aca="false">VLOOKUP(N3365,Sheet2!G:H,2,0)</f>
        <v>Dead</v>
      </c>
      <c r="P3365" s="17" t="n">
        <v>11</v>
      </c>
      <c r="Q3365" s="17" t="str">
        <f aca="false">VLOOKUP(P3365,Sheet2!J:K,2,0)</f>
        <v>IR Declared due to CID -TA</v>
      </c>
      <c r="R3365" s="17" t="s">
        <v>35</v>
      </c>
      <c r="S3365" s="17" t="str">
        <f aca="false">VLOOKUP(R3365,Sheet2!N:O,2,0)</f>
        <v>IREPARABLE</v>
      </c>
      <c r="T3365" s="18" t="str">
        <f aca="false">VLOOKUP(P3365,Sheet2!Q:R,2,0)</f>
        <v>IR Normal - Track burn out</v>
      </c>
      <c r="U3365" s="20" t="s">
        <v>41</v>
      </c>
      <c r="V3365" s="17"/>
      <c r="W3365" s="20" t="e">
        <f aca="false">VLOOKUP(V3365,Sheet2!Q:R,2,0)</f>
        <v>#N/A</v>
      </c>
      <c r="X3365" s="17" t="n">
        <f aca="false">J3365</f>
        <v>0</v>
      </c>
      <c r="Y3365" s="17" t="e">
        <f aca="false">VLOOKUP(X3365,Sheet2!A:B,2,0)</f>
        <v>#N/A</v>
      </c>
      <c r="Z3365" s="17"/>
      <c r="AA3365" s="17"/>
      <c r="AB3365" s="17" t="s">
        <v>41</v>
      </c>
      <c r="AC3365" s="0" t="str">
        <f aca="false">LEFT(G3365,2)</f>
        <v/>
      </c>
      <c r="AE3365" s="0"/>
    </row>
    <row r="3366" customFormat="false" ht="15" hidden="false" customHeight="false" outlineLevel="0" collapsed="false">
      <c r="A3366" s="13" t="n">
        <f aca="false">1+A3365</f>
        <v>3364</v>
      </c>
      <c r="B3366" s="14" t="n">
        <v>100</v>
      </c>
      <c r="C3366" s="15"/>
      <c r="D3366" s="16" t="s">
        <v>64</v>
      </c>
      <c r="E3366" s="17" t="s">
        <v>47</v>
      </c>
      <c r="F3366" s="18" t="s">
        <v>34</v>
      </c>
      <c r="G3366" s="19"/>
      <c r="H3366" s="17" t="s">
        <v>35</v>
      </c>
      <c r="I3366" s="17" t="s">
        <v>44</v>
      </c>
      <c r="J3366" s="17"/>
      <c r="K3366" s="17" t="e">
        <f aca="false">VLOOKUP(J3366,Sheet2!A:B,2,0)</f>
        <v>#N/A</v>
      </c>
      <c r="L3366" s="17" t="n">
        <v>5</v>
      </c>
      <c r="M3366" s="17" t="str">
        <f aca="false">VLOOKUP(L3366,Sheet2!D:E,2,0)</f>
        <v>Main Processor CPU BGA</v>
      </c>
      <c r="N3366" s="17" t="n">
        <v>1</v>
      </c>
      <c r="O3366" s="17" t="str">
        <f aca="false">VLOOKUP(N3366,Sheet2!G:H,2,0)</f>
        <v>Dead</v>
      </c>
      <c r="P3366" s="17" t="n">
        <v>11</v>
      </c>
      <c r="Q3366" s="17" t="str">
        <f aca="false">VLOOKUP(P3366,Sheet2!J:K,2,0)</f>
        <v>IR Declared due to CID -TA</v>
      </c>
      <c r="R3366" s="17" t="s">
        <v>35</v>
      </c>
      <c r="S3366" s="17" t="str">
        <f aca="false">VLOOKUP(R3366,Sheet2!N:O,2,0)</f>
        <v>IREPARABLE</v>
      </c>
      <c r="T3366" s="18" t="str">
        <f aca="false">VLOOKUP(P3366,Sheet2!Q:R,2,0)</f>
        <v>IR Normal - Track burn out</v>
      </c>
      <c r="U3366" s="20" t="s">
        <v>41</v>
      </c>
      <c r="V3366" s="17"/>
      <c r="W3366" s="20" t="e">
        <f aca="false">VLOOKUP(V3366,Sheet2!Q:R,2,0)</f>
        <v>#N/A</v>
      </c>
      <c r="X3366" s="17" t="n">
        <f aca="false">J3366</f>
        <v>0</v>
      </c>
      <c r="Y3366" s="17" t="e">
        <f aca="false">VLOOKUP(X3366,Sheet2!A:B,2,0)</f>
        <v>#N/A</v>
      </c>
      <c r="Z3366" s="17"/>
      <c r="AA3366" s="17"/>
      <c r="AB3366" s="17" t="s">
        <v>41</v>
      </c>
      <c r="AC3366" s="0" t="str">
        <f aca="false">LEFT(G3366,2)</f>
        <v/>
      </c>
      <c r="AE3366" s="0"/>
    </row>
    <row r="3367" customFormat="false" ht="15" hidden="false" customHeight="false" outlineLevel="0" collapsed="false">
      <c r="A3367" s="13" t="n">
        <f aca="false">1+A3366</f>
        <v>3365</v>
      </c>
      <c r="B3367" s="14" t="n">
        <v>100</v>
      </c>
      <c r="C3367" s="15"/>
      <c r="D3367" s="16" t="s">
        <v>64</v>
      </c>
      <c r="E3367" s="17" t="s">
        <v>47</v>
      </c>
      <c r="F3367" s="18" t="s">
        <v>34</v>
      </c>
      <c r="G3367" s="19"/>
      <c r="H3367" s="17" t="s">
        <v>35</v>
      </c>
      <c r="I3367" s="17" t="s">
        <v>44</v>
      </c>
      <c r="J3367" s="17"/>
      <c r="K3367" s="17" t="e">
        <f aca="false">VLOOKUP(J3367,Sheet2!A:B,2,0)</f>
        <v>#N/A</v>
      </c>
      <c r="L3367" s="17" t="n">
        <v>5</v>
      </c>
      <c r="M3367" s="17" t="str">
        <f aca="false">VLOOKUP(L3367,Sheet2!D:E,2,0)</f>
        <v>Main Processor CPU BGA</v>
      </c>
      <c r="N3367" s="17" t="n">
        <v>1</v>
      </c>
      <c r="O3367" s="17" t="str">
        <f aca="false">VLOOKUP(N3367,Sheet2!G:H,2,0)</f>
        <v>Dead</v>
      </c>
      <c r="P3367" s="17" t="n">
        <v>11</v>
      </c>
      <c r="Q3367" s="17" t="str">
        <f aca="false">VLOOKUP(P3367,Sheet2!J:K,2,0)</f>
        <v>IR Declared due to CID -TA</v>
      </c>
      <c r="R3367" s="17" t="s">
        <v>35</v>
      </c>
      <c r="S3367" s="17" t="str">
        <f aca="false">VLOOKUP(R3367,Sheet2!N:O,2,0)</f>
        <v>IREPARABLE</v>
      </c>
      <c r="T3367" s="18" t="str">
        <f aca="false">VLOOKUP(P3367,Sheet2!Q:R,2,0)</f>
        <v>IR Normal - Track burn out</v>
      </c>
      <c r="U3367" s="20" t="s">
        <v>41</v>
      </c>
      <c r="V3367" s="17"/>
      <c r="W3367" s="20" t="e">
        <f aca="false">VLOOKUP(V3367,Sheet2!Q:R,2,0)</f>
        <v>#N/A</v>
      </c>
      <c r="X3367" s="17" t="n">
        <f aca="false">J3367</f>
        <v>0</v>
      </c>
      <c r="Y3367" s="17" t="e">
        <f aca="false">VLOOKUP(X3367,Sheet2!A:B,2,0)</f>
        <v>#N/A</v>
      </c>
      <c r="Z3367" s="17"/>
      <c r="AA3367" s="17"/>
      <c r="AB3367" s="17" t="s">
        <v>41</v>
      </c>
      <c r="AC3367" s="0" t="str">
        <f aca="false">LEFT(G3367,2)</f>
        <v/>
      </c>
      <c r="AE3367" s="0"/>
    </row>
    <row r="3368" customFormat="false" ht="15" hidden="false" customHeight="false" outlineLevel="0" collapsed="false">
      <c r="A3368" s="13" t="n">
        <f aca="false">1+A3367</f>
        <v>3366</v>
      </c>
      <c r="B3368" s="14" t="n">
        <v>100</v>
      </c>
      <c r="C3368" s="15"/>
      <c r="D3368" s="16" t="s">
        <v>64</v>
      </c>
      <c r="E3368" s="17" t="s">
        <v>47</v>
      </c>
      <c r="F3368" s="18" t="s">
        <v>34</v>
      </c>
      <c r="G3368" s="19"/>
      <c r="H3368" s="17" t="s">
        <v>35</v>
      </c>
      <c r="I3368" s="17" t="s">
        <v>44</v>
      </c>
      <c r="J3368" s="17"/>
      <c r="K3368" s="17" t="e">
        <f aca="false">VLOOKUP(J3368,Sheet2!A:B,2,0)</f>
        <v>#N/A</v>
      </c>
      <c r="L3368" s="17" t="n">
        <v>5</v>
      </c>
      <c r="M3368" s="17" t="str">
        <f aca="false">VLOOKUP(L3368,Sheet2!D:E,2,0)</f>
        <v>Main Processor CPU BGA</v>
      </c>
      <c r="N3368" s="17" t="n">
        <v>1</v>
      </c>
      <c r="O3368" s="17" t="str">
        <f aca="false">VLOOKUP(N3368,Sheet2!G:H,2,0)</f>
        <v>Dead</v>
      </c>
      <c r="P3368" s="17" t="n">
        <v>11</v>
      </c>
      <c r="Q3368" s="17" t="str">
        <f aca="false">VLOOKUP(P3368,Sheet2!J:K,2,0)</f>
        <v>IR Declared due to CID -TA</v>
      </c>
      <c r="R3368" s="17" t="s">
        <v>35</v>
      </c>
      <c r="S3368" s="17" t="str">
        <f aca="false">VLOOKUP(R3368,Sheet2!N:O,2,0)</f>
        <v>IREPARABLE</v>
      </c>
      <c r="T3368" s="18" t="str">
        <f aca="false">VLOOKUP(P3368,Sheet2!Q:R,2,0)</f>
        <v>IR Normal - Track burn out</v>
      </c>
      <c r="U3368" s="20" t="s">
        <v>41</v>
      </c>
      <c r="V3368" s="17"/>
      <c r="W3368" s="20" t="e">
        <f aca="false">VLOOKUP(V3368,Sheet2!Q:R,2,0)</f>
        <v>#N/A</v>
      </c>
      <c r="X3368" s="17" t="n">
        <f aca="false">J3368</f>
        <v>0</v>
      </c>
      <c r="Y3368" s="17" t="e">
        <f aca="false">VLOOKUP(X3368,Sheet2!A:B,2,0)</f>
        <v>#N/A</v>
      </c>
      <c r="Z3368" s="17"/>
      <c r="AA3368" s="17"/>
      <c r="AB3368" s="17" t="s">
        <v>41</v>
      </c>
      <c r="AC3368" s="0" t="str">
        <f aca="false">LEFT(G3368,2)</f>
        <v/>
      </c>
      <c r="AE3368" s="0"/>
    </row>
    <row r="3369" customFormat="false" ht="15" hidden="false" customHeight="false" outlineLevel="0" collapsed="false">
      <c r="A3369" s="13" t="n">
        <f aca="false">1+A3368</f>
        <v>3367</v>
      </c>
      <c r="B3369" s="14" t="n">
        <v>100</v>
      </c>
      <c r="C3369" s="15"/>
      <c r="D3369" s="16" t="s">
        <v>64</v>
      </c>
      <c r="E3369" s="17" t="s">
        <v>47</v>
      </c>
      <c r="F3369" s="18" t="s">
        <v>34</v>
      </c>
      <c r="G3369" s="19"/>
      <c r="H3369" s="17" t="s">
        <v>35</v>
      </c>
      <c r="I3369" s="17" t="s">
        <v>44</v>
      </c>
      <c r="J3369" s="17"/>
      <c r="K3369" s="17" t="e">
        <f aca="false">VLOOKUP(J3369,Sheet2!A:B,2,0)</f>
        <v>#N/A</v>
      </c>
      <c r="L3369" s="17" t="n">
        <v>5</v>
      </c>
      <c r="M3369" s="17" t="str">
        <f aca="false">VLOOKUP(L3369,Sheet2!D:E,2,0)</f>
        <v>Main Processor CPU BGA</v>
      </c>
      <c r="N3369" s="17" t="n">
        <v>1</v>
      </c>
      <c r="O3369" s="17" t="str">
        <f aca="false">VLOOKUP(N3369,Sheet2!G:H,2,0)</f>
        <v>Dead</v>
      </c>
      <c r="P3369" s="17" t="n">
        <v>11</v>
      </c>
      <c r="Q3369" s="17" t="str">
        <f aca="false">VLOOKUP(P3369,Sheet2!J:K,2,0)</f>
        <v>IR Declared due to CID -TA</v>
      </c>
      <c r="R3369" s="17" t="s">
        <v>35</v>
      </c>
      <c r="S3369" s="17" t="str">
        <f aca="false">VLOOKUP(R3369,Sheet2!N:O,2,0)</f>
        <v>IREPARABLE</v>
      </c>
      <c r="T3369" s="18" t="str">
        <f aca="false">VLOOKUP(P3369,Sheet2!Q:R,2,0)</f>
        <v>IR Normal - Track burn out</v>
      </c>
      <c r="U3369" s="20" t="s">
        <v>41</v>
      </c>
      <c r="V3369" s="17"/>
      <c r="W3369" s="20" t="e">
        <f aca="false">VLOOKUP(V3369,Sheet2!Q:R,2,0)</f>
        <v>#N/A</v>
      </c>
      <c r="X3369" s="17" t="n">
        <f aca="false">J3369</f>
        <v>0</v>
      </c>
      <c r="Y3369" s="17" t="e">
        <f aca="false">VLOOKUP(X3369,Sheet2!A:B,2,0)</f>
        <v>#N/A</v>
      </c>
      <c r="Z3369" s="17"/>
      <c r="AA3369" s="17"/>
      <c r="AB3369" s="17" t="s">
        <v>41</v>
      </c>
      <c r="AC3369" s="0" t="str">
        <f aca="false">LEFT(G3369,2)</f>
        <v/>
      </c>
      <c r="AE3369" s="0"/>
    </row>
    <row r="3370" customFormat="false" ht="15" hidden="false" customHeight="false" outlineLevel="0" collapsed="false">
      <c r="A3370" s="13" t="n">
        <f aca="false">1+A3369</f>
        <v>3368</v>
      </c>
      <c r="B3370" s="14" t="n">
        <v>100</v>
      </c>
      <c r="C3370" s="15"/>
      <c r="D3370" s="16" t="s">
        <v>64</v>
      </c>
      <c r="E3370" s="17" t="s">
        <v>47</v>
      </c>
      <c r="F3370" s="18" t="s">
        <v>34</v>
      </c>
      <c r="G3370" s="19"/>
      <c r="H3370" s="17" t="s">
        <v>35</v>
      </c>
      <c r="I3370" s="17" t="s">
        <v>44</v>
      </c>
      <c r="J3370" s="17"/>
      <c r="K3370" s="17" t="e">
        <f aca="false">VLOOKUP(J3370,Sheet2!A:B,2,0)</f>
        <v>#N/A</v>
      </c>
      <c r="L3370" s="17" t="n">
        <v>5</v>
      </c>
      <c r="M3370" s="17" t="str">
        <f aca="false">VLOOKUP(L3370,Sheet2!D:E,2,0)</f>
        <v>Main Processor CPU BGA</v>
      </c>
      <c r="N3370" s="17" t="n">
        <v>1</v>
      </c>
      <c r="O3370" s="17" t="str">
        <f aca="false">VLOOKUP(N3370,Sheet2!G:H,2,0)</f>
        <v>Dead</v>
      </c>
      <c r="P3370" s="17" t="n">
        <v>11</v>
      </c>
      <c r="Q3370" s="17" t="str">
        <f aca="false">VLOOKUP(P3370,Sheet2!J:K,2,0)</f>
        <v>IR Declared due to CID -TA</v>
      </c>
      <c r="R3370" s="17" t="s">
        <v>35</v>
      </c>
      <c r="S3370" s="17" t="str">
        <f aca="false">VLOOKUP(R3370,Sheet2!N:O,2,0)</f>
        <v>IREPARABLE</v>
      </c>
      <c r="T3370" s="18" t="str">
        <f aca="false">VLOOKUP(P3370,Sheet2!Q:R,2,0)</f>
        <v>IR Normal - Track burn out</v>
      </c>
      <c r="U3370" s="20" t="s">
        <v>41</v>
      </c>
      <c r="V3370" s="17"/>
      <c r="W3370" s="20" t="e">
        <f aca="false">VLOOKUP(V3370,Sheet2!Q:R,2,0)</f>
        <v>#N/A</v>
      </c>
      <c r="X3370" s="17" t="n">
        <f aca="false">J3370</f>
        <v>0</v>
      </c>
      <c r="Y3370" s="17" t="e">
        <f aca="false">VLOOKUP(X3370,Sheet2!A:B,2,0)</f>
        <v>#N/A</v>
      </c>
      <c r="Z3370" s="17"/>
      <c r="AA3370" s="17"/>
      <c r="AB3370" s="17" t="s">
        <v>41</v>
      </c>
      <c r="AC3370" s="0" t="str">
        <f aca="false">LEFT(G3370,2)</f>
        <v/>
      </c>
      <c r="AE3370" s="0"/>
    </row>
    <row r="3371" customFormat="false" ht="15" hidden="false" customHeight="false" outlineLevel="0" collapsed="false">
      <c r="A3371" s="13" t="n">
        <f aca="false">1+A3370</f>
        <v>3369</v>
      </c>
      <c r="B3371" s="14" t="n">
        <v>100</v>
      </c>
      <c r="C3371" s="15"/>
      <c r="D3371" s="16" t="s">
        <v>64</v>
      </c>
      <c r="E3371" s="17" t="s">
        <v>47</v>
      </c>
      <c r="F3371" s="18" t="s">
        <v>34</v>
      </c>
      <c r="G3371" s="19"/>
      <c r="H3371" s="17" t="s">
        <v>35</v>
      </c>
      <c r="I3371" s="17" t="s">
        <v>44</v>
      </c>
      <c r="J3371" s="17"/>
      <c r="K3371" s="17" t="e">
        <f aca="false">VLOOKUP(J3371,Sheet2!A:B,2,0)</f>
        <v>#N/A</v>
      </c>
      <c r="L3371" s="17" t="n">
        <v>5</v>
      </c>
      <c r="M3371" s="17" t="str">
        <f aca="false">VLOOKUP(L3371,Sheet2!D:E,2,0)</f>
        <v>Main Processor CPU BGA</v>
      </c>
      <c r="N3371" s="17" t="n">
        <v>1</v>
      </c>
      <c r="O3371" s="17" t="str">
        <f aca="false">VLOOKUP(N3371,Sheet2!G:H,2,0)</f>
        <v>Dead</v>
      </c>
      <c r="P3371" s="17" t="n">
        <v>11</v>
      </c>
      <c r="Q3371" s="17" t="str">
        <f aca="false">VLOOKUP(P3371,Sheet2!J:K,2,0)</f>
        <v>IR Declared due to CID -TA</v>
      </c>
      <c r="R3371" s="17" t="s">
        <v>35</v>
      </c>
      <c r="S3371" s="17" t="str">
        <f aca="false">VLOOKUP(R3371,Sheet2!N:O,2,0)</f>
        <v>IREPARABLE</v>
      </c>
      <c r="T3371" s="18" t="str">
        <f aca="false">VLOOKUP(P3371,Sheet2!Q:R,2,0)</f>
        <v>IR Normal - Track burn out</v>
      </c>
      <c r="U3371" s="20" t="s">
        <v>41</v>
      </c>
      <c r="V3371" s="17"/>
      <c r="W3371" s="20" t="e">
        <f aca="false">VLOOKUP(V3371,Sheet2!Q:R,2,0)</f>
        <v>#N/A</v>
      </c>
      <c r="X3371" s="17" t="n">
        <f aca="false">J3371</f>
        <v>0</v>
      </c>
      <c r="Y3371" s="17" t="e">
        <f aca="false">VLOOKUP(X3371,Sheet2!A:B,2,0)</f>
        <v>#N/A</v>
      </c>
      <c r="Z3371" s="17"/>
      <c r="AA3371" s="17"/>
      <c r="AB3371" s="17" t="s">
        <v>41</v>
      </c>
      <c r="AC3371" s="0" t="str">
        <f aca="false">LEFT(G3371,2)</f>
        <v/>
      </c>
      <c r="AE3371" s="0"/>
    </row>
    <row r="3372" customFormat="false" ht="15" hidden="false" customHeight="false" outlineLevel="0" collapsed="false">
      <c r="A3372" s="13" t="n">
        <f aca="false">1+A3371</f>
        <v>3370</v>
      </c>
      <c r="B3372" s="14" t="n">
        <v>100</v>
      </c>
      <c r="C3372" s="15"/>
      <c r="D3372" s="16" t="s">
        <v>64</v>
      </c>
      <c r="E3372" s="17" t="s">
        <v>47</v>
      </c>
      <c r="F3372" s="18" t="s">
        <v>34</v>
      </c>
      <c r="G3372" s="19"/>
      <c r="H3372" s="17" t="s">
        <v>35</v>
      </c>
      <c r="I3372" s="17" t="s">
        <v>44</v>
      </c>
      <c r="J3372" s="17"/>
      <c r="K3372" s="17" t="e">
        <f aca="false">VLOOKUP(J3372,Sheet2!A:B,2,0)</f>
        <v>#N/A</v>
      </c>
      <c r="L3372" s="17" t="n">
        <v>5</v>
      </c>
      <c r="M3372" s="17" t="str">
        <f aca="false">VLOOKUP(L3372,Sheet2!D:E,2,0)</f>
        <v>Main Processor CPU BGA</v>
      </c>
      <c r="N3372" s="17" t="n">
        <v>1</v>
      </c>
      <c r="O3372" s="17" t="str">
        <f aca="false">VLOOKUP(N3372,Sheet2!G:H,2,0)</f>
        <v>Dead</v>
      </c>
      <c r="P3372" s="17" t="n">
        <v>11</v>
      </c>
      <c r="Q3372" s="17" t="str">
        <f aca="false">VLOOKUP(P3372,Sheet2!J:K,2,0)</f>
        <v>IR Declared due to CID -TA</v>
      </c>
      <c r="R3372" s="17" t="s">
        <v>35</v>
      </c>
      <c r="S3372" s="17" t="str">
        <f aca="false">VLOOKUP(R3372,Sheet2!N:O,2,0)</f>
        <v>IREPARABLE</v>
      </c>
      <c r="T3372" s="18" t="str">
        <f aca="false">VLOOKUP(P3372,Sheet2!Q:R,2,0)</f>
        <v>IR Normal - Track burn out</v>
      </c>
      <c r="U3372" s="20" t="s">
        <v>41</v>
      </c>
      <c r="V3372" s="17"/>
      <c r="W3372" s="20" t="e">
        <f aca="false">VLOOKUP(V3372,Sheet2!Q:R,2,0)</f>
        <v>#N/A</v>
      </c>
      <c r="X3372" s="17" t="n">
        <f aca="false">J3372</f>
        <v>0</v>
      </c>
      <c r="Y3372" s="17" t="e">
        <f aca="false">VLOOKUP(X3372,Sheet2!A:B,2,0)</f>
        <v>#N/A</v>
      </c>
      <c r="Z3372" s="17"/>
      <c r="AA3372" s="17"/>
      <c r="AB3372" s="17" t="s">
        <v>41</v>
      </c>
      <c r="AC3372" s="0" t="str">
        <f aca="false">LEFT(G3372,2)</f>
        <v/>
      </c>
      <c r="AE3372" s="0"/>
    </row>
    <row r="3373" customFormat="false" ht="15" hidden="false" customHeight="false" outlineLevel="0" collapsed="false">
      <c r="A3373" s="13" t="n">
        <f aca="false">1+A3372</f>
        <v>3371</v>
      </c>
      <c r="B3373" s="14" t="n">
        <v>100</v>
      </c>
      <c r="C3373" s="15"/>
      <c r="D3373" s="16" t="s">
        <v>64</v>
      </c>
      <c r="E3373" s="17" t="s">
        <v>47</v>
      </c>
      <c r="F3373" s="18" t="s">
        <v>34</v>
      </c>
      <c r="G3373" s="19"/>
      <c r="H3373" s="17" t="s">
        <v>35</v>
      </c>
      <c r="I3373" s="17" t="s">
        <v>44</v>
      </c>
      <c r="J3373" s="17"/>
      <c r="K3373" s="17" t="e">
        <f aca="false">VLOOKUP(J3373,Sheet2!A:B,2,0)</f>
        <v>#N/A</v>
      </c>
      <c r="L3373" s="17" t="n">
        <v>5</v>
      </c>
      <c r="M3373" s="17" t="str">
        <f aca="false">VLOOKUP(L3373,Sheet2!D:E,2,0)</f>
        <v>Main Processor CPU BGA</v>
      </c>
      <c r="N3373" s="17" t="n">
        <v>1</v>
      </c>
      <c r="O3373" s="17" t="str">
        <f aca="false">VLOOKUP(N3373,Sheet2!G:H,2,0)</f>
        <v>Dead</v>
      </c>
      <c r="P3373" s="17" t="n">
        <v>11</v>
      </c>
      <c r="Q3373" s="17" t="str">
        <f aca="false">VLOOKUP(P3373,Sheet2!J:K,2,0)</f>
        <v>IR Declared due to CID -TA</v>
      </c>
      <c r="R3373" s="17" t="s">
        <v>35</v>
      </c>
      <c r="S3373" s="17" t="str">
        <f aca="false">VLOOKUP(R3373,Sheet2!N:O,2,0)</f>
        <v>IREPARABLE</v>
      </c>
      <c r="T3373" s="18" t="str">
        <f aca="false">VLOOKUP(P3373,Sheet2!Q:R,2,0)</f>
        <v>IR Normal - Track burn out</v>
      </c>
      <c r="U3373" s="20" t="s">
        <v>41</v>
      </c>
      <c r="V3373" s="17"/>
      <c r="W3373" s="20" t="e">
        <f aca="false">VLOOKUP(V3373,Sheet2!Q:R,2,0)</f>
        <v>#N/A</v>
      </c>
      <c r="X3373" s="17" t="n">
        <f aca="false">J3373</f>
        <v>0</v>
      </c>
      <c r="Y3373" s="17" t="e">
        <f aca="false">VLOOKUP(X3373,Sheet2!A:B,2,0)</f>
        <v>#N/A</v>
      </c>
      <c r="Z3373" s="17"/>
      <c r="AA3373" s="17"/>
      <c r="AB3373" s="17" t="s">
        <v>41</v>
      </c>
      <c r="AC3373" s="0" t="str">
        <f aca="false">LEFT(G3373,2)</f>
        <v/>
      </c>
      <c r="AE3373" s="0"/>
    </row>
    <row r="3374" customFormat="false" ht="15" hidden="false" customHeight="false" outlineLevel="0" collapsed="false">
      <c r="A3374" s="13" t="n">
        <f aca="false">1+A3373</f>
        <v>3372</v>
      </c>
      <c r="B3374" s="14" t="n">
        <v>100</v>
      </c>
      <c r="C3374" s="15"/>
      <c r="D3374" s="16" t="s">
        <v>64</v>
      </c>
      <c r="E3374" s="17" t="s">
        <v>47</v>
      </c>
      <c r="F3374" s="18" t="s">
        <v>34</v>
      </c>
      <c r="G3374" s="19"/>
      <c r="H3374" s="17" t="s">
        <v>35</v>
      </c>
      <c r="I3374" s="17" t="s">
        <v>44</v>
      </c>
      <c r="J3374" s="17"/>
      <c r="K3374" s="17" t="e">
        <f aca="false">VLOOKUP(J3374,Sheet2!A:B,2,0)</f>
        <v>#N/A</v>
      </c>
      <c r="L3374" s="17" t="n">
        <v>5</v>
      </c>
      <c r="M3374" s="17" t="str">
        <f aca="false">VLOOKUP(L3374,Sheet2!D:E,2,0)</f>
        <v>Main Processor CPU BGA</v>
      </c>
      <c r="N3374" s="17" t="n">
        <v>1</v>
      </c>
      <c r="O3374" s="17" t="str">
        <f aca="false">VLOOKUP(N3374,Sheet2!G:H,2,0)</f>
        <v>Dead</v>
      </c>
      <c r="P3374" s="17" t="n">
        <v>11</v>
      </c>
      <c r="Q3374" s="17" t="str">
        <f aca="false">VLOOKUP(P3374,Sheet2!J:K,2,0)</f>
        <v>IR Declared due to CID -TA</v>
      </c>
      <c r="R3374" s="17" t="s">
        <v>35</v>
      </c>
      <c r="S3374" s="17" t="str">
        <f aca="false">VLOOKUP(R3374,Sheet2!N:O,2,0)</f>
        <v>IREPARABLE</v>
      </c>
      <c r="T3374" s="18" t="str">
        <f aca="false">VLOOKUP(P3374,Sheet2!Q:R,2,0)</f>
        <v>IR Normal - Track burn out</v>
      </c>
      <c r="U3374" s="20" t="s">
        <v>41</v>
      </c>
      <c r="V3374" s="17"/>
      <c r="W3374" s="20" t="e">
        <f aca="false">VLOOKUP(V3374,Sheet2!Q:R,2,0)</f>
        <v>#N/A</v>
      </c>
      <c r="X3374" s="17" t="n">
        <f aca="false">J3374</f>
        <v>0</v>
      </c>
      <c r="Y3374" s="17" t="e">
        <f aca="false">VLOOKUP(X3374,Sheet2!A:B,2,0)</f>
        <v>#N/A</v>
      </c>
      <c r="Z3374" s="17"/>
      <c r="AA3374" s="17"/>
      <c r="AB3374" s="17" t="s">
        <v>41</v>
      </c>
      <c r="AC3374" s="0" t="str">
        <f aca="false">LEFT(G3374,2)</f>
        <v/>
      </c>
      <c r="AE3374" s="0"/>
    </row>
    <row r="3375" customFormat="false" ht="15" hidden="false" customHeight="false" outlineLevel="0" collapsed="false">
      <c r="A3375" s="13" t="n">
        <f aca="false">1+A3374</f>
        <v>3373</v>
      </c>
      <c r="B3375" s="14" t="n">
        <v>100</v>
      </c>
      <c r="C3375" s="15"/>
      <c r="D3375" s="16" t="s">
        <v>64</v>
      </c>
      <c r="E3375" s="17" t="s">
        <v>47</v>
      </c>
      <c r="F3375" s="18" t="s">
        <v>34</v>
      </c>
      <c r="G3375" s="19"/>
      <c r="H3375" s="17" t="s">
        <v>35</v>
      </c>
      <c r="I3375" s="17" t="s">
        <v>44</v>
      </c>
      <c r="J3375" s="17"/>
      <c r="K3375" s="17" t="e">
        <f aca="false">VLOOKUP(J3375,Sheet2!A:B,2,0)</f>
        <v>#N/A</v>
      </c>
      <c r="L3375" s="17" t="n">
        <v>5</v>
      </c>
      <c r="M3375" s="17" t="str">
        <f aca="false">VLOOKUP(L3375,Sheet2!D:E,2,0)</f>
        <v>Main Processor CPU BGA</v>
      </c>
      <c r="N3375" s="17" t="n">
        <v>1</v>
      </c>
      <c r="O3375" s="17" t="str">
        <f aca="false">VLOOKUP(N3375,Sheet2!G:H,2,0)</f>
        <v>Dead</v>
      </c>
      <c r="P3375" s="17" t="n">
        <v>11</v>
      </c>
      <c r="Q3375" s="17" t="str">
        <f aca="false">VLOOKUP(P3375,Sheet2!J:K,2,0)</f>
        <v>IR Declared due to CID -TA</v>
      </c>
      <c r="R3375" s="17" t="s">
        <v>35</v>
      </c>
      <c r="S3375" s="17" t="str">
        <f aca="false">VLOOKUP(R3375,Sheet2!N:O,2,0)</f>
        <v>IREPARABLE</v>
      </c>
      <c r="T3375" s="18" t="str">
        <f aca="false">VLOOKUP(P3375,Sheet2!Q:R,2,0)</f>
        <v>IR Normal - Track burn out</v>
      </c>
      <c r="U3375" s="20" t="s">
        <v>41</v>
      </c>
      <c r="V3375" s="17"/>
      <c r="W3375" s="20" t="e">
        <f aca="false">VLOOKUP(V3375,Sheet2!Q:R,2,0)</f>
        <v>#N/A</v>
      </c>
      <c r="X3375" s="17" t="n">
        <f aca="false">J3375</f>
        <v>0</v>
      </c>
      <c r="Y3375" s="17" t="e">
        <f aca="false">VLOOKUP(X3375,Sheet2!A:B,2,0)</f>
        <v>#N/A</v>
      </c>
      <c r="Z3375" s="17"/>
      <c r="AA3375" s="17"/>
      <c r="AB3375" s="17" t="s">
        <v>41</v>
      </c>
      <c r="AC3375" s="0" t="str">
        <f aca="false">LEFT(G3375,2)</f>
        <v/>
      </c>
      <c r="AE3375" s="0"/>
    </row>
    <row r="3376" customFormat="false" ht="15" hidden="false" customHeight="false" outlineLevel="0" collapsed="false">
      <c r="A3376" s="13" t="n">
        <f aca="false">1+A3375</f>
        <v>3374</v>
      </c>
      <c r="B3376" s="14" t="n">
        <v>100</v>
      </c>
      <c r="C3376" s="15"/>
      <c r="D3376" s="16" t="s">
        <v>64</v>
      </c>
      <c r="E3376" s="17" t="s">
        <v>47</v>
      </c>
      <c r="F3376" s="18" t="s">
        <v>34</v>
      </c>
      <c r="G3376" s="19"/>
      <c r="H3376" s="17" t="s">
        <v>35</v>
      </c>
      <c r="I3376" s="17" t="s">
        <v>44</v>
      </c>
      <c r="J3376" s="17"/>
      <c r="K3376" s="17" t="e">
        <f aca="false">VLOOKUP(J3376,Sheet2!A:B,2,0)</f>
        <v>#N/A</v>
      </c>
      <c r="L3376" s="17" t="n">
        <v>5</v>
      </c>
      <c r="M3376" s="17" t="str">
        <f aca="false">VLOOKUP(L3376,Sheet2!D:E,2,0)</f>
        <v>Main Processor CPU BGA</v>
      </c>
      <c r="N3376" s="17" t="n">
        <v>1</v>
      </c>
      <c r="O3376" s="17" t="str">
        <f aca="false">VLOOKUP(N3376,Sheet2!G:H,2,0)</f>
        <v>Dead</v>
      </c>
      <c r="P3376" s="17" t="n">
        <v>11</v>
      </c>
      <c r="Q3376" s="17" t="str">
        <f aca="false">VLOOKUP(P3376,Sheet2!J:K,2,0)</f>
        <v>IR Declared due to CID -TA</v>
      </c>
      <c r="R3376" s="17" t="s">
        <v>35</v>
      </c>
      <c r="S3376" s="17" t="str">
        <f aca="false">VLOOKUP(R3376,Sheet2!N:O,2,0)</f>
        <v>IREPARABLE</v>
      </c>
      <c r="T3376" s="18" t="str">
        <f aca="false">VLOOKUP(P3376,Sheet2!Q:R,2,0)</f>
        <v>IR Normal - Track burn out</v>
      </c>
      <c r="U3376" s="20" t="s">
        <v>41</v>
      </c>
      <c r="V3376" s="17"/>
      <c r="W3376" s="20" t="e">
        <f aca="false">VLOOKUP(V3376,Sheet2!Q:R,2,0)</f>
        <v>#N/A</v>
      </c>
      <c r="X3376" s="17" t="n">
        <f aca="false">J3376</f>
        <v>0</v>
      </c>
      <c r="Y3376" s="17" t="e">
        <f aca="false">VLOOKUP(X3376,Sheet2!A:B,2,0)</f>
        <v>#N/A</v>
      </c>
      <c r="Z3376" s="17"/>
      <c r="AA3376" s="17"/>
      <c r="AB3376" s="17" t="s">
        <v>41</v>
      </c>
      <c r="AC3376" s="0" t="str">
        <f aca="false">LEFT(G3376,2)</f>
        <v/>
      </c>
      <c r="AE3376" s="0"/>
    </row>
    <row r="3377" customFormat="false" ht="15" hidden="false" customHeight="false" outlineLevel="0" collapsed="false">
      <c r="A3377" s="13" t="n">
        <f aca="false">1+A3376</f>
        <v>3375</v>
      </c>
      <c r="B3377" s="14" t="n">
        <v>100</v>
      </c>
      <c r="C3377" s="15"/>
      <c r="D3377" s="16" t="s">
        <v>64</v>
      </c>
      <c r="E3377" s="17" t="s">
        <v>47</v>
      </c>
      <c r="F3377" s="18" t="s">
        <v>34</v>
      </c>
      <c r="G3377" s="19"/>
      <c r="H3377" s="17" t="s">
        <v>35</v>
      </c>
      <c r="I3377" s="17" t="s">
        <v>44</v>
      </c>
      <c r="J3377" s="17"/>
      <c r="K3377" s="17" t="e">
        <f aca="false">VLOOKUP(J3377,Sheet2!A:B,2,0)</f>
        <v>#N/A</v>
      </c>
      <c r="L3377" s="17" t="n">
        <v>5</v>
      </c>
      <c r="M3377" s="17" t="str">
        <f aca="false">VLOOKUP(L3377,Sheet2!D:E,2,0)</f>
        <v>Main Processor CPU BGA</v>
      </c>
      <c r="N3377" s="17" t="n">
        <v>1</v>
      </c>
      <c r="O3377" s="17" t="str">
        <f aca="false">VLOOKUP(N3377,Sheet2!G:H,2,0)</f>
        <v>Dead</v>
      </c>
      <c r="P3377" s="17" t="n">
        <v>11</v>
      </c>
      <c r="Q3377" s="17" t="str">
        <f aca="false">VLOOKUP(P3377,Sheet2!J:K,2,0)</f>
        <v>IR Declared due to CID -TA</v>
      </c>
      <c r="R3377" s="17" t="s">
        <v>35</v>
      </c>
      <c r="S3377" s="17" t="str">
        <f aca="false">VLOOKUP(R3377,Sheet2!N:O,2,0)</f>
        <v>IREPARABLE</v>
      </c>
      <c r="T3377" s="18" t="str">
        <f aca="false">VLOOKUP(P3377,Sheet2!Q:R,2,0)</f>
        <v>IR Normal - Track burn out</v>
      </c>
      <c r="U3377" s="20" t="s">
        <v>41</v>
      </c>
      <c r="V3377" s="17"/>
      <c r="W3377" s="20" t="e">
        <f aca="false">VLOOKUP(V3377,Sheet2!Q:R,2,0)</f>
        <v>#N/A</v>
      </c>
      <c r="X3377" s="17" t="n">
        <f aca="false">J3377</f>
        <v>0</v>
      </c>
      <c r="Y3377" s="17" t="e">
        <f aca="false">VLOOKUP(X3377,Sheet2!A:B,2,0)</f>
        <v>#N/A</v>
      </c>
      <c r="Z3377" s="17"/>
      <c r="AA3377" s="17"/>
      <c r="AB3377" s="17" t="s">
        <v>41</v>
      </c>
      <c r="AC3377" s="0" t="str">
        <f aca="false">LEFT(G3377,2)</f>
        <v/>
      </c>
      <c r="AE3377" s="0"/>
    </row>
    <row r="3378" customFormat="false" ht="15" hidden="false" customHeight="false" outlineLevel="0" collapsed="false">
      <c r="A3378" s="13" t="n">
        <f aca="false">1+A3377</f>
        <v>3376</v>
      </c>
      <c r="B3378" s="14" t="n">
        <v>100</v>
      </c>
      <c r="C3378" s="15"/>
      <c r="D3378" s="16" t="s">
        <v>64</v>
      </c>
      <c r="E3378" s="17" t="s">
        <v>47</v>
      </c>
      <c r="F3378" s="18" t="s">
        <v>34</v>
      </c>
      <c r="G3378" s="19"/>
      <c r="H3378" s="17" t="s">
        <v>35</v>
      </c>
      <c r="I3378" s="17" t="s">
        <v>44</v>
      </c>
      <c r="J3378" s="17"/>
      <c r="K3378" s="17" t="e">
        <f aca="false">VLOOKUP(J3378,Sheet2!A:B,2,0)</f>
        <v>#N/A</v>
      </c>
      <c r="L3378" s="17" t="n">
        <v>5</v>
      </c>
      <c r="M3378" s="17" t="str">
        <f aca="false">VLOOKUP(L3378,Sheet2!D:E,2,0)</f>
        <v>Main Processor CPU BGA</v>
      </c>
      <c r="N3378" s="17" t="n">
        <v>1</v>
      </c>
      <c r="O3378" s="17" t="str">
        <f aca="false">VLOOKUP(N3378,Sheet2!G:H,2,0)</f>
        <v>Dead</v>
      </c>
      <c r="P3378" s="17" t="n">
        <v>11</v>
      </c>
      <c r="Q3378" s="17" t="str">
        <f aca="false">VLOOKUP(P3378,Sheet2!J:K,2,0)</f>
        <v>IR Declared due to CID -TA</v>
      </c>
      <c r="R3378" s="17" t="s">
        <v>35</v>
      </c>
      <c r="S3378" s="17" t="str">
        <f aca="false">VLOOKUP(R3378,Sheet2!N:O,2,0)</f>
        <v>IREPARABLE</v>
      </c>
      <c r="T3378" s="18" t="str">
        <f aca="false">VLOOKUP(P3378,Sheet2!Q:R,2,0)</f>
        <v>IR Normal - Track burn out</v>
      </c>
      <c r="U3378" s="20" t="s">
        <v>41</v>
      </c>
      <c r="V3378" s="17"/>
      <c r="W3378" s="20" t="e">
        <f aca="false">VLOOKUP(V3378,Sheet2!Q:R,2,0)</f>
        <v>#N/A</v>
      </c>
      <c r="X3378" s="17" t="n">
        <f aca="false">J3378</f>
        <v>0</v>
      </c>
      <c r="Y3378" s="17" t="e">
        <f aca="false">VLOOKUP(X3378,Sheet2!A:B,2,0)</f>
        <v>#N/A</v>
      </c>
      <c r="Z3378" s="17"/>
      <c r="AA3378" s="17"/>
      <c r="AB3378" s="17" t="s">
        <v>41</v>
      </c>
      <c r="AC3378" s="0" t="str">
        <f aca="false">LEFT(G3378,2)</f>
        <v/>
      </c>
      <c r="AE3378" s="0"/>
    </row>
    <row r="3379" customFormat="false" ht="15" hidden="false" customHeight="false" outlineLevel="0" collapsed="false">
      <c r="A3379" s="13" t="n">
        <f aca="false">1+A3378</f>
        <v>3377</v>
      </c>
      <c r="B3379" s="14" t="n">
        <v>100</v>
      </c>
      <c r="C3379" s="15"/>
      <c r="D3379" s="16" t="s">
        <v>64</v>
      </c>
      <c r="E3379" s="17" t="s">
        <v>47</v>
      </c>
      <c r="F3379" s="18" t="s">
        <v>34</v>
      </c>
      <c r="G3379" s="19"/>
      <c r="H3379" s="17" t="s">
        <v>35</v>
      </c>
      <c r="I3379" s="17" t="s">
        <v>44</v>
      </c>
      <c r="J3379" s="17"/>
      <c r="K3379" s="17" t="e">
        <f aca="false">VLOOKUP(J3379,Sheet2!A:B,2,0)</f>
        <v>#N/A</v>
      </c>
      <c r="L3379" s="17" t="n">
        <v>5</v>
      </c>
      <c r="M3379" s="17" t="str">
        <f aca="false">VLOOKUP(L3379,Sheet2!D:E,2,0)</f>
        <v>Main Processor CPU BGA</v>
      </c>
      <c r="N3379" s="17" t="n">
        <v>1</v>
      </c>
      <c r="O3379" s="17" t="str">
        <f aca="false">VLOOKUP(N3379,Sheet2!G:H,2,0)</f>
        <v>Dead</v>
      </c>
      <c r="P3379" s="17" t="n">
        <v>11</v>
      </c>
      <c r="Q3379" s="17" t="str">
        <f aca="false">VLOOKUP(P3379,Sheet2!J:K,2,0)</f>
        <v>IR Declared due to CID -TA</v>
      </c>
      <c r="R3379" s="17" t="s">
        <v>35</v>
      </c>
      <c r="S3379" s="17" t="str">
        <f aca="false">VLOOKUP(R3379,Sheet2!N:O,2,0)</f>
        <v>IREPARABLE</v>
      </c>
      <c r="T3379" s="18" t="str">
        <f aca="false">VLOOKUP(P3379,Sheet2!Q:R,2,0)</f>
        <v>IR Normal - Track burn out</v>
      </c>
      <c r="U3379" s="20" t="s">
        <v>41</v>
      </c>
      <c r="V3379" s="17"/>
      <c r="W3379" s="20" t="e">
        <f aca="false">VLOOKUP(V3379,Sheet2!Q:R,2,0)</f>
        <v>#N/A</v>
      </c>
      <c r="X3379" s="17" t="n">
        <f aca="false">J3379</f>
        <v>0</v>
      </c>
      <c r="Y3379" s="17" t="e">
        <f aca="false">VLOOKUP(X3379,Sheet2!A:B,2,0)</f>
        <v>#N/A</v>
      </c>
      <c r="Z3379" s="17"/>
      <c r="AA3379" s="17"/>
      <c r="AB3379" s="17" t="s">
        <v>41</v>
      </c>
      <c r="AC3379" s="0" t="str">
        <f aca="false">LEFT(G3379,2)</f>
        <v/>
      </c>
      <c r="AE3379" s="0"/>
    </row>
    <row r="3380" customFormat="false" ht="15" hidden="false" customHeight="false" outlineLevel="0" collapsed="false">
      <c r="A3380" s="13" t="n">
        <f aca="false">1+A3379</f>
        <v>3378</v>
      </c>
      <c r="B3380" s="14" t="n">
        <v>100</v>
      </c>
      <c r="C3380" s="15"/>
      <c r="D3380" s="16" t="s">
        <v>64</v>
      </c>
      <c r="E3380" s="17" t="s">
        <v>47</v>
      </c>
      <c r="F3380" s="18" t="s">
        <v>34</v>
      </c>
      <c r="G3380" s="19"/>
      <c r="H3380" s="17" t="s">
        <v>35</v>
      </c>
      <c r="I3380" s="17" t="s">
        <v>44</v>
      </c>
      <c r="J3380" s="17"/>
      <c r="K3380" s="17" t="e">
        <f aca="false">VLOOKUP(J3380,Sheet2!A:B,2,0)</f>
        <v>#N/A</v>
      </c>
      <c r="L3380" s="17" t="n">
        <v>5</v>
      </c>
      <c r="M3380" s="17" t="str">
        <f aca="false">VLOOKUP(L3380,Sheet2!D:E,2,0)</f>
        <v>Main Processor CPU BGA</v>
      </c>
      <c r="N3380" s="17" t="n">
        <v>1</v>
      </c>
      <c r="O3380" s="17" t="str">
        <f aca="false">VLOOKUP(N3380,Sheet2!G:H,2,0)</f>
        <v>Dead</v>
      </c>
      <c r="P3380" s="17" t="n">
        <v>11</v>
      </c>
      <c r="Q3380" s="17" t="str">
        <f aca="false">VLOOKUP(P3380,Sheet2!J:K,2,0)</f>
        <v>IR Declared due to CID -TA</v>
      </c>
      <c r="R3380" s="17" t="s">
        <v>35</v>
      </c>
      <c r="S3380" s="17" t="str">
        <f aca="false">VLOOKUP(R3380,Sheet2!N:O,2,0)</f>
        <v>IREPARABLE</v>
      </c>
      <c r="T3380" s="18" t="str">
        <f aca="false">VLOOKUP(P3380,Sheet2!Q:R,2,0)</f>
        <v>IR Normal - Track burn out</v>
      </c>
      <c r="U3380" s="20" t="s">
        <v>41</v>
      </c>
      <c r="V3380" s="17"/>
      <c r="W3380" s="20" t="e">
        <f aca="false">VLOOKUP(V3380,Sheet2!Q:R,2,0)</f>
        <v>#N/A</v>
      </c>
      <c r="X3380" s="17" t="n">
        <f aca="false">J3380</f>
        <v>0</v>
      </c>
      <c r="Y3380" s="17" t="e">
        <f aca="false">VLOOKUP(X3380,Sheet2!A:B,2,0)</f>
        <v>#N/A</v>
      </c>
      <c r="Z3380" s="17"/>
      <c r="AA3380" s="17"/>
      <c r="AB3380" s="17" t="s">
        <v>41</v>
      </c>
      <c r="AC3380" s="0" t="str">
        <f aca="false">LEFT(G3380,2)</f>
        <v/>
      </c>
      <c r="AE3380" s="0"/>
    </row>
    <row r="3381" customFormat="false" ht="15" hidden="false" customHeight="false" outlineLevel="0" collapsed="false">
      <c r="A3381" s="13" t="n">
        <f aca="false">1+A3380</f>
        <v>3379</v>
      </c>
      <c r="B3381" s="14" t="n">
        <v>100</v>
      </c>
      <c r="C3381" s="15"/>
      <c r="D3381" s="16" t="s">
        <v>64</v>
      </c>
      <c r="E3381" s="17" t="s">
        <v>47</v>
      </c>
      <c r="F3381" s="18" t="s">
        <v>34</v>
      </c>
      <c r="G3381" s="19"/>
      <c r="H3381" s="17" t="s">
        <v>35</v>
      </c>
      <c r="I3381" s="17" t="s">
        <v>44</v>
      </c>
      <c r="J3381" s="17"/>
      <c r="K3381" s="17" t="e">
        <f aca="false">VLOOKUP(J3381,Sheet2!A:B,2,0)</f>
        <v>#N/A</v>
      </c>
      <c r="L3381" s="17" t="n">
        <v>5</v>
      </c>
      <c r="M3381" s="17" t="str">
        <f aca="false">VLOOKUP(L3381,Sheet2!D:E,2,0)</f>
        <v>Main Processor CPU BGA</v>
      </c>
      <c r="N3381" s="17" t="n">
        <v>1</v>
      </c>
      <c r="O3381" s="17" t="str">
        <f aca="false">VLOOKUP(N3381,Sheet2!G:H,2,0)</f>
        <v>Dead</v>
      </c>
      <c r="P3381" s="17" t="n">
        <v>11</v>
      </c>
      <c r="Q3381" s="17" t="str">
        <f aca="false">VLOOKUP(P3381,Sheet2!J:K,2,0)</f>
        <v>IR Declared due to CID -TA</v>
      </c>
      <c r="R3381" s="17" t="s">
        <v>35</v>
      </c>
      <c r="S3381" s="17" t="str">
        <f aca="false">VLOOKUP(R3381,Sheet2!N:O,2,0)</f>
        <v>IREPARABLE</v>
      </c>
      <c r="T3381" s="18" t="str">
        <f aca="false">VLOOKUP(P3381,Sheet2!Q:R,2,0)</f>
        <v>IR Normal - Track burn out</v>
      </c>
      <c r="U3381" s="20" t="s">
        <v>41</v>
      </c>
      <c r="V3381" s="17"/>
      <c r="W3381" s="20" t="e">
        <f aca="false">VLOOKUP(V3381,Sheet2!Q:R,2,0)</f>
        <v>#N/A</v>
      </c>
      <c r="X3381" s="17" t="n">
        <f aca="false">J3381</f>
        <v>0</v>
      </c>
      <c r="Y3381" s="17" t="e">
        <f aca="false">VLOOKUP(X3381,Sheet2!A:B,2,0)</f>
        <v>#N/A</v>
      </c>
      <c r="Z3381" s="17"/>
      <c r="AA3381" s="17"/>
      <c r="AB3381" s="17" t="s">
        <v>41</v>
      </c>
      <c r="AC3381" s="0" t="str">
        <f aca="false">LEFT(G3381,2)</f>
        <v/>
      </c>
      <c r="AE3381" s="0"/>
    </row>
    <row r="3382" customFormat="false" ht="15" hidden="false" customHeight="false" outlineLevel="0" collapsed="false">
      <c r="A3382" s="13" t="n">
        <f aca="false">1+A3381</f>
        <v>3380</v>
      </c>
      <c r="B3382" s="14" t="n">
        <v>100</v>
      </c>
      <c r="C3382" s="15"/>
      <c r="D3382" s="16" t="s">
        <v>64</v>
      </c>
      <c r="E3382" s="17" t="s">
        <v>47</v>
      </c>
      <c r="F3382" s="18" t="s">
        <v>34</v>
      </c>
      <c r="G3382" s="19"/>
      <c r="H3382" s="17" t="s">
        <v>35</v>
      </c>
      <c r="I3382" s="17" t="s">
        <v>44</v>
      </c>
      <c r="J3382" s="17"/>
      <c r="K3382" s="17" t="e">
        <f aca="false">VLOOKUP(J3382,Sheet2!A:B,2,0)</f>
        <v>#N/A</v>
      </c>
      <c r="L3382" s="17" t="n">
        <v>5</v>
      </c>
      <c r="M3382" s="17" t="str">
        <f aca="false">VLOOKUP(L3382,Sheet2!D:E,2,0)</f>
        <v>Main Processor CPU BGA</v>
      </c>
      <c r="N3382" s="17" t="n">
        <v>1</v>
      </c>
      <c r="O3382" s="17" t="str">
        <f aca="false">VLOOKUP(N3382,Sheet2!G:H,2,0)</f>
        <v>Dead</v>
      </c>
      <c r="P3382" s="17" t="n">
        <v>11</v>
      </c>
      <c r="Q3382" s="17" t="str">
        <f aca="false">VLOOKUP(P3382,Sheet2!J:K,2,0)</f>
        <v>IR Declared due to CID -TA</v>
      </c>
      <c r="R3382" s="17" t="s">
        <v>35</v>
      </c>
      <c r="S3382" s="17" t="str">
        <f aca="false">VLOOKUP(R3382,Sheet2!N:O,2,0)</f>
        <v>IREPARABLE</v>
      </c>
      <c r="T3382" s="18" t="str">
        <f aca="false">VLOOKUP(P3382,Sheet2!Q:R,2,0)</f>
        <v>IR Normal - Track burn out</v>
      </c>
      <c r="U3382" s="20" t="s">
        <v>41</v>
      </c>
      <c r="V3382" s="17"/>
      <c r="W3382" s="20" t="e">
        <f aca="false">VLOOKUP(V3382,Sheet2!Q:R,2,0)</f>
        <v>#N/A</v>
      </c>
      <c r="X3382" s="17" t="n">
        <f aca="false">J3382</f>
        <v>0</v>
      </c>
      <c r="Y3382" s="17" t="e">
        <f aca="false">VLOOKUP(X3382,Sheet2!A:B,2,0)</f>
        <v>#N/A</v>
      </c>
      <c r="Z3382" s="17"/>
      <c r="AA3382" s="17"/>
      <c r="AB3382" s="17" t="s">
        <v>41</v>
      </c>
      <c r="AC3382" s="0" t="str">
        <f aca="false">LEFT(G3382,2)</f>
        <v/>
      </c>
      <c r="AE3382" s="0"/>
    </row>
    <row r="3383" customFormat="false" ht="15" hidden="false" customHeight="false" outlineLevel="0" collapsed="false">
      <c r="A3383" s="13" t="n">
        <f aca="false">1+A3382</f>
        <v>3381</v>
      </c>
      <c r="B3383" s="14" t="n">
        <v>100</v>
      </c>
      <c r="C3383" s="15"/>
      <c r="D3383" s="16" t="s">
        <v>64</v>
      </c>
      <c r="E3383" s="17" t="s">
        <v>47</v>
      </c>
      <c r="F3383" s="18" t="s">
        <v>34</v>
      </c>
      <c r="G3383" s="19"/>
      <c r="H3383" s="17" t="s">
        <v>35</v>
      </c>
      <c r="I3383" s="17" t="s">
        <v>44</v>
      </c>
      <c r="J3383" s="17"/>
      <c r="K3383" s="17" t="e">
        <f aca="false">VLOOKUP(J3383,Sheet2!A:B,2,0)</f>
        <v>#N/A</v>
      </c>
      <c r="L3383" s="17" t="n">
        <v>5</v>
      </c>
      <c r="M3383" s="17" t="str">
        <f aca="false">VLOOKUP(L3383,Sheet2!D:E,2,0)</f>
        <v>Main Processor CPU BGA</v>
      </c>
      <c r="N3383" s="17" t="n">
        <v>1</v>
      </c>
      <c r="O3383" s="17" t="str">
        <f aca="false">VLOOKUP(N3383,Sheet2!G:H,2,0)</f>
        <v>Dead</v>
      </c>
      <c r="P3383" s="17" t="n">
        <v>11</v>
      </c>
      <c r="Q3383" s="17" t="str">
        <f aca="false">VLOOKUP(P3383,Sheet2!J:K,2,0)</f>
        <v>IR Declared due to CID -TA</v>
      </c>
      <c r="R3383" s="17" t="s">
        <v>35</v>
      </c>
      <c r="S3383" s="17" t="str">
        <f aca="false">VLOOKUP(R3383,Sheet2!N:O,2,0)</f>
        <v>IREPARABLE</v>
      </c>
      <c r="T3383" s="18" t="str">
        <f aca="false">VLOOKUP(P3383,Sheet2!Q:R,2,0)</f>
        <v>IR Normal - Track burn out</v>
      </c>
      <c r="U3383" s="20" t="s">
        <v>41</v>
      </c>
      <c r="V3383" s="17"/>
      <c r="W3383" s="20" t="e">
        <f aca="false">VLOOKUP(V3383,Sheet2!Q:R,2,0)</f>
        <v>#N/A</v>
      </c>
      <c r="X3383" s="17" t="n">
        <f aca="false">J3383</f>
        <v>0</v>
      </c>
      <c r="Y3383" s="17" t="e">
        <f aca="false">VLOOKUP(X3383,Sheet2!A:B,2,0)</f>
        <v>#N/A</v>
      </c>
      <c r="Z3383" s="17"/>
      <c r="AA3383" s="17"/>
      <c r="AB3383" s="17" t="s">
        <v>41</v>
      </c>
      <c r="AC3383" s="0" t="str">
        <f aca="false">LEFT(G3383,2)</f>
        <v/>
      </c>
      <c r="AE3383" s="0"/>
    </row>
    <row r="3384" customFormat="false" ht="15" hidden="false" customHeight="false" outlineLevel="0" collapsed="false">
      <c r="A3384" s="13" t="n">
        <f aca="false">1+A3383</f>
        <v>3382</v>
      </c>
      <c r="B3384" s="14" t="n">
        <v>100</v>
      </c>
      <c r="C3384" s="15"/>
      <c r="D3384" s="16" t="s">
        <v>64</v>
      </c>
      <c r="E3384" s="17" t="s">
        <v>47</v>
      </c>
      <c r="F3384" s="18" t="s">
        <v>34</v>
      </c>
      <c r="G3384" s="19"/>
      <c r="H3384" s="17" t="s">
        <v>35</v>
      </c>
      <c r="I3384" s="17" t="s">
        <v>44</v>
      </c>
      <c r="J3384" s="17"/>
      <c r="K3384" s="17" t="e">
        <f aca="false">VLOOKUP(J3384,Sheet2!A:B,2,0)</f>
        <v>#N/A</v>
      </c>
      <c r="L3384" s="17" t="n">
        <v>5</v>
      </c>
      <c r="M3384" s="17" t="str">
        <f aca="false">VLOOKUP(L3384,Sheet2!D:E,2,0)</f>
        <v>Main Processor CPU BGA</v>
      </c>
      <c r="N3384" s="17" t="n">
        <v>1</v>
      </c>
      <c r="O3384" s="17" t="str">
        <f aca="false">VLOOKUP(N3384,Sheet2!G:H,2,0)</f>
        <v>Dead</v>
      </c>
      <c r="P3384" s="17" t="n">
        <v>11</v>
      </c>
      <c r="Q3384" s="17" t="str">
        <f aca="false">VLOOKUP(P3384,Sheet2!J:K,2,0)</f>
        <v>IR Declared due to CID -TA</v>
      </c>
      <c r="R3384" s="17" t="s">
        <v>35</v>
      </c>
      <c r="S3384" s="17" t="str">
        <f aca="false">VLOOKUP(R3384,Sheet2!N:O,2,0)</f>
        <v>IREPARABLE</v>
      </c>
      <c r="T3384" s="18" t="str">
        <f aca="false">VLOOKUP(P3384,Sheet2!Q:R,2,0)</f>
        <v>IR Normal - Track burn out</v>
      </c>
      <c r="U3384" s="20" t="s">
        <v>41</v>
      </c>
      <c r="V3384" s="17"/>
      <c r="W3384" s="20" t="e">
        <f aca="false">VLOOKUP(V3384,Sheet2!Q:R,2,0)</f>
        <v>#N/A</v>
      </c>
      <c r="X3384" s="17" t="n">
        <f aca="false">J3384</f>
        <v>0</v>
      </c>
      <c r="Y3384" s="17" t="e">
        <f aca="false">VLOOKUP(X3384,Sheet2!A:B,2,0)</f>
        <v>#N/A</v>
      </c>
      <c r="Z3384" s="17"/>
      <c r="AA3384" s="17"/>
      <c r="AB3384" s="17" t="s">
        <v>41</v>
      </c>
      <c r="AC3384" s="0" t="str">
        <f aca="false">LEFT(G3384,2)</f>
        <v/>
      </c>
      <c r="AE3384" s="0"/>
    </row>
    <row r="3385" customFormat="false" ht="15" hidden="false" customHeight="false" outlineLevel="0" collapsed="false">
      <c r="A3385" s="13" t="n">
        <f aca="false">1+A3384</f>
        <v>3383</v>
      </c>
      <c r="B3385" s="14" t="n">
        <v>100</v>
      </c>
      <c r="C3385" s="15"/>
      <c r="D3385" s="16" t="s">
        <v>64</v>
      </c>
      <c r="E3385" s="17" t="s">
        <v>47</v>
      </c>
      <c r="F3385" s="18" t="s">
        <v>34</v>
      </c>
      <c r="G3385" s="19"/>
      <c r="H3385" s="17" t="s">
        <v>35</v>
      </c>
      <c r="I3385" s="17" t="s">
        <v>44</v>
      </c>
      <c r="J3385" s="17"/>
      <c r="K3385" s="17" t="e">
        <f aca="false">VLOOKUP(J3385,Sheet2!A:B,2,0)</f>
        <v>#N/A</v>
      </c>
      <c r="L3385" s="17" t="n">
        <v>5</v>
      </c>
      <c r="M3385" s="17" t="str">
        <f aca="false">VLOOKUP(L3385,Sheet2!D:E,2,0)</f>
        <v>Main Processor CPU BGA</v>
      </c>
      <c r="N3385" s="17" t="n">
        <v>1</v>
      </c>
      <c r="O3385" s="17" t="str">
        <f aca="false">VLOOKUP(N3385,Sheet2!G:H,2,0)</f>
        <v>Dead</v>
      </c>
      <c r="P3385" s="17" t="n">
        <v>11</v>
      </c>
      <c r="Q3385" s="17" t="str">
        <f aca="false">VLOOKUP(P3385,Sheet2!J:K,2,0)</f>
        <v>IR Declared due to CID -TA</v>
      </c>
      <c r="R3385" s="17" t="s">
        <v>35</v>
      </c>
      <c r="S3385" s="17" t="str">
        <f aca="false">VLOOKUP(R3385,Sheet2!N:O,2,0)</f>
        <v>IREPARABLE</v>
      </c>
      <c r="T3385" s="18" t="str">
        <f aca="false">VLOOKUP(P3385,Sheet2!Q:R,2,0)</f>
        <v>IR Normal - Track burn out</v>
      </c>
      <c r="U3385" s="20" t="s">
        <v>41</v>
      </c>
      <c r="V3385" s="17"/>
      <c r="W3385" s="20" t="e">
        <f aca="false">VLOOKUP(V3385,Sheet2!Q:R,2,0)</f>
        <v>#N/A</v>
      </c>
      <c r="X3385" s="17" t="n">
        <f aca="false">J3385</f>
        <v>0</v>
      </c>
      <c r="Y3385" s="17" t="e">
        <f aca="false">VLOOKUP(X3385,Sheet2!A:B,2,0)</f>
        <v>#N/A</v>
      </c>
      <c r="Z3385" s="17"/>
      <c r="AA3385" s="17"/>
      <c r="AB3385" s="17" t="s">
        <v>41</v>
      </c>
      <c r="AC3385" s="0" t="str">
        <f aca="false">LEFT(G3385,2)</f>
        <v/>
      </c>
      <c r="AE3385" s="0"/>
    </row>
    <row r="3386" customFormat="false" ht="15" hidden="false" customHeight="false" outlineLevel="0" collapsed="false">
      <c r="A3386" s="13" t="n">
        <f aca="false">1+A3385</f>
        <v>3384</v>
      </c>
      <c r="B3386" s="14" t="n">
        <v>100</v>
      </c>
      <c r="C3386" s="15"/>
      <c r="D3386" s="16" t="s">
        <v>64</v>
      </c>
      <c r="E3386" s="17" t="s">
        <v>47</v>
      </c>
      <c r="F3386" s="18" t="s">
        <v>34</v>
      </c>
      <c r="G3386" s="19"/>
      <c r="H3386" s="17" t="s">
        <v>35</v>
      </c>
      <c r="I3386" s="17" t="s">
        <v>44</v>
      </c>
      <c r="J3386" s="17"/>
      <c r="K3386" s="17" t="e">
        <f aca="false">VLOOKUP(J3386,Sheet2!A:B,2,0)</f>
        <v>#N/A</v>
      </c>
      <c r="L3386" s="17" t="n">
        <v>5</v>
      </c>
      <c r="M3386" s="17" t="str">
        <f aca="false">VLOOKUP(L3386,Sheet2!D:E,2,0)</f>
        <v>Main Processor CPU BGA</v>
      </c>
      <c r="N3386" s="17" t="n">
        <v>1</v>
      </c>
      <c r="O3386" s="17" t="str">
        <f aca="false">VLOOKUP(N3386,Sheet2!G:H,2,0)</f>
        <v>Dead</v>
      </c>
      <c r="P3386" s="17" t="n">
        <v>11</v>
      </c>
      <c r="Q3386" s="17" t="str">
        <f aca="false">VLOOKUP(P3386,Sheet2!J:K,2,0)</f>
        <v>IR Declared due to CID -TA</v>
      </c>
      <c r="R3386" s="17" t="s">
        <v>35</v>
      </c>
      <c r="S3386" s="17" t="str">
        <f aca="false">VLOOKUP(R3386,Sheet2!N:O,2,0)</f>
        <v>IREPARABLE</v>
      </c>
      <c r="T3386" s="18" t="str">
        <f aca="false">VLOOKUP(P3386,Sheet2!Q:R,2,0)</f>
        <v>IR Normal - Track burn out</v>
      </c>
      <c r="U3386" s="20" t="s">
        <v>41</v>
      </c>
      <c r="V3386" s="17"/>
      <c r="W3386" s="20" t="e">
        <f aca="false">VLOOKUP(V3386,Sheet2!Q:R,2,0)</f>
        <v>#N/A</v>
      </c>
      <c r="X3386" s="17" t="n">
        <f aca="false">J3386</f>
        <v>0</v>
      </c>
      <c r="Y3386" s="17" t="e">
        <f aca="false">VLOOKUP(X3386,Sheet2!A:B,2,0)</f>
        <v>#N/A</v>
      </c>
      <c r="Z3386" s="17"/>
      <c r="AA3386" s="17"/>
      <c r="AB3386" s="17" t="s">
        <v>41</v>
      </c>
      <c r="AC3386" s="0" t="str">
        <f aca="false">LEFT(G3386,2)</f>
        <v/>
      </c>
      <c r="AE3386" s="0"/>
    </row>
    <row r="3387" customFormat="false" ht="15" hidden="false" customHeight="false" outlineLevel="0" collapsed="false">
      <c r="A3387" s="13" t="n">
        <f aca="false">1+A3386</f>
        <v>3385</v>
      </c>
      <c r="B3387" s="14" t="n">
        <v>100</v>
      </c>
      <c r="C3387" s="15"/>
      <c r="D3387" s="16" t="s">
        <v>64</v>
      </c>
      <c r="E3387" s="17" t="s">
        <v>47</v>
      </c>
      <c r="F3387" s="18" t="s">
        <v>34</v>
      </c>
      <c r="G3387" s="19"/>
      <c r="H3387" s="17" t="s">
        <v>35</v>
      </c>
      <c r="I3387" s="17" t="s">
        <v>44</v>
      </c>
      <c r="J3387" s="17"/>
      <c r="K3387" s="17" t="e">
        <f aca="false">VLOOKUP(J3387,Sheet2!A:B,2,0)</f>
        <v>#N/A</v>
      </c>
      <c r="L3387" s="17" t="n">
        <v>5</v>
      </c>
      <c r="M3387" s="17" t="str">
        <f aca="false">VLOOKUP(L3387,Sheet2!D:E,2,0)</f>
        <v>Main Processor CPU BGA</v>
      </c>
      <c r="N3387" s="17" t="n">
        <v>1</v>
      </c>
      <c r="O3387" s="17" t="str">
        <f aca="false">VLOOKUP(N3387,Sheet2!G:H,2,0)</f>
        <v>Dead</v>
      </c>
      <c r="P3387" s="17" t="n">
        <v>11</v>
      </c>
      <c r="Q3387" s="17" t="str">
        <f aca="false">VLOOKUP(P3387,Sheet2!J:K,2,0)</f>
        <v>IR Declared due to CID -TA</v>
      </c>
      <c r="R3387" s="17" t="s">
        <v>35</v>
      </c>
      <c r="S3387" s="17" t="str">
        <f aca="false">VLOOKUP(R3387,Sheet2!N:O,2,0)</f>
        <v>IREPARABLE</v>
      </c>
      <c r="T3387" s="18" t="str">
        <f aca="false">VLOOKUP(P3387,Sheet2!Q:R,2,0)</f>
        <v>IR Normal - Track burn out</v>
      </c>
      <c r="U3387" s="20" t="s">
        <v>41</v>
      </c>
      <c r="V3387" s="17"/>
      <c r="W3387" s="20" t="e">
        <f aca="false">VLOOKUP(V3387,Sheet2!Q:R,2,0)</f>
        <v>#N/A</v>
      </c>
      <c r="X3387" s="17" t="n">
        <f aca="false">J3387</f>
        <v>0</v>
      </c>
      <c r="Y3387" s="17" t="e">
        <f aca="false">VLOOKUP(X3387,Sheet2!A:B,2,0)</f>
        <v>#N/A</v>
      </c>
      <c r="Z3387" s="17"/>
      <c r="AA3387" s="17"/>
      <c r="AB3387" s="17" t="s">
        <v>41</v>
      </c>
      <c r="AC3387" s="0" t="str">
        <f aca="false">LEFT(G3387,2)</f>
        <v/>
      </c>
      <c r="AE3387" s="0"/>
    </row>
    <row r="3388" customFormat="false" ht="15" hidden="false" customHeight="false" outlineLevel="0" collapsed="false">
      <c r="A3388" s="13" t="n">
        <f aca="false">1+A3387</f>
        <v>3386</v>
      </c>
      <c r="B3388" s="14" t="n">
        <v>100</v>
      </c>
      <c r="C3388" s="15"/>
      <c r="D3388" s="16" t="s">
        <v>64</v>
      </c>
      <c r="E3388" s="17" t="s">
        <v>47</v>
      </c>
      <c r="F3388" s="18" t="s">
        <v>34</v>
      </c>
      <c r="G3388" s="19"/>
      <c r="H3388" s="17" t="s">
        <v>35</v>
      </c>
      <c r="I3388" s="17" t="s">
        <v>44</v>
      </c>
      <c r="J3388" s="17"/>
      <c r="K3388" s="17" t="e">
        <f aca="false">VLOOKUP(J3388,Sheet2!A:B,2,0)</f>
        <v>#N/A</v>
      </c>
      <c r="L3388" s="17" t="n">
        <v>5</v>
      </c>
      <c r="M3388" s="17" t="str">
        <f aca="false">VLOOKUP(L3388,Sheet2!D:E,2,0)</f>
        <v>Main Processor CPU BGA</v>
      </c>
      <c r="N3388" s="17" t="n">
        <v>1</v>
      </c>
      <c r="O3388" s="17" t="str">
        <f aca="false">VLOOKUP(N3388,Sheet2!G:H,2,0)</f>
        <v>Dead</v>
      </c>
      <c r="P3388" s="17" t="n">
        <v>11</v>
      </c>
      <c r="Q3388" s="17" t="str">
        <f aca="false">VLOOKUP(P3388,Sheet2!J:K,2,0)</f>
        <v>IR Declared due to CID -TA</v>
      </c>
      <c r="R3388" s="17" t="s">
        <v>35</v>
      </c>
      <c r="S3388" s="17" t="str">
        <f aca="false">VLOOKUP(R3388,Sheet2!N:O,2,0)</f>
        <v>IREPARABLE</v>
      </c>
      <c r="T3388" s="18" t="str">
        <f aca="false">VLOOKUP(P3388,Sheet2!Q:R,2,0)</f>
        <v>IR Normal - Track burn out</v>
      </c>
      <c r="U3388" s="20" t="s">
        <v>41</v>
      </c>
      <c r="V3388" s="17"/>
      <c r="W3388" s="20" t="e">
        <f aca="false">VLOOKUP(V3388,Sheet2!Q:R,2,0)</f>
        <v>#N/A</v>
      </c>
      <c r="X3388" s="17" t="n">
        <f aca="false">J3388</f>
        <v>0</v>
      </c>
      <c r="Y3388" s="17" t="e">
        <f aca="false">VLOOKUP(X3388,Sheet2!A:B,2,0)</f>
        <v>#N/A</v>
      </c>
      <c r="Z3388" s="17"/>
      <c r="AA3388" s="17"/>
      <c r="AB3388" s="17" t="s">
        <v>41</v>
      </c>
      <c r="AC3388" s="0" t="str">
        <f aca="false">LEFT(G3388,2)</f>
        <v/>
      </c>
      <c r="AE3388" s="0"/>
    </row>
    <row r="3389" customFormat="false" ht="15" hidden="false" customHeight="false" outlineLevel="0" collapsed="false">
      <c r="A3389" s="13" t="n">
        <f aca="false">1+A3388</f>
        <v>3387</v>
      </c>
      <c r="B3389" s="14" t="n">
        <v>100</v>
      </c>
      <c r="C3389" s="15"/>
      <c r="D3389" s="16" t="s">
        <v>64</v>
      </c>
      <c r="E3389" s="17" t="s">
        <v>47</v>
      </c>
      <c r="F3389" s="18" t="s">
        <v>34</v>
      </c>
      <c r="G3389" s="19"/>
      <c r="H3389" s="17" t="s">
        <v>35</v>
      </c>
      <c r="I3389" s="17" t="s">
        <v>44</v>
      </c>
      <c r="J3389" s="17"/>
      <c r="K3389" s="17" t="e">
        <f aca="false">VLOOKUP(J3389,Sheet2!A:B,2,0)</f>
        <v>#N/A</v>
      </c>
      <c r="L3389" s="17" t="n">
        <v>5</v>
      </c>
      <c r="M3389" s="17" t="str">
        <f aca="false">VLOOKUP(L3389,Sheet2!D:E,2,0)</f>
        <v>Main Processor CPU BGA</v>
      </c>
      <c r="N3389" s="17" t="n">
        <v>1</v>
      </c>
      <c r="O3389" s="17" t="str">
        <f aca="false">VLOOKUP(N3389,Sheet2!G:H,2,0)</f>
        <v>Dead</v>
      </c>
      <c r="P3389" s="17" t="n">
        <v>11</v>
      </c>
      <c r="Q3389" s="17" t="str">
        <f aca="false">VLOOKUP(P3389,Sheet2!J:K,2,0)</f>
        <v>IR Declared due to CID -TA</v>
      </c>
      <c r="R3389" s="17" t="s">
        <v>35</v>
      </c>
      <c r="S3389" s="17" t="str">
        <f aca="false">VLOOKUP(R3389,Sheet2!N:O,2,0)</f>
        <v>IREPARABLE</v>
      </c>
      <c r="T3389" s="18" t="str">
        <f aca="false">VLOOKUP(P3389,Sheet2!Q:R,2,0)</f>
        <v>IR Normal - Track burn out</v>
      </c>
      <c r="U3389" s="20" t="s">
        <v>41</v>
      </c>
      <c r="V3389" s="17"/>
      <c r="W3389" s="20" t="e">
        <f aca="false">VLOOKUP(V3389,Sheet2!Q:R,2,0)</f>
        <v>#N/A</v>
      </c>
      <c r="X3389" s="17" t="n">
        <f aca="false">J3389</f>
        <v>0</v>
      </c>
      <c r="Y3389" s="17" t="e">
        <f aca="false">VLOOKUP(X3389,Sheet2!A:B,2,0)</f>
        <v>#N/A</v>
      </c>
      <c r="Z3389" s="17"/>
      <c r="AA3389" s="17"/>
      <c r="AB3389" s="17" t="s">
        <v>41</v>
      </c>
      <c r="AC3389" s="0" t="str">
        <f aca="false">LEFT(G3389,2)</f>
        <v/>
      </c>
      <c r="AE3389" s="0"/>
    </row>
    <row r="3390" customFormat="false" ht="15" hidden="false" customHeight="false" outlineLevel="0" collapsed="false">
      <c r="A3390" s="13" t="n">
        <f aca="false">1+A3389</f>
        <v>3388</v>
      </c>
      <c r="B3390" s="14" t="n">
        <v>100</v>
      </c>
      <c r="C3390" s="15"/>
      <c r="D3390" s="16" t="s">
        <v>64</v>
      </c>
      <c r="E3390" s="17" t="s">
        <v>47</v>
      </c>
      <c r="F3390" s="18" t="s">
        <v>34</v>
      </c>
      <c r="G3390" s="19"/>
      <c r="H3390" s="17" t="s">
        <v>35</v>
      </c>
      <c r="I3390" s="17" t="s">
        <v>44</v>
      </c>
      <c r="J3390" s="17"/>
      <c r="K3390" s="17" t="e">
        <f aca="false">VLOOKUP(J3390,Sheet2!A:B,2,0)</f>
        <v>#N/A</v>
      </c>
      <c r="L3390" s="17" t="n">
        <v>5</v>
      </c>
      <c r="M3390" s="17" t="str">
        <f aca="false">VLOOKUP(L3390,Sheet2!D:E,2,0)</f>
        <v>Main Processor CPU BGA</v>
      </c>
      <c r="N3390" s="17" t="n">
        <v>1</v>
      </c>
      <c r="O3390" s="17" t="str">
        <f aca="false">VLOOKUP(N3390,Sheet2!G:H,2,0)</f>
        <v>Dead</v>
      </c>
      <c r="P3390" s="17" t="n">
        <v>11</v>
      </c>
      <c r="Q3390" s="17" t="str">
        <f aca="false">VLOOKUP(P3390,Sheet2!J:K,2,0)</f>
        <v>IR Declared due to CID -TA</v>
      </c>
      <c r="R3390" s="17" t="s">
        <v>35</v>
      </c>
      <c r="S3390" s="17" t="str">
        <f aca="false">VLOOKUP(R3390,Sheet2!N:O,2,0)</f>
        <v>IREPARABLE</v>
      </c>
      <c r="T3390" s="18" t="str">
        <f aca="false">VLOOKUP(P3390,Sheet2!Q:R,2,0)</f>
        <v>IR Normal - Track burn out</v>
      </c>
      <c r="U3390" s="20" t="s">
        <v>41</v>
      </c>
      <c r="V3390" s="17"/>
      <c r="W3390" s="20" t="e">
        <f aca="false">VLOOKUP(V3390,Sheet2!Q:R,2,0)</f>
        <v>#N/A</v>
      </c>
      <c r="X3390" s="17" t="n">
        <f aca="false">J3390</f>
        <v>0</v>
      </c>
      <c r="Y3390" s="17" t="e">
        <f aca="false">VLOOKUP(X3390,Sheet2!A:B,2,0)</f>
        <v>#N/A</v>
      </c>
      <c r="Z3390" s="17"/>
      <c r="AA3390" s="17"/>
      <c r="AB3390" s="17" t="s">
        <v>41</v>
      </c>
      <c r="AC3390" s="0" t="str">
        <f aca="false">LEFT(G3390,2)</f>
        <v/>
      </c>
      <c r="AE3390" s="0"/>
    </row>
    <row r="3391" customFormat="false" ht="15" hidden="false" customHeight="false" outlineLevel="0" collapsed="false">
      <c r="A3391" s="13" t="n">
        <f aca="false">1+A3390</f>
        <v>3389</v>
      </c>
      <c r="B3391" s="14" t="n">
        <v>100</v>
      </c>
      <c r="C3391" s="15"/>
      <c r="D3391" s="16" t="s">
        <v>64</v>
      </c>
      <c r="E3391" s="17" t="s">
        <v>47</v>
      </c>
      <c r="F3391" s="18" t="s">
        <v>34</v>
      </c>
      <c r="G3391" s="19"/>
      <c r="H3391" s="17" t="s">
        <v>35</v>
      </c>
      <c r="I3391" s="17" t="s">
        <v>44</v>
      </c>
      <c r="J3391" s="17"/>
      <c r="K3391" s="17" t="e">
        <f aca="false">VLOOKUP(J3391,Sheet2!A:B,2,0)</f>
        <v>#N/A</v>
      </c>
      <c r="L3391" s="17" t="n">
        <v>5</v>
      </c>
      <c r="M3391" s="17" t="str">
        <f aca="false">VLOOKUP(L3391,Sheet2!D:E,2,0)</f>
        <v>Main Processor CPU BGA</v>
      </c>
      <c r="N3391" s="17" t="n">
        <v>1</v>
      </c>
      <c r="O3391" s="17" t="str">
        <f aca="false">VLOOKUP(N3391,Sheet2!G:H,2,0)</f>
        <v>Dead</v>
      </c>
      <c r="P3391" s="17" t="n">
        <v>11</v>
      </c>
      <c r="Q3391" s="17" t="str">
        <f aca="false">VLOOKUP(P3391,Sheet2!J:K,2,0)</f>
        <v>IR Declared due to CID -TA</v>
      </c>
      <c r="R3391" s="17" t="s">
        <v>35</v>
      </c>
      <c r="S3391" s="17" t="str">
        <f aca="false">VLOOKUP(R3391,Sheet2!N:O,2,0)</f>
        <v>IREPARABLE</v>
      </c>
      <c r="T3391" s="18" t="str">
        <f aca="false">VLOOKUP(P3391,Sheet2!Q:R,2,0)</f>
        <v>IR Normal - Track burn out</v>
      </c>
      <c r="U3391" s="20" t="s">
        <v>41</v>
      </c>
      <c r="V3391" s="17"/>
      <c r="W3391" s="20" t="e">
        <f aca="false">VLOOKUP(V3391,Sheet2!Q:R,2,0)</f>
        <v>#N/A</v>
      </c>
      <c r="X3391" s="17" t="n">
        <f aca="false">J3391</f>
        <v>0</v>
      </c>
      <c r="Y3391" s="17" t="e">
        <f aca="false">VLOOKUP(X3391,Sheet2!A:B,2,0)</f>
        <v>#N/A</v>
      </c>
      <c r="Z3391" s="17"/>
      <c r="AA3391" s="17"/>
      <c r="AB3391" s="17" t="s">
        <v>41</v>
      </c>
      <c r="AC3391" s="0" t="str">
        <f aca="false">LEFT(G3391,2)</f>
        <v/>
      </c>
      <c r="AE3391" s="0"/>
    </row>
    <row r="3392" customFormat="false" ht="15" hidden="false" customHeight="false" outlineLevel="0" collapsed="false">
      <c r="A3392" s="13" t="n">
        <f aca="false">1+A3391</f>
        <v>3390</v>
      </c>
      <c r="B3392" s="14" t="n">
        <v>100</v>
      </c>
      <c r="C3392" s="15"/>
      <c r="D3392" s="16" t="s">
        <v>64</v>
      </c>
      <c r="E3392" s="17" t="s">
        <v>47</v>
      </c>
      <c r="F3392" s="18" t="s">
        <v>34</v>
      </c>
      <c r="G3392" s="19"/>
      <c r="H3392" s="17" t="s">
        <v>35</v>
      </c>
      <c r="I3392" s="17" t="s">
        <v>44</v>
      </c>
      <c r="J3392" s="17"/>
      <c r="K3392" s="17" t="e">
        <f aca="false">VLOOKUP(J3392,Sheet2!A:B,2,0)</f>
        <v>#N/A</v>
      </c>
      <c r="L3392" s="17" t="n">
        <v>5</v>
      </c>
      <c r="M3392" s="17" t="str">
        <f aca="false">VLOOKUP(L3392,Sheet2!D:E,2,0)</f>
        <v>Main Processor CPU BGA</v>
      </c>
      <c r="N3392" s="17" t="n">
        <v>1</v>
      </c>
      <c r="O3392" s="17" t="str">
        <f aca="false">VLOOKUP(N3392,Sheet2!G:H,2,0)</f>
        <v>Dead</v>
      </c>
      <c r="P3392" s="17" t="n">
        <v>11</v>
      </c>
      <c r="Q3392" s="17" t="str">
        <f aca="false">VLOOKUP(P3392,Sheet2!J:K,2,0)</f>
        <v>IR Declared due to CID -TA</v>
      </c>
      <c r="R3392" s="17" t="s">
        <v>35</v>
      </c>
      <c r="S3392" s="17" t="str">
        <f aca="false">VLOOKUP(R3392,Sheet2!N:O,2,0)</f>
        <v>IREPARABLE</v>
      </c>
      <c r="T3392" s="18" t="str">
        <f aca="false">VLOOKUP(P3392,Sheet2!Q:R,2,0)</f>
        <v>IR Normal - Track burn out</v>
      </c>
      <c r="U3392" s="20" t="s">
        <v>41</v>
      </c>
      <c r="V3392" s="17"/>
      <c r="W3392" s="20" t="e">
        <f aca="false">VLOOKUP(V3392,Sheet2!Q:R,2,0)</f>
        <v>#N/A</v>
      </c>
      <c r="X3392" s="17" t="n">
        <f aca="false">J3392</f>
        <v>0</v>
      </c>
      <c r="Y3392" s="17" t="e">
        <f aca="false">VLOOKUP(X3392,Sheet2!A:B,2,0)</f>
        <v>#N/A</v>
      </c>
      <c r="Z3392" s="17"/>
      <c r="AA3392" s="17"/>
      <c r="AB3392" s="17" t="s">
        <v>41</v>
      </c>
      <c r="AC3392" s="0" t="str">
        <f aca="false">LEFT(G3392,2)</f>
        <v/>
      </c>
      <c r="AE3392" s="0"/>
    </row>
    <row r="3393" customFormat="false" ht="15" hidden="false" customHeight="false" outlineLevel="0" collapsed="false">
      <c r="A3393" s="13" t="n">
        <f aca="false">1+A3392</f>
        <v>3391</v>
      </c>
      <c r="B3393" s="14" t="n">
        <v>100</v>
      </c>
      <c r="C3393" s="15"/>
      <c r="D3393" s="16" t="s">
        <v>64</v>
      </c>
      <c r="E3393" s="17" t="s">
        <v>47</v>
      </c>
      <c r="F3393" s="18" t="s">
        <v>34</v>
      </c>
      <c r="G3393" s="19"/>
      <c r="H3393" s="17" t="s">
        <v>35</v>
      </c>
      <c r="I3393" s="17" t="s">
        <v>44</v>
      </c>
      <c r="J3393" s="17"/>
      <c r="K3393" s="17" t="e">
        <f aca="false">VLOOKUP(J3393,Sheet2!A:B,2,0)</f>
        <v>#N/A</v>
      </c>
      <c r="L3393" s="17" t="n">
        <v>5</v>
      </c>
      <c r="M3393" s="17" t="str">
        <f aca="false">VLOOKUP(L3393,Sheet2!D:E,2,0)</f>
        <v>Main Processor CPU BGA</v>
      </c>
      <c r="N3393" s="17" t="n">
        <v>1</v>
      </c>
      <c r="O3393" s="17" t="str">
        <f aca="false">VLOOKUP(N3393,Sheet2!G:H,2,0)</f>
        <v>Dead</v>
      </c>
      <c r="P3393" s="17" t="n">
        <v>11</v>
      </c>
      <c r="Q3393" s="17" t="str">
        <f aca="false">VLOOKUP(P3393,Sheet2!J:K,2,0)</f>
        <v>IR Declared due to CID -TA</v>
      </c>
      <c r="R3393" s="17" t="s">
        <v>35</v>
      </c>
      <c r="S3393" s="17" t="str">
        <f aca="false">VLOOKUP(R3393,Sheet2!N:O,2,0)</f>
        <v>IREPARABLE</v>
      </c>
      <c r="T3393" s="18" t="str">
        <f aca="false">VLOOKUP(P3393,Sheet2!Q:R,2,0)</f>
        <v>IR Normal - Track burn out</v>
      </c>
      <c r="U3393" s="20" t="s">
        <v>41</v>
      </c>
      <c r="V3393" s="17"/>
      <c r="W3393" s="20" t="e">
        <f aca="false">VLOOKUP(V3393,Sheet2!Q:R,2,0)</f>
        <v>#N/A</v>
      </c>
      <c r="X3393" s="17" t="n">
        <f aca="false">J3393</f>
        <v>0</v>
      </c>
      <c r="Y3393" s="17" t="e">
        <f aca="false">VLOOKUP(X3393,Sheet2!A:B,2,0)</f>
        <v>#N/A</v>
      </c>
      <c r="Z3393" s="17"/>
      <c r="AA3393" s="17"/>
      <c r="AB3393" s="17" t="s">
        <v>41</v>
      </c>
      <c r="AC3393" s="0" t="str">
        <f aca="false">LEFT(G3393,2)</f>
        <v/>
      </c>
      <c r="AE3393" s="0"/>
    </row>
    <row r="3394" customFormat="false" ht="15" hidden="false" customHeight="false" outlineLevel="0" collapsed="false">
      <c r="A3394" s="13" t="n">
        <f aca="false">1+A3393</f>
        <v>3392</v>
      </c>
      <c r="B3394" s="14" t="n">
        <v>100</v>
      </c>
      <c r="C3394" s="15"/>
      <c r="D3394" s="16" t="s">
        <v>64</v>
      </c>
      <c r="E3394" s="17" t="s">
        <v>47</v>
      </c>
      <c r="F3394" s="18" t="s">
        <v>34</v>
      </c>
      <c r="G3394" s="19"/>
      <c r="H3394" s="17" t="s">
        <v>35</v>
      </c>
      <c r="I3394" s="17" t="s">
        <v>44</v>
      </c>
      <c r="J3394" s="17"/>
      <c r="K3394" s="17" t="e">
        <f aca="false">VLOOKUP(J3394,Sheet2!A:B,2,0)</f>
        <v>#N/A</v>
      </c>
      <c r="L3394" s="17" t="n">
        <v>5</v>
      </c>
      <c r="M3394" s="17" t="str">
        <f aca="false">VLOOKUP(L3394,Sheet2!D:E,2,0)</f>
        <v>Main Processor CPU BGA</v>
      </c>
      <c r="N3394" s="17" t="n">
        <v>1</v>
      </c>
      <c r="O3394" s="17" t="str">
        <f aca="false">VLOOKUP(N3394,Sheet2!G:H,2,0)</f>
        <v>Dead</v>
      </c>
      <c r="P3394" s="17" t="n">
        <v>11</v>
      </c>
      <c r="Q3394" s="17" t="str">
        <f aca="false">VLOOKUP(P3394,Sheet2!J:K,2,0)</f>
        <v>IR Declared due to CID -TA</v>
      </c>
      <c r="R3394" s="17" t="s">
        <v>35</v>
      </c>
      <c r="S3394" s="17" t="str">
        <f aca="false">VLOOKUP(R3394,Sheet2!N:O,2,0)</f>
        <v>IREPARABLE</v>
      </c>
      <c r="T3394" s="18" t="str">
        <f aca="false">VLOOKUP(P3394,Sheet2!Q:R,2,0)</f>
        <v>IR Normal - Track burn out</v>
      </c>
      <c r="U3394" s="20" t="s">
        <v>41</v>
      </c>
      <c r="V3394" s="17"/>
      <c r="W3394" s="20" t="e">
        <f aca="false">VLOOKUP(V3394,Sheet2!Q:R,2,0)</f>
        <v>#N/A</v>
      </c>
      <c r="X3394" s="17" t="n">
        <f aca="false">J3394</f>
        <v>0</v>
      </c>
      <c r="Y3394" s="17" t="e">
        <f aca="false">VLOOKUP(X3394,Sheet2!A:B,2,0)</f>
        <v>#N/A</v>
      </c>
      <c r="Z3394" s="17"/>
      <c r="AA3394" s="17"/>
      <c r="AB3394" s="17" t="s">
        <v>41</v>
      </c>
      <c r="AC3394" s="0" t="str">
        <f aca="false">LEFT(G3394,2)</f>
        <v/>
      </c>
      <c r="AE3394" s="0"/>
    </row>
    <row r="3395" customFormat="false" ht="15" hidden="false" customHeight="false" outlineLevel="0" collapsed="false">
      <c r="A3395" s="13" t="n">
        <f aca="false">1+A3394</f>
        <v>3393</v>
      </c>
      <c r="B3395" s="14" t="n">
        <v>100</v>
      </c>
      <c r="C3395" s="15"/>
      <c r="D3395" s="16" t="s">
        <v>64</v>
      </c>
      <c r="E3395" s="17" t="s">
        <v>47</v>
      </c>
      <c r="F3395" s="18" t="s">
        <v>34</v>
      </c>
      <c r="G3395" s="19"/>
      <c r="H3395" s="17" t="s">
        <v>35</v>
      </c>
      <c r="I3395" s="17" t="s">
        <v>44</v>
      </c>
      <c r="J3395" s="17"/>
      <c r="K3395" s="17" t="e">
        <f aca="false">VLOOKUP(J3395,Sheet2!A:B,2,0)</f>
        <v>#N/A</v>
      </c>
      <c r="L3395" s="17" t="n">
        <v>5</v>
      </c>
      <c r="M3395" s="17" t="str">
        <f aca="false">VLOOKUP(L3395,Sheet2!D:E,2,0)</f>
        <v>Main Processor CPU BGA</v>
      </c>
      <c r="N3395" s="17" t="n">
        <v>1</v>
      </c>
      <c r="O3395" s="17" t="str">
        <f aca="false">VLOOKUP(N3395,Sheet2!G:H,2,0)</f>
        <v>Dead</v>
      </c>
      <c r="P3395" s="17" t="n">
        <v>11</v>
      </c>
      <c r="Q3395" s="17" t="str">
        <f aca="false">VLOOKUP(P3395,Sheet2!J:K,2,0)</f>
        <v>IR Declared due to CID -TA</v>
      </c>
      <c r="R3395" s="17" t="s">
        <v>35</v>
      </c>
      <c r="S3395" s="17" t="str">
        <f aca="false">VLOOKUP(R3395,Sheet2!N:O,2,0)</f>
        <v>IREPARABLE</v>
      </c>
      <c r="T3395" s="18" t="str">
        <f aca="false">VLOOKUP(P3395,Sheet2!Q:R,2,0)</f>
        <v>IR Normal - Track burn out</v>
      </c>
      <c r="U3395" s="20" t="s">
        <v>41</v>
      </c>
      <c r="V3395" s="17"/>
      <c r="W3395" s="20" t="e">
        <f aca="false">VLOOKUP(V3395,Sheet2!Q:R,2,0)</f>
        <v>#N/A</v>
      </c>
      <c r="X3395" s="17" t="n">
        <f aca="false">J3395</f>
        <v>0</v>
      </c>
      <c r="Y3395" s="17" t="e">
        <f aca="false">VLOOKUP(X3395,Sheet2!A:B,2,0)</f>
        <v>#N/A</v>
      </c>
      <c r="Z3395" s="17"/>
      <c r="AA3395" s="17"/>
      <c r="AB3395" s="17" t="s">
        <v>41</v>
      </c>
      <c r="AC3395" s="0" t="str">
        <f aca="false">LEFT(G3395,2)</f>
        <v/>
      </c>
      <c r="AE3395" s="0"/>
    </row>
    <row r="3396" customFormat="false" ht="15" hidden="false" customHeight="false" outlineLevel="0" collapsed="false">
      <c r="A3396" s="13" t="n">
        <f aca="false">1+A3395</f>
        <v>3394</v>
      </c>
      <c r="B3396" s="14" t="n">
        <v>100</v>
      </c>
      <c r="C3396" s="15"/>
      <c r="D3396" s="16" t="s">
        <v>64</v>
      </c>
      <c r="E3396" s="17" t="s">
        <v>47</v>
      </c>
      <c r="F3396" s="18" t="s">
        <v>34</v>
      </c>
      <c r="G3396" s="19"/>
      <c r="H3396" s="17" t="s">
        <v>35</v>
      </c>
      <c r="I3396" s="17" t="s">
        <v>44</v>
      </c>
      <c r="J3396" s="17"/>
      <c r="K3396" s="17" t="e">
        <f aca="false">VLOOKUP(J3396,Sheet2!A:B,2,0)</f>
        <v>#N/A</v>
      </c>
      <c r="L3396" s="17" t="n">
        <v>5</v>
      </c>
      <c r="M3396" s="17" t="str">
        <f aca="false">VLOOKUP(L3396,Sheet2!D:E,2,0)</f>
        <v>Main Processor CPU BGA</v>
      </c>
      <c r="N3396" s="17" t="n">
        <v>1</v>
      </c>
      <c r="O3396" s="17" t="str">
        <f aca="false">VLOOKUP(N3396,Sheet2!G:H,2,0)</f>
        <v>Dead</v>
      </c>
      <c r="P3396" s="17" t="n">
        <v>11</v>
      </c>
      <c r="Q3396" s="17" t="str">
        <f aca="false">VLOOKUP(P3396,Sheet2!J:K,2,0)</f>
        <v>IR Declared due to CID -TA</v>
      </c>
      <c r="R3396" s="17" t="s">
        <v>35</v>
      </c>
      <c r="S3396" s="17" t="str">
        <f aca="false">VLOOKUP(R3396,Sheet2!N:O,2,0)</f>
        <v>IREPARABLE</v>
      </c>
      <c r="T3396" s="18" t="str">
        <f aca="false">VLOOKUP(P3396,Sheet2!Q:R,2,0)</f>
        <v>IR Normal - Track burn out</v>
      </c>
      <c r="U3396" s="20" t="s">
        <v>41</v>
      </c>
      <c r="V3396" s="17"/>
      <c r="W3396" s="20" t="e">
        <f aca="false">VLOOKUP(V3396,Sheet2!Q:R,2,0)</f>
        <v>#N/A</v>
      </c>
      <c r="X3396" s="17" t="n">
        <f aca="false">J3396</f>
        <v>0</v>
      </c>
      <c r="Y3396" s="17" t="e">
        <f aca="false">VLOOKUP(X3396,Sheet2!A:B,2,0)</f>
        <v>#N/A</v>
      </c>
      <c r="Z3396" s="17"/>
      <c r="AA3396" s="17"/>
      <c r="AB3396" s="17" t="s">
        <v>41</v>
      </c>
      <c r="AC3396" s="0" t="str">
        <f aca="false">LEFT(G3396,2)</f>
        <v/>
      </c>
      <c r="AE3396" s="0"/>
    </row>
    <row r="3397" customFormat="false" ht="15" hidden="false" customHeight="false" outlineLevel="0" collapsed="false">
      <c r="A3397" s="13" t="n">
        <f aca="false">1+A3396</f>
        <v>3395</v>
      </c>
      <c r="B3397" s="14" t="n">
        <v>100</v>
      </c>
      <c r="C3397" s="15"/>
      <c r="D3397" s="16" t="s">
        <v>64</v>
      </c>
      <c r="E3397" s="17" t="s">
        <v>47</v>
      </c>
      <c r="F3397" s="18" t="s">
        <v>34</v>
      </c>
      <c r="G3397" s="19"/>
      <c r="H3397" s="17" t="s">
        <v>35</v>
      </c>
      <c r="I3397" s="17" t="s">
        <v>44</v>
      </c>
      <c r="J3397" s="17"/>
      <c r="K3397" s="17" t="e">
        <f aca="false">VLOOKUP(J3397,Sheet2!A:B,2,0)</f>
        <v>#N/A</v>
      </c>
      <c r="L3397" s="17" t="n">
        <v>5</v>
      </c>
      <c r="M3397" s="17" t="str">
        <f aca="false">VLOOKUP(L3397,Sheet2!D:E,2,0)</f>
        <v>Main Processor CPU BGA</v>
      </c>
      <c r="N3397" s="17" t="n">
        <v>1</v>
      </c>
      <c r="O3397" s="17" t="str">
        <f aca="false">VLOOKUP(N3397,Sheet2!G:H,2,0)</f>
        <v>Dead</v>
      </c>
      <c r="P3397" s="17" t="n">
        <v>11</v>
      </c>
      <c r="Q3397" s="17" t="str">
        <f aca="false">VLOOKUP(P3397,Sheet2!J:K,2,0)</f>
        <v>IR Declared due to CID -TA</v>
      </c>
      <c r="R3397" s="17" t="s">
        <v>35</v>
      </c>
      <c r="S3397" s="17" t="str">
        <f aca="false">VLOOKUP(R3397,Sheet2!N:O,2,0)</f>
        <v>IREPARABLE</v>
      </c>
      <c r="T3397" s="18" t="str">
        <f aca="false">VLOOKUP(P3397,Sheet2!Q:R,2,0)</f>
        <v>IR Normal - Track burn out</v>
      </c>
      <c r="U3397" s="20" t="s">
        <v>41</v>
      </c>
      <c r="V3397" s="17"/>
      <c r="W3397" s="20" t="e">
        <f aca="false">VLOOKUP(V3397,Sheet2!Q:R,2,0)</f>
        <v>#N/A</v>
      </c>
      <c r="X3397" s="17" t="n">
        <f aca="false">J3397</f>
        <v>0</v>
      </c>
      <c r="Y3397" s="17" t="e">
        <f aca="false">VLOOKUP(X3397,Sheet2!A:B,2,0)</f>
        <v>#N/A</v>
      </c>
      <c r="Z3397" s="17"/>
      <c r="AA3397" s="17"/>
      <c r="AB3397" s="17" t="s">
        <v>41</v>
      </c>
      <c r="AC3397" s="0" t="str">
        <f aca="false">LEFT(G3397,2)</f>
        <v/>
      </c>
      <c r="AE3397" s="0"/>
    </row>
    <row r="3398" customFormat="false" ht="15" hidden="false" customHeight="false" outlineLevel="0" collapsed="false">
      <c r="A3398" s="13" t="n">
        <f aca="false">1+A3397</f>
        <v>3396</v>
      </c>
      <c r="B3398" s="14" t="n">
        <v>100</v>
      </c>
      <c r="C3398" s="15"/>
      <c r="D3398" s="16" t="s">
        <v>64</v>
      </c>
      <c r="E3398" s="17" t="s">
        <v>47</v>
      </c>
      <c r="F3398" s="18" t="s">
        <v>34</v>
      </c>
      <c r="G3398" s="19"/>
      <c r="H3398" s="17" t="s">
        <v>35</v>
      </c>
      <c r="I3398" s="17" t="s">
        <v>44</v>
      </c>
      <c r="J3398" s="17"/>
      <c r="K3398" s="17" t="e">
        <f aca="false">VLOOKUP(J3398,Sheet2!A:B,2,0)</f>
        <v>#N/A</v>
      </c>
      <c r="L3398" s="17" t="n">
        <v>5</v>
      </c>
      <c r="M3398" s="17" t="str">
        <f aca="false">VLOOKUP(L3398,Sheet2!D:E,2,0)</f>
        <v>Main Processor CPU BGA</v>
      </c>
      <c r="N3398" s="17" t="n">
        <v>1</v>
      </c>
      <c r="O3398" s="17" t="str">
        <f aca="false">VLOOKUP(N3398,Sheet2!G:H,2,0)</f>
        <v>Dead</v>
      </c>
      <c r="P3398" s="17" t="n">
        <v>11</v>
      </c>
      <c r="Q3398" s="17" t="str">
        <f aca="false">VLOOKUP(P3398,Sheet2!J:K,2,0)</f>
        <v>IR Declared due to CID -TA</v>
      </c>
      <c r="R3398" s="17" t="s">
        <v>35</v>
      </c>
      <c r="S3398" s="17" t="str">
        <f aca="false">VLOOKUP(R3398,Sheet2!N:O,2,0)</f>
        <v>IREPARABLE</v>
      </c>
      <c r="T3398" s="18" t="str">
        <f aca="false">VLOOKUP(P3398,Sheet2!Q:R,2,0)</f>
        <v>IR Normal - Track burn out</v>
      </c>
      <c r="U3398" s="20" t="s">
        <v>41</v>
      </c>
      <c r="V3398" s="17"/>
      <c r="W3398" s="20" t="e">
        <f aca="false">VLOOKUP(V3398,Sheet2!Q:R,2,0)</f>
        <v>#N/A</v>
      </c>
      <c r="X3398" s="17" t="n">
        <f aca="false">J3398</f>
        <v>0</v>
      </c>
      <c r="Y3398" s="17" t="e">
        <f aca="false">VLOOKUP(X3398,Sheet2!A:B,2,0)</f>
        <v>#N/A</v>
      </c>
      <c r="Z3398" s="17"/>
      <c r="AA3398" s="17"/>
      <c r="AB3398" s="17" t="s">
        <v>41</v>
      </c>
      <c r="AC3398" s="0" t="str">
        <f aca="false">LEFT(G3398,2)</f>
        <v/>
      </c>
      <c r="AE3398" s="0"/>
    </row>
    <row r="3399" customFormat="false" ht="15" hidden="false" customHeight="false" outlineLevel="0" collapsed="false">
      <c r="A3399" s="13" t="n">
        <f aca="false">1+A3398</f>
        <v>3397</v>
      </c>
      <c r="B3399" s="14" t="n">
        <v>100</v>
      </c>
      <c r="C3399" s="15"/>
      <c r="D3399" s="16" t="s">
        <v>64</v>
      </c>
      <c r="E3399" s="17" t="s">
        <v>47</v>
      </c>
      <c r="F3399" s="18" t="s">
        <v>34</v>
      </c>
      <c r="G3399" s="19"/>
      <c r="H3399" s="17" t="s">
        <v>35</v>
      </c>
      <c r="I3399" s="17" t="s">
        <v>44</v>
      </c>
      <c r="J3399" s="17"/>
      <c r="K3399" s="17" t="e">
        <f aca="false">VLOOKUP(J3399,Sheet2!A:B,2,0)</f>
        <v>#N/A</v>
      </c>
      <c r="L3399" s="17" t="n">
        <v>5</v>
      </c>
      <c r="M3399" s="17" t="str">
        <f aca="false">VLOOKUP(L3399,Sheet2!D:E,2,0)</f>
        <v>Main Processor CPU BGA</v>
      </c>
      <c r="N3399" s="17" t="n">
        <v>1</v>
      </c>
      <c r="O3399" s="17" t="str">
        <f aca="false">VLOOKUP(N3399,Sheet2!G:H,2,0)</f>
        <v>Dead</v>
      </c>
      <c r="P3399" s="17" t="n">
        <v>11</v>
      </c>
      <c r="Q3399" s="17" t="str">
        <f aca="false">VLOOKUP(P3399,Sheet2!J:K,2,0)</f>
        <v>IR Declared due to CID -TA</v>
      </c>
      <c r="R3399" s="17" t="s">
        <v>35</v>
      </c>
      <c r="S3399" s="17" t="str">
        <f aca="false">VLOOKUP(R3399,Sheet2!N:O,2,0)</f>
        <v>IREPARABLE</v>
      </c>
      <c r="T3399" s="18" t="str">
        <f aca="false">VLOOKUP(P3399,Sheet2!Q:R,2,0)</f>
        <v>IR Normal - Track burn out</v>
      </c>
      <c r="U3399" s="20" t="s">
        <v>41</v>
      </c>
      <c r="V3399" s="17"/>
      <c r="W3399" s="20" t="e">
        <f aca="false">VLOOKUP(V3399,Sheet2!Q:R,2,0)</f>
        <v>#N/A</v>
      </c>
      <c r="X3399" s="17" t="n">
        <f aca="false">J3399</f>
        <v>0</v>
      </c>
      <c r="Y3399" s="17" t="e">
        <f aca="false">VLOOKUP(X3399,Sheet2!A:B,2,0)</f>
        <v>#N/A</v>
      </c>
      <c r="Z3399" s="17"/>
      <c r="AA3399" s="17"/>
      <c r="AB3399" s="17" t="s">
        <v>41</v>
      </c>
      <c r="AC3399" s="0" t="str">
        <f aca="false">LEFT(G3399,2)</f>
        <v/>
      </c>
      <c r="AE3399" s="0"/>
    </row>
    <row r="3400" customFormat="false" ht="15" hidden="false" customHeight="false" outlineLevel="0" collapsed="false">
      <c r="A3400" s="13" t="n">
        <f aca="false">1+A3399</f>
        <v>3398</v>
      </c>
      <c r="B3400" s="14" t="n">
        <v>100</v>
      </c>
      <c r="C3400" s="15"/>
      <c r="D3400" s="16" t="s">
        <v>64</v>
      </c>
      <c r="E3400" s="17" t="s">
        <v>47</v>
      </c>
      <c r="F3400" s="18" t="s">
        <v>34</v>
      </c>
      <c r="G3400" s="19"/>
      <c r="H3400" s="17" t="s">
        <v>35</v>
      </c>
      <c r="I3400" s="17" t="s">
        <v>44</v>
      </c>
      <c r="J3400" s="17"/>
      <c r="K3400" s="17" t="e">
        <f aca="false">VLOOKUP(J3400,Sheet2!A:B,2,0)</f>
        <v>#N/A</v>
      </c>
      <c r="L3400" s="17" t="n">
        <v>5</v>
      </c>
      <c r="M3400" s="17" t="str">
        <f aca="false">VLOOKUP(L3400,Sheet2!D:E,2,0)</f>
        <v>Main Processor CPU BGA</v>
      </c>
      <c r="N3400" s="17" t="n">
        <v>1</v>
      </c>
      <c r="O3400" s="17" t="str">
        <f aca="false">VLOOKUP(N3400,Sheet2!G:H,2,0)</f>
        <v>Dead</v>
      </c>
      <c r="P3400" s="17" t="n">
        <v>11</v>
      </c>
      <c r="Q3400" s="17" t="str">
        <f aca="false">VLOOKUP(P3400,Sheet2!J:K,2,0)</f>
        <v>IR Declared due to CID -TA</v>
      </c>
      <c r="R3400" s="17" t="s">
        <v>35</v>
      </c>
      <c r="S3400" s="17" t="str">
        <f aca="false">VLOOKUP(R3400,Sheet2!N:O,2,0)</f>
        <v>IREPARABLE</v>
      </c>
      <c r="T3400" s="18" t="str">
        <f aca="false">VLOOKUP(P3400,Sheet2!Q:R,2,0)</f>
        <v>IR Normal - Track burn out</v>
      </c>
      <c r="U3400" s="20" t="s">
        <v>41</v>
      </c>
      <c r="V3400" s="17"/>
      <c r="W3400" s="20" t="e">
        <f aca="false">VLOOKUP(V3400,Sheet2!Q:R,2,0)</f>
        <v>#N/A</v>
      </c>
      <c r="X3400" s="17" t="n">
        <f aca="false">J3400</f>
        <v>0</v>
      </c>
      <c r="Y3400" s="17" t="e">
        <f aca="false">VLOOKUP(X3400,Sheet2!A:B,2,0)</f>
        <v>#N/A</v>
      </c>
      <c r="Z3400" s="17"/>
      <c r="AA3400" s="17"/>
      <c r="AB3400" s="17" t="s">
        <v>41</v>
      </c>
      <c r="AC3400" s="0" t="str">
        <f aca="false">LEFT(G3400,2)</f>
        <v/>
      </c>
      <c r="AE3400" s="0"/>
    </row>
    <row r="3401" customFormat="false" ht="15" hidden="false" customHeight="false" outlineLevel="0" collapsed="false">
      <c r="A3401" s="13" t="n">
        <f aca="false">1+A3400</f>
        <v>3399</v>
      </c>
      <c r="B3401" s="14" t="n">
        <v>100</v>
      </c>
      <c r="C3401" s="15"/>
      <c r="D3401" s="16" t="s">
        <v>64</v>
      </c>
      <c r="E3401" s="17" t="s">
        <v>47</v>
      </c>
      <c r="F3401" s="18" t="s">
        <v>34</v>
      </c>
      <c r="G3401" s="19"/>
      <c r="H3401" s="17" t="s">
        <v>35</v>
      </c>
      <c r="I3401" s="17" t="s">
        <v>44</v>
      </c>
      <c r="J3401" s="17"/>
      <c r="K3401" s="17" t="e">
        <f aca="false">VLOOKUP(J3401,Sheet2!A:B,2,0)</f>
        <v>#N/A</v>
      </c>
      <c r="L3401" s="17" t="n">
        <v>5</v>
      </c>
      <c r="M3401" s="17" t="str">
        <f aca="false">VLOOKUP(L3401,Sheet2!D:E,2,0)</f>
        <v>Main Processor CPU BGA</v>
      </c>
      <c r="N3401" s="17" t="n">
        <v>1</v>
      </c>
      <c r="O3401" s="17" t="str">
        <f aca="false">VLOOKUP(N3401,Sheet2!G:H,2,0)</f>
        <v>Dead</v>
      </c>
      <c r="P3401" s="17" t="n">
        <v>11</v>
      </c>
      <c r="Q3401" s="17" t="str">
        <f aca="false">VLOOKUP(P3401,Sheet2!J:K,2,0)</f>
        <v>IR Declared due to CID -TA</v>
      </c>
      <c r="R3401" s="17" t="s">
        <v>35</v>
      </c>
      <c r="S3401" s="17" t="str">
        <f aca="false">VLOOKUP(R3401,Sheet2!N:O,2,0)</f>
        <v>IREPARABLE</v>
      </c>
      <c r="T3401" s="18" t="str">
        <f aca="false">VLOOKUP(P3401,Sheet2!Q:R,2,0)</f>
        <v>IR Normal - Track burn out</v>
      </c>
      <c r="U3401" s="20" t="s">
        <v>41</v>
      </c>
      <c r="V3401" s="17"/>
      <c r="W3401" s="20" t="e">
        <f aca="false">VLOOKUP(V3401,Sheet2!Q:R,2,0)</f>
        <v>#N/A</v>
      </c>
      <c r="X3401" s="17" t="n">
        <f aca="false">J3401</f>
        <v>0</v>
      </c>
      <c r="Y3401" s="17" t="e">
        <f aca="false">VLOOKUP(X3401,Sheet2!A:B,2,0)</f>
        <v>#N/A</v>
      </c>
      <c r="Z3401" s="17"/>
      <c r="AA3401" s="17"/>
      <c r="AB3401" s="17" t="s">
        <v>41</v>
      </c>
      <c r="AC3401" s="0" t="str">
        <f aca="false">LEFT(G3401,2)</f>
        <v/>
      </c>
      <c r="AE3401" s="0"/>
    </row>
    <row r="3402" customFormat="false" ht="15" hidden="false" customHeight="false" outlineLevel="0" collapsed="false">
      <c r="A3402" s="13" t="n">
        <f aca="false">1+A3401</f>
        <v>3400</v>
      </c>
      <c r="B3402" s="14" t="n">
        <v>100</v>
      </c>
      <c r="C3402" s="15"/>
      <c r="D3402" s="16" t="s">
        <v>64</v>
      </c>
      <c r="E3402" s="17" t="s">
        <v>47</v>
      </c>
      <c r="F3402" s="18" t="s">
        <v>34</v>
      </c>
      <c r="G3402" s="19"/>
      <c r="H3402" s="17" t="s">
        <v>35</v>
      </c>
      <c r="I3402" s="17" t="s">
        <v>44</v>
      </c>
      <c r="J3402" s="17"/>
      <c r="K3402" s="17" t="e">
        <f aca="false">VLOOKUP(J3402,Sheet2!A:B,2,0)</f>
        <v>#N/A</v>
      </c>
      <c r="L3402" s="17" t="n">
        <v>5</v>
      </c>
      <c r="M3402" s="17" t="str">
        <f aca="false">VLOOKUP(L3402,Sheet2!D:E,2,0)</f>
        <v>Main Processor CPU BGA</v>
      </c>
      <c r="N3402" s="17" t="n">
        <v>1</v>
      </c>
      <c r="O3402" s="17" t="str">
        <f aca="false">VLOOKUP(N3402,Sheet2!G:H,2,0)</f>
        <v>Dead</v>
      </c>
      <c r="P3402" s="17" t="n">
        <v>11</v>
      </c>
      <c r="Q3402" s="17" t="str">
        <f aca="false">VLOOKUP(P3402,Sheet2!J:K,2,0)</f>
        <v>IR Declared due to CID -TA</v>
      </c>
      <c r="R3402" s="17" t="s">
        <v>35</v>
      </c>
      <c r="S3402" s="17" t="str">
        <f aca="false">VLOOKUP(R3402,Sheet2!N:O,2,0)</f>
        <v>IREPARABLE</v>
      </c>
      <c r="T3402" s="18" t="str">
        <f aca="false">VLOOKUP(P3402,Sheet2!Q:R,2,0)</f>
        <v>IR Normal - Track burn out</v>
      </c>
      <c r="U3402" s="20" t="s">
        <v>41</v>
      </c>
      <c r="V3402" s="17"/>
      <c r="W3402" s="20" t="e">
        <f aca="false">VLOOKUP(V3402,Sheet2!Q:R,2,0)</f>
        <v>#N/A</v>
      </c>
      <c r="X3402" s="17" t="n">
        <f aca="false">J3402</f>
        <v>0</v>
      </c>
      <c r="Y3402" s="17" t="e">
        <f aca="false">VLOOKUP(X3402,Sheet2!A:B,2,0)</f>
        <v>#N/A</v>
      </c>
      <c r="Z3402" s="17"/>
      <c r="AA3402" s="17"/>
      <c r="AB3402" s="17" t="s">
        <v>41</v>
      </c>
      <c r="AC3402" s="0" t="str">
        <f aca="false">LEFT(G3402,2)</f>
        <v/>
      </c>
      <c r="AE3402" s="0"/>
    </row>
    <row r="3403" customFormat="false" ht="15" hidden="false" customHeight="false" outlineLevel="0" collapsed="false">
      <c r="A3403" s="13" t="n">
        <f aca="false">1+A3402</f>
        <v>3401</v>
      </c>
      <c r="B3403" s="14" t="n">
        <v>100</v>
      </c>
      <c r="C3403" s="15"/>
      <c r="D3403" s="16" t="s">
        <v>64</v>
      </c>
      <c r="E3403" s="17" t="s">
        <v>47</v>
      </c>
      <c r="F3403" s="18" t="s">
        <v>34</v>
      </c>
      <c r="G3403" s="19"/>
      <c r="H3403" s="17" t="s">
        <v>35</v>
      </c>
      <c r="I3403" s="17" t="s">
        <v>44</v>
      </c>
      <c r="J3403" s="17"/>
      <c r="K3403" s="17" t="e">
        <f aca="false">VLOOKUP(J3403,Sheet2!A:B,2,0)</f>
        <v>#N/A</v>
      </c>
      <c r="L3403" s="17" t="n">
        <v>5</v>
      </c>
      <c r="M3403" s="17" t="str">
        <f aca="false">VLOOKUP(L3403,Sheet2!D:E,2,0)</f>
        <v>Main Processor CPU BGA</v>
      </c>
      <c r="N3403" s="17" t="n">
        <v>1</v>
      </c>
      <c r="O3403" s="17" t="str">
        <f aca="false">VLOOKUP(N3403,Sheet2!G:H,2,0)</f>
        <v>Dead</v>
      </c>
      <c r="P3403" s="17" t="n">
        <v>11</v>
      </c>
      <c r="Q3403" s="17" t="str">
        <f aca="false">VLOOKUP(P3403,Sheet2!J:K,2,0)</f>
        <v>IR Declared due to CID -TA</v>
      </c>
      <c r="R3403" s="17" t="s">
        <v>35</v>
      </c>
      <c r="S3403" s="17" t="str">
        <f aca="false">VLOOKUP(R3403,Sheet2!N:O,2,0)</f>
        <v>IREPARABLE</v>
      </c>
      <c r="T3403" s="18" t="str">
        <f aca="false">VLOOKUP(P3403,Sheet2!Q:R,2,0)</f>
        <v>IR Normal - Track burn out</v>
      </c>
      <c r="U3403" s="20" t="s">
        <v>41</v>
      </c>
      <c r="V3403" s="17"/>
      <c r="W3403" s="20" t="e">
        <f aca="false">VLOOKUP(V3403,Sheet2!Q:R,2,0)</f>
        <v>#N/A</v>
      </c>
      <c r="X3403" s="17" t="n">
        <f aca="false">J3403</f>
        <v>0</v>
      </c>
      <c r="Y3403" s="17" t="e">
        <f aca="false">VLOOKUP(X3403,Sheet2!A:B,2,0)</f>
        <v>#N/A</v>
      </c>
      <c r="Z3403" s="17"/>
      <c r="AA3403" s="17"/>
      <c r="AB3403" s="17" t="s">
        <v>41</v>
      </c>
      <c r="AC3403" s="0" t="str">
        <f aca="false">LEFT(G3403,2)</f>
        <v/>
      </c>
      <c r="AE3403" s="0"/>
    </row>
    <row r="3404" customFormat="false" ht="15" hidden="false" customHeight="false" outlineLevel="0" collapsed="false">
      <c r="A3404" s="13" t="n">
        <f aca="false">1+A3403</f>
        <v>3402</v>
      </c>
      <c r="B3404" s="14" t="n">
        <v>100</v>
      </c>
      <c r="C3404" s="15"/>
      <c r="D3404" s="16" t="s">
        <v>64</v>
      </c>
      <c r="E3404" s="17" t="s">
        <v>47</v>
      </c>
      <c r="F3404" s="18" t="s">
        <v>34</v>
      </c>
      <c r="G3404" s="19"/>
      <c r="H3404" s="17" t="s">
        <v>35</v>
      </c>
      <c r="I3404" s="17" t="s">
        <v>44</v>
      </c>
      <c r="J3404" s="17"/>
      <c r="K3404" s="17" t="e">
        <f aca="false">VLOOKUP(J3404,Sheet2!A:B,2,0)</f>
        <v>#N/A</v>
      </c>
      <c r="L3404" s="17" t="n">
        <v>5</v>
      </c>
      <c r="M3404" s="17" t="str">
        <f aca="false">VLOOKUP(L3404,Sheet2!D:E,2,0)</f>
        <v>Main Processor CPU BGA</v>
      </c>
      <c r="N3404" s="17" t="n">
        <v>1</v>
      </c>
      <c r="O3404" s="17" t="str">
        <f aca="false">VLOOKUP(N3404,Sheet2!G:H,2,0)</f>
        <v>Dead</v>
      </c>
      <c r="P3404" s="17" t="n">
        <v>11</v>
      </c>
      <c r="Q3404" s="17" t="str">
        <f aca="false">VLOOKUP(P3404,Sheet2!J:K,2,0)</f>
        <v>IR Declared due to CID -TA</v>
      </c>
      <c r="R3404" s="17" t="s">
        <v>35</v>
      </c>
      <c r="S3404" s="17" t="str">
        <f aca="false">VLOOKUP(R3404,Sheet2!N:O,2,0)</f>
        <v>IREPARABLE</v>
      </c>
      <c r="T3404" s="18" t="str">
        <f aca="false">VLOOKUP(P3404,Sheet2!Q:R,2,0)</f>
        <v>IR Normal - Track burn out</v>
      </c>
      <c r="U3404" s="20" t="s">
        <v>41</v>
      </c>
      <c r="V3404" s="17"/>
      <c r="W3404" s="20" t="e">
        <f aca="false">VLOOKUP(V3404,Sheet2!Q:R,2,0)</f>
        <v>#N/A</v>
      </c>
      <c r="X3404" s="17" t="n">
        <f aca="false">J3404</f>
        <v>0</v>
      </c>
      <c r="Y3404" s="17" t="e">
        <f aca="false">VLOOKUP(X3404,Sheet2!A:B,2,0)</f>
        <v>#N/A</v>
      </c>
      <c r="Z3404" s="17"/>
      <c r="AA3404" s="17"/>
      <c r="AB3404" s="17" t="s">
        <v>41</v>
      </c>
      <c r="AC3404" s="0" t="str">
        <f aca="false">LEFT(G3404,2)</f>
        <v/>
      </c>
      <c r="AE3404" s="0"/>
    </row>
    <row r="3405" customFormat="false" ht="15" hidden="false" customHeight="false" outlineLevel="0" collapsed="false">
      <c r="A3405" s="13" t="n">
        <f aca="false">1+A3404</f>
        <v>3403</v>
      </c>
      <c r="B3405" s="14" t="n">
        <v>100</v>
      </c>
      <c r="C3405" s="15"/>
      <c r="D3405" s="16" t="s">
        <v>64</v>
      </c>
      <c r="E3405" s="17" t="s">
        <v>47</v>
      </c>
      <c r="F3405" s="18" t="s">
        <v>34</v>
      </c>
      <c r="G3405" s="19"/>
      <c r="H3405" s="17" t="s">
        <v>35</v>
      </c>
      <c r="I3405" s="17" t="s">
        <v>44</v>
      </c>
      <c r="J3405" s="17"/>
      <c r="K3405" s="17" t="e">
        <f aca="false">VLOOKUP(J3405,Sheet2!A:B,2,0)</f>
        <v>#N/A</v>
      </c>
      <c r="L3405" s="17" t="n">
        <v>5</v>
      </c>
      <c r="M3405" s="17" t="str">
        <f aca="false">VLOOKUP(L3405,Sheet2!D:E,2,0)</f>
        <v>Main Processor CPU BGA</v>
      </c>
      <c r="N3405" s="17" t="n">
        <v>1</v>
      </c>
      <c r="O3405" s="17" t="str">
        <f aca="false">VLOOKUP(N3405,Sheet2!G:H,2,0)</f>
        <v>Dead</v>
      </c>
      <c r="P3405" s="17" t="n">
        <v>11</v>
      </c>
      <c r="Q3405" s="17" t="str">
        <f aca="false">VLOOKUP(P3405,Sheet2!J:K,2,0)</f>
        <v>IR Declared due to CID -TA</v>
      </c>
      <c r="R3405" s="17" t="s">
        <v>35</v>
      </c>
      <c r="S3405" s="17" t="str">
        <f aca="false">VLOOKUP(R3405,Sheet2!N:O,2,0)</f>
        <v>IREPARABLE</v>
      </c>
      <c r="T3405" s="18" t="str">
        <f aca="false">VLOOKUP(P3405,Sheet2!Q:R,2,0)</f>
        <v>IR Normal - Track burn out</v>
      </c>
      <c r="U3405" s="20" t="s">
        <v>41</v>
      </c>
      <c r="V3405" s="17"/>
      <c r="W3405" s="20" t="e">
        <f aca="false">VLOOKUP(V3405,Sheet2!Q:R,2,0)</f>
        <v>#N/A</v>
      </c>
      <c r="X3405" s="17" t="n">
        <f aca="false">J3405</f>
        <v>0</v>
      </c>
      <c r="Y3405" s="17" t="e">
        <f aca="false">VLOOKUP(X3405,Sheet2!A:B,2,0)</f>
        <v>#N/A</v>
      </c>
      <c r="Z3405" s="17"/>
      <c r="AA3405" s="17"/>
      <c r="AB3405" s="17" t="s">
        <v>41</v>
      </c>
      <c r="AC3405" s="0" t="str">
        <f aca="false">LEFT(G3405,2)</f>
        <v/>
      </c>
      <c r="AE3405" s="0"/>
    </row>
    <row r="3406" customFormat="false" ht="15" hidden="false" customHeight="false" outlineLevel="0" collapsed="false">
      <c r="A3406" s="13" t="n">
        <f aca="false">1+A3405</f>
        <v>3404</v>
      </c>
      <c r="B3406" s="14" t="n">
        <v>100</v>
      </c>
      <c r="C3406" s="15"/>
      <c r="D3406" s="16" t="s">
        <v>64</v>
      </c>
      <c r="E3406" s="17" t="s">
        <v>47</v>
      </c>
      <c r="F3406" s="18" t="s">
        <v>34</v>
      </c>
      <c r="G3406" s="19"/>
      <c r="H3406" s="17" t="s">
        <v>35</v>
      </c>
      <c r="I3406" s="17" t="s">
        <v>44</v>
      </c>
      <c r="J3406" s="17"/>
      <c r="K3406" s="17" t="e">
        <f aca="false">VLOOKUP(J3406,Sheet2!A:B,2,0)</f>
        <v>#N/A</v>
      </c>
      <c r="L3406" s="17" t="n">
        <v>5</v>
      </c>
      <c r="M3406" s="17" t="str">
        <f aca="false">VLOOKUP(L3406,Sheet2!D:E,2,0)</f>
        <v>Main Processor CPU BGA</v>
      </c>
      <c r="N3406" s="17" t="n">
        <v>1</v>
      </c>
      <c r="O3406" s="17" t="str">
        <f aca="false">VLOOKUP(N3406,Sheet2!G:H,2,0)</f>
        <v>Dead</v>
      </c>
      <c r="P3406" s="17" t="n">
        <v>11</v>
      </c>
      <c r="Q3406" s="17" t="str">
        <f aca="false">VLOOKUP(P3406,Sheet2!J:K,2,0)</f>
        <v>IR Declared due to CID -TA</v>
      </c>
      <c r="R3406" s="17" t="s">
        <v>35</v>
      </c>
      <c r="S3406" s="17" t="str">
        <f aca="false">VLOOKUP(R3406,Sheet2!N:O,2,0)</f>
        <v>IREPARABLE</v>
      </c>
      <c r="T3406" s="18" t="str">
        <f aca="false">VLOOKUP(P3406,Sheet2!Q:R,2,0)</f>
        <v>IR Normal - Track burn out</v>
      </c>
      <c r="U3406" s="20" t="s">
        <v>41</v>
      </c>
      <c r="V3406" s="17"/>
      <c r="W3406" s="20" t="e">
        <f aca="false">VLOOKUP(V3406,Sheet2!Q:R,2,0)</f>
        <v>#N/A</v>
      </c>
      <c r="X3406" s="17" t="n">
        <f aca="false">J3406</f>
        <v>0</v>
      </c>
      <c r="Y3406" s="17" t="e">
        <f aca="false">VLOOKUP(X3406,Sheet2!A:B,2,0)</f>
        <v>#N/A</v>
      </c>
      <c r="Z3406" s="17"/>
      <c r="AA3406" s="17"/>
      <c r="AB3406" s="17" t="s">
        <v>41</v>
      </c>
      <c r="AC3406" s="0" t="str">
        <f aca="false">LEFT(G3406,2)</f>
        <v/>
      </c>
      <c r="AE3406" s="0"/>
    </row>
    <row r="3407" customFormat="false" ht="15" hidden="false" customHeight="false" outlineLevel="0" collapsed="false">
      <c r="A3407" s="13" t="n">
        <f aca="false">1+A3406</f>
        <v>3405</v>
      </c>
      <c r="B3407" s="14" t="n">
        <v>100</v>
      </c>
      <c r="C3407" s="15"/>
      <c r="D3407" s="16" t="s">
        <v>64</v>
      </c>
      <c r="E3407" s="17" t="s">
        <v>47</v>
      </c>
      <c r="F3407" s="18" t="s">
        <v>34</v>
      </c>
      <c r="G3407" s="19"/>
      <c r="H3407" s="17" t="s">
        <v>35</v>
      </c>
      <c r="I3407" s="17" t="s">
        <v>44</v>
      </c>
      <c r="J3407" s="17"/>
      <c r="K3407" s="17" t="e">
        <f aca="false">VLOOKUP(J3407,Sheet2!A:B,2,0)</f>
        <v>#N/A</v>
      </c>
      <c r="L3407" s="17" t="n">
        <v>5</v>
      </c>
      <c r="M3407" s="17" t="str">
        <f aca="false">VLOOKUP(L3407,Sheet2!D:E,2,0)</f>
        <v>Main Processor CPU BGA</v>
      </c>
      <c r="N3407" s="17" t="n">
        <v>1</v>
      </c>
      <c r="O3407" s="17" t="str">
        <f aca="false">VLOOKUP(N3407,Sheet2!G:H,2,0)</f>
        <v>Dead</v>
      </c>
      <c r="P3407" s="17" t="n">
        <v>11</v>
      </c>
      <c r="Q3407" s="17" t="str">
        <f aca="false">VLOOKUP(P3407,Sheet2!J:K,2,0)</f>
        <v>IR Declared due to CID -TA</v>
      </c>
      <c r="R3407" s="17" t="s">
        <v>35</v>
      </c>
      <c r="S3407" s="17" t="str">
        <f aca="false">VLOOKUP(R3407,Sheet2!N:O,2,0)</f>
        <v>IREPARABLE</v>
      </c>
      <c r="T3407" s="18" t="str">
        <f aca="false">VLOOKUP(P3407,Sheet2!Q:R,2,0)</f>
        <v>IR Normal - Track burn out</v>
      </c>
      <c r="U3407" s="20" t="s">
        <v>41</v>
      </c>
      <c r="V3407" s="17"/>
      <c r="W3407" s="20" t="e">
        <f aca="false">VLOOKUP(V3407,Sheet2!Q:R,2,0)</f>
        <v>#N/A</v>
      </c>
      <c r="X3407" s="17" t="n">
        <f aca="false">J3407</f>
        <v>0</v>
      </c>
      <c r="Y3407" s="17" t="e">
        <f aca="false">VLOOKUP(X3407,Sheet2!A:B,2,0)</f>
        <v>#N/A</v>
      </c>
      <c r="Z3407" s="17"/>
      <c r="AA3407" s="17"/>
      <c r="AB3407" s="17" t="s">
        <v>41</v>
      </c>
      <c r="AC3407" s="0" t="str">
        <f aca="false">LEFT(G3407,2)</f>
        <v/>
      </c>
      <c r="AE3407" s="0"/>
    </row>
    <row r="3408" customFormat="false" ht="15" hidden="false" customHeight="false" outlineLevel="0" collapsed="false">
      <c r="A3408" s="13" t="n">
        <f aca="false">1+A3407</f>
        <v>3406</v>
      </c>
      <c r="B3408" s="14" t="n">
        <v>100</v>
      </c>
      <c r="C3408" s="15"/>
      <c r="D3408" s="16" t="s">
        <v>64</v>
      </c>
      <c r="E3408" s="17" t="s">
        <v>47</v>
      </c>
      <c r="F3408" s="18" t="s">
        <v>34</v>
      </c>
      <c r="G3408" s="19"/>
      <c r="H3408" s="17" t="s">
        <v>35</v>
      </c>
      <c r="I3408" s="17" t="s">
        <v>44</v>
      </c>
      <c r="J3408" s="17"/>
      <c r="K3408" s="17" t="e">
        <f aca="false">VLOOKUP(J3408,Sheet2!A:B,2,0)</f>
        <v>#N/A</v>
      </c>
      <c r="L3408" s="17" t="n">
        <v>5</v>
      </c>
      <c r="M3408" s="17" t="str">
        <f aca="false">VLOOKUP(L3408,Sheet2!D:E,2,0)</f>
        <v>Main Processor CPU BGA</v>
      </c>
      <c r="N3408" s="17" t="n">
        <v>1</v>
      </c>
      <c r="O3408" s="17" t="str">
        <f aca="false">VLOOKUP(N3408,Sheet2!G:H,2,0)</f>
        <v>Dead</v>
      </c>
      <c r="P3408" s="17" t="n">
        <v>11</v>
      </c>
      <c r="Q3408" s="17" t="str">
        <f aca="false">VLOOKUP(P3408,Sheet2!J:K,2,0)</f>
        <v>IR Declared due to CID -TA</v>
      </c>
      <c r="R3408" s="17" t="s">
        <v>35</v>
      </c>
      <c r="S3408" s="17" t="str">
        <f aca="false">VLOOKUP(R3408,Sheet2!N:O,2,0)</f>
        <v>IREPARABLE</v>
      </c>
      <c r="T3408" s="18" t="str">
        <f aca="false">VLOOKUP(P3408,Sheet2!Q:R,2,0)</f>
        <v>IR Normal - Track burn out</v>
      </c>
      <c r="U3408" s="20" t="s">
        <v>41</v>
      </c>
      <c r="V3408" s="17"/>
      <c r="W3408" s="20" t="e">
        <f aca="false">VLOOKUP(V3408,Sheet2!Q:R,2,0)</f>
        <v>#N/A</v>
      </c>
      <c r="X3408" s="17" t="n">
        <f aca="false">J3408</f>
        <v>0</v>
      </c>
      <c r="Y3408" s="17" t="e">
        <f aca="false">VLOOKUP(X3408,Sheet2!A:B,2,0)</f>
        <v>#N/A</v>
      </c>
      <c r="Z3408" s="17"/>
      <c r="AA3408" s="17"/>
      <c r="AB3408" s="17" t="s">
        <v>41</v>
      </c>
      <c r="AC3408" s="0" t="str">
        <f aca="false">LEFT(G3408,2)</f>
        <v/>
      </c>
      <c r="AE3408" s="0"/>
    </row>
    <row r="3409" customFormat="false" ht="15" hidden="false" customHeight="false" outlineLevel="0" collapsed="false">
      <c r="A3409" s="13" t="n">
        <f aca="false">1+A3408</f>
        <v>3407</v>
      </c>
      <c r="B3409" s="14" t="n">
        <v>100</v>
      </c>
      <c r="C3409" s="15"/>
      <c r="D3409" s="16" t="s">
        <v>64</v>
      </c>
      <c r="E3409" s="17" t="s">
        <v>47</v>
      </c>
      <c r="F3409" s="18" t="s">
        <v>34</v>
      </c>
      <c r="G3409" s="19"/>
      <c r="H3409" s="17" t="s">
        <v>35</v>
      </c>
      <c r="I3409" s="17" t="s">
        <v>44</v>
      </c>
      <c r="J3409" s="17"/>
      <c r="K3409" s="17" t="e">
        <f aca="false">VLOOKUP(J3409,Sheet2!A:B,2,0)</f>
        <v>#N/A</v>
      </c>
      <c r="L3409" s="17" t="n">
        <v>5</v>
      </c>
      <c r="M3409" s="17" t="str">
        <f aca="false">VLOOKUP(L3409,Sheet2!D:E,2,0)</f>
        <v>Main Processor CPU BGA</v>
      </c>
      <c r="N3409" s="17" t="n">
        <v>1</v>
      </c>
      <c r="O3409" s="17" t="str">
        <f aca="false">VLOOKUP(N3409,Sheet2!G:H,2,0)</f>
        <v>Dead</v>
      </c>
      <c r="P3409" s="17" t="n">
        <v>11</v>
      </c>
      <c r="Q3409" s="17" t="str">
        <f aca="false">VLOOKUP(P3409,Sheet2!J:K,2,0)</f>
        <v>IR Declared due to CID -TA</v>
      </c>
      <c r="R3409" s="17" t="s">
        <v>35</v>
      </c>
      <c r="S3409" s="17" t="str">
        <f aca="false">VLOOKUP(R3409,Sheet2!N:O,2,0)</f>
        <v>IREPARABLE</v>
      </c>
      <c r="T3409" s="18" t="str">
        <f aca="false">VLOOKUP(P3409,Sheet2!Q:R,2,0)</f>
        <v>IR Normal - Track burn out</v>
      </c>
      <c r="U3409" s="20" t="s">
        <v>41</v>
      </c>
      <c r="V3409" s="17"/>
      <c r="W3409" s="20" t="e">
        <f aca="false">VLOOKUP(V3409,Sheet2!Q:R,2,0)</f>
        <v>#N/A</v>
      </c>
      <c r="X3409" s="17" t="n">
        <f aca="false">J3409</f>
        <v>0</v>
      </c>
      <c r="Y3409" s="17" t="e">
        <f aca="false">VLOOKUP(X3409,Sheet2!A:B,2,0)</f>
        <v>#N/A</v>
      </c>
      <c r="Z3409" s="17"/>
      <c r="AA3409" s="17"/>
      <c r="AB3409" s="17" t="s">
        <v>41</v>
      </c>
      <c r="AC3409" s="0" t="str">
        <f aca="false">LEFT(G3409,2)</f>
        <v/>
      </c>
      <c r="AE3409" s="0"/>
    </row>
    <row r="3410" customFormat="false" ht="15" hidden="false" customHeight="false" outlineLevel="0" collapsed="false">
      <c r="A3410" s="13" t="n">
        <f aca="false">1+A3409</f>
        <v>3408</v>
      </c>
      <c r="B3410" s="14" t="n">
        <v>100</v>
      </c>
      <c r="C3410" s="15"/>
      <c r="D3410" s="16" t="s">
        <v>64</v>
      </c>
      <c r="E3410" s="17" t="s">
        <v>47</v>
      </c>
      <c r="F3410" s="18" t="s">
        <v>34</v>
      </c>
      <c r="G3410" s="19"/>
      <c r="H3410" s="17" t="s">
        <v>35</v>
      </c>
      <c r="I3410" s="17" t="s">
        <v>44</v>
      </c>
      <c r="J3410" s="17"/>
      <c r="K3410" s="17" t="e">
        <f aca="false">VLOOKUP(J3410,Sheet2!A:B,2,0)</f>
        <v>#N/A</v>
      </c>
      <c r="L3410" s="17" t="n">
        <v>5</v>
      </c>
      <c r="M3410" s="17" t="str">
        <f aca="false">VLOOKUP(L3410,Sheet2!D:E,2,0)</f>
        <v>Main Processor CPU BGA</v>
      </c>
      <c r="N3410" s="17" t="n">
        <v>1</v>
      </c>
      <c r="O3410" s="17" t="str">
        <f aca="false">VLOOKUP(N3410,Sheet2!G:H,2,0)</f>
        <v>Dead</v>
      </c>
      <c r="P3410" s="17" t="n">
        <v>11</v>
      </c>
      <c r="Q3410" s="17" t="str">
        <f aca="false">VLOOKUP(P3410,Sheet2!J:K,2,0)</f>
        <v>IR Declared due to CID -TA</v>
      </c>
      <c r="R3410" s="17" t="s">
        <v>35</v>
      </c>
      <c r="S3410" s="17" t="str">
        <f aca="false">VLOOKUP(R3410,Sheet2!N:O,2,0)</f>
        <v>IREPARABLE</v>
      </c>
      <c r="T3410" s="18" t="str">
        <f aca="false">VLOOKUP(P3410,Sheet2!Q:R,2,0)</f>
        <v>IR Normal - Track burn out</v>
      </c>
      <c r="U3410" s="20" t="s">
        <v>41</v>
      </c>
      <c r="V3410" s="17"/>
      <c r="W3410" s="20" t="e">
        <f aca="false">VLOOKUP(V3410,Sheet2!Q:R,2,0)</f>
        <v>#N/A</v>
      </c>
      <c r="X3410" s="17" t="n">
        <f aca="false">J3410</f>
        <v>0</v>
      </c>
      <c r="Y3410" s="17" t="e">
        <f aca="false">VLOOKUP(X3410,Sheet2!A:B,2,0)</f>
        <v>#N/A</v>
      </c>
      <c r="Z3410" s="17"/>
      <c r="AA3410" s="17"/>
      <c r="AB3410" s="17" t="s">
        <v>41</v>
      </c>
      <c r="AC3410" s="0" t="str">
        <f aca="false">LEFT(G3410,2)</f>
        <v/>
      </c>
      <c r="AE3410" s="0"/>
    </row>
    <row r="3411" customFormat="false" ht="15" hidden="false" customHeight="false" outlineLevel="0" collapsed="false">
      <c r="A3411" s="13" t="n">
        <f aca="false">1+A3410</f>
        <v>3409</v>
      </c>
      <c r="B3411" s="14" t="n">
        <v>100</v>
      </c>
      <c r="C3411" s="15"/>
      <c r="D3411" s="16" t="s">
        <v>64</v>
      </c>
      <c r="E3411" s="17" t="s">
        <v>47</v>
      </c>
      <c r="F3411" s="18" t="s">
        <v>34</v>
      </c>
      <c r="G3411" s="19"/>
      <c r="H3411" s="17" t="s">
        <v>35</v>
      </c>
      <c r="I3411" s="17" t="s">
        <v>44</v>
      </c>
      <c r="J3411" s="17"/>
      <c r="K3411" s="17" t="e">
        <f aca="false">VLOOKUP(J3411,Sheet2!A:B,2,0)</f>
        <v>#N/A</v>
      </c>
      <c r="L3411" s="17" t="n">
        <v>5</v>
      </c>
      <c r="M3411" s="17" t="str">
        <f aca="false">VLOOKUP(L3411,Sheet2!D:E,2,0)</f>
        <v>Main Processor CPU BGA</v>
      </c>
      <c r="N3411" s="17" t="n">
        <v>1</v>
      </c>
      <c r="O3411" s="17" t="str">
        <f aca="false">VLOOKUP(N3411,Sheet2!G:H,2,0)</f>
        <v>Dead</v>
      </c>
      <c r="P3411" s="17" t="n">
        <v>11</v>
      </c>
      <c r="Q3411" s="17" t="str">
        <f aca="false">VLOOKUP(P3411,Sheet2!J:K,2,0)</f>
        <v>IR Declared due to CID -TA</v>
      </c>
      <c r="R3411" s="17" t="s">
        <v>35</v>
      </c>
      <c r="S3411" s="17" t="str">
        <f aca="false">VLOOKUP(R3411,Sheet2!N:O,2,0)</f>
        <v>IREPARABLE</v>
      </c>
      <c r="T3411" s="18" t="str">
        <f aca="false">VLOOKUP(P3411,Sheet2!Q:R,2,0)</f>
        <v>IR Normal - Track burn out</v>
      </c>
      <c r="U3411" s="20" t="s">
        <v>41</v>
      </c>
      <c r="V3411" s="17"/>
      <c r="W3411" s="20" t="e">
        <f aca="false">VLOOKUP(V3411,Sheet2!Q:R,2,0)</f>
        <v>#N/A</v>
      </c>
      <c r="X3411" s="17" t="n">
        <f aca="false">J3411</f>
        <v>0</v>
      </c>
      <c r="Y3411" s="17" t="e">
        <f aca="false">VLOOKUP(X3411,Sheet2!A:B,2,0)</f>
        <v>#N/A</v>
      </c>
      <c r="Z3411" s="17"/>
      <c r="AA3411" s="17"/>
      <c r="AB3411" s="17" t="s">
        <v>41</v>
      </c>
      <c r="AC3411" s="0" t="str">
        <f aca="false">LEFT(G3411,2)</f>
        <v/>
      </c>
      <c r="AE3411" s="0"/>
    </row>
    <row r="3412" customFormat="false" ht="15" hidden="false" customHeight="false" outlineLevel="0" collapsed="false">
      <c r="A3412" s="13" t="n">
        <f aca="false">1+A3411</f>
        <v>3410</v>
      </c>
      <c r="B3412" s="14" t="n">
        <v>100</v>
      </c>
      <c r="C3412" s="15"/>
      <c r="D3412" s="16" t="s">
        <v>64</v>
      </c>
      <c r="E3412" s="17" t="s">
        <v>47</v>
      </c>
      <c r="F3412" s="18" t="s">
        <v>34</v>
      </c>
      <c r="G3412" s="19"/>
      <c r="H3412" s="17" t="s">
        <v>35</v>
      </c>
      <c r="I3412" s="17" t="s">
        <v>44</v>
      </c>
      <c r="J3412" s="17"/>
      <c r="K3412" s="17" t="e">
        <f aca="false">VLOOKUP(J3412,Sheet2!A:B,2,0)</f>
        <v>#N/A</v>
      </c>
      <c r="L3412" s="17" t="n">
        <v>5</v>
      </c>
      <c r="M3412" s="17" t="str">
        <f aca="false">VLOOKUP(L3412,Sheet2!D:E,2,0)</f>
        <v>Main Processor CPU BGA</v>
      </c>
      <c r="N3412" s="17" t="n">
        <v>1</v>
      </c>
      <c r="O3412" s="17" t="str">
        <f aca="false">VLOOKUP(N3412,Sheet2!G:H,2,0)</f>
        <v>Dead</v>
      </c>
      <c r="P3412" s="17" t="n">
        <v>11</v>
      </c>
      <c r="Q3412" s="17" t="str">
        <f aca="false">VLOOKUP(P3412,Sheet2!J:K,2,0)</f>
        <v>IR Declared due to CID -TA</v>
      </c>
      <c r="R3412" s="17" t="s">
        <v>35</v>
      </c>
      <c r="S3412" s="17" t="str">
        <f aca="false">VLOOKUP(R3412,Sheet2!N:O,2,0)</f>
        <v>IREPARABLE</v>
      </c>
      <c r="T3412" s="18" t="str">
        <f aca="false">VLOOKUP(P3412,Sheet2!Q:R,2,0)</f>
        <v>IR Normal - Track burn out</v>
      </c>
      <c r="U3412" s="20" t="s">
        <v>41</v>
      </c>
      <c r="V3412" s="17"/>
      <c r="W3412" s="20" t="e">
        <f aca="false">VLOOKUP(V3412,Sheet2!Q:R,2,0)</f>
        <v>#N/A</v>
      </c>
      <c r="X3412" s="17" t="n">
        <f aca="false">J3412</f>
        <v>0</v>
      </c>
      <c r="Y3412" s="17" t="e">
        <f aca="false">VLOOKUP(X3412,Sheet2!A:B,2,0)</f>
        <v>#N/A</v>
      </c>
      <c r="Z3412" s="17"/>
      <c r="AA3412" s="17"/>
      <c r="AB3412" s="17" t="s">
        <v>41</v>
      </c>
      <c r="AC3412" s="0" t="str">
        <f aca="false">LEFT(G3412,2)</f>
        <v/>
      </c>
      <c r="AE3412" s="0"/>
    </row>
    <row r="3413" customFormat="false" ht="15" hidden="false" customHeight="false" outlineLevel="0" collapsed="false">
      <c r="A3413" s="13" t="n">
        <f aca="false">1+A3412</f>
        <v>3411</v>
      </c>
      <c r="B3413" s="14" t="n">
        <v>100</v>
      </c>
      <c r="C3413" s="15"/>
      <c r="D3413" s="16" t="s">
        <v>64</v>
      </c>
      <c r="E3413" s="17" t="s">
        <v>47</v>
      </c>
      <c r="F3413" s="18" t="s">
        <v>34</v>
      </c>
      <c r="G3413" s="19"/>
      <c r="H3413" s="17" t="s">
        <v>35</v>
      </c>
      <c r="I3413" s="17" t="s">
        <v>44</v>
      </c>
      <c r="J3413" s="17"/>
      <c r="K3413" s="17" t="e">
        <f aca="false">VLOOKUP(J3413,Sheet2!A:B,2,0)</f>
        <v>#N/A</v>
      </c>
      <c r="L3413" s="17" t="n">
        <v>5</v>
      </c>
      <c r="M3413" s="17" t="str">
        <f aca="false">VLOOKUP(L3413,Sheet2!D:E,2,0)</f>
        <v>Main Processor CPU BGA</v>
      </c>
      <c r="N3413" s="17" t="n">
        <v>1</v>
      </c>
      <c r="O3413" s="17" t="str">
        <f aca="false">VLOOKUP(N3413,Sheet2!G:H,2,0)</f>
        <v>Dead</v>
      </c>
      <c r="P3413" s="17" t="n">
        <v>11</v>
      </c>
      <c r="Q3413" s="17" t="str">
        <f aca="false">VLOOKUP(P3413,Sheet2!J:K,2,0)</f>
        <v>IR Declared due to CID -TA</v>
      </c>
      <c r="R3413" s="17" t="s">
        <v>35</v>
      </c>
      <c r="S3413" s="17" t="str">
        <f aca="false">VLOOKUP(R3413,Sheet2!N:O,2,0)</f>
        <v>IREPARABLE</v>
      </c>
      <c r="T3413" s="18" t="str">
        <f aca="false">VLOOKUP(P3413,Sheet2!Q:R,2,0)</f>
        <v>IR Normal - Track burn out</v>
      </c>
      <c r="U3413" s="20" t="s">
        <v>41</v>
      </c>
      <c r="V3413" s="17"/>
      <c r="W3413" s="20" t="e">
        <f aca="false">VLOOKUP(V3413,Sheet2!Q:R,2,0)</f>
        <v>#N/A</v>
      </c>
      <c r="X3413" s="17" t="n">
        <f aca="false">J3413</f>
        <v>0</v>
      </c>
      <c r="Y3413" s="17" t="e">
        <f aca="false">VLOOKUP(X3413,Sheet2!A:B,2,0)</f>
        <v>#N/A</v>
      </c>
      <c r="Z3413" s="17"/>
      <c r="AA3413" s="17"/>
      <c r="AB3413" s="17" t="s">
        <v>41</v>
      </c>
      <c r="AC3413" s="0" t="str">
        <f aca="false">LEFT(G3413,2)</f>
        <v/>
      </c>
      <c r="AE3413" s="0"/>
    </row>
    <row r="3414" customFormat="false" ht="15" hidden="false" customHeight="false" outlineLevel="0" collapsed="false">
      <c r="A3414" s="13" t="n">
        <f aca="false">1+A3413</f>
        <v>3412</v>
      </c>
      <c r="B3414" s="14" t="n">
        <v>100</v>
      </c>
      <c r="C3414" s="15"/>
      <c r="D3414" s="16" t="s">
        <v>64</v>
      </c>
      <c r="E3414" s="17" t="s">
        <v>47</v>
      </c>
      <c r="F3414" s="18" t="s">
        <v>34</v>
      </c>
      <c r="G3414" s="19"/>
      <c r="H3414" s="17" t="s">
        <v>35</v>
      </c>
      <c r="I3414" s="17" t="s">
        <v>44</v>
      </c>
      <c r="J3414" s="17"/>
      <c r="K3414" s="17" t="e">
        <f aca="false">VLOOKUP(J3414,Sheet2!A:B,2,0)</f>
        <v>#N/A</v>
      </c>
      <c r="L3414" s="17" t="n">
        <v>5</v>
      </c>
      <c r="M3414" s="17" t="str">
        <f aca="false">VLOOKUP(L3414,Sheet2!D:E,2,0)</f>
        <v>Main Processor CPU BGA</v>
      </c>
      <c r="N3414" s="17" t="n">
        <v>1</v>
      </c>
      <c r="O3414" s="17" t="str">
        <f aca="false">VLOOKUP(N3414,Sheet2!G:H,2,0)</f>
        <v>Dead</v>
      </c>
      <c r="P3414" s="17" t="n">
        <v>11</v>
      </c>
      <c r="Q3414" s="17" t="str">
        <f aca="false">VLOOKUP(P3414,Sheet2!J:K,2,0)</f>
        <v>IR Declared due to CID -TA</v>
      </c>
      <c r="R3414" s="17" t="s">
        <v>35</v>
      </c>
      <c r="S3414" s="17" t="str">
        <f aca="false">VLOOKUP(R3414,Sheet2!N:O,2,0)</f>
        <v>IREPARABLE</v>
      </c>
      <c r="T3414" s="18" t="str">
        <f aca="false">VLOOKUP(P3414,Sheet2!Q:R,2,0)</f>
        <v>IR Normal - Track burn out</v>
      </c>
      <c r="U3414" s="20" t="s">
        <v>41</v>
      </c>
      <c r="V3414" s="17"/>
      <c r="W3414" s="20" t="e">
        <f aca="false">VLOOKUP(V3414,Sheet2!Q:R,2,0)</f>
        <v>#N/A</v>
      </c>
      <c r="X3414" s="17" t="n">
        <f aca="false">J3414</f>
        <v>0</v>
      </c>
      <c r="Y3414" s="17" t="e">
        <f aca="false">VLOOKUP(X3414,Sheet2!A:B,2,0)</f>
        <v>#N/A</v>
      </c>
      <c r="Z3414" s="17"/>
      <c r="AA3414" s="17"/>
      <c r="AB3414" s="17" t="s">
        <v>41</v>
      </c>
      <c r="AC3414" s="0" t="str">
        <f aca="false">LEFT(G3414,2)</f>
        <v/>
      </c>
      <c r="AE3414" s="0"/>
    </row>
    <row r="3415" customFormat="false" ht="15" hidden="false" customHeight="false" outlineLevel="0" collapsed="false">
      <c r="A3415" s="13" t="n">
        <f aca="false">1+A3414</f>
        <v>3413</v>
      </c>
      <c r="B3415" s="14" t="n">
        <v>100</v>
      </c>
      <c r="C3415" s="15"/>
      <c r="D3415" s="16" t="s">
        <v>64</v>
      </c>
      <c r="E3415" s="17" t="s">
        <v>47</v>
      </c>
      <c r="F3415" s="18" t="s">
        <v>34</v>
      </c>
      <c r="G3415" s="19"/>
      <c r="H3415" s="17" t="s">
        <v>35</v>
      </c>
      <c r="I3415" s="17" t="s">
        <v>44</v>
      </c>
      <c r="J3415" s="17"/>
      <c r="K3415" s="17" t="e">
        <f aca="false">VLOOKUP(J3415,Sheet2!A:B,2,0)</f>
        <v>#N/A</v>
      </c>
      <c r="L3415" s="17" t="n">
        <v>5</v>
      </c>
      <c r="M3415" s="17" t="str">
        <f aca="false">VLOOKUP(L3415,Sheet2!D:E,2,0)</f>
        <v>Main Processor CPU BGA</v>
      </c>
      <c r="N3415" s="17" t="n">
        <v>1</v>
      </c>
      <c r="O3415" s="17" t="str">
        <f aca="false">VLOOKUP(N3415,Sheet2!G:H,2,0)</f>
        <v>Dead</v>
      </c>
      <c r="P3415" s="17" t="n">
        <v>11</v>
      </c>
      <c r="Q3415" s="17" t="str">
        <f aca="false">VLOOKUP(P3415,Sheet2!J:K,2,0)</f>
        <v>IR Declared due to CID -TA</v>
      </c>
      <c r="R3415" s="17" t="s">
        <v>35</v>
      </c>
      <c r="S3415" s="17" t="str">
        <f aca="false">VLOOKUP(R3415,Sheet2!N:O,2,0)</f>
        <v>IREPARABLE</v>
      </c>
      <c r="T3415" s="18" t="str">
        <f aca="false">VLOOKUP(P3415,Sheet2!Q:R,2,0)</f>
        <v>IR Normal - Track burn out</v>
      </c>
      <c r="U3415" s="20" t="s">
        <v>41</v>
      </c>
      <c r="V3415" s="17"/>
      <c r="W3415" s="20" t="e">
        <f aca="false">VLOOKUP(V3415,Sheet2!Q:R,2,0)</f>
        <v>#N/A</v>
      </c>
      <c r="X3415" s="17" t="n">
        <f aca="false">J3415</f>
        <v>0</v>
      </c>
      <c r="Y3415" s="17" t="e">
        <f aca="false">VLOOKUP(X3415,Sheet2!A:B,2,0)</f>
        <v>#N/A</v>
      </c>
      <c r="Z3415" s="17"/>
      <c r="AA3415" s="17"/>
      <c r="AB3415" s="17" t="s">
        <v>41</v>
      </c>
      <c r="AC3415" s="0" t="str">
        <f aca="false">LEFT(G3415,2)</f>
        <v/>
      </c>
      <c r="AE3415" s="0"/>
    </row>
    <row r="3416" customFormat="false" ht="15" hidden="false" customHeight="false" outlineLevel="0" collapsed="false">
      <c r="A3416" s="13" t="n">
        <f aca="false">1+A3415</f>
        <v>3414</v>
      </c>
      <c r="B3416" s="14" t="n">
        <v>100</v>
      </c>
      <c r="C3416" s="15"/>
      <c r="D3416" s="16" t="s">
        <v>64</v>
      </c>
      <c r="E3416" s="17" t="s">
        <v>47</v>
      </c>
      <c r="F3416" s="18" t="s">
        <v>34</v>
      </c>
      <c r="G3416" s="19"/>
      <c r="H3416" s="17" t="s">
        <v>35</v>
      </c>
      <c r="I3416" s="17" t="s">
        <v>44</v>
      </c>
      <c r="J3416" s="17"/>
      <c r="K3416" s="17" t="e">
        <f aca="false">VLOOKUP(J3416,Sheet2!A:B,2,0)</f>
        <v>#N/A</v>
      </c>
      <c r="L3416" s="17" t="n">
        <v>5</v>
      </c>
      <c r="M3416" s="17" t="str">
        <f aca="false">VLOOKUP(L3416,Sheet2!D:E,2,0)</f>
        <v>Main Processor CPU BGA</v>
      </c>
      <c r="N3416" s="17" t="n">
        <v>1</v>
      </c>
      <c r="O3416" s="17" t="str">
        <f aca="false">VLOOKUP(N3416,Sheet2!G:H,2,0)</f>
        <v>Dead</v>
      </c>
      <c r="P3416" s="17" t="n">
        <v>11</v>
      </c>
      <c r="Q3416" s="17" t="str">
        <f aca="false">VLOOKUP(P3416,Sheet2!J:K,2,0)</f>
        <v>IR Declared due to CID -TA</v>
      </c>
      <c r="R3416" s="17" t="s">
        <v>35</v>
      </c>
      <c r="S3416" s="17" t="str">
        <f aca="false">VLOOKUP(R3416,Sheet2!N:O,2,0)</f>
        <v>IREPARABLE</v>
      </c>
      <c r="T3416" s="18" t="str">
        <f aca="false">VLOOKUP(P3416,Sheet2!Q:R,2,0)</f>
        <v>IR Normal - Track burn out</v>
      </c>
      <c r="U3416" s="20" t="s">
        <v>41</v>
      </c>
      <c r="V3416" s="17"/>
      <c r="W3416" s="20" t="e">
        <f aca="false">VLOOKUP(V3416,Sheet2!Q:R,2,0)</f>
        <v>#N/A</v>
      </c>
      <c r="X3416" s="17" t="n">
        <f aca="false">J3416</f>
        <v>0</v>
      </c>
      <c r="Y3416" s="17" t="e">
        <f aca="false">VLOOKUP(X3416,Sheet2!A:B,2,0)</f>
        <v>#N/A</v>
      </c>
      <c r="Z3416" s="17"/>
      <c r="AA3416" s="17"/>
      <c r="AB3416" s="17" t="s">
        <v>41</v>
      </c>
      <c r="AC3416" s="0" t="str">
        <f aca="false">LEFT(G3416,2)</f>
        <v/>
      </c>
      <c r="AE3416" s="0"/>
    </row>
    <row r="3417" customFormat="false" ht="15" hidden="false" customHeight="false" outlineLevel="0" collapsed="false">
      <c r="A3417" s="13" t="n">
        <f aca="false">1+A3416</f>
        <v>3415</v>
      </c>
      <c r="B3417" s="14" t="n">
        <v>100</v>
      </c>
      <c r="C3417" s="15"/>
      <c r="D3417" s="16" t="s">
        <v>64</v>
      </c>
      <c r="E3417" s="17" t="s">
        <v>47</v>
      </c>
      <c r="F3417" s="18" t="s">
        <v>34</v>
      </c>
      <c r="G3417" s="19"/>
      <c r="H3417" s="17" t="s">
        <v>35</v>
      </c>
      <c r="I3417" s="17" t="s">
        <v>44</v>
      </c>
      <c r="J3417" s="17"/>
      <c r="K3417" s="17" t="e">
        <f aca="false">VLOOKUP(J3417,Sheet2!A:B,2,0)</f>
        <v>#N/A</v>
      </c>
      <c r="L3417" s="17" t="n">
        <v>5</v>
      </c>
      <c r="M3417" s="17" t="str">
        <f aca="false">VLOOKUP(L3417,Sheet2!D:E,2,0)</f>
        <v>Main Processor CPU BGA</v>
      </c>
      <c r="N3417" s="17" t="n">
        <v>1</v>
      </c>
      <c r="O3417" s="17" t="str">
        <f aca="false">VLOOKUP(N3417,Sheet2!G:H,2,0)</f>
        <v>Dead</v>
      </c>
      <c r="P3417" s="17" t="n">
        <v>11</v>
      </c>
      <c r="Q3417" s="17" t="str">
        <f aca="false">VLOOKUP(P3417,Sheet2!J:K,2,0)</f>
        <v>IR Declared due to CID -TA</v>
      </c>
      <c r="R3417" s="17" t="s">
        <v>35</v>
      </c>
      <c r="S3417" s="17" t="str">
        <f aca="false">VLOOKUP(R3417,Sheet2!N:O,2,0)</f>
        <v>IREPARABLE</v>
      </c>
      <c r="T3417" s="18" t="str">
        <f aca="false">VLOOKUP(P3417,Sheet2!Q:R,2,0)</f>
        <v>IR Normal - Track burn out</v>
      </c>
      <c r="U3417" s="20" t="s">
        <v>41</v>
      </c>
      <c r="V3417" s="17"/>
      <c r="W3417" s="20" t="e">
        <f aca="false">VLOOKUP(V3417,Sheet2!Q:R,2,0)</f>
        <v>#N/A</v>
      </c>
      <c r="X3417" s="17" t="n">
        <f aca="false">J3417</f>
        <v>0</v>
      </c>
      <c r="Y3417" s="17" t="e">
        <f aca="false">VLOOKUP(X3417,Sheet2!A:B,2,0)</f>
        <v>#N/A</v>
      </c>
      <c r="Z3417" s="17"/>
      <c r="AA3417" s="17"/>
      <c r="AB3417" s="17" t="s">
        <v>41</v>
      </c>
      <c r="AC3417" s="0" t="str">
        <f aca="false">LEFT(G3417,2)</f>
        <v/>
      </c>
      <c r="AE3417" s="0"/>
    </row>
    <row r="3418" customFormat="false" ht="15" hidden="false" customHeight="false" outlineLevel="0" collapsed="false">
      <c r="A3418" s="13" t="n">
        <f aca="false">1+A3417</f>
        <v>3416</v>
      </c>
      <c r="B3418" s="14" t="n">
        <v>100</v>
      </c>
      <c r="C3418" s="15"/>
      <c r="D3418" s="16" t="s">
        <v>64</v>
      </c>
      <c r="E3418" s="17" t="s">
        <v>47</v>
      </c>
      <c r="F3418" s="18" t="s">
        <v>34</v>
      </c>
      <c r="G3418" s="19"/>
      <c r="H3418" s="17" t="s">
        <v>35</v>
      </c>
      <c r="I3418" s="17" t="s">
        <v>44</v>
      </c>
      <c r="J3418" s="17"/>
      <c r="K3418" s="17" t="e">
        <f aca="false">VLOOKUP(J3418,Sheet2!A:B,2,0)</f>
        <v>#N/A</v>
      </c>
      <c r="L3418" s="17" t="n">
        <v>5</v>
      </c>
      <c r="M3418" s="17" t="str">
        <f aca="false">VLOOKUP(L3418,Sheet2!D:E,2,0)</f>
        <v>Main Processor CPU BGA</v>
      </c>
      <c r="N3418" s="17" t="n">
        <v>1</v>
      </c>
      <c r="O3418" s="17" t="str">
        <f aca="false">VLOOKUP(N3418,Sheet2!G:H,2,0)</f>
        <v>Dead</v>
      </c>
      <c r="P3418" s="17" t="n">
        <v>11</v>
      </c>
      <c r="Q3418" s="17" t="str">
        <f aca="false">VLOOKUP(P3418,Sheet2!J:K,2,0)</f>
        <v>IR Declared due to CID -TA</v>
      </c>
      <c r="R3418" s="17" t="s">
        <v>35</v>
      </c>
      <c r="S3418" s="17" t="str">
        <f aca="false">VLOOKUP(R3418,Sheet2!N:O,2,0)</f>
        <v>IREPARABLE</v>
      </c>
      <c r="T3418" s="18" t="str">
        <f aca="false">VLOOKUP(P3418,Sheet2!Q:R,2,0)</f>
        <v>IR Normal - Track burn out</v>
      </c>
      <c r="U3418" s="20" t="s">
        <v>41</v>
      </c>
      <c r="V3418" s="17"/>
      <c r="W3418" s="20" t="e">
        <f aca="false">VLOOKUP(V3418,Sheet2!Q:R,2,0)</f>
        <v>#N/A</v>
      </c>
      <c r="X3418" s="17" t="n">
        <f aca="false">J3418</f>
        <v>0</v>
      </c>
      <c r="Y3418" s="17" t="e">
        <f aca="false">VLOOKUP(X3418,Sheet2!A:B,2,0)</f>
        <v>#N/A</v>
      </c>
      <c r="Z3418" s="17"/>
      <c r="AA3418" s="17"/>
      <c r="AB3418" s="17" t="s">
        <v>41</v>
      </c>
      <c r="AC3418" s="0" t="str">
        <f aca="false">LEFT(G3418,2)</f>
        <v/>
      </c>
      <c r="AE3418" s="0"/>
    </row>
    <row r="3419" customFormat="false" ht="15" hidden="false" customHeight="false" outlineLevel="0" collapsed="false">
      <c r="A3419" s="13" t="n">
        <f aca="false">1+A3418</f>
        <v>3417</v>
      </c>
      <c r="B3419" s="14" t="n">
        <v>100</v>
      </c>
      <c r="C3419" s="15"/>
      <c r="D3419" s="16" t="s">
        <v>64</v>
      </c>
      <c r="E3419" s="17" t="s">
        <v>47</v>
      </c>
      <c r="F3419" s="18" t="s">
        <v>34</v>
      </c>
      <c r="G3419" s="19"/>
      <c r="H3419" s="17" t="s">
        <v>35</v>
      </c>
      <c r="I3419" s="17" t="s">
        <v>44</v>
      </c>
      <c r="J3419" s="17"/>
      <c r="K3419" s="17" t="e">
        <f aca="false">VLOOKUP(J3419,Sheet2!A:B,2,0)</f>
        <v>#N/A</v>
      </c>
      <c r="L3419" s="17" t="n">
        <v>5</v>
      </c>
      <c r="M3419" s="17" t="str">
        <f aca="false">VLOOKUP(L3419,Sheet2!D:E,2,0)</f>
        <v>Main Processor CPU BGA</v>
      </c>
      <c r="N3419" s="17" t="n">
        <v>1</v>
      </c>
      <c r="O3419" s="17" t="str">
        <f aca="false">VLOOKUP(N3419,Sheet2!G:H,2,0)</f>
        <v>Dead</v>
      </c>
      <c r="P3419" s="17" t="n">
        <v>11</v>
      </c>
      <c r="Q3419" s="17" t="str">
        <f aca="false">VLOOKUP(P3419,Sheet2!J:K,2,0)</f>
        <v>IR Declared due to CID -TA</v>
      </c>
      <c r="R3419" s="17" t="s">
        <v>35</v>
      </c>
      <c r="S3419" s="17" t="str">
        <f aca="false">VLOOKUP(R3419,Sheet2!N:O,2,0)</f>
        <v>IREPARABLE</v>
      </c>
      <c r="T3419" s="18" t="str">
        <f aca="false">VLOOKUP(P3419,Sheet2!Q:R,2,0)</f>
        <v>IR Normal - Track burn out</v>
      </c>
      <c r="U3419" s="20" t="s">
        <v>41</v>
      </c>
      <c r="V3419" s="17"/>
      <c r="W3419" s="20" t="e">
        <f aca="false">VLOOKUP(V3419,Sheet2!Q:R,2,0)</f>
        <v>#N/A</v>
      </c>
      <c r="X3419" s="17" t="n">
        <f aca="false">J3419</f>
        <v>0</v>
      </c>
      <c r="Y3419" s="17" t="e">
        <f aca="false">VLOOKUP(X3419,Sheet2!A:B,2,0)</f>
        <v>#N/A</v>
      </c>
      <c r="Z3419" s="17"/>
      <c r="AA3419" s="17"/>
      <c r="AB3419" s="17" t="s">
        <v>41</v>
      </c>
      <c r="AC3419" s="0" t="str">
        <f aca="false">LEFT(G3419,2)</f>
        <v/>
      </c>
      <c r="AE3419" s="0"/>
    </row>
    <row r="3420" customFormat="false" ht="15" hidden="false" customHeight="false" outlineLevel="0" collapsed="false">
      <c r="A3420" s="13" t="n">
        <f aca="false">1+A3419</f>
        <v>3418</v>
      </c>
      <c r="B3420" s="14" t="n">
        <v>100</v>
      </c>
      <c r="C3420" s="15"/>
      <c r="D3420" s="16" t="s">
        <v>64</v>
      </c>
      <c r="E3420" s="17" t="s">
        <v>47</v>
      </c>
      <c r="F3420" s="18" t="s">
        <v>34</v>
      </c>
      <c r="G3420" s="19"/>
      <c r="H3420" s="17" t="s">
        <v>35</v>
      </c>
      <c r="I3420" s="17" t="s">
        <v>44</v>
      </c>
      <c r="J3420" s="17"/>
      <c r="K3420" s="17" t="e">
        <f aca="false">VLOOKUP(J3420,Sheet2!A:B,2,0)</f>
        <v>#N/A</v>
      </c>
      <c r="L3420" s="17" t="n">
        <v>5</v>
      </c>
      <c r="M3420" s="17" t="str">
        <f aca="false">VLOOKUP(L3420,Sheet2!D:E,2,0)</f>
        <v>Main Processor CPU BGA</v>
      </c>
      <c r="N3420" s="17" t="n">
        <v>1</v>
      </c>
      <c r="O3420" s="17" t="str">
        <f aca="false">VLOOKUP(N3420,Sheet2!G:H,2,0)</f>
        <v>Dead</v>
      </c>
      <c r="P3420" s="17" t="n">
        <v>11</v>
      </c>
      <c r="Q3420" s="17" t="str">
        <f aca="false">VLOOKUP(P3420,Sheet2!J:K,2,0)</f>
        <v>IR Declared due to CID -TA</v>
      </c>
      <c r="R3420" s="17" t="s">
        <v>35</v>
      </c>
      <c r="S3420" s="17" t="str">
        <f aca="false">VLOOKUP(R3420,Sheet2!N:O,2,0)</f>
        <v>IREPARABLE</v>
      </c>
      <c r="T3420" s="18" t="str">
        <f aca="false">VLOOKUP(P3420,Sheet2!Q:R,2,0)</f>
        <v>IR Normal - Track burn out</v>
      </c>
      <c r="U3420" s="20" t="s">
        <v>41</v>
      </c>
      <c r="V3420" s="17"/>
      <c r="W3420" s="20" t="e">
        <f aca="false">VLOOKUP(V3420,Sheet2!Q:R,2,0)</f>
        <v>#N/A</v>
      </c>
      <c r="X3420" s="17" t="n">
        <f aca="false">J3420</f>
        <v>0</v>
      </c>
      <c r="Y3420" s="17" t="e">
        <f aca="false">VLOOKUP(X3420,Sheet2!A:B,2,0)</f>
        <v>#N/A</v>
      </c>
      <c r="Z3420" s="17"/>
      <c r="AA3420" s="17"/>
      <c r="AB3420" s="17" t="s">
        <v>41</v>
      </c>
      <c r="AC3420" s="0" t="str">
        <f aca="false">LEFT(G3420,2)</f>
        <v/>
      </c>
      <c r="AE3420" s="0"/>
    </row>
    <row r="3421" customFormat="false" ht="15" hidden="false" customHeight="false" outlineLevel="0" collapsed="false">
      <c r="A3421" s="13" t="n">
        <f aca="false">1+A3420</f>
        <v>3419</v>
      </c>
      <c r="B3421" s="14" t="n">
        <v>100</v>
      </c>
      <c r="C3421" s="15"/>
      <c r="D3421" s="16" t="s">
        <v>64</v>
      </c>
      <c r="E3421" s="17" t="s">
        <v>47</v>
      </c>
      <c r="F3421" s="18" t="s">
        <v>34</v>
      </c>
      <c r="G3421" s="19"/>
      <c r="H3421" s="17" t="s">
        <v>35</v>
      </c>
      <c r="I3421" s="17" t="s">
        <v>44</v>
      </c>
      <c r="J3421" s="17"/>
      <c r="K3421" s="17" t="e">
        <f aca="false">VLOOKUP(J3421,Sheet2!A:B,2,0)</f>
        <v>#N/A</v>
      </c>
      <c r="L3421" s="17" t="n">
        <v>5</v>
      </c>
      <c r="M3421" s="17" t="str">
        <f aca="false">VLOOKUP(L3421,Sheet2!D:E,2,0)</f>
        <v>Main Processor CPU BGA</v>
      </c>
      <c r="N3421" s="17" t="n">
        <v>1</v>
      </c>
      <c r="O3421" s="17" t="str">
        <f aca="false">VLOOKUP(N3421,Sheet2!G:H,2,0)</f>
        <v>Dead</v>
      </c>
      <c r="P3421" s="17" t="n">
        <v>11</v>
      </c>
      <c r="Q3421" s="17" t="str">
        <f aca="false">VLOOKUP(P3421,Sheet2!J:K,2,0)</f>
        <v>IR Declared due to CID -TA</v>
      </c>
      <c r="R3421" s="17" t="s">
        <v>35</v>
      </c>
      <c r="S3421" s="17" t="str">
        <f aca="false">VLOOKUP(R3421,Sheet2!N:O,2,0)</f>
        <v>IREPARABLE</v>
      </c>
      <c r="T3421" s="18" t="str">
        <f aca="false">VLOOKUP(P3421,Sheet2!Q:R,2,0)</f>
        <v>IR Normal - Track burn out</v>
      </c>
      <c r="U3421" s="20" t="s">
        <v>41</v>
      </c>
      <c r="V3421" s="17"/>
      <c r="W3421" s="20" t="e">
        <f aca="false">VLOOKUP(V3421,Sheet2!Q:R,2,0)</f>
        <v>#N/A</v>
      </c>
      <c r="X3421" s="17" t="n">
        <f aca="false">J3421</f>
        <v>0</v>
      </c>
      <c r="Y3421" s="17" t="e">
        <f aca="false">VLOOKUP(X3421,Sheet2!A:B,2,0)</f>
        <v>#N/A</v>
      </c>
      <c r="Z3421" s="17"/>
      <c r="AA3421" s="17"/>
      <c r="AB3421" s="17" t="s">
        <v>41</v>
      </c>
      <c r="AC3421" s="0" t="str">
        <f aca="false">LEFT(G3421,2)</f>
        <v/>
      </c>
      <c r="AE3421" s="0"/>
    </row>
    <row r="3422" customFormat="false" ht="15" hidden="false" customHeight="false" outlineLevel="0" collapsed="false">
      <c r="A3422" s="13" t="n">
        <f aca="false">1+A3421</f>
        <v>3420</v>
      </c>
      <c r="B3422" s="14" t="n">
        <v>100</v>
      </c>
      <c r="C3422" s="15"/>
      <c r="D3422" s="16" t="s">
        <v>64</v>
      </c>
      <c r="E3422" s="17" t="s">
        <v>47</v>
      </c>
      <c r="F3422" s="18" t="s">
        <v>34</v>
      </c>
      <c r="G3422" s="19"/>
      <c r="H3422" s="17" t="s">
        <v>35</v>
      </c>
      <c r="I3422" s="17" t="s">
        <v>44</v>
      </c>
      <c r="J3422" s="17"/>
      <c r="K3422" s="17" t="e">
        <f aca="false">VLOOKUP(J3422,Sheet2!A:B,2,0)</f>
        <v>#N/A</v>
      </c>
      <c r="L3422" s="17" t="n">
        <v>5</v>
      </c>
      <c r="M3422" s="17" t="str">
        <f aca="false">VLOOKUP(L3422,Sheet2!D:E,2,0)</f>
        <v>Main Processor CPU BGA</v>
      </c>
      <c r="N3422" s="17" t="n">
        <v>1</v>
      </c>
      <c r="O3422" s="17" t="str">
        <f aca="false">VLOOKUP(N3422,Sheet2!G:H,2,0)</f>
        <v>Dead</v>
      </c>
      <c r="P3422" s="17" t="n">
        <v>11</v>
      </c>
      <c r="Q3422" s="17" t="str">
        <f aca="false">VLOOKUP(P3422,Sheet2!J:K,2,0)</f>
        <v>IR Declared due to CID -TA</v>
      </c>
      <c r="R3422" s="17" t="s">
        <v>35</v>
      </c>
      <c r="S3422" s="17" t="str">
        <f aca="false">VLOOKUP(R3422,Sheet2!N:O,2,0)</f>
        <v>IREPARABLE</v>
      </c>
      <c r="T3422" s="18" t="str">
        <f aca="false">VLOOKUP(P3422,Sheet2!Q:R,2,0)</f>
        <v>IR Normal - Track burn out</v>
      </c>
      <c r="U3422" s="20" t="s">
        <v>41</v>
      </c>
      <c r="V3422" s="17"/>
      <c r="W3422" s="20" t="e">
        <f aca="false">VLOOKUP(V3422,Sheet2!Q:R,2,0)</f>
        <v>#N/A</v>
      </c>
      <c r="X3422" s="17" t="n">
        <f aca="false">J3422</f>
        <v>0</v>
      </c>
      <c r="Y3422" s="17" t="e">
        <f aca="false">VLOOKUP(X3422,Sheet2!A:B,2,0)</f>
        <v>#N/A</v>
      </c>
      <c r="Z3422" s="17"/>
      <c r="AA3422" s="17"/>
      <c r="AB3422" s="17" t="s">
        <v>41</v>
      </c>
      <c r="AC3422" s="0" t="str">
        <f aca="false">LEFT(G3422,2)</f>
        <v/>
      </c>
      <c r="AE3422" s="0"/>
    </row>
    <row r="3423" customFormat="false" ht="15" hidden="false" customHeight="false" outlineLevel="0" collapsed="false">
      <c r="A3423" s="13" t="n">
        <f aca="false">1+A3422</f>
        <v>3421</v>
      </c>
      <c r="B3423" s="14" t="n">
        <v>100</v>
      </c>
      <c r="C3423" s="15"/>
      <c r="D3423" s="16" t="s">
        <v>64</v>
      </c>
      <c r="E3423" s="17" t="s">
        <v>47</v>
      </c>
      <c r="F3423" s="18" t="s">
        <v>34</v>
      </c>
      <c r="G3423" s="19"/>
      <c r="H3423" s="17" t="s">
        <v>35</v>
      </c>
      <c r="I3423" s="17" t="s">
        <v>44</v>
      </c>
      <c r="J3423" s="17"/>
      <c r="K3423" s="17" t="e">
        <f aca="false">VLOOKUP(J3423,Sheet2!A:B,2,0)</f>
        <v>#N/A</v>
      </c>
      <c r="L3423" s="17" t="n">
        <v>5</v>
      </c>
      <c r="M3423" s="17" t="str">
        <f aca="false">VLOOKUP(L3423,Sheet2!D:E,2,0)</f>
        <v>Main Processor CPU BGA</v>
      </c>
      <c r="N3423" s="17" t="n">
        <v>1</v>
      </c>
      <c r="O3423" s="17" t="str">
        <f aca="false">VLOOKUP(N3423,Sheet2!G:H,2,0)</f>
        <v>Dead</v>
      </c>
      <c r="P3423" s="17" t="n">
        <v>11</v>
      </c>
      <c r="Q3423" s="17" t="str">
        <f aca="false">VLOOKUP(P3423,Sheet2!J:K,2,0)</f>
        <v>IR Declared due to CID -TA</v>
      </c>
      <c r="R3423" s="17" t="s">
        <v>35</v>
      </c>
      <c r="S3423" s="17" t="str">
        <f aca="false">VLOOKUP(R3423,Sheet2!N:O,2,0)</f>
        <v>IREPARABLE</v>
      </c>
      <c r="T3423" s="18" t="str">
        <f aca="false">VLOOKUP(P3423,Sheet2!Q:R,2,0)</f>
        <v>IR Normal - Track burn out</v>
      </c>
      <c r="U3423" s="20" t="s">
        <v>41</v>
      </c>
      <c r="V3423" s="17"/>
      <c r="W3423" s="20" t="e">
        <f aca="false">VLOOKUP(V3423,Sheet2!Q:R,2,0)</f>
        <v>#N/A</v>
      </c>
      <c r="X3423" s="17" t="n">
        <f aca="false">J3423</f>
        <v>0</v>
      </c>
      <c r="Y3423" s="17" t="e">
        <f aca="false">VLOOKUP(X3423,Sheet2!A:B,2,0)</f>
        <v>#N/A</v>
      </c>
      <c r="Z3423" s="17"/>
      <c r="AA3423" s="17"/>
      <c r="AB3423" s="17" t="s">
        <v>41</v>
      </c>
      <c r="AC3423" s="0" t="str">
        <f aca="false">LEFT(G3423,2)</f>
        <v/>
      </c>
      <c r="AE3423" s="0"/>
    </row>
    <row r="3424" customFormat="false" ht="15" hidden="false" customHeight="false" outlineLevel="0" collapsed="false">
      <c r="A3424" s="13" t="n">
        <f aca="false">1+A3423</f>
        <v>3422</v>
      </c>
      <c r="B3424" s="14" t="n">
        <v>100</v>
      </c>
      <c r="C3424" s="15"/>
      <c r="D3424" s="16" t="s">
        <v>64</v>
      </c>
      <c r="E3424" s="17" t="s">
        <v>47</v>
      </c>
      <c r="F3424" s="18" t="s">
        <v>34</v>
      </c>
      <c r="G3424" s="19"/>
      <c r="H3424" s="17" t="s">
        <v>35</v>
      </c>
      <c r="I3424" s="17" t="s">
        <v>44</v>
      </c>
      <c r="J3424" s="17"/>
      <c r="K3424" s="17" t="e">
        <f aca="false">VLOOKUP(J3424,Sheet2!A:B,2,0)</f>
        <v>#N/A</v>
      </c>
      <c r="L3424" s="17" t="n">
        <v>5</v>
      </c>
      <c r="M3424" s="17" t="str">
        <f aca="false">VLOOKUP(L3424,Sheet2!D:E,2,0)</f>
        <v>Main Processor CPU BGA</v>
      </c>
      <c r="N3424" s="17" t="n">
        <v>1</v>
      </c>
      <c r="O3424" s="17" t="str">
        <f aca="false">VLOOKUP(N3424,Sheet2!G:H,2,0)</f>
        <v>Dead</v>
      </c>
      <c r="P3424" s="17" t="n">
        <v>11</v>
      </c>
      <c r="Q3424" s="17" t="str">
        <f aca="false">VLOOKUP(P3424,Sheet2!J:K,2,0)</f>
        <v>IR Declared due to CID -TA</v>
      </c>
      <c r="R3424" s="17" t="s">
        <v>35</v>
      </c>
      <c r="S3424" s="17" t="str">
        <f aca="false">VLOOKUP(R3424,Sheet2!N:O,2,0)</f>
        <v>IREPARABLE</v>
      </c>
      <c r="T3424" s="18" t="str">
        <f aca="false">VLOOKUP(P3424,Sheet2!Q:R,2,0)</f>
        <v>IR Normal - Track burn out</v>
      </c>
      <c r="U3424" s="20" t="s">
        <v>41</v>
      </c>
      <c r="V3424" s="17"/>
      <c r="W3424" s="20" t="e">
        <f aca="false">VLOOKUP(V3424,Sheet2!Q:R,2,0)</f>
        <v>#N/A</v>
      </c>
      <c r="X3424" s="17" t="n">
        <f aca="false">J3424</f>
        <v>0</v>
      </c>
      <c r="Y3424" s="17" t="e">
        <f aca="false">VLOOKUP(X3424,Sheet2!A:B,2,0)</f>
        <v>#N/A</v>
      </c>
      <c r="Z3424" s="17"/>
      <c r="AA3424" s="17"/>
      <c r="AB3424" s="17" t="s">
        <v>41</v>
      </c>
      <c r="AC3424" s="0" t="str">
        <f aca="false">LEFT(G3424,2)</f>
        <v/>
      </c>
      <c r="AE3424" s="0"/>
    </row>
    <row r="3425" customFormat="false" ht="15" hidden="false" customHeight="false" outlineLevel="0" collapsed="false">
      <c r="A3425" s="13" t="n">
        <f aca="false">1+A3424</f>
        <v>3423</v>
      </c>
      <c r="B3425" s="14" t="n">
        <v>100</v>
      </c>
      <c r="C3425" s="15"/>
      <c r="D3425" s="16" t="s">
        <v>64</v>
      </c>
      <c r="E3425" s="17" t="s">
        <v>47</v>
      </c>
      <c r="F3425" s="18" t="s">
        <v>34</v>
      </c>
      <c r="G3425" s="19"/>
      <c r="H3425" s="17" t="s">
        <v>35</v>
      </c>
      <c r="I3425" s="17" t="s">
        <v>44</v>
      </c>
      <c r="J3425" s="17"/>
      <c r="K3425" s="17" t="e">
        <f aca="false">VLOOKUP(J3425,Sheet2!A:B,2,0)</f>
        <v>#N/A</v>
      </c>
      <c r="L3425" s="17" t="n">
        <v>5</v>
      </c>
      <c r="M3425" s="17" t="str">
        <f aca="false">VLOOKUP(L3425,Sheet2!D:E,2,0)</f>
        <v>Main Processor CPU BGA</v>
      </c>
      <c r="N3425" s="17" t="n">
        <v>1</v>
      </c>
      <c r="O3425" s="17" t="str">
        <f aca="false">VLOOKUP(N3425,Sheet2!G:H,2,0)</f>
        <v>Dead</v>
      </c>
      <c r="P3425" s="17" t="n">
        <v>11</v>
      </c>
      <c r="Q3425" s="17" t="str">
        <f aca="false">VLOOKUP(P3425,Sheet2!J:K,2,0)</f>
        <v>IR Declared due to CID -TA</v>
      </c>
      <c r="R3425" s="17" t="s">
        <v>35</v>
      </c>
      <c r="S3425" s="17" t="str">
        <f aca="false">VLOOKUP(R3425,Sheet2!N:O,2,0)</f>
        <v>IREPARABLE</v>
      </c>
      <c r="T3425" s="18" t="str">
        <f aca="false">VLOOKUP(P3425,Sheet2!Q:R,2,0)</f>
        <v>IR Normal - Track burn out</v>
      </c>
      <c r="U3425" s="20" t="s">
        <v>41</v>
      </c>
      <c r="V3425" s="17"/>
      <c r="W3425" s="20" t="e">
        <f aca="false">VLOOKUP(V3425,Sheet2!Q:R,2,0)</f>
        <v>#N/A</v>
      </c>
      <c r="X3425" s="17" t="n">
        <f aca="false">J3425</f>
        <v>0</v>
      </c>
      <c r="Y3425" s="17" t="e">
        <f aca="false">VLOOKUP(X3425,Sheet2!A:B,2,0)</f>
        <v>#N/A</v>
      </c>
      <c r="Z3425" s="17"/>
      <c r="AA3425" s="17"/>
      <c r="AB3425" s="17" t="s">
        <v>41</v>
      </c>
      <c r="AC3425" s="0" t="str">
        <f aca="false">LEFT(G3425,2)</f>
        <v/>
      </c>
      <c r="AE3425" s="0"/>
    </row>
    <row r="3426" customFormat="false" ht="15" hidden="false" customHeight="false" outlineLevel="0" collapsed="false">
      <c r="A3426" s="13" t="n">
        <f aca="false">1+A3425</f>
        <v>3424</v>
      </c>
      <c r="B3426" s="14" t="n">
        <v>100</v>
      </c>
      <c r="C3426" s="15"/>
      <c r="D3426" s="16" t="s">
        <v>64</v>
      </c>
      <c r="E3426" s="17" t="s">
        <v>47</v>
      </c>
      <c r="F3426" s="18" t="s">
        <v>34</v>
      </c>
      <c r="G3426" s="19"/>
      <c r="H3426" s="17" t="s">
        <v>35</v>
      </c>
      <c r="I3426" s="17" t="s">
        <v>44</v>
      </c>
      <c r="J3426" s="17"/>
      <c r="K3426" s="17" t="e">
        <f aca="false">VLOOKUP(J3426,Sheet2!A:B,2,0)</f>
        <v>#N/A</v>
      </c>
      <c r="L3426" s="17" t="n">
        <v>5</v>
      </c>
      <c r="M3426" s="17" t="str">
        <f aca="false">VLOOKUP(L3426,Sheet2!D:E,2,0)</f>
        <v>Main Processor CPU BGA</v>
      </c>
      <c r="N3426" s="17" t="n">
        <v>1</v>
      </c>
      <c r="O3426" s="17" t="str">
        <f aca="false">VLOOKUP(N3426,Sheet2!G:H,2,0)</f>
        <v>Dead</v>
      </c>
      <c r="P3426" s="17" t="n">
        <v>11</v>
      </c>
      <c r="Q3426" s="17" t="str">
        <f aca="false">VLOOKUP(P3426,Sheet2!J:K,2,0)</f>
        <v>IR Declared due to CID -TA</v>
      </c>
      <c r="R3426" s="17" t="s">
        <v>35</v>
      </c>
      <c r="S3426" s="17" t="str">
        <f aca="false">VLOOKUP(R3426,Sheet2!N:O,2,0)</f>
        <v>IREPARABLE</v>
      </c>
      <c r="T3426" s="18" t="str">
        <f aca="false">VLOOKUP(P3426,Sheet2!Q:R,2,0)</f>
        <v>IR Normal - Track burn out</v>
      </c>
      <c r="U3426" s="20" t="s">
        <v>41</v>
      </c>
      <c r="V3426" s="17"/>
      <c r="W3426" s="20" t="e">
        <f aca="false">VLOOKUP(V3426,Sheet2!Q:R,2,0)</f>
        <v>#N/A</v>
      </c>
      <c r="X3426" s="17" t="n">
        <f aca="false">J3426</f>
        <v>0</v>
      </c>
      <c r="Y3426" s="17" t="e">
        <f aca="false">VLOOKUP(X3426,Sheet2!A:B,2,0)</f>
        <v>#N/A</v>
      </c>
      <c r="Z3426" s="17"/>
      <c r="AA3426" s="17"/>
      <c r="AB3426" s="17" t="s">
        <v>41</v>
      </c>
      <c r="AC3426" s="0" t="str">
        <f aca="false">LEFT(G3426,2)</f>
        <v/>
      </c>
      <c r="AE3426" s="0"/>
    </row>
    <row r="3427" customFormat="false" ht="15" hidden="false" customHeight="false" outlineLevel="0" collapsed="false">
      <c r="A3427" s="13" t="n">
        <f aca="false">1+A3426</f>
        <v>3425</v>
      </c>
      <c r="B3427" s="14" t="n">
        <v>100</v>
      </c>
      <c r="C3427" s="15"/>
      <c r="D3427" s="16" t="s">
        <v>64</v>
      </c>
      <c r="E3427" s="17" t="s">
        <v>47</v>
      </c>
      <c r="F3427" s="18" t="s">
        <v>34</v>
      </c>
      <c r="G3427" s="19"/>
      <c r="H3427" s="17" t="s">
        <v>35</v>
      </c>
      <c r="I3427" s="17" t="s">
        <v>44</v>
      </c>
      <c r="J3427" s="17"/>
      <c r="K3427" s="17" t="e">
        <f aca="false">VLOOKUP(J3427,Sheet2!A:B,2,0)</f>
        <v>#N/A</v>
      </c>
      <c r="L3427" s="17" t="n">
        <v>5</v>
      </c>
      <c r="M3427" s="17" t="str">
        <f aca="false">VLOOKUP(L3427,Sheet2!D:E,2,0)</f>
        <v>Main Processor CPU BGA</v>
      </c>
      <c r="N3427" s="17" t="n">
        <v>1</v>
      </c>
      <c r="O3427" s="17" t="str">
        <f aca="false">VLOOKUP(N3427,Sheet2!G:H,2,0)</f>
        <v>Dead</v>
      </c>
      <c r="P3427" s="17" t="n">
        <v>11</v>
      </c>
      <c r="Q3427" s="17" t="str">
        <f aca="false">VLOOKUP(P3427,Sheet2!J:K,2,0)</f>
        <v>IR Declared due to CID -TA</v>
      </c>
      <c r="R3427" s="17" t="s">
        <v>35</v>
      </c>
      <c r="S3427" s="17" t="str">
        <f aca="false">VLOOKUP(R3427,Sheet2!N:O,2,0)</f>
        <v>IREPARABLE</v>
      </c>
      <c r="T3427" s="18" t="str">
        <f aca="false">VLOOKUP(P3427,Sheet2!Q:R,2,0)</f>
        <v>IR Normal - Track burn out</v>
      </c>
      <c r="U3427" s="20" t="s">
        <v>41</v>
      </c>
      <c r="V3427" s="17"/>
      <c r="W3427" s="20" t="e">
        <f aca="false">VLOOKUP(V3427,Sheet2!Q:R,2,0)</f>
        <v>#N/A</v>
      </c>
      <c r="X3427" s="17" t="n">
        <f aca="false">J3427</f>
        <v>0</v>
      </c>
      <c r="Y3427" s="17" t="e">
        <f aca="false">VLOOKUP(X3427,Sheet2!A:B,2,0)</f>
        <v>#N/A</v>
      </c>
      <c r="Z3427" s="17"/>
      <c r="AA3427" s="17"/>
      <c r="AB3427" s="17" t="s">
        <v>41</v>
      </c>
      <c r="AC3427" s="0" t="str">
        <f aca="false">LEFT(G3427,2)</f>
        <v/>
      </c>
      <c r="AE3427" s="0"/>
    </row>
    <row r="3428" customFormat="false" ht="15" hidden="false" customHeight="false" outlineLevel="0" collapsed="false">
      <c r="A3428" s="13" t="n">
        <f aca="false">1+A3427</f>
        <v>3426</v>
      </c>
      <c r="B3428" s="14" t="n">
        <v>100</v>
      </c>
      <c r="C3428" s="15"/>
      <c r="D3428" s="16" t="s">
        <v>64</v>
      </c>
      <c r="E3428" s="17" t="s">
        <v>47</v>
      </c>
      <c r="F3428" s="18" t="s">
        <v>34</v>
      </c>
      <c r="G3428" s="19"/>
      <c r="H3428" s="17" t="s">
        <v>35</v>
      </c>
      <c r="I3428" s="17" t="s">
        <v>44</v>
      </c>
      <c r="J3428" s="17"/>
      <c r="K3428" s="17" t="e">
        <f aca="false">VLOOKUP(J3428,Sheet2!A:B,2,0)</f>
        <v>#N/A</v>
      </c>
      <c r="L3428" s="17" t="n">
        <v>5</v>
      </c>
      <c r="M3428" s="17" t="str">
        <f aca="false">VLOOKUP(L3428,Sheet2!D:E,2,0)</f>
        <v>Main Processor CPU BGA</v>
      </c>
      <c r="N3428" s="17" t="n">
        <v>1</v>
      </c>
      <c r="O3428" s="17" t="str">
        <f aca="false">VLOOKUP(N3428,Sheet2!G:H,2,0)</f>
        <v>Dead</v>
      </c>
      <c r="P3428" s="17" t="n">
        <v>11</v>
      </c>
      <c r="Q3428" s="17" t="str">
        <f aca="false">VLOOKUP(P3428,Sheet2!J:K,2,0)</f>
        <v>IR Declared due to CID -TA</v>
      </c>
      <c r="R3428" s="17" t="s">
        <v>35</v>
      </c>
      <c r="S3428" s="17" t="str">
        <f aca="false">VLOOKUP(R3428,Sheet2!N:O,2,0)</f>
        <v>IREPARABLE</v>
      </c>
      <c r="T3428" s="18" t="str">
        <f aca="false">VLOOKUP(P3428,Sheet2!Q:R,2,0)</f>
        <v>IR Normal - Track burn out</v>
      </c>
      <c r="U3428" s="20" t="s">
        <v>41</v>
      </c>
      <c r="V3428" s="17"/>
      <c r="W3428" s="20" t="e">
        <f aca="false">VLOOKUP(V3428,Sheet2!Q:R,2,0)</f>
        <v>#N/A</v>
      </c>
      <c r="X3428" s="17" t="n">
        <f aca="false">J3428</f>
        <v>0</v>
      </c>
      <c r="Y3428" s="17" t="e">
        <f aca="false">VLOOKUP(X3428,Sheet2!A:B,2,0)</f>
        <v>#N/A</v>
      </c>
      <c r="Z3428" s="17"/>
      <c r="AA3428" s="17"/>
      <c r="AB3428" s="17" t="s">
        <v>41</v>
      </c>
      <c r="AC3428" s="0" t="str">
        <f aca="false">LEFT(G3428,2)</f>
        <v/>
      </c>
      <c r="AE3428" s="0"/>
    </row>
    <row r="3429" customFormat="false" ht="15" hidden="false" customHeight="false" outlineLevel="0" collapsed="false">
      <c r="A3429" s="13" t="n">
        <f aca="false">1+A3428</f>
        <v>3427</v>
      </c>
      <c r="B3429" s="14" t="n">
        <v>100</v>
      </c>
      <c r="C3429" s="15"/>
      <c r="D3429" s="16" t="s">
        <v>64</v>
      </c>
      <c r="E3429" s="17" t="s">
        <v>47</v>
      </c>
      <c r="F3429" s="18" t="s">
        <v>34</v>
      </c>
      <c r="G3429" s="19"/>
      <c r="H3429" s="17" t="s">
        <v>35</v>
      </c>
      <c r="I3429" s="17" t="s">
        <v>44</v>
      </c>
      <c r="J3429" s="17"/>
      <c r="K3429" s="17" t="e">
        <f aca="false">VLOOKUP(J3429,Sheet2!A:B,2,0)</f>
        <v>#N/A</v>
      </c>
      <c r="L3429" s="17" t="n">
        <v>5</v>
      </c>
      <c r="M3429" s="17" t="str">
        <f aca="false">VLOOKUP(L3429,Sheet2!D:E,2,0)</f>
        <v>Main Processor CPU BGA</v>
      </c>
      <c r="N3429" s="17" t="n">
        <v>1</v>
      </c>
      <c r="O3429" s="17" t="str">
        <f aca="false">VLOOKUP(N3429,Sheet2!G:H,2,0)</f>
        <v>Dead</v>
      </c>
      <c r="P3429" s="17" t="n">
        <v>11</v>
      </c>
      <c r="Q3429" s="17" t="str">
        <f aca="false">VLOOKUP(P3429,Sheet2!J:K,2,0)</f>
        <v>IR Declared due to CID -TA</v>
      </c>
      <c r="R3429" s="17" t="s">
        <v>35</v>
      </c>
      <c r="S3429" s="17" t="str">
        <f aca="false">VLOOKUP(R3429,Sheet2!N:O,2,0)</f>
        <v>IREPARABLE</v>
      </c>
      <c r="T3429" s="18" t="str">
        <f aca="false">VLOOKUP(P3429,Sheet2!Q:R,2,0)</f>
        <v>IR Normal - Track burn out</v>
      </c>
      <c r="U3429" s="20" t="s">
        <v>41</v>
      </c>
      <c r="V3429" s="17"/>
      <c r="W3429" s="20" t="e">
        <f aca="false">VLOOKUP(V3429,Sheet2!Q:R,2,0)</f>
        <v>#N/A</v>
      </c>
      <c r="X3429" s="17" t="n">
        <f aca="false">J3429</f>
        <v>0</v>
      </c>
      <c r="Y3429" s="17" t="e">
        <f aca="false">VLOOKUP(X3429,Sheet2!A:B,2,0)</f>
        <v>#N/A</v>
      </c>
      <c r="Z3429" s="17"/>
      <c r="AA3429" s="17"/>
      <c r="AB3429" s="17" t="s">
        <v>41</v>
      </c>
      <c r="AC3429" s="0" t="str">
        <f aca="false">LEFT(G3429,2)</f>
        <v/>
      </c>
      <c r="AE3429" s="0"/>
    </row>
    <row r="3430" customFormat="false" ht="15" hidden="false" customHeight="false" outlineLevel="0" collapsed="false">
      <c r="A3430" s="13" t="n">
        <f aca="false">1+A3429</f>
        <v>3428</v>
      </c>
      <c r="B3430" s="14" t="n">
        <v>100</v>
      </c>
      <c r="C3430" s="15"/>
      <c r="D3430" s="16" t="s">
        <v>64</v>
      </c>
      <c r="E3430" s="17" t="s">
        <v>47</v>
      </c>
      <c r="F3430" s="18" t="s">
        <v>34</v>
      </c>
      <c r="G3430" s="19"/>
      <c r="H3430" s="17" t="s">
        <v>35</v>
      </c>
      <c r="I3430" s="17" t="s">
        <v>44</v>
      </c>
      <c r="J3430" s="17"/>
      <c r="K3430" s="17" t="e">
        <f aca="false">VLOOKUP(J3430,Sheet2!A:B,2,0)</f>
        <v>#N/A</v>
      </c>
      <c r="L3430" s="17" t="n">
        <v>5</v>
      </c>
      <c r="M3430" s="17" t="str">
        <f aca="false">VLOOKUP(L3430,Sheet2!D:E,2,0)</f>
        <v>Main Processor CPU BGA</v>
      </c>
      <c r="N3430" s="17" t="n">
        <v>1</v>
      </c>
      <c r="O3430" s="17" t="str">
        <f aca="false">VLOOKUP(N3430,Sheet2!G:H,2,0)</f>
        <v>Dead</v>
      </c>
      <c r="P3430" s="17" t="n">
        <v>11</v>
      </c>
      <c r="Q3430" s="17" t="str">
        <f aca="false">VLOOKUP(P3430,Sheet2!J:K,2,0)</f>
        <v>IR Declared due to CID -TA</v>
      </c>
      <c r="R3430" s="17" t="s">
        <v>35</v>
      </c>
      <c r="S3430" s="17" t="str">
        <f aca="false">VLOOKUP(R3430,Sheet2!N:O,2,0)</f>
        <v>IREPARABLE</v>
      </c>
      <c r="T3430" s="18" t="str">
        <f aca="false">VLOOKUP(P3430,Sheet2!Q:R,2,0)</f>
        <v>IR Normal - Track burn out</v>
      </c>
      <c r="U3430" s="20" t="s">
        <v>41</v>
      </c>
      <c r="V3430" s="17"/>
      <c r="W3430" s="20" t="e">
        <f aca="false">VLOOKUP(V3430,Sheet2!Q:R,2,0)</f>
        <v>#N/A</v>
      </c>
      <c r="X3430" s="17" t="n">
        <f aca="false">J3430</f>
        <v>0</v>
      </c>
      <c r="Y3430" s="17" t="e">
        <f aca="false">VLOOKUP(X3430,Sheet2!A:B,2,0)</f>
        <v>#N/A</v>
      </c>
      <c r="Z3430" s="17"/>
      <c r="AA3430" s="17"/>
      <c r="AB3430" s="17" t="s">
        <v>41</v>
      </c>
      <c r="AC3430" s="0" t="str">
        <f aca="false">LEFT(G3430,2)</f>
        <v/>
      </c>
      <c r="AE3430" s="0"/>
    </row>
    <row r="3431" customFormat="false" ht="15" hidden="false" customHeight="false" outlineLevel="0" collapsed="false">
      <c r="A3431" s="13" t="n">
        <f aca="false">1+A3430</f>
        <v>3429</v>
      </c>
      <c r="B3431" s="14" t="n">
        <v>100</v>
      </c>
      <c r="C3431" s="15"/>
      <c r="D3431" s="16" t="s">
        <v>64</v>
      </c>
      <c r="E3431" s="17" t="s">
        <v>47</v>
      </c>
      <c r="F3431" s="18" t="s">
        <v>34</v>
      </c>
      <c r="G3431" s="19"/>
      <c r="H3431" s="17" t="s">
        <v>35</v>
      </c>
      <c r="I3431" s="17" t="s">
        <v>44</v>
      </c>
      <c r="J3431" s="17"/>
      <c r="K3431" s="17" t="e">
        <f aca="false">VLOOKUP(J3431,Sheet2!A:B,2,0)</f>
        <v>#N/A</v>
      </c>
      <c r="L3431" s="17" t="n">
        <v>5</v>
      </c>
      <c r="M3431" s="17" t="str">
        <f aca="false">VLOOKUP(L3431,Sheet2!D:E,2,0)</f>
        <v>Main Processor CPU BGA</v>
      </c>
      <c r="N3431" s="17" t="n">
        <v>1</v>
      </c>
      <c r="O3431" s="17" t="str">
        <f aca="false">VLOOKUP(N3431,Sheet2!G:H,2,0)</f>
        <v>Dead</v>
      </c>
      <c r="P3431" s="17" t="n">
        <v>11</v>
      </c>
      <c r="Q3431" s="17" t="str">
        <f aca="false">VLOOKUP(P3431,Sheet2!J:K,2,0)</f>
        <v>IR Declared due to CID -TA</v>
      </c>
      <c r="R3431" s="17" t="s">
        <v>35</v>
      </c>
      <c r="S3431" s="17" t="str">
        <f aca="false">VLOOKUP(R3431,Sheet2!N:O,2,0)</f>
        <v>IREPARABLE</v>
      </c>
      <c r="T3431" s="18" t="str">
        <f aca="false">VLOOKUP(P3431,Sheet2!Q:R,2,0)</f>
        <v>IR Normal - Track burn out</v>
      </c>
      <c r="U3431" s="20" t="s">
        <v>41</v>
      </c>
      <c r="V3431" s="17"/>
      <c r="W3431" s="20" t="e">
        <f aca="false">VLOOKUP(V3431,Sheet2!Q:R,2,0)</f>
        <v>#N/A</v>
      </c>
      <c r="X3431" s="17" t="n">
        <f aca="false">J3431</f>
        <v>0</v>
      </c>
      <c r="Y3431" s="17" t="e">
        <f aca="false">VLOOKUP(X3431,Sheet2!A:B,2,0)</f>
        <v>#N/A</v>
      </c>
      <c r="Z3431" s="17"/>
      <c r="AA3431" s="17"/>
      <c r="AB3431" s="17" t="s">
        <v>41</v>
      </c>
      <c r="AC3431" s="0" t="str">
        <f aca="false">LEFT(G3431,2)</f>
        <v/>
      </c>
      <c r="AE3431" s="0"/>
    </row>
    <row r="3432" customFormat="false" ht="15" hidden="false" customHeight="false" outlineLevel="0" collapsed="false">
      <c r="A3432" s="13" t="n">
        <f aca="false">1+A3431</f>
        <v>3430</v>
      </c>
      <c r="B3432" s="14" t="n">
        <v>100</v>
      </c>
      <c r="C3432" s="15"/>
      <c r="D3432" s="16" t="s">
        <v>64</v>
      </c>
      <c r="E3432" s="17" t="s">
        <v>47</v>
      </c>
      <c r="F3432" s="18" t="s">
        <v>34</v>
      </c>
      <c r="G3432" s="19"/>
      <c r="H3432" s="17" t="s">
        <v>35</v>
      </c>
      <c r="I3432" s="17" t="s">
        <v>44</v>
      </c>
      <c r="J3432" s="17"/>
      <c r="K3432" s="17" t="e">
        <f aca="false">VLOOKUP(J3432,Sheet2!A:B,2,0)</f>
        <v>#N/A</v>
      </c>
      <c r="L3432" s="17" t="n">
        <v>5</v>
      </c>
      <c r="M3432" s="17" t="str">
        <f aca="false">VLOOKUP(L3432,Sheet2!D:E,2,0)</f>
        <v>Main Processor CPU BGA</v>
      </c>
      <c r="N3432" s="17" t="n">
        <v>1</v>
      </c>
      <c r="O3432" s="17" t="str">
        <f aca="false">VLOOKUP(N3432,Sheet2!G:H,2,0)</f>
        <v>Dead</v>
      </c>
      <c r="P3432" s="17" t="n">
        <v>11</v>
      </c>
      <c r="Q3432" s="17" t="str">
        <f aca="false">VLOOKUP(P3432,Sheet2!J:K,2,0)</f>
        <v>IR Declared due to CID -TA</v>
      </c>
      <c r="R3432" s="17" t="s">
        <v>35</v>
      </c>
      <c r="S3432" s="17" t="str">
        <f aca="false">VLOOKUP(R3432,Sheet2!N:O,2,0)</f>
        <v>IREPARABLE</v>
      </c>
      <c r="T3432" s="18" t="str">
        <f aca="false">VLOOKUP(P3432,Sheet2!Q:R,2,0)</f>
        <v>IR Normal - Track burn out</v>
      </c>
      <c r="U3432" s="20" t="s">
        <v>41</v>
      </c>
      <c r="V3432" s="17"/>
      <c r="W3432" s="20" t="e">
        <f aca="false">VLOOKUP(V3432,Sheet2!Q:R,2,0)</f>
        <v>#N/A</v>
      </c>
      <c r="X3432" s="17" t="n">
        <f aca="false">J3432</f>
        <v>0</v>
      </c>
      <c r="Y3432" s="17" t="e">
        <f aca="false">VLOOKUP(X3432,Sheet2!A:B,2,0)</f>
        <v>#N/A</v>
      </c>
      <c r="Z3432" s="17"/>
      <c r="AA3432" s="17"/>
      <c r="AB3432" s="17" t="s">
        <v>41</v>
      </c>
      <c r="AC3432" s="0" t="str">
        <f aca="false">LEFT(G3432,2)</f>
        <v/>
      </c>
      <c r="AE3432" s="0"/>
    </row>
    <row r="3433" customFormat="false" ht="15" hidden="false" customHeight="false" outlineLevel="0" collapsed="false">
      <c r="A3433" s="13" t="n">
        <f aca="false">1+A3432</f>
        <v>3431</v>
      </c>
      <c r="B3433" s="14" t="n">
        <v>100</v>
      </c>
      <c r="C3433" s="15"/>
      <c r="D3433" s="16" t="s">
        <v>64</v>
      </c>
      <c r="E3433" s="17" t="s">
        <v>47</v>
      </c>
      <c r="F3433" s="18" t="s">
        <v>34</v>
      </c>
      <c r="G3433" s="19"/>
      <c r="H3433" s="17" t="s">
        <v>35</v>
      </c>
      <c r="I3433" s="17" t="s">
        <v>44</v>
      </c>
      <c r="J3433" s="17"/>
      <c r="K3433" s="17" t="e">
        <f aca="false">VLOOKUP(J3433,Sheet2!A:B,2,0)</f>
        <v>#N/A</v>
      </c>
      <c r="L3433" s="17" t="n">
        <v>5</v>
      </c>
      <c r="M3433" s="17" t="str">
        <f aca="false">VLOOKUP(L3433,Sheet2!D:E,2,0)</f>
        <v>Main Processor CPU BGA</v>
      </c>
      <c r="N3433" s="17" t="n">
        <v>1</v>
      </c>
      <c r="O3433" s="17" t="str">
        <f aca="false">VLOOKUP(N3433,Sheet2!G:H,2,0)</f>
        <v>Dead</v>
      </c>
      <c r="P3433" s="17" t="n">
        <v>11</v>
      </c>
      <c r="Q3433" s="17" t="str">
        <f aca="false">VLOOKUP(P3433,Sheet2!J:K,2,0)</f>
        <v>IR Declared due to CID -TA</v>
      </c>
      <c r="R3433" s="17" t="s">
        <v>35</v>
      </c>
      <c r="S3433" s="17" t="str">
        <f aca="false">VLOOKUP(R3433,Sheet2!N:O,2,0)</f>
        <v>IREPARABLE</v>
      </c>
      <c r="T3433" s="18" t="str">
        <f aca="false">VLOOKUP(P3433,Sheet2!Q:R,2,0)</f>
        <v>IR Normal - Track burn out</v>
      </c>
      <c r="U3433" s="20" t="s">
        <v>41</v>
      </c>
      <c r="V3433" s="17"/>
      <c r="W3433" s="20" t="e">
        <f aca="false">VLOOKUP(V3433,Sheet2!Q:R,2,0)</f>
        <v>#N/A</v>
      </c>
      <c r="X3433" s="17" t="n">
        <f aca="false">J3433</f>
        <v>0</v>
      </c>
      <c r="Y3433" s="17" t="e">
        <f aca="false">VLOOKUP(X3433,Sheet2!A:B,2,0)</f>
        <v>#N/A</v>
      </c>
      <c r="Z3433" s="17"/>
      <c r="AA3433" s="17"/>
      <c r="AB3433" s="17" t="s">
        <v>41</v>
      </c>
      <c r="AC3433" s="0" t="str">
        <f aca="false">LEFT(G3433,2)</f>
        <v/>
      </c>
      <c r="AE3433" s="0"/>
    </row>
    <row r="3434" customFormat="false" ht="15" hidden="false" customHeight="false" outlineLevel="0" collapsed="false">
      <c r="A3434" s="13" t="n">
        <f aca="false">1+A3433</f>
        <v>3432</v>
      </c>
      <c r="B3434" s="14" t="n">
        <v>100</v>
      </c>
      <c r="C3434" s="15"/>
      <c r="D3434" s="16" t="s">
        <v>64</v>
      </c>
      <c r="E3434" s="17" t="s">
        <v>47</v>
      </c>
      <c r="F3434" s="18" t="s">
        <v>34</v>
      </c>
      <c r="G3434" s="19"/>
      <c r="H3434" s="17" t="s">
        <v>35</v>
      </c>
      <c r="I3434" s="17" t="s">
        <v>44</v>
      </c>
      <c r="J3434" s="17"/>
      <c r="K3434" s="17" t="e">
        <f aca="false">VLOOKUP(J3434,Sheet2!A:B,2,0)</f>
        <v>#N/A</v>
      </c>
      <c r="L3434" s="17" t="n">
        <v>5</v>
      </c>
      <c r="M3434" s="17" t="str">
        <f aca="false">VLOOKUP(L3434,Sheet2!D:E,2,0)</f>
        <v>Main Processor CPU BGA</v>
      </c>
      <c r="N3434" s="17" t="n">
        <v>1</v>
      </c>
      <c r="O3434" s="17" t="str">
        <f aca="false">VLOOKUP(N3434,Sheet2!G:H,2,0)</f>
        <v>Dead</v>
      </c>
      <c r="P3434" s="17" t="n">
        <v>11</v>
      </c>
      <c r="Q3434" s="17" t="str">
        <f aca="false">VLOOKUP(P3434,Sheet2!J:K,2,0)</f>
        <v>IR Declared due to CID -TA</v>
      </c>
      <c r="R3434" s="17" t="s">
        <v>35</v>
      </c>
      <c r="S3434" s="17" t="str">
        <f aca="false">VLOOKUP(R3434,Sheet2!N:O,2,0)</f>
        <v>IREPARABLE</v>
      </c>
      <c r="T3434" s="18" t="str">
        <f aca="false">VLOOKUP(P3434,Sheet2!Q:R,2,0)</f>
        <v>IR Normal - Track burn out</v>
      </c>
      <c r="U3434" s="20" t="s">
        <v>41</v>
      </c>
      <c r="V3434" s="17"/>
      <c r="W3434" s="20" t="e">
        <f aca="false">VLOOKUP(V3434,Sheet2!Q:R,2,0)</f>
        <v>#N/A</v>
      </c>
      <c r="X3434" s="17" t="n">
        <f aca="false">J3434</f>
        <v>0</v>
      </c>
      <c r="Y3434" s="17" t="e">
        <f aca="false">VLOOKUP(X3434,Sheet2!A:B,2,0)</f>
        <v>#N/A</v>
      </c>
      <c r="Z3434" s="17"/>
      <c r="AA3434" s="17"/>
      <c r="AB3434" s="17" t="s">
        <v>41</v>
      </c>
      <c r="AC3434" s="0" t="str">
        <f aca="false">LEFT(G3434,2)</f>
        <v/>
      </c>
      <c r="AE3434" s="0"/>
    </row>
    <row r="3435" customFormat="false" ht="15" hidden="false" customHeight="false" outlineLevel="0" collapsed="false">
      <c r="A3435" s="13" t="n">
        <f aca="false">1+A3434</f>
        <v>3433</v>
      </c>
      <c r="B3435" s="14" t="n">
        <v>100</v>
      </c>
      <c r="C3435" s="15"/>
      <c r="D3435" s="16" t="s">
        <v>64</v>
      </c>
      <c r="E3435" s="17" t="s">
        <v>47</v>
      </c>
      <c r="F3435" s="18" t="s">
        <v>34</v>
      </c>
      <c r="G3435" s="19"/>
      <c r="H3435" s="17" t="s">
        <v>35</v>
      </c>
      <c r="I3435" s="17" t="s">
        <v>44</v>
      </c>
      <c r="J3435" s="17"/>
      <c r="K3435" s="17" t="e">
        <f aca="false">VLOOKUP(J3435,Sheet2!A:B,2,0)</f>
        <v>#N/A</v>
      </c>
      <c r="L3435" s="17" t="n">
        <v>5</v>
      </c>
      <c r="M3435" s="17" t="str">
        <f aca="false">VLOOKUP(L3435,Sheet2!D:E,2,0)</f>
        <v>Main Processor CPU BGA</v>
      </c>
      <c r="N3435" s="17" t="n">
        <v>1</v>
      </c>
      <c r="O3435" s="17" t="str">
        <f aca="false">VLOOKUP(N3435,Sheet2!G:H,2,0)</f>
        <v>Dead</v>
      </c>
      <c r="P3435" s="17" t="n">
        <v>11</v>
      </c>
      <c r="Q3435" s="17" t="str">
        <f aca="false">VLOOKUP(P3435,Sheet2!J:K,2,0)</f>
        <v>IR Declared due to CID -TA</v>
      </c>
      <c r="R3435" s="17" t="s">
        <v>35</v>
      </c>
      <c r="S3435" s="17" t="str">
        <f aca="false">VLOOKUP(R3435,Sheet2!N:O,2,0)</f>
        <v>IREPARABLE</v>
      </c>
      <c r="T3435" s="18" t="str">
        <f aca="false">VLOOKUP(P3435,Sheet2!Q:R,2,0)</f>
        <v>IR Normal - Track burn out</v>
      </c>
      <c r="U3435" s="20" t="s">
        <v>41</v>
      </c>
      <c r="V3435" s="17"/>
      <c r="W3435" s="20" t="e">
        <f aca="false">VLOOKUP(V3435,Sheet2!Q:R,2,0)</f>
        <v>#N/A</v>
      </c>
      <c r="X3435" s="17" t="n">
        <f aca="false">J3435</f>
        <v>0</v>
      </c>
      <c r="Y3435" s="17" t="e">
        <f aca="false">VLOOKUP(X3435,Sheet2!A:B,2,0)</f>
        <v>#N/A</v>
      </c>
      <c r="Z3435" s="17"/>
      <c r="AA3435" s="17"/>
      <c r="AB3435" s="17" t="s">
        <v>41</v>
      </c>
      <c r="AC3435" s="0" t="str">
        <f aca="false">LEFT(G3435,2)</f>
        <v/>
      </c>
      <c r="AE3435" s="0"/>
    </row>
    <row r="3436" customFormat="false" ht="15" hidden="false" customHeight="false" outlineLevel="0" collapsed="false">
      <c r="A3436" s="13" t="n">
        <f aca="false">1+A3435</f>
        <v>3434</v>
      </c>
      <c r="B3436" s="14" t="n">
        <v>100</v>
      </c>
      <c r="C3436" s="15"/>
      <c r="D3436" s="16" t="s">
        <v>64</v>
      </c>
      <c r="E3436" s="17" t="s">
        <v>47</v>
      </c>
      <c r="F3436" s="18" t="s">
        <v>34</v>
      </c>
      <c r="G3436" s="19"/>
      <c r="H3436" s="17" t="s">
        <v>35</v>
      </c>
      <c r="I3436" s="17" t="s">
        <v>44</v>
      </c>
      <c r="J3436" s="17"/>
      <c r="K3436" s="17" t="e">
        <f aca="false">VLOOKUP(J3436,Sheet2!A:B,2,0)</f>
        <v>#N/A</v>
      </c>
      <c r="L3436" s="17" t="n">
        <v>5</v>
      </c>
      <c r="M3436" s="17" t="str">
        <f aca="false">VLOOKUP(L3436,Sheet2!D:E,2,0)</f>
        <v>Main Processor CPU BGA</v>
      </c>
      <c r="N3436" s="17" t="n">
        <v>1</v>
      </c>
      <c r="O3436" s="17" t="str">
        <f aca="false">VLOOKUP(N3436,Sheet2!G:H,2,0)</f>
        <v>Dead</v>
      </c>
      <c r="P3436" s="17" t="n">
        <v>11</v>
      </c>
      <c r="Q3436" s="17" t="str">
        <f aca="false">VLOOKUP(P3436,Sheet2!J:K,2,0)</f>
        <v>IR Declared due to CID -TA</v>
      </c>
      <c r="R3436" s="17" t="s">
        <v>35</v>
      </c>
      <c r="S3436" s="17" t="str">
        <f aca="false">VLOOKUP(R3436,Sheet2!N:O,2,0)</f>
        <v>IREPARABLE</v>
      </c>
      <c r="T3436" s="18" t="str">
        <f aca="false">VLOOKUP(P3436,Sheet2!Q:R,2,0)</f>
        <v>IR Normal - Track burn out</v>
      </c>
      <c r="U3436" s="20" t="s">
        <v>41</v>
      </c>
      <c r="V3436" s="17"/>
      <c r="W3436" s="20" t="e">
        <f aca="false">VLOOKUP(V3436,Sheet2!Q:R,2,0)</f>
        <v>#N/A</v>
      </c>
      <c r="X3436" s="17" t="n">
        <f aca="false">J3436</f>
        <v>0</v>
      </c>
      <c r="Y3436" s="17" t="e">
        <f aca="false">VLOOKUP(X3436,Sheet2!A:B,2,0)</f>
        <v>#N/A</v>
      </c>
      <c r="Z3436" s="17"/>
      <c r="AA3436" s="17"/>
      <c r="AB3436" s="17" t="s">
        <v>41</v>
      </c>
      <c r="AC3436" s="0" t="str">
        <f aca="false">LEFT(G3436,2)</f>
        <v/>
      </c>
      <c r="AE3436" s="0"/>
    </row>
    <row r="3437" customFormat="false" ht="15" hidden="false" customHeight="false" outlineLevel="0" collapsed="false">
      <c r="A3437" s="13" t="n">
        <f aca="false">1+A3436</f>
        <v>3435</v>
      </c>
      <c r="B3437" s="14" t="n">
        <v>100</v>
      </c>
      <c r="C3437" s="15"/>
      <c r="D3437" s="16" t="s">
        <v>64</v>
      </c>
      <c r="E3437" s="17" t="s">
        <v>47</v>
      </c>
      <c r="F3437" s="18" t="s">
        <v>34</v>
      </c>
      <c r="G3437" s="19"/>
      <c r="H3437" s="17" t="s">
        <v>35</v>
      </c>
      <c r="I3437" s="17" t="s">
        <v>44</v>
      </c>
      <c r="J3437" s="17"/>
      <c r="K3437" s="17" t="e">
        <f aca="false">VLOOKUP(J3437,Sheet2!A:B,2,0)</f>
        <v>#N/A</v>
      </c>
      <c r="L3437" s="17" t="n">
        <v>5</v>
      </c>
      <c r="M3437" s="17" t="str">
        <f aca="false">VLOOKUP(L3437,Sheet2!D:E,2,0)</f>
        <v>Main Processor CPU BGA</v>
      </c>
      <c r="N3437" s="17" t="n">
        <v>1</v>
      </c>
      <c r="O3437" s="17" t="str">
        <f aca="false">VLOOKUP(N3437,Sheet2!G:H,2,0)</f>
        <v>Dead</v>
      </c>
      <c r="P3437" s="17" t="n">
        <v>11</v>
      </c>
      <c r="Q3437" s="17" t="str">
        <f aca="false">VLOOKUP(P3437,Sheet2!J:K,2,0)</f>
        <v>IR Declared due to CID -TA</v>
      </c>
      <c r="R3437" s="17" t="s">
        <v>35</v>
      </c>
      <c r="S3437" s="17" t="str">
        <f aca="false">VLOOKUP(R3437,Sheet2!N:O,2,0)</f>
        <v>IREPARABLE</v>
      </c>
      <c r="T3437" s="18" t="str">
        <f aca="false">VLOOKUP(P3437,Sheet2!Q:R,2,0)</f>
        <v>IR Normal - Track burn out</v>
      </c>
      <c r="U3437" s="20" t="s">
        <v>41</v>
      </c>
      <c r="V3437" s="17"/>
      <c r="W3437" s="20" t="e">
        <f aca="false">VLOOKUP(V3437,Sheet2!Q:R,2,0)</f>
        <v>#N/A</v>
      </c>
      <c r="X3437" s="17" t="n">
        <f aca="false">J3437</f>
        <v>0</v>
      </c>
      <c r="Y3437" s="17" t="e">
        <f aca="false">VLOOKUP(X3437,Sheet2!A:B,2,0)</f>
        <v>#N/A</v>
      </c>
      <c r="Z3437" s="17"/>
      <c r="AA3437" s="17"/>
      <c r="AB3437" s="17" t="s">
        <v>41</v>
      </c>
      <c r="AC3437" s="0" t="str">
        <f aca="false">LEFT(G3437,2)</f>
        <v/>
      </c>
      <c r="AE3437" s="0"/>
    </row>
    <row r="3438" customFormat="false" ht="15" hidden="false" customHeight="false" outlineLevel="0" collapsed="false">
      <c r="A3438" s="13" t="n">
        <f aca="false">1+A3437</f>
        <v>3436</v>
      </c>
      <c r="B3438" s="14" t="n">
        <v>100</v>
      </c>
      <c r="C3438" s="15"/>
      <c r="D3438" s="16" t="s">
        <v>64</v>
      </c>
      <c r="E3438" s="17" t="s">
        <v>47</v>
      </c>
      <c r="F3438" s="18" t="s">
        <v>34</v>
      </c>
      <c r="G3438" s="19"/>
      <c r="H3438" s="17" t="s">
        <v>35</v>
      </c>
      <c r="I3438" s="17" t="s">
        <v>44</v>
      </c>
      <c r="J3438" s="17"/>
      <c r="K3438" s="17" t="e">
        <f aca="false">VLOOKUP(J3438,Sheet2!A:B,2,0)</f>
        <v>#N/A</v>
      </c>
      <c r="L3438" s="17" t="n">
        <v>5</v>
      </c>
      <c r="M3438" s="17" t="str">
        <f aca="false">VLOOKUP(L3438,Sheet2!D:E,2,0)</f>
        <v>Main Processor CPU BGA</v>
      </c>
      <c r="N3438" s="17" t="n">
        <v>1</v>
      </c>
      <c r="O3438" s="17" t="str">
        <f aca="false">VLOOKUP(N3438,Sheet2!G:H,2,0)</f>
        <v>Dead</v>
      </c>
      <c r="P3438" s="17" t="n">
        <v>11</v>
      </c>
      <c r="Q3438" s="17" t="str">
        <f aca="false">VLOOKUP(P3438,Sheet2!J:K,2,0)</f>
        <v>IR Declared due to CID -TA</v>
      </c>
      <c r="R3438" s="17" t="s">
        <v>35</v>
      </c>
      <c r="S3438" s="17" t="str">
        <f aca="false">VLOOKUP(R3438,Sheet2!N:O,2,0)</f>
        <v>IREPARABLE</v>
      </c>
      <c r="T3438" s="18" t="str">
        <f aca="false">VLOOKUP(P3438,Sheet2!Q:R,2,0)</f>
        <v>IR Normal - Track burn out</v>
      </c>
      <c r="U3438" s="20" t="s">
        <v>41</v>
      </c>
      <c r="V3438" s="17"/>
      <c r="W3438" s="20" t="e">
        <f aca="false">VLOOKUP(V3438,Sheet2!Q:R,2,0)</f>
        <v>#N/A</v>
      </c>
      <c r="X3438" s="17" t="n">
        <f aca="false">J3438</f>
        <v>0</v>
      </c>
      <c r="Y3438" s="17" t="e">
        <f aca="false">VLOOKUP(X3438,Sheet2!A:B,2,0)</f>
        <v>#N/A</v>
      </c>
      <c r="Z3438" s="17"/>
      <c r="AA3438" s="17"/>
      <c r="AB3438" s="17" t="s">
        <v>41</v>
      </c>
      <c r="AC3438" s="0" t="str">
        <f aca="false">LEFT(G3438,2)</f>
        <v/>
      </c>
      <c r="AE3438" s="0"/>
    </row>
    <row r="3439" customFormat="false" ht="15" hidden="false" customHeight="false" outlineLevel="0" collapsed="false">
      <c r="A3439" s="13" t="n">
        <f aca="false">1+A3438</f>
        <v>3437</v>
      </c>
      <c r="B3439" s="14" t="n">
        <v>100</v>
      </c>
      <c r="C3439" s="15"/>
      <c r="D3439" s="16" t="s">
        <v>64</v>
      </c>
      <c r="E3439" s="17" t="s">
        <v>47</v>
      </c>
      <c r="F3439" s="18" t="s">
        <v>34</v>
      </c>
      <c r="G3439" s="19"/>
      <c r="H3439" s="17" t="s">
        <v>35</v>
      </c>
      <c r="I3439" s="17" t="s">
        <v>44</v>
      </c>
      <c r="J3439" s="17"/>
      <c r="K3439" s="17" t="e">
        <f aca="false">VLOOKUP(J3439,Sheet2!A:B,2,0)</f>
        <v>#N/A</v>
      </c>
      <c r="L3439" s="17" t="n">
        <v>5</v>
      </c>
      <c r="M3439" s="17" t="str">
        <f aca="false">VLOOKUP(L3439,Sheet2!D:E,2,0)</f>
        <v>Main Processor CPU BGA</v>
      </c>
      <c r="N3439" s="17" t="n">
        <v>1</v>
      </c>
      <c r="O3439" s="17" t="str">
        <f aca="false">VLOOKUP(N3439,Sheet2!G:H,2,0)</f>
        <v>Dead</v>
      </c>
      <c r="P3439" s="17" t="n">
        <v>11</v>
      </c>
      <c r="Q3439" s="17" t="str">
        <f aca="false">VLOOKUP(P3439,Sheet2!J:K,2,0)</f>
        <v>IR Declared due to CID -TA</v>
      </c>
      <c r="R3439" s="17" t="s">
        <v>35</v>
      </c>
      <c r="S3439" s="17" t="str">
        <f aca="false">VLOOKUP(R3439,Sheet2!N:O,2,0)</f>
        <v>IREPARABLE</v>
      </c>
      <c r="T3439" s="18" t="str">
        <f aca="false">VLOOKUP(P3439,Sheet2!Q:R,2,0)</f>
        <v>IR Normal - Track burn out</v>
      </c>
      <c r="U3439" s="20" t="s">
        <v>41</v>
      </c>
      <c r="V3439" s="17"/>
      <c r="W3439" s="20" t="e">
        <f aca="false">VLOOKUP(V3439,Sheet2!Q:R,2,0)</f>
        <v>#N/A</v>
      </c>
      <c r="X3439" s="17" t="n">
        <f aca="false">J3439</f>
        <v>0</v>
      </c>
      <c r="Y3439" s="17" t="e">
        <f aca="false">VLOOKUP(X3439,Sheet2!A:B,2,0)</f>
        <v>#N/A</v>
      </c>
      <c r="Z3439" s="17"/>
      <c r="AA3439" s="17"/>
      <c r="AB3439" s="17" t="s">
        <v>41</v>
      </c>
      <c r="AC3439" s="0" t="str">
        <f aca="false">LEFT(G3439,2)</f>
        <v/>
      </c>
      <c r="AE3439" s="0"/>
    </row>
    <row r="3440" customFormat="false" ht="15" hidden="false" customHeight="false" outlineLevel="0" collapsed="false">
      <c r="A3440" s="13" t="n">
        <f aca="false">1+A3439</f>
        <v>3438</v>
      </c>
      <c r="B3440" s="14" t="n">
        <v>100</v>
      </c>
      <c r="C3440" s="15"/>
      <c r="D3440" s="16" t="s">
        <v>64</v>
      </c>
      <c r="E3440" s="17" t="s">
        <v>47</v>
      </c>
      <c r="F3440" s="18" t="s">
        <v>34</v>
      </c>
      <c r="G3440" s="19"/>
      <c r="H3440" s="17" t="s">
        <v>35</v>
      </c>
      <c r="I3440" s="17" t="s">
        <v>44</v>
      </c>
      <c r="J3440" s="17"/>
      <c r="K3440" s="17" t="e">
        <f aca="false">VLOOKUP(J3440,Sheet2!A:B,2,0)</f>
        <v>#N/A</v>
      </c>
      <c r="L3440" s="17" t="n">
        <v>5</v>
      </c>
      <c r="M3440" s="17" t="str">
        <f aca="false">VLOOKUP(L3440,Sheet2!D:E,2,0)</f>
        <v>Main Processor CPU BGA</v>
      </c>
      <c r="N3440" s="17" t="n">
        <v>1</v>
      </c>
      <c r="O3440" s="17" t="str">
        <f aca="false">VLOOKUP(N3440,Sheet2!G:H,2,0)</f>
        <v>Dead</v>
      </c>
      <c r="P3440" s="17" t="n">
        <v>11</v>
      </c>
      <c r="Q3440" s="17" t="str">
        <f aca="false">VLOOKUP(P3440,Sheet2!J:K,2,0)</f>
        <v>IR Declared due to CID -TA</v>
      </c>
      <c r="R3440" s="17" t="s">
        <v>35</v>
      </c>
      <c r="S3440" s="17" t="str">
        <f aca="false">VLOOKUP(R3440,Sheet2!N:O,2,0)</f>
        <v>IREPARABLE</v>
      </c>
      <c r="T3440" s="18" t="str">
        <f aca="false">VLOOKUP(P3440,Sheet2!Q:R,2,0)</f>
        <v>IR Normal - Track burn out</v>
      </c>
      <c r="U3440" s="20" t="s">
        <v>41</v>
      </c>
      <c r="V3440" s="17"/>
      <c r="W3440" s="20" t="e">
        <f aca="false">VLOOKUP(V3440,Sheet2!Q:R,2,0)</f>
        <v>#N/A</v>
      </c>
      <c r="X3440" s="17" t="n">
        <f aca="false">J3440</f>
        <v>0</v>
      </c>
      <c r="Y3440" s="17" t="e">
        <f aca="false">VLOOKUP(X3440,Sheet2!A:B,2,0)</f>
        <v>#N/A</v>
      </c>
      <c r="Z3440" s="17"/>
      <c r="AA3440" s="17"/>
      <c r="AB3440" s="17" t="s">
        <v>41</v>
      </c>
      <c r="AC3440" s="0" t="str">
        <f aca="false">LEFT(G3440,2)</f>
        <v/>
      </c>
      <c r="AE3440" s="0"/>
    </row>
    <row r="3441" customFormat="false" ht="15" hidden="false" customHeight="false" outlineLevel="0" collapsed="false">
      <c r="A3441" s="13" t="n">
        <f aca="false">1+A3440</f>
        <v>3439</v>
      </c>
      <c r="B3441" s="14" t="n">
        <v>100</v>
      </c>
      <c r="C3441" s="15"/>
      <c r="D3441" s="16" t="s">
        <v>64</v>
      </c>
      <c r="E3441" s="17" t="s">
        <v>47</v>
      </c>
      <c r="F3441" s="18" t="s">
        <v>34</v>
      </c>
      <c r="G3441" s="19"/>
      <c r="H3441" s="17" t="s">
        <v>35</v>
      </c>
      <c r="I3441" s="17" t="s">
        <v>44</v>
      </c>
      <c r="J3441" s="17"/>
      <c r="K3441" s="17" t="e">
        <f aca="false">VLOOKUP(J3441,Sheet2!A:B,2,0)</f>
        <v>#N/A</v>
      </c>
      <c r="L3441" s="17" t="n">
        <v>5</v>
      </c>
      <c r="M3441" s="17" t="str">
        <f aca="false">VLOOKUP(L3441,Sheet2!D:E,2,0)</f>
        <v>Main Processor CPU BGA</v>
      </c>
      <c r="N3441" s="17" t="n">
        <v>1</v>
      </c>
      <c r="O3441" s="17" t="str">
        <f aca="false">VLOOKUP(N3441,Sheet2!G:H,2,0)</f>
        <v>Dead</v>
      </c>
      <c r="P3441" s="17" t="n">
        <v>11</v>
      </c>
      <c r="Q3441" s="17" t="str">
        <f aca="false">VLOOKUP(P3441,Sheet2!J:K,2,0)</f>
        <v>IR Declared due to CID -TA</v>
      </c>
      <c r="R3441" s="17" t="s">
        <v>35</v>
      </c>
      <c r="S3441" s="17" t="str">
        <f aca="false">VLOOKUP(R3441,Sheet2!N:O,2,0)</f>
        <v>IREPARABLE</v>
      </c>
      <c r="T3441" s="18" t="str">
        <f aca="false">VLOOKUP(P3441,Sheet2!Q:R,2,0)</f>
        <v>IR Normal - Track burn out</v>
      </c>
      <c r="U3441" s="20" t="s">
        <v>41</v>
      </c>
      <c r="V3441" s="17"/>
      <c r="W3441" s="20" t="e">
        <f aca="false">VLOOKUP(V3441,Sheet2!Q:R,2,0)</f>
        <v>#N/A</v>
      </c>
      <c r="X3441" s="17" t="n">
        <f aca="false">J3441</f>
        <v>0</v>
      </c>
      <c r="Y3441" s="17" t="e">
        <f aca="false">VLOOKUP(X3441,Sheet2!A:B,2,0)</f>
        <v>#N/A</v>
      </c>
      <c r="Z3441" s="17"/>
      <c r="AA3441" s="17"/>
      <c r="AB3441" s="17" t="s">
        <v>41</v>
      </c>
      <c r="AC3441" s="0" t="str">
        <f aca="false">LEFT(G3441,2)</f>
        <v/>
      </c>
      <c r="AE3441" s="0"/>
    </row>
    <row r="3442" customFormat="false" ht="15" hidden="false" customHeight="false" outlineLevel="0" collapsed="false">
      <c r="A3442" s="13" t="n">
        <f aca="false">1+A3441</f>
        <v>3440</v>
      </c>
      <c r="B3442" s="14" t="n">
        <v>100</v>
      </c>
      <c r="C3442" s="15"/>
      <c r="D3442" s="16" t="s">
        <v>64</v>
      </c>
      <c r="E3442" s="17" t="s">
        <v>47</v>
      </c>
      <c r="F3442" s="18" t="s">
        <v>34</v>
      </c>
      <c r="G3442" s="19"/>
      <c r="H3442" s="17" t="s">
        <v>35</v>
      </c>
      <c r="I3442" s="17" t="s">
        <v>44</v>
      </c>
      <c r="J3442" s="17"/>
      <c r="K3442" s="17" t="e">
        <f aca="false">VLOOKUP(J3442,Sheet2!A:B,2,0)</f>
        <v>#N/A</v>
      </c>
      <c r="L3442" s="17" t="n">
        <v>5</v>
      </c>
      <c r="M3442" s="17" t="str">
        <f aca="false">VLOOKUP(L3442,Sheet2!D:E,2,0)</f>
        <v>Main Processor CPU BGA</v>
      </c>
      <c r="N3442" s="17" t="n">
        <v>1</v>
      </c>
      <c r="O3442" s="17" t="str">
        <f aca="false">VLOOKUP(N3442,Sheet2!G:H,2,0)</f>
        <v>Dead</v>
      </c>
      <c r="P3442" s="17" t="n">
        <v>11</v>
      </c>
      <c r="Q3442" s="17" t="str">
        <f aca="false">VLOOKUP(P3442,Sheet2!J:K,2,0)</f>
        <v>IR Declared due to CID -TA</v>
      </c>
      <c r="R3442" s="17" t="s">
        <v>35</v>
      </c>
      <c r="S3442" s="17" t="str">
        <f aca="false">VLOOKUP(R3442,Sheet2!N:O,2,0)</f>
        <v>IREPARABLE</v>
      </c>
      <c r="T3442" s="18" t="str">
        <f aca="false">VLOOKUP(P3442,Sheet2!Q:R,2,0)</f>
        <v>IR Normal - Track burn out</v>
      </c>
      <c r="U3442" s="20" t="s">
        <v>41</v>
      </c>
      <c r="V3442" s="17"/>
      <c r="W3442" s="20" t="e">
        <f aca="false">VLOOKUP(V3442,Sheet2!Q:R,2,0)</f>
        <v>#N/A</v>
      </c>
      <c r="X3442" s="17" t="n">
        <f aca="false">J3442</f>
        <v>0</v>
      </c>
      <c r="Y3442" s="17" t="e">
        <f aca="false">VLOOKUP(X3442,Sheet2!A:B,2,0)</f>
        <v>#N/A</v>
      </c>
      <c r="Z3442" s="17"/>
      <c r="AA3442" s="17"/>
      <c r="AB3442" s="17" t="s">
        <v>41</v>
      </c>
      <c r="AC3442" s="0" t="str">
        <f aca="false">LEFT(G3442,2)</f>
        <v/>
      </c>
      <c r="AE3442" s="0"/>
    </row>
    <row r="3443" customFormat="false" ht="15" hidden="false" customHeight="false" outlineLevel="0" collapsed="false">
      <c r="A3443" s="13" t="n">
        <f aca="false">1+A3442</f>
        <v>3441</v>
      </c>
      <c r="B3443" s="14" t="n">
        <v>100</v>
      </c>
      <c r="C3443" s="15"/>
      <c r="D3443" s="16" t="s">
        <v>64</v>
      </c>
      <c r="E3443" s="17" t="s">
        <v>47</v>
      </c>
      <c r="F3443" s="18" t="s">
        <v>34</v>
      </c>
      <c r="G3443" s="19"/>
      <c r="H3443" s="17" t="s">
        <v>35</v>
      </c>
      <c r="I3443" s="17" t="s">
        <v>44</v>
      </c>
      <c r="J3443" s="17"/>
      <c r="K3443" s="17" t="e">
        <f aca="false">VLOOKUP(J3443,Sheet2!A:B,2,0)</f>
        <v>#N/A</v>
      </c>
      <c r="L3443" s="17" t="n">
        <v>5</v>
      </c>
      <c r="M3443" s="17" t="str">
        <f aca="false">VLOOKUP(L3443,Sheet2!D:E,2,0)</f>
        <v>Main Processor CPU BGA</v>
      </c>
      <c r="N3443" s="17" t="n">
        <v>1</v>
      </c>
      <c r="O3443" s="17" t="str">
        <f aca="false">VLOOKUP(N3443,Sheet2!G:H,2,0)</f>
        <v>Dead</v>
      </c>
      <c r="P3443" s="17" t="n">
        <v>11</v>
      </c>
      <c r="Q3443" s="17" t="str">
        <f aca="false">VLOOKUP(P3443,Sheet2!J:K,2,0)</f>
        <v>IR Declared due to CID -TA</v>
      </c>
      <c r="R3443" s="17" t="s">
        <v>35</v>
      </c>
      <c r="S3443" s="17" t="str">
        <f aca="false">VLOOKUP(R3443,Sheet2!N:O,2,0)</f>
        <v>IREPARABLE</v>
      </c>
      <c r="T3443" s="18" t="str">
        <f aca="false">VLOOKUP(P3443,Sheet2!Q:R,2,0)</f>
        <v>IR Normal - Track burn out</v>
      </c>
      <c r="U3443" s="20" t="s">
        <v>41</v>
      </c>
      <c r="V3443" s="17"/>
      <c r="W3443" s="20" t="e">
        <f aca="false">VLOOKUP(V3443,Sheet2!Q:R,2,0)</f>
        <v>#N/A</v>
      </c>
      <c r="X3443" s="17" t="n">
        <f aca="false">J3443</f>
        <v>0</v>
      </c>
      <c r="Y3443" s="17" t="e">
        <f aca="false">VLOOKUP(X3443,Sheet2!A:B,2,0)</f>
        <v>#N/A</v>
      </c>
      <c r="Z3443" s="17"/>
      <c r="AA3443" s="17"/>
      <c r="AB3443" s="17" t="s">
        <v>41</v>
      </c>
      <c r="AC3443" s="0" t="str">
        <f aca="false">LEFT(G3443,2)</f>
        <v/>
      </c>
      <c r="AE3443" s="0"/>
    </row>
    <row r="3444" customFormat="false" ht="15" hidden="false" customHeight="false" outlineLevel="0" collapsed="false">
      <c r="A3444" s="13" t="n">
        <f aca="false">1+A3443</f>
        <v>3442</v>
      </c>
      <c r="B3444" s="14" t="n">
        <v>100</v>
      </c>
      <c r="C3444" s="15"/>
      <c r="D3444" s="16" t="s">
        <v>64</v>
      </c>
      <c r="E3444" s="17" t="s">
        <v>47</v>
      </c>
      <c r="F3444" s="18" t="s">
        <v>34</v>
      </c>
      <c r="G3444" s="19"/>
      <c r="H3444" s="17" t="s">
        <v>35</v>
      </c>
      <c r="I3444" s="17" t="s">
        <v>44</v>
      </c>
      <c r="J3444" s="17"/>
      <c r="K3444" s="17" t="e">
        <f aca="false">VLOOKUP(J3444,Sheet2!A:B,2,0)</f>
        <v>#N/A</v>
      </c>
      <c r="L3444" s="17" t="n">
        <v>5</v>
      </c>
      <c r="M3444" s="17" t="str">
        <f aca="false">VLOOKUP(L3444,Sheet2!D:E,2,0)</f>
        <v>Main Processor CPU BGA</v>
      </c>
      <c r="N3444" s="17" t="n">
        <v>1</v>
      </c>
      <c r="O3444" s="17" t="str">
        <f aca="false">VLOOKUP(N3444,Sheet2!G:H,2,0)</f>
        <v>Dead</v>
      </c>
      <c r="P3444" s="17" t="n">
        <v>11</v>
      </c>
      <c r="Q3444" s="17" t="str">
        <f aca="false">VLOOKUP(P3444,Sheet2!J:K,2,0)</f>
        <v>IR Declared due to CID -TA</v>
      </c>
      <c r="R3444" s="17" t="s">
        <v>35</v>
      </c>
      <c r="S3444" s="17" t="str">
        <f aca="false">VLOOKUP(R3444,Sheet2!N:O,2,0)</f>
        <v>IREPARABLE</v>
      </c>
      <c r="T3444" s="18" t="str">
        <f aca="false">VLOOKUP(P3444,Sheet2!Q:R,2,0)</f>
        <v>IR Normal - Track burn out</v>
      </c>
      <c r="U3444" s="20" t="s">
        <v>41</v>
      </c>
      <c r="V3444" s="17"/>
      <c r="W3444" s="20" t="e">
        <f aca="false">VLOOKUP(V3444,Sheet2!Q:R,2,0)</f>
        <v>#N/A</v>
      </c>
      <c r="X3444" s="17" t="n">
        <f aca="false">J3444</f>
        <v>0</v>
      </c>
      <c r="Y3444" s="17" t="e">
        <f aca="false">VLOOKUP(X3444,Sheet2!A:B,2,0)</f>
        <v>#N/A</v>
      </c>
      <c r="Z3444" s="17"/>
      <c r="AA3444" s="17"/>
      <c r="AB3444" s="17" t="s">
        <v>41</v>
      </c>
      <c r="AC3444" s="0" t="str">
        <f aca="false">LEFT(G3444,2)</f>
        <v/>
      </c>
      <c r="AE3444" s="0"/>
    </row>
    <row r="3445" customFormat="false" ht="15" hidden="false" customHeight="false" outlineLevel="0" collapsed="false">
      <c r="A3445" s="13" t="n">
        <f aca="false">1+A3444</f>
        <v>3443</v>
      </c>
      <c r="B3445" s="14" t="n">
        <v>100</v>
      </c>
      <c r="C3445" s="15"/>
      <c r="D3445" s="16" t="s">
        <v>64</v>
      </c>
      <c r="E3445" s="17" t="s">
        <v>47</v>
      </c>
      <c r="F3445" s="18" t="s">
        <v>34</v>
      </c>
      <c r="G3445" s="19"/>
      <c r="H3445" s="17" t="s">
        <v>35</v>
      </c>
      <c r="I3445" s="17" t="s">
        <v>44</v>
      </c>
      <c r="J3445" s="17"/>
      <c r="K3445" s="17" t="e">
        <f aca="false">VLOOKUP(J3445,Sheet2!A:B,2,0)</f>
        <v>#N/A</v>
      </c>
      <c r="L3445" s="17" t="n">
        <v>5</v>
      </c>
      <c r="M3445" s="17" t="str">
        <f aca="false">VLOOKUP(L3445,Sheet2!D:E,2,0)</f>
        <v>Main Processor CPU BGA</v>
      </c>
      <c r="N3445" s="17" t="n">
        <v>1</v>
      </c>
      <c r="O3445" s="17" t="str">
        <f aca="false">VLOOKUP(N3445,Sheet2!G:H,2,0)</f>
        <v>Dead</v>
      </c>
      <c r="P3445" s="17" t="n">
        <v>11</v>
      </c>
      <c r="Q3445" s="17" t="str">
        <f aca="false">VLOOKUP(P3445,Sheet2!J:K,2,0)</f>
        <v>IR Declared due to CID -TA</v>
      </c>
      <c r="R3445" s="17" t="s">
        <v>35</v>
      </c>
      <c r="S3445" s="17" t="str">
        <f aca="false">VLOOKUP(R3445,Sheet2!N:O,2,0)</f>
        <v>IREPARABLE</v>
      </c>
      <c r="T3445" s="18" t="str">
        <f aca="false">VLOOKUP(P3445,Sheet2!Q:R,2,0)</f>
        <v>IR Normal - Track burn out</v>
      </c>
      <c r="U3445" s="20" t="s">
        <v>41</v>
      </c>
      <c r="V3445" s="17"/>
      <c r="W3445" s="20" t="e">
        <f aca="false">VLOOKUP(V3445,Sheet2!Q:R,2,0)</f>
        <v>#N/A</v>
      </c>
      <c r="X3445" s="17" t="n">
        <f aca="false">J3445</f>
        <v>0</v>
      </c>
      <c r="Y3445" s="17" t="e">
        <f aca="false">VLOOKUP(X3445,Sheet2!A:B,2,0)</f>
        <v>#N/A</v>
      </c>
      <c r="Z3445" s="17"/>
      <c r="AA3445" s="17"/>
      <c r="AB3445" s="17" t="s">
        <v>41</v>
      </c>
      <c r="AC3445" s="0" t="str">
        <f aca="false">LEFT(G3445,2)</f>
        <v/>
      </c>
      <c r="AE3445" s="0"/>
    </row>
    <row r="3446" customFormat="false" ht="15" hidden="false" customHeight="false" outlineLevel="0" collapsed="false">
      <c r="A3446" s="13" t="n">
        <f aca="false">1+A3445</f>
        <v>3444</v>
      </c>
      <c r="B3446" s="14" t="n">
        <v>100</v>
      </c>
      <c r="C3446" s="15"/>
      <c r="D3446" s="16" t="s">
        <v>64</v>
      </c>
      <c r="E3446" s="17" t="s">
        <v>47</v>
      </c>
      <c r="F3446" s="18" t="s">
        <v>34</v>
      </c>
      <c r="G3446" s="19"/>
      <c r="H3446" s="17" t="s">
        <v>35</v>
      </c>
      <c r="I3446" s="17" t="s">
        <v>44</v>
      </c>
      <c r="J3446" s="17"/>
      <c r="K3446" s="17" t="e">
        <f aca="false">VLOOKUP(J3446,Sheet2!A:B,2,0)</f>
        <v>#N/A</v>
      </c>
      <c r="L3446" s="17" t="n">
        <v>5</v>
      </c>
      <c r="M3446" s="17" t="str">
        <f aca="false">VLOOKUP(L3446,Sheet2!D:E,2,0)</f>
        <v>Main Processor CPU BGA</v>
      </c>
      <c r="N3446" s="17" t="n">
        <v>1</v>
      </c>
      <c r="O3446" s="17" t="str">
        <f aca="false">VLOOKUP(N3446,Sheet2!G:H,2,0)</f>
        <v>Dead</v>
      </c>
      <c r="P3446" s="17" t="n">
        <v>11</v>
      </c>
      <c r="Q3446" s="17" t="str">
        <f aca="false">VLOOKUP(P3446,Sheet2!J:K,2,0)</f>
        <v>IR Declared due to CID -TA</v>
      </c>
      <c r="R3446" s="17" t="s">
        <v>35</v>
      </c>
      <c r="S3446" s="17" t="str">
        <f aca="false">VLOOKUP(R3446,Sheet2!N:O,2,0)</f>
        <v>IREPARABLE</v>
      </c>
      <c r="T3446" s="18" t="str">
        <f aca="false">VLOOKUP(P3446,Sheet2!Q:R,2,0)</f>
        <v>IR Normal - Track burn out</v>
      </c>
      <c r="U3446" s="20" t="s">
        <v>41</v>
      </c>
      <c r="V3446" s="17"/>
      <c r="W3446" s="20" t="e">
        <f aca="false">VLOOKUP(V3446,Sheet2!Q:R,2,0)</f>
        <v>#N/A</v>
      </c>
      <c r="X3446" s="17" t="n">
        <f aca="false">J3446</f>
        <v>0</v>
      </c>
      <c r="Y3446" s="17" t="e">
        <f aca="false">VLOOKUP(X3446,Sheet2!A:B,2,0)</f>
        <v>#N/A</v>
      </c>
      <c r="Z3446" s="17"/>
      <c r="AA3446" s="17"/>
      <c r="AB3446" s="17" t="s">
        <v>41</v>
      </c>
      <c r="AC3446" s="0" t="str">
        <f aca="false">LEFT(G3446,2)</f>
        <v/>
      </c>
      <c r="AE3446" s="0"/>
    </row>
    <row r="3447" customFormat="false" ht="15" hidden="false" customHeight="false" outlineLevel="0" collapsed="false">
      <c r="A3447" s="13" t="n">
        <f aca="false">1+A3446</f>
        <v>3445</v>
      </c>
      <c r="B3447" s="14" t="n">
        <v>100</v>
      </c>
      <c r="C3447" s="15"/>
      <c r="D3447" s="16" t="s">
        <v>64</v>
      </c>
      <c r="E3447" s="17" t="s">
        <v>47</v>
      </c>
      <c r="F3447" s="18" t="s">
        <v>34</v>
      </c>
      <c r="G3447" s="19"/>
      <c r="H3447" s="17" t="s">
        <v>35</v>
      </c>
      <c r="I3447" s="17" t="s">
        <v>44</v>
      </c>
      <c r="J3447" s="17"/>
      <c r="K3447" s="17" t="e">
        <f aca="false">VLOOKUP(J3447,Sheet2!A:B,2,0)</f>
        <v>#N/A</v>
      </c>
      <c r="L3447" s="17" t="n">
        <v>5</v>
      </c>
      <c r="M3447" s="17" t="str">
        <f aca="false">VLOOKUP(L3447,Sheet2!D:E,2,0)</f>
        <v>Main Processor CPU BGA</v>
      </c>
      <c r="N3447" s="17" t="n">
        <v>1</v>
      </c>
      <c r="O3447" s="17" t="str">
        <f aca="false">VLOOKUP(N3447,Sheet2!G:H,2,0)</f>
        <v>Dead</v>
      </c>
      <c r="P3447" s="17" t="n">
        <v>11</v>
      </c>
      <c r="Q3447" s="17" t="str">
        <f aca="false">VLOOKUP(P3447,Sheet2!J:K,2,0)</f>
        <v>IR Declared due to CID -TA</v>
      </c>
      <c r="R3447" s="17" t="s">
        <v>35</v>
      </c>
      <c r="S3447" s="17" t="str">
        <f aca="false">VLOOKUP(R3447,Sheet2!N:O,2,0)</f>
        <v>IREPARABLE</v>
      </c>
      <c r="T3447" s="18" t="str">
        <f aca="false">VLOOKUP(P3447,Sheet2!Q:R,2,0)</f>
        <v>IR Normal - Track burn out</v>
      </c>
      <c r="U3447" s="20" t="s">
        <v>41</v>
      </c>
      <c r="V3447" s="17"/>
      <c r="W3447" s="20" t="e">
        <f aca="false">VLOOKUP(V3447,Sheet2!Q:R,2,0)</f>
        <v>#N/A</v>
      </c>
      <c r="X3447" s="17" t="n">
        <f aca="false">J3447</f>
        <v>0</v>
      </c>
      <c r="Y3447" s="17" t="e">
        <f aca="false">VLOOKUP(X3447,Sheet2!A:B,2,0)</f>
        <v>#N/A</v>
      </c>
      <c r="Z3447" s="17"/>
      <c r="AA3447" s="17"/>
      <c r="AB3447" s="17" t="s">
        <v>41</v>
      </c>
      <c r="AC3447" s="0" t="str">
        <f aca="false">LEFT(G3447,2)</f>
        <v/>
      </c>
      <c r="AE3447" s="0"/>
    </row>
    <row r="3448" customFormat="false" ht="15" hidden="false" customHeight="false" outlineLevel="0" collapsed="false">
      <c r="A3448" s="13" t="n">
        <f aca="false">1+A3447</f>
        <v>3446</v>
      </c>
      <c r="B3448" s="14" t="n">
        <v>100</v>
      </c>
      <c r="C3448" s="15"/>
      <c r="D3448" s="16" t="s">
        <v>64</v>
      </c>
      <c r="E3448" s="17" t="s">
        <v>47</v>
      </c>
      <c r="F3448" s="18" t="s">
        <v>34</v>
      </c>
      <c r="G3448" s="19"/>
      <c r="H3448" s="17" t="s">
        <v>35</v>
      </c>
      <c r="I3448" s="17" t="s">
        <v>44</v>
      </c>
      <c r="J3448" s="17"/>
      <c r="K3448" s="17" t="e">
        <f aca="false">VLOOKUP(J3448,Sheet2!A:B,2,0)</f>
        <v>#N/A</v>
      </c>
      <c r="L3448" s="17" t="n">
        <v>5</v>
      </c>
      <c r="M3448" s="17" t="str">
        <f aca="false">VLOOKUP(L3448,Sheet2!D:E,2,0)</f>
        <v>Main Processor CPU BGA</v>
      </c>
      <c r="N3448" s="17" t="n">
        <v>1</v>
      </c>
      <c r="O3448" s="17" t="str">
        <f aca="false">VLOOKUP(N3448,Sheet2!G:H,2,0)</f>
        <v>Dead</v>
      </c>
      <c r="P3448" s="17" t="n">
        <v>11</v>
      </c>
      <c r="Q3448" s="17" t="str">
        <f aca="false">VLOOKUP(P3448,Sheet2!J:K,2,0)</f>
        <v>IR Declared due to CID -TA</v>
      </c>
      <c r="R3448" s="17" t="s">
        <v>35</v>
      </c>
      <c r="S3448" s="17" t="str">
        <f aca="false">VLOOKUP(R3448,Sheet2!N:O,2,0)</f>
        <v>IREPARABLE</v>
      </c>
      <c r="T3448" s="18" t="str">
        <f aca="false">VLOOKUP(P3448,Sheet2!Q:R,2,0)</f>
        <v>IR Normal - Track burn out</v>
      </c>
      <c r="U3448" s="20" t="s">
        <v>41</v>
      </c>
      <c r="V3448" s="17"/>
      <c r="W3448" s="20" t="e">
        <f aca="false">VLOOKUP(V3448,Sheet2!Q:R,2,0)</f>
        <v>#N/A</v>
      </c>
      <c r="X3448" s="17" t="n">
        <f aca="false">J3448</f>
        <v>0</v>
      </c>
      <c r="Y3448" s="17" t="e">
        <f aca="false">VLOOKUP(X3448,Sheet2!A:B,2,0)</f>
        <v>#N/A</v>
      </c>
      <c r="Z3448" s="17"/>
      <c r="AA3448" s="17"/>
      <c r="AB3448" s="17" t="s">
        <v>41</v>
      </c>
      <c r="AC3448" s="0" t="str">
        <f aca="false">LEFT(G3448,2)</f>
        <v/>
      </c>
      <c r="AE3448" s="0"/>
    </row>
    <row r="3449" customFormat="false" ht="15" hidden="false" customHeight="false" outlineLevel="0" collapsed="false">
      <c r="A3449" s="13" t="n">
        <f aca="false">1+A3448</f>
        <v>3447</v>
      </c>
      <c r="B3449" s="14" t="n">
        <v>100</v>
      </c>
      <c r="C3449" s="15"/>
      <c r="D3449" s="16" t="s">
        <v>64</v>
      </c>
      <c r="E3449" s="17" t="s">
        <v>47</v>
      </c>
      <c r="F3449" s="18" t="s">
        <v>34</v>
      </c>
      <c r="G3449" s="19"/>
      <c r="H3449" s="17" t="s">
        <v>35</v>
      </c>
      <c r="I3449" s="17" t="s">
        <v>44</v>
      </c>
      <c r="J3449" s="17"/>
      <c r="K3449" s="17" t="e">
        <f aca="false">VLOOKUP(J3449,Sheet2!A:B,2,0)</f>
        <v>#N/A</v>
      </c>
      <c r="L3449" s="17" t="n">
        <v>5</v>
      </c>
      <c r="M3449" s="17" t="str">
        <f aca="false">VLOOKUP(L3449,Sheet2!D:E,2,0)</f>
        <v>Main Processor CPU BGA</v>
      </c>
      <c r="N3449" s="17" t="n">
        <v>1</v>
      </c>
      <c r="O3449" s="17" t="str">
        <f aca="false">VLOOKUP(N3449,Sheet2!G:H,2,0)</f>
        <v>Dead</v>
      </c>
      <c r="P3449" s="17" t="n">
        <v>11</v>
      </c>
      <c r="Q3449" s="17" t="str">
        <f aca="false">VLOOKUP(P3449,Sheet2!J:K,2,0)</f>
        <v>IR Declared due to CID -TA</v>
      </c>
      <c r="R3449" s="17" t="s">
        <v>35</v>
      </c>
      <c r="S3449" s="17" t="str">
        <f aca="false">VLOOKUP(R3449,Sheet2!N:O,2,0)</f>
        <v>IREPARABLE</v>
      </c>
      <c r="T3449" s="18" t="str">
        <f aca="false">VLOOKUP(P3449,Sheet2!Q:R,2,0)</f>
        <v>IR Normal - Track burn out</v>
      </c>
      <c r="U3449" s="20" t="s">
        <v>41</v>
      </c>
      <c r="V3449" s="17"/>
      <c r="W3449" s="20" t="e">
        <f aca="false">VLOOKUP(V3449,Sheet2!Q:R,2,0)</f>
        <v>#N/A</v>
      </c>
      <c r="X3449" s="17" t="n">
        <f aca="false">J3449</f>
        <v>0</v>
      </c>
      <c r="Y3449" s="17" t="e">
        <f aca="false">VLOOKUP(X3449,Sheet2!A:B,2,0)</f>
        <v>#N/A</v>
      </c>
      <c r="Z3449" s="17"/>
      <c r="AA3449" s="17"/>
      <c r="AB3449" s="17" t="s">
        <v>41</v>
      </c>
      <c r="AC3449" s="0" t="str">
        <f aca="false">LEFT(G3449,2)</f>
        <v/>
      </c>
      <c r="AE3449" s="0"/>
    </row>
    <row r="3450" customFormat="false" ht="15" hidden="false" customHeight="false" outlineLevel="0" collapsed="false">
      <c r="A3450" s="13" t="n">
        <f aca="false">1+A3449</f>
        <v>3448</v>
      </c>
      <c r="B3450" s="14" t="n">
        <v>100</v>
      </c>
      <c r="C3450" s="15"/>
      <c r="D3450" s="16" t="s">
        <v>64</v>
      </c>
      <c r="E3450" s="17" t="s">
        <v>47</v>
      </c>
      <c r="F3450" s="18" t="s">
        <v>34</v>
      </c>
      <c r="G3450" s="19"/>
      <c r="H3450" s="17" t="s">
        <v>35</v>
      </c>
      <c r="I3450" s="17" t="s">
        <v>44</v>
      </c>
      <c r="J3450" s="17"/>
      <c r="K3450" s="17" t="e">
        <f aca="false">VLOOKUP(J3450,Sheet2!A:B,2,0)</f>
        <v>#N/A</v>
      </c>
      <c r="L3450" s="17" t="n">
        <v>5</v>
      </c>
      <c r="M3450" s="17" t="str">
        <f aca="false">VLOOKUP(L3450,Sheet2!D:E,2,0)</f>
        <v>Main Processor CPU BGA</v>
      </c>
      <c r="N3450" s="17" t="n">
        <v>1</v>
      </c>
      <c r="O3450" s="17" t="str">
        <f aca="false">VLOOKUP(N3450,Sheet2!G:H,2,0)</f>
        <v>Dead</v>
      </c>
      <c r="P3450" s="17" t="n">
        <v>11</v>
      </c>
      <c r="Q3450" s="17" t="str">
        <f aca="false">VLOOKUP(P3450,Sheet2!J:K,2,0)</f>
        <v>IR Declared due to CID -TA</v>
      </c>
      <c r="R3450" s="17" t="s">
        <v>35</v>
      </c>
      <c r="S3450" s="17" t="str">
        <f aca="false">VLOOKUP(R3450,Sheet2!N:O,2,0)</f>
        <v>IREPARABLE</v>
      </c>
      <c r="T3450" s="18" t="str">
        <f aca="false">VLOOKUP(P3450,Sheet2!Q:R,2,0)</f>
        <v>IR Normal - Track burn out</v>
      </c>
      <c r="U3450" s="20" t="s">
        <v>41</v>
      </c>
      <c r="V3450" s="17"/>
      <c r="W3450" s="20" t="e">
        <f aca="false">VLOOKUP(V3450,Sheet2!Q:R,2,0)</f>
        <v>#N/A</v>
      </c>
      <c r="X3450" s="17" t="n">
        <f aca="false">J3450</f>
        <v>0</v>
      </c>
      <c r="Y3450" s="17" t="e">
        <f aca="false">VLOOKUP(X3450,Sheet2!A:B,2,0)</f>
        <v>#N/A</v>
      </c>
      <c r="Z3450" s="17"/>
      <c r="AA3450" s="17"/>
      <c r="AB3450" s="17" t="s">
        <v>41</v>
      </c>
      <c r="AC3450" s="0" t="str">
        <f aca="false">LEFT(G3450,2)</f>
        <v/>
      </c>
      <c r="AE3450" s="0"/>
    </row>
    <row r="3451" customFormat="false" ht="15" hidden="false" customHeight="false" outlineLevel="0" collapsed="false">
      <c r="A3451" s="13" t="n">
        <f aca="false">1+A3450</f>
        <v>3449</v>
      </c>
      <c r="B3451" s="14" t="n">
        <v>100</v>
      </c>
      <c r="C3451" s="15"/>
      <c r="D3451" s="16" t="s">
        <v>64</v>
      </c>
      <c r="E3451" s="17" t="s">
        <v>47</v>
      </c>
      <c r="F3451" s="18" t="s">
        <v>34</v>
      </c>
      <c r="G3451" s="19"/>
      <c r="H3451" s="17" t="s">
        <v>35</v>
      </c>
      <c r="I3451" s="17" t="s">
        <v>44</v>
      </c>
      <c r="J3451" s="17"/>
      <c r="K3451" s="17" t="e">
        <f aca="false">VLOOKUP(J3451,Sheet2!A:B,2,0)</f>
        <v>#N/A</v>
      </c>
      <c r="L3451" s="17" t="n">
        <v>5</v>
      </c>
      <c r="M3451" s="17" t="str">
        <f aca="false">VLOOKUP(L3451,Sheet2!D:E,2,0)</f>
        <v>Main Processor CPU BGA</v>
      </c>
      <c r="N3451" s="17" t="n">
        <v>1</v>
      </c>
      <c r="O3451" s="17" t="str">
        <f aca="false">VLOOKUP(N3451,Sheet2!G:H,2,0)</f>
        <v>Dead</v>
      </c>
      <c r="P3451" s="17" t="n">
        <v>11</v>
      </c>
      <c r="Q3451" s="17" t="str">
        <f aca="false">VLOOKUP(P3451,Sheet2!J:K,2,0)</f>
        <v>IR Declared due to CID -TA</v>
      </c>
      <c r="R3451" s="17" t="s">
        <v>35</v>
      </c>
      <c r="S3451" s="17" t="str">
        <f aca="false">VLOOKUP(R3451,Sheet2!N:O,2,0)</f>
        <v>IREPARABLE</v>
      </c>
      <c r="T3451" s="18" t="str">
        <f aca="false">VLOOKUP(P3451,Sheet2!Q:R,2,0)</f>
        <v>IR Normal - Track burn out</v>
      </c>
      <c r="U3451" s="20" t="s">
        <v>41</v>
      </c>
      <c r="V3451" s="17"/>
      <c r="W3451" s="20" t="e">
        <f aca="false">VLOOKUP(V3451,Sheet2!Q:R,2,0)</f>
        <v>#N/A</v>
      </c>
      <c r="X3451" s="17" t="n">
        <f aca="false">J3451</f>
        <v>0</v>
      </c>
      <c r="Y3451" s="17" t="e">
        <f aca="false">VLOOKUP(X3451,Sheet2!A:B,2,0)</f>
        <v>#N/A</v>
      </c>
      <c r="Z3451" s="17"/>
      <c r="AA3451" s="17"/>
      <c r="AB3451" s="17" t="s">
        <v>41</v>
      </c>
      <c r="AC3451" s="0" t="str">
        <f aca="false">LEFT(G3451,2)</f>
        <v/>
      </c>
      <c r="AE3451" s="0"/>
    </row>
    <row r="3452" customFormat="false" ht="15" hidden="false" customHeight="false" outlineLevel="0" collapsed="false">
      <c r="A3452" s="13" t="n">
        <f aca="false">1+A3451</f>
        <v>3450</v>
      </c>
      <c r="B3452" s="14" t="n">
        <v>100</v>
      </c>
      <c r="C3452" s="15"/>
      <c r="D3452" s="16" t="s">
        <v>64</v>
      </c>
      <c r="E3452" s="17" t="s">
        <v>47</v>
      </c>
      <c r="F3452" s="18" t="s">
        <v>34</v>
      </c>
      <c r="G3452" s="19"/>
      <c r="H3452" s="17" t="s">
        <v>35</v>
      </c>
      <c r="I3452" s="17" t="s">
        <v>44</v>
      </c>
      <c r="J3452" s="17"/>
      <c r="K3452" s="17" t="e">
        <f aca="false">VLOOKUP(J3452,Sheet2!A:B,2,0)</f>
        <v>#N/A</v>
      </c>
      <c r="L3452" s="17" t="n">
        <v>5</v>
      </c>
      <c r="M3452" s="17" t="str">
        <f aca="false">VLOOKUP(L3452,Sheet2!D:E,2,0)</f>
        <v>Main Processor CPU BGA</v>
      </c>
      <c r="N3452" s="17" t="n">
        <v>1</v>
      </c>
      <c r="O3452" s="17" t="str">
        <f aca="false">VLOOKUP(N3452,Sheet2!G:H,2,0)</f>
        <v>Dead</v>
      </c>
      <c r="P3452" s="17" t="n">
        <v>11</v>
      </c>
      <c r="Q3452" s="17" t="str">
        <f aca="false">VLOOKUP(P3452,Sheet2!J:K,2,0)</f>
        <v>IR Declared due to CID -TA</v>
      </c>
      <c r="R3452" s="17" t="s">
        <v>35</v>
      </c>
      <c r="S3452" s="17" t="str">
        <f aca="false">VLOOKUP(R3452,Sheet2!N:O,2,0)</f>
        <v>IREPARABLE</v>
      </c>
      <c r="T3452" s="18" t="str">
        <f aca="false">VLOOKUP(P3452,Sheet2!Q:R,2,0)</f>
        <v>IR Normal - Track burn out</v>
      </c>
      <c r="U3452" s="20" t="s">
        <v>41</v>
      </c>
      <c r="V3452" s="17"/>
      <c r="W3452" s="20" t="e">
        <f aca="false">VLOOKUP(V3452,Sheet2!Q:R,2,0)</f>
        <v>#N/A</v>
      </c>
      <c r="X3452" s="17" t="n">
        <f aca="false">J3452</f>
        <v>0</v>
      </c>
      <c r="Y3452" s="17" t="e">
        <f aca="false">VLOOKUP(X3452,Sheet2!A:B,2,0)</f>
        <v>#N/A</v>
      </c>
      <c r="Z3452" s="17"/>
      <c r="AA3452" s="17"/>
      <c r="AB3452" s="17" t="s">
        <v>41</v>
      </c>
      <c r="AC3452" s="0" t="str">
        <f aca="false">LEFT(G3452,2)</f>
        <v/>
      </c>
      <c r="AE3452" s="0"/>
    </row>
    <row r="3453" customFormat="false" ht="15" hidden="false" customHeight="false" outlineLevel="0" collapsed="false">
      <c r="A3453" s="13" t="n">
        <f aca="false">1+A3452</f>
        <v>3451</v>
      </c>
      <c r="B3453" s="14" t="n">
        <v>100</v>
      </c>
      <c r="C3453" s="15"/>
      <c r="D3453" s="16" t="s">
        <v>64</v>
      </c>
      <c r="E3453" s="17" t="s">
        <v>47</v>
      </c>
      <c r="F3453" s="18" t="s">
        <v>34</v>
      </c>
      <c r="G3453" s="19"/>
      <c r="H3453" s="17" t="s">
        <v>35</v>
      </c>
      <c r="I3453" s="17" t="s">
        <v>44</v>
      </c>
      <c r="J3453" s="17"/>
      <c r="K3453" s="17" t="e">
        <f aca="false">VLOOKUP(J3453,Sheet2!A:B,2,0)</f>
        <v>#N/A</v>
      </c>
      <c r="L3453" s="17" t="n">
        <v>5</v>
      </c>
      <c r="M3453" s="17" t="str">
        <f aca="false">VLOOKUP(L3453,Sheet2!D:E,2,0)</f>
        <v>Main Processor CPU BGA</v>
      </c>
      <c r="N3453" s="17" t="n">
        <v>1</v>
      </c>
      <c r="O3453" s="17" t="str">
        <f aca="false">VLOOKUP(N3453,Sheet2!G:H,2,0)</f>
        <v>Dead</v>
      </c>
      <c r="P3453" s="17" t="n">
        <v>11</v>
      </c>
      <c r="Q3453" s="17" t="str">
        <f aca="false">VLOOKUP(P3453,Sheet2!J:K,2,0)</f>
        <v>IR Declared due to CID -TA</v>
      </c>
      <c r="R3453" s="17" t="s">
        <v>35</v>
      </c>
      <c r="S3453" s="17" t="str">
        <f aca="false">VLOOKUP(R3453,Sheet2!N:O,2,0)</f>
        <v>IREPARABLE</v>
      </c>
      <c r="T3453" s="18" t="str">
        <f aca="false">VLOOKUP(P3453,Sheet2!Q:R,2,0)</f>
        <v>IR Normal - Track burn out</v>
      </c>
      <c r="U3453" s="20" t="s">
        <v>41</v>
      </c>
      <c r="V3453" s="17"/>
      <c r="W3453" s="20" t="e">
        <f aca="false">VLOOKUP(V3453,Sheet2!Q:R,2,0)</f>
        <v>#N/A</v>
      </c>
      <c r="X3453" s="17" t="n">
        <f aca="false">J3453</f>
        <v>0</v>
      </c>
      <c r="Y3453" s="17" t="e">
        <f aca="false">VLOOKUP(X3453,Sheet2!A:B,2,0)</f>
        <v>#N/A</v>
      </c>
      <c r="Z3453" s="17"/>
      <c r="AA3453" s="17"/>
      <c r="AB3453" s="17" t="s">
        <v>41</v>
      </c>
      <c r="AC3453" s="0" t="str">
        <f aca="false">LEFT(G3453,2)</f>
        <v/>
      </c>
      <c r="AE3453" s="0"/>
    </row>
    <row r="3454" customFormat="false" ht="15" hidden="false" customHeight="false" outlineLevel="0" collapsed="false">
      <c r="A3454" s="13" t="n">
        <f aca="false">1+A3453</f>
        <v>3452</v>
      </c>
      <c r="B3454" s="14" t="n">
        <v>100</v>
      </c>
      <c r="C3454" s="15"/>
      <c r="D3454" s="16" t="s">
        <v>64</v>
      </c>
      <c r="E3454" s="17" t="s">
        <v>47</v>
      </c>
      <c r="F3454" s="18" t="s">
        <v>34</v>
      </c>
      <c r="G3454" s="19"/>
      <c r="H3454" s="17" t="s">
        <v>35</v>
      </c>
      <c r="I3454" s="17" t="s">
        <v>44</v>
      </c>
      <c r="J3454" s="17"/>
      <c r="K3454" s="17" t="e">
        <f aca="false">VLOOKUP(J3454,Sheet2!A:B,2,0)</f>
        <v>#N/A</v>
      </c>
      <c r="L3454" s="17" t="n">
        <v>5</v>
      </c>
      <c r="M3454" s="17" t="str">
        <f aca="false">VLOOKUP(L3454,Sheet2!D:E,2,0)</f>
        <v>Main Processor CPU BGA</v>
      </c>
      <c r="N3454" s="17" t="n">
        <v>1</v>
      </c>
      <c r="O3454" s="17" t="str">
        <f aca="false">VLOOKUP(N3454,Sheet2!G:H,2,0)</f>
        <v>Dead</v>
      </c>
      <c r="P3454" s="17" t="n">
        <v>11</v>
      </c>
      <c r="Q3454" s="17" t="str">
        <f aca="false">VLOOKUP(P3454,Sheet2!J:K,2,0)</f>
        <v>IR Declared due to CID -TA</v>
      </c>
      <c r="R3454" s="17" t="s">
        <v>35</v>
      </c>
      <c r="S3454" s="17" t="str">
        <f aca="false">VLOOKUP(R3454,Sheet2!N:O,2,0)</f>
        <v>IREPARABLE</v>
      </c>
      <c r="T3454" s="18" t="str">
        <f aca="false">VLOOKUP(P3454,Sheet2!Q:R,2,0)</f>
        <v>IR Normal - Track burn out</v>
      </c>
      <c r="U3454" s="20" t="s">
        <v>41</v>
      </c>
      <c r="V3454" s="17"/>
      <c r="W3454" s="20" t="e">
        <f aca="false">VLOOKUP(V3454,Sheet2!Q:R,2,0)</f>
        <v>#N/A</v>
      </c>
      <c r="X3454" s="17" t="n">
        <f aca="false">J3454</f>
        <v>0</v>
      </c>
      <c r="Y3454" s="17" t="e">
        <f aca="false">VLOOKUP(X3454,Sheet2!A:B,2,0)</f>
        <v>#N/A</v>
      </c>
      <c r="Z3454" s="17"/>
      <c r="AA3454" s="17"/>
      <c r="AB3454" s="17" t="s">
        <v>41</v>
      </c>
      <c r="AC3454" s="0" t="str">
        <f aca="false">LEFT(G3454,2)</f>
        <v/>
      </c>
      <c r="AE3454" s="0"/>
    </row>
    <row r="3455" customFormat="false" ht="15" hidden="false" customHeight="false" outlineLevel="0" collapsed="false">
      <c r="A3455" s="13" t="n">
        <f aca="false">1+A3454</f>
        <v>3453</v>
      </c>
      <c r="B3455" s="14" t="n">
        <v>100</v>
      </c>
      <c r="C3455" s="15"/>
      <c r="D3455" s="16" t="s">
        <v>64</v>
      </c>
      <c r="E3455" s="17" t="s">
        <v>47</v>
      </c>
      <c r="F3455" s="18" t="s">
        <v>34</v>
      </c>
      <c r="G3455" s="19"/>
      <c r="H3455" s="17" t="s">
        <v>35</v>
      </c>
      <c r="I3455" s="17" t="s">
        <v>44</v>
      </c>
      <c r="J3455" s="17"/>
      <c r="K3455" s="17" t="e">
        <f aca="false">VLOOKUP(J3455,Sheet2!A:B,2,0)</f>
        <v>#N/A</v>
      </c>
      <c r="L3455" s="17" t="n">
        <v>5</v>
      </c>
      <c r="M3455" s="17" t="str">
        <f aca="false">VLOOKUP(L3455,Sheet2!D:E,2,0)</f>
        <v>Main Processor CPU BGA</v>
      </c>
      <c r="N3455" s="17" t="n">
        <v>1</v>
      </c>
      <c r="O3455" s="17" t="str">
        <f aca="false">VLOOKUP(N3455,Sheet2!G:H,2,0)</f>
        <v>Dead</v>
      </c>
      <c r="P3455" s="17" t="n">
        <v>11</v>
      </c>
      <c r="Q3455" s="17" t="str">
        <f aca="false">VLOOKUP(P3455,Sheet2!J:K,2,0)</f>
        <v>IR Declared due to CID -TA</v>
      </c>
      <c r="R3455" s="17" t="s">
        <v>35</v>
      </c>
      <c r="S3455" s="17" t="str">
        <f aca="false">VLOOKUP(R3455,Sheet2!N:O,2,0)</f>
        <v>IREPARABLE</v>
      </c>
      <c r="T3455" s="18" t="str">
        <f aca="false">VLOOKUP(P3455,Sheet2!Q:R,2,0)</f>
        <v>IR Normal - Track burn out</v>
      </c>
      <c r="U3455" s="20" t="s">
        <v>41</v>
      </c>
      <c r="V3455" s="17"/>
      <c r="W3455" s="20" t="e">
        <f aca="false">VLOOKUP(V3455,Sheet2!Q:R,2,0)</f>
        <v>#N/A</v>
      </c>
      <c r="X3455" s="17" t="n">
        <f aca="false">J3455</f>
        <v>0</v>
      </c>
      <c r="Y3455" s="17" t="e">
        <f aca="false">VLOOKUP(X3455,Sheet2!A:B,2,0)</f>
        <v>#N/A</v>
      </c>
      <c r="Z3455" s="17"/>
      <c r="AA3455" s="17"/>
      <c r="AB3455" s="17" t="s">
        <v>41</v>
      </c>
      <c r="AC3455" s="0" t="str">
        <f aca="false">LEFT(G3455,2)</f>
        <v/>
      </c>
      <c r="AE3455" s="0"/>
    </row>
    <row r="3456" customFormat="false" ht="15" hidden="false" customHeight="false" outlineLevel="0" collapsed="false">
      <c r="A3456" s="13" t="n">
        <f aca="false">1+A3455</f>
        <v>3454</v>
      </c>
      <c r="B3456" s="14" t="n">
        <v>100</v>
      </c>
      <c r="C3456" s="15"/>
      <c r="D3456" s="16" t="s">
        <v>64</v>
      </c>
      <c r="E3456" s="17" t="s">
        <v>47</v>
      </c>
      <c r="F3456" s="18" t="s">
        <v>34</v>
      </c>
      <c r="G3456" s="19"/>
      <c r="H3456" s="17" t="s">
        <v>35</v>
      </c>
      <c r="I3456" s="17" t="s">
        <v>44</v>
      </c>
      <c r="J3456" s="17"/>
      <c r="K3456" s="17" t="e">
        <f aca="false">VLOOKUP(J3456,Sheet2!A:B,2,0)</f>
        <v>#N/A</v>
      </c>
      <c r="L3456" s="17" t="n">
        <v>5</v>
      </c>
      <c r="M3456" s="17" t="str">
        <f aca="false">VLOOKUP(L3456,Sheet2!D:E,2,0)</f>
        <v>Main Processor CPU BGA</v>
      </c>
      <c r="N3456" s="17" t="n">
        <v>1</v>
      </c>
      <c r="O3456" s="17" t="str">
        <f aca="false">VLOOKUP(N3456,Sheet2!G:H,2,0)</f>
        <v>Dead</v>
      </c>
      <c r="P3456" s="17" t="n">
        <v>11</v>
      </c>
      <c r="Q3456" s="17" t="str">
        <f aca="false">VLOOKUP(P3456,Sheet2!J:K,2,0)</f>
        <v>IR Declared due to CID -TA</v>
      </c>
      <c r="R3456" s="17" t="s">
        <v>35</v>
      </c>
      <c r="S3456" s="17" t="str">
        <f aca="false">VLOOKUP(R3456,Sheet2!N:O,2,0)</f>
        <v>IREPARABLE</v>
      </c>
      <c r="T3456" s="18" t="str">
        <f aca="false">VLOOKUP(P3456,Sheet2!Q:R,2,0)</f>
        <v>IR Normal - Track burn out</v>
      </c>
      <c r="U3456" s="20" t="s">
        <v>41</v>
      </c>
      <c r="V3456" s="17"/>
      <c r="W3456" s="20" t="e">
        <f aca="false">VLOOKUP(V3456,Sheet2!Q:R,2,0)</f>
        <v>#N/A</v>
      </c>
      <c r="X3456" s="17" t="n">
        <f aca="false">J3456</f>
        <v>0</v>
      </c>
      <c r="Y3456" s="17" t="e">
        <f aca="false">VLOOKUP(X3456,Sheet2!A:B,2,0)</f>
        <v>#N/A</v>
      </c>
      <c r="Z3456" s="17"/>
      <c r="AA3456" s="17"/>
      <c r="AB3456" s="17" t="s">
        <v>41</v>
      </c>
      <c r="AC3456" s="0" t="str">
        <f aca="false">LEFT(G3456,2)</f>
        <v/>
      </c>
      <c r="AE3456" s="0"/>
    </row>
    <row r="3457" customFormat="false" ht="15" hidden="false" customHeight="false" outlineLevel="0" collapsed="false">
      <c r="A3457" s="13" t="n">
        <f aca="false">1+A3456</f>
        <v>3455</v>
      </c>
      <c r="B3457" s="14" t="n">
        <v>100</v>
      </c>
      <c r="C3457" s="15"/>
      <c r="D3457" s="16" t="s">
        <v>64</v>
      </c>
      <c r="E3457" s="17" t="s">
        <v>47</v>
      </c>
      <c r="F3457" s="18" t="s">
        <v>34</v>
      </c>
      <c r="G3457" s="19"/>
      <c r="H3457" s="17" t="s">
        <v>35</v>
      </c>
      <c r="I3457" s="17" t="s">
        <v>44</v>
      </c>
      <c r="J3457" s="17"/>
      <c r="K3457" s="17" t="e">
        <f aca="false">VLOOKUP(J3457,Sheet2!A:B,2,0)</f>
        <v>#N/A</v>
      </c>
      <c r="L3457" s="17" t="n">
        <v>5</v>
      </c>
      <c r="M3457" s="17" t="str">
        <f aca="false">VLOOKUP(L3457,Sheet2!D:E,2,0)</f>
        <v>Main Processor CPU BGA</v>
      </c>
      <c r="N3457" s="17" t="n">
        <v>1</v>
      </c>
      <c r="O3457" s="17" t="str">
        <f aca="false">VLOOKUP(N3457,Sheet2!G:H,2,0)</f>
        <v>Dead</v>
      </c>
      <c r="P3457" s="17" t="n">
        <v>11</v>
      </c>
      <c r="Q3457" s="17" t="str">
        <f aca="false">VLOOKUP(P3457,Sheet2!J:K,2,0)</f>
        <v>IR Declared due to CID -TA</v>
      </c>
      <c r="R3457" s="17" t="s">
        <v>35</v>
      </c>
      <c r="S3457" s="17" t="str">
        <f aca="false">VLOOKUP(R3457,Sheet2!N:O,2,0)</f>
        <v>IREPARABLE</v>
      </c>
      <c r="T3457" s="18" t="str">
        <f aca="false">VLOOKUP(P3457,Sheet2!Q:R,2,0)</f>
        <v>IR Normal - Track burn out</v>
      </c>
      <c r="U3457" s="20" t="s">
        <v>41</v>
      </c>
      <c r="V3457" s="17"/>
      <c r="W3457" s="20" t="e">
        <f aca="false">VLOOKUP(V3457,Sheet2!Q:R,2,0)</f>
        <v>#N/A</v>
      </c>
      <c r="X3457" s="17" t="n">
        <f aca="false">J3457</f>
        <v>0</v>
      </c>
      <c r="Y3457" s="17" t="e">
        <f aca="false">VLOOKUP(X3457,Sheet2!A:B,2,0)</f>
        <v>#N/A</v>
      </c>
      <c r="Z3457" s="17"/>
      <c r="AA3457" s="17"/>
      <c r="AB3457" s="17" t="s">
        <v>41</v>
      </c>
      <c r="AC3457" s="0" t="str">
        <f aca="false">LEFT(G3457,2)</f>
        <v/>
      </c>
      <c r="AE3457" s="0"/>
    </row>
    <row r="3458" customFormat="false" ht="15" hidden="false" customHeight="false" outlineLevel="0" collapsed="false">
      <c r="A3458" s="13" t="n">
        <f aca="false">1+A3457</f>
        <v>3456</v>
      </c>
      <c r="B3458" s="14" t="n">
        <v>100</v>
      </c>
      <c r="C3458" s="15"/>
      <c r="D3458" s="16" t="s">
        <v>64</v>
      </c>
      <c r="E3458" s="17" t="s">
        <v>47</v>
      </c>
      <c r="F3458" s="18" t="s">
        <v>34</v>
      </c>
      <c r="G3458" s="19"/>
      <c r="H3458" s="17" t="s">
        <v>35</v>
      </c>
      <c r="I3458" s="17" t="s">
        <v>44</v>
      </c>
      <c r="J3458" s="17"/>
      <c r="K3458" s="17" t="e">
        <f aca="false">VLOOKUP(J3458,Sheet2!A:B,2,0)</f>
        <v>#N/A</v>
      </c>
      <c r="L3458" s="17" t="n">
        <v>5</v>
      </c>
      <c r="M3458" s="17" t="str">
        <f aca="false">VLOOKUP(L3458,Sheet2!D:E,2,0)</f>
        <v>Main Processor CPU BGA</v>
      </c>
      <c r="N3458" s="17" t="n">
        <v>1</v>
      </c>
      <c r="O3458" s="17" t="str">
        <f aca="false">VLOOKUP(N3458,Sheet2!G:H,2,0)</f>
        <v>Dead</v>
      </c>
      <c r="P3458" s="17" t="n">
        <v>11</v>
      </c>
      <c r="Q3458" s="17" t="str">
        <f aca="false">VLOOKUP(P3458,Sheet2!J:K,2,0)</f>
        <v>IR Declared due to CID -TA</v>
      </c>
      <c r="R3458" s="17" t="s">
        <v>35</v>
      </c>
      <c r="S3458" s="17" t="str">
        <f aca="false">VLOOKUP(R3458,Sheet2!N:O,2,0)</f>
        <v>IREPARABLE</v>
      </c>
      <c r="T3458" s="18" t="str">
        <f aca="false">VLOOKUP(P3458,Sheet2!Q:R,2,0)</f>
        <v>IR Normal - Track burn out</v>
      </c>
      <c r="U3458" s="20" t="s">
        <v>41</v>
      </c>
      <c r="V3458" s="17"/>
      <c r="W3458" s="20" t="e">
        <f aca="false">VLOOKUP(V3458,Sheet2!Q:R,2,0)</f>
        <v>#N/A</v>
      </c>
      <c r="X3458" s="17" t="n">
        <f aca="false">J3458</f>
        <v>0</v>
      </c>
      <c r="Y3458" s="17" t="e">
        <f aca="false">VLOOKUP(X3458,Sheet2!A:B,2,0)</f>
        <v>#N/A</v>
      </c>
      <c r="Z3458" s="17"/>
      <c r="AA3458" s="17"/>
      <c r="AB3458" s="17" t="s">
        <v>41</v>
      </c>
      <c r="AC3458" s="0" t="str">
        <f aca="false">LEFT(G3458,2)</f>
        <v/>
      </c>
      <c r="AE3458" s="0"/>
    </row>
    <row r="3459" customFormat="false" ht="15" hidden="false" customHeight="false" outlineLevel="0" collapsed="false">
      <c r="A3459" s="13" t="n">
        <f aca="false">1+A3458</f>
        <v>3457</v>
      </c>
      <c r="B3459" s="14" t="n">
        <v>100</v>
      </c>
      <c r="C3459" s="15"/>
      <c r="D3459" s="16" t="s">
        <v>64</v>
      </c>
      <c r="E3459" s="17" t="s">
        <v>47</v>
      </c>
      <c r="F3459" s="18" t="s">
        <v>34</v>
      </c>
      <c r="G3459" s="19"/>
      <c r="H3459" s="17" t="s">
        <v>35</v>
      </c>
      <c r="I3459" s="17" t="s">
        <v>44</v>
      </c>
      <c r="J3459" s="17"/>
      <c r="K3459" s="17" t="e">
        <f aca="false">VLOOKUP(J3459,Sheet2!A:B,2,0)</f>
        <v>#N/A</v>
      </c>
      <c r="L3459" s="17" t="n">
        <v>5</v>
      </c>
      <c r="M3459" s="17" t="str">
        <f aca="false">VLOOKUP(L3459,Sheet2!D:E,2,0)</f>
        <v>Main Processor CPU BGA</v>
      </c>
      <c r="N3459" s="17" t="n">
        <v>1</v>
      </c>
      <c r="O3459" s="17" t="str">
        <f aca="false">VLOOKUP(N3459,Sheet2!G:H,2,0)</f>
        <v>Dead</v>
      </c>
      <c r="P3459" s="17" t="n">
        <v>11</v>
      </c>
      <c r="Q3459" s="17" t="str">
        <f aca="false">VLOOKUP(P3459,Sheet2!J:K,2,0)</f>
        <v>IR Declared due to CID -TA</v>
      </c>
      <c r="R3459" s="17" t="s">
        <v>35</v>
      </c>
      <c r="S3459" s="17" t="str">
        <f aca="false">VLOOKUP(R3459,Sheet2!N:O,2,0)</f>
        <v>IREPARABLE</v>
      </c>
      <c r="T3459" s="18" t="str">
        <f aca="false">VLOOKUP(P3459,Sheet2!Q:R,2,0)</f>
        <v>IR Normal - Track burn out</v>
      </c>
      <c r="U3459" s="20" t="s">
        <v>41</v>
      </c>
      <c r="V3459" s="17"/>
      <c r="W3459" s="20" t="e">
        <f aca="false">VLOOKUP(V3459,Sheet2!Q:R,2,0)</f>
        <v>#N/A</v>
      </c>
      <c r="X3459" s="17" t="n">
        <f aca="false">J3459</f>
        <v>0</v>
      </c>
      <c r="Y3459" s="17" t="e">
        <f aca="false">VLOOKUP(X3459,Sheet2!A:B,2,0)</f>
        <v>#N/A</v>
      </c>
      <c r="Z3459" s="17"/>
      <c r="AA3459" s="17"/>
      <c r="AB3459" s="17" t="s">
        <v>41</v>
      </c>
      <c r="AC3459" s="0" t="str">
        <f aca="false">LEFT(G3459,2)</f>
        <v/>
      </c>
      <c r="AE3459" s="0"/>
    </row>
    <row r="3460" customFormat="false" ht="15" hidden="false" customHeight="false" outlineLevel="0" collapsed="false">
      <c r="A3460" s="13" t="n">
        <f aca="false">1+A3459</f>
        <v>3458</v>
      </c>
      <c r="B3460" s="14" t="n">
        <v>100</v>
      </c>
      <c r="C3460" s="15"/>
      <c r="D3460" s="16" t="s">
        <v>64</v>
      </c>
      <c r="E3460" s="17" t="s">
        <v>47</v>
      </c>
      <c r="F3460" s="18" t="s">
        <v>34</v>
      </c>
      <c r="G3460" s="19"/>
      <c r="H3460" s="17" t="s">
        <v>35</v>
      </c>
      <c r="I3460" s="17" t="s">
        <v>44</v>
      </c>
      <c r="J3460" s="17"/>
      <c r="K3460" s="17" t="e">
        <f aca="false">VLOOKUP(J3460,Sheet2!A:B,2,0)</f>
        <v>#N/A</v>
      </c>
      <c r="L3460" s="17" t="n">
        <v>5</v>
      </c>
      <c r="M3460" s="17" t="str">
        <f aca="false">VLOOKUP(L3460,Sheet2!D:E,2,0)</f>
        <v>Main Processor CPU BGA</v>
      </c>
      <c r="N3460" s="17" t="n">
        <v>1</v>
      </c>
      <c r="O3460" s="17" t="str">
        <f aca="false">VLOOKUP(N3460,Sheet2!G:H,2,0)</f>
        <v>Dead</v>
      </c>
      <c r="P3460" s="17" t="n">
        <v>11</v>
      </c>
      <c r="Q3460" s="17" t="str">
        <f aca="false">VLOOKUP(P3460,Sheet2!J:K,2,0)</f>
        <v>IR Declared due to CID -TA</v>
      </c>
      <c r="R3460" s="17" t="s">
        <v>35</v>
      </c>
      <c r="S3460" s="17" t="str">
        <f aca="false">VLOOKUP(R3460,Sheet2!N:O,2,0)</f>
        <v>IREPARABLE</v>
      </c>
      <c r="T3460" s="18" t="str">
        <f aca="false">VLOOKUP(P3460,Sheet2!Q:R,2,0)</f>
        <v>IR Normal - Track burn out</v>
      </c>
      <c r="U3460" s="20" t="s">
        <v>41</v>
      </c>
      <c r="V3460" s="17"/>
      <c r="W3460" s="20" t="e">
        <f aca="false">VLOOKUP(V3460,Sheet2!Q:R,2,0)</f>
        <v>#N/A</v>
      </c>
      <c r="X3460" s="17" t="n">
        <f aca="false">J3460</f>
        <v>0</v>
      </c>
      <c r="Y3460" s="17" t="e">
        <f aca="false">VLOOKUP(X3460,Sheet2!A:B,2,0)</f>
        <v>#N/A</v>
      </c>
      <c r="Z3460" s="17"/>
      <c r="AA3460" s="17"/>
      <c r="AB3460" s="17" t="s">
        <v>41</v>
      </c>
      <c r="AC3460" s="0" t="str">
        <f aca="false">LEFT(G3460,2)</f>
        <v/>
      </c>
      <c r="AE3460" s="0"/>
    </row>
    <row r="3461" customFormat="false" ht="15" hidden="false" customHeight="false" outlineLevel="0" collapsed="false">
      <c r="A3461" s="13" t="n">
        <f aca="false">1+A3460</f>
        <v>3459</v>
      </c>
      <c r="B3461" s="14" t="n">
        <v>100</v>
      </c>
      <c r="C3461" s="15"/>
      <c r="D3461" s="16" t="s">
        <v>64</v>
      </c>
      <c r="E3461" s="17" t="s">
        <v>47</v>
      </c>
      <c r="F3461" s="18" t="s">
        <v>34</v>
      </c>
      <c r="G3461" s="19"/>
      <c r="H3461" s="17" t="s">
        <v>35</v>
      </c>
      <c r="I3461" s="17" t="s">
        <v>44</v>
      </c>
      <c r="J3461" s="17"/>
      <c r="K3461" s="17" t="e">
        <f aca="false">VLOOKUP(J3461,Sheet2!A:B,2,0)</f>
        <v>#N/A</v>
      </c>
      <c r="L3461" s="17" t="n">
        <v>5</v>
      </c>
      <c r="M3461" s="17" t="str">
        <f aca="false">VLOOKUP(L3461,Sheet2!D:E,2,0)</f>
        <v>Main Processor CPU BGA</v>
      </c>
      <c r="N3461" s="17" t="n">
        <v>1</v>
      </c>
      <c r="O3461" s="17" t="str">
        <f aca="false">VLOOKUP(N3461,Sheet2!G:H,2,0)</f>
        <v>Dead</v>
      </c>
      <c r="P3461" s="17" t="n">
        <v>11</v>
      </c>
      <c r="Q3461" s="17" t="str">
        <f aca="false">VLOOKUP(P3461,Sheet2!J:K,2,0)</f>
        <v>IR Declared due to CID -TA</v>
      </c>
      <c r="R3461" s="17" t="s">
        <v>35</v>
      </c>
      <c r="S3461" s="17" t="str">
        <f aca="false">VLOOKUP(R3461,Sheet2!N:O,2,0)</f>
        <v>IREPARABLE</v>
      </c>
      <c r="T3461" s="18" t="str">
        <f aca="false">VLOOKUP(P3461,Sheet2!Q:R,2,0)</f>
        <v>IR Normal - Track burn out</v>
      </c>
      <c r="U3461" s="20" t="s">
        <v>41</v>
      </c>
      <c r="V3461" s="17"/>
      <c r="W3461" s="20" t="e">
        <f aca="false">VLOOKUP(V3461,Sheet2!Q:R,2,0)</f>
        <v>#N/A</v>
      </c>
      <c r="X3461" s="17" t="n">
        <f aca="false">J3461</f>
        <v>0</v>
      </c>
      <c r="Y3461" s="17" t="e">
        <f aca="false">VLOOKUP(X3461,Sheet2!A:B,2,0)</f>
        <v>#N/A</v>
      </c>
      <c r="Z3461" s="17"/>
      <c r="AA3461" s="17"/>
      <c r="AB3461" s="17" t="s">
        <v>41</v>
      </c>
      <c r="AC3461" s="0" t="str">
        <f aca="false">LEFT(G3461,2)</f>
        <v/>
      </c>
      <c r="AE3461" s="0"/>
    </row>
    <row r="3462" customFormat="false" ht="15" hidden="false" customHeight="false" outlineLevel="0" collapsed="false">
      <c r="A3462" s="13" t="n">
        <f aca="false">1+A3461</f>
        <v>3460</v>
      </c>
      <c r="B3462" s="14" t="n">
        <v>100</v>
      </c>
      <c r="C3462" s="15"/>
      <c r="D3462" s="16" t="s">
        <v>64</v>
      </c>
      <c r="E3462" s="17" t="s">
        <v>47</v>
      </c>
      <c r="F3462" s="18" t="s">
        <v>34</v>
      </c>
      <c r="G3462" s="19"/>
      <c r="H3462" s="17" t="s">
        <v>35</v>
      </c>
      <c r="I3462" s="17" t="s">
        <v>44</v>
      </c>
      <c r="J3462" s="17"/>
      <c r="K3462" s="17" t="e">
        <f aca="false">VLOOKUP(J3462,Sheet2!A:B,2,0)</f>
        <v>#N/A</v>
      </c>
      <c r="L3462" s="17" t="n">
        <v>5</v>
      </c>
      <c r="M3462" s="17" t="str">
        <f aca="false">VLOOKUP(L3462,Sheet2!D:E,2,0)</f>
        <v>Main Processor CPU BGA</v>
      </c>
      <c r="N3462" s="17" t="n">
        <v>1</v>
      </c>
      <c r="O3462" s="17" t="str">
        <f aca="false">VLOOKUP(N3462,Sheet2!G:H,2,0)</f>
        <v>Dead</v>
      </c>
      <c r="P3462" s="17" t="n">
        <v>11</v>
      </c>
      <c r="Q3462" s="17" t="str">
        <f aca="false">VLOOKUP(P3462,Sheet2!J:K,2,0)</f>
        <v>IR Declared due to CID -TA</v>
      </c>
      <c r="R3462" s="17" t="s">
        <v>35</v>
      </c>
      <c r="S3462" s="17" t="str">
        <f aca="false">VLOOKUP(R3462,Sheet2!N:O,2,0)</f>
        <v>IREPARABLE</v>
      </c>
      <c r="T3462" s="18" t="str">
        <f aca="false">VLOOKUP(P3462,Sheet2!Q:R,2,0)</f>
        <v>IR Normal - Track burn out</v>
      </c>
      <c r="U3462" s="20" t="s">
        <v>41</v>
      </c>
      <c r="V3462" s="17"/>
      <c r="W3462" s="20" t="e">
        <f aca="false">VLOOKUP(V3462,Sheet2!Q:R,2,0)</f>
        <v>#N/A</v>
      </c>
      <c r="X3462" s="17" t="n">
        <f aca="false">J3462</f>
        <v>0</v>
      </c>
      <c r="Y3462" s="17" t="e">
        <f aca="false">VLOOKUP(X3462,Sheet2!A:B,2,0)</f>
        <v>#N/A</v>
      </c>
      <c r="Z3462" s="17"/>
      <c r="AA3462" s="17"/>
      <c r="AB3462" s="17" t="s">
        <v>41</v>
      </c>
      <c r="AC3462" s="0" t="str">
        <f aca="false">LEFT(G3462,2)</f>
        <v/>
      </c>
      <c r="AE3462" s="0"/>
    </row>
    <row r="3463" customFormat="false" ht="15" hidden="false" customHeight="false" outlineLevel="0" collapsed="false">
      <c r="A3463" s="13" t="n">
        <f aca="false">1+A3462</f>
        <v>3461</v>
      </c>
      <c r="B3463" s="14" t="n">
        <v>100</v>
      </c>
      <c r="C3463" s="15"/>
      <c r="D3463" s="16" t="s">
        <v>64</v>
      </c>
      <c r="E3463" s="17" t="s">
        <v>47</v>
      </c>
      <c r="F3463" s="18" t="s">
        <v>34</v>
      </c>
      <c r="G3463" s="19"/>
      <c r="H3463" s="17" t="s">
        <v>35</v>
      </c>
      <c r="I3463" s="17" t="s">
        <v>44</v>
      </c>
      <c r="J3463" s="17"/>
      <c r="K3463" s="17" t="e">
        <f aca="false">VLOOKUP(J3463,Sheet2!A:B,2,0)</f>
        <v>#N/A</v>
      </c>
      <c r="L3463" s="17" t="n">
        <v>5</v>
      </c>
      <c r="M3463" s="17" t="str">
        <f aca="false">VLOOKUP(L3463,Sheet2!D:E,2,0)</f>
        <v>Main Processor CPU BGA</v>
      </c>
      <c r="N3463" s="17" t="n">
        <v>1</v>
      </c>
      <c r="O3463" s="17" t="str">
        <f aca="false">VLOOKUP(N3463,Sheet2!G:H,2,0)</f>
        <v>Dead</v>
      </c>
      <c r="P3463" s="17" t="n">
        <v>11</v>
      </c>
      <c r="Q3463" s="17" t="str">
        <f aca="false">VLOOKUP(P3463,Sheet2!J:K,2,0)</f>
        <v>IR Declared due to CID -TA</v>
      </c>
      <c r="R3463" s="17" t="s">
        <v>35</v>
      </c>
      <c r="S3463" s="17" t="str">
        <f aca="false">VLOOKUP(R3463,Sheet2!N:O,2,0)</f>
        <v>IREPARABLE</v>
      </c>
      <c r="T3463" s="18" t="str">
        <f aca="false">VLOOKUP(P3463,Sheet2!Q:R,2,0)</f>
        <v>IR Normal - Track burn out</v>
      </c>
      <c r="U3463" s="20" t="s">
        <v>41</v>
      </c>
      <c r="V3463" s="17"/>
      <c r="W3463" s="20" t="e">
        <f aca="false">VLOOKUP(V3463,Sheet2!Q:R,2,0)</f>
        <v>#N/A</v>
      </c>
      <c r="X3463" s="17" t="n">
        <f aca="false">J3463</f>
        <v>0</v>
      </c>
      <c r="Y3463" s="17" t="e">
        <f aca="false">VLOOKUP(X3463,Sheet2!A:B,2,0)</f>
        <v>#N/A</v>
      </c>
      <c r="Z3463" s="17"/>
      <c r="AA3463" s="17"/>
      <c r="AB3463" s="17" t="s">
        <v>41</v>
      </c>
      <c r="AC3463" s="0" t="str">
        <f aca="false">LEFT(G3463,2)</f>
        <v/>
      </c>
      <c r="AE3463" s="0"/>
    </row>
    <row r="3464" customFormat="false" ht="15" hidden="false" customHeight="false" outlineLevel="0" collapsed="false">
      <c r="A3464" s="13" t="n">
        <f aca="false">1+A3463</f>
        <v>3462</v>
      </c>
      <c r="B3464" s="14" t="n">
        <v>100</v>
      </c>
      <c r="C3464" s="15"/>
      <c r="D3464" s="16" t="s">
        <v>64</v>
      </c>
      <c r="E3464" s="17" t="s">
        <v>47</v>
      </c>
      <c r="F3464" s="18" t="s">
        <v>34</v>
      </c>
      <c r="G3464" s="19"/>
      <c r="H3464" s="17" t="s">
        <v>35</v>
      </c>
      <c r="I3464" s="17" t="s">
        <v>44</v>
      </c>
      <c r="J3464" s="17"/>
      <c r="K3464" s="17" t="e">
        <f aca="false">VLOOKUP(J3464,Sheet2!A:B,2,0)</f>
        <v>#N/A</v>
      </c>
      <c r="L3464" s="17" t="n">
        <v>5</v>
      </c>
      <c r="M3464" s="17" t="str">
        <f aca="false">VLOOKUP(L3464,Sheet2!D:E,2,0)</f>
        <v>Main Processor CPU BGA</v>
      </c>
      <c r="N3464" s="17" t="n">
        <v>1</v>
      </c>
      <c r="O3464" s="17" t="str">
        <f aca="false">VLOOKUP(N3464,Sheet2!G:H,2,0)</f>
        <v>Dead</v>
      </c>
      <c r="P3464" s="17" t="n">
        <v>11</v>
      </c>
      <c r="Q3464" s="17" t="str">
        <f aca="false">VLOOKUP(P3464,Sheet2!J:K,2,0)</f>
        <v>IR Declared due to CID -TA</v>
      </c>
      <c r="R3464" s="17" t="s">
        <v>35</v>
      </c>
      <c r="S3464" s="17" t="str">
        <f aca="false">VLOOKUP(R3464,Sheet2!N:O,2,0)</f>
        <v>IREPARABLE</v>
      </c>
      <c r="T3464" s="18" t="str">
        <f aca="false">VLOOKUP(P3464,Sheet2!Q:R,2,0)</f>
        <v>IR Normal - Track burn out</v>
      </c>
      <c r="U3464" s="20" t="s">
        <v>41</v>
      </c>
      <c r="V3464" s="17"/>
      <c r="W3464" s="20" t="e">
        <f aca="false">VLOOKUP(V3464,Sheet2!Q:R,2,0)</f>
        <v>#N/A</v>
      </c>
      <c r="X3464" s="17" t="n">
        <f aca="false">J3464</f>
        <v>0</v>
      </c>
      <c r="Y3464" s="17" t="e">
        <f aca="false">VLOOKUP(X3464,Sheet2!A:B,2,0)</f>
        <v>#N/A</v>
      </c>
      <c r="Z3464" s="17"/>
      <c r="AA3464" s="17"/>
      <c r="AB3464" s="17" t="s">
        <v>41</v>
      </c>
      <c r="AC3464" s="0" t="str">
        <f aca="false">LEFT(G3464,2)</f>
        <v/>
      </c>
      <c r="AE3464" s="0"/>
    </row>
    <row r="3465" customFormat="false" ht="15" hidden="false" customHeight="false" outlineLevel="0" collapsed="false">
      <c r="A3465" s="13" t="n">
        <f aca="false">1+A3464</f>
        <v>3463</v>
      </c>
      <c r="B3465" s="14" t="n">
        <v>100</v>
      </c>
      <c r="C3465" s="15"/>
      <c r="D3465" s="16" t="s">
        <v>64</v>
      </c>
      <c r="E3465" s="17" t="s">
        <v>47</v>
      </c>
      <c r="F3465" s="18" t="s">
        <v>34</v>
      </c>
      <c r="G3465" s="19"/>
      <c r="H3465" s="17" t="s">
        <v>35</v>
      </c>
      <c r="I3465" s="17" t="s">
        <v>44</v>
      </c>
      <c r="J3465" s="17"/>
      <c r="K3465" s="17" t="e">
        <f aca="false">VLOOKUP(J3465,Sheet2!A:B,2,0)</f>
        <v>#N/A</v>
      </c>
      <c r="L3465" s="17" t="n">
        <v>5</v>
      </c>
      <c r="M3465" s="17" t="str">
        <f aca="false">VLOOKUP(L3465,Sheet2!D:E,2,0)</f>
        <v>Main Processor CPU BGA</v>
      </c>
      <c r="N3465" s="17" t="n">
        <v>1</v>
      </c>
      <c r="O3465" s="17" t="str">
        <f aca="false">VLOOKUP(N3465,Sheet2!G:H,2,0)</f>
        <v>Dead</v>
      </c>
      <c r="P3465" s="17" t="n">
        <v>11</v>
      </c>
      <c r="Q3465" s="17" t="str">
        <f aca="false">VLOOKUP(P3465,Sheet2!J:K,2,0)</f>
        <v>IR Declared due to CID -TA</v>
      </c>
      <c r="R3465" s="17" t="s">
        <v>35</v>
      </c>
      <c r="S3465" s="17" t="str">
        <f aca="false">VLOOKUP(R3465,Sheet2!N:O,2,0)</f>
        <v>IREPARABLE</v>
      </c>
      <c r="T3465" s="18" t="str">
        <f aca="false">VLOOKUP(P3465,Sheet2!Q:R,2,0)</f>
        <v>IR Normal - Track burn out</v>
      </c>
      <c r="U3465" s="20" t="s">
        <v>41</v>
      </c>
      <c r="V3465" s="17"/>
      <c r="W3465" s="20" t="e">
        <f aca="false">VLOOKUP(V3465,Sheet2!Q:R,2,0)</f>
        <v>#N/A</v>
      </c>
      <c r="X3465" s="17" t="n">
        <f aca="false">J3465</f>
        <v>0</v>
      </c>
      <c r="Y3465" s="17" t="e">
        <f aca="false">VLOOKUP(X3465,Sheet2!A:B,2,0)</f>
        <v>#N/A</v>
      </c>
      <c r="Z3465" s="17"/>
      <c r="AA3465" s="17"/>
      <c r="AB3465" s="17" t="s">
        <v>41</v>
      </c>
      <c r="AC3465" s="0" t="str">
        <f aca="false">LEFT(G3465,2)</f>
        <v/>
      </c>
      <c r="AE3465" s="0"/>
    </row>
    <row r="3466" customFormat="false" ht="15" hidden="false" customHeight="false" outlineLevel="0" collapsed="false">
      <c r="A3466" s="13" t="n">
        <f aca="false">1+A3465</f>
        <v>3464</v>
      </c>
      <c r="B3466" s="14" t="n">
        <v>100</v>
      </c>
      <c r="C3466" s="15"/>
      <c r="D3466" s="16" t="s">
        <v>64</v>
      </c>
      <c r="E3466" s="17" t="s">
        <v>47</v>
      </c>
      <c r="F3466" s="18" t="s">
        <v>34</v>
      </c>
      <c r="G3466" s="19"/>
      <c r="H3466" s="17" t="s">
        <v>35</v>
      </c>
      <c r="I3466" s="17" t="s">
        <v>44</v>
      </c>
      <c r="J3466" s="17"/>
      <c r="K3466" s="17" t="e">
        <f aca="false">VLOOKUP(J3466,Sheet2!A:B,2,0)</f>
        <v>#N/A</v>
      </c>
      <c r="L3466" s="17" t="n">
        <v>5</v>
      </c>
      <c r="M3466" s="17" t="str">
        <f aca="false">VLOOKUP(L3466,Sheet2!D:E,2,0)</f>
        <v>Main Processor CPU BGA</v>
      </c>
      <c r="N3466" s="17" t="n">
        <v>1</v>
      </c>
      <c r="O3466" s="17" t="str">
        <f aca="false">VLOOKUP(N3466,Sheet2!G:H,2,0)</f>
        <v>Dead</v>
      </c>
      <c r="P3466" s="17" t="n">
        <v>11</v>
      </c>
      <c r="Q3466" s="17" t="str">
        <f aca="false">VLOOKUP(P3466,Sheet2!J:K,2,0)</f>
        <v>IR Declared due to CID -TA</v>
      </c>
      <c r="R3466" s="17" t="s">
        <v>35</v>
      </c>
      <c r="S3466" s="17" t="str">
        <f aca="false">VLOOKUP(R3466,Sheet2!N:O,2,0)</f>
        <v>IREPARABLE</v>
      </c>
      <c r="T3466" s="18" t="str">
        <f aca="false">VLOOKUP(P3466,Sheet2!Q:R,2,0)</f>
        <v>IR Normal - Track burn out</v>
      </c>
      <c r="U3466" s="20" t="s">
        <v>41</v>
      </c>
      <c r="V3466" s="17"/>
      <c r="W3466" s="20" t="e">
        <f aca="false">VLOOKUP(V3466,Sheet2!Q:R,2,0)</f>
        <v>#N/A</v>
      </c>
      <c r="X3466" s="17" t="n">
        <f aca="false">J3466</f>
        <v>0</v>
      </c>
      <c r="Y3466" s="17" t="e">
        <f aca="false">VLOOKUP(X3466,Sheet2!A:B,2,0)</f>
        <v>#N/A</v>
      </c>
      <c r="Z3466" s="17"/>
      <c r="AA3466" s="17"/>
      <c r="AB3466" s="17" t="s">
        <v>41</v>
      </c>
      <c r="AC3466" s="0" t="str">
        <f aca="false">LEFT(G3466,2)</f>
        <v/>
      </c>
      <c r="AE3466" s="0"/>
    </row>
    <row r="3467" customFormat="false" ht="15" hidden="false" customHeight="false" outlineLevel="0" collapsed="false">
      <c r="A3467" s="13" t="n">
        <f aca="false">1+A3466</f>
        <v>3465</v>
      </c>
      <c r="B3467" s="14" t="n">
        <v>100</v>
      </c>
      <c r="C3467" s="15"/>
      <c r="D3467" s="16" t="s">
        <v>64</v>
      </c>
      <c r="E3467" s="17" t="s">
        <v>47</v>
      </c>
      <c r="F3467" s="18" t="s">
        <v>34</v>
      </c>
      <c r="G3467" s="19"/>
      <c r="H3467" s="17" t="s">
        <v>35</v>
      </c>
      <c r="I3467" s="17" t="s">
        <v>44</v>
      </c>
      <c r="J3467" s="17"/>
      <c r="K3467" s="17" t="e">
        <f aca="false">VLOOKUP(J3467,Sheet2!A:B,2,0)</f>
        <v>#N/A</v>
      </c>
      <c r="L3467" s="17" t="n">
        <v>5</v>
      </c>
      <c r="M3467" s="17" t="str">
        <f aca="false">VLOOKUP(L3467,Sheet2!D:E,2,0)</f>
        <v>Main Processor CPU BGA</v>
      </c>
      <c r="N3467" s="17" t="n">
        <v>1</v>
      </c>
      <c r="O3467" s="17" t="str">
        <f aca="false">VLOOKUP(N3467,Sheet2!G:H,2,0)</f>
        <v>Dead</v>
      </c>
      <c r="P3467" s="17" t="n">
        <v>11</v>
      </c>
      <c r="Q3467" s="17" t="str">
        <f aca="false">VLOOKUP(P3467,Sheet2!J:K,2,0)</f>
        <v>IR Declared due to CID -TA</v>
      </c>
      <c r="R3467" s="17" t="s">
        <v>35</v>
      </c>
      <c r="S3467" s="17" t="str">
        <f aca="false">VLOOKUP(R3467,Sheet2!N:O,2,0)</f>
        <v>IREPARABLE</v>
      </c>
      <c r="T3467" s="18" t="str">
        <f aca="false">VLOOKUP(P3467,Sheet2!Q:R,2,0)</f>
        <v>IR Normal - Track burn out</v>
      </c>
      <c r="U3467" s="20" t="s">
        <v>41</v>
      </c>
      <c r="V3467" s="17"/>
      <c r="W3467" s="20" t="e">
        <f aca="false">VLOOKUP(V3467,Sheet2!Q:R,2,0)</f>
        <v>#N/A</v>
      </c>
      <c r="X3467" s="17" t="n">
        <f aca="false">J3467</f>
        <v>0</v>
      </c>
      <c r="Y3467" s="17" t="e">
        <f aca="false">VLOOKUP(X3467,Sheet2!A:B,2,0)</f>
        <v>#N/A</v>
      </c>
      <c r="Z3467" s="17"/>
      <c r="AA3467" s="17"/>
      <c r="AB3467" s="17" t="s">
        <v>41</v>
      </c>
      <c r="AC3467" s="0" t="str">
        <f aca="false">LEFT(G3467,2)</f>
        <v/>
      </c>
      <c r="AE3467" s="0"/>
    </row>
    <row r="3468" customFormat="false" ht="15" hidden="false" customHeight="false" outlineLevel="0" collapsed="false">
      <c r="A3468" s="13" t="n">
        <f aca="false">1+A3467</f>
        <v>3466</v>
      </c>
      <c r="B3468" s="14" t="n">
        <v>100</v>
      </c>
      <c r="C3468" s="15"/>
      <c r="D3468" s="16" t="s">
        <v>64</v>
      </c>
      <c r="E3468" s="17" t="s">
        <v>47</v>
      </c>
      <c r="F3468" s="18" t="s">
        <v>34</v>
      </c>
      <c r="G3468" s="19"/>
      <c r="H3468" s="17" t="s">
        <v>35</v>
      </c>
      <c r="I3468" s="17" t="s">
        <v>44</v>
      </c>
      <c r="J3468" s="17"/>
      <c r="K3468" s="17" t="e">
        <f aca="false">VLOOKUP(J3468,Sheet2!A:B,2,0)</f>
        <v>#N/A</v>
      </c>
      <c r="L3468" s="17" t="n">
        <v>5</v>
      </c>
      <c r="M3468" s="17" t="str">
        <f aca="false">VLOOKUP(L3468,Sheet2!D:E,2,0)</f>
        <v>Main Processor CPU BGA</v>
      </c>
      <c r="N3468" s="17" t="n">
        <v>1</v>
      </c>
      <c r="O3468" s="17" t="str">
        <f aca="false">VLOOKUP(N3468,Sheet2!G:H,2,0)</f>
        <v>Dead</v>
      </c>
      <c r="P3468" s="17" t="n">
        <v>11</v>
      </c>
      <c r="Q3468" s="17" t="str">
        <f aca="false">VLOOKUP(P3468,Sheet2!J:K,2,0)</f>
        <v>IR Declared due to CID -TA</v>
      </c>
      <c r="R3468" s="17" t="s">
        <v>35</v>
      </c>
      <c r="S3468" s="17" t="str">
        <f aca="false">VLOOKUP(R3468,Sheet2!N:O,2,0)</f>
        <v>IREPARABLE</v>
      </c>
      <c r="T3468" s="18" t="str">
        <f aca="false">VLOOKUP(P3468,Sheet2!Q:R,2,0)</f>
        <v>IR Normal - Track burn out</v>
      </c>
      <c r="U3468" s="20" t="s">
        <v>41</v>
      </c>
      <c r="V3468" s="17"/>
      <c r="W3468" s="20" t="e">
        <f aca="false">VLOOKUP(V3468,Sheet2!Q:R,2,0)</f>
        <v>#N/A</v>
      </c>
      <c r="X3468" s="17" t="n">
        <f aca="false">J3468</f>
        <v>0</v>
      </c>
      <c r="Y3468" s="17" t="e">
        <f aca="false">VLOOKUP(X3468,Sheet2!A:B,2,0)</f>
        <v>#N/A</v>
      </c>
      <c r="Z3468" s="17"/>
      <c r="AA3468" s="17"/>
      <c r="AB3468" s="17" t="s">
        <v>41</v>
      </c>
      <c r="AC3468" s="0" t="str">
        <f aca="false">LEFT(G3468,2)</f>
        <v/>
      </c>
      <c r="AE3468" s="0"/>
    </row>
    <row r="3469" customFormat="false" ht="15" hidden="false" customHeight="false" outlineLevel="0" collapsed="false">
      <c r="A3469" s="13" t="n">
        <f aca="false">1+A3468</f>
        <v>3467</v>
      </c>
      <c r="B3469" s="14" t="n">
        <v>100</v>
      </c>
      <c r="C3469" s="15"/>
      <c r="D3469" s="16" t="s">
        <v>64</v>
      </c>
      <c r="E3469" s="17" t="s">
        <v>47</v>
      </c>
      <c r="F3469" s="18" t="s">
        <v>34</v>
      </c>
      <c r="G3469" s="19"/>
      <c r="H3469" s="17" t="s">
        <v>35</v>
      </c>
      <c r="I3469" s="17" t="s">
        <v>44</v>
      </c>
      <c r="J3469" s="17"/>
      <c r="K3469" s="17" t="e">
        <f aca="false">VLOOKUP(J3469,Sheet2!A:B,2,0)</f>
        <v>#N/A</v>
      </c>
      <c r="L3469" s="17" t="n">
        <v>5</v>
      </c>
      <c r="M3469" s="17" t="str">
        <f aca="false">VLOOKUP(L3469,Sheet2!D:E,2,0)</f>
        <v>Main Processor CPU BGA</v>
      </c>
      <c r="N3469" s="17" t="n">
        <v>1</v>
      </c>
      <c r="O3469" s="17" t="str">
        <f aca="false">VLOOKUP(N3469,Sheet2!G:H,2,0)</f>
        <v>Dead</v>
      </c>
      <c r="P3469" s="17" t="n">
        <v>11</v>
      </c>
      <c r="Q3469" s="17" t="str">
        <f aca="false">VLOOKUP(P3469,Sheet2!J:K,2,0)</f>
        <v>IR Declared due to CID -TA</v>
      </c>
      <c r="R3469" s="17" t="s">
        <v>35</v>
      </c>
      <c r="S3469" s="17" t="str">
        <f aca="false">VLOOKUP(R3469,Sheet2!N:O,2,0)</f>
        <v>IREPARABLE</v>
      </c>
      <c r="T3469" s="18" t="str">
        <f aca="false">VLOOKUP(P3469,Sheet2!Q:R,2,0)</f>
        <v>IR Normal - Track burn out</v>
      </c>
      <c r="U3469" s="20" t="s">
        <v>41</v>
      </c>
      <c r="V3469" s="17"/>
      <c r="W3469" s="20" t="e">
        <f aca="false">VLOOKUP(V3469,Sheet2!Q:R,2,0)</f>
        <v>#N/A</v>
      </c>
      <c r="X3469" s="17" t="n">
        <f aca="false">J3469</f>
        <v>0</v>
      </c>
      <c r="Y3469" s="17" t="e">
        <f aca="false">VLOOKUP(X3469,Sheet2!A:B,2,0)</f>
        <v>#N/A</v>
      </c>
      <c r="Z3469" s="17"/>
      <c r="AA3469" s="17"/>
      <c r="AB3469" s="17" t="s">
        <v>41</v>
      </c>
      <c r="AC3469" s="0" t="str">
        <f aca="false">LEFT(G3469,2)</f>
        <v/>
      </c>
      <c r="AE3469" s="0"/>
    </row>
    <row r="3470" customFormat="false" ht="15" hidden="false" customHeight="false" outlineLevel="0" collapsed="false">
      <c r="A3470" s="13" t="n">
        <f aca="false">1+A3469</f>
        <v>3468</v>
      </c>
      <c r="B3470" s="14" t="n">
        <v>100</v>
      </c>
      <c r="C3470" s="15"/>
      <c r="D3470" s="16" t="s">
        <v>64</v>
      </c>
      <c r="E3470" s="17" t="s">
        <v>47</v>
      </c>
      <c r="F3470" s="18" t="s">
        <v>34</v>
      </c>
      <c r="G3470" s="19"/>
      <c r="H3470" s="17" t="s">
        <v>35</v>
      </c>
      <c r="I3470" s="17" t="s">
        <v>44</v>
      </c>
      <c r="J3470" s="17"/>
      <c r="K3470" s="17" t="e">
        <f aca="false">VLOOKUP(J3470,Sheet2!A:B,2,0)</f>
        <v>#N/A</v>
      </c>
      <c r="L3470" s="17" t="n">
        <v>5</v>
      </c>
      <c r="M3470" s="17" t="str">
        <f aca="false">VLOOKUP(L3470,Sheet2!D:E,2,0)</f>
        <v>Main Processor CPU BGA</v>
      </c>
      <c r="N3470" s="17" t="n">
        <v>1</v>
      </c>
      <c r="O3470" s="17" t="str">
        <f aca="false">VLOOKUP(N3470,Sheet2!G:H,2,0)</f>
        <v>Dead</v>
      </c>
      <c r="P3470" s="17" t="n">
        <v>11</v>
      </c>
      <c r="Q3470" s="17" t="str">
        <f aca="false">VLOOKUP(P3470,Sheet2!J:K,2,0)</f>
        <v>IR Declared due to CID -TA</v>
      </c>
      <c r="R3470" s="17" t="s">
        <v>35</v>
      </c>
      <c r="S3470" s="17" t="str">
        <f aca="false">VLOOKUP(R3470,Sheet2!N:O,2,0)</f>
        <v>IREPARABLE</v>
      </c>
      <c r="T3470" s="18" t="str">
        <f aca="false">VLOOKUP(P3470,Sheet2!Q:R,2,0)</f>
        <v>IR Normal - Track burn out</v>
      </c>
      <c r="U3470" s="20" t="s">
        <v>41</v>
      </c>
      <c r="V3470" s="17"/>
      <c r="W3470" s="20" t="e">
        <f aca="false">VLOOKUP(V3470,Sheet2!Q:R,2,0)</f>
        <v>#N/A</v>
      </c>
      <c r="X3470" s="17" t="n">
        <f aca="false">J3470</f>
        <v>0</v>
      </c>
      <c r="Y3470" s="17" t="e">
        <f aca="false">VLOOKUP(X3470,Sheet2!A:B,2,0)</f>
        <v>#N/A</v>
      </c>
      <c r="Z3470" s="17"/>
      <c r="AA3470" s="17"/>
      <c r="AB3470" s="17" t="s">
        <v>41</v>
      </c>
      <c r="AC3470" s="0" t="str">
        <f aca="false">LEFT(G3470,2)</f>
        <v/>
      </c>
      <c r="AE3470" s="0"/>
    </row>
    <row r="3471" customFormat="false" ht="15" hidden="false" customHeight="false" outlineLevel="0" collapsed="false">
      <c r="A3471" s="13" t="n">
        <f aca="false">1+A3470</f>
        <v>3469</v>
      </c>
      <c r="B3471" s="14" t="n">
        <v>100</v>
      </c>
      <c r="C3471" s="15"/>
      <c r="D3471" s="16" t="s">
        <v>64</v>
      </c>
      <c r="E3471" s="17" t="s">
        <v>47</v>
      </c>
      <c r="F3471" s="18" t="s">
        <v>34</v>
      </c>
      <c r="G3471" s="19"/>
      <c r="H3471" s="17" t="s">
        <v>35</v>
      </c>
      <c r="I3471" s="17" t="s">
        <v>44</v>
      </c>
      <c r="J3471" s="17"/>
      <c r="K3471" s="17" t="e">
        <f aca="false">VLOOKUP(J3471,Sheet2!A:B,2,0)</f>
        <v>#N/A</v>
      </c>
      <c r="L3471" s="17" t="n">
        <v>5</v>
      </c>
      <c r="M3471" s="17" t="str">
        <f aca="false">VLOOKUP(L3471,Sheet2!D:E,2,0)</f>
        <v>Main Processor CPU BGA</v>
      </c>
      <c r="N3471" s="17" t="n">
        <v>1</v>
      </c>
      <c r="O3471" s="17" t="str">
        <f aca="false">VLOOKUP(N3471,Sheet2!G:H,2,0)</f>
        <v>Dead</v>
      </c>
      <c r="P3471" s="17" t="n">
        <v>11</v>
      </c>
      <c r="Q3471" s="17" t="str">
        <f aca="false">VLOOKUP(P3471,Sheet2!J:K,2,0)</f>
        <v>IR Declared due to CID -TA</v>
      </c>
      <c r="R3471" s="17" t="s">
        <v>35</v>
      </c>
      <c r="S3471" s="17" t="str">
        <f aca="false">VLOOKUP(R3471,Sheet2!N:O,2,0)</f>
        <v>IREPARABLE</v>
      </c>
      <c r="T3471" s="18" t="str">
        <f aca="false">VLOOKUP(P3471,Sheet2!Q:R,2,0)</f>
        <v>IR Normal - Track burn out</v>
      </c>
      <c r="U3471" s="20" t="s">
        <v>41</v>
      </c>
      <c r="V3471" s="17"/>
      <c r="W3471" s="20" t="e">
        <f aca="false">VLOOKUP(V3471,Sheet2!Q:R,2,0)</f>
        <v>#N/A</v>
      </c>
      <c r="X3471" s="17" t="n">
        <f aca="false">J3471</f>
        <v>0</v>
      </c>
      <c r="Y3471" s="17" t="e">
        <f aca="false">VLOOKUP(X3471,Sheet2!A:B,2,0)</f>
        <v>#N/A</v>
      </c>
      <c r="Z3471" s="17"/>
      <c r="AA3471" s="17"/>
      <c r="AB3471" s="17" t="s">
        <v>41</v>
      </c>
      <c r="AC3471" s="0" t="str">
        <f aca="false">LEFT(G3471,2)</f>
        <v/>
      </c>
      <c r="AE3471" s="0"/>
    </row>
    <row r="3472" customFormat="false" ht="15" hidden="false" customHeight="false" outlineLevel="0" collapsed="false">
      <c r="A3472" s="13" t="n">
        <f aca="false">1+A3471</f>
        <v>3470</v>
      </c>
      <c r="B3472" s="14" t="n">
        <v>100</v>
      </c>
      <c r="C3472" s="15"/>
      <c r="D3472" s="16" t="s">
        <v>64</v>
      </c>
      <c r="E3472" s="17" t="s">
        <v>47</v>
      </c>
      <c r="F3472" s="18" t="s">
        <v>34</v>
      </c>
      <c r="G3472" s="19"/>
      <c r="H3472" s="17" t="s">
        <v>35</v>
      </c>
      <c r="I3472" s="17" t="s">
        <v>44</v>
      </c>
      <c r="J3472" s="17"/>
      <c r="K3472" s="17" t="e">
        <f aca="false">VLOOKUP(J3472,Sheet2!A:B,2,0)</f>
        <v>#N/A</v>
      </c>
      <c r="L3472" s="17" t="n">
        <v>5</v>
      </c>
      <c r="M3472" s="17" t="str">
        <f aca="false">VLOOKUP(L3472,Sheet2!D:E,2,0)</f>
        <v>Main Processor CPU BGA</v>
      </c>
      <c r="N3472" s="17" t="n">
        <v>1</v>
      </c>
      <c r="O3472" s="17" t="str">
        <f aca="false">VLOOKUP(N3472,Sheet2!G:H,2,0)</f>
        <v>Dead</v>
      </c>
      <c r="P3472" s="17" t="n">
        <v>11</v>
      </c>
      <c r="Q3472" s="17" t="str">
        <f aca="false">VLOOKUP(P3472,Sheet2!J:K,2,0)</f>
        <v>IR Declared due to CID -TA</v>
      </c>
      <c r="R3472" s="17" t="s">
        <v>35</v>
      </c>
      <c r="S3472" s="17" t="str">
        <f aca="false">VLOOKUP(R3472,Sheet2!N:O,2,0)</f>
        <v>IREPARABLE</v>
      </c>
      <c r="T3472" s="18" t="str">
        <f aca="false">VLOOKUP(P3472,Sheet2!Q:R,2,0)</f>
        <v>IR Normal - Track burn out</v>
      </c>
      <c r="U3472" s="20" t="s">
        <v>41</v>
      </c>
      <c r="V3472" s="17"/>
      <c r="W3472" s="20" t="e">
        <f aca="false">VLOOKUP(V3472,Sheet2!Q:R,2,0)</f>
        <v>#N/A</v>
      </c>
      <c r="X3472" s="17" t="n">
        <f aca="false">J3472</f>
        <v>0</v>
      </c>
      <c r="Y3472" s="17" t="e">
        <f aca="false">VLOOKUP(X3472,Sheet2!A:B,2,0)</f>
        <v>#N/A</v>
      </c>
      <c r="Z3472" s="17"/>
      <c r="AA3472" s="17"/>
      <c r="AB3472" s="17" t="s">
        <v>41</v>
      </c>
      <c r="AC3472" s="0" t="str">
        <f aca="false">LEFT(G3472,2)</f>
        <v/>
      </c>
      <c r="AE3472" s="0"/>
    </row>
    <row r="3473" customFormat="false" ht="15" hidden="false" customHeight="false" outlineLevel="0" collapsed="false">
      <c r="A3473" s="13" t="n">
        <f aca="false">1+A3472</f>
        <v>3471</v>
      </c>
      <c r="B3473" s="14" t="n">
        <v>100</v>
      </c>
      <c r="C3473" s="15"/>
      <c r="D3473" s="16" t="s">
        <v>64</v>
      </c>
      <c r="E3473" s="17" t="s">
        <v>47</v>
      </c>
      <c r="F3473" s="18" t="s">
        <v>34</v>
      </c>
      <c r="G3473" s="19"/>
      <c r="H3473" s="17" t="s">
        <v>35</v>
      </c>
      <c r="I3473" s="17" t="s">
        <v>44</v>
      </c>
      <c r="J3473" s="17"/>
      <c r="K3473" s="17" t="e">
        <f aca="false">VLOOKUP(J3473,Sheet2!A:B,2,0)</f>
        <v>#N/A</v>
      </c>
      <c r="L3473" s="17" t="n">
        <v>5</v>
      </c>
      <c r="M3473" s="17" t="str">
        <f aca="false">VLOOKUP(L3473,Sheet2!D:E,2,0)</f>
        <v>Main Processor CPU BGA</v>
      </c>
      <c r="N3473" s="17" t="n">
        <v>1</v>
      </c>
      <c r="O3473" s="17" t="str">
        <f aca="false">VLOOKUP(N3473,Sheet2!G:H,2,0)</f>
        <v>Dead</v>
      </c>
      <c r="P3473" s="17" t="n">
        <v>11</v>
      </c>
      <c r="Q3473" s="17" t="str">
        <f aca="false">VLOOKUP(P3473,Sheet2!J:K,2,0)</f>
        <v>IR Declared due to CID -TA</v>
      </c>
      <c r="R3473" s="17" t="s">
        <v>35</v>
      </c>
      <c r="S3473" s="17" t="str">
        <f aca="false">VLOOKUP(R3473,Sheet2!N:O,2,0)</f>
        <v>IREPARABLE</v>
      </c>
      <c r="T3473" s="18" t="str">
        <f aca="false">VLOOKUP(P3473,Sheet2!Q:R,2,0)</f>
        <v>IR Normal - Track burn out</v>
      </c>
      <c r="U3473" s="20" t="s">
        <v>41</v>
      </c>
      <c r="V3473" s="17"/>
      <c r="W3473" s="20" t="e">
        <f aca="false">VLOOKUP(V3473,Sheet2!Q:R,2,0)</f>
        <v>#N/A</v>
      </c>
      <c r="X3473" s="17" t="n">
        <f aca="false">J3473</f>
        <v>0</v>
      </c>
      <c r="Y3473" s="17" t="e">
        <f aca="false">VLOOKUP(X3473,Sheet2!A:B,2,0)</f>
        <v>#N/A</v>
      </c>
      <c r="Z3473" s="17"/>
      <c r="AA3473" s="17"/>
      <c r="AB3473" s="17" t="s">
        <v>41</v>
      </c>
      <c r="AC3473" s="0" t="str">
        <f aca="false">LEFT(G3473,2)</f>
        <v/>
      </c>
      <c r="AE3473" s="0"/>
    </row>
    <row r="3474" customFormat="false" ht="15" hidden="false" customHeight="false" outlineLevel="0" collapsed="false">
      <c r="A3474" s="13" t="n">
        <f aca="false">1+A3473</f>
        <v>3472</v>
      </c>
      <c r="B3474" s="14" t="n">
        <v>100</v>
      </c>
      <c r="C3474" s="15"/>
      <c r="D3474" s="16" t="s">
        <v>64</v>
      </c>
      <c r="E3474" s="17" t="s">
        <v>47</v>
      </c>
      <c r="F3474" s="18" t="s">
        <v>34</v>
      </c>
      <c r="G3474" s="19"/>
      <c r="H3474" s="17" t="s">
        <v>35</v>
      </c>
      <c r="I3474" s="17" t="s">
        <v>44</v>
      </c>
      <c r="J3474" s="17"/>
      <c r="K3474" s="17" t="e">
        <f aca="false">VLOOKUP(J3474,Sheet2!A:B,2,0)</f>
        <v>#N/A</v>
      </c>
      <c r="L3474" s="17" t="n">
        <v>5</v>
      </c>
      <c r="M3474" s="17" t="str">
        <f aca="false">VLOOKUP(L3474,Sheet2!D:E,2,0)</f>
        <v>Main Processor CPU BGA</v>
      </c>
      <c r="N3474" s="17" t="n">
        <v>1</v>
      </c>
      <c r="O3474" s="17" t="str">
        <f aca="false">VLOOKUP(N3474,Sheet2!G:H,2,0)</f>
        <v>Dead</v>
      </c>
      <c r="P3474" s="17" t="n">
        <v>11</v>
      </c>
      <c r="Q3474" s="17" t="str">
        <f aca="false">VLOOKUP(P3474,Sheet2!J:K,2,0)</f>
        <v>IR Declared due to CID -TA</v>
      </c>
      <c r="R3474" s="17" t="s">
        <v>35</v>
      </c>
      <c r="S3474" s="17" t="str">
        <f aca="false">VLOOKUP(R3474,Sheet2!N:O,2,0)</f>
        <v>IREPARABLE</v>
      </c>
      <c r="T3474" s="18" t="str">
        <f aca="false">VLOOKUP(P3474,Sheet2!Q:R,2,0)</f>
        <v>IR Normal - Track burn out</v>
      </c>
      <c r="U3474" s="20" t="s">
        <v>41</v>
      </c>
      <c r="V3474" s="17"/>
      <c r="W3474" s="20" t="e">
        <f aca="false">VLOOKUP(V3474,Sheet2!Q:R,2,0)</f>
        <v>#N/A</v>
      </c>
      <c r="X3474" s="17" t="n">
        <f aca="false">J3474</f>
        <v>0</v>
      </c>
      <c r="Y3474" s="17" t="e">
        <f aca="false">VLOOKUP(X3474,Sheet2!A:B,2,0)</f>
        <v>#N/A</v>
      </c>
      <c r="Z3474" s="17"/>
      <c r="AA3474" s="17"/>
      <c r="AB3474" s="17" t="s">
        <v>41</v>
      </c>
      <c r="AC3474" s="0" t="str">
        <f aca="false">LEFT(G3474,2)</f>
        <v/>
      </c>
      <c r="AE3474" s="0"/>
    </row>
    <row r="3475" customFormat="false" ht="15" hidden="false" customHeight="false" outlineLevel="0" collapsed="false">
      <c r="A3475" s="13" t="n">
        <f aca="false">1+A3474</f>
        <v>3473</v>
      </c>
      <c r="B3475" s="14" t="n">
        <v>100</v>
      </c>
      <c r="C3475" s="15"/>
      <c r="D3475" s="16" t="s">
        <v>64</v>
      </c>
      <c r="E3475" s="17" t="s">
        <v>47</v>
      </c>
      <c r="F3475" s="18" t="s">
        <v>34</v>
      </c>
      <c r="G3475" s="19"/>
      <c r="H3475" s="17" t="s">
        <v>35</v>
      </c>
      <c r="I3475" s="17" t="s">
        <v>44</v>
      </c>
      <c r="J3475" s="17"/>
      <c r="K3475" s="17" t="e">
        <f aca="false">VLOOKUP(J3475,Sheet2!A:B,2,0)</f>
        <v>#N/A</v>
      </c>
      <c r="L3475" s="17" t="n">
        <v>5</v>
      </c>
      <c r="M3475" s="17" t="str">
        <f aca="false">VLOOKUP(L3475,Sheet2!D:E,2,0)</f>
        <v>Main Processor CPU BGA</v>
      </c>
      <c r="N3475" s="17" t="n">
        <v>1</v>
      </c>
      <c r="O3475" s="17" t="str">
        <f aca="false">VLOOKUP(N3475,Sheet2!G:H,2,0)</f>
        <v>Dead</v>
      </c>
      <c r="P3475" s="17" t="n">
        <v>11</v>
      </c>
      <c r="Q3475" s="17" t="str">
        <f aca="false">VLOOKUP(P3475,Sheet2!J:K,2,0)</f>
        <v>IR Declared due to CID -TA</v>
      </c>
      <c r="R3475" s="17" t="s">
        <v>35</v>
      </c>
      <c r="S3475" s="17" t="str">
        <f aca="false">VLOOKUP(R3475,Sheet2!N:O,2,0)</f>
        <v>IREPARABLE</v>
      </c>
      <c r="T3475" s="18" t="str">
        <f aca="false">VLOOKUP(P3475,Sheet2!Q:R,2,0)</f>
        <v>IR Normal - Track burn out</v>
      </c>
      <c r="U3475" s="20" t="s">
        <v>41</v>
      </c>
      <c r="V3475" s="17"/>
      <c r="W3475" s="20" t="e">
        <f aca="false">VLOOKUP(V3475,Sheet2!Q:R,2,0)</f>
        <v>#N/A</v>
      </c>
      <c r="X3475" s="17" t="n">
        <f aca="false">J3475</f>
        <v>0</v>
      </c>
      <c r="Y3475" s="17" t="e">
        <f aca="false">VLOOKUP(X3475,Sheet2!A:B,2,0)</f>
        <v>#N/A</v>
      </c>
      <c r="Z3475" s="17"/>
      <c r="AA3475" s="17"/>
      <c r="AB3475" s="17" t="s">
        <v>41</v>
      </c>
      <c r="AC3475" s="0" t="str">
        <f aca="false">LEFT(G3475,2)</f>
        <v/>
      </c>
      <c r="AE3475" s="0"/>
    </row>
    <row r="3476" customFormat="false" ht="15" hidden="false" customHeight="false" outlineLevel="0" collapsed="false">
      <c r="A3476" s="13" t="n">
        <f aca="false">1+A3475</f>
        <v>3474</v>
      </c>
      <c r="B3476" s="14" t="n">
        <v>100</v>
      </c>
      <c r="C3476" s="15"/>
      <c r="D3476" s="16" t="s">
        <v>64</v>
      </c>
      <c r="E3476" s="17" t="s">
        <v>47</v>
      </c>
      <c r="F3476" s="18" t="s">
        <v>34</v>
      </c>
      <c r="G3476" s="19"/>
      <c r="H3476" s="17" t="s">
        <v>35</v>
      </c>
      <c r="I3476" s="17" t="s">
        <v>44</v>
      </c>
      <c r="J3476" s="17"/>
      <c r="K3476" s="17" t="e">
        <f aca="false">VLOOKUP(J3476,Sheet2!A:B,2,0)</f>
        <v>#N/A</v>
      </c>
      <c r="L3476" s="17" t="n">
        <v>5</v>
      </c>
      <c r="M3476" s="17" t="str">
        <f aca="false">VLOOKUP(L3476,Sheet2!D:E,2,0)</f>
        <v>Main Processor CPU BGA</v>
      </c>
      <c r="N3476" s="17" t="n">
        <v>1</v>
      </c>
      <c r="O3476" s="17" t="str">
        <f aca="false">VLOOKUP(N3476,Sheet2!G:H,2,0)</f>
        <v>Dead</v>
      </c>
      <c r="P3476" s="17" t="n">
        <v>11</v>
      </c>
      <c r="Q3476" s="17" t="str">
        <f aca="false">VLOOKUP(P3476,Sheet2!J:K,2,0)</f>
        <v>IR Declared due to CID -TA</v>
      </c>
      <c r="R3476" s="17" t="s">
        <v>35</v>
      </c>
      <c r="S3476" s="17" t="str">
        <f aca="false">VLOOKUP(R3476,Sheet2!N:O,2,0)</f>
        <v>IREPARABLE</v>
      </c>
      <c r="T3476" s="18" t="str">
        <f aca="false">VLOOKUP(P3476,Sheet2!Q:R,2,0)</f>
        <v>IR Normal - Track burn out</v>
      </c>
      <c r="U3476" s="20" t="s">
        <v>41</v>
      </c>
      <c r="V3476" s="17"/>
      <c r="W3476" s="20" t="e">
        <f aca="false">VLOOKUP(V3476,Sheet2!Q:R,2,0)</f>
        <v>#N/A</v>
      </c>
      <c r="X3476" s="17" t="n">
        <f aca="false">J3476</f>
        <v>0</v>
      </c>
      <c r="Y3476" s="17" t="e">
        <f aca="false">VLOOKUP(X3476,Sheet2!A:B,2,0)</f>
        <v>#N/A</v>
      </c>
      <c r="Z3476" s="17"/>
      <c r="AA3476" s="17"/>
      <c r="AB3476" s="17" t="s">
        <v>41</v>
      </c>
      <c r="AC3476" s="0" t="str">
        <f aca="false">LEFT(G3476,2)</f>
        <v/>
      </c>
      <c r="AE3476" s="0"/>
    </row>
    <row r="3477" customFormat="false" ht="15" hidden="false" customHeight="false" outlineLevel="0" collapsed="false">
      <c r="A3477" s="13" t="n">
        <f aca="false">1+A3476</f>
        <v>3475</v>
      </c>
      <c r="B3477" s="14" t="n">
        <v>100</v>
      </c>
      <c r="C3477" s="15"/>
      <c r="D3477" s="16" t="s">
        <v>64</v>
      </c>
      <c r="E3477" s="17" t="s">
        <v>47</v>
      </c>
      <c r="F3477" s="18" t="s">
        <v>34</v>
      </c>
      <c r="G3477" s="19"/>
      <c r="H3477" s="17" t="s">
        <v>35</v>
      </c>
      <c r="I3477" s="17" t="s">
        <v>44</v>
      </c>
      <c r="J3477" s="17"/>
      <c r="K3477" s="17" t="e">
        <f aca="false">VLOOKUP(J3477,Sheet2!A:B,2,0)</f>
        <v>#N/A</v>
      </c>
      <c r="L3477" s="17" t="n">
        <v>5</v>
      </c>
      <c r="M3477" s="17" t="str">
        <f aca="false">VLOOKUP(L3477,Sheet2!D:E,2,0)</f>
        <v>Main Processor CPU BGA</v>
      </c>
      <c r="N3477" s="17" t="n">
        <v>1</v>
      </c>
      <c r="O3477" s="17" t="str">
        <f aca="false">VLOOKUP(N3477,Sheet2!G:H,2,0)</f>
        <v>Dead</v>
      </c>
      <c r="P3477" s="17" t="n">
        <v>11</v>
      </c>
      <c r="Q3477" s="17" t="str">
        <f aca="false">VLOOKUP(P3477,Sheet2!J:K,2,0)</f>
        <v>IR Declared due to CID -TA</v>
      </c>
      <c r="R3477" s="17" t="s">
        <v>35</v>
      </c>
      <c r="S3477" s="17" t="str">
        <f aca="false">VLOOKUP(R3477,Sheet2!N:O,2,0)</f>
        <v>IREPARABLE</v>
      </c>
      <c r="T3477" s="18" t="str">
        <f aca="false">VLOOKUP(P3477,Sheet2!Q:R,2,0)</f>
        <v>IR Normal - Track burn out</v>
      </c>
      <c r="U3477" s="20" t="s">
        <v>41</v>
      </c>
      <c r="V3477" s="17"/>
      <c r="W3477" s="20" t="e">
        <f aca="false">VLOOKUP(V3477,Sheet2!Q:R,2,0)</f>
        <v>#N/A</v>
      </c>
      <c r="X3477" s="17" t="n">
        <f aca="false">J3477</f>
        <v>0</v>
      </c>
      <c r="Y3477" s="17" t="e">
        <f aca="false">VLOOKUP(X3477,Sheet2!A:B,2,0)</f>
        <v>#N/A</v>
      </c>
      <c r="Z3477" s="17"/>
      <c r="AA3477" s="17"/>
      <c r="AB3477" s="17" t="s">
        <v>41</v>
      </c>
      <c r="AC3477" s="0" t="str">
        <f aca="false">LEFT(G3477,2)</f>
        <v/>
      </c>
      <c r="AE3477" s="0"/>
    </row>
    <row r="3478" customFormat="false" ht="15" hidden="false" customHeight="false" outlineLevel="0" collapsed="false">
      <c r="A3478" s="13" t="n">
        <f aca="false">1+A3477</f>
        <v>3476</v>
      </c>
      <c r="B3478" s="14" t="n">
        <v>100</v>
      </c>
      <c r="C3478" s="15"/>
      <c r="D3478" s="16" t="s">
        <v>64</v>
      </c>
      <c r="E3478" s="17" t="s">
        <v>47</v>
      </c>
      <c r="F3478" s="18" t="s">
        <v>34</v>
      </c>
      <c r="G3478" s="19"/>
      <c r="H3478" s="17" t="s">
        <v>35</v>
      </c>
      <c r="I3478" s="17" t="s">
        <v>44</v>
      </c>
      <c r="J3478" s="17"/>
      <c r="K3478" s="17" t="e">
        <f aca="false">VLOOKUP(J3478,Sheet2!A:B,2,0)</f>
        <v>#N/A</v>
      </c>
      <c r="L3478" s="17" t="n">
        <v>5</v>
      </c>
      <c r="M3478" s="17" t="str">
        <f aca="false">VLOOKUP(L3478,Sheet2!D:E,2,0)</f>
        <v>Main Processor CPU BGA</v>
      </c>
      <c r="N3478" s="17" t="n">
        <v>1</v>
      </c>
      <c r="O3478" s="17" t="str">
        <f aca="false">VLOOKUP(N3478,Sheet2!G:H,2,0)</f>
        <v>Dead</v>
      </c>
      <c r="P3478" s="17" t="n">
        <v>11</v>
      </c>
      <c r="Q3478" s="17" t="str">
        <f aca="false">VLOOKUP(P3478,Sheet2!J:K,2,0)</f>
        <v>IR Declared due to CID -TA</v>
      </c>
      <c r="R3478" s="17" t="s">
        <v>35</v>
      </c>
      <c r="S3478" s="17" t="str">
        <f aca="false">VLOOKUP(R3478,Sheet2!N:O,2,0)</f>
        <v>IREPARABLE</v>
      </c>
      <c r="T3478" s="18" t="str">
        <f aca="false">VLOOKUP(P3478,Sheet2!Q:R,2,0)</f>
        <v>IR Normal - Track burn out</v>
      </c>
      <c r="U3478" s="20" t="s">
        <v>41</v>
      </c>
      <c r="V3478" s="17"/>
      <c r="W3478" s="20" t="e">
        <f aca="false">VLOOKUP(V3478,Sheet2!Q:R,2,0)</f>
        <v>#N/A</v>
      </c>
      <c r="X3478" s="17" t="n">
        <f aca="false">J3478</f>
        <v>0</v>
      </c>
      <c r="Y3478" s="17" t="e">
        <f aca="false">VLOOKUP(X3478,Sheet2!A:B,2,0)</f>
        <v>#N/A</v>
      </c>
      <c r="Z3478" s="17"/>
      <c r="AA3478" s="17"/>
      <c r="AB3478" s="17" t="s">
        <v>41</v>
      </c>
      <c r="AC3478" s="0" t="str">
        <f aca="false">LEFT(G3478,2)</f>
        <v/>
      </c>
      <c r="AE3478" s="0"/>
    </row>
    <row r="3479" customFormat="false" ht="15" hidden="false" customHeight="false" outlineLevel="0" collapsed="false">
      <c r="A3479" s="13" t="n">
        <f aca="false">1+A3478</f>
        <v>3477</v>
      </c>
      <c r="B3479" s="14" t="n">
        <v>100</v>
      </c>
      <c r="C3479" s="15"/>
      <c r="D3479" s="16" t="s">
        <v>64</v>
      </c>
      <c r="E3479" s="17" t="s">
        <v>47</v>
      </c>
      <c r="F3479" s="18" t="s">
        <v>34</v>
      </c>
      <c r="G3479" s="19"/>
      <c r="H3479" s="17" t="s">
        <v>35</v>
      </c>
      <c r="I3479" s="17" t="s">
        <v>44</v>
      </c>
      <c r="J3479" s="17"/>
      <c r="K3479" s="17" t="e">
        <f aca="false">VLOOKUP(J3479,Sheet2!A:B,2,0)</f>
        <v>#N/A</v>
      </c>
      <c r="L3479" s="17" t="n">
        <v>5</v>
      </c>
      <c r="M3479" s="17" t="str">
        <f aca="false">VLOOKUP(L3479,Sheet2!D:E,2,0)</f>
        <v>Main Processor CPU BGA</v>
      </c>
      <c r="N3479" s="17" t="n">
        <v>1</v>
      </c>
      <c r="O3479" s="17" t="str">
        <f aca="false">VLOOKUP(N3479,Sheet2!G:H,2,0)</f>
        <v>Dead</v>
      </c>
      <c r="P3479" s="17" t="n">
        <v>11</v>
      </c>
      <c r="Q3479" s="17" t="str">
        <f aca="false">VLOOKUP(P3479,Sheet2!J:K,2,0)</f>
        <v>IR Declared due to CID -TA</v>
      </c>
      <c r="R3479" s="17" t="s">
        <v>35</v>
      </c>
      <c r="S3479" s="17" t="str">
        <f aca="false">VLOOKUP(R3479,Sheet2!N:O,2,0)</f>
        <v>IREPARABLE</v>
      </c>
      <c r="T3479" s="18" t="str">
        <f aca="false">VLOOKUP(P3479,Sheet2!Q:R,2,0)</f>
        <v>IR Normal - Track burn out</v>
      </c>
      <c r="U3479" s="20" t="s">
        <v>41</v>
      </c>
      <c r="V3479" s="17"/>
      <c r="W3479" s="20" t="e">
        <f aca="false">VLOOKUP(V3479,Sheet2!Q:R,2,0)</f>
        <v>#N/A</v>
      </c>
      <c r="X3479" s="17" t="n">
        <f aca="false">J3479</f>
        <v>0</v>
      </c>
      <c r="Y3479" s="17" t="e">
        <f aca="false">VLOOKUP(X3479,Sheet2!A:B,2,0)</f>
        <v>#N/A</v>
      </c>
      <c r="Z3479" s="17"/>
      <c r="AA3479" s="17"/>
      <c r="AB3479" s="17" t="s">
        <v>41</v>
      </c>
      <c r="AC3479" s="0" t="str">
        <f aca="false">LEFT(G3479,2)</f>
        <v/>
      </c>
      <c r="AE3479" s="0"/>
    </row>
    <row r="3480" customFormat="false" ht="15" hidden="false" customHeight="false" outlineLevel="0" collapsed="false">
      <c r="A3480" s="13" t="n">
        <f aca="false">1+A3479</f>
        <v>3478</v>
      </c>
      <c r="B3480" s="14" t="n">
        <v>100</v>
      </c>
      <c r="C3480" s="15"/>
      <c r="D3480" s="16" t="s">
        <v>64</v>
      </c>
      <c r="E3480" s="17" t="s">
        <v>47</v>
      </c>
      <c r="F3480" s="18" t="s">
        <v>34</v>
      </c>
      <c r="G3480" s="19"/>
      <c r="H3480" s="17" t="s">
        <v>35</v>
      </c>
      <c r="I3480" s="17" t="s">
        <v>44</v>
      </c>
      <c r="J3480" s="17"/>
      <c r="K3480" s="17" t="e">
        <f aca="false">VLOOKUP(J3480,Sheet2!A:B,2,0)</f>
        <v>#N/A</v>
      </c>
      <c r="L3480" s="17" t="n">
        <v>5</v>
      </c>
      <c r="M3480" s="17" t="str">
        <f aca="false">VLOOKUP(L3480,Sheet2!D:E,2,0)</f>
        <v>Main Processor CPU BGA</v>
      </c>
      <c r="N3480" s="17" t="n">
        <v>1</v>
      </c>
      <c r="O3480" s="17" t="str">
        <f aca="false">VLOOKUP(N3480,Sheet2!G:H,2,0)</f>
        <v>Dead</v>
      </c>
      <c r="P3480" s="17" t="n">
        <v>11</v>
      </c>
      <c r="Q3480" s="17" t="str">
        <f aca="false">VLOOKUP(P3480,Sheet2!J:K,2,0)</f>
        <v>IR Declared due to CID -TA</v>
      </c>
      <c r="R3480" s="17" t="s">
        <v>35</v>
      </c>
      <c r="S3480" s="17" t="str">
        <f aca="false">VLOOKUP(R3480,Sheet2!N:O,2,0)</f>
        <v>IREPARABLE</v>
      </c>
      <c r="T3480" s="18" t="str">
        <f aca="false">VLOOKUP(P3480,Sheet2!Q:R,2,0)</f>
        <v>IR Normal - Track burn out</v>
      </c>
      <c r="U3480" s="20" t="s">
        <v>41</v>
      </c>
      <c r="V3480" s="17"/>
      <c r="W3480" s="20" t="e">
        <f aca="false">VLOOKUP(V3480,Sheet2!Q:R,2,0)</f>
        <v>#N/A</v>
      </c>
      <c r="X3480" s="17" t="n">
        <f aca="false">J3480</f>
        <v>0</v>
      </c>
      <c r="Y3480" s="17" t="e">
        <f aca="false">VLOOKUP(X3480,Sheet2!A:B,2,0)</f>
        <v>#N/A</v>
      </c>
      <c r="Z3480" s="17"/>
      <c r="AA3480" s="17"/>
      <c r="AB3480" s="17" t="s">
        <v>41</v>
      </c>
      <c r="AC3480" s="0" t="str">
        <f aca="false">LEFT(G3480,2)</f>
        <v/>
      </c>
      <c r="AE3480" s="0"/>
    </row>
    <row r="3481" customFormat="false" ht="15" hidden="false" customHeight="false" outlineLevel="0" collapsed="false">
      <c r="A3481" s="13" t="n">
        <f aca="false">1+A3480</f>
        <v>3479</v>
      </c>
      <c r="B3481" s="14" t="n">
        <v>100</v>
      </c>
      <c r="C3481" s="15"/>
      <c r="D3481" s="16" t="s">
        <v>64</v>
      </c>
      <c r="E3481" s="17" t="s">
        <v>47</v>
      </c>
      <c r="F3481" s="18" t="s">
        <v>34</v>
      </c>
      <c r="G3481" s="19"/>
      <c r="H3481" s="17" t="s">
        <v>35</v>
      </c>
      <c r="I3481" s="17" t="s">
        <v>44</v>
      </c>
      <c r="J3481" s="17"/>
      <c r="K3481" s="17" t="e">
        <f aca="false">VLOOKUP(J3481,Sheet2!A:B,2,0)</f>
        <v>#N/A</v>
      </c>
      <c r="L3481" s="17" t="n">
        <v>5</v>
      </c>
      <c r="M3481" s="17" t="str">
        <f aca="false">VLOOKUP(L3481,Sheet2!D:E,2,0)</f>
        <v>Main Processor CPU BGA</v>
      </c>
      <c r="N3481" s="17" t="n">
        <v>1</v>
      </c>
      <c r="O3481" s="17" t="str">
        <f aca="false">VLOOKUP(N3481,Sheet2!G:H,2,0)</f>
        <v>Dead</v>
      </c>
      <c r="P3481" s="17" t="n">
        <v>11</v>
      </c>
      <c r="Q3481" s="17" t="str">
        <f aca="false">VLOOKUP(P3481,Sheet2!J:K,2,0)</f>
        <v>IR Declared due to CID -TA</v>
      </c>
      <c r="R3481" s="17" t="s">
        <v>35</v>
      </c>
      <c r="S3481" s="17" t="str">
        <f aca="false">VLOOKUP(R3481,Sheet2!N:O,2,0)</f>
        <v>IREPARABLE</v>
      </c>
      <c r="T3481" s="18" t="str">
        <f aca="false">VLOOKUP(P3481,Sheet2!Q:R,2,0)</f>
        <v>IR Normal - Track burn out</v>
      </c>
      <c r="U3481" s="20" t="s">
        <v>41</v>
      </c>
      <c r="V3481" s="17"/>
      <c r="W3481" s="20" t="e">
        <f aca="false">VLOOKUP(V3481,Sheet2!Q:R,2,0)</f>
        <v>#N/A</v>
      </c>
      <c r="X3481" s="17" t="n">
        <f aca="false">J3481</f>
        <v>0</v>
      </c>
      <c r="Y3481" s="17" t="e">
        <f aca="false">VLOOKUP(X3481,Sheet2!A:B,2,0)</f>
        <v>#N/A</v>
      </c>
      <c r="Z3481" s="17"/>
      <c r="AA3481" s="17"/>
      <c r="AB3481" s="17" t="s">
        <v>41</v>
      </c>
      <c r="AC3481" s="0" t="str">
        <f aca="false">LEFT(G3481,2)</f>
        <v/>
      </c>
      <c r="AE3481" s="0"/>
    </row>
    <row r="3482" customFormat="false" ht="15" hidden="false" customHeight="false" outlineLevel="0" collapsed="false">
      <c r="A3482" s="13" t="n">
        <f aca="false">1+A3481</f>
        <v>3480</v>
      </c>
      <c r="B3482" s="14" t="n">
        <v>100</v>
      </c>
      <c r="C3482" s="15"/>
      <c r="D3482" s="16" t="s">
        <v>64</v>
      </c>
      <c r="E3482" s="17" t="s">
        <v>47</v>
      </c>
      <c r="F3482" s="18" t="s">
        <v>34</v>
      </c>
      <c r="G3482" s="19"/>
      <c r="H3482" s="17" t="s">
        <v>35</v>
      </c>
      <c r="I3482" s="17" t="s">
        <v>44</v>
      </c>
      <c r="J3482" s="17"/>
      <c r="K3482" s="17" t="e">
        <f aca="false">VLOOKUP(J3482,Sheet2!A:B,2,0)</f>
        <v>#N/A</v>
      </c>
      <c r="L3482" s="17" t="n">
        <v>5</v>
      </c>
      <c r="M3482" s="17" t="str">
        <f aca="false">VLOOKUP(L3482,Sheet2!D:E,2,0)</f>
        <v>Main Processor CPU BGA</v>
      </c>
      <c r="N3482" s="17" t="n">
        <v>1</v>
      </c>
      <c r="O3482" s="17" t="str">
        <f aca="false">VLOOKUP(N3482,Sheet2!G:H,2,0)</f>
        <v>Dead</v>
      </c>
      <c r="P3482" s="17" t="n">
        <v>11</v>
      </c>
      <c r="Q3482" s="17" t="str">
        <f aca="false">VLOOKUP(P3482,Sheet2!J:K,2,0)</f>
        <v>IR Declared due to CID -TA</v>
      </c>
      <c r="R3482" s="17" t="s">
        <v>35</v>
      </c>
      <c r="S3482" s="17" t="str">
        <f aca="false">VLOOKUP(R3482,Sheet2!N:O,2,0)</f>
        <v>IREPARABLE</v>
      </c>
      <c r="T3482" s="18" t="str">
        <f aca="false">VLOOKUP(P3482,Sheet2!Q:R,2,0)</f>
        <v>IR Normal - Track burn out</v>
      </c>
      <c r="U3482" s="20" t="s">
        <v>41</v>
      </c>
      <c r="V3482" s="17"/>
      <c r="W3482" s="20" t="e">
        <f aca="false">VLOOKUP(V3482,Sheet2!Q:R,2,0)</f>
        <v>#N/A</v>
      </c>
      <c r="X3482" s="17" t="n">
        <f aca="false">J3482</f>
        <v>0</v>
      </c>
      <c r="Y3482" s="17" t="e">
        <f aca="false">VLOOKUP(X3482,Sheet2!A:B,2,0)</f>
        <v>#N/A</v>
      </c>
      <c r="Z3482" s="17"/>
      <c r="AA3482" s="17"/>
      <c r="AB3482" s="17" t="s">
        <v>41</v>
      </c>
      <c r="AC3482" s="0" t="str">
        <f aca="false">LEFT(G3482,2)</f>
        <v/>
      </c>
      <c r="AE3482" s="0"/>
    </row>
    <row r="3483" customFormat="false" ht="15" hidden="false" customHeight="false" outlineLevel="0" collapsed="false">
      <c r="A3483" s="13" t="n">
        <f aca="false">1+A3482</f>
        <v>3481</v>
      </c>
      <c r="B3483" s="14" t="n">
        <v>100</v>
      </c>
      <c r="C3483" s="15"/>
      <c r="D3483" s="16" t="s">
        <v>64</v>
      </c>
      <c r="E3483" s="17" t="s">
        <v>47</v>
      </c>
      <c r="F3483" s="18" t="s">
        <v>34</v>
      </c>
      <c r="G3483" s="19"/>
      <c r="H3483" s="17" t="s">
        <v>35</v>
      </c>
      <c r="I3483" s="17" t="s">
        <v>44</v>
      </c>
      <c r="J3483" s="17"/>
      <c r="K3483" s="17" t="e">
        <f aca="false">VLOOKUP(J3483,Sheet2!A:B,2,0)</f>
        <v>#N/A</v>
      </c>
      <c r="L3483" s="17" t="n">
        <v>5</v>
      </c>
      <c r="M3483" s="17" t="str">
        <f aca="false">VLOOKUP(L3483,Sheet2!D:E,2,0)</f>
        <v>Main Processor CPU BGA</v>
      </c>
      <c r="N3483" s="17" t="n">
        <v>1</v>
      </c>
      <c r="O3483" s="17" t="str">
        <f aca="false">VLOOKUP(N3483,Sheet2!G:H,2,0)</f>
        <v>Dead</v>
      </c>
      <c r="P3483" s="17" t="n">
        <v>11</v>
      </c>
      <c r="Q3483" s="17" t="str">
        <f aca="false">VLOOKUP(P3483,Sheet2!J:K,2,0)</f>
        <v>IR Declared due to CID -TA</v>
      </c>
      <c r="R3483" s="17" t="s">
        <v>35</v>
      </c>
      <c r="S3483" s="17" t="str">
        <f aca="false">VLOOKUP(R3483,Sheet2!N:O,2,0)</f>
        <v>IREPARABLE</v>
      </c>
      <c r="T3483" s="18" t="str">
        <f aca="false">VLOOKUP(P3483,Sheet2!Q:R,2,0)</f>
        <v>IR Normal - Track burn out</v>
      </c>
      <c r="U3483" s="20" t="s">
        <v>41</v>
      </c>
      <c r="V3483" s="17"/>
      <c r="W3483" s="20" t="e">
        <f aca="false">VLOOKUP(V3483,Sheet2!Q:R,2,0)</f>
        <v>#N/A</v>
      </c>
      <c r="X3483" s="17" t="n">
        <f aca="false">J3483</f>
        <v>0</v>
      </c>
      <c r="Y3483" s="17" t="e">
        <f aca="false">VLOOKUP(X3483,Sheet2!A:B,2,0)</f>
        <v>#N/A</v>
      </c>
      <c r="Z3483" s="17"/>
      <c r="AA3483" s="17"/>
      <c r="AB3483" s="17" t="s">
        <v>41</v>
      </c>
      <c r="AC3483" s="0" t="str">
        <f aca="false">LEFT(G3483,2)</f>
        <v/>
      </c>
      <c r="AE3483" s="0"/>
    </row>
    <row r="3484" customFormat="false" ht="15" hidden="false" customHeight="false" outlineLevel="0" collapsed="false">
      <c r="A3484" s="13" t="n">
        <f aca="false">1+A3483</f>
        <v>3482</v>
      </c>
      <c r="B3484" s="14" t="n">
        <v>100</v>
      </c>
      <c r="C3484" s="15"/>
      <c r="D3484" s="16" t="s">
        <v>64</v>
      </c>
      <c r="E3484" s="17" t="s">
        <v>47</v>
      </c>
      <c r="F3484" s="18" t="s">
        <v>34</v>
      </c>
      <c r="G3484" s="19"/>
      <c r="H3484" s="17" t="s">
        <v>35</v>
      </c>
      <c r="I3484" s="17" t="s">
        <v>44</v>
      </c>
      <c r="J3484" s="17"/>
      <c r="K3484" s="17" t="e">
        <f aca="false">VLOOKUP(J3484,Sheet2!A:B,2,0)</f>
        <v>#N/A</v>
      </c>
      <c r="L3484" s="17" t="n">
        <v>5</v>
      </c>
      <c r="M3484" s="17" t="str">
        <f aca="false">VLOOKUP(L3484,Sheet2!D:E,2,0)</f>
        <v>Main Processor CPU BGA</v>
      </c>
      <c r="N3484" s="17" t="n">
        <v>1</v>
      </c>
      <c r="O3484" s="17" t="str">
        <f aca="false">VLOOKUP(N3484,Sheet2!G:H,2,0)</f>
        <v>Dead</v>
      </c>
      <c r="P3484" s="17" t="n">
        <v>11</v>
      </c>
      <c r="Q3484" s="17" t="str">
        <f aca="false">VLOOKUP(P3484,Sheet2!J:K,2,0)</f>
        <v>IR Declared due to CID -TA</v>
      </c>
      <c r="R3484" s="17" t="s">
        <v>35</v>
      </c>
      <c r="S3484" s="17" t="str">
        <f aca="false">VLOOKUP(R3484,Sheet2!N:O,2,0)</f>
        <v>IREPARABLE</v>
      </c>
      <c r="T3484" s="18" t="str">
        <f aca="false">VLOOKUP(P3484,Sheet2!Q:R,2,0)</f>
        <v>IR Normal - Track burn out</v>
      </c>
      <c r="U3484" s="20" t="s">
        <v>41</v>
      </c>
      <c r="V3484" s="17"/>
      <c r="W3484" s="20" t="e">
        <f aca="false">VLOOKUP(V3484,Sheet2!Q:R,2,0)</f>
        <v>#N/A</v>
      </c>
      <c r="X3484" s="17" t="n">
        <f aca="false">J3484</f>
        <v>0</v>
      </c>
      <c r="Y3484" s="17" t="e">
        <f aca="false">VLOOKUP(X3484,Sheet2!A:B,2,0)</f>
        <v>#N/A</v>
      </c>
      <c r="Z3484" s="17"/>
      <c r="AA3484" s="17"/>
      <c r="AB3484" s="17" t="s">
        <v>41</v>
      </c>
      <c r="AC3484" s="0" t="str">
        <f aca="false">LEFT(G3484,2)</f>
        <v/>
      </c>
      <c r="AE3484" s="0"/>
    </row>
    <row r="3485" customFormat="false" ht="15" hidden="false" customHeight="false" outlineLevel="0" collapsed="false">
      <c r="A3485" s="13" t="n">
        <f aca="false">1+A3484</f>
        <v>3483</v>
      </c>
      <c r="B3485" s="14" t="n">
        <v>100</v>
      </c>
      <c r="C3485" s="15"/>
      <c r="D3485" s="16" t="s">
        <v>64</v>
      </c>
      <c r="E3485" s="17" t="s">
        <v>47</v>
      </c>
      <c r="F3485" s="18" t="s">
        <v>34</v>
      </c>
      <c r="G3485" s="19"/>
      <c r="H3485" s="17" t="s">
        <v>35</v>
      </c>
      <c r="I3485" s="17" t="s">
        <v>44</v>
      </c>
      <c r="J3485" s="17"/>
      <c r="K3485" s="17" t="e">
        <f aca="false">VLOOKUP(J3485,Sheet2!A:B,2,0)</f>
        <v>#N/A</v>
      </c>
      <c r="L3485" s="17" t="n">
        <v>5</v>
      </c>
      <c r="M3485" s="17" t="str">
        <f aca="false">VLOOKUP(L3485,Sheet2!D:E,2,0)</f>
        <v>Main Processor CPU BGA</v>
      </c>
      <c r="N3485" s="17" t="n">
        <v>1</v>
      </c>
      <c r="O3485" s="17" t="str">
        <f aca="false">VLOOKUP(N3485,Sheet2!G:H,2,0)</f>
        <v>Dead</v>
      </c>
      <c r="P3485" s="17" t="n">
        <v>11</v>
      </c>
      <c r="Q3485" s="17" t="str">
        <f aca="false">VLOOKUP(P3485,Sheet2!J:K,2,0)</f>
        <v>IR Declared due to CID -TA</v>
      </c>
      <c r="R3485" s="17" t="s">
        <v>35</v>
      </c>
      <c r="S3485" s="17" t="str">
        <f aca="false">VLOOKUP(R3485,Sheet2!N:O,2,0)</f>
        <v>IREPARABLE</v>
      </c>
      <c r="T3485" s="18" t="str">
        <f aca="false">VLOOKUP(P3485,Sheet2!Q:R,2,0)</f>
        <v>IR Normal - Track burn out</v>
      </c>
      <c r="U3485" s="20" t="s">
        <v>41</v>
      </c>
      <c r="V3485" s="17"/>
      <c r="W3485" s="20" t="e">
        <f aca="false">VLOOKUP(V3485,Sheet2!Q:R,2,0)</f>
        <v>#N/A</v>
      </c>
      <c r="X3485" s="17" t="n">
        <f aca="false">J3485</f>
        <v>0</v>
      </c>
      <c r="Y3485" s="17" t="e">
        <f aca="false">VLOOKUP(X3485,Sheet2!A:B,2,0)</f>
        <v>#N/A</v>
      </c>
      <c r="Z3485" s="17"/>
      <c r="AA3485" s="17"/>
      <c r="AB3485" s="17" t="s">
        <v>41</v>
      </c>
      <c r="AC3485" s="0" t="str">
        <f aca="false">LEFT(G3485,2)</f>
        <v/>
      </c>
      <c r="AE3485" s="0"/>
    </row>
    <row r="3486" customFormat="false" ht="15" hidden="false" customHeight="false" outlineLevel="0" collapsed="false">
      <c r="A3486" s="13" t="n">
        <f aca="false">1+A3485</f>
        <v>3484</v>
      </c>
      <c r="B3486" s="14" t="n">
        <v>100</v>
      </c>
      <c r="C3486" s="15"/>
      <c r="D3486" s="16" t="s">
        <v>64</v>
      </c>
      <c r="E3486" s="17" t="s">
        <v>47</v>
      </c>
      <c r="F3486" s="18" t="s">
        <v>34</v>
      </c>
      <c r="G3486" s="19"/>
      <c r="H3486" s="17" t="s">
        <v>35</v>
      </c>
      <c r="I3486" s="17" t="s">
        <v>44</v>
      </c>
      <c r="J3486" s="17"/>
      <c r="K3486" s="17" t="e">
        <f aca="false">VLOOKUP(J3486,Sheet2!A:B,2,0)</f>
        <v>#N/A</v>
      </c>
      <c r="L3486" s="17" t="n">
        <v>5</v>
      </c>
      <c r="M3486" s="17" t="str">
        <f aca="false">VLOOKUP(L3486,Sheet2!D:E,2,0)</f>
        <v>Main Processor CPU BGA</v>
      </c>
      <c r="N3486" s="17" t="n">
        <v>1</v>
      </c>
      <c r="O3486" s="17" t="str">
        <f aca="false">VLOOKUP(N3486,Sheet2!G:H,2,0)</f>
        <v>Dead</v>
      </c>
      <c r="P3486" s="17" t="n">
        <v>11</v>
      </c>
      <c r="Q3486" s="17" t="str">
        <f aca="false">VLOOKUP(P3486,Sheet2!J:K,2,0)</f>
        <v>IR Declared due to CID -TA</v>
      </c>
      <c r="R3486" s="17" t="s">
        <v>35</v>
      </c>
      <c r="S3486" s="17" t="str">
        <f aca="false">VLOOKUP(R3486,Sheet2!N:O,2,0)</f>
        <v>IREPARABLE</v>
      </c>
      <c r="T3486" s="18" t="str">
        <f aca="false">VLOOKUP(P3486,Sheet2!Q:R,2,0)</f>
        <v>IR Normal - Track burn out</v>
      </c>
      <c r="U3486" s="20" t="s">
        <v>41</v>
      </c>
      <c r="V3486" s="17"/>
      <c r="W3486" s="20" t="e">
        <f aca="false">VLOOKUP(V3486,Sheet2!Q:R,2,0)</f>
        <v>#N/A</v>
      </c>
      <c r="X3486" s="17" t="n">
        <f aca="false">J3486</f>
        <v>0</v>
      </c>
      <c r="Y3486" s="17" t="e">
        <f aca="false">VLOOKUP(X3486,Sheet2!A:B,2,0)</f>
        <v>#N/A</v>
      </c>
      <c r="Z3486" s="17"/>
      <c r="AA3486" s="17"/>
      <c r="AB3486" s="17" t="s">
        <v>41</v>
      </c>
      <c r="AC3486" s="0" t="str">
        <f aca="false">LEFT(G3486,2)</f>
        <v/>
      </c>
      <c r="AE3486" s="0"/>
    </row>
    <row r="3487" customFormat="false" ht="15" hidden="false" customHeight="false" outlineLevel="0" collapsed="false">
      <c r="A3487" s="13" t="n">
        <f aca="false">1+A3486</f>
        <v>3485</v>
      </c>
      <c r="B3487" s="14" t="n">
        <v>100</v>
      </c>
      <c r="C3487" s="15"/>
      <c r="D3487" s="16" t="s">
        <v>64</v>
      </c>
      <c r="E3487" s="17" t="s">
        <v>47</v>
      </c>
      <c r="F3487" s="18" t="s">
        <v>34</v>
      </c>
      <c r="G3487" s="19"/>
      <c r="H3487" s="17" t="s">
        <v>35</v>
      </c>
      <c r="I3487" s="17" t="s">
        <v>44</v>
      </c>
      <c r="J3487" s="17"/>
      <c r="K3487" s="17" t="e">
        <f aca="false">VLOOKUP(J3487,Sheet2!A:B,2,0)</f>
        <v>#N/A</v>
      </c>
      <c r="L3487" s="17" t="n">
        <v>5</v>
      </c>
      <c r="M3487" s="17" t="str">
        <f aca="false">VLOOKUP(L3487,Sheet2!D:E,2,0)</f>
        <v>Main Processor CPU BGA</v>
      </c>
      <c r="N3487" s="17" t="n">
        <v>1</v>
      </c>
      <c r="O3487" s="17" t="str">
        <f aca="false">VLOOKUP(N3487,Sheet2!G:H,2,0)</f>
        <v>Dead</v>
      </c>
      <c r="P3487" s="17" t="n">
        <v>11</v>
      </c>
      <c r="Q3487" s="17" t="str">
        <f aca="false">VLOOKUP(P3487,Sheet2!J:K,2,0)</f>
        <v>IR Declared due to CID -TA</v>
      </c>
      <c r="R3487" s="17" t="s">
        <v>35</v>
      </c>
      <c r="S3487" s="17" t="str">
        <f aca="false">VLOOKUP(R3487,Sheet2!N:O,2,0)</f>
        <v>IREPARABLE</v>
      </c>
      <c r="T3487" s="18" t="str">
        <f aca="false">VLOOKUP(P3487,Sheet2!Q:R,2,0)</f>
        <v>IR Normal - Track burn out</v>
      </c>
      <c r="U3487" s="20" t="s">
        <v>41</v>
      </c>
      <c r="V3487" s="17"/>
      <c r="W3487" s="20" t="e">
        <f aca="false">VLOOKUP(V3487,Sheet2!Q:R,2,0)</f>
        <v>#N/A</v>
      </c>
      <c r="X3487" s="17" t="n">
        <f aca="false">J3487</f>
        <v>0</v>
      </c>
      <c r="Y3487" s="17" t="e">
        <f aca="false">VLOOKUP(X3487,Sheet2!A:B,2,0)</f>
        <v>#N/A</v>
      </c>
      <c r="Z3487" s="17"/>
      <c r="AA3487" s="17"/>
      <c r="AB3487" s="17" t="s">
        <v>41</v>
      </c>
      <c r="AC3487" s="0" t="str">
        <f aca="false">LEFT(G3487,2)</f>
        <v/>
      </c>
      <c r="AE3487" s="0"/>
    </row>
    <row r="3488" customFormat="false" ht="15" hidden="false" customHeight="false" outlineLevel="0" collapsed="false">
      <c r="A3488" s="13" t="n">
        <f aca="false">1+A3487</f>
        <v>3486</v>
      </c>
      <c r="B3488" s="14" t="n">
        <v>100</v>
      </c>
      <c r="C3488" s="15"/>
      <c r="D3488" s="16" t="s">
        <v>64</v>
      </c>
      <c r="E3488" s="17" t="s">
        <v>47</v>
      </c>
      <c r="F3488" s="18" t="s">
        <v>34</v>
      </c>
      <c r="G3488" s="19"/>
      <c r="H3488" s="17" t="s">
        <v>35</v>
      </c>
      <c r="I3488" s="17" t="s">
        <v>44</v>
      </c>
      <c r="J3488" s="17"/>
      <c r="K3488" s="17" t="e">
        <f aca="false">VLOOKUP(J3488,Sheet2!A:B,2,0)</f>
        <v>#N/A</v>
      </c>
      <c r="L3488" s="17" t="n">
        <v>5</v>
      </c>
      <c r="M3488" s="17" t="str">
        <f aca="false">VLOOKUP(L3488,Sheet2!D:E,2,0)</f>
        <v>Main Processor CPU BGA</v>
      </c>
      <c r="N3488" s="17" t="n">
        <v>1</v>
      </c>
      <c r="O3488" s="17" t="str">
        <f aca="false">VLOOKUP(N3488,Sheet2!G:H,2,0)</f>
        <v>Dead</v>
      </c>
      <c r="P3488" s="17" t="n">
        <v>11</v>
      </c>
      <c r="Q3488" s="17" t="str">
        <f aca="false">VLOOKUP(P3488,Sheet2!J:K,2,0)</f>
        <v>IR Declared due to CID -TA</v>
      </c>
      <c r="R3488" s="17" t="s">
        <v>35</v>
      </c>
      <c r="S3488" s="17" t="str">
        <f aca="false">VLOOKUP(R3488,Sheet2!N:O,2,0)</f>
        <v>IREPARABLE</v>
      </c>
      <c r="T3488" s="18" t="str">
        <f aca="false">VLOOKUP(P3488,Sheet2!Q:R,2,0)</f>
        <v>IR Normal - Track burn out</v>
      </c>
      <c r="U3488" s="20" t="s">
        <v>41</v>
      </c>
      <c r="V3488" s="17"/>
      <c r="W3488" s="20" t="e">
        <f aca="false">VLOOKUP(V3488,Sheet2!Q:R,2,0)</f>
        <v>#N/A</v>
      </c>
      <c r="X3488" s="17" t="n">
        <f aca="false">J3488</f>
        <v>0</v>
      </c>
      <c r="Y3488" s="17" t="e">
        <f aca="false">VLOOKUP(X3488,Sheet2!A:B,2,0)</f>
        <v>#N/A</v>
      </c>
      <c r="Z3488" s="17"/>
      <c r="AA3488" s="17"/>
      <c r="AB3488" s="17" t="s">
        <v>41</v>
      </c>
      <c r="AC3488" s="0" t="str">
        <f aca="false">LEFT(G3488,2)</f>
        <v/>
      </c>
      <c r="AE3488" s="0"/>
    </row>
    <row r="3489" customFormat="false" ht="15" hidden="false" customHeight="false" outlineLevel="0" collapsed="false">
      <c r="A3489" s="13" t="n">
        <f aca="false">1+A3488</f>
        <v>3487</v>
      </c>
      <c r="B3489" s="14" t="n">
        <v>100</v>
      </c>
      <c r="C3489" s="15"/>
      <c r="D3489" s="16" t="s">
        <v>64</v>
      </c>
      <c r="E3489" s="17" t="s">
        <v>47</v>
      </c>
      <c r="F3489" s="18" t="s">
        <v>34</v>
      </c>
      <c r="G3489" s="19"/>
      <c r="H3489" s="17" t="s">
        <v>35</v>
      </c>
      <c r="I3489" s="17" t="s">
        <v>44</v>
      </c>
      <c r="J3489" s="17"/>
      <c r="K3489" s="17" t="e">
        <f aca="false">VLOOKUP(J3489,Sheet2!A:B,2,0)</f>
        <v>#N/A</v>
      </c>
      <c r="L3489" s="17" t="n">
        <v>5</v>
      </c>
      <c r="M3489" s="17" t="str">
        <f aca="false">VLOOKUP(L3489,Sheet2!D:E,2,0)</f>
        <v>Main Processor CPU BGA</v>
      </c>
      <c r="N3489" s="17" t="n">
        <v>1</v>
      </c>
      <c r="O3489" s="17" t="str">
        <f aca="false">VLOOKUP(N3489,Sheet2!G:H,2,0)</f>
        <v>Dead</v>
      </c>
      <c r="P3489" s="17" t="n">
        <v>11</v>
      </c>
      <c r="Q3489" s="17" t="str">
        <f aca="false">VLOOKUP(P3489,Sheet2!J:K,2,0)</f>
        <v>IR Declared due to CID -TA</v>
      </c>
      <c r="R3489" s="17" t="s">
        <v>35</v>
      </c>
      <c r="S3489" s="17" t="str">
        <f aca="false">VLOOKUP(R3489,Sheet2!N:O,2,0)</f>
        <v>IREPARABLE</v>
      </c>
      <c r="T3489" s="18" t="str">
        <f aca="false">VLOOKUP(P3489,Sheet2!Q:R,2,0)</f>
        <v>IR Normal - Track burn out</v>
      </c>
      <c r="U3489" s="20" t="s">
        <v>41</v>
      </c>
      <c r="V3489" s="17"/>
      <c r="W3489" s="20" t="e">
        <f aca="false">VLOOKUP(V3489,Sheet2!Q:R,2,0)</f>
        <v>#N/A</v>
      </c>
      <c r="X3489" s="17" t="n">
        <f aca="false">J3489</f>
        <v>0</v>
      </c>
      <c r="Y3489" s="17" t="e">
        <f aca="false">VLOOKUP(X3489,Sheet2!A:B,2,0)</f>
        <v>#N/A</v>
      </c>
      <c r="Z3489" s="17"/>
      <c r="AA3489" s="17"/>
      <c r="AB3489" s="17" t="s">
        <v>41</v>
      </c>
      <c r="AC3489" s="0" t="str">
        <f aca="false">LEFT(G3489,2)</f>
        <v/>
      </c>
      <c r="AE3489" s="0"/>
    </row>
    <row r="3490" customFormat="false" ht="15" hidden="false" customHeight="false" outlineLevel="0" collapsed="false">
      <c r="A3490" s="13" t="n">
        <f aca="false">1+A3489</f>
        <v>3488</v>
      </c>
      <c r="B3490" s="14" t="n">
        <v>100</v>
      </c>
      <c r="C3490" s="15"/>
      <c r="D3490" s="16" t="s">
        <v>64</v>
      </c>
      <c r="E3490" s="17" t="s">
        <v>47</v>
      </c>
      <c r="F3490" s="18" t="s">
        <v>34</v>
      </c>
      <c r="G3490" s="19"/>
      <c r="H3490" s="17" t="s">
        <v>35</v>
      </c>
      <c r="I3490" s="17" t="s">
        <v>44</v>
      </c>
      <c r="J3490" s="17"/>
      <c r="K3490" s="17" t="e">
        <f aca="false">VLOOKUP(J3490,Sheet2!A:B,2,0)</f>
        <v>#N/A</v>
      </c>
      <c r="L3490" s="17" t="n">
        <v>5</v>
      </c>
      <c r="M3490" s="17" t="str">
        <f aca="false">VLOOKUP(L3490,Sheet2!D:E,2,0)</f>
        <v>Main Processor CPU BGA</v>
      </c>
      <c r="N3490" s="17" t="n">
        <v>1</v>
      </c>
      <c r="O3490" s="17" t="str">
        <f aca="false">VLOOKUP(N3490,Sheet2!G:H,2,0)</f>
        <v>Dead</v>
      </c>
      <c r="P3490" s="17" t="n">
        <v>11</v>
      </c>
      <c r="Q3490" s="17" t="str">
        <f aca="false">VLOOKUP(P3490,Sheet2!J:K,2,0)</f>
        <v>IR Declared due to CID -TA</v>
      </c>
      <c r="R3490" s="17" t="s">
        <v>35</v>
      </c>
      <c r="S3490" s="17" t="str">
        <f aca="false">VLOOKUP(R3490,Sheet2!N:O,2,0)</f>
        <v>IREPARABLE</v>
      </c>
      <c r="T3490" s="18" t="str">
        <f aca="false">VLOOKUP(P3490,Sheet2!Q:R,2,0)</f>
        <v>IR Normal - Track burn out</v>
      </c>
      <c r="U3490" s="20" t="s">
        <v>41</v>
      </c>
      <c r="V3490" s="17"/>
      <c r="W3490" s="20" t="e">
        <f aca="false">VLOOKUP(V3490,Sheet2!Q:R,2,0)</f>
        <v>#N/A</v>
      </c>
      <c r="X3490" s="17" t="n">
        <f aca="false">J3490</f>
        <v>0</v>
      </c>
      <c r="Y3490" s="17" t="e">
        <f aca="false">VLOOKUP(X3490,Sheet2!A:B,2,0)</f>
        <v>#N/A</v>
      </c>
      <c r="Z3490" s="17"/>
      <c r="AA3490" s="17"/>
      <c r="AB3490" s="17" t="s">
        <v>41</v>
      </c>
      <c r="AC3490" s="0" t="str">
        <f aca="false">LEFT(G3490,2)</f>
        <v/>
      </c>
      <c r="AE3490" s="0"/>
    </row>
    <row r="3491" customFormat="false" ht="15" hidden="false" customHeight="false" outlineLevel="0" collapsed="false">
      <c r="A3491" s="13" t="n">
        <f aca="false">1+A3490</f>
        <v>3489</v>
      </c>
      <c r="B3491" s="14" t="n">
        <v>100</v>
      </c>
      <c r="C3491" s="15"/>
      <c r="D3491" s="16" t="s">
        <v>64</v>
      </c>
      <c r="E3491" s="17" t="s">
        <v>47</v>
      </c>
      <c r="F3491" s="18" t="s">
        <v>34</v>
      </c>
      <c r="G3491" s="19"/>
      <c r="H3491" s="17" t="s">
        <v>35</v>
      </c>
      <c r="I3491" s="17" t="s">
        <v>44</v>
      </c>
      <c r="J3491" s="17"/>
      <c r="K3491" s="17" t="e">
        <f aca="false">VLOOKUP(J3491,Sheet2!A:B,2,0)</f>
        <v>#N/A</v>
      </c>
      <c r="L3491" s="17" t="n">
        <v>5</v>
      </c>
      <c r="M3491" s="17" t="str">
        <f aca="false">VLOOKUP(L3491,Sheet2!D:E,2,0)</f>
        <v>Main Processor CPU BGA</v>
      </c>
      <c r="N3491" s="17" t="n">
        <v>1</v>
      </c>
      <c r="O3491" s="17" t="str">
        <f aca="false">VLOOKUP(N3491,Sheet2!G:H,2,0)</f>
        <v>Dead</v>
      </c>
      <c r="P3491" s="17" t="n">
        <v>11</v>
      </c>
      <c r="Q3491" s="17" t="str">
        <f aca="false">VLOOKUP(P3491,Sheet2!J:K,2,0)</f>
        <v>IR Declared due to CID -TA</v>
      </c>
      <c r="R3491" s="17" t="s">
        <v>35</v>
      </c>
      <c r="S3491" s="17" t="str">
        <f aca="false">VLOOKUP(R3491,Sheet2!N:O,2,0)</f>
        <v>IREPARABLE</v>
      </c>
      <c r="T3491" s="18" t="str">
        <f aca="false">VLOOKUP(P3491,Sheet2!Q:R,2,0)</f>
        <v>IR Normal - Track burn out</v>
      </c>
      <c r="U3491" s="20" t="s">
        <v>41</v>
      </c>
      <c r="V3491" s="17"/>
      <c r="W3491" s="20" t="e">
        <f aca="false">VLOOKUP(V3491,Sheet2!Q:R,2,0)</f>
        <v>#N/A</v>
      </c>
      <c r="X3491" s="17" t="n">
        <f aca="false">J3491</f>
        <v>0</v>
      </c>
      <c r="Y3491" s="17" t="e">
        <f aca="false">VLOOKUP(X3491,Sheet2!A:B,2,0)</f>
        <v>#N/A</v>
      </c>
      <c r="Z3491" s="17"/>
      <c r="AA3491" s="17"/>
      <c r="AB3491" s="17" t="s">
        <v>41</v>
      </c>
      <c r="AC3491" s="0" t="str">
        <f aca="false">LEFT(G3491,2)</f>
        <v/>
      </c>
      <c r="AE3491" s="0"/>
    </row>
    <row r="3492" customFormat="false" ht="15" hidden="false" customHeight="false" outlineLevel="0" collapsed="false">
      <c r="A3492" s="13" t="n">
        <f aca="false">1+A3491</f>
        <v>3490</v>
      </c>
      <c r="B3492" s="14" t="n">
        <v>100</v>
      </c>
      <c r="C3492" s="15"/>
      <c r="D3492" s="16" t="s">
        <v>64</v>
      </c>
      <c r="E3492" s="17" t="s">
        <v>47</v>
      </c>
      <c r="F3492" s="18" t="s">
        <v>34</v>
      </c>
      <c r="G3492" s="19"/>
      <c r="H3492" s="17" t="s">
        <v>35</v>
      </c>
      <c r="I3492" s="17" t="s">
        <v>44</v>
      </c>
      <c r="J3492" s="17"/>
      <c r="K3492" s="17" t="e">
        <f aca="false">VLOOKUP(J3492,Sheet2!A:B,2,0)</f>
        <v>#N/A</v>
      </c>
      <c r="L3492" s="17" t="n">
        <v>5</v>
      </c>
      <c r="M3492" s="17" t="str">
        <f aca="false">VLOOKUP(L3492,Sheet2!D:E,2,0)</f>
        <v>Main Processor CPU BGA</v>
      </c>
      <c r="N3492" s="17" t="n">
        <v>1</v>
      </c>
      <c r="O3492" s="17" t="str">
        <f aca="false">VLOOKUP(N3492,Sheet2!G:H,2,0)</f>
        <v>Dead</v>
      </c>
      <c r="P3492" s="17" t="n">
        <v>11</v>
      </c>
      <c r="Q3492" s="17" t="str">
        <f aca="false">VLOOKUP(P3492,Sheet2!J:K,2,0)</f>
        <v>IR Declared due to CID -TA</v>
      </c>
      <c r="R3492" s="17" t="s">
        <v>35</v>
      </c>
      <c r="S3492" s="17" t="str">
        <f aca="false">VLOOKUP(R3492,Sheet2!N:O,2,0)</f>
        <v>IREPARABLE</v>
      </c>
      <c r="T3492" s="18" t="str">
        <f aca="false">VLOOKUP(P3492,Sheet2!Q:R,2,0)</f>
        <v>IR Normal - Track burn out</v>
      </c>
      <c r="U3492" s="20" t="s">
        <v>41</v>
      </c>
      <c r="V3492" s="17"/>
      <c r="W3492" s="20" t="e">
        <f aca="false">VLOOKUP(V3492,Sheet2!Q:R,2,0)</f>
        <v>#N/A</v>
      </c>
      <c r="X3492" s="17" t="n">
        <f aca="false">J3492</f>
        <v>0</v>
      </c>
      <c r="Y3492" s="17" t="e">
        <f aca="false">VLOOKUP(X3492,Sheet2!A:B,2,0)</f>
        <v>#N/A</v>
      </c>
      <c r="Z3492" s="17"/>
      <c r="AA3492" s="17"/>
      <c r="AB3492" s="17" t="s">
        <v>41</v>
      </c>
      <c r="AC3492" s="0" t="str">
        <f aca="false">LEFT(G3492,2)</f>
        <v/>
      </c>
      <c r="AE3492" s="0"/>
    </row>
    <row r="3493" customFormat="false" ht="15" hidden="false" customHeight="false" outlineLevel="0" collapsed="false">
      <c r="A3493" s="13" t="n">
        <f aca="false">1+A3492</f>
        <v>3491</v>
      </c>
      <c r="B3493" s="14" t="n">
        <v>100</v>
      </c>
      <c r="C3493" s="15"/>
      <c r="D3493" s="16" t="s">
        <v>64</v>
      </c>
      <c r="E3493" s="17" t="s">
        <v>47</v>
      </c>
      <c r="F3493" s="18" t="s">
        <v>34</v>
      </c>
      <c r="G3493" s="19"/>
      <c r="H3493" s="17" t="s">
        <v>35</v>
      </c>
      <c r="I3493" s="17" t="s">
        <v>44</v>
      </c>
      <c r="J3493" s="17"/>
      <c r="K3493" s="17" t="e">
        <f aca="false">VLOOKUP(J3493,Sheet2!A:B,2,0)</f>
        <v>#N/A</v>
      </c>
      <c r="L3493" s="17" t="n">
        <v>5</v>
      </c>
      <c r="M3493" s="17" t="str">
        <f aca="false">VLOOKUP(L3493,Sheet2!D:E,2,0)</f>
        <v>Main Processor CPU BGA</v>
      </c>
      <c r="N3493" s="17" t="n">
        <v>1</v>
      </c>
      <c r="O3493" s="17" t="str">
        <f aca="false">VLOOKUP(N3493,Sheet2!G:H,2,0)</f>
        <v>Dead</v>
      </c>
      <c r="P3493" s="17" t="n">
        <v>11</v>
      </c>
      <c r="Q3493" s="17" t="str">
        <f aca="false">VLOOKUP(P3493,Sheet2!J:K,2,0)</f>
        <v>IR Declared due to CID -TA</v>
      </c>
      <c r="R3493" s="17" t="s">
        <v>35</v>
      </c>
      <c r="S3493" s="17" t="str">
        <f aca="false">VLOOKUP(R3493,Sheet2!N:O,2,0)</f>
        <v>IREPARABLE</v>
      </c>
      <c r="T3493" s="18" t="str">
        <f aca="false">VLOOKUP(P3493,Sheet2!Q:R,2,0)</f>
        <v>IR Normal - Track burn out</v>
      </c>
      <c r="U3493" s="20" t="s">
        <v>41</v>
      </c>
      <c r="V3493" s="17"/>
      <c r="W3493" s="20" t="e">
        <f aca="false">VLOOKUP(V3493,Sheet2!Q:R,2,0)</f>
        <v>#N/A</v>
      </c>
      <c r="X3493" s="17" t="n">
        <f aca="false">J3493</f>
        <v>0</v>
      </c>
      <c r="Y3493" s="17" t="e">
        <f aca="false">VLOOKUP(X3493,Sheet2!A:B,2,0)</f>
        <v>#N/A</v>
      </c>
      <c r="Z3493" s="17"/>
      <c r="AA3493" s="17"/>
      <c r="AB3493" s="17" t="s">
        <v>41</v>
      </c>
      <c r="AC3493" s="0" t="str">
        <f aca="false">LEFT(G3493,2)</f>
        <v/>
      </c>
      <c r="AE3493" s="0"/>
    </row>
    <row r="3494" customFormat="false" ht="15" hidden="false" customHeight="false" outlineLevel="0" collapsed="false">
      <c r="A3494" s="13" t="n">
        <f aca="false">1+A3493</f>
        <v>3492</v>
      </c>
      <c r="B3494" s="14" t="n">
        <v>100</v>
      </c>
      <c r="C3494" s="15"/>
      <c r="D3494" s="16" t="s">
        <v>64</v>
      </c>
      <c r="E3494" s="17" t="s">
        <v>47</v>
      </c>
      <c r="F3494" s="18" t="s">
        <v>34</v>
      </c>
      <c r="G3494" s="19"/>
      <c r="H3494" s="17" t="s">
        <v>35</v>
      </c>
      <c r="I3494" s="17" t="s">
        <v>44</v>
      </c>
      <c r="J3494" s="17"/>
      <c r="K3494" s="17" t="e">
        <f aca="false">VLOOKUP(J3494,Sheet2!A:B,2,0)</f>
        <v>#N/A</v>
      </c>
      <c r="L3494" s="17" t="n">
        <v>5</v>
      </c>
      <c r="M3494" s="17" t="str">
        <f aca="false">VLOOKUP(L3494,Sheet2!D:E,2,0)</f>
        <v>Main Processor CPU BGA</v>
      </c>
      <c r="N3494" s="17" t="n">
        <v>1</v>
      </c>
      <c r="O3494" s="17" t="str">
        <f aca="false">VLOOKUP(N3494,Sheet2!G:H,2,0)</f>
        <v>Dead</v>
      </c>
      <c r="P3494" s="17" t="n">
        <v>11</v>
      </c>
      <c r="Q3494" s="17" t="str">
        <f aca="false">VLOOKUP(P3494,Sheet2!J:K,2,0)</f>
        <v>IR Declared due to CID -TA</v>
      </c>
      <c r="R3494" s="17" t="s">
        <v>35</v>
      </c>
      <c r="S3494" s="17" t="str">
        <f aca="false">VLOOKUP(R3494,Sheet2!N:O,2,0)</f>
        <v>IREPARABLE</v>
      </c>
      <c r="T3494" s="18" t="str">
        <f aca="false">VLOOKUP(P3494,Sheet2!Q:R,2,0)</f>
        <v>IR Normal - Track burn out</v>
      </c>
      <c r="U3494" s="20" t="s">
        <v>41</v>
      </c>
      <c r="V3494" s="17"/>
      <c r="W3494" s="20" t="e">
        <f aca="false">VLOOKUP(V3494,Sheet2!Q:R,2,0)</f>
        <v>#N/A</v>
      </c>
      <c r="X3494" s="17" t="n">
        <f aca="false">J3494</f>
        <v>0</v>
      </c>
      <c r="Y3494" s="17" t="e">
        <f aca="false">VLOOKUP(X3494,Sheet2!A:B,2,0)</f>
        <v>#N/A</v>
      </c>
      <c r="Z3494" s="17"/>
      <c r="AA3494" s="17"/>
      <c r="AB3494" s="17" t="s">
        <v>41</v>
      </c>
      <c r="AC3494" s="0" t="str">
        <f aca="false">LEFT(G3494,2)</f>
        <v/>
      </c>
      <c r="AE3494" s="0"/>
    </row>
    <row r="3495" customFormat="false" ht="15" hidden="false" customHeight="false" outlineLevel="0" collapsed="false">
      <c r="A3495" s="13" t="n">
        <f aca="false">1+A3494</f>
        <v>3493</v>
      </c>
      <c r="B3495" s="14" t="n">
        <v>100</v>
      </c>
      <c r="C3495" s="15"/>
      <c r="D3495" s="16" t="s">
        <v>64</v>
      </c>
      <c r="E3495" s="17" t="s">
        <v>47</v>
      </c>
      <c r="F3495" s="18" t="s">
        <v>34</v>
      </c>
      <c r="G3495" s="19"/>
      <c r="H3495" s="17" t="s">
        <v>35</v>
      </c>
      <c r="I3495" s="17" t="s">
        <v>44</v>
      </c>
      <c r="J3495" s="17"/>
      <c r="K3495" s="17" t="e">
        <f aca="false">VLOOKUP(J3495,Sheet2!A:B,2,0)</f>
        <v>#N/A</v>
      </c>
      <c r="L3495" s="17" t="n">
        <v>5</v>
      </c>
      <c r="M3495" s="17" t="str">
        <f aca="false">VLOOKUP(L3495,Sheet2!D:E,2,0)</f>
        <v>Main Processor CPU BGA</v>
      </c>
      <c r="N3495" s="17" t="n">
        <v>1</v>
      </c>
      <c r="O3495" s="17" t="str">
        <f aca="false">VLOOKUP(N3495,Sheet2!G:H,2,0)</f>
        <v>Dead</v>
      </c>
      <c r="P3495" s="17" t="n">
        <v>11</v>
      </c>
      <c r="Q3495" s="17" t="str">
        <f aca="false">VLOOKUP(P3495,Sheet2!J:K,2,0)</f>
        <v>IR Declared due to CID -TA</v>
      </c>
      <c r="R3495" s="17" t="s">
        <v>35</v>
      </c>
      <c r="S3495" s="17" t="str">
        <f aca="false">VLOOKUP(R3495,Sheet2!N:O,2,0)</f>
        <v>IREPARABLE</v>
      </c>
      <c r="T3495" s="18" t="str">
        <f aca="false">VLOOKUP(P3495,Sheet2!Q:R,2,0)</f>
        <v>IR Normal - Track burn out</v>
      </c>
      <c r="U3495" s="20" t="s">
        <v>41</v>
      </c>
      <c r="V3495" s="17"/>
      <c r="W3495" s="20" t="e">
        <f aca="false">VLOOKUP(V3495,Sheet2!Q:R,2,0)</f>
        <v>#N/A</v>
      </c>
      <c r="X3495" s="17" t="n">
        <f aca="false">J3495</f>
        <v>0</v>
      </c>
      <c r="Y3495" s="17" t="e">
        <f aca="false">VLOOKUP(X3495,Sheet2!A:B,2,0)</f>
        <v>#N/A</v>
      </c>
      <c r="Z3495" s="17"/>
      <c r="AA3495" s="17"/>
      <c r="AB3495" s="17" t="s">
        <v>41</v>
      </c>
      <c r="AC3495" s="0" t="str">
        <f aca="false">LEFT(G3495,2)</f>
        <v/>
      </c>
      <c r="AE3495" s="0"/>
    </row>
    <row r="3496" customFormat="false" ht="15" hidden="false" customHeight="false" outlineLevel="0" collapsed="false">
      <c r="A3496" s="13" t="n">
        <f aca="false">1+A3495</f>
        <v>3494</v>
      </c>
      <c r="B3496" s="14" t="n">
        <v>100</v>
      </c>
      <c r="C3496" s="15"/>
      <c r="D3496" s="16" t="s">
        <v>64</v>
      </c>
      <c r="E3496" s="17" t="s">
        <v>47</v>
      </c>
      <c r="F3496" s="18" t="s">
        <v>34</v>
      </c>
      <c r="G3496" s="19"/>
      <c r="H3496" s="17" t="s">
        <v>35</v>
      </c>
      <c r="I3496" s="17" t="s">
        <v>44</v>
      </c>
      <c r="J3496" s="17"/>
      <c r="K3496" s="17" t="e">
        <f aca="false">VLOOKUP(J3496,Sheet2!A:B,2,0)</f>
        <v>#N/A</v>
      </c>
      <c r="L3496" s="17" t="n">
        <v>5</v>
      </c>
      <c r="M3496" s="17" t="str">
        <f aca="false">VLOOKUP(L3496,Sheet2!D:E,2,0)</f>
        <v>Main Processor CPU BGA</v>
      </c>
      <c r="N3496" s="17" t="n">
        <v>1</v>
      </c>
      <c r="O3496" s="17" t="str">
        <f aca="false">VLOOKUP(N3496,Sheet2!G:H,2,0)</f>
        <v>Dead</v>
      </c>
      <c r="P3496" s="17" t="n">
        <v>11</v>
      </c>
      <c r="Q3496" s="17" t="str">
        <f aca="false">VLOOKUP(P3496,Sheet2!J:K,2,0)</f>
        <v>IR Declared due to CID -TA</v>
      </c>
      <c r="R3496" s="17" t="s">
        <v>35</v>
      </c>
      <c r="S3496" s="17" t="str">
        <f aca="false">VLOOKUP(R3496,Sheet2!N:O,2,0)</f>
        <v>IREPARABLE</v>
      </c>
      <c r="T3496" s="18" t="str">
        <f aca="false">VLOOKUP(P3496,Sheet2!Q:R,2,0)</f>
        <v>IR Normal - Track burn out</v>
      </c>
      <c r="U3496" s="20" t="s">
        <v>41</v>
      </c>
      <c r="V3496" s="17"/>
      <c r="W3496" s="20" t="e">
        <f aca="false">VLOOKUP(V3496,Sheet2!Q:R,2,0)</f>
        <v>#N/A</v>
      </c>
      <c r="X3496" s="17" t="n">
        <f aca="false">J3496</f>
        <v>0</v>
      </c>
      <c r="Y3496" s="17" t="e">
        <f aca="false">VLOOKUP(X3496,Sheet2!A:B,2,0)</f>
        <v>#N/A</v>
      </c>
      <c r="Z3496" s="17"/>
      <c r="AA3496" s="17"/>
      <c r="AB3496" s="17" t="s">
        <v>41</v>
      </c>
      <c r="AC3496" s="0" t="str">
        <f aca="false">LEFT(G3496,2)</f>
        <v/>
      </c>
      <c r="AE3496" s="0"/>
    </row>
    <row r="3497" customFormat="false" ht="15" hidden="false" customHeight="false" outlineLevel="0" collapsed="false">
      <c r="A3497" s="13" t="n">
        <f aca="false">1+A3496</f>
        <v>3495</v>
      </c>
      <c r="B3497" s="14" t="n">
        <v>100</v>
      </c>
      <c r="C3497" s="15"/>
      <c r="D3497" s="16" t="s">
        <v>64</v>
      </c>
      <c r="E3497" s="17" t="s">
        <v>47</v>
      </c>
      <c r="F3497" s="18" t="s">
        <v>34</v>
      </c>
      <c r="G3497" s="19"/>
      <c r="H3497" s="17" t="s">
        <v>35</v>
      </c>
      <c r="I3497" s="17" t="s">
        <v>44</v>
      </c>
      <c r="J3497" s="17"/>
      <c r="K3497" s="17" t="e">
        <f aca="false">VLOOKUP(J3497,Sheet2!A:B,2,0)</f>
        <v>#N/A</v>
      </c>
      <c r="L3497" s="17" t="n">
        <v>5</v>
      </c>
      <c r="M3497" s="17" t="str">
        <f aca="false">VLOOKUP(L3497,Sheet2!D:E,2,0)</f>
        <v>Main Processor CPU BGA</v>
      </c>
      <c r="N3497" s="17" t="n">
        <v>1</v>
      </c>
      <c r="O3497" s="17" t="str">
        <f aca="false">VLOOKUP(N3497,Sheet2!G:H,2,0)</f>
        <v>Dead</v>
      </c>
      <c r="P3497" s="17" t="n">
        <v>11</v>
      </c>
      <c r="Q3497" s="17" t="str">
        <f aca="false">VLOOKUP(P3497,Sheet2!J:K,2,0)</f>
        <v>IR Declared due to CID -TA</v>
      </c>
      <c r="R3497" s="17" t="s">
        <v>35</v>
      </c>
      <c r="S3497" s="17" t="str">
        <f aca="false">VLOOKUP(R3497,Sheet2!N:O,2,0)</f>
        <v>IREPARABLE</v>
      </c>
      <c r="T3497" s="18" t="str">
        <f aca="false">VLOOKUP(P3497,Sheet2!Q:R,2,0)</f>
        <v>IR Normal - Track burn out</v>
      </c>
      <c r="U3497" s="20" t="s">
        <v>41</v>
      </c>
      <c r="V3497" s="17"/>
      <c r="W3497" s="20" t="e">
        <f aca="false">VLOOKUP(V3497,Sheet2!Q:R,2,0)</f>
        <v>#N/A</v>
      </c>
      <c r="X3497" s="17" t="n">
        <f aca="false">J3497</f>
        <v>0</v>
      </c>
      <c r="Y3497" s="17" t="e">
        <f aca="false">VLOOKUP(X3497,Sheet2!A:B,2,0)</f>
        <v>#N/A</v>
      </c>
      <c r="Z3497" s="17"/>
      <c r="AA3497" s="17"/>
      <c r="AB3497" s="17" t="s">
        <v>41</v>
      </c>
      <c r="AC3497" s="0" t="str">
        <f aca="false">LEFT(G3497,2)</f>
        <v/>
      </c>
      <c r="AE3497" s="0"/>
    </row>
    <row r="3498" customFormat="false" ht="15" hidden="false" customHeight="false" outlineLevel="0" collapsed="false">
      <c r="A3498" s="13" t="n">
        <f aca="false">1+A3497</f>
        <v>3496</v>
      </c>
      <c r="B3498" s="14" t="n">
        <v>100</v>
      </c>
      <c r="C3498" s="15"/>
      <c r="D3498" s="16" t="s">
        <v>64</v>
      </c>
      <c r="E3498" s="17" t="s">
        <v>47</v>
      </c>
      <c r="F3498" s="18" t="s">
        <v>34</v>
      </c>
      <c r="G3498" s="19"/>
      <c r="H3498" s="17" t="s">
        <v>35</v>
      </c>
      <c r="I3498" s="17" t="s">
        <v>44</v>
      </c>
      <c r="J3498" s="17"/>
      <c r="K3498" s="17" t="e">
        <f aca="false">VLOOKUP(J3498,Sheet2!A:B,2,0)</f>
        <v>#N/A</v>
      </c>
      <c r="L3498" s="17" t="n">
        <v>5</v>
      </c>
      <c r="M3498" s="17" t="str">
        <f aca="false">VLOOKUP(L3498,Sheet2!D:E,2,0)</f>
        <v>Main Processor CPU BGA</v>
      </c>
      <c r="N3498" s="17" t="n">
        <v>1</v>
      </c>
      <c r="O3498" s="17" t="str">
        <f aca="false">VLOOKUP(N3498,Sheet2!G:H,2,0)</f>
        <v>Dead</v>
      </c>
      <c r="P3498" s="17" t="n">
        <v>11</v>
      </c>
      <c r="Q3498" s="17" t="str">
        <f aca="false">VLOOKUP(P3498,Sheet2!J:K,2,0)</f>
        <v>IR Declared due to CID -TA</v>
      </c>
      <c r="R3498" s="17" t="s">
        <v>35</v>
      </c>
      <c r="S3498" s="17" t="str">
        <f aca="false">VLOOKUP(R3498,Sheet2!N:O,2,0)</f>
        <v>IREPARABLE</v>
      </c>
      <c r="T3498" s="18" t="str">
        <f aca="false">VLOOKUP(P3498,Sheet2!Q:R,2,0)</f>
        <v>IR Normal - Track burn out</v>
      </c>
      <c r="U3498" s="20" t="s">
        <v>41</v>
      </c>
      <c r="V3498" s="17"/>
      <c r="W3498" s="20" t="e">
        <f aca="false">VLOOKUP(V3498,Sheet2!Q:R,2,0)</f>
        <v>#N/A</v>
      </c>
      <c r="X3498" s="17" t="n">
        <f aca="false">J3498</f>
        <v>0</v>
      </c>
      <c r="Y3498" s="17" t="e">
        <f aca="false">VLOOKUP(X3498,Sheet2!A:B,2,0)</f>
        <v>#N/A</v>
      </c>
      <c r="Z3498" s="17"/>
      <c r="AA3498" s="17"/>
      <c r="AB3498" s="17" t="s">
        <v>41</v>
      </c>
      <c r="AC3498" s="0" t="str">
        <f aca="false">LEFT(G3498,2)</f>
        <v/>
      </c>
      <c r="AE3498" s="0"/>
    </row>
    <row r="3499" customFormat="false" ht="15" hidden="false" customHeight="false" outlineLevel="0" collapsed="false">
      <c r="A3499" s="13" t="n">
        <f aca="false">1+A3498</f>
        <v>3497</v>
      </c>
      <c r="B3499" s="14" t="n">
        <v>100</v>
      </c>
      <c r="C3499" s="15"/>
      <c r="D3499" s="16" t="s">
        <v>64</v>
      </c>
      <c r="E3499" s="17" t="s">
        <v>47</v>
      </c>
      <c r="F3499" s="18" t="s">
        <v>34</v>
      </c>
      <c r="G3499" s="19"/>
      <c r="H3499" s="17" t="s">
        <v>35</v>
      </c>
      <c r="I3499" s="17" t="s">
        <v>44</v>
      </c>
      <c r="J3499" s="17"/>
      <c r="K3499" s="17" t="e">
        <f aca="false">VLOOKUP(J3499,Sheet2!A:B,2,0)</f>
        <v>#N/A</v>
      </c>
      <c r="L3499" s="17" t="n">
        <v>5</v>
      </c>
      <c r="M3499" s="17" t="str">
        <f aca="false">VLOOKUP(L3499,Sheet2!D:E,2,0)</f>
        <v>Main Processor CPU BGA</v>
      </c>
      <c r="N3499" s="17" t="n">
        <v>1</v>
      </c>
      <c r="O3499" s="17" t="str">
        <f aca="false">VLOOKUP(N3499,Sheet2!G:H,2,0)</f>
        <v>Dead</v>
      </c>
      <c r="P3499" s="17" t="n">
        <v>11</v>
      </c>
      <c r="Q3499" s="17" t="str">
        <f aca="false">VLOOKUP(P3499,Sheet2!J:K,2,0)</f>
        <v>IR Declared due to CID -TA</v>
      </c>
      <c r="R3499" s="17" t="s">
        <v>35</v>
      </c>
      <c r="S3499" s="17" t="str">
        <f aca="false">VLOOKUP(R3499,Sheet2!N:O,2,0)</f>
        <v>IREPARABLE</v>
      </c>
      <c r="T3499" s="18" t="str">
        <f aca="false">VLOOKUP(P3499,Sheet2!Q:R,2,0)</f>
        <v>IR Normal - Track burn out</v>
      </c>
      <c r="U3499" s="20" t="s">
        <v>41</v>
      </c>
      <c r="V3499" s="17"/>
      <c r="W3499" s="20" t="e">
        <f aca="false">VLOOKUP(V3499,Sheet2!Q:R,2,0)</f>
        <v>#N/A</v>
      </c>
      <c r="X3499" s="17" t="n">
        <f aca="false">J3499</f>
        <v>0</v>
      </c>
      <c r="Y3499" s="17" t="e">
        <f aca="false">VLOOKUP(X3499,Sheet2!A:B,2,0)</f>
        <v>#N/A</v>
      </c>
      <c r="Z3499" s="17"/>
      <c r="AA3499" s="17"/>
      <c r="AB3499" s="17" t="s">
        <v>41</v>
      </c>
      <c r="AC3499" s="0" t="str">
        <f aca="false">LEFT(G3499,2)</f>
        <v/>
      </c>
      <c r="AE3499" s="0"/>
    </row>
    <row r="3500" customFormat="false" ht="15" hidden="false" customHeight="false" outlineLevel="0" collapsed="false">
      <c r="A3500" s="13" t="n">
        <f aca="false">1+A3499</f>
        <v>3498</v>
      </c>
      <c r="B3500" s="14" t="n">
        <v>100</v>
      </c>
      <c r="C3500" s="15"/>
      <c r="D3500" s="16" t="s">
        <v>64</v>
      </c>
      <c r="E3500" s="17" t="s">
        <v>47</v>
      </c>
      <c r="F3500" s="18" t="s">
        <v>34</v>
      </c>
      <c r="G3500" s="19"/>
      <c r="H3500" s="17" t="s">
        <v>35</v>
      </c>
      <c r="I3500" s="17" t="s">
        <v>44</v>
      </c>
      <c r="J3500" s="17"/>
      <c r="K3500" s="17" t="e">
        <f aca="false">VLOOKUP(J3500,Sheet2!A:B,2,0)</f>
        <v>#N/A</v>
      </c>
      <c r="L3500" s="17" t="n">
        <v>5</v>
      </c>
      <c r="M3500" s="17" t="str">
        <f aca="false">VLOOKUP(L3500,Sheet2!D:E,2,0)</f>
        <v>Main Processor CPU BGA</v>
      </c>
      <c r="N3500" s="17" t="n">
        <v>1</v>
      </c>
      <c r="O3500" s="17" t="str">
        <f aca="false">VLOOKUP(N3500,Sheet2!G:H,2,0)</f>
        <v>Dead</v>
      </c>
      <c r="P3500" s="17" t="n">
        <v>11</v>
      </c>
      <c r="Q3500" s="17" t="str">
        <f aca="false">VLOOKUP(P3500,Sheet2!J:K,2,0)</f>
        <v>IR Declared due to CID -TA</v>
      </c>
      <c r="R3500" s="17" t="s">
        <v>35</v>
      </c>
      <c r="S3500" s="17" t="str">
        <f aca="false">VLOOKUP(R3500,Sheet2!N:O,2,0)</f>
        <v>IREPARABLE</v>
      </c>
      <c r="T3500" s="18" t="str">
        <f aca="false">VLOOKUP(P3500,Sheet2!Q:R,2,0)</f>
        <v>IR Normal - Track burn out</v>
      </c>
      <c r="U3500" s="20" t="s">
        <v>41</v>
      </c>
      <c r="V3500" s="17"/>
      <c r="W3500" s="20" t="e">
        <f aca="false">VLOOKUP(V3500,Sheet2!Q:R,2,0)</f>
        <v>#N/A</v>
      </c>
      <c r="X3500" s="17" t="n">
        <f aca="false">J3500</f>
        <v>0</v>
      </c>
      <c r="Y3500" s="17" t="e">
        <f aca="false">VLOOKUP(X3500,Sheet2!A:B,2,0)</f>
        <v>#N/A</v>
      </c>
      <c r="Z3500" s="17"/>
      <c r="AA3500" s="17"/>
      <c r="AB3500" s="17" t="s">
        <v>41</v>
      </c>
      <c r="AC3500" s="0" t="str">
        <f aca="false">LEFT(G3500,2)</f>
        <v/>
      </c>
      <c r="AE3500" s="0"/>
    </row>
    <row r="3501" customFormat="false" ht="15" hidden="false" customHeight="false" outlineLevel="0" collapsed="false">
      <c r="A3501" s="13" t="n">
        <f aca="false">1+A3500</f>
        <v>3499</v>
      </c>
      <c r="B3501" s="14" t="n">
        <v>100</v>
      </c>
      <c r="C3501" s="15"/>
      <c r="D3501" s="16" t="s">
        <v>64</v>
      </c>
      <c r="E3501" s="17" t="s">
        <v>47</v>
      </c>
      <c r="F3501" s="18" t="s">
        <v>34</v>
      </c>
      <c r="G3501" s="19"/>
      <c r="H3501" s="17" t="s">
        <v>35</v>
      </c>
      <c r="I3501" s="17" t="s">
        <v>44</v>
      </c>
      <c r="J3501" s="17"/>
      <c r="K3501" s="17" t="e">
        <f aca="false">VLOOKUP(J3501,Sheet2!A:B,2,0)</f>
        <v>#N/A</v>
      </c>
      <c r="L3501" s="17" t="n">
        <v>5</v>
      </c>
      <c r="M3501" s="17" t="str">
        <f aca="false">VLOOKUP(L3501,Sheet2!D:E,2,0)</f>
        <v>Main Processor CPU BGA</v>
      </c>
      <c r="N3501" s="17" t="n">
        <v>1</v>
      </c>
      <c r="O3501" s="17" t="str">
        <f aca="false">VLOOKUP(N3501,Sheet2!G:H,2,0)</f>
        <v>Dead</v>
      </c>
      <c r="P3501" s="17" t="n">
        <v>11</v>
      </c>
      <c r="Q3501" s="17" t="str">
        <f aca="false">VLOOKUP(P3501,Sheet2!J:K,2,0)</f>
        <v>IR Declared due to CID -TA</v>
      </c>
      <c r="R3501" s="17" t="s">
        <v>35</v>
      </c>
      <c r="S3501" s="17" t="str">
        <f aca="false">VLOOKUP(R3501,Sheet2!N:O,2,0)</f>
        <v>IREPARABLE</v>
      </c>
      <c r="T3501" s="18" t="str">
        <f aca="false">VLOOKUP(P3501,Sheet2!Q:R,2,0)</f>
        <v>IR Normal - Track burn out</v>
      </c>
      <c r="U3501" s="20" t="s">
        <v>41</v>
      </c>
      <c r="V3501" s="17"/>
      <c r="W3501" s="20" t="e">
        <f aca="false">VLOOKUP(V3501,Sheet2!Q:R,2,0)</f>
        <v>#N/A</v>
      </c>
      <c r="X3501" s="17" t="n">
        <f aca="false">J3501</f>
        <v>0</v>
      </c>
      <c r="Y3501" s="17" t="e">
        <f aca="false">VLOOKUP(X3501,Sheet2!A:B,2,0)</f>
        <v>#N/A</v>
      </c>
      <c r="Z3501" s="17"/>
      <c r="AA3501" s="17"/>
      <c r="AB3501" s="17" t="s">
        <v>41</v>
      </c>
      <c r="AC3501" s="0" t="str">
        <f aca="false">LEFT(G3501,2)</f>
        <v/>
      </c>
      <c r="AE3501" s="0"/>
    </row>
    <row r="3502" customFormat="false" ht="15" hidden="false" customHeight="false" outlineLevel="0" collapsed="false">
      <c r="A3502" s="13" t="n">
        <f aca="false">1+A3501</f>
        <v>3500</v>
      </c>
      <c r="B3502" s="14" t="n">
        <v>100</v>
      </c>
      <c r="C3502" s="15"/>
      <c r="D3502" s="16" t="s">
        <v>64</v>
      </c>
      <c r="E3502" s="17" t="s">
        <v>47</v>
      </c>
      <c r="F3502" s="18" t="s">
        <v>34</v>
      </c>
      <c r="G3502" s="19"/>
      <c r="H3502" s="17" t="s">
        <v>35</v>
      </c>
      <c r="I3502" s="17" t="s">
        <v>44</v>
      </c>
      <c r="J3502" s="17"/>
      <c r="K3502" s="17" t="e">
        <f aca="false">VLOOKUP(J3502,Sheet2!A:B,2,0)</f>
        <v>#N/A</v>
      </c>
      <c r="L3502" s="17" t="n">
        <v>5</v>
      </c>
      <c r="M3502" s="17" t="str">
        <f aca="false">VLOOKUP(L3502,Sheet2!D:E,2,0)</f>
        <v>Main Processor CPU BGA</v>
      </c>
      <c r="N3502" s="17" t="n">
        <v>1</v>
      </c>
      <c r="O3502" s="17" t="str">
        <f aca="false">VLOOKUP(N3502,Sheet2!G:H,2,0)</f>
        <v>Dead</v>
      </c>
      <c r="P3502" s="17" t="n">
        <v>11</v>
      </c>
      <c r="Q3502" s="17" t="str">
        <f aca="false">VLOOKUP(P3502,Sheet2!J:K,2,0)</f>
        <v>IR Declared due to CID -TA</v>
      </c>
      <c r="R3502" s="17" t="s">
        <v>35</v>
      </c>
      <c r="S3502" s="17" t="str">
        <f aca="false">VLOOKUP(R3502,Sheet2!N:O,2,0)</f>
        <v>IREPARABLE</v>
      </c>
      <c r="T3502" s="18" t="str">
        <f aca="false">VLOOKUP(P3502,Sheet2!Q:R,2,0)</f>
        <v>IR Normal - Track burn out</v>
      </c>
      <c r="U3502" s="20" t="s">
        <v>41</v>
      </c>
      <c r="V3502" s="17"/>
      <c r="W3502" s="20" t="e">
        <f aca="false">VLOOKUP(V3502,Sheet2!Q:R,2,0)</f>
        <v>#N/A</v>
      </c>
      <c r="X3502" s="17" t="n">
        <f aca="false">J3502</f>
        <v>0</v>
      </c>
      <c r="Y3502" s="17" t="e">
        <f aca="false">VLOOKUP(X3502,Sheet2!A:B,2,0)</f>
        <v>#N/A</v>
      </c>
      <c r="Z3502" s="17"/>
      <c r="AA3502" s="17"/>
      <c r="AB3502" s="17" t="s">
        <v>41</v>
      </c>
      <c r="AC3502" s="0" t="str">
        <f aca="false">LEFT(G3502,2)</f>
        <v/>
      </c>
      <c r="AE3502" s="0"/>
    </row>
    <row r="3503" customFormat="false" ht="15" hidden="false" customHeight="false" outlineLevel="0" collapsed="false">
      <c r="A3503" s="13" t="n">
        <f aca="false">1+A3502</f>
        <v>3501</v>
      </c>
      <c r="B3503" s="14" t="n">
        <v>100</v>
      </c>
      <c r="C3503" s="15"/>
      <c r="D3503" s="16" t="s">
        <v>64</v>
      </c>
      <c r="E3503" s="17" t="s">
        <v>47</v>
      </c>
      <c r="F3503" s="18" t="s">
        <v>34</v>
      </c>
      <c r="G3503" s="19"/>
      <c r="H3503" s="17" t="s">
        <v>35</v>
      </c>
      <c r="I3503" s="17" t="s">
        <v>44</v>
      </c>
      <c r="J3503" s="17"/>
      <c r="K3503" s="17" t="e">
        <f aca="false">VLOOKUP(J3503,Sheet2!A:B,2,0)</f>
        <v>#N/A</v>
      </c>
      <c r="L3503" s="17" t="n">
        <v>5</v>
      </c>
      <c r="M3503" s="17" t="str">
        <f aca="false">VLOOKUP(L3503,Sheet2!D:E,2,0)</f>
        <v>Main Processor CPU BGA</v>
      </c>
      <c r="N3503" s="17" t="n">
        <v>1</v>
      </c>
      <c r="O3503" s="17" t="str">
        <f aca="false">VLOOKUP(N3503,Sheet2!G:H,2,0)</f>
        <v>Dead</v>
      </c>
      <c r="P3503" s="17" t="n">
        <v>11</v>
      </c>
      <c r="Q3503" s="17" t="str">
        <f aca="false">VLOOKUP(P3503,Sheet2!J:K,2,0)</f>
        <v>IR Declared due to CID -TA</v>
      </c>
      <c r="R3503" s="17" t="s">
        <v>35</v>
      </c>
      <c r="S3503" s="17" t="str">
        <f aca="false">VLOOKUP(R3503,Sheet2!N:O,2,0)</f>
        <v>IREPARABLE</v>
      </c>
      <c r="T3503" s="18" t="str">
        <f aca="false">VLOOKUP(P3503,Sheet2!Q:R,2,0)</f>
        <v>IR Normal - Track burn out</v>
      </c>
      <c r="U3503" s="20" t="s">
        <v>41</v>
      </c>
      <c r="V3503" s="17"/>
      <c r="W3503" s="20" t="e">
        <f aca="false">VLOOKUP(V3503,Sheet2!Q:R,2,0)</f>
        <v>#N/A</v>
      </c>
      <c r="X3503" s="17" t="n">
        <f aca="false">J3503</f>
        <v>0</v>
      </c>
      <c r="Y3503" s="17" t="e">
        <f aca="false">VLOOKUP(X3503,Sheet2!A:B,2,0)</f>
        <v>#N/A</v>
      </c>
      <c r="Z3503" s="17"/>
      <c r="AA3503" s="17"/>
      <c r="AB3503" s="17" t="s">
        <v>41</v>
      </c>
      <c r="AC3503" s="0" t="str">
        <f aca="false">LEFT(G3503,2)</f>
        <v/>
      </c>
      <c r="AE3503" s="0"/>
    </row>
    <row r="3504" customFormat="false" ht="15" hidden="false" customHeight="false" outlineLevel="0" collapsed="false">
      <c r="A3504" s="13" t="n">
        <f aca="false">1+A3503</f>
        <v>3502</v>
      </c>
      <c r="B3504" s="14" t="n">
        <v>100</v>
      </c>
      <c r="C3504" s="15"/>
      <c r="D3504" s="16" t="s">
        <v>64</v>
      </c>
      <c r="E3504" s="17" t="s">
        <v>47</v>
      </c>
      <c r="F3504" s="18" t="s">
        <v>34</v>
      </c>
      <c r="G3504" s="19"/>
      <c r="H3504" s="17" t="s">
        <v>35</v>
      </c>
      <c r="I3504" s="17" t="s">
        <v>44</v>
      </c>
      <c r="J3504" s="17"/>
      <c r="K3504" s="17" t="e">
        <f aca="false">VLOOKUP(J3504,Sheet2!A:B,2,0)</f>
        <v>#N/A</v>
      </c>
      <c r="L3504" s="17" t="n">
        <v>5</v>
      </c>
      <c r="M3504" s="17" t="str">
        <f aca="false">VLOOKUP(L3504,Sheet2!D:E,2,0)</f>
        <v>Main Processor CPU BGA</v>
      </c>
      <c r="N3504" s="17" t="n">
        <v>1</v>
      </c>
      <c r="O3504" s="17" t="str">
        <f aca="false">VLOOKUP(N3504,Sheet2!G:H,2,0)</f>
        <v>Dead</v>
      </c>
      <c r="P3504" s="17" t="n">
        <v>11</v>
      </c>
      <c r="Q3504" s="17" t="str">
        <f aca="false">VLOOKUP(P3504,Sheet2!J:K,2,0)</f>
        <v>IR Declared due to CID -TA</v>
      </c>
      <c r="R3504" s="17" t="s">
        <v>35</v>
      </c>
      <c r="S3504" s="17" t="str">
        <f aca="false">VLOOKUP(R3504,Sheet2!N:O,2,0)</f>
        <v>IREPARABLE</v>
      </c>
      <c r="T3504" s="18" t="str">
        <f aca="false">VLOOKUP(P3504,Sheet2!Q:R,2,0)</f>
        <v>IR Normal - Track burn out</v>
      </c>
      <c r="U3504" s="20" t="s">
        <v>41</v>
      </c>
      <c r="V3504" s="17"/>
      <c r="W3504" s="20" t="e">
        <f aca="false">VLOOKUP(V3504,Sheet2!Q:R,2,0)</f>
        <v>#N/A</v>
      </c>
      <c r="X3504" s="17" t="n">
        <f aca="false">J3504</f>
        <v>0</v>
      </c>
      <c r="Y3504" s="17" t="e">
        <f aca="false">VLOOKUP(X3504,Sheet2!A:B,2,0)</f>
        <v>#N/A</v>
      </c>
      <c r="Z3504" s="17"/>
      <c r="AA3504" s="17"/>
      <c r="AB3504" s="17" t="s">
        <v>41</v>
      </c>
      <c r="AC3504" s="0" t="str">
        <f aca="false">LEFT(G3504,2)</f>
        <v/>
      </c>
      <c r="AE3504" s="0"/>
    </row>
    <row r="3505" customFormat="false" ht="15" hidden="false" customHeight="false" outlineLevel="0" collapsed="false">
      <c r="A3505" s="13" t="n">
        <f aca="false">1+A3504</f>
        <v>3503</v>
      </c>
      <c r="B3505" s="14" t="n">
        <v>100</v>
      </c>
      <c r="C3505" s="15"/>
      <c r="D3505" s="16" t="s">
        <v>64</v>
      </c>
      <c r="E3505" s="17" t="s">
        <v>47</v>
      </c>
      <c r="F3505" s="18" t="s">
        <v>34</v>
      </c>
      <c r="G3505" s="19"/>
      <c r="H3505" s="17" t="s">
        <v>35</v>
      </c>
      <c r="I3505" s="17" t="s">
        <v>44</v>
      </c>
      <c r="J3505" s="17"/>
      <c r="K3505" s="17" t="e">
        <f aca="false">VLOOKUP(J3505,Sheet2!A:B,2,0)</f>
        <v>#N/A</v>
      </c>
      <c r="L3505" s="17" t="n">
        <v>5</v>
      </c>
      <c r="M3505" s="17" t="str">
        <f aca="false">VLOOKUP(L3505,Sheet2!D:E,2,0)</f>
        <v>Main Processor CPU BGA</v>
      </c>
      <c r="N3505" s="17" t="n">
        <v>1</v>
      </c>
      <c r="O3505" s="17" t="str">
        <f aca="false">VLOOKUP(N3505,Sheet2!G:H,2,0)</f>
        <v>Dead</v>
      </c>
      <c r="P3505" s="17" t="n">
        <v>11</v>
      </c>
      <c r="Q3505" s="17" t="str">
        <f aca="false">VLOOKUP(P3505,Sheet2!J:K,2,0)</f>
        <v>IR Declared due to CID -TA</v>
      </c>
      <c r="R3505" s="17" t="s">
        <v>35</v>
      </c>
      <c r="S3505" s="17" t="str">
        <f aca="false">VLOOKUP(R3505,Sheet2!N:O,2,0)</f>
        <v>IREPARABLE</v>
      </c>
      <c r="T3505" s="18" t="str">
        <f aca="false">VLOOKUP(P3505,Sheet2!Q:R,2,0)</f>
        <v>IR Normal - Track burn out</v>
      </c>
      <c r="U3505" s="20" t="s">
        <v>41</v>
      </c>
      <c r="V3505" s="17"/>
      <c r="W3505" s="20" t="e">
        <f aca="false">VLOOKUP(V3505,Sheet2!Q:R,2,0)</f>
        <v>#N/A</v>
      </c>
      <c r="X3505" s="17" t="n">
        <f aca="false">J3505</f>
        <v>0</v>
      </c>
      <c r="Y3505" s="17" t="e">
        <f aca="false">VLOOKUP(X3505,Sheet2!A:B,2,0)</f>
        <v>#N/A</v>
      </c>
      <c r="Z3505" s="17"/>
      <c r="AA3505" s="17"/>
      <c r="AB3505" s="17" t="s">
        <v>41</v>
      </c>
      <c r="AC3505" s="0" t="str">
        <f aca="false">LEFT(G3505,2)</f>
        <v/>
      </c>
      <c r="AE3505" s="0"/>
    </row>
    <row r="3506" customFormat="false" ht="15" hidden="false" customHeight="false" outlineLevel="0" collapsed="false">
      <c r="A3506" s="13" t="n">
        <f aca="false">1+A3505</f>
        <v>3504</v>
      </c>
      <c r="B3506" s="14" t="n">
        <v>100</v>
      </c>
      <c r="C3506" s="15"/>
      <c r="D3506" s="16" t="s">
        <v>64</v>
      </c>
      <c r="E3506" s="17" t="s">
        <v>47</v>
      </c>
      <c r="F3506" s="18" t="s">
        <v>34</v>
      </c>
      <c r="G3506" s="19"/>
      <c r="H3506" s="17" t="s">
        <v>35</v>
      </c>
      <c r="I3506" s="17" t="s">
        <v>44</v>
      </c>
      <c r="J3506" s="17"/>
      <c r="K3506" s="17" t="e">
        <f aca="false">VLOOKUP(J3506,Sheet2!A:B,2,0)</f>
        <v>#N/A</v>
      </c>
      <c r="L3506" s="17" t="n">
        <v>5</v>
      </c>
      <c r="M3506" s="17" t="str">
        <f aca="false">VLOOKUP(L3506,Sheet2!D:E,2,0)</f>
        <v>Main Processor CPU BGA</v>
      </c>
      <c r="N3506" s="17" t="n">
        <v>1</v>
      </c>
      <c r="O3506" s="17" t="str">
        <f aca="false">VLOOKUP(N3506,Sheet2!G:H,2,0)</f>
        <v>Dead</v>
      </c>
      <c r="P3506" s="17" t="n">
        <v>11</v>
      </c>
      <c r="Q3506" s="17" t="str">
        <f aca="false">VLOOKUP(P3506,Sheet2!J:K,2,0)</f>
        <v>IR Declared due to CID -TA</v>
      </c>
      <c r="R3506" s="17" t="s">
        <v>35</v>
      </c>
      <c r="S3506" s="17" t="str">
        <f aca="false">VLOOKUP(R3506,Sheet2!N:O,2,0)</f>
        <v>IREPARABLE</v>
      </c>
      <c r="T3506" s="18" t="str">
        <f aca="false">VLOOKUP(P3506,Sheet2!Q:R,2,0)</f>
        <v>IR Normal - Track burn out</v>
      </c>
      <c r="U3506" s="20" t="s">
        <v>41</v>
      </c>
      <c r="V3506" s="17"/>
      <c r="W3506" s="20" t="e">
        <f aca="false">VLOOKUP(V3506,Sheet2!Q:R,2,0)</f>
        <v>#N/A</v>
      </c>
      <c r="X3506" s="17" t="n">
        <f aca="false">J3506</f>
        <v>0</v>
      </c>
      <c r="Y3506" s="17" t="e">
        <f aca="false">VLOOKUP(X3506,Sheet2!A:B,2,0)</f>
        <v>#N/A</v>
      </c>
      <c r="Z3506" s="17"/>
      <c r="AA3506" s="17"/>
      <c r="AB3506" s="17" t="s">
        <v>41</v>
      </c>
      <c r="AC3506" s="0" t="str">
        <f aca="false">LEFT(G3506,2)</f>
        <v/>
      </c>
      <c r="AE3506" s="0"/>
    </row>
    <row r="3507" customFormat="false" ht="15" hidden="false" customHeight="false" outlineLevel="0" collapsed="false">
      <c r="A3507" s="13" t="n">
        <f aca="false">1+A3506</f>
        <v>3505</v>
      </c>
      <c r="B3507" s="14" t="n">
        <v>100</v>
      </c>
      <c r="C3507" s="15"/>
      <c r="D3507" s="16" t="s">
        <v>64</v>
      </c>
      <c r="E3507" s="17" t="s">
        <v>47</v>
      </c>
      <c r="F3507" s="18" t="s">
        <v>34</v>
      </c>
      <c r="G3507" s="19"/>
      <c r="H3507" s="17" t="s">
        <v>35</v>
      </c>
      <c r="I3507" s="17" t="s">
        <v>44</v>
      </c>
      <c r="J3507" s="17"/>
      <c r="K3507" s="17" t="e">
        <f aca="false">VLOOKUP(J3507,Sheet2!A:B,2,0)</f>
        <v>#N/A</v>
      </c>
      <c r="L3507" s="17" t="n">
        <v>5</v>
      </c>
      <c r="M3507" s="17" t="str">
        <f aca="false">VLOOKUP(L3507,Sheet2!D:E,2,0)</f>
        <v>Main Processor CPU BGA</v>
      </c>
      <c r="N3507" s="17" t="n">
        <v>1</v>
      </c>
      <c r="O3507" s="17" t="str">
        <f aca="false">VLOOKUP(N3507,Sheet2!G:H,2,0)</f>
        <v>Dead</v>
      </c>
      <c r="P3507" s="17" t="n">
        <v>11</v>
      </c>
      <c r="Q3507" s="17" t="str">
        <f aca="false">VLOOKUP(P3507,Sheet2!J:K,2,0)</f>
        <v>IR Declared due to CID -TA</v>
      </c>
      <c r="R3507" s="17" t="s">
        <v>35</v>
      </c>
      <c r="S3507" s="17" t="str">
        <f aca="false">VLOOKUP(R3507,Sheet2!N:O,2,0)</f>
        <v>IREPARABLE</v>
      </c>
      <c r="T3507" s="18" t="str">
        <f aca="false">VLOOKUP(P3507,Sheet2!Q:R,2,0)</f>
        <v>IR Normal - Track burn out</v>
      </c>
      <c r="U3507" s="20" t="s">
        <v>41</v>
      </c>
      <c r="V3507" s="17"/>
      <c r="W3507" s="20" t="e">
        <f aca="false">VLOOKUP(V3507,Sheet2!Q:R,2,0)</f>
        <v>#N/A</v>
      </c>
      <c r="X3507" s="17" t="n">
        <f aca="false">J3507</f>
        <v>0</v>
      </c>
      <c r="Y3507" s="17" t="e">
        <f aca="false">VLOOKUP(X3507,Sheet2!A:B,2,0)</f>
        <v>#N/A</v>
      </c>
      <c r="Z3507" s="17"/>
      <c r="AA3507" s="17"/>
      <c r="AB3507" s="17" t="s">
        <v>41</v>
      </c>
      <c r="AC3507" s="0" t="str">
        <f aca="false">LEFT(G3507,2)</f>
        <v/>
      </c>
      <c r="AE3507" s="0"/>
    </row>
    <row r="3508" customFormat="false" ht="15" hidden="false" customHeight="false" outlineLevel="0" collapsed="false">
      <c r="A3508" s="13" t="n">
        <f aca="false">1+A3507</f>
        <v>3506</v>
      </c>
      <c r="B3508" s="14" t="n">
        <v>100</v>
      </c>
      <c r="C3508" s="15"/>
      <c r="D3508" s="16" t="s">
        <v>64</v>
      </c>
      <c r="E3508" s="17" t="s">
        <v>47</v>
      </c>
      <c r="F3508" s="18" t="s">
        <v>34</v>
      </c>
      <c r="G3508" s="19"/>
      <c r="H3508" s="17" t="s">
        <v>35</v>
      </c>
      <c r="I3508" s="17" t="s">
        <v>44</v>
      </c>
      <c r="J3508" s="17"/>
      <c r="K3508" s="17" t="e">
        <f aca="false">VLOOKUP(J3508,Sheet2!A:B,2,0)</f>
        <v>#N/A</v>
      </c>
      <c r="L3508" s="17" t="n">
        <v>5</v>
      </c>
      <c r="M3508" s="17" t="str">
        <f aca="false">VLOOKUP(L3508,Sheet2!D:E,2,0)</f>
        <v>Main Processor CPU BGA</v>
      </c>
      <c r="N3508" s="17" t="n">
        <v>1</v>
      </c>
      <c r="O3508" s="17" t="str">
        <f aca="false">VLOOKUP(N3508,Sheet2!G:H,2,0)</f>
        <v>Dead</v>
      </c>
      <c r="P3508" s="17" t="n">
        <v>11</v>
      </c>
      <c r="Q3508" s="17" t="str">
        <f aca="false">VLOOKUP(P3508,Sheet2!J:K,2,0)</f>
        <v>IR Declared due to CID -TA</v>
      </c>
      <c r="R3508" s="17" t="s">
        <v>35</v>
      </c>
      <c r="S3508" s="17" t="str">
        <f aca="false">VLOOKUP(R3508,Sheet2!N:O,2,0)</f>
        <v>IREPARABLE</v>
      </c>
      <c r="T3508" s="18" t="str">
        <f aca="false">VLOOKUP(P3508,Sheet2!Q:R,2,0)</f>
        <v>IR Normal - Track burn out</v>
      </c>
      <c r="U3508" s="20" t="s">
        <v>41</v>
      </c>
      <c r="V3508" s="17"/>
      <c r="W3508" s="20" t="e">
        <f aca="false">VLOOKUP(V3508,Sheet2!Q:R,2,0)</f>
        <v>#N/A</v>
      </c>
      <c r="X3508" s="17" t="n">
        <f aca="false">J3508</f>
        <v>0</v>
      </c>
      <c r="Y3508" s="17" t="e">
        <f aca="false">VLOOKUP(X3508,Sheet2!A:B,2,0)</f>
        <v>#N/A</v>
      </c>
      <c r="Z3508" s="17"/>
      <c r="AA3508" s="17"/>
      <c r="AB3508" s="17" t="s">
        <v>41</v>
      </c>
      <c r="AC3508" s="0" t="str">
        <f aca="false">LEFT(G3508,2)</f>
        <v/>
      </c>
      <c r="AE3508" s="0"/>
    </row>
    <row r="3509" customFormat="false" ht="15" hidden="false" customHeight="false" outlineLevel="0" collapsed="false">
      <c r="A3509" s="13" t="n">
        <f aca="false">1+A3508</f>
        <v>3507</v>
      </c>
      <c r="B3509" s="14" t="n">
        <v>100</v>
      </c>
      <c r="C3509" s="15"/>
      <c r="D3509" s="16" t="s">
        <v>64</v>
      </c>
      <c r="E3509" s="17" t="s">
        <v>47</v>
      </c>
      <c r="F3509" s="18" t="s">
        <v>34</v>
      </c>
      <c r="G3509" s="19"/>
      <c r="H3509" s="17" t="s">
        <v>35</v>
      </c>
      <c r="I3509" s="17" t="s">
        <v>44</v>
      </c>
      <c r="J3509" s="17"/>
      <c r="K3509" s="17" t="e">
        <f aca="false">VLOOKUP(J3509,Sheet2!A:B,2,0)</f>
        <v>#N/A</v>
      </c>
      <c r="L3509" s="17" t="n">
        <v>5</v>
      </c>
      <c r="M3509" s="17" t="str">
        <f aca="false">VLOOKUP(L3509,Sheet2!D:E,2,0)</f>
        <v>Main Processor CPU BGA</v>
      </c>
      <c r="N3509" s="17" t="n">
        <v>1</v>
      </c>
      <c r="O3509" s="17" t="str">
        <f aca="false">VLOOKUP(N3509,Sheet2!G:H,2,0)</f>
        <v>Dead</v>
      </c>
      <c r="P3509" s="17" t="n">
        <v>11</v>
      </c>
      <c r="Q3509" s="17" t="str">
        <f aca="false">VLOOKUP(P3509,Sheet2!J:K,2,0)</f>
        <v>IR Declared due to CID -TA</v>
      </c>
      <c r="R3509" s="17" t="s">
        <v>35</v>
      </c>
      <c r="S3509" s="17" t="str">
        <f aca="false">VLOOKUP(R3509,Sheet2!N:O,2,0)</f>
        <v>IREPARABLE</v>
      </c>
      <c r="T3509" s="18" t="str">
        <f aca="false">VLOOKUP(P3509,Sheet2!Q:R,2,0)</f>
        <v>IR Normal - Track burn out</v>
      </c>
      <c r="U3509" s="20" t="s">
        <v>41</v>
      </c>
      <c r="V3509" s="17"/>
      <c r="W3509" s="20" t="e">
        <f aca="false">VLOOKUP(V3509,Sheet2!Q:R,2,0)</f>
        <v>#N/A</v>
      </c>
      <c r="X3509" s="17" t="n">
        <f aca="false">J3509</f>
        <v>0</v>
      </c>
      <c r="Y3509" s="17" t="e">
        <f aca="false">VLOOKUP(X3509,Sheet2!A:B,2,0)</f>
        <v>#N/A</v>
      </c>
      <c r="Z3509" s="17"/>
      <c r="AA3509" s="17"/>
      <c r="AB3509" s="17" t="s">
        <v>41</v>
      </c>
      <c r="AC3509" s="0" t="str">
        <f aca="false">LEFT(G3509,2)</f>
        <v/>
      </c>
      <c r="AE3509" s="0"/>
    </row>
    <row r="3510" customFormat="false" ht="15" hidden="false" customHeight="false" outlineLevel="0" collapsed="false">
      <c r="A3510" s="13" t="n">
        <f aca="false">1+A3509</f>
        <v>3508</v>
      </c>
      <c r="B3510" s="14" t="n">
        <v>100</v>
      </c>
      <c r="C3510" s="15"/>
      <c r="D3510" s="16" t="s">
        <v>64</v>
      </c>
      <c r="E3510" s="17" t="s">
        <v>47</v>
      </c>
      <c r="F3510" s="18" t="s">
        <v>34</v>
      </c>
      <c r="G3510" s="19"/>
      <c r="H3510" s="17" t="s">
        <v>35</v>
      </c>
      <c r="I3510" s="17" t="s">
        <v>44</v>
      </c>
      <c r="J3510" s="17"/>
      <c r="K3510" s="17" t="e">
        <f aca="false">VLOOKUP(J3510,Sheet2!A:B,2,0)</f>
        <v>#N/A</v>
      </c>
      <c r="L3510" s="17" t="n">
        <v>5</v>
      </c>
      <c r="M3510" s="17" t="str">
        <f aca="false">VLOOKUP(L3510,Sheet2!D:E,2,0)</f>
        <v>Main Processor CPU BGA</v>
      </c>
      <c r="N3510" s="17" t="n">
        <v>1</v>
      </c>
      <c r="O3510" s="17" t="str">
        <f aca="false">VLOOKUP(N3510,Sheet2!G:H,2,0)</f>
        <v>Dead</v>
      </c>
      <c r="P3510" s="17" t="n">
        <v>11</v>
      </c>
      <c r="Q3510" s="17" t="str">
        <f aca="false">VLOOKUP(P3510,Sheet2!J:K,2,0)</f>
        <v>IR Declared due to CID -TA</v>
      </c>
      <c r="R3510" s="17" t="s">
        <v>35</v>
      </c>
      <c r="S3510" s="17" t="str">
        <f aca="false">VLOOKUP(R3510,Sheet2!N:O,2,0)</f>
        <v>IREPARABLE</v>
      </c>
      <c r="T3510" s="18" t="str">
        <f aca="false">VLOOKUP(P3510,Sheet2!Q:R,2,0)</f>
        <v>IR Normal - Track burn out</v>
      </c>
      <c r="U3510" s="20" t="s">
        <v>41</v>
      </c>
      <c r="V3510" s="17"/>
      <c r="W3510" s="20" t="e">
        <f aca="false">VLOOKUP(V3510,Sheet2!Q:R,2,0)</f>
        <v>#N/A</v>
      </c>
      <c r="X3510" s="17" t="n">
        <f aca="false">J3510</f>
        <v>0</v>
      </c>
      <c r="Y3510" s="17" t="e">
        <f aca="false">VLOOKUP(X3510,Sheet2!A:B,2,0)</f>
        <v>#N/A</v>
      </c>
      <c r="Z3510" s="17"/>
      <c r="AA3510" s="17"/>
      <c r="AB3510" s="17" t="s">
        <v>41</v>
      </c>
      <c r="AC3510" s="0" t="str">
        <f aca="false">LEFT(G3510,2)</f>
        <v/>
      </c>
      <c r="AE3510" s="0"/>
    </row>
    <row r="3511" customFormat="false" ht="15" hidden="false" customHeight="false" outlineLevel="0" collapsed="false">
      <c r="A3511" s="13" t="n">
        <f aca="false">1+A3510</f>
        <v>3509</v>
      </c>
      <c r="B3511" s="14" t="n">
        <v>100</v>
      </c>
      <c r="C3511" s="15"/>
      <c r="D3511" s="16" t="s">
        <v>64</v>
      </c>
      <c r="E3511" s="17" t="s">
        <v>47</v>
      </c>
      <c r="F3511" s="18" t="s">
        <v>34</v>
      </c>
      <c r="G3511" s="19"/>
      <c r="H3511" s="17" t="s">
        <v>35</v>
      </c>
      <c r="I3511" s="17" t="s">
        <v>44</v>
      </c>
      <c r="J3511" s="17"/>
      <c r="K3511" s="17" t="e">
        <f aca="false">VLOOKUP(J3511,Sheet2!A:B,2,0)</f>
        <v>#N/A</v>
      </c>
      <c r="L3511" s="17" t="n">
        <v>5</v>
      </c>
      <c r="M3511" s="17" t="str">
        <f aca="false">VLOOKUP(L3511,Sheet2!D:E,2,0)</f>
        <v>Main Processor CPU BGA</v>
      </c>
      <c r="N3511" s="17" t="n">
        <v>1</v>
      </c>
      <c r="O3511" s="17" t="str">
        <f aca="false">VLOOKUP(N3511,Sheet2!G:H,2,0)</f>
        <v>Dead</v>
      </c>
      <c r="P3511" s="17" t="n">
        <v>11</v>
      </c>
      <c r="Q3511" s="17" t="str">
        <f aca="false">VLOOKUP(P3511,Sheet2!J:K,2,0)</f>
        <v>IR Declared due to CID -TA</v>
      </c>
      <c r="R3511" s="17" t="s">
        <v>35</v>
      </c>
      <c r="S3511" s="17" t="str">
        <f aca="false">VLOOKUP(R3511,Sheet2!N:O,2,0)</f>
        <v>IREPARABLE</v>
      </c>
      <c r="T3511" s="18" t="str">
        <f aca="false">VLOOKUP(P3511,Sheet2!Q:R,2,0)</f>
        <v>IR Normal - Track burn out</v>
      </c>
      <c r="U3511" s="20" t="s">
        <v>41</v>
      </c>
      <c r="V3511" s="17"/>
      <c r="W3511" s="20" t="e">
        <f aca="false">VLOOKUP(V3511,Sheet2!Q:R,2,0)</f>
        <v>#N/A</v>
      </c>
      <c r="X3511" s="17" t="n">
        <f aca="false">J3511</f>
        <v>0</v>
      </c>
      <c r="Y3511" s="17" t="e">
        <f aca="false">VLOOKUP(X3511,Sheet2!A:B,2,0)</f>
        <v>#N/A</v>
      </c>
      <c r="Z3511" s="17"/>
      <c r="AA3511" s="17"/>
      <c r="AB3511" s="17" t="s">
        <v>41</v>
      </c>
      <c r="AC3511" s="0" t="str">
        <f aca="false">LEFT(G3511,2)</f>
        <v/>
      </c>
      <c r="AE3511" s="0"/>
    </row>
    <row r="3512" customFormat="false" ht="15" hidden="false" customHeight="false" outlineLevel="0" collapsed="false">
      <c r="A3512" s="13" t="n">
        <f aca="false">1+A3511</f>
        <v>3510</v>
      </c>
      <c r="B3512" s="14" t="n">
        <v>100</v>
      </c>
      <c r="C3512" s="15"/>
      <c r="D3512" s="16" t="s">
        <v>64</v>
      </c>
      <c r="E3512" s="17" t="s">
        <v>47</v>
      </c>
      <c r="F3512" s="18" t="s">
        <v>34</v>
      </c>
      <c r="G3512" s="19"/>
      <c r="H3512" s="17" t="s">
        <v>35</v>
      </c>
      <c r="I3512" s="17" t="s">
        <v>44</v>
      </c>
      <c r="J3512" s="17"/>
      <c r="K3512" s="17" t="e">
        <f aca="false">VLOOKUP(J3512,Sheet2!A:B,2,0)</f>
        <v>#N/A</v>
      </c>
      <c r="L3512" s="17" t="n">
        <v>5</v>
      </c>
      <c r="M3512" s="17" t="str">
        <f aca="false">VLOOKUP(L3512,Sheet2!D:E,2,0)</f>
        <v>Main Processor CPU BGA</v>
      </c>
      <c r="N3512" s="17" t="n">
        <v>1</v>
      </c>
      <c r="O3512" s="17" t="str">
        <f aca="false">VLOOKUP(N3512,Sheet2!G:H,2,0)</f>
        <v>Dead</v>
      </c>
      <c r="P3512" s="17" t="n">
        <v>11</v>
      </c>
      <c r="Q3512" s="17" t="str">
        <f aca="false">VLOOKUP(P3512,Sheet2!J:K,2,0)</f>
        <v>IR Declared due to CID -TA</v>
      </c>
      <c r="R3512" s="17" t="s">
        <v>35</v>
      </c>
      <c r="S3512" s="17" t="str">
        <f aca="false">VLOOKUP(R3512,Sheet2!N:O,2,0)</f>
        <v>IREPARABLE</v>
      </c>
      <c r="T3512" s="18" t="str">
        <f aca="false">VLOOKUP(P3512,Sheet2!Q:R,2,0)</f>
        <v>IR Normal - Track burn out</v>
      </c>
      <c r="U3512" s="20" t="s">
        <v>41</v>
      </c>
      <c r="V3512" s="17"/>
      <c r="W3512" s="20" t="e">
        <f aca="false">VLOOKUP(V3512,Sheet2!Q:R,2,0)</f>
        <v>#N/A</v>
      </c>
      <c r="X3512" s="17" t="n">
        <f aca="false">J3512</f>
        <v>0</v>
      </c>
      <c r="Y3512" s="17" t="e">
        <f aca="false">VLOOKUP(X3512,Sheet2!A:B,2,0)</f>
        <v>#N/A</v>
      </c>
      <c r="Z3512" s="17"/>
      <c r="AA3512" s="17"/>
      <c r="AB3512" s="17" t="s">
        <v>41</v>
      </c>
      <c r="AC3512" s="0" t="str">
        <f aca="false">LEFT(G3512,2)</f>
        <v/>
      </c>
      <c r="AE3512" s="0"/>
    </row>
    <row r="3513" customFormat="false" ht="15" hidden="false" customHeight="false" outlineLevel="0" collapsed="false">
      <c r="A3513" s="13" t="n">
        <f aca="false">1+A3512</f>
        <v>3511</v>
      </c>
      <c r="B3513" s="14" t="n">
        <v>100</v>
      </c>
      <c r="C3513" s="15"/>
      <c r="D3513" s="16" t="s">
        <v>64</v>
      </c>
      <c r="E3513" s="17" t="s">
        <v>47</v>
      </c>
      <c r="F3513" s="18" t="s">
        <v>34</v>
      </c>
      <c r="G3513" s="19"/>
      <c r="H3513" s="17" t="s">
        <v>35</v>
      </c>
      <c r="I3513" s="17" t="s">
        <v>44</v>
      </c>
      <c r="J3513" s="17"/>
      <c r="K3513" s="17" t="e">
        <f aca="false">VLOOKUP(J3513,Sheet2!A:B,2,0)</f>
        <v>#N/A</v>
      </c>
      <c r="L3513" s="17" t="n">
        <v>5</v>
      </c>
      <c r="M3513" s="17" t="str">
        <f aca="false">VLOOKUP(L3513,Sheet2!D:E,2,0)</f>
        <v>Main Processor CPU BGA</v>
      </c>
      <c r="N3513" s="17" t="n">
        <v>1</v>
      </c>
      <c r="O3513" s="17" t="str">
        <f aca="false">VLOOKUP(N3513,Sheet2!G:H,2,0)</f>
        <v>Dead</v>
      </c>
      <c r="P3513" s="17" t="n">
        <v>11</v>
      </c>
      <c r="Q3513" s="17" t="str">
        <f aca="false">VLOOKUP(P3513,Sheet2!J:K,2,0)</f>
        <v>IR Declared due to CID -TA</v>
      </c>
      <c r="R3513" s="17" t="s">
        <v>35</v>
      </c>
      <c r="S3513" s="17" t="str">
        <f aca="false">VLOOKUP(R3513,Sheet2!N:O,2,0)</f>
        <v>IREPARABLE</v>
      </c>
      <c r="T3513" s="18" t="str">
        <f aca="false">VLOOKUP(P3513,Sheet2!Q:R,2,0)</f>
        <v>IR Normal - Track burn out</v>
      </c>
      <c r="U3513" s="20" t="s">
        <v>41</v>
      </c>
      <c r="V3513" s="17"/>
      <c r="W3513" s="20" t="e">
        <f aca="false">VLOOKUP(V3513,Sheet2!Q:R,2,0)</f>
        <v>#N/A</v>
      </c>
      <c r="X3513" s="17" t="n">
        <f aca="false">J3513</f>
        <v>0</v>
      </c>
      <c r="Y3513" s="17" t="e">
        <f aca="false">VLOOKUP(X3513,Sheet2!A:B,2,0)</f>
        <v>#N/A</v>
      </c>
      <c r="Z3513" s="17"/>
      <c r="AA3513" s="17"/>
      <c r="AB3513" s="17" t="s">
        <v>41</v>
      </c>
      <c r="AC3513" s="0" t="str">
        <f aca="false">LEFT(G3513,2)</f>
        <v/>
      </c>
      <c r="AE3513" s="0"/>
    </row>
    <row r="3514" customFormat="false" ht="15" hidden="false" customHeight="false" outlineLevel="0" collapsed="false">
      <c r="A3514" s="13" t="n">
        <f aca="false">1+A3513</f>
        <v>3512</v>
      </c>
      <c r="B3514" s="14" t="n">
        <v>100</v>
      </c>
      <c r="C3514" s="15"/>
      <c r="D3514" s="16" t="s">
        <v>64</v>
      </c>
      <c r="E3514" s="17" t="s">
        <v>47</v>
      </c>
      <c r="F3514" s="18" t="s">
        <v>34</v>
      </c>
      <c r="G3514" s="19"/>
      <c r="H3514" s="17" t="s">
        <v>35</v>
      </c>
      <c r="I3514" s="17" t="s">
        <v>44</v>
      </c>
      <c r="J3514" s="17"/>
      <c r="K3514" s="17" t="e">
        <f aca="false">VLOOKUP(J3514,Sheet2!A:B,2,0)</f>
        <v>#N/A</v>
      </c>
      <c r="L3514" s="17" t="n">
        <v>5</v>
      </c>
      <c r="M3514" s="17" t="str">
        <f aca="false">VLOOKUP(L3514,Sheet2!D:E,2,0)</f>
        <v>Main Processor CPU BGA</v>
      </c>
      <c r="N3514" s="17" t="n">
        <v>1</v>
      </c>
      <c r="O3514" s="17" t="str">
        <f aca="false">VLOOKUP(N3514,Sheet2!G:H,2,0)</f>
        <v>Dead</v>
      </c>
      <c r="P3514" s="17" t="n">
        <v>11</v>
      </c>
      <c r="Q3514" s="17" t="str">
        <f aca="false">VLOOKUP(P3514,Sheet2!J:K,2,0)</f>
        <v>IR Declared due to CID -TA</v>
      </c>
      <c r="R3514" s="17" t="s">
        <v>35</v>
      </c>
      <c r="S3514" s="17" t="str">
        <f aca="false">VLOOKUP(R3514,Sheet2!N:O,2,0)</f>
        <v>IREPARABLE</v>
      </c>
      <c r="T3514" s="18" t="str">
        <f aca="false">VLOOKUP(P3514,Sheet2!Q:R,2,0)</f>
        <v>IR Normal - Track burn out</v>
      </c>
      <c r="U3514" s="20" t="s">
        <v>41</v>
      </c>
      <c r="V3514" s="17"/>
      <c r="W3514" s="20" t="e">
        <f aca="false">VLOOKUP(V3514,Sheet2!Q:R,2,0)</f>
        <v>#N/A</v>
      </c>
      <c r="X3514" s="17" t="n">
        <f aca="false">J3514</f>
        <v>0</v>
      </c>
      <c r="Y3514" s="17" t="e">
        <f aca="false">VLOOKUP(X3514,Sheet2!A:B,2,0)</f>
        <v>#N/A</v>
      </c>
      <c r="Z3514" s="17"/>
      <c r="AA3514" s="17"/>
      <c r="AB3514" s="17" t="s">
        <v>41</v>
      </c>
      <c r="AC3514" s="0" t="str">
        <f aca="false">LEFT(G3514,2)</f>
        <v/>
      </c>
      <c r="AE3514" s="0"/>
    </row>
    <row r="3515" customFormat="false" ht="15" hidden="false" customHeight="false" outlineLevel="0" collapsed="false">
      <c r="A3515" s="13" t="n">
        <f aca="false">1+A3514</f>
        <v>3513</v>
      </c>
      <c r="B3515" s="14" t="n">
        <v>100</v>
      </c>
      <c r="C3515" s="15"/>
      <c r="D3515" s="16" t="s">
        <v>64</v>
      </c>
      <c r="E3515" s="17" t="s">
        <v>47</v>
      </c>
      <c r="F3515" s="18" t="s">
        <v>34</v>
      </c>
      <c r="G3515" s="19"/>
      <c r="H3515" s="17" t="s">
        <v>35</v>
      </c>
      <c r="I3515" s="17" t="s">
        <v>44</v>
      </c>
      <c r="J3515" s="17"/>
      <c r="K3515" s="17" t="e">
        <f aca="false">VLOOKUP(J3515,Sheet2!A:B,2,0)</f>
        <v>#N/A</v>
      </c>
      <c r="L3515" s="17" t="n">
        <v>5</v>
      </c>
      <c r="M3515" s="17" t="str">
        <f aca="false">VLOOKUP(L3515,Sheet2!D:E,2,0)</f>
        <v>Main Processor CPU BGA</v>
      </c>
      <c r="N3515" s="17" t="n">
        <v>1</v>
      </c>
      <c r="O3515" s="17" t="str">
        <f aca="false">VLOOKUP(N3515,Sheet2!G:H,2,0)</f>
        <v>Dead</v>
      </c>
      <c r="P3515" s="17" t="n">
        <v>11</v>
      </c>
      <c r="Q3515" s="17" t="str">
        <f aca="false">VLOOKUP(P3515,Sheet2!J:K,2,0)</f>
        <v>IR Declared due to CID -TA</v>
      </c>
      <c r="R3515" s="17" t="s">
        <v>35</v>
      </c>
      <c r="S3515" s="17" t="str">
        <f aca="false">VLOOKUP(R3515,Sheet2!N:O,2,0)</f>
        <v>IREPARABLE</v>
      </c>
      <c r="T3515" s="18" t="str">
        <f aca="false">VLOOKUP(P3515,Sheet2!Q:R,2,0)</f>
        <v>IR Normal - Track burn out</v>
      </c>
      <c r="U3515" s="20" t="s">
        <v>41</v>
      </c>
      <c r="V3515" s="17"/>
      <c r="W3515" s="20" t="e">
        <f aca="false">VLOOKUP(V3515,Sheet2!Q:R,2,0)</f>
        <v>#N/A</v>
      </c>
      <c r="X3515" s="17" t="n">
        <f aca="false">J3515</f>
        <v>0</v>
      </c>
      <c r="Y3515" s="17" t="e">
        <f aca="false">VLOOKUP(X3515,Sheet2!A:B,2,0)</f>
        <v>#N/A</v>
      </c>
      <c r="Z3515" s="17"/>
      <c r="AA3515" s="17"/>
      <c r="AB3515" s="17" t="s">
        <v>41</v>
      </c>
      <c r="AC3515" s="0" t="str">
        <f aca="false">LEFT(G3515,2)</f>
        <v/>
      </c>
      <c r="AE3515" s="0"/>
    </row>
    <row r="3516" customFormat="false" ht="15" hidden="false" customHeight="false" outlineLevel="0" collapsed="false">
      <c r="A3516" s="13" t="n">
        <f aca="false">1+A3515</f>
        <v>3514</v>
      </c>
      <c r="B3516" s="14" t="n">
        <v>100</v>
      </c>
      <c r="C3516" s="15"/>
      <c r="D3516" s="16" t="s">
        <v>64</v>
      </c>
      <c r="E3516" s="17" t="s">
        <v>47</v>
      </c>
      <c r="F3516" s="18" t="s">
        <v>34</v>
      </c>
      <c r="G3516" s="19"/>
      <c r="H3516" s="17" t="s">
        <v>35</v>
      </c>
      <c r="I3516" s="17" t="s">
        <v>44</v>
      </c>
      <c r="J3516" s="17"/>
      <c r="K3516" s="17" t="e">
        <f aca="false">VLOOKUP(J3516,Sheet2!A:B,2,0)</f>
        <v>#N/A</v>
      </c>
      <c r="L3516" s="17" t="n">
        <v>5</v>
      </c>
      <c r="M3516" s="17" t="str">
        <f aca="false">VLOOKUP(L3516,Sheet2!D:E,2,0)</f>
        <v>Main Processor CPU BGA</v>
      </c>
      <c r="N3516" s="17" t="n">
        <v>1</v>
      </c>
      <c r="O3516" s="17" t="str">
        <f aca="false">VLOOKUP(N3516,Sheet2!G:H,2,0)</f>
        <v>Dead</v>
      </c>
      <c r="P3516" s="17" t="n">
        <v>11</v>
      </c>
      <c r="Q3516" s="17" t="str">
        <f aca="false">VLOOKUP(P3516,Sheet2!J:K,2,0)</f>
        <v>IR Declared due to CID -TA</v>
      </c>
      <c r="R3516" s="17" t="s">
        <v>35</v>
      </c>
      <c r="S3516" s="17" t="str">
        <f aca="false">VLOOKUP(R3516,Sheet2!N:O,2,0)</f>
        <v>IREPARABLE</v>
      </c>
      <c r="T3516" s="18" t="str">
        <f aca="false">VLOOKUP(P3516,Sheet2!Q:R,2,0)</f>
        <v>IR Normal - Track burn out</v>
      </c>
      <c r="U3516" s="20" t="s">
        <v>41</v>
      </c>
      <c r="V3516" s="17"/>
      <c r="W3516" s="20" t="e">
        <f aca="false">VLOOKUP(V3516,Sheet2!Q:R,2,0)</f>
        <v>#N/A</v>
      </c>
      <c r="X3516" s="17" t="n">
        <f aca="false">J3516</f>
        <v>0</v>
      </c>
      <c r="Y3516" s="17" t="e">
        <f aca="false">VLOOKUP(X3516,Sheet2!A:B,2,0)</f>
        <v>#N/A</v>
      </c>
      <c r="Z3516" s="17"/>
      <c r="AA3516" s="17"/>
      <c r="AB3516" s="17" t="s">
        <v>41</v>
      </c>
      <c r="AC3516" s="0" t="str">
        <f aca="false">LEFT(G3516,2)</f>
        <v/>
      </c>
      <c r="AE3516" s="0"/>
    </row>
    <row r="3517" customFormat="false" ht="15" hidden="false" customHeight="false" outlineLevel="0" collapsed="false">
      <c r="A3517" s="13" t="n">
        <f aca="false">1+A3516</f>
        <v>3515</v>
      </c>
      <c r="B3517" s="14" t="n">
        <v>100</v>
      </c>
      <c r="C3517" s="15"/>
      <c r="D3517" s="16" t="s">
        <v>64</v>
      </c>
      <c r="E3517" s="17" t="s">
        <v>47</v>
      </c>
      <c r="F3517" s="18" t="s">
        <v>34</v>
      </c>
      <c r="G3517" s="19"/>
      <c r="H3517" s="17" t="s">
        <v>35</v>
      </c>
      <c r="I3517" s="17" t="s">
        <v>44</v>
      </c>
      <c r="J3517" s="17"/>
      <c r="K3517" s="17" t="e">
        <f aca="false">VLOOKUP(J3517,Sheet2!A:B,2,0)</f>
        <v>#N/A</v>
      </c>
      <c r="L3517" s="17" t="n">
        <v>5</v>
      </c>
      <c r="M3517" s="17" t="str">
        <f aca="false">VLOOKUP(L3517,Sheet2!D:E,2,0)</f>
        <v>Main Processor CPU BGA</v>
      </c>
      <c r="N3517" s="17" t="n">
        <v>1</v>
      </c>
      <c r="O3517" s="17" t="str">
        <f aca="false">VLOOKUP(N3517,Sheet2!G:H,2,0)</f>
        <v>Dead</v>
      </c>
      <c r="P3517" s="17" t="n">
        <v>11</v>
      </c>
      <c r="Q3517" s="17" t="str">
        <f aca="false">VLOOKUP(P3517,Sheet2!J:K,2,0)</f>
        <v>IR Declared due to CID -TA</v>
      </c>
      <c r="R3517" s="17" t="s">
        <v>35</v>
      </c>
      <c r="S3517" s="17" t="str">
        <f aca="false">VLOOKUP(R3517,Sheet2!N:O,2,0)</f>
        <v>IREPARABLE</v>
      </c>
      <c r="T3517" s="18" t="str">
        <f aca="false">VLOOKUP(P3517,Sheet2!Q:R,2,0)</f>
        <v>IR Normal - Track burn out</v>
      </c>
      <c r="U3517" s="20" t="s">
        <v>41</v>
      </c>
      <c r="V3517" s="17"/>
      <c r="W3517" s="20" t="e">
        <f aca="false">VLOOKUP(V3517,Sheet2!Q:R,2,0)</f>
        <v>#N/A</v>
      </c>
      <c r="X3517" s="17" t="n">
        <f aca="false">J3517</f>
        <v>0</v>
      </c>
      <c r="Y3517" s="17" t="e">
        <f aca="false">VLOOKUP(X3517,Sheet2!A:B,2,0)</f>
        <v>#N/A</v>
      </c>
      <c r="Z3517" s="17"/>
      <c r="AA3517" s="17"/>
      <c r="AB3517" s="17" t="s">
        <v>41</v>
      </c>
      <c r="AC3517" s="0" t="str">
        <f aca="false">LEFT(G3517,2)</f>
        <v/>
      </c>
      <c r="AE3517" s="0"/>
    </row>
    <row r="3518" customFormat="false" ht="15" hidden="false" customHeight="false" outlineLevel="0" collapsed="false">
      <c r="A3518" s="13" t="n">
        <f aca="false">1+A3517</f>
        <v>3516</v>
      </c>
      <c r="B3518" s="14" t="n">
        <v>100</v>
      </c>
      <c r="C3518" s="15"/>
      <c r="D3518" s="16" t="s">
        <v>64</v>
      </c>
      <c r="E3518" s="17" t="s">
        <v>47</v>
      </c>
      <c r="F3518" s="18" t="s">
        <v>34</v>
      </c>
      <c r="G3518" s="19"/>
      <c r="H3518" s="17" t="s">
        <v>35</v>
      </c>
      <c r="I3518" s="17" t="s">
        <v>44</v>
      </c>
      <c r="J3518" s="17"/>
      <c r="K3518" s="17" t="e">
        <f aca="false">VLOOKUP(J3518,Sheet2!A:B,2,0)</f>
        <v>#N/A</v>
      </c>
      <c r="L3518" s="17" t="n">
        <v>5</v>
      </c>
      <c r="M3518" s="17" t="str">
        <f aca="false">VLOOKUP(L3518,Sheet2!D:E,2,0)</f>
        <v>Main Processor CPU BGA</v>
      </c>
      <c r="N3518" s="17" t="n">
        <v>1</v>
      </c>
      <c r="O3518" s="17" t="str">
        <f aca="false">VLOOKUP(N3518,Sheet2!G:H,2,0)</f>
        <v>Dead</v>
      </c>
      <c r="P3518" s="17" t="n">
        <v>11</v>
      </c>
      <c r="Q3518" s="17" t="str">
        <f aca="false">VLOOKUP(P3518,Sheet2!J:K,2,0)</f>
        <v>IR Declared due to CID -TA</v>
      </c>
      <c r="R3518" s="17" t="s">
        <v>35</v>
      </c>
      <c r="S3518" s="17" t="str">
        <f aca="false">VLOOKUP(R3518,Sheet2!N:O,2,0)</f>
        <v>IREPARABLE</v>
      </c>
      <c r="T3518" s="18" t="str">
        <f aca="false">VLOOKUP(P3518,Sheet2!Q:R,2,0)</f>
        <v>IR Normal - Track burn out</v>
      </c>
      <c r="U3518" s="20" t="s">
        <v>41</v>
      </c>
      <c r="V3518" s="17"/>
      <c r="W3518" s="20" t="e">
        <f aca="false">VLOOKUP(V3518,Sheet2!Q:R,2,0)</f>
        <v>#N/A</v>
      </c>
      <c r="X3518" s="17" t="n">
        <f aca="false">J3518</f>
        <v>0</v>
      </c>
      <c r="Y3518" s="17" t="e">
        <f aca="false">VLOOKUP(X3518,Sheet2!A:B,2,0)</f>
        <v>#N/A</v>
      </c>
      <c r="Z3518" s="17"/>
      <c r="AA3518" s="17"/>
      <c r="AB3518" s="17" t="s">
        <v>41</v>
      </c>
      <c r="AC3518" s="0" t="str">
        <f aca="false">LEFT(G3518,2)</f>
        <v/>
      </c>
      <c r="AE3518" s="0"/>
    </row>
    <row r="3519" customFormat="false" ht="15" hidden="false" customHeight="false" outlineLevel="0" collapsed="false">
      <c r="A3519" s="13" t="n">
        <f aca="false">1+A3518</f>
        <v>3517</v>
      </c>
      <c r="B3519" s="14" t="n">
        <v>100</v>
      </c>
      <c r="C3519" s="15"/>
      <c r="D3519" s="16" t="s">
        <v>64</v>
      </c>
      <c r="E3519" s="17" t="s">
        <v>47</v>
      </c>
      <c r="F3519" s="18" t="s">
        <v>34</v>
      </c>
      <c r="G3519" s="19"/>
      <c r="H3519" s="17" t="s">
        <v>35</v>
      </c>
      <c r="I3519" s="17" t="s">
        <v>44</v>
      </c>
      <c r="J3519" s="17"/>
      <c r="K3519" s="17" t="e">
        <f aca="false">VLOOKUP(J3519,Sheet2!A:B,2,0)</f>
        <v>#N/A</v>
      </c>
      <c r="L3519" s="17" t="n">
        <v>5</v>
      </c>
      <c r="M3519" s="17" t="str">
        <f aca="false">VLOOKUP(L3519,Sheet2!D:E,2,0)</f>
        <v>Main Processor CPU BGA</v>
      </c>
      <c r="N3519" s="17" t="n">
        <v>1</v>
      </c>
      <c r="O3519" s="17" t="str">
        <f aca="false">VLOOKUP(N3519,Sheet2!G:H,2,0)</f>
        <v>Dead</v>
      </c>
      <c r="P3519" s="17" t="n">
        <v>11</v>
      </c>
      <c r="Q3519" s="17" t="str">
        <f aca="false">VLOOKUP(P3519,Sheet2!J:K,2,0)</f>
        <v>IR Declared due to CID -TA</v>
      </c>
      <c r="R3519" s="17" t="s">
        <v>35</v>
      </c>
      <c r="S3519" s="17" t="str">
        <f aca="false">VLOOKUP(R3519,Sheet2!N:O,2,0)</f>
        <v>IREPARABLE</v>
      </c>
      <c r="T3519" s="18" t="str">
        <f aca="false">VLOOKUP(P3519,Sheet2!Q:R,2,0)</f>
        <v>IR Normal - Track burn out</v>
      </c>
      <c r="U3519" s="20" t="s">
        <v>41</v>
      </c>
      <c r="V3519" s="17"/>
      <c r="W3519" s="20" t="e">
        <f aca="false">VLOOKUP(V3519,Sheet2!Q:R,2,0)</f>
        <v>#N/A</v>
      </c>
      <c r="X3519" s="17" t="n">
        <f aca="false">J3519</f>
        <v>0</v>
      </c>
      <c r="Y3519" s="17" t="e">
        <f aca="false">VLOOKUP(X3519,Sheet2!A:B,2,0)</f>
        <v>#N/A</v>
      </c>
      <c r="Z3519" s="17"/>
      <c r="AA3519" s="17"/>
      <c r="AB3519" s="17" t="s">
        <v>41</v>
      </c>
      <c r="AC3519" s="0" t="str">
        <f aca="false">LEFT(G3519,2)</f>
        <v/>
      </c>
      <c r="AE3519" s="0"/>
    </row>
    <row r="3520" customFormat="false" ht="15" hidden="false" customHeight="false" outlineLevel="0" collapsed="false">
      <c r="A3520" s="13" t="n">
        <f aca="false">1+A3519</f>
        <v>3518</v>
      </c>
      <c r="B3520" s="14" t="n">
        <v>100</v>
      </c>
      <c r="C3520" s="15"/>
      <c r="D3520" s="16" t="s">
        <v>64</v>
      </c>
      <c r="E3520" s="17" t="s">
        <v>47</v>
      </c>
      <c r="F3520" s="18" t="s">
        <v>34</v>
      </c>
      <c r="G3520" s="19"/>
      <c r="H3520" s="17" t="s">
        <v>35</v>
      </c>
      <c r="I3520" s="17" t="s">
        <v>44</v>
      </c>
      <c r="J3520" s="17"/>
      <c r="K3520" s="17" t="e">
        <f aca="false">VLOOKUP(J3520,Sheet2!A:B,2,0)</f>
        <v>#N/A</v>
      </c>
      <c r="L3520" s="17" t="n">
        <v>5</v>
      </c>
      <c r="M3520" s="17" t="str">
        <f aca="false">VLOOKUP(L3520,Sheet2!D:E,2,0)</f>
        <v>Main Processor CPU BGA</v>
      </c>
      <c r="N3520" s="17" t="n">
        <v>1</v>
      </c>
      <c r="O3520" s="17" t="str">
        <f aca="false">VLOOKUP(N3520,Sheet2!G:H,2,0)</f>
        <v>Dead</v>
      </c>
      <c r="P3520" s="17" t="n">
        <v>11</v>
      </c>
      <c r="Q3520" s="17" t="str">
        <f aca="false">VLOOKUP(P3520,Sheet2!J:K,2,0)</f>
        <v>IR Declared due to CID -TA</v>
      </c>
      <c r="R3520" s="17" t="s">
        <v>35</v>
      </c>
      <c r="S3520" s="17" t="str">
        <f aca="false">VLOOKUP(R3520,Sheet2!N:O,2,0)</f>
        <v>IREPARABLE</v>
      </c>
      <c r="T3520" s="18" t="str">
        <f aca="false">VLOOKUP(P3520,Sheet2!Q:R,2,0)</f>
        <v>IR Normal - Track burn out</v>
      </c>
      <c r="U3520" s="20" t="s">
        <v>41</v>
      </c>
      <c r="V3520" s="17"/>
      <c r="W3520" s="20" t="e">
        <f aca="false">VLOOKUP(V3520,Sheet2!Q:R,2,0)</f>
        <v>#N/A</v>
      </c>
      <c r="X3520" s="17" t="n">
        <f aca="false">J3520</f>
        <v>0</v>
      </c>
      <c r="Y3520" s="17" t="e">
        <f aca="false">VLOOKUP(X3520,Sheet2!A:B,2,0)</f>
        <v>#N/A</v>
      </c>
      <c r="Z3520" s="17"/>
      <c r="AA3520" s="17"/>
      <c r="AB3520" s="17" t="s">
        <v>41</v>
      </c>
      <c r="AC3520" s="0" t="str">
        <f aca="false">LEFT(G3520,2)</f>
        <v/>
      </c>
      <c r="AE3520" s="0"/>
    </row>
    <row r="3521" customFormat="false" ht="15" hidden="false" customHeight="false" outlineLevel="0" collapsed="false">
      <c r="A3521" s="13" t="n">
        <f aca="false">1+A3520</f>
        <v>3519</v>
      </c>
      <c r="B3521" s="14" t="n">
        <v>100</v>
      </c>
      <c r="C3521" s="15"/>
      <c r="D3521" s="16" t="s">
        <v>64</v>
      </c>
      <c r="E3521" s="17" t="s">
        <v>47</v>
      </c>
      <c r="F3521" s="18" t="s">
        <v>34</v>
      </c>
      <c r="G3521" s="19"/>
      <c r="H3521" s="17" t="s">
        <v>35</v>
      </c>
      <c r="I3521" s="17" t="s">
        <v>44</v>
      </c>
      <c r="J3521" s="17"/>
      <c r="K3521" s="17" t="e">
        <f aca="false">VLOOKUP(J3521,Sheet2!A:B,2,0)</f>
        <v>#N/A</v>
      </c>
      <c r="L3521" s="17" t="n">
        <v>5</v>
      </c>
      <c r="M3521" s="17" t="str">
        <f aca="false">VLOOKUP(L3521,Sheet2!D:E,2,0)</f>
        <v>Main Processor CPU BGA</v>
      </c>
      <c r="N3521" s="17" t="n">
        <v>1</v>
      </c>
      <c r="O3521" s="17" t="str">
        <f aca="false">VLOOKUP(N3521,Sheet2!G:H,2,0)</f>
        <v>Dead</v>
      </c>
      <c r="P3521" s="17" t="n">
        <v>11</v>
      </c>
      <c r="Q3521" s="17" t="str">
        <f aca="false">VLOOKUP(P3521,Sheet2!J:K,2,0)</f>
        <v>IR Declared due to CID -TA</v>
      </c>
      <c r="R3521" s="17" t="s">
        <v>35</v>
      </c>
      <c r="S3521" s="17" t="str">
        <f aca="false">VLOOKUP(R3521,Sheet2!N:O,2,0)</f>
        <v>IREPARABLE</v>
      </c>
      <c r="T3521" s="18" t="str">
        <f aca="false">VLOOKUP(P3521,Sheet2!Q:R,2,0)</f>
        <v>IR Normal - Track burn out</v>
      </c>
      <c r="U3521" s="20" t="s">
        <v>41</v>
      </c>
      <c r="V3521" s="17"/>
      <c r="W3521" s="20" t="e">
        <f aca="false">VLOOKUP(V3521,Sheet2!Q:R,2,0)</f>
        <v>#N/A</v>
      </c>
      <c r="X3521" s="17" t="n">
        <f aca="false">J3521</f>
        <v>0</v>
      </c>
      <c r="Y3521" s="17" t="e">
        <f aca="false">VLOOKUP(X3521,Sheet2!A:B,2,0)</f>
        <v>#N/A</v>
      </c>
      <c r="Z3521" s="17"/>
      <c r="AA3521" s="17"/>
      <c r="AB3521" s="17" t="s">
        <v>41</v>
      </c>
      <c r="AC3521" s="0" t="str">
        <f aca="false">LEFT(G3521,2)</f>
        <v/>
      </c>
      <c r="AE3521" s="0"/>
    </row>
    <row r="3522" customFormat="false" ht="15" hidden="false" customHeight="false" outlineLevel="0" collapsed="false">
      <c r="A3522" s="13" t="n">
        <f aca="false">1+A3521</f>
        <v>3520</v>
      </c>
      <c r="B3522" s="14" t="n">
        <v>100</v>
      </c>
      <c r="C3522" s="15"/>
      <c r="D3522" s="16" t="s">
        <v>64</v>
      </c>
      <c r="E3522" s="17" t="s">
        <v>47</v>
      </c>
      <c r="F3522" s="18" t="s">
        <v>34</v>
      </c>
      <c r="G3522" s="19"/>
      <c r="H3522" s="17" t="s">
        <v>35</v>
      </c>
      <c r="I3522" s="17" t="s">
        <v>44</v>
      </c>
      <c r="J3522" s="17"/>
      <c r="K3522" s="17" t="e">
        <f aca="false">VLOOKUP(J3522,Sheet2!A:B,2,0)</f>
        <v>#N/A</v>
      </c>
      <c r="L3522" s="17" t="n">
        <v>5</v>
      </c>
      <c r="M3522" s="17" t="str">
        <f aca="false">VLOOKUP(L3522,Sheet2!D:E,2,0)</f>
        <v>Main Processor CPU BGA</v>
      </c>
      <c r="N3522" s="17" t="n">
        <v>1</v>
      </c>
      <c r="O3522" s="17" t="str">
        <f aca="false">VLOOKUP(N3522,Sheet2!G:H,2,0)</f>
        <v>Dead</v>
      </c>
      <c r="P3522" s="17" t="n">
        <v>11</v>
      </c>
      <c r="Q3522" s="17" t="str">
        <f aca="false">VLOOKUP(P3522,Sheet2!J:K,2,0)</f>
        <v>IR Declared due to CID -TA</v>
      </c>
      <c r="R3522" s="17" t="s">
        <v>35</v>
      </c>
      <c r="S3522" s="17" t="str">
        <f aca="false">VLOOKUP(R3522,Sheet2!N:O,2,0)</f>
        <v>IREPARABLE</v>
      </c>
      <c r="T3522" s="18" t="str">
        <f aca="false">VLOOKUP(P3522,Sheet2!Q:R,2,0)</f>
        <v>IR Normal - Track burn out</v>
      </c>
      <c r="U3522" s="20" t="s">
        <v>41</v>
      </c>
      <c r="V3522" s="17"/>
      <c r="W3522" s="20" t="e">
        <f aca="false">VLOOKUP(V3522,Sheet2!Q:R,2,0)</f>
        <v>#N/A</v>
      </c>
      <c r="X3522" s="17" t="n">
        <f aca="false">J3522</f>
        <v>0</v>
      </c>
      <c r="Y3522" s="17" t="e">
        <f aca="false">VLOOKUP(X3522,Sheet2!A:B,2,0)</f>
        <v>#N/A</v>
      </c>
      <c r="Z3522" s="17"/>
      <c r="AA3522" s="17"/>
      <c r="AB3522" s="17" t="s">
        <v>41</v>
      </c>
      <c r="AC3522" s="0" t="str">
        <f aca="false">LEFT(G3522,2)</f>
        <v/>
      </c>
      <c r="AE3522" s="0"/>
    </row>
    <row r="3523" customFormat="false" ht="15" hidden="false" customHeight="false" outlineLevel="0" collapsed="false">
      <c r="A3523" s="13" t="n">
        <f aca="false">1+A3522</f>
        <v>3521</v>
      </c>
      <c r="B3523" s="14" t="n">
        <v>100</v>
      </c>
      <c r="C3523" s="15"/>
      <c r="D3523" s="16" t="s">
        <v>64</v>
      </c>
      <c r="E3523" s="17" t="s">
        <v>47</v>
      </c>
      <c r="F3523" s="18" t="s">
        <v>34</v>
      </c>
      <c r="G3523" s="19"/>
      <c r="H3523" s="17" t="s">
        <v>35</v>
      </c>
      <c r="I3523" s="17" t="s">
        <v>44</v>
      </c>
      <c r="J3523" s="17"/>
      <c r="K3523" s="17" t="e">
        <f aca="false">VLOOKUP(J3523,Sheet2!A:B,2,0)</f>
        <v>#N/A</v>
      </c>
      <c r="L3523" s="17" t="n">
        <v>5</v>
      </c>
      <c r="M3523" s="17" t="str">
        <f aca="false">VLOOKUP(L3523,Sheet2!D:E,2,0)</f>
        <v>Main Processor CPU BGA</v>
      </c>
      <c r="N3523" s="17" t="n">
        <v>1</v>
      </c>
      <c r="O3523" s="17" t="str">
        <f aca="false">VLOOKUP(N3523,Sheet2!G:H,2,0)</f>
        <v>Dead</v>
      </c>
      <c r="P3523" s="17" t="n">
        <v>11</v>
      </c>
      <c r="Q3523" s="17" t="str">
        <f aca="false">VLOOKUP(P3523,Sheet2!J:K,2,0)</f>
        <v>IR Declared due to CID -TA</v>
      </c>
      <c r="R3523" s="17" t="s">
        <v>35</v>
      </c>
      <c r="S3523" s="17" t="str">
        <f aca="false">VLOOKUP(R3523,Sheet2!N:O,2,0)</f>
        <v>IREPARABLE</v>
      </c>
      <c r="T3523" s="18" t="str">
        <f aca="false">VLOOKUP(P3523,Sheet2!Q:R,2,0)</f>
        <v>IR Normal - Track burn out</v>
      </c>
      <c r="U3523" s="20" t="s">
        <v>41</v>
      </c>
      <c r="V3523" s="17"/>
      <c r="W3523" s="20" t="e">
        <f aca="false">VLOOKUP(V3523,Sheet2!Q:R,2,0)</f>
        <v>#N/A</v>
      </c>
      <c r="X3523" s="17" t="n">
        <f aca="false">J3523</f>
        <v>0</v>
      </c>
      <c r="Y3523" s="17" t="e">
        <f aca="false">VLOOKUP(X3523,Sheet2!A:B,2,0)</f>
        <v>#N/A</v>
      </c>
      <c r="Z3523" s="17"/>
      <c r="AA3523" s="17"/>
      <c r="AB3523" s="17" t="s">
        <v>41</v>
      </c>
      <c r="AC3523" s="0" t="str">
        <f aca="false">LEFT(G3523,2)</f>
        <v/>
      </c>
      <c r="AE3523" s="0"/>
    </row>
    <row r="3524" customFormat="false" ht="15" hidden="false" customHeight="false" outlineLevel="0" collapsed="false">
      <c r="A3524" s="13" t="n">
        <f aca="false">1+A3523</f>
        <v>3522</v>
      </c>
      <c r="B3524" s="14" t="n">
        <v>100</v>
      </c>
      <c r="C3524" s="15"/>
      <c r="D3524" s="16" t="s">
        <v>64</v>
      </c>
      <c r="E3524" s="17" t="s">
        <v>47</v>
      </c>
      <c r="F3524" s="18" t="s">
        <v>34</v>
      </c>
      <c r="G3524" s="19"/>
      <c r="H3524" s="17" t="s">
        <v>35</v>
      </c>
      <c r="I3524" s="17" t="s">
        <v>44</v>
      </c>
      <c r="J3524" s="17"/>
      <c r="K3524" s="17" t="e">
        <f aca="false">VLOOKUP(J3524,Sheet2!A:B,2,0)</f>
        <v>#N/A</v>
      </c>
      <c r="L3524" s="17" t="n">
        <v>5</v>
      </c>
      <c r="M3524" s="17" t="str">
        <f aca="false">VLOOKUP(L3524,Sheet2!D:E,2,0)</f>
        <v>Main Processor CPU BGA</v>
      </c>
      <c r="N3524" s="17" t="n">
        <v>1</v>
      </c>
      <c r="O3524" s="17" t="str">
        <f aca="false">VLOOKUP(N3524,Sheet2!G:H,2,0)</f>
        <v>Dead</v>
      </c>
      <c r="P3524" s="17" t="n">
        <v>11</v>
      </c>
      <c r="Q3524" s="17" t="str">
        <f aca="false">VLOOKUP(P3524,Sheet2!J:K,2,0)</f>
        <v>IR Declared due to CID -TA</v>
      </c>
      <c r="R3524" s="17" t="s">
        <v>35</v>
      </c>
      <c r="S3524" s="17" t="str">
        <f aca="false">VLOOKUP(R3524,Sheet2!N:O,2,0)</f>
        <v>IREPARABLE</v>
      </c>
      <c r="T3524" s="18" t="str">
        <f aca="false">VLOOKUP(P3524,Sheet2!Q:R,2,0)</f>
        <v>IR Normal - Track burn out</v>
      </c>
      <c r="U3524" s="20" t="s">
        <v>41</v>
      </c>
      <c r="V3524" s="17"/>
      <c r="W3524" s="20" t="e">
        <f aca="false">VLOOKUP(V3524,Sheet2!Q:R,2,0)</f>
        <v>#N/A</v>
      </c>
      <c r="X3524" s="17" t="n">
        <f aca="false">J3524</f>
        <v>0</v>
      </c>
      <c r="Y3524" s="17" t="e">
        <f aca="false">VLOOKUP(X3524,Sheet2!A:B,2,0)</f>
        <v>#N/A</v>
      </c>
      <c r="Z3524" s="17"/>
      <c r="AA3524" s="17"/>
      <c r="AB3524" s="17" t="s">
        <v>41</v>
      </c>
      <c r="AC3524" s="0" t="str">
        <f aca="false">LEFT(G3524,2)</f>
        <v/>
      </c>
      <c r="AE3524" s="0"/>
    </row>
    <row r="3525" customFormat="false" ht="15" hidden="false" customHeight="false" outlineLevel="0" collapsed="false">
      <c r="A3525" s="13" t="n">
        <f aca="false">1+A3524</f>
        <v>3523</v>
      </c>
      <c r="B3525" s="14" t="n">
        <v>100</v>
      </c>
      <c r="C3525" s="15"/>
      <c r="D3525" s="16" t="s">
        <v>64</v>
      </c>
      <c r="E3525" s="17" t="s">
        <v>47</v>
      </c>
      <c r="F3525" s="18" t="s">
        <v>34</v>
      </c>
      <c r="G3525" s="19"/>
      <c r="H3525" s="17" t="s">
        <v>35</v>
      </c>
      <c r="I3525" s="17" t="s">
        <v>44</v>
      </c>
      <c r="J3525" s="17"/>
      <c r="K3525" s="17" t="e">
        <f aca="false">VLOOKUP(J3525,Sheet2!A:B,2,0)</f>
        <v>#N/A</v>
      </c>
      <c r="L3525" s="17" t="n">
        <v>5</v>
      </c>
      <c r="M3525" s="17" t="str">
        <f aca="false">VLOOKUP(L3525,Sheet2!D:E,2,0)</f>
        <v>Main Processor CPU BGA</v>
      </c>
      <c r="N3525" s="17" t="n">
        <v>1</v>
      </c>
      <c r="O3525" s="17" t="str">
        <f aca="false">VLOOKUP(N3525,Sheet2!G:H,2,0)</f>
        <v>Dead</v>
      </c>
      <c r="P3525" s="17" t="n">
        <v>11</v>
      </c>
      <c r="Q3525" s="17" t="str">
        <f aca="false">VLOOKUP(P3525,Sheet2!J:K,2,0)</f>
        <v>IR Declared due to CID -TA</v>
      </c>
      <c r="R3525" s="17" t="s">
        <v>35</v>
      </c>
      <c r="S3525" s="17" t="str">
        <f aca="false">VLOOKUP(R3525,Sheet2!N:O,2,0)</f>
        <v>IREPARABLE</v>
      </c>
      <c r="T3525" s="18" t="str">
        <f aca="false">VLOOKUP(P3525,Sheet2!Q:R,2,0)</f>
        <v>IR Normal - Track burn out</v>
      </c>
      <c r="U3525" s="20" t="s">
        <v>41</v>
      </c>
      <c r="V3525" s="17"/>
      <c r="W3525" s="20" t="e">
        <f aca="false">VLOOKUP(V3525,Sheet2!Q:R,2,0)</f>
        <v>#N/A</v>
      </c>
      <c r="X3525" s="17" t="n">
        <f aca="false">J3525</f>
        <v>0</v>
      </c>
      <c r="Y3525" s="17" t="e">
        <f aca="false">VLOOKUP(X3525,Sheet2!A:B,2,0)</f>
        <v>#N/A</v>
      </c>
      <c r="Z3525" s="17"/>
      <c r="AA3525" s="17"/>
      <c r="AB3525" s="17" t="s">
        <v>41</v>
      </c>
      <c r="AC3525" s="0" t="str">
        <f aca="false">LEFT(G3525,2)</f>
        <v/>
      </c>
      <c r="AE3525" s="0"/>
    </row>
    <row r="3526" customFormat="false" ht="15" hidden="false" customHeight="false" outlineLevel="0" collapsed="false">
      <c r="A3526" s="13" t="n">
        <f aca="false">1+A3525</f>
        <v>3524</v>
      </c>
      <c r="B3526" s="14" t="n">
        <v>100</v>
      </c>
      <c r="C3526" s="15"/>
      <c r="D3526" s="16" t="s">
        <v>64</v>
      </c>
      <c r="E3526" s="17" t="s">
        <v>47</v>
      </c>
      <c r="F3526" s="18" t="s">
        <v>34</v>
      </c>
      <c r="G3526" s="19"/>
      <c r="H3526" s="17" t="s">
        <v>35</v>
      </c>
      <c r="I3526" s="17" t="s">
        <v>44</v>
      </c>
      <c r="J3526" s="17"/>
      <c r="K3526" s="17" t="e">
        <f aca="false">VLOOKUP(J3526,Sheet2!A:B,2,0)</f>
        <v>#N/A</v>
      </c>
      <c r="L3526" s="17" t="n">
        <v>5</v>
      </c>
      <c r="M3526" s="17" t="str">
        <f aca="false">VLOOKUP(L3526,Sheet2!D:E,2,0)</f>
        <v>Main Processor CPU BGA</v>
      </c>
      <c r="N3526" s="17" t="n">
        <v>1</v>
      </c>
      <c r="O3526" s="17" t="str">
        <f aca="false">VLOOKUP(N3526,Sheet2!G:H,2,0)</f>
        <v>Dead</v>
      </c>
      <c r="P3526" s="17" t="n">
        <v>11</v>
      </c>
      <c r="Q3526" s="17" t="str">
        <f aca="false">VLOOKUP(P3526,Sheet2!J:K,2,0)</f>
        <v>IR Declared due to CID -TA</v>
      </c>
      <c r="R3526" s="17" t="s">
        <v>35</v>
      </c>
      <c r="S3526" s="17" t="str">
        <f aca="false">VLOOKUP(R3526,Sheet2!N:O,2,0)</f>
        <v>IREPARABLE</v>
      </c>
      <c r="T3526" s="18" t="str">
        <f aca="false">VLOOKUP(P3526,Sheet2!Q:R,2,0)</f>
        <v>IR Normal - Track burn out</v>
      </c>
      <c r="U3526" s="20" t="s">
        <v>41</v>
      </c>
      <c r="V3526" s="17"/>
      <c r="W3526" s="20" t="e">
        <f aca="false">VLOOKUP(V3526,Sheet2!Q:R,2,0)</f>
        <v>#N/A</v>
      </c>
      <c r="X3526" s="17" t="n">
        <f aca="false">J3526</f>
        <v>0</v>
      </c>
      <c r="Y3526" s="17" t="e">
        <f aca="false">VLOOKUP(X3526,Sheet2!A:B,2,0)</f>
        <v>#N/A</v>
      </c>
      <c r="Z3526" s="17"/>
      <c r="AA3526" s="17"/>
      <c r="AB3526" s="17" t="s">
        <v>41</v>
      </c>
      <c r="AC3526" s="0" t="str">
        <f aca="false">LEFT(G3526,2)</f>
        <v/>
      </c>
      <c r="AE3526" s="0"/>
    </row>
    <row r="3527" customFormat="false" ht="15" hidden="false" customHeight="false" outlineLevel="0" collapsed="false">
      <c r="A3527" s="13" t="n">
        <f aca="false">1+A3526</f>
        <v>3525</v>
      </c>
      <c r="B3527" s="14" t="n">
        <v>100</v>
      </c>
      <c r="C3527" s="15"/>
      <c r="D3527" s="16" t="s">
        <v>64</v>
      </c>
      <c r="E3527" s="17" t="s">
        <v>47</v>
      </c>
      <c r="F3527" s="18" t="s">
        <v>34</v>
      </c>
      <c r="G3527" s="19"/>
      <c r="H3527" s="17" t="s">
        <v>35</v>
      </c>
      <c r="I3527" s="17" t="s">
        <v>44</v>
      </c>
      <c r="J3527" s="17"/>
      <c r="K3527" s="17" t="e">
        <f aca="false">VLOOKUP(J3527,Sheet2!A:B,2,0)</f>
        <v>#N/A</v>
      </c>
      <c r="L3527" s="17" t="n">
        <v>5</v>
      </c>
      <c r="M3527" s="17" t="str">
        <f aca="false">VLOOKUP(L3527,Sheet2!D:E,2,0)</f>
        <v>Main Processor CPU BGA</v>
      </c>
      <c r="N3527" s="17" t="n">
        <v>1</v>
      </c>
      <c r="O3527" s="17" t="str">
        <f aca="false">VLOOKUP(N3527,Sheet2!G:H,2,0)</f>
        <v>Dead</v>
      </c>
      <c r="P3527" s="17" t="n">
        <v>11</v>
      </c>
      <c r="Q3527" s="17" t="str">
        <f aca="false">VLOOKUP(P3527,Sheet2!J:K,2,0)</f>
        <v>IR Declared due to CID -TA</v>
      </c>
      <c r="R3527" s="17" t="s">
        <v>35</v>
      </c>
      <c r="S3527" s="17" t="str">
        <f aca="false">VLOOKUP(R3527,Sheet2!N:O,2,0)</f>
        <v>IREPARABLE</v>
      </c>
      <c r="T3527" s="18" t="str">
        <f aca="false">VLOOKUP(P3527,Sheet2!Q:R,2,0)</f>
        <v>IR Normal - Track burn out</v>
      </c>
      <c r="U3527" s="20" t="s">
        <v>41</v>
      </c>
      <c r="V3527" s="17"/>
      <c r="W3527" s="20" t="e">
        <f aca="false">VLOOKUP(V3527,Sheet2!Q:R,2,0)</f>
        <v>#N/A</v>
      </c>
      <c r="X3527" s="17" t="n">
        <f aca="false">J3527</f>
        <v>0</v>
      </c>
      <c r="Y3527" s="17" t="e">
        <f aca="false">VLOOKUP(X3527,Sheet2!A:B,2,0)</f>
        <v>#N/A</v>
      </c>
      <c r="Z3527" s="17"/>
      <c r="AA3527" s="17"/>
      <c r="AB3527" s="17" t="s">
        <v>41</v>
      </c>
      <c r="AC3527" s="0" t="str">
        <f aca="false">LEFT(G3527,2)</f>
        <v/>
      </c>
      <c r="AE3527" s="0"/>
    </row>
    <row r="3528" customFormat="false" ht="15" hidden="false" customHeight="false" outlineLevel="0" collapsed="false">
      <c r="A3528" s="13" t="n">
        <f aca="false">1+A3527</f>
        <v>3526</v>
      </c>
      <c r="B3528" s="14" t="n">
        <v>100</v>
      </c>
      <c r="C3528" s="15"/>
      <c r="D3528" s="16" t="s">
        <v>64</v>
      </c>
      <c r="E3528" s="17" t="s">
        <v>47</v>
      </c>
      <c r="F3528" s="18" t="s">
        <v>34</v>
      </c>
      <c r="G3528" s="19"/>
      <c r="H3528" s="17" t="s">
        <v>35</v>
      </c>
      <c r="I3528" s="17" t="s">
        <v>44</v>
      </c>
      <c r="J3528" s="17"/>
      <c r="K3528" s="17" t="e">
        <f aca="false">VLOOKUP(J3528,Sheet2!A:B,2,0)</f>
        <v>#N/A</v>
      </c>
      <c r="L3528" s="17" t="n">
        <v>5</v>
      </c>
      <c r="M3528" s="17" t="str">
        <f aca="false">VLOOKUP(L3528,Sheet2!D:E,2,0)</f>
        <v>Main Processor CPU BGA</v>
      </c>
      <c r="N3528" s="17" t="n">
        <v>1</v>
      </c>
      <c r="O3528" s="17" t="str">
        <f aca="false">VLOOKUP(N3528,Sheet2!G:H,2,0)</f>
        <v>Dead</v>
      </c>
      <c r="P3528" s="17" t="n">
        <v>11</v>
      </c>
      <c r="Q3528" s="17" t="str">
        <f aca="false">VLOOKUP(P3528,Sheet2!J:K,2,0)</f>
        <v>IR Declared due to CID -TA</v>
      </c>
      <c r="R3528" s="17" t="s">
        <v>35</v>
      </c>
      <c r="S3528" s="17" t="str">
        <f aca="false">VLOOKUP(R3528,Sheet2!N:O,2,0)</f>
        <v>IREPARABLE</v>
      </c>
      <c r="T3528" s="18" t="str">
        <f aca="false">VLOOKUP(P3528,Sheet2!Q:R,2,0)</f>
        <v>IR Normal - Track burn out</v>
      </c>
      <c r="U3528" s="20" t="s">
        <v>41</v>
      </c>
      <c r="V3528" s="17"/>
      <c r="W3528" s="20" t="e">
        <f aca="false">VLOOKUP(V3528,Sheet2!Q:R,2,0)</f>
        <v>#N/A</v>
      </c>
      <c r="X3528" s="17" t="n">
        <f aca="false">J3528</f>
        <v>0</v>
      </c>
      <c r="Y3528" s="17" t="e">
        <f aca="false">VLOOKUP(X3528,Sheet2!A:B,2,0)</f>
        <v>#N/A</v>
      </c>
      <c r="Z3528" s="17"/>
      <c r="AA3528" s="17"/>
      <c r="AB3528" s="17" t="s">
        <v>41</v>
      </c>
      <c r="AC3528" s="0" t="str">
        <f aca="false">LEFT(G3528,2)</f>
        <v/>
      </c>
      <c r="AE3528" s="0"/>
    </row>
    <row r="3529" customFormat="false" ht="15" hidden="false" customHeight="false" outlineLevel="0" collapsed="false">
      <c r="A3529" s="13" t="n">
        <f aca="false">1+A3528</f>
        <v>3527</v>
      </c>
      <c r="B3529" s="14" t="n">
        <v>100</v>
      </c>
      <c r="C3529" s="15"/>
      <c r="D3529" s="16" t="s">
        <v>64</v>
      </c>
      <c r="E3529" s="17" t="s">
        <v>47</v>
      </c>
      <c r="F3529" s="18" t="s">
        <v>34</v>
      </c>
      <c r="G3529" s="19"/>
      <c r="H3529" s="17" t="s">
        <v>35</v>
      </c>
      <c r="I3529" s="17" t="s">
        <v>44</v>
      </c>
      <c r="J3529" s="17"/>
      <c r="K3529" s="17" t="e">
        <f aca="false">VLOOKUP(J3529,Sheet2!A:B,2,0)</f>
        <v>#N/A</v>
      </c>
      <c r="L3529" s="17" t="n">
        <v>5</v>
      </c>
      <c r="M3529" s="17" t="str">
        <f aca="false">VLOOKUP(L3529,Sheet2!D:E,2,0)</f>
        <v>Main Processor CPU BGA</v>
      </c>
      <c r="N3529" s="17" t="n">
        <v>1</v>
      </c>
      <c r="O3529" s="17" t="str">
        <f aca="false">VLOOKUP(N3529,Sheet2!G:H,2,0)</f>
        <v>Dead</v>
      </c>
      <c r="P3529" s="17" t="n">
        <v>11</v>
      </c>
      <c r="Q3529" s="17" t="str">
        <f aca="false">VLOOKUP(P3529,Sheet2!J:K,2,0)</f>
        <v>IR Declared due to CID -TA</v>
      </c>
      <c r="R3529" s="17" t="s">
        <v>35</v>
      </c>
      <c r="S3529" s="17" t="str">
        <f aca="false">VLOOKUP(R3529,Sheet2!N:O,2,0)</f>
        <v>IREPARABLE</v>
      </c>
      <c r="T3529" s="18" t="str">
        <f aca="false">VLOOKUP(P3529,Sheet2!Q:R,2,0)</f>
        <v>IR Normal - Track burn out</v>
      </c>
      <c r="U3529" s="20" t="s">
        <v>41</v>
      </c>
      <c r="V3529" s="17"/>
      <c r="W3529" s="20" t="e">
        <f aca="false">VLOOKUP(V3529,Sheet2!Q:R,2,0)</f>
        <v>#N/A</v>
      </c>
      <c r="X3529" s="17" t="n">
        <f aca="false">J3529</f>
        <v>0</v>
      </c>
      <c r="Y3529" s="17" t="e">
        <f aca="false">VLOOKUP(X3529,Sheet2!A:B,2,0)</f>
        <v>#N/A</v>
      </c>
      <c r="Z3529" s="17"/>
      <c r="AA3529" s="17"/>
      <c r="AB3529" s="17" t="s">
        <v>41</v>
      </c>
      <c r="AC3529" s="0" t="str">
        <f aca="false">LEFT(G3529,2)</f>
        <v/>
      </c>
      <c r="AE3529" s="0"/>
    </row>
    <row r="3530" customFormat="false" ht="15" hidden="false" customHeight="false" outlineLevel="0" collapsed="false">
      <c r="A3530" s="13" t="n">
        <f aca="false">1+A3529</f>
        <v>3528</v>
      </c>
      <c r="B3530" s="14" t="n">
        <v>100</v>
      </c>
      <c r="C3530" s="15"/>
      <c r="D3530" s="16" t="s">
        <v>64</v>
      </c>
      <c r="E3530" s="17" t="s">
        <v>47</v>
      </c>
      <c r="F3530" s="18" t="s">
        <v>34</v>
      </c>
      <c r="G3530" s="19"/>
      <c r="H3530" s="17" t="s">
        <v>35</v>
      </c>
      <c r="I3530" s="17" t="s">
        <v>44</v>
      </c>
      <c r="J3530" s="17"/>
      <c r="K3530" s="17" t="e">
        <f aca="false">VLOOKUP(J3530,Sheet2!A:B,2,0)</f>
        <v>#N/A</v>
      </c>
      <c r="L3530" s="17" t="n">
        <v>5</v>
      </c>
      <c r="M3530" s="17" t="str">
        <f aca="false">VLOOKUP(L3530,Sheet2!D:E,2,0)</f>
        <v>Main Processor CPU BGA</v>
      </c>
      <c r="N3530" s="17" t="n">
        <v>1</v>
      </c>
      <c r="O3530" s="17" t="str">
        <f aca="false">VLOOKUP(N3530,Sheet2!G:H,2,0)</f>
        <v>Dead</v>
      </c>
      <c r="P3530" s="17" t="n">
        <v>11</v>
      </c>
      <c r="Q3530" s="17" t="str">
        <f aca="false">VLOOKUP(P3530,Sheet2!J:K,2,0)</f>
        <v>IR Declared due to CID -TA</v>
      </c>
      <c r="R3530" s="17" t="s">
        <v>35</v>
      </c>
      <c r="S3530" s="17" t="str">
        <f aca="false">VLOOKUP(R3530,Sheet2!N:O,2,0)</f>
        <v>IREPARABLE</v>
      </c>
      <c r="T3530" s="18" t="str">
        <f aca="false">VLOOKUP(P3530,Sheet2!Q:R,2,0)</f>
        <v>IR Normal - Track burn out</v>
      </c>
      <c r="U3530" s="20" t="s">
        <v>41</v>
      </c>
      <c r="V3530" s="17"/>
      <c r="W3530" s="20" t="e">
        <f aca="false">VLOOKUP(V3530,Sheet2!Q:R,2,0)</f>
        <v>#N/A</v>
      </c>
      <c r="X3530" s="17" t="n">
        <f aca="false">J3530</f>
        <v>0</v>
      </c>
      <c r="Y3530" s="17" t="e">
        <f aca="false">VLOOKUP(X3530,Sheet2!A:B,2,0)</f>
        <v>#N/A</v>
      </c>
      <c r="Z3530" s="17"/>
      <c r="AA3530" s="17"/>
      <c r="AB3530" s="17" t="s">
        <v>41</v>
      </c>
      <c r="AC3530" s="0" t="str">
        <f aca="false">LEFT(G3530,2)</f>
        <v/>
      </c>
      <c r="AE3530" s="0"/>
    </row>
    <row r="3531" customFormat="false" ht="15" hidden="false" customHeight="false" outlineLevel="0" collapsed="false">
      <c r="A3531" s="13" t="n">
        <f aca="false">1+A3530</f>
        <v>3529</v>
      </c>
      <c r="B3531" s="14" t="n">
        <v>100</v>
      </c>
      <c r="C3531" s="15"/>
      <c r="D3531" s="16" t="s">
        <v>64</v>
      </c>
      <c r="E3531" s="17" t="s">
        <v>47</v>
      </c>
      <c r="F3531" s="18" t="s">
        <v>34</v>
      </c>
      <c r="G3531" s="19"/>
      <c r="H3531" s="17" t="s">
        <v>35</v>
      </c>
      <c r="I3531" s="17" t="s">
        <v>44</v>
      </c>
      <c r="J3531" s="17"/>
      <c r="K3531" s="17" t="e">
        <f aca="false">VLOOKUP(J3531,Sheet2!A:B,2,0)</f>
        <v>#N/A</v>
      </c>
      <c r="L3531" s="17" t="n">
        <v>5</v>
      </c>
      <c r="M3531" s="17" t="str">
        <f aca="false">VLOOKUP(L3531,Sheet2!D:E,2,0)</f>
        <v>Main Processor CPU BGA</v>
      </c>
      <c r="N3531" s="17" t="n">
        <v>1</v>
      </c>
      <c r="O3531" s="17" t="str">
        <f aca="false">VLOOKUP(N3531,Sheet2!G:H,2,0)</f>
        <v>Dead</v>
      </c>
      <c r="P3531" s="17" t="n">
        <v>11</v>
      </c>
      <c r="Q3531" s="17" t="str">
        <f aca="false">VLOOKUP(P3531,Sheet2!J:K,2,0)</f>
        <v>IR Declared due to CID -TA</v>
      </c>
      <c r="R3531" s="17" t="s">
        <v>35</v>
      </c>
      <c r="S3531" s="17" t="str">
        <f aca="false">VLOOKUP(R3531,Sheet2!N:O,2,0)</f>
        <v>IREPARABLE</v>
      </c>
      <c r="T3531" s="18" t="str">
        <f aca="false">VLOOKUP(P3531,Sheet2!Q:R,2,0)</f>
        <v>IR Normal - Track burn out</v>
      </c>
      <c r="U3531" s="20" t="s">
        <v>41</v>
      </c>
      <c r="V3531" s="17"/>
      <c r="W3531" s="20" t="e">
        <f aca="false">VLOOKUP(V3531,Sheet2!Q:R,2,0)</f>
        <v>#N/A</v>
      </c>
      <c r="X3531" s="17" t="n">
        <f aca="false">J3531</f>
        <v>0</v>
      </c>
      <c r="Y3531" s="17" t="e">
        <f aca="false">VLOOKUP(X3531,Sheet2!A:B,2,0)</f>
        <v>#N/A</v>
      </c>
      <c r="Z3531" s="17"/>
      <c r="AA3531" s="17"/>
      <c r="AB3531" s="17" t="s">
        <v>41</v>
      </c>
      <c r="AC3531" s="0" t="str">
        <f aca="false">LEFT(G3531,2)</f>
        <v/>
      </c>
      <c r="AE3531" s="0"/>
    </row>
    <row r="3532" customFormat="false" ht="15" hidden="false" customHeight="false" outlineLevel="0" collapsed="false">
      <c r="A3532" s="13" t="n">
        <f aca="false">1+A3531</f>
        <v>3530</v>
      </c>
      <c r="B3532" s="14" t="n">
        <v>100</v>
      </c>
      <c r="C3532" s="15"/>
      <c r="D3532" s="16" t="s">
        <v>64</v>
      </c>
      <c r="E3532" s="17" t="s">
        <v>47</v>
      </c>
      <c r="F3532" s="18" t="s">
        <v>34</v>
      </c>
      <c r="G3532" s="19"/>
      <c r="H3532" s="17" t="s">
        <v>35</v>
      </c>
      <c r="I3532" s="17" t="s">
        <v>44</v>
      </c>
      <c r="J3532" s="17"/>
      <c r="K3532" s="17" t="e">
        <f aca="false">VLOOKUP(J3532,Sheet2!A:B,2,0)</f>
        <v>#N/A</v>
      </c>
      <c r="L3532" s="17" t="n">
        <v>5</v>
      </c>
      <c r="M3532" s="17" t="str">
        <f aca="false">VLOOKUP(L3532,Sheet2!D:E,2,0)</f>
        <v>Main Processor CPU BGA</v>
      </c>
      <c r="N3532" s="17" t="n">
        <v>1</v>
      </c>
      <c r="O3532" s="17" t="str">
        <f aca="false">VLOOKUP(N3532,Sheet2!G:H,2,0)</f>
        <v>Dead</v>
      </c>
      <c r="P3532" s="17" t="n">
        <v>11</v>
      </c>
      <c r="Q3532" s="17" t="str">
        <f aca="false">VLOOKUP(P3532,Sheet2!J:K,2,0)</f>
        <v>IR Declared due to CID -TA</v>
      </c>
      <c r="R3532" s="17" t="s">
        <v>35</v>
      </c>
      <c r="S3532" s="17" t="str">
        <f aca="false">VLOOKUP(R3532,Sheet2!N:O,2,0)</f>
        <v>IREPARABLE</v>
      </c>
      <c r="T3532" s="18" t="str">
        <f aca="false">VLOOKUP(P3532,Sheet2!Q:R,2,0)</f>
        <v>IR Normal - Track burn out</v>
      </c>
      <c r="U3532" s="20" t="s">
        <v>41</v>
      </c>
      <c r="V3532" s="17"/>
      <c r="W3532" s="20" t="e">
        <f aca="false">VLOOKUP(V3532,Sheet2!Q:R,2,0)</f>
        <v>#N/A</v>
      </c>
      <c r="X3532" s="17" t="n">
        <f aca="false">J3532</f>
        <v>0</v>
      </c>
      <c r="Y3532" s="17" t="e">
        <f aca="false">VLOOKUP(X3532,Sheet2!A:B,2,0)</f>
        <v>#N/A</v>
      </c>
      <c r="Z3532" s="17"/>
      <c r="AA3532" s="17"/>
      <c r="AB3532" s="17" t="s">
        <v>41</v>
      </c>
      <c r="AC3532" s="0" t="str">
        <f aca="false">LEFT(G3532,2)</f>
        <v/>
      </c>
      <c r="AE3532" s="0"/>
    </row>
    <row r="3533" customFormat="false" ht="15" hidden="false" customHeight="false" outlineLevel="0" collapsed="false">
      <c r="A3533" s="13" t="n">
        <f aca="false">1+A3532</f>
        <v>3531</v>
      </c>
      <c r="B3533" s="14" t="n">
        <v>100</v>
      </c>
      <c r="C3533" s="15"/>
      <c r="D3533" s="16" t="s">
        <v>64</v>
      </c>
      <c r="E3533" s="17" t="s">
        <v>47</v>
      </c>
      <c r="F3533" s="18" t="s">
        <v>34</v>
      </c>
      <c r="G3533" s="19"/>
      <c r="H3533" s="17" t="s">
        <v>35</v>
      </c>
      <c r="I3533" s="17" t="s">
        <v>44</v>
      </c>
      <c r="J3533" s="17"/>
      <c r="K3533" s="17" t="e">
        <f aca="false">VLOOKUP(J3533,Sheet2!A:B,2,0)</f>
        <v>#N/A</v>
      </c>
      <c r="L3533" s="17" t="n">
        <v>5</v>
      </c>
      <c r="M3533" s="17" t="str">
        <f aca="false">VLOOKUP(L3533,Sheet2!D:E,2,0)</f>
        <v>Main Processor CPU BGA</v>
      </c>
      <c r="N3533" s="17" t="n">
        <v>1</v>
      </c>
      <c r="O3533" s="17" t="str">
        <f aca="false">VLOOKUP(N3533,Sheet2!G:H,2,0)</f>
        <v>Dead</v>
      </c>
      <c r="P3533" s="17" t="n">
        <v>11</v>
      </c>
      <c r="Q3533" s="17" t="str">
        <f aca="false">VLOOKUP(P3533,Sheet2!J:K,2,0)</f>
        <v>IR Declared due to CID -TA</v>
      </c>
      <c r="R3533" s="17" t="s">
        <v>35</v>
      </c>
      <c r="S3533" s="17" t="str">
        <f aca="false">VLOOKUP(R3533,Sheet2!N:O,2,0)</f>
        <v>IREPARABLE</v>
      </c>
      <c r="T3533" s="18" t="str">
        <f aca="false">VLOOKUP(P3533,Sheet2!Q:R,2,0)</f>
        <v>IR Normal - Track burn out</v>
      </c>
      <c r="U3533" s="20" t="s">
        <v>41</v>
      </c>
      <c r="V3533" s="17"/>
      <c r="W3533" s="20" t="e">
        <f aca="false">VLOOKUP(V3533,Sheet2!Q:R,2,0)</f>
        <v>#N/A</v>
      </c>
      <c r="X3533" s="17" t="n">
        <f aca="false">J3533</f>
        <v>0</v>
      </c>
      <c r="Y3533" s="17" t="e">
        <f aca="false">VLOOKUP(X3533,Sheet2!A:B,2,0)</f>
        <v>#N/A</v>
      </c>
      <c r="Z3533" s="17"/>
      <c r="AA3533" s="17"/>
      <c r="AB3533" s="17" t="s">
        <v>41</v>
      </c>
      <c r="AC3533" s="0" t="str">
        <f aca="false">LEFT(G3533,2)</f>
        <v/>
      </c>
      <c r="AE3533" s="0"/>
    </row>
    <row r="3534" customFormat="false" ht="15" hidden="false" customHeight="false" outlineLevel="0" collapsed="false">
      <c r="A3534" s="13" t="n">
        <f aca="false">1+A3533</f>
        <v>3532</v>
      </c>
      <c r="B3534" s="14" t="n">
        <v>100</v>
      </c>
      <c r="C3534" s="15"/>
      <c r="D3534" s="16" t="s">
        <v>64</v>
      </c>
      <c r="E3534" s="17" t="s">
        <v>47</v>
      </c>
      <c r="F3534" s="18" t="s">
        <v>34</v>
      </c>
      <c r="G3534" s="19"/>
      <c r="H3534" s="17" t="s">
        <v>35</v>
      </c>
      <c r="I3534" s="17" t="s">
        <v>44</v>
      </c>
      <c r="J3534" s="17"/>
      <c r="K3534" s="17" t="e">
        <f aca="false">VLOOKUP(J3534,Sheet2!A:B,2,0)</f>
        <v>#N/A</v>
      </c>
      <c r="L3534" s="17" t="n">
        <v>5</v>
      </c>
      <c r="M3534" s="17" t="str">
        <f aca="false">VLOOKUP(L3534,Sheet2!D:E,2,0)</f>
        <v>Main Processor CPU BGA</v>
      </c>
      <c r="N3534" s="17" t="n">
        <v>1</v>
      </c>
      <c r="O3534" s="17" t="str">
        <f aca="false">VLOOKUP(N3534,Sheet2!G:H,2,0)</f>
        <v>Dead</v>
      </c>
      <c r="P3534" s="17" t="n">
        <v>11</v>
      </c>
      <c r="Q3534" s="17" t="str">
        <f aca="false">VLOOKUP(P3534,Sheet2!J:K,2,0)</f>
        <v>IR Declared due to CID -TA</v>
      </c>
      <c r="R3534" s="17" t="s">
        <v>35</v>
      </c>
      <c r="S3534" s="17" t="str">
        <f aca="false">VLOOKUP(R3534,Sheet2!N:O,2,0)</f>
        <v>IREPARABLE</v>
      </c>
      <c r="T3534" s="18" t="str">
        <f aca="false">VLOOKUP(P3534,Sheet2!Q:R,2,0)</f>
        <v>IR Normal - Track burn out</v>
      </c>
      <c r="U3534" s="20" t="s">
        <v>41</v>
      </c>
      <c r="V3534" s="17"/>
      <c r="W3534" s="20" t="e">
        <f aca="false">VLOOKUP(V3534,Sheet2!Q:R,2,0)</f>
        <v>#N/A</v>
      </c>
      <c r="X3534" s="17" t="n">
        <f aca="false">J3534</f>
        <v>0</v>
      </c>
      <c r="Y3534" s="17" t="e">
        <f aca="false">VLOOKUP(X3534,Sheet2!A:B,2,0)</f>
        <v>#N/A</v>
      </c>
      <c r="Z3534" s="17"/>
      <c r="AA3534" s="17"/>
      <c r="AB3534" s="17" t="s">
        <v>41</v>
      </c>
      <c r="AC3534" s="0" t="str">
        <f aca="false">LEFT(G3534,2)</f>
        <v/>
      </c>
      <c r="AE3534" s="0"/>
    </row>
    <row r="3535" customFormat="false" ht="15" hidden="false" customHeight="false" outlineLevel="0" collapsed="false">
      <c r="A3535" s="13" t="n">
        <f aca="false">1+A3534</f>
        <v>3533</v>
      </c>
      <c r="B3535" s="14" t="n">
        <v>100</v>
      </c>
      <c r="C3535" s="15"/>
      <c r="D3535" s="16" t="s">
        <v>64</v>
      </c>
      <c r="E3535" s="17" t="s">
        <v>47</v>
      </c>
      <c r="F3535" s="18" t="s">
        <v>34</v>
      </c>
      <c r="G3535" s="19"/>
      <c r="H3535" s="17" t="s">
        <v>35</v>
      </c>
      <c r="I3535" s="17" t="s">
        <v>44</v>
      </c>
      <c r="J3535" s="17"/>
      <c r="K3535" s="17" t="e">
        <f aca="false">VLOOKUP(J3535,Sheet2!A:B,2,0)</f>
        <v>#N/A</v>
      </c>
      <c r="L3535" s="17" t="n">
        <v>5</v>
      </c>
      <c r="M3535" s="17" t="str">
        <f aca="false">VLOOKUP(L3535,Sheet2!D:E,2,0)</f>
        <v>Main Processor CPU BGA</v>
      </c>
      <c r="N3535" s="17" t="n">
        <v>1</v>
      </c>
      <c r="O3535" s="17" t="str">
        <f aca="false">VLOOKUP(N3535,Sheet2!G:H,2,0)</f>
        <v>Dead</v>
      </c>
      <c r="P3535" s="17" t="n">
        <v>11</v>
      </c>
      <c r="Q3535" s="17" t="str">
        <f aca="false">VLOOKUP(P3535,Sheet2!J:K,2,0)</f>
        <v>IR Declared due to CID -TA</v>
      </c>
      <c r="R3535" s="17" t="s">
        <v>35</v>
      </c>
      <c r="S3535" s="17" t="str">
        <f aca="false">VLOOKUP(R3535,Sheet2!N:O,2,0)</f>
        <v>IREPARABLE</v>
      </c>
      <c r="T3535" s="18" t="str">
        <f aca="false">VLOOKUP(P3535,Sheet2!Q:R,2,0)</f>
        <v>IR Normal - Track burn out</v>
      </c>
      <c r="U3535" s="20" t="s">
        <v>41</v>
      </c>
      <c r="V3535" s="17"/>
      <c r="W3535" s="20" t="e">
        <f aca="false">VLOOKUP(V3535,Sheet2!Q:R,2,0)</f>
        <v>#N/A</v>
      </c>
      <c r="X3535" s="17" t="n">
        <f aca="false">J3535</f>
        <v>0</v>
      </c>
      <c r="Y3535" s="17" t="e">
        <f aca="false">VLOOKUP(X3535,Sheet2!A:B,2,0)</f>
        <v>#N/A</v>
      </c>
      <c r="Z3535" s="17"/>
      <c r="AA3535" s="17"/>
      <c r="AB3535" s="17" t="s">
        <v>41</v>
      </c>
      <c r="AC3535" s="0" t="str">
        <f aca="false">LEFT(G3535,2)</f>
        <v/>
      </c>
      <c r="AE3535" s="0"/>
    </row>
    <row r="3536" customFormat="false" ht="15" hidden="false" customHeight="false" outlineLevel="0" collapsed="false">
      <c r="A3536" s="13" t="n">
        <f aca="false">1+A3535</f>
        <v>3534</v>
      </c>
      <c r="B3536" s="14" t="n">
        <v>100</v>
      </c>
      <c r="C3536" s="15"/>
      <c r="D3536" s="16" t="s">
        <v>64</v>
      </c>
      <c r="E3536" s="17" t="s">
        <v>47</v>
      </c>
      <c r="F3536" s="18" t="s">
        <v>34</v>
      </c>
      <c r="G3536" s="19"/>
      <c r="H3536" s="17" t="s">
        <v>35</v>
      </c>
      <c r="I3536" s="17" t="s">
        <v>44</v>
      </c>
      <c r="J3536" s="17"/>
      <c r="K3536" s="17" t="e">
        <f aca="false">VLOOKUP(J3536,Sheet2!A:B,2,0)</f>
        <v>#N/A</v>
      </c>
      <c r="L3536" s="17" t="n">
        <v>5</v>
      </c>
      <c r="M3536" s="17" t="str">
        <f aca="false">VLOOKUP(L3536,Sheet2!D:E,2,0)</f>
        <v>Main Processor CPU BGA</v>
      </c>
      <c r="N3536" s="17" t="n">
        <v>1</v>
      </c>
      <c r="O3536" s="17" t="str">
        <f aca="false">VLOOKUP(N3536,Sheet2!G:H,2,0)</f>
        <v>Dead</v>
      </c>
      <c r="P3536" s="17" t="n">
        <v>11</v>
      </c>
      <c r="Q3536" s="17" t="str">
        <f aca="false">VLOOKUP(P3536,Sheet2!J:K,2,0)</f>
        <v>IR Declared due to CID -TA</v>
      </c>
      <c r="R3536" s="17" t="s">
        <v>35</v>
      </c>
      <c r="S3536" s="17" t="str">
        <f aca="false">VLOOKUP(R3536,Sheet2!N:O,2,0)</f>
        <v>IREPARABLE</v>
      </c>
      <c r="T3536" s="18" t="str">
        <f aca="false">VLOOKUP(P3536,Sheet2!Q:R,2,0)</f>
        <v>IR Normal - Track burn out</v>
      </c>
      <c r="U3536" s="20" t="s">
        <v>41</v>
      </c>
      <c r="V3536" s="17"/>
      <c r="W3536" s="20" t="e">
        <f aca="false">VLOOKUP(V3536,Sheet2!Q:R,2,0)</f>
        <v>#N/A</v>
      </c>
      <c r="X3536" s="17" t="n">
        <f aca="false">J3536</f>
        <v>0</v>
      </c>
      <c r="Y3536" s="17" t="e">
        <f aca="false">VLOOKUP(X3536,Sheet2!A:B,2,0)</f>
        <v>#N/A</v>
      </c>
      <c r="Z3536" s="17"/>
      <c r="AA3536" s="17"/>
      <c r="AB3536" s="17" t="s">
        <v>41</v>
      </c>
      <c r="AC3536" s="0" t="str">
        <f aca="false">LEFT(G3536,2)</f>
        <v/>
      </c>
      <c r="AE3536" s="0"/>
    </row>
    <row r="3537" customFormat="false" ht="15" hidden="false" customHeight="false" outlineLevel="0" collapsed="false">
      <c r="A3537" s="13" t="n">
        <f aca="false">1+A3536</f>
        <v>3535</v>
      </c>
      <c r="B3537" s="14" t="n">
        <v>100</v>
      </c>
      <c r="C3537" s="15"/>
      <c r="D3537" s="16" t="s">
        <v>64</v>
      </c>
      <c r="E3537" s="17" t="s">
        <v>47</v>
      </c>
      <c r="F3537" s="18" t="s">
        <v>34</v>
      </c>
      <c r="G3537" s="19"/>
      <c r="H3537" s="17" t="s">
        <v>35</v>
      </c>
      <c r="I3537" s="17" t="s">
        <v>44</v>
      </c>
      <c r="J3537" s="17"/>
      <c r="K3537" s="17" t="e">
        <f aca="false">VLOOKUP(J3537,Sheet2!A:B,2,0)</f>
        <v>#N/A</v>
      </c>
      <c r="L3537" s="17" t="n">
        <v>5</v>
      </c>
      <c r="M3537" s="17" t="str">
        <f aca="false">VLOOKUP(L3537,Sheet2!D:E,2,0)</f>
        <v>Main Processor CPU BGA</v>
      </c>
      <c r="N3537" s="17" t="n">
        <v>1</v>
      </c>
      <c r="O3537" s="17" t="str">
        <f aca="false">VLOOKUP(N3537,Sheet2!G:H,2,0)</f>
        <v>Dead</v>
      </c>
      <c r="P3537" s="17" t="n">
        <v>11</v>
      </c>
      <c r="Q3537" s="17" t="str">
        <f aca="false">VLOOKUP(P3537,Sheet2!J:K,2,0)</f>
        <v>IR Declared due to CID -TA</v>
      </c>
      <c r="R3537" s="17" t="s">
        <v>35</v>
      </c>
      <c r="S3537" s="17" t="str">
        <f aca="false">VLOOKUP(R3537,Sheet2!N:O,2,0)</f>
        <v>IREPARABLE</v>
      </c>
      <c r="T3537" s="18" t="str">
        <f aca="false">VLOOKUP(P3537,Sheet2!Q:R,2,0)</f>
        <v>IR Normal - Track burn out</v>
      </c>
      <c r="U3537" s="20" t="s">
        <v>41</v>
      </c>
      <c r="V3537" s="17"/>
      <c r="W3537" s="20" t="e">
        <f aca="false">VLOOKUP(V3537,Sheet2!Q:R,2,0)</f>
        <v>#N/A</v>
      </c>
      <c r="X3537" s="17" t="n">
        <f aca="false">J3537</f>
        <v>0</v>
      </c>
      <c r="Y3537" s="17" t="e">
        <f aca="false">VLOOKUP(X3537,Sheet2!A:B,2,0)</f>
        <v>#N/A</v>
      </c>
      <c r="Z3537" s="17"/>
      <c r="AA3537" s="17"/>
      <c r="AB3537" s="17" t="s">
        <v>41</v>
      </c>
      <c r="AC3537" s="0" t="str">
        <f aca="false">LEFT(G3537,2)</f>
        <v/>
      </c>
      <c r="AE3537" s="0"/>
    </row>
    <row r="3538" customFormat="false" ht="15" hidden="false" customHeight="false" outlineLevel="0" collapsed="false">
      <c r="A3538" s="13" t="n">
        <f aca="false">1+A3537</f>
        <v>3536</v>
      </c>
      <c r="B3538" s="14" t="n">
        <v>100</v>
      </c>
      <c r="C3538" s="15"/>
      <c r="D3538" s="16" t="s">
        <v>64</v>
      </c>
      <c r="E3538" s="17" t="s">
        <v>47</v>
      </c>
      <c r="F3538" s="18" t="s">
        <v>34</v>
      </c>
      <c r="G3538" s="19"/>
      <c r="H3538" s="17" t="s">
        <v>35</v>
      </c>
      <c r="I3538" s="17" t="s">
        <v>44</v>
      </c>
      <c r="J3538" s="17"/>
      <c r="K3538" s="17" t="e">
        <f aca="false">VLOOKUP(J3538,Sheet2!A:B,2,0)</f>
        <v>#N/A</v>
      </c>
      <c r="L3538" s="17" t="n">
        <v>5</v>
      </c>
      <c r="M3538" s="17" t="str">
        <f aca="false">VLOOKUP(L3538,Sheet2!D:E,2,0)</f>
        <v>Main Processor CPU BGA</v>
      </c>
      <c r="N3538" s="17" t="n">
        <v>1</v>
      </c>
      <c r="O3538" s="17" t="str">
        <f aca="false">VLOOKUP(N3538,Sheet2!G:H,2,0)</f>
        <v>Dead</v>
      </c>
      <c r="P3538" s="17" t="n">
        <v>11</v>
      </c>
      <c r="Q3538" s="17" t="str">
        <f aca="false">VLOOKUP(P3538,Sheet2!J:K,2,0)</f>
        <v>IR Declared due to CID -TA</v>
      </c>
      <c r="R3538" s="17" t="s">
        <v>35</v>
      </c>
      <c r="S3538" s="17" t="str">
        <f aca="false">VLOOKUP(R3538,Sheet2!N:O,2,0)</f>
        <v>IREPARABLE</v>
      </c>
      <c r="T3538" s="18" t="str">
        <f aca="false">VLOOKUP(P3538,Sheet2!Q:R,2,0)</f>
        <v>IR Normal - Track burn out</v>
      </c>
      <c r="U3538" s="20" t="s">
        <v>41</v>
      </c>
      <c r="V3538" s="17"/>
      <c r="W3538" s="20" t="e">
        <f aca="false">VLOOKUP(V3538,Sheet2!Q:R,2,0)</f>
        <v>#N/A</v>
      </c>
      <c r="X3538" s="17" t="n">
        <f aca="false">J3538</f>
        <v>0</v>
      </c>
      <c r="Y3538" s="17" t="e">
        <f aca="false">VLOOKUP(X3538,Sheet2!A:B,2,0)</f>
        <v>#N/A</v>
      </c>
      <c r="Z3538" s="17"/>
      <c r="AA3538" s="17"/>
      <c r="AB3538" s="17" t="s">
        <v>41</v>
      </c>
      <c r="AC3538" s="0" t="str">
        <f aca="false">LEFT(G3538,2)</f>
        <v/>
      </c>
      <c r="AE3538" s="0"/>
    </row>
    <row r="3539" customFormat="false" ht="15" hidden="false" customHeight="false" outlineLevel="0" collapsed="false">
      <c r="A3539" s="13" t="n">
        <f aca="false">1+A3538</f>
        <v>3537</v>
      </c>
      <c r="B3539" s="14" t="n">
        <v>100</v>
      </c>
      <c r="C3539" s="15"/>
      <c r="D3539" s="16" t="s">
        <v>64</v>
      </c>
      <c r="E3539" s="17" t="s">
        <v>47</v>
      </c>
      <c r="F3539" s="18" t="s">
        <v>34</v>
      </c>
      <c r="G3539" s="19"/>
      <c r="H3539" s="17" t="s">
        <v>35</v>
      </c>
      <c r="I3539" s="17" t="s">
        <v>44</v>
      </c>
      <c r="J3539" s="17"/>
      <c r="K3539" s="17" t="e">
        <f aca="false">VLOOKUP(J3539,Sheet2!A:B,2,0)</f>
        <v>#N/A</v>
      </c>
      <c r="L3539" s="17" t="n">
        <v>5</v>
      </c>
      <c r="M3539" s="17" t="str">
        <f aca="false">VLOOKUP(L3539,Sheet2!D:E,2,0)</f>
        <v>Main Processor CPU BGA</v>
      </c>
      <c r="N3539" s="17" t="n">
        <v>1</v>
      </c>
      <c r="O3539" s="17" t="str">
        <f aca="false">VLOOKUP(N3539,Sheet2!G:H,2,0)</f>
        <v>Dead</v>
      </c>
      <c r="P3539" s="17" t="n">
        <v>11</v>
      </c>
      <c r="Q3539" s="17" t="str">
        <f aca="false">VLOOKUP(P3539,Sheet2!J:K,2,0)</f>
        <v>IR Declared due to CID -TA</v>
      </c>
      <c r="R3539" s="17" t="s">
        <v>35</v>
      </c>
      <c r="S3539" s="17" t="str">
        <f aca="false">VLOOKUP(R3539,Sheet2!N:O,2,0)</f>
        <v>IREPARABLE</v>
      </c>
      <c r="T3539" s="18" t="str">
        <f aca="false">VLOOKUP(P3539,Sheet2!Q:R,2,0)</f>
        <v>IR Normal - Track burn out</v>
      </c>
      <c r="U3539" s="20" t="s">
        <v>41</v>
      </c>
      <c r="V3539" s="17"/>
      <c r="W3539" s="20" t="e">
        <f aca="false">VLOOKUP(V3539,Sheet2!Q:R,2,0)</f>
        <v>#N/A</v>
      </c>
      <c r="X3539" s="17" t="n">
        <f aca="false">J3539</f>
        <v>0</v>
      </c>
      <c r="Y3539" s="17" t="e">
        <f aca="false">VLOOKUP(X3539,Sheet2!A:B,2,0)</f>
        <v>#N/A</v>
      </c>
      <c r="Z3539" s="17"/>
      <c r="AA3539" s="17"/>
      <c r="AB3539" s="17" t="s">
        <v>41</v>
      </c>
      <c r="AC3539" s="0" t="str">
        <f aca="false">LEFT(G3539,2)</f>
        <v/>
      </c>
      <c r="AE3539" s="0"/>
    </row>
    <row r="3540" customFormat="false" ht="15" hidden="false" customHeight="false" outlineLevel="0" collapsed="false">
      <c r="A3540" s="13" t="n">
        <f aca="false">1+A3539</f>
        <v>3538</v>
      </c>
      <c r="B3540" s="14" t="n">
        <v>100</v>
      </c>
      <c r="C3540" s="15"/>
      <c r="D3540" s="16" t="s">
        <v>64</v>
      </c>
      <c r="E3540" s="17" t="s">
        <v>47</v>
      </c>
      <c r="F3540" s="18" t="s">
        <v>34</v>
      </c>
      <c r="G3540" s="19"/>
      <c r="H3540" s="17" t="s">
        <v>35</v>
      </c>
      <c r="I3540" s="17" t="s">
        <v>44</v>
      </c>
      <c r="J3540" s="17"/>
      <c r="K3540" s="17" t="e">
        <f aca="false">VLOOKUP(J3540,Sheet2!A:B,2,0)</f>
        <v>#N/A</v>
      </c>
      <c r="L3540" s="17" t="n">
        <v>5</v>
      </c>
      <c r="M3540" s="17" t="str">
        <f aca="false">VLOOKUP(L3540,Sheet2!D:E,2,0)</f>
        <v>Main Processor CPU BGA</v>
      </c>
      <c r="N3540" s="17" t="n">
        <v>1</v>
      </c>
      <c r="O3540" s="17" t="str">
        <f aca="false">VLOOKUP(N3540,Sheet2!G:H,2,0)</f>
        <v>Dead</v>
      </c>
      <c r="P3540" s="17" t="n">
        <v>11</v>
      </c>
      <c r="Q3540" s="17" t="str">
        <f aca="false">VLOOKUP(P3540,Sheet2!J:K,2,0)</f>
        <v>IR Declared due to CID -TA</v>
      </c>
      <c r="R3540" s="17" t="s">
        <v>35</v>
      </c>
      <c r="S3540" s="17" t="str">
        <f aca="false">VLOOKUP(R3540,Sheet2!N:O,2,0)</f>
        <v>IREPARABLE</v>
      </c>
      <c r="T3540" s="18" t="str">
        <f aca="false">VLOOKUP(P3540,Sheet2!Q:R,2,0)</f>
        <v>IR Normal - Track burn out</v>
      </c>
      <c r="U3540" s="20" t="s">
        <v>41</v>
      </c>
      <c r="V3540" s="17"/>
      <c r="W3540" s="20" t="e">
        <f aca="false">VLOOKUP(V3540,Sheet2!Q:R,2,0)</f>
        <v>#N/A</v>
      </c>
      <c r="X3540" s="17" t="n">
        <f aca="false">J3540</f>
        <v>0</v>
      </c>
      <c r="Y3540" s="17" t="e">
        <f aca="false">VLOOKUP(X3540,Sheet2!A:B,2,0)</f>
        <v>#N/A</v>
      </c>
      <c r="Z3540" s="17"/>
      <c r="AA3540" s="17"/>
      <c r="AB3540" s="17" t="s">
        <v>41</v>
      </c>
      <c r="AC3540" s="0" t="str">
        <f aca="false">LEFT(G3540,2)</f>
        <v/>
      </c>
      <c r="AE3540" s="0"/>
    </row>
    <row r="3541" customFormat="false" ht="15" hidden="false" customHeight="false" outlineLevel="0" collapsed="false">
      <c r="A3541" s="13" t="n">
        <f aca="false">1+A3540</f>
        <v>3539</v>
      </c>
      <c r="B3541" s="14" t="n">
        <v>100</v>
      </c>
      <c r="C3541" s="15"/>
      <c r="D3541" s="16" t="s">
        <v>64</v>
      </c>
      <c r="E3541" s="17" t="s">
        <v>47</v>
      </c>
      <c r="F3541" s="18" t="s">
        <v>34</v>
      </c>
      <c r="G3541" s="19"/>
      <c r="H3541" s="17" t="s">
        <v>35</v>
      </c>
      <c r="I3541" s="17" t="s">
        <v>44</v>
      </c>
      <c r="J3541" s="17"/>
      <c r="K3541" s="17" t="e">
        <f aca="false">VLOOKUP(J3541,Sheet2!A:B,2,0)</f>
        <v>#N/A</v>
      </c>
      <c r="L3541" s="17" t="n">
        <v>5</v>
      </c>
      <c r="M3541" s="17" t="str">
        <f aca="false">VLOOKUP(L3541,Sheet2!D:E,2,0)</f>
        <v>Main Processor CPU BGA</v>
      </c>
      <c r="N3541" s="17" t="n">
        <v>1</v>
      </c>
      <c r="O3541" s="17" t="str">
        <f aca="false">VLOOKUP(N3541,Sheet2!G:H,2,0)</f>
        <v>Dead</v>
      </c>
      <c r="P3541" s="17" t="n">
        <v>11</v>
      </c>
      <c r="Q3541" s="17" t="str">
        <f aca="false">VLOOKUP(P3541,Sheet2!J:K,2,0)</f>
        <v>IR Declared due to CID -TA</v>
      </c>
      <c r="R3541" s="17" t="s">
        <v>35</v>
      </c>
      <c r="S3541" s="17" t="str">
        <f aca="false">VLOOKUP(R3541,Sheet2!N:O,2,0)</f>
        <v>IREPARABLE</v>
      </c>
      <c r="T3541" s="18" t="str">
        <f aca="false">VLOOKUP(P3541,Sheet2!Q:R,2,0)</f>
        <v>IR Normal - Track burn out</v>
      </c>
      <c r="U3541" s="20" t="s">
        <v>41</v>
      </c>
      <c r="V3541" s="17"/>
      <c r="W3541" s="20" t="e">
        <f aca="false">VLOOKUP(V3541,Sheet2!Q:R,2,0)</f>
        <v>#N/A</v>
      </c>
      <c r="X3541" s="17" t="n">
        <f aca="false">J3541</f>
        <v>0</v>
      </c>
      <c r="Y3541" s="17" t="e">
        <f aca="false">VLOOKUP(X3541,Sheet2!A:B,2,0)</f>
        <v>#N/A</v>
      </c>
      <c r="Z3541" s="17"/>
      <c r="AA3541" s="17"/>
      <c r="AB3541" s="17" t="s">
        <v>41</v>
      </c>
      <c r="AC3541" s="0" t="str">
        <f aca="false">LEFT(G3541,2)</f>
        <v/>
      </c>
      <c r="AE3541" s="0"/>
    </row>
    <row r="3542" customFormat="false" ht="15" hidden="false" customHeight="false" outlineLevel="0" collapsed="false">
      <c r="A3542" s="13" t="n">
        <f aca="false">1+A3541</f>
        <v>3540</v>
      </c>
      <c r="B3542" s="14" t="n">
        <v>100</v>
      </c>
      <c r="C3542" s="15"/>
      <c r="D3542" s="16" t="s">
        <v>64</v>
      </c>
      <c r="E3542" s="17" t="s">
        <v>47</v>
      </c>
      <c r="F3542" s="18" t="s">
        <v>34</v>
      </c>
      <c r="G3542" s="19"/>
      <c r="H3542" s="17" t="s">
        <v>35</v>
      </c>
      <c r="I3542" s="17" t="s">
        <v>44</v>
      </c>
      <c r="J3542" s="17"/>
      <c r="K3542" s="17" t="e">
        <f aca="false">VLOOKUP(J3542,Sheet2!A:B,2,0)</f>
        <v>#N/A</v>
      </c>
      <c r="L3542" s="17" t="n">
        <v>5</v>
      </c>
      <c r="M3542" s="17" t="str">
        <f aca="false">VLOOKUP(L3542,Sheet2!D:E,2,0)</f>
        <v>Main Processor CPU BGA</v>
      </c>
      <c r="N3542" s="17" t="n">
        <v>1</v>
      </c>
      <c r="O3542" s="17" t="str">
        <f aca="false">VLOOKUP(N3542,Sheet2!G:H,2,0)</f>
        <v>Dead</v>
      </c>
      <c r="P3542" s="17" t="n">
        <v>11</v>
      </c>
      <c r="Q3542" s="17" t="str">
        <f aca="false">VLOOKUP(P3542,Sheet2!J:K,2,0)</f>
        <v>IR Declared due to CID -TA</v>
      </c>
      <c r="R3542" s="17" t="s">
        <v>35</v>
      </c>
      <c r="S3542" s="17" t="str">
        <f aca="false">VLOOKUP(R3542,Sheet2!N:O,2,0)</f>
        <v>IREPARABLE</v>
      </c>
      <c r="T3542" s="18" t="str">
        <f aca="false">VLOOKUP(P3542,Sheet2!Q:R,2,0)</f>
        <v>IR Normal - Track burn out</v>
      </c>
      <c r="U3542" s="20" t="s">
        <v>41</v>
      </c>
      <c r="V3542" s="17"/>
      <c r="W3542" s="20" t="e">
        <f aca="false">VLOOKUP(V3542,Sheet2!Q:R,2,0)</f>
        <v>#N/A</v>
      </c>
      <c r="X3542" s="17" t="n">
        <f aca="false">J3542</f>
        <v>0</v>
      </c>
      <c r="Y3542" s="17" t="e">
        <f aca="false">VLOOKUP(X3542,Sheet2!A:B,2,0)</f>
        <v>#N/A</v>
      </c>
      <c r="Z3542" s="17"/>
      <c r="AA3542" s="17"/>
      <c r="AB3542" s="17" t="s">
        <v>41</v>
      </c>
      <c r="AC3542" s="0" t="str">
        <f aca="false">LEFT(G3542,2)</f>
        <v/>
      </c>
      <c r="AE3542" s="0"/>
    </row>
    <row r="3543" customFormat="false" ht="15" hidden="false" customHeight="false" outlineLevel="0" collapsed="false">
      <c r="A3543" s="13" t="n">
        <f aca="false">1+A3542</f>
        <v>3541</v>
      </c>
      <c r="B3543" s="14" t="n">
        <v>100</v>
      </c>
      <c r="C3543" s="15"/>
      <c r="D3543" s="16" t="s">
        <v>64</v>
      </c>
      <c r="E3543" s="17" t="s">
        <v>47</v>
      </c>
      <c r="F3543" s="18" t="s">
        <v>34</v>
      </c>
      <c r="G3543" s="19"/>
      <c r="H3543" s="17" t="s">
        <v>35</v>
      </c>
      <c r="I3543" s="17" t="s">
        <v>44</v>
      </c>
      <c r="J3543" s="17"/>
      <c r="K3543" s="17" t="e">
        <f aca="false">VLOOKUP(J3543,Sheet2!A:B,2,0)</f>
        <v>#N/A</v>
      </c>
      <c r="L3543" s="17" t="n">
        <v>5</v>
      </c>
      <c r="M3543" s="17" t="str">
        <f aca="false">VLOOKUP(L3543,Sheet2!D:E,2,0)</f>
        <v>Main Processor CPU BGA</v>
      </c>
      <c r="N3543" s="17" t="n">
        <v>1</v>
      </c>
      <c r="O3543" s="17" t="str">
        <f aca="false">VLOOKUP(N3543,Sheet2!G:H,2,0)</f>
        <v>Dead</v>
      </c>
      <c r="P3543" s="17" t="n">
        <v>11</v>
      </c>
      <c r="Q3543" s="17" t="str">
        <f aca="false">VLOOKUP(P3543,Sheet2!J:K,2,0)</f>
        <v>IR Declared due to CID -TA</v>
      </c>
      <c r="R3543" s="17" t="s">
        <v>35</v>
      </c>
      <c r="S3543" s="17" t="str">
        <f aca="false">VLOOKUP(R3543,Sheet2!N:O,2,0)</f>
        <v>IREPARABLE</v>
      </c>
      <c r="T3543" s="18" t="str">
        <f aca="false">VLOOKUP(P3543,Sheet2!Q:R,2,0)</f>
        <v>IR Normal - Track burn out</v>
      </c>
      <c r="U3543" s="20" t="s">
        <v>41</v>
      </c>
      <c r="V3543" s="17"/>
      <c r="W3543" s="20" t="e">
        <f aca="false">VLOOKUP(V3543,Sheet2!Q:R,2,0)</f>
        <v>#N/A</v>
      </c>
      <c r="X3543" s="17" t="n">
        <f aca="false">J3543</f>
        <v>0</v>
      </c>
      <c r="Y3543" s="17" t="e">
        <f aca="false">VLOOKUP(X3543,Sheet2!A:B,2,0)</f>
        <v>#N/A</v>
      </c>
      <c r="Z3543" s="17"/>
      <c r="AA3543" s="17"/>
      <c r="AB3543" s="17" t="s">
        <v>41</v>
      </c>
      <c r="AC3543" s="0" t="str">
        <f aca="false">LEFT(G3543,2)</f>
        <v/>
      </c>
      <c r="AE3543" s="0"/>
    </row>
    <row r="3544" customFormat="false" ht="15" hidden="false" customHeight="false" outlineLevel="0" collapsed="false">
      <c r="A3544" s="13" t="n">
        <f aca="false">1+A3543</f>
        <v>3542</v>
      </c>
      <c r="B3544" s="14" t="n">
        <v>100</v>
      </c>
      <c r="C3544" s="15"/>
      <c r="D3544" s="16" t="s">
        <v>64</v>
      </c>
      <c r="E3544" s="17" t="s">
        <v>47</v>
      </c>
      <c r="F3544" s="18" t="s">
        <v>34</v>
      </c>
      <c r="G3544" s="19"/>
      <c r="H3544" s="17" t="s">
        <v>35</v>
      </c>
      <c r="I3544" s="17" t="s">
        <v>44</v>
      </c>
      <c r="J3544" s="17"/>
      <c r="K3544" s="17" t="e">
        <f aca="false">VLOOKUP(J3544,Sheet2!A:B,2,0)</f>
        <v>#N/A</v>
      </c>
      <c r="L3544" s="17" t="n">
        <v>5</v>
      </c>
      <c r="M3544" s="17" t="str">
        <f aca="false">VLOOKUP(L3544,Sheet2!D:E,2,0)</f>
        <v>Main Processor CPU BGA</v>
      </c>
      <c r="N3544" s="17" t="n">
        <v>1</v>
      </c>
      <c r="O3544" s="17" t="str">
        <f aca="false">VLOOKUP(N3544,Sheet2!G:H,2,0)</f>
        <v>Dead</v>
      </c>
      <c r="P3544" s="17" t="n">
        <v>11</v>
      </c>
      <c r="Q3544" s="17" t="str">
        <f aca="false">VLOOKUP(P3544,Sheet2!J:K,2,0)</f>
        <v>IR Declared due to CID -TA</v>
      </c>
      <c r="R3544" s="17" t="s">
        <v>35</v>
      </c>
      <c r="S3544" s="17" t="str">
        <f aca="false">VLOOKUP(R3544,Sheet2!N:O,2,0)</f>
        <v>IREPARABLE</v>
      </c>
      <c r="T3544" s="18" t="str">
        <f aca="false">VLOOKUP(P3544,Sheet2!Q:R,2,0)</f>
        <v>IR Normal - Track burn out</v>
      </c>
      <c r="U3544" s="20" t="s">
        <v>41</v>
      </c>
      <c r="V3544" s="17"/>
      <c r="W3544" s="20" t="e">
        <f aca="false">VLOOKUP(V3544,Sheet2!Q:R,2,0)</f>
        <v>#N/A</v>
      </c>
      <c r="X3544" s="17" t="n">
        <f aca="false">J3544</f>
        <v>0</v>
      </c>
      <c r="Y3544" s="17" t="e">
        <f aca="false">VLOOKUP(X3544,Sheet2!A:B,2,0)</f>
        <v>#N/A</v>
      </c>
      <c r="Z3544" s="17"/>
      <c r="AA3544" s="17"/>
      <c r="AB3544" s="17" t="s">
        <v>41</v>
      </c>
      <c r="AC3544" s="0" t="str">
        <f aca="false">LEFT(G3544,2)</f>
        <v/>
      </c>
      <c r="AE3544" s="0"/>
    </row>
    <row r="3545" customFormat="false" ht="15" hidden="false" customHeight="false" outlineLevel="0" collapsed="false">
      <c r="A3545" s="13" t="n">
        <f aca="false">1+A3544</f>
        <v>3543</v>
      </c>
      <c r="B3545" s="14" t="n">
        <v>100</v>
      </c>
      <c r="C3545" s="15"/>
      <c r="D3545" s="16" t="s">
        <v>64</v>
      </c>
      <c r="E3545" s="17" t="s">
        <v>47</v>
      </c>
      <c r="F3545" s="18" t="s">
        <v>34</v>
      </c>
      <c r="G3545" s="19"/>
      <c r="H3545" s="17" t="s">
        <v>35</v>
      </c>
      <c r="I3545" s="17" t="s">
        <v>44</v>
      </c>
      <c r="J3545" s="17"/>
      <c r="K3545" s="17" t="e">
        <f aca="false">VLOOKUP(J3545,Sheet2!A:B,2,0)</f>
        <v>#N/A</v>
      </c>
      <c r="L3545" s="17" t="n">
        <v>5</v>
      </c>
      <c r="M3545" s="17" t="str">
        <f aca="false">VLOOKUP(L3545,Sheet2!D:E,2,0)</f>
        <v>Main Processor CPU BGA</v>
      </c>
      <c r="N3545" s="17" t="n">
        <v>1</v>
      </c>
      <c r="O3545" s="17" t="str">
        <f aca="false">VLOOKUP(N3545,Sheet2!G:H,2,0)</f>
        <v>Dead</v>
      </c>
      <c r="P3545" s="17" t="n">
        <v>11</v>
      </c>
      <c r="Q3545" s="17" t="str">
        <f aca="false">VLOOKUP(P3545,Sheet2!J:K,2,0)</f>
        <v>IR Declared due to CID -TA</v>
      </c>
      <c r="R3545" s="17" t="s">
        <v>35</v>
      </c>
      <c r="S3545" s="17" t="str">
        <f aca="false">VLOOKUP(R3545,Sheet2!N:O,2,0)</f>
        <v>IREPARABLE</v>
      </c>
      <c r="T3545" s="18" t="str">
        <f aca="false">VLOOKUP(P3545,Sheet2!Q:R,2,0)</f>
        <v>IR Normal - Track burn out</v>
      </c>
      <c r="U3545" s="20" t="s">
        <v>41</v>
      </c>
      <c r="V3545" s="17"/>
      <c r="W3545" s="20" t="e">
        <f aca="false">VLOOKUP(V3545,Sheet2!Q:R,2,0)</f>
        <v>#N/A</v>
      </c>
      <c r="X3545" s="17" t="n">
        <f aca="false">J3545</f>
        <v>0</v>
      </c>
      <c r="Y3545" s="17" t="e">
        <f aca="false">VLOOKUP(X3545,Sheet2!A:B,2,0)</f>
        <v>#N/A</v>
      </c>
      <c r="Z3545" s="17"/>
      <c r="AA3545" s="17"/>
      <c r="AB3545" s="17" t="s">
        <v>41</v>
      </c>
      <c r="AC3545" s="0" t="str">
        <f aca="false">LEFT(G3545,2)</f>
        <v/>
      </c>
      <c r="AE3545" s="0"/>
    </row>
    <row r="3546" customFormat="false" ht="15" hidden="false" customHeight="false" outlineLevel="0" collapsed="false">
      <c r="A3546" s="13" t="n">
        <f aca="false">1+A3545</f>
        <v>3544</v>
      </c>
      <c r="B3546" s="14" t="n">
        <v>100</v>
      </c>
      <c r="C3546" s="15"/>
      <c r="D3546" s="16" t="s">
        <v>64</v>
      </c>
      <c r="E3546" s="17" t="s">
        <v>47</v>
      </c>
      <c r="F3546" s="18" t="s">
        <v>34</v>
      </c>
      <c r="G3546" s="19"/>
      <c r="H3546" s="17" t="s">
        <v>35</v>
      </c>
      <c r="I3546" s="17" t="s">
        <v>44</v>
      </c>
      <c r="J3546" s="17"/>
      <c r="K3546" s="17" t="e">
        <f aca="false">VLOOKUP(J3546,Sheet2!A:B,2,0)</f>
        <v>#N/A</v>
      </c>
      <c r="L3546" s="17" t="n">
        <v>5</v>
      </c>
      <c r="M3546" s="17" t="str">
        <f aca="false">VLOOKUP(L3546,Sheet2!D:E,2,0)</f>
        <v>Main Processor CPU BGA</v>
      </c>
      <c r="N3546" s="17" t="n">
        <v>1</v>
      </c>
      <c r="O3546" s="17" t="str">
        <f aca="false">VLOOKUP(N3546,Sheet2!G:H,2,0)</f>
        <v>Dead</v>
      </c>
      <c r="P3546" s="17" t="n">
        <v>11</v>
      </c>
      <c r="Q3546" s="17" t="str">
        <f aca="false">VLOOKUP(P3546,Sheet2!J:K,2,0)</f>
        <v>IR Declared due to CID -TA</v>
      </c>
      <c r="R3546" s="17" t="s">
        <v>35</v>
      </c>
      <c r="S3546" s="17" t="str">
        <f aca="false">VLOOKUP(R3546,Sheet2!N:O,2,0)</f>
        <v>IREPARABLE</v>
      </c>
      <c r="T3546" s="18" t="str">
        <f aca="false">VLOOKUP(P3546,Sheet2!Q:R,2,0)</f>
        <v>IR Normal - Track burn out</v>
      </c>
      <c r="U3546" s="20" t="s">
        <v>41</v>
      </c>
      <c r="V3546" s="17"/>
      <c r="W3546" s="20" t="e">
        <f aca="false">VLOOKUP(V3546,Sheet2!Q:R,2,0)</f>
        <v>#N/A</v>
      </c>
      <c r="X3546" s="17" t="n">
        <f aca="false">J3546</f>
        <v>0</v>
      </c>
      <c r="Y3546" s="17" t="e">
        <f aca="false">VLOOKUP(X3546,Sheet2!A:B,2,0)</f>
        <v>#N/A</v>
      </c>
      <c r="Z3546" s="17"/>
      <c r="AA3546" s="17"/>
      <c r="AB3546" s="17" t="s">
        <v>41</v>
      </c>
      <c r="AC3546" s="0" t="str">
        <f aca="false">LEFT(G3546,2)</f>
        <v/>
      </c>
      <c r="AE3546" s="0"/>
    </row>
    <row r="3547" customFormat="false" ht="15" hidden="false" customHeight="false" outlineLevel="0" collapsed="false">
      <c r="A3547" s="13" t="n">
        <f aca="false">1+A3546</f>
        <v>3545</v>
      </c>
      <c r="B3547" s="14" t="n">
        <v>100</v>
      </c>
      <c r="C3547" s="15"/>
      <c r="D3547" s="16" t="s">
        <v>64</v>
      </c>
      <c r="E3547" s="17" t="s">
        <v>47</v>
      </c>
      <c r="F3547" s="18" t="s">
        <v>34</v>
      </c>
      <c r="G3547" s="19"/>
      <c r="H3547" s="17" t="s">
        <v>35</v>
      </c>
      <c r="I3547" s="17" t="s">
        <v>44</v>
      </c>
      <c r="J3547" s="17"/>
      <c r="K3547" s="17" t="e">
        <f aca="false">VLOOKUP(J3547,Sheet2!A:B,2,0)</f>
        <v>#N/A</v>
      </c>
      <c r="L3547" s="17" t="n">
        <v>5</v>
      </c>
      <c r="M3547" s="17" t="str">
        <f aca="false">VLOOKUP(L3547,Sheet2!D:E,2,0)</f>
        <v>Main Processor CPU BGA</v>
      </c>
      <c r="N3547" s="17" t="n">
        <v>1</v>
      </c>
      <c r="O3547" s="17" t="str">
        <f aca="false">VLOOKUP(N3547,Sheet2!G:H,2,0)</f>
        <v>Dead</v>
      </c>
      <c r="P3547" s="17" t="n">
        <v>11</v>
      </c>
      <c r="Q3547" s="17" t="str">
        <f aca="false">VLOOKUP(P3547,Sheet2!J:K,2,0)</f>
        <v>IR Declared due to CID -TA</v>
      </c>
      <c r="R3547" s="17" t="s">
        <v>35</v>
      </c>
      <c r="S3547" s="17" t="str">
        <f aca="false">VLOOKUP(R3547,Sheet2!N:O,2,0)</f>
        <v>IREPARABLE</v>
      </c>
      <c r="T3547" s="18" t="str">
        <f aca="false">VLOOKUP(P3547,Sheet2!Q:R,2,0)</f>
        <v>IR Normal - Track burn out</v>
      </c>
      <c r="U3547" s="20" t="s">
        <v>41</v>
      </c>
      <c r="V3547" s="17"/>
      <c r="W3547" s="20" t="e">
        <f aca="false">VLOOKUP(V3547,Sheet2!Q:R,2,0)</f>
        <v>#N/A</v>
      </c>
      <c r="X3547" s="17" t="n">
        <f aca="false">J3547</f>
        <v>0</v>
      </c>
      <c r="Y3547" s="17" t="e">
        <f aca="false">VLOOKUP(X3547,Sheet2!A:B,2,0)</f>
        <v>#N/A</v>
      </c>
      <c r="Z3547" s="17"/>
      <c r="AA3547" s="17"/>
      <c r="AB3547" s="17" t="s">
        <v>41</v>
      </c>
      <c r="AC3547" s="0" t="str">
        <f aca="false">LEFT(G3547,2)</f>
        <v/>
      </c>
      <c r="AE3547" s="0"/>
    </row>
    <row r="3548" customFormat="false" ht="15" hidden="false" customHeight="false" outlineLevel="0" collapsed="false">
      <c r="A3548" s="13" t="n">
        <f aca="false">1+A3547</f>
        <v>3546</v>
      </c>
      <c r="B3548" s="14" t="n">
        <v>100</v>
      </c>
      <c r="C3548" s="15"/>
      <c r="D3548" s="16" t="s">
        <v>64</v>
      </c>
      <c r="E3548" s="17" t="s">
        <v>47</v>
      </c>
      <c r="F3548" s="18" t="s">
        <v>34</v>
      </c>
      <c r="G3548" s="19"/>
      <c r="H3548" s="17" t="s">
        <v>35</v>
      </c>
      <c r="I3548" s="17" t="s">
        <v>44</v>
      </c>
      <c r="J3548" s="17"/>
      <c r="K3548" s="17" t="e">
        <f aca="false">VLOOKUP(J3548,Sheet2!A:B,2,0)</f>
        <v>#N/A</v>
      </c>
      <c r="L3548" s="17" t="n">
        <v>5</v>
      </c>
      <c r="M3548" s="17" t="str">
        <f aca="false">VLOOKUP(L3548,Sheet2!D:E,2,0)</f>
        <v>Main Processor CPU BGA</v>
      </c>
      <c r="N3548" s="17" t="n">
        <v>1</v>
      </c>
      <c r="O3548" s="17" t="str">
        <f aca="false">VLOOKUP(N3548,Sheet2!G:H,2,0)</f>
        <v>Dead</v>
      </c>
      <c r="P3548" s="17" t="n">
        <v>11</v>
      </c>
      <c r="Q3548" s="17" t="str">
        <f aca="false">VLOOKUP(P3548,Sheet2!J:K,2,0)</f>
        <v>IR Declared due to CID -TA</v>
      </c>
      <c r="R3548" s="17" t="s">
        <v>35</v>
      </c>
      <c r="S3548" s="17" t="str">
        <f aca="false">VLOOKUP(R3548,Sheet2!N:O,2,0)</f>
        <v>IREPARABLE</v>
      </c>
      <c r="T3548" s="18" t="str">
        <f aca="false">VLOOKUP(P3548,Sheet2!Q:R,2,0)</f>
        <v>IR Normal - Track burn out</v>
      </c>
      <c r="U3548" s="20" t="s">
        <v>41</v>
      </c>
      <c r="V3548" s="17"/>
      <c r="W3548" s="20" t="e">
        <f aca="false">VLOOKUP(V3548,Sheet2!Q:R,2,0)</f>
        <v>#N/A</v>
      </c>
      <c r="X3548" s="17" t="n">
        <f aca="false">J3548</f>
        <v>0</v>
      </c>
      <c r="Y3548" s="17" t="e">
        <f aca="false">VLOOKUP(X3548,Sheet2!A:B,2,0)</f>
        <v>#N/A</v>
      </c>
      <c r="Z3548" s="17"/>
      <c r="AA3548" s="17"/>
      <c r="AB3548" s="17" t="s">
        <v>41</v>
      </c>
      <c r="AC3548" s="0" t="str">
        <f aca="false">LEFT(G3548,2)</f>
        <v/>
      </c>
      <c r="AE3548" s="0"/>
    </row>
    <row r="3549" customFormat="false" ht="15" hidden="false" customHeight="false" outlineLevel="0" collapsed="false">
      <c r="A3549" s="13" t="n">
        <f aca="false">1+A3548</f>
        <v>3547</v>
      </c>
      <c r="B3549" s="14" t="n">
        <v>100</v>
      </c>
      <c r="C3549" s="15"/>
      <c r="D3549" s="16" t="s">
        <v>64</v>
      </c>
      <c r="E3549" s="17" t="s">
        <v>47</v>
      </c>
      <c r="F3549" s="18" t="s">
        <v>34</v>
      </c>
      <c r="G3549" s="19"/>
      <c r="H3549" s="17" t="s">
        <v>35</v>
      </c>
      <c r="I3549" s="17" t="s">
        <v>44</v>
      </c>
      <c r="J3549" s="17"/>
      <c r="K3549" s="17" t="e">
        <f aca="false">VLOOKUP(J3549,Sheet2!A:B,2,0)</f>
        <v>#N/A</v>
      </c>
      <c r="L3549" s="17" t="n">
        <v>5</v>
      </c>
      <c r="M3549" s="17" t="str">
        <f aca="false">VLOOKUP(L3549,Sheet2!D:E,2,0)</f>
        <v>Main Processor CPU BGA</v>
      </c>
      <c r="N3549" s="17" t="n">
        <v>1</v>
      </c>
      <c r="O3549" s="17" t="str">
        <f aca="false">VLOOKUP(N3549,Sheet2!G:H,2,0)</f>
        <v>Dead</v>
      </c>
      <c r="P3549" s="17" t="n">
        <v>11</v>
      </c>
      <c r="Q3549" s="17" t="str">
        <f aca="false">VLOOKUP(P3549,Sheet2!J:K,2,0)</f>
        <v>IR Declared due to CID -TA</v>
      </c>
      <c r="R3549" s="17" t="s">
        <v>35</v>
      </c>
      <c r="S3549" s="17" t="str">
        <f aca="false">VLOOKUP(R3549,Sheet2!N:O,2,0)</f>
        <v>IREPARABLE</v>
      </c>
      <c r="T3549" s="18" t="str">
        <f aca="false">VLOOKUP(P3549,Sheet2!Q:R,2,0)</f>
        <v>IR Normal - Track burn out</v>
      </c>
      <c r="U3549" s="20" t="s">
        <v>41</v>
      </c>
      <c r="V3549" s="17"/>
      <c r="W3549" s="20" t="e">
        <f aca="false">VLOOKUP(V3549,Sheet2!Q:R,2,0)</f>
        <v>#N/A</v>
      </c>
      <c r="X3549" s="17" t="n">
        <f aca="false">J3549</f>
        <v>0</v>
      </c>
      <c r="Y3549" s="17" t="e">
        <f aca="false">VLOOKUP(X3549,Sheet2!A:B,2,0)</f>
        <v>#N/A</v>
      </c>
      <c r="Z3549" s="17"/>
      <c r="AA3549" s="17"/>
      <c r="AB3549" s="17" t="s">
        <v>41</v>
      </c>
      <c r="AC3549" s="0" t="str">
        <f aca="false">LEFT(G3549,2)</f>
        <v/>
      </c>
      <c r="AE3549" s="0"/>
    </row>
    <row r="3550" customFormat="false" ht="15" hidden="false" customHeight="false" outlineLevel="0" collapsed="false">
      <c r="A3550" s="13" t="n">
        <f aca="false">1+A3549</f>
        <v>3548</v>
      </c>
      <c r="B3550" s="14" t="n">
        <v>100</v>
      </c>
      <c r="C3550" s="15"/>
      <c r="D3550" s="16" t="s">
        <v>64</v>
      </c>
      <c r="E3550" s="17" t="s">
        <v>47</v>
      </c>
      <c r="F3550" s="18" t="s">
        <v>34</v>
      </c>
      <c r="G3550" s="19"/>
      <c r="H3550" s="17" t="s">
        <v>35</v>
      </c>
      <c r="I3550" s="17" t="s">
        <v>44</v>
      </c>
      <c r="J3550" s="17"/>
      <c r="K3550" s="17" t="e">
        <f aca="false">VLOOKUP(J3550,Sheet2!A:B,2,0)</f>
        <v>#N/A</v>
      </c>
      <c r="L3550" s="17" t="n">
        <v>5</v>
      </c>
      <c r="M3550" s="17" t="str">
        <f aca="false">VLOOKUP(L3550,Sheet2!D:E,2,0)</f>
        <v>Main Processor CPU BGA</v>
      </c>
      <c r="N3550" s="17" t="n">
        <v>1</v>
      </c>
      <c r="O3550" s="17" t="str">
        <f aca="false">VLOOKUP(N3550,Sheet2!G:H,2,0)</f>
        <v>Dead</v>
      </c>
      <c r="P3550" s="17" t="n">
        <v>11</v>
      </c>
      <c r="Q3550" s="17" t="str">
        <f aca="false">VLOOKUP(P3550,Sheet2!J:K,2,0)</f>
        <v>IR Declared due to CID -TA</v>
      </c>
      <c r="R3550" s="17" t="s">
        <v>35</v>
      </c>
      <c r="S3550" s="17" t="str">
        <f aca="false">VLOOKUP(R3550,Sheet2!N:O,2,0)</f>
        <v>IREPARABLE</v>
      </c>
      <c r="T3550" s="18" t="str">
        <f aca="false">VLOOKUP(P3550,Sheet2!Q:R,2,0)</f>
        <v>IR Normal - Track burn out</v>
      </c>
      <c r="U3550" s="20" t="s">
        <v>41</v>
      </c>
      <c r="V3550" s="17"/>
      <c r="W3550" s="20" t="e">
        <f aca="false">VLOOKUP(V3550,Sheet2!Q:R,2,0)</f>
        <v>#N/A</v>
      </c>
      <c r="X3550" s="17" t="n">
        <f aca="false">J3550</f>
        <v>0</v>
      </c>
      <c r="Y3550" s="17" t="e">
        <f aca="false">VLOOKUP(X3550,Sheet2!A:B,2,0)</f>
        <v>#N/A</v>
      </c>
      <c r="Z3550" s="17"/>
      <c r="AA3550" s="17"/>
      <c r="AB3550" s="17" t="s">
        <v>41</v>
      </c>
      <c r="AC3550" s="0" t="str">
        <f aca="false">LEFT(G3550,2)</f>
        <v/>
      </c>
      <c r="AE3550" s="0"/>
    </row>
    <row r="3551" customFormat="false" ht="15" hidden="false" customHeight="false" outlineLevel="0" collapsed="false">
      <c r="A3551" s="13" t="n">
        <f aca="false">1+A3550</f>
        <v>3549</v>
      </c>
      <c r="B3551" s="14" t="n">
        <v>100</v>
      </c>
      <c r="C3551" s="15"/>
      <c r="D3551" s="16" t="s">
        <v>64</v>
      </c>
      <c r="E3551" s="17" t="s">
        <v>47</v>
      </c>
      <c r="F3551" s="18" t="s">
        <v>34</v>
      </c>
      <c r="G3551" s="19"/>
      <c r="H3551" s="17" t="s">
        <v>35</v>
      </c>
      <c r="I3551" s="17" t="s">
        <v>44</v>
      </c>
      <c r="J3551" s="17"/>
      <c r="K3551" s="17" t="e">
        <f aca="false">VLOOKUP(J3551,Sheet2!A:B,2,0)</f>
        <v>#N/A</v>
      </c>
      <c r="L3551" s="17" t="n">
        <v>5</v>
      </c>
      <c r="M3551" s="17" t="str">
        <f aca="false">VLOOKUP(L3551,Sheet2!D:E,2,0)</f>
        <v>Main Processor CPU BGA</v>
      </c>
      <c r="N3551" s="17" t="n">
        <v>1</v>
      </c>
      <c r="O3551" s="17" t="str">
        <f aca="false">VLOOKUP(N3551,Sheet2!G:H,2,0)</f>
        <v>Dead</v>
      </c>
      <c r="P3551" s="17" t="n">
        <v>11</v>
      </c>
      <c r="Q3551" s="17" t="str">
        <f aca="false">VLOOKUP(P3551,Sheet2!J:K,2,0)</f>
        <v>IR Declared due to CID -TA</v>
      </c>
      <c r="R3551" s="17" t="s">
        <v>35</v>
      </c>
      <c r="S3551" s="17" t="str">
        <f aca="false">VLOOKUP(R3551,Sheet2!N:O,2,0)</f>
        <v>IREPARABLE</v>
      </c>
      <c r="T3551" s="18" t="str">
        <f aca="false">VLOOKUP(P3551,Sheet2!Q:R,2,0)</f>
        <v>IR Normal - Track burn out</v>
      </c>
      <c r="U3551" s="20" t="s">
        <v>41</v>
      </c>
      <c r="V3551" s="17"/>
      <c r="W3551" s="20" t="e">
        <f aca="false">VLOOKUP(V3551,Sheet2!Q:R,2,0)</f>
        <v>#N/A</v>
      </c>
      <c r="X3551" s="17" t="n">
        <f aca="false">J3551</f>
        <v>0</v>
      </c>
      <c r="Y3551" s="17" t="e">
        <f aca="false">VLOOKUP(X3551,Sheet2!A:B,2,0)</f>
        <v>#N/A</v>
      </c>
      <c r="Z3551" s="17"/>
      <c r="AA3551" s="17"/>
      <c r="AB3551" s="17" t="s">
        <v>41</v>
      </c>
      <c r="AC3551" s="0" t="str">
        <f aca="false">LEFT(G3551,2)</f>
        <v/>
      </c>
      <c r="AE3551" s="0"/>
    </row>
    <row r="3552" customFormat="false" ht="15" hidden="false" customHeight="false" outlineLevel="0" collapsed="false">
      <c r="A3552" s="13" t="n">
        <f aca="false">1+A3551</f>
        <v>3550</v>
      </c>
      <c r="B3552" s="14" t="n">
        <v>100</v>
      </c>
      <c r="C3552" s="15"/>
      <c r="D3552" s="16" t="s">
        <v>64</v>
      </c>
      <c r="E3552" s="17" t="s">
        <v>47</v>
      </c>
      <c r="F3552" s="18" t="s">
        <v>34</v>
      </c>
      <c r="G3552" s="19"/>
      <c r="H3552" s="17" t="s">
        <v>35</v>
      </c>
      <c r="I3552" s="17" t="s">
        <v>44</v>
      </c>
      <c r="J3552" s="17"/>
      <c r="K3552" s="17" t="e">
        <f aca="false">VLOOKUP(J3552,Sheet2!A:B,2,0)</f>
        <v>#N/A</v>
      </c>
      <c r="L3552" s="17" t="n">
        <v>5</v>
      </c>
      <c r="M3552" s="17" t="str">
        <f aca="false">VLOOKUP(L3552,Sheet2!D:E,2,0)</f>
        <v>Main Processor CPU BGA</v>
      </c>
      <c r="N3552" s="17" t="n">
        <v>1</v>
      </c>
      <c r="O3552" s="17" t="str">
        <f aca="false">VLOOKUP(N3552,Sheet2!G:H,2,0)</f>
        <v>Dead</v>
      </c>
      <c r="P3552" s="17" t="n">
        <v>11</v>
      </c>
      <c r="Q3552" s="17" t="str">
        <f aca="false">VLOOKUP(P3552,Sheet2!J:K,2,0)</f>
        <v>IR Declared due to CID -TA</v>
      </c>
      <c r="R3552" s="17" t="s">
        <v>35</v>
      </c>
      <c r="S3552" s="17" t="str">
        <f aca="false">VLOOKUP(R3552,Sheet2!N:O,2,0)</f>
        <v>IREPARABLE</v>
      </c>
      <c r="T3552" s="18" t="str">
        <f aca="false">VLOOKUP(P3552,Sheet2!Q:R,2,0)</f>
        <v>IR Normal - Track burn out</v>
      </c>
      <c r="U3552" s="20" t="s">
        <v>41</v>
      </c>
      <c r="V3552" s="17"/>
      <c r="W3552" s="20" t="e">
        <f aca="false">VLOOKUP(V3552,Sheet2!Q:R,2,0)</f>
        <v>#N/A</v>
      </c>
      <c r="X3552" s="17" t="n">
        <f aca="false">J3552</f>
        <v>0</v>
      </c>
      <c r="Y3552" s="17" t="e">
        <f aca="false">VLOOKUP(X3552,Sheet2!A:B,2,0)</f>
        <v>#N/A</v>
      </c>
      <c r="Z3552" s="17"/>
      <c r="AA3552" s="17"/>
      <c r="AB3552" s="17" t="s">
        <v>41</v>
      </c>
      <c r="AC3552" s="0" t="str">
        <f aca="false">LEFT(G3552,2)</f>
        <v/>
      </c>
      <c r="AE3552" s="0"/>
    </row>
    <row r="3553" customFormat="false" ht="15" hidden="false" customHeight="false" outlineLevel="0" collapsed="false">
      <c r="A3553" s="13" t="n">
        <f aca="false">1+A3552</f>
        <v>3551</v>
      </c>
      <c r="B3553" s="14" t="n">
        <v>100</v>
      </c>
      <c r="C3553" s="15"/>
      <c r="D3553" s="16" t="s">
        <v>64</v>
      </c>
      <c r="E3553" s="17" t="s">
        <v>47</v>
      </c>
      <c r="F3553" s="18" t="s">
        <v>34</v>
      </c>
      <c r="G3553" s="19"/>
      <c r="H3553" s="17" t="s">
        <v>35</v>
      </c>
      <c r="I3553" s="17" t="s">
        <v>44</v>
      </c>
      <c r="J3553" s="17"/>
      <c r="K3553" s="17" t="e">
        <f aca="false">VLOOKUP(J3553,Sheet2!A:B,2,0)</f>
        <v>#N/A</v>
      </c>
      <c r="L3553" s="17" t="n">
        <v>5</v>
      </c>
      <c r="M3553" s="17" t="str">
        <f aca="false">VLOOKUP(L3553,Sheet2!D:E,2,0)</f>
        <v>Main Processor CPU BGA</v>
      </c>
      <c r="N3553" s="17" t="n">
        <v>1</v>
      </c>
      <c r="O3553" s="17" t="str">
        <f aca="false">VLOOKUP(N3553,Sheet2!G:H,2,0)</f>
        <v>Dead</v>
      </c>
      <c r="P3553" s="17" t="n">
        <v>11</v>
      </c>
      <c r="Q3553" s="17" t="str">
        <f aca="false">VLOOKUP(P3553,Sheet2!J:K,2,0)</f>
        <v>IR Declared due to CID -TA</v>
      </c>
      <c r="R3553" s="17" t="s">
        <v>35</v>
      </c>
      <c r="S3553" s="17" t="str">
        <f aca="false">VLOOKUP(R3553,Sheet2!N:O,2,0)</f>
        <v>IREPARABLE</v>
      </c>
      <c r="T3553" s="18" t="str">
        <f aca="false">VLOOKUP(P3553,Sheet2!Q:R,2,0)</f>
        <v>IR Normal - Track burn out</v>
      </c>
      <c r="U3553" s="20" t="s">
        <v>41</v>
      </c>
      <c r="V3553" s="17"/>
      <c r="W3553" s="20" t="e">
        <f aca="false">VLOOKUP(V3553,Sheet2!Q:R,2,0)</f>
        <v>#N/A</v>
      </c>
      <c r="X3553" s="17" t="n">
        <f aca="false">J3553</f>
        <v>0</v>
      </c>
      <c r="Y3553" s="17" t="e">
        <f aca="false">VLOOKUP(X3553,Sheet2!A:B,2,0)</f>
        <v>#N/A</v>
      </c>
      <c r="Z3553" s="17"/>
      <c r="AA3553" s="17"/>
      <c r="AB3553" s="17" t="s">
        <v>41</v>
      </c>
      <c r="AC3553" s="0" t="str">
        <f aca="false">LEFT(G3553,2)</f>
        <v/>
      </c>
      <c r="AE3553" s="0"/>
    </row>
    <row r="3554" customFormat="false" ht="15" hidden="false" customHeight="false" outlineLevel="0" collapsed="false">
      <c r="A3554" s="13" t="n">
        <f aca="false">1+A3553</f>
        <v>3552</v>
      </c>
      <c r="B3554" s="14" t="n">
        <v>100</v>
      </c>
      <c r="C3554" s="15"/>
      <c r="D3554" s="16" t="s">
        <v>64</v>
      </c>
      <c r="E3554" s="17" t="s">
        <v>47</v>
      </c>
      <c r="F3554" s="18" t="s">
        <v>34</v>
      </c>
      <c r="G3554" s="19"/>
      <c r="H3554" s="17" t="s">
        <v>35</v>
      </c>
      <c r="I3554" s="17" t="s">
        <v>44</v>
      </c>
      <c r="J3554" s="17"/>
      <c r="K3554" s="17" t="e">
        <f aca="false">VLOOKUP(J3554,Sheet2!A:B,2,0)</f>
        <v>#N/A</v>
      </c>
      <c r="L3554" s="17" t="n">
        <v>5</v>
      </c>
      <c r="M3554" s="17" t="str">
        <f aca="false">VLOOKUP(L3554,Sheet2!D:E,2,0)</f>
        <v>Main Processor CPU BGA</v>
      </c>
      <c r="N3554" s="17" t="n">
        <v>1</v>
      </c>
      <c r="O3554" s="17" t="str">
        <f aca="false">VLOOKUP(N3554,Sheet2!G:H,2,0)</f>
        <v>Dead</v>
      </c>
      <c r="P3554" s="17" t="n">
        <v>11</v>
      </c>
      <c r="Q3554" s="17" t="str">
        <f aca="false">VLOOKUP(P3554,Sheet2!J:K,2,0)</f>
        <v>IR Declared due to CID -TA</v>
      </c>
      <c r="R3554" s="17" t="s">
        <v>35</v>
      </c>
      <c r="S3554" s="17" t="str">
        <f aca="false">VLOOKUP(R3554,Sheet2!N:O,2,0)</f>
        <v>IREPARABLE</v>
      </c>
      <c r="T3554" s="18" t="str">
        <f aca="false">VLOOKUP(P3554,Sheet2!Q:R,2,0)</f>
        <v>IR Normal - Track burn out</v>
      </c>
      <c r="U3554" s="20" t="s">
        <v>41</v>
      </c>
      <c r="V3554" s="17"/>
      <c r="W3554" s="20" t="e">
        <f aca="false">VLOOKUP(V3554,Sheet2!Q:R,2,0)</f>
        <v>#N/A</v>
      </c>
      <c r="X3554" s="17" t="n">
        <f aca="false">J3554</f>
        <v>0</v>
      </c>
      <c r="Y3554" s="17" t="e">
        <f aca="false">VLOOKUP(X3554,Sheet2!A:B,2,0)</f>
        <v>#N/A</v>
      </c>
      <c r="Z3554" s="17"/>
      <c r="AA3554" s="17"/>
      <c r="AB3554" s="17" t="s">
        <v>41</v>
      </c>
      <c r="AC3554" s="0" t="str">
        <f aca="false">LEFT(G3554,2)</f>
        <v/>
      </c>
      <c r="AE3554" s="0"/>
    </row>
    <row r="3555" customFormat="false" ht="15" hidden="false" customHeight="false" outlineLevel="0" collapsed="false">
      <c r="A3555" s="13" t="n">
        <f aca="false">1+A3554</f>
        <v>3553</v>
      </c>
      <c r="B3555" s="14" t="n">
        <v>100</v>
      </c>
      <c r="C3555" s="15"/>
      <c r="D3555" s="16" t="s">
        <v>64</v>
      </c>
      <c r="E3555" s="17" t="s">
        <v>47</v>
      </c>
      <c r="F3555" s="18" t="s">
        <v>34</v>
      </c>
      <c r="G3555" s="19"/>
      <c r="H3555" s="17" t="s">
        <v>35</v>
      </c>
      <c r="I3555" s="17" t="s">
        <v>44</v>
      </c>
      <c r="J3555" s="17"/>
      <c r="K3555" s="17" t="e">
        <f aca="false">VLOOKUP(J3555,Sheet2!A:B,2,0)</f>
        <v>#N/A</v>
      </c>
      <c r="L3555" s="17" t="n">
        <v>5</v>
      </c>
      <c r="M3555" s="17" t="str">
        <f aca="false">VLOOKUP(L3555,Sheet2!D:E,2,0)</f>
        <v>Main Processor CPU BGA</v>
      </c>
      <c r="N3555" s="17" t="n">
        <v>1</v>
      </c>
      <c r="O3555" s="17" t="str">
        <f aca="false">VLOOKUP(N3555,Sheet2!G:H,2,0)</f>
        <v>Dead</v>
      </c>
      <c r="P3555" s="17" t="n">
        <v>11</v>
      </c>
      <c r="Q3555" s="17" t="str">
        <f aca="false">VLOOKUP(P3555,Sheet2!J:K,2,0)</f>
        <v>IR Declared due to CID -TA</v>
      </c>
      <c r="R3555" s="17" t="s">
        <v>35</v>
      </c>
      <c r="S3555" s="17" t="str">
        <f aca="false">VLOOKUP(R3555,Sheet2!N:O,2,0)</f>
        <v>IREPARABLE</v>
      </c>
      <c r="T3555" s="18" t="str">
        <f aca="false">VLOOKUP(P3555,Sheet2!Q:R,2,0)</f>
        <v>IR Normal - Track burn out</v>
      </c>
      <c r="U3555" s="20" t="s">
        <v>41</v>
      </c>
      <c r="V3555" s="17"/>
      <c r="W3555" s="20" t="e">
        <f aca="false">VLOOKUP(V3555,Sheet2!Q:R,2,0)</f>
        <v>#N/A</v>
      </c>
      <c r="X3555" s="17" t="n">
        <f aca="false">J3555</f>
        <v>0</v>
      </c>
      <c r="Y3555" s="17" t="e">
        <f aca="false">VLOOKUP(X3555,Sheet2!A:B,2,0)</f>
        <v>#N/A</v>
      </c>
      <c r="Z3555" s="17"/>
      <c r="AA3555" s="17"/>
      <c r="AB3555" s="17" t="s">
        <v>41</v>
      </c>
      <c r="AC3555" s="0" t="str">
        <f aca="false">LEFT(G3555,2)</f>
        <v/>
      </c>
      <c r="AE3555" s="0"/>
    </row>
    <row r="3556" customFormat="false" ht="15" hidden="false" customHeight="false" outlineLevel="0" collapsed="false">
      <c r="A3556" s="13" t="n">
        <f aca="false">1+A3555</f>
        <v>3554</v>
      </c>
      <c r="B3556" s="14" t="n">
        <v>100</v>
      </c>
      <c r="C3556" s="15"/>
      <c r="D3556" s="16" t="s">
        <v>64</v>
      </c>
      <c r="E3556" s="17" t="s">
        <v>47</v>
      </c>
      <c r="F3556" s="18" t="s">
        <v>34</v>
      </c>
      <c r="G3556" s="19"/>
      <c r="H3556" s="17" t="s">
        <v>35</v>
      </c>
      <c r="I3556" s="17" t="s">
        <v>44</v>
      </c>
      <c r="J3556" s="17"/>
      <c r="K3556" s="17" t="e">
        <f aca="false">VLOOKUP(J3556,Sheet2!A:B,2,0)</f>
        <v>#N/A</v>
      </c>
      <c r="L3556" s="17" t="n">
        <v>5</v>
      </c>
      <c r="M3556" s="17" t="str">
        <f aca="false">VLOOKUP(L3556,Sheet2!D:E,2,0)</f>
        <v>Main Processor CPU BGA</v>
      </c>
      <c r="N3556" s="17" t="n">
        <v>1</v>
      </c>
      <c r="O3556" s="17" t="str">
        <f aca="false">VLOOKUP(N3556,Sheet2!G:H,2,0)</f>
        <v>Dead</v>
      </c>
      <c r="P3556" s="17" t="n">
        <v>11</v>
      </c>
      <c r="Q3556" s="17" t="str">
        <f aca="false">VLOOKUP(P3556,Sheet2!J:K,2,0)</f>
        <v>IR Declared due to CID -TA</v>
      </c>
      <c r="R3556" s="17" t="s">
        <v>35</v>
      </c>
      <c r="S3556" s="17" t="str">
        <f aca="false">VLOOKUP(R3556,Sheet2!N:O,2,0)</f>
        <v>IREPARABLE</v>
      </c>
      <c r="T3556" s="18" t="str">
        <f aca="false">VLOOKUP(P3556,Sheet2!Q:R,2,0)</f>
        <v>IR Normal - Track burn out</v>
      </c>
      <c r="U3556" s="20" t="s">
        <v>41</v>
      </c>
      <c r="V3556" s="17"/>
      <c r="W3556" s="20" t="e">
        <f aca="false">VLOOKUP(V3556,Sheet2!Q:R,2,0)</f>
        <v>#N/A</v>
      </c>
      <c r="X3556" s="17" t="n">
        <f aca="false">J3556</f>
        <v>0</v>
      </c>
      <c r="Y3556" s="17" t="e">
        <f aca="false">VLOOKUP(X3556,Sheet2!A:B,2,0)</f>
        <v>#N/A</v>
      </c>
      <c r="Z3556" s="17"/>
      <c r="AA3556" s="17"/>
      <c r="AB3556" s="17" t="s">
        <v>41</v>
      </c>
      <c r="AC3556" s="0" t="str">
        <f aca="false">LEFT(G3556,2)</f>
        <v/>
      </c>
      <c r="AE3556" s="0"/>
    </row>
    <row r="3557" customFormat="false" ht="15" hidden="false" customHeight="false" outlineLevel="0" collapsed="false">
      <c r="A3557" s="13" t="n">
        <f aca="false">1+A3556</f>
        <v>3555</v>
      </c>
      <c r="B3557" s="14" t="n">
        <v>100</v>
      </c>
      <c r="C3557" s="15"/>
      <c r="D3557" s="16" t="s">
        <v>64</v>
      </c>
      <c r="E3557" s="17" t="s">
        <v>47</v>
      </c>
      <c r="F3557" s="18" t="s">
        <v>34</v>
      </c>
      <c r="G3557" s="19"/>
      <c r="H3557" s="17" t="s">
        <v>35</v>
      </c>
      <c r="I3557" s="17" t="s">
        <v>44</v>
      </c>
      <c r="J3557" s="17"/>
      <c r="K3557" s="17" t="e">
        <f aca="false">VLOOKUP(J3557,Sheet2!A:B,2,0)</f>
        <v>#N/A</v>
      </c>
      <c r="L3557" s="17" t="n">
        <v>5</v>
      </c>
      <c r="M3557" s="17" t="str">
        <f aca="false">VLOOKUP(L3557,Sheet2!D:E,2,0)</f>
        <v>Main Processor CPU BGA</v>
      </c>
      <c r="N3557" s="17" t="n">
        <v>1</v>
      </c>
      <c r="O3557" s="17" t="str">
        <f aca="false">VLOOKUP(N3557,Sheet2!G:H,2,0)</f>
        <v>Dead</v>
      </c>
      <c r="P3557" s="17" t="n">
        <v>11</v>
      </c>
      <c r="Q3557" s="17" t="str">
        <f aca="false">VLOOKUP(P3557,Sheet2!J:K,2,0)</f>
        <v>IR Declared due to CID -TA</v>
      </c>
      <c r="R3557" s="17" t="s">
        <v>35</v>
      </c>
      <c r="S3557" s="17" t="str">
        <f aca="false">VLOOKUP(R3557,Sheet2!N:O,2,0)</f>
        <v>IREPARABLE</v>
      </c>
      <c r="T3557" s="18" t="str">
        <f aca="false">VLOOKUP(P3557,Sheet2!Q:R,2,0)</f>
        <v>IR Normal - Track burn out</v>
      </c>
      <c r="U3557" s="20" t="s">
        <v>41</v>
      </c>
      <c r="V3557" s="17"/>
      <c r="W3557" s="20" t="e">
        <f aca="false">VLOOKUP(V3557,Sheet2!Q:R,2,0)</f>
        <v>#N/A</v>
      </c>
      <c r="X3557" s="17" t="n">
        <f aca="false">J3557</f>
        <v>0</v>
      </c>
      <c r="Y3557" s="17" t="e">
        <f aca="false">VLOOKUP(X3557,Sheet2!A:B,2,0)</f>
        <v>#N/A</v>
      </c>
      <c r="Z3557" s="17"/>
      <c r="AA3557" s="17"/>
      <c r="AB3557" s="17" t="s">
        <v>41</v>
      </c>
      <c r="AC3557" s="0" t="str">
        <f aca="false">LEFT(G3557,2)</f>
        <v/>
      </c>
      <c r="AE3557" s="0"/>
    </row>
    <row r="3558" customFormat="false" ht="15" hidden="false" customHeight="false" outlineLevel="0" collapsed="false">
      <c r="A3558" s="13" t="n">
        <f aca="false">1+A3557</f>
        <v>3556</v>
      </c>
      <c r="B3558" s="14" t="n">
        <v>100</v>
      </c>
      <c r="C3558" s="15"/>
      <c r="D3558" s="16" t="s">
        <v>64</v>
      </c>
      <c r="E3558" s="17" t="s">
        <v>47</v>
      </c>
      <c r="F3558" s="18" t="s">
        <v>34</v>
      </c>
      <c r="G3558" s="19"/>
      <c r="H3558" s="17" t="s">
        <v>35</v>
      </c>
      <c r="I3558" s="17" t="s">
        <v>44</v>
      </c>
      <c r="J3558" s="17"/>
      <c r="K3558" s="17" t="e">
        <f aca="false">VLOOKUP(J3558,Sheet2!A:B,2,0)</f>
        <v>#N/A</v>
      </c>
      <c r="L3558" s="17" t="n">
        <v>5</v>
      </c>
      <c r="M3558" s="17" t="str">
        <f aca="false">VLOOKUP(L3558,Sheet2!D:E,2,0)</f>
        <v>Main Processor CPU BGA</v>
      </c>
      <c r="N3558" s="17" t="n">
        <v>1</v>
      </c>
      <c r="O3558" s="17" t="str">
        <f aca="false">VLOOKUP(N3558,Sheet2!G:H,2,0)</f>
        <v>Dead</v>
      </c>
      <c r="P3558" s="17" t="n">
        <v>11</v>
      </c>
      <c r="Q3558" s="17" t="str">
        <f aca="false">VLOOKUP(P3558,Sheet2!J:K,2,0)</f>
        <v>IR Declared due to CID -TA</v>
      </c>
      <c r="R3558" s="17" t="s">
        <v>35</v>
      </c>
      <c r="S3558" s="17" t="str">
        <f aca="false">VLOOKUP(R3558,Sheet2!N:O,2,0)</f>
        <v>IREPARABLE</v>
      </c>
      <c r="T3558" s="18" t="str">
        <f aca="false">VLOOKUP(P3558,Sheet2!Q:R,2,0)</f>
        <v>IR Normal - Track burn out</v>
      </c>
      <c r="U3558" s="20" t="s">
        <v>41</v>
      </c>
      <c r="V3558" s="17"/>
      <c r="W3558" s="20" t="e">
        <f aca="false">VLOOKUP(V3558,Sheet2!Q:R,2,0)</f>
        <v>#N/A</v>
      </c>
      <c r="X3558" s="17" t="n">
        <f aca="false">J3558</f>
        <v>0</v>
      </c>
      <c r="Y3558" s="17" t="e">
        <f aca="false">VLOOKUP(X3558,Sheet2!A:B,2,0)</f>
        <v>#N/A</v>
      </c>
      <c r="Z3558" s="17"/>
      <c r="AA3558" s="17"/>
      <c r="AB3558" s="17" t="s">
        <v>41</v>
      </c>
      <c r="AC3558" s="0" t="str">
        <f aca="false">LEFT(G3558,2)</f>
        <v/>
      </c>
      <c r="AE3558" s="0"/>
    </row>
    <row r="3559" customFormat="false" ht="15" hidden="false" customHeight="false" outlineLevel="0" collapsed="false">
      <c r="A3559" s="13" t="n">
        <f aca="false">1+A3558</f>
        <v>3557</v>
      </c>
      <c r="B3559" s="14" t="n">
        <v>100</v>
      </c>
      <c r="C3559" s="15"/>
      <c r="D3559" s="16" t="s">
        <v>64</v>
      </c>
      <c r="E3559" s="17" t="s">
        <v>47</v>
      </c>
      <c r="F3559" s="18" t="s">
        <v>34</v>
      </c>
      <c r="G3559" s="19"/>
      <c r="H3559" s="17" t="s">
        <v>35</v>
      </c>
      <c r="I3559" s="17" t="s">
        <v>44</v>
      </c>
      <c r="J3559" s="17"/>
      <c r="K3559" s="17" t="e">
        <f aca="false">VLOOKUP(J3559,Sheet2!A:B,2,0)</f>
        <v>#N/A</v>
      </c>
      <c r="L3559" s="17" t="n">
        <v>5</v>
      </c>
      <c r="M3559" s="17" t="str">
        <f aca="false">VLOOKUP(L3559,Sheet2!D:E,2,0)</f>
        <v>Main Processor CPU BGA</v>
      </c>
      <c r="N3559" s="17" t="n">
        <v>1</v>
      </c>
      <c r="O3559" s="17" t="str">
        <f aca="false">VLOOKUP(N3559,Sheet2!G:H,2,0)</f>
        <v>Dead</v>
      </c>
      <c r="P3559" s="17" t="n">
        <v>11</v>
      </c>
      <c r="Q3559" s="17" t="str">
        <f aca="false">VLOOKUP(P3559,Sheet2!J:K,2,0)</f>
        <v>IR Declared due to CID -TA</v>
      </c>
      <c r="R3559" s="17" t="s">
        <v>35</v>
      </c>
      <c r="S3559" s="17" t="str">
        <f aca="false">VLOOKUP(R3559,Sheet2!N:O,2,0)</f>
        <v>IREPARABLE</v>
      </c>
      <c r="T3559" s="18" t="str">
        <f aca="false">VLOOKUP(P3559,Sheet2!Q:R,2,0)</f>
        <v>IR Normal - Track burn out</v>
      </c>
      <c r="U3559" s="20" t="s">
        <v>41</v>
      </c>
      <c r="V3559" s="17"/>
      <c r="W3559" s="20" t="e">
        <f aca="false">VLOOKUP(V3559,Sheet2!Q:R,2,0)</f>
        <v>#N/A</v>
      </c>
      <c r="X3559" s="17" t="n">
        <f aca="false">J3559</f>
        <v>0</v>
      </c>
      <c r="Y3559" s="17" t="e">
        <f aca="false">VLOOKUP(X3559,Sheet2!A:B,2,0)</f>
        <v>#N/A</v>
      </c>
      <c r="Z3559" s="17"/>
      <c r="AA3559" s="17"/>
      <c r="AB3559" s="17" t="s">
        <v>41</v>
      </c>
      <c r="AC3559" s="0" t="str">
        <f aca="false">LEFT(G3559,2)</f>
        <v/>
      </c>
      <c r="AE3559" s="0"/>
    </row>
    <row r="3560" customFormat="false" ht="15" hidden="false" customHeight="false" outlineLevel="0" collapsed="false">
      <c r="A3560" s="13" t="n">
        <f aca="false">1+A3559</f>
        <v>3558</v>
      </c>
      <c r="B3560" s="14" t="n">
        <v>100</v>
      </c>
      <c r="C3560" s="15"/>
      <c r="D3560" s="16" t="s">
        <v>64</v>
      </c>
      <c r="E3560" s="17" t="s">
        <v>47</v>
      </c>
      <c r="F3560" s="18" t="s">
        <v>34</v>
      </c>
      <c r="G3560" s="19"/>
      <c r="H3560" s="17" t="s">
        <v>35</v>
      </c>
      <c r="I3560" s="17" t="s">
        <v>44</v>
      </c>
      <c r="J3560" s="17"/>
      <c r="K3560" s="17" t="e">
        <f aca="false">VLOOKUP(J3560,Sheet2!A:B,2,0)</f>
        <v>#N/A</v>
      </c>
      <c r="L3560" s="17" t="n">
        <v>5</v>
      </c>
      <c r="M3560" s="17" t="str">
        <f aca="false">VLOOKUP(L3560,Sheet2!D:E,2,0)</f>
        <v>Main Processor CPU BGA</v>
      </c>
      <c r="N3560" s="17" t="n">
        <v>1</v>
      </c>
      <c r="O3560" s="17" t="str">
        <f aca="false">VLOOKUP(N3560,Sheet2!G:H,2,0)</f>
        <v>Dead</v>
      </c>
      <c r="P3560" s="17" t="n">
        <v>11</v>
      </c>
      <c r="Q3560" s="17" t="str">
        <f aca="false">VLOOKUP(P3560,Sheet2!J:K,2,0)</f>
        <v>IR Declared due to CID -TA</v>
      </c>
      <c r="R3560" s="17" t="s">
        <v>35</v>
      </c>
      <c r="S3560" s="17" t="str">
        <f aca="false">VLOOKUP(R3560,Sheet2!N:O,2,0)</f>
        <v>IREPARABLE</v>
      </c>
      <c r="T3560" s="18" t="str">
        <f aca="false">VLOOKUP(P3560,Sheet2!Q:R,2,0)</f>
        <v>IR Normal - Track burn out</v>
      </c>
      <c r="U3560" s="20" t="s">
        <v>41</v>
      </c>
      <c r="V3560" s="17"/>
      <c r="W3560" s="20" t="e">
        <f aca="false">VLOOKUP(V3560,Sheet2!Q:R,2,0)</f>
        <v>#N/A</v>
      </c>
      <c r="X3560" s="17" t="n">
        <f aca="false">J3560</f>
        <v>0</v>
      </c>
      <c r="Y3560" s="17" t="e">
        <f aca="false">VLOOKUP(X3560,Sheet2!A:B,2,0)</f>
        <v>#N/A</v>
      </c>
      <c r="Z3560" s="17"/>
      <c r="AA3560" s="17"/>
      <c r="AB3560" s="17" t="s">
        <v>41</v>
      </c>
      <c r="AC3560" s="0" t="str">
        <f aca="false">LEFT(G3560,2)</f>
        <v/>
      </c>
      <c r="AE3560" s="0"/>
    </row>
    <row r="3561" customFormat="false" ht="15" hidden="false" customHeight="false" outlineLevel="0" collapsed="false">
      <c r="A3561" s="13" t="n">
        <f aca="false">1+A3560</f>
        <v>3559</v>
      </c>
      <c r="B3561" s="14" t="n">
        <v>100</v>
      </c>
      <c r="C3561" s="15"/>
      <c r="D3561" s="16" t="s">
        <v>64</v>
      </c>
      <c r="E3561" s="17" t="s">
        <v>47</v>
      </c>
      <c r="F3561" s="18" t="s">
        <v>34</v>
      </c>
      <c r="G3561" s="19"/>
      <c r="H3561" s="17" t="s">
        <v>35</v>
      </c>
      <c r="I3561" s="17" t="s">
        <v>44</v>
      </c>
      <c r="J3561" s="17"/>
      <c r="K3561" s="17" t="e">
        <f aca="false">VLOOKUP(J3561,Sheet2!A:B,2,0)</f>
        <v>#N/A</v>
      </c>
      <c r="L3561" s="17" t="n">
        <v>5</v>
      </c>
      <c r="M3561" s="17" t="str">
        <f aca="false">VLOOKUP(L3561,Sheet2!D:E,2,0)</f>
        <v>Main Processor CPU BGA</v>
      </c>
      <c r="N3561" s="17" t="n">
        <v>1</v>
      </c>
      <c r="O3561" s="17" t="str">
        <f aca="false">VLOOKUP(N3561,Sheet2!G:H,2,0)</f>
        <v>Dead</v>
      </c>
      <c r="P3561" s="17" t="n">
        <v>11</v>
      </c>
      <c r="Q3561" s="17" t="str">
        <f aca="false">VLOOKUP(P3561,Sheet2!J:K,2,0)</f>
        <v>IR Declared due to CID -TA</v>
      </c>
      <c r="R3561" s="17" t="s">
        <v>35</v>
      </c>
      <c r="S3561" s="17" t="str">
        <f aca="false">VLOOKUP(R3561,Sheet2!N:O,2,0)</f>
        <v>IREPARABLE</v>
      </c>
      <c r="T3561" s="18" t="str">
        <f aca="false">VLOOKUP(P3561,Sheet2!Q:R,2,0)</f>
        <v>IR Normal - Track burn out</v>
      </c>
      <c r="U3561" s="20" t="s">
        <v>41</v>
      </c>
      <c r="V3561" s="17"/>
      <c r="W3561" s="20" t="e">
        <f aca="false">VLOOKUP(V3561,Sheet2!Q:R,2,0)</f>
        <v>#N/A</v>
      </c>
      <c r="X3561" s="17" t="n">
        <f aca="false">J3561</f>
        <v>0</v>
      </c>
      <c r="Y3561" s="17" t="e">
        <f aca="false">VLOOKUP(X3561,Sheet2!A:B,2,0)</f>
        <v>#N/A</v>
      </c>
      <c r="Z3561" s="17"/>
      <c r="AA3561" s="17"/>
      <c r="AB3561" s="17" t="s">
        <v>41</v>
      </c>
      <c r="AC3561" s="0" t="str">
        <f aca="false">LEFT(G3561,2)</f>
        <v/>
      </c>
      <c r="AE3561" s="0"/>
    </row>
    <row r="3562" customFormat="false" ht="15" hidden="false" customHeight="false" outlineLevel="0" collapsed="false">
      <c r="A3562" s="13" t="n">
        <f aca="false">1+A3561</f>
        <v>3560</v>
      </c>
      <c r="B3562" s="14" t="n">
        <v>100</v>
      </c>
      <c r="C3562" s="15"/>
      <c r="D3562" s="16" t="s">
        <v>64</v>
      </c>
      <c r="E3562" s="17" t="s">
        <v>47</v>
      </c>
      <c r="F3562" s="18" t="s">
        <v>34</v>
      </c>
      <c r="G3562" s="19"/>
      <c r="H3562" s="17" t="s">
        <v>35</v>
      </c>
      <c r="I3562" s="17" t="s">
        <v>44</v>
      </c>
      <c r="J3562" s="17"/>
      <c r="K3562" s="17" t="e">
        <f aca="false">VLOOKUP(J3562,Sheet2!A:B,2,0)</f>
        <v>#N/A</v>
      </c>
      <c r="L3562" s="17" t="n">
        <v>5</v>
      </c>
      <c r="M3562" s="17" t="str">
        <f aca="false">VLOOKUP(L3562,Sheet2!D:E,2,0)</f>
        <v>Main Processor CPU BGA</v>
      </c>
      <c r="N3562" s="17" t="n">
        <v>1</v>
      </c>
      <c r="O3562" s="17" t="str">
        <f aca="false">VLOOKUP(N3562,Sheet2!G:H,2,0)</f>
        <v>Dead</v>
      </c>
      <c r="P3562" s="17" t="n">
        <v>11</v>
      </c>
      <c r="Q3562" s="17" t="str">
        <f aca="false">VLOOKUP(P3562,Sheet2!J:K,2,0)</f>
        <v>IR Declared due to CID -TA</v>
      </c>
      <c r="R3562" s="17" t="s">
        <v>35</v>
      </c>
      <c r="S3562" s="17" t="str">
        <f aca="false">VLOOKUP(R3562,Sheet2!N:O,2,0)</f>
        <v>IREPARABLE</v>
      </c>
      <c r="T3562" s="18" t="str">
        <f aca="false">VLOOKUP(P3562,Sheet2!Q:R,2,0)</f>
        <v>IR Normal - Track burn out</v>
      </c>
      <c r="U3562" s="20" t="s">
        <v>41</v>
      </c>
      <c r="V3562" s="17"/>
      <c r="W3562" s="20" t="e">
        <f aca="false">VLOOKUP(V3562,Sheet2!Q:R,2,0)</f>
        <v>#N/A</v>
      </c>
      <c r="X3562" s="17" t="n">
        <f aca="false">J3562</f>
        <v>0</v>
      </c>
      <c r="Y3562" s="17" t="e">
        <f aca="false">VLOOKUP(X3562,Sheet2!A:B,2,0)</f>
        <v>#N/A</v>
      </c>
      <c r="Z3562" s="17"/>
      <c r="AA3562" s="17"/>
      <c r="AB3562" s="17" t="s">
        <v>41</v>
      </c>
      <c r="AC3562" s="0" t="str">
        <f aca="false">LEFT(G3562,2)</f>
        <v/>
      </c>
      <c r="AE3562" s="0"/>
    </row>
    <row r="3563" customFormat="false" ht="15" hidden="false" customHeight="false" outlineLevel="0" collapsed="false">
      <c r="A3563" s="13" t="n">
        <f aca="false">1+A3562</f>
        <v>3561</v>
      </c>
      <c r="B3563" s="14" t="n">
        <v>100</v>
      </c>
      <c r="C3563" s="15"/>
      <c r="D3563" s="16" t="s">
        <v>64</v>
      </c>
      <c r="E3563" s="17" t="s">
        <v>47</v>
      </c>
      <c r="F3563" s="18" t="s">
        <v>34</v>
      </c>
      <c r="G3563" s="19"/>
      <c r="H3563" s="17" t="s">
        <v>35</v>
      </c>
      <c r="I3563" s="17" t="s">
        <v>44</v>
      </c>
      <c r="J3563" s="17"/>
      <c r="K3563" s="17" t="e">
        <f aca="false">VLOOKUP(J3563,Sheet2!A:B,2,0)</f>
        <v>#N/A</v>
      </c>
      <c r="L3563" s="17" t="n">
        <v>5</v>
      </c>
      <c r="M3563" s="17" t="str">
        <f aca="false">VLOOKUP(L3563,Sheet2!D:E,2,0)</f>
        <v>Main Processor CPU BGA</v>
      </c>
      <c r="N3563" s="17" t="n">
        <v>1</v>
      </c>
      <c r="O3563" s="17" t="str">
        <f aca="false">VLOOKUP(N3563,Sheet2!G:H,2,0)</f>
        <v>Dead</v>
      </c>
      <c r="P3563" s="17" t="n">
        <v>11</v>
      </c>
      <c r="Q3563" s="17" t="str">
        <f aca="false">VLOOKUP(P3563,Sheet2!J:K,2,0)</f>
        <v>IR Declared due to CID -TA</v>
      </c>
      <c r="R3563" s="17" t="s">
        <v>35</v>
      </c>
      <c r="S3563" s="17" t="str">
        <f aca="false">VLOOKUP(R3563,Sheet2!N:O,2,0)</f>
        <v>IREPARABLE</v>
      </c>
      <c r="T3563" s="18" t="str">
        <f aca="false">VLOOKUP(P3563,Sheet2!Q:R,2,0)</f>
        <v>IR Normal - Track burn out</v>
      </c>
      <c r="U3563" s="20" t="s">
        <v>41</v>
      </c>
      <c r="V3563" s="17"/>
      <c r="W3563" s="20" t="e">
        <f aca="false">VLOOKUP(V3563,Sheet2!Q:R,2,0)</f>
        <v>#N/A</v>
      </c>
      <c r="X3563" s="17" t="n">
        <f aca="false">J3563</f>
        <v>0</v>
      </c>
      <c r="Y3563" s="17" t="e">
        <f aca="false">VLOOKUP(X3563,Sheet2!A:B,2,0)</f>
        <v>#N/A</v>
      </c>
      <c r="Z3563" s="17"/>
      <c r="AA3563" s="17"/>
      <c r="AB3563" s="17" t="s">
        <v>41</v>
      </c>
      <c r="AC3563" s="0" t="str">
        <f aca="false">LEFT(G3563,2)</f>
        <v/>
      </c>
      <c r="AE3563" s="0"/>
    </row>
    <row r="3564" customFormat="false" ht="15" hidden="false" customHeight="false" outlineLevel="0" collapsed="false">
      <c r="A3564" s="13" t="n">
        <f aca="false">1+A3563</f>
        <v>3562</v>
      </c>
      <c r="B3564" s="14" t="n">
        <v>100</v>
      </c>
      <c r="C3564" s="15"/>
      <c r="D3564" s="16" t="s">
        <v>64</v>
      </c>
      <c r="E3564" s="17" t="s">
        <v>47</v>
      </c>
      <c r="F3564" s="18" t="s">
        <v>34</v>
      </c>
      <c r="G3564" s="19"/>
      <c r="H3564" s="17" t="s">
        <v>35</v>
      </c>
      <c r="I3564" s="17" t="s">
        <v>44</v>
      </c>
      <c r="J3564" s="17"/>
      <c r="K3564" s="17" t="e">
        <f aca="false">VLOOKUP(J3564,Sheet2!A:B,2,0)</f>
        <v>#N/A</v>
      </c>
      <c r="L3564" s="17" t="n">
        <v>5</v>
      </c>
      <c r="M3564" s="17" t="str">
        <f aca="false">VLOOKUP(L3564,Sheet2!D:E,2,0)</f>
        <v>Main Processor CPU BGA</v>
      </c>
      <c r="N3564" s="17" t="n">
        <v>1</v>
      </c>
      <c r="O3564" s="17" t="str">
        <f aca="false">VLOOKUP(N3564,Sheet2!G:H,2,0)</f>
        <v>Dead</v>
      </c>
      <c r="P3564" s="17" t="n">
        <v>11</v>
      </c>
      <c r="Q3564" s="17" t="str">
        <f aca="false">VLOOKUP(P3564,Sheet2!J:K,2,0)</f>
        <v>IR Declared due to CID -TA</v>
      </c>
      <c r="R3564" s="17" t="s">
        <v>35</v>
      </c>
      <c r="S3564" s="17" t="str">
        <f aca="false">VLOOKUP(R3564,Sheet2!N:O,2,0)</f>
        <v>IREPARABLE</v>
      </c>
      <c r="T3564" s="18" t="str">
        <f aca="false">VLOOKUP(P3564,Sheet2!Q:R,2,0)</f>
        <v>IR Normal - Track burn out</v>
      </c>
      <c r="U3564" s="20" t="s">
        <v>41</v>
      </c>
      <c r="V3564" s="17"/>
      <c r="W3564" s="20" t="e">
        <f aca="false">VLOOKUP(V3564,Sheet2!Q:R,2,0)</f>
        <v>#N/A</v>
      </c>
      <c r="X3564" s="17" t="n">
        <f aca="false">J3564</f>
        <v>0</v>
      </c>
      <c r="Y3564" s="17" t="e">
        <f aca="false">VLOOKUP(X3564,Sheet2!A:B,2,0)</f>
        <v>#N/A</v>
      </c>
      <c r="Z3564" s="17"/>
      <c r="AA3564" s="17"/>
      <c r="AB3564" s="17" t="s">
        <v>41</v>
      </c>
      <c r="AC3564" s="0" t="str">
        <f aca="false">LEFT(G3564,2)</f>
        <v/>
      </c>
      <c r="AE3564" s="0"/>
    </row>
    <row r="3565" customFormat="false" ht="15" hidden="false" customHeight="false" outlineLevel="0" collapsed="false">
      <c r="A3565" s="13" t="n">
        <f aca="false">1+A3564</f>
        <v>3563</v>
      </c>
      <c r="B3565" s="14" t="n">
        <v>100</v>
      </c>
      <c r="C3565" s="15"/>
      <c r="D3565" s="16" t="s">
        <v>64</v>
      </c>
      <c r="E3565" s="17" t="s">
        <v>47</v>
      </c>
      <c r="F3565" s="18" t="s">
        <v>34</v>
      </c>
      <c r="G3565" s="19"/>
      <c r="H3565" s="17" t="s">
        <v>35</v>
      </c>
      <c r="I3565" s="17" t="s">
        <v>44</v>
      </c>
      <c r="J3565" s="17"/>
      <c r="K3565" s="17" t="e">
        <f aca="false">VLOOKUP(J3565,Sheet2!A:B,2,0)</f>
        <v>#N/A</v>
      </c>
      <c r="L3565" s="17" t="n">
        <v>5</v>
      </c>
      <c r="M3565" s="17" t="str">
        <f aca="false">VLOOKUP(L3565,Sheet2!D:E,2,0)</f>
        <v>Main Processor CPU BGA</v>
      </c>
      <c r="N3565" s="17" t="n">
        <v>1</v>
      </c>
      <c r="O3565" s="17" t="str">
        <f aca="false">VLOOKUP(N3565,Sheet2!G:H,2,0)</f>
        <v>Dead</v>
      </c>
      <c r="P3565" s="17" t="n">
        <v>11</v>
      </c>
      <c r="Q3565" s="17" t="str">
        <f aca="false">VLOOKUP(P3565,Sheet2!J:K,2,0)</f>
        <v>IR Declared due to CID -TA</v>
      </c>
      <c r="R3565" s="17" t="s">
        <v>35</v>
      </c>
      <c r="S3565" s="17" t="str">
        <f aca="false">VLOOKUP(R3565,Sheet2!N:O,2,0)</f>
        <v>IREPARABLE</v>
      </c>
      <c r="T3565" s="18" t="str">
        <f aca="false">VLOOKUP(P3565,Sheet2!Q:R,2,0)</f>
        <v>IR Normal - Track burn out</v>
      </c>
      <c r="U3565" s="20" t="s">
        <v>41</v>
      </c>
      <c r="V3565" s="17"/>
      <c r="W3565" s="20" t="e">
        <f aca="false">VLOOKUP(V3565,Sheet2!Q:R,2,0)</f>
        <v>#N/A</v>
      </c>
      <c r="X3565" s="17" t="n">
        <f aca="false">J3565</f>
        <v>0</v>
      </c>
      <c r="Y3565" s="17" t="e">
        <f aca="false">VLOOKUP(X3565,Sheet2!A:B,2,0)</f>
        <v>#N/A</v>
      </c>
      <c r="Z3565" s="17"/>
      <c r="AA3565" s="17"/>
      <c r="AB3565" s="17" t="s">
        <v>41</v>
      </c>
      <c r="AC3565" s="0" t="str">
        <f aca="false">LEFT(G3565,2)</f>
        <v/>
      </c>
      <c r="AE3565" s="0"/>
    </row>
    <row r="3566" customFormat="false" ht="15" hidden="false" customHeight="false" outlineLevel="0" collapsed="false">
      <c r="A3566" s="13" t="n">
        <f aca="false">1+A3565</f>
        <v>3564</v>
      </c>
      <c r="B3566" s="14" t="n">
        <v>100</v>
      </c>
      <c r="C3566" s="15"/>
      <c r="D3566" s="16" t="s">
        <v>64</v>
      </c>
      <c r="E3566" s="17" t="s">
        <v>47</v>
      </c>
      <c r="F3566" s="18" t="s">
        <v>34</v>
      </c>
      <c r="G3566" s="19"/>
      <c r="H3566" s="17" t="s">
        <v>35</v>
      </c>
      <c r="I3566" s="17" t="s">
        <v>44</v>
      </c>
      <c r="J3566" s="17"/>
      <c r="K3566" s="17" t="e">
        <f aca="false">VLOOKUP(J3566,Sheet2!A:B,2,0)</f>
        <v>#N/A</v>
      </c>
      <c r="L3566" s="17" t="n">
        <v>5</v>
      </c>
      <c r="M3566" s="17" t="str">
        <f aca="false">VLOOKUP(L3566,Sheet2!D:E,2,0)</f>
        <v>Main Processor CPU BGA</v>
      </c>
      <c r="N3566" s="17" t="n">
        <v>1</v>
      </c>
      <c r="O3566" s="17" t="str">
        <f aca="false">VLOOKUP(N3566,Sheet2!G:H,2,0)</f>
        <v>Dead</v>
      </c>
      <c r="P3566" s="17" t="n">
        <v>11</v>
      </c>
      <c r="Q3566" s="17" t="str">
        <f aca="false">VLOOKUP(P3566,Sheet2!J:K,2,0)</f>
        <v>IR Declared due to CID -TA</v>
      </c>
      <c r="R3566" s="17" t="s">
        <v>35</v>
      </c>
      <c r="S3566" s="17" t="str">
        <f aca="false">VLOOKUP(R3566,Sheet2!N:O,2,0)</f>
        <v>IREPARABLE</v>
      </c>
      <c r="T3566" s="18" t="str">
        <f aca="false">VLOOKUP(P3566,Sheet2!Q:R,2,0)</f>
        <v>IR Normal - Track burn out</v>
      </c>
      <c r="U3566" s="20" t="s">
        <v>41</v>
      </c>
      <c r="V3566" s="17"/>
      <c r="W3566" s="20" t="e">
        <f aca="false">VLOOKUP(V3566,Sheet2!Q:R,2,0)</f>
        <v>#N/A</v>
      </c>
      <c r="X3566" s="17" t="n">
        <f aca="false">J3566</f>
        <v>0</v>
      </c>
      <c r="Y3566" s="17" t="e">
        <f aca="false">VLOOKUP(X3566,Sheet2!A:B,2,0)</f>
        <v>#N/A</v>
      </c>
      <c r="Z3566" s="17"/>
      <c r="AA3566" s="17"/>
      <c r="AB3566" s="17" t="s">
        <v>41</v>
      </c>
      <c r="AC3566" s="0" t="str">
        <f aca="false">LEFT(G3566,2)</f>
        <v/>
      </c>
      <c r="AE3566" s="0"/>
    </row>
    <row r="3567" customFormat="false" ht="15" hidden="false" customHeight="false" outlineLevel="0" collapsed="false">
      <c r="A3567" s="13" t="n">
        <f aca="false">1+A3566</f>
        <v>3565</v>
      </c>
      <c r="B3567" s="14" t="n">
        <v>100</v>
      </c>
      <c r="C3567" s="15"/>
      <c r="D3567" s="16" t="s">
        <v>64</v>
      </c>
      <c r="E3567" s="17" t="s">
        <v>47</v>
      </c>
      <c r="F3567" s="18" t="s">
        <v>34</v>
      </c>
      <c r="G3567" s="19"/>
      <c r="H3567" s="17" t="s">
        <v>35</v>
      </c>
      <c r="I3567" s="17" t="s">
        <v>44</v>
      </c>
      <c r="J3567" s="17"/>
      <c r="K3567" s="17" t="e">
        <f aca="false">VLOOKUP(J3567,Sheet2!A:B,2,0)</f>
        <v>#N/A</v>
      </c>
      <c r="L3567" s="17" t="n">
        <v>5</v>
      </c>
      <c r="M3567" s="17" t="str">
        <f aca="false">VLOOKUP(L3567,Sheet2!D:E,2,0)</f>
        <v>Main Processor CPU BGA</v>
      </c>
      <c r="N3567" s="17" t="n">
        <v>1</v>
      </c>
      <c r="O3567" s="17" t="str">
        <f aca="false">VLOOKUP(N3567,Sheet2!G:H,2,0)</f>
        <v>Dead</v>
      </c>
      <c r="P3567" s="17" t="n">
        <v>11</v>
      </c>
      <c r="Q3567" s="17" t="str">
        <f aca="false">VLOOKUP(P3567,Sheet2!J:K,2,0)</f>
        <v>IR Declared due to CID -TA</v>
      </c>
      <c r="R3567" s="17" t="s">
        <v>35</v>
      </c>
      <c r="S3567" s="17" t="str">
        <f aca="false">VLOOKUP(R3567,Sheet2!N:O,2,0)</f>
        <v>IREPARABLE</v>
      </c>
      <c r="T3567" s="18" t="str">
        <f aca="false">VLOOKUP(P3567,Sheet2!Q:R,2,0)</f>
        <v>IR Normal - Track burn out</v>
      </c>
      <c r="U3567" s="20" t="s">
        <v>41</v>
      </c>
      <c r="V3567" s="17"/>
      <c r="W3567" s="20" t="e">
        <f aca="false">VLOOKUP(V3567,Sheet2!Q:R,2,0)</f>
        <v>#N/A</v>
      </c>
      <c r="X3567" s="17" t="n">
        <f aca="false">J3567</f>
        <v>0</v>
      </c>
      <c r="Y3567" s="17" t="e">
        <f aca="false">VLOOKUP(X3567,Sheet2!A:B,2,0)</f>
        <v>#N/A</v>
      </c>
      <c r="Z3567" s="17"/>
      <c r="AA3567" s="17"/>
      <c r="AB3567" s="17" t="s">
        <v>41</v>
      </c>
      <c r="AC3567" s="0" t="str">
        <f aca="false">LEFT(G3567,2)</f>
        <v/>
      </c>
      <c r="AE3567" s="0"/>
    </row>
    <row r="3568" customFormat="false" ht="15" hidden="false" customHeight="false" outlineLevel="0" collapsed="false">
      <c r="A3568" s="13" t="n">
        <f aca="false">1+A3567</f>
        <v>3566</v>
      </c>
      <c r="B3568" s="14" t="n">
        <v>100</v>
      </c>
      <c r="C3568" s="15"/>
      <c r="D3568" s="16" t="s">
        <v>64</v>
      </c>
      <c r="E3568" s="17" t="s">
        <v>47</v>
      </c>
      <c r="F3568" s="18" t="s">
        <v>34</v>
      </c>
      <c r="G3568" s="19"/>
      <c r="H3568" s="17" t="s">
        <v>35</v>
      </c>
      <c r="I3568" s="17" t="s">
        <v>44</v>
      </c>
      <c r="J3568" s="17"/>
      <c r="K3568" s="17" t="e">
        <f aca="false">VLOOKUP(J3568,Sheet2!A:B,2,0)</f>
        <v>#N/A</v>
      </c>
      <c r="L3568" s="17" t="n">
        <v>5</v>
      </c>
      <c r="M3568" s="17" t="str">
        <f aca="false">VLOOKUP(L3568,Sheet2!D:E,2,0)</f>
        <v>Main Processor CPU BGA</v>
      </c>
      <c r="N3568" s="17" t="n">
        <v>1</v>
      </c>
      <c r="O3568" s="17" t="str">
        <f aca="false">VLOOKUP(N3568,Sheet2!G:H,2,0)</f>
        <v>Dead</v>
      </c>
      <c r="P3568" s="17" t="n">
        <v>11</v>
      </c>
      <c r="Q3568" s="17" t="str">
        <f aca="false">VLOOKUP(P3568,Sheet2!J:K,2,0)</f>
        <v>IR Declared due to CID -TA</v>
      </c>
      <c r="R3568" s="17" t="s">
        <v>35</v>
      </c>
      <c r="S3568" s="17" t="str">
        <f aca="false">VLOOKUP(R3568,Sheet2!N:O,2,0)</f>
        <v>IREPARABLE</v>
      </c>
      <c r="T3568" s="18" t="str">
        <f aca="false">VLOOKUP(P3568,Sheet2!Q:R,2,0)</f>
        <v>IR Normal - Track burn out</v>
      </c>
      <c r="U3568" s="20" t="s">
        <v>41</v>
      </c>
      <c r="V3568" s="17"/>
      <c r="W3568" s="20" t="e">
        <f aca="false">VLOOKUP(V3568,Sheet2!Q:R,2,0)</f>
        <v>#N/A</v>
      </c>
      <c r="X3568" s="17" t="n">
        <f aca="false">J3568</f>
        <v>0</v>
      </c>
      <c r="Y3568" s="17" t="e">
        <f aca="false">VLOOKUP(X3568,Sheet2!A:B,2,0)</f>
        <v>#N/A</v>
      </c>
      <c r="Z3568" s="17"/>
      <c r="AA3568" s="17"/>
      <c r="AB3568" s="17" t="s">
        <v>41</v>
      </c>
      <c r="AC3568" s="0" t="str">
        <f aca="false">LEFT(G3568,2)</f>
        <v/>
      </c>
      <c r="AE3568" s="0"/>
    </row>
    <row r="3569" customFormat="false" ht="15" hidden="false" customHeight="false" outlineLevel="0" collapsed="false">
      <c r="A3569" s="13" t="n">
        <f aca="false">1+A3568</f>
        <v>3567</v>
      </c>
      <c r="B3569" s="14" t="n">
        <v>100</v>
      </c>
      <c r="C3569" s="15"/>
      <c r="D3569" s="16" t="s">
        <v>64</v>
      </c>
      <c r="E3569" s="17" t="s">
        <v>47</v>
      </c>
      <c r="F3569" s="18" t="s">
        <v>34</v>
      </c>
      <c r="G3569" s="19"/>
      <c r="H3569" s="17" t="s">
        <v>35</v>
      </c>
      <c r="I3569" s="17" t="s">
        <v>44</v>
      </c>
      <c r="J3569" s="17"/>
      <c r="K3569" s="17" t="e">
        <f aca="false">VLOOKUP(J3569,Sheet2!A:B,2,0)</f>
        <v>#N/A</v>
      </c>
      <c r="L3569" s="17" t="n">
        <v>5</v>
      </c>
      <c r="M3569" s="17" t="str">
        <f aca="false">VLOOKUP(L3569,Sheet2!D:E,2,0)</f>
        <v>Main Processor CPU BGA</v>
      </c>
      <c r="N3569" s="17" t="n">
        <v>1</v>
      </c>
      <c r="O3569" s="17" t="str">
        <f aca="false">VLOOKUP(N3569,Sheet2!G:H,2,0)</f>
        <v>Dead</v>
      </c>
      <c r="P3569" s="17" t="n">
        <v>11</v>
      </c>
      <c r="Q3569" s="17" t="str">
        <f aca="false">VLOOKUP(P3569,Sheet2!J:K,2,0)</f>
        <v>IR Declared due to CID -TA</v>
      </c>
      <c r="R3569" s="17" t="s">
        <v>35</v>
      </c>
      <c r="S3569" s="17" t="str">
        <f aca="false">VLOOKUP(R3569,Sheet2!N:O,2,0)</f>
        <v>IREPARABLE</v>
      </c>
      <c r="T3569" s="18" t="str">
        <f aca="false">VLOOKUP(P3569,Sheet2!Q:R,2,0)</f>
        <v>IR Normal - Track burn out</v>
      </c>
      <c r="U3569" s="20" t="s">
        <v>41</v>
      </c>
      <c r="V3569" s="17"/>
      <c r="W3569" s="20" t="e">
        <f aca="false">VLOOKUP(V3569,Sheet2!Q:R,2,0)</f>
        <v>#N/A</v>
      </c>
      <c r="X3569" s="17" t="n">
        <f aca="false">J3569</f>
        <v>0</v>
      </c>
      <c r="Y3569" s="17" t="e">
        <f aca="false">VLOOKUP(X3569,Sheet2!A:B,2,0)</f>
        <v>#N/A</v>
      </c>
      <c r="Z3569" s="17"/>
      <c r="AA3569" s="17"/>
      <c r="AB3569" s="17" t="s">
        <v>41</v>
      </c>
      <c r="AC3569" s="0" t="str">
        <f aca="false">LEFT(G3569,2)</f>
        <v/>
      </c>
      <c r="AE3569" s="0"/>
    </row>
    <row r="3570" customFormat="false" ht="15" hidden="false" customHeight="false" outlineLevel="0" collapsed="false">
      <c r="A3570" s="13" t="n">
        <f aca="false">1+A3569</f>
        <v>3568</v>
      </c>
      <c r="B3570" s="14" t="n">
        <v>100</v>
      </c>
      <c r="C3570" s="15"/>
      <c r="D3570" s="16" t="s">
        <v>64</v>
      </c>
      <c r="E3570" s="17" t="s">
        <v>47</v>
      </c>
      <c r="F3570" s="18" t="s">
        <v>34</v>
      </c>
      <c r="G3570" s="19"/>
      <c r="H3570" s="17" t="s">
        <v>35</v>
      </c>
      <c r="I3570" s="17" t="s">
        <v>44</v>
      </c>
      <c r="J3570" s="17"/>
      <c r="K3570" s="17" t="e">
        <f aca="false">VLOOKUP(J3570,Sheet2!A:B,2,0)</f>
        <v>#N/A</v>
      </c>
      <c r="L3570" s="17" t="n">
        <v>5</v>
      </c>
      <c r="M3570" s="17" t="str">
        <f aca="false">VLOOKUP(L3570,Sheet2!D:E,2,0)</f>
        <v>Main Processor CPU BGA</v>
      </c>
      <c r="N3570" s="17" t="n">
        <v>1</v>
      </c>
      <c r="O3570" s="17" t="str">
        <f aca="false">VLOOKUP(N3570,Sheet2!G:H,2,0)</f>
        <v>Dead</v>
      </c>
      <c r="P3570" s="17" t="n">
        <v>11</v>
      </c>
      <c r="Q3570" s="17" t="str">
        <f aca="false">VLOOKUP(P3570,Sheet2!J:K,2,0)</f>
        <v>IR Declared due to CID -TA</v>
      </c>
      <c r="R3570" s="17" t="s">
        <v>35</v>
      </c>
      <c r="S3570" s="17" t="str">
        <f aca="false">VLOOKUP(R3570,Sheet2!N:O,2,0)</f>
        <v>IREPARABLE</v>
      </c>
      <c r="T3570" s="18" t="str">
        <f aca="false">VLOOKUP(P3570,Sheet2!Q:R,2,0)</f>
        <v>IR Normal - Track burn out</v>
      </c>
      <c r="U3570" s="20" t="s">
        <v>41</v>
      </c>
      <c r="V3570" s="17"/>
      <c r="W3570" s="20" t="e">
        <f aca="false">VLOOKUP(V3570,Sheet2!Q:R,2,0)</f>
        <v>#N/A</v>
      </c>
      <c r="X3570" s="17" t="n">
        <f aca="false">J3570</f>
        <v>0</v>
      </c>
      <c r="Y3570" s="17" t="e">
        <f aca="false">VLOOKUP(X3570,Sheet2!A:B,2,0)</f>
        <v>#N/A</v>
      </c>
      <c r="Z3570" s="17"/>
      <c r="AA3570" s="17"/>
      <c r="AB3570" s="17" t="s">
        <v>41</v>
      </c>
      <c r="AC3570" s="0" t="str">
        <f aca="false">LEFT(G3570,2)</f>
        <v/>
      </c>
      <c r="AE3570" s="0"/>
    </row>
    <row r="3571" customFormat="false" ht="15" hidden="false" customHeight="false" outlineLevel="0" collapsed="false">
      <c r="A3571" s="13" t="n">
        <f aca="false">1+A3570</f>
        <v>3569</v>
      </c>
      <c r="B3571" s="14" t="n">
        <v>100</v>
      </c>
      <c r="C3571" s="15"/>
      <c r="D3571" s="16" t="s">
        <v>64</v>
      </c>
      <c r="E3571" s="17" t="s">
        <v>47</v>
      </c>
      <c r="F3571" s="18" t="s">
        <v>34</v>
      </c>
      <c r="G3571" s="19"/>
      <c r="H3571" s="17" t="s">
        <v>35</v>
      </c>
      <c r="I3571" s="17" t="s">
        <v>44</v>
      </c>
      <c r="J3571" s="17"/>
      <c r="K3571" s="17" t="e">
        <f aca="false">VLOOKUP(J3571,Sheet2!A:B,2,0)</f>
        <v>#N/A</v>
      </c>
      <c r="L3571" s="17" t="n">
        <v>5</v>
      </c>
      <c r="M3571" s="17" t="str">
        <f aca="false">VLOOKUP(L3571,Sheet2!D:E,2,0)</f>
        <v>Main Processor CPU BGA</v>
      </c>
      <c r="N3571" s="17" t="n">
        <v>1</v>
      </c>
      <c r="O3571" s="17" t="str">
        <f aca="false">VLOOKUP(N3571,Sheet2!G:H,2,0)</f>
        <v>Dead</v>
      </c>
      <c r="P3571" s="17" t="n">
        <v>11</v>
      </c>
      <c r="Q3571" s="17" t="str">
        <f aca="false">VLOOKUP(P3571,Sheet2!J:K,2,0)</f>
        <v>IR Declared due to CID -TA</v>
      </c>
      <c r="R3571" s="17" t="s">
        <v>35</v>
      </c>
      <c r="S3571" s="17" t="str">
        <f aca="false">VLOOKUP(R3571,Sheet2!N:O,2,0)</f>
        <v>IREPARABLE</v>
      </c>
      <c r="T3571" s="18" t="str">
        <f aca="false">VLOOKUP(P3571,Sheet2!Q:R,2,0)</f>
        <v>IR Normal - Track burn out</v>
      </c>
      <c r="U3571" s="20" t="s">
        <v>41</v>
      </c>
      <c r="V3571" s="17"/>
      <c r="W3571" s="20" t="e">
        <f aca="false">VLOOKUP(V3571,Sheet2!Q:R,2,0)</f>
        <v>#N/A</v>
      </c>
      <c r="X3571" s="17" t="n">
        <f aca="false">J3571</f>
        <v>0</v>
      </c>
      <c r="Y3571" s="17" t="e">
        <f aca="false">VLOOKUP(X3571,Sheet2!A:B,2,0)</f>
        <v>#N/A</v>
      </c>
      <c r="Z3571" s="17"/>
      <c r="AA3571" s="17"/>
      <c r="AB3571" s="17" t="s">
        <v>41</v>
      </c>
      <c r="AC3571" s="0" t="str">
        <f aca="false">LEFT(G3571,2)</f>
        <v/>
      </c>
      <c r="AE3571" s="0"/>
    </row>
    <row r="3572" customFormat="false" ht="15" hidden="false" customHeight="false" outlineLevel="0" collapsed="false">
      <c r="A3572" s="13" t="n">
        <f aca="false">1+A3571</f>
        <v>3570</v>
      </c>
      <c r="B3572" s="14" t="n">
        <v>100</v>
      </c>
      <c r="C3572" s="15"/>
      <c r="D3572" s="16" t="s">
        <v>64</v>
      </c>
      <c r="E3572" s="17" t="s">
        <v>47</v>
      </c>
      <c r="F3572" s="18" t="s">
        <v>34</v>
      </c>
      <c r="G3572" s="19"/>
      <c r="H3572" s="17" t="s">
        <v>35</v>
      </c>
      <c r="I3572" s="17" t="s">
        <v>44</v>
      </c>
      <c r="J3572" s="17"/>
      <c r="K3572" s="17" t="e">
        <f aca="false">VLOOKUP(J3572,Sheet2!A:B,2,0)</f>
        <v>#N/A</v>
      </c>
      <c r="L3572" s="17" t="n">
        <v>5</v>
      </c>
      <c r="M3572" s="17" t="str">
        <f aca="false">VLOOKUP(L3572,Sheet2!D:E,2,0)</f>
        <v>Main Processor CPU BGA</v>
      </c>
      <c r="N3572" s="17" t="n">
        <v>1</v>
      </c>
      <c r="O3572" s="17" t="str">
        <f aca="false">VLOOKUP(N3572,Sheet2!G:H,2,0)</f>
        <v>Dead</v>
      </c>
      <c r="P3572" s="17" t="n">
        <v>11</v>
      </c>
      <c r="Q3572" s="17" t="str">
        <f aca="false">VLOOKUP(P3572,Sheet2!J:K,2,0)</f>
        <v>IR Declared due to CID -TA</v>
      </c>
      <c r="R3572" s="17" t="s">
        <v>35</v>
      </c>
      <c r="S3572" s="17" t="str">
        <f aca="false">VLOOKUP(R3572,Sheet2!N:O,2,0)</f>
        <v>IREPARABLE</v>
      </c>
      <c r="T3572" s="18" t="str">
        <f aca="false">VLOOKUP(P3572,Sheet2!Q:R,2,0)</f>
        <v>IR Normal - Track burn out</v>
      </c>
      <c r="U3572" s="20" t="s">
        <v>41</v>
      </c>
      <c r="V3572" s="17"/>
      <c r="W3572" s="20" t="e">
        <f aca="false">VLOOKUP(V3572,Sheet2!Q:R,2,0)</f>
        <v>#N/A</v>
      </c>
      <c r="X3572" s="17" t="n">
        <f aca="false">J3572</f>
        <v>0</v>
      </c>
      <c r="Y3572" s="17" t="e">
        <f aca="false">VLOOKUP(X3572,Sheet2!A:B,2,0)</f>
        <v>#N/A</v>
      </c>
      <c r="Z3572" s="17"/>
      <c r="AA3572" s="17"/>
      <c r="AB3572" s="17" t="s">
        <v>41</v>
      </c>
      <c r="AC3572" s="0" t="str">
        <f aca="false">LEFT(G3572,2)</f>
        <v/>
      </c>
      <c r="AE3572" s="0"/>
    </row>
    <row r="3573" customFormat="false" ht="15" hidden="false" customHeight="false" outlineLevel="0" collapsed="false">
      <c r="A3573" s="13" t="n">
        <f aca="false">1+A3572</f>
        <v>3571</v>
      </c>
      <c r="B3573" s="14" t="n">
        <v>100</v>
      </c>
      <c r="C3573" s="15"/>
      <c r="D3573" s="16" t="s">
        <v>64</v>
      </c>
      <c r="E3573" s="17" t="s">
        <v>47</v>
      </c>
      <c r="F3573" s="18" t="s">
        <v>34</v>
      </c>
      <c r="G3573" s="19"/>
      <c r="H3573" s="17" t="s">
        <v>35</v>
      </c>
      <c r="I3573" s="17" t="s">
        <v>44</v>
      </c>
      <c r="J3573" s="17"/>
      <c r="K3573" s="17" t="e">
        <f aca="false">VLOOKUP(J3573,Sheet2!A:B,2,0)</f>
        <v>#N/A</v>
      </c>
      <c r="L3573" s="17" t="n">
        <v>5</v>
      </c>
      <c r="M3573" s="17" t="str">
        <f aca="false">VLOOKUP(L3573,Sheet2!D:E,2,0)</f>
        <v>Main Processor CPU BGA</v>
      </c>
      <c r="N3573" s="17" t="n">
        <v>1</v>
      </c>
      <c r="O3573" s="17" t="str">
        <f aca="false">VLOOKUP(N3573,Sheet2!G:H,2,0)</f>
        <v>Dead</v>
      </c>
      <c r="P3573" s="17" t="n">
        <v>11</v>
      </c>
      <c r="Q3573" s="17" t="str">
        <f aca="false">VLOOKUP(P3573,Sheet2!J:K,2,0)</f>
        <v>IR Declared due to CID -TA</v>
      </c>
      <c r="R3573" s="17" t="s">
        <v>35</v>
      </c>
      <c r="S3573" s="17" t="str">
        <f aca="false">VLOOKUP(R3573,Sheet2!N:O,2,0)</f>
        <v>IREPARABLE</v>
      </c>
      <c r="T3573" s="18" t="str">
        <f aca="false">VLOOKUP(P3573,Sheet2!Q:R,2,0)</f>
        <v>IR Normal - Track burn out</v>
      </c>
      <c r="U3573" s="20" t="s">
        <v>41</v>
      </c>
      <c r="V3573" s="17"/>
      <c r="W3573" s="20" t="e">
        <f aca="false">VLOOKUP(V3573,Sheet2!Q:R,2,0)</f>
        <v>#N/A</v>
      </c>
      <c r="X3573" s="17" t="n">
        <f aca="false">J3573</f>
        <v>0</v>
      </c>
      <c r="Y3573" s="17" t="e">
        <f aca="false">VLOOKUP(X3573,Sheet2!A:B,2,0)</f>
        <v>#N/A</v>
      </c>
      <c r="Z3573" s="17"/>
      <c r="AA3573" s="17"/>
      <c r="AB3573" s="17" t="s">
        <v>41</v>
      </c>
      <c r="AC3573" s="0" t="str">
        <f aca="false">LEFT(G3573,2)</f>
        <v/>
      </c>
      <c r="AE3573" s="0"/>
    </row>
    <row r="3574" customFormat="false" ht="15" hidden="false" customHeight="false" outlineLevel="0" collapsed="false">
      <c r="A3574" s="13" t="n">
        <f aca="false">1+A3573</f>
        <v>3572</v>
      </c>
      <c r="B3574" s="14" t="n">
        <v>100</v>
      </c>
      <c r="C3574" s="15"/>
      <c r="D3574" s="16" t="s">
        <v>64</v>
      </c>
      <c r="E3574" s="17" t="s">
        <v>47</v>
      </c>
      <c r="F3574" s="18" t="s">
        <v>34</v>
      </c>
      <c r="G3574" s="19"/>
      <c r="H3574" s="17" t="s">
        <v>35</v>
      </c>
      <c r="I3574" s="17" t="s">
        <v>44</v>
      </c>
      <c r="J3574" s="17"/>
      <c r="K3574" s="17" t="e">
        <f aca="false">VLOOKUP(J3574,Sheet2!A:B,2,0)</f>
        <v>#N/A</v>
      </c>
      <c r="L3574" s="17" t="n">
        <v>5</v>
      </c>
      <c r="M3574" s="17" t="str">
        <f aca="false">VLOOKUP(L3574,Sheet2!D:E,2,0)</f>
        <v>Main Processor CPU BGA</v>
      </c>
      <c r="N3574" s="17" t="n">
        <v>1</v>
      </c>
      <c r="O3574" s="17" t="str">
        <f aca="false">VLOOKUP(N3574,Sheet2!G:H,2,0)</f>
        <v>Dead</v>
      </c>
      <c r="P3574" s="17" t="n">
        <v>11</v>
      </c>
      <c r="Q3574" s="17" t="str">
        <f aca="false">VLOOKUP(P3574,Sheet2!J:K,2,0)</f>
        <v>IR Declared due to CID -TA</v>
      </c>
      <c r="R3574" s="17" t="s">
        <v>35</v>
      </c>
      <c r="S3574" s="17" t="str">
        <f aca="false">VLOOKUP(R3574,Sheet2!N:O,2,0)</f>
        <v>IREPARABLE</v>
      </c>
      <c r="T3574" s="18" t="str">
        <f aca="false">VLOOKUP(P3574,Sheet2!Q:R,2,0)</f>
        <v>IR Normal - Track burn out</v>
      </c>
      <c r="U3574" s="20" t="s">
        <v>41</v>
      </c>
      <c r="V3574" s="17"/>
      <c r="W3574" s="20" t="e">
        <f aca="false">VLOOKUP(V3574,Sheet2!Q:R,2,0)</f>
        <v>#N/A</v>
      </c>
      <c r="X3574" s="17" t="n">
        <f aca="false">J3574</f>
        <v>0</v>
      </c>
      <c r="Y3574" s="17" t="e">
        <f aca="false">VLOOKUP(X3574,Sheet2!A:B,2,0)</f>
        <v>#N/A</v>
      </c>
      <c r="Z3574" s="17"/>
      <c r="AA3574" s="17"/>
      <c r="AB3574" s="17" t="s">
        <v>41</v>
      </c>
      <c r="AC3574" s="0" t="str">
        <f aca="false">LEFT(G3574,2)</f>
        <v/>
      </c>
    </row>
    <row r="3575" customFormat="false" ht="15" hidden="false" customHeight="false" outlineLevel="0" collapsed="false">
      <c r="A3575" s="13" t="n">
        <f aca="false">1+A3574</f>
        <v>3573</v>
      </c>
      <c r="B3575" s="14" t="n">
        <v>100</v>
      </c>
      <c r="C3575" s="15"/>
      <c r="D3575" s="16" t="s">
        <v>64</v>
      </c>
      <c r="E3575" s="17" t="s">
        <v>47</v>
      </c>
      <c r="F3575" s="18" t="s">
        <v>34</v>
      </c>
      <c r="G3575" s="19"/>
      <c r="H3575" s="17" t="s">
        <v>35</v>
      </c>
      <c r="I3575" s="17" t="s">
        <v>44</v>
      </c>
      <c r="J3575" s="17"/>
      <c r="K3575" s="17" t="e">
        <f aca="false">VLOOKUP(J3575,Sheet2!A:B,2,0)</f>
        <v>#N/A</v>
      </c>
      <c r="L3575" s="17" t="n">
        <v>5</v>
      </c>
      <c r="M3575" s="17" t="str">
        <f aca="false">VLOOKUP(L3575,Sheet2!D:E,2,0)</f>
        <v>Main Processor CPU BGA</v>
      </c>
      <c r="N3575" s="17" t="n">
        <v>1</v>
      </c>
      <c r="O3575" s="17" t="str">
        <f aca="false">VLOOKUP(N3575,Sheet2!G:H,2,0)</f>
        <v>Dead</v>
      </c>
      <c r="P3575" s="17" t="n">
        <v>11</v>
      </c>
      <c r="Q3575" s="17" t="str">
        <f aca="false">VLOOKUP(P3575,Sheet2!J:K,2,0)</f>
        <v>IR Declared due to CID -TA</v>
      </c>
      <c r="R3575" s="17" t="s">
        <v>35</v>
      </c>
      <c r="S3575" s="17" t="str">
        <f aca="false">VLOOKUP(R3575,Sheet2!N:O,2,0)</f>
        <v>IREPARABLE</v>
      </c>
      <c r="T3575" s="18" t="str">
        <f aca="false">VLOOKUP(P3575,Sheet2!Q:R,2,0)</f>
        <v>IR Normal - Track burn out</v>
      </c>
      <c r="U3575" s="20" t="s">
        <v>41</v>
      </c>
      <c r="V3575" s="17"/>
      <c r="W3575" s="20" t="e">
        <f aca="false">VLOOKUP(V3575,Sheet2!Q:R,2,0)</f>
        <v>#N/A</v>
      </c>
      <c r="X3575" s="17" t="n">
        <f aca="false">J3575</f>
        <v>0</v>
      </c>
      <c r="Y3575" s="17" t="e">
        <f aca="false">VLOOKUP(X3575,Sheet2!A:B,2,0)</f>
        <v>#N/A</v>
      </c>
      <c r="Z3575" s="17"/>
      <c r="AA3575" s="17"/>
      <c r="AB3575" s="17" t="s">
        <v>41</v>
      </c>
      <c r="AC3575" s="0" t="str">
        <f aca="false">LEFT(G3575,2)</f>
        <v/>
      </c>
    </row>
    <row r="3576" customFormat="false" ht="15" hidden="false" customHeight="false" outlineLevel="0" collapsed="false">
      <c r="A3576" s="13" t="n">
        <f aca="false">1+A3575</f>
        <v>3574</v>
      </c>
      <c r="B3576" s="14" t="n">
        <v>100</v>
      </c>
      <c r="C3576" s="15"/>
      <c r="D3576" s="16" t="s">
        <v>64</v>
      </c>
      <c r="E3576" s="17" t="s">
        <v>47</v>
      </c>
      <c r="F3576" s="18" t="s">
        <v>34</v>
      </c>
      <c r="G3576" s="19"/>
      <c r="H3576" s="17" t="s">
        <v>35</v>
      </c>
      <c r="I3576" s="17" t="s">
        <v>44</v>
      </c>
      <c r="J3576" s="17"/>
      <c r="K3576" s="17" t="e">
        <f aca="false">VLOOKUP(J3576,Sheet2!A:B,2,0)</f>
        <v>#N/A</v>
      </c>
      <c r="L3576" s="17" t="n">
        <v>5</v>
      </c>
      <c r="M3576" s="17" t="str">
        <f aca="false">VLOOKUP(L3576,Sheet2!D:E,2,0)</f>
        <v>Main Processor CPU BGA</v>
      </c>
      <c r="N3576" s="17" t="n">
        <v>1</v>
      </c>
      <c r="O3576" s="17" t="str">
        <f aca="false">VLOOKUP(N3576,Sheet2!G:H,2,0)</f>
        <v>Dead</v>
      </c>
      <c r="P3576" s="17" t="n">
        <v>11</v>
      </c>
      <c r="Q3576" s="17" t="str">
        <f aca="false">VLOOKUP(P3576,Sheet2!J:K,2,0)</f>
        <v>IR Declared due to CID -TA</v>
      </c>
      <c r="R3576" s="17" t="s">
        <v>35</v>
      </c>
      <c r="S3576" s="17" t="str">
        <f aca="false">VLOOKUP(R3576,Sheet2!N:O,2,0)</f>
        <v>IREPARABLE</v>
      </c>
      <c r="T3576" s="18" t="str">
        <f aca="false">VLOOKUP(P3576,Sheet2!Q:R,2,0)</f>
        <v>IR Normal - Track burn out</v>
      </c>
      <c r="U3576" s="20" t="s">
        <v>41</v>
      </c>
      <c r="V3576" s="17"/>
      <c r="W3576" s="20" t="e">
        <f aca="false">VLOOKUP(V3576,Sheet2!Q:R,2,0)</f>
        <v>#N/A</v>
      </c>
      <c r="X3576" s="17" t="n">
        <f aca="false">J3576</f>
        <v>0</v>
      </c>
      <c r="Y3576" s="17" t="e">
        <f aca="false">VLOOKUP(X3576,Sheet2!A:B,2,0)</f>
        <v>#N/A</v>
      </c>
      <c r="Z3576" s="17"/>
      <c r="AA3576" s="17"/>
      <c r="AB3576" s="17" t="s">
        <v>41</v>
      </c>
      <c r="AC3576" s="0" t="str">
        <f aca="false">LEFT(G3576,2)</f>
        <v/>
      </c>
    </row>
    <row r="3577" customFormat="false" ht="15" hidden="false" customHeight="false" outlineLevel="0" collapsed="false">
      <c r="A3577" s="13" t="n">
        <f aca="false">1+A3576</f>
        <v>3575</v>
      </c>
      <c r="B3577" s="14" t="n">
        <v>100</v>
      </c>
      <c r="C3577" s="15"/>
      <c r="D3577" s="16" t="s">
        <v>64</v>
      </c>
      <c r="E3577" s="17" t="s">
        <v>47</v>
      </c>
      <c r="F3577" s="18" t="s">
        <v>34</v>
      </c>
      <c r="G3577" s="19"/>
      <c r="H3577" s="17" t="s">
        <v>35</v>
      </c>
      <c r="I3577" s="17" t="s">
        <v>44</v>
      </c>
      <c r="J3577" s="17"/>
      <c r="K3577" s="17" t="e">
        <f aca="false">VLOOKUP(J3577,Sheet2!A:B,2,0)</f>
        <v>#N/A</v>
      </c>
      <c r="L3577" s="17" t="n">
        <v>5</v>
      </c>
      <c r="M3577" s="17" t="str">
        <f aca="false">VLOOKUP(L3577,Sheet2!D:E,2,0)</f>
        <v>Main Processor CPU BGA</v>
      </c>
      <c r="N3577" s="17" t="n">
        <v>1</v>
      </c>
      <c r="O3577" s="17" t="str">
        <f aca="false">VLOOKUP(N3577,Sheet2!G:H,2,0)</f>
        <v>Dead</v>
      </c>
      <c r="P3577" s="17" t="n">
        <v>11</v>
      </c>
      <c r="Q3577" s="17" t="str">
        <f aca="false">VLOOKUP(P3577,Sheet2!J:K,2,0)</f>
        <v>IR Declared due to CID -TA</v>
      </c>
      <c r="R3577" s="17" t="s">
        <v>35</v>
      </c>
      <c r="S3577" s="17" t="str">
        <f aca="false">VLOOKUP(R3577,Sheet2!N:O,2,0)</f>
        <v>IREPARABLE</v>
      </c>
      <c r="T3577" s="18" t="str">
        <f aca="false">VLOOKUP(P3577,Sheet2!Q:R,2,0)</f>
        <v>IR Normal - Track burn out</v>
      </c>
      <c r="U3577" s="20" t="s">
        <v>41</v>
      </c>
      <c r="V3577" s="17"/>
      <c r="W3577" s="20" t="e">
        <f aca="false">VLOOKUP(V3577,Sheet2!Q:R,2,0)</f>
        <v>#N/A</v>
      </c>
      <c r="X3577" s="17" t="n">
        <f aca="false">J3577</f>
        <v>0</v>
      </c>
      <c r="Y3577" s="17" t="e">
        <f aca="false">VLOOKUP(X3577,Sheet2!A:B,2,0)</f>
        <v>#N/A</v>
      </c>
      <c r="Z3577" s="17"/>
      <c r="AA3577" s="17"/>
      <c r="AB3577" s="17" t="s">
        <v>41</v>
      </c>
      <c r="AC3577" s="0" t="str">
        <f aca="false">LEFT(G3577,2)</f>
        <v/>
      </c>
    </row>
    <row r="3578" customFormat="false" ht="15" hidden="false" customHeight="false" outlineLevel="0" collapsed="false">
      <c r="A3578" s="13" t="n">
        <f aca="false">1+A3577</f>
        <v>3576</v>
      </c>
      <c r="B3578" s="14" t="n">
        <v>100</v>
      </c>
      <c r="C3578" s="15"/>
      <c r="D3578" s="16" t="s">
        <v>64</v>
      </c>
      <c r="E3578" s="17" t="s">
        <v>47</v>
      </c>
      <c r="F3578" s="18" t="s">
        <v>34</v>
      </c>
      <c r="G3578" s="19"/>
      <c r="H3578" s="17" t="s">
        <v>35</v>
      </c>
      <c r="I3578" s="17" t="s">
        <v>44</v>
      </c>
      <c r="J3578" s="17"/>
      <c r="K3578" s="17" t="e">
        <f aca="false">VLOOKUP(J3578,Sheet2!A:B,2,0)</f>
        <v>#N/A</v>
      </c>
      <c r="L3578" s="17" t="n">
        <v>5</v>
      </c>
      <c r="M3578" s="17" t="str">
        <f aca="false">VLOOKUP(L3578,Sheet2!D:E,2,0)</f>
        <v>Main Processor CPU BGA</v>
      </c>
      <c r="N3578" s="17" t="n">
        <v>1</v>
      </c>
      <c r="O3578" s="17" t="str">
        <f aca="false">VLOOKUP(N3578,Sheet2!G:H,2,0)</f>
        <v>Dead</v>
      </c>
      <c r="P3578" s="17" t="n">
        <v>11</v>
      </c>
      <c r="Q3578" s="17" t="str">
        <f aca="false">VLOOKUP(P3578,Sheet2!J:K,2,0)</f>
        <v>IR Declared due to CID -TA</v>
      </c>
      <c r="R3578" s="17" t="s">
        <v>35</v>
      </c>
      <c r="S3578" s="17" t="str">
        <f aca="false">VLOOKUP(R3578,Sheet2!N:O,2,0)</f>
        <v>IREPARABLE</v>
      </c>
      <c r="T3578" s="18" t="str">
        <f aca="false">VLOOKUP(P3578,Sheet2!Q:R,2,0)</f>
        <v>IR Normal - Track burn out</v>
      </c>
      <c r="U3578" s="20" t="s">
        <v>41</v>
      </c>
      <c r="V3578" s="17"/>
      <c r="W3578" s="20" t="e">
        <f aca="false">VLOOKUP(V3578,Sheet2!Q:R,2,0)</f>
        <v>#N/A</v>
      </c>
      <c r="X3578" s="17" t="n">
        <f aca="false">J3578</f>
        <v>0</v>
      </c>
      <c r="Y3578" s="17" t="e">
        <f aca="false">VLOOKUP(X3578,Sheet2!A:B,2,0)</f>
        <v>#N/A</v>
      </c>
      <c r="Z3578" s="17"/>
      <c r="AA3578" s="17"/>
      <c r="AB3578" s="17" t="s">
        <v>41</v>
      </c>
      <c r="AC3578" s="0" t="str">
        <f aca="false">LEFT(G3578,2)</f>
        <v/>
      </c>
    </row>
    <row r="3579" customFormat="false" ht="15" hidden="false" customHeight="false" outlineLevel="0" collapsed="false">
      <c r="A3579" s="13" t="n">
        <f aca="false">1+A3578</f>
        <v>3577</v>
      </c>
      <c r="B3579" s="14" t="n">
        <v>100</v>
      </c>
      <c r="C3579" s="15"/>
      <c r="D3579" s="16" t="s">
        <v>64</v>
      </c>
      <c r="E3579" s="17" t="s">
        <v>47</v>
      </c>
      <c r="F3579" s="18" t="s">
        <v>34</v>
      </c>
      <c r="G3579" s="19"/>
      <c r="H3579" s="17" t="s">
        <v>35</v>
      </c>
      <c r="I3579" s="17" t="s">
        <v>44</v>
      </c>
      <c r="J3579" s="17"/>
      <c r="K3579" s="17" t="e">
        <f aca="false">VLOOKUP(J3579,Sheet2!A:B,2,0)</f>
        <v>#N/A</v>
      </c>
      <c r="L3579" s="17" t="n">
        <v>5</v>
      </c>
      <c r="M3579" s="17" t="str">
        <f aca="false">VLOOKUP(L3579,Sheet2!D:E,2,0)</f>
        <v>Main Processor CPU BGA</v>
      </c>
      <c r="N3579" s="17" t="n">
        <v>1</v>
      </c>
      <c r="O3579" s="17" t="str">
        <f aca="false">VLOOKUP(N3579,Sheet2!G:H,2,0)</f>
        <v>Dead</v>
      </c>
      <c r="P3579" s="17" t="n">
        <v>11</v>
      </c>
      <c r="Q3579" s="17" t="str">
        <f aca="false">VLOOKUP(P3579,Sheet2!J:K,2,0)</f>
        <v>IR Declared due to CID -TA</v>
      </c>
      <c r="R3579" s="17" t="s">
        <v>35</v>
      </c>
      <c r="S3579" s="17" t="str">
        <f aca="false">VLOOKUP(R3579,Sheet2!N:O,2,0)</f>
        <v>IREPARABLE</v>
      </c>
      <c r="T3579" s="18" t="str">
        <f aca="false">VLOOKUP(P3579,Sheet2!Q:R,2,0)</f>
        <v>IR Normal - Track burn out</v>
      </c>
      <c r="U3579" s="20" t="s">
        <v>41</v>
      </c>
      <c r="V3579" s="17"/>
      <c r="W3579" s="20" t="e">
        <f aca="false">VLOOKUP(V3579,Sheet2!Q:R,2,0)</f>
        <v>#N/A</v>
      </c>
      <c r="X3579" s="17" t="n">
        <f aca="false">J3579</f>
        <v>0</v>
      </c>
      <c r="Y3579" s="17" t="e">
        <f aca="false">VLOOKUP(X3579,Sheet2!A:B,2,0)</f>
        <v>#N/A</v>
      </c>
      <c r="Z3579" s="17"/>
      <c r="AA3579" s="17"/>
      <c r="AB3579" s="17" t="s">
        <v>41</v>
      </c>
      <c r="AC3579" s="0" t="str">
        <f aca="false">LEFT(G3579,2)</f>
        <v/>
      </c>
    </row>
    <row r="3580" customFormat="false" ht="15" hidden="false" customHeight="false" outlineLevel="0" collapsed="false">
      <c r="A3580" s="13" t="n">
        <f aca="false">1+A3579</f>
        <v>3578</v>
      </c>
      <c r="B3580" s="14" t="n">
        <v>100</v>
      </c>
      <c r="C3580" s="15"/>
      <c r="D3580" s="16" t="s">
        <v>64</v>
      </c>
      <c r="E3580" s="17" t="s">
        <v>47</v>
      </c>
      <c r="F3580" s="18" t="s">
        <v>34</v>
      </c>
      <c r="G3580" s="19"/>
      <c r="H3580" s="17" t="s">
        <v>35</v>
      </c>
      <c r="I3580" s="17" t="s">
        <v>44</v>
      </c>
      <c r="J3580" s="17"/>
      <c r="K3580" s="17" t="e">
        <f aca="false">VLOOKUP(J3580,Sheet2!A:B,2,0)</f>
        <v>#N/A</v>
      </c>
      <c r="L3580" s="17" t="n">
        <v>5</v>
      </c>
      <c r="M3580" s="17" t="str">
        <f aca="false">VLOOKUP(L3580,Sheet2!D:E,2,0)</f>
        <v>Main Processor CPU BGA</v>
      </c>
      <c r="N3580" s="17" t="n">
        <v>1</v>
      </c>
      <c r="O3580" s="17" t="str">
        <f aca="false">VLOOKUP(N3580,Sheet2!G:H,2,0)</f>
        <v>Dead</v>
      </c>
      <c r="P3580" s="17" t="n">
        <v>11</v>
      </c>
      <c r="Q3580" s="17" t="str">
        <f aca="false">VLOOKUP(P3580,Sheet2!J:K,2,0)</f>
        <v>IR Declared due to CID -TA</v>
      </c>
      <c r="R3580" s="17" t="s">
        <v>35</v>
      </c>
      <c r="S3580" s="17" t="str">
        <f aca="false">VLOOKUP(R3580,Sheet2!N:O,2,0)</f>
        <v>IREPARABLE</v>
      </c>
      <c r="T3580" s="18" t="str">
        <f aca="false">VLOOKUP(P3580,Sheet2!Q:R,2,0)</f>
        <v>IR Normal - Track burn out</v>
      </c>
      <c r="U3580" s="20" t="s">
        <v>41</v>
      </c>
      <c r="V3580" s="17"/>
      <c r="W3580" s="20" t="e">
        <f aca="false">VLOOKUP(V3580,Sheet2!Q:R,2,0)</f>
        <v>#N/A</v>
      </c>
      <c r="X3580" s="17" t="n">
        <f aca="false">J3580</f>
        <v>0</v>
      </c>
      <c r="Y3580" s="17" t="e">
        <f aca="false">VLOOKUP(X3580,Sheet2!A:B,2,0)</f>
        <v>#N/A</v>
      </c>
      <c r="Z3580" s="17"/>
      <c r="AA3580" s="17"/>
      <c r="AB3580" s="17" t="s">
        <v>41</v>
      </c>
      <c r="AC3580" s="0" t="str">
        <f aca="false">LEFT(G3580,2)</f>
        <v/>
      </c>
    </row>
    <row r="3581" customFormat="false" ht="15" hidden="false" customHeight="false" outlineLevel="0" collapsed="false">
      <c r="A3581" s="13" t="n">
        <f aca="false">1+A3580</f>
        <v>3579</v>
      </c>
      <c r="B3581" s="14" t="n">
        <v>100</v>
      </c>
      <c r="C3581" s="15"/>
      <c r="D3581" s="16" t="s">
        <v>64</v>
      </c>
      <c r="E3581" s="17" t="s">
        <v>47</v>
      </c>
      <c r="F3581" s="18" t="s">
        <v>34</v>
      </c>
      <c r="G3581" s="19"/>
      <c r="H3581" s="17" t="s">
        <v>35</v>
      </c>
      <c r="I3581" s="17" t="s">
        <v>44</v>
      </c>
      <c r="J3581" s="17"/>
      <c r="K3581" s="17" t="e">
        <f aca="false">VLOOKUP(J3581,Sheet2!A:B,2,0)</f>
        <v>#N/A</v>
      </c>
      <c r="L3581" s="17" t="n">
        <v>5</v>
      </c>
      <c r="M3581" s="17" t="str">
        <f aca="false">VLOOKUP(L3581,Sheet2!D:E,2,0)</f>
        <v>Main Processor CPU BGA</v>
      </c>
      <c r="N3581" s="17" t="n">
        <v>1</v>
      </c>
      <c r="O3581" s="17" t="str">
        <f aca="false">VLOOKUP(N3581,Sheet2!G:H,2,0)</f>
        <v>Dead</v>
      </c>
      <c r="P3581" s="17" t="n">
        <v>11</v>
      </c>
      <c r="Q3581" s="17" t="str">
        <f aca="false">VLOOKUP(P3581,Sheet2!J:K,2,0)</f>
        <v>IR Declared due to CID -TA</v>
      </c>
      <c r="R3581" s="17" t="s">
        <v>35</v>
      </c>
      <c r="S3581" s="17" t="str">
        <f aca="false">VLOOKUP(R3581,Sheet2!N:O,2,0)</f>
        <v>IREPARABLE</v>
      </c>
      <c r="T3581" s="18" t="str">
        <f aca="false">VLOOKUP(P3581,Sheet2!Q:R,2,0)</f>
        <v>IR Normal - Track burn out</v>
      </c>
      <c r="U3581" s="20" t="s">
        <v>41</v>
      </c>
      <c r="V3581" s="17"/>
      <c r="W3581" s="20" t="e">
        <f aca="false">VLOOKUP(V3581,Sheet2!Q:R,2,0)</f>
        <v>#N/A</v>
      </c>
      <c r="X3581" s="17" t="n">
        <f aca="false">J3581</f>
        <v>0</v>
      </c>
      <c r="Y3581" s="17" t="e">
        <f aca="false">VLOOKUP(X3581,Sheet2!A:B,2,0)</f>
        <v>#N/A</v>
      </c>
      <c r="Z3581" s="17"/>
      <c r="AA3581" s="17"/>
      <c r="AB3581" s="17" t="s">
        <v>41</v>
      </c>
      <c r="AC3581" s="0" t="str">
        <f aca="false">LEFT(G3581,2)</f>
        <v/>
      </c>
    </row>
    <row r="3582" customFormat="false" ht="15" hidden="false" customHeight="false" outlineLevel="0" collapsed="false">
      <c r="A3582" s="13" t="n">
        <f aca="false">1+A3581</f>
        <v>3580</v>
      </c>
      <c r="B3582" s="14" t="n">
        <v>100</v>
      </c>
      <c r="C3582" s="15"/>
      <c r="D3582" s="16" t="s">
        <v>64</v>
      </c>
      <c r="E3582" s="17" t="s">
        <v>47</v>
      </c>
      <c r="F3582" s="18" t="s">
        <v>34</v>
      </c>
      <c r="G3582" s="19"/>
      <c r="H3582" s="17" t="s">
        <v>35</v>
      </c>
      <c r="I3582" s="17" t="s">
        <v>44</v>
      </c>
      <c r="J3582" s="17"/>
      <c r="K3582" s="17" t="e">
        <f aca="false">VLOOKUP(J3582,Sheet2!A:B,2,0)</f>
        <v>#N/A</v>
      </c>
      <c r="L3582" s="17" t="n">
        <v>5</v>
      </c>
      <c r="M3582" s="17" t="str">
        <f aca="false">VLOOKUP(L3582,Sheet2!D:E,2,0)</f>
        <v>Main Processor CPU BGA</v>
      </c>
      <c r="N3582" s="17" t="n">
        <v>1</v>
      </c>
      <c r="O3582" s="17" t="str">
        <f aca="false">VLOOKUP(N3582,Sheet2!G:H,2,0)</f>
        <v>Dead</v>
      </c>
      <c r="P3582" s="17" t="n">
        <v>11</v>
      </c>
      <c r="Q3582" s="17" t="str">
        <f aca="false">VLOOKUP(P3582,Sheet2!J:K,2,0)</f>
        <v>IR Declared due to CID -TA</v>
      </c>
      <c r="R3582" s="17" t="s">
        <v>35</v>
      </c>
      <c r="S3582" s="17" t="str">
        <f aca="false">VLOOKUP(R3582,Sheet2!N:O,2,0)</f>
        <v>IREPARABLE</v>
      </c>
      <c r="T3582" s="18" t="str">
        <f aca="false">VLOOKUP(P3582,Sheet2!Q:R,2,0)</f>
        <v>IR Normal - Track burn out</v>
      </c>
      <c r="U3582" s="20" t="s">
        <v>41</v>
      </c>
      <c r="V3582" s="17"/>
      <c r="W3582" s="20" t="e">
        <f aca="false">VLOOKUP(V3582,Sheet2!Q:R,2,0)</f>
        <v>#N/A</v>
      </c>
      <c r="X3582" s="17" t="n">
        <f aca="false">J3582</f>
        <v>0</v>
      </c>
      <c r="Y3582" s="17" t="e">
        <f aca="false">VLOOKUP(X3582,Sheet2!A:B,2,0)</f>
        <v>#N/A</v>
      </c>
      <c r="Z3582" s="17"/>
      <c r="AA3582" s="17"/>
      <c r="AB3582" s="17" t="s">
        <v>41</v>
      </c>
      <c r="AC3582" s="0" t="str">
        <f aca="false">LEFT(G3582,2)</f>
        <v/>
      </c>
    </row>
    <row r="3583" customFormat="false" ht="15" hidden="false" customHeight="false" outlineLevel="0" collapsed="false">
      <c r="A3583" s="13" t="n">
        <f aca="false">1+A3582</f>
        <v>3581</v>
      </c>
      <c r="B3583" s="14" t="n">
        <v>100</v>
      </c>
      <c r="C3583" s="15"/>
      <c r="D3583" s="16" t="s">
        <v>64</v>
      </c>
      <c r="E3583" s="17" t="s">
        <v>47</v>
      </c>
      <c r="F3583" s="18" t="s">
        <v>34</v>
      </c>
      <c r="G3583" s="19"/>
      <c r="H3583" s="17" t="s">
        <v>35</v>
      </c>
      <c r="I3583" s="17" t="s">
        <v>44</v>
      </c>
      <c r="J3583" s="17"/>
      <c r="K3583" s="17" t="e">
        <f aca="false">VLOOKUP(J3583,Sheet2!A:B,2,0)</f>
        <v>#N/A</v>
      </c>
      <c r="L3583" s="17" t="n">
        <v>5</v>
      </c>
      <c r="M3583" s="17" t="str">
        <f aca="false">VLOOKUP(L3583,Sheet2!D:E,2,0)</f>
        <v>Main Processor CPU BGA</v>
      </c>
      <c r="N3583" s="17" t="n">
        <v>1</v>
      </c>
      <c r="O3583" s="17" t="str">
        <f aca="false">VLOOKUP(N3583,Sheet2!G:H,2,0)</f>
        <v>Dead</v>
      </c>
      <c r="P3583" s="17" t="n">
        <v>11</v>
      </c>
      <c r="Q3583" s="17" t="str">
        <f aca="false">VLOOKUP(P3583,Sheet2!J:K,2,0)</f>
        <v>IR Declared due to CID -TA</v>
      </c>
      <c r="R3583" s="17" t="s">
        <v>35</v>
      </c>
      <c r="S3583" s="17" t="str">
        <f aca="false">VLOOKUP(R3583,Sheet2!N:O,2,0)</f>
        <v>IREPARABLE</v>
      </c>
      <c r="T3583" s="18" t="str">
        <f aca="false">VLOOKUP(P3583,Sheet2!Q:R,2,0)</f>
        <v>IR Normal - Track burn out</v>
      </c>
      <c r="U3583" s="20" t="s">
        <v>41</v>
      </c>
      <c r="V3583" s="17"/>
      <c r="W3583" s="20" t="e">
        <f aca="false">VLOOKUP(V3583,Sheet2!Q:R,2,0)</f>
        <v>#N/A</v>
      </c>
      <c r="X3583" s="17" t="n">
        <f aca="false">J3583</f>
        <v>0</v>
      </c>
      <c r="Y3583" s="17" t="e">
        <f aca="false">VLOOKUP(X3583,Sheet2!A:B,2,0)</f>
        <v>#N/A</v>
      </c>
      <c r="Z3583" s="17"/>
      <c r="AA3583" s="17"/>
      <c r="AB3583" s="17" t="s">
        <v>41</v>
      </c>
      <c r="AC3583" s="0" t="str">
        <f aca="false">LEFT(G3583,2)</f>
        <v/>
      </c>
    </row>
    <row r="3584" customFormat="false" ht="15" hidden="false" customHeight="false" outlineLevel="0" collapsed="false">
      <c r="A3584" s="13" t="n">
        <f aca="false">1+A3583</f>
        <v>3582</v>
      </c>
      <c r="B3584" s="14" t="n">
        <v>100</v>
      </c>
      <c r="C3584" s="15"/>
      <c r="D3584" s="16" t="s">
        <v>64</v>
      </c>
      <c r="E3584" s="17" t="s">
        <v>47</v>
      </c>
      <c r="F3584" s="18" t="s">
        <v>34</v>
      </c>
      <c r="G3584" s="19"/>
      <c r="H3584" s="17" t="s">
        <v>35</v>
      </c>
      <c r="I3584" s="17" t="s">
        <v>44</v>
      </c>
      <c r="J3584" s="17"/>
      <c r="K3584" s="17" t="e">
        <f aca="false">VLOOKUP(J3584,Sheet2!A:B,2,0)</f>
        <v>#N/A</v>
      </c>
      <c r="L3584" s="17" t="n">
        <v>5</v>
      </c>
      <c r="M3584" s="17" t="str">
        <f aca="false">VLOOKUP(L3584,Sheet2!D:E,2,0)</f>
        <v>Main Processor CPU BGA</v>
      </c>
      <c r="N3584" s="17" t="n">
        <v>1</v>
      </c>
      <c r="O3584" s="17" t="str">
        <f aca="false">VLOOKUP(N3584,Sheet2!G:H,2,0)</f>
        <v>Dead</v>
      </c>
      <c r="P3584" s="17" t="n">
        <v>11</v>
      </c>
      <c r="Q3584" s="17" t="str">
        <f aca="false">VLOOKUP(P3584,Sheet2!J:K,2,0)</f>
        <v>IR Declared due to CID -TA</v>
      </c>
      <c r="R3584" s="17" t="s">
        <v>35</v>
      </c>
      <c r="S3584" s="17" t="str">
        <f aca="false">VLOOKUP(R3584,Sheet2!N:O,2,0)</f>
        <v>IREPARABLE</v>
      </c>
      <c r="T3584" s="18" t="str">
        <f aca="false">VLOOKUP(P3584,Sheet2!Q:R,2,0)</f>
        <v>IR Normal - Track burn out</v>
      </c>
      <c r="U3584" s="20" t="s">
        <v>41</v>
      </c>
      <c r="V3584" s="17"/>
      <c r="W3584" s="20" t="e">
        <f aca="false">VLOOKUP(V3584,Sheet2!Q:R,2,0)</f>
        <v>#N/A</v>
      </c>
      <c r="X3584" s="17" t="n">
        <f aca="false">J3584</f>
        <v>0</v>
      </c>
      <c r="Y3584" s="17" t="e">
        <f aca="false">VLOOKUP(X3584,Sheet2!A:B,2,0)</f>
        <v>#N/A</v>
      </c>
      <c r="Z3584" s="17"/>
      <c r="AA3584" s="17"/>
      <c r="AB3584" s="17" t="s">
        <v>41</v>
      </c>
      <c r="AC3584" s="0" t="str">
        <f aca="false">LEFT(G3584,2)</f>
        <v/>
      </c>
    </row>
    <row r="3585" customFormat="false" ht="15" hidden="false" customHeight="false" outlineLevel="0" collapsed="false">
      <c r="A3585" s="13" t="n">
        <f aca="false">1+A3584</f>
        <v>3583</v>
      </c>
      <c r="B3585" s="14" t="n">
        <v>100</v>
      </c>
      <c r="C3585" s="15"/>
      <c r="D3585" s="16" t="s">
        <v>64</v>
      </c>
      <c r="E3585" s="17" t="s">
        <v>47</v>
      </c>
      <c r="F3585" s="18" t="s">
        <v>34</v>
      </c>
      <c r="G3585" s="19"/>
      <c r="H3585" s="17" t="s">
        <v>35</v>
      </c>
      <c r="I3585" s="17" t="s">
        <v>44</v>
      </c>
      <c r="J3585" s="17"/>
      <c r="K3585" s="17" t="e">
        <f aca="false">VLOOKUP(J3585,Sheet2!A:B,2,0)</f>
        <v>#N/A</v>
      </c>
      <c r="L3585" s="17" t="n">
        <v>5</v>
      </c>
      <c r="M3585" s="17" t="str">
        <f aca="false">VLOOKUP(L3585,Sheet2!D:E,2,0)</f>
        <v>Main Processor CPU BGA</v>
      </c>
      <c r="N3585" s="17" t="n">
        <v>1</v>
      </c>
      <c r="O3585" s="17" t="str">
        <f aca="false">VLOOKUP(N3585,Sheet2!G:H,2,0)</f>
        <v>Dead</v>
      </c>
      <c r="P3585" s="17" t="n">
        <v>11</v>
      </c>
      <c r="Q3585" s="17" t="str">
        <f aca="false">VLOOKUP(P3585,Sheet2!J:K,2,0)</f>
        <v>IR Declared due to CID -TA</v>
      </c>
      <c r="R3585" s="17" t="s">
        <v>35</v>
      </c>
      <c r="S3585" s="17" t="str">
        <f aca="false">VLOOKUP(R3585,Sheet2!N:O,2,0)</f>
        <v>IREPARABLE</v>
      </c>
      <c r="T3585" s="18" t="str">
        <f aca="false">VLOOKUP(P3585,Sheet2!Q:R,2,0)</f>
        <v>IR Normal - Track burn out</v>
      </c>
      <c r="U3585" s="20" t="s">
        <v>41</v>
      </c>
      <c r="V3585" s="17"/>
      <c r="W3585" s="20" t="e">
        <f aca="false">VLOOKUP(V3585,Sheet2!Q:R,2,0)</f>
        <v>#N/A</v>
      </c>
      <c r="X3585" s="17" t="n">
        <f aca="false">J3585</f>
        <v>0</v>
      </c>
      <c r="Y3585" s="17" t="e">
        <f aca="false">VLOOKUP(X3585,Sheet2!A:B,2,0)</f>
        <v>#N/A</v>
      </c>
      <c r="Z3585" s="17"/>
      <c r="AA3585" s="17"/>
      <c r="AB3585" s="17" t="s">
        <v>41</v>
      </c>
      <c r="AC3585" s="0" t="str">
        <f aca="false">LEFT(G3585,2)</f>
        <v/>
      </c>
    </row>
    <row r="3586" customFormat="false" ht="15" hidden="false" customHeight="false" outlineLevel="0" collapsed="false">
      <c r="A3586" s="13" t="n">
        <f aca="false">1+A3585</f>
        <v>3584</v>
      </c>
      <c r="B3586" s="14" t="n">
        <v>100</v>
      </c>
      <c r="C3586" s="15"/>
      <c r="D3586" s="16" t="s">
        <v>64</v>
      </c>
      <c r="E3586" s="17" t="s">
        <v>47</v>
      </c>
      <c r="F3586" s="18" t="s">
        <v>34</v>
      </c>
      <c r="G3586" s="19"/>
      <c r="H3586" s="17" t="s">
        <v>35</v>
      </c>
      <c r="I3586" s="17" t="s">
        <v>44</v>
      </c>
      <c r="J3586" s="17"/>
      <c r="K3586" s="17" t="e">
        <f aca="false">VLOOKUP(J3586,Sheet2!A:B,2,0)</f>
        <v>#N/A</v>
      </c>
      <c r="L3586" s="17" t="n">
        <v>5</v>
      </c>
      <c r="M3586" s="17" t="str">
        <f aca="false">VLOOKUP(L3586,Sheet2!D:E,2,0)</f>
        <v>Main Processor CPU BGA</v>
      </c>
      <c r="N3586" s="17" t="n">
        <v>1</v>
      </c>
      <c r="O3586" s="17" t="str">
        <f aca="false">VLOOKUP(N3586,Sheet2!G:H,2,0)</f>
        <v>Dead</v>
      </c>
      <c r="P3586" s="17" t="n">
        <v>11</v>
      </c>
      <c r="Q3586" s="17" t="str">
        <f aca="false">VLOOKUP(P3586,Sheet2!J:K,2,0)</f>
        <v>IR Declared due to CID -TA</v>
      </c>
      <c r="R3586" s="17" t="s">
        <v>35</v>
      </c>
      <c r="S3586" s="17" t="str">
        <f aca="false">VLOOKUP(R3586,Sheet2!N:O,2,0)</f>
        <v>IREPARABLE</v>
      </c>
      <c r="T3586" s="18" t="str">
        <f aca="false">VLOOKUP(P3586,Sheet2!Q:R,2,0)</f>
        <v>IR Normal - Track burn out</v>
      </c>
      <c r="U3586" s="20" t="s">
        <v>41</v>
      </c>
      <c r="V3586" s="17"/>
      <c r="W3586" s="20" t="e">
        <f aca="false">VLOOKUP(V3586,Sheet2!Q:R,2,0)</f>
        <v>#N/A</v>
      </c>
      <c r="X3586" s="17" t="n">
        <f aca="false">J3586</f>
        <v>0</v>
      </c>
      <c r="Y3586" s="17" t="e">
        <f aca="false">VLOOKUP(X3586,Sheet2!A:B,2,0)</f>
        <v>#N/A</v>
      </c>
      <c r="Z3586" s="17"/>
      <c r="AA3586" s="17"/>
      <c r="AB3586" s="17" t="s">
        <v>41</v>
      </c>
      <c r="AC3586" s="0" t="str">
        <f aca="false">LEFT(G3586,2)</f>
        <v/>
      </c>
    </row>
    <row r="3587" customFormat="false" ht="15" hidden="false" customHeight="false" outlineLevel="0" collapsed="false">
      <c r="A3587" s="13" t="n">
        <f aca="false">1+A3586</f>
        <v>3585</v>
      </c>
      <c r="B3587" s="14" t="n">
        <v>100</v>
      </c>
      <c r="C3587" s="15"/>
      <c r="D3587" s="16" t="s">
        <v>64</v>
      </c>
      <c r="E3587" s="17" t="s">
        <v>47</v>
      </c>
      <c r="F3587" s="18" t="s">
        <v>34</v>
      </c>
      <c r="G3587" s="19"/>
      <c r="H3587" s="17" t="s">
        <v>35</v>
      </c>
      <c r="I3587" s="17" t="s">
        <v>44</v>
      </c>
      <c r="J3587" s="17"/>
      <c r="K3587" s="17" t="e">
        <f aca="false">VLOOKUP(J3587,Sheet2!A:B,2,0)</f>
        <v>#N/A</v>
      </c>
      <c r="L3587" s="17" t="n">
        <v>5</v>
      </c>
      <c r="M3587" s="17" t="str">
        <f aca="false">VLOOKUP(L3587,Sheet2!D:E,2,0)</f>
        <v>Main Processor CPU BGA</v>
      </c>
      <c r="N3587" s="17" t="n">
        <v>1</v>
      </c>
      <c r="O3587" s="17" t="str">
        <f aca="false">VLOOKUP(N3587,Sheet2!G:H,2,0)</f>
        <v>Dead</v>
      </c>
      <c r="P3587" s="17" t="n">
        <v>11</v>
      </c>
      <c r="Q3587" s="17" t="str">
        <f aca="false">VLOOKUP(P3587,Sheet2!J:K,2,0)</f>
        <v>IR Declared due to CID -TA</v>
      </c>
      <c r="R3587" s="17" t="s">
        <v>35</v>
      </c>
      <c r="S3587" s="17" t="str">
        <f aca="false">VLOOKUP(R3587,Sheet2!N:O,2,0)</f>
        <v>IREPARABLE</v>
      </c>
      <c r="T3587" s="18" t="str">
        <f aca="false">VLOOKUP(P3587,Sheet2!Q:R,2,0)</f>
        <v>IR Normal - Track burn out</v>
      </c>
      <c r="U3587" s="20" t="s">
        <v>41</v>
      </c>
      <c r="V3587" s="17"/>
      <c r="W3587" s="20" t="e">
        <f aca="false">VLOOKUP(V3587,Sheet2!Q:R,2,0)</f>
        <v>#N/A</v>
      </c>
      <c r="X3587" s="17" t="n">
        <f aca="false">J3587</f>
        <v>0</v>
      </c>
      <c r="Y3587" s="17" t="e">
        <f aca="false">VLOOKUP(X3587,Sheet2!A:B,2,0)</f>
        <v>#N/A</v>
      </c>
      <c r="Z3587" s="17"/>
      <c r="AA3587" s="17"/>
      <c r="AB3587" s="17" t="s">
        <v>41</v>
      </c>
      <c r="AC3587" s="0" t="str">
        <f aca="false">LEFT(G3587,2)</f>
        <v/>
      </c>
    </row>
    <row r="3588" customFormat="false" ht="15" hidden="false" customHeight="false" outlineLevel="0" collapsed="false">
      <c r="A3588" s="13" t="n">
        <f aca="false">1+A3587</f>
        <v>3586</v>
      </c>
      <c r="B3588" s="14" t="n">
        <v>100</v>
      </c>
      <c r="C3588" s="15"/>
      <c r="D3588" s="16" t="s">
        <v>64</v>
      </c>
      <c r="E3588" s="17" t="s">
        <v>47</v>
      </c>
      <c r="F3588" s="18" t="s">
        <v>34</v>
      </c>
      <c r="G3588" s="19"/>
      <c r="H3588" s="17" t="s">
        <v>35</v>
      </c>
      <c r="I3588" s="17" t="s">
        <v>44</v>
      </c>
      <c r="J3588" s="17"/>
      <c r="K3588" s="17" t="e">
        <f aca="false">VLOOKUP(J3588,Sheet2!A:B,2,0)</f>
        <v>#N/A</v>
      </c>
      <c r="L3588" s="17" t="n">
        <v>5</v>
      </c>
      <c r="M3588" s="17" t="str">
        <f aca="false">VLOOKUP(L3588,Sheet2!D:E,2,0)</f>
        <v>Main Processor CPU BGA</v>
      </c>
      <c r="N3588" s="17" t="n">
        <v>1</v>
      </c>
      <c r="O3588" s="17" t="str">
        <f aca="false">VLOOKUP(N3588,Sheet2!G:H,2,0)</f>
        <v>Dead</v>
      </c>
      <c r="P3588" s="17" t="n">
        <v>11</v>
      </c>
      <c r="Q3588" s="17" t="str">
        <f aca="false">VLOOKUP(P3588,Sheet2!J:K,2,0)</f>
        <v>IR Declared due to CID -TA</v>
      </c>
      <c r="R3588" s="17" t="s">
        <v>35</v>
      </c>
      <c r="S3588" s="17" t="str">
        <f aca="false">VLOOKUP(R3588,Sheet2!N:O,2,0)</f>
        <v>IREPARABLE</v>
      </c>
      <c r="T3588" s="18" t="str">
        <f aca="false">VLOOKUP(P3588,Sheet2!Q:R,2,0)</f>
        <v>IR Normal - Track burn out</v>
      </c>
      <c r="U3588" s="20" t="s">
        <v>41</v>
      </c>
      <c r="V3588" s="17"/>
      <c r="W3588" s="20" t="e">
        <f aca="false">VLOOKUP(V3588,Sheet2!Q:R,2,0)</f>
        <v>#N/A</v>
      </c>
      <c r="X3588" s="17" t="n">
        <f aca="false">J3588</f>
        <v>0</v>
      </c>
      <c r="Y3588" s="17" t="e">
        <f aca="false">VLOOKUP(X3588,Sheet2!A:B,2,0)</f>
        <v>#N/A</v>
      </c>
      <c r="Z3588" s="17"/>
      <c r="AA3588" s="17"/>
      <c r="AB3588" s="17" t="s">
        <v>41</v>
      </c>
      <c r="AC3588" s="0" t="str">
        <f aca="false">LEFT(G3588,2)</f>
        <v/>
      </c>
    </row>
    <row r="3589" customFormat="false" ht="15" hidden="false" customHeight="false" outlineLevel="0" collapsed="false">
      <c r="A3589" s="13" t="n">
        <f aca="false">1+A3588</f>
        <v>3587</v>
      </c>
      <c r="B3589" s="14" t="n">
        <v>100</v>
      </c>
      <c r="C3589" s="15"/>
      <c r="D3589" s="16" t="s">
        <v>64</v>
      </c>
      <c r="E3589" s="17" t="s">
        <v>47</v>
      </c>
      <c r="F3589" s="18" t="s">
        <v>34</v>
      </c>
      <c r="G3589" s="19"/>
      <c r="H3589" s="17" t="s">
        <v>35</v>
      </c>
      <c r="I3589" s="17" t="s">
        <v>44</v>
      </c>
      <c r="J3589" s="17"/>
      <c r="K3589" s="17" t="e">
        <f aca="false">VLOOKUP(J3589,Sheet2!A:B,2,0)</f>
        <v>#N/A</v>
      </c>
      <c r="L3589" s="17" t="n">
        <v>5</v>
      </c>
      <c r="M3589" s="17" t="str">
        <f aca="false">VLOOKUP(L3589,Sheet2!D:E,2,0)</f>
        <v>Main Processor CPU BGA</v>
      </c>
      <c r="N3589" s="17" t="n">
        <v>1</v>
      </c>
      <c r="O3589" s="17" t="str">
        <f aca="false">VLOOKUP(N3589,Sheet2!G:H,2,0)</f>
        <v>Dead</v>
      </c>
      <c r="P3589" s="17" t="n">
        <v>11</v>
      </c>
      <c r="Q3589" s="17" t="str">
        <f aca="false">VLOOKUP(P3589,Sheet2!J:K,2,0)</f>
        <v>IR Declared due to CID -TA</v>
      </c>
      <c r="R3589" s="17" t="s">
        <v>35</v>
      </c>
      <c r="S3589" s="17" t="str">
        <f aca="false">VLOOKUP(R3589,Sheet2!N:O,2,0)</f>
        <v>IREPARABLE</v>
      </c>
      <c r="T3589" s="18" t="str">
        <f aca="false">VLOOKUP(P3589,Sheet2!Q:R,2,0)</f>
        <v>IR Normal - Track burn out</v>
      </c>
      <c r="U3589" s="20" t="s">
        <v>41</v>
      </c>
      <c r="V3589" s="17"/>
      <c r="W3589" s="20" t="e">
        <f aca="false">VLOOKUP(V3589,Sheet2!Q:R,2,0)</f>
        <v>#N/A</v>
      </c>
      <c r="X3589" s="17" t="n">
        <f aca="false">J3589</f>
        <v>0</v>
      </c>
      <c r="Y3589" s="17" t="e">
        <f aca="false">VLOOKUP(X3589,Sheet2!A:B,2,0)</f>
        <v>#N/A</v>
      </c>
      <c r="Z3589" s="17"/>
      <c r="AA3589" s="17"/>
      <c r="AB3589" s="17" t="s">
        <v>41</v>
      </c>
      <c r="AC3589" s="0" t="str">
        <f aca="false">LEFT(G3589,2)</f>
        <v/>
      </c>
    </row>
    <row r="3590" customFormat="false" ht="15" hidden="false" customHeight="false" outlineLevel="0" collapsed="false">
      <c r="A3590" s="13" t="n">
        <f aca="false">1+A3589</f>
        <v>3588</v>
      </c>
      <c r="B3590" s="14" t="n">
        <v>100</v>
      </c>
      <c r="C3590" s="15"/>
      <c r="D3590" s="16" t="s">
        <v>64</v>
      </c>
      <c r="E3590" s="17" t="s">
        <v>47</v>
      </c>
      <c r="F3590" s="18" t="s">
        <v>34</v>
      </c>
      <c r="G3590" s="19"/>
      <c r="H3590" s="17" t="s">
        <v>35</v>
      </c>
      <c r="I3590" s="17" t="s">
        <v>44</v>
      </c>
      <c r="J3590" s="17"/>
      <c r="K3590" s="17" t="e">
        <f aca="false">VLOOKUP(J3590,Sheet2!A:B,2,0)</f>
        <v>#N/A</v>
      </c>
      <c r="L3590" s="17" t="n">
        <v>5</v>
      </c>
      <c r="M3590" s="17" t="str">
        <f aca="false">VLOOKUP(L3590,Sheet2!D:E,2,0)</f>
        <v>Main Processor CPU BGA</v>
      </c>
      <c r="N3590" s="17" t="n">
        <v>1</v>
      </c>
      <c r="O3590" s="17" t="str">
        <f aca="false">VLOOKUP(N3590,Sheet2!G:H,2,0)</f>
        <v>Dead</v>
      </c>
      <c r="P3590" s="17" t="n">
        <v>11</v>
      </c>
      <c r="Q3590" s="17" t="str">
        <f aca="false">VLOOKUP(P3590,Sheet2!J:K,2,0)</f>
        <v>IR Declared due to CID -TA</v>
      </c>
      <c r="R3590" s="17" t="s">
        <v>35</v>
      </c>
      <c r="S3590" s="17" t="str">
        <f aca="false">VLOOKUP(R3590,Sheet2!N:O,2,0)</f>
        <v>IREPARABLE</v>
      </c>
      <c r="T3590" s="18" t="str">
        <f aca="false">VLOOKUP(P3590,Sheet2!Q:R,2,0)</f>
        <v>IR Normal - Track burn out</v>
      </c>
      <c r="U3590" s="20" t="s">
        <v>41</v>
      </c>
      <c r="V3590" s="17"/>
      <c r="W3590" s="20" t="e">
        <f aca="false">VLOOKUP(V3590,Sheet2!Q:R,2,0)</f>
        <v>#N/A</v>
      </c>
      <c r="X3590" s="17" t="n">
        <f aca="false">J3590</f>
        <v>0</v>
      </c>
      <c r="Y3590" s="17" t="e">
        <f aca="false">VLOOKUP(X3590,Sheet2!A:B,2,0)</f>
        <v>#N/A</v>
      </c>
      <c r="Z3590" s="17"/>
      <c r="AA3590" s="17"/>
      <c r="AB3590" s="17" t="s">
        <v>41</v>
      </c>
      <c r="AC3590" s="0" t="str">
        <f aca="false">LEFT(G3590,2)</f>
        <v/>
      </c>
    </row>
    <row r="3591" customFormat="false" ht="15" hidden="false" customHeight="false" outlineLevel="0" collapsed="false">
      <c r="A3591" s="13" t="n">
        <f aca="false">1+A3590</f>
        <v>3589</v>
      </c>
      <c r="B3591" s="14" t="n">
        <v>100</v>
      </c>
      <c r="C3591" s="15"/>
      <c r="D3591" s="16" t="s">
        <v>64</v>
      </c>
      <c r="E3591" s="17" t="s">
        <v>47</v>
      </c>
      <c r="F3591" s="18" t="s">
        <v>34</v>
      </c>
      <c r="G3591" s="19"/>
      <c r="H3591" s="17" t="s">
        <v>35</v>
      </c>
      <c r="I3591" s="17" t="s">
        <v>44</v>
      </c>
      <c r="J3591" s="17"/>
      <c r="K3591" s="17" t="e">
        <f aca="false">VLOOKUP(J3591,Sheet2!A:B,2,0)</f>
        <v>#N/A</v>
      </c>
      <c r="L3591" s="17" t="n">
        <v>5</v>
      </c>
      <c r="M3591" s="17" t="str">
        <f aca="false">VLOOKUP(L3591,Sheet2!D:E,2,0)</f>
        <v>Main Processor CPU BGA</v>
      </c>
      <c r="N3591" s="17" t="n">
        <v>1</v>
      </c>
      <c r="O3591" s="17" t="str">
        <f aca="false">VLOOKUP(N3591,Sheet2!G:H,2,0)</f>
        <v>Dead</v>
      </c>
      <c r="P3591" s="17" t="n">
        <v>11</v>
      </c>
      <c r="Q3591" s="17" t="str">
        <f aca="false">VLOOKUP(P3591,Sheet2!J:K,2,0)</f>
        <v>IR Declared due to CID -TA</v>
      </c>
      <c r="R3591" s="17" t="s">
        <v>35</v>
      </c>
      <c r="S3591" s="17" t="str">
        <f aca="false">VLOOKUP(R3591,Sheet2!N:O,2,0)</f>
        <v>IREPARABLE</v>
      </c>
      <c r="T3591" s="18" t="str">
        <f aca="false">VLOOKUP(P3591,Sheet2!Q:R,2,0)</f>
        <v>IR Normal - Track burn out</v>
      </c>
      <c r="U3591" s="20" t="s">
        <v>41</v>
      </c>
      <c r="V3591" s="17"/>
      <c r="W3591" s="20" t="e">
        <f aca="false">VLOOKUP(V3591,Sheet2!Q:R,2,0)</f>
        <v>#N/A</v>
      </c>
      <c r="X3591" s="17" t="n">
        <f aca="false">J3591</f>
        <v>0</v>
      </c>
      <c r="Y3591" s="17" t="e">
        <f aca="false">VLOOKUP(X3591,Sheet2!A:B,2,0)</f>
        <v>#N/A</v>
      </c>
      <c r="Z3591" s="17"/>
      <c r="AA3591" s="17"/>
      <c r="AB3591" s="17" t="s">
        <v>41</v>
      </c>
      <c r="AC3591" s="0" t="str">
        <f aca="false">LEFT(G3591,2)</f>
        <v/>
      </c>
    </row>
    <row r="3592" customFormat="false" ht="15" hidden="false" customHeight="false" outlineLevel="0" collapsed="false">
      <c r="A3592" s="13" t="n">
        <f aca="false">1+A3591</f>
        <v>3590</v>
      </c>
      <c r="B3592" s="14" t="n">
        <v>100</v>
      </c>
      <c r="C3592" s="15"/>
      <c r="D3592" s="16" t="s">
        <v>64</v>
      </c>
      <c r="E3592" s="17" t="s">
        <v>47</v>
      </c>
      <c r="F3592" s="18" t="s">
        <v>34</v>
      </c>
      <c r="G3592" s="19"/>
      <c r="H3592" s="17" t="s">
        <v>35</v>
      </c>
      <c r="I3592" s="17" t="s">
        <v>44</v>
      </c>
      <c r="J3592" s="17"/>
      <c r="K3592" s="17" t="e">
        <f aca="false">VLOOKUP(J3592,Sheet2!A:B,2,0)</f>
        <v>#N/A</v>
      </c>
      <c r="L3592" s="17" t="n">
        <v>5</v>
      </c>
      <c r="M3592" s="17" t="str">
        <f aca="false">VLOOKUP(L3592,Sheet2!D:E,2,0)</f>
        <v>Main Processor CPU BGA</v>
      </c>
      <c r="N3592" s="17" t="n">
        <v>1</v>
      </c>
      <c r="O3592" s="17" t="str">
        <f aca="false">VLOOKUP(N3592,Sheet2!G:H,2,0)</f>
        <v>Dead</v>
      </c>
      <c r="P3592" s="17" t="n">
        <v>11</v>
      </c>
      <c r="Q3592" s="17" t="str">
        <f aca="false">VLOOKUP(P3592,Sheet2!J:K,2,0)</f>
        <v>IR Declared due to CID -TA</v>
      </c>
      <c r="R3592" s="17" t="s">
        <v>35</v>
      </c>
      <c r="S3592" s="17" t="str">
        <f aca="false">VLOOKUP(R3592,Sheet2!N:O,2,0)</f>
        <v>IREPARABLE</v>
      </c>
      <c r="T3592" s="18" t="str">
        <f aca="false">VLOOKUP(P3592,Sheet2!Q:R,2,0)</f>
        <v>IR Normal - Track burn out</v>
      </c>
      <c r="U3592" s="20" t="s">
        <v>41</v>
      </c>
      <c r="V3592" s="17"/>
      <c r="W3592" s="20" t="e">
        <f aca="false">VLOOKUP(V3592,Sheet2!Q:R,2,0)</f>
        <v>#N/A</v>
      </c>
      <c r="X3592" s="17" t="n">
        <f aca="false">J3592</f>
        <v>0</v>
      </c>
      <c r="Y3592" s="17" t="e">
        <f aca="false">VLOOKUP(X3592,Sheet2!A:B,2,0)</f>
        <v>#N/A</v>
      </c>
      <c r="Z3592" s="17"/>
      <c r="AA3592" s="17"/>
      <c r="AB3592" s="17" t="s">
        <v>41</v>
      </c>
      <c r="AC3592" s="0" t="str">
        <f aca="false">LEFT(G3592,2)</f>
        <v/>
      </c>
    </row>
    <row r="3593" customFormat="false" ht="15" hidden="false" customHeight="false" outlineLevel="0" collapsed="false">
      <c r="A3593" s="13" t="n">
        <f aca="false">1+A3592</f>
        <v>3591</v>
      </c>
      <c r="B3593" s="14" t="n">
        <v>100</v>
      </c>
      <c r="C3593" s="15"/>
      <c r="D3593" s="16" t="s">
        <v>64</v>
      </c>
      <c r="E3593" s="17" t="s">
        <v>47</v>
      </c>
      <c r="F3593" s="18" t="s">
        <v>34</v>
      </c>
      <c r="G3593" s="19"/>
      <c r="H3593" s="17" t="s">
        <v>35</v>
      </c>
      <c r="I3593" s="17" t="s">
        <v>44</v>
      </c>
      <c r="J3593" s="17"/>
      <c r="K3593" s="17" t="e">
        <f aca="false">VLOOKUP(J3593,Sheet2!A:B,2,0)</f>
        <v>#N/A</v>
      </c>
      <c r="L3593" s="17" t="n">
        <v>5</v>
      </c>
      <c r="M3593" s="17" t="str">
        <f aca="false">VLOOKUP(L3593,Sheet2!D:E,2,0)</f>
        <v>Main Processor CPU BGA</v>
      </c>
      <c r="N3593" s="17" t="n">
        <v>1</v>
      </c>
      <c r="O3593" s="17" t="str">
        <f aca="false">VLOOKUP(N3593,Sheet2!G:H,2,0)</f>
        <v>Dead</v>
      </c>
      <c r="P3593" s="17" t="n">
        <v>11</v>
      </c>
      <c r="Q3593" s="17" t="str">
        <f aca="false">VLOOKUP(P3593,Sheet2!J:K,2,0)</f>
        <v>IR Declared due to CID -TA</v>
      </c>
      <c r="R3593" s="17" t="s">
        <v>35</v>
      </c>
      <c r="S3593" s="17" t="str">
        <f aca="false">VLOOKUP(R3593,Sheet2!N:O,2,0)</f>
        <v>IREPARABLE</v>
      </c>
      <c r="T3593" s="18" t="str">
        <f aca="false">VLOOKUP(P3593,Sheet2!Q:R,2,0)</f>
        <v>IR Normal - Track burn out</v>
      </c>
      <c r="U3593" s="20" t="s">
        <v>41</v>
      </c>
      <c r="V3593" s="17"/>
      <c r="W3593" s="20" t="e">
        <f aca="false">VLOOKUP(V3593,Sheet2!Q:R,2,0)</f>
        <v>#N/A</v>
      </c>
      <c r="X3593" s="17" t="n">
        <f aca="false">J3593</f>
        <v>0</v>
      </c>
      <c r="Y3593" s="17" t="e">
        <f aca="false">VLOOKUP(X3593,Sheet2!A:B,2,0)</f>
        <v>#N/A</v>
      </c>
      <c r="Z3593" s="17"/>
      <c r="AA3593" s="17"/>
      <c r="AB3593" s="17" t="s">
        <v>41</v>
      </c>
      <c r="AC3593" s="0" t="str">
        <f aca="false">LEFT(G3593,2)</f>
        <v/>
      </c>
    </row>
    <row r="3594" customFormat="false" ht="15" hidden="false" customHeight="false" outlineLevel="0" collapsed="false">
      <c r="A3594" s="13" t="n">
        <f aca="false">1+A3593</f>
        <v>3592</v>
      </c>
      <c r="B3594" s="14" t="n">
        <v>100</v>
      </c>
      <c r="C3594" s="15"/>
      <c r="D3594" s="16" t="s">
        <v>64</v>
      </c>
      <c r="E3594" s="17" t="s">
        <v>47</v>
      </c>
      <c r="F3594" s="18" t="s">
        <v>34</v>
      </c>
      <c r="G3594" s="19"/>
      <c r="H3594" s="17" t="s">
        <v>35</v>
      </c>
      <c r="I3594" s="17" t="s">
        <v>44</v>
      </c>
      <c r="J3594" s="17"/>
      <c r="K3594" s="17" t="e">
        <f aca="false">VLOOKUP(J3594,Sheet2!A:B,2,0)</f>
        <v>#N/A</v>
      </c>
      <c r="L3594" s="17" t="n">
        <v>5</v>
      </c>
      <c r="M3594" s="17" t="str">
        <f aca="false">VLOOKUP(L3594,Sheet2!D:E,2,0)</f>
        <v>Main Processor CPU BGA</v>
      </c>
      <c r="N3594" s="17" t="n">
        <v>1</v>
      </c>
      <c r="O3594" s="17" t="str">
        <f aca="false">VLOOKUP(N3594,Sheet2!G:H,2,0)</f>
        <v>Dead</v>
      </c>
      <c r="P3594" s="17" t="n">
        <v>11</v>
      </c>
      <c r="Q3594" s="17" t="str">
        <f aca="false">VLOOKUP(P3594,Sheet2!J:K,2,0)</f>
        <v>IR Declared due to CID -TA</v>
      </c>
      <c r="R3594" s="17" t="s">
        <v>35</v>
      </c>
      <c r="S3594" s="17" t="str">
        <f aca="false">VLOOKUP(R3594,Sheet2!N:O,2,0)</f>
        <v>IREPARABLE</v>
      </c>
      <c r="T3594" s="18" t="str">
        <f aca="false">VLOOKUP(P3594,Sheet2!Q:R,2,0)</f>
        <v>IR Normal - Track burn out</v>
      </c>
      <c r="U3594" s="20" t="s">
        <v>41</v>
      </c>
      <c r="V3594" s="17"/>
      <c r="W3594" s="20" t="e">
        <f aca="false">VLOOKUP(V3594,Sheet2!Q:R,2,0)</f>
        <v>#N/A</v>
      </c>
      <c r="X3594" s="17" t="n">
        <f aca="false">J3594</f>
        <v>0</v>
      </c>
      <c r="Y3594" s="17" t="e">
        <f aca="false">VLOOKUP(X3594,Sheet2!A:B,2,0)</f>
        <v>#N/A</v>
      </c>
      <c r="Z3594" s="17"/>
      <c r="AA3594" s="17"/>
      <c r="AB3594" s="17" t="s">
        <v>41</v>
      </c>
      <c r="AC3594" s="0" t="str">
        <f aca="false">LEFT(G3594,2)</f>
        <v/>
      </c>
    </row>
    <row r="3595" customFormat="false" ht="15" hidden="false" customHeight="false" outlineLevel="0" collapsed="false">
      <c r="A3595" s="13" t="n">
        <f aca="false">1+A3594</f>
        <v>3593</v>
      </c>
      <c r="B3595" s="14" t="n">
        <v>100</v>
      </c>
      <c r="C3595" s="15"/>
      <c r="D3595" s="16" t="s">
        <v>64</v>
      </c>
      <c r="E3595" s="17" t="s">
        <v>47</v>
      </c>
      <c r="F3595" s="18" t="s">
        <v>34</v>
      </c>
      <c r="G3595" s="19"/>
      <c r="H3595" s="17" t="s">
        <v>35</v>
      </c>
      <c r="I3595" s="17" t="s">
        <v>44</v>
      </c>
      <c r="J3595" s="17"/>
      <c r="K3595" s="17" t="e">
        <f aca="false">VLOOKUP(J3595,Sheet2!A:B,2,0)</f>
        <v>#N/A</v>
      </c>
      <c r="L3595" s="17" t="n">
        <v>5</v>
      </c>
      <c r="M3595" s="17" t="str">
        <f aca="false">VLOOKUP(L3595,Sheet2!D:E,2,0)</f>
        <v>Main Processor CPU BGA</v>
      </c>
      <c r="N3595" s="17" t="n">
        <v>1</v>
      </c>
      <c r="O3595" s="17" t="str">
        <f aca="false">VLOOKUP(N3595,Sheet2!G:H,2,0)</f>
        <v>Dead</v>
      </c>
      <c r="P3595" s="17" t="n">
        <v>11</v>
      </c>
      <c r="Q3595" s="17" t="str">
        <f aca="false">VLOOKUP(P3595,Sheet2!J:K,2,0)</f>
        <v>IR Declared due to CID -TA</v>
      </c>
      <c r="R3595" s="17" t="s">
        <v>35</v>
      </c>
      <c r="S3595" s="17" t="str">
        <f aca="false">VLOOKUP(R3595,Sheet2!N:O,2,0)</f>
        <v>IREPARABLE</v>
      </c>
      <c r="T3595" s="18" t="str">
        <f aca="false">VLOOKUP(P3595,Sheet2!Q:R,2,0)</f>
        <v>IR Normal - Track burn out</v>
      </c>
      <c r="U3595" s="20" t="s">
        <v>41</v>
      </c>
      <c r="V3595" s="17"/>
      <c r="W3595" s="20" t="e">
        <f aca="false">VLOOKUP(V3595,Sheet2!Q:R,2,0)</f>
        <v>#N/A</v>
      </c>
      <c r="X3595" s="17" t="n">
        <f aca="false">J3595</f>
        <v>0</v>
      </c>
      <c r="Y3595" s="17" t="e">
        <f aca="false">VLOOKUP(X3595,Sheet2!A:B,2,0)</f>
        <v>#N/A</v>
      </c>
      <c r="Z3595" s="17"/>
      <c r="AA3595" s="17"/>
      <c r="AB3595" s="17" t="s">
        <v>41</v>
      </c>
      <c r="AC3595" s="0" t="str">
        <f aca="false">LEFT(G3595,2)</f>
        <v/>
      </c>
    </row>
    <row r="3596" customFormat="false" ht="15" hidden="false" customHeight="false" outlineLevel="0" collapsed="false">
      <c r="A3596" s="13" t="n">
        <f aca="false">1+A3595</f>
        <v>3594</v>
      </c>
      <c r="B3596" s="14" t="n">
        <v>100</v>
      </c>
      <c r="C3596" s="15"/>
      <c r="D3596" s="16" t="s">
        <v>64</v>
      </c>
      <c r="E3596" s="17" t="s">
        <v>47</v>
      </c>
      <c r="F3596" s="18" t="s">
        <v>34</v>
      </c>
      <c r="G3596" s="19"/>
      <c r="H3596" s="17" t="s">
        <v>35</v>
      </c>
      <c r="I3596" s="17" t="s">
        <v>44</v>
      </c>
      <c r="J3596" s="17"/>
      <c r="K3596" s="17" t="e">
        <f aca="false">VLOOKUP(J3596,Sheet2!A:B,2,0)</f>
        <v>#N/A</v>
      </c>
      <c r="L3596" s="17" t="n">
        <v>5</v>
      </c>
      <c r="M3596" s="17" t="str">
        <f aca="false">VLOOKUP(L3596,Sheet2!D:E,2,0)</f>
        <v>Main Processor CPU BGA</v>
      </c>
      <c r="N3596" s="17" t="n">
        <v>1</v>
      </c>
      <c r="O3596" s="17" t="str">
        <f aca="false">VLOOKUP(N3596,Sheet2!G:H,2,0)</f>
        <v>Dead</v>
      </c>
      <c r="P3596" s="17" t="n">
        <v>11</v>
      </c>
      <c r="Q3596" s="17" t="str">
        <f aca="false">VLOOKUP(P3596,Sheet2!J:K,2,0)</f>
        <v>IR Declared due to CID -TA</v>
      </c>
      <c r="R3596" s="17" t="s">
        <v>35</v>
      </c>
      <c r="S3596" s="17" t="str">
        <f aca="false">VLOOKUP(R3596,Sheet2!N:O,2,0)</f>
        <v>IREPARABLE</v>
      </c>
      <c r="T3596" s="18" t="str">
        <f aca="false">VLOOKUP(P3596,Sheet2!Q:R,2,0)</f>
        <v>IR Normal - Track burn out</v>
      </c>
      <c r="U3596" s="20" t="s">
        <v>41</v>
      </c>
      <c r="V3596" s="17"/>
      <c r="W3596" s="20" t="e">
        <f aca="false">VLOOKUP(V3596,Sheet2!Q:R,2,0)</f>
        <v>#N/A</v>
      </c>
      <c r="X3596" s="17" t="n">
        <f aca="false">J3596</f>
        <v>0</v>
      </c>
      <c r="Y3596" s="17" t="e">
        <f aca="false">VLOOKUP(X3596,Sheet2!A:B,2,0)</f>
        <v>#N/A</v>
      </c>
      <c r="Z3596" s="17"/>
      <c r="AA3596" s="17"/>
      <c r="AB3596" s="17" t="s">
        <v>41</v>
      </c>
      <c r="AC3596" s="0" t="str">
        <f aca="false">LEFT(G3596,2)</f>
        <v/>
      </c>
    </row>
    <row r="3597" customFormat="false" ht="15" hidden="false" customHeight="false" outlineLevel="0" collapsed="false">
      <c r="A3597" s="13" t="n">
        <f aca="false">1+A3596</f>
        <v>3595</v>
      </c>
      <c r="B3597" s="14" t="n">
        <v>100</v>
      </c>
      <c r="C3597" s="15"/>
      <c r="D3597" s="16" t="s">
        <v>64</v>
      </c>
      <c r="E3597" s="17" t="s">
        <v>47</v>
      </c>
      <c r="F3597" s="18" t="s">
        <v>34</v>
      </c>
      <c r="G3597" s="19"/>
      <c r="H3597" s="17" t="s">
        <v>35</v>
      </c>
      <c r="I3597" s="17" t="s">
        <v>44</v>
      </c>
      <c r="J3597" s="17"/>
      <c r="K3597" s="17" t="e">
        <f aca="false">VLOOKUP(J3597,Sheet2!A:B,2,0)</f>
        <v>#N/A</v>
      </c>
      <c r="L3597" s="17" t="n">
        <v>5</v>
      </c>
      <c r="M3597" s="17" t="str">
        <f aca="false">VLOOKUP(L3597,Sheet2!D:E,2,0)</f>
        <v>Main Processor CPU BGA</v>
      </c>
      <c r="N3597" s="17" t="n">
        <v>1</v>
      </c>
      <c r="O3597" s="17" t="str">
        <f aca="false">VLOOKUP(N3597,Sheet2!G:H,2,0)</f>
        <v>Dead</v>
      </c>
      <c r="P3597" s="17" t="n">
        <v>11</v>
      </c>
      <c r="Q3597" s="17" t="str">
        <f aca="false">VLOOKUP(P3597,Sheet2!J:K,2,0)</f>
        <v>IR Declared due to CID -TA</v>
      </c>
      <c r="R3597" s="17" t="s">
        <v>35</v>
      </c>
      <c r="S3597" s="17" t="str">
        <f aca="false">VLOOKUP(R3597,Sheet2!N:O,2,0)</f>
        <v>IREPARABLE</v>
      </c>
      <c r="T3597" s="18" t="str">
        <f aca="false">VLOOKUP(P3597,Sheet2!Q:R,2,0)</f>
        <v>IR Normal - Track burn out</v>
      </c>
      <c r="U3597" s="20" t="s">
        <v>41</v>
      </c>
      <c r="V3597" s="17"/>
      <c r="W3597" s="20" t="e">
        <f aca="false">VLOOKUP(V3597,Sheet2!Q:R,2,0)</f>
        <v>#N/A</v>
      </c>
      <c r="X3597" s="17" t="n">
        <f aca="false">J3597</f>
        <v>0</v>
      </c>
      <c r="Y3597" s="17" t="e">
        <f aca="false">VLOOKUP(X3597,Sheet2!A:B,2,0)</f>
        <v>#N/A</v>
      </c>
      <c r="Z3597" s="17"/>
      <c r="AA3597" s="17"/>
      <c r="AB3597" s="17" t="s">
        <v>41</v>
      </c>
      <c r="AC3597" s="0" t="str">
        <f aca="false">LEFT(G3597,2)</f>
        <v/>
      </c>
    </row>
    <row r="3598" customFormat="false" ht="15" hidden="false" customHeight="false" outlineLevel="0" collapsed="false">
      <c r="A3598" s="13" t="n">
        <f aca="false">1+A3597</f>
        <v>3596</v>
      </c>
      <c r="B3598" s="14" t="n">
        <v>100</v>
      </c>
      <c r="C3598" s="15"/>
      <c r="D3598" s="16" t="s">
        <v>64</v>
      </c>
      <c r="E3598" s="17" t="s">
        <v>47</v>
      </c>
      <c r="F3598" s="18" t="s">
        <v>34</v>
      </c>
      <c r="G3598" s="19"/>
      <c r="H3598" s="17" t="s">
        <v>35</v>
      </c>
      <c r="I3598" s="17" t="s">
        <v>44</v>
      </c>
      <c r="J3598" s="17"/>
      <c r="K3598" s="17" t="e">
        <f aca="false">VLOOKUP(J3598,Sheet2!A:B,2,0)</f>
        <v>#N/A</v>
      </c>
      <c r="L3598" s="17" t="n">
        <v>5</v>
      </c>
      <c r="M3598" s="17" t="str">
        <f aca="false">VLOOKUP(L3598,Sheet2!D:E,2,0)</f>
        <v>Main Processor CPU BGA</v>
      </c>
      <c r="N3598" s="17" t="n">
        <v>1</v>
      </c>
      <c r="O3598" s="17" t="str">
        <f aca="false">VLOOKUP(N3598,Sheet2!G:H,2,0)</f>
        <v>Dead</v>
      </c>
      <c r="P3598" s="17" t="n">
        <v>11</v>
      </c>
      <c r="Q3598" s="17" t="str">
        <f aca="false">VLOOKUP(P3598,Sheet2!J:K,2,0)</f>
        <v>IR Declared due to CID -TA</v>
      </c>
      <c r="R3598" s="17" t="s">
        <v>35</v>
      </c>
      <c r="S3598" s="17" t="str">
        <f aca="false">VLOOKUP(R3598,Sheet2!N:O,2,0)</f>
        <v>IREPARABLE</v>
      </c>
      <c r="T3598" s="18" t="str">
        <f aca="false">VLOOKUP(P3598,Sheet2!Q:R,2,0)</f>
        <v>IR Normal - Track burn out</v>
      </c>
      <c r="U3598" s="20" t="s">
        <v>41</v>
      </c>
      <c r="V3598" s="17"/>
      <c r="W3598" s="20" t="e">
        <f aca="false">VLOOKUP(V3598,Sheet2!Q:R,2,0)</f>
        <v>#N/A</v>
      </c>
      <c r="X3598" s="17" t="n">
        <f aca="false">J3598</f>
        <v>0</v>
      </c>
      <c r="Y3598" s="17" t="e">
        <f aca="false">VLOOKUP(X3598,Sheet2!A:B,2,0)</f>
        <v>#N/A</v>
      </c>
      <c r="Z3598" s="17"/>
      <c r="AA3598" s="17"/>
      <c r="AB3598" s="17" t="s">
        <v>41</v>
      </c>
      <c r="AC3598" s="0" t="str">
        <f aca="false">LEFT(G3598,2)</f>
        <v/>
      </c>
    </row>
    <row r="3599" customFormat="false" ht="15" hidden="false" customHeight="false" outlineLevel="0" collapsed="false">
      <c r="A3599" s="13" t="n">
        <f aca="false">1+A3598</f>
        <v>3597</v>
      </c>
      <c r="B3599" s="14" t="n">
        <v>100</v>
      </c>
      <c r="C3599" s="15"/>
      <c r="D3599" s="16" t="s">
        <v>64</v>
      </c>
      <c r="E3599" s="17" t="s">
        <v>47</v>
      </c>
      <c r="F3599" s="18" t="s">
        <v>34</v>
      </c>
      <c r="G3599" s="19"/>
      <c r="H3599" s="17" t="s">
        <v>35</v>
      </c>
      <c r="I3599" s="17" t="s">
        <v>44</v>
      </c>
      <c r="J3599" s="17"/>
      <c r="K3599" s="17" t="e">
        <f aca="false">VLOOKUP(J3599,Sheet2!A:B,2,0)</f>
        <v>#N/A</v>
      </c>
      <c r="L3599" s="17" t="n">
        <v>5</v>
      </c>
      <c r="M3599" s="17" t="str">
        <f aca="false">VLOOKUP(L3599,Sheet2!D:E,2,0)</f>
        <v>Main Processor CPU BGA</v>
      </c>
      <c r="N3599" s="17" t="n">
        <v>1</v>
      </c>
      <c r="O3599" s="17" t="str">
        <f aca="false">VLOOKUP(N3599,Sheet2!G:H,2,0)</f>
        <v>Dead</v>
      </c>
      <c r="P3599" s="17" t="n">
        <v>11</v>
      </c>
      <c r="Q3599" s="17" t="str">
        <f aca="false">VLOOKUP(P3599,Sheet2!J:K,2,0)</f>
        <v>IR Declared due to CID -TA</v>
      </c>
      <c r="R3599" s="17" t="s">
        <v>35</v>
      </c>
      <c r="S3599" s="17" t="str">
        <f aca="false">VLOOKUP(R3599,Sheet2!N:O,2,0)</f>
        <v>IREPARABLE</v>
      </c>
      <c r="T3599" s="18" t="str">
        <f aca="false">VLOOKUP(P3599,Sheet2!Q:R,2,0)</f>
        <v>IR Normal - Track burn out</v>
      </c>
      <c r="U3599" s="20" t="s">
        <v>41</v>
      </c>
      <c r="V3599" s="17"/>
      <c r="W3599" s="20" t="e">
        <f aca="false">VLOOKUP(V3599,Sheet2!Q:R,2,0)</f>
        <v>#N/A</v>
      </c>
      <c r="X3599" s="17" t="n">
        <f aca="false">J3599</f>
        <v>0</v>
      </c>
      <c r="Y3599" s="17" t="e">
        <f aca="false">VLOOKUP(X3599,Sheet2!A:B,2,0)</f>
        <v>#N/A</v>
      </c>
      <c r="Z3599" s="17"/>
      <c r="AA3599" s="17"/>
      <c r="AB3599" s="17" t="s">
        <v>41</v>
      </c>
      <c r="AC3599" s="0" t="str">
        <f aca="false">LEFT(G3599,2)</f>
        <v/>
      </c>
    </row>
    <row r="3600" customFormat="false" ht="15" hidden="false" customHeight="false" outlineLevel="0" collapsed="false">
      <c r="A3600" s="13" t="n">
        <f aca="false">1+A3599</f>
        <v>3598</v>
      </c>
      <c r="B3600" s="14" t="n">
        <v>100</v>
      </c>
      <c r="C3600" s="15"/>
      <c r="D3600" s="16" t="s">
        <v>64</v>
      </c>
      <c r="E3600" s="17" t="s">
        <v>47</v>
      </c>
      <c r="F3600" s="18" t="s">
        <v>34</v>
      </c>
      <c r="G3600" s="19"/>
      <c r="H3600" s="17" t="s">
        <v>35</v>
      </c>
      <c r="I3600" s="17" t="s">
        <v>44</v>
      </c>
      <c r="J3600" s="17"/>
      <c r="K3600" s="17" t="e">
        <f aca="false">VLOOKUP(J3600,Sheet2!A:B,2,0)</f>
        <v>#N/A</v>
      </c>
      <c r="L3600" s="17" t="n">
        <v>5</v>
      </c>
      <c r="M3600" s="17" t="str">
        <f aca="false">VLOOKUP(L3600,Sheet2!D:E,2,0)</f>
        <v>Main Processor CPU BGA</v>
      </c>
      <c r="N3600" s="17" t="n">
        <v>1</v>
      </c>
      <c r="O3600" s="17" t="str">
        <f aca="false">VLOOKUP(N3600,Sheet2!G:H,2,0)</f>
        <v>Dead</v>
      </c>
      <c r="P3600" s="17" t="n">
        <v>11</v>
      </c>
      <c r="Q3600" s="17" t="str">
        <f aca="false">VLOOKUP(P3600,Sheet2!J:K,2,0)</f>
        <v>IR Declared due to CID -TA</v>
      </c>
      <c r="R3600" s="17" t="s">
        <v>35</v>
      </c>
      <c r="S3600" s="17" t="str">
        <f aca="false">VLOOKUP(R3600,Sheet2!N:O,2,0)</f>
        <v>IREPARABLE</v>
      </c>
      <c r="T3600" s="18" t="str">
        <f aca="false">VLOOKUP(P3600,Sheet2!Q:R,2,0)</f>
        <v>IR Normal - Track burn out</v>
      </c>
      <c r="U3600" s="20" t="s">
        <v>41</v>
      </c>
      <c r="V3600" s="17"/>
      <c r="W3600" s="20" t="e">
        <f aca="false">VLOOKUP(V3600,Sheet2!Q:R,2,0)</f>
        <v>#N/A</v>
      </c>
      <c r="X3600" s="17" t="n">
        <f aca="false">J3600</f>
        <v>0</v>
      </c>
      <c r="Y3600" s="17" t="e">
        <f aca="false">VLOOKUP(X3600,Sheet2!A:B,2,0)</f>
        <v>#N/A</v>
      </c>
      <c r="Z3600" s="17"/>
      <c r="AA3600" s="17"/>
      <c r="AB3600" s="17" t="s">
        <v>41</v>
      </c>
      <c r="AC3600" s="0" t="str">
        <f aca="false">LEFT(G3600,2)</f>
        <v/>
      </c>
    </row>
    <row r="3601" customFormat="false" ht="15" hidden="false" customHeight="false" outlineLevel="0" collapsed="false">
      <c r="A3601" s="13" t="n">
        <f aca="false">1+A3600</f>
        <v>3599</v>
      </c>
      <c r="B3601" s="14" t="n">
        <v>100</v>
      </c>
      <c r="C3601" s="15"/>
      <c r="D3601" s="16" t="s">
        <v>64</v>
      </c>
      <c r="E3601" s="17" t="s">
        <v>47</v>
      </c>
      <c r="F3601" s="18" t="s">
        <v>34</v>
      </c>
      <c r="G3601" s="19"/>
      <c r="H3601" s="17" t="s">
        <v>35</v>
      </c>
      <c r="I3601" s="17" t="s">
        <v>44</v>
      </c>
      <c r="J3601" s="17"/>
      <c r="K3601" s="17" t="e">
        <f aca="false">VLOOKUP(J3601,Sheet2!A:B,2,0)</f>
        <v>#N/A</v>
      </c>
      <c r="L3601" s="17" t="n">
        <v>5</v>
      </c>
      <c r="M3601" s="17" t="str">
        <f aca="false">VLOOKUP(L3601,Sheet2!D:E,2,0)</f>
        <v>Main Processor CPU BGA</v>
      </c>
      <c r="N3601" s="17" t="n">
        <v>1</v>
      </c>
      <c r="O3601" s="17" t="str">
        <f aca="false">VLOOKUP(N3601,Sheet2!G:H,2,0)</f>
        <v>Dead</v>
      </c>
      <c r="P3601" s="17" t="n">
        <v>11</v>
      </c>
      <c r="Q3601" s="17" t="str">
        <f aca="false">VLOOKUP(P3601,Sheet2!J:K,2,0)</f>
        <v>IR Declared due to CID -TA</v>
      </c>
      <c r="R3601" s="17" t="s">
        <v>35</v>
      </c>
      <c r="S3601" s="17" t="str">
        <f aca="false">VLOOKUP(R3601,Sheet2!N:O,2,0)</f>
        <v>IREPARABLE</v>
      </c>
      <c r="T3601" s="18" t="str">
        <f aca="false">VLOOKUP(P3601,Sheet2!Q:R,2,0)</f>
        <v>IR Normal - Track burn out</v>
      </c>
      <c r="U3601" s="20" t="s">
        <v>41</v>
      </c>
      <c r="V3601" s="17"/>
      <c r="W3601" s="20" t="e">
        <f aca="false">VLOOKUP(V3601,Sheet2!Q:R,2,0)</f>
        <v>#N/A</v>
      </c>
      <c r="X3601" s="17" t="n">
        <f aca="false">J3601</f>
        <v>0</v>
      </c>
      <c r="Y3601" s="17" t="e">
        <f aca="false">VLOOKUP(X3601,Sheet2!A:B,2,0)</f>
        <v>#N/A</v>
      </c>
      <c r="Z3601" s="17"/>
      <c r="AA3601" s="17"/>
      <c r="AB3601" s="17" t="s">
        <v>41</v>
      </c>
      <c r="AC3601" s="0" t="str">
        <f aca="false">LEFT(G3601,2)</f>
        <v/>
      </c>
    </row>
    <row r="3602" customFormat="false" ht="15" hidden="false" customHeight="false" outlineLevel="0" collapsed="false">
      <c r="A3602" s="13" t="n">
        <f aca="false">1+A3601</f>
        <v>3600</v>
      </c>
      <c r="B3602" s="14" t="n">
        <v>100</v>
      </c>
      <c r="C3602" s="15"/>
      <c r="D3602" s="16" t="s">
        <v>64</v>
      </c>
      <c r="E3602" s="17" t="s">
        <v>47</v>
      </c>
      <c r="F3602" s="18" t="s">
        <v>34</v>
      </c>
      <c r="G3602" s="19"/>
      <c r="H3602" s="17" t="s">
        <v>35</v>
      </c>
      <c r="I3602" s="17" t="s">
        <v>44</v>
      </c>
      <c r="J3602" s="17"/>
      <c r="K3602" s="17" t="e">
        <f aca="false">VLOOKUP(J3602,Sheet2!A:B,2,0)</f>
        <v>#N/A</v>
      </c>
      <c r="L3602" s="17" t="n">
        <v>5</v>
      </c>
      <c r="M3602" s="17" t="str">
        <f aca="false">VLOOKUP(L3602,Sheet2!D:E,2,0)</f>
        <v>Main Processor CPU BGA</v>
      </c>
      <c r="N3602" s="17" t="n">
        <v>1</v>
      </c>
      <c r="O3602" s="17" t="str">
        <f aca="false">VLOOKUP(N3602,Sheet2!G:H,2,0)</f>
        <v>Dead</v>
      </c>
      <c r="P3602" s="17" t="n">
        <v>11</v>
      </c>
      <c r="Q3602" s="17" t="str">
        <f aca="false">VLOOKUP(P3602,Sheet2!J:K,2,0)</f>
        <v>IR Declared due to CID -TA</v>
      </c>
      <c r="R3602" s="17" t="s">
        <v>35</v>
      </c>
      <c r="S3602" s="17" t="str">
        <f aca="false">VLOOKUP(R3602,Sheet2!N:O,2,0)</f>
        <v>IREPARABLE</v>
      </c>
      <c r="T3602" s="18" t="str">
        <f aca="false">VLOOKUP(P3602,Sheet2!Q:R,2,0)</f>
        <v>IR Normal - Track burn out</v>
      </c>
      <c r="U3602" s="20" t="s">
        <v>41</v>
      </c>
      <c r="V3602" s="17"/>
      <c r="W3602" s="20" t="e">
        <f aca="false">VLOOKUP(V3602,Sheet2!Q:R,2,0)</f>
        <v>#N/A</v>
      </c>
      <c r="X3602" s="17" t="n">
        <f aca="false">J3602</f>
        <v>0</v>
      </c>
      <c r="Y3602" s="17" t="e">
        <f aca="false">VLOOKUP(X3602,Sheet2!A:B,2,0)</f>
        <v>#N/A</v>
      </c>
      <c r="Z3602" s="17"/>
      <c r="AA3602" s="17"/>
      <c r="AB3602" s="17" t="s">
        <v>41</v>
      </c>
      <c r="AC3602" s="0" t="str">
        <f aca="false">LEFT(G3602,2)</f>
        <v/>
      </c>
    </row>
    <row r="3603" customFormat="false" ht="15" hidden="false" customHeight="false" outlineLevel="0" collapsed="false">
      <c r="A3603" s="13" t="n">
        <f aca="false">1+A3602</f>
        <v>3601</v>
      </c>
      <c r="B3603" s="14" t="n">
        <v>100</v>
      </c>
      <c r="C3603" s="15"/>
      <c r="D3603" s="16" t="s">
        <v>64</v>
      </c>
      <c r="E3603" s="17" t="s">
        <v>47</v>
      </c>
      <c r="F3603" s="18" t="s">
        <v>34</v>
      </c>
      <c r="G3603" s="19"/>
      <c r="H3603" s="17" t="s">
        <v>35</v>
      </c>
      <c r="I3603" s="17" t="s">
        <v>44</v>
      </c>
      <c r="J3603" s="17"/>
      <c r="K3603" s="17" t="e">
        <f aca="false">VLOOKUP(J3603,Sheet2!A:B,2,0)</f>
        <v>#N/A</v>
      </c>
      <c r="L3603" s="17" t="n">
        <v>5</v>
      </c>
      <c r="M3603" s="17" t="str">
        <f aca="false">VLOOKUP(L3603,Sheet2!D:E,2,0)</f>
        <v>Main Processor CPU BGA</v>
      </c>
      <c r="N3603" s="17" t="n">
        <v>1</v>
      </c>
      <c r="O3603" s="17" t="str">
        <f aca="false">VLOOKUP(N3603,Sheet2!G:H,2,0)</f>
        <v>Dead</v>
      </c>
      <c r="P3603" s="17" t="n">
        <v>11</v>
      </c>
      <c r="Q3603" s="17" t="str">
        <f aca="false">VLOOKUP(P3603,Sheet2!J:K,2,0)</f>
        <v>IR Declared due to CID -TA</v>
      </c>
      <c r="R3603" s="17" t="s">
        <v>35</v>
      </c>
      <c r="S3603" s="17" t="str">
        <f aca="false">VLOOKUP(R3603,Sheet2!N:O,2,0)</f>
        <v>IREPARABLE</v>
      </c>
      <c r="T3603" s="18" t="str">
        <f aca="false">VLOOKUP(P3603,Sheet2!Q:R,2,0)</f>
        <v>IR Normal - Track burn out</v>
      </c>
      <c r="U3603" s="20" t="s">
        <v>41</v>
      </c>
      <c r="V3603" s="17"/>
      <c r="W3603" s="20" t="e">
        <f aca="false">VLOOKUP(V3603,Sheet2!Q:R,2,0)</f>
        <v>#N/A</v>
      </c>
      <c r="X3603" s="17" t="n">
        <f aca="false">J3603</f>
        <v>0</v>
      </c>
      <c r="Y3603" s="17" t="e">
        <f aca="false">VLOOKUP(X3603,Sheet2!A:B,2,0)</f>
        <v>#N/A</v>
      </c>
      <c r="Z3603" s="17"/>
      <c r="AA3603" s="17"/>
      <c r="AB3603" s="17" t="s">
        <v>41</v>
      </c>
      <c r="AC3603" s="0" t="str">
        <f aca="false">LEFT(G3603,2)</f>
        <v/>
      </c>
    </row>
    <row r="3604" customFormat="false" ht="15" hidden="false" customHeight="false" outlineLevel="0" collapsed="false">
      <c r="A3604" s="13" t="n">
        <f aca="false">1+A3603</f>
        <v>3602</v>
      </c>
      <c r="B3604" s="14" t="n">
        <v>100</v>
      </c>
      <c r="C3604" s="15"/>
      <c r="D3604" s="16" t="s">
        <v>64</v>
      </c>
      <c r="E3604" s="17" t="s">
        <v>47</v>
      </c>
      <c r="F3604" s="18" t="s">
        <v>34</v>
      </c>
      <c r="G3604" s="19"/>
      <c r="H3604" s="17" t="s">
        <v>35</v>
      </c>
      <c r="I3604" s="17" t="s">
        <v>44</v>
      </c>
      <c r="J3604" s="17"/>
      <c r="K3604" s="17" t="e">
        <f aca="false">VLOOKUP(J3604,Sheet2!A:B,2,0)</f>
        <v>#N/A</v>
      </c>
      <c r="L3604" s="17" t="n">
        <v>5</v>
      </c>
      <c r="M3604" s="17" t="str">
        <f aca="false">VLOOKUP(L3604,Sheet2!D:E,2,0)</f>
        <v>Main Processor CPU BGA</v>
      </c>
      <c r="N3604" s="17" t="n">
        <v>1</v>
      </c>
      <c r="O3604" s="17" t="str">
        <f aca="false">VLOOKUP(N3604,Sheet2!G:H,2,0)</f>
        <v>Dead</v>
      </c>
      <c r="P3604" s="17" t="n">
        <v>11</v>
      </c>
      <c r="Q3604" s="17" t="str">
        <f aca="false">VLOOKUP(P3604,Sheet2!J:K,2,0)</f>
        <v>IR Declared due to CID -TA</v>
      </c>
      <c r="R3604" s="17" t="s">
        <v>35</v>
      </c>
      <c r="S3604" s="17" t="str">
        <f aca="false">VLOOKUP(R3604,Sheet2!N:O,2,0)</f>
        <v>IREPARABLE</v>
      </c>
      <c r="T3604" s="18" t="str">
        <f aca="false">VLOOKUP(P3604,Sheet2!Q:R,2,0)</f>
        <v>IR Normal - Track burn out</v>
      </c>
      <c r="U3604" s="20" t="s">
        <v>41</v>
      </c>
      <c r="V3604" s="17"/>
      <c r="W3604" s="20" t="e">
        <f aca="false">VLOOKUP(V3604,Sheet2!Q:R,2,0)</f>
        <v>#N/A</v>
      </c>
      <c r="X3604" s="17" t="n">
        <f aca="false">J3604</f>
        <v>0</v>
      </c>
      <c r="Y3604" s="17" t="e">
        <f aca="false">VLOOKUP(X3604,Sheet2!A:B,2,0)</f>
        <v>#N/A</v>
      </c>
      <c r="Z3604" s="17"/>
      <c r="AA3604" s="17"/>
      <c r="AB3604" s="17" t="s">
        <v>41</v>
      </c>
      <c r="AC3604" s="0" t="str">
        <f aca="false">LEFT(G3604,2)</f>
        <v/>
      </c>
    </row>
    <row r="3605" customFormat="false" ht="15" hidden="false" customHeight="false" outlineLevel="0" collapsed="false">
      <c r="A3605" s="13" t="n">
        <f aca="false">1+A3604</f>
        <v>3603</v>
      </c>
      <c r="B3605" s="14" t="n">
        <v>100</v>
      </c>
      <c r="C3605" s="15"/>
      <c r="D3605" s="16" t="s">
        <v>64</v>
      </c>
      <c r="E3605" s="17" t="s">
        <v>47</v>
      </c>
      <c r="F3605" s="18" t="s">
        <v>34</v>
      </c>
      <c r="G3605" s="19"/>
      <c r="H3605" s="17" t="s">
        <v>35</v>
      </c>
      <c r="I3605" s="17" t="s">
        <v>44</v>
      </c>
      <c r="J3605" s="17"/>
      <c r="K3605" s="17" t="e">
        <f aca="false">VLOOKUP(J3605,Sheet2!A:B,2,0)</f>
        <v>#N/A</v>
      </c>
      <c r="L3605" s="17" t="n">
        <v>5</v>
      </c>
      <c r="M3605" s="17" t="str">
        <f aca="false">VLOOKUP(L3605,Sheet2!D:E,2,0)</f>
        <v>Main Processor CPU BGA</v>
      </c>
      <c r="N3605" s="17" t="n">
        <v>1</v>
      </c>
      <c r="O3605" s="17" t="str">
        <f aca="false">VLOOKUP(N3605,Sheet2!G:H,2,0)</f>
        <v>Dead</v>
      </c>
      <c r="P3605" s="17" t="n">
        <v>11</v>
      </c>
      <c r="Q3605" s="17" t="str">
        <f aca="false">VLOOKUP(P3605,Sheet2!J:K,2,0)</f>
        <v>IR Declared due to CID -TA</v>
      </c>
      <c r="R3605" s="17" t="s">
        <v>35</v>
      </c>
      <c r="S3605" s="17" t="str">
        <f aca="false">VLOOKUP(R3605,Sheet2!N:O,2,0)</f>
        <v>IREPARABLE</v>
      </c>
      <c r="T3605" s="18" t="str">
        <f aca="false">VLOOKUP(P3605,Sheet2!Q:R,2,0)</f>
        <v>IR Normal - Track burn out</v>
      </c>
      <c r="U3605" s="20" t="s">
        <v>41</v>
      </c>
      <c r="V3605" s="17"/>
      <c r="W3605" s="20" t="e">
        <f aca="false">VLOOKUP(V3605,Sheet2!Q:R,2,0)</f>
        <v>#N/A</v>
      </c>
      <c r="X3605" s="17" t="n">
        <f aca="false">J3605</f>
        <v>0</v>
      </c>
      <c r="Y3605" s="17" t="e">
        <f aca="false">VLOOKUP(X3605,Sheet2!A:B,2,0)</f>
        <v>#N/A</v>
      </c>
      <c r="Z3605" s="17"/>
      <c r="AA3605" s="17"/>
      <c r="AB3605" s="17" t="s">
        <v>41</v>
      </c>
      <c r="AC3605" s="0" t="str">
        <f aca="false">LEFT(G3605,2)</f>
        <v/>
      </c>
    </row>
    <row r="3606" customFormat="false" ht="15" hidden="false" customHeight="false" outlineLevel="0" collapsed="false">
      <c r="A3606" s="13" t="n">
        <f aca="false">1+A3605</f>
        <v>3604</v>
      </c>
      <c r="B3606" s="14" t="n">
        <v>100</v>
      </c>
      <c r="C3606" s="15"/>
      <c r="D3606" s="16" t="s">
        <v>64</v>
      </c>
      <c r="E3606" s="17" t="s">
        <v>47</v>
      </c>
      <c r="F3606" s="18" t="s">
        <v>34</v>
      </c>
      <c r="G3606" s="19"/>
      <c r="H3606" s="17" t="s">
        <v>35</v>
      </c>
      <c r="I3606" s="17" t="s">
        <v>44</v>
      </c>
      <c r="J3606" s="17"/>
      <c r="K3606" s="17" t="e">
        <f aca="false">VLOOKUP(J3606,Sheet2!A:B,2,0)</f>
        <v>#N/A</v>
      </c>
      <c r="L3606" s="17" t="n">
        <v>5</v>
      </c>
      <c r="M3606" s="17" t="str">
        <f aca="false">VLOOKUP(L3606,Sheet2!D:E,2,0)</f>
        <v>Main Processor CPU BGA</v>
      </c>
      <c r="N3606" s="17" t="n">
        <v>1</v>
      </c>
      <c r="O3606" s="17" t="str">
        <f aca="false">VLOOKUP(N3606,Sheet2!G:H,2,0)</f>
        <v>Dead</v>
      </c>
      <c r="P3606" s="17" t="n">
        <v>11</v>
      </c>
      <c r="Q3606" s="17" t="str">
        <f aca="false">VLOOKUP(P3606,Sheet2!J:K,2,0)</f>
        <v>IR Declared due to CID -TA</v>
      </c>
      <c r="R3606" s="17" t="s">
        <v>35</v>
      </c>
      <c r="S3606" s="17" t="str">
        <f aca="false">VLOOKUP(R3606,Sheet2!N:O,2,0)</f>
        <v>IREPARABLE</v>
      </c>
      <c r="T3606" s="18" t="str">
        <f aca="false">VLOOKUP(P3606,Sheet2!Q:R,2,0)</f>
        <v>IR Normal - Track burn out</v>
      </c>
      <c r="U3606" s="20" t="s">
        <v>41</v>
      </c>
      <c r="V3606" s="17"/>
      <c r="W3606" s="20" t="e">
        <f aca="false">VLOOKUP(V3606,Sheet2!Q:R,2,0)</f>
        <v>#N/A</v>
      </c>
      <c r="X3606" s="17" t="n">
        <f aca="false">J3606</f>
        <v>0</v>
      </c>
      <c r="Y3606" s="17" t="e">
        <f aca="false">VLOOKUP(X3606,Sheet2!A:B,2,0)</f>
        <v>#N/A</v>
      </c>
      <c r="Z3606" s="17"/>
      <c r="AA3606" s="17"/>
      <c r="AB3606" s="17" t="s">
        <v>41</v>
      </c>
      <c r="AC3606" s="0" t="str">
        <f aca="false">LEFT(G3606,2)</f>
        <v/>
      </c>
    </row>
    <row r="3607" customFormat="false" ht="15" hidden="false" customHeight="false" outlineLevel="0" collapsed="false">
      <c r="A3607" s="13" t="n">
        <f aca="false">1+A3606</f>
        <v>3605</v>
      </c>
      <c r="B3607" s="14" t="n">
        <v>100</v>
      </c>
      <c r="C3607" s="15"/>
      <c r="D3607" s="16" t="s">
        <v>64</v>
      </c>
      <c r="E3607" s="17" t="s">
        <v>47</v>
      </c>
      <c r="F3607" s="18" t="s">
        <v>34</v>
      </c>
      <c r="G3607" s="19"/>
      <c r="H3607" s="17" t="s">
        <v>35</v>
      </c>
      <c r="I3607" s="17" t="s">
        <v>44</v>
      </c>
      <c r="J3607" s="17"/>
      <c r="K3607" s="17" t="e">
        <f aca="false">VLOOKUP(J3607,Sheet2!A:B,2,0)</f>
        <v>#N/A</v>
      </c>
      <c r="L3607" s="17" t="n">
        <v>5</v>
      </c>
      <c r="M3607" s="17" t="str">
        <f aca="false">VLOOKUP(L3607,Sheet2!D:E,2,0)</f>
        <v>Main Processor CPU BGA</v>
      </c>
      <c r="N3607" s="17" t="n">
        <v>1</v>
      </c>
      <c r="O3607" s="17" t="str">
        <f aca="false">VLOOKUP(N3607,Sheet2!G:H,2,0)</f>
        <v>Dead</v>
      </c>
      <c r="P3607" s="17" t="n">
        <v>11</v>
      </c>
      <c r="Q3607" s="17" t="str">
        <f aca="false">VLOOKUP(P3607,Sheet2!J:K,2,0)</f>
        <v>IR Declared due to CID -TA</v>
      </c>
      <c r="R3607" s="17" t="s">
        <v>35</v>
      </c>
      <c r="S3607" s="17" t="str">
        <f aca="false">VLOOKUP(R3607,Sheet2!N:O,2,0)</f>
        <v>IREPARABLE</v>
      </c>
      <c r="T3607" s="18" t="str">
        <f aca="false">VLOOKUP(P3607,Sheet2!Q:R,2,0)</f>
        <v>IR Normal - Track burn out</v>
      </c>
      <c r="U3607" s="20" t="s">
        <v>41</v>
      </c>
      <c r="V3607" s="17"/>
      <c r="W3607" s="20" t="e">
        <f aca="false">VLOOKUP(V3607,Sheet2!Q:R,2,0)</f>
        <v>#N/A</v>
      </c>
      <c r="X3607" s="17" t="n">
        <f aca="false">J3607</f>
        <v>0</v>
      </c>
      <c r="Y3607" s="17" t="e">
        <f aca="false">VLOOKUP(X3607,Sheet2!A:B,2,0)</f>
        <v>#N/A</v>
      </c>
      <c r="Z3607" s="17"/>
      <c r="AA3607" s="17"/>
      <c r="AB3607" s="17" t="s">
        <v>41</v>
      </c>
      <c r="AC3607" s="0" t="str">
        <f aca="false">LEFT(G3607,2)</f>
        <v/>
      </c>
    </row>
    <row r="3608" customFormat="false" ht="15" hidden="false" customHeight="false" outlineLevel="0" collapsed="false">
      <c r="A3608" s="13" t="n">
        <f aca="false">1+A3607</f>
        <v>3606</v>
      </c>
      <c r="B3608" s="14" t="n">
        <v>100</v>
      </c>
      <c r="C3608" s="15"/>
      <c r="D3608" s="16" t="s">
        <v>64</v>
      </c>
      <c r="E3608" s="17" t="s">
        <v>47</v>
      </c>
      <c r="F3608" s="18" t="s">
        <v>34</v>
      </c>
      <c r="G3608" s="19"/>
      <c r="H3608" s="17" t="s">
        <v>35</v>
      </c>
      <c r="I3608" s="17" t="s">
        <v>44</v>
      </c>
      <c r="J3608" s="17"/>
      <c r="K3608" s="17" t="e">
        <f aca="false">VLOOKUP(J3608,Sheet2!A:B,2,0)</f>
        <v>#N/A</v>
      </c>
      <c r="L3608" s="17" t="n">
        <v>5</v>
      </c>
      <c r="M3608" s="17" t="str">
        <f aca="false">VLOOKUP(L3608,Sheet2!D:E,2,0)</f>
        <v>Main Processor CPU BGA</v>
      </c>
      <c r="N3608" s="17" t="n">
        <v>1</v>
      </c>
      <c r="O3608" s="17" t="str">
        <f aca="false">VLOOKUP(N3608,Sheet2!G:H,2,0)</f>
        <v>Dead</v>
      </c>
      <c r="P3608" s="17" t="n">
        <v>11</v>
      </c>
      <c r="Q3608" s="17" t="str">
        <f aca="false">VLOOKUP(P3608,Sheet2!J:K,2,0)</f>
        <v>IR Declared due to CID -TA</v>
      </c>
      <c r="R3608" s="17" t="s">
        <v>35</v>
      </c>
      <c r="S3608" s="17" t="str">
        <f aca="false">VLOOKUP(R3608,Sheet2!N:O,2,0)</f>
        <v>IREPARABLE</v>
      </c>
      <c r="T3608" s="18" t="str">
        <f aca="false">VLOOKUP(P3608,Sheet2!Q:R,2,0)</f>
        <v>IR Normal - Track burn out</v>
      </c>
      <c r="U3608" s="20" t="s">
        <v>41</v>
      </c>
      <c r="V3608" s="17"/>
      <c r="W3608" s="20" t="e">
        <f aca="false">VLOOKUP(V3608,Sheet2!Q:R,2,0)</f>
        <v>#N/A</v>
      </c>
      <c r="X3608" s="17" t="n">
        <f aca="false">J3608</f>
        <v>0</v>
      </c>
      <c r="Y3608" s="17" t="e">
        <f aca="false">VLOOKUP(X3608,Sheet2!A:B,2,0)</f>
        <v>#N/A</v>
      </c>
      <c r="Z3608" s="17"/>
      <c r="AA3608" s="17"/>
      <c r="AB3608" s="17" t="s">
        <v>41</v>
      </c>
      <c r="AC3608" s="0" t="str">
        <f aca="false">LEFT(G3608,2)</f>
        <v/>
      </c>
    </row>
    <row r="3609" customFormat="false" ht="15" hidden="false" customHeight="false" outlineLevel="0" collapsed="false">
      <c r="A3609" s="13" t="n">
        <f aca="false">1+A3608</f>
        <v>3607</v>
      </c>
      <c r="B3609" s="14" t="n">
        <v>100</v>
      </c>
      <c r="C3609" s="15"/>
      <c r="D3609" s="16" t="s">
        <v>64</v>
      </c>
      <c r="E3609" s="17" t="s">
        <v>47</v>
      </c>
      <c r="F3609" s="18" t="s">
        <v>34</v>
      </c>
      <c r="G3609" s="19"/>
      <c r="H3609" s="17" t="s">
        <v>35</v>
      </c>
      <c r="I3609" s="17" t="s">
        <v>44</v>
      </c>
      <c r="J3609" s="17"/>
      <c r="K3609" s="17" t="e">
        <f aca="false">VLOOKUP(J3609,Sheet2!A:B,2,0)</f>
        <v>#N/A</v>
      </c>
      <c r="L3609" s="17" t="n">
        <v>5</v>
      </c>
      <c r="M3609" s="17" t="str">
        <f aca="false">VLOOKUP(L3609,Sheet2!D:E,2,0)</f>
        <v>Main Processor CPU BGA</v>
      </c>
      <c r="N3609" s="17" t="n">
        <v>1</v>
      </c>
      <c r="O3609" s="17" t="str">
        <f aca="false">VLOOKUP(N3609,Sheet2!G:H,2,0)</f>
        <v>Dead</v>
      </c>
      <c r="P3609" s="17" t="n">
        <v>11</v>
      </c>
      <c r="Q3609" s="17" t="str">
        <f aca="false">VLOOKUP(P3609,Sheet2!J:K,2,0)</f>
        <v>IR Declared due to CID -TA</v>
      </c>
      <c r="R3609" s="17" t="s">
        <v>35</v>
      </c>
      <c r="S3609" s="17" t="str">
        <f aca="false">VLOOKUP(R3609,Sheet2!N:O,2,0)</f>
        <v>IREPARABLE</v>
      </c>
      <c r="T3609" s="18" t="str">
        <f aca="false">VLOOKUP(P3609,Sheet2!Q:R,2,0)</f>
        <v>IR Normal - Track burn out</v>
      </c>
      <c r="U3609" s="20" t="s">
        <v>41</v>
      </c>
      <c r="V3609" s="17"/>
      <c r="W3609" s="20" t="e">
        <f aca="false">VLOOKUP(V3609,Sheet2!Q:R,2,0)</f>
        <v>#N/A</v>
      </c>
      <c r="X3609" s="17" t="n">
        <f aca="false">J3609</f>
        <v>0</v>
      </c>
      <c r="Y3609" s="17" t="e">
        <f aca="false">VLOOKUP(X3609,Sheet2!A:B,2,0)</f>
        <v>#N/A</v>
      </c>
      <c r="Z3609" s="17"/>
      <c r="AA3609" s="17"/>
      <c r="AB3609" s="17" t="s">
        <v>41</v>
      </c>
      <c r="AC3609" s="0" t="str">
        <f aca="false">LEFT(G3609,2)</f>
        <v/>
      </c>
    </row>
    <row r="3610" customFormat="false" ht="15" hidden="false" customHeight="false" outlineLevel="0" collapsed="false">
      <c r="A3610" s="13" t="n">
        <f aca="false">1+A3609</f>
        <v>3608</v>
      </c>
      <c r="B3610" s="14" t="n">
        <v>100</v>
      </c>
      <c r="C3610" s="15"/>
      <c r="D3610" s="16" t="s">
        <v>64</v>
      </c>
      <c r="E3610" s="17" t="s">
        <v>47</v>
      </c>
      <c r="F3610" s="18" t="s">
        <v>34</v>
      </c>
      <c r="G3610" s="19"/>
      <c r="H3610" s="17" t="s">
        <v>35</v>
      </c>
      <c r="I3610" s="17" t="s">
        <v>44</v>
      </c>
      <c r="J3610" s="17"/>
      <c r="K3610" s="17" t="e">
        <f aca="false">VLOOKUP(J3610,Sheet2!A:B,2,0)</f>
        <v>#N/A</v>
      </c>
      <c r="L3610" s="17" t="n">
        <v>5</v>
      </c>
      <c r="M3610" s="17" t="str">
        <f aca="false">VLOOKUP(L3610,Sheet2!D:E,2,0)</f>
        <v>Main Processor CPU BGA</v>
      </c>
      <c r="N3610" s="17" t="n">
        <v>1</v>
      </c>
      <c r="O3610" s="17" t="str">
        <f aca="false">VLOOKUP(N3610,Sheet2!G:H,2,0)</f>
        <v>Dead</v>
      </c>
      <c r="P3610" s="17" t="n">
        <v>11</v>
      </c>
      <c r="Q3610" s="17" t="str">
        <f aca="false">VLOOKUP(P3610,Sheet2!J:K,2,0)</f>
        <v>IR Declared due to CID -TA</v>
      </c>
      <c r="R3610" s="17" t="s">
        <v>35</v>
      </c>
      <c r="S3610" s="17" t="str">
        <f aca="false">VLOOKUP(R3610,Sheet2!N:O,2,0)</f>
        <v>IREPARABLE</v>
      </c>
      <c r="T3610" s="18" t="str">
        <f aca="false">VLOOKUP(P3610,Sheet2!Q:R,2,0)</f>
        <v>IR Normal - Track burn out</v>
      </c>
      <c r="U3610" s="20" t="s">
        <v>41</v>
      </c>
      <c r="V3610" s="17"/>
      <c r="W3610" s="20" t="e">
        <f aca="false">VLOOKUP(V3610,Sheet2!Q:R,2,0)</f>
        <v>#N/A</v>
      </c>
      <c r="X3610" s="17" t="n">
        <f aca="false">J3610</f>
        <v>0</v>
      </c>
      <c r="Y3610" s="17" t="e">
        <f aca="false">VLOOKUP(X3610,Sheet2!A:B,2,0)</f>
        <v>#N/A</v>
      </c>
      <c r="Z3610" s="17"/>
      <c r="AA3610" s="17"/>
      <c r="AB3610" s="17" t="s">
        <v>41</v>
      </c>
      <c r="AC3610" s="0" t="str">
        <f aca="false">LEFT(G3610,2)</f>
        <v/>
      </c>
    </row>
    <row r="3611" customFormat="false" ht="15" hidden="false" customHeight="false" outlineLevel="0" collapsed="false">
      <c r="A3611" s="13" t="n">
        <f aca="false">1+A3610</f>
        <v>3609</v>
      </c>
      <c r="B3611" s="14" t="n">
        <v>100</v>
      </c>
      <c r="C3611" s="15"/>
      <c r="D3611" s="16" t="s">
        <v>64</v>
      </c>
      <c r="E3611" s="17" t="s">
        <v>47</v>
      </c>
      <c r="F3611" s="18" t="s">
        <v>34</v>
      </c>
      <c r="G3611" s="19"/>
      <c r="H3611" s="17" t="s">
        <v>35</v>
      </c>
      <c r="I3611" s="17" t="s">
        <v>44</v>
      </c>
      <c r="J3611" s="17"/>
      <c r="K3611" s="17" t="e">
        <f aca="false">VLOOKUP(J3611,Sheet2!A:B,2,0)</f>
        <v>#N/A</v>
      </c>
      <c r="L3611" s="17" t="n">
        <v>5</v>
      </c>
      <c r="M3611" s="17" t="str">
        <f aca="false">VLOOKUP(L3611,Sheet2!D:E,2,0)</f>
        <v>Main Processor CPU BGA</v>
      </c>
      <c r="N3611" s="17" t="n">
        <v>1</v>
      </c>
      <c r="O3611" s="17" t="str">
        <f aca="false">VLOOKUP(N3611,Sheet2!G:H,2,0)</f>
        <v>Dead</v>
      </c>
      <c r="P3611" s="17" t="n">
        <v>11</v>
      </c>
      <c r="Q3611" s="17" t="str">
        <f aca="false">VLOOKUP(P3611,Sheet2!J:K,2,0)</f>
        <v>IR Declared due to CID -TA</v>
      </c>
      <c r="R3611" s="17" t="s">
        <v>35</v>
      </c>
      <c r="S3611" s="17" t="str">
        <f aca="false">VLOOKUP(R3611,Sheet2!N:O,2,0)</f>
        <v>IREPARABLE</v>
      </c>
      <c r="T3611" s="18" t="str">
        <f aca="false">VLOOKUP(P3611,Sheet2!Q:R,2,0)</f>
        <v>IR Normal - Track burn out</v>
      </c>
      <c r="U3611" s="20" t="s">
        <v>41</v>
      </c>
      <c r="V3611" s="17"/>
      <c r="W3611" s="20" t="e">
        <f aca="false">VLOOKUP(V3611,Sheet2!Q:R,2,0)</f>
        <v>#N/A</v>
      </c>
      <c r="X3611" s="17" t="n">
        <f aca="false">J3611</f>
        <v>0</v>
      </c>
      <c r="Y3611" s="17" t="e">
        <f aca="false">VLOOKUP(X3611,Sheet2!A:B,2,0)</f>
        <v>#N/A</v>
      </c>
      <c r="Z3611" s="17"/>
      <c r="AA3611" s="17"/>
      <c r="AB3611" s="17" t="s">
        <v>41</v>
      </c>
      <c r="AC3611" s="0" t="str">
        <f aca="false">LEFT(G3611,2)</f>
        <v/>
      </c>
    </row>
    <row r="3612" customFormat="false" ht="15" hidden="false" customHeight="false" outlineLevel="0" collapsed="false">
      <c r="A3612" s="13" t="n">
        <f aca="false">1+A3611</f>
        <v>3610</v>
      </c>
      <c r="B3612" s="14" t="n">
        <v>100</v>
      </c>
      <c r="C3612" s="15"/>
      <c r="D3612" s="16" t="s">
        <v>64</v>
      </c>
      <c r="E3612" s="17" t="s">
        <v>47</v>
      </c>
      <c r="F3612" s="18" t="s">
        <v>34</v>
      </c>
      <c r="G3612" s="19"/>
      <c r="H3612" s="17" t="s">
        <v>35</v>
      </c>
      <c r="I3612" s="17" t="s">
        <v>44</v>
      </c>
      <c r="J3612" s="17"/>
      <c r="K3612" s="17" t="e">
        <f aca="false">VLOOKUP(J3612,Sheet2!A:B,2,0)</f>
        <v>#N/A</v>
      </c>
      <c r="L3612" s="17" t="n">
        <v>5</v>
      </c>
      <c r="M3612" s="17" t="str">
        <f aca="false">VLOOKUP(L3612,Sheet2!D:E,2,0)</f>
        <v>Main Processor CPU BGA</v>
      </c>
      <c r="N3612" s="17" t="n">
        <v>1</v>
      </c>
      <c r="O3612" s="17" t="str">
        <f aca="false">VLOOKUP(N3612,Sheet2!G:H,2,0)</f>
        <v>Dead</v>
      </c>
      <c r="P3612" s="17" t="n">
        <v>11</v>
      </c>
      <c r="Q3612" s="17" t="str">
        <f aca="false">VLOOKUP(P3612,Sheet2!J:K,2,0)</f>
        <v>IR Declared due to CID -TA</v>
      </c>
      <c r="R3612" s="17" t="s">
        <v>35</v>
      </c>
      <c r="S3612" s="17" t="str">
        <f aca="false">VLOOKUP(R3612,Sheet2!N:O,2,0)</f>
        <v>IREPARABLE</v>
      </c>
      <c r="T3612" s="18" t="str">
        <f aca="false">VLOOKUP(P3612,Sheet2!Q:R,2,0)</f>
        <v>IR Normal - Track burn out</v>
      </c>
      <c r="U3612" s="20" t="s">
        <v>41</v>
      </c>
      <c r="V3612" s="17"/>
      <c r="W3612" s="20" t="e">
        <f aca="false">VLOOKUP(V3612,Sheet2!Q:R,2,0)</f>
        <v>#N/A</v>
      </c>
      <c r="X3612" s="17" t="n">
        <f aca="false">J3612</f>
        <v>0</v>
      </c>
      <c r="Y3612" s="17" t="e">
        <f aca="false">VLOOKUP(X3612,Sheet2!A:B,2,0)</f>
        <v>#N/A</v>
      </c>
      <c r="Z3612" s="17"/>
      <c r="AA3612" s="17"/>
      <c r="AB3612" s="17" t="s">
        <v>41</v>
      </c>
      <c r="AC3612" s="0" t="str">
        <f aca="false">LEFT(G3612,2)</f>
        <v/>
      </c>
    </row>
    <row r="3613" customFormat="false" ht="15" hidden="false" customHeight="false" outlineLevel="0" collapsed="false">
      <c r="A3613" s="13" t="n">
        <f aca="false">1+A3612</f>
        <v>3611</v>
      </c>
      <c r="B3613" s="14" t="n">
        <v>100</v>
      </c>
      <c r="C3613" s="15"/>
      <c r="D3613" s="16" t="s">
        <v>64</v>
      </c>
      <c r="E3613" s="17" t="s">
        <v>47</v>
      </c>
      <c r="F3613" s="18" t="s">
        <v>34</v>
      </c>
      <c r="G3613" s="19"/>
      <c r="H3613" s="17" t="s">
        <v>35</v>
      </c>
      <c r="I3613" s="17" t="s">
        <v>44</v>
      </c>
      <c r="J3613" s="17"/>
      <c r="K3613" s="17" t="e">
        <f aca="false">VLOOKUP(J3613,Sheet2!A:B,2,0)</f>
        <v>#N/A</v>
      </c>
      <c r="L3613" s="17" t="n">
        <v>5</v>
      </c>
      <c r="M3613" s="17" t="str">
        <f aca="false">VLOOKUP(L3613,Sheet2!D:E,2,0)</f>
        <v>Main Processor CPU BGA</v>
      </c>
      <c r="N3613" s="17" t="n">
        <v>1</v>
      </c>
      <c r="O3613" s="17" t="str">
        <f aca="false">VLOOKUP(N3613,Sheet2!G:H,2,0)</f>
        <v>Dead</v>
      </c>
      <c r="P3613" s="17" t="n">
        <v>11</v>
      </c>
      <c r="Q3613" s="17" t="str">
        <f aca="false">VLOOKUP(P3613,Sheet2!J:K,2,0)</f>
        <v>IR Declared due to CID -TA</v>
      </c>
      <c r="R3613" s="17" t="s">
        <v>35</v>
      </c>
      <c r="S3613" s="17" t="str">
        <f aca="false">VLOOKUP(R3613,Sheet2!N:O,2,0)</f>
        <v>IREPARABLE</v>
      </c>
      <c r="T3613" s="18" t="str">
        <f aca="false">VLOOKUP(P3613,Sheet2!Q:R,2,0)</f>
        <v>IR Normal - Track burn out</v>
      </c>
      <c r="U3613" s="20" t="s">
        <v>41</v>
      </c>
      <c r="V3613" s="17"/>
      <c r="W3613" s="20" t="e">
        <f aca="false">VLOOKUP(V3613,Sheet2!Q:R,2,0)</f>
        <v>#N/A</v>
      </c>
      <c r="X3613" s="17" t="n">
        <f aca="false">J3613</f>
        <v>0</v>
      </c>
      <c r="Y3613" s="17" t="e">
        <f aca="false">VLOOKUP(X3613,Sheet2!A:B,2,0)</f>
        <v>#N/A</v>
      </c>
      <c r="Z3613" s="17"/>
      <c r="AA3613" s="17"/>
      <c r="AB3613" s="17" t="s">
        <v>41</v>
      </c>
      <c r="AC3613" s="0" t="str">
        <f aca="false">LEFT(G3613,2)</f>
        <v/>
      </c>
    </row>
    <row r="3614" customFormat="false" ht="15" hidden="false" customHeight="false" outlineLevel="0" collapsed="false">
      <c r="A3614" s="13" t="n">
        <f aca="false">1+A3613</f>
        <v>3612</v>
      </c>
      <c r="B3614" s="14" t="n">
        <v>100</v>
      </c>
      <c r="C3614" s="15"/>
      <c r="D3614" s="16" t="s">
        <v>64</v>
      </c>
      <c r="E3614" s="17" t="s">
        <v>47</v>
      </c>
      <c r="F3614" s="18" t="s">
        <v>34</v>
      </c>
      <c r="G3614" s="19"/>
      <c r="H3614" s="17" t="s">
        <v>35</v>
      </c>
      <c r="I3614" s="17" t="s">
        <v>44</v>
      </c>
      <c r="J3614" s="17"/>
      <c r="K3614" s="17" t="e">
        <f aca="false">VLOOKUP(J3614,Sheet2!A:B,2,0)</f>
        <v>#N/A</v>
      </c>
      <c r="L3614" s="17" t="n">
        <v>5</v>
      </c>
      <c r="M3614" s="17" t="str">
        <f aca="false">VLOOKUP(L3614,Sheet2!D:E,2,0)</f>
        <v>Main Processor CPU BGA</v>
      </c>
      <c r="N3614" s="17" t="n">
        <v>1</v>
      </c>
      <c r="O3614" s="17" t="str">
        <f aca="false">VLOOKUP(N3614,Sheet2!G:H,2,0)</f>
        <v>Dead</v>
      </c>
      <c r="P3614" s="17" t="n">
        <v>11</v>
      </c>
      <c r="Q3614" s="17" t="str">
        <f aca="false">VLOOKUP(P3614,Sheet2!J:K,2,0)</f>
        <v>IR Declared due to CID -TA</v>
      </c>
      <c r="R3614" s="17" t="s">
        <v>35</v>
      </c>
      <c r="S3614" s="17" t="str">
        <f aca="false">VLOOKUP(R3614,Sheet2!N:O,2,0)</f>
        <v>IREPARABLE</v>
      </c>
      <c r="T3614" s="18" t="str">
        <f aca="false">VLOOKUP(P3614,Sheet2!Q:R,2,0)</f>
        <v>IR Normal - Track burn out</v>
      </c>
      <c r="U3614" s="20" t="s">
        <v>41</v>
      </c>
      <c r="V3614" s="17"/>
      <c r="W3614" s="20" t="e">
        <f aca="false">VLOOKUP(V3614,Sheet2!Q:R,2,0)</f>
        <v>#N/A</v>
      </c>
      <c r="X3614" s="17" t="n">
        <f aca="false">J3614</f>
        <v>0</v>
      </c>
      <c r="Y3614" s="17" t="e">
        <f aca="false">VLOOKUP(X3614,Sheet2!A:B,2,0)</f>
        <v>#N/A</v>
      </c>
      <c r="Z3614" s="17"/>
      <c r="AA3614" s="17"/>
      <c r="AB3614" s="17" t="s">
        <v>41</v>
      </c>
      <c r="AC3614" s="0" t="str">
        <f aca="false">LEFT(G3614,2)</f>
        <v/>
      </c>
    </row>
    <row r="3615" customFormat="false" ht="15" hidden="false" customHeight="false" outlineLevel="0" collapsed="false">
      <c r="A3615" s="13" t="n">
        <f aca="false">1+A3614</f>
        <v>3613</v>
      </c>
      <c r="B3615" s="14" t="n">
        <v>100</v>
      </c>
      <c r="C3615" s="15"/>
      <c r="D3615" s="16" t="s">
        <v>64</v>
      </c>
      <c r="E3615" s="17" t="s">
        <v>47</v>
      </c>
      <c r="F3615" s="18" t="s">
        <v>34</v>
      </c>
      <c r="G3615" s="19"/>
      <c r="H3615" s="17" t="s">
        <v>35</v>
      </c>
      <c r="I3615" s="17" t="s">
        <v>44</v>
      </c>
      <c r="J3615" s="17"/>
      <c r="K3615" s="17" t="e">
        <f aca="false">VLOOKUP(J3615,Sheet2!A:B,2,0)</f>
        <v>#N/A</v>
      </c>
      <c r="L3615" s="17" t="n">
        <v>5</v>
      </c>
      <c r="M3615" s="17" t="str">
        <f aca="false">VLOOKUP(L3615,Sheet2!D:E,2,0)</f>
        <v>Main Processor CPU BGA</v>
      </c>
      <c r="N3615" s="17" t="n">
        <v>1</v>
      </c>
      <c r="O3615" s="17" t="str">
        <f aca="false">VLOOKUP(N3615,Sheet2!G:H,2,0)</f>
        <v>Dead</v>
      </c>
      <c r="P3615" s="17" t="n">
        <v>11</v>
      </c>
      <c r="Q3615" s="17" t="str">
        <f aca="false">VLOOKUP(P3615,Sheet2!J:K,2,0)</f>
        <v>IR Declared due to CID -TA</v>
      </c>
      <c r="R3615" s="17" t="s">
        <v>35</v>
      </c>
      <c r="S3615" s="17" t="str">
        <f aca="false">VLOOKUP(R3615,Sheet2!N:O,2,0)</f>
        <v>IREPARABLE</v>
      </c>
      <c r="T3615" s="18" t="str">
        <f aca="false">VLOOKUP(P3615,Sheet2!Q:R,2,0)</f>
        <v>IR Normal - Track burn out</v>
      </c>
      <c r="U3615" s="20" t="s">
        <v>41</v>
      </c>
      <c r="V3615" s="17"/>
      <c r="W3615" s="20" t="e">
        <f aca="false">VLOOKUP(V3615,Sheet2!Q:R,2,0)</f>
        <v>#N/A</v>
      </c>
      <c r="X3615" s="17" t="n">
        <f aca="false">J3615</f>
        <v>0</v>
      </c>
      <c r="Y3615" s="17" t="e">
        <f aca="false">VLOOKUP(X3615,Sheet2!A:B,2,0)</f>
        <v>#N/A</v>
      </c>
      <c r="Z3615" s="17"/>
      <c r="AA3615" s="17"/>
      <c r="AB3615" s="17" t="s">
        <v>41</v>
      </c>
      <c r="AC3615" s="0" t="str">
        <f aca="false">LEFT(G3615,2)</f>
        <v/>
      </c>
    </row>
    <row r="3616" customFormat="false" ht="15" hidden="false" customHeight="false" outlineLevel="0" collapsed="false">
      <c r="A3616" s="13" t="n">
        <f aca="false">1+A3615</f>
        <v>3614</v>
      </c>
      <c r="B3616" s="14" t="n">
        <v>100</v>
      </c>
      <c r="C3616" s="15"/>
      <c r="D3616" s="16" t="s">
        <v>64</v>
      </c>
      <c r="E3616" s="17" t="s">
        <v>47</v>
      </c>
      <c r="F3616" s="18" t="s">
        <v>34</v>
      </c>
      <c r="G3616" s="19"/>
      <c r="H3616" s="17" t="s">
        <v>35</v>
      </c>
      <c r="I3616" s="17" t="s">
        <v>44</v>
      </c>
      <c r="J3616" s="17"/>
      <c r="K3616" s="17" t="e">
        <f aca="false">VLOOKUP(J3616,Sheet2!A:B,2,0)</f>
        <v>#N/A</v>
      </c>
      <c r="L3616" s="17" t="n">
        <v>5</v>
      </c>
      <c r="M3616" s="17" t="str">
        <f aca="false">VLOOKUP(L3616,Sheet2!D:E,2,0)</f>
        <v>Main Processor CPU BGA</v>
      </c>
      <c r="N3616" s="17" t="n">
        <v>1</v>
      </c>
      <c r="O3616" s="17" t="str">
        <f aca="false">VLOOKUP(N3616,Sheet2!G:H,2,0)</f>
        <v>Dead</v>
      </c>
      <c r="P3616" s="17" t="n">
        <v>11</v>
      </c>
      <c r="Q3616" s="17" t="str">
        <f aca="false">VLOOKUP(P3616,Sheet2!J:K,2,0)</f>
        <v>IR Declared due to CID -TA</v>
      </c>
      <c r="R3616" s="17" t="s">
        <v>35</v>
      </c>
      <c r="S3616" s="17" t="str">
        <f aca="false">VLOOKUP(R3616,Sheet2!N:O,2,0)</f>
        <v>IREPARABLE</v>
      </c>
      <c r="T3616" s="18" t="str">
        <f aca="false">VLOOKUP(P3616,Sheet2!Q:R,2,0)</f>
        <v>IR Normal - Track burn out</v>
      </c>
      <c r="U3616" s="20" t="s">
        <v>41</v>
      </c>
      <c r="V3616" s="17"/>
      <c r="W3616" s="20" t="e">
        <f aca="false">VLOOKUP(V3616,Sheet2!Q:R,2,0)</f>
        <v>#N/A</v>
      </c>
      <c r="X3616" s="17" t="n">
        <f aca="false">J3616</f>
        <v>0</v>
      </c>
      <c r="Y3616" s="17" t="e">
        <f aca="false">VLOOKUP(X3616,Sheet2!A:B,2,0)</f>
        <v>#N/A</v>
      </c>
      <c r="Z3616" s="17"/>
      <c r="AA3616" s="17"/>
      <c r="AB3616" s="17" t="s">
        <v>41</v>
      </c>
      <c r="AC3616" s="0" t="str">
        <f aca="false">LEFT(G3616,2)</f>
        <v/>
      </c>
    </row>
    <row r="3617" customFormat="false" ht="15" hidden="false" customHeight="false" outlineLevel="0" collapsed="false">
      <c r="A3617" s="13" t="n">
        <f aca="false">1+A3616</f>
        <v>3615</v>
      </c>
      <c r="B3617" s="14" t="n">
        <v>100</v>
      </c>
      <c r="C3617" s="15"/>
      <c r="D3617" s="16" t="s">
        <v>64</v>
      </c>
      <c r="E3617" s="17" t="s">
        <v>47</v>
      </c>
      <c r="F3617" s="18" t="s">
        <v>34</v>
      </c>
      <c r="G3617" s="19"/>
      <c r="H3617" s="17" t="s">
        <v>35</v>
      </c>
      <c r="I3617" s="17" t="s">
        <v>44</v>
      </c>
      <c r="J3617" s="17"/>
      <c r="K3617" s="17" t="e">
        <f aca="false">VLOOKUP(J3617,Sheet2!A:B,2,0)</f>
        <v>#N/A</v>
      </c>
      <c r="L3617" s="17" t="n">
        <v>5</v>
      </c>
      <c r="M3617" s="17" t="str">
        <f aca="false">VLOOKUP(L3617,Sheet2!D:E,2,0)</f>
        <v>Main Processor CPU BGA</v>
      </c>
      <c r="N3617" s="17" t="n">
        <v>1</v>
      </c>
      <c r="O3617" s="17" t="str">
        <f aca="false">VLOOKUP(N3617,Sheet2!G:H,2,0)</f>
        <v>Dead</v>
      </c>
      <c r="P3617" s="17" t="n">
        <v>11</v>
      </c>
      <c r="Q3617" s="17" t="str">
        <f aca="false">VLOOKUP(P3617,Sheet2!J:K,2,0)</f>
        <v>IR Declared due to CID -TA</v>
      </c>
      <c r="R3617" s="17" t="s">
        <v>35</v>
      </c>
      <c r="S3617" s="17" t="str">
        <f aca="false">VLOOKUP(R3617,Sheet2!N:O,2,0)</f>
        <v>IREPARABLE</v>
      </c>
      <c r="T3617" s="18" t="str">
        <f aca="false">VLOOKUP(P3617,Sheet2!Q:R,2,0)</f>
        <v>IR Normal - Track burn out</v>
      </c>
      <c r="U3617" s="20" t="s">
        <v>41</v>
      </c>
      <c r="V3617" s="17"/>
      <c r="W3617" s="20" t="e">
        <f aca="false">VLOOKUP(V3617,Sheet2!Q:R,2,0)</f>
        <v>#N/A</v>
      </c>
      <c r="X3617" s="17" t="n">
        <f aca="false">J3617</f>
        <v>0</v>
      </c>
      <c r="Y3617" s="17" t="e">
        <f aca="false">VLOOKUP(X3617,Sheet2!A:B,2,0)</f>
        <v>#N/A</v>
      </c>
      <c r="Z3617" s="17"/>
      <c r="AA3617" s="17"/>
      <c r="AB3617" s="17" t="s">
        <v>41</v>
      </c>
      <c r="AC3617" s="0" t="str">
        <f aca="false">LEFT(G3617,2)</f>
        <v/>
      </c>
    </row>
    <row r="3618" customFormat="false" ht="15" hidden="false" customHeight="false" outlineLevel="0" collapsed="false">
      <c r="A3618" s="13" t="n">
        <f aca="false">1+A3617</f>
        <v>3616</v>
      </c>
      <c r="B3618" s="14" t="n">
        <v>100</v>
      </c>
      <c r="C3618" s="15"/>
      <c r="D3618" s="16" t="s">
        <v>64</v>
      </c>
      <c r="E3618" s="17" t="s">
        <v>47</v>
      </c>
      <c r="F3618" s="18" t="s">
        <v>34</v>
      </c>
      <c r="G3618" s="19"/>
      <c r="H3618" s="17" t="s">
        <v>35</v>
      </c>
      <c r="I3618" s="17" t="s">
        <v>44</v>
      </c>
      <c r="J3618" s="17"/>
      <c r="K3618" s="17" t="e">
        <f aca="false">VLOOKUP(J3618,Sheet2!A:B,2,0)</f>
        <v>#N/A</v>
      </c>
      <c r="L3618" s="17" t="n">
        <v>5</v>
      </c>
      <c r="M3618" s="17" t="str">
        <f aca="false">VLOOKUP(L3618,Sheet2!D:E,2,0)</f>
        <v>Main Processor CPU BGA</v>
      </c>
      <c r="N3618" s="17" t="n">
        <v>1</v>
      </c>
      <c r="O3618" s="17" t="str">
        <f aca="false">VLOOKUP(N3618,Sheet2!G:H,2,0)</f>
        <v>Dead</v>
      </c>
      <c r="P3618" s="17" t="n">
        <v>11</v>
      </c>
      <c r="Q3618" s="17" t="str">
        <f aca="false">VLOOKUP(P3618,Sheet2!J:K,2,0)</f>
        <v>IR Declared due to CID -TA</v>
      </c>
      <c r="R3618" s="17" t="s">
        <v>35</v>
      </c>
      <c r="S3618" s="17" t="str">
        <f aca="false">VLOOKUP(R3618,Sheet2!N:O,2,0)</f>
        <v>IREPARABLE</v>
      </c>
      <c r="T3618" s="18" t="str">
        <f aca="false">VLOOKUP(P3618,Sheet2!Q:R,2,0)</f>
        <v>IR Normal - Track burn out</v>
      </c>
      <c r="U3618" s="20" t="s">
        <v>41</v>
      </c>
      <c r="V3618" s="17"/>
      <c r="W3618" s="20" t="e">
        <f aca="false">VLOOKUP(V3618,Sheet2!Q:R,2,0)</f>
        <v>#N/A</v>
      </c>
      <c r="X3618" s="17" t="n">
        <f aca="false">J3618</f>
        <v>0</v>
      </c>
      <c r="Y3618" s="17" t="e">
        <f aca="false">VLOOKUP(X3618,Sheet2!A:B,2,0)</f>
        <v>#N/A</v>
      </c>
      <c r="Z3618" s="17"/>
      <c r="AA3618" s="17"/>
      <c r="AB3618" s="17" t="s">
        <v>41</v>
      </c>
      <c r="AC3618" s="0" t="str">
        <f aca="false">LEFT(G3618,2)</f>
        <v/>
      </c>
    </row>
    <row r="3619" customFormat="false" ht="15" hidden="false" customHeight="false" outlineLevel="0" collapsed="false">
      <c r="A3619" s="13" t="n">
        <f aca="false">1+A3618</f>
        <v>3617</v>
      </c>
      <c r="B3619" s="14" t="n">
        <v>100</v>
      </c>
      <c r="C3619" s="15"/>
      <c r="D3619" s="16" t="s">
        <v>64</v>
      </c>
      <c r="E3619" s="17" t="s">
        <v>47</v>
      </c>
      <c r="F3619" s="18" t="s">
        <v>34</v>
      </c>
      <c r="G3619" s="19"/>
      <c r="H3619" s="17" t="s">
        <v>35</v>
      </c>
      <c r="I3619" s="17" t="s">
        <v>44</v>
      </c>
      <c r="J3619" s="17"/>
      <c r="K3619" s="17" t="e">
        <f aca="false">VLOOKUP(J3619,Sheet2!A:B,2,0)</f>
        <v>#N/A</v>
      </c>
      <c r="L3619" s="17" t="n">
        <v>5</v>
      </c>
      <c r="M3619" s="17" t="str">
        <f aca="false">VLOOKUP(L3619,Sheet2!D:E,2,0)</f>
        <v>Main Processor CPU BGA</v>
      </c>
      <c r="N3619" s="17" t="n">
        <v>1</v>
      </c>
      <c r="O3619" s="17" t="str">
        <f aca="false">VLOOKUP(N3619,Sheet2!G:H,2,0)</f>
        <v>Dead</v>
      </c>
      <c r="P3619" s="17" t="n">
        <v>11</v>
      </c>
      <c r="Q3619" s="17" t="str">
        <f aca="false">VLOOKUP(P3619,Sheet2!J:K,2,0)</f>
        <v>IR Declared due to CID -TA</v>
      </c>
      <c r="R3619" s="17" t="s">
        <v>35</v>
      </c>
      <c r="S3619" s="17" t="str">
        <f aca="false">VLOOKUP(R3619,Sheet2!N:O,2,0)</f>
        <v>IREPARABLE</v>
      </c>
      <c r="T3619" s="18" t="str">
        <f aca="false">VLOOKUP(P3619,Sheet2!Q:R,2,0)</f>
        <v>IR Normal - Track burn out</v>
      </c>
      <c r="U3619" s="20" t="s">
        <v>41</v>
      </c>
      <c r="V3619" s="17"/>
      <c r="W3619" s="20" t="e">
        <f aca="false">VLOOKUP(V3619,Sheet2!Q:R,2,0)</f>
        <v>#N/A</v>
      </c>
      <c r="X3619" s="17" t="n">
        <f aca="false">J3619</f>
        <v>0</v>
      </c>
      <c r="Y3619" s="17" t="e">
        <f aca="false">VLOOKUP(X3619,Sheet2!A:B,2,0)</f>
        <v>#N/A</v>
      </c>
      <c r="Z3619" s="17"/>
      <c r="AA3619" s="17"/>
      <c r="AB3619" s="17" t="s">
        <v>41</v>
      </c>
      <c r="AC3619" s="0" t="str">
        <f aca="false">LEFT(G3619,2)</f>
        <v/>
      </c>
    </row>
    <row r="3620" customFormat="false" ht="15" hidden="false" customHeight="false" outlineLevel="0" collapsed="false">
      <c r="A3620" s="13" t="n">
        <f aca="false">1+A3619</f>
        <v>3618</v>
      </c>
      <c r="B3620" s="14" t="n">
        <v>100</v>
      </c>
      <c r="C3620" s="15"/>
      <c r="D3620" s="16" t="s">
        <v>64</v>
      </c>
      <c r="E3620" s="17" t="s">
        <v>47</v>
      </c>
      <c r="F3620" s="18" t="s">
        <v>34</v>
      </c>
      <c r="G3620" s="19"/>
      <c r="H3620" s="17" t="s">
        <v>35</v>
      </c>
      <c r="I3620" s="17" t="s">
        <v>44</v>
      </c>
      <c r="J3620" s="17"/>
      <c r="K3620" s="17" t="e">
        <f aca="false">VLOOKUP(J3620,Sheet2!A:B,2,0)</f>
        <v>#N/A</v>
      </c>
      <c r="L3620" s="17" t="n">
        <v>5</v>
      </c>
      <c r="M3620" s="17" t="str">
        <f aca="false">VLOOKUP(L3620,Sheet2!D:E,2,0)</f>
        <v>Main Processor CPU BGA</v>
      </c>
      <c r="N3620" s="17" t="n">
        <v>1</v>
      </c>
      <c r="O3620" s="17" t="str">
        <f aca="false">VLOOKUP(N3620,Sheet2!G:H,2,0)</f>
        <v>Dead</v>
      </c>
      <c r="P3620" s="17" t="n">
        <v>11</v>
      </c>
      <c r="Q3620" s="17" t="str">
        <f aca="false">VLOOKUP(P3620,Sheet2!J:K,2,0)</f>
        <v>IR Declared due to CID -TA</v>
      </c>
      <c r="R3620" s="17" t="s">
        <v>35</v>
      </c>
      <c r="S3620" s="17" t="str">
        <f aca="false">VLOOKUP(R3620,Sheet2!N:O,2,0)</f>
        <v>IREPARABLE</v>
      </c>
      <c r="T3620" s="18" t="str">
        <f aca="false">VLOOKUP(P3620,Sheet2!Q:R,2,0)</f>
        <v>IR Normal - Track burn out</v>
      </c>
      <c r="U3620" s="20" t="s">
        <v>41</v>
      </c>
      <c r="V3620" s="17"/>
      <c r="W3620" s="20" t="e">
        <f aca="false">VLOOKUP(V3620,Sheet2!Q:R,2,0)</f>
        <v>#N/A</v>
      </c>
      <c r="X3620" s="17" t="n">
        <f aca="false">J3620</f>
        <v>0</v>
      </c>
      <c r="Y3620" s="17" t="e">
        <f aca="false">VLOOKUP(X3620,Sheet2!A:B,2,0)</f>
        <v>#N/A</v>
      </c>
      <c r="Z3620" s="17"/>
      <c r="AA3620" s="17"/>
      <c r="AB3620" s="17" t="s">
        <v>41</v>
      </c>
      <c r="AC3620" s="0" t="str">
        <f aca="false">LEFT(G3620,2)</f>
        <v/>
      </c>
    </row>
    <row r="3621" customFormat="false" ht="15" hidden="false" customHeight="false" outlineLevel="0" collapsed="false">
      <c r="A3621" s="13" t="n">
        <f aca="false">1+A3620</f>
        <v>3619</v>
      </c>
      <c r="B3621" s="14" t="n">
        <v>100</v>
      </c>
      <c r="C3621" s="15"/>
      <c r="D3621" s="16" t="s">
        <v>64</v>
      </c>
      <c r="E3621" s="17" t="s">
        <v>47</v>
      </c>
      <c r="F3621" s="18" t="s">
        <v>34</v>
      </c>
      <c r="G3621" s="19"/>
      <c r="H3621" s="17" t="s">
        <v>35</v>
      </c>
      <c r="I3621" s="17" t="s">
        <v>44</v>
      </c>
      <c r="J3621" s="17"/>
      <c r="K3621" s="17" t="e">
        <f aca="false">VLOOKUP(J3621,Sheet2!A:B,2,0)</f>
        <v>#N/A</v>
      </c>
      <c r="L3621" s="17" t="n">
        <v>5</v>
      </c>
      <c r="M3621" s="17" t="str">
        <f aca="false">VLOOKUP(L3621,Sheet2!D:E,2,0)</f>
        <v>Main Processor CPU BGA</v>
      </c>
      <c r="N3621" s="17" t="n">
        <v>1</v>
      </c>
      <c r="O3621" s="17" t="str">
        <f aca="false">VLOOKUP(N3621,Sheet2!G:H,2,0)</f>
        <v>Dead</v>
      </c>
      <c r="P3621" s="17" t="n">
        <v>11</v>
      </c>
      <c r="Q3621" s="17" t="str">
        <f aca="false">VLOOKUP(P3621,Sheet2!J:K,2,0)</f>
        <v>IR Declared due to CID -TA</v>
      </c>
      <c r="R3621" s="17" t="s">
        <v>35</v>
      </c>
      <c r="S3621" s="17" t="str">
        <f aca="false">VLOOKUP(R3621,Sheet2!N:O,2,0)</f>
        <v>IREPARABLE</v>
      </c>
      <c r="T3621" s="18" t="str">
        <f aca="false">VLOOKUP(P3621,Sheet2!Q:R,2,0)</f>
        <v>IR Normal - Track burn out</v>
      </c>
      <c r="U3621" s="20" t="s">
        <v>41</v>
      </c>
      <c r="V3621" s="17"/>
      <c r="W3621" s="20" t="e">
        <f aca="false">VLOOKUP(V3621,Sheet2!Q:R,2,0)</f>
        <v>#N/A</v>
      </c>
      <c r="X3621" s="17" t="n">
        <f aca="false">J3621</f>
        <v>0</v>
      </c>
      <c r="Y3621" s="17" t="e">
        <f aca="false">VLOOKUP(X3621,Sheet2!A:B,2,0)</f>
        <v>#N/A</v>
      </c>
      <c r="Z3621" s="17"/>
      <c r="AA3621" s="17"/>
      <c r="AB3621" s="17" t="s">
        <v>41</v>
      </c>
      <c r="AC3621" s="0" t="str">
        <f aca="false">LEFT(G3621,2)</f>
        <v/>
      </c>
    </row>
    <row r="3622" customFormat="false" ht="15" hidden="false" customHeight="false" outlineLevel="0" collapsed="false">
      <c r="A3622" s="13" t="n">
        <f aca="false">1+A3621</f>
        <v>3620</v>
      </c>
      <c r="B3622" s="14" t="n">
        <v>100</v>
      </c>
      <c r="C3622" s="15"/>
      <c r="D3622" s="16" t="s">
        <v>64</v>
      </c>
      <c r="E3622" s="17" t="s">
        <v>47</v>
      </c>
      <c r="F3622" s="18" t="s">
        <v>34</v>
      </c>
      <c r="G3622" s="19"/>
      <c r="H3622" s="17" t="s">
        <v>35</v>
      </c>
      <c r="I3622" s="17" t="s">
        <v>44</v>
      </c>
      <c r="J3622" s="17"/>
      <c r="K3622" s="17" t="e">
        <f aca="false">VLOOKUP(J3622,Sheet2!A:B,2,0)</f>
        <v>#N/A</v>
      </c>
      <c r="L3622" s="17" t="n">
        <v>5</v>
      </c>
      <c r="M3622" s="17" t="str">
        <f aca="false">VLOOKUP(L3622,Sheet2!D:E,2,0)</f>
        <v>Main Processor CPU BGA</v>
      </c>
      <c r="N3622" s="17" t="n">
        <v>1</v>
      </c>
      <c r="O3622" s="17" t="str">
        <f aca="false">VLOOKUP(N3622,Sheet2!G:H,2,0)</f>
        <v>Dead</v>
      </c>
      <c r="P3622" s="17" t="n">
        <v>11</v>
      </c>
      <c r="Q3622" s="17" t="str">
        <f aca="false">VLOOKUP(P3622,Sheet2!J:K,2,0)</f>
        <v>IR Declared due to CID -TA</v>
      </c>
      <c r="R3622" s="17" t="s">
        <v>35</v>
      </c>
      <c r="S3622" s="17" t="str">
        <f aca="false">VLOOKUP(R3622,Sheet2!N:O,2,0)</f>
        <v>IREPARABLE</v>
      </c>
      <c r="T3622" s="18" t="str">
        <f aca="false">VLOOKUP(P3622,Sheet2!Q:R,2,0)</f>
        <v>IR Normal - Track burn out</v>
      </c>
      <c r="U3622" s="20" t="s">
        <v>41</v>
      </c>
      <c r="V3622" s="17"/>
      <c r="W3622" s="20" t="e">
        <f aca="false">VLOOKUP(V3622,Sheet2!Q:R,2,0)</f>
        <v>#N/A</v>
      </c>
      <c r="X3622" s="17" t="n">
        <f aca="false">J3622</f>
        <v>0</v>
      </c>
      <c r="Y3622" s="17" t="e">
        <f aca="false">VLOOKUP(X3622,Sheet2!A:B,2,0)</f>
        <v>#N/A</v>
      </c>
      <c r="Z3622" s="17"/>
      <c r="AA3622" s="17"/>
      <c r="AB3622" s="17" t="s">
        <v>41</v>
      </c>
      <c r="AC3622" s="0" t="str">
        <f aca="false">LEFT(G3622,2)</f>
        <v/>
      </c>
    </row>
    <row r="3623" customFormat="false" ht="15" hidden="false" customHeight="false" outlineLevel="0" collapsed="false">
      <c r="A3623" s="13" t="n">
        <f aca="false">1+A3622</f>
        <v>3621</v>
      </c>
      <c r="B3623" s="14" t="n">
        <v>100</v>
      </c>
      <c r="C3623" s="15"/>
      <c r="D3623" s="16" t="s">
        <v>64</v>
      </c>
      <c r="E3623" s="17" t="s">
        <v>47</v>
      </c>
      <c r="F3623" s="18" t="s">
        <v>34</v>
      </c>
      <c r="G3623" s="19"/>
      <c r="H3623" s="17" t="s">
        <v>35</v>
      </c>
      <c r="I3623" s="17" t="s">
        <v>44</v>
      </c>
      <c r="J3623" s="17"/>
      <c r="K3623" s="17" t="e">
        <f aca="false">VLOOKUP(J3623,Sheet2!A:B,2,0)</f>
        <v>#N/A</v>
      </c>
      <c r="L3623" s="17" t="n">
        <v>5</v>
      </c>
      <c r="M3623" s="17" t="str">
        <f aca="false">VLOOKUP(L3623,Sheet2!D:E,2,0)</f>
        <v>Main Processor CPU BGA</v>
      </c>
      <c r="N3623" s="17" t="n">
        <v>1</v>
      </c>
      <c r="O3623" s="17" t="str">
        <f aca="false">VLOOKUP(N3623,Sheet2!G:H,2,0)</f>
        <v>Dead</v>
      </c>
      <c r="P3623" s="17" t="n">
        <v>11</v>
      </c>
      <c r="Q3623" s="17" t="str">
        <f aca="false">VLOOKUP(P3623,Sheet2!J:K,2,0)</f>
        <v>IR Declared due to CID -TA</v>
      </c>
      <c r="R3623" s="17" t="s">
        <v>35</v>
      </c>
      <c r="S3623" s="17" t="str">
        <f aca="false">VLOOKUP(R3623,Sheet2!N:O,2,0)</f>
        <v>IREPARABLE</v>
      </c>
      <c r="T3623" s="18" t="str">
        <f aca="false">VLOOKUP(P3623,Sheet2!Q:R,2,0)</f>
        <v>IR Normal - Track burn out</v>
      </c>
      <c r="U3623" s="20" t="s">
        <v>41</v>
      </c>
      <c r="V3623" s="17"/>
      <c r="W3623" s="20" t="e">
        <f aca="false">VLOOKUP(V3623,Sheet2!Q:R,2,0)</f>
        <v>#N/A</v>
      </c>
      <c r="X3623" s="17" t="n">
        <f aca="false">J3623</f>
        <v>0</v>
      </c>
      <c r="Y3623" s="17" t="e">
        <f aca="false">VLOOKUP(X3623,Sheet2!A:B,2,0)</f>
        <v>#N/A</v>
      </c>
      <c r="Z3623" s="17"/>
      <c r="AA3623" s="17"/>
      <c r="AB3623" s="17" t="s">
        <v>41</v>
      </c>
      <c r="AC3623" s="0" t="str">
        <f aca="false">LEFT(G3623,2)</f>
        <v/>
      </c>
    </row>
    <row r="3624" customFormat="false" ht="15" hidden="false" customHeight="false" outlineLevel="0" collapsed="false">
      <c r="A3624" s="13" t="n">
        <f aca="false">1+A3623</f>
        <v>3622</v>
      </c>
      <c r="B3624" s="14" t="n">
        <v>100</v>
      </c>
      <c r="C3624" s="15"/>
      <c r="D3624" s="16" t="s">
        <v>64</v>
      </c>
      <c r="E3624" s="17" t="s">
        <v>47</v>
      </c>
      <c r="F3624" s="18" t="s">
        <v>34</v>
      </c>
      <c r="G3624" s="19"/>
      <c r="H3624" s="17" t="s">
        <v>35</v>
      </c>
      <c r="I3624" s="17" t="s">
        <v>44</v>
      </c>
      <c r="J3624" s="17"/>
      <c r="K3624" s="17" t="e">
        <f aca="false">VLOOKUP(J3624,Sheet2!A:B,2,0)</f>
        <v>#N/A</v>
      </c>
      <c r="L3624" s="17" t="n">
        <v>5</v>
      </c>
      <c r="M3624" s="17" t="str">
        <f aca="false">VLOOKUP(L3624,Sheet2!D:E,2,0)</f>
        <v>Main Processor CPU BGA</v>
      </c>
      <c r="N3624" s="17" t="n">
        <v>1</v>
      </c>
      <c r="O3624" s="17" t="str">
        <f aca="false">VLOOKUP(N3624,Sheet2!G:H,2,0)</f>
        <v>Dead</v>
      </c>
      <c r="P3624" s="17" t="n">
        <v>11</v>
      </c>
      <c r="Q3624" s="17" t="str">
        <f aca="false">VLOOKUP(P3624,Sheet2!J:K,2,0)</f>
        <v>IR Declared due to CID -TA</v>
      </c>
      <c r="R3624" s="17" t="s">
        <v>35</v>
      </c>
      <c r="S3624" s="17" t="str">
        <f aca="false">VLOOKUP(R3624,Sheet2!N:O,2,0)</f>
        <v>IREPARABLE</v>
      </c>
      <c r="T3624" s="18" t="str">
        <f aca="false">VLOOKUP(P3624,Sheet2!Q:R,2,0)</f>
        <v>IR Normal - Track burn out</v>
      </c>
      <c r="U3624" s="20" t="s">
        <v>41</v>
      </c>
      <c r="V3624" s="17"/>
      <c r="W3624" s="20" t="e">
        <f aca="false">VLOOKUP(V3624,Sheet2!Q:R,2,0)</f>
        <v>#N/A</v>
      </c>
      <c r="X3624" s="17" t="n">
        <f aca="false">J3624</f>
        <v>0</v>
      </c>
      <c r="Y3624" s="17" t="e">
        <f aca="false">VLOOKUP(X3624,Sheet2!A:B,2,0)</f>
        <v>#N/A</v>
      </c>
      <c r="Z3624" s="17"/>
      <c r="AA3624" s="17"/>
      <c r="AB3624" s="17" t="s">
        <v>41</v>
      </c>
      <c r="AC3624" s="0" t="str">
        <f aca="false">LEFT(G3624,2)</f>
        <v/>
      </c>
    </row>
    <row r="3625" customFormat="false" ht="15" hidden="false" customHeight="false" outlineLevel="0" collapsed="false">
      <c r="A3625" s="13" t="n">
        <f aca="false">1+A3624</f>
        <v>3623</v>
      </c>
      <c r="B3625" s="14" t="n">
        <v>100</v>
      </c>
      <c r="C3625" s="15"/>
      <c r="D3625" s="16" t="s">
        <v>64</v>
      </c>
      <c r="E3625" s="17" t="s">
        <v>47</v>
      </c>
      <c r="F3625" s="18" t="s">
        <v>34</v>
      </c>
      <c r="G3625" s="19"/>
      <c r="H3625" s="17" t="s">
        <v>35</v>
      </c>
      <c r="I3625" s="17" t="s">
        <v>44</v>
      </c>
      <c r="J3625" s="17"/>
      <c r="K3625" s="17" t="e">
        <f aca="false">VLOOKUP(J3625,Sheet2!A:B,2,0)</f>
        <v>#N/A</v>
      </c>
      <c r="L3625" s="17" t="n">
        <v>5</v>
      </c>
      <c r="M3625" s="17" t="str">
        <f aca="false">VLOOKUP(L3625,Sheet2!D:E,2,0)</f>
        <v>Main Processor CPU BGA</v>
      </c>
      <c r="N3625" s="17" t="n">
        <v>1</v>
      </c>
      <c r="O3625" s="17" t="str">
        <f aca="false">VLOOKUP(N3625,Sheet2!G:H,2,0)</f>
        <v>Dead</v>
      </c>
      <c r="P3625" s="17" t="n">
        <v>11</v>
      </c>
      <c r="Q3625" s="17" t="str">
        <f aca="false">VLOOKUP(P3625,Sheet2!J:K,2,0)</f>
        <v>IR Declared due to CID -TA</v>
      </c>
      <c r="R3625" s="17" t="s">
        <v>35</v>
      </c>
      <c r="S3625" s="17" t="str">
        <f aca="false">VLOOKUP(R3625,Sheet2!N:O,2,0)</f>
        <v>IREPARABLE</v>
      </c>
      <c r="T3625" s="18" t="str">
        <f aca="false">VLOOKUP(P3625,Sheet2!Q:R,2,0)</f>
        <v>IR Normal - Track burn out</v>
      </c>
      <c r="U3625" s="20" t="s">
        <v>41</v>
      </c>
      <c r="V3625" s="17"/>
      <c r="W3625" s="20" t="e">
        <f aca="false">VLOOKUP(V3625,Sheet2!Q:R,2,0)</f>
        <v>#N/A</v>
      </c>
      <c r="X3625" s="17" t="n">
        <f aca="false">J3625</f>
        <v>0</v>
      </c>
      <c r="Y3625" s="17" t="e">
        <f aca="false">VLOOKUP(X3625,Sheet2!A:B,2,0)</f>
        <v>#N/A</v>
      </c>
      <c r="Z3625" s="17"/>
      <c r="AA3625" s="17"/>
      <c r="AB3625" s="17" t="s">
        <v>41</v>
      </c>
      <c r="AC3625" s="0" t="str">
        <f aca="false">LEFT(G3625,2)</f>
        <v/>
      </c>
    </row>
    <row r="3626" customFormat="false" ht="15" hidden="false" customHeight="false" outlineLevel="0" collapsed="false">
      <c r="A3626" s="13" t="n">
        <f aca="false">1+A3625</f>
        <v>3624</v>
      </c>
      <c r="B3626" s="14" t="n">
        <v>100</v>
      </c>
      <c r="C3626" s="15"/>
      <c r="D3626" s="16" t="s">
        <v>64</v>
      </c>
      <c r="E3626" s="17" t="s">
        <v>47</v>
      </c>
      <c r="F3626" s="18" t="s">
        <v>34</v>
      </c>
      <c r="G3626" s="19"/>
      <c r="H3626" s="17" t="s">
        <v>35</v>
      </c>
      <c r="I3626" s="17" t="s">
        <v>44</v>
      </c>
      <c r="J3626" s="17"/>
      <c r="K3626" s="17" t="e">
        <f aca="false">VLOOKUP(J3626,Sheet2!A:B,2,0)</f>
        <v>#N/A</v>
      </c>
      <c r="L3626" s="17" t="n">
        <v>5</v>
      </c>
      <c r="M3626" s="17" t="str">
        <f aca="false">VLOOKUP(L3626,Sheet2!D:E,2,0)</f>
        <v>Main Processor CPU BGA</v>
      </c>
      <c r="N3626" s="17" t="n">
        <v>1</v>
      </c>
      <c r="O3626" s="17" t="str">
        <f aca="false">VLOOKUP(N3626,Sheet2!G:H,2,0)</f>
        <v>Dead</v>
      </c>
      <c r="P3626" s="17" t="n">
        <v>11</v>
      </c>
      <c r="Q3626" s="17" t="str">
        <f aca="false">VLOOKUP(P3626,Sheet2!J:K,2,0)</f>
        <v>IR Declared due to CID -TA</v>
      </c>
      <c r="R3626" s="17" t="s">
        <v>35</v>
      </c>
      <c r="S3626" s="17" t="str">
        <f aca="false">VLOOKUP(R3626,Sheet2!N:O,2,0)</f>
        <v>IREPARABLE</v>
      </c>
      <c r="T3626" s="18" t="str">
        <f aca="false">VLOOKUP(P3626,Sheet2!Q:R,2,0)</f>
        <v>IR Normal - Track burn out</v>
      </c>
      <c r="U3626" s="20" t="s">
        <v>41</v>
      </c>
      <c r="V3626" s="17"/>
      <c r="W3626" s="20" t="e">
        <f aca="false">VLOOKUP(V3626,Sheet2!Q:R,2,0)</f>
        <v>#N/A</v>
      </c>
      <c r="X3626" s="17" t="n">
        <f aca="false">J3626</f>
        <v>0</v>
      </c>
      <c r="Y3626" s="17" t="e">
        <f aca="false">VLOOKUP(X3626,Sheet2!A:B,2,0)</f>
        <v>#N/A</v>
      </c>
      <c r="Z3626" s="17"/>
      <c r="AA3626" s="17"/>
      <c r="AB3626" s="17" t="s">
        <v>41</v>
      </c>
      <c r="AC3626" s="0" t="str">
        <f aca="false">LEFT(G3626,2)</f>
        <v/>
      </c>
    </row>
    <row r="3627" customFormat="false" ht="15" hidden="false" customHeight="false" outlineLevel="0" collapsed="false">
      <c r="A3627" s="13" t="n">
        <f aca="false">1+A3626</f>
        <v>3625</v>
      </c>
      <c r="B3627" s="14" t="n">
        <v>100</v>
      </c>
      <c r="C3627" s="15"/>
      <c r="D3627" s="16" t="s">
        <v>64</v>
      </c>
      <c r="E3627" s="17" t="s">
        <v>47</v>
      </c>
      <c r="F3627" s="18" t="s">
        <v>34</v>
      </c>
      <c r="G3627" s="19"/>
      <c r="H3627" s="17" t="s">
        <v>35</v>
      </c>
      <c r="I3627" s="17" t="s">
        <v>44</v>
      </c>
      <c r="J3627" s="17"/>
      <c r="K3627" s="17" t="e">
        <f aca="false">VLOOKUP(J3627,Sheet2!A:B,2,0)</f>
        <v>#N/A</v>
      </c>
      <c r="L3627" s="17" t="n">
        <v>5</v>
      </c>
      <c r="M3627" s="17" t="str">
        <f aca="false">VLOOKUP(L3627,Sheet2!D:E,2,0)</f>
        <v>Main Processor CPU BGA</v>
      </c>
      <c r="N3627" s="17" t="n">
        <v>1</v>
      </c>
      <c r="O3627" s="17" t="str">
        <f aca="false">VLOOKUP(N3627,Sheet2!G:H,2,0)</f>
        <v>Dead</v>
      </c>
      <c r="P3627" s="17" t="n">
        <v>11</v>
      </c>
      <c r="Q3627" s="17" t="str">
        <f aca="false">VLOOKUP(P3627,Sheet2!J:K,2,0)</f>
        <v>IR Declared due to CID -TA</v>
      </c>
      <c r="R3627" s="17" t="s">
        <v>35</v>
      </c>
      <c r="S3627" s="17" t="str">
        <f aca="false">VLOOKUP(R3627,Sheet2!N:O,2,0)</f>
        <v>IREPARABLE</v>
      </c>
      <c r="T3627" s="18" t="str">
        <f aca="false">VLOOKUP(P3627,Sheet2!Q:R,2,0)</f>
        <v>IR Normal - Track burn out</v>
      </c>
      <c r="U3627" s="20" t="s">
        <v>41</v>
      </c>
      <c r="V3627" s="17"/>
      <c r="W3627" s="20" t="e">
        <f aca="false">VLOOKUP(V3627,Sheet2!Q:R,2,0)</f>
        <v>#N/A</v>
      </c>
      <c r="X3627" s="17" t="n">
        <f aca="false">J3627</f>
        <v>0</v>
      </c>
      <c r="Y3627" s="17" t="e">
        <f aca="false">VLOOKUP(X3627,Sheet2!A:B,2,0)</f>
        <v>#N/A</v>
      </c>
      <c r="Z3627" s="17"/>
      <c r="AA3627" s="17"/>
      <c r="AB3627" s="17" t="s">
        <v>41</v>
      </c>
      <c r="AC3627" s="0" t="str">
        <f aca="false">LEFT(G3627,2)</f>
        <v/>
      </c>
    </row>
    <row r="3628" customFormat="false" ht="15" hidden="false" customHeight="false" outlineLevel="0" collapsed="false">
      <c r="A3628" s="13" t="n">
        <f aca="false">1+A3627</f>
        <v>3626</v>
      </c>
      <c r="B3628" s="14" t="n">
        <v>100</v>
      </c>
      <c r="C3628" s="15"/>
      <c r="D3628" s="16" t="s">
        <v>64</v>
      </c>
      <c r="E3628" s="17" t="s">
        <v>47</v>
      </c>
      <c r="F3628" s="18" t="s">
        <v>34</v>
      </c>
      <c r="G3628" s="19"/>
      <c r="H3628" s="17" t="s">
        <v>35</v>
      </c>
      <c r="I3628" s="17" t="s">
        <v>44</v>
      </c>
      <c r="J3628" s="17"/>
      <c r="K3628" s="17" t="e">
        <f aca="false">VLOOKUP(J3628,Sheet2!A:B,2,0)</f>
        <v>#N/A</v>
      </c>
      <c r="L3628" s="17" t="n">
        <v>5</v>
      </c>
      <c r="M3628" s="17" t="str">
        <f aca="false">VLOOKUP(L3628,Sheet2!D:E,2,0)</f>
        <v>Main Processor CPU BGA</v>
      </c>
      <c r="N3628" s="17" t="n">
        <v>1</v>
      </c>
      <c r="O3628" s="17" t="str">
        <f aca="false">VLOOKUP(N3628,Sheet2!G:H,2,0)</f>
        <v>Dead</v>
      </c>
      <c r="P3628" s="17" t="n">
        <v>11</v>
      </c>
      <c r="Q3628" s="17" t="str">
        <f aca="false">VLOOKUP(P3628,Sheet2!J:K,2,0)</f>
        <v>IR Declared due to CID -TA</v>
      </c>
      <c r="R3628" s="17" t="s">
        <v>35</v>
      </c>
      <c r="S3628" s="17" t="str">
        <f aca="false">VLOOKUP(R3628,Sheet2!N:O,2,0)</f>
        <v>IREPARABLE</v>
      </c>
      <c r="T3628" s="18" t="str">
        <f aca="false">VLOOKUP(P3628,Sheet2!Q:R,2,0)</f>
        <v>IR Normal - Track burn out</v>
      </c>
      <c r="U3628" s="20" t="s">
        <v>41</v>
      </c>
      <c r="V3628" s="17"/>
      <c r="W3628" s="20" t="e">
        <f aca="false">VLOOKUP(V3628,Sheet2!Q:R,2,0)</f>
        <v>#N/A</v>
      </c>
      <c r="X3628" s="17" t="n">
        <f aca="false">J3628</f>
        <v>0</v>
      </c>
      <c r="Y3628" s="17" t="e">
        <f aca="false">VLOOKUP(X3628,Sheet2!A:B,2,0)</f>
        <v>#N/A</v>
      </c>
      <c r="Z3628" s="17"/>
      <c r="AA3628" s="17"/>
      <c r="AB3628" s="17" t="s">
        <v>41</v>
      </c>
      <c r="AC3628" s="0" t="str">
        <f aca="false">LEFT(G3628,2)</f>
        <v/>
      </c>
    </row>
    <row r="3629" customFormat="false" ht="15" hidden="false" customHeight="false" outlineLevel="0" collapsed="false">
      <c r="A3629" s="13" t="n">
        <f aca="false">1+A3628</f>
        <v>3627</v>
      </c>
      <c r="B3629" s="14" t="n">
        <v>100</v>
      </c>
      <c r="C3629" s="15"/>
      <c r="D3629" s="16" t="s">
        <v>64</v>
      </c>
      <c r="E3629" s="17" t="s">
        <v>47</v>
      </c>
      <c r="F3629" s="18" t="s">
        <v>34</v>
      </c>
      <c r="G3629" s="19"/>
      <c r="H3629" s="17" t="s">
        <v>35</v>
      </c>
      <c r="I3629" s="17" t="s">
        <v>44</v>
      </c>
      <c r="J3629" s="17"/>
      <c r="K3629" s="17" t="e">
        <f aca="false">VLOOKUP(J3629,Sheet2!A:B,2,0)</f>
        <v>#N/A</v>
      </c>
      <c r="L3629" s="17" t="n">
        <v>5</v>
      </c>
      <c r="M3629" s="17" t="str">
        <f aca="false">VLOOKUP(L3629,Sheet2!D:E,2,0)</f>
        <v>Main Processor CPU BGA</v>
      </c>
      <c r="N3629" s="17" t="n">
        <v>1</v>
      </c>
      <c r="O3629" s="17" t="str">
        <f aca="false">VLOOKUP(N3629,Sheet2!G:H,2,0)</f>
        <v>Dead</v>
      </c>
      <c r="P3629" s="17" t="n">
        <v>11</v>
      </c>
      <c r="Q3629" s="17" t="str">
        <f aca="false">VLOOKUP(P3629,Sheet2!J:K,2,0)</f>
        <v>IR Declared due to CID -TA</v>
      </c>
      <c r="R3629" s="17" t="s">
        <v>35</v>
      </c>
      <c r="S3629" s="17" t="str">
        <f aca="false">VLOOKUP(R3629,Sheet2!N:O,2,0)</f>
        <v>IREPARABLE</v>
      </c>
      <c r="T3629" s="18" t="str">
        <f aca="false">VLOOKUP(P3629,Sheet2!Q:R,2,0)</f>
        <v>IR Normal - Track burn out</v>
      </c>
      <c r="U3629" s="20" t="s">
        <v>41</v>
      </c>
      <c r="V3629" s="17"/>
      <c r="W3629" s="20" t="e">
        <f aca="false">VLOOKUP(V3629,Sheet2!Q:R,2,0)</f>
        <v>#N/A</v>
      </c>
      <c r="X3629" s="17" t="n">
        <f aca="false">J3629</f>
        <v>0</v>
      </c>
      <c r="Y3629" s="17" t="e">
        <f aca="false">VLOOKUP(X3629,Sheet2!A:B,2,0)</f>
        <v>#N/A</v>
      </c>
      <c r="Z3629" s="17"/>
      <c r="AA3629" s="17"/>
      <c r="AB3629" s="17" t="s">
        <v>41</v>
      </c>
      <c r="AC3629" s="0" t="str">
        <f aca="false">LEFT(G3629,2)</f>
        <v/>
      </c>
    </row>
    <row r="3630" customFormat="false" ht="15" hidden="false" customHeight="false" outlineLevel="0" collapsed="false">
      <c r="A3630" s="13" t="n">
        <f aca="false">1+A3629</f>
        <v>3628</v>
      </c>
      <c r="B3630" s="14" t="n">
        <v>100</v>
      </c>
      <c r="C3630" s="15"/>
      <c r="D3630" s="16" t="s">
        <v>64</v>
      </c>
      <c r="E3630" s="17" t="s">
        <v>47</v>
      </c>
      <c r="F3630" s="18" t="s">
        <v>34</v>
      </c>
      <c r="G3630" s="19"/>
      <c r="H3630" s="17" t="s">
        <v>35</v>
      </c>
      <c r="I3630" s="17" t="s">
        <v>44</v>
      </c>
      <c r="J3630" s="17"/>
      <c r="K3630" s="17" t="e">
        <f aca="false">VLOOKUP(J3630,Sheet2!A:B,2,0)</f>
        <v>#N/A</v>
      </c>
      <c r="L3630" s="17" t="n">
        <v>5</v>
      </c>
      <c r="M3630" s="17" t="str">
        <f aca="false">VLOOKUP(L3630,Sheet2!D:E,2,0)</f>
        <v>Main Processor CPU BGA</v>
      </c>
      <c r="N3630" s="17" t="n">
        <v>1</v>
      </c>
      <c r="O3630" s="17" t="str">
        <f aca="false">VLOOKUP(N3630,Sheet2!G:H,2,0)</f>
        <v>Dead</v>
      </c>
      <c r="P3630" s="17" t="n">
        <v>11</v>
      </c>
      <c r="Q3630" s="17" t="str">
        <f aca="false">VLOOKUP(P3630,Sheet2!J:K,2,0)</f>
        <v>IR Declared due to CID -TA</v>
      </c>
      <c r="R3630" s="17" t="s">
        <v>35</v>
      </c>
      <c r="S3630" s="17" t="str">
        <f aca="false">VLOOKUP(R3630,Sheet2!N:O,2,0)</f>
        <v>IREPARABLE</v>
      </c>
      <c r="T3630" s="18" t="str">
        <f aca="false">VLOOKUP(P3630,Sheet2!Q:R,2,0)</f>
        <v>IR Normal - Track burn out</v>
      </c>
      <c r="U3630" s="20" t="s">
        <v>41</v>
      </c>
      <c r="V3630" s="17"/>
      <c r="W3630" s="20" t="e">
        <f aca="false">VLOOKUP(V3630,Sheet2!Q:R,2,0)</f>
        <v>#N/A</v>
      </c>
      <c r="X3630" s="17" t="n">
        <f aca="false">J3630</f>
        <v>0</v>
      </c>
      <c r="Y3630" s="17" t="e">
        <f aca="false">VLOOKUP(X3630,Sheet2!A:B,2,0)</f>
        <v>#N/A</v>
      </c>
      <c r="Z3630" s="17"/>
      <c r="AA3630" s="17"/>
      <c r="AB3630" s="17" t="s">
        <v>41</v>
      </c>
      <c r="AC3630" s="0" t="str">
        <f aca="false">LEFT(G3630,2)</f>
        <v/>
      </c>
    </row>
    <row r="3631" customFormat="false" ht="15" hidden="false" customHeight="false" outlineLevel="0" collapsed="false">
      <c r="A3631" s="13" t="n">
        <f aca="false">1+A3630</f>
        <v>3629</v>
      </c>
      <c r="B3631" s="14" t="n">
        <v>100</v>
      </c>
      <c r="C3631" s="15"/>
      <c r="D3631" s="16" t="s">
        <v>64</v>
      </c>
      <c r="E3631" s="17" t="s">
        <v>47</v>
      </c>
      <c r="F3631" s="18" t="s">
        <v>34</v>
      </c>
      <c r="G3631" s="19"/>
      <c r="H3631" s="17" t="s">
        <v>35</v>
      </c>
      <c r="I3631" s="17" t="s">
        <v>44</v>
      </c>
      <c r="J3631" s="17"/>
      <c r="K3631" s="17" t="e">
        <f aca="false">VLOOKUP(J3631,Sheet2!A:B,2,0)</f>
        <v>#N/A</v>
      </c>
      <c r="L3631" s="17" t="n">
        <v>5</v>
      </c>
      <c r="M3631" s="17" t="str">
        <f aca="false">VLOOKUP(L3631,Sheet2!D:E,2,0)</f>
        <v>Main Processor CPU BGA</v>
      </c>
      <c r="N3631" s="17" t="n">
        <v>1</v>
      </c>
      <c r="O3631" s="17" t="str">
        <f aca="false">VLOOKUP(N3631,Sheet2!G:H,2,0)</f>
        <v>Dead</v>
      </c>
      <c r="P3631" s="17" t="n">
        <v>11</v>
      </c>
      <c r="Q3631" s="17" t="str">
        <f aca="false">VLOOKUP(P3631,Sheet2!J:K,2,0)</f>
        <v>IR Declared due to CID -TA</v>
      </c>
      <c r="R3631" s="17" t="s">
        <v>35</v>
      </c>
      <c r="S3631" s="17" t="str">
        <f aca="false">VLOOKUP(R3631,Sheet2!N:O,2,0)</f>
        <v>IREPARABLE</v>
      </c>
      <c r="T3631" s="18" t="str">
        <f aca="false">VLOOKUP(P3631,Sheet2!Q:R,2,0)</f>
        <v>IR Normal - Track burn out</v>
      </c>
      <c r="U3631" s="20" t="s">
        <v>41</v>
      </c>
      <c r="V3631" s="17"/>
      <c r="W3631" s="20" t="e">
        <f aca="false">VLOOKUP(V3631,Sheet2!Q:R,2,0)</f>
        <v>#N/A</v>
      </c>
      <c r="X3631" s="17" t="n">
        <f aca="false">J3631</f>
        <v>0</v>
      </c>
      <c r="Y3631" s="17" t="e">
        <f aca="false">VLOOKUP(X3631,Sheet2!A:B,2,0)</f>
        <v>#N/A</v>
      </c>
      <c r="Z3631" s="17"/>
      <c r="AA3631" s="17"/>
      <c r="AB3631" s="17" t="s">
        <v>41</v>
      </c>
      <c r="AC3631" s="0" t="str">
        <f aca="false">LEFT(G3631,2)</f>
        <v/>
      </c>
    </row>
    <row r="3632" customFormat="false" ht="15" hidden="false" customHeight="false" outlineLevel="0" collapsed="false">
      <c r="A3632" s="13" t="n">
        <f aca="false">1+A3631</f>
        <v>3630</v>
      </c>
      <c r="B3632" s="14" t="n">
        <v>100</v>
      </c>
      <c r="C3632" s="15"/>
      <c r="D3632" s="16" t="s">
        <v>64</v>
      </c>
      <c r="E3632" s="17" t="s">
        <v>47</v>
      </c>
      <c r="F3632" s="18" t="s">
        <v>34</v>
      </c>
      <c r="G3632" s="19"/>
      <c r="H3632" s="17" t="s">
        <v>35</v>
      </c>
      <c r="I3632" s="17" t="s">
        <v>44</v>
      </c>
      <c r="J3632" s="17"/>
      <c r="K3632" s="17" t="e">
        <f aca="false">VLOOKUP(J3632,Sheet2!A:B,2,0)</f>
        <v>#N/A</v>
      </c>
      <c r="L3632" s="17" t="n">
        <v>5</v>
      </c>
      <c r="M3632" s="17" t="str">
        <f aca="false">VLOOKUP(L3632,Sheet2!D:E,2,0)</f>
        <v>Main Processor CPU BGA</v>
      </c>
      <c r="N3632" s="17" t="n">
        <v>1</v>
      </c>
      <c r="O3632" s="17" t="str">
        <f aca="false">VLOOKUP(N3632,Sheet2!G:H,2,0)</f>
        <v>Dead</v>
      </c>
      <c r="P3632" s="17" t="n">
        <v>11</v>
      </c>
      <c r="Q3632" s="17" t="str">
        <f aca="false">VLOOKUP(P3632,Sheet2!J:K,2,0)</f>
        <v>IR Declared due to CID -TA</v>
      </c>
      <c r="R3632" s="17" t="s">
        <v>35</v>
      </c>
      <c r="S3632" s="17" t="str">
        <f aca="false">VLOOKUP(R3632,Sheet2!N:O,2,0)</f>
        <v>IREPARABLE</v>
      </c>
      <c r="T3632" s="18" t="str">
        <f aca="false">VLOOKUP(P3632,Sheet2!Q:R,2,0)</f>
        <v>IR Normal - Track burn out</v>
      </c>
      <c r="U3632" s="20" t="s">
        <v>41</v>
      </c>
      <c r="V3632" s="17"/>
      <c r="W3632" s="20" t="e">
        <f aca="false">VLOOKUP(V3632,Sheet2!Q:R,2,0)</f>
        <v>#N/A</v>
      </c>
      <c r="X3632" s="17" t="n">
        <f aca="false">J3632</f>
        <v>0</v>
      </c>
      <c r="Y3632" s="17" t="e">
        <f aca="false">VLOOKUP(X3632,Sheet2!A:B,2,0)</f>
        <v>#N/A</v>
      </c>
      <c r="Z3632" s="17"/>
      <c r="AA3632" s="17"/>
      <c r="AB3632" s="17" t="s">
        <v>41</v>
      </c>
      <c r="AC3632" s="0" t="str">
        <f aca="false">LEFT(G3632,2)</f>
        <v/>
      </c>
    </row>
    <row r="3633" customFormat="false" ht="15" hidden="false" customHeight="false" outlineLevel="0" collapsed="false">
      <c r="A3633" s="13" t="n">
        <f aca="false">1+A3632</f>
        <v>3631</v>
      </c>
      <c r="B3633" s="14" t="n">
        <v>100</v>
      </c>
      <c r="C3633" s="15"/>
      <c r="D3633" s="16" t="s">
        <v>64</v>
      </c>
      <c r="E3633" s="17" t="s">
        <v>47</v>
      </c>
      <c r="F3633" s="18" t="s">
        <v>34</v>
      </c>
      <c r="G3633" s="19"/>
      <c r="H3633" s="17" t="s">
        <v>35</v>
      </c>
      <c r="I3633" s="17" t="s">
        <v>44</v>
      </c>
      <c r="J3633" s="17"/>
      <c r="K3633" s="17" t="e">
        <f aca="false">VLOOKUP(J3633,Sheet2!A:B,2,0)</f>
        <v>#N/A</v>
      </c>
      <c r="L3633" s="17" t="n">
        <v>5</v>
      </c>
      <c r="M3633" s="17" t="str">
        <f aca="false">VLOOKUP(L3633,Sheet2!D:E,2,0)</f>
        <v>Main Processor CPU BGA</v>
      </c>
      <c r="N3633" s="17" t="n">
        <v>1</v>
      </c>
      <c r="O3633" s="17" t="str">
        <f aca="false">VLOOKUP(N3633,Sheet2!G:H,2,0)</f>
        <v>Dead</v>
      </c>
      <c r="P3633" s="17" t="n">
        <v>11</v>
      </c>
      <c r="Q3633" s="17" t="str">
        <f aca="false">VLOOKUP(P3633,Sheet2!J:K,2,0)</f>
        <v>IR Declared due to CID -TA</v>
      </c>
      <c r="R3633" s="17" t="s">
        <v>35</v>
      </c>
      <c r="S3633" s="17" t="str">
        <f aca="false">VLOOKUP(R3633,Sheet2!N:O,2,0)</f>
        <v>IREPARABLE</v>
      </c>
      <c r="T3633" s="18" t="str">
        <f aca="false">VLOOKUP(P3633,Sheet2!Q:R,2,0)</f>
        <v>IR Normal - Track burn out</v>
      </c>
      <c r="U3633" s="20" t="s">
        <v>41</v>
      </c>
      <c r="V3633" s="17"/>
      <c r="W3633" s="20" t="e">
        <f aca="false">VLOOKUP(V3633,Sheet2!Q:R,2,0)</f>
        <v>#N/A</v>
      </c>
      <c r="X3633" s="17" t="n">
        <f aca="false">J3633</f>
        <v>0</v>
      </c>
      <c r="Y3633" s="17" t="e">
        <f aca="false">VLOOKUP(X3633,Sheet2!A:B,2,0)</f>
        <v>#N/A</v>
      </c>
      <c r="Z3633" s="17"/>
      <c r="AA3633" s="17"/>
      <c r="AB3633" s="17" t="s">
        <v>41</v>
      </c>
      <c r="AC3633" s="0" t="str">
        <f aca="false">LEFT(G3633,2)</f>
        <v/>
      </c>
    </row>
    <row r="3634" customFormat="false" ht="15" hidden="false" customHeight="false" outlineLevel="0" collapsed="false">
      <c r="A3634" s="13" t="n">
        <f aca="false">1+A3633</f>
        <v>3632</v>
      </c>
      <c r="B3634" s="14" t="n">
        <v>100</v>
      </c>
      <c r="C3634" s="15"/>
      <c r="D3634" s="16" t="s">
        <v>64</v>
      </c>
      <c r="E3634" s="17" t="s">
        <v>47</v>
      </c>
      <c r="F3634" s="18" t="s">
        <v>34</v>
      </c>
      <c r="G3634" s="19"/>
      <c r="H3634" s="17" t="s">
        <v>35</v>
      </c>
      <c r="I3634" s="17" t="s">
        <v>44</v>
      </c>
      <c r="J3634" s="17"/>
      <c r="K3634" s="17" t="e">
        <f aca="false">VLOOKUP(J3634,Sheet2!A:B,2,0)</f>
        <v>#N/A</v>
      </c>
      <c r="L3634" s="17" t="n">
        <v>5</v>
      </c>
      <c r="M3634" s="17" t="str">
        <f aca="false">VLOOKUP(L3634,Sheet2!D:E,2,0)</f>
        <v>Main Processor CPU BGA</v>
      </c>
      <c r="N3634" s="17" t="n">
        <v>1</v>
      </c>
      <c r="O3634" s="17" t="str">
        <f aca="false">VLOOKUP(N3634,Sheet2!G:H,2,0)</f>
        <v>Dead</v>
      </c>
      <c r="P3634" s="17" t="n">
        <v>11</v>
      </c>
      <c r="Q3634" s="17" t="str">
        <f aca="false">VLOOKUP(P3634,Sheet2!J:K,2,0)</f>
        <v>IR Declared due to CID -TA</v>
      </c>
      <c r="R3634" s="17" t="s">
        <v>35</v>
      </c>
      <c r="S3634" s="17" t="str">
        <f aca="false">VLOOKUP(R3634,Sheet2!N:O,2,0)</f>
        <v>IREPARABLE</v>
      </c>
      <c r="T3634" s="18" t="str">
        <f aca="false">VLOOKUP(P3634,Sheet2!Q:R,2,0)</f>
        <v>IR Normal - Track burn out</v>
      </c>
      <c r="U3634" s="20" t="s">
        <v>41</v>
      </c>
      <c r="V3634" s="17"/>
      <c r="W3634" s="20" t="e">
        <f aca="false">VLOOKUP(V3634,Sheet2!Q:R,2,0)</f>
        <v>#N/A</v>
      </c>
      <c r="X3634" s="17" t="n">
        <f aca="false">J3634</f>
        <v>0</v>
      </c>
      <c r="Y3634" s="17" t="e">
        <f aca="false">VLOOKUP(X3634,Sheet2!A:B,2,0)</f>
        <v>#N/A</v>
      </c>
      <c r="Z3634" s="17"/>
      <c r="AA3634" s="17"/>
      <c r="AB3634" s="17" t="s">
        <v>41</v>
      </c>
      <c r="AC3634" s="0" t="str">
        <f aca="false">LEFT(G3634,2)</f>
        <v/>
      </c>
    </row>
    <row r="3635" customFormat="false" ht="15" hidden="false" customHeight="false" outlineLevel="0" collapsed="false">
      <c r="A3635" s="13" t="n">
        <f aca="false">1+A3634</f>
        <v>3633</v>
      </c>
      <c r="B3635" s="14" t="n">
        <v>100</v>
      </c>
      <c r="C3635" s="15"/>
      <c r="D3635" s="16" t="s">
        <v>64</v>
      </c>
      <c r="E3635" s="17" t="s">
        <v>47</v>
      </c>
      <c r="F3635" s="18" t="s">
        <v>34</v>
      </c>
      <c r="G3635" s="19"/>
      <c r="H3635" s="17" t="s">
        <v>35</v>
      </c>
      <c r="I3635" s="17" t="s">
        <v>44</v>
      </c>
      <c r="J3635" s="17"/>
      <c r="K3635" s="17" t="e">
        <f aca="false">VLOOKUP(J3635,Sheet2!A:B,2,0)</f>
        <v>#N/A</v>
      </c>
      <c r="L3635" s="17" t="n">
        <v>5</v>
      </c>
      <c r="M3635" s="17" t="str">
        <f aca="false">VLOOKUP(L3635,Sheet2!D:E,2,0)</f>
        <v>Main Processor CPU BGA</v>
      </c>
      <c r="N3635" s="17" t="n">
        <v>1</v>
      </c>
      <c r="O3635" s="17" t="str">
        <f aca="false">VLOOKUP(N3635,Sheet2!G:H,2,0)</f>
        <v>Dead</v>
      </c>
      <c r="P3635" s="17" t="n">
        <v>11</v>
      </c>
      <c r="Q3635" s="17" t="str">
        <f aca="false">VLOOKUP(P3635,Sheet2!J:K,2,0)</f>
        <v>IR Declared due to CID -TA</v>
      </c>
      <c r="R3635" s="17" t="s">
        <v>35</v>
      </c>
      <c r="S3635" s="17" t="str">
        <f aca="false">VLOOKUP(R3635,Sheet2!N:O,2,0)</f>
        <v>IREPARABLE</v>
      </c>
      <c r="T3635" s="18" t="str">
        <f aca="false">VLOOKUP(P3635,Sheet2!Q:R,2,0)</f>
        <v>IR Normal - Track burn out</v>
      </c>
      <c r="U3635" s="20" t="s">
        <v>41</v>
      </c>
      <c r="V3635" s="17"/>
      <c r="W3635" s="20" t="e">
        <f aca="false">VLOOKUP(V3635,Sheet2!Q:R,2,0)</f>
        <v>#N/A</v>
      </c>
      <c r="X3635" s="17" t="n">
        <f aca="false">J3635</f>
        <v>0</v>
      </c>
      <c r="Y3635" s="17" t="e">
        <f aca="false">VLOOKUP(X3635,Sheet2!A:B,2,0)</f>
        <v>#N/A</v>
      </c>
      <c r="Z3635" s="17"/>
      <c r="AA3635" s="17"/>
      <c r="AB3635" s="17" t="s">
        <v>41</v>
      </c>
      <c r="AC3635" s="0" t="str">
        <f aca="false">LEFT(G3635,2)</f>
        <v/>
      </c>
    </row>
    <row r="3636" customFormat="false" ht="15" hidden="false" customHeight="false" outlineLevel="0" collapsed="false">
      <c r="A3636" s="13" t="n">
        <f aca="false">1+A3635</f>
        <v>3634</v>
      </c>
      <c r="B3636" s="14" t="n">
        <v>100</v>
      </c>
      <c r="C3636" s="15"/>
      <c r="D3636" s="16" t="s">
        <v>64</v>
      </c>
      <c r="E3636" s="17" t="s">
        <v>47</v>
      </c>
      <c r="F3636" s="18" t="s">
        <v>34</v>
      </c>
      <c r="G3636" s="19"/>
      <c r="H3636" s="17" t="s">
        <v>35</v>
      </c>
      <c r="I3636" s="17" t="s">
        <v>44</v>
      </c>
      <c r="J3636" s="17"/>
      <c r="K3636" s="17" t="e">
        <f aca="false">VLOOKUP(J3636,Sheet2!A:B,2,0)</f>
        <v>#N/A</v>
      </c>
      <c r="L3636" s="17" t="n">
        <v>5</v>
      </c>
      <c r="M3636" s="17" t="str">
        <f aca="false">VLOOKUP(L3636,Sheet2!D:E,2,0)</f>
        <v>Main Processor CPU BGA</v>
      </c>
      <c r="N3636" s="17" t="n">
        <v>1</v>
      </c>
      <c r="O3636" s="17" t="str">
        <f aca="false">VLOOKUP(N3636,Sheet2!G:H,2,0)</f>
        <v>Dead</v>
      </c>
      <c r="P3636" s="17" t="n">
        <v>11</v>
      </c>
      <c r="Q3636" s="17" t="str">
        <f aca="false">VLOOKUP(P3636,Sheet2!J:K,2,0)</f>
        <v>IR Declared due to CID -TA</v>
      </c>
      <c r="R3636" s="17" t="s">
        <v>35</v>
      </c>
      <c r="S3636" s="17" t="str">
        <f aca="false">VLOOKUP(R3636,Sheet2!N:O,2,0)</f>
        <v>IREPARABLE</v>
      </c>
      <c r="T3636" s="18" t="str">
        <f aca="false">VLOOKUP(P3636,Sheet2!Q:R,2,0)</f>
        <v>IR Normal - Track burn out</v>
      </c>
      <c r="U3636" s="20" t="s">
        <v>41</v>
      </c>
      <c r="V3636" s="17"/>
      <c r="W3636" s="20" t="e">
        <f aca="false">VLOOKUP(V3636,Sheet2!Q:R,2,0)</f>
        <v>#N/A</v>
      </c>
      <c r="X3636" s="17" t="n">
        <f aca="false">J3636</f>
        <v>0</v>
      </c>
      <c r="Y3636" s="17" t="e">
        <f aca="false">VLOOKUP(X3636,Sheet2!A:B,2,0)</f>
        <v>#N/A</v>
      </c>
      <c r="Z3636" s="17"/>
      <c r="AA3636" s="17"/>
      <c r="AB3636" s="17" t="s">
        <v>41</v>
      </c>
      <c r="AC3636" s="0" t="str">
        <f aca="false">LEFT(G3636,2)</f>
        <v/>
      </c>
    </row>
    <row r="3637" customFormat="false" ht="15" hidden="false" customHeight="false" outlineLevel="0" collapsed="false">
      <c r="A3637" s="13" t="n">
        <f aca="false">1+A3636</f>
        <v>3635</v>
      </c>
      <c r="B3637" s="14" t="n">
        <v>100</v>
      </c>
      <c r="C3637" s="15"/>
      <c r="D3637" s="16" t="s">
        <v>64</v>
      </c>
      <c r="E3637" s="17" t="s">
        <v>47</v>
      </c>
      <c r="F3637" s="18" t="s">
        <v>34</v>
      </c>
      <c r="G3637" s="19"/>
      <c r="H3637" s="17" t="s">
        <v>35</v>
      </c>
      <c r="I3637" s="17" t="s">
        <v>44</v>
      </c>
      <c r="J3637" s="17"/>
      <c r="K3637" s="17" t="e">
        <f aca="false">VLOOKUP(J3637,Sheet2!A:B,2,0)</f>
        <v>#N/A</v>
      </c>
      <c r="L3637" s="17" t="n">
        <v>5</v>
      </c>
      <c r="M3637" s="17" t="str">
        <f aca="false">VLOOKUP(L3637,Sheet2!D:E,2,0)</f>
        <v>Main Processor CPU BGA</v>
      </c>
      <c r="N3637" s="17" t="n">
        <v>1</v>
      </c>
      <c r="O3637" s="17" t="str">
        <f aca="false">VLOOKUP(N3637,Sheet2!G:H,2,0)</f>
        <v>Dead</v>
      </c>
      <c r="P3637" s="17" t="n">
        <v>11</v>
      </c>
      <c r="Q3637" s="17" t="str">
        <f aca="false">VLOOKUP(P3637,Sheet2!J:K,2,0)</f>
        <v>IR Declared due to CID -TA</v>
      </c>
      <c r="R3637" s="17" t="s">
        <v>35</v>
      </c>
      <c r="S3637" s="17" t="str">
        <f aca="false">VLOOKUP(R3637,Sheet2!N:O,2,0)</f>
        <v>IREPARABLE</v>
      </c>
      <c r="T3637" s="18" t="str">
        <f aca="false">VLOOKUP(P3637,Sheet2!Q:R,2,0)</f>
        <v>IR Normal - Track burn out</v>
      </c>
      <c r="U3637" s="20" t="s">
        <v>41</v>
      </c>
      <c r="V3637" s="17"/>
      <c r="W3637" s="20" t="e">
        <f aca="false">VLOOKUP(V3637,Sheet2!Q:R,2,0)</f>
        <v>#N/A</v>
      </c>
      <c r="X3637" s="17" t="n">
        <f aca="false">J3637</f>
        <v>0</v>
      </c>
      <c r="Y3637" s="17" t="e">
        <f aca="false">VLOOKUP(X3637,Sheet2!A:B,2,0)</f>
        <v>#N/A</v>
      </c>
      <c r="Z3637" s="17"/>
      <c r="AA3637" s="17"/>
      <c r="AB3637" s="17" t="s">
        <v>41</v>
      </c>
      <c r="AC3637" s="0" t="str">
        <f aca="false">LEFT(G3637,2)</f>
        <v/>
      </c>
    </row>
    <row r="3638" customFormat="false" ht="15" hidden="false" customHeight="false" outlineLevel="0" collapsed="false">
      <c r="A3638" s="13" t="n">
        <f aca="false">1+A3637</f>
        <v>3636</v>
      </c>
      <c r="B3638" s="14" t="n">
        <v>100</v>
      </c>
      <c r="C3638" s="15"/>
      <c r="D3638" s="16" t="s">
        <v>64</v>
      </c>
      <c r="E3638" s="17" t="s">
        <v>47</v>
      </c>
      <c r="F3638" s="18" t="s">
        <v>34</v>
      </c>
      <c r="G3638" s="19"/>
      <c r="H3638" s="17" t="s">
        <v>35</v>
      </c>
      <c r="I3638" s="17" t="s">
        <v>44</v>
      </c>
      <c r="J3638" s="17"/>
      <c r="K3638" s="17" t="e">
        <f aca="false">VLOOKUP(J3638,Sheet2!A:B,2,0)</f>
        <v>#N/A</v>
      </c>
      <c r="L3638" s="17" t="n">
        <v>5</v>
      </c>
      <c r="M3638" s="17" t="str">
        <f aca="false">VLOOKUP(L3638,Sheet2!D:E,2,0)</f>
        <v>Main Processor CPU BGA</v>
      </c>
      <c r="N3638" s="17" t="n">
        <v>1</v>
      </c>
      <c r="O3638" s="17" t="str">
        <f aca="false">VLOOKUP(N3638,Sheet2!G:H,2,0)</f>
        <v>Dead</v>
      </c>
      <c r="P3638" s="17" t="n">
        <v>11</v>
      </c>
      <c r="Q3638" s="17" t="str">
        <f aca="false">VLOOKUP(P3638,Sheet2!J:K,2,0)</f>
        <v>IR Declared due to CID -TA</v>
      </c>
      <c r="R3638" s="17" t="s">
        <v>35</v>
      </c>
      <c r="S3638" s="17" t="str">
        <f aca="false">VLOOKUP(R3638,Sheet2!N:O,2,0)</f>
        <v>IREPARABLE</v>
      </c>
      <c r="T3638" s="18" t="str">
        <f aca="false">VLOOKUP(P3638,Sheet2!Q:R,2,0)</f>
        <v>IR Normal - Track burn out</v>
      </c>
      <c r="U3638" s="20" t="s">
        <v>41</v>
      </c>
      <c r="V3638" s="17"/>
      <c r="W3638" s="20" t="e">
        <f aca="false">VLOOKUP(V3638,Sheet2!Q:R,2,0)</f>
        <v>#N/A</v>
      </c>
      <c r="X3638" s="17" t="n">
        <f aca="false">J3638</f>
        <v>0</v>
      </c>
      <c r="Y3638" s="17" t="e">
        <f aca="false">VLOOKUP(X3638,Sheet2!A:B,2,0)</f>
        <v>#N/A</v>
      </c>
      <c r="Z3638" s="17"/>
      <c r="AA3638" s="17"/>
      <c r="AB3638" s="17" t="s">
        <v>41</v>
      </c>
      <c r="AC3638" s="0" t="str">
        <f aca="false">LEFT(G3638,2)</f>
        <v/>
      </c>
    </row>
    <row r="3639" customFormat="false" ht="15" hidden="false" customHeight="false" outlineLevel="0" collapsed="false">
      <c r="A3639" s="13" t="n">
        <f aca="false">1+A3638</f>
        <v>3637</v>
      </c>
      <c r="B3639" s="14" t="n">
        <v>100</v>
      </c>
      <c r="C3639" s="15"/>
      <c r="D3639" s="16" t="s">
        <v>64</v>
      </c>
      <c r="E3639" s="17" t="s">
        <v>47</v>
      </c>
      <c r="F3639" s="18" t="s">
        <v>34</v>
      </c>
      <c r="G3639" s="19"/>
      <c r="H3639" s="17" t="s">
        <v>35</v>
      </c>
      <c r="I3639" s="17" t="s">
        <v>44</v>
      </c>
      <c r="J3639" s="17"/>
      <c r="K3639" s="17" t="e">
        <f aca="false">VLOOKUP(J3639,Sheet2!A:B,2,0)</f>
        <v>#N/A</v>
      </c>
      <c r="L3639" s="17" t="n">
        <v>5</v>
      </c>
      <c r="M3639" s="17" t="str">
        <f aca="false">VLOOKUP(L3639,Sheet2!D:E,2,0)</f>
        <v>Main Processor CPU BGA</v>
      </c>
      <c r="N3639" s="17" t="n">
        <v>1</v>
      </c>
      <c r="O3639" s="17" t="str">
        <f aca="false">VLOOKUP(N3639,Sheet2!G:H,2,0)</f>
        <v>Dead</v>
      </c>
      <c r="P3639" s="17" t="n">
        <v>11</v>
      </c>
      <c r="Q3639" s="17" t="str">
        <f aca="false">VLOOKUP(P3639,Sheet2!J:K,2,0)</f>
        <v>IR Declared due to CID -TA</v>
      </c>
      <c r="R3639" s="17" t="s">
        <v>35</v>
      </c>
      <c r="S3639" s="17" t="str">
        <f aca="false">VLOOKUP(R3639,Sheet2!N:O,2,0)</f>
        <v>IREPARABLE</v>
      </c>
      <c r="T3639" s="18" t="str">
        <f aca="false">VLOOKUP(P3639,Sheet2!Q:R,2,0)</f>
        <v>IR Normal - Track burn out</v>
      </c>
      <c r="U3639" s="20" t="s">
        <v>41</v>
      </c>
      <c r="V3639" s="17"/>
      <c r="W3639" s="20" t="e">
        <f aca="false">VLOOKUP(V3639,Sheet2!Q:R,2,0)</f>
        <v>#N/A</v>
      </c>
      <c r="X3639" s="17" t="n">
        <f aca="false">J3639</f>
        <v>0</v>
      </c>
      <c r="Y3639" s="17" t="e">
        <f aca="false">VLOOKUP(X3639,Sheet2!A:B,2,0)</f>
        <v>#N/A</v>
      </c>
      <c r="Z3639" s="17"/>
      <c r="AA3639" s="17"/>
      <c r="AB3639" s="17" t="s">
        <v>41</v>
      </c>
      <c r="AC3639" s="0" t="str">
        <f aca="false">LEFT(G3639,2)</f>
        <v/>
      </c>
    </row>
    <row r="3640" customFormat="false" ht="15" hidden="false" customHeight="false" outlineLevel="0" collapsed="false">
      <c r="A3640" s="13" t="n">
        <f aca="false">1+A3639</f>
        <v>3638</v>
      </c>
      <c r="B3640" s="14" t="n">
        <v>100</v>
      </c>
      <c r="C3640" s="15"/>
      <c r="D3640" s="16" t="s">
        <v>64</v>
      </c>
      <c r="E3640" s="17" t="s">
        <v>47</v>
      </c>
      <c r="F3640" s="18" t="s">
        <v>34</v>
      </c>
      <c r="G3640" s="19"/>
      <c r="H3640" s="17" t="s">
        <v>35</v>
      </c>
      <c r="I3640" s="17" t="s">
        <v>44</v>
      </c>
      <c r="J3640" s="17"/>
      <c r="K3640" s="17" t="e">
        <f aca="false">VLOOKUP(J3640,Sheet2!A:B,2,0)</f>
        <v>#N/A</v>
      </c>
      <c r="L3640" s="17" t="n">
        <v>5</v>
      </c>
      <c r="M3640" s="17" t="str">
        <f aca="false">VLOOKUP(L3640,Sheet2!D:E,2,0)</f>
        <v>Main Processor CPU BGA</v>
      </c>
      <c r="N3640" s="17" t="n">
        <v>1</v>
      </c>
      <c r="O3640" s="17" t="str">
        <f aca="false">VLOOKUP(N3640,Sheet2!G:H,2,0)</f>
        <v>Dead</v>
      </c>
      <c r="P3640" s="17" t="n">
        <v>11</v>
      </c>
      <c r="Q3640" s="17" t="str">
        <f aca="false">VLOOKUP(P3640,Sheet2!J:K,2,0)</f>
        <v>IR Declared due to CID -TA</v>
      </c>
      <c r="R3640" s="17" t="s">
        <v>35</v>
      </c>
      <c r="S3640" s="17" t="str">
        <f aca="false">VLOOKUP(R3640,Sheet2!N:O,2,0)</f>
        <v>IREPARABLE</v>
      </c>
      <c r="T3640" s="18" t="str">
        <f aca="false">VLOOKUP(P3640,Sheet2!Q:R,2,0)</f>
        <v>IR Normal - Track burn out</v>
      </c>
      <c r="U3640" s="20" t="s">
        <v>41</v>
      </c>
      <c r="V3640" s="17"/>
      <c r="W3640" s="20" t="e">
        <f aca="false">VLOOKUP(V3640,Sheet2!Q:R,2,0)</f>
        <v>#N/A</v>
      </c>
      <c r="X3640" s="17" t="n">
        <f aca="false">J3640</f>
        <v>0</v>
      </c>
      <c r="Y3640" s="17" t="e">
        <f aca="false">VLOOKUP(X3640,Sheet2!A:B,2,0)</f>
        <v>#N/A</v>
      </c>
      <c r="Z3640" s="17"/>
      <c r="AA3640" s="17"/>
      <c r="AB3640" s="17" t="s">
        <v>41</v>
      </c>
      <c r="AC3640" s="0" t="str">
        <f aca="false">LEFT(G3640,2)</f>
        <v/>
      </c>
    </row>
    <row r="3641" customFormat="false" ht="15" hidden="false" customHeight="false" outlineLevel="0" collapsed="false">
      <c r="A3641" s="13" t="n">
        <f aca="false">1+A3640</f>
        <v>3639</v>
      </c>
      <c r="B3641" s="14" t="n">
        <v>100</v>
      </c>
      <c r="C3641" s="15"/>
      <c r="D3641" s="16" t="s">
        <v>64</v>
      </c>
      <c r="E3641" s="17" t="s">
        <v>47</v>
      </c>
      <c r="F3641" s="18" t="s">
        <v>34</v>
      </c>
      <c r="G3641" s="19"/>
      <c r="H3641" s="17" t="s">
        <v>35</v>
      </c>
      <c r="I3641" s="17" t="s">
        <v>44</v>
      </c>
      <c r="J3641" s="17"/>
      <c r="K3641" s="17" t="e">
        <f aca="false">VLOOKUP(J3641,Sheet2!A:B,2,0)</f>
        <v>#N/A</v>
      </c>
      <c r="L3641" s="17" t="n">
        <v>5</v>
      </c>
      <c r="M3641" s="17" t="str">
        <f aca="false">VLOOKUP(L3641,Sheet2!D:E,2,0)</f>
        <v>Main Processor CPU BGA</v>
      </c>
      <c r="N3641" s="17" t="n">
        <v>1</v>
      </c>
      <c r="O3641" s="17" t="str">
        <f aca="false">VLOOKUP(N3641,Sheet2!G:H,2,0)</f>
        <v>Dead</v>
      </c>
      <c r="P3641" s="17" t="n">
        <v>11</v>
      </c>
      <c r="Q3641" s="17" t="str">
        <f aca="false">VLOOKUP(P3641,Sheet2!J:K,2,0)</f>
        <v>IR Declared due to CID -TA</v>
      </c>
      <c r="R3641" s="17" t="s">
        <v>35</v>
      </c>
      <c r="S3641" s="17" t="str">
        <f aca="false">VLOOKUP(R3641,Sheet2!N:O,2,0)</f>
        <v>IREPARABLE</v>
      </c>
      <c r="T3641" s="18" t="str">
        <f aca="false">VLOOKUP(P3641,Sheet2!Q:R,2,0)</f>
        <v>IR Normal - Track burn out</v>
      </c>
      <c r="U3641" s="20" t="s">
        <v>41</v>
      </c>
      <c r="V3641" s="17"/>
      <c r="W3641" s="20" t="e">
        <f aca="false">VLOOKUP(V3641,Sheet2!Q:R,2,0)</f>
        <v>#N/A</v>
      </c>
      <c r="X3641" s="17" t="n">
        <f aca="false">J3641</f>
        <v>0</v>
      </c>
      <c r="Y3641" s="17" t="e">
        <f aca="false">VLOOKUP(X3641,Sheet2!A:B,2,0)</f>
        <v>#N/A</v>
      </c>
      <c r="Z3641" s="17"/>
      <c r="AA3641" s="17"/>
      <c r="AB3641" s="17" t="s">
        <v>41</v>
      </c>
      <c r="AC3641" s="0" t="str">
        <f aca="false">LEFT(G3641,2)</f>
        <v/>
      </c>
    </row>
    <row r="3642" customFormat="false" ht="15" hidden="false" customHeight="false" outlineLevel="0" collapsed="false">
      <c r="A3642" s="13" t="n">
        <f aca="false">1+A3641</f>
        <v>3640</v>
      </c>
      <c r="B3642" s="14" t="n">
        <v>100</v>
      </c>
      <c r="C3642" s="15"/>
      <c r="D3642" s="16" t="s">
        <v>64</v>
      </c>
      <c r="E3642" s="17" t="s">
        <v>47</v>
      </c>
      <c r="F3642" s="18" t="s">
        <v>34</v>
      </c>
      <c r="G3642" s="19"/>
      <c r="H3642" s="17" t="s">
        <v>35</v>
      </c>
      <c r="I3642" s="17" t="s">
        <v>44</v>
      </c>
      <c r="J3642" s="17"/>
      <c r="K3642" s="17" t="e">
        <f aca="false">VLOOKUP(J3642,Sheet2!A:B,2,0)</f>
        <v>#N/A</v>
      </c>
      <c r="L3642" s="17" t="n">
        <v>5</v>
      </c>
      <c r="M3642" s="17" t="str">
        <f aca="false">VLOOKUP(L3642,Sheet2!D:E,2,0)</f>
        <v>Main Processor CPU BGA</v>
      </c>
      <c r="N3642" s="17" t="n">
        <v>1</v>
      </c>
      <c r="O3642" s="17" t="str">
        <f aca="false">VLOOKUP(N3642,Sheet2!G:H,2,0)</f>
        <v>Dead</v>
      </c>
      <c r="P3642" s="17" t="n">
        <v>11</v>
      </c>
      <c r="Q3642" s="17" t="str">
        <f aca="false">VLOOKUP(P3642,Sheet2!J:K,2,0)</f>
        <v>IR Declared due to CID -TA</v>
      </c>
      <c r="R3642" s="17" t="s">
        <v>35</v>
      </c>
      <c r="S3642" s="17" t="str">
        <f aca="false">VLOOKUP(R3642,Sheet2!N:O,2,0)</f>
        <v>IREPARABLE</v>
      </c>
      <c r="T3642" s="18" t="str">
        <f aca="false">VLOOKUP(P3642,Sheet2!Q:R,2,0)</f>
        <v>IR Normal - Track burn out</v>
      </c>
      <c r="U3642" s="20" t="s">
        <v>41</v>
      </c>
      <c r="V3642" s="17"/>
      <c r="W3642" s="20" t="e">
        <f aca="false">VLOOKUP(V3642,Sheet2!Q:R,2,0)</f>
        <v>#N/A</v>
      </c>
      <c r="X3642" s="17" t="n">
        <f aca="false">J3642</f>
        <v>0</v>
      </c>
      <c r="Y3642" s="17" t="e">
        <f aca="false">VLOOKUP(X3642,Sheet2!A:B,2,0)</f>
        <v>#N/A</v>
      </c>
      <c r="Z3642" s="17"/>
      <c r="AA3642" s="17"/>
      <c r="AB3642" s="17" t="s">
        <v>41</v>
      </c>
      <c r="AC3642" s="0" t="str">
        <f aca="false">LEFT(G3642,2)</f>
        <v/>
      </c>
    </row>
    <row r="3643" customFormat="false" ht="15" hidden="false" customHeight="false" outlineLevel="0" collapsed="false">
      <c r="A3643" s="13" t="n">
        <f aca="false">1+A3642</f>
        <v>3641</v>
      </c>
      <c r="B3643" s="14" t="n">
        <v>100</v>
      </c>
      <c r="C3643" s="15"/>
      <c r="D3643" s="16" t="s">
        <v>64</v>
      </c>
      <c r="E3643" s="17" t="s">
        <v>47</v>
      </c>
      <c r="F3643" s="18" t="s">
        <v>34</v>
      </c>
      <c r="G3643" s="19"/>
      <c r="H3643" s="17" t="s">
        <v>35</v>
      </c>
      <c r="I3643" s="17" t="s">
        <v>44</v>
      </c>
      <c r="J3643" s="17"/>
      <c r="K3643" s="17" t="e">
        <f aca="false">VLOOKUP(J3643,Sheet2!A:B,2,0)</f>
        <v>#N/A</v>
      </c>
      <c r="L3643" s="17" t="n">
        <v>5</v>
      </c>
      <c r="M3643" s="17" t="str">
        <f aca="false">VLOOKUP(L3643,Sheet2!D:E,2,0)</f>
        <v>Main Processor CPU BGA</v>
      </c>
      <c r="N3643" s="17" t="n">
        <v>1</v>
      </c>
      <c r="O3643" s="17" t="str">
        <f aca="false">VLOOKUP(N3643,Sheet2!G:H,2,0)</f>
        <v>Dead</v>
      </c>
      <c r="P3643" s="17" t="n">
        <v>11</v>
      </c>
      <c r="Q3643" s="17" t="str">
        <f aca="false">VLOOKUP(P3643,Sheet2!J:K,2,0)</f>
        <v>IR Declared due to CID -TA</v>
      </c>
      <c r="R3643" s="17" t="s">
        <v>35</v>
      </c>
      <c r="S3643" s="17" t="str">
        <f aca="false">VLOOKUP(R3643,Sheet2!N:O,2,0)</f>
        <v>IREPARABLE</v>
      </c>
      <c r="T3643" s="18" t="str">
        <f aca="false">VLOOKUP(P3643,Sheet2!Q:R,2,0)</f>
        <v>IR Normal - Track burn out</v>
      </c>
      <c r="U3643" s="20" t="s">
        <v>41</v>
      </c>
      <c r="V3643" s="17"/>
      <c r="W3643" s="20" t="e">
        <f aca="false">VLOOKUP(V3643,Sheet2!Q:R,2,0)</f>
        <v>#N/A</v>
      </c>
      <c r="X3643" s="17" t="n">
        <f aca="false">J3643</f>
        <v>0</v>
      </c>
      <c r="Y3643" s="17" t="e">
        <f aca="false">VLOOKUP(X3643,Sheet2!A:B,2,0)</f>
        <v>#N/A</v>
      </c>
      <c r="Z3643" s="17"/>
      <c r="AA3643" s="17"/>
      <c r="AB3643" s="17" t="s">
        <v>41</v>
      </c>
      <c r="AC3643" s="0" t="str">
        <f aca="false">LEFT(G3643,2)</f>
        <v/>
      </c>
    </row>
    <row r="3644" customFormat="false" ht="15" hidden="false" customHeight="false" outlineLevel="0" collapsed="false">
      <c r="A3644" s="13" t="n">
        <f aca="false">1+A3643</f>
        <v>3642</v>
      </c>
      <c r="B3644" s="14" t="n">
        <v>100</v>
      </c>
      <c r="C3644" s="15"/>
      <c r="D3644" s="16" t="s">
        <v>64</v>
      </c>
      <c r="E3644" s="17" t="s">
        <v>47</v>
      </c>
      <c r="F3644" s="18" t="s">
        <v>34</v>
      </c>
      <c r="G3644" s="19"/>
      <c r="H3644" s="17" t="s">
        <v>35</v>
      </c>
      <c r="I3644" s="17" t="s">
        <v>44</v>
      </c>
      <c r="J3644" s="17"/>
      <c r="K3644" s="17" t="e">
        <f aca="false">VLOOKUP(J3644,Sheet2!A:B,2,0)</f>
        <v>#N/A</v>
      </c>
      <c r="L3644" s="17" t="n">
        <v>5</v>
      </c>
      <c r="M3644" s="17" t="str">
        <f aca="false">VLOOKUP(L3644,Sheet2!D:E,2,0)</f>
        <v>Main Processor CPU BGA</v>
      </c>
      <c r="N3644" s="17" t="n">
        <v>1</v>
      </c>
      <c r="O3644" s="17" t="str">
        <f aca="false">VLOOKUP(N3644,Sheet2!G:H,2,0)</f>
        <v>Dead</v>
      </c>
      <c r="P3644" s="17" t="n">
        <v>11</v>
      </c>
      <c r="Q3644" s="17" t="str">
        <f aca="false">VLOOKUP(P3644,Sheet2!J:K,2,0)</f>
        <v>IR Declared due to CID -TA</v>
      </c>
      <c r="R3644" s="17" t="s">
        <v>35</v>
      </c>
      <c r="S3644" s="17" t="str">
        <f aca="false">VLOOKUP(R3644,Sheet2!N:O,2,0)</f>
        <v>IREPARABLE</v>
      </c>
      <c r="T3644" s="18" t="str">
        <f aca="false">VLOOKUP(P3644,Sheet2!Q:R,2,0)</f>
        <v>IR Normal - Track burn out</v>
      </c>
      <c r="U3644" s="20" t="s">
        <v>41</v>
      </c>
      <c r="V3644" s="17"/>
      <c r="W3644" s="20" t="e">
        <f aca="false">VLOOKUP(V3644,Sheet2!Q:R,2,0)</f>
        <v>#N/A</v>
      </c>
      <c r="X3644" s="17" t="n">
        <f aca="false">J3644</f>
        <v>0</v>
      </c>
      <c r="Y3644" s="17" t="e">
        <f aca="false">VLOOKUP(X3644,Sheet2!A:B,2,0)</f>
        <v>#N/A</v>
      </c>
      <c r="Z3644" s="17"/>
      <c r="AA3644" s="17"/>
      <c r="AB3644" s="17" t="s">
        <v>41</v>
      </c>
      <c r="AC3644" s="0" t="str">
        <f aca="false">LEFT(G3644,2)</f>
        <v/>
      </c>
    </row>
    <row r="3645" customFormat="false" ht="15" hidden="false" customHeight="false" outlineLevel="0" collapsed="false">
      <c r="A3645" s="13" t="n">
        <f aca="false">1+A3644</f>
        <v>3643</v>
      </c>
      <c r="B3645" s="14" t="n">
        <v>100</v>
      </c>
      <c r="C3645" s="15"/>
      <c r="D3645" s="16" t="s">
        <v>64</v>
      </c>
      <c r="E3645" s="17" t="s">
        <v>47</v>
      </c>
      <c r="F3645" s="18" t="s">
        <v>34</v>
      </c>
      <c r="G3645" s="19"/>
      <c r="H3645" s="17" t="s">
        <v>35</v>
      </c>
      <c r="I3645" s="17" t="s">
        <v>44</v>
      </c>
      <c r="J3645" s="17"/>
      <c r="K3645" s="17" t="e">
        <f aca="false">VLOOKUP(J3645,Sheet2!A:B,2,0)</f>
        <v>#N/A</v>
      </c>
      <c r="L3645" s="17" t="n">
        <v>5</v>
      </c>
      <c r="M3645" s="17" t="str">
        <f aca="false">VLOOKUP(L3645,Sheet2!D:E,2,0)</f>
        <v>Main Processor CPU BGA</v>
      </c>
      <c r="N3645" s="17" t="n">
        <v>1</v>
      </c>
      <c r="O3645" s="17" t="str">
        <f aca="false">VLOOKUP(N3645,Sheet2!G:H,2,0)</f>
        <v>Dead</v>
      </c>
      <c r="P3645" s="17" t="n">
        <v>11</v>
      </c>
      <c r="Q3645" s="17" t="str">
        <f aca="false">VLOOKUP(P3645,Sheet2!J:K,2,0)</f>
        <v>IR Declared due to CID -TA</v>
      </c>
      <c r="R3645" s="17" t="s">
        <v>35</v>
      </c>
      <c r="S3645" s="17" t="str">
        <f aca="false">VLOOKUP(R3645,Sheet2!N:O,2,0)</f>
        <v>IREPARABLE</v>
      </c>
      <c r="T3645" s="18" t="str">
        <f aca="false">VLOOKUP(P3645,Sheet2!Q:R,2,0)</f>
        <v>IR Normal - Track burn out</v>
      </c>
      <c r="U3645" s="20" t="s">
        <v>41</v>
      </c>
      <c r="V3645" s="17"/>
      <c r="W3645" s="20" t="e">
        <f aca="false">VLOOKUP(V3645,Sheet2!Q:R,2,0)</f>
        <v>#N/A</v>
      </c>
      <c r="X3645" s="17" t="n">
        <f aca="false">J3645</f>
        <v>0</v>
      </c>
      <c r="Y3645" s="17" t="e">
        <f aca="false">VLOOKUP(X3645,Sheet2!A:B,2,0)</f>
        <v>#N/A</v>
      </c>
      <c r="Z3645" s="17"/>
      <c r="AA3645" s="17"/>
      <c r="AB3645" s="17" t="s">
        <v>41</v>
      </c>
      <c r="AC3645" s="0" t="str">
        <f aca="false">LEFT(G3645,2)</f>
        <v/>
      </c>
    </row>
    <row r="3646" customFormat="false" ht="15" hidden="false" customHeight="false" outlineLevel="0" collapsed="false">
      <c r="A3646" s="13" t="n">
        <f aca="false">1+A3645</f>
        <v>3644</v>
      </c>
      <c r="B3646" s="14" t="n">
        <v>100</v>
      </c>
      <c r="C3646" s="15"/>
      <c r="D3646" s="16" t="s">
        <v>64</v>
      </c>
      <c r="E3646" s="17" t="s">
        <v>47</v>
      </c>
      <c r="F3646" s="18" t="s">
        <v>34</v>
      </c>
      <c r="G3646" s="19"/>
      <c r="H3646" s="17" t="s">
        <v>35</v>
      </c>
      <c r="I3646" s="17" t="s">
        <v>44</v>
      </c>
      <c r="J3646" s="17"/>
      <c r="K3646" s="17" t="e">
        <f aca="false">VLOOKUP(J3646,Sheet2!A:B,2,0)</f>
        <v>#N/A</v>
      </c>
      <c r="L3646" s="17" t="n">
        <v>5</v>
      </c>
      <c r="M3646" s="17" t="str">
        <f aca="false">VLOOKUP(L3646,Sheet2!D:E,2,0)</f>
        <v>Main Processor CPU BGA</v>
      </c>
      <c r="N3646" s="17" t="n">
        <v>1</v>
      </c>
      <c r="O3646" s="17" t="str">
        <f aca="false">VLOOKUP(N3646,Sheet2!G:H,2,0)</f>
        <v>Dead</v>
      </c>
      <c r="P3646" s="17" t="n">
        <v>11</v>
      </c>
      <c r="Q3646" s="17" t="str">
        <f aca="false">VLOOKUP(P3646,Sheet2!J:K,2,0)</f>
        <v>IR Declared due to CID -TA</v>
      </c>
      <c r="R3646" s="17" t="s">
        <v>35</v>
      </c>
      <c r="S3646" s="17" t="str">
        <f aca="false">VLOOKUP(R3646,Sheet2!N:O,2,0)</f>
        <v>IREPARABLE</v>
      </c>
      <c r="T3646" s="18" t="str">
        <f aca="false">VLOOKUP(P3646,Sheet2!Q:R,2,0)</f>
        <v>IR Normal - Track burn out</v>
      </c>
      <c r="U3646" s="20" t="s">
        <v>41</v>
      </c>
      <c r="V3646" s="17"/>
      <c r="W3646" s="20" t="e">
        <f aca="false">VLOOKUP(V3646,Sheet2!Q:R,2,0)</f>
        <v>#N/A</v>
      </c>
      <c r="X3646" s="17" t="n">
        <f aca="false">J3646</f>
        <v>0</v>
      </c>
      <c r="Y3646" s="17" t="e">
        <f aca="false">VLOOKUP(X3646,Sheet2!A:B,2,0)</f>
        <v>#N/A</v>
      </c>
      <c r="Z3646" s="17"/>
      <c r="AA3646" s="17"/>
      <c r="AB3646" s="17" t="s">
        <v>41</v>
      </c>
      <c r="AC3646" s="0" t="str">
        <f aca="false">LEFT(G3646,2)</f>
        <v/>
      </c>
    </row>
    <row r="3647" customFormat="false" ht="15" hidden="false" customHeight="false" outlineLevel="0" collapsed="false">
      <c r="A3647" s="13" t="n">
        <f aca="false">1+A3646</f>
        <v>3645</v>
      </c>
      <c r="B3647" s="14" t="n">
        <v>100</v>
      </c>
      <c r="C3647" s="15"/>
      <c r="D3647" s="16" t="s">
        <v>64</v>
      </c>
      <c r="E3647" s="17" t="s">
        <v>47</v>
      </c>
      <c r="F3647" s="18" t="s">
        <v>34</v>
      </c>
      <c r="G3647" s="19"/>
      <c r="H3647" s="17" t="s">
        <v>35</v>
      </c>
      <c r="I3647" s="17" t="s">
        <v>44</v>
      </c>
      <c r="J3647" s="17"/>
      <c r="K3647" s="17" t="e">
        <f aca="false">VLOOKUP(J3647,Sheet2!A:B,2,0)</f>
        <v>#N/A</v>
      </c>
      <c r="L3647" s="17" t="n">
        <v>5</v>
      </c>
      <c r="M3647" s="17" t="str">
        <f aca="false">VLOOKUP(L3647,Sheet2!D:E,2,0)</f>
        <v>Main Processor CPU BGA</v>
      </c>
      <c r="N3647" s="17" t="n">
        <v>1</v>
      </c>
      <c r="O3647" s="17" t="str">
        <f aca="false">VLOOKUP(N3647,Sheet2!G:H,2,0)</f>
        <v>Dead</v>
      </c>
      <c r="P3647" s="17" t="n">
        <v>11</v>
      </c>
      <c r="Q3647" s="17" t="str">
        <f aca="false">VLOOKUP(P3647,Sheet2!J:K,2,0)</f>
        <v>IR Declared due to CID -TA</v>
      </c>
      <c r="R3647" s="17" t="s">
        <v>35</v>
      </c>
      <c r="S3647" s="17" t="str">
        <f aca="false">VLOOKUP(R3647,Sheet2!N:O,2,0)</f>
        <v>IREPARABLE</v>
      </c>
      <c r="T3647" s="18" t="str">
        <f aca="false">VLOOKUP(P3647,Sheet2!Q:R,2,0)</f>
        <v>IR Normal - Track burn out</v>
      </c>
      <c r="U3647" s="20" t="s">
        <v>41</v>
      </c>
      <c r="V3647" s="17"/>
      <c r="W3647" s="20" t="e">
        <f aca="false">VLOOKUP(V3647,Sheet2!Q:R,2,0)</f>
        <v>#N/A</v>
      </c>
      <c r="X3647" s="17" t="n">
        <f aca="false">J3647</f>
        <v>0</v>
      </c>
      <c r="Y3647" s="17" t="e">
        <f aca="false">VLOOKUP(X3647,Sheet2!A:B,2,0)</f>
        <v>#N/A</v>
      </c>
      <c r="Z3647" s="17"/>
      <c r="AA3647" s="17"/>
      <c r="AB3647" s="17" t="s">
        <v>41</v>
      </c>
      <c r="AC3647" s="0" t="str">
        <f aca="false">LEFT(G3647,2)</f>
        <v/>
      </c>
    </row>
    <row r="3648" customFormat="false" ht="15" hidden="false" customHeight="false" outlineLevel="0" collapsed="false">
      <c r="A3648" s="13" t="n">
        <f aca="false">1+A3647</f>
        <v>3646</v>
      </c>
      <c r="B3648" s="14" t="n">
        <v>100</v>
      </c>
      <c r="C3648" s="15"/>
      <c r="D3648" s="16" t="s">
        <v>64</v>
      </c>
      <c r="E3648" s="17" t="s">
        <v>47</v>
      </c>
      <c r="F3648" s="18" t="s">
        <v>34</v>
      </c>
      <c r="G3648" s="19"/>
      <c r="H3648" s="17" t="s">
        <v>35</v>
      </c>
      <c r="I3648" s="17" t="s">
        <v>44</v>
      </c>
      <c r="J3648" s="17"/>
      <c r="K3648" s="17" t="e">
        <f aca="false">VLOOKUP(J3648,Sheet2!A:B,2,0)</f>
        <v>#N/A</v>
      </c>
      <c r="L3648" s="17" t="n">
        <v>5</v>
      </c>
      <c r="M3648" s="17" t="str">
        <f aca="false">VLOOKUP(L3648,Sheet2!D:E,2,0)</f>
        <v>Main Processor CPU BGA</v>
      </c>
      <c r="N3648" s="17" t="n">
        <v>1</v>
      </c>
      <c r="O3648" s="17" t="str">
        <f aca="false">VLOOKUP(N3648,Sheet2!G:H,2,0)</f>
        <v>Dead</v>
      </c>
      <c r="P3648" s="17" t="n">
        <v>11</v>
      </c>
      <c r="Q3648" s="17" t="str">
        <f aca="false">VLOOKUP(P3648,Sheet2!J:K,2,0)</f>
        <v>IR Declared due to CID -TA</v>
      </c>
      <c r="R3648" s="17" t="s">
        <v>35</v>
      </c>
      <c r="S3648" s="17" t="str">
        <f aca="false">VLOOKUP(R3648,Sheet2!N:O,2,0)</f>
        <v>IREPARABLE</v>
      </c>
      <c r="T3648" s="18" t="str">
        <f aca="false">VLOOKUP(P3648,Sheet2!Q:R,2,0)</f>
        <v>IR Normal - Track burn out</v>
      </c>
      <c r="U3648" s="20" t="s">
        <v>41</v>
      </c>
      <c r="V3648" s="17"/>
      <c r="W3648" s="20" t="e">
        <f aca="false">VLOOKUP(V3648,Sheet2!Q:R,2,0)</f>
        <v>#N/A</v>
      </c>
      <c r="X3648" s="17" t="n">
        <f aca="false">J3648</f>
        <v>0</v>
      </c>
      <c r="Y3648" s="17" t="e">
        <f aca="false">VLOOKUP(X3648,Sheet2!A:B,2,0)</f>
        <v>#N/A</v>
      </c>
      <c r="Z3648" s="17"/>
      <c r="AA3648" s="17"/>
      <c r="AB3648" s="17" t="s">
        <v>41</v>
      </c>
      <c r="AC3648" s="0" t="str">
        <f aca="false">LEFT(G3648,2)</f>
        <v/>
      </c>
      <c r="AE3648" s="0"/>
    </row>
    <row r="3649" customFormat="false" ht="15" hidden="false" customHeight="false" outlineLevel="0" collapsed="false">
      <c r="A3649" s="13" t="n">
        <f aca="false">1+A3648</f>
        <v>3647</v>
      </c>
      <c r="B3649" s="14" t="n">
        <v>100</v>
      </c>
      <c r="C3649" s="15"/>
      <c r="D3649" s="16" t="s">
        <v>64</v>
      </c>
      <c r="E3649" s="17" t="s">
        <v>47</v>
      </c>
      <c r="F3649" s="18" t="s">
        <v>34</v>
      </c>
      <c r="G3649" s="19"/>
      <c r="H3649" s="17" t="s">
        <v>35</v>
      </c>
      <c r="I3649" s="17" t="s">
        <v>44</v>
      </c>
      <c r="J3649" s="17"/>
      <c r="K3649" s="17" t="e">
        <f aca="false">VLOOKUP(J3649,Sheet2!A:B,2,0)</f>
        <v>#N/A</v>
      </c>
      <c r="L3649" s="17" t="n">
        <v>5</v>
      </c>
      <c r="M3649" s="17" t="str">
        <f aca="false">VLOOKUP(L3649,Sheet2!D:E,2,0)</f>
        <v>Main Processor CPU BGA</v>
      </c>
      <c r="N3649" s="17" t="n">
        <v>1</v>
      </c>
      <c r="O3649" s="17" t="str">
        <f aca="false">VLOOKUP(N3649,Sheet2!G:H,2,0)</f>
        <v>Dead</v>
      </c>
      <c r="P3649" s="17" t="n">
        <v>11</v>
      </c>
      <c r="Q3649" s="17" t="str">
        <f aca="false">VLOOKUP(P3649,Sheet2!J:K,2,0)</f>
        <v>IR Declared due to CID -TA</v>
      </c>
      <c r="R3649" s="17" t="s">
        <v>35</v>
      </c>
      <c r="S3649" s="17" t="str">
        <f aca="false">VLOOKUP(R3649,Sheet2!N:O,2,0)</f>
        <v>IREPARABLE</v>
      </c>
      <c r="T3649" s="18" t="str">
        <f aca="false">VLOOKUP(P3649,Sheet2!Q:R,2,0)</f>
        <v>IR Normal - Track burn out</v>
      </c>
      <c r="U3649" s="20" t="s">
        <v>41</v>
      </c>
      <c r="V3649" s="17"/>
      <c r="W3649" s="20" t="e">
        <f aca="false">VLOOKUP(V3649,Sheet2!Q:R,2,0)</f>
        <v>#N/A</v>
      </c>
      <c r="X3649" s="17" t="n">
        <f aca="false">J3649</f>
        <v>0</v>
      </c>
      <c r="Y3649" s="17" t="e">
        <f aca="false">VLOOKUP(X3649,Sheet2!A:B,2,0)</f>
        <v>#N/A</v>
      </c>
      <c r="Z3649" s="17"/>
      <c r="AA3649" s="17"/>
      <c r="AB3649" s="17" t="s">
        <v>41</v>
      </c>
      <c r="AC3649" s="0" t="str">
        <f aca="false">LEFT(G3649,2)</f>
        <v/>
      </c>
      <c r="AE3649" s="0"/>
    </row>
    <row r="3650" customFormat="false" ht="15" hidden="false" customHeight="false" outlineLevel="0" collapsed="false">
      <c r="A3650" s="13" t="n">
        <f aca="false">1+A3649</f>
        <v>3648</v>
      </c>
      <c r="B3650" s="14" t="n">
        <v>100</v>
      </c>
      <c r="C3650" s="15"/>
      <c r="D3650" s="16" t="s">
        <v>64</v>
      </c>
      <c r="E3650" s="17" t="s">
        <v>47</v>
      </c>
      <c r="F3650" s="18" t="s">
        <v>34</v>
      </c>
      <c r="G3650" s="19"/>
      <c r="H3650" s="17" t="s">
        <v>35</v>
      </c>
      <c r="I3650" s="17" t="s">
        <v>44</v>
      </c>
      <c r="J3650" s="17"/>
      <c r="K3650" s="17" t="e">
        <f aca="false">VLOOKUP(J3650,Sheet2!A:B,2,0)</f>
        <v>#N/A</v>
      </c>
      <c r="L3650" s="17" t="n">
        <v>5</v>
      </c>
      <c r="M3650" s="17" t="str">
        <f aca="false">VLOOKUP(L3650,Sheet2!D:E,2,0)</f>
        <v>Main Processor CPU BGA</v>
      </c>
      <c r="N3650" s="17" t="n">
        <v>1</v>
      </c>
      <c r="O3650" s="17" t="str">
        <f aca="false">VLOOKUP(N3650,Sheet2!G:H,2,0)</f>
        <v>Dead</v>
      </c>
      <c r="P3650" s="17" t="n">
        <v>11</v>
      </c>
      <c r="Q3650" s="17" t="str">
        <f aca="false">VLOOKUP(P3650,Sheet2!J:K,2,0)</f>
        <v>IR Declared due to CID -TA</v>
      </c>
      <c r="R3650" s="17" t="s">
        <v>35</v>
      </c>
      <c r="S3650" s="17" t="str">
        <f aca="false">VLOOKUP(R3650,Sheet2!N:O,2,0)</f>
        <v>IREPARABLE</v>
      </c>
      <c r="T3650" s="18" t="str">
        <f aca="false">VLOOKUP(P3650,Sheet2!Q:R,2,0)</f>
        <v>IR Normal - Track burn out</v>
      </c>
      <c r="U3650" s="20" t="s">
        <v>41</v>
      </c>
      <c r="V3650" s="17"/>
      <c r="W3650" s="20" t="e">
        <f aca="false">VLOOKUP(V3650,Sheet2!Q:R,2,0)</f>
        <v>#N/A</v>
      </c>
      <c r="X3650" s="17" t="n">
        <f aca="false">J3650</f>
        <v>0</v>
      </c>
      <c r="Y3650" s="17" t="e">
        <f aca="false">VLOOKUP(X3650,Sheet2!A:B,2,0)</f>
        <v>#N/A</v>
      </c>
      <c r="Z3650" s="17"/>
      <c r="AA3650" s="17"/>
      <c r="AB3650" s="17" t="s">
        <v>41</v>
      </c>
      <c r="AC3650" s="0" t="str">
        <f aca="false">LEFT(G3650,2)</f>
        <v/>
      </c>
      <c r="AE3650" s="0"/>
    </row>
    <row r="3651" customFormat="false" ht="15" hidden="false" customHeight="false" outlineLevel="0" collapsed="false">
      <c r="A3651" s="13" t="n">
        <f aca="false">1+A3650</f>
        <v>3649</v>
      </c>
      <c r="B3651" s="14" t="n">
        <v>100</v>
      </c>
      <c r="C3651" s="15"/>
      <c r="D3651" s="16" t="s">
        <v>64</v>
      </c>
      <c r="E3651" s="17" t="s">
        <v>47</v>
      </c>
      <c r="F3651" s="18" t="s">
        <v>34</v>
      </c>
      <c r="G3651" s="19"/>
      <c r="H3651" s="17" t="s">
        <v>35</v>
      </c>
      <c r="I3651" s="17" t="s">
        <v>44</v>
      </c>
      <c r="J3651" s="17"/>
      <c r="K3651" s="17" t="e">
        <f aca="false">VLOOKUP(J3651,Sheet2!A:B,2,0)</f>
        <v>#N/A</v>
      </c>
      <c r="L3651" s="17" t="n">
        <v>5</v>
      </c>
      <c r="M3651" s="17" t="str">
        <f aca="false">VLOOKUP(L3651,Sheet2!D:E,2,0)</f>
        <v>Main Processor CPU BGA</v>
      </c>
      <c r="N3651" s="17" t="n">
        <v>1</v>
      </c>
      <c r="O3651" s="17" t="str">
        <f aca="false">VLOOKUP(N3651,Sheet2!G:H,2,0)</f>
        <v>Dead</v>
      </c>
      <c r="P3651" s="17" t="n">
        <v>11</v>
      </c>
      <c r="Q3651" s="17" t="str">
        <f aca="false">VLOOKUP(P3651,Sheet2!J:K,2,0)</f>
        <v>IR Declared due to CID -TA</v>
      </c>
      <c r="R3651" s="17" t="s">
        <v>35</v>
      </c>
      <c r="S3651" s="17" t="str">
        <f aca="false">VLOOKUP(R3651,Sheet2!N:O,2,0)</f>
        <v>IREPARABLE</v>
      </c>
      <c r="T3651" s="18" t="str">
        <f aca="false">VLOOKUP(P3651,Sheet2!Q:R,2,0)</f>
        <v>IR Normal - Track burn out</v>
      </c>
      <c r="U3651" s="20" t="s">
        <v>41</v>
      </c>
      <c r="V3651" s="17"/>
      <c r="W3651" s="20" t="e">
        <f aca="false">VLOOKUP(V3651,Sheet2!Q:R,2,0)</f>
        <v>#N/A</v>
      </c>
      <c r="X3651" s="17" t="n">
        <f aca="false">J3651</f>
        <v>0</v>
      </c>
      <c r="Y3651" s="17" t="e">
        <f aca="false">VLOOKUP(X3651,Sheet2!A:B,2,0)</f>
        <v>#N/A</v>
      </c>
      <c r="Z3651" s="17"/>
      <c r="AA3651" s="17"/>
      <c r="AB3651" s="17" t="s">
        <v>41</v>
      </c>
      <c r="AC3651" s="0" t="str">
        <f aca="false">LEFT(G3651,2)</f>
        <v/>
      </c>
      <c r="AE3651" s="0"/>
    </row>
    <row r="3652" customFormat="false" ht="15" hidden="false" customHeight="false" outlineLevel="0" collapsed="false">
      <c r="A3652" s="13" t="n">
        <f aca="false">1+A3651</f>
        <v>3650</v>
      </c>
      <c r="B3652" s="14" t="n">
        <v>100</v>
      </c>
      <c r="C3652" s="15"/>
      <c r="D3652" s="16" t="s">
        <v>64</v>
      </c>
      <c r="E3652" s="17" t="s">
        <v>47</v>
      </c>
      <c r="F3652" s="18" t="s">
        <v>34</v>
      </c>
      <c r="G3652" s="19"/>
      <c r="H3652" s="17" t="s">
        <v>35</v>
      </c>
      <c r="I3652" s="17" t="s">
        <v>44</v>
      </c>
      <c r="J3652" s="17"/>
      <c r="K3652" s="17" t="e">
        <f aca="false">VLOOKUP(J3652,Sheet2!A:B,2,0)</f>
        <v>#N/A</v>
      </c>
      <c r="L3652" s="17" t="n">
        <v>5</v>
      </c>
      <c r="M3652" s="17" t="str">
        <f aca="false">VLOOKUP(L3652,Sheet2!D:E,2,0)</f>
        <v>Main Processor CPU BGA</v>
      </c>
      <c r="N3652" s="17" t="n">
        <v>1</v>
      </c>
      <c r="O3652" s="17" t="str">
        <f aca="false">VLOOKUP(N3652,Sheet2!G:H,2,0)</f>
        <v>Dead</v>
      </c>
      <c r="P3652" s="17" t="n">
        <v>11</v>
      </c>
      <c r="Q3652" s="17" t="str">
        <f aca="false">VLOOKUP(P3652,Sheet2!J:K,2,0)</f>
        <v>IR Declared due to CID -TA</v>
      </c>
      <c r="R3652" s="17" t="s">
        <v>35</v>
      </c>
      <c r="S3652" s="17" t="str">
        <f aca="false">VLOOKUP(R3652,Sheet2!N:O,2,0)</f>
        <v>IREPARABLE</v>
      </c>
      <c r="T3652" s="18" t="str">
        <f aca="false">VLOOKUP(P3652,Sheet2!Q:R,2,0)</f>
        <v>IR Normal - Track burn out</v>
      </c>
      <c r="U3652" s="20" t="s">
        <v>41</v>
      </c>
      <c r="V3652" s="17"/>
      <c r="W3652" s="20" t="e">
        <f aca="false">VLOOKUP(V3652,Sheet2!Q:R,2,0)</f>
        <v>#N/A</v>
      </c>
      <c r="X3652" s="17" t="n">
        <f aca="false">J3652</f>
        <v>0</v>
      </c>
      <c r="Y3652" s="17" t="e">
        <f aca="false">VLOOKUP(X3652,Sheet2!A:B,2,0)</f>
        <v>#N/A</v>
      </c>
      <c r="Z3652" s="17"/>
      <c r="AA3652" s="17"/>
      <c r="AB3652" s="17" t="s">
        <v>41</v>
      </c>
      <c r="AC3652" s="0" t="str">
        <f aca="false">LEFT(G3652,2)</f>
        <v/>
      </c>
      <c r="AE3652" s="0"/>
    </row>
    <row r="3653" customFormat="false" ht="15" hidden="false" customHeight="false" outlineLevel="0" collapsed="false">
      <c r="A3653" s="13" t="n">
        <f aca="false">1+A3652</f>
        <v>3651</v>
      </c>
      <c r="B3653" s="14" t="n">
        <v>100</v>
      </c>
      <c r="C3653" s="15"/>
      <c r="D3653" s="16" t="s">
        <v>64</v>
      </c>
      <c r="E3653" s="17" t="s">
        <v>47</v>
      </c>
      <c r="F3653" s="18" t="s">
        <v>34</v>
      </c>
      <c r="G3653" s="19"/>
      <c r="H3653" s="17" t="s">
        <v>35</v>
      </c>
      <c r="I3653" s="17" t="s">
        <v>44</v>
      </c>
      <c r="J3653" s="17"/>
      <c r="K3653" s="17" t="e">
        <f aca="false">VLOOKUP(J3653,Sheet2!A:B,2,0)</f>
        <v>#N/A</v>
      </c>
      <c r="L3653" s="17" t="n">
        <v>5</v>
      </c>
      <c r="M3653" s="17" t="str">
        <f aca="false">VLOOKUP(L3653,Sheet2!D:E,2,0)</f>
        <v>Main Processor CPU BGA</v>
      </c>
      <c r="N3653" s="17" t="n">
        <v>1</v>
      </c>
      <c r="O3653" s="17" t="str">
        <f aca="false">VLOOKUP(N3653,Sheet2!G:H,2,0)</f>
        <v>Dead</v>
      </c>
      <c r="P3653" s="17" t="n">
        <v>11</v>
      </c>
      <c r="Q3653" s="17" t="str">
        <f aca="false">VLOOKUP(P3653,Sheet2!J:K,2,0)</f>
        <v>IR Declared due to CID -TA</v>
      </c>
      <c r="R3653" s="17" t="s">
        <v>35</v>
      </c>
      <c r="S3653" s="17" t="str">
        <f aca="false">VLOOKUP(R3653,Sheet2!N:O,2,0)</f>
        <v>IREPARABLE</v>
      </c>
      <c r="T3653" s="18" t="str">
        <f aca="false">VLOOKUP(P3653,Sheet2!Q:R,2,0)</f>
        <v>IR Normal - Track burn out</v>
      </c>
      <c r="U3653" s="20" t="s">
        <v>41</v>
      </c>
      <c r="V3653" s="17"/>
      <c r="W3653" s="20" t="e">
        <f aca="false">VLOOKUP(V3653,Sheet2!Q:R,2,0)</f>
        <v>#N/A</v>
      </c>
      <c r="X3653" s="17" t="n">
        <f aca="false">J3653</f>
        <v>0</v>
      </c>
      <c r="Y3653" s="17" t="e">
        <f aca="false">VLOOKUP(X3653,Sheet2!A:B,2,0)</f>
        <v>#N/A</v>
      </c>
      <c r="Z3653" s="17"/>
      <c r="AA3653" s="17"/>
      <c r="AB3653" s="17" t="s">
        <v>41</v>
      </c>
      <c r="AC3653" s="0" t="str">
        <f aca="false">LEFT(G3653,2)</f>
        <v/>
      </c>
      <c r="AE3653" s="0"/>
    </row>
    <row r="3654" customFormat="false" ht="15" hidden="false" customHeight="false" outlineLevel="0" collapsed="false">
      <c r="A3654" s="13" t="n">
        <f aca="false">1+A3653</f>
        <v>3652</v>
      </c>
      <c r="B3654" s="14" t="n">
        <v>100</v>
      </c>
      <c r="C3654" s="15"/>
      <c r="D3654" s="16" t="s">
        <v>64</v>
      </c>
      <c r="E3654" s="17" t="s">
        <v>47</v>
      </c>
      <c r="F3654" s="18" t="s">
        <v>34</v>
      </c>
      <c r="G3654" s="19"/>
      <c r="H3654" s="17" t="s">
        <v>35</v>
      </c>
      <c r="I3654" s="17" t="s">
        <v>44</v>
      </c>
      <c r="J3654" s="17"/>
      <c r="K3654" s="17" t="e">
        <f aca="false">VLOOKUP(J3654,Sheet2!A:B,2,0)</f>
        <v>#N/A</v>
      </c>
      <c r="L3654" s="17" t="n">
        <v>5</v>
      </c>
      <c r="M3654" s="17" t="str">
        <f aca="false">VLOOKUP(L3654,Sheet2!D:E,2,0)</f>
        <v>Main Processor CPU BGA</v>
      </c>
      <c r="N3654" s="17" t="n">
        <v>1</v>
      </c>
      <c r="O3654" s="17" t="str">
        <f aca="false">VLOOKUP(N3654,Sheet2!G:H,2,0)</f>
        <v>Dead</v>
      </c>
      <c r="P3654" s="17" t="n">
        <v>11</v>
      </c>
      <c r="Q3654" s="17" t="str">
        <f aca="false">VLOOKUP(P3654,Sheet2!J:K,2,0)</f>
        <v>IR Declared due to CID -TA</v>
      </c>
      <c r="R3654" s="17" t="s">
        <v>35</v>
      </c>
      <c r="S3654" s="17" t="str">
        <f aca="false">VLOOKUP(R3654,Sheet2!N:O,2,0)</f>
        <v>IREPARABLE</v>
      </c>
      <c r="T3654" s="18" t="str">
        <f aca="false">VLOOKUP(P3654,Sheet2!Q:R,2,0)</f>
        <v>IR Normal - Track burn out</v>
      </c>
      <c r="U3654" s="20" t="s">
        <v>41</v>
      </c>
      <c r="V3654" s="17"/>
      <c r="W3654" s="20" t="e">
        <f aca="false">VLOOKUP(V3654,Sheet2!Q:R,2,0)</f>
        <v>#N/A</v>
      </c>
      <c r="X3654" s="17" t="n">
        <f aca="false">J3654</f>
        <v>0</v>
      </c>
      <c r="Y3654" s="17" t="e">
        <f aca="false">VLOOKUP(X3654,Sheet2!A:B,2,0)</f>
        <v>#N/A</v>
      </c>
      <c r="Z3654" s="17"/>
      <c r="AA3654" s="17"/>
      <c r="AB3654" s="17" t="s">
        <v>41</v>
      </c>
      <c r="AC3654" s="0" t="str">
        <f aca="false">LEFT(G3654,2)</f>
        <v/>
      </c>
      <c r="AE3654" s="0"/>
    </row>
    <row r="3655" customFormat="false" ht="15" hidden="false" customHeight="false" outlineLevel="0" collapsed="false">
      <c r="A3655" s="13" t="n">
        <f aca="false">1+A3654</f>
        <v>3653</v>
      </c>
      <c r="B3655" s="14" t="n">
        <v>100</v>
      </c>
      <c r="C3655" s="15"/>
      <c r="D3655" s="16" t="s">
        <v>64</v>
      </c>
      <c r="E3655" s="17" t="s">
        <v>47</v>
      </c>
      <c r="F3655" s="18" t="s">
        <v>34</v>
      </c>
      <c r="G3655" s="19"/>
      <c r="H3655" s="17" t="s">
        <v>35</v>
      </c>
      <c r="I3655" s="17" t="s">
        <v>44</v>
      </c>
      <c r="J3655" s="17"/>
      <c r="K3655" s="17" t="e">
        <f aca="false">VLOOKUP(J3655,Sheet2!A:B,2,0)</f>
        <v>#N/A</v>
      </c>
      <c r="L3655" s="17" t="n">
        <v>5</v>
      </c>
      <c r="M3655" s="17" t="str">
        <f aca="false">VLOOKUP(L3655,Sheet2!D:E,2,0)</f>
        <v>Main Processor CPU BGA</v>
      </c>
      <c r="N3655" s="17" t="n">
        <v>1</v>
      </c>
      <c r="O3655" s="17" t="str">
        <f aca="false">VLOOKUP(N3655,Sheet2!G:H,2,0)</f>
        <v>Dead</v>
      </c>
      <c r="P3655" s="17" t="n">
        <v>11</v>
      </c>
      <c r="Q3655" s="17" t="str">
        <f aca="false">VLOOKUP(P3655,Sheet2!J:K,2,0)</f>
        <v>IR Declared due to CID -TA</v>
      </c>
      <c r="R3655" s="17" t="s">
        <v>35</v>
      </c>
      <c r="S3655" s="17" t="str">
        <f aca="false">VLOOKUP(R3655,Sheet2!N:O,2,0)</f>
        <v>IREPARABLE</v>
      </c>
      <c r="T3655" s="18" t="str">
        <f aca="false">VLOOKUP(P3655,Sheet2!Q:R,2,0)</f>
        <v>IR Normal - Track burn out</v>
      </c>
      <c r="U3655" s="20" t="s">
        <v>41</v>
      </c>
      <c r="V3655" s="17"/>
      <c r="W3655" s="20" t="e">
        <f aca="false">VLOOKUP(V3655,Sheet2!Q:R,2,0)</f>
        <v>#N/A</v>
      </c>
      <c r="X3655" s="17" t="n">
        <f aca="false">J3655</f>
        <v>0</v>
      </c>
      <c r="Y3655" s="17" t="e">
        <f aca="false">VLOOKUP(X3655,Sheet2!A:B,2,0)</f>
        <v>#N/A</v>
      </c>
      <c r="Z3655" s="17"/>
      <c r="AA3655" s="17"/>
      <c r="AB3655" s="17" t="s">
        <v>41</v>
      </c>
      <c r="AC3655" s="0" t="str">
        <f aca="false">LEFT(G3655,2)</f>
        <v/>
      </c>
      <c r="AE3655" s="0"/>
    </row>
    <row r="3656" customFormat="false" ht="15" hidden="false" customHeight="false" outlineLevel="0" collapsed="false">
      <c r="A3656" s="13" t="n">
        <f aca="false">1+A3655</f>
        <v>3654</v>
      </c>
      <c r="B3656" s="14" t="n">
        <v>100</v>
      </c>
      <c r="C3656" s="15"/>
      <c r="D3656" s="16" t="s">
        <v>64</v>
      </c>
      <c r="E3656" s="17" t="s">
        <v>47</v>
      </c>
      <c r="F3656" s="18" t="s">
        <v>34</v>
      </c>
      <c r="G3656" s="19"/>
      <c r="H3656" s="17" t="s">
        <v>35</v>
      </c>
      <c r="I3656" s="17" t="s">
        <v>44</v>
      </c>
      <c r="J3656" s="17"/>
      <c r="K3656" s="17" t="e">
        <f aca="false">VLOOKUP(J3656,Sheet2!A:B,2,0)</f>
        <v>#N/A</v>
      </c>
      <c r="L3656" s="17" t="n">
        <v>5</v>
      </c>
      <c r="M3656" s="17" t="str">
        <f aca="false">VLOOKUP(L3656,Sheet2!D:E,2,0)</f>
        <v>Main Processor CPU BGA</v>
      </c>
      <c r="N3656" s="17" t="n">
        <v>1</v>
      </c>
      <c r="O3656" s="17" t="str">
        <f aca="false">VLOOKUP(N3656,Sheet2!G:H,2,0)</f>
        <v>Dead</v>
      </c>
      <c r="P3656" s="17" t="n">
        <v>11</v>
      </c>
      <c r="Q3656" s="17" t="str">
        <f aca="false">VLOOKUP(P3656,Sheet2!J:K,2,0)</f>
        <v>IR Declared due to CID -TA</v>
      </c>
      <c r="R3656" s="17" t="s">
        <v>35</v>
      </c>
      <c r="S3656" s="17" t="str">
        <f aca="false">VLOOKUP(R3656,Sheet2!N:O,2,0)</f>
        <v>IREPARABLE</v>
      </c>
      <c r="T3656" s="18" t="str">
        <f aca="false">VLOOKUP(P3656,Sheet2!Q:R,2,0)</f>
        <v>IR Normal - Track burn out</v>
      </c>
      <c r="U3656" s="20" t="s">
        <v>41</v>
      </c>
      <c r="V3656" s="17"/>
      <c r="W3656" s="20" t="e">
        <f aca="false">VLOOKUP(V3656,Sheet2!Q:R,2,0)</f>
        <v>#N/A</v>
      </c>
      <c r="X3656" s="17" t="n">
        <f aca="false">J3656</f>
        <v>0</v>
      </c>
      <c r="Y3656" s="17" t="e">
        <f aca="false">VLOOKUP(X3656,Sheet2!A:B,2,0)</f>
        <v>#N/A</v>
      </c>
      <c r="Z3656" s="17"/>
      <c r="AA3656" s="17"/>
      <c r="AB3656" s="17" t="s">
        <v>41</v>
      </c>
      <c r="AC3656" s="0" t="str">
        <f aca="false">LEFT(G3656,2)</f>
        <v/>
      </c>
      <c r="AE3656" s="0"/>
    </row>
    <row r="3657" customFormat="false" ht="15" hidden="false" customHeight="false" outlineLevel="0" collapsed="false">
      <c r="A3657" s="13" t="n">
        <f aca="false">1+A3656</f>
        <v>3655</v>
      </c>
      <c r="B3657" s="14" t="n">
        <v>100</v>
      </c>
      <c r="C3657" s="15"/>
      <c r="D3657" s="16" t="s">
        <v>64</v>
      </c>
      <c r="E3657" s="17" t="s">
        <v>47</v>
      </c>
      <c r="F3657" s="18" t="s">
        <v>34</v>
      </c>
      <c r="G3657" s="19"/>
      <c r="H3657" s="17" t="s">
        <v>35</v>
      </c>
      <c r="I3657" s="17" t="s">
        <v>44</v>
      </c>
      <c r="J3657" s="17"/>
      <c r="K3657" s="17" t="e">
        <f aca="false">VLOOKUP(J3657,Sheet2!A:B,2,0)</f>
        <v>#N/A</v>
      </c>
      <c r="L3657" s="17" t="n">
        <v>5</v>
      </c>
      <c r="M3657" s="17" t="str">
        <f aca="false">VLOOKUP(L3657,Sheet2!D:E,2,0)</f>
        <v>Main Processor CPU BGA</v>
      </c>
      <c r="N3657" s="17" t="n">
        <v>1</v>
      </c>
      <c r="O3657" s="17" t="str">
        <f aca="false">VLOOKUP(N3657,Sheet2!G:H,2,0)</f>
        <v>Dead</v>
      </c>
      <c r="P3657" s="17" t="n">
        <v>11</v>
      </c>
      <c r="Q3657" s="17" t="str">
        <f aca="false">VLOOKUP(P3657,Sheet2!J:K,2,0)</f>
        <v>IR Declared due to CID -TA</v>
      </c>
      <c r="R3657" s="17" t="s">
        <v>35</v>
      </c>
      <c r="S3657" s="17" t="str">
        <f aca="false">VLOOKUP(R3657,Sheet2!N:O,2,0)</f>
        <v>IREPARABLE</v>
      </c>
      <c r="T3657" s="18" t="str">
        <f aca="false">VLOOKUP(P3657,Sheet2!Q:R,2,0)</f>
        <v>IR Normal - Track burn out</v>
      </c>
      <c r="U3657" s="20" t="s">
        <v>41</v>
      </c>
      <c r="V3657" s="17"/>
      <c r="W3657" s="20" t="e">
        <f aca="false">VLOOKUP(V3657,Sheet2!Q:R,2,0)</f>
        <v>#N/A</v>
      </c>
      <c r="X3657" s="17" t="n">
        <f aca="false">J3657</f>
        <v>0</v>
      </c>
      <c r="Y3657" s="17" t="e">
        <f aca="false">VLOOKUP(X3657,Sheet2!A:B,2,0)</f>
        <v>#N/A</v>
      </c>
      <c r="Z3657" s="17"/>
      <c r="AA3657" s="17"/>
      <c r="AB3657" s="17" t="s">
        <v>41</v>
      </c>
      <c r="AC3657" s="0" t="str">
        <f aca="false">LEFT(G3657,2)</f>
        <v/>
      </c>
      <c r="AE3657" s="0"/>
    </row>
    <row r="3658" customFormat="false" ht="15" hidden="false" customHeight="false" outlineLevel="0" collapsed="false">
      <c r="A3658" s="13" t="n">
        <f aca="false">1+A3657</f>
        <v>3656</v>
      </c>
      <c r="B3658" s="14" t="n">
        <v>100</v>
      </c>
      <c r="C3658" s="15"/>
      <c r="D3658" s="16" t="s">
        <v>64</v>
      </c>
      <c r="E3658" s="17" t="s">
        <v>47</v>
      </c>
      <c r="F3658" s="18" t="s">
        <v>34</v>
      </c>
      <c r="G3658" s="19"/>
      <c r="H3658" s="17" t="s">
        <v>35</v>
      </c>
      <c r="I3658" s="17" t="s">
        <v>44</v>
      </c>
      <c r="J3658" s="17"/>
      <c r="K3658" s="17" t="e">
        <f aca="false">VLOOKUP(J3658,Sheet2!A:B,2,0)</f>
        <v>#N/A</v>
      </c>
      <c r="L3658" s="17" t="n">
        <v>5</v>
      </c>
      <c r="M3658" s="17" t="str">
        <f aca="false">VLOOKUP(L3658,Sheet2!D:E,2,0)</f>
        <v>Main Processor CPU BGA</v>
      </c>
      <c r="N3658" s="17" t="n">
        <v>1</v>
      </c>
      <c r="O3658" s="17" t="str">
        <f aca="false">VLOOKUP(N3658,Sheet2!G:H,2,0)</f>
        <v>Dead</v>
      </c>
      <c r="P3658" s="17" t="n">
        <v>11</v>
      </c>
      <c r="Q3658" s="17" t="str">
        <f aca="false">VLOOKUP(P3658,Sheet2!J:K,2,0)</f>
        <v>IR Declared due to CID -TA</v>
      </c>
      <c r="R3658" s="17" t="s">
        <v>35</v>
      </c>
      <c r="S3658" s="17" t="str">
        <f aca="false">VLOOKUP(R3658,Sheet2!N:O,2,0)</f>
        <v>IREPARABLE</v>
      </c>
      <c r="T3658" s="18" t="str">
        <f aca="false">VLOOKUP(P3658,Sheet2!Q:R,2,0)</f>
        <v>IR Normal - Track burn out</v>
      </c>
      <c r="U3658" s="20" t="s">
        <v>41</v>
      </c>
      <c r="V3658" s="17"/>
      <c r="W3658" s="20" t="e">
        <f aca="false">VLOOKUP(V3658,Sheet2!Q:R,2,0)</f>
        <v>#N/A</v>
      </c>
      <c r="X3658" s="17" t="n">
        <f aca="false">J3658</f>
        <v>0</v>
      </c>
      <c r="Y3658" s="17" t="e">
        <f aca="false">VLOOKUP(X3658,Sheet2!A:B,2,0)</f>
        <v>#N/A</v>
      </c>
      <c r="Z3658" s="17"/>
      <c r="AA3658" s="17"/>
      <c r="AB3658" s="17" t="s">
        <v>41</v>
      </c>
      <c r="AC3658" s="0" t="str">
        <f aca="false">LEFT(G3658,2)</f>
        <v/>
      </c>
      <c r="AE3658" s="0"/>
    </row>
    <row r="3659" customFormat="false" ht="15" hidden="false" customHeight="false" outlineLevel="0" collapsed="false">
      <c r="A3659" s="13" t="n">
        <f aca="false">1+A3658</f>
        <v>3657</v>
      </c>
      <c r="B3659" s="14" t="n">
        <v>100</v>
      </c>
      <c r="C3659" s="15"/>
      <c r="D3659" s="16" t="s">
        <v>64</v>
      </c>
      <c r="E3659" s="17" t="s">
        <v>47</v>
      </c>
      <c r="F3659" s="18" t="s">
        <v>34</v>
      </c>
      <c r="G3659" s="19"/>
      <c r="H3659" s="17" t="s">
        <v>35</v>
      </c>
      <c r="I3659" s="17" t="s">
        <v>44</v>
      </c>
      <c r="J3659" s="17"/>
      <c r="K3659" s="17" t="e">
        <f aca="false">VLOOKUP(J3659,Sheet2!A:B,2,0)</f>
        <v>#N/A</v>
      </c>
      <c r="L3659" s="17" t="n">
        <v>5</v>
      </c>
      <c r="M3659" s="17" t="str">
        <f aca="false">VLOOKUP(L3659,Sheet2!D:E,2,0)</f>
        <v>Main Processor CPU BGA</v>
      </c>
      <c r="N3659" s="17" t="n">
        <v>1</v>
      </c>
      <c r="O3659" s="17" t="str">
        <f aca="false">VLOOKUP(N3659,Sheet2!G:H,2,0)</f>
        <v>Dead</v>
      </c>
      <c r="P3659" s="17" t="n">
        <v>11</v>
      </c>
      <c r="Q3659" s="17" t="str">
        <f aca="false">VLOOKUP(P3659,Sheet2!J:K,2,0)</f>
        <v>IR Declared due to CID -TA</v>
      </c>
      <c r="R3659" s="17" t="s">
        <v>35</v>
      </c>
      <c r="S3659" s="17" t="str">
        <f aca="false">VLOOKUP(R3659,Sheet2!N:O,2,0)</f>
        <v>IREPARABLE</v>
      </c>
      <c r="T3659" s="18" t="str">
        <f aca="false">VLOOKUP(P3659,Sheet2!Q:R,2,0)</f>
        <v>IR Normal - Track burn out</v>
      </c>
      <c r="U3659" s="20" t="s">
        <v>41</v>
      </c>
      <c r="V3659" s="17"/>
      <c r="W3659" s="20" t="e">
        <f aca="false">VLOOKUP(V3659,Sheet2!Q:R,2,0)</f>
        <v>#N/A</v>
      </c>
      <c r="X3659" s="17" t="n">
        <f aca="false">J3659</f>
        <v>0</v>
      </c>
      <c r="Y3659" s="17" t="e">
        <f aca="false">VLOOKUP(X3659,Sheet2!A:B,2,0)</f>
        <v>#N/A</v>
      </c>
      <c r="Z3659" s="17"/>
      <c r="AA3659" s="17"/>
      <c r="AB3659" s="17" t="s">
        <v>41</v>
      </c>
      <c r="AC3659" s="0" t="str">
        <f aca="false">LEFT(G3659,2)</f>
        <v/>
      </c>
      <c r="AE3659" s="0"/>
    </row>
    <row r="3660" customFormat="false" ht="15" hidden="false" customHeight="false" outlineLevel="0" collapsed="false">
      <c r="A3660" s="13" t="n">
        <f aca="false">1+A3659</f>
        <v>3658</v>
      </c>
      <c r="B3660" s="14" t="n">
        <v>100</v>
      </c>
      <c r="C3660" s="15"/>
      <c r="D3660" s="16" t="s">
        <v>64</v>
      </c>
      <c r="E3660" s="17" t="s">
        <v>47</v>
      </c>
      <c r="F3660" s="18" t="s">
        <v>34</v>
      </c>
      <c r="G3660" s="19"/>
      <c r="H3660" s="17" t="s">
        <v>35</v>
      </c>
      <c r="I3660" s="17" t="s">
        <v>44</v>
      </c>
      <c r="J3660" s="17"/>
      <c r="K3660" s="17" t="e">
        <f aca="false">VLOOKUP(J3660,Sheet2!A:B,2,0)</f>
        <v>#N/A</v>
      </c>
      <c r="L3660" s="17" t="n">
        <v>5</v>
      </c>
      <c r="M3660" s="17" t="str">
        <f aca="false">VLOOKUP(L3660,Sheet2!D:E,2,0)</f>
        <v>Main Processor CPU BGA</v>
      </c>
      <c r="N3660" s="17" t="n">
        <v>1</v>
      </c>
      <c r="O3660" s="17" t="str">
        <f aca="false">VLOOKUP(N3660,Sheet2!G:H,2,0)</f>
        <v>Dead</v>
      </c>
      <c r="P3660" s="17" t="n">
        <v>11</v>
      </c>
      <c r="Q3660" s="17" t="str">
        <f aca="false">VLOOKUP(P3660,Sheet2!J:K,2,0)</f>
        <v>IR Declared due to CID -TA</v>
      </c>
      <c r="R3660" s="17" t="s">
        <v>35</v>
      </c>
      <c r="S3660" s="17" t="str">
        <f aca="false">VLOOKUP(R3660,Sheet2!N:O,2,0)</f>
        <v>IREPARABLE</v>
      </c>
      <c r="T3660" s="18" t="str">
        <f aca="false">VLOOKUP(P3660,Sheet2!Q:R,2,0)</f>
        <v>IR Normal - Track burn out</v>
      </c>
      <c r="U3660" s="20" t="s">
        <v>41</v>
      </c>
      <c r="V3660" s="17"/>
      <c r="W3660" s="20" t="e">
        <f aca="false">VLOOKUP(V3660,Sheet2!Q:R,2,0)</f>
        <v>#N/A</v>
      </c>
      <c r="X3660" s="17" t="n">
        <f aca="false">J3660</f>
        <v>0</v>
      </c>
      <c r="Y3660" s="17" t="e">
        <f aca="false">VLOOKUP(X3660,Sheet2!A:B,2,0)</f>
        <v>#N/A</v>
      </c>
      <c r="Z3660" s="17"/>
      <c r="AA3660" s="17"/>
      <c r="AB3660" s="17" t="s">
        <v>41</v>
      </c>
      <c r="AC3660" s="0" t="str">
        <f aca="false">LEFT(G3660,2)</f>
        <v/>
      </c>
      <c r="AE3660" s="0"/>
    </row>
    <row r="3661" customFormat="false" ht="15" hidden="false" customHeight="false" outlineLevel="0" collapsed="false">
      <c r="A3661" s="13" t="n">
        <f aca="false">1+A3660</f>
        <v>3659</v>
      </c>
      <c r="B3661" s="14" t="n">
        <v>100</v>
      </c>
      <c r="C3661" s="15"/>
      <c r="D3661" s="16" t="s">
        <v>64</v>
      </c>
      <c r="E3661" s="17" t="s">
        <v>47</v>
      </c>
      <c r="F3661" s="18" t="s">
        <v>34</v>
      </c>
      <c r="G3661" s="19"/>
      <c r="H3661" s="17" t="s">
        <v>35</v>
      </c>
      <c r="I3661" s="17" t="s">
        <v>44</v>
      </c>
      <c r="J3661" s="17"/>
      <c r="K3661" s="17" t="e">
        <f aca="false">VLOOKUP(J3661,Sheet2!A:B,2,0)</f>
        <v>#N/A</v>
      </c>
      <c r="L3661" s="17" t="n">
        <v>5</v>
      </c>
      <c r="M3661" s="17" t="str">
        <f aca="false">VLOOKUP(L3661,Sheet2!D:E,2,0)</f>
        <v>Main Processor CPU BGA</v>
      </c>
      <c r="N3661" s="17" t="n">
        <v>1</v>
      </c>
      <c r="O3661" s="17" t="str">
        <f aca="false">VLOOKUP(N3661,Sheet2!G:H,2,0)</f>
        <v>Dead</v>
      </c>
      <c r="P3661" s="17" t="n">
        <v>11</v>
      </c>
      <c r="Q3661" s="17" t="str">
        <f aca="false">VLOOKUP(P3661,Sheet2!J:K,2,0)</f>
        <v>IR Declared due to CID -TA</v>
      </c>
      <c r="R3661" s="17" t="s">
        <v>35</v>
      </c>
      <c r="S3661" s="17" t="str">
        <f aca="false">VLOOKUP(R3661,Sheet2!N:O,2,0)</f>
        <v>IREPARABLE</v>
      </c>
      <c r="T3661" s="18" t="str">
        <f aca="false">VLOOKUP(P3661,Sheet2!Q:R,2,0)</f>
        <v>IR Normal - Track burn out</v>
      </c>
      <c r="U3661" s="20" t="s">
        <v>41</v>
      </c>
      <c r="V3661" s="17"/>
      <c r="W3661" s="20" t="e">
        <f aca="false">VLOOKUP(V3661,Sheet2!Q:R,2,0)</f>
        <v>#N/A</v>
      </c>
      <c r="X3661" s="17" t="n">
        <f aca="false">J3661</f>
        <v>0</v>
      </c>
      <c r="Y3661" s="17" t="e">
        <f aca="false">VLOOKUP(X3661,Sheet2!A:B,2,0)</f>
        <v>#N/A</v>
      </c>
      <c r="Z3661" s="17"/>
      <c r="AA3661" s="17"/>
      <c r="AB3661" s="17" t="s">
        <v>41</v>
      </c>
      <c r="AC3661" s="0" t="str">
        <f aca="false">LEFT(G3661,2)</f>
        <v/>
      </c>
      <c r="AE3661" s="0"/>
    </row>
    <row r="3662" customFormat="false" ht="15" hidden="false" customHeight="false" outlineLevel="0" collapsed="false">
      <c r="A3662" s="13" t="n">
        <f aca="false">1+A3661</f>
        <v>3660</v>
      </c>
      <c r="B3662" s="14" t="n">
        <v>100</v>
      </c>
      <c r="C3662" s="15"/>
      <c r="D3662" s="16" t="s">
        <v>64</v>
      </c>
      <c r="E3662" s="17" t="s">
        <v>47</v>
      </c>
      <c r="F3662" s="18" t="s">
        <v>34</v>
      </c>
      <c r="G3662" s="19"/>
      <c r="H3662" s="17" t="s">
        <v>35</v>
      </c>
      <c r="I3662" s="17" t="s">
        <v>44</v>
      </c>
      <c r="J3662" s="17"/>
      <c r="K3662" s="17" t="e">
        <f aca="false">VLOOKUP(J3662,Sheet2!A:B,2,0)</f>
        <v>#N/A</v>
      </c>
      <c r="L3662" s="17" t="n">
        <v>5</v>
      </c>
      <c r="M3662" s="17" t="str">
        <f aca="false">VLOOKUP(L3662,Sheet2!D:E,2,0)</f>
        <v>Main Processor CPU BGA</v>
      </c>
      <c r="N3662" s="17" t="n">
        <v>1</v>
      </c>
      <c r="O3662" s="17" t="str">
        <f aca="false">VLOOKUP(N3662,Sheet2!G:H,2,0)</f>
        <v>Dead</v>
      </c>
      <c r="P3662" s="17" t="n">
        <v>11</v>
      </c>
      <c r="Q3662" s="17" t="str">
        <f aca="false">VLOOKUP(P3662,Sheet2!J:K,2,0)</f>
        <v>IR Declared due to CID -TA</v>
      </c>
      <c r="R3662" s="17" t="s">
        <v>35</v>
      </c>
      <c r="S3662" s="17" t="str">
        <f aca="false">VLOOKUP(R3662,Sheet2!N:O,2,0)</f>
        <v>IREPARABLE</v>
      </c>
      <c r="T3662" s="18" t="str">
        <f aca="false">VLOOKUP(P3662,Sheet2!Q:R,2,0)</f>
        <v>IR Normal - Track burn out</v>
      </c>
      <c r="U3662" s="20" t="s">
        <v>41</v>
      </c>
      <c r="V3662" s="17"/>
      <c r="W3662" s="20" t="e">
        <f aca="false">VLOOKUP(V3662,Sheet2!Q:R,2,0)</f>
        <v>#N/A</v>
      </c>
      <c r="X3662" s="17" t="n">
        <f aca="false">J3662</f>
        <v>0</v>
      </c>
      <c r="Y3662" s="17" t="e">
        <f aca="false">VLOOKUP(X3662,Sheet2!A:B,2,0)</f>
        <v>#N/A</v>
      </c>
      <c r="Z3662" s="17"/>
      <c r="AA3662" s="17"/>
      <c r="AB3662" s="17" t="s">
        <v>41</v>
      </c>
      <c r="AC3662" s="0" t="str">
        <f aca="false">LEFT(G3662,2)</f>
        <v/>
      </c>
      <c r="AE3662" s="0"/>
    </row>
    <row r="3663" customFormat="false" ht="15" hidden="false" customHeight="false" outlineLevel="0" collapsed="false">
      <c r="A3663" s="13" t="n">
        <f aca="false">1+A3662</f>
        <v>3661</v>
      </c>
      <c r="B3663" s="14" t="n">
        <v>100</v>
      </c>
      <c r="C3663" s="15"/>
      <c r="D3663" s="16" t="s">
        <v>64</v>
      </c>
      <c r="E3663" s="17" t="s">
        <v>47</v>
      </c>
      <c r="F3663" s="18" t="s">
        <v>34</v>
      </c>
      <c r="G3663" s="19"/>
      <c r="H3663" s="17" t="s">
        <v>35</v>
      </c>
      <c r="I3663" s="17" t="s">
        <v>44</v>
      </c>
      <c r="J3663" s="17"/>
      <c r="K3663" s="17" t="e">
        <f aca="false">VLOOKUP(J3663,Sheet2!A:B,2,0)</f>
        <v>#N/A</v>
      </c>
      <c r="L3663" s="17" t="n">
        <v>5</v>
      </c>
      <c r="M3663" s="17" t="str">
        <f aca="false">VLOOKUP(L3663,Sheet2!D:E,2,0)</f>
        <v>Main Processor CPU BGA</v>
      </c>
      <c r="N3663" s="17" t="n">
        <v>1</v>
      </c>
      <c r="O3663" s="17" t="str">
        <f aca="false">VLOOKUP(N3663,Sheet2!G:H,2,0)</f>
        <v>Dead</v>
      </c>
      <c r="P3663" s="17" t="n">
        <v>11</v>
      </c>
      <c r="Q3663" s="17" t="str">
        <f aca="false">VLOOKUP(P3663,Sheet2!J:K,2,0)</f>
        <v>IR Declared due to CID -TA</v>
      </c>
      <c r="R3663" s="17" t="s">
        <v>35</v>
      </c>
      <c r="S3663" s="17" t="str">
        <f aca="false">VLOOKUP(R3663,Sheet2!N:O,2,0)</f>
        <v>IREPARABLE</v>
      </c>
      <c r="T3663" s="18" t="str">
        <f aca="false">VLOOKUP(P3663,Sheet2!Q:R,2,0)</f>
        <v>IR Normal - Track burn out</v>
      </c>
      <c r="U3663" s="20" t="s">
        <v>41</v>
      </c>
      <c r="V3663" s="17"/>
      <c r="W3663" s="20" t="e">
        <f aca="false">VLOOKUP(V3663,Sheet2!Q:R,2,0)</f>
        <v>#N/A</v>
      </c>
      <c r="X3663" s="17" t="n">
        <f aca="false">J3663</f>
        <v>0</v>
      </c>
      <c r="Y3663" s="17" t="e">
        <f aca="false">VLOOKUP(X3663,Sheet2!A:B,2,0)</f>
        <v>#N/A</v>
      </c>
      <c r="Z3663" s="17"/>
      <c r="AA3663" s="17"/>
      <c r="AB3663" s="17" t="s">
        <v>41</v>
      </c>
      <c r="AC3663" s="0" t="str">
        <f aca="false">LEFT(G3663,2)</f>
        <v/>
      </c>
      <c r="AE3663" s="0"/>
    </row>
    <row r="3664" customFormat="false" ht="15" hidden="false" customHeight="false" outlineLevel="0" collapsed="false">
      <c r="A3664" s="13" t="n">
        <f aca="false">1+A3663</f>
        <v>3662</v>
      </c>
      <c r="B3664" s="14" t="n">
        <v>100</v>
      </c>
      <c r="C3664" s="15"/>
      <c r="D3664" s="16" t="s">
        <v>64</v>
      </c>
      <c r="E3664" s="17" t="s">
        <v>47</v>
      </c>
      <c r="F3664" s="18" t="s">
        <v>34</v>
      </c>
      <c r="G3664" s="19"/>
      <c r="H3664" s="17" t="s">
        <v>35</v>
      </c>
      <c r="I3664" s="17" t="s">
        <v>44</v>
      </c>
      <c r="J3664" s="17"/>
      <c r="K3664" s="17" t="e">
        <f aca="false">VLOOKUP(J3664,Sheet2!A:B,2,0)</f>
        <v>#N/A</v>
      </c>
      <c r="L3664" s="17" t="n">
        <v>5</v>
      </c>
      <c r="M3664" s="17" t="str">
        <f aca="false">VLOOKUP(L3664,Sheet2!D:E,2,0)</f>
        <v>Main Processor CPU BGA</v>
      </c>
      <c r="N3664" s="17" t="n">
        <v>1</v>
      </c>
      <c r="O3664" s="17" t="str">
        <f aca="false">VLOOKUP(N3664,Sheet2!G:H,2,0)</f>
        <v>Dead</v>
      </c>
      <c r="P3664" s="17" t="n">
        <v>11</v>
      </c>
      <c r="Q3664" s="17" t="str">
        <f aca="false">VLOOKUP(P3664,Sheet2!J:K,2,0)</f>
        <v>IR Declared due to CID -TA</v>
      </c>
      <c r="R3664" s="17" t="s">
        <v>35</v>
      </c>
      <c r="S3664" s="17" t="str">
        <f aca="false">VLOOKUP(R3664,Sheet2!N:O,2,0)</f>
        <v>IREPARABLE</v>
      </c>
      <c r="T3664" s="18" t="str">
        <f aca="false">VLOOKUP(P3664,Sheet2!Q:R,2,0)</f>
        <v>IR Normal - Track burn out</v>
      </c>
      <c r="U3664" s="20" t="s">
        <v>41</v>
      </c>
      <c r="V3664" s="17"/>
      <c r="W3664" s="20" t="e">
        <f aca="false">VLOOKUP(V3664,Sheet2!Q:R,2,0)</f>
        <v>#N/A</v>
      </c>
      <c r="X3664" s="17" t="n">
        <f aca="false">J3664</f>
        <v>0</v>
      </c>
      <c r="Y3664" s="17" t="e">
        <f aca="false">VLOOKUP(X3664,Sheet2!A:B,2,0)</f>
        <v>#N/A</v>
      </c>
      <c r="Z3664" s="17"/>
      <c r="AA3664" s="17"/>
      <c r="AB3664" s="17" t="s">
        <v>41</v>
      </c>
      <c r="AC3664" s="0" t="str">
        <f aca="false">LEFT(G3664,2)</f>
        <v/>
      </c>
      <c r="AE3664" s="0"/>
    </row>
    <row r="3665" customFormat="false" ht="15" hidden="false" customHeight="false" outlineLevel="0" collapsed="false">
      <c r="A3665" s="13" t="n">
        <f aca="false">1+A3664</f>
        <v>3663</v>
      </c>
      <c r="B3665" s="14" t="n">
        <v>100</v>
      </c>
      <c r="C3665" s="15"/>
      <c r="D3665" s="16" t="s">
        <v>64</v>
      </c>
      <c r="E3665" s="17" t="s">
        <v>47</v>
      </c>
      <c r="F3665" s="18" t="s">
        <v>34</v>
      </c>
      <c r="G3665" s="19"/>
      <c r="H3665" s="17" t="s">
        <v>35</v>
      </c>
      <c r="I3665" s="17" t="s">
        <v>44</v>
      </c>
      <c r="J3665" s="17"/>
      <c r="K3665" s="17" t="e">
        <f aca="false">VLOOKUP(J3665,Sheet2!A:B,2,0)</f>
        <v>#N/A</v>
      </c>
      <c r="L3665" s="17" t="n">
        <v>5</v>
      </c>
      <c r="M3665" s="17" t="str">
        <f aca="false">VLOOKUP(L3665,Sheet2!D:E,2,0)</f>
        <v>Main Processor CPU BGA</v>
      </c>
      <c r="N3665" s="17" t="n">
        <v>1</v>
      </c>
      <c r="O3665" s="17" t="str">
        <f aca="false">VLOOKUP(N3665,Sheet2!G:H,2,0)</f>
        <v>Dead</v>
      </c>
      <c r="P3665" s="17" t="n">
        <v>11</v>
      </c>
      <c r="Q3665" s="17" t="str">
        <f aca="false">VLOOKUP(P3665,Sheet2!J:K,2,0)</f>
        <v>IR Declared due to CID -TA</v>
      </c>
      <c r="R3665" s="17" t="s">
        <v>35</v>
      </c>
      <c r="S3665" s="17" t="str">
        <f aca="false">VLOOKUP(R3665,Sheet2!N:O,2,0)</f>
        <v>IREPARABLE</v>
      </c>
      <c r="T3665" s="18" t="str">
        <f aca="false">VLOOKUP(P3665,Sheet2!Q:R,2,0)</f>
        <v>IR Normal - Track burn out</v>
      </c>
      <c r="U3665" s="20" t="s">
        <v>41</v>
      </c>
      <c r="V3665" s="17"/>
      <c r="W3665" s="20" t="e">
        <f aca="false">VLOOKUP(V3665,Sheet2!Q:R,2,0)</f>
        <v>#N/A</v>
      </c>
      <c r="X3665" s="17" t="n">
        <f aca="false">J3665</f>
        <v>0</v>
      </c>
      <c r="Y3665" s="17" t="e">
        <f aca="false">VLOOKUP(X3665,Sheet2!A:B,2,0)</f>
        <v>#N/A</v>
      </c>
      <c r="Z3665" s="17"/>
      <c r="AA3665" s="17"/>
      <c r="AB3665" s="17" t="s">
        <v>41</v>
      </c>
      <c r="AC3665" s="0" t="str">
        <f aca="false">LEFT(G3665,2)</f>
        <v/>
      </c>
      <c r="AE3665" s="0"/>
    </row>
    <row r="3666" customFormat="false" ht="15" hidden="false" customHeight="false" outlineLevel="0" collapsed="false">
      <c r="A3666" s="13" t="n">
        <f aca="false">1+A3665</f>
        <v>3664</v>
      </c>
      <c r="B3666" s="14" t="n">
        <v>100</v>
      </c>
      <c r="C3666" s="15"/>
      <c r="D3666" s="16" t="s">
        <v>64</v>
      </c>
      <c r="E3666" s="17" t="s">
        <v>47</v>
      </c>
      <c r="F3666" s="18" t="s">
        <v>34</v>
      </c>
      <c r="G3666" s="19"/>
      <c r="H3666" s="17" t="s">
        <v>35</v>
      </c>
      <c r="I3666" s="17" t="s">
        <v>44</v>
      </c>
      <c r="J3666" s="17"/>
      <c r="K3666" s="17" t="e">
        <f aca="false">VLOOKUP(J3666,Sheet2!A:B,2,0)</f>
        <v>#N/A</v>
      </c>
      <c r="L3666" s="17" t="n">
        <v>5</v>
      </c>
      <c r="M3666" s="17" t="str">
        <f aca="false">VLOOKUP(L3666,Sheet2!D:E,2,0)</f>
        <v>Main Processor CPU BGA</v>
      </c>
      <c r="N3666" s="17" t="n">
        <v>1</v>
      </c>
      <c r="O3666" s="17" t="str">
        <f aca="false">VLOOKUP(N3666,Sheet2!G:H,2,0)</f>
        <v>Dead</v>
      </c>
      <c r="P3666" s="17" t="n">
        <v>11</v>
      </c>
      <c r="Q3666" s="17" t="str">
        <f aca="false">VLOOKUP(P3666,Sheet2!J:K,2,0)</f>
        <v>IR Declared due to CID -TA</v>
      </c>
      <c r="R3666" s="17" t="s">
        <v>35</v>
      </c>
      <c r="S3666" s="17" t="str">
        <f aca="false">VLOOKUP(R3666,Sheet2!N:O,2,0)</f>
        <v>IREPARABLE</v>
      </c>
      <c r="T3666" s="18" t="str">
        <f aca="false">VLOOKUP(P3666,Sheet2!Q:R,2,0)</f>
        <v>IR Normal - Track burn out</v>
      </c>
      <c r="U3666" s="20" t="s">
        <v>41</v>
      </c>
      <c r="V3666" s="17"/>
      <c r="W3666" s="20" t="e">
        <f aca="false">VLOOKUP(V3666,Sheet2!Q:R,2,0)</f>
        <v>#N/A</v>
      </c>
      <c r="X3666" s="17" t="n">
        <f aca="false">J3666</f>
        <v>0</v>
      </c>
      <c r="Y3666" s="17" t="e">
        <f aca="false">VLOOKUP(X3666,Sheet2!A:B,2,0)</f>
        <v>#N/A</v>
      </c>
      <c r="Z3666" s="17"/>
      <c r="AA3666" s="17"/>
      <c r="AB3666" s="17" t="s">
        <v>41</v>
      </c>
      <c r="AC3666" s="0" t="str">
        <f aca="false">LEFT(G3666,2)</f>
        <v/>
      </c>
      <c r="AE3666" s="0"/>
    </row>
    <row r="3667" customFormat="false" ht="15" hidden="false" customHeight="false" outlineLevel="0" collapsed="false">
      <c r="A3667" s="13" t="n">
        <f aca="false">1+A3666</f>
        <v>3665</v>
      </c>
      <c r="B3667" s="14" t="n">
        <v>100</v>
      </c>
      <c r="C3667" s="15"/>
      <c r="D3667" s="16" t="s">
        <v>64</v>
      </c>
      <c r="E3667" s="17" t="s">
        <v>47</v>
      </c>
      <c r="F3667" s="18" t="s">
        <v>34</v>
      </c>
      <c r="G3667" s="19"/>
      <c r="H3667" s="17" t="s">
        <v>35</v>
      </c>
      <c r="I3667" s="17" t="s">
        <v>44</v>
      </c>
      <c r="J3667" s="17"/>
      <c r="K3667" s="17" t="e">
        <f aca="false">VLOOKUP(J3667,Sheet2!A:B,2,0)</f>
        <v>#N/A</v>
      </c>
      <c r="L3667" s="17" t="n">
        <v>5</v>
      </c>
      <c r="M3667" s="17" t="str">
        <f aca="false">VLOOKUP(L3667,Sheet2!D:E,2,0)</f>
        <v>Main Processor CPU BGA</v>
      </c>
      <c r="N3667" s="17" t="n">
        <v>1</v>
      </c>
      <c r="O3667" s="17" t="str">
        <f aca="false">VLOOKUP(N3667,Sheet2!G:H,2,0)</f>
        <v>Dead</v>
      </c>
      <c r="P3667" s="17" t="n">
        <v>11</v>
      </c>
      <c r="Q3667" s="17" t="str">
        <f aca="false">VLOOKUP(P3667,Sheet2!J:K,2,0)</f>
        <v>IR Declared due to CID -TA</v>
      </c>
      <c r="R3667" s="17" t="s">
        <v>35</v>
      </c>
      <c r="S3667" s="17" t="str">
        <f aca="false">VLOOKUP(R3667,Sheet2!N:O,2,0)</f>
        <v>IREPARABLE</v>
      </c>
      <c r="T3667" s="18" t="str">
        <f aca="false">VLOOKUP(P3667,Sheet2!Q:R,2,0)</f>
        <v>IR Normal - Track burn out</v>
      </c>
      <c r="U3667" s="20" t="s">
        <v>41</v>
      </c>
      <c r="V3667" s="17"/>
      <c r="W3667" s="20" t="e">
        <f aca="false">VLOOKUP(V3667,Sheet2!Q:R,2,0)</f>
        <v>#N/A</v>
      </c>
      <c r="X3667" s="17" t="n">
        <f aca="false">J3667</f>
        <v>0</v>
      </c>
      <c r="Y3667" s="17" t="e">
        <f aca="false">VLOOKUP(X3667,Sheet2!A:B,2,0)</f>
        <v>#N/A</v>
      </c>
      <c r="Z3667" s="17"/>
      <c r="AA3667" s="17"/>
      <c r="AB3667" s="17" t="s">
        <v>41</v>
      </c>
      <c r="AC3667" s="0" t="str">
        <f aca="false">LEFT(G3667,2)</f>
        <v/>
      </c>
      <c r="AE3667" s="0"/>
    </row>
    <row r="3668" customFormat="false" ht="15" hidden="false" customHeight="false" outlineLevel="0" collapsed="false">
      <c r="A3668" s="13" t="n">
        <f aca="false">1+A3667</f>
        <v>3666</v>
      </c>
      <c r="B3668" s="14" t="n">
        <v>100</v>
      </c>
      <c r="C3668" s="15"/>
      <c r="D3668" s="16" t="s">
        <v>64</v>
      </c>
      <c r="E3668" s="17" t="s">
        <v>47</v>
      </c>
      <c r="F3668" s="18" t="s">
        <v>34</v>
      </c>
      <c r="G3668" s="19"/>
      <c r="H3668" s="17" t="s">
        <v>35</v>
      </c>
      <c r="I3668" s="17" t="s">
        <v>44</v>
      </c>
      <c r="J3668" s="17"/>
      <c r="K3668" s="17" t="e">
        <f aca="false">VLOOKUP(J3668,Sheet2!A:B,2,0)</f>
        <v>#N/A</v>
      </c>
      <c r="L3668" s="17" t="n">
        <v>5</v>
      </c>
      <c r="M3668" s="17" t="str">
        <f aca="false">VLOOKUP(L3668,Sheet2!D:E,2,0)</f>
        <v>Main Processor CPU BGA</v>
      </c>
      <c r="N3668" s="17" t="n">
        <v>1</v>
      </c>
      <c r="O3668" s="17" t="str">
        <f aca="false">VLOOKUP(N3668,Sheet2!G:H,2,0)</f>
        <v>Dead</v>
      </c>
      <c r="P3668" s="17" t="n">
        <v>11</v>
      </c>
      <c r="Q3668" s="17" t="str">
        <f aca="false">VLOOKUP(P3668,Sheet2!J:K,2,0)</f>
        <v>IR Declared due to CID -TA</v>
      </c>
      <c r="R3668" s="17" t="s">
        <v>35</v>
      </c>
      <c r="S3668" s="17" t="str">
        <f aca="false">VLOOKUP(R3668,Sheet2!N:O,2,0)</f>
        <v>IREPARABLE</v>
      </c>
      <c r="T3668" s="18" t="str">
        <f aca="false">VLOOKUP(P3668,Sheet2!Q:R,2,0)</f>
        <v>IR Normal - Track burn out</v>
      </c>
      <c r="U3668" s="20" t="s">
        <v>41</v>
      </c>
      <c r="V3668" s="17"/>
      <c r="W3668" s="20" t="e">
        <f aca="false">VLOOKUP(V3668,Sheet2!Q:R,2,0)</f>
        <v>#N/A</v>
      </c>
      <c r="X3668" s="17" t="n">
        <f aca="false">J3668</f>
        <v>0</v>
      </c>
      <c r="Y3668" s="17" t="e">
        <f aca="false">VLOOKUP(X3668,Sheet2!A:B,2,0)</f>
        <v>#N/A</v>
      </c>
      <c r="Z3668" s="17"/>
      <c r="AA3668" s="17"/>
      <c r="AB3668" s="17" t="s">
        <v>41</v>
      </c>
      <c r="AC3668" s="0" t="str">
        <f aca="false">LEFT(G3668,2)</f>
        <v/>
      </c>
      <c r="AE3668" s="0"/>
    </row>
    <row r="3669" customFormat="false" ht="15" hidden="false" customHeight="false" outlineLevel="0" collapsed="false">
      <c r="A3669" s="13" t="n">
        <f aca="false">1+A3668</f>
        <v>3667</v>
      </c>
      <c r="B3669" s="14" t="n">
        <v>100</v>
      </c>
      <c r="C3669" s="15"/>
      <c r="D3669" s="16" t="s">
        <v>64</v>
      </c>
      <c r="E3669" s="17" t="s">
        <v>47</v>
      </c>
      <c r="F3669" s="18" t="s">
        <v>34</v>
      </c>
      <c r="G3669" s="19"/>
      <c r="H3669" s="17" t="s">
        <v>35</v>
      </c>
      <c r="I3669" s="17" t="s">
        <v>44</v>
      </c>
      <c r="J3669" s="17"/>
      <c r="K3669" s="17" t="e">
        <f aca="false">VLOOKUP(J3669,Sheet2!A:B,2,0)</f>
        <v>#N/A</v>
      </c>
      <c r="L3669" s="17" t="n">
        <v>5</v>
      </c>
      <c r="M3669" s="17" t="str">
        <f aca="false">VLOOKUP(L3669,Sheet2!D:E,2,0)</f>
        <v>Main Processor CPU BGA</v>
      </c>
      <c r="N3669" s="17" t="n">
        <v>1</v>
      </c>
      <c r="O3669" s="17" t="str">
        <f aca="false">VLOOKUP(N3669,Sheet2!G:H,2,0)</f>
        <v>Dead</v>
      </c>
      <c r="P3669" s="17" t="n">
        <v>11</v>
      </c>
      <c r="Q3669" s="17" t="str">
        <f aca="false">VLOOKUP(P3669,Sheet2!J:K,2,0)</f>
        <v>IR Declared due to CID -TA</v>
      </c>
      <c r="R3669" s="17" t="s">
        <v>35</v>
      </c>
      <c r="S3669" s="17" t="str">
        <f aca="false">VLOOKUP(R3669,Sheet2!N:O,2,0)</f>
        <v>IREPARABLE</v>
      </c>
      <c r="T3669" s="18" t="str">
        <f aca="false">VLOOKUP(P3669,Sheet2!Q:R,2,0)</f>
        <v>IR Normal - Track burn out</v>
      </c>
      <c r="U3669" s="20" t="s">
        <v>41</v>
      </c>
      <c r="V3669" s="17"/>
      <c r="W3669" s="20" t="e">
        <f aca="false">VLOOKUP(V3669,Sheet2!Q:R,2,0)</f>
        <v>#N/A</v>
      </c>
      <c r="X3669" s="17" t="n">
        <f aca="false">J3669</f>
        <v>0</v>
      </c>
      <c r="Y3669" s="17" t="e">
        <f aca="false">VLOOKUP(X3669,Sheet2!A:B,2,0)</f>
        <v>#N/A</v>
      </c>
      <c r="Z3669" s="17"/>
      <c r="AA3669" s="17"/>
      <c r="AB3669" s="17" t="s">
        <v>41</v>
      </c>
      <c r="AC3669" s="0" t="str">
        <f aca="false">LEFT(G3669,2)</f>
        <v/>
      </c>
      <c r="AE3669" s="0"/>
    </row>
    <row r="3670" customFormat="false" ht="15" hidden="false" customHeight="false" outlineLevel="0" collapsed="false">
      <c r="A3670" s="13" t="n">
        <f aca="false">1+A3669</f>
        <v>3668</v>
      </c>
      <c r="B3670" s="14" t="n">
        <v>100</v>
      </c>
      <c r="C3670" s="15"/>
      <c r="D3670" s="16" t="s">
        <v>64</v>
      </c>
      <c r="E3670" s="17" t="s">
        <v>47</v>
      </c>
      <c r="F3670" s="18" t="s">
        <v>34</v>
      </c>
      <c r="G3670" s="19"/>
      <c r="H3670" s="17" t="s">
        <v>35</v>
      </c>
      <c r="I3670" s="17" t="s">
        <v>44</v>
      </c>
      <c r="J3670" s="17"/>
      <c r="K3670" s="17" t="e">
        <f aca="false">VLOOKUP(J3670,Sheet2!A:B,2,0)</f>
        <v>#N/A</v>
      </c>
      <c r="L3670" s="17" t="n">
        <v>5</v>
      </c>
      <c r="M3670" s="17" t="str">
        <f aca="false">VLOOKUP(L3670,Sheet2!D:E,2,0)</f>
        <v>Main Processor CPU BGA</v>
      </c>
      <c r="N3670" s="17" t="n">
        <v>1</v>
      </c>
      <c r="O3670" s="17" t="str">
        <f aca="false">VLOOKUP(N3670,Sheet2!G:H,2,0)</f>
        <v>Dead</v>
      </c>
      <c r="P3670" s="17" t="n">
        <v>11</v>
      </c>
      <c r="Q3670" s="17" t="str">
        <f aca="false">VLOOKUP(P3670,Sheet2!J:K,2,0)</f>
        <v>IR Declared due to CID -TA</v>
      </c>
      <c r="R3670" s="17" t="s">
        <v>35</v>
      </c>
      <c r="S3670" s="17" t="str">
        <f aca="false">VLOOKUP(R3670,Sheet2!N:O,2,0)</f>
        <v>IREPARABLE</v>
      </c>
      <c r="T3670" s="18" t="str">
        <f aca="false">VLOOKUP(P3670,Sheet2!Q:R,2,0)</f>
        <v>IR Normal - Track burn out</v>
      </c>
      <c r="U3670" s="20" t="s">
        <v>41</v>
      </c>
      <c r="V3670" s="17"/>
      <c r="W3670" s="20" t="e">
        <f aca="false">VLOOKUP(V3670,Sheet2!Q:R,2,0)</f>
        <v>#N/A</v>
      </c>
      <c r="X3670" s="17" t="n">
        <f aca="false">J3670</f>
        <v>0</v>
      </c>
      <c r="Y3670" s="17" t="e">
        <f aca="false">VLOOKUP(X3670,Sheet2!A:B,2,0)</f>
        <v>#N/A</v>
      </c>
      <c r="Z3670" s="17"/>
      <c r="AA3670" s="17"/>
      <c r="AB3670" s="17" t="s">
        <v>41</v>
      </c>
      <c r="AC3670" s="0" t="str">
        <f aca="false">LEFT(G3670,2)</f>
        <v/>
      </c>
      <c r="AE3670" s="0"/>
    </row>
    <row r="3671" customFormat="false" ht="15" hidden="false" customHeight="false" outlineLevel="0" collapsed="false">
      <c r="A3671" s="13" t="n">
        <f aca="false">1+A3670</f>
        <v>3669</v>
      </c>
      <c r="B3671" s="14" t="n">
        <v>100</v>
      </c>
      <c r="C3671" s="15"/>
      <c r="D3671" s="16" t="s">
        <v>64</v>
      </c>
      <c r="E3671" s="17" t="s">
        <v>47</v>
      </c>
      <c r="F3671" s="18" t="s">
        <v>34</v>
      </c>
      <c r="G3671" s="19"/>
      <c r="H3671" s="17" t="s">
        <v>35</v>
      </c>
      <c r="I3671" s="17" t="s">
        <v>44</v>
      </c>
      <c r="J3671" s="17"/>
      <c r="K3671" s="17" t="e">
        <f aca="false">VLOOKUP(J3671,Sheet2!A:B,2,0)</f>
        <v>#N/A</v>
      </c>
      <c r="L3671" s="17" t="n">
        <v>5</v>
      </c>
      <c r="M3671" s="17" t="str">
        <f aca="false">VLOOKUP(L3671,Sheet2!D:E,2,0)</f>
        <v>Main Processor CPU BGA</v>
      </c>
      <c r="N3671" s="17" t="n">
        <v>1</v>
      </c>
      <c r="O3671" s="17" t="str">
        <f aca="false">VLOOKUP(N3671,Sheet2!G:H,2,0)</f>
        <v>Dead</v>
      </c>
      <c r="P3671" s="17" t="n">
        <v>11</v>
      </c>
      <c r="Q3671" s="17" t="str">
        <f aca="false">VLOOKUP(P3671,Sheet2!J:K,2,0)</f>
        <v>IR Declared due to CID -TA</v>
      </c>
      <c r="R3671" s="17" t="s">
        <v>35</v>
      </c>
      <c r="S3671" s="17" t="str">
        <f aca="false">VLOOKUP(R3671,Sheet2!N:O,2,0)</f>
        <v>IREPARABLE</v>
      </c>
      <c r="T3671" s="18" t="str">
        <f aca="false">VLOOKUP(P3671,Sheet2!Q:R,2,0)</f>
        <v>IR Normal - Track burn out</v>
      </c>
      <c r="U3671" s="20" t="s">
        <v>41</v>
      </c>
      <c r="V3671" s="17"/>
      <c r="W3671" s="20" t="e">
        <f aca="false">VLOOKUP(V3671,Sheet2!Q:R,2,0)</f>
        <v>#N/A</v>
      </c>
      <c r="X3671" s="17" t="n">
        <f aca="false">J3671</f>
        <v>0</v>
      </c>
      <c r="Y3671" s="17" t="e">
        <f aca="false">VLOOKUP(X3671,Sheet2!A:B,2,0)</f>
        <v>#N/A</v>
      </c>
      <c r="Z3671" s="17"/>
      <c r="AA3671" s="17"/>
      <c r="AB3671" s="17" t="s">
        <v>41</v>
      </c>
      <c r="AC3671" s="0" t="str">
        <f aca="false">LEFT(G3671,2)</f>
        <v/>
      </c>
      <c r="AE3671" s="0"/>
    </row>
    <row r="3672" customFormat="false" ht="15" hidden="false" customHeight="false" outlineLevel="0" collapsed="false">
      <c r="A3672" s="13" t="n">
        <f aca="false">1+A3671</f>
        <v>3670</v>
      </c>
      <c r="B3672" s="14" t="n">
        <v>100</v>
      </c>
      <c r="C3672" s="15"/>
      <c r="D3672" s="16" t="s">
        <v>64</v>
      </c>
      <c r="E3672" s="17" t="s">
        <v>47</v>
      </c>
      <c r="F3672" s="18" t="s">
        <v>34</v>
      </c>
      <c r="G3672" s="19"/>
      <c r="H3672" s="17" t="s">
        <v>35</v>
      </c>
      <c r="I3672" s="17" t="s">
        <v>44</v>
      </c>
      <c r="J3672" s="17"/>
      <c r="K3672" s="17" t="e">
        <f aca="false">VLOOKUP(J3672,Sheet2!A:B,2,0)</f>
        <v>#N/A</v>
      </c>
      <c r="L3672" s="17" t="n">
        <v>5</v>
      </c>
      <c r="M3672" s="17" t="str">
        <f aca="false">VLOOKUP(L3672,Sheet2!D:E,2,0)</f>
        <v>Main Processor CPU BGA</v>
      </c>
      <c r="N3672" s="17" t="n">
        <v>1</v>
      </c>
      <c r="O3672" s="17" t="str">
        <f aca="false">VLOOKUP(N3672,Sheet2!G:H,2,0)</f>
        <v>Dead</v>
      </c>
      <c r="P3672" s="17" t="n">
        <v>11</v>
      </c>
      <c r="Q3672" s="17" t="str">
        <f aca="false">VLOOKUP(P3672,Sheet2!J:K,2,0)</f>
        <v>IR Declared due to CID -TA</v>
      </c>
      <c r="R3672" s="17" t="s">
        <v>35</v>
      </c>
      <c r="S3672" s="17" t="str">
        <f aca="false">VLOOKUP(R3672,Sheet2!N:O,2,0)</f>
        <v>IREPARABLE</v>
      </c>
      <c r="T3672" s="18" t="str">
        <f aca="false">VLOOKUP(P3672,Sheet2!Q:R,2,0)</f>
        <v>IR Normal - Track burn out</v>
      </c>
      <c r="U3672" s="20" t="s">
        <v>41</v>
      </c>
      <c r="V3672" s="17"/>
      <c r="W3672" s="20" t="e">
        <f aca="false">VLOOKUP(V3672,Sheet2!Q:R,2,0)</f>
        <v>#N/A</v>
      </c>
      <c r="X3672" s="17" t="n">
        <f aca="false">J3672</f>
        <v>0</v>
      </c>
      <c r="Y3672" s="17" t="e">
        <f aca="false">VLOOKUP(X3672,Sheet2!A:B,2,0)</f>
        <v>#N/A</v>
      </c>
      <c r="Z3672" s="17"/>
      <c r="AA3672" s="17"/>
      <c r="AB3672" s="17" t="s">
        <v>41</v>
      </c>
      <c r="AC3672" s="0" t="str">
        <f aca="false">LEFT(G3672,2)</f>
        <v/>
      </c>
      <c r="AE3672" s="0"/>
    </row>
    <row r="3673" customFormat="false" ht="15" hidden="false" customHeight="false" outlineLevel="0" collapsed="false">
      <c r="A3673" s="13" t="n">
        <f aca="false">1+A3672</f>
        <v>3671</v>
      </c>
      <c r="B3673" s="14" t="n">
        <v>100</v>
      </c>
      <c r="C3673" s="15"/>
      <c r="D3673" s="16" t="s">
        <v>64</v>
      </c>
      <c r="E3673" s="17" t="s">
        <v>47</v>
      </c>
      <c r="F3673" s="18" t="s">
        <v>34</v>
      </c>
      <c r="G3673" s="19"/>
      <c r="H3673" s="17" t="s">
        <v>35</v>
      </c>
      <c r="I3673" s="17" t="s">
        <v>44</v>
      </c>
      <c r="J3673" s="17"/>
      <c r="K3673" s="17" t="e">
        <f aca="false">VLOOKUP(J3673,Sheet2!A:B,2,0)</f>
        <v>#N/A</v>
      </c>
      <c r="L3673" s="17" t="n">
        <v>5</v>
      </c>
      <c r="M3673" s="17" t="str">
        <f aca="false">VLOOKUP(L3673,Sheet2!D:E,2,0)</f>
        <v>Main Processor CPU BGA</v>
      </c>
      <c r="N3673" s="17" t="n">
        <v>1</v>
      </c>
      <c r="O3673" s="17" t="str">
        <f aca="false">VLOOKUP(N3673,Sheet2!G:H,2,0)</f>
        <v>Dead</v>
      </c>
      <c r="P3673" s="17" t="n">
        <v>11</v>
      </c>
      <c r="Q3673" s="17" t="str">
        <f aca="false">VLOOKUP(P3673,Sheet2!J:K,2,0)</f>
        <v>IR Declared due to CID -TA</v>
      </c>
      <c r="R3673" s="17" t="s">
        <v>35</v>
      </c>
      <c r="S3673" s="17" t="str">
        <f aca="false">VLOOKUP(R3673,Sheet2!N:O,2,0)</f>
        <v>IREPARABLE</v>
      </c>
      <c r="T3673" s="18" t="str">
        <f aca="false">VLOOKUP(P3673,Sheet2!Q:R,2,0)</f>
        <v>IR Normal - Track burn out</v>
      </c>
      <c r="U3673" s="20" t="s">
        <v>41</v>
      </c>
      <c r="V3673" s="17"/>
      <c r="W3673" s="20" t="e">
        <f aca="false">VLOOKUP(V3673,Sheet2!Q:R,2,0)</f>
        <v>#N/A</v>
      </c>
      <c r="X3673" s="17" t="n">
        <f aca="false">J3673</f>
        <v>0</v>
      </c>
      <c r="Y3673" s="17" t="e">
        <f aca="false">VLOOKUP(X3673,Sheet2!A:B,2,0)</f>
        <v>#N/A</v>
      </c>
      <c r="Z3673" s="17"/>
      <c r="AA3673" s="17"/>
      <c r="AB3673" s="17" t="s">
        <v>41</v>
      </c>
      <c r="AC3673" s="0" t="str">
        <f aca="false">LEFT(G3673,2)</f>
        <v/>
      </c>
      <c r="AE3673" s="0"/>
    </row>
    <row r="3674" customFormat="false" ht="15" hidden="false" customHeight="false" outlineLevel="0" collapsed="false">
      <c r="A3674" s="13" t="n">
        <f aca="false">1+A3673</f>
        <v>3672</v>
      </c>
      <c r="B3674" s="14" t="n">
        <v>100</v>
      </c>
      <c r="C3674" s="15"/>
      <c r="D3674" s="16" t="s">
        <v>64</v>
      </c>
      <c r="E3674" s="17" t="s">
        <v>47</v>
      </c>
      <c r="F3674" s="18" t="s">
        <v>34</v>
      </c>
      <c r="G3674" s="19"/>
      <c r="H3674" s="17" t="s">
        <v>35</v>
      </c>
      <c r="I3674" s="17" t="s">
        <v>44</v>
      </c>
      <c r="J3674" s="17"/>
      <c r="K3674" s="17" t="e">
        <f aca="false">VLOOKUP(J3674,Sheet2!A:B,2,0)</f>
        <v>#N/A</v>
      </c>
      <c r="L3674" s="17" t="n">
        <v>5</v>
      </c>
      <c r="M3674" s="17" t="str">
        <f aca="false">VLOOKUP(L3674,Sheet2!D:E,2,0)</f>
        <v>Main Processor CPU BGA</v>
      </c>
      <c r="N3674" s="17" t="n">
        <v>1</v>
      </c>
      <c r="O3674" s="17" t="str">
        <f aca="false">VLOOKUP(N3674,Sheet2!G:H,2,0)</f>
        <v>Dead</v>
      </c>
      <c r="P3674" s="17" t="n">
        <v>11</v>
      </c>
      <c r="Q3674" s="17" t="str">
        <f aca="false">VLOOKUP(P3674,Sheet2!J:K,2,0)</f>
        <v>IR Declared due to CID -TA</v>
      </c>
      <c r="R3674" s="17" t="s">
        <v>35</v>
      </c>
      <c r="S3674" s="17" t="str">
        <f aca="false">VLOOKUP(R3674,Sheet2!N:O,2,0)</f>
        <v>IREPARABLE</v>
      </c>
      <c r="T3674" s="18" t="str">
        <f aca="false">VLOOKUP(P3674,Sheet2!Q:R,2,0)</f>
        <v>IR Normal - Track burn out</v>
      </c>
      <c r="U3674" s="20" t="s">
        <v>41</v>
      </c>
      <c r="V3674" s="17"/>
      <c r="W3674" s="20" t="e">
        <f aca="false">VLOOKUP(V3674,Sheet2!Q:R,2,0)</f>
        <v>#N/A</v>
      </c>
      <c r="X3674" s="17" t="n">
        <f aca="false">J3674</f>
        <v>0</v>
      </c>
      <c r="Y3674" s="17" t="e">
        <f aca="false">VLOOKUP(X3674,Sheet2!A:B,2,0)</f>
        <v>#N/A</v>
      </c>
      <c r="Z3674" s="17"/>
      <c r="AA3674" s="17"/>
      <c r="AB3674" s="17" t="s">
        <v>41</v>
      </c>
      <c r="AC3674" s="0" t="str">
        <f aca="false">LEFT(G3674,2)</f>
        <v/>
      </c>
      <c r="AE3674" s="0"/>
    </row>
    <row r="3675" customFormat="false" ht="15" hidden="false" customHeight="false" outlineLevel="0" collapsed="false">
      <c r="A3675" s="13" t="n">
        <f aca="false">1+A3674</f>
        <v>3673</v>
      </c>
      <c r="B3675" s="14" t="n">
        <v>100</v>
      </c>
      <c r="C3675" s="15"/>
      <c r="D3675" s="16" t="s">
        <v>64</v>
      </c>
      <c r="E3675" s="17" t="s">
        <v>47</v>
      </c>
      <c r="F3675" s="18" t="s">
        <v>34</v>
      </c>
      <c r="G3675" s="19"/>
      <c r="H3675" s="17" t="s">
        <v>35</v>
      </c>
      <c r="I3675" s="17" t="s">
        <v>44</v>
      </c>
      <c r="J3675" s="17"/>
      <c r="K3675" s="17" t="e">
        <f aca="false">VLOOKUP(J3675,Sheet2!A:B,2,0)</f>
        <v>#N/A</v>
      </c>
      <c r="L3675" s="17" t="n">
        <v>5</v>
      </c>
      <c r="M3675" s="17" t="str">
        <f aca="false">VLOOKUP(L3675,Sheet2!D:E,2,0)</f>
        <v>Main Processor CPU BGA</v>
      </c>
      <c r="N3675" s="17" t="n">
        <v>1</v>
      </c>
      <c r="O3675" s="17" t="str">
        <f aca="false">VLOOKUP(N3675,Sheet2!G:H,2,0)</f>
        <v>Dead</v>
      </c>
      <c r="P3675" s="17" t="n">
        <v>11</v>
      </c>
      <c r="Q3675" s="17" t="str">
        <f aca="false">VLOOKUP(P3675,Sheet2!J:K,2,0)</f>
        <v>IR Declared due to CID -TA</v>
      </c>
      <c r="R3675" s="17" t="s">
        <v>35</v>
      </c>
      <c r="S3675" s="17" t="str">
        <f aca="false">VLOOKUP(R3675,Sheet2!N:O,2,0)</f>
        <v>IREPARABLE</v>
      </c>
      <c r="T3675" s="18" t="str">
        <f aca="false">VLOOKUP(P3675,Sheet2!Q:R,2,0)</f>
        <v>IR Normal - Track burn out</v>
      </c>
      <c r="U3675" s="20" t="s">
        <v>41</v>
      </c>
      <c r="V3675" s="17"/>
      <c r="W3675" s="20" t="e">
        <f aca="false">VLOOKUP(V3675,Sheet2!Q:R,2,0)</f>
        <v>#N/A</v>
      </c>
      <c r="X3675" s="17" t="n">
        <f aca="false">J3675</f>
        <v>0</v>
      </c>
      <c r="Y3675" s="17" t="e">
        <f aca="false">VLOOKUP(X3675,Sheet2!A:B,2,0)</f>
        <v>#N/A</v>
      </c>
      <c r="Z3675" s="17"/>
      <c r="AA3675" s="17"/>
      <c r="AB3675" s="17" t="s">
        <v>41</v>
      </c>
      <c r="AC3675" s="0" t="str">
        <f aca="false">LEFT(G3675,2)</f>
        <v/>
      </c>
      <c r="AE3675" s="0"/>
    </row>
    <row r="3676" customFormat="false" ht="15" hidden="false" customHeight="false" outlineLevel="0" collapsed="false">
      <c r="A3676" s="13" t="n">
        <f aca="false">1+A3675</f>
        <v>3674</v>
      </c>
      <c r="B3676" s="14" t="n">
        <v>100</v>
      </c>
      <c r="C3676" s="15"/>
      <c r="D3676" s="16" t="s">
        <v>64</v>
      </c>
      <c r="E3676" s="17" t="s">
        <v>47</v>
      </c>
      <c r="F3676" s="18" t="s">
        <v>34</v>
      </c>
      <c r="G3676" s="19"/>
      <c r="H3676" s="17" t="s">
        <v>35</v>
      </c>
      <c r="I3676" s="17" t="s">
        <v>44</v>
      </c>
      <c r="J3676" s="17"/>
      <c r="K3676" s="17" t="e">
        <f aca="false">VLOOKUP(J3676,Sheet2!A:B,2,0)</f>
        <v>#N/A</v>
      </c>
      <c r="L3676" s="17" t="n">
        <v>5</v>
      </c>
      <c r="M3676" s="17" t="str">
        <f aca="false">VLOOKUP(L3676,Sheet2!D:E,2,0)</f>
        <v>Main Processor CPU BGA</v>
      </c>
      <c r="N3676" s="17" t="n">
        <v>1</v>
      </c>
      <c r="O3676" s="17" t="str">
        <f aca="false">VLOOKUP(N3676,Sheet2!G:H,2,0)</f>
        <v>Dead</v>
      </c>
      <c r="P3676" s="17" t="n">
        <v>11</v>
      </c>
      <c r="Q3676" s="17" t="str">
        <f aca="false">VLOOKUP(P3676,Sheet2!J:K,2,0)</f>
        <v>IR Declared due to CID -TA</v>
      </c>
      <c r="R3676" s="17" t="s">
        <v>35</v>
      </c>
      <c r="S3676" s="17" t="str">
        <f aca="false">VLOOKUP(R3676,Sheet2!N:O,2,0)</f>
        <v>IREPARABLE</v>
      </c>
      <c r="T3676" s="18" t="str">
        <f aca="false">VLOOKUP(P3676,Sheet2!Q:R,2,0)</f>
        <v>IR Normal - Track burn out</v>
      </c>
      <c r="U3676" s="20" t="s">
        <v>41</v>
      </c>
      <c r="V3676" s="17"/>
      <c r="W3676" s="20" t="e">
        <f aca="false">VLOOKUP(V3676,Sheet2!Q:R,2,0)</f>
        <v>#N/A</v>
      </c>
      <c r="X3676" s="17" t="n">
        <f aca="false">J3676</f>
        <v>0</v>
      </c>
      <c r="Y3676" s="17" t="e">
        <f aca="false">VLOOKUP(X3676,Sheet2!A:B,2,0)</f>
        <v>#N/A</v>
      </c>
      <c r="Z3676" s="17"/>
      <c r="AA3676" s="17"/>
      <c r="AB3676" s="17" t="s">
        <v>41</v>
      </c>
      <c r="AC3676" s="0" t="str">
        <f aca="false">LEFT(G3676,2)</f>
        <v/>
      </c>
      <c r="AE3676" s="0"/>
    </row>
    <row r="3677" customFormat="false" ht="15" hidden="false" customHeight="false" outlineLevel="0" collapsed="false">
      <c r="A3677" s="13" t="n">
        <f aca="false">1+A3676</f>
        <v>3675</v>
      </c>
      <c r="B3677" s="14" t="n">
        <v>100</v>
      </c>
      <c r="C3677" s="15"/>
      <c r="D3677" s="16" t="s">
        <v>64</v>
      </c>
      <c r="E3677" s="17" t="s">
        <v>47</v>
      </c>
      <c r="F3677" s="18" t="s">
        <v>34</v>
      </c>
      <c r="G3677" s="19"/>
      <c r="H3677" s="17" t="s">
        <v>35</v>
      </c>
      <c r="I3677" s="17" t="s">
        <v>44</v>
      </c>
      <c r="J3677" s="17"/>
      <c r="K3677" s="17" t="e">
        <f aca="false">VLOOKUP(J3677,Sheet2!A:B,2,0)</f>
        <v>#N/A</v>
      </c>
      <c r="L3677" s="17" t="n">
        <v>5</v>
      </c>
      <c r="M3677" s="17" t="str">
        <f aca="false">VLOOKUP(L3677,Sheet2!D:E,2,0)</f>
        <v>Main Processor CPU BGA</v>
      </c>
      <c r="N3677" s="17" t="n">
        <v>1</v>
      </c>
      <c r="O3677" s="17" t="str">
        <f aca="false">VLOOKUP(N3677,Sheet2!G:H,2,0)</f>
        <v>Dead</v>
      </c>
      <c r="P3677" s="17" t="n">
        <v>11</v>
      </c>
      <c r="Q3677" s="17" t="str">
        <f aca="false">VLOOKUP(P3677,Sheet2!J:K,2,0)</f>
        <v>IR Declared due to CID -TA</v>
      </c>
      <c r="R3677" s="17" t="s">
        <v>35</v>
      </c>
      <c r="S3677" s="17" t="str">
        <f aca="false">VLOOKUP(R3677,Sheet2!N:O,2,0)</f>
        <v>IREPARABLE</v>
      </c>
      <c r="T3677" s="18" t="str">
        <f aca="false">VLOOKUP(P3677,Sheet2!Q:R,2,0)</f>
        <v>IR Normal - Track burn out</v>
      </c>
      <c r="U3677" s="20" t="s">
        <v>41</v>
      </c>
      <c r="V3677" s="17"/>
      <c r="W3677" s="20" t="e">
        <f aca="false">VLOOKUP(V3677,Sheet2!Q:R,2,0)</f>
        <v>#N/A</v>
      </c>
      <c r="X3677" s="17" t="n">
        <f aca="false">J3677</f>
        <v>0</v>
      </c>
      <c r="Y3677" s="17" t="e">
        <f aca="false">VLOOKUP(X3677,Sheet2!A:B,2,0)</f>
        <v>#N/A</v>
      </c>
      <c r="Z3677" s="17"/>
      <c r="AA3677" s="17"/>
      <c r="AB3677" s="17" t="s">
        <v>41</v>
      </c>
      <c r="AC3677" s="0" t="str">
        <f aca="false">LEFT(G3677,2)</f>
        <v/>
      </c>
      <c r="AE3677" s="0"/>
    </row>
    <row r="3678" customFormat="false" ht="15" hidden="false" customHeight="false" outlineLevel="0" collapsed="false">
      <c r="A3678" s="13" t="n">
        <f aca="false">1+A3677</f>
        <v>3676</v>
      </c>
      <c r="B3678" s="14" t="n">
        <v>100</v>
      </c>
      <c r="C3678" s="15"/>
      <c r="D3678" s="16" t="s">
        <v>64</v>
      </c>
      <c r="E3678" s="17" t="s">
        <v>47</v>
      </c>
      <c r="F3678" s="18" t="s">
        <v>34</v>
      </c>
      <c r="G3678" s="19"/>
      <c r="H3678" s="17" t="s">
        <v>35</v>
      </c>
      <c r="I3678" s="17" t="s">
        <v>44</v>
      </c>
      <c r="J3678" s="17"/>
      <c r="K3678" s="17" t="e">
        <f aca="false">VLOOKUP(J3678,Sheet2!A:B,2,0)</f>
        <v>#N/A</v>
      </c>
      <c r="L3678" s="17" t="n">
        <v>5</v>
      </c>
      <c r="M3678" s="17" t="str">
        <f aca="false">VLOOKUP(L3678,Sheet2!D:E,2,0)</f>
        <v>Main Processor CPU BGA</v>
      </c>
      <c r="N3678" s="17" t="n">
        <v>1</v>
      </c>
      <c r="O3678" s="17" t="str">
        <f aca="false">VLOOKUP(N3678,Sheet2!G:H,2,0)</f>
        <v>Dead</v>
      </c>
      <c r="P3678" s="17" t="n">
        <v>11</v>
      </c>
      <c r="Q3678" s="17" t="str">
        <f aca="false">VLOOKUP(P3678,Sheet2!J:K,2,0)</f>
        <v>IR Declared due to CID -TA</v>
      </c>
      <c r="R3678" s="17" t="s">
        <v>35</v>
      </c>
      <c r="S3678" s="17" t="str">
        <f aca="false">VLOOKUP(R3678,Sheet2!N:O,2,0)</f>
        <v>IREPARABLE</v>
      </c>
      <c r="T3678" s="18" t="str">
        <f aca="false">VLOOKUP(P3678,Sheet2!Q:R,2,0)</f>
        <v>IR Normal - Track burn out</v>
      </c>
      <c r="U3678" s="20" t="s">
        <v>41</v>
      </c>
      <c r="V3678" s="17"/>
      <c r="W3678" s="20" t="e">
        <f aca="false">VLOOKUP(V3678,Sheet2!Q:R,2,0)</f>
        <v>#N/A</v>
      </c>
      <c r="X3678" s="17" t="n">
        <f aca="false">J3678</f>
        <v>0</v>
      </c>
      <c r="Y3678" s="17" t="e">
        <f aca="false">VLOOKUP(X3678,Sheet2!A:B,2,0)</f>
        <v>#N/A</v>
      </c>
      <c r="Z3678" s="17"/>
      <c r="AA3678" s="17"/>
      <c r="AB3678" s="17" t="s">
        <v>41</v>
      </c>
      <c r="AC3678" s="0" t="str">
        <f aca="false">LEFT(G3678,2)</f>
        <v/>
      </c>
      <c r="AE3678" s="0"/>
    </row>
    <row r="3679" customFormat="false" ht="15" hidden="false" customHeight="false" outlineLevel="0" collapsed="false">
      <c r="A3679" s="13" t="n">
        <f aca="false">1+A3678</f>
        <v>3677</v>
      </c>
      <c r="B3679" s="14" t="n">
        <v>100</v>
      </c>
      <c r="C3679" s="15"/>
      <c r="D3679" s="16" t="s">
        <v>64</v>
      </c>
      <c r="E3679" s="17" t="s">
        <v>47</v>
      </c>
      <c r="F3679" s="18" t="s">
        <v>34</v>
      </c>
      <c r="G3679" s="19"/>
      <c r="H3679" s="17" t="s">
        <v>35</v>
      </c>
      <c r="I3679" s="17" t="s">
        <v>44</v>
      </c>
      <c r="J3679" s="17"/>
      <c r="K3679" s="17" t="e">
        <f aca="false">VLOOKUP(J3679,Sheet2!A:B,2,0)</f>
        <v>#N/A</v>
      </c>
      <c r="L3679" s="17" t="n">
        <v>5</v>
      </c>
      <c r="M3679" s="17" t="str">
        <f aca="false">VLOOKUP(L3679,Sheet2!D:E,2,0)</f>
        <v>Main Processor CPU BGA</v>
      </c>
      <c r="N3679" s="17" t="n">
        <v>1</v>
      </c>
      <c r="O3679" s="17" t="str">
        <f aca="false">VLOOKUP(N3679,Sheet2!G:H,2,0)</f>
        <v>Dead</v>
      </c>
      <c r="P3679" s="17" t="n">
        <v>11</v>
      </c>
      <c r="Q3679" s="17" t="str">
        <f aca="false">VLOOKUP(P3679,Sheet2!J:K,2,0)</f>
        <v>IR Declared due to CID -TA</v>
      </c>
      <c r="R3679" s="17" t="s">
        <v>35</v>
      </c>
      <c r="S3679" s="17" t="str">
        <f aca="false">VLOOKUP(R3679,Sheet2!N:O,2,0)</f>
        <v>IREPARABLE</v>
      </c>
      <c r="T3679" s="18" t="str">
        <f aca="false">VLOOKUP(P3679,Sheet2!Q:R,2,0)</f>
        <v>IR Normal - Track burn out</v>
      </c>
      <c r="U3679" s="20" t="s">
        <v>41</v>
      </c>
      <c r="V3679" s="17"/>
      <c r="W3679" s="20" t="e">
        <f aca="false">VLOOKUP(V3679,Sheet2!Q:R,2,0)</f>
        <v>#N/A</v>
      </c>
      <c r="X3679" s="17" t="n">
        <f aca="false">J3679</f>
        <v>0</v>
      </c>
      <c r="Y3679" s="17" t="e">
        <f aca="false">VLOOKUP(X3679,Sheet2!A:B,2,0)</f>
        <v>#N/A</v>
      </c>
      <c r="Z3679" s="17"/>
      <c r="AA3679" s="17"/>
      <c r="AB3679" s="17" t="s">
        <v>41</v>
      </c>
      <c r="AC3679" s="0" t="str">
        <f aca="false">LEFT(G3679,2)</f>
        <v/>
      </c>
      <c r="AE3679" s="0"/>
    </row>
    <row r="3680" customFormat="false" ht="15" hidden="false" customHeight="false" outlineLevel="0" collapsed="false">
      <c r="A3680" s="13" t="n">
        <f aca="false">1+A3679</f>
        <v>3678</v>
      </c>
      <c r="B3680" s="14" t="n">
        <v>100</v>
      </c>
      <c r="C3680" s="15"/>
      <c r="D3680" s="16" t="s">
        <v>64</v>
      </c>
      <c r="E3680" s="17" t="s">
        <v>47</v>
      </c>
      <c r="F3680" s="18" t="s">
        <v>34</v>
      </c>
      <c r="G3680" s="19"/>
      <c r="H3680" s="17" t="s">
        <v>35</v>
      </c>
      <c r="I3680" s="17" t="s">
        <v>44</v>
      </c>
      <c r="J3680" s="17"/>
      <c r="K3680" s="17" t="e">
        <f aca="false">VLOOKUP(J3680,Sheet2!A:B,2,0)</f>
        <v>#N/A</v>
      </c>
      <c r="L3680" s="17" t="n">
        <v>5</v>
      </c>
      <c r="M3680" s="17" t="str">
        <f aca="false">VLOOKUP(L3680,Sheet2!D:E,2,0)</f>
        <v>Main Processor CPU BGA</v>
      </c>
      <c r="N3680" s="17" t="n">
        <v>1</v>
      </c>
      <c r="O3680" s="17" t="str">
        <f aca="false">VLOOKUP(N3680,Sheet2!G:H,2,0)</f>
        <v>Dead</v>
      </c>
      <c r="P3680" s="17" t="n">
        <v>11</v>
      </c>
      <c r="Q3680" s="17" t="str">
        <f aca="false">VLOOKUP(P3680,Sheet2!J:K,2,0)</f>
        <v>IR Declared due to CID -TA</v>
      </c>
      <c r="R3680" s="17" t="s">
        <v>35</v>
      </c>
      <c r="S3680" s="17" t="str">
        <f aca="false">VLOOKUP(R3680,Sheet2!N:O,2,0)</f>
        <v>IREPARABLE</v>
      </c>
      <c r="T3680" s="18" t="str">
        <f aca="false">VLOOKUP(P3680,Sheet2!Q:R,2,0)</f>
        <v>IR Normal - Track burn out</v>
      </c>
      <c r="U3680" s="20" t="s">
        <v>41</v>
      </c>
      <c r="V3680" s="17"/>
      <c r="W3680" s="20" t="e">
        <f aca="false">VLOOKUP(V3680,Sheet2!Q:R,2,0)</f>
        <v>#N/A</v>
      </c>
      <c r="X3680" s="17" t="n">
        <f aca="false">J3680</f>
        <v>0</v>
      </c>
      <c r="Y3680" s="17" t="e">
        <f aca="false">VLOOKUP(X3680,Sheet2!A:B,2,0)</f>
        <v>#N/A</v>
      </c>
      <c r="Z3680" s="17"/>
      <c r="AA3680" s="17"/>
      <c r="AB3680" s="17" t="s">
        <v>41</v>
      </c>
      <c r="AC3680" s="0" t="str">
        <f aca="false">LEFT(G3680,2)</f>
        <v/>
      </c>
      <c r="AE3680" s="0"/>
    </row>
    <row r="3681" customFormat="false" ht="15" hidden="false" customHeight="false" outlineLevel="0" collapsed="false">
      <c r="A3681" s="13" t="n">
        <f aca="false">1+A3680</f>
        <v>3679</v>
      </c>
      <c r="B3681" s="14" t="n">
        <v>100</v>
      </c>
      <c r="C3681" s="15"/>
      <c r="D3681" s="16" t="s">
        <v>64</v>
      </c>
      <c r="E3681" s="17" t="s">
        <v>47</v>
      </c>
      <c r="F3681" s="18" t="s">
        <v>34</v>
      </c>
      <c r="G3681" s="19"/>
      <c r="H3681" s="17" t="s">
        <v>35</v>
      </c>
      <c r="I3681" s="17" t="s">
        <v>44</v>
      </c>
      <c r="J3681" s="17"/>
      <c r="K3681" s="17" t="e">
        <f aca="false">VLOOKUP(J3681,Sheet2!A:B,2,0)</f>
        <v>#N/A</v>
      </c>
      <c r="L3681" s="17" t="n">
        <v>5</v>
      </c>
      <c r="M3681" s="17" t="str">
        <f aca="false">VLOOKUP(L3681,Sheet2!D:E,2,0)</f>
        <v>Main Processor CPU BGA</v>
      </c>
      <c r="N3681" s="17" t="n">
        <v>1</v>
      </c>
      <c r="O3681" s="17" t="str">
        <f aca="false">VLOOKUP(N3681,Sheet2!G:H,2,0)</f>
        <v>Dead</v>
      </c>
      <c r="P3681" s="17" t="n">
        <v>11</v>
      </c>
      <c r="Q3681" s="17" t="str">
        <f aca="false">VLOOKUP(P3681,Sheet2!J:K,2,0)</f>
        <v>IR Declared due to CID -TA</v>
      </c>
      <c r="R3681" s="17" t="s">
        <v>35</v>
      </c>
      <c r="S3681" s="17" t="str">
        <f aca="false">VLOOKUP(R3681,Sheet2!N:O,2,0)</f>
        <v>IREPARABLE</v>
      </c>
      <c r="T3681" s="18" t="str">
        <f aca="false">VLOOKUP(P3681,Sheet2!Q:R,2,0)</f>
        <v>IR Normal - Track burn out</v>
      </c>
      <c r="U3681" s="20" t="s">
        <v>41</v>
      </c>
      <c r="V3681" s="17"/>
      <c r="W3681" s="20" t="e">
        <f aca="false">VLOOKUP(V3681,Sheet2!Q:R,2,0)</f>
        <v>#N/A</v>
      </c>
      <c r="X3681" s="17" t="n">
        <f aca="false">J3681</f>
        <v>0</v>
      </c>
      <c r="Y3681" s="17" t="e">
        <f aca="false">VLOOKUP(X3681,Sheet2!A:B,2,0)</f>
        <v>#N/A</v>
      </c>
      <c r="Z3681" s="17"/>
      <c r="AA3681" s="17"/>
      <c r="AB3681" s="17" t="s">
        <v>41</v>
      </c>
      <c r="AC3681" s="0" t="str">
        <f aca="false">LEFT(G3681,2)</f>
        <v/>
      </c>
      <c r="AE3681" s="0"/>
    </row>
    <row r="3682" customFormat="false" ht="15" hidden="false" customHeight="false" outlineLevel="0" collapsed="false">
      <c r="A3682" s="13" t="n">
        <f aca="false">1+A3681</f>
        <v>3680</v>
      </c>
      <c r="B3682" s="14" t="n">
        <v>100</v>
      </c>
      <c r="C3682" s="15"/>
      <c r="D3682" s="16" t="s">
        <v>64</v>
      </c>
      <c r="E3682" s="17" t="s">
        <v>47</v>
      </c>
      <c r="F3682" s="18" t="s">
        <v>34</v>
      </c>
      <c r="G3682" s="19"/>
      <c r="H3682" s="17" t="s">
        <v>35</v>
      </c>
      <c r="I3682" s="17" t="s">
        <v>44</v>
      </c>
      <c r="J3682" s="17"/>
      <c r="K3682" s="17" t="e">
        <f aca="false">VLOOKUP(J3682,Sheet2!A:B,2,0)</f>
        <v>#N/A</v>
      </c>
      <c r="L3682" s="17" t="n">
        <v>5</v>
      </c>
      <c r="M3682" s="17" t="str">
        <f aca="false">VLOOKUP(L3682,Sheet2!D:E,2,0)</f>
        <v>Main Processor CPU BGA</v>
      </c>
      <c r="N3682" s="17" t="n">
        <v>1</v>
      </c>
      <c r="O3682" s="17" t="str">
        <f aca="false">VLOOKUP(N3682,Sheet2!G:H,2,0)</f>
        <v>Dead</v>
      </c>
      <c r="P3682" s="17" t="n">
        <v>11</v>
      </c>
      <c r="Q3682" s="17" t="str">
        <f aca="false">VLOOKUP(P3682,Sheet2!J:K,2,0)</f>
        <v>IR Declared due to CID -TA</v>
      </c>
      <c r="R3682" s="17" t="s">
        <v>35</v>
      </c>
      <c r="S3682" s="17" t="str">
        <f aca="false">VLOOKUP(R3682,Sheet2!N:O,2,0)</f>
        <v>IREPARABLE</v>
      </c>
      <c r="T3682" s="18" t="str">
        <f aca="false">VLOOKUP(P3682,Sheet2!Q:R,2,0)</f>
        <v>IR Normal - Track burn out</v>
      </c>
      <c r="U3682" s="20" t="s">
        <v>41</v>
      </c>
      <c r="V3682" s="17"/>
      <c r="W3682" s="20" t="e">
        <f aca="false">VLOOKUP(V3682,Sheet2!Q:R,2,0)</f>
        <v>#N/A</v>
      </c>
      <c r="X3682" s="17" t="n">
        <f aca="false">J3682</f>
        <v>0</v>
      </c>
      <c r="Y3682" s="17" t="e">
        <f aca="false">VLOOKUP(X3682,Sheet2!A:B,2,0)</f>
        <v>#N/A</v>
      </c>
      <c r="Z3682" s="17"/>
      <c r="AA3682" s="17"/>
      <c r="AB3682" s="17" t="s">
        <v>41</v>
      </c>
      <c r="AC3682" s="0" t="str">
        <f aca="false">LEFT(G3682,2)</f>
        <v/>
      </c>
      <c r="AE3682" s="0"/>
    </row>
    <row r="3683" customFormat="false" ht="15" hidden="false" customHeight="false" outlineLevel="0" collapsed="false">
      <c r="A3683" s="13" t="n">
        <f aca="false">1+A3682</f>
        <v>3681</v>
      </c>
      <c r="B3683" s="14" t="n">
        <v>100</v>
      </c>
      <c r="C3683" s="15"/>
      <c r="D3683" s="16" t="s">
        <v>64</v>
      </c>
      <c r="E3683" s="17" t="s">
        <v>47</v>
      </c>
      <c r="F3683" s="18" t="s">
        <v>34</v>
      </c>
      <c r="G3683" s="19"/>
      <c r="H3683" s="17" t="s">
        <v>35</v>
      </c>
      <c r="I3683" s="17" t="s">
        <v>44</v>
      </c>
      <c r="J3683" s="17"/>
      <c r="K3683" s="17" t="e">
        <f aca="false">VLOOKUP(J3683,Sheet2!A:B,2,0)</f>
        <v>#N/A</v>
      </c>
      <c r="L3683" s="17" t="n">
        <v>5</v>
      </c>
      <c r="M3683" s="17" t="str">
        <f aca="false">VLOOKUP(L3683,Sheet2!D:E,2,0)</f>
        <v>Main Processor CPU BGA</v>
      </c>
      <c r="N3683" s="17" t="n">
        <v>1</v>
      </c>
      <c r="O3683" s="17" t="str">
        <f aca="false">VLOOKUP(N3683,Sheet2!G:H,2,0)</f>
        <v>Dead</v>
      </c>
      <c r="P3683" s="17" t="n">
        <v>11</v>
      </c>
      <c r="Q3683" s="17" t="str">
        <f aca="false">VLOOKUP(P3683,Sheet2!J:K,2,0)</f>
        <v>IR Declared due to CID -TA</v>
      </c>
      <c r="R3683" s="17" t="s">
        <v>35</v>
      </c>
      <c r="S3683" s="17" t="str">
        <f aca="false">VLOOKUP(R3683,Sheet2!N:O,2,0)</f>
        <v>IREPARABLE</v>
      </c>
      <c r="T3683" s="18" t="str">
        <f aca="false">VLOOKUP(P3683,Sheet2!Q:R,2,0)</f>
        <v>IR Normal - Track burn out</v>
      </c>
      <c r="U3683" s="20" t="s">
        <v>41</v>
      </c>
      <c r="V3683" s="17"/>
      <c r="W3683" s="20" t="e">
        <f aca="false">VLOOKUP(V3683,Sheet2!Q:R,2,0)</f>
        <v>#N/A</v>
      </c>
      <c r="X3683" s="17" t="n">
        <f aca="false">J3683</f>
        <v>0</v>
      </c>
      <c r="Y3683" s="17" t="e">
        <f aca="false">VLOOKUP(X3683,Sheet2!A:B,2,0)</f>
        <v>#N/A</v>
      </c>
      <c r="Z3683" s="17"/>
      <c r="AA3683" s="17"/>
      <c r="AB3683" s="17" t="s">
        <v>41</v>
      </c>
      <c r="AC3683" s="0" t="str">
        <f aca="false">LEFT(G3683,2)</f>
        <v/>
      </c>
      <c r="AE3683" s="0"/>
    </row>
    <row r="3684" customFormat="false" ht="15" hidden="false" customHeight="false" outlineLevel="0" collapsed="false">
      <c r="A3684" s="13" t="n">
        <f aca="false">1+A3683</f>
        <v>3682</v>
      </c>
      <c r="B3684" s="14" t="n">
        <v>100</v>
      </c>
      <c r="C3684" s="15"/>
      <c r="D3684" s="16" t="s">
        <v>64</v>
      </c>
      <c r="E3684" s="17" t="s">
        <v>47</v>
      </c>
      <c r="F3684" s="18" t="s">
        <v>34</v>
      </c>
      <c r="G3684" s="19"/>
      <c r="H3684" s="17" t="s">
        <v>35</v>
      </c>
      <c r="I3684" s="17" t="s">
        <v>44</v>
      </c>
      <c r="J3684" s="17"/>
      <c r="K3684" s="17" t="e">
        <f aca="false">VLOOKUP(J3684,Sheet2!A:B,2,0)</f>
        <v>#N/A</v>
      </c>
      <c r="L3684" s="17" t="n">
        <v>5</v>
      </c>
      <c r="M3684" s="17" t="str">
        <f aca="false">VLOOKUP(L3684,Sheet2!D:E,2,0)</f>
        <v>Main Processor CPU BGA</v>
      </c>
      <c r="N3684" s="17" t="n">
        <v>1</v>
      </c>
      <c r="O3684" s="17" t="str">
        <f aca="false">VLOOKUP(N3684,Sheet2!G:H,2,0)</f>
        <v>Dead</v>
      </c>
      <c r="P3684" s="17" t="n">
        <v>11</v>
      </c>
      <c r="Q3684" s="17" t="str">
        <f aca="false">VLOOKUP(P3684,Sheet2!J:K,2,0)</f>
        <v>IR Declared due to CID -TA</v>
      </c>
      <c r="R3684" s="17" t="s">
        <v>35</v>
      </c>
      <c r="S3684" s="17" t="str">
        <f aca="false">VLOOKUP(R3684,Sheet2!N:O,2,0)</f>
        <v>IREPARABLE</v>
      </c>
      <c r="T3684" s="18" t="str">
        <f aca="false">VLOOKUP(P3684,Sheet2!Q:R,2,0)</f>
        <v>IR Normal - Track burn out</v>
      </c>
      <c r="U3684" s="20" t="s">
        <v>41</v>
      </c>
      <c r="V3684" s="17"/>
      <c r="W3684" s="20" t="e">
        <f aca="false">VLOOKUP(V3684,Sheet2!Q:R,2,0)</f>
        <v>#N/A</v>
      </c>
      <c r="X3684" s="17" t="n">
        <f aca="false">J3684</f>
        <v>0</v>
      </c>
      <c r="Y3684" s="17" t="e">
        <f aca="false">VLOOKUP(X3684,Sheet2!A:B,2,0)</f>
        <v>#N/A</v>
      </c>
      <c r="Z3684" s="17"/>
      <c r="AA3684" s="17"/>
      <c r="AB3684" s="17" t="s">
        <v>41</v>
      </c>
      <c r="AC3684" s="0" t="str">
        <f aca="false">LEFT(G3684,2)</f>
        <v/>
      </c>
      <c r="AE3684" s="0"/>
    </row>
    <row r="3685" customFormat="false" ht="15" hidden="false" customHeight="false" outlineLevel="0" collapsed="false">
      <c r="A3685" s="13" t="n">
        <f aca="false">1+A3684</f>
        <v>3683</v>
      </c>
      <c r="B3685" s="14" t="n">
        <v>100</v>
      </c>
      <c r="C3685" s="15"/>
      <c r="D3685" s="16" t="s">
        <v>64</v>
      </c>
      <c r="E3685" s="17" t="s">
        <v>47</v>
      </c>
      <c r="F3685" s="18" t="s">
        <v>34</v>
      </c>
      <c r="G3685" s="19"/>
      <c r="H3685" s="17" t="s">
        <v>35</v>
      </c>
      <c r="I3685" s="17" t="s">
        <v>44</v>
      </c>
      <c r="J3685" s="17"/>
      <c r="K3685" s="17" t="e">
        <f aca="false">VLOOKUP(J3685,Sheet2!A:B,2,0)</f>
        <v>#N/A</v>
      </c>
      <c r="L3685" s="17" t="n">
        <v>5</v>
      </c>
      <c r="M3685" s="17" t="str">
        <f aca="false">VLOOKUP(L3685,Sheet2!D:E,2,0)</f>
        <v>Main Processor CPU BGA</v>
      </c>
      <c r="N3685" s="17" t="n">
        <v>1</v>
      </c>
      <c r="O3685" s="17" t="str">
        <f aca="false">VLOOKUP(N3685,Sheet2!G:H,2,0)</f>
        <v>Dead</v>
      </c>
      <c r="P3685" s="17" t="n">
        <v>11</v>
      </c>
      <c r="Q3685" s="17" t="str">
        <f aca="false">VLOOKUP(P3685,Sheet2!J:K,2,0)</f>
        <v>IR Declared due to CID -TA</v>
      </c>
      <c r="R3685" s="17" t="s">
        <v>35</v>
      </c>
      <c r="S3685" s="17" t="str">
        <f aca="false">VLOOKUP(R3685,Sheet2!N:O,2,0)</f>
        <v>IREPARABLE</v>
      </c>
      <c r="T3685" s="18" t="str">
        <f aca="false">VLOOKUP(P3685,Sheet2!Q:R,2,0)</f>
        <v>IR Normal - Track burn out</v>
      </c>
      <c r="U3685" s="20" t="s">
        <v>41</v>
      </c>
      <c r="V3685" s="17"/>
      <c r="W3685" s="20" t="e">
        <f aca="false">VLOOKUP(V3685,Sheet2!Q:R,2,0)</f>
        <v>#N/A</v>
      </c>
      <c r="X3685" s="17" t="n">
        <f aca="false">J3685</f>
        <v>0</v>
      </c>
      <c r="Y3685" s="17" t="e">
        <f aca="false">VLOOKUP(X3685,Sheet2!A:B,2,0)</f>
        <v>#N/A</v>
      </c>
      <c r="Z3685" s="17"/>
      <c r="AA3685" s="17"/>
      <c r="AB3685" s="17" t="s">
        <v>41</v>
      </c>
      <c r="AC3685" s="0" t="str">
        <f aca="false">LEFT(G3685,2)</f>
        <v/>
      </c>
      <c r="AE3685" s="0"/>
    </row>
    <row r="3686" customFormat="false" ht="15" hidden="false" customHeight="false" outlineLevel="0" collapsed="false">
      <c r="A3686" s="13" t="n">
        <f aca="false">1+A3685</f>
        <v>3684</v>
      </c>
      <c r="B3686" s="14" t="n">
        <v>100</v>
      </c>
      <c r="C3686" s="15"/>
      <c r="D3686" s="16" t="s">
        <v>64</v>
      </c>
      <c r="E3686" s="17" t="s">
        <v>47</v>
      </c>
      <c r="F3686" s="18" t="s">
        <v>34</v>
      </c>
      <c r="G3686" s="19"/>
      <c r="H3686" s="17" t="s">
        <v>35</v>
      </c>
      <c r="I3686" s="17" t="s">
        <v>44</v>
      </c>
      <c r="J3686" s="17"/>
      <c r="K3686" s="17" t="e">
        <f aca="false">VLOOKUP(J3686,Sheet2!A:B,2,0)</f>
        <v>#N/A</v>
      </c>
      <c r="L3686" s="17" t="n">
        <v>5</v>
      </c>
      <c r="M3686" s="17" t="str">
        <f aca="false">VLOOKUP(L3686,Sheet2!D:E,2,0)</f>
        <v>Main Processor CPU BGA</v>
      </c>
      <c r="N3686" s="17" t="n">
        <v>1</v>
      </c>
      <c r="O3686" s="17" t="str">
        <f aca="false">VLOOKUP(N3686,Sheet2!G:H,2,0)</f>
        <v>Dead</v>
      </c>
      <c r="P3686" s="17" t="n">
        <v>11</v>
      </c>
      <c r="Q3686" s="17" t="str">
        <f aca="false">VLOOKUP(P3686,Sheet2!J:K,2,0)</f>
        <v>IR Declared due to CID -TA</v>
      </c>
      <c r="R3686" s="17" t="s">
        <v>35</v>
      </c>
      <c r="S3686" s="17" t="str">
        <f aca="false">VLOOKUP(R3686,Sheet2!N:O,2,0)</f>
        <v>IREPARABLE</v>
      </c>
      <c r="T3686" s="18" t="str">
        <f aca="false">VLOOKUP(P3686,Sheet2!Q:R,2,0)</f>
        <v>IR Normal - Track burn out</v>
      </c>
      <c r="U3686" s="20" t="s">
        <v>41</v>
      </c>
      <c r="V3686" s="17"/>
      <c r="W3686" s="20" t="e">
        <f aca="false">VLOOKUP(V3686,Sheet2!Q:R,2,0)</f>
        <v>#N/A</v>
      </c>
      <c r="X3686" s="17" t="n">
        <f aca="false">J3686</f>
        <v>0</v>
      </c>
      <c r="Y3686" s="17" t="e">
        <f aca="false">VLOOKUP(X3686,Sheet2!A:B,2,0)</f>
        <v>#N/A</v>
      </c>
      <c r="Z3686" s="17"/>
      <c r="AA3686" s="17"/>
      <c r="AB3686" s="17" t="s">
        <v>41</v>
      </c>
      <c r="AC3686" s="0" t="str">
        <f aca="false">LEFT(G3686,2)</f>
        <v/>
      </c>
      <c r="AE3686" s="0"/>
    </row>
    <row r="3687" customFormat="false" ht="15" hidden="false" customHeight="false" outlineLevel="0" collapsed="false">
      <c r="A3687" s="13" t="n">
        <f aca="false">1+A3686</f>
        <v>3685</v>
      </c>
      <c r="B3687" s="14" t="n">
        <v>100</v>
      </c>
      <c r="C3687" s="15"/>
      <c r="D3687" s="16" t="s">
        <v>64</v>
      </c>
      <c r="E3687" s="17" t="s">
        <v>47</v>
      </c>
      <c r="F3687" s="18" t="s">
        <v>34</v>
      </c>
      <c r="G3687" s="19"/>
      <c r="H3687" s="17" t="s">
        <v>35</v>
      </c>
      <c r="I3687" s="17" t="s">
        <v>44</v>
      </c>
      <c r="J3687" s="17"/>
      <c r="K3687" s="17" t="e">
        <f aca="false">VLOOKUP(J3687,Sheet2!A:B,2,0)</f>
        <v>#N/A</v>
      </c>
      <c r="L3687" s="17" t="n">
        <v>5</v>
      </c>
      <c r="M3687" s="17" t="str">
        <f aca="false">VLOOKUP(L3687,Sheet2!D:E,2,0)</f>
        <v>Main Processor CPU BGA</v>
      </c>
      <c r="N3687" s="17" t="n">
        <v>1</v>
      </c>
      <c r="O3687" s="17" t="str">
        <f aca="false">VLOOKUP(N3687,Sheet2!G:H,2,0)</f>
        <v>Dead</v>
      </c>
      <c r="P3687" s="17" t="n">
        <v>11</v>
      </c>
      <c r="Q3687" s="17" t="str">
        <f aca="false">VLOOKUP(P3687,Sheet2!J:K,2,0)</f>
        <v>IR Declared due to CID -TA</v>
      </c>
      <c r="R3687" s="17" t="s">
        <v>35</v>
      </c>
      <c r="S3687" s="17" t="str">
        <f aca="false">VLOOKUP(R3687,Sheet2!N:O,2,0)</f>
        <v>IREPARABLE</v>
      </c>
      <c r="T3687" s="18" t="str">
        <f aca="false">VLOOKUP(P3687,Sheet2!Q:R,2,0)</f>
        <v>IR Normal - Track burn out</v>
      </c>
      <c r="U3687" s="20" t="s">
        <v>41</v>
      </c>
      <c r="V3687" s="17"/>
      <c r="W3687" s="20" t="e">
        <f aca="false">VLOOKUP(V3687,Sheet2!Q:R,2,0)</f>
        <v>#N/A</v>
      </c>
      <c r="X3687" s="17" t="n">
        <f aca="false">J3687</f>
        <v>0</v>
      </c>
      <c r="Y3687" s="17" t="e">
        <f aca="false">VLOOKUP(X3687,Sheet2!A:B,2,0)</f>
        <v>#N/A</v>
      </c>
      <c r="Z3687" s="17"/>
      <c r="AA3687" s="17"/>
      <c r="AB3687" s="17" t="s">
        <v>41</v>
      </c>
      <c r="AC3687" s="0" t="str">
        <f aca="false">LEFT(G3687,2)</f>
        <v/>
      </c>
      <c r="AE3687" s="0"/>
    </row>
    <row r="3688" customFormat="false" ht="15" hidden="false" customHeight="false" outlineLevel="0" collapsed="false">
      <c r="A3688" s="13" t="n">
        <f aca="false">1+A3687</f>
        <v>3686</v>
      </c>
      <c r="B3688" s="14" t="n">
        <v>100</v>
      </c>
      <c r="C3688" s="15"/>
      <c r="D3688" s="16" t="s">
        <v>64</v>
      </c>
      <c r="E3688" s="17" t="s">
        <v>47</v>
      </c>
      <c r="F3688" s="18" t="s">
        <v>34</v>
      </c>
      <c r="G3688" s="19"/>
      <c r="H3688" s="17" t="s">
        <v>35</v>
      </c>
      <c r="I3688" s="17" t="s">
        <v>44</v>
      </c>
      <c r="J3688" s="17"/>
      <c r="K3688" s="17" t="e">
        <f aca="false">VLOOKUP(J3688,Sheet2!A:B,2,0)</f>
        <v>#N/A</v>
      </c>
      <c r="L3688" s="17" t="n">
        <v>5</v>
      </c>
      <c r="M3688" s="17" t="str">
        <f aca="false">VLOOKUP(L3688,Sheet2!D:E,2,0)</f>
        <v>Main Processor CPU BGA</v>
      </c>
      <c r="N3688" s="17" t="n">
        <v>1</v>
      </c>
      <c r="O3688" s="17" t="str">
        <f aca="false">VLOOKUP(N3688,Sheet2!G:H,2,0)</f>
        <v>Dead</v>
      </c>
      <c r="P3688" s="17" t="n">
        <v>11</v>
      </c>
      <c r="Q3688" s="17" t="str">
        <f aca="false">VLOOKUP(P3688,Sheet2!J:K,2,0)</f>
        <v>IR Declared due to CID -TA</v>
      </c>
      <c r="R3688" s="17" t="s">
        <v>35</v>
      </c>
      <c r="S3688" s="17" t="str">
        <f aca="false">VLOOKUP(R3688,Sheet2!N:O,2,0)</f>
        <v>IREPARABLE</v>
      </c>
      <c r="T3688" s="18" t="str">
        <f aca="false">VLOOKUP(P3688,Sheet2!Q:R,2,0)</f>
        <v>IR Normal - Track burn out</v>
      </c>
      <c r="U3688" s="20" t="s">
        <v>41</v>
      </c>
      <c r="V3688" s="17"/>
      <c r="W3688" s="20" t="e">
        <f aca="false">VLOOKUP(V3688,Sheet2!Q:R,2,0)</f>
        <v>#N/A</v>
      </c>
      <c r="X3688" s="17" t="n">
        <f aca="false">J3688</f>
        <v>0</v>
      </c>
      <c r="Y3688" s="17" t="e">
        <f aca="false">VLOOKUP(X3688,Sheet2!A:B,2,0)</f>
        <v>#N/A</v>
      </c>
      <c r="Z3688" s="17"/>
      <c r="AA3688" s="17"/>
      <c r="AB3688" s="17" t="s">
        <v>41</v>
      </c>
      <c r="AC3688" s="0" t="str">
        <f aca="false">LEFT(G3688,2)</f>
        <v/>
      </c>
      <c r="AE3688" s="0"/>
    </row>
    <row r="3689" customFormat="false" ht="15" hidden="false" customHeight="false" outlineLevel="0" collapsed="false">
      <c r="A3689" s="13" t="n">
        <f aca="false">1+A3688</f>
        <v>3687</v>
      </c>
      <c r="B3689" s="14" t="n">
        <v>100</v>
      </c>
      <c r="C3689" s="15"/>
      <c r="D3689" s="16" t="s">
        <v>64</v>
      </c>
      <c r="E3689" s="17" t="s">
        <v>47</v>
      </c>
      <c r="F3689" s="18" t="s">
        <v>34</v>
      </c>
      <c r="G3689" s="19"/>
      <c r="H3689" s="17" t="s">
        <v>35</v>
      </c>
      <c r="I3689" s="17" t="s">
        <v>44</v>
      </c>
      <c r="J3689" s="17"/>
      <c r="K3689" s="17" t="e">
        <f aca="false">VLOOKUP(J3689,Sheet2!A:B,2,0)</f>
        <v>#N/A</v>
      </c>
      <c r="L3689" s="17" t="n">
        <v>5</v>
      </c>
      <c r="M3689" s="17" t="str">
        <f aca="false">VLOOKUP(L3689,Sheet2!D:E,2,0)</f>
        <v>Main Processor CPU BGA</v>
      </c>
      <c r="N3689" s="17" t="n">
        <v>1</v>
      </c>
      <c r="O3689" s="17" t="str">
        <f aca="false">VLOOKUP(N3689,Sheet2!G:H,2,0)</f>
        <v>Dead</v>
      </c>
      <c r="P3689" s="17" t="n">
        <v>11</v>
      </c>
      <c r="Q3689" s="17" t="str">
        <f aca="false">VLOOKUP(P3689,Sheet2!J:K,2,0)</f>
        <v>IR Declared due to CID -TA</v>
      </c>
      <c r="R3689" s="17" t="s">
        <v>35</v>
      </c>
      <c r="S3689" s="17" t="str">
        <f aca="false">VLOOKUP(R3689,Sheet2!N:O,2,0)</f>
        <v>IREPARABLE</v>
      </c>
      <c r="T3689" s="18" t="str">
        <f aca="false">VLOOKUP(P3689,Sheet2!Q:R,2,0)</f>
        <v>IR Normal - Track burn out</v>
      </c>
      <c r="U3689" s="20" t="s">
        <v>41</v>
      </c>
      <c r="V3689" s="17"/>
      <c r="W3689" s="20" t="e">
        <f aca="false">VLOOKUP(V3689,Sheet2!Q:R,2,0)</f>
        <v>#N/A</v>
      </c>
      <c r="X3689" s="17" t="n">
        <f aca="false">J3689</f>
        <v>0</v>
      </c>
      <c r="Y3689" s="17" t="e">
        <f aca="false">VLOOKUP(X3689,Sheet2!A:B,2,0)</f>
        <v>#N/A</v>
      </c>
      <c r="Z3689" s="17"/>
      <c r="AA3689" s="17"/>
      <c r="AB3689" s="17" t="s">
        <v>41</v>
      </c>
      <c r="AC3689" s="0" t="str">
        <f aca="false">LEFT(G3689,2)</f>
        <v/>
      </c>
      <c r="AE3689" s="0"/>
    </row>
    <row r="3690" customFormat="false" ht="15" hidden="false" customHeight="false" outlineLevel="0" collapsed="false">
      <c r="A3690" s="13" t="n">
        <f aca="false">1+A3689</f>
        <v>3688</v>
      </c>
      <c r="B3690" s="14" t="n">
        <v>100</v>
      </c>
      <c r="C3690" s="15"/>
      <c r="D3690" s="16" t="s">
        <v>64</v>
      </c>
      <c r="E3690" s="17" t="s">
        <v>47</v>
      </c>
      <c r="F3690" s="18" t="s">
        <v>34</v>
      </c>
      <c r="G3690" s="19"/>
      <c r="H3690" s="17" t="s">
        <v>35</v>
      </c>
      <c r="I3690" s="17" t="s">
        <v>44</v>
      </c>
      <c r="J3690" s="17"/>
      <c r="K3690" s="17" t="e">
        <f aca="false">VLOOKUP(J3690,Sheet2!A:B,2,0)</f>
        <v>#N/A</v>
      </c>
      <c r="L3690" s="17" t="n">
        <v>5</v>
      </c>
      <c r="M3690" s="17" t="str">
        <f aca="false">VLOOKUP(L3690,Sheet2!D:E,2,0)</f>
        <v>Main Processor CPU BGA</v>
      </c>
      <c r="N3690" s="17" t="n">
        <v>1</v>
      </c>
      <c r="O3690" s="17" t="str">
        <f aca="false">VLOOKUP(N3690,Sheet2!G:H,2,0)</f>
        <v>Dead</v>
      </c>
      <c r="P3690" s="17" t="n">
        <v>11</v>
      </c>
      <c r="Q3690" s="17" t="str">
        <f aca="false">VLOOKUP(P3690,Sheet2!J:K,2,0)</f>
        <v>IR Declared due to CID -TA</v>
      </c>
      <c r="R3690" s="17" t="s">
        <v>35</v>
      </c>
      <c r="S3690" s="17" t="str">
        <f aca="false">VLOOKUP(R3690,Sheet2!N:O,2,0)</f>
        <v>IREPARABLE</v>
      </c>
      <c r="T3690" s="18" t="str">
        <f aca="false">VLOOKUP(P3690,Sheet2!Q:R,2,0)</f>
        <v>IR Normal - Track burn out</v>
      </c>
      <c r="U3690" s="20" t="s">
        <v>41</v>
      </c>
      <c r="V3690" s="17"/>
      <c r="W3690" s="20" t="e">
        <f aca="false">VLOOKUP(V3690,Sheet2!Q:R,2,0)</f>
        <v>#N/A</v>
      </c>
      <c r="X3690" s="17" t="n">
        <f aca="false">J3690</f>
        <v>0</v>
      </c>
      <c r="Y3690" s="17" t="e">
        <f aca="false">VLOOKUP(X3690,Sheet2!A:B,2,0)</f>
        <v>#N/A</v>
      </c>
      <c r="Z3690" s="17"/>
      <c r="AA3690" s="17"/>
      <c r="AB3690" s="17" t="s">
        <v>41</v>
      </c>
      <c r="AC3690" s="0" t="str">
        <f aca="false">LEFT(G3690,2)</f>
        <v/>
      </c>
      <c r="AE3690" s="0"/>
    </row>
    <row r="3691" customFormat="false" ht="15" hidden="false" customHeight="false" outlineLevel="0" collapsed="false">
      <c r="A3691" s="13" t="n">
        <f aca="false">1+A3690</f>
        <v>3689</v>
      </c>
      <c r="B3691" s="14" t="n">
        <v>100</v>
      </c>
      <c r="C3691" s="15"/>
      <c r="D3691" s="16" t="s">
        <v>64</v>
      </c>
      <c r="E3691" s="17" t="s">
        <v>47</v>
      </c>
      <c r="F3691" s="18" t="s">
        <v>34</v>
      </c>
      <c r="G3691" s="19"/>
      <c r="H3691" s="17" t="s">
        <v>35</v>
      </c>
      <c r="I3691" s="17" t="s">
        <v>44</v>
      </c>
      <c r="J3691" s="17"/>
      <c r="K3691" s="17" t="e">
        <f aca="false">VLOOKUP(J3691,Sheet2!A:B,2,0)</f>
        <v>#N/A</v>
      </c>
      <c r="L3691" s="17" t="n">
        <v>5</v>
      </c>
      <c r="M3691" s="17" t="str">
        <f aca="false">VLOOKUP(L3691,Sheet2!D:E,2,0)</f>
        <v>Main Processor CPU BGA</v>
      </c>
      <c r="N3691" s="17" t="n">
        <v>1</v>
      </c>
      <c r="O3691" s="17" t="str">
        <f aca="false">VLOOKUP(N3691,Sheet2!G:H,2,0)</f>
        <v>Dead</v>
      </c>
      <c r="P3691" s="17" t="n">
        <v>11</v>
      </c>
      <c r="Q3691" s="17" t="str">
        <f aca="false">VLOOKUP(P3691,Sheet2!J:K,2,0)</f>
        <v>IR Declared due to CID -TA</v>
      </c>
      <c r="R3691" s="17" t="s">
        <v>35</v>
      </c>
      <c r="S3691" s="17" t="str">
        <f aca="false">VLOOKUP(R3691,Sheet2!N:O,2,0)</f>
        <v>IREPARABLE</v>
      </c>
      <c r="T3691" s="18" t="str">
        <f aca="false">VLOOKUP(P3691,Sheet2!Q:R,2,0)</f>
        <v>IR Normal - Track burn out</v>
      </c>
      <c r="U3691" s="20" t="s">
        <v>41</v>
      </c>
      <c r="V3691" s="17"/>
      <c r="W3691" s="20" t="e">
        <f aca="false">VLOOKUP(V3691,Sheet2!Q:R,2,0)</f>
        <v>#N/A</v>
      </c>
      <c r="X3691" s="17" t="n">
        <f aca="false">J3691</f>
        <v>0</v>
      </c>
      <c r="Y3691" s="17" t="e">
        <f aca="false">VLOOKUP(X3691,Sheet2!A:B,2,0)</f>
        <v>#N/A</v>
      </c>
      <c r="Z3691" s="17"/>
      <c r="AA3691" s="17"/>
      <c r="AB3691" s="17" t="s">
        <v>41</v>
      </c>
      <c r="AC3691" s="0" t="str">
        <f aca="false">LEFT(G3691,2)</f>
        <v/>
      </c>
      <c r="AE3691" s="0"/>
    </row>
    <row r="3692" customFormat="false" ht="15" hidden="false" customHeight="false" outlineLevel="0" collapsed="false">
      <c r="A3692" s="13" t="n">
        <f aca="false">1+A3691</f>
        <v>3690</v>
      </c>
      <c r="B3692" s="14" t="n">
        <v>100</v>
      </c>
      <c r="C3692" s="15"/>
      <c r="D3692" s="16" t="s">
        <v>64</v>
      </c>
      <c r="E3692" s="17" t="s">
        <v>47</v>
      </c>
      <c r="F3692" s="18" t="s">
        <v>34</v>
      </c>
      <c r="G3692" s="19"/>
      <c r="H3692" s="17" t="s">
        <v>35</v>
      </c>
      <c r="I3692" s="17" t="s">
        <v>44</v>
      </c>
      <c r="J3692" s="17"/>
      <c r="K3692" s="17" t="e">
        <f aca="false">VLOOKUP(J3692,Sheet2!A:B,2,0)</f>
        <v>#N/A</v>
      </c>
      <c r="L3692" s="17" t="n">
        <v>5</v>
      </c>
      <c r="M3692" s="17" t="str">
        <f aca="false">VLOOKUP(L3692,Sheet2!D:E,2,0)</f>
        <v>Main Processor CPU BGA</v>
      </c>
      <c r="N3692" s="17" t="n">
        <v>1</v>
      </c>
      <c r="O3692" s="17" t="str">
        <f aca="false">VLOOKUP(N3692,Sheet2!G:H,2,0)</f>
        <v>Dead</v>
      </c>
      <c r="P3692" s="17" t="n">
        <v>11</v>
      </c>
      <c r="Q3692" s="17" t="str">
        <f aca="false">VLOOKUP(P3692,Sheet2!J:K,2,0)</f>
        <v>IR Declared due to CID -TA</v>
      </c>
      <c r="R3692" s="17" t="s">
        <v>35</v>
      </c>
      <c r="S3692" s="17" t="str">
        <f aca="false">VLOOKUP(R3692,Sheet2!N:O,2,0)</f>
        <v>IREPARABLE</v>
      </c>
      <c r="T3692" s="18" t="str">
        <f aca="false">VLOOKUP(P3692,Sheet2!Q:R,2,0)</f>
        <v>IR Normal - Track burn out</v>
      </c>
      <c r="U3692" s="20" t="s">
        <v>41</v>
      </c>
      <c r="V3692" s="17"/>
      <c r="W3692" s="20" t="e">
        <f aca="false">VLOOKUP(V3692,Sheet2!Q:R,2,0)</f>
        <v>#N/A</v>
      </c>
      <c r="X3692" s="17" t="n">
        <f aca="false">J3692</f>
        <v>0</v>
      </c>
      <c r="Y3692" s="17" t="e">
        <f aca="false">VLOOKUP(X3692,Sheet2!A:B,2,0)</f>
        <v>#N/A</v>
      </c>
      <c r="Z3692" s="17"/>
      <c r="AA3692" s="17"/>
      <c r="AB3692" s="17" t="s">
        <v>41</v>
      </c>
      <c r="AC3692" s="0" t="str">
        <f aca="false">LEFT(G3692,2)</f>
        <v/>
      </c>
      <c r="AE3692" s="0"/>
    </row>
    <row r="3693" customFormat="false" ht="15" hidden="false" customHeight="false" outlineLevel="0" collapsed="false">
      <c r="A3693" s="13" t="n">
        <f aca="false">1+A3692</f>
        <v>3691</v>
      </c>
      <c r="B3693" s="14" t="n">
        <v>100</v>
      </c>
      <c r="C3693" s="15"/>
      <c r="D3693" s="16" t="s">
        <v>64</v>
      </c>
      <c r="E3693" s="17" t="s">
        <v>47</v>
      </c>
      <c r="F3693" s="18" t="s">
        <v>34</v>
      </c>
      <c r="G3693" s="19"/>
      <c r="H3693" s="17" t="s">
        <v>35</v>
      </c>
      <c r="I3693" s="17" t="s">
        <v>44</v>
      </c>
      <c r="J3693" s="17"/>
      <c r="K3693" s="17" t="e">
        <f aca="false">VLOOKUP(J3693,Sheet2!A:B,2,0)</f>
        <v>#N/A</v>
      </c>
      <c r="L3693" s="17" t="n">
        <v>5</v>
      </c>
      <c r="M3693" s="17" t="str">
        <f aca="false">VLOOKUP(L3693,Sheet2!D:E,2,0)</f>
        <v>Main Processor CPU BGA</v>
      </c>
      <c r="N3693" s="17" t="n">
        <v>1</v>
      </c>
      <c r="O3693" s="17" t="str">
        <f aca="false">VLOOKUP(N3693,Sheet2!G:H,2,0)</f>
        <v>Dead</v>
      </c>
      <c r="P3693" s="17" t="n">
        <v>11</v>
      </c>
      <c r="Q3693" s="17" t="str">
        <f aca="false">VLOOKUP(P3693,Sheet2!J:K,2,0)</f>
        <v>IR Declared due to CID -TA</v>
      </c>
      <c r="R3693" s="17" t="s">
        <v>35</v>
      </c>
      <c r="S3693" s="17" t="str">
        <f aca="false">VLOOKUP(R3693,Sheet2!N:O,2,0)</f>
        <v>IREPARABLE</v>
      </c>
      <c r="T3693" s="18" t="str">
        <f aca="false">VLOOKUP(P3693,Sheet2!Q:R,2,0)</f>
        <v>IR Normal - Track burn out</v>
      </c>
      <c r="U3693" s="20" t="s">
        <v>41</v>
      </c>
      <c r="V3693" s="17"/>
      <c r="W3693" s="20" t="e">
        <f aca="false">VLOOKUP(V3693,Sheet2!Q:R,2,0)</f>
        <v>#N/A</v>
      </c>
      <c r="X3693" s="17" t="n">
        <f aca="false">J3693</f>
        <v>0</v>
      </c>
      <c r="Y3693" s="17" t="e">
        <f aca="false">VLOOKUP(X3693,Sheet2!A:B,2,0)</f>
        <v>#N/A</v>
      </c>
      <c r="Z3693" s="17"/>
      <c r="AA3693" s="17"/>
      <c r="AB3693" s="17" t="s">
        <v>41</v>
      </c>
      <c r="AC3693" s="0" t="str">
        <f aca="false">LEFT(G3693,2)</f>
        <v/>
      </c>
      <c r="AE3693" s="0"/>
    </row>
    <row r="3694" customFormat="false" ht="15" hidden="false" customHeight="false" outlineLevel="0" collapsed="false">
      <c r="A3694" s="13" t="n">
        <f aca="false">1+A3693</f>
        <v>3692</v>
      </c>
      <c r="B3694" s="14" t="n">
        <v>100</v>
      </c>
      <c r="C3694" s="15"/>
      <c r="D3694" s="16" t="s">
        <v>64</v>
      </c>
      <c r="E3694" s="17" t="s">
        <v>47</v>
      </c>
      <c r="F3694" s="18" t="s">
        <v>34</v>
      </c>
      <c r="G3694" s="19"/>
      <c r="H3694" s="17" t="s">
        <v>35</v>
      </c>
      <c r="I3694" s="17" t="s">
        <v>44</v>
      </c>
      <c r="J3694" s="17"/>
      <c r="K3694" s="17" t="e">
        <f aca="false">VLOOKUP(J3694,Sheet2!A:B,2,0)</f>
        <v>#N/A</v>
      </c>
      <c r="L3694" s="17" t="n">
        <v>5</v>
      </c>
      <c r="M3694" s="17" t="str">
        <f aca="false">VLOOKUP(L3694,Sheet2!D:E,2,0)</f>
        <v>Main Processor CPU BGA</v>
      </c>
      <c r="N3694" s="17" t="n">
        <v>1</v>
      </c>
      <c r="O3694" s="17" t="str">
        <f aca="false">VLOOKUP(N3694,Sheet2!G:H,2,0)</f>
        <v>Dead</v>
      </c>
      <c r="P3694" s="17" t="n">
        <v>11</v>
      </c>
      <c r="Q3694" s="17" t="str">
        <f aca="false">VLOOKUP(P3694,Sheet2!J:K,2,0)</f>
        <v>IR Declared due to CID -TA</v>
      </c>
      <c r="R3694" s="17" t="s">
        <v>35</v>
      </c>
      <c r="S3694" s="17" t="str">
        <f aca="false">VLOOKUP(R3694,Sheet2!N:O,2,0)</f>
        <v>IREPARABLE</v>
      </c>
      <c r="T3694" s="18" t="str">
        <f aca="false">VLOOKUP(P3694,Sheet2!Q:R,2,0)</f>
        <v>IR Normal - Track burn out</v>
      </c>
      <c r="U3694" s="20" t="s">
        <v>41</v>
      </c>
      <c r="V3694" s="17"/>
      <c r="W3694" s="20" t="e">
        <f aca="false">VLOOKUP(V3694,Sheet2!Q:R,2,0)</f>
        <v>#N/A</v>
      </c>
      <c r="X3694" s="17" t="n">
        <f aca="false">J3694</f>
        <v>0</v>
      </c>
      <c r="Y3694" s="17" t="e">
        <f aca="false">VLOOKUP(X3694,Sheet2!A:B,2,0)</f>
        <v>#N/A</v>
      </c>
      <c r="Z3694" s="17"/>
      <c r="AA3694" s="17"/>
      <c r="AB3694" s="17" t="s">
        <v>41</v>
      </c>
      <c r="AC3694" s="0" t="str">
        <f aca="false">LEFT(G3694,2)</f>
        <v/>
      </c>
      <c r="AE3694" s="0"/>
    </row>
    <row r="3695" customFormat="false" ht="15" hidden="false" customHeight="false" outlineLevel="0" collapsed="false">
      <c r="A3695" s="13" t="n">
        <f aca="false">1+A3694</f>
        <v>3693</v>
      </c>
      <c r="B3695" s="14" t="n">
        <v>100</v>
      </c>
      <c r="C3695" s="15"/>
      <c r="D3695" s="16" t="s">
        <v>64</v>
      </c>
      <c r="E3695" s="17" t="s">
        <v>47</v>
      </c>
      <c r="F3695" s="18" t="s">
        <v>34</v>
      </c>
      <c r="G3695" s="19"/>
      <c r="H3695" s="17" t="s">
        <v>35</v>
      </c>
      <c r="I3695" s="17" t="s">
        <v>44</v>
      </c>
      <c r="J3695" s="17"/>
      <c r="K3695" s="17" t="e">
        <f aca="false">VLOOKUP(J3695,Sheet2!A:B,2,0)</f>
        <v>#N/A</v>
      </c>
      <c r="L3695" s="17" t="n">
        <v>5</v>
      </c>
      <c r="M3695" s="17" t="str">
        <f aca="false">VLOOKUP(L3695,Sheet2!D:E,2,0)</f>
        <v>Main Processor CPU BGA</v>
      </c>
      <c r="N3695" s="17" t="n">
        <v>1</v>
      </c>
      <c r="O3695" s="17" t="str">
        <f aca="false">VLOOKUP(N3695,Sheet2!G:H,2,0)</f>
        <v>Dead</v>
      </c>
      <c r="P3695" s="17" t="n">
        <v>11</v>
      </c>
      <c r="Q3695" s="17" t="str">
        <f aca="false">VLOOKUP(P3695,Sheet2!J:K,2,0)</f>
        <v>IR Declared due to CID -TA</v>
      </c>
      <c r="R3695" s="17" t="s">
        <v>35</v>
      </c>
      <c r="S3695" s="17" t="str">
        <f aca="false">VLOOKUP(R3695,Sheet2!N:O,2,0)</f>
        <v>IREPARABLE</v>
      </c>
      <c r="T3695" s="18" t="str">
        <f aca="false">VLOOKUP(P3695,Sheet2!Q:R,2,0)</f>
        <v>IR Normal - Track burn out</v>
      </c>
      <c r="U3695" s="20" t="s">
        <v>41</v>
      </c>
      <c r="V3695" s="17"/>
      <c r="W3695" s="20" t="e">
        <f aca="false">VLOOKUP(V3695,Sheet2!Q:R,2,0)</f>
        <v>#N/A</v>
      </c>
      <c r="X3695" s="17" t="n">
        <f aca="false">J3695</f>
        <v>0</v>
      </c>
      <c r="Y3695" s="17" t="e">
        <f aca="false">VLOOKUP(X3695,Sheet2!A:B,2,0)</f>
        <v>#N/A</v>
      </c>
      <c r="Z3695" s="17"/>
      <c r="AA3695" s="17"/>
      <c r="AB3695" s="17" t="s">
        <v>41</v>
      </c>
      <c r="AC3695" s="0" t="str">
        <f aca="false">LEFT(G3695,2)</f>
        <v/>
      </c>
      <c r="AE3695" s="0"/>
    </row>
    <row r="3696" customFormat="false" ht="15" hidden="false" customHeight="false" outlineLevel="0" collapsed="false">
      <c r="A3696" s="13" t="n">
        <f aca="false">1+A3695</f>
        <v>3694</v>
      </c>
      <c r="B3696" s="14" t="n">
        <v>100</v>
      </c>
      <c r="C3696" s="15"/>
      <c r="D3696" s="16" t="s">
        <v>64</v>
      </c>
      <c r="E3696" s="17" t="s">
        <v>47</v>
      </c>
      <c r="F3696" s="18" t="s">
        <v>34</v>
      </c>
      <c r="G3696" s="19"/>
      <c r="H3696" s="17" t="s">
        <v>35</v>
      </c>
      <c r="I3696" s="17" t="s">
        <v>44</v>
      </c>
      <c r="J3696" s="17"/>
      <c r="K3696" s="17" t="e">
        <f aca="false">VLOOKUP(J3696,Sheet2!A:B,2,0)</f>
        <v>#N/A</v>
      </c>
      <c r="L3696" s="17" t="n">
        <v>5</v>
      </c>
      <c r="M3696" s="17" t="str">
        <f aca="false">VLOOKUP(L3696,Sheet2!D:E,2,0)</f>
        <v>Main Processor CPU BGA</v>
      </c>
      <c r="N3696" s="17" t="n">
        <v>1</v>
      </c>
      <c r="O3696" s="17" t="str">
        <f aca="false">VLOOKUP(N3696,Sheet2!G:H,2,0)</f>
        <v>Dead</v>
      </c>
      <c r="P3696" s="17" t="n">
        <v>11</v>
      </c>
      <c r="Q3696" s="17" t="str">
        <f aca="false">VLOOKUP(P3696,Sheet2!J:K,2,0)</f>
        <v>IR Declared due to CID -TA</v>
      </c>
      <c r="R3696" s="17" t="s">
        <v>35</v>
      </c>
      <c r="S3696" s="17" t="str">
        <f aca="false">VLOOKUP(R3696,Sheet2!N:O,2,0)</f>
        <v>IREPARABLE</v>
      </c>
      <c r="T3696" s="18" t="str">
        <f aca="false">VLOOKUP(P3696,Sheet2!Q:R,2,0)</f>
        <v>IR Normal - Track burn out</v>
      </c>
      <c r="U3696" s="20" t="s">
        <v>41</v>
      </c>
      <c r="V3696" s="17"/>
      <c r="W3696" s="20" t="e">
        <f aca="false">VLOOKUP(V3696,Sheet2!Q:R,2,0)</f>
        <v>#N/A</v>
      </c>
      <c r="X3696" s="17" t="n">
        <f aca="false">J3696</f>
        <v>0</v>
      </c>
      <c r="Y3696" s="17" t="e">
        <f aca="false">VLOOKUP(X3696,Sheet2!A:B,2,0)</f>
        <v>#N/A</v>
      </c>
      <c r="Z3696" s="17"/>
      <c r="AA3696" s="17"/>
      <c r="AB3696" s="17" t="s">
        <v>41</v>
      </c>
      <c r="AC3696" s="0" t="str">
        <f aca="false">LEFT(G3696,2)</f>
        <v/>
      </c>
      <c r="AE3696" s="0"/>
    </row>
    <row r="3697" customFormat="false" ht="15" hidden="false" customHeight="false" outlineLevel="0" collapsed="false">
      <c r="A3697" s="13" t="n">
        <f aca="false">1+A3696</f>
        <v>3695</v>
      </c>
      <c r="B3697" s="14" t="n">
        <v>100</v>
      </c>
      <c r="C3697" s="15"/>
      <c r="D3697" s="16" t="s">
        <v>64</v>
      </c>
      <c r="E3697" s="17" t="s">
        <v>47</v>
      </c>
      <c r="F3697" s="18" t="s">
        <v>34</v>
      </c>
      <c r="G3697" s="19"/>
      <c r="H3697" s="17" t="s">
        <v>35</v>
      </c>
      <c r="I3697" s="17" t="s">
        <v>44</v>
      </c>
      <c r="J3697" s="17"/>
      <c r="K3697" s="17" t="e">
        <f aca="false">VLOOKUP(J3697,Sheet2!A:B,2,0)</f>
        <v>#N/A</v>
      </c>
      <c r="L3697" s="17" t="n">
        <v>5</v>
      </c>
      <c r="M3697" s="17" t="str">
        <f aca="false">VLOOKUP(L3697,Sheet2!D:E,2,0)</f>
        <v>Main Processor CPU BGA</v>
      </c>
      <c r="N3697" s="17" t="n">
        <v>1</v>
      </c>
      <c r="O3697" s="17" t="str">
        <f aca="false">VLOOKUP(N3697,Sheet2!G:H,2,0)</f>
        <v>Dead</v>
      </c>
      <c r="P3697" s="17" t="n">
        <v>11</v>
      </c>
      <c r="Q3697" s="17" t="str">
        <f aca="false">VLOOKUP(P3697,Sheet2!J:K,2,0)</f>
        <v>IR Declared due to CID -TA</v>
      </c>
      <c r="R3697" s="17" t="s">
        <v>35</v>
      </c>
      <c r="S3697" s="17" t="str">
        <f aca="false">VLOOKUP(R3697,Sheet2!N:O,2,0)</f>
        <v>IREPARABLE</v>
      </c>
      <c r="T3697" s="18" t="str">
        <f aca="false">VLOOKUP(P3697,Sheet2!Q:R,2,0)</f>
        <v>IR Normal - Track burn out</v>
      </c>
      <c r="U3697" s="20" t="s">
        <v>41</v>
      </c>
      <c r="V3697" s="17"/>
      <c r="W3697" s="20" t="e">
        <f aca="false">VLOOKUP(V3697,Sheet2!Q:R,2,0)</f>
        <v>#N/A</v>
      </c>
      <c r="X3697" s="17" t="n">
        <f aca="false">J3697</f>
        <v>0</v>
      </c>
      <c r="Y3697" s="17" t="e">
        <f aca="false">VLOOKUP(X3697,Sheet2!A:B,2,0)</f>
        <v>#N/A</v>
      </c>
      <c r="Z3697" s="17"/>
      <c r="AA3697" s="17"/>
      <c r="AB3697" s="17" t="s">
        <v>41</v>
      </c>
      <c r="AC3697" s="0" t="str">
        <f aca="false">LEFT(G3697,2)</f>
        <v/>
      </c>
      <c r="AE3697" s="0"/>
    </row>
    <row r="3698" customFormat="false" ht="15" hidden="false" customHeight="false" outlineLevel="0" collapsed="false">
      <c r="A3698" s="13" t="n">
        <f aca="false">1+A3697</f>
        <v>3696</v>
      </c>
      <c r="B3698" s="14" t="n">
        <v>100</v>
      </c>
      <c r="C3698" s="15"/>
      <c r="D3698" s="16" t="s">
        <v>64</v>
      </c>
      <c r="E3698" s="17" t="s">
        <v>47</v>
      </c>
      <c r="F3698" s="18" t="s">
        <v>34</v>
      </c>
      <c r="G3698" s="19"/>
      <c r="H3698" s="17" t="s">
        <v>35</v>
      </c>
      <c r="I3698" s="17" t="s">
        <v>44</v>
      </c>
      <c r="J3698" s="17"/>
      <c r="K3698" s="17" t="e">
        <f aca="false">VLOOKUP(J3698,Sheet2!A:B,2,0)</f>
        <v>#N/A</v>
      </c>
      <c r="L3698" s="17" t="n">
        <v>5</v>
      </c>
      <c r="M3698" s="17" t="str">
        <f aca="false">VLOOKUP(L3698,Sheet2!D:E,2,0)</f>
        <v>Main Processor CPU BGA</v>
      </c>
      <c r="N3698" s="17" t="n">
        <v>1</v>
      </c>
      <c r="O3698" s="17" t="str">
        <f aca="false">VLOOKUP(N3698,Sheet2!G:H,2,0)</f>
        <v>Dead</v>
      </c>
      <c r="P3698" s="17" t="n">
        <v>11</v>
      </c>
      <c r="Q3698" s="17" t="str">
        <f aca="false">VLOOKUP(P3698,Sheet2!J:K,2,0)</f>
        <v>IR Declared due to CID -TA</v>
      </c>
      <c r="R3698" s="17" t="s">
        <v>35</v>
      </c>
      <c r="S3698" s="17" t="str">
        <f aca="false">VLOOKUP(R3698,Sheet2!N:O,2,0)</f>
        <v>IREPARABLE</v>
      </c>
      <c r="T3698" s="18" t="str">
        <f aca="false">VLOOKUP(P3698,Sheet2!Q:R,2,0)</f>
        <v>IR Normal - Track burn out</v>
      </c>
      <c r="U3698" s="20" t="s">
        <v>41</v>
      </c>
      <c r="V3698" s="17"/>
      <c r="W3698" s="20" t="e">
        <f aca="false">VLOOKUP(V3698,Sheet2!Q:R,2,0)</f>
        <v>#N/A</v>
      </c>
      <c r="X3698" s="17" t="n">
        <f aca="false">J3698</f>
        <v>0</v>
      </c>
      <c r="Y3698" s="17" t="e">
        <f aca="false">VLOOKUP(X3698,Sheet2!A:B,2,0)</f>
        <v>#N/A</v>
      </c>
      <c r="Z3698" s="17"/>
      <c r="AA3698" s="17"/>
      <c r="AB3698" s="17" t="s">
        <v>41</v>
      </c>
      <c r="AC3698" s="0" t="str">
        <f aca="false">LEFT(G3698,2)</f>
        <v/>
      </c>
      <c r="AE3698" s="0"/>
    </row>
    <row r="3699" customFormat="false" ht="15" hidden="false" customHeight="false" outlineLevel="0" collapsed="false">
      <c r="A3699" s="13" t="n">
        <f aca="false">1+A3698</f>
        <v>3697</v>
      </c>
      <c r="B3699" s="14" t="n">
        <v>100</v>
      </c>
      <c r="C3699" s="15"/>
      <c r="D3699" s="16" t="s">
        <v>64</v>
      </c>
      <c r="E3699" s="17" t="s">
        <v>47</v>
      </c>
      <c r="F3699" s="18" t="s">
        <v>34</v>
      </c>
      <c r="G3699" s="19"/>
      <c r="H3699" s="17" t="s">
        <v>35</v>
      </c>
      <c r="I3699" s="17" t="s">
        <v>44</v>
      </c>
      <c r="J3699" s="17"/>
      <c r="K3699" s="17" t="e">
        <f aca="false">VLOOKUP(J3699,Sheet2!A:B,2,0)</f>
        <v>#N/A</v>
      </c>
      <c r="L3699" s="17" t="n">
        <v>5</v>
      </c>
      <c r="M3699" s="17" t="str">
        <f aca="false">VLOOKUP(L3699,Sheet2!D:E,2,0)</f>
        <v>Main Processor CPU BGA</v>
      </c>
      <c r="N3699" s="17" t="n">
        <v>1</v>
      </c>
      <c r="O3699" s="17" t="str">
        <f aca="false">VLOOKUP(N3699,Sheet2!G:H,2,0)</f>
        <v>Dead</v>
      </c>
      <c r="P3699" s="17" t="n">
        <v>11</v>
      </c>
      <c r="Q3699" s="17" t="str">
        <f aca="false">VLOOKUP(P3699,Sheet2!J:K,2,0)</f>
        <v>IR Declared due to CID -TA</v>
      </c>
      <c r="R3699" s="17" t="s">
        <v>35</v>
      </c>
      <c r="S3699" s="17" t="str">
        <f aca="false">VLOOKUP(R3699,Sheet2!N:O,2,0)</f>
        <v>IREPARABLE</v>
      </c>
      <c r="T3699" s="18" t="str">
        <f aca="false">VLOOKUP(P3699,Sheet2!Q:R,2,0)</f>
        <v>IR Normal - Track burn out</v>
      </c>
      <c r="U3699" s="20" t="s">
        <v>41</v>
      </c>
      <c r="V3699" s="17"/>
      <c r="W3699" s="20" t="e">
        <f aca="false">VLOOKUP(V3699,Sheet2!Q:R,2,0)</f>
        <v>#N/A</v>
      </c>
      <c r="X3699" s="17" t="n">
        <f aca="false">J3699</f>
        <v>0</v>
      </c>
      <c r="Y3699" s="17" t="e">
        <f aca="false">VLOOKUP(X3699,Sheet2!A:B,2,0)</f>
        <v>#N/A</v>
      </c>
      <c r="Z3699" s="17"/>
      <c r="AA3699" s="17"/>
      <c r="AB3699" s="17" t="s">
        <v>41</v>
      </c>
      <c r="AC3699" s="0" t="str">
        <f aca="false">LEFT(G3699,2)</f>
        <v/>
      </c>
      <c r="AE3699" s="0"/>
    </row>
    <row r="3700" customFormat="false" ht="15" hidden="false" customHeight="false" outlineLevel="0" collapsed="false">
      <c r="A3700" s="13" t="n">
        <f aca="false">1+A3699</f>
        <v>3698</v>
      </c>
      <c r="B3700" s="14" t="n">
        <v>100</v>
      </c>
      <c r="C3700" s="15"/>
      <c r="D3700" s="16" t="s">
        <v>64</v>
      </c>
      <c r="E3700" s="17" t="s">
        <v>47</v>
      </c>
      <c r="F3700" s="18" t="s">
        <v>34</v>
      </c>
      <c r="G3700" s="19"/>
      <c r="H3700" s="17" t="s">
        <v>35</v>
      </c>
      <c r="I3700" s="17" t="s">
        <v>44</v>
      </c>
      <c r="J3700" s="17"/>
      <c r="K3700" s="17" t="e">
        <f aca="false">VLOOKUP(J3700,Sheet2!A:B,2,0)</f>
        <v>#N/A</v>
      </c>
      <c r="L3700" s="17" t="n">
        <v>5</v>
      </c>
      <c r="M3700" s="17" t="str">
        <f aca="false">VLOOKUP(L3700,Sheet2!D:E,2,0)</f>
        <v>Main Processor CPU BGA</v>
      </c>
      <c r="N3700" s="17" t="n">
        <v>1</v>
      </c>
      <c r="O3700" s="17" t="str">
        <f aca="false">VLOOKUP(N3700,Sheet2!G:H,2,0)</f>
        <v>Dead</v>
      </c>
      <c r="P3700" s="17" t="n">
        <v>11</v>
      </c>
      <c r="Q3700" s="17" t="str">
        <f aca="false">VLOOKUP(P3700,Sheet2!J:K,2,0)</f>
        <v>IR Declared due to CID -TA</v>
      </c>
      <c r="R3700" s="17" t="s">
        <v>35</v>
      </c>
      <c r="S3700" s="17" t="str">
        <f aca="false">VLOOKUP(R3700,Sheet2!N:O,2,0)</f>
        <v>IREPARABLE</v>
      </c>
      <c r="T3700" s="18" t="str">
        <f aca="false">VLOOKUP(P3700,Sheet2!Q:R,2,0)</f>
        <v>IR Normal - Track burn out</v>
      </c>
      <c r="U3700" s="20" t="s">
        <v>41</v>
      </c>
      <c r="V3700" s="17"/>
      <c r="W3700" s="20" t="e">
        <f aca="false">VLOOKUP(V3700,Sheet2!Q:R,2,0)</f>
        <v>#N/A</v>
      </c>
      <c r="X3700" s="17" t="n">
        <f aca="false">J3700</f>
        <v>0</v>
      </c>
      <c r="Y3700" s="17" t="e">
        <f aca="false">VLOOKUP(X3700,Sheet2!A:B,2,0)</f>
        <v>#N/A</v>
      </c>
      <c r="Z3700" s="17"/>
      <c r="AA3700" s="17"/>
      <c r="AB3700" s="17" t="s">
        <v>41</v>
      </c>
      <c r="AC3700" s="0" t="str">
        <f aca="false">LEFT(G3700,2)</f>
        <v/>
      </c>
      <c r="AE3700" s="0"/>
    </row>
    <row r="3701" customFormat="false" ht="15" hidden="false" customHeight="false" outlineLevel="0" collapsed="false">
      <c r="A3701" s="13" t="n">
        <f aca="false">1+A3700</f>
        <v>3699</v>
      </c>
      <c r="B3701" s="14" t="n">
        <v>100</v>
      </c>
      <c r="C3701" s="15"/>
      <c r="D3701" s="16" t="s">
        <v>64</v>
      </c>
      <c r="E3701" s="17" t="s">
        <v>47</v>
      </c>
      <c r="F3701" s="18" t="s">
        <v>34</v>
      </c>
      <c r="G3701" s="19"/>
      <c r="H3701" s="17" t="s">
        <v>35</v>
      </c>
      <c r="I3701" s="17" t="s">
        <v>44</v>
      </c>
      <c r="J3701" s="17"/>
      <c r="K3701" s="17" t="e">
        <f aca="false">VLOOKUP(J3701,Sheet2!A:B,2,0)</f>
        <v>#N/A</v>
      </c>
      <c r="L3701" s="17" t="n">
        <v>5</v>
      </c>
      <c r="M3701" s="17" t="str">
        <f aca="false">VLOOKUP(L3701,Sheet2!D:E,2,0)</f>
        <v>Main Processor CPU BGA</v>
      </c>
      <c r="N3701" s="17" t="n">
        <v>1</v>
      </c>
      <c r="O3701" s="17" t="str">
        <f aca="false">VLOOKUP(N3701,Sheet2!G:H,2,0)</f>
        <v>Dead</v>
      </c>
      <c r="P3701" s="17" t="n">
        <v>11</v>
      </c>
      <c r="Q3701" s="17" t="str">
        <f aca="false">VLOOKUP(P3701,Sheet2!J:K,2,0)</f>
        <v>IR Declared due to CID -TA</v>
      </c>
      <c r="R3701" s="17" t="s">
        <v>35</v>
      </c>
      <c r="S3701" s="17" t="str">
        <f aca="false">VLOOKUP(R3701,Sheet2!N:O,2,0)</f>
        <v>IREPARABLE</v>
      </c>
      <c r="T3701" s="18" t="str">
        <f aca="false">VLOOKUP(P3701,Sheet2!Q:R,2,0)</f>
        <v>IR Normal - Track burn out</v>
      </c>
      <c r="U3701" s="20" t="s">
        <v>41</v>
      </c>
      <c r="V3701" s="17"/>
      <c r="W3701" s="20" t="e">
        <f aca="false">VLOOKUP(V3701,Sheet2!Q:R,2,0)</f>
        <v>#N/A</v>
      </c>
      <c r="X3701" s="17" t="n">
        <f aca="false">J3701</f>
        <v>0</v>
      </c>
      <c r="Y3701" s="17" t="e">
        <f aca="false">VLOOKUP(X3701,Sheet2!A:B,2,0)</f>
        <v>#N/A</v>
      </c>
      <c r="Z3701" s="17"/>
      <c r="AA3701" s="17"/>
      <c r="AB3701" s="17" t="s">
        <v>41</v>
      </c>
      <c r="AC3701" s="0" t="str">
        <f aca="false">LEFT(G3701,2)</f>
        <v/>
      </c>
      <c r="AE3701" s="0"/>
    </row>
    <row r="3702" customFormat="false" ht="15" hidden="false" customHeight="false" outlineLevel="0" collapsed="false">
      <c r="A3702" s="13" t="n">
        <f aca="false">1+A3701</f>
        <v>3700</v>
      </c>
      <c r="B3702" s="14" t="n">
        <v>100</v>
      </c>
      <c r="C3702" s="15"/>
      <c r="D3702" s="16" t="s">
        <v>64</v>
      </c>
      <c r="E3702" s="17" t="s">
        <v>47</v>
      </c>
      <c r="F3702" s="18" t="s">
        <v>34</v>
      </c>
      <c r="G3702" s="19"/>
      <c r="H3702" s="17" t="s">
        <v>35</v>
      </c>
      <c r="I3702" s="17" t="s">
        <v>44</v>
      </c>
      <c r="J3702" s="17"/>
      <c r="K3702" s="17" t="e">
        <f aca="false">VLOOKUP(J3702,Sheet2!A:B,2,0)</f>
        <v>#N/A</v>
      </c>
      <c r="L3702" s="17" t="n">
        <v>5</v>
      </c>
      <c r="M3702" s="17" t="str">
        <f aca="false">VLOOKUP(L3702,Sheet2!D:E,2,0)</f>
        <v>Main Processor CPU BGA</v>
      </c>
      <c r="N3702" s="17" t="n">
        <v>1</v>
      </c>
      <c r="O3702" s="17" t="str">
        <f aca="false">VLOOKUP(N3702,Sheet2!G:H,2,0)</f>
        <v>Dead</v>
      </c>
      <c r="P3702" s="17" t="n">
        <v>11</v>
      </c>
      <c r="Q3702" s="17" t="str">
        <f aca="false">VLOOKUP(P3702,Sheet2!J:K,2,0)</f>
        <v>IR Declared due to CID -TA</v>
      </c>
      <c r="R3702" s="17" t="s">
        <v>35</v>
      </c>
      <c r="S3702" s="17" t="str">
        <f aca="false">VLOOKUP(R3702,Sheet2!N:O,2,0)</f>
        <v>IREPARABLE</v>
      </c>
      <c r="T3702" s="18" t="str">
        <f aca="false">VLOOKUP(P3702,Sheet2!Q:R,2,0)</f>
        <v>IR Normal - Track burn out</v>
      </c>
      <c r="U3702" s="20" t="s">
        <v>41</v>
      </c>
      <c r="V3702" s="17"/>
      <c r="W3702" s="20" t="e">
        <f aca="false">VLOOKUP(V3702,Sheet2!Q:R,2,0)</f>
        <v>#N/A</v>
      </c>
      <c r="X3702" s="17" t="n">
        <f aca="false">J3702</f>
        <v>0</v>
      </c>
      <c r="Y3702" s="17" t="e">
        <f aca="false">VLOOKUP(X3702,Sheet2!A:B,2,0)</f>
        <v>#N/A</v>
      </c>
      <c r="Z3702" s="17"/>
      <c r="AA3702" s="17"/>
      <c r="AB3702" s="17" t="s">
        <v>41</v>
      </c>
      <c r="AC3702" s="0" t="str">
        <f aca="false">LEFT(G3702,2)</f>
        <v/>
      </c>
      <c r="AE3702" s="0"/>
    </row>
    <row r="3703" customFormat="false" ht="15" hidden="false" customHeight="false" outlineLevel="0" collapsed="false">
      <c r="A3703" s="13" t="n">
        <f aca="false">1+A3702</f>
        <v>3701</v>
      </c>
      <c r="B3703" s="14" t="n">
        <v>100</v>
      </c>
      <c r="C3703" s="15"/>
      <c r="D3703" s="16" t="s">
        <v>64</v>
      </c>
      <c r="E3703" s="17" t="s">
        <v>47</v>
      </c>
      <c r="F3703" s="18" t="s">
        <v>34</v>
      </c>
      <c r="G3703" s="19"/>
      <c r="H3703" s="17" t="s">
        <v>35</v>
      </c>
      <c r="I3703" s="17" t="s">
        <v>44</v>
      </c>
      <c r="J3703" s="17"/>
      <c r="K3703" s="17" t="e">
        <f aca="false">VLOOKUP(J3703,Sheet2!A:B,2,0)</f>
        <v>#N/A</v>
      </c>
      <c r="L3703" s="17" t="n">
        <v>5</v>
      </c>
      <c r="M3703" s="17" t="str">
        <f aca="false">VLOOKUP(L3703,Sheet2!D:E,2,0)</f>
        <v>Main Processor CPU BGA</v>
      </c>
      <c r="N3703" s="17" t="n">
        <v>1</v>
      </c>
      <c r="O3703" s="17" t="str">
        <f aca="false">VLOOKUP(N3703,Sheet2!G:H,2,0)</f>
        <v>Dead</v>
      </c>
      <c r="P3703" s="17" t="n">
        <v>11</v>
      </c>
      <c r="Q3703" s="17" t="str">
        <f aca="false">VLOOKUP(P3703,Sheet2!J:K,2,0)</f>
        <v>IR Declared due to CID -TA</v>
      </c>
      <c r="R3703" s="17" t="s">
        <v>35</v>
      </c>
      <c r="S3703" s="17" t="str">
        <f aca="false">VLOOKUP(R3703,Sheet2!N:O,2,0)</f>
        <v>IREPARABLE</v>
      </c>
      <c r="T3703" s="18" t="str">
        <f aca="false">VLOOKUP(P3703,Sheet2!Q:R,2,0)</f>
        <v>IR Normal - Track burn out</v>
      </c>
      <c r="U3703" s="20" t="s">
        <v>41</v>
      </c>
      <c r="V3703" s="17"/>
      <c r="W3703" s="20" t="e">
        <f aca="false">VLOOKUP(V3703,Sheet2!Q:R,2,0)</f>
        <v>#N/A</v>
      </c>
      <c r="X3703" s="17" t="n">
        <f aca="false">J3703</f>
        <v>0</v>
      </c>
      <c r="Y3703" s="17" t="e">
        <f aca="false">VLOOKUP(X3703,Sheet2!A:B,2,0)</f>
        <v>#N/A</v>
      </c>
      <c r="Z3703" s="17"/>
      <c r="AA3703" s="17"/>
      <c r="AB3703" s="17" t="s">
        <v>41</v>
      </c>
      <c r="AC3703" s="0" t="str">
        <f aca="false">LEFT(G3703,2)</f>
        <v/>
      </c>
      <c r="AE3703" s="0"/>
    </row>
    <row r="3704" customFormat="false" ht="15" hidden="false" customHeight="false" outlineLevel="0" collapsed="false">
      <c r="A3704" s="13" t="n">
        <f aca="false">1+A3703</f>
        <v>3702</v>
      </c>
      <c r="B3704" s="14" t="n">
        <v>100</v>
      </c>
      <c r="C3704" s="15"/>
      <c r="D3704" s="16" t="s">
        <v>64</v>
      </c>
      <c r="E3704" s="17" t="s">
        <v>47</v>
      </c>
      <c r="F3704" s="18" t="s">
        <v>34</v>
      </c>
      <c r="G3704" s="19"/>
      <c r="H3704" s="17" t="s">
        <v>35</v>
      </c>
      <c r="I3704" s="17" t="s">
        <v>44</v>
      </c>
      <c r="J3704" s="17"/>
      <c r="K3704" s="17" t="e">
        <f aca="false">VLOOKUP(J3704,Sheet2!A:B,2,0)</f>
        <v>#N/A</v>
      </c>
      <c r="L3704" s="17" t="n">
        <v>5</v>
      </c>
      <c r="M3704" s="17" t="str">
        <f aca="false">VLOOKUP(L3704,Sheet2!D:E,2,0)</f>
        <v>Main Processor CPU BGA</v>
      </c>
      <c r="N3704" s="17" t="n">
        <v>1</v>
      </c>
      <c r="O3704" s="17" t="str">
        <f aca="false">VLOOKUP(N3704,Sheet2!G:H,2,0)</f>
        <v>Dead</v>
      </c>
      <c r="P3704" s="17" t="n">
        <v>11</v>
      </c>
      <c r="Q3704" s="17" t="str">
        <f aca="false">VLOOKUP(P3704,Sheet2!J:K,2,0)</f>
        <v>IR Declared due to CID -TA</v>
      </c>
      <c r="R3704" s="17" t="s">
        <v>35</v>
      </c>
      <c r="S3704" s="17" t="str">
        <f aca="false">VLOOKUP(R3704,Sheet2!N:O,2,0)</f>
        <v>IREPARABLE</v>
      </c>
      <c r="T3704" s="18" t="str">
        <f aca="false">VLOOKUP(P3704,Sheet2!Q:R,2,0)</f>
        <v>IR Normal - Track burn out</v>
      </c>
      <c r="U3704" s="20" t="s">
        <v>41</v>
      </c>
      <c r="V3704" s="17"/>
      <c r="W3704" s="20" t="e">
        <f aca="false">VLOOKUP(V3704,Sheet2!Q:R,2,0)</f>
        <v>#N/A</v>
      </c>
      <c r="X3704" s="17" t="n">
        <f aca="false">J3704</f>
        <v>0</v>
      </c>
      <c r="Y3704" s="17" t="e">
        <f aca="false">VLOOKUP(X3704,Sheet2!A:B,2,0)</f>
        <v>#N/A</v>
      </c>
      <c r="Z3704" s="17"/>
      <c r="AA3704" s="17"/>
      <c r="AB3704" s="17" t="s">
        <v>41</v>
      </c>
      <c r="AC3704" s="0" t="str">
        <f aca="false">LEFT(G3704,2)</f>
        <v/>
      </c>
      <c r="AE3704" s="0"/>
    </row>
    <row r="3705" customFormat="false" ht="15" hidden="false" customHeight="false" outlineLevel="0" collapsed="false">
      <c r="A3705" s="13" t="n">
        <f aca="false">1+A3704</f>
        <v>3703</v>
      </c>
      <c r="B3705" s="14" t="n">
        <v>100</v>
      </c>
      <c r="C3705" s="15"/>
      <c r="D3705" s="16" t="s">
        <v>64</v>
      </c>
      <c r="E3705" s="17" t="s">
        <v>47</v>
      </c>
      <c r="F3705" s="18" t="s">
        <v>34</v>
      </c>
      <c r="G3705" s="19"/>
      <c r="H3705" s="17" t="s">
        <v>35</v>
      </c>
      <c r="I3705" s="17" t="s">
        <v>44</v>
      </c>
      <c r="J3705" s="17"/>
      <c r="K3705" s="17" t="e">
        <f aca="false">VLOOKUP(J3705,Sheet2!A:B,2,0)</f>
        <v>#N/A</v>
      </c>
      <c r="L3705" s="17" t="n">
        <v>5</v>
      </c>
      <c r="M3705" s="17" t="str">
        <f aca="false">VLOOKUP(L3705,Sheet2!D:E,2,0)</f>
        <v>Main Processor CPU BGA</v>
      </c>
      <c r="N3705" s="17" t="n">
        <v>1</v>
      </c>
      <c r="O3705" s="17" t="str">
        <f aca="false">VLOOKUP(N3705,Sheet2!G:H,2,0)</f>
        <v>Dead</v>
      </c>
      <c r="P3705" s="17" t="n">
        <v>11</v>
      </c>
      <c r="Q3705" s="17" t="str">
        <f aca="false">VLOOKUP(P3705,Sheet2!J:K,2,0)</f>
        <v>IR Declared due to CID -TA</v>
      </c>
      <c r="R3705" s="17" t="s">
        <v>35</v>
      </c>
      <c r="S3705" s="17" t="str">
        <f aca="false">VLOOKUP(R3705,Sheet2!N:O,2,0)</f>
        <v>IREPARABLE</v>
      </c>
      <c r="T3705" s="18" t="str">
        <f aca="false">VLOOKUP(P3705,Sheet2!Q:R,2,0)</f>
        <v>IR Normal - Track burn out</v>
      </c>
      <c r="U3705" s="20" t="s">
        <v>41</v>
      </c>
      <c r="V3705" s="17"/>
      <c r="W3705" s="20" t="e">
        <f aca="false">VLOOKUP(V3705,Sheet2!Q:R,2,0)</f>
        <v>#N/A</v>
      </c>
      <c r="X3705" s="17" t="n">
        <f aca="false">J3705</f>
        <v>0</v>
      </c>
      <c r="Y3705" s="17" t="e">
        <f aca="false">VLOOKUP(X3705,Sheet2!A:B,2,0)</f>
        <v>#N/A</v>
      </c>
      <c r="Z3705" s="17"/>
      <c r="AA3705" s="17"/>
      <c r="AB3705" s="17" t="s">
        <v>41</v>
      </c>
      <c r="AC3705" s="0" t="str">
        <f aca="false">LEFT(G3705,2)</f>
        <v/>
      </c>
      <c r="AE3705" s="0"/>
    </row>
    <row r="3706" customFormat="false" ht="15" hidden="false" customHeight="false" outlineLevel="0" collapsed="false">
      <c r="A3706" s="13" t="n">
        <f aca="false">1+A3705</f>
        <v>3704</v>
      </c>
      <c r="B3706" s="14" t="n">
        <v>100</v>
      </c>
      <c r="C3706" s="15"/>
      <c r="D3706" s="16" t="s">
        <v>64</v>
      </c>
      <c r="E3706" s="17" t="s">
        <v>47</v>
      </c>
      <c r="F3706" s="18" t="s">
        <v>34</v>
      </c>
      <c r="G3706" s="19"/>
      <c r="H3706" s="17" t="s">
        <v>35</v>
      </c>
      <c r="I3706" s="17" t="s">
        <v>44</v>
      </c>
      <c r="J3706" s="17"/>
      <c r="K3706" s="17" t="e">
        <f aca="false">VLOOKUP(J3706,Sheet2!A:B,2,0)</f>
        <v>#N/A</v>
      </c>
      <c r="L3706" s="17" t="n">
        <v>5</v>
      </c>
      <c r="M3706" s="17" t="str">
        <f aca="false">VLOOKUP(L3706,Sheet2!D:E,2,0)</f>
        <v>Main Processor CPU BGA</v>
      </c>
      <c r="N3706" s="17" t="n">
        <v>1</v>
      </c>
      <c r="O3706" s="17" t="str">
        <f aca="false">VLOOKUP(N3706,Sheet2!G:H,2,0)</f>
        <v>Dead</v>
      </c>
      <c r="P3706" s="17" t="n">
        <v>11</v>
      </c>
      <c r="Q3706" s="17" t="str">
        <f aca="false">VLOOKUP(P3706,Sheet2!J:K,2,0)</f>
        <v>IR Declared due to CID -TA</v>
      </c>
      <c r="R3706" s="17" t="s">
        <v>35</v>
      </c>
      <c r="S3706" s="17" t="str">
        <f aca="false">VLOOKUP(R3706,Sheet2!N:O,2,0)</f>
        <v>IREPARABLE</v>
      </c>
      <c r="T3706" s="18" t="str">
        <f aca="false">VLOOKUP(P3706,Sheet2!Q:R,2,0)</f>
        <v>IR Normal - Track burn out</v>
      </c>
      <c r="U3706" s="20" t="s">
        <v>41</v>
      </c>
      <c r="V3706" s="17"/>
      <c r="W3706" s="20" t="e">
        <f aca="false">VLOOKUP(V3706,Sheet2!Q:R,2,0)</f>
        <v>#N/A</v>
      </c>
      <c r="X3706" s="17" t="n">
        <f aca="false">J3706</f>
        <v>0</v>
      </c>
      <c r="Y3706" s="17" t="e">
        <f aca="false">VLOOKUP(X3706,Sheet2!A:B,2,0)</f>
        <v>#N/A</v>
      </c>
      <c r="Z3706" s="17"/>
      <c r="AA3706" s="17"/>
      <c r="AB3706" s="17" t="s">
        <v>41</v>
      </c>
      <c r="AC3706" s="0" t="str">
        <f aca="false">LEFT(G3706,2)</f>
        <v/>
      </c>
      <c r="AE3706" s="0"/>
    </row>
    <row r="3707" customFormat="false" ht="15" hidden="false" customHeight="false" outlineLevel="0" collapsed="false">
      <c r="A3707" s="13" t="n">
        <f aca="false">1+A3706</f>
        <v>3705</v>
      </c>
      <c r="B3707" s="14" t="n">
        <v>100</v>
      </c>
      <c r="C3707" s="15"/>
      <c r="D3707" s="16" t="s">
        <v>64</v>
      </c>
      <c r="E3707" s="17" t="s">
        <v>47</v>
      </c>
      <c r="F3707" s="18" t="s">
        <v>34</v>
      </c>
      <c r="G3707" s="19"/>
      <c r="H3707" s="17" t="s">
        <v>35</v>
      </c>
      <c r="I3707" s="17" t="s">
        <v>44</v>
      </c>
      <c r="J3707" s="17"/>
      <c r="K3707" s="17" t="e">
        <f aca="false">VLOOKUP(J3707,Sheet2!A:B,2,0)</f>
        <v>#N/A</v>
      </c>
      <c r="L3707" s="17" t="n">
        <v>5</v>
      </c>
      <c r="M3707" s="17" t="str">
        <f aca="false">VLOOKUP(L3707,Sheet2!D:E,2,0)</f>
        <v>Main Processor CPU BGA</v>
      </c>
      <c r="N3707" s="17" t="n">
        <v>1</v>
      </c>
      <c r="O3707" s="17" t="str">
        <f aca="false">VLOOKUP(N3707,Sheet2!G:H,2,0)</f>
        <v>Dead</v>
      </c>
      <c r="P3707" s="17" t="n">
        <v>11</v>
      </c>
      <c r="Q3707" s="17" t="str">
        <f aca="false">VLOOKUP(P3707,Sheet2!J:K,2,0)</f>
        <v>IR Declared due to CID -TA</v>
      </c>
      <c r="R3707" s="17" t="s">
        <v>35</v>
      </c>
      <c r="S3707" s="17" t="str">
        <f aca="false">VLOOKUP(R3707,Sheet2!N:O,2,0)</f>
        <v>IREPARABLE</v>
      </c>
      <c r="T3707" s="18" t="str">
        <f aca="false">VLOOKUP(P3707,Sheet2!Q:R,2,0)</f>
        <v>IR Normal - Track burn out</v>
      </c>
      <c r="U3707" s="20" t="s">
        <v>41</v>
      </c>
      <c r="V3707" s="17"/>
      <c r="W3707" s="20" t="e">
        <f aca="false">VLOOKUP(V3707,Sheet2!Q:R,2,0)</f>
        <v>#N/A</v>
      </c>
      <c r="X3707" s="17" t="n">
        <f aca="false">J3707</f>
        <v>0</v>
      </c>
      <c r="Y3707" s="17" t="e">
        <f aca="false">VLOOKUP(X3707,Sheet2!A:B,2,0)</f>
        <v>#N/A</v>
      </c>
      <c r="Z3707" s="17"/>
      <c r="AA3707" s="17"/>
      <c r="AB3707" s="17" t="s">
        <v>41</v>
      </c>
      <c r="AC3707" s="0" t="str">
        <f aca="false">LEFT(G3707,2)</f>
        <v/>
      </c>
      <c r="AE3707" s="0"/>
    </row>
    <row r="3708" customFormat="false" ht="15" hidden="false" customHeight="false" outlineLevel="0" collapsed="false">
      <c r="A3708" s="13" t="n">
        <f aca="false">1+A3707</f>
        <v>3706</v>
      </c>
      <c r="B3708" s="14" t="n">
        <v>100</v>
      </c>
      <c r="C3708" s="15"/>
      <c r="D3708" s="16" t="s">
        <v>64</v>
      </c>
      <c r="E3708" s="17" t="s">
        <v>47</v>
      </c>
      <c r="F3708" s="18" t="s">
        <v>34</v>
      </c>
      <c r="G3708" s="19"/>
      <c r="H3708" s="17" t="s">
        <v>35</v>
      </c>
      <c r="I3708" s="17" t="s">
        <v>44</v>
      </c>
      <c r="J3708" s="17"/>
      <c r="K3708" s="17" t="e">
        <f aca="false">VLOOKUP(J3708,Sheet2!A:B,2,0)</f>
        <v>#N/A</v>
      </c>
      <c r="L3708" s="17" t="n">
        <v>5</v>
      </c>
      <c r="M3708" s="17" t="str">
        <f aca="false">VLOOKUP(L3708,Sheet2!D:E,2,0)</f>
        <v>Main Processor CPU BGA</v>
      </c>
      <c r="N3708" s="17" t="n">
        <v>1</v>
      </c>
      <c r="O3708" s="17" t="str">
        <f aca="false">VLOOKUP(N3708,Sheet2!G:H,2,0)</f>
        <v>Dead</v>
      </c>
      <c r="P3708" s="17" t="n">
        <v>11</v>
      </c>
      <c r="Q3708" s="17" t="str">
        <f aca="false">VLOOKUP(P3708,Sheet2!J:K,2,0)</f>
        <v>IR Declared due to CID -TA</v>
      </c>
      <c r="R3708" s="17" t="s">
        <v>35</v>
      </c>
      <c r="S3708" s="17" t="str">
        <f aca="false">VLOOKUP(R3708,Sheet2!N:O,2,0)</f>
        <v>IREPARABLE</v>
      </c>
      <c r="T3708" s="18" t="str">
        <f aca="false">VLOOKUP(P3708,Sheet2!Q:R,2,0)</f>
        <v>IR Normal - Track burn out</v>
      </c>
      <c r="U3708" s="20" t="s">
        <v>41</v>
      </c>
      <c r="V3708" s="17"/>
      <c r="W3708" s="20" t="e">
        <f aca="false">VLOOKUP(V3708,Sheet2!Q:R,2,0)</f>
        <v>#N/A</v>
      </c>
      <c r="X3708" s="17" t="n">
        <f aca="false">J3708</f>
        <v>0</v>
      </c>
      <c r="Y3708" s="17" t="e">
        <f aca="false">VLOOKUP(X3708,Sheet2!A:B,2,0)</f>
        <v>#N/A</v>
      </c>
      <c r="Z3708" s="17"/>
      <c r="AA3708" s="17"/>
      <c r="AB3708" s="17" t="s">
        <v>41</v>
      </c>
      <c r="AC3708" s="0" t="str">
        <f aca="false">LEFT(G3708,2)</f>
        <v/>
      </c>
      <c r="AE3708" s="0"/>
    </row>
    <row r="3709" customFormat="false" ht="15" hidden="false" customHeight="false" outlineLevel="0" collapsed="false">
      <c r="A3709" s="13" t="n">
        <f aca="false">1+A3708</f>
        <v>3707</v>
      </c>
      <c r="B3709" s="14" t="n">
        <v>100</v>
      </c>
      <c r="C3709" s="15"/>
      <c r="D3709" s="16" t="s">
        <v>64</v>
      </c>
      <c r="E3709" s="17" t="s">
        <v>47</v>
      </c>
      <c r="F3709" s="18" t="s">
        <v>34</v>
      </c>
      <c r="G3709" s="19"/>
      <c r="H3709" s="17" t="s">
        <v>35</v>
      </c>
      <c r="I3709" s="17" t="s">
        <v>44</v>
      </c>
      <c r="J3709" s="17"/>
      <c r="K3709" s="17" t="e">
        <f aca="false">VLOOKUP(J3709,Sheet2!A:B,2,0)</f>
        <v>#N/A</v>
      </c>
      <c r="L3709" s="17" t="n">
        <v>5</v>
      </c>
      <c r="M3709" s="17" t="str">
        <f aca="false">VLOOKUP(L3709,Sheet2!D:E,2,0)</f>
        <v>Main Processor CPU BGA</v>
      </c>
      <c r="N3709" s="17" t="n">
        <v>1</v>
      </c>
      <c r="O3709" s="17" t="str">
        <f aca="false">VLOOKUP(N3709,Sheet2!G:H,2,0)</f>
        <v>Dead</v>
      </c>
      <c r="P3709" s="17" t="n">
        <v>11</v>
      </c>
      <c r="Q3709" s="17" t="str">
        <f aca="false">VLOOKUP(P3709,Sheet2!J:K,2,0)</f>
        <v>IR Declared due to CID -TA</v>
      </c>
      <c r="R3709" s="17" t="s">
        <v>35</v>
      </c>
      <c r="S3709" s="17" t="str">
        <f aca="false">VLOOKUP(R3709,Sheet2!N:O,2,0)</f>
        <v>IREPARABLE</v>
      </c>
      <c r="T3709" s="18" t="str">
        <f aca="false">VLOOKUP(P3709,Sheet2!Q:R,2,0)</f>
        <v>IR Normal - Track burn out</v>
      </c>
      <c r="U3709" s="20" t="s">
        <v>41</v>
      </c>
      <c r="V3709" s="17"/>
      <c r="W3709" s="20" t="e">
        <f aca="false">VLOOKUP(V3709,Sheet2!Q:R,2,0)</f>
        <v>#N/A</v>
      </c>
      <c r="X3709" s="17" t="n">
        <f aca="false">J3709</f>
        <v>0</v>
      </c>
      <c r="Y3709" s="17" t="e">
        <f aca="false">VLOOKUP(X3709,Sheet2!A:B,2,0)</f>
        <v>#N/A</v>
      </c>
      <c r="Z3709" s="17"/>
      <c r="AA3709" s="17"/>
      <c r="AB3709" s="17" t="s">
        <v>41</v>
      </c>
      <c r="AC3709" s="0" t="str">
        <f aca="false">LEFT(G3709,2)</f>
        <v/>
      </c>
      <c r="AE3709" s="0"/>
    </row>
    <row r="3710" customFormat="false" ht="15" hidden="false" customHeight="false" outlineLevel="0" collapsed="false">
      <c r="A3710" s="13" t="n">
        <f aca="false">1+A3709</f>
        <v>3708</v>
      </c>
      <c r="B3710" s="14" t="n">
        <v>100</v>
      </c>
      <c r="C3710" s="15"/>
      <c r="D3710" s="16" t="s">
        <v>64</v>
      </c>
      <c r="E3710" s="17" t="s">
        <v>47</v>
      </c>
      <c r="F3710" s="18" t="s">
        <v>34</v>
      </c>
      <c r="G3710" s="19"/>
      <c r="H3710" s="17" t="s">
        <v>35</v>
      </c>
      <c r="I3710" s="17" t="s">
        <v>44</v>
      </c>
      <c r="J3710" s="17"/>
      <c r="K3710" s="17" t="e">
        <f aca="false">VLOOKUP(J3710,Sheet2!A:B,2,0)</f>
        <v>#N/A</v>
      </c>
      <c r="L3710" s="17" t="n">
        <v>5</v>
      </c>
      <c r="M3710" s="17" t="str">
        <f aca="false">VLOOKUP(L3710,Sheet2!D:E,2,0)</f>
        <v>Main Processor CPU BGA</v>
      </c>
      <c r="N3710" s="17" t="n">
        <v>1</v>
      </c>
      <c r="O3710" s="17" t="str">
        <f aca="false">VLOOKUP(N3710,Sheet2!G:H,2,0)</f>
        <v>Dead</v>
      </c>
      <c r="P3710" s="17" t="n">
        <v>11</v>
      </c>
      <c r="Q3710" s="17" t="str">
        <f aca="false">VLOOKUP(P3710,Sheet2!J:K,2,0)</f>
        <v>IR Declared due to CID -TA</v>
      </c>
      <c r="R3710" s="17" t="s">
        <v>35</v>
      </c>
      <c r="S3710" s="17" t="str">
        <f aca="false">VLOOKUP(R3710,Sheet2!N:O,2,0)</f>
        <v>IREPARABLE</v>
      </c>
      <c r="T3710" s="18" t="str">
        <f aca="false">VLOOKUP(P3710,Sheet2!Q:R,2,0)</f>
        <v>IR Normal - Track burn out</v>
      </c>
      <c r="U3710" s="20" t="s">
        <v>41</v>
      </c>
      <c r="V3710" s="17"/>
      <c r="W3710" s="20" t="e">
        <f aca="false">VLOOKUP(V3710,Sheet2!Q:R,2,0)</f>
        <v>#N/A</v>
      </c>
      <c r="X3710" s="17" t="n">
        <f aca="false">J3710</f>
        <v>0</v>
      </c>
      <c r="Y3710" s="17" t="e">
        <f aca="false">VLOOKUP(X3710,Sheet2!A:B,2,0)</f>
        <v>#N/A</v>
      </c>
      <c r="Z3710" s="17"/>
      <c r="AA3710" s="17"/>
      <c r="AB3710" s="17" t="s">
        <v>41</v>
      </c>
      <c r="AC3710" s="0" t="str">
        <f aca="false">LEFT(G3710,2)</f>
        <v/>
      </c>
      <c r="AE3710" s="0"/>
    </row>
    <row r="3711" customFormat="false" ht="15" hidden="false" customHeight="false" outlineLevel="0" collapsed="false">
      <c r="A3711" s="13" t="n">
        <f aca="false">1+A3710</f>
        <v>3709</v>
      </c>
      <c r="B3711" s="14" t="n">
        <v>100</v>
      </c>
      <c r="C3711" s="15"/>
      <c r="D3711" s="16" t="s">
        <v>64</v>
      </c>
      <c r="E3711" s="17" t="s">
        <v>47</v>
      </c>
      <c r="F3711" s="18" t="s">
        <v>34</v>
      </c>
      <c r="G3711" s="19"/>
      <c r="H3711" s="17" t="s">
        <v>35</v>
      </c>
      <c r="I3711" s="17" t="s">
        <v>44</v>
      </c>
      <c r="J3711" s="17"/>
      <c r="K3711" s="17" t="e">
        <f aca="false">VLOOKUP(J3711,Sheet2!A:B,2,0)</f>
        <v>#N/A</v>
      </c>
      <c r="L3711" s="17" t="n">
        <v>5</v>
      </c>
      <c r="M3711" s="17" t="str">
        <f aca="false">VLOOKUP(L3711,Sheet2!D:E,2,0)</f>
        <v>Main Processor CPU BGA</v>
      </c>
      <c r="N3711" s="17" t="n">
        <v>1</v>
      </c>
      <c r="O3711" s="17" t="str">
        <f aca="false">VLOOKUP(N3711,Sheet2!G:H,2,0)</f>
        <v>Dead</v>
      </c>
      <c r="P3711" s="17" t="n">
        <v>11</v>
      </c>
      <c r="Q3711" s="17" t="str">
        <f aca="false">VLOOKUP(P3711,Sheet2!J:K,2,0)</f>
        <v>IR Declared due to CID -TA</v>
      </c>
      <c r="R3711" s="17" t="s">
        <v>35</v>
      </c>
      <c r="S3711" s="17" t="str">
        <f aca="false">VLOOKUP(R3711,Sheet2!N:O,2,0)</f>
        <v>IREPARABLE</v>
      </c>
      <c r="T3711" s="18" t="str">
        <f aca="false">VLOOKUP(P3711,Sheet2!Q:R,2,0)</f>
        <v>IR Normal - Track burn out</v>
      </c>
      <c r="U3711" s="20" t="s">
        <v>41</v>
      </c>
      <c r="V3711" s="17"/>
      <c r="W3711" s="20" t="e">
        <f aca="false">VLOOKUP(V3711,Sheet2!Q:R,2,0)</f>
        <v>#N/A</v>
      </c>
      <c r="X3711" s="17" t="n">
        <f aca="false">J3711</f>
        <v>0</v>
      </c>
      <c r="Y3711" s="17" t="e">
        <f aca="false">VLOOKUP(X3711,Sheet2!A:B,2,0)</f>
        <v>#N/A</v>
      </c>
      <c r="Z3711" s="17"/>
      <c r="AA3711" s="17"/>
      <c r="AB3711" s="17" t="s">
        <v>41</v>
      </c>
      <c r="AC3711" s="0" t="str">
        <f aca="false">LEFT(G3711,2)</f>
        <v/>
      </c>
      <c r="AE3711" s="0"/>
    </row>
    <row r="3712" customFormat="false" ht="15" hidden="false" customHeight="false" outlineLevel="0" collapsed="false">
      <c r="A3712" s="13" t="n">
        <f aca="false">1+A3711</f>
        <v>3710</v>
      </c>
      <c r="B3712" s="14" t="n">
        <v>100</v>
      </c>
      <c r="C3712" s="15"/>
      <c r="D3712" s="16" t="s">
        <v>64</v>
      </c>
      <c r="E3712" s="17" t="s">
        <v>47</v>
      </c>
      <c r="F3712" s="18" t="s">
        <v>34</v>
      </c>
      <c r="G3712" s="19"/>
      <c r="H3712" s="17" t="s">
        <v>35</v>
      </c>
      <c r="I3712" s="17" t="s">
        <v>44</v>
      </c>
      <c r="J3712" s="17"/>
      <c r="K3712" s="17" t="e">
        <f aca="false">VLOOKUP(J3712,Sheet2!A:B,2,0)</f>
        <v>#N/A</v>
      </c>
      <c r="L3712" s="17" t="n">
        <v>5</v>
      </c>
      <c r="M3712" s="17" t="str">
        <f aca="false">VLOOKUP(L3712,Sheet2!D:E,2,0)</f>
        <v>Main Processor CPU BGA</v>
      </c>
      <c r="N3712" s="17" t="n">
        <v>1</v>
      </c>
      <c r="O3712" s="17" t="str">
        <f aca="false">VLOOKUP(N3712,Sheet2!G:H,2,0)</f>
        <v>Dead</v>
      </c>
      <c r="P3712" s="17" t="n">
        <v>11</v>
      </c>
      <c r="Q3712" s="17" t="str">
        <f aca="false">VLOOKUP(P3712,Sheet2!J:K,2,0)</f>
        <v>IR Declared due to CID -TA</v>
      </c>
      <c r="R3712" s="17" t="s">
        <v>35</v>
      </c>
      <c r="S3712" s="17" t="str">
        <f aca="false">VLOOKUP(R3712,Sheet2!N:O,2,0)</f>
        <v>IREPARABLE</v>
      </c>
      <c r="T3712" s="18" t="str">
        <f aca="false">VLOOKUP(P3712,Sheet2!Q:R,2,0)</f>
        <v>IR Normal - Track burn out</v>
      </c>
      <c r="U3712" s="20" t="s">
        <v>41</v>
      </c>
      <c r="V3712" s="17"/>
      <c r="W3712" s="20" t="e">
        <f aca="false">VLOOKUP(V3712,Sheet2!Q:R,2,0)</f>
        <v>#N/A</v>
      </c>
      <c r="X3712" s="17" t="n">
        <f aca="false">J3712</f>
        <v>0</v>
      </c>
      <c r="Y3712" s="17" t="e">
        <f aca="false">VLOOKUP(X3712,Sheet2!A:B,2,0)</f>
        <v>#N/A</v>
      </c>
      <c r="Z3712" s="17"/>
      <c r="AA3712" s="17"/>
      <c r="AB3712" s="17" t="s">
        <v>41</v>
      </c>
      <c r="AC3712" s="0" t="str">
        <f aca="false">LEFT(G3712,2)</f>
        <v/>
      </c>
      <c r="AE3712" s="0"/>
    </row>
    <row r="3713" customFormat="false" ht="15" hidden="false" customHeight="false" outlineLevel="0" collapsed="false">
      <c r="A3713" s="13" t="n">
        <f aca="false">1+A3712</f>
        <v>3711</v>
      </c>
      <c r="B3713" s="14" t="n">
        <v>100</v>
      </c>
      <c r="C3713" s="15"/>
      <c r="D3713" s="16" t="s">
        <v>64</v>
      </c>
      <c r="E3713" s="17" t="s">
        <v>47</v>
      </c>
      <c r="F3713" s="18" t="s">
        <v>34</v>
      </c>
      <c r="G3713" s="19"/>
      <c r="H3713" s="17" t="s">
        <v>35</v>
      </c>
      <c r="I3713" s="17" t="s">
        <v>44</v>
      </c>
      <c r="J3713" s="17"/>
      <c r="K3713" s="17" t="e">
        <f aca="false">VLOOKUP(J3713,Sheet2!A:B,2,0)</f>
        <v>#N/A</v>
      </c>
      <c r="L3713" s="17" t="n">
        <v>5</v>
      </c>
      <c r="M3713" s="17" t="str">
        <f aca="false">VLOOKUP(L3713,Sheet2!D:E,2,0)</f>
        <v>Main Processor CPU BGA</v>
      </c>
      <c r="N3713" s="17" t="n">
        <v>1</v>
      </c>
      <c r="O3713" s="17" t="str">
        <f aca="false">VLOOKUP(N3713,Sheet2!G:H,2,0)</f>
        <v>Dead</v>
      </c>
      <c r="P3713" s="17" t="n">
        <v>11</v>
      </c>
      <c r="Q3713" s="17" t="str">
        <f aca="false">VLOOKUP(P3713,Sheet2!J:K,2,0)</f>
        <v>IR Declared due to CID -TA</v>
      </c>
      <c r="R3713" s="17" t="s">
        <v>35</v>
      </c>
      <c r="S3713" s="17" t="str">
        <f aca="false">VLOOKUP(R3713,Sheet2!N:O,2,0)</f>
        <v>IREPARABLE</v>
      </c>
      <c r="T3713" s="18" t="str">
        <f aca="false">VLOOKUP(P3713,Sheet2!Q:R,2,0)</f>
        <v>IR Normal - Track burn out</v>
      </c>
      <c r="U3713" s="20" t="s">
        <v>41</v>
      </c>
      <c r="V3713" s="17"/>
      <c r="W3713" s="20" t="e">
        <f aca="false">VLOOKUP(V3713,Sheet2!Q:R,2,0)</f>
        <v>#N/A</v>
      </c>
      <c r="X3713" s="17" t="n">
        <f aca="false">J3713</f>
        <v>0</v>
      </c>
      <c r="Y3713" s="17" t="e">
        <f aca="false">VLOOKUP(X3713,Sheet2!A:B,2,0)</f>
        <v>#N/A</v>
      </c>
      <c r="Z3713" s="17"/>
      <c r="AA3713" s="17"/>
      <c r="AB3713" s="17" t="s">
        <v>41</v>
      </c>
      <c r="AC3713" s="0" t="str">
        <f aca="false">LEFT(G3713,2)</f>
        <v/>
      </c>
      <c r="AE3713" s="0"/>
    </row>
    <row r="3714" customFormat="false" ht="15" hidden="false" customHeight="false" outlineLevel="0" collapsed="false">
      <c r="A3714" s="13" t="n">
        <f aca="false">1+A3713</f>
        <v>3712</v>
      </c>
      <c r="B3714" s="14" t="n">
        <v>100</v>
      </c>
      <c r="C3714" s="15"/>
      <c r="D3714" s="16" t="s">
        <v>64</v>
      </c>
      <c r="E3714" s="17" t="s">
        <v>47</v>
      </c>
      <c r="F3714" s="18" t="s">
        <v>34</v>
      </c>
      <c r="G3714" s="19"/>
      <c r="H3714" s="17" t="s">
        <v>35</v>
      </c>
      <c r="I3714" s="17" t="s">
        <v>44</v>
      </c>
      <c r="J3714" s="17"/>
      <c r="K3714" s="17" t="e">
        <f aca="false">VLOOKUP(J3714,Sheet2!A:B,2,0)</f>
        <v>#N/A</v>
      </c>
      <c r="L3714" s="17" t="n">
        <v>5</v>
      </c>
      <c r="M3714" s="17" t="str">
        <f aca="false">VLOOKUP(L3714,Sheet2!D:E,2,0)</f>
        <v>Main Processor CPU BGA</v>
      </c>
      <c r="N3714" s="17" t="n">
        <v>1</v>
      </c>
      <c r="O3714" s="17" t="str">
        <f aca="false">VLOOKUP(N3714,Sheet2!G:H,2,0)</f>
        <v>Dead</v>
      </c>
      <c r="P3714" s="17" t="n">
        <v>11</v>
      </c>
      <c r="Q3714" s="17" t="str">
        <f aca="false">VLOOKUP(P3714,Sheet2!J:K,2,0)</f>
        <v>IR Declared due to CID -TA</v>
      </c>
      <c r="R3714" s="17" t="s">
        <v>35</v>
      </c>
      <c r="S3714" s="17" t="str">
        <f aca="false">VLOOKUP(R3714,Sheet2!N:O,2,0)</f>
        <v>IREPARABLE</v>
      </c>
      <c r="T3714" s="18" t="str">
        <f aca="false">VLOOKUP(P3714,Sheet2!Q:R,2,0)</f>
        <v>IR Normal - Track burn out</v>
      </c>
      <c r="U3714" s="20" t="s">
        <v>41</v>
      </c>
      <c r="V3714" s="17"/>
      <c r="W3714" s="20" t="e">
        <f aca="false">VLOOKUP(V3714,Sheet2!Q:R,2,0)</f>
        <v>#N/A</v>
      </c>
      <c r="X3714" s="17" t="n">
        <f aca="false">J3714</f>
        <v>0</v>
      </c>
      <c r="Y3714" s="17" t="e">
        <f aca="false">VLOOKUP(X3714,Sheet2!A:B,2,0)</f>
        <v>#N/A</v>
      </c>
      <c r="Z3714" s="17"/>
      <c r="AA3714" s="17"/>
      <c r="AB3714" s="17" t="s">
        <v>41</v>
      </c>
      <c r="AC3714" s="0" t="str">
        <f aca="false">LEFT(G3714,2)</f>
        <v/>
      </c>
      <c r="AE3714" s="0"/>
    </row>
    <row r="3715" customFormat="false" ht="15" hidden="false" customHeight="false" outlineLevel="0" collapsed="false">
      <c r="A3715" s="13" t="n">
        <f aca="false">1+A3714</f>
        <v>3713</v>
      </c>
      <c r="B3715" s="14" t="n">
        <v>100</v>
      </c>
      <c r="C3715" s="15"/>
      <c r="D3715" s="16" t="s">
        <v>64</v>
      </c>
      <c r="E3715" s="17" t="s">
        <v>47</v>
      </c>
      <c r="F3715" s="18" t="s">
        <v>34</v>
      </c>
      <c r="G3715" s="19"/>
      <c r="H3715" s="17" t="s">
        <v>35</v>
      </c>
      <c r="I3715" s="17" t="s">
        <v>44</v>
      </c>
      <c r="J3715" s="17"/>
      <c r="K3715" s="17" t="e">
        <f aca="false">VLOOKUP(J3715,Sheet2!A:B,2,0)</f>
        <v>#N/A</v>
      </c>
      <c r="L3715" s="17" t="n">
        <v>5</v>
      </c>
      <c r="M3715" s="17" t="str">
        <f aca="false">VLOOKUP(L3715,Sheet2!D:E,2,0)</f>
        <v>Main Processor CPU BGA</v>
      </c>
      <c r="N3715" s="17" t="n">
        <v>1</v>
      </c>
      <c r="O3715" s="17" t="str">
        <f aca="false">VLOOKUP(N3715,Sheet2!G:H,2,0)</f>
        <v>Dead</v>
      </c>
      <c r="P3715" s="17" t="n">
        <v>11</v>
      </c>
      <c r="Q3715" s="17" t="str">
        <f aca="false">VLOOKUP(P3715,Sheet2!J:K,2,0)</f>
        <v>IR Declared due to CID -TA</v>
      </c>
      <c r="R3715" s="17" t="s">
        <v>35</v>
      </c>
      <c r="S3715" s="17" t="str">
        <f aca="false">VLOOKUP(R3715,Sheet2!N:O,2,0)</f>
        <v>IREPARABLE</v>
      </c>
      <c r="T3715" s="18" t="str">
        <f aca="false">VLOOKUP(P3715,Sheet2!Q:R,2,0)</f>
        <v>IR Normal - Track burn out</v>
      </c>
      <c r="U3715" s="20" t="s">
        <v>41</v>
      </c>
      <c r="V3715" s="17"/>
      <c r="W3715" s="20" t="e">
        <f aca="false">VLOOKUP(V3715,Sheet2!Q:R,2,0)</f>
        <v>#N/A</v>
      </c>
      <c r="X3715" s="17" t="n">
        <f aca="false">J3715</f>
        <v>0</v>
      </c>
      <c r="Y3715" s="17" t="e">
        <f aca="false">VLOOKUP(X3715,Sheet2!A:B,2,0)</f>
        <v>#N/A</v>
      </c>
      <c r="Z3715" s="17"/>
      <c r="AA3715" s="17"/>
      <c r="AB3715" s="17" t="s">
        <v>41</v>
      </c>
      <c r="AC3715" s="0" t="str">
        <f aca="false">LEFT(G3715,2)</f>
        <v/>
      </c>
      <c r="AE3715" s="0"/>
    </row>
    <row r="3716" customFormat="false" ht="15" hidden="false" customHeight="false" outlineLevel="0" collapsed="false">
      <c r="A3716" s="13" t="n">
        <f aca="false">1+A3715</f>
        <v>3714</v>
      </c>
      <c r="B3716" s="14" t="n">
        <v>100</v>
      </c>
      <c r="C3716" s="15"/>
      <c r="D3716" s="16" t="s">
        <v>64</v>
      </c>
      <c r="E3716" s="17" t="s">
        <v>47</v>
      </c>
      <c r="F3716" s="18" t="s">
        <v>34</v>
      </c>
      <c r="G3716" s="19"/>
      <c r="H3716" s="17" t="s">
        <v>35</v>
      </c>
      <c r="I3716" s="17" t="s">
        <v>44</v>
      </c>
      <c r="J3716" s="17"/>
      <c r="K3716" s="17" t="e">
        <f aca="false">VLOOKUP(J3716,Sheet2!A:B,2,0)</f>
        <v>#N/A</v>
      </c>
      <c r="L3716" s="17" t="n">
        <v>5</v>
      </c>
      <c r="M3716" s="17" t="str">
        <f aca="false">VLOOKUP(L3716,Sheet2!D:E,2,0)</f>
        <v>Main Processor CPU BGA</v>
      </c>
      <c r="N3716" s="17" t="n">
        <v>1</v>
      </c>
      <c r="O3716" s="17" t="str">
        <f aca="false">VLOOKUP(N3716,Sheet2!G:H,2,0)</f>
        <v>Dead</v>
      </c>
      <c r="P3716" s="17" t="n">
        <v>11</v>
      </c>
      <c r="Q3716" s="17" t="str">
        <f aca="false">VLOOKUP(P3716,Sheet2!J:K,2,0)</f>
        <v>IR Declared due to CID -TA</v>
      </c>
      <c r="R3716" s="17" t="s">
        <v>35</v>
      </c>
      <c r="S3716" s="17" t="str">
        <f aca="false">VLOOKUP(R3716,Sheet2!N:O,2,0)</f>
        <v>IREPARABLE</v>
      </c>
      <c r="T3716" s="18" t="str">
        <f aca="false">VLOOKUP(P3716,Sheet2!Q:R,2,0)</f>
        <v>IR Normal - Track burn out</v>
      </c>
      <c r="U3716" s="20" t="s">
        <v>41</v>
      </c>
      <c r="V3716" s="17"/>
      <c r="W3716" s="20" t="e">
        <f aca="false">VLOOKUP(V3716,Sheet2!Q:R,2,0)</f>
        <v>#N/A</v>
      </c>
      <c r="X3716" s="17" t="n">
        <f aca="false">J3716</f>
        <v>0</v>
      </c>
      <c r="Y3716" s="17" t="e">
        <f aca="false">VLOOKUP(X3716,Sheet2!A:B,2,0)</f>
        <v>#N/A</v>
      </c>
      <c r="Z3716" s="17"/>
      <c r="AA3716" s="17"/>
      <c r="AB3716" s="17" t="s">
        <v>41</v>
      </c>
      <c r="AC3716" s="0" t="str">
        <f aca="false">LEFT(G3716,2)</f>
        <v/>
      </c>
      <c r="AE3716" s="0"/>
    </row>
    <row r="3717" customFormat="false" ht="15" hidden="false" customHeight="false" outlineLevel="0" collapsed="false">
      <c r="A3717" s="13" t="n">
        <f aca="false">1+A3716</f>
        <v>3715</v>
      </c>
      <c r="B3717" s="14" t="n">
        <v>100</v>
      </c>
      <c r="C3717" s="15"/>
      <c r="D3717" s="16" t="s">
        <v>64</v>
      </c>
      <c r="E3717" s="17" t="s">
        <v>47</v>
      </c>
      <c r="F3717" s="18" t="s">
        <v>34</v>
      </c>
      <c r="G3717" s="19"/>
      <c r="H3717" s="17" t="s">
        <v>35</v>
      </c>
      <c r="I3717" s="17" t="s">
        <v>44</v>
      </c>
      <c r="J3717" s="17"/>
      <c r="K3717" s="17" t="e">
        <f aca="false">VLOOKUP(J3717,Sheet2!A:B,2,0)</f>
        <v>#N/A</v>
      </c>
      <c r="L3717" s="17" t="n">
        <v>5</v>
      </c>
      <c r="M3717" s="17" t="str">
        <f aca="false">VLOOKUP(L3717,Sheet2!D:E,2,0)</f>
        <v>Main Processor CPU BGA</v>
      </c>
      <c r="N3717" s="17" t="n">
        <v>1</v>
      </c>
      <c r="O3717" s="17" t="str">
        <f aca="false">VLOOKUP(N3717,Sheet2!G:H,2,0)</f>
        <v>Dead</v>
      </c>
      <c r="P3717" s="17" t="n">
        <v>11</v>
      </c>
      <c r="Q3717" s="17" t="str">
        <f aca="false">VLOOKUP(P3717,Sheet2!J:K,2,0)</f>
        <v>IR Declared due to CID -TA</v>
      </c>
      <c r="R3717" s="17" t="s">
        <v>35</v>
      </c>
      <c r="S3717" s="17" t="str">
        <f aca="false">VLOOKUP(R3717,Sheet2!N:O,2,0)</f>
        <v>IREPARABLE</v>
      </c>
      <c r="T3717" s="18" t="str">
        <f aca="false">VLOOKUP(P3717,Sheet2!Q:R,2,0)</f>
        <v>IR Normal - Track burn out</v>
      </c>
      <c r="U3717" s="20" t="s">
        <v>41</v>
      </c>
      <c r="V3717" s="17"/>
      <c r="W3717" s="20" t="e">
        <f aca="false">VLOOKUP(V3717,Sheet2!Q:R,2,0)</f>
        <v>#N/A</v>
      </c>
      <c r="X3717" s="17" t="n">
        <f aca="false">J3717</f>
        <v>0</v>
      </c>
      <c r="Y3717" s="17" t="e">
        <f aca="false">VLOOKUP(X3717,Sheet2!A:B,2,0)</f>
        <v>#N/A</v>
      </c>
      <c r="Z3717" s="17"/>
      <c r="AA3717" s="17"/>
      <c r="AB3717" s="17" t="s">
        <v>41</v>
      </c>
      <c r="AC3717" s="0" t="str">
        <f aca="false">LEFT(G3717,2)</f>
        <v/>
      </c>
      <c r="AE3717" s="0"/>
    </row>
    <row r="3718" customFormat="false" ht="15" hidden="false" customHeight="false" outlineLevel="0" collapsed="false">
      <c r="A3718" s="13" t="n">
        <f aca="false">1+A3717</f>
        <v>3716</v>
      </c>
      <c r="B3718" s="14" t="n">
        <v>100</v>
      </c>
      <c r="C3718" s="15"/>
      <c r="D3718" s="16" t="s">
        <v>64</v>
      </c>
      <c r="E3718" s="17" t="s">
        <v>47</v>
      </c>
      <c r="F3718" s="18" t="s">
        <v>34</v>
      </c>
      <c r="G3718" s="19"/>
      <c r="H3718" s="17" t="s">
        <v>35</v>
      </c>
      <c r="I3718" s="17" t="s">
        <v>44</v>
      </c>
      <c r="J3718" s="17"/>
      <c r="K3718" s="17" t="e">
        <f aca="false">VLOOKUP(J3718,Sheet2!A:B,2,0)</f>
        <v>#N/A</v>
      </c>
      <c r="L3718" s="17" t="n">
        <v>5</v>
      </c>
      <c r="M3718" s="17" t="str">
        <f aca="false">VLOOKUP(L3718,Sheet2!D:E,2,0)</f>
        <v>Main Processor CPU BGA</v>
      </c>
      <c r="N3718" s="17" t="n">
        <v>1</v>
      </c>
      <c r="O3718" s="17" t="str">
        <f aca="false">VLOOKUP(N3718,Sheet2!G:H,2,0)</f>
        <v>Dead</v>
      </c>
      <c r="P3718" s="17" t="n">
        <v>11</v>
      </c>
      <c r="Q3718" s="17" t="str">
        <f aca="false">VLOOKUP(P3718,Sheet2!J:K,2,0)</f>
        <v>IR Declared due to CID -TA</v>
      </c>
      <c r="R3718" s="17" t="s">
        <v>35</v>
      </c>
      <c r="S3718" s="17" t="str">
        <f aca="false">VLOOKUP(R3718,Sheet2!N:O,2,0)</f>
        <v>IREPARABLE</v>
      </c>
      <c r="T3718" s="18" t="str">
        <f aca="false">VLOOKUP(P3718,Sheet2!Q:R,2,0)</f>
        <v>IR Normal - Track burn out</v>
      </c>
      <c r="U3718" s="20" t="s">
        <v>41</v>
      </c>
      <c r="V3718" s="17"/>
      <c r="W3718" s="20" t="e">
        <f aca="false">VLOOKUP(V3718,Sheet2!Q:R,2,0)</f>
        <v>#N/A</v>
      </c>
      <c r="X3718" s="17" t="n">
        <f aca="false">J3718</f>
        <v>0</v>
      </c>
      <c r="Y3718" s="17" t="e">
        <f aca="false">VLOOKUP(X3718,Sheet2!A:B,2,0)</f>
        <v>#N/A</v>
      </c>
      <c r="Z3718" s="17"/>
      <c r="AA3718" s="17"/>
      <c r="AB3718" s="17" t="s">
        <v>41</v>
      </c>
      <c r="AC3718" s="0" t="str">
        <f aca="false">LEFT(G3718,2)</f>
        <v/>
      </c>
      <c r="AE3718" s="0"/>
    </row>
    <row r="3719" customFormat="false" ht="15" hidden="false" customHeight="false" outlineLevel="0" collapsed="false">
      <c r="A3719" s="13" t="n">
        <f aca="false">1+A3718</f>
        <v>3717</v>
      </c>
      <c r="B3719" s="14" t="n">
        <v>100</v>
      </c>
      <c r="C3719" s="15"/>
      <c r="D3719" s="16" t="s">
        <v>64</v>
      </c>
      <c r="E3719" s="17" t="s">
        <v>47</v>
      </c>
      <c r="F3719" s="18" t="s">
        <v>34</v>
      </c>
      <c r="G3719" s="19"/>
      <c r="H3719" s="17" t="s">
        <v>35</v>
      </c>
      <c r="I3719" s="17" t="s">
        <v>44</v>
      </c>
      <c r="J3719" s="17"/>
      <c r="K3719" s="17" t="e">
        <f aca="false">VLOOKUP(J3719,Sheet2!A:B,2,0)</f>
        <v>#N/A</v>
      </c>
      <c r="L3719" s="17" t="n">
        <v>5</v>
      </c>
      <c r="M3719" s="17" t="str">
        <f aca="false">VLOOKUP(L3719,Sheet2!D:E,2,0)</f>
        <v>Main Processor CPU BGA</v>
      </c>
      <c r="N3719" s="17" t="n">
        <v>1</v>
      </c>
      <c r="O3719" s="17" t="str">
        <f aca="false">VLOOKUP(N3719,Sheet2!G:H,2,0)</f>
        <v>Dead</v>
      </c>
      <c r="P3719" s="17" t="n">
        <v>11</v>
      </c>
      <c r="Q3719" s="17" t="str">
        <f aca="false">VLOOKUP(P3719,Sheet2!J:K,2,0)</f>
        <v>IR Declared due to CID -TA</v>
      </c>
      <c r="R3719" s="17" t="s">
        <v>35</v>
      </c>
      <c r="S3719" s="17" t="str">
        <f aca="false">VLOOKUP(R3719,Sheet2!N:O,2,0)</f>
        <v>IREPARABLE</v>
      </c>
      <c r="T3719" s="18" t="str">
        <f aca="false">VLOOKUP(P3719,Sheet2!Q:R,2,0)</f>
        <v>IR Normal - Track burn out</v>
      </c>
      <c r="U3719" s="20" t="s">
        <v>41</v>
      </c>
      <c r="V3719" s="17"/>
      <c r="W3719" s="20" t="e">
        <f aca="false">VLOOKUP(V3719,Sheet2!Q:R,2,0)</f>
        <v>#N/A</v>
      </c>
      <c r="X3719" s="17" t="n">
        <f aca="false">J3719</f>
        <v>0</v>
      </c>
      <c r="Y3719" s="17" t="e">
        <f aca="false">VLOOKUP(X3719,Sheet2!A:B,2,0)</f>
        <v>#N/A</v>
      </c>
      <c r="Z3719" s="17"/>
      <c r="AA3719" s="17"/>
      <c r="AB3719" s="17" t="s">
        <v>41</v>
      </c>
      <c r="AC3719" s="0" t="str">
        <f aca="false">LEFT(G3719,2)</f>
        <v/>
      </c>
      <c r="AE3719" s="0"/>
    </row>
    <row r="3720" customFormat="false" ht="15" hidden="false" customHeight="false" outlineLevel="0" collapsed="false">
      <c r="A3720" s="13" t="n">
        <f aca="false">1+A3719</f>
        <v>3718</v>
      </c>
      <c r="B3720" s="14" t="n">
        <v>100</v>
      </c>
      <c r="C3720" s="15"/>
      <c r="D3720" s="16" t="s">
        <v>64</v>
      </c>
      <c r="E3720" s="17" t="s">
        <v>47</v>
      </c>
      <c r="F3720" s="18" t="s">
        <v>34</v>
      </c>
      <c r="G3720" s="19"/>
      <c r="H3720" s="17" t="s">
        <v>35</v>
      </c>
      <c r="I3720" s="17" t="s">
        <v>44</v>
      </c>
      <c r="J3720" s="17"/>
      <c r="K3720" s="17" t="e">
        <f aca="false">VLOOKUP(J3720,Sheet2!A:B,2,0)</f>
        <v>#N/A</v>
      </c>
      <c r="L3720" s="17" t="n">
        <v>5</v>
      </c>
      <c r="M3720" s="17" t="str">
        <f aca="false">VLOOKUP(L3720,Sheet2!D:E,2,0)</f>
        <v>Main Processor CPU BGA</v>
      </c>
      <c r="N3720" s="17" t="n">
        <v>1</v>
      </c>
      <c r="O3720" s="17" t="str">
        <f aca="false">VLOOKUP(N3720,Sheet2!G:H,2,0)</f>
        <v>Dead</v>
      </c>
      <c r="P3720" s="17" t="n">
        <v>11</v>
      </c>
      <c r="Q3720" s="17" t="str">
        <f aca="false">VLOOKUP(P3720,Sheet2!J:K,2,0)</f>
        <v>IR Declared due to CID -TA</v>
      </c>
      <c r="R3720" s="17" t="s">
        <v>35</v>
      </c>
      <c r="S3720" s="17" t="str">
        <f aca="false">VLOOKUP(R3720,Sheet2!N:O,2,0)</f>
        <v>IREPARABLE</v>
      </c>
      <c r="T3720" s="18" t="str">
        <f aca="false">VLOOKUP(P3720,Sheet2!Q:R,2,0)</f>
        <v>IR Normal - Track burn out</v>
      </c>
      <c r="U3720" s="20" t="s">
        <v>41</v>
      </c>
      <c r="V3720" s="17"/>
      <c r="W3720" s="20" t="e">
        <f aca="false">VLOOKUP(V3720,Sheet2!Q:R,2,0)</f>
        <v>#N/A</v>
      </c>
      <c r="X3720" s="17" t="n">
        <f aca="false">J3720</f>
        <v>0</v>
      </c>
      <c r="Y3720" s="17" t="e">
        <f aca="false">VLOOKUP(X3720,Sheet2!A:B,2,0)</f>
        <v>#N/A</v>
      </c>
      <c r="Z3720" s="17"/>
      <c r="AA3720" s="17"/>
      <c r="AB3720" s="17" t="s">
        <v>41</v>
      </c>
      <c r="AC3720" s="0" t="str">
        <f aca="false">LEFT(G3720,2)</f>
        <v/>
      </c>
      <c r="AE3720" s="0"/>
    </row>
    <row r="3721" customFormat="false" ht="15" hidden="false" customHeight="false" outlineLevel="0" collapsed="false">
      <c r="A3721" s="13" t="n">
        <f aca="false">1+A3720</f>
        <v>3719</v>
      </c>
      <c r="B3721" s="14" t="n">
        <v>100</v>
      </c>
      <c r="C3721" s="15"/>
      <c r="D3721" s="16" t="s">
        <v>64</v>
      </c>
      <c r="E3721" s="17" t="s">
        <v>47</v>
      </c>
      <c r="F3721" s="18" t="s">
        <v>34</v>
      </c>
      <c r="G3721" s="19"/>
      <c r="H3721" s="17" t="s">
        <v>35</v>
      </c>
      <c r="I3721" s="17" t="s">
        <v>44</v>
      </c>
      <c r="J3721" s="17"/>
      <c r="K3721" s="17" t="e">
        <f aca="false">VLOOKUP(J3721,Sheet2!A:B,2,0)</f>
        <v>#N/A</v>
      </c>
      <c r="L3721" s="17" t="n">
        <v>5</v>
      </c>
      <c r="M3721" s="17" t="str">
        <f aca="false">VLOOKUP(L3721,Sheet2!D:E,2,0)</f>
        <v>Main Processor CPU BGA</v>
      </c>
      <c r="N3721" s="17" t="n">
        <v>1</v>
      </c>
      <c r="O3721" s="17" t="str">
        <f aca="false">VLOOKUP(N3721,Sheet2!G:H,2,0)</f>
        <v>Dead</v>
      </c>
      <c r="P3721" s="17" t="n">
        <v>11</v>
      </c>
      <c r="Q3721" s="17" t="str">
        <f aca="false">VLOOKUP(P3721,Sheet2!J:K,2,0)</f>
        <v>IR Declared due to CID -TA</v>
      </c>
      <c r="R3721" s="17" t="s">
        <v>35</v>
      </c>
      <c r="S3721" s="17" t="str">
        <f aca="false">VLOOKUP(R3721,Sheet2!N:O,2,0)</f>
        <v>IREPARABLE</v>
      </c>
      <c r="T3721" s="18" t="str">
        <f aca="false">VLOOKUP(P3721,Sheet2!Q:R,2,0)</f>
        <v>IR Normal - Track burn out</v>
      </c>
      <c r="U3721" s="20" t="s">
        <v>41</v>
      </c>
      <c r="V3721" s="17"/>
      <c r="W3721" s="20" t="e">
        <f aca="false">VLOOKUP(V3721,Sheet2!Q:R,2,0)</f>
        <v>#N/A</v>
      </c>
      <c r="X3721" s="17" t="n">
        <f aca="false">J3721</f>
        <v>0</v>
      </c>
      <c r="Y3721" s="17" t="e">
        <f aca="false">VLOOKUP(X3721,Sheet2!A:B,2,0)</f>
        <v>#N/A</v>
      </c>
      <c r="Z3721" s="17"/>
      <c r="AA3721" s="17"/>
      <c r="AB3721" s="17" t="s">
        <v>41</v>
      </c>
      <c r="AC3721" s="0" t="str">
        <f aca="false">LEFT(G3721,2)</f>
        <v/>
      </c>
      <c r="AE3721" s="0"/>
    </row>
    <row r="3722" customFormat="false" ht="15" hidden="false" customHeight="false" outlineLevel="0" collapsed="false">
      <c r="A3722" s="13" t="n">
        <f aca="false">1+A3721</f>
        <v>3720</v>
      </c>
      <c r="B3722" s="14" t="n">
        <v>100</v>
      </c>
      <c r="C3722" s="15"/>
      <c r="D3722" s="16" t="s">
        <v>64</v>
      </c>
      <c r="E3722" s="17" t="s">
        <v>47</v>
      </c>
      <c r="F3722" s="18" t="s">
        <v>34</v>
      </c>
      <c r="G3722" s="19"/>
      <c r="H3722" s="17" t="s">
        <v>35</v>
      </c>
      <c r="I3722" s="17" t="s">
        <v>44</v>
      </c>
      <c r="J3722" s="17"/>
      <c r="K3722" s="17" t="e">
        <f aca="false">VLOOKUP(J3722,Sheet2!A:B,2,0)</f>
        <v>#N/A</v>
      </c>
      <c r="L3722" s="17" t="n">
        <v>5</v>
      </c>
      <c r="M3722" s="17" t="str">
        <f aca="false">VLOOKUP(L3722,Sheet2!D:E,2,0)</f>
        <v>Main Processor CPU BGA</v>
      </c>
      <c r="N3722" s="17" t="n">
        <v>1</v>
      </c>
      <c r="O3722" s="17" t="str">
        <f aca="false">VLOOKUP(N3722,Sheet2!G:H,2,0)</f>
        <v>Dead</v>
      </c>
      <c r="P3722" s="17" t="n">
        <v>11</v>
      </c>
      <c r="Q3722" s="17" t="str">
        <f aca="false">VLOOKUP(P3722,Sheet2!J:K,2,0)</f>
        <v>IR Declared due to CID -TA</v>
      </c>
      <c r="R3722" s="17" t="s">
        <v>35</v>
      </c>
      <c r="S3722" s="17" t="str">
        <f aca="false">VLOOKUP(R3722,Sheet2!N:O,2,0)</f>
        <v>IREPARABLE</v>
      </c>
      <c r="T3722" s="18" t="str">
        <f aca="false">VLOOKUP(P3722,Sheet2!Q:R,2,0)</f>
        <v>IR Normal - Track burn out</v>
      </c>
      <c r="U3722" s="20" t="s">
        <v>41</v>
      </c>
      <c r="V3722" s="17"/>
      <c r="W3722" s="20" t="e">
        <f aca="false">VLOOKUP(V3722,Sheet2!Q:R,2,0)</f>
        <v>#N/A</v>
      </c>
      <c r="X3722" s="17" t="n">
        <f aca="false">J3722</f>
        <v>0</v>
      </c>
      <c r="Y3722" s="17" t="e">
        <f aca="false">VLOOKUP(X3722,Sheet2!A:B,2,0)</f>
        <v>#N/A</v>
      </c>
      <c r="Z3722" s="17"/>
      <c r="AA3722" s="17"/>
      <c r="AB3722" s="17" t="s">
        <v>41</v>
      </c>
      <c r="AC3722" s="0" t="str">
        <f aca="false">LEFT(G3722,2)</f>
        <v/>
      </c>
      <c r="AE3722" s="0"/>
    </row>
    <row r="3723" customFormat="false" ht="15" hidden="false" customHeight="false" outlineLevel="0" collapsed="false">
      <c r="A3723" s="13" t="n">
        <f aca="false">1+A3722</f>
        <v>3721</v>
      </c>
      <c r="B3723" s="14" t="n">
        <v>100</v>
      </c>
      <c r="C3723" s="15"/>
      <c r="D3723" s="16" t="s">
        <v>64</v>
      </c>
      <c r="E3723" s="17" t="s">
        <v>47</v>
      </c>
      <c r="F3723" s="18" t="s">
        <v>34</v>
      </c>
      <c r="G3723" s="19"/>
      <c r="H3723" s="17" t="s">
        <v>35</v>
      </c>
      <c r="I3723" s="17" t="s">
        <v>44</v>
      </c>
      <c r="J3723" s="17"/>
      <c r="K3723" s="17" t="e">
        <f aca="false">VLOOKUP(J3723,Sheet2!A:B,2,0)</f>
        <v>#N/A</v>
      </c>
      <c r="L3723" s="17" t="n">
        <v>5</v>
      </c>
      <c r="M3723" s="17" t="str">
        <f aca="false">VLOOKUP(L3723,Sheet2!D:E,2,0)</f>
        <v>Main Processor CPU BGA</v>
      </c>
      <c r="N3723" s="17" t="n">
        <v>1</v>
      </c>
      <c r="O3723" s="17" t="str">
        <f aca="false">VLOOKUP(N3723,Sheet2!G:H,2,0)</f>
        <v>Dead</v>
      </c>
      <c r="P3723" s="17" t="n">
        <v>11</v>
      </c>
      <c r="Q3723" s="17" t="str">
        <f aca="false">VLOOKUP(P3723,Sheet2!J:K,2,0)</f>
        <v>IR Declared due to CID -TA</v>
      </c>
      <c r="R3723" s="17" t="s">
        <v>35</v>
      </c>
      <c r="S3723" s="17" t="str">
        <f aca="false">VLOOKUP(R3723,Sheet2!N:O,2,0)</f>
        <v>IREPARABLE</v>
      </c>
      <c r="T3723" s="18" t="str">
        <f aca="false">VLOOKUP(P3723,Sheet2!Q:R,2,0)</f>
        <v>IR Normal - Track burn out</v>
      </c>
      <c r="U3723" s="20" t="s">
        <v>41</v>
      </c>
      <c r="V3723" s="17"/>
      <c r="W3723" s="20" t="e">
        <f aca="false">VLOOKUP(V3723,Sheet2!Q:R,2,0)</f>
        <v>#N/A</v>
      </c>
      <c r="X3723" s="17" t="n">
        <f aca="false">J3723</f>
        <v>0</v>
      </c>
      <c r="Y3723" s="17" t="e">
        <f aca="false">VLOOKUP(X3723,Sheet2!A:B,2,0)</f>
        <v>#N/A</v>
      </c>
      <c r="Z3723" s="17"/>
      <c r="AA3723" s="17"/>
      <c r="AB3723" s="17" t="s">
        <v>41</v>
      </c>
      <c r="AC3723" s="0" t="str">
        <f aca="false">LEFT(G3723,2)</f>
        <v/>
      </c>
      <c r="AE3723" s="0"/>
    </row>
    <row r="3724" customFormat="false" ht="15" hidden="false" customHeight="false" outlineLevel="0" collapsed="false">
      <c r="A3724" s="13" t="n">
        <f aca="false">1+A3723</f>
        <v>3722</v>
      </c>
      <c r="B3724" s="14" t="n">
        <v>100</v>
      </c>
      <c r="C3724" s="15"/>
      <c r="D3724" s="16" t="s">
        <v>64</v>
      </c>
      <c r="E3724" s="17" t="s">
        <v>47</v>
      </c>
      <c r="F3724" s="18" t="s">
        <v>34</v>
      </c>
      <c r="G3724" s="19"/>
      <c r="H3724" s="17" t="s">
        <v>35</v>
      </c>
      <c r="I3724" s="17" t="s">
        <v>44</v>
      </c>
      <c r="J3724" s="17"/>
      <c r="K3724" s="17" t="e">
        <f aca="false">VLOOKUP(J3724,Sheet2!A:B,2,0)</f>
        <v>#N/A</v>
      </c>
      <c r="L3724" s="17" t="n">
        <v>5</v>
      </c>
      <c r="M3724" s="17" t="str">
        <f aca="false">VLOOKUP(L3724,Sheet2!D:E,2,0)</f>
        <v>Main Processor CPU BGA</v>
      </c>
      <c r="N3724" s="17" t="n">
        <v>1</v>
      </c>
      <c r="O3724" s="17" t="str">
        <f aca="false">VLOOKUP(N3724,Sheet2!G:H,2,0)</f>
        <v>Dead</v>
      </c>
      <c r="P3724" s="17" t="n">
        <v>11</v>
      </c>
      <c r="Q3724" s="17" t="str">
        <f aca="false">VLOOKUP(P3724,Sheet2!J:K,2,0)</f>
        <v>IR Declared due to CID -TA</v>
      </c>
      <c r="R3724" s="17" t="s">
        <v>35</v>
      </c>
      <c r="S3724" s="17" t="str">
        <f aca="false">VLOOKUP(R3724,Sheet2!N:O,2,0)</f>
        <v>IREPARABLE</v>
      </c>
      <c r="T3724" s="18" t="str">
        <f aca="false">VLOOKUP(P3724,Sheet2!Q:R,2,0)</f>
        <v>IR Normal - Track burn out</v>
      </c>
      <c r="U3724" s="20" t="s">
        <v>41</v>
      </c>
      <c r="V3724" s="17"/>
      <c r="W3724" s="20" t="e">
        <f aca="false">VLOOKUP(V3724,Sheet2!Q:R,2,0)</f>
        <v>#N/A</v>
      </c>
      <c r="X3724" s="17" t="n">
        <f aca="false">J3724</f>
        <v>0</v>
      </c>
      <c r="Y3724" s="17" t="e">
        <f aca="false">VLOOKUP(X3724,Sheet2!A:B,2,0)</f>
        <v>#N/A</v>
      </c>
      <c r="Z3724" s="17"/>
      <c r="AA3724" s="17"/>
      <c r="AB3724" s="17" t="s">
        <v>41</v>
      </c>
      <c r="AC3724" s="0" t="str">
        <f aca="false">LEFT(G3724,2)</f>
        <v/>
      </c>
      <c r="AE3724" s="0"/>
    </row>
    <row r="3725" customFormat="false" ht="15" hidden="false" customHeight="false" outlineLevel="0" collapsed="false">
      <c r="A3725" s="13" t="n">
        <f aca="false">1+A3724</f>
        <v>3723</v>
      </c>
      <c r="B3725" s="14" t="n">
        <v>100</v>
      </c>
      <c r="C3725" s="15"/>
      <c r="D3725" s="16" t="s">
        <v>64</v>
      </c>
      <c r="E3725" s="17" t="s">
        <v>47</v>
      </c>
      <c r="F3725" s="18" t="s">
        <v>34</v>
      </c>
      <c r="G3725" s="19"/>
      <c r="H3725" s="17" t="s">
        <v>35</v>
      </c>
      <c r="I3725" s="17" t="s">
        <v>44</v>
      </c>
      <c r="J3725" s="17"/>
      <c r="K3725" s="17" t="e">
        <f aca="false">VLOOKUP(J3725,Sheet2!A:B,2,0)</f>
        <v>#N/A</v>
      </c>
      <c r="L3725" s="17" t="n">
        <v>5</v>
      </c>
      <c r="M3725" s="17" t="str">
        <f aca="false">VLOOKUP(L3725,Sheet2!D:E,2,0)</f>
        <v>Main Processor CPU BGA</v>
      </c>
      <c r="N3725" s="17" t="n">
        <v>1</v>
      </c>
      <c r="O3725" s="17" t="str">
        <f aca="false">VLOOKUP(N3725,Sheet2!G:H,2,0)</f>
        <v>Dead</v>
      </c>
      <c r="P3725" s="17" t="n">
        <v>11</v>
      </c>
      <c r="Q3725" s="17" t="str">
        <f aca="false">VLOOKUP(P3725,Sheet2!J:K,2,0)</f>
        <v>IR Declared due to CID -TA</v>
      </c>
      <c r="R3725" s="17" t="s">
        <v>35</v>
      </c>
      <c r="S3725" s="17" t="str">
        <f aca="false">VLOOKUP(R3725,Sheet2!N:O,2,0)</f>
        <v>IREPARABLE</v>
      </c>
      <c r="T3725" s="18" t="str">
        <f aca="false">VLOOKUP(P3725,Sheet2!Q:R,2,0)</f>
        <v>IR Normal - Track burn out</v>
      </c>
      <c r="U3725" s="20" t="s">
        <v>41</v>
      </c>
      <c r="V3725" s="17"/>
      <c r="W3725" s="20" t="e">
        <f aca="false">VLOOKUP(V3725,Sheet2!Q:R,2,0)</f>
        <v>#N/A</v>
      </c>
      <c r="X3725" s="17" t="n">
        <f aca="false">J3725</f>
        <v>0</v>
      </c>
      <c r="Y3725" s="17" t="e">
        <f aca="false">VLOOKUP(X3725,Sheet2!A:B,2,0)</f>
        <v>#N/A</v>
      </c>
      <c r="Z3725" s="17"/>
      <c r="AA3725" s="17"/>
      <c r="AB3725" s="17" t="s">
        <v>41</v>
      </c>
      <c r="AC3725" s="0" t="str">
        <f aca="false">LEFT(G3725,2)</f>
        <v/>
      </c>
      <c r="AE3725" s="0"/>
    </row>
    <row r="3726" customFormat="false" ht="15" hidden="false" customHeight="false" outlineLevel="0" collapsed="false">
      <c r="A3726" s="13" t="n">
        <f aca="false">1+A3725</f>
        <v>3724</v>
      </c>
      <c r="B3726" s="14" t="n">
        <v>100</v>
      </c>
      <c r="C3726" s="15"/>
      <c r="D3726" s="16" t="s">
        <v>64</v>
      </c>
      <c r="E3726" s="17" t="s">
        <v>47</v>
      </c>
      <c r="F3726" s="18" t="s">
        <v>34</v>
      </c>
      <c r="G3726" s="19"/>
      <c r="H3726" s="17" t="s">
        <v>35</v>
      </c>
      <c r="I3726" s="17" t="s">
        <v>44</v>
      </c>
      <c r="J3726" s="17"/>
      <c r="K3726" s="17" t="e">
        <f aca="false">VLOOKUP(J3726,Sheet2!A:B,2,0)</f>
        <v>#N/A</v>
      </c>
      <c r="L3726" s="17" t="n">
        <v>5</v>
      </c>
      <c r="M3726" s="17" t="str">
        <f aca="false">VLOOKUP(L3726,Sheet2!D:E,2,0)</f>
        <v>Main Processor CPU BGA</v>
      </c>
      <c r="N3726" s="17" t="n">
        <v>1</v>
      </c>
      <c r="O3726" s="17" t="str">
        <f aca="false">VLOOKUP(N3726,Sheet2!G:H,2,0)</f>
        <v>Dead</v>
      </c>
      <c r="P3726" s="17" t="n">
        <v>11</v>
      </c>
      <c r="Q3726" s="17" t="str">
        <f aca="false">VLOOKUP(P3726,Sheet2!J:K,2,0)</f>
        <v>IR Declared due to CID -TA</v>
      </c>
      <c r="R3726" s="17" t="s">
        <v>35</v>
      </c>
      <c r="S3726" s="17" t="str">
        <f aca="false">VLOOKUP(R3726,Sheet2!N:O,2,0)</f>
        <v>IREPARABLE</v>
      </c>
      <c r="T3726" s="18" t="str">
        <f aca="false">VLOOKUP(P3726,Sheet2!Q:R,2,0)</f>
        <v>IR Normal - Track burn out</v>
      </c>
      <c r="U3726" s="20" t="s">
        <v>41</v>
      </c>
      <c r="V3726" s="17"/>
      <c r="W3726" s="20" t="e">
        <f aca="false">VLOOKUP(V3726,Sheet2!Q:R,2,0)</f>
        <v>#N/A</v>
      </c>
      <c r="X3726" s="17" t="n">
        <f aca="false">J3726</f>
        <v>0</v>
      </c>
      <c r="Y3726" s="17" t="e">
        <f aca="false">VLOOKUP(X3726,Sheet2!A:B,2,0)</f>
        <v>#N/A</v>
      </c>
      <c r="Z3726" s="17"/>
      <c r="AA3726" s="17"/>
      <c r="AB3726" s="17" t="s">
        <v>41</v>
      </c>
      <c r="AC3726" s="0" t="str">
        <f aca="false">LEFT(G3726,2)</f>
        <v/>
      </c>
      <c r="AE3726" s="0"/>
    </row>
    <row r="3727" customFormat="false" ht="15" hidden="false" customHeight="false" outlineLevel="0" collapsed="false">
      <c r="A3727" s="13" t="n">
        <f aca="false">1+A3726</f>
        <v>3725</v>
      </c>
      <c r="B3727" s="14" t="n">
        <v>100</v>
      </c>
      <c r="C3727" s="15"/>
      <c r="D3727" s="16" t="s">
        <v>64</v>
      </c>
      <c r="E3727" s="17" t="s">
        <v>47</v>
      </c>
      <c r="F3727" s="18" t="s">
        <v>34</v>
      </c>
      <c r="G3727" s="19"/>
      <c r="H3727" s="17" t="s">
        <v>35</v>
      </c>
      <c r="I3727" s="17" t="s">
        <v>44</v>
      </c>
      <c r="J3727" s="17"/>
      <c r="K3727" s="17" t="e">
        <f aca="false">VLOOKUP(J3727,Sheet2!A:B,2,0)</f>
        <v>#N/A</v>
      </c>
      <c r="L3727" s="17" t="n">
        <v>5</v>
      </c>
      <c r="M3727" s="17" t="str">
        <f aca="false">VLOOKUP(L3727,Sheet2!D:E,2,0)</f>
        <v>Main Processor CPU BGA</v>
      </c>
      <c r="N3727" s="17" t="n">
        <v>1</v>
      </c>
      <c r="O3727" s="17" t="str">
        <f aca="false">VLOOKUP(N3727,Sheet2!G:H,2,0)</f>
        <v>Dead</v>
      </c>
      <c r="P3727" s="17" t="n">
        <v>11</v>
      </c>
      <c r="Q3727" s="17" t="str">
        <f aca="false">VLOOKUP(P3727,Sheet2!J:K,2,0)</f>
        <v>IR Declared due to CID -TA</v>
      </c>
      <c r="R3727" s="17" t="s">
        <v>35</v>
      </c>
      <c r="S3727" s="17" t="str">
        <f aca="false">VLOOKUP(R3727,Sheet2!N:O,2,0)</f>
        <v>IREPARABLE</v>
      </c>
      <c r="T3727" s="18" t="str">
        <f aca="false">VLOOKUP(P3727,Sheet2!Q:R,2,0)</f>
        <v>IR Normal - Track burn out</v>
      </c>
      <c r="U3727" s="20" t="s">
        <v>41</v>
      </c>
      <c r="V3727" s="17"/>
      <c r="W3727" s="20" t="e">
        <f aca="false">VLOOKUP(V3727,Sheet2!Q:R,2,0)</f>
        <v>#N/A</v>
      </c>
      <c r="X3727" s="17" t="n">
        <f aca="false">J3727</f>
        <v>0</v>
      </c>
      <c r="Y3727" s="17" t="e">
        <f aca="false">VLOOKUP(X3727,Sheet2!A:B,2,0)</f>
        <v>#N/A</v>
      </c>
      <c r="Z3727" s="17"/>
      <c r="AA3727" s="17"/>
      <c r="AB3727" s="17" t="s">
        <v>41</v>
      </c>
      <c r="AC3727" s="0" t="str">
        <f aca="false">LEFT(G3727,2)</f>
        <v/>
      </c>
      <c r="AE3727" s="0"/>
    </row>
    <row r="3728" customFormat="false" ht="15" hidden="false" customHeight="false" outlineLevel="0" collapsed="false">
      <c r="A3728" s="13" t="n">
        <f aca="false">1+A3727</f>
        <v>3726</v>
      </c>
      <c r="B3728" s="14" t="n">
        <v>100</v>
      </c>
      <c r="C3728" s="15"/>
      <c r="D3728" s="16" t="s">
        <v>64</v>
      </c>
      <c r="E3728" s="17" t="s">
        <v>47</v>
      </c>
      <c r="F3728" s="18" t="s">
        <v>34</v>
      </c>
      <c r="G3728" s="19"/>
      <c r="H3728" s="17" t="s">
        <v>35</v>
      </c>
      <c r="I3728" s="17" t="s">
        <v>44</v>
      </c>
      <c r="J3728" s="17"/>
      <c r="K3728" s="17" t="e">
        <f aca="false">VLOOKUP(J3728,Sheet2!A:B,2,0)</f>
        <v>#N/A</v>
      </c>
      <c r="L3728" s="17" t="n">
        <v>5</v>
      </c>
      <c r="M3728" s="17" t="str">
        <f aca="false">VLOOKUP(L3728,Sheet2!D:E,2,0)</f>
        <v>Main Processor CPU BGA</v>
      </c>
      <c r="N3728" s="17" t="n">
        <v>1</v>
      </c>
      <c r="O3728" s="17" t="str">
        <f aca="false">VLOOKUP(N3728,Sheet2!G:H,2,0)</f>
        <v>Dead</v>
      </c>
      <c r="P3728" s="17" t="n">
        <v>11</v>
      </c>
      <c r="Q3728" s="17" t="str">
        <f aca="false">VLOOKUP(P3728,Sheet2!J:K,2,0)</f>
        <v>IR Declared due to CID -TA</v>
      </c>
      <c r="R3728" s="17" t="s">
        <v>35</v>
      </c>
      <c r="S3728" s="17" t="str">
        <f aca="false">VLOOKUP(R3728,Sheet2!N:O,2,0)</f>
        <v>IREPARABLE</v>
      </c>
      <c r="T3728" s="18" t="str">
        <f aca="false">VLOOKUP(P3728,Sheet2!Q:R,2,0)</f>
        <v>IR Normal - Track burn out</v>
      </c>
      <c r="U3728" s="20" t="s">
        <v>41</v>
      </c>
      <c r="V3728" s="17"/>
      <c r="W3728" s="20" t="e">
        <f aca="false">VLOOKUP(V3728,Sheet2!Q:R,2,0)</f>
        <v>#N/A</v>
      </c>
      <c r="X3728" s="17" t="n">
        <f aca="false">J3728</f>
        <v>0</v>
      </c>
      <c r="Y3728" s="17" t="e">
        <f aca="false">VLOOKUP(X3728,Sheet2!A:B,2,0)</f>
        <v>#N/A</v>
      </c>
      <c r="Z3728" s="17"/>
      <c r="AA3728" s="17"/>
      <c r="AB3728" s="17" t="s">
        <v>41</v>
      </c>
      <c r="AC3728" s="0" t="str">
        <f aca="false">LEFT(G3728,2)</f>
        <v/>
      </c>
      <c r="AE3728" s="0"/>
    </row>
    <row r="3729" customFormat="false" ht="15" hidden="false" customHeight="false" outlineLevel="0" collapsed="false">
      <c r="A3729" s="13" t="n">
        <f aca="false">1+A3728</f>
        <v>3727</v>
      </c>
      <c r="B3729" s="14" t="n">
        <v>100</v>
      </c>
      <c r="C3729" s="15"/>
      <c r="D3729" s="16" t="s">
        <v>64</v>
      </c>
      <c r="E3729" s="17" t="s">
        <v>47</v>
      </c>
      <c r="F3729" s="18" t="s">
        <v>34</v>
      </c>
      <c r="G3729" s="19"/>
      <c r="H3729" s="17" t="s">
        <v>35</v>
      </c>
      <c r="I3729" s="17" t="s">
        <v>44</v>
      </c>
      <c r="J3729" s="17"/>
      <c r="K3729" s="17" t="e">
        <f aca="false">VLOOKUP(J3729,Sheet2!A:B,2,0)</f>
        <v>#N/A</v>
      </c>
      <c r="L3729" s="17" t="n">
        <v>5</v>
      </c>
      <c r="M3729" s="17" t="str">
        <f aca="false">VLOOKUP(L3729,Sheet2!D:E,2,0)</f>
        <v>Main Processor CPU BGA</v>
      </c>
      <c r="N3729" s="17" t="n">
        <v>1</v>
      </c>
      <c r="O3729" s="17" t="str">
        <f aca="false">VLOOKUP(N3729,Sheet2!G:H,2,0)</f>
        <v>Dead</v>
      </c>
      <c r="P3729" s="17" t="n">
        <v>11</v>
      </c>
      <c r="Q3729" s="17" t="str">
        <f aca="false">VLOOKUP(P3729,Sheet2!J:K,2,0)</f>
        <v>IR Declared due to CID -TA</v>
      </c>
      <c r="R3729" s="17" t="s">
        <v>35</v>
      </c>
      <c r="S3729" s="17" t="str">
        <f aca="false">VLOOKUP(R3729,Sheet2!N:O,2,0)</f>
        <v>IREPARABLE</v>
      </c>
      <c r="T3729" s="18" t="str">
        <f aca="false">VLOOKUP(P3729,Sheet2!Q:R,2,0)</f>
        <v>IR Normal - Track burn out</v>
      </c>
      <c r="U3729" s="20" t="s">
        <v>41</v>
      </c>
      <c r="V3729" s="17"/>
      <c r="W3729" s="20" t="e">
        <f aca="false">VLOOKUP(V3729,Sheet2!Q:R,2,0)</f>
        <v>#N/A</v>
      </c>
      <c r="X3729" s="17" t="n">
        <f aca="false">J3729</f>
        <v>0</v>
      </c>
      <c r="Y3729" s="17" t="e">
        <f aca="false">VLOOKUP(X3729,Sheet2!A:B,2,0)</f>
        <v>#N/A</v>
      </c>
      <c r="Z3729" s="17"/>
      <c r="AA3729" s="17"/>
      <c r="AB3729" s="17" t="s">
        <v>41</v>
      </c>
      <c r="AC3729" s="0" t="str">
        <f aca="false">LEFT(G3729,2)</f>
        <v/>
      </c>
      <c r="AE3729" s="0"/>
    </row>
    <row r="3730" customFormat="false" ht="15" hidden="false" customHeight="false" outlineLevel="0" collapsed="false">
      <c r="A3730" s="13" t="n">
        <f aca="false">1+A3729</f>
        <v>3728</v>
      </c>
      <c r="B3730" s="14" t="n">
        <v>100</v>
      </c>
      <c r="C3730" s="15"/>
      <c r="D3730" s="16" t="s">
        <v>64</v>
      </c>
      <c r="E3730" s="17" t="s">
        <v>47</v>
      </c>
      <c r="F3730" s="18" t="s">
        <v>34</v>
      </c>
      <c r="G3730" s="19"/>
      <c r="H3730" s="17" t="s">
        <v>35</v>
      </c>
      <c r="I3730" s="17" t="s">
        <v>44</v>
      </c>
      <c r="J3730" s="17"/>
      <c r="K3730" s="17" t="e">
        <f aca="false">VLOOKUP(J3730,Sheet2!A:B,2,0)</f>
        <v>#N/A</v>
      </c>
      <c r="L3730" s="17" t="n">
        <v>5</v>
      </c>
      <c r="M3730" s="17" t="str">
        <f aca="false">VLOOKUP(L3730,Sheet2!D:E,2,0)</f>
        <v>Main Processor CPU BGA</v>
      </c>
      <c r="N3730" s="17" t="n">
        <v>1</v>
      </c>
      <c r="O3730" s="17" t="str">
        <f aca="false">VLOOKUP(N3730,Sheet2!G:H,2,0)</f>
        <v>Dead</v>
      </c>
      <c r="P3730" s="17" t="n">
        <v>11</v>
      </c>
      <c r="Q3730" s="17" t="str">
        <f aca="false">VLOOKUP(P3730,Sheet2!J:K,2,0)</f>
        <v>IR Declared due to CID -TA</v>
      </c>
      <c r="R3730" s="17" t="s">
        <v>35</v>
      </c>
      <c r="S3730" s="17" t="str">
        <f aca="false">VLOOKUP(R3730,Sheet2!N:O,2,0)</f>
        <v>IREPARABLE</v>
      </c>
      <c r="T3730" s="18" t="str">
        <f aca="false">VLOOKUP(P3730,Sheet2!Q:R,2,0)</f>
        <v>IR Normal - Track burn out</v>
      </c>
      <c r="U3730" s="20" t="s">
        <v>41</v>
      </c>
      <c r="V3730" s="17"/>
      <c r="W3730" s="20" t="e">
        <f aca="false">VLOOKUP(V3730,Sheet2!Q:R,2,0)</f>
        <v>#N/A</v>
      </c>
      <c r="X3730" s="17" t="n">
        <f aca="false">J3730</f>
        <v>0</v>
      </c>
      <c r="Y3730" s="17" t="e">
        <f aca="false">VLOOKUP(X3730,Sheet2!A:B,2,0)</f>
        <v>#N/A</v>
      </c>
      <c r="Z3730" s="17"/>
      <c r="AA3730" s="17"/>
      <c r="AB3730" s="17" t="s">
        <v>41</v>
      </c>
      <c r="AC3730" s="0" t="str">
        <f aca="false">LEFT(G3730,2)</f>
        <v/>
      </c>
      <c r="AE3730" s="0"/>
    </row>
    <row r="3731" customFormat="false" ht="15" hidden="false" customHeight="false" outlineLevel="0" collapsed="false">
      <c r="A3731" s="13" t="n">
        <f aca="false">1+A3730</f>
        <v>3729</v>
      </c>
      <c r="B3731" s="14" t="n">
        <v>100</v>
      </c>
      <c r="C3731" s="15"/>
      <c r="D3731" s="16" t="s">
        <v>64</v>
      </c>
      <c r="E3731" s="17" t="s">
        <v>47</v>
      </c>
      <c r="F3731" s="18" t="s">
        <v>34</v>
      </c>
      <c r="G3731" s="19"/>
      <c r="H3731" s="17" t="s">
        <v>35</v>
      </c>
      <c r="I3731" s="17" t="s">
        <v>44</v>
      </c>
      <c r="J3731" s="17"/>
      <c r="K3731" s="17" t="e">
        <f aca="false">VLOOKUP(J3731,Sheet2!A:B,2,0)</f>
        <v>#N/A</v>
      </c>
      <c r="L3731" s="17" t="n">
        <v>5</v>
      </c>
      <c r="M3731" s="17" t="str">
        <f aca="false">VLOOKUP(L3731,Sheet2!D:E,2,0)</f>
        <v>Main Processor CPU BGA</v>
      </c>
      <c r="N3731" s="17" t="n">
        <v>1</v>
      </c>
      <c r="O3731" s="17" t="str">
        <f aca="false">VLOOKUP(N3731,Sheet2!G:H,2,0)</f>
        <v>Dead</v>
      </c>
      <c r="P3731" s="17" t="n">
        <v>11</v>
      </c>
      <c r="Q3731" s="17" t="str">
        <f aca="false">VLOOKUP(P3731,Sheet2!J:K,2,0)</f>
        <v>IR Declared due to CID -TA</v>
      </c>
      <c r="R3731" s="17" t="s">
        <v>35</v>
      </c>
      <c r="S3731" s="17" t="str">
        <f aca="false">VLOOKUP(R3731,Sheet2!N:O,2,0)</f>
        <v>IREPARABLE</v>
      </c>
      <c r="T3731" s="18" t="str">
        <f aca="false">VLOOKUP(P3731,Sheet2!Q:R,2,0)</f>
        <v>IR Normal - Track burn out</v>
      </c>
      <c r="U3731" s="20" t="s">
        <v>41</v>
      </c>
      <c r="V3731" s="17"/>
      <c r="W3731" s="20" t="e">
        <f aca="false">VLOOKUP(V3731,Sheet2!Q:R,2,0)</f>
        <v>#N/A</v>
      </c>
      <c r="X3731" s="17" t="n">
        <f aca="false">J3731</f>
        <v>0</v>
      </c>
      <c r="Y3731" s="17" t="e">
        <f aca="false">VLOOKUP(X3731,Sheet2!A:B,2,0)</f>
        <v>#N/A</v>
      </c>
      <c r="Z3731" s="17"/>
      <c r="AA3731" s="17"/>
      <c r="AB3731" s="17" t="s">
        <v>41</v>
      </c>
      <c r="AC3731" s="0" t="str">
        <f aca="false">LEFT(G3731,2)</f>
        <v/>
      </c>
      <c r="AE3731" s="0"/>
    </row>
    <row r="3732" customFormat="false" ht="15" hidden="false" customHeight="false" outlineLevel="0" collapsed="false">
      <c r="A3732" s="13" t="n">
        <f aca="false">1+A3731</f>
        <v>3730</v>
      </c>
      <c r="B3732" s="14" t="n">
        <v>100</v>
      </c>
      <c r="C3732" s="15"/>
      <c r="D3732" s="16" t="s">
        <v>64</v>
      </c>
      <c r="E3732" s="17" t="s">
        <v>47</v>
      </c>
      <c r="F3732" s="18" t="s">
        <v>34</v>
      </c>
      <c r="G3732" s="19"/>
      <c r="H3732" s="17" t="s">
        <v>35</v>
      </c>
      <c r="I3732" s="17" t="s">
        <v>44</v>
      </c>
      <c r="J3732" s="17"/>
      <c r="K3732" s="17" t="e">
        <f aca="false">VLOOKUP(J3732,Sheet2!A:B,2,0)</f>
        <v>#N/A</v>
      </c>
      <c r="L3732" s="17" t="n">
        <v>5</v>
      </c>
      <c r="M3732" s="17" t="str">
        <f aca="false">VLOOKUP(L3732,Sheet2!D:E,2,0)</f>
        <v>Main Processor CPU BGA</v>
      </c>
      <c r="N3732" s="17" t="n">
        <v>1</v>
      </c>
      <c r="O3732" s="17" t="str">
        <f aca="false">VLOOKUP(N3732,Sheet2!G:H,2,0)</f>
        <v>Dead</v>
      </c>
      <c r="P3732" s="17" t="n">
        <v>11</v>
      </c>
      <c r="Q3732" s="17" t="str">
        <f aca="false">VLOOKUP(P3732,Sheet2!J:K,2,0)</f>
        <v>IR Declared due to CID -TA</v>
      </c>
      <c r="R3732" s="17" t="s">
        <v>35</v>
      </c>
      <c r="S3732" s="17" t="str">
        <f aca="false">VLOOKUP(R3732,Sheet2!N:O,2,0)</f>
        <v>IREPARABLE</v>
      </c>
      <c r="T3732" s="18" t="str">
        <f aca="false">VLOOKUP(P3732,Sheet2!Q:R,2,0)</f>
        <v>IR Normal - Track burn out</v>
      </c>
      <c r="U3732" s="20" t="s">
        <v>41</v>
      </c>
      <c r="V3732" s="17"/>
      <c r="W3732" s="20" t="e">
        <f aca="false">VLOOKUP(V3732,Sheet2!Q:R,2,0)</f>
        <v>#N/A</v>
      </c>
      <c r="X3732" s="17" t="n">
        <f aca="false">J3732</f>
        <v>0</v>
      </c>
      <c r="Y3732" s="17" t="e">
        <f aca="false">VLOOKUP(X3732,Sheet2!A:B,2,0)</f>
        <v>#N/A</v>
      </c>
      <c r="Z3732" s="17"/>
      <c r="AA3732" s="17"/>
      <c r="AB3732" s="17" t="s">
        <v>41</v>
      </c>
      <c r="AC3732" s="0" t="str">
        <f aca="false">LEFT(G3732,2)</f>
        <v/>
      </c>
      <c r="AE3732" s="0"/>
    </row>
    <row r="3733" customFormat="false" ht="15" hidden="false" customHeight="false" outlineLevel="0" collapsed="false">
      <c r="A3733" s="13" t="n">
        <f aca="false">1+A3732</f>
        <v>3731</v>
      </c>
      <c r="B3733" s="14" t="n">
        <v>100</v>
      </c>
      <c r="C3733" s="15"/>
      <c r="D3733" s="16" t="s">
        <v>64</v>
      </c>
      <c r="E3733" s="17" t="s">
        <v>47</v>
      </c>
      <c r="F3733" s="18" t="s">
        <v>34</v>
      </c>
      <c r="G3733" s="19"/>
      <c r="H3733" s="17" t="s">
        <v>35</v>
      </c>
      <c r="I3733" s="17" t="s">
        <v>44</v>
      </c>
      <c r="J3733" s="17"/>
      <c r="K3733" s="17" t="e">
        <f aca="false">VLOOKUP(J3733,Sheet2!A:B,2,0)</f>
        <v>#N/A</v>
      </c>
      <c r="L3733" s="17" t="n">
        <v>5</v>
      </c>
      <c r="M3733" s="17" t="str">
        <f aca="false">VLOOKUP(L3733,Sheet2!D:E,2,0)</f>
        <v>Main Processor CPU BGA</v>
      </c>
      <c r="N3733" s="17" t="n">
        <v>1</v>
      </c>
      <c r="O3733" s="17" t="str">
        <f aca="false">VLOOKUP(N3733,Sheet2!G:H,2,0)</f>
        <v>Dead</v>
      </c>
      <c r="P3733" s="17" t="n">
        <v>11</v>
      </c>
      <c r="Q3733" s="17" t="str">
        <f aca="false">VLOOKUP(P3733,Sheet2!J:K,2,0)</f>
        <v>IR Declared due to CID -TA</v>
      </c>
      <c r="R3733" s="17" t="s">
        <v>35</v>
      </c>
      <c r="S3733" s="17" t="str">
        <f aca="false">VLOOKUP(R3733,Sheet2!N:O,2,0)</f>
        <v>IREPARABLE</v>
      </c>
      <c r="T3733" s="18" t="str">
        <f aca="false">VLOOKUP(P3733,Sheet2!Q:R,2,0)</f>
        <v>IR Normal - Track burn out</v>
      </c>
      <c r="U3733" s="20" t="s">
        <v>41</v>
      </c>
      <c r="V3733" s="17"/>
      <c r="W3733" s="20" t="e">
        <f aca="false">VLOOKUP(V3733,Sheet2!Q:R,2,0)</f>
        <v>#N/A</v>
      </c>
      <c r="X3733" s="17" t="n">
        <f aca="false">J3733</f>
        <v>0</v>
      </c>
      <c r="Y3733" s="17" t="e">
        <f aca="false">VLOOKUP(X3733,Sheet2!A:B,2,0)</f>
        <v>#N/A</v>
      </c>
      <c r="Z3733" s="17"/>
      <c r="AA3733" s="17"/>
      <c r="AB3733" s="17" t="s">
        <v>41</v>
      </c>
      <c r="AC3733" s="0" t="str">
        <f aca="false">LEFT(G3733,2)</f>
        <v/>
      </c>
      <c r="AE3733" s="0"/>
    </row>
    <row r="3734" customFormat="false" ht="15" hidden="false" customHeight="false" outlineLevel="0" collapsed="false">
      <c r="A3734" s="13" t="n">
        <f aca="false">1+A3733</f>
        <v>3732</v>
      </c>
      <c r="B3734" s="14" t="n">
        <v>100</v>
      </c>
      <c r="C3734" s="15"/>
      <c r="D3734" s="16" t="s">
        <v>64</v>
      </c>
      <c r="E3734" s="17" t="s">
        <v>47</v>
      </c>
      <c r="F3734" s="18" t="s">
        <v>34</v>
      </c>
      <c r="G3734" s="19"/>
      <c r="H3734" s="17" t="s">
        <v>35</v>
      </c>
      <c r="I3734" s="17" t="s">
        <v>44</v>
      </c>
      <c r="J3734" s="17"/>
      <c r="K3734" s="17" t="e">
        <f aca="false">VLOOKUP(J3734,Sheet2!A:B,2,0)</f>
        <v>#N/A</v>
      </c>
      <c r="L3734" s="17" t="n">
        <v>5</v>
      </c>
      <c r="M3734" s="17" t="str">
        <f aca="false">VLOOKUP(L3734,Sheet2!D:E,2,0)</f>
        <v>Main Processor CPU BGA</v>
      </c>
      <c r="N3734" s="17" t="n">
        <v>1</v>
      </c>
      <c r="O3734" s="17" t="str">
        <f aca="false">VLOOKUP(N3734,Sheet2!G:H,2,0)</f>
        <v>Dead</v>
      </c>
      <c r="P3734" s="17" t="n">
        <v>11</v>
      </c>
      <c r="Q3734" s="17" t="str">
        <f aca="false">VLOOKUP(P3734,Sheet2!J:K,2,0)</f>
        <v>IR Declared due to CID -TA</v>
      </c>
      <c r="R3734" s="17" t="s">
        <v>35</v>
      </c>
      <c r="S3734" s="17" t="str">
        <f aca="false">VLOOKUP(R3734,Sheet2!N:O,2,0)</f>
        <v>IREPARABLE</v>
      </c>
      <c r="T3734" s="18" t="str">
        <f aca="false">VLOOKUP(P3734,Sheet2!Q:R,2,0)</f>
        <v>IR Normal - Track burn out</v>
      </c>
      <c r="U3734" s="20" t="s">
        <v>41</v>
      </c>
      <c r="V3734" s="17"/>
      <c r="W3734" s="20" t="e">
        <f aca="false">VLOOKUP(V3734,Sheet2!Q:R,2,0)</f>
        <v>#N/A</v>
      </c>
      <c r="X3734" s="17" t="n">
        <f aca="false">J3734</f>
        <v>0</v>
      </c>
      <c r="Y3734" s="17" t="e">
        <f aca="false">VLOOKUP(X3734,Sheet2!A:B,2,0)</f>
        <v>#N/A</v>
      </c>
      <c r="Z3734" s="17"/>
      <c r="AA3734" s="17"/>
      <c r="AB3734" s="17" t="s">
        <v>41</v>
      </c>
      <c r="AC3734" s="0" t="str">
        <f aca="false">LEFT(G3734,2)</f>
        <v/>
      </c>
      <c r="AE3734" s="0"/>
    </row>
    <row r="3735" customFormat="false" ht="15" hidden="false" customHeight="false" outlineLevel="0" collapsed="false">
      <c r="A3735" s="13" t="n">
        <f aca="false">1+A3734</f>
        <v>3733</v>
      </c>
      <c r="B3735" s="14" t="n">
        <v>100</v>
      </c>
      <c r="C3735" s="15"/>
      <c r="D3735" s="16" t="s">
        <v>64</v>
      </c>
      <c r="E3735" s="17" t="s">
        <v>47</v>
      </c>
      <c r="F3735" s="18" t="s">
        <v>34</v>
      </c>
      <c r="G3735" s="19"/>
      <c r="H3735" s="17" t="s">
        <v>35</v>
      </c>
      <c r="I3735" s="17" t="s">
        <v>44</v>
      </c>
      <c r="J3735" s="17"/>
      <c r="K3735" s="17" t="e">
        <f aca="false">VLOOKUP(J3735,Sheet2!A:B,2,0)</f>
        <v>#N/A</v>
      </c>
      <c r="L3735" s="17" t="n">
        <v>5</v>
      </c>
      <c r="M3735" s="17" t="str">
        <f aca="false">VLOOKUP(L3735,Sheet2!D:E,2,0)</f>
        <v>Main Processor CPU BGA</v>
      </c>
      <c r="N3735" s="17" t="n">
        <v>1</v>
      </c>
      <c r="O3735" s="17" t="str">
        <f aca="false">VLOOKUP(N3735,Sheet2!G:H,2,0)</f>
        <v>Dead</v>
      </c>
      <c r="P3735" s="17" t="n">
        <v>11</v>
      </c>
      <c r="Q3735" s="17" t="str">
        <f aca="false">VLOOKUP(P3735,Sheet2!J:K,2,0)</f>
        <v>IR Declared due to CID -TA</v>
      </c>
      <c r="R3735" s="17" t="s">
        <v>35</v>
      </c>
      <c r="S3735" s="17" t="str">
        <f aca="false">VLOOKUP(R3735,Sheet2!N:O,2,0)</f>
        <v>IREPARABLE</v>
      </c>
      <c r="T3735" s="18" t="str">
        <f aca="false">VLOOKUP(P3735,Sheet2!Q:R,2,0)</f>
        <v>IR Normal - Track burn out</v>
      </c>
      <c r="U3735" s="20" t="s">
        <v>41</v>
      </c>
      <c r="V3735" s="17"/>
      <c r="W3735" s="20" t="e">
        <f aca="false">VLOOKUP(V3735,Sheet2!Q:R,2,0)</f>
        <v>#N/A</v>
      </c>
      <c r="X3735" s="17" t="n">
        <f aca="false">J3735</f>
        <v>0</v>
      </c>
      <c r="Y3735" s="17" t="e">
        <f aca="false">VLOOKUP(X3735,Sheet2!A:B,2,0)</f>
        <v>#N/A</v>
      </c>
      <c r="Z3735" s="17"/>
      <c r="AA3735" s="17"/>
      <c r="AB3735" s="17" t="s">
        <v>41</v>
      </c>
      <c r="AC3735" s="0" t="str">
        <f aca="false">LEFT(G3735,2)</f>
        <v/>
      </c>
      <c r="AE3735" s="0"/>
    </row>
    <row r="3736" customFormat="false" ht="15" hidden="false" customHeight="false" outlineLevel="0" collapsed="false">
      <c r="A3736" s="13" t="n">
        <f aca="false">1+A3735</f>
        <v>3734</v>
      </c>
      <c r="B3736" s="14" t="n">
        <v>100</v>
      </c>
      <c r="C3736" s="15"/>
      <c r="D3736" s="16" t="s">
        <v>64</v>
      </c>
      <c r="E3736" s="17" t="s">
        <v>47</v>
      </c>
      <c r="F3736" s="18" t="s">
        <v>34</v>
      </c>
      <c r="G3736" s="19"/>
      <c r="H3736" s="17" t="s">
        <v>35</v>
      </c>
      <c r="I3736" s="17" t="s">
        <v>44</v>
      </c>
      <c r="J3736" s="17"/>
      <c r="K3736" s="17" t="e">
        <f aca="false">VLOOKUP(J3736,Sheet2!A:B,2,0)</f>
        <v>#N/A</v>
      </c>
      <c r="L3736" s="17" t="n">
        <v>5</v>
      </c>
      <c r="M3736" s="17" t="str">
        <f aca="false">VLOOKUP(L3736,Sheet2!D:E,2,0)</f>
        <v>Main Processor CPU BGA</v>
      </c>
      <c r="N3736" s="17" t="n">
        <v>1</v>
      </c>
      <c r="O3736" s="17" t="str">
        <f aca="false">VLOOKUP(N3736,Sheet2!G:H,2,0)</f>
        <v>Dead</v>
      </c>
      <c r="P3736" s="17" t="n">
        <v>11</v>
      </c>
      <c r="Q3736" s="17" t="str">
        <f aca="false">VLOOKUP(P3736,Sheet2!J:K,2,0)</f>
        <v>IR Declared due to CID -TA</v>
      </c>
      <c r="R3736" s="17" t="s">
        <v>35</v>
      </c>
      <c r="S3736" s="17" t="str">
        <f aca="false">VLOOKUP(R3736,Sheet2!N:O,2,0)</f>
        <v>IREPARABLE</v>
      </c>
      <c r="T3736" s="18" t="str">
        <f aca="false">VLOOKUP(P3736,Sheet2!Q:R,2,0)</f>
        <v>IR Normal - Track burn out</v>
      </c>
      <c r="U3736" s="20" t="s">
        <v>41</v>
      </c>
      <c r="V3736" s="17"/>
      <c r="W3736" s="20" t="e">
        <f aca="false">VLOOKUP(V3736,Sheet2!Q:R,2,0)</f>
        <v>#N/A</v>
      </c>
      <c r="X3736" s="17" t="n">
        <f aca="false">J3736</f>
        <v>0</v>
      </c>
      <c r="Y3736" s="17" t="e">
        <f aca="false">VLOOKUP(X3736,Sheet2!A:B,2,0)</f>
        <v>#N/A</v>
      </c>
      <c r="Z3736" s="17"/>
      <c r="AA3736" s="17"/>
      <c r="AB3736" s="17" t="s">
        <v>41</v>
      </c>
      <c r="AC3736" s="0" t="str">
        <f aca="false">LEFT(G3736,2)</f>
        <v/>
      </c>
      <c r="AE3736" s="0"/>
    </row>
    <row r="3737" customFormat="false" ht="15" hidden="false" customHeight="false" outlineLevel="0" collapsed="false">
      <c r="A3737" s="13" t="n">
        <f aca="false">1+A3736</f>
        <v>3735</v>
      </c>
      <c r="B3737" s="14" t="n">
        <v>100</v>
      </c>
      <c r="C3737" s="15"/>
      <c r="D3737" s="16" t="s">
        <v>64</v>
      </c>
      <c r="E3737" s="17" t="s">
        <v>47</v>
      </c>
      <c r="F3737" s="18" t="s">
        <v>34</v>
      </c>
      <c r="G3737" s="19"/>
      <c r="H3737" s="17" t="s">
        <v>35</v>
      </c>
      <c r="I3737" s="17" t="s">
        <v>44</v>
      </c>
      <c r="J3737" s="17"/>
      <c r="K3737" s="17" t="e">
        <f aca="false">VLOOKUP(J3737,Sheet2!A:B,2,0)</f>
        <v>#N/A</v>
      </c>
      <c r="L3737" s="17" t="n">
        <v>5</v>
      </c>
      <c r="M3737" s="17" t="str">
        <f aca="false">VLOOKUP(L3737,Sheet2!D:E,2,0)</f>
        <v>Main Processor CPU BGA</v>
      </c>
      <c r="N3737" s="17" t="n">
        <v>1</v>
      </c>
      <c r="O3737" s="17" t="str">
        <f aca="false">VLOOKUP(N3737,Sheet2!G:H,2,0)</f>
        <v>Dead</v>
      </c>
      <c r="P3737" s="17" t="n">
        <v>11</v>
      </c>
      <c r="Q3737" s="17" t="str">
        <f aca="false">VLOOKUP(P3737,Sheet2!J:K,2,0)</f>
        <v>IR Declared due to CID -TA</v>
      </c>
      <c r="R3737" s="17" t="s">
        <v>35</v>
      </c>
      <c r="S3737" s="17" t="str">
        <f aca="false">VLOOKUP(R3737,Sheet2!N:O,2,0)</f>
        <v>IREPARABLE</v>
      </c>
      <c r="T3737" s="18" t="str">
        <f aca="false">VLOOKUP(P3737,Sheet2!Q:R,2,0)</f>
        <v>IR Normal - Track burn out</v>
      </c>
      <c r="U3737" s="20" t="s">
        <v>41</v>
      </c>
      <c r="V3737" s="17"/>
      <c r="W3737" s="20" t="e">
        <f aca="false">VLOOKUP(V3737,Sheet2!Q:R,2,0)</f>
        <v>#N/A</v>
      </c>
      <c r="X3737" s="17" t="n">
        <f aca="false">J3737</f>
        <v>0</v>
      </c>
      <c r="Y3737" s="17" t="e">
        <f aca="false">VLOOKUP(X3737,Sheet2!A:B,2,0)</f>
        <v>#N/A</v>
      </c>
      <c r="Z3737" s="17"/>
      <c r="AA3737" s="17"/>
      <c r="AB3737" s="17" t="s">
        <v>41</v>
      </c>
      <c r="AC3737" s="0" t="str">
        <f aca="false">LEFT(G3737,2)</f>
        <v/>
      </c>
      <c r="AE3737" s="0"/>
    </row>
    <row r="3738" customFormat="false" ht="15" hidden="false" customHeight="false" outlineLevel="0" collapsed="false">
      <c r="A3738" s="13" t="n">
        <f aca="false">1+A3737</f>
        <v>3736</v>
      </c>
      <c r="B3738" s="14" t="n">
        <v>100</v>
      </c>
      <c r="C3738" s="15"/>
      <c r="D3738" s="16" t="s">
        <v>64</v>
      </c>
      <c r="E3738" s="17" t="s">
        <v>47</v>
      </c>
      <c r="F3738" s="18" t="s">
        <v>34</v>
      </c>
      <c r="G3738" s="19"/>
      <c r="H3738" s="17" t="s">
        <v>35</v>
      </c>
      <c r="I3738" s="17" t="s">
        <v>44</v>
      </c>
      <c r="J3738" s="17"/>
      <c r="K3738" s="17" t="e">
        <f aca="false">VLOOKUP(J3738,Sheet2!A:B,2,0)</f>
        <v>#N/A</v>
      </c>
      <c r="L3738" s="17" t="n">
        <v>5</v>
      </c>
      <c r="M3738" s="17" t="str">
        <f aca="false">VLOOKUP(L3738,Sheet2!D:E,2,0)</f>
        <v>Main Processor CPU BGA</v>
      </c>
      <c r="N3738" s="17" t="n">
        <v>1</v>
      </c>
      <c r="O3738" s="17" t="str">
        <f aca="false">VLOOKUP(N3738,Sheet2!G:H,2,0)</f>
        <v>Dead</v>
      </c>
      <c r="P3738" s="17" t="n">
        <v>11</v>
      </c>
      <c r="Q3738" s="17" t="str">
        <f aca="false">VLOOKUP(P3738,Sheet2!J:K,2,0)</f>
        <v>IR Declared due to CID -TA</v>
      </c>
      <c r="R3738" s="17" t="s">
        <v>35</v>
      </c>
      <c r="S3738" s="17" t="str">
        <f aca="false">VLOOKUP(R3738,Sheet2!N:O,2,0)</f>
        <v>IREPARABLE</v>
      </c>
      <c r="T3738" s="18" t="str">
        <f aca="false">VLOOKUP(P3738,Sheet2!Q:R,2,0)</f>
        <v>IR Normal - Track burn out</v>
      </c>
      <c r="U3738" s="20" t="s">
        <v>41</v>
      </c>
      <c r="V3738" s="17"/>
      <c r="W3738" s="20" t="e">
        <f aca="false">VLOOKUP(V3738,Sheet2!Q:R,2,0)</f>
        <v>#N/A</v>
      </c>
      <c r="X3738" s="17" t="n">
        <f aca="false">J3738</f>
        <v>0</v>
      </c>
      <c r="Y3738" s="17" t="e">
        <f aca="false">VLOOKUP(X3738,Sheet2!A:B,2,0)</f>
        <v>#N/A</v>
      </c>
      <c r="Z3738" s="17"/>
      <c r="AA3738" s="17"/>
      <c r="AB3738" s="17" t="s">
        <v>41</v>
      </c>
      <c r="AC3738" s="0" t="str">
        <f aca="false">LEFT(G3738,2)</f>
        <v/>
      </c>
      <c r="AE3738" s="0"/>
    </row>
    <row r="3739" customFormat="false" ht="15" hidden="false" customHeight="false" outlineLevel="0" collapsed="false">
      <c r="A3739" s="13" t="n">
        <f aca="false">1+A3738</f>
        <v>3737</v>
      </c>
      <c r="B3739" s="14" t="n">
        <v>100</v>
      </c>
      <c r="C3739" s="15"/>
      <c r="D3739" s="16" t="s">
        <v>64</v>
      </c>
      <c r="E3739" s="17" t="s">
        <v>47</v>
      </c>
      <c r="F3739" s="18" t="s">
        <v>34</v>
      </c>
      <c r="G3739" s="19"/>
      <c r="H3739" s="17" t="s">
        <v>35</v>
      </c>
      <c r="I3739" s="17" t="s">
        <v>44</v>
      </c>
      <c r="J3739" s="17"/>
      <c r="K3739" s="17" t="e">
        <f aca="false">VLOOKUP(J3739,Sheet2!A:B,2,0)</f>
        <v>#N/A</v>
      </c>
      <c r="L3739" s="17" t="n">
        <v>5</v>
      </c>
      <c r="M3739" s="17" t="str">
        <f aca="false">VLOOKUP(L3739,Sheet2!D:E,2,0)</f>
        <v>Main Processor CPU BGA</v>
      </c>
      <c r="N3739" s="17" t="n">
        <v>1</v>
      </c>
      <c r="O3739" s="17" t="str">
        <f aca="false">VLOOKUP(N3739,Sheet2!G:H,2,0)</f>
        <v>Dead</v>
      </c>
      <c r="P3739" s="17" t="n">
        <v>11</v>
      </c>
      <c r="Q3739" s="17" t="str">
        <f aca="false">VLOOKUP(P3739,Sheet2!J:K,2,0)</f>
        <v>IR Declared due to CID -TA</v>
      </c>
      <c r="R3739" s="17" t="s">
        <v>35</v>
      </c>
      <c r="S3739" s="17" t="str">
        <f aca="false">VLOOKUP(R3739,Sheet2!N:O,2,0)</f>
        <v>IREPARABLE</v>
      </c>
      <c r="T3739" s="18" t="str">
        <f aca="false">VLOOKUP(P3739,Sheet2!Q:R,2,0)</f>
        <v>IR Normal - Track burn out</v>
      </c>
      <c r="U3739" s="20" t="s">
        <v>41</v>
      </c>
      <c r="V3739" s="17"/>
      <c r="W3739" s="20" t="e">
        <f aca="false">VLOOKUP(V3739,Sheet2!Q:R,2,0)</f>
        <v>#N/A</v>
      </c>
      <c r="X3739" s="17" t="n">
        <f aca="false">J3739</f>
        <v>0</v>
      </c>
      <c r="Y3739" s="17" t="e">
        <f aca="false">VLOOKUP(X3739,Sheet2!A:B,2,0)</f>
        <v>#N/A</v>
      </c>
      <c r="Z3739" s="17"/>
      <c r="AA3739" s="17"/>
      <c r="AB3739" s="17" t="s">
        <v>41</v>
      </c>
      <c r="AC3739" s="0" t="str">
        <f aca="false">LEFT(G3739,2)</f>
        <v/>
      </c>
      <c r="AE3739" s="0"/>
    </row>
    <row r="3740" customFormat="false" ht="15" hidden="false" customHeight="false" outlineLevel="0" collapsed="false">
      <c r="A3740" s="13" t="n">
        <f aca="false">1+A3739</f>
        <v>3738</v>
      </c>
      <c r="B3740" s="14" t="n">
        <v>100</v>
      </c>
      <c r="C3740" s="15"/>
      <c r="D3740" s="16" t="s">
        <v>64</v>
      </c>
      <c r="E3740" s="17" t="s">
        <v>47</v>
      </c>
      <c r="F3740" s="18" t="s">
        <v>34</v>
      </c>
      <c r="G3740" s="19"/>
      <c r="H3740" s="17" t="s">
        <v>35</v>
      </c>
      <c r="I3740" s="17" t="s">
        <v>44</v>
      </c>
      <c r="J3740" s="17"/>
      <c r="K3740" s="17" t="e">
        <f aca="false">VLOOKUP(J3740,Sheet2!A:B,2,0)</f>
        <v>#N/A</v>
      </c>
      <c r="L3740" s="17" t="n">
        <v>5</v>
      </c>
      <c r="M3740" s="17" t="str">
        <f aca="false">VLOOKUP(L3740,Sheet2!D:E,2,0)</f>
        <v>Main Processor CPU BGA</v>
      </c>
      <c r="N3740" s="17" t="n">
        <v>1</v>
      </c>
      <c r="O3740" s="17" t="str">
        <f aca="false">VLOOKUP(N3740,Sheet2!G:H,2,0)</f>
        <v>Dead</v>
      </c>
      <c r="P3740" s="17" t="n">
        <v>11</v>
      </c>
      <c r="Q3740" s="17" t="str">
        <f aca="false">VLOOKUP(P3740,Sheet2!J:K,2,0)</f>
        <v>IR Declared due to CID -TA</v>
      </c>
      <c r="R3740" s="17" t="s">
        <v>35</v>
      </c>
      <c r="S3740" s="17" t="str">
        <f aca="false">VLOOKUP(R3740,Sheet2!N:O,2,0)</f>
        <v>IREPARABLE</v>
      </c>
      <c r="T3740" s="18" t="str">
        <f aca="false">VLOOKUP(P3740,Sheet2!Q:R,2,0)</f>
        <v>IR Normal - Track burn out</v>
      </c>
      <c r="U3740" s="20" t="s">
        <v>41</v>
      </c>
      <c r="V3740" s="17"/>
      <c r="W3740" s="20" t="e">
        <f aca="false">VLOOKUP(V3740,Sheet2!Q:R,2,0)</f>
        <v>#N/A</v>
      </c>
      <c r="X3740" s="17" t="n">
        <f aca="false">J3740</f>
        <v>0</v>
      </c>
      <c r="Y3740" s="17" t="e">
        <f aca="false">VLOOKUP(X3740,Sheet2!A:B,2,0)</f>
        <v>#N/A</v>
      </c>
      <c r="Z3740" s="17"/>
      <c r="AA3740" s="17"/>
      <c r="AB3740" s="17" t="s">
        <v>41</v>
      </c>
      <c r="AC3740" s="0" t="str">
        <f aca="false">LEFT(G3740,2)</f>
        <v/>
      </c>
      <c r="AE3740" s="0"/>
    </row>
    <row r="3741" customFormat="false" ht="15" hidden="false" customHeight="false" outlineLevel="0" collapsed="false">
      <c r="A3741" s="13" t="n">
        <f aca="false">1+A3740</f>
        <v>3739</v>
      </c>
      <c r="B3741" s="14" t="n">
        <v>100</v>
      </c>
      <c r="C3741" s="15"/>
      <c r="D3741" s="16" t="s">
        <v>64</v>
      </c>
      <c r="E3741" s="17" t="s">
        <v>47</v>
      </c>
      <c r="F3741" s="18" t="s">
        <v>34</v>
      </c>
      <c r="G3741" s="19"/>
      <c r="H3741" s="17" t="s">
        <v>35</v>
      </c>
      <c r="I3741" s="17" t="s">
        <v>44</v>
      </c>
      <c r="J3741" s="17"/>
      <c r="K3741" s="17" t="e">
        <f aca="false">VLOOKUP(J3741,Sheet2!A:B,2,0)</f>
        <v>#N/A</v>
      </c>
      <c r="L3741" s="17" t="n">
        <v>5</v>
      </c>
      <c r="M3741" s="17" t="str">
        <f aca="false">VLOOKUP(L3741,Sheet2!D:E,2,0)</f>
        <v>Main Processor CPU BGA</v>
      </c>
      <c r="N3741" s="17" t="n">
        <v>1</v>
      </c>
      <c r="O3741" s="17" t="str">
        <f aca="false">VLOOKUP(N3741,Sheet2!G:H,2,0)</f>
        <v>Dead</v>
      </c>
      <c r="P3741" s="17" t="n">
        <v>11</v>
      </c>
      <c r="Q3741" s="17" t="str">
        <f aca="false">VLOOKUP(P3741,Sheet2!J:K,2,0)</f>
        <v>IR Declared due to CID -TA</v>
      </c>
      <c r="R3741" s="17" t="s">
        <v>35</v>
      </c>
      <c r="S3741" s="17" t="str">
        <f aca="false">VLOOKUP(R3741,Sheet2!N:O,2,0)</f>
        <v>IREPARABLE</v>
      </c>
      <c r="T3741" s="18" t="str">
        <f aca="false">VLOOKUP(P3741,Sheet2!Q:R,2,0)</f>
        <v>IR Normal - Track burn out</v>
      </c>
      <c r="U3741" s="20" t="s">
        <v>41</v>
      </c>
      <c r="V3741" s="17"/>
      <c r="W3741" s="20" t="e">
        <f aca="false">VLOOKUP(V3741,Sheet2!Q:R,2,0)</f>
        <v>#N/A</v>
      </c>
      <c r="X3741" s="17" t="n">
        <f aca="false">J3741</f>
        <v>0</v>
      </c>
      <c r="Y3741" s="17" t="e">
        <f aca="false">VLOOKUP(X3741,Sheet2!A:B,2,0)</f>
        <v>#N/A</v>
      </c>
      <c r="Z3741" s="17"/>
      <c r="AA3741" s="17"/>
      <c r="AB3741" s="17" t="s">
        <v>41</v>
      </c>
      <c r="AC3741" s="0" t="str">
        <f aca="false">LEFT(G3741,2)</f>
        <v/>
      </c>
      <c r="AE3741" s="0"/>
    </row>
    <row r="3742" customFormat="false" ht="15" hidden="false" customHeight="false" outlineLevel="0" collapsed="false">
      <c r="A3742" s="13" t="n">
        <f aca="false">1+A3741</f>
        <v>3740</v>
      </c>
      <c r="B3742" s="14" t="n">
        <v>100</v>
      </c>
      <c r="C3742" s="15"/>
      <c r="D3742" s="16" t="s">
        <v>64</v>
      </c>
      <c r="E3742" s="17" t="s">
        <v>47</v>
      </c>
      <c r="F3742" s="18" t="s">
        <v>34</v>
      </c>
      <c r="G3742" s="19"/>
      <c r="H3742" s="17" t="s">
        <v>35</v>
      </c>
      <c r="I3742" s="17" t="s">
        <v>44</v>
      </c>
      <c r="J3742" s="17"/>
      <c r="K3742" s="17" t="e">
        <f aca="false">VLOOKUP(J3742,Sheet2!A:B,2,0)</f>
        <v>#N/A</v>
      </c>
      <c r="L3742" s="17" t="n">
        <v>5</v>
      </c>
      <c r="M3742" s="17" t="str">
        <f aca="false">VLOOKUP(L3742,Sheet2!D:E,2,0)</f>
        <v>Main Processor CPU BGA</v>
      </c>
      <c r="N3742" s="17" t="n">
        <v>1</v>
      </c>
      <c r="O3742" s="17" t="str">
        <f aca="false">VLOOKUP(N3742,Sheet2!G:H,2,0)</f>
        <v>Dead</v>
      </c>
      <c r="P3742" s="17" t="n">
        <v>11</v>
      </c>
      <c r="Q3742" s="17" t="str">
        <f aca="false">VLOOKUP(P3742,Sheet2!J:K,2,0)</f>
        <v>IR Declared due to CID -TA</v>
      </c>
      <c r="R3742" s="17" t="s">
        <v>35</v>
      </c>
      <c r="S3742" s="17" t="str">
        <f aca="false">VLOOKUP(R3742,Sheet2!N:O,2,0)</f>
        <v>IREPARABLE</v>
      </c>
      <c r="T3742" s="18" t="str">
        <f aca="false">VLOOKUP(P3742,Sheet2!Q:R,2,0)</f>
        <v>IR Normal - Track burn out</v>
      </c>
      <c r="U3742" s="20" t="s">
        <v>41</v>
      </c>
      <c r="V3742" s="17"/>
      <c r="W3742" s="20" t="e">
        <f aca="false">VLOOKUP(V3742,Sheet2!Q:R,2,0)</f>
        <v>#N/A</v>
      </c>
      <c r="X3742" s="17" t="n">
        <f aca="false">J3742</f>
        <v>0</v>
      </c>
      <c r="Y3742" s="17" t="e">
        <f aca="false">VLOOKUP(X3742,Sheet2!A:B,2,0)</f>
        <v>#N/A</v>
      </c>
      <c r="Z3742" s="17"/>
      <c r="AA3742" s="17"/>
      <c r="AB3742" s="17" t="s">
        <v>41</v>
      </c>
      <c r="AC3742" s="0" t="str">
        <f aca="false">LEFT(G3742,2)</f>
        <v/>
      </c>
      <c r="AE3742" s="0"/>
    </row>
    <row r="3743" customFormat="false" ht="15" hidden="false" customHeight="false" outlineLevel="0" collapsed="false">
      <c r="A3743" s="13" t="n">
        <f aca="false">1+A3742</f>
        <v>3741</v>
      </c>
      <c r="B3743" s="14" t="n">
        <v>100</v>
      </c>
      <c r="C3743" s="15"/>
      <c r="D3743" s="16" t="s">
        <v>64</v>
      </c>
      <c r="E3743" s="17" t="s">
        <v>47</v>
      </c>
      <c r="F3743" s="18" t="s">
        <v>34</v>
      </c>
      <c r="G3743" s="19"/>
      <c r="H3743" s="17" t="s">
        <v>35</v>
      </c>
      <c r="I3743" s="17" t="s">
        <v>44</v>
      </c>
      <c r="J3743" s="17"/>
      <c r="K3743" s="17" t="e">
        <f aca="false">VLOOKUP(J3743,Sheet2!A:B,2,0)</f>
        <v>#N/A</v>
      </c>
      <c r="L3743" s="17" t="n">
        <v>5</v>
      </c>
      <c r="M3743" s="17" t="str">
        <f aca="false">VLOOKUP(L3743,Sheet2!D:E,2,0)</f>
        <v>Main Processor CPU BGA</v>
      </c>
      <c r="N3743" s="17" t="n">
        <v>1</v>
      </c>
      <c r="O3743" s="17" t="str">
        <f aca="false">VLOOKUP(N3743,Sheet2!G:H,2,0)</f>
        <v>Dead</v>
      </c>
      <c r="P3743" s="17" t="n">
        <v>11</v>
      </c>
      <c r="Q3743" s="17" t="str">
        <f aca="false">VLOOKUP(P3743,Sheet2!J:K,2,0)</f>
        <v>IR Declared due to CID -TA</v>
      </c>
      <c r="R3743" s="17" t="s">
        <v>35</v>
      </c>
      <c r="S3743" s="17" t="str">
        <f aca="false">VLOOKUP(R3743,Sheet2!N:O,2,0)</f>
        <v>IREPARABLE</v>
      </c>
      <c r="T3743" s="18" t="str">
        <f aca="false">VLOOKUP(P3743,Sheet2!Q:R,2,0)</f>
        <v>IR Normal - Track burn out</v>
      </c>
      <c r="U3743" s="20" t="s">
        <v>41</v>
      </c>
      <c r="V3743" s="17"/>
      <c r="W3743" s="20" t="e">
        <f aca="false">VLOOKUP(V3743,Sheet2!Q:R,2,0)</f>
        <v>#N/A</v>
      </c>
      <c r="X3743" s="17" t="n">
        <f aca="false">J3743</f>
        <v>0</v>
      </c>
      <c r="Y3743" s="17" t="e">
        <f aca="false">VLOOKUP(X3743,Sheet2!A:B,2,0)</f>
        <v>#N/A</v>
      </c>
      <c r="Z3743" s="17"/>
      <c r="AA3743" s="17"/>
      <c r="AB3743" s="17" t="s">
        <v>41</v>
      </c>
      <c r="AC3743" s="0" t="str">
        <f aca="false">LEFT(G3743,2)</f>
        <v/>
      </c>
      <c r="AE3743" s="0"/>
    </row>
    <row r="3744" customFormat="false" ht="15" hidden="false" customHeight="false" outlineLevel="0" collapsed="false">
      <c r="A3744" s="13" t="n">
        <f aca="false">1+A3743</f>
        <v>3742</v>
      </c>
      <c r="B3744" s="14" t="n">
        <v>100</v>
      </c>
      <c r="C3744" s="15"/>
      <c r="D3744" s="16" t="s">
        <v>64</v>
      </c>
      <c r="E3744" s="17" t="s">
        <v>47</v>
      </c>
      <c r="F3744" s="18" t="s">
        <v>34</v>
      </c>
      <c r="G3744" s="19"/>
      <c r="H3744" s="17" t="s">
        <v>35</v>
      </c>
      <c r="I3744" s="17" t="s">
        <v>44</v>
      </c>
      <c r="J3744" s="17"/>
      <c r="K3744" s="17" t="e">
        <f aca="false">VLOOKUP(J3744,Sheet2!A:B,2,0)</f>
        <v>#N/A</v>
      </c>
      <c r="L3744" s="17" t="n">
        <v>5</v>
      </c>
      <c r="M3744" s="17" t="str">
        <f aca="false">VLOOKUP(L3744,Sheet2!D:E,2,0)</f>
        <v>Main Processor CPU BGA</v>
      </c>
      <c r="N3744" s="17" t="n">
        <v>1</v>
      </c>
      <c r="O3744" s="17" t="str">
        <f aca="false">VLOOKUP(N3744,Sheet2!G:H,2,0)</f>
        <v>Dead</v>
      </c>
      <c r="P3744" s="17" t="n">
        <v>11</v>
      </c>
      <c r="Q3744" s="17" t="str">
        <f aca="false">VLOOKUP(P3744,Sheet2!J:K,2,0)</f>
        <v>IR Declared due to CID -TA</v>
      </c>
      <c r="R3744" s="17" t="s">
        <v>35</v>
      </c>
      <c r="S3744" s="17" t="str">
        <f aca="false">VLOOKUP(R3744,Sheet2!N:O,2,0)</f>
        <v>IREPARABLE</v>
      </c>
      <c r="T3744" s="18" t="str">
        <f aca="false">VLOOKUP(P3744,Sheet2!Q:R,2,0)</f>
        <v>IR Normal - Track burn out</v>
      </c>
      <c r="U3744" s="20" t="s">
        <v>41</v>
      </c>
      <c r="V3744" s="17"/>
      <c r="W3744" s="20" t="e">
        <f aca="false">VLOOKUP(V3744,Sheet2!Q:R,2,0)</f>
        <v>#N/A</v>
      </c>
      <c r="X3744" s="17" t="n">
        <f aca="false">J3744</f>
        <v>0</v>
      </c>
      <c r="Y3744" s="17" t="e">
        <f aca="false">VLOOKUP(X3744,Sheet2!A:B,2,0)</f>
        <v>#N/A</v>
      </c>
      <c r="Z3744" s="17"/>
      <c r="AA3744" s="17"/>
      <c r="AB3744" s="17" t="s">
        <v>41</v>
      </c>
      <c r="AC3744" s="0" t="str">
        <f aca="false">LEFT(G3744,2)</f>
        <v/>
      </c>
      <c r="AE3744" s="0"/>
    </row>
    <row r="3745" customFormat="false" ht="15" hidden="false" customHeight="false" outlineLevel="0" collapsed="false">
      <c r="A3745" s="13" t="n">
        <f aca="false">1+A3744</f>
        <v>3743</v>
      </c>
      <c r="B3745" s="14" t="n">
        <v>100</v>
      </c>
      <c r="C3745" s="15"/>
      <c r="D3745" s="16" t="s">
        <v>64</v>
      </c>
      <c r="E3745" s="17" t="s">
        <v>47</v>
      </c>
      <c r="F3745" s="18" t="s">
        <v>34</v>
      </c>
      <c r="G3745" s="19"/>
      <c r="H3745" s="17" t="s">
        <v>35</v>
      </c>
      <c r="I3745" s="17" t="s">
        <v>44</v>
      </c>
      <c r="J3745" s="17"/>
      <c r="K3745" s="17" t="e">
        <f aca="false">VLOOKUP(J3745,Sheet2!A:B,2,0)</f>
        <v>#N/A</v>
      </c>
      <c r="L3745" s="17" t="n">
        <v>5</v>
      </c>
      <c r="M3745" s="17" t="str">
        <f aca="false">VLOOKUP(L3745,Sheet2!D:E,2,0)</f>
        <v>Main Processor CPU BGA</v>
      </c>
      <c r="N3745" s="17" t="n">
        <v>1</v>
      </c>
      <c r="O3745" s="17" t="str">
        <f aca="false">VLOOKUP(N3745,Sheet2!G:H,2,0)</f>
        <v>Dead</v>
      </c>
      <c r="P3745" s="17" t="n">
        <v>11</v>
      </c>
      <c r="Q3745" s="17" t="str">
        <f aca="false">VLOOKUP(P3745,Sheet2!J:K,2,0)</f>
        <v>IR Declared due to CID -TA</v>
      </c>
      <c r="R3745" s="17" t="s">
        <v>35</v>
      </c>
      <c r="S3745" s="17" t="str">
        <f aca="false">VLOOKUP(R3745,Sheet2!N:O,2,0)</f>
        <v>IREPARABLE</v>
      </c>
      <c r="T3745" s="18" t="str">
        <f aca="false">VLOOKUP(P3745,Sheet2!Q:R,2,0)</f>
        <v>IR Normal - Track burn out</v>
      </c>
      <c r="U3745" s="20" t="s">
        <v>41</v>
      </c>
      <c r="V3745" s="17"/>
      <c r="W3745" s="20" t="e">
        <f aca="false">VLOOKUP(V3745,Sheet2!Q:R,2,0)</f>
        <v>#N/A</v>
      </c>
      <c r="X3745" s="17" t="n">
        <f aca="false">J3745</f>
        <v>0</v>
      </c>
      <c r="Y3745" s="17" t="e">
        <f aca="false">VLOOKUP(X3745,Sheet2!A:B,2,0)</f>
        <v>#N/A</v>
      </c>
      <c r="Z3745" s="17"/>
      <c r="AA3745" s="17"/>
      <c r="AB3745" s="17" t="s">
        <v>41</v>
      </c>
      <c r="AC3745" s="0" t="str">
        <f aca="false">LEFT(G3745,2)</f>
        <v/>
      </c>
      <c r="AE3745" s="0"/>
    </row>
    <row r="3746" customFormat="false" ht="15" hidden="false" customHeight="false" outlineLevel="0" collapsed="false">
      <c r="A3746" s="13" t="n">
        <f aca="false">1+A3745</f>
        <v>3744</v>
      </c>
      <c r="B3746" s="14" t="n">
        <v>100</v>
      </c>
      <c r="C3746" s="15"/>
      <c r="D3746" s="16" t="s">
        <v>64</v>
      </c>
      <c r="E3746" s="17" t="s">
        <v>47</v>
      </c>
      <c r="F3746" s="18" t="s">
        <v>34</v>
      </c>
      <c r="G3746" s="19"/>
      <c r="H3746" s="17" t="s">
        <v>35</v>
      </c>
      <c r="I3746" s="17" t="s">
        <v>44</v>
      </c>
      <c r="J3746" s="17"/>
      <c r="K3746" s="17" t="e">
        <f aca="false">VLOOKUP(J3746,Sheet2!A:B,2,0)</f>
        <v>#N/A</v>
      </c>
      <c r="L3746" s="17" t="n">
        <v>5</v>
      </c>
      <c r="M3746" s="17" t="str">
        <f aca="false">VLOOKUP(L3746,Sheet2!D:E,2,0)</f>
        <v>Main Processor CPU BGA</v>
      </c>
      <c r="N3746" s="17" t="n">
        <v>1</v>
      </c>
      <c r="O3746" s="17" t="str">
        <f aca="false">VLOOKUP(N3746,Sheet2!G:H,2,0)</f>
        <v>Dead</v>
      </c>
      <c r="P3746" s="17" t="n">
        <v>11</v>
      </c>
      <c r="Q3746" s="17" t="str">
        <f aca="false">VLOOKUP(P3746,Sheet2!J:K,2,0)</f>
        <v>IR Declared due to CID -TA</v>
      </c>
      <c r="R3746" s="17" t="s">
        <v>35</v>
      </c>
      <c r="S3746" s="17" t="str">
        <f aca="false">VLOOKUP(R3746,Sheet2!N:O,2,0)</f>
        <v>IREPARABLE</v>
      </c>
      <c r="T3746" s="18" t="str">
        <f aca="false">VLOOKUP(P3746,Sheet2!Q:R,2,0)</f>
        <v>IR Normal - Track burn out</v>
      </c>
      <c r="U3746" s="20" t="s">
        <v>41</v>
      </c>
      <c r="V3746" s="17"/>
      <c r="W3746" s="20" t="e">
        <f aca="false">VLOOKUP(V3746,Sheet2!Q:R,2,0)</f>
        <v>#N/A</v>
      </c>
      <c r="X3746" s="17" t="n">
        <f aca="false">J3746</f>
        <v>0</v>
      </c>
      <c r="Y3746" s="17" t="e">
        <f aca="false">VLOOKUP(X3746,Sheet2!A:B,2,0)</f>
        <v>#N/A</v>
      </c>
      <c r="Z3746" s="17"/>
      <c r="AA3746" s="17"/>
      <c r="AB3746" s="17" t="s">
        <v>41</v>
      </c>
      <c r="AC3746" s="0" t="str">
        <f aca="false">LEFT(G3746,2)</f>
        <v/>
      </c>
      <c r="AE3746" s="0"/>
    </row>
    <row r="3747" customFormat="false" ht="15" hidden="false" customHeight="false" outlineLevel="0" collapsed="false">
      <c r="A3747" s="13" t="n">
        <f aca="false">1+A3746</f>
        <v>3745</v>
      </c>
      <c r="B3747" s="14" t="n">
        <v>100</v>
      </c>
      <c r="C3747" s="15"/>
      <c r="D3747" s="16" t="s">
        <v>64</v>
      </c>
      <c r="E3747" s="17" t="s">
        <v>47</v>
      </c>
      <c r="F3747" s="18" t="s">
        <v>34</v>
      </c>
      <c r="G3747" s="19"/>
      <c r="H3747" s="17" t="s">
        <v>35</v>
      </c>
      <c r="I3747" s="17" t="s">
        <v>44</v>
      </c>
      <c r="J3747" s="17"/>
      <c r="K3747" s="17" t="e">
        <f aca="false">VLOOKUP(J3747,Sheet2!A:B,2,0)</f>
        <v>#N/A</v>
      </c>
      <c r="L3747" s="17" t="n">
        <v>5</v>
      </c>
      <c r="M3747" s="17" t="str">
        <f aca="false">VLOOKUP(L3747,Sheet2!D:E,2,0)</f>
        <v>Main Processor CPU BGA</v>
      </c>
      <c r="N3747" s="17" t="n">
        <v>1</v>
      </c>
      <c r="O3747" s="17" t="str">
        <f aca="false">VLOOKUP(N3747,Sheet2!G:H,2,0)</f>
        <v>Dead</v>
      </c>
      <c r="P3747" s="17" t="n">
        <v>11</v>
      </c>
      <c r="Q3747" s="17" t="str">
        <f aca="false">VLOOKUP(P3747,Sheet2!J:K,2,0)</f>
        <v>IR Declared due to CID -TA</v>
      </c>
      <c r="R3747" s="17" t="s">
        <v>35</v>
      </c>
      <c r="S3747" s="17" t="str">
        <f aca="false">VLOOKUP(R3747,Sheet2!N:O,2,0)</f>
        <v>IREPARABLE</v>
      </c>
      <c r="T3747" s="18" t="str">
        <f aca="false">VLOOKUP(P3747,Sheet2!Q:R,2,0)</f>
        <v>IR Normal - Track burn out</v>
      </c>
      <c r="U3747" s="20" t="s">
        <v>41</v>
      </c>
      <c r="V3747" s="17"/>
      <c r="W3747" s="20" t="e">
        <f aca="false">VLOOKUP(V3747,Sheet2!Q:R,2,0)</f>
        <v>#N/A</v>
      </c>
      <c r="X3747" s="17" t="n">
        <f aca="false">J3747</f>
        <v>0</v>
      </c>
      <c r="Y3747" s="17" t="e">
        <f aca="false">VLOOKUP(X3747,Sheet2!A:B,2,0)</f>
        <v>#N/A</v>
      </c>
      <c r="Z3747" s="17"/>
      <c r="AA3747" s="17"/>
      <c r="AB3747" s="17" t="s">
        <v>41</v>
      </c>
      <c r="AC3747" s="0" t="str">
        <f aca="false">LEFT(G3747,2)</f>
        <v/>
      </c>
      <c r="AE3747" s="0"/>
    </row>
    <row r="3748" customFormat="false" ht="15" hidden="false" customHeight="false" outlineLevel="0" collapsed="false">
      <c r="A3748" s="13" t="n">
        <f aca="false">1+A3747</f>
        <v>3746</v>
      </c>
      <c r="B3748" s="14" t="n">
        <v>100</v>
      </c>
      <c r="C3748" s="15"/>
      <c r="D3748" s="16" t="s">
        <v>64</v>
      </c>
      <c r="E3748" s="17" t="s">
        <v>47</v>
      </c>
      <c r="F3748" s="18" t="s">
        <v>34</v>
      </c>
      <c r="G3748" s="19"/>
      <c r="H3748" s="17" t="s">
        <v>35</v>
      </c>
      <c r="I3748" s="17" t="s">
        <v>44</v>
      </c>
      <c r="J3748" s="17"/>
      <c r="K3748" s="17" t="e">
        <f aca="false">VLOOKUP(J3748,Sheet2!A:B,2,0)</f>
        <v>#N/A</v>
      </c>
      <c r="L3748" s="17" t="n">
        <v>5</v>
      </c>
      <c r="M3748" s="17" t="str">
        <f aca="false">VLOOKUP(L3748,Sheet2!D:E,2,0)</f>
        <v>Main Processor CPU BGA</v>
      </c>
      <c r="N3748" s="17" t="n">
        <v>1</v>
      </c>
      <c r="O3748" s="17" t="str">
        <f aca="false">VLOOKUP(N3748,Sheet2!G:H,2,0)</f>
        <v>Dead</v>
      </c>
      <c r="P3748" s="17" t="n">
        <v>11</v>
      </c>
      <c r="Q3748" s="17" t="str">
        <f aca="false">VLOOKUP(P3748,Sheet2!J:K,2,0)</f>
        <v>IR Declared due to CID -TA</v>
      </c>
      <c r="R3748" s="17" t="s">
        <v>35</v>
      </c>
      <c r="S3748" s="17" t="str">
        <f aca="false">VLOOKUP(R3748,Sheet2!N:O,2,0)</f>
        <v>IREPARABLE</v>
      </c>
      <c r="T3748" s="18" t="str">
        <f aca="false">VLOOKUP(P3748,Sheet2!Q:R,2,0)</f>
        <v>IR Normal - Track burn out</v>
      </c>
      <c r="U3748" s="20" t="s">
        <v>41</v>
      </c>
      <c r="V3748" s="17"/>
      <c r="W3748" s="20" t="e">
        <f aca="false">VLOOKUP(V3748,Sheet2!Q:R,2,0)</f>
        <v>#N/A</v>
      </c>
      <c r="X3748" s="17" t="n">
        <f aca="false">J3748</f>
        <v>0</v>
      </c>
      <c r="Y3748" s="17" t="e">
        <f aca="false">VLOOKUP(X3748,Sheet2!A:B,2,0)</f>
        <v>#N/A</v>
      </c>
      <c r="Z3748" s="17"/>
      <c r="AA3748" s="17"/>
      <c r="AB3748" s="17" t="s">
        <v>41</v>
      </c>
      <c r="AC3748" s="0" t="str">
        <f aca="false">LEFT(G3748,2)</f>
        <v/>
      </c>
      <c r="AE3748" s="0"/>
    </row>
    <row r="3749" customFormat="false" ht="15" hidden="false" customHeight="false" outlineLevel="0" collapsed="false">
      <c r="A3749" s="13" t="n">
        <f aca="false">1+A3748</f>
        <v>3747</v>
      </c>
      <c r="B3749" s="14" t="n">
        <v>100</v>
      </c>
      <c r="C3749" s="15"/>
      <c r="D3749" s="16" t="s">
        <v>64</v>
      </c>
      <c r="E3749" s="17" t="s">
        <v>47</v>
      </c>
      <c r="F3749" s="18" t="s">
        <v>34</v>
      </c>
      <c r="G3749" s="19"/>
      <c r="H3749" s="17" t="s">
        <v>35</v>
      </c>
      <c r="I3749" s="17" t="s">
        <v>44</v>
      </c>
      <c r="J3749" s="17"/>
      <c r="K3749" s="17" t="e">
        <f aca="false">VLOOKUP(J3749,Sheet2!A:B,2,0)</f>
        <v>#N/A</v>
      </c>
      <c r="L3749" s="17" t="n">
        <v>5</v>
      </c>
      <c r="M3749" s="17" t="str">
        <f aca="false">VLOOKUP(L3749,Sheet2!D:E,2,0)</f>
        <v>Main Processor CPU BGA</v>
      </c>
      <c r="N3749" s="17" t="n">
        <v>1</v>
      </c>
      <c r="O3749" s="17" t="str">
        <f aca="false">VLOOKUP(N3749,Sheet2!G:H,2,0)</f>
        <v>Dead</v>
      </c>
      <c r="P3749" s="17" t="n">
        <v>11</v>
      </c>
      <c r="Q3749" s="17" t="str">
        <f aca="false">VLOOKUP(P3749,Sheet2!J:K,2,0)</f>
        <v>IR Declared due to CID -TA</v>
      </c>
      <c r="R3749" s="17" t="s">
        <v>35</v>
      </c>
      <c r="S3749" s="17" t="str">
        <f aca="false">VLOOKUP(R3749,Sheet2!N:O,2,0)</f>
        <v>IREPARABLE</v>
      </c>
      <c r="T3749" s="18" t="str">
        <f aca="false">VLOOKUP(P3749,Sheet2!Q:R,2,0)</f>
        <v>IR Normal - Track burn out</v>
      </c>
      <c r="U3749" s="20" t="s">
        <v>41</v>
      </c>
      <c r="V3749" s="17"/>
      <c r="W3749" s="20" t="e">
        <f aca="false">VLOOKUP(V3749,Sheet2!Q:R,2,0)</f>
        <v>#N/A</v>
      </c>
      <c r="X3749" s="17" t="n">
        <f aca="false">J3749</f>
        <v>0</v>
      </c>
      <c r="Y3749" s="17" t="e">
        <f aca="false">VLOOKUP(X3749,Sheet2!A:B,2,0)</f>
        <v>#N/A</v>
      </c>
      <c r="Z3749" s="17"/>
      <c r="AA3749" s="17"/>
      <c r="AB3749" s="17" t="s">
        <v>41</v>
      </c>
      <c r="AC3749" s="0" t="str">
        <f aca="false">LEFT(G3749,2)</f>
        <v/>
      </c>
      <c r="AE3749" s="0"/>
    </row>
    <row r="3750" customFormat="false" ht="15" hidden="false" customHeight="false" outlineLevel="0" collapsed="false">
      <c r="A3750" s="13" t="n">
        <f aca="false">1+A3749</f>
        <v>3748</v>
      </c>
      <c r="B3750" s="14" t="n">
        <v>100</v>
      </c>
      <c r="C3750" s="15"/>
      <c r="D3750" s="16" t="s">
        <v>64</v>
      </c>
      <c r="E3750" s="17" t="s">
        <v>47</v>
      </c>
      <c r="F3750" s="18" t="s">
        <v>34</v>
      </c>
      <c r="G3750" s="19"/>
      <c r="H3750" s="17" t="s">
        <v>35</v>
      </c>
      <c r="I3750" s="17" t="s">
        <v>44</v>
      </c>
      <c r="J3750" s="17"/>
      <c r="K3750" s="17" t="e">
        <f aca="false">VLOOKUP(J3750,Sheet2!A:B,2,0)</f>
        <v>#N/A</v>
      </c>
      <c r="L3750" s="17" t="n">
        <v>5</v>
      </c>
      <c r="M3750" s="17" t="str">
        <f aca="false">VLOOKUP(L3750,Sheet2!D:E,2,0)</f>
        <v>Main Processor CPU BGA</v>
      </c>
      <c r="N3750" s="17" t="n">
        <v>1</v>
      </c>
      <c r="O3750" s="17" t="str">
        <f aca="false">VLOOKUP(N3750,Sheet2!G:H,2,0)</f>
        <v>Dead</v>
      </c>
      <c r="P3750" s="17" t="n">
        <v>11</v>
      </c>
      <c r="Q3750" s="17" t="str">
        <f aca="false">VLOOKUP(P3750,Sheet2!J:K,2,0)</f>
        <v>IR Declared due to CID -TA</v>
      </c>
      <c r="R3750" s="17" t="s">
        <v>35</v>
      </c>
      <c r="S3750" s="17" t="str">
        <f aca="false">VLOOKUP(R3750,Sheet2!N:O,2,0)</f>
        <v>IREPARABLE</v>
      </c>
      <c r="T3750" s="18" t="str">
        <f aca="false">VLOOKUP(P3750,Sheet2!Q:R,2,0)</f>
        <v>IR Normal - Track burn out</v>
      </c>
      <c r="U3750" s="20" t="s">
        <v>41</v>
      </c>
      <c r="V3750" s="17"/>
      <c r="W3750" s="20" t="e">
        <f aca="false">VLOOKUP(V3750,Sheet2!Q:R,2,0)</f>
        <v>#N/A</v>
      </c>
      <c r="X3750" s="17" t="n">
        <f aca="false">J3750</f>
        <v>0</v>
      </c>
      <c r="Y3750" s="17" t="e">
        <f aca="false">VLOOKUP(X3750,Sheet2!A:B,2,0)</f>
        <v>#N/A</v>
      </c>
      <c r="Z3750" s="17"/>
      <c r="AA3750" s="17"/>
      <c r="AB3750" s="17" t="s">
        <v>41</v>
      </c>
      <c r="AC3750" s="0" t="str">
        <f aca="false">LEFT(G3750,2)</f>
        <v/>
      </c>
      <c r="AE3750" s="0"/>
    </row>
    <row r="3751" customFormat="false" ht="15" hidden="false" customHeight="false" outlineLevel="0" collapsed="false">
      <c r="A3751" s="13" t="n">
        <f aca="false">1+A3750</f>
        <v>3749</v>
      </c>
      <c r="B3751" s="14" t="n">
        <v>100</v>
      </c>
      <c r="C3751" s="15"/>
      <c r="D3751" s="16" t="s">
        <v>64</v>
      </c>
      <c r="E3751" s="17" t="s">
        <v>47</v>
      </c>
      <c r="F3751" s="18" t="s">
        <v>34</v>
      </c>
      <c r="G3751" s="19"/>
      <c r="H3751" s="17" t="s">
        <v>35</v>
      </c>
      <c r="I3751" s="17" t="s">
        <v>44</v>
      </c>
      <c r="J3751" s="17"/>
      <c r="K3751" s="17" t="e">
        <f aca="false">VLOOKUP(J3751,Sheet2!A:B,2,0)</f>
        <v>#N/A</v>
      </c>
      <c r="L3751" s="17" t="n">
        <v>5</v>
      </c>
      <c r="M3751" s="17" t="str">
        <f aca="false">VLOOKUP(L3751,Sheet2!D:E,2,0)</f>
        <v>Main Processor CPU BGA</v>
      </c>
      <c r="N3751" s="17" t="n">
        <v>1</v>
      </c>
      <c r="O3751" s="17" t="str">
        <f aca="false">VLOOKUP(N3751,Sheet2!G:H,2,0)</f>
        <v>Dead</v>
      </c>
      <c r="P3751" s="17" t="n">
        <v>11</v>
      </c>
      <c r="Q3751" s="17" t="str">
        <f aca="false">VLOOKUP(P3751,Sheet2!J:K,2,0)</f>
        <v>IR Declared due to CID -TA</v>
      </c>
      <c r="R3751" s="17" t="s">
        <v>35</v>
      </c>
      <c r="S3751" s="17" t="str">
        <f aca="false">VLOOKUP(R3751,Sheet2!N:O,2,0)</f>
        <v>IREPARABLE</v>
      </c>
      <c r="T3751" s="18" t="str">
        <f aca="false">VLOOKUP(P3751,Sheet2!Q:R,2,0)</f>
        <v>IR Normal - Track burn out</v>
      </c>
      <c r="U3751" s="20" t="s">
        <v>41</v>
      </c>
      <c r="V3751" s="17"/>
      <c r="W3751" s="20" t="e">
        <f aca="false">VLOOKUP(V3751,Sheet2!Q:R,2,0)</f>
        <v>#N/A</v>
      </c>
      <c r="X3751" s="17" t="n">
        <f aca="false">J3751</f>
        <v>0</v>
      </c>
      <c r="Y3751" s="17" t="e">
        <f aca="false">VLOOKUP(X3751,Sheet2!A:B,2,0)</f>
        <v>#N/A</v>
      </c>
      <c r="Z3751" s="17"/>
      <c r="AA3751" s="17"/>
      <c r="AB3751" s="17" t="s">
        <v>41</v>
      </c>
      <c r="AC3751" s="0" t="str">
        <f aca="false">LEFT(G3751,2)</f>
        <v/>
      </c>
      <c r="AE3751" s="0"/>
    </row>
    <row r="3752" customFormat="false" ht="15" hidden="false" customHeight="false" outlineLevel="0" collapsed="false">
      <c r="A3752" s="13" t="n">
        <f aca="false">1+A3751</f>
        <v>3750</v>
      </c>
      <c r="B3752" s="14" t="n">
        <v>100</v>
      </c>
      <c r="C3752" s="15"/>
      <c r="D3752" s="16" t="s">
        <v>64</v>
      </c>
      <c r="E3752" s="17" t="s">
        <v>47</v>
      </c>
      <c r="F3752" s="18" t="s">
        <v>34</v>
      </c>
      <c r="G3752" s="19"/>
      <c r="H3752" s="17" t="s">
        <v>35</v>
      </c>
      <c r="I3752" s="17" t="s">
        <v>44</v>
      </c>
      <c r="J3752" s="17"/>
      <c r="K3752" s="17" t="e">
        <f aca="false">VLOOKUP(J3752,Sheet2!A:B,2,0)</f>
        <v>#N/A</v>
      </c>
      <c r="L3752" s="17" t="n">
        <v>5</v>
      </c>
      <c r="M3752" s="17" t="str">
        <f aca="false">VLOOKUP(L3752,Sheet2!D:E,2,0)</f>
        <v>Main Processor CPU BGA</v>
      </c>
      <c r="N3752" s="17" t="n">
        <v>1</v>
      </c>
      <c r="O3752" s="17" t="str">
        <f aca="false">VLOOKUP(N3752,Sheet2!G:H,2,0)</f>
        <v>Dead</v>
      </c>
      <c r="P3752" s="17" t="n">
        <v>11</v>
      </c>
      <c r="Q3752" s="17" t="str">
        <f aca="false">VLOOKUP(P3752,Sheet2!J:K,2,0)</f>
        <v>IR Declared due to CID -TA</v>
      </c>
      <c r="R3752" s="17" t="s">
        <v>35</v>
      </c>
      <c r="S3752" s="17" t="str">
        <f aca="false">VLOOKUP(R3752,Sheet2!N:O,2,0)</f>
        <v>IREPARABLE</v>
      </c>
      <c r="T3752" s="18" t="str">
        <f aca="false">VLOOKUP(P3752,Sheet2!Q:R,2,0)</f>
        <v>IR Normal - Track burn out</v>
      </c>
      <c r="U3752" s="20" t="s">
        <v>41</v>
      </c>
      <c r="V3752" s="17"/>
      <c r="W3752" s="20" t="e">
        <f aca="false">VLOOKUP(V3752,Sheet2!Q:R,2,0)</f>
        <v>#N/A</v>
      </c>
      <c r="X3752" s="17" t="n">
        <f aca="false">J3752</f>
        <v>0</v>
      </c>
      <c r="Y3752" s="17" t="e">
        <f aca="false">VLOOKUP(X3752,Sheet2!A:B,2,0)</f>
        <v>#N/A</v>
      </c>
      <c r="Z3752" s="17"/>
      <c r="AA3752" s="17"/>
      <c r="AB3752" s="17" t="s">
        <v>41</v>
      </c>
      <c r="AC3752" s="0" t="str">
        <f aca="false">LEFT(G3752,2)</f>
        <v/>
      </c>
      <c r="AE3752" s="0"/>
    </row>
    <row r="3753" customFormat="false" ht="15" hidden="false" customHeight="false" outlineLevel="0" collapsed="false">
      <c r="A3753" s="13" t="n">
        <f aca="false">1+A3752</f>
        <v>3751</v>
      </c>
      <c r="B3753" s="14" t="n">
        <v>100</v>
      </c>
      <c r="C3753" s="15"/>
      <c r="D3753" s="16" t="s">
        <v>64</v>
      </c>
      <c r="E3753" s="17" t="s">
        <v>47</v>
      </c>
      <c r="F3753" s="18" t="s">
        <v>34</v>
      </c>
      <c r="G3753" s="19"/>
      <c r="H3753" s="17" t="s">
        <v>35</v>
      </c>
      <c r="I3753" s="17" t="s">
        <v>44</v>
      </c>
      <c r="J3753" s="17"/>
      <c r="K3753" s="17" t="e">
        <f aca="false">VLOOKUP(J3753,Sheet2!A:B,2,0)</f>
        <v>#N/A</v>
      </c>
      <c r="L3753" s="17" t="n">
        <v>5</v>
      </c>
      <c r="M3753" s="17" t="str">
        <f aca="false">VLOOKUP(L3753,Sheet2!D:E,2,0)</f>
        <v>Main Processor CPU BGA</v>
      </c>
      <c r="N3753" s="17" t="n">
        <v>1</v>
      </c>
      <c r="O3753" s="17" t="str">
        <f aca="false">VLOOKUP(N3753,Sheet2!G:H,2,0)</f>
        <v>Dead</v>
      </c>
      <c r="P3753" s="17" t="n">
        <v>11</v>
      </c>
      <c r="Q3753" s="17" t="str">
        <f aca="false">VLOOKUP(P3753,Sheet2!J:K,2,0)</f>
        <v>IR Declared due to CID -TA</v>
      </c>
      <c r="R3753" s="17" t="s">
        <v>35</v>
      </c>
      <c r="S3753" s="17" t="str">
        <f aca="false">VLOOKUP(R3753,Sheet2!N:O,2,0)</f>
        <v>IREPARABLE</v>
      </c>
      <c r="T3753" s="18" t="str">
        <f aca="false">VLOOKUP(P3753,Sheet2!Q:R,2,0)</f>
        <v>IR Normal - Track burn out</v>
      </c>
      <c r="U3753" s="20" t="s">
        <v>41</v>
      </c>
      <c r="V3753" s="17"/>
      <c r="W3753" s="20" t="e">
        <f aca="false">VLOOKUP(V3753,Sheet2!Q:R,2,0)</f>
        <v>#N/A</v>
      </c>
      <c r="X3753" s="17" t="n">
        <f aca="false">J3753</f>
        <v>0</v>
      </c>
      <c r="Y3753" s="17" t="e">
        <f aca="false">VLOOKUP(X3753,Sheet2!A:B,2,0)</f>
        <v>#N/A</v>
      </c>
      <c r="Z3753" s="17"/>
      <c r="AA3753" s="17"/>
      <c r="AB3753" s="17" t="s">
        <v>41</v>
      </c>
      <c r="AC3753" s="0" t="str">
        <f aca="false">LEFT(G3753,2)</f>
        <v/>
      </c>
      <c r="AE3753" s="0"/>
    </row>
    <row r="3754" customFormat="false" ht="15" hidden="false" customHeight="false" outlineLevel="0" collapsed="false">
      <c r="A3754" s="13" t="n">
        <f aca="false">1+A3753</f>
        <v>3752</v>
      </c>
      <c r="B3754" s="14" t="n">
        <v>100</v>
      </c>
      <c r="C3754" s="15"/>
      <c r="D3754" s="16" t="s">
        <v>64</v>
      </c>
      <c r="E3754" s="17" t="s">
        <v>47</v>
      </c>
      <c r="F3754" s="18" t="s">
        <v>34</v>
      </c>
      <c r="G3754" s="19"/>
      <c r="H3754" s="17" t="s">
        <v>35</v>
      </c>
      <c r="I3754" s="17" t="s">
        <v>44</v>
      </c>
      <c r="J3754" s="17"/>
      <c r="K3754" s="17" t="e">
        <f aca="false">VLOOKUP(J3754,Sheet2!A:B,2,0)</f>
        <v>#N/A</v>
      </c>
      <c r="L3754" s="17" t="n">
        <v>5</v>
      </c>
      <c r="M3754" s="17" t="str">
        <f aca="false">VLOOKUP(L3754,Sheet2!D:E,2,0)</f>
        <v>Main Processor CPU BGA</v>
      </c>
      <c r="N3754" s="17" t="n">
        <v>1</v>
      </c>
      <c r="O3754" s="17" t="str">
        <f aca="false">VLOOKUP(N3754,Sheet2!G:H,2,0)</f>
        <v>Dead</v>
      </c>
      <c r="P3754" s="17" t="n">
        <v>11</v>
      </c>
      <c r="Q3754" s="17" t="str">
        <f aca="false">VLOOKUP(P3754,Sheet2!J:K,2,0)</f>
        <v>IR Declared due to CID -TA</v>
      </c>
      <c r="R3754" s="17" t="s">
        <v>35</v>
      </c>
      <c r="S3754" s="17" t="str">
        <f aca="false">VLOOKUP(R3754,Sheet2!N:O,2,0)</f>
        <v>IREPARABLE</v>
      </c>
      <c r="T3754" s="18" t="str">
        <f aca="false">VLOOKUP(P3754,Sheet2!Q:R,2,0)</f>
        <v>IR Normal - Track burn out</v>
      </c>
      <c r="U3754" s="20" t="s">
        <v>41</v>
      </c>
      <c r="V3754" s="17"/>
      <c r="W3754" s="20" t="e">
        <f aca="false">VLOOKUP(V3754,Sheet2!Q:R,2,0)</f>
        <v>#N/A</v>
      </c>
      <c r="X3754" s="17" t="n">
        <f aca="false">J3754</f>
        <v>0</v>
      </c>
      <c r="Y3754" s="17" t="e">
        <f aca="false">VLOOKUP(X3754,Sheet2!A:B,2,0)</f>
        <v>#N/A</v>
      </c>
      <c r="Z3754" s="17"/>
      <c r="AA3754" s="17"/>
      <c r="AB3754" s="17" t="s">
        <v>41</v>
      </c>
      <c r="AC3754" s="0" t="str">
        <f aca="false">LEFT(G3754,2)</f>
        <v/>
      </c>
      <c r="AE3754" s="0"/>
    </row>
    <row r="3755" customFormat="false" ht="15" hidden="false" customHeight="false" outlineLevel="0" collapsed="false">
      <c r="A3755" s="13" t="n">
        <f aca="false">1+A3754</f>
        <v>3753</v>
      </c>
      <c r="B3755" s="14" t="n">
        <v>100</v>
      </c>
      <c r="C3755" s="15"/>
      <c r="D3755" s="16" t="s">
        <v>64</v>
      </c>
      <c r="E3755" s="17" t="s">
        <v>47</v>
      </c>
      <c r="F3755" s="18" t="s">
        <v>34</v>
      </c>
      <c r="G3755" s="19"/>
      <c r="H3755" s="17" t="s">
        <v>35</v>
      </c>
      <c r="I3755" s="17" t="s">
        <v>44</v>
      </c>
      <c r="J3755" s="17"/>
      <c r="K3755" s="17" t="e">
        <f aca="false">VLOOKUP(J3755,Sheet2!A:B,2,0)</f>
        <v>#N/A</v>
      </c>
      <c r="L3755" s="17" t="n">
        <v>5</v>
      </c>
      <c r="M3755" s="17" t="str">
        <f aca="false">VLOOKUP(L3755,Sheet2!D:E,2,0)</f>
        <v>Main Processor CPU BGA</v>
      </c>
      <c r="N3755" s="17" t="n">
        <v>1</v>
      </c>
      <c r="O3755" s="17" t="str">
        <f aca="false">VLOOKUP(N3755,Sheet2!G:H,2,0)</f>
        <v>Dead</v>
      </c>
      <c r="P3755" s="17" t="n">
        <v>11</v>
      </c>
      <c r="Q3755" s="17" t="str">
        <f aca="false">VLOOKUP(P3755,Sheet2!J:K,2,0)</f>
        <v>IR Declared due to CID -TA</v>
      </c>
      <c r="R3755" s="17" t="s">
        <v>35</v>
      </c>
      <c r="S3755" s="17" t="str">
        <f aca="false">VLOOKUP(R3755,Sheet2!N:O,2,0)</f>
        <v>IREPARABLE</v>
      </c>
      <c r="T3755" s="18" t="str">
        <f aca="false">VLOOKUP(P3755,Sheet2!Q:R,2,0)</f>
        <v>IR Normal - Track burn out</v>
      </c>
      <c r="U3755" s="20" t="s">
        <v>41</v>
      </c>
      <c r="V3755" s="17"/>
      <c r="W3755" s="20" t="e">
        <f aca="false">VLOOKUP(V3755,Sheet2!Q:R,2,0)</f>
        <v>#N/A</v>
      </c>
      <c r="X3755" s="17" t="n">
        <f aca="false">J3755</f>
        <v>0</v>
      </c>
      <c r="Y3755" s="17" t="e">
        <f aca="false">VLOOKUP(X3755,Sheet2!A:B,2,0)</f>
        <v>#N/A</v>
      </c>
      <c r="Z3755" s="17"/>
      <c r="AA3755" s="17"/>
      <c r="AB3755" s="17" t="s">
        <v>41</v>
      </c>
      <c r="AC3755" s="0" t="str">
        <f aca="false">LEFT(G3755,2)</f>
        <v/>
      </c>
      <c r="AE3755" s="0"/>
    </row>
    <row r="3756" customFormat="false" ht="15" hidden="false" customHeight="false" outlineLevel="0" collapsed="false">
      <c r="A3756" s="13" t="n">
        <f aca="false">1+A3755</f>
        <v>3754</v>
      </c>
      <c r="B3756" s="14" t="n">
        <v>100</v>
      </c>
      <c r="C3756" s="15"/>
      <c r="D3756" s="16" t="s">
        <v>64</v>
      </c>
      <c r="E3756" s="17" t="s">
        <v>47</v>
      </c>
      <c r="F3756" s="18" t="s">
        <v>34</v>
      </c>
      <c r="G3756" s="19"/>
      <c r="H3756" s="17" t="s">
        <v>35</v>
      </c>
      <c r="I3756" s="17" t="s">
        <v>44</v>
      </c>
      <c r="J3756" s="17"/>
      <c r="K3756" s="17" t="e">
        <f aca="false">VLOOKUP(J3756,Sheet2!A:B,2,0)</f>
        <v>#N/A</v>
      </c>
      <c r="L3756" s="17" t="n">
        <v>5</v>
      </c>
      <c r="M3756" s="17" t="str">
        <f aca="false">VLOOKUP(L3756,Sheet2!D:E,2,0)</f>
        <v>Main Processor CPU BGA</v>
      </c>
      <c r="N3756" s="17" t="n">
        <v>1</v>
      </c>
      <c r="O3756" s="17" t="str">
        <f aca="false">VLOOKUP(N3756,Sheet2!G:H,2,0)</f>
        <v>Dead</v>
      </c>
      <c r="P3756" s="17" t="n">
        <v>11</v>
      </c>
      <c r="Q3756" s="17" t="str">
        <f aca="false">VLOOKUP(P3756,Sheet2!J:K,2,0)</f>
        <v>IR Declared due to CID -TA</v>
      </c>
      <c r="R3756" s="17" t="s">
        <v>35</v>
      </c>
      <c r="S3756" s="17" t="str">
        <f aca="false">VLOOKUP(R3756,Sheet2!N:O,2,0)</f>
        <v>IREPARABLE</v>
      </c>
      <c r="T3756" s="18" t="str">
        <f aca="false">VLOOKUP(P3756,Sheet2!Q:R,2,0)</f>
        <v>IR Normal - Track burn out</v>
      </c>
      <c r="U3756" s="20" t="s">
        <v>41</v>
      </c>
      <c r="V3756" s="17"/>
      <c r="W3756" s="20" t="e">
        <f aca="false">VLOOKUP(V3756,Sheet2!Q:R,2,0)</f>
        <v>#N/A</v>
      </c>
      <c r="X3756" s="17" t="n">
        <f aca="false">J3756</f>
        <v>0</v>
      </c>
      <c r="Y3756" s="17" t="e">
        <f aca="false">VLOOKUP(X3756,Sheet2!A:B,2,0)</f>
        <v>#N/A</v>
      </c>
      <c r="Z3756" s="17"/>
      <c r="AA3756" s="17"/>
      <c r="AB3756" s="17" t="s">
        <v>41</v>
      </c>
      <c r="AC3756" s="0" t="str">
        <f aca="false">LEFT(G3756,2)</f>
        <v/>
      </c>
      <c r="AE3756" s="0"/>
    </row>
    <row r="3757" customFormat="false" ht="15" hidden="false" customHeight="false" outlineLevel="0" collapsed="false">
      <c r="A3757" s="13" t="n">
        <f aca="false">1+A3756</f>
        <v>3755</v>
      </c>
      <c r="B3757" s="14" t="n">
        <v>100</v>
      </c>
      <c r="C3757" s="15"/>
      <c r="D3757" s="16" t="s">
        <v>64</v>
      </c>
      <c r="E3757" s="17" t="s">
        <v>47</v>
      </c>
      <c r="F3757" s="18" t="s">
        <v>34</v>
      </c>
      <c r="G3757" s="19"/>
      <c r="H3757" s="17" t="s">
        <v>35</v>
      </c>
      <c r="I3757" s="17" t="s">
        <v>44</v>
      </c>
      <c r="J3757" s="17"/>
      <c r="K3757" s="17" t="e">
        <f aca="false">VLOOKUP(J3757,Sheet2!A:B,2,0)</f>
        <v>#N/A</v>
      </c>
      <c r="L3757" s="17" t="n">
        <v>5</v>
      </c>
      <c r="M3757" s="17" t="str">
        <f aca="false">VLOOKUP(L3757,Sheet2!D:E,2,0)</f>
        <v>Main Processor CPU BGA</v>
      </c>
      <c r="N3757" s="17" t="n">
        <v>1</v>
      </c>
      <c r="O3757" s="17" t="str">
        <f aca="false">VLOOKUP(N3757,Sheet2!G:H,2,0)</f>
        <v>Dead</v>
      </c>
      <c r="P3757" s="17" t="n">
        <v>11</v>
      </c>
      <c r="Q3757" s="17" t="str">
        <f aca="false">VLOOKUP(P3757,Sheet2!J:K,2,0)</f>
        <v>IR Declared due to CID -TA</v>
      </c>
      <c r="R3757" s="17" t="s">
        <v>35</v>
      </c>
      <c r="S3757" s="17" t="str">
        <f aca="false">VLOOKUP(R3757,Sheet2!N:O,2,0)</f>
        <v>IREPARABLE</v>
      </c>
      <c r="T3757" s="18" t="str">
        <f aca="false">VLOOKUP(P3757,Sheet2!Q:R,2,0)</f>
        <v>IR Normal - Track burn out</v>
      </c>
      <c r="U3757" s="20" t="s">
        <v>41</v>
      </c>
      <c r="V3757" s="17"/>
      <c r="W3757" s="20" t="e">
        <f aca="false">VLOOKUP(V3757,Sheet2!Q:R,2,0)</f>
        <v>#N/A</v>
      </c>
      <c r="X3757" s="17" t="n">
        <f aca="false">J3757</f>
        <v>0</v>
      </c>
      <c r="Y3757" s="17" t="e">
        <f aca="false">VLOOKUP(X3757,Sheet2!A:B,2,0)</f>
        <v>#N/A</v>
      </c>
      <c r="Z3757" s="17"/>
      <c r="AA3757" s="17"/>
      <c r="AB3757" s="17" t="s">
        <v>41</v>
      </c>
      <c r="AC3757" s="0" t="str">
        <f aca="false">LEFT(G3757,2)</f>
        <v/>
      </c>
      <c r="AE3757" s="0"/>
    </row>
    <row r="3758" customFormat="false" ht="15" hidden="false" customHeight="false" outlineLevel="0" collapsed="false">
      <c r="A3758" s="13" t="n">
        <f aca="false">1+A3757</f>
        <v>3756</v>
      </c>
      <c r="B3758" s="14" t="n">
        <v>100</v>
      </c>
      <c r="C3758" s="15"/>
      <c r="D3758" s="16" t="s">
        <v>64</v>
      </c>
      <c r="E3758" s="17" t="s">
        <v>47</v>
      </c>
      <c r="F3758" s="18" t="s">
        <v>34</v>
      </c>
      <c r="G3758" s="19"/>
      <c r="H3758" s="17" t="s">
        <v>35</v>
      </c>
      <c r="I3758" s="17" t="s">
        <v>44</v>
      </c>
      <c r="J3758" s="17"/>
      <c r="K3758" s="17" t="e">
        <f aca="false">VLOOKUP(J3758,Sheet2!A:B,2,0)</f>
        <v>#N/A</v>
      </c>
      <c r="L3758" s="17" t="n">
        <v>5</v>
      </c>
      <c r="M3758" s="17" t="str">
        <f aca="false">VLOOKUP(L3758,Sheet2!D:E,2,0)</f>
        <v>Main Processor CPU BGA</v>
      </c>
      <c r="N3758" s="17" t="n">
        <v>1</v>
      </c>
      <c r="O3758" s="17" t="str">
        <f aca="false">VLOOKUP(N3758,Sheet2!G:H,2,0)</f>
        <v>Dead</v>
      </c>
      <c r="P3758" s="17" t="n">
        <v>11</v>
      </c>
      <c r="Q3758" s="17" t="str">
        <f aca="false">VLOOKUP(P3758,Sheet2!J:K,2,0)</f>
        <v>IR Declared due to CID -TA</v>
      </c>
      <c r="R3758" s="17" t="s">
        <v>35</v>
      </c>
      <c r="S3758" s="17" t="str">
        <f aca="false">VLOOKUP(R3758,Sheet2!N:O,2,0)</f>
        <v>IREPARABLE</v>
      </c>
      <c r="T3758" s="18" t="str">
        <f aca="false">VLOOKUP(P3758,Sheet2!Q:R,2,0)</f>
        <v>IR Normal - Track burn out</v>
      </c>
      <c r="U3758" s="20" t="s">
        <v>41</v>
      </c>
      <c r="V3758" s="17"/>
      <c r="W3758" s="20" t="e">
        <f aca="false">VLOOKUP(V3758,Sheet2!Q:R,2,0)</f>
        <v>#N/A</v>
      </c>
      <c r="X3758" s="17" t="n">
        <f aca="false">J3758</f>
        <v>0</v>
      </c>
      <c r="Y3758" s="17" t="e">
        <f aca="false">VLOOKUP(X3758,Sheet2!A:B,2,0)</f>
        <v>#N/A</v>
      </c>
      <c r="Z3758" s="17"/>
      <c r="AA3758" s="17"/>
      <c r="AB3758" s="17" t="s">
        <v>41</v>
      </c>
      <c r="AC3758" s="0" t="str">
        <f aca="false">LEFT(G3758,2)</f>
        <v/>
      </c>
      <c r="AE3758" s="0"/>
    </row>
    <row r="3759" customFormat="false" ht="15" hidden="false" customHeight="false" outlineLevel="0" collapsed="false">
      <c r="A3759" s="13" t="n">
        <f aca="false">1+A3758</f>
        <v>3757</v>
      </c>
      <c r="B3759" s="14" t="n">
        <v>100</v>
      </c>
      <c r="C3759" s="15"/>
      <c r="D3759" s="16" t="s">
        <v>64</v>
      </c>
      <c r="E3759" s="17" t="s">
        <v>47</v>
      </c>
      <c r="F3759" s="18" t="s">
        <v>34</v>
      </c>
      <c r="G3759" s="19"/>
      <c r="H3759" s="17" t="s">
        <v>35</v>
      </c>
      <c r="I3759" s="17" t="s">
        <v>44</v>
      </c>
      <c r="J3759" s="17"/>
      <c r="K3759" s="17" t="e">
        <f aca="false">VLOOKUP(J3759,Sheet2!A:B,2,0)</f>
        <v>#N/A</v>
      </c>
      <c r="L3759" s="17" t="n">
        <v>5</v>
      </c>
      <c r="M3759" s="17" t="str">
        <f aca="false">VLOOKUP(L3759,Sheet2!D:E,2,0)</f>
        <v>Main Processor CPU BGA</v>
      </c>
      <c r="N3759" s="17" t="n">
        <v>1</v>
      </c>
      <c r="O3759" s="17" t="str">
        <f aca="false">VLOOKUP(N3759,Sheet2!G:H,2,0)</f>
        <v>Dead</v>
      </c>
      <c r="P3759" s="17" t="n">
        <v>11</v>
      </c>
      <c r="Q3759" s="17" t="str">
        <f aca="false">VLOOKUP(P3759,Sheet2!J:K,2,0)</f>
        <v>IR Declared due to CID -TA</v>
      </c>
      <c r="R3759" s="17" t="s">
        <v>35</v>
      </c>
      <c r="S3759" s="17" t="str">
        <f aca="false">VLOOKUP(R3759,Sheet2!N:O,2,0)</f>
        <v>IREPARABLE</v>
      </c>
      <c r="T3759" s="18" t="str">
        <f aca="false">VLOOKUP(P3759,Sheet2!Q:R,2,0)</f>
        <v>IR Normal - Track burn out</v>
      </c>
      <c r="U3759" s="20" t="s">
        <v>41</v>
      </c>
      <c r="V3759" s="17"/>
      <c r="W3759" s="20" t="e">
        <f aca="false">VLOOKUP(V3759,Sheet2!Q:R,2,0)</f>
        <v>#N/A</v>
      </c>
      <c r="X3759" s="17" t="n">
        <f aca="false">J3759</f>
        <v>0</v>
      </c>
      <c r="Y3759" s="17" t="e">
        <f aca="false">VLOOKUP(X3759,Sheet2!A:B,2,0)</f>
        <v>#N/A</v>
      </c>
      <c r="Z3759" s="17"/>
      <c r="AA3759" s="17"/>
      <c r="AB3759" s="17" t="s">
        <v>41</v>
      </c>
      <c r="AC3759" s="0" t="str">
        <f aca="false">LEFT(G3759,2)</f>
        <v/>
      </c>
      <c r="AE3759" s="0"/>
    </row>
    <row r="3760" customFormat="false" ht="15" hidden="false" customHeight="false" outlineLevel="0" collapsed="false">
      <c r="A3760" s="13" t="n">
        <f aca="false">1+A3759</f>
        <v>3758</v>
      </c>
      <c r="B3760" s="14" t="n">
        <v>100</v>
      </c>
      <c r="C3760" s="15"/>
      <c r="D3760" s="16" t="s">
        <v>64</v>
      </c>
      <c r="E3760" s="17" t="s">
        <v>47</v>
      </c>
      <c r="F3760" s="18" t="s">
        <v>34</v>
      </c>
      <c r="G3760" s="19"/>
      <c r="H3760" s="17" t="s">
        <v>35</v>
      </c>
      <c r="I3760" s="17" t="s">
        <v>44</v>
      </c>
      <c r="J3760" s="17"/>
      <c r="K3760" s="17" t="e">
        <f aca="false">VLOOKUP(J3760,Sheet2!A:B,2,0)</f>
        <v>#N/A</v>
      </c>
      <c r="L3760" s="17" t="n">
        <v>5</v>
      </c>
      <c r="M3760" s="17" t="str">
        <f aca="false">VLOOKUP(L3760,Sheet2!D:E,2,0)</f>
        <v>Main Processor CPU BGA</v>
      </c>
      <c r="N3760" s="17" t="n">
        <v>1</v>
      </c>
      <c r="O3760" s="17" t="str">
        <f aca="false">VLOOKUP(N3760,Sheet2!G:H,2,0)</f>
        <v>Dead</v>
      </c>
      <c r="P3760" s="17" t="n">
        <v>11</v>
      </c>
      <c r="Q3760" s="17" t="str">
        <f aca="false">VLOOKUP(P3760,Sheet2!J:K,2,0)</f>
        <v>IR Declared due to CID -TA</v>
      </c>
      <c r="R3760" s="17" t="s">
        <v>35</v>
      </c>
      <c r="S3760" s="17" t="str">
        <f aca="false">VLOOKUP(R3760,Sheet2!N:O,2,0)</f>
        <v>IREPARABLE</v>
      </c>
      <c r="T3760" s="18" t="str">
        <f aca="false">VLOOKUP(P3760,Sheet2!Q:R,2,0)</f>
        <v>IR Normal - Track burn out</v>
      </c>
      <c r="U3760" s="20" t="s">
        <v>41</v>
      </c>
      <c r="V3760" s="17"/>
      <c r="W3760" s="20" t="e">
        <f aca="false">VLOOKUP(V3760,Sheet2!Q:R,2,0)</f>
        <v>#N/A</v>
      </c>
      <c r="X3760" s="17" t="n">
        <f aca="false">J3760</f>
        <v>0</v>
      </c>
      <c r="Y3760" s="17" t="e">
        <f aca="false">VLOOKUP(X3760,Sheet2!A:B,2,0)</f>
        <v>#N/A</v>
      </c>
      <c r="Z3760" s="17"/>
      <c r="AA3760" s="17"/>
      <c r="AB3760" s="17" t="s">
        <v>41</v>
      </c>
      <c r="AC3760" s="0" t="str">
        <f aca="false">LEFT(G3760,2)</f>
        <v/>
      </c>
      <c r="AE3760" s="0"/>
    </row>
    <row r="3761" customFormat="false" ht="15" hidden="false" customHeight="false" outlineLevel="0" collapsed="false">
      <c r="A3761" s="13" t="n">
        <f aca="false">1+A3760</f>
        <v>3759</v>
      </c>
      <c r="B3761" s="14" t="n">
        <v>100</v>
      </c>
      <c r="C3761" s="15"/>
      <c r="D3761" s="16" t="s">
        <v>64</v>
      </c>
      <c r="E3761" s="17" t="s">
        <v>47</v>
      </c>
      <c r="F3761" s="18" t="s">
        <v>34</v>
      </c>
      <c r="G3761" s="19"/>
      <c r="H3761" s="17" t="s">
        <v>35</v>
      </c>
      <c r="I3761" s="17" t="s">
        <v>44</v>
      </c>
      <c r="J3761" s="17"/>
      <c r="K3761" s="17" t="e">
        <f aca="false">VLOOKUP(J3761,Sheet2!A:B,2,0)</f>
        <v>#N/A</v>
      </c>
      <c r="L3761" s="17" t="n">
        <v>5</v>
      </c>
      <c r="M3761" s="17" t="str">
        <f aca="false">VLOOKUP(L3761,Sheet2!D:E,2,0)</f>
        <v>Main Processor CPU BGA</v>
      </c>
      <c r="N3761" s="17" t="n">
        <v>1</v>
      </c>
      <c r="O3761" s="17" t="str">
        <f aca="false">VLOOKUP(N3761,Sheet2!G:H,2,0)</f>
        <v>Dead</v>
      </c>
      <c r="P3761" s="17" t="n">
        <v>11</v>
      </c>
      <c r="Q3761" s="17" t="str">
        <f aca="false">VLOOKUP(P3761,Sheet2!J:K,2,0)</f>
        <v>IR Declared due to CID -TA</v>
      </c>
      <c r="R3761" s="17" t="s">
        <v>35</v>
      </c>
      <c r="S3761" s="17" t="str">
        <f aca="false">VLOOKUP(R3761,Sheet2!N:O,2,0)</f>
        <v>IREPARABLE</v>
      </c>
      <c r="T3761" s="18" t="str">
        <f aca="false">VLOOKUP(P3761,Sheet2!Q:R,2,0)</f>
        <v>IR Normal - Track burn out</v>
      </c>
      <c r="U3761" s="20" t="s">
        <v>41</v>
      </c>
      <c r="V3761" s="17"/>
      <c r="W3761" s="20" t="e">
        <f aca="false">VLOOKUP(V3761,Sheet2!Q:R,2,0)</f>
        <v>#N/A</v>
      </c>
      <c r="X3761" s="17" t="n">
        <f aca="false">J3761</f>
        <v>0</v>
      </c>
      <c r="Y3761" s="17" t="e">
        <f aca="false">VLOOKUP(X3761,Sheet2!A:B,2,0)</f>
        <v>#N/A</v>
      </c>
      <c r="Z3761" s="17"/>
      <c r="AA3761" s="17"/>
      <c r="AB3761" s="17" t="s">
        <v>41</v>
      </c>
      <c r="AC3761" s="0" t="str">
        <f aca="false">LEFT(G3761,2)</f>
        <v/>
      </c>
      <c r="AE3761" s="0"/>
    </row>
    <row r="3762" customFormat="false" ht="15" hidden="false" customHeight="false" outlineLevel="0" collapsed="false">
      <c r="A3762" s="13" t="n">
        <f aca="false">1+A3761</f>
        <v>3760</v>
      </c>
      <c r="B3762" s="14" t="n">
        <v>100</v>
      </c>
      <c r="C3762" s="15"/>
      <c r="D3762" s="16" t="s">
        <v>64</v>
      </c>
      <c r="E3762" s="17" t="s">
        <v>47</v>
      </c>
      <c r="F3762" s="18" t="s">
        <v>34</v>
      </c>
      <c r="G3762" s="19"/>
      <c r="H3762" s="17" t="s">
        <v>35</v>
      </c>
      <c r="I3762" s="17" t="s">
        <v>44</v>
      </c>
      <c r="J3762" s="17"/>
      <c r="K3762" s="17" t="e">
        <f aca="false">VLOOKUP(J3762,Sheet2!A:B,2,0)</f>
        <v>#N/A</v>
      </c>
      <c r="L3762" s="17" t="n">
        <v>5</v>
      </c>
      <c r="M3762" s="17" t="str">
        <f aca="false">VLOOKUP(L3762,Sheet2!D:E,2,0)</f>
        <v>Main Processor CPU BGA</v>
      </c>
      <c r="N3762" s="17" t="n">
        <v>1</v>
      </c>
      <c r="O3762" s="17" t="str">
        <f aca="false">VLOOKUP(N3762,Sheet2!G:H,2,0)</f>
        <v>Dead</v>
      </c>
      <c r="P3762" s="17" t="n">
        <v>11</v>
      </c>
      <c r="Q3762" s="17" t="str">
        <f aca="false">VLOOKUP(P3762,Sheet2!J:K,2,0)</f>
        <v>IR Declared due to CID -TA</v>
      </c>
      <c r="R3762" s="17" t="s">
        <v>35</v>
      </c>
      <c r="S3762" s="17" t="str">
        <f aca="false">VLOOKUP(R3762,Sheet2!N:O,2,0)</f>
        <v>IREPARABLE</v>
      </c>
      <c r="T3762" s="18" t="str">
        <f aca="false">VLOOKUP(P3762,Sheet2!Q:R,2,0)</f>
        <v>IR Normal - Track burn out</v>
      </c>
      <c r="U3762" s="20" t="s">
        <v>41</v>
      </c>
      <c r="V3762" s="17"/>
      <c r="W3762" s="20" t="e">
        <f aca="false">VLOOKUP(V3762,Sheet2!Q:R,2,0)</f>
        <v>#N/A</v>
      </c>
      <c r="X3762" s="17" t="n">
        <f aca="false">J3762</f>
        <v>0</v>
      </c>
      <c r="Y3762" s="17" t="e">
        <f aca="false">VLOOKUP(X3762,Sheet2!A:B,2,0)</f>
        <v>#N/A</v>
      </c>
      <c r="Z3762" s="17"/>
      <c r="AA3762" s="17"/>
      <c r="AB3762" s="17" t="s">
        <v>41</v>
      </c>
      <c r="AC3762" s="0" t="str">
        <f aca="false">LEFT(G3762,2)</f>
        <v/>
      </c>
      <c r="AE3762" s="0"/>
    </row>
    <row r="3763" customFormat="false" ht="15" hidden="false" customHeight="false" outlineLevel="0" collapsed="false">
      <c r="A3763" s="13" t="n">
        <f aca="false">1+A3762</f>
        <v>3761</v>
      </c>
      <c r="B3763" s="14" t="n">
        <v>100</v>
      </c>
      <c r="C3763" s="15"/>
      <c r="D3763" s="16" t="s">
        <v>64</v>
      </c>
      <c r="E3763" s="17" t="s">
        <v>47</v>
      </c>
      <c r="F3763" s="18" t="s">
        <v>34</v>
      </c>
      <c r="G3763" s="19"/>
      <c r="H3763" s="17" t="s">
        <v>35</v>
      </c>
      <c r="I3763" s="17" t="s">
        <v>44</v>
      </c>
      <c r="J3763" s="17"/>
      <c r="K3763" s="17" t="e">
        <f aca="false">VLOOKUP(J3763,Sheet2!A:B,2,0)</f>
        <v>#N/A</v>
      </c>
      <c r="L3763" s="17" t="n">
        <v>5</v>
      </c>
      <c r="M3763" s="17" t="str">
        <f aca="false">VLOOKUP(L3763,Sheet2!D:E,2,0)</f>
        <v>Main Processor CPU BGA</v>
      </c>
      <c r="N3763" s="17" t="n">
        <v>1</v>
      </c>
      <c r="O3763" s="17" t="str">
        <f aca="false">VLOOKUP(N3763,Sheet2!G:H,2,0)</f>
        <v>Dead</v>
      </c>
      <c r="P3763" s="17" t="n">
        <v>11</v>
      </c>
      <c r="Q3763" s="17" t="str">
        <f aca="false">VLOOKUP(P3763,Sheet2!J:K,2,0)</f>
        <v>IR Declared due to CID -TA</v>
      </c>
      <c r="R3763" s="17" t="s">
        <v>35</v>
      </c>
      <c r="S3763" s="17" t="str">
        <f aca="false">VLOOKUP(R3763,Sheet2!N:O,2,0)</f>
        <v>IREPARABLE</v>
      </c>
      <c r="T3763" s="18" t="str">
        <f aca="false">VLOOKUP(P3763,Sheet2!Q:R,2,0)</f>
        <v>IR Normal - Track burn out</v>
      </c>
      <c r="U3763" s="20" t="s">
        <v>41</v>
      </c>
      <c r="V3763" s="17"/>
      <c r="W3763" s="20" t="e">
        <f aca="false">VLOOKUP(V3763,Sheet2!Q:R,2,0)</f>
        <v>#N/A</v>
      </c>
      <c r="X3763" s="17" t="n">
        <f aca="false">J3763</f>
        <v>0</v>
      </c>
      <c r="Y3763" s="17" t="e">
        <f aca="false">VLOOKUP(X3763,Sheet2!A:B,2,0)</f>
        <v>#N/A</v>
      </c>
      <c r="Z3763" s="17"/>
      <c r="AA3763" s="17"/>
      <c r="AB3763" s="17" t="s">
        <v>41</v>
      </c>
      <c r="AC3763" s="0" t="str">
        <f aca="false">LEFT(G3763,2)</f>
        <v/>
      </c>
      <c r="AE3763" s="0"/>
    </row>
    <row r="3764" customFormat="false" ht="15" hidden="false" customHeight="false" outlineLevel="0" collapsed="false">
      <c r="A3764" s="13" t="n">
        <f aca="false">1+A3763</f>
        <v>3762</v>
      </c>
      <c r="B3764" s="14" t="n">
        <v>100</v>
      </c>
      <c r="C3764" s="15"/>
      <c r="D3764" s="16" t="s">
        <v>64</v>
      </c>
      <c r="E3764" s="17" t="s">
        <v>47</v>
      </c>
      <c r="F3764" s="18" t="s">
        <v>34</v>
      </c>
      <c r="G3764" s="19"/>
      <c r="H3764" s="17" t="s">
        <v>35</v>
      </c>
      <c r="I3764" s="17" t="s">
        <v>44</v>
      </c>
      <c r="J3764" s="17"/>
      <c r="K3764" s="17" t="e">
        <f aca="false">VLOOKUP(J3764,Sheet2!A:B,2,0)</f>
        <v>#N/A</v>
      </c>
      <c r="L3764" s="17" t="n">
        <v>5</v>
      </c>
      <c r="M3764" s="17" t="str">
        <f aca="false">VLOOKUP(L3764,Sheet2!D:E,2,0)</f>
        <v>Main Processor CPU BGA</v>
      </c>
      <c r="N3764" s="17" t="n">
        <v>1</v>
      </c>
      <c r="O3764" s="17" t="str">
        <f aca="false">VLOOKUP(N3764,Sheet2!G:H,2,0)</f>
        <v>Dead</v>
      </c>
      <c r="P3764" s="17" t="n">
        <v>11</v>
      </c>
      <c r="Q3764" s="17" t="str">
        <f aca="false">VLOOKUP(P3764,Sheet2!J:K,2,0)</f>
        <v>IR Declared due to CID -TA</v>
      </c>
      <c r="R3764" s="17" t="s">
        <v>35</v>
      </c>
      <c r="S3764" s="17" t="str">
        <f aca="false">VLOOKUP(R3764,Sheet2!N:O,2,0)</f>
        <v>IREPARABLE</v>
      </c>
      <c r="T3764" s="18" t="str">
        <f aca="false">VLOOKUP(P3764,Sheet2!Q:R,2,0)</f>
        <v>IR Normal - Track burn out</v>
      </c>
      <c r="U3764" s="20" t="s">
        <v>41</v>
      </c>
      <c r="V3764" s="17"/>
      <c r="W3764" s="20" t="e">
        <f aca="false">VLOOKUP(V3764,Sheet2!Q:R,2,0)</f>
        <v>#N/A</v>
      </c>
      <c r="X3764" s="17" t="n">
        <f aca="false">J3764</f>
        <v>0</v>
      </c>
      <c r="Y3764" s="17" t="e">
        <f aca="false">VLOOKUP(X3764,Sheet2!A:B,2,0)</f>
        <v>#N/A</v>
      </c>
      <c r="Z3764" s="17"/>
      <c r="AA3764" s="17"/>
      <c r="AB3764" s="17" t="s">
        <v>41</v>
      </c>
      <c r="AC3764" s="0" t="str">
        <f aca="false">LEFT(G3764,2)</f>
        <v/>
      </c>
      <c r="AE3764" s="0"/>
    </row>
    <row r="3765" customFormat="false" ht="15" hidden="false" customHeight="false" outlineLevel="0" collapsed="false">
      <c r="A3765" s="13" t="n">
        <f aca="false">1+A3764</f>
        <v>3763</v>
      </c>
      <c r="B3765" s="14" t="n">
        <v>100</v>
      </c>
      <c r="C3765" s="15"/>
      <c r="D3765" s="16" t="s">
        <v>64</v>
      </c>
      <c r="E3765" s="17" t="s">
        <v>47</v>
      </c>
      <c r="F3765" s="18" t="s">
        <v>34</v>
      </c>
      <c r="G3765" s="19"/>
      <c r="H3765" s="17" t="s">
        <v>35</v>
      </c>
      <c r="I3765" s="17" t="s">
        <v>44</v>
      </c>
      <c r="J3765" s="17"/>
      <c r="K3765" s="17" t="e">
        <f aca="false">VLOOKUP(J3765,Sheet2!A:B,2,0)</f>
        <v>#N/A</v>
      </c>
      <c r="L3765" s="17" t="n">
        <v>5</v>
      </c>
      <c r="M3765" s="17" t="str">
        <f aca="false">VLOOKUP(L3765,Sheet2!D:E,2,0)</f>
        <v>Main Processor CPU BGA</v>
      </c>
      <c r="N3765" s="17" t="n">
        <v>1</v>
      </c>
      <c r="O3765" s="17" t="str">
        <f aca="false">VLOOKUP(N3765,Sheet2!G:H,2,0)</f>
        <v>Dead</v>
      </c>
      <c r="P3765" s="17" t="n">
        <v>11</v>
      </c>
      <c r="Q3765" s="17" t="str">
        <f aca="false">VLOOKUP(P3765,Sheet2!J:K,2,0)</f>
        <v>IR Declared due to CID -TA</v>
      </c>
      <c r="R3765" s="17" t="s">
        <v>35</v>
      </c>
      <c r="S3765" s="17" t="str">
        <f aca="false">VLOOKUP(R3765,Sheet2!N:O,2,0)</f>
        <v>IREPARABLE</v>
      </c>
      <c r="T3765" s="18" t="str">
        <f aca="false">VLOOKUP(P3765,Sheet2!Q:R,2,0)</f>
        <v>IR Normal - Track burn out</v>
      </c>
      <c r="U3765" s="20" t="s">
        <v>41</v>
      </c>
      <c r="V3765" s="17"/>
      <c r="W3765" s="20" t="e">
        <f aca="false">VLOOKUP(V3765,Sheet2!Q:R,2,0)</f>
        <v>#N/A</v>
      </c>
      <c r="X3765" s="17" t="n">
        <f aca="false">J3765</f>
        <v>0</v>
      </c>
      <c r="Y3765" s="17" t="e">
        <f aca="false">VLOOKUP(X3765,Sheet2!A:B,2,0)</f>
        <v>#N/A</v>
      </c>
      <c r="Z3765" s="17"/>
      <c r="AA3765" s="17"/>
      <c r="AB3765" s="17" t="s">
        <v>41</v>
      </c>
      <c r="AC3765" s="0" t="str">
        <f aca="false">LEFT(G3765,2)</f>
        <v/>
      </c>
      <c r="AE3765" s="0"/>
    </row>
    <row r="3766" customFormat="false" ht="15" hidden="false" customHeight="false" outlineLevel="0" collapsed="false">
      <c r="A3766" s="13" t="n">
        <f aca="false">1+A3765</f>
        <v>3764</v>
      </c>
      <c r="B3766" s="14" t="n">
        <v>100</v>
      </c>
      <c r="C3766" s="15"/>
      <c r="D3766" s="16" t="s">
        <v>64</v>
      </c>
      <c r="E3766" s="17" t="s">
        <v>47</v>
      </c>
      <c r="F3766" s="18" t="s">
        <v>34</v>
      </c>
      <c r="G3766" s="19"/>
      <c r="H3766" s="17" t="s">
        <v>35</v>
      </c>
      <c r="I3766" s="17" t="s">
        <v>44</v>
      </c>
      <c r="J3766" s="17"/>
      <c r="K3766" s="17" t="e">
        <f aca="false">VLOOKUP(J3766,Sheet2!A:B,2,0)</f>
        <v>#N/A</v>
      </c>
      <c r="L3766" s="17" t="n">
        <v>5</v>
      </c>
      <c r="M3766" s="17" t="str">
        <f aca="false">VLOOKUP(L3766,Sheet2!D:E,2,0)</f>
        <v>Main Processor CPU BGA</v>
      </c>
      <c r="N3766" s="17" t="n">
        <v>1</v>
      </c>
      <c r="O3766" s="17" t="str">
        <f aca="false">VLOOKUP(N3766,Sheet2!G:H,2,0)</f>
        <v>Dead</v>
      </c>
      <c r="P3766" s="17" t="n">
        <v>11</v>
      </c>
      <c r="Q3766" s="17" t="str">
        <f aca="false">VLOOKUP(P3766,Sheet2!J:K,2,0)</f>
        <v>IR Declared due to CID -TA</v>
      </c>
      <c r="R3766" s="17" t="s">
        <v>35</v>
      </c>
      <c r="S3766" s="17" t="str">
        <f aca="false">VLOOKUP(R3766,Sheet2!N:O,2,0)</f>
        <v>IREPARABLE</v>
      </c>
      <c r="T3766" s="18" t="str">
        <f aca="false">VLOOKUP(P3766,Sheet2!Q:R,2,0)</f>
        <v>IR Normal - Track burn out</v>
      </c>
      <c r="U3766" s="20" t="s">
        <v>41</v>
      </c>
      <c r="V3766" s="17"/>
      <c r="W3766" s="20" t="e">
        <f aca="false">VLOOKUP(V3766,Sheet2!Q:R,2,0)</f>
        <v>#N/A</v>
      </c>
      <c r="X3766" s="17" t="n">
        <f aca="false">J3766</f>
        <v>0</v>
      </c>
      <c r="Y3766" s="17" t="e">
        <f aca="false">VLOOKUP(X3766,Sheet2!A:B,2,0)</f>
        <v>#N/A</v>
      </c>
      <c r="Z3766" s="17"/>
      <c r="AA3766" s="17"/>
      <c r="AB3766" s="17" t="s">
        <v>41</v>
      </c>
      <c r="AC3766" s="0" t="str">
        <f aca="false">LEFT(G3766,2)</f>
        <v/>
      </c>
      <c r="AE3766" s="0"/>
    </row>
    <row r="3767" customFormat="false" ht="15" hidden="false" customHeight="false" outlineLevel="0" collapsed="false">
      <c r="A3767" s="13" t="n">
        <f aca="false">1+A3766</f>
        <v>3765</v>
      </c>
      <c r="B3767" s="14" t="n">
        <v>100</v>
      </c>
      <c r="C3767" s="15"/>
      <c r="D3767" s="16" t="s">
        <v>64</v>
      </c>
      <c r="E3767" s="17" t="s">
        <v>47</v>
      </c>
      <c r="F3767" s="18" t="s">
        <v>34</v>
      </c>
      <c r="G3767" s="19"/>
      <c r="H3767" s="17" t="s">
        <v>35</v>
      </c>
      <c r="I3767" s="17" t="s">
        <v>44</v>
      </c>
      <c r="J3767" s="17"/>
      <c r="K3767" s="17" t="e">
        <f aca="false">VLOOKUP(J3767,Sheet2!A:B,2,0)</f>
        <v>#N/A</v>
      </c>
      <c r="L3767" s="17" t="n">
        <v>5</v>
      </c>
      <c r="M3767" s="17" t="str">
        <f aca="false">VLOOKUP(L3767,Sheet2!D:E,2,0)</f>
        <v>Main Processor CPU BGA</v>
      </c>
      <c r="N3767" s="17" t="n">
        <v>1</v>
      </c>
      <c r="O3767" s="17" t="str">
        <f aca="false">VLOOKUP(N3767,Sheet2!G:H,2,0)</f>
        <v>Dead</v>
      </c>
      <c r="P3767" s="17" t="n">
        <v>11</v>
      </c>
      <c r="Q3767" s="17" t="str">
        <f aca="false">VLOOKUP(P3767,Sheet2!J:K,2,0)</f>
        <v>IR Declared due to CID -TA</v>
      </c>
      <c r="R3767" s="17" t="s">
        <v>35</v>
      </c>
      <c r="S3767" s="17" t="str">
        <f aca="false">VLOOKUP(R3767,Sheet2!N:O,2,0)</f>
        <v>IREPARABLE</v>
      </c>
      <c r="T3767" s="18" t="str">
        <f aca="false">VLOOKUP(P3767,Sheet2!Q:R,2,0)</f>
        <v>IR Normal - Track burn out</v>
      </c>
      <c r="U3767" s="20" t="s">
        <v>41</v>
      </c>
      <c r="V3767" s="17"/>
      <c r="W3767" s="20" t="e">
        <f aca="false">VLOOKUP(V3767,Sheet2!Q:R,2,0)</f>
        <v>#N/A</v>
      </c>
      <c r="X3767" s="17" t="n">
        <f aca="false">J3767</f>
        <v>0</v>
      </c>
      <c r="Y3767" s="17" t="e">
        <f aca="false">VLOOKUP(X3767,Sheet2!A:B,2,0)</f>
        <v>#N/A</v>
      </c>
      <c r="Z3767" s="17"/>
      <c r="AA3767" s="17"/>
      <c r="AB3767" s="17" t="s">
        <v>41</v>
      </c>
      <c r="AC3767" s="0" t="str">
        <f aca="false">LEFT(G3767,2)</f>
        <v/>
      </c>
      <c r="AE3767" s="0"/>
    </row>
    <row r="3768" customFormat="false" ht="15" hidden="false" customHeight="false" outlineLevel="0" collapsed="false">
      <c r="A3768" s="13" t="n">
        <f aca="false">1+A3767</f>
        <v>3766</v>
      </c>
      <c r="B3768" s="14" t="n">
        <v>100</v>
      </c>
      <c r="C3768" s="15"/>
      <c r="D3768" s="16" t="s">
        <v>64</v>
      </c>
      <c r="E3768" s="17" t="s">
        <v>47</v>
      </c>
      <c r="F3768" s="18" t="s">
        <v>34</v>
      </c>
      <c r="G3768" s="19"/>
      <c r="H3768" s="17" t="s">
        <v>35</v>
      </c>
      <c r="I3768" s="17" t="s">
        <v>44</v>
      </c>
      <c r="J3768" s="17"/>
      <c r="K3768" s="17" t="e">
        <f aca="false">VLOOKUP(J3768,Sheet2!A:B,2,0)</f>
        <v>#N/A</v>
      </c>
      <c r="L3768" s="17" t="n">
        <v>5</v>
      </c>
      <c r="M3768" s="17" t="str">
        <f aca="false">VLOOKUP(L3768,Sheet2!D:E,2,0)</f>
        <v>Main Processor CPU BGA</v>
      </c>
      <c r="N3768" s="17" t="n">
        <v>1</v>
      </c>
      <c r="O3768" s="17" t="str">
        <f aca="false">VLOOKUP(N3768,Sheet2!G:H,2,0)</f>
        <v>Dead</v>
      </c>
      <c r="P3768" s="17" t="n">
        <v>11</v>
      </c>
      <c r="Q3768" s="17" t="str">
        <f aca="false">VLOOKUP(P3768,Sheet2!J:K,2,0)</f>
        <v>IR Declared due to CID -TA</v>
      </c>
      <c r="R3768" s="17" t="s">
        <v>35</v>
      </c>
      <c r="S3768" s="17" t="str">
        <f aca="false">VLOOKUP(R3768,Sheet2!N:O,2,0)</f>
        <v>IREPARABLE</v>
      </c>
      <c r="T3768" s="18" t="str">
        <f aca="false">VLOOKUP(P3768,Sheet2!Q:R,2,0)</f>
        <v>IR Normal - Track burn out</v>
      </c>
      <c r="U3768" s="20" t="s">
        <v>41</v>
      </c>
      <c r="V3768" s="17"/>
      <c r="W3768" s="20" t="e">
        <f aca="false">VLOOKUP(V3768,Sheet2!Q:R,2,0)</f>
        <v>#N/A</v>
      </c>
      <c r="X3768" s="17" t="n">
        <f aca="false">J3768</f>
        <v>0</v>
      </c>
      <c r="Y3768" s="17" t="e">
        <f aca="false">VLOOKUP(X3768,Sheet2!A:B,2,0)</f>
        <v>#N/A</v>
      </c>
      <c r="Z3768" s="17"/>
      <c r="AA3768" s="17"/>
      <c r="AB3768" s="17" t="s">
        <v>41</v>
      </c>
      <c r="AC3768" s="0" t="str">
        <f aca="false">LEFT(G3768,2)</f>
        <v/>
      </c>
      <c r="AE3768" s="0"/>
    </row>
    <row r="3769" customFormat="false" ht="15" hidden="false" customHeight="false" outlineLevel="0" collapsed="false">
      <c r="A3769" s="13" t="n">
        <f aca="false">1+A3768</f>
        <v>3767</v>
      </c>
      <c r="B3769" s="14" t="n">
        <v>100</v>
      </c>
      <c r="C3769" s="15"/>
      <c r="D3769" s="16" t="s">
        <v>64</v>
      </c>
      <c r="E3769" s="17" t="s">
        <v>47</v>
      </c>
      <c r="F3769" s="18" t="s">
        <v>34</v>
      </c>
      <c r="G3769" s="19"/>
      <c r="H3769" s="17" t="s">
        <v>35</v>
      </c>
      <c r="I3769" s="17" t="s">
        <v>44</v>
      </c>
      <c r="J3769" s="17"/>
      <c r="K3769" s="17" t="e">
        <f aca="false">VLOOKUP(J3769,Sheet2!A:B,2,0)</f>
        <v>#N/A</v>
      </c>
      <c r="L3769" s="17" t="n">
        <v>5</v>
      </c>
      <c r="M3769" s="17" t="str">
        <f aca="false">VLOOKUP(L3769,Sheet2!D:E,2,0)</f>
        <v>Main Processor CPU BGA</v>
      </c>
      <c r="N3769" s="17" t="n">
        <v>1</v>
      </c>
      <c r="O3769" s="17" t="str">
        <f aca="false">VLOOKUP(N3769,Sheet2!G:H,2,0)</f>
        <v>Dead</v>
      </c>
      <c r="P3769" s="17" t="n">
        <v>11</v>
      </c>
      <c r="Q3769" s="17" t="str">
        <f aca="false">VLOOKUP(P3769,Sheet2!J:K,2,0)</f>
        <v>IR Declared due to CID -TA</v>
      </c>
      <c r="R3769" s="17" t="s">
        <v>35</v>
      </c>
      <c r="S3769" s="17" t="str">
        <f aca="false">VLOOKUP(R3769,Sheet2!N:O,2,0)</f>
        <v>IREPARABLE</v>
      </c>
      <c r="T3769" s="18" t="str">
        <f aca="false">VLOOKUP(P3769,Sheet2!Q:R,2,0)</f>
        <v>IR Normal - Track burn out</v>
      </c>
      <c r="U3769" s="20" t="s">
        <v>41</v>
      </c>
      <c r="V3769" s="17"/>
      <c r="W3769" s="20" t="e">
        <f aca="false">VLOOKUP(V3769,Sheet2!Q:R,2,0)</f>
        <v>#N/A</v>
      </c>
      <c r="X3769" s="17" t="n">
        <f aca="false">J3769</f>
        <v>0</v>
      </c>
      <c r="Y3769" s="17" t="e">
        <f aca="false">VLOOKUP(X3769,Sheet2!A:B,2,0)</f>
        <v>#N/A</v>
      </c>
      <c r="Z3769" s="17"/>
      <c r="AA3769" s="17"/>
      <c r="AB3769" s="17" t="s">
        <v>41</v>
      </c>
      <c r="AC3769" s="0" t="str">
        <f aca="false">LEFT(G3769,2)</f>
        <v/>
      </c>
      <c r="AE3769" s="0"/>
    </row>
    <row r="3770" customFormat="false" ht="15" hidden="false" customHeight="false" outlineLevel="0" collapsed="false">
      <c r="A3770" s="13" t="n">
        <f aca="false">1+A3769</f>
        <v>3768</v>
      </c>
      <c r="B3770" s="14" t="n">
        <v>100</v>
      </c>
      <c r="C3770" s="15"/>
      <c r="D3770" s="16" t="s">
        <v>64</v>
      </c>
      <c r="E3770" s="17" t="s">
        <v>47</v>
      </c>
      <c r="F3770" s="18" t="s">
        <v>34</v>
      </c>
      <c r="G3770" s="19"/>
      <c r="H3770" s="17" t="s">
        <v>35</v>
      </c>
      <c r="I3770" s="17" t="s">
        <v>44</v>
      </c>
      <c r="J3770" s="17"/>
      <c r="K3770" s="17" t="e">
        <f aca="false">VLOOKUP(J3770,Sheet2!A:B,2,0)</f>
        <v>#N/A</v>
      </c>
      <c r="L3770" s="17" t="n">
        <v>5</v>
      </c>
      <c r="M3770" s="17" t="str">
        <f aca="false">VLOOKUP(L3770,Sheet2!D:E,2,0)</f>
        <v>Main Processor CPU BGA</v>
      </c>
      <c r="N3770" s="17" t="n">
        <v>1</v>
      </c>
      <c r="O3770" s="17" t="str">
        <f aca="false">VLOOKUP(N3770,Sheet2!G:H,2,0)</f>
        <v>Dead</v>
      </c>
      <c r="P3770" s="17" t="n">
        <v>11</v>
      </c>
      <c r="Q3770" s="17" t="str">
        <f aca="false">VLOOKUP(P3770,Sheet2!J:K,2,0)</f>
        <v>IR Declared due to CID -TA</v>
      </c>
      <c r="R3770" s="17" t="s">
        <v>35</v>
      </c>
      <c r="S3770" s="17" t="str">
        <f aca="false">VLOOKUP(R3770,Sheet2!N:O,2,0)</f>
        <v>IREPARABLE</v>
      </c>
      <c r="T3770" s="18" t="str">
        <f aca="false">VLOOKUP(P3770,Sheet2!Q:R,2,0)</f>
        <v>IR Normal - Track burn out</v>
      </c>
      <c r="U3770" s="20" t="s">
        <v>41</v>
      </c>
      <c r="V3770" s="17"/>
      <c r="W3770" s="20" t="e">
        <f aca="false">VLOOKUP(V3770,Sheet2!Q:R,2,0)</f>
        <v>#N/A</v>
      </c>
      <c r="X3770" s="17" t="n">
        <f aca="false">J3770</f>
        <v>0</v>
      </c>
      <c r="Y3770" s="17" t="e">
        <f aca="false">VLOOKUP(X3770,Sheet2!A:B,2,0)</f>
        <v>#N/A</v>
      </c>
      <c r="Z3770" s="17"/>
      <c r="AA3770" s="17"/>
      <c r="AB3770" s="17" t="s">
        <v>41</v>
      </c>
      <c r="AC3770" s="0" t="str">
        <f aca="false">LEFT(G3770,2)</f>
        <v/>
      </c>
      <c r="AE3770" s="0"/>
    </row>
    <row r="3771" customFormat="false" ht="15" hidden="false" customHeight="false" outlineLevel="0" collapsed="false">
      <c r="A3771" s="13" t="n">
        <f aca="false">1+A3770</f>
        <v>3769</v>
      </c>
      <c r="B3771" s="14" t="n">
        <v>100</v>
      </c>
      <c r="C3771" s="15"/>
      <c r="D3771" s="16" t="s">
        <v>64</v>
      </c>
      <c r="E3771" s="17" t="s">
        <v>47</v>
      </c>
      <c r="F3771" s="18" t="s">
        <v>34</v>
      </c>
      <c r="G3771" s="19"/>
      <c r="H3771" s="17" t="s">
        <v>35</v>
      </c>
      <c r="I3771" s="17" t="s">
        <v>44</v>
      </c>
      <c r="J3771" s="17"/>
      <c r="K3771" s="17" t="e">
        <f aca="false">VLOOKUP(J3771,Sheet2!A:B,2,0)</f>
        <v>#N/A</v>
      </c>
      <c r="L3771" s="17" t="n">
        <v>5</v>
      </c>
      <c r="M3771" s="17" t="str">
        <f aca="false">VLOOKUP(L3771,Sheet2!D:E,2,0)</f>
        <v>Main Processor CPU BGA</v>
      </c>
      <c r="N3771" s="17" t="n">
        <v>1</v>
      </c>
      <c r="O3771" s="17" t="str">
        <f aca="false">VLOOKUP(N3771,Sheet2!G:H,2,0)</f>
        <v>Dead</v>
      </c>
      <c r="P3771" s="17" t="n">
        <v>11</v>
      </c>
      <c r="Q3771" s="17" t="str">
        <f aca="false">VLOOKUP(P3771,Sheet2!J:K,2,0)</f>
        <v>IR Declared due to CID -TA</v>
      </c>
      <c r="R3771" s="17" t="s">
        <v>35</v>
      </c>
      <c r="S3771" s="17" t="str">
        <f aca="false">VLOOKUP(R3771,Sheet2!N:O,2,0)</f>
        <v>IREPARABLE</v>
      </c>
      <c r="T3771" s="18" t="str">
        <f aca="false">VLOOKUP(P3771,Sheet2!Q:R,2,0)</f>
        <v>IR Normal - Track burn out</v>
      </c>
      <c r="U3771" s="20" t="s">
        <v>41</v>
      </c>
      <c r="V3771" s="17"/>
      <c r="W3771" s="20" t="e">
        <f aca="false">VLOOKUP(V3771,Sheet2!Q:R,2,0)</f>
        <v>#N/A</v>
      </c>
      <c r="X3771" s="17" t="n">
        <f aca="false">J3771</f>
        <v>0</v>
      </c>
      <c r="Y3771" s="17" t="e">
        <f aca="false">VLOOKUP(X3771,Sheet2!A:B,2,0)</f>
        <v>#N/A</v>
      </c>
      <c r="Z3771" s="17"/>
      <c r="AA3771" s="17"/>
      <c r="AB3771" s="17" t="s">
        <v>41</v>
      </c>
      <c r="AC3771" s="0" t="str">
        <f aca="false">LEFT(G3771,2)</f>
        <v/>
      </c>
      <c r="AE3771" s="0"/>
    </row>
    <row r="3772" customFormat="false" ht="15" hidden="false" customHeight="false" outlineLevel="0" collapsed="false">
      <c r="A3772" s="13" t="n">
        <f aca="false">1+A3771</f>
        <v>3770</v>
      </c>
      <c r="B3772" s="14" t="n">
        <v>100</v>
      </c>
      <c r="C3772" s="15"/>
      <c r="D3772" s="16" t="s">
        <v>64</v>
      </c>
      <c r="E3772" s="17" t="s">
        <v>47</v>
      </c>
      <c r="F3772" s="18" t="s">
        <v>34</v>
      </c>
      <c r="G3772" s="19"/>
      <c r="H3772" s="17" t="s">
        <v>35</v>
      </c>
      <c r="I3772" s="17" t="s">
        <v>44</v>
      </c>
      <c r="J3772" s="17"/>
      <c r="K3772" s="17" t="e">
        <f aca="false">VLOOKUP(J3772,Sheet2!A:B,2,0)</f>
        <v>#N/A</v>
      </c>
      <c r="L3772" s="17" t="n">
        <v>5</v>
      </c>
      <c r="M3772" s="17" t="str">
        <f aca="false">VLOOKUP(L3772,Sheet2!D:E,2,0)</f>
        <v>Main Processor CPU BGA</v>
      </c>
      <c r="N3772" s="17" t="n">
        <v>1</v>
      </c>
      <c r="O3772" s="17" t="str">
        <f aca="false">VLOOKUP(N3772,Sheet2!G:H,2,0)</f>
        <v>Dead</v>
      </c>
      <c r="P3772" s="17" t="n">
        <v>11</v>
      </c>
      <c r="Q3772" s="17" t="str">
        <f aca="false">VLOOKUP(P3772,Sheet2!J:K,2,0)</f>
        <v>IR Declared due to CID -TA</v>
      </c>
      <c r="R3772" s="17" t="s">
        <v>35</v>
      </c>
      <c r="S3772" s="17" t="str">
        <f aca="false">VLOOKUP(R3772,Sheet2!N:O,2,0)</f>
        <v>IREPARABLE</v>
      </c>
      <c r="T3772" s="18" t="str">
        <f aca="false">VLOOKUP(P3772,Sheet2!Q:R,2,0)</f>
        <v>IR Normal - Track burn out</v>
      </c>
      <c r="U3772" s="20" t="s">
        <v>41</v>
      </c>
      <c r="V3772" s="17"/>
      <c r="W3772" s="20" t="e">
        <f aca="false">VLOOKUP(V3772,Sheet2!Q:R,2,0)</f>
        <v>#N/A</v>
      </c>
      <c r="X3772" s="17" t="n">
        <f aca="false">J3772</f>
        <v>0</v>
      </c>
      <c r="Y3772" s="17" t="e">
        <f aca="false">VLOOKUP(X3772,Sheet2!A:B,2,0)</f>
        <v>#N/A</v>
      </c>
      <c r="Z3772" s="17"/>
      <c r="AA3772" s="17"/>
      <c r="AB3772" s="17" t="s">
        <v>41</v>
      </c>
      <c r="AC3772" s="0" t="str">
        <f aca="false">LEFT(G3772,2)</f>
        <v/>
      </c>
      <c r="AE3772" s="0"/>
    </row>
    <row r="3773" customFormat="false" ht="15" hidden="false" customHeight="false" outlineLevel="0" collapsed="false">
      <c r="A3773" s="13" t="n">
        <f aca="false">1+A3772</f>
        <v>3771</v>
      </c>
      <c r="B3773" s="14" t="n">
        <v>100</v>
      </c>
      <c r="C3773" s="15"/>
      <c r="D3773" s="16" t="s">
        <v>64</v>
      </c>
      <c r="E3773" s="17" t="s">
        <v>47</v>
      </c>
      <c r="F3773" s="18" t="s">
        <v>34</v>
      </c>
      <c r="G3773" s="19"/>
      <c r="H3773" s="17" t="s">
        <v>35</v>
      </c>
      <c r="I3773" s="17" t="s">
        <v>44</v>
      </c>
      <c r="J3773" s="17"/>
      <c r="K3773" s="17" t="e">
        <f aca="false">VLOOKUP(J3773,Sheet2!A:B,2,0)</f>
        <v>#N/A</v>
      </c>
      <c r="L3773" s="17" t="n">
        <v>5</v>
      </c>
      <c r="M3773" s="17" t="str">
        <f aca="false">VLOOKUP(L3773,Sheet2!D:E,2,0)</f>
        <v>Main Processor CPU BGA</v>
      </c>
      <c r="N3773" s="17" t="n">
        <v>1</v>
      </c>
      <c r="O3773" s="17" t="str">
        <f aca="false">VLOOKUP(N3773,Sheet2!G:H,2,0)</f>
        <v>Dead</v>
      </c>
      <c r="P3773" s="17" t="n">
        <v>11</v>
      </c>
      <c r="Q3773" s="17" t="str">
        <f aca="false">VLOOKUP(P3773,Sheet2!J:K,2,0)</f>
        <v>IR Declared due to CID -TA</v>
      </c>
      <c r="R3773" s="17" t="s">
        <v>35</v>
      </c>
      <c r="S3773" s="17" t="str">
        <f aca="false">VLOOKUP(R3773,Sheet2!N:O,2,0)</f>
        <v>IREPARABLE</v>
      </c>
      <c r="T3773" s="18" t="str">
        <f aca="false">VLOOKUP(P3773,Sheet2!Q:R,2,0)</f>
        <v>IR Normal - Track burn out</v>
      </c>
      <c r="U3773" s="20" t="s">
        <v>41</v>
      </c>
      <c r="V3773" s="17"/>
      <c r="W3773" s="20" t="e">
        <f aca="false">VLOOKUP(V3773,Sheet2!Q:R,2,0)</f>
        <v>#N/A</v>
      </c>
      <c r="X3773" s="17" t="n">
        <f aca="false">J3773</f>
        <v>0</v>
      </c>
      <c r="Y3773" s="17" t="e">
        <f aca="false">VLOOKUP(X3773,Sheet2!A:B,2,0)</f>
        <v>#N/A</v>
      </c>
      <c r="Z3773" s="17"/>
      <c r="AA3773" s="17"/>
      <c r="AB3773" s="17" t="s">
        <v>41</v>
      </c>
      <c r="AC3773" s="0" t="str">
        <f aca="false">LEFT(G3773,2)</f>
        <v/>
      </c>
      <c r="AE3773" s="0"/>
    </row>
    <row r="3774" customFormat="false" ht="15" hidden="false" customHeight="false" outlineLevel="0" collapsed="false">
      <c r="A3774" s="13" t="n">
        <f aca="false">1+A3773</f>
        <v>3772</v>
      </c>
      <c r="B3774" s="14" t="n">
        <v>100</v>
      </c>
      <c r="C3774" s="15"/>
      <c r="D3774" s="16" t="s">
        <v>64</v>
      </c>
      <c r="E3774" s="17" t="s">
        <v>47</v>
      </c>
      <c r="F3774" s="18" t="s">
        <v>34</v>
      </c>
      <c r="G3774" s="19"/>
      <c r="H3774" s="17" t="s">
        <v>35</v>
      </c>
      <c r="I3774" s="17" t="s">
        <v>44</v>
      </c>
      <c r="J3774" s="17"/>
      <c r="K3774" s="17" t="e">
        <f aca="false">VLOOKUP(J3774,Sheet2!A:B,2,0)</f>
        <v>#N/A</v>
      </c>
      <c r="L3774" s="17" t="n">
        <v>5</v>
      </c>
      <c r="M3774" s="17" t="str">
        <f aca="false">VLOOKUP(L3774,Sheet2!D:E,2,0)</f>
        <v>Main Processor CPU BGA</v>
      </c>
      <c r="N3774" s="17" t="n">
        <v>1</v>
      </c>
      <c r="O3774" s="17" t="str">
        <f aca="false">VLOOKUP(N3774,Sheet2!G:H,2,0)</f>
        <v>Dead</v>
      </c>
      <c r="P3774" s="17" t="n">
        <v>11</v>
      </c>
      <c r="Q3774" s="17" t="str">
        <f aca="false">VLOOKUP(P3774,Sheet2!J:K,2,0)</f>
        <v>IR Declared due to CID -TA</v>
      </c>
      <c r="R3774" s="17" t="s">
        <v>35</v>
      </c>
      <c r="S3774" s="17" t="str">
        <f aca="false">VLOOKUP(R3774,Sheet2!N:O,2,0)</f>
        <v>IREPARABLE</v>
      </c>
      <c r="T3774" s="18" t="str">
        <f aca="false">VLOOKUP(P3774,Sheet2!Q:R,2,0)</f>
        <v>IR Normal - Track burn out</v>
      </c>
      <c r="U3774" s="20" t="s">
        <v>41</v>
      </c>
      <c r="V3774" s="17"/>
      <c r="W3774" s="20" t="e">
        <f aca="false">VLOOKUP(V3774,Sheet2!Q:R,2,0)</f>
        <v>#N/A</v>
      </c>
      <c r="X3774" s="17" t="n">
        <f aca="false">J3774</f>
        <v>0</v>
      </c>
      <c r="Y3774" s="17" t="e">
        <f aca="false">VLOOKUP(X3774,Sheet2!A:B,2,0)</f>
        <v>#N/A</v>
      </c>
      <c r="Z3774" s="17"/>
      <c r="AA3774" s="17"/>
      <c r="AB3774" s="17" t="s">
        <v>41</v>
      </c>
      <c r="AC3774" s="0" t="str">
        <f aca="false">LEFT(G3774,2)</f>
        <v/>
      </c>
      <c r="AE3774" s="0"/>
    </row>
    <row r="3775" customFormat="false" ht="15" hidden="false" customHeight="false" outlineLevel="0" collapsed="false">
      <c r="A3775" s="13" t="n">
        <f aca="false">1+A3774</f>
        <v>3773</v>
      </c>
      <c r="B3775" s="14" t="n">
        <v>100</v>
      </c>
      <c r="C3775" s="15"/>
      <c r="D3775" s="16" t="s">
        <v>64</v>
      </c>
      <c r="E3775" s="17" t="s">
        <v>47</v>
      </c>
      <c r="F3775" s="18" t="s">
        <v>34</v>
      </c>
      <c r="G3775" s="19"/>
      <c r="H3775" s="17" t="s">
        <v>35</v>
      </c>
      <c r="I3775" s="17" t="s">
        <v>44</v>
      </c>
      <c r="J3775" s="17"/>
      <c r="K3775" s="17" t="e">
        <f aca="false">VLOOKUP(J3775,Sheet2!A:B,2,0)</f>
        <v>#N/A</v>
      </c>
      <c r="L3775" s="17" t="n">
        <v>5</v>
      </c>
      <c r="M3775" s="17" t="str">
        <f aca="false">VLOOKUP(L3775,Sheet2!D:E,2,0)</f>
        <v>Main Processor CPU BGA</v>
      </c>
      <c r="N3775" s="17" t="n">
        <v>1</v>
      </c>
      <c r="O3775" s="17" t="str">
        <f aca="false">VLOOKUP(N3775,Sheet2!G:H,2,0)</f>
        <v>Dead</v>
      </c>
      <c r="P3775" s="17" t="n">
        <v>11</v>
      </c>
      <c r="Q3775" s="17" t="str">
        <f aca="false">VLOOKUP(P3775,Sheet2!J:K,2,0)</f>
        <v>IR Declared due to CID -TA</v>
      </c>
      <c r="R3775" s="17" t="s">
        <v>35</v>
      </c>
      <c r="S3775" s="17" t="str">
        <f aca="false">VLOOKUP(R3775,Sheet2!N:O,2,0)</f>
        <v>IREPARABLE</v>
      </c>
      <c r="T3775" s="18" t="str">
        <f aca="false">VLOOKUP(P3775,Sheet2!Q:R,2,0)</f>
        <v>IR Normal - Track burn out</v>
      </c>
      <c r="U3775" s="20" t="s">
        <v>41</v>
      </c>
      <c r="V3775" s="17"/>
      <c r="W3775" s="20" t="e">
        <f aca="false">VLOOKUP(V3775,Sheet2!Q:R,2,0)</f>
        <v>#N/A</v>
      </c>
      <c r="X3775" s="17" t="n">
        <f aca="false">J3775</f>
        <v>0</v>
      </c>
      <c r="Y3775" s="17" t="e">
        <f aca="false">VLOOKUP(X3775,Sheet2!A:B,2,0)</f>
        <v>#N/A</v>
      </c>
      <c r="Z3775" s="17"/>
      <c r="AA3775" s="17"/>
      <c r="AB3775" s="17" t="s">
        <v>41</v>
      </c>
      <c r="AC3775" s="0" t="str">
        <f aca="false">LEFT(G3775,2)</f>
        <v/>
      </c>
      <c r="AE3775" s="0"/>
    </row>
    <row r="3776" customFormat="false" ht="15" hidden="false" customHeight="false" outlineLevel="0" collapsed="false">
      <c r="A3776" s="13" t="n">
        <f aca="false">1+A3775</f>
        <v>3774</v>
      </c>
      <c r="B3776" s="14" t="n">
        <v>100</v>
      </c>
      <c r="C3776" s="15"/>
      <c r="D3776" s="16" t="s">
        <v>64</v>
      </c>
      <c r="E3776" s="17" t="s">
        <v>47</v>
      </c>
      <c r="F3776" s="18" t="s">
        <v>34</v>
      </c>
      <c r="G3776" s="19"/>
      <c r="H3776" s="17" t="s">
        <v>35</v>
      </c>
      <c r="I3776" s="17" t="s">
        <v>44</v>
      </c>
      <c r="J3776" s="17"/>
      <c r="K3776" s="17" t="e">
        <f aca="false">VLOOKUP(J3776,Sheet2!A:B,2,0)</f>
        <v>#N/A</v>
      </c>
      <c r="L3776" s="17" t="n">
        <v>5</v>
      </c>
      <c r="M3776" s="17" t="str">
        <f aca="false">VLOOKUP(L3776,Sheet2!D:E,2,0)</f>
        <v>Main Processor CPU BGA</v>
      </c>
      <c r="N3776" s="17" t="n">
        <v>1</v>
      </c>
      <c r="O3776" s="17" t="str">
        <f aca="false">VLOOKUP(N3776,Sheet2!G:H,2,0)</f>
        <v>Dead</v>
      </c>
      <c r="P3776" s="17" t="n">
        <v>11</v>
      </c>
      <c r="Q3776" s="17" t="str">
        <f aca="false">VLOOKUP(P3776,Sheet2!J:K,2,0)</f>
        <v>IR Declared due to CID -TA</v>
      </c>
      <c r="R3776" s="17" t="s">
        <v>35</v>
      </c>
      <c r="S3776" s="17" t="str">
        <f aca="false">VLOOKUP(R3776,Sheet2!N:O,2,0)</f>
        <v>IREPARABLE</v>
      </c>
      <c r="T3776" s="18" t="str">
        <f aca="false">VLOOKUP(P3776,Sheet2!Q:R,2,0)</f>
        <v>IR Normal - Track burn out</v>
      </c>
      <c r="U3776" s="20" t="s">
        <v>41</v>
      </c>
      <c r="V3776" s="17"/>
      <c r="W3776" s="20" t="e">
        <f aca="false">VLOOKUP(V3776,Sheet2!Q:R,2,0)</f>
        <v>#N/A</v>
      </c>
      <c r="X3776" s="17" t="n">
        <f aca="false">J3776</f>
        <v>0</v>
      </c>
      <c r="Y3776" s="17" t="e">
        <f aca="false">VLOOKUP(X3776,Sheet2!A:B,2,0)</f>
        <v>#N/A</v>
      </c>
      <c r="Z3776" s="17"/>
      <c r="AA3776" s="17"/>
      <c r="AB3776" s="17" t="s">
        <v>41</v>
      </c>
      <c r="AC3776" s="0" t="str">
        <f aca="false">LEFT(G3776,2)</f>
        <v/>
      </c>
      <c r="AE3776" s="0"/>
    </row>
    <row r="3777" customFormat="false" ht="15" hidden="false" customHeight="false" outlineLevel="0" collapsed="false">
      <c r="A3777" s="13" t="n">
        <f aca="false">1+A3776</f>
        <v>3775</v>
      </c>
      <c r="B3777" s="14" t="n">
        <v>100</v>
      </c>
      <c r="C3777" s="15"/>
      <c r="D3777" s="16" t="s">
        <v>64</v>
      </c>
      <c r="E3777" s="17" t="s">
        <v>47</v>
      </c>
      <c r="F3777" s="18" t="s">
        <v>34</v>
      </c>
      <c r="G3777" s="19"/>
      <c r="H3777" s="17" t="s">
        <v>35</v>
      </c>
      <c r="I3777" s="17" t="s">
        <v>44</v>
      </c>
      <c r="J3777" s="17"/>
      <c r="K3777" s="17" t="e">
        <f aca="false">VLOOKUP(J3777,Sheet2!A:B,2,0)</f>
        <v>#N/A</v>
      </c>
      <c r="L3777" s="17" t="n">
        <v>5</v>
      </c>
      <c r="M3777" s="17" t="str">
        <f aca="false">VLOOKUP(L3777,Sheet2!D:E,2,0)</f>
        <v>Main Processor CPU BGA</v>
      </c>
      <c r="N3777" s="17" t="n">
        <v>1</v>
      </c>
      <c r="O3777" s="17" t="str">
        <f aca="false">VLOOKUP(N3777,Sheet2!G:H,2,0)</f>
        <v>Dead</v>
      </c>
      <c r="P3777" s="17" t="n">
        <v>11</v>
      </c>
      <c r="Q3777" s="17" t="str">
        <f aca="false">VLOOKUP(P3777,Sheet2!J:K,2,0)</f>
        <v>IR Declared due to CID -TA</v>
      </c>
      <c r="R3777" s="17" t="s">
        <v>35</v>
      </c>
      <c r="S3777" s="17" t="str">
        <f aca="false">VLOOKUP(R3777,Sheet2!N:O,2,0)</f>
        <v>IREPARABLE</v>
      </c>
      <c r="T3777" s="18" t="str">
        <f aca="false">VLOOKUP(P3777,Sheet2!Q:R,2,0)</f>
        <v>IR Normal - Track burn out</v>
      </c>
      <c r="U3777" s="20" t="s">
        <v>41</v>
      </c>
      <c r="V3777" s="17"/>
      <c r="W3777" s="20" t="e">
        <f aca="false">VLOOKUP(V3777,Sheet2!Q:R,2,0)</f>
        <v>#N/A</v>
      </c>
      <c r="X3777" s="17" t="n">
        <f aca="false">J3777</f>
        <v>0</v>
      </c>
      <c r="Y3777" s="17" t="e">
        <f aca="false">VLOOKUP(X3777,Sheet2!A:B,2,0)</f>
        <v>#N/A</v>
      </c>
      <c r="Z3777" s="17"/>
      <c r="AA3777" s="17"/>
      <c r="AB3777" s="17" t="s">
        <v>41</v>
      </c>
      <c r="AC3777" s="0" t="str">
        <f aca="false">LEFT(G3777,2)</f>
        <v/>
      </c>
      <c r="AE3777" s="0"/>
    </row>
    <row r="3778" customFormat="false" ht="15" hidden="false" customHeight="false" outlineLevel="0" collapsed="false">
      <c r="A3778" s="13" t="n">
        <f aca="false">1+A3777</f>
        <v>3776</v>
      </c>
      <c r="B3778" s="14" t="n">
        <v>100</v>
      </c>
      <c r="C3778" s="15"/>
      <c r="D3778" s="16" t="s">
        <v>64</v>
      </c>
      <c r="E3778" s="17" t="s">
        <v>47</v>
      </c>
      <c r="F3778" s="18" t="s">
        <v>34</v>
      </c>
      <c r="G3778" s="19"/>
      <c r="H3778" s="17" t="s">
        <v>35</v>
      </c>
      <c r="I3778" s="17" t="s">
        <v>44</v>
      </c>
      <c r="J3778" s="17"/>
      <c r="K3778" s="17" t="e">
        <f aca="false">VLOOKUP(J3778,Sheet2!A:B,2,0)</f>
        <v>#N/A</v>
      </c>
      <c r="L3778" s="17" t="n">
        <v>5</v>
      </c>
      <c r="M3778" s="17" t="str">
        <f aca="false">VLOOKUP(L3778,Sheet2!D:E,2,0)</f>
        <v>Main Processor CPU BGA</v>
      </c>
      <c r="N3778" s="17" t="n">
        <v>1</v>
      </c>
      <c r="O3778" s="17" t="str">
        <f aca="false">VLOOKUP(N3778,Sheet2!G:H,2,0)</f>
        <v>Dead</v>
      </c>
      <c r="P3778" s="17" t="n">
        <v>11</v>
      </c>
      <c r="Q3778" s="17" t="str">
        <f aca="false">VLOOKUP(P3778,Sheet2!J:K,2,0)</f>
        <v>IR Declared due to CID -TA</v>
      </c>
      <c r="R3778" s="17" t="s">
        <v>35</v>
      </c>
      <c r="S3778" s="17" t="str">
        <f aca="false">VLOOKUP(R3778,Sheet2!N:O,2,0)</f>
        <v>IREPARABLE</v>
      </c>
      <c r="T3778" s="18" t="str">
        <f aca="false">VLOOKUP(P3778,Sheet2!Q:R,2,0)</f>
        <v>IR Normal - Track burn out</v>
      </c>
      <c r="U3778" s="20" t="s">
        <v>41</v>
      </c>
      <c r="V3778" s="17"/>
      <c r="W3778" s="20" t="e">
        <f aca="false">VLOOKUP(V3778,Sheet2!Q:R,2,0)</f>
        <v>#N/A</v>
      </c>
      <c r="X3778" s="17" t="n">
        <f aca="false">J3778</f>
        <v>0</v>
      </c>
      <c r="Y3778" s="17" t="e">
        <f aca="false">VLOOKUP(X3778,Sheet2!A:B,2,0)</f>
        <v>#N/A</v>
      </c>
      <c r="Z3778" s="17"/>
      <c r="AA3778" s="17"/>
      <c r="AB3778" s="17" t="s">
        <v>41</v>
      </c>
      <c r="AC3778" s="0" t="str">
        <f aca="false">LEFT(G3778,2)</f>
        <v/>
      </c>
      <c r="AE3778" s="0"/>
    </row>
    <row r="3779" customFormat="false" ht="15" hidden="false" customHeight="false" outlineLevel="0" collapsed="false">
      <c r="A3779" s="13" t="n">
        <f aca="false">1+A3778</f>
        <v>3777</v>
      </c>
      <c r="B3779" s="14" t="n">
        <v>100</v>
      </c>
      <c r="C3779" s="15"/>
      <c r="D3779" s="16" t="s">
        <v>64</v>
      </c>
      <c r="E3779" s="17" t="s">
        <v>47</v>
      </c>
      <c r="F3779" s="18" t="s">
        <v>34</v>
      </c>
      <c r="G3779" s="19"/>
      <c r="H3779" s="17" t="s">
        <v>35</v>
      </c>
      <c r="I3779" s="17" t="s">
        <v>44</v>
      </c>
      <c r="J3779" s="17"/>
      <c r="K3779" s="17" t="e">
        <f aca="false">VLOOKUP(J3779,Sheet2!A:B,2,0)</f>
        <v>#N/A</v>
      </c>
      <c r="L3779" s="17" t="n">
        <v>5</v>
      </c>
      <c r="M3779" s="17" t="str">
        <f aca="false">VLOOKUP(L3779,Sheet2!D:E,2,0)</f>
        <v>Main Processor CPU BGA</v>
      </c>
      <c r="N3779" s="17" t="n">
        <v>1</v>
      </c>
      <c r="O3779" s="17" t="str">
        <f aca="false">VLOOKUP(N3779,Sheet2!G:H,2,0)</f>
        <v>Dead</v>
      </c>
      <c r="P3779" s="17" t="n">
        <v>11</v>
      </c>
      <c r="Q3779" s="17" t="str">
        <f aca="false">VLOOKUP(P3779,Sheet2!J:K,2,0)</f>
        <v>IR Declared due to CID -TA</v>
      </c>
      <c r="R3779" s="17" t="s">
        <v>35</v>
      </c>
      <c r="S3779" s="17" t="str">
        <f aca="false">VLOOKUP(R3779,Sheet2!N:O,2,0)</f>
        <v>IREPARABLE</v>
      </c>
      <c r="T3779" s="18" t="str">
        <f aca="false">VLOOKUP(P3779,Sheet2!Q:R,2,0)</f>
        <v>IR Normal - Track burn out</v>
      </c>
      <c r="U3779" s="20" t="s">
        <v>41</v>
      </c>
      <c r="V3779" s="17"/>
      <c r="W3779" s="20" t="e">
        <f aca="false">VLOOKUP(V3779,Sheet2!Q:R,2,0)</f>
        <v>#N/A</v>
      </c>
      <c r="X3779" s="17" t="n">
        <f aca="false">J3779</f>
        <v>0</v>
      </c>
      <c r="Y3779" s="17" t="e">
        <f aca="false">VLOOKUP(X3779,Sheet2!A:B,2,0)</f>
        <v>#N/A</v>
      </c>
      <c r="Z3779" s="17"/>
      <c r="AA3779" s="17"/>
      <c r="AB3779" s="17" t="s">
        <v>41</v>
      </c>
      <c r="AC3779" s="0" t="str">
        <f aca="false">LEFT(G3779,2)</f>
        <v/>
      </c>
      <c r="AE3779" s="0"/>
    </row>
    <row r="3780" customFormat="false" ht="15" hidden="false" customHeight="false" outlineLevel="0" collapsed="false">
      <c r="A3780" s="13" t="n">
        <f aca="false">1+A3779</f>
        <v>3778</v>
      </c>
      <c r="B3780" s="14" t="n">
        <v>100</v>
      </c>
      <c r="C3780" s="15"/>
      <c r="D3780" s="16" t="s">
        <v>64</v>
      </c>
      <c r="E3780" s="17" t="s">
        <v>47</v>
      </c>
      <c r="F3780" s="18" t="s">
        <v>34</v>
      </c>
      <c r="G3780" s="19"/>
      <c r="H3780" s="17" t="s">
        <v>35</v>
      </c>
      <c r="I3780" s="17" t="s">
        <v>44</v>
      </c>
      <c r="J3780" s="17"/>
      <c r="K3780" s="17" t="e">
        <f aca="false">VLOOKUP(J3780,Sheet2!A:B,2,0)</f>
        <v>#N/A</v>
      </c>
      <c r="L3780" s="17" t="n">
        <v>5</v>
      </c>
      <c r="M3780" s="17" t="str">
        <f aca="false">VLOOKUP(L3780,Sheet2!D:E,2,0)</f>
        <v>Main Processor CPU BGA</v>
      </c>
      <c r="N3780" s="17" t="n">
        <v>1</v>
      </c>
      <c r="O3780" s="17" t="str">
        <f aca="false">VLOOKUP(N3780,Sheet2!G:H,2,0)</f>
        <v>Dead</v>
      </c>
      <c r="P3780" s="17" t="n">
        <v>11</v>
      </c>
      <c r="Q3780" s="17" t="str">
        <f aca="false">VLOOKUP(P3780,Sheet2!J:K,2,0)</f>
        <v>IR Declared due to CID -TA</v>
      </c>
      <c r="R3780" s="17" t="s">
        <v>35</v>
      </c>
      <c r="S3780" s="17" t="str">
        <f aca="false">VLOOKUP(R3780,Sheet2!N:O,2,0)</f>
        <v>IREPARABLE</v>
      </c>
      <c r="T3780" s="18" t="str">
        <f aca="false">VLOOKUP(P3780,Sheet2!Q:R,2,0)</f>
        <v>IR Normal - Track burn out</v>
      </c>
      <c r="U3780" s="20" t="s">
        <v>41</v>
      </c>
      <c r="V3780" s="17"/>
      <c r="W3780" s="20" t="e">
        <f aca="false">VLOOKUP(V3780,Sheet2!Q:R,2,0)</f>
        <v>#N/A</v>
      </c>
      <c r="X3780" s="17" t="n">
        <f aca="false">J3780</f>
        <v>0</v>
      </c>
      <c r="Y3780" s="17" t="e">
        <f aca="false">VLOOKUP(X3780,Sheet2!A:B,2,0)</f>
        <v>#N/A</v>
      </c>
      <c r="Z3780" s="17"/>
      <c r="AA3780" s="17"/>
      <c r="AB3780" s="17" t="s">
        <v>41</v>
      </c>
      <c r="AC3780" s="0" t="str">
        <f aca="false">LEFT(G3780,2)</f>
        <v/>
      </c>
      <c r="AE3780" s="0"/>
    </row>
    <row r="3781" customFormat="false" ht="15" hidden="false" customHeight="false" outlineLevel="0" collapsed="false">
      <c r="A3781" s="13" t="n">
        <f aca="false">1+A3780</f>
        <v>3779</v>
      </c>
      <c r="B3781" s="14" t="n">
        <v>100</v>
      </c>
      <c r="C3781" s="15"/>
      <c r="D3781" s="16" t="s">
        <v>64</v>
      </c>
      <c r="E3781" s="17" t="s">
        <v>47</v>
      </c>
      <c r="F3781" s="18" t="s">
        <v>34</v>
      </c>
      <c r="G3781" s="19"/>
      <c r="H3781" s="17" t="s">
        <v>35</v>
      </c>
      <c r="I3781" s="17" t="s">
        <v>44</v>
      </c>
      <c r="J3781" s="17"/>
      <c r="K3781" s="17" t="e">
        <f aca="false">VLOOKUP(J3781,Sheet2!A:B,2,0)</f>
        <v>#N/A</v>
      </c>
      <c r="L3781" s="17" t="n">
        <v>5</v>
      </c>
      <c r="M3781" s="17" t="str">
        <f aca="false">VLOOKUP(L3781,Sheet2!D:E,2,0)</f>
        <v>Main Processor CPU BGA</v>
      </c>
      <c r="N3781" s="17" t="n">
        <v>1</v>
      </c>
      <c r="O3781" s="17" t="str">
        <f aca="false">VLOOKUP(N3781,Sheet2!G:H,2,0)</f>
        <v>Dead</v>
      </c>
      <c r="P3781" s="17" t="n">
        <v>11</v>
      </c>
      <c r="Q3781" s="17" t="str">
        <f aca="false">VLOOKUP(P3781,Sheet2!J:K,2,0)</f>
        <v>IR Declared due to CID -TA</v>
      </c>
      <c r="R3781" s="17" t="s">
        <v>35</v>
      </c>
      <c r="S3781" s="17" t="str">
        <f aca="false">VLOOKUP(R3781,Sheet2!N:O,2,0)</f>
        <v>IREPARABLE</v>
      </c>
      <c r="T3781" s="18" t="str">
        <f aca="false">VLOOKUP(P3781,Sheet2!Q:R,2,0)</f>
        <v>IR Normal - Track burn out</v>
      </c>
      <c r="U3781" s="20" t="s">
        <v>41</v>
      </c>
      <c r="V3781" s="17"/>
      <c r="W3781" s="20" t="e">
        <f aca="false">VLOOKUP(V3781,Sheet2!Q:R,2,0)</f>
        <v>#N/A</v>
      </c>
      <c r="X3781" s="17" t="n">
        <f aca="false">J3781</f>
        <v>0</v>
      </c>
      <c r="Y3781" s="17" t="e">
        <f aca="false">VLOOKUP(X3781,Sheet2!A:B,2,0)</f>
        <v>#N/A</v>
      </c>
      <c r="Z3781" s="17"/>
      <c r="AA3781" s="17"/>
      <c r="AB3781" s="17" t="s">
        <v>41</v>
      </c>
      <c r="AC3781" s="0" t="str">
        <f aca="false">LEFT(G3781,2)</f>
        <v/>
      </c>
      <c r="AE3781" s="0"/>
    </row>
    <row r="3782" customFormat="false" ht="15" hidden="false" customHeight="false" outlineLevel="0" collapsed="false">
      <c r="A3782" s="13" t="n">
        <f aca="false">1+A3781</f>
        <v>3780</v>
      </c>
      <c r="B3782" s="14" t="n">
        <v>100</v>
      </c>
      <c r="C3782" s="15"/>
      <c r="D3782" s="16" t="s">
        <v>64</v>
      </c>
      <c r="E3782" s="17" t="s">
        <v>47</v>
      </c>
      <c r="F3782" s="18" t="s">
        <v>34</v>
      </c>
      <c r="G3782" s="19"/>
      <c r="H3782" s="17" t="s">
        <v>35</v>
      </c>
      <c r="I3782" s="17" t="s">
        <v>44</v>
      </c>
      <c r="J3782" s="17"/>
      <c r="K3782" s="17" t="e">
        <f aca="false">VLOOKUP(J3782,Sheet2!A:B,2,0)</f>
        <v>#N/A</v>
      </c>
      <c r="L3782" s="17" t="n">
        <v>5</v>
      </c>
      <c r="M3782" s="17" t="str">
        <f aca="false">VLOOKUP(L3782,Sheet2!D:E,2,0)</f>
        <v>Main Processor CPU BGA</v>
      </c>
      <c r="N3782" s="17" t="n">
        <v>1</v>
      </c>
      <c r="O3782" s="17" t="str">
        <f aca="false">VLOOKUP(N3782,Sheet2!G:H,2,0)</f>
        <v>Dead</v>
      </c>
      <c r="P3782" s="17" t="n">
        <v>11</v>
      </c>
      <c r="Q3782" s="17" t="str">
        <f aca="false">VLOOKUP(P3782,Sheet2!J:K,2,0)</f>
        <v>IR Declared due to CID -TA</v>
      </c>
      <c r="R3782" s="17" t="s">
        <v>35</v>
      </c>
      <c r="S3782" s="17" t="str">
        <f aca="false">VLOOKUP(R3782,Sheet2!N:O,2,0)</f>
        <v>IREPARABLE</v>
      </c>
      <c r="T3782" s="18" t="str">
        <f aca="false">VLOOKUP(P3782,Sheet2!Q:R,2,0)</f>
        <v>IR Normal - Track burn out</v>
      </c>
      <c r="U3782" s="20" t="s">
        <v>41</v>
      </c>
      <c r="V3782" s="17"/>
      <c r="W3782" s="20" t="e">
        <f aca="false">VLOOKUP(V3782,Sheet2!Q:R,2,0)</f>
        <v>#N/A</v>
      </c>
      <c r="X3782" s="17" t="n">
        <f aca="false">J3782</f>
        <v>0</v>
      </c>
      <c r="Y3782" s="17" t="e">
        <f aca="false">VLOOKUP(X3782,Sheet2!A:B,2,0)</f>
        <v>#N/A</v>
      </c>
      <c r="Z3782" s="17"/>
      <c r="AA3782" s="17"/>
      <c r="AB3782" s="17" t="s">
        <v>41</v>
      </c>
      <c r="AC3782" s="0" t="str">
        <f aca="false">LEFT(G3782,2)</f>
        <v/>
      </c>
      <c r="AE3782" s="0"/>
    </row>
    <row r="3783" customFormat="false" ht="15" hidden="false" customHeight="false" outlineLevel="0" collapsed="false">
      <c r="A3783" s="13" t="n">
        <f aca="false">1+A3782</f>
        <v>3781</v>
      </c>
      <c r="B3783" s="14" t="n">
        <v>100</v>
      </c>
      <c r="C3783" s="15"/>
      <c r="D3783" s="16" t="s">
        <v>64</v>
      </c>
      <c r="E3783" s="17" t="s">
        <v>47</v>
      </c>
      <c r="F3783" s="18" t="s">
        <v>34</v>
      </c>
      <c r="G3783" s="19"/>
      <c r="H3783" s="17" t="s">
        <v>35</v>
      </c>
      <c r="I3783" s="17" t="s">
        <v>44</v>
      </c>
      <c r="J3783" s="17"/>
      <c r="K3783" s="17" t="e">
        <f aca="false">VLOOKUP(J3783,Sheet2!A:B,2,0)</f>
        <v>#N/A</v>
      </c>
      <c r="L3783" s="17" t="n">
        <v>5</v>
      </c>
      <c r="M3783" s="17" t="str">
        <f aca="false">VLOOKUP(L3783,Sheet2!D:E,2,0)</f>
        <v>Main Processor CPU BGA</v>
      </c>
      <c r="N3783" s="17" t="n">
        <v>1</v>
      </c>
      <c r="O3783" s="17" t="str">
        <f aca="false">VLOOKUP(N3783,Sheet2!G:H,2,0)</f>
        <v>Dead</v>
      </c>
      <c r="P3783" s="17" t="n">
        <v>11</v>
      </c>
      <c r="Q3783" s="17" t="str">
        <f aca="false">VLOOKUP(P3783,Sheet2!J:K,2,0)</f>
        <v>IR Declared due to CID -TA</v>
      </c>
      <c r="R3783" s="17" t="s">
        <v>35</v>
      </c>
      <c r="S3783" s="17" t="str">
        <f aca="false">VLOOKUP(R3783,Sheet2!N:O,2,0)</f>
        <v>IREPARABLE</v>
      </c>
      <c r="T3783" s="18" t="str">
        <f aca="false">VLOOKUP(P3783,Sheet2!Q:R,2,0)</f>
        <v>IR Normal - Track burn out</v>
      </c>
      <c r="U3783" s="20" t="s">
        <v>41</v>
      </c>
      <c r="V3783" s="17"/>
      <c r="W3783" s="20" t="e">
        <f aca="false">VLOOKUP(V3783,Sheet2!Q:R,2,0)</f>
        <v>#N/A</v>
      </c>
      <c r="X3783" s="17" t="n">
        <f aca="false">J3783</f>
        <v>0</v>
      </c>
      <c r="Y3783" s="17" t="e">
        <f aca="false">VLOOKUP(X3783,Sheet2!A:B,2,0)</f>
        <v>#N/A</v>
      </c>
      <c r="Z3783" s="17"/>
      <c r="AA3783" s="17"/>
      <c r="AB3783" s="17" t="s">
        <v>41</v>
      </c>
      <c r="AC3783" s="0" t="str">
        <f aca="false">LEFT(G3783,2)</f>
        <v/>
      </c>
      <c r="AE3783" s="0"/>
    </row>
    <row r="3784" customFormat="false" ht="15" hidden="false" customHeight="false" outlineLevel="0" collapsed="false">
      <c r="A3784" s="13" t="n">
        <f aca="false">1+A3783</f>
        <v>3782</v>
      </c>
      <c r="B3784" s="14" t="n">
        <v>100</v>
      </c>
      <c r="C3784" s="15"/>
      <c r="D3784" s="16" t="s">
        <v>64</v>
      </c>
      <c r="E3784" s="17" t="s">
        <v>47</v>
      </c>
      <c r="F3784" s="18" t="s">
        <v>34</v>
      </c>
      <c r="G3784" s="19"/>
      <c r="H3784" s="17" t="s">
        <v>35</v>
      </c>
      <c r="I3784" s="17" t="s">
        <v>44</v>
      </c>
      <c r="J3784" s="17"/>
      <c r="K3784" s="17" t="e">
        <f aca="false">VLOOKUP(J3784,Sheet2!A:B,2,0)</f>
        <v>#N/A</v>
      </c>
      <c r="L3784" s="17" t="n">
        <v>5</v>
      </c>
      <c r="M3784" s="17" t="str">
        <f aca="false">VLOOKUP(L3784,Sheet2!D:E,2,0)</f>
        <v>Main Processor CPU BGA</v>
      </c>
      <c r="N3784" s="17" t="n">
        <v>1</v>
      </c>
      <c r="O3784" s="17" t="str">
        <f aca="false">VLOOKUP(N3784,Sheet2!G:H,2,0)</f>
        <v>Dead</v>
      </c>
      <c r="P3784" s="17" t="n">
        <v>11</v>
      </c>
      <c r="Q3784" s="17" t="str">
        <f aca="false">VLOOKUP(P3784,Sheet2!J:K,2,0)</f>
        <v>IR Declared due to CID -TA</v>
      </c>
      <c r="R3784" s="17" t="s">
        <v>35</v>
      </c>
      <c r="S3784" s="17" t="str">
        <f aca="false">VLOOKUP(R3784,Sheet2!N:O,2,0)</f>
        <v>IREPARABLE</v>
      </c>
      <c r="T3784" s="18" t="str">
        <f aca="false">VLOOKUP(P3784,Sheet2!Q:R,2,0)</f>
        <v>IR Normal - Track burn out</v>
      </c>
      <c r="U3784" s="20" t="s">
        <v>41</v>
      </c>
      <c r="V3784" s="17"/>
      <c r="W3784" s="20" t="e">
        <f aca="false">VLOOKUP(V3784,Sheet2!Q:R,2,0)</f>
        <v>#N/A</v>
      </c>
      <c r="X3784" s="17" t="n">
        <f aca="false">J3784</f>
        <v>0</v>
      </c>
      <c r="Y3784" s="17" t="e">
        <f aca="false">VLOOKUP(X3784,Sheet2!A:B,2,0)</f>
        <v>#N/A</v>
      </c>
      <c r="Z3784" s="17"/>
      <c r="AA3784" s="17"/>
      <c r="AB3784" s="17" t="s">
        <v>41</v>
      </c>
      <c r="AC3784" s="0" t="str">
        <f aca="false">LEFT(G3784,2)</f>
        <v/>
      </c>
      <c r="AE3784" s="0"/>
    </row>
    <row r="3785" customFormat="false" ht="15" hidden="false" customHeight="false" outlineLevel="0" collapsed="false">
      <c r="A3785" s="13" t="n">
        <f aca="false">1+A3784</f>
        <v>3783</v>
      </c>
      <c r="B3785" s="14" t="n">
        <v>100</v>
      </c>
      <c r="C3785" s="15"/>
      <c r="D3785" s="16" t="s">
        <v>64</v>
      </c>
      <c r="E3785" s="17" t="s">
        <v>47</v>
      </c>
      <c r="F3785" s="18" t="s">
        <v>34</v>
      </c>
      <c r="G3785" s="19"/>
      <c r="H3785" s="17" t="s">
        <v>35</v>
      </c>
      <c r="I3785" s="17" t="s">
        <v>44</v>
      </c>
      <c r="J3785" s="17"/>
      <c r="K3785" s="17" t="e">
        <f aca="false">VLOOKUP(J3785,Sheet2!A:B,2,0)</f>
        <v>#N/A</v>
      </c>
      <c r="L3785" s="17" t="n">
        <v>5</v>
      </c>
      <c r="M3785" s="17" t="str">
        <f aca="false">VLOOKUP(L3785,Sheet2!D:E,2,0)</f>
        <v>Main Processor CPU BGA</v>
      </c>
      <c r="N3785" s="17" t="n">
        <v>1</v>
      </c>
      <c r="O3785" s="17" t="str">
        <f aca="false">VLOOKUP(N3785,Sheet2!G:H,2,0)</f>
        <v>Dead</v>
      </c>
      <c r="P3785" s="17" t="n">
        <v>11</v>
      </c>
      <c r="Q3785" s="17" t="str">
        <f aca="false">VLOOKUP(P3785,Sheet2!J:K,2,0)</f>
        <v>IR Declared due to CID -TA</v>
      </c>
      <c r="R3785" s="17" t="s">
        <v>35</v>
      </c>
      <c r="S3785" s="17" t="str">
        <f aca="false">VLOOKUP(R3785,Sheet2!N:O,2,0)</f>
        <v>IREPARABLE</v>
      </c>
      <c r="T3785" s="18" t="str">
        <f aca="false">VLOOKUP(P3785,Sheet2!Q:R,2,0)</f>
        <v>IR Normal - Track burn out</v>
      </c>
      <c r="U3785" s="20" t="s">
        <v>41</v>
      </c>
      <c r="V3785" s="17"/>
      <c r="W3785" s="20" t="e">
        <f aca="false">VLOOKUP(V3785,Sheet2!Q:R,2,0)</f>
        <v>#N/A</v>
      </c>
      <c r="X3785" s="17" t="n">
        <f aca="false">J3785</f>
        <v>0</v>
      </c>
      <c r="Y3785" s="17" t="e">
        <f aca="false">VLOOKUP(X3785,Sheet2!A:B,2,0)</f>
        <v>#N/A</v>
      </c>
      <c r="Z3785" s="17"/>
      <c r="AA3785" s="17"/>
      <c r="AB3785" s="17" t="s">
        <v>41</v>
      </c>
      <c r="AC3785" s="0" t="str">
        <f aca="false">LEFT(G3785,2)</f>
        <v/>
      </c>
      <c r="AE3785" s="0"/>
    </row>
    <row r="3786" customFormat="false" ht="15" hidden="false" customHeight="false" outlineLevel="0" collapsed="false">
      <c r="A3786" s="13" t="n">
        <f aca="false">1+A3785</f>
        <v>3784</v>
      </c>
      <c r="B3786" s="14" t="n">
        <v>100</v>
      </c>
      <c r="C3786" s="15"/>
      <c r="D3786" s="16" t="s">
        <v>64</v>
      </c>
      <c r="E3786" s="17" t="s">
        <v>47</v>
      </c>
      <c r="F3786" s="18" t="s">
        <v>34</v>
      </c>
      <c r="G3786" s="19"/>
      <c r="H3786" s="17" t="s">
        <v>35</v>
      </c>
      <c r="I3786" s="17" t="s">
        <v>44</v>
      </c>
      <c r="J3786" s="17"/>
      <c r="K3786" s="17" t="e">
        <f aca="false">VLOOKUP(J3786,Sheet2!A:B,2,0)</f>
        <v>#N/A</v>
      </c>
      <c r="L3786" s="17" t="n">
        <v>5</v>
      </c>
      <c r="M3786" s="17" t="str">
        <f aca="false">VLOOKUP(L3786,Sheet2!D:E,2,0)</f>
        <v>Main Processor CPU BGA</v>
      </c>
      <c r="N3786" s="17" t="n">
        <v>1</v>
      </c>
      <c r="O3786" s="17" t="str">
        <f aca="false">VLOOKUP(N3786,Sheet2!G:H,2,0)</f>
        <v>Dead</v>
      </c>
      <c r="P3786" s="17" t="n">
        <v>11</v>
      </c>
      <c r="Q3786" s="17" t="str">
        <f aca="false">VLOOKUP(P3786,Sheet2!J:K,2,0)</f>
        <v>IR Declared due to CID -TA</v>
      </c>
      <c r="R3786" s="17" t="s">
        <v>35</v>
      </c>
      <c r="S3786" s="17" t="str">
        <f aca="false">VLOOKUP(R3786,Sheet2!N:O,2,0)</f>
        <v>IREPARABLE</v>
      </c>
      <c r="T3786" s="18" t="str">
        <f aca="false">VLOOKUP(P3786,Sheet2!Q:R,2,0)</f>
        <v>IR Normal - Track burn out</v>
      </c>
      <c r="U3786" s="20" t="s">
        <v>41</v>
      </c>
      <c r="V3786" s="17"/>
      <c r="W3786" s="20" t="e">
        <f aca="false">VLOOKUP(V3786,Sheet2!Q:R,2,0)</f>
        <v>#N/A</v>
      </c>
      <c r="X3786" s="17" t="n">
        <f aca="false">J3786</f>
        <v>0</v>
      </c>
      <c r="Y3786" s="17" t="e">
        <f aca="false">VLOOKUP(X3786,Sheet2!A:B,2,0)</f>
        <v>#N/A</v>
      </c>
      <c r="Z3786" s="17"/>
      <c r="AA3786" s="17"/>
      <c r="AB3786" s="17" t="s">
        <v>41</v>
      </c>
      <c r="AC3786" s="0" t="str">
        <f aca="false">LEFT(G3786,2)</f>
        <v/>
      </c>
      <c r="AE3786" s="0"/>
    </row>
    <row r="3787" customFormat="false" ht="15" hidden="false" customHeight="false" outlineLevel="0" collapsed="false">
      <c r="A3787" s="13" t="n">
        <f aca="false">1+A3786</f>
        <v>3785</v>
      </c>
      <c r="B3787" s="14" t="n">
        <v>100</v>
      </c>
      <c r="C3787" s="15"/>
      <c r="D3787" s="16" t="s">
        <v>64</v>
      </c>
      <c r="E3787" s="17" t="s">
        <v>47</v>
      </c>
      <c r="F3787" s="18" t="s">
        <v>34</v>
      </c>
      <c r="G3787" s="19"/>
      <c r="H3787" s="17" t="s">
        <v>35</v>
      </c>
      <c r="I3787" s="17" t="s">
        <v>44</v>
      </c>
      <c r="J3787" s="17"/>
      <c r="K3787" s="17" t="e">
        <f aca="false">VLOOKUP(J3787,Sheet2!A:B,2,0)</f>
        <v>#N/A</v>
      </c>
      <c r="L3787" s="17" t="n">
        <v>5</v>
      </c>
      <c r="M3787" s="17" t="str">
        <f aca="false">VLOOKUP(L3787,Sheet2!D:E,2,0)</f>
        <v>Main Processor CPU BGA</v>
      </c>
      <c r="N3787" s="17" t="n">
        <v>1</v>
      </c>
      <c r="O3787" s="17" t="str">
        <f aca="false">VLOOKUP(N3787,Sheet2!G:H,2,0)</f>
        <v>Dead</v>
      </c>
      <c r="P3787" s="17" t="n">
        <v>11</v>
      </c>
      <c r="Q3787" s="17" t="str">
        <f aca="false">VLOOKUP(P3787,Sheet2!J:K,2,0)</f>
        <v>IR Declared due to CID -TA</v>
      </c>
      <c r="R3787" s="17" t="s">
        <v>35</v>
      </c>
      <c r="S3787" s="17" t="str">
        <f aca="false">VLOOKUP(R3787,Sheet2!N:O,2,0)</f>
        <v>IREPARABLE</v>
      </c>
      <c r="T3787" s="18" t="str">
        <f aca="false">VLOOKUP(P3787,Sheet2!Q:R,2,0)</f>
        <v>IR Normal - Track burn out</v>
      </c>
      <c r="U3787" s="20" t="s">
        <v>41</v>
      </c>
      <c r="V3787" s="17"/>
      <c r="W3787" s="20" t="e">
        <f aca="false">VLOOKUP(V3787,Sheet2!Q:R,2,0)</f>
        <v>#N/A</v>
      </c>
      <c r="X3787" s="17" t="n">
        <f aca="false">J3787</f>
        <v>0</v>
      </c>
      <c r="Y3787" s="17" t="e">
        <f aca="false">VLOOKUP(X3787,Sheet2!A:B,2,0)</f>
        <v>#N/A</v>
      </c>
      <c r="Z3787" s="17"/>
      <c r="AA3787" s="17"/>
      <c r="AB3787" s="17" t="s">
        <v>41</v>
      </c>
      <c r="AC3787" s="0" t="str">
        <f aca="false">LEFT(G3787,2)</f>
        <v/>
      </c>
      <c r="AE3787" s="0"/>
    </row>
    <row r="3788" customFormat="false" ht="15" hidden="false" customHeight="false" outlineLevel="0" collapsed="false">
      <c r="A3788" s="13" t="n">
        <f aca="false">1+A3787</f>
        <v>3786</v>
      </c>
      <c r="B3788" s="14" t="n">
        <v>100</v>
      </c>
      <c r="C3788" s="15"/>
      <c r="D3788" s="16" t="s">
        <v>64</v>
      </c>
      <c r="E3788" s="17" t="s">
        <v>47</v>
      </c>
      <c r="F3788" s="18" t="s">
        <v>34</v>
      </c>
      <c r="G3788" s="19"/>
      <c r="H3788" s="17" t="s">
        <v>35</v>
      </c>
      <c r="I3788" s="17" t="s">
        <v>44</v>
      </c>
      <c r="J3788" s="17"/>
      <c r="K3788" s="17" t="e">
        <f aca="false">VLOOKUP(J3788,Sheet2!A:B,2,0)</f>
        <v>#N/A</v>
      </c>
      <c r="L3788" s="17" t="n">
        <v>5</v>
      </c>
      <c r="M3788" s="17" t="str">
        <f aca="false">VLOOKUP(L3788,Sheet2!D:E,2,0)</f>
        <v>Main Processor CPU BGA</v>
      </c>
      <c r="N3788" s="17" t="n">
        <v>1</v>
      </c>
      <c r="O3788" s="17" t="str">
        <f aca="false">VLOOKUP(N3788,Sheet2!G:H,2,0)</f>
        <v>Dead</v>
      </c>
      <c r="P3788" s="17" t="n">
        <v>11</v>
      </c>
      <c r="Q3788" s="17" t="str">
        <f aca="false">VLOOKUP(P3788,Sheet2!J:K,2,0)</f>
        <v>IR Declared due to CID -TA</v>
      </c>
      <c r="R3788" s="17" t="s">
        <v>35</v>
      </c>
      <c r="S3788" s="17" t="str">
        <f aca="false">VLOOKUP(R3788,Sheet2!N:O,2,0)</f>
        <v>IREPARABLE</v>
      </c>
      <c r="T3788" s="18" t="str">
        <f aca="false">VLOOKUP(P3788,Sheet2!Q:R,2,0)</f>
        <v>IR Normal - Track burn out</v>
      </c>
      <c r="U3788" s="20" t="s">
        <v>41</v>
      </c>
      <c r="V3788" s="17"/>
      <c r="W3788" s="20" t="e">
        <f aca="false">VLOOKUP(V3788,Sheet2!Q:R,2,0)</f>
        <v>#N/A</v>
      </c>
      <c r="X3788" s="17" t="n">
        <f aca="false">J3788</f>
        <v>0</v>
      </c>
      <c r="Y3788" s="17" t="e">
        <f aca="false">VLOOKUP(X3788,Sheet2!A:B,2,0)</f>
        <v>#N/A</v>
      </c>
      <c r="Z3788" s="17"/>
      <c r="AA3788" s="17"/>
      <c r="AB3788" s="17" t="s">
        <v>41</v>
      </c>
      <c r="AC3788" s="0" t="str">
        <f aca="false">LEFT(G3788,2)</f>
        <v/>
      </c>
      <c r="AE3788" s="0"/>
    </row>
    <row r="3789" customFormat="false" ht="15" hidden="false" customHeight="false" outlineLevel="0" collapsed="false">
      <c r="A3789" s="13" t="n">
        <f aca="false">1+A3788</f>
        <v>3787</v>
      </c>
      <c r="B3789" s="14" t="n">
        <v>100</v>
      </c>
      <c r="C3789" s="15"/>
      <c r="D3789" s="16" t="s">
        <v>64</v>
      </c>
      <c r="E3789" s="17" t="s">
        <v>47</v>
      </c>
      <c r="F3789" s="18" t="s">
        <v>34</v>
      </c>
      <c r="G3789" s="19"/>
      <c r="H3789" s="17" t="s">
        <v>35</v>
      </c>
      <c r="I3789" s="17" t="s">
        <v>44</v>
      </c>
      <c r="J3789" s="17"/>
      <c r="K3789" s="17" t="e">
        <f aca="false">VLOOKUP(J3789,Sheet2!A:B,2,0)</f>
        <v>#N/A</v>
      </c>
      <c r="L3789" s="17" t="n">
        <v>5</v>
      </c>
      <c r="M3789" s="17" t="str">
        <f aca="false">VLOOKUP(L3789,Sheet2!D:E,2,0)</f>
        <v>Main Processor CPU BGA</v>
      </c>
      <c r="N3789" s="17" t="n">
        <v>1</v>
      </c>
      <c r="O3789" s="17" t="str">
        <f aca="false">VLOOKUP(N3789,Sheet2!G:H,2,0)</f>
        <v>Dead</v>
      </c>
      <c r="P3789" s="17" t="n">
        <v>11</v>
      </c>
      <c r="Q3789" s="17" t="str">
        <f aca="false">VLOOKUP(P3789,Sheet2!J:K,2,0)</f>
        <v>IR Declared due to CID -TA</v>
      </c>
      <c r="R3789" s="17" t="s">
        <v>35</v>
      </c>
      <c r="S3789" s="17" t="str">
        <f aca="false">VLOOKUP(R3789,Sheet2!N:O,2,0)</f>
        <v>IREPARABLE</v>
      </c>
      <c r="T3789" s="18" t="str">
        <f aca="false">VLOOKUP(P3789,Sheet2!Q:R,2,0)</f>
        <v>IR Normal - Track burn out</v>
      </c>
      <c r="U3789" s="20" t="s">
        <v>41</v>
      </c>
      <c r="V3789" s="17"/>
      <c r="W3789" s="20" t="e">
        <f aca="false">VLOOKUP(V3789,Sheet2!Q:R,2,0)</f>
        <v>#N/A</v>
      </c>
      <c r="X3789" s="17" t="n">
        <f aca="false">J3789</f>
        <v>0</v>
      </c>
      <c r="Y3789" s="17" t="e">
        <f aca="false">VLOOKUP(X3789,Sheet2!A:B,2,0)</f>
        <v>#N/A</v>
      </c>
      <c r="Z3789" s="17"/>
      <c r="AA3789" s="17"/>
      <c r="AB3789" s="17" t="s">
        <v>41</v>
      </c>
      <c r="AC3789" s="0" t="str">
        <f aca="false">LEFT(G3789,2)</f>
        <v/>
      </c>
      <c r="AE3789" s="0"/>
    </row>
    <row r="3790" customFormat="false" ht="15" hidden="false" customHeight="false" outlineLevel="0" collapsed="false">
      <c r="A3790" s="13" t="n">
        <f aca="false">1+A3789</f>
        <v>3788</v>
      </c>
      <c r="B3790" s="14" t="n">
        <v>100</v>
      </c>
      <c r="C3790" s="15"/>
      <c r="D3790" s="16" t="s">
        <v>64</v>
      </c>
      <c r="E3790" s="17" t="s">
        <v>47</v>
      </c>
      <c r="F3790" s="18" t="s">
        <v>34</v>
      </c>
      <c r="G3790" s="19"/>
      <c r="H3790" s="17" t="s">
        <v>35</v>
      </c>
      <c r="I3790" s="17" t="s">
        <v>44</v>
      </c>
      <c r="J3790" s="17"/>
      <c r="K3790" s="17" t="e">
        <f aca="false">VLOOKUP(J3790,Sheet2!A:B,2,0)</f>
        <v>#N/A</v>
      </c>
      <c r="L3790" s="17" t="n">
        <v>5</v>
      </c>
      <c r="M3790" s="17" t="str">
        <f aca="false">VLOOKUP(L3790,Sheet2!D:E,2,0)</f>
        <v>Main Processor CPU BGA</v>
      </c>
      <c r="N3790" s="17" t="n">
        <v>1</v>
      </c>
      <c r="O3790" s="17" t="str">
        <f aca="false">VLOOKUP(N3790,Sheet2!G:H,2,0)</f>
        <v>Dead</v>
      </c>
      <c r="P3790" s="17" t="n">
        <v>11</v>
      </c>
      <c r="Q3790" s="17" t="str">
        <f aca="false">VLOOKUP(P3790,Sheet2!J:K,2,0)</f>
        <v>IR Declared due to CID -TA</v>
      </c>
      <c r="R3790" s="17" t="s">
        <v>35</v>
      </c>
      <c r="S3790" s="17" t="str">
        <f aca="false">VLOOKUP(R3790,Sheet2!N:O,2,0)</f>
        <v>IREPARABLE</v>
      </c>
      <c r="T3790" s="18" t="str">
        <f aca="false">VLOOKUP(P3790,Sheet2!Q:R,2,0)</f>
        <v>IR Normal - Track burn out</v>
      </c>
      <c r="U3790" s="20" t="s">
        <v>41</v>
      </c>
      <c r="V3790" s="17"/>
      <c r="W3790" s="20" t="e">
        <f aca="false">VLOOKUP(V3790,Sheet2!Q:R,2,0)</f>
        <v>#N/A</v>
      </c>
      <c r="X3790" s="17" t="n">
        <f aca="false">J3790</f>
        <v>0</v>
      </c>
      <c r="Y3790" s="17" t="e">
        <f aca="false">VLOOKUP(X3790,Sheet2!A:B,2,0)</f>
        <v>#N/A</v>
      </c>
      <c r="Z3790" s="17"/>
      <c r="AA3790" s="17"/>
      <c r="AB3790" s="17" t="s">
        <v>41</v>
      </c>
      <c r="AC3790" s="0" t="str">
        <f aca="false">LEFT(G3790,2)</f>
        <v/>
      </c>
      <c r="AE3790" s="0"/>
    </row>
    <row r="3791" customFormat="false" ht="15" hidden="false" customHeight="false" outlineLevel="0" collapsed="false">
      <c r="A3791" s="13" t="n">
        <f aca="false">1+A3790</f>
        <v>3789</v>
      </c>
      <c r="B3791" s="14" t="n">
        <v>100</v>
      </c>
      <c r="C3791" s="15"/>
      <c r="D3791" s="16" t="s">
        <v>64</v>
      </c>
      <c r="E3791" s="17" t="s">
        <v>47</v>
      </c>
      <c r="F3791" s="18" t="s">
        <v>34</v>
      </c>
      <c r="G3791" s="19"/>
      <c r="H3791" s="17" t="s">
        <v>35</v>
      </c>
      <c r="I3791" s="17" t="s">
        <v>44</v>
      </c>
      <c r="J3791" s="17"/>
      <c r="K3791" s="17" t="e">
        <f aca="false">VLOOKUP(J3791,Sheet2!A:B,2,0)</f>
        <v>#N/A</v>
      </c>
      <c r="L3791" s="17" t="n">
        <v>5</v>
      </c>
      <c r="M3791" s="17" t="str">
        <f aca="false">VLOOKUP(L3791,Sheet2!D:E,2,0)</f>
        <v>Main Processor CPU BGA</v>
      </c>
      <c r="N3791" s="17" t="n">
        <v>1</v>
      </c>
      <c r="O3791" s="17" t="str">
        <f aca="false">VLOOKUP(N3791,Sheet2!G:H,2,0)</f>
        <v>Dead</v>
      </c>
      <c r="P3791" s="17" t="n">
        <v>11</v>
      </c>
      <c r="Q3791" s="17" t="str">
        <f aca="false">VLOOKUP(P3791,Sheet2!J:K,2,0)</f>
        <v>IR Declared due to CID -TA</v>
      </c>
      <c r="R3791" s="17" t="s">
        <v>35</v>
      </c>
      <c r="S3791" s="17" t="str">
        <f aca="false">VLOOKUP(R3791,Sheet2!N:O,2,0)</f>
        <v>IREPARABLE</v>
      </c>
      <c r="T3791" s="18" t="str">
        <f aca="false">VLOOKUP(P3791,Sheet2!Q:R,2,0)</f>
        <v>IR Normal - Track burn out</v>
      </c>
      <c r="U3791" s="20" t="s">
        <v>41</v>
      </c>
      <c r="V3791" s="17"/>
      <c r="W3791" s="20" t="e">
        <f aca="false">VLOOKUP(V3791,Sheet2!Q:R,2,0)</f>
        <v>#N/A</v>
      </c>
      <c r="X3791" s="17" t="n">
        <f aca="false">J3791</f>
        <v>0</v>
      </c>
      <c r="Y3791" s="17" t="e">
        <f aca="false">VLOOKUP(X3791,Sheet2!A:B,2,0)</f>
        <v>#N/A</v>
      </c>
      <c r="Z3791" s="17"/>
      <c r="AA3791" s="17"/>
      <c r="AB3791" s="17" t="s">
        <v>41</v>
      </c>
      <c r="AC3791" s="0" t="str">
        <f aca="false">LEFT(G3791,2)</f>
        <v/>
      </c>
      <c r="AE3791" s="0"/>
    </row>
    <row r="3792" customFormat="false" ht="15" hidden="false" customHeight="false" outlineLevel="0" collapsed="false">
      <c r="A3792" s="13" t="n">
        <f aca="false">1+A3791</f>
        <v>3790</v>
      </c>
      <c r="B3792" s="14" t="n">
        <v>100</v>
      </c>
      <c r="C3792" s="15"/>
      <c r="D3792" s="16" t="s">
        <v>64</v>
      </c>
      <c r="E3792" s="17" t="s">
        <v>47</v>
      </c>
      <c r="F3792" s="18" t="s">
        <v>34</v>
      </c>
      <c r="G3792" s="19"/>
      <c r="H3792" s="17" t="s">
        <v>35</v>
      </c>
      <c r="I3792" s="17" t="s">
        <v>44</v>
      </c>
      <c r="J3792" s="17"/>
      <c r="K3792" s="17" t="e">
        <f aca="false">VLOOKUP(J3792,Sheet2!A:B,2,0)</f>
        <v>#N/A</v>
      </c>
      <c r="L3792" s="17" t="n">
        <v>5</v>
      </c>
      <c r="M3792" s="17" t="str">
        <f aca="false">VLOOKUP(L3792,Sheet2!D:E,2,0)</f>
        <v>Main Processor CPU BGA</v>
      </c>
      <c r="N3792" s="17" t="n">
        <v>1</v>
      </c>
      <c r="O3792" s="17" t="str">
        <f aca="false">VLOOKUP(N3792,Sheet2!G:H,2,0)</f>
        <v>Dead</v>
      </c>
      <c r="P3792" s="17" t="n">
        <v>11</v>
      </c>
      <c r="Q3792" s="17" t="str">
        <f aca="false">VLOOKUP(P3792,Sheet2!J:K,2,0)</f>
        <v>IR Declared due to CID -TA</v>
      </c>
      <c r="R3792" s="17" t="s">
        <v>35</v>
      </c>
      <c r="S3792" s="17" t="str">
        <f aca="false">VLOOKUP(R3792,Sheet2!N:O,2,0)</f>
        <v>IREPARABLE</v>
      </c>
      <c r="T3792" s="18" t="str">
        <f aca="false">VLOOKUP(P3792,Sheet2!Q:R,2,0)</f>
        <v>IR Normal - Track burn out</v>
      </c>
      <c r="U3792" s="20" t="s">
        <v>41</v>
      </c>
      <c r="V3792" s="17"/>
      <c r="W3792" s="20" t="e">
        <f aca="false">VLOOKUP(V3792,Sheet2!Q:R,2,0)</f>
        <v>#N/A</v>
      </c>
      <c r="X3792" s="17" t="n">
        <f aca="false">J3792</f>
        <v>0</v>
      </c>
      <c r="Y3792" s="17" t="e">
        <f aca="false">VLOOKUP(X3792,Sheet2!A:B,2,0)</f>
        <v>#N/A</v>
      </c>
      <c r="Z3792" s="17"/>
      <c r="AA3792" s="17"/>
      <c r="AB3792" s="17" t="s">
        <v>41</v>
      </c>
      <c r="AC3792" s="0" t="str">
        <f aca="false">LEFT(G3792,2)</f>
        <v/>
      </c>
      <c r="AE3792" s="0"/>
    </row>
    <row r="3793" customFormat="false" ht="15" hidden="false" customHeight="false" outlineLevel="0" collapsed="false">
      <c r="A3793" s="13" t="n">
        <f aca="false">1+A3792</f>
        <v>3791</v>
      </c>
      <c r="B3793" s="14" t="n">
        <v>100</v>
      </c>
      <c r="C3793" s="15"/>
      <c r="D3793" s="16" t="s">
        <v>64</v>
      </c>
      <c r="E3793" s="17" t="s">
        <v>47</v>
      </c>
      <c r="F3793" s="18" t="s">
        <v>34</v>
      </c>
      <c r="G3793" s="19"/>
      <c r="H3793" s="17" t="s">
        <v>35</v>
      </c>
      <c r="I3793" s="17" t="s">
        <v>44</v>
      </c>
      <c r="J3793" s="17"/>
      <c r="K3793" s="17" t="e">
        <f aca="false">VLOOKUP(J3793,Sheet2!A:B,2,0)</f>
        <v>#N/A</v>
      </c>
      <c r="L3793" s="17" t="n">
        <v>5</v>
      </c>
      <c r="M3793" s="17" t="str">
        <f aca="false">VLOOKUP(L3793,Sheet2!D:E,2,0)</f>
        <v>Main Processor CPU BGA</v>
      </c>
      <c r="N3793" s="17" t="n">
        <v>1</v>
      </c>
      <c r="O3793" s="17" t="str">
        <f aca="false">VLOOKUP(N3793,Sheet2!G:H,2,0)</f>
        <v>Dead</v>
      </c>
      <c r="P3793" s="17" t="n">
        <v>11</v>
      </c>
      <c r="Q3793" s="17" t="str">
        <f aca="false">VLOOKUP(P3793,Sheet2!J:K,2,0)</f>
        <v>IR Declared due to CID -TA</v>
      </c>
      <c r="R3793" s="17" t="s">
        <v>35</v>
      </c>
      <c r="S3793" s="17" t="str">
        <f aca="false">VLOOKUP(R3793,Sheet2!N:O,2,0)</f>
        <v>IREPARABLE</v>
      </c>
      <c r="T3793" s="18" t="str">
        <f aca="false">VLOOKUP(P3793,Sheet2!Q:R,2,0)</f>
        <v>IR Normal - Track burn out</v>
      </c>
      <c r="U3793" s="20" t="s">
        <v>41</v>
      </c>
      <c r="V3793" s="17"/>
      <c r="W3793" s="20" t="e">
        <f aca="false">VLOOKUP(V3793,Sheet2!Q:R,2,0)</f>
        <v>#N/A</v>
      </c>
      <c r="X3793" s="17" t="n">
        <f aca="false">J3793</f>
        <v>0</v>
      </c>
      <c r="Y3793" s="17" t="e">
        <f aca="false">VLOOKUP(X3793,Sheet2!A:B,2,0)</f>
        <v>#N/A</v>
      </c>
      <c r="Z3793" s="17"/>
      <c r="AA3793" s="17"/>
      <c r="AB3793" s="17" t="s">
        <v>41</v>
      </c>
      <c r="AC3793" s="0" t="str">
        <f aca="false">LEFT(G3793,2)</f>
        <v/>
      </c>
      <c r="AE3793" s="0"/>
    </row>
    <row r="3794" customFormat="false" ht="15" hidden="false" customHeight="false" outlineLevel="0" collapsed="false">
      <c r="A3794" s="13" t="n">
        <f aca="false">1+A3793</f>
        <v>3792</v>
      </c>
      <c r="B3794" s="14" t="n">
        <v>100</v>
      </c>
      <c r="C3794" s="15"/>
      <c r="D3794" s="16" t="s">
        <v>64</v>
      </c>
      <c r="E3794" s="17" t="s">
        <v>47</v>
      </c>
      <c r="F3794" s="18" t="s">
        <v>34</v>
      </c>
      <c r="G3794" s="19"/>
      <c r="H3794" s="17" t="s">
        <v>35</v>
      </c>
      <c r="I3794" s="17" t="s">
        <v>44</v>
      </c>
      <c r="J3794" s="17"/>
      <c r="K3794" s="17" t="e">
        <f aca="false">VLOOKUP(J3794,Sheet2!A:B,2,0)</f>
        <v>#N/A</v>
      </c>
      <c r="L3794" s="17" t="n">
        <v>5</v>
      </c>
      <c r="M3794" s="17" t="str">
        <f aca="false">VLOOKUP(L3794,Sheet2!D:E,2,0)</f>
        <v>Main Processor CPU BGA</v>
      </c>
      <c r="N3794" s="17" t="n">
        <v>1</v>
      </c>
      <c r="O3794" s="17" t="str">
        <f aca="false">VLOOKUP(N3794,Sheet2!G:H,2,0)</f>
        <v>Dead</v>
      </c>
      <c r="P3794" s="17" t="n">
        <v>11</v>
      </c>
      <c r="Q3794" s="17" t="str">
        <f aca="false">VLOOKUP(P3794,Sheet2!J:K,2,0)</f>
        <v>IR Declared due to CID -TA</v>
      </c>
      <c r="R3794" s="17" t="s">
        <v>35</v>
      </c>
      <c r="S3794" s="17" t="str">
        <f aca="false">VLOOKUP(R3794,Sheet2!N:O,2,0)</f>
        <v>IREPARABLE</v>
      </c>
      <c r="T3794" s="18" t="str">
        <f aca="false">VLOOKUP(P3794,Sheet2!Q:R,2,0)</f>
        <v>IR Normal - Track burn out</v>
      </c>
      <c r="U3794" s="20" t="s">
        <v>41</v>
      </c>
      <c r="V3794" s="17"/>
      <c r="W3794" s="20" t="e">
        <f aca="false">VLOOKUP(V3794,Sheet2!Q:R,2,0)</f>
        <v>#N/A</v>
      </c>
      <c r="X3794" s="17" t="n">
        <f aca="false">J3794</f>
        <v>0</v>
      </c>
      <c r="Y3794" s="17" t="e">
        <f aca="false">VLOOKUP(X3794,Sheet2!A:B,2,0)</f>
        <v>#N/A</v>
      </c>
      <c r="Z3794" s="17"/>
      <c r="AA3794" s="17"/>
      <c r="AB3794" s="17" t="s">
        <v>41</v>
      </c>
      <c r="AC3794" s="0" t="str">
        <f aca="false">LEFT(G3794,2)</f>
        <v/>
      </c>
      <c r="AE3794" s="0"/>
    </row>
    <row r="3795" customFormat="false" ht="15" hidden="false" customHeight="false" outlineLevel="0" collapsed="false">
      <c r="A3795" s="13" t="n">
        <f aca="false">1+A3794</f>
        <v>3793</v>
      </c>
      <c r="B3795" s="14" t="n">
        <v>100</v>
      </c>
      <c r="C3795" s="15"/>
      <c r="D3795" s="16" t="s">
        <v>64</v>
      </c>
      <c r="E3795" s="17" t="s">
        <v>47</v>
      </c>
      <c r="F3795" s="18" t="s">
        <v>34</v>
      </c>
      <c r="G3795" s="19"/>
      <c r="H3795" s="17" t="s">
        <v>35</v>
      </c>
      <c r="I3795" s="17" t="s">
        <v>44</v>
      </c>
      <c r="J3795" s="17"/>
      <c r="K3795" s="17" t="e">
        <f aca="false">VLOOKUP(J3795,Sheet2!A:B,2,0)</f>
        <v>#N/A</v>
      </c>
      <c r="L3795" s="17" t="n">
        <v>5</v>
      </c>
      <c r="M3795" s="17" t="str">
        <f aca="false">VLOOKUP(L3795,Sheet2!D:E,2,0)</f>
        <v>Main Processor CPU BGA</v>
      </c>
      <c r="N3795" s="17" t="n">
        <v>1</v>
      </c>
      <c r="O3795" s="17" t="str">
        <f aca="false">VLOOKUP(N3795,Sheet2!G:H,2,0)</f>
        <v>Dead</v>
      </c>
      <c r="P3795" s="17" t="n">
        <v>11</v>
      </c>
      <c r="Q3795" s="17" t="str">
        <f aca="false">VLOOKUP(P3795,Sheet2!J:K,2,0)</f>
        <v>IR Declared due to CID -TA</v>
      </c>
      <c r="R3795" s="17" t="s">
        <v>35</v>
      </c>
      <c r="S3795" s="17" t="str">
        <f aca="false">VLOOKUP(R3795,Sheet2!N:O,2,0)</f>
        <v>IREPARABLE</v>
      </c>
      <c r="T3795" s="18" t="str">
        <f aca="false">VLOOKUP(P3795,Sheet2!Q:R,2,0)</f>
        <v>IR Normal - Track burn out</v>
      </c>
      <c r="U3795" s="20" t="s">
        <v>41</v>
      </c>
      <c r="V3795" s="17"/>
      <c r="W3795" s="20" t="e">
        <f aca="false">VLOOKUP(V3795,Sheet2!Q:R,2,0)</f>
        <v>#N/A</v>
      </c>
      <c r="X3795" s="17" t="n">
        <f aca="false">J3795</f>
        <v>0</v>
      </c>
      <c r="Y3795" s="17" t="e">
        <f aca="false">VLOOKUP(X3795,Sheet2!A:B,2,0)</f>
        <v>#N/A</v>
      </c>
      <c r="Z3795" s="17"/>
      <c r="AA3795" s="17"/>
      <c r="AB3795" s="17" t="s">
        <v>41</v>
      </c>
      <c r="AC3795" s="0" t="str">
        <f aca="false">LEFT(G3795,2)</f>
        <v/>
      </c>
      <c r="AE3795" s="0"/>
    </row>
    <row r="3796" customFormat="false" ht="15" hidden="false" customHeight="false" outlineLevel="0" collapsed="false">
      <c r="A3796" s="13" t="n">
        <f aca="false">1+A3795</f>
        <v>3794</v>
      </c>
      <c r="B3796" s="14" t="n">
        <v>100</v>
      </c>
      <c r="C3796" s="15"/>
      <c r="D3796" s="16" t="s">
        <v>64</v>
      </c>
      <c r="E3796" s="17" t="s">
        <v>47</v>
      </c>
      <c r="F3796" s="18" t="s">
        <v>34</v>
      </c>
      <c r="G3796" s="19"/>
      <c r="H3796" s="17" t="s">
        <v>35</v>
      </c>
      <c r="I3796" s="17" t="s">
        <v>44</v>
      </c>
      <c r="J3796" s="17"/>
      <c r="K3796" s="17" t="e">
        <f aca="false">VLOOKUP(J3796,Sheet2!A:B,2,0)</f>
        <v>#N/A</v>
      </c>
      <c r="L3796" s="17" t="n">
        <v>5</v>
      </c>
      <c r="M3796" s="17" t="str">
        <f aca="false">VLOOKUP(L3796,Sheet2!D:E,2,0)</f>
        <v>Main Processor CPU BGA</v>
      </c>
      <c r="N3796" s="17" t="n">
        <v>1</v>
      </c>
      <c r="O3796" s="17" t="str">
        <f aca="false">VLOOKUP(N3796,Sheet2!G:H,2,0)</f>
        <v>Dead</v>
      </c>
      <c r="P3796" s="17" t="n">
        <v>11</v>
      </c>
      <c r="Q3796" s="17" t="str">
        <f aca="false">VLOOKUP(P3796,Sheet2!J:K,2,0)</f>
        <v>IR Declared due to CID -TA</v>
      </c>
      <c r="R3796" s="17" t="s">
        <v>35</v>
      </c>
      <c r="S3796" s="17" t="str">
        <f aca="false">VLOOKUP(R3796,Sheet2!N:O,2,0)</f>
        <v>IREPARABLE</v>
      </c>
      <c r="T3796" s="18" t="str">
        <f aca="false">VLOOKUP(P3796,Sheet2!Q:R,2,0)</f>
        <v>IR Normal - Track burn out</v>
      </c>
      <c r="U3796" s="20" t="s">
        <v>41</v>
      </c>
      <c r="V3796" s="17"/>
      <c r="W3796" s="20" t="e">
        <f aca="false">VLOOKUP(V3796,Sheet2!Q:R,2,0)</f>
        <v>#N/A</v>
      </c>
      <c r="X3796" s="17" t="n">
        <f aca="false">J3796</f>
        <v>0</v>
      </c>
      <c r="Y3796" s="17" t="e">
        <f aca="false">VLOOKUP(X3796,Sheet2!A:B,2,0)</f>
        <v>#N/A</v>
      </c>
      <c r="Z3796" s="17"/>
      <c r="AA3796" s="17"/>
      <c r="AB3796" s="17" t="s">
        <v>41</v>
      </c>
      <c r="AC3796" s="0" t="str">
        <f aca="false">LEFT(G3796,2)</f>
        <v/>
      </c>
      <c r="AE3796" s="0"/>
    </row>
    <row r="3797" customFormat="false" ht="15" hidden="false" customHeight="false" outlineLevel="0" collapsed="false">
      <c r="A3797" s="13" t="n">
        <f aca="false">1+A3796</f>
        <v>3795</v>
      </c>
      <c r="B3797" s="14" t="n">
        <v>100</v>
      </c>
      <c r="C3797" s="15"/>
      <c r="D3797" s="16" t="s">
        <v>64</v>
      </c>
      <c r="E3797" s="17" t="s">
        <v>47</v>
      </c>
      <c r="F3797" s="18" t="s">
        <v>34</v>
      </c>
      <c r="G3797" s="19"/>
      <c r="H3797" s="17" t="s">
        <v>35</v>
      </c>
      <c r="I3797" s="17" t="s">
        <v>44</v>
      </c>
      <c r="J3797" s="17"/>
      <c r="K3797" s="17" t="e">
        <f aca="false">VLOOKUP(J3797,Sheet2!A:B,2,0)</f>
        <v>#N/A</v>
      </c>
      <c r="L3797" s="17" t="n">
        <v>5</v>
      </c>
      <c r="M3797" s="17" t="str">
        <f aca="false">VLOOKUP(L3797,Sheet2!D:E,2,0)</f>
        <v>Main Processor CPU BGA</v>
      </c>
      <c r="N3797" s="17" t="n">
        <v>1</v>
      </c>
      <c r="O3797" s="17" t="str">
        <f aca="false">VLOOKUP(N3797,Sheet2!G:H,2,0)</f>
        <v>Dead</v>
      </c>
      <c r="P3797" s="17" t="n">
        <v>11</v>
      </c>
      <c r="Q3797" s="17" t="str">
        <f aca="false">VLOOKUP(P3797,Sheet2!J:K,2,0)</f>
        <v>IR Declared due to CID -TA</v>
      </c>
      <c r="R3797" s="17" t="s">
        <v>35</v>
      </c>
      <c r="S3797" s="17" t="str">
        <f aca="false">VLOOKUP(R3797,Sheet2!N:O,2,0)</f>
        <v>IREPARABLE</v>
      </c>
      <c r="T3797" s="18" t="str">
        <f aca="false">VLOOKUP(P3797,Sheet2!Q:R,2,0)</f>
        <v>IR Normal - Track burn out</v>
      </c>
      <c r="U3797" s="20" t="s">
        <v>41</v>
      </c>
      <c r="V3797" s="17"/>
      <c r="W3797" s="20" t="e">
        <f aca="false">VLOOKUP(V3797,Sheet2!Q:R,2,0)</f>
        <v>#N/A</v>
      </c>
      <c r="X3797" s="17" t="n">
        <f aca="false">J3797</f>
        <v>0</v>
      </c>
      <c r="Y3797" s="17" t="e">
        <f aca="false">VLOOKUP(X3797,Sheet2!A:B,2,0)</f>
        <v>#N/A</v>
      </c>
      <c r="Z3797" s="17"/>
      <c r="AA3797" s="17"/>
      <c r="AB3797" s="17" t="s">
        <v>41</v>
      </c>
      <c r="AC3797" s="0" t="str">
        <f aca="false">LEFT(G3797,2)</f>
        <v/>
      </c>
      <c r="AE3797" s="0"/>
    </row>
    <row r="3798" customFormat="false" ht="15" hidden="false" customHeight="false" outlineLevel="0" collapsed="false">
      <c r="A3798" s="13" t="n">
        <f aca="false">1+A3797</f>
        <v>3796</v>
      </c>
      <c r="B3798" s="14" t="n">
        <v>100</v>
      </c>
      <c r="C3798" s="15"/>
      <c r="D3798" s="16" t="s">
        <v>64</v>
      </c>
      <c r="E3798" s="17" t="s">
        <v>47</v>
      </c>
      <c r="F3798" s="18" t="s">
        <v>34</v>
      </c>
      <c r="G3798" s="19"/>
      <c r="H3798" s="17" t="s">
        <v>35</v>
      </c>
      <c r="I3798" s="17" t="s">
        <v>44</v>
      </c>
      <c r="J3798" s="17"/>
      <c r="K3798" s="17" t="e">
        <f aca="false">VLOOKUP(J3798,Sheet2!A:B,2,0)</f>
        <v>#N/A</v>
      </c>
      <c r="L3798" s="17" t="n">
        <v>5</v>
      </c>
      <c r="M3798" s="17" t="str">
        <f aca="false">VLOOKUP(L3798,Sheet2!D:E,2,0)</f>
        <v>Main Processor CPU BGA</v>
      </c>
      <c r="N3798" s="17" t="n">
        <v>1</v>
      </c>
      <c r="O3798" s="17" t="str">
        <f aca="false">VLOOKUP(N3798,Sheet2!G:H,2,0)</f>
        <v>Dead</v>
      </c>
      <c r="P3798" s="17" t="n">
        <v>11</v>
      </c>
      <c r="Q3798" s="17" t="str">
        <f aca="false">VLOOKUP(P3798,Sheet2!J:K,2,0)</f>
        <v>IR Declared due to CID -TA</v>
      </c>
      <c r="R3798" s="17" t="s">
        <v>35</v>
      </c>
      <c r="S3798" s="17" t="str">
        <f aca="false">VLOOKUP(R3798,Sheet2!N:O,2,0)</f>
        <v>IREPARABLE</v>
      </c>
      <c r="T3798" s="18" t="str">
        <f aca="false">VLOOKUP(P3798,Sheet2!Q:R,2,0)</f>
        <v>IR Normal - Track burn out</v>
      </c>
      <c r="U3798" s="20" t="s">
        <v>41</v>
      </c>
      <c r="V3798" s="17"/>
      <c r="W3798" s="20" t="e">
        <f aca="false">VLOOKUP(V3798,Sheet2!Q:R,2,0)</f>
        <v>#N/A</v>
      </c>
      <c r="X3798" s="17" t="n">
        <f aca="false">J3798</f>
        <v>0</v>
      </c>
      <c r="Y3798" s="17" t="e">
        <f aca="false">VLOOKUP(X3798,Sheet2!A:B,2,0)</f>
        <v>#N/A</v>
      </c>
      <c r="Z3798" s="17"/>
      <c r="AA3798" s="17"/>
      <c r="AB3798" s="17" t="s">
        <v>41</v>
      </c>
      <c r="AC3798" s="0" t="str">
        <f aca="false">LEFT(G3798,2)</f>
        <v/>
      </c>
      <c r="AE3798" s="0"/>
    </row>
    <row r="3799" customFormat="false" ht="15" hidden="false" customHeight="false" outlineLevel="0" collapsed="false">
      <c r="A3799" s="13" t="n">
        <f aca="false">1+A3798</f>
        <v>3797</v>
      </c>
      <c r="B3799" s="14" t="n">
        <v>100</v>
      </c>
      <c r="C3799" s="15"/>
      <c r="D3799" s="16" t="s">
        <v>64</v>
      </c>
      <c r="E3799" s="17" t="s">
        <v>47</v>
      </c>
      <c r="F3799" s="18" t="s">
        <v>34</v>
      </c>
      <c r="G3799" s="19"/>
      <c r="H3799" s="17" t="s">
        <v>35</v>
      </c>
      <c r="I3799" s="17" t="s">
        <v>44</v>
      </c>
      <c r="J3799" s="17"/>
      <c r="K3799" s="17" t="e">
        <f aca="false">VLOOKUP(J3799,Sheet2!A:B,2,0)</f>
        <v>#N/A</v>
      </c>
      <c r="L3799" s="17" t="n">
        <v>5</v>
      </c>
      <c r="M3799" s="17" t="str">
        <f aca="false">VLOOKUP(L3799,Sheet2!D:E,2,0)</f>
        <v>Main Processor CPU BGA</v>
      </c>
      <c r="N3799" s="17" t="n">
        <v>1</v>
      </c>
      <c r="O3799" s="17" t="str">
        <f aca="false">VLOOKUP(N3799,Sheet2!G:H,2,0)</f>
        <v>Dead</v>
      </c>
      <c r="P3799" s="17" t="n">
        <v>11</v>
      </c>
      <c r="Q3799" s="17" t="str">
        <f aca="false">VLOOKUP(P3799,Sheet2!J:K,2,0)</f>
        <v>IR Declared due to CID -TA</v>
      </c>
      <c r="R3799" s="17" t="s">
        <v>35</v>
      </c>
      <c r="S3799" s="17" t="str">
        <f aca="false">VLOOKUP(R3799,Sheet2!N:O,2,0)</f>
        <v>IREPARABLE</v>
      </c>
      <c r="T3799" s="18" t="str">
        <f aca="false">VLOOKUP(P3799,Sheet2!Q:R,2,0)</f>
        <v>IR Normal - Track burn out</v>
      </c>
      <c r="U3799" s="20" t="s">
        <v>41</v>
      </c>
      <c r="V3799" s="17"/>
      <c r="W3799" s="20" t="e">
        <f aca="false">VLOOKUP(V3799,Sheet2!Q:R,2,0)</f>
        <v>#N/A</v>
      </c>
      <c r="X3799" s="17" t="n">
        <f aca="false">J3799</f>
        <v>0</v>
      </c>
      <c r="Y3799" s="17" t="e">
        <f aca="false">VLOOKUP(X3799,Sheet2!A:B,2,0)</f>
        <v>#N/A</v>
      </c>
      <c r="Z3799" s="17"/>
      <c r="AA3799" s="17"/>
      <c r="AB3799" s="17" t="s">
        <v>41</v>
      </c>
      <c r="AC3799" s="0" t="str">
        <f aca="false">LEFT(G3799,2)</f>
        <v/>
      </c>
      <c r="AE3799" s="0"/>
    </row>
    <row r="3800" customFormat="false" ht="15" hidden="false" customHeight="false" outlineLevel="0" collapsed="false">
      <c r="A3800" s="13" t="n">
        <f aca="false">1+A3799</f>
        <v>3798</v>
      </c>
      <c r="B3800" s="14" t="n">
        <v>100</v>
      </c>
      <c r="C3800" s="15"/>
      <c r="D3800" s="16" t="s">
        <v>64</v>
      </c>
      <c r="E3800" s="17" t="s">
        <v>47</v>
      </c>
      <c r="F3800" s="18" t="s">
        <v>34</v>
      </c>
      <c r="G3800" s="19"/>
      <c r="H3800" s="17" t="s">
        <v>35</v>
      </c>
      <c r="I3800" s="17" t="s">
        <v>44</v>
      </c>
      <c r="J3800" s="17"/>
      <c r="K3800" s="17" t="e">
        <f aca="false">VLOOKUP(J3800,Sheet2!A:B,2,0)</f>
        <v>#N/A</v>
      </c>
      <c r="L3800" s="17" t="n">
        <v>5</v>
      </c>
      <c r="M3800" s="17" t="str">
        <f aca="false">VLOOKUP(L3800,Sheet2!D:E,2,0)</f>
        <v>Main Processor CPU BGA</v>
      </c>
      <c r="N3800" s="17" t="n">
        <v>1</v>
      </c>
      <c r="O3800" s="17" t="str">
        <f aca="false">VLOOKUP(N3800,Sheet2!G:H,2,0)</f>
        <v>Dead</v>
      </c>
      <c r="P3800" s="17" t="n">
        <v>11</v>
      </c>
      <c r="Q3800" s="17" t="str">
        <f aca="false">VLOOKUP(P3800,Sheet2!J:K,2,0)</f>
        <v>IR Declared due to CID -TA</v>
      </c>
      <c r="R3800" s="17" t="s">
        <v>35</v>
      </c>
      <c r="S3800" s="17" t="str">
        <f aca="false">VLOOKUP(R3800,Sheet2!N:O,2,0)</f>
        <v>IREPARABLE</v>
      </c>
      <c r="T3800" s="18" t="str">
        <f aca="false">VLOOKUP(P3800,Sheet2!Q:R,2,0)</f>
        <v>IR Normal - Track burn out</v>
      </c>
      <c r="U3800" s="20" t="s">
        <v>41</v>
      </c>
      <c r="V3800" s="17"/>
      <c r="W3800" s="20" t="e">
        <f aca="false">VLOOKUP(V3800,Sheet2!Q:R,2,0)</f>
        <v>#N/A</v>
      </c>
      <c r="X3800" s="17" t="n">
        <f aca="false">J3800</f>
        <v>0</v>
      </c>
      <c r="Y3800" s="17" t="e">
        <f aca="false">VLOOKUP(X3800,Sheet2!A:B,2,0)</f>
        <v>#N/A</v>
      </c>
      <c r="Z3800" s="17"/>
      <c r="AA3800" s="17"/>
      <c r="AB3800" s="17" t="s">
        <v>41</v>
      </c>
      <c r="AC3800" s="0" t="str">
        <f aca="false">LEFT(G3800,2)</f>
        <v/>
      </c>
      <c r="AE3800" s="0"/>
    </row>
    <row r="3801" customFormat="false" ht="15" hidden="false" customHeight="false" outlineLevel="0" collapsed="false">
      <c r="A3801" s="13" t="n">
        <f aca="false">1+A3800</f>
        <v>3799</v>
      </c>
      <c r="B3801" s="14" t="n">
        <v>100</v>
      </c>
      <c r="C3801" s="15"/>
      <c r="D3801" s="16" t="s">
        <v>64</v>
      </c>
      <c r="E3801" s="17" t="s">
        <v>47</v>
      </c>
      <c r="F3801" s="18" t="s">
        <v>34</v>
      </c>
      <c r="G3801" s="19"/>
      <c r="H3801" s="17" t="s">
        <v>35</v>
      </c>
      <c r="I3801" s="17" t="s">
        <v>44</v>
      </c>
      <c r="J3801" s="17"/>
      <c r="K3801" s="17" t="e">
        <f aca="false">VLOOKUP(J3801,Sheet2!A:B,2,0)</f>
        <v>#N/A</v>
      </c>
      <c r="L3801" s="17" t="n">
        <v>5</v>
      </c>
      <c r="M3801" s="17" t="str">
        <f aca="false">VLOOKUP(L3801,Sheet2!D:E,2,0)</f>
        <v>Main Processor CPU BGA</v>
      </c>
      <c r="N3801" s="17" t="n">
        <v>1</v>
      </c>
      <c r="O3801" s="17" t="str">
        <f aca="false">VLOOKUP(N3801,Sheet2!G:H,2,0)</f>
        <v>Dead</v>
      </c>
      <c r="P3801" s="17" t="n">
        <v>11</v>
      </c>
      <c r="Q3801" s="17" t="str">
        <f aca="false">VLOOKUP(P3801,Sheet2!J:K,2,0)</f>
        <v>IR Declared due to CID -TA</v>
      </c>
      <c r="R3801" s="17" t="s">
        <v>35</v>
      </c>
      <c r="S3801" s="17" t="str">
        <f aca="false">VLOOKUP(R3801,Sheet2!N:O,2,0)</f>
        <v>IREPARABLE</v>
      </c>
      <c r="T3801" s="18" t="str">
        <f aca="false">VLOOKUP(P3801,Sheet2!Q:R,2,0)</f>
        <v>IR Normal - Track burn out</v>
      </c>
      <c r="U3801" s="20" t="s">
        <v>41</v>
      </c>
      <c r="V3801" s="17"/>
      <c r="W3801" s="20" t="e">
        <f aca="false">VLOOKUP(V3801,Sheet2!Q:R,2,0)</f>
        <v>#N/A</v>
      </c>
      <c r="X3801" s="17" t="n">
        <f aca="false">J3801</f>
        <v>0</v>
      </c>
      <c r="Y3801" s="17" t="e">
        <f aca="false">VLOOKUP(X3801,Sheet2!A:B,2,0)</f>
        <v>#N/A</v>
      </c>
      <c r="Z3801" s="17"/>
      <c r="AA3801" s="17"/>
      <c r="AB3801" s="17" t="s">
        <v>41</v>
      </c>
      <c r="AC3801" s="0" t="str">
        <f aca="false">LEFT(G3801,2)</f>
        <v/>
      </c>
      <c r="AE3801" s="0"/>
    </row>
    <row r="3802" customFormat="false" ht="15" hidden="false" customHeight="false" outlineLevel="0" collapsed="false">
      <c r="A3802" s="13" t="n">
        <f aca="false">1+A3801</f>
        <v>3800</v>
      </c>
      <c r="B3802" s="14" t="n">
        <v>100</v>
      </c>
      <c r="C3802" s="15"/>
      <c r="D3802" s="16" t="s">
        <v>64</v>
      </c>
      <c r="E3802" s="17" t="s">
        <v>47</v>
      </c>
      <c r="F3802" s="18" t="s">
        <v>34</v>
      </c>
      <c r="G3802" s="19"/>
      <c r="H3802" s="17" t="s">
        <v>35</v>
      </c>
      <c r="I3802" s="17" t="s">
        <v>44</v>
      </c>
      <c r="J3802" s="17"/>
      <c r="K3802" s="17" t="e">
        <f aca="false">VLOOKUP(J3802,Sheet2!A:B,2,0)</f>
        <v>#N/A</v>
      </c>
      <c r="L3802" s="17" t="n">
        <v>5</v>
      </c>
      <c r="M3802" s="17" t="str">
        <f aca="false">VLOOKUP(L3802,Sheet2!D:E,2,0)</f>
        <v>Main Processor CPU BGA</v>
      </c>
      <c r="N3802" s="17" t="n">
        <v>1</v>
      </c>
      <c r="O3802" s="17" t="str">
        <f aca="false">VLOOKUP(N3802,Sheet2!G:H,2,0)</f>
        <v>Dead</v>
      </c>
      <c r="P3802" s="17" t="n">
        <v>11</v>
      </c>
      <c r="Q3802" s="17" t="str">
        <f aca="false">VLOOKUP(P3802,Sheet2!J:K,2,0)</f>
        <v>IR Declared due to CID -TA</v>
      </c>
      <c r="R3802" s="17" t="s">
        <v>35</v>
      </c>
      <c r="S3802" s="17" t="str">
        <f aca="false">VLOOKUP(R3802,Sheet2!N:O,2,0)</f>
        <v>IREPARABLE</v>
      </c>
      <c r="T3802" s="18" t="str">
        <f aca="false">VLOOKUP(P3802,Sheet2!Q:R,2,0)</f>
        <v>IR Normal - Track burn out</v>
      </c>
      <c r="U3802" s="20" t="s">
        <v>41</v>
      </c>
      <c r="V3802" s="17"/>
      <c r="W3802" s="20" t="e">
        <f aca="false">VLOOKUP(V3802,Sheet2!Q:R,2,0)</f>
        <v>#N/A</v>
      </c>
      <c r="X3802" s="17" t="n">
        <f aca="false">J3802</f>
        <v>0</v>
      </c>
      <c r="Y3802" s="17" t="e">
        <f aca="false">VLOOKUP(X3802,Sheet2!A:B,2,0)</f>
        <v>#N/A</v>
      </c>
      <c r="Z3802" s="17"/>
      <c r="AA3802" s="17"/>
      <c r="AB3802" s="17" t="s">
        <v>41</v>
      </c>
      <c r="AC3802" s="0" t="str">
        <f aca="false">LEFT(G3802,2)</f>
        <v/>
      </c>
      <c r="AE3802" s="0"/>
    </row>
    <row r="3803" customFormat="false" ht="15" hidden="false" customHeight="false" outlineLevel="0" collapsed="false">
      <c r="A3803" s="13" t="n">
        <f aca="false">1+A3802</f>
        <v>3801</v>
      </c>
      <c r="B3803" s="14" t="n">
        <v>100</v>
      </c>
      <c r="C3803" s="15"/>
      <c r="D3803" s="16" t="s">
        <v>64</v>
      </c>
      <c r="E3803" s="17" t="s">
        <v>47</v>
      </c>
      <c r="F3803" s="18" t="s">
        <v>34</v>
      </c>
      <c r="G3803" s="19"/>
      <c r="H3803" s="17" t="s">
        <v>35</v>
      </c>
      <c r="I3803" s="17" t="s">
        <v>44</v>
      </c>
      <c r="J3803" s="17"/>
      <c r="K3803" s="17" t="e">
        <f aca="false">VLOOKUP(J3803,Sheet2!A:B,2,0)</f>
        <v>#N/A</v>
      </c>
      <c r="L3803" s="17" t="n">
        <v>5</v>
      </c>
      <c r="M3803" s="17" t="str">
        <f aca="false">VLOOKUP(L3803,Sheet2!D:E,2,0)</f>
        <v>Main Processor CPU BGA</v>
      </c>
      <c r="N3803" s="17" t="n">
        <v>1</v>
      </c>
      <c r="O3803" s="17" t="str">
        <f aca="false">VLOOKUP(N3803,Sheet2!G:H,2,0)</f>
        <v>Dead</v>
      </c>
      <c r="P3803" s="17" t="n">
        <v>11</v>
      </c>
      <c r="Q3803" s="17" t="str">
        <f aca="false">VLOOKUP(P3803,Sheet2!J:K,2,0)</f>
        <v>IR Declared due to CID -TA</v>
      </c>
      <c r="R3803" s="17" t="s">
        <v>35</v>
      </c>
      <c r="S3803" s="17" t="str">
        <f aca="false">VLOOKUP(R3803,Sheet2!N:O,2,0)</f>
        <v>IREPARABLE</v>
      </c>
      <c r="T3803" s="18" t="str">
        <f aca="false">VLOOKUP(P3803,Sheet2!Q:R,2,0)</f>
        <v>IR Normal - Track burn out</v>
      </c>
      <c r="U3803" s="20" t="s">
        <v>41</v>
      </c>
      <c r="V3803" s="17"/>
      <c r="W3803" s="20" t="e">
        <f aca="false">VLOOKUP(V3803,Sheet2!Q:R,2,0)</f>
        <v>#N/A</v>
      </c>
      <c r="X3803" s="17" t="n">
        <f aca="false">J3803</f>
        <v>0</v>
      </c>
      <c r="Y3803" s="17" t="e">
        <f aca="false">VLOOKUP(X3803,Sheet2!A:B,2,0)</f>
        <v>#N/A</v>
      </c>
      <c r="Z3803" s="17"/>
      <c r="AA3803" s="17"/>
      <c r="AB3803" s="17" t="s">
        <v>41</v>
      </c>
      <c r="AC3803" s="0" t="str">
        <f aca="false">LEFT(G3803,2)</f>
        <v/>
      </c>
      <c r="AE3803" s="0"/>
    </row>
    <row r="3804" customFormat="false" ht="15" hidden="false" customHeight="false" outlineLevel="0" collapsed="false">
      <c r="A3804" s="13" t="n">
        <f aca="false">1+A3803</f>
        <v>3802</v>
      </c>
      <c r="B3804" s="14" t="n">
        <v>100</v>
      </c>
      <c r="C3804" s="15"/>
      <c r="D3804" s="16" t="s">
        <v>64</v>
      </c>
      <c r="E3804" s="17" t="s">
        <v>47</v>
      </c>
      <c r="F3804" s="18" t="s">
        <v>34</v>
      </c>
      <c r="G3804" s="19"/>
      <c r="H3804" s="17" t="s">
        <v>35</v>
      </c>
      <c r="I3804" s="17" t="s">
        <v>44</v>
      </c>
      <c r="J3804" s="17"/>
      <c r="K3804" s="17" t="e">
        <f aca="false">VLOOKUP(J3804,Sheet2!A:B,2,0)</f>
        <v>#N/A</v>
      </c>
      <c r="L3804" s="17" t="n">
        <v>5</v>
      </c>
      <c r="M3804" s="17" t="str">
        <f aca="false">VLOOKUP(L3804,Sheet2!D:E,2,0)</f>
        <v>Main Processor CPU BGA</v>
      </c>
      <c r="N3804" s="17" t="n">
        <v>1</v>
      </c>
      <c r="O3804" s="17" t="str">
        <f aca="false">VLOOKUP(N3804,Sheet2!G:H,2,0)</f>
        <v>Dead</v>
      </c>
      <c r="P3804" s="17" t="n">
        <v>11</v>
      </c>
      <c r="Q3804" s="17" t="str">
        <f aca="false">VLOOKUP(P3804,Sheet2!J:K,2,0)</f>
        <v>IR Declared due to CID -TA</v>
      </c>
      <c r="R3804" s="17" t="s">
        <v>35</v>
      </c>
      <c r="S3804" s="17" t="str">
        <f aca="false">VLOOKUP(R3804,Sheet2!N:O,2,0)</f>
        <v>IREPARABLE</v>
      </c>
      <c r="T3804" s="18" t="str">
        <f aca="false">VLOOKUP(P3804,Sheet2!Q:R,2,0)</f>
        <v>IR Normal - Track burn out</v>
      </c>
      <c r="U3804" s="20" t="s">
        <v>41</v>
      </c>
      <c r="V3804" s="17"/>
      <c r="W3804" s="20" t="e">
        <f aca="false">VLOOKUP(V3804,Sheet2!Q:R,2,0)</f>
        <v>#N/A</v>
      </c>
      <c r="X3804" s="17" t="n">
        <f aca="false">J3804</f>
        <v>0</v>
      </c>
      <c r="Y3804" s="17" t="e">
        <f aca="false">VLOOKUP(X3804,Sheet2!A:B,2,0)</f>
        <v>#N/A</v>
      </c>
      <c r="Z3804" s="17"/>
      <c r="AA3804" s="17"/>
      <c r="AB3804" s="17" t="s">
        <v>41</v>
      </c>
      <c r="AC3804" s="0" t="str">
        <f aca="false">LEFT(G3804,2)</f>
        <v/>
      </c>
      <c r="AE3804" s="0"/>
    </row>
    <row r="3805" customFormat="false" ht="15" hidden="false" customHeight="false" outlineLevel="0" collapsed="false">
      <c r="A3805" s="13" t="n">
        <f aca="false">1+A3804</f>
        <v>3803</v>
      </c>
      <c r="B3805" s="14" t="n">
        <v>100</v>
      </c>
      <c r="C3805" s="15"/>
      <c r="D3805" s="16" t="s">
        <v>64</v>
      </c>
      <c r="E3805" s="17" t="s">
        <v>47</v>
      </c>
      <c r="F3805" s="18" t="s">
        <v>34</v>
      </c>
      <c r="G3805" s="19"/>
      <c r="H3805" s="17" t="s">
        <v>35</v>
      </c>
      <c r="I3805" s="17" t="s">
        <v>44</v>
      </c>
      <c r="J3805" s="17"/>
      <c r="K3805" s="17" t="e">
        <f aca="false">VLOOKUP(J3805,Sheet2!A:B,2,0)</f>
        <v>#N/A</v>
      </c>
      <c r="L3805" s="17" t="n">
        <v>5</v>
      </c>
      <c r="M3805" s="17" t="str">
        <f aca="false">VLOOKUP(L3805,Sheet2!D:E,2,0)</f>
        <v>Main Processor CPU BGA</v>
      </c>
      <c r="N3805" s="17" t="n">
        <v>1</v>
      </c>
      <c r="O3805" s="17" t="str">
        <f aca="false">VLOOKUP(N3805,Sheet2!G:H,2,0)</f>
        <v>Dead</v>
      </c>
      <c r="P3805" s="17" t="n">
        <v>11</v>
      </c>
      <c r="Q3805" s="17" t="str">
        <f aca="false">VLOOKUP(P3805,Sheet2!J:K,2,0)</f>
        <v>IR Declared due to CID -TA</v>
      </c>
      <c r="R3805" s="17" t="s">
        <v>35</v>
      </c>
      <c r="S3805" s="17" t="str">
        <f aca="false">VLOOKUP(R3805,Sheet2!N:O,2,0)</f>
        <v>IREPARABLE</v>
      </c>
      <c r="T3805" s="18" t="str">
        <f aca="false">VLOOKUP(P3805,Sheet2!Q:R,2,0)</f>
        <v>IR Normal - Track burn out</v>
      </c>
      <c r="U3805" s="20" t="s">
        <v>41</v>
      </c>
      <c r="V3805" s="17"/>
      <c r="W3805" s="20" t="e">
        <f aca="false">VLOOKUP(V3805,Sheet2!Q:R,2,0)</f>
        <v>#N/A</v>
      </c>
      <c r="X3805" s="17" t="n">
        <f aca="false">J3805</f>
        <v>0</v>
      </c>
      <c r="Y3805" s="17" t="e">
        <f aca="false">VLOOKUP(X3805,Sheet2!A:B,2,0)</f>
        <v>#N/A</v>
      </c>
      <c r="Z3805" s="17"/>
      <c r="AA3805" s="17"/>
      <c r="AB3805" s="17" t="s">
        <v>41</v>
      </c>
      <c r="AC3805" s="0" t="str">
        <f aca="false">LEFT(G3805,2)</f>
        <v/>
      </c>
      <c r="AE3805" s="0"/>
    </row>
    <row r="3806" customFormat="false" ht="15" hidden="false" customHeight="false" outlineLevel="0" collapsed="false">
      <c r="A3806" s="13" t="n">
        <f aca="false">1+A3805</f>
        <v>3804</v>
      </c>
      <c r="B3806" s="14" t="n">
        <v>100</v>
      </c>
      <c r="C3806" s="15"/>
      <c r="D3806" s="16" t="s">
        <v>64</v>
      </c>
      <c r="E3806" s="17" t="s">
        <v>47</v>
      </c>
      <c r="F3806" s="18" t="s">
        <v>34</v>
      </c>
      <c r="G3806" s="19"/>
      <c r="H3806" s="17" t="s">
        <v>35</v>
      </c>
      <c r="I3806" s="17" t="s">
        <v>44</v>
      </c>
      <c r="J3806" s="17"/>
      <c r="K3806" s="17" t="e">
        <f aca="false">VLOOKUP(J3806,Sheet2!A:B,2,0)</f>
        <v>#N/A</v>
      </c>
      <c r="L3806" s="17" t="n">
        <v>5</v>
      </c>
      <c r="M3806" s="17" t="str">
        <f aca="false">VLOOKUP(L3806,Sheet2!D:E,2,0)</f>
        <v>Main Processor CPU BGA</v>
      </c>
      <c r="N3806" s="17" t="n">
        <v>1</v>
      </c>
      <c r="O3806" s="17" t="str">
        <f aca="false">VLOOKUP(N3806,Sheet2!G:H,2,0)</f>
        <v>Dead</v>
      </c>
      <c r="P3806" s="17" t="n">
        <v>11</v>
      </c>
      <c r="Q3806" s="17" t="str">
        <f aca="false">VLOOKUP(P3806,Sheet2!J:K,2,0)</f>
        <v>IR Declared due to CID -TA</v>
      </c>
      <c r="R3806" s="17" t="s">
        <v>35</v>
      </c>
      <c r="S3806" s="17" t="str">
        <f aca="false">VLOOKUP(R3806,Sheet2!N:O,2,0)</f>
        <v>IREPARABLE</v>
      </c>
      <c r="T3806" s="18" t="str">
        <f aca="false">VLOOKUP(P3806,Sheet2!Q:R,2,0)</f>
        <v>IR Normal - Track burn out</v>
      </c>
      <c r="U3806" s="20" t="s">
        <v>41</v>
      </c>
      <c r="V3806" s="17"/>
      <c r="W3806" s="20" t="e">
        <f aca="false">VLOOKUP(V3806,Sheet2!Q:R,2,0)</f>
        <v>#N/A</v>
      </c>
      <c r="X3806" s="17" t="n">
        <f aca="false">J3806</f>
        <v>0</v>
      </c>
      <c r="Y3806" s="17" t="e">
        <f aca="false">VLOOKUP(X3806,Sheet2!A:B,2,0)</f>
        <v>#N/A</v>
      </c>
      <c r="Z3806" s="17"/>
      <c r="AA3806" s="17"/>
      <c r="AB3806" s="17" t="s">
        <v>41</v>
      </c>
      <c r="AC3806" s="0" t="str">
        <f aca="false">LEFT(G3806,2)</f>
        <v/>
      </c>
      <c r="AE3806" s="0"/>
    </row>
    <row r="3807" customFormat="false" ht="15" hidden="false" customHeight="false" outlineLevel="0" collapsed="false">
      <c r="A3807" s="13" t="n">
        <f aca="false">1+A3806</f>
        <v>3805</v>
      </c>
      <c r="B3807" s="14" t="n">
        <v>100</v>
      </c>
      <c r="C3807" s="15"/>
      <c r="D3807" s="16" t="s">
        <v>64</v>
      </c>
      <c r="E3807" s="17" t="s">
        <v>47</v>
      </c>
      <c r="F3807" s="18" t="s">
        <v>34</v>
      </c>
      <c r="G3807" s="19"/>
      <c r="H3807" s="17" t="s">
        <v>35</v>
      </c>
      <c r="I3807" s="17" t="s">
        <v>44</v>
      </c>
      <c r="J3807" s="17"/>
      <c r="K3807" s="17" t="e">
        <f aca="false">VLOOKUP(J3807,Sheet2!A:B,2,0)</f>
        <v>#N/A</v>
      </c>
      <c r="L3807" s="17" t="n">
        <v>5</v>
      </c>
      <c r="M3807" s="17" t="str">
        <f aca="false">VLOOKUP(L3807,Sheet2!D:E,2,0)</f>
        <v>Main Processor CPU BGA</v>
      </c>
      <c r="N3807" s="17" t="n">
        <v>1</v>
      </c>
      <c r="O3807" s="17" t="str">
        <f aca="false">VLOOKUP(N3807,Sheet2!G:H,2,0)</f>
        <v>Dead</v>
      </c>
      <c r="P3807" s="17" t="n">
        <v>11</v>
      </c>
      <c r="Q3807" s="17" t="str">
        <f aca="false">VLOOKUP(P3807,Sheet2!J:K,2,0)</f>
        <v>IR Declared due to CID -TA</v>
      </c>
      <c r="R3807" s="17" t="s">
        <v>35</v>
      </c>
      <c r="S3807" s="17" t="str">
        <f aca="false">VLOOKUP(R3807,Sheet2!N:O,2,0)</f>
        <v>IREPARABLE</v>
      </c>
      <c r="T3807" s="18" t="str">
        <f aca="false">VLOOKUP(P3807,Sheet2!Q:R,2,0)</f>
        <v>IR Normal - Track burn out</v>
      </c>
      <c r="U3807" s="20" t="s">
        <v>41</v>
      </c>
      <c r="V3807" s="17"/>
      <c r="W3807" s="20" t="e">
        <f aca="false">VLOOKUP(V3807,Sheet2!Q:R,2,0)</f>
        <v>#N/A</v>
      </c>
      <c r="X3807" s="17" t="n">
        <f aca="false">J3807</f>
        <v>0</v>
      </c>
      <c r="Y3807" s="17" t="e">
        <f aca="false">VLOOKUP(X3807,Sheet2!A:B,2,0)</f>
        <v>#N/A</v>
      </c>
      <c r="Z3807" s="17"/>
      <c r="AA3807" s="17"/>
      <c r="AB3807" s="17" t="s">
        <v>41</v>
      </c>
      <c r="AC3807" s="0" t="str">
        <f aca="false">LEFT(G3807,2)</f>
        <v/>
      </c>
      <c r="AE3807" s="0"/>
    </row>
    <row r="3808" customFormat="false" ht="15" hidden="false" customHeight="false" outlineLevel="0" collapsed="false">
      <c r="A3808" s="13" t="n">
        <f aca="false">1+A3807</f>
        <v>3806</v>
      </c>
      <c r="B3808" s="14" t="n">
        <v>100</v>
      </c>
      <c r="C3808" s="15"/>
      <c r="D3808" s="16" t="s">
        <v>64</v>
      </c>
      <c r="E3808" s="17" t="s">
        <v>47</v>
      </c>
      <c r="F3808" s="18" t="s">
        <v>34</v>
      </c>
      <c r="G3808" s="19"/>
      <c r="H3808" s="17" t="s">
        <v>35</v>
      </c>
      <c r="I3808" s="17" t="s">
        <v>44</v>
      </c>
      <c r="J3808" s="17"/>
      <c r="K3808" s="17" t="e">
        <f aca="false">VLOOKUP(J3808,Sheet2!A:B,2,0)</f>
        <v>#N/A</v>
      </c>
      <c r="L3808" s="17" t="n">
        <v>5</v>
      </c>
      <c r="M3808" s="17" t="str">
        <f aca="false">VLOOKUP(L3808,Sheet2!D:E,2,0)</f>
        <v>Main Processor CPU BGA</v>
      </c>
      <c r="N3808" s="17" t="n">
        <v>1</v>
      </c>
      <c r="O3808" s="17" t="str">
        <f aca="false">VLOOKUP(N3808,Sheet2!G:H,2,0)</f>
        <v>Dead</v>
      </c>
      <c r="P3808" s="17" t="n">
        <v>11</v>
      </c>
      <c r="Q3808" s="17" t="str">
        <f aca="false">VLOOKUP(P3808,Sheet2!J:K,2,0)</f>
        <v>IR Declared due to CID -TA</v>
      </c>
      <c r="R3808" s="17" t="s">
        <v>35</v>
      </c>
      <c r="S3808" s="17" t="str">
        <f aca="false">VLOOKUP(R3808,Sheet2!N:O,2,0)</f>
        <v>IREPARABLE</v>
      </c>
      <c r="T3808" s="18" t="str">
        <f aca="false">VLOOKUP(P3808,Sheet2!Q:R,2,0)</f>
        <v>IR Normal - Track burn out</v>
      </c>
      <c r="U3808" s="20" t="s">
        <v>41</v>
      </c>
      <c r="V3808" s="17"/>
      <c r="W3808" s="20" t="e">
        <f aca="false">VLOOKUP(V3808,Sheet2!Q:R,2,0)</f>
        <v>#N/A</v>
      </c>
      <c r="X3808" s="17" t="n">
        <f aca="false">J3808</f>
        <v>0</v>
      </c>
      <c r="Y3808" s="17" t="e">
        <f aca="false">VLOOKUP(X3808,Sheet2!A:B,2,0)</f>
        <v>#N/A</v>
      </c>
      <c r="Z3808" s="17"/>
      <c r="AA3808" s="17"/>
      <c r="AB3808" s="17" t="s">
        <v>41</v>
      </c>
      <c r="AC3808" s="0" t="str">
        <f aca="false">LEFT(G3808,2)</f>
        <v/>
      </c>
      <c r="AE3808" s="0"/>
    </row>
    <row r="3809" customFormat="false" ht="15" hidden="false" customHeight="false" outlineLevel="0" collapsed="false">
      <c r="A3809" s="13" t="n">
        <f aca="false">1+A3808</f>
        <v>3807</v>
      </c>
      <c r="B3809" s="14" t="n">
        <v>100</v>
      </c>
      <c r="C3809" s="15"/>
      <c r="D3809" s="16" t="s">
        <v>64</v>
      </c>
      <c r="E3809" s="17" t="s">
        <v>47</v>
      </c>
      <c r="F3809" s="18" t="s">
        <v>34</v>
      </c>
      <c r="G3809" s="19"/>
      <c r="H3809" s="17" t="s">
        <v>35</v>
      </c>
      <c r="I3809" s="17" t="s">
        <v>44</v>
      </c>
      <c r="J3809" s="17"/>
      <c r="K3809" s="17" t="e">
        <f aca="false">VLOOKUP(J3809,Sheet2!A:B,2,0)</f>
        <v>#N/A</v>
      </c>
      <c r="L3809" s="17" t="n">
        <v>5</v>
      </c>
      <c r="M3809" s="17" t="str">
        <f aca="false">VLOOKUP(L3809,Sheet2!D:E,2,0)</f>
        <v>Main Processor CPU BGA</v>
      </c>
      <c r="N3809" s="17" t="n">
        <v>1</v>
      </c>
      <c r="O3809" s="17" t="str">
        <f aca="false">VLOOKUP(N3809,Sheet2!G:H,2,0)</f>
        <v>Dead</v>
      </c>
      <c r="P3809" s="17" t="n">
        <v>11</v>
      </c>
      <c r="Q3809" s="17" t="str">
        <f aca="false">VLOOKUP(P3809,Sheet2!J:K,2,0)</f>
        <v>IR Declared due to CID -TA</v>
      </c>
      <c r="R3809" s="17" t="s">
        <v>35</v>
      </c>
      <c r="S3809" s="17" t="str">
        <f aca="false">VLOOKUP(R3809,Sheet2!N:O,2,0)</f>
        <v>IREPARABLE</v>
      </c>
      <c r="T3809" s="18" t="str">
        <f aca="false">VLOOKUP(P3809,Sheet2!Q:R,2,0)</f>
        <v>IR Normal - Track burn out</v>
      </c>
      <c r="U3809" s="20" t="s">
        <v>41</v>
      </c>
      <c r="V3809" s="17"/>
      <c r="W3809" s="20" t="e">
        <f aca="false">VLOOKUP(V3809,Sheet2!Q:R,2,0)</f>
        <v>#N/A</v>
      </c>
      <c r="X3809" s="17" t="n">
        <f aca="false">J3809</f>
        <v>0</v>
      </c>
      <c r="Y3809" s="17" t="e">
        <f aca="false">VLOOKUP(X3809,Sheet2!A:B,2,0)</f>
        <v>#N/A</v>
      </c>
      <c r="Z3809" s="17"/>
      <c r="AA3809" s="17"/>
      <c r="AB3809" s="17" t="s">
        <v>41</v>
      </c>
      <c r="AC3809" s="0" t="str">
        <f aca="false">LEFT(G3809,2)</f>
        <v/>
      </c>
      <c r="AE3809" s="0"/>
    </row>
    <row r="3810" customFormat="false" ht="15" hidden="false" customHeight="false" outlineLevel="0" collapsed="false">
      <c r="A3810" s="13" t="n">
        <f aca="false">1+A3809</f>
        <v>3808</v>
      </c>
      <c r="B3810" s="14" t="n">
        <v>100</v>
      </c>
      <c r="C3810" s="15"/>
      <c r="D3810" s="16" t="s">
        <v>64</v>
      </c>
      <c r="E3810" s="17" t="s">
        <v>47</v>
      </c>
      <c r="F3810" s="18" t="s">
        <v>34</v>
      </c>
      <c r="G3810" s="19"/>
      <c r="H3810" s="17" t="s">
        <v>35</v>
      </c>
      <c r="I3810" s="17" t="s">
        <v>44</v>
      </c>
      <c r="J3810" s="17"/>
      <c r="K3810" s="17" t="e">
        <f aca="false">VLOOKUP(J3810,Sheet2!A:B,2,0)</f>
        <v>#N/A</v>
      </c>
      <c r="L3810" s="17" t="n">
        <v>5</v>
      </c>
      <c r="M3810" s="17" t="str">
        <f aca="false">VLOOKUP(L3810,Sheet2!D:E,2,0)</f>
        <v>Main Processor CPU BGA</v>
      </c>
      <c r="N3810" s="17" t="n">
        <v>1</v>
      </c>
      <c r="O3810" s="17" t="str">
        <f aca="false">VLOOKUP(N3810,Sheet2!G:H,2,0)</f>
        <v>Dead</v>
      </c>
      <c r="P3810" s="17" t="n">
        <v>11</v>
      </c>
      <c r="Q3810" s="17" t="str">
        <f aca="false">VLOOKUP(P3810,Sheet2!J:K,2,0)</f>
        <v>IR Declared due to CID -TA</v>
      </c>
      <c r="R3810" s="17" t="s">
        <v>35</v>
      </c>
      <c r="S3810" s="17" t="str">
        <f aca="false">VLOOKUP(R3810,Sheet2!N:O,2,0)</f>
        <v>IREPARABLE</v>
      </c>
      <c r="T3810" s="18" t="str">
        <f aca="false">VLOOKUP(P3810,Sheet2!Q:R,2,0)</f>
        <v>IR Normal - Track burn out</v>
      </c>
      <c r="U3810" s="20" t="s">
        <v>41</v>
      </c>
      <c r="V3810" s="17"/>
      <c r="W3810" s="20" t="e">
        <f aca="false">VLOOKUP(V3810,Sheet2!Q:R,2,0)</f>
        <v>#N/A</v>
      </c>
      <c r="X3810" s="17" t="n">
        <f aca="false">J3810</f>
        <v>0</v>
      </c>
      <c r="Y3810" s="17" t="e">
        <f aca="false">VLOOKUP(X3810,Sheet2!A:B,2,0)</f>
        <v>#N/A</v>
      </c>
      <c r="Z3810" s="17"/>
      <c r="AA3810" s="17"/>
      <c r="AB3810" s="17" t="s">
        <v>41</v>
      </c>
      <c r="AC3810" s="0" t="str">
        <f aca="false">LEFT(G3810,2)</f>
        <v/>
      </c>
      <c r="AE3810" s="0"/>
    </row>
    <row r="3811" customFormat="false" ht="15" hidden="false" customHeight="false" outlineLevel="0" collapsed="false">
      <c r="A3811" s="13" t="n">
        <f aca="false">1+A3810</f>
        <v>3809</v>
      </c>
      <c r="B3811" s="14" t="n">
        <v>100</v>
      </c>
      <c r="C3811" s="15"/>
      <c r="D3811" s="16" t="s">
        <v>64</v>
      </c>
      <c r="E3811" s="17" t="s">
        <v>47</v>
      </c>
      <c r="F3811" s="18" t="s">
        <v>34</v>
      </c>
      <c r="G3811" s="19"/>
      <c r="H3811" s="17" t="s">
        <v>35</v>
      </c>
      <c r="I3811" s="17" t="s">
        <v>44</v>
      </c>
      <c r="J3811" s="17"/>
      <c r="K3811" s="17" t="e">
        <f aca="false">VLOOKUP(J3811,Sheet2!A:B,2,0)</f>
        <v>#N/A</v>
      </c>
      <c r="L3811" s="17" t="n">
        <v>5</v>
      </c>
      <c r="M3811" s="17" t="str">
        <f aca="false">VLOOKUP(L3811,Sheet2!D:E,2,0)</f>
        <v>Main Processor CPU BGA</v>
      </c>
      <c r="N3811" s="17" t="n">
        <v>1</v>
      </c>
      <c r="O3811" s="17" t="str">
        <f aca="false">VLOOKUP(N3811,Sheet2!G:H,2,0)</f>
        <v>Dead</v>
      </c>
      <c r="P3811" s="17" t="n">
        <v>11</v>
      </c>
      <c r="Q3811" s="17" t="str">
        <f aca="false">VLOOKUP(P3811,Sheet2!J:K,2,0)</f>
        <v>IR Declared due to CID -TA</v>
      </c>
      <c r="R3811" s="17" t="s">
        <v>35</v>
      </c>
      <c r="S3811" s="17" t="str">
        <f aca="false">VLOOKUP(R3811,Sheet2!N:O,2,0)</f>
        <v>IREPARABLE</v>
      </c>
      <c r="T3811" s="18" t="str">
        <f aca="false">VLOOKUP(P3811,Sheet2!Q:R,2,0)</f>
        <v>IR Normal - Track burn out</v>
      </c>
      <c r="U3811" s="20" t="s">
        <v>41</v>
      </c>
      <c r="V3811" s="17"/>
      <c r="W3811" s="20" t="e">
        <f aca="false">VLOOKUP(V3811,Sheet2!Q:R,2,0)</f>
        <v>#N/A</v>
      </c>
      <c r="X3811" s="17" t="n">
        <f aca="false">J3811</f>
        <v>0</v>
      </c>
      <c r="Y3811" s="17" t="e">
        <f aca="false">VLOOKUP(X3811,Sheet2!A:B,2,0)</f>
        <v>#N/A</v>
      </c>
      <c r="Z3811" s="17"/>
      <c r="AA3811" s="17"/>
      <c r="AB3811" s="17" t="s">
        <v>41</v>
      </c>
      <c r="AC3811" s="0" t="str">
        <f aca="false">LEFT(G3811,2)</f>
        <v/>
      </c>
      <c r="AE3811" s="0"/>
    </row>
    <row r="3812" customFormat="false" ht="15" hidden="false" customHeight="false" outlineLevel="0" collapsed="false">
      <c r="A3812" s="13" t="n">
        <f aca="false">1+A3811</f>
        <v>3810</v>
      </c>
      <c r="B3812" s="14" t="n">
        <v>100</v>
      </c>
      <c r="C3812" s="15"/>
      <c r="D3812" s="16" t="s">
        <v>64</v>
      </c>
      <c r="E3812" s="17" t="s">
        <v>47</v>
      </c>
      <c r="F3812" s="18" t="s">
        <v>34</v>
      </c>
      <c r="G3812" s="19"/>
      <c r="H3812" s="17" t="s">
        <v>35</v>
      </c>
      <c r="I3812" s="17" t="s">
        <v>44</v>
      </c>
      <c r="J3812" s="17"/>
      <c r="K3812" s="17" t="e">
        <f aca="false">VLOOKUP(J3812,Sheet2!A:B,2,0)</f>
        <v>#N/A</v>
      </c>
      <c r="L3812" s="17" t="n">
        <v>5</v>
      </c>
      <c r="M3812" s="17" t="str">
        <f aca="false">VLOOKUP(L3812,Sheet2!D:E,2,0)</f>
        <v>Main Processor CPU BGA</v>
      </c>
      <c r="N3812" s="17" t="n">
        <v>1</v>
      </c>
      <c r="O3812" s="17" t="str">
        <f aca="false">VLOOKUP(N3812,Sheet2!G:H,2,0)</f>
        <v>Dead</v>
      </c>
      <c r="P3812" s="17" t="n">
        <v>11</v>
      </c>
      <c r="Q3812" s="17" t="str">
        <f aca="false">VLOOKUP(P3812,Sheet2!J:K,2,0)</f>
        <v>IR Declared due to CID -TA</v>
      </c>
      <c r="R3812" s="17" t="s">
        <v>35</v>
      </c>
      <c r="S3812" s="17" t="str">
        <f aca="false">VLOOKUP(R3812,Sheet2!N:O,2,0)</f>
        <v>IREPARABLE</v>
      </c>
      <c r="T3812" s="18" t="str">
        <f aca="false">VLOOKUP(P3812,Sheet2!Q:R,2,0)</f>
        <v>IR Normal - Track burn out</v>
      </c>
      <c r="U3812" s="20" t="s">
        <v>41</v>
      </c>
      <c r="V3812" s="17"/>
      <c r="W3812" s="20" t="e">
        <f aca="false">VLOOKUP(V3812,Sheet2!Q:R,2,0)</f>
        <v>#N/A</v>
      </c>
      <c r="X3812" s="17" t="n">
        <f aca="false">J3812</f>
        <v>0</v>
      </c>
      <c r="Y3812" s="17" t="e">
        <f aca="false">VLOOKUP(X3812,Sheet2!A:B,2,0)</f>
        <v>#N/A</v>
      </c>
      <c r="Z3812" s="17"/>
      <c r="AA3812" s="17"/>
      <c r="AB3812" s="17" t="s">
        <v>41</v>
      </c>
      <c r="AC3812" s="0" t="str">
        <f aca="false">LEFT(G3812,2)</f>
        <v/>
      </c>
      <c r="AE3812" s="0"/>
    </row>
    <row r="3813" customFormat="false" ht="15" hidden="false" customHeight="false" outlineLevel="0" collapsed="false">
      <c r="A3813" s="13" t="n">
        <f aca="false">1+A3812</f>
        <v>3811</v>
      </c>
      <c r="B3813" s="14" t="n">
        <v>100</v>
      </c>
      <c r="C3813" s="15"/>
      <c r="D3813" s="16" t="s">
        <v>64</v>
      </c>
      <c r="E3813" s="17" t="s">
        <v>47</v>
      </c>
      <c r="F3813" s="18" t="s">
        <v>34</v>
      </c>
      <c r="G3813" s="19"/>
      <c r="H3813" s="17" t="s">
        <v>35</v>
      </c>
      <c r="I3813" s="17" t="s">
        <v>44</v>
      </c>
      <c r="J3813" s="17"/>
      <c r="K3813" s="17" t="e">
        <f aca="false">VLOOKUP(J3813,Sheet2!A:B,2,0)</f>
        <v>#N/A</v>
      </c>
      <c r="L3813" s="17" t="n">
        <v>5</v>
      </c>
      <c r="M3813" s="17" t="str">
        <f aca="false">VLOOKUP(L3813,Sheet2!D:E,2,0)</f>
        <v>Main Processor CPU BGA</v>
      </c>
      <c r="N3813" s="17" t="n">
        <v>1</v>
      </c>
      <c r="O3813" s="17" t="str">
        <f aca="false">VLOOKUP(N3813,Sheet2!G:H,2,0)</f>
        <v>Dead</v>
      </c>
      <c r="P3813" s="17" t="n">
        <v>11</v>
      </c>
      <c r="Q3813" s="17" t="str">
        <f aca="false">VLOOKUP(P3813,Sheet2!J:K,2,0)</f>
        <v>IR Declared due to CID -TA</v>
      </c>
      <c r="R3813" s="17" t="s">
        <v>35</v>
      </c>
      <c r="S3813" s="17" t="str">
        <f aca="false">VLOOKUP(R3813,Sheet2!N:O,2,0)</f>
        <v>IREPARABLE</v>
      </c>
      <c r="T3813" s="18" t="str">
        <f aca="false">VLOOKUP(P3813,Sheet2!Q:R,2,0)</f>
        <v>IR Normal - Track burn out</v>
      </c>
      <c r="U3813" s="20" t="s">
        <v>41</v>
      </c>
      <c r="V3813" s="17"/>
      <c r="W3813" s="20" t="e">
        <f aca="false">VLOOKUP(V3813,Sheet2!Q:R,2,0)</f>
        <v>#N/A</v>
      </c>
      <c r="X3813" s="17" t="n">
        <f aca="false">J3813</f>
        <v>0</v>
      </c>
      <c r="Y3813" s="17" t="e">
        <f aca="false">VLOOKUP(X3813,Sheet2!A:B,2,0)</f>
        <v>#N/A</v>
      </c>
      <c r="Z3813" s="17"/>
      <c r="AA3813" s="17"/>
      <c r="AB3813" s="17" t="s">
        <v>41</v>
      </c>
      <c r="AC3813" s="0" t="str">
        <f aca="false">LEFT(G3813,2)</f>
        <v/>
      </c>
      <c r="AE3813" s="0"/>
    </row>
    <row r="3814" customFormat="false" ht="15" hidden="false" customHeight="false" outlineLevel="0" collapsed="false">
      <c r="A3814" s="13" t="n">
        <f aca="false">1+A3813</f>
        <v>3812</v>
      </c>
      <c r="B3814" s="14" t="n">
        <v>100</v>
      </c>
      <c r="C3814" s="15"/>
      <c r="D3814" s="16" t="s">
        <v>64</v>
      </c>
      <c r="E3814" s="17" t="s">
        <v>47</v>
      </c>
      <c r="F3814" s="18" t="s">
        <v>34</v>
      </c>
      <c r="G3814" s="19"/>
      <c r="H3814" s="17" t="s">
        <v>35</v>
      </c>
      <c r="I3814" s="17" t="s">
        <v>44</v>
      </c>
      <c r="J3814" s="17"/>
      <c r="K3814" s="17" t="e">
        <f aca="false">VLOOKUP(J3814,Sheet2!A:B,2,0)</f>
        <v>#N/A</v>
      </c>
      <c r="L3814" s="17" t="n">
        <v>5</v>
      </c>
      <c r="M3814" s="17" t="str">
        <f aca="false">VLOOKUP(L3814,Sheet2!D:E,2,0)</f>
        <v>Main Processor CPU BGA</v>
      </c>
      <c r="N3814" s="17" t="n">
        <v>1</v>
      </c>
      <c r="O3814" s="17" t="str">
        <f aca="false">VLOOKUP(N3814,Sheet2!G:H,2,0)</f>
        <v>Dead</v>
      </c>
      <c r="P3814" s="17" t="n">
        <v>11</v>
      </c>
      <c r="Q3814" s="17" t="str">
        <f aca="false">VLOOKUP(P3814,Sheet2!J:K,2,0)</f>
        <v>IR Declared due to CID -TA</v>
      </c>
      <c r="R3814" s="17" t="s">
        <v>35</v>
      </c>
      <c r="S3814" s="17" t="str">
        <f aca="false">VLOOKUP(R3814,Sheet2!N:O,2,0)</f>
        <v>IREPARABLE</v>
      </c>
      <c r="T3814" s="18" t="str">
        <f aca="false">VLOOKUP(P3814,Sheet2!Q:R,2,0)</f>
        <v>IR Normal - Track burn out</v>
      </c>
      <c r="U3814" s="20" t="s">
        <v>41</v>
      </c>
      <c r="V3814" s="17"/>
      <c r="W3814" s="20" t="e">
        <f aca="false">VLOOKUP(V3814,Sheet2!Q:R,2,0)</f>
        <v>#N/A</v>
      </c>
      <c r="X3814" s="17" t="n">
        <f aca="false">J3814</f>
        <v>0</v>
      </c>
      <c r="Y3814" s="17" t="e">
        <f aca="false">VLOOKUP(X3814,Sheet2!A:B,2,0)</f>
        <v>#N/A</v>
      </c>
      <c r="Z3814" s="17"/>
      <c r="AA3814" s="17"/>
      <c r="AB3814" s="17" t="s">
        <v>41</v>
      </c>
      <c r="AC3814" s="0" t="str">
        <f aca="false">LEFT(G3814,2)</f>
        <v/>
      </c>
      <c r="AE3814" s="0"/>
    </row>
    <row r="3815" customFormat="false" ht="15" hidden="false" customHeight="false" outlineLevel="0" collapsed="false">
      <c r="A3815" s="13" t="n">
        <f aca="false">1+A3814</f>
        <v>3813</v>
      </c>
      <c r="B3815" s="14" t="n">
        <v>100</v>
      </c>
      <c r="C3815" s="15"/>
      <c r="D3815" s="16" t="s">
        <v>64</v>
      </c>
      <c r="E3815" s="17" t="s">
        <v>47</v>
      </c>
      <c r="F3815" s="18" t="s">
        <v>34</v>
      </c>
      <c r="G3815" s="19"/>
      <c r="H3815" s="17" t="s">
        <v>35</v>
      </c>
      <c r="I3815" s="17" t="s">
        <v>44</v>
      </c>
      <c r="J3815" s="17"/>
      <c r="K3815" s="17" t="e">
        <f aca="false">VLOOKUP(J3815,Sheet2!A:B,2,0)</f>
        <v>#N/A</v>
      </c>
      <c r="L3815" s="17" t="n">
        <v>5</v>
      </c>
      <c r="M3815" s="17" t="str">
        <f aca="false">VLOOKUP(L3815,Sheet2!D:E,2,0)</f>
        <v>Main Processor CPU BGA</v>
      </c>
      <c r="N3815" s="17" t="n">
        <v>1</v>
      </c>
      <c r="O3815" s="17" t="str">
        <f aca="false">VLOOKUP(N3815,Sheet2!G:H,2,0)</f>
        <v>Dead</v>
      </c>
      <c r="P3815" s="17" t="n">
        <v>11</v>
      </c>
      <c r="Q3815" s="17" t="str">
        <f aca="false">VLOOKUP(P3815,Sheet2!J:K,2,0)</f>
        <v>IR Declared due to CID -TA</v>
      </c>
      <c r="R3815" s="17" t="s">
        <v>35</v>
      </c>
      <c r="S3815" s="17" t="str">
        <f aca="false">VLOOKUP(R3815,Sheet2!N:O,2,0)</f>
        <v>IREPARABLE</v>
      </c>
      <c r="T3815" s="18" t="str">
        <f aca="false">VLOOKUP(P3815,Sheet2!Q:R,2,0)</f>
        <v>IR Normal - Track burn out</v>
      </c>
      <c r="U3815" s="20" t="s">
        <v>41</v>
      </c>
      <c r="V3815" s="17"/>
      <c r="W3815" s="20" t="e">
        <f aca="false">VLOOKUP(V3815,Sheet2!Q:R,2,0)</f>
        <v>#N/A</v>
      </c>
      <c r="X3815" s="17" t="n">
        <f aca="false">J3815</f>
        <v>0</v>
      </c>
      <c r="Y3815" s="17" t="e">
        <f aca="false">VLOOKUP(X3815,Sheet2!A:B,2,0)</f>
        <v>#N/A</v>
      </c>
      <c r="Z3815" s="17"/>
      <c r="AA3815" s="17"/>
      <c r="AB3815" s="17" t="s">
        <v>41</v>
      </c>
      <c r="AC3815" s="0" t="str">
        <f aca="false">LEFT(G3815,2)</f>
        <v/>
      </c>
      <c r="AE3815" s="0"/>
    </row>
    <row r="3816" customFormat="false" ht="15" hidden="false" customHeight="false" outlineLevel="0" collapsed="false">
      <c r="A3816" s="13" t="n">
        <f aca="false">1+A3815</f>
        <v>3814</v>
      </c>
      <c r="B3816" s="14" t="n">
        <v>100</v>
      </c>
      <c r="C3816" s="15"/>
      <c r="D3816" s="16" t="s">
        <v>64</v>
      </c>
      <c r="E3816" s="17" t="s">
        <v>47</v>
      </c>
      <c r="F3816" s="18" t="s">
        <v>34</v>
      </c>
      <c r="G3816" s="19"/>
      <c r="H3816" s="17" t="s">
        <v>35</v>
      </c>
      <c r="I3816" s="17" t="s">
        <v>44</v>
      </c>
      <c r="J3816" s="17"/>
      <c r="K3816" s="17" t="e">
        <f aca="false">VLOOKUP(J3816,Sheet2!A:B,2,0)</f>
        <v>#N/A</v>
      </c>
      <c r="L3816" s="17" t="n">
        <v>5</v>
      </c>
      <c r="M3816" s="17" t="str">
        <f aca="false">VLOOKUP(L3816,Sheet2!D:E,2,0)</f>
        <v>Main Processor CPU BGA</v>
      </c>
      <c r="N3816" s="17" t="n">
        <v>1</v>
      </c>
      <c r="O3816" s="17" t="str">
        <f aca="false">VLOOKUP(N3816,Sheet2!G:H,2,0)</f>
        <v>Dead</v>
      </c>
      <c r="P3816" s="17" t="n">
        <v>11</v>
      </c>
      <c r="Q3816" s="17" t="str">
        <f aca="false">VLOOKUP(P3816,Sheet2!J:K,2,0)</f>
        <v>IR Declared due to CID -TA</v>
      </c>
      <c r="R3816" s="17" t="s">
        <v>35</v>
      </c>
      <c r="S3816" s="17" t="str">
        <f aca="false">VLOOKUP(R3816,Sheet2!N:O,2,0)</f>
        <v>IREPARABLE</v>
      </c>
      <c r="T3816" s="18" t="str">
        <f aca="false">VLOOKUP(P3816,Sheet2!Q:R,2,0)</f>
        <v>IR Normal - Track burn out</v>
      </c>
      <c r="U3816" s="20" t="s">
        <v>41</v>
      </c>
      <c r="V3816" s="17"/>
      <c r="W3816" s="20" t="e">
        <f aca="false">VLOOKUP(V3816,Sheet2!Q:R,2,0)</f>
        <v>#N/A</v>
      </c>
      <c r="X3816" s="17" t="n">
        <f aca="false">J3816</f>
        <v>0</v>
      </c>
      <c r="Y3816" s="17" t="e">
        <f aca="false">VLOOKUP(X3816,Sheet2!A:B,2,0)</f>
        <v>#N/A</v>
      </c>
      <c r="Z3816" s="17"/>
      <c r="AA3816" s="17"/>
      <c r="AB3816" s="17" t="s">
        <v>41</v>
      </c>
      <c r="AC3816" s="0" t="str">
        <f aca="false">LEFT(G3816,2)</f>
        <v/>
      </c>
      <c r="AE3816" s="0"/>
    </row>
    <row r="3817" customFormat="false" ht="15" hidden="false" customHeight="false" outlineLevel="0" collapsed="false">
      <c r="A3817" s="13" t="n">
        <f aca="false">1+A3816</f>
        <v>3815</v>
      </c>
      <c r="B3817" s="14" t="n">
        <v>100</v>
      </c>
      <c r="C3817" s="15"/>
      <c r="D3817" s="16" t="s">
        <v>64</v>
      </c>
      <c r="E3817" s="17" t="s">
        <v>47</v>
      </c>
      <c r="F3817" s="18" t="s">
        <v>34</v>
      </c>
      <c r="G3817" s="19"/>
      <c r="H3817" s="17" t="s">
        <v>35</v>
      </c>
      <c r="I3817" s="17" t="s">
        <v>44</v>
      </c>
      <c r="J3817" s="17"/>
      <c r="K3817" s="17" t="e">
        <f aca="false">VLOOKUP(J3817,Sheet2!A:B,2,0)</f>
        <v>#N/A</v>
      </c>
      <c r="L3817" s="17" t="n">
        <v>5</v>
      </c>
      <c r="M3817" s="17" t="str">
        <f aca="false">VLOOKUP(L3817,Sheet2!D:E,2,0)</f>
        <v>Main Processor CPU BGA</v>
      </c>
      <c r="N3817" s="17" t="n">
        <v>1</v>
      </c>
      <c r="O3817" s="17" t="str">
        <f aca="false">VLOOKUP(N3817,Sheet2!G:H,2,0)</f>
        <v>Dead</v>
      </c>
      <c r="P3817" s="17" t="n">
        <v>11</v>
      </c>
      <c r="Q3817" s="17" t="str">
        <f aca="false">VLOOKUP(P3817,Sheet2!J:K,2,0)</f>
        <v>IR Declared due to CID -TA</v>
      </c>
      <c r="R3817" s="17" t="s">
        <v>35</v>
      </c>
      <c r="S3817" s="17" t="str">
        <f aca="false">VLOOKUP(R3817,Sheet2!N:O,2,0)</f>
        <v>IREPARABLE</v>
      </c>
      <c r="T3817" s="18" t="str">
        <f aca="false">VLOOKUP(P3817,Sheet2!Q:R,2,0)</f>
        <v>IR Normal - Track burn out</v>
      </c>
      <c r="U3817" s="20" t="s">
        <v>41</v>
      </c>
      <c r="V3817" s="17"/>
      <c r="W3817" s="20" t="e">
        <f aca="false">VLOOKUP(V3817,Sheet2!Q:R,2,0)</f>
        <v>#N/A</v>
      </c>
      <c r="X3817" s="17" t="n">
        <f aca="false">J3817</f>
        <v>0</v>
      </c>
      <c r="Y3817" s="17" t="e">
        <f aca="false">VLOOKUP(X3817,Sheet2!A:B,2,0)</f>
        <v>#N/A</v>
      </c>
      <c r="Z3817" s="17"/>
      <c r="AA3817" s="17"/>
      <c r="AB3817" s="17" t="s">
        <v>41</v>
      </c>
      <c r="AC3817" s="0" t="str">
        <f aca="false">LEFT(G3817,2)</f>
        <v/>
      </c>
      <c r="AE3817" s="0"/>
    </row>
    <row r="3818" customFormat="false" ht="15" hidden="false" customHeight="false" outlineLevel="0" collapsed="false">
      <c r="A3818" s="13" t="n">
        <f aca="false">1+A3817</f>
        <v>3816</v>
      </c>
      <c r="B3818" s="14" t="n">
        <v>100</v>
      </c>
      <c r="C3818" s="15"/>
      <c r="D3818" s="16" t="s">
        <v>64</v>
      </c>
      <c r="E3818" s="17" t="s">
        <v>47</v>
      </c>
      <c r="F3818" s="18" t="s">
        <v>34</v>
      </c>
      <c r="G3818" s="19"/>
      <c r="H3818" s="17" t="s">
        <v>35</v>
      </c>
      <c r="I3818" s="17" t="s">
        <v>44</v>
      </c>
      <c r="J3818" s="17"/>
      <c r="K3818" s="17" t="e">
        <f aca="false">VLOOKUP(J3818,Sheet2!A:B,2,0)</f>
        <v>#N/A</v>
      </c>
      <c r="L3818" s="17" t="n">
        <v>5</v>
      </c>
      <c r="M3818" s="17" t="str">
        <f aca="false">VLOOKUP(L3818,Sheet2!D:E,2,0)</f>
        <v>Main Processor CPU BGA</v>
      </c>
      <c r="N3818" s="17" t="n">
        <v>1</v>
      </c>
      <c r="O3818" s="17" t="str">
        <f aca="false">VLOOKUP(N3818,Sheet2!G:H,2,0)</f>
        <v>Dead</v>
      </c>
      <c r="P3818" s="17" t="n">
        <v>11</v>
      </c>
      <c r="Q3818" s="17" t="str">
        <f aca="false">VLOOKUP(P3818,Sheet2!J:K,2,0)</f>
        <v>IR Declared due to CID -TA</v>
      </c>
      <c r="R3818" s="17" t="s">
        <v>35</v>
      </c>
      <c r="S3818" s="17" t="str">
        <f aca="false">VLOOKUP(R3818,Sheet2!N:O,2,0)</f>
        <v>IREPARABLE</v>
      </c>
      <c r="T3818" s="18" t="str">
        <f aca="false">VLOOKUP(P3818,Sheet2!Q:R,2,0)</f>
        <v>IR Normal - Track burn out</v>
      </c>
      <c r="U3818" s="20" t="s">
        <v>41</v>
      </c>
      <c r="V3818" s="17"/>
      <c r="W3818" s="20" t="e">
        <f aca="false">VLOOKUP(V3818,Sheet2!Q:R,2,0)</f>
        <v>#N/A</v>
      </c>
      <c r="X3818" s="17" t="n">
        <f aca="false">J3818</f>
        <v>0</v>
      </c>
      <c r="Y3818" s="17" t="e">
        <f aca="false">VLOOKUP(X3818,Sheet2!A:B,2,0)</f>
        <v>#N/A</v>
      </c>
      <c r="Z3818" s="17"/>
      <c r="AA3818" s="17"/>
      <c r="AB3818" s="17" t="s">
        <v>41</v>
      </c>
      <c r="AC3818" s="0" t="str">
        <f aca="false">LEFT(G3818,2)</f>
        <v/>
      </c>
      <c r="AE3818" s="0"/>
    </row>
    <row r="3819" customFormat="false" ht="15" hidden="false" customHeight="false" outlineLevel="0" collapsed="false">
      <c r="A3819" s="13" t="n">
        <f aca="false">1+A3818</f>
        <v>3817</v>
      </c>
      <c r="B3819" s="14" t="n">
        <v>100</v>
      </c>
      <c r="C3819" s="15"/>
      <c r="D3819" s="16" t="s">
        <v>64</v>
      </c>
      <c r="E3819" s="17" t="s">
        <v>47</v>
      </c>
      <c r="F3819" s="18" t="s">
        <v>34</v>
      </c>
      <c r="G3819" s="19"/>
      <c r="H3819" s="17" t="s">
        <v>35</v>
      </c>
      <c r="I3819" s="17" t="s">
        <v>44</v>
      </c>
      <c r="J3819" s="17"/>
      <c r="K3819" s="17" t="e">
        <f aca="false">VLOOKUP(J3819,Sheet2!A:B,2,0)</f>
        <v>#N/A</v>
      </c>
      <c r="L3819" s="17" t="n">
        <v>5</v>
      </c>
      <c r="M3819" s="17" t="str">
        <f aca="false">VLOOKUP(L3819,Sheet2!D:E,2,0)</f>
        <v>Main Processor CPU BGA</v>
      </c>
      <c r="N3819" s="17" t="n">
        <v>1</v>
      </c>
      <c r="O3819" s="17" t="str">
        <f aca="false">VLOOKUP(N3819,Sheet2!G:H,2,0)</f>
        <v>Dead</v>
      </c>
      <c r="P3819" s="17" t="n">
        <v>11</v>
      </c>
      <c r="Q3819" s="17" t="str">
        <f aca="false">VLOOKUP(P3819,Sheet2!J:K,2,0)</f>
        <v>IR Declared due to CID -TA</v>
      </c>
      <c r="R3819" s="17" t="s">
        <v>35</v>
      </c>
      <c r="S3819" s="17" t="str">
        <f aca="false">VLOOKUP(R3819,Sheet2!N:O,2,0)</f>
        <v>IREPARABLE</v>
      </c>
      <c r="T3819" s="18" t="str">
        <f aca="false">VLOOKUP(P3819,Sheet2!Q:R,2,0)</f>
        <v>IR Normal - Track burn out</v>
      </c>
      <c r="U3819" s="20" t="s">
        <v>41</v>
      </c>
      <c r="V3819" s="17"/>
      <c r="W3819" s="20" t="e">
        <f aca="false">VLOOKUP(V3819,Sheet2!Q:R,2,0)</f>
        <v>#N/A</v>
      </c>
      <c r="X3819" s="17" t="n">
        <f aca="false">J3819</f>
        <v>0</v>
      </c>
      <c r="Y3819" s="17" t="e">
        <f aca="false">VLOOKUP(X3819,Sheet2!A:B,2,0)</f>
        <v>#N/A</v>
      </c>
      <c r="Z3819" s="17"/>
      <c r="AA3819" s="17"/>
      <c r="AB3819" s="17" t="s">
        <v>41</v>
      </c>
      <c r="AC3819" s="0" t="str">
        <f aca="false">LEFT(G3819,2)</f>
        <v/>
      </c>
      <c r="AE3819" s="0"/>
    </row>
    <row r="3820" customFormat="false" ht="15" hidden="false" customHeight="false" outlineLevel="0" collapsed="false">
      <c r="A3820" s="13" t="n">
        <f aca="false">1+A3819</f>
        <v>3818</v>
      </c>
      <c r="B3820" s="14" t="n">
        <v>100</v>
      </c>
      <c r="C3820" s="15"/>
      <c r="D3820" s="16" t="s">
        <v>64</v>
      </c>
      <c r="E3820" s="17" t="s">
        <v>47</v>
      </c>
      <c r="F3820" s="18" t="s">
        <v>34</v>
      </c>
      <c r="G3820" s="19"/>
      <c r="H3820" s="17" t="s">
        <v>35</v>
      </c>
      <c r="I3820" s="17" t="s">
        <v>44</v>
      </c>
      <c r="J3820" s="17"/>
      <c r="K3820" s="17" t="e">
        <f aca="false">VLOOKUP(J3820,Sheet2!A:B,2,0)</f>
        <v>#N/A</v>
      </c>
      <c r="L3820" s="17" t="n">
        <v>5</v>
      </c>
      <c r="M3820" s="17" t="str">
        <f aca="false">VLOOKUP(L3820,Sheet2!D:E,2,0)</f>
        <v>Main Processor CPU BGA</v>
      </c>
      <c r="N3820" s="17" t="n">
        <v>1</v>
      </c>
      <c r="O3820" s="17" t="str">
        <f aca="false">VLOOKUP(N3820,Sheet2!G:H,2,0)</f>
        <v>Dead</v>
      </c>
      <c r="P3820" s="17" t="n">
        <v>11</v>
      </c>
      <c r="Q3820" s="17" t="str">
        <f aca="false">VLOOKUP(P3820,Sheet2!J:K,2,0)</f>
        <v>IR Declared due to CID -TA</v>
      </c>
      <c r="R3820" s="17" t="s">
        <v>35</v>
      </c>
      <c r="S3820" s="17" t="str">
        <f aca="false">VLOOKUP(R3820,Sheet2!N:O,2,0)</f>
        <v>IREPARABLE</v>
      </c>
      <c r="T3820" s="18" t="str">
        <f aca="false">VLOOKUP(P3820,Sheet2!Q:R,2,0)</f>
        <v>IR Normal - Track burn out</v>
      </c>
      <c r="U3820" s="20" t="s">
        <v>41</v>
      </c>
      <c r="V3820" s="17"/>
      <c r="W3820" s="20" t="e">
        <f aca="false">VLOOKUP(V3820,Sheet2!Q:R,2,0)</f>
        <v>#N/A</v>
      </c>
      <c r="X3820" s="17" t="n">
        <f aca="false">J3820</f>
        <v>0</v>
      </c>
      <c r="Y3820" s="17" t="e">
        <f aca="false">VLOOKUP(X3820,Sheet2!A:B,2,0)</f>
        <v>#N/A</v>
      </c>
      <c r="Z3820" s="17"/>
      <c r="AA3820" s="17"/>
      <c r="AB3820" s="17" t="s">
        <v>41</v>
      </c>
      <c r="AC3820" s="0" t="str">
        <f aca="false">LEFT(G3820,2)</f>
        <v/>
      </c>
      <c r="AE3820" s="0"/>
    </row>
    <row r="3821" customFormat="false" ht="15" hidden="false" customHeight="false" outlineLevel="0" collapsed="false">
      <c r="A3821" s="13" t="n">
        <f aca="false">1+A3820</f>
        <v>3819</v>
      </c>
      <c r="B3821" s="14" t="n">
        <v>100</v>
      </c>
      <c r="C3821" s="15"/>
      <c r="D3821" s="16" t="s">
        <v>64</v>
      </c>
      <c r="E3821" s="17" t="s">
        <v>47</v>
      </c>
      <c r="F3821" s="18" t="s">
        <v>34</v>
      </c>
      <c r="G3821" s="19"/>
      <c r="H3821" s="17" t="s">
        <v>35</v>
      </c>
      <c r="I3821" s="17" t="s">
        <v>44</v>
      </c>
      <c r="J3821" s="17"/>
      <c r="K3821" s="17" t="e">
        <f aca="false">VLOOKUP(J3821,Sheet2!A:B,2,0)</f>
        <v>#N/A</v>
      </c>
      <c r="L3821" s="17" t="n">
        <v>5</v>
      </c>
      <c r="M3821" s="17" t="str">
        <f aca="false">VLOOKUP(L3821,Sheet2!D:E,2,0)</f>
        <v>Main Processor CPU BGA</v>
      </c>
      <c r="N3821" s="17" t="n">
        <v>1</v>
      </c>
      <c r="O3821" s="17" t="str">
        <f aca="false">VLOOKUP(N3821,Sheet2!G:H,2,0)</f>
        <v>Dead</v>
      </c>
      <c r="P3821" s="17" t="n">
        <v>11</v>
      </c>
      <c r="Q3821" s="17" t="str">
        <f aca="false">VLOOKUP(P3821,Sheet2!J:K,2,0)</f>
        <v>IR Declared due to CID -TA</v>
      </c>
      <c r="R3821" s="17" t="s">
        <v>35</v>
      </c>
      <c r="S3821" s="17" t="str">
        <f aca="false">VLOOKUP(R3821,Sheet2!N:O,2,0)</f>
        <v>IREPARABLE</v>
      </c>
      <c r="T3821" s="18" t="str">
        <f aca="false">VLOOKUP(P3821,Sheet2!Q:R,2,0)</f>
        <v>IR Normal - Track burn out</v>
      </c>
      <c r="U3821" s="20" t="s">
        <v>41</v>
      </c>
      <c r="V3821" s="17"/>
      <c r="W3821" s="20" t="e">
        <f aca="false">VLOOKUP(V3821,Sheet2!Q:R,2,0)</f>
        <v>#N/A</v>
      </c>
      <c r="X3821" s="17" t="n">
        <f aca="false">J3821</f>
        <v>0</v>
      </c>
      <c r="Y3821" s="17" t="e">
        <f aca="false">VLOOKUP(X3821,Sheet2!A:B,2,0)</f>
        <v>#N/A</v>
      </c>
      <c r="Z3821" s="17"/>
      <c r="AA3821" s="17"/>
      <c r="AB3821" s="17" t="s">
        <v>41</v>
      </c>
      <c r="AC3821" s="0" t="str">
        <f aca="false">LEFT(G3821,2)</f>
        <v/>
      </c>
      <c r="AE3821" s="0"/>
    </row>
    <row r="3822" customFormat="false" ht="15" hidden="false" customHeight="false" outlineLevel="0" collapsed="false">
      <c r="A3822" s="13" t="n">
        <f aca="false">1+A3821</f>
        <v>3820</v>
      </c>
      <c r="B3822" s="14" t="n">
        <v>100</v>
      </c>
      <c r="C3822" s="15"/>
      <c r="D3822" s="16" t="s">
        <v>64</v>
      </c>
      <c r="E3822" s="17" t="s">
        <v>47</v>
      </c>
      <c r="F3822" s="18" t="s">
        <v>34</v>
      </c>
      <c r="G3822" s="19"/>
      <c r="H3822" s="17" t="s">
        <v>35</v>
      </c>
      <c r="I3822" s="17" t="s">
        <v>44</v>
      </c>
      <c r="J3822" s="17"/>
      <c r="K3822" s="17" t="e">
        <f aca="false">VLOOKUP(J3822,Sheet2!A:B,2,0)</f>
        <v>#N/A</v>
      </c>
      <c r="L3822" s="17" t="n">
        <v>5</v>
      </c>
      <c r="M3822" s="17" t="str">
        <f aca="false">VLOOKUP(L3822,Sheet2!D:E,2,0)</f>
        <v>Main Processor CPU BGA</v>
      </c>
      <c r="N3822" s="17" t="n">
        <v>1</v>
      </c>
      <c r="O3822" s="17" t="str">
        <f aca="false">VLOOKUP(N3822,Sheet2!G:H,2,0)</f>
        <v>Dead</v>
      </c>
      <c r="P3822" s="17" t="n">
        <v>11</v>
      </c>
      <c r="Q3822" s="17" t="str">
        <f aca="false">VLOOKUP(P3822,Sheet2!J:K,2,0)</f>
        <v>IR Declared due to CID -TA</v>
      </c>
      <c r="R3822" s="17" t="s">
        <v>35</v>
      </c>
      <c r="S3822" s="17" t="str">
        <f aca="false">VLOOKUP(R3822,Sheet2!N:O,2,0)</f>
        <v>IREPARABLE</v>
      </c>
      <c r="T3822" s="18" t="str">
        <f aca="false">VLOOKUP(P3822,Sheet2!Q:R,2,0)</f>
        <v>IR Normal - Track burn out</v>
      </c>
      <c r="U3822" s="20" t="s">
        <v>41</v>
      </c>
      <c r="V3822" s="17"/>
      <c r="W3822" s="20" t="e">
        <f aca="false">VLOOKUP(V3822,Sheet2!Q:R,2,0)</f>
        <v>#N/A</v>
      </c>
      <c r="X3822" s="17" t="n">
        <f aca="false">J3822</f>
        <v>0</v>
      </c>
      <c r="Y3822" s="17" t="e">
        <f aca="false">VLOOKUP(X3822,Sheet2!A:B,2,0)</f>
        <v>#N/A</v>
      </c>
      <c r="Z3822" s="17"/>
      <c r="AA3822" s="17"/>
      <c r="AB3822" s="17" t="s">
        <v>41</v>
      </c>
      <c r="AC3822" s="0" t="str">
        <f aca="false">LEFT(G3822,2)</f>
        <v/>
      </c>
      <c r="AE3822" s="0"/>
    </row>
    <row r="3823" customFormat="false" ht="15" hidden="false" customHeight="false" outlineLevel="0" collapsed="false">
      <c r="A3823" s="13" t="n">
        <f aca="false">1+A3822</f>
        <v>3821</v>
      </c>
      <c r="B3823" s="14" t="n">
        <v>100</v>
      </c>
      <c r="C3823" s="15"/>
      <c r="D3823" s="16" t="s">
        <v>64</v>
      </c>
      <c r="E3823" s="17" t="s">
        <v>47</v>
      </c>
      <c r="F3823" s="18" t="s">
        <v>34</v>
      </c>
      <c r="G3823" s="19"/>
      <c r="H3823" s="17" t="s">
        <v>35</v>
      </c>
      <c r="I3823" s="17" t="s">
        <v>44</v>
      </c>
      <c r="J3823" s="17"/>
      <c r="K3823" s="17" t="e">
        <f aca="false">VLOOKUP(J3823,Sheet2!A:B,2,0)</f>
        <v>#N/A</v>
      </c>
      <c r="L3823" s="17" t="n">
        <v>5</v>
      </c>
      <c r="M3823" s="17" t="str">
        <f aca="false">VLOOKUP(L3823,Sheet2!D:E,2,0)</f>
        <v>Main Processor CPU BGA</v>
      </c>
      <c r="N3823" s="17" t="n">
        <v>1</v>
      </c>
      <c r="O3823" s="17" t="str">
        <f aca="false">VLOOKUP(N3823,Sheet2!G:H,2,0)</f>
        <v>Dead</v>
      </c>
      <c r="P3823" s="17" t="n">
        <v>11</v>
      </c>
      <c r="Q3823" s="17" t="str">
        <f aca="false">VLOOKUP(P3823,Sheet2!J:K,2,0)</f>
        <v>IR Declared due to CID -TA</v>
      </c>
      <c r="R3823" s="17" t="s">
        <v>35</v>
      </c>
      <c r="S3823" s="17" t="str">
        <f aca="false">VLOOKUP(R3823,Sheet2!N:O,2,0)</f>
        <v>IREPARABLE</v>
      </c>
      <c r="T3823" s="18" t="str">
        <f aca="false">VLOOKUP(P3823,Sheet2!Q:R,2,0)</f>
        <v>IR Normal - Track burn out</v>
      </c>
      <c r="U3823" s="20" t="s">
        <v>41</v>
      </c>
      <c r="V3823" s="17"/>
      <c r="W3823" s="20" t="e">
        <f aca="false">VLOOKUP(V3823,Sheet2!Q:R,2,0)</f>
        <v>#N/A</v>
      </c>
      <c r="X3823" s="17" t="n">
        <f aca="false">J3823</f>
        <v>0</v>
      </c>
      <c r="Y3823" s="17" t="e">
        <f aca="false">VLOOKUP(X3823,Sheet2!A:B,2,0)</f>
        <v>#N/A</v>
      </c>
      <c r="Z3823" s="17"/>
      <c r="AA3823" s="17"/>
      <c r="AB3823" s="17" t="s">
        <v>41</v>
      </c>
      <c r="AC3823" s="0" t="str">
        <f aca="false">LEFT(G3823,2)</f>
        <v/>
      </c>
      <c r="AE3823" s="0"/>
    </row>
    <row r="3824" customFormat="false" ht="15" hidden="false" customHeight="false" outlineLevel="0" collapsed="false">
      <c r="A3824" s="13" t="n">
        <f aca="false">1+A3823</f>
        <v>3822</v>
      </c>
      <c r="B3824" s="14" t="n">
        <v>100</v>
      </c>
      <c r="C3824" s="15"/>
      <c r="D3824" s="16" t="s">
        <v>64</v>
      </c>
      <c r="E3824" s="17" t="s">
        <v>47</v>
      </c>
      <c r="F3824" s="18" t="s">
        <v>34</v>
      </c>
      <c r="G3824" s="19"/>
      <c r="H3824" s="17" t="s">
        <v>35</v>
      </c>
      <c r="I3824" s="17" t="s">
        <v>44</v>
      </c>
      <c r="J3824" s="17"/>
      <c r="K3824" s="17" t="e">
        <f aca="false">VLOOKUP(J3824,Sheet2!A:B,2,0)</f>
        <v>#N/A</v>
      </c>
      <c r="L3824" s="17" t="n">
        <v>5</v>
      </c>
      <c r="M3824" s="17" t="str">
        <f aca="false">VLOOKUP(L3824,Sheet2!D:E,2,0)</f>
        <v>Main Processor CPU BGA</v>
      </c>
      <c r="N3824" s="17" t="n">
        <v>1</v>
      </c>
      <c r="O3824" s="17" t="str">
        <f aca="false">VLOOKUP(N3824,Sheet2!G:H,2,0)</f>
        <v>Dead</v>
      </c>
      <c r="P3824" s="17" t="n">
        <v>11</v>
      </c>
      <c r="Q3824" s="17" t="str">
        <f aca="false">VLOOKUP(P3824,Sheet2!J:K,2,0)</f>
        <v>IR Declared due to CID -TA</v>
      </c>
      <c r="R3824" s="17" t="s">
        <v>35</v>
      </c>
      <c r="S3824" s="17" t="str">
        <f aca="false">VLOOKUP(R3824,Sheet2!N:O,2,0)</f>
        <v>IREPARABLE</v>
      </c>
      <c r="T3824" s="18" t="str">
        <f aca="false">VLOOKUP(P3824,Sheet2!Q:R,2,0)</f>
        <v>IR Normal - Track burn out</v>
      </c>
      <c r="U3824" s="20" t="s">
        <v>41</v>
      </c>
      <c r="V3824" s="17"/>
      <c r="W3824" s="20" t="e">
        <f aca="false">VLOOKUP(V3824,Sheet2!Q:R,2,0)</f>
        <v>#N/A</v>
      </c>
      <c r="X3824" s="17" t="n">
        <f aca="false">J3824</f>
        <v>0</v>
      </c>
      <c r="Y3824" s="17" t="e">
        <f aca="false">VLOOKUP(X3824,Sheet2!A:B,2,0)</f>
        <v>#N/A</v>
      </c>
      <c r="Z3824" s="17"/>
      <c r="AA3824" s="17"/>
      <c r="AB3824" s="17" t="s">
        <v>41</v>
      </c>
      <c r="AC3824" s="0" t="str">
        <f aca="false">LEFT(G3824,2)</f>
        <v/>
      </c>
      <c r="AE3824" s="0"/>
    </row>
    <row r="3825" customFormat="false" ht="15" hidden="false" customHeight="false" outlineLevel="0" collapsed="false">
      <c r="A3825" s="13" t="n">
        <f aca="false">1+A3824</f>
        <v>3823</v>
      </c>
      <c r="B3825" s="14" t="n">
        <v>100</v>
      </c>
      <c r="C3825" s="15"/>
      <c r="D3825" s="16" t="s">
        <v>64</v>
      </c>
      <c r="E3825" s="17" t="s">
        <v>47</v>
      </c>
      <c r="F3825" s="18" t="s">
        <v>34</v>
      </c>
      <c r="G3825" s="19"/>
      <c r="H3825" s="17" t="s">
        <v>35</v>
      </c>
      <c r="I3825" s="17" t="s">
        <v>44</v>
      </c>
      <c r="J3825" s="17"/>
      <c r="K3825" s="17" t="e">
        <f aca="false">VLOOKUP(J3825,Sheet2!A:B,2,0)</f>
        <v>#N/A</v>
      </c>
      <c r="L3825" s="17" t="n">
        <v>5</v>
      </c>
      <c r="M3825" s="17" t="str">
        <f aca="false">VLOOKUP(L3825,Sheet2!D:E,2,0)</f>
        <v>Main Processor CPU BGA</v>
      </c>
      <c r="N3825" s="17" t="n">
        <v>1</v>
      </c>
      <c r="O3825" s="17" t="str">
        <f aca="false">VLOOKUP(N3825,Sheet2!G:H,2,0)</f>
        <v>Dead</v>
      </c>
      <c r="P3825" s="17" t="n">
        <v>11</v>
      </c>
      <c r="Q3825" s="17" t="str">
        <f aca="false">VLOOKUP(P3825,Sheet2!J:K,2,0)</f>
        <v>IR Declared due to CID -TA</v>
      </c>
      <c r="R3825" s="17" t="s">
        <v>35</v>
      </c>
      <c r="S3825" s="17" t="str">
        <f aca="false">VLOOKUP(R3825,Sheet2!N:O,2,0)</f>
        <v>IREPARABLE</v>
      </c>
      <c r="T3825" s="18" t="str">
        <f aca="false">VLOOKUP(P3825,Sheet2!Q:R,2,0)</f>
        <v>IR Normal - Track burn out</v>
      </c>
      <c r="U3825" s="20" t="s">
        <v>41</v>
      </c>
      <c r="V3825" s="17"/>
      <c r="W3825" s="20" t="e">
        <f aca="false">VLOOKUP(V3825,Sheet2!Q:R,2,0)</f>
        <v>#N/A</v>
      </c>
      <c r="X3825" s="17" t="n">
        <f aca="false">J3825</f>
        <v>0</v>
      </c>
      <c r="Y3825" s="17" t="e">
        <f aca="false">VLOOKUP(X3825,Sheet2!A:B,2,0)</f>
        <v>#N/A</v>
      </c>
      <c r="Z3825" s="17"/>
      <c r="AA3825" s="17"/>
      <c r="AB3825" s="17" t="s">
        <v>41</v>
      </c>
      <c r="AC3825" s="0" t="str">
        <f aca="false">LEFT(G3825,2)</f>
        <v/>
      </c>
      <c r="AE3825" s="0"/>
    </row>
    <row r="3826" customFormat="false" ht="15" hidden="false" customHeight="false" outlineLevel="0" collapsed="false">
      <c r="A3826" s="13" t="n">
        <f aca="false">1+A3825</f>
        <v>3824</v>
      </c>
      <c r="B3826" s="14" t="n">
        <v>100</v>
      </c>
      <c r="C3826" s="15"/>
      <c r="D3826" s="16" t="s">
        <v>64</v>
      </c>
      <c r="E3826" s="17" t="s">
        <v>47</v>
      </c>
      <c r="F3826" s="18" t="s">
        <v>34</v>
      </c>
      <c r="G3826" s="19"/>
      <c r="H3826" s="17" t="s">
        <v>35</v>
      </c>
      <c r="I3826" s="17" t="s">
        <v>44</v>
      </c>
      <c r="J3826" s="17"/>
      <c r="K3826" s="17" t="e">
        <f aca="false">VLOOKUP(J3826,Sheet2!A:B,2,0)</f>
        <v>#N/A</v>
      </c>
      <c r="L3826" s="17" t="n">
        <v>5</v>
      </c>
      <c r="M3826" s="17" t="str">
        <f aca="false">VLOOKUP(L3826,Sheet2!D:E,2,0)</f>
        <v>Main Processor CPU BGA</v>
      </c>
      <c r="N3826" s="17" t="n">
        <v>1</v>
      </c>
      <c r="O3826" s="17" t="str">
        <f aca="false">VLOOKUP(N3826,Sheet2!G:H,2,0)</f>
        <v>Dead</v>
      </c>
      <c r="P3826" s="17" t="n">
        <v>11</v>
      </c>
      <c r="Q3826" s="17" t="str">
        <f aca="false">VLOOKUP(P3826,Sheet2!J:K,2,0)</f>
        <v>IR Declared due to CID -TA</v>
      </c>
      <c r="R3826" s="17" t="s">
        <v>35</v>
      </c>
      <c r="S3826" s="17" t="str">
        <f aca="false">VLOOKUP(R3826,Sheet2!N:O,2,0)</f>
        <v>IREPARABLE</v>
      </c>
      <c r="T3826" s="18" t="str">
        <f aca="false">VLOOKUP(P3826,Sheet2!Q:R,2,0)</f>
        <v>IR Normal - Track burn out</v>
      </c>
      <c r="U3826" s="20" t="s">
        <v>41</v>
      </c>
      <c r="V3826" s="17"/>
      <c r="W3826" s="20" t="e">
        <f aca="false">VLOOKUP(V3826,Sheet2!Q:R,2,0)</f>
        <v>#N/A</v>
      </c>
      <c r="X3826" s="17" t="n">
        <f aca="false">J3826</f>
        <v>0</v>
      </c>
      <c r="Y3826" s="17" t="e">
        <f aca="false">VLOOKUP(X3826,Sheet2!A:B,2,0)</f>
        <v>#N/A</v>
      </c>
      <c r="Z3826" s="17"/>
      <c r="AA3826" s="17"/>
      <c r="AB3826" s="17" t="s">
        <v>41</v>
      </c>
      <c r="AC3826" s="0" t="str">
        <f aca="false">LEFT(G3826,2)</f>
        <v/>
      </c>
      <c r="AE3826" s="0"/>
    </row>
    <row r="3827" customFormat="false" ht="15" hidden="false" customHeight="false" outlineLevel="0" collapsed="false">
      <c r="A3827" s="13" t="n">
        <f aca="false">1+A3826</f>
        <v>3825</v>
      </c>
      <c r="B3827" s="14" t="n">
        <v>100</v>
      </c>
      <c r="C3827" s="15"/>
      <c r="D3827" s="16" t="s">
        <v>64</v>
      </c>
      <c r="E3827" s="17" t="s">
        <v>47</v>
      </c>
      <c r="F3827" s="18" t="s">
        <v>34</v>
      </c>
      <c r="G3827" s="19"/>
      <c r="H3827" s="17" t="s">
        <v>35</v>
      </c>
      <c r="I3827" s="17" t="s">
        <v>44</v>
      </c>
      <c r="J3827" s="17"/>
      <c r="K3827" s="17" t="e">
        <f aca="false">VLOOKUP(J3827,Sheet2!A:B,2,0)</f>
        <v>#N/A</v>
      </c>
      <c r="L3827" s="17" t="n">
        <v>5</v>
      </c>
      <c r="M3827" s="17" t="str">
        <f aca="false">VLOOKUP(L3827,Sheet2!D:E,2,0)</f>
        <v>Main Processor CPU BGA</v>
      </c>
      <c r="N3827" s="17" t="n">
        <v>1</v>
      </c>
      <c r="O3827" s="17" t="str">
        <f aca="false">VLOOKUP(N3827,Sheet2!G:H,2,0)</f>
        <v>Dead</v>
      </c>
      <c r="P3827" s="17" t="n">
        <v>11</v>
      </c>
      <c r="Q3827" s="17" t="str">
        <f aca="false">VLOOKUP(P3827,Sheet2!J:K,2,0)</f>
        <v>IR Declared due to CID -TA</v>
      </c>
      <c r="R3827" s="17" t="s">
        <v>35</v>
      </c>
      <c r="S3827" s="17" t="str">
        <f aca="false">VLOOKUP(R3827,Sheet2!N:O,2,0)</f>
        <v>IREPARABLE</v>
      </c>
      <c r="T3827" s="18" t="str">
        <f aca="false">VLOOKUP(P3827,Sheet2!Q:R,2,0)</f>
        <v>IR Normal - Track burn out</v>
      </c>
      <c r="U3827" s="20" t="s">
        <v>41</v>
      </c>
      <c r="V3827" s="17"/>
      <c r="W3827" s="20" t="e">
        <f aca="false">VLOOKUP(V3827,Sheet2!Q:R,2,0)</f>
        <v>#N/A</v>
      </c>
      <c r="X3827" s="17" t="n">
        <f aca="false">J3827</f>
        <v>0</v>
      </c>
      <c r="Y3827" s="17" t="e">
        <f aca="false">VLOOKUP(X3827,Sheet2!A:B,2,0)</f>
        <v>#N/A</v>
      </c>
      <c r="Z3827" s="17"/>
      <c r="AA3827" s="17"/>
      <c r="AB3827" s="17" t="s">
        <v>41</v>
      </c>
      <c r="AC3827" s="0" t="str">
        <f aca="false">LEFT(G3827,2)</f>
        <v/>
      </c>
      <c r="AE3827" s="0"/>
    </row>
    <row r="3828" customFormat="false" ht="15" hidden="false" customHeight="false" outlineLevel="0" collapsed="false">
      <c r="A3828" s="13" t="n">
        <f aca="false">1+A3827</f>
        <v>3826</v>
      </c>
      <c r="B3828" s="14" t="n">
        <v>100</v>
      </c>
      <c r="C3828" s="15"/>
      <c r="D3828" s="16" t="s">
        <v>64</v>
      </c>
      <c r="E3828" s="17" t="s">
        <v>47</v>
      </c>
      <c r="F3828" s="18" t="s">
        <v>34</v>
      </c>
      <c r="G3828" s="19"/>
      <c r="H3828" s="17" t="s">
        <v>35</v>
      </c>
      <c r="I3828" s="17" t="s">
        <v>44</v>
      </c>
      <c r="J3828" s="17"/>
      <c r="K3828" s="17" t="e">
        <f aca="false">VLOOKUP(J3828,Sheet2!A:B,2,0)</f>
        <v>#N/A</v>
      </c>
      <c r="L3828" s="17" t="n">
        <v>5</v>
      </c>
      <c r="M3828" s="17" t="str">
        <f aca="false">VLOOKUP(L3828,Sheet2!D:E,2,0)</f>
        <v>Main Processor CPU BGA</v>
      </c>
      <c r="N3828" s="17" t="n">
        <v>1</v>
      </c>
      <c r="O3828" s="17" t="str">
        <f aca="false">VLOOKUP(N3828,Sheet2!G:H,2,0)</f>
        <v>Dead</v>
      </c>
      <c r="P3828" s="17" t="n">
        <v>11</v>
      </c>
      <c r="Q3828" s="17" t="str">
        <f aca="false">VLOOKUP(P3828,Sheet2!J:K,2,0)</f>
        <v>IR Declared due to CID -TA</v>
      </c>
      <c r="R3828" s="17" t="s">
        <v>35</v>
      </c>
      <c r="S3828" s="17" t="str">
        <f aca="false">VLOOKUP(R3828,Sheet2!N:O,2,0)</f>
        <v>IREPARABLE</v>
      </c>
      <c r="T3828" s="18" t="str">
        <f aca="false">VLOOKUP(P3828,Sheet2!Q:R,2,0)</f>
        <v>IR Normal - Track burn out</v>
      </c>
      <c r="U3828" s="20" t="s">
        <v>41</v>
      </c>
      <c r="V3828" s="17"/>
      <c r="W3828" s="20" t="e">
        <f aca="false">VLOOKUP(V3828,Sheet2!Q:R,2,0)</f>
        <v>#N/A</v>
      </c>
      <c r="X3828" s="17" t="n">
        <f aca="false">J3828</f>
        <v>0</v>
      </c>
      <c r="Y3828" s="17" t="e">
        <f aca="false">VLOOKUP(X3828,Sheet2!A:B,2,0)</f>
        <v>#N/A</v>
      </c>
      <c r="Z3828" s="17"/>
      <c r="AA3828" s="17"/>
      <c r="AB3828" s="17" t="s">
        <v>41</v>
      </c>
      <c r="AC3828" s="0" t="str">
        <f aca="false">LEFT(G3828,2)</f>
        <v/>
      </c>
      <c r="AE3828" s="0"/>
    </row>
    <row r="3829" customFormat="false" ht="15" hidden="false" customHeight="false" outlineLevel="0" collapsed="false">
      <c r="A3829" s="13" t="n">
        <f aca="false">1+A3828</f>
        <v>3827</v>
      </c>
      <c r="B3829" s="14" t="n">
        <v>100</v>
      </c>
      <c r="C3829" s="15"/>
      <c r="D3829" s="16" t="s">
        <v>64</v>
      </c>
      <c r="E3829" s="17" t="s">
        <v>47</v>
      </c>
      <c r="F3829" s="18" t="s">
        <v>34</v>
      </c>
      <c r="G3829" s="19"/>
      <c r="H3829" s="17" t="s">
        <v>35</v>
      </c>
      <c r="I3829" s="17" t="s">
        <v>44</v>
      </c>
      <c r="J3829" s="17"/>
      <c r="K3829" s="17" t="e">
        <f aca="false">VLOOKUP(J3829,Sheet2!A:B,2,0)</f>
        <v>#N/A</v>
      </c>
      <c r="L3829" s="17" t="n">
        <v>5</v>
      </c>
      <c r="M3829" s="17" t="str">
        <f aca="false">VLOOKUP(L3829,Sheet2!D:E,2,0)</f>
        <v>Main Processor CPU BGA</v>
      </c>
      <c r="N3829" s="17" t="n">
        <v>1</v>
      </c>
      <c r="O3829" s="17" t="str">
        <f aca="false">VLOOKUP(N3829,Sheet2!G:H,2,0)</f>
        <v>Dead</v>
      </c>
      <c r="P3829" s="17" t="n">
        <v>11</v>
      </c>
      <c r="Q3829" s="17" t="str">
        <f aca="false">VLOOKUP(P3829,Sheet2!J:K,2,0)</f>
        <v>IR Declared due to CID -TA</v>
      </c>
      <c r="R3829" s="17" t="s">
        <v>35</v>
      </c>
      <c r="S3829" s="17" t="str">
        <f aca="false">VLOOKUP(R3829,Sheet2!N:O,2,0)</f>
        <v>IREPARABLE</v>
      </c>
      <c r="T3829" s="18" t="str">
        <f aca="false">VLOOKUP(P3829,Sheet2!Q:R,2,0)</f>
        <v>IR Normal - Track burn out</v>
      </c>
      <c r="U3829" s="20" t="s">
        <v>41</v>
      </c>
      <c r="V3829" s="17"/>
      <c r="W3829" s="20" t="e">
        <f aca="false">VLOOKUP(V3829,Sheet2!Q:R,2,0)</f>
        <v>#N/A</v>
      </c>
      <c r="X3829" s="17" t="n">
        <f aca="false">J3829</f>
        <v>0</v>
      </c>
      <c r="Y3829" s="17" t="e">
        <f aca="false">VLOOKUP(X3829,Sheet2!A:B,2,0)</f>
        <v>#N/A</v>
      </c>
      <c r="Z3829" s="17"/>
      <c r="AA3829" s="17"/>
      <c r="AB3829" s="17" t="s">
        <v>41</v>
      </c>
      <c r="AC3829" s="0" t="str">
        <f aca="false">LEFT(G3829,2)</f>
        <v/>
      </c>
      <c r="AE3829" s="0"/>
    </row>
    <row r="3830" customFormat="false" ht="15" hidden="false" customHeight="false" outlineLevel="0" collapsed="false">
      <c r="A3830" s="13" t="n">
        <f aca="false">1+A3829</f>
        <v>3828</v>
      </c>
      <c r="B3830" s="14" t="n">
        <v>100</v>
      </c>
      <c r="C3830" s="15"/>
      <c r="D3830" s="16" t="s">
        <v>64</v>
      </c>
      <c r="E3830" s="17" t="s">
        <v>47</v>
      </c>
      <c r="F3830" s="18" t="s">
        <v>34</v>
      </c>
      <c r="G3830" s="19"/>
      <c r="H3830" s="17" t="s">
        <v>35</v>
      </c>
      <c r="I3830" s="17" t="s">
        <v>44</v>
      </c>
      <c r="J3830" s="17"/>
      <c r="K3830" s="17" t="e">
        <f aca="false">VLOOKUP(J3830,Sheet2!A:B,2,0)</f>
        <v>#N/A</v>
      </c>
      <c r="L3830" s="17" t="n">
        <v>5</v>
      </c>
      <c r="M3830" s="17" t="str">
        <f aca="false">VLOOKUP(L3830,Sheet2!D:E,2,0)</f>
        <v>Main Processor CPU BGA</v>
      </c>
      <c r="N3830" s="17" t="n">
        <v>1</v>
      </c>
      <c r="O3830" s="17" t="str">
        <f aca="false">VLOOKUP(N3830,Sheet2!G:H,2,0)</f>
        <v>Dead</v>
      </c>
      <c r="P3830" s="17" t="n">
        <v>11</v>
      </c>
      <c r="Q3830" s="17" t="str">
        <f aca="false">VLOOKUP(P3830,Sheet2!J:K,2,0)</f>
        <v>IR Declared due to CID -TA</v>
      </c>
      <c r="R3830" s="17" t="s">
        <v>35</v>
      </c>
      <c r="S3830" s="17" t="str">
        <f aca="false">VLOOKUP(R3830,Sheet2!N:O,2,0)</f>
        <v>IREPARABLE</v>
      </c>
      <c r="T3830" s="18" t="str">
        <f aca="false">VLOOKUP(P3830,Sheet2!Q:R,2,0)</f>
        <v>IR Normal - Track burn out</v>
      </c>
      <c r="U3830" s="20" t="s">
        <v>41</v>
      </c>
      <c r="V3830" s="17"/>
      <c r="W3830" s="20" t="e">
        <f aca="false">VLOOKUP(V3830,Sheet2!Q:R,2,0)</f>
        <v>#N/A</v>
      </c>
      <c r="X3830" s="17" t="n">
        <f aca="false">J3830</f>
        <v>0</v>
      </c>
      <c r="Y3830" s="17" t="e">
        <f aca="false">VLOOKUP(X3830,Sheet2!A:B,2,0)</f>
        <v>#N/A</v>
      </c>
      <c r="Z3830" s="17"/>
      <c r="AA3830" s="17"/>
      <c r="AB3830" s="17" t="s">
        <v>41</v>
      </c>
      <c r="AC3830" s="0" t="str">
        <f aca="false">LEFT(G3830,2)</f>
        <v/>
      </c>
      <c r="AE3830" s="0"/>
    </row>
    <row r="3831" customFormat="false" ht="15" hidden="false" customHeight="false" outlineLevel="0" collapsed="false">
      <c r="A3831" s="13" t="n">
        <f aca="false">1+A3830</f>
        <v>3829</v>
      </c>
      <c r="B3831" s="14" t="n">
        <v>100</v>
      </c>
      <c r="C3831" s="15"/>
      <c r="D3831" s="16" t="s">
        <v>64</v>
      </c>
      <c r="E3831" s="17" t="s">
        <v>47</v>
      </c>
      <c r="F3831" s="18" t="s">
        <v>34</v>
      </c>
      <c r="G3831" s="19"/>
      <c r="H3831" s="17" t="s">
        <v>35</v>
      </c>
      <c r="I3831" s="17" t="s">
        <v>44</v>
      </c>
      <c r="J3831" s="17"/>
      <c r="K3831" s="17" t="e">
        <f aca="false">VLOOKUP(J3831,Sheet2!A:B,2,0)</f>
        <v>#N/A</v>
      </c>
      <c r="L3831" s="17" t="n">
        <v>5</v>
      </c>
      <c r="M3831" s="17" t="str">
        <f aca="false">VLOOKUP(L3831,Sheet2!D:E,2,0)</f>
        <v>Main Processor CPU BGA</v>
      </c>
      <c r="N3831" s="17" t="n">
        <v>1</v>
      </c>
      <c r="O3831" s="17" t="str">
        <f aca="false">VLOOKUP(N3831,Sheet2!G:H,2,0)</f>
        <v>Dead</v>
      </c>
      <c r="P3831" s="17" t="n">
        <v>11</v>
      </c>
      <c r="Q3831" s="17" t="str">
        <f aca="false">VLOOKUP(P3831,Sheet2!J:K,2,0)</f>
        <v>IR Declared due to CID -TA</v>
      </c>
      <c r="R3831" s="17" t="s">
        <v>35</v>
      </c>
      <c r="S3831" s="17" t="str">
        <f aca="false">VLOOKUP(R3831,Sheet2!N:O,2,0)</f>
        <v>IREPARABLE</v>
      </c>
      <c r="T3831" s="18" t="str">
        <f aca="false">VLOOKUP(P3831,Sheet2!Q:R,2,0)</f>
        <v>IR Normal - Track burn out</v>
      </c>
      <c r="U3831" s="20" t="s">
        <v>41</v>
      </c>
      <c r="V3831" s="17"/>
      <c r="W3831" s="20" t="e">
        <f aca="false">VLOOKUP(V3831,Sheet2!Q:R,2,0)</f>
        <v>#N/A</v>
      </c>
      <c r="X3831" s="17" t="n">
        <f aca="false">J3831</f>
        <v>0</v>
      </c>
      <c r="Y3831" s="17" t="e">
        <f aca="false">VLOOKUP(X3831,Sheet2!A:B,2,0)</f>
        <v>#N/A</v>
      </c>
      <c r="Z3831" s="17"/>
      <c r="AA3831" s="17"/>
      <c r="AB3831" s="17" t="s">
        <v>41</v>
      </c>
      <c r="AC3831" s="0" t="str">
        <f aca="false">LEFT(G3831,2)</f>
        <v/>
      </c>
      <c r="AE3831" s="0"/>
    </row>
    <row r="3832" customFormat="false" ht="15" hidden="false" customHeight="false" outlineLevel="0" collapsed="false">
      <c r="A3832" s="13" t="n">
        <f aca="false">1+A3831</f>
        <v>3830</v>
      </c>
      <c r="B3832" s="14" t="n">
        <v>100</v>
      </c>
      <c r="C3832" s="15"/>
      <c r="D3832" s="16" t="s">
        <v>64</v>
      </c>
      <c r="E3832" s="17" t="s">
        <v>47</v>
      </c>
      <c r="F3832" s="18" t="s">
        <v>34</v>
      </c>
      <c r="G3832" s="19"/>
      <c r="H3832" s="17" t="s">
        <v>35</v>
      </c>
      <c r="I3832" s="17" t="s">
        <v>44</v>
      </c>
      <c r="J3832" s="17"/>
      <c r="K3832" s="17" t="e">
        <f aca="false">VLOOKUP(J3832,Sheet2!A:B,2,0)</f>
        <v>#N/A</v>
      </c>
      <c r="L3832" s="17" t="n">
        <v>5</v>
      </c>
      <c r="M3832" s="17" t="str">
        <f aca="false">VLOOKUP(L3832,Sheet2!D:E,2,0)</f>
        <v>Main Processor CPU BGA</v>
      </c>
      <c r="N3832" s="17" t="n">
        <v>1</v>
      </c>
      <c r="O3832" s="17" t="str">
        <f aca="false">VLOOKUP(N3832,Sheet2!G:H,2,0)</f>
        <v>Dead</v>
      </c>
      <c r="P3832" s="17" t="n">
        <v>11</v>
      </c>
      <c r="Q3832" s="17" t="str">
        <f aca="false">VLOOKUP(P3832,Sheet2!J:K,2,0)</f>
        <v>IR Declared due to CID -TA</v>
      </c>
      <c r="R3832" s="17" t="s">
        <v>35</v>
      </c>
      <c r="S3832" s="17" t="str">
        <f aca="false">VLOOKUP(R3832,Sheet2!N:O,2,0)</f>
        <v>IREPARABLE</v>
      </c>
      <c r="T3832" s="18" t="str">
        <f aca="false">VLOOKUP(P3832,Sheet2!Q:R,2,0)</f>
        <v>IR Normal - Track burn out</v>
      </c>
      <c r="U3832" s="20" t="s">
        <v>41</v>
      </c>
      <c r="V3832" s="17"/>
      <c r="W3832" s="20" t="e">
        <f aca="false">VLOOKUP(V3832,Sheet2!Q:R,2,0)</f>
        <v>#N/A</v>
      </c>
      <c r="X3832" s="17" t="n">
        <f aca="false">J3832</f>
        <v>0</v>
      </c>
      <c r="Y3832" s="17" t="e">
        <f aca="false">VLOOKUP(X3832,Sheet2!A:B,2,0)</f>
        <v>#N/A</v>
      </c>
      <c r="Z3832" s="17"/>
      <c r="AA3832" s="17"/>
      <c r="AB3832" s="17" t="s">
        <v>41</v>
      </c>
      <c r="AC3832" s="0" t="str">
        <f aca="false">LEFT(G3832,2)</f>
        <v/>
      </c>
      <c r="AE3832" s="0"/>
    </row>
    <row r="3833" customFormat="false" ht="15" hidden="false" customHeight="false" outlineLevel="0" collapsed="false">
      <c r="A3833" s="13" t="n">
        <f aca="false">1+A3832</f>
        <v>3831</v>
      </c>
      <c r="B3833" s="14" t="n">
        <v>100</v>
      </c>
      <c r="C3833" s="15"/>
      <c r="D3833" s="16" t="s">
        <v>64</v>
      </c>
      <c r="E3833" s="17" t="s">
        <v>47</v>
      </c>
      <c r="F3833" s="18" t="s">
        <v>34</v>
      </c>
      <c r="G3833" s="19"/>
      <c r="H3833" s="17" t="s">
        <v>35</v>
      </c>
      <c r="I3833" s="17" t="s">
        <v>44</v>
      </c>
      <c r="J3833" s="17"/>
      <c r="K3833" s="17" t="e">
        <f aca="false">VLOOKUP(J3833,Sheet2!A:B,2,0)</f>
        <v>#N/A</v>
      </c>
      <c r="L3833" s="17" t="n">
        <v>5</v>
      </c>
      <c r="M3833" s="17" t="str">
        <f aca="false">VLOOKUP(L3833,Sheet2!D:E,2,0)</f>
        <v>Main Processor CPU BGA</v>
      </c>
      <c r="N3833" s="17" t="n">
        <v>1</v>
      </c>
      <c r="O3833" s="17" t="str">
        <f aca="false">VLOOKUP(N3833,Sheet2!G:H,2,0)</f>
        <v>Dead</v>
      </c>
      <c r="P3833" s="17" t="n">
        <v>11</v>
      </c>
      <c r="Q3833" s="17" t="str">
        <f aca="false">VLOOKUP(P3833,Sheet2!J:K,2,0)</f>
        <v>IR Declared due to CID -TA</v>
      </c>
      <c r="R3833" s="17" t="s">
        <v>35</v>
      </c>
      <c r="S3833" s="17" t="str">
        <f aca="false">VLOOKUP(R3833,Sheet2!N:O,2,0)</f>
        <v>IREPARABLE</v>
      </c>
      <c r="T3833" s="18" t="str">
        <f aca="false">VLOOKUP(P3833,Sheet2!Q:R,2,0)</f>
        <v>IR Normal - Track burn out</v>
      </c>
      <c r="U3833" s="20" t="s">
        <v>41</v>
      </c>
      <c r="V3833" s="17"/>
      <c r="W3833" s="20" t="e">
        <f aca="false">VLOOKUP(V3833,Sheet2!Q:R,2,0)</f>
        <v>#N/A</v>
      </c>
      <c r="X3833" s="17" t="n">
        <f aca="false">J3833</f>
        <v>0</v>
      </c>
      <c r="Y3833" s="17" t="e">
        <f aca="false">VLOOKUP(X3833,Sheet2!A:B,2,0)</f>
        <v>#N/A</v>
      </c>
      <c r="Z3833" s="17"/>
      <c r="AA3833" s="17"/>
      <c r="AB3833" s="17" t="s">
        <v>41</v>
      </c>
      <c r="AC3833" s="0" t="str">
        <f aca="false">LEFT(G3833,2)</f>
        <v/>
      </c>
      <c r="AE3833" s="0"/>
    </row>
    <row r="3834" customFormat="false" ht="15" hidden="false" customHeight="false" outlineLevel="0" collapsed="false">
      <c r="A3834" s="13" t="n">
        <f aca="false">1+A3833</f>
        <v>3832</v>
      </c>
      <c r="B3834" s="14" t="n">
        <v>100</v>
      </c>
      <c r="C3834" s="15"/>
      <c r="D3834" s="16" t="s">
        <v>64</v>
      </c>
      <c r="E3834" s="17" t="s">
        <v>47</v>
      </c>
      <c r="F3834" s="18" t="s">
        <v>34</v>
      </c>
      <c r="G3834" s="19"/>
      <c r="H3834" s="17" t="s">
        <v>35</v>
      </c>
      <c r="I3834" s="17" t="s">
        <v>44</v>
      </c>
      <c r="J3834" s="17"/>
      <c r="K3834" s="17" t="e">
        <f aca="false">VLOOKUP(J3834,Sheet2!A:B,2,0)</f>
        <v>#N/A</v>
      </c>
      <c r="L3834" s="17" t="n">
        <v>5</v>
      </c>
      <c r="M3834" s="17" t="str">
        <f aca="false">VLOOKUP(L3834,Sheet2!D:E,2,0)</f>
        <v>Main Processor CPU BGA</v>
      </c>
      <c r="N3834" s="17" t="n">
        <v>1</v>
      </c>
      <c r="O3834" s="17" t="str">
        <f aca="false">VLOOKUP(N3834,Sheet2!G:H,2,0)</f>
        <v>Dead</v>
      </c>
      <c r="P3834" s="17" t="n">
        <v>11</v>
      </c>
      <c r="Q3834" s="17" t="str">
        <f aca="false">VLOOKUP(P3834,Sheet2!J:K,2,0)</f>
        <v>IR Declared due to CID -TA</v>
      </c>
      <c r="R3834" s="17" t="s">
        <v>35</v>
      </c>
      <c r="S3834" s="17" t="str">
        <f aca="false">VLOOKUP(R3834,Sheet2!N:O,2,0)</f>
        <v>IREPARABLE</v>
      </c>
      <c r="T3834" s="18" t="str">
        <f aca="false">VLOOKUP(P3834,Sheet2!Q:R,2,0)</f>
        <v>IR Normal - Track burn out</v>
      </c>
      <c r="U3834" s="20" t="s">
        <v>41</v>
      </c>
      <c r="V3834" s="17"/>
      <c r="W3834" s="20" t="e">
        <f aca="false">VLOOKUP(V3834,Sheet2!Q:R,2,0)</f>
        <v>#N/A</v>
      </c>
      <c r="X3834" s="17" t="n">
        <f aca="false">J3834</f>
        <v>0</v>
      </c>
      <c r="Y3834" s="17" t="e">
        <f aca="false">VLOOKUP(X3834,Sheet2!A:B,2,0)</f>
        <v>#N/A</v>
      </c>
      <c r="Z3834" s="17"/>
      <c r="AA3834" s="17"/>
      <c r="AB3834" s="17" t="s">
        <v>41</v>
      </c>
      <c r="AC3834" s="0" t="str">
        <f aca="false">LEFT(G3834,2)</f>
        <v/>
      </c>
      <c r="AE3834" s="0"/>
    </row>
    <row r="3835" customFormat="false" ht="15" hidden="false" customHeight="false" outlineLevel="0" collapsed="false">
      <c r="A3835" s="13" t="n">
        <f aca="false">1+A3834</f>
        <v>3833</v>
      </c>
      <c r="B3835" s="14" t="n">
        <v>100</v>
      </c>
      <c r="C3835" s="15"/>
      <c r="D3835" s="16" t="s">
        <v>64</v>
      </c>
      <c r="E3835" s="17" t="s">
        <v>47</v>
      </c>
      <c r="F3835" s="18" t="s">
        <v>34</v>
      </c>
      <c r="G3835" s="19"/>
      <c r="H3835" s="17" t="s">
        <v>35</v>
      </c>
      <c r="I3835" s="17" t="s">
        <v>44</v>
      </c>
      <c r="J3835" s="17"/>
      <c r="K3835" s="17" t="e">
        <f aca="false">VLOOKUP(J3835,Sheet2!A:B,2,0)</f>
        <v>#N/A</v>
      </c>
      <c r="L3835" s="17" t="n">
        <v>5</v>
      </c>
      <c r="M3835" s="17" t="str">
        <f aca="false">VLOOKUP(L3835,Sheet2!D:E,2,0)</f>
        <v>Main Processor CPU BGA</v>
      </c>
      <c r="N3835" s="17" t="n">
        <v>1</v>
      </c>
      <c r="O3835" s="17" t="str">
        <f aca="false">VLOOKUP(N3835,Sheet2!G:H,2,0)</f>
        <v>Dead</v>
      </c>
      <c r="P3835" s="17" t="n">
        <v>11</v>
      </c>
      <c r="Q3835" s="17" t="str">
        <f aca="false">VLOOKUP(P3835,Sheet2!J:K,2,0)</f>
        <v>IR Declared due to CID -TA</v>
      </c>
      <c r="R3835" s="17" t="s">
        <v>35</v>
      </c>
      <c r="S3835" s="17" t="str">
        <f aca="false">VLOOKUP(R3835,Sheet2!N:O,2,0)</f>
        <v>IREPARABLE</v>
      </c>
      <c r="T3835" s="18" t="str">
        <f aca="false">VLOOKUP(P3835,Sheet2!Q:R,2,0)</f>
        <v>IR Normal - Track burn out</v>
      </c>
      <c r="U3835" s="20" t="s">
        <v>41</v>
      </c>
      <c r="V3835" s="17"/>
      <c r="W3835" s="20" t="e">
        <f aca="false">VLOOKUP(V3835,Sheet2!Q:R,2,0)</f>
        <v>#N/A</v>
      </c>
      <c r="X3835" s="17" t="n">
        <f aca="false">J3835</f>
        <v>0</v>
      </c>
      <c r="Y3835" s="17" t="e">
        <f aca="false">VLOOKUP(X3835,Sheet2!A:B,2,0)</f>
        <v>#N/A</v>
      </c>
      <c r="Z3835" s="17"/>
      <c r="AA3835" s="17"/>
      <c r="AB3835" s="17" t="s">
        <v>41</v>
      </c>
      <c r="AC3835" s="0" t="str">
        <f aca="false">LEFT(G3835,2)</f>
        <v/>
      </c>
      <c r="AE3835" s="0"/>
    </row>
    <row r="3836" customFormat="false" ht="15" hidden="false" customHeight="false" outlineLevel="0" collapsed="false">
      <c r="A3836" s="13" t="n">
        <f aca="false">1+A3835</f>
        <v>3834</v>
      </c>
      <c r="B3836" s="14" t="n">
        <v>100</v>
      </c>
      <c r="C3836" s="15"/>
      <c r="D3836" s="16" t="s">
        <v>64</v>
      </c>
      <c r="E3836" s="17" t="s">
        <v>47</v>
      </c>
      <c r="F3836" s="18" t="s">
        <v>34</v>
      </c>
      <c r="G3836" s="19"/>
      <c r="H3836" s="17" t="s">
        <v>35</v>
      </c>
      <c r="I3836" s="17" t="s">
        <v>44</v>
      </c>
      <c r="J3836" s="17"/>
      <c r="K3836" s="17" t="e">
        <f aca="false">VLOOKUP(J3836,Sheet2!A:B,2,0)</f>
        <v>#N/A</v>
      </c>
      <c r="L3836" s="17" t="n">
        <v>5</v>
      </c>
      <c r="M3836" s="17" t="str">
        <f aca="false">VLOOKUP(L3836,Sheet2!D:E,2,0)</f>
        <v>Main Processor CPU BGA</v>
      </c>
      <c r="N3836" s="17" t="n">
        <v>1</v>
      </c>
      <c r="O3836" s="17" t="str">
        <f aca="false">VLOOKUP(N3836,Sheet2!G:H,2,0)</f>
        <v>Dead</v>
      </c>
      <c r="P3836" s="17" t="n">
        <v>11</v>
      </c>
      <c r="Q3836" s="17" t="str">
        <f aca="false">VLOOKUP(P3836,Sheet2!J:K,2,0)</f>
        <v>IR Declared due to CID -TA</v>
      </c>
      <c r="R3836" s="17" t="s">
        <v>35</v>
      </c>
      <c r="S3836" s="17" t="str">
        <f aca="false">VLOOKUP(R3836,Sheet2!N:O,2,0)</f>
        <v>IREPARABLE</v>
      </c>
      <c r="T3836" s="18" t="str">
        <f aca="false">VLOOKUP(P3836,Sheet2!Q:R,2,0)</f>
        <v>IR Normal - Track burn out</v>
      </c>
      <c r="U3836" s="20" t="s">
        <v>41</v>
      </c>
      <c r="V3836" s="17"/>
      <c r="W3836" s="20" t="e">
        <f aca="false">VLOOKUP(V3836,Sheet2!Q:R,2,0)</f>
        <v>#N/A</v>
      </c>
      <c r="X3836" s="17" t="n">
        <f aca="false">J3836</f>
        <v>0</v>
      </c>
      <c r="Y3836" s="17" t="e">
        <f aca="false">VLOOKUP(X3836,Sheet2!A:B,2,0)</f>
        <v>#N/A</v>
      </c>
      <c r="Z3836" s="17"/>
      <c r="AA3836" s="17"/>
      <c r="AB3836" s="17" t="s">
        <v>41</v>
      </c>
      <c r="AC3836" s="0" t="str">
        <f aca="false">LEFT(G3836,2)</f>
        <v/>
      </c>
      <c r="AE3836" s="0"/>
    </row>
    <row r="3837" customFormat="false" ht="15" hidden="false" customHeight="false" outlineLevel="0" collapsed="false">
      <c r="A3837" s="13" t="n">
        <f aca="false">1+A3836</f>
        <v>3835</v>
      </c>
      <c r="B3837" s="14" t="n">
        <v>100</v>
      </c>
      <c r="C3837" s="15"/>
      <c r="D3837" s="16" t="s">
        <v>64</v>
      </c>
      <c r="E3837" s="17" t="s">
        <v>47</v>
      </c>
      <c r="F3837" s="18" t="s">
        <v>34</v>
      </c>
      <c r="G3837" s="19"/>
      <c r="H3837" s="17" t="s">
        <v>35</v>
      </c>
      <c r="I3837" s="17" t="s">
        <v>44</v>
      </c>
      <c r="J3837" s="17"/>
      <c r="K3837" s="17" t="e">
        <f aca="false">VLOOKUP(J3837,Sheet2!A:B,2,0)</f>
        <v>#N/A</v>
      </c>
      <c r="L3837" s="17" t="n">
        <v>5</v>
      </c>
      <c r="M3837" s="17" t="str">
        <f aca="false">VLOOKUP(L3837,Sheet2!D:E,2,0)</f>
        <v>Main Processor CPU BGA</v>
      </c>
      <c r="N3837" s="17" t="n">
        <v>1</v>
      </c>
      <c r="O3837" s="17" t="str">
        <f aca="false">VLOOKUP(N3837,Sheet2!G:H,2,0)</f>
        <v>Dead</v>
      </c>
      <c r="P3837" s="17" t="n">
        <v>11</v>
      </c>
      <c r="Q3837" s="17" t="str">
        <f aca="false">VLOOKUP(P3837,Sheet2!J:K,2,0)</f>
        <v>IR Declared due to CID -TA</v>
      </c>
      <c r="R3837" s="17" t="s">
        <v>35</v>
      </c>
      <c r="S3837" s="17" t="str">
        <f aca="false">VLOOKUP(R3837,Sheet2!N:O,2,0)</f>
        <v>IREPARABLE</v>
      </c>
      <c r="T3837" s="18" t="str">
        <f aca="false">VLOOKUP(P3837,Sheet2!Q:R,2,0)</f>
        <v>IR Normal - Track burn out</v>
      </c>
      <c r="U3837" s="20" t="s">
        <v>41</v>
      </c>
      <c r="V3837" s="17"/>
      <c r="W3837" s="20" t="e">
        <f aca="false">VLOOKUP(V3837,Sheet2!Q:R,2,0)</f>
        <v>#N/A</v>
      </c>
      <c r="X3837" s="17" t="n">
        <f aca="false">J3837</f>
        <v>0</v>
      </c>
      <c r="Y3837" s="17" t="e">
        <f aca="false">VLOOKUP(X3837,Sheet2!A:B,2,0)</f>
        <v>#N/A</v>
      </c>
      <c r="Z3837" s="17"/>
      <c r="AA3837" s="17"/>
      <c r="AB3837" s="17" t="s">
        <v>41</v>
      </c>
      <c r="AC3837" s="0" t="str">
        <f aca="false">LEFT(G3837,2)</f>
        <v/>
      </c>
      <c r="AE3837" s="0"/>
    </row>
    <row r="3838" customFormat="false" ht="15" hidden="false" customHeight="false" outlineLevel="0" collapsed="false">
      <c r="A3838" s="13" t="n">
        <f aca="false">1+A3837</f>
        <v>3836</v>
      </c>
      <c r="B3838" s="14" t="n">
        <v>100</v>
      </c>
      <c r="C3838" s="15"/>
      <c r="D3838" s="16" t="s">
        <v>64</v>
      </c>
      <c r="E3838" s="17" t="s">
        <v>47</v>
      </c>
      <c r="F3838" s="18" t="s">
        <v>34</v>
      </c>
      <c r="G3838" s="19"/>
      <c r="H3838" s="17" t="s">
        <v>35</v>
      </c>
      <c r="I3838" s="17" t="s">
        <v>44</v>
      </c>
      <c r="J3838" s="17"/>
      <c r="K3838" s="17" t="e">
        <f aca="false">VLOOKUP(J3838,Sheet2!A:B,2,0)</f>
        <v>#N/A</v>
      </c>
      <c r="L3838" s="17" t="n">
        <v>5</v>
      </c>
      <c r="M3838" s="17" t="str">
        <f aca="false">VLOOKUP(L3838,Sheet2!D:E,2,0)</f>
        <v>Main Processor CPU BGA</v>
      </c>
      <c r="N3838" s="17" t="n">
        <v>1</v>
      </c>
      <c r="O3838" s="17" t="str">
        <f aca="false">VLOOKUP(N3838,Sheet2!G:H,2,0)</f>
        <v>Dead</v>
      </c>
      <c r="P3838" s="17" t="n">
        <v>11</v>
      </c>
      <c r="Q3838" s="17" t="str">
        <f aca="false">VLOOKUP(P3838,Sheet2!J:K,2,0)</f>
        <v>IR Declared due to CID -TA</v>
      </c>
      <c r="R3838" s="17" t="s">
        <v>35</v>
      </c>
      <c r="S3838" s="17" t="str">
        <f aca="false">VLOOKUP(R3838,Sheet2!N:O,2,0)</f>
        <v>IREPARABLE</v>
      </c>
      <c r="T3838" s="18" t="str">
        <f aca="false">VLOOKUP(P3838,Sheet2!Q:R,2,0)</f>
        <v>IR Normal - Track burn out</v>
      </c>
      <c r="U3838" s="20" t="s">
        <v>41</v>
      </c>
      <c r="V3838" s="17"/>
      <c r="W3838" s="20" t="e">
        <f aca="false">VLOOKUP(V3838,Sheet2!Q:R,2,0)</f>
        <v>#N/A</v>
      </c>
      <c r="X3838" s="17" t="n">
        <f aca="false">J3838</f>
        <v>0</v>
      </c>
      <c r="Y3838" s="17" t="e">
        <f aca="false">VLOOKUP(X3838,Sheet2!A:B,2,0)</f>
        <v>#N/A</v>
      </c>
      <c r="Z3838" s="17"/>
      <c r="AA3838" s="17"/>
      <c r="AB3838" s="17" t="s">
        <v>41</v>
      </c>
      <c r="AC3838" s="0" t="str">
        <f aca="false">LEFT(G3838,2)</f>
        <v/>
      </c>
      <c r="AE3838" s="0"/>
    </row>
    <row r="3839" customFormat="false" ht="15" hidden="false" customHeight="false" outlineLevel="0" collapsed="false">
      <c r="A3839" s="13" t="n">
        <f aca="false">1+A3838</f>
        <v>3837</v>
      </c>
      <c r="B3839" s="14" t="n">
        <v>100</v>
      </c>
      <c r="C3839" s="15"/>
      <c r="D3839" s="16" t="s">
        <v>64</v>
      </c>
      <c r="E3839" s="17" t="s">
        <v>47</v>
      </c>
      <c r="F3839" s="18" t="s">
        <v>34</v>
      </c>
      <c r="G3839" s="19"/>
      <c r="H3839" s="17" t="s">
        <v>35</v>
      </c>
      <c r="I3839" s="17" t="s">
        <v>44</v>
      </c>
      <c r="J3839" s="17"/>
      <c r="K3839" s="17" t="e">
        <f aca="false">VLOOKUP(J3839,Sheet2!A:B,2,0)</f>
        <v>#N/A</v>
      </c>
      <c r="L3839" s="17" t="n">
        <v>5</v>
      </c>
      <c r="M3839" s="17" t="str">
        <f aca="false">VLOOKUP(L3839,Sheet2!D:E,2,0)</f>
        <v>Main Processor CPU BGA</v>
      </c>
      <c r="N3839" s="17" t="n">
        <v>1</v>
      </c>
      <c r="O3839" s="17" t="str">
        <f aca="false">VLOOKUP(N3839,Sheet2!G:H,2,0)</f>
        <v>Dead</v>
      </c>
      <c r="P3839" s="17" t="n">
        <v>11</v>
      </c>
      <c r="Q3839" s="17" t="str">
        <f aca="false">VLOOKUP(P3839,Sheet2!J:K,2,0)</f>
        <v>IR Declared due to CID -TA</v>
      </c>
      <c r="R3839" s="17" t="s">
        <v>35</v>
      </c>
      <c r="S3839" s="17" t="str">
        <f aca="false">VLOOKUP(R3839,Sheet2!N:O,2,0)</f>
        <v>IREPARABLE</v>
      </c>
      <c r="T3839" s="18" t="str">
        <f aca="false">VLOOKUP(P3839,Sheet2!Q:R,2,0)</f>
        <v>IR Normal - Track burn out</v>
      </c>
      <c r="U3839" s="20" t="s">
        <v>41</v>
      </c>
      <c r="V3839" s="17"/>
      <c r="W3839" s="20" t="e">
        <f aca="false">VLOOKUP(V3839,Sheet2!Q:R,2,0)</f>
        <v>#N/A</v>
      </c>
      <c r="X3839" s="17" t="n">
        <f aca="false">J3839</f>
        <v>0</v>
      </c>
      <c r="Y3839" s="17" t="e">
        <f aca="false">VLOOKUP(X3839,Sheet2!A:B,2,0)</f>
        <v>#N/A</v>
      </c>
      <c r="Z3839" s="17"/>
      <c r="AA3839" s="17"/>
      <c r="AB3839" s="17" t="s">
        <v>41</v>
      </c>
      <c r="AC3839" s="0" t="str">
        <f aca="false">LEFT(G3839,2)</f>
        <v/>
      </c>
      <c r="AE3839" s="0"/>
    </row>
    <row r="3840" customFormat="false" ht="15" hidden="false" customHeight="false" outlineLevel="0" collapsed="false">
      <c r="A3840" s="13" t="n">
        <f aca="false">1+A3839</f>
        <v>3838</v>
      </c>
      <c r="B3840" s="14" t="n">
        <v>100</v>
      </c>
      <c r="C3840" s="15"/>
      <c r="D3840" s="16" t="s">
        <v>64</v>
      </c>
      <c r="E3840" s="17" t="s">
        <v>47</v>
      </c>
      <c r="F3840" s="18" t="s">
        <v>34</v>
      </c>
      <c r="G3840" s="19"/>
      <c r="H3840" s="17" t="s">
        <v>35</v>
      </c>
      <c r="I3840" s="17" t="s">
        <v>44</v>
      </c>
      <c r="J3840" s="17"/>
      <c r="K3840" s="17" t="e">
        <f aca="false">VLOOKUP(J3840,Sheet2!A:B,2,0)</f>
        <v>#N/A</v>
      </c>
      <c r="L3840" s="17" t="n">
        <v>5</v>
      </c>
      <c r="M3840" s="17" t="str">
        <f aca="false">VLOOKUP(L3840,Sheet2!D:E,2,0)</f>
        <v>Main Processor CPU BGA</v>
      </c>
      <c r="N3840" s="17" t="n">
        <v>1</v>
      </c>
      <c r="O3840" s="17" t="str">
        <f aca="false">VLOOKUP(N3840,Sheet2!G:H,2,0)</f>
        <v>Dead</v>
      </c>
      <c r="P3840" s="17" t="n">
        <v>11</v>
      </c>
      <c r="Q3840" s="17" t="str">
        <f aca="false">VLOOKUP(P3840,Sheet2!J:K,2,0)</f>
        <v>IR Declared due to CID -TA</v>
      </c>
      <c r="R3840" s="17" t="s">
        <v>35</v>
      </c>
      <c r="S3840" s="17" t="str">
        <f aca="false">VLOOKUP(R3840,Sheet2!N:O,2,0)</f>
        <v>IREPARABLE</v>
      </c>
      <c r="T3840" s="18" t="str">
        <f aca="false">VLOOKUP(P3840,Sheet2!Q:R,2,0)</f>
        <v>IR Normal - Track burn out</v>
      </c>
      <c r="U3840" s="20" t="s">
        <v>41</v>
      </c>
      <c r="V3840" s="17"/>
      <c r="W3840" s="20" t="e">
        <f aca="false">VLOOKUP(V3840,Sheet2!Q:R,2,0)</f>
        <v>#N/A</v>
      </c>
      <c r="X3840" s="17" t="n">
        <f aca="false">J3840</f>
        <v>0</v>
      </c>
      <c r="Y3840" s="17" t="e">
        <f aca="false">VLOOKUP(X3840,Sheet2!A:B,2,0)</f>
        <v>#N/A</v>
      </c>
      <c r="Z3840" s="17"/>
      <c r="AA3840" s="17"/>
      <c r="AB3840" s="17" t="s">
        <v>41</v>
      </c>
      <c r="AC3840" s="0" t="str">
        <f aca="false">LEFT(G3840,2)</f>
        <v/>
      </c>
      <c r="AE3840" s="0"/>
    </row>
    <row r="3841" customFormat="false" ht="15" hidden="false" customHeight="false" outlineLevel="0" collapsed="false">
      <c r="A3841" s="13" t="n">
        <f aca="false">1+A3840</f>
        <v>3839</v>
      </c>
      <c r="B3841" s="14" t="n">
        <v>100</v>
      </c>
      <c r="C3841" s="15"/>
      <c r="D3841" s="16" t="s">
        <v>64</v>
      </c>
      <c r="E3841" s="17" t="s">
        <v>47</v>
      </c>
      <c r="F3841" s="18" t="s">
        <v>34</v>
      </c>
      <c r="G3841" s="19"/>
      <c r="H3841" s="17" t="s">
        <v>35</v>
      </c>
      <c r="I3841" s="17" t="s">
        <v>44</v>
      </c>
      <c r="J3841" s="17"/>
      <c r="K3841" s="17" t="e">
        <f aca="false">VLOOKUP(J3841,Sheet2!A:B,2,0)</f>
        <v>#N/A</v>
      </c>
      <c r="L3841" s="17" t="n">
        <v>5</v>
      </c>
      <c r="M3841" s="17" t="str">
        <f aca="false">VLOOKUP(L3841,Sheet2!D:E,2,0)</f>
        <v>Main Processor CPU BGA</v>
      </c>
      <c r="N3841" s="17" t="n">
        <v>1</v>
      </c>
      <c r="O3841" s="17" t="str">
        <f aca="false">VLOOKUP(N3841,Sheet2!G:H,2,0)</f>
        <v>Dead</v>
      </c>
      <c r="P3841" s="17" t="n">
        <v>11</v>
      </c>
      <c r="Q3841" s="17" t="str">
        <f aca="false">VLOOKUP(P3841,Sheet2!J:K,2,0)</f>
        <v>IR Declared due to CID -TA</v>
      </c>
      <c r="R3841" s="17" t="s">
        <v>35</v>
      </c>
      <c r="S3841" s="17" t="str">
        <f aca="false">VLOOKUP(R3841,Sheet2!N:O,2,0)</f>
        <v>IREPARABLE</v>
      </c>
      <c r="T3841" s="18" t="str">
        <f aca="false">VLOOKUP(P3841,Sheet2!Q:R,2,0)</f>
        <v>IR Normal - Track burn out</v>
      </c>
      <c r="U3841" s="20" t="s">
        <v>41</v>
      </c>
      <c r="V3841" s="17"/>
      <c r="W3841" s="20" t="e">
        <f aca="false">VLOOKUP(V3841,Sheet2!Q:R,2,0)</f>
        <v>#N/A</v>
      </c>
      <c r="X3841" s="17" t="n">
        <f aca="false">J3841</f>
        <v>0</v>
      </c>
      <c r="Y3841" s="17" t="e">
        <f aca="false">VLOOKUP(X3841,Sheet2!A:B,2,0)</f>
        <v>#N/A</v>
      </c>
      <c r="Z3841" s="17"/>
      <c r="AA3841" s="17"/>
      <c r="AB3841" s="17" t="s">
        <v>41</v>
      </c>
      <c r="AC3841" s="0" t="str">
        <f aca="false">LEFT(G3841,2)</f>
        <v/>
      </c>
      <c r="AE3841" s="0"/>
    </row>
    <row r="3842" customFormat="false" ht="15" hidden="false" customHeight="false" outlineLevel="0" collapsed="false">
      <c r="A3842" s="13" t="n">
        <f aca="false">1+A3841</f>
        <v>3840</v>
      </c>
      <c r="B3842" s="14" t="n">
        <v>100</v>
      </c>
      <c r="C3842" s="15"/>
      <c r="D3842" s="16" t="s">
        <v>64</v>
      </c>
      <c r="E3842" s="17" t="s">
        <v>47</v>
      </c>
      <c r="F3842" s="18" t="s">
        <v>34</v>
      </c>
      <c r="G3842" s="19"/>
      <c r="H3842" s="17" t="s">
        <v>35</v>
      </c>
      <c r="I3842" s="17" t="s">
        <v>44</v>
      </c>
      <c r="J3842" s="17"/>
      <c r="K3842" s="17" t="e">
        <f aca="false">VLOOKUP(J3842,Sheet2!A:B,2,0)</f>
        <v>#N/A</v>
      </c>
      <c r="L3842" s="17" t="n">
        <v>5</v>
      </c>
      <c r="M3842" s="17" t="str">
        <f aca="false">VLOOKUP(L3842,Sheet2!D:E,2,0)</f>
        <v>Main Processor CPU BGA</v>
      </c>
      <c r="N3842" s="17" t="n">
        <v>1</v>
      </c>
      <c r="O3842" s="17" t="str">
        <f aca="false">VLOOKUP(N3842,Sheet2!G:H,2,0)</f>
        <v>Dead</v>
      </c>
      <c r="P3842" s="17" t="n">
        <v>11</v>
      </c>
      <c r="Q3842" s="17" t="str">
        <f aca="false">VLOOKUP(P3842,Sheet2!J:K,2,0)</f>
        <v>IR Declared due to CID -TA</v>
      </c>
      <c r="R3842" s="17" t="s">
        <v>35</v>
      </c>
      <c r="S3842" s="17" t="str">
        <f aca="false">VLOOKUP(R3842,Sheet2!N:O,2,0)</f>
        <v>IREPARABLE</v>
      </c>
      <c r="T3842" s="18" t="str">
        <f aca="false">VLOOKUP(P3842,Sheet2!Q:R,2,0)</f>
        <v>IR Normal - Track burn out</v>
      </c>
      <c r="U3842" s="20" t="s">
        <v>41</v>
      </c>
      <c r="V3842" s="17"/>
      <c r="W3842" s="20" t="e">
        <f aca="false">VLOOKUP(V3842,Sheet2!Q:R,2,0)</f>
        <v>#N/A</v>
      </c>
      <c r="X3842" s="17" t="n">
        <f aca="false">J3842</f>
        <v>0</v>
      </c>
      <c r="Y3842" s="17" t="e">
        <f aca="false">VLOOKUP(X3842,Sheet2!A:B,2,0)</f>
        <v>#N/A</v>
      </c>
      <c r="Z3842" s="17"/>
      <c r="AA3842" s="17"/>
      <c r="AB3842" s="17" t="s">
        <v>41</v>
      </c>
      <c r="AC3842" s="0" t="str">
        <f aca="false">LEFT(G3842,2)</f>
        <v/>
      </c>
      <c r="AE3842" s="0"/>
    </row>
    <row r="3843" customFormat="false" ht="15" hidden="false" customHeight="false" outlineLevel="0" collapsed="false">
      <c r="A3843" s="13" t="n">
        <f aca="false">1+A3842</f>
        <v>3841</v>
      </c>
      <c r="B3843" s="14" t="n">
        <v>100</v>
      </c>
      <c r="C3843" s="15"/>
      <c r="D3843" s="16" t="s">
        <v>64</v>
      </c>
      <c r="E3843" s="17" t="s">
        <v>47</v>
      </c>
      <c r="F3843" s="18" t="s">
        <v>34</v>
      </c>
      <c r="G3843" s="19"/>
      <c r="H3843" s="17" t="s">
        <v>35</v>
      </c>
      <c r="I3843" s="17" t="s">
        <v>44</v>
      </c>
      <c r="J3843" s="17"/>
      <c r="K3843" s="17" t="e">
        <f aca="false">VLOOKUP(J3843,Sheet2!A:B,2,0)</f>
        <v>#N/A</v>
      </c>
      <c r="L3843" s="17" t="n">
        <v>5</v>
      </c>
      <c r="M3843" s="17" t="str">
        <f aca="false">VLOOKUP(L3843,Sheet2!D:E,2,0)</f>
        <v>Main Processor CPU BGA</v>
      </c>
      <c r="N3843" s="17" t="n">
        <v>1</v>
      </c>
      <c r="O3843" s="17" t="str">
        <f aca="false">VLOOKUP(N3843,Sheet2!G:H,2,0)</f>
        <v>Dead</v>
      </c>
      <c r="P3843" s="17" t="n">
        <v>11</v>
      </c>
      <c r="Q3843" s="17" t="str">
        <f aca="false">VLOOKUP(P3843,Sheet2!J:K,2,0)</f>
        <v>IR Declared due to CID -TA</v>
      </c>
      <c r="R3843" s="17" t="s">
        <v>35</v>
      </c>
      <c r="S3843" s="17" t="str">
        <f aca="false">VLOOKUP(R3843,Sheet2!N:O,2,0)</f>
        <v>IREPARABLE</v>
      </c>
      <c r="T3843" s="18" t="str">
        <f aca="false">VLOOKUP(P3843,Sheet2!Q:R,2,0)</f>
        <v>IR Normal - Track burn out</v>
      </c>
      <c r="U3843" s="20" t="s">
        <v>41</v>
      </c>
      <c r="V3843" s="17"/>
      <c r="W3843" s="20" t="e">
        <f aca="false">VLOOKUP(V3843,Sheet2!Q:R,2,0)</f>
        <v>#N/A</v>
      </c>
      <c r="X3843" s="17" t="n">
        <f aca="false">J3843</f>
        <v>0</v>
      </c>
      <c r="Y3843" s="17" t="e">
        <f aca="false">VLOOKUP(X3843,Sheet2!A:B,2,0)</f>
        <v>#N/A</v>
      </c>
      <c r="Z3843" s="17"/>
      <c r="AA3843" s="17"/>
      <c r="AB3843" s="17" t="s">
        <v>41</v>
      </c>
      <c r="AC3843" s="0" t="str">
        <f aca="false">LEFT(G3843,2)</f>
        <v/>
      </c>
      <c r="AE3843" s="0"/>
    </row>
    <row r="3844" customFormat="false" ht="15" hidden="false" customHeight="false" outlineLevel="0" collapsed="false">
      <c r="A3844" s="13" t="n">
        <f aca="false">1+A3843</f>
        <v>3842</v>
      </c>
      <c r="B3844" s="14" t="n">
        <v>100</v>
      </c>
      <c r="C3844" s="15"/>
      <c r="D3844" s="16" t="s">
        <v>64</v>
      </c>
      <c r="E3844" s="17" t="s">
        <v>47</v>
      </c>
      <c r="F3844" s="18" t="s">
        <v>34</v>
      </c>
      <c r="G3844" s="19"/>
      <c r="H3844" s="17" t="s">
        <v>35</v>
      </c>
      <c r="I3844" s="17" t="s">
        <v>44</v>
      </c>
      <c r="J3844" s="17"/>
      <c r="K3844" s="17" t="e">
        <f aca="false">VLOOKUP(J3844,Sheet2!A:B,2,0)</f>
        <v>#N/A</v>
      </c>
      <c r="L3844" s="17" t="n">
        <v>5</v>
      </c>
      <c r="M3844" s="17" t="str">
        <f aca="false">VLOOKUP(L3844,Sheet2!D:E,2,0)</f>
        <v>Main Processor CPU BGA</v>
      </c>
      <c r="N3844" s="17" t="n">
        <v>1</v>
      </c>
      <c r="O3844" s="17" t="str">
        <f aca="false">VLOOKUP(N3844,Sheet2!G:H,2,0)</f>
        <v>Dead</v>
      </c>
      <c r="P3844" s="17" t="n">
        <v>11</v>
      </c>
      <c r="Q3844" s="17" t="str">
        <f aca="false">VLOOKUP(P3844,Sheet2!J:K,2,0)</f>
        <v>IR Declared due to CID -TA</v>
      </c>
      <c r="R3844" s="17" t="s">
        <v>35</v>
      </c>
      <c r="S3844" s="17" t="str">
        <f aca="false">VLOOKUP(R3844,Sheet2!N:O,2,0)</f>
        <v>IREPARABLE</v>
      </c>
      <c r="T3844" s="18" t="str">
        <f aca="false">VLOOKUP(P3844,Sheet2!Q:R,2,0)</f>
        <v>IR Normal - Track burn out</v>
      </c>
      <c r="U3844" s="20" t="s">
        <v>41</v>
      </c>
      <c r="V3844" s="17"/>
      <c r="W3844" s="20" t="e">
        <f aca="false">VLOOKUP(V3844,Sheet2!Q:R,2,0)</f>
        <v>#N/A</v>
      </c>
      <c r="X3844" s="17" t="n">
        <f aca="false">J3844</f>
        <v>0</v>
      </c>
      <c r="Y3844" s="17" t="e">
        <f aca="false">VLOOKUP(X3844,Sheet2!A:B,2,0)</f>
        <v>#N/A</v>
      </c>
      <c r="Z3844" s="17"/>
      <c r="AA3844" s="17"/>
      <c r="AB3844" s="17" t="s">
        <v>41</v>
      </c>
      <c r="AC3844" s="0" t="str">
        <f aca="false">LEFT(G3844,2)</f>
        <v/>
      </c>
      <c r="AE3844" s="0"/>
    </row>
    <row r="3845" customFormat="false" ht="15" hidden="false" customHeight="false" outlineLevel="0" collapsed="false">
      <c r="A3845" s="13" t="n">
        <f aca="false">1+A3844</f>
        <v>3843</v>
      </c>
      <c r="B3845" s="14" t="n">
        <v>100</v>
      </c>
      <c r="C3845" s="15"/>
      <c r="D3845" s="16" t="s">
        <v>64</v>
      </c>
      <c r="E3845" s="17" t="s">
        <v>47</v>
      </c>
      <c r="F3845" s="18" t="s">
        <v>34</v>
      </c>
      <c r="G3845" s="19"/>
      <c r="H3845" s="17" t="s">
        <v>35</v>
      </c>
      <c r="I3845" s="17" t="s">
        <v>44</v>
      </c>
      <c r="J3845" s="17"/>
      <c r="K3845" s="17" t="e">
        <f aca="false">VLOOKUP(J3845,Sheet2!A:B,2,0)</f>
        <v>#N/A</v>
      </c>
      <c r="L3845" s="17" t="n">
        <v>5</v>
      </c>
      <c r="M3845" s="17" t="str">
        <f aca="false">VLOOKUP(L3845,Sheet2!D:E,2,0)</f>
        <v>Main Processor CPU BGA</v>
      </c>
      <c r="N3845" s="17" t="n">
        <v>1</v>
      </c>
      <c r="O3845" s="17" t="str">
        <f aca="false">VLOOKUP(N3845,Sheet2!G:H,2,0)</f>
        <v>Dead</v>
      </c>
      <c r="P3845" s="17" t="n">
        <v>11</v>
      </c>
      <c r="Q3845" s="17" t="str">
        <f aca="false">VLOOKUP(P3845,Sheet2!J:K,2,0)</f>
        <v>IR Declared due to CID -TA</v>
      </c>
      <c r="R3845" s="17" t="s">
        <v>35</v>
      </c>
      <c r="S3845" s="17" t="str">
        <f aca="false">VLOOKUP(R3845,Sheet2!N:O,2,0)</f>
        <v>IREPARABLE</v>
      </c>
      <c r="T3845" s="18" t="str">
        <f aca="false">VLOOKUP(P3845,Sheet2!Q:R,2,0)</f>
        <v>IR Normal - Track burn out</v>
      </c>
      <c r="U3845" s="20" t="s">
        <v>41</v>
      </c>
      <c r="V3845" s="17"/>
      <c r="W3845" s="20" t="e">
        <f aca="false">VLOOKUP(V3845,Sheet2!Q:R,2,0)</f>
        <v>#N/A</v>
      </c>
      <c r="X3845" s="17" t="n">
        <f aca="false">J3845</f>
        <v>0</v>
      </c>
      <c r="Y3845" s="17" t="e">
        <f aca="false">VLOOKUP(X3845,Sheet2!A:B,2,0)</f>
        <v>#N/A</v>
      </c>
      <c r="Z3845" s="17"/>
      <c r="AA3845" s="17"/>
      <c r="AB3845" s="17" t="s">
        <v>41</v>
      </c>
      <c r="AC3845" s="0" t="str">
        <f aca="false">LEFT(G3845,2)</f>
        <v/>
      </c>
      <c r="AE3845" s="0"/>
    </row>
    <row r="3846" customFormat="false" ht="15" hidden="false" customHeight="false" outlineLevel="0" collapsed="false">
      <c r="A3846" s="13" t="n">
        <f aca="false">1+A3845</f>
        <v>3844</v>
      </c>
      <c r="B3846" s="14" t="n">
        <v>100</v>
      </c>
      <c r="C3846" s="15"/>
      <c r="D3846" s="16" t="s">
        <v>64</v>
      </c>
      <c r="E3846" s="17" t="s">
        <v>47</v>
      </c>
      <c r="F3846" s="18" t="s">
        <v>34</v>
      </c>
      <c r="G3846" s="19"/>
      <c r="H3846" s="17" t="s">
        <v>35</v>
      </c>
      <c r="I3846" s="17" t="s">
        <v>44</v>
      </c>
      <c r="J3846" s="17"/>
      <c r="K3846" s="17" t="e">
        <f aca="false">VLOOKUP(J3846,Sheet2!A:B,2,0)</f>
        <v>#N/A</v>
      </c>
      <c r="L3846" s="17" t="n">
        <v>5</v>
      </c>
      <c r="M3846" s="17" t="str">
        <f aca="false">VLOOKUP(L3846,Sheet2!D:E,2,0)</f>
        <v>Main Processor CPU BGA</v>
      </c>
      <c r="N3846" s="17" t="n">
        <v>1</v>
      </c>
      <c r="O3846" s="17" t="str">
        <f aca="false">VLOOKUP(N3846,Sheet2!G:H,2,0)</f>
        <v>Dead</v>
      </c>
      <c r="P3846" s="17" t="n">
        <v>11</v>
      </c>
      <c r="Q3846" s="17" t="str">
        <f aca="false">VLOOKUP(P3846,Sheet2!J:K,2,0)</f>
        <v>IR Declared due to CID -TA</v>
      </c>
      <c r="R3846" s="17" t="s">
        <v>35</v>
      </c>
      <c r="S3846" s="17" t="str">
        <f aca="false">VLOOKUP(R3846,Sheet2!N:O,2,0)</f>
        <v>IREPARABLE</v>
      </c>
      <c r="T3846" s="18" t="str">
        <f aca="false">VLOOKUP(P3846,Sheet2!Q:R,2,0)</f>
        <v>IR Normal - Track burn out</v>
      </c>
      <c r="U3846" s="20" t="s">
        <v>41</v>
      </c>
      <c r="V3846" s="17"/>
      <c r="W3846" s="20" t="e">
        <f aca="false">VLOOKUP(V3846,Sheet2!Q:R,2,0)</f>
        <v>#N/A</v>
      </c>
      <c r="X3846" s="17" t="n">
        <f aca="false">J3846</f>
        <v>0</v>
      </c>
      <c r="Y3846" s="17" t="e">
        <f aca="false">VLOOKUP(X3846,Sheet2!A:B,2,0)</f>
        <v>#N/A</v>
      </c>
      <c r="Z3846" s="17"/>
      <c r="AA3846" s="17"/>
      <c r="AB3846" s="17" t="s">
        <v>41</v>
      </c>
      <c r="AC3846" s="0" t="str">
        <f aca="false">LEFT(G3846,2)</f>
        <v/>
      </c>
      <c r="AE3846" s="0"/>
    </row>
    <row r="3847" customFormat="false" ht="15" hidden="false" customHeight="false" outlineLevel="0" collapsed="false">
      <c r="A3847" s="13" t="n">
        <f aca="false">1+A3846</f>
        <v>3845</v>
      </c>
      <c r="B3847" s="14" t="n">
        <v>100</v>
      </c>
      <c r="C3847" s="15"/>
      <c r="D3847" s="16" t="s">
        <v>64</v>
      </c>
      <c r="E3847" s="17" t="s">
        <v>47</v>
      </c>
      <c r="F3847" s="18" t="s">
        <v>34</v>
      </c>
      <c r="G3847" s="19"/>
      <c r="H3847" s="17" t="s">
        <v>35</v>
      </c>
      <c r="I3847" s="17" t="s">
        <v>44</v>
      </c>
      <c r="J3847" s="17"/>
      <c r="K3847" s="17" t="e">
        <f aca="false">VLOOKUP(J3847,Sheet2!A:B,2,0)</f>
        <v>#N/A</v>
      </c>
      <c r="L3847" s="17" t="n">
        <v>5</v>
      </c>
      <c r="M3847" s="17" t="str">
        <f aca="false">VLOOKUP(L3847,Sheet2!D:E,2,0)</f>
        <v>Main Processor CPU BGA</v>
      </c>
      <c r="N3847" s="17" t="n">
        <v>1</v>
      </c>
      <c r="O3847" s="17" t="str">
        <f aca="false">VLOOKUP(N3847,Sheet2!G:H,2,0)</f>
        <v>Dead</v>
      </c>
      <c r="P3847" s="17" t="n">
        <v>11</v>
      </c>
      <c r="Q3847" s="17" t="str">
        <f aca="false">VLOOKUP(P3847,Sheet2!J:K,2,0)</f>
        <v>IR Declared due to CID -TA</v>
      </c>
      <c r="R3847" s="17" t="s">
        <v>35</v>
      </c>
      <c r="S3847" s="17" t="str">
        <f aca="false">VLOOKUP(R3847,Sheet2!N:O,2,0)</f>
        <v>IREPARABLE</v>
      </c>
      <c r="T3847" s="18" t="str">
        <f aca="false">VLOOKUP(P3847,Sheet2!Q:R,2,0)</f>
        <v>IR Normal - Track burn out</v>
      </c>
      <c r="U3847" s="20" t="s">
        <v>41</v>
      </c>
      <c r="V3847" s="17"/>
      <c r="W3847" s="20" t="e">
        <f aca="false">VLOOKUP(V3847,Sheet2!Q:R,2,0)</f>
        <v>#N/A</v>
      </c>
      <c r="X3847" s="17" t="n">
        <f aca="false">J3847</f>
        <v>0</v>
      </c>
      <c r="Y3847" s="17" t="e">
        <f aca="false">VLOOKUP(X3847,Sheet2!A:B,2,0)</f>
        <v>#N/A</v>
      </c>
      <c r="Z3847" s="17"/>
      <c r="AA3847" s="17"/>
      <c r="AB3847" s="17" t="s">
        <v>41</v>
      </c>
      <c r="AC3847" s="0" t="str">
        <f aca="false">LEFT(G3847,2)</f>
        <v/>
      </c>
      <c r="AE3847" s="0"/>
    </row>
    <row r="3848" customFormat="false" ht="15" hidden="false" customHeight="false" outlineLevel="0" collapsed="false">
      <c r="A3848" s="13" t="n">
        <f aca="false">1+A3847</f>
        <v>3846</v>
      </c>
      <c r="B3848" s="14" t="n">
        <v>100</v>
      </c>
      <c r="C3848" s="15"/>
      <c r="D3848" s="16" t="s">
        <v>64</v>
      </c>
      <c r="E3848" s="17" t="s">
        <v>47</v>
      </c>
      <c r="F3848" s="18" t="s">
        <v>34</v>
      </c>
      <c r="G3848" s="19"/>
      <c r="H3848" s="17" t="s">
        <v>35</v>
      </c>
      <c r="I3848" s="17" t="s">
        <v>44</v>
      </c>
      <c r="J3848" s="17"/>
      <c r="K3848" s="17" t="e">
        <f aca="false">VLOOKUP(J3848,Sheet2!A:B,2,0)</f>
        <v>#N/A</v>
      </c>
      <c r="L3848" s="17" t="n">
        <v>5</v>
      </c>
      <c r="M3848" s="17" t="str">
        <f aca="false">VLOOKUP(L3848,Sheet2!D:E,2,0)</f>
        <v>Main Processor CPU BGA</v>
      </c>
      <c r="N3848" s="17" t="n">
        <v>1</v>
      </c>
      <c r="O3848" s="17" t="str">
        <f aca="false">VLOOKUP(N3848,Sheet2!G:H,2,0)</f>
        <v>Dead</v>
      </c>
      <c r="P3848" s="17" t="n">
        <v>11</v>
      </c>
      <c r="Q3848" s="17" t="str">
        <f aca="false">VLOOKUP(P3848,Sheet2!J:K,2,0)</f>
        <v>IR Declared due to CID -TA</v>
      </c>
      <c r="R3848" s="17" t="s">
        <v>35</v>
      </c>
      <c r="S3848" s="17" t="str">
        <f aca="false">VLOOKUP(R3848,Sheet2!N:O,2,0)</f>
        <v>IREPARABLE</v>
      </c>
      <c r="T3848" s="18" t="str">
        <f aca="false">VLOOKUP(P3848,Sheet2!Q:R,2,0)</f>
        <v>IR Normal - Track burn out</v>
      </c>
      <c r="U3848" s="20" t="s">
        <v>41</v>
      </c>
      <c r="V3848" s="17"/>
      <c r="W3848" s="20" t="e">
        <f aca="false">VLOOKUP(V3848,Sheet2!Q:R,2,0)</f>
        <v>#N/A</v>
      </c>
      <c r="X3848" s="17" t="n">
        <f aca="false">J3848</f>
        <v>0</v>
      </c>
      <c r="Y3848" s="17" t="e">
        <f aca="false">VLOOKUP(X3848,Sheet2!A:B,2,0)</f>
        <v>#N/A</v>
      </c>
      <c r="Z3848" s="17"/>
      <c r="AA3848" s="17"/>
      <c r="AB3848" s="17" t="s">
        <v>41</v>
      </c>
      <c r="AC3848" s="0" t="str">
        <f aca="false">LEFT(G3848,2)</f>
        <v/>
      </c>
      <c r="AE3848" s="0"/>
    </row>
    <row r="3849" customFormat="false" ht="15" hidden="false" customHeight="false" outlineLevel="0" collapsed="false">
      <c r="A3849" s="13" t="n">
        <f aca="false">1+A3848</f>
        <v>3847</v>
      </c>
      <c r="B3849" s="14" t="n">
        <v>100</v>
      </c>
      <c r="C3849" s="15"/>
      <c r="D3849" s="16" t="s">
        <v>64</v>
      </c>
      <c r="E3849" s="17" t="s">
        <v>47</v>
      </c>
      <c r="F3849" s="18" t="s">
        <v>34</v>
      </c>
      <c r="G3849" s="19"/>
      <c r="H3849" s="17" t="s">
        <v>35</v>
      </c>
      <c r="I3849" s="17" t="s">
        <v>44</v>
      </c>
      <c r="J3849" s="17"/>
      <c r="K3849" s="17" t="e">
        <f aca="false">VLOOKUP(J3849,Sheet2!A:B,2,0)</f>
        <v>#N/A</v>
      </c>
      <c r="L3849" s="17" t="n">
        <v>5</v>
      </c>
      <c r="M3849" s="17" t="str">
        <f aca="false">VLOOKUP(L3849,Sheet2!D:E,2,0)</f>
        <v>Main Processor CPU BGA</v>
      </c>
      <c r="N3849" s="17" t="n">
        <v>1</v>
      </c>
      <c r="O3849" s="17" t="str">
        <f aca="false">VLOOKUP(N3849,Sheet2!G:H,2,0)</f>
        <v>Dead</v>
      </c>
      <c r="P3849" s="17" t="n">
        <v>11</v>
      </c>
      <c r="Q3849" s="17" t="str">
        <f aca="false">VLOOKUP(P3849,Sheet2!J:K,2,0)</f>
        <v>IR Declared due to CID -TA</v>
      </c>
      <c r="R3849" s="17" t="s">
        <v>35</v>
      </c>
      <c r="S3849" s="17" t="str">
        <f aca="false">VLOOKUP(R3849,Sheet2!N:O,2,0)</f>
        <v>IREPARABLE</v>
      </c>
      <c r="T3849" s="18" t="str">
        <f aca="false">VLOOKUP(P3849,Sheet2!Q:R,2,0)</f>
        <v>IR Normal - Track burn out</v>
      </c>
      <c r="U3849" s="20" t="s">
        <v>41</v>
      </c>
      <c r="V3849" s="17"/>
      <c r="W3849" s="20" t="e">
        <f aca="false">VLOOKUP(V3849,Sheet2!Q:R,2,0)</f>
        <v>#N/A</v>
      </c>
      <c r="X3849" s="17" t="n">
        <f aca="false">J3849</f>
        <v>0</v>
      </c>
      <c r="Y3849" s="17" t="e">
        <f aca="false">VLOOKUP(X3849,Sheet2!A:B,2,0)</f>
        <v>#N/A</v>
      </c>
      <c r="Z3849" s="17"/>
      <c r="AA3849" s="17"/>
      <c r="AB3849" s="17" t="s">
        <v>41</v>
      </c>
      <c r="AC3849" s="0" t="str">
        <f aca="false">LEFT(G3849,2)</f>
        <v/>
      </c>
      <c r="AE3849" s="0"/>
    </row>
    <row r="3850" customFormat="false" ht="15" hidden="false" customHeight="false" outlineLevel="0" collapsed="false">
      <c r="A3850" s="13" t="n">
        <f aca="false">1+A3849</f>
        <v>3848</v>
      </c>
      <c r="B3850" s="14" t="n">
        <v>100</v>
      </c>
      <c r="C3850" s="15"/>
      <c r="D3850" s="16" t="s">
        <v>64</v>
      </c>
      <c r="E3850" s="17" t="s">
        <v>47</v>
      </c>
      <c r="F3850" s="18" t="s">
        <v>34</v>
      </c>
      <c r="G3850" s="19"/>
      <c r="H3850" s="17" t="s">
        <v>35</v>
      </c>
      <c r="I3850" s="17" t="s">
        <v>44</v>
      </c>
      <c r="J3850" s="17"/>
      <c r="K3850" s="17" t="e">
        <f aca="false">VLOOKUP(J3850,Sheet2!A:B,2,0)</f>
        <v>#N/A</v>
      </c>
      <c r="L3850" s="17" t="n">
        <v>5</v>
      </c>
      <c r="M3850" s="17" t="str">
        <f aca="false">VLOOKUP(L3850,Sheet2!D:E,2,0)</f>
        <v>Main Processor CPU BGA</v>
      </c>
      <c r="N3850" s="17" t="n">
        <v>1</v>
      </c>
      <c r="O3850" s="17" t="str">
        <f aca="false">VLOOKUP(N3850,Sheet2!G:H,2,0)</f>
        <v>Dead</v>
      </c>
      <c r="P3850" s="17" t="n">
        <v>11</v>
      </c>
      <c r="Q3850" s="17" t="str">
        <f aca="false">VLOOKUP(P3850,Sheet2!J:K,2,0)</f>
        <v>IR Declared due to CID -TA</v>
      </c>
      <c r="R3850" s="17" t="s">
        <v>35</v>
      </c>
      <c r="S3850" s="17" t="str">
        <f aca="false">VLOOKUP(R3850,Sheet2!N:O,2,0)</f>
        <v>IREPARABLE</v>
      </c>
      <c r="T3850" s="18" t="str">
        <f aca="false">VLOOKUP(P3850,Sheet2!Q:R,2,0)</f>
        <v>IR Normal - Track burn out</v>
      </c>
      <c r="U3850" s="20" t="s">
        <v>41</v>
      </c>
      <c r="V3850" s="17"/>
      <c r="W3850" s="20" t="e">
        <f aca="false">VLOOKUP(V3850,Sheet2!Q:R,2,0)</f>
        <v>#N/A</v>
      </c>
      <c r="X3850" s="17" t="n">
        <f aca="false">J3850</f>
        <v>0</v>
      </c>
      <c r="Y3850" s="17" t="e">
        <f aca="false">VLOOKUP(X3850,Sheet2!A:B,2,0)</f>
        <v>#N/A</v>
      </c>
      <c r="Z3850" s="17"/>
      <c r="AA3850" s="17"/>
      <c r="AB3850" s="17" t="s">
        <v>41</v>
      </c>
      <c r="AC3850" s="0" t="str">
        <f aca="false">LEFT(G3850,2)</f>
        <v/>
      </c>
      <c r="AE3850" s="0"/>
    </row>
    <row r="3851" customFormat="false" ht="15" hidden="false" customHeight="false" outlineLevel="0" collapsed="false">
      <c r="A3851" s="13" t="n">
        <f aca="false">1+A3850</f>
        <v>3849</v>
      </c>
      <c r="B3851" s="14" t="n">
        <v>100</v>
      </c>
      <c r="C3851" s="15"/>
      <c r="D3851" s="16" t="s">
        <v>64</v>
      </c>
      <c r="E3851" s="17" t="s">
        <v>47</v>
      </c>
      <c r="F3851" s="18" t="s">
        <v>34</v>
      </c>
      <c r="G3851" s="19"/>
      <c r="H3851" s="17" t="s">
        <v>35</v>
      </c>
      <c r="I3851" s="17" t="s">
        <v>44</v>
      </c>
      <c r="J3851" s="17"/>
      <c r="K3851" s="17" t="e">
        <f aca="false">VLOOKUP(J3851,Sheet2!A:B,2,0)</f>
        <v>#N/A</v>
      </c>
      <c r="L3851" s="17" t="n">
        <v>5</v>
      </c>
      <c r="M3851" s="17" t="str">
        <f aca="false">VLOOKUP(L3851,Sheet2!D:E,2,0)</f>
        <v>Main Processor CPU BGA</v>
      </c>
      <c r="N3851" s="17" t="n">
        <v>1</v>
      </c>
      <c r="O3851" s="17" t="str">
        <f aca="false">VLOOKUP(N3851,Sheet2!G:H,2,0)</f>
        <v>Dead</v>
      </c>
      <c r="P3851" s="17" t="n">
        <v>11</v>
      </c>
      <c r="Q3851" s="17" t="str">
        <f aca="false">VLOOKUP(P3851,Sheet2!J:K,2,0)</f>
        <v>IR Declared due to CID -TA</v>
      </c>
      <c r="R3851" s="17" t="s">
        <v>35</v>
      </c>
      <c r="S3851" s="17" t="str">
        <f aca="false">VLOOKUP(R3851,Sheet2!N:O,2,0)</f>
        <v>IREPARABLE</v>
      </c>
      <c r="T3851" s="18" t="str">
        <f aca="false">VLOOKUP(P3851,Sheet2!Q:R,2,0)</f>
        <v>IR Normal - Track burn out</v>
      </c>
      <c r="U3851" s="20" t="s">
        <v>41</v>
      </c>
      <c r="V3851" s="17"/>
      <c r="W3851" s="20" t="e">
        <f aca="false">VLOOKUP(V3851,Sheet2!Q:R,2,0)</f>
        <v>#N/A</v>
      </c>
      <c r="X3851" s="17" t="n">
        <f aca="false">J3851</f>
        <v>0</v>
      </c>
      <c r="Y3851" s="17" t="e">
        <f aca="false">VLOOKUP(X3851,Sheet2!A:B,2,0)</f>
        <v>#N/A</v>
      </c>
      <c r="Z3851" s="17"/>
      <c r="AA3851" s="17"/>
      <c r="AB3851" s="17" t="s">
        <v>41</v>
      </c>
      <c r="AC3851" s="0" t="str">
        <f aca="false">LEFT(G3851,2)</f>
        <v/>
      </c>
      <c r="AE3851" s="0"/>
    </row>
    <row r="3852" customFormat="false" ht="15" hidden="false" customHeight="false" outlineLevel="0" collapsed="false">
      <c r="A3852" s="13" t="n">
        <f aca="false">1+A3851</f>
        <v>3850</v>
      </c>
      <c r="B3852" s="14" t="n">
        <v>100</v>
      </c>
      <c r="C3852" s="15"/>
      <c r="D3852" s="16" t="s">
        <v>64</v>
      </c>
      <c r="E3852" s="17" t="s">
        <v>47</v>
      </c>
      <c r="F3852" s="18" t="s">
        <v>34</v>
      </c>
      <c r="G3852" s="19"/>
      <c r="H3852" s="17" t="s">
        <v>35</v>
      </c>
      <c r="I3852" s="17" t="s">
        <v>44</v>
      </c>
      <c r="J3852" s="17"/>
      <c r="K3852" s="17" t="e">
        <f aca="false">VLOOKUP(J3852,Sheet2!A:B,2,0)</f>
        <v>#N/A</v>
      </c>
      <c r="L3852" s="17" t="n">
        <v>5</v>
      </c>
      <c r="M3852" s="17" t="str">
        <f aca="false">VLOOKUP(L3852,Sheet2!D:E,2,0)</f>
        <v>Main Processor CPU BGA</v>
      </c>
      <c r="N3852" s="17" t="n">
        <v>1</v>
      </c>
      <c r="O3852" s="17" t="str">
        <f aca="false">VLOOKUP(N3852,Sheet2!G:H,2,0)</f>
        <v>Dead</v>
      </c>
      <c r="P3852" s="17" t="n">
        <v>11</v>
      </c>
      <c r="Q3852" s="17" t="str">
        <f aca="false">VLOOKUP(P3852,Sheet2!J:K,2,0)</f>
        <v>IR Declared due to CID -TA</v>
      </c>
      <c r="R3852" s="17" t="s">
        <v>35</v>
      </c>
      <c r="S3852" s="17" t="str">
        <f aca="false">VLOOKUP(R3852,Sheet2!N:O,2,0)</f>
        <v>IREPARABLE</v>
      </c>
      <c r="T3852" s="18" t="str">
        <f aca="false">VLOOKUP(P3852,Sheet2!Q:R,2,0)</f>
        <v>IR Normal - Track burn out</v>
      </c>
      <c r="U3852" s="20" t="s">
        <v>41</v>
      </c>
      <c r="V3852" s="17"/>
      <c r="W3852" s="20" t="e">
        <f aca="false">VLOOKUP(V3852,Sheet2!Q:R,2,0)</f>
        <v>#N/A</v>
      </c>
      <c r="X3852" s="17" t="n">
        <f aca="false">J3852</f>
        <v>0</v>
      </c>
      <c r="Y3852" s="17" t="e">
        <f aca="false">VLOOKUP(X3852,Sheet2!A:B,2,0)</f>
        <v>#N/A</v>
      </c>
      <c r="Z3852" s="17"/>
      <c r="AA3852" s="17"/>
      <c r="AB3852" s="17" t="s">
        <v>41</v>
      </c>
      <c r="AC3852" s="0" t="str">
        <f aca="false">LEFT(G3852,2)</f>
        <v/>
      </c>
      <c r="AE3852" s="0"/>
    </row>
    <row r="3853" customFormat="false" ht="15" hidden="false" customHeight="false" outlineLevel="0" collapsed="false">
      <c r="A3853" s="13" t="n">
        <f aca="false">1+A3852</f>
        <v>3851</v>
      </c>
      <c r="B3853" s="14" t="n">
        <v>100</v>
      </c>
      <c r="C3853" s="15"/>
      <c r="D3853" s="16" t="s">
        <v>64</v>
      </c>
      <c r="E3853" s="17" t="s">
        <v>47</v>
      </c>
      <c r="F3853" s="18" t="s">
        <v>34</v>
      </c>
      <c r="G3853" s="19"/>
      <c r="H3853" s="17" t="s">
        <v>35</v>
      </c>
      <c r="I3853" s="17" t="s">
        <v>44</v>
      </c>
      <c r="J3853" s="17"/>
      <c r="K3853" s="17" t="e">
        <f aca="false">VLOOKUP(J3853,Sheet2!A:B,2,0)</f>
        <v>#N/A</v>
      </c>
      <c r="L3853" s="17" t="n">
        <v>5</v>
      </c>
      <c r="M3853" s="17" t="str">
        <f aca="false">VLOOKUP(L3853,Sheet2!D:E,2,0)</f>
        <v>Main Processor CPU BGA</v>
      </c>
      <c r="N3853" s="17" t="n">
        <v>1</v>
      </c>
      <c r="O3853" s="17" t="str">
        <f aca="false">VLOOKUP(N3853,Sheet2!G:H,2,0)</f>
        <v>Dead</v>
      </c>
      <c r="P3853" s="17" t="n">
        <v>11</v>
      </c>
      <c r="Q3853" s="17" t="str">
        <f aca="false">VLOOKUP(P3853,Sheet2!J:K,2,0)</f>
        <v>IR Declared due to CID -TA</v>
      </c>
      <c r="R3853" s="17" t="s">
        <v>35</v>
      </c>
      <c r="S3853" s="17" t="str">
        <f aca="false">VLOOKUP(R3853,Sheet2!N:O,2,0)</f>
        <v>IREPARABLE</v>
      </c>
      <c r="T3853" s="18" t="str">
        <f aca="false">VLOOKUP(P3853,Sheet2!Q:R,2,0)</f>
        <v>IR Normal - Track burn out</v>
      </c>
      <c r="U3853" s="20" t="s">
        <v>41</v>
      </c>
      <c r="V3853" s="17"/>
      <c r="W3853" s="20" t="e">
        <f aca="false">VLOOKUP(V3853,Sheet2!Q:R,2,0)</f>
        <v>#N/A</v>
      </c>
      <c r="X3853" s="17" t="n">
        <f aca="false">J3853</f>
        <v>0</v>
      </c>
      <c r="Y3853" s="17" t="e">
        <f aca="false">VLOOKUP(X3853,Sheet2!A:B,2,0)</f>
        <v>#N/A</v>
      </c>
      <c r="Z3853" s="17"/>
      <c r="AA3853" s="17"/>
      <c r="AB3853" s="17" t="s">
        <v>41</v>
      </c>
      <c r="AC3853" s="0" t="str">
        <f aca="false">LEFT(G3853,2)</f>
        <v/>
      </c>
      <c r="AE3853" s="0"/>
    </row>
    <row r="3854" customFormat="false" ht="15" hidden="false" customHeight="false" outlineLevel="0" collapsed="false">
      <c r="A3854" s="13" t="n">
        <f aca="false">1+A3853</f>
        <v>3852</v>
      </c>
      <c r="B3854" s="14" t="n">
        <v>100</v>
      </c>
      <c r="C3854" s="15"/>
      <c r="D3854" s="16" t="s">
        <v>64</v>
      </c>
      <c r="E3854" s="17" t="s">
        <v>47</v>
      </c>
      <c r="F3854" s="18" t="s">
        <v>34</v>
      </c>
      <c r="G3854" s="19"/>
      <c r="H3854" s="17" t="s">
        <v>35</v>
      </c>
      <c r="I3854" s="17" t="s">
        <v>44</v>
      </c>
      <c r="J3854" s="17"/>
      <c r="K3854" s="17" t="e">
        <f aca="false">VLOOKUP(J3854,Sheet2!A:B,2,0)</f>
        <v>#N/A</v>
      </c>
      <c r="L3854" s="17" t="n">
        <v>5</v>
      </c>
      <c r="M3854" s="17" t="str">
        <f aca="false">VLOOKUP(L3854,Sheet2!D:E,2,0)</f>
        <v>Main Processor CPU BGA</v>
      </c>
      <c r="N3854" s="17" t="n">
        <v>1</v>
      </c>
      <c r="O3854" s="17" t="str">
        <f aca="false">VLOOKUP(N3854,Sheet2!G:H,2,0)</f>
        <v>Dead</v>
      </c>
      <c r="P3854" s="17" t="n">
        <v>11</v>
      </c>
      <c r="Q3854" s="17" t="str">
        <f aca="false">VLOOKUP(P3854,Sheet2!J:K,2,0)</f>
        <v>IR Declared due to CID -TA</v>
      </c>
      <c r="R3854" s="17" t="s">
        <v>35</v>
      </c>
      <c r="S3854" s="17" t="str">
        <f aca="false">VLOOKUP(R3854,Sheet2!N:O,2,0)</f>
        <v>IREPARABLE</v>
      </c>
      <c r="T3854" s="18" t="str">
        <f aca="false">VLOOKUP(P3854,Sheet2!Q:R,2,0)</f>
        <v>IR Normal - Track burn out</v>
      </c>
      <c r="U3854" s="20" t="s">
        <v>41</v>
      </c>
      <c r="V3854" s="17"/>
      <c r="W3854" s="20" t="e">
        <f aca="false">VLOOKUP(V3854,Sheet2!Q:R,2,0)</f>
        <v>#N/A</v>
      </c>
      <c r="X3854" s="17" t="n">
        <f aca="false">J3854</f>
        <v>0</v>
      </c>
      <c r="Y3854" s="17" t="e">
        <f aca="false">VLOOKUP(X3854,Sheet2!A:B,2,0)</f>
        <v>#N/A</v>
      </c>
      <c r="Z3854" s="17"/>
      <c r="AA3854" s="17"/>
      <c r="AB3854" s="17" t="s">
        <v>41</v>
      </c>
      <c r="AC3854" s="0" t="str">
        <f aca="false">LEFT(G3854,2)</f>
        <v/>
      </c>
      <c r="AE3854" s="0"/>
    </row>
    <row r="3855" customFormat="false" ht="15" hidden="false" customHeight="false" outlineLevel="0" collapsed="false">
      <c r="A3855" s="13" t="n">
        <f aca="false">1+A3854</f>
        <v>3853</v>
      </c>
      <c r="B3855" s="14" t="n">
        <v>100</v>
      </c>
      <c r="C3855" s="15"/>
      <c r="D3855" s="16" t="s">
        <v>64</v>
      </c>
      <c r="E3855" s="17" t="s">
        <v>47</v>
      </c>
      <c r="F3855" s="18" t="s">
        <v>34</v>
      </c>
      <c r="G3855" s="19"/>
      <c r="H3855" s="17" t="s">
        <v>35</v>
      </c>
      <c r="I3855" s="17" t="s">
        <v>44</v>
      </c>
      <c r="J3855" s="17"/>
      <c r="K3855" s="17" t="e">
        <f aca="false">VLOOKUP(J3855,Sheet2!A:B,2,0)</f>
        <v>#N/A</v>
      </c>
      <c r="L3855" s="17" t="n">
        <v>5</v>
      </c>
      <c r="M3855" s="17" t="str">
        <f aca="false">VLOOKUP(L3855,Sheet2!D:E,2,0)</f>
        <v>Main Processor CPU BGA</v>
      </c>
      <c r="N3855" s="17" t="n">
        <v>1</v>
      </c>
      <c r="O3855" s="17" t="str">
        <f aca="false">VLOOKUP(N3855,Sheet2!G:H,2,0)</f>
        <v>Dead</v>
      </c>
      <c r="P3855" s="17" t="n">
        <v>11</v>
      </c>
      <c r="Q3855" s="17" t="str">
        <f aca="false">VLOOKUP(P3855,Sheet2!J:K,2,0)</f>
        <v>IR Declared due to CID -TA</v>
      </c>
      <c r="R3855" s="17" t="s">
        <v>35</v>
      </c>
      <c r="S3855" s="17" t="str">
        <f aca="false">VLOOKUP(R3855,Sheet2!N:O,2,0)</f>
        <v>IREPARABLE</v>
      </c>
      <c r="T3855" s="18" t="str">
        <f aca="false">VLOOKUP(P3855,Sheet2!Q:R,2,0)</f>
        <v>IR Normal - Track burn out</v>
      </c>
      <c r="U3855" s="20" t="s">
        <v>41</v>
      </c>
      <c r="V3855" s="17"/>
      <c r="W3855" s="20" t="e">
        <f aca="false">VLOOKUP(V3855,Sheet2!Q:R,2,0)</f>
        <v>#N/A</v>
      </c>
      <c r="X3855" s="17" t="n">
        <f aca="false">J3855</f>
        <v>0</v>
      </c>
      <c r="Y3855" s="17" t="e">
        <f aca="false">VLOOKUP(X3855,Sheet2!A:B,2,0)</f>
        <v>#N/A</v>
      </c>
      <c r="Z3855" s="17"/>
      <c r="AA3855" s="17"/>
      <c r="AB3855" s="17" t="s">
        <v>41</v>
      </c>
      <c r="AC3855" s="0" t="str">
        <f aca="false">LEFT(G3855,2)</f>
        <v/>
      </c>
      <c r="AE3855" s="0"/>
    </row>
    <row r="3856" customFormat="false" ht="15" hidden="false" customHeight="false" outlineLevel="0" collapsed="false">
      <c r="A3856" s="13" t="n">
        <f aca="false">1+A3855</f>
        <v>3854</v>
      </c>
      <c r="B3856" s="14" t="n">
        <v>100</v>
      </c>
      <c r="C3856" s="15"/>
      <c r="D3856" s="16" t="s">
        <v>64</v>
      </c>
      <c r="E3856" s="17" t="s">
        <v>47</v>
      </c>
      <c r="F3856" s="18" t="s">
        <v>34</v>
      </c>
      <c r="G3856" s="19"/>
      <c r="H3856" s="17" t="s">
        <v>35</v>
      </c>
      <c r="I3856" s="17" t="s">
        <v>44</v>
      </c>
      <c r="J3856" s="17"/>
      <c r="K3856" s="17" t="e">
        <f aca="false">VLOOKUP(J3856,Sheet2!A:B,2,0)</f>
        <v>#N/A</v>
      </c>
      <c r="L3856" s="17" t="n">
        <v>5</v>
      </c>
      <c r="M3856" s="17" t="str">
        <f aca="false">VLOOKUP(L3856,Sheet2!D:E,2,0)</f>
        <v>Main Processor CPU BGA</v>
      </c>
      <c r="N3856" s="17" t="n">
        <v>1</v>
      </c>
      <c r="O3856" s="17" t="str">
        <f aca="false">VLOOKUP(N3856,Sheet2!G:H,2,0)</f>
        <v>Dead</v>
      </c>
      <c r="P3856" s="17" t="n">
        <v>11</v>
      </c>
      <c r="Q3856" s="17" t="str">
        <f aca="false">VLOOKUP(P3856,Sheet2!J:K,2,0)</f>
        <v>IR Declared due to CID -TA</v>
      </c>
      <c r="R3856" s="17" t="s">
        <v>35</v>
      </c>
      <c r="S3856" s="17" t="str">
        <f aca="false">VLOOKUP(R3856,Sheet2!N:O,2,0)</f>
        <v>IREPARABLE</v>
      </c>
      <c r="T3856" s="18" t="str">
        <f aca="false">VLOOKUP(P3856,Sheet2!Q:R,2,0)</f>
        <v>IR Normal - Track burn out</v>
      </c>
      <c r="U3856" s="20" t="s">
        <v>41</v>
      </c>
      <c r="V3856" s="17"/>
      <c r="W3856" s="20" t="e">
        <f aca="false">VLOOKUP(V3856,Sheet2!Q:R,2,0)</f>
        <v>#N/A</v>
      </c>
      <c r="X3856" s="17" t="n">
        <f aca="false">J3856</f>
        <v>0</v>
      </c>
      <c r="Y3856" s="17" t="e">
        <f aca="false">VLOOKUP(X3856,Sheet2!A:B,2,0)</f>
        <v>#N/A</v>
      </c>
      <c r="Z3856" s="17"/>
      <c r="AA3856" s="17"/>
      <c r="AB3856" s="17" t="s">
        <v>41</v>
      </c>
      <c r="AC3856" s="0" t="str">
        <f aca="false">LEFT(G3856,2)</f>
        <v/>
      </c>
      <c r="AE3856" s="0"/>
    </row>
    <row r="3857" customFormat="false" ht="15" hidden="false" customHeight="false" outlineLevel="0" collapsed="false">
      <c r="A3857" s="13" t="n">
        <f aca="false">1+A3856</f>
        <v>3855</v>
      </c>
      <c r="B3857" s="14" t="n">
        <v>100</v>
      </c>
      <c r="C3857" s="15"/>
      <c r="D3857" s="16" t="s">
        <v>64</v>
      </c>
      <c r="E3857" s="17" t="s">
        <v>47</v>
      </c>
      <c r="F3857" s="18" t="s">
        <v>34</v>
      </c>
      <c r="G3857" s="19"/>
      <c r="H3857" s="17" t="s">
        <v>35</v>
      </c>
      <c r="I3857" s="17" t="s">
        <v>44</v>
      </c>
      <c r="J3857" s="17"/>
      <c r="K3857" s="17" t="e">
        <f aca="false">VLOOKUP(J3857,Sheet2!A:B,2,0)</f>
        <v>#N/A</v>
      </c>
      <c r="L3857" s="17" t="n">
        <v>5</v>
      </c>
      <c r="M3857" s="17" t="str">
        <f aca="false">VLOOKUP(L3857,Sheet2!D:E,2,0)</f>
        <v>Main Processor CPU BGA</v>
      </c>
      <c r="N3857" s="17" t="n">
        <v>1</v>
      </c>
      <c r="O3857" s="17" t="str">
        <f aca="false">VLOOKUP(N3857,Sheet2!G:H,2,0)</f>
        <v>Dead</v>
      </c>
      <c r="P3857" s="17" t="n">
        <v>11</v>
      </c>
      <c r="Q3857" s="17" t="str">
        <f aca="false">VLOOKUP(P3857,Sheet2!J:K,2,0)</f>
        <v>IR Declared due to CID -TA</v>
      </c>
      <c r="R3857" s="17" t="s">
        <v>35</v>
      </c>
      <c r="S3857" s="17" t="str">
        <f aca="false">VLOOKUP(R3857,Sheet2!N:O,2,0)</f>
        <v>IREPARABLE</v>
      </c>
      <c r="T3857" s="18" t="str">
        <f aca="false">VLOOKUP(P3857,Sheet2!Q:R,2,0)</f>
        <v>IR Normal - Track burn out</v>
      </c>
      <c r="U3857" s="20" t="s">
        <v>41</v>
      </c>
      <c r="V3857" s="17"/>
      <c r="W3857" s="20" t="e">
        <f aca="false">VLOOKUP(V3857,Sheet2!Q:R,2,0)</f>
        <v>#N/A</v>
      </c>
      <c r="X3857" s="17" t="n">
        <f aca="false">J3857</f>
        <v>0</v>
      </c>
      <c r="Y3857" s="17" t="e">
        <f aca="false">VLOOKUP(X3857,Sheet2!A:B,2,0)</f>
        <v>#N/A</v>
      </c>
      <c r="Z3857" s="17"/>
      <c r="AA3857" s="17"/>
      <c r="AB3857" s="17" t="s">
        <v>41</v>
      </c>
      <c r="AC3857" s="0" t="str">
        <f aca="false">LEFT(G3857,2)</f>
        <v/>
      </c>
      <c r="AE3857" s="0"/>
    </row>
    <row r="3858" customFormat="false" ht="15" hidden="false" customHeight="false" outlineLevel="0" collapsed="false">
      <c r="A3858" s="13" t="n">
        <f aca="false">1+A3857</f>
        <v>3856</v>
      </c>
      <c r="B3858" s="14" t="n">
        <v>100</v>
      </c>
      <c r="C3858" s="15"/>
      <c r="D3858" s="16" t="s">
        <v>64</v>
      </c>
      <c r="E3858" s="17" t="s">
        <v>47</v>
      </c>
      <c r="F3858" s="18" t="s">
        <v>34</v>
      </c>
      <c r="G3858" s="19"/>
      <c r="H3858" s="17" t="s">
        <v>35</v>
      </c>
      <c r="I3858" s="17" t="s">
        <v>44</v>
      </c>
      <c r="J3858" s="17"/>
      <c r="K3858" s="17" t="e">
        <f aca="false">VLOOKUP(J3858,Sheet2!A:B,2,0)</f>
        <v>#N/A</v>
      </c>
      <c r="L3858" s="17" t="n">
        <v>5</v>
      </c>
      <c r="M3858" s="17" t="str">
        <f aca="false">VLOOKUP(L3858,Sheet2!D:E,2,0)</f>
        <v>Main Processor CPU BGA</v>
      </c>
      <c r="N3858" s="17" t="n">
        <v>1</v>
      </c>
      <c r="O3858" s="17" t="str">
        <f aca="false">VLOOKUP(N3858,Sheet2!G:H,2,0)</f>
        <v>Dead</v>
      </c>
      <c r="P3858" s="17" t="n">
        <v>11</v>
      </c>
      <c r="Q3858" s="17" t="str">
        <f aca="false">VLOOKUP(P3858,Sheet2!J:K,2,0)</f>
        <v>IR Declared due to CID -TA</v>
      </c>
      <c r="R3858" s="17" t="s">
        <v>35</v>
      </c>
      <c r="S3858" s="17" t="str">
        <f aca="false">VLOOKUP(R3858,Sheet2!N:O,2,0)</f>
        <v>IREPARABLE</v>
      </c>
      <c r="T3858" s="18" t="str">
        <f aca="false">VLOOKUP(P3858,Sheet2!Q:R,2,0)</f>
        <v>IR Normal - Track burn out</v>
      </c>
      <c r="U3858" s="20" t="s">
        <v>41</v>
      </c>
      <c r="V3858" s="17"/>
      <c r="W3858" s="20" t="e">
        <f aca="false">VLOOKUP(V3858,Sheet2!Q:R,2,0)</f>
        <v>#N/A</v>
      </c>
      <c r="X3858" s="17" t="n">
        <f aca="false">J3858</f>
        <v>0</v>
      </c>
      <c r="Y3858" s="17" t="e">
        <f aca="false">VLOOKUP(X3858,Sheet2!A:B,2,0)</f>
        <v>#N/A</v>
      </c>
      <c r="Z3858" s="17"/>
      <c r="AA3858" s="17"/>
      <c r="AB3858" s="17" t="s">
        <v>41</v>
      </c>
      <c r="AC3858" s="0" t="str">
        <f aca="false">LEFT(G3858,2)</f>
        <v/>
      </c>
      <c r="AE3858" s="0"/>
    </row>
    <row r="3859" customFormat="false" ht="15" hidden="false" customHeight="false" outlineLevel="0" collapsed="false">
      <c r="A3859" s="13" t="n">
        <f aca="false">1+A3858</f>
        <v>3857</v>
      </c>
      <c r="B3859" s="14" t="n">
        <v>100</v>
      </c>
      <c r="C3859" s="15"/>
      <c r="D3859" s="16" t="s">
        <v>64</v>
      </c>
      <c r="E3859" s="17" t="s">
        <v>47</v>
      </c>
      <c r="F3859" s="18" t="s">
        <v>34</v>
      </c>
      <c r="G3859" s="19"/>
      <c r="H3859" s="17" t="s">
        <v>35</v>
      </c>
      <c r="I3859" s="17" t="s">
        <v>44</v>
      </c>
      <c r="J3859" s="17"/>
      <c r="K3859" s="17" t="e">
        <f aca="false">VLOOKUP(J3859,Sheet2!A:B,2,0)</f>
        <v>#N/A</v>
      </c>
      <c r="L3859" s="17" t="n">
        <v>5</v>
      </c>
      <c r="M3859" s="17" t="str">
        <f aca="false">VLOOKUP(L3859,Sheet2!D:E,2,0)</f>
        <v>Main Processor CPU BGA</v>
      </c>
      <c r="N3859" s="17" t="n">
        <v>1</v>
      </c>
      <c r="O3859" s="17" t="str">
        <f aca="false">VLOOKUP(N3859,Sheet2!G:H,2,0)</f>
        <v>Dead</v>
      </c>
      <c r="P3859" s="17" t="n">
        <v>11</v>
      </c>
      <c r="Q3859" s="17" t="str">
        <f aca="false">VLOOKUP(P3859,Sheet2!J:K,2,0)</f>
        <v>IR Declared due to CID -TA</v>
      </c>
      <c r="R3859" s="17" t="s">
        <v>35</v>
      </c>
      <c r="S3859" s="17" t="str">
        <f aca="false">VLOOKUP(R3859,Sheet2!N:O,2,0)</f>
        <v>IREPARABLE</v>
      </c>
      <c r="T3859" s="18" t="str">
        <f aca="false">VLOOKUP(P3859,Sheet2!Q:R,2,0)</f>
        <v>IR Normal - Track burn out</v>
      </c>
      <c r="U3859" s="20" t="s">
        <v>41</v>
      </c>
      <c r="V3859" s="17"/>
      <c r="W3859" s="20" t="e">
        <f aca="false">VLOOKUP(V3859,Sheet2!Q:R,2,0)</f>
        <v>#N/A</v>
      </c>
      <c r="X3859" s="17" t="n">
        <f aca="false">J3859</f>
        <v>0</v>
      </c>
      <c r="Y3859" s="17" t="e">
        <f aca="false">VLOOKUP(X3859,Sheet2!A:B,2,0)</f>
        <v>#N/A</v>
      </c>
      <c r="Z3859" s="17"/>
      <c r="AA3859" s="17"/>
      <c r="AB3859" s="17" t="s">
        <v>41</v>
      </c>
      <c r="AC3859" s="0" t="str">
        <f aca="false">LEFT(G3859,2)</f>
        <v/>
      </c>
      <c r="AE3859" s="0"/>
    </row>
    <row r="3860" customFormat="false" ht="15" hidden="false" customHeight="false" outlineLevel="0" collapsed="false">
      <c r="A3860" s="13" t="n">
        <f aca="false">1+A3859</f>
        <v>3858</v>
      </c>
      <c r="B3860" s="14" t="n">
        <v>100</v>
      </c>
      <c r="C3860" s="15"/>
      <c r="D3860" s="16" t="s">
        <v>64</v>
      </c>
      <c r="E3860" s="17" t="s">
        <v>47</v>
      </c>
      <c r="F3860" s="18" t="s">
        <v>34</v>
      </c>
      <c r="G3860" s="19"/>
      <c r="H3860" s="17" t="s">
        <v>35</v>
      </c>
      <c r="I3860" s="17" t="s">
        <v>44</v>
      </c>
      <c r="J3860" s="17"/>
      <c r="K3860" s="17" t="e">
        <f aca="false">VLOOKUP(J3860,Sheet2!A:B,2,0)</f>
        <v>#N/A</v>
      </c>
      <c r="L3860" s="17" t="n">
        <v>5</v>
      </c>
      <c r="M3860" s="17" t="str">
        <f aca="false">VLOOKUP(L3860,Sheet2!D:E,2,0)</f>
        <v>Main Processor CPU BGA</v>
      </c>
      <c r="N3860" s="17" t="n">
        <v>1</v>
      </c>
      <c r="O3860" s="17" t="str">
        <f aca="false">VLOOKUP(N3860,Sheet2!G:H,2,0)</f>
        <v>Dead</v>
      </c>
      <c r="P3860" s="17" t="n">
        <v>11</v>
      </c>
      <c r="Q3860" s="17" t="str">
        <f aca="false">VLOOKUP(P3860,Sheet2!J:K,2,0)</f>
        <v>IR Declared due to CID -TA</v>
      </c>
      <c r="R3860" s="17" t="s">
        <v>35</v>
      </c>
      <c r="S3860" s="17" t="str">
        <f aca="false">VLOOKUP(R3860,Sheet2!N:O,2,0)</f>
        <v>IREPARABLE</v>
      </c>
      <c r="T3860" s="18" t="str">
        <f aca="false">VLOOKUP(P3860,Sheet2!Q:R,2,0)</f>
        <v>IR Normal - Track burn out</v>
      </c>
      <c r="U3860" s="20" t="s">
        <v>41</v>
      </c>
      <c r="V3860" s="17"/>
      <c r="W3860" s="20" t="e">
        <f aca="false">VLOOKUP(V3860,Sheet2!Q:R,2,0)</f>
        <v>#N/A</v>
      </c>
      <c r="X3860" s="17" t="n">
        <f aca="false">J3860</f>
        <v>0</v>
      </c>
      <c r="Y3860" s="17" t="e">
        <f aca="false">VLOOKUP(X3860,Sheet2!A:B,2,0)</f>
        <v>#N/A</v>
      </c>
      <c r="Z3860" s="17"/>
      <c r="AA3860" s="17"/>
      <c r="AB3860" s="17" t="s">
        <v>41</v>
      </c>
      <c r="AC3860" s="0" t="str">
        <f aca="false">LEFT(G3860,2)</f>
        <v/>
      </c>
      <c r="AE3860" s="0"/>
    </row>
    <row r="3861" customFormat="false" ht="15" hidden="false" customHeight="false" outlineLevel="0" collapsed="false">
      <c r="A3861" s="13" t="n">
        <f aca="false">1+A3860</f>
        <v>3859</v>
      </c>
      <c r="B3861" s="14" t="n">
        <v>100</v>
      </c>
      <c r="C3861" s="15"/>
      <c r="D3861" s="16" t="s">
        <v>64</v>
      </c>
      <c r="E3861" s="17" t="s">
        <v>47</v>
      </c>
      <c r="F3861" s="18" t="s">
        <v>34</v>
      </c>
      <c r="G3861" s="19"/>
      <c r="H3861" s="17" t="s">
        <v>35</v>
      </c>
      <c r="I3861" s="17" t="s">
        <v>44</v>
      </c>
      <c r="J3861" s="17"/>
      <c r="K3861" s="17" t="e">
        <f aca="false">VLOOKUP(J3861,Sheet2!A:B,2,0)</f>
        <v>#N/A</v>
      </c>
      <c r="L3861" s="17" t="n">
        <v>5</v>
      </c>
      <c r="M3861" s="17" t="str">
        <f aca="false">VLOOKUP(L3861,Sheet2!D:E,2,0)</f>
        <v>Main Processor CPU BGA</v>
      </c>
      <c r="N3861" s="17" t="n">
        <v>1</v>
      </c>
      <c r="O3861" s="17" t="str">
        <f aca="false">VLOOKUP(N3861,Sheet2!G:H,2,0)</f>
        <v>Dead</v>
      </c>
      <c r="P3861" s="17" t="n">
        <v>11</v>
      </c>
      <c r="Q3861" s="17" t="str">
        <f aca="false">VLOOKUP(P3861,Sheet2!J:K,2,0)</f>
        <v>IR Declared due to CID -TA</v>
      </c>
      <c r="R3861" s="17" t="s">
        <v>35</v>
      </c>
      <c r="S3861" s="17" t="str">
        <f aca="false">VLOOKUP(R3861,Sheet2!N:O,2,0)</f>
        <v>IREPARABLE</v>
      </c>
      <c r="T3861" s="18" t="str">
        <f aca="false">VLOOKUP(P3861,Sheet2!Q:R,2,0)</f>
        <v>IR Normal - Track burn out</v>
      </c>
      <c r="U3861" s="20" t="s">
        <v>41</v>
      </c>
      <c r="V3861" s="17"/>
      <c r="W3861" s="20" t="e">
        <f aca="false">VLOOKUP(V3861,Sheet2!Q:R,2,0)</f>
        <v>#N/A</v>
      </c>
      <c r="X3861" s="17" t="n">
        <f aca="false">J3861</f>
        <v>0</v>
      </c>
      <c r="Y3861" s="17" t="e">
        <f aca="false">VLOOKUP(X3861,Sheet2!A:B,2,0)</f>
        <v>#N/A</v>
      </c>
      <c r="Z3861" s="17"/>
      <c r="AA3861" s="17"/>
      <c r="AB3861" s="17" t="s">
        <v>41</v>
      </c>
      <c r="AC3861" s="0" t="str">
        <f aca="false">LEFT(G3861,2)</f>
        <v/>
      </c>
      <c r="AE3861" s="0"/>
    </row>
    <row r="3862" customFormat="false" ht="15" hidden="false" customHeight="false" outlineLevel="0" collapsed="false">
      <c r="A3862" s="13" t="n">
        <f aca="false">1+A3861</f>
        <v>3860</v>
      </c>
      <c r="B3862" s="14" t="n">
        <v>100</v>
      </c>
      <c r="C3862" s="15"/>
      <c r="D3862" s="16" t="s">
        <v>64</v>
      </c>
      <c r="E3862" s="17" t="s">
        <v>47</v>
      </c>
      <c r="F3862" s="18" t="s">
        <v>34</v>
      </c>
      <c r="G3862" s="19"/>
      <c r="H3862" s="17" t="s">
        <v>35</v>
      </c>
      <c r="I3862" s="17" t="s">
        <v>44</v>
      </c>
      <c r="J3862" s="17"/>
      <c r="K3862" s="17" t="e">
        <f aca="false">VLOOKUP(J3862,Sheet2!A:B,2,0)</f>
        <v>#N/A</v>
      </c>
      <c r="L3862" s="17" t="n">
        <v>5</v>
      </c>
      <c r="M3862" s="17" t="str">
        <f aca="false">VLOOKUP(L3862,Sheet2!D:E,2,0)</f>
        <v>Main Processor CPU BGA</v>
      </c>
      <c r="N3862" s="17" t="n">
        <v>1</v>
      </c>
      <c r="O3862" s="17" t="str">
        <f aca="false">VLOOKUP(N3862,Sheet2!G:H,2,0)</f>
        <v>Dead</v>
      </c>
      <c r="P3862" s="17" t="n">
        <v>11</v>
      </c>
      <c r="Q3862" s="17" t="str">
        <f aca="false">VLOOKUP(P3862,Sheet2!J:K,2,0)</f>
        <v>IR Declared due to CID -TA</v>
      </c>
      <c r="R3862" s="17" t="s">
        <v>35</v>
      </c>
      <c r="S3862" s="17" t="str">
        <f aca="false">VLOOKUP(R3862,Sheet2!N:O,2,0)</f>
        <v>IREPARABLE</v>
      </c>
      <c r="T3862" s="18" t="str">
        <f aca="false">VLOOKUP(P3862,Sheet2!Q:R,2,0)</f>
        <v>IR Normal - Track burn out</v>
      </c>
      <c r="U3862" s="20" t="s">
        <v>41</v>
      </c>
      <c r="V3862" s="17"/>
      <c r="W3862" s="20" t="e">
        <f aca="false">VLOOKUP(V3862,Sheet2!Q:R,2,0)</f>
        <v>#N/A</v>
      </c>
      <c r="X3862" s="17" t="n">
        <f aca="false">J3862</f>
        <v>0</v>
      </c>
      <c r="Y3862" s="17" t="e">
        <f aca="false">VLOOKUP(X3862,Sheet2!A:B,2,0)</f>
        <v>#N/A</v>
      </c>
      <c r="Z3862" s="17"/>
      <c r="AA3862" s="17"/>
      <c r="AB3862" s="17" t="s">
        <v>41</v>
      </c>
      <c r="AC3862" s="0" t="str">
        <f aca="false">LEFT(G3862,2)</f>
        <v/>
      </c>
      <c r="AE3862" s="0"/>
    </row>
    <row r="3863" customFormat="false" ht="15" hidden="false" customHeight="false" outlineLevel="0" collapsed="false">
      <c r="A3863" s="13" t="n">
        <f aca="false">1+A3862</f>
        <v>3861</v>
      </c>
      <c r="B3863" s="14" t="n">
        <v>100</v>
      </c>
      <c r="C3863" s="15"/>
      <c r="D3863" s="16" t="s">
        <v>64</v>
      </c>
      <c r="E3863" s="17" t="s">
        <v>47</v>
      </c>
      <c r="F3863" s="18" t="s">
        <v>34</v>
      </c>
      <c r="G3863" s="19"/>
      <c r="H3863" s="17" t="s">
        <v>35</v>
      </c>
      <c r="I3863" s="17" t="s">
        <v>44</v>
      </c>
      <c r="J3863" s="17"/>
      <c r="K3863" s="17" t="e">
        <f aca="false">VLOOKUP(J3863,Sheet2!A:B,2,0)</f>
        <v>#N/A</v>
      </c>
      <c r="L3863" s="17" t="n">
        <v>5</v>
      </c>
      <c r="M3863" s="17" t="str">
        <f aca="false">VLOOKUP(L3863,Sheet2!D:E,2,0)</f>
        <v>Main Processor CPU BGA</v>
      </c>
      <c r="N3863" s="17" t="n">
        <v>1</v>
      </c>
      <c r="O3863" s="17" t="str">
        <f aca="false">VLOOKUP(N3863,Sheet2!G:H,2,0)</f>
        <v>Dead</v>
      </c>
      <c r="P3863" s="17" t="n">
        <v>11</v>
      </c>
      <c r="Q3863" s="17" t="str">
        <f aca="false">VLOOKUP(P3863,Sheet2!J:K,2,0)</f>
        <v>IR Declared due to CID -TA</v>
      </c>
      <c r="R3863" s="17" t="s">
        <v>35</v>
      </c>
      <c r="S3863" s="17" t="str">
        <f aca="false">VLOOKUP(R3863,Sheet2!N:O,2,0)</f>
        <v>IREPARABLE</v>
      </c>
      <c r="T3863" s="18" t="str">
        <f aca="false">VLOOKUP(P3863,Sheet2!Q:R,2,0)</f>
        <v>IR Normal - Track burn out</v>
      </c>
      <c r="U3863" s="20" t="s">
        <v>41</v>
      </c>
      <c r="V3863" s="17"/>
      <c r="W3863" s="20" t="e">
        <f aca="false">VLOOKUP(V3863,Sheet2!Q:R,2,0)</f>
        <v>#N/A</v>
      </c>
      <c r="X3863" s="17" t="n">
        <f aca="false">J3863</f>
        <v>0</v>
      </c>
      <c r="Y3863" s="17" t="e">
        <f aca="false">VLOOKUP(X3863,Sheet2!A:B,2,0)</f>
        <v>#N/A</v>
      </c>
      <c r="Z3863" s="17"/>
      <c r="AA3863" s="17"/>
      <c r="AB3863" s="17" t="s">
        <v>41</v>
      </c>
      <c r="AC3863" s="0" t="str">
        <f aca="false">LEFT(G3863,2)</f>
        <v/>
      </c>
      <c r="AE3863" s="0"/>
    </row>
    <row r="3864" customFormat="false" ht="15" hidden="false" customHeight="false" outlineLevel="0" collapsed="false">
      <c r="A3864" s="13" t="n">
        <f aca="false">1+A3863</f>
        <v>3862</v>
      </c>
      <c r="B3864" s="14" t="n">
        <v>100</v>
      </c>
      <c r="C3864" s="15"/>
      <c r="D3864" s="16" t="s">
        <v>64</v>
      </c>
      <c r="E3864" s="17" t="s">
        <v>47</v>
      </c>
      <c r="F3864" s="18" t="s">
        <v>34</v>
      </c>
      <c r="G3864" s="19"/>
      <c r="H3864" s="17" t="s">
        <v>35</v>
      </c>
      <c r="I3864" s="17" t="s">
        <v>44</v>
      </c>
      <c r="J3864" s="17"/>
      <c r="K3864" s="17" t="e">
        <f aca="false">VLOOKUP(J3864,Sheet2!A:B,2,0)</f>
        <v>#N/A</v>
      </c>
      <c r="L3864" s="17" t="n">
        <v>5</v>
      </c>
      <c r="M3864" s="17" t="str">
        <f aca="false">VLOOKUP(L3864,Sheet2!D:E,2,0)</f>
        <v>Main Processor CPU BGA</v>
      </c>
      <c r="N3864" s="17" t="n">
        <v>1</v>
      </c>
      <c r="O3864" s="17" t="str">
        <f aca="false">VLOOKUP(N3864,Sheet2!G:H,2,0)</f>
        <v>Dead</v>
      </c>
      <c r="P3864" s="17" t="n">
        <v>11</v>
      </c>
      <c r="Q3864" s="17" t="str">
        <f aca="false">VLOOKUP(P3864,Sheet2!J:K,2,0)</f>
        <v>IR Declared due to CID -TA</v>
      </c>
      <c r="R3864" s="17" t="s">
        <v>35</v>
      </c>
      <c r="S3864" s="17" t="str">
        <f aca="false">VLOOKUP(R3864,Sheet2!N:O,2,0)</f>
        <v>IREPARABLE</v>
      </c>
      <c r="T3864" s="18" t="str">
        <f aca="false">VLOOKUP(P3864,Sheet2!Q:R,2,0)</f>
        <v>IR Normal - Track burn out</v>
      </c>
      <c r="U3864" s="20" t="s">
        <v>41</v>
      </c>
      <c r="V3864" s="17"/>
      <c r="W3864" s="20" t="e">
        <f aca="false">VLOOKUP(V3864,Sheet2!Q:R,2,0)</f>
        <v>#N/A</v>
      </c>
      <c r="X3864" s="17" t="n">
        <f aca="false">J3864</f>
        <v>0</v>
      </c>
      <c r="Y3864" s="17" t="e">
        <f aca="false">VLOOKUP(X3864,Sheet2!A:B,2,0)</f>
        <v>#N/A</v>
      </c>
      <c r="Z3864" s="17"/>
      <c r="AA3864" s="17"/>
      <c r="AB3864" s="17" t="s">
        <v>41</v>
      </c>
      <c r="AC3864" s="0" t="str">
        <f aca="false">LEFT(G3864,2)</f>
        <v/>
      </c>
      <c r="AE3864" s="0"/>
    </row>
    <row r="3865" customFormat="false" ht="15" hidden="false" customHeight="false" outlineLevel="0" collapsed="false">
      <c r="A3865" s="13" t="n">
        <f aca="false">1+A3864</f>
        <v>3863</v>
      </c>
      <c r="B3865" s="14" t="n">
        <v>100</v>
      </c>
      <c r="C3865" s="15"/>
      <c r="D3865" s="16" t="s">
        <v>64</v>
      </c>
      <c r="E3865" s="17" t="s">
        <v>47</v>
      </c>
      <c r="F3865" s="18" t="s">
        <v>34</v>
      </c>
      <c r="G3865" s="19"/>
      <c r="H3865" s="17" t="s">
        <v>35</v>
      </c>
      <c r="I3865" s="17" t="s">
        <v>44</v>
      </c>
      <c r="J3865" s="17"/>
      <c r="K3865" s="17" t="e">
        <f aca="false">VLOOKUP(J3865,Sheet2!A:B,2,0)</f>
        <v>#N/A</v>
      </c>
      <c r="L3865" s="17" t="n">
        <v>5</v>
      </c>
      <c r="M3865" s="17" t="str">
        <f aca="false">VLOOKUP(L3865,Sheet2!D:E,2,0)</f>
        <v>Main Processor CPU BGA</v>
      </c>
      <c r="N3865" s="17" t="n">
        <v>1</v>
      </c>
      <c r="O3865" s="17" t="str">
        <f aca="false">VLOOKUP(N3865,Sheet2!G:H,2,0)</f>
        <v>Dead</v>
      </c>
      <c r="P3865" s="17" t="n">
        <v>11</v>
      </c>
      <c r="Q3865" s="17" t="str">
        <f aca="false">VLOOKUP(P3865,Sheet2!J:K,2,0)</f>
        <v>IR Declared due to CID -TA</v>
      </c>
      <c r="R3865" s="17" t="s">
        <v>35</v>
      </c>
      <c r="S3865" s="17" t="str">
        <f aca="false">VLOOKUP(R3865,Sheet2!N:O,2,0)</f>
        <v>IREPARABLE</v>
      </c>
      <c r="T3865" s="18" t="str">
        <f aca="false">VLOOKUP(P3865,Sheet2!Q:R,2,0)</f>
        <v>IR Normal - Track burn out</v>
      </c>
      <c r="U3865" s="20" t="s">
        <v>41</v>
      </c>
      <c r="V3865" s="17"/>
      <c r="W3865" s="20" t="e">
        <f aca="false">VLOOKUP(V3865,Sheet2!Q:R,2,0)</f>
        <v>#N/A</v>
      </c>
      <c r="X3865" s="17" t="n">
        <f aca="false">J3865</f>
        <v>0</v>
      </c>
      <c r="Y3865" s="17" t="e">
        <f aca="false">VLOOKUP(X3865,Sheet2!A:B,2,0)</f>
        <v>#N/A</v>
      </c>
      <c r="Z3865" s="17"/>
      <c r="AA3865" s="17"/>
      <c r="AB3865" s="17" t="s">
        <v>41</v>
      </c>
      <c r="AC3865" s="0" t="str">
        <f aca="false">LEFT(G3865,2)</f>
        <v/>
      </c>
      <c r="AE3865" s="0"/>
    </row>
    <row r="3866" customFormat="false" ht="15" hidden="false" customHeight="false" outlineLevel="0" collapsed="false">
      <c r="A3866" s="13" t="n">
        <f aca="false">1+A3865</f>
        <v>3864</v>
      </c>
      <c r="B3866" s="14" t="n">
        <v>100</v>
      </c>
      <c r="C3866" s="15"/>
      <c r="D3866" s="16" t="s">
        <v>64</v>
      </c>
      <c r="E3866" s="17" t="s">
        <v>47</v>
      </c>
      <c r="F3866" s="18" t="s">
        <v>34</v>
      </c>
      <c r="G3866" s="19"/>
      <c r="H3866" s="17" t="s">
        <v>35</v>
      </c>
      <c r="I3866" s="17" t="s">
        <v>44</v>
      </c>
      <c r="J3866" s="17"/>
      <c r="K3866" s="17" t="e">
        <f aca="false">VLOOKUP(J3866,Sheet2!A:B,2,0)</f>
        <v>#N/A</v>
      </c>
      <c r="L3866" s="17" t="n">
        <v>5</v>
      </c>
      <c r="M3866" s="17" t="str">
        <f aca="false">VLOOKUP(L3866,Sheet2!D:E,2,0)</f>
        <v>Main Processor CPU BGA</v>
      </c>
      <c r="N3866" s="17" t="n">
        <v>1</v>
      </c>
      <c r="O3866" s="17" t="str">
        <f aca="false">VLOOKUP(N3866,Sheet2!G:H,2,0)</f>
        <v>Dead</v>
      </c>
      <c r="P3866" s="17" t="n">
        <v>11</v>
      </c>
      <c r="Q3866" s="17" t="str">
        <f aca="false">VLOOKUP(P3866,Sheet2!J:K,2,0)</f>
        <v>IR Declared due to CID -TA</v>
      </c>
      <c r="R3866" s="17" t="s">
        <v>35</v>
      </c>
      <c r="S3866" s="17" t="str">
        <f aca="false">VLOOKUP(R3866,Sheet2!N:O,2,0)</f>
        <v>IREPARABLE</v>
      </c>
      <c r="T3866" s="18" t="str">
        <f aca="false">VLOOKUP(P3866,Sheet2!Q:R,2,0)</f>
        <v>IR Normal - Track burn out</v>
      </c>
      <c r="U3866" s="20" t="s">
        <v>41</v>
      </c>
      <c r="V3866" s="17"/>
      <c r="W3866" s="20" t="e">
        <f aca="false">VLOOKUP(V3866,Sheet2!Q:R,2,0)</f>
        <v>#N/A</v>
      </c>
      <c r="X3866" s="17" t="n">
        <f aca="false">J3866</f>
        <v>0</v>
      </c>
      <c r="Y3866" s="17" t="e">
        <f aca="false">VLOOKUP(X3866,Sheet2!A:B,2,0)</f>
        <v>#N/A</v>
      </c>
      <c r="Z3866" s="17"/>
      <c r="AA3866" s="17"/>
      <c r="AB3866" s="17" t="s">
        <v>41</v>
      </c>
      <c r="AC3866" s="0" t="str">
        <f aca="false">LEFT(G3866,2)</f>
        <v/>
      </c>
      <c r="AE3866" s="0"/>
    </row>
    <row r="3867" customFormat="false" ht="15" hidden="false" customHeight="false" outlineLevel="0" collapsed="false">
      <c r="A3867" s="13" t="n">
        <f aca="false">1+A3866</f>
        <v>3865</v>
      </c>
      <c r="B3867" s="14" t="n">
        <v>100</v>
      </c>
      <c r="C3867" s="15"/>
      <c r="D3867" s="16" t="s">
        <v>64</v>
      </c>
      <c r="E3867" s="17" t="s">
        <v>47</v>
      </c>
      <c r="F3867" s="18" t="s">
        <v>34</v>
      </c>
      <c r="G3867" s="19"/>
      <c r="H3867" s="17" t="s">
        <v>35</v>
      </c>
      <c r="I3867" s="17" t="s">
        <v>44</v>
      </c>
      <c r="J3867" s="17"/>
      <c r="K3867" s="17" t="e">
        <f aca="false">VLOOKUP(J3867,Sheet2!A:B,2,0)</f>
        <v>#N/A</v>
      </c>
      <c r="L3867" s="17" t="n">
        <v>5</v>
      </c>
      <c r="M3867" s="17" t="str">
        <f aca="false">VLOOKUP(L3867,Sheet2!D:E,2,0)</f>
        <v>Main Processor CPU BGA</v>
      </c>
      <c r="N3867" s="17" t="n">
        <v>1</v>
      </c>
      <c r="O3867" s="17" t="str">
        <f aca="false">VLOOKUP(N3867,Sheet2!G:H,2,0)</f>
        <v>Dead</v>
      </c>
      <c r="P3867" s="17" t="n">
        <v>11</v>
      </c>
      <c r="Q3867" s="17" t="str">
        <f aca="false">VLOOKUP(P3867,Sheet2!J:K,2,0)</f>
        <v>IR Declared due to CID -TA</v>
      </c>
      <c r="R3867" s="17" t="s">
        <v>35</v>
      </c>
      <c r="S3867" s="17" t="str">
        <f aca="false">VLOOKUP(R3867,Sheet2!N:O,2,0)</f>
        <v>IREPARABLE</v>
      </c>
      <c r="T3867" s="18" t="str">
        <f aca="false">VLOOKUP(P3867,Sheet2!Q:R,2,0)</f>
        <v>IR Normal - Track burn out</v>
      </c>
      <c r="U3867" s="20" t="s">
        <v>41</v>
      </c>
      <c r="V3867" s="17"/>
      <c r="W3867" s="20" t="e">
        <f aca="false">VLOOKUP(V3867,Sheet2!Q:R,2,0)</f>
        <v>#N/A</v>
      </c>
      <c r="X3867" s="17" t="n">
        <f aca="false">J3867</f>
        <v>0</v>
      </c>
      <c r="Y3867" s="17" t="e">
        <f aca="false">VLOOKUP(X3867,Sheet2!A:B,2,0)</f>
        <v>#N/A</v>
      </c>
      <c r="Z3867" s="17"/>
      <c r="AA3867" s="17"/>
      <c r="AB3867" s="17" t="s">
        <v>41</v>
      </c>
      <c r="AC3867" s="0" t="str">
        <f aca="false">LEFT(G3867,2)</f>
        <v/>
      </c>
      <c r="AE3867" s="0"/>
    </row>
    <row r="3868" customFormat="false" ht="15" hidden="false" customHeight="false" outlineLevel="0" collapsed="false">
      <c r="A3868" s="13" t="n">
        <f aca="false">1+A3867</f>
        <v>3866</v>
      </c>
      <c r="B3868" s="14" t="n">
        <v>100</v>
      </c>
      <c r="C3868" s="15"/>
      <c r="D3868" s="16" t="s">
        <v>64</v>
      </c>
      <c r="E3868" s="17" t="s">
        <v>47</v>
      </c>
      <c r="F3868" s="18" t="s">
        <v>34</v>
      </c>
      <c r="G3868" s="19"/>
      <c r="H3868" s="17" t="s">
        <v>35</v>
      </c>
      <c r="I3868" s="17" t="s">
        <v>44</v>
      </c>
      <c r="J3868" s="17"/>
      <c r="K3868" s="17" t="e">
        <f aca="false">VLOOKUP(J3868,Sheet2!A:B,2,0)</f>
        <v>#N/A</v>
      </c>
      <c r="L3868" s="17" t="n">
        <v>5</v>
      </c>
      <c r="M3868" s="17" t="str">
        <f aca="false">VLOOKUP(L3868,Sheet2!D:E,2,0)</f>
        <v>Main Processor CPU BGA</v>
      </c>
      <c r="N3868" s="17" t="n">
        <v>1</v>
      </c>
      <c r="O3868" s="17" t="str">
        <f aca="false">VLOOKUP(N3868,Sheet2!G:H,2,0)</f>
        <v>Dead</v>
      </c>
      <c r="P3868" s="17" t="n">
        <v>11</v>
      </c>
      <c r="Q3868" s="17" t="str">
        <f aca="false">VLOOKUP(P3868,Sheet2!J:K,2,0)</f>
        <v>IR Declared due to CID -TA</v>
      </c>
      <c r="R3868" s="17" t="s">
        <v>35</v>
      </c>
      <c r="S3868" s="17" t="str">
        <f aca="false">VLOOKUP(R3868,Sheet2!N:O,2,0)</f>
        <v>IREPARABLE</v>
      </c>
      <c r="T3868" s="18" t="str">
        <f aca="false">VLOOKUP(P3868,Sheet2!Q:R,2,0)</f>
        <v>IR Normal - Track burn out</v>
      </c>
      <c r="U3868" s="20" t="s">
        <v>41</v>
      </c>
      <c r="V3868" s="17"/>
      <c r="W3868" s="20" t="e">
        <f aca="false">VLOOKUP(V3868,Sheet2!Q:R,2,0)</f>
        <v>#N/A</v>
      </c>
      <c r="X3868" s="17" t="n">
        <f aca="false">J3868</f>
        <v>0</v>
      </c>
      <c r="Y3868" s="17" t="e">
        <f aca="false">VLOOKUP(X3868,Sheet2!A:B,2,0)</f>
        <v>#N/A</v>
      </c>
      <c r="Z3868" s="17"/>
      <c r="AA3868" s="17"/>
      <c r="AB3868" s="17" t="s">
        <v>41</v>
      </c>
      <c r="AC3868" s="0" t="str">
        <f aca="false">LEFT(G3868,2)</f>
        <v/>
      </c>
      <c r="AE3868" s="0"/>
    </row>
    <row r="3869" customFormat="false" ht="15" hidden="false" customHeight="false" outlineLevel="0" collapsed="false">
      <c r="A3869" s="13" t="n">
        <f aca="false">1+A3868</f>
        <v>3867</v>
      </c>
      <c r="B3869" s="14" t="n">
        <v>100</v>
      </c>
      <c r="C3869" s="15"/>
      <c r="D3869" s="16" t="s">
        <v>64</v>
      </c>
      <c r="E3869" s="17" t="s">
        <v>47</v>
      </c>
      <c r="F3869" s="18" t="s">
        <v>34</v>
      </c>
      <c r="G3869" s="19"/>
      <c r="H3869" s="17" t="s">
        <v>35</v>
      </c>
      <c r="I3869" s="17" t="s">
        <v>44</v>
      </c>
      <c r="J3869" s="17"/>
      <c r="K3869" s="17" t="e">
        <f aca="false">VLOOKUP(J3869,Sheet2!A:B,2,0)</f>
        <v>#N/A</v>
      </c>
      <c r="L3869" s="17" t="n">
        <v>5</v>
      </c>
      <c r="M3869" s="17" t="str">
        <f aca="false">VLOOKUP(L3869,Sheet2!D:E,2,0)</f>
        <v>Main Processor CPU BGA</v>
      </c>
      <c r="N3869" s="17" t="n">
        <v>1</v>
      </c>
      <c r="O3869" s="17" t="str">
        <f aca="false">VLOOKUP(N3869,Sheet2!G:H,2,0)</f>
        <v>Dead</v>
      </c>
      <c r="P3869" s="17" t="n">
        <v>11</v>
      </c>
      <c r="Q3869" s="17" t="str">
        <f aca="false">VLOOKUP(P3869,Sheet2!J:K,2,0)</f>
        <v>IR Declared due to CID -TA</v>
      </c>
      <c r="R3869" s="17" t="s">
        <v>35</v>
      </c>
      <c r="S3869" s="17" t="str">
        <f aca="false">VLOOKUP(R3869,Sheet2!N:O,2,0)</f>
        <v>IREPARABLE</v>
      </c>
      <c r="T3869" s="18" t="str">
        <f aca="false">VLOOKUP(P3869,Sheet2!Q:R,2,0)</f>
        <v>IR Normal - Track burn out</v>
      </c>
      <c r="U3869" s="20" t="s">
        <v>41</v>
      </c>
      <c r="V3869" s="17"/>
      <c r="W3869" s="20" t="e">
        <f aca="false">VLOOKUP(V3869,Sheet2!Q:R,2,0)</f>
        <v>#N/A</v>
      </c>
      <c r="X3869" s="17" t="n">
        <f aca="false">J3869</f>
        <v>0</v>
      </c>
      <c r="Y3869" s="17" t="e">
        <f aca="false">VLOOKUP(X3869,Sheet2!A:B,2,0)</f>
        <v>#N/A</v>
      </c>
      <c r="Z3869" s="17"/>
      <c r="AA3869" s="17"/>
      <c r="AB3869" s="17" t="s">
        <v>41</v>
      </c>
      <c r="AC3869" s="0" t="str">
        <f aca="false">LEFT(G3869,2)</f>
        <v/>
      </c>
      <c r="AE3869" s="0"/>
    </row>
    <row r="3870" customFormat="false" ht="15" hidden="false" customHeight="false" outlineLevel="0" collapsed="false">
      <c r="A3870" s="13" t="n">
        <f aca="false">1+A3869</f>
        <v>3868</v>
      </c>
      <c r="B3870" s="14" t="n">
        <v>100</v>
      </c>
      <c r="C3870" s="15"/>
      <c r="D3870" s="16" t="s">
        <v>64</v>
      </c>
      <c r="E3870" s="17" t="s">
        <v>47</v>
      </c>
      <c r="F3870" s="18" t="s">
        <v>34</v>
      </c>
      <c r="G3870" s="19"/>
      <c r="H3870" s="17" t="s">
        <v>35</v>
      </c>
      <c r="I3870" s="17" t="s">
        <v>44</v>
      </c>
      <c r="J3870" s="17"/>
      <c r="K3870" s="17" t="e">
        <f aca="false">VLOOKUP(J3870,Sheet2!A:B,2,0)</f>
        <v>#N/A</v>
      </c>
      <c r="L3870" s="17" t="n">
        <v>5</v>
      </c>
      <c r="M3870" s="17" t="str">
        <f aca="false">VLOOKUP(L3870,Sheet2!D:E,2,0)</f>
        <v>Main Processor CPU BGA</v>
      </c>
      <c r="N3870" s="17" t="n">
        <v>1</v>
      </c>
      <c r="O3870" s="17" t="str">
        <f aca="false">VLOOKUP(N3870,Sheet2!G:H,2,0)</f>
        <v>Dead</v>
      </c>
      <c r="P3870" s="17" t="n">
        <v>11</v>
      </c>
      <c r="Q3870" s="17" t="str">
        <f aca="false">VLOOKUP(P3870,Sheet2!J:K,2,0)</f>
        <v>IR Declared due to CID -TA</v>
      </c>
      <c r="R3870" s="17" t="s">
        <v>35</v>
      </c>
      <c r="S3870" s="17" t="str">
        <f aca="false">VLOOKUP(R3870,Sheet2!N:O,2,0)</f>
        <v>IREPARABLE</v>
      </c>
      <c r="T3870" s="18" t="str">
        <f aca="false">VLOOKUP(P3870,Sheet2!Q:R,2,0)</f>
        <v>IR Normal - Track burn out</v>
      </c>
      <c r="U3870" s="20" t="s">
        <v>41</v>
      </c>
      <c r="V3870" s="17"/>
      <c r="W3870" s="20" t="e">
        <f aca="false">VLOOKUP(V3870,Sheet2!Q:R,2,0)</f>
        <v>#N/A</v>
      </c>
      <c r="X3870" s="17" t="n">
        <f aca="false">J3870</f>
        <v>0</v>
      </c>
      <c r="Y3870" s="17" t="e">
        <f aca="false">VLOOKUP(X3870,Sheet2!A:B,2,0)</f>
        <v>#N/A</v>
      </c>
      <c r="Z3870" s="17"/>
      <c r="AA3870" s="17"/>
      <c r="AB3870" s="17" t="s">
        <v>41</v>
      </c>
      <c r="AC3870" s="0" t="str">
        <f aca="false">LEFT(G3870,2)</f>
        <v/>
      </c>
      <c r="AE3870" s="0"/>
    </row>
    <row r="3871" customFormat="false" ht="15" hidden="false" customHeight="false" outlineLevel="0" collapsed="false">
      <c r="A3871" s="13" t="n">
        <f aca="false">1+A3870</f>
        <v>3869</v>
      </c>
      <c r="B3871" s="14" t="n">
        <v>100</v>
      </c>
      <c r="C3871" s="15"/>
      <c r="D3871" s="16" t="s">
        <v>64</v>
      </c>
      <c r="E3871" s="17" t="s">
        <v>47</v>
      </c>
      <c r="F3871" s="18" t="s">
        <v>34</v>
      </c>
      <c r="G3871" s="19"/>
      <c r="H3871" s="17" t="s">
        <v>35</v>
      </c>
      <c r="I3871" s="17" t="s">
        <v>44</v>
      </c>
      <c r="J3871" s="17"/>
      <c r="K3871" s="17" t="e">
        <f aca="false">VLOOKUP(J3871,Sheet2!A:B,2,0)</f>
        <v>#N/A</v>
      </c>
      <c r="L3871" s="17" t="n">
        <v>5</v>
      </c>
      <c r="M3871" s="17" t="str">
        <f aca="false">VLOOKUP(L3871,Sheet2!D:E,2,0)</f>
        <v>Main Processor CPU BGA</v>
      </c>
      <c r="N3871" s="17" t="n">
        <v>1</v>
      </c>
      <c r="O3871" s="17" t="str">
        <f aca="false">VLOOKUP(N3871,Sheet2!G:H,2,0)</f>
        <v>Dead</v>
      </c>
      <c r="P3871" s="17" t="n">
        <v>11</v>
      </c>
      <c r="Q3871" s="17" t="str">
        <f aca="false">VLOOKUP(P3871,Sheet2!J:K,2,0)</f>
        <v>IR Declared due to CID -TA</v>
      </c>
      <c r="R3871" s="17" t="s">
        <v>35</v>
      </c>
      <c r="S3871" s="17" t="str">
        <f aca="false">VLOOKUP(R3871,Sheet2!N:O,2,0)</f>
        <v>IREPARABLE</v>
      </c>
      <c r="T3871" s="18" t="str">
        <f aca="false">VLOOKUP(P3871,Sheet2!Q:R,2,0)</f>
        <v>IR Normal - Track burn out</v>
      </c>
      <c r="U3871" s="20" t="s">
        <v>41</v>
      </c>
      <c r="V3871" s="17"/>
      <c r="W3871" s="20" t="e">
        <f aca="false">VLOOKUP(V3871,Sheet2!Q:R,2,0)</f>
        <v>#N/A</v>
      </c>
      <c r="X3871" s="17" t="n">
        <f aca="false">J3871</f>
        <v>0</v>
      </c>
      <c r="Y3871" s="17" t="e">
        <f aca="false">VLOOKUP(X3871,Sheet2!A:B,2,0)</f>
        <v>#N/A</v>
      </c>
      <c r="Z3871" s="17"/>
      <c r="AA3871" s="17"/>
      <c r="AB3871" s="17" t="s">
        <v>41</v>
      </c>
      <c r="AC3871" s="0" t="str">
        <f aca="false">LEFT(G3871,2)</f>
        <v/>
      </c>
      <c r="AE3871" s="0"/>
    </row>
    <row r="3872" customFormat="false" ht="15" hidden="false" customHeight="false" outlineLevel="0" collapsed="false">
      <c r="A3872" s="13" t="n">
        <f aca="false">1+A3871</f>
        <v>3870</v>
      </c>
      <c r="B3872" s="14" t="n">
        <v>100</v>
      </c>
      <c r="C3872" s="15"/>
      <c r="D3872" s="16" t="s">
        <v>64</v>
      </c>
      <c r="E3872" s="17" t="s">
        <v>47</v>
      </c>
      <c r="F3872" s="18" t="s">
        <v>34</v>
      </c>
      <c r="G3872" s="19"/>
      <c r="H3872" s="17" t="s">
        <v>35</v>
      </c>
      <c r="I3872" s="17" t="s">
        <v>44</v>
      </c>
      <c r="J3872" s="17"/>
      <c r="K3872" s="17" t="e">
        <f aca="false">VLOOKUP(J3872,Sheet2!A:B,2,0)</f>
        <v>#N/A</v>
      </c>
      <c r="L3872" s="17" t="n">
        <v>5</v>
      </c>
      <c r="M3872" s="17" t="str">
        <f aca="false">VLOOKUP(L3872,Sheet2!D:E,2,0)</f>
        <v>Main Processor CPU BGA</v>
      </c>
      <c r="N3872" s="17" t="n">
        <v>1</v>
      </c>
      <c r="O3872" s="17" t="str">
        <f aca="false">VLOOKUP(N3872,Sheet2!G:H,2,0)</f>
        <v>Dead</v>
      </c>
      <c r="P3872" s="17" t="n">
        <v>11</v>
      </c>
      <c r="Q3872" s="17" t="str">
        <f aca="false">VLOOKUP(P3872,Sheet2!J:K,2,0)</f>
        <v>IR Declared due to CID -TA</v>
      </c>
      <c r="R3872" s="17" t="s">
        <v>35</v>
      </c>
      <c r="S3872" s="17" t="str">
        <f aca="false">VLOOKUP(R3872,Sheet2!N:O,2,0)</f>
        <v>IREPARABLE</v>
      </c>
      <c r="T3872" s="18" t="str">
        <f aca="false">VLOOKUP(P3872,Sheet2!Q:R,2,0)</f>
        <v>IR Normal - Track burn out</v>
      </c>
      <c r="U3872" s="20" t="s">
        <v>41</v>
      </c>
      <c r="V3872" s="17"/>
      <c r="W3872" s="20" t="e">
        <f aca="false">VLOOKUP(V3872,Sheet2!Q:R,2,0)</f>
        <v>#N/A</v>
      </c>
      <c r="X3872" s="17" t="n">
        <f aca="false">J3872</f>
        <v>0</v>
      </c>
      <c r="Y3872" s="17" t="e">
        <f aca="false">VLOOKUP(X3872,Sheet2!A:B,2,0)</f>
        <v>#N/A</v>
      </c>
      <c r="Z3872" s="17"/>
      <c r="AA3872" s="17"/>
      <c r="AB3872" s="17" t="s">
        <v>41</v>
      </c>
      <c r="AC3872" s="0" t="str">
        <f aca="false">LEFT(G3872,2)</f>
        <v/>
      </c>
      <c r="AE3872" s="0"/>
    </row>
    <row r="3873" customFormat="false" ht="15" hidden="false" customHeight="false" outlineLevel="0" collapsed="false">
      <c r="A3873" s="13" t="n">
        <f aca="false">1+A3872</f>
        <v>3871</v>
      </c>
      <c r="B3873" s="14" t="n">
        <v>100</v>
      </c>
      <c r="C3873" s="15"/>
      <c r="D3873" s="16" t="s">
        <v>64</v>
      </c>
      <c r="E3873" s="17" t="s">
        <v>47</v>
      </c>
      <c r="F3873" s="18" t="s">
        <v>34</v>
      </c>
      <c r="G3873" s="19"/>
      <c r="H3873" s="17" t="s">
        <v>35</v>
      </c>
      <c r="I3873" s="17" t="s">
        <v>44</v>
      </c>
      <c r="J3873" s="17"/>
      <c r="K3873" s="17" t="e">
        <f aca="false">VLOOKUP(J3873,Sheet2!A:B,2,0)</f>
        <v>#N/A</v>
      </c>
      <c r="L3873" s="17" t="n">
        <v>5</v>
      </c>
      <c r="M3873" s="17" t="str">
        <f aca="false">VLOOKUP(L3873,Sheet2!D:E,2,0)</f>
        <v>Main Processor CPU BGA</v>
      </c>
      <c r="N3873" s="17" t="n">
        <v>1</v>
      </c>
      <c r="O3873" s="17" t="str">
        <f aca="false">VLOOKUP(N3873,Sheet2!G:H,2,0)</f>
        <v>Dead</v>
      </c>
      <c r="P3873" s="17" t="n">
        <v>11</v>
      </c>
      <c r="Q3873" s="17" t="str">
        <f aca="false">VLOOKUP(P3873,Sheet2!J:K,2,0)</f>
        <v>IR Declared due to CID -TA</v>
      </c>
      <c r="R3873" s="17" t="s">
        <v>35</v>
      </c>
      <c r="S3873" s="17" t="str">
        <f aca="false">VLOOKUP(R3873,Sheet2!N:O,2,0)</f>
        <v>IREPARABLE</v>
      </c>
      <c r="T3873" s="18" t="str">
        <f aca="false">VLOOKUP(P3873,Sheet2!Q:R,2,0)</f>
        <v>IR Normal - Track burn out</v>
      </c>
      <c r="U3873" s="20" t="s">
        <v>41</v>
      </c>
      <c r="V3873" s="17"/>
      <c r="W3873" s="20" t="e">
        <f aca="false">VLOOKUP(V3873,Sheet2!Q:R,2,0)</f>
        <v>#N/A</v>
      </c>
      <c r="X3873" s="17" t="n">
        <f aca="false">J3873</f>
        <v>0</v>
      </c>
      <c r="Y3873" s="17" t="e">
        <f aca="false">VLOOKUP(X3873,Sheet2!A:B,2,0)</f>
        <v>#N/A</v>
      </c>
      <c r="Z3873" s="17"/>
      <c r="AA3873" s="17"/>
      <c r="AB3873" s="17" t="s">
        <v>41</v>
      </c>
      <c r="AC3873" s="0" t="str">
        <f aca="false">LEFT(G3873,2)</f>
        <v/>
      </c>
      <c r="AE3873" s="0"/>
    </row>
    <row r="3874" customFormat="false" ht="15" hidden="false" customHeight="false" outlineLevel="0" collapsed="false">
      <c r="A3874" s="13" t="n">
        <f aca="false">1+A3873</f>
        <v>3872</v>
      </c>
      <c r="B3874" s="14" t="n">
        <v>100</v>
      </c>
      <c r="C3874" s="15"/>
      <c r="D3874" s="16" t="s">
        <v>64</v>
      </c>
      <c r="E3874" s="17" t="s">
        <v>47</v>
      </c>
      <c r="F3874" s="18" t="s">
        <v>34</v>
      </c>
      <c r="G3874" s="19"/>
      <c r="H3874" s="17" t="s">
        <v>35</v>
      </c>
      <c r="I3874" s="17" t="s">
        <v>44</v>
      </c>
      <c r="J3874" s="17"/>
      <c r="K3874" s="17" t="e">
        <f aca="false">VLOOKUP(J3874,Sheet2!A:B,2,0)</f>
        <v>#N/A</v>
      </c>
      <c r="L3874" s="17" t="n">
        <v>5</v>
      </c>
      <c r="M3874" s="17" t="str">
        <f aca="false">VLOOKUP(L3874,Sheet2!D:E,2,0)</f>
        <v>Main Processor CPU BGA</v>
      </c>
      <c r="N3874" s="17" t="n">
        <v>1</v>
      </c>
      <c r="O3874" s="17" t="str">
        <f aca="false">VLOOKUP(N3874,Sheet2!G:H,2,0)</f>
        <v>Dead</v>
      </c>
      <c r="P3874" s="17" t="n">
        <v>11</v>
      </c>
      <c r="Q3874" s="17" t="str">
        <f aca="false">VLOOKUP(P3874,Sheet2!J:K,2,0)</f>
        <v>IR Declared due to CID -TA</v>
      </c>
      <c r="R3874" s="17" t="s">
        <v>35</v>
      </c>
      <c r="S3874" s="17" t="str">
        <f aca="false">VLOOKUP(R3874,Sheet2!N:O,2,0)</f>
        <v>IREPARABLE</v>
      </c>
      <c r="T3874" s="18" t="str">
        <f aca="false">VLOOKUP(P3874,Sheet2!Q:R,2,0)</f>
        <v>IR Normal - Track burn out</v>
      </c>
      <c r="U3874" s="20" t="s">
        <v>41</v>
      </c>
      <c r="V3874" s="17"/>
      <c r="W3874" s="20" t="e">
        <f aca="false">VLOOKUP(V3874,Sheet2!Q:R,2,0)</f>
        <v>#N/A</v>
      </c>
      <c r="X3874" s="17" t="n">
        <f aca="false">J3874</f>
        <v>0</v>
      </c>
      <c r="Y3874" s="17" t="e">
        <f aca="false">VLOOKUP(X3874,Sheet2!A:B,2,0)</f>
        <v>#N/A</v>
      </c>
      <c r="Z3874" s="17"/>
      <c r="AA3874" s="17"/>
      <c r="AB3874" s="17" t="s">
        <v>41</v>
      </c>
      <c r="AC3874" s="0" t="str">
        <f aca="false">LEFT(G3874,2)</f>
        <v/>
      </c>
      <c r="AE3874" s="0"/>
    </row>
    <row r="3875" customFormat="false" ht="15" hidden="false" customHeight="false" outlineLevel="0" collapsed="false">
      <c r="A3875" s="13" t="n">
        <f aca="false">1+A3874</f>
        <v>3873</v>
      </c>
      <c r="B3875" s="14" t="n">
        <v>100</v>
      </c>
      <c r="C3875" s="15"/>
      <c r="D3875" s="16" t="s">
        <v>64</v>
      </c>
      <c r="E3875" s="17" t="s">
        <v>47</v>
      </c>
      <c r="F3875" s="18" t="s">
        <v>34</v>
      </c>
      <c r="G3875" s="19"/>
      <c r="H3875" s="17" t="s">
        <v>35</v>
      </c>
      <c r="I3875" s="17" t="s">
        <v>44</v>
      </c>
      <c r="J3875" s="17"/>
      <c r="K3875" s="17" t="e">
        <f aca="false">VLOOKUP(J3875,Sheet2!A:B,2,0)</f>
        <v>#N/A</v>
      </c>
      <c r="L3875" s="17" t="n">
        <v>5</v>
      </c>
      <c r="M3875" s="17" t="str">
        <f aca="false">VLOOKUP(L3875,Sheet2!D:E,2,0)</f>
        <v>Main Processor CPU BGA</v>
      </c>
      <c r="N3875" s="17" t="n">
        <v>1</v>
      </c>
      <c r="O3875" s="17" t="str">
        <f aca="false">VLOOKUP(N3875,Sheet2!G:H,2,0)</f>
        <v>Dead</v>
      </c>
      <c r="P3875" s="17" t="n">
        <v>11</v>
      </c>
      <c r="Q3875" s="17" t="str">
        <f aca="false">VLOOKUP(P3875,Sheet2!J:K,2,0)</f>
        <v>IR Declared due to CID -TA</v>
      </c>
      <c r="R3875" s="17" t="s">
        <v>35</v>
      </c>
      <c r="S3875" s="17" t="str">
        <f aca="false">VLOOKUP(R3875,Sheet2!N:O,2,0)</f>
        <v>IREPARABLE</v>
      </c>
      <c r="T3875" s="18" t="str">
        <f aca="false">VLOOKUP(P3875,Sheet2!Q:R,2,0)</f>
        <v>IR Normal - Track burn out</v>
      </c>
      <c r="U3875" s="20" t="s">
        <v>41</v>
      </c>
      <c r="V3875" s="17"/>
      <c r="W3875" s="20" t="e">
        <f aca="false">VLOOKUP(V3875,Sheet2!Q:R,2,0)</f>
        <v>#N/A</v>
      </c>
      <c r="X3875" s="17" t="n">
        <f aca="false">J3875</f>
        <v>0</v>
      </c>
      <c r="Y3875" s="17" t="e">
        <f aca="false">VLOOKUP(X3875,Sheet2!A:B,2,0)</f>
        <v>#N/A</v>
      </c>
      <c r="Z3875" s="17"/>
      <c r="AA3875" s="17"/>
      <c r="AB3875" s="17" t="s">
        <v>41</v>
      </c>
      <c r="AC3875" s="0" t="str">
        <f aca="false">LEFT(G3875,2)</f>
        <v/>
      </c>
      <c r="AE3875" s="0"/>
    </row>
    <row r="3876" customFormat="false" ht="15" hidden="false" customHeight="false" outlineLevel="0" collapsed="false">
      <c r="A3876" s="13" t="n">
        <f aca="false">1+A3875</f>
        <v>3874</v>
      </c>
      <c r="B3876" s="14" t="n">
        <v>100</v>
      </c>
      <c r="C3876" s="15"/>
      <c r="D3876" s="16" t="s">
        <v>64</v>
      </c>
      <c r="E3876" s="17" t="s">
        <v>47</v>
      </c>
      <c r="F3876" s="18" t="s">
        <v>34</v>
      </c>
      <c r="G3876" s="19"/>
      <c r="H3876" s="17" t="s">
        <v>35</v>
      </c>
      <c r="I3876" s="17" t="s">
        <v>44</v>
      </c>
      <c r="J3876" s="17"/>
      <c r="K3876" s="17" t="e">
        <f aca="false">VLOOKUP(J3876,Sheet2!A:B,2,0)</f>
        <v>#N/A</v>
      </c>
      <c r="L3876" s="17" t="n">
        <v>5</v>
      </c>
      <c r="M3876" s="17" t="str">
        <f aca="false">VLOOKUP(L3876,Sheet2!D:E,2,0)</f>
        <v>Main Processor CPU BGA</v>
      </c>
      <c r="N3876" s="17" t="n">
        <v>1</v>
      </c>
      <c r="O3876" s="17" t="str">
        <f aca="false">VLOOKUP(N3876,Sheet2!G:H,2,0)</f>
        <v>Dead</v>
      </c>
      <c r="P3876" s="17" t="n">
        <v>11</v>
      </c>
      <c r="Q3876" s="17" t="str">
        <f aca="false">VLOOKUP(P3876,Sheet2!J:K,2,0)</f>
        <v>IR Declared due to CID -TA</v>
      </c>
      <c r="R3876" s="17" t="s">
        <v>35</v>
      </c>
      <c r="S3876" s="17" t="str">
        <f aca="false">VLOOKUP(R3876,Sheet2!N:O,2,0)</f>
        <v>IREPARABLE</v>
      </c>
      <c r="T3876" s="18" t="str">
        <f aca="false">VLOOKUP(P3876,Sheet2!Q:R,2,0)</f>
        <v>IR Normal - Track burn out</v>
      </c>
      <c r="U3876" s="20" t="s">
        <v>41</v>
      </c>
      <c r="V3876" s="17"/>
      <c r="W3876" s="20" t="e">
        <f aca="false">VLOOKUP(V3876,Sheet2!Q:R,2,0)</f>
        <v>#N/A</v>
      </c>
      <c r="X3876" s="17" t="n">
        <f aca="false">J3876</f>
        <v>0</v>
      </c>
      <c r="Y3876" s="17" t="e">
        <f aca="false">VLOOKUP(X3876,Sheet2!A:B,2,0)</f>
        <v>#N/A</v>
      </c>
      <c r="Z3876" s="17"/>
      <c r="AA3876" s="17"/>
      <c r="AB3876" s="17" t="s">
        <v>41</v>
      </c>
      <c r="AC3876" s="0" t="str">
        <f aca="false">LEFT(G3876,2)</f>
        <v/>
      </c>
      <c r="AE3876" s="0"/>
    </row>
    <row r="3877" customFormat="false" ht="15" hidden="false" customHeight="false" outlineLevel="0" collapsed="false">
      <c r="A3877" s="13" t="n">
        <f aca="false">1+A3876</f>
        <v>3875</v>
      </c>
      <c r="B3877" s="14" t="n">
        <v>100</v>
      </c>
      <c r="C3877" s="15"/>
      <c r="D3877" s="16" t="s">
        <v>64</v>
      </c>
      <c r="E3877" s="17" t="s">
        <v>47</v>
      </c>
      <c r="F3877" s="18" t="s">
        <v>34</v>
      </c>
      <c r="G3877" s="19"/>
      <c r="H3877" s="17" t="s">
        <v>35</v>
      </c>
      <c r="I3877" s="17" t="s">
        <v>44</v>
      </c>
      <c r="J3877" s="17"/>
      <c r="K3877" s="17" t="e">
        <f aca="false">VLOOKUP(J3877,Sheet2!A:B,2,0)</f>
        <v>#N/A</v>
      </c>
      <c r="L3877" s="17" t="n">
        <v>5</v>
      </c>
      <c r="M3877" s="17" t="str">
        <f aca="false">VLOOKUP(L3877,Sheet2!D:E,2,0)</f>
        <v>Main Processor CPU BGA</v>
      </c>
      <c r="N3877" s="17" t="n">
        <v>1</v>
      </c>
      <c r="O3877" s="17" t="str">
        <f aca="false">VLOOKUP(N3877,Sheet2!G:H,2,0)</f>
        <v>Dead</v>
      </c>
      <c r="P3877" s="17" t="n">
        <v>11</v>
      </c>
      <c r="Q3877" s="17" t="str">
        <f aca="false">VLOOKUP(P3877,Sheet2!J:K,2,0)</f>
        <v>IR Declared due to CID -TA</v>
      </c>
      <c r="R3877" s="17" t="s">
        <v>35</v>
      </c>
      <c r="S3877" s="17" t="str">
        <f aca="false">VLOOKUP(R3877,Sheet2!N:O,2,0)</f>
        <v>IREPARABLE</v>
      </c>
      <c r="T3877" s="18" t="str">
        <f aca="false">VLOOKUP(P3877,Sheet2!Q:R,2,0)</f>
        <v>IR Normal - Track burn out</v>
      </c>
      <c r="U3877" s="20" t="s">
        <v>41</v>
      </c>
      <c r="V3877" s="17"/>
      <c r="W3877" s="20" t="e">
        <f aca="false">VLOOKUP(V3877,Sheet2!Q:R,2,0)</f>
        <v>#N/A</v>
      </c>
      <c r="X3877" s="17" t="n">
        <f aca="false">J3877</f>
        <v>0</v>
      </c>
      <c r="Y3877" s="17" t="e">
        <f aca="false">VLOOKUP(X3877,Sheet2!A:B,2,0)</f>
        <v>#N/A</v>
      </c>
      <c r="Z3877" s="17"/>
      <c r="AA3877" s="17"/>
      <c r="AB3877" s="17" t="s">
        <v>41</v>
      </c>
      <c r="AC3877" s="0" t="str">
        <f aca="false">LEFT(G3877,2)</f>
        <v/>
      </c>
      <c r="AE3877" s="0"/>
    </row>
    <row r="3878" customFormat="false" ht="15" hidden="false" customHeight="false" outlineLevel="0" collapsed="false">
      <c r="A3878" s="13" t="n">
        <f aca="false">1+A3877</f>
        <v>3876</v>
      </c>
      <c r="B3878" s="14" t="n">
        <v>100</v>
      </c>
      <c r="C3878" s="15"/>
      <c r="D3878" s="16" t="s">
        <v>64</v>
      </c>
      <c r="E3878" s="17" t="s">
        <v>47</v>
      </c>
      <c r="F3878" s="18" t="s">
        <v>34</v>
      </c>
      <c r="G3878" s="19"/>
      <c r="H3878" s="17" t="s">
        <v>35</v>
      </c>
      <c r="I3878" s="17" t="s">
        <v>44</v>
      </c>
      <c r="J3878" s="17"/>
      <c r="K3878" s="17" t="e">
        <f aca="false">VLOOKUP(J3878,Sheet2!A:B,2,0)</f>
        <v>#N/A</v>
      </c>
      <c r="L3878" s="17" t="n">
        <v>5</v>
      </c>
      <c r="M3878" s="17" t="str">
        <f aca="false">VLOOKUP(L3878,Sheet2!D:E,2,0)</f>
        <v>Main Processor CPU BGA</v>
      </c>
      <c r="N3878" s="17" t="n">
        <v>1</v>
      </c>
      <c r="O3878" s="17" t="str">
        <f aca="false">VLOOKUP(N3878,Sheet2!G:H,2,0)</f>
        <v>Dead</v>
      </c>
      <c r="P3878" s="17" t="n">
        <v>11</v>
      </c>
      <c r="Q3878" s="17" t="str">
        <f aca="false">VLOOKUP(P3878,Sheet2!J:K,2,0)</f>
        <v>IR Declared due to CID -TA</v>
      </c>
      <c r="R3878" s="17" t="s">
        <v>35</v>
      </c>
      <c r="S3878" s="17" t="str">
        <f aca="false">VLOOKUP(R3878,Sheet2!N:O,2,0)</f>
        <v>IREPARABLE</v>
      </c>
      <c r="T3878" s="18" t="str">
        <f aca="false">VLOOKUP(P3878,Sheet2!Q:R,2,0)</f>
        <v>IR Normal - Track burn out</v>
      </c>
      <c r="U3878" s="20" t="s">
        <v>41</v>
      </c>
      <c r="V3878" s="17"/>
      <c r="W3878" s="20" t="e">
        <f aca="false">VLOOKUP(V3878,Sheet2!Q:R,2,0)</f>
        <v>#N/A</v>
      </c>
      <c r="X3878" s="17" t="n">
        <f aca="false">J3878</f>
        <v>0</v>
      </c>
      <c r="Y3878" s="17" t="e">
        <f aca="false">VLOOKUP(X3878,Sheet2!A:B,2,0)</f>
        <v>#N/A</v>
      </c>
      <c r="Z3878" s="17"/>
      <c r="AA3878" s="17"/>
      <c r="AB3878" s="17" t="s">
        <v>41</v>
      </c>
      <c r="AC3878" s="0" t="str">
        <f aca="false">LEFT(G3878,2)</f>
        <v/>
      </c>
      <c r="AE3878" s="0"/>
    </row>
    <row r="3879" customFormat="false" ht="15" hidden="false" customHeight="false" outlineLevel="0" collapsed="false">
      <c r="A3879" s="13" t="n">
        <f aca="false">1+A3878</f>
        <v>3877</v>
      </c>
      <c r="B3879" s="14" t="n">
        <v>100</v>
      </c>
      <c r="C3879" s="15"/>
      <c r="D3879" s="16" t="s">
        <v>64</v>
      </c>
      <c r="E3879" s="17" t="s">
        <v>47</v>
      </c>
      <c r="F3879" s="18" t="s">
        <v>34</v>
      </c>
      <c r="G3879" s="19"/>
      <c r="H3879" s="17" t="s">
        <v>35</v>
      </c>
      <c r="I3879" s="17" t="s">
        <v>44</v>
      </c>
      <c r="J3879" s="17"/>
      <c r="K3879" s="17" t="e">
        <f aca="false">VLOOKUP(J3879,Sheet2!A:B,2,0)</f>
        <v>#N/A</v>
      </c>
      <c r="L3879" s="17" t="n">
        <v>5</v>
      </c>
      <c r="M3879" s="17" t="str">
        <f aca="false">VLOOKUP(L3879,Sheet2!D:E,2,0)</f>
        <v>Main Processor CPU BGA</v>
      </c>
      <c r="N3879" s="17" t="n">
        <v>1</v>
      </c>
      <c r="O3879" s="17" t="str">
        <f aca="false">VLOOKUP(N3879,Sheet2!G:H,2,0)</f>
        <v>Dead</v>
      </c>
      <c r="P3879" s="17" t="n">
        <v>11</v>
      </c>
      <c r="Q3879" s="17" t="str">
        <f aca="false">VLOOKUP(P3879,Sheet2!J:K,2,0)</f>
        <v>IR Declared due to CID -TA</v>
      </c>
      <c r="R3879" s="17" t="s">
        <v>35</v>
      </c>
      <c r="S3879" s="17" t="str">
        <f aca="false">VLOOKUP(R3879,Sheet2!N:O,2,0)</f>
        <v>IREPARABLE</v>
      </c>
      <c r="T3879" s="18" t="str">
        <f aca="false">VLOOKUP(P3879,Sheet2!Q:R,2,0)</f>
        <v>IR Normal - Track burn out</v>
      </c>
      <c r="U3879" s="20" t="s">
        <v>41</v>
      </c>
      <c r="V3879" s="17"/>
      <c r="W3879" s="20" t="e">
        <f aca="false">VLOOKUP(V3879,Sheet2!Q:R,2,0)</f>
        <v>#N/A</v>
      </c>
      <c r="X3879" s="17" t="n">
        <f aca="false">J3879</f>
        <v>0</v>
      </c>
      <c r="Y3879" s="17" t="e">
        <f aca="false">VLOOKUP(X3879,Sheet2!A:B,2,0)</f>
        <v>#N/A</v>
      </c>
      <c r="Z3879" s="17"/>
      <c r="AA3879" s="17"/>
      <c r="AB3879" s="17" t="s">
        <v>41</v>
      </c>
      <c r="AC3879" s="0" t="str">
        <f aca="false">LEFT(G3879,2)</f>
        <v/>
      </c>
      <c r="AE3879" s="0"/>
    </row>
    <row r="3880" customFormat="false" ht="15" hidden="false" customHeight="false" outlineLevel="0" collapsed="false">
      <c r="A3880" s="13" t="n">
        <f aca="false">1+A3879</f>
        <v>3878</v>
      </c>
      <c r="B3880" s="14" t="n">
        <v>100</v>
      </c>
      <c r="C3880" s="15"/>
      <c r="D3880" s="16" t="s">
        <v>64</v>
      </c>
      <c r="E3880" s="17" t="s">
        <v>47</v>
      </c>
      <c r="F3880" s="18" t="s">
        <v>34</v>
      </c>
      <c r="G3880" s="19"/>
      <c r="H3880" s="17" t="s">
        <v>35</v>
      </c>
      <c r="I3880" s="17" t="s">
        <v>44</v>
      </c>
      <c r="J3880" s="17"/>
      <c r="K3880" s="17" t="e">
        <f aca="false">VLOOKUP(J3880,Sheet2!A:B,2,0)</f>
        <v>#N/A</v>
      </c>
      <c r="L3880" s="17" t="n">
        <v>5</v>
      </c>
      <c r="M3880" s="17" t="str">
        <f aca="false">VLOOKUP(L3880,Sheet2!D:E,2,0)</f>
        <v>Main Processor CPU BGA</v>
      </c>
      <c r="N3880" s="17" t="n">
        <v>1</v>
      </c>
      <c r="O3880" s="17" t="str">
        <f aca="false">VLOOKUP(N3880,Sheet2!G:H,2,0)</f>
        <v>Dead</v>
      </c>
      <c r="P3880" s="17" t="n">
        <v>11</v>
      </c>
      <c r="Q3880" s="17" t="str">
        <f aca="false">VLOOKUP(P3880,Sheet2!J:K,2,0)</f>
        <v>IR Declared due to CID -TA</v>
      </c>
      <c r="R3880" s="17" t="s">
        <v>35</v>
      </c>
      <c r="S3880" s="17" t="str">
        <f aca="false">VLOOKUP(R3880,Sheet2!N:O,2,0)</f>
        <v>IREPARABLE</v>
      </c>
      <c r="T3880" s="18" t="str">
        <f aca="false">VLOOKUP(P3880,Sheet2!Q:R,2,0)</f>
        <v>IR Normal - Track burn out</v>
      </c>
      <c r="U3880" s="20" t="s">
        <v>41</v>
      </c>
      <c r="V3880" s="17"/>
      <c r="W3880" s="20" t="e">
        <f aca="false">VLOOKUP(V3880,Sheet2!Q:R,2,0)</f>
        <v>#N/A</v>
      </c>
      <c r="X3880" s="17" t="n">
        <f aca="false">J3880</f>
        <v>0</v>
      </c>
      <c r="Y3880" s="17" t="e">
        <f aca="false">VLOOKUP(X3880,Sheet2!A:B,2,0)</f>
        <v>#N/A</v>
      </c>
      <c r="Z3880" s="17"/>
      <c r="AA3880" s="17"/>
      <c r="AB3880" s="17" t="s">
        <v>41</v>
      </c>
      <c r="AC3880" s="0" t="str">
        <f aca="false">LEFT(G3880,2)</f>
        <v/>
      </c>
      <c r="AE3880" s="0"/>
    </row>
    <row r="3881" customFormat="false" ht="15" hidden="false" customHeight="false" outlineLevel="0" collapsed="false">
      <c r="A3881" s="13" t="n">
        <f aca="false">1+A3880</f>
        <v>3879</v>
      </c>
      <c r="B3881" s="14" t="n">
        <v>100</v>
      </c>
      <c r="C3881" s="15"/>
      <c r="D3881" s="16" t="s">
        <v>64</v>
      </c>
      <c r="E3881" s="17" t="s">
        <v>47</v>
      </c>
      <c r="F3881" s="18" t="s">
        <v>34</v>
      </c>
      <c r="G3881" s="19"/>
      <c r="H3881" s="17" t="s">
        <v>35</v>
      </c>
      <c r="I3881" s="17" t="s">
        <v>44</v>
      </c>
      <c r="J3881" s="17"/>
      <c r="K3881" s="17" t="e">
        <f aca="false">VLOOKUP(J3881,Sheet2!A:B,2,0)</f>
        <v>#N/A</v>
      </c>
      <c r="L3881" s="17" t="n">
        <v>5</v>
      </c>
      <c r="M3881" s="17" t="str">
        <f aca="false">VLOOKUP(L3881,Sheet2!D:E,2,0)</f>
        <v>Main Processor CPU BGA</v>
      </c>
      <c r="N3881" s="17" t="n">
        <v>1</v>
      </c>
      <c r="O3881" s="17" t="str">
        <f aca="false">VLOOKUP(N3881,Sheet2!G:H,2,0)</f>
        <v>Dead</v>
      </c>
      <c r="P3881" s="17" t="n">
        <v>11</v>
      </c>
      <c r="Q3881" s="17" t="str">
        <f aca="false">VLOOKUP(P3881,Sheet2!J:K,2,0)</f>
        <v>IR Declared due to CID -TA</v>
      </c>
      <c r="R3881" s="17" t="s">
        <v>35</v>
      </c>
      <c r="S3881" s="17" t="str">
        <f aca="false">VLOOKUP(R3881,Sheet2!N:O,2,0)</f>
        <v>IREPARABLE</v>
      </c>
      <c r="T3881" s="18" t="str">
        <f aca="false">VLOOKUP(P3881,Sheet2!Q:R,2,0)</f>
        <v>IR Normal - Track burn out</v>
      </c>
      <c r="U3881" s="20" t="s">
        <v>41</v>
      </c>
      <c r="V3881" s="17"/>
      <c r="W3881" s="20" t="e">
        <f aca="false">VLOOKUP(V3881,Sheet2!Q:R,2,0)</f>
        <v>#N/A</v>
      </c>
      <c r="X3881" s="17" t="n">
        <f aca="false">J3881</f>
        <v>0</v>
      </c>
      <c r="Y3881" s="17" t="e">
        <f aca="false">VLOOKUP(X3881,Sheet2!A:B,2,0)</f>
        <v>#N/A</v>
      </c>
      <c r="Z3881" s="17"/>
      <c r="AA3881" s="17"/>
      <c r="AB3881" s="17" t="s">
        <v>41</v>
      </c>
      <c r="AC3881" s="0" t="str">
        <f aca="false">LEFT(G3881,2)</f>
        <v/>
      </c>
      <c r="AE3881" s="0"/>
    </row>
    <row r="3882" customFormat="false" ht="15" hidden="false" customHeight="false" outlineLevel="0" collapsed="false">
      <c r="A3882" s="13" t="n">
        <f aca="false">1+A3881</f>
        <v>3880</v>
      </c>
      <c r="B3882" s="14" t="n">
        <v>100</v>
      </c>
      <c r="C3882" s="15"/>
      <c r="D3882" s="16" t="s">
        <v>64</v>
      </c>
      <c r="E3882" s="17" t="s">
        <v>47</v>
      </c>
      <c r="F3882" s="18" t="s">
        <v>34</v>
      </c>
      <c r="G3882" s="19"/>
      <c r="H3882" s="17" t="s">
        <v>35</v>
      </c>
      <c r="I3882" s="17" t="s">
        <v>44</v>
      </c>
      <c r="J3882" s="17"/>
      <c r="K3882" s="17" t="e">
        <f aca="false">VLOOKUP(J3882,Sheet2!A:B,2,0)</f>
        <v>#N/A</v>
      </c>
      <c r="L3882" s="17" t="n">
        <v>5</v>
      </c>
      <c r="M3882" s="17" t="str">
        <f aca="false">VLOOKUP(L3882,Sheet2!D:E,2,0)</f>
        <v>Main Processor CPU BGA</v>
      </c>
      <c r="N3882" s="17" t="n">
        <v>1</v>
      </c>
      <c r="O3882" s="17" t="str">
        <f aca="false">VLOOKUP(N3882,Sheet2!G:H,2,0)</f>
        <v>Dead</v>
      </c>
      <c r="P3882" s="17" t="n">
        <v>11</v>
      </c>
      <c r="Q3882" s="17" t="str">
        <f aca="false">VLOOKUP(P3882,Sheet2!J:K,2,0)</f>
        <v>IR Declared due to CID -TA</v>
      </c>
      <c r="R3882" s="17" t="s">
        <v>35</v>
      </c>
      <c r="S3882" s="17" t="str">
        <f aca="false">VLOOKUP(R3882,Sheet2!N:O,2,0)</f>
        <v>IREPARABLE</v>
      </c>
      <c r="T3882" s="18" t="str">
        <f aca="false">VLOOKUP(P3882,Sheet2!Q:R,2,0)</f>
        <v>IR Normal - Track burn out</v>
      </c>
      <c r="U3882" s="20" t="s">
        <v>41</v>
      </c>
      <c r="V3882" s="17"/>
      <c r="W3882" s="20" t="e">
        <f aca="false">VLOOKUP(V3882,Sheet2!Q:R,2,0)</f>
        <v>#N/A</v>
      </c>
      <c r="X3882" s="17" t="n">
        <f aca="false">J3882</f>
        <v>0</v>
      </c>
      <c r="Y3882" s="17" t="e">
        <f aca="false">VLOOKUP(X3882,Sheet2!A:B,2,0)</f>
        <v>#N/A</v>
      </c>
      <c r="Z3882" s="17"/>
      <c r="AA3882" s="17"/>
      <c r="AB3882" s="17" t="s">
        <v>41</v>
      </c>
      <c r="AC3882" s="0" t="str">
        <f aca="false">LEFT(G3882,2)</f>
        <v/>
      </c>
      <c r="AE3882" s="0"/>
    </row>
    <row r="3883" customFormat="false" ht="15" hidden="false" customHeight="false" outlineLevel="0" collapsed="false">
      <c r="A3883" s="13" t="n">
        <f aca="false">1+A3882</f>
        <v>3881</v>
      </c>
      <c r="B3883" s="14" t="n">
        <v>100</v>
      </c>
      <c r="C3883" s="15"/>
      <c r="D3883" s="16" t="s">
        <v>64</v>
      </c>
      <c r="E3883" s="17" t="s">
        <v>47</v>
      </c>
      <c r="F3883" s="18" t="s">
        <v>34</v>
      </c>
      <c r="G3883" s="19"/>
      <c r="H3883" s="17" t="s">
        <v>35</v>
      </c>
      <c r="I3883" s="17" t="s">
        <v>44</v>
      </c>
      <c r="J3883" s="17"/>
      <c r="K3883" s="17" t="e">
        <f aca="false">VLOOKUP(J3883,Sheet2!A:B,2,0)</f>
        <v>#N/A</v>
      </c>
      <c r="L3883" s="17" t="n">
        <v>5</v>
      </c>
      <c r="M3883" s="17" t="str">
        <f aca="false">VLOOKUP(L3883,Sheet2!D:E,2,0)</f>
        <v>Main Processor CPU BGA</v>
      </c>
      <c r="N3883" s="17" t="n">
        <v>1</v>
      </c>
      <c r="O3883" s="17" t="str">
        <f aca="false">VLOOKUP(N3883,Sheet2!G:H,2,0)</f>
        <v>Dead</v>
      </c>
      <c r="P3883" s="17" t="n">
        <v>11</v>
      </c>
      <c r="Q3883" s="17" t="str">
        <f aca="false">VLOOKUP(P3883,Sheet2!J:K,2,0)</f>
        <v>IR Declared due to CID -TA</v>
      </c>
      <c r="R3883" s="17" t="s">
        <v>35</v>
      </c>
      <c r="S3883" s="17" t="str">
        <f aca="false">VLOOKUP(R3883,Sheet2!N:O,2,0)</f>
        <v>IREPARABLE</v>
      </c>
      <c r="T3883" s="18" t="str">
        <f aca="false">VLOOKUP(P3883,Sheet2!Q:R,2,0)</f>
        <v>IR Normal - Track burn out</v>
      </c>
      <c r="U3883" s="20" t="s">
        <v>41</v>
      </c>
      <c r="V3883" s="17"/>
      <c r="W3883" s="20" t="e">
        <f aca="false">VLOOKUP(V3883,Sheet2!Q:R,2,0)</f>
        <v>#N/A</v>
      </c>
      <c r="X3883" s="17" t="n">
        <f aca="false">J3883</f>
        <v>0</v>
      </c>
      <c r="Y3883" s="17" t="e">
        <f aca="false">VLOOKUP(X3883,Sheet2!A:B,2,0)</f>
        <v>#N/A</v>
      </c>
      <c r="Z3883" s="17"/>
      <c r="AA3883" s="17"/>
      <c r="AB3883" s="17" t="s">
        <v>41</v>
      </c>
      <c r="AC3883" s="0" t="str">
        <f aca="false">LEFT(G3883,2)</f>
        <v/>
      </c>
      <c r="AE3883" s="0"/>
    </row>
    <row r="3884" customFormat="false" ht="15" hidden="false" customHeight="false" outlineLevel="0" collapsed="false">
      <c r="A3884" s="13" t="n">
        <f aca="false">1+A3883</f>
        <v>3882</v>
      </c>
      <c r="B3884" s="14" t="n">
        <v>100</v>
      </c>
      <c r="C3884" s="15"/>
      <c r="D3884" s="16" t="s">
        <v>64</v>
      </c>
      <c r="E3884" s="17" t="s">
        <v>47</v>
      </c>
      <c r="F3884" s="18" t="s">
        <v>34</v>
      </c>
      <c r="G3884" s="19"/>
      <c r="H3884" s="17" t="s">
        <v>35</v>
      </c>
      <c r="I3884" s="17" t="s">
        <v>44</v>
      </c>
      <c r="J3884" s="17"/>
      <c r="K3884" s="17" t="e">
        <f aca="false">VLOOKUP(J3884,Sheet2!A:B,2,0)</f>
        <v>#N/A</v>
      </c>
      <c r="L3884" s="17" t="n">
        <v>5</v>
      </c>
      <c r="M3884" s="17" t="str">
        <f aca="false">VLOOKUP(L3884,Sheet2!D:E,2,0)</f>
        <v>Main Processor CPU BGA</v>
      </c>
      <c r="N3884" s="17" t="n">
        <v>1</v>
      </c>
      <c r="O3884" s="17" t="str">
        <f aca="false">VLOOKUP(N3884,Sheet2!G:H,2,0)</f>
        <v>Dead</v>
      </c>
      <c r="P3884" s="17" t="n">
        <v>11</v>
      </c>
      <c r="Q3884" s="17" t="str">
        <f aca="false">VLOOKUP(P3884,Sheet2!J:K,2,0)</f>
        <v>IR Declared due to CID -TA</v>
      </c>
      <c r="R3884" s="17" t="s">
        <v>35</v>
      </c>
      <c r="S3884" s="17" t="str">
        <f aca="false">VLOOKUP(R3884,Sheet2!N:O,2,0)</f>
        <v>IREPARABLE</v>
      </c>
      <c r="T3884" s="18" t="str">
        <f aca="false">VLOOKUP(P3884,Sheet2!Q:R,2,0)</f>
        <v>IR Normal - Track burn out</v>
      </c>
      <c r="U3884" s="20" t="s">
        <v>41</v>
      </c>
      <c r="V3884" s="17"/>
      <c r="W3884" s="20" t="e">
        <f aca="false">VLOOKUP(V3884,Sheet2!Q:R,2,0)</f>
        <v>#N/A</v>
      </c>
      <c r="X3884" s="17" t="n">
        <f aca="false">J3884</f>
        <v>0</v>
      </c>
      <c r="Y3884" s="17" t="e">
        <f aca="false">VLOOKUP(X3884,Sheet2!A:B,2,0)</f>
        <v>#N/A</v>
      </c>
      <c r="Z3884" s="17"/>
      <c r="AA3884" s="17"/>
      <c r="AB3884" s="17" t="s">
        <v>41</v>
      </c>
      <c r="AC3884" s="0" t="str">
        <f aca="false">LEFT(G3884,2)</f>
        <v/>
      </c>
      <c r="AE3884" s="0"/>
    </row>
    <row r="3885" customFormat="false" ht="15" hidden="false" customHeight="false" outlineLevel="0" collapsed="false">
      <c r="A3885" s="13" t="n">
        <f aca="false">1+A3884</f>
        <v>3883</v>
      </c>
      <c r="B3885" s="14" t="n">
        <v>100</v>
      </c>
      <c r="C3885" s="15"/>
      <c r="D3885" s="16" t="s">
        <v>64</v>
      </c>
      <c r="E3885" s="17" t="s">
        <v>47</v>
      </c>
      <c r="F3885" s="18" t="s">
        <v>34</v>
      </c>
      <c r="G3885" s="19"/>
      <c r="H3885" s="17" t="s">
        <v>35</v>
      </c>
      <c r="I3885" s="17" t="s">
        <v>44</v>
      </c>
      <c r="J3885" s="17"/>
      <c r="K3885" s="17" t="e">
        <f aca="false">VLOOKUP(J3885,Sheet2!A:B,2,0)</f>
        <v>#N/A</v>
      </c>
      <c r="L3885" s="17" t="n">
        <v>5</v>
      </c>
      <c r="M3885" s="17" t="str">
        <f aca="false">VLOOKUP(L3885,Sheet2!D:E,2,0)</f>
        <v>Main Processor CPU BGA</v>
      </c>
      <c r="N3885" s="17" t="n">
        <v>1</v>
      </c>
      <c r="O3885" s="17" t="str">
        <f aca="false">VLOOKUP(N3885,Sheet2!G:H,2,0)</f>
        <v>Dead</v>
      </c>
      <c r="P3885" s="17" t="n">
        <v>11</v>
      </c>
      <c r="Q3885" s="17" t="str">
        <f aca="false">VLOOKUP(P3885,Sheet2!J:K,2,0)</f>
        <v>IR Declared due to CID -TA</v>
      </c>
      <c r="R3885" s="17" t="s">
        <v>35</v>
      </c>
      <c r="S3885" s="17" t="str">
        <f aca="false">VLOOKUP(R3885,Sheet2!N:O,2,0)</f>
        <v>IREPARABLE</v>
      </c>
      <c r="T3885" s="18" t="str">
        <f aca="false">VLOOKUP(P3885,Sheet2!Q:R,2,0)</f>
        <v>IR Normal - Track burn out</v>
      </c>
      <c r="U3885" s="20" t="s">
        <v>41</v>
      </c>
      <c r="V3885" s="17"/>
      <c r="W3885" s="20" t="e">
        <f aca="false">VLOOKUP(V3885,Sheet2!Q:R,2,0)</f>
        <v>#N/A</v>
      </c>
      <c r="X3885" s="17" t="n">
        <f aca="false">J3885</f>
        <v>0</v>
      </c>
      <c r="Y3885" s="17" t="e">
        <f aca="false">VLOOKUP(X3885,Sheet2!A:B,2,0)</f>
        <v>#N/A</v>
      </c>
      <c r="Z3885" s="17"/>
      <c r="AA3885" s="17"/>
      <c r="AB3885" s="17" t="s">
        <v>41</v>
      </c>
      <c r="AC3885" s="0" t="str">
        <f aca="false">LEFT(G3885,2)</f>
        <v/>
      </c>
      <c r="AE3885" s="0"/>
    </row>
    <row r="3886" customFormat="false" ht="15" hidden="false" customHeight="false" outlineLevel="0" collapsed="false">
      <c r="A3886" s="13" t="n">
        <f aca="false">1+A3885</f>
        <v>3884</v>
      </c>
      <c r="B3886" s="14" t="n">
        <v>100</v>
      </c>
      <c r="C3886" s="15"/>
      <c r="D3886" s="16" t="s">
        <v>64</v>
      </c>
      <c r="E3886" s="17" t="s">
        <v>47</v>
      </c>
      <c r="F3886" s="18" t="s">
        <v>34</v>
      </c>
      <c r="G3886" s="19"/>
      <c r="H3886" s="17" t="s">
        <v>35</v>
      </c>
      <c r="I3886" s="17" t="s">
        <v>44</v>
      </c>
      <c r="J3886" s="17"/>
      <c r="K3886" s="17" t="e">
        <f aca="false">VLOOKUP(J3886,Sheet2!A:B,2,0)</f>
        <v>#N/A</v>
      </c>
      <c r="L3886" s="17" t="n">
        <v>5</v>
      </c>
      <c r="M3886" s="17" t="str">
        <f aca="false">VLOOKUP(L3886,Sheet2!D:E,2,0)</f>
        <v>Main Processor CPU BGA</v>
      </c>
      <c r="N3886" s="17" t="n">
        <v>1</v>
      </c>
      <c r="O3886" s="17" t="str">
        <f aca="false">VLOOKUP(N3886,Sheet2!G:H,2,0)</f>
        <v>Dead</v>
      </c>
      <c r="P3886" s="17" t="n">
        <v>11</v>
      </c>
      <c r="Q3886" s="17" t="str">
        <f aca="false">VLOOKUP(P3886,Sheet2!J:K,2,0)</f>
        <v>IR Declared due to CID -TA</v>
      </c>
      <c r="R3886" s="17" t="s">
        <v>35</v>
      </c>
      <c r="S3886" s="17" t="str">
        <f aca="false">VLOOKUP(R3886,Sheet2!N:O,2,0)</f>
        <v>IREPARABLE</v>
      </c>
      <c r="T3886" s="18" t="str">
        <f aca="false">VLOOKUP(P3886,Sheet2!Q:R,2,0)</f>
        <v>IR Normal - Track burn out</v>
      </c>
      <c r="U3886" s="20" t="s">
        <v>41</v>
      </c>
      <c r="V3886" s="17"/>
      <c r="W3886" s="20" t="e">
        <f aca="false">VLOOKUP(V3886,Sheet2!Q:R,2,0)</f>
        <v>#N/A</v>
      </c>
      <c r="X3886" s="17" t="n">
        <f aca="false">J3886</f>
        <v>0</v>
      </c>
      <c r="Y3886" s="17" t="e">
        <f aca="false">VLOOKUP(X3886,Sheet2!A:B,2,0)</f>
        <v>#N/A</v>
      </c>
      <c r="Z3886" s="17"/>
      <c r="AA3886" s="17"/>
      <c r="AB3886" s="17" t="s">
        <v>41</v>
      </c>
      <c r="AC3886" s="0" t="str">
        <f aca="false">LEFT(G3886,2)</f>
        <v/>
      </c>
      <c r="AE3886" s="0"/>
    </row>
    <row r="3887" customFormat="false" ht="15" hidden="false" customHeight="false" outlineLevel="0" collapsed="false">
      <c r="A3887" s="13" t="n">
        <f aca="false">1+A3886</f>
        <v>3885</v>
      </c>
      <c r="B3887" s="14" t="n">
        <v>100</v>
      </c>
      <c r="C3887" s="15"/>
      <c r="D3887" s="16" t="s">
        <v>64</v>
      </c>
      <c r="E3887" s="17" t="s">
        <v>47</v>
      </c>
      <c r="F3887" s="18" t="s">
        <v>34</v>
      </c>
      <c r="G3887" s="19"/>
      <c r="H3887" s="17" t="s">
        <v>35</v>
      </c>
      <c r="I3887" s="17" t="s">
        <v>44</v>
      </c>
      <c r="J3887" s="17"/>
      <c r="K3887" s="17" t="e">
        <f aca="false">VLOOKUP(J3887,Sheet2!A:B,2,0)</f>
        <v>#N/A</v>
      </c>
      <c r="L3887" s="17" t="n">
        <v>5</v>
      </c>
      <c r="M3887" s="17" t="str">
        <f aca="false">VLOOKUP(L3887,Sheet2!D:E,2,0)</f>
        <v>Main Processor CPU BGA</v>
      </c>
      <c r="N3887" s="17" t="n">
        <v>1</v>
      </c>
      <c r="O3887" s="17" t="str">
        <f aca="false">VLOOKUP(N3887,Sheet2!G:H,2,0)</f>
        <v>Dead</v>
      </c>
      <c r="P3887" s="17" t="n">
        <v>11</v>
      </c>
      <c r="Q3887" s="17" t="str">
        <f aca="false">VLOOKUP(P3887,Sheet2!J:K,2,0)</f>
        <v>IR Declared due to CID -TA</v>
      </c>
      <c r="R3887" s="17" t="s">
        <v>35</v>
      </c>
      <c r="S3887" s="17" t="str">
        <f aca="false">VLOOKUP(R3887,Sheet2!N:O,2,0)</f>
        <v>IREPARABLE</v>
      </c>
      <c r="T3887" s="18" t="str">
        <f aca="false">VLOOKUP(P3887,Sheet2!Q:R,2,0)</f>
        <v>IR Normal - Track burn out</v>
      </c>
      <c r="U3887" s="20" t="s">
        <v>41</v>
      </c>
      <c r="V3887" s="17"/>
      <c r="W3887" s="20" t="e">
        <f aca="false">VLOOKUP(V3887,Sheet2!Q:R,2,0)</f>
        <v>#N/A</v>
      </c>
      <c r="X3887" s="17" t="n">
        <f aca="false">J3887</f>
        <v>0</v>
      </c>
      <c r="Y3887" s="17" t="e">
        <f aca="false">VLOOKUP(X3887,Sheet2!A:B,2,0)</f>
        <v>#N/A</v>
      </c>
      <c r="Z3887" s="17"/>
      <c r="AA3887" s="17"/>
      <c r="AB3887" s="17" t="s">
        <v>41</v>
      </c>
      <c r="AC3887" s="0" t="str">
        <f aca="false">LEFT(G3887,2)</f>
        <v/>
      </c>
      <c r="AE3887" s="0"/>
    </row>
    <row r="3888" customFormat="false" ht="15" hidden="false" customHeight="false" outlineLevel="0" collapsed="false">
      <c r="A3888" s="13" t="n">
        <f aca="false">1+A3887</f>
        <v>3886</v>
      </c>
      <c r="B3888" s="14" t="n">
        <v>100</v>
      </c>
      <c r="C3888" s="15"/>
      <c r="D3888" s="16" t="s">
        <v>64</v>
      </c>
      <c r="E3888" s="17" t="s">
        <v>47</v>
      </c>
      <c r="F3888" s="18" t="s">
        <v>34</v>
      </c>
      <c r="G3888" s="19"/>
      <c r="H3888" s="17" t="s">
        <v>35</v>
      </c>
      <c r="I3888" s="17" t="s">
        <v>44</v>
      </c>
      <c r="J3888" s="17"/>
      <c r="K3888" s="17" t="e">
        <f aca="false">VLOOKUP(J3888,Sheet2!A:B,2,0)</f>
        <v>#N/A</v>
      </c>
      <c r="L3888" s="17" t="n">
        <v>5</v>
      </c>
      <c r="M3888" s="17" t="str">
        <f aca="false">VLOOKUP(L3888,Sheet2!D:E,2,0)</f>
        <v>Main Processor CPU BGA</v>
      </c>
      <c r="N3888" s="17" t="n">
        <v>1</v>
      </c>
      <c r="O3888" s="17" t="str">
        <f aca="false">VLOOKUP(N3888,Sheet2!G:H,2,0)</f>
        <v>Dead</v>
      </c>
      <c r="P3888" s="17" t="n">
        <v>11</v>
      </c>
      <c r="Q3888" s="17" t="str">
        <f aca="false">VLOOKUP(P3888,Sheet2!J:K,2,0)</f>
        <v>IR Declared due to CID -TA</v>
      </c>
      <c r="R3888" s="17" t="s">
        <v>35</v>
      </c>
      <c r="S3888" s="17" t="str">
        <f aca="false">VLOOKUP(R3888,Sheet2!N:O,2,0)</f>
        <v>IREPARABLE</v>
      </c>
      <c r="T3888" s="18" t="str">
        <f aca="false">VLOOKUP(P3888,Sheet2!Q:R,2,0)</f>
        <v>IR Normal - Track burn out</v>
      </c>
      <c r="U3888" s="20" t="s">
        <v>41</v>
      </c>
      <c r="V3888" s="17"/>
      <c r="W3888" s="20" t="e">
        <f aca="false">VLOOKUP(V3888,Sheet2!Q:R,2,0)</f>
        <v>#N/A</v>
      </c>
      <c r="X3888" s="17" t="n">
        <f aca="false">J3888</f>
        <v>0</v>
      </c>
      <c r="Y3888" s="17" t="e">
        <f aca="false">VLOOKUP(X3888,Sheet2!A:B,2,0)</f>
        <v>#N/A</v>
      </c>
      <c r="Z3888" s="17"/>
      <c r="AA3888" s="17"/>
      <c r="AB3888" s="17" t="s">
        <v>41</v>
      </c>
      <c r="AC3888" s="0" t="str">
        <f aca="false">LEFT(G3888,2)</f>
        <v/>
      </c>
      <c r="AE3888" s="0"/>
    </row>
    <row r="3889" customFormat="false" ht="15" hidden="false" customHeight="false" outlineLevel="0" collapsed="false">
      <c r="A3889" s="13" t="n">
        <f aca="false">1+A3888</f>
        <v>3887</v>
      </c>
      <c r="B3889" s="14" t="n">
        <v>100</v>
      </c>
      <c r="C3889" s="15"/>
      <c r="D3889" s="16" t="s">
        <v>64</v>
      </c>
      <c r="E3889" s="17" t="s">
        <v>47</v>
      </c>
      <c r="F3889" s="18" t="s">
        <v>34</v>
      </c>
      <c r="G3889" s="19"/>
      <c r="H3889" s="17" t="s">
        <v>35</v>
      </c>
      <c r="I3889" s="17" t="s">
        <v>44</v>
      </c>
      <c r="J3889" s="17"/>
      <c r="K3889" s="17" t="e">
        <f aca="false">VLOOKUP(J3889,Sheet2!A:B,2,0)</f>
        <v>#N/A</v>
      </c>
      <c r="L3889" s="17" t="n">
        <v>5</v>
      </c>
      <c r="M3889" s="17" t="str">
        <f aca="false">VLOOKUP(L3889,Sheet2!D:E,2,0)</f>
        <v>Main Processor CPU BGA</v>
      </c>
      <c r="N3889" s="17" t="n">
        <v>1</v>
      </c>
      <c r="O3889" s="17" t="str">
        <f aca="false">VLOOKUP(N3889,Sheet2!G:H,2,0)</f>
        <v>Dead</v>
      </c>
      <c r="P3889" s="17" t="n">
        <v>11</v>
      </c>
      <c r="Q3889" s="17" t="str">
        <f aca="false">VLOOKUP(P3889,Sheet2!J:K,2,0)</f>
        <v>IR Declared due to CID -TA</v>
      </c>
      <c r="R3889" s="17" t="s">
        <v>35</v>
      </c>
      <c r="S3889" s="17" t="str">
        <f aca="false">VLOOKUP(R3889,Sheet2!N:O,2,0)</f>
        <v>IREPARABLE</v>
      </c>
      <c r="T3889" s="18" t="str">
        <f aca="false">VLOOKUP(P3889,Sheet2!Q:R,2,0)</f>
        <v>IR Normal - Track burn out</v>
      </c>
      <c r="U3889" s="20" t="s">
        <v>41</v>
      </c>
      <c r="V3889" s="17"/>
      <c r="W3889" s="20" t="e">
        <f aca="false">VLOOKUP(V3889,Sheet2!Q:R,2,0)</f>
        <v>#N/A</v>
      </c>
      <c r="X3889" s="17" t="n">
        <f aca="false">J3889</f>
        <v>0</v>
      </c>
      <c r="Y3889" s="17" t="e">
        <f aca="false">VLOOKUP(X3889,Sheet2!A:B,2,0)</f>
        <v>#N/A</v>
      </c>
      <c r="Z3889" s="17"/>
      <c r="AA3889" s="17"/>
      <c r="AB3889" s="17" t="s">
        <v>41</v>
      </c>
      <c r="AC3889" s="0" t="str">
        <f aca="false">LEFT(G3889,2)</f>
        <v/>
      </c>
      <c r="AE3889" s="0"/>
    </row>
    <row r="3890" customFormat="false" ht="15" hidden="false" customHeight="false" outlineLevel="0" collapsed="false">
      <c r="A3890" s="13" t="n">
        <f aca="false">1+A3889</f>
        <v>3888</v>
      </c>
      <c r="B3890" s="14" t="n">
        <v>100</v>
      </c>
      <c r="C3890" s="15"/>
      <c r="D3890" s="16" t="s">
        <v>64</v>
      </c>
      <c r="E3890" s="17" t="s">
        <v>47</v>
      </c>
      <c r="F3890" s="18" t="s">
        <v>34</v>
      </c>
      <c r="G3890" s="19"/>
      <c r="H3890" s="17" t="s">
        <v>35</v>
      </c>
      <c r="I3890" s="17" t="s">
        <v>44</v>
      </c>
      <c r="J3890" s="17"/>
      <c r="K3890" s="17" t="e">
        <f aca="false">VLOOKUP(J3890,Sheet2!A:B,2,0)</f>
        <v>#N/A</v>
      </c>
      <c r="L3890" s="17" t="n">
        <v>5</v>
      </c>
      <c r="M3890" s="17" t="str">
        <f aca="false">VLOOKUP(L3890,Sheet2!D:E,2,0)</f>
        <v>Main Processor CPU BGA</v>
      </c>
      <c r="N3890" s="17" t="n">
        <v>1</v>
      </c>
      <c r="O3890" s="17" t="str">
        <f aca="false">VLOOKUP(N3890,Sheet2!G:H,2,0)</f>
        <v>Dead</v>
      </c>
      <c r="P3890" s="17" t="n">
        <v>11</v>
      </c>
      <c r="Q3890" s="17" t="str">
        <f aca="false">VLOOKUP(P3890,Sheet2!J:K,2,0)</f>
        <v>IR Declared due to CID -TA</v>
      </c>
      <c r="R3890" s="17" t="s">
        <v>35</v>
      </c>
      <c r="S3890" s="17" t="str">
        <f aca="false">VLOOKUP(R3890,Sheet2!N:O,2,0)</f>
        <v>IREPARABLE</v>
      </c>
      <c r="T3890" s="18" t="str">
        <f aca="false">VLOOKUP(P3890,Sheet2!Q:R,2,0)</f>
        <v>IR Normal - Track burn out</v>
      </c>
      <c r="U3890" s="20" t="s">
        <v>41</v>
      </c>
      <c r="V3890" s="17"/>
      <c r="W3890" s="20" t="e">
        <f aca="false">VLOOKUP(V3890,Sheet2!Q:R,2,0)</f>
        <v>#N/A</v>
      </c>
      <c r="X3890" s="17" t="n">
        <f aca="false">J3890</f>
        <v>0</v>
      </c>
      <c r="Y3890" s="17" t="e">
        <f aca="false">VLOOKUP(X3890,Sheet2!A:B,2,0)</f>
        <v>#N/A</v>
      </c>
      <c r="Z3890" s="17"/>
      <c r="AA3890" s="17"/>
      <c r="AB3890" s="17" t="s">
        <v>41</v>
      </c>
      <c r="AC3890" s="0" t="str">
        <f aca="false">LEFT(G3890,2)</f>
        <v/>
      </c>
      <c r="AE3890" s="0"/>
    </row>
    <row r="3891" customFormat="false" ht="15" hidden="false" customHeight="false" outlineLevel="0" collapsed="false">
      <c r="A3891" s="13" t="n">
        <f aca="false">1+A3890</f>
        <v>3889</v>
      </c>
      <c r="B3891" s="14" t="n">
        <v>100</v>
      </c>
      <c r="C3891" s="15"/>
      <c r="D3891" s="16" t="s">
        <v>64</v>
      </c>
      <c r="E3891" s="17" t="s">
        <v>47</v>
      </c>
      <c r="F3891" s="18" t="s">
        <v>34</v>
      </c>
      <c r="G3891" s="19"/>
      <c r="H3891" s="17" t="s">
        <v>35</v>
      </c>
      <c r="I3891" s="17" t="s">
        <v>44</v>
      </c>
      <c r="J3891" s="17"/>
      <c r="K3891" s="17" t="e">
        <f aca="false">VLOOKUP(J3891,Sheet2!A:B,2,0)</f>
        <v>#N/A</v>
      </c>
      <c r="L3891" s="17" t="n">
        <v>5</v>
      </c>
      <c r="M3891" s="17" t="str">
        <f aca="false">VLOOKUP(L3891,Sheet2!D:E,2,0)</f>
        <v>Main Processor CPU BGA</v>
      </c>
      <c r="N3891" s="17" t="n">
        <v>1</v>
      </c>
      <c r="O3891" s="17" t="str">
        <f aca="false">VLOOKUP(N3891,Sheet2!G:H,2,0)</f>
        <v>Dead</v>
      </c>
      <c r="P3891" s="17" t="n">
        <v>11</v>
      </c>
      <c r="Q3891" s="17" t="str">
        <f aca="false">VLOOKUP(P3891,Sheet2!J:K,2,0)</f>
        <v>IR Declared due to CID -TA</v>
      </c>
      <c r="R3891" s="17" t="s">
        <v>35</v>
      </c>
      <c r="S3891" s="17" t="str">
        <f aca="false">VLOOKUP(R3891,Sheet2!N:O,2,0)</f>
        <v>IREPARABLE</v>
      </c>
      <c r="T3891" s="18" t="str">
        <f aca="false">VLOOKUP(P3891,Sheet2!Q:R,2,0)</f>
        <v>IR Normal - Track burn out</v>
      </c>
      <c r="U3891" s="20" t="s">
        <v>41</v>
      </c>
      <c r="V3891" s="17"/>
      <c r="W3891" s="20" t="e">
        <f aca="false">VLOOKUP(V3891,Sheet2!Q:R,2,0)</f>
        <v>#N/A</v>
      </c>
      <c r="X3891" s="17" t="n">
        <f aca="false">J3891</f>
        <v>0</v>
      </c>
      <c r="Y3891" s="17" t="e">
        <f aca="false">VLOOKUP(X3891,Sheet2!A:B,2,0)</f>
        <v>#N/A</v>
      </c>
      <c r="Z3891" s="17"/>
      <c r="AA3891" s="17"/>
      <c r="AB3891" s="17" t="s">
        <v>41</v>
      </c>
      <c r="AC3891" s="0" t="str">
        <f aca="false">LEFT(G3891,2)</f>
        <v/>
      </c>
      <c r="AE3891" s="0"/>
    </row>
    <row r="3892" customFormat="false" ht="15" hidden="false" customHeight="false" outlineLevel="0" collapsed="false">
      <c r="A3892" s="13" t="n">
        <f aca="false">1+A3891</f>
        <v>3890</v>
      </c>
      <c r="B3892" s="14" t="n">
        <v>100</v>
      </c>
      <c r="C3892" s="15"/>
      <c r="D3892" s="16" t="s">
        <v>64</v>
      </c>
      <c r="E3892" s="17" t="s">
        <v>47</v>
      </c>
      <c r="F3892" s="18" t="s">
        <v>34</v>
      </c>
      <c r="G3892" s="19"/>
      <c r="H3892" s="17" t="s">
        <v>35</v>
      </c>
      <c r="I3892" s="17" t="s">
        <v>44</v>
      </c>
      <c r="J3892" s="17"/>
      <c r="K3892" s="17" t="e">
        <f aca="false">VLOOKUP(J3892,Sheet2!A:B,2,0)</f>
        <v>#N/A</v>
      </c>
      <c r="L3892" s="17" t="n">
        <v>5</v>
      </c>
      <c r="M3892" s="17" t="str">
        <f aca="false">VLOOKUP(L3892,Sheet2!D:E,2,0)</f>
        <v>Main Processor CPU BGA</v>
      </c>
      <c r="N3892" s="17" t="n">
        <v>1</v>
      </c>
      <c r="O3892" s="17" t="str">
        <f aca="false">VLOOKUP(N3892,Sheet2!G:H,2,0)</f>
        <v>Dead</v>
      </c>
      <c r="P3892" s="17" t="n">
        <v>11</v>
      </c>
      <c r="Q3892" s="17" t="str">
        <f aca="false">VLOOKUP(P3892,Sheet2!J:K,2,0)</f>
        <v>IR Declared due to CID -TA</v>
      </c>
      <c r="R3892" s="17" t="s">
        <v>35</v>
      </c>
      <c r="S3892" s="17" t="str">
        <f aca="false">VLOOKUP(R3892,Sheet2!N:O,2,0)</f>
        <v>IREPARABLE</v>
      </c>
      <c r="T3892" s="18" t="str">
        <f aca="false">VLOOKUP(P3892,Sheet2!Q:R,2,0)</f>
        <v>IR Normal - Track burn out</v>
      </c>
      <c r="U3892" s="20" t="s">
        <v>41</v>
      </c>
      <c r="V3892" s="17"/>
      <c r="W3892" s="20" t="e">
        <f aca="false">VLOOKUP(V3892,Sheet2!Q:R,2,0)</f>
        <v>#N/A</v>
      </c>
      <c r="X3892" s="17" t="n">
        <f aca="false">J3892</f>
        <v>0</v>
      </c>
      <c r="Y3892" s="17" t="e">
        <f aca="false">VLOOKUP(X3892,Sheet2!A:B,2,0)</f>
        <v>#N/A</v>
      </c>
      <c r="Z3892" s="17"/>
      <c r="AA3892" s="17"/>
      <c r="AB3892" s="17" t="s">
        <v>41</v>
      </c>
      <c r="AC3892" s="0" t="str">
        <f aca="false">LEFT(G3892,2)</f>
        <v/>
      </c>
      <c r="AE3892" s="0"/>
    </row>
    <row r="3893" customFormat="false" ht="15" hidden="false" customHeight="false" outlineLevel="0" collapsed="false">
      <c r="A3893" s="13" t="n">
        <f aca="false">1+A3892</f>
        <v>3891</v>
      </c>
      <c r="B3893" s="14" t="n">
        <v>100</v>
      </c>
      <c r="C3893" s="15"/>
      <c r="D3893" s="16" t="s">
        <v>64</v>
      </c>
      <c r="E3893" s="17" t="s">
        <v>47</v>
      </c>
      <c r="F3893" s="18" t="s">
        <v>34</v>
      </c>
      <c r="G3893" s="19"/>
      <c r="H3893" s="17" t="s">
        <v>35</v>
      </c>
      <c r="I3893" s="17" t="s">
        <v>44</v>
      </c>
      <c r="J3893" s="17"/>
      <c r="K3893" s="17" t="e">
        <f aca="false">VLOOKUP(J3893,Sheet2!A:B,2,0)</f>
        <v>#N/A</v>
      </c>
      <c r="L3893" s="17" t="n">
        <v>5</v>
      </c>
      <c r="M3893" s="17" t="str">
        <f aca="false">VLOOKUP(L3893,Sheet2!D:E,2,0)</f>
        <v>Main Processor CPU BGA</v>
      </c>
      <c r="N3893" s="17" t="n">
        <v>1</v>
      </c>
      <c r="O3893" s="17" t="str">
        <f aca="false">VLOOKUP(N3893,Sheet2!G:H,2,0)</f>
        <v>Dead</v>
      </c>
      <c r="P3893" s="17" t="n">
        <v>11</v>
      </c>
      <c r="Q3893" s="17" t="str">
        <f aca="false">VLOOKUP(P3893,Sheet2!J:K,2,0)</f>
        <v>IR Declared due to CID -TA</v>
      </c>
      <c r="R3893" s="17" t="s">
        <v>35</v>
      </c>
      <c r="S3893" s="17" t="str">
        <f aca="false">VLOOKUP(R3893,Sheet2!N:O,2,0)</f>
        <v>IREPARABLE</v>
      </c>
      <c r="T3893" s="18" t="str">
        <f aca="false">VLOOKUP(P3893,Sheet2!Q:R,2,0)</f>
        <v>IR Normal - Track burn out</v>
      </c>
      <c r="U3893" s="20" t="s">
        <v>41</v>
      </c>
      <c r="V3893" s="17"/>
      <c r="W3893" s="20" t="e">
        <f aca="false">VLOOKUP(V3893,Sheet2!Q:R,2,0)</f>
        <v>#N/A</v>
      </c>
      <c r="X3893" s="17" t="n">
        <f aca="false">J3893</f>
        <v>0</v>
      </c>
      <c r="Y3893" s="17" t="e">
        <f aca="false">VLOOKUP(X3893,Sheet2!A:B,2,0)</f>
        <v>#N/A</v>
      </c>
      <c r="Z3893" s="17"/>
      <c r="AA3893" s="17"/>
      <c r="AB3893" s="17" t="s">
        <v>41</v>
      </c>
      <c r="AC3893" s="0" t="str">
        <f aca="false">LEFT(G3893,2)</f>
        <v/>
      </c>
      <c r="AE3893" s="0"/>
    </row>
    <row r="3894" customFormat="false" ht="15" hidden="false" customHeight="false" outlineLevel="0" collapsed="false">
      <c r="A3894" s="13" t="n">
        <f aca="false">1+A3893</f>
        <v>3892</v>
      </c>
      <c r="B3894" s="14" t="n">
        <v>100</v>
      </c>
      <c r="C3894" s="15"/>
      <c r="D3894" s="16" t="s">
        <v>64</v>
      </c>
      <c r="E3894" s="17" t="s">
        <v>47</v>
      </c>
      <c r="F3894" s="18" t="s">
        <v>34</v>
      </c>
      <c r="G3894" s="19"/>
      <c r="H3894" s="17" t="s">
        <v>35</v>
      </c>
      <c r="I3894" s="17" t="s">
        <v>44</v>
      </c>
      <c r="J3894" s="17"/>
      <c r="K3894" s="17" t="e">
        <f aca="false">VLOOKUP(J3894,Sheet2!A:B,2,0)</f>
        <v>#N/A</v>
      </c>
      <c r="L3894" s="17" t="n">
        <v>5</v>
      </c>
      <c r="M3894" s="17" t="str">
        <f aca="false">VLOOKUP(L3894,Sheet2!D:E,2,0)</f>
        <v>Main Processor CPU BGA</v>
      </c>
      <c r="N3894" s="17" t="n">
        <v>1</v>
      </c>
      <c r="O3894" s="17" t="str">
        <f aca="false">VLOOKUP(N3894,Sheet2!G:H,2,0)</f>
        <v>Dead</v>
      </c>
      <c r="P3894" s="17" t="n">
        <v>11</v>
      </c>
      <c r="Q3894" s="17" t="str">
        <f aca="false">VLOOKUP(P3894,Sheet2!J:K,2,0)</f>
        <v>IR Declared due to CID -TA</v>
      </c>
      <c r="R3894" s="17" t="s">
        <v>35</v>
      </c>
      <c r="S3894" s="17" t="str">
        <f aca="false">VLOOKUP(R3894,Sheet2!N:O,2,0)</f>
        <v>IREPARABLE</v>
      </c>
      <c r="T3894" s="18" t="str">
        <f aca="false">VLOOKUP(P3894,Sheet2!Q:R,2,0)</f>
        <v>IR Normal - Track burn out</v>
      </c>
      <c r="U3894" s="20" t="s">
        <v>41</v>
      </c>
      <c r="V3894" s="17"/>
      <c r="W3894" s="20" t="e">
        <f aca="false">VLOOKUP(V3894,Sheet2!Q:R,2,0)</f>
        <v>#N/A</v>
      </c>
      <c r="X3894" s="17" t="n">
        <f aca="false">J3894</f>
        <v>0</v>
      </c>
      <c r="Y3894" s="17" t="e">
        <f aca="false">VLOOKUP(X3894,Sheet2!A:B,2,0)</f>
        <v>#N/A</v>
      </c>
      <c r="Z3894" s="17"/>
      <c r="AA3894" s="17"/>
      <c r="AB3894" s="17" t="s">
        <v>41</v>
      </c>
      <c r="AC3894" s="0" t="str">
        <f aca="false">LEFT(G3894,2)</f>
        <v/>
      </c>
      <c r="AE3894" s="0"/>
    </row>
    <row r="3895" customFormat="false" ht="15" hidden="false" customHeight="false" outlineLevel="0" collapsed="false">
      <c r="A3895" s="13" t="n">
        <f aca="false">1+A3894</f>
        <v>3893</v>
      </c>
      <c r="B3895" s="14" t="n">
        <v>100</v>
      </c>
      <c r="C3895" s="15"/>
      <c r="D3895" s="16" t="s">
        <v>64</v>
      </c>
      <c r="E3895" s="17" t="s">
        <v>47</v>
      </c>
      <c r="F3895" s="18" t="s">
        <v>34</v>
      </c>
      <c r="G3895" s="19"/>
      <c r="H3895" s="17" t="s">
        <v>35</v>
      </c>
      <c r="I3895" s="17" t="s">
        <v>44</v>
      </c>
      <c r="J3895" s="17"/>
      <c r="K3895" s="17" t="e">
        <f aca="false">VLOOKUP(J3895,Sheet2!A:B,2,0)</f>
        <v>#N/A</v>
      </c>
      <c r="L3895" s="17" t="n">
        <v>5</v>
      </c>
      <c r="M3895" s="17" t="str">
        <f aca="false">VLOOKUP(L3895,Sheet2!D:E,2,0)</f>
        <v>Main Processor CPU BGA</v>
      </c>
      <c r="N3895" s="17" t="n">
        <v>1</v>
      </c>
      <c r="O3895" s="17" t="str">
        <f aca="false">VLOOKUP(N3895,Sheet2!G:H,2,0)</f>
        <v>Dead</v>
      </c>
      <c r="P3895" s="17" t="n">
        <v>11</v>
      </c>
      <c r="Q3895" s="17" t="str">
        <f aca="false">VLOOKUP(P3895,Sheet2!J:K,2,0)</f>
        <v>IR Declared due to CID -TA</v>
      </c>
      <c r="R3895" s="17" t="s">
        <v>35</v>
      </c>
      <c r="S3895" s="17" t="str">
        <f aca="false">VLOOKUP(R3895,Sheet2!N:O,2,0)</f>
        <v>IREPARABLE</v>
      </c>
      <c r="T3895" s="18" t="str">
        <f aca="false">VLOOKUP(P3895,Sheet2!Q:R,2,0)</f>
        <v>IR Normal - Track burn out</v>
      </c>
      <c r="U3895" s="20" t="s">
        <v>41</v>
      </c>
      <c r="V3895" s="17"/>
      <c r="W3895" s="20" t="e">
        <f aca="false">VLOOKUP(V3895,Sheet2!Q:R,2,0)</f>
        <v>#N/A</v>
      </c>
      <c r="X3895" s="17" t="n">
        <f aca="false">J3895</f>
        <v>0</v>
      </c>
      <c r="Y3895" s="17" t="e">
        <f aca="false">VLOOKUP(X3895,Sheet2!A:B,2,0)</f>
        <v>#N/A</v>
      </c>
      <c r="Z3895" s="17"/>
      <c r="AA3895" s="17"/>
      <c r="AB3895" s="17" t="s">
        <v>41</v>
      </c>
      <c r="AC3895" s="0" t="str">
        <f aca="false">LEFT(G3895,2)</f>
        <v/>
      </c>
      <c r="AE3895" s="0"/>
    </row>
    <row r="3896" customFormat="false" ht="15" hidden="false" customHeight="false" outlineLevel="0" collapsed="false">
      <c r="A3896" s="13" t="n">
        <f aca="false">1+A3895</f>
        <v>3894</v>
      </c>
      <c r="B3896" s="14" t="n">
        <v>100</v>
      </c>
      <c r="C3896" s="15"/>
      <c r="D3896" s="16" t="s">
        <v>64</v>
      </c>
      <c r="E3896" s="17" t="s">
        <v>47</v>
      </c>
      <c r="F3896" s="18" t="s">
        <v>34</v>
      </c>
      <c r="G3896" s="19"/>
      <c r="H3896" s="17" t="s">
        <v>35</v>
      </c>
      <c r="I3896" s="17" t="s">
        <v>44</v>
      </c>
      <c r="J3896" s="17"/>
      <c r="K3896" s="17" t="e">
        <f aca="false">VLOOKUP(J3896,Sheet2!A:B,2,0)</f>
        <v>#N/A</v>
      </c>
      <c r="L3896" s="17" t="n">
        <v>5</v>
      </c>
      <c r="M3896" s="17" t="str">
        <f aca="false">VLOOKUP(L3896,Sheet2!D:E,2,0)</f>
        <v>Main Processor CPU BGA</v>
      </c>
      <c r="N3896" s="17" t="n">
        <v>1</v>
      </c>
      <c r="O3896" s="17" t="str">
        <f aca="false">VLOOKUP(N3896,Sheet2!G:H,2,0)</f>
        <v>Dead</v>
      </c>
      <c r="P3896" s="17" t="n">
        <v>11</v>
      </c>
      <c r="Q3896" s="17" t="str">
        <f aca="false">VLOOKUP(P3896,Sheet2!J:K,2,0)</f>
        <v>IR Declared due to CID -TA</v>
      </c>
      <c r="R3896" s="17" t="s">
        <v>35</v>
      </c>
      <c r="S3896" s="17" t="str">
        <f aca="false">VLOOKUP(R3896,Sheet2!N:O,2,0)</f>
        <v>IREPARABLE</v>
      </c>
      <c r="T3896" s="18" t="str">
        <f aca="false">VLOOKUP(P3896,Sheet2!Q:R,2,0)</f>
        <v>IR Normal - Track burn out</v>
      </c>
      <c r="U3896" s="20" t="s">
        <v>41</v>
      </c>
      <c r="V3896" s="17"/>
      <c r="W3896" s="20" t="e">
        <f aca="false">VLOOKUP(V3896,Sheet2!Q:R,2,0)</f>
        <v>#N/A</v>
      </c>
      <c r="X3896" s="17" t="n">
        <f aca="false">J3896</f>
        <v>0</v>
      </c>
      <c r="Y3896" s="17" t="e">
        <f aca="false">VLOOKUP(X3896,Sheet2!A:B,2,0)</f>
        <v>#N/A</v>
      </c>
      <c r="Z3896" s="17"/>
      <c r="AA3896" s="17"/>
      <c r="AB3896" s="17" t="s">
        <v>41</v>
      </c>
      <c r="AC3896" s="0" t="str">
        <f aca="false">LEFT(G3896,2)</f>
        <v/>
      </c>
      <c r="AE3896" s="0"/>
    </row>
    <row r="3897" customFormat="false" ht="15" hidden="false" customHeight="false" outlineLevel="0" collapsed="false">
      <c r="A3897" s="13" t="n">
        <f aca="false">1+A3896</f>
        <v>3895</v>
      </c>
      <c r="B3897" s="14" t="n">
        <v>100</v>
      </c>
      <c r="C3897" s="15"/>
      <c r="D3897" s="16" t="s">
        <v>64</v>
      </c>
      <c r="E3897" s="17" t="s">
        <v>47</v>
      </c>
      <c r="F3897" s="18" t="s">
        <v>34</v>
      </c>
      <c r="G3897" s="19"/>
      <c r="H3897" s="17" t="s">
        <v>35</v>
      </c>
      <c r="I3897" s="17" t="s">
        <v>44</v>
      </c>
      <c r="J3897" s="17"/>
      <c r="K3897" s="17" t="e">
        <f aca="false">VLOOKUP(J3897,Sheet2!A:B,2,0)</f>
        <v>#N/A</v>
      </c>
      <c r="L3897" s="17" t="n">
        <v>5</v>
      </c>
      <c r="M3897" s="17" t="str">
        <f aca="false">VLOOKUP(L3897,Sheet2!D:E,2,0)</f>
        <v>Main Processor CPU BGA</v>
      </c>
      <c r="N3897" s="17" t="n">
        <v>1</v>
      </c>
      <c r="O3897" s="17" t="str">
        <f aca="false">VLOOKUP(N3897,Sheet2!G:H,2,0)</f>
        <v>Dead</v>
      </c>
      <c r="P3897" s="17" t="n">
        <v>11</v>
      </c>
      <c r="Q3897" s="17" t="str">
        <f aca="false">VLOOKUP(P3897,Sheet2!J:K,2,0)</f>
        <v>IR Declared due to CID -TA</v>
      </c>
      <c r="R3897" s="17" t="s">
        <v>35</v>
      </c>
      <c r="S3897" s="17" t="str">
        <f aca="false">VLOOKUP(R3897,Sheet2!N:O,2,0)</f>
        <v>IREPARABLE</v>
      </c>
      <c r="T3897" s="18" t="str">
        <f aca="false">VLOOKUP(P3897,Sheet2!Q:R,2,0)</f>
        <v>IR Normal - Track burn out</v>
      </c>
      <c r="U3897" s="20" t="s">
        <v>41</v>
      </c>
      <c r="V3897" s="17"/>
      <c r="W3897" s="20" t="e">
        <f aca="false">VLOOKUP(V3897,Sheet2!Q:R,2,0)</f>
        <v>#N/A</v>
      </c>
      <c r="X3897" s="17" t="n">
        <f aca="false">J3897</f>
        <v>0</v>
      </c>
      <c r="Y3897" s="17" t="e">
        <f aca="false">VLOOKUP(X3897,Sheet2!A:B,2,0)</f>
        <v>#N/A</v>
      </c>
      <c r="Z3897" s="17"/>
      <c r="AA3897" s="17"/>
      <c r="AB3897" s="17" t="s">
        <v>41</v>
      </c>
      <c r="AC3897" s="0" t="str">
        <f aca="false">LEFT(G3897,2)</f>
        <v/>
      </c>
      <c r="AE3897" s="0"/>
    </row>
    <row r="3898" customFormat="false" ht="15" hidden="false" customHeight="false" outlineLevel="0" collapsed="false">
      <c r="A3898" s="13" t="n">
        <f aca="false">1+A3897</f>
        <v>3896</v>
      </c>
      <c r="B3898" s="14" t="n">
        <v>100</v>
      </c>
      <c r="C3898" s="15"/>
      <c r="D3898" s="16" t="s">
        <v>64</v>
      </c>
      <c r="E3898" s="17" t="s">
        <v>47</v>
      </c>
      <c r="F3898" s="18" t="s">
        <v>34</v>
      </c>
      <c r="G3898" s="19"/>
      <c r="H3898" s="17" t="s">
        <v>35</v>
      </c>
      <c r="I3898" s="17" t="s">
        <v>44</v>
      </c>
      <c r="J3898" s="17"/>
      <c r="K3898" s="17" t="e">
        <f aca="false">VLOOKUP(J3898,Sheet2!A:B,2,0)</f>
        <v>#N/A</v>
      </c>
      <c r="L3898" s="17" t="n">
        <v>5</v>
      </c>
      <c r="M3898" s="17" t="str">
        <f aca="false">VLOOKUP(L3898,Sheet2!D:E,2,0)</f>
        <v>Main Processor CPU BGA</v>
      </c>
      <c r="N3898" s="17" t="n">
        <v>1</v>
      </c>
      <c r="O3898" s="17" t="str">
        <f aca="false">VLOOKUP(N3898,Sheet2!G:H,2,0)</f>
        <v>Dead</v>
      </c>
      <c r="P3898" s="17" t="n">
        <v>11</v>
      </c>
      <c r="Q3898" s="17" t="str">
        <f aca="false">VLOOKUP(P3898,Sheet2!J:K,2,0)</f>
        <v>IR Declared due to CID -TA</v>
      </c>
      <c r="R3898" s="17" t="s">
        <v>35</v>
      </c>
      <c r="S3898" s="17" t="str">
        <f aca="false">VLOOKUP(R3898,Sheet2!N:O,2,0)</f>
        <v>IREPARABLE</v>
      </c>
      <c r="T3898" s="18" t="str">
        <f aca="false">VLOOKUP(P3898,Sheet2!Q:R,2,0)</f>
        <v>IR Normal - Track burn out</v>
      </c>
      <c r="U3898" s="20" t="s">
        <v>41</v>
      </c>
      <c r="V3898" s="17"/>
      <c r="W3898" s="20" t="e">
        <f aca="false">VLOOKUP(V3898,Sheet2!Q:R,2,0)</f>
        <v>#N/A</v>
      </c>
      <c r="X3898" s="17" t="n">
        <f aca="false">J3898</f>
        <v>0</v>
      </c>
      <c r="Y3898" s="17" t="e">
        <f aca="false">VLOOKUP(X3898,Sheet2!A:B,2,0)</f>
        <v>#N/A</v>
      </c>
      <c r="Z3898" s="17"/>
      <c r="AA3898" s="17"/>
      <c r="AB3898" s="17" t="s">
        <v>41</v>
      </c>
      <c r="AC3898" s="0" t="str">
        <f aca="false">LEFT(G3898,2)</f>
        <v/>
      </c>
      <c r="AE3898" s="0"/>
    </row>
    <row r="3899" customFormat="false" ht="15" hidden="false" customHeight="false" outlineLevel="0" collapsed="false">
      <c r="A3899" s="13" t="n">
        <f aca="false">1+A3898</f>
        <v>3897</v>
      </c>
      <c r="B3899" s="14" t="n">
        <v>100</v>
      </c>
      <c r="C3899" s="15"/>
      <c r="D3899" s="16" t="s">
        <v>64</v>
      </c>
      <c r="E3899" s="17" t="s">
        <v>47</v>
      </c>
      <c r="F3899" s="18" t="s">
        <v>34</v>
      </c>
      <c r="G3899" s="19"/>
      <c r="H3899" s="17" t="s">
        <v>35</v>
      </c>
      <c r="I3899" s="17" t="s">
        <v>44</v>
      </c>
      <c r="J3899" s="17"/>
      <c r="K3899" s="17" t="e">
        <f aca="false">VLOOKUP(J3899,Sheet2!A:B,2,0)</f>
        <v>#N/A</v>
      </c>
      <c r="L3899" s="17" t="n">
        <v>5</v>
      </c>
      <c r="M3899" s="17" t="str">
        <f aca="false">VLOOKUP(L3899,Sheet2!D:E,2,0)</f>
        <v>Main Processor CPU BGA</v>
      </c>
      <c r="N3899" s="17" t="n">
        <v>1</v>
      </c>
      <c r="O3899" s="17" t="str">
        <f aca="false">VLOOKUP(N3899,Sheet2!G:H,2,0)</f>
        <v>Dead</v>
      </c>
      <c r="P3899" s="17" t="n">
        <v>11</v>
      </c>
      <c r="Q3899" s="17" t="str">
        <f aca="false">VLOOKUP(P3899,Sheet2!J:K,2,0)</f>
        <v>IR Declared due to CID -TA</v>
      </c>
      <c r="R3899" s="17" t="s">
        <v>35</v>
      </c>
      <c r="S3899" s="17" t="str">
        <f aca="false">VLOOKUP(R3899,Sheet2!N:O,2,0)</f>
        <v>IREPARABLE</v>
      </c>
      <c r="T3899" s="18" t="str">
        <f aca="false">VLOOKUP(P3899,Sheet2!Q:R,2,0)</f>
        <v>IR Normal - Track burn out</v>
      </c>
      <c r="U3899" s="20" t="s">
        <v>41</v>
      </c>
      <c r="V3899" s="17"/>
      <c r="W3899" s="20" t="e">
        <f aca="false">VLOOKUP(V3899,Sheet2!Q:R,2,0)</f>
        <v>#N/A</v>
      </c>
      <c r="X3899" s="17" t="n">
        <f aca="false">J3899</f>
        <v>0</v>
      </c>
      <c r="Y3899" s="17" t="e">
        <f aca="false">VLOOKUP(X3899,Sheet2!A:B,2,0)</f>
        <v>#N/A</v>
      </c>
      <c r="Z3899" s="17"/>
      <c r="AA3899" s="17"/>
      <c r="AB3899" s="17" t="s">
        <v>41</v>
      </c>
      <c r="AC3899" s="0" t="str">
        <f aca="false">LEFT(G3899,2)</f>
        <v/>
      </c>
      <c r="AE3899" s="0"/>
    </row>
    <row r="3900" customFormat="false" ht="15" hidden="false" customHeight="false" outlineLevel="0" collapsed="false">
      <c r="A3900" s="13" t="n">
        <f aca="false">1+A3899</f>
        <v>3898</v>
      </c>
      <c r="B3900" s="14" t="n">
        <v>100</v>
      </c>
      <c r="C3900" s="15"/>
      <c r="D3900" s="16" t="s">
        <v>64</v>
      </c>
      <c r="E3900" s="17" t="s">
        <v>47</v>
      </c>
      <c r="F3900" s="18" t="s">
        <v>34</v>
      </c>
      <c r="G3900" s="19"/>
      <c r="H3900" s="17" t="s">
        <v>35</v>
      </c>
      <c r="I3900" s="17" t="s">
        <v>44</v>
      </c>
      <c r="J3900" s="17"/>
      <c r="K3900" s="17" t="e">
        <f aca="false">VLOOKUP(J3900,Sheet2!A:B,2,0)</f>
        <v>#N/A</v>
      </c>
      <c r="L3900" s="17" t="n">
        <v>5</v>
      </c>
      <c r="M3900" s="17" t="str">
        <f aca="false">VLOOKUP(L3900,Sheet2!D:E,2,0)</f>
        <v>Main Processor CPU BGA</v>
      </c>
      <c r="N3900" s="17" t="n">
        <v>1</v>
      </c>
      <c r="O3900" s="17" t="str">
        <f aca="false">VLOOKUP(N3900,Sheet2!G:H,2,0)</f>
        <v>Dead</v>
      </c>
      <c r="P3900" s="17" t="n">
        <v>11</v>
      </c>
      <c r="Q3900" s="17" t="str">
        <f aca="false">VLOOKUP(P3900,Sheet2!J:K,2,0)</f>
        <v>IR Declared due to CID -TA</v>
      </c>
      <c r="R3900" s="17" t="s">
        <v>35</v>
      </c>
      <c r="S3900" s="17" t="str">
        <f aca="false">VLOOKUP(R3900,Sheet2!N:O,2,0)</f>
        <v>IREPARABLE</v>
      </c>
      <c r="T3900" s="18" t="str">
        <f aca="false">VLOOKUP(P3900,Sheet2!Q:R,2,0)</f>
        <v>IR Normal - Track burn out</v>
      </c>
      <c r="U3900" s="20" t="s">
        <v>41</v>
      </c>
      <c r="V3900" s="17"/>
      <c r="W3900" s="20" t="e">
        <f aca="false">VLOOKUP(V3900,Sheet2!Q:R,2,0)</f>
        <v>#N/A</v>
      </c>
      <c r="X3900" s="17" t="n">
        <f aca="false">J3900</f>
        <v>0</v>
      </c>
      <c r="Y3900" s="17" t="e">
        <f aca="false">VLOOKUP(X3900,Sheet2!A:B,2,0)</f>
        <v>#N/A</v>
      </c>
      <c r="Z3900" s="17"/>
      <c r="AA3900" s="17"/>
      <c r="AB3900" s="17" t="s">
        <v>41</v>
      </c>
      <c r="AC3900" s="0" t="str">
        <f aca="false">LEFT(G3900,2)</f>
        <v/>
      </c>
      <c r="AE3900" s="0"/>
    </row>
    <row r="3901" customFormat="false" ht="15" hidden="false" customHeight="false" outlineLevel="0" collapsed="false">
      <c r="A3901" s="13" t="n">
        <f aca="false">1+A3900</f>
        <v>3899</v>
      </c>
      <c r="B3901" s="14" t="n">
        <v>100</v>
      </c>
      <c r="C3901" s="15"/>
      <c r="D3901" s="16" t="s">
        <v>64</v>
      </c>
      <c r="E3901" s="17" t="s">
        <v>47</v>
      </c>
      <c r="F3901" s="18" t="s">
        <v>34</v>
      </c>
      <c r="G3901" s="19"/>
      <c r="H3901" s="17" t="s">
        <v>35</v>
      </c>
      <c r="I3901" s="17" t="s">
        <v>44</v>
      </c>
      <c r="J3901" s="17"/>
      <c r="K3901" s="17" t="e">
        <f aca="false">VLOOKUP(J3901,Sheet2!A:B,2,0)</f>
        <v>#N/A</v>
      </c>
      <c r="L3901" s="17" t="n">
        <v>5</v>
      </c>
      <c r="M3901" s="17" t="str">
        <f aca="false">VLOOKUP(L3901,Sheet2!D:E,2,0)</f>
        <v>Main Processor CPU BGA</v>
      </c>
      <c r="N3901" s="17" t="n">
        <v>1</v>
      </c>
      <c r="O3901" s="17" t="str">
        <f aca="false">VLOOKUP(N3901,Sheet2!G:H,2,0)</f>
        <v>Dead</v>
      </c>
      <c r="P3901" s="17" t="n">
        <v>11</v>
      </c>
      <c r="Q3901" s="17" t="str">
        <f aca="false">VLOOKUP(P3901,Sheet2!J:K,2,0)</f>
        <v>IR Declared due to CID -TA</v>
      </c>
      <c r="R3901" s="17" t="s">
        <v>35</v>
      </c>
      <c r="S3901" s="17" t="str">
        <f aca="false">VLOOKUP(R3901,Sheet2!N:O,2,0)</f>
        <v>IREPARABLE</v>
      </c>
      <c r="T3901" s="18" t="str">
        <f aca="false">VLOOKUP(P3901,Sheet2!Q:R,2,0)</f>
        <v>IR Normal - Track burn out</v>
      </c>
      <c r="U3901" s="20" t="s">
        <v>41</v>
      </c>
      <c r="V3901" s="17"/>
      <c r="W3901" s="20" t="e">
        <f aca="false">VLOOKUP(V3901,Sheet2!Q:R,2,0)</f>
        <v>#N/A</v>
      </c>
      <c r="X3901" s="17" t="n">
        <f aca="false">J3901</f>
        <v>0</v>
      </c>
      <c r="Y3901" s="17" t="e">
        <f aca="false">VLOOKUP(X3901,Sheet2!A:B,2,0)</f>
        <v>#N/A</v>
      </c>
      <c r="Z3901" s="17"/>
      <c r="AA3901" s="17"/>
      <c r="AB3901" s="17" t="s">
        <v>41</v>
      </c>
      <c r="AC3901" s="0" t="str">
        <f aca="false">LEFT(G3901,2)</f>
        <v/>
      </c>
      <c r="AE3901" s="0"/>
    </row>
    <row r="3902" customFormat="false" ht="15" hidden="false" customHeight="false" outlineLevel="0" collapsed="false">
      <c r="A3902" s="13" t="n">
        <f aca="false">1+A3901</f>
        <v>3900</v>
      </c>
      <c r="B3902" s="14" t="n">
        <v>100</v>
      </c>
      <c r="C3902" s="15"/>
      <c r="D3902" s="16" t="s">
        <v>64</v>
      </c>
      <c r="E3902" s="17" t="s">
        <v>47</v>
      </c>
      <c r="F3902" s="18" t="s">
        <v>34</v>
      </c>
      <c r="G3902" s="19"/>
      <c r="H3902" s="17" t="s">
        <v>35</v>
      </c>
      <c r="I3902" s="17" t="s">
        <v>44</v>
      </c>
      <c r="J3902" s="17"/>
      <c r="K3902" s="17" t="e">
        <f aca="false">VLOOKUP(J3902,Sheet2!A:B,2,0)</f>
        <v>#N/A</v>
      </c>
      <c r="L3902" s="17" t="n">
        <v>5</v>
      </c>
      <c r="M3902" s="17" t="str">
        <f aca="false">VLOOKUP(L3902,Sheet2!D:E,2,0)</f>
        <v>Main Processor CPU BGA</v>
      </c>
      <c r="N3902" s="17" t="n">
        <v>1</v>
      </c>
      <c r="O3902" s="17" t="str">
        <f aca="false">VLOOKUP(N3902,Sheet2!G:H,2,0)</f>
        <v>Dead</v>
      </c>
      <c r="P3902" s="17" t="n">
        <v>11</v>
      </c>
      <c r="Q3902" s="17" t="str">
        <f aca="false">VLOOKUP(P3902,Sheet2!J:K,2,0)</f>
        <v>IR Declared due to CID -TA</v>
      </c>
      <c r="R3902" s="17" t="s">
        <v>35</v>
      </c>
      <c r="S3902" s="17" t="str">
        <f aca="false">VLOOKUP(R3902,Sheet2!N:O,2,0)</f>
        <v>IREPARABLE</v>
      </c>
      <c r="T3902" s="18" t="str">
        <f aca="false">VLOOKUP(P3902,Sheet2!Q:R,2,0)</f>
        <v>IR Normal - Track burn out</v>
      </c>
      <c r="U3902" s="20" t="s">
        <v>41</v>
      </c>
      <c r="V3902" s="17"/>
      <c r="W3902" s="20" t="e">
        <f aca="false">VLOOKUP(V3902,Sheet2!Q:R,2,0)</f>
        <v>#N/A</v>
      </c>
      <c r="X3902" s="17" t="n">
        <f aca="false">J3902</f>
        <v>0</v>
      </c>
      <c r="Y3902" s="17" t="e">
        <f aca="false">VLOOKUP(X3902,Sheet2!A:B,2,0)</f>
        <v>#N/A</v>
      </c>
      <c r="Z3902" s="17"/>
      <c r="AA3902" s="17"/>
      <c r="AB3902" s="17" t="s">
        <v>41</v>
      </c>
      <c r="AC3902" s="0" t="str">
        <f aca="false">LEFT(G3902,2)</f>
        <v/>
      </c>
      <c r="AE3902" s="0"/>
    </row>
    <row r="3903" customFormat="false" ht="15" hidden="false" customHeight="false" outlineLevel="0" collapsed="false">
      <c r="A3903" s="13" t="n">
        <f aca="false">1+A3902</f>
        <v>3901</v>
      </c>
      <c r="B3903" s="14" t="n">
        <v>100</v>
      </c>
      <c r="C3903" s="15"/>
      <c r="D3903" s="16" t="s">
        <v>64</v>
      </c>
      <c r="E3903" s="17" t="s">
        <v>47</v>
      </c>
      <c r="F3903" s="18" t="s">
        <v>34</v>
      </c>
      <c r="G3903" s="19"/>
      <c r="H3903" s="17" t="s">
        <v>35</v>
      </c>
      <c r="I3903" s="17" t="s">
        <v>44</v>
      </c>
      <c r="J3903" s="17"/>
      <c r="K3903" s="17" t="e">
        <f aca="false">VLOOKUP(J3903,Sheet2!A:B,2,0)</f>
        <v>#N/A</v>
      </c>
      <c r="L3903" s="17" t="n">
        <v>5</v>
      </c>
      <c r="M3903" s="17" t="str">
        <f aca="false">VLOOKUP(L3903,Sheet2!D:E,2,0)</f>
        <v>Main Processor CPU BGA</v>
      </c>
      <c r="N3903" s="17" t="n">
        <v>1</v>
      </c>
      <c r="O3903" s="17" t="str">
        <f aca="false">VLOOKUP(N3903,Sheet2!G:H,2,0)</f>
        <v>Dead</v>
      </c>
      <c r="P3903" s="17" t="n">
        <v>11</v>
      </c>
      <c r="Q3903" s="17" t="str">
        <f aca="false">VLOOKUP(P3903,Sheet2!J:K,2,0)</f>
        <v>IR Declared due to CID -TA</v>
      </c>
      <c r="R3903" s="17" t="s">
        <v>35</v>
      </c>
      <c r="S3903" s="17" t="str">
        <f aca="false">VLOOKUP(R3903,Sheet2!N:O,2,0)</f>
        <v>IREPARABLE</v>
      </c>
      <c r="T3903" s="18" t="str">
        <f aca="false">VLOOKUP(P3903,Sheet2!Q:R,2,0)</f>
        <v>IR Normal - Track burn out</v>
      </c>
      <c r="U3903" s="20" t="s">
        <v>41</v>
      </c>
      <c r="V3903" s="17"/>
      <c r="W3903" s="20" t="e">
        <f aca="false">VLOOKUP(V3903,Sheet2!Q:R,2,0)</f>
        <v>#N/A</v>
      </c>
      <c r="X3903" s="17" t="n">
        <f aca="false">J3903</f>
        <v>0</v>
      </c>
      <c r="Y3903" s="17" t="e">
        <f aca="false">VLOOKUP(X3903,Sheet2!A:B,2,0)</f>
        <v>#N/A</v>
      </c>
      <c r="Z3903" s="17"/>
      <c r="AA3903" s="17"/>
      <c r="AB3903" s="17" t="s">
        <v>41</v>
      </c>
      <c r="AC3903" s="0" t="str">
        <f aca="false">LEFT(G3903,2)</f>
        <v/>
      </c>
      <c r="AE3903" s="0"/>
    </row>
    <row r="3904" customFormat="false" ht="15" hidden="false" customHeight="false" outlineLevel="0" collapsed="false">
      <c r="A3904" s="13" t="n">
        <f aca="false">1+A3903</f>
        <v>3902</v>
      </c>
      <c r="B3904" s="14" t="n">
        <v>100</v>
      </c>
      <c r="C3904" s="15"/>
      <c r="D3904" s="16" t="s">
        <v>64</v>
      </c>
      <c r="E3904" s="17" t="s">
        <v>47</v>
      </c>
      <c r="F3904" s="18" t="s">
        <v>34</v>
      </c>
      <c r="G3904" s="19"/>
      <c r="H3904" s="17" t="s">
        <v>35</v>
      </c>
      <c r="I3904" s="17" t="s">
        <v>44</v>
      </c>
      <c r="J3904" s="17"/>
      <c r="K3904" s="17" t="e">
        <f aca="false">VLOOKUP(J3904,Sheet2!A:B,2,0)</f>
        <v>#N/A</v>
      </c>
      <c r="L3904" s="17" t="n">
        <v>5</v>
      </c>
      <c r="M3904" s="17" t="str">
        <f aca="false">VLOOKUP(L3904,Sheet2!D:E,2,0)</f>
        <v>Main Processor CPU BGA</v>
      </c>
      <c r="N3904" s="17" t="n">
        <v>1</v>
      </c>
      <c r="O3904" s="17" t="str">
        <f aca="false">VLOOKUP(N3904,Sheet2!G:H,2,0)</f>
        <v>Dead</v>
      </c>
      <c r="P3904" s="17" t="n">
        <v>11</v>
      </c>
      <c r="Q3904" s="17" t="str">
        <f aca="false">VLOOKUP(P3904,Sheet2!J:K,2,0)</f>
        <v>IR Declared due to CID -TA</v>
      </c>
      <c r="R3904" s="17" t="s">
        <v>35</v>
      </c>
      <c r="S3904" s="17" t="str">
        <f aca="false">VLOOKUP(R3904,Sheet2!N:O,2,0)</f>
        <v>IREPARABLE</v>
      </c>
      <c r="T3904" s="18" t="str">
        <f aca="false">VLOOKUP(P3904,Sheet2!Q:R,2,0)</f>
        <v>IR Normal - Track burn out</v>
      </c>
      <c r="U3904" s="20" t="s">
        <v>41</v>
      </c>
      <c r="V3904" s="17"/>
      <c r="W3904" s="20" t="e">
        <f aca="false">VLOOKUP(V3904,Sheet2!Q:R,2,0)</f>
        <v>#N/A</v>
      </c>
      <c r="X3904" s="17" t="n">
        <f aca="false">J3904</f>
        <v>0</v>
      </c>
      <c r="Y3904" s="17" t="e">
        <f aca="false">VLOOKUP(X3904,Sheet2!A:B,2,0)</f>
        <v>#N/A</v>
      </c>
      <c r="Z3904" s="17"/>
      <c r="AA3904" s="17"/>
      <c r="AB3904" s="17" t="s">
        <v>41</v>
      </c>
      <c r="AC3904" s="0" t="str">
        <f aca="false">LEFT(G3904,2)</f>
        <v/>
      </c>
      <c r="AE3904" s="0"/>
    </row>
    <row r="3905" customFormat="false" ht="15" hidden="false" customHeight="false" outlineLevel="0" collapsed="false">
      <c r="A3905" s="13" t="n">
        <f aca="false">1+A3904</f>
        <v>3903</v>
      </c>
      <c r="B3905" s="14" t="n">
        <v>100</v>
      </c>
      <c r="C3905" s="15"/>
      <c r="D3905" s="16" t="s">
        <v>64</v>
      </c>
      <c r="E3905" s="17" t="s">
        <v>47</v>
      </c>
      <c r="F3905" s="18" t="s">
        <v>34</v>
      </c>
      <c r="G3905" s="19"/>
      <c r="H3905" s="17" t="s">
        <v>35</v>
      </c>
      <c r="I3905" s="17" t="s">
        <v>44</v>
      </c>
      <c r="J3905" s="17"/>
      <c r="K3905" s="17" t="e">
        <f aca="false">VLOOKUP(J3905,Sheet2!A:B,2,0)</f>
        <v>#N/A</v>
      </c>
      <c r="L3905" s="17" t="n">
        <v>5</v>
      </c>
      <c r="M3905" s="17" t="str">
        <f aca="false">VLOOKUP(L3905,Sheet2!D:E,2,0)</f>
        <v>Main Processor CPU BGA</v>
      </c>
      <c r="N3905" s="17" t="n">
        <v>1</v>
      </c>
      <c r="O3905" s="17" t="str">
        <f aca="false">VLOOKUP(N3905,Sheet2!G:H,2,0)</f>
        <v>Dead</v>
      </c>
      <c r="P3905" s="17" t="n">
        <v>11</v>
      </c>
      <c r="Q3905" s="17" t="str">
        <f aca="false">VLOOKUP(P3905,Sheet2!J:K,2,0)</f>
        <v>IR Declared due to CID -TA</v>
      </c>
      <c r="R3905" s="17" t="s">
        <v>35</v>
      </c>
      <c r="S3905" s="17" t="str">
        <f aca="false">VLOOKUP(R3905,Sheet2!N:O,2,0)</f>
        <v>IREPARABLE</v>
      </c>
      <c r="T3905" s="18" t="str">
        <f aca="false">VLOOKUP(P3905,Sheet2!Q:R,2,0)</f>
        <v>IR Normal - Track burn out</v>
      </c>
      <c r="U3905" s="20" t="s">
        <v>41</v>
      </c>
      <c r="V3905" s="17"/>
      <c r="W3905" s="20" t="e">
        <f aca="false">VLOOKUP(V3905,Sheet2!Q:R,2,0)</f>
        <v>#N/A</v>
      </c>
      <c r="X3905" s="17" t="n">
        <f aca="false">J3905</f>
        <v>0</v>
      </c>
      <c r="Y3905" s="17" t="e">
        <f aca="false">VLOOKUP(X3905,Sheet2!A:B,2,0)</f>
        <v>#N/A</v>
      </c>
      <c r="Z3905" s="17"/>
      <c r="AA3905" s="17"/>
      <c r="AB3905" s="17" t="s">
        <v>41</v>
      </c>
      <c r="AC3905" s="0" t="str">
        <f aca="false">LEFT(G3905,2)</f>
        <v/>
      </c>
      <c r="AE3905" s="0"/>
    </row>
    <row r="3906" customFormat="false" ht="15" hidden="false" customHeight="false" outlineLevel="0" collapsed="false">
      <c r="A3906" s="13" t="n">
        <f aca="false">1+A3905</f>
        <v>3904</v>
      </c>
      <c r="B3906" s="14" t="n">
        <v>100</v>
      </c>
      <c r="C3906" s="15"/>
      <c r="D3906" s="16" t="s">
        <v>64</v>
      </c>
      <c r="E3906" s="17" t="s">
        <v>47</v>
      </c>
      <c r="F3906" s="18" t="s">
        <v>34</v>
      </c>
      <c r="G3906" s="19"/>
      <c r="H3906" s="17" t="s">
        <v>35</v>
      </c>
      <c r="I3906" s="17" t="s">
        <v>44</v>
      </c>
      <c r="J3906" s="17"/>
      <c r="K3906" s="17" t="e">
        <f aca="false">VLOOKUP(J3906,Sheet2!A:B,2,0)</f>
        <v>#N/A</v>
      </c>
      <c r="L3906" s="17" t="n">
        <v>5</v>
      </c>
      <c r="M3906" s="17" t="str">
        <f aca="false">VLOOKUP(L3906,Sheet2!D:E,2,0)</f>
        <v>Main Processor CPU BGA</v>
      </c>
      <c r="N3906" s="17" t="n">
        <v>1</v>
      </c>
      <c r="O3906" s="17" t="str">
        <f aca="false">VLOOKUP(N3906,Sheet2!G:H,2,0)</f>
        <v>Dead</v>
      </c>
      <c r="P3906" s="17" t="n">
        <v>11</v>
      </c>
      <c r="Q3906" s="17" t="str">
        <f aca="false">VLOOKUP(P3906,Sheet2!J:K,2,0)</f>
        <v>IR Declared due to CID -TA</v>
      </c>
      <c r="R3906" s="17" t="s">
        <v>35</v>
      </c>
      <c r="S3906" s="17" t="str">
        <f aca="false">VLOOKUP(R3906,Sheet2!N:O,2,0)</f>
        <v>IREPARABLE</v>
      </c>
      <c r="T3906" s="18" t="str">
        <f aca="false">VLOOKUP(P3906,Sheet2!Q:R,2,0)</f>
        <v>IR Normal - Track burn out</v>
      </c>
      <c r="U3906" s="20" t="s">
        <v>41</v>
      </c>
      <c r="V3906" s="17"/>
      <c r="W3906" s="20" t="e">
        <f aca="false">VLOOKUP(V3906,Sheet2!Q:R,2,0)</f>
        <v>#N/A</v>
      </c>
      <c r="X3906" s="17" t="n">
        <f aca="false">J3906</f>
        <v>0</v>
      </c>
      <c r="Y3906" s="17" t="e">
        <f aca="false">VLOOKUP(X3906,Sheet2!A:B,2,0)</f>
        <v>#N/A</v>
      </c>
      <c r="Z3906" s="17"/>
      <c r="AA3906" s="17"/>
      <c r="AB3906" s="17" t="s">
        <v>41</v>
      </c>
      <c r="AC3906" s="0" t="str">
        <f aca="false">LEFT(G3906,2)</f>
        <v/>
      </c>
      <c r="AE3906" s="0"/>
    </row>
    <row r="3907" customFormat="false" ht="15" hidden="false" customHeight="false" outlineLevel="0" collapsed="false">
      <c r="A3907" s="13" t="n">
        <f aca="false">1+A3906</f>
        <v>3905</v>
      </c>
      <c r="B3907" s="14" t="n">
        <v>100</v>
      </c>
      <c r="C3907" s="15"/>
      <c r="D3907" s="16" t="s">
        <v>64</v>
      </c>
      <c r="E3907" s="17" t="s">
        <v>47</v>
      </c>
      <c r="F3907" s="18" t="s">
        <v>34</v>
      </c>
      <c r="G3907" s="19"/>
      <c r="H3907" s="17" t="s">
        <v>35</v>
      </c>
      <c r="I3907" s="17" t="s">
        <v>44</v>
      </c>
      <c r="J3907" s="17"/>
      <c r="K3907" s="17" t="e">
        <f aca="false">VLOOKUP(J3907,Sheet2!A:B,2,0)</f>
        <v>#N/A</v>
      </c>
      <c r="L3907" s="17" t="n">
        <v>5</v>
      </c>
      <c r="M3907" s="17" t="str">
        <f aca="false">VLOOKUP(L3907,Sheet2!D:E,2,0)</f>
        <v>Main Processor CPU BGA</v>
      </c>
      <c r="N3907" s="17" t="n">
        <v>1</v>
      </c>
      <c r="O3907" s="17" t="str">
        <f aca="false">VLOOKUP(N3907,Sheet2!G:H,2,0)</f>
        <v>Dead</v>
      </c>
      <c r="P3907" s="17" t="n">
        <v>11</v>
      </c>
      <c r="Q3907" s="17" t="str">
        <f aca="false">VLOOKUP(P3907,Sheet2!J:K,2,0)</f>
        <v>IR Declared due to CID -TA</v>
      </c>
      <c r="R3907" s="17" t="s">
        <v>35</v>
      </c>
      <c r="S3907" s="17" t="str">
        <f aca="false">VLOOKUP(R3907,Sheet2!N:O,2,0)</f>
        <v>IREPARABLE</v>
      </c>
      <c r="T3907" s="18" t="str">
        <f aca="false">VLOOKUP(P3907,Sheet2!Q:R,2,0)</f>
        <v>IR Normal - Track burn out</v>
      </c>
      <c r="U3907" s="20" t="s">
        <v>41</v>
      </c>
      <c r="V3907" s="17"/>
      <c r="W3907" s="20" t="e">
        <f aca="false">VLOOKUP(V3907,Sheet2!Q:R,2,0)</f>
        <v>#N/A</v>
      </c>
      <c r="X3907" s="17" t="n">
        <f aca="false">J3907</f>
        <v>0</v>
      </c>
      <c r="Y3907" s="17" t="e">
        <f aca="false">VLOOKUP(X3907,Sheet2!A:B,2,0)</f>
        <v>#N/A</v>
      </c>
      <c r="Z3907" s="17"/>
      <c r="AA3907" s="17"/>
      <c r="AB3907" s="17" t="s">
        <v>41</v>
      </c>
      <c r="AC3907" s="0" t="str">
        <f aca="false">LEFT(G3907,2)</f>
        <v/>
      </c>
      <c r="AE3907" s="0"/>
    </row>
    <row r="3908" customFormat="false" ht="15" hidden="false" customHeight="false" outlineLevel="0" collapsed="false">
      <c r="A3908" s="13" t="n">
        <f aca="false">1+A3907</f>
        <v>3906</v>
      </c>
      <c r="B3908" s="14" t="n">
        <v>100</v>
      </c>
      <c r="C3908" s="15"/>
      <c r="D3908" s="16" t="s">
        <v>64</v>
      </c>
      <c r="E3908" s="17" t="s">
        <v>47</v>
      </c>
      <c r="F3908" s="18" t="s">
        <v>34</v>
      </c>
      <c r="G3908" s="19"/>
      <c r="H3908" s="17" t="s">
        <v>35</v>
      </c>
      <c r="I3908" s="17" t="s">
        <v>44</v>
      </c>
      <c r="J3908" s="17"/>
      <c r="K3908" s="17" t="e">
        <f aca="false">VLOOKUP(J3908,Sheet2!A:B,2,0)</f>
        <v>#N/A</v>
      </c>
      <c r="L3908" s="17" t="n">
        <v>5</v>
      </c>
      <c r="M3908" s="17" t="str">
        <f aca="false">VLOOKUP(L3908,Sheet2!D:E,2,0)</f>
        <v>Main Processor CPU BGA</v>
      </c>
      <c r="N3908" s="17" t="n">
        <v>1</v>
      </c>
      <c r="O3908" s="17" t="str">
        <f aca="false">VLOOKUP(N3908,Sheet2!G:H,2,0)</f>
        <v>Dead</v>
      </c>
      <c r="P3908" s="17" t="n">
        <v>11</v>
      </c>
      <c r="Q3908" s="17" t="str">
        <f aca="false">VLOOKUP(P3908,Sheet2!J:K,2,0)</f>
        <v>IR Declared due to CID -TA</v>
      </c>
      <c r="R3908" s="17" t="s">
        <v>35</v>
      </c>
      <c r="S3908" s="17" t="str">
        <f aca="false">VLOOKUP(R3908,Sheet2!N:O,2,0)</f>
        <v>IREPARABLE</v>
      </c>
      <c r="T3908" s="18" t="str">
        <f aca="false">VLOOKUP(P3908,Sheet2!Q:R,2,0)</f>
        <v>IR Normal - Track burn out</v>
      </c>
      <c r="U3908" s="20" t="s">
        <v>41</v>
      </c>
      <c r="V3908" s="17"/>
      <c r="W3908" s="20" t="e">
        <f aca="false">VLOOKUP(V3908,Sheet2!Q:R,2,0)</f>
        <v>#N/A</v>
      </c>
      <c r="X3908" s="17" t="n">
        <f aca="false">J3908</f>
        <v>0</v>
      </c>
      <c r="Y3908" s="17" t="e">
        <f aca="false">VLOOKUP(X3908,Sheet2!A:B,2,0)</f>
        <v>#N/A</v>
      </c>
      <c r="Z3908" s="17"/>
      <c r="AA3908" s="17"/>
      <c r="AB3908" s="17" t="s">
        <v>41</v>
      </c>
      <c r="AC3908" s="0" t="str">
        <f aca="false">LEFT(G3908,2)</f>
        <v/>
      </c>
      <c r="AE3908" s="0"/>
    </row>
    <row r="3909" customFormat="false" ht="15" hidden="false" customHeight="false" outlineLevel="0" collapsed="false">
      <c r="A3909" s="13" t="n">
        <f aca="false">1+A3908</f>
        <v>3907</v>
      </c>
      <c r="B3909" s="14" t="n">
        <v>100</v>
      </c>
      <c r="C3909" s="15"/>
      <c r="D3909" s="16" t="s">
        <v>64</v>
      </c>
      <c r="E3909" s="17" t="s">
        <v>47</v>
      </c>
      <c r="F3909" s="18" t="s">
        <v>34</v>
      </c>
      <c r="G3909" s="19"/>
      <c r="H3909" s="17" t="s">
        <v>35</v>
      </c>
      <c r="I3909" s="17" t="s">
        <v>44</v>
      </c>
      <c r="J3909" s="17"/>
      <c r="K3909" s="17" t="e">
        <f aca="false">VLOOKUP(J3909,Sheet2!A:B,2,0)</f>
        <v>#N/A</v>
      </c>
      <c r="L3909" s="17" t="n">
        <v>5</v>
      </c>
      <c r="M3909" s="17" t="str">
        <f aca="false">VLOOKUP(L3909,Sheet2!D:E,2,0)</f>
        <v>Main Processor CPU BGA</v>
      </c>
      <c r="N3909" s="17" t="n">
        <v>1</v>
      </c>
      <c r="O3909" s="17" t="str">
        <f aca="false">VLOOKUP(N3909,Sheet2!G:H,2,0)</f>
        <v>Dead</v>
      </c>
      <c r="P3909" s="17" t="n">
        <v>11</v>
      </c>
      <c r="Q3909" s="17" t="str">
        <f aca="false">VLOOKUP(P3909,Sheet2!J:K,2,0)</f>
        <v>IR Declared due to CID -TA</v>
      </c>
      <c r="R3909" s="17" t="s">
        <v>35</v>
      </c>
      <c r="S3909" s="17" t="str">
        <f aca="false">VLOOKUP(R3909,Sheet2!N:O,2,0)</f>
        <v>IREPARABLE</v>
      </c>
      <c r="T3909" s="18" t="str">
        <f aca="false">VLOOKUP(P3909,Sheet2!Q:R,2,0)</f>
        <v>IR Normal - Track burn out</v>
      </c>
      <c r="U3909" s="20" t="s">
        <v>41</v>
      </c>
      <c r="V3909" s="17"/>
      <c r="W3909" s="20" t="e">
        <f aca="false">VLOOKUP(V3909,Sheet2!Q:R,2,0)</f>
        <v>#N/A</v>
      </c>
      <c r="X3909" s="17" t="n">
        <f aca="false">J3909</f>
        <v>0</v>
      </c>
      <c r="Y3909" s="17" t="e">
        <f aca="false">VLOOKUP(X3909,Sheet2!A:B,2,0)</f>
        <v>#N/A</v>
      </c>
      <c r="Z3909" s="17"/>
      <c r="AA3909" s="17"/>
      <c r="AB3909" s="17" t="s">
        <v>41</v>
      </c>
      <c r="AC3909" s="0" t="str">
        <f aca="false">LEFT(G3909,2)</f>
        <v/>
      </c>
      <c r="AE3909" s="0"/>
    </row>
    <row r="3910" customFormat="false" ht="15" hidden="false" customHeight="false" outlineLevel="0" collapsed="false">
      <c r="A3910" s="13" t="n">
        <f aca="false">1+A3909</f>
        <v>3908</v>
      </c>
      <c r="B3910" s="14" t="n">
        <v>100</v>
      </c>
      <c r="C3910" s="15"/>
      <c r="D3910" s="16" t="s">
        <v>64</v>
      </c>
      <c r="E3910" s="17" t="s">
        <v>47</v>
      </c>
      <c r="F3910" s="18" t="s">
        <v>34</v>
      </c>
      <c r="G3910" s="19"/>
      <c r="H3910" s="17" t="s">
        <v>35</v>
      </c>
      <c r="I3910" s="17" t="s">
        <v>44</v>
      </c>
      <c r="J3910" s="17"/>
      <c r="K3910" s="17" t="e">
        <f aca="false">VLOOKUP(J3910,Sheet2!A:B,2,0)</f>
        <v>#N/A</v>
      </c>
      <c r="L3910" s="17" t="n">
        <v>5</v>
      </c>
      <c r="M3910" s="17" t="str">
        <f aca="false">VLOOKUP(L3910,Sheet2!D:E,2,0)</f>
        <v>Main Processor CPU BGA</v>
      </c>
      <c r="N3910" s="17" t="n">
        <v>1</v>
      </c>
      <c r="O3910" s="17" t="str">
        <f aca="false">VLOOKUP(N3910,Sheet2!G:H,2,0)</f>
        <v>Dead</v>
      </c>
      <c r="P3910" s="17" t="n">
        <v>11</v>
      </c>
      <c r="Q3910" s="17" t="str">
        <f aca="false">VLOOKUP(P3910,Sheet2!J:K,2,0)</f>
        <v>IR Declared due to CID -TA</v>
      </c>
      <c r="R3910" s="17" t="s">
        <v>35</v>
      </c>
      <c r="S3910" s="17" t="str">
        <f aca="false">VLOOKUP(R3910,Sheet2!N:O,2,0)</f>
        <v>IREPARABLE</v>
      </c>
      <c r="T3910" s="18" t="str">
        <f aca="false">VLOOKUP(P3910,Sheet2!Q:R,2,0)</f>
        <v>IR Normal - Track burn out</v>
      </c>
      <c r="U3910" s="20" t="s">
        <v>41</v>
      </c>
      <c r="V3910" s="17"/>
      <c r="W3910" s="20" t="e">
        <f aca="false">VLOOKUP(V3910,Sheet2!Q:R,2,0)</f>
        <v>#N/A</v>
      </c>
      <c r="X3910" s="17" t="n">
        <f aca="false">J3910</f>
        <v>0</v>
      </c>
      <c r="Y3910" s="17" t="e">
        <f aca="false">VLOOKUP(X3910,Sheet2!A:B,2,0)</f>
        <v>#N/A</v>
      </c>
      <c r="Z3910" s="17"/>
      <c r="AA3910" s="17"/>
      <c r="AB3910" s="17" t="s">
        <v>41</v>
      </c>
      <c r="AC3910" s="0" t="str">
        <f aca="false">LEFT(G3910,2)</f>
        <v/>
      </c>
      <c r="AE3910" s="0"/>
    </row>
    <row r="3911" customFormat="false" ht="15" hidden="false" customHeight="false" outlineLevel="0" collapsed="false">
      <c r="A3911" s="13" t="n">
        <f aca="false">1+A3910</f>
        <v>3909</v>
      </c>
      <c r="B3911" s="14" t="n">
        <v>100</v>
      </c>
      <c r="C3911" s="15"/>
      <c r="D3911" s="16" t="s">
        <v>64</v>
      </c>
      <c r="E3911" s="17" t="s">
        <v>47</v>
      </c>
      <c r="F3911" s="18" t="s">
        <v>34</v>
      </c>
      <c r="G3911" s="19"/>
      <c r="H3911" s="17" t="s">
        <v>35</v>
      </c>
      <c r="I3911" s="17" t="s">
        <v>44</v>
      </c>
      <c r="J3911" s="17"/>
      <c r="K3911" s="17" t="e">
        <f aca="false">VLOOKUP(J3911,Sheet2!A:B,2,0)</f>
        <v>#N/A</v>
      </c>
      <c r="L3911" s="17" t="n">
        <v>5</v>
      </c>
      <c r="M3911" s="17" t="str">
        <f aca="false">VLOOKUP(L3911,Sheet2!D:E,2,0)</f>
        <v>Main Processor CPU BGA</v>
      </c>
      <c r="N3911" s="17" t="n">
        <v>1</v>
      </c>
      <c r="O3911" s="17" t="str">
        <f aca="false">VLOOKUP(N3911,Sheet2!G:H,2,0)</f>
        <v>Dead</v>
      </c>
      <c r="P3911" s="17" t="n">
        <v>11</v>
      </c>
      <c r="Q3911" s="17" t="str">
        <f aca="false">VLOOKUP(P3911,Sheet2!J:K,2,0)</f>
        <v>IR Declared due to CID -TA</v>
      </c>
      <c r="R3911" s="17" t="s">
        <v>35</v>
      </c>
      <c r="S3911" s="17" t="str">
        <f aca="false">VLOOKUP(R3911,Sheet2!N:O,2,0)</f>
        <v>IREPARABLE</v>
      </c>
      <c r="T3911" s="18" t="str">
        <f aca="false">VLOOKUP(P3911,Sheet2!Q:R,2,0)</f>
        <v>IR Normal - Track burn out</v>
      </c>
      <c r="U3911" s="20" t="s">
        <v>41</v>
      </c>
      <c r="V3911" s="17"/>
      <c r="W3911" s="20" t="e">
        <f aca="false">VLOOKUP(V3911,Sheet2!Q:R,2,0)</f>
        <v>#N/A</v>
      </c>
      <c r="X3911" s="17" t="n">
        <f aca="false">J3911</f>
        <v>0</v>
      </c>
      <c r="Y3911" s="17" t="e">
        <f aca="false">VLOOKUP(X3911,Sheet2!A:B,2,0)</f>
        <v>#N/A</v>
      </c>
      <c r="Z3911" s="17"/>
      <c r="AA3911" s="17"/>
      <c r="AB3911" s="17" t="s">
        <v>41</v>
      </c>
      <c r="AC3911" s="0" t="str">
        <f aca="false">LEFT(G3911,2)</f>
        <v/>
      </c>
      <c r="AE3911" s="0"/>
    </row>
    <row r="3912" customFormat="false" ht="15" hidden="false" customHeight="false" outlineLevel="0" collapsed="false">
      <c r="A3912" s="13" t="n">
        <f aca="false">1+A3911</f>
        <v>3910</v>
      </c>
      <c r="B3912" s="14" t="n">
        <v>100</v>
      </c>
      <c r="C3912" s="15"/>
      <c r="D3912" s="16" t="s">
        <v>64</v>
      </c>
      <c r="E3912" s="17" t="s">
        <v>47</v>
      </c>
      <c r="F3912" s="18" t="s">
        <v>34</v>
      </c>
      <c r="G3912" s="19"/>
      <c r="H3912" s="17" t="s">
        <v>35</v>
      </c>
      <c r="I3912" s="17" t="s">
        <v>44</v>
      </c>
      <c r="J3912" s="17"/>
      <c r="K3912" s="17" t="e">
        <f aca="false">VLOOKUP(J3912,Sheet2!A:B,2,0)</f>
        <v>#N/A</v>
      </c>
      <c r="L3912" s="17" t="n">
        <v>5</v>
      </c>
      <c r="M3912" s="17" t="str">
        <f aca="false">VLOOKUP(L3912,Sheet2!D:E,2,0)</f>
        <v>Main Processor CPU BGA</v>
      </c>
      <c r="N3912" s="17" t="n">
        <v>1</v>
      </c>
      <c r="O3912" s="17" t="str">
        <f aca="false">VLOOKUP(N3912,Sheet2!G:H,2,0)</f>
        <v>Dead</v>
      </c>
      <c r="P3912" s="17" t="n">
        <v>11</v>
      </c>
      <c r="Q3912" s="17" t="str">
        <f aca="false">VLOOKUP(P3912,Sheet2!J:K,2,0)</f>
        <v>IR Declared due to CID -TA</v>
      </c>
      <c r="R3912" s="17" t="s">
        <v>35</v>
      </c>
      <c r="S3912" s="17" t="str">
        <f aca="false">VLOOKUP(R3912,Sheet2!N:O,2,0)</f>
        <v>IREPARABLE</v>
      </c>
      <c r="T3912" s="18" t="str">
        <f aca="false">VLOOKUP(P3912,Sheet2!Q:R,2,0)</f>
        <v>IR Normal - Track burn out</v>
      </c>
      <c r="U3912" s="20" t="s">
        <v>41</v>
      </c>
      <c r="V3912" s="17"/>
      <c r="W3912" s="20" t="e">
        <f aca="false">VLOOKUP(V3912,Sheet2!Q:R,2,0)</f>
        <v>#N/A</v>
      </c>
      <c r="X3912" s="17" t="n">
        <f aca="false">J3912</f>
        <v>0</v>
      </c>
      <c r="Y3912" s="17" t="e">
        <f aca="false">VLOOKUP(X3912,Sheet2!A:B,2,0)</f>
        <v>#N/A</v>
      </c>
      <c r="Z3912" s="17"/>
      <c r="AA3912" s="17"/>
      <c r="AB3912" s="17" t="s">
        <v>41</v>
      </c>
      <c r="AC3912" s="0" t="str">
        <f aca="false">LEFT(G3912,2)</f>
        <v/>
      </c>
      <c r="AE3912" s="0"/>
    </row>
    <row r="3913" customFormat="false" ht="15" hidden="false" customHeight="false" outlineLevel="0" collapsed="false">
      <c r="A3913" s="13" t="n">
        <f aca="false">1+A3912</f>
        <v>3911</v>
      </c>
      <c r="B3913" s="14" t="n">
        <v>100</v>
      </c>
      <c r="C3913" s="15"/>
      <c r="D3913" s="16" t="s">
        <v>64</v>
      </c>
      <c r="E3913" s="17" t="s">
        <v>47</v>
      </c>
      <c r="F3913" s="18" t="s">
        <v>34</v>
      </c>
      <c r="G3913" s="19"/>
      <c r="H3913" s="17" t="s">
        <v>35</v>
      </c>
      <c r="I3913" s="17" t="s">
        <v>44</v>
      </c>
      <c r="J3913" s="17"/>
      <c r="K3913" s="17" t="e">
        <f aca="false">VLOOKUP(J3913,Sheet2!A:B,2,0)</f>
        <v>#N/A</v>
      </c>
      <c r="L3913" s="17" t="n">
        <v>5</v>
      </c>
      <c r="M3913" s="17" t="str">
        <f aca="false">VLOOKUP(L3913,Sheet2!D:E,2,0)</f>
        <v>Main Processor CPU BGA</v>
      </c>
      <c r="N3913" s="17" t="n">
        <v>1</v>
      </c>
      <c r="O3913" s="17" t="str">
        <f aca="false">VLOOKUP(N3913,Sheet2!G:H,2,0)</f>
        <v>Dead</v>
      </c>
      <c r="P3913" s="17" t="n">
        <v>11</v>
      </c>
      <c r="Q3913" s="17" t="str">
        <f aca="false">VLOOKUP(P3913,Sheet2!J:K,2,0)</f>
        <v>IR Declared due to CID -TA</v>
      </c>
      <c r="R3913" s="17" t="s">
        <v>35</v>
      </c>
      <c r="S3913" s="17" t="str">
        <f aca="false">VLOOKUP(R3913,Sheet2!N:O,2,0)</f>
        <v>IREPARABLE</v>
      </c>
      <c r="T3913" s="18" t="str">
        <f aca="false">VLOOKUP(P3913,Sheet2!Q:R,2,0)</f>
        <v>IR Normal - Track burn out</v>
      </c>
      <c r="U3913" s="20" t="s">
        <v>41</v>
      </c>
      <c r="V3913" s="17"/>
      <c r="W3913" s="20" t="e">
        <f aca="false">VLOOKUP(V3913,Sheet2!Q:R,2,0)</f>
        <v>#N/A</v>
      </c>
      <c r="X3913" s="17" t="n">
        <f aca="false">J3913</f>
        <v>0</v>
      </c>
      <c r="Y3913" s="17" t="e">
        <f aca="false">VLOOKUP(X3913,Sheet2!A:B,2,0)</f>
        <v>#N/A</v>
      </c>
      <c r="Z3913" s="17"/>
      <c r="AA3913" s="17"/>
      <c r="AB3913" s="17" t="s">
        <v>41</v>
      </c>
      <c r="AC3913" s="0" t="str">
        <f aca="false">LEFT(G3913,2)</f>
        <v/>
      </c>
      <c r="AE3913" s="0"/>
    </row>
    <row r="3914" customFormat="false" ht="15" hidden="false" customHeight="false" outlineLevel="0" collapsed="false">
      <c r="A3914" s="13" t="n">
        <f aca="false">1+A3913</f>
        <v>3912</v>
      </c>
      <c r="B3914" s="14" t="n">
        <v>100</v>
      </c>
      <c r="C3914" s="15"/>
      <c r="D3914" s="16" t="s">
        <v>64</v>
      </c>
      <c r="E3914" s="17" t="s">
        <v>47</v>
      </c>
      <c r="F3914" s="18" t="s">
        <v>34</v>
      </c>
      <c r="G3914" s="19"/>
      <c r="H3914" s="17" t="s">
        <v>35</v>
      </c>
      <c r="I3914" s="17" t="s">
        <v>44</v>
      </c>
      <c r="J3914" s="17"/>
      <c r="K3914" s="17" t="e">
        <f aca="false">VLOOKUP(J3914,Sheet2!A:B,2,0)</f>
        <v>#N/A</v>
      </c>
      <c r="L3914" s="17" t="n">
        <v>5</v>
      </c>
      <c r="M3914" s="17" t="str">
        <f aca="false">VLOOKUP(L3914,Sheet2!D:E,2,0)</f>
        <v>Main Processor CPU BGA</v>
      </c>
      <c r="N3914" s="17" t="n">
        <v>1</v>
      </c>
      <c r="O3914" s="17" t="str">
        <f aca="false">VLOOKUP(N3914,Sheet2!G:H,2,0)</f>
        <v>Dead</v>
      </c>
      <c r="P3914" s="17" t="n">
        <v>11</v>
      </c>
      <c r="Q3914" s="17" t="str">
        <f aca="false">VLOOKUP(P3914,Sheet2!J:K,2,0)</f>
        <v>IR Declared due to CID -TA</v>
      </c>
      <c r="R3914" s="17" t="s">
        <v>35</v>
      </c>
      <c r="S3914" s="17" t="str">
        <f aca="false">VLOOKUP(R3914,Sheet2!N:O,2,0)</f>
        <v>IREPARABLE</v>
      </c>
      <c r="T3914" s="18" t="str">
        <f aca="false">VLOOKUP(P3914,Sheet2!Q:R,2,0)</f>
        <v>IR Normal - Track burn out</v>
      </c>
      <c r="U3914" s="20" t="s">
        <v>41</v>
      </c>
      <c r="V3914" s="17"/>
      <c r="W3914" s="20" t="e">
        <f aca="false">VLOOKUP(V3914,Sheet2!Q:R,2,0)</f>
        <v>#N/A</v>
      </c>
      <c r="X3914" s="17" t="n">
        <f aca="false">J3914</f>
        <v>0</v>
      </c>
      <c r="Y3914" s="17" t="e">
        <f aca="false">VLOOKUP(X3914,Sheet2!A:B,2,0)</f>
        <v>#N/A</v>
      </c>
      <c r="Z3914" s="17"/>
      <c r="AA3914" s="17"/>
      <c r="AB3914" s="17" t="s">
        <v>41</v>
      </c>
      <c r="AC3914" s="0" t="str">
        <f aca="false">LEFT(G3914,2)</f>
        <v/>
      </c>
      <c r="AE3914" s="0"/>
    </row>
    <row r="3915" customFormat="false" ht="15" hidden="false" customHeight="false" outlineLevel="0" collapsed="false">
      <c r="A3915" s="13" t="n">
        <f aca="false">1+A3914</f>
        <v>3913</v>
      </c>
      <c r="B3915" s="14" t="n">
        <v>100</v>
      </c>
      <c r="C3915" s="15"/>
      <c r="D3915" s="16" t="s">
        <v>64</v>
      </c>
      <c r="E3915" s="17" t="s">
        <v>47</v>
      </c>
      <c r="F3915" s="18" t="s">
        <v>34</v>
      </c>
      <c r="G3915" s="19"/>
      <c r="H3915" s="17" t="s">
        <v>35</v>
      </c>
      <c r="I3915" s="17" t="s">
        <v>44</v>
      </c>
      <c r="J3915" s="17"/>
      <c r="K3915" s="17" t="e">
        <f aca="false">VLOOKUP(J3915,Sheet2!A:B,2,0)</f>
        <v>#N/A</v>
      </c>
      <c r="L3915" s="17" t="n">
        <v>5</v>
      </c>
      <c r="M3915" s="17" t="str">
        <f aca="false">VLOOKUP(L3915,Sheet2!D:E,2,0)</f>
        <v>Main Processor CPU BGA</v>
      </c>
      <c r="N3915" s="17" t="n">
        <v>1</v>
      </c>
      <c r="O3915" s="17" t="str">
        <f aca="false">VLOOKUP(N3915,Sheet2!G:H,2,0)</f>
        <v>Dead</v>
      </c>
      <c r="P3915" s="17" t="n">
        <v>11</v>
      </c>
      <c r="Q3915" s="17" t="str">
        <f aca="false">VLOOKUP(P3915,Sheet2!J:K,2,0)</f>
        <v>IR Declared due to CID -TA</v>
      </c>
      <c r="R3915" s="17" t="s">
        <v>35</v>
      </c>
      <c r="S3915" s="17" t="str">
        <f aca="false">VLOOKUP(R3915,Sheet2!N:O,2,0)</f>
        <v>IREPARABLE</v>
      </c>
      <c r="T3915" s="18" t="str">
        <f aca="false">VLOOKUP(P3915,Sheet2!Q:R,2,0)</f>
        <v>IR Normal - Track burn out</v>
      </c>
      <c r="U3915" s="20" t="s">
        <v>41</v>
      </c>
      <c r="V3915" s="17"/>
      <c r="W3915" s="20" t="e">
        <f aca="false">VLOOKUP(V3915,Sheet2!Q:R,2,0)</f>
        <v>#N/A</v>
      </c>
      <c r="X3915" s="17" t="n">
        <f aca="false">J3915</f>
        <v>0</v>
      </c>
      <c r="Y3915" s="17" t="e">
        <f aca="false">VLOOKUP(X3915,Sheet2!A:B,2,0)</f>
        <v>#N/A</v>
      </c>
      <c r="Z3915" s="17"/>
      <c r="AA3915" s="17"/>
      <c r="AB3915" s="17" t="s">
        <v>41</v>
      </c>
      <c r="AC3915" s="0" t="str">
        <f aca="false">LEFT(G3915,2)</f>
        <v/>
      </c>
      <c r="AE3915" s="0"/>
    </row>
    <row r="3916" customFormat="false" ht="15" hidden="false" customHeight="false" outlineLevel="0" collapsed="false">
      <c r="A3916" s="13" t="n">
        <f aca="false">1+A3915</f>
        <v>3914</v>
      </c>
      <c r="B3916" s="14" t="n">
        <v>100</v>
      </c>
      <c r="C3916" s="15"/>
      <c r="D3916" s="16" t="s">
        <v>64</v>
      </c>
      <c r="E3916" s="17" t="s">
        <v>47</v>
      </c>
      <c r="F3916" s="18" t="s">
        <v>34</v>
      </c>
      <c r="G3916" s="19"/>
      <c r="H3916" s="17" t="s">
        <v>35</v>
      </c>
      <c r="I3916" s="17" t="s">
        <v>44</v>
      </c>
      <c r="J3916" s="17"/>
      <c r="K3916" s="17" t="e">
        <f aca="false">VLOOKUP(J3916,Sheet2!A:B,2,0)</f>
        <v>#N/A</v>
      </c>
      <c r="L3916" s="17" t="n">
        <v>5</v>
      </c>
      <c r="M3916" s="17" t="str">
        <f aca="false">VLOOKUP(L3916,Sheet2!D:E,2,0)</f>
        <v>Main Processor CPU BGA</v>
      </c>
      <c r="N3916" s="17" t="n">
        <v>1</v>
      </c>
      <c r="O3916" s="17" t="str">
        <f aca="false">VLOOKUP(N3916,Sheet2!G:H,2,0)</f>
        <v>Dead</v>
      </c>
      <c r="P3916" s="17" t="n">
        <v>11</v>
      </c>
      <c r="Q3916" s="17" t="str">
        <f aca="false">VLOOKUP(P3916,Sheet2!J:K,2,0)</f>
        <v>IR Declared due to CID -TA</v>
      </c>
      <c r="R3916" s="17" t="s">
        <v>35</v>
      </c>
      <c r="S3916" s="17" t="str">
        <f aca="false">VLOOKUP(R3916,Sheet2!N:O,2,0)</f>
        <v>IREPARABLE</v>
      </c>
      <c r="T3916" s="18" t="str">
        <f aca="false">VLOOKUP(P3916,Sheet2!Q:R,2,0)</f>
        <v>IR Normal - Track burn out</v>
      </c>
      <c r="U3916" s="20" t="s">
        <v>41</v>
      </c>
      <c r="V3916" s="17"/>
      <c r="W3916" s="20" t="e">
        <f aca="false">VLOOKUP(V3916,Sheet2!Q:R,2,0)</f>
        <v>#N/A</v>
      </c>
      <c r="X3916" s="17" t="n">
        <f aca="false">J3916</f>
        <v>0</v>
      </c>
      <c r="Y3916" s="17" t="e">
        <f aca="false">VLOOKUP(X3916,Sheet2!A:B,2,0)</f>
        <v>#N/A</v>
      </c>
      <c r="Z3916" s="17"/>
      <c r="AA3916" s="17"/>
      <c r="AB3916" s="17" t="s">
        <v>41</v>
      </c>
      <c r="AC3916" s="0" t="str">
        <f aca="false">LEFT(G3916,2)</f>
        <v/>
      </c>
      <c r="AE3916" s="0"/>
    </row>
    <row r="3917" customFormat="false" ht="15" hidden="false" customHeight="false" outlineLevel="0" collapsed="false">
      <c r="A3917" s="13" t="n">
        <f aca="false">1+A3916</f>
        <v>3915</v>
      </c>
      <c r="B3917" s="14" t="n">
        <v>100</v>
      </c>
      <c r="C3917" s="15"/>
      <c r="D3917" s="16" t="s">
        <v>64</v>
      </c>
      <c r="E3917" s="17" t="s">
        <v>47</v>
      </c>
      <c r="F3917" s="18" t="s">
        <v>34</v>
      </c>
      <c r="G3917" s="19"/>
      <c r="H3917" s="17" t="s">
        <v>35</v>
      </c>
      <c r="I3917" s="17" t="s">
        <v>44</v>
      </c>
      <c r="J3917" s="17"/>
      <c r="K3917" s="17" t="e">
        <f aca="false">VLOOKUP(J3917,Sheet2!A:B,2,0)</f>
        <v>#N/A</v>
      </c>
      <c r="L3917" s="17" t="n">
        <v>5</v>
      </c>
      <c r="M3917" s="17" t="str">
        <f aca="false">VLOOKUP(L3917,Sheet2!D:E,2,0)</f>
        <v>Main Processor CPU BGA</v>
      </c>
      <c r="N3917" s="17" t="n">
        <v>1</v>
      </c>
      <c r="O3917" s="17" t="str">
        <f aca="false">VLOOKUP(N3917,Sheet2!G:H,2,0)</f>
        <v>Dead</v>
      </c>
      <c r="P3917" s="17" t="n">
        <v>11</v>
      </c>
      <c r="Q3917" s="17" t="str">
        <f aca="false">VLOOKUP(P3917,Sheet2!J:K,2,0)</f>
        <v>IR Declared due to CID -TA</v>
      </c>
      <c r="R3917" s="17" t="s">
        <v>35</v>
      </c>
      <c r="S3917" s="17" t="str">
        <f aca="false">VLOOKUP(R3917,Sheet2!N:O,2,0)</f>
        <v>IREPARABLE</v>
      </c>
      <c r="T3917" s="18" t="str">
        <f aca="false">VLOOKUP(P3917,Sheet2!Q:R,2,0)</f>
        <v>IR Normal - Track burn out</v>
      </c>
      <c r="U3917" s="20" t="s">
        <v>41</v>
      </c>
      <c r="V3917" s="17"/>
      <c r="W3917" s="20" t="e">
        <f aca="false">VLOOKUP(V3917,Sheet2!Q:R,2,0)</f>
        <v>#N/A</v>
      </c>
      <c r="X3917" s="17" t="n">
        <f aca="false">J3917</f>
        <v>0</v>
      </c>
      <c r="Y3917" s="17" t="e">
        <f aca="false">VLOOKUP(X3917,Sheet2!A:B,2,0)</f>
        <v>#N/A</v>
      </c>
      <c r="Z3917" s="17"/>
      <c r="AA3917" s="17"/>
      <c r="AB3917" s="17" t="s">
        <v>41</v>
      </c>
      <c r="AC3917" s="0" t="str">
        <f aca="false">LEFT(G3917,2)</f>
        <v/>
      </c>
      <c r="AE3917" s="0"/>
    </row>
    <row r="3918" customFormat="false" ht="15" hidden="false" customHeight="false" outlineLevel="0" collapsed="false">
      <c r="A3918" s="13" t="n">
        <f aca="false">1+A3917</f>
        <v>3916</v>
      </c>
      <c r="B3918" s="14" t="n">
        <v>100</v>
      </c>
      <c r="C3918" s="15"/>
      <c r="D3918" s="16" t="s">
        <v>64</v>
      </c>
      <c r="E3918" s="17" t="s">
        <v>47</v>
      </c>
      <c r="F3918" s="18" t="s">
        <v>34</v>
      </c>
      <c r="G3918" s="19"/>
      <c r="H3918" s="17" t="s">
        <v>35</v>
      </c>
      <c r="I3918" s="17" t="s">
        <v>44</v>
      </c>
      <c r="J3918" s="17"/>
      <c r="K3918" s="17" t="e">
        <f aca="false">VLOOKUP(J3918,Sheet2!A:B,2,0)</f>
        <v>#N/A</v>
      </c>
      <c r="L3918" s="17" t="n">
        <v>5</v>
      </c>
      <c r="M3918" s="17" t="str">
        <f aca="false">VLOOKUP(L3918,Sheet2!D:E,2,0)</f>
        <v>Main Processor CPU BGA</v>
      </c>
      <c r="N3918" s="17" t="n">
        <v>1</v>
      </c>
      <c r="O3918" s="17" t="str">
        <f aca="false">VLOOKUP(N3918,Sheet2!G:H,2,0)</f>
        <v>Dead</v>
      </c>
      <c r="P3918" s="17" t="n">
        <v>11</v>
      </c>
      <c r="Q3918" s="17" t="str">
        <f aca="false">VLOOKUP(P3918,Sheet2!J:K,2,0)</f>
        <v>IR Declared due to CID -TA</v>
      </c>
      <c r="R3918" s="17" t="s">
        <v>35</v>
      </c>
      <c r="S3918" s="17" t="str">
        <f aca="false">VLOOKUP(R3918,Sheet2!N:O,2,0)</f>
        <v>IREPARABLE</v>
      </c>
      <c r="T3918" s="18" t="str">
        <f aca="false">VLOOKUP(P3918,Sheet2!Q:R,2,0)</f>
        <v>IR Normal - Track burn out</v>
      </c>
      <c r="U3918" s="20" t="s">
        <v>41</v>
      </c>
      <c r="V3918" s="17"/>
      <c r="W3918" s="20" t="e">
        <f aca="false">VLOOKUP(V3918,Sheet2!Q:R,2,0)</f>
        <v>#N/A</v>
      </c>
      <c r="X3918" s="17" t="n">
        <f aca="false">J3918</f>
        <v>0</v>
      </c>
      <c r="Y3918" s="17" t="e">
        <f aca="false">VLOOKUP(X3918,Sheet2!A:B,2,0)</f>
        <v>#N/A</v>
      </c>
      <c r="Z3918" s="17"/>
      <c r="AA3918" s="17"/>
      <c r="AB3918" s="17" t="s">
        <v>41</v>
      </c>
      <c r="AC3918" s="0" t="str">
        <f aca="false">LEFT(G3918,2)</f>
        <v/>
      </c>
      <c r="AE3918" s="0"/>
    </row>
    <row r="3919" customFormat="false" ht="15" hidden="false" customHeight="false" outlineLevel="0" collapsed="false">
      <c r="A3919" s="13" t="n">
        <f aca="false">1+A3918</f>
        <v>3917</v>
      </c>
      <c r="B3919" s="14" t="n">
        <v>100</v>
      </c>
      <c r="C3919" s="15"/>
      <c r="D3919" s="16" t="s">
        <v>64</v>
      </c>
      <c r="E3919" s="17" t="s">
        <v>47</v>
      </c>
      <c r="F3919" s="18" t="s">
        <v>34</v>
      </c>
      <c r="G3919" s="19"/>
      <c r="H3919" s="17" t="s">
        <v>35</v>
      </c>
      <c r="I3919" s="17" t="s">
        <v>44</v>
      </c>
      <c r="J3919" s="17"/>
      <c r="K3919" s="17" t="e">
        <f aca="false">VLOOKUP(J3919,Sheet2!A:B,2,0)</f>
        <v>#N/A</v>
      </c>
      <c r="L3919" s="17" t="n">
        <v>5</v>
      </c>
      <c r="M3919" s="17" t="str">
        <f aca="false">VLOOKUP(L3919,Sheet2!D:E,2,0)</f>
        <v>Main Processor CPU BGA</v>
      </c>
      <c r="N3919" s="17" t="n">
        <v>1</v>
      </c>
      <c r="O3919" s="17" t="str">
        <f aca="false">VLOOKUP(N3919,Sheet2!G:H,2,0)</f>
        <v>Dead</v>
      </c>
      <c r="P3919" s="17" t="n">
        <v>11</v>
      </c>
      <c r="Q3919" s="17" t="str">
        <f aca="false">VLOOKUP(P3919,Sheet2!J:K,2,0)</f>
        <v>IR Declared due to CID -TA</v>
      </c>
      <c r="R3919" s="17" t="s">
        <v>35</v>
      </c>
      <c r="S3919" s="17" t="str">
        <f aca="false">VLOOKUP(R3919,Sheet2!N:O,2,0)</f>
        <v>IREPARABLE</v>
      </c>
      <c r="T3919" s="18" t="str">
        <f aca="false">VLOOKUP(P3919,Sheet2!Q:R,2,0)</f>
        <v>IR Normal - Track burn out</v>
      </c>
      <c r="U3919" s="20" t="s">
        <v>41</v>
      </c>
      <c r="V3919" s="17"/>
      <c r="W3919" s="20" t="e">
        <f aca="false">VLOOKUP(V3919,Sheet2!Q:R,2,0)</f>
        <v>#N/A</v>
      </c>
      <c r="X3919" s="17" t="n">
        <f aca="false">J3919</f>
        <v>0</v>
      </c>
      <c r="Y3919" s="17" t="e">
        <f aca="false">VLOOKUP(X3919,Sheet2!A:B,2,0)</f>
        <v>#N/A</v>
      </c>
      <c r="Z3919" s="17"/>
      <c r="AA3919" s="17"/>
      <c r="AB3919" s="17" t="s">
        <v>41</v>
      </c>
      <c r="AC3919" s="0" t="str">
        <f aca="false">LEFT(G3919,2)</f>
        <v/>
      </c>
      <c r="AE3919" s="0"/>
    </row>
    <row r="3920" customFormat="false" ht="15" hidden="false" customHeight="false" outlineLevel="0" collapsed="false">
      <c r="A3920" s="13" t="n">
        <f aca="false">1+A3919</f>
        <v>3918</v>
      </c>
      <c r="B3920" s="14" t="n">
        <v>100</v>
      </c>
      <c r="C3920" s="15"/>
      <c r="D3920" s="16" t="s">
        <v>64</v>
      </c>
      <c r="E3920" s="17" t="s">
        <v>47</v>
      </c>
      <c r="F3920" s="18" t="s">
        <v>34</v>
      </c>
      <c r="G3920" s="19"/>
      <c r="H3920" s="17" t="s">
        <v>35</v>
      </c>
      <c r="I3920" s="17" t="s">
        <v>44</v>
      </c>
      <c r="J3920" s="17"/>
      <c r="K3920" s="17" t="e">
        <f aca="false">VLOOKUP(J3920,Sheet2!A:B,2,0)</f>
        <v>#N/A</v>
      </c>
      <c r="L3920" s="17" t="n">
        <v>5</v>
      </c>
      <c r="M3920" s="17" t="str">
        <f aca="false">VLOOKUP(L3920,Sheet2!D:E,2,0)</f>
        <v>Main Processor CPU BGA</v>
      </c>
      <c r="N3920" s="17" t="n">
        <v>1</v>
      </c>
      <c r="O3920" s="17" t="str">
        <f aca="false">VLOOKUP(N3920,Sheet2!G:H,2,0)</f>
        <v>Dead</v>
      </c>
      <c r="P3920" s="17" t="n">
        <v>11</v>
      </c>
      <c r="Q3920" s="17" t="str">
        <f aca="false">VLOOKUP(P3920,Sheet2!J:K,2,0)</f>
        <v>IR Declared due to CID -TA</v>
      </c>
      <c r="R3920" s="17" t="s">
        <v>35</v>
      </c>
      <c r="S3920" s="17" t="str">
        <f aca="false">VLOOKUP(R3920,Sheet2!N:O,2,0)</f>
        <v>IREPARABLE</v>
      </c>
      <c r="T3920" s="18" t="str">
        <f aca="false">VLOOKUP(P3920,Sheet2!Q:R,2,0)</f>
        <v>IR Normal - Track burn out</v>
      </c>
      <c r="U3920" s="20" t="s">
        <v>41</v>
      </c>
      <c r="V3920" s="17"/>
      <c r="W3920" s="20" t="e">
        <f aca="false">VLOOKUP(V3920,Sheet2!Q:R,2,0)</f>
        <v>#N/A</v>
      </c>
      <c r="X3920" s="17" t="n">
        <f aca="false">J3920</f>
        <v>0</v>
      </c>
      <c r="Y3920" s="17" t="e">
        <f aca="false">VLOOKUP(X3920,Sheet2!A:B,2,0)</f>
        <v>#N/A</v>
      </c>
      <c r="Z3920" s="17"/>
      <c r="AA3920" s="17"/>
      <c r="AB3920" s="17" t="s">
        <v>41</v>
      </c>
      <c r="AC3920" s="0" t="str">
        <f aca="false">LEFT(G3920,2)</f>
        <v/>
      </c>
      <c r="AE3920" s="0"/>
    </row>
    <row r="3921" customFormat="false" ht="15" hidden="false" customHeight="false" outlineLevel="0" collapsed="false">
      <c r="A3921" s="13" t="n">
        <f aca="false">1+A3920</f>
        <v>3919</v>
      </c>
      <c r="B3921" s="14" t="n">
        <v>100</v>
      </c>
      <c r="C3921" s="15"/>
      <c r="D3921" s="16" t="s">
        <v>64</v>
      </c>
      <c r="E3921" s="17" t="s">
        <v>47</v>
      </c>
      <c r="F3921" s="18" t="s">
        <v>34</v>
      </c>
      <c r="G3921" s="19"/>
      <c r="H3921" s="17" t="s">
        <v>35</v>
      </c>
      <c r="I3921" s="17" t="s">
        <v>44</v>
      </c>
      <c r="J3921" s="17"/>
      <c r="K3921" s="17" t="e">
        <f aca="false">VLOOKUP(J3921,Sheet2!A:B,2,0)</f>
        <v>#N/A</v>
      </c>
      <c r="L3921" s="17" t="n">
        <v>5</v>
      </c>
      <c r="M3921" s="17" t="str">
        <f aca="false">VLOOKUP(L3921,Sheet2!D:E,2,0)</f>
        <v>Main Processor CPU BGA</v>
      </c>
      <c r="N3921" s="17" t="n">
        <v>1</v>
      </c>
      <c r="O3921" s="17" t="str">
        <f aca="false">VLOOKUP(N3921,Sheet2!G:H,2,0)</f>
        <v>Dead</v>
      </c>
      <c r="P3921" s="17" t="n">
        <v>11</v>
      </c>
      <c r="Q3921" s="17" t="str">
        <f aca="false">VLOOKUP(P3921,Sheet2!J:K,2,0)</f>
        <v>IR Declared due to CID -TA</v>
      </c>
      <c r="R3921" s="17" t="s">
        <v>35</v>
      </c>
      <c r="S3921" s="17" t="str">
        <f aca="false">VLOOKUP(R3921,Sheet2!N:O,2,0)</f>
        <v>IREPARABLE</v>
      </c>
      <c r="T3921" s="18" t="str">
        <f aca="false">VLOOKUP(P3921,Sheet2!Q:R,2,0)</f>
        <v>IR Normal - Track burn out</v>
      </c>
      <c r="U3921" s="20" t="s">
        <v>41</v>
      </c>
      <c r="V3921" s="17"/>
      <c r="W3921" s="20" t="e">
        <f aca="false">VLOOKUP(V3921,Sheet2!Q:R,2,0)</f>
        <v>#N/A</v>
      </c>
      <c r="X3921" s="17" t="n">
        <f aca="false">J3921</f>
        <v>0</v>
      </c>
      <c r="Y3921" s="17" t="e">
        <f aca="false">VLOOKUP(X3921,Sheet2!A:B,2,0)</f>
        <v>#N/A</v>
      </c>
      <c r="Z3921" s="17"/>
      <c r="AA3921" s="17"/>
      <c r="AB3921" s="17" t="s">
        <v>41</v>
      </c>
      <c r="AC3921" s="0" t="str">
        <f aca="false">LEFT(G3921,2)</f>
        <v/>
      </c>
      <c r="AE3921" s="0"/>
    </row>
    <row r="3922" customFormat="false" ht="15" hidden="false" customHeight="false" outlineLevel="0" collapsed="false">
      <c r="A3922" s="13" t="n">
        <f aca="false">1+A3921</f>
        <v>3920</v>
      </c>
      <c r="B3922" s="14" t="n">
        <v>100</v>
      </c>
      <c r="C3922" s="15"/>
      <c r="D3922" s="16" t="s">
        <v>64</v>
      </c>
      <c r="E3922" s="17" t="s">
        <v>47</v>
      </c>
      <c r="F3922" s="18" t="s">
        <v>34</v>
      </c>
      <c r="G3922" s="19"/>
      <c r="H3922" s="17" t="s">
        <v>35</v>
      </c>
      <c r="I3922" s="17" t="s">
        <v>44</v>
      </c>
      <c r="J3922" s="17"/>
      <c r="K3922" s="17" t="e">
        <f aca="false">VLOOKUP(J3922,Sheet2!A:B,2,0)</f>
        <v>#N/A</v>
      </c>
      <c r="L3922" s="17" t="n">
        <v>5</v>
      </c>
      <c r="M3922" s="17" t="str">
        <f aca="false">VLOOKUP(L3922,Sheet2!D:E,2,0)</f>
        <v>Main Processor CPU BGA</v>
      </c>
      <c r="N3922" s="17" t="n">
        <v>1</v>
      </c>
      <c r="O3922" s="17" t="str">
        <f aca="false">VLOOKUP(N3922,Sheet2!G:H,2,0)</f>
        <v>Dead</v>
      </c>
      <c r="P3922" s="17" t="n">
        <v>11</v>
      </c>
      <c r="Q3922" s="17" t="str">
        <f aca="false">VLOOKUP(P3922,Sheet2!J:K,2,0)</f>
        <v>IR Declared due to CID -TA</v>
      </c>
      <c r="R3922" s="17" t="s">
        <v>35</v>
      </c>
      <c r="S3922" s="17" t="str">
        <f aca="false">VLOOKUP(R3922,Sheet2!N:O,2,0)</f>
        <v>IREPARABLE</v>
      </c>
      <c r="T3922" s="18" t="str">
        <f aca="false">VLOOKUP(P3922,Sheet2!Q:R,2,0)</f>
        <v>IR Normal - Track burn out</v>
      </c>
      <c r="U3922" s="20" t="s">
        <v>41</v>
      </c>
      <c r="V3922" s="17"/>
      <c r="W3922" s="20" t="e">
        <f aca="false">VLOOKUP(V3922,Sheet2!Q:R,2,0)</f>
        <v>#N/A</v>
      </c>
      <c r="X3922" s="17" t="n">
        <f aca="false">J3922</f>
        <v>0</v>
      </c>
      <c r="Y3922" s="17" t="e">
        <f aca="false">VLOOKUP(X3922,Sheet2!A:B,2,0)</f>
        <v>#N/A</v>
      </c>
      <c r="Z3922" s="17"/>
      <c r="AA3922" s="17"/>
      <c r="AB3922" s="17" t="s">
        <v>41</v>
      </c>
      <c r="AC3922" s="0" t="str">
        <f aca="false">LEFT(G3922,2)</f>
        <v/>
      </c>
      <c r="AE3922" s="0"/>
    </row>
    <row r="3923" customFormat="false" ht="15" hidden="false" customHeight="false" outlineLevel="0" collapsed="false">
      <c r="A3923" s="13" t="n">
        <f aca="false">1+A3922</f>
        <v>3921</v>
      </c>
      <c r="B3923" s="14" t="n">
        <v>100</v>
      </c>
      <c r="C3923" s="15"/>
      <c r="D3923" s="16" t="s">
        <v>64</v>
      </c>
      <c r="E3923" s="17" t="s">
        <v>47</v>
      </c>
      <c r="F3923" s="18" t="s">
        <v>34</v>
      </c>
      <c r="G3923" s="19"/>
      <c r="H3923" s="17" t="s">
        <v>35</v>
      </c>
      <c r="I3923" s="17" t="s">
        <v>44</v>
      </c>
      <c r="J3923" s="17"/>
      <c r="K3923" s="17" t="e">
        <f aca="false">VLOOKUP(J3923,Sheet2!A:B,2,0)</f>
        <v>#N/A</v>
      </c>
      <c r="L3923" s="17" t="n">
        <v>5</v>
      </c>
      <c r="M3923" s="17" t="str">
        <f aca="false">VLOOKUP(L3923,Sheet2!D:E,2,0)</f>
        <v>Main Processor CPU BGA</v>
      </c>
      <c r="N3923" s="17" t="n">
        <v>1</v>
      </c>
      <c r="O3923" s="17" t="str">
        <f aca="false">VLOOKUP(N3923,Sheet2!G:H,2,0)</f>
        <v>Dead</v>
      </c>
      <c r="P3923" s="17" t="n">
        <v>11</v>
      </c>
      <c r="Q3923" s="17" t="str">
        <f aca="false">VLOOKUP(P3923,Sheet2!J:K,2,0)</f>
        <v>IR Declared due to CID -TA</v>
      </c>
      <c r="R3923" s="17" t="s">
        <v>35</v>
      </c>
      <c r="S3923" s="17" t="str">
        <f aca="false">VLOOKUP(R3923,Sheet2!N:O,2,0)</f>
        <v>IREPARABLE</v>
      </c>
      <c r="T3923" s="18" t="str">
        <f aca="false">VLOOKUP(P3923,Sheet2!Q:R,2,0)</f>
        <v>IR Normal - Track burn out</v>
      </c>
      <c r="U3923" s="20" t="s">
        <v>41</v>
      </c>
      <c r="V3923" s="17"/>
      <c r="W3923" s="20" t="e">
        <f aca="false">VLOOKUP(V3923,Sheet2!Q:R,2,0)</f>
        <v>#N/A</v>
      </c>
      <c r="X3923" s="17" t="n">
        <f aca="false">J3923</f>
        <v>0</v>
      </c>
      <c r="Y3923" s="17" t="e">
        <f aca="false">VLOOKUP(X3923,Sheet2!A:B,2,0)</f>
        <v>#N/A</v>
      </c>
      <c r="Z3923" s="17"/>
      <c r="AA3923" s="17"/>
      <c r="AB3923" s="17" t="s">
        <v>41</v>
      </c>
      <c r="AC3923" s="0" t="str">
        <f aca="false">LEFT(G3923,2)</f>
        <v/>
      </c>
      <c r="AE3923" s="0"/>
    </row>
    <row r="3924" customFormat="false" ht="15" hidden="false" customHeight="false" outlineLevel="0" collapsed="false">
      <c r="A3924" s="13" t="n">
        <f aca="false">1+A3923</f>
        <v>3922</v>
      </c>
      <c r="B3924" s="14" t="n">
        <v>100</v>
      </c>
      <c r="C3924" s="15"/>
      <c r="D3924" s="16" t="s">
        <v>64</v>
      </c>
      <c r="E3924" s="17" t="s">
        <v>47</v>
      </c>
      <c r="F3924" s="18" t="s">
        <v>34</v>
      </c>
      <c r="G3924" s="19"/>
      <c r="H3924" s="17" t="s">
        <v>35</v>
      </c>
      <c r="I3924" s="17" t="s">
        <v>44</v>
      </c>
      <c r="J3924" s="17"/>
      <c r="K3924" s="17" t="e">
        <f aca="false">VLOOKUP(J3924,Sheet2!A:B,2,0)</f>
        <v>#N/A</v>
      </c>
      <c r="L3924" s="17" t="n">
        <v>5</v>
      </c>
      <c r="M3924" s="17" t="str">
        <f aca="false">VLOOKUP(L3924,Sheet2!D:E,2,0)</f>
        <v>Main Processor CPU BGA</v>
      </c>
      <c r="N3924" s="17" t="n">
        <v>1</v>
      </c>
      <c r="O3924" s="17" t="str">
        <f aca="false">VLOOKUP(N3924,Sheet2!G:H,2,0)</f>
        <v>Dead</v>
      </c>
      <c r="P3924" s="17" t="n">
        <v>11</v>
      </c>
      <c r="Q3924" s="17" t="str">
        <f aca="false">VLOOKUP(P3924,Sheet2!J:K,2,0)</f>
        <v>IR Declared due to CID -TA</v>
      </c>
      <c r="R3924" s="17" t="s">
        <v>35</v>
      </c>
      <c r="S3924" s="17" t="str">
        <f aca="false">VLOOKUP(R3924,Sheet2!N:O,2,0)</f>
        <v>IREPARABLE</v>
      </c>
      <c r="T3924" s="18" t="str">
        <f aca="false">VLOOKUP(P3924,Sheet2!Q:R,2,0)</f>
        <v>IR Normal - Track burn out</v>
      </c>
      <c r="U3924" s="20" t="s">
        <v>41</v>
      </c>
      <c r="V3924" s="17"/>
      <c r="W3924" s="20" t="e">
        <f aca="false">VLOOKUP(V3924,Sheet2!Q:R,2,0)</f>
        <v>#N/A</v>
      </c>
      <c r="X3924" s="17" t="n">
        <f aca="false">J3924</f>
        <v>0</v>
      </c>
      <c r="Y3924" s="17" t="e">
        <f aca="false">VLOOKUP(X3924,Sheet2!A:B,2,0)</f>
        <v>#N/A</v>
      </c>
      <c r="Z3924" s="17"/>
      <c r="AA3924" s="17"/>
      <c r="AB3924" s="17" t="s">
        <v>41</v>
      </c>
      <c r="AC3924" s="0" t="str">
        <f aca="false">LEFT(G3924,2)</f>
        <v/>
      </c>
      <c r="AE3924" s="0"/>
    </row>
    <row r="3925" customFormat="false" ht="15" hidden="false" customHeight="false" outlineLevel="0" collapsed="false">
      <c r="A3925" s="13" t="n">
        <f aca="false">1+A3924</f>
        <v>3923</v>
      </c>
      <c r="B3925" s="14" t="n">
        <v>100</v>
      </c>
      <c r="C3925" s="15"/>
      <c r="D3925" s="16" t="s">
        <v>64</v>
      </c>
      <c r="E3925" s="17" t="s">
        <v>47</v>
      </c>
      <c r="F3925" s="18" t="s">
        <v>34</v>
      </c>
      <c r="G3925" s="19"/>
      <c r="H3925" s="17" t="s">
        <v>35</v>
      </c>
      <c r="I3925" s="17" t="s">
        <v>44</v>
      </c>
      <c r="J3925" s="17"/>
      <c r="K3925" s="17" t="e">
        <f aca="false">VLOOKUP(J3925,Sheet2!A:B,2,0)</f>
        <v>#N/A</v>
      </c>
      <c r="L3925" s="17" t="n">
        <v>5</v>
      </c>
      <c r="M3925" s="17" t="str">
        <f aca="false">VLOOKUP(L3925,Sheet2!D:E,2,0)</f>
        <v>Main Processor CPU BGA</v>
      </c>
      <c r="N3925" s="17" t="n">
        <v>1</v>
      </c>
      <c r="O3925" s="17" t="str">
        <f aca="false">VLOOKUP(N3925,Sheet2!G:H,2,0)</f>
        <v>Dead</v>
      </c>
      <c r="P3925" s="17" t="n">
        <v>11</v>
      </c>
      <c r="Q3925" s="17" t="str">
        <f aca="false">VLOOKUP(P3925,Sheet2!J:K,2,0)</f>
        <v>IR Declared due to CID -TA</v>
      </c>
      <c r="R3925" s="17" t="s">
        <v>35</v>
      </c>
      <c r="S3925" s="17" t="str">
        <f aca="false">VLOOKUP(R3925,Sheet2!N:O,2,0)</f>
        <v>IREPARABLE</v>
      </c>
      <c r="T3925" s="18" t="str">
        <f aca="false">VLOOKUP(P3925,Sheet2!Q:R,2,0)</f>
        <v>IR Normal - Track burn out</v>
      </c>
      <c r="U3925" s="20" t="s">
        <v>41</v>
      </c>
      <c r="V3925" s="17"/>
      <c r="W3925" s="20" t="e">
        <f aca="false">VLOOKUP(V3925,Sheet2!Q:R,2,0)</f>
        <v>#N/A</v>
      </c>
      <c r="X3925" s="17" t="n">
        <f aca="false">J3925</f>
        <v>0</v>
      </c>
      <c r="Y3925" s="17" t="e">
        <f aca="false">VLOOKUP(X3925,Sheet2!A:B,2,0)</f>
        <v>#N/A</v>
      </c>
      <c r="Z3925" s="17"/>
      <c r="AA3925" s="17"/>
      <c r="AB3925" s="17" t="s">
        <v>41</v>
      </c>
      <c r="AC3925" s="0" t="str">
        <f aca="false">LEFT(G3925,2)</f>
        <v/>
      </c>
      <c r="AE3925" s="0"/>
    </row>
    <row r="3926" customFormat="false" ht="15" hidden="false" customHeight="false" outlineLevel="0" collapsed="false">
      <c r="A3926" s="13" t="n">
        <f aca="false">1+A3925</f>
        <v>3924</v>
      </c>
      <c r="B3926" s="14" t="n">
        <v>100</v>
      </c>
      <c r="C3926" s="15"/>
      <c r="D3926" s="16" t="s">
        <v>64</v>
      </c>
      <c r="E3926" s="17" t="s">
        <v>47</v>
      </c>
      <c r="F3926" s="18" t="s">
        <v>34</v>
      </c>
      <c r="G3926" s="19"/>
      <c r="H3926" s="17" t="s">
        <v>35</v>
      </c>
      <c r="I3926" s="17" t="s">
        <v>44</v>
      </c>
      <c r="J3926" s="17"/>
      <c r="K3926" s="17" t="e">
        <f aca="false">VLOOKUP(J3926,Sheet2!A:B,2,0)</f>
        <v>#N/A</v>
      </c>
      <c r="L3926" s="17" t="n">
        <v>5</v>
      </c>
      <c r="M3926" s="17" t="str">
        <f aca="false">VLOOKUP(L3926,Sheet2!D:E,2,0)</f>
        <v>Main Processor CPU BGA</v>
      </c>
      <c r="N3926" s="17" t="n">
        <v>1</v>
      </c>
      <c r="O3926" s="17" t="str">
        <f aca="false">VLOOKUP(N3926,Sheet2!G:H,2,0)</f>
        <v>Dead</v>
      </c>
      <c r="P3926" s="17" t="n">
        <v>11</v>
      </c>
      <c r="Q3926" s="17" t="str">
        <f aca="false">VLOOKUP(P3926,Sheet2!J:K,2,0)</f>
        <v>IR Declared due to CID -TA</v>
      </c>
      <c r="R3926" s="17" t="s">
        <v>35</v>
      </c>
      <c r="S3926" s="17" t="str">
        <f aca="false">VLOOKUP(R3926,Sheet2!N:O,2,0)</f>
        <v>IREPARABLE</v>
      </c>
      <c r="T3926" s="18" t="str">
        <f aca="false">VLOOKUP(P3926,Sheet2!Q:R,2,0)</f>
        <v>IR Normal - Track burn out</v>
      </c>
      <c r="U3926" s="20" t="s">
        <v>41</v>
      </c>
      <c r="V3926" s="17"/>
      <c r="W3926" s="20" t="e">
        <f aca="false">VLOOKUP(V3926,Sheet2!Q:R,2,0)</f>
        <v>#N/A</v>
      </c>
      <c r="X3926" s="17" t="n">
        <f aca="false">J3926</f>
        <v>0</v>
      </c>
      <c r="Y3926" s="17" t="e">
        <f aca="false">VLOOKUP(X3926,Sheet2!A:B,2,0)</f>
        <v>#N/A</v>
      </c>
      <c r="Z3926" s="17"/>
      <c r="AA3926" s="17"/>
      <c r="AB3926" s="17" t="s">
        <v>41</v>
      </c>
      <c r="AC3926" s="0" t="str">
        <f aca="false">LEFT(G3926,2)</f>
        <v/>
      </c>
      <c r="AE3926" s="0"/>
    </row>
    <row r="3927" customFormat="false" ht="15" hidden="false" customHeight="false" outlineLevel="0" collapsed="false">
      <c r="A3927" s="13" t="n">
        <f aca="false">1+A3926</f>
        <v>3925</v>
      </c>
      <c r="B3927" s="14" t="n">
        <v>100</v>
      </c>
      <c r="C3927" s="15"/>
      <c r="D3927" s="16" t="s">
        <v>64</v>
      </c>
      <c r="E3927" s="17" t="s">
        <v>47</v>
      </c>
      <c r="F3927" s="18" t="s">
        <v>34</v>
      </c>
      <c r="G3927" s="19"/>
      <c r="H3927" s="17" t="s">
        <v>35</v>
      </c>
      <c r="I3927" s="17" t="s">
        <v>44</v>
      </c>
      <c r="J3927" s="17"/>
      <c r="K3927" s="17" t="e">
        <f aca="false">VLOOKUP(J3927,Sheet2!A:B,2,0)</f>
        <v>#N/A</v>
      </c>
      <c r="L3927" s="17" t="n">
        <v>5</v>
      </c>
      <c r="M3927" s="17" t="str">
        <f aca="false">VLOOKUP(L3927,Sheet2!D:E,2,0)</f>
        <v>Main Processor CPU BGA</v>
      </c>
      <c r="N3927" s="17" t="n">
        <v>1</v>
      </c>
      <c r="O3927" s="17" t="str">
        <f aca="false">VLOOKUP(N3927,Sheet2!G:H,2,0)</f>
        <v>Dead</v>
      </c>
      <c r="P3927" s="17" t="n">
        <v>11</v>
      </c>
      <c r="Q3927" s="17" t="str">
        <f aca="false">VLOOKUP(P3927,Sheet2!J:K,2,0)</f>
        <v>IR Declared due to CID -TA</v>
      </c>
      <c r="R3927" s="17" t="s">
        <v>35</v>
      </c>
      <c r="S3927" s="17" t="str">
        <f aca="false">VLOOKUP(R3927,Sheet2!N:O,2,0)</f>
        <v>IREPARABLE</v>
      </c>
      <c r="T3927" s="18" t="str">
        <f aca="false">VLOOKUP(P3927,Sheet2!Q:R,2,0)</f>
        <v>IR Normal - Track burn out</v>
      </c>
      <c r="U3927" s="20" t="s">
        <v>41</v>
      </c>
      <c r="V3927" s="17"/>
      <c r="W3927" s="20" t="e">
        <f aca="false">VLOOKUP(V3927,Sheet2!Q:R,2,0)</f>
        <v>#N/A</v>
      </c>
      <c r="X3927" s="17" t="n">
        <f aca="false">J3927</f>
        <v>0</v>
      </c>
      <c r="Y3927" s="17" t="e">
        <f aca="false">VLOOKUP(X3927,Sheet2!A:B,2,0)</f>
        <v>#N/A</v>
      </c>
      <c r="Z3927" s="17"/>
      <c r="AA3927" s="17"/>
      <c r="AB3927" s="17" t="s">
        <v>41</v>
      </c>
      <c r="AC3927" s="0" t="str">
        <f aca="false">LEFT(G3927,2)</f>
        <v/>
      </c>
      <c r="AE3927" s="0"/>
    </row>
    <row r="3928" customFormat="false" ht="15" hidden="false" customHeight="false" outlineLevel="0" collapsed="false">
      <c r="A3928" s="13" t="n">
        <f aca="false">1+A3927</f>
        <v>3926</v>
      </c>
      <c r="B3928" s="14" t="n">
        <v>100</v>
      </c>
      <c r="C3928" s="15"/>
      <c r="D3928" s="16" t="s">
        <v>64</v>
      </c>
      <c r="E3928" s="17" t="s">
        <v>47</v>
      </c>
      <c r="F3928" s="18" t="s">
        <v>34</v>
      </c>
      <c r="G3928" s="19"/>
      <c r="H3928" s="17" t="s">
        <v>35</v>
      </c>
      <c r="I3928" s="17" t="s">
        <v>44</v>
      </c>
      <c r="J3928" s="17"/>
      <c r="K3928" s="17" t="e">
        <f aca="false">VLOOKUP(J3928,Sheet2!A:B,2,0)</f>
        <v>#N/A</v>
      </c>
      <c r="L3928" s="17" t="n">
        <v>5</v>
      </c>
      <c r="M3928" s="17" t="str">
        <f aca="false">VLOOKUP(L3928,Sheet2!D:E,2,0)</f>
        <v>Main Processor CPU BGA</v>
      </c>
      <c r="N3928" s="17" t="n">
        <v>1</v>
      </c>
      <c r="O3928" s="17" t="str">
        <f aca="false">VLOOKUP(N3928,Sheet2!G:H,2,0)</f>
        <v>Dead</v>
      </c>
      <c r="P3928" s="17" t="n">
        <v>11</v>
      </c>
      <c r="Q3928" s="17" t="str">
        <f aca="false">VLOOKUP(P3928,Sheet2!J:K,2,0)</f>
        <v>IR Declared due to CID -TA</v>
      </c>
      <c r="R3928" s="17" t="s">
        <v>35</v>
      </c>
      <c r="S3928" s="17" t="str">
        <f aca="false">VLOOKUP(R3928,Sheet2!N:O,2,0)</f>
        <v>IREPARABLE</v>
      </c>
      <c r="T3928" s="18" t="str">
        <f aca="false">VLOOKUP(P3928,Sheet2!Q:R,2,0)</f>
        <v>IR Normal - Track burn out</v>
      </c>
      <c r="U3928" s="20" t="s">
        <v>41</v>
      </c>
      <c r="V3928" s="17"/>
      <c r="W3928" s="20" t="e">
        <f aca="false">VLOOKUP(V3928,Sheet2!Q:R,2,0)</f>
        <v>#N/A</v>
      </c>
      <c r="X3928" s="17" t="n">
        <f aca="false">J3928</f>
        <v>0</v>
      </c>
      <c r="Y3928" s="17" t="e">
        <f aca="false">VLOOKUP(X3928,Sheet2!A:B,2,0)</f>
        <v>#N/A</v>
      </c>
      <c r="Z3928" s="17"/>
      <c r="AA3928" s="17"/>
      <c r="AB3928" s="17" t="s">
        <v>41</v>
      </c>
      <c r="AC3928" s="0" t="str">
        <f aca="false">LEFT(G3928,2)</f>
        <v/>
      </c>
      <c r="AE3928" s="0"/>
    </row>
    <row r="3929" customFormat="false" ht="15" hidden="false" customHeight="false" outlineLevel="0" collapsed="false">
      <c r="A3929" s="13" t="n">
        <f aca="false">1+A3928</f>
        <v>3927</v>
      </c>
      <c r="B3929" s="14" t="n">
        <v>100</v>
      </c>
      <c r="C3929" s="15"/>
      <c r="D3929" s="16" t="s">
        <v>64</v>
      </c>
      <c r="E3929" s="17" t="s">
        <v>47</v>
      </c>
      <c r="F3929" s="18" t="s">
        <v>34</v>
      </c>
      <c r="G3929" s="19"/>
      <c r="H3929" s="17" t="s">
        <v>35</v>
      </c>
      <c r="I3929" s="17" t="s">
        <v>44</v>
      </c>
      <c r="J3929" s="17"/>
      <c r="K3929" s="17" t="e">
        <f aca="false">VLOOKUP(J3929,Sheet2!A:B,2,0)</f>
        <v>#N/A</v>
      </c>
      <c r="L3929" s="17" t="n">
        <v>5</v>
      </c>
      <c r="M3929" s="17" t="str">
        <f aca="false">VLOOKUP(L3929,Sheet2!D:E,2,0)</f>
        <v>Main Processor CPU BGA</v>
      </c>
      <c r="N3929" s="17" t="n">
        <v>1</v>
      </c>
      <c r="O3929" s="17" t="str">
        <f aca="false">VLOOKUP(N3929,Sheet2!G:H,2,0)</f>
        <v>Dead</v>
      </c>
      <c r="P3929" s="17" t="n">
        <v>11</v>
      </c>
      <c r="Q3929" s="17" t="str">
        <f aca="false">VLOOKUP(P3929,Sheet2!J:K,2,0)</f>
        <v>IR Declared due to CID -TA</v>
      </c>
      <c r="R3929" s="17" t="s">
        <v>35</v>
      </c>
      <c r="S3929" s="17" t="str">
        <f aca="false">VLOOKUP(R3929,Sheet2!N:O,2,0)</f>
        <v>IREPARABLE</v>
      </c>
      <c r="T3929" s="18" t="str">
        <f aca="false">VLOOKUP(P3929,Sheet2!Q:R,2,0)</f>
        <v>IR Normal - Track burn out</v>
      </c>
      <c r="U3929" s="20" t="s">
        <v>41</v>
      </c>
      <c r="V3929" s="17"/>
      <c r="W3929" s="20" t="e">
        <f aca="false">VLOOKUP(V3929,Sheet2!Q:R,2,0)</f>
        <v>#N/A</v>
      </c>
      <c r="X3929" s="17" t="n">
        <f aca="false">J3929</f>
        <v>0</v>
      </c>
      <c r="Y3929" s="17" t="e">
        <f aca="false">VLOOKUP(X3929,Sheet2!A:B,2,0)</f>
        <v>#N/A</v>
      </c>
      <c r="Z3929" s="17"/>
      <c r="AA3929" s="17"/>
      <c r="AB3929" s="17" t="s">
        <v>41</v>
      </c>
      <c r="AC3929" s="0" t="str">
        <f aca="false">LEFT(G3929,2)</f>
        <v/>
      </c>
      <c r="AE3929" s="0"/>
    </row>
    <row r="3930" customFormat="false" ht="15" hidden="false" customHeight="false" outlineLevel="0" collapsed="false">
      <c r="A3930" s="13" t="n">
        <f aca="false">1+A3929</f>
        <v>3928</v>
      </c>
      <c r="B3930" s="14" t="n">
        <v>100</v>
      </c>
      <c r="C3930" s="15"/>
      <c r="D3930" s="16" t="s">
        <v>64</v>
      </c>
      <c r="E3930" s="17" t="s">
        <v>47</v>
      </c>
      <c r="F3930" s="18" t="s">
        <v>34</v>
      </c>
      <c r="G3930" s="19"/>
      <c r="H3930" s="17" t="s">
        <v>35</v>
      </c>
      <c r="I3930" s="17" t="s">
        <v>44</v>
      </c>
      <c r="J3930" s="17"/>
      <c r="K3930" s="17" t="e">
        <f aca="false">VLOOKUP(J3930,Sheet2!A:B,2,0)</f>
        <v>#N/A</v>
      </c>
      <c r="L3930" s="17" t="n">
        <v>5</v>
      </c>
      <c r="M3930" s="17" t="str">
        <f aca="false">VLOOKUP(L3930,Sheet2!D:E,2,0)</f>
        <v>Main Processor CPU BGA</v>
      </c>
      <c r="N3930" s="17" t="n">
        <v>1</v>
      </c>
      <c r="O3930" s="17" t="str">
        <f aca="false">VLOOKUP(N3930,Sheet2!G:H,2,0)</f>
        <v>Dead</v>
      </c>
      <c r="P3930" s="17" t="n">
        <v>11</v>
      </c>
      <c r="Q3930" s="17" t="str">
        <f aca="false">VLOOKUP(P3930,Sheet2!J:K,2,0)</f>
        <v>IR Declared due to CID -TA</v>
      </c>
      <c r="R3930" s="17" t="s">
        <v>35</v>
      </c>
      <c r="S3930" s="17" t="str">
        <f aca="false">VLOOKUP(R3930,Sheet2!N:O,2,0)</f>
        <v>IREPARABLE</v>
      </c>
      <c r="T3930" s="18" t="str">
        <f aca="false">VLOOKUP(P3930,Sheet2!Q:R,2,0)</f>
        <v>IR Normal - Track burn out</v>
      </c>
      <c r="U3930" s="20" t="s">
        <v>41</v>
      </c>
      <c r="V3930" s="17"/>
      <c r="W3930" s="20" t="e">
        <f aca="false">VLOOKUP(V3930,Sheet2!Q:R,2,0)</f>
        <v>#N/A</v>
      </c>
      <c r="X3930" s="17" t="n">
        <f aca="false">J3930</f>
        <v>0</v>
      </c>
      <c r="Y3930" s="17" t="e">
        <f aca="false">VLOOKUP(X3930,Sheet2!A:B,2,0)</f>
        <v>#N/A</v>
      </c>
      <c r="Z3930" s="17"/>
      <c r="AA3930" s="17"/>
      <c r="AB3930" s="17" t="s">
        <v>41</v>
      </c>
      <c r="AC3930" s="0" t="str">
        <f aca="false">LEFT(G3930,2)</f>
        <v/>
      </c>
      <c r="AE3930" s="0"/>
    </row>
    <row r="3931" customFormat="false" ht="15" hidden="false" customHeight="false" outlineLevel="0" collapsed="false">
      <c r="A3931" s="13" t="n">
        <f aca="false">1+A3930</f>
        <v>3929</v>
      </c>
      <c r="B3931" s="14" t="n">
        <v>100</v>
      </c>
      <c r="C3931" s="15"/>
      <c r="D3931" s="16" t="s">
        <v>64</v>
      </c>
      <c r="E3931" s="17" t="s">
        <v>47</v>
      </c>
      <c r="F3931" s="18" t="s">
        <v>34</v>
      </c>
      <c r="G3931" s="19"/>
      <c r="H3931" s="17" t="s">
        <v>35</v>
      </c>
      <c r="I3931" s="17" t="s">
        <v>44</v>
      </c>
      <c r="J3931" s="17"/>
      <c r="K3931" s="17" t="e">
        <f aca="false">VLOOKUP(J3931,Sheet2!A:B,2,0)</f>
        <v>#N/A</v>
      </c>
      <c r="L3931" s="17" t="n">
        <v>5</v>
      </c>
      <c r="M3931" s="17" t="str">
        <f aca="false">VLOOKUP(L3931,Sheet2!D:E,2,0)</f>
        <v>Main Processor CPU BGA</v>
      </c>
      <c r="N3931" s="17" t="n">
        <v>1</v>
      </c>
      <c r="O3931" s="17" t="str">
        <f aca="false">VLOOKUP(N3931,Sheet2!G:H,2,0)</f>
        <v>Dead</v>
      </c>
      <c r="P3931" s="17" t="n">
        <v>11</v>
      </c>
      <c r="Q3931" s="17" t="str">
        <f aca="false">VLOOKUP(P3931,Sheet2!J:K,2,0)</f>
        <v>IR Declared due to CID -TA</v>
      </c>
      <c r="R3931" s="17" t="s">
        <v>35</v>
      </c>
      <c r="S3931" s="17" t="str">
        <f aca="false">VLOOKUP(R3931,Sheet2!N:O,2,0)</f>
        <v>IREPARABLE</v>
      </c>
      <c r="T3931" s="18" t="str">
        <f aca="false">VLOOKUP(P3931,Sheet2!Q:R,2,0)</f>
        <v>IR Normal - Track burn out</v>
      </c>
      <c r="U3931" s="20" t="s">
        <v>41</v>
      </c>
      <c r="V3931" s="17"/>
      <c r="W3931" s="20" t="e">
        <f aca="false">VLOOKUP(V3931,Sheet2!Q:R,2,0)</f>
        <v>#N/A</v>
      </c>
      <c r="X3931" s="17" t="n">
        <f aca="false">J3931</f>
        <v>0</v>
      </c>
      <c r="Y3931" s="17" t="e">
        <f aca="false">VLOOKUP(X3931,Sheet2!A:B,2,0)</f>
        <v>#N/A</v>
      </c>
      <c r="Z3931" s="17"/>
      <c r="AA3931" s="17"/>
      <c r="AB3931" s="17" t="s">
        <v>41</v>
      </c>
      <c r="AC3931" s="0" t="str">
        <f aca="false">LEFT(G3931,2)</f>
        <v/>
      </c>
      <c r="AE3931" s="0"/>
    </row>
    <row r="3932" customFormat="false" ht="15" hidden="false" customHeight="false" outlineLevel="0" collapsed="false">
      <c r="A3932" s="13" t="n">
        <f aca="false">1+A3931</f>
        <v>3930</v>
      </c>
      <c r="B3932" s="14" t="n">
        <v>100</v>
      </c>
      <c r="C3932" s="15"/>
      <c r="D3932" s="16" t="s">
        <v>64</v>
      </c>
      <c r="E3932" s="17" t="s">
        <v>47</v>
      </c>
      <c r="F3932" s="18" t="s">
        <v>34</v>
      </c>
      <c r="G3932" s="19"/>
      <c r="H3932" s="17" t="s">
        <v>35</v>
      </c>
      <c r="I3932" s="17" t="s">
        <v>44</v>
      </c>
      <c r="J3932" s="17"/>
      <c r="K3932" s="17" t="e">
        <f aca="false">VLOOKUP(J3932,Sheet2!A:B,2,0)</f>
        <v>#N/A</v>
      </c>
      <c r="L3932" s="17" t="n">
        <v>5</v>
      </c>
      <c r="M3932" s="17" t="str">
        <f aca="false">VLOOKUP(L3932,Sheet2!D:E,2,0)</f>
        <v>Main Processor CPU BGA</v>
      </c>
      <c r="N3932" s="17" t="n">
        <v>1</v>
      </c>
      <c r="O3932" s="17" t="str">
        <f aca="false">VLOOKUP(N3932,Sheet2!G:H,2,0)</f>
        <v>Dead</v>
      </c>
      <c r="P3932" s="17" t="n">
        <v>11</v>
      </c>
      <c r="Q3932" s="17" t="str">
        <f aca="false">VLOOKUP(P3932,Sheet2!J:K,2,0)</f>
        <v>IR Declared due to CID -TA</v>
      </c>
      <c r="R3932" s="17" t="s">
        <v>35</v>
      </c>
      <c r="S3932" s="17" t="str">
        <f aca="false">VLOOKUP(R3932,Sheet2!N:O,2,0)</f>
        <v>IREPARABLE</v>
      </c>
      <c r="T3932" s="18" t="str">
        <f aca="false">VLOOKUP(P3932,Sheet2!Q:R,2,0)</f>
        <v>IR Normal - Track burn out</v>
      </c>
      <c r="U3932" s="20" t="s">
        <v>41</v>
      </c>
      <c r="V3932" s="17"/>
      <c r="W3932" s="20" t="e">
        <f aca="false">VLOOKUP(V3932,Sheet2!Q:R,2,0)</f>
        <v>#N/A</v>
      </c>
      <c r="X3932" s="17" t="n">
        <f aca="false">J3932</f>
        <v>0</v>
      </c>
      <c r="Y3932" s="17" t="e">
        <f aca="false">VLOOKUP(X3932,Sheet2!A:B,2,0)</f>
        <v>#N/A</v>
      </c>
      <c r="Z3932" s="17"/>
      <c r="AA3932" s="17"/>
      <c r="AB3932" s="17" t="s">
        <v>41</v>
      </c>
      <c r="AC3932" s="0" t="str">
        <f aca="false">LEFT(G3932,2)</f>
        <v/>
      </c>
      <c r="AE3932" s="0"/>
    </row>
    <row r="3933" customFormat="false" ht="15" hidden="false" customHeight="false" outlineLevel="0" collapsed="false">
      <c r="A3933" s="13" t="n">
        <f aca="false">1+A3932</f>
        <v>3931</v>
      </c>
      <c r="B3933" s="14" t="n">
        <v>100</v>
      </c>
      <c r="C3933" s="15"/>
      <c r="D3933" s="16" t="s">
        <v>64</v>
      </c>
      <c r="E3933" s="17" t="s">
        <v>47</v>
      </c>
      <c r="F3933" s="18" t="s">
        <v>34</v>
      </c>
      <c r="G3933" s="19"/>
      <c r="H3933" s="17" t="s">
        <v>35</v>
      </c>
      <c r="I3933" s="17" t="s">
        <v>44</v>
      </c>
      <c r="J3933" s="17"/>
      <c r="K3933" s="17" t="e">
        <f aca="false">VLOOKUP(J3933,Sheet2!A:B,2,0)</f>
        <v>#N/A</v>
      </c>
      <c r="L3933" s="17" t="n">
        <v>5</v>
      </c>
      <c r="M3933" s="17" t="str">
        <f aca="false">VLOOKUP(L3933,Sheet2!D:E,2,0)</f>
        <v>Main Processor CPU BGA</v>
      </c>
      <c r="N3933" s="17" t="n">
        <v>1</v>
      </c>
      <c r="O3933" s="17" t="str">
        <f aca="false">VLOOKUP(N3933,Sheet2!G:H,2,0)</f>
        <v>Dead</v>
      </c>
      <c r="P3933" s="17" t="n">
        <v>11</v>
      </c>
      <c r="Q3933" s="17" t="str">
        <f aca="false">VLOOKUP(P3933,Sheet2!J:K,2,0)</f>
        <v>IR Declared due to CID -TA</v>
      </c>
      <c r="R3933" s="17" t="s">
        <v>35</v>
      </c>
      <c r="S3933" s="17" t="str">
        <f aca="false">VLOOKUP(R3933,Sheet2!N:O,2,0)</f>
        <v>IREPARABLE</v>
      </c>
      <c r="T3933" s="18" t="str">
        <f aca="false">VLOOKUP(P3933,Sheet2!Q:R,2,0)</f>
        <v>IR Normal - Track burn out</v>
      </c>
      <c r="U3933" s="20" t="s">
        <v>41</v>
      </c>
      <c r="V3933" s="17"/>
      <c r="W3933" s="20" t="e">
        <f aca="false">VLOOKUP(V3933,Sheet2!Q:R,2,0)</f>
        <v>#N/A</v>
      </c>
      <c r="X3933" s="17" t="n">
        <f aca="false">J3933</f>
        <v>0</v>
      </c>
      <c r="Y3933" s="17" t="e">
        <f aca="false">VLOOKUP(X3933,Sheet2!A:B,2,0)</f>
        <v>#N/A</v>
      </c>
      <c r="Z3933" s="17"/>
      <c r="AA3933" s="17"/>
      <c r="AB3933" s="17" t="s">
        <v>41</v>
      </c>
      <c r="AC3933" s="0" t="str">
        <f aca="false">LEFT(G3933,2)</f>
        <v/>
      </c>
      <c r="AE3933" s="0"/>
    </row>
    <row r="3934" customFormat="false" ht="15" hidden="false" customHeight="false" outlineLevel="0" collapsed="false">
      <c r="A3934" s="13" t="n">
        <f aca="false">1+A3933</f>
        <v>3932</v>
      </c>
      <c r="B3934" s="14" t="n">
        <v>100</v>
      </c>
      <c r="C3934" s="15"/>
      <c r="D3934" s="16" t="s">
        <v>64</v>
      </c>
      <c r="E3934" s="17" t="s">
        <v>47</v>
      </c>
      <c r="F3934" s="18" t="s">
        <v>34</v>
      </c>
      <c r="G3934" s="19"/>
      <c r="H3934" s="17" t="s">
        <v>35</v>
      </c>
      <c r="I3934" s="17" t="s">
        <v>44</v>
      </c>
      <c r="J3934" s="17"/>
      <c r="K3934" s="17" t="e">
        <f aca="false">VLOOKUP(J3934,Sheet2!A:B,2,0)</f>
        <v>#N/A</v>
      </c>
      <c r="L3934" s="17" t="n">
        <v>5</v>
      </c>
      <c r="M3934" s="17" t="str">
        <f aca="false">VLOOKUP(L3934,Sheet2!D:E,2,0)</f>
        <v>Main Processor CPU BGA</v>
      </c>
      <c r="N3934" s="17" t="n">
        <v>1</v>
      </c>
      <c r="O3934" s="17" t="str">
        <f aca="false">VLOOKUP(N3934,Sheet2!G:H,2,0)</f>
        <v>Dead</v>
      </c>
      <c r="P3934" s="17" t="n">
        <v>11</v>
      </c>
      <c r="Q3934" s="17" t="str">
        <f aca="false">VLOOKUP(P3934,Sheet2!J:K,2,0)</f>
        <v>IR Declared due to CID -TA</v>
      </c>
      <c r="R3934" s="17" t="s">
        <v>35</v>
      </c>
      <c r="S3934" s="17" t="str">
        <f aca="false">VLOOKUP(R3934,Sheet2!N:O,2,0)</f>
        <v>IREPARABLE</v>
      </c>
      <c r="T3934" s="18" t="str">
        <f aca="false">VLOOKUP(P3934,Sheet2!Q:R,2,0)</f>
        <v>IR Normal - Track burn out</v>
      </c>
      <c r="U3934" s="20" t="s">
        <v>41</v>
      </c>
      <c r="V3934" s="17"/>
      <c r="W3934" s="20" t="e">
        <f aca="false">VLOOKUP(V3934,Sheet2!Q:R,2,0)</f>
        <v>#N/A</v>
      </c>
      <c r="X3934" s="17" t="n">
        <f aca="false">J3934</f>
        <v>0</v>
      </c>
      <c r="Y3934" s="17" t="e">
        <f aca="false">VLOOKUP(X3934,Sheet2!A:B,2,0)</f>
        <v>#N/A</v>
      </c>
      <c r="Z3934" s="17"/>
      <c r="AA3934" s="17"/>
      <c r="AB3934" s="17" t="s">
        <v>41</v>
      </c>
      <c r="AC3934" s="0" t="str">
        <f aca="false">LEFT(G3934,2)</f>
        <v/>
      </c>
      <c r="AE3934" s="0"/>
    </row>
    <row r="3935" customFormat="false" ht="15" hidden="false" customHeight="false" outlineLevel="0" collapsed="false">
      <c r="A3935" s="13" t="n">
        <f aca="false">1+A3934</f>
        <v>3933</v>
      </c>
      <c r="B3935" s="14" t="n">
        <v>100</v>
      </c>
      <c r="C3935" s="15"/>
      <c r="D3935" s="16" t="s">
        <v>64</v>
      </c>
      <c r="E3935" s="17" t="s">
        <v>47</v>
      </c>
      <c r="F3935" s="18" t="s">
        <v>34</v>
      </c>
      <c r="G3935" s="19"/>
      <c r="H3935" s="17" t="s">
        <v>35</v>
      </c>
      <c r="I3935" s="17" t="s">
        <v>44</v>
      </c>
      <c r="J3935" s="17"/>
      <c r="K3935" s="17" t="e">
        <f aca="false">VLOOKUP(J3935,Sheet2!A:B,2,0)</f>
        <v>#N/A</v>
      </c>
      <c r="L3935" s="17" t="n">
        <v>5</v>
      </c>
      <c r="M3935" s="17" t="str">
        <f aca="false">VLOOKUP(L3935,Sheet2!D:E,2,0)</f>
        <v>Main Processor CPU BGA</v>
      </c>
      <c r="N3935" s="17" t="n">
        <v>1</v>
      </c>
      <c r="O3935" s="17" t="str">
        <f aca="false">VLOOKUP(N3935,Sheet2!G:H,2,0)</f>
        <v>Dead</v>
      </c>
      <c r="P3935" s="17" t="n">
        <v>11</v>
      </c>
      <c r="Q3935" s="17" t="str">
        <f aca="false">VLOOKUP(P3935,Sheet2!J:K,2,0)</f>
        <v>IR Declared due to CID -TA</v>
      </c>
      <c r="R3935" s="17" t="s">
        <v>35</v>
      </c>
      <c r="S3935" s="17" t="str">
        <f aca="false">VLOOKUP(R3935,Sheet2!N:O,2,0)</f>
        <v>IREPARABLE</v>
      </c>
      <c r="T3935" s="18" t="str">
        <f aca="false">VLOOKUP(P3935,Sheet2!Q:R,2,0)</f>
        <v>IR Normal - Track burn out</v>
      </c>
      <c r="U3935" s="20" t="s">
        <v>41</v>
      </c>
      <c r="V3935" s="17"/>
      <c r="W3935" s="20" t="e">
        <f aca="false">VLOOKUP(V3935,Sheet2!Q:R,2,0)</f>
        <v>#N/A</v>
      </c>
      <c r="X3935" s="17" t="n">
        <f aca="false">J3935</f>
        <v>0</v>
      </c>
      <c r="Y3935" s="17" t="e">
        <f aca="false">VLOOKUP(X3935,Sheet2!A:B,2,0)</f>
        <v>#N/A</v>
      </c>
      <c r="Z3935" s="17"/>
      <c r="AA3935" s="17"/>
      <c r="AB3935" s="17" t="s">
        <v>41</v>
      </c>
      <c r="AC3935" s="0" t="str">
        <f aca="false">LEFT(G3935,2)</f>
        <v/>
      </c>
      <c r="AE3935" s="0"/>
    </row>
    <row r="3936" customFormat="false" ht="15" hidden="false" customHeight="false" outlineLevel="0" collapsed="false">
      <c r="A3936" s="13" t="n">
        <f aca="false">1+A3935</f>
        <v>3934</v>
      </c>
      <c r="B3936" s="14" t="n">
        <v>100</v>
      </c>
      <c r="C3936" s="15"/>
      <c r="D3936" s="16" t="s">
        <v>64</v>
      </c>
      <c r="E3936" s="17" t="s">
        <v>47</v>
      </c>
      <c r="F3936" s="18" t="s">
        <v>34</v>
      </c>
      <c r="G3936" s="19"/>
      <c r="H3936" s="17" t="s">
        <v>35</v>
      </c>
      <c r="I3936" s="17" t="s">
        <v>44</v>
      </c>
      <c r="J3936" s="17"/>
      <c r="K3936" s="17" t="e">
        <f aca="false">VLOOKUP(J3936,Sheet2!A:B,2,0)</f>
        <v>#N/A</v>
      </c>
      <c r="L3936" s="17" t="n">
        <v>5</v>
      </c>
      <c r="M3936" s="17" t="str">
        <f aca="false">VLOOKUP(L3936,Sheet2!D:E,2,0)</f>
        <v>Main Processor CPU BGA</v>
      </c>
      <c r="N3936" s="17" t="n">
        <v>1</v>
      </c>
      <c r="O3936" s="17" t="str">
        <f aca="false">VLOOKUP(N3936,Sheet2!G:H,2,0)</f>
        <v>Dead</v>
      </c>
      <c r="P3936" s="17" t="n">
        <v>11</v>
      </c>
      <c r="Q3936" s="17" t="str">
        <f aca="false">VLOOKUP(P3936,Sheet2!J:K,2,0)</f>
        <v>IR Declared due to CID -TA</v>
      </c>
      <c r="R3936" s="17" t="s">
        <v>35</v>
      </c>
      <c r="S3936" s="17" t="str">
        <f aca="false">VLOOKUP(R3936,Sheet2!N:O,2,0)</f>
        <v>IREPARABLE</v>
      </c>
      <c r="T3936" s="18" t="str">
        <f aca="false">VLOOKUP(P3936,Sheet2!Q:R,2,0)</f>
        <v>IR Normal - Track burn out</v>
      </c>
      <c r="U3936" s="20" t="s">
        <v>41</v>
      </c>
      <c r="V3936" s="17"/>
      <c r="W3936" s="20" t="e">
        <f aca="false">VLOOKUP(V3936,Sheet2!Q:R,2,0)</f>
        <v>#N/A</v>
      </c>
      <c r="X3936" s="17" t="n">
        <f aca="false">J3936</f>
        <v>0</v>
      </c>
      <c r="Y3936" s="17" t="e">
        <f aca="false">VLOOKUP(X3936,Sheet2!A:B,2,0)</f>
        <v>#N/A</v>
      </c>
      <c r="Z3936" s="17"/>
      <c r="AA3936" s="17"/>
      <c r="AB3936" s="17" t="s">
        <v>41</v>
      </c>
      <c r="AC3936" s="0" t="str">
        <f aca="false">LEFT(G3936,2)</f>
        <v/>
      </c>
      <c r="AE3936" s="0"/>
    </row>
    <row r="3937" customFormat="false" ht="15" hidden="false" customHeight="false" outlineLevel="0" collapsed="false">
      <c r="A3937" s="13" t="n">
        <f aca="false">1+A3936</f>
        <v>3935</v>
      </c>
      <c r="B3937" s="14" t="n">
        <v>100</v>
      </c>
      <c r="C3937" s="15"/>
      <c r="D3937" s="16" t="s">
        <v>64</v>
      </c>
      <c r="E3937" s="17" t="s">
        <v>47</v>
      </c>
      <c r="F3937" s="18" t="s">
        <v>34</v>
      </c>
      <c r="G3937" s="19"/>
      <c r="H3937" s="17" t="s">
        <v>35</v>
      </c>
      <c r="I3937" s="17" t="s">
        <v>44</v>
      </c>
      <c r="J3937" s="17"/>
      <c r="K3937" s="17" t="e">
        <f aca="false">VLOOKUP(J3937,Sheet2!A:B,2,0)</f>
        <v>#N/A</v>
      </c>
      <c r="L3937" s="17" t="n">
        <v>5</v>
      </c>
      <c r="M3937" s="17" t="str">
        <f aca="false">VLOOKUP(L3937,Sheet2!D:E,2,0)</f>
        <v>Main Processor CPU BGA</v>
      </c>
      <c r="N3937" s="17" t="n">
        <v>1</v>
      </c>
      <c r="O3937" s="17" t="str">
        <f aca="false">VLOOKUP(N3937,Sheet2!G:H,2,0)</f>
        <v>Dead</v>
      </c>
      <c r="P3937" s="17" t="n">
        <v>11</v>
      </c>
      <c r="Q3937" s="17" t="str">
        <f aca="false">VLOOKUP(P3937,Sheet2!J:K,2,0)</f>
        <v>IR Declared due to CID -TA</v>
      </c>
      <c r="R3937" s="17" t="s">
        <v>35</v>
      </c>
      <c r="S3937" s="17" t="str">
        <f aca="false">VLOOKUP(R3937,Sheet2!N:O,2,0)</f>
        <v>IREPARABLE</v>
      </c>
      <c r="T3937" s="18" t="str">
        <f aca="false">VLOOKUP(P3937,Sheet2!Q:R,2,0)</f>
        <v>IR Normal - Track burn out</v>
      </c>
      <c r="U3937" s="20" t="s">
        <v>41</v>
      </c>
      <c r="V3937" s="17"/>
      <c r="W3937" s="20" t="e">
        <f aca="false">VLOOKUP(V3937,Sheet2!Q:R,2,0)</f>
        <v>#N/A</v>
      </c>
      <c r="X3937" s="17" t="n">
        <f aca="false">J3937</f>
        <v>0</v>
      </c>
      <c r="Y3937" s="17" t="e">
        <f aca="false">VLOOKUP(X3937,Sheet2!A:B,2,0)</f>
        <v>#N/A</v>
      </c>
      <c r="Z3937" s="17"/>
      <c r="AA3937" s="17"/>
      <c r="AB3937" s="17" t="s">
        <v>41</v>
      </c>
      <c r="AC3937" s="0" t="str">
        <f aca="false">LEFT(G3937,2)</f>
        <v/>
      </c>
      <c r="AE3937" s="0"/>
    </row>
    <row r="3938" customFormat="false" ht="15" hidden="false" customHeight="false" outlineLevel="0" collapsed="false">
      <c r="A3938" s="13" t="n">
        <f aca="false">1+A3937</f>
        <v>3936</v>
      </c>
      <c r="B3938" s="14" t="n">
        <v>100</v>
      </c>
      <c r="C3938" s="15"/>
      <c r="D3938" s="16" t="s">
        <v>64</v>
      </c>
      <c r="E3938" s="17" t="s">
        <v>47</v>
      </c>
      <c r="F3938" s="18" t="s">
        <v>34</v>
      </c>
      <c r="G3938" s="19"/>
      <c r="H3938" s="17" t="s">
        <v>35</v>
      </c>
      <c r="I3938" s="17" t="s">
        <v>44</v>
      </c>
      <c r="J3938" s="17"/>
      <c r="K3938" s="17" t="e">
        <f aca="false">VLOOKUP(J3938,Sheet2!A:B,2,0)</f>
        <v>#N/A</v>
      </c>
      <c r="L3938" s="17" t="n">
        <v>5</v>
      </c>
      <c r="M3938" s="17" t="str">
        <f aca="false">VLOOKUP(L3938,Sheet2!D:E,2,0)</f>
        <v>Main Processor CPU BGA</v>
      </c>
      <c r="N3938" s="17" t="n">
        <v>1</v>
      </c>
      <c r="O3938" s="17" t="str">
        <f aca="false">VLOOKUP(N3938,Sheet2!G:H,2,0)</f>
        <v>Dead</v>
      </c>
      <c r="P3938" s="17" t="n">
        <v>11</v>
      </c>
      <c r="Q3938" s="17" t="str">
        <f aca="false">VLOOKUP(P3938,Sheet2!J:K,2,0)</f>
        <v>IR Declared due to CID -TA</v>
      </c>
      <c r="R3938" s="17" t="s">
        <v>35</v>
      </c>
      <c r="S3938" s="17" t="str">
        <f aca="false">VLOOKUP(R3938,Sheet2!N:O,2,0)</f>
        <v>IREPARABLE</v>
      </c>
      <c r="T3938" s="18" t="str">
        <f aca="false">VLOOKUP(P3938,Sheet2!Q:R,2,0)</f>
        <v>IR Normal - Track burn out</v>
      </c>
      <c r="U3938" s="20" t="s">
        <v>41</v>
      </c>
      <c r="V3938" s="17"/>
      <c r="W3938" s="20" t="e">
        <f aca="false">VLOOKUP(V3938,Sheet2!Q:R,2,0)</f>
        <v>#N/A</v>
      </c>
      <c r="X3938" s="17" t="n">
        <f aca="false">J3938</f>
        <v>0</v>
      </c>
      <c r="Y3938" s="17" t="e">
        <f aca="false">VLOOKUP(X3938,Sheet2!A:B,2,0)</f>
        <v>#N/A</v>
      </c>
      <c r="Z3938" s="17"/>
      <c r="AA3938" s="17"/>
      <c r="AB3938" s="17" t="s">
        <v>41</v>
      </c>
      <c r="AC3938" s="0" t="str">
        <f aca="false">LEFT(G3938,2)</f>
        <v/>
      </c>
      <c r="AE3938" s="0"/>
    </row>
    <row r="3939" customFormat="false" ht="15" hidden="false" customHeight="false" outlineLevel="0" collapsed="false">
      <c r="A3939" s="13" t="n">
        <f aca="false">1+A3938</f>
        <v>3937</v>
      </c>
      <c r="B3939" s="14" t="n">
        <v>100</v>
      </c>
      <c r="C3939" s="15"/>
      <c r="D3939" s="16" t="s">
        <v>64</v>
      </c>
      <c r="E3939" s="17" t="s">
        <v>47</v>
      </c>
      <c r="F3939" s="18" t="s">
        <v>34</v>
      </c>
      <c r="G3939" s="19"/>
      <c r="H3939" s="17" t="s">
        <v>35</v>
      </c>
      <c r="I3939" s="17" t="s">
        <v>44</v>
      </c>
      <c r="J3939" s="17"/>
      <c r="K3939" s="17" t="e">
        <f aca="false">VLOOKUP(J3939,Sheet2!A:B,2,0)</f>
        <v>#N/A</v>
      </c>
      <c r="L3939" s="17" t="n">
        <v>5</v>
      </c>
      <c r="M3939" s="17" t="str">
        <f aca="false">VLOOKUP(L3939,Sheet2!D:E,2,0)</f>
        <v>Main Processor CPU BGA</v>
      </c>
      <c r="N3939" s="17" t="n">
        <v>1</v>
      </c>
      <c r="O3939" s="17" t="str">
        <f aca="false">VLOOKUP(N3939,Sheet2!G:H,2,0)</f>
        <v>Dead</v>
      </c>
      <c r="P3939" s="17" t="n">
        <v>11</v>
      </c>
      <c r="Q3939" s="17" t="str">
        <f aca="false">VLOOKUP(P3939,Sheet2!J:K,2,0)</f>
        <v>IR Declared due to CID -TA</v>
      </c>
      <c r="R3939" s="17" t="s">
        <v>35</v>
      </c>
      <c r="S3939" s="17" t="str">
        <f aca="false">VLOOKUP(R3939,Sheet2!N:O,2,0)</f>
        <v>IREPARABLE</v>
      </c>
      <c r="T3939" s="18" t="str">
        <f aca="false">VLOOKUP(P3939,Sheet2!Q:R,2,0)</f>
        <v>IR Normal - Track burn out</v>
      </c>
      <c r="U3939" s="20" t="s">
        <v>41</v>
      </c>
      <c r="V3939" s="17"/>
      <c r="W3939" s="20" t="e">
        <f aca="false">VLOOKUP(V3939,Sheet2!Q:R,2,0)</f>
        <v>#N/A</v>
      </c>
      <c r="X3939" s="17" t="n">
        <f aca="false">J3939</f>
        <v>0</v>
      </c>
      <c r="Y3939" s="17" t="e">
        <f aca="false">VLOOKUP(X3939,Sheet2!A:B,2,0)</f>
        <v>#N/A</v>
      </c>
      <c r="Z3939" s="17"/>
      <c r="AA3939" s="17"/>
      <c r="AB3939" s="17" t="s">
        <v>41</v>
      </c>
      <c r="AC3939" s="0" t="str">
        <f aca="false">LEFT(G3939,2)</f>
        <v/>
      </c>
      <c r="AE3939" s="0"/>
    </row>
    <row r="3940" customFormat="false" ht="15" hidden="false" customHeight="false" outlineLevel="0" collapsed="false">
      <c r="A3940" s="13" t="n">
        <f aca="false">1+A3939</f>
        <v>3938</v>
      </c>
      <c r="B3940" s="14" t="n">
        <v>100</v>
      </c>
      <c r="C3940" s="15"/>
      <c r="D3940" s="16" t="s">
        <v>64</v>
      </c>
      <c r="E3940" s="17" t="s">
        <v>47</v>
      </c>
      <c r="F3940" s="18" t="s">
        <v>34</v>
      </c>
      <c r="G3940" s="19"/>
      <c r="H3940" s="17" t="s">
        <v>35</v>
      </c>
      <c r="I3940" s="17" t="s">
        <v>44</v>
      </c>
      <c r="J3940" s="17"/>
      <c r="K3940" s="17" t="e">
        <f aca="false">VLOOKUP(J3940,Sheet2!A:B,2,0)</f>
        <v>#N/A</v>
      </c>
      <c r="L3940" s="17" t="n">
        <v>5</v>
      </c>
      <c r="M3940" s="17" t="str">
        <f aca="false">VLOOKUP(L3940,Sheet2!D:E,2,0)</f>
        <v>Main Processor CPU BGA</v>
      </c>
      <c r="N3940" s="17" t="n">
        <v>1</v>
      </c>
      <c r="O3940" s="17" t="str">
        <f aca="false">VLOOKUP(N3940,Sheet2!G:H,2,0)</f>
        <v>Dead</v>
      </c>
      <c r="P3940" s="17" t="n">
        <v>11</v>
      </c>
      <c r="Q3940" s="17" t="str">
        <f aca="false">VLOOKUP(P3940,Sheet2!J:K,2,0)</f>
        <v>IR Declared due to CID -TA</v>
      </c>
      <c r="R3940" s="17" t="s">
        <v>35</v>
      </c>
      <c r="S3940" s="17" t="str">
        <f aca="false">VLOOKUP(R3940,Sheet2!N:O,2,0)</f>
        <v>IREPARABLE</v>
      </c>
      <c r="T3940" s="18" t="str">
        <f aca="false">VLOOKUP(P3940,Sheet2!Q:R,2,0)</f>
        <v>IR Normal - Track burn out</v>
      </c>
      <c r="U3940" s="20" t="s">
        <v>41</v>
      </c>
      <c r="V3940" s="17"/>
      <c r="W3940" s="20" t="e">
        <f aca="false">VLOOKUP(V3940,Sheet2!Q:R,2,0)</f>
        <v>#N/A</v>
      </c>
      <c r="X3940" s="17" t="n">
        <f aca="false">J3940</f>
        <v>0</v>
      </c>
      <c r="Y3940" s="17" t="e">
        <f aca="false">VLOOKUP(X3940,Sheet2!A:B,2,0)</f>
        <v>#N/A</v>
      </c>
      <c r="Z3940" s="17"/>
      <c r="AA3940" s="17"/>
      <c r="AB3940" s="17" t="s">
        <v>41</v>
      </c>
      <c r="AC3940" s="0" t="str">
        <f aca="false">LEFT(G3940,2)</f>
        <v/>
      </c>
      <c r="AE3940" s="0"/>
    </row>
    <row r="3941" customFormat="false" ht="15" hidden="false" customHeight="false" outlineLevel="0" collapsed="false">
      <c r="A3941" s="13" t="n">
        <f aca="false">1+A3940</f>
        <v>3939</v>
      </c>
      <c r="B3941" s="14" t="n">
        <v>100</v>
      </c>
      <c r="C3941" s="15"/>
      <c r="D3941" s="16" t="s">
        <v>64</v>
      </c>
      <c r="E3941" s="17" t="s">
        <v>47</v>
      </c>
      <c r="F3941" s="18" t="s">
        <v>34</v>
      </c>
      <c r="G3941" s="19"/>
      <c r="H3941" s="17" t="s">
        <v>35</v>
      </c>
      <c r="I3941" s="17" t="s">
        <v>44</v>
      </c>
      <c r="J3941" s="17"/>
      <c r="K3941" s="17" t="e">
        <f aca="false">VLOOKUP(J3941,Sheet2!A:B,2,0)</f>
        <v>#N/A</v>
      </c>
      <c r="L3941" s="17" t="n">
        <v>5</v>
      </c>
      <c r="M3941" s="17" t="str">
        <f aca="false">VLOOKUP(L3941,Sheet2!D:E,2,0)</f>
        <v>Main Processor CPU BGA</v>
      </c>
      <c r="N3941" s="17" t="n">
        <v>1</v>
      </c>
      <c r="O3941" s="17" t="str">
        <f aca="false">VLOOKUP(N3941,Sheet2!G:H,2,0)</f>
        <v>Dead</v>
      </c>
      <c r="P3941" s="17" t="n">
        <v>11</v>
      </c>
      <c r="Q3941" s="17" t="str">
        <f aca="false">VLOOKUP(P3941,Sheet2!J:K,2,0)</f>
        <v>IR Declared due to CID -TA</v>
      </c>
      <c r="R3941" s="17" t="s">
        <v>35</v>
      </c>
      <c r="S3941" s="17" t="str">
        <f aca="false">VLOOKUP(R3941,Sheet2!N:O,2,0)</f>
        <v>IREPARABLE</v>
      </c>
      <c r="T3941" s="18" t="str">
        <f aca="false">VLOOKUP(P3941,Sheet2!Q:R,2,0)</f>
        <v>IR Normal - Track burn out</v>
      </c>
      <c r="U3941" s="20" t="s">
        <v>41</v>
      </c>
      <c r="V3941" s="17"/>
      <c r="W3941" s="20" t="e">
        <f aca="false">VLOOKUP(V3941,Sheet2!Q:R,2,0)</f>
        <v>#N/A</v>
      </c>
      <c r="X3941" s="17" t="n">
        <f aca="false">J3941</f>
        <v>0</v>
      </c>
      <c r="Y3941" s="17" t="e">
        <f aca="false">VLOOKUP(X3941,Sheet2!A:B,2,0)</f>
        <v>#N/A</v>
      </c>
      <c r="Z3941" s="17"/>
      <c r="AA3941" s="17"/>
      <c r="AB3941" s="17" t="s">
        <v>41</v>
      </c>
      <c r="AC3941" s="0" t="str">
        <f aca="false">LEFT(G3941,2)</f>
        <v/>
      </c>
      <c r="AE3941" s="0"/>
    </row>
    <row r="3942" customFormat="false" ht="15" hidden="false" customHeight="false" outlineLevel="0" collapsed="false">
      <c r="A3942" s="13" t="n">
        <f aca="false">1+A3941</f>
        <v>3940</v>
      </c>
      <c r="B3942" s="14" t="n">
        <v>100</v>
      </c>
      <c r="C3942" s="15"/>
      <c r="D3942" s="16" t="s">
        <v>64</v>
      </c>
      <c r="E3942" s="17" t="s">
        <v>47</v>
      </c>
      <c r="F3942" s="18" t="s">
        <v>34</v>
      </c>
      <c r="G3942" s="19"/>
      <c r="H3942" s="17" t="s">
        <v>35</v>
      </c>
      <c r="I3942" s="17" t="s">
        <v>44</v>
      </c>
      <c r="J3942" s="17"/>
      <c r="K3942" s="17" t="e">
        <f aca="false">VLOOKUP(J3942,Sheet2!A:B,2,0)</f>
        <v>#N/A</v>
      </c>
      <c r="L3942" s="17" t="n">
        <v>5</v>
      </c>
      <c r="M3942" s="17" t="str">
        <f aca="false">VLOOKUP(L3942,Sheet2!D:E,2,0)</f>
        <v>Main Processor CPU BGA</v>
      </c>
      <c r="N3942" s="17" t="n">
        <v>1</v>
      </c>
      <c r="O3942" s="17" t="str">
        <f aca="false">VLOOKUP(N3942,Sheet2!G:H,2,0)</f>
        <v>Dead</v>
      </c>
      <c r="P3942" s="17" t="n">
        <v>11</v>
      </c>
      <c r="Q3942" s="17" t="str">
        <f aca="false">VLOOKUP(P3942,Sheet2!J:K,2,0)</f>
        <v>IR Declared due to CID -TA</v>
      </c>
      <c r="R3942" s="17" t="s">
        <v>35</v>
      </c>
      <c r="S3942" s="17" t="str">
        <f aca="false">VLOOKUP(R3942,Sheet2!N:O,2,0)</f>
        <v>IREPARABLE</v>
      </c>
      <c r="T3942" s="18" t="str">
        <f aca="false">VLOOKUP(P3942,Sheet2!Q:R,2,0)</f>
        <v>IR Normal - Track burn out</v>
      </c>
      <c r="U3942" s="20" t="s">
        <v>41</v>
      </c>
      <c r="V3942" s="17"/>
      <c r="W3942" s="20" t="e">
        <f aca="false">VLOOKUP(V3942,Sheet2!Q:R,2,0)</f>
        <v>#N/A</v>
      </c>
      <c r="X3942" s="17" t="n">
        <f aca="false">J3942</f>
        <v>0</v>
      </c>
      <c r="Y3942" s="17" t="e">
        <f aca="false">VLOOKUP(X3942,Sheet2!A:B,2,0)</f>
        <v>#N/A</v>
      </c>
      <c r="Z3942" s="17"/>
      <c r="AA3942" s="17"/>
      <c r="AB3942" s="17" t="s">
        <v>41</v>
      </c>
      <c r="AC3942" s="0" t="str">
        <f aca="false">LEFT(G3942,2)</f>
        <v/>
      </c>
      <c r="AE3942" s="0"/>
    </row>
    <row r="3943" customFormat="false" ht="15" hidden="false" customHeight="false" outlineLevel="0" collapsed="false">
      <c r="A3943" s="13" t="n">
        <f aca="false">1+A3942</f>
        <v>3941</v>
      </c>
      <c r="B3943" s="14" t="n">
        <v>100</v>
      </c>
      <c r="C3943" s="15"/>
      <c r="D3943" s="16" t="s">
        <v>64</v>
      </c>
      <c r="E3943" s="17" t="s">
        <v>47</v>
      </c>
      <c r="F3943" s="18" t="s">
        <v>34</v>
      </c>
      <c r="G3943" s="19"/>
      <c r="H3943" s="17" t="s">
        <v>35</v>
      </c>
      <c r="I3943" s="17" t="s">
        <v>44</v>
      </c>
      <c r="J3943" s="17"/>
      <c r="K3943" s="17" t="e">
        <f aca="false">VLOOKUP(J3943,Sheet2!A:B,2,0)</f>
        <v>#N/A</v>
      </c>
      <c r="L3943" s="17" t="n">
        <v>5</v>
      </c>
      <c r="M3943" s="17" t="str">
        <f aca="false">VLOOKUP(L3943,Sheet2!D:E,2,0)</f>
        <v>Main Processor CPU BGA</v>
      </c>
      <c r="N3943" s="17" t="n">
        <v>1</v>
      </c>
      <c r="O3943" s="17" t="str">
        <f aca="false">VLOOKUP(N3943,Sheet2!G:H,2,0)</f>
        <v>Dead</v>
      </c>
      <c r="P3943" s="17" t="n">
        <v>11</v>
      </c>
      <c r="Q3943" s="17" t="str">
        <f aca="false">VLOOKUP(P3943,Sheet2!J:K,2,0)</f>
        <v>IR Declared due to CID -TA</v>
      </c>
      <c r="R3943" s="17" t="s">
        <v>35</v>
      </c>
      <c r="S3943" s="17" t="str">
        <f aca="false">VLOOKUP(R3943,Sheet2!N:O,2,0)</f>
        <v>IREPARABLE</v>
      </c>
      <c r="T3943" s="18" t="str">
        <f aca="false">VLOOKUP(P3943,Sheet2!Q:R,2,0)</f>
        <v>IR Normal - Track burn out</v>
      </c>
      <c r="U3943" s="20" t="s">
        <v>41</v>
      </c>
      <c r="V3943" s="17"/>
      <c r="W3943" s="20" t="e">
        <f aca="false">VLOOKUP(V3943,Sheet2!Q:R,2,0)</f>
        <v>#N/A</v>
      </c>
      <c r="X3943" s="17" t="n">
        <f aca="false">J3943</f>
        <v>0</v>
      </c>
      <c r="Y3943" s="17" t="e">
        <f aca="false">VLOOKUP(X3943,Sheet2!A:B,2,0)</f>
        <v>#N/A</v>
      </c>
      <c r="Z3943" s="17"/>
      <c r="AA3943" s="17"/>
      <c r="AB3943" s="17" t="s">
        <v>41</v>
      </c>
      <c r="AC3943" s="0" t="str">
        <f aca="false">LEFT(G3943,2)</f>
        <v/>
      </c>
      <c r="AE3943" s="0"/>
    </row>
    <row r="3944" customFormat="false" ht="15" hidden="false" customHeight="false" outlineLevel="0" collapsed="false">
      <c r="A3944" s="13" t="n">
        <f aca="false">1+A3943</f>
        <v>3942</v>
      </c>
      <c r="B3944" s="14" t="n">
        <v>100</v>
      </c>
      <c r="C3944" s="15"/>
      <c r="D3944" s="16" t="s">
        <v>64</v>
      </c>
      <c r="E3944" s="17" t="s">
        <v>47</v>
      </c>
      <c r="F3944" s="18" t="s">
        <v>34</v>
      </c>
      <c r="G3944" s="19"/>
      <c r="H3944" s="17" t="s">
        <v>35</v>
      </c>
      <c r="I3944" s="17" t="s">
        <v>44</v>
      </c>
      <c r="J3944" s="17"/>
      <c r="K3944" s="17" t="e">
        <f aca="false">VLOOKUP(J3944,Sheet2!A:B,2,0)</f>
        <v>#N/A</v>
      </c>
      <c r="L3944" s="17" t="n">
        <v>5</v>
      </c>
      <c r="M3944" s="17" t="str">
        <f aca="false">VLOOKUP(L3944,Sheet2!D:E,2,0)</f>
        <v>Main Processor CPU BGA</v>
      </c>
      <c r="N3944" s="17" t="n">
        <v>1</v>
      </c>
      <c r="O3944" s="17" t="str">
        <f aca="false">VLOOKUP(N3944,Sheet2!G:H,2,0)</f>
        <v>Dead</v>
      </c>
      <c r="P3944" s="17" t="n">
        <v>11</v>
      </c>
      <c r="Q3944" s="17" t="str">
        <f aca="false">VLOOKUP(P3944,Sheet2!J:K,2,0)</f>
        <v>IR Declared due to CID -TA</v>
      </c>
      <c r="R3944" s="17" t="s">
        <v>35</v>
      </c>
      <c r="S3944" s="17" t="str">
        <f aca="false">VLOOKUP(R3944,Sheet2!N:O,2,0)</f>
        <v>IREPARABLE</v>
      </c>
      <c r="T3944" s="18" t="str">
        <f aca="false">VLOOKUP(P3944,Sheet2!Q:R,2,0)</f>
        <v>IR Normal - Track burn out</v>
      </c>
      <c r="U3944" s="20" t="s">
        <v>41</v>
      </c>
      <c r="V3944" s="17"/>
      <c r="W3944" s="20" t="e">
        <f aca="false">VLOOKUP(V3944,Sheet2!Q:R,2,0)</f>
        <v>#N/A</v>
      </c>
      <c r="X3944" s="17" t="n">
        <f aca="false">J3944</f>
        <v>0</v>
      </c>
      <c r="Y3944" s="17" t="e">
        <f aca="false">VLOOKUP(X3944,Sheet2!A:B,2,0)</f>
        <v>#N/A</v>
      </c>
      <c r="Z3944" s="17"/>
      <c r="AA3944" s="17"/>
      <c r="AB3944" s="17" t="s">
        <v>41</v>
      </c>
      <c r="AC3944" s="0" t="str">
        <f aca="false">LEFT(G3944,2)</f>
        <v/>
      </c>
      <c r="AE3944" s="0"/>
    </row>
    <row r="3945" customFormat="false" ht="15" hidden="false" customHeight="false" outlineLevel="0" collapsed="false">
      <c r="A3945" s="13" t="n">
        <f aca="false">1+A3944</f>
        <v>3943</v>
      </c>
      <c r="B3945" s="14" t="n">
        <v>100</v>
      </c>
      <c r="C3945" s="15"/>
      <c r="D3945" s="16" t="s">
        <v>64</v>
      </c>
      <c r="E3945" s="17" t="s">
        <v>47</v>
      </c>
      <c r="F3945" s="18" t="s">
        <v>34</v>
      </c>
      <c r="G3945" s="19"/>
      <c r="H3945" s="17" t="s">
        <v>35</v>
      </c>
      <c r="I3945" s="17" t="s">
        <v>44</v>
      </c>
      <c r="J3945" s="17"/>
      <c r="K3945" s="17" t="e">
        <f aca="false">VLOOKUP(J3945,Sheet2!A:B,2,0)</f>
        <v>#N/A</v>
      </c>
      <c r="L3945" s="17" t="n">
        <v>5</v>
      </c>
      <c r="M3945" s="17" t="str">
        <f aca="false">VLOOKUP(L3945,Sheet2!D:E,2,0)</f>
        <v>Main Processor CPU BGA</v>
      </c>
      <c r="N3945" s="17" t="n">
        <v>1</v>
      </c>
      <c r="O3945" s="17" t="str">
        <f aca="false">VLOOKUP(N3945,Sheet2!G:H,2,0)</f>
        <v>Dead</v>
      </c>
      <c r="P3945" s="17" t="n">
        <v>11</v>
      </c>
      <c r="Q3945" s="17" t="str">
        <f aca="false">VLOOKUP(P3945,Sheet2!J:K,2,0)</f>
        <v>IR Declared due to CID -TA</v>
      </c>
      <c r="R3945" s="17" t="s">
        <v>35</v>
      </c>
      <c r="S3945" s="17" t="str">
        <f aca="false">VLOOKUP(R3945,Sheet2!N:O,2,0)</f>
        <v>IREPARABLE</v>
      </c>
      <c r="T3945" s="18" t="str">
        <f aca="false">VLOOKUP(P3945,Sheet2!Q:R,2,0)</f>
        <v>IR Normal - Track burn out</v>
      </c>
      <c r="U3945" s="20" t="s">
        <v>41</v>
      </c>
      <c r="V3945" s="17"/>
      <c r="W3945" s="20" t="e">
        <f aca="false">VLOOKUP(V3945,Sheet2!Q:R,2,0)</f>
        <v>#N/A</v>
      </c>
      <c r="X3945" s="17" t="n">
        <f aca="false">J3945</f>
        <v>0</v>
      </c>
      <c r="Y3945" s="17" t="e">
        <f aca="false">VLOOKUP(X3945,Sheet2!A:B,2,0)</f>
        <v>#N/A</v>
      </c>
      <c r="Z3945" s="17"/>
      <c r="AA3945" s="17"/>
      <c r="AB3945" s="17" t="s">
        <v>41</v>
      </c>
      <c r="AC3945" s="0" t="str">
        <f aca="false">LEFT(G3945,2)</f>
        <v/>
      </c>
      <c r="AE3945" s="0"/>
    </row>
    <row r="3946" customFormat="false" ht="15" hidden="false" customHeight="false" outlineLevel="0" collapsed="false">
      <c r="A3946" s="13" t="n">
        <f aca="false">1+A3945</f>
        <v>3944</v>
      </c>
      <c r="B3946" s="14" t="n">
        <v>100</v>
      </c>
      <c r="C3946" s="15"/>
      <c r="D3946" s="16" t="s">
        <v>64</v>
      </c>
      <c r="E3946" s="17" t="s">
        <v>47</v>
      </c>
      <c r="F3946" s="18" t="s">
        <v>34</v>
      </c>
      <c r="G3946" s="19"/>
      <c r="H3946" s="17" t="s">
        <v>35</v>
      </c>
      <c r="I3946" s="17" t="s">
        <v>44</v>
      </c>
      <c r="J3946" s="17"/>
      <c r="K3946" s="17" t="e">
        <f aca="false">VLOOKUP(J3946,Sheet2!A:B,2,0)</f>
        <v>#N/A</v>
      </c>
      <c r="L3946" s="17" t="n">
        <v>5</v>
      </c>
      <c r="M3946" s="17" t="str">
        <f aca="false">VLOOKUP(L3946,Sheet2!D:E,2,0)</f>
        <v>Main Processor CPU BGA</v>
      </c>
      <c r="N3946" s="17" t="n">
        <v>1</v>
      </c>
      <c r="O3946" s="17" t="str">
        <f aca="false">VLOOKUP(N3946,Sheet2!G:H,2,0)</f>
        <v>Dead</v>
      </c>
      <c r="P3946" s="17" t="n">
        <v>11</v>
      </c>
      <c r="Q3946" s="17" t="str">
        <f aca="false">VLOOKUP(P3946,Sheet2!J:K,2,0)</f>
        <v>IR Declared due to CID -TA</v>
      </c>
      <c r="R3946" s="17" t="s">
        <v>35</v>
      </c>
      <c r="S3946" s="17" t="str">
        <f aca="false">VLOOKUP(R3946,Sheet2!N:O,2,0)</f>
        <v>IREPARABLE</v>
      </c>
      <c r="T3946" s="18" t="str">
        <f aca="false">VLOOKUP(P3946,Sheet2!Q:R,2,0)</f>
        <v>IR Normal - Track burn out</v>
      </c>
      <c r="U3946" s="20" t="s">
        <v>41</v>
      </c>
      <c r="V3946" s="17"/>
      <c r="W3946" s="20" t="e">
        <f aca="false">VLOOKUP(V3946,Sheet2!Q:R,2,0)</f>
        <v>#N/A</v>
      </c>
      <c r="X3946" s="17" t="n">
        <f aca="false">J3946</f>
        <v>0</v>
      </c>
      <c r="Y3946" s="17" t="e">
        <f aca="false">VLOOKUP(X3946,Sheet2!A:B,2,0)</f>
        <v>#N/A</v>
      </c>
      <c r="Z3946" s="17"/>
      <c r="AA3946" s="17"/>
      <c r="AB3946" s="17" t="s">
        <v>41</v>
      </c>
      <c r="AC3946" s="0" t="str">
        <f aca="false">LEFT(G3946,2)</f>
        <v/>
      </c>
      <c r="AE3946" s="0"/>
    </row>
    <row r="3947" customFormat="false" ht="15" hidden="false" customHeight="false" outlineLevel="0" collapsed="false">
      <c r="A3947" s="13" t="n">
        <f aca="false">1+A3946</f>
        <v>3945</v>
      </c>
      <c r="B3947" s="14" t="n">
        <v>100</v>
      </c>
      <c r="C3947" s="15"/>
      <c r="D3947" s="16" t="s">
        <v>64</v>
      </c>
      <c r="E3947" s="17" t="s">
        <v>47</v>
      </c>
      <c r="F3947" s="18" t="s">
        <v>34</v>
      </c>
      <c r="G3947" s="19"/>
      <c r="H3947" s="17" t="s">
        <v>35</v>
      </c>
      <c r="I3947" s="17" t="s">
        <v>44</v>
      </c>
      <c r="J3947" s="17"/>
      <c r="K3947" s="17" t="e">
        <f aca="false">VLOOKUP(J3947,Sheet2!A:B,2,0)</f>
        <v>#N/A</v>
      </c>
      <c r="L3947" s="17" t="n">
        <v>5</v>
      </c>
      <c r="M3947" s="17" t="str">
        <f aca="false">VLOOKUP(L3947,Sheet2!D:E,2,0)</f>
        <v>Main Processor CPU BGA</v>
      </c>
      <c r="N3947" s="17" t="n">
        <v>1</v>
      </c>
      <c r="O3947" s="17" t="str">
        <f aca="false">VLOOKUP(N3947,Sheet2!G:H,2,0)</f>
        <v>Dead</v>
      </c>
      <c r="P3947" s="17" t="n">
        <v>11</v>
      </c>
      <c r="Q3947" s="17" t="str">
        <f aca="false">VLOOKUP(P3947,Sheet2!J:K,2,0)</f>
        <v>IR Declared due to CID -TA</v>
      </c>
      <c r="R3947" s="17" t="s">
        <v>35</v>
      </c>
      <c r="S3947" s="17" t="str">
        <f aca="false">VLOOKUP(R3947,Sheet2!N:O,2,0)</f>
        <v>IREPARABLE</v>
      </c>
      <c r="T3947" s="18" t="str">
        <f aca="false">VLOOKUP(P3947,Sheet2!Q:R,2,0)</f>
        <v>IR Normal - Track burn out</v>
      </c>
      <c r="U3947" s="20" t="s">
        <v>41</v>
      </c>
      <c r="V3947" s="17"/>
      <c r="W3947" s="20" t="e">
        <f aca="false">VLOOKUP(V3947,Sheet2!Q:R,2,0)</f>
        <v>#N/A</v>
      </c>
      <c r="X3947" s="17" t="n">
        <f aca="false">J3947</f>
        <v>0</v>
      </c>
      <c r="Y3947" s="17" t="e">
        <f aca="false">VLOOKUP(X3947,Sheet2!A:B,2,0)</f>
        <v>#N/A</v>
      </c>
      <c r="Z3947" s="17"/>
      <c r="AA3947" s="17"/>
      <c r="AB3947" s="17" t="s">
        <v>41</v>
      </c>
      <c r="AC3947" s="0" t="str">
        <f aca="false">LEFT(G3947,2)</f>
        <v/>
      </c>
      <c r="AE3947" s="0"/>
    </row>
    <row r="3948" customFormat="false" ht="15" hidden="false" customHeight="false" outlineLevel="0" collapsed="false">
      <c r="A3948" s="13" t="n">
        <f aca="false">1+A3947</f>
        <v>3946</v>
      </c>
      <c r="B3948" s="14" t="n">
        <v>100</v>
      </c>
      <c r="C3948" s="15"/>
      <c r="D3948" s="16" t="s">
        <v>64</v>
      </c>
      <c r="E3948" s="17" t="s">
        <v>47</v>
      </c>
      <c r="F3948" s="18" t="s">
        <v>34</v>
      </c>
      <c r="G3948" s="19"/>
      <c r="H3948" s="17" t="s">
        <v>35</v>
      </c>
      <c r="I3948" s="17" t="s">
        <v>44</v>
      </c>
      <c r="J3948" s="17"/>
      <c r="K3948" s="17" t="e">
        <f aca="false">VLOOKUP(J3948,Sheet2!A:B,2,0)</f>
        <v>#N/A</v>
      </c>
      <c r="L3948" s="17" t="n">
        <v>5</v>
      </c>
      <c r="M3948" s="17" t="str">
        <f aca="false">VLOOKUP(L3948,Sheet2!D:E,2,0)</f>
        <v>Main Processor CPU BGA</v>
      </c>
      <c r="N3948" s="17" t="n">
        <v>1</v>
      </c>
      <c r="O3948" s="17" t="str">
        <f aca="false">VLOOKUP(N3948,Sheet2!G:H,2,0)</f>
        <v>Dead</v>
      </c>
      <c r="P3948" s="17" t="n">
        <v>11</v>
      </c>
      <c r="Q3948" s="17" t="str">
        <f aca="false">VLOOKUP(P3948,Sheet2!J:K,2,0)</f>
        <v>IR Declared due to CID -TA</v>
      </c>
      <c r="R3948" s="17" t="s">
        <v>35</v>
      </c>
      <c r="S3948" s="17" t="str">
        <f aca="false">VLOOKUP(R3948,Sheet2!N:O,2,0)</f>
        <v>IREPARABLE</v>
      </c>
      <c r="T3948" s="18" t="str">
        <f aca="false">VLOOKUP(P3948,Sheet2!Q:R,2,0)</f>
        <v>IR Normal - Track burn out</v>
      </c>
      <c r="U3948" s="20" t="s">
        <v>41</v>
      </c>
      <c r="V3948" s="17"/>
      <c r="W3948" s="20" t="e">
        <f aca="false">VLOOKUP(V3948,Sheet2!Q:R,2,0)</f>
        <v>#N/A</v>
      </c>
      <c r="X3948" s="17" t="n">
        <f aca="false">J3948</f>
        <v>0</v>
      </c>
      <c r="Y3948" s="17" t="e">
        <f aca="false">VLOOKUP(X3948,Sheet2!A:B,2,0)</f>
        <v>#N/A</v>
      </c>
      <c r="Z3948" s="17"/>
      <c r="AA3948" s="17"/>
      <c r="AB3948" s="17" t="s">
        <v>41</v>
      </c>
      <c r="AC3948" s="0" t="str">
        <f aca="false">LEFT(G3948,2)</f>
        <v/>
      </c>
      <c r="AE3948" s="0"/>
    </row>
    <row r="3949" customFormat="false" ht="15" hidden="false" customHeight="false" outlineLevel="0" collapsed="false">
      <c r="A3949" s="13" t="n">
        <f aca="false">1+A3948</f>
        <v>3947</v>
      </c>
      <c r="B3949" s="14" t="n">
        <v>100</v>
      </c>
      <c r="C3949" s="15"/>
      <c r="D3949" s="16" t="s">
        <v>64</v>
      </c>
      <c r="E3949" s="17" t="s">
        <v>47</v>
      </c>
      <c r="F3949" s="18" t="s">
        <v>34</v>
      </c>
      <c r="G3949" s="19"/>
      <c r="H3949" s="17" t="s">
        <v>35</v>
      </c>
      <c r="I3949" s="17" t="s">
        <v>44</v>
      </c>
      <c r="J3949" s="17"/>
      <c r="K3949" s="17" t="e">
        <f aca="false">VLOOKUP(J3949,Sheet2!A:B,2,0)</f>
        <v>#N/A</v>
      </c>
      <c r="L3949" s="17" t="n">
        <v>5</v>
      </c>
      <c r="M3949" s="17" t="str">
        <f aca="false">VLOOKUP(L3949,Sheet2!D:E,2,0)</f>
        <v>Main Processor CPU BGA</v>
      </c>
      <c r="N3949" s="17" t="n">
        <v>1</v>
      </c>
      <c r="O3949" s="17" t="str">
        <f aca="false">VLOOKUP(N3949,Sheet2!G:H,2,0)</f>
        <v>Dead</v>
      </c>
      <c r="P3949" s="17" t="n">
        <v>11</v>
      </c>
      <c r="Q3949" s="17" t="str">
        <f aca="false">VLOOKUP(P3949,Sheet2!J:K,2,0)</f>
        <v>IR Declared due to CID -TA</v>
      </c>
      <c r="R3949" s="17" t="s">
        <v>35</v>
      </c>
      <c r="S3949" s="17" t="str">
        <f aca="false">VLOOKUP(R3949,Sheet2!N:O,2,0)</f>
        <v>IREPARABLE</v>
      </c>
      <c r="T3949" s="18" t="str">
        <f aca="false">VLOOKUP(P3949,Sheet2!Q:R,2,0)</f>
        <v>IR Normal - Track burn out</v>
      </c>
      <c r="U3949" s="20" t="s">
        <v>41</v>
      </c>
      <c r="V3949" s="17"/>
      <c r="W3949" s="20" t="e">
        <f aca="false">VLOOKUP(V3949,Sheet2!Q:R,2,0)</f>
        <v>#N/A</v>
      </c>
      <c r="X3949" s="17" t="n">
        <f aca="false">J3949</f>
        <v>0</v>
      </c>
      <c r="Y3949" s="17" t="e">
        <f aca="false">VLOOKUP(X3949,Sheet2!A:B,2,0)</f>
        <v>#N/A</v>
      </c>
      <c r="Z3949" s="17"/>
      <c r="AA3949" s="17"/>
      <c r="AB3949" s="17" t="s">
        <v>41</v>
      </c>
      <c r="AC3949" s="0" t="str">
        <f aca="false">LEFT(G3949,2)</f>
        <v/>
      </c>
      <c r="AE3949" s="0"/>
    </row>
    <row r="3950" customFormat="false" ht="15" hidden="false" customHeight="false" outlineLevel="0" collapsed="false">
      <c r="A3950" s="13" t="n">
        <f aca="false">1+A3949</f>
        <v>3948</v>
      </c>
      <c r="B3950" s="14" t="n">
        <v>100</v>
      </c>
      <c r="C3950" s="15"/>
      <c r="D3950" s="16" t="s">
        <v>64</v>
      </c>
      <c r="E3950" s="17" t="s">
        <v>47</v>
      </c>
      <c r="F3950" s="18" t="s">
        <v>34</v>
      </c>
      <c r="G3950" s="19"/>
      <c r="H3950" s="17" t="s">
        <v>35</v>
      </c>
      <c r="I3950" s="17" t="s">
        <v>44</v>
      </c>
      <c r="J3950" s="17"/>
      <c r="K3950" s="17" t="e">
        <f aca="false">VLOOKUP(J3950,Sheet2!A:B,2,0)</f>
        <v>#N/A</v>
      </c>
      <c r="L3950" s="17" t="n">
        <v>5</v>
      </c>
      <c r="M3950" s="17" t="str">
        <f aca="false">VLOOKUP(L3950,Sheet2!D:E,2,0)</f>
        <v>Main Processor CPU BGA</v>
      </c>
      <c r="N3950" s="17" t="n">
        <v>1</v>
      </c>
      <c r="O3950" s="17" t="str">
        <f aca="false">VLOOKUP(N3950,Sheet2!G:H,2,0)</f>
        <v>Dead</v>
      </c>
      <c r="P3950" s="17" t="n">
        <v>11</v>
      </c>
      <c r="Q3950" s="17" t="str">
        <f aca="false">VLOOKUP(P3950,Sheet2!J:K,2,0)</f>
        <v>IR Declared due to CID -TA</v>
      </c>
      <c r="R3950" s="17" t="s">
        <v>35</v>
      </c>
      <c r="S3950" s="17" t="str">
        <f aca="false">VLOOKUP(R3950,Sheet2!N:O,2,0)</f>
        <v>IREPARABLE</v>
      </c>
      <c r="T3950" s="18" t="str">
        <f aca="false">VLOOKUP(P3950,Sheet2!Q:R,2,0)</f>
        <v>IR Normal - Track burn out</v>
      </c>
      <c r="U3950" s="20" t="s">
        <v>41</v>
      </c>
      <c r="V3950" s="17"/>
      <c r="W3950" s="20" t="e">
        <f aca="false">VLOOKUP(V3950,Sheet2!Q:R,2,0)</f>
        <v>#N/A</v>
      </c>
      <c r="X3950" s="17" t="n">
        <f aca="false">J3950</f>
        <v>0</v>
      </c>
      <c r="Y3950" s="17" t="e">
        <f aca="false">VLOOKUP(X3950,Sheet2!A:B,2,0)</f>
        <v>#N/A</v>
      </c>
      <c r="Z3950" s="17"/>
      <c r="AA3950" s="17"/>
      <c r="AB3950" s="17" t="s">
        <v>41</v>
      </c>
      <c r="AC3950" s="0" t="str">
        <f aca="false">LEFT(G3950,2)</f>
        <v/>
      </c>
      <c r="AE3950" s="0"/>
    </row>
    <row r="3951" customFormat="false" ht="15" hidden="false" customHeight="false" outlineLevel="0" collapsed="false">
      <c r="A3951" s="13" t="n">
        <f aca="false">1+A3950</f>
        <v>3949</v>
      </c>
      <c r="B3951" s="14" t="n">
        <v>100</v>
      </c>
      <c r="C3951" s="15"/>
      <c r="D3951" s="16" t="s">
        <v>64</v>
      </c>
      <c r="E3951" s="17" t="s">
        <v>47</v>
      </c>
      <c r="F3951" s="18" t="s">
        <v>34</v>
      </c>
      <c r="G3951" s="19"/>
      <c r="H3951" s="17" t="s">
        <v>35</v>
      </c>
      <c r="I3951" s="17" t="s">
        <v>44</v>
      </c>
      <c r="J3951" s="17"/>
      <c r="K3951" s="17" t="e">
        <f aca="false">VLOOKUP(J3951,Sheet2!A:B,2,0)</f>
        <v>#N/A</v>
      </c>
      <c r="L3951" s="17" t="n">
        <v>5</v>
      </c>
      <c r="M3951" s="17" t="str">
        <f aca="false">VLOOKUP(L3951,Sheet2!D:E,2,0)</f>
        <v>Main Processor CPU BGA</v>
      </c>
      <c r="N3951" s="17" t="n">
        <v>1</v>
      </c>
      <c r="O3951" s="17" t="str">
        <f aca="false">VLOOKUP(N3951,Sheet2!G:H,2,0)</f>
        <v>Dead</v>
      </c>
      <c r="P3951" s="17" t="n">
        <v>11</v>
      </c>
      <c r="Q3951" s="17" t="str">
        <f aca="false">VLOOKUP(P3951,Sheet2!J:K,2,0)</f>
        <v>IR Declared due to CID -TA</v>
      </c>
      <c r="R3951" s="17" t="s">
        <v>35</v>
      </c>
      <c r="S3951" s="17" t="str">
        <f aca="false">VLOOKUP(R3951,Sheet2!N:O,2,0)</f>
        <v>IREPARABLE</v>
      </c>
      <c r="T3951" s="18" t="str">
        <f aca="false">VLOOKUP(P3951,Sheet2!Q:R,2,0)</f>
        <v>IR Normal - Track burn out</v>
      </c>
      <c r="U3951" s="20" t="s">
        <v>41</v>
      </c>
      <c r="V3951" s="17"/>
      <c r="W3951" s="20" t="e">
        <f aca="false">VLOOKUP(V3951,Sheet2!Q:R,2,0)</f>
        <v>#N/A</v>
      </c>
      <c r="X3951" s="17" t="n">
        <f aca="false">J3951</f>
        <v>0</v>
      </c>
      <c r="Y3951" s="17" t="e">
        <f aca="false">VLOOKUP(X3951,Sheet2!A:B,2,0)</f>
        <v>#N/A</v>
      </c>
      <c r="Z3951" s="17"/>
      <c r="AA3951" s="17"/>
      <c r="AB3951" s="17" t="s">
        <v>41</v>
      </c>
      <c r="AC3951" s="0" t="str">
        <f aca="false">LEFT(G3951,2)</f>
        <v/>
      </c>
      <c r="AE3951" s="0"/>
    </row>
    <row r="3952" customFormat="false" ht="15" hidden="false" customHeight="false" outlineLevel="0" collapsed="false">
      <c r="A3952" s="13" t="n">
        <f aca="false">1+A3951</f>
        <v>3950</v>
      </c>
      <c r="B3952" s="14" t="n">
        <v>100</v>
      </c>
      <c r="C3952" s="15"/>
      <c r="D3952" s="16" t="s">
        <v>64</v>
      </c>
      <c r="E3952" s="17" t="s">
        <v>47</v>
      </c>
      <c r="F3952" s="18" t="s">
        <v>34</v>
      </c>
      <c r="G3952" s="19"/>
      <c r="H3952" s="17" t="s">
        <v>35</v>
      </c>
      <c r="I3952" s="17" t="s">
        <v>44</v>
      </c>
      <c r="J3952" s="17"/>
      <c r="K3952" s="17" t="e">
        <f aca="false">VLOOKUP(J3952,Sheet2!A:B,2,0)</f>
        <v>#N/A</v>
      </c>
      <c r="L3952" s="17" t="n">
        <v>5</v>
      </c>
      <c r="M3952" s="17" t="str">
        <f aca="false">VLOOKUP(L3952,Sheet2!D:E,2,0)</f>
        <v>Main Processor CPU BGA</v>
      </c>
      <c r="N3952" s="17" t="n">
        <v>1</v>
      </c>
      <c r="O3952" s="17" t="str">
        <f aca="false">VLOOKUP(N3952,Sheet2!G:H,2,0)</f>
        <v>Dead</v>
      </c>
      <c r="P3952" s="17" t="n">
        <v>11</v>
      </c>
      <c r="Q3952" s="17" t="str">
        <f aca="false">VLOOKUP(P3952,Sheet2!J:K,2,0)</f>
        <v>IR Declared due to CID -TA</v>
      </c>
      <c r="R3952" s="17" t="s">
        <v>35</v>
      </c>
      <c r="S3952" s="17" t="str">
        <f aca="false">VLOOKUP(R3952,Sheet2!N:O,2,0)</f>
        <v>IREPARABLE</v>
      </c>
      <c r="T3952" s="18" t="str">
        <f aca="false">VLOOKUP(P3952,Sheet2!Q:R,2,0)</f>
        <v>IR Normal - Track burn out</v>
      </c>
      <c r="U3952" s="20" t="s">
        <v>41</v>
      </c>
      <c r="V3952" s="17"/>
      <c r="W3952" s="20" t="e">
        <f aca="false">VLOOKUP(V3952,Sheet2!Q:R,2,0)</f>
        <v>#N/A</v>
      </c>
      <c r="X3952" s="17" t="n">
        <f aca="false">J3952</f>
        <v>0</v>
      </c>
      <c r="Y3952" s="17" t="e">
        <f aca="false">VLOOKUP(X3952,Sheet2!A:B,2,0)</f>
        <v>#N/A</v>
      </c>
      <c r="Z3952" s="17"/>
      <c r="AA3952" s="17"/>
      <c r="AB3952" s="17" t="s">
        <v>41</v>
      </c>
      <c r="AC3952" s="0" t="str">
        <f aca="false">LEFT(G3952,2)</f>
        <v/>
      </c>
      <c r="AE3952" s="0"/>
    </row>
    <row r="3953" customFormat="false" ht="15" hidden="false" customHeight="false" outlineLevel="0" collapsed="false">
      <c r="A3953" s="13" t="n">
        <f aca="false">1+A3952</f>
        <v>3951</v>
      </c>
      <c r="B3953" s="14" t="n">
        <v>100</v>
      </c>
      <c r="C3953" s="15"/>
      <c r="D3953" s="16" t="s">
        <v>64</v>
      </c>
      <c r="E3953" s="17" t="s">
        <v>47</v>
      </c>
      <c r="F3953" s="18" t="s">
        <v>34</v>
      </c>
      <c r="G3953" s="19"/>
      <c r="H3953" s="17" t="s">
        <v>35</v>
      </c>
      <c r="I3953" s="17" t="s">
        <v>44</v>
      </c>
      <c r="J3953" s="17"/>
      <c r="K3953" s="17" t="e">
        <f aca="false">VLOOKUP(J3953,Sheet2!A:B,2,0)</f>
        <v>#N/A</v>
      </c>
      <c r="L3953" s="17" t="n">
        <v>5</v>
      </c>
      <c r="M3953" s="17" t="str">
        <f aca="false">VLOOKUP(L3953,Sheet2!D:E,2,0)</f>
        <v>Main Processor CPU BGA</v>
      </c>
      <c r="N3953" s="17" t="n">
        <v>1</v>
      </c>
      <c r="O3953" s="17" t="str">
        <f aca="false">VLOOKUP(N3953,Sheet2!G:H,2,0)</f>
        <v>Dead</v>
      </c>
      <c r="P3953" s="17" t="n">
        <v>11</v>
      </c>
      <c r="Q3953" s="17" t="str">
        <f aca="false">VLOOKUP(P3953,Sheet2!J:K,2,0)</f>
        <v>IR Declared due to CID -TA</v>
      </c>
      <c r="R3953" s="17" t="s">
        <v>35</v>
      </c>
      <c r="S3953" s="17" t="str">
        <f aca="false">VLOOKUP(R3953,Sheet2!N:O,2,0)</f>
        <v>IREPARABLE</v>
      </c>
      <c r="T3953" s="18" t="str">
        <f aca="false">VLOOKUP(P3953,Sheet2!Q:R,2,0)</f>
        <v>IR Normal - Track burn out</v>
      </c>
      <c r="U3953" s="20" t="s">
        <v>41</v>
      </c>
      <c r="V3953" s="17"/>
      <c r="W3953" s="20" t="e">
        <f aca="false">VLOOKUP(V3953,Sheet2!Q:R,2,0)</f>
        <v>#N/A</v>
      </c>
      <c r="X3953" s="17" t="n">
        <f aca="false">J3953</f>
        <v>0</v>
      </c>
      <c r="Y3953" s="17" t="e">
        <f aca="false">VLOOKUP(X3953,Sheet2!A:B,2,0)</f>
        <v>#N/A</v>
      </c>
      <c r="Z3953" s="17"/>
      <c r="AA3953" s="17"/>
      <c r="AB3953" s="17" t="s">
        <v>41</v>
      </c>
      <c r="AC3953" s="0" t="str">
        <f aca="false">LEFT(G3953,2)</f>
        <v/>
      </c>
      <c r="AE3953" s="0"/>
    </row>
    <row r="3954" customFormat="false" ht="15" hidden="false" customHeight="false" outlineLevel="0" collapsed="false">
      <c r="A3954" s="13" t="n">
        <f aca="false">1+A3953</f>
        <v>3952</v>
      </c>
      <c r="B3954" s="14" t="n">
        <v>100</v>
      </c>
      <c r="C3954" s="15"/>
      <c r="D3954" s="16" t="s">
        <v>64</v>
      </c>
      <c r="E3954" s="17" t="s">
        <v>47</v>
      </c>
      <c r="F3954" s="18" t="s">
        <v>34</v>
      </c>
      <c r="G3954" s="19"/>
      <c r="H3954" s="17" t="s">
        <v>35</v>
      </c>
      <c r="I3954" s="17" t="s">
        <v>44</v>
      </c>
      <c r="J3954" s="17"/>
      <c r="K3954" s="17" t="e">
        <f aca="false">VLOOKUP(J3954,Sheet2!A:B,2,0)</f>
        <v>#N/A</v>
      </c>
      <c r="L3954" s="17" t="n">
        <v>5</v>
      </c>
      <c r="M3954" s="17" t="str">
        <f aca="false">VLOOKUP(L3954,Sheet2!D:E,2,0)</f>
        <v>Main Processor CPU BGA</v>
      </c>
      <c r="N3954" s="17" t="n">
        <v>1</v>
      </c>
      <c r="O3954" s="17" t="str">
        <f aca="false">VLOOKUP(N3954,Sheet2!G:H,2,0)</f>
        <v>Dead</v>
      </c>
      <c r="P3954" s="17" t="n">
        <v>11</v>
      </c>
      <c r="Q3954" s="17" t="str">
        <f aca="false">VLOOKUP(P3954,Sheet2!J:K,2,0)</f>
        <v>IR Declared due to CID -TA</v>
      </c>
      <c r="R3954" s="17" t="s">
        <v>35</v>
      </c>
      <c r="S3954" s="17" t="str">
        <f aca="false">VLOOKUP(R3954,Sheet2!N:O,2,0)</f>
        <v>IREPARABLE</v>
      </c>
      <c r="T3954" s="18" t="str">
        <f aca="false">VLOOKUP(P3954,Sheet2!Q:R,2,0)</f>
        <v>IR Normal - Track burn out</v>
      </c>
      <c r="U3954" s="20" t="s">
        <v>41</v>
      </c>
      <c r="V3954" s="17"/>
      <c r="W3954" s="20" t="e">
        <f aca="false">VLOOKUP(V3954,Sheet2!Q:R,2,0)</f>
        <v>#N/A</v>
      </c>
      <c r="X3954" s="17" t="n">
        <f aca="false">J3954</f>
        <v>0</v>
      </c>
      <c r="Y3954" s="17" t="e">
        <f aca="false">VLOOKUP(X3954,Sheet2!A:B,2,0)</f>
        <v>#N/A</v>
      </c>
      <c r="Z3954" s="17"/>
      <c r="AA3954" s="17"/>
      <c r="AB3954" s="17" t="s">
        <v>41</v>
      </c>
      <c r="AC3954" s="0" t="str">
        <f aca="false">LEFT(G3954,2)</f>
        <v/>
      </c>
      <c r="AE3954" s="0"/>
    </row>
    <row r="3955" customFormat="false" ht="15" hidden="false" customHeight="false" outlineLevel="0" collapsed="false">
      <c r="A3955" s="13" t="n">
        <f aca="false">1+A3954</f>
        <v>3953</v>
      </c>
      <c r="B3955" s="14" t="n">
        <v>100</v>
      </c>
      <c r="C3955" s="15"/>
      <c r="D3955" s="16" t="s">
        <v>64</v>
      </c>
      <c r="E3955" s="17" t="s">
        <v>47</v>
      </c>
      <c r="F3955" s="18" t="s">
        <v>34</v>
      </c>
      <c r="G3955" s="19"/>
      <c r="H3955" s="17" t="s">
        <v>35</v>
      </c>
      <c r="I3955" s="17" t="s">
        <v>44</v>
      </c>
      <c r="J3955" s="17"/>
      <c r="K3955" s="17" t="e">
        <f aca="false">VLOOKUP(J3955,Sheet2!A:B,2,0)</f>
        <v>#N/A</v>
      </c>
      <c r="L3955" s="17" t="n">
        <v>5</v>
      </c>
      <c r="M3955" s="17" t="str">
        <f aca="false">VLOOKUP(L3955,Sheet2!D:E,2,0)</f>
        <v>Main Processor CPU BGA</v>
      </c>
      <c r="N3955" s="17" t="n">
        <v>1</v>
      </c>
      <c r="O3955" s="17" t="str">
        <f aca="false">VLOOKUP(N3955,Sheet2!G:H,2,0)</f>
        <v>Dead</v>
      </c>
      <c r="P3955" s="17" t="n">
        <v>11</v>
      </c>
      <c r="Q3955" s="17" t="str">
        <f aca="false">VLOOKUP(P3955,Sheet2!J:K,2,0)</f>
        <v>IR Declared due to CID -TA</v>
      </c>
      <c r="R3955" s="17" t="s">
        <v>35</v>
      </c>
      <c r="S3955" s="17" t="str">
        <f aca="false">VLOOKUP(R3955,Sheet2!N:O,2,0)</f>
        <v>IREPARABLE</v>
      </c>
      <c r="T3955" s="18" t="str">
        <f aca="false">VLOOKUP(P3955,Sheet2!Q:R,2,0)</f>
        <v>IR Normal - Track burn out</v>
      </c>
      <c r="U3955" s="20" t="s">
        <v>41</v>
      </c>
      <c r="V3955" s="17"/>
      <c r="W3955" s="20" t="e">
        <f aca="false">VLOOKUP(V3955,Sheet2!Q:R,2,0)</f>
        <v>#N/A</v>
      </c>
      <c r="X3955" s="17" t="n">
        <f aca="false">J3955</f>
        <v>0</v>
      </c>
      <c r="Y3955" s="17" t="e">
        <f aca="false">VLOOKUP(X3955,Sheet2!A:B,2,0)</f>
        <v>#N/A</v>
      </c>
      <c r="Z3955" s="17"/>
      <c r="AA3955" s="17"/>
      <c r="AB3955" s="17" t="s">
        <v>41</v>
      </c>
      <c r="AC3955" s="0" t="str">
        <f aca="false">LEFT(G3955,2)</f>
        <v/>
      </c>
      <c r="AE3955" s="0"/>
    </row>
    <row r="3956" customFormat="false" ht="15" hidden="false" customHeight="false" outlineLevel="0" collapsed="false">
      <c r="A3956" s="13" t="n">
        <f aca="false">1+A3955</f>
        <v>3954</v>
      </c>
      <c r="B3956" s="14" t="n">
        <v>100</v>
      </c>
      <c r="C3956" s="15"/>
      <c r="D3956" s="16" t="s">
        <v>64</v>
      </c>
      <c r="E3956" s="17" t="s">
        <v>47</v>
      </c>
      <c r="F3956" s="18" t="s">
        <v>34</v>
      </c>
      <c r="G3956" s="19"/>
      <c r="H3956" s="17" t="s">
        <v>35</v>
      </c>
      <c r="I3956" s="17" t="s">
        <v>44</v>
      </c>
      <c r="J3956" s="17"/>
      <c r="K3956" s="17" t="e">
        <f aca="false">VLOOKUP(J3956,Sheet2!A:B,2,0)</f>
        <v>#N/A</v>
      </c>
      <c r="L3956" s="17" t="n">
        <v>5</v>
      </c>
      <c r="M3956" s="17" t="str">
        <f aca="false">VLOOKUP(L3956,Sheet2!D:E,2,0)</f>
        <v>Main Processor CPU BGA</v>
      </c>
      <c r="N3956" s="17" t="n">
        <v>1</v>
      </c>
      <c r="O3956" s="17" t="str">
        <f aca="false">VLOOKUP(N3956,Sheet2!G:H,2,0)</f>
        <v>Dead</v>
      </c>
      <c r="P3956" s="17" t="n">
        <v>11</v>
      </c>
      <c r="Q3956" s="17" t="str">
        <f aca="false">VLOOKUP(P3956,Sheet2!J:K,2,0)</f>
        <v>IR Declared due to CID -TA</v>
      </c>
      <c r="R3956" s="17" t="s">
        <v>35</v>
      </c>
      <c r="S3956" s="17" t="str">
        <f aca="false">VLOOKUP(R3956,Sheet2!N:O,2,0)</f>
        <v>IREPARABLE</v>
      </c>
      <c r="T3956" s="18" t="str">
        <f aca="false">VLOOKUP(P3956,Sheet2!Q:R,2,0)</f>
        <v>IR Normal - Track burn out</v>
      </c>
      <c r="U3956" s="20" t="s">
        <v>41</v>
      </c>
      <c r="V3956" s="17"/>
      <c r="W3956" s="20" t="e">
        <f aca="false">VLOOKUP(V3956,Sheet2!Q:R,2,0)</f>
        <v>#N/A</v>
      </c>
      <c r="X3956" s="17" t="n">
        <f aca="false">J3956</f>
        <v>0</v>
      </c>
      <c r="Y3956" s="17" t="e">
        <f aca="false">VLOOKUP(X3956,Sheet2!A:B,2,0)</f>
        <v>#N/A</v>
      </c>
      <c r="Z3956" s="17"/>
      <c r="AA3956" s="17"/>
      <c r="AB3956" s="17" t="s">
        <v>41</v>
      </c>
      <c r="AC3956" s="0" t="str">
        <f aca="false">LEFT(G3956,2)</f>
        <v/>
      </c>
      <c r="AE3956" s="0"/>
    </row>
    <row r="3957" customFormat="false" ht="15" hidden="false" customHeight="false" outlineLevel="0" collapsed="false">
      <c r="A3957" s="13" t="n">
        <f aca="false">1+A3956</f>
        <v>3955</v>
      </c>
      <c r="B3957" s="14" t="n">
        <v>100</v>
      </c>
      <c r="C3957" s="15"/>
      <c r="D3957" s="16" t="s">
        <v>64</v>
      </c>
      <c r="E3957" s="17" t="s">
        <v>47</v>
      </c>
      <c r="F3957" s="18" t="s">
        <v>34</v>
      </c>
      <c r="G3957" s="19"/>
      <c r="H3957" s="17" t="s">
        <v>35</v>
      </c>
      <c r="I3957" s="17" t="s">
        <v>44</v>
      </c>
      <c r="J3957" s="17"/>
      <c r="K3957" s="17" t="e">
        <f aca="false">VLOOKUP(J3957,Sheet2!A:B,2,0)</f>
        <v>#N/A</v>
      </c>
      <c r="L3957" s="17" t="n">
        <v>5</v>
      </c>
      <c r="M3957" s="17" t="str">
        <f aca="false">VLOOKUP(L3957,Sheet2!D:E,2,0)</f>
        <v>Main Processor CPU BGA</v>
      </c>
      <c r="N3957" s="17" t="n">
        <v>1</v>
      </c>
      <c r="O3957" s="17" t="str">
        <f aca="false">VLOOKUP(N3957,Sheet2!G:H,2,0)</f>
        <v>Dead</v>
      </c>
      <c r="P3957" s="17" t="n">
        <v>11</v>
      </c>
      <c r="Q3957" s="17" t="str">
        <f aca="false">VLOOKUP(P3957,Sheet2!J:K,2,0)</f>
        <v>IR Declared due to CID -TA</v>
      </c>
      <c r="R3957" s="17" t="s">
        <v>35</v>
      </c>
      <c r="S3957" s="17" t="str">
        <f aca="false">VLOOKUP(R3957,Sheet2!N:O,2,0)</f>
        <v>IREPARABLE</v>
      </c>
      <c r="T3957" s="18" t="str">
        <f aca="false">VLOOKUP(P3957,Sheet2!Q:R,2,0)</f>
        <v>IR Normal - Track burn out</v>
      </c>
      <c r="U3957" s="20" t="s">
        <v>41</v>
      </c>
      <c r="V3957" s="17"/>
      <c r="W3957" s="20" t="e">
        <f aca="false">VLOOKUP(V3957,Sheet2!Q:R,2,0)</f>
        <v>#N/A</v>
      </c>
      <c r="X3957" s="17" t="n">
        <f aca="false">J3957</f>
        <v>0</v>
      </c>
      <c r="Y3957" s="17" t="e">
        <f aca="false">VLOOKUP(X3957,Sheet2!A:B,2,0)</f>
        <v>#N/A</v>
      </c>
      <c r="Z3957" s="17"/>
      <c r="AA3957" s="17"/>
      <c r="AB3957" s="17" t="s">
        <v>41</v>
      </c>
      <c r="AC3957" s="0" t="str">
        <f aca="false">LEFT(G3957,2)</f>
        <v/>
      </c>
      <c r="AE3957" s="0"/>
    </row>
    <row r="3958" customFormat="false" ht="15" hidden="false" customHeight="false" outlineLevel="0" collapsed="false">
      <c r="A3958" s="13" t="n">
        <f aca="false">1+A3957</f>
        <v>3956</v>
      </c>
      <c r="B3958" s="14" t="n">
        <v>100</v>
      </c>
      <c r="C3958" s="15"/>
      <c r="D3958" s="16" t="s">
        <v>64</v>
      </c>
      <c r="E3958" s="17" t="s">
        <v>47</v>
      </c>
      <c r="F3958" s="18" t="s">
        <v>34</v>
      </c>
      <c r="G3958" s="19"/>
      <c r="H3958" s="17" t="s">
        <v>35</v>
      </c>
      <c r="I3958" s="17" t="s">
        <v>44</v>
      </c>
      <c r="J3958" s="17"/>
      <c r="K3958" s="17" t="e">
        <f aca="false">VLOOKUP(J3958,Sheet2!A:B,2,0)</f>
        <v>#N/A</v>
      </c>
      <c r="L3958" s="17" t="n">
        <v>5</v>
      </c>
      <c r="M3958" s="17" t="str">
        <f aca="false">VLOOKUP(L3958,Sheet2!D:E,2,0)</f>
        <v>Main Processor CPU BGA</v>
      </c>
      <c r="N3958" s="17" t="n">
        <v>1</v>
      </c>
      <c r="O3958" s="17" t="str">
        <f aca="false">VLOOKUP(N3958,Sheet2!G:H,2,0)</f>
        <v>Dead</v>
      </c>
      <c r="P3958" s="17" t="n">
        <v>11</v>
      </c>
      <c r="Q3958" s="17" t="str">
        <f aca="false">VLOOKUP(P3958,Sheet2!J:K,2,0)</f>
        <v>IR Declared due to CID -TA</v>
      </c>
      <c r="R3958" s="17" t="s">
        <v>35</v>
      </c>
      <c r="S3958" s="17" t="str">
        <f aca="false">VLOOKUP(R3958,Sheet2!N:O,2,0)</f>
        <v>IREPARABLE</v>
      </c>
      <c r="T3958" s="18" t="str">
        <f aca="false">VLOOKUP(P3958,Sheet2!Q:R,2,0)</f>
        <v>IR Normal - Track burn out</v>
      </c>
      <c r="U3958" s="20" t="s">
        <v>41</v>
      </c>
      <c r="V3958" s="17"/>
      <c r="W3958" s="20" t="e">
        <f aca="false">VLOOKUP(V3958,Sheet2!Q:R,2,0)</f>
        <v>#N/A</v>
      </c>
      <c r="X3958" s="17" t="n">
        <f aca="false">J3958</f>
        <v>0</v>
      </c>
      <c r="Y3958" s="17" t="e">
        <f aca="false">VLOOKUP(X3958,Sheet2!A:B,2,0)</f>
        <v>#N/A</v>
      </c>
      <c r="Z3958" s="17"/>
      <c r="AA3958" s="17"/>
      <c r="AB3958" s="17" t="s">
        <v>41</v>
      </c>
      <c r="AC3958" s="0" t="str">
        <f aca="false">LEFT(G3958,2)</f>
        <v/>
      </c>
      <c r="AE3958" s="0"/>
    </row>
    <row r="3959" customFormat="false" ht="15" hidden="false" customHeight="false" outlineLevel="0" collapsed="false">
      <c r="A3959" s="13" t="n">
        <f aca="false">1+A3958</f>
        <v>3957</v>
      </c>
      <c r="B3959" s="14" t="n">
        <v>100</v>
      </c>
      <c r="C3959" s="15"/>
      <c r="D3959" s="16" t="s">
        <v>64</v>
      </c>
      <c r="E3959" s="17" t="s">
        <v>47</v>
      </c>
      <c r="F3959" s="18" t="s">
        <v>34</v>
      </c>
      <c r="G3959" s="19"/>
      <c r="H3959" s="17" t="s">
        <v>35</v>
      </c>
      <c r="I3959" s="17" t="s">
        <v>44</v>
      </c>
      <c r="J3959" s="17"/>
      <c r="K3959" s="17" t="e">
        <f aca="false">VLOOKUP(J3959,Sheet2!A:B,2,0)</f>
        <v>#N/A</v>
      </c>
      <c r="L3959" s="17" t="n">
        <v>5</v>
      </c>
      <c r="M3959" s="17" t="str">
        <f aca="false">VLOOKUP(L3959,Sheet2!D:E,2,0)</f>
        <v>Main Processor CPU BGA</v>
      </c>
      <c r="N3959" s="17" t="n">
        <v>1</v>
      </c>
      <c r="O3959" s="17" t="str">
        <f aca="false">VLOOKUP(N3959,Sheet2!G:H,2,0)</f>
        <v>Dead</v>
      </c>
      <c r="P3959" s="17" t="n">
        <v>11</v>
      </c>
      <c r="Q3959" s="17" t="str">
        <f aca="false">VLOOKUP(P3959,Sheet2!J:K,2,0)</f>
        <v>IR Declared due to CID -TA</v>
      </c>
      <c r="R3959" s="17" t="s">
        <v>35</v>
      </c>
      <c r="S3959" s="17" t="str">
        <f aca="false">VLOOKUP(R3959,Sheet2!N:O,2,0)</f>
        <v>IREPARABLE</v>
      </c>
      <c r="T3959" s="18" t="str">
        <f aca="false">VLOOKUP(P3959,Sheet2!Q:R,2,0)</f>
        <v>IR Normal - Track burn out</v>
      </c>
      <c r="U3959" s="20" t="s">
        <v>41</v>
      </c>
      <c r="V3959" s="17"/>
      <c r="W3959" s="20" t="e">
        <f aca="false">VLOOKUP(V3959,Sheet2!Q:R,2,0)</f>
        <v>#N/A</v>
      </c>
      <c r="X3959" s="17" t="n">
        <f aca="false">J3959</f>
        <v>0</v>
      </c>
      <c r="Y3959" s="17" t="e">
        <f aca="false">VLOOKUP(X3959,Sheet2!A:B,2,0)</f>
        <v>#N/A</v>
      </c>
      <c r="Z3959" s="17"/>
      <c r="AA3959" s="17"/>
      <c r="AB3959" s="17" t="s">
        <v>41</v>
      </c>
      <c r="AC3959" s="0" t="str">
        <f aca="false">LEFT(G3959,2)</f>
        <v/>
      </c>
      <c r="AD3959" s="0"/>
      <c r="AE3959" s="0"/>
    </row>
    <row r="3960" customFormat="false" ht="15" hidden="false" customHeight="false" outlineLevel="0" collapsed="false">
      <c r="A3960" s="13" t="n">
        <f aca="false">1+A3959</f>
        <v>3958</v>
      </c>
      <c r="B3960" s="14" t="n">
        <v>100</v>
      </c>
      <c r="C3960" s="15"/>
      <c r="D3960" s="16" t="s">
        <v>64</v>
      </c>
      <c r="E3960" s="17" t="s">
        <v>47</v>
      </c>
      <c r="F3960" s="18" t="s">
        <v>34</v>
      </c>
      <c r="G3960" s="19"/>
      <c r="H3960" s="17" t="s">
        <v>35</v>
      </c>
      <c r="I3960" s="17" t="s">
        <v>44</v>
      </c>
      <c r="J3960" s="17"/>
      <c r="K3960" s="17" t="e">
        <f aca="false">VLOOKUP(J3960,Sheet2!A:B,2,0)</f>
        <v>#N/A</v>
      </c>
      <c r="L3960" s="17" t="n">
        <v>5</v>
      </c>
      <c r="M3960" s="17" t="str">
        <f aca="false">VLOOKUP(L3960,Sheet2!D:E,2,0)</f>
        <v>Main Processor CPU BGA</v>
      </c>
      <c r="N3960" s="17" t="n">
        <v>1</v>
      </c>
      <c r="O3960" s="17" t="str">
        <f aca="false">VLOOKUP(N3960,Sheet2!G:H,2,0)</f>
        <v>Dead</v>
      </c>
      <c r="P3960" s="17" t="n">
        <v>11</v>
      </c>
      <c r="Q3960" s="17" t="str">
        <f aca="false">VLOOKUP(P3960,Sheet2!J:K,2,0)</f>
        <v>IR Declared due to CID -TA</v>
      </c>
      <c r="R3960" s="17" t="s">
        <v>35</v>
      </c>
      <c r="S3960" s="17" t="str">
        <f aca="false">VLOOKUP(R3960,Sheet2!N:O,2,0)</f>
        <v>IREPARABLE</v>
      </c>
      <c r="T3960" s="18" t="str">
        <f aca="false">VLOOKUP(P3960,Sheet2!Q:R,2,0)</f>
        <v>IR Normal - Track burn out</v>
      </c>
      <c r="U3960" s="20" t="s">
        <v>41</v>
      </c>
      <c r="V3960" s="17"/>
      <c r="W3960" s="20" t="e">
        <f aca="false">VLOOKUP(V3960,Sheet2!Q:R,2,0)</f>
        <v>#N/A</v>
      </c>
      <c r="X3960" s="17" t="n">
        <f aca="false">J3960</f>
        <v>0</v>
      </c>
      <c r="Y3960" s="17" t="e">
        <f aca="false">VLOOKUP(X3960,Sheet2!A:B,2,0)</f>
        <v>#N/A</v>
      </c>
      <c r="Z3960" s="17"/>
      <c r="AA3960" s="17"/>
      <c r="AB3960" s="17" t="s">
        <v>41</v>
      </c>
      <c r="AC3960" s="0" t="str">
        <f aca="false">LEFT(G3960,2)</f>
        <v/>
      </c>
      <c r="AE3960" s="0"/>
    </row>
    <row r="3961" customFormat="false" ht="15" hidden="false" customHeight="false" outlineLevel="0" collapsed="false">
      <c r="A3961" s="13" t="n">
        <f aca="false">1+A3960</f>
        <v>3959</v>
      </c>
      <c r="B3961" s="14" t="n">
        <v>100</v>
      </c>
      <c r="C3961" s="15"/>
      <c r="D3961" s="16" t="s">
        <v>64</v>
      </c>
      <c r="E3961" s="17" t="s">
        <v>47</v>
      </c>
      <c r="F3961" s="18" t="s">
        <v>34</v>
      </c>
      <c r="G3961" s="19"/>
      <c r="H3961" s="17" t="s">
        <v>35</v>
      </c>
      <c r="I3961" s="17" t="s">
        <v>44</v>
      </c>
      <c r="J3961" s="17"/>
      <c r="K3961" s="17" t="e">
        <f aca="false">VLOOKUP(J3961,Sheet2!A:B,2,0)</f>
        <v>#N/A</v>
      </c>
      <c r="L3961" s="17" t="n">
        <v>5</v>
      </c>
      <c r="M3961" s="17" t="str">
        <f aca="false">VLOOKUP(L3961,Sheet2!D:E,2,0)</f>
        <v>Main Processor CPU BGA</v>
      </c>
      <c r="N3961" s="17" t="n">
        <v>1</v>
      </c>
      <c r="O3961" s="17" t="str">
        <f aca="false">VLOOKUP(N3961,Sheet2!G:H,2,0)</f>
        <v>Dead</v>
      </c>
      <c r="P3961" s="17" t="n">
        <v>11</v>
      </c>
      <c r="Q3961" s="17" t="str">
        <f aca="false">VLOOKUP(P3961,Sheet2!J:K,2,0)</f>
        <v>IR Declared due to CID -TA</v>
      </c>
      <c r="R3961" s="17" t="s">
        <v>35</v>
      </c>
      <c r="S3961" s="17" t="str">
        <f aca="false">VLOOKUP(R3961,Sheet2!N:O,2,0)</f>
        <v>IREPARABLE</v>
      </c>
      <c r="T3961" s="18" t="str">
        <f aca="false">VLOOKUP(P3961,Sheet2!Q:R,2,0)</f>
        <v>IR Normal - Track burn out</v>
      </c>
      <c r="U3961" s="20" t="s">
        <v>41</v>
      </c>
      <c r="V3961" s="17"/>
      <c r="W3961" s="20" t="e">
        <f aca="false">VLOOKUP(V3961,Sheet2!Q:R,2,0)</f>
        <v>#N/A</v>
      </c>
      <c r="X3961" s="17" t="n">
        <f aca="false">J3961</f>
        <v>0</v>
      </c>
      <c r="Y3961" s="17" t="e">
        <f aca="false">VLOOKUP(X3961,Sheet2!A:B,2,0)</f>
        <v>#N/A</v>
      </c>
      <c r="Z3961" s="17"/>
      <c r="AA3961" s="17"/>
      <c r="AB3961" s="17" t="s">
        <v>41</v>
      </c>
      <c r="AC3961" s="0" t="str">
        <f aca="false">LEFT(G3961,2)</f>
        <v/>
      </c>
      <c r="AE3961" s="0"/>
    </row>
    <row r="3962" customFormat="false" ht="15" hidden="false" customHeight="false" outlineLevel="0" collapsed="false">
      <c r="A3962" s="13" t="n">
        <f aca="false">1+A3961</f>
        <v>3960</v>
      </c>
      <c r="B3962" s="14" t="n">
        <v>100</v>
      </c>
      <c r="C3962" s="15"/>
      <c r="D3962" s="16" t="s">
        <v>64</v>
      </c>
      <c r="E3962" s="17" t="s">
        <v>47</v>
      </c>
      <c r="F3962" s="18" t="s">
        <v>34</v>
      </c>
      <c r="G3962" s="19"/>
      <c r="H3962" s="17" t="s">
        <v>35</v>
      </c>
      <c r="I3962" s="17" t="s">
        <v>44</v>
      </c>
      <c r="J3962" s="17"/>
      <c r="K3962" s="17" t="e">
        <f aca="false">VLOOKUP(J3962,Sheet2!A:B,2,0)</f>
        <v>#N/A</v>
      </c>
      <c r="L3962" s="17" t="n">
        <v>5</v>
      </c>
      <c r="M3962" s="17" t="str">
        <f aca="false">VLOOKUP(L3962,Sheet2!D:E,2,0)</f>
        <v>Main Processor CPU BGA</v>
      </c>
      <c r="N3962" s="17" t="n">
        <v>1</v>
      </c>
      <c r="O3962" s="17" t="str">
        <f aca="false">VLOOKUP(N3962,Sheet2!G:H,2,0)</f>
        <v>Dead</v>
      </c>
      <c r="P3962" s="17" t="n">
        <v>11</v>
      </c>
      <c r="Q3962" s="17" t="str">
        <f aca="false">VLOOKUP(P3962,Sheet2!J:K,2,0)</f>
        <v>IR Declared due to CID -TA</v>
      </c>
      <c r="R3962" s="17" t="s">
        <v>35</v>
      </c>
      <c r="S3962" s="17" t="str">
        <f aca="false">VLOOKUP(R3962,Sheet2!N:O,2,0)</f>
        <v>IREPARABLE</v>
      </c>
      <c r="T3962" s="18" t="str">
        <f aca="false">VLOOKUP(P3962,Sheet2!Q:R,2,0)</f>
        <v>IR Normal - Track burn out</v>
      </c>
      <c r="U3962" s="20" t="s">
        <v>41</v>
      </c>
      <c r="V3962" s="17"/>
      <c r="W3962" s="20" t="e">
        <f aca="false">VLOOKUP(V3962,Sheet2!Q:R,2,0)</f>
        <v>#N/A</v>
      </c>
      <c r="X3962" s="17" t="n">
        <f aca="false">J3962</f>
        <v>0</v>
      </c>
      <c r="Y3962" s="17" t="e">
        <f aca="false">VLOOKUP(X3962,Sheet2!A:B,2,0)</f>
        <v>#N/A</v>
      </c>
      <c r="Z3962" s="17"/>
      <c r="AA3962" s="17"/>
      <c r="AB3962" s="17" t="s">
        <v>41</v>
      </c>
      <c r="AC3962" s="0" t="str">
        <f aca="false">LEFT(G3962,2)</f>
        <v/>
      </c>
      <c r="AE3962" s="0"/>
    </row>
    <row r="3963" customFormat="false" ht="15" hidden="false" customHeight="false" outlineLevel="0" collapsed="false">
      <c r="A3963" s="13" t="n">
        <f aca="false">1+A3962</f>
        <v>3961</v>
      </c>
      <c r="B3963" s="14" t="n">
        <v>100</v>
      </c>
      <c r="C3963" s="15"/>
      <c r="D3963" s="16" t="s">
        <v>64</v>
      </c>
      <c r="E3963" s="17" t="s">
        <v>47</v>
      </c>
      <c r="F3963" s="18" t="s">
        <v>34</v>
      </c>
      <c r="G3963" s="19"/>
      <c r="H3963" s="17" t="s">
        <v>35</v>
      </c>
      <c r="I3963" s="17" t="s">
        <v>44</v>
      </c>
      <c r="J3963" s="17"/>
      <c r="K3963" s="17" t="e">
        <f aca="false">VLOOKUP(J3963,Sheet2!A:B,2,0)</f>
        <v>#N/A</v>
      </c>
      <c r="L3963" s="17" t="n">
        <v>5</v>
      </c>
      <c r="M3963" s="17" t="str">
        <f aca="false">VLOOKUP(L3963,Sheet2!D:E,2,0)</f>
        <v>Main Processor CPU BGA</v>
      </c>
      <c r="N3963" s="17" t="n">
        <v>1</v>
      </c>
      <c r="O3963" s="17" t="str">
        <f aca="false">VLOOKUP(N3963,Sheet2!G:H,2,0)</f>
        <v>Dead</v>
      </c>
      <c r="P3963" s="17" t="n">
        <v>11</v>
      </c>
      <c r="Q3963" s="17" t="str">
        <f aca="false">VLOOKUP(P3963,Sheet2!J:K,2,0)</f>
        <v>IR Declared due to CID -TA</v>
      </c>
      <c r="R3963" s="17" t="s">
        <v>35</v>
      </c>
      <c r="S3963" s="17" t="str">
        <f aca="false">VLOOKUP(R3963,Sheet2!N:O,2,0)</f>
        <v>IREPARABLE</v>
      </c>
      <c r="T3963" s="18" t="str">
        <f aca="false">VLOOKUP(P3963,Sheet2!Q:R,2,0)</f>
        <v>IR Normal - Track burn out</v>
      </c>
      <c r="U3963" s="20" t="s">
        <v>41</v>
      </c>
      <c r="V3963" s="17"/>
      <c r="W3963" s="20" t="e">
        <f aca="false">VLOOKUP(V3963,Sheet2!Q:R,2,0)</f>
        <v>#N/A</v>
      </c>
      <c r="X3963" s="17" t="n">
        <f aca="false">J3963</f>
        <v>0</v>
      </c>
      <c r="Y3963" s="17" t="e">
        <f aca="false">VLOOKUP(X3963,Sheet2!A:B,2,0)</f>
        <v>#N/A</v>
      </c>
      <c r="Z3963" s="17"/>
      <c r="AA3963" s="17"/>
      <c r="AB3963" s="17" t="s">
        <v>41</v>
      </c>
      <c r="AC3963" s="0" t="str">
        <f aca="false">LEFT(G3963,2)</f>
        <v/>
      </c>
      <c r="AE3963" s="0"/>
    </row>
    <row r="3964" customFormat="false" ht="15" hidden="false" customHeight="false" outlineLevel="0" collapsed="false">
      <c r="A3964" s="13" t="n">
        <f aca="false">1+A3963</f>
        <v>3962</v>
      </c>
      <c r="B3964" s="14" t="n">
        <v>100</v>
      </c>
      <c r="C3964" s="15"/>
      <c r="D3964" s="16" t="s">
        <v>64</v>
      </c>
      <c r="E3964" s="17" t="s">
        <v>47</v>
      </c>
      <c r="F3964" s="18" t="s">
        <v>34</v>
      </c>
      <c r="G3964" s="19"/>
      <c r="H3964" s="17" t="s">
        <v>35</v>
      </c>
      <c r="I3964" s="17" t="s">
        <v>44</v>
      </c>
      <c r="J3964" s="17"/>
      <c r="K3964" s="17" t="e">
        <f aca="false">VLOOKUP(J3964,Sheet2!A:B,2,0)</f>
        <v>#N/A</v>
      </c>
      <c r="L3964" s="17" t="n">
        <v>5</v>
      </c>
      <c r="M3964" s="17" t="str">
        <f aca="false">VLOOKUP(L3964,Sheet2!D:E,2,0)</f>
        <v>Main Processor CPU BGA</v>
      </c>
      <c r="N3964" s="17" t="n">
        <v>1</v>
      </c>
      <c r="O3964" s="17" t="str">
        <f aca="false">VLOOKUP(N3964,Sheet2!G:H,2,0)</f>
        <v>Dead</v>
      </c>
      <c r="P3964" s="17" t="n">
        <v>11</v>
      </c>
      <c r="Q3964" s="17" t="str">
        <f aca="false">VLOOKUP(P3964,Sheet2!J:K,2,0)</f>
        <v>IR Declared due to CID -TA</v>
      </c>
      <c r="R3964" s="17" t="s">
        <v>35</v>
      </c>
      <c r="S3964" s="17" t="str">
        <f aca="false">VLOOKUP(R3964,Sheet2!N:O,2,0)</f>
        <v>IREPARABLE</v>
      </c>
      <c r="T3964" s="18" t="str">
        <f aca="false">VLOOKUP(P3964,Sheet2!Q:R,2,0)</f>
        <v>IR Normal - Track burn out</v>
      </c>
      <c r="U3964" s="20" t="s">
        <v>41</v>
      </c>
      <c r="V3964" s="17"/>
      <c r="W3964" s="20" t="e">
        <f aca="false">VLOOKUP(V3964,Sheet2!Q:R,2,0)</f>
        <v>#N/A</v>
      </c>
      <c r="X3964" s="17" t="n">
        <f aca="false">J3964</f>
        <v>0</v>
      </c>
      <c r="Y3964" s="17" t="e">
        <f aca="false">VLOOKUP(X3964,Sheet2!A:B,2,0)</f>
        <v>#N/A</v>
      </c>
      <c r="Z3964" s="17"/>
      <c r="AA3964" s="17"/>
      <c r="AB3964" s="17" t="s">
        <v>41</v>
      </c>
      <c r="AC3964" s="0" t="str">
        <f aca="false">LEFT(G3964,2)</f>
        <v/>
      </c>
      <c r="AE3964" s="0"/>
    </row>
    <row r="3965" customFormat="false" ht="15" hidden="false" customHeight="false" outlineLevel="0" collapsed="false">
      <c r="A3965" s="13" t="n">
        <f aca="false">1+A3964</f>
        <v>3963</v>
      </c>
      <c r="B3965" s="14" t="n">
        <v>100</v>
      </c>
      <c r="C3965" s="15"/>
      <c r="D3965" s="16" t="s">
        <v>64</v>
      </c>
      <c r="E3965" s="17" t="s">
        <v>47</v>
      </c>
      <c r="F3965" s="18" t="s">
        <v>34</v>
      </c>
      <c r="G3965" s="19"/>
      <c r="H3965" s="17" t="s">
        <v>35</v>
      </c>
      <c r="I3965" s="17" t="s">
        <v>44</v>
      </c>
      <c r="J3965" s="17"/>
      <c r="K3965" s="17" t="e">
        <f aca="false">VLOOKUP(J3965,Sheet2!A:B,2,0)</f>
        <v>#N/A</v>
      </c>
      <c r="L3965" s="17" t="n">
        <v>5</v>
      </c>
      <c r="M3965" s="17" t="str">
        <f aca="false">VLOOKUP(L3965,Sheet2!D:E,2,0)</f>
        <v>Main Processor CPU BGA</v>
      </c>
      <c r="N3965" s="17" t="n">
        <v>1</v>
      </c>
      <c r="O3965" s="17" t="str">
        <f aca="false">VLOOKUP(N3965,Sheet2!G:H,2,0)</f>
        <v>Dead</v>
      </c>
      <c r="P3965" s="17" t="n">
        <v>11</v>
      </c>
      <c r="Q3965" s="17" t="str">
        <f aca="false">VLOOKUP(P3965,Sheet2!J:K,2,0)</f>
        <v>IR Declared due to CID -TA</v>
      </c>
      <c r="R3965" s="17" t="s">
        <v>35</v>
      </c>
      <c r="S3965" s="17" t="str">
        <f aca="false">VLOOKUP(R3965,Sheet2!N:O,2,0)</f>
        <v>IREPARABLE</v>
      </c>
      <c r="T3965" s="18" t="str">
        <f aca="false">VLOOKUP(P3965,Sheet2!Q:R,2,0)</f>
        <v>IR Normal - Track burn out</v>
      </c>
      <c r="U3965" s="20" t="s">
        <v>41</v>
      </c>
      <c r="V3965" s="17"/>
      <c r="W3965" s="20" t="e">
        <f aca="false">VLOOKUP(V3965,Sheet2!Q:R,2,0)</f>
        <v>#N/A</v>
      </c>
      <c r="X3965" s="17" t="n">
        <f aca="false">J3965</f>
        <v>0</v>
      </c>
      <c r="Y3965" s="17" t="e">
        <f aca="false">VLOOKUP(X3965,Sheet2!A:B,2,0)</f>
        <v>#N/A</v>
      </c>
      <c r="Z3965" s="17"/>
      <c r="AA3965" s="17"/>
      <c r="AB3965" s="17" t="s">
        <v>41</v>
      </c>
      <c r="AC3965" s="0" t="str">
        <f aca="false">LEFT(G3965,2)</f>
        <v/>
      </c>
      <c r="AE3965" s="0"/>
    </row>
    <row r="3966" customFormat="false" ht="15" hidden="false" customHeight="false" outlineLevel="0" collapsed="false">
      <c r="A3966" s="13" t="n">
        <f aca="false">1+A3965</f>
        <v>3964</v>
      </c>
      <c r="B3966" s="14" t="n">
        <v>100</v>
      </c>
      <c r="C3966" s="15"/>
      <c r="D3966" s="16" t="s">
        <v>64</v>
      </c>
      <c r="E3966" s="17" t="s">
        <v>47</v>
      </c>
      <c r="F3966" s="18" t="s">
        <v>34</v>
      </c>
      <c r="G3966" s="19"/>
      <c r="H3966" s="17" t="s">
        <v>35</v>
      </c>
      <c r="I3966" s="17" t="s">
        <v>44</v>
      </c>
      <c r="J3966" s="17"/>
      <c r="K3966" s="17" t="e">
        <f aca="false">VLOOKUP(J3966,Sheet2!A:B,2,0)</f>
        <v>#N/A</v>
      </c>
      <c r="L3966" s="17" t="n">
        <v>5</v>
      </c>
      <c r="M3966" s="17" t="str">
        <f aca="false">VLOOKUP(L3966,Sheet2!D:E,2,0)</f>
        <v>Main Processor CPU BGA</v>
      </c>
      <c r="N3966" s="17" t="n">
        <v>1</v>
      </c>
      <c r="O3966" s="17" t="str">
        <f aca="false">VLOOKUP(N3966,Sheet2!G:H,2,0)</f>
        <v>Dead</v>
      </c>
      <c r="P3966" s="17" t="n">
        <v>11</v>
      </c>
      <c r="Q3966" s="17" t="str">
        <f aca="false">VLOOKUP(P3966,Sheet2!J:K,2,0)</f>
        <v>IR Declared due to CID -TA</v>
      </c>
      <c r="R3966" s="17" t="s">
        <v>35</v>
      </c>
      <c r="S3966" s="17" t="str">
        <f aca="false">VLOOKUP(R3966,Sheet2!N:O,2,0)</f>
        <v>IREPARABLE</v>
      </c>
      <c r="T3966" s="18" t="str">
        <f aca="false">VLOOKUP(P3966,Sheet2!Q:R,2,0)</f>
        <v>IR Normal - Track burn out</v>
      </c>
      <c r="U3966" s="20" t="s">
        <v>41</v>
      </c>
      <c r="V3966" s="17"/>
      <c r="W3966" s="20" t="e">
        <f aca="false">VLOOKUP(V3966,Sheet2!Q:R,2,0)</f>
        <v>#N/A</v>
      </c>
      <c r="X3966" s="17" t="n">
        <f aca="false">J3966</f>
        <v>0</v>
      </c>
      <c r="Y3966" s="17" t="e">
        <f aca="false">VLOOKUP(X3966,Sheet2!A:B,2,0)</f>
        <v>#N/A</v>
      </c>
      <c r="Z3966" s="17"/>
      <c r="AA3966" s="17"/>
      <c r="AB3966" s="17" t="s">
        <v>41</v>
      </c>
      <c r="AC3966" s="0" t="str">
        <f aca="false">LEFT(G3966,2)</f>
        <v/>
      </c>
      <c r="AE3966" s="0"/>
    </row>
    <row r="3967" customFormat="false" ht="15" hidden="false" customHeight="false" outlineLevel="0" collapsed="false">
      <c r="A3967" s="13" t="n">
        <f aca="false">1+A3966</f>
        <v>3965</v>
      </c>
      <c r="B3967" s="14" t="n">
        <v>100</v>
      </c>
      <c r="C3967" s="15"/>
      <c r="D3967" s="16" t="s">
        <v>64</v>
      </c>
      <c r="E3967" s="17" t="s">
        <v>47</v>
      </c>
      <c r="F3967" s="18" t="s">
        <v>34</v>
      </c>
      <c r="G3967" s="19"/>
      <c r="H3967" s="17" t="s">
        <v>35</v>
      </c>
      <c r="I3967" s="17" t="s">
        <v>44</v>
      </c>
      <c r="J3967" s="17"/>
      <c r="K3967" s="17" t="e">
        <f aca="false">VLOOKUP(J3967,Sheet2!A:B,2,0)</f>
        <v>#N/A</v>
      </c>
      <c r="L3967" s="17" t="n">
        <v>5</v>
      </c>
      <c r="M3967" s="17" t="str">
        <f aca="false">VLOOKUP(L3967,Sheet2!D:E,2,0)</f>
        <v>Main Processor CPU BGA</v>
      </c>
      <c r="N3967" s="17" t="n">
        <v>1</v>
      </c>
      <c r="O3967" s="17" t="str">
        <f aca="false">VLOOKUP(N3967,Sheet2!G:H,2,0)</f>
        <v>Dead</v>
      </c>
      <c r="P3967" s="17" t="n">
        <v>11</v>
      </c>
      <c r="Q3967" s="17" t="str">
        <f aca="false">VLOOKUP(P3967,Sheet2!J:K,2,0)</f>
        <v>IR Declared due to CID -TA</v>
      </c>
      <c r="R3967" s="17" t="s">
        <v>35</v>
      </c>
      <c r="S3967" s="17" t="str">
        <f aca="false">VLOOKUP(R3967,Sheet2!N:O,2,0)</f>
        <v>IREPARABLE</v>
      </c>
      <c r="T3967" s="18" t="str">
        <f aca="false">VLOOKUP(P3967,Sheet2!Q:R,2,0)</f>
        <v>IR Normal - Track burn out</v>
      </c>
      <c r="U3967" s="20" t="s">
        <v>41</v>
      </c>
      <c r="V3967" s="17"/>
      <c r="W3967" s="20" t="e">
        <f aca="false">VLOOKUP(V3967,Sheet2!Q:R,2,0)</f>
        <v>#N/A</v>
      </c>
      <c r="X3967" s="17" t="n">
        <f aca="false">J3967</f>
        <v>0</v>
      </c>
      <c r="Y3967" s="17" t="e">
        <f aca="false">VLOOKUP(X3967,Sheet2!A:B,2,0)</f>
        <v>#N/A</v>
      </c>
      <c r="Z3967" s="17"/>
      <c r="AA3967" s="17"/>
      <c r="AB3967" s="17" t="s">
        <v>41</v>
      </c>
      <c r="AC3967" s="0" t="str">
        <f aca="false">LEFT(G3967,2)</f>
        <v/>
      </c>
      <c r="AE3967" s="0"/>
    </row>
    <row r="3968" customFormat="false" ht="15" hidden="false" customHeight="false" outlineLevel="0" collapsed="false">
      <c r="A3968" s="13" t="n">
        <f aca="false">1+A3967</f>
        <v>3966</v>
      </c>
      <c r="B3968" s="14" t="n">
        <v>100</v>
      </c>
      <c r="C3968" s="15"/>
      <c r="D3968" s="16" t="s">
        <v>64</v>
      </c>
      <c r="E3968" s="17" t="s">
        <v>47</v>
      </c>
      <c r="F3968" s="18" t="s">
        <v>34</v>
      </c>
      <c r="G3968" s="19"/>
      <c r="H3968" s="17" t="s">
        <v>35</v>
      </c>
      <c r="I3968" s="17" t="s">
        <v>44</v>
      </c>
      <c r="J3968" s="17"/>
      <c r="K3968" s="17" t="e">
        <f aca="false">VLOOKUP(J3968,Sheet2!A:B,2,0)</f>
        <v>#N/A</v>
      </c>
      <c r="L3968" s="17" t="n">
        <v>5</v>
      </c>
      <c r="M3968" s="17" t="str">
        <f aca="false">VLOOKUP(L3968,Sheet2!D:E,2,0)</f>
        <v>Main Processor CPU BGA</v>
      </c>
      <c r="N3968" s="17" t="n">
        <v>1</v>
      </c>
      <c r="O3968" s="17" t="str">
        <f aca="false">VLOOKUP(N3968,Sheet2!G:H,2,0)</f>
        <v>Dead</v>
      </c>
      <c r="P3968" s="17" t="n">
        <v>11</v>
      </c>
      <c r="Q3968" s="17" t="str">
        <f aca="false">VLOOKUP(P3968,Sheet2!J:K,2,0)</f>
        <v>IR Declared due to CID -TA</v>
      </c>
      <c r="R3968" s="17" t="s">
        <v>35</v>
      </c>
      <c r="S3968" s="17" t="str">
        <f aca="false">VLOOKUP(R3968,Sheet2!N:O,2,0)</f>
        <v>IREPARABLE</v>
      </c>
      <c r="T3968" s="18" t="str">
        <f aca="false">VLOOKUP(P3968,Sheet2!Q:R,2,0)</f>
        <v>IR Normal - Track burn out</v>
      </c>
      <c r="U3968" s="20" t="s">
        <v>41</v>
      </c>
      <c r="V3968" s="17"/>
      <c r="W3968" s="20" t="e">
        <f aca="false">VLOOKUP(V3968,Sheet2!Q:R,2,0)</f>
        <v>#N/A</v>
      </c>
      <c r="X3968" s="17" t="n">
        <f aca="false">J3968</f>
        <v>0</v>
      </c>
      <c r="Y3968" s="17" t="e">
        <f aca="false">VLOOKUP(X3968,Sheet2!A:B,2,0)</f>
        <v>#N/A</v>
      </c>
      <c r="Z3968" s="17"/>
      <c r="AA3968" s="17"/>
      <c r="AB3968" s="17" t="s">
        <v>41</v>
      </c>
      <c r="AC3968" s="0" t="str">
        <f aca="false">LEFT(G3968,2)</f>
        <v/>
      </c>
      <c r="AE3968" s="0"/>
    </row>
    <row r="3969" customFormat="false" ht="15" hidden="false" customHeight="false" outlineLevel="0" collapsed="false">
      <c r="A3969" s="13" t="n">
        <f aca="false">1+A3968</f>
        <v>3967</v>
      </c>
      <c r="B3969" s="14" t="n">
        <v>100</v>
      </c>
      <c r="C3969" s="15"/>
      <c r="D3969" s="16" t="s">
        <v>64</v>
      </c>
      <c r="E3969" s="17" t="s">
        <v>47</v>
      </c>
      <c r="F3969" s="18" t="s">
        <v>34</v>
      </c>
      <c r="G3969" s="19"/>
      <c r="H3969" s="17" t="s">
        <v>35</v>
      </c>
      <c r="I3969" s="17" t="s">
        <v>44</v>
      </c>
      <c r="J3969" s="17"/>
      <c r="K3969" s="17" t="e">
        <f aca="false">VLOOKUP(J3969,Sheet2!A:B,2,0)</f>
        <v>#N/A</v>
      </c>
      <c r="L3969" s="17" t="n">
        <v>5</v>
      </c>
      <c r="M3969" s="17" t="str">
        <f aca="false">VLOOKUP(L3969,Sheet2!D:E,2,0)</f>
        <v>Main Processor CPU BGA</v>
      </c>
      <c r="N3969" s="17" t="n">
        <v>1</v>
      </c>
      <c r="O3969" s="17" t="str">
        <f aca="false">VLOOKUP(N3969,Sheet2!G:H,2,0)</f>
        <v>Dead</v>
      </c>
      <c r="P3969" s="17" t="n">
        <v>11</v>
      </c>
      <c r="Q3969" s="17" t="str">
        <f aca="false">VLOOKUP(P3969,Sheet2!J:K,2,0)</f>
        <v>IR Declared due to CID -TA</v>
      </c>
      <c r="R3969" s="17" t="s">
        <v>35</v>
      </c>
      <c r="S3969" s="17" t="str">
        <f aca="false">VLOOKUP(R3969,Sheet2!N:O,2,0)</f>
        <v>IREPARABLE</v>
      </c>
      <c r="T3969" s="18" t="str">
        <f aca="false">VLOOKUP(P3969,Sheet2!Q:R,2,0)</f>
        <v>IR Normal - Track burn out</v>
      </c>
      <c r="U3969" s="20" t="s">
        <v>41</v>
      </c>
      <c r="V3969" s="17"/>
      <c r="W3969" s="20" t="e">
        <f aca="false">VLOOKUP(V3969,Sheet2!Q:R,2,0)</f>
        <v>#N/A</v>
      </c>
      <c r="X3969" s="17" t="n">
        <f aca="false">J3969</f>
        <v>0</v>
      </c>
      <c r="Y3969" s="17" t="e">
        <f aca="false">VLOOKUP(X3969,Sheet2!A:B,2,0)</f>
        <v>#N/A</v>
      </c>
      <c r="Z3969" s="17"/>
      <c r="AA3969" s="17"/>
      <c r="AB3969" s="17" t="s">
        <v>41</v>
      </c>
      <c r="AC3969" s="0" t="str">
        <f aca="false">LEFT(G3969,2)</f>
        <v/>
      </c>
      <c r="AE3969" s="0"/>
    </row>
    <row r="3970" customFormat="false" ht="15" hidden="false" customHeight="false" outlineLevel="0" collapsed="false">
      <c r="A3970" s="13" t="n">
        <f aca="false">1+A3969</f>
        <v>3968</v>
      </c>
      <c r="B3970" s="14" t="n">
        <v>100</v>
      </c>
      <c r="C3970" s="15"/>
      <c r="D3970" s="16" t="s">
        <v>64</v>
      </c>
      <c r="E3970" s="17" t="s">
        <v>47</v>
      </c>
      <c r="F3970" s="18" t="s">
        <v>34</v>
      </c>
      <c r="G3970" s="19"/>
      <c r="H3970" s="17" t="s">
        <v>35</v>
      </c>
      <c r="I3970" s="17" t="s">
        <v>44</v>
      </c>
      <c r="J3970" s="17"/>
      <c r="K3970" s="17" t="e">
        <f aca="false">VLOOKUP(J3970,Sheet2!A:B,2,0)</f>
        <v>#N/A</v>
      </c>
      <c r="L3970" s="17" t="n">
        <v>5</v>
      </c>
      <c r="M3970" s="17" t="str">
        <f aca="false">VLOOKUP(L3970,Sheet2!D:E,2,0)</f>
        <v>Main Processor CPU BGA</v>
      </c>
      <c r="N3970" s="17" t="n">
        <v>1</v>
      </c>
      <c r="O3970" s="17" t="str">
        <f aca="false">VLOOKUP(N3970,Sheet2!G:H,2,0)</f>
        <v>Dead</v>
      </c>
      <c r="P3970" s="17" t="n">
        <v>11</v>
      </c>
      <c r="Q3970" s="17" t="str">
        <f aca="false">VLOOKUP(P3970,Sheet2!J:K,2,0)</f>
        <v>IR Declared due to CID -TA</v>
      </c>
      <c r="R3970" s="17" t="s">
        <v>35</v>
      </c>
      <c r="S3970" s="17" t="str">
        <f aca="false">VLOOKUP(R3970,Sheet2!N:O,2,0)</f>
        <v>IREPARABLE</v>
      </c>
      <c r="T3970" s="18" t="str">
        <f aca="false">VLOOKUP(P3970,Sheet2!Q:R,2,0)</f>
        <v>IR Normal - Track burn out</v>
      </c>
      <c r="U3970" s="20" t="s">
        <v>41</v>
      </c>
      <c r="V3970" s="17"/>
      <c r="W3970" s="20" t="e">
        <f aca="false">VLOOKUP(V3970,Sheet2!Q:R,2,0)</f>
        <v>#N/A</v>
      </c>
      <c r="X3970" s="17" t="n">
        <f aca="false">J3970</f>
        <v>0</v>
      </c>
      <c r="Y3970" s="17" t="e">
        <f aca="false">VLOOKUP(X3970,Sheet2!A:B,2,0)</f>
        <v>#N/A</v>
      </c>
      <c r="Z3970" s="17"/>
      <c r="AA3970" s="17"/>
      <c r="AB3970" s="17" t="s">
        <v>41</v>
      </c>
      <c r="AC3970" s="0" t="str">
        <f aca="false">LEFT(G3970,2)</f>
        <v/>
      </c>
      <c r="AE3970" s="0"/>
    </row>
    <row r="3971" customFormat="false" ht="15" hidden="false" customHeight="false" outlineLevel="0" collapsed="false">
      <c r="A3971" s="13" t="n">
        <f aca="false">1+A3970</f>
        <v>3969</v>
      </c>
      <c r="B3971" s="14" t="n">
        <v>100</v>
      </c>
      <c r="C3971" s="15"/>
      <c r="D3971" s="16" t="s">
        <v>64</v>
      </c>
      <c r="E3971" s="17" t="s">
        <v>47</v>
      </c>
      <c r="F3971" s="18" t="s">
        <v>34</v>
      </c>
      <c r="G3971" s="19"/>
      <c r="H3971" s="17" t="s">
        <v>35</v>
      </c>
      <c r="I3971" s="17" t="s">
        <v>44</v>
      </c>
      <c r="J3971" s="17"/>
      <c r="K3971" s="17" t="e">
        <f aca="false">VLOOKUP(J3971,Sheet2!A:B,2,0)</f>
        <v>#N/A</v>
      </c>
      <c r="L3971" s="17" t="n">
        <v>5</v>
      </c>
      <c r="M3971" s="17" t="str">
        <f aca="false">VLOOKUP(L3971,Sheet2!D:E,2,0)</f>
        <v>Main Processor CPU BGA</v>
      </c>
      <c r="N3971" s="17" t="n">
        <v>1</v>
      </c>
      <c r="O3971" s="17" t="str">
        <f aca="false">VLOOKUP(N3971,Sheet2!G:H,2,0)</f>
        <v>Dead</v>
      </c>
      <c r="P3971" s="17" t="n">
        <v>11</v>
      </c>
      <c r="Q3971" s="17" t="str">
        <f aca="false">VLOOKUP(P3971,Sheet2!J:K,2,0)</f>
        <v>IR Declared due to CID -TA</v>
      </c>
      <c r="R3971" s="17" t="s">
        <v>35</v>
      </c>
      <c r="S3971" s="17" t="str">
        <f aca="false">VLOOKUP(R3971,Sheet2!N:O,2,0)</f>
        <v>IREPARABLE</v>
      </c>
      <c r="T3971" s="18" t="str">
        <f aca="false">VLOOKUP(P3971,Sheet2!Q:R,2,0)</f>
        <v>IR Normal - Track burn out</v>
      </c>
      <c r="U3971" s="20" t="s">
        <v>41</v>
      </c>
      <c r="V3971" s="17"/>
      <c r="W3971" s="20" t="e">
        <f aca="false">VLOOKUP(V3971,Sheet2!Q:R,2,0)</f>
        <v>#N/A</v>
      </c>
      <c r="X3971" s="17" t="n">
        <f aca="false">J3971</f>
        <v>0</v>
      </c>
      <c r="Y3971" s="17" t="e">
        <f aca="false">VLOOKUP(X3971,Sheet2!A:B,2,0)</f>
        <v>#N/A</v>
      </c>
      <c r="Z3971" s="17"/>
      <c r="AA3971" s="17"/>
      <c r="AB3971" s="17" t="s">
        <v>41</v>
      </c>
      <c r="AC3971" s="0" t="str">
        <f aca="false">LEFT(G3971,2)</f>
        <v/>
      </c>
      <c r="AE3971" s="0"/>
    </row>
    <row r="3972" customFormat="false" ht="15" hidden="false" customHeight="false" outlineLevel="0" collapsed="false">
      <c r="A3972" s="13" t="n">
        <f aca="false">1+A3971</f>
        <v>3970</v>
      </c>
      <c r="B3972" s="14" t="n">
        <v>100</v>
      </c>
      <c r="C3972" s="15"/>
      <c r="D3972" s="16" t="s">
        <v>64</v>
      </c>
      <c r="E3972" s="17" t="s">
        <v>47</v>
      </c>
      <c r="F3972" s="18" t="s">
        <v>34</v>
      </c>
      <c r="G3972" s="19"/>
      <c r="H3972" s="17" t="s">
        <v>35</v>
      </c>
      <c r="I3972" s="17" t="s">
        <v>44</v>
      </c>
      <c r="J3972" s="17"/>
      <c r="K3972" s="17" t="e">
        <f aca="false">VLOOKUP(J3972,Sheet2!A:B,2,0)</f>
        <v>#N/A</v>
      </c>
      <c r="L3972" s="17" t="n">
        <v>5</v>
      </c>
      <c r="M3972" s="17" t="str">
        <f aca="false">VLOOKUP(L3972,Sheet2!D:E,2,0)</f>
        <v>Main Processor CPU BGA</v>
      </c>
      <c r="N3972" s="17" t="n">
        <v>1</v>
      </c>
      <c r="O3972" s="17" t="str">
        <f aca="false">VLOOKUP(N3972,Sheet2!G:H,2,0)</f>
        <v>Dead</v>
      </c>
      <c r="P3972" s="17" t="n">
        <v>11</v>
      </c>
      <c r="Q3972" s="17" t="str">
        <f aca="false">VLOOKUP(P3972,Sheet2!J:K,2,0)</f>
        <v>IR Declared due to CID -TA</v>
      </c>
      <c r="R3972" s="17" t="s">
        <v>35</v>
      </c>
      <c r="S3972" s="17" t="str">
        <f aca="false">VLOOKUP(R3972,Sheet2!N:O,2,0)</f>
        <v>IREPARABLE</v>
      </c>
      <c r="T3972" s="18" t="str">
        <f aca="false">VLOOKUP(P3972,Sheet2!Q:R,2,0)</f>
        <v>IR Normal - Track burn out</v>
      </c>
      <c r="U3972" s="20" t="s">
        <v>41</v>
      </c>
      <c r="V3972" s="17"/>
      <c r="W3972" s="20" t="e">
        <f aca="false">VLOOKUP(V3972,Sheet2!Q:R,2,0)</f>
        <v>#N/A</v>
      </c>
      <c r="X3972" s="17" t="n">
        <f aca="false">J3972</f>
        <v>0</v>
      </c>
      <c r="Y3972" s="17" t="e">
        <f aca="false">VLOOKUP(X3972,Sheet2!A:B,2,0)</f>
        <v>#N/A</v>
      </c>
      <c r="Z3972" s="17"/>
      <c r="AA3972" s="17"/>
      <c r="AB3972" s="17" t="s">
        <v>41</v>
      </c>
      <c r="AC3972" s="0" t="str">
        <f aca="false">LEFT(G3972,2)</f>
        <v/>
      </c>
      <c r="AE3972" s="0"/>
    </row>
    <row r="3973" customFormat="false" ht="15" hidden="false" customHeight="false" outlineLevel="0" collapsed="false">
      <c r="A3973" s="13" t="n">
        <f aca="false">1+A3972</f>
        <v>3971</v>
      </c>
      <c r="B3973" s="14" t="n">
        <v>100</v>
      </c>
      <c r="C3973" s="15"/>
      <c r="D3973" s="16" t="s">
        <v>64</v>
      </c>
      <c r="E3973" s="17" t="s">
        <v>47</v>
      </c>
      <c r="F3973" s="18" t="s">
        <v>34</v>
      </c>
      <c r="G3973" s="19"/>
      <c r="H3973" s="17" t="s">
        <v>35</v>
      </c>
      <c r="I3973" s="17" t="s">
        <v>44</v>
      </c>
      <c r="J3973" s="17"/>
      <c r="K3973" s="17" t="e">
        <f aca="false">VLOOKUP(J3973,Sheet2!A:B,2,0)</f>
        <v>#N/A</v>
      </c>
      <c r="L3973" s="17" t="n">
        <v>5</v>
      </c>
      <c r="M3973" s="17" t="str">
        <f aca="false">VLOOKUP(L3973,Sheet2!D:E,2,0)</f>
        <v>Main Processor CPU BGA</v>
      </c>
      <c r="N3973" s="17" t="n">
        <v>1</v>
      </c>
      <c r="O3973" s="17" t="str">
        <f aca="false">VLOOKUP(N3973,Sheet2!G:H,2,0)</f>
        <v>Dead</v>
      </c>
      <c r="P3973" s="17" t="n">
        <v>11</v>
      </c>
      <c r="Q3973" s="17" t="str">
        <f aca="false">VLOOKUP(P3973,Sheet2!J:K,2,0)</f>
        <v>IR Declared due to CID -TA</v>
      </c>
      <c r="R3973" s="17" t="s">
        <v>35</v>
      </c>
      <c r="S3973" s="17" t="str">
        <f aca="false">VLOOKUP(R3973,Sheet2!N:O,2,0)</f>
        <v>IREPARABLE</v>
      </c>
      <c r="T3973" s="18" t="str">
        <f aca="false">VLOOKUP(P3973,Sheet2!Q:R,2,0)</f>
        <v>IR Normal - Track burn out</v>
      </c>
      <c r="U3973" s="20" t="s">
        <v>41</v>
      </c>
      <c r="V3973" s="17"/>
      <c r="W3973" s="20" t="e">
        <f aca="false">VLOOKUP(V3973,Sheet2!Q:R,2,0)</f>
        <v>#N/A</v>
      </c>
      <c r="X3973" s="17" t="n">
        <f aca="false">J3973</f>
        <v>0</v>
      </c>
      <c r="Y3973" s="17" t="e">
        <f aca="false">VLOOKUP(X3973,Sheet2!A:B,2,0)</f>
        <v>#N/A</v>
      </c>
      <c r="Z3973" s="17"/>
      <c r="AA3973" s="17"/>
      <c r="AB3973" s="17" t="s">
        <v>41</v>
      </c>
      <c r="AC3973" s="0" t="str">
        <f aca="false">LEFT(G3973,2)</f>
        <v/>
      </c>
      <c r="AE3973" s="0"/>
    </row>
    <row r="3974" customFormat="false" ht="15" hidden="false" customHeight="false" outlineLevel="0" collapsed="false">
      <c r="A3974" s="13" t="n">
        <f aca="false">1+A3973</f>
        <v>3972</v>
      </c>
      <c r="B3974" s="14" t="n">
        <v>100</v>
      </c>
      <c r="C3974" s="15"/>
      <c r="D3974" s="16" t="s">
        <v>64</v>
      </c>
      <c r="E3974" s="17" t="s">
        <v>47</v>
      </c>
      <c r="F3974" s="18" t="s">
        <v>34</v>
      </c>
      <c r="G3974" s="19"/>
      <c r="H3974" s="17" t="s">
        <v>35</v>
      </c>
      <c r="I3974" s="17" t="s">
        <v>44</v>
      </c>
      <c r="J3974" s="17"/>
      <c r="K3974" s="17" t="e">
        <f aca="false">VLOOKUP(J3974,Sheet2!A:B,2,0)</f>
        <v>#N/A</v>
      </c>
      <c r="L3974" s="17" t="n">
        <v>5</v>
      </c>
      <c r="M3974" s="17" t="str">
        <f aca="false">VLOOKUP(L3974,Sheet2!D:E,2,0)</f>
        <v>Main Processor CPU BGA</v>
      </c>
      <c r="N3974" s="17" t="n">
        <v>1</v>
      </c>
      <c r="O3974" s="17" t="str">
        <f aca="false">VLOOKUP(N3974,Sheet2!G:H,2,0)</f>
        <v>Dead</v>
      </c>
      <c r="P3974" s="17" t="n">
        <v>11</v>
      </c>
      <c r="Q3974" s="17" t="str">
        <f aca="false">VLOOKUP(P3974,Sheet2!J:K,2,0)</f>
        <v>IR Declared due to CID -TA</v>
      </c>
      <c r="R3974" s="17" t="s">
        <v>35</v>
      </c>
      <c r="S3974" s="17" t="str">
        <f aca="false">VLOOKUP(R3974,Sheet2!N:O,2,0)</f>
        <v>IREPARABLE</v>
      </c>
      <c r="T3974" s="18" t="str">
        <f aca="false">VLOOKUP(P3974,Sheet2!Q:R,2,0)</f>
        <v>IR Normal - Track burn out</v>
      </c>
      <c r="U3974" s="20" t="s">
        <v>41</v>
      </c>
      <c r="V3974" s="17"/>
      <c r="W3974" s="20" t="e">
        <f aca="false">VLOOKUP(V3974,Sheet2!Q:R,2,0)</f>
        <v>#N/A</v>
      </c>
      <c r="X3974" s="17" t="n">
        <f aca="false">J3974</f>
        <v>0</v>
      </c>
      <c r="Y3974" s="17" t="e">
        <f aca="false">VLOOKUP(X3974,Sheet2!A:B,2,0)</f>
        <v>#N/A</v>
      </c>
      <c r="Z3974" s="17"/>
      <c r="AA3974" s="17"/>
      <c r="AB3974" s="17" t="s">
        <v>41</v>
      </c>
      <c r="AC3974" s="0" t="str">
        <f aca="false">LEFT(G3974,2)</f>
        <v/>
      </c>
      <c r="AE3974" s="0"/>
    </row>
    <row r="3975" customFormat="false" ht="15" hidden="false" customHeight="false" outlineLevel="0" collapsed="false">
      <c r="A3975" s="13" t="n">
        <f aca="false">1+A3974</f>
        <v>3973</v>
      </c>
      <c r="B3975" s="14" t="n">
        <v>100</v>
      </c>
      <c r="C3975" s="15"/>
      <c r="D3975" s="16" t="s">
        <v>64</v>
      </c>
      <c r="E3975" s="17" t="s">
        <v>47</v>
      </c>
      <c r="F3975" s="18" t="s">
        <v>34</v>
      </c>
      <c r="G3975" s="19"/>
      <c r="H3975" s="17" t="s">
        <v>35</v>
      </c>
      <c r="I3975" s="17" t="s">
        <v>44</v>
      </c>
      <c r="J3975" s="17"/>
      <c r="K3975" s="17" t="e">
        <f aca="false">VLOOKUP(J3975,Sheet2!A:B,2,0)</f>
        <v>#N/A</v>
      </c>
      <c r="L3975" s="17" t="n">
        <v>5</v>
      </c>
      <c r="M3975" s="17" t="str">
        <f aca="false">VLOOKUP(L3975,Sheet2!D:E,2,0)</f>
        <v>Main Processor CPU BGA</v>
      </c>
      <c r="N3975" s="17" t="n">
        <v>1</v>
      </c>
      <c r="O3975" s="17" t="str">
        <f aca="false">VLOOKUP(N3975,Sheet2!G:H,2,0)</f>
        <v>Dead</v>
      </c>
      <c r="P3975" s="17" t="n">
        <v>11</v>
      </c>
      <c r="Q3975" s="17" t="str">
        <f aca="false">VLOOKUP(P3975,Sheet2!J:K,2,0)</f>
        <v>IR Declared due to CID -TA</v>
      </c>
      <c r="R3975" s="17" t="s">
        <v>35</v>
      </c>
      <c r="S3975" s="17" t="str">
        <f aca="false">VLOOKUP(R3975,Sheet2!N:O,2,0)</f>
        <v>IREPARABLE</v>
      </c>
      <c r="T3975" s="18" t="str">
        <f aca="false">VLOOKUP(P3975,Sheet2!Q:R,2,0)</f>
        <v>IR Normal - Track burn out</v>
      </c>
      <c r="U3975" s="20" t="s">
        <v>41</v>
      </c>
      <c r="V3975" s="17"/>
      <c r="W3975" s="20" t="e">
        <f aca="false">VLOOKUP(V3975,Sheet2!Q:R,2,0)</f>
        <v>#N/A</v>
      </c>
      <c r="X3975" s="17" t="n">
        <f aca="false">J3975</f>
        <v>0</v>
      </c>
      <c r="Y3975" s="17" t="e">
        <f aca="false">VLOOKUP(X3975,Sheet2!A:B,2,0)</f>
        <v>#N/A</v>
      </c>
      <c r="Z3975" s="17"/>
      <c r="AA3975" s="17"/>
      <c r="AB3975" s="17" t="s">
        <v>41</v>
      </c>
      <c r="AC3975" s="0" t="str">
        <f aca="false">LEFT(G3975,2)</f>
        <v/>
      </c>
      <c r="AE3975" s="0"/>
    </row>
    <row r="3976" customFormat="false" ht="15" hidden="false" customHeight="false" outlineLevel="0" collapsed="false">
      <c r="A3976" s="13" t="n">
        <f aca="false">1+A3975</f>
        <v>3974</v>
      </c>
      <c r="B3976" s="14" t="n">
        <v>100</v>
      </c>
      <c r="C3976" s="15"/>
      <c r="D3976" s="16" t="s">
        <v>64</v>
      </c>
      <c r="E3976" s="17" t="s">
        <v>47</v>
      </c>
      <c r="F3976" s="18" t="s">
        <v>34</v>
      </c>
      <c r="G3976" s="19"/>
      <c r="H3976" s="17" t="s">
        <v>35</v>
      </c>
      <c r="I3976" s="17" t="s">
        <v>44</v>
      </c>
      <c r="J3976" s="17"/>
      <c r="K3976" s="17" t="e">
        <f aca="false">VLOOKUP(J3976,Sheet2!A:B,2,0)</f>
        <v>#N/A</v>
      </c>
      <c r="L3976" s="17" t="n">
        <v>5</v>
      </c>
      <c r="M3976" s="17" t="str">
        <f aca="false">VLOOKUP(L3976,Sheet2!D:E,2,0)</f>
        <v>Main Processor CPU BGA</v>
      </c>
      <c r="N3976" s="17" t="n">
        <v>1</v>
      </c>
      <c r="O3976" s="17" t="str">
        <f aca="false">VLOOKUP(N3976,Sheet2!G:H,2,0)</f>
        <v>Dead</v>
      </c>
      <c r="P3976" s="17" t="n">
        <v>11</v>
      </c>
      <c r="Q3976" s="17" t="str">
        <f aca="false">VLOOKUP(P3976,Sheet2!J:K,2,0)</f>
        <v>IR Declared due to CID -TA</v>
      </c>
      <c r="R3976" s="17" t="s">
        <v>35</v>
      </c>
      <c r="S3976" s="17" t="str">
        <f aca="false">VLOOKUP(R3976,Sheet2!N:O,2,0)</f>
        <v>IREPARABLE</v>
      </c>
      <c r="T3976" s="18" t="str">
        <f aca="false">VLOOKUP(P3976,Sheet2!Q:R,2,0)</f>
        <v>IR Normal - Track burn out</v>
      </c>
      <c r="U3976" s="20" t="s">
        <v>41</v>
      </c>
      <c r="V3976" s="17"/>
      <c r="W3976" s="20" t="e">
        <f aca="false">VLOOKUP(V3976,Sheet2!Q:R,2,0)</f>
        <v>#N/A</v>
      </c>
      <c r="X3976" s="17" t="n">
        <f aca="false">J3976</f>
        <v>0</v>
      </c>
      <c r="Y3976" s="17" t="e">
        <f aca="false">VLOOKUP(X3976,Sheet2!A:B,2,0)</f>
        <v>#N/A</v>
      </c>
      <c r="Z3976" s="17"/>
      <c r="AA3976" s="17"/>
      <c r="AB3976" s="17" t="s">
        <v>41</v>
      </c>
      <c r="AC3976" s="0" t="str">
        <f aca="false">LEFT(G3976,2)</f>
        <v/>
      </c>
      <c r="AE3976" s="0"/>
    </row>
    <row r="3977" customFormat="false" ht="15" hidden="false" customHeight="false" outlineLevel="0" collapsed="false">
      <c r="A3977" s="13" t="n">
        <f aca="false">1+A3976</f>
        <v>3975</v>
      </c>
      <c r="B3977" s="14" t="n">
        <v>100</v>
      </c>
      <c r="C3977" s="15"/>
      <c r="D3977" s="16" t="s">
        <v>64</v>
      </c>
      <c r="E3977" s="17" t="s">
        <v>47</v>
      </c>
      <c r="F3977" s="18" t="s">
        <v>34</v>
      </c>
      <c r="G3977" s="19"/>
      <c r="H3977" s="17" t="s">
        <v>35</v>
      </c>
      <c r="I3977" s="17" t="s">
        <v>44</v>
      </c>
      <c r="J3977" s="17"/>
      <c r="K3977" s="17" t="e">
        <f aca="false">VLOOKUP(J3977,Sheet2!A:B,2,0)</f>
        <v>#N/A</v>
      </c>
      <c r="L3977" s="17" t="n">
        <v>5</v>
      </c>
      <c r="M3977" s="17" t="str">
        <f aca="false">VLOOKUP(L3977,Sheet2!D:E,2,0)</f>
        <v>Main Processor CPU BGA</v>
      </c>
      <c r="N3977" s="17" t="n">
        <v>1</v>
      </c>
      <c r="O3977" s="17" t="str">
        <f aca="false">VLOOKUP(N3977,Sheet2!G:H,2,0)</f>
        <v>Dead</v>
      </c>
      <c r="P3977" s="17" t="n">
        <v>11</v>
      </c>
      <c r="Q3977" s="17" t="str">
        <f aca="false">VLOOKUP(P3977,Sheet2!J:K,2,0)</f>
        <v>IR Declared due to CID -TA</v>
      </c>
      <c r="R3977" s="17" t="s">
        <v>35</v>
      </c>
      <c r="S3977" s="17" t="str">
        <f aca="false">VLOOKUP(R3977,Sheet2!N:O,2,0)</f>
        <v>IREPARABLE</v>
      </c>
      <c r="T3977" s="18" t="str">
        <f aca="false">VLOOKUP(P3977,Sheet2!Q:R,2,0)</f>
        <v>IR Normal - Track burn out</v>
      </c>
      <c r="U3977" s="20" t="s">
        <v>41</v>
      </c>
      <c r="V3977" s="17"/>
      <c r="W3977" s="20" t="e">
        <f aca="false">VLOOKUP(V3977,Sheet2!Q:R,2,0)</f>
        <v>#N/A</v>
      </c>
      <c r="X3977" s="17" t="n">
        <f aca="false">J3977</f>
        <v>0</v>
      </c>
      <c r="Y3977" s="17" t="e">
        <f aca="false">VLOOKUP(X3977,Sheet2!A:B,2,0)</f>
        <v>#N/A</v>
      </c>
      <c r="Z3977" s="17"/>
      <c r="AA3977" s="17"/>
      <c r="AB3977" s="17" t="s">
        <v>41</v>
      </c>
      <c r="AC3977" s="0" t="str">
        <f aca="false">LEFT(G3977,2)</f>
        <v/>
      </c>
      <c r="AE3977" s="0"/>
    </row>
    <row r="3978" customFormat="false" ht="15" hidden="false" customHeight="false" outlineLevel="0" collapsed="false">
      <c r="A3978" s="13" t="n">
        <f aca="false">1+A3977</f>
        <v>3976</v>
      </c>
      <c r="B3978" s="14" t="n">
        <v>100</v>
      </c>
      <c r="C3978" s="15"/>
      <c r="D3978" s="16" t="s">
        <v>64</v>
      </c>
      <c r="E3978" s="17" t="s">
        <v>47</v>
      </c>
      <c r="F3978" s="18" t="s">
        <v>34</v>
      </c>
      <c r="G3978" s="19"/>
      <c r="H3978" s="17" t="s">
        <v>35</v>
      </c>
      <c r="I3978" s="17" t="s">
        <v>44</v>
      </c>
      <c r="J3978" s="17"/>
      <c r="K3978" s="17" t="e">
        <f aca="false">VLOOKUP(J3978,Sheet2!A:B,2,0)</f>
        <v>#N/A</v>
      </c>
      <c r="L3978" s="17" t="n">
        <v>5</v>
      </c>
      <c r="M3978" s="17" t="str">
        <f aca="false">VLOOKUP(L3978,Sheet2!D:E,2,0)</f>
        <v>Main Processor CPU BGA</v>
      </c>
      <c r="N3978" s="17" t="n">
        <v>1</v>
      </c>
      <c r="O3978" s="17" t="str">
        <f aca="false">VLOOKUP(N3978,Sheet2!G:H,2,0)</f>
        <v>Dead</v>
      </c>
      <c r="P3978" s="17" t="n">
        <v>11</v>
      </c>
      <c r="Q3978" s="17" t="str">
        <f aca="false">VLOOKUP(P3978,Sheet2!J:K,2,0)</f>
        <v>IR Declared due to CID -TA</v>
      </c>
      <c r="R3978" s="17" t="s">
        <v>35</v>
      </c>
      <c r="S3978" s="17" t="str">
        <f aca="false">VLOOKUP(R3978,Sheet2!N:O,2,0)</f>
        <v>IREPARABLE</v>
      </c>
      <c r="T3978" s="18" t="str">
        <f aca="false">VLOOKUP(P3978,Sheet2!Q:R,2,0)</f>
        <v>IR Normal - Track burn out</v>
      </c>
      <c r="U3978" s="20" t="s">
        <v>41</v>
      </c>
      <c r="V3978" s="17"/>
      <c r="W3978" s="20" t="e">
        <f aca="false">VLOOKUP(V3978,Sheet2!Q:R,2,0)</f>
        <v>#N/A</v>
      </c>
      <c r="X3978" s="17" t="n">
        <f aca="false">J3978</f>
        <v>0</v>
      </c>
      <c r="Y3978" s="17" t="e">
        <f aca="false">VLOOKUP(X3978,Sheet2!A:B,2,0)</f>
        <v>#N/A</v>
      </c>
      <c r="Z3978" s="17"/>
      <c r="AA3978" s="17"/>
      <c r="AB3978" s="17" t="s">
        <v>41</v>
      </c>
      <c r="AC3978" s="0" t="str">
        <f aca="false">LEFT(G3978,2)</f>
        <v/>
      </c>
      <c r="AE3978" s="0"/>
    </row>
    <row r="3979" customFormat="false" ht="15" hidden="false" customHeight="false" outlineLevel="0" collapsed="false">
      <c r="A3979" s="13" t="n">
        <f aca="false">1+A3978</f>
        <v>3977</v>
      </c>
      <c r="B3979" s="14" t="n">
        <v>100</v>
      </c>
      <c r="C3979" s="15"/>
      <c r="D3979" s="16" t="s">
        <v>64</v>
      </c>
      <c r="E3979" s="17" t="s">
        <v>47</v>
      </c>
      <c r="F3979" s="18" t="s">
        <v>34</v>
      </c>
      <c r="G3979" s="19"/>
      <c r="H3979" s="17" t="s">
        <v>35</v>
      </c>
      <c r="I3979" s="17" t="s">
        <v>44</v>
      </c>
      <c r="J3979" s="17"/>
      <c r="K3979" s="17" t="e">
        <f aca="false">VLOOKUP(J3979,Sheet2!A:B,2,0)</f>
        <v>#N/A</v>
      </c>
      <c r="L3979" s="17" t="n">
        <v>5</v>
      </c>
      <c r="M3979" s="17" t="str">
        <f aca="false">VLOOKUP(L3979,Sheet2!D:E,2,0)</f>
        <v>Main Processor CPU BGA</v>
      </c>
      <c r="N3979" s="17" t="n">
        <v>1</v>
      </c>
      <c r="O3979" s="17" t="str">
        <f aca="false">VLOOKUP(N3979,Sheet2!G:H,2,0)</f>
        <v>Dead</v>
      </c>
      <c r="P3979" s="17" t="n">
        <v>11</v>
      </c>
      <c r="Q3979" s="17" t="str">
        <f aca="false">VLOOKUP(P3979,Sheet2!J:K,2,0)</f>
        <v>IR Declared due to CID -TA</v>
      </c>
      <c r="R3979" s="17" t="s">
        <v>35</v>
      </c>
      <c r="S3979" s="17" t="str">
        <f aca="false">VLOOKUP(R3979,Sheet2!N:O,2,0)</f>
        <v>IREPARABLE</v>
      </c>
      <c r="T3979" s="18" t="str">
        <f aca="false">VLOOKUP(P3979,Sheet2!Q:R,2,0)</f>
        <v>IR Normal - Track burn out</v>
      </c>
      <c r="U3979" s="20" t="s">
        <v>41</v>
      </c>
      <c r="V3979" s="17"/>
      <c r="W3979" s="20" t="e">
        <f aca="false">VLOOKUP(V3979,Sheet2!Q:R,2,0)</f>
        <v>#N/A</v>
      </c>
      <c r="X3979" s="17" t="n">
        <f aca="false">J3979</f>
        <v>0</v>
      </c>
      <c r="Y3979" s="17" t="e">
        <f aca="false">VLOOKUP(X3979,Sheet2!A:B,2,0)</f>
        <v>#N/A</v>
      </c>
      <c r="Z3979" s="17"/>
      <c r="AA3979" s="17"/>
      <c r="AB3979" s="17" t="s">
        <v>41</v>
      </c>
      <c r="AC3979" s="0" t="str">
        <f aca="false">LEFT(G3979,2)</f>
        <v/>
      </c>
      <c r="AE3979" s="0"/>
    </row>
    <row r="3980" customFormat="false" ht="15" hidden="false" customHeight="false" outlineLevel="0" collapsed="false">
      <c r="A3980" s="13" t="n">
        <f aca="false">1+A3979</f>
        <v>3978</v>
      </c>
      <c r="B3980" s="14" t="n">
        <v>100</v>
      </c>
      <c r="C3980" s="15"/>
      <c r="D3980" s="16" t="s">
        <v>64</v>
      </c>
      <c r="E3980" s="17" t="s">
        <v>47</v>
      </c>
      <c r="F3980" s="18" t="s">
        <v>34</v>
      </c>
      <c r="G3980" s="19"/>
      <c r="H3980" s="17" t="s">
        <v>35</v>
      </c>
      <c r="I3980" s="17" t="s">
        <v>44</v>
      </c>
      <c r="J3980" s="17"/>
      <c r="K3980" s="17" t="e">
        <f aca="false">VLOOKUP(J3980,Sheet2!A:B,2,0)</f>
        <v>#N/A</v>
      </c>
      <c r="L3980" s="17" t="n">
        <v>5</v>
      </c>
      <c r="M3980" s="17" t="str">
        <f aca="false">VLOOKUP(L3980,Sheet2!D:E,2,0)</f>
        <v>Main Processor CPU BGA</v>
      </c>
      <c r="N3980" s="17" t="n">
        <v>1</v>
      </c>
      <c r="O3980" s="17" t="str">
        <f aca="false">VLOOKUP(N3980,Sheet2!G:H,2,0)</f>
        <v>Dead</v>
      </c>
      <c r="P3980" s="17" t="n">
        <v>11</v>
      </c>
      <c r="Q3980" s="17" t="str">
        <f aca="false">VLOOKUP(P3980,Sheet2!J:K,2,0)</f>
        <v>IR Declared due to CID -TA</v>
      </c>
      <c r="R3980" s="17" t="s">
        <v>35</v>
      </c>
      <c r="S3980" s="17" t="str">
        <f aca="false">VLOOKUP(R3980,Sheet2!N:O,2,0)</f>
        <v>IREPARABLE</v>
      </c>
      <c r="T3980" s="18" t="str">
        <f aca="false">VLOOKUP(P3980,Sheet2!Q:R,2,0)</f>
        <v>IR Normal - Track burn out</v>
      </c>
      <c r="U3980" s="20" t="s">
        <v>41</v>
      </c>
      <c r="V3980" s="17"/>
      <c r="W3980" s="20" t="e">
        <f aca="false">VLOOKUP(V3980,Sheet2!Q:R,2,0)</f>
        <v>#N/A</v>
      </c>
      <c r="X3980" s="17" t="n">
        <f aca="false">J3980</f>
        <v>0</v>
      </c>
      <c r="Y3980" s="17" t="e">
        <f aca="false">VLOOKUP(X3980,Sheet2!A:B,2,0)</f>
        <v>#N/A</v>
      </c>
      <c r="Z3980" s="17"/>
      <c r="AA3980" s="17"/>
      <c r="AB3980" s="17" t="s">
        <v>41</v>
      </c>
      <c r="AC3980" s="0" t="str">
        <f aca="false">LEFT(G3980,2)</f>
        <v/>
      </c>
      <c r="AE3980" s="0"/>
    </row>
    <row r="3981" customFormat="false" ht="15" hidden="false" customHeight="false" outlineLevel="0" collapsed="false">
      <c r="A3981" s="13" t="n">
        <f aca="false">1+A3980</f>
        <v>3979</v>
      </c>
      <c r="B3981" s="14" t="n">
        <v>100</v>
      </c>
      <c r="C3981" s="15"/>
      <c r="D3981" s="16" t="s">
        <v>64</v>
      </c>
      <c r="E3981" s="17" t="s">
        <v>47</v>
      </c>
      <c r="F3981" s="18" t="s">
        <v>34</v>
      </c>
      <c r="G3981" s="19"/>
      <c r="H3981" s="17" t="s">
        <v>35</v>
      </c>
      <c r="I3981" s="17" t="s">
        <v>44</v>
      </c>
      <c r="J3981" s="17"/>
      <c r="K3981" s="17" t="e">
        <f aca="false">VLOOKUP(J3981,Sheet2!A:B,2,0)</f>
        <v>#N/A</v>
      </c>
      <c r="L3981" s="17" t="n">
        <v>5</v>
      </c>
      <c r="M3981" s="17" t="str">
        <f aca="false">VLOOKUP(L3981,Sheet2!D:E,2,0)</f>
        <v>Main Processor CPU BGA</v>
      </c>
      <c r="N3981" s="17" t="n">
        <v>1</v>
      </c>
      <c r="O3981" s="17" t="str">
        <f aca="false">VLOOKUP(N3981,Sheet2!G:H,2,0)</f>
        <v>Dead</v>
      </c>
      <c r="P3981" s="17" t="n">
        <v>11</v>
      </c>
      <c r="Q3981" s="17" t="str">
        <f aca="false">VLOOKUP(P3981,Sheet2!J:K,2,0)</f>
        <v>IR Declared due to CID -TA</v>
      </c>
      <c r="R3981" s="17" t="s">
        <v>35</v>
      </c>
      <c r="S3981" s="17" t="str">
        <f aca="false">VLOOKUP(R3981,Sheet2!N:O,2,0)</f>
        <v>IREPARABLE</v>
      </c>
      <c r="T3981" s="18" t="str">
        <f aca="false">VLOOKUP(P3981,Sheet2!Q:R,2,0)</f>
        <v>IR Normal - Track burn out</v>
      </c>
      <c r="U3981" s="20" t="s">
        <v>41</v>
      </c>
      <c r="V3981" s="17"/>
      <c r="W3981" s="20" t="e">
        <f aca="false">VLOOKUP(V3981,Sheet2!Q:R,2,0)</f>
        <v>#N/A</v>
      </c>
      <c r="X3981" s="17" t="n">
        <f aca="false">J3981</f>
        <v>0</v>
      </c>
      <c r="Y3981" s="17" t="e">
        <f aca="false">VLOOKUP(X3981,Sheet2!A:B,2,0)</f>
        <v>#N/A</v>
      </c>
      <c r="Z3981" s="17"/>
      <c r="AA3981" s="17"/>
      <c r="AB3981" s="17" t="s">
        <v>41</v>
      </c>
      <c r="AC3981" s="0" t="str">
        <f aca="false">LEFT(G3981,2)</f>
        <v/>
      </c>
      <c r="AE3981" s="0"/>
    </row>
    <row r="3982" customFormat="false" ht="15" hidden="false" customHeight="false" outlineLevel="0" collapsed="false">
      <c r="A3982" s="13" t="n">
        <f aca="false">1+A3981</f>
        <v>3980</v>
      </c>
      <c r="B3982" s="14" t="n">
        <v>100</v>
      </c>
      <c r="C3982" s="15"/>
      <c r="D3982" s="16" t="s">
        <v>64</v>
      </c>
      <c r="E3982" s="17" t="s">
        <v>47</v>
      </c>
      <c r="F3982" s="18" t="s">
        <v>34</v>
      </c>
      <c r="G3982" s="19"/>
      <c r="H3982" s="17" t="s">
        <v>35</v>
      </c>
      <c r="I3982" s="17" t="s">
        <v>44</v>
      </c>
      <c r="J3982" s="17"/>
      <c r="K3982" s="17" t="e">
        <f aca="false">VLOOKUP(J3982,Sheet2!A:B,2,0)</f>
        <v>#N/A</v>
      </c>
      <c r="L3982" s="17" t="n">
        <v>5</v>
      </c>
      <c r="M3982" s="17" t="str">
        <f aca="false">VLOOKUP(L3982,Sheet2!D:E,2,0)</f>
        <v>Main Processor CPU BGA</v>
      </c>
      <c r="N3982" s="17" t="n">
        <v>1</v>
      </c>
      <c r="O3982" s="17" t="str">
        <f aca="false">VLOOKUP(N3982,Sheet2!G:H,2,0)</f>
        <v>Dead</v>
      </c>
      <c r="P3982" s="17" t="n">
        <v>11</v>
      </c>
      <c r="Q3982" s="17" t="str">
        <f aca="false">VLOOKUP(P3982,Sheet2!J:K,2,0)</f>
        <v>IR Declared due to CID -TA</v>
      </c>
      <c r="R3982" s="17" t="s">
        <v>35</v>
      </c>
      <c r="S3982" s="17" t="str">
        <f aca="false">VLOOKUP(R3982,Sheet2!N:O,2,0)</f>
        <v>IREPARABLE</v>
      </c>
      <c r="T3982" s="18" t="str">
        <f aca="false">VLOOKUP(P3982,Sheet2!Q:R,2,0)</f>
        <v>IR Normal - Track burn out</v>
      </c>
      <c r="U3982" s="20" t="s">
        <v>41</v>
      </c>
      <c r="V3982" s="17"/>
      <c r="W3982" s="20" t="e">
        <f aca="false">VLOOKUP(V3982,Sheet2!Q:R,2,0)</f>
        <v>#N/A</v>
      </c>
      <c r="X3982" s="17" t="n">
        <f aca="false">J3982</f>
        <v>0</v>
      </c>
      <c r="Y3982" s="17" t="e">
        <f aca="false">VLOOKUP(X3982,Sheet2!A:B,2,0)</f>
        <v>#N/A</v>
      </c>
      <c r="Z3982" s="17"/>
      <c r="AA3982" s="17"/>
      <c r="AB3982" s="17" t="s">
        <v>41</v>
      </c>
      <c r="AC3982" s="0" t="str">
        <f aca="false">LEFT(G3982,2)</f>
        <v/>
      </c>
      <c r="AE3982" s="0"/>
    </row>
    <row r="3983" customFormat="false" ht="15" hidden="false" customHeight="false" outlineLevel="0" collapsed="false">
      <c r="A3983" s="13" t="n">
        <f aca="false">1+A3982</f>
        <v>3981</v>
      </c>
      <c r="B3983" s="14" t="n">
        <v>100</v>
      </c>
      <c r="C3983" s="15"/>
      <c r="D3983" s="16" t="s">
        <v>64</v>
      </c>
      <c r="E3983" s="17" t="s">
        <v>47</v>
      </c>
      <c r="F3983" s="18" t="s">
        <v>34</v>
      </c>
      <c r="G3983" s="19"/>
      <c r="H3983" s="17" t="s">
        <v>35</v>
      </c>
      <c r="I3983" s="17" t="s">
        <v>44</v>
      </c>
      <c r="J3983" s="17"/>
      <c r="K3983" s="17" t="e">
        <f aca="false">VLOOKUP(J3983,Sheet2!A:B,2,0)</f>
        <v>#N/A</v>
      </c>
      <c r="L3983" s="17" t="n">
        <v>5</v>
      </c>
      <c r="M3983" s="17" t="str">
        <f aca="false">VLOOKUP(L3983,Sheet2!D:E,2,0)</f>
        <v>Main Processor CPU BGA</v>
      </c>
      <c r="N3983" s="17" t="n">
        <v>1</v>
      </c>
      <c r="O3983" s="17" t="str">
        <f aca="false">VLOOKUP(N3983,Sheet2!G:H,2,0)</f>
        <v>Dead</v>
      </c>
      <c r="P3983" s="17" t="n">
        <v>11</v>
      </c>
      <c r="Q3983" s="17" t="str">
        <f aca="false">VLOOKUP(P3983,Sheet2!J:K,2,0)</f>
        <v>IR Declared due to CID -TA</v>
      </c>
      <c r="R3983" s="17" t="s">
        <v>35</v>
      </c>
      <c r="S3983" s="17" t="str">
        <f aca="false">VLOOKUP(R3983,Sheet2!N:O,2,0)</f>
        <v>IREPARABLE</v>
      </c>
      <c r="T3983" s="18" t="str">
        <f aca="false">VLOOKUP(P3983,Sheet2!Q:R,2,0)</f>
        <v>IR Normal - Track burn out</v>
      </c>
      <c r="U3983" s="20" t="s">
        <v>41</v>
      </c>
      <c r="V3983" s="17"/>
      <c r="W3983" s="20" t="e">
        <f aca="false">VLOOKUP(V3983,Sheet2!Q:R,2,0)</f>
        <v>#N/A</v>
      </c>
      <c r="X3983" s="17" t="n">
        <f aca="false">J3983</f>
        <v>0</v>
      </c>
      <c r="Y3983" s="17" t="e">
        <f aca="false">VLOOKUP(X3983,Sheet2!A:B,2,0)</f>
        <v>#N/A</v>
      </c>
      <c r="Z3983" s="17"/>
      <c r="AA3983" s="17"/>
      <c r="AB3983" s="17" t="s">
        <v>41</v>
      </c>
      <c r="AC3983" s="0" t="str">
        <f aca="false">LEFT(G3983,2)</f>
        <v/>
      </c>
      <c r="AE3983" s="0"/>
    </row>
    <row r="3984" customFormat="false" ht="15" hidden="false" customHeight="false" outlineLevel="0" collapsed="false">
      <c r="A3984" s="13" t="n">
        <f aca="false">1+A3983</f>
        <v>3982</v>
      </c>
      <c r="B3984" s="14" t="n">
        <v>100</v>
      </c>
      <c r="C3984" s="15"/>
      <c r="D3984" s="16" t="s">
        <v>64</v>
      </c>
      <c r="E3984" s="17" t="s">
        <v>47</v>
      </c>
      <c r="F3984" s="18" t="s">
        <v>34</v>
      </c>
      <c r="G3984" s="19"/>
      <c r="H3984" s="17" t="s">
        <v>35</v>
      </c>
      <c r="I3984" s="17" t="s">
        <v>44</v>
      </c>
      <c r="J3984" s="17"/>
      <c r="K3984" s="17" t="e">
        <f aca="false">VLOOKUP(J3984,Sheet2!A:B,2,0)</f>
        <v>#N/A</v>
      </c>
      <c r="L3984" s="17" t="n">
        <v>5</v>
      </c>
      <c r="M3984" s="17" t="str">
        <f aca="false">VLOOKUP(L3984,Sheet2!D:E,2,0)</f>
        <v>Main Processor CPU BGA</v>
      </c>
      <c r="N3984" s="17" t="n">
        <v>1</v>
      </c>
      <c r="O3984" s="17" t="str">
        <f aca="false">VLOOKUP(N3984,Sheet2!G:H,2,0)</f>
        <v>Dead</v>
      </c>
      <c r="P3984" s="17" t="n">
        <v>11</v>
      </c>
      <c r="Q3984" s="17" t="str">
        <f aca="false">VLOOKUP(P3984,Sheet2!J:K,2,0)</f>
        <v>IR Declared due to CID -TA</v>
      </c>
      <c r="R3984" s="17" t="s">
        <v>35</v>
      </c>
      <c r="S3984" s="17" t="str">
        <f aca="false">VLOOKUP(R3984,Sheet2!N:O,2,0)</f>
        <v>IREPARABLE</v>
      </c>
      <c r="T3984" s="18" t="str">
        <f aca="false">VLOOKUP(P3984,Sheet2!Q:R,2,0)</f>
        <v>IR Normal - Track burn out</v>
      </c>
      <c r="U3984" s="20" t="s">
        <v>41</v>
      </c>
      <c r="V3984" s="17"/>
      <c r="W3984" s="20" t="e">
        <f aca="false">VLOOKUP(V3984,Sheet2!Q:R,2,0)</f>
        <v>#N/A</v>
      </c>
      <c r="X3984" s="17" t="n">
        <f aca="false">J3984</f>
        <v>0</v>
      </c>
      <c r="Y3984" s="17" t="e">
        <f aca="false">VLOOKUP(X3984,Sheet2!A:B,2,0)</f>
        <v>#N/A</v>
      </c>
      <c r="Z3984" s="17"/>
      <c r="AA3984" s="17"/>
      <c r="AB3984" s="17" t="s">
        <v>41</v>
      </c>
      <c r="AC3984" s="0" t="str">
        <f aca="false">LEFT(G3984,2)</f>
        <v/>
      </c>
      <c r="AE3984" s="0"/>
    </row>
    <row r="3985" customFormat="false" ht="15" hidden="false" customHeight="false" outlineLevel="0" collapsed="false">
      <c r="A3985" s="13" t="n">
        <f aca="false">1+A3984</f>
        <v>3983</v>
      </c>
      <c r="B3985" s="14" t="n">
        <v>100</v>
      </c>
      <c r="C3985" s="15"/>
      <c r="D3985" s="16" t="s">
        <v>64</v>
      </c>
      <c r="E3985" s="17" t="s">
        <v>47</v>
      </c>
      <c r="F3985" s="18" t="s">
        <v>34</v>
      </c>
      <c r="G3985" s="19"/>
      <c r="H3985" s="17" t="s">
        <v>35</v>
      </c>
      <c r="I3985" s="17" t="s">
        <v>44</v>
      </c>
      <c r="J3985" s="17"/>
      <c r="K3985" s="17" t="e">
        <f aca="false">VLOOKUP(J3985,Sheet2!A:B,2,0)</f>
        <v>#N/A</v>
      </c>
      <c r="L3985" s="17" t="n">
        <v>5</v>
      </c>
      <c r="M3985" s="17" t="str">
        <f aca="false">VLOOKUP(L3985,Sheet2!D:E,2,0)</f>
        <v>Main Processor CPU BGA</v>
      </c>
      <c r="N3985" s="17" t="n">
        <v>1</v>
      </c>
      <c r="O3985" s="17" t="str">
        <f aca="false">VLOOKUP(N3985,Sheet2!G:H,2,0)</f>
        <v>Dead</v>
      </c>
      <c r="P3985" s="17" t="n">
        <v>11</v>
      </c>
      <c r="Q3985" s="17" t="str">
        <f aca="false">VLOOKUP(P3985,Sheet2!J:K,2,0)</f>
        <v>IR Declared due to CID -TA</v>
      </c>
      <c r="R3985" s="17" t="s">
        <v>35</v>
      </c>
      <c r="S3985" s="17" t="str">
        <f aca="false">VLOOKUP(R3985,Sheet2!N:O,2,0)</f>
        <v>IREPARABLE</v>
      </c>
      <c r="T3985" s="18" t="str">
        <f aca="false">VLOOKUP(P3985,Sheet2!Q:R,2,0)</f>
        <v>IR Normal - Track burn out</v>
      </c>
      <c r="U3985" s="20" t="s">
        <v>41</v>
      </c>
      <c r="V3985" s="17"/>
      <c r="W3985" s="20" t="e">
        <f aca="false">VLOOKUP(V3985,Sheet2!Q:R,2,0)</f>
        <v>#N/A</v>
      </c>
      <c r="X3985" s="17" t="n">
        <f aca="false">J3985</f>
        <v>0</v>
      </c>
      <c r="Y3985" s="17" t="e">
        <f aca="false">VLOOKUP(X3985,Sheet2!A:B,2,0)</f>
        <v>#N/A</v>
      </c>
      <c r="Z3985" s="17"/>
      <c r="AA3985" s="17"/>
      <c r="AB3985" s="17" t="s">
        <v>41</v>
      </c>
      <c r="AC3985" s="0" t="str">
        <f aca="false">LEFT(G3985,2)</f>
        <v/>
      </c>
      <c r="AE3985" s="0"/>
    </row>
    <row r="3986" customFormat="false" ht="15" hidden="false" customHeight="false" outlineLevel="0" collapsed="false">
      <c r="A3986" s="13" t="n">
        <f aca="false">1+A3985</f>
        <v>3984</v>
      </c>
      <c r="B3986" s="14" t="n">
        <v>100</v>
      </c>
      <c r="C3986" s="15"/>
      <c r="D3986" s="16" t="s">
        <v>64</v>
      </c>
      <c r="E3986" s="17" t="s">
        <v>47</v>
      </c>
      <c r="F3986" s="18" t="s">
        <v>34</v>
      </c>
      <c r="G3986" s="19"/>
      <c r="H3986" s="17" t="s">
        <v>35</v>
      </c>
      <c r="I3986" s="17" t="s">
        <v>44</v>
      </c>
      <c r="J3986" s="17"/>
      <c r="K3986" s="17" t="e">
        <f aca="false">VLOOKUP(J3986,Sheet2!A:B,2,0)</f>
        <v>#N/A</v>
      </c>
      <c r="L3986" s="17" t="n">
        <v>5</v>
      </c>
      <c r="M3986" s="17" t="str">
        <f aca="false">VLOOKUP(L3986,Sheet2!D:E,2,0)</f>
        <v>Main Processor CPU BGA</v>
      </c>
      <c r="N3986" s="17" t="n">
        <v>1</v>
      </c>
      <c r="O3986" s="17" t="str">
        <f aca="false">VLOOKUP(N3986,Sheet2!G:H,2,0)</f>
        <v>Dead</v>
      </c>
      <c r="P3986" s="17" t="n">
        <v>11</v>
      </c>
      <c r="Q3986" s="17" t="str">
        <f aca="false">VLOOKUP(P3986,Sheet2!J:K,2,0)</f>
        <v>IR Declared due to CID -TA</v>
      </c>
      <c r="R3986" s="17" t="s">
        <v>35</v>
      </c>
      <c r="S3986" s="17" t="str">
        <f aca="false">VLOOKUP(R3986,Sheet2!N:O,2,0)</f>
        <v>IREPARABLE</v>
      </c>
      <c r="T3986" s="18" t="str">
        <f aca="false">VLOOKUP(P3986,Sheet2!Q:R,2,0)</f>
        <v>IR Normal - Track burn out</v>
      </c>
      <c r="U3986" s="20" t="s">
        <v>41</v>
      </c>
      <c r="V3986" s="17"/>
      <c r="W3986" s="20" t="e">
        <f aca="false">VLOOKUP(V3986,Sheet2!Q:R,2,0)</f>
        <v>#N/A</v>
      </c>
      <c r="X3986" s="17" t="n">
        <f aca="false">J3986</f>
        <v>0</v>
      </c>
      <c r="Y3986" s="17" t="e">
        <f aca="false">VLOOKUP(X3986,Sheet2!A:B,2,0)</f>
        <v>#N/A</v>
      </c>
      <c r="Z3986" s="17"/>
      <c r="AA3986" s="17"/>
      <c r="AB3986" s="17" t="s">
        <v>41</v>
      </c>
      <c r="AC3986" s="0" t="str">
        <f aca="false">LEFT(G3986,2)</f>
        <v/>
      </c>
      <c r="AE3986" s="0"/>
    </row>
    <row r="3987" customFormat="false" ht="15" hidden="false" customHeight="false" outlineLevel="0" collapsed="false">
      <c r="A3987" s="13" t="n">
        <f aca="false">1+A3986</f>
        <v>3985</v>
      </c>
      <c r="B3987" s="14" t="n">
        <v>100</v>
      </c>
      <c r="C3987" s="15"/>
      <c r="D3987" s="16" t="s">
        <v>64</v>
      </c>
      <c r="E3987" s="17" t="s">
        <v>47</v>
      </c>
      <c r="F3987" s="18" t="s">
        <v>34</v>
      </c>
      <c r="G3987" s="19"/>
      <c r="H3987" s="17" t="s">
        <v>35</v>
      </c>
      <c r="I3987" s="17" t="s">
        <v>44</v>
      </c>
      <c r="J3987" s="17"/>
      <c r="K3987" s="17" t="e">
        <f aca="false">VLOOKUP(J3987,Sheet2!A:B,2,0)</f>
        <v>#N/A</v>
      </c>
      <c r="L3987" s="17" t="n">
        <v>5</v>
      </c>
      <c r="M3987" s="17" t="str">
        <f aca="false">VLOOKUP(L3987,Sheet2!D:E,2,0)</f>
        <v>Main Processor CPU BGA</v>
      </c>
      <c r="N3987" s="17" t="n">
        <v>1</v>
      </c>
      <c r="O3987" s="17" t="str">
        <f aca="false">VLOOKUP(N3987,Sheet2!G:H,2,0)</f>
        <v>Dead</v>
      </c>
      <c r="P3987" s="17" t="n">
        <v>11</v>
      </c>
      <c r="Q3987" s="17" t="str">
        <f aca="false">VLOOKUP(P3987,Sheet2!J:K,2,0)</f>
        <v>IR Declared due to CID -TA</v>
      </c>
      <c r="R3987" s="17" t="s">
        <v>35</v>
      </c>
      <c r="S3987" s="17" t="str">
        <f aca="false">VLOOKUP(R3987,Sheet2!N:O,2,0)</f>
        <v>IREPARABLE</v>
      </c>
      <c r="T3987" s="18" t="str">
        <f aca="false">VLOOKUP(P3987,Sheet2!Q:R,2,0)</f>
        <v>IR Normal - Track burn out</v>
      </c>
      <c r="U3987" s="20" t="s">
        <v>41</v>
      </c>
      <c r="V3987" s="17"/>
      <c r="W3987" s="20" t="e">
        <f aca="false">VLOOKUP(V3987,Sheet2!Q:R,2,0)</f>
        <v>#N/A</v>
      </c>
      <c r="X3987" s="17" t="n">
        <f aca="false">J3987</f>
        <v>0</v>
      </c>
      <c r="Y3987" s="17" t="e">
        <f aca="false">VLOOKUP(X3987,Sheet2!A:B,2,0)</f>
        <v>#N/A</v>
      </c>
      <c r="Z3987" s="17"/>
      <c r="AA3987" s="17"/>
      <c r="AB3987" s="17" t="s">
        <v>41</v>
      </c>
      <c r="AC3987" s="0" t="str">
        <f aca="false">LEFT(G3987,2)</f>
        <v/>
      </c>
      <c r="AE3987" s="0"/>
    </row>
    <row r="3988" customFormat="false" ht="15" hidden="false" customHeight="false" outlineLevel="0" collapsed="false">
      <c r="A3988" s="13" t="n">
        <f aca="false">1+A3987</f>
        <v>3986</v>
      </c>
      <c r="B3988" s="14" t="n">
        <v>100</v>
      </c>
      <c r="C3988" s="15"/>
      <c r="D3988" s="16" t="s">
        <v>64</v>
      </c>
      <c r="E3988" s="17" t="s">
        <v>47</v>
      </c>
      <c r="F3988" s="18" t="s">
        <v>34</v>
      </c>
      <c r="G3988" s="19"/>
      <c r="H3988" s="17" t="s">
        <v>35</v>
      </c>
      <c r="I3988" s="17" t="s">
        <v>44</v>
      </c>
      <c r="J3988" s="17"/>
      <c r="K3988" s="17" t="e">
        <f aca="false">VLOOKUP(J3988,Sheet2!A:B,2,0)</f>
        <v>#N/A</v>
      </c>
      <c r="L3988" s="17" t="n">
        <v>5</v>
      </c>
      <c r="M3988" s="17" t="str">
        <f aca="false">VLOOKUP(L3988,Sheet2!D:E,2,0)</f>
        <v>Main Processor CPU BGA</v>
      </c>
      <c r="N3988" s="17" t="n">
        <v>1</v>
      </c>
      <c r="O3988" s="17" t="str">
        <f aca="false">VLOOKUP(N3988,Sheet2!G:H,2,0)</f>
        <v>Dead</v>
      </c>
      <c r="P3988" s="17" t="n">
        <v>11</v>
      </c>
      <c r="Q3988" s="17" t="str">
        <f aca="false">VLOOKUP(P3988,Sheet2!J:K,2,0)</f>
        <v>IR Declared due to CID -TA</v>
      </c>
      <c r="R3988" s="17" t="s">
        <v>35</v>
      </c>
      <c r="S3988" s="17" t="str">
        <f aca="false">VLOOKUP(R3988,Sheet2!N:O,2,0)</f>
        <v>IREPARABLE</v>
      </c>
      <c r="T3988" s="18" t="str">
        <f aca="false">VLOOKUP(P3988,Sheet2!Q:R,2,0)</f>
        <v>IR Normal - Track burn out</v>
      </c>
      <c r="U3988" s="20" t="s">
        <v>41</v>
      </c>
      <c r="V3988" s="17"/>
      <c r="W3988" s="20" t="e">
        <f aca="false">VLOOKUP(V3988,Sheet2!Q:R,2,0)</f>
        <v>#N/A</v>
      </c>
      <c r="X3988" s="17" t="n">
        <f aca="false">J3988</f>
        <v>0</v>
      </c>
      <c r="Y3988" s="17" t="e">
        <f aca="false">VLOOKUP(X3988,Sheet2!A:B,2,0)</f>
        <v>#N/A</v>
      </c>
      <c r="Z3988" s="17"/>
      <c r="AA3988" s="17"/>
      <c r="AB3988" s="17" t="s">
        <v>41</v>
      </c>
      <c r="AC3988" s="0" t="str">
        <f aca="false">LEFT(G3988,2)</f>
        <v/>
      </c>
      <c r="AE3988" s="0"/>
    </row>
    <row r="3989" customFormat="false" ht="15" hidden="false" customHeight="false" outlineLevel="0" collapsed="false">
      <c r="A3989" s="13" t="n">
        <f aca="false">1+A3988</f>
        <v>3987</v>
      </c>
      <c r="B3989" s="14" t="n">
        <v>100</v>
      </c>
      <c r="C3989" s="15"/>
      <c r="D3989" s="16" t="s">
        <v>64</v>
      </c>
      <c r="E3989" s="17" t="s">
        <v>47</v>
      </c>
      <c r="F3989" s="18" t="s">
        <v>34</v>
      </c>
      <c r="G3989" s="19"/>
      <c r="H3989" s="17" t="s">
        <v>35</v>
      </c>
      <c r="I3989" s="17" t="s">
        <v>44</v>
      </c>
      <c r="J3989" s="17"/>
      <c r="K3989" s="17" t="e">
        <f aca="false">VLOOKUP(J3989,Sheet2!A:B,2,0)</f>
        <v>#N/A</v>
      </c>
      <c r="L3989" s="17" t="n">
        <v>5</v>
      </c>
      <c r="M3989" s="17" t="str">
        <f aca="false">VLOOKUP(L3989,Sheet2!D:E,2,0)</f>
        <v>Main Processor CPU BGA</v>
      </c>
      <c r="N3989" s="17" t="n">
        <v>1</v>
      </c>
      <c r="O3989" s="17" t="str">
        <f aca="false">VLOOKUP(N3989,Sheet2!G:H,2,0)</f>
        <v>Dead</v>
      </c>
      <c r="P3989" s="17" t="n">
        <v>11</v>
      </c>
      <c r="Q3989" s="17" t="str">
        <f aca="false">VLOOKUP(P3989,Sheet2!J:K,2,0)</f>
        <v>IR Declared due to CID -TA</v>
      </c>
      <c r="R3989" s="17" t="s">
        <v>35</v>
      </c>
      <c r="S3989" s="17" t="str">
        <f aca="false">VLOOKUP(R3989,Sheet2!N:O,2,0)</f>
        <v>IREPARABLE</v>
      </c>
      <c r="T3989" s="18" t="str">
        <f aca="false">VLOOKUP(P3989,Sheet2!Q:R,2,0)</f>
        <v>IR Normal - Track burn out</v>
      </c>
      <c r="U3989" s="20" t="s">
        <v>41</v>
      </c>
      <c r="V3989" s="17"/>
      <c r="W3989" s="20" t="e">
        <f aca="false">VLOOKUP(V3989,Sheet2!Q:R,2,0)</f>
        <v>#N/A</v>
      </c>
      <c r="X3989" s="17" t="n">
        <f aca="false">J3989</f>
        <v>0</v>
      </c>
      <c r="Y3989" s="17" t="e">
        <f aca="false">VLOOKUP(X3989,Sheet2!A:B,2,0)</f>
        <v>#N/A</v>
      </c>
      <c r="Z3989" s="17"/>
      <c r="AA3989" s="17"/>
      <c r="AB3989" s="17" t="s">
        <v>41</v>
      </c>
      <c r="AC3989" s="0" t="str">
        <f aca="false">LEFT(G3989,2)</f>
        <v/>
      </c>
      <c r="AE3989" s="0"/>
    </row>
    <row r="3990" customFormat="false" ht="15" hidden="false" customHeight="false" outlineLevel="0" collapsed="false">
      <c r="A3990" s="13" t="n">
        <f aca="false">1+A3989</f>
        <v>3988</v>
      </c>
      <c r="B3990" s="14" t="n">
        <v>100</v>
      </c>
      <c r="C3990" s="15"/>
      <c r="D3990" s="16" t="s">
        <v>64</v>
      </c>
      <c r="E3990" s="17" t="s">
        <v>47</v>
      </c>
      <c r="F3990" s="18" t="s">
        <v>34</v>
      </c>
      <c r="G3990" s="19"/>
      <c r="H3990" s="17" t="s">
        <v>35</v>
      </c>
      <c r="I3990" s="17" t="s">
        <v>44</v>
      </c>
      <c r="J3990" s="17"/>
      <c r="K3990" s="17" t="e">
        <f aca="false">VLOOKUP(J3990,Sheet2!A:B,2,0)</f>
        <v>#N/A</v>
      </c>
      <c r="L3990" s="17" t="n">
        <v>5</v>
      </c>
      <c r="M3990" s="17" t="str">
        <f aca="false">VLOOKUP(L3990,Sheet2!D:E,2,0)</f>
        <v>Main Processor CPU BGA</v>
      </c>
      <c r="N3990" s="17" t="n">
        <v>1</v>
      </c>
      <c r="O3990" s="17" t="str">
        <f aca="false">VLOOKUP(N3990,Sheet2!G:H,2,0)</f>
        <v>Dead</v>
      </c>
      <c r="P3990" s="17" t="n">
        <v>11</v>
      </c>
      <c r="Q3990" s="17" t="str">
        <f aca="false">VLOOKUP(P3990,Sheet2!J:K,2,0)</f>
        <v>IR Declared due to CID -TA</v>
      </c>
      <c r="R3990" s="17" t="s">
        <v>35</v>
      </c>
      <c r="S3990" s="17" t="str">
        <f aca="false">VLOOKUP(R3990,Sheet2!N:O,2,0)</f>
        <v>IREPARABLE</v>
      </c>
      <c r="T3990" s="18" t="str">
        <f aca="false">VLOOKUP(P3990,Sheet2!Q:R,2,0)</f>
        <v>IR Normal - Track burn out</v>
      </c>
      <c r="U3990" s="20" t="s">
        <v>41</v>
      </c>
      <c r="V3990" s="17"/>
      <c r="W3990" s="20" t="e">
        <f aca="false">VLOOKUP(V3990,Sheet2!Q:R,2,0)</f>
        <v>#N/A</v>
      </c>
      <c r="X3990" s="17" t="n">
        <f aca="false">J3990</f>
        <v>0</v>
      </c>
      <c r="Y3990" s="17" t="e">
        <f aca="false">VLOOKUP(X3990,Sheet2!A:B,2,0)</f>
        <v>#N/A</v>
      </c>
      <c r="Z3990" s="17"/>
      <c r="AA3990" s="17"/>
      <c r="AB3990" s="17" t="s">
        <v>41</v>
      </c>
      <c r="AC3990" s="0" t="str">
        <f aca="false">LEFT(G3990,2)</f>
        <v/>
      </c>
      <c r="AE3990" s="0"/>
    </row>
    <row r="3991" customFormat="false" ht="15" hidden="false" customHeight="false" outlineLevel="0" collapsed="false">
      <c r="A3991" s="13" t="n">
        <f aca="false">1+A3990</f>
        <v>3989</v>
      </c>
      <c r="B3991" s="14" t="n">
        <v>100</v>
      </c>
      <c r="C3991" s="15"/>
      <c r="D3991" s="16" t="s">
        <v>64</v>
      </c>
      <c r="E3991" s="17" t="s">
        <v>47</v>
      </c>
      <c r="F3991" s="18" t="s">
        <v>34</v>
      </c>
      <c r="G3991" s="19"/>
      <c r="H3991" s="17" t="s">
        <v>35</v>
      </c>
      <c r="I3991" s="17" t="s">
        <v>44</v>
      </c>
      <c r="J3991" s="17"/>
      <c r="K3991" s="17" t="e">
        <f aca="false">VLOOKUP(J3991,Sheet2!A:B,2,0)</f>
        <v>#N/A</v>
      </c>
      <c r="L3991" s="17" t="n">
        <v>5</v>
      </c>
      <c r="M3991" s="17" t="str">
        <f aca="false">VLOOKUP(L3991,Sheet2!D:E,2,0)</f>
        <v>Main Processor CPU BGA</v>
      </c>
      <c r="N3991" s="17" t="n">
        <v>1</v>
      </c>
      <c r="O3991" s="17" t="str">
        <f aca="false">VLOOKUP(N3991,Sheet2!G:H,2,0)</f>
        <v>Dead</v>
      </c>
      <c r="P3991" s="17" t="n">
        <v>11</v>
      </c>
      <c r="Q3991" s="17" t="str">
        <f aca="false">VLOOKUP(P3991,Sheet2!J:K,2,0)</f>
        <v>IR Declared due to CID -TA</v>
      </c>
      <c r="R3991" s="17" t="s">
        <v>35</v>
      </c>
      <c r="S3991" s="17" t="str">
        <f aca="false">VLOOKUP(R3991,Sheet2!N:O,2,0)</f>
        <v>IREPARABLE</v>
      </c>
      <c r="T3991" s="18" t="str">
        <f aca="false">VLOOKUP(P3991,Sheet2!Q:R,2,0)</f>
        <v>IR Normal - Track burn out</v>
      </c>
      <c r="U3991" s="20" t="s">
        <v>41</v>
      </c>
      <c r="V3991" s="17"/>
      <c r="W3991" s="20" t="e">
        <f aca="false">VLOOKUP(V3991,Sheet2!Q:R,2,0)</f>
        <v>#N/A</v>
      </c>
      <c r="X3991" s="17" t="n">
        <f aca="false">J3991</f>
        <v>0</v>
      </c>
      <c r="Y3991" s="17" t="e">
        <f aca="false">VLOOKUP(X3991,Sheet2!A:B,2,0)</f>
        <v>#N/A</v>
      </c>
      <c r="Z3991" s="17"/>
      <c r="AA3991" s="17"/>
      <c r="AB3991" s="17" t="s">
        <v>41</v>
      </c>
      <c r="AC3991" s="0" t="str">
        <f aca="false">LEFT(G3991,2)</f>
        <v/>
      </c>
      <c r="AE3991" s="0"/>
    </row>
    <row r="3992" customFormat="false" ht="15" hidden="false" customHeight="false" outlineLevel="0" collapsed="false">
      <c r="A3992" s="13" t="n">
        <f aca="false">1+A3991</f>
        <v>3990</v>
      </c>
      <c r="B3992" s="14" t="n">
        <v>100</v>
      </c>
      <c r="C3992" s="15"/>
      <c r="D3992" s="16" t="s">
        <v>64</v>
      </c>
      <c r="E3992" s="17" t="s">
        <v>47</v>
      </c>
      <c r="F3992" s="18" t="s">
        <v>34</v>
      </c>
      <c r="G3992" s="19"/>
      <c r="H3992" s="17" t="s">
        <v>35</v>
      </c>
      <c r="I3992" s="17" t="s">
        <v>44</v>
      </c>
      <c r="J3992" s="17"/>
      <c r="K3992" s="17" t="e">
        <f aca="false">VLOOKUP(J3992,Sheet2!A:B,2,0)</f>
        <v>#N/A</v>
      </c>
      <c r="L3992" s="17" t="n">
        <v>5</v>
      </c>
      <c r="M3992" s="17" t="str">
        <f aca="false">VLOOKUP(L3992,Sheet2!D:E,2,0)</f>
        <v>Main Processor CPU BGA</v>
      </c>
      <c r="N3992" s="17" t="n">
        <v>1</v>
      </c>
      <c r="O3992" s="17" t="str">
        <f aca="false">VLOOKUP(N3992,Sheet2!G:H,2,0)</f>
        <v>Dead</v>
      </c>
      <c r="P3992" s="17" t="n">
        <v>11</v>
      </c>
      <c r="Q3992" s="17" t="str">
        <f aca="false">VLOOKUP(P3992,Sheet2!J:K,2,0)</f>
        <v>IR Declared due to CID -TA</v>
      </c>
      <c r="R3992" s="17" t="s">
        <v>35</v>
      </c>
      <c r="S3992" s="17" t="str">
        <f aca="false">VLOOKUP(R3992,Sheet2!N:O,2,0)</f>
        <v>IREPARABLE</v>
      </c>
      <c r="T3992" s="18" t="str">
        <f aca="false">VLOOKUP(P3992,Sheet2!Q:R,2,0)</f>
        <v>IR Normal - Track burn out</v>
      </c>
      <c r="U3992" s="20" t="s">
        <v>41</v>
      </c>
      <c r="V3992" s="17"/>
      <c r="W3992" s="20" t="e">
        <f aca="false">VLOOKUP(V3992,Sheet2!Q:R,2,0)</f>
        <v>#N/A</v>
      </c>
      <c r="X3992" s="17" t="n">
        <f aca="false">J3992</f>
        <v>0</v>
      </c>
      <c r="Y3992" s="17" t="e">
        <f aca="false">VLOOKUP(X3992,Sheet2!A:B,2,0)</f>
        <v>#N/A</v>
      </c>
      <c r="Z3992" s="17"/>
      <c r="AA3992" s="17"/>
      <c r="AB3992" s="17" t="s">
        <v>41</v>
      </c>
      <c r="AC3992" s="0" t="str">
        <f aca="false">LEFT(G3992,2)</f>
        <v/>
      </c>
      <c r="AE3992" s="0"/>
    </row>
    <row r="3993" customFormat="false" ht="15" hidden="false" customHeight="false" outlineLevel="0" collapsed="false">
      <c r="A3993" s="13" t="n">
        <f aca="false">1+A3992</f>
        <v>3991</v>
      </c>
      <c r="B3993" s="14" t="n">
        <v>100</v>
      </c>
      <c r="C3993" s="15"/>
      <c r="D3993" s="16" t="s">
        <v>64</v>
      </c>
      <c r="E3993" s="17" t="s">
        <v>47</v>
      </c>
      <c r="F3993" s="18" t="s">
        <v>34</v>
      </c>
      <c r="G3993" s="19"/>
      <c r="H3993" s="17" t="s">
        <v>35</v>
      </c>
      <c r="I3993" s="17" t="s">
        <v>44</v>
      </c>
      <c r="J3993" s="17"/>
      <c r="K3993" s="17" t="e">
        <f aca="false">VLOOKUP(J3993,Sheet2!A:B,2,0)</f>
        <v>#N/A</v>
      </c>
      <c r="L3993" s="17" t="n">
        <v>5</v>
      </c>
      <c r="M3993" s="17" t="str">
        <f aca="false">VLOOKUP(L3993,Sheet2!D:E,2,0)</f>
        <v>Main Processor CPU BGA</v>
      </c>
      <c r="N3993" s="17" t="n">
        <v>1</v>
      </c>
      <c r="O3993" s="17" t="str">
        <f aca="false">VLOOKUP(N3993,Sheet2!G:H,2,0)</f>
        <v>Dead</v>
      </c>
      <c r="P3993" s="17" t="n">
        <v>11</v>
      </c>
      <c r="Q3993" s="17" t="str">
        <f aca="false">VLOOKUP(P3993,Sheet2!J:K,2,0)</f>
        <v>IR Declared due to CID -TA</v>
      </c>
      <c r="R3993" s="17" t="s">
        <v>35</v>
      </c>
      <c r="S3993" s="17" t="str">
        <f aca="false">VLOOKUP(R3993,Sheet2!N:O,2,0)</f>
        <v>IREPARABLE</v>
      </c>
      <c r="T3993" s="18" t="str">
        <f aca="false">VLOOKUP(P3993,Sheet2!Q:R,2,0)</f>
        <v>IR Normal - Track burn out</v>
      </c>
      <c r="U3993" s="20" t="s">
        <v>41</v>
      </c>
      <c r="V3993" s="17"/>
      <c r="W3993" s="20" t="e">
        <f aca="false">VLOOKUP(V3993,Sheet2!Q:R,2,0)</f>
        <v>#N/A</v>
      </c>
      <c r="X3993" s="17" t="n">
        <f aca="false">J3993</f>
        <v>0</v>
      </c>
      <c r="Y3993" s="17" t="e">
        <f aca="false">VLOOKUP(X3993,Sheet2!A:B,2,0)</f>
        <v>#N/A</v>
      </c>
      <c r="Z3993" s="17"/>
      <c r="AA3993" s="17"/>
      <c r="AB3993" s="17" t="s">
        <v>41</v>
      </c>
      <c r="AC3993" s="0" t="str">
        <f aca="false">LEFT(G3993,2)</f>
        <v/>
      </c>
      <c r="AE3993" s="0"/>
    </row>
    <row r="3994" customFormat="false" ht="15" hidden="false" customHeight="false" outlineLevel="0" collapsed="false">
      <c r="A3994" s="13" t="n">
        <f aca="false">1+A3993</f>
        <v>3992</v>
      </c>
      <c r="B3994" s="14" t="n">
        <v>100</v>
      </c>
      <c r="C3994" s="15"/>
      <c r="D3994" s="16" t="s">
        <v>64</v>
      </c>
      <c r="E3994" s="17" t="s">
        <v>47</v>
      </c>
      <c r="F3994" s="18" t="s">
        <v>34</v>
      </c>
      <c r="G3994" s="19"/>
      <c r="H3994" s="17" t="s">
        <v>35</v>
      </c>
      <c r="I3994" s="17" t="s">
        <v>44</v>
      </c>
      <c r="J3994" s="17"/>
      <c r="K3994" s="17" t="e">
        <f aca="false">VLOOKUP(J3994,Sheet2!A:B,2,0)</f>
        <v>#N/A</v>
      </c>
      <c r="L3994" s="17" t="n">
        <v>5</v>
      </c>
      <c r="M3994" s="17" t="str">
        <f aca="false">VLOOKUP(L3994,Sheet2!D:E,2,0)</f>
        <v>Main Processor CPU BGA</v>
      </c>
      <c r="N3994" s="17" t="n">
        <v>1</v>
      </c>
      <c r="O3994" s="17" t="str">
        <f aca="false">VLOOKUP(N3994,Sheet2!G:H,2,0)</f>
        <v>Dead</v>
      </c>
      <c r="P3994" s="17" t="n">
        <v>11</v>
      </c>
      <c r="Q3994" s="17" t="str">
        <f aca="false">VLOOKUP(P3994,Sheet2!J:K,2,0)</f>
        <v>IR Declared due to CID -TA</v>
      </c>
      <c r="R3994" s="17" t="s">
        <v>35</v>
      </c>
      <c r="S3994" s="17" t="str">
        <f aca="false">VLOOKUP(R3994,Sheet2!N:O,2,0)</f>
        <v>IREPARABLE</v>
      </c>
      <c r="T3994" s="18" t="str">
        <f aca="false">VLOOKUP(P3994,Sheet2!Q:R,2,0)</f>
        <v>IR Normal - Track burn out</v>
      </c>
      <c r="U3994" s="20" t="s">
        <v>41</v>
      </c>
      <c r="V3994" s="17"/>
      <c r="W3994" s="20" t="e">
        <f aca="false">VLOOKUP(V3994,Sheet2!Q:R,2,0)</f>
        <v>#N/A</v>
      </c>
      <c r="X3994" s="17" t="n">
        <f aca="false">J3994</f>
        <v>0</v>
      </c>
      <c r="Y3994" s="17" t="e">
        <f aca="false">VLOOKUP(X3994,Sheet2!A:B,2,0)</f>
        <v>#N/A</v>
      </c>
      <c r="Z3994" s="17"/>
      <c r="AA3994" s="17"/>
      <c r="AB3994" s="17" t="s">
        <v>41</v>
      </c>
      <c r="AC3994" s="0" t="str">
        <f aca="false">LEFT(G3994,2)</f>
        <v/>
      </c>
    </row>
    <row r="3995" customFormat="false" ht="15" hidden="false" customHeight="false" outlineLevel="0" collapsed="false">
      <c r="A3995" s="13" t="n">
        <f aca="false">1+A3994</f>
        <v>3993</v>
      </c>
      <c r="B3995" s="14" t="n">
        <v>100</v>
      </c>
      <c r="C3995" s="15"/>
      <c r="D3995" s="16" t="s">
        <v>64</v>
      </c>
      <c r="E3995" s="17" t="s">
        <v>47</v>
      </c>
      <c r="F3995" s="18" t="s">
        <v>34</v>
      </c>
      <c r="G3995" s="19"/>
      <c r="H3995" s="17" t="s">
        <v>35</v>
      </c>
      <c r="I3995" s="17" t="s">
        <v>44</v>
      </c>
      <c r="J3995" s="17"/>
      <c r="K3995" s="17" t="e">
        <f aca="false">VLOOKUP(J3995,Sheet2!A:B,2,0)</f>
        <v>#N/A</v>
      </c>
      <c r="L3995" s="17" t="n">
        <v>5</v>
      </c>
      <c r="M3995" s="17" t="str">
        <f aca="false">VLOOKUP(L3995,Sheet2!D:E,2,0)</f>
        <v>Main Processor CPU BGA</v>
      </c>
      <c r="N3995" s="17" t="n">
        <v>1</v>
      </c>
      <c r="O3995" s="17" t="str">
        <f aca="false">VLOOKUP(N3995,Sheet2!G:H,2,0)</f>
        <v>Dead</v>
      </c>
      <c r="P3995" s="17" t="n">
        <v>11</v>
      </c>
      <c r="Q3995" s="17" t="str">
        <f aca="false">VLOOKUP(P3995,Sheet2!J:K,2,0)</f>
        <v>IR Declared due to CID -TA</v>
      </c>
      <c r="R3995" s="17" t="s">
        <v>35</v>
      </c>
      <c r="S3995" s="17" t="str">
        <f aca="false">VLOOKUP(R3995,Sheet2!N:O,2,0)</f>
        <v>IREPARABLE</v>
      </c>
      <c r="T3995" s="18" t="str">
        <f aca="false">VLOOKUP(P3995,Sheet2!Q:R,2,0)</f>
        <v>IR Normal - Track burn out</v>
      </c>
      <c r="U3995" s="20" t="s">
        <v>41</v>
      </c>
      <c r="V3995" s="17"/>
      <c r="W3995" s="20" t="e">
        <f aca="false">VLOOKUP(V3995,Sheet2!Q:R,2,0)</f>
        <v>#N/A</v>
      </c>
      <c r="X3995" s="17" t="n">
        <f aca="false">J3995</f>
        <v>0</v>
      </c>
      <c r="Y3995" s="17" t="e">
        <f aca="false">VLOOKUP(X3995,Sheet2!A:B,2,0)</f>
        <v>#N/A</v>
      </c>
      <c r="Z3995" s="17"/>
      <c r="AA3995" s="17"/>
      <c r="AB3995" s="17" t="s">
        <v>41</v>
      </c>
      <c r="AC3995" s="0" t="str">
        <f aca="false">LEFT(G3995,2)</f>
        <v/>
      </c>
    </row>
    <row r="3996" customFormat="false" ht="15" hidden="false" customHeight="false" outlineLevel="0" collapsed="false">
      <c r="A3996" s="13" t="n">
        <f aca="false">1+A3995</f>
        <v>3994</v>
      </c>
      <c r="B3996" s="14" t="n">
        <v>100</v>
      </c>
      <c r="C3996" s="15"/>
      <c r="D3996" s="16" t="s">
        <v>64</v>
      </c>
      <c r="E3996" s="17" t="s">
        <v>47</v>
      </c>
      <c r="F3996" s="18" t="s">
        <v>34</v>
      </c>
      <c r="G3996" s="19"/>
      <c r="H3996" s="17" t="s">
        <v>35</v>
      </c>
      <c r="I3996" s="17" t="s">
        <v>44</v>
      </c>
      <c r="J3996" s="17"/>
      <c r="K3996" s="17" t="e">
        <f aca="false">VLOOKUP(J3996,Sheet2!A:B,2,0)</f>
        <v>#N/A</v>
      </c>
      <c r="L3996" s="17" t="n">
        <v>5</v>
      </c>
      <c r="M3996" s="17" t="str">
        <f aca="false">VLOOKUP(L3996,Sheet2!D:E,2,0)</f>
        <v>Main Processor CPU BGA</v>
      </c>
      <c r="N3996" s="17" t="n">
        <v>1</v>
      </c>
      <c r="O3996" s="17" t="str">
        <f aca="false">VLOOKUP(N3996,Sheet2!G:H,2,0)</f>
        <v>Dead</v>
      </c>
      <c r="P3996" s="17" t="n">
        <v>11</v>
      </c>
      <c r="Q3996" s="17" t="str">
        <f aca="false">VLOOKUP(P3996,Sheet2!J:K,2,0)</f>
        <v>IR Declared due to CID -TA</v>
      </c>
      <c r="R3996" s="17" t="s">
        <v>35</v>
      </c>
      <c r="S3996" s="17" t="str">
        <f aca="false">VLOOKUP(R3996,Sheet2!N:O,2,0)</f>
        <v>IREPARABLE</v>
      </c>
      <c r="T3996" s="18" t="str">
        <f aca="false">VLOOKUP(P3996,Sheet2!Q:R,2,0)</f>
        <v>IR Normal - Track burn out</v>
      </c>
      <c r="U3996" s="20" t="s">
        <v>41</v>
      </c>
      <c r="V3996" s="17"/>
      <c r="W3996" s="20" t="e">
        <f aca="false">VLOOKUP(V3996,Sheet2!Q:R,2,0)</f>
        <v>#N/A</v>
      </c>
      <c r="X3996" s="17" t="n">
        <f aca="false">J3996</f>
        <v>0</v>
      </c>
      <c r="Y3996" s="17" t="e">
        <f aca="false">VLOOKUP(X3996,Sheet2!A:B,2,0)</f>
        <v>#N/A</v>
      </c>
      <c r="Z3996" s="17"/>
      <c r="AA3996" s="17"/>
      <c r="AB3996" s="17" t="s">
        <v>41</v>
      </c>
      <c r="AC3996" s="0" t="str">
        <f aca="false">LEFT(G3996,2)</f>
        <v/>
      </c>
    </row>
    <row r="3997" customFormat="false" ht="15" hidden="false" customHeight="false" outlineLevel="0" collapsed="false">
      <c r="A3997" s="13" t="n">
        <f aca="false">1+A3996</f>
        <v>3995</v>
      </c>
      <c r="B3997" s="14" t="n">
        <v>100</v>
      </c>
      <c r="C3997" s="15"/>
      <c r="D3997" s="16" t="s">
        <v>64</v>
      </c>
      <c r="E3997" s="17" t="s">
        <v>47</v>
      </c>
      <c r="F3997" s="18" t="s">
        <v>34</v>
      </c>
      <c r="G3997" s="19"/>
      <c r="H3997" s="17" t="s">
        <v>35</v>
      </c>
      <c r="I3997" s="17" t="s">
        <v>44</v>
      </c>
      <c r="J3997" s="17"/>
      <c r="K3997" s="17" t="e">
        <f aca="false">VLOOKUP(J3997,Sheet2!A:B,2,0)</f>
        <v>#N/A</v>
      </c>
      <c r="L3997" s="17" t="n">
        <v>5</v>
      </c>
      <c r="M3997" s="17" t="str">
        <f aca="false">VLOOKUP(L3997,Sheet2!D:E,2,0)</f>
        <v>Main Processor CPU BGA</v>
      </c>
      <c r="N3997" s="17" t="n">
        <v>1</v>
      </c>
      <c r="O3997" s="17" t="str">
        <f aca="false">VLOOKUP(N3997,Sheet2!G:H,2,0)</f>
        <v>Dead</v>
      </c>
      <c r="P3997" s="17" t="n">
        <v>11</v>
      </c>
      <c r="Q3997" s="17" t="str">
        <f aca="false">VLOOKUP(P3997,Sheet2!J:K,2,0)</f>
        <v>IR Declared due to CID -TA</v>
      </c>
      <c r="R3997" s="17" t="s">
        <v>35</v>
      </c>
      <c r="S3997" s="17" t="str">
        <f aca="false">VLOOKUP(R3997,Sheet2!N:O,2,0)</f>
        <v>IREPARABLE</v>
      </c>
      <c r="T3997" s="18" t="str">
        <f aca="false">VLOOKUP(P3997,Sheet2!Q:R,2,0)</f>
        <v>IR Normal - Track burn out</v>
      </c>
      <c r="U3997" s="20" t="s">
        <v>41</v>
      </c>
      <c r="V3997" s="17"/>
      <c r="W3997" s="20" t="e">
        <f aca="false">VLOOKUP(V3997,Sheet2!Q:R,2,0)</f>
        <v>#N/A</v>
      </c>
      <c r="X3997" s="17" t="n">
        <f aca="false">J3997</f>
        <v>0</v>
      </c>
      <c r="Y3997" s="17" t="e">
        <f aca="false">VLOOKUP(X3997,Sheet2!A:B,2,0)</f>
        <v>#N/A</v>
      </c>
      <c r="Z3997" s="17"/>
      <c r="AA3997" s="17"/>
      <c r="AB3997" s="17" t="s">
        <v>41</v>
      </c>
      <c r="AC3997" s="0" t="str">
        <f aca="false">LEFT(G3997,2)</f>
        <v/>
      </c>
    </row>
    <row r="3998" customFormat="false" ht="15" hidden="false" customHeight="false" outlineLevel="0" collapsed="false">
      <c r="A3998" s="13" t="n">
        <f aca="false">1+A3997</f>
        <v>3996</v>
      </c>
      <c r="B3998" s="14" t="n">
        <v>100</v>
      </c>
      <c r="C3998" s="15"/>
      <c r="D3998" s="16" t="s">
        <v>64</v>
      </c>
      <c r="E3998" s="17" t="s">
        <v>47</v>
      </c>
      <c r="F3998" s="18" t="s">
        <v>34</v>
      </c>
      <c r="G3998" s="19"/>
      <c r="H3998" s="17" t="s">
        <v>35</v>
      </c>
      <c r="I3998" s="17" t="s">
        <v>44</v>
      </c>
      <c r="J3998" s="17"/>
      <c r="K3998" s="17" t="e">
        <f aca="false">VLOOKUP(J3998,Sheet2!A:B,2,0)</f>
        <v>#N/A</v>
      </c>
      <c r="L3998" s="17" t="n">
        <v>5</v>
      </c>
      <c r="M3998" s="17" t="str">
        <f aca="false">VLOOKUP(L3998,Sheet2!D:E,2,0)</f>
        <v>Main Processor CPU BGA</v>
      </c>
      <c r="N3998" s="17" t="n">
        <v>1</v>
      </c>
      <c r="O3998" s="17" t="str">
        <f aca="false">VLOOKUP(N3998,Sheet2!G:H,2,0)</f>
        <v>Dead</v>
      </c>
      <c r="P3998" s="17" t="n">
        <v>11</v>
      </c>
      <c r="Q3998" s="17" t="str">
        <f aca="false">VLOOKUP(P3998,Sheet2!J:K,2,0)</f>
        <v>IR Declared due to CID -TA</v>
      </c>
      <c r="R3998" s="17" t="s">
        <v>35</v>
      </c>
      <c r="S3998" s="17" t="str">
        <f aca="false">VLOOKUP(R3998,Sheet2!N:O,2,0)</f>
        <v>IREPARABLE</v>
      </c>
      <c r="T3998" s="18" t="str">
        <f aca="false">VLOOKUP(P3998,Sheet2!Q:R,2,0)</f>
        <v>IR Normal - Track burn out</v>
      </c>
      <c r="U3998" s="20" t="s">
        <v>41</v>
      </c>
      <c r="V3998" s="17"/>
      <c r="W3998" s="20" t="e">
        <f aca="false">VLOOKUP(V3998,Sheet2!Q:R,2,0)</f>
        <v>#N/A</v>
      </c>
      <c r="X3998" s="17" t="n">
        <f aca="false">J3998</f>
        <v>0</v>
      </c>
      <c r="Y3998" s="17" t="e">
        <f aca="false">VLOOKUP(X3998,Sheet2!A:B,2,0)</f>
        <v>#N/A</v>
      </c>
      <c r="Z3998" s="17"/>
      <c r="AA3998" s="17"/>
      <c r="AB3998" s="17" t="s">
        <v>41</v>
      </c>
      <c r="AC3998" s="0" t="str">
        <f aca="false">LEFT(G3998,2)</f>
        <v/>
      </c>
    </row>
    <row r="3999" customFormat="false" ht="15" hidden="false" customHeight="false" outlineLevel="0" collapsed="false">
      <c r="A3999" s="13" t="n">
        <f aca="false">1+A3998</f>
        <v>3997</v>
      </c>
      <c r="B3999" s="14" t="n">
        <v>100</v>
      </c>
      <c r="C3999" s="15"/>
      <c r="D3999" s="16" t="s">
        <v>64</v>
      </c>
      <c r="E3999" s="17" t="s">
        <v>47</v>
      </c>
      <c r="F3999" s="18" t="s">
        <v>34</v>
      </c>
      <c r="G3999" s="19"/>
      <c r="H3999" s="17" t="s">
        <v>35</v>
      </c>
      <c r="I3999" s="17" t="s">
        <v>44</v>
      </c>
      <c r="J3999" s="17"/>
      <c r="K3999" s="17" t="e">
        <f aca="false">VLOOKUP(J3999,Sheet2!A:B,2,0)</f>
        <v>#N/A</v>
      </c>
      <c r="L3999" s="17" t="n">
        <v>5</v>
      </c>
      <c r="M3999" s="17" t="str">
        <f aca="false">VLOOKUP(L3999,Sheet2!D:E,2,0)</f>
        <v>Main Processor CPU BGA</v>
      </c>
      <c r="N3999" s="17" t="n">
        <v>1</v>
      </c>
      <c r="O3999" s="17" t="str">
        <f aca="false">VLOOKUP(N3999,Sheet2!G:H,2,0)</f>
        <v>Dead</v>
      </c>
      <c r="P3999" s="17" t="n">
        <v>11</v>
      </c>
      <c r="Q3999" s="17" t="str">
        <f aca="false">VLOOKUP(P3999,Sheet2!J:K,2,0)</f>
        <v>IR Declared due to CID -TA</v>
      </c>
      <c r="R3999" s="17" t="s">
        <v>35</v>
      </c>
      <c r="S3999" s="17" t="str">
        <f aca="false">VLOOKUP(R3999,Sheet2!N:O,2,0)</f>
        <v>IREPARABLE</v>
      </c>
      <c r="T3999" s="18" t="str">
        <f aca="false">VLOOKUP(P3999,Sheet2!Q:R,2,0)</f>
        <v>IR Normal - Track burn out</v>
      </c>
      <c r="U3999" s="20" t="s">
        <v>41</v>
      </c>
      <c r="V3999" s="17"/>
      <c r="W3999" s="20" t="e">
        <f aca="false">VLOOKUP(V3999,Sheet2!Q:R,2,0)</f>
        <v>#N/A</v>
      </c>
      <c r="X3999" s="17" t="n">
        <f aca="false">J3999</f>
        <v>0</v>
      </c>
      <c r="Y3999" s="17" t="e">
        <f aca="false">VLOOKUP(X3999,Sheet2!A:B,2,0)</f>
        <v>#N/A</v>
      </c>
      <c r="Z3999" s="17"/>
      <c r="AA3999" s="17"/>
      <c r="AB3999" s="17" t="s">
        <v>41</v>
      </c>
      <c r="AC3999" s="0" t="str">
        <f aca="false">LEFT(G3999,2)</f>
        <v/>
      </c>
    </row>
    <row r="4000" customFormat="false" ht="15" hidden="false" customHeight="false" outlineLevel="0" collapsed="false">
      <c r="A4000" s="13" t="n">
        <f aca="false">1+A3999</f>
        <v>3998</v>
      </c>
      <c r="B4000" s="14" t="n">
        <v>100</v>
      </c>
      <c r="C4000" s="15"/>
      <c r="D4000" s="16" t="s">
        <v>64</v>
      </c>
      <c r="E4000" s="17" t="s">
        <v>47</v>
      </c>
      <c r="F4000" s="18" t="s">
        <v>34</v>
      </c>
      <c r="G4000" s="19"/>
      <c r="H4000" s="17" t="s">
        <v>35</v>
      </c>
      <c r="I4000" s="17" t="s">
        <v>44</v>
      </c>
      <c r="J4000" s="17"/>
      <c r="K4000" s="17" t="e">
        <f aca="false">VLOOKUP(J4000,Sheet2!A:B,2,0)</f>
        <v>#N/A</v>
      </c>
      <c r="L4000" s="17" t="n">
        <v>5</v>
      </c>
      <c r="M4000" s="17" t="str">
        <f aca="false">VLOOKUP(L4000,Sheet2!D:E,2,0)</f>
        <v>Main Processor CPU BGA</v>
      </c>
      <c r="N4000" s="17" t="n">
        <v>1</v>
      </c>
      <c r="O4000" s="17" t="str">
        <f aca="false">VLOOKUP(N4000,Sheet2!G:H,2,0)</f>
        <v>Dead</v>
      </c>
      <c r="P4000" s="17" t="n">
        <v>11</v>
      </c>
      <c r="Q4000" s="17" t="str">
        <f aca="false">VLOOKUP(P4000,Sheet2!J:K,2,0)</f>
        <v>IR Declared due to CID -TA</v>
      </c>
      <c r="R4000" s="17" t="s">
        <v>35</v>
      </c>
      <c r="S4000" s="17" t="str">
        <f aca="false">VLOOKUP(R4000,Sheet2!N:O,2,0)</f>
        <v>IREPARABLE</v>
      </c>
      <c r="T4000" s="18" t="str">
        <f aca="false">VLOOKUP(P4000,Sheet2!Q:R,2,0)</f>
        <v>IR Normal - Track burn out</v>
      </c>
      <c r="U4000" s="20" t="s">
        <v>41</v>
      </c>
      <c r="V4000" s="17"/>
      <c r="W4000" s="20" t="e">
        <f aca="false">VLOOKUP(V4000,Sheet2!Q:R,2,0)</f>
        <v>#N/A</v>
      </c>
      <c r="X4000" s="17" t="n">
        <f aca="false">J4000</f>
        <v>0</v>
      </c>
      <c r="Y4000" s="17" t="e">
        <f aca="false">VLOOKUP(X4000,Sheet2!A:B,2,0)</f>
        <v>#N/A</v>
      </c>
      <c r="Z4000" s="17"/>
      <c r="AA4000" s="17"/>
      <c r="AB4000" s="17" t="s">
        <v>41</v>
      </c>
      <c r="AC4000" s="0" t="str">
        <f aca="false">LEFT(G4000,2)</f>
        <v/>
      </c>
    </row>
    <row r="4001" customFormat="false" ht="15" hidden="false" customHeight="false" outlineLevel="0" collapsed="false">
      <c r="A4001" s="13" t="n">
        <f aca="false">1+A4000</f>
        <v>3999</v>
      </c>
      <c r="B4001" s="14" t="n">
        <v>100</v>
      </c>
      <c r="C4001" s="15"/>
      <c r="D4001" s="16" t="s">
        <v>64</v>
      </c>
      <c r="E4001" s="17" t="s">
        <v>47</v>
      </c>
      <c r="F4001" s="18" t="s">
        <v>34</v>
      </c>
      <c r="G4001" s="19"/>
      <c r="H4001" s="17" t="s">
        <v>35</v>
      </c>
      <c r="I4001" s="17" t="s">
        <v>44</v>
      </c>
      <c r="J4001" s="17"/>
      <c r="K4001" s="17" t="e">
        <f aca="false">VLOOKUP(J4001,Sheet2!A:B,2,0)</f>
        <v>#N/A</v>
      </c>
      <c r="L4001" s="17" t="n">
        <v>5</v>
      </c>
      <c r="M4001" s="17" t="str">
        <f aca="false">VLOOKUP(L4001,Sheet2!D:E,2,0)</f>
        <v>Main Processor CPU BGA</v>
      </c>
      <c r="N4001" s="17" t="n">
        <v>1</v>
      </c>
      <c r="O4001" s="17" t="str">
        <f aca="false">VLOOKUP(N4001,Sheet2!G:H,2,0)</f>
        <v>Dead</v>
      </c>
      <c r="P4001" s="17" t="n">
        <v>11</v>
      </c>
      <c r="Q4001" s="17" t="str">
        <f aca="false">VLOOKUP(P4001,Sheet2!J:K,2,0)</f>
        <v>IR Declared due to CID -TA</v>
      </c>
      <c r="R4001" s="17" t="s">
        <v>35</v>
      </c>
      <c r="S4001" s="17" t="str">
        <f aca="false">VLOOKUP(R4001,Sheet2!N:O,2,0)</f>
        <v>IREPARABLE</v>
      </c>
      <c r="T4001" s="18" t="str">
        <f aca="false">VLOOKUP(P4001,Sheet2!Q:R,2,0)</f>
        <v>IR Normal - Track burn out</v>
      </c>
      <c r="U4001" s="20" t="s">
        <v>41</v>
      </c>
      <c r="V4001" s="17"/>
      <c r="W4001" s="20" t="e">
        <f aca="false">VLOOKUP(V4001,Sheet2!Q:R,2,0)</f>
        <v>#N/A</v>
      </c>
      <c r="X4001" s="17" t="n">
        <f aca="false">J4001</f>
        <v>0</v>
      </c>
      <c r="Y4001" s="17" t="e">
        <f aca="false">VLOOKUP(X4001,Sheet2!A:B,2,0)</f>
        <v>#N/A</v>
      </c>
      <c r="Z4001" s="17"/>
      <c r="AA4001" s="17"/>
      <c r="AB4001" s="17" t="s">
        <v>41</v>
      </c>
      <c r="AC4001" s="0" t="str">
        <f aca="false">LEFT(G4001,2)</f>
        <v/>
      </c>
    </row>
    <row r="4002" customFormat="false" ht="15" hidden="false" customHeight="false" outlineLevel="0" collapsed="false">
      <c r="A4002" s="13" t="n">
        <f aca="false">1+A4001</f>
        <v>4000</v>
      </c>
      <c r="B4002" s="14" t="n">
        <v>100</v>
      </c>
      <c r="C4002" s="15"/>
      <c r="D4002" s="16" t="s">
        <v>64</v>
      </c>
      <c r="E4002" s="17" t="s">
        <v>47</v>
      </c>
      <c r="F4002" s="18" t="s">
        <v>34</v>
      </c>
      <c r="G4002" s="19"/>
      <c r="H4002" s="17" t="s">
        <v>35</v>
      </c>
      <c r="I4002" s="17" t="s">
        <v>44</v>
      </c>
      <c r="J4002" s="17"/>
      <c r="K4002" s="17" t="e">
        <f aca="false">VLOOKUP(J4002,Sheet2!A:B,2,0)</f>
        <v>#N/A</v>
      </c>
      <c r="L4002" s="17" t="n">
        <v>5</v>
      </c>
      <c r="M4002" s="17" t="str">
        <f aca="false">VLOOKUP(L4002,Sheet2!D:E,2,0)</f>
        <v>Main Processor CPU BGA</v>
      </c>
      <c r="N4002" s="17" t="n">
        <v>1</v>
      </c>
      <c r="O4002" s="17" t="str">
        <f aca="false">VLOOKUP(N4002,Sheet2!G:H,2,0)</f>
        <v>Dead</v>
      </c>
      <c r="P4002" s="17" t="n">
        <v>11</v>
      </c>
      <c r="Q4002" s="17" t="str">
        <f aca="false">VLOOKUP(P4002,Sheet2!J:K,2,0)</f>
        <v>IR Declared due to CID -TA</v>
      </c>
      <c r="R4002" s="17" t="s">
        <v>35</v>
      </c>
      <c r="S4002" s="17" t="str">
        <f aca="false">VLOOKUP(R4002,Sheet2!N:O,2,0)</f>
        <v>IREPARABLE</v>
      </c>
      <c r="T4002" s="18" t="str">
        <f aca="false">VLOOKUP(P4002,Sheet2!Q:R,2,0)</f>
        <v>IR Normal - Track burn out</v>
      </c>
      <c r="U4002" s="20" t="s">
        <v>41</v>
      </c>
      <c r="V4002" s="17"/>
      <c r="W4002" s="20" t="e">
        <f aca="false">VLOOKUP(V4002,Sheet2!Q:R,2,0)</f>
        <v>#N/A</v>
      </c>
      <c r="X4002" s="17" t="n">
        <f aca="false">J4002</f>
        <v>0</v>
      </c>
      <c r="Y4002" s="17" t="e">
        <f aca="false">VLOOKUP(X4002,Sheet2!A:B,2,0)</f>
        <v>#N/A</v>
      </c>
      <c r="Z4002" s="17"/>
      <c r="AA4002" s="17"/>
      <c r="AC4002" s="1" t="str">
        <f aca="false">LEFT(G4002,2)</f>
        <v/>
      </c>
    </row>
    <row r="4003" customFormat="false" ht="15" hidden="false" customHeight="false" outlineLevel="0" collapsed="false">
      <c r="A4003" s="13" t="n">
        <f aca="false">1+A4002</f>
        <v>4001</v>
      </c>
      <c r="B4003" s="14" t="n">
        <v>100</v>
      </c>
      <c r="C4003" s="15"/>
      <c r="D4003" s="16" t="s">
        <v>64</v>
      </c>
      <c r="E4003" s="17" t="s">
        <v>47</v>
      </c>
      <c r="F4003" s="18" t="s">
        <v>34</v>
      </c>
      <c r="G4003" s="19"/>
      <c r="H4003" s="17" t="s">
        <v>35</v>
      </c>
      <c r="I4003" s="17" t="s">
        <v>44</v>
      </c>
      <c r="J4003" s="17"/>
      <c r="K4003" s="17" t="e">
        <f aca="false">VLOOKUP(J4003,Sheet2!A:B,2,0)</f>
        <v>#N/A</v>
      </c>
      <c r="L4003" s="17" t="n">
        <v>5</v>
      </c>
      <c r="M4003" s="17" t="str">
        <f aca="false">VLOOKUP(L4003,Sheet2!D:E,2,0)</f>
        <v>Main Processor CPU BGA</v>
      </c>
      <c r="N4003" s="17" t="n">
        <v>1</v>
      </c>
      <c r="O4003" s="17" t="str">
        <f aca="false">VLOOKUP(N4003,Sheet2!G:H,2,0)</f>
        <v>Dead</v>
      </c>
      <c r="P4003" s="17" t="n">
        <v>11</v>
      </c>
      <c r="Q4003" s="17" t="str">
        <f aca="false">VLOOKUP(P4003,Sheet2!J:K,2,0)</f>
        <v>IR Declared due to CID -TA</v>
      </c>
      <c r="R4003" s="17" t="s">
        <v>35</v>
      </c>
      <c r="S4003" s="17" t="str">
        <f aca="false">VLOOKUP(R4003,Sheet2!N:O,2,0)</f>
        <v>IREPARABLE</v>
      </c>
      <c r="T4003" s="18" t="str">
        <f aca="false">VLOOKUP(P4003,Sheet2!Q:R,2,0)</f>
        <v>IR Normal - Track burn out</v>
      </c>
      <c r="U4003" s="20" t="s">
        <v>41</v>
      </c>
      <c r="V4003" s="17"/>
      <c r="W4003" s="20" t="e">
        <f aca="false">VLOOKUP(V4003,Sheet2!Q:R,2,0)</f>
        <v>#N/A</v>
      </c>
      <c r="X4003" s="17" t="n">
        <f aca="false">J4003</f>
        <v>0</v>
      </c>
      <c r="Y4003" s="17" t="e">
        <f aca="false">VLOOKUP(X4003,Sheet2!A:B,2,0)</f>
        <v>#N/A</v>
      </c>
      <c r="Z4003" s="17"/>
      <c r="AA4003" s="17"/>
      <c r="AC4003" s="23" t="str">
        <f aca="false">LEFT(G4003,2)</f>
        <v/>
      </c>
    </row>
    <row r="4004" customFormat="false" ht="15" hidden="false" customHeight="false" outlineLevel="0" collapsed="false">
      <c r="A4004" s="13" t="n">
        <f aca="false">1+A4003</f>
        <v>4002</v>
      </c>
      <c r="B4004" s="14" t="n">
        <v>100</v>
      </c>
      <c r="C4004" s="15"/>
      <c r="D4004" s="16" t="s">
        <v>64</v>
      </c>
      <c r="E4004" s="17" t="s">
        <v>47</v>
      </c>
      <c r="F4004" s="18" t="s">
        <v>34</v>
      </c>
      <c r="G4004" s="19"/>
      <c r="H4004" s="17" t="s">
        <v>35</v>
      </c>
      <c r="I4004" s="17" t="s">
        <v>44</v>
      </c>
      <c r="J4004" s="17"/>
      <c r="K4004" s="17" t="e">
        <f aca="false">VLOOKUP(J4004,Sheet2!A:B,2,0)</f>
        <v>#N/A</v>
      </c>
      <c r="L4004" s="17" t="n">
        <v>5</v>
      </c>
      <c r="M4004" s="17" t="str">
        <f aca="false">VLOOKUP(L4004,Sheet2!D:E,2,0)</f>
        <v>Main Processor CPU BGA</v>
      </c>
      <c r="N4004" s="17" t="n">
        <v>1</v>
      </c>
      <c r="O4004" s="17" t="str">
        <f aca="false">VLOOKUP(N4004,Sheet2!G:H,2,0)</f>
        <v>Dead</v>
      </c>
      <c r="P4004" s="17" t="n">
        <v>11</v>
      </c>
      <c r="Q4004" s="17" t="str">
        <f aca="false">VLOOKUP(P4004,Sheet2!J:K,2,0)</f>
        <v>IR Declared due to CID -TA</v>
      </c>
      <c r="R4004" s="17" t="s">
        <v>35</v>
      </c>
      <c r="S4004" s="17" t="str">
        <f aca="false">VLOOKUP(R4004,Sheet2!N:O,2,0)</f>
        <v>IREPARABLE</v>
      </c>
      <c r="T4004" s="18" t="str">
        <f aca="false">VLOOKUP(P4004,Sheet2!Q:R,2,0)</f>
        <v>IR Normal - Track burn out</v>
      </c>
      <c r="U4004" s="20" t="s">
        <v>41</v>
      </c>
      <c r="V4004" s="17"/>
      <c r="W4004" s="20" t="e">
        <f aca="false">VLOOKUP(V4004,Sheet2!Q:R,2,0)</f>
        <v>#N/A</v>
      </c>
      <c r="X4004" s="17" t="n">
        <f aca="false">J4004</f>
        <v>0</v>
      </c>
      <c r="Y4004" s="17" t="e">
        <f aca="false">VLOOKUP(X4004,Sheet2!A:B,2,0)</f>
        <v>#N/A</v>
      </c>
      <c r="Z4004" s="17"/>
      <c r="AA4004" s="17"/>
      <c r="AC4004" s="23" t="str">
        <f aca="false">LEFT(G4004,2)</f>
        <v/>
      </c>
    </row>
    <row r="4005" customFormat="false" ht="15" hidden="false" customHeight="false" outlineLevel="0" collapsed="false">
      <c r="A4005" s="13" t="n">
        <f aca="false">1+A4004</f>
        <v>4003</v>
      </c>
      <c r="B4005" s="14" t="n">
        <v>100</v>
      </c>
      <c r="C4005" s="15"/>
      <c r="D4005" s="16" t="s">
        <v>64</v>
      </c>
      <c r="E4005" s="17" t="s">
        <v>47</v>
      </c>
      <c r="F4005" s="18" t="s">
        <v>34</v>
      </c>
      <c r="G4005" s="19"/>
      <c r="H4005" s="17" t="s">
        <v>35</v>
      </c>
      <c r="I4005" s="17" t="s">
        <v>44</v>
      </c>
      <c r="J4005" s="17"/>
      <c r="K4005" s="17" t="e">
        <f aca="false">VLOOKUP(J4005,Sheet2!A:B,2,0)</f>
        <v>#N/A</v>
      </c>
      <c r="L4005" s="17" t="n">
        <v>5</v>
      </c>
      <c r="M4005" s="17" t="str">
        <f aca="false">VLOOKUP(L4005,Sheet2!D:E,2,0)</f>
        <v>Main Processor CPU BGA</v>
      </c>
      <c r="N4005" s="17" t="n">
        <v>1</v>
      </c>
      <c r="O4005" s="17" t="str">
        <f aca="false">VLOOKUP(N4005,Sheet2!G:H,2,0)</f>
        <v>Dead</v>
      </c>
      <c r="P4005" s="17" t="n">
        <v>11</v>
      </c>
      <c r="Q4005" s="17" t="str">
        <f aca="false">VLOOKUP(P4005,Sheet2!J:K,2,0)</f>
        <v>IR Declared due to CID -TA</v>
      </c>
      <c r="R4005" s="17" t="s">
        <v>35</v>
      </c>
      <c r="S4005" s="17" t="str">
        <f aca="false">VLOOKUP(R4005,Sheet2!N:O,2,0)</f>
        <v>IREPARABLE</v>
      </c>
      <c r="T4005" s="18" t="str">
        <f aca="false">VLOOKUP(P4005,Sheet2!Q:R,2,0)</f>
        <v>IR Normal - Track burn out</v>
      </c>
      <c r="U4005" s="20" t="s">
        <v>41</v>
      </c>
      <c r="V4005" s="17"/>
      <c r="W4005" s="20" t="e">
        <f aca="false">VLOOKUP(V4005,Sheet2!Q:R,2,0)</f>
        <v>#N/A</v>
      </c>
      <c r="X4005" s="17" t="n">
        <f aca="false">J4005</f>
        <v>0</v>
      </c>
      <c r="Y4005" s="17" t="e">
        <f aca="false">VLOOKUP(X4005,Sheet2!A:B,2,0)</f>
        <v>#N/A</v>
      </c>
      <c r="Z4005" s="17"/>
      <c r="AA4005" s="17"/>
      <c r="AC4005" s="23" t="str">
        <f aca="false">LEFT(G4005,2)</f>
        <v/>
      </c>
    </row>
    <row r="4006" customFormat="false" ht="15" hidden="false" customHeight="false" outlineLevel="0" collapsed="false">
      <c r="A4006" s="13" t="n">
        <f aca="false">1+A4005</f>
        <v>4004</v>
      </c>
      <c r="B4006" s="14" t="n">
        <v>100</v>
      </c>
      <c r="C4006" s="15"/>
      <c r="D4006" s="16" t="s">
        <v>64</v>
      </c>
      <c r="E4006" s="17" t="s">
        <v>47</v>
      </c>
      <c r="F4006" s="18" t="s">
        <v>34</v>
      </c>
      <c r="G4006" s="19"/>
      <c r="H4006" s="17" t="s">
        <v>35</v>
      </c>
      <c r="I4006" s="17" t="s">
        <v>44</v>
      </c>
      <c r="J4006" s="17"/>
      <c r="K4006" s="17" t="e">
        <f aca="false">VLOOKUP(J4006,Sheet2!A:B,2,0)</f>
        <v>#N/A</v>
      </c>
      <c r="L4006" s="17" t="n">
        <v>5</v>
      </c>
      <c r="M4006" s="17" t="str">
        <f aca="false">VLOOKUP(L4006,Sheet2!D:E,2,0)</f>
        <v>Main Processor CPU BGA</v>
      </c>
      <c r="N4006" s="17" t="n">
        <v>1</v>
      </c>
      <c r="O4006" s="17" t="str">
        <f aca="false">VLOOKUP(N4006,Sheet2!G:H,2,0)</f>
        <v>Dead</v>
      </c>
      <c r="P4006" s="17" t="n">
        <v>11</v>
      </c>
      <c r="Q4006" s="17" t="str">
        <f aca="false">VLOOKUP(P4006,Sheet2!J:K,2,0)</f>
        <v>IR Declared due to CID -TA</v>
      </c>
      <c r="R4006" s="17" t="s">
        <v>35</v>
      </c>
      <c r="S4006" s="17" t="str">
        <f aca="false">VLOOKUP(R4006,Sheet2!N:O,2,0)</f>
        <v>IREPARABLE</v>
      </c>
      <c r="T4006" s="18" t="str">
        <f aca="false">VLOOKUP(P4006,Sheet2!Q:R,2,0)</f>
        <v>IR Normal - Track burn out</v>
      </c>
      <c r="U4006" s="20" t="s">
        <v>41</v>
      </c>
      <c r="V4006" s="17"/>
      <c r="W4006" s="20" t="e">
        <f aca="false">VLOOKUP(V4006,Sheet2!Q:R,2,0)</f>
        <v>#N/A</v>
      </c>
      <c r="X4006" s="17" t="n">
        <f aca="false">J4006</f>
        <v>0</v>
      </c>
      <c r="Y4006" s="17" t="e">
        <f aca="false">VLOOKUP(X4006,Sheet2!A:B,2,0)</f>
        <v>#N/A</v>
      </c>
      <c r="Z4006" s="17"/>
      <c r="AA4006" s="17"/>
      <c r="AC4006" s="23" t="str">
        <f aca="false">LEFT(G4006,2)</f>
        <v/>
      </c>
    </row>
    <row r="4007" customFormat="false" ht="15" hidden="false" customHeight="false" outlineLevel="0" collapsed="false">
      <c r="A4007" s="13" t="n">
        <f aca="false">1+A4006</f>
        <v>4005</v>
      </c>
      <c r="B4007" s="14" t="n">
        <v>100</v>
      </c>
      <c r="C4007" s="15"/>
      <c r="D4007" s="16" t="s">
        <v>64</v>
      </c>
      <c r="E4007" s="17" t="s">
        <v>47</v>
      </c>
      <c r="F4007" s="18" t="s">
        <v>34</v>
      </c>
      <c r="G4007" s="19"/>
      <c r="H4007" s="17" t="s">
        <v>35</v>
      </c>
      <c r="I4007" s="17" t="s">
        <v>44</v>
      </c>
      <c r="J4007" s="17"/>
      <c r="K4007" s="17" t="e">
        <f aca="false">VLOOKUP(J4007,Sheet2!A:B,2,0)</f>
        <v>#N/A</v>
      </c>
      <c r="L4007" s="17" t="n">
        <v>5</v>
      </c>
      <c r="M4007" s="17" t="str">
        <f aca="false">VLOOKUP(L4007,Sheet2!D:E,2,0)</f>
        <v>Main Processor CPU BGA</v>
      </c>
      <c r="N4007" s="17" t="n">
        <v>1</v>
      </c>
      <c r="O4007" s="17" t="str">
        <f aca="false">VLOOKUP(N4007,Sheet2!G:H,2,0)</f>
        <v>Dead</v>
      </c>
      <c r="P4007" s="17" t="n">
        <v>11</v>
      </c>
      <c r="Q4007" s="17" t="str">
        <f aca="false">VLOOKUP(P4007,Sheet2!J:K,2,0)</f>
        <v>IR Declared due to CID -TA</v>
      </c>
      <c r="R4007" s="17" t="s">
        <v>35</v>
      </c>
      <c r="S4007" s="17" t="str">
        <f aca="false">VLOOKUP(R4007,Sheet2!N:O,2,0)</f>
        <v>IREPARABLE</v>
      </c>
      <c r="T4007" s="18" t="str">
        <f aca="false">VLOOKUP(P4007,Sheet2!Q:R,2,0)</f>
        <v>IR Normal - Track burn out</v>
      </c>
      <c r="U4007" s="20" t="s">
        <v>41</v>
      </c>
      <c r="V4007" s="17"/>
      <c r="W4007" s="20" t="e">
        <f aca="false">VLOOKUP(V4007,Sheet2!Q:R,2,0)</f>
        <v>#N/A</v>
      </c>
      <c r="X4007" s="17" t="n">
        <f aca="false">J4007</f>
        <v>0</v>
      </c>
      <c r="Y4007" s="17" t="e">
        <f aca="false">VLOOKUP(X4007,Sheet2!A:B,2,0)</f>
        <v>#N/A</v>
      </c>
      <c r="Z4007" s="17"/>
      <c r="AA4007" s="17"/>
      <c r="AC4007" s="23" t="str">
        <f aca="false">LEFT(G4007,2)</f>
        <v/>
      </c>
    </row>
    <row r="4008" customFormat="false" ht="15" hidden="false" customHeight="false" outlineLevel="0" collapsed="false">
      <c r="A4008" s="13" t="n">
        <f aca="false">1+A4007</f>
        <v>4006</v>
      </c>
      <c r="B4008" s="14" t="n">
        <v>100</v>
      </c>
      <c r="C4008" s="15"/>
      <c r="D4008" s="16" t="s">
        <v>64</v>
      </c>
      <c r="E4008" s="17" t="s">
        <v>47</v>
      </c>
      <c r="F4008" s="18" t="s">
        <v>34</v>
      </c>
      <c r="G4008" s="19"/>
      <c r="H4008" s="17" t="s">
        <v>35</v>
      </c>
      <c r="I4008" s="17" t="s">
        <v>44</v>
      </c>
      <c r="J4008" s="17"/>
      <c r="K4008" s="17" t="e">
        <f aca="false">VLOOKUP(J4008,Sheet2!A:B,2,0)</f>
        <v>#N/A</v>
      </c>
      <c r="L4008" s="17" t="n">
        <v>5</v>
      </c>
      <c r="M4008" s="17" t="str">
        <f aca="false">VLOOKUP(L4008,Sheet2!D:E,2,0)</f>
        <v>Main Processor CPU BGA</v>
      </c>
      <c r="N4008" s="17" t="n">
        <v>1</v>
      </c>
      <c r="O4008" s="17" t="str">
        <f aca="false">VLOOKUP(N4008,Sheet2!G:H,2,0)</f>
        <v>Dead</v>
      </c>
      <c r="P4008" s="17" t="n">
        <v>11</v>
      </c>
      <c r="Q4008" s="17" t="str">
        <f aca="false">VLOOKUP(P4008,Sheet2!J:K,2,0)</f>
        <v>IR Declared due to CID -TA</v>
      </c>
      <c r="R4008" s="17" t="s">
        <v>35</v>
      </c>
      <c r="S4008" s="17" t="str">
        <f aca="false">VLOOKUP(R4008,Sheet2!N:O,2,0)</f>
        <v>IREPARABLE</v>
      </c>
      <c r="T4008" s="18" t="str">
        <f aca="false">VLOOKUP(P4008,Sheet2!Q:R,2,0)</f>
        <v>IR Normal - Track burn out</v>
      </c>
      <c r="U4008" s="20" t="s">
        <v>41</v>
      </c>
      <c r="V4008" s="17"/>
      <c r="W4008" s="20" t="e">
        <f aca="false">VLOOKUP(V4008,Sheet2!Q:R,2,0)</f>
        <v>#N/A</v>
      </c>
      <c r="X4008" s="17" t="n">
        <f aca="false">J4008</f>
        <v>0</v>
      </c>
      <c r="Y4008" s="17" t="e">
        <f aca="false">VLOOKUP(X4008,Sheet2!A:B,2,0)</f>
        <v>#N/A</v>
      </c>
      <c r="Z4008" s="17"/>
      <c r="AA4008" s="17"/>
      <c r="AC4008" s="23" t="str">
        <f aca="false">LEFT(G4008,2)</f>
        <v/>
      </c>
    </row>
    <row r="4009" customFormat="false" ht="15" hidden="false" customHeight="false" outlineLevel="0" collapsed="false">
      <c r="A4009" s="13" t="n">
        <f aca="false">1+A4008</f>
        <v>4007</v>
      </c>
      <c r="B4009" s="14" t="n">
        <v>100</v>
      </c>
      <c r="C4009" s="15"/>
      <c r="D4009" s="16" t="s">
        <v>64</v>
      </c>
      <c r="E4009" s="17" t="s">
        <v>47</v>
      </c>
      <c r="F4009" s="18" t="s">
        <v>34</v>
      </c>
      <c r="G4009" s="19"/>
      <c r="H4009" s="17" t="s">
        <v>35</v>
      </c>
      <c r="I4009" s="17" t="s">
        <v>44</v>
      </c>
      <c r="J4009" s="17"/>
      <c r="K4009" s="17" t="e">
        <f aca="false">VLOOKUP(J4009,Sheet2!A:B,2,0)</f>
        <v>#N/A</v>
      </c>
      <c r="L4009" s="17" t="n">
        <v>5</v>
      </c>
      <c r="M4009" s="17" t="str">
        <f aca="false">VLOOKUP(L4009,Sheet2!D:E,2,0)</f>
        <v>Main Processor CPU BGA</v>
      </c>
      <c r="N4009" s="17" t="n">
        <v>1</v>
      </c>
      <c r="O4009" s="17" t="str">
        <f aca="false">VLOOKUP(N4009,Sheet2!G:H,2,0)</f>
        <v>Dead</v>
      </c>
      <c r="P4009" s="17" t="n">
        <v>11</v>
      </c>
      <c r="Q4009" s="17" t="str">
        <f aca="false">VLOOKUP(P4009,Sheet2!J:K,2,0)</f>
        <v>IR Declared due to CID -TA</v>
      </c>
      <c r="R4009" s="17" t="s">
        <v>35</v>
      </c>
      <c r="S4009" s="17" t="str">
        <f aca="false">VLOOKUP(R4009,Sheet2!N:O,2,0)</f>
        <v>IREPARABLE</v>
      </c>
      <c r="T4009" s="18" t="str">
        <f aca="false">VLOOKUP(P4009,Sheet2!Q:R,2,0)</f>
        <v>IR Normal - Track burn out</v>
      </c>
      <c r="U4009" s="20" t="s">
        <v>41</v>
      </c>
      <c r="V4009" s="17"/>
      <c r="W4009" s="20" t="e">
        <f aca="false">VLOOKUP(V4009,Sheet2!Q:R,2,0)</f>
        <v>#N/A</v>
      </c>
      <c r="X4009" s="17" t="n">
        <f aca="false">J4009</f>
        <v>0</v>
      </c>
      <c r="Y4009" s="17" t="e">
        <f aca="false">VLOOKUP(X4009,Sheet2!A:B,2,0)</f>
        <v>#N/A</v>
      </c>
      <c r="Z4009" s="17"/>
      <c r="AA4009" s="17"/>
      <c r="AC4009" s="23" t="str">
        <f aca="false">LEFT(G4009,2)</f>
        <v/>
      </c>
    </row>
    <row r="4010" customFormat="false" ht="15" hidden="false" customHeight="false" outlineLevel="0" collapsed="false">
      <c r="A4010" s="13" t="n">
        <f aca="false">1+A4009</f>
        <v>4008</v>
      </c>
      <c r="B4010" s="14" t="n">
        <v>100</v>
      </c>
      <c r="C4010" s="15"/>
      <c r="D4010" s="16" t="s">
        <v>64</v>
      </c>
      <c r="E4010" s="17" t="s">
        <v>47</v>
      </c>
      <c r="F4010" s="18" t="s">
        <v>34</v>
      </c>
      <c r="G4010" s="19"/>
      <c r="H4010" s="17" t="s">
        <v>35</v>
      </c>
      <c r="I4010" s="17" t="s">
        <v>44</v>
      </c>
      <c r="J4010" s="17"/>
      <c r="K4010" s="17" t="e">
        <f aca="false">VLOOKUP(J4010,Sheet2!A:B,2,0)</f>
        <v>#N/A</v>
      </c>
      <c r="L4010" s="17" t="n">
        <v>5</v>
      </c>
      <c r="M4010" s="17" t="str">
        <f aca="false">VLOOKUP(L4010,Sheet2!D:E,2,0)</f>
        <v>Main Processor CPU BGA</v>
      </c>
      <c r="N4010" s="17" t="n">
        <v>1</v>
      </c>
      <c r="O4010" s="17" t="str">
        <f aca="false">VLOOKUP(N4010,Sheet2!G:H,2,0)</f>
        <v>Dead</v>
      </c>
      <c r="P4010" s="17" t="n">
        <v>11</v>
      </c>
      <c r="Q4010" s="17" t="str">
        <f aca="false">VLOOKUP(P4010,Sheet2!J:K,2,0)</f>
        <v>IR Declared due to CID -TA</v>
      </c>
      <c r="R4010" s="17" t="s">
        <v>35</v>
      </c>
      <c r="S4010" s="17" t="str">
        <f aca="false">VLOOKUP(R4010,Sheet2!N:O,2,0)</f>
        <v>IREPARABLE</v>
      </c>
      <c r="T4010" s="18" t="str">
        <f aca="false">VLOOKUP(P4010,Sheet2!Q:R,2,0)</f>
        <v>IR Normal - Track burn out</v>
      </c>
      <c r="U4010" s="20" t="s">
        <v>41</v>
      </c>
      <c r="V4010" s="17"/>
      <c r="W4010" s="20" t="e">
        <f aca="false">VLOOKUP(V4010,Sheet2!Q:R,2,0)</f>
        <v>#N/A</v>
      </c>
      <c r="X4010" s="17" t="n">
        <f aca="false">J4010</f>
        <v>0</v>
      </c>
      <c r="Y4010" s="17" t="e">
        <f aca="false">VLOOKUP(X4010,Sheet2!A:B,2,0)</f>
        <v>#N/A</v>
      </c>
      <c r="Z4010" s="17"/>
      <c r="AA4010" s="17"/>
      <c r="AC4010" s="23" t="str">
        <f aca="false">LEFT(G4010,2)</f>
        <v/>
      </c>
    </row>
    <row r="4011" customFormat="false" ht="15" hidden="false" customHeight="false" outlineLevel="0" collapsed="false">
      <c r="A4011" s="13" t="n">
        <f aca="false">1+A4010</f>
        <v>4009</v>
      </c>
      <c r="B4011" s="14" t="n">
        <v>100</v>
      </c>
      <c r="C4011" s="15"/>
      <c r="D4011" s="16" t="s">
        <v>64</v>
      </c>
      <c r="E4011" s="17" t="s">
        <v>47</v>
      </c>
      <c r="F4011" s="18" t="s">
        <v>34</v>
      </c>
      <c r="G4011" s="19"/>
      <c r="H4011" s="17" t="s">
        <v>35</v>
      </c>
      <c r="I4011" s="17" t="s">
        <v>44</v>
      </c>
      <c r="J4011" s="17"/>
      <c r="K4011" s="17" t="e">
        <f aca="false">VLOOKUP(J4011,Sheet2!A:B,2,0)</f>
        <v>#N/A</v>
      </c>
      <c r="L4011" s="17" t="n">
        <v>5</v>
      </c>
      <c r="M4011" s="17" t="str">
        <f aca="false">VLOOKUP(L4011,Sheet2!D:E,2,0)</f>
        <v>Main Processor CPU BGA</v>
      </c>
      <c r="N4011" s="17" t="n">
        <v>1</v>
      </c>
      <c r="O4011" s="17" t="str">
        <f aca="false">VLOOKUP(N4011,Sheet2!G:H,2,0)</f>
        <v>Dead</v>
      </c>
      <c r="P4011" s="17" t="n">
        <v>11</v>
      </c>
      <c r="Q4011" s="17" t="str">
        <f aca="false">VLOOKUP(P4011,Sheet2!J:K,2,0)</f>
        <v>IR Declared due to CID -TA</v>
      </c>
      <c r="R4011" s="17" t="s">
        <v>35</v>
      </c>
      <c r="S4011" s="17" t="str">
        <f aca="false">VLOOKUP(R4011,Sheet2!N:O,2,0)</f>
        <v>IREPARABLE</v>
      </c>
      <c r="T4011" s="18" t="str">
        <f aca="false">VLOOKUP(P4011,Sheet2!Q:R,2,0)</f>
        <v>IR Normal - Track burn out</v>
      </c>
      <c r="U4011" s="20" t="s">
        <v>41</v>
      </c>
      <c r="V4011" s="17"/>
      <c r="W4011" s="20" t="e">
        <f aca="false">VLOOKUP(V4011,Sheet2!Q:R,2,0)</f>
        <v>#N/A</v>
      </c>
      <c r="X4011" s="17" t="n">
        <f aca="false">J4011</f>
        <v>0</v>
      </c>
      <c r="Y4011" s="17" t="e">
        <f aca="false">VLOOKUP(X4011,Sheet2!A:B,2,0)</f>
        <v>#N/A</v>
      </c>
      <c r="Z4011" s="17"/>
      <c r="AA4011" s="17"/>
      <c r="AC4011" s="23" t="str">
        <f aca="false">LEFT(G4011,2)</f>
        <v/>
      </c>
    </row>
    <row r="4012" customFormat="false" ht="15" hidden="false" customHeight="false" outlineLevel="0" collapsed="false">
      <c r="A4012" s="13" t="n">
        <f aca="false">1+A4011</f>
        <v>4010</v>
      </c>
      <c r="B4012" s="14" t="n">
        <v>100</v>
      </c>
      <c r="C4012" s="15"/>
      <c r="D4012" s="16" t="s">
        <v>64</v>
      </c>
      <c r="E4012" s="17" t="s">
        <v>47</v>
      </c>
      <c r="F4012" s="18" t="s">
        <v>34</v>
      </c>
      <c r="G4012" s="19"/>
      <c r="H4012" s="17" t="s">
        <v>35</v>
      </c>
      <c r="I4012" s="17" t="s">
        <v>44</v>
      </c>
      <c r="J4012" s="17"/>
      <c r="K4012" s="17" t="e">
        <f aca="false">VLOOKUP(J4012,Sheet2!A:B,2,0)</f>
        <v>#N/A</v>
      </c>
      <c r="L4012" s="17" t="n">
        <v>5</v>
      </c>
      <c r="M4012" s="17" t="str">
        <f aca="false">VLOOKUP(L4012,Sheet2!D:E,2,0)</f>
        <v>Main Processor CPU BGA</v>
      </c>
      <c r="N4012" s="17" t="n">
        <v>1</v>
      </c>
      <c r="O4012" s="17" t="str">
        <f aca="false">VLOOKUP(N4012,Sheet2!G:H,2,0)</f>
        <v>Dead</v>
      </c>
      <c r="P4012" s="17" t="n">
        <v>11</v>
      </c>
      <c r="Q4012" s="17" t="str">
        <f aca="false">VLOOKUP(P4012,Sheet2!J:K,2,0)</f>
        <v>IR Declared due to CID -TA</v>
      </c>
      <c r="R4012" s="17" t="s">
        <v>35</v>
      </c>
      <c r="S4012" s="17" t="str">
        <f aca="false">VLOOKUP(R4012,Sheet2!N:O,2,0)</f>
        <v>IREPARABLE</v>
      </c>
      <c r="T4012" s="18" t="str">
        <f aca="false">VLOOKUP(P4012,Sheet2!Q:R,2,0)</f>
        <v>IR Normal - Track burn out</v>
      </c>
      <c r="U4012" s="20" t="s">
        <v>41</v>
      </c>
      <c r="V4012" s="17"/>
      <c r="W4012" s="20" t="e">
        <f aca="false">VLOOKUP(V4012,Sheet2!Q:R,2,0)</f>
        <v>#N/A</v>
      </c>
      <c r="X4012" s="17" t="n">
        <f aca="false">J4012</f>
        <v>0</v>
      </c>
      <c r="Y4012" s="17" t="e">
        <f aca="false">VLOOKUP(X4012,Sheet2!A:B,2,0)</f>
        <v>#N/A</v>
      </c>
      <c r="Z4012" s="17"/>
      <c r="AA4012" s="17"/>
      <c r="AC4012" s="23" t="str">
        <f aca="false">LEFT(G4012,2)</f>
        <v/>
      </c>
    </row>
    <row r="4013" customFormat="false" ht="15" hidden="false" customHeight="false" outlineLevel="0" collapsed="false">
      <c r="A4013" s="13" t="n">
        <f aca="false">1+A4012</f>
        <v>4011</v>
      </c>
      <c r="B4013" s="14" t="n">
        <v>100</v>
      </c>
      <c r="C4013" s="15"/>
      <c r="D4013" s="16" t="s">
        <v>64</v>
      </c>
      <c r="E4013" s="17" t="s">
        <v>47</v>
      </c>
      <c r="F4013" s="18" t="s">
        <v>34</v>
      </c>
      <c r="G4013" s="19"/>
      <c r="H4013" s="17" t="s">
        <v>35</v>
      </c>
      <c r="I4013" s="17" t="s">
        <v>44</v>
      </c>
      <c r="J4013" s="17"/>
      <c r="K4013" s="17" t="e">
        <f aca="false">VLOOKUP(J4013,Sheet2!A:B,2,0)</f>
        <v>#N/A</v>
      </c>
      <c r="L4013" s="17" t="n">
        <v>5</v>
      </c>
      <c r="M4013" s="17" t="str">
        <f aca="false">VLOOKUP(L4013,Sheet2!D:E,2,0)</f>
        <v>Main Processor CPU BGA</v>
      </c>
      <c r="N4013" s="17" t="n">
        <v>1</v>
      </c>
      <c r="O4013" s="17" t="str">
        <f aca="false">VLOOKUP(N4013,Sheet2!G:H,2,0)</f>
        <v>Dead</v>
      </c>
      <c r="P4013" s="17" t="n">
        <v>11</v>
      </c>
      <c r="Q4013" s="17" t="str">
        <f aca="false">VLOOKUP(P4013,Sheet2!J:K,2,0)</f>
        <v>IR Declared due to CID -TA</v>
      </c>
      <c r="R4013" s="17" t="s">
        <v>35</v>
      </c>
      <c r="S4013" s="17" t="str">
        <f aca="false">VLOOKUP(R4013,Sheet2!N:O,2,0)</f>
        <v>IREPARABLE</v>
      </c>
      <c r="T4013" s="18" t="str">
        <f aca="false">VLOOKUP(P4013,Sheet2!Q:R,2,0)</f>
        <v>IR Normal - Track burn out</v>
      </c>
      <c r="U4013" s="20" t="s">
        <v>41</v>
      </c>
      <c r="V4013" s="17"/>
      <c r="W4013" s="20" t="e">
        <f aca="false">VLOOKUP(V4013,Sheet2!Q:R,2,0)</f>
        <v>#N/A</v>
      </c>
      <c r="X4013" s="17" t="n">
        <f aca="false">J4013</f>
        <v>0</v>
      </c>
      <c r="Y4013" s="17" t="e">
        <f aca="false">VLOOKUP(X4013,Sheet2!A:B,2,0)</f>
        <v>#N/A</v>
      </c>
      <c r="Z4013" s="17"/>
      <c r="AA4013" s="17"/>
      <c r="AC4013" s="23" t="str">
        <f aca="false">LEFT(G4013,2)</f>
        <v/>
      </c>
    </row>
    <row r="4014" customFormat="false" ht="15" hidden="false" customHeight="false" outlineLevel="0" collapsed="false">
      <c r="A4014" s="13" t="n">
        <f aca="false">1+A4013</f>
        <v>4012</v>
      </c>
      <c r="B4014" s="14" t="n">
        <v>100</v>
      </c>
      <c r="C4014" s="15"/>
      <c r="D4014" s="16" t="s">
        <v>64</v>
      </c>
      <c r="E4014" s="17" t="s">
        <v>47</v>
      </c>
      <c r="F4014" s="18" t="s">
        <v>34</v>
      </c>
      <c r="G4014" s="19"/>
      <c r="H4014" s="17" t="s">
        <v>35</v>
      </c>
      <c r="I4014" s="17" t="s">
        <v>44</v>
      </c>
      <c r="J4014" s="17"/>
      <c r="K4014" s="17" t="e">
        <f aca="false">VLOOKUP(J4014,Sheet2!A:B,2,0)</f>
        <v>#N/A</v>
      </c>
      <c r="L4014" s="17" t="n">
        <v>5</v>
      </c>
      <c r="M4014" s="17" t="str">
        <f aca="false">VLOOKUP(L4014,Sheet2!D:E,2,0)</f>
        <v>Main Processor CPU BGA</v>
      </c>
      <c r="N4014" s="17" t="n">
        <v>1</v>
      </c>
      <c r="O4014" s="17" t="str">
        <f aca="false">VLOOKUP(N4014,Sheet2!G:H,2,0)</f>
        <v>Dead</v>
      </c>
      <c r="P4014" s="17" t="n">
        <v>11</v>
      </c>
      <c r="Q4014" s="17" t="str">
        <f aca="false">VLOOKUP(P4014,Sheet2!J:K,2,0)</f>
        <v>IR Declared due to CID -TA</v>
      </c>
      <c r="R4014" s="17" t="s">
        <v>35</v>
      </c>
      <c r="S4014" s="17" t="str">
        <f aca="false">VLOOKUP(R4014,Sheet2!N:O,2,0)</f>
        <v>IREPARABLE</v>
      </c>
      <c r="T4014" s="18" t="str">
        <f aca="false">VLOOKUP(P4014,Sheet2!Q:R,2,0)</f>
        <v>IR Normal - Track burn out</v>
      </c>
      <c r="U4014" s="20" t="s">
        <v>41</v>
      </c>
      <c r="V4014" s="17"/>
      <c r="W4014" s="20" t="e">
        <f aca="false">VLOOKUP(V4014,Sheet2!Q:R,2,0)</f>
        <v>#N/A</v>
      </c>
      <c r="X4014" s="17" t="n">
        <f aca="false">J4014</f>
        <v>0</v>
      </c>
      <c r="Y4014" s="17" t="e">
        <f aca="false">VLOOKUP(X4014,Sheet2!A:B,2,0)</f>
        <v>#N/A</v>
      </c>
      <c r="Z4014" s="17"/>
      <c r="AA4014" s="17"/>
      <c r="AC4014" s="23" t="str">
        <f aca="false">LEFT(G4014,2)</f>
        <v/>
      </c>
    </row>
    <row r="4015" customFormat="false" ht="15" hidden="false" customHeight="false" outlineLevel="0" collapsed="false">
      <c r="A4015" s="13" t="n">
        <f aca="false">1+A4014</f>
        <v>4013</v>
      </c>
      <c r="B4015" s="14" t="n">
        <v>100</v>
      </c>
      <c r="C4015" s="15"/>
      <c r="D4015" s="16" t="s">
        <v>64</v>
      </c>
      <c r="E4015" s="17" t="s">
        <v>47</v>
      </c>
      <c r="F4015" s="18" t="s">
        <v>34</v>
      </c>
      <c r="G4015" s="19"/>
      <c r="H4015" s="17" t="s">
        <v>35</v>
      </c>
      <c r="I4015" s="17" t="s">
        <v>44</v>
      </c>
      <c r="J4015" s="17"/>
      <c r="K4015" s="17" t="e">
        <f aca="false">VLOOKUP(J4015,Sheet2!A:B,2,0)</f>
        <v>#N/A</v>
      </c>
      <c r="L4015" s="17" t="n">
        <v>5</v>
      </c>
      <c r="M4015" s="17" t="str">
        <f aca="false">VLOOKUP(L4015,Sheet2!D:E,2,0)</f>
        <v>Main Processor CPU BGA</v>
      </c>
      <c r="N4015" s="17" t="n">
        <v>1</v>
      </c>
      <c r="O4015" s="17" t="str">
        <f aca="false">VLOOKUP(N4015,Sheet2!G:H,2,0)</f>
        <v>Dead</v>
      </c>
      <c r="P4015" s="17" t="n">
        <v>11</v>
      </c>
      <c r="Q4015" s="17" t="str">
        <f aca="false">VLOOKUP(P4015,Sheet2!J:K,2,0)</f>
        <v>IR Declared due to CID -TA</v>
      </c>
      <c r="R4015" s="17" t="s">
        <v>35</v>
      </c>
      <c r="S4015" s="17" t="str">
        <f aca="false">VLOOKUP(R4015,Sheet2!N:O,2,0)</f>
        <v>IREPARABLE</v>
      </c>
      <c r="T4015" s="18" t="str">
        <f aca="false">VLOOKUP(P4015,Sheet2!Q:R,2,0)</f>
        <v>IR Normal - Track burn out</v>
      </c>
      <c r="U4015" s="20" t="s">
        <v>41</v>
      </c>
      <c r="V4015" s="17"/>
      <c r="W4015" s="20" t="e">
        <f aca="false">VLOOKUP(V4015,Sheet2!Q:R,2,0)</f>
        <v>#N/A</v>
      </c>
      <c r="X4015" s="17" t="n">
        <f aca="false">J4015</f>
        <v>0</v>
      </c>
      <c r="Y4015" s="17" t="e">
        <f aca="false">VLOOKUP(X4015,Sheet2!A:B,2,0)</f>
        <v>#N/A</v>
      </c>
      <c r="Z4015" s="17"/>
      <c r="AA4015" s="17"/>
      <c r="AC4015" s="23" t="str">
        <f aca="false">LEFT(G4015,2)</f>
        <v/>
      </c>
    </row>
    <row r="4016" customFormat="false" ht="15" hidden="false" customHeight="false" outlineLevel="0" collapsed="false">
      <c r="A4016" s="13" t="n">
        <f aca="false">1+A4015</f>
        <v>4014</v>
      </c>
      <c r="B4016" s="14" t="n">
        <v>100</v>
      </c>
      <c r="C4016" s="15"/>
      <c r="D4016" s="16" t="s">
        <v>64</v>
      </c>
      <c r="E4016" s="17" t="s">
        <v>47</v>
      </c>
      <c r="F4016" s="18" t="s">
        <v>34</v>
      </c>
      <c r="G4016" s="19"/>
      <c r="H4016" s="17" t="s">
        <v>35</v>
      </c>
      <c r="I4016" s="17" t="s">
        <v>44</v>
      </c>
      <c r="J4016" s="17"/>
      <c r="K4016" s="17" t="e">
        <f aca="false">VLOOKUP(J4016,Sheet2!A:B,2,0)</f>
        <v>#N/A</v>
      </c>
      <c r="L4016" s="17" t="n">
        <v>5</v>
      </c>
      <c r="M4016" s="17" t="str">
        <f aca="false">VLOOKUP(L4016,Sheet2!D:E,2,0)</f>
        <v>Main Processor CPU BGA</v>
      </c>
      <c r="N4016" s="17" t="n">
        <v>1</v>
      </c>
      <c r="O4016" s="17" t="str">
        <f aca="false">VLOOKUP(N4016,Sheet2!G:H,2,0)</f>
        <v>Dead</v>
      </c>
      <c r="P4016" s="17" t="n">
        <v>11</v>
      </c>
      <c r="Q4016" s="17" t="str">
        <f aca="false">VLOOKUP(P4016,Sheet2!J:K,2,0)</f>
        <v>IR Declared due to CID -TA</v>
      </c>
      <c r="R4016" s="17" t="s">
        <v>35</v>
      </c>
      <c r="S4016" s="17" t="str">
        <f aca="false">VLOOKUP(R4016,Sheet2!N:O,2,0)</f>
        <v>IREPARABLE</v>
      </c>
      <c r="T4016" s="18" t="str">
        <f aca="false">VLOOKUP(P4016,Sheet2!Q:R,2,0)</f>
        <v>IR Normal - Track burn out</v>
      </c>
      <c r="U4016" s="20" t="s">
        <v>41</v>
      </c>
      <c r="V4016" s="17"/>
      <c r="W4016" s="20" t="e">
        <f aca="false">VLOOKUP(V4016,Sheet2!Q:R,2,0)</f>
        <v>#N/A</v>
      </c>
      <c r="X4016" s="17" t="n">
        <f aca="false">J4016</f>
        <v>0</v>
      </c>
      <c r="Y4016" s="17" t="e">
        <f aca="false">VLOOKUP(X4016,Sheet2!A:B,2,0)</f>
        <v>#N/A</v>
      </c>
      <c r="Z4016" s="17"/>
      <c r="AA4016" s="17"/>
      <c r="AC4016" s="23" t="str">
        <f aca="false">LEFT(G4016,2)</f>
        <v/>
      </c>
    </row>
    <row r="4017" customFormat="false" ht="15" hidden="false" customHeight="false" outlineLevel="0" collapsed="false">
      <c r="A4017" s="13" t="n">
        <f aca="false">1+A4016</f>
        <v>4015</v>
      </c>
      <c r="B4017" s="14" t="n">
        <v>100</v>
      </c>
      <c r="C4017" s="15"/>
      <c r="D4017" s="16" t="s">
        <v>64</v>
      </c>
      <c r="E4017" s="17" t="s">
        <v>47</v>
      </c>
      <c r="F4017" s="18" t="s">
        <v>34</v>
      </c>
      <c r="G4017" s="19"/>
      <c r="H4017" s="17" t="s">
        <v>35</v>
      </c>
      <c r="I4017" s="17" t="s">
        <v>44</v>
      </c>
      <c r="J4017" s="17"/>
      <c r="K4017" s="17" t="e">
        <f aca="false">VLOOKUP(J4017,Sheet2!A:B,2,0)</f>
        <v>#N/A</v>
      </c>
      <c r="L4017" s="17" t="n">
        <v>5</v>
      </c>
      <c r="M4017" s="17" t="str">
        <f aca="false">VLOOKUP(L4017,Sheet2!D:E,2,0)</f>
        <v>Main Processor CPU BGA</v>
      </c>
      <c r="N4017" s="17" t="n">
        <v>1</v>
      </c>
      <c r="O4017" s="17" t="str">
        <f aca="false">VLOOKUP(N4017,Sheet2!G:H,2,0)</f>
        <v>Dead</v>
      </c>
      <c r="P4017" s="17" t="n">
        <v>11</v>
      </c>
      <c r="Q4017" s="17" t="str">
        <f aca="false">VLOOKUP(P4017,Sheet2!J:K,2,0)</f>
        <v>IR Declared due to CID -TA</v>
      </c>
      <c r="R4017" s="17" t="s">
        <v>35</v>
      </c>
      <c r="S4017" s="17" t="str">
        <f aca="false">VLOOKUP(R4017,Sheet2!N:O,2,0)</f>
        <v>IREPARABLE</v>
      </c>
      <c r="T4017" s="18" t="str">
        <f aca="false">VLOOKUP(P4017,Sheet2!Q:R,2,0)</f>
        <v>IR Normal - Track burn out</v>
      </c>
      <c r="U4017" s="20" t="s">
        <v>41</v>
      </c>
      <c r="V4017" s="17"/>
      <c r="W4017" s="20" t="e">
        <f aca="false">VLOOKUP(V4017,Sheet2!Q:R,2,0)</f>
        <v>#N/A</v>
      </c>
      <c r="X4017" s="17" t="n">
        <f aca="false">J4017</f>
        <v>0</v>
      </c>
      <c r="Y4017" s="17" t="e">
        <f aca="false">VLOOKUP(X4017,Sheet2!A:B,2,0)</f>
        <v>#N/A</v>
      </c>
      <c r="Z4017" s="17"/>
      <c r="AA4017" s="17"/>
      <c r="AC4017" s="23" t="str">
        <f aca="false">LEFT(G4017,2)</f>
        <v/>
      </c>
    </row>
    <row r="4018" customFormat="false" ht="15" hidden="false" customHeight="false" outlineLevel="0" collapsed="false">
      <c r="A4018" s="13" t="n">
        <f aca="false">1+A4017</f>
        <v>4016</v>
      </c>
      <c r="B4018" s="14" t="n">
        <v>100</v>
      </c>
      <c r="C4018" s="15"/>
      <c r="D4018" s="16" t="s">
        <v>64</v>
      </c>
      <c r="E4018" s="17" t="s">
        <v>47</v>
      </c>
      <c r="F4018" s="18" t="s">
        <v>34</v>
      </c>
      <c r="G4018" s="19"/>
      <c r="H4018" s="17" t="s">
        <v>35</v>
      </c>
      <c r="I4018" s="17" t="s">
        <v>44</v>
      </c>
      <c r="J4018" s="17"/>
      <c r="K4018" s="17" t="e">
        <f aca="false">VLOOKUP(J4018,Sheet2!A:B,2,0)</f>
        <v>#N/A</v>
      </c>
      <c r="L4018" s="17" t="n">
        <v>5</v>
      </c>
      <c r="M4018" s="17" t="str">
        <f aca="false">VLOOKUP(L4018,Sheet2!D:E,2,0)</f>
        <v>Main Processor CPU BGA</v>
      </c>
      <c r="N4018" s="17" t="n">
        <v>1</v>
      </c>
      <c r="O4018" s="17" t="str">
        <f aca="false">VLOOKUP(N4018,Sheet2!G:H,2,0)</f>
        <v>Dead</v>
      </c>
      <c r="P4018" s="17" t="n">
        <v>11</v>
      </c>
      <c r="Q4018" s="17" t="str">
        <f aca="false">VLOOKUP(P4018,Sheet2!J:K,2,0)</f>
        <v>IR Declared due to CID -TA</v>
      </c>
      <c r="R4018" s="17" t="s">
        <v>35</v>
      </c>
      <c r="S4018" s="17" t="str">
        <f aca="false">VLOOKUP(R4018,Sheet2!N:O,2,0)</f>
        <v>IREPARABLE</v>
      </c>
      <c r="T4018" s="18" t="str">
        <f aca="false">VLOOKUP(P4018,Sheet2!Q:R,2,0)</f>
        <v>IR Normal - Track burn out</v>
      </c>
      <c r="U4018" s="20" t="s">
        <v>41</v>
      </c>
      <c r="V4018" s="17"/>
      <c r="W4018" s="20" t="e">
        <f aca="false">VLOOKUP(V4018,Sheet2!Q:R,2,0)</f>
        <v>#N/A</v>
      </c>
      <c r="X4018" s="17" t="n">
        <f aca="false">J4018</f>
        <v>0</v>
      </c>
      <c r="Y4018" s="17" t="e">
        <f aca="false">VLOOKUP(X4018,Sheet2!A:B,2,0)</f>
        <v>#N/A</v>
      </c>
      <c r="Z4018" s="17"/>
      <c r="AA4018" s="17"/>
      <c r="AC4018" s="23" t="str">
        <f aca="false">LEFT(G4018,2)</f>
        <v/>
      </c>
    </row>
    <row r="4019" customFormat="false" ht="15" hidden="false" customHeight="false" outlineLevel="0" collapsed="false">
      <c r="A4019" s="13" t="n">
        <f aca="false">1+A4018</f>
        <v>4017</v>
      </c>
      <c r="B4019" s="14" t="n">
        <v>100</v>
      </c>
      <c r="C4019" s="15"/>
      <c r="D4019" s="16" t="s">
        <v>64</v>
      </c>
      <c r="E4019" s="17" t="s">
        <v>47</v>
      </c>
      <c r="F4019" s="18" t="s">
        <v>34</v>
      </c>
      <c r="G4019" s="19"/>
      <c r="H4019" s="17" t="s">
        <v>35</v>
      </c>
      <c r="I4019" s="17" t="s">
        <v>44</v>
      </c>
      <c r="J4019" s="17"/>
      <c r="K4019" s="17" t="e">
        <f aca="false">VLOOKUP(J4019,Sheet2!A:B,2,0)</f>
        <v>#N/A</v>
      </c>
      <c r="L4019" s="17" t="n">
        <v>5</v>
      </c>
      <c r="M4019" s="17" t="str">
        <f aca="false">VLOOKUP(L4019,Sheet2!D:E,2,0)</f>
        <v>Main Processor CPU BGA</v>
      </c>
      <c r="N4019" s="17" t="n">
        <v>1</v>
      </c>
      <c r="O4019" s="17" t="str">
        <f aca="false">VLOOKUP(N4019,Sheet2!G:H,2,0)</f>
        <v>Dead</v>
      </c>
      <c r="P4019" s="17" t="n">
        <v>11</v>
      </c>
      <c r="Q4019" s="17" t="str">
        <f aca="false">VLOOKUP(P4019,Sheet2!J:K,2,0)</f>
        <v>IR Declared due to CID -TA</v>
      </c>
      <c r="R4019" s="17" t="s">
        <v>35</v>
      </c>
      <c r="S4019" s="17" t="str">
        <f aca="false">VLOOKUP(R4019,Sheet2!N:O,2,0)</f>
        <v>IREPARABLE</v>
      </c>
      <c r="T4019" s="18" t="str">
        <f aca="false">VLOOKUP(P4019,Sheet2!Q:R,2,0)</f>
        <v>IR Normal - Track burn out</v>
      </c>
      <c r="U4019" s="20" t="s">
        <v>41</v>
      </c>
      <c r="V4019" s="17"/>
      <c r="W4019" s="20" t="e">
        <f aca="false">VLOOKUP(V4019,Sheet2!Q:R,2,0)</f>
        <v>#N/A</v>
      </c>
      <c r="X4019" s="17" t="n">
        <f aca="false">J4019</f>
        <v>0</v>
      </c>
      <c r="Y4019" s="17" t="e">
        <f aca="false">VLOOKUP(X4019,Sheet2!A:B,2,0)</f>
        <v>#N/A</v>
      </c>
      <c r="Z4019" s="17"/>
      <c r="AA4019" s="17"/>
      <c r="AC4019" s="23" t="str">
        <f aca="false">LEFT(G4019,2)</f>
        <v/>
      </c>
    </row>
    <row r="4020" customFormat="false" ht="15" hidden="false" customHeight="false" outlineLevel="0" collapsed="false">
      <c r="A4020" s="13" t="n">
        <f aca="false">1+A4019</f>
        <v>4018</v>
      </c>
      <c r="B4020" s="14" t="n">
        <v>100</v>
      </c>
      <c r="C4020" s="15"/>
      <c r="D4020" s="16" t="s">
        <v>64</v>
      </c>
      <c r="E4020" s="17" t="s">
        <v>47</v>
      </c>
      <c r="F4020" s="18" t="s">
        <v>34</v>
      </c>
      <c r="G4020" s="19"/>
      <c r="H4020" s="17" t="s">
        <v>35</v>
      </c>
      <c r="I4020" s="17" t="s">
        <v>44</v>
      </c>
      <c r="J4020" s="17"/>
      <c r="K4020" s="17" t="e">
        <f aca="false">VLOOKUP(J4020,Sheet2!A:B,2,0)</f>
        <v>#N/A</v>
      </c>
      <c r="L4020" s="17" t="n">
        <v>5</v>
      </c>
      <c r="M4020" s="17" t="str">
        <f aca="false">VLOOKUP(L4020,Sheet2!D:E,2,0)</f>
        <v>Main Processor CPU BGA</v>
      </c>
      <c r="N4020" s="17" t="n">
        <v>1</v>
      </c>
      <c r="O4020" s="17" t="str">
        <f aca="false">VLOOKUP(N4020,Sheet2!G:H,2,0)</f>
        <v>Dead</v>
      </c>
      <c r="P4020" s="17" t="n">
        <v>11</v>
      </c>
      <c r="Q4020" s="17" t="str">
        <f aca="false">VLOOKUP(P4020,Sheet2!J:K,2,0)</f>
        <v>IR Declared due to CID -TA</v>
      </c>
      <c r="R4020" s="17" t="s">
        <v>35</v>
      </c>
      <c r="S4020" s="17" t="str">
        <f aca="false">VLOOKUP(R4020,Sheet2!N:O,2,0)</f>
        <v>IREPARABLE</v>
      </c>
      <c r="T4020" s="18" t="str">
        <f aca="false">VLOOKUP(P4020,Sheet2!Q:R,2,0)</f>
        <v>IR Normal - Track burn out</v>
      </c>
      <c r="U4020" s="20" t="s">
        <v>41</v>
      </c>
      <c r="V4020" s="17"/>
      <c r="W4020" s="20" t="e">
        <f aca="false">VLOOKUP(V4020,Sheet2!Q:R,2,0)</f>
        <v>#N/A</v>
      </c>
      <c r="X4020" s="17" t="n">
        <f aca="false">J4020</f>
        <v>0</v>
      </c>
      <c r="Y4020" s="17" t="e">
        <f aca="false">VLOOKUP(X4020,Sheet2!A:B,2,0)</f>
        <v>#N/A</v>
      </c>
      <c r="Z4020" s="17"/>
      <c r="AA4020" s="17"/>
      <c r="AC4020" s="23" t="str">
        <f aca="false">LEFT(G4020,2)</f>
        <v/>
      </c>
    </row>
    <row r="4021" customFormat="false" ht="15" hidden="false" customHeight="false" outlineLevel="0" collapsed="false">
      <c r="A4021" s="13" t="n">
        <f aca="false">1+A4020</f>
        <v>4019</v>
      </c>
      <c r="B4021" s="14" t="n">
        <v>100</v>
      </c>
      <c r="C4021" s="15"/>
      <c r="D4021" s="16" t="s">
        <v>64</v>
      </c>
      <c r="E4021" s="17" t="s">
        <v>47</v>
      </c>
      <c r="F4021" s="18" t="s">
        <v>34</v>
      </c>
      <c r="G4021" s="19"/>
      <c r="H4021" s="17" t="s">
        <v>35</v>
      </c>
      <c r="I4021" s="17" t="s">
        <v>44</v>
      </c>
      <c r="J4021" s="17"/>
      <c r="K4021" s="17" t="e">
        <f aca="false">VLOOKUP(J4021,Sheet2!A:B,2,0)</f>
        <v>#N/A</v>
      </c>
      <c r="L4021" s="17" t="n">
        <v>5</v>
      </c>
      <c r="M4021" s="17" t="str">
        <f aca="false">VLOOKUP(L4021,Sheet2!D:E,2,0)</f>
        <v>Main Processor CPU BGA</v>
      </c>
      <c r="N4021" s="17" t="n">
        <v>1</v>
      </c>
      <c r="O4021" s="17" t="str">
        <f aca="false">VLOOKUP(N4021,Sheet2!G:H,2,0)</f>
        <v>Dead</v>
      </c>
      <c r="P4021" s="17" t="n">
        <v>11</v>
      </c>
      <c r="Q4021" s="17" t="str">
        <f aca="false">VLOOKUP(P4021,Sheet2!J:K,2,0)</f>
        <v>IR Declared due to CID -TA</v>
      </c>
      <c r="R4021" s="17" t="s">
        <v>35</v>
      </c>
      <c r="S4021" s="17" t="str">
        <f aca="false">VLOOKUP(R4021,Sheet2!N:O,2,0)</f>
        <v>IREPARABLE</v>
      </c>
      <c r="T4021" s="18" t="str">
        <f aca="false">VLOOKUP(P4021,Sheet2!Q:R,2,0)</f>
        <v>IR Normal - Track burn out</v>
      </c>
      <c r="U4021" s="20" t="s">
        <v>41</v>
      </c>
      <c r="V4021" s="17"/>
      <c r="W4021" s="20" t="e">
        <f aca="false">VLOOKUP(V4021,Sheet2!Q:R,2,0)</f>
        <v>#N/A</v>
      </c>
      <c r="X4021" s="17" t="n">
        <f aca="false">J4021</f>
        <v>0</v>
      </c>
      <c r="Y4021" s="17" t="e">
        <f aca="false">VLOOKUP(X4021,Sheet2!A:B,2,0)</f>
        <v>#N/A</v>
      </c>
      <c r="Z4021" s="17"/>
      <c r="AA4021" s="17"/>
      <c r="AC4021" s="23" t="str">
        <f aca="false">LEFT(G4021,2)</f>
        <v/>
      </c>
    </row>
    <row r="4022" customFormat="false" ht="15" hidden="false" customHeight="false" outlineLevel="0" collapsed="false">
      <c r="A4022" s="13" t="n">
        <f aca="false">1+A4021</f>
        <v>4020</v>
      </c>
      <c r="B4022" s="14" t="n">
        <v>100</v>
      </c>
      <c r="C4022" s="15"/>
      <c r="D4022" s="16" t="s">
        <v>64</v>
      </c>
      <c r="E4022" s="17" t="s">
        <v>47</v>
      </c>
      <c r="F4022" s="18" t="s">
        <v>34</v>
      </c>
      <c r="G4022" s="19"/>
      <c r="H4022" s="17" t="s">
        <v>35</v>
      </c>
      <c r="I4022" s="17" t="s">
        <v>44</v>
      </c>
      <c r="J4022" s="17"/>
      <c r="K4022" s="17" t="e">
        <f aca="false">VLOOKUP(J4022,Sheet2!A:B,2,0)</f>
        <v>#N/A</v>
      </c>
      <c r="L4022" s="17" t="n">
        <v>5</v>
      </c>
      <c r="M4022" s="17" t="str">
        <f aca="false">VLOOKUP(L4022,Sheet2!D:E,2,0)</f>
        <v>Main Processor CPU BGA</v>
      </c>
      <c r="N4022" s="17" t="n">
        <v>1</v>
      </c>
      <c r="O4022" s="17" t="str">
        <f aca="false">VLOOKUP(N4022,Sheet2!G:H,2,0)</f>
        <v>Dead</v>
      </c>
      <c r="P4022" s="17" t="n">
        <v>11</v>
      </c>
      <c r="Q4022" s="17" t="str">
        <f aca="false">VLOOKUP(P4022,Sheet2!J:K,2,0)</f>
        <v>IR Declared due to CID -TA</v>
      </c>
      <c r="R4022" s="17" t="s">
        <v>35</v>
      </c>
      <c r="S4022" s="17" t="str">
        <f aca="false">VLOOKUP(R4022,Sheet2!N:O,2,0)</f>
        <v>IREPARABLE</v>
      </c>
      <c r="T4022" s="18" t="str">
        <f aca="false">VLOOKUP(P4022,Sheet2!Q:R,2,0)</f>
        <v>IR Normal - Track burn out</v>
      </c>
      <c r="U4022" s="20" t="s">
        <v>41</v>
      </c>
      <c r="V4022" s="17"/>
      <c r="W4022" s="20" t="e">
        <f aca="false">VLOOKUP(V4022,Sheet2!Q:R,2,0)</f>
        <v>#N/A</v>
      </c>
      <c r="X4022" s="17" t="n">
        <f aca="false">J4022</f>
        <v>0</v>
      </c>
      <c r="Y4022" s="17" t="e">
        <f aca="false">VLOOKUP(X4022,Sheet2!A:B,2,0)</f>
        <v>#N/A</v>
      </c>
      <c r="Z4022" s="17"/>
      <c r="AA4022" s="17"/>
      <c r="AC4022" s="23" t="str">
        <f aca="false">LEFT(G4022,2)</f>
        <v/>
      </c>
    </row>
    <row r="4023" customFormat="false" ht="15" hidden="false" customHeight="false" outlineLevel="0" collapsed="false">
      <c r="A4023" s="13" t="n">
        <f aca="false">1+A4022</f>
        <v>4021</v>
      </c>
      <c r="B4023" s="14" t="n">
        <v>100</v>
      </c>
      <c r="C4023" s="15"/>
      <c r="D4023" s="16" t="s">
        <v>64</v>
      </c>
      <c r="E4023" s="17" t="s">
        <v>47</v>
      </c>
      <c r="F4023" s="18" t="s">
        <v>34</v>
      </c>
      <c r="G4023" s="19"/>
      <c r="H4023" s="17" t="s">
        <v>35</v>
      </c>
      <c r="I4023" s="17" t="s">
        <v>44</v>
      </c>
      <c r="J4023" s="17"/>
      <c r="K4023" s="17" t="e">
        <f aca="false">VLOOKUP(J4023,Sheet2!A:B,2,0)</f>
        <v>#N/A</v>
      </c>
      <c r="L4023" s="17" t="n">
        <v>5</v>
      </c>
      <c r="M4023" s="17" t="str">
        <f aca="false">VLOOKUP(L4023,Sheet2!D:E,2,0)</f>
        <v>Main Processor CPU BGA</v>
      </c>
      <c r="N4023" s="17" t="n">
        <v>1</v>
      </c>
      <c r="O4023" s="17" t="str">
        <f aca="false">VLOOKUP(N4023,Sheet2!G:H,2,0)</f>
        <v>Dead</v>
      </c>
      <c r="P4023" s="17" t="n">
        <v>11</v>
      </c>
      <c r="Q4023" s="17" t="str">
        <f aca="false">VLOOKUP(P4023,Sheet2!J:K,2,0)</f>
        <v>IR Declared due to CID -TA</v>
      </c>
      <c r="R4023" s="17" t="s">
        <v>35</v>
      </c>
      <c r="S4023" s="17" t="str">
        <f aca="false">VLOOKUP(R4023,Sheet2!N:O,2,0)</f>
        <v>IREPARABLE</v>
      </c>
      <c r="T4023" s="18" t="str">
        <f aca="false">VLOOKUP(P4023,Sheet2!Q:R,2,0)</f>
        <v>IR Normal - Track burn out</v>
      </c>
      <c r="U4023" s="20" t="s">
        <v>41</v>
      </c>
      <c r="V4023" s="17"/>
      <c r="W4023" s="20" t="e">
        <f aca="false">VLOOKUP(V4023,Sheet2!Q:R,2,0)</f>
        <v>#N/A</v>
      </c>
      <c r="X4023" s="17" t="n">
        <f aca="false">J4023</f>
        <v>0</v>
      </c>
      <c r="Y4023" s="17" t="e">
        <f aca="false">VLOOKUP(X4023,Sheet2!A:B,2,0)</f>
        <v>#N/A</v>
      </c>
      <c r="Z4023" s="17"/>
      <c r="AA4023" s="17"/>
      <c r="AC4023" s="23" t="str">
        <f aca="false">LEFT(G4023,2)</f>
        <v/>
      </c>
    </row>
    <row r="4024" customFormat="false" ht="15" hidden="false" customHeight="false" outlineLevel="0" collapsed="false">
      <c r="A4024" s="13" t="n">
        <f aca="false">1+A4023</f>
        <v>4022</v>
      </c>
      <c r="B4024" s="14" t="n">
        <v>100</v>
      </c>
      <c r="C4024" s="15"/>
      <c r="D4024" s="16" t="s">
        <v>64</v>
      </c>
      <c r="E4024" s="17" t="s">
        <v>47</v>
      </c>
      <c r="F4024" s="18" t="s">
        <v>34</v>
      </c>
      <c r="G4024" s="19"/>
      <c r="H4024" s="17" t="s">
        <v>35</v>
      </c>
      <c r="I4024" s="17" t="s">
        <v>44</v>
      </c>
      <c r="J4024" s="17"/>
      <c r="K4024" s="17" t="e">
        <f aca="false">VLOOKUP(J4024,Sheet2!A:B,2,0)</f>
        <v>#N/A</v>
      </c>
      <c r="L4024" s="17" t="n">
        <v>5</v>
      </c>
      <c r="M4024" s="17" t="str">
        <f aca="false">VLOOKUP(L4024,Sheet2!D:E,2,0)</f>
        <v>Main Processor CPU BGA</v>
      </c>
      <c r="N4024" s="17" t="n">
        <v>1</v>
      </c>
      <c r="O4024" s="17" t="str">
        <f aca="false">VLOOKUP(N4024,Sheet2!G:H,2,0)</f>
        <v>Dead</v>
      </c>
      <c r="P4024" s="17" t="n">
        <v>11</v>
      </c>
      <c r="Q4024" s="17" t="str">
        <f aca="false">VLOOKUP(P4024,Sheet2!J:K,2,0)</f>
        <v>IR Declared due to CID -TA</v>
      </c>
      <c r="R4024" s="17" t="s">
        <v>35</v>
      </c>
      <c r="S4024" s="17" t="str">
        <f aca="false">VLOOKUP(R4024,Sheet2!N:O,2,0)</f>
        <v>IREPARABLE</v>
      </c>
      <c r="T4024" s="18" t="str">
        <f aca="false">VLOOKUP(P4024,Sheet2!Q:R,2,0)</f>
        <v>IR Normal - Track burn out</v>
      </c>
      <c r="U4024" s="20" t="s">
        <v>41</v>
      </c>
      <c r="V4024" s="17"/>
      <c r="W4024" s="20" t="e">
        <f aca="false">VLOOKUP(V4024,Sheet2!Q:R,2,0)</f>
        <v>#N/A</v>
      </c>
      <c r="X4024" s="17" t="n">
        <f aca="false">J4024</f>
        <v>0</v>
      </c>
      <c r="Y4024" s="17" t="e">
        <f aca="false">VLOOKUP(X4024,Sheet2!A:B,2,0)</f>
        <v>#N/A</v>
      </c>
      <c r="Z4024" s="17"/>
      <c r="AA4024" s="17"/>
      <c r="AC4024" s="23" t="str">
        <f aca="false">LEFT(G4024,2)</f>
        <v/>
      </c>
    </row>
    <row r="4025" customFormat="false" ht="15" hidden="false" customHeight="false" outlineLevel="0" collapsed="false">
      <c r="A4025" s="13" t="n">
        <f aca="false">1+A4024</f>
        <v>4023</v>
      </c>
      <c r="B4025" s="14" t="n">
        <v>100</v>
      </c>
      <c r="C4025" s="15"/>
      <c r="D4025" s="16" t="s">
        <v>64</v>
      </c>
      <c r="E4025" s="17" t="s">
        <v>47</v>
      </c>
      <c r="F4025" s="18" t="s">
        <v>34</v>
      </c>
      <c r="G4025" s="19"/>
      <c r="H4025" s="17" t="s">
        <v>35</v>
      </c>
      <c r="I4025" s="17" t="s">
        <v>44</v>
      </c>
      <c r="J4025" s="17"/>
      <c r="K4025" s="17" t="e">
        <f aca="false">VLOOKUP(J4025,Sheet2!A:B,2,0)</f>
        <v>#N/A</v>
      </c>
      <c r="L4025" s="17" t="n">
        <v>5</v>
      </c>
      <c r="M4025" s="17" t="str">
        <f aca="false">VLOOKUP(L4025,Sheet2!D:E,2,0)</f>
        <v>Main Processor CPU BGA</v>
      </c>
      <c r="N4025" s="17" t="n">
        <v>1</v>
      </c>
      <c r="O4025" s="17" t="str">
        <f aca="false">VLOOKUP(N4025,Sheet2!G:H,2,0)</f>
        <v>Dead</v>
      </c>
      <c r="P4025" s="17" t="n">
        <v>11</v>
      </c>
      <c r="Q4025" s="17" t="str">
        <f aca="false">VLOOKUP(P4025,Sheet2!J:K,2,0)</f>
        <v>IR Declared due to CID -TA</v>
      </c>
      <c r="R4025" s="17" t="s">
        <v>35</v>
      </c>
      <c r="S4025" s="17" t="str">
        <f aca="false">VLOOKUP(R4025,Sheet2!N:O,2,0)</f>
        <v>IREPARABLE</v>
      </c>
      <c r="T4025" s="18" t="str">
        <f aca="false">VLOOKUP(P4025,Sheet2!Q:R,2,0)</f>
        <v>IR Normal - Track burn out</v>
      </c>
      <c r="U4025" s="20" t="s">
        <v>41</v>
      </c>
      <c r="V4025" s="17"/>
      <c r="W4025" s="20" t="e">
        <f aca="false">VLOOKUP(V4025,Sheet2!Q:R,2,0)</f>
        <v>#N/A</v>
      </c>
      <c r="X4025" s="17" t="n">
        <f aca="false">J4025</f>
        <v>0</v>
      </c>
      <c r="Y4025" s="17" t="e">
        <f aca="false">VLOOKUP(X4025,Sheet2!A:B,2,0)</f>
        <v>#N/A</v>
      </c>
      <c r="Z4025" s="17"/>
      <c r="AA4025" s="17"/>
      <c r="AC4025" s="23" t="str">
        <f aca="false">LEFT(G4025,2)</f>
        <v/>
      </c>
    </row>
    <row r="4026" customFormat="false" ht="15" hidden="false" customHeight="false" outlineLevel="0" collapsed="false">
      <c r="A4026" s="13" t="n">
        <f aca="false">1+A4025</f>
        <v>4024</v>
      </c>
      <c r="B4026" s="14" t="n">
        <v>100</v>
      </c>
      <c r="C4026" s="15"/>
      <c r="D4026" s="16" t="s">
        <v>64</v>
      </c>
      <c r="E4026" s="17" t="s">
        <v>47</v>
      </c>
      <c r="F4026" s="18" t="s">
        <v>34</v>
      </c>
      <c r="G4026" s="19"/>
      <c r="H4026" s="17" t="s">
        <v>35</v>
      </c>
      <c r="I4026" s="17" t="s">
        <v>44</v>
      </c>
      <c r="J4026" s="17"/>
      <c r="K4026" s="17" t="e">
        <f aca="false">VLOOKUP(J4026,Sheet2!A:B,2,0)</f>
        <v>#N/A</v>
      </c>
      <c r="L4026" s="17" t="n">
        <v>5</v>
      </c>
      <c r="M4026" s="17" t="str">
        <f aca="false">VLOOKUP(L4026,Sheet2!D:E,2,0)</f>
        <v>Main Processor CPU BGA</v>
      </c>
      <c r="N4026" s="17" t="n">
        <v>1</v>
      </c>
      <c r="O4026" s="17" t="str">
        <f aca="false">VLOOKUP(N4026,Sheet2!G:H,2,0)</f>
        <v>Dead</v>
      </c>
      <c r="P4026" s="17" t="n">
        <v>11</v>
      </c>
      <c r="Q4026" s="17" t="str">
        <f aca="false">VLOOKUP(P4026,Sheet2!J:K,2,0)</f>
        <v>IR Declared due to CID -TA</v>
      </c>
      <c r="R4026" s="17" t="s">
        <v>35</v>
      </c>
      <c r="S4026" s="17" t="str">
        <f aca="false">VLOOKUP(R4026,Sheet2!N:O,2,0)</f>
        <v>IREPARABLE</v>
      </c>
      <c r="T4026" s="18" t="str">
        <f aca="false">VLOOKUP(P4026,Sheet2!Q:R,2,0)</f>
        <v>IR Normal - Track burn out</v>
      </c>
      <c r="U4026" s="20" t="s">
        <v>41</v>
      </c>
      <c r="V4026" s="17"/>
      <c r="W4026" s="20" t="e">
        <f aca="false">VLOOKUP(V4026,Sheet2!Q:R,2,0)</f>
        <v>#N/A</v>
      </c>
      <c r="X4026" s="17" t="n">
        <f aca="false">J4026</f>
        <v>0</v>
      </c>
      <c r="Y4026" s="17" t="e">
        <f aca="false">VLOOKUP(X4026,Sheet2!A:B,2,0)</f>
        <v>#N/A</v>
      </c>
      <c r="Z4026" s="17"/>
      <c r="AA4026" s="17"/>
      <c r="AC4026" s="23" t="str">
        <f aca="false">LEFT(G4026,2)</f>
        <v/>
      </c>
    </row>
    <row r="4027" customFormat="false" ht="15" hidden="false" customHeight="false" outlineLevel="0" collapsed="false">
      <c r="A4027" s="13" t="n">
        <f aca="false">1+A4026</f>
        <v>4025</v>
      </c>
      <c r="B4027" s="14" t="n">
        <v>100</v>
      </c>
      <c r="C4027" s="15"/>
      <c r="D4027" s="16" t="s">
        <v>64</v>
      </c>
      <c r="E4027" s="17" t="s">
        <v>47</v>
      </c>
      <c r="F4027" s="18" t="s">
        <v>34</v>
      </c>
      <c r="G4027" s="19"/>
      <c r="H4027" s="17" t="s">
        <v>35</v>
      </c>
      <c r="I4027" s="17" t="s">
        <v>44</v>
      </c>
      <c r="J4027" s="17"/>
      <c r="K4027" s="17" t="e">
        <f aca="false">VLOOKUP(J4027,Sheet2!A:B,2,0)</f>
        <v>#N/A</v>
      </c>
      <c r="L4027" s="17" t="n">
        <v>5</v>
      </c>
      <c r="M4027" s="17" t="str">
        <f aca="false">VLOOKUP(L4027,Sheet2!D:E,2,0)</f>
        <v>Main Processor CPU BGA</v>
      </c>
      <c r="N4027" s="17" t="n">
        <v>1</v>
      </c>
      <c r="O4027" s="17" t="str">
        <f aca="false">VLOOKUP(N4027,Sheet2!G:H,2,0)</f>
        <v>Dead</v>
      </c>
      <c r="P4027" s="17" t="n">
        <v>11</v>
      </c>
      <c r="Q4027" s="17" t="str">
        <f aca="false">VLOOKUP(P4027,Sheet2!J:K,2,0)</f>
        <v>IR Declared due to CID -TA</v>
      </c>
      <c r="R4027" s="17" t="s">
        <v>35</v>
      </c>
      <c r="S4027" s="17" t="str">
        <f aca="false">VLOOKUP(R4027,Sheet2!N:O,2,0)</f>
        <v>IREPARABLE</v>
      </c>
      <c r="T4027" s="18" t="str">
        <f aca="false">VLOOKUP(P4027,Sheet2!Q:R,2,0)</f>
        <v>IR Normal - Track burn out</v>
      </c>
      <c r="U4027" s="20" t="s">
        <v>41</v>
      </c>
      <c r="V4027" s="17"/>
      <c r="W4027" s="20" t="e">
        <f aca="false">VLOOKUP(V4027,Sheet2!Q:R,2,0)</f>
        <v>#N/A</v>
      </c>
      <c r="X4027" s="17" t="n">
        <f aca="false">J4027</f>
        <v>0</v>
      </c>
      <c r="Y4027" s="17" t="e">
        <f aca="false">VLOOKUP(X4027,Sheet2!A:B,2,0)</f>
        <v>#N/A</v>
      </c>
      <c r="Z4027" s="17"/>
      <c r="AA4027" s="17"/>
      <c r="AC4027" s="23" t="str">
        <f aca="false">LEFT(G4027,2)</f>
        <v/>
      </c>
    </row>
    <row r="4028" customFormat="false" ht="15" hidden="false" customHeight="false" outlineLevel="0" collapsed="false">
      <c r="A4028" s="13" t="n">
        <f aca="false">1+A4027</f>
        <v>4026</v>
      </c>
      <c r="B4028" s="14" t="n">
        <v>100</v>
      </c>
      <c r="C4028" s="15"/>
      <c r="D4028" s="16" t="s">
        <v>64</v>
      </c>
      <c r="E4028" s="17" t="s">
        <v>47</v>
      </c>
      <c r="F4028" s="18" t="s">
        <v>34</v>
      </c>
      <c r="G4028" s="19"/>
      <c r="H4028" s="17" t="s">
        <v>35</v>
      </c>
      <c r="I4028" s="17" t="s">
        <v>44</v>
      </c>
      <c r="J4028" s="17"/>
      <c r="K4028" s="17" t="e">
        <f aca="false">VLOOKUP(J4028,Sheet2!A:B,2,0)</f>
        <v>#N/A</v>
      </c>
      <c r="L4028" s="17" t="n">
        <v>5</v>
      </c>
      <c r="M4028" s="17" t="str">
        <f aca="false">VLOOKUP(L4028,Sheet2!D:E,2,0)</f>
        <v>Main Processor CPU BGA</v>
      </c>
      <c r="N4028" s="17" t="n">
        <v>1</v>
      </c>
      <c r="O4028" s="17" t="str">
        <f aca="false">VLOOKUP(N4028,Sheet2!G:H,2,0)</f>
        <v>Dead</v>
      </c>
      <c r="P4028" s="17" t="n">
        <v>11</v>
      </c>
      <c r="Q4028" s="17" t="str">
        <f aca="false">VLOOKUP(P4028,Sheet2!J:K,2,0)</f>
        <v>IR Declared due to CID -TA</v>
      </c>
      <c r="R4028" s="17" t="s">
        <v>35</v>
      </c>
      <c r="S4028" s="17" t="str">
        <f aca="false">VLOOKUP(R4028,Sheet2!N:O,2,0)</f>
        <v>IREPARABLE</v>
      </c>
      <c r="T4028" s="18" t="str">
        <f aca="false">VLOOKUP(P4028,Sheet2!Q:R,2,0)</f>
        <v>IR Normal - Track burn out</v>
      </c>
      <c r="U4028" s="20" t="s">
        <v>41</v>
      </c>
      <c r="V4028" s="17"/>
      <c r="W4028" s="20" t="e">
        <f aca="false">VLOOKUP(V4028,Sheet2!Q:R,2,0)</f>
        <v>#N/A</v>
      </c>
      <c r="X4028" s="17" t="n">
        <f aca="false">J4028</f>
        <v>0</v>
      </c>
      <c r="Y4028" s="17" t="e">
        <f aca="false">VLOOKUP(X4028,Sheet2!A:B,2,0)</f>
        <v>#N/A</v>
      </c>
      <c r="Z4028" s="17"/>
      <c r="AA4028" s="17"/>
      <c r="AC4028" s="23" t="str">
        <f aca="false">LEFT(G4028,2)</f>
        <v/>
      </c>
    </row>
    <row r="4029" customFormat="false" ht="15" hidden="false" customHeight="false" outlineLevel="0" collapsed="false">
      <c r="A4029" s="13" t="n">
        <f aca="false">1+A4028</f>
        <v>4027</v>
      </c>
      <c r="B4029" s="14" t="n">
        <v>100</v>
      </c>
      <c r="C4029" s="15"/>
      <c r="D4029" s="16" t="s">
        <v>64</v>
      </c>
      <c r="E4029" s="17" t="s">
        <v>47</v>
      </c>
      <c r="F4029" s="18" t="s">
        <v>34</v>
      </c>
      <c r="G4029" s="19"/>
      <c r="H4029" s="17" t="s">
        <v>35</v>
      </c>
      <c r="I4029" s="17" t="s">
        <v>44</v>
      </c>
      <c r="J4029" s="17"/>
      <c r="K4029" s="17" t="e">
        <f aca="false">VLOOKUP(J4029,Sheet2!A:B,2,0)</f>
        <v>#N/A</v>
      </c>
      <c r="L4029" s="17" t="n">
        <v>5</v>
      </c>
      <c r="M4029" s="17" t="str">
        <f aca="false">VLOOKUP(L4029,Sheet2!D:E,2,0)</f>
        <v>Main Processor CPU BGA</v>
      </c>
      <c r="N4029" s="17" t="n">
        <v>1</v>
      </c>
      <c r="O4029" s="17" t="str">
        <f aca="false">VLOOKUP(N4029,Sheet2!G:H,2,0)</f>
        <v>Dead</v>
      </c>
      <c r="P4029" s="17" t="n">
        <v>11</v>
      </c>
      <c r="Q4029" s="17" t="str">
        <f aca="false">VLOOKUP(P4029,Sheet2!J:K,2,0)</f>
        <v>IR Declared due to CID -TA</v>
      </c>
      <c r="R4029" s="17" t="s">
        <v>35</v>
      </c>
      <c r="S4029" s="17" t="str">
        <f aca="false">VLOOKUP(R4029,Sheet2!N:O,2,0)</f>
        <v>IREPARABLE</v>
      </c>
      <c r="T4029" s="18" t="str">
        <f aca="false">VLOOKUP(P4029,Sheet2!Q:R,2,0)</f>
        <v>IR Normal - Track burn out</v>
      </c>
      <c r="U4029" s="20" t="s">
        <v>41</v>
      </c>
      <c r="V4029" s="17"/>
      <c r="W4029" s="20" t="e">
        <f aca="false">VLOOKUP(V4029,Sheet2!Q:R,2,0)</f>
        <v>#N/A</v>
      </c>
      <c r="X4029" s="17" t="n">
        <f aca="false">J4029</f>
        <v>0</v>
      </c>
      <c r="Y4029" s="17" t="e">
        <f aca="false">VLOOKUP(X4029,Sheet2!A:B,2,0)</f>
        <v>#N/A</v>
      </c>
      <c r="Z4029" s="17"/>
      <c r="AA4029" s="17"/>
      <c r="AC4029" s="23" t="str">
        <f aca="false">LEFT(G4029,2)</f>
        <v/>
      </c>
    </row>
    <row r="4030" customFormat="false" ht="15" hidden="false" customHeight="false" outlineLevel="0" collapsed="false">
      <c r="A4030" s="13" t="n">
        <f aca="false">1+A4029</f>
        <v>4028</v>
      </c>
      <c r="B4030" s="14" t="n">
        <v>100</v>
      </c>
      <c r="C4030" s="15"/>
      <c r="D4030" s="16" t="s">
        <v>64</v>
      </c>
      <c r="E4030" s="17" t="s">
        <v>47</v>
      </c>
      <c r="F4030" s="18" t="s">
        <v>34</v>
      </c>
      <c r="G4030" s="19"/>
      <c r="H4030" s="17" t="s">
        <v>35</v>
      </c>
      <c r="I4030" s="17" t="s">
        <v>44</v>
      </c>
      <c r="J4030" s="17"/>
      <c r="K4030" s="17" t="e">
        <f aca="false">VLOOKUP(J4030,Sheet2!A:B,2,0)</f>
        <v>#N/A</v>
      </c>
      <c r="L4030" s="17" t="n">
        <v>5</v>
      </c>
      <c r="M4030" s="17" t="str">
        <f aca="false">VLOOKUP(L4030,Sheet2!D:E,2,0)</f>
        <v>Main Processor CPU BGA</v>
      </c>
      <c r="N4030" s="17" t="n">
        <v>1</v>
      </c>
      <c r="O4030" s="17" t="str">
        <f aca="false">VLOOKUP(N4030,Sheet2!G:H,2,0)</f>
        <v>Dead</v>
      </c>
      <c r="P4030" s="17" t="n">
        <v>11</v>
      </c>
      <c r="Q4030" s="17" t="str">
        <f aca="false">VLOOKUP(P4030,Sheet2!J:K,2,0)</f>
        <v>IR Declared due to CID -TA</v>
      </c>
      <c r="R4030" s="17" t="s">
        <v>35</v>
      </c>
      <c r="S4030" s="17" t="str">
        <f aca="false">VLOOKUP(R4030,Sheet2!N:O,2,0)</f>
        <v>IREPARABLE</v>
      </c>
      <c r="T4030" s="18" t="str">
        <f aca="false">VLOOKUP(P4030,Sheet2!Q:R,2,0)</f>
        <v>IR Normal - Track burn out</v>
      </c>
      <c r="U4030" s="20" t="s">
        <v>41</v>
      </c>
      <c r="V4030" s="17"/>
      <c r="W4030" s="20" t="e">
        <f aca="false">VLOOKUP(V4030,Sheet2!Q:R,2,0)</f>
        <v>#N/A</v>
      </c>
      <c r="X4030" s="17" t="n">
        <f aca="false">J4030</f>
        <v>0</v>
      </c>
      <c r="Y4030" s="17" t="e">
        <f aca="false">VLOOKUP(X4030,Sheet2!A:B,2,0)</f>
        <v>#N/A</v>
      </c>
      <c r="Z4030" s="17"/>
      <c r="AA4030" s="17"/>
      <c r="AC4030" s="23" t="str">
        <f aca="false">LEFT(G4030,2)</f>
        <v/>
      </c>
    </row>
    <row r="4031" customFormat="false" ht="15" hidden="false" customHeight="false" outlineLevel="0" collapsed="false">
      <c r="A4031" s="13" t="n">
        <f aca="false">1+A4030</f>
        <v>4029</v>
      </c>
      <c r="B4031" s="14" t="n">
        <v>100</v>
      </c>
      <c r="C4031" s="15"/>
      <c r="D4031" s="16" t="s">
        <v>64</v>
      </c>
      <c r="E4031" s="17" t="s">
        <v>47</v>
      </c>
      <c r="F4031" s="18" t="s">
        <v>34</v>
      </c>
      <c r="G4031" s="19"/>
      <c r="H4031" s="17" t="s">
        <v>35</v>
      </c>
      <c r="I4031" s="17" t="s">
        <v>44</v>
      </c>
      <c r="J4031" s="17"/>
      <c r="K4031" s="17" t="e">
        <f aca="false">VLOOKUP(J4031,Sheet2!A:B,2,0)</f>
        <v>#N/A</v>
      </c>
      <c r="L4031" s="17" t="n">
        <v>5</v>
      </c>
      <c r="M4031" s="17" t="str">
        <f aca="false">VLOOKUP(L4031,Sheet2!D:E,2,0)</f>
        <v>Main Processor CPU BGA</v>
      </c>
      <c r="N4031" s="17" t="n">
        <v>1</v>
      </c>
      <c r="O4031" s="17" t="str">
        <f aca="false">VLOOKUP(N4031,Sheet2!G:H,2,0)</f>
        <v>Dead</v>
      </c>
      <c r="P4031" s="17" t="n">
        <v>11</v>
      </c>
      <c r="Q4031" s="17" t="str">
        <f aca="false">VLOOKUP(P4031,Sheet2!J:K,2,0)</f>
        <v>IR Declared due to CID -TA</v>
      </c>
      <c r="R4031" s="17" t="s">
        <v>35</v>
      </c>
      <c r="S4031" s="17" t="str">
        <f aca="false">VLOOKUP(R4031,Sheet2!N:O,2,0)</f>
        <v>IREPARABLE</v>
      </c>
      <c r="T4031" s="18" t="str">
        <f aca="false">VLOOKUP(P4031,Sheet2!Q:R,2,0)</f>
        <v>IR Normal - Track burn out</v>
      </c>
      <c r="U4031" s="20" t="s">
        <v>41</v>
      </c>
      <c r="V4031" s="17"/>
      <c r="W4031" s="20" t="e">
        <f aca="false">VLOOKUP(V4031,Sheet2!Q:R,2,0)</f>
        <v>#N/A</v>
      </c>
      <c r="X4031" s="17" t="n">
        <f aca="false">J4031</f>
        <v>0</v>
      </c>
      <c r="Y4031" s="17" t="e">
        <f aca="false">VLOOKUP(X4031,Sheet2!A:B,2,0)</f>
        <v>#N/A</v>
      </c>
      <c r="Z4031" s="17"/>
      <c r="AA4031" s="17"/>
      <c r="AC4031" s="23" t="str">
        <f aca="false">LEFT(G4031,2)</f>
        <v/>
      </c>
    </row>
    <row r="4032" customFormat="false" ht="15" hidden="false" customHeight="false" outlineLevel="0" collapsed="false">
      <c r="A4032" s="13" t="n">
        <f aca="false">1+A4031</f>
        <v>4030</v>
      </c>
      <c r="B4032" s="14" t="n">
        <v>100</v>
      </c>
      <c r="C4032" s="15"/>
      <c r="D4032" s="16" t="s">
        <v>64</v>
      </c>
      <c r="E4032" s="17" t="s">
        <v>47</v>
      </c>
      <c r="F4032" s="18" t="s">
        <v>34</v>
      </c>
      <c r="G4032" s="19"/>
      <c r="H4032" s="17" t="s">
        <v>35</v>
      </c>
      <c r="I4032" s="17" t="s">
        <v>44</v>
      </c>
      <c r="J4032" s="17"/>
      <c r="K4032" s="17" t="e">
        <f aca="false">VLOOKUP(J4032,Sheet2!A:B,2,0)</f>
        <v>#N/A</v>
      </c>
      <c r="L4032" s="17" t="n">
        <v>5</v>
      </c>
      <c r="M4032" s="17" t="str">
        <f aca="false">VLOOKUP(L4032,Sheet2!D:E,2,0)</f>
        <v>Main Processor CPU BGA</v>
      </c>
      <c r="N4032" s="17" t="n">
        <v>1</v>
      </c>
      <c r="O4032" s="17" t="str">
        <f aca="false">VLOOKUP(N4032,Sheet2!G:H,2,0)</f>
        <v>Dead</v>
      </c>
      <c r="P4032" s="17" t="n">
        <v>11</v>
      </c>
      <c r="Q4032" s="17" t="str">
        <f aca="false">VLOOKUP(P4032,Sheet2!J:K,2,0)</f>
        <v>IR Declared due to CID -TA</v>
      </c>
      <c r="R4032" s="17" t="s">
        <v>35</v>
      </c>
      <c r="S4032" s="17" t="str">
        <f aca="false">VLOOKUP(R4032,Sheet2!N:O,2,0)</f>
        <v>IREPARABLE</v>
      </c>
      <c r="T4032" s="18" t="str">
        <f aca="false">VLOOKUP(P4032,Sheet2!Q:R,2,0)</f>
        <v>IR Normal - Track burn out</v>
      </c>
      <c r="U4032" s="20" t="s">
        <v>41</v>
      </c>
      <c r="V4032" s="17"/>
      <c r="W4032" s="20" t="e">
        <f aca="false">VLOOKUP(V4032,Sheet2!Q:R,2,0)</f>
        <v>#N/A</v>
      </c>
      <c r="X4032" s="17" t="n">
        <f aca="false">J4032</f>
        <v>0</v>
      </c>
      <c r="Y4032" s="17" t="e">
        <f aca="false">VLOOKUP(X4032,Sheet2!A:B,2,0)</f>
        <v>#N/A</v>
      </c>
      <c r="Z4032" s="17"/>
      <c r="AA4032" s="17"/>
      <c r="AC4032" s="23" t="str">
        <f aca="false">LEFT(G4032,2)</f>
        <v/>
      </c>
    </row>
    <row r="4033" customFormat="false" ht="15" hidden="false" customHeight="false" outlineLevel="0" collapsed="false">
      <c r="A4033" s="13" t="n">
        <f aca="false">1+A4032</f>
        <v>4031</v>
      </c>
      <c r="B4033" s="14" t="n">
        <v>100</v>
      </c>
      <c r="C4033" s="15"/>
      <c r="D4033" s="16" t="s">
        <v>64</v>
      </c>
      <c r="E4033" s="17" t="s">
        <v>47</v>
      </c>
      <c r="F4033" s="18" t="s">
        <v>34</v>
      </c>
      <c r="G4033" s="19"/>
      <c r="H4033" s="17" t="s">
        <v>35</v>
      </c>
      <c r="I4033" s="17" t="s">
        <v>44</v>
      </c>
      <c r="J4033" s="17"/>
      <c r="K4033" s="17" t="e">
        <f aca="false">VLOOKUP(J4033,Sheet2!A:B,2,0)</f>
        <v>#N/A</v>
      </c>
      <c r="L4033" s="17" t="n">
        <v>5</v>
      </c>
      <c r="M4033" s="17" t="str">
        <f aca="false">VLOOKUP(L4033,Sheet2!D:E,2,0)</f>
        <v>Main Processor CPU BGA</v>
      </c>
      <c r="N4033" s="17" t="n">
        <v>1</v>
      </c>
      <c r="O4033" s="17" t="str">
        <f aca="false">VLOOKUP(N4033,Sheet2!G:H,2,0)</f>
        <v>Dead</v>
      </c>
      <c r="P4033" s="17" t="n">
        <v>11</v>
      </c>
      <c r="Q4033" s="17" t="str">
        <f aca="false">VLOOKUP(P4033,Sheet2!J:K,2,0)</f>
        <v>IR Declared due to CID -TA</v>
      </c>
      <c r="R4033" s="17" t="s">
        <v>35</v>
      </c>
      <c r="S4033" s="17" t="str">
        <f aca="false">VLOOKUP(R4033,Sheet2!N:O,2,0)</f>
        <v>IREPARABLE</v>
      </c>
      <c r="T4033" s="18" t="str">
        <f aca="false">VLOOKUP(P4033,Sheet2!Q:R,2,0)</f>
        <v>IR Normal - Track burn out</v>
      </c>
      <c r="U4033" s="20" t="s">
        <v>41</v>
      </c>
      <c r="V4033" s="17"/>
      <c r="W4033" s="20" t="e">
        <f aca="false">VLOOKUP(V4033,Sheet2!Q:R,2,0)</f>
        <v>#N/A</v>
      </c>
      <c r="X4033" s="17" t="n">
        <f aca="false">J4033</f>
        <v>0</v>
      </c>
      <c r="Y4033" s="17" t="e">
        <f aca="false">VLOOKUP(X4033,Sheet2!A:B,2,0)</f>
        <v>#N/A</v>
      </c>
      <c r="Z4033" s="17"/>
      <c r="AA4033" s="17"/>
      <c r="AC4033" s="23" t="str">
        <f aca="false">LEFT(G4033,2)</f>
        <v/>
      </c>
    </row>
    <row r="4034" customFormat="false" ht="15" hidden="false" customHeight="false" outlineLevel="0" collapsed="false">
      <c r="A4034" s="13" t="n">
        <f aca="false">1+A4033</f>
        <v>4032</v>
      </c>
      <c r="B4034" s="14" t="n">
        <v>100</v>
      </c>
      <c r="C4034" s="15"/>
      <c r="D4034" s="16" t="s">
        <v>64</v>
      </c>
      <c r="E4034" s="17" t="s">
        <v>47</v>
      </c>
      <c r="F4034" s="18" t="s">
        <v>34</v>
      </c>
      <c r="G4034" s="19"/>
      <c r="H4034" s="17" t="s">
        <v>35</v>
      </c>
      <c r="I4034" s="17" t="s">
        <v>44</v>
      </c>
      <c r="J4034" s="17"/>
      <c r="K4034" s="17" t="e">
        <f aca="false">VLOOKUP(J4034,Sheet2!A:B,2,0)</f>
        <v>#N/A</v>
      </c>
      <c r="L4034" s="17" t="n">
        <v>5</v>
      </c>
      <c r="M4034" s="17" t="str">
        <f aca="false">VLOOKUP(L4034,Sheet2!D:E,2,0)</f>
        <v>Main Processor CPU BGA</v>
      </c>
      <c r="N4034" s="17" t="n">
        <v>1</v>
      </c>
      <c r="O4034" s="17" t="str">
        <f aca="false">VLOOKUP(N4034,Sheet2!G:H,2,0)</f>
        <v>Dead</v>
      </c>
      <c r="P4034" s="17" t="n">
        <v>11</v>
      </c>
      <c r="Q4034" s="17" t="str">
        <f aca="false">VLOOKUP(P4034,Sheet2!J:K,2,0)</f>
        <v>IR Declared due to CID -TA</v>
      </c>
      <c r="R4034" s="17" t="s">
        <v>35</v>
      </c>
      <c r="S4034" s="17" t="str">
        <f aca="false">VLOOKUP(R4034,Sheet2!N:O,2,0)</f>
        <v>IREPARABLE</v>
      </c>
      <c r="T4034" s="18" t="str">
        <f aca="false">VLOOKUP(P4034,Sheet2!Q:R,2,0)</f>
        <v>IR Normal - Track burn out</v>
      </c>
      <c r="U4034" s="20" t="s">
        <v>41</v>
      </c>
      <c r="V4034" s="17"/>
      <c r="W4034" s="20" t="e">
        <f aca="false">VLOOKUP(V4034,Sheet2!Q:R,2,0)</f>
        <v>#N/A</v>
      </c>
      <c r="X4034" s="17" t="n">
        <f aca="false">J4034</f>
        <v>0</v>
      </c>
      <c r="Y4034" s="17" t="e">
        <f aca="false">VLOOKUP(X4034,Sheet2!A:B,2,0)</f>
        <v>#N/A</v>
      </c>
      <c r="Z4034" s="17"/>
      <c r="AA4034" s="17"/>
      <c r="AC4034" s="23" t="str">
        <f aca="false">LEFT(G4034,2)</f>
        <v/>
      </c>
    </row>
    <row r="4035" customFormat="false" ht="15" hidden="false" customHeight="false" outlineLevel="0" collapsed="false">
      <c r="A4035" s="13" t="n">
        <f aca="false">1+A4034</f>
        <v>4033</v>
      </c>
      <c r="B4035" s="14" t="n">
        <v>100</v>
      </c>
      <c r="C4035" s="15"/>
      <c r="D4035" s="16" t="s">
        <v>64</v>
      </c>
      <c r="E4035" s="17" t="s">
        <v>47</v>
      </c>
      <c r="F4035" s="18" t="s">
        <v>34</v>
      </c>
      <c r="G4035" s="19"/>
      <c r="H4035" s="17" t="s">
        <v>35</v>
      </c>
      <c r="I4035" s="17" t="s">
        <v>44</v>
      </c>
      <c r="J4035" s="17"/>
      <c r="K4035" s="17" t="e">
        <f aca="false">VLOOKUP(J4035,Sheet2!A:B,2,0)</f>
        <v>#N/A</v>
      </c>
      <c r="L4035" s="17" t="n">
        <v>5</v>
      </c>
      <c r="M4035" s="17" t="str">
        <f aca="false">VLOOKUP(L4035,Sheet2!D:E,2,0)</f>
        <v>Main Processor CPU BGA</v>
      </c>
      <c r="N4035" s="17" t="n">
        <v>1</v>
      </c>
      <c r="O4035" s="17" t="str">
        <f aca="false">VLOOKUP(N4035,Sheet2!G:H,2,0)</f>
        <v>Dead</v>
      </c>
      <c r="P4035" s="17" t="n">
        <v>11</v>
      </c>
      <c r="Q4035" s="17" t="str">
        <f aca="false">VLOOKUP(P4035,Sheet2!J:K,2,0)</f>
        <v>IR Declared due to CID -TA</v>
      </c>
      <c r="R4035" s="17" t="s">
        <v>35</v>
      </c>
      <c r="S4035" s="17" t="str">
        <f aca="false">VLOOKUP(R4035,Sheet2!N:O,2,0)</f>
        <v>IREPARABLE</v>
      </c>
      <c r="T4035" s="18" t="str">
        <f aca="false">VLOOKUP(P4035,Sheet2!Q:R,2,0)</f>
        <v>IR Normal - Track burn out</v>
      </c>
      <c r="U4035" s="20" t="s">
        <v>41</v>
      </c>
      <c r="V4035" s="17"/>
      <c r="W4035" s="20" t="e">
        <f aca="false">VLOOKUP(V4035,Sheet2!Q:R,2,0)</f>
        <v>#N/A</v>
      </c>
      <c r="X4035" s="17" t="n">
        <f aca="false">J4035</f>
        <v>0</v>
      </c>
      <c r="Y4035" s="17" t="e">
        <f aca="false">VLOOKUP(X4035,Sheet2!A:B,2,0)</f>
        <v>#N/A</v>
      </c>
      <c r="Z4035" s="17"/>
      <c r="AA4035" s="17"/>
      <c r="AC4035" s="23" t="str">
        <f aca="false">LEFT(G4035,2)</f>
        <v/>
      </c>
    </row>
    <row r="4036" customFormat="false" ht="15" hidden="false" customHeight="false" outlineLevel="0" collapsed="false">
      <c r="A4036" s="13" t="n">
        <f aca="false">1+A4035</f>
        <v>4034</v>
      </c>
      <c r="B4036" s="14" t="n">
        <v>100</v>
      </c>
      <c r="C4036" s="15"/>
      <c r="D4036" s="16" t="s">
        <v>64</v>
      </c>
      <c r="E4036" s="17" t="s">
        <v>47</v>
      </c>
      <c r="F4036" s="18" t="s">
        <v>34</v>
      </c>
      <c r="G4036" s="19"/>
      <c r="H4036" s="17" t="s">
        <v>35</v>
      </c>
      <c r="I4036" s="17" t="s">
        <v>44</v>
      </c>
      <c r="J4036" s="17"/>
      <c r="K4036" s="17" t="e">
        <f aca="false">VLOOKUP(J4036,Sheet2!A:B,2,0)</f>
        <v>#N/A</v>
      </c>
      <c r="L4036" s="17" t="n">
        <v>5</v>
      </c>
      <c r="M4036" s="17" t="str">
        <f aca="false">VLOOKUP(L4036,Sheet2!D:E,2,0)</f>
        <v>Main Processor CPU BGA</v>
      </c>
      <c r="N4036" s="17" t="n">
        <v>1</v>
      </c>
      <c r="O4036" s="17" t="str">
        <f aca="false">VLOOKUP(N4036,Sheet2!G:H,2,0)</f>
        <v>Dead</v>
      </c>
      <c r="P4036" s="17" t="n">
        <v>11</v>
      </c>
      <c r="Q4036" s="17" t="str">
        <f aca="false">VLOOKUP(P4036,Sheet2!J:K,2,0)</f>
        <v>IR Declared due to CID -TA</v>
      </c>
      <c r="R4036" s="17" t="s">
        <v>35</v>
      </c>
      <c r="S4036" s="17" t="str">
        <f aca="false">VLOOKUP(R4036,Sheet2!N:O,2,0)</f>
        <v>IREPARABLE</v>
      </c>
      <c r="T4036" s="18" t="str">
        <f aca="false">VLOOKUP(P4036,Sheet2!Q:R,2,0)</f>
        <v>IR Normal - Track burn out</v>
      </c>
      <c r="U4036" s="20" t="s">
        <v>41</v>
      </c>
      <c r="V4036" s="17"/>
      <c r="W4036" s="20" t="e">
        <f aca="false">VLOOKUP(V4036,Sheet2!Q:R,2,0)</f>
        <v>#N/A</v>
      </c>
      <c r="X4036" s="17" t="n">
        <f aca="false">J4036</f>
        <v>0</v>
      </c>
      <c r="Y4036" s="17" t="e">
        <f aca="false">VLOOKUP(X4036,Sheet2!A:B,2,0)</f>
        <v>#N/A</v>
      </c>
      <c r="Z4036" s="17"/>
      <c r="AA4036" s="17"/>
      <c r="AC4036" s="23" t="str">
        <f aca="false">LEFT(G4036,2)</f>
        <v/>
      </c>
    </row>
    <row r="4037" customFormat="false" ht="15" hidden="false" customHeight="false" outlineLevel="0" collapsed="false">
      <c r="A4037" s="13" t="n">
        <f aca="false">1+A4036</f>
        <v>4035</v>
      </c>
      <c r="B4037" s="14" t="n">
        <v>100</v>
      </c>
      <c r="C4037" s="15"/>
      <c r="D4037" s="16" t="s">
        <v>64</v>
      </c>
      <c r="E4037" s="17" t="s">
        <v>47</v>
      </c>
      <c r="F4037" s="18" t="s">
        <v>34</v>
      </c>
      <c r="G4037" s="19"/>
      <c r="H4037" s="17" t="s">
        <v>35</v>
      </c>
      <c r="I4037" s="17" t="s">
        <v>44</v>
      </c>
      <c r="J4037" s="17"/>
      <c r="K4037" s="17" t="e">
        <f aca="false">VLOOKUP(J4037,Sheet2!A:B,2,0)</f>
        <v>#N/A</v>
      </c>
      <c r="L4037" s="17" t="n">
        <v>5</v>
      </c>
      <c r="M4037" s="17" t="str">
        <f aca="false">VLOOKUP(L4037,Sheet2!D:E,2,0)</f>
        <v>Main Processor CPU BGA</v>
      </c>
      <c r="N4037" s="17" t="n">
        <v>1</v>
      </c>
      <c r="O4037" s="17" t="str">
        <f aca="false">VLOOKUP(N4037,Sheet2!G:H,2,0)</f>
        <v>Dead</v>
      </c>
      <c r="P4037" s="17" t="n">
        <v>11</v>
      </c>
      <c r="Q4037" s="17" t="str">
        <f aca="false">VLOOKUP(P4037,Sheet2!J:K,2,0)</f>
        <v>IR Declared due to CID -TA</v>
      </c>
      <c r="R4037" s="17" t="s">
        <v>35</v>
      </c>
      <c r="S4037" s="17" t="str">
        <f aca="false">VLOOKUP(R4037,Sheet2!N:O,2,0)</f>
        <v>IREPARABLE</v>
      </c>
      <c r="T4037" s="18" t="str">
        <f aca="false">VLOOKUP(P4037,Sheet2!Q:R,2,0)</f>
        <v>IR Normal - Track burn out</v>
      </c>
      <c r="U4037" s="20" t="s">
        <v>41</v>
      </c>
      <c r="V4037" s="17"/>
      <c r="W4037" s="20" t="e">
        <f aca="false">VLOOKUP(V4037,Sheet2!Q:R,2,0)</f>
        <v>#N/A</v>
      </c>
      <c r="X4037" s="17" t="n">
        <f aca="false">J4037</f>
        <v>0</v>
      </c>
      <c r="Y4037" s="17" t="e">
        <f aca="false">VLOOKUP(X4037,Sheet2!A:B,2,0)</f>
        <v>#N/A</v>
      </c>
      <c r="Z4037" s="17"/>
      <c r="AA4037" s="17"/>
      <c r="AC4037" s="23" t="str">
        <f aca="false">LEFT(G4037,2)</f>
        <v/>
      </c>
    </row>
    <row r="4038" customFormat="false" ht="15" hidden="false" customHeight="false" outlineLevel="0" collapsed="false">
      <c r="A4038" s="13" t="n">
        <f aca="false">1+A4037</f>
        <v>4036</v>
      </c>
      <c r="B4038" s="14" t="n">
        <v>100</v>
      </c>
      <c r="C4038" s="15"/>
      <c r="D4038" s="16" t="s">
        <v>64</v>
      </c>
      <c r="E4038" s="17" t="s">
        <v>47</v>
      </c>
      <c r="F4038" s="18" t="s">
        <v>34</v>
      </c>
      <c r="G4038" s="19"/>
      <c r="H4038" s="17" t="s">
        <v>35</v>
      </c>
      <c r="I4038" s="17" t="s">
        <v>44</v>
      </c>
      <c r="J4038" s="17"/>
      <c r="K4038" s="17" t="e">
        <f aca="false">VLOOKUP(J4038,Sheet2!A:B,2,0)</f>
        <v>#N/A</v>
      </c>
      <c r="L4038" s="17" t="n">
        <v>5</v>
      </c>
      <c r="M4038" s="17" t="str">
        <f aca="false">VLOOKUP(L4038,Sheet2!D:E,2,0)</f>
        <v>Main Processor CPU BGA</v>
      </c>
      <c r="N4038" s="17" t="n">
        <v>1</v>
      </c>
      <c r="O4038" s="17" t="str">
        <f aca="false">VLOOKUP(N4038,Sheet2!G:H,2,0)</f>
        <v>Dead</v>
      </c>
      <c r="P4038" s="17" t="n">
        <v>11</v>
      </c>
      <c r="Q4038" s="17" t="str">
        <f aca="false">VLOOKUP(P4038,Sheet2!J:K,2,0)</f>
        <v>IR Declared due to CID -TA</v>
      </c>
      <c r="R4038" s="17" t="s">
        <v>35</v>
      </c>
      <c r="S4038" s="17" t="str">
        <f aca="false">VLOOKUP(R4038,Sheet2!N:O,2,0)</f>
        <v>IREPARABLE</v>
      </c>
      <c r="T4038" s="18" t="str">
        <f aca="false">VLOOKUP(P4038,Sheet2!Q:R,2,0)</f>
        <v>IR Normal - Track burn out</v>
      </c>
      <c r="U4038" s="20" t="s">
        <v>41</v>
      </c>
      <c r="V4038" s="17"/>
      <c r="W4038" s="20" t="e">
        <f aca="false">VLOOKUP(V4038,Sheet2!Q:R,2,0)</f>
        <v>#N/A</v>
      </c>
      <c r="X4038" s="17" t="n">
        <f aca="false">J4038</f>
        <v>0</v>
      </c>
      <c r="Y4038" s="17" t="e">
        <f aca="false">VLOOKUP(X4038,Sheet2!A:B,2,0)</f>
        <v>#N/A</v>
      </c>
      <c r="Z4038" s="17"/>
      <c r="AA4038" s="17"/>
      <c r="AC4038" s="23" t="str">
        <f aca="false">LEFT(G4038,2)</f>
        <v/>
      </c>
    </row>
    <row r="4039" customFormat="false" ht="15" hidden="false" customHeight="false" outlineLevel="0" collapsed="false">
      <c r="A4039" s="13" t="n">
        <f aca="false">1+A4038</f>
        <v>4037</v>
      </c>
      <c r="B4039" s="14" t="n">
        <v>100</v>
      </c>
      <c r="C4039" s="15"/>
      <c r="D4039" s="16" t="s">
        <v>64</v>
      </c>
      <c r="E4039" s="17" t="s">
        <v>47</v>
      </c>
      <c r="F4039" s="18" t="s">
        <v>34</v>
      </c>
      <c r="G4039" s="19"/>
      <c r="H4039" s="17" t="s">
        <v>35</v>
      </c>
      <c r="I4039" s="17" t="s">
        <v>44</v>
      </c>
      <c r="J4039" s="17"/>
      <c r="K4039" s="17" t="e">
        <f aca="false">VLOOKUP(J4039,Sheet2!A:B,2,0)</f>
        <v>#N/A</v>
      </c>
      <c r="L4039" s="17" t="n">
        <v>5</v>
      </c>
      <c r="M4039" s="17" t="str">
        <f aca="false">VLOOKUP(L4039,Sheet2!D:E,2,0)</f>
        <v>Main Processor CPU BGA</v>
      </c>
      <c r="N4039" s="17" t="n">
        <v>1</v>
      </c>
      <c r="O4039" s="17" t="str">
        <f aca="false">VLOOKUP(N4039,Sheet2!G:H,2,0)</f>
        <v>Dead</v>
      </c>
      <c r="P4039" s="17" t="n">
        <v>11</v>
      </c>
      <c r="Q4039" s="17" t="str">
        <f aca="false">VLOOKUP(P4039,Sheet2!J:K,2,0)</f>
        <v>IR Declared due to CID -TA</v>
      </c>
      <c r="R4039" s="17" t="s">
        <v>35</v>
      </c>
      <c r="S4039" s="17" t="str">
        <f aca="false">VLOOKUP(R4039,Sheet2!N:O,2,0)</f>
        <v>IREPARABLE</v>
      </c>
      <c r="T4039" s="18" t="str">
        <f aca="false">VLOOKUP(P4039,Sheet2!Q:R,2,0)</f>
        <v>IR Normal - Track burn out</v>
      </c>
      <c r="U4039" s="20" t="s">
        <v>41</v>
      </c>
      <c r="V4039" s="17"/>
      <c r="W4039" s="20" t="e">
        <f aca="false">VLOOKUP(V4039,Sheet2!Q:R,2,0)</f>
        <v>#N/A</v>
      </c>
      <c r="X4039" s="17" t="n">
        <f aca="false">J4039</f>
        <v>0</v>
      </c>
      <c r="Y4039" s="17" t="e">
        <f aca="false">VLOOKUP(X4039,Sheet2!A:B,2,0)</f>
        <v>#N/A</v>
      </c>
      <c r="Z4039" s="17"/>
      <c r="AA4039" s="17"/>
      <c r="AC4039" s="23" t="str">
        <f aca="false">LEFT(G4039,2)</f>
        <v/>
      </c>
    </row>
    <row r="4040" customFormat="false" ht="15" hidden="false" customHeight="false" outlineLevel="0" collapsed="false">
      <c r="A4040" s="13" t="n">
        <f aca="false">1+A4039</f>
        <v>4038</v>
      </c>
      <c r="B4040" s="14" t="n">
        <v>100</v>
      </c>
      <c r="C4040" s="15"/>
      <c r="D4040" s="16" t="s">
        <v>64</v>
      </c>
      <c r="E4040" s="17" t="s">
        <v>47</v>
      </c>
      <c r="F4040" s="18" t="s">
        <v>34</v>
      </c>
      <c r="G4040" s="19"/>
      <c r="H4040" s="17" t="s">
        <v>35</v>
      </c>
      <c r="I4040" s="17" t="s">
        <v>44</v>
      </c>
      <c r="J4040" s="17"/>
      <c r="K4040" s="17" t="e">
        <f aca="false">VLOOKUP(J4040,Sheet2!A:B,2,0)</f>
        <v>#N/A</v>
      </c>
      <c r="L4040" s="17" t="n">
        <v>5</v>
      </c>
      <c r="M4040" s="17" t="str">
        <f aca="false">VLOOKUP(L4040,Sheet2!D:E,2,0)</f>
        <v>Main Processor CPU BGA</v>
      </c>
      <c r="N4040" s="17" t="n">
        <v>1</v>
      </c>
      <c r="O4040" s="17" t="str">
        <f aca="false">VLOOKUP(N4040,Sheet2!G:H,2,0)</f>
        <v>Dead</v>
      </c>
      <c r="P4040" s="17" t="n">
        <v>11</v>
      </c>
      <c r="Q4040" s="17" t="str">
        <f aca="false">VLOOKUP(P4040,Sheet2!J:K,2,0)</f>
        <v>IR Declared due to CID -TA</v>
      </c>
      <c r="R4040" s="17" t="s">
        <v>35</v>
      </c>
      <c r="S4040" s="17" t="str">
        <f aca="false">VLOOKUP(R4040,Sheet2!N:O,2,0)</f>
        <v>IREPARABLE</v>
      </c>
      <c r="T4040" s="18" t="str">
        <f aca="false">VLOOKUP(P4040,Sheet2!Q:R,2,0)</f>
        <v>IR Normal - Track burn out</v>
      </c>
      <c r="U4040" s="20" t="s">
        <v>41</v>
      </c>
      <c r="V4040" s="17"/>
      <c r="W4040" s="20" t="e">
        <f aca="false">VLOOKUP(V4040,Sheet2!Q:R,2,0)</f>
        <v>#N/A</v>
      </c>
      <c r="X4040" s="17" t="n">
        <f aca="false">J4040</f>
        <v>0</v>
      </c>
      <c r="Y4040" s="17" t="e">
        <f aca="false">VLOOKUP(X4040,Sheet2!A:B,2,0)</f>
        <v>#N/A</v>
      </c>
      <c r="Z4040" s="17"/>
      <c r="AA4040" s="17"/>
      <c r="AC4040" s="23" t="str">
        <f aca="false">LEFT(G4040,2)</f>
        <v/>
      </c>
    </row>
    <row r="4041" customFormat="false" ht="15" hidden="false" customHeight="false" outlineLevel="0" collapsed="false">
      <c r="A4041" s="13" t="n">
        <f aca="false">1+A4040</f>
        <v>4039</v>
      </c>
      <c r="B4041" s="14" t="n">
        <v>100</v>
      </c>
      <c r="C4041" s="15"/>
      <c r="D4041" s="16" t="s">
        <v>64</v>
      </c>
      <c r="E4041" s="17" t="s">
        <v>47</v>
      </c>
      <c r="F4041" s="18" t="s">
        <v>34</v>
      </c>
      <c r="G4041" s="19"/>
      <c r="H4041" s="17" t="s">
        <v>35</v>
      </c>
      <c r="I4041" s="17" t="s">
        <v>44</v>
      </c>
      <c r="J4041" s="17"/>
      <c r="K4041" s="17" t="e">
        <f aca="false">VLOOKUP(J4041,Sheet2!A:B,2,0)</f>
        <v>#N/A</v>
      </c>
      <c r="L4041" s="17" t="n">
        <v>5</v>
      </c>
      <c r="M4041" s="17" t="str">
        <f aca="false">VLOOKUP(L4041,Sheet2!D:E,2,0)</f>
        <v>Main Processor CPU BGA</v>
      </c>
      <c r="N4041" s="17" t="n">
        <v>1</v>
      </c>
      <c r="O4041" s="17" t="str">
        <f aca="false">VLOOKUP(N4041,Sheet2!G:H,2,0)</f>
        <v>Dead</v>
      </c>
      <c r="P4041" s="17" t="n">
        <v>11</v>
      </c>
      <c r="Q4041" s="17" t="str">
        <f aca="false">VLOOKUP(P4041,Sheet2!J:K,2,0)</f>
        <v>IR Declared due to CID -TA</v>
      </c>
      <c r="R4041" s="17" t="s">
        <v>35</v>
      </c>
      <c r="S4041" s="17" t="str">
        <f aca="false">VLOOKUP(R4041,Sheet2!N:O,2,0)</f>
        <v>IREPARABLE</v>
      </c>
      <c r="T4041" s="18" t="str">
        <f aca="false">VLOOKUP(P4041,Sheet2!Q:R,2,0)</f>
        <v>IR Normal - Track burn out</v>
      </c>
      <c r="U4041" s="20" t="s">
        <v>41</v>
      </c>
      <c r="V4041" s="17"/>
      <c r="W4041" s="20" t="e">
        <f aca="false">VLOOKUP(V4041,Sheet2!Q:R,2,0)</f>
        <v>#N/A</v>
      </c>
      <c r="X4041" s="17" t="n">
        <f aca="false">J4041</f>
        <v>0</v>
      </c>
      <c r="Y4041" s="17" t="e">
        <f aca="false">VLOOKUP(X4041,Sheet2!A:B,2,0)</f>
        <v>#N/A</v>
      </c>
      <c r="Z4041" s="17"/>
      <c r="AA4041" s="17"/>
      <c r="AC4041" s="23" t="str">
        <f aca="false">LEFT(G4041,2)</f>
        <v/>
      </c>
    </row>
    <row r="4042" customFormat="false" ht="15" hidden="false" customHeight="false" outlineLevel="0" collapsed="false">
      <c r="A4042" s="13" t="n">
        <f aca="false">1+A4041</f>
        <v>4040</v>
      </c>
      <c r="B4042" s="14" t="n">
        <v>100</v>
      </c>
      <c r="C4042" s="15"/>
      <c r="D4042" s="16" t="s">
        <v>64</v>
      </c>
      <c r="E4042" s="17" t="s">
        <v>47</v>
      </c>
      <c r="F4042" s="18" t="s">
        <v>34</v>
      </c>
      <c r="G4042" s="19"/>
      <c r="H4042" s="17" t="s">
        <v>35</v>
      </c>
      <c r="I4042" s="17" t="s">
        <v>44</v>
      </c>
      <c r="J4042" s="17"/>
      <c r="K4042" s="17" t="e">
        <f aca="false">VLOOKUP(J4042,Sheet2!A:B,2,0)</f>
        <v>#N/A</v>
      </c>
      <c r="L4042" s="17" t="n">
        <v>5</v>
      </c>
      <c r="M4042" s="17" t="str">
        <f aca="false">VLOOKUP(L4042,Sheet2!D:E,2,0)</f>
        <v>Main Processor CPU BGA</v>
      </c>
      <c r="N4042" s="17" t="n">
        <v>1</v>
      </c>
      <c r="O4042" s="17" t="str">
        <f aca="false">VLOOKUP(N4042,Sheet2!G:H,2,0)</f>
        <v>Dead</v>
      </c>
      <c r="P4042" s="17" t="n">
        <v>11</v>
      </c>
      <c r="Q4042" s="17" t="str">
        <f aca="false">VLOOKUP(P4042,Sheet2!J:K,2,0)</f>
        <v>IR Declared due to CID -TA</v>
      </c>
      <c r="R4042" s="17" t="s">
        <v>35</v>
      </c>
      <c r="S4042" s="17" t="str">
        <f aca="false">VLOOKUP(R4042,Sheet2!N:O,2,0)</f>
        <v>IREPARABLE</v>
      </c>
      <c r="T4042" s="18" t="str">
        <f aca="false">VLOOKUP(P4042,Sheet2!Q:R,2,0)</f>
        <v>IR Normal - Track burn out</v>
      </c>
      <c r="U4042" s="20" t="s">
        <v>41</v>
      </c>
      <c r="V4042" s="17"/>
      <c r="W4042" s="20" t="e">
        <f aca="false">VLOOKUP(V4042,Sheet2!Q:R,2,0)</f>
        <v>#N/A</v>
      </c>
      <c r="X4042" s="17" t="n">
        <f aca="false">J4042</f>
        <v>0</v>
      </c>
      <c r="Y4042" s="17" t="e">
        <f aca="false">VLOOKUP(X4042,Sheet2!A:B,2,0)</f>
        <v>#N/A</v>
      </c>
      <c r="Z4042" s="17"/>
      <c r="AA4042" s="17"/>
      <c r="AC4042" s="23" t="str">
        <f aca="false">LEFT(G4042,2)</f>
        <v/>
      </c>
    </row>
    <row r="4043" customFormat="false" ht="15" hidden="false" customHeight="false" outlineLevel="0" collapsed="false">
      <c r="A4043" s="13" t="n">
        <f aca="false">1+A4042</f>
        <v>4041</v>
      </c>
      <c r="B4043" s="14" t="n">
        <v>100</v>
      </c>
      <c r="C4043" s="15"/>
      <c r="D4043" s="16" t="s">
        <v>64</v>
      </c>
      <c r="E4043" s="17" t="s">
        <v>47</v>
      </c>
      <c r="F4043" s="18" t="s">
        <v>34</v>
      </c>
      <c r="G4043" s="19"/>
      <c r="H4043" s="17" t="s">
        <v>35</v>
      </c>
      <c r="I4043" s="17" t="s">
        <v>44</v>
      </c>
      <c r="J4043" s="17"/>
      <c r="K4043" s="17" t="e">
        <f aca="false">VLOOKUP(J4043,Sheet2!A:B,2,0)</f>
        <v>#N/A</v>
      </c>
      <c r="L4043" s="17" t="n">
        <v>5</v>
      </c>
      <c r="M4043" s="17" t="str">
        <f aca="false">VLOOKUP(L4043,Sheet2!D:E,2,0)</f>
        <v>Main Processor CPU BGA</v>
      </c>
      <c r="N4043" s="17" t="n">
        <v>1</v>
      </c>
      <c r="O4043" s="17" t="str">
        <f aca="false">VLOOKUP(N4043,Sheet2!G:H,2,0)</f>
        <v>Dead</v>
      </c>
      <c r="P4043" s="17" t="n">
        <v>11</v>
      </c>
      <c r="Q4043" s="17" t="str">
        <f aca="false">VLOOKUP(P4043,Sheet2!J:K,2,0)</f>
        <v>IR Declared due to CID -TA</v>
      </c>
      <c r="R4043" s="17" t="s">
        <v>35</v>
      </c>
      <c r="S4043" s="17" t="str">
        <f aca="false">VLOOKUP(R4043,Sheet2!N:O,2,0)</f>
        <v>IREPARABLE</v>
      </c>
      <c r="T4043" s="18" t="str">
        <f aca="false">VLOOKUP(P4043,Sheet2!Q:R,2,0)</f>
        <v>IR Normal - Track burn out</v>
      </c>
      <c r="U4043" s="20" t="s">
        <v>41</v>
      </c>
      <c r="V4043" s="17"/>
      <c r="W4043" s="20" t="e">
        <f aca="false">VLOOKUP(V4043,Sheet2!Q:R,2,0)</f>
        <v>#N/A</v>
      </c>
      <c r="X4043" s="17" t="n">
        <f aca="false">J4043</f>
        <v>0</v>
      </c>
      <c r="Y4043" s="17" t="e">
        <f aca="false">VLOOKUP(X4043,Sheet2!A:B,2,0)</f>
        <v>#N/A</v>
      </c>
      <c r="Z4043" s="17"/>
      <c r="AA4043" s="17"/>
      <c r="AC4043" s="23" t="str">
        <f aca="false">LEFT(G4043,2)</f>
        <v/>
      </c>
    </row>
    <row r="4044" customFormat="false" ht="15" hidden="false" customHeight="false" outlineLevel="0" collapsed="false">
      <c r="A4044" s="13" t="n">
        <f aca="false">1+A4043</f>
        <v>4042</v>
      </c>
      <c r="B4044" s="14" t="n">
        <v>100</v>
      </c>
      <c r="C4044" s="15"/>
      <c r="D4044" s="16" t="s">
        <v>64</v>
      </c>
      <c r="E4044" s="17" t="s">
        <v>47</v>
      </c>
      <c r="F4044" s="18" t="s">
        <v>34</v>
      </c>
      <c r="G4044" s="19"/>
      <c r="H4044" s="17" t="s">
        <v>35</v>
      </c>
      <c r="I4044" s="17" t="s">
        <v>44</v>
      </c>
      <c r="J4044" s="17"/>
      <c r="K4044" s="17" t="e">
        <f aca="false">VLOOKUP(J4044,Sheet2!A:B,2,0)</f>
        <v>#N/A</v>
      </c>
      <c r="L4044" s="17" t="n">
        <v>5</v>
      </c>
      <c r="M4044" s="17" t="str">
        <f aca="false">VLOOKUP(L4044,Sheet2!D:E,2,0)</f>
        <v>Main Processor CPU BGA</v>
      </c>
      <c r="N4044" s="17" t="n">
        <v>1</v>
      </c>
      <c r="O4044" s="17" t="str">
        <f aca="false">VLOOKUP(N4044,Sheet2!G:H,2,0)</f>
        <v>Dead</v>
      </c>
      <c r="P4044" s="17" t="n">
        <v>11</v>
      </c>
      <c r="Q4044" s="17" t="str">
        <f aca="false">VLOOKUP(P4044,Sheet2!J:K,2,0)</f>
        <v>IR Declared due to CID -TA</v>
      </c>
      <c r="R4044" s="17" t="s">
        <v>35</v>
      </c>
      <c r="S4044" s="17" t="str">
        <f aca="false">VLOOKUP(R4044,Sheet2!N:O,2,0)</f>
        <v>IREPARABLE</v>
      </c>
      <c r="T4044" s="18" t="str">
        <f aca="false">VLOOKUP(P4044,Sheet2!Q:R,2,0)</f>
        <v>IR Normal - Track burn out</v>
      </c>
      <c r="U4044" s="20" t="s">
        <v>41</v>
      </c>
      <c r="V4044" s="17"/>
      <c r="W4044" s="20" t="e">
        <f aca="false">VLOOKUP(V4044,Sheet2!Q:R,2,0)</f>
        <v>#N/A</v>
      </c>
      <c r="X4044" s="17" t="n">
        <f aca="false">J4044</f>
        <v>0</v>
      </c>
      <c r="Y4044" s="17" t="e">
        <f aca="false">VLOOKUP(X4044,Sheet2!A:B,2,0)</f>
        <v>#N/A</v>
      </c>
      <c r="Z4044" s="17"/>
      <c r="AA4044" s="17"/>
      <c r="AC4044" s="23" t="str">
        <f aca="false">LEFT(G4044,2)</f>
        <v/>
      </c>
    </row>
    <row r="4045" customFormat="false" ht="15" hidden="false" customHeight="false" outlineLevel="0" collapsed="false">
      <c r="A4045" s="13" t="n">
        <f aca="false">1+A4044</f>
        <v>4043</v>
      </c>
      <c r="B4045" s="14" t="n">
        <v>100</v>
      </c>
      <c r="C4045" s="15"/>
      <c r="D4045" s="16" t="s">
        <v>64</v>
      </c>
      <c r="E4045" s="17" t="s">
        <v>47</v>
      </c>
      <c r="F4045" s="18" t="s">
        <v>34</v>
      </c>
      <c r="G4045" s="19"/>
      <c r="H4045" s="17" t="s">
        <v>35</v>
      </c>
      <c r="I4045" s="17" t="s">
        <v>44</v>
      </c>
      <c r="J4045" s="17"/>
      <c r="K4045" s="17" t="e">
        <f aca="false">VLOOKUP(J4045,Sheet2!A:B,2,0)</f>
        <v>#N/A</v>
      </c>
      <c r="L4045" s="17" t="n">
        <v>5</v>
      </c>
      <c r="M4045" s="17" t="str">
        <f aca="false">VLOOKUP(L4045,Sheet2!D:E,2,0)</f>
        <v>Main Processor CPU BGA</v>
      </c>
      <c r="N4045" s="17" t="n">
        <v>1</v>
      </c>
      <c r="O4045" s="17" t="str">
        <f aca="false">VLOOKUP(N4045,Sheet2!G:H,2,0)</f>
        <v>Dead</v>
      </c>
      <c r="P4045" s="17" t="n">
        <v>11</v>
      </c>
      <c r="Q4045" s="17" t="str">
        <f aca="false">VLOOKUP(P4045,Sheet2!J:K,2,0)</f>
        <v>IR Declared due to CID -TA</v>
      </c>
      <c r="R4045" s="17" t="s">
        <v>35</v>
      </c>
      <c r="S4045" s="17" t="str">
        <f aca="false">VLOOKUP(R4045,Sheet2!N:O,2,0)</f>
        <v>IREPARABLE</v>
      </c>
      <c r="T4045" s="18" t="str">
        <f aca="false">VLOOKUP(P4045,Sheet2!Q:R,2,0)</f>
        <v>IR Normal - Track burn out</v>
      </c>
      <c r="U4045" s="20" t="s">
        <v>41</v>
      </c>
      <c r="V4045" s="17"/>
      <c r="W4045" s="20" t="e">
        <f aca="false">VLOOKUP(V4045,Sheet2!Q:R,2,0)</f>
        <v>#N/A</v>
      </c>
      <c r="X4045" s="17" t="n">
        <f aca="false">J4045</f>
        <v>0</v>
      </c>
      <c r="Y4045" s="17" t="e">
        <f aca="false">VLOOKUP(X4045,Sheet2!A:B,2,0)</f>
        <v>#N/A</v>
      </c>
      <c r="Z4045" s="17"/>
      <c r="AA4045" s="17"/>
      <c r="AC4045" s="23" t="str">
        <f aca="false">LEFT(G4045,2)</f>
        <v/>
      </c>
    </row>
    <row r="4046" customFormat="false" ht="15" hidden="false" customHeight="false" outlineLevel="0" collapsed="false">
      <c r="A4046" s="13" t="n">
        <f aca="false">1+A4045</f>
        <v>4044</v>
      </c>
      <c r="B4046" s="14" t="n">
        <v>100</v>
      </c>
      <c r="C4046" s="15"/>
      <c r="D4046" s="16" t="s">
        <v>64</v>
      </c>
      <c r="E4046" s="17" t="s">
        <v>47</v>
      </c>
      <c r="F4046" s="18" t="s">
        <v>34</v>
      </c>
      <c r="G4046" s="19"/>
      <c r="H4046" s="17" t="s">
        <v>35</v>
      </c>
      <c r="I4046" s="17" t="s">
        <v>44</v>
      </c>
      <c r="J4046" s="17"/>
      <c r="K4046" s="17" t="e">
        <f aca="false">VLOOKUP(J4046,Sheet2!A:B,2,0)</f>
        <v>#N/A</v>
      </c>
      <c r="L4046" s="17" t="n">
        <v>5</v>
      </c>
      <c r="M4046" s="17" t="str">
        <f aca="false">VLOOKUP(L4046,Sheet2!D:E,2,0)</f>
        <v>Main Processor CPU BGA</v>
      </c>
      <c r="N4046" s="17" t="n">
        <v>1</v>
      </c>
      <c r="O4046" s="17" t="str">
        <f aca="false">VLOOKUP(N4046,Sheet2!G:H,2,0)</f>
        <v>Dead</v>
      </c>
      <c r="P4046" s="17" t="n">
        <v>11</v>
      </c>
      <c r="Q4046" s="17" t="str">
        <f aca="false">VLOOKUP(P4046,Sheet2!J:K,2,0)</f>
        <v>IR Declared due to CID -TA</v>
      </c>
      <c r="R4046" s="17" t="s">
        <v>35</v>
      </c>
      <c r="S4046" s="17" t="str">
        <f aca="false">VLOOKUP(R4046,Sheet2!N:O,2,0)</f>
        <v>IREPARABLE</v>
      </c>
      <c r="T4046" s="18" t="str">
        <f aca="false">VLOOKUP(P4046,Sheet2!Q:R,2,0)</f>
        <v>IR Normal - Track burn out</v>
      </c>
      <c r="U4046" s="20" t="s">
        <v>41</v>
      </c>
      <c r="V4046" s="17"/>
      <c r="W4046" s="20" t="e">
        <f aca="false">VLOOKUP(V4046,Sheet2!Q:R,2,0)</f>
        <v>#N/A</v>
      </c>
      <c r="X4046" s="17" t="n">
        <f aca="false">J4046</f>
        <v>0</v>
      </c>
      <c r="Y4046" s="17" t="e">
        <f aca="false">VLOOKUP(X4046,Sheet2!A:B,2,0)</f>
        <v>#N/A</v>
      </c>
      <c r="Z4046" s="17"/>
      <c r="AA4046" s="17"/>
      <c r="AC4046" s="23" t="str">
        <f aca="false">LEFT(G4046,2)</f>
        <v/>
      </c>
    </row>
    <row r="4047" customFormat="false" ht="15" hidden="false" customHeight="false" outlineLevel="0" collapsed="false">
      <c r="A4047" s="13" t="n">
        <f aca="false">1+A4046</f>
        <v>4045</v>
      </c>
      <c r="B4047" s="14" t="n">
        <v>100</v>
      </c>
      <c r="C4047" s="15"/>
      <c r="D4047" s="16" t="s">
        <v>64</v>
      </c>
      <c r="E4047" s="17" t="s">
        <v>47</v>
      </c>
      <c r="F4047" s="18" t="s">
        <v>34</v>
      </c>
      <c r="G4047" s="19"/>
      <c r="H4047" s="17" t="s">
        <v>35</v>
      </c>
      <c r="I4047" s="17" t="s">
        <v>44</v>
      </c>
      <c r="J4047" s="17"/>
      <c r="K4047" s="17" t="e">
        <f aca="false">VLOOKUP(J4047,Sheet2!A:B,2,0)</f>
        <v>#N/A</v>
      </c>
      <c r="L4047" s="17" t="n">
        <v>5</v>
      </c>
      <c r="M4047" s="17" t="str">
        <f aca="false">VLOOKUP(L4047,Sheet2!D:E,2,0)</f>
        <v>Main Processor CPU BGA</v>
      </c>
      <c r="N4047" s="17" t="n">
        <v>1</v>
      </c>
      <c r="O4047" s="17" t="str">
        <f aca="false">VLOOKUP(N4047,Sheet2!G:H,2,0)</f>
        <v>Dead</v>
      </c>
      <c r="P4047" s="17" t="n">
        <v>11</v>
      </c>
      <c r="Q4047" s="17" t="str">
        <f aca="false">VLOOKUP(P4047,Sheet2!J:K,2,0)</f>
        <v>IR Declared due to CID -TA</v>
      </c>
      <c r="R4047" s="17" t="s">
        <v>35</v>
      </c>
      <c r="S4047" s="17" t="str">
        <f aca="false">VLOOKUP(R4047,Sheet2!N:O,2,0)</f>
        <v>IREPARABLE</v>
      </c>
      <c r="T4047" s="18" t="str">
        <f aca="false">VLOOKUP(P4047,Sheet2!Q:R,2,0)</f>
        <v>IR Normal - Track burn out</v>
      </c>
      <c r="U4047" s="20" t="s">
        <v>41</v>
      </c>
      <c r="V4047" s="17"/>
      <c r="W4047" s="20" t="e">
        <f aca="false">VLOOKUP(V4047,Sheet2!Q:R,2,0)</f>
        <v>#N/A</v>
      </c>
      <c r="X4047" s="17" t="n">
        <f aca="false">J4047</f>
        <v>0</v>
      </c>
      <c r="Y4047" s="17" t="e">
        <f aca="false">VLOOKUP(X4047,Sheet2!A:B,2,0)</f>
        <v>#N/A</v>
      </c>
      <c r="Z4047" s="17"/>
      <c r="AA4047" s="17"/>
      <c r="AC4047" s="23" t="str">
        <f aca="false">LEFT(G4047,2)</f>
        <v/>
      </c>
    </row>
    <row r="4048" customFormat="false" ht="15" hidden="false" customHeight="false" outlineLevel="0" collapsed="false">
      <c r="A4048" s="13" t="n">
        <f aca="false">1+A4047</f>
        <v>4046</v>
      </c>
      <c r="B4048" s="14" t="n">
        <v>100</v>
      </c>
      <c r="C4048" s="15"/>
      <c r="D4048" s="16" t="s">
        <v>64</v>
      </c>
      <c r="E4048" s="17" t="s">
        <v>47</v>
      </c>
      <c r="F4048" s="18" t="s">
        <v>34</v>
      </c>
      <c r="G4048" s="19"/>
      <c r="H4048" s="17" t="s">
        <v>35</v>
      </c>
      <c r="I4048" s="17" t="s">
        <v>44</v>
      </c>
      <c r="J4048" s="17"/>
      <c r="K4048" s="17" t="e">
        <f aca="false">VLOOKUP(J4048,Sheet2!A:B,2,0)</f>
        <v>#N/A</v>
      </c>
      <c r="L4048" s="17" t="n">
        <v>5</v>
      </c>
      <c r="M4048" s="17" t="str">
        <f aca="false">VLOOKUP(L4048,Sheet2!D:E,2,0)</f>
        <v>Main Processor CPU BGA</v>
      </c>
      <c r="N4048" s="17" t="n">
        <v>1</v>
      </c>
      <c r="O4048" s="17" t="str">
        <f aca="false">VLOOKUP(N4048,Sheet2!G:H,2,0)</f>
        <v>Dead</v>
      </c>
      <c r="P4048" s="17" t="n">
        <v>11</v>
      </c>
      <c r="Q4048" s="17" t="str">
        <f aca="false">VLOOKUP(P4048,Sheet2!J:K,2,0)</f>
        <v>IR Declared due to CID -TA</v>
      </c>
      <c r="R4048" s="17" t="s">
        <v>35</v>
      </c>
      <c r="S4048" s="17" t="str">
        <f aca="false">VLOOKUP(R4048,Sheet2!N:O,2,0)</f>
        <v>IREPARABLE</v>
      </c>
      <c r="T4048" s="18" t="str">
        <f aca="false">VLOOKUP(P4048,Sheet2!Q:R,2,0)</f>
        <v>IR Normal - Track burn out</v>
      </c>
      <c r="U4048" s="20" t="s">
        <v>41</v>
      </c>
      <c r="V4048" s="17"/>
      <c r="W4048" s="20" t="e">
        <f aca="false">VLOOKUP(V4048,Sheet2!Q:R,2,0)</f>
        <v>#N/A</v>
      </c>
      <c r="X4048" s="17" t="n">
        <f aca="false">J4048</f>
        <v>0</v>
      </c>
      <c r="Y4048" s="17" t="e">
        <f aca="false">VLOOKUP(X4048,Sheet2!A:B,2,0)</f>
        <v>#N/A</v>
      </c>
      <c r="Z4048" s="17"/>
      <c r="AA4048" s="17"/>
      <c r="AC4048" s="23" t="str">
        <f aca="false">LEFT(G4048,2)</f>
        <v/>
      </c>
    </row>
    <row r="4049" customFormat="false" ht="15" hidden="false" customHeight="false" outlineLevel="0" collapsed="false">
      <c r="A4049" s="13" t="n">
        <f aca="false">1+A4048</f>
        <v>4047</v>
      </c>
      <c r="B4049" s="14" t="n">
        <v>100</v>
      </c>
      <c r="C4049" s="15"/>
      <c r="D4049" s="16" t="s">
        <v>64</v>
      </c>
      <c r="E4049" s="17" t="s">
        <v>47</v>
      </c>
      <c r="F4049" s="18" t="s">
        <v>34</v>
      </c>
      <c r="G4049" s="19"/>
      <c r="H4049" s="17" t="s">
        <v>35</v>
      </c>
      <c r="I4049" s="17" t="s">
        <v>44</v>
      </c>
      <c r="J4049" s="17"/>
      <c r="K4049" s="17" t="e">
        <f aca="false">VLOOKUP(J4049,Sheet2!A:B,2,0)</f>
        <v>#N/A</v>
      </c>
      <c r="L4049" s="17" t="n">
        <v>5</v>
      </c>
      <c r="M4049" s="17" t="str">
        <f aca="false">VLOOKUP(L4049,Sheet2!D:E,2,0)</f>
        <v>Main Processor CPU BGA</v>
      </c>
      <c r="N4049" s="17" t="n">
        <v>1</v>
      </c>
      <c r="O4049" s="17" t="str">
        <f aca="false">VLOOKUP(N4049,Sheet2!G:H,2,0)</f>
        <v>Dead</v>
      </c>
      <c r="P4049" s="17" t="n">
        <v>11</v>
      </c>
      <c r="Q4049" s="17" t="str">
        <f aca="false">VLOOKUP(P4049,Sheet2!J:K,2,0)</f>
        <v>IR Declared due to CID -TA</v>
      </c>
      <c r="R4049" s="17" t="s">
        <v>35</v>
      </c>
      <c r="S4049" s="17" t="str">
        <f aca="false">VLOOKUP(R4049,Sheet2!N:O,2,0)</f>
        <v>IREPARABLE</v>
      </c>
      <c r="T4049" s="18" t="str">
        <f aca="false">VLOOKUP(P4049,Sheet2!Q:R,2,0)</f>
        <v>IR Normal - Track burn out</v>
      </c>
      <c r="U4049" s="20" t="s">
        <v>41</v>
      </c>
      <c r="V4049" s="17"/>
      <c r="W4049" s="20" t="e">
        <f aca="false">VLOOKUP(V4049,Sheet2!Q:R,2,0)</f>
        <v>#N/A</v>
      </c>
      <c r="X4049" s="17" t="n">
        <f aca="false">J4049</f>
        <v>0</v>
      </c>
      <c r="Y4049" s="17" t="e">
        <f aca="false">VLOOKUP(X4049,Sheet2!A:B,2,0)</f>
        <v>#N/A</v>
      </c>
      <c r="Z4049" s="17"/>
      <c r="AA4049" s="17"/>
      <c r="AC4049" s="23" t="str">
        <f aca="false">LEFT(G4049,2)</f>
        <v/>
      </c>
    </row>
    <row r="4050" customFormat="false" ht="15" hidden="false" customHeight="false" outlineLevel="0" collapsed="false">
      <c r="A4050" s="13" t="n">
        <f aca="false">1+A4049</f>
        <v>4048</v>
      </c>
      <c r="B4050" s="14" t="n">
        <v>100</v>
      </c>
      <c r="C4050" s="15"/>
      <c r="D4050" s="16" t="s">
        <v>64</v>
      </c>
      <c r="E4050" s="17" t="s">
        <v>47</v>
      </c>
      <c r="F4050" s="18" t="s">
        <v>34</v>
      </c>
      <c r="G4050" s="19"/>
      <c r="H4050" s="17" t="s">
        <v>35</v>
      </c>
      <c r="I4050" s="17" t="s">
        <v>44</v>
      </c>
      <c r="J4050" s="17"/>
      <c r="K4050" s="17" t="e">
        <f aca="false">VLOOKUP(J4050,Sheet2!A:B,2,0)</f>
        <v>#N/A</v>
      </c>
      <c r="L4050" s="17" t="n">
        <v>5</v>
      </c>
      <c r="M4050" s="17" t="str">
        <f aca="false">VLOOKUP(L4050,Sheet2!D:E,2,0)</f>
        <v>Main Processor CPU BGA</v>
      </c>
      <c r="N4050" s="17" t="n">
        <v>1</v>
      </c>
      <c r="O4050" s="17" t="str">
        <f aca="false">VLOOKUP(N4050,Sheet2!G:H,2,0)</f>
        <v>Dead</v>
      </c>
      <c r="P4050" s="17" t="n">
        <v>11</v>
      </c>
      <c r="Q4050" s="17" t="str">
        <f aca="false">VLOOKUP(P4050,Sheet2!J:K,2,0)</f>
        <v>IR Declared due to CID -TA</v>
      </c>
      <c r="R4050" s="17" t="s">
        <v>35</v>
      </c>
      <c r="S4050" s="17" t="str">
        <f aca="false">VLOOKUP(R4050,Sheet2!N:O,2,0)</f>
        <v>IREPARABLE</v>
      </c>
      <c r="T4050" s="18" t="str">
        <f aca="false">VLOOKUP(P4050,Sheet2!Q:R,2,0)</f>
        <v>IR Normal - Track burn out</v>
      </c>
      <c r="U4050" s="20" t="s">
        <v>41</v>
      </c>
      <c r="V4050" s="17"/>
      <c r="W4050" s="20" t="e">
        <f aca="false">VLOOKUP(V4050,Sheet2!Q:R,2,0)</f>
        <v>#N/A</v>
      </c>
      <c r="X4050" s="17" t="n">
        <f aca="false">J4050</f>
        <v>0</v>
      </c>
      <c r="Y4050" s="17" t="e">
        <f aca="false">VLOOKUP(X4050,Sheet2!A:B,2,0)</f>
        <v>#N/A</v>
      </c>
      <c r="Z4050" s="17"/>
      <c r="AA4050" s="17"/>
      <c r="AC4050" s="23" t="str">
        <f aca="false">LEFT(G4050,2)</f>
        <v/>
      </c>
    </row>
    <row r="4051" customFormat="false" ht="15" hidden="false" customHeight="false" outlineLevel="0" collapsed="false">
      <c r="A4051" s="13" t="n">
        <f aca="false">1+A4050</f>
        <v>4049</v>
      </c>
      <c r="B4051" s="14" t="n">
        <v>100</v>
      </c>
      <c r="C4051" s="15"/>
      <c r="D4051" s="16" t="s">
        <v>64</v>
      </c>
      <c r="E4051" s="17" t="s">
        <v>47</v>
      </c>
      <c r="F4051" s="18" t="s">
        <v>34</v>
      </c>
      <c r="G4051" s="19"/>
      <c r="H4051" s="17" t="s">
        <v>35</v>
      </c>
      <c r="I4051" s="17" t="s">
        <v>44</v>
      </c>
      <c r="J4051" s="17"/>
      <c r="K4051" s="17" t="e">
        <f aca="false">VLOOKUP(J4051,Sheet2!A:B,2,0)</f>
        <v>#N/A</v>
      </c>
      <c r="L4051" s="17" t="n">
        <v>5</v>
      </c>
      <c r="M4051" s="17" t="str">
        <f aca="false">VLOOKUP(L4051,Sheet2!D:E,2,0)</f>
        <v>Main Processor CPU BGA</v>
      </c>
      <c r="N4051" s="17" t="n">
        <v>1</v>
      </c>
      <c r="O4051" s="17" t="str">
        <f aca="false">VLOOKUP(N4051,Sheet2!G:H,2,0)</f>
        <v>Dead</v>
      </c>
      <c r="P4051" s="17" t="n">
        <v>11</v>
      </c>
      <c r="Q4051" s="17" t="str">
        <f aca="false">VLOOKUP(P4051,Sheet2!J:K,2,0)</f>
        <v>IR Declared due to CID -TA</v>
      </c>
      <c r="R4051" s="17" t="s">
        <v>35</v>
      </c>
      <c r="S4051" s="17" t="str">
        <f aca="false">VLOOKUP(R4051,Sheet2!N:O,2,0)</f>
        <v>IREPARABLE</v>
      </c>
      <c r="T4051" s="18" t="str">
        <f aca="false">VLOOKUP(P4051,Sheet2!Q:R,2,0)</f>
        <v>IR Normal - Track burn out</v>
      </c>
      <c r="U4051" s="20" t="s">
        <v>41</v>
      </c>
      <c r="V4051" s="17"/>
      <c r="W4051" s="20" t="e">
        <f aca="false">VLOOKUP(V4051,Sheet2!Q:R,2,0)</f>
        <v>#N/A</v>
      </c>
      <c r="X4051" s="17" t="n">
        <f aca="false">J4051</f>
        <v>0</v>
      </c>
      <c r="Y4051" s="17" t="e">
        <f aca="false">VLOOKUP(X4051,Sheet2!A:B,2,0)</f>
        <v>#N/A</v>
      </c>
      <c r="Z4051" s="17"/>
      <c r="AA4051" s="17"/>
      <c r="AC4051" s="23" t="str">
        <f aca="false">LEFT(G4051,2)</f>
        <v/>
      </c>
    </row>
    <row r="4052" customFormat="false" ht="15" hidden="false" customHeight="false" outlineLevel="0" collapsed="false">
      <c r="A4052" s="13" t="n">
        <f aca="false">1+A4051</f>
        <v>4050</v>
      </c>
      <c r="B4052" s="14" t="n">
        <v>100</v>
      </c>
      <c r="C4052" s="15"/>
      <c r="D4052" s="16" t="s">
        <v>64</v>
      </c>
      <c r="E4052" s="17" t="s">
        <v>47</v>
      </c>
      <c r="F4052" s="18" t="s">
        <v>34</v>
      </c>
      <c r="G4052" s="19"/>
      <c r="H4052" s="17" t="s">
        <v>35</v>
      </c>
      <c r="I4052" s="17" t="s">
        <v>44</v>
      </c>
      <c r="J4052" s="17"/>
      <c r="K4052" s="17" t="e">
        <f aca="false">VLOOKUP(J4052,Sheet2!A:B,2,0)</f>
        <v>#N/A</v>
      </c>
      <c r="L4052" s="17" t="n">
        <v>5</v>
      </c>
      <c r="M4052" s="17" t="str">
        <f aca="false">VLOOKUP(L4052,Sheet2!D:E,2,0)</f>
        <v>Main Processor CPU BGA</v>
      </c>
      <c r="N4052" s="17" t="n">
        <v>1</v>
      </c>
      <c r="O4052" s="17" t="str">
        <f aca="false">VLOOKUP(N4052,Sheet2!G:H,2,0)</f>
        <v>Dead</v>
      </c>
      <c r="P4052" s="17" t="n">
        <v>11</v>
      </c>
      <c r="Q4052" s="17" t="str">
        <f aca="false">VLOOKUP(P4052,Sheet2!J:K,2,0)</f>
        <v>IR Declared due to CID -TA</v>
      </c>
      <c r="R4052" s="17" t="s">
        <v>35</v>
      </c>
      <c r="S4052" s="17" t="str">
        <f aca="false">VLOOKUP(R4052,Sheet2!N:O,2,0)</f>
        <v>IREPARABLE</v>
      </c>
      <c r="T4052" s="18" t="str">
        <f aca="false">VLOOKUP(P4052,Sheet2!Q:R,2,0)</f>
        <v>IR Normal - Track burn out</v>
      </c>
      <c r="U4052" s="20" t="s">
        <v>41</v>
      </c>
      <c r="V4052" s="17"/>
      <c r="W4052" s="20" t="e">
        <f aca="false">VLOOKUP(V4052,Sheet2!Q:R,2,0)</f>
        <v>#N/A</v>
      </c>
      <c r="X4052" s="17" t="n">
        <f aca="false">J4052</f>
        <v>0</v>
      </c>
      <c r="Y4052" s="17" t="e">
        <f aca="false">VLOOKUP(X4052,Sheet2!A:B,2,0)</f>
        <v>#N/A</v>
      </c>
      <c r="Z4052" s="17"/>
      <c r="AA4052" s="17"/>
      <c r="AC4052" s="23" t="str">
        <f aca="false">LEFT(G4052,2)</f>
        <v/>
      </c>
    </row>
    <row r="4053" customFormat="false" ht="15" hidden="false" customHeight="false" outlineLevel="0" collapsed="false">
      <c r="A4053" s="13" t="n">
        <f aca="false">1+A4052</f>
        <v>4051</v>
      </c>
      <c r="B4053" s="14" t="n">
        <v>100</v>
      </c>
      <c r="C4053" s="15"/>
      <c r="D4053" s="16" t="s">
        <v>64</v>
      </c>
      <c r="E4053" s="17" t="s">
        <v>47</v>
      </c>
      <c r="F4053" s="18" t="s">
        <v>34</v>
      </c>
      <c r="G4053" s="19"/>
      <c r="H4053" s="17" t="s">
        <v>35</v>
      </c>
      <c r="I4053" s="17" t="s">
        <v>44</v>
      </c>
      <c r="J4053" s="17"/>
      <c r="K4053" s="17" t="e">
        <f aca="false">VLOOKUP(J4053,Sheet2!A:B,2,0)</f>
        <v>#N/A</v>
      </c>
      <c r="L4053" s="17" t="n">
        <v>5</v>
      </c>
      <c r="M4053" s="17" t="str">
        <f aca="false">VLOOKUP(L4053,Sheet2!D:E,2,0)</f>
        <v>Main Processor CPU BGA</v>
      </c>
      <c r="N4053" s="17" t="n">
        <v>1</v>
      </c>
      <c r="O4053" s="17" t="str">
        <f aca="false">VLOOKUP(N4053,Sheet2!G:H,2,0)</f>
        <v>Dead</v>
      </c>
      <c r="P4053" s="17" t="n">
        <v>11</v>
      </c>
      <c r="Q4053" s="17" t="str">
        <f aca="false">VLOOKUP(P4053,Sheet2!J:K,2,0)</f>
        <v>IR Declared due to CID -TA</v>
      </c>
      <c r="R4053" s="17" t="s">
        <v>35</v>
      </c>
      <c r="S4053" s="17" t="str">
        <f aca="false">VLOOKUP(R4053,Sheet2!N:O,2,0)</f>
        <v>IREPARABLE</v>
      </c>
      <c r="T4053" s="18" t="str">
        <f aca="false">VLOOKUP(P4053,Sheet2!Q:R,2,0)</f>
        <v>IR Normal - Track burn out</v>
      </c>
      <c r="U4053" s="20" t="s">
        <v>41</v>
      </c>
      <c r="V4053" s="17"/>
      <c r="W4053" s="20" t="e">
        <f aca="false">VLOOKUP(V4053,Sheet2!Q:R,2,0)</f>
        <v>#N/A</v>
      </c>
      <c r="X4053" s="17" t="n">
        <f aca="false">J4053</f>
        <v>0</v>
      </c>
      <c r="Y4053" s="17" t="e">
        <f aca="false">VLOOKUP(X4053,Sheet2!A:B,2,0)</f>
        <v>#N/A</v>
      </c>
      <c r="Z4053" s="17"/>
      <c r="AA4053" s="17"/>
      <c r="AC4053" s="23" t="str">
        <f aca="false">LEFT(G4053,2)</f>
        <v/>
      </c>
    </row>
    <row r="4054" customFormat="false" ht="15" hidden="false" customHeight="false" outlineLevel="0" collapsed="false">
      <c r="A4054" s="13" t="n">
        <f aca="false">1+A4053</f>
        <v>4052</v>
      </c>
      <c r="B4054" s="14" t="n">
        <v>100</v>
      </c>
      <c r="C4054" s="15"/>
      <c r="D4054" s="16" t="s">
        <v>64</v>
      </c>
      <c r="E4054" s="17" t="s">
        <v>47</v>
      </c>
      <c r="F4054" s="18" t="s">
        <v>34</v>
      </c>
      <c r="G4054" s="19"/>
      <c r="H4054" s="17" t="s">
        <v>35</v>
      </c>
      <c r="I4054" s="17" t="s">
        <v>44</v>
      </c>
      <c r="J4054" s="17"/>
      <c r="K4054" s="17" t="e">
        <f aca="false">VLOOKUP(J4054,Sheet2!A:B,2,0)</f>
        <v>#N/A</v>
      </c>
      <c r="L4054" s="17" t="n">
        <v>5</v>
      </c>
      <c r="M4054" s="17" t="str">
        <f aca="false">VLOOKUP(L4054,Sheet2!D:E,2,0)</f>
        <v>Main Processor CPU BGA</v>
      </c>
      <c r="N4054" s="17" t="n">
        <v>1</v>
      </c>
      <c r="O4054" s="17" t="str">
        <f aca="false">VLOOKUP(N4054,Sheet2!G:H,2,0)</f>
        <v>Dead</v>
      </c>
      <c r="P4054" s="17" t="n">
        <v>11</v>
      </c>
      <c r="Q4054" s="17" t="str">
        <f aca="false">VLOOKUP(P4054,Sheet2!J:K,2,0)</f>
        <v>IR Declared due to CID -TA</v>
      </c>
      <c r="R4054" s="17" t="s">
        <v>35</v>
      </c>
      <c r="S4054" s="17" t="str">
        <f aca="false">VLOOKUP(R4054,Sheet2!N:O,2,0)</f>
        <v>IREPARABLE</v>
      </c>
      <c r="T4054" s="18" t="str">
        <f aca="false">VLOOKUP(P4054,Sheet2!Q:R,2,0)</f>
        <v>IR Normal - Track burn out</v>
      </c>
      <c r="U4054" s="20" t="s">
        <v>41</v>
      </c>
      <c r="V4054" s="17"/>
      <c r="W4054" s="20" t="e">
        <f aca="false">VLOOKUP(V4054,Sheet2!Q:R,2,0)</f>
        <v>#N/A</v>
      </c>
      <c r="X4054" s="17" t="n">
        <f aca="false">J4054</f>
        <v>0</v>
      </c>
      <c r="Y4054" s="17" t="e">
        <f aca="false">VLOOKUP(X4054,Sheet2!A:B,2,0)</f>
        <v>#N/A</v>
      </c>
      <c r="Z4054" s="17"/>
      <c r="AA4054" s="17"/>
      <c r="AC4054" s="23" t="str">
        <f aca="false">LEFT(G4054,2)</f>
        <v/>
      </c>
    </row>
    <row r="4055" customFormat="false" ht="15" hidden="false" customHeight="false" outlineLevel="0" collapsed="false">
      <c r="A4055" s="13" t="n">
        <f aca="false">1+A4054</f>
        <v>4053</v>
      </c>
      <c r="B4055" s="14" t="n">
        <v>100</v>
      </c>
      <c r="C4055" s="15"/>
      <c r="D4055" s="16" t="s">
        <v>64</v>
      </c>
      <c r="E4055" s="17" t="s">
        <v>47</v>
      </c>
      <c r="F4055" s="18" t="s">
        <v>34</v>
      </c>
      <c r="G4055" s="19"/>
      <c r="H4055" s="17" t="s">
        <v>35</v>
      </c>
      <c r="I4055" s="17" t="s">
        <v>44</v>
      </c>
      <c r="J4055" s="17"/>
      <c r="K4055" s="17" t="e">
        <f aca="false">VLOOKUP(J4055,Sheet2!A:B,2,0)</f>
        <v>#N/A</v>
      </c>
      <c r="L4055" s="17" t="n">
        <v>5</v>
      </c>
      <c r="M4055" s="17" t="str">
        <f aca="false">VLOOKUP(L4055,Sheet2!D:E,2,0)</f>
        <v>Main Processor CPU BGA</v>
      </c>
      <c r="N4055" s="17" t="n">
        <v>1</v>
      </c>
      <c r="O4055" s="17" t="str">
        <f aca="false">VLOOKUP(N4055,Sheet2!G:H,2,0)</f>
        <v>Dead</v>
      </c>
      <c r="P4055" s="17" t="n">
        <v>11</v>
      </c>
      <c r="Q4055" s="17" t="str">
        <f aca="false">VLOOKUP(P4055,Sheet2!J:K,2,0)</f>
        <v>IR Declared due to CID -TA</v>
      </c>
      <c r="R4055" s="17" t="s">
        <v>35</v>
      </c>
      <c r="S4055" s="17" t="str">
        <f aca="false">VLOOKUP(R4055,Sheet2!N:O,2,0)</f>
        <v>IREPARABLE</v>
      </c>
      <c r="T4055" s="18" t="str">
        <f aca="false">VLOOKUP(P4055,Sheet2!Q:R,2,0)</f>
        <v>IR Normal - Track burn out</v>
      </c>
      <c r="U4055" s="20" t="s">
        <v>41</v>
      </c>
      <c r="V4055" s="17"/>
      <c r="W4055" s="20" t="e">
        <f aca="false">VLOOKUP(V4055,Sheet2!Q:R,2,0)</f>
        <v>#N/A</v>
      </c>
      <c r="X4055" s="17" t="n">
        <f aca="false">J4055</f>
        <v>0</v>
      </c>
      <c r="Y4055" s="17" t="e">
        <f aca="false">VLOOKUP(X4055,Sheet2!A:B,2,0)</f>
        <v>#N/A</v>
      </c>
      <c r="Z4055" s="17"/>
      <c r="AA4055" s="17"/>
      <c r="AC4055" s="23" t="str">
        <f aca="false">LEFT(G4055,2)</f>
        <v/>
      </c>
    </row>
    <row r="4056" customFormat="false" ht="15" hidden="false" customHeight="false" outlineLevel="0" collapsed="false">
      <c r="A4056" s="13" t="n">
        <f aca="false">1+A4055</f>
        <v>4054</v>
      </c>
      <c r="B4056" s="14" t="n">
        <v>100</v>
      </c>
      <c r="C4056" s="15"/>
      <c r="D4056" s="16" t="s">
        <v>64</v>
      </c>
      <c r="E4056" s="17" t="s">
        <v>47</v>
      </c>
      <c r="F4056" s="18" t="s">
        <v>34</v>
      </c>
      <c r="G4056" s="19"/>
      <c r="H4056" s="17" t="s">
        <v>35</v>
      </c>
      <c r="I4056" s="17" t="s">
        <v>44</v>
      </c>
      <c r="J4056" s="17"/>
      <c r="K4056" s="17" t="e">
        <f aca="false">VLOOKUP(J4056,Sheet2!A:B,2,0)</f>
        <v>#N/A</v>
      </c>
      <c r="L4056" s="17" t="n">
        <v>5</v>
      </c>
      <c r="M4056" s="17" t="str">
        <f aca="false">VLOOKUP(L4056,Sheet2!D:E,2,0)</f>
        <v>Main Processor CPU BGA</v>
      </c>
      <c r="N4056" s="17" t="n">
        <v>1</v>
      </c>
      <c r="O4056" s="17" t="str">
        <f aca="false">VLOOKUP(N4056,Sheet2!G:H,2,0)</f>
        <v>Dead</v>
      </c>
      <c r="P4056" s="17" t="n">
        <v>11</v>
      </c>
      <c r="Q4056" s="17" t="str">
        <f aca="false">VLOOKUP(P4056,Sheet2!J:K,2,0)</f>
        <v>IR Declared due to CID -TA</v>
      </c>
      <c r="R4056" s="17" t="s">
        <v>35</v>
      </c>
      <c r="S4056" s="17" t="str">
        <f aca="false">VLOOKUP(R4056,Sheet2!N:O,2,0)</f>
        <v>IREPARABLE</v>
      </c>
      <c r="T4056" s="18" t="str">
        <f aca="false">VLOOKUP(P4056,Sheet2!Q:R,2,0)</f>
        <v>IR Normal - Track burn out</v>
      </c>
      <c r="U4056" s="20" t="s">
        <v>41</v>
      </c>
      <c r="V4056" s="17"/>
      <c r="W4056" s="20" t="e">
        <f aca="false">VLOOKUP(V4056,Sheet2!Q:R,2,0)</f>
        <v>#N/A</v>
      </c>
      <c r="X4056" s="17" t="n">
        <f aca="false">J4056</f>
        <v>0</v>
      </c>
      <c r="Y4056" s="17" t="e">
        <f aca="false">VLOOKUP(X4056,Sheet2!A:B,2,0)</f>
        <v>#N/A</v>
      </c>
      <c r="Z4056" s="17"/>
      <c r="AA4056" s="17"/>
      <c r="AC4056" s="23" t="str">
        <f aca="false">LEFT(G4056,2)</f>
        <v/>
      </c>
    </row>
    <row r="4057" customFormat="false" ht="15" hidden="false" customHeight="false" outlineLevel="0" collapsed="false">
      <c r="A4057" s="13" t="n">
        <f aca="false">1+A4056</f>
        <v>4055</v>
      </c>
      <c r="B4057" s="14" t="n">
        <v>100</v>
      </c>
      <c r="C4057" s="15"/>
      <c r="D4057" s="16" t="s">
        <v>64</v>
      </c>
      <c r="E4057" s="17" t="s">
        <v>47</v>
      </c>
      <c r="F4057" s="18" t="s">
        <v>34</v>
      </c>
      <c r="G4057" s="19"/>
      <c r="H4057" s="17" t="s">
        <v>35</v>
      </c>
      <c r="I4057" s="17" t="s">
        <v>44</v>
      </c>
      <c r="J4057" s="17"/>
      <c r="K4057" s="17" t="e">
        <f aca="false">VLOOKUP(J4057,Sheet2!A:B,2,0)</f>
        <v>#N/A</v>
      </c>
      <c r="L4057" s="17" t="n">
        <v>5</v>
      </c>
      <c r="M4057" s="17" t="str">
        <f aca="false">VLOOKUP(L4057,Sheet2!D:E,2,0)</f>
        <v>Main Processor CPU BGA</v>
      </c>
      <c r="N4057" s="17" t="n">
        <v>1</v>
      </c>
      <c r="O4057" s="17" t="str">
        <f aca="false">VLOOKUP(N4057,Sheet2!G:H,2,0)</f>
        <v>Dead</v>
      </c>
      <c r="P4057" s="17" t="n">
        <v>11</v>
      </c>
      <c r="Q4057" s="17" t="str">
        <f aca="false">VLOOKUP(P4057,Sheet2!J:K,2,0)</f>
        <v>IR Declared due to CID -TA</v>
      </c>
      <c r="R4057" s="17" t="s">
        <v>35</v>
      </c>
      <c r="S4057" s="17" t="str">
        <f aca="false">VLOOKUP(R4057,Sheet2!N:O,2,0)</f>
        <v>IREPARABLE</v>
      </c>
      <c r="T4057" s="18" t="str">
        <f aca="false">VLOOKUP(P4057,Sheet2!Q:R,2,0)</f>
        <v>IR Normal - Track burn out</v>
      </c>
      <c r="U4057" s="20" t="s">
        <v>41</v>
      </c>
      <c r="V4057" s="17"/>
      <c r="W4057" s="20" t="e">
        <f aca="false">VLOOKUP(V4057,Sheet2!Q:R,2,0)</f>
        <v>#N/A</v>
      </c>
      <c r="X4057" s="17" t="n">
        <f aca="false">J4057</f>
        <v>0</v>
      </c>
      <c r="Y4057" s="17" t="e">
        <f aca="false">VLOOKUP(X4057,Sheet2!A:B,2,0)</f>
        <v>#N/A</v>
      </c>
      <c r="Z4057" s="17"/>
      <c r="AA4057" s="17"/>
      <c r="AC4057" s="23" t="str">
        <f aca="false">LEFT(G4057,2)</f>
        <v/>
      </c>
    </row>
    <row r="4058" customFormat="false" ht="15" hidden="false" customHeight="false" outlineLevel="0" collapsed="false">
      <c r="A4058" s="13" t="n">
        <f aca="false">1+A4057</f>
        <v>4056</v>
      </c>
      <c r="B4058" s="14" t="n">
        <v>100</v>
      </c>
      <c r="C4058" s="15"/>
      <c r="D4058" s="16" t="s">
        <v>64</v>
      </c>
      <c r="E4058" s="17" t="s">
        <v>47</v>
      </c>
      <c r="F4058" s="18" t="s">
        <v>34</v>
      </c>
      <c r="G4058" s="19"/>
      <c r="H4058" s="17" t="s">
        <v>35</v>
      </c>
      <c r="I4058" s="17" t="s">
        <v>44</v>
      </c>
      <c r="J4058" s="17"/>
      <c r="K4058" s="17" t="e">
        <f aca="false">VLOOKUP(J4058,Sheet2!A:B,2,0)</f>
        <v>#N/A</v>
      </c>
      <c r="L4058" s="17" t="n">
        <v>5</v>
      </c>
      <c r="M4058" s="17" t="str">
        <f aca="false">VLOOKUP(L4058,Sheet2!D:E,2,0)</f>
        <v>Main Processor CPU BGA</v>
      </c>
      <c r="N4058" s="17" t="n">
        <v>1</v>
      </c>
      <c r="O4058" s="17" t="str">
        <f aca="false">VLOOKUP(N4058,Sheet2!G:H,2,0)</f>
        <v>Dead</v>
      </c>
      <c r="P4058" s="17" t="n">
        <v>11</v>
      </c>
      <c r="Q4058" s="17" t="str">
        <f aca="false">VLOOKUP(P4058,Sheet2!J:K,2,0)</f>
        <v>IR Declared due to CID -TA</v>
      </c>
      <c r="R4058" s="17" t="s">
        <v>35</v>
      </c>
      <c r="S4058" s="17" t="str">
        <f aca="false">VLOOKUP(R4058,Sheet2!N:O,2,0)</f>
        <v>IREPARABLE</v>
      </c>
      <c r="T4058" s="18" t="str">
        <f aca="false">VLOOKUP(P4058,Sheet2!Q:R,2,0)</f>
        <v>IR Normal - Track burn out</v>
      </c>
      <c r="U4058" s="20" t="s">
        <v>41</v>
      </c>
      <c r="V4058" s="17"/>
      <c r="W4058" s="20" t="e">
        <f aca="false">VLOOKUP(V4058,Sheet2!Q:R,2,0)</f>
        <v>#N/A</v>
      </c>
      <c r="X4058" s="17" t="n">
        <f aca="false">J4058</f>
        <v>0</v>
      </c>
      <c r="Y4058" s="17" t="e">
        <f aca="false">VLOOKUP(X4058,Sheet2!A:B,2,0)</f>
        <v>#N/A</v>
      </c>
      <c r="Z4058" s="17"/>
      <c r="AA4058" s="17"/>
      <c r="AC4058" s="23" t="str">
        <f aca="false">LEFT(G4058,2)</f>
        <v/>
      </c>
    </row>
    <row r="4059" customFormat="false" ht="15" hidden="false" customHeight="false" outlineLevel="0" collapsed="false">
      <c r="A4059" s="13" t="n">
        <f aca="false">1+A4058</f>
        <v>4057</v>
      </c>
      <c r="B4059" s="14" t="n">
        <v>100</v>
      </c>
      <c r="C4059" s="15"/>
      <c r="D4059" s="16" t="s">
        <v>64</v>
      </c>
      <c r="E4059" s="17" t="s">
        <v>47</v>
      </c>
      <c r="F4059" s="18" t="s">
        <v>34</v>
      </c>
      <c r="G4059" s="19"/>
      <c r="H4059" s="17" t="s">
        <v>35</v>
      </c>
      <c r="I4059" s="17" t="s">
        <v>44</v>
      </c>
      <c r="J4059" s="17"/>
      <c r="K4059" s="17" t="e">
        <f aca="false">VLOOKUP(J4059,Sheet2!A:B,2,0)</f>
        <v>#N/A</v>
      </c>
      <c r="L4059" s="17" t="n">
        <v>5</v>
      </c>
      <c r="M4059" s="17" t="str">
        <f aca="false">VLOOKUP(L4059,Sheet2!D:E,2,0)</f>
        <v>Main Processor CPU BGA</v>
      </c>
      <c r="N4059" s="17" t="n">
        <v>1</v>
      </c>
      <c r="O4059" s="17" t="str">
        <f aca="false">VLOOKUP(N4059,Sheet2!G:H,2,0)</f>
        <v>Dead</v>
      </c>
      <c r="P4059" s="17" t="n">
        <v>11</v>
      </c>
      <c r="Q4059" s="17" t="str">
        <f aca="false">VLOOKUP(P4059,Sheet2!J:K,2,0)</f>
        <v>IR Declared due to CID -TA</v>
      </c>
      <c r="R4059" s="17" t="s">
        <v>35</v>
      </c>
      <c r="S4059" s="17" t="str">
        <f aca="false">VLOOKUP(R4059,Sheet2!N:O,2,0)</f>
        <v>IREPARABLE</v>
      </c>
      <c r="T4059" s="18" t="str">
        <f aca="false">VLOOKUP(P4059,Sheet2!Q:R,2,0)</f>
        <v>IR Normal - Track burn out</v>
      </c>
      <c r="U4059" s="20" t="s">
        <v>41</v>
      </c>
      <c r="V4059" s="17"/>
      <c r="W4059" s="20" t="e">
        <f aca="false">VLOOKUP(V4059,Sheet2!Q:R,2,0)</f>
        <v>#N/A</v>
      </c>
      <c r="X4059" s="17" t="n">
        <f aca="false">J4059</f>
        <v>0</v>
      </c>
      <c r="Y4059" s="17" t="e">
        <f aca="false">VLOOKUP(X4059,Sheet2!A:B,2,0)</f>
        <v>#N/A</v>
      </c>
      <c r="Z4059" s="17"/>
      <c r="AA4059" s="17"/>
      <c r="AC4059" s="23" t="str">
        <f aca="false">LEFT(G4059,2)</f>
        <v/>
      </c>
    </row>
    <row r="4060" customFormat="false" ht="15" hidden="false" customHeight="false" outlineLevel="0" collapsed="false">
      <c r="A4060" s="13" t="n">
        <f aca="false">1+A4059</f>
        <v>4058</v>
      </c>
      <c r="B4060" s="14" t="n">
        <v>100</v>
      </c>
      <c r="C4060" s="15"/>
      <c r="D4060" s="16" t="s">
        <v>64</v>
      </c>
      <c r="E4060" s="17" t="s">
        <v>47</v>
      </c>
      <c r="F4060" s="18" t="s">
        <v>34</v>
      </c>
      <c r="G4060" s="19"/>
      <c r="H4060" s="17" t="s">
        <v>35</v>
      </c>
      <c r="I4060" s="17" t="s">
        <v>44</v>
      </c>
      <c r="J4060" s="17"/>
      <c r="K4060" s="17" t="e">
        <f aca="false">VLOOKUP(J4060,Sheet2!A:B,2,0)</f>
        <v>#N/A</v>
      </c>
      <c r="L4060" s="17" t="n">
        <v>5</v>
      </c>
      <c r="M4060" s="17" t="str">
        <f aca="false">VLOOKUP(L4060,Sheet2!D:E,2,0)</f>
        <v>Main Processor CPU BGA</v>
      </c>
      <c r="N4060" s="17" t="n">
        <v>1</v>
      </c>
      <c r="O4060" s="17" t="str">
        <f aca="false">VLOOKUP(N4060,Sheet2!G:H,2,0)</f>
        <v>Dead</v>
      </c>
      <c r="P4060" s="17" t="n">
        <v>11</v>
      </c>
      <c r="Q4060" s="17" t="str">
        <f aca="false">VLOOKUP(P4060,Sheet2!J:K,2,0)</f>
        <v>IR Declared due to CID -TA</v>
      </c>
      <c r="R4060" s="17" t="s">
        <v>35</v>
      </c>
      <c r="S4060" s="17" t="str">
        <f aca="false">VLOOKUP(R4060,Sheet2!N:O,2,0)</f>
        <v>IREPARABLE</v>
      </c>
      <c r="T4060" s="18" t="str">
        <f aca="false">VLOOKUP(P4060,Sheet2!Q:R,2,0)</f>
        <v>IR Normal - Track burn out</v>
      </c>
      <c r="U4060" s="20" t="s">
        <v>41</v>
      </c>
      <c r="V4060" s="17"/>
      <c r="W4060" s="20" t="e">
        <f aca="false">VLOOKUP(V4060,Sheet2!Q:R,2,0)</f>
        <v>#N/A</v>
      </c>
      <c r="X4060" s="17" t="n">
        <f aca="false">J4060</f>
        <v>0</v>
      </c>
      <c r="Y4060" s="17" t="e">
        <f aca="false">VLOOKUP(X4060,Sheet2!A:B,2,0)</f>
        <v>#N/A</v>
      </c>
      <c r="Z4060" s="17"/>
      <c r="AA4060" s="17"/>
      <c r="AC4060" s="23" t="str">
        <f aca="false">LEFT(G4060,2)</f>
        <v/>
      </c>
    </row>
    <row r="4061" customFormat="false" ht="15" hidden="false" customHeight="false" outlineLevel="0" collapsed="false">
      <c r="A4061" s="13" t="n">
        <f aca="false">1+A4060</f>
        <v>4059</v>
      </c>
      <c r="B4061" s="14" t="n">
        <v>100</v>
      </c>
      <c r="C4061" s="15"/>
      <c r="D4061" s="16" t="s">
        <v>64</v>
      </c>
      <c r="E4061" s="17" t="s">
        <v>47</v>
      </c>
      <c r="F4061" s="18" t="s">
        <v>34</v>
      </c>
      <c r="G4061" s="19"/>
      <c r="H4061" s="17" t="s">
        <v>35</v>
      </c>
      <c r="I4061" s="17" t="s">
        <v>44</v>
      </c>
      <c r="J4061" s="17"/>
      <c r="K4061" s="17" t="e">
        <f aca="false">VLOOKUP(J4061,Sheet2!A:B,2,0)</f>
        <v>#N/A</v>
      </c>
      <c r="L4061" s="17" t="n">
        <v>5</v>
      </c>
      <c r="M4061" s="17" t="str">
        <f aca="false">VLOOKUP(L4061,Sheet2!D:E,2,0)</f>
        <v>Main Processor CPU BGA</v>
      </c>
      <c r="N4061" s="17" t="n">
        <v>1</v>
      </c>
      <c r="O4061" s="17" t="str">
        <f aca="false">VLOOKUP(N4061,Sheet2!G:H,2,0)</f>
        <v>Dead</v>
      </c>
      <c r="P4061" s="17" t="n">
        <v>11</v>
      </c>
      <c r="Q4061" s="17" t="str">
        <f aca="false">VLOOKUP(P4061,Sheet2!J:K,2,0)</f>
        <v>IR Declared due to CID -TA</v>
      </c>
      <c r="R4061" s="17" t="s">
        <v>35</v>
      </c>
      <c r="S4061" s="17" t="str">
        <f aca="false">VLOOKUP(R4061,Sheet2!N:O,2,0)</f>
        <v>IREPARABLE</v>
      </c>
      <c r="T4061" s="18" t="str">
        <f aca="false">VLOOKUP(P4061,Sheet2!Q:R,2,0)</f>
        <v>IR Normal - Track burn out</v>
      </c>
      <c r="U4061" s="20" t="s">
        <v>41</v>
      </c>
      <c r="V4061" s="17"/>
      <c r="W4061" s="20" t="e">
        <f aca="false">VLOOKUP(V4061,Sheet2!Q:R,2,0)</f>
        <v>#N/A</v>
      </c>
      <c r="X4061" s="17" t="n">
        <f aca="false">J4061</f>
        <v>0</v>
      </c>
      <c r="Y4061" s="17" t="e">
        <f aca="false">VLOOKUP(X4061,Sheet2!A:B,2,0)</f>
        <v>#N/A</v>
      </c>
      <c r="Z4061" s="17"/>
      <c r="AA4061" s="17"/>
      <c r="AC4061" s="23" t="str">
        <f aca="false">LEFT(G4061,2)</f>
        <v/>
      </c>
    </row>
    <row r="4062" customFormat="false" ht="15" hidden="false" customHeight="false" outlineLevel="0" collapsed="false">
      <c r="A4062" s="13" t="n">
        <f aca="false">1+A4061</f>
        <v>4060</v>
      </c>
      <c r="B4062" s="14" t="n">
        <v>100</v>
      </c>
      <c r="C4062" s="15"/>
      <c r="D4062" s="16" t="s">
        <v>64</v>
      </c>
      <c r="E4062" s="17" t="s">
        <v>47</v>
      </c>
      <c r="F4062" s="18" t="s">
        <v>34</v>
      </c>
      <c r="G4062" s="19"/>
      <c r="H4062" s="17" t="s">
        <v>35</v>
      </c>
      <c r="I4062" s="17" t="s">
        <v>44</v>
      </c>
      <c r="J4062" s="17"/>
      <c r="K4062" s="17" t="e">
        <f aca="false">VLOOKUP(J4062,Sheet2!A:B,2,0)</f>
        <v>#N/A</v>
      </c>
      <c r="L4062" s="17" t="n">
        <v>5</v>
      </c>
      <c r="M4062" s="17" t="str">
        <f aca="false">VLOOKUP(L4062,Sheet2!D:E,2,0)</f>
        <v>Main Processor CPU BGA</v>
      </c>
      <c r="N4062" s="17" t="n">
        <v>1</v>
      </c>
      <c r="O4062" s="17" t="str">
        <f aca="false">VLOOKUP(N4062,Sheet2!G:H,2,0)</f>
        <v>Dead</v>
      </c>
      <c r="P4062" s="17" t="n">
        <v>11</v>
      </c>
      <c r="Q4062" s="17" t="str">
        <f aca="false">VLOOKUP(P4062,Sheet2!J:K,2,0)</f>
        <v>IR Declared due to CID -TA</v>
      </c>
      <c r="R4062" s="17" t="s">
        <v>35</v>
      </c>
      <c r="S4062" s="17" t="str">
        <f aca="false">VLOOKUP(R4062,Sheet2!N:O,2,0)</f>
        <v>IREPARABLE</v>
      </c>
      <c r="T4062" s="18" t="str">
        <f aca="false">VLOOKUP(P4062,Sheet2!Q:R,2,0)</f>
        <v>IR Normal - Track burn out</v>
      </c>
      <c r="U4062" s="20" t="s">
        <v>41</v>
      </c>
      <c r="V4062" s="17"/>
      <c r="W4062" s="20" t="e">
        <f aca="false">VLOOKUP(V4062,Sheet2!Q:R,2,0)</f>
        <v>#N/A</v>
      </c>
      <c r="X4062" s="17" t="n">
        <f aca="false">J4062</f>
        <v>0</v>
      </c>
      <c r="Y4062" s="17" t="e">
        <f aca="false">VLOOKUP(X4062,Sheet2!A:B,2,0)</f>
        <v>#N/A</v>
      </c>
      <c r="Z4062" s="17"/>
      <c r="AA4062" s="17"/>
      <c r="AC4062" s="23" t="str">
        <f aca="false">LEFT(G4062,2)</f>
        <v/>
      </c>
    </row>
    <row r="4063" customFormat="false" ht="15" hidden="false" customHeight="false" outlineLevel="0" collapsed="false">
      <c r="A4063" s="13" t="n">
        <f aca="false">1+A4062</f>
        <v>4061</v>
      </c>
      <c r="B4063" s="14" t="n">
        <v>100</v>
      </c>
      <c r="C4063" s="15"/>
      <c r="D4063" s="16" t="s">
        <v>64</v>
      </c>
      <c r="E4063" s="17" t="s">
        <v>47</v>
      </c>
      <c r="F4063" s="18" t="s">
        <v>34</v>
      </c>
      <c r="G4063" s="19"/>
      <c r="H4063" s="17" t="s">
        <v>35</v>
      </c>
      <c r="I4063" s="17" t="s">
        <v>44</v>
      </c>
      <c r="J4063" s="17"/>
      <c r="K4063" s="17" t="e">
        <f aca="false">VLOOKUP(J4063,Sheet2!A:B,2,0)</f>
        <v>#N/A</v>
      </c>
      <c r="L4063" s="17" t="n">
        <v>5</v>
      </c>
      <c r="M4063" s="17" t="str">
        <f aca="false">VLOOKUP(L4063,Sheet2!D:E,2,0)</f>
        <v>Main Processor CPU BGA</v>
      </c>
      <c r="N4063" s="17" t="n">
        <v>1</v>
      </c>
      <c r="O4063" s="17" t="str">
        <f aca="false">VLOOKUP(N4063,Sheet2!G:H,2,0)</f>
        <v>Dead</v>
      </c>
      <c r="P4063" s="17" t="n">
        <v>11</v>
      </c>
      <c r="Q4063" s="17" t="str">
        <f aca="false">VLOOKUP(P4063,Sheet2!J:K,2,0)</f>
        <v>IR Declared due to CID -TA</v>
      </c>
      <c r="R4063" s="17" t="s">
        <v>35</v>
      </c>
      <c r="S4063" s="17" t="str">
        <f aca="false">VLOOKUP(R4063,Sheet2!N:O,2,0)</f>
        <v>IREPARABLE</v>
      </c>
      <c r="T4063" s="18" t="str">
        <f aca="false">VLOOKUP(P4063,Sheet2!Q:R,2,0)</f>
        <v>IR Normal - Track burn out</v>
      </c>
      <c r="U4063" s="20" t="s">
        <v>41</v>
      </c>
      <c r="V4063" s="17"/>
      <c r="W4063" s="20" t="e">
        <f aca="false">VLOOKUP(V4063,Sheet2!Q:R,2,0)</f>
        <v>#N/A</v>
      </c>
      <c r="X4063" s="17" t="n">
        <f aca="false">J4063</f>
        <v>0</v>
      </c>
      <c r="Y4063" s="17" t="e">
        <f aca="false">VLOOKUP(X4063,Sheet2!A:B,2,0)</f>
        <v>#N/A</v>
      </c>
      <c r="Z4063" s="17"/>
      <c r="AA4063" s="17"/>
      <c r="AC4063" s="23" t="str">
        <f aca="false">LEFT(G4063,2)</f>
        <v/>
      </c>
    </row>
    <row r="4064" customFormat="false" ht="15" hidden="false" customHeight="false" outlineLevel="0" collapsed="false">
      <c r="A4064" s="13" t="n">
        <f aca="false">1+A4063</f>
        <v>4062</v>
      </c>
      <c r="B4064" s="14" t="n">
        <v>100</v>
      </c>
      <c r="C4064" s="15"/>
      <c r="D4064" s="16" t="s">
        <v>64</v>
      </c>
      <c r="E4064" s="17" t="s">
        <v>47</v>
      </c>
      <c r="F4064" s="18" t="s">
        <v>34</v>
      </c>
      <c r="G4064" s="19"/>
      <c r="H4064" s="17" t="s">
        <v>35</v>
      </c>
      <c r="I4064" s="17" t="s">
        <v>44</v>
      </c>
      <c r="J4064" s="17"/>
      <c r="K4064" s="17" t="e">
        <f aca="false">VLOOKUP(J4064,Sheet2!A:B,2,0)</f>
        <v>#N/A</v>
      </c>
      <c r="L4064" s="17" t="n">
        <v>5</v>
      </c>
      <c r="M4064" s="17" t="str">
        <f aca="false">VLOOKUP(L4064,Sheet2!D:E,2,0)</f>
        <v>Main Processor CPU BGA</v>
      </c>
      <c r="N4064" s="17" t="n">
        <v>1</v>
      </c>
      <c r="O4064" s="17" t="str">
        <f aca="false">VLOOKUP(N4064,Sheet2!G:H,2,0)</f>
        <v>Dead</v>
      </c>
      <c r="P4064" s="17" t="n">
        <v>11</v>
      </c>
      <c r="Q4064" s="17" t="str">
        <f aca="false">VLOOKUP(P4064,Sheet2!J:K,2,0)</f>
        <v>IR Declared due to CID -TA</v>
      </c>
      <c r="R4064" s="17" t="s">
        <v>35</v>
      </c>
      <c r="S4064" s="17" t="str">
        <f aca="false">VLOOKUP(R4064,Sheet2!N:O,2,0)</f>
        <v>IREPARABLE</v>
      </c>
      <c r="T4064" s="18" t="str">
        <f aca="false">VLOOKUP(P4064,Sheet2!Q:R,2,0)</f>
        <v>IR Normal - Track burn out</v>
      </c>
      <c r="U4064" s="20" t="s">
        <v>41</v>
      </c>
      <c r="V4064" s="17"/>
      <c r="W4064" s="20" t="e">
        <f aca="false">VLOOKUP(V4064,Sheet2!Q:R,2,0)</f>
        <v>#N/A</v>
      </c>
      <c r="X4064" s="17" t="n">
        <f aca="false">J4064</f>
        <v>0</v>
      </c>
      <c r="Y4064" s="17" t="e">
        <f aca="false">VLOOKUP(X4064,Sheet2!A:B,2,0)</f>
        <v>#N/A</v>
      </c>
      <c r="Z4064" s="17"/>
      <c r="AA4064" s="17"/>
      <c r="AC4064" s="23" t="str">
        <f aca="false">LEFT(G4064,2)</f>
        <v/>
      </c>
    </row>
    <row r="4065" customFormat="false" ht="15" hidden="false" customHeight="false" outlineLevel="0" collapsed="false">
      <c r="A4065" s="13" t="n">
        <f aca="false">1+A4064</f>
        <v>4063</v>
      </c>
      <c r="B4065" s="14" t="n">
        <v>100</v>
      </c>
      <c r="C4065" s="15"/>
      <c r="D4065" s="16" t="s">
        <v>64</v>
      </c>
      <c r="E4065" s="17" t="s">
        <v>47</v>
      </c>
      <c r="F4065" s="18" t="s">
        <v>34</v>
      </c>
      <c r="G4065" s="19"/>
      <c r="H4065" s="17" t="s">
        <v>35</v>
      </c>
      <c r="I4065" s="17" t="s">
        <v>44</v>
      </c>
      <c r="J4065" s="17"/>
      <c r="K4065" s="17" t="e">
        <f aca="false">VLOOKUP(J4065,Sheet2!A:B,2,0)</f>
        <v>#N/A</v>
      </c>
      <c r="L4065" s="17" t="n">
        <v>5</v>
      </c>
      <c r="M4065" s="17" t="str">
        <f aca="false">VLOOKUP(L4065,Sheet2!D:E,2,0)</f>
        <v>Main Processor CPU BGA</v>
      </c>
      <c r="N4065" s="17" t="n">
        <v>1</v>
      </c>
      <c r="O4065" s="17" t="str">
        <f aca="false">VLOOKUP(N4065,Sheet2!G:H,2,0)</f>
        <v>Dead</v>
      </c>
      <c r="P4065" s="17" t="n">
        <v>11</v>
      </c>
      <c r="Q4065" s="17" t="str">
        <f aca="false">VLOOKUP(P4065,Sheet2!J:K,2,0)</f>
        <v>IR Declared due to CID -TA</v>
      </c>
      <c r="R4065" s="17" t="s">
        <v>35</v>
      </c>
      <c r="S4065" s="17" t="str">
        <f aca="false">VLOOKUP(R4065,Sheet2!N:O,2,0)</f>
        <v>IREPARABLE</v>
      </c>
      <c r="T4065" s="18" t="str">
        <f aca="false">VLOOKUP(P4065,Sheet2!Q:R,2,0)</f>
        <v>IR Normal - Track burn out</v>
      </c>
      <c r="U4065" s="20" t="s">
        <v>41</v>
      </c>
      <c r="V4065" s="17"/>
      <c r="W4065" s="20" t="e">
        <f aca="false">VLOOKUP(V4065,Sheet2!Q:R,2,0)</f>
        <v>#N/A</v>
      </c>
      <c r="X4065" s="17" t="n">
        <f aca="false">J4065</f>
        <v>0</v>
      </c>
      <c r="Y4065" s="17" t="e">
        <f aca="false">VLOOKUP(X4065,Sheet2!A:B,2,0)</f>
        <v>#N/A</v>
      </c>
      <c r="Z4065" s="17"/>
      <c r="AA4065" s="17"/>
      <c r="AC4065" s="23" t="str">
        <f aca="false">LEFT(G4065,2)</f>
        <v/>
      </c>
    </row>
    <row r="4066" customFormat="false" ht="15" hidden="false" customHeight="false" outlineLevel="0" collapsed="false">
      <c r="A4066" s="13" t="n">
        <f aca="false">1+A4065</f>
        <v>4064</v>
      </c>
      <c r="B4066" s="14" t="n">
        <v>100</v>
      </c>
      <c r="C4066" s="15"/>
      <c r="D4066" s="16" t="s">
        <v>64</v>
      </c>
      <c r="E4066" s="17" t="s">
        <v>47</v>
      </c>
      <c r="F4066" s="18" t="s">
        <v>34</v>
      </c>
      <c r="G4066" s="19"/>
      <c r="H4066" s="17" t="s">
        <v>35</v>
      </c>
      <c r="I4066" s="17" t="s">
        <v>44</v>
      </c>
      <c r="J4066" s="17"/>
      <c r="K4066" s="17" t="e">
        <f aca="false">VLOOKUP(J4066,Sheet2!A:B,2,0)</f>
        <v>#N/A</v>
      </c>
      <c r="L4066" s="17" t="n">
        <v>5</v>
      </c>
      <c r="M4066" s="17" t="str">
        <f aca="false">VLOOKUP(L4066,Sheet2!D:E,2,0)</f>
        <v>Main Processor CPU BGA</v>
      </c>
      <c r="N4066" s="17" t="n">
        <v>1</v>
      </c>
      <c r="O4066" s="17" t="str">
        <f aca="false">VLOOKUP(N4066,Sheet2!G:H,2,0)</f>
        <v>Dead</v>
      </c>
      <c r="P4066" s="17" t="n">
        <v>11</v>
      </c>
      <c r="Q4066" s="17" t="str">
        <f aca="false">VLOOKUP(P4066,Sheet2!J:K,2,0)</f>
        <v>IR Declared due to CID -TA</v>
      </c>
      <c r="R4066" s="17" t="s">
        <v>35</v>
      </c>
      <c r="S4066" s="17" t="str">
        <f aca="false">VLOOKUP(R4066,Sheet2!N:O,2,0)</f>
        <v>IREPARABLE</v>
      </c>
      <c r="T4066" s="18" t="str">
        <f aca="false">VLOOKUP(P4066,Sheet2!Q:R,2,0)</f>
        <v>IR Normal - Track burn out</v>
      </c>
      <c r="U4066" s="20" t="s">
        <v>41</v>
      </c>
      <c r="V4066" s="17"/>
      <c r="W4066" s="20" t="e">
        <f aca="false">VLOOKUP(V4066,Sheet2!Q:R,2,0)</f>
        <v>#N/A</v>
      </c>
      <c r="X4066" s="17" t="n">
        <f aca="false">J4066</f>
        <v>0</v>
      </c>
      <c r="Y4066" s="17" t="e">
        <f aca="false">VLOOKUP(X4066,Sheet2!A:B,2,0)</f>
        <v>#N/A</v>
      </c>
      <c r="Z4066" s="17"/>
      <c r="AA4066" s="17"/>
      <c r="AC4066" s="23" t="str">
        <f aca="false">LEFT(G4066,2)</f>
        <v/>
      </c>
    </row>
    <row r="4067" customFormat="false" ht="15" hidden="false" customHeight="false" outlineLevel="0" collapsed="false">
      <c r="A4067" s="13" t="n">
        <f aca="false">1+A4066</f>
        <v>4065</v>
      </c>
      <c r="B4067" s="14" t="n">
        <v>100</v>
      </c>
      <c r="C4067" s="15"/>
      <c r="D4067" s="16" t="s">
        <v>64</v>
      </c>
      <c r="E4067" s="17" t="s">
        <v>47</v>
      </c>
      <c r="F4067" s="18" t="s">
        <v>34</v>
      </c>
      <c r="G4067" s="19"/>
      <c r="H4067" s="17" t="s">
        <v>35</v>
      </c>
      <c r="I4067" s="17" t="s">
        <v>44</v>
      </c>
      <c r="J4067" s="17"/>
      <c r="K4067" s="17" t="e">
        <f aca="false">VLOOKUP(J4067,Sheet2!A:B,2,0)</f>
        <v>#N/A</v>
      </c>
      <c r="L4067" s="17" t="n">
        <v>5</v>
      </c>
      <c r="M4067" s="17" t="str">
        <f aca="false">VLOOKUP(L4067,Sheet2!D:E,2,0)</f>
        <v>Main Processor CPU BGA</v>
      </c>
      <c r="N4067" s="17" t="n">
        <v>1</v>
      </c>
      <c r="O4067" s="17" t="str">
        <f aca="false">VLOOKUP(N4067,Sheet2!G:H,2,0)</f>
        <v>Dead</v>
      </c>
      <c r="P4067" s="17" t="n">
        <v>11</v>
      </c>
      <c r="Q4067" s="17" t="str">
        <f aca="false">VLOOKUP(P4067,Sheet2!J:K,2,0)</f>
        <v>IR Declared due to CID -TA</v>
      </c>
      <c r="R4067" s="17" t="s">
        <v>35</v>
      </c>
      <c r="S4067" s="17" t="str">
        <f aca="false">VLOOKUP(R4067,Sheet2!N:O,2,0)</f>
        <v>IREPARABLE</v>
      </c>
      <c r="T4067" s="18" t="str">
        <f aca="false">VLOOKUP(P4067,Sheet2!Q:R,2,0)</f>
        <v>IR Normal - Track burn out</v>
      </c>
      <c r="U4067" s="20" t="s">
        <v>41</v>
      </c>
      <c r="V4067" s="17"/>
      <c r="W4067" s="20" t="e">
        <f aca="false">VLOOKUP(V4067,Sheet2!Q:R,2,0)</f>
        <v>#N/A</v>
      </c>
      <c r="X4067" s="17" t="n">
        <f aca="false">J4067</f>
        <v>0</v>
      </c>
      <c r="Y4067" s="17" t="e">
        <f aca="false">VLOOKUP(X4067,Sheet2!A:B,2,0)</f>
        <v>#N/A</v>
      </c>
      <c r="Z4067" s="17"/>
      <c r="AA4067" s="17"/>
      <c r="AC4067" s="23" t="str">
        <f aca="false">LEFT(G4067,2)</f>
        <v/>
      </c>
    </row>
    <row r="4068" customFormat="false" ht="15" hidden="false" customHeight="false" outlineLevel="0" collapsed="false">
      <c r="A4068" s="13" t="n">
        <f aca="false">1+A4067</f>
        <v>4066</v>
      </c>
      <c r="B4068" s="14" t="n">
        <v>100</v>
      </c>
      <c r="C4068" s="15"/>
      <c r="D4068" s="16" t="s">
        <v>64</v>
      </c>
      <c r="E4068" s="17" t="s">
        <v>47</v>
      </c>
      <c r="F4068" s="18" t="s">
        <v>34</v>
      </c>
      <c r="G4068" s="19"/>
      <c r="H4068" s="17" t="s">
        <v>35</v>
      </c>
      <c r="I4068" s="17" t="s">
        <v>44</v>
      </c>
      <c r="J4068" s="17"/>
      <c r="K4068" s="17" t="e">
        <f aca="false">VLOOKUP(J4068,Sheet2!A:B,2,0)</f>
        <v>#N/A</v>
      </c>
      <c r="L4068" s="17" t="n">
        <v>5</v>
      </c>
      <c r="M4068" s="17" t="str">
        <f aca="false">VLOOKUP(L4068,Sheet2!D:E,2,0)</f>
        <v>Main Processor CPU BGA</v>
      </c>
      <c r="N4068" s="17" t="n">
        <v>1</v>
      </c>
      <c r="O4068" s="17" t="str">
        <f aca="false">VLOOKUP(N4068,Sheet2!G:H,2,0)</f>
        <v>Dead</v>
      </c>
      <c r="P4068" s="17" t="n">
        <v>11</v>
      </c>
      <c r="Q4068" s="17" t="str">
        <f aca="false">VLOOKUP(P4068,Sheet2!J:K,2,0)</f>
        <v>IR Declared due to CID -TA</v>
      </c>
      <c r="R4068" s="17" t="s">
        <v>35</v>
      </c>
      <c r="S4068" s="17" t="str">
        <f aca="false">VLOOKUP(R4068,Sheet2!N:O,2,0)</f>
        <v>IREPARABLE</v>
      </c>
      <c r="T4068" s="18" t="str">
        <f aca="false">VLOOKUP(P4068,Sheet2!Q:R,2,0)</f>
        <v>IR Normal - Track burn out</v>
      </c>
      <c r="U4068" s="20" t="s">
        <v>41</v>
      </c>
      <c r="V4068" s="17"/>
      <c r="W4068" s="20" t="e">
        <f aca="false">VLOOKUP(V4068,Sheet2!Q:R,2,0)</f>
        <v>#N/A</v>
      </c>
      <c r="X4068" s="17" t="n">
        <f aca="false">J4068</f>
        <v>0</v>
      </c>
      <c r="Y4068" s="17" t="e">
        <f aca="false">VLOOKUP(X4068,Sheet2!A:B,2,0)</f>
        <v>#N/A</v>
      </c>
      <c r="Z4068" s="17"/>
      <c r="AA4068" s="17"/>
      <c r="AC4068" s="23" t="str">
        <f aca="false">LEFT(G4068,2)</f>
        <v/>
      </c>
    </row>
    <row r="4069" customFormat="false" ht="15" hidden="false" customHeight="false" outlineLevel="0" collapsed="false">
      <c r="A4069" s="13" t="n">
        <f aca="false">1+A4068</f>
        <v>4067</v>
      </c>
      <c r="B4069" s="14" t="n">
        <v>100</v>
      </c>
      <c r="C4069" s="15"/>
      <c r="D4069" s="16" t="s">
        <v>64</v>
      </c>
      <c r="E4069" s="17" t="s">
        <v>47</v>
      </c>
      <c r="F4069" s="18" t="s">
        <v>34</v>
      </c>
      <c r="G4069" s="19"/>
      <c r="H4069" s="17" t="s">
        <v>35</v>
      </c>
      <c r="I4069" s="17" t="s">
        <v>44</v>
      </c>
      <c r="J4069" s="17"/>
      <c r="K4069" s="17" t="e">
        <f aca="false">VLOOKUP(J4069,Sheet2!A:B,2,0)</f>
        <v>#N/A</v>
      </c>
      <c r="L4069" s="17" t="n">
        <v>5</v>
      </c>
      <c r="M4069" s="17" t="str">
        <f aca="false">VLOOKUP(L4069,Sheet2!D:E,2,0)</f>
        <v>Main Processor CPU BGA</v>
      </c>
      <c r="N4069" s="17" t="n">
        <v>1</v>
      </c>
      <c r="O4069" s="17" t="str">
        <f aca="false">VLOOKUP(N4069,Sheet2!G:H,2,0)</f>
        <v>Dead</v>
      </c>
      <c r="P4069" s="17" t="n">
        <v>11</v>
      </c>
      <c r="Q4069" s="17" t="str">
        <f aca="false">VLOOKUP(P4069,Sheet2!J:K,2,0)</f>
        <v>IR Declared due to CID -TA</v>
      </c>
      <c r="R4069" s="17" t="s">
        <v>35</v>
      </c>
      <c r="S4069" s="17" t="str">
        <f aca="false">VLOOKUP(R4069,Sheet2!N:O,2,0)</f>
        <v>IREPARABLE</v>
      </c>
      <c r="T4069" s="18" t="str">
        <f aca="false">VLOOKUP(P4069,Sheet2!Q:R,2,0)</f>
        <v>IR Normal - Track burn out</v>
      </c>
      <c r="U4069" s="20" t="s">
        <v>41</v>
      </c>
      <c r="V4069" s="17"/>
      <c r="W4069" s="20" t="e">
        <f aca="false">VLOOKUP(V4069,Sheet2!Q:R,2,0)</f>
        <v>#N/A</v>
      </c>
      <c r="X4069" s="17" t="n">
        <f aca="false">J4069</f>
        <v>0</v>
      </c>
      <c r="Y4069" s="17" t="e">
        <f aca="false">VLOOKUP(X4069,Sheet2!A:B,2,0)</f>
        <v>#N/A</v>
      </c>
      <c r="Z4069" s="17"/>
      <c r="AA4069" s="17"/>
      <c r="AC4069" s="23" t="str">
        <f aca="false">LEFT(G4069,2)</f>
        <v/>
      </c>
    </row>
    <row r="4070" customFormat="false" ht="15" hidden="false" customHeight="false" outlineLevel="0" collapsed="false">
      <c r="A4070" s="13" t="n">
        <f aca="false">1+A4069</f>
        <v>4068</v>
      </c>
      <c r="B4070" s="14" t="n">
        <v>100</v>
      </c>
      <c r="C4070" s="15"/>
      <c r="D4070" s="16" t="s">
        <v>64</v>
      </c>
      <c r="E4070" s="17" t="s">
        <v>47</v>
      </c>
      <c r="F4070" s="18" t="s">
        <v>34</v>
      </c>
      <c r="G4070" s="19"/>
      <c r="H4070" s="17" t="s">
        <v>35</v>
      </c>
      <c r="I4070" s="17" t="s">
        <v>44</v>
      </c>
      <c r="J4070" s="17"/>
      <c r="K4070" s="17" t="e">
        <f aca="false">VLOOKUP(J4070,Sheet2!A:B,2,0)</f>
        <v>#N/A</v>
      </c>
      <c r="L4070" s="17" t="n">
        <v>5</v>
      </c>
      <c r="M4070" s="17" t="str">
        <f aca="false">VLOOKUP(L4070,Sheet2!D:E,2,0)</f>
        <v>Main Processor CPU BGA</v>
      </c>
      <c r="N4070" s="17" t="n">
        <v>1</v>
      </c>
      <c r="O4070" s="17" t="str">
        <f aca="false">VLOOKUP(N4070,Sheet2!G:H,2,0)</f>
        <v>Dead</v>
      </c>
      <c r="P4070" s="17" t="n">
        <v>11</v>
      </c>
      <c r="Q4070" s="17" t="str">
        <f aca="false">VLOOKUP(P4070,Sheet2!J:K,2,0)</f>
        <v>IR Declared due to CID -TA</v>
      </c>
      <c r="R4070" s="17" t="s">
        <v>35</v>
      </c>
      <c r="S4070" s="17" t="str">
        <f aca="false">VLOOKUP(R4070,Sheet2!N:O,2,0)</f>
        <v>IREPARABLE</v>
      </c>
      <c r="T4070" s="18" t="str">
        <f aca="false">VLOOKUP(P4070,Sheet2!Q:R,2,0)</f>
        <v>IR Normal - Track burn out</v>
      </c>
      <c r="U4070" s="20" t="s">
        <v>41</v>
      </c>
      <c r="V4070" s="17"/>
      <c r="W4070" s="20" t="e">
        <f aca="false">VLOOKUP(V4070,Sheet2!Q:R,2,0)</f>
        <v>#N/A</v>
      </c>
      <c r="X4070" s="17" t="n">
        <f aca="false">J4070</f>
        <v>0</v>
      </c>
      <c r="Y4070" s="17" t="e">
        <f aca="false">VLOOKUP(X4070,Sheet2!A:B,2,0)</f>
        <v>#N/A</v>
      </c>
      <c r="Z4070" s="17"/>
      <c r="AA4070" s="17"/>
      <c r="AC4070" s="23" t="str">
        <f aca="false">LEFT(G4070,2)</f>
        <v/>
      </c>
    </row>
    <row r="4071" customFormat="false" ht="15" hidden="false" customHeight="false" outlineLevel="0" collapsed="false">
      <c r="A4071" s="13" t="n">
        <f aca="false">1+A4070</f>
        <v>4069</v>
      </c>
      <c r="B4071" s="14" t="n">
        <v>100</v>
      </c>
      <c r="C4071" s="15"/>
      <c r="D4071" s="16" t="s">
        <v>64</v>
      </c>
      <c r="E4071" s="17" t="s">
        <v>47</v>
      </c>
      <c r="F4071" s="18" t="s">
        <v>34</v>
      </c>
      <c r="G4071" s="19"/>
      <c r="H4071" s="17" t="s">
        <v>35</v>
      </c>
      <c r="I4071" s="17" t="s">
        <v>44</v>
      </c>
      <c r="J4071" s="17"/>
      <c r="K4071" s="17" t="e">
        <f aca="false">VLOOKUP(J4071,Sheet2!A:B,2,0)</f>
        <v>#N/A</v>
      </c>
      <c r="L4071" s="17" t="n">
        <v>5</v>
      </c>
      <c r="M4071" s="17" t="str">
        <f aca="false">VLOOKUP(L4071,Sheet2!D:E,2,0)</f>
        <v>Main Processor CPU BGA</v>
      </c>
      <c r="N4071" s="17" t="n">
        <v>1</v>
      </c>
      <c r="O4071" s="17" t="str">
        <f aca="false">VLOOKUP(N4071,Sheet2!G:H,2,0)</f>
        <v>Dead</v>
      </c>
      <c r="P4071" s="17" t="n">
        <v>11</v>
      </c>
      <c r="Q4071" s="17" t="str">
        <f aca="false">VLOOKUP(P4071,Sheet2!J:K,2,0)</f>
        <v>IR Declared due to CID -TA</v>
      </c>
      <c r="R4071" s="17" t="s">
        <v>35</v>
      </c>
      <c r="S4071" s="17" t="str">
        <f aca="false">VLOOKUP(R4071,Sheet2!N:O,2,0)</f>
        <v>IREPARABLE</v>
      </c>
      <c r="T4071" s="18" t="str">
        <f aca="false">VLOOKUP(P4071,Sheet2!Q:R,2,0)</f>
        <v>IR Normal - Track burn out</v>
      </c>
      <c r="U4071" s="20" t="s">
        <v>41</v>
      </c>
      <c r="V4071" s="17"/>
      <c r="W4071" s="20" t="e">
        <f aca="false">VLOOKUP(V4071,Sheet2!Q:R,2,0)</f>
        <v>#N/A</v>
      </c>
      <c r="X4071" s="17" t="n">
        <f aca="false">J4071</f>
        <v>0</v>
      </c>
      <c r="Y4071" s="17" t="e">
        <f aca="false">VLOOKUP(X4071,Sheet2!A:B,2,0)</f>
        <v>#N/A</v>
      </c>
      <c r="Z4071" s="17"/>
      <c r="AA4071" s="17"/>
      <c r="AC4071" s="23" t="str">
        <f aca="false">LEFT(G4071,2)</f>
        <v/>
      </c>
    </row>
    <row r="4072" customFormat="false" ht="15" hidden="false" customHeight="false" outlineLevel="0" collapsed="false">
      <c r="A4072" s="13" t="n">
        <f aca="false">1+A4071</f>
        <v>4070</v>
      </c>
      <c r="B4072" s="14" t="n">
        <v>100</v>
      </c>
      <c r="C4072" s="15"/>
      <c r="D4072" s="16" t="s">
        <v>64</v>
      </c>
      <c r="E4072" s="17" t="s">
        <v>47</v>
      </c>
      <c r="F4072" s="18" t="s">
        <v>34</v>
      </c>
      <c r="G4072" s="19"/>
      <c r="H4072" s="17" t="s">
        <v>35</v>
      </c>
      <c r="I4072" s="17" t="s">
        <v>44</v>
      </c>
      <c r="J4072" s="17"/>
      <c r="K4072" s="17" t="e">
        <f aca="false">VLOOKUP(J4072,Sheet2!A:B,2,0)</f>
        <v>#N/A</v>
      </c>
      <c r="L4072" s="17" t="n">
        <v>5</v>
      </c>
      <c r="M4072" s="17" t="str">
        <f aca="false">VLOOKUP(L4072,Sheet2!D:E,2,0)</f>
        <v>Main Processor CPU BGA</v>
      </c>
      <c r="N4072" s="17" t="n">
        <v>1</v>
      </c>
      <c r="O4072" s="17" t="str">
        <f aca="false">VLOOKUP(N4072,Sheet2!G:H,2,0)</f>
        <v>Dead</v>
      </c>
      <c r="P4072" s="17" t="n">
        <v>11</v>
      </c>
      <c r="Q4072" s="17" t="str">
        <f aca="false">VLOOKUP(P4072,Sheet2!J:K,2,0)</f>
        <v>IR Declared due to CID -TA</v>
      </c>
      <c r="R4072" s="17" t="s">
        <v>35</v>
      </c>
      <c r="S4072" s="17" t="str">
        <f aca="false">VLOOKUP(R4072,Sheet2!N:O,2,0)</f>
        <v>IREPARABLE</v>
      </c>
      <c r="T4072" s="18" t="str">
        <f aca="false">VLOOKUP(P4072,Sheet2!Q:R,2,0)</f>
        <v>IR Normal - Track burn out</v>
      </c>
      <c r="U4072" s="20" t="s">
        <v>41</v>
      </c>
      <c r="V4072" s="17"/>
      <c r="W4072" s="20" t="e">
        <f aca="false">VLOOKUP(V4072,Sheet2!Q:R,2,0)</f>
        <v>#N/A</v>
      </c>
      <c r="X4072" s="17" t="n">
        <f aca="false">J4072</f>
        <v>0</v>
      </c>
      <c r="Y4072" s="17" t="e">
        <f aca="false">VLOOKUP(X4072,Sheet2!A:B,2,0)</f>
        <v>#N/A</v>
      </c>
      <c r="Z4072" s="17"/>
      <c r="AA4072" s="17"/>
      <c r="AC4072" s="23" t="str">
        <f aca="false">LEFT(G4072,2)</f>
        <v/>
      </c>
    </row>
    <row r="4073" customFormat="false" ht="15" hidden="false" customHeight="false" outlineLevel="0" collapsed="false">
      <c r="A4073" s="13" t="n">
        <f aca="false">1+A4072</f>
        <v>4071</v>
      </c>
      <c r="B4073" s="14" t="n">
        <v>100</v>
      </c>
      <c r="C4073" s="15"/>
      <c r="D4073" s="16" t="s">
        <v>64</v>
      </c>
      <c r="E4073" s="17" t="s">
        <v>47</v>
      </c>
      <c r="F4073" s="18" t="s">
        <v>34</v>
      </c>
      <c r="G4073" s="19"/>
      <c r="H4073" s="17" t="s">
        <v>35</v>
      </c>
      <c r="I4073" s="17" t="s">
        <v>44</v>
      </c>
      <c r="J4073" s="17"/>
      <c r="K4073" s="17" t="e">
        <f aca="false">VLOOKUP(J4073,Sheet2!A:B,2,0)</f>
        <v>#N/A</v>
      </c>
      <c r="L4073" s="17" t="n">
        <v>5</v>
      </c>
      <c r="M4073" s="17" t="str">
        <f aca="false">VLOOKUP(L4073,Sheet2!D:E,2,0)</f>
        <v>Main Processor CPU BGA</v>
      </c>
      <c r="N4073" s="17" t="n">
        <v>1</v>
      </c>
      <c r="O4073" s="17" t="str">
        <f aca="false">VLOOKUP(N4073,Sheet2!G:H,2,0)</f>
        <v>Dead</v>
      </c>
      <c r="P4073" s="17" t="n">
        <v>11</v>
      </c>
      <c r="Q4073" s="17" t="str">
        <f aca="false">VLOOKUP(P4073,Sheet2!J:K,2,0)</f>
        <v>IR Declared due to CID -TA</v>
      </c>
      <c r="R4073" s="17" t="s">
        <v>35</v>
      </c>
      <c r="S4073" s="17" t="str">
        <f aca="false">VLOOKUP(R4073,Sheet2!N:O,2,0)</f>
        <v>IREPARABLE</v>
      </c>
      <c r="T4073" s="18" t="str">
        <f aca="false">VLOOKUP(P4073,Sheet2!Q:R,2,0)</f>
        <v>IR Normal - Track burn out</v>
      </c>
      <c r="U4073" s="20" t="s">
        <v>41</v>
      </c>
      <c r="V4073" s="17"/>
      <c r="W4073" s="20" t="e">
        <f aca="false">VLOOKUP(V4073,Sheet2!Q:R,2,0)</f>
        <v>#N/A</v>
      </c>
      <c r="X4073" s="17" t="n">
        <f aca="false">J4073</f>
        <v>0</v>
      </c>
      <c r="Y4073" s="17" t="e">
        <f aca="false">VLOOKUP(X4073,Sheet2!A:B,2,0)</f>
        <v>#N/A</v>
      </c>
      <c r="Z4073" s="17"/>
      <c r="AA4073" s="17"/>
      <c r="AC4073" s="23" t="str">
        <f aca="false">LEFT(G4073,2)</f>
        <v/>
      </c>
    </row>
    <row r="4074" customFormat="false" ht="15" hidden="false" customHeight="false" outlineLevel="0" collapsed="false">
      <c r="A4074" s="13" t="n">
        <f aca="false">1+A4073</f>
        <v>4072</v>
      </c>
      <c r="B4074" s="14" t="n">
        <v>100</v>
      </c>
      <c r="C4074" s="15"/>
      <c r="D4074" s="16" t="s">
        <v>64</v>
      </c>
      <c r="E4074" s="17" t="s">
        <v>47</v>
      </c>
      <c r="F4074" s="18" t="s">
        <v>34</v>
      </c>
      <c r="G4074" s="19"/>
      <c r="H4074" s="17" t="s">
        <v>35</v>
      </c>
      <c r="I4074" s="17" t="s">
        <v>44</v>
      </c>
      <c r="J4074" s="17"/>
      <c r="K4074" s="17" t="e">
        <f aca="false">VLOOKUP(J4074,Sheet2!A:B,2,0)</f>
        <v>#N/A</v>
      </c>
      <c r="L4074" s="17" t="n">
        <v>5</v>
      </c>
      <c r="M4074" s="17" t="str">
        <f aca="false">VLOOKUP(L4074,Sheet2!D:E,2,0)</f>
        <v>Main Processor CPU BGA</v>
      </c>
      <c r="N4074" s="17" t="n">
        <v>1</v>
      </c>
      <c r="O4074" s="17" t="str">
        <f aca="false">VLOOKUP(N4074,Sheet2!G:H,2,0)</f>
        <v>Dead</v>
      </c>
      <c r="P4074" s="17" t="n">
        <v>11</v>
      </c>
      <c r="Q4074" s="17" t="str">
        <f aca="false">VLOOKUP(P4074,Sheet2!J:K,2,0)</f>
        <v>IR Declared due to CID -TA</v>
      </c>
      <c r="R4074" s="17" t="s">
        <v>35</v>
      </c>
      <c r="S4074" s="17" t="str">
        <f aca="false">VLOOKUP(R4074,Sheet2!N:O,2,0)</f>
        <v>IREPARABLE</v>
      </c>
      <c r="T4074" s="18" t="str">
        <f aca="false">VLOOKUP(P4074,Sheet2!Q:R,2,0)</f>
        <v>IR Normal - Track burn out</v>
      </c>
      <c r="U4074" s="20" t="s">
        <v>41</v>
      </c>
      <c r="V4074" s="17"/>
      <c r="W4074" s="20" t="e">
        <f aca="false">VLOOKUP(V4074,Sheet2!Q:R,2,0)</f>
        <v>#N/A</v>
      </c>
      <c r="X4074" s="17" t="n">
        <f aca="false">J4074</f>
        <v>0</v>
      </c>
      <c r="Y4074" s="17" t="e">
        <f aca="false">VLOOKUP(X4074,Sheet2!A:B,2,0)</f>
        <v>#N/A</v>
      </c>
      <c r="Z4074" s="17"/>
      <c r="AA4074" s="17"/>
      <c r="AC4074" s="23" t="str">
        <f aca="false">LEFT(G4074,2)</f>
        <v/>
      </c>
    </row>
    <row r="4075" customFormat="false" ht="15" hidden="false" customHeight="false" outlineLevel="0" collapsed="false">
      <c r="A4075" s="13" t="n">
        <f aca="false">1+A4074</f>
        <v>4073</v>
      </c>
      <c r="B4075" s="14" t="n">
        <v>100</v>
      </c>
      <c r="C4075" s="15"/>
      <c r="D4075" s="16" t="s">
        <v>64</v>
      </c>
      <c r="E4075" s="17" t="s">
        <v>47</v>
      </c>
      <c r="F4075" s="18" t="s">
        <v>34</v>
      </c>
      <c r="G4075" s="19"/>
      <c r="H4075" s="17" t="s">
        <v>35</v>
      </c>
      <c r="I4075" s="17" t="s">
        <v>44</v>
      </c>
      <c r="J4075" s="17"/>
      <c r="K4075" s="17" t="e">
        <f aca="false">VLOOKUP(J4075,Sheet2!A:B,2,0)</f>
        <v>#N/A</v>
      </c>
      <c r="L4075" s="17" t="n">
        <v>5</v>
      </c>
      <c r="M4075" s="17" t="str">
        <f aca="false">VLOOKUP(L4075,Sheet2!D:E,2,0)</f>
        <v>Main Processor CPU BGA</v>
      </c>
      <c r="N4075" s="17" t="n">
        <v>1</v>
      </c>
      <c r="O4075" s="17" t="str">
        <f aca="false">VLOOKUP(N4075,Sheet2!G:H,2,0)</f>
        <v>Dead</v>
      </c>
      <c r="P4075" s="17" t="n">
        <v>11</v>
      </c>
      <c r="Q4075" s="17" t="str">
        <f aca="false">VLOOKUP(P4075,Sheet2!J:K,2,0)</f>
        <v>IR Declared due to CID -TA</v>
      </c>
      <c r="R4075" s="17" t="s">
        <v>35</v>
      </c>
      <c r="S4075" s="17" t="str">
        <f aca="false">VLOOKUP(R4075,Sheet2!N:O,2,0)</f>
        <v>IREPARABLE</v>
      </c>
      <c r="T4075" s="18" t="str">
        <f aca="false">VLOOKUP(P4075,Sheet2!Q:R,2,0)</f>
        <v>IR Normal - Track burn out</v>
      </c>
      <c r="U4075" s="20" t="s">
        <v>41</v>
      </c>
      <c r="V4075" s="17"/>
      <c r="W4075" s="20" t="e">
        <f aca="false">VLOOKUP(V4075,Sheet2!Q:R,2,0)</f>
        <v>#N/A</v>
      </c>
      <c r="X4075" s="17" t="n">
        <f aca="false">J4075</f>
        <v>0</v>
      </c>
      <c r="Y4075" s="17" t="e">
        <f aca="false">VLOOKUP(X4075,Sheet2!A:B,2,0)</f>
        <v>#N/A</v>
      </c>
      <c r="Z4075" s="17"/>
      <c r="AA4075" s="17"/>
      <c r="AC4075" s="23" t="str">
        <f aca="false">LEFT(G4075,2)</f>
        <v/>
      </c>
    </row>
    <row r="4076" customFormat="false" ht="15" hidden="false" customHeight="false" outlineLevel="0" collapsed="false">
      <c r="A4076" s="13" t="n">
        <f aca="false">1+A4075</f>
        <v>4074</v>
      </c>
      <c r="B4076" s="14" t="n">
        <v>100</v>
      </c>
      <c r="C4076" s="15"/>
      <c r="D4076" s="16" t="s">
        <v>64</v>
      </c>
      <c r="E4076" s="17" t="s">
        <v>47</v>
      </c>
      <c r="F4076" s="18" t="s">
        <v>34</v>
      </c>
      <c r="G4076" s="19"/>
      <c r="H4076" s="17" t="s">
        <v>35</v>
      </c>
      <c r="I4076" s="17" t="s">
        <v>44</v>
      </c>
      <c r="J4076" s="17"/>
      <c r="K4076" s="17" t="e">
        <f aca="false">VLOOKUP(J4076,Sheet2!A:B,2,0)</f>
        <v>#N/A</v>
      </c>
      <c r="L4076" s="17" t="n">
        <v>5</v>
      </c>
      <c r="M4076" s="17" t="str">
        <f aca="false">VLOOKUP(L4076,Sheet2!D:E,2,0)</f>
        <v>Main Processor CPU BGA</v>
      </c>
      <c r="N4076" s="17" t="n">
        <v>1</v>
      </c>
      <c r="O4076" s="17" t="str">
        <f aca="false">VLOOKUP(N4076,Sheet2!G:H,2,0)</f>
        <v>Dead</v>
      </c>
      <c r="P4076" s="17" t="n">
        <v>11</v>
      </c>
      <c r="Q4076" s="17" t="str">
        <f aca="false">VLOOKUP(P4076,Sheet2!J:K,2,0)</f>
        <v>IR Declared due to CID -TA</v>
      </c>
      <c r="R4076" s="17" t="s">
        <v>35</v>
      </c>
      <c r="S4076" s="17" t="str">
        <f aca="false">VLOOKUP(R4076,Sheet2!N:O,2,0)</f>
        <v>IREPARABLE</v>
      </c>
      <c r="T4076" s="18" t="str">
        <f aca="false">VLOOKUP(P4076,Sheet2!Q:R,2,0)</f>
        <v>IR Normal - Track burn out</v>
      </c>
      <c r="U4076" s="20" t="s">
        <v>41</v>
      </c>
      <c r="V4076" s="17"/>
      <c r="W4076" s="20" t="e">
        <f aca="false">VLOOKUP(V4076,Sheet2!Q:R,2,0)</f>
        <v>#N/A</v>
      </c>
      <c r="X4076" s="17" t="n">
        <f aca="false">J4076</f>
        <v>0</v>
      </c>
      <c r="Y4076" s="17" t="e">
        <f aca="false">VLOOKUP(X4076,Sheet2!A:B,2,0)</f>
        <v>#N/A</v>
      </c>
      <c r="Z4076" s="17"/>
      <c r="AA4076" s="17"/>
      <c r="AC4076" s="23" t="str">
        <f aca="false">LEFT(G4076,2)</f>
        <v/>
      </c>
    </row>
    <row r="4077" customFormat="false" ht="15" hidden="false" customHeight="false" outlineLevel="0" collapsed="false">
      <c r="A4077" s="13" t="n">
        <f aca="false">1+A4076</f>
        <v>4075</v>
      </c>
      <c r="B4077" s="14" t="n">
        <v>100</v>
      </c>
      <c r="C4077" s="15"/>
      <c r="D4077" s="16" t="s">
        <v>64</v>
      </c>
      <c r="E4077" s="17" t="s">
        <v>47</v>
      </c>
      <c r="F4077" s="18" t="s">
        <v>34</v>
      </c>
      <c r="G4077" s="19"/>
      <c r="H4077" s="17" t="s">
        <v>35</v>
      </c>
      <c r="I4077" s="17" t="s">
        <v>44</v>
      </c>
      <c r="J4077" s="17"/>
      <c r="K4077" s="17" t="e">
        <f aca="false">VLOOKUP(J4077,Sheet2!A:B,2,0)</f>
        <v>#N/A</v>
      </c>
      <c r="L4077" s="17" t="n">
        <v>5</v>
      </c>
      <c r="M4077" s="17" t="str">
        <f aca="false">VLOOKUP(L4077,Sheet2!D:E,2,0)</f>
        <v>Main Processor CPU BGA</v>
      </c>
      <c r="N4077" s="17" t="n">
        <v>1</v>
      </c>
      <c r="O4077" s="17" t="str">
        <f aca="false">VLOOKUP(N4077,Sheet2!G:H,2,0)</f>
        <v>Dead</v>
      </c>
      <c r="P4077" s="17" t="n">
        <v>11</v>
      </c>
      <c r="Q4077" s="17" t="str">
        <f aca="false">VLOOKUP(P4077,Sheet2!J:K,2,0)</f>
        <v>IR Declared due to CID -TA</v>
      </c>
      <c r="R4077" s="17" t="s">
        <v>35</v>
      </c>
      <c r="S4077" s="17" t="str">
        <f aca="false">VLOOKUP(R4077,Sheet2!N:O,2,0)</f>
        <v>IREPARABLE</v>
      </c>
      <c r="T4077" s="18" t="str">
        <f aca="false">VLOOKUP(P4077,Sheet2!Q:R,2,0)</f>
        <v>IR Normal - Track burn out</v>
      </c>
      <c r="U4077" s="20" t="s">
        <v>41</v>
      </c>
      <c r="V4077" s="17"/>
      <c r="W4077" s="20" t="e">
        <f aca="false">VLOOKUP(V4077,Sheet2!Q:R,2,0)</f>
        <v>#N/A</v>
      </c>
      <c r="X4077" s="17" t="n">
        <f aca="false">J4077</f>
        <v>0</v>
      </c>
      <c r="Y4077" s="17" t="e">
        <f aca="false">VLOOKUP(X4077,Sheet2!A:B,2,0)</f>
        <v>#N/A</v>
      </c>
      <c r="Z4077" s="17"/>
      <c r="AA4077" s="17"/>
      <c r="AC4077" s="23" t="str">
        <f aca="false">LEFT(G4077,2)</f>
        <v/>
      </c>
    </row>
    <row r="4078" customFormat="false" ht="15" hidden="false" customHeight="false" outlineLevel="0" collapsed="false">
      <c r="A4078" s="13" t="n">
        <f aca="false">1+A4077</f>
        <v>4076</v>
      </c>
      <c r="B4078" s="14" t="n">
        <v>100</v>
      </c>
      <c r="C4078" s="15"/>
      <c r="D4078" s="16" t="s">
        <v>64</v>
      </c>
      <c r="E4078" s="17" t="s">
        <v>47</v>
      </c>
      <c r="F4078" s="18" t="s">
        <v>34</v>
      </c>
      <c r="G4078" s="19"/>
      <c r="H4078" s="17" t="s">
        <v>35</v>
      </c>
      <c r="I4078" s="17" t="s">
        <v>44</v>
      </c>
      <c r="J4078" s="17"/>
      <c r="K4078" s="17" t="e">
        <f aca="false">VLOOKUP(J4078,Sheet2!A:B,2,0)</f>
        <v>#N/A</v>
      </c>
      <c r="L4078" s="17" t="n">
        <v>5</v>
      </c>
      <c r="M4078" s="17" t="str">
        <f aca="false">VLOOKUP(L4078,Sheet2!D:E,2,0)</f>
        <v>Main Processor CPU BGA</v>
      </c>
      <c r="N4078" s="17" t="n">
        <v>1</v>
      </c>
      <c r="O4078" s="17" t="str">
        <f aca="false">VLOOKUP(N4078,Sheet2!G:H,2,0)</f>
        <v>Dead</v>
      </c>
      <c r="P4078" s="17" t="n">
        <v>11</v>
      </c>
      <c r="Q4078" s="17" t="str">
        <f aca="false">VLOOKUP(P4078,Sheet2!J:K,2,0)</f>
        <v>IR Declared due to CID -TA</v>
      </c>
      <c r="R4078" s="17" t="s">
        <v>35</v>
      </c>
      <c r="S4078" s="17" t="str">
        <f aca="false">VLOOKUP(R4078,Sheet2!N:O,2,0)</f>
        <v>IREPARABLE</v>
      </c>
      <c r="T4078" s="18" t="str">
        <f aca="false">VLOOKUP(P4078,Sheet2!Q:R,2,0)</f>
        <v>IR Normal - Track burn out</v>
      </c>
      <c r="U4078" s="20" t="s">
        <v>41</v>
      </c>
      <c r="V4078" s="17"/>
      <c r="W4078" s="20" t="e">
        <f aca="false">VLOOKUP(V4078,Sheet2!Q:R,2,0)</f>
        <v>#N/A</v>
      </c>
      <c r="X4078" s="17" t="n">
        <f aca="false">J4078</f>
        <v>0</v>
      </c>
      <c r="Y4078" s="17" t="e">
        <f aca="false">VLOOKUP(X4078,Sheet2!A:B,2,0)</f>
        <v>#N/A</v>
      </c>
      <c r="Z4078" s="17"/>
      <c r="AA4078" s="17"/>
      <c r="AC4078" s="23" t="str">
        <f aca="false">LEFT(G4078,2)</f>
        <v/>
      </c>
    </row>
    <row r="4079" customFormat="false" ht="15" hidden="false" customHeight="false" outlineLevel="0" collapsed="false">
      <c r="A4079" s="13" t="n">
        <f aca="false">1+A4078</f>
        <v>4077</v>
      </c>
      <c r="B4079" s="14" t="n">
        <v>100</v>
      </c>
      <c r="C4079" s="15"/>
      <c r="D4079" s="16" t="s">
        <v>64</v>
      </c>
      <c r="E4079" s="17" t="s">
        <v>47</v>
      </c>
      <c r="F4079" s="18" t="s">
        <v>34</v>
      </c>
      <c r="G4079" s="19"/>
      <c r="H4079" s="17" t="s">
        <v>35</v>
      </c>
      <c r="I4079" s="17" t="s">
        <v>44</v>
      </c>
      <c r="J4079" s="17"/>
      <c r="K4079" s="17" t="e">
        <f aca="false">VLOOKUP(J4079,Sheet2!A:B,2,0)</f>
        <v>#N/A</v>
      </c>
      <c r="L4079" s="17" t="n">
        <v>5</v>
      </c>
      <c r="M4079" s="17" t="str">
        <f aca="false">VLOOKUP(L4079,Sheet2!D:E,2,0)</f>
        <v>Main Processor CPU BGA</v>
      </c>
      <c r="N4079" s="17" t="n">
        <v>1</v>
      </c>
      <c r="O4079" s="17" t="str">
        <f aca="false">VLOOKUP(N4079,Sheet2!G:H,2,0)</f>
        <v>Dead</v>
      </c>
      <c r="P4079" s="17" t="n">
        <v>11</v>
      </c>
      <c r="Q4079" s="17" t="str">
        <f aca="false">VLOOKUP(P4079,Sheet2!J:K,2,0)</f>
        <v>IR Declared due to CID -TA</v>
      </c>
      <c r="R4079" s="17" t="s">
        <v>35</v>
      </c>
      <c r="S4079" s="17" t="str">
        <f aca="false">VLOOKUP(R4079,Sheet2!N:O,2,0)</f>
        <v>IREPARABLE</v>
      </c>
      <c r="T4079" s="18" t="str">
        <f aca="false">VLOOKUP(P4079,Sheet2!Q:R,2,0)</f>
        <v>IR Normal - Track burn out</v>
      </c>
      <c r="U4079" s="20" t="s">
        <v>41</v>
      </c>
      <c r="V4079" s="17"/>
      <c r="W4079" s="20" t="e">
        <f aca="false">VLOOKUP(V4079,Sheet2!Q:R,2,0)</f>
        <v>#N/A</v>
      </c>
      <c r="X4079" s="17" t="n">
        <f aca="false">J4079</f>
        <v>0</v>
      </c>
      <c r="Y4079" s="17" t="e">
        <f aca="false">VLOOKUP(X4079,Sheet2!A:B,2,0)</f>
        <v>#N/A</v>
      </c>
      <c r="Z4079" s="17"/>
      <c r="AA4079" s="17"/>
      <c r="AC4079" s="23" t="str">
        <f aca="false">LEFT(G4079,2)</f>
        <v/>
      </c>
    </row>
    <row r="4080" customFormat="false" ht="15" hidden="false" customHeight="false" outlineLevel="0" collapsed="false">
      <c r="A4080" s="13" t="n">
        <f aca="false">1+A4079</f>
        <v>4078</v>
      </c>
      <c r="B4080" s="14" t="n">
        <v>100</v>
      </c>
      <c r="C4080" s="15"/>
      <c r="D4080" s="16" t="s">
        <v>64</v>
      </c>
      <c r="E4080" s="17" t="s">
        <v>47</v>
      </c>
      <c r="F4080" s="18" t="s">
        <v>34</v>
      </c>
      <c r="G4080" s="19"/>
      <c r="H4080" s="17" t="s">
        <v>35</v>
      </c>
      <c r="I4080" s="17" t="s">
        <v>44</v>
      </c>
      <c r="J4080" s="17"/>
      <c r="K4080" s="17" t="e">
        <f aca="false">VLOOKUP(J4080,Sheet2!A:B,2,0)</f>
        <v>#N/A</v>
      </c>
      <c r="L4080" s="17" t="n">
        <v>5</v>
      </c>
      <c r="M4080" s="17" t="str">
        <f aca="false">VLOOKUP(L4080,Sheet2!D:E,2,0)</f>
        <v>Main Processor CPU BGA</v>
      </c>
      <c r="N4080" s="17" t="n">
        <v>1</v>
      </c>
      <c r="O4080" s="17" t="str">
        <f aca="false">VLOOKUP(N4080,Sheet2!G:H,2,0)</f>
        <v>Dead</v>
      </c>
      <c r="P4080" s="17" t="n">
        <v>11</v>
      </c>
      <c r="Q4080" s="17" t="str">
        <f aca="false">VLOOKUP(P4080,Sheet2!J:K,2,0)</f>
        <v>IR Declared due to CID -TA</v>
      </c>
      <c r="R4080" s="17" t="s">
        <v>35</v>
      </c>
      <c r="S4080" s="17" t="str">
        <f aca="false">VLOOKUP(R4080,Sheet2!N:O,2,0)</f>
        <v>IREPARABLE</v>
      </c>
      <c r="T4080" s="18" t="str">
        <f aca="false">VLOOKUP(P4080,Sheet2!Q:R,2,0)</f>
        <v>IR Normal - Track burn out</v>
      </c>
      <c r="U4080" s="20" t="s">
        <v>41</v>
      </c>
      <c r="V4080" s="17"/>
      <c r="W4080" s="20" t="e">
        <f aca="false">VLOOKUP(V4080,Sheet2!Q:R,2,0)</f>
        <v>#N/A</v>
      </c>
      <c r="X4080" s="17" t="n">
        <f aca="false">J4080</f>
        <v>0</v>
      </c>
      <c r="Y4080" s="17" t="e">
        <f aca="false">VLOOKUP(X4080,Sheet2!A:B,2,0)</f>
        <v>#N/A</v>
      </c>
      <c r="Z4080" s="17"/>
      <c r="AA4080" s="17"/>
      <c r="AC4080" s="23" t="str">
        <f aca="false">LEFT(G4080,2)</f>
        <v/>
      </c>
    </row>
    <row r="4081" customFormat="false" ht="15" hidden="false" customHeight="false" outlineLevel="0" collapsed="false">
      <c r="A4081" s="13" t="n">
        <f aca="false">1+A4080</f>
        <v>4079</v>
      </c>
      <c r="B4081" s="14" t="n">
        <v>100</v>
      </c>
      <c r="C4081" s="15"/>
      <c r="D4081" s="16" t="s">
        <v>64</v>
      </c>
      <c r="E4081" s="17" t="s">
        <v>47</v>
      </c>
      <c r="F4081" s="18" t="s">
        <v>34</v>
      </c>
      <c r="G4081" s="19"/>
      <c r="H4081" s="17" t="s">
        <v>35</v>
      </c>
      <c r="I4081" s="17" t="s">
        <v>44</v>
      </c>
      <c r="J4081" s="17"/>
      <c r="K4081" s="17" t="e">
        <f aca="false">VLOOKUP(J4081,Sheet2!A:B,2,0)</f>
        <v>#N/A</v>
      </c>
      <c r="L4081" s="17" t="n">
        <v>5</v>
      </c>
      <c r="M4081" s="17" t="str">
        <f aca="false">VLOOKUP(L4081,Sheet2!D:E,2,0)</f>
        <v>Main Processor CPU BGA</v>
      </c>
      <c r="N4081" s="17" t="n">
        <v>1</v>
      </c>
      <c r="O4081" s="17" t="str">
        <f aca="false">VLOOKUP(N4081,Sheet2!G:H,2,0)</f>
        <v>Dead</v>
      </c>
      <c r="P4081" s="17" t="n">
        <v>11</v>
      </c>
      <c r="Q4081" s="17" t="str">
        <f aca="false">VLOOKUP(P4081,Sheet2!J:K,2,0)</f>
        <v>IR Declared due to CID -TA</v>
      </c>
      <c r="R4081" s="17" t="s">
        <v>35</v>
      </c>
      <c r="S4081" s="17" t="str">
        <f aca="false">VLOOKUP(R4081,Sheet2!N:O,2,0)</f>
        <v>IREPARABLE</v>
      </c>
      <c r="T4081" s="18" t="str">
        <f aca="false">VLOOKUP(P4081,Sheet2!Q:R,2,0)</f>
        <v>IR Normal - Track burn out</v>
      </c>
      <c r="U4081" s="20" t="s">
        <v>41</v>
      </c>
      <c r="V4081" s="17"/>
      <c r="W4081" s="20" t="e">
        <f aca="false">VLOOKUP(V4081,Sheet2!Q:R,2,0)</f>
        <v>#N/A</v>
      </c>
      <c r="X4081" s="17" t="n">
        <f aca="false">J4081</f>
        <v>0</v>
      </c>
      <c r="Y4081" s="17" t="e">
        <f aca="false">VLOOKUP(X4081,Sheet2!A:B,2,0)</f>
        <v>#N/A</v>
      </c>
      <c r="Z4081" s="17"/>
      <c r="AA4081" s="17"/>
      <c r="AC4081" s="23" t="str">
        <f aca="false">LEFT(G4081,2)</f>
        <v/>
      </c>
    </row>
    <row r="4082" customFormat="false" ht="15" hidden="false" customHeight="false" outlineLevel="0" collapsed="false">
      <c r="A4082" s="13" t="n">
        <f aca="false">1+A4081</f>
        <v>4080</v>
      </c>
      <c r="B4082" s="14" t="n">
        <v>100</v>
      </c>
      <c r="C4082" s="15"/>
      <c r="D4082" s="16" t="s">
        <v>64</v>
      </c>
      <c r="E4082" s="17" t="s">
        <v>47</v>
      </c>
      <c r="F4082" s="18" t="s">
        <v>34</v>
      </c>
      <c r="G4082" s="19"/>
      <c r="H4082" s="17" t="s">
        <v>35</v>
      </c>
      <c r="I4082" s="17" t="s">
        <v>44</v>
      </c>
      <c r="J4082" s="17"/>
      <c r="K4082" s="17" t="e">
        <f aca="false">VLOOKUP(J4082,Sheet2!A:B,2,0)</f>
        <v>#N/A</v>
      </c>
      <c r="L4082" s="17" t="n">
        <v>5</v>
      </c>
      <c r="M4082" s="17" t="str">
        <f aca="false">VLOOKUP(L4082,Sheet2!D:E,2,0)</f>
        <v>Main Processor CPU BGA</v>
      </c>
      <c r="N4082" s="17" t="n">
        <v>1</v>
      </c>
      <c r="O4082" s="17" t="str">
        <f aca="false">VLOOKUP(N4082,Sheet2!G:H,2,0)</f>
        <v>Dead</v>
      </c>
      <c r="P4082" s="17" t="n">
        <v>11</v>
      </c>
      <c r="Q4082" s="17" t="str">
        <f aca="false">VLOOKUP(P4082,Sheet2!J:K,2,0)</f>
        <v>IR Declared due to CID -TA</v>
      </c>
      <c r="R4082" s="17" t="s">
        <v>35</v>
      </c>
      <c r="S4082" s="17" t="str">
        <f aca="false">VLOOKUP(R4082,Sheet2!N:O,2,0)</f>
        <v>IREPARABLE</v>
      </c>
      <c r="T4082" s="18" t="str">
        <f aca="false">VLOOKUP(P4082,Sheet2!Q:R,2,0)</f>
        <v>IR Normal - Track burn out</v>
      </c>
      <c r="U4082" s="20" t="s">
        <v>41</v>
      </c>
      <c r="V4082" s="17"/>
      <c r="W4082" s="20" t="e">
        <f aca="false">VLOOKUP(V4082,Sheet2!Q:R,2,0)</f>
        <v>#N/A</v>
      </c>
      <c r="X4082" s="17" t="n">
        <f aca="false">J4082</f>
        <v>0</v>
      </c>
      <c r="Y4082" s="17" t="e">
        <f aca="false">VLOOKUP(X4082,Sheet2!A:B,2,0)</f>
        <v>#N/A</v>
      </c>
      <c r="Z4082" s="17"/>
      <c r="AA4082" s="17"/>
      <c r="AC4082" s="23" t="str">
        <f aca="false">LEFT(G4082,2)</f>
        <v/>
      </c>
    </row>
    <row r="4083" customFormat="false" ht="15" hidden="false" customHeight="false" outlineLevel="0" collapsed="false">
      <c r="A4083" s="13" t="n">
        <f aca="false">1+A4082</f>
        <v>4081</v>
      </c>
      <c r="B4083" s="14" t="n">
        <v>100</v>
      </c>
      <c r="C4083" s="15"/>
      <c r="D4083" s="16" t="s">
        <v>64</v>
      </c>
      <c r="E4083" s="17" t="s">
        <v>47</v>
      </c>
      <c r="F4083" s="18" t="s">
        <v>34</v>
      </c>
      <c r="G4083" s="19"/>
      <c r="H4083" s="17" t="s">
        <v>35</v>
      </c>
      <c r="I4083" s="17" t="s">
        <v>44</v>
      </c>
      <c r="J4083" s="17"/>
      <c r="K4083" s="17" t="e">
        <f aca="false">VLOOKUP(J4083,Sheet2!A:B,2,0)</f>
        <v>#N/A</v>
      </c>
      <c r="L4083" s="17" t="n">
        <v>5</v>
      </c>
      <c r="M4083" s="17" t="str">
        <f aca="false">VLOOKUP(L4083,Sheet2!D:E,2,0)</f>
        <v>Main Processor CPU BGA</v>
      </c>
      <c r="N4083" s="17" t="n">
        <v>1</v>
      </c>
      <c r="O4083" s="17" t="str">
        <f aca="false">VLOOKUP(N4083,Sheet2!G:H,2,0)</f>
        <v>Dead</v>
      </c>
      <c r="P4083" s="17" t="n">
        <v>11</v>
      </c>
      <c r="Q4083" s="17" t="str">
        <f aca="false">VLOOKUP(P4083,Sheet2!J:K,2,0)</f>
        <v>IR Declared due to CID -TA</v>
      </c>
      <c r="R4083" s="17" t="s">
        <v>35</v>
      </c>
      <c r="S4083" s="17" t="str">
        <f aca="false">VLOOKUP(R4083,Sheet2!N:O,2,0)</f>
        <v>IREPARABLE</v>
      </c>
      <c r="T4083" s="18" t="str">
        <f aca="false">VLOOKUP(P4083,Sheet2!Q:R,2,0)</f>
        <v>IR Normal - Track burn out</v>
      </c>
      <c r="U4083" s="20" t="s">
        <v>41</v>
      </c>
      <c r="V4083" s="17"/>
      <c r="W4083" s="20" t="e">
        <f aca="false">VLOOKUP(V4083,Sheet2!Q:R,2,0)</f>
        <v>#N/A</v>
      </c>
      <c r="X4083" s="17" t="n">
        <f aca="false">J4083</f>
        <v>0</v>
      </c>
      <c r="Y4083" s="17" t="e">
        <f aca="false">VLOOKUP(X4083,Sheet2!A:B,2,0)</f>
        <v>#N/A</v>
      </c>
      <c r="Z4083" s="17"/>
      <c r="AA4083" s="17"/>
      <c r="AC4083" s="23" t="str">
        <f aca="false">LEFT(G4083,2)</f>
        <v/>
      </c>
    </row>
    <row r="4084" customFormat="false" ht="15" hidden="false" customHeight="false" outlineLevel="0" collapsed="false">
      <c r="A4084" s="13" t="n">
        <f aca="false">1+A4083</f>
        <v>4082</v>
      </c>
      <c r="B4084" s="14" t="n">
        <v>100</v>
      </c>
      <c r="C4084" s="15"/>
      <c r="D4084" s="16" t="s">
        <v>64</v>
      </c>
      <c r="E4084" s="17" t="s">
        <v>47</v>
      </c>
      <c r="F4084" s="18" t="s">
        <v>34</v>
      </c>
      <c r="G4084" s="19"/>
      <c r="H4084" s="17" t="s">
        <v>35</v>
      </c>
      <c r="I4084" s="17" t="s">
        <v>44</v>
      </c>
      <c r="J4084" s="17"/>
      <c r="K4084" s="17" t="e">
        <f aca="false">VLOOKUP(J4084,Sheet2!A:B,2,0)</f>
        <v>#N/A</v>
      </c>
      <c r="L4084" s="17" t="n">
        <v>5</v>
      </c>
      <c r="M4084" s="17" t="str">
        <f aca="false">VLOOKUP(L4084,Sheet2!D:E,2,0)</f>
        <v>Main Processor CPU BGA</v>
      </c>
      <c r="N4084" s="17" t="n">
        <v>1</v>
      </c>
      <c r="O4084" s="17" t="str">
        <f aca="false">VLOOKUP(N4084,Sheet2!G:H,2,0)</f>
        <v>Dead</v>
      </c>
      <c r="P4084" s="17" t="n">
        <v>11</v>
      </c>
      <c r="Q4084" s="17" t="str">
        <f aca="false">VLOOKUP(P4084,Sheet2!J:K,2,0)</f>
        <v>IR Declared due to CID -TA</v>
      </c>
      <c r="R4084" s="17" t="s">
        <v>35</v>
      </c>
      <c r="S4084" s="17" t="str">
        <f aca="false">VLOOKUP(R4084,Sheet2!N:O,2,0)</f>
        <v>IREPARABLE</v>
      </c>
      <c r="T4084" s="18" t="str">
        <f aca="false">VLOOKUP(P4084,Sheet2!Q:R,2,0)</f>
        <v>IR Normal - Track burn out</v>
      </c>
      <c r="U4084" s="20" t="s">
        <v>41</v>
      </c>
      <c r="V4084" s="17"/>
      <c r="W4084" s="20" t="e">
        <f aca="false">VLOOKUP(V4084,Sheet2!Q:R,2,0)</f>
        <v>#N/A</v>
      </c>
      <c r="X4084" s="17" t="n">
        <f aca="false">J4084</f>
        <v>0</v>
      </c>
      <c r="Y4084" s="17" t="e">
        <f aca="false">VLOOKUP(X4084,Sheet2!A:B,2,0)</f>
        <v>#N/A</v>
      </c>
      <c r="Z4084" s="17"/>
      <c r="AA4084" s="17"/>
      <c r="AC4084" s="23" t="str">
        <f aca="false">LEFT(G4084,2)</f>
        <v/>
      </c>
    </row>
    <row r="4085" customFormat="false" ht="15" hidden="false" customHeight="false" outlineLevel="0" collapsed="false">
      <c r="A4085" s="13" t="n">
        <f aca="false">1+A4084</f>
        <v>4083</v>
      </c>
      <c r="B4085" s="14" t="n">
        <v>100</v>
      </c>
      <c r="C4085" s="15"/>
      <c r="D4085" s="16" t="s">
        <v>64</v>
      </c>
      <c r="E4085" s="17" t="s">
        <v>47</v>
      </c>
      <c r="F4085" s="18" t="s">
        <v>34</v>
      </c>
      <c r="G4085" s="19"/>
      <c r="H4085" s="17" t="s">
        <v>35</v>
      </c>
      <c r="I4085" s="17" t="s">
        <v>44</v>
      </c>
      <c r="J4085" s="17"/>
      <c r="K4085" s="17" t="e">
        <f aca="false">VLOOKUP(J4085,Sheet2!A:B,2,0)</f>
        <v>#N/A</v>
      </c>
      <c r="L4085" s="17" t="n">
        <v>5</v>
      </c>
      <c r="M4085" s="17" t="str">
        <f aca="false">VLOOKUP(L4085,Sheet2!D:E,2,0)</f>
        <v>Main Processor CPU BGA</v>
      </c>
      <c r="N4085" s="17" t="n">
        <v>1</v>
      </c>
      <c r="O4085" s="17" t="str">
        <f aca="false">VLOOKUP(N4085,Sheet2!G:H,2,0)</f>
        <v>Dead</v>
      </c>
      <c r="P4085" s="17" t="n">
        <v>11</v>
      </c>
      <c r="Q4085" s="17" t="str">
        <f aca="false">VLOOKUP(P4085,Sheet2!J:K,2,0)</f>
        <v>IR Declared due to CID -TA</v>
      </c>
      <c r="R4085" s="17" t="s">
        <v>35</v>
      </c>
      <c r="S4085" s="17" t="str">
        <f aca="false">VLOOKUP(R4085,Sheet2!N:O,2,0)</f>
        <v>IREPARABLE</v>
      </c>
      <c r="T4085" s="18" t="str">
        <f aca="false">VLOOKUP(P4085,Sheet2!Q:R,2,0)</f>
        <v>IR Normal - Track burn out</v>
      </c>
      <c r="U4085" s="20" t="s">
        <v>41</v>
      </c>
      <c r="V4085" s="17"/>
      <c r="W4085" s="20" t="e">
        <f aca="false">VLOOKUP(V4085,Sheet2!Q:R,2,0)</f>
        <v>#N/A</v>
      </c>
      <c r="X4085" s="17" t="n">
        <f aca="false">J4085</f>
        <v>0</v>
      </c>
      <c r="Y4085" s="17" t="e">
        <f aca="false">VLOOKUP(X4085,Sheet2!A:B,2,0)</f>
        <v>#N/A</v>
      </c>
      <c r="Z4085" s="17"/>
      <c r="AA4085" s="17"/>
      <c r="AC4085" s="23" t="str">
        <f aca="false">LEFT(G4085,2)</f>
        <v/>
      </c>
    </row>
    <row r="4086" customFormat="false" ht="15" hidden="false" customHeight="false" outlineLevel="0" collapsed="false">
      <c r="A4086" s="13" t="n">
        <f aca="false">1+A4085</f>
        <v>4084</v>
      </c>
      <c r="B4086" s="14" t="n">
        <v>100</v>
      </c>
      <c r="C4086" s="15"/>
      <c r="D4086" s="16" t="s">
        <v>64</v>
      </c>
      <c r="E4086" s="17" t="s">
        <v>47</v>
      </c>
      <c r="F4086" s="18" t="s">
        <v>34</v>
      </c>
      <c r="G4086" s="19"/>
      <c r="H4086" s="17" t="s">
        <v>35</v>
      </c>
      <c r="I4086" s="17" t="s">
        <v>44</v>
      </c>
      <c r="J4086" s="17"/>
      <c r="K4086" s="17" t="e">
        <f aca="false">VLOOKUP(J4086,Sheet2!A:B,2,0)</f>
        <v>#N/A</v>
      </c>
      <c r="L4086" s="17" t="n">
        <v>5</v>
      </c>
      <c r="M4086" s="17" t="str">
        <f aca="false">VLOOKUP(L4086,Sheet2!D:E,2,0)</f>
        <v>Main Processor CPU BGA</v>
      </c>
      <c r="N4086" s="17" t="n">
        <v>1</v>
      </c>
      <c r="O4086" s="17" t="str">
        <f aca="false">VLOOKUP(N4086,Sheet2!G:H,2,0)</f>
        <v>Dead</v>
      </c>
      <c r="P4086" s="17" t="n">
        <v>11</v>
      </c>
      <c r="Q4086" s="17" t="str">
        <f aca="false">VLOOKUP(P4086,Sheet2!J:K,2,0)</f>
        <v>IR Declared due to CID -TA</v>
      </c>
      <c r="R4086" s="17" t="s">
        <v>35</v>
      </c>
      <c r="S4086" s="17" t="str">
        <f aca="false">VLOOKUP(R4086,Sheet2!N:O,2,0)</f>
        <v>IREPARABLE</v>
      </c>
      <c r="T4086" s="18" t="str">
        <f aca="false">VLOOKUP(P4086,Sheet2!Q:R,2,0)</f>
        <v>IR Normal - Track burn out</v>
      </c>
      <c r="U4086" s="20" t="s">
        <v>41</v>
      </c>
      <c r="V4086" s="17"/>
      <c r="W4086" s="20" t="e">
        <f aca="false">VLOOKUP(V4086,Sheet2!Q:R,2,0)</f>
        <v>#N/A</v>
      </c>
      <c r="X4086" s="17" t="n">
        <f aca="false">J4086</f>
        <v>0</v>
      </c>
      <c r="Y4086" s="17" t="e">
        <f aca="false">VLOOKUP(X4086,Sheet2!A:B,2,0)</f>
        <v>#N/A</v>
      </c>
      <c r="Z4086" s="17"/>
      <c r="AA4086" s="17"/>
      <c r="AC4086" s="23" t="str">
        <f aca="false">LEFT(G4086,2)</f>
        <v/>
      </c>
    </row>
    <row r="4087" customFormat="false" ht="15" hidden="false" customHeight="false" outlineLevel="0" collapsed="false">
      <c r="A4087" s="13" t="n">
        <f aca="false">1+A4086</f>
        <v>4085</v>
      </c>
      <c r="B4087" s="14" t="n">
        <v>100</v>
      </c>
      <c r="C4087" s="15"/>
      <c r="D4087" s="16" t="s">
        <v>64</v>
      </c>
      <c r="E4087" s="17" t="s">
        <v>47</v>
      </c>
      <c r="F4087" s="18" t="s">
        <v>34</v>
      </c>
      <c r="G4087" s="19"/>
      <c r="H4087" s="17" t="s">
        <v>35</v>
      </c>
      <c r="I4087" s="17" t="s">
        <v>44</v>
      </c>
      <c r="J4087" s="17"/>
      <c r="K4087" s="17" t="e">
        <f aca="false">VLOOKUP(J4087,Sheet2!A:B,2,0)</f>
        <v>#N/A</v>
      </c>
      <c r="L4087" s="17" t="n">
        <v>5</v>
      </c>
      <c r="M4087" s="17" t="str">
        <f aca="false">VLOOKUP(L4087,Sheet2!D:E,2,0)</f>
        <v>Main Processor CPU BGA</v>
      </c>
      <c r="N4087" s="17" t="n">
        <v>1</v>
      </c>
      <c r="O4087" s="17" t="str">
        <f aca="false">VLOOKUP(N4087,Sheet2!G:H,2,0)</f>
        <v>Dead</v>
      </c>
      <c r="P4087" s="17" t="n">
        <v>11</v>
      </c>
      <c r="Q4087" s="17" t="str">
        <f aca="false">VLOOKUP(P4087,Sheet2!J:K,2,0)</f>
        <v>IR Declared due to CID -TA</v>
      </c>
      <c r="R4087" s="17" t="s">
        <v>35</v>
      </c>
      <c r="S4087" s="17" t="str">
        <f aca="false">VLOOKUP(R4087,Sheet2!N:O,2,0)</f>
        <v>IREPARABLE</v>
      </c>
      <c r="T4087" s="18" t="str">
        <f aca="false">VLOOKUP(P4087,Sheet2!Q:R,2,0)</f>
        <v>IR Normal - Track burn out</v>
      </c>
      <c r="U4087" s="20" t="s">
        <v>41</v>
      </c>
      <c r="V4087" s="17"/>
      <c r="W4087" s="20" t="e">
        <f aca="false">VLOOKUP(V4087,Sheet2!Q:R,2,0)</f>
        <v>#N/A</v>
      </c>
      <c r="X4087" s="17" t="n">
        <f aca="false">J4087</f>
        <v>0</v>
      </c>
      <c r="Y4087" s="17" t="e">
        <f aca="false">VLOOKUP(X4087,Sheet2!A:B,2,0)</f>
        <v>#N/A</v>
      </c>
      <c r="Z4087" s="17"/>
      <c r="AA4087" s="17"/>
      <c r="AC4087" s="23" t="str">
        <f aca="false">LEFT(G4087,2)</f>
        <v/>
      </c>
    </row>
    <row r="4088" customFormat="false" ht="15" hidden="false" customHeight="false" outlineLevel="0" collapsed="false">
      <c r="A4088" s="13" t="n">
        <f aca="false">1+A4087</f>
        <v>4086</v>
      </c>
      <c r="B4088" s="14" t="n">
        <v>100</v>
      </c>
      <c r="C4088" s="15"/>
      <c r="D4088" s="16" t="s">
        <v>64</v>
      </c>
      <c r="E4088" s="17" t="s">
        <v>47</v>
      </c>
      <c r="F4088" s="18" t="s">
        <v>34</v>
      </c>
      <c r="G4088" s="19"/>
      <c r="H4088" s="17" t="s">
        <v>35</v>
      </c>
      <c r="I4088" s="17" t="s">
        <v>44</v>
      </c>
      <c r="J4088" s="17"/>
      <c r="K4088" s="17" t="e">
        <f aca="false">VLOOKUP(J4088,Sheet2!A:B,2,0)</f>
        <v>#N/A</v>
      </c>
      <c r="L4088" s="17" t="n">
        <v>5</v>
      </c>
      <c r="M4088" s="17" t="str">
        <f aca="false">VLOOKUP(L4088,Sheet2!D:E,2,0)</f>
        <v>Main Processor CPU BGA</v>
      </c>
      <c r="N4088" s="17" t="n">
        <v>1</v>
      </c>
      <c r="O4088" s="17" t="str">
        <f aca="false">VLOOKUP(N4088,Sheet2!G:H,2,0)</f>
        <v>Dead</v>
      </c>
      <c r="P4088" s="17" t="n">
        <v>11</v>
      </c>
      <c r="Q4088" s="17" t="str">
        <f aca="false">VLOOKUP(P4088,Sheet2!J:K,2,0)</f>
        <v>IR Declared due to CID -TA</v>
      </c>
      <c r="R4088" s="17" t="s">
        <v>35</v>
      </c>
      <c r="S4088" s="17" t="str">
        <f aca="false">VLOOKUP(R4088,Sheet2!N:O,2,0)</f>
        <v>IREPARABLE</v>
      </c>
      <c r="T4088" s="18" t="str">
        <f aca="false">VLOOKUP(P4088,Sheet2!Q:R,2,0)</f>
        <v>IR Normal - Track burn out</v>
      </c>
      <c r="U4088" s="20" t="s">
        <v>41</v>
      </c>
      <c r="V4088" s="17"/>
      <c r="W4088" s="20" t="e">
        <f aca="false">VLOOKUP(V4088,Sheet2!Q:R,2,0)</f>
        <v>#N/A</v>
      </c>
      <c r="X4088" s="17" t="n">
        <f aca="false">J4088</f>
        <v>0</v>
      </c>
      <c r="Y4088" s="17" t="e">
        <f aca="false">VLOOKUP(X4088,Sheet2!A:B,2,0)</f>
        <v>#N/A</v>
      </c>
      <c r="Z4088" s="17"/>
      <c r="AA4088" s="17"/>
      <c r="AC4088" s="23" t="str">
        <f aca="false">LEFT(G4088,2)</f>
        <v/>
      </c>
    </row>
    <row r="4089" customFormat="false" ht="15" hidden="false" customHeight="false" outlineLevel="0" collapsed="false">
      <c r="A4089" s="13" t="n">
        <f aca="false">1+A4088</f>
        <v>4087</v>
      </c>
      <c r="B4089" s="14" t="n">
        <v>100</v>
      </c>
      <c r="C4089" s="15"/>
      <c r="D4089" s="16" t="s">
        <v>64</v>
      </c>
      <c r="E4089" s="17" t="s">
        <v>47</v>
      </c>
      <c r="F4089" s="18" t="s">
        <v>34</v>
      </c>
      <c r="G4089" s="19"/>
      <c r="H4089" s="17" t="s">
        <v>35</v>
      </c>
      <c r="I4089" s="17" t="s">
        <v>44</v>
      </c>
      <c r="J4089" s="17"/>
      <c r="K4089" s="17" t="e">
        <f aca="false">VLOOKUP(J4089,Sheet2!A:B,2,0)</f>
        <v>#N/A</v>
      </c>
      <c r="L4089" s="17" t="n">
        <v>5</v>
      </c>
      <c r="M4089" s="17" t="str">
        <f aca="false">VLOOKUP(L4089,Sheet2!D:E,2,0)</f>
        <v>Main Processor CPU BGA</v>
      </c>
      <c r="N4089" s="17" t="n">
        <v>1</v>
      </c>
      <c r="O4089" s="17" t="str">
        <f aca="false">VLOOKUP(N4089,Sheet2!G:H,2,0)</f>
        <v>Dead</v>
      </c>
      <c r="P4089" s="17" t="n">
        <v>11</v>
      </c>
      <c r="Q4089" s="17" t="str">
        <f aca="false">VLOOKUP(P4089,Sheet2!J:K,2,0)</f>
        <v>IR Declared due to CID -TA</v>
      </c>
      <c r="R4089" s="17" t="s">
        <v>35</v>
      </c>
      <c r="S4089" s="17" t="str">
        <f aca="false">VLOOKUP(R4089,Sheet2!N:O,2,0)</f>
        <v>IREPARABLE</v>
      </c>
      <c r="T4089" s="18" t="str">
        <f aca="false">VLOOKUP(P4089,Sheet2!Q:R,2,0)</f>
        <v>IR Normal - Track burn out</v>
      </c>
      <c r="U4089" s="20" t="s">
        <v>41</v>
      </c>
      <c r="V4089" s="17"/>
      <c r="W4089" s="20" t="e">
        <f aca="false">VLOOKUP(V4089,Sheet2!Q:R,2,0)</f>
        <v>#N/A</v>
      </c>
      <c r="X4089" s="17" t="n">
        <f aca="false">J4089</f>
        <v>0</v>
      </c>
      <c r="Y4089" s="17" t="e">
        <f aca="false">VLOOKUP(X4089,Sheet2!A:B,2,0)</f>
        <v>#N/A</v>
      </c>
      <c r="Z4089" s="17"/>
      <c r="AA4089" s="17"/>
      <c r="AC4089" s="23" t="str">
        <f aca="false">LEFT(G4089,2)</f>
        <v/>
      </c>
    </row>
    <row r="4090" customFormat="false" ht="15" hidden="false" customHeight="false" outlineLevel="0" collapsed="false">
      <c r="A4090" s="13" t="n">
        <f aca="false">1+A4089</f>
        <v>4088</v>
      </c>
      <c r="B4090" s="14" t="n">
        <v>100</v>
      </c>
      <c r="C4090" s="15"/>
      <c r="D4090" s="16" t="s">
        <v>64</v>
      </c>
      <c r="E4090" s="17" t="s">
        <v>47</v>
      </c>
      <c r="F4090" s="18" t="s">
        <v>34</v>
      </c>
      <c r="G4090" s="19"/>
      <c r="H4090" s="17" t="s">
        <v>35</v>
      </c>
      <c r="I4090" s="17" t="s">
        <v>44</v>
      </c>
      <c r="J4090" s="17"/>
      <c r="K4090" s="17" t="e">
        <f aca="false">VLOOKUP(J4090,Sheet2!A:B,2,0)</f>
        <v>#N/A</v>
      </c>
      <c r="L4090" s="17" t="n">
        <v>5</v>
      </c>
      <c r="M4090" s="17" t="str">
        <f aca="false">VLOOKUP(L4090,Sheet2!D:E,2,0)</f>
        <v>Main Processor CPU BGA</v>
      </c>
      <c r="N4090" s="17" t="n">
        <v>1</v>
      </c>
      <c r="O4090" s="17" t="str">
        <f aca="false">VLOOKUP(N4090,Sheet2!G:H,2,0)</f>
        <v>Dead</v>
      </c>
      <c r="P4090" s="17" t="n">
        <v>11</v>
      </c>
      <c r="Q4090" s="17" t="str">
        <f aca="false">VLOOKUP(P4090,Sheet2!J:K,2,0)</f>
        <v>IR Declared due to CID -TA</v>
      </c>
      <c r="R4090" s="17" t="s">
        <v>35</v>
      </c>
      <c r="S4090" s="17" t="str">
        <f aca="false">VLOOKUP(R4090,Sheet2!N:O,2,0)</f>
        <v>IREPARABLE</v>
      </c>
      <c r="T4090" s="18" t="str">
        <f aca="false">VLOOKUP(P4090,Sheet2!Q:R,2,0)</f>
        <v>IR Normal - Track burn out</v>
      </c>
      <c r="U4090" s="20" t="s">
        <v>41</v>
      </c>
      <c r="V4090" s="17"/>
      <c r="W4090" s="20" t="e">
        <f aca="false">VLOOKUP(V4090,Sheet2!Q:R,2,0)</f>
        <v>#N/A</v>
      </c>
      <c r="X4090" s="17" t="n">
        <f aca="false">J4090</f>
        <v>0</v>
      </c>
      <c r="Y4090" s="17" t="e">
        <f aca="false">VLOOKUP(X4090,Sheet2!A:B,2,0)</f>
        <v>#N/A</v>
      </c>
      <c r="Z4090" s="17"/>
      <c r="AA4090" s="17"/>
      <c r="AC4090" s="23" t="str">
        <f aca="false">LEFT(G4090,2)</f>
        <v/>
      </c>
    </row>
    <row r="4091" customFormat="false" ht="15" hidden="false" customHeight="false" outlineLevel="0" collapsed="false">
      <c r="A4091" s="13" t="n">
        <f aca="false">1+A4090</f>
        <v>4089</v>
      </c>
      <c r="B4091" s="14" t="n">
        <v>100</v>
      </c>
      <c r="C4091" s="15"/>
      <c r="D4091" s="16" t="s">
        <v>64</v>
      </c>
      <c r="E4091" s="17" t="s">
        <v>47</v>
      </c>
      <c r="F4091" s="18" t="s">
        <v>34</v>
      </c>
      <c r="G4091" s="19"/>
      <c r="H4091" s="17" t="s">
        <v>35</v>
      </c>
      <c r="I4091" s="17" t="s">
        <v>44</v>
      </c>
      <c r="J4091" s="17"/>
      <c r="K4091" s="17" t="e">
        <f aca="false">VLOOKUP(J4091,Sheet2!A:B,2,0)</f>
        <v>#N/A</v>
      </c>
      <c r="L4091" s="17" t="n">
        <v>5</v>
      </c>
      <c r="M4091" s="17" t="str">
        <f aca="false">VLOOKUP(L4091,Sheet2!D:E,2,0)</f>
        <v>Main Processor CPU BGA</v>
      </c>
      <c r="N4091" s="17" t="n">
        <v>1</v>
      </c>
      <c r="O4091" s="17" t="str">
        <f aca="false">VLOOKUP(N4091,Sheet2!G:H,2,0)</f>
        <v>Dead</v>
      </c>
      <c r="P4091" s="17" t="n">
        <v>11</v>
      </c>
      <c r="Q4091" s="17" t="str">
        <f aca="false">VLOOKUP(P4091,Sheet2!J:K,2,0)</f>
        <v>IR Declared due to CID -TA</v>
      </c>
      <c r="R4091" s="17" t="s">
        <v>35</v>
      </c>
      <c r="S4091" s="17" t="str">
        <f aca="false">VLOOKUP(R4091,Sheet2!N:O,2,0)</f>
        <v>IREPARABLE</v>
      </c>
      <c r="T4091" s="18" t="str">
        <f aca="false">VLOOKUP(P4091,Sheet2!Q:R,2,0)</f>
        <v>IR Normal - Track burn out</v>
      </c>
      <c r="U4091" s="20" t="s">
        <v>41</v>
      </c>
      <c r="V4091" s="17"/>
      <c r="W4091" s="20" t="e">
        <f aca="false">VLOOKUP(V4091,Sheet2!Q:R,2,0)</f>
        <v>#N/A</v>
      </c>
      <c r="X4091" s="17" t="n">
        <f aca="false">J4091</f>
        <v>0</v>
      </c>
      <c r="Y4091" s="17" t="e">
        <f aca="false">VLOOKUP(X4091,Sheet2!A:B,2,0)</f>
        <v>#N/A</v>
      </c>
      <c r="Z4091" s="17"/>
      <c r="AA4091" s="17"/>
      <c r="AC4091" s="23" t="str">
        <f aca="false">LEFT(G4091,2)</f>
        <v/>
      </c>
    </row>
    <row r="4092" customFormat="false" ht="15" hidden="false" customHeight="false" outlineLevel="0" collapsed="false">
      <c r="A4092" s="13" t="n">
        <f aca="false">1+A4091</f>
        <v>4090</v>
      </c>
      <c r="B4092" s="14" t="n">
        <v>100</v>
      </c>
      <c r="C4092" s="15"/>
      <c r="D4092" s="16" t="s">
        <v>64</v>
      </c>
      <c r="E4092" s="17" t="s">
        <v>47</v>
      </c>
      <c r="F4092" s="18" t="s">
        <v>34</v>
      </c>
      <c r="G4092" s="19"/>
      <c r="H4092" s="17" t="s">
        <v>35</v>
      </c>
      <c r="I4092" s="17" t="s">
        <v>44</v>
      </c>
      <c r="J4092" s="17"/>
      <c r="K4092" s="17" t="e">
        <f aca="false">VLOOKUP(J4092,Sheet2!A:B,2,0)</f>
        <v>#N/A</v>
      </c>
      <c r="L4092" s="17" t="n">
        <v>5</v>
      </c>
      <c r="M4092" s="17" t="str">
        <f aca="false">VLOOKUP(L4092,Sheet2!D:E,2,0)</f>
        <v>Main Processor CPU BGA</v>
      </c>
      <c r="N4092" s="17" t="n">
        <v>1</v>
      </c>
      <c r="O4092" s="17" t="str">
        <f aca="false">VLOOKUP(N4092,Sheet2!G:H,2,0)</f>
        <v>Dead</v>
      </c>
      <c r="P4092" s="17" t="n">
        <v>11</v>
      </c>
      <c r="Q4092" s="17" t="str">
        <f aca="false">VLOOKUP(P4092,Sheet2!J:K,2,0)</f>
        <v>IR Declared due to CID -TA</v>
      </c>
      <c r="R4092" s="17" t="s">
        <v>35</v>
      </c>
      <c r="S4092" s="17" t="str">
        <f aca="false">VLOOKUP(R4092,Sheet2!N:O,2,0)</f>
        <v>IREPARABLE</v>
      </c>
      <c r="T4092" s="18" t="str">
        <f aca="false">VLOOKUP(P4092,Sheet2!Q:R,2,0)</f>
        <v>IR Normal - Track burn out</v>
      </c>
      <c r="U4092" s="20" t="s">
        <v>41</v>
      </c>
      <c r="V4092" s="17"/>
      <c r="W4092" s="20" t="e">
        <f aca="false">VLOOKUP(V4092,Sheet2!Q:R,2,0)</f>
        <v>#N/A</v>
      </c>
      <c r="X4092" s="17" t="n">
        <f aca="false">J4092</f>
        <v>0</v>
      </c>
      <c r="Y4092" s="17" t="e">
        <f aca="false">VLOOKUP(X4092,Sheet2!A:B,2,0)</f>
        <v>#N/A</v>
      </c>
      <c r="Z4092" s="17"/>
      <c r="AA4092" s="17"/>
      <c r="AC4092" s="23" t="str">
        <f aca="false">LEFT(G4092,2)</f>
        <v/>
      </c>
    </row>
    <row r="4093" customFormat="false" ht="15" hidden="false" customHeight="false" outlineLevel="0" collapsed="false">
      <c r="A4093" s="13" t="n">
        <f aca="false">1+A4092</f>
        <v>4091</v>
      </c>
      <c r="B4093" s="14" t="n">
        <v>100</v>
      </c>
      <c r="C4093" s="15"/>
      <c r="D4093" s="16" t="s">
        <v>64</v>
      </c>
      <c r="E4093" s="17" t="s">
        <v>47</v>
      </c>
      <c r="F4093" s="18" t="s">
        <v>34</v>
      </c>
      <c r="G4093" s="19"/>
      <c r="H4093" s="17" t="s">
        <v>35</v>
      </c>
      <c r="I4093" s="17" t="s">
        <v>44</v>
      </c>
      <c r="J4093" s="17"/>
      <c r="K4093" s="17" t="e">
        <f aca="false">VLOOKUP(J4093,Sheet2!A:B,2,0)</f>
        <v>#N/A</v>
      </c>
      <c r="L4093" s="17" t="n">
        <v>5</v>
      </c>
      <c r="M4093" s="17" t="str">
        <f aca="false">VLOOKUP(L4093,Sheet2!D:E,2,0)</f>
        <v>Main Processor CPU BGA</v>
      </c>
      <c r="N4093" s="17" t="n">
        <v>1</v>
      </c>
      <c r="O4093" s="17" t="str">
        <f aca="false">VLOOKUP(N4093,Sheet2!G:H,2,0)</f>
        <v>Dead</v>
      </c>
      <c r="P4093" s="17" t="n">
        <v>11</v>
      </c>
      <c r="Q4093" s="17" t="str">
        <f aca="false">VLOOKUP(P4093,Sheet2!J:K,2,0)</f>
        <v>IR Declared due to CID -TA</v>
      </c>
      <c r="R4093" s="17" t="s">
        <v>35</v>
      </c>
      <c r="S4093" s="17" t="str">
        <f aca="false">VLOOKUP(R4093,Sheet2!N:O,2,0)</f>
        <v>IREPARABLE</v>
      </c>
      <c r="T4093" s="18" t="str">
        <f aca="false">VLOOKUP(P4093,Sheet2!Q:R,2,0)</f>
        <v>IR Normal - Track burn out</v>
      </c>
      <c r="U4093" s="20" t="s">
        <v>41</v>
      </c>
      <c r="V4093" s="17"/>
      <c r="W4093" s="20" t="e">
        <f aca="false">VLOOKUP(V4093,Sheet2!Q:R,2,0)</f>
        <v>#N/A</v>
      </c>
      <c r="X4093" s="17" t="n">
        <f aca="false">J4093</f>
        <v>0</v>
      </c>
      <c r="Y4093" s="17" t="e">
        <f aca="false">VLOOKUP(X4093,Sheet2!A:B,2,0)</f>
        <v>#N/A</v>
      </c>
      <c r="Z4093" s="17"/>
      <c r="AA4093" s="17"/>
      <c r="AC4093" s="23" t="str">
        <f aca="false">LEFT(G4093,2)</f>
        <v/>
      </c>
    </row>
    <row r="4094" customFormat="false" ht="15" hidden="false" customHeight="false" outlineLevel="0" collapsed="false">
      <c r="A4094" s="13" t="n">
        <f aca="false">1+A4093</f>
        <v>4092</v>
      </c>
      <c r="B4094" s="14" t="n">
        <v>100</v>
      </c>
      <c r="C4094" s="15"/>
      <c r="D4094" s="16" t="s">
        <v>64</v>
      </c>
      <c r="E4094" s="17" t="s">
        <v>47</v>
      </c>
      <c r="F4094" s="18" t="s">
        <v>34</v>
      </c>
      <c r="G4094" s="19"/>
      <c r="H4094" s="17" t="s">
        <v>35</v>
      </c>
      <c r="I4094" s="17" t="s">
        <v>44</v>
      </c>
      <c r="J4094" s="17"/>
      <c r="K4094" s="17" t="e">
        <f aca="false">VLOOKUP(J4094,Sheet2!A:B,2,0)</f>
        <v>#N/A</v>
      </c>
      <c r="L4094" s="17" t="n">
        <v>5</v>
      </c>
      <c r="M4094" s="17" t="str">
        <f aca="false">VLOOKUP(L4094,Sheet2!D:E,2,0)</f>
        <v>Main Processor CPU BGA</v>
      </c>
      <c r="N4094" s="17" t="n">
        <v>1</v>
      </c>
      <c r="O4094" s="17" t="str">
        <f aca="false">VLOOKUP(N4094,Sheet2!G:H,2,0)</f>
        <v>Dead</v>
      </c>
      <c r="P4094" s="17" t="n">
        <v>11</v>
      </c>
      <c r="Q4094" s="17" t="str">
        <f aca="false">VLOOKUP(P4094,Sheet2!J:K,2,0)</f>
        <v>IR Declared due to CID -TA</v>
      </c>
      <c r="R4094" s="17" t="s">
        <v>35</v>
      </c>
      <c r="S4094" s="17" t="str">
        <f aca="false">VLOOKUP(R4094,Sheet2!N:O,2,0)</f>
        <v>IREPARABLE</v>
      </c>
      <c r="T4094" s="18" t="str">
        <f aca="false">VLOOKUP(P4094,Sheet2!Q:R,2,0)</f>
        <v>IR Normal - Track burn out</v>
      </c>
      <c r="U4094" s="20" t="s">
        <v>41</v>
      </c>
      <c r="V4094" s="17"/>
      <c r="W4094" s="20" t="e">
        <f aca="false">VLOOKUP(V4094,Sheet2!Q:R,2,0)</f>
        <v>#N/A</v>
      </c>
      <c r="X4094" s="17" t="n">
        <f aca="false">J4094</f>
        <v>0</v>
      </c>
      <c r="Y4094" s="17" t="e">
        <f aca="false">VLOOKUP(X4094,Sheet2!A:B,2,0)</f>
        <v>#N/A</v>
      </c>
      <c r="Z4094" s="17"/>
      <c r="AA4094" s="17"/>
      <c r="AC4094" s="23" t="str">
        <f aca="false">LEFT(G4094,2)</f>
        <v/>
      </c>
    </row>
    <row r="4095" customFormat="false" ht="15" hidden="false" customHeight="false" outlineLevel="0" collapsed="false">
      <c r="A4095" s="13" t="n">
        <f aca="false">1+A4094</f>
        <v>4093</v>
      </c>
      <c r="B4095" s="14" t="n">
        <v>100</v>
      </c>
      <c r="C4095" s="15"/>
      <c r="D4095" s="16" t="s">
        <v>64</v>
      </c>
      <c r="E4095" s="17" t="s">
        <v>47</v>
      </c>
      <c r="F4095" s="18" t="s">
        <v>34</v>
      </c>
      <c r="G4095" s="19"/>
      <c r="H4095" s="17" t="s">
        <v>35</v>
      </c>
      <c r="I4095" s="17" t="s">
        <v>44</v>
      </c>
      <c r="J4095" s="17"/>
      <c r="K4095" s="17" t="e">
        <f aca="false">VLOOKUP(J4095,Sheet2!A:B,2,0)</f>
        <v>#N/A</v>
      </c>
      <c r="L4095" s="17" t="n">
        <v>5</v>
      </c>
      <c r="M4095" s="17" t="str">
        <f aca="false">VLOOKUP(L4095,Sheet2!D:E,2,0)</f>
        <v>Main Processor CPU BGA</v>
      </c>
      <c r="N4095" s="17" t="n">
        <v>1</v>
      </c>
      <c r="O4095" s="17" t="str">
        <f aca="false">VLOOKUP(N4095,Sheet2!G:H,2,0)</f>
        <v>Dead</v>
      </c>
      <c r="P4095" s="17" t="n">
        <v>11</v>
      </c>
      <c r="Q4095" s="17" t="str">
        <f aca="false">VLOOKUP(P4095,Sheet2!J:K,2,0)</f>
        <v>IR Declared due to CID -TA</v>
      </c>
      <c r="R4095" s="17" t="s">
        <v>35</v>
      </c>
      <c r="S4095" s="17" t="str">
        <f aca="false">VLOOKUP(R4095,Sheet2!N:O,2,0)</f>
        <v>IREPARABLE</v>
      </c>
      <c r="T4095" s="18" t="str">
        <f aca="false">VLOOKUP(P4095,Sheet2!Q:R,2,0)</f>
        <v>IR Normal - Track burn out</v>
      </c>
      <c r="U4095" s="20" t="s">
        <v>41</v>
      </c>
      <c r="V4095" s="17"/>
      <c r="W4095" s="20" t="e">
        <f aca="false">VLOOKUP(V4095,Sheet2!Q:R,2,0)</f>
        <v>#N/A</v>
      </c>
      <c r="X4095" s="17" t="n">
        <f aca="false">J4095</f>
        <v>0</v>
      </c>
      <c r="Y4095" s="17" t="e">
        <f aca="false">VLOOKUP(X4095,Sheet2!A:B,2,0)</f>
        <v>#N/A</v>
      </c>
      <c r="Z4095" s="17"/>
      <c r="AA4095" s="17"/>
      <c r="AC4095" s="23" t="str">
        <f aca="false">LEFT(G4095,2)</f>
        <v/>
      </c>
    </row>
    <row r="4096" customFormat="false" ht="15" hidden="false" customHeight="false" outlineLevel="0" collapsed="false">
      <c r="A4096" s="13" t="n">
        <f aca="false">1+A4095</f>
        <v>4094</v>
      </c>
      <c r="B4096" s="14" t="n">
        <v>100</v>
      </c>
      <c r="C4096" s="15"/>
      <c r="D4096" s="16" t="s">
        <v>64</v>
      </c>
      <c r="E4096" s="17" t="s">
        <v>47</v>
      </c>
      <c r="F4096" s="18" t="s">
        <v>34</v>
      </c>
      <c r="G4096" s="19"/>
      <c r="H4096" s="17" t="s">
        <v>35</v>
      </c>
      <c r="I4096" s="17" t="s">
        <v>44</v>
      </c>
      <c r="J4096" s="17"/>
      <c r="K4096" s="17" t="e">
        <f aca="false">VLOOKUP(J4096,Sheet2!A:B,2,0)</f>
        <v>#N/A</v>
      </c>
      <c r="L4096" s="17" t="n">
        <v>5</v>
      </c>
      <c r="M4096" s="17" t="str">
        <f aca="false">VLOOKUP(L4096,Sheet2!D:E,2,0)</f>
        <v>Main Processor CPU BGA</v>
      </c>
      <c r="N4096" s="17" t="n">
        <v>1</v>
      </c>
      <c r="O4096" s="17" t="str">
        <f aca="false">VLOOKUP(N4096,Sheet2!G:H,2,0)</f>
        <v>Dead</v>
      </c>
      <c r="P4096" s="17" t="n">
        <v>11</v>
      </c>
      <c r="Q4096" s="17" t="str">
        <f aca="false">VLOOKUP(P4096,Sheet2!J:K,2,0)</f>
        <v>IR Declared due to CID -TA</v>
      </c>
      <c r="R4096" s="17" t="s">
        <v>35</v>
      </c>
      <c r="S4096" s="17" t="str">
        <f aca="false">VLOOKUP(R4096,Sheet2!N:O,2,0)</f>
        <v>IREPARABLE</v>
      </c>
      <c r="T4096" s="18" t="str">
        <f aca="false">VLOOKUP(P4096,Sheet2!Q:R,2,0)</f>
        <v>IR Normal - Track burn out</v>
      </c>
      <c r="U4096" s="20" t="s">
        <v>41</v>
      </c>
      <c r="V4096" s="17"/>
      <c r="W4096" s="20" t="e">
        <f aca="false">VLOOKUP(V4096,Sheet2!Q:R,2,0)</f>
        <v>#N/A</v>
      </c>
      <c r="X4096" s="17" t="n">
        <f aca="false">J4096</f>
        <v>0</v>
      </c>
      <c r="Y4096" s="17" t="e">
        <f aca="false">VLOOKUP(X4096,Sheet2!A:B,2,0)</f>
        <v>#N/A</v>
      </c>
      <c r="Z4096" s="17"/>
      <c r="AA4096" s="17"/>
      <c r="AC4096" s="23" t="str">
        <f aca="false">LEFT(G4096,2)</f>
        <v/>
      </c>
    </row>
    <row r="4097" customFormat="false" ht="15" hidden="false" customHeight="false" outlineLevel="0" collapsed="false">
      <c r="A4097" s="13" t="n">
        <f aca="false">1+A4096</f>
        <v>4095</v>
      </c>
      <c r="B4097" s="14" t="n">
        <v>100</v>
      </c>
      <c r="C4097" s="15"/>
      <c r="D4097" s="16" t="s">
        <v>64</v>
      </c>
      <c r="E4097" s="17" t="s">
        <v>47</v>
      </c>
      <c r="F4097" s="18" t="s">
        <v>34</v>
      </c>
      <c r="G4097" s="19"/>
      <c r="H4097" s="17" t="s">
        <v>35</v>
      </c>
      <c r="I4097" s="17" t="s">
        <v>44</v>
      </c>
      <c r="J4097" s="17"/>
      <c r="K4097" s="17" t="e">
        <f aca="false">VLOOKUP(J4097,Sheet2!A:B,2,0)</f>
        <v>#N/A</v>
      </c>
      <c r="L4097" s="17" t="n">
        <v>5</v>
      </c>
      <c r="M4097" s="17" t="str">
        <f aca="false">VLOOKUP(L4097,Sheet2!D:E,2,0)</f>
        <v>Main Processor CPU BGA</v>
      </c>
      <c r="N4097" s="17" t="n">
        <v>1</v>
      </c>
      <c r="O4097" s="17" t="str">
        <f aca="false">VLOOKUP(N4097,Sheet2!G:H,2,0)</f>
        <v>Dead</v>
      </c>
      <c r="P4097" s="17" t="n">
        <v>11</v>
      </c>
      <c r="Q4097" s="17" t="str">
        <f aca="false">VLOOKUP(P4097,Sheet2!J:K,2,0)</f>
        <v>IR Declared due to CID -TA</v>
      </c>
      <c r="R4097" s="17" t="s">
        <v>35</v>
      </c>
      <c r="S4097" s="17" t="str">
        <f aca="false">VLOOKUP(R4097,Sheet2!N:O,2,0)</f>
        <v>IREPARABLE</v>
      </c>
      <c r="T4097" s="18" t="str">
        <f aca="false">VLOOKUP(P4097,Sheet2!Q:R,2,0)</f>
        <v>IR Normal - Track burn out</v>
      </c>
      <c r="U4097" s="20" t="s">
        <v>41</v>
      </c>
      <c r="V4097" s="17"/>
      <c r="W4097" s="20" t="e">
        <f aca="false">VLOOKUP(V4097,Sheet2!Q:R,2,0)</f>
        <v>#N/A</v>
      </c>
      <c r="X4097" s="17" t="n">
        <f aca="false">J4097</f>
        <v>0</v>
      </c>
      <c r="Y4097" s="17" t="e">
        <f aca="false">VLOOKUP(X4097,Sheet2!A:B,2,0)</f>
        <v>#N/A</v>
      </c>
      <c r="Z4097" s="17"/>
      <c r="AA4097" s="17"/>
      <c r="AC4097" s="23" t="str">
        <f aca="false">LEFT(G4097,2)</f>
        <v/>
      </c>
    </row>
    <row r="4098" customFormat="false" ht="15" hidden="false" customHeight="false" outlineLevel="0" collapsed="false">
      <c r="A4098" s="13" t="n">
        <f aca="false">1+A4097</f>
        <v>4096</v>
      </c>
      <c r="B4098" s="14" t="n">
        <v>100</v>
      </c>
      <c r="C4098" s="15"/>
      <c r="D4098" s="16" t="s">
        <v>64</v>
      </c>
      <c r="E4098" s="17" t="s">
        <v>47</v>
      </c>
      <c r="F4098" s="18" t="s">
        <v>34</v>
      </c>
      <c r="G4098" s="19"/>
      <c r="H4098" s="17" t="s">
        <v>35</v>
      </c>
      <c r="I4098" s="17" t="s">
        <v>44</v>
      </c>
      <c r="J4098" s="17"/>
      <c r="K4098" s="17" t="e">
        <f aca="false">VLOOKUP(J4098,Sheet2!A:B,2,0)</f>
        <v>#N/A</v>
      </c>
      <c r="L4098" s="17" t="n">
        <v>5</v>
      </c>
      <c r="M4098" s="17" t="str">
        <f aca="false">VLOOKUP(L4098,Sheet2!D:E,2,0)</f>
        <v>Main Processor CPU BGA</v>
      </c>
      <c r="N4098" s="17" t="n">
        <v>1</v>
      </c>
      <c r="O4098" s="17" t="str">
        <f aca="false">VLOOKUP(N4098,Sheet2!G:H,2,0)</f>
        <v>Dead</v>
      </c>
      <c r="P4098" s="17" t="n">
        <v>11</v>
      </c>
      <c r="Q4098" s="17" t="str">
        <f aca="false">VLOOKUP(P4098,Sheet2!J:K,2,0)</f>
        <v>IR Declared due to CID -TA</v>
      </c>
      <c r="R4098" s="17" t="s">
        <v>35</v>
      </c>
      <c r="S4098" s="17" t="str">
        <f aca="false">VLOOKUP(R4098,Sheet2!N:O,2,0)</f>
        <v>IREPARABLE</v>
      </c>
      <c r="T4098" s="18" t="str">
        <f aca="false">VLOOKUP(P4098,Sheet2!Q:R,2,0)</f>
        <v>IR Normal - Track burn out</v>
      </c>
      <c r="U4098" s="20" t="s">
        <v>41</v>
      </c>
      <c r="V4098" s="17"/>
      <c r="W4098" s="20" t="e">
        <f aca="false">VLOOKUP(V4098,Sheet2!Q:R,2,0)</f>
        <v>#N/A</v>
      </c>
      <c r="X4098" s="17" t="n">
        <f aca="false">J4098</f>
        <v>0</v>
      </c>
      <c r="Y4098" s="17" t="e">
        <f aca="false">VLOOKUP(X4098,Sheet2!A:B,2,0)</f>
        <v>#N/A</v>
      </c>
      <c r="Z4098" s="17"/>
      <c r="AA4098" s="17"/>
      <c r="AC4098" s="23" t="str">
        <f aca="false">LEFT(G4098,2)</f>
        <v/>
      </c>
    </row>
    <row r="4099" customFormat="false" ht="15" hidden="false" customHeight="false" outlineLevel="0" collapsed="false">
      <c r="A4099" s="13" t="n">
        <f aca="false">1+A4098</f>
        <v>4097</v>
      </c>
      <c r="B4099" s="14" t="n">
        <v>100</v>
      </c>
      <c r="C4099" s="15"/>
      <c r="D4099" s="16" t="s">
        <v>64</v>
      </c>
      <c r="E4099" s="17" t="s">
        <v>47</v>
      </c>
      <c r="F4099" s="18" t="s">
        <v>34</v>
      </c>
      <c r="G4099" s="19"/>
      <c r="H4099" s="17" t="s">
        <v>35</v>
      </c>
      <c r="I4099" s="17" t="s">
        <v>44</v>
      </c>
      <c r="J4099" s="17"/>
      <c r="K4099" s="17" t="e">
        <f aca="false">VLOOKUP(J4099,Sheet2!A:B,2,0)</f>
        <v>#N/A</v>
      </c>
      <c r="L4099" s="17" t="n">
        <v>5</v>
      </c>
      <c r="M4099" s="17" t="str">
        <f aca="false">VLOOKUP(L4099,Sheet2!D:E,2,0)</f>
        <v>Main Processor CPU BGA</v>
      </c>
      <c r="N4099" s="17" t="n">
        <v>1</v>
      </c>
      <c r="O4099" s="17" t="str">
        <f aca="false">VLOOKUP(N4099,Sheet2!G:H,2,0)</f>
        <v>Dead</v>
      </c>
      <c r="P4099" s="17" t="n">
        <v>11</v>
      </c>
      <c r="Q4099" s="17" t="str">
        <f aca="false">VLOOKUP(P4099,Sheet2!J:K,2,0)</f>
        <v>IR Declared due to CID -TA</v>
      </c>
      <c r="R4099" s="17" t="s">
        <v>35</v>
      </c>
      <c r="S4099" s="17" t="str">
        <f aca="false">VLOOKUP(R4099,Sheet2!N:O,2,0)</f>
        <v>IREPARABLE</v>
      </c>
      <c r="T4099" s="18" t="str">
        <f aca="false">VLOOKUP(P4099,Sheet2!Q:R,2,0)</f>
        <v>IR Normal - Track burn out</v>
      </c>
      <c r="U4099" s="20" t="s">
        <v>41</v>
      </c>
      <c r="V4099" s="17"/>
      <c r="W4099" s="20" t="e">
        <f aca="false">VLOOKUP(V4099,Sheet2!Q:R,2,0)</f>
        <v>#N/A</v>
      </c>
      <c r="X4099" s="17" t="n">
        <f aca="false">J4099</f>
        <v>0</v>
      </c>
      <c r="Y4099" s="17" t="e">
        <f aca="false">VLOOKUP(X4099,Sheet2!A:B,2,0)</f>
        <v>#N/A</v>
      </c>
      <c r="Z4099" s="17"/>
      <c r="AA4099" s="17"/>
      <c r="AC4099" s="23" t="str">
        <f aca="false">LEFT(G4099,2)</f>
        <v/>
      </c>
    </row>
    <row r="4100" customFormat="false" ht="15" hidden="false" customHeight="false" outlineLevel="0" collapsed="false">
      <c r="A4100" s="13" t="n">
        <f aca="false">1+A4099</f>
        <v>4098</v>
      </c>
      <c r="B4100" s="14" t="n">
        <v>100</v>
      </c>
      <c r="C4100" s="15"/>
      <c r="D4100" s="16" t="s">
        <v>64</v>
      </c>
      <c r="E4100" s="17" t="s">
        <v>47</v>
      </c>
      <c r="F4100" s="18" t="s">
        <v>34</v>
      </c>
      <c r="G4100" s="19"/>
      <c r="H4100" s="17" t="s">
        <v>35</v>
      </c>
      <c r="I4100" s="17" t="s">
        <v>44</v>
      </c>
      <c r="J4100" s="17"/>
      <c r="K4100" s="17" t="e">
        <f aca="false">VLOOKUP(J4100,Sheet2!A:B,2,0)</f>
        <v>#N/A</v>
      </c>
      <c r="L4100" s="17" t="n">
        <v>5</v>
      </c>
      <c r="M4100" s="17" t="str">
        <f aca="false">VLOOKUP(L4100,Sheet2!D:E,2,0)</f>
        <v>Main Processor CPU BGA</v>
      </c>
      <c r="N4100" s="17" t="n">
        <v>1</v>
      </c>
      <c r="O4100" s="17" t="str">
        <f aca="false">VLOOKUP(N4100,Sheet2!G:H,2,0)</f>
        <v>Dead</v>
      </c>
      <c r="P4100" s="17" t="n">
        <v>11</v>
      </c>
      <c r="Q4100" s="17" t="str">
        <f aca="false">VLOOKUP(P4100,Sheet2!J:K,2,0)</f>
        <v>IR Declared due to CID -TA</v>
      </c>
      <c r="R4100" s="17" t="s">
        <v>35</v>
      </c>
      <c r="S4100" s="17" t="str">
        <f aca="false">VLOOKUP(R4100,Sheet2!N:O,2,0)</f>
        <v>IREPARABLE</v>
      </c>
      <c r="T4100" s="18" t="str">
        <f aca="false">VLOOKUP(P4100,Sheet2!Q:R,2,0)</f>
        <v>IR Normal - Track burn out</v>
      </c>
      <c r="U4100" s="20" t="s">
        <v>41</v>
      </c>
      <c r="V4100" s="17"/>
      <c r="W4100" s="20" t="e">
        <f aca="false">VLOOKUP(V4100,Sheet2!Q:R,2,0)</f>
        <v>#N/A</v>
      </c>
      <c r="X4100" s="17" t="n">
        <f aca="false">J4100</f>
        <v>0</v>
      </c>
      <c r="Y4100" s="17" t="e">
        <f aca="false">VLOOKUP(X4100,Sheet2!A:B,2,0)</f>
        <v>#N/A</v>
      </c>
      <c r="Z4100" s="17"/>
      <c r="AA4100" s="17"/>
      <c r="AC4100" s="23" t="str">
        <f aca="false">LEFT(G4100,2)</f>
        <v/>
      </c>
    </row>
    <row r="4101" customFormat="false" ht="15" hidden="false" customHeight="false" outlineLevel="0" collapsed="false">
      <c r="A4101" s="13" t="n">
        <f aca="false">1+A4100</f>
        <v>4099</v>
      </c>
      <c r="B4101" s="14" t="n">
        <v>100</v>
      </c>
      <c r="C4101" s="15"/>
      <c r="D4101" s="16" t="s">
        <v>64</v>
      </c>
      <c r="E4101" s="17" t="s">
        <v>47</v>
      </c>
      <c r="F4101" s="18" t="s">
        <v>34</v>
      </c>
      <c r="G4101" s="19"/>
      <c r="H4101" s="17" t="s">
        <v>35</v>
      </c>
      <c r="I4101" s="17" t="s">
        <v>44</v>
      </c>
      <c r="J4101" s="17"/>
      <c r="K4101" s="17" t="e">
        <f aca="false">VLOOKUP(J4101,Sheet2!A:B,2,0)</f>
        <v>#N/A</v>
      </c>
      <c r="L4101" s="17" t="n">
        <v>5</v>
      </c>
      <c r="M4101" s="17" t="str">
        <f aca="false">VLOOKUP(L4101,Sheet2!D:E,2,0)</f>
        <v>Main Processor CPU BGA</v>
      </c>
      <c r="N4101" s="17" t="n">
        <v>1</v>
      </c>
      <c r="O4101" s="17" t="str">
        <f aca="false">VLOOKUP(N4101,Sheet2!G:H,2,0)</f>
        <v>Dead</v>
      </c>
      <c r="P4101" s="17" t="n">
        <v>11</v>
      </c>
      <c r="Q4101" s="17" t="str">
        <f aca="false">VLOOKUP(P4101,Sheet2!J:K,2,0)</f>
        <v>IR Declared due to CID -TA</v>
      </c>
      <c r="R4101" s="17" t="s">
        <v>35</v>
      </c>
      <c r="S4101" s="17" t="str">
        <f aca="false">VLOOKUP(R4101,Sheet2!N:O,2,0)</f>
        <v>IREPARABLE</v>
      </c>
      <c r="T4101" s="18" t="str">
        <f aca="false">VLOOKUP(P4101,Sheet2!Q:R,2,0)</f>
        <v>IR Normal - Track burn out</v>
      </c>
      <c r="U4101" s="20" t="s">
        <v>41</v>
      </c>
      <c r="V4101" s="17"/>
      <c r="W4101" s="20" t="e">
        <f aca="false">VLOOKUP(V4101,Sheet2!Q:R,2,0)</f>
        <v>#N/A</v>
      </c>
      <c r="X4101" s="17" t="n">
        <f aca="false">J4101</f>
        <v>0</v>
      </c>
      <c r="Y4101" s="17" t="e">
        <f aca="false">VLOOKUP(X4101,Sheet2!A:B,2,0)</f>
        <v>#N/A</v>
      </c>
      <c r="Z4101" s="17"/>
      <c r="AA4101" s="17"/>
      <c r="AC4101" s="23" t="str">
        <f aca="false">LEFT(G4101,2)</f>
        <v/>
      </c>
    </row>
    <row r="4102" customFormat="false" ht="15" hidden="false" customHeight="false" outlineLevel="0" collapsed="false">
      <c r="A4102" s="13" t="n">
        <f aca="false">1+A4101</f>
        <v>4100</v>
      </c>
      <c r="B4102" s="14" t="n">
        <v>100</v>
      </c>
      <c r="C4102" s="15"/>
      <c r="D4102" s="16" t="s">
        <v>64</v>
      </c>
      <c r="E4102" s="17" t="s">
        <v>47</v>
      </c>
      <c r="F4102" s="18" t="s">
        <v>34</v>
      </c>
      <c r="G4102" s="19"/>
      <c r="H4102" s="17" t="s">
        <v>35</v>
      </c>
      <c r="I4102" s="17" t="s">
        <v>44</v>
      </c>
      <c r="J4102" s="17"/>
      <c r="K4102" s="17" t="e">
        <f aca="false">VLOOKUP(J4102,Sheet2!A:B,2,0)</f>
        <v>#N/A</v>
      </c>
      <c r="L4102" s="17" t="n">
        <v>5</v>
      </c>
      <c r="M4102" s="17" t="str">
        <f aca="false">VLOOKUP(L4102,Sheet2!D:E,2,0)</f>
        <v>Main Processor CPU BGA</v>
      </c>
      <c r="N4102" s="17" t="n">
        <v>1</v>
      </c>
      <c r="O4102" s="17" t="str">
        <f aca="false">VLOOKUP(N4102,Sheet2!G:H,2,0)</f>
        <v>Dead</v>
      </c>
      <c r="P4102" s="17" t="n">
        <v>11</v>
      </c>
      <c r="Q4102" s="17" t="str">
        <f aca="false">VLOOKUP(P4102,Sheet2!J:K,2,0)</f>
        <v>IR Declared due to CID -TA</v>
      </c>
      <c r="R4102" s="17" t="s">
        <v>35</v>
      </c>
      <c r="S4102" s="17" t="str">
        <f aca="false">VLOOKUP(R4102,Sheet2!N:O,2,0)</f>
        <v>IREPARABLE</v>
      </c>
      <c r="T4102" s="18" t="str">
        <f aca="false">VLOOKUP(P4102,Sheet2!Q:R,2,0)</f>
        <v>IR Normal - Track burn out</v>
      </c>
      <c r="U4102" s="20" t="s">
        <v>41</v>
      </c>
      <c r="V4102" s="17"/>
      <c r="W4102" s="20" t="e">
        <f aca="false">VLOOKUP(V4102,Sheet2!Q:R,2,0)</f>
        <v>#N/A</v>
      </c>
      <c r="X4102" s="17" t="n">
        <f aca="false">J4102</f>
        <v>0</v>
      </c>
      <c r="Y4102" s="17" t="e">
        <f aca="false">VLOOKUP(X4102,Sheet2!A:B,2,0)</f>
        <v>#N/A</v>
      </c>
      <c r="Z4102" s="17"/>
      <c r="AA4102" s="17"/>
      <c r="AC4102" s="23" t="str">
        <f aca="false">LEFT(G4102,2)</f>
        <v/>
      </c>
    </row>
    <row r="4103" customFormat="false" ht="15" hidden="false" customHeight="false" outlineLevel="0" collapsed="false">
      <c r="A4103" s="13" t="n">
        <f aca="false">1+A4102</f>
        <v>4101</v>
      </c>
      <c r="B4103" s="14" t="n">
        <v>100</v>
      </c>
      <c r="C4103" s="15"/>
      <c r="D4103" s="16" t="s">
        <v>64</v>
      </c>
      <c r="E4103" s="17" t="s">
        <v>47</v>
      </c>
      <c r="F4103" s="18" t="s">
        <v>34</v>
      </c>
      <c r="G4103" s="19"/>
      <c r="H4103" s="17" t="s">
        <v>35</v>
      </c>
      <c r="I4103" s="17" t="s">
        <v>44</v>
      </c>
      <c r="J4103" s="17"/>
      <c r="K4103" s="17" t="e">
        <f aca="false">VLOOKUP(J4103,Sheet2!A:B,2,0)</f>
        <v>#N/A</v>
      </c>
      <c r="L4103" s="17" t="n">
        <v>5</v>
      </c>
      <c r="M4103" s="17" t="str">
        <f aca="false">VLOOKUP(L4103,Sheet2!D:E,2,0)</f>
        <v>Main Processor CPU BGA</v>
      </c>
      <c r="N4103" s="17" t="n">
        <v>1</v>
      </c>
      <c r="O4103" s="17" t="str">
        <f aca="false">VLOOKUP(N4103,Sheet2!G:H,2,0)</f>
        <v>Dead</v>
      </c>
      <c r="P4103" s="17" t="n">
        <v>11</v>
      </c>
      <c r="Q4103" s="17" t="str">
        <f aca="false">VLOOKUP(P4103,Sheet2!J:K,2,0)</f>
        <v>IR Declared due to CID -TA</v>
      </c>
      <c r="R4103" s="17" t="s">
        <v>35</v>
      </c>
      <c r="S4103" s="17" t="str">
        <f aca="false">VLOOKUP(R4103,Sheet2!N:O,2,0)</f>
        <v>IREPARABLE</v>
      </c>
      <c r="T4103" s="18" t="str">
        <f aca="false">VLOOKUP(P4103,Sheet2!Q:R,2,0)</f>
        <v>IR Normal - Track burn out</v>
      </c>
      <c r="U4103" s="20" t="s">
        <v>41</v>
      </c>
      <c r="V4103" s="17"/>
      <c r="W4103" s="20" t="e">
        <f aca="false">VLOOKUP(V4103,Sheet2!Q:R,2,0)</f>
        <v>#N/A</v>
      </c>
      <c r="X4103" s="17" t="n">
        <f aca="false">J4103</f>
        <v>0</v>
      </c>
      <c r="Y4103" s="17" t="e">
        <f aca="false">VLOOKUP(X4103,Sheet2!A:B,2,0)</f>
        <v>#N/A</v>
      </c>
      <c r="Z4103" s="17"/>
      <c r="AA4103" s="17"/>
      <c r="AC4103" s="23" t="str">
        <f aca="false">LEFT(G4103,2)</f>
        <v/>
      </c>
    </row>
    <row r="4104" customFormat="false" ht="15" hidden="false" customHeight="false" outlineLevel="0" collapsed="false">
      <c r="A4104" s="13" t="n">
        <f aca="false">1+A4103</f>
        <v>4102</v>
      </c>
      <c r="B4104" s="14" t="n">
        <v>100</v>
      </c>
      <c r="C4104" s="15"/>
      <c r="D4104" s="16" t="s">
        <v>64</v>
      </c>
      <c r="E4104" s="17" t="s">
        <v>47</v>
      </c>
      <c r="F4104" s="18" t="s">
        <v>34</v>
      </c>
      <c r="G4104" s="19"/>
      <c r="H4104" s="17" t="s">
        <v>35</v>
      </c>
      <c r="I4104" s="17" t="s">
        <v>44</v>
      </c>
      <c r="J4104" s="17"/>
      <c r="K4104" s="17" t="e">
        <f aca="false">VLOOKUP(J4104,Sheet2!A:B,2,0)</f>
        <v>#N/A</v>
      </c>
      <c r="L4104" s="17" t="n">
        <v>5</v>
      </c>
      <c r="M4104" s="17" t="str">
        <f aca="false">VLOOKUP(L4104,Sheet2!D:E,2,0)</f>
        <v>Main Processor CPU BGA</v>
      </c>
      <c r="N4104" s="17" t="n">
        <v>1</v>
      </c>
      <c r="O4104" s="17" t="str">
        <f aca="false">VLOOKUP(N4104,Sheet2!G:H,2,0)</f>
        <v>Dead</v>
      </c>
      <c r="P4104" s="17" t="n">
        <v>11</v>
      </c>
      <c r="Q4104" s="17" t="str">
        <f aca="false">VLOOKUP(P4104,Sheet2!J:K,2,0)</f>
        <v>IR Declared due to CID -TA</v>
      </c>
      <c r="R4104" s="17" t="s">
        <v>35</v>
      </c>
      <c r="S4104" s="17" t="str">
        <f aca="false">VLOOKUP(R4104,Sheet2!N:O,2,0)</f>
        <v>IREPARABLE</v>
      </c>
      <c r="T4104" s="18" t="str">
        <f aca="false">VLOOKUP(P4104,Sheet2!Q:R,2,0)</f>
        <v>IR Normal - Track burn out</v>
      </c>
      <c r="U4104" s="20" t="s">
        <v>41</v>
      </c>
      <c r="V4104" s="17"/>
      <c r="W4104" s="20" t="e">
        <f aca="false">VLOOKUP(V4104,Sheet2!Q:R,2,0)</f>
        <v>#N/A</v>
      </c>
      <c r="X4104" s="17" t="n">
        <f aca="false">J4104</f>
        <v>0</v>
      </c>
      <c r="Y4104" s="17" t="e">
        <f aca="false">VLOOKUP(X4104,Sheet2!A:B,2,0)</f>
        <v>#N/A</v>
      </c>
      <c r="Z4104" s="17"/>
      <c r="AA4104" s="17"/>
      <c r="AC4104" s="23" t="str">
        <f aca="false">LEFT(G4104,2)</f>
        <v/>
      </c>
    </row>
    <row r="4105" customFormat="false" ht="15" hidden="false" customHeight="false" outlineLevel="0" collapsed="false">
      <c r="A4105" s="13" t="n">
        <f aca="false">1+A4104</f>
        <v>4103</v>
      </c>
      <c r="B4105" s="14" t="n">
        <v>100</v>
      </c>
      <c r="C4105" s="15"/>
      <c r="D4105" s="16" t="s">
        <v>64</v>
      </c>
      <c r="E4105" s="17" t="s">
        <v>47</v>
      </c>
      <c r="F4105" s="18" t="s">
        <v>34</v>
      </c>
      <c r="G4105" s="19"/>
      <c r="H4105" s="17" t="s">
        <v>35</v>
      </c>
      <c r="I4105" s="17" t="s">
        <v>44</v>
      </c>
      <c r="J4105" s="17"/>
      <c r="K4105" s="17" t="e">
        <f aca="false">VLOOKUP(J4105,Sheet2!A:B,2,0)</f>
        <v>#N/A</v>
      </c>
      <c r="L4105" s="17" t="n">
        <v>5</v>
      </c>
      <c r="M4105" s="17" t="str">
        <f aca="false">VLOOKUP(L4105,Sheet2!D:E,2,0)</f>
        <v>Main Processor CPU BGA</v>
      </c>
      <c r="N4105" s="17" t="n">
        <v>1</v>
      </c>
      <c r="O4105" s="17" t="str">
        <f aca="false">VLOOKUP(N4105,Sheet2!G:H,2,0)</f>
        <v>Dead</v>
      </c>
      <c r="P4105" s="17" t="n">
        <v>11</v>
      </c>
      <c r="Q4105" s="17" t="str">
        <f aca="false">VLOOKUP(P4105,Sheet2!J:K,2,0)</f>
        <v>IR Declared due to CID -TA</v>
      </c>
      <c r="R4105" s="17" t="s">
        <v>35</v>
      </c>
      <c r="S4105" s="17" t="str">
        <f aca="false">VLOOKUP(R4105,Sheet2!N:O,2,0)</f>
        <v>IREPARABLE</v>
      </c>
      <c r="T4105" s="18" t="str">
        <f aca="false">VLOOKUP(P4105,Sheet2!Q:R,2,0)</f>
        <v>IR Normal - Track burn out</v>
      </c>
      <c r="U4105" s="20" t="s">
        <v>41</v>
      </c>
      <c r="V4105" s="17"/>
      <c r="W4105" s="20" t="e">
        <f aca="false">VLOOKUP(V4105,Sheet2!Q:R,2,0)</f>
        <v>#N/A</v>
      </c>
      <c r="X4105" s="17" t="n">
        <f aca="false">J4105</f>
        <v>0</v>
      </c>
      <c r="Y4105" s="17" t="e">
        <f aca="false">VLOOKUP(X4105,Sheet2!A:B,2,0)</f>
        <v>#N/A</v>
      </c>
      <c r="Z4105" s="17"/>
      <c r="AA4105" s="17"/>
      <c r="AC4105" s="23" t="str">
        <f aca="false">LEFT(G4105,2)</f>
        <v/>
      </c>
    </row>
    <row r="4106" customFormat="false" ht="15" hidden="false" customHeight="false" outlineLevel="0" collapsed="false">
      <c r="A4106" s="13" t="n">
        <f aca="false">1+A4105</f>
        <v>4104</v>
      </c>
      <c r="B4106" s="14" t="n">
        <v>100</v>
      </c>
      <c r="C4106" s="15"/>
      <c r="D4106" s="16" t="s">
        <v>64</v>
      </c>
      <c r="E4106" s="17" t="s">
        <v>47</v>
      </c>
      <c r="F4106" s="18" t="s">
        <v>34</v>
      </c>
      <c r="G4106" s="19"/>
      <c r="H4106" s="17" t="s">
        <v>35</v>
      </c>
      <c r="I4106" s="17" t="s">
        <v>44</v>
      </c>
      <c r="J4106" s="17"/>
      <c r="K4106" s="17" t="e">
        <f aca="false">VLOOKUP(J4106,Sheet2!A:B,2,0)</f>
        <v>#N/A</v>
      </c>
      <c r="L4106" s="17" t="n">
        <v>5</v>
      </c>
      <c r="M4106" s="17" t="str">
        <f aca="false">VLOOKUP(L4106,Sheet2!D:E,2,0)</f>
        <v>Main Processor CPU BGA</v>
      </c>
      <c r="N4106" s="17" t="n">
        <v>1</v>
      </c>
      <c r="O4106" s="17" t="str">
        <f aca="false">VLOOKUP(N4106,Sheet2!G:H,2,0)</f>
        <v>Dead</v>
      </c>
      <c r="P4106" s="17" t="n">
        <v>11</v>
      </c>
      <c r="Q4106" s="17" t="str">
        <f aca="false">VLOOKUP(P4106,Sheet2!J:K,2,0)</f>
        <v>IR Declared due to CID -TA</v>
      </c>
      <c r="R4106" s="17" t="s">
        <v>35</v>
      </c>
      <c r="S4106" s="17" t="str">
        <f aca="false">VLOOKUP(R4106,Sheet2!N:O,2,0)</f>
        <v>IREPARABLE</v>
      </c>
      <c r="T4106" s="18" t="str">
        <f aca="false">VLOOKUP(P4106,Sheet2!Q:R,2,0)</f>
        <v>IR Normal - Track burn out</v>
      </c>
      <c r="U4106" s="20" t="s">
        <v>41</v>
      </c>
      <c r="V4106" s="17"/>
      <c r="W4106" s="20" t="e">
        <f aca="false">VLOOKUP(V4106,Sheet2!Q:R,2,0)</f>
        <v>#N/A</v>
      </c>
      <c r="X4106" s="17" t="n">
        <f aca="false">J4106</f>
        <v>0</v>
      </c>
      <c r="Y4106" s="17" t="e">
        <f aca="false">VLOOKUP(X4106,Sheet2!A:B,2,0)</f>
        <v>#N/A</v>
      </c>
      <c r="Z4106" s="17"/>
      <c r="AA4106" s="17"/>
      <c r="AC4106" s="23" t="str">
        <f aca="false">LEFT(G4106,2)</f>
        <v/>
      </c>
    </row>
    <row r="4107" customFormat="false" ht="15" hidden="false" customHeight="false" outlineLevel="0" collapsed="false">
      <c r="A4107" s="13" t="n">
        <f aca="false">1+A4106</f>
        <v>4105</v>
      </c>
      <c r="B4107" s="14" t="n">
        <v>100</v>
      </c>
      <c r="C4107" s="15"/>
      <c r="D4107" s="16" t="s">
        <v>64</v>
      </c>
      <c r="E4107" s="17" t="s">
        <v>47</v>
      </c>
      <c r="F4107" s="18" t="s">
        <v>34</v>
      </c>
      <c r="G4107" s="19"/>
      <c r="H4107" s="17" t="s">
        <v>35</v>
      </c>
      <c r="I4107" s="17" t="s">
        <v>44</v>
      </c>
      <c r="J4107" s="17"/>
      <c r="K4107" s="17" t="e">
        <f aca="false">VLOOKUP(J4107,Sheet2!A:B,2,0)</f>
        <v>#N/A</v>
      </c>
      <c r="L4107" s="17" t="n">
        <v>5</v>
      </c>
      <c r="M4107" s="17" t="str">
        <f aca="false">VLOOKUP(L4107,Sheet2!D:E,2,0)</f>
        <v>Main Processor CPU BGA</v>
      </c>
      <c r="N4107" s="17" t="n">
        <v>1</v>
      </c>
      <c r="O4107" s="17" t="str">
        <f aca="false">VLOOKUP(N4107,Sheet2!G:H,2,0)</f>
        <v>Dead</v>
      </c>
      <c r="P4107" s="17" t="n">
        <v>11</v>
      </c>
      <c r="Q4107" s="17" t="str">
        <f aca="false">VLOOKUP(P4107,Sheet2!J:K,2,0)</f>
        <v>IR Declared due to CID -TA</v>
      </c>
      <c r="R4107" s="17" t="s">
        <v>35</v>
      </c>
      <c r="S4107" s="17" t="str">
        <f aca="false">VLOOKUP(R4107,Sheet2!N:O,2,0)</f>
        <v>IREPARABLE</v>
      </c>
      <c r="T4107" s="18" t="str">
        <f aca="false">VLOOKUP(P4107,Sheet2!Q:R,2,0)</f>
        <v>IR Normal - Track burn out</v>
      </c>
      <c r="U4107" s="20" t="s">
        <v>41</v>
      </c>
      <c r="V4107" s="17"/>
      <c r="W4107" s="20" t="e">
        <f aca="false">VLOOKUP(V4107,Sheet2!Q:R,2,0)</f>
        <v>#N/A</v>
      </c>
      <c r="X4107" s="17" t="n">
        <f aca="false">J4107</f>
        <v>0</v>
      </c>
      <c r="Y4107" s="17" t="e">
        <f aca="false">VLOOKUP(X4107,Sheet2!A:B,2,0)</f>
        <v>#N/A</v>
      </c>
      <c r="Z4107" s="17"/>
      <c r="AA4107" s="17"/>
      <c r="AC4107" s="23" t="str">
        <f aca="false">LEFT(G4107,2)</f>
        <v/>
      </c>
    </row>
    <row r="4108" customFormat="false" ht="15" hidden="false" customHeight="false" outlineLevel="0" collapsed="false">
      <c r="A4108" s="13" t="n">
        <f aca="false">1+A4107</f>
        <v>4106</v>
      </c>
      <c r="B4108" s="14" t="n">
        <v>100</v>
      </c>
      <c r="C4108" s="15"/>
      <c r="D4108" s="16" t="s">
        <v>64</v>
      </c>
      <c r="E4108" s="17" t="s">
        <v>47</v>
      </c>
      <c r="F4108" s="18" t="s">
        <v>34</v>
      </c>
      <c r="G4108" s="19"/>
      <c r="H4108" s="17" t="s">
        <v>35</v>
      </c>
      <c r="I4108" s="17" t="s">
        <v>44</v>
      </c>
      <c r="J4108" s="17"/>
      <c r="K4108" s="17" t="e">
        <f aca="false">VLOOKUP(J4108,Sheet2!A:B,2,0)</f>
        <v>#N/A</v>
      </c>
      <c r="L4108" s="17" t="n">
        <v>5</v>
      </c>
      <c r="M4108" s="17" t="str">
        <f aca="false">VLOOKUP(L4108,Sheet2!D:E,2,0)</f>
        <v>Main Processor CPU BGA</v>
      </c>
      <c r="N4108" s="17" t="n">
        <v>1</v>
      </c>
      <c r="O4108" s="17" t="str">
        <f aca="false">VLOOKUP(N4108,Sheet2!G:H,2,0)</f>
        <v>Dead</v>
      </c>
      <c r="P4108" s="17" t="n">
        <v>11</v>
      </c>
      <c r="Q4108" s="17" t="str">
        <f aca="false">VLOOKUP(P4108,Sheet2!J:K,2,0)</f>
        <v>IR Declared due to CID -TA</v>
      </c>
      <c r="R4108" s="17" t="s">
        <v>35</v>
      </c>
      <c r="S4108" s="17" t="str">
        <f aca="false">VLOOKUP(R4108,Sheet2!N:O,2,0)</f>
        <v>IREPARABLE</v>
      </c>
      <c r="T4108" s="18" t="str">
        <f aca="false">VLOOKUP(P4108,Sheet2!Q:R,2,0)</f>
        <v>IR Normal - Track burn out</v>
      </c>
      <c r="U4108" s="20" t="s">
        <v>41</v>
      </c>
      <c r="V4108" s="17"/>
      <c r="W4108" s="20" t="e">
        <f aca="false">VLOOKUP(V4108,Sheet2!Q:R,2,0)</f>
        <v>#N/A</v>
      </c>
      <c r="X4108" s="17" t="n">
        <f aca="false">J4108</f>
        <v>0</v>
      </c>
      <c r="Y4108" s="17" t="e">
        <f aca="false">VLOOKUP(X4108,Sheet2!A:B,2,0)</f>
        <v>#N/A</v>
      </c>
      <c r="Z4108" s="17"/>
      <c r="AA4108" s="17"/>
      <c r="AC4108" s="23" t="str">
        <f aca="false">LEFT(G4108,2)</f>
        <v/>
      </c>
    </row>
    <row r="4109" customFormat="false" ht="15" hidden="false" customHeight="false" outlineLevel="0" collapsed="false">
      <c r="A4109" s="13" t="n">
        <f aca="false">1+A4108</f>
        <v>4107</v>
      </c>
      <c r="B4109" s="14" t="n">
        <v>100</v>
      </c>
      <c r="C4109" s="15"/>
      <c r="D4109" s="16" t="s">
        <v>64</v>
      </c>
      <c r="E4109" s="17" t="s">
        <v>47</v>
      </c>
      <c r="F4109" s="18" t="s">
        <v>34</v>
      </c>
      <c r="G4109" s="19"/>
      <c r="H4109" s="17" t="s">
        <v>35</v>
      </c>
      <c r="I4109" s="17" t="s">
        <v>44</v>
      </c>
      <c r="J4109" s="17"/>
      <c r="K4109" s="17" t="e">
        <f aca="false">VLOOKUP(J4109,Sheet2!A:B,2,0)</f>
        <v>#N/A</v>
      </c>
      <c r="L4109" s="17" t="n">
        <v>5</v>
      </c>
      <c r="M4109" s="17" t="str">
        <f aca="false">VLOOKUP(L4109,Sheet2!D:E,2,0)</f>
        <v>Main Processor CPU BGA</v>
      </c>
      <c r="N4109" s="17" t="n">
        <v>1</v>
      </c>
      <c r="O4109" s="17" t="str">
        <f aca="false">VLOOKUP(N4109,Sheet2!G:H,2,0)</f>
        <v>Dead</v>
      </c>
      <c r="P4109" s="17" t="n">
        <v>11</v>
      </c>
      <c r="Q4109" s="17" t="str">
        <f aca="false">VLOOKUP(P4109,Sheet2!J:K,2,0)</f>
        <v>IR Declared due to CID -TA</v>
      </c>
      <c r="R4109" s="17" t="s">
        <v>35</v>
      </c>
      <c r="S4109" s="17" t="str">
        <f aca="false">VLOOKUP(R4109,Sheet2!N:O,2,0)</f>
        <v>IREPARABLE</v>
      </c>
      <c r="T4109" s="18" t="str">
        <f aca="false">VLOOKUP(P4109,Sheet2!Q:R,2,0)</f>
        <v>IR Normal - Track burn out</v>
      </c>
      <c r="U4109" s="20" t="s">
        <v>41</v>
      </c>
      <c r="V4109" s="17"/>
      <c r="W4109" s="20" t="e">
        <f aca="false">VLOOKUP(V4109,Sheet2!Q:R,2,0)</f>
        <v>#N/A</v>
      </c>
      <c r="X4109" s="17" t="n">
        <f aca="false">J4109</f>
        <v>0</v>
      </c>
      <c r="Y4109" s="17" t="e">
        <f aca="false">VLOOKUP(X4109,Sheet2!A:B,2,0)</f>
        <v>#N/A</v>
      </c>
      <c r="Z4109" s="17"/>
      <c r="AA4109" s="17"/>
      <c r="AC4109" s="23" t="str">
        <f aca="false">LEFT(G4109,2)</f>
        <v/>
      </c>
    </row>
    <row r="4110" customFormat="false" ht="15" hidden="false" customHeight="false" outlineLevel="0" collapsed="false">
      <c r="A4110" s="13" t="n">
        <f aca="false">1+A4109</f>
        <v>4108</v>
      </c>
      <c r="B4110" s="14" t="n">
        <v>100</v>
      </c>
      <c r="C4110" s="15"/>
      <c r="D4110" s="16" t="s">
        <v>64</v>
      </c>
      <c r="E4110" s="17" t="s">
        <v>47</v>
      </c>
      <c r="F4110" s="18" t="s">
        <v>34</v>
      </c>
      <c r="G4110" s="19"/>
      <c r="H4110" s="17" t="s">
        <v>35</v>
      </c>
      <c r="I4110" s="17" t="s">
        <v>44</v>
      </c>
      <c r="J4110" s="17"/>
      <c r="K4110" s="17" t="e">
        <f aca="false">VLOOKUP(J4110,Sheet2!A:B,2,0)</f>
        <v>#N/A</v>
      </c>
      <c r="L4110" s="17" t="n">
        <v>5</v>
      </c>
      <c r="M4110" s="17" t="str">
        <f aca="false">VLOOKUP(L4110,Sheet2!D:E,2,0)</f>
        <v>Main Processor CPU BGA</v>
      </c>
      <c r="N4110" s="17" t="n">
        <v>1</v>
      </c>
      <c r="O4110" s="17" t="str">
        <f aca="false">VLOOKUP(N4110,Sheet2!G:H,2,0)</f>
        <v>Dead</v>
      </c>
      <c r="P4110" s="17" t="n">
        <v>11</v>
      </c>
      <c r="Q4110" s="17" t="str">
        <f aca="false">VLOOKUP(P4110,Sheet2!J:K,2,0)</f>
        <v>IR Declared due to CID -TA</v>
      </c>
      <c r="R4110" s="17" t="s">
        <v>35</v>
      </c>
      <c r="S4110" s="17" t="str">
        <f aca="false">VLOOKUP(R4110,Sheet2!N:O,2,0)</f>
        <v>IREPARABLE</v>
      </c>
      <c r="T4110" s="18" t="str">
        <f aca="false">VLOOKUP(P4110,Sheet2!Q:R,2,0)</f>
        <v>IR Normal - Track burn out</v>
      </c>
      <c r="U4110" s="20" t="s">
        <v>41</v>
      </c>
      <c r="V4110" s="17"/>
      <c r="W4110" s="20" t="e">
        <f aca="false">VLOOKUP(V4110,Sheet2!Q:R,2,0)</f>
        <v>#N/A</v>
      </c>
      <c r="X4110" s="17" t="n">
        <f aca="false">J4110</f>
        <v>0</v>
      </c>
      <c r="Y4110" s="17" t="e">
        <f aca="false">VLOOKUP(X4110,Sheet2!A:B,2,0)</f>
        <v>#N/A</v>
      </c>
      <c r="Z4110" s="17"/>
      <c r="AA4110" s="17"/>
      <c r="AC4110" s="23" t="str">
        <f aca="false">LEFT(G4110,2)</f>
        <v/>
      </c>
    </row>
    <row r="4111" customFormat="false" ht="15" hidden="false" customHeight="false" outlineLevel="0" collapsed="false">
      <c r="A4111" s="13" t="n">
        <f aca="false">1+A4110</f>
        <v>4109</v>
      </c>
      <c r="B4111" s="14" t="n">
        <v>100</v>
      </c>
      <c r="C4111" s="15"/>
      <c r="D4111" s="16" t="s">
        <v>64</v>
      </c>
      <c r="E4111" s="17" t="s">
        <v>47</v>
      </c>
      <c r="F4111" s="18" t="s">
        <v>34</v>
      </c>
      <c r="G4111" s="19"/>
      <c r="H4111" s="17" t="s">
        <v>35</v>
      </c>
      <c r="I4111" s="17" t="s">
        <v>44</v>
      </c>
      <c r="J4111" s="17"/>
      <c r="K4111" s="17" t="e">
        <f aca="false">VLOOKUP(J4111,Sheet2!A:B,2,0)</f>
        <v>#N/A</v>
      </c>
      <c r="L4111" s="17" t="n">
        <v>5</v>
      </c>
      <c r="M4111" s="17" t="str">
        <f aca="false">VLOOKUP(L4111,Sheet2!D:E,2,0)</f>
        <v>Main Processor CPU BGA</v>
      </c>
      <c r="N4111" s="17" t="n">
        <v>1</v>
      </c>
      <c r="O4111" s="17" t="str">
        <f aca="false">VLOOKUP(N4111,Sheet2!G:H,2,0)</f>
        <v>Dead</v>
      </c>
      <c r="P4111" s="17" t="n">
        <v>11</v>
      </c>
      <c r="Q4111" s="17" t="str">
        <f aca="false">VLOOKUP(P4111,Sheet2!J:K,2,0)</f>
        <v>IR Declared due to CID -TA</v>
      </c>
      <c r="R4111" s="17" t="s">
        <v>35</v>
      </c>
      <c r="S4111" s="17" t="str">
        <f aca="false">VLOOKUP(R4111,Sheet2!N:O,2,0)</f>
        <v>IREPARABLE</v>
      </c>
      <c r="T4111" s="18" t="str">
        <f aca="false">VLOOKUP(P4111,Sheet2!Q:R,2,0)</f>
        <v>IR Normal - Track burn out</v>
      </c>
      <c r="U4111" s="20" t="s">
        <v>41</v>
      </c>
      <c r="V4111" s="17"/>
      <c r="W4111" s="20" t="e">
        <f aca="false">VLOOKUP(V4111,Sheet2!Q:R,2,0)</f>
        <v>#N/A</v>
      </c>
      <c r="X4111" s="17" t="n">
        <f aca="false">J4111</f>
        <v>0</v>
      </c>
      <c r="Y4111" s="17" t="e">
        <f aca="false">VLOOKUP(X4111,Sheet2!A:B,2,0)</f>
        <v>#N/A</v>
      </c>
      <c r="Z4111" s="17"/>
      <c r="AA4111" s="17"/>
      <c r="AC4111" s="23" t="str">
        <f aca="false">LEFT(G4111,2)</f>
        <v/>
      </c>
    </row>
    <row r="4112" customFormat="false" ht="15" hidden="false" customHeight="false" outlineLevel="0" collapsed="false">
      <c r="A4112" s="13" t="n">
        <f aca="false">1+A4111</f>
        <v>4110</v>
      </c>
      <c r="B4112" s="14" t="n">
        <v>100</v>
      </c>
      <c r="C4112" s="15"/>
      <c r="D4112" s="16" t="s">
        <v>64</v>
      </c>
      <c r="E4112" s="17" t="s">
        <v>47</v>
      </c>
      <c r="F4112" s="18" t="s">
        <v>34</v>
      </c>
      <c r="G4112" s="19"/>
      <c r="H4112" s="17" t="s">
        <v>35</v>
      </c>
      <c r="I4112" s="17" t="s">
        <v>44</v>
      </c>
      <c r="J4112" s="17"/>
      <c r="K4112" s="17" t="e">
        <f aca="false">VLOOKUP(J4112,Sheet2!A:B,2,0)</f>
        <v>#N/A</v>
      </c>
      <c r="L4112" s="17" t="n">
        <v>5</v>
      </c>
      <c r="M4112" s="17" t="str">
        <f aca="false">VLOOKUP(L4112,Sheet2!D:E,2,0)</f>
        <v>Main Processor CPU BGA</v>
      </c>
      <c r="N4112" s="17" t="n">
        <v>1</v>
      </c>
      <c r="O4112" s="17" t="str">
        <f aca="false">VLOOKUP(N4112,Sheet2!G:H,2,0)</f>
        <v>Dead</v>
      </c>
      <c r="P4112" s="17" t="n">
        <v>11</v>
      </c>
      <c r="Q4112" s="17" t="str">
        <f aca="false">VLOOKUP(P4112,Sheet2!J:K,2,0)</f>
        <v>IR Declared due to CID -TA</v>
      </c>
      <c r="R4112" s="17" t="s">
        <v>35</v>
      </c>
      <c r="S4112" s="17" t="str">
        <f aca="false">VLOOKUP(R4112,Sheet2!N:O,2,0)</f>
        <v>IREPARABLE</v>
      </c>
      <c r="T4112" s="18" t="str">
        <f aca="false">VLOOKUP(P4112,Sheet2!Q:R,2,0)</f>
        <v>IR Normal - Track burn out</v>
      </c>
      <c r="U4112" s="20" t="s">
        <v>41</v>
      </c>
      <c r="V4112" s="17"/>
      <c r="W4112" s="20" t="e">
        <f aca="false">VLOOKUP(V4112,Sheet2!Q:R,2,0)</f>
        <v>#N/A</v>
      </c>
      <c r="X4112" s="17" t="n">
        <f aca="false">J4112</f>
        <v>0</v>
      </c>
      <c r="Y4112" s="17" t="e">
        <f aca="false">VLOOKUP(X4112,Sheet2!A:B,2,0)</f>
        <v>#N/A</v>
      </c>
      <c r="Z4112" s="17"/>
      <c r="AA4112" s="17"/>
      <c r="AC4112" s="23" t="str">
        <f aca="false">LEFT(G4112,2)</f>
        <v/>
      </c>
    </row>
    <row r="4113" customFormat="false" ht="15" hidden="false" customHeight="false" outlineLevel="0" collapsed="false">
      <c r="A4113" s="13" t="n">
        <f aca="false">1+A4112</f>
        <v>4111</v>
      </c>
      <c r="B4113" s="14" t="n">
        <v>100</v>
      </c>
      <c r="C4113" s="15"/>
      <c r="D4113" s="16" t="s">
        <v>64</v>
      </c>
      <c r="E4113" s="17" t="s">
        <v>47</v>
      </c>
      <c r="F4113" s="18" t="s">
        <v>34</v>
      </c>
      <c r="G4113" s="19"/>
      <c r="H4113" s="17" t="s">
        <v>35</v>
      </c>
      <c r="I4113" s="17" t="s">
        <v>44</v>
      </c>
      <c r="J4113" s="17"/>
      <c r="K4113" s="17" t="e">
        <f aca="false">VLOOKUP(J4113,Sheet2!A:B,2,0)</f>
        <v>#N/A</v>
      </c>
      <c r="L4113" s="17" t="n">
        <v>5</v>
      </c>
      <c r="M4113" s="17" t="str">
        <f aca="false">VLOOKUP(L4113,Sheet2!D:E,2,0)</f>
        <v>Main Processor CPU BGA</v>
      </c>
      <c r="N4113" s="17" t="n">
        <v>1</v>
      </c>
      <c r="O4113" s="17" t="str">
        <f aca="false">VLOOKUP(N4113,Sheet2!G:H,2,0)</f>
        <v>Dead</v>
      </c>
      <c r="P4113" s="17" t="n">
        <v>11</v>
      </c>
      <c r="Q4113" s="17" t="str">
        <f aca="false">VLOOKUP(P4113,Sheet2!J:K,2,0)</f>
        <v>IR Declared due to CID -TA</v>
      </c>
      <c r="R4113" s="17" t="s">
        <v>35</v>
      </c>
      <c r="S4113" s="17" t="str">
        <f aca="false">VLOOKUP(R4113,Sheet2!N:O,2,0)</f>
        <v>IREPARABLE</v>
      </c>
      <c r="T4113" s="18" t="str">
        <f aca="false">VLOOKUP(P4113,Sheet2!Q:R,2,0)</f>
        <v>IR Normal - Track burn out</v>
      </c>
      <c r="U4113" s="20" t="s">
        <v>41</v>
      </c>
      <c r="V4113" s="17"/>
      <c r="W4113" s="20" t="e">
        <f aca="false">VLOOKUP(V4113,Sheet2!Q:R,2,0)</f>
        <v>#N/A</v>
      </c>
      <c r="X4113" s="17" t="n">
        <f aca="false">J4113</f>
        <v>0</v>
      </c>
      <c r="Y4113" s="17" t="e">
        <f aca="false">VLOOKUP(X4113,Sheet2!A:B,2,0)</f>
        <v>#N/A</v>
      </c>
      <c r="Z4113" s="17"/>
      <c r="AA4113" s="17"/>
      <c r="AC4113" s="23" t="str">
        <f aca="false">LEFT(G4113,2)</f>
        <v/>
      </c>
    </row>
    <row r="4114" customFormat="false" ht="15" hidden="false" customHeight="false" outlineLevel="0" collapsed="false">
      <c r="A4114" s="13" t="n">
        <f aca="false">1+A4113</f>
        <v>4112</v>
      </c>
      <c r="B4114" s="14" t="n">
        <v>100</v>
      </c>
      <c r="C4114" s="15"/>
      <c r="D4114" s="16" t="s">
        <v>64</v>
      </c>
      <c r="E4114" s="17" t="s">
        <v>47</v>
      </c>
      <c r="F4114" s="18" t="s">
        <v>34</v>
      </c>
      <c r="G4114" s="19"/>
      <c r="H4114" s="17" t="s">
        <v>35</v>
      </c>
      <c r="I4114" s="17" t="s">
        <v>44</v>
      </c>
      <c r="J4114" s="17"/>
      <c r="K4114" s="17" t="e">
        <f aca="false">VLOOKUP(J4114,Sheet2!A:B,2,0)</f>
        <v>#N/A</v>
      </c>
      <c r="L4114" s="17" t="n">
        <v>5</v>
      </c>
      <c r="M4114" s="17" t="str">
        <f aca="false">VLOOKUP(L4114,Sheet2!D:E,2,0)</f>
        <v>Main Processor CPU BGA</v>
      </c>
      <c r="N4114" s="17" t="n">
        <v>1</v>
      </c>
      <c r="O4114" s="17" t="str">
        <f aca="false">VLOOKUP(N4114,Sheet2!G:H,2,0)</f>
        <v>Dead</v>
      </c>
      <c r="P4114" s="17" t="n">
        <v>11</v>
      </c>
      <c r="Q4114" s="17" t="str">
        <f aca="false">VLOOKUP(P4114,Sheet2!J:K,2,0)</f>
        <v>IR Declared due to CID -TA</v>
      </c>
      <c r="R4114" s="17" t="s">
        <v>35</v>
      </c>
      <c r="S4114" s="17" t="str">
        <f aca="false">VLOOKUP(R4114,Sheet2!N:O,2,0)</f>
        <v>IREPARABLE</v>
      </c>
      <c r="T4114" s="18" t="str">
        <f aca="false">VLOOKUP(P4114,Sheet2!Q:R,2,0)</f>
        <v>IR Normal - Track burn out</v>
      </c>
      <c r="U4114" s="20" t="s">
        <v>41</v>
      </c>
      <c r="V4114" s="17"/>
      <c r="W4114" s="20" t="e">
        <f aca="false">VLOOKUP(V4114,Sheet2!Q:R,2,0)</f>
        <v>#N/A</v>
      </c>
      <c r="X4114" s="17" t="n">
        <f aca="false">J4114</f>
        <v>0</v>
      </c>
      <c r="Y4114" s="17" t="e">
        <f aca="false">VLOOKUP(X4114,Sheet2!A:B,2,0)</f>
        <v>#N/A</v>
      </c>
      <c r="Z4114" s="17"/>
      <c r="AA4114" s="17"/>
      <c r="AC4114" s="23" t="str">
        <f aca="false">LEFT(G4114,2)</f>
        <v/>
      </c>
    </row>
    <row r="4115" customFormat="false" ht="15" hidden="false" customHeight="false" outlineLevel="0" collapsed="false">
      <c r="A4115" s="13" t="n">
        <f aca="false">1+A4114</f>
        <v>4113</v>
      </c>
      <c r="B4115" s="14" t="n">
        <v>100</v>
      </c>
      <c r="C4115" s="15"/>
      <c r="D4115" s="16" t="s">
        <v>64</v>
      </c>
      <c r="E4115" s="17" t="s">
        <v>47</v>
      </c>
      <c r="F4115" s="18" t="s">
        <v>34</v>
      </c>
      <c r="G4115" s="19"/>
      <c r="H4115" s="17" t="s">
        <v>35</v>
      </c>
      <c r="I4115" s="17" t="s">
        <v>44</v>
      </c>
      <c r="J4115" s="17"/>
      <c r="K4115" s="17" t="e">
        <f aca="false">VLOOKUP(J4115,Sheet2!A:B,2,0)</f>
        <v>#N/A</v>
      </c>
      <c r="L4115" s="17" t="n">
        <v>5</v>
      </c>
      <c r="M4115" s="17" t="str">
        <f aca="false">VLOOKUP(L4115,Sheet2!D:E,2,0)</f>
        <v>Main Processor CPU BGA</v>
      </c>
      <c r="N4115" s="17" t="n">
        <v>1</v>
      </c>
      <c r="O4115" s="17" t="str">
        <f aca="false">VLOOKUP(N4115,Sheet2!G:H,2,0)</f>
        <v>Dead</v>
      </c>
      <c r="P4115" s="17" t="n">
        <v>11</v>
      </c>
      <c r="Q4115" s="17" t="str">
        <f aca="false">VLOOKUP(P4115,Sheet2!J:K,2,0)</f>
        <v>IR Declared due to CID -TA</v>
      </c>
      <c r="R4115" s="17" t="s">
        <v>35</v>
      </c>
      <c r="S4115" s="17" t="str">
        <f aca="false">VLOOKUP(R4115,Sheet2!N:O,2,0)</f>
        <v>IREPARABLE</v>
      </c>
      <c r="T4115" s="18" t="str">
        <f aca="false">VLOOKUP(P4115,Sheet2!Q:R,2,0)</f>
        <v>IR Normal - Track burn out</v>
      </c>
      <c r="U4115" s="20" t="s">
        <v>41</v>
      </c>
      <c r="V4115" s="17"/>
      <c r="W4115" s="20" t="e">
        <f aca="false">VLOOKUP(V4115,Sheet2!Q:R,2,0)</f>
        <v>#N/A</v>
      </c>
      <c r="X4115" s="17" t="n">
        <f aca="false">J4115</f>
        <v>0</v>
      </c>
      <c r="Y4115" s="17" t="e">
        <f aca="false">VLOOKUP(X4115,Sheet2!A:B,2,0)</f>
        <v>#N/A</v>
      </c>
      <c r="Z4115" s="17"/>
      <c r="AA4115" s="17"/>
      <c r="AC4115" s="23" t="str">
        <f aca="false">LEFT(G4115,2)</f>
        <v/>
      </c>
    </row>
    <row r="4116" customFormat="false" ht="15" hidden="false" customHeight="false" outlineLevel="0" collapsed="false">
      <c r="A4116" s="13" t="n">
        <f aca="false">1+A4115</f>
        <v>4114</v>
      </c>
      <c r="B4116" s="14" t="n">
        <v>100</v>
      </c>
      <c r="C4116" s="15"/>
      <c r="D4116" s="16" t="s">
        <v>64</v>
      </c>
      <c r="E4116" s="17" t="s">
        <v>47</v>
      </c>
      <c r="F4116" s="18" t="s">
        <v>34</v>
      </c>
      <c r="G4116" s="19"/>
      <c r="H4116" s="17" t="s">
        <v>35</v>
      </c>
      <c r="I4116" s="17" t="s">
        <v>44</v>
      </c>
      <c r="J4116" s="17"/>
      <c r="K4116" s="17" t="e">
        <f aca="false">VLOOKUP(J4116,Sheet2!A:B,2,0)</f>
        <v>#N/A</v>
      </c>
      <c r="L4116" s="17" t="n">
        <v>5</v>
      </c>
      <c r="M4116" s="17" t="str">
        <f aca="false">VLOOKUP(L4116,Sheet2!D:E,2,0)</f>
        <v>Main Processor CPU BGA</v>
      </c>
      <c r="N4116" s="17" t="n">
        <v>1</v>
      </c>
      <c r="O4116" s="17" t="str">
        <f aca="false">VLOOKUP(N4116,Sheet2!G:H,2,0)</f>
        <v>Dead</v>
      </c>
      <c r="P4116" s="17" t="n">
        <v>11</v>
      </c>
      <c r="Q4116" s="17" t="str">
        <f aca="false">VLOOKUP(P4116,Sheet2!J:K,2,0)</f>
        <v>IR Declared due to CID -TA</v>
      </c>
      <c r="R4116" s="17" t="s">
        <v>35</v>
      </c>
      <c r="S4116" s="17" t="str">
        <f aca="false">VLOOKUP(R4116,Sheet2!N:O,2,0)</f>
        <v>IREPARABLE</v>
      </c>
      <c r="T4116" s="18" t="str">
        <f aca="false">VLOOKUP(P4116,Sheet2!Q:R,2,0)</f>
        <v>IR Normal - Track burn out</v>
      </c>
      <c r="U4116" s="20" t="s">
        <v>41</v>
      </c>
      <c r="V4116" s="17"/>
      <c r="W4116" s="20" t="e">
        <f aca="false">VLOOKUP(V4116,Sheet2!Q:R,2,0)</f>
        <v>#N/A</v>
      </c>
      <c r="X4116" s="17" t="n">
        <f aca="false">J4116</f>
        <v>0</v>
      </c>
      <c r="Y4116" s="17" t="e">
        <f aca="false">VLOOKUP(X4116,Sheet2!A:B,2,0)</f>
        <v>#N/A</v>
      </c>
      <c r="Z4116" s="17"/>
      <c r="AA4116" s="17"/>
      <c r="AC4116" s="23" t="str">
        <f aca="false">LEFT(G4116,2)</f>
        <v/>
      </c>
    </row>
    <row r="4117" customFormat="false" ht="15" hidden="false" customHeight="false" outlineLevel="0" collapsed="false">
      <c r="A4117" s="13" t="n">
        <f aca="false">1+A4116</f>
        <v>4115</v>
      </c>
      <c r="B4117" s="14" t="n">
        <v>100</v>
      </c>
      <c r="C4117" s="15"/>
      <c r="D4117" s="16" t="s">
        <v>64</v>
      </c>
      <c r="E4117" s="17" t="s">
        <v>47</v>
      </c>
      <c r="F4117" s="18" t="s">
        <v>34</v>
      </c>
      <c r="G4117" s="19"/>
      <c r="H4117" s="17" t="s">
        <v>35</v>
      </c>
      <c r="I4117" s="17" t="s">
        <v>44</v>
      </c>
      <c r="J4117" s="17"/>
      <c r="K4117" s="17" t="e">
        <f aca="false">VLOOKUP(J4117,Sheet2!A:B,2,0)</f>
        <v>#N/A</v>
      </c>
      <c r="L4117" s="17" t="n">
        <v>5</v>
      </c>
      <c r="M4117" s="17" t="str">
        <f aca="false">VLOOKUP(L4117,Sheet2!D:E,2,0)</f>
        <v>Main Processor CPU BGA</v>
      </c>
      <c r="N4117" s="17" t="n">
        <v>1</v>
      </c>
      <c r="O4117" s="17" t="str">
        <f aca="false">VLOOKUP(N4117,Sheet2!G:H,2,0)</f>
        <v>Dead</v>
      </c>
      <c r="P4117" s="17" t="n">
        <v>11</v>
      </c>
      <c r="Q4117" s="17" t="str">
        <f aca="false">VLOOKUP(P4117,Sheet2!J:K,2,0)</f>
        <v>IR Declared due to CID -TA</v>
      </c>
      <c r="R4117" s="17" t="s">
        <v>35</v>
      </c>
      <c r="S4117" s="17" t="str">
        <f aca="false">VLOOKUP(R4117,Sheet2!N:O,2,0)</f>
        <v>IREPARABLE</v>
      </c>
      <c r="T4117" s="18" t="str">
        <f aca="false">VLOOKUP(P4117,Sheet2!Q:R,2,0)</f>
        <v>IR Normal - Track burn out</v>
      </c>
      <c r="U4117" s="20" t="s">
        <v>41</v>
      </c>
      <c r="V4117" s="17"/>
      <c r="W4117" s="20" t="e">
        <f aca="false">VLOOKUP(V4117,Sheet2!Q:R,2,0)</f>
        <v>#N/A</v>
      </c>
      <c r="X4117" s="17" t="n">
        <f aca="false">J4117</f>
        <v>0</v>
      </c>
      <c r="Y4117" s="17" t="e">
        <f aca="false">VLOOKUP(X4117,Sheet2!A:B,2,0)</f>
        <v>#N/A</v>
      </c>
      <c r="Z4117" s="17"/>
      <c r="AA4117" s="17"/>
      <c r="AC4117" s="23" t="str">
        <f aca="false">LEFT(G4117,2)</f>
        <v/>
      </c>
    </row>
    <row r="4118" customFormat="false" ht="15" hidden="false" customHeight="false" outlineLevel="0" collapsed="false">
      <c r="A4118" s="13" t="n">
        <f aca="false">1+A4117</f>
        <v>4116</v>
      </c>
      <c r="B4118" s="14" t="n">
        <v>100</v>
      </c>
      <c r="C4118" s="15"/>
      <c r="D4118" s="16" t="s">
        <v>64</v>
      </c>
      <c r="E4118" s="17" t="s">
        <v>47</v>
      </c>
      <c r="F4118" s="18" t="s">
        <v>34</v>
      </c>
      <c r="G4118" s="19"/>
      <c r="H4118" s="17" t="s">
        <v>35</v>
      </c>
      <c r="I4118" s="17" t="s">
        <v>44</v>
      </c>
      <c r="J4118" s="17"/>
      <c r="K4118" s="17" t="e">
        <f aca="false">VLOOKUP(J4118,Sheet2!A:B,2,0)</f>
        <v>#N/A</v>
      </c>
      <c r="L4118" s="17" t="n">
        <v>5</v>
      </c>
      <c r="M4118" s="17" t="str">
        <f aca="false">VLOOKUP(L4118,Sheet2!D:E,2,0)</f>
        <v>Main Processor CPU BGA</v>
      </c>
      <c r="N4118" s="17" t="n">
        <v>1</v>
      </c>
      <c r="O4118" s="17" t="str">
        <f aca="false">VLOOKUP(N4118,Sheet2!G:H,2,0)</f>
        <v>Dead</v>
      </c>
      <c r="P4118" s="17" t="n">
        <v>11</v>
      </c>
      <c r="Q4118" s="17" t="str">
        <f aca="false">VLOOKUP(P4118,Sheet2!J:K,2,0)</f>
        <v>IR Declared due to CID -TA</v>
      </c>
      <c r="R4118" s="17" t="s">
        <v>35</v>
      </c>
      <c r="S4118" s="17" t="str">
        <f aca="false">VLOOKUP(R4118,Sheet2!N:O,2,0)</f>
        <v>IREPARABLE</v>
      </c>
      <c r="T4118" s="18" t="str">
        <f aca="false">VLOOKUP(P4118,Sheet2!Q:R,2,0)</f>
        <v>IR Normal - Track burn out</v>
      </c>
      <c r="U4118" s="20" t="s">
        <v>41</v>
      </c>
      <c r="V4118" s="17"/>
      <c r="W4118" s="20" t="e">
        <f aca="false">VLOOKUP(V4118,Sheet2!Q:R,2,0)</f>
        <v>#N/A</v>
      </c>
      <c r="X4118" s="17" t="n">
        <f aca="false">J4118</f>
        <v>0</v>
      </c>
      <c r="Y4118" s="17" t="e">
        <f aca="false">VLOOKUP(X4118,Sheet2!A:B,2,0)</f>
        <v>#N/A</v>
      </c>
      <c r="Z4118" s="17"/>
      <c r="AA4118" s="17"/>
      <c r="AC4118" s="23" t="str">
        <f aca="false">LEFT(G4118,2)</f>
        <v/>
      </c>
    </row>
    <row r="4119" customFormat="false" ht="15" hidden="false" customHeight="false" outlineLevel="0" collapsed="false">
      <c r="A4119" s="13" t="n">
        <f aca="false">1+A4118</f>
        <v>4117</v>
      </c>
      <c r="B4119" s="14" t="n">
        <v>100</v>
      </c>
      <c r="C4119" s="15"/>
      <c r="D4119" s="16" t="s">
        <v>64</v>
      </c>
      <c r="E4119" s="17" t="s">
        <v>47</v>
      </c>
      <c r="F4119" s="18" t="s">
        <v>34</v>
      </c>
      <c r="G4119" s="19"/>
      <c r="H4119" s="17" t="s">
        <v>35</v>
      </c>
      <c r="I4119" s="17" t="s">
        <v>44</v>
      </c>
      <c r="J4119" s="17"/>
      <c r="K4119" s="17" t="e">
        <f aca="false">VLOOKUP(J4119,Sheet2!A:B,2,0)</f>
        <v>#N/A</v>
      </c>
      <c r="L4119" s="17" t="n">
        <v>5</v>
      </c>
      <c r="M4119" s="17" t="str">
        <f aca="false">VLOOKUP(L4119,Sheet2!D:E,2,0)</f>
        <v>Main Processor CPU BGA</v>
      </c>
      <c r="N4119" s="17" t="n">
        <v>1</v>
      </c>
      <c r="O4119" s="17" t="str">
        <f aca="false">VLOOKUP(N4119,Sheet2!G:H,2,0)</f>
        <v>Dead</v>
      </c>
      <c r="P4119" s="17" t="n">
        <v>11</v>
      </c>
      <c r="Q4119" s="17" t="str">
        <f aca="false">VLOOKUP(P4119,Sheet2!J:K,2,0)</f>
        <v>IR Declared due to CID -TA</v>
      </c>
      <c r="R4119" s="17" t="s">
        <v>35</v>
      </c>
      <c r="S4119" s="17" t="str">
        <f aca="false">VLOOKUP(R4119,Sheet2!N:O,2,0)</f>
        <v>IREPARABLE</v>
      </c>
      <c r="T4119" s="18" t="str">
        <f aca="false">VLOOKUP(P4119,Sheet2!Q:R,2,0)</f>
        <v>IR Normal - Track burn out</v>
      </c>
      <c r="U4119" s="20" t="s">
        <v>41</v>
      </c>
      <c r="V4119" s="17"/>
      <c r="W4119" s="20" t="e">
        <f aca="false">VLOOKUP(V4119,Sheet2!Q:R,2,0)</f>
        <v>#N/A</v>
      </c>
      <c r="X4119" s="17" t="n">
        <f aca="false">J4119</f>
        <v>0</v>
      </c>
      <c r="Y4119" s="17" t="e">
        <f aca="false">VLOOKUP(X4119,Sheet2!A:B,2,0)</f>
        <v>#N/A</v>
      </c>
      <c r="Z4119" s="17"/>
      <c r="AA4119" s="17"/>
      <c r="AC4119" s="23" t="str">
        <f aca="false">LEFT(G4119,2)</f>
        <v/>
      </c>
    </row>
    <row r="4120" customFormat="false" ht="15" hidden="false" customHeight="false" outlineLevel="0" collapsed="false">
      <c r="A4120" s="13" t="n">
        <f aca="false">1+A4119</f>
        <v>4118</v>
      </c>
      <c r="B4120" s="14" t="n">
        <v>100</v>
      </c>
      <c r="C4120" s="15"/>
      <c r="D4120" s="16" t="s">
        <v>64</v>
      </c>
      <c r="E4120" s="17" t="s">
        <v>47</v>
      </c>
      <c r="F4120" s="18" t="s">
        <v>34</v>
      </c>
      <c r="G4120" s="19"/>
      <c r="H4120" s="17" t="s">
        <v>35</v>
      </c>
      <c r="I4120" s="17" t="s">
        <v>44</v>
      </c>
      <c r="J4120" s="17"/>
      <c r="K4120" s="17" t="e">
        <f aca="false">VLOOKUP(J4120,Sheet2!A:B,2,0)</f>
        <v>#N/A</v>
      </c>
      <c r="L4120" s="17" t="n">
        <v>5</v>
      </c>
      <c r="M4120" s="17" t="str">
        <f aca="false">VLOOKUP(L4120,Sheet2!D:E,2,0)</f>
        <v>Main Processor CPU BGA</v>
      </c>
      <c r="N4120" s="17" t="n">
        <v>1</v>
      </c>
      <c r="O4120" s="17" t="str">
        <f aca="false">VLOOKUP(N4120,Sheet2!G:H,2,0)</f>
        <v>Dead</v>
      </c>
      <c r="P4120" s="17" t="n">
        <v>11</v>
      </c>
      <c r="Q4120" s="17" t="str">
        <f aca="false">VLOOKUP(P4120,Sheet2!J:K,2,0)</f>
        <v>IR Declared due to CID -TA</v>
      </c>
      <c r="R4120" s="17" t="s">
        <v>35</v>
      </c>
      <c r="S4120" s="17" t="str">
        <f aca="false">VLOOKUP(R4120,Sheet2!N:O,2,0)</f>
        <v>IREPARABLE</v>
      </c>
      <c r="T4120" s="18" t="str">
        <f aca="false">VLOOKUP(P4120,Sheet2!Q:R,2,0)</f>
        <v>IR Normal - Track burn out</v>
      </c>
      <c r="U4120" s="20" t="s">
        <v>41</v>
      </c>
      <c r="V4120" s="17"/>
      <c r="W4120" s="20" t="e">
        <f aca="false">VLOOKUP(V4120,Sheet2!Q:R,2,0)</f>
        <v>#N/A</v>
      </c>
      <c r="X4120" s="17" t="n">
        <f aca="false">J4120</f>
        <v>0</v>
      </c>
      <c r="Y4120" s="17" t="e">
        <f aca="false">VLOOKUP(X4120,Sheet2!A:B,2,0)</f>
        <v>#N/A</v>
      </c>
      <c r="Z4120" s="17"/>
      <c r="AA4120" s="17"/>
      <c r="AC4120" s="23" t="str">
        <f aca="false">LEFT(G4120,2)</f>
        <v/>
      </c>
    </row>
    <row r="4121" customFormat="false" ht="15" hidden="false" customHeight="false" outlineLevel="0" collapsed="false">
      <c r="A4121" s="13" t="n">
        <f aca="false">1+A4120</f>
        <v>4119</v>
      </c>
      <c r="B4121" s="14" t="n">
        <v>100</v>
      </c>
      <c r="C4121" s="15"/>
      <c r="D4121" s="16" t="s">
        <v>64</v>
      </c>
      <c r="E4121" s="17" t="s">
        <v>47</v>
      </c>
      <c r="F4121" s="18" t="s">
        <v>34</v>
      </c>
      <c r="G4121" s="19"/>
      <c r="H4121" s="17" t="s">
        <v>35</v>
      </c>
      <c r="I4121" s="17" t="s">
        <v>44</v>
      </c>
      <c r="J4121" s="17"/>
      <c r="K4121" s="17" t="e">
        <f aca="false">VLOOKUP(J4121,Sheet2!A:B,2,0)</f>
        <v>#N/A</v>
      </c>
      <c r="L4121" s="17" t="n">
        <v>5</v>
      </c>
      <c r="M4121" s="17" t="str">
        <f aca="false">VLOOKUP(L4121,Sheet2!D:E,2,0)</f>
        <v>Main Processor CPU BGA</v>
      </c>
      <c r="N4121" s="17" t="n">
        <v>1</v>
      </c>
      <c r="O4121" s="17" t="str">
        <f aca="false">VLOOKUP(N4121,Sheet2!G:H,2,0)</f>
        <v>Dead</v>
      </c>
      <c r="P4121" s="17" t="n">
        <v>11</v>
      </c>
      <c r="Q4121" s="17" t="str">
        <f aca="false">VLOOKUP(P4121,Sheet2!J:K,2,0)</f>
        <v>IR Declared due to CID -TA</v>
      </c>
      <c r="R4121" s="17" t="s">
        <v>35</v>
      </c>
      <c r="S4121" s="17" t="str">
        <f aca="false">VLOOKUP(R4121,Sheet2!N:O,2,0)</f>
        <v>IREPARABLE</v>
      </c>
      <c r="T4121" s="18" t="str">
        <f aca="false">VLOOKUP(P4121,Sheet2!Q:R,2,0)</f>
        <v>IR Normal - Track burn out</v>
      </c>
      <c r="U4121" s="20" t="s">
        <v>41</v>
      </c>
      <c r="V4121" s="17"/>
      <c r="W4121" s="20" t="e">
        <f aca="false">VLOOKUP(V4121,Sheet2!Q:R,2,0)</f>
        <v>#N/A</v>
      </c>
      <c r="X4121" s="17" t="n">
        <f aca="false">J4121</f>
        <v>0</v>
      </c>
      <c r="Y4121" s="17" t="e">
        <f aca="false">VLOOKUP(X4121,Sheet2!A:B,2,0)</f>
        <v>#N/A</v>
      </c>
      <c r="Z4121" s="17"/>
      <c r="AA4121" s="17"/>
      <c r="AC4121" s="23" t="str">
        <f aca="false">LEFT(G4121,2)</f>
        <v/>
      </c>
    </row>
    <row r="4122" customFormat="false" ht="15" hidden="false" customHeight="false" outlineLevel="0" collapsed="false">
      <c r="A4122" s="13" t="n">
        <f aca="false">1+A4121</f>
        <v>4120</v>
      </c>
      <c r="B4122" s="14" t="n">
        <v>100</v>
      </c>
      <c r="C4122" s="15"/>
      <c r="D4122" s="16" t="s">
        <v>64</v>
      </c>
      <c r="E4122" s="17" t="s">
        <v>47</v>
      </c>
      <c r="F4122" s="18" t="s">
        <v>34</v>
      </c>
      <c r="G4122" s="19"/>
      <c r="H4122" s="17" t="s">
        <v>35</v>
      </c>
      <c r="I4122" s="17" t="s">
        <v>44</v>
      </c>
      <c r="J4122" s="17"/>
      <c r="K4122" s="17" t="e">
        <f aca="false">VLOOKUP(J4122,Sheet2!A:B,2,0)</f>
        <v>#N/A</v>
      </c>
      <c r="L4122" s="17" t="n">
        <v>5</v>
      </c>
      <c r="M4122" s="17" t="str">
        <f aca="false">VLOOKUP(L4122,Sheet2!D:E,2,0)</f>
        <v>Main Processor CPU BGA</v>
      </c>
      <c r="N4122" s="17" t="n">
        <v>1</v>
      </c>
      <c r="O4122" s="17" t="str">
        <f aca="false">VLOOKUP(N4122,Sheet2!G:H,2,0)</f>
        <v>Dead</v>
      </c>
      <c r="P4122" s="17" t="n">
        <v>11</v>
      </c>
      <c r="Q4122" s="17" t="str">
        <f aca="false">VLOOKUP(P4122,Sheet2!J:K,2,0)</f>
        <v>IR Declared due to CID -TA</v>
      </c>
      <c r="R4122" s="17" t="s">
        <v>35</v>
      </c>
      <c r="S4122" s="17" t="str">
        <f aca="false">VLOOKUP(R4122,Sheet2!N:O,2,0)</f>
        <v>IREPARABLE</v>
      </c>
      <c r="T4122" s="18" t="str">
        <f aca="false">VLOOKUP(P4122,Sheet2!Q:R,2,0)</f>
        <v>IR Normal - Track burn out</v>
      </c>
      <c r="U4122" s="20" t="s">
        <v>41</v>
      </c>
      <c r="V4122" s="17"/>
      <c r="W4122" s="20" t="e">
        <f aca="false">VLOOKUP(V4122,Sheet2!Q:R,2,0)</f>
        <v>#N/A</v>
      </c>
      <c r="X4122" s="17" t="n">
        <f aca="false">J4122</f>
        <v>0</v>
      </c>
      <c r="Y4122" s="17" t="e">
        <f aca="false">VLOOKUP(X4122,Sheet2!A:B,2,0)</f>
        <v>#N/A</v>
      </c>
      <c r="Z4122" s="17"/>
      <c r="AA4122" s="17"/>
      <c r="AC4122" s="23" t="str">
        <f aca="false">LEFT(G4122,2)</f>
        <v/>
      </c>
    </row>
    <row r="4123" customFormat="false" ht="15" hidden="false" customHeight="false" outlineLevel="0" collapsed="false">
      <c r="A4123" s="13" t="n">
        <f aca="false">1+A4122</f>
        <v>4121</v>
      </c>
      <c r="B4123" s="14" t="n">
        <v>100</v>
      </c>
      <c r="C4123" s="15"/>
      <c r="D4123" s="16" t="s">
        <v>64</v>
      </c>
      <c r="E4123" s="17" t="s">
        <v>47</v>
      </c>
      <c r="F4123" s="18" t="s">
        <v>34</v>
      </c>
      <c r="G4123" s="19"/>
      <c r="H4123" s="17" t="s">
        <v>35</v>
      </c>
      <c r="I4123" s="17" t="s">
        <v>44</v>
      </c>
      <c r="J4123" s="17"/>
      <c r="K4123" s="17" t="e">
        <f aca="false">VLOOKUP(J4123,Sheet2!A:B,2,0)</f>
        <v>#N/A</v>
      </c>
      <c r="L4123" s="17" t="n">
        <v>5</v>
      </c>
      <c r="M4123" s="17" t="str">
        <f aca="false">VLOOKUP(L4123,Sheet2!D:E,2,0)</f>
        <v>Main Processor CPU BGA</v>
      </c>
      <c r="N4123" s="17" t="n">
        <v>1</v>
      </c>
      <c r="O4123" s="17" t="str">
        <f aca="false">VLOOKUP(N4123,Sheet2!G:H,2,0)</f>
        <v>Dead</v>
      </c>
      <c r="P4123" s="17" t="n">
        <v>11</v>
      </c>
      <c r="Q4123" s="17" t="str">
        <f aca="false">VLOOKUP(P4123,Sheet2!J:K,2,0)</f>
        <v>IR Declared due to CID -TA</v>
      </c>
      <c r="R4123" s="17" t="s">
        <v>35</v>
      </c>
      <c r="S4123" s="17" t="str">
        <f aca="false">VLOOKUP(R4123,Sheet2!N:O,2,0)</f>
        <v>IREPARABLE</v>
      </c>
      <c r="T4123" s="18" t="str">
        <f aca="false">VLOOKUP(P4123,Sheet2!Q:R,2,0)</f>
        <v>IR Normal - Track burn out</v>
      </c>
      <c r="U4123" s="20" t="s">
        <v>41</v>
      </c>
      <c r="V4123" s="17"/>
      <c r="W4123" s="20" t="e">
        <f aca="false">VLOOKUP(V4123,Sheet2!Q:R,2,0)</f>
        <v>#N/A</v>
      </c>
      <c r="X4123" s="17" t="n">
        <f aca="false">J4123</f>
        <v>0</v>
      </c>
      <c r="Y4123" s="17" t="e">
        <f aca="false">VLOOKUP(X4123,Sheet2!A:B,2,0)</f>
        <v>#N/A</v>
      </c>
      <c r="Z4123" s="17"/>
      <c r="AA4123" s="17"/>
      <c r="AC4123" s="23" t="str">
        <f aca="false">LEFT(G4123,2)</f>
        <v/>
      </c>
    </row>
    <row r="4124" customFormat="false" ht="15" hidden="false" customHeight="false" outlineLevel="0" collapsed="false">
      <c r="A4124" s="13" t="n">
        <f aca="false">1+A4123</f>
        <v>4122</v>
      </c>
      <c r="B4124" s="14" t="n">
        <v>100</v>
      </c>
      <c r="C4124" s="15"/>
      <c r="D4124" s="16" t="s">
        <v>64</v>
      </c>
      <c r="E4124" s="17" t="s">
        <v>47</v>
      </c>
      <c r="F4124" s="18" t="s">
        <v>34</v>
      </c>
      <c r="G4124" s="19"/>
      <c r="H4124" s="17" t="s">
        <v>35</v>
      </c>
      <c r="I4124" s="17" t="s">
        <v>44</v>
      </c>
      <c r="J4124" s="17"/>
      <c r="K4124" s="17" t="e">
        <f aca="false">VLOOKUP(J4124,Sheet2!A:B,2,0)</f>
        <v>#N/A</v>
      </c>
      <c r="L4124" s="17" t="n">
        <v>5</v>
      </c>
      <c r="M4124" s="17" t="str">
        <f aca="false">VLOOKUP(L4124,Sheet2!D:E,2,0)</f>
        <v>Main Processor CPU BGA</v>
      </c>
      <c r="N4124" s="17" t="n">
        <v>1</v>
      </c>
      <c r="O4124" s="17" t="str">
        <f aca="false">VLOOKUP(N4124,Sheet2!G:H,2,0)</f>
        <v>Dead</v>
      </c>
      <c r="P4124" s="17" t="n">
        <v>11</v>
      </c>
      <c r="Q4124" s="17" t="str">
        <f aca="false">VLOOKUP(P4124,Sheet2!J:K,2,0)</f>
        <v>IR Declared due to CID -TA</v>
      </c>
      <c r="R4124" s="17" t="s">
        <v>35</v>
      </c>
      <c r="S4124" s="17" t="str">
        <f aca="false">VLOOKUP(R4124,Sheet2!N:O,2,0)</f>
        <v>IREPARABLE</v>
      </c>
      <c r="T4124" s="18" t="str">
        <f aca="false">VLOOKUP(P4124,Sheet2!Q:R,2,0)</f>
        <v>IR Normal - Track burn out</v>
      </c>
      <c r="U4124" s="20" t="s">
        <v>41</v>
      </c>
      <c r="V4124" s="17"/>
      <c r="W4124" s="20" t="e">
        <f aca="false">VLOOKUP(V4124,Sheet2!Q:R,2,0)</f>
        <v>#N/A</v>
      </c>
      <c r="X4124" s="17" t="n">
        <f aca="false">J4124</f>
        <v>0</v>
      </c>
      <c r="Y4124" s="17" t="e">
        <f aca="false">VLOOKUP(X4124,Sheet2!A:B,2,0)</f>
        <v>#N/A</v>
      </c>
      <c r="Z4124" s="17"/>
      <c r="AA4124" s="17"/>
      <c r="AC4124" s="23" t="str">
        <f aca="false">LEFT(G4124,2)</f>
        <v/>
      </c>
    </row>
    <row r="4125" customFormat="false" ht="15" hidden="false" customHeight="false" outlineLevel="0" collapsed="false">
      <c r="A4125" s="13" t="n">
        <f aca="false">1+A4124</f>
        <v>4123</v>
      </c>
      <c r="B4125" s="14" t="n">
        <v>100</v>
      </c>
      <c r="C4125" s="15"/>
      <c r="D4125" s="16" t="s">
        <v>64</v>
      </c>
      <c r="E4125" s="17" t="s">
        <v>47</v>
      </c>
      <c r="F4125" s="18" t="s">
        <v>34</v>
      </c>
      <c r="G4125" s="19"/>
      <c r="H4125" s="17" t="s">
        <v>35</v>
      </c>
      <c r="I4125" s="17" t="s">
        <v>44</v>
      </c>
      <c r="J4125" s="17"/>
      <c r="K4125" s="17" t="e">
        <f aca="false">VLOOKUP(J4125,Sheet2!A:B,2,0)</f>
        <v>#N/A</v>
      </c>
      <c r="L4125" s="17" t="n">
        <v>5</v>
      </c>
      <c r="M4125" s="17" t="str">
        <f aca="false">VLOOKUP(L4125,Sheet2!D:E,2,0)</f>
        <v>Main Processor CPU BGA</v>
      </c>
      <c r="N4125" s="17" t="n">
        <v>1</v>
      </c>
      <c r="O4125" s="17" t="str">
        <f aca="false">VLOOKUP(N4125,Sheet2!G:H,2,0)</f>
        <v>Dead</v>
      </c>
      <c r="P4125" s="17" t="n">
        <v>11</v>
      </c>
      <c r="Q4125" s="17" t="str">
        <f aca="false">VLOOKUP(P4125,Sheet2!J:K,2,0)</f>
        <v>IR Declared due to CID -TA</v>
      </c>
      <c r="R4125" s="17" t="s">
        <v>35</v>
      </c>
      <c r="S4125" s="17" t="str">
        <f aca="false">VLOOKUP(R4125,Sheet2!N:O,2,0)</f>
        <v>IREPARABLE</v>
      </c>
      <c r="T4125" s="18" t="str">
        <f aca="false">VLOOKUP(P4125,Sheet2!Q:R,2,0)</f>
        <v>IR Normal - Track burn out</v>
      </c>
      <c r="U4125" s="20" t="s">
        <v>41</v>
      </c>
      <c r="V4125" s="17"/>
      <c r="W4125" s="20" t="e">
        <f aca="false">VLOOKUP(V4125,Sheet2!Q:R,2,0)</f>
        <v>#N/A</v>
      </c>
      <c r="X4125" s="17" t="n">
        <f aca="false">J4125</f>
        <v>0</v>
      </c>
      <c r="Y4125" s="17" t="e">
        <f aca="false">VLOOKUP(X4125,Sheet2!A:B,2,0)</f>
        <v>#N/A</v>
      </c>
      <c r="Z4125" s="17"/>
      <c r="AA4125" s="17"/>
      <c r="AC4125" s="23" t="str">
        <f aca="false">LEFT(G4125,2)</f>
        <v/>
      </c>
    </row>
    <row r="4126" customFormat="false" ht="15" hidden="false" customHeight="false" outlineLevel="0" collapsed="false">
      <c r="A4126" s="13" t="n">
        <f aca="false">1+A4125</f>
        <v>4124</v>
      </c>
      <c r="B4126" s="14" t="n">
        <v>100</v>
      </c>
      <c r="C4126" s="15"/>
      <c r="D4126" s="16" t="s">
        <v>64</v>
      </c>
      <c r="E4126" s="17" t="s">
        <v>47</v>
      </c>
      <c r="F4126" s="18" t="s">
        <v>34</v>
      </c>
      <c r="G4126" s="19"/>
      <c r="H4126" s="17" t="s">
        <v>35</v>
      </c>
      <c r="I4126" s="17" t="s">
        <v>44</v>
      </c>
      <c r="J4126" s="17"/>
      <c r="K4126" s="17" t="e">
        <f aca="false">VLOOKUP(J4126,Sheet2!A:B,2,0)</f>
        <v>#N/A</v>
      </c>
      <c r="L4126" s="17" t="n">
        <v>5</v>
      </c>
      <c r="M4126" s="17" t="str">
        <f aca="false">VLOOKUP(L4126,Sheet2!D:E,2,0)</f>
        <v>Main Processor CPU BGA</v>
      </c>
      <c r="N4126" s="17" t="n">
        <v>1</v>
      </c>
      <c r="O4126" s="17" t="str">
        <f aca="false">VLOOKUP(N4126,Sheet2!G:H,2,0)</f>
        <v>Dead</v>
      </c>
      <c r="P4126" s="17" t="n">
        <v>11</v>
      </c>
      <c r="Q4126" s="17" t="str">
        <f aca="false">VLOOKUP(P4126,Sheet2!J:K,2,0)</f>
        <v>IR Declared due to CID -TA</v>
      </c>
      <c r="R4126" s="17" t="s">
        <v>35</v>
      </c>
      <c r="S4126" s="17" t="str">
        <f aca="false">VLOOKUP(R4126,Sheet2!N:O,2,0)</f>
        <v>IREPARABLE</v>
      </c>
      <c r="T4126" s="18" t="str">
        <f aca="false">VLOOKUP(P4126,Sheet2!Q:R,2,0)</f>
        <v>IR Normal - Track burn out</v>
      </c>
      <c r="U4126" s="20" t="s">
        <v>41</v>
      </c>
      <c r="V4126" s="17"/>
      <c r="W4126" s="20" t="e">
        <f aca="false">VLOOKUP(V4126,Sheet2!Q:R,2,0)</f>
        <v>#N/A</v>
      </c>
      <c r="X4126" s="17" t="n">
        <f aca="false">J4126</f>
        <v>0</v>
      </c>
      <c r="Y4126" s="17" t="e">
        <f aca="false">VLOOKUP(X4126,Sheet2!A:B,2,0)</f>
        <v>#N/A</v>
      </c>
      <c r="Z4126" s="17"/>
      <c r="AA4126" s="17"/>
      <c r="AC4126" s="23" t="str">
        <f aca="false">LEFT(G4126,2)</f>
        <v/>
      </c>
    </row>
    <row r="4127" customFormat="false" ht="15" hidden="false" customHeight="false" outlineLevel="0" collapsed="false">
      <c r="A4127" s="13" t="n">
        <f aca="false">1+A4126</f>
        <v>4125</v>
      </c>
      <c r="B4127" s="14" t="n">
        <v>100</v>
      </c>
      <c r="C4127" s="15"/>
      <c r="D4127" s="16" t="s">
        <v>64</v>
      </c>
      <c r="E4127" s="17" t="s">
        <v>47</v>
      </c>
      <c r="F4127" s="18" t="s">
        <v>34</v>
      </c>
      <c r="G4127" s="19"/>
      <c r="H4127" s="17" t="s">
        <v>35</v>
      </c>
      <c r="I4127" s="17" t="s">
        <v>44</v>
      </c>
      <c r="J4127" s="17"/>
      <c r="K4127" s="17" t="e">
        <f aca="false">VLOOKUP(J4127,Sheet2!A:B,2,0)</f>
        <v>#N/A</v>
      </c>
      <c r="L4127" s="17" t="n">
        <v>5</v>
      </c>
      <c r="M4127" s="17" t="str">
        <f aca="false">VLOOKUP(L4127,Sheet2!D:E,2,0)</f>
        <v>Main Processor CPU BGA</v>
      </c>
      <c r="N4127" s="17" t="n">
        <v>1</v>
      </c>
      <c r="O4127" s="17" t="str">
        <f aca="false">VLOOKUP(N4127,Sheet2!G:H,2,0)</f>
        <v>Dead</v>
      </c>
      <c r="P4127" s="17" t="n">
        <v>11</v>
      </c>
      <c r="Q4127" s="17" t="str">
        <f aca="false">VLOOKUP(P4127,Sheet2!J:K,2,0)</f>
        <v>IR Declared due to CID -TA</v>
      </c>
      <c r="R4127" s="17" t="s">
        <v>35</v>
      </c>
      <c r="S4127" s="17" t="str">
        <f aca="false">VLOOKUP(R4127,Sheet2!N:O,2,0)</f>
        <v>IREPARABLE</v>
      </c>
      <c r="T4127" s="18" t="str">
        <f aca="false">VLOOKUP(P4127,Sheet2!Q:R,2,0)</f>
        <v>IR Normal - Track burn out</v>
      </c>
      <c r="U4127" s="20" t="s">
        <v>41</v>
      </c>
      <c r="V4127" s="17"/>
      <c r="W4127" s="20" t="e">
        <f aca="false">VLOOKUP(V4127,Sheet2!Q:R,2,0)</f>
        <v>#N/A</v>
      </c>
      <c r="X4127" s="17" t="n">
        <f aca="false">J4127</f>
        <v>0</v>
      </c>
      <c r="Y4127" s="17" t="e">
        <f aca="false">VLOOKUP(X4127,Sheet2!A:B,2,0)</f>
        <v>#N/A</v>
      </c>
      <c r="Z4127" s="17"/>
      <c r="AA4127" s="17"/>
      <c r="AC4127" s="23" t="str">
        <f aca="false">LEFT(G4127,2)</f>
        <v/>
      </c>
    </row>
    <row r="4128" customFormat="false" ht="15" hidden="false" customHeight="false" outlineLevel="0" collapsed="false">
      <c r="A4128" s="13" t="n">
        <f aca="false">1+A4127</f>
        <v>4126</v>
      </c>
      <c r="B4128" s="14" t="n">
        <v>100</v>
      </c>
      <c r="C4128" s="15"/>
      <c r="D4128" s="16" t="s">
        <v>64</v>
      </c>
      <c r="E4128" s="17" t="s">
        <v>47</v>
      </c>
      <c r="F4128" s="18" t="s">
        <v>34</v>
      </c>
      <c r="G4128" s="19"/>
      <c r="H4128" s="17" t="s">
        <v>35</v>
      </c>
      <c r="I4128" s="17" t="s">
        <v>44</v>
      </c>
      <c r="J4128" s="17"/>
      <c r="K4128" s="17" t="e">
        <f aca="false">VLOOKUP(J4128,Sheet2!A:B,2,0)</f>
        <v>#N/A</v>
      </c>
      <c r="L4128" s="17" t="n">
        <v>5</v>
      </c>
      <c r="M4128" s="17" t="str">
        <f aca="false">VLOOKUP(L4128,Sheet2!D:E,2,0)</f>
        <v>Main Processor CPU BGA</v>
      </c>
      <c r="N4128" s="17" t="n">
        <v>1</v>
      </c>
      <c r="O4128" s="17" t="str">
        <f aca="false">VLOOKUP(N4128,Sheet2!G:H,2,0)</f>
        <v>Dead</v>
      </c>
      <c r="P4128" s="17" t="n">
        <v>11</v>
      </c>
      <c r="Q4128" s="17" t="str">
        <f aca="false">VLOOKUP(P4128,Sheet2!J:K,2,0)</f>
        <v>IR Declared due to CID -TA</v>
      </c>
      <c r="R4128" s="17" t="s">
        <v>35</v>
      </c>
      <c r="S4128" s="17" t="str">
        <f aca="false">VLOOKUP(R4128,Sheet2!N:O,2,0)</f>
        <v>IREPARABLE</v>
      </c>
      <c r="T4128" s="18" t="str">
        <f aca="false">VLOOKUP(P4128,Sheet2!Q:R,2,0)</f>
        <v>IR Normal - Track burn out</v>
      </c>
      <c r="U4128" s="20" t="s">
        <v>41</v>
      </c>
      <c r="V4128" s="17"/>
      <c r="W4128" s="20" t="e">
        <f aca="false">VLOOKUP(V4128,Sheet2!Q:R,2,0)</f>
        <v>#N/A</v>
      </c>
      <c r="X4128" s="17" t="n">
        <f aca="false">J4128</f>
        <v>0</v>
      </c>
      <c r="Y4128" s="17" t="e">
        <f aca="false">VLOOKUP(X4128,Sheet2!A:B,2,0)</f>
        <v>#N/A</v>
      </c>
      <c r="Z4128" s="17"/>
      <c r="AA4128" s="17"/>
      <c r="AC4128" s="23" t="str">
        <f aca="false">LEFT(G4128,2)</f>
        <v/>
      </c>
    </row>
    <row r="4129" customFormat="false" ht="15" hidden="false" customHeight="false" outlineLevel="0" collapsed="false">
      <c r="A4129" s="13" t="n">
        <f aca="false">1+A4128</f>
        <v>4127</v>
      </c>
      <c r="B4129" s="14" t="n">
        <v>100</v>
      </c>
      <c r="C4129" s="15"/>
      <c r="D4129" s="16" t="s">
        <v>64</v>
      </c>
      <c r="E4129" s="17" t="s">
        <v>47</v>
      </c>
      <c r="F4129" s="18" t="s">
        <v>34</v>
      </c>
      <c r="G4129" s="19"/>
      <c r="H4129" s="17" t="s">
        <v>35</v>
      </c>
      <c r="I4129" s="17" t="s">
        <v>44</v>
      </c>
      <c r="J4129" s="17"/>
      <c r="K4129" s="17" t="e">
        <f aca="false">VLOOKUP(J4129,Sheet2!A:B,2,0)</f>
        <v>#N/A</v>
      </c>
      <c r="L4129" s="17" t="n">
        <v>5</v>
      </c>
      <c r="M4129" s="17" t="str">
        <f aca="false">VLOOKUP(L4129,Sheet2!D:E,2,0)</f>
        <v>Main Processor CPU BGA</v>
      </c>
      <c r="N4129" s="17" t="n">
        <v>1</v>
      </c>
      <c r="O4129" s="17" t="str">
        <f aca="false">VLOOKUP(N4129,Sheet2!G:H,2,0)</f>
        <v>Dead</v>
      </c>
      <c r="P4129" s="17" t="n">
        <v>11</v>
      </c>
      <c r="Q4129" s="17" t="str">
        <f aca="false">VLOOKUP(P4129,Sheet2!J:K,2,0)</f>
        <v>IR Declared due to CID -TA</v>
      </c>
      <c r="R4129" s="17" t="s">
        <v>35</v>
      </c>
      <c r="S4129" s="17" t="str">
        <f aca="false">VLOOKUP(R4129,Sheet2!N:O,2,0)</f>
        <v>IREPARABLE</v>
      </c>
      <c r="T4129" s="18" t="str">
        <f aca="false">VLOOKUP(P4129,Sheet2!Q:R,2,0)</f>
        <v>IR Normal - Track burn out</v>
      </c>
      <c r="U4129" s="20" t="s">
        <v>41</v>
      </c>
      <c r="V4129" s="17"/>
      <c r="W4129" s="20" t="e">
        <f aca="false">VLOOKUP(V4129,Sheet2!Q:R,2,0)</f>
        <v>#N/A</v>
      </c>
      <c r="X4129" s="17" t="n">
        <f aca="false">J4129</f>
        <v>0</v>
      </c>
      <c r="Y4129" s="17" t="e">
        <f aca="false">VLOOKUP(X4129,Sheet2!A:B,2,0)</f>
        <v>#N/A</v>
      </c>
      <c r="Z4129" s="17"/>
      <c r="AA4129" s="17"/>
      <c r="AC4129" s="23" t="str">
        <f aca="false">LEFT(G4129,2)</f>
        <v/>
      </c>
    </row>
    <row r="4130" customFormat="false" ht="15" hidden="false" customHeight="false" outlineLevel="0" collapsed="false">
      <c r="A4130" s="13" t="n">
        <f aca="false">1+A4129</f>
        <v>4128</v>
      </c>
      <c r="B4130" s="14" t="n">
        <v>100</v>
      </c>
      <c r="C4130" s="15"/>
      <c r="D4130" s="16" t="s">
        <v>64</v>
      </c>
      <c r="E4130" s="17" t="s">
        <v>47</v>
      </c>
      <c r="F4130" s="18" t="s">
        <v>34</v>
      </c>
      <c r="G4130" s="19"/>
      <c r="H4130" s="17" t="s">
        <v>35</v>
      </c>
      <c r="I4130" s="17" t="s">
        <v>44</v>
      </c>
      <c r="J4130" s="17"/>
      <c r="K4130" s="17" t="e">
        <f aca="false">VLOOKUP(J4130,Sheet2!A:B,2,0)</f>
        <v>#N/A</v>
      </c>
      <c r="L4130" s="17" t="n">
        <v>5</v>
      </c>
      <c r="M4130" s="17" t="str">
        <f aca="false">VLOOKUP(L4130,Sheet2!D:E,2,0)</f>
        <v>Main Processor CPU BGA</v>
      </c>
      <c r="N4130" s="17" t="n">
        <v>1</v>
      </c>
      <c r="O4130" s="17" t="str">
        <f aca="false">VLOOKUP(N4130,Sheet2!G:H,2,0)</f>
        <v>Dead</v>
      </c>
      <c r="P4130" s="17" t="n">
        <v>11</v>
      </c>
      <c r="Q4130" s="17" t="str">
        <f aca="false">VLOOKUP(P4130,Sheet2!J:K,2,0)</f>
        <v>IR Declared due to CID -TA</v>
      </c>
      <c r="R4130" s="17" t="s">
        <v>35</v>
      </c>
      <c r="S4130" s="17" t="str">
        <f aca="false">VLOOKUP(R4130,Sheet2!N:O,2,0)</f>
        <v>IREPARABLE</v>
      </c>
      <c r="T4130" s="18" t="str">
        <f aca="false">VLOOKUP(P4130,Sheet2!Q:R,2,0)</f>
        <v>IR Normal - Track burn out</v>
      </c>
      <c r="U4130" s="20" t="s">
        <v>41</v>
      </c>
      <c r="V4130" s="17"/>
      <c r="W4130" s="20" t="e">
        <f aca="false">VLOOKUP(V4130,Sheet2!Q:R,2,0)</f>
        <v>#N/A</v>
      </c>
      <c r="X4130" s="17" t="n">
        <f aca="false">J4130</f>
        <v>0</v>
      </c>
      <c r="Y4130" s="17" t="e">
        <f aca="false">VLOOKUP(X4130,Sheet2!A:B,2,0)</f>
        <v>#N/A</v>
      </c>
      <c r="Z4130" s="17"/>
      <c r="AA4130" s="17"/>
      <c r="AC4130" s="23" t="str">
        <f aca="false">LEFT(G4130,2)</f>
        <v/>
      </c>
    </row>
    <row r="4131" customFormat="false" ht="15" hidden="false" customHeight="false" outlineLevel="0" collapsed="false">
      <c r="A4131" s="13" t="n">
        <f aca="false">1+A4130</f>
        <v>4129</v>
      </c>
      <c r="B4131" s="14" t="n">
        <v>100</v>
      </c>
      <c r="C4131" s="15"/>
      <c r="D4131" s="16" t="s">
        <v>64</v>
      </c>
      <c r="E4131" s="17" t="s">
        <v>47</v>
      </c>
      <c r="F4131" s="18" t="s">
        <v>34</v>
      </c>
      <c r="G4131" s="19"/>
      <c r="H4131" s="17" t="s">
        <v>35</v>
      </c>
      <c r="I4131" s="17" t="s">
        <v>44</v>
      </c>
      <c r="J4131" s="17"/>
      <c r="K4131" s="17" t="e">
        <f aca="false">VLOOKUP(J4131,Sheet2!A:B,2,0)</f>
        <v>#N/A</v>
      </c>
      <c r="L4131" s="17" t="n">
        <v>5</v>
      </c>
      <c r="M4131" s="17" t="str">
        <f aca="false">VLOOKUP(L4131,Sheet2!D:E,2,0)</f>
        <v>Main Processor CPU BGA</v>
      </c>
      <c r="N4131" s="17" t="n">
        <v>1</v>
      </c>
      <c r="O4131" s="17" t="str">
        <f aca="false">VLOOKUP(N4131,Sheet2!G:H,2,0)</f>
        <v>Dead</v>
      </c>
      <c r="P4131" s="17" t="n">
        <v>11</v>
      </c>
      <c r="Q4131" s="17" t="str">
        <f aca="false">VLOOKUP(P4131,Sheet2!J:K,2,0)</f>
        <v>IR Declared due to CID -TA</v>
      </c>
      <c r="R4131" s="17" t="s">
        <v>35</v>
      </c>
      <c r="S4131" s="17" t="str">
        <f aca="false">VLOOKUP(R4131,Sheet2!N:O,2,0)</f>
        <v>IREPARABLE</v>
      </c>
      <c r="T4131" s="18" t="str">
        <f aca="false">VLOOKUP(P4131,Sheet2!Q:R,2,0)</f>
        <v>IR Normal - Track burn out</v>
      </c>
      <c r="U4131" s="20" t="s">
        <v>41</v>
      </c>
      <c r="V4131" s="17"/>
      <c r="W4131" s="20" t="e">
        <f aca="false">VLOOKUP(V4131,Sheet2!Q:R,2,0)</f>
        <v>#N/A</v>
      </c>
      <c r="X4131" s="17" t="n">
        <f aca="false">J4131</f>
        <v>0</v>
      </c>
      <c r="Y4131" s="17" t="e">
        <f aca="false">VLOOKUP(X4131,Sheet2!A:B,2,0)</f>
        <v>#N/A</v>
      </c>
      <c r="Z4131" s="17"/>
      <c r="AA4131" s="17"/>
      <c r="AC4131" s="23" t="str">
        <f aca="false">LEFT(G4131,2)</f>
        <v/>
      </c>
    </row>
    <row r="4132" customFormat="false" ht="15" hidden="false" customHeight="false" outlineLevel="0" collapsed="false">
      <c r="A4132" s="13" t="n">
        <f aca="false">1+A4131</f>
        <v>4130</v>
      </c>
      <c r="B4132" s="14" t="n">
        <v>100</v>
      </c>
      <c r="C4132" s="15"/>
      <c r="D4132" s="16" t="s">
        <v>64</v>
      </c>
      <c r="E4132" s="17" t="s">
        <v>47</v>
      </c>
      <c r="F4132" s="18" t="s">
        <v>34</v>
      </c>
      <c r="G4132" s="19"/>
      <c r="H4132" s="17" t="s">
        <v>35</v>
      </c>
      <c r="I4132" s="17" t="s">
        <v>44</v>
      </c>
      <c r="J4132" s="17"/>
      <c r="K4132" s="17" t="e">
        <f aca="false">VLOOKUP(J4132,Sheet2!A:B,2,0)</f>
        <v>#N/A</v>
      </c>
      <c r="L4132" s="17" t="n">
        <v>5</v>
      </c>
      <c r="M4132" s="17" t="str">
        <f aca="false">VLOOKUP(L4132,Sheet2!D:E,2,0)</f>
        <v>Main Processor CPU BGA</v>
      </c>
      <c r="N4132" s="17" t="n">
        <v>1</v>
      </c>
      <c r="O4132" s="17" t="str">
        <f aca="false">VLOOKUP(N4132,Sheet2!G:H,2,0)</f>
        <v>Dead</v>
      </c>
      <c r="P4132" s="17" t="n">
        <v>11</v>
      </c>
      <c r="Q4132" s="17" t="str">
        <f aca="false">VLOOKUP(P4132,Sheet2!J:K,2,0)</f>
        <v>IR Declared due to CID -TA</v>
      </c>
      <c r="R4132" s="17" t="s">
        <v>35</v>
      </c>
      <c r="S4132" s="17" t="str">
        <f aca="false">VLOOKUP(R4132,Sheet2!N:O,2,0)</f>
        <v>IREPARABLE</v>
      </c>
      <c r="T4132" s="18" t="str">
        <f aca="false">VLOOKUP(P4132,Sheet2!Q:R,2,0)</f>
        <v>IR Normal - Track burn out</v>
      </c>
      <c r="U4132" s="20" t="s">
        <v>41</v>
      </c>
      <c r="V4132" s="17"/>
      <c r="W4132" s="20" t="e">
        <f aca="false">VLOOKUP(V4132,Sheet2!Q:R,2,0)</f>
        <v>#N/A</v>
      </c>
      <c r="X4132" s="17" t="n">
        <f aca="false">J4132</f>
        <v>0</v>
      </c>
      <c r="Y4132" s="17" t="e">
        <f aca="false">VLOOKUP(X4132,Sheet2!A:B,2,0)</f>
        <v>#N/A</v>
      </c>
      <c r="Z4132" s="17"/>
      <c r="AA4132" s="17"/>
      <c r="AC4132" s="23" t="str">
        <f aca="false">LEFT(G4132,2)</f>
        <v/>
      </c>
    </row>
    <row r="4133" customFormat="false" ht="15" hidden="false" customHeight="false" outlineLevel="0" collapsed="false">
      <c r="A4133" s="13" t="n">
        <f aca="false">1+A4132</f>
        <v>4131</v>
      </c>
      <c r="B4133" s="14" t="n">
        <v>100</v>
      </c>
      <c r="C4133" s="15"/>
      <c r="D4133" s="16" t="s">
        <v>64</v>
      </c>
      <c r="E4133" s="17" t="s">
        <v>47</v>
      </c>
      <c r="F4133" s="18" t="s">
        <v>34</v>
      </c>
      <c r="G4133" s="19"/>
      <c r="H4133" s="17" t="s">
        <v>35</v>
      </c>
      <c r="I4133" s="17" t="s">
        <v>44</v>
      </c>
      <c r="J4133" s="17"/>
      <c r="K4133" s="17" t="e">
        <f aca="false">VLOOKUP(J4133,Sheet2!A:B,2,0)</f>
        <v>#N/A</v>
      </c>
      <c r="L4133" s="17" t="n">
        <v>5</v>
      </c>
      <c r="M4133" s="17" t="str">
        <f aca="false">VLOOKUP(L4133,Sheet2!D:E,2,0)</f>
        <v>Main Processor CPU BGA</v>
      </c>
      <c r="N4133" s="17" t="n">
        <v>1</v>
      </c>
      <c r="O4133" s="17" t="str">
        <f aca="false">VLOOKUP(N4133,Sheet2!G:H,2,0)</f>
        <v>Dead</v>
      </c>
      <c r="P4133" s="17" t="n">
        <v>11</v>
      </c>
      <c r="Q4133" s="17" t="str">
        <f aca="false">VLOOKUP(P4133,Sheet2!J:K,2,0)</f>
        <v>IR Declared due to CID -TA</v>
      </c>
      <c r="R4133" s="17" t="s">
        <v>35</v>
      </c>
      <c r="S4133" s="17" t="str">
        <f aca="false">VLOOKUP(R4133,Sheet2!N:O,2,0)</f>
        <v>IREPARABLE</v>
      </c>
      <c r="T4133" s="18" t="str">
        <f aca="false">VLOOKUP(P4133,Sheet2!Q:R,2,0)</f>
        <v>IR Normal - Track burn out</v>
      </c>
      <c r="U4133" s="20" t="s">
        <v>41</v>
      </c>
      <c r="V4133" s="17"/>
      <c r="W4133" s="20" t="e">
        <f aca="false">VLOOKUP(V4133,Sheet2!Q:R,2,0)</f>
        <v>#N/A</v>
      </c>
      <c r="X4133" s="17" t="n">
        <f aca="false">J4133</f>
        <v>0</v>
      </c>
      <c r="Y4133" s="17" t="e">
        <f aca="false">VLOOKUP(X4133,Sheet2!A:B,2,0)</f>
        <v>#N/A</v>
      </c>
      <c r="Z4133" s="17"/>
      <c r="AA4133" s="17"/>
      <c r="AC4133" s="23" t="str">
        <f aca="false">LEFT(G4133,2)</f>
        <v/>
      </c>
    </row>
    <row r="4134" customFormat="false" ht="15" hidden="false" customHeight="false" outlineLevel="0" collapsed="false">
      <c r="A4134" s="13" t="n">
        <f aca="false">1+A4133</f>
        <v>4132</v>
      </c>
      <c r="B4134" s="14" t="n">
        <v>100</v>
      </c>
      <c r="C4134" s="15"/>
      <c r="D4134" s="16" t="s">
        <v>64</v>
      </c>
      <c r="E4134" s="17" t="s">
        <v>47</v>
      </c>
      <c r="F4134" s="18" t="s">
        <v>34</v>
      </c>
      <c r="G4134" s="19"/>
      <c r="H4134" s="17" t="s">
        <v>35</v>
      </c>
      <c r="I4134" s="17" t="s">
        <v>44</v>
      </c>
      <c r="J4134" s="17"/>
      <c r="K4134" s="17" t="e">
        <f aca="false">VLOOKUP(J4134,Sheet2!A:B,2,0)</f>
        <v>#N/A</v>
      </c>
      <c r="L4134" s="17" t="n">
        <v>5</v>
      </c>
      <c r="M4134" s="17" t="str">
        <f aca="false">VLOOKUP(L4134,Sheet2!D:E,2,0)</f>
        <v>Main Processor CPU BGA</v>
      </c>
      <c r="N4134" s="17" t="n">
        <v>1</v>
      </c>
      <c r="O4134" s="17" t="str">
        <f aca="false">VLOOKUP(N4134,Sheet2!G:H,2,0)</f>
        <v>Dead</v>
      </c>
      <c r="P4134" s="17" t="n">
        <v>11</v>
      </c>
      <c r="Q4134" s="17" t="str">
        <f aca="false">VLOOKUP(P4134,Sheet2!J:K,2,0)</f>
        <v>IR Declared due to CID -TA</v>
      </c>
      <c r="R4134" s="17" t="s">
        <v>35</v>
      </c>
      <c r="S4134" s="17" t="str">
        <f aca="false">VLOOKUP(R4134,Sheet2!N:O,2,0)</f>
        <v>IREPARABLE</v>
      </c>
      <c r="T4134" s="18" t="str">
        <f aca="false">VLOOKUP(P4134,Sheet2!Q:R,2,0)</f>
        <v>IR Normal - Track burn out</v>
      </c>
      <c r="U4134" s="20" t="s">
        <v>41</v>
      </c>
      <c r="V4134" s="17"/>
      <c r="W4134" s="20" t="e">
        <f aca="false">VLOOKUP(V4134,Sheet2!Q:R,2,0)</f>
        <v>#N/A</v>
      </c>
      <c r="X4134" s="17" t="n">
        <f aca="false">J4134</f>
        <v>0</v>
      </c>
      <c r="Y4134" s="17" t="e">
        <f aca="false">VLOOKUP(X4134,Sheet2!A:B,2,0)</f>
        <v>#N/A</v>
      </c>
      <c r="Z4134" s="17"/>
      <c r="AA4134" s="17"/>
      <c r="AC4134" s="23" t="str">
        <f aca="false">LEFT(G4134,2)</f>
        <v/>
      </c>
    </row>
    <row r="4135" customFormat="false" ht="15" hidden="false" customHeight="false" outlineLevel="0" collapsed="false">
      <c r="A4135" s="13" t="n">
        <f aca="false">1+A4134</f>
        <v>4133</v>
      </c>
      <c r="B4135" s="14" t="n">
        <v>100</v>
      </c>
      <c r="C4135" s="15"/>
      <c r="D4135" s="16" t="s">
        <v>64</v>
      </c>
      <c r="E4135" s="17" t="s">
        <v>47</v>
      </c>
      <c r="F4135" s="18" t="s">
        <v>34</v>
      </c>
      <c r="G4135" s="19"/>
      <c r="H4135" s="17" t="s">
        <v>35</v>
      </c>
      <c r="I4135" s="17" t="s">
        <v>44</v>
      </c>
      <c r="J4135" s="17"/>
      <c r="K4135" s="17" t="e">
        <f aca="false">VLOOKUP(J4135,Sheet2!A:B,2,0)</f>
        <v>#N/A</v>
      </c>
      <c r="L4135" s="17" t="n">
        <v>5</v>
      </c>
      <c r="M4135" s="17" t="str">
        <f aca="false">VLOOKUP(L4135,Sheet2!D:E,2,0)</f>
        <v>Main Processor CPU BGA</v>
      </c>
      <c r="N4135" s="17" t="n">
        <v>1</v>
      </c>
      <c r="O4135" s="17" t="str">
        <f aca="false">VLOOKUP(N4135,Sheet2!G:H,2,0)</f>
        <v>Dead</v>
      </c>
      <c r="P4135" s="17" t="n">
        <v>11</v>
      </c>
      <c r="Q4135" s="17" t="str">
        <f aca="false">VLOOKUP(P4135,Sheet2!J:K,2,0)</f>
        <v>IR Declared due to CID -TA</v>
      </c>
      <c r="R4135" s="17" t="s">
        <v>35</v>
      </c>
      <c r="S4135" s="17" t="str">
        <f aca="false">VLOOKUP(R4135,Sheet2!N:O,2,0)</f>
        <v>IREPARABLE</v>
      </c>
      <c r="T4135" s="18" t="str">
        <f aca="false">VLOOKUP(P4135,Sheet2!Q:R,2,0)</f>
        <v>IR Normal - Track burn out</v>
      </c>
      <c r="U4135" s="20" t="s">
        <v>41</v>
      </c>
      <c r="V4135" s="17"/>
      <c r="W4135" s="20" t="e">
        <f aca="false">VLOOKUP(V4135,Sheet2!Q:R,2,0)</f>
        <v>#N/A</v>
      </c>
      <c r="X4135" s="17" t="n">
        <f aca="false">J4135</f>
        <v>0</v>
      </c>
      <c r="Y4135" s="17" t="e">
        <f aca="false">VLOOKUP(X4135,Sheet2!A:B,2,0)</f>
        <v>#N/A</v>
      </c>
      <c r="Z4135" s="17"/>
      <c r="AA4135" s="17"/>
      <c r="AC4135" s="23" t="str">
        <f aca="false">LEFT(G4135,2)</f>
        <v/>
      </c>
    </row>
    <row r="4136" customFormat="false" ht="15" hidden="false" customHeight="false" outlineLevel="0" collapsed="false">
      <c r="A4136" s="13" t="n">
        <f aca="false">1+A4135</f>
        <v>4134</v>
      </c>
      <c r="B4136" s="14" t="n">
        <v>100</v>
      </c>
      <c r="C4136" s="15"/>
      <c r="D4136" s="16" t="s">
        <v>64</v>
      </c>
      <c r="E4136" s="17" t="s">
        <v>47</v>
      </c>
      <c r="F4136" s="18" t="s">
        <v>34</v>
      </c>
      <c r="G4136" s="19"/>
      <c r="H4136" s="17" t="s">
        <v>35</v>
      </c>
      <c r="I4136" s="17" t="s">
        <v>44</v>
      </c>
      <c r="J4136" s="17"/>
      <c r="K4136" s="17" t="e">
        <f aca="false">VLOOKUP(J4136,Sheet2!A:B,2,0)</f>
        <v>#N/A</v>
      </c>
      <c r="L4136" s="17" t="n">
        <v>5</v>
      </c>
      <c r="M4136" s="17" t="str">
        <f aca="false">VLOOKUP(L4136,Sheet2!D:E,2,0)</f>
        <v>Main Processor CPU BGA</v>
      </c>
      <c r="N4136" s="17" t="n">
        <v>1</v>
      </c>
      <c r="O4136" s="17" t="str">
        <f aca="false">VLOOKUP(N4136,Sheet2!G:H,2,0)</f>
        <v>Dead</v>
      </c>
      <c r="P4136" s="17" t="n">
        <v>11</v>
      </c>
      <c r="Q4136" s="17" t="str">
        <f aca="false">VLOOKUP(P4136,Sheet2!J:K,2,0)</f>
        <v>IR Declared due to CID -TA</v>
      </c>
      <c r="R4136" s="17" t="s">
        <v>35</v>
      </c>
      <c r="S4136" s="17" t="str">
        <f aca="false">VLOOKUP(R4136,Sheet2!N:O,2,0)</f>
        <v>IREPARABLE</v>
      </c>
      <c r="T4136" s="18" t="str">
        <f aca="false">VLOOKUP(P4136,Sheet2!Q:R,2,0)</f>
        <v>IR Normal - Track burn out</v>
      </c>
      <c r="U4136" s="20" t="s">
        <v>41</v>
      </c>
      <c r="V4136" s="17"/>
      <c r="W4136" s="20" t="e">
        <f aca="false">VLOOKUP(V4136,Sheet2!Q:R,2,0)</f>
        <v>#N/A</v>
      </c>
      <c r="X4136" s="17" t="n">
        <f aca="false">J4136</f>
        <v>0</v>
      </c>
      <c r="Y4136" s="17" t="e">
        <f aca="false">VLOOKUP(X4136,Sheet2!A:B,2,0)</f>
        <v>#N/A</v>
      </c>
      <c r="Z4136" s="17"/>
      <c r="AA4136" s="17"/>
      <c r="AC4136" s="23" t="str">
        <f aca="false">LEFT(G4136,2)</f>
        <v/>
      </c>
    </row>
    <row r="4137" customFormat="false" ht="15" hidden="false" customHeight="false" outlineLevel="0" collapsed="false">
      <c r="A4137" s="13" t="n">
        <f aca="false">1+A4136</f>
        <v>4135</v>
      </c>
      <c r="B4137" s="14" t="n">
        <v>100</v>
      </c>
      <c r="C4137" s="15"/>
      <c r="D4137" s="16" t="s">
        <v>64</v>
      </c>
      <c r="E4137" s="17" t="s">
        <v>47</v>
      </c>
      <c r="F4137" s="18" t="s">
        <v>34</v>
      </c>
      <c r="G4137" s="19"/>
      <c r="H4137" s="17" t="s">
        <v>35</v>
      </c>
      <c r="I4137" s="17" t="s">
        <v>44</v>
      </c>
      <c r="J4137" s="17"/>
      <c r="K4137" s="17" t="e">
        <f aca="false">VLOOKUP(J4137,Sheet2!A:B,2,0)</f>
        <v>#N/A</v>
      </c>
      <c r="L4137" s="17" t="n">
        <v>5</v>
      </c>
      <c r="M4137" s="17" t="str">
        <f aca="false">VLOOKUP(L4137,Sheet2!D:E,2,0)</f>
        <v>Main Processor CPU BGA</v>
      </c>
      <c r="N4137" s="17" t="n">
        <v>1</v>
      </c>
      <c r="O4137" s="17" t="str">
        <f aca="false">VLOOKUP(N4137,Sheet2!G:H,2,0)</f>
        <v>Dead</v>
      </c>
      <c r="P4137" s="17" t="n">
        <v>11</v>
      </c>
      <c r="Q4137" s="17" t="str">
        <f aca="false">VLOOKUP(P4137,Sheet2!J:K,2,0)</f>
        <v>IR Declared due to CID -TA</v>
      </c>
      <c r="R4137" s="17" t="s">
        <v>35</v>
      </c>
      <c r="S4137" s="17" t="str">
        <f aca="false">VLOOKUP(R4137,Sheet2!N:O,2,0)</f>
        <v>IREPARABLE</v>
      </c>
      <c r="T4137" s="18" t="str">
        <f aca="false">VLOOKUP(P4137,Sheet2!Q:R,2,0)</f>
        <v>IR Normal - Track burn out</v>
      </c>
      <c r="U4137" s="20" t="s">
        <v>41</v>
      </c>
      <c r="V4137" s="17"/>
      <c r="W4137" s="20" t="e">
        <f aca="false">VLOOKUP(V4137,Sheet2!Q:R,2,0)</f>
        <v>#N/A</v>
      </c>
      <c r="X4137" s="17" t="n">
        <f aca="false">J4137</f>
        <v>0</v>
      </c>
      <c r="Y4137" s="17" t="e">
        <f aca="false">VLOOKUP(X4137,Sheet2!A:B,2,0)</f>
        <v>#N/A</v>
      </c>
      <c r="Z4137" s="17"/>
      <c r="AA4137" s="17"/>
      <c r="AC4137" s="23" t="str">
        <f aca="false">LEFT(G4137,2)</f>
        <v/>
      </c>
    </row>
    <row r="4138" customFormat="false" ht="15" hidden="false" customHeight="false" outlineLevel="0" collapsed="false">
      <c r="A4138" s="13" t="n">
        <f aca="false">1+A4137</f>
        <v>4136</v>
      </c>
      <c r="B4138" s="14" t="n">
        <v>100</v>
      </c>
      <c r="C4138" s="15"/>
      <c r="D4138" s="16" t="s">
        <v>64</v>
      </c>
      <c r="E4138" s="17" t="s">
        <v>47</v>
      </c>
      <c r="F4138" s="18" t="s">
        <v>34</v>
      </c>
      <c r="G4138" s="19"/>
      <c r="H4138" s="17" t="s">
        <v>35</v>
      </c>
      <c r="I4138" s="17" t="s">
        <v>44</v>
      </c>
      <c r="J4138" s="17"/>
      <c r="K4138" s="17" t="e">
        <f aca="false">VLOOKUP(J4138,Sheet2!A:B,2,0)</f>
        <v>#N/A</v>
      </c>
      <c r="L4138" s="17" t="n">
        <v>5</v>
      </c>
      <c r="M4138" s="17" t="str">
        <f aca="false">VLOOKUP(L4138,Sheet2!D:E,2,0)</f>
        <v>Main Processor CPU BGA</v>
      </c>
      <c r="N4138" s="17" t="n">
        <v>1</v>
      </c>
      <c r="O4138" s="17" t="str">
        <f aca="false">VLOOKUP(N4138,Sheet2!G:H,2,0)</f>
        <v>Dead</v>
      </c>
      <c r="P4138" s="17" t="n">
        <v>11</v>
      </c>
      <c r="Q4138" s="17" t="str">
        <f aca="false">VLOOKUP(P4138,Sheet2!J:K,2,0)</f>
        <v>IR Declared due to CID -TA</v>
      </c>
      <c r="R4138" s="17" t="s">
        <v>35</v>
      </c>
      <c r="S4138" s="17" t="str">
        <f aca="false">VLOOKUP(R4138,Sheet2!N:O,2,0)</f>
        <v>IREPARABLE</v>
      </c>
      <c r="T4138" s="18" t="str">
        <f aca="false">VLOOKUP(P4138,Sheet2!Q:R,2,0)</f>
        <v>IR Normal - Track burn out</v>
      </c>
      <c r="U4138" s="20" t="s">
        <v>41</v>
      </c>
      <c r="V4138" s="17"/>
      <c r="W4138" s="20" t="e">
        <f aca="false">VLOOKUP(V4138,Sheet2!Q:R,2,0)</f>
        <v>#N/A</v>
      </c>
      <c r="X4138" s="17" t="n">
        <f aca="false">J4138</f>
        <v>0</v>
      </c>
      <c r="Y4138" s="17" t="e">
        <f aca="false">VLOOKUP(X4138,Sheet2!A:B,2,0)</f>
        <v>#N/A</v>
      </c>
      <c r="Z4138" s="17"/>
      <c r="AA4138" s="17"/>
      <c r="AC4138" s="23" t="str">
        <f aca="false">LEFT(G4138,2)</f>
        <v/>
      </c>
    </row>
    <row r="4139" customFormat="false" ht="15" hidden="false" customHeight="false" outlineLevel="0" collapsed="false">
      <c r="A4139" s="13" t="n">
        <f aca="false">1+A4138</f>
        <v>4137</v>
      </c>
      <c r="B4139" s="14" t="n">
        <v>100</v>
      </c>
      <c r="C4139" s="15"/>
      <c r="D4139" s="16" t="s">
        <v>64</v>
      </c>
      <c r="E4139" s="17" t="s">
        <v>47</v>
      </c>
      <c r="F4139" s="18" t="s">
        <v>34</v>
      </c>
      <c r="G4139" s="19"/>
      <c r="H4139" s="17" t="s">
        <v>35</v>
      </c>
      <c r="I4139" s="17" t="s">
        <v>44</v>
      </c>
      <c r="J4139" s="17"/>
      <c r="K4139" s="17" t="e">
        <f aca="false">VLOOKUP(J4139,Sheet2!A:B,2,0)</f>
        <v>#N/A</v>
      </c>
      <c r="L4139" s="17" t="n">
        <v>5</v>
      </c>
      <c r="M4139" s="17" t="str">
        <f aca="false">VLOOKUP(L4139,Sheet2!D:E,2,0)</f>
        <v>Main Processor CPU BGA</v>
      </c>
      <c r="N4139" s="17" t="n">
        <v>1</v>
      </c>
      <c r="O4139" s="17" t="str">
        <f aca="false">VLOOKUP(N4139,Sheet2!G:H,2,0)</f>
        <v>Dead</v>
      </c>
      <c r="P4139" s="17" t="n">
        <v>11</v>
      </c>
      <c r="Q4139" s="17" t="str">
        <f aca="false">VLOOKUP(P4139,Sheet2!J:K,2,0)</f>
        <v>IR Declared due to CID -TA</v>
      </c>
      <c r="R4139" s="17" t="s">
        <v>35</v>
      </c>
      <c r="S4139" s="17" t="str">
        <f aca="false">VLOOKUP(R4139,Sheet2!N:O,2,0)</f>
        <v>IREPARABLE</v>
      </c>
      <c r="T4139" s="18" t="str">
        <f aca="false">VLOOKUP(P4139,Sheet2!Q:R,2,0)</f>
        <v>IR Normal - Track burn out</v>
      </c>
      <c r="U4139" s="20" t="s">
        <v>41</v>
      </c>
      <c r="V4139" s="17"/>
      <c r="W4139" s="20" t="e">
        <f aca="false">VLOOKUP(V4139,Sheet2!Q:R,2,0)</f>
        <v>#N/A</v>
      </c>
      <c r="X4139" s="17" t="n">
        <f aca="false">J4139</f>
        <v>0</v>
      </c>
      <c r="Y4139" s="17" t="e">
        <f aca="false">VLOOKUP(X4139,Sheet2!A:B,2,0)</f>
        <v>#N/A</v>
      </c>
      <c r="Z4139" s="17"/>
      <c r="AA4139" s="17"/>
      <c r="AC4139" s="23" t="str">
        <f aca="false">LEFT(G4139,2)</f>
        <v/>
      </c>
    </row>
    <row r="4140" customFormat="false" ht="15" hidden="false" customHeight="false" outlineLevel="0" collapsed="false">
      <c r="A4140" s="13" t="n">
        <f aca="false">1+A4139</f>
        <v>4138</v>
      </c>
      <c r="B4140" s="14" t="n">
        <v>100</v>
      </c>
      <c r="C4140" s="15"/>
      <c r="D4140" s="16" t="s">
        <v>64</v>
      </c>
      <c r="E4140" s="17" t="s">
        <v>47</v>
      </c>
      <c r="F4140" s="18" t="s">
        <v>34</v>
      </c>
      <c r="G4140" s="19"/>
      <c r="H4140" s="17" t="s">
        <v>35</v>
      </c>
      <c r="I4140" s="17" t="s">
        <v>44</v>
      </c>
      <c r="J4140" s="17"/>
      <c r="K4140" s="17" t="e">
        <f aca="false">VLOOKUP(J4140,Sheet2!A:B,2,0)</f>
        <v>#N/A</v>
      </c>
      <c r="L4140" s="17" t="n">
        <v>5</v>
      </c>
      <c r="M4140" s="17" t="str">
        <f aca="false">VLOOKUP(L4140,Sheet2!D:E,2,0)</f>
        <v>Main Processor CPU BGA</v>
      </c>
      <c r="N4140" s="17" t="n">
        <v>1</v>
      </c>
      <c r="O4140" s="17" t="str">
        <f aca="false">VLOOKUP(N4140,Sheet2!G:H,2,0)</f>
        <v>Dead</v>
      </c>
      <c r="P4140" s="17" t="n">
        <v>11</v>
      </c>
      <c r="Q4140" s="17" t="str">
        <f aca="false">VLOOKUP(P4140,Sheet2!J:K,2,0)</f>
        <v>IR Declared due to CID -TA</v>
      </c>
      <c r="R4140" s="17" t="s">
        <v>35</v>
      </c>
      <c r="S4140" s="17" t="str">
        <f aca="false">VLOOKUP(R4140,Sheet2!N:O,2,0)</f>
        <v>IREPARABLE</v>
      </c>
      <c r="T4140" s="18" t="str">
        <f aca="false">VLOOKUP(P4140,Sheet2!Q:R,2,0)</f>
        <v>IR Normal - Track burn out</v>
      </c>
      <c r="U4140" s="20" t="s">
        <v>41</v>
      </c>
      <c r="V4140" s="17"/>
      <c r="W4140" s="20" t="e">
        <f aca="false">VLOOKUP(V4140,Sheet2!Q:R,2,0)</f>
        <v>#N/A</v>
      </c>
      <c r="X4140" s="17" t="n">
        <f aca="false">J4140</f>
        <v>0</v>
      </c>
      <c r="Y4140" s="17" t="e">
        <f aca="false">VLOOKUP(X4140,Sheet2!A:B,2,0)</f>
        <v>#N/A</v>
      </c>
      <c r="Z4140" s="17"/>
      <c r="AA4140" s="17"/>
      <c r="AC4140" s="23" t="str">
        <f aca="false">LEFT(G4140,2)</f>
        <v/>
      </c>
    </row>
    <row r="4141" customFormat="false" ht="15" hidden="false" customHeight="false" outlineLevel="0" collapsed="false">
      <c r="A4141" s="13" t="n">
        <f aca="false">1+A4140</f>
        <v>4139</v>
      </c>
      <c r="B4141" s="14" t="n">
        <v>100</v>
      </c>
      <c r="C4141" s="15"/>
      <c r="D4141" s="16" t="s">
        <v>64</v>
      </c>
      <c r="E4141" s="17" t="s">
        <v>47</v>
      </c>
      <c r="F4141" s="18" t="s">
        <v>34</v>
      </c>
      <c r="G4141" s="19"/>
      <c r="H4141" s="17" t="s">
        <v>35</v>
      </c>
      <c r="I4141" s="17" t="s">
        <v>44</v>
      </c>
      <c r="J4141" s="17"/>
      <c r="K4141" s="17" t="e">
        <f aca="false">VLOOKUP(J4141,Sheet2!A:B,2,0)</f>
        <v>#N/A</v>
      </c>
      <c r="L4141" s="17" t="n">
        <v>5</v>
      </c>
      <c r="M4141" s="17" t="str">
        <f aca="false">VLOOKUP(L4141,Sheet2!D:E,2,0)</f>
        <v>Main Processor CPU BGA</v>
      </c>
      <c r="N4141" s="17" t="n">
        <v>1</v>
      </c>
      <c r="O4141" s="17" t="str">
        <f aca="false">VLOOKUP(N4141,Sheet2!G:H,2,0)</f>
        <v>Dead</v>
      </c>
      <c r="P4141" s="17" t="n">
        <v>11</v>
      </c>
      <c r="Q4141" s="17" t="str">
        <f aca="false">VLOOKUP(P4141,Sheet2!J:K,2,0)</f>
        <v>IR Declared due to CID -TA</v>
      </c>
      <c r="R4141" s="17" t="s">
        <v>35</v>
      </c>
      <c r="S4141" s="17" t="str">
        <f aca="false">VLOOKUP(R4141,Sheet2!N:O,2,0)</f>
        <v>IREPARABLE</v>
      </c>
      <c r="T4141" s="18" t="str">
        <f aca="false">VLOOKUP(P4141,Sheet2!Q:R,2,0)</f>
        <v>IR Normal - Track burn out</v>
      </c>
      <c r="U4141" s="20" t="s">
        <v>41</v>
      </c>
      <c r="V4141" s="17"/>
      <c r="W4141" s="20" t="e">
        <f aca="false">VLOOKUP(V4141,Sheet2!Q:R,2,0)</f>
        <v>#N/A</v>
      </c>
      <c r="X4141" s="17" t="n">
        <f aca="false">J4141</f>
        <v>0</v>
      </c>
      <c r="Y4141" s="17" t="e">
        <f aca="false">VLOOKUP(X4141,Sheet2!A:B,2,0)</f>
        <v>#N/A</v>
      </c>
      <c r="Z4141" s="17"/>
      <c r="AA4141" s="17"/>
      <c r="AC4141" s="23" t="str">
        <f aca="false">LEFT(G4141,2)</f>
        <v/>
      </c>
    </row>
    <row r="4142" customFormat="false" ht="15" hidden="false" customHeight="false" outlineLevel="0" collapsed="false">
      <c r="A4142" s="13" t="n">
        <f aca="false">1+A4141</f>
        <v>4140</v>
      </c>
      <c r="B4142" s="14" t="n">
        <v>100</v>
      </c>
      <c r="C4142" s="15"/>
      <c r="D4142" s="16" t="s">
        <v>64</v>
      </c>
      <c r="E4142" s="17" t="s">
        <v>47</v>
      </c>
      <c r="F4142" s="18" t="s">
        <v>34</v>
      </c>
      <c r="G4142" s="19"/>
      <c r="H4142" s="17" t="s">
        <v>35</v>
      </c>
      <c r="I4142" s="17" t="s">
        <v>44</v>
      </c>
      <c r="J4142" s="17"/>
      <c r="K4142" s="17" t="e">
        <f aca="false">VLOOKUP(J4142,Sheet2!A:B,2,0)</f>
        <v>#N/A</v>
      </c>
      <c r="L4142" s="17" t="n">
        <v>5</v>
      </c>
      <c r="M4142" s="17" t="str">
        <f aca="false">VLOOKUP(L4142,Sheet2!D:E,2,0)</f>
        <v>Main Processor CPU BGA</v>
      </c>
      <c r="N4142" s="17" t="n">
        <v>1</v>
      </c>
      <c r="O4142" s="17" t="str">
        <f aca="false">VLOOKUP(N4142,Sheet2!G:H,2,0)</f>
        <v>Dead</v>
      </c>
      <c r="P4142" s="17" t="n">
        <v>11</v>
      </c>
      <c r="Q4142" s="17" t="str">
        <f aca="false">VLOOKUP(P4142,Sheet2!J:K,2,0)</f>
        <v>IR Declared due to CID -TA</v>
      </c>
      <c r="R4142" s="17" t="s">
        <v>35</v>
      </c>
      <c r="S4142" s="17" t="str">
        <f aca="false">VLOOKUP(R4142,Sheet2!N:O,2,0)</f>
        <v>IREPARABLE</v>
      </c>
      <c r="T4142" s="18" t="str">
        <f aca="false">VLOOKUP(P4142,Sheet2!Q:R,2,0)</f>
        <v>IR Normal - Track burn out</v>
      </c>
      <c r="U4142" s="20" t="s">
        <v>41</v>
      </c>
      <c r="V4142" s="17"/>
      <c r="W4142" s="20" t="e">
        <f aca="false">VLOOKUP(V4142,Sheet2!Q:R,2,0)</f>
        <v>#N/A</v>
      </c>
      <c r="X4142" s="17" t="n">
        <f aca="false">J4142</f>
        <v>0</v>
      </c>
      <c r="Y4142" s="17" t="e">
        <f aca="false">VLOOKUP(X4142,Sheet2!A:B,2,0)</f>
        <v>#N/A</v>
      </c>
      <c r="Z4142" s="17"/>
      <c r="AA4142" s="17"/>
      <c r="AC4142" s="23" t="str">
        <f aca="false">LEFT(G4142,2)</f>
        <v/>
      </c>
    </row>
    <row r="4143" customFormat="false" ht="15" hidden="false" customHeight="false" outlineLevel="0" collapsed="false">
      <c r="A4143" s="13" t="n">
        <f aca="false">1+A4142</f>
        <v>4141</v>
      </c>
      <c r="B4143" s="14" t="n">
        <v>100</v>
      </c>
      <c r="C4143" s="15"/>
      <c r="D4143" s="16" t="s">
        <v>64</v>
      </c>
      <c r="E4143" s="17" t="s">
        <v>47</v>
      </c>
      <c r="F4143" s="18" t="s">
        <v>34</v>
      </c>
      <c r="G4143" s="19"/>
      <c r="H4143" s="17" t="s">
        <v>35</v>
      </c>
      <c r="I4143" s="17" t="s">
        <v>44</v>
      </c>
      <c r="J4143" s="17"/>
      <c r="K4143" s="17" t="e">
        <f aca="false">VLOOKUP(J4143,Sheet2!A:B,2,0)</f>
        <v>#N/A</v>
      </c>
      <c r="L4143" s="17" t="n">
        <v>5</v>
      </c>
      <c r="M4143" s="17" t="str">
        <f aca="false">VLOOKUP(L4143,Sheet2!D:E,2,0)</f>
        <v>Main Processor CPU BGA</v>
      </c>
      <c r="N4143" s="17" t="n">
        <v>1</v>
      </c>
      <c r="O4143" s="17" t="str">
        <f aca="false">VLOOKUP(N4143,Sheet2!G:H,2,0)</f>
        <v>Dead</v>
      </c>
      <c r="P4143" s="17" t="n">
        <v>11</v>
      </c>
      <c r="Q4143" s="17" t="str">
        <f aca="false">VLOOKUP(P4143,Sheet2!J:K,2,0)</f>
        <v>IR Declared due to CID -TA</v>
      </c>
      <c r="R4143" s="17" t="s">
        <v>35</v>
      </c>
      <c r="S4143" s="17" t="str">
        <f aca="false">VLOOKUP(R4143,Sheet2!N:O,2,0)</f>
        <v>IREPARABLE</v>
      </c>
      <c r="T4143" s="18" t="str">
        <f aca="false">VLOOKUP(P4143,Sheet2!Q:R,2,0)</f>
        <v>IR Normal - Track burn out</v>
      </c>
      <c r="U4143" s="20" t="s">
        <v>41</v>
      </c>
      <c r="V4143" s="17"/>
      <c r="W4143" s="20" t="e">
        <f aca="false">VLOOKUP(V4143,Sheet2!Q:R,2,0)</f>
        <v>#N/A</v>
      </c>
      <c r="X4143" s="17" t="n">
        <f aca="false">J4143</f>
        <v>0</v>
      </c>
      <c r="Y4143" s="17" t="e">
        <f aca="false">VLOOKUP(X4143,Sheet2!A:B,2,0)</f>
        <v>#N/A</v>
      </c>
      <c r="Z4143" s="17"/>
      <c r="AA4143" s="17"/>
      <c r="AC4143" s="23" t="str">
        <f aca="false">LEFT(G4143,2)</f>
        <v/>
      </c>
    </row>
    <row r="4144" customFormat="false" ht="15" hidden="false" customHeight="false" outlineLevel="0" collapsed="false">
      <c r="A4144" s="13" t="n">
        <f aca="false">1+A4143</f>
        <v>4142</v>
      </c>
      <c r="B4144" s="14" t="n">
        <v>100</v>
      </c>
      <c r="C4144" s="15"/>
      <c r="D4144" s="16" t="s">
        <v>64</v>
      </c>
      <c r="E4144" s="17" t="s">
        <v>47</v>
      </c>
      <c r="F4144" s="18" t="s">
        <v>34</v>
      </c>
      <c r="G4144" s="19"/>
      <c r="H4144" s="17" t="s">
        <v>35</v>
      </c>
      <c r="I4144" s="17" t="s">
        <v>44</v>
      </c>
      <c r="J4144" s="17"/>
      <c r="K4144" s="17" t="e">
        <f aca="false">VLOOKUP(J4144,Sheet2!A:B,2,0)</f>
        <v>#N/A</v>
      </c>
      <c r="L4144" s="17" t="n">
        <v>5</v>
      </c>
      <c r="M4144" s="17" t="str">
        <f aca="false">VLOOKUP(L4144,Sheet2!D:E,2,0)</f>
        <v>Main Processor CPU BGA</v>
      </c>
      <c r="N4144" s="17" t="n">
        <v>1</v>
      </c>
      <c r="O4144" s="17" t="str">
        <f aca="false">VLOOKUP(N4144,Sheet2!G:H,2,0)</f>
        <v>Dead</v>
      </c>
      <c r="P4144" s="17" t="n">
        <v>11</v>
      </c>
      <c r="Q4144" s="17" t="str">
        <f aca="false">VLOOKUP(P4144,Sheet2!J:K,2,0)</f>
        <v>IR Declared due to CID -TA</v>
      </c>
      <c r="R4144" s="17" t="s">
        <v>35</v>
      </c>
      <c r="S4144" s="17" t="str">
        <f aca="false">VLOOKUP(R4144,Sheet2!N:O,2,0)</f>
        <v>IREPARABLE</v>
      </c>
      <c r="T4144" s="18" t="str">
        <f aca="false">VLOOKUP(P4144,Sheet2!Q:R,2,0)</f>
        <v>IR Normal - Track burn out</v>
      </c>
      <c r="U4144" s="20" t="s">
        <v>41</v>
      </c>
      <c r="V4144" s="17"/>
      <c r="W4144" s="20" t="e">
        <f aca="false">VLOOKUP(V4144,Sheet2!Q:R,2,0)</f>
        <v>#N/A</v>
      </c>
      <c r="X4144" s="17" t="n">
        <f aca="false">J4144</f>
        <v>0</v>
      </c>
      <c r="Y4144" s="17" t="e">
        <f aca="false">VLOOKUP(X4144,Sheet2!A:B,2,0)</f>
        <v>#N/A</v>
      </c>
      <c r="Z4144" s="17"/>
      <c r="AA4144" s="17"/>
      <c r="AC4144" s="23" t="str">
        <f aca="false">LEFT(G4144,2)</f>
        <v/>
      </c>
    </row>
    <row r="4145" customFormat="false" ht="15" hidden="false" customHeight="false" outlineLevel="0" collapsed="false">
      <c r="A4145" s="13" t="n">
        <f aca="false">1+A4144</f>
        <v>4143</v>
      </c>
      <c r="B4145" s="14" t="n">
        <v>100</v>
      </c>
      <c r="C4145" s="15"/>
      <c r="D4145" s="16" t="s">
        <v>64</v>
      </c>
      <c r="E4145" s="17" t="s">
        <v>47</v>
      </c>
      <c r="F4145" s="18" t="s">
        <v>34</v>
      </c>
      <c r="G4145" s="19"/>
      <c r="H4145" s="17" t="s">
        <v>35</v>
      </c>
      <c r="I4145" s="17" t="s">
        <v>44</v>
      </c>
      <c r="J4145" s="17"/>
      <c r="K4145" s="17" t="e">
        <f aca="false">VLOOKUP(J4145,Sheet2!A:B,2,0)</f>
        <v>#N/A</v>
      </c>
      <c r="L4145" s="17" t="n">
        <v>5</v>
      </c>
      <c r="M4145" s="17" t="str">
        <f aca="false">VLOOKUP(L4145,Sheet2!D:E,2,0)</f>
        <v>Main Processor CPU BGA</v>
      </c>
      <c r="N4145" s="17" t="n">
        <v>1</v>
      </c>
      <c r="O4145" s="17" t="str">
        <f aca="false">VLOOKUP(N4145,Sheet2!G:H,2,0)</f>
        <v>Dead</v>
      </c>
      <c r="P4145" s="17" t="n">
        <v>11</v>
      </c>
      <c r="Q4145" s="17" t="str">
        <f aca="false">VLOOKUP(P4145,Sheet2!J:K,2,0)</f>
        <v>IR Declared due to CID -TA</v>
      </c>
      <c r="R4145" s="17" t="s">
        <v>35</v>
      </c>
      <c r="S4145" s="17" t="str">
        <f aca="false">VLOOKUP(R4145,Sheet2!N:O,2,0)</f>
        <v>IREPARABLE</v>
      </c>
      <c r="T4145" s="18" t="str">
        <f aca="false">VLOOKUP(P4145,Sheet2!Q:R,2,0)</f>
        <v>IR Normal - Track burn out</v>
      </c>
      <c r="U4145" s="20" t="s">
        <v>41</v>
      </c>
      <c r="V4145" s="17"/>
      <c r="W4145" s="20" t="e">
        <f aca="false">VLOOKUP(V4145,Sheet2!Q:R,2,0)</f>
        <v>#N/A</v>
      </c>
      <c r="X4145" s="17" t="n">
        <f aca="false">J4145</f>
        <v>0</v>
      </c>
      <c r="Y4145" s="17" t="e">
        <f aca="false">VLOOKUP(X4145,Sheet2!A:B,2,0)</f>
        <v>#N/A</v>
      </c>
      <c r="Z4145" s="17"/>
      <c r="AA4145" s="17"/>
      <c r="AC4145" s="23" t="str">
        <f aca="false">LEFT(G4145,2)</f>
        <v/>
      </c>
    </row>
    <row r="4146" customFormat="false" ht="15" hidden="false" customHeight="false" outlineLevel="0" collapsed="false">
      <c r="A4146" s="13" t="n">
        <f aca="false">1+A4145</f>
        <v>4144</v>
      </c>
      <c r="B4146" s="14" t="n">
        <v>100</v>
      </c>
      <c r="C4146" s="15"/>
      <c r="D4146" s="16" t="s">
        <v>64</v>
      </c>
      <c r="E4146" s="17" t="s">
        <v>47</v>
      </c>
      <c r="F4146" s="18" t="s">
        <v>34</v>
      </c>
      <c r="G4146" s="19"/>
      <c r="H4146" s="17" t="s">
        <v>35</v>
      </c>
      <c r="I4146" s="17" t="s">
        <v>44</v>
      </c>
      <c r="J4146" s="17"/>
      <c r="K4146" s="17" t="e">
        <f aca="false">VLOOKUP(J4146,Sheet2!A:B,2,0)</f>
        <v>#N/A</v>
      </c>
      <c r="L4146" s="17" t="n">
        <v>5</v>
      </c>
      <c r="M4146" s="17" t="str">
        <f aca="false">VLOOKUP(L4146,Sheet2!D:E,2,0)</f>
        <v>Main Processor CPU BGA</v>
      </c>
      <c r="N4146" s="17" t="n">
        <v>1</v>
      </c>
      <c r="O4146" s="17" t="str">
        <f aca="false">VLOOKUP(N4146,Sheet2!G:H,2,0)</f>
        <v>Dead</v>
      </c>
      <c r="P4146" s="17" t="n">
        <v>11</v>
      </c>
      <c r="Q4146" s="17" t="str">
        <f aca="false">VLOOKUP(P4146,Sheet2!J:K,2,0)</f>
        <v>IR Declared due to CID -TA</v>
      </c>
      <c r="R4146" s="17" t="s">
        <v>35</v>
      </c>
      <c r="S4146" s="17" t="str">
        <f aca="false">VLOOKUP(R4146,Sheet2!N:O,2,0)</f>
        <v>IREPARABLE</v>
      </c>
      <c r="T4146" s="18" t="str">
        <f aca="false">VLOOKUP(P4146,Sheet2!Q:R,2,0)</f>
        <v>IR Normal - Track burn out</v>
      </c>
      <c r="U4146" s="20" t="s">
        <v>41</v>
      </c>
      <c r="V4146" s="17"/>
      <c r="W4146" s="20" t="e">
        <f aca="false">VLOOKUP(V4146,Sheet2!Q:R,2,0)</f>
        <v>#N/A</v>
      </c>
      <c r="X4146" s="17" t="n">
        <f aca="false">J4146</f>
        <v>0</v>
      </c>
      <c r="Y4146" s="17" t="e">
        <f aca="false">VLOOKUP(X4146,Sheet2!A:B,2,0)</f>
        <v>#N/A</v>
      </c>
      <c r="Z4146" s="17"/>
      <c r="AA4146" s="17"/>
      <c r="AC4146" s="23" t="str">
        <f aca="false">LEFT(G4146,2)</f>
        <v/>
      </c>
    </row>
    <row r="4147" customFormat="false" ht="15" hidden="false" customHeight="false" outlineLevel="0" collapsed="false">
      <c r="A4147" s="13" t="n">
        <f aca="false">1+A4146</f>
        <v>4145</v>
      </c>
      <c r="B4147" s="14" t="n">
        <v>100</v>
      </c>
      <c r="C4147" s="15"/>
      <c r="D4147" s="16" t="s">
        <v>64</v>
      </c>
      <c r="E4147" s="17" t="s">
        <v>47</v>
      </c>
      <c r="F4147" s="18" t="s">
        <v>34</v>
      </c>
      <c r="G4147" s="19"/>
      <c r="H4147" s="17" t="s">
        <v>35</v>
      </c>
      <c r="I4147" s="17" t="s">
        <v>44</v>
      </c>
      <c r="J4147" s="17"/>
      <c r="K4147" s="17" t="e">
        <f aca="false">VLOOKUP(J4147,Sheet2!A:B,2,0)</f>
        <v>#N/A</v>
      </c>
      <c r="L4147" s="17" t="n">
        <v>5</v>
      </c>
      <c r="M4147" s="17" t="str">
        <f aca="false">VLOOKUP(L4147,Sheet2!D:E,2,0)</f>
        <v>Main Processor CPU BGA</v>
      </c>
      <c r="N4147" s="17" t="n">
        <v>1</v>
      </c>
      <c r="O4147" s="17" t="str">
        <f aca="false">VLOOKUP(N4147,Sheet2!G:H,2,0)</f>
        <v>Dead</v>
      </c>
      <c r="P4147" s="17" t="n">
        <v>11</v>
      </c>
      <c r="Q4147" s="17" t="str">
        <f aca="false">VLOOKUP(P4147,Sheet2!J:K,2,0)</f>
        <v>IR Declared due to CID -TA</v>
      </c>
      <c r="R4147" s="17" t="s">
        <v>35</v>
      </c>
      <c r="S4147" s="17" t="str">
        <f aca="false">VLOOKUP(R4147,Sheet2!N:O,2,0)</f>
        <v>IREPARABLE</v>
      </c>
      <c r="T4147" s="18" t="str">
        <f aca="false">VLOOKUP(P4147,Sheet2!Q:R,2,0)</f>
        <v>IR Normal - Track burn out</v>
      </c>
      <c r="U4147" s="20" t="s">
        <v>41</v>
      </c>
      <c r="V4147" s="17"/>
      <c r="W4147" s="20" t="e">
        <f aca="false">VLOOKUP(V4147,Sheet2!Q:R,2,0)</f>
        <v>#N/A</v>
      </c>
      <c r="X4147" s="17" t="n">
        <f aca="false">J4147</f>
        <v>0</v>
      </c>
      <c r="Y4147" s="17" t="e">
        <f aca="false">VLOOKUP(X4147,Sheet2!A:B,2,0)</f>
        <v>#N/A</v>
      </c>
      <c r="Z4147" s="17"/>
      <c r="AA4147" s="17"/>
      <c r="AC4147" s="23" t="str">
        <f aca="false">LEFT(G4147,2)</f>
        <v/>
      </c>
    </row>
    <row r="4148" customFormat="false" ht="15" hidden="false" customHeight="false" outlineLevel="0" collapsed="false">
      <c r="A4148" s="13" t="n">
        <f aca="false">1+A4147</f>
        <v>4146</v>
      </c>
      <c r="B4148" s="14" t="n">
        <v>100</v>
      </c>
      <c r="C4148" s="15"/>
      <c r="D4148" s="16" t="s">
        <v>64</v>
      </c>
      <c r="E4148" s="17" t="s">
        <v>47</v>
      </c>
      <c r="F4148" s="18" t="s">
        <v>34</v>
      </c>
      <c r="G4148" s="19"/>
      <c r="H4148" s="17" t="s">
        <v>35</v>
      </c>
      <c r="I4148" s="17" t="s">
        <v>44</v>
      </c>
      <c r="J4148" s="17"/>
      <c r="K4148" s="17" t="e">
        <f aca="false">VLOOKUP(J4148,Sheet2!A:B,2,0)</f>
        <v>#N/A</v>
      </c>
      <c r="L4148" s="17" t="n">
        <v>5</v>
      </c>
      <c r="M4148" s="17" t="str">
        <f aca="false">VLOOKUP(L4148,Sheet2!D:E,2,0)</f>
        <v>Main Processor CPU BGA</v>
      </c>
      <c r="N4148" s="17" t="n">
        <v>1</v>
      </c>
      <c r="O4148" s="17" t="str">
        <f aca="false">VLOOKUP(N4148,Sheet2!G:H,2,0)</f>
        <v>Dead</v>
      </c>
      <c r="P4148" s="17" t="n">
        <v>11</v>
      </c>
      <c r="Q4148" s="17" t="str">
        <f aca="false">VLOOKUP(P4148,Sheet2!J:K,2,0)</f>
        <v>IR Declared due to CID -TA</v>
      </c>
      <c r="R4148" s="17" t="s">
        <v>35</v>
      </c>
      <c r="S4148" s="17" t="str">
        <f aca="false">VLOOKUP(R4148,Sheet2!N:O,2,0)</f>
        <v>IREPARABLE</v>
      </c>
      <c r="T4148" s="18" t="str">
        <f aca="false">VLOOKUP(P4148,Sheet2!Q:R,2,0)</f>
        <v>IR Normal - Track burn out</v>
      </c>
      <c r="U4148" s="20" t="s">
        <v>41</v>
      </c>
      <c r="V4148" s="17"/>
      <c r="W4148" s="20" t="e">
        <f aca="false">VLOOKUP(V4148,Sheet2!Q:R,2,0)</f>
        <v>#N/A</v>
      </c>
      <c r="X4148" s="17" t="n">
        <f aca="false">J4148</f>
        <v>0</v>
      </c>
      <c r="Y4148" s="17" t="e">
        <f aca="false">VLOOKUP(X4148,Sheet2!A:B,2,0)</f>
        <v>#N/A</v>
      </c>
      <c r="Z4148" s="17"/>
      <c r="AA4148" s="17"/>
      <c r="AC4148" s="23" t="str">
        <f aca="false">LEFT(G4148,2)</f>
        <v/>
      </c>
    </row>
    <row r="4149" customFormat="false" ht="15" hidden="false" customHeight="false" outlineLevel="0" collapsed="false">
      <c r="A4149" s="13" t="n">
        <f aca="false">1+A4148</f>
        <v>4147</v>
      </c>
      <c r="B4149" s="14" t="n">
        <v>100</v>
      </c>
      <c r="C4149" s="15"/>
      <c r="D4149" s="16" t="s">
        <v>64</v>
      </c>
      <c r="E4149" s="17" t="s">
        <v>47</v>
      </c>
      <c r="F4149" s="18" t="s">
        <v>34</v>
      </c>
      <c r="G4149" s="19"/>
      <c r="H4149" s="17" t="s">
        <v>35</v>
      </c>
      <c r="I4149" s="17" t="s">
        <v>44</v>
      </c>
      <c r="J4149" s="17"/>
      <c r="K4149" s="17" t="e">
        <f aca="false">VLOOKUP(J4149,Sheet2!A:B,2,0)</f>
        <v>#N/A</v>
      </c>
      <c r="L4149" s="17" t="n">
        <v>5</v>
      </c>
      <c r="M4149" s="17" t="str">
        <f aca="false">VLOOKUP(L4149,Sheet2!D:E,2,0)</f>
        <v>Main Processor CPU BGA</v>
      </c>
      <c r="N4149" s="17" t="n">
        <v>1</v>
      </c>
      <c r="O4149" s="17" t="str">
        <f aca="false">VLOOKUP(N4149,Sheet2!G:H,2,0)</f>
        <v>Dead</v>
      </c>
      <c r="P4149" s="17" t="n">
        <v>11</v>
      </c>
      <c r="Q4149" s="17" t="str">
        <f aca="false">VLOOKUP(P4149,Sheet2!J:K,2,0)</f>
        <v>IR Declared due to CID -TA</v>
      </c>
      <c r="R4149" s="17" t="s">
        <v>35</v>
      </c>
      <c r="S4149" s="17" t="str">
        <f aca="false">VLOOKUP(R4149,Sheet2!N:O,2,0)</f>
        <v>IREPARABLE</v>
      </c>
      <c r="T4149" s="18" t="str">
        <f aca="false">VLOOKUP(P4149,Sheet2!Q:R,2,0)</f>
        <v>IR Normal - Track burn out</v>
      </c>
      <c r="U4149" s="20" t="s">
        <v>41</v>
      </c>
      <c r="V4149" s="17"/>
      <c r="W4149" s="20" t="e">
        <f aca="false">VLOOKUP(V4149,Sheet2!Q:R,2,0)</f>
        <v>#N/A</v>
      </c>
      <c r="X4149" s="17" t="n">
        <f aca="false">J4149</f>
        <v>0</v>
      </c>
      <c r="Y4149" s="17" t="e">
        <f aca="false">VLOOKUP(X4149,Sheet2!A:B,2,0)</f>
        <v>#N/A</v>
      </c>
      <c r="Z4149" s="17"/>
      <c r="AA4149" s="17"/>
      <c r="AC4149" s="23" t="str">
        <f aca="false">LEFT(G4149,2)</f>
        <v/>
      </c>
    </row>
    <row r="4150" customFormat="false" ht="15" hidden="false" customHeight="false" outlineLevel="0" collapsed="false">
      <c r="A4150" s="13" t="n">
        <f aca="false">1+A4149</f>
        <v>4148</v>
      </c>
      <c r="B4150" s="14" t="n">
        <v>100</v>
      </c>
      <c r="C4150" s="15"/>
      <c r="D4150" s="16" t="s">
        <v>64</v>
      </c>
      <c r="E4150" s="17" t="s">
        <v>47</v>
      </c>
      <c r="F4150" s="18" t="s">
        <v>34</v>
      </c>
      <c r="G4150" s="19"/>
      <c r="H4150" s="17" t="s">
        <v>35</v>
      </c>
      <c r="I4150" s="17" t="s">
        <v>44</v>
      </c>
      <c r="J4150" s="17"/>
      <c r="K4150" s="17" t="e">
        <f aca="false">VLOOKUP(J4150,Sheet2!A:B,2,0)</f>
        <v>#N/A</v>
      </c>
      <c r="L4150" s="17" t="n">
        <v>5</v>
      </c>
      <c r="M4150" s="17" t="str">
        <f aca="false">VLOOKUP(L4150,Sheet2!D:E,2,0)</f>
        <v>Main Processor CPU BGA</v>
      </c>
      <c r="N4150" s="17" t="n">
        <v>1</v>
      </c>
      <c r="O4150" s="17" t="str">
        <f aca="false">VLOOKUP(N4150,Sheet2!G:H,2,0)</f>
        <v>Dead</v>
      </c>
      <c r="P4150" s="17" t="n">
        <v>11</v>
      </c>
      <c r="Q4150" s="17" t="str">
        <f aca="false">VLOOKUP(P4150,Sheet2!J:K,2,0)</f>
        <v>IR Declared due to CID -TA</v>
      </c>
      <c r="R4150" s="17" t="s">
        <v>35</v>
      </c>
      <c r="S4150" s="17" t="str">
        <f aca="false">VLOOKUP(R4150,Sheet2!N:O,2,0)</f>
        <v>IREPARABLE</v>
      </c>
      <c r="T4150" s="18" t="str">
        <f aca="false">VLOOKUP(P4150,Sheet2!Q:R,2,0)</f>
        <v>IR Normal - Track burn out</v>
      </c>
      <c r="U4150" s="20" t="s">
        <v>41</v>
      </c>
      <c r="V4150" s="17"/>
      <c r="W4150" s="20" t="e">
        <f aca="false">VLOOKUP(V4150,Sheet2!Q:R,2,0)</f>
        <v>#N/A</v>
      </c>
      <c r="X4150" s="17" t="n">
        <f aca="false">J4150</f>
        <v>0</v>
      </c>
      <c r="Y4150" s="17" t="e">
        <f aca="false">VLOOKUP(X4150,Sheet2!A:B,2,0)</f>
        <v>#N/A</v>
      </c>
      <c r="Z4150" s="17"/>
      <c r="AA4150" s="17"/>
      <c r="AC4150" s="23" t="str">
        <f aca="false">LEFT(G4150,2)</f>
        <v/>
      </c>
    </row>
    <row r="4151" customFormat="false" ht="15" hidden="false" customHeight="false" outlineLevel="0" collapsed="false">
      <c r="A4151" s="13" t="n">
        <f aca="false">1+A4150</f>
        <v>4149</v>
      </c>
      <c r="B4151" s="14" t="n">
        <v>100</v>
      </c>
      <c r="C4151" s="15"/>
      <c r="D4151" s="16" t="s">
        <v>64</v>
      </c>
      <c r="E4151" s="17" t="s">
        <v>47</v>
      </c>
      <c r="F4151" s="18" t="s">
        <v>34</v>
      </c>
      <c r="G4151" s="19"/>
      <c r="H4151" s="17" t="s">
        <v>35</v>
      </c>
      <c r="I4151" s="17" t="s">
        <v>44</v>
      </c>
      <c r="J4151" s="17"/>
      <c r="K4151" s="17" t="e">
        <f aca="false">VLOOKUP(J4151,Sheet2!A:B,2,0)</f>
        <v>#N/A</v>
      </c>
      <c r="L4151" s="17" t="n">
        <v>5</v>
      </c>
      <c r="M4151" s="17" t="str">
        <f aca="false">VLOOKUP(L4151,Sheet2!D:E,2,0)</f>
        <v>Main Processor CPU BGA</v>
      </c>
      <c r="N4151" s="17" t="n">
        <v>1</v>
      </c>
      <c r="O4151" s="17" t="str">
        <f aca="false">VLOOKUP(N4151,Sheet2!G:H,2,0)</f>
        <v>Dead</v>
      </c>
      <c r="P4151" s="17" t="n">
        <v>11</v>
      </c>
      <c r="Q4151" s="17" t="str">
        <f aca="false">VLOOKUP(P4151,Sheet2!J:K,2,0)</f>
        <v>IR Declared due to CID -TA</v>
      </c>
      <c r="R4151" s="17" t="s">
        <v>35</v>
      </c>
      <c r="S4151" s="17" t="str">
        <f aca="false">VLOOKUP(R4151,Sheet2!N:O,2,0)</f>
        <v>IREPARABLE</v>
      </c>
      <c r="T4151" s="18" t="str">
        <f aca="false">VLOOKUP(P4151,Sheet2!Q:R,2,0)</f>
        <v>IR Normal - Track burn out</v>
      </c>
      <c r="U4151" s="20" t="s">
        <v>41</v>
      </c>
      <c r="V4151" s="17"/>
      <c r="W4151" s="20" t="e">
        <f aca="false">VLOOKUP(V4151,Sheet2!Q:R,2,0)</f>
        <v>#N/A</v>
      </c>
      <c r="X4151" s="17" t="n">
        <f aca="false">J4151</f>
        <v>0</v>
      </c>
      <c r="Y4151" s="17" t="e">
        <f aca="false">VLOOKUP(X4151,Sheet2!A:B,2,0)</f>
        <v>#N/A</v>
      </c>
      <c r="Z4151" s="17"/>
      <c r="AA4151" s="17"/>
      <c r="AC4151" s="23" t="str">
        <f aca="false">LEFT(G4151,2)</f>
        <v/>
      </c>
    </row>
    <row r="4152" customFormat="false" ht="15" hidden="false" customHeight="false" outlineLevel="0" collapsed="false">
      <c r="A4152" s="13" t="n">
        <f aca="false">1+A4151</f>
        <v>4150</v>
      </c>
      <c r="B4152" s="14" t="n">
        <v>100</v>
      </c>
      <c r="C4152" s="15"/>
      <c r="D4152" s="16" t="s">
        <v>64</v>
      </c>
      <c r="E4152" s="17" t="s">
        <v>47</v>
      </c>
      <c r="F4152" s="18" t="s">
        <v>34</v>
      </c>
      <c r="G4152" s="19"/>
      <c r="H4152" s="17" t="s">
        <v>35</v>
      </c>
      <c r="I4152" s="17" t="s">
        <v>44</v>
      </c>
      <c r="J4152" s="17"/>
      <c r="K4152" s="17" t="e">
        <f aca="false">VLOOKUP(J4152,Sheet2!A:B,2,0)</f>
        <v>#N/A</v>
      </c>
      <c r="L4152" s="17" t="n">
        <v>5</v>
      </c>
      <c r="M4152" s="17" t="str">
        <f aca="false">VLOOKUP(L4152,Sheet2!D:E,2,0)</f>
        <v>Main Processor CPU BGA</v>
      </c>
      <c r="N4152" s="17" t="n">
        <v>1</v>
      </c>
      <c r="O4152" s="17" t="str">
        <f aca="false">VLOOKUP(N4152,Sheet2!G:H,2,0)</f>
        <v>Dead</v>
      </c>
      <c r="P4152" s="17" t="n">
        <v>11</v>
      </c>
      <c r="Q4152" s="17" t="str">
        <f aca="false">VLOOKUP(P4152,Sheet2!J:K,2,0)</f>
        <v>IR Declared due to CID -TA</v>
      </c>
      <c r="R4152" s="17" t="s">
        <v>35</v>
      </c>
      <c r="S4152" s="17" t="str">
        <f aca="false">VLOOKUP(R4152,Sheet2!N:O,2,0)</f>
        <v>IREPARABLE</v>
      </c>
      <c r="T4152" s="18" t="str">
        <f aca="false">VLOOKUP(P4152,Sheet2!Q:R,2,0)</f>
        <v>IR Normal - Track burn out</v>
      </c>
      <c r="U4152" s="20" t="s">
        <v>41</v>
      </c>
      <c r="V4152" s="17"/>
      <c r="W4152" s="20" t="e">
        <f aca="false">VLOOKUP(V4152,Sheet2!Q:R,2,0)</f>
        <v>#N/A</v>
      </c>
      <c r="X4152" s="17" t="n">
        <f aca="false">J4152</f>
        <v>0</v>
      </c>
      <c r="Y4152" s="17" t="e">
        <f aca="false">VLOOKUP(X4152,Sheet2!A:B,2,0)</f>
        <v>#N/A</v>
      </c>
      <c r="Z4152" s="17"/>
      <c r="AA4152" s="17"/>
      <c r="AC4152" s="23" t="str">
        <f aca="false">LEFT(G4152,2)</f>
        <v/>
      </c>
    </row>
    <row r="4153" customFormat="false" ht="15" hidden="false" customHeight="false" outlineLevel="0" collapsed="false">
      <c r="A4153" s="13" t="n">
        <f aca="false">1+A4152</f>
        <v>4151</v>
      </c>
      <c r="B4153" s="14" t="n">
        <v>100</v>
      </c>
      <c r="C4153" s="15"/>
      <c r="D4153" s="16" t="s">
        <v>64</v>
      </c>
      <c r="E4153" s="17" t="s">
        <v>47</v>
      </c>
      <c r="F4153" s="18" t="s">
        <v>34</v>
      </c>
      <c r="G4153" s="19"/>
      <c r="H4153" s="17" t="s">
        <v>35</v>
      </c>
      <c r="I4153" s="17" t="s">
        <v>44</v>
      </c>
      <c r="J4153" s="17"/>
      <c r="K4153" s="17" t="e">
        <f aca="false">VLOOKUP(J4153,Sheet2!A:B,2,0)</f>
        <v>#N/A</v>
      </c>
      <c r="L4153" s="17" t="n">
        <v>5</v>
      </c>
      <c r="M4153" s="17" t="str">
        <f aca="false">VLOOKUP(L4153,Sheet2!D:E,2,0)</f>
        <v>Main Processor CPU BGA</v>
      </c>
      <c r="N4153" s="17" t="n">
        <v>1</v>
      </c>
      <c r="O4153" s="17" t="str">
        <f aca="false">VLOOKUP(N4153,Sheet2!G:H,2,0)</f>
        <v>Dead</v>
      </c>
      <c r="P4153" s="17" t="n">
        <v>11</v>
      </c>
      <c r="Q4153" s="17" t="str">
        <f aca="false">VLOOKUP(P4153,Sheet2!J:K,2,0)</f>
        <v>IR Declared due to CID -TA</v>
      </c>
      <c r="R4153" s="17" t="s">
        <v>35</v>
      </c>
      <c r="S4153" s="17" t="str">
        <f aca="false">VLOOKUP(R4153,Sheet2!N:O,2,0)</f>
        <v>IREPARABLE</v>
      </c>
      <c r="T4153" s="18" t="str">
        <f aca="false">VLOOKUP(P4153,Sheet2!Q:R,2,0)</f>
        <v>IR Normal - Track burn out</v>
      </c>
      <c r="U4153" s="20" t="s">
        <v>41</v>
      </c>
      <c r="V4153" s="17"/>
      <c r="W4153" s="20" t="e">
        <f aca="false">VLOOKUP(V4153,Sheet2!Q:R,2,0)</f>
        <v>#N/A</v>
      </c>
      <c r="X4153" s="17" t="n">
        <f aca="false">J4153</f>
        <v>0</v>
      </c>
      <c r="Y4153" s="17" t="e">
        <f aca="false">VLOOKUP(X4153,Sheet2!A:B,2,0)</f>
        <v>#N/A</v>
      </c>
      <c r="Z4153" s="17"/>
      <c r="AA4153" s="17"/>
      <c r="AC4153" s="23" t="str">
        <f aca="false">LEFT(G4153,2)</f>
        <v/>
      </c>
    </row>
    <row r="4154" customFormat="false" ht="15" hidden="false" customHeight="false" outlineLevel="0" collapsed="false">
      <c r="A4154" s="13" t="n">
        <f aca="false">1+A4153</f>
        <v>4152</v>
      </c>
      <c r="B4154" s="14" t="n">
        <v>100</v>
      </c>
      <c r="C4154" s="15"/>
      <c r="D4154" s="16" t="s">
        <v>64</v>
      </c>
      <c r="E4154" s="17" t="s">
        <v>47</v>
      </c>
      <c r="F4154" s="18" t="s">
        <v>34</v>
      </c>
      <c r="G4154" s="19"/>
      <c r="H4154" s="17" t="s">
        <v>35</v>
      </c>
      <c r="I4154" s="17" t="s">
        <v>44</v>
      </c>
      <c r="J4154" s="17"/>
      <c r="K4154" s="17" t="e">
        <f aca="false">VLOOKUP(J4154,Sheet2!A:B,2,0)</f>
        <v>#N/A</v>
      </c>
      <c r="L4154" s="17" t="n">
        <v>5</v>
      </c>
      <c r="M4154" s="17" t="str">
        <f aca="false">VLOOKUP(L4154,Sheet2!D:E,2,0)</f>
        <v>Main Processor CPU BGA</v>
      </c>
      <c r="N4154" s="17" t="n">
        <v>1</v>
      </c>
      <c r="O4154" s="17" t="str">
        <f aca="false">VLOOKUP(N4154,Sheet2!G:H,2,0)</f>
        <v>Dead</v>
      </c>
      <c r="P4154" s="17" t="n">
        <v>11</v>
      </c>
      <c r="Q4154" s="17" t="str">
        <f aca="false">VLOOKUP(P4154,Sheet2!J:K,2,0)</f>
        <v>IR Declared due to CID -TA</v>
      </c>
      <c r="R4154" s="17" t="s">
        <v>35</v>
      </c>
      <c r="S4154" s="17" t="str">
        <f aca="false">VLOOKUP(R4154,Sheet2!N:O,2,0)</f>
        <v>IREPARABLE</v>
      </c>
      <c r="T4154" s="18" t="str">
        <f aca="false">VLOOKUP(P4154,Sheet2!Q:R,2,0)</f>
        <v>IR Normal - Track burn out</v>
      </c>
      <c r="U4154" s="20" t="s">
        <v>41</v>
      </c>
      <c r="V4154" s="17"/>
      <c r="W4154" s="20" t="e">
        <f aca="false">VLOOKUP(V4154,Sheet2!Q:R,2,0)</f>
        <v>#N/A</v>
      </c>
      <c r="X4154" s="17" t="n">
        <f aca="false">J4154</f>
        <v>0</v>
      </c>
      <c r="Y4154" s="17" t="e">
        <f aca="false">VLOOKUP(X4154,Sheet2!A:B,2,0)</f>
        <v>#N/A</v>
      </c>
      <c r="Z4154" s="17"/>
      <c r="AA4154" s="17"/>
      <c r="AC4154" s="23" t="str">
        <f aca="false">LEFT(G4154,2)</f>
        <v/>
      </c>
    </row>
    <row r="4155" customFormat="false" ht="15" hidden="false" customHeight="false" outlineLevel="0" collapsed="false">
      <c r="A4155" s="13" t="n">
        <f aca="false">1+A4154</f>
        <v>4153</v>
      </c>
      <c r="B4155" s="14" t="n">
        <v>100</v>
      </c>
      <c r="C4155" s="15"/>
      <c r="D4155" s="16" t="s">
        <v>64</v>
      </c>
      <c r="E4155" s="17" t="s">
        <v>47</v>
      </c>
      <c r="F4155" s="18" t="s">
        <v>34</v>
      </c>
      <c r="G4155" s="19"/>
      <c r="H4155" s="17" t="s">
        <v>35</v>
      </c>
      <c r="I4155" s="17" t="s">
        <v>44</v>
      </c>
      <c r="J4155" s="17"/>
      <c r="K4155" s="17" t="e">
        <f aca="false">VLOOKUP(J4155,Sheet2!A:B,2,0)</f>
        <v>#N/A</v>
      </c>
      <c r="L4155" s="17" t="n">
        <v>5</v>
      </c>
      <c r="M4155" s="17" t="str">
        <f aca="false">VLOOKUP(L4155,Sheet2!D:E,2,0)</f>
        <v>Main Processor CPU BGA</v>
      </c>
      <c r="N4155" s="17" t="n">
        <v>1</v>
      </c>
      <c r="O4155" s="17" t="str">
        <f aca="false">VLOOKUP(N4155,Sheet2!G:H,2,0)</f>
        <v>Dead</v>
      </c>
      <c r="P4155" s="17" t="n">
        <v>11</v>
      </c>
      <c r="Q4155" s="17" t="str">
        <f aca="false">VLOOKUP(P4155,Sheet2!J:K,2,0)</f>
        <v>IR Declared due to CID -TA</v>
      </c>
      <c r="R4155" s="17" t="s">
        <v>35</v>
      </c>
      <c r="S4155" s="17" t="str">
        <f aca="false">VLOOKUP(R4155,Sheet2!N:O,2,0)</f>
        <v>IREPARABLE</v>
      </c>
      <c r="T4155" s="18" t="str">
        <f aca="false">VLOOKUP(P4155,Sheet2!Q:R,2,0)</f>
        <v>IR Normal - Track burn out</v>
      </c>
      <c r="U4155" s="20" t="s">
        <v>41</v>
      </c>
      <c r="V4155" s="17"/>
      <c r="W4155" s="20" t="e">
        <f aca="false">VLOOKUP(V4155,Sheet2!Q:R,2,0)</f>
        <v>#N/A</v>
      </c>
      <c r="X4155" s="17" t="n">
        <f aca="false">J4155</f>
        <v>0</v>
      </c>
      <c r="Y4155" s="17" t="e">
        <f aca="false">VLOOKUP(X4155,Sheet2!A:B,2,0)</f>
        <v>#N/A</v>
      </c>
      <c r="Z4155" s="17"/>
      <c r="AA4155" s="17"/>
      <c r="AC4155" s="23" t="str">
        <f aca="false">LEFT(G4155,2)</f>
        <v/>
      </c>
    </row>
    <row r="4156" customFormat="false" ht="15" hidden="false" customHeight="false" outlineLevel="0" collapsed="false">
      <c r="A4156" s="13" t="n">
        <f aca="false">1+A4155</f>
        <v>4154</v>
      </c>
      <c r="B4156" s="14" t="n">
        <v>100</v>
      </c>
      <c r="C4156" s="15"/>
      <c r="D4156" s="16" t="s">
        <v>64</v>
      </c>
      <c r="E4156" s="17" t="s">
        <v>47</v>
      </c>
      <c r="F4156" s="18" t="s">
        <v>34</v>
      </c>
      <c r="G4156" s="19"/>
      <c r="H4156" s="17" t="s">
        <v>35</v>
      </c>
      <c r="I4156" s="17" t="s">
        <v>44</v>
      </c>
      <c r="J4156" s="17"/>
      <c r="K4156" s="17" t="e">
        <f aca="false">VLOOKUP(J4156,Sheet2!A:B,2,0)</f>
        <v>#N/A</v>
      </c>
      <c r="L4156" s="17" t="n">
        <v>5</v>
      </c>
      <c r="M4156" s="17" t="str">
        <f aca="false">VLOOKUP(L4156,Sheet2!D:E,2,0)</f>
        <v>Main Processor CPU BGA</v>
      </c>
      <c r="N4156" s="17" t="n">
        <v>1</v>
      </c>
      <c r="O4156" s="17" t="str">
        <f aca="false">VLOOKUP(N4156,Sheet2!G:H,2,0)</f>
        <v>Dead</v>
      </c>
      <c r="P4156" s="17" t="n">
        <v>11</v>
      </c>
      <c r="Q4156" s="17" t="str">
        <f aca="false">VLOOKUP(P4156,Sheet2!J:K,2,0)</f>
        <v>IR Declared due to CID -TA</v>
      </c>
      <c r="R4156" s="17" t="s">
        <v>35</v>
      </c>
      <c r="S4156" s="17" t="str">
        <f aca="false">VLOOKUP(R4156,Sheet2!N:O,2,0)</f>
        <v>IREPARABLE</v>
      </c>
      <c r="T4156" s="18" t="str">
        <f aca="false">VLOOKUP(P4156,Sheet2!Q:R,2,0)</f>
        <v>IR Normal - Track burn out</v>
      </c>
      <c r="U4156" s="20" t="s">
        <v>41</v>
      </c>
      <c r="V4156" s="17"/>
      <c r="W4156" s="20" t="e">
        <f aca="false">VLOOKUP(V4156,Sheet2!Q:R,2,0)</f>
        <v>#N/A</v>
      </c>
      <c r="X4156" s="17" t="n">
        <f aca="false">J4156</f>
        <v>0</v>
      </c>
      <c r="Y4156" s="17" t="e">
        <f aca="false">VLOOKUP(X4156,Sheet2!A:B,2,0)</f>
        <v>#N/A</v>
      </c>
      <c r="Z4156" s="17"/>
      <c r="AA4156" s="17"/>
      <c r="AC4156" s="23" t="str">
        <f aca="false">LEFT(G4156,2)</f>
        <v/>
      </c>
    </row>
    <row r="4157" customFormat="false" ht="15" hidden="false" customHeight="false" outlineLevel="0" collapsed="false">
      <c r="A4157" s="13" t="n">
        <f aca="false">1+A4156</f>
        <v>4155</v>
      </c>
      <c r="B4157" s="14" t="n">
        <v>100</v>
      </c>
      <c r="C4157" s="15"/>
      <c r="D4157" s="16" t="s">
        <v>64</v>
      </c>
      <c r="E4157" s="17" t="s">
        <v>47</v>
      </c>
      <c r="F4157" s="18" t="s">
        <v>34</v>
      </c>
      <c r="G4157" s="19"/>
      <c r="H4157" s="17" t="s">
        <v>35</v>
      </c>
      <c r="I4157" s="17" t="s">
        <v>44</v>
      </c>
      <c r="J4157" s="17"/>
      <c r="K4157" s="17" t="e">
        <f aca="false">VLOOKUP(J4157,Sheet2!A:B,2,0)</f>
        <v>#N/A</v>
      </c>
      <c r="L4157" s="17" t="n">
        <v>5</v>
      </c>
      <c r="M4157" s="17" t="str">
        <f aca="false">VLOOKUP(L4157,Sheet2!D:E,2,0)</f>
        <v>Main Processor CPU BGA</v>
      </c>
      <c r="N4157" s="17" t="n">
        <v>1</v>
      </c>
      <c r="O4157" s="17" t="str">
        <f aca="false">VLOOKUP(N4157,Sheet2!G:H,2,0)</f>
        <v>Dead</v>
      </c>
      <c r="P4157" s="17" t="n">
        <v>11</v>
      </c>
      <c r="Q4157" s="17" t="str">
        <f aca="false">VLOOKUP(P4157,Sheet2!J:K,2,0)</f>
        <v>IR Declared due to CID -TA</v>
      </c>
      <c r="R4157" s="17" t="s">
        <v>35</v>
      </c>
      <c r="S4157" s="17" t="str">
        <f aca="false">VLOOKUP(R4157,Sheet2!N:O,2,0)</f>
        <v>IREPARABLE</v>
      </c>
      <c r="T4157" s="18" t="str">
        <f aca="false">VLOOKUP(P4157,Sheet2!Q:R,2,0)</f>
        <v>IR Normal - Track burn out</v>
      </c>
      <c r="U4157" s="20" t="s">
        <v>41</v>
      </c>
      <c r="V4157" s="17"/>
      <c r="W4157" s="20" t="e">
        <f aca="false">VLOOKUP(V4157,Sheet2!Q:R,2,0)</f>
        <v>#N/A</v>
      </c>
      <c r="X4157" s="17" t="n">
        <f aca="false">J4157</f>
        <v>0</v>
      </c>
      <c r="Y4157" s="17" t="e">
        <f aca="false">VLOOKUP(X4157,Sheet2!A:B,2,0)</f>
        <v>#N/A</v>
      </c>
      <c r="Z4157" s="17"/>
      <c r="AA4157" s="17"/>
      <c r="AC4157" s="23" t="str">
        <f aca="false">LEFT(G4157,2)</f>
        <v/>
      </c>
    </row>
    <row r="4158" customFormat="false" ht="15" hidden="false" customHeight="false" outlineLevel="0" collapsed="false">
      <c r="A4158" s="13" t="n">
        <f aca="false">1+A4157</f>
        <v>4156</v>
      </c>
      <c r="B4158" s="14" t="n">
        <v>100</v>
      </c>
      <c r="C4158" s="15"/>
      <c r="D4158" s="16" t="s">
        <v>64</v>
      </c>
      <c r="E4158" s="17" t="s">
        <v>47</v>
      </c>
      <c r="F4158" s="18" t="s">
        <v>34</v>
      </c>
      <c r="G4158" s="19"/>
      <c r="H4158" s="17" t="s">
        <v>35</v>
      </c>
      <c r="I4158" s="17" t="s">
        <v>44</v>
      </c>
      <c r="J4158" s="17"/>
      <c r="K4158" s="17" t="e">
        <f aca="false">VLOOKUP(J4158,Sheet2!A:B,2,0)</f>
        <v>#N/A</v>
      </c>
      <c r="L4158" s="17" t="n">
        <v>5</v>
      </c>
      <c r="M4158" s="17" t="str">
        <f aca="false">VLOOKUP(L4158,Sheet2!D:E,2,0)</f>
        <v>Main Processor CPU BGA</v>
      </c>
      <c r="N4158" s="17" t="n">
        <v>1</v>
      </c>
      <c r="O4158" s="17" t="str">
        <f aca="false">VLOOKUP(N4158,Sheet2!G:H,2,0)</f>
        <v>Dead</v>
      </c>
      <c r="P4158" s="17" t="n">
        <v>11</v>
      </c>
      <c r="Q4158" s="17" t="str">
        <f aca="false">VLOOKUP(P4158,Sheet2!J:K,2,0)</f>
        <v>IR Declared due to CID -TA</v>
      </c>
      <c r="R4158" s="17" t="s">
        <v>35</v>
      </c>
      <c r="S4158" s="17" t="str">
        <f aca="false">VLOOKUP(R4158,Sheet2!N:O,2,0)</f>
        <v>IREPARABLE</v>
      </c>
      <c r="T4158" s="18" t="str">
        <f aca="false">VLOOKUP(P4158,Sheet2!Q:R,2,0)</f>
        <v>IR Normal - Track burn out</v>
      </c>
      <c r="U4158" s="20" t="s">
        <v>41</v>
      </c>
      <c r="V4158" s="17"/>
      <c r="W4158" s="20" t="e">
        <f aca="false">VLOOKUP(V4158,Sheet2!Q:R,2,0)</f>
        <v>#N/A</v>
      </c>
      <c r="X4158" s="17" t="n">
        <f aca="false">J4158</f>
        <v>0</v>
      </c>
      <c r="Y4158" s="17" t="e">
        <f aca="false">VLOOKUP(X4158,Sheet2!A:B,2,0)</f>
        <v>#N/A</v>
      </c>
      <c r="Z4158" s="17"/>
      <c r="AA4158" s="17"/>
      <c r="AC4158" s="23" t="str">
        <f aca="false">LEFT(G4158,2)</f>
        <v/>
      </c>
    </row>
    <row r="4159" customFormat="false" ht="15" hidden="false" customHeight="false" outlineLevel="0" collapsed="false">
      <c r="A4159" s="13" t="n">
        <f aca="false">1+A4158</f>
        <v>4157</v>
      </c>
      <c r="B4159" s="14" t="n">
        <v>100</v>
      </c>
      <c r="C4159" s="15"/>
      <c r="D4159" s="16" t="s">
        <v>64</v>
      </c>
      <c r="E4159" s="17" t="s">
        <v>47</v>
      </c>
      <c r="F4159" s="18" t="s">
        <v>34</v>
      </c>
      <c r="G4159" s="19"/>
      <c r="H4159" s="17" t="s">
        <v>35</v>
      </c>
      <c r="I4159" s="17" t="s">
        <v>44</v>
      </c>
      <c r="J4159" s="17"/>
      <c r="K4159" s="17" t="e">
        <f aca="false">VLOOKUP(J4159,Sheet2!A:B,2,0)</f>
        <v>#N/A</v>
      </c>
      <c r="L4159" s="17" t="n">
        <v>5</v>
      </c>
      <c r="M4159" s="17" t="str">
        <f aca="false">VLOOKUP(L4159,Sheet2!D:E,2,0)</f>
        <v>Main Processor CPU BGA</v>
      </c>
      <c r="N4159" s="17" t="n">
        <v>1</v>
      </c>
      <c r="O4159" s="17" t="str">
        <f aca="false">VLOOKUP(N4159,Sheet2!G:H,2,0)</f>
        <v>Dead</v>
      </c>
      <c r="P4159" s="17" t="n">
        <v>11</v>
      </c>
      <c r="Q4159" s="17" t="str">
        <f aca="false">VLOOKUP(P4159,Sheet2!J:K,2,0)</f>
        <v>IR Declared due to CID -TA</v>
      </c>
      <c r="R4159" s="17" t="s">
        <v>35</v>
      </c>
      <c r="S4159" s="17" t="str">
        <f aca="false">VLOOKUP(R4159,Sheet2!N:O,2,0)</f>
        <v>IREPARABLE</v>
      </c>
      <c r="T4159" s="18" t="str">
        <f aca="false">VLOOKUP(P4159,Sheet2!Q:R,2,0)</f>
        <v>IR Normal - Track burn out</v>
      </c>
      <c r="U4159" s="20" t="s">
        <v>41</v>
      </c>
      <c r="V4159" s="17"/>
      <c r="W4159" s="20" t="e">
        <f aca="false">VLOOKUP(V4159,Sheet2!Q:R,2,0)</f>
        <v>#N/A</v>
      </c>
      <c r="X4159" s="17" t="n">
        <f aca="false">J4159</f>
        <v>0</v>
      </c>
      <c r="Y4159" s="17" t="e">
        <f aca="false">VLOOKUP(X4159,Sheet2!A:B,2,0)</f>
        <v>#N/A</v>
      </c>
      <c r="Z4159" s="17"/>
      <c r="AA4159" s="17"/>
      <c r="AC4159" s="23" t="str">
        <f aca="false">LEFT(G4159,2)</f>
        <v/>
      </c>
    </row>
    <row r="4160" customFormat="false" ht="15" hidden="false" customHeight="false" outlineLevel="0" collapsed="false">
      <c r="A4160" s="13" t="n">
        <f aca="false">1+A4159</f>
        <v>4158</v>
      </c>
      <c r="B4160" s="14" t="n">
        <v>100</v>
      </c>
      <c r="C4160" s="15"/>
      <c r="D4160" s="16" t="s">
        <v>64</v>
      </c>
      <c r="E4160" s="17" t="s">
        <v>47</v>
      </c>
      <c r="F4160" s="18" t="s">
        <v>34</v>
      </c>
      <c r="G4160" s="19"/>
      <c r="H4160" s="17" t="s">
        <v>35</v>
      </c>
      <c r="I4160" s="17" t="s">
        <v>44</v>
      </c>
      <c r="J4160" s="17"/>
      <c r="K4160" s="17" t="e">
        <f aca="false">VLOOKUP(J4160,Sheet2!A:B,2,0)</f>
        <v>#N/A</v>
      </c>
      <c r="L4160" s="17" t="n">
        <v>5</v>
      </c>
      <c r="M4160" s="17" t="str">
        <f aca="false">VLOOKUP(L4160,Sheet2!D:E,2,0)</f>
        <v>Main Processor CPU BGA</v>
      </c>
      <c r="N4160" s="17" t="n">
        <v>1</v>
      </c>
      <c r="O4160" s="17" t="str">
        <f aca="false">VLOOKUP(N4160,Sheet2!G:H,2,0)</f>
        <v>Dead</v>
      </c>
      <c r="P4160" s="17" t="n">
        <v>11</v>
      </c>
      <c r="Q4160" s="17" t="str">
        <f aca="false">VLOOKUP(P4160,Sheet2!J:K,2,0)</f>
        <v>IR Declared due to CID -TA</v>
      </c>
      <c r="R4160" s="17" t="s">
        <v>35</v>
      </c>
      <c r="S4160" s="17" t="str">
        <f aca="false">VLOOKUP(R4160,Sheet2!N:O,2,0)</f>
        <v>IREPARABLE</v>
      </c>
      <c r="T4160" s="18" t="str">
        <f aca="false">VLOOKUP(P4160,Sheet2!Q:R,2,0)</f>
        <v>IR Normal - Track burn out</v>
      </c>
      <c r="U4160" s="20" t="s">
        <v>41</v>
      </c>
      <c r="V4160" s="17"/>
      <c r="W4160" s="20" t="e">
        <f aca="false">VLOOKUP(V4160,Sheet2!Q:R,2,0)</f>
        <v>#N/A</v>
      </c>
      <c r="X4160" s="17" t="n">
        <f aca="false">J4160</f>
        <v>0</v>
      </c>
      <c r="Y4160" s="17" t="e">
        <f aca="false">VLOOKUP(X4160,Sheet2!A:B,2,0)</f>
        <v>#N/A</v>
      </c>
      <c r="Z4160" s="17"/>
      <c r="AA4160" s="17"/>
      <c r="AC4160" s="23" t="str">
        <f aca="false">LEFT(G4160,2)</f>
        <v/>
      </c>
    </row>
    <row r="4161" customFormat="false" ht="15" hidden="false" customHeight="false" outlineLevel="0" collapsed="false">
      <c r="A4161" s="13" t="n">
        <f aca="false">1+A4160</f>
        <v>4159</v>
      </c>
      <c r="B4161" s="14" t="n">
        <v>100</v>
      </c>
      <c r="C4161" s="15"/>
      <c r="D4161" s="16" t="s">
        <v>64</v>
      </c>
      <c r="E4161" s="17" t="s">
        <v>47</v>
      </c>
      <c r="F4161" s="18" t="s">
        <v>34</v>
      </c>
      <c r="G4161" s="19"/>
      <c r="H4161" s="17" t="s">
        <v>35</v>
      </c>
      <c r="I4161" s="17" t="s">
        <v>44</v>
      </c>
      <c r="J4161" s="17"/>
      <c r="K4161" s="17" t="e">
        <f aca="false">VLOOKUP(J4161,Sheet2!A:B,2,0)</f>
        <v>#N/A</v>
      </c>
      <c r="L4161" s="17" t="n">
        <v>5</v>
      </c>
      <c r="M4161" s="17" t="str">
        <f aca="false">VLOOKUP(L4161,Sheet2!D:E,2,0)</f>
        <v>Main Processor CPU BGA</v>
      </c>
      <c r="N4161" s="17" t="n">
        <v>1</v>
      </c>
      <c r="O4161" s="17" t="str">
        <f aca="false">VLOOKUP(N4161,Sheet2!G:H,2,0)</f>
        <v>Dead</v>
      </c>
      <c r="P4161" s="17" t="n">
        <v>11</v>
      </c>
      <c r="Q4161" s="17" t="str">
        <f aca="false">VLOOKUP(P4161,Sheet2!J:K,2,0)</f>
        <v>IR Declared due to CID -TA</v>
      </c>
      <c r="R4161" s="17" t="s">
        <v>35</v>
      </c>
      <c r="S4161" s="17" t="str">
        <f aca="false">VLOOKUP(R4161,Sheet2!N:O,2,0)</f>
        <v>IREPARABLE</v>
      </c>
      <c r="T4161" s="18" t="str">
        <f aca="false">VLOOKUP(P4161,Sheet2!Q:R,2,0)</f>
        <v>IR Normal - Track burn out</v>
      </c>
      <c r="U4161" s="20" t="s">
        <v>41</v>
      </c>
      <c r="V4161" s="17"/>
      <c r="W4161" s="20" t="e">
        <f aca="false">VLOOKUP(V4161,Sheet2!Q:R,2,0)</f>
        <v>#N/A</v>
      </c>
      <c r="X4161" s="17" t="n">
        <f aca="false">J4161</f>
        <v>0</v>
      </c>
      <c r="Y4161" s="17" t="e">
        <f aca="false">VLOOKUP(X4161,Sheet2!A:B,2,0)</f>
        <v>#N/A</v>
      </c>
      <c r="Z4161" s="17"/>
      <c r="AA4161" s="17"/>
      <c r="AC4161" s="23" t="str">
        <f aca="false">LEFT(G4161,2)</f>
        <v/>
      </c>
    </row>
    <row r="4162" customFormat="false" ht="15" hidden="false" customHeight="false" outlineLevel="0" collapsed="false">
      <c r="A4162" s="13" t="n">
        <f aca="false">1+A4161</f>
        <v>4160</v>
      </c>
      <c r="B4162" s="14" t="n">
        <v>100</v>
      </c>
      <c r="C4162" s="15"/>
      <c r="D4162" s="16" t="s">
        <v>64</v>
      </c>
      <c r="E4162" s="17" t="s">
        <v>47</v>
      </c>
      <c r="F4162" s="18" t="s">
        <v>34</v>
      </c>
      <c r="G4162" s="19"/>
      <c r="H4162" s="17" t="s">
        <v>35</v>
      </c>
      <c r="I4162" s="17" t="s">
        <v>44</v>
      </c>
      <c r="J4162" s="17"/>
      <c r="K4162" s="17" t="e">
        <f aca="false">VLOOKUP(J4162,Sheet2!A:B,2,0)</f>
        <v>#N/A</v>
      </c>
      <c r="L4162" s="17" t="n">
        <v>5</v>
      </c>
      <c r="M4162" s="17" t="str">
        <f aca="false">VLOOKUP(L4162,Sheet2!D:E,2,0)</f>
        <v>Main Processor CPU BGA</v>
      </c>
      <c r="N4162" s="17" t="n">
        <v>1</v>
      </c>
      <c r="O4162" s="17" t="str">
        <f aca="false">VLOOKUP(N4162,Sheet2!G:H,2,0)</f>
        <v>Dead</v>
      </c>
      <c r="P4162" s="17" t="n">
        <v>11</v>
      </c>
      <c r="Q4162" s="17" t="str">
        <f aca="false">VLOOKUP(P4162,Sheet2!J:K,2,0)</f>
        <v>IR Declared due to CID -TA</v>
      </c>
      <c r="R4162" s="17" t="s">
        <v>35</v>
      </c>
      <c r="S4162" s="17" t="str">
        <f aca="false">VLOOKUP(R4162,Sheet2!N:O,2,0)</f>
        <v>IREPARABLE</v>
      </c>
      <c r="T4162" s="18" t="str">
        <f aca="false">VLOOKUP(P4162,Sheet2!Q:R,2,0)</f>
        <v>IR Normal - Track burn out</v>
      </c>
      <c r="U4162" s="20" t="s">
        <v>41</v>
      </c>
      <c r="V4162" s="17"/>
      <c r="W4162" s="20" t="e">
        <f aca="false">VLOOKUP(V4162,Sheet2!Q:R,2,0)</f>
        <v>#N/A</v>
      </c>
      <c r="X4162" s="17" t="n">
        <f aca="false">J4162</f>
        <v>0</v>
      </c>
      <c r="Y4162" s="17" t="e">
        <f aca="false">VLOOKUP(X4162,Sheet2!A:B,2,0)</f>
        <v>#N/A</v>
      </c>
      <c r="Z4162" s="17"/>
      <c r="AA4162" s="17"/>
      <c r="AC4162" s="23" t="str">
        <f aca="false">LEFT(G4162,2)</f>
        <v/>
      </c>
    </row>
    <row r="4163" customFormat="false" ht="15" hidden="false" customHeight="false" outlineLevel="0" collapsed="false">
      <c r="A4163" s="13" t="n">
        <f aca="false">1+A4162</f>
        <v>4161</v>
      </c>
      <c r="B4163" s="14" t="n">
        <v>100</v>
      </c>
      <c r="C4163" s="15"/>
      <c r="D4163" s="16" t="s">
        <v>64</v>
      </c>
      <c r="E4163" s="17" t="s">
        <v>47</v>
      </c>
      <c r="F4163" s="18" t="s">
        <v>34</v>
      </c>
      <c r="G4163" s="19"/>
      <c r="H4163" s="17" t="s">
        <v>35</v>
      </c>
      <c r="I4163" s="17" t="s">
        <v>44</v>
      </c>
      <c r="J4163" s="17"/>
      <c r="K4163" s="17" t="e">
        <f aca="false">VLOOKUP(J4163,Sheet2!A:B,2,0)</f>
        <v>#N/A</v>
      </c>
      <c r="L4163" s="17" t="n">
        <v>5</v>
      </c>
      <c r="M4163" s="17" t="str">
        <f aca="false">VLOOKUP(L4163,Sheet2!D:E,2,0)</f>
        <v>Main Processor CPU BGA</v>
      </c>
      <c r="N4163" s="17" t="n">
        <v>1</v>
      </c>
      <c r="O4163" s="17" t="str">
        <f aca="false">VLOOKUP(N4163,Sheet2!G:H,2,0)</f>
        <v>Dead</v>
      </c>
      <c r="P4163" s="17" t="n">
        <v>11</v>
      </c>
      <c r="Q4163" s="17" t="str">
        <f aca="false">VLOOKUP(P4163,Sheet2!J:K,2,0)</f>
        <v>IR Declared due to CID -TA</v>
      </c>
      <c r="R4163" s="17" t="s">
        <v>35</v>
      </c>
      <c r="S4163" s="17" t="str">
        <f aca="false">VLOOKUP(R4163,Sheet2!N:O,2,0)</f>
        <v>IREPARABLE</v>
      </c>
      <c r="T4163" s="18" t="str">
        <f aca="false">VLOOKUP(P4163,Sheet2!Q:R,2,0)</f>
        <v>IR Normal - Track burn out</v>
      </c>
      <c r="U4163" s="20" t="s">
        <v>41</v>
      </c>
      <c r="V4163" s="17"/>
      <c r="W4163" s="20" t="e">
        <f aca="false">VLOOKUP(V4163,Sheet2!Q:R,2,0)</f>
        <v>#N/A</v>
      </c>
      <c r="X4163" s="17" t="n">
        <f aca="false">J4163</f>
        <v>0</v>
      </c>
      <c r="Y4163" s="17" t="e">
        <f aca="false">VLOOKUP(X4163,Sheet2!A:B,2,0)</f>
        <v>#N/A</v>
      </c>
      <c r="Z4163" s="17"/>
      <c r="AA4163" s="17"/>
      <c r="AC4163" s="23" t="str">
        <f aca="false">LEFT(G4163,2)</f>
        <v/>
      </c>
    </row>
    <row r="4164" customFormat="false" ht="15" hidden="false" customHeight="false" outlineLevel="0" collapsed="false">
      <c r="A4164" s="13" t="n">
        <f aca="false">1+A4163</f>
        <v>4162</v>
      </c>
      <c r="B4164" s="14" t="n">
        <v>100</v>
      </c>
      <c r="C4164" s="15"/>
      <c r="D4164" s="16" t="s">
        <v>64</v>
      </c>
      <c r="E4164" s="17" t="s">
        <v>47</v>
      </c>
      <c r="F4164" s="18" t="s">
        <v>34</v>
      </c>
      <c r="G4164" s="19"/>
      <c r="H4164" s="17" t="s">
        <v>35</v>
      </c>
      <c r="I4164" s="17" t="s">
        <v>44</v>
      </c>
      <c r="J4164" s="17"/>
      <c r="K4164" s="17" t="e">
        <f aca="false">VLOOKUP(J4164,Sheet2!A:B,2,0)</f>
        <v>#N/A</v>
      </c>
      <c r="L4164" s="17" t="n">
        <v>5</v>
      </c>
      <c r="M4164" s="17" t="str">
        <f aca="false">VLOOKUP(L4164,Sheet2!D:E,2,0)</f>
        <v>Main Processor CPU BGA</v>
      </c>
      <c r="N4164" s="17" t="n">
        <v>1</v>
      </c>
      <c r="O4164" s="17" t="str">
        <f aca="false">VLOOKUP(N4164,Sheet2!G:H,2,0)</f>
        <v>Dead</v>
      </c>
      <c r="P4164" s="17" t="n">
        <v>11</v>
      </c>
      <c r="Q4164" s="17" t="str">
        <f aca="false">VLOOKUP(P4164,Sheet2!J:K,2,0)</f>
        <v>IR Declared due to CID -TA</v>
      </c>
      <c r="R4164" s="17" t="s">
        <v>35</v>
      </c>
      <c r="S4164" s="17" t="str">
        <f aca="false">VLOOKUP(R4164,Sheet2!N:O,2,0)</f>
        <v>IREPARABLE</v>
      </c>
      <c r="T4164" s="18" t="str">
        <f aca="false">VLOOKUP(P4164,Sheet2!Q:R,2,0)</f>
        <v>IR Normal - Track burn out</v>
      </c>
      <c r="U4164" s="20" t="s">
        <v>41</v>
      </c>
      <c r="V4164" s="17"/>
      <c r="W4164" s="20" t="e">
        <f aca="false">VLOOKUP(V4164,Sheet2!Q:R,2,0)</f>
        <v>#N/A</v>
      </c>
      <c r="X4164" s="17" t="n">
        <f aca="false">J4164</f>
        <v>0</v>
      </c>
      <c r="Y4164" s="17" t="e">
        <f aca="false">VLOOKUP(X4164,Sheet2!A:B,2,0)</f>
        <v>#N/A</v>
      </c>
      <c r="Z4164" s="17"/>
      <c r="AA4164" s="17"/>
      <c r="AC4164" s="23" t="str">
        <f aca="false">LEFT(G4164,2)</f>
        <v/>
      </c>
    </row>
    <row r="4165" customFormat="false" ht="15" hidden="false" customHeight="false" outlineLevel="0" collapsed="false">
      <c r="A4165" s="13" t="n">
        <f aca="false">1+A4164</f>
        <v>4163</v>
      </c>
      <c r="B4165" s="14" t="n">
        <v>100</v>
      </c>
      <c r="C4165" s="15"/>
      <c r="D4165" s="16" t="s">
        <v>64</v>
      </c>
      <c r="E4165" s="17" t="s">
        <v>47</v>
      </c>
      <c r="F4165" s="18" t="s">
        <v>34</v>
      </c>
      <c r="G4165" s="19"/>
      <c r="H4165" s="17" t="s">
        <v>35</v>
      </c>
      <c r="I4165" s="17" t="s">
        <v>44</v>
      </c>
      <c r="J4165" s="17"/>
      <c r="K4165" s="17" t="e">
        <f aca="false">VLOOKUP(J4165,Sheet2!A:B,2,0)</f>
        <v>#N/A</v>
      </c>
      <c r="L4165" s="17" t="n">
        <v>5</v>
      </c>
      <c r="M4165" s="17" t="str">
        <f aca="false">VLOOKUP(L4165,Sheet2!D:E,2,0)</f>
        <v>Main Processor CPU BGA</v>
      </c>
      <c r="N4165" s="17" t="n">
        <v>1</v>
      </c>
      <c r="O4165" s="17" t="str">
        <f aca="false">VLOOKUP(N4165,Sheet2!G:H,2,0)</f>
        <v>Dead</v>
      </c>
      <c r="P4165" s="17" t="n">
        <v>11</v>
      </c>
      <c r="Q4165" s="17" t="str">
        <f aca="false">VLOOKUP(P4165,Sheet2!J:K,2,0)</f>
        <v>IR Declared due to CID -TA</v>
      </c>
      <c r="R4165" s="17" t="s">
        <v>35</v>
      </c>
      <c r="S4165" s="17" t="str">
        <f aca="false">VLOOKUP(R4165,Sheet2!N:O,2,0)</f>
        <v>IREPARABLE</v>
      </c>
      <c r="T4165" s="18" t="str">
        <f aca="false">VLOOKUP(P4165,Sheet2!Q:R,2,0)</f>
        <v>IR Normal - Track burn out</v>
      </c>
      <c r="U4165" s="20" t="s">
        <v>41</v>
      </c>
      <c r="V4165" s="17"/>
      <c r="W4165" s="20" t="e">
        <f aca="false">VLOOKUP(V4165,Sheet2!Q:R,2,0)</f>
        <v>#N/A</v>
      </c>
      <c r="X4165" s="17" t="n">
        <f aca="false">J4165</f>
        <v>0</v>
      </c>
      <c r="Y4165" s="17" t="e">
        <f aca="false">VLOOKUP(X4165,Sheet2!A:B,2,0)</f>
        <v>#N/A</v>
      </c>
      <c r="Z4165" s="17"/>
      <c r="AA4165" s="17"/>
      <c r="AC4165" s="23" t="str">
        <f aca="false">LEFT(G4165,2)</f>
        <v/>
      </c>
    </row>
    <row r="4166" customFormat="false" ht="15" hidden="false" customHeight="false" outlineLevel="0" collapsed="false">
      <c r="A4166" s="13" t="n">
        <f aca="false">1+A4165</f>
        <v>4164</v>
      </c>
      <c r="B4166" s="14" t="n">
        <v>100</v>
      </c>
      <c r="C4166" s="15"/>
      <c r="D4166" s="16" t="s">
        <v>64</v>
      </c>
      <c r="E4166" s="17" t="s">
        <v>47</v>
      </c>
      <c r="F4166" s="18" t="s">
        <v>34</v>
      </c>
      <c r="G4166" s="19"/>
      <c r="H4166" s="17" t="s">
        <v>35</v>
      </c>
      <c r="I4166" s="17" t="s">
        <v>44</v>
      </c>
      <c r="J4166" s="17"/>
      <c r="K4166" s="17" t="e">
        <f aca="false">VLOOKUP(J4166,Sheet2!A:B,2,0)</f>
        <v>#N/A</v>
      </c>
      <c r="L4166" s="17" t="n">
        <v>5</v>
      </c>
      <c r="M4166" s="17" t="str">
        <f aca="false">VLOOKUP(L4166,Sheet2!D:E,2,0)</f>
        <v>Main Processor CPU BGA</v>
      </c>
      <c r="N4166" s="17" t="n">
        <v>1</v>
      </c>
      <c r="O4166" s="17" t="str">
        <f aca="false">VLOOKUP(N4166,Sheet2!G:H,2,0)</f>
        <v>Dead</v>
      </c>
      <c r="P4166" s="17" t="n">
        <v>11</v>
      </c>
      <c r="Q4166" s="17" t="str">
        <f aca="false">VLOOKUP(P4166,Sheet2!J:K,2,0)</f>
        <v>IR Declared due to CID -TA</v>
      </c>
      <c r="R4166" s="17" t="s">
        <v>35</v>
      </c>
      <c r="S4166" s="17" t="str">
        <f aca="false">VLOOKUP(R4166,Sheet2!N:O,2,0)</f>
        <v>IREPARABLE</v>
      </c>
      <c r="T4166" s="18" t="str">
        <f aca="false">VLOOKUP(P4166,Sheet2!Q:R,2,0)</f>
        <v>IR Normal - Track burn out</v>
      </c>
      <c r="U4166" s="20" t="s">
        <v>41</v>
      </c>
      <c r="V4166" s="17"/>
      <c r="W4166" s="20" t="e">
        <f aca="false">VLOOKUP(V4166,Sheet2!Q:R,2,0)</f>
        <v>#N/A</v>
      </c>
      <c r="X4166" s="17" t="n">
        <f aca="false">J4166</f>
        <v>0</v>
      </c>
      <c r="Y4166" s="17" t="e">
        <f aca="false">VLOOKUP(X4166,Sheet2!A:B,2,0)</f>
        <v>#N/A</v>
      </c>
      <c r="Z4166" s="17"/>
      <c r="AA4166" s="17"/>
      <c r="AC4166" s="23" t="str">
        <f aca="false">LEFT(G4166,2)</f>
        <v/>
      </c>
    </row>
    <row r="4167" customFormat="false" ht="15" hidden="false" customHeight="false" outlineLevel="0" collapsed="false">
      <c r="A4167" s="13" t="n">
        <f aca="false">1+A4166</f>
        <v>4165</v>
      </c>
      <c r="B4167" s="14" t="n">
        <v>100</v>
      </c>
      <c r="C4167" s="15"/>
      <c r="D4167" s="16" t="s">
        <v>64</v>
      </c>
      <c r="E4167" s="17" t="s">
        <v>47</v>
      </c>
      <c r="F4167" s="18" t="s">
        <v>34</v>
      </c>
      <c r="G4167" s="19"/>
      <c r="H4167" s="17" t="s">
        <v>35</v>
      </c>
      <c r="I4167" s="17" t="s">
        <v>44</v>
      </c>
      <c r="J4167" s="17"/>
      <c r="K4167" s="17" t="e">
        <f aca="false">VLOOKUP(J4167,Sheet2!A:B,2,0)</f>
        <v>#N/A</v>
      </c>
      <c r="L4167" s="17" t="n">
        <v>5</v>
      </c>
      <c r="M4167" s="17" t="str">
        <f aca="false">VLOOKUP(L4167,Sheet2!D:E,2,0)</f>
        <v>Main Processor CPU BGA</v>
      </c>
      <c r="N4167" s="17" t="n">
        <v>1</v>
      </c>
      <c r="O4167" s="17" t="str">
        <f aca="false">VLOOKUP(N4167,Sheet2!G:H,2,0)</f>
        <v>Dead</v>
      </c>
      <c r="P4167" s="17" t="n">
        <v>11</v>
      </c>
      <c r="Q4167" s="17" t="str">
        <f aca="false">VLOOKUP(P4167,Sheet2!J:K,2,0)</f>
        <v>IR Declared due to CID -TA</v>
      </c>
      <c r="R4167" s="17" t="s">
        <v>35</v>
      </c>
      <c r="S4167" s="17" t="str">
        <f aca="false">VLOOKUP(R4167,Sheet2!N:O,2,0)</f>
        <v>IREPARABLE</v>
      </c>
      <c r="T4167" s="18" t="str">
        <f aca="false">VLOOKUP(P4167,Sheet2!Q:R,2,0)</f>
        <v>IR Normal - Track burn out</v>
      </c>
      <c r="U4167" s="20" t="s">
        <v>41</v>
      </c>
      <c r="V4167" s="17"/>
      <c r="W4167" s="20" t="e">
        <f aca="false">VLOOKUP(V4167,Sheet2!Q:R,2,0)</f>
        <v>#N/A</v>
      </c>
      <c r="X4167" s="17" t="n">
        <f aca="false">J4167</f>
        <v>0</v>
      </c>
      <c r="Y4167" s="17" t="e">
        <f aca="false">VLOOKUP(X4167,Sheet2!A:B,2,0)</f>
        <v>#N/A</v>
      </c>
      <c r="Z4167" s="17"/>
      <c r="AA4167" s="17"/>
      <c r="AC4167" s="23" t="str">
        <f aca="false">LEFT(G4167,2)</f>
        <v/>
      </c>
    </row>
    <row r="4168" customFormat="false" ht="15" hidden="false" customHeight="false" outlineLevel="0" collapsed="false">
      <c r="A4168" s="13" t="n">
        <f aca="false">1+A4167</f>
        <v>4166</v>
      </c>
      <c r="B4168" s="14" t="n">
        <v>100</v>
      </c>
      <c r="C4168" s="15"/>
      <c r="D4168" s="16" t="s">
        <v>64</v>
      </c>
      <c r="E4168" s="17" t="s">
        <v>47</v>
      </c>
      <c r="F4168" s="18" t="s">
        <v>34</v>
      </c>
      <c r="G4168" s="19"/>
      <c r="H4168" s="17" t="s">
        <v>35</v>
      </c>
      <c r="I4168" s="17" t="s">
        <v>44</v>
      </c>
      <c r="J4168" s="17"/>
      <c r="K4168" s="17" t="e">
        <f aca="false">VLOOKUP(J4168,Sheet2!A:B,2,0)</f>
        <v>#N/A</v>
      </c>
      <c r="L4168" s="17" t="n">
        <v>5</v>
      </c>
      <c r="M4168" s="17" t="str">
        <f aca="false">VLOOKUP(L4168,Sheet2!D:E,2,0)</f>
        <v>Main Processor CPU BGA</v>
      </c>
      <c r="N4168" s="17" t="n">
        <v>1</v>
      </c>
      <c r="O4168" s="17" t="str">
        <f aca="false">VLOOKUP(N4168,Sheet2!G:H,2,0)</f>
        <v>Dead</v>
      </c>
      <c r="P4168" s="17" t="n">
        <v>11</v>
      </c>
      <c r="Q4168" s="17" t="str">
        <f aca="false">VLOOKUP(P4168,Sheet2!J:K,2,0)</f>
        <v>IR Declared due to CID -TA</v>
      </c>
      <c r="R4168" s="17" t="s">
        <v>35</v>
      </c>
      <c r="S4168" s="17" t="str">
        <f aca="false">VLOOKUP(R4168,Sheet2!N:O,2,0)</f>
        <v>IREPARABLE</v>
      </c>
      <c r="T4168" s="18" t="str">
        <f aca="false">VLOOKUP(P4168,Sheet2!Q:R,2,0)</f>
        <v>IR Normal - Track burn out</v>
      </c>
      <c r="U4168" s="20" t="s">
        <v>41</v>
      </c>
      <c r="V4168" s="17"/>
      <c r="W4168" s="20" t="e">
        <f aca="false">VLOOKUP(V4168,Sheet2!Q:R,2,0)</f>
        <v>#N/A</v>
      </c>
      <c r="X4168" s="17" t="n">
        <f aca="false">J4168</f>
        <v>0</v>
      </c>
      <c r="Y4168" s="17" t="e">
        <f aca="false">VLOOKUP(X4168,Sheet2!A:B,2,0)</f>
        <v>#N/A</v>
      </c>
      <c r="Z4168" s="17"/>
      <c r="AA4168" s="17"/>
      <c r="AC4168" s="23" t="str">
        <f aca="false">LEFT(G4168,2)</f>
        <v/>
      </c>
    </row>
    <row r="4169" customFormat="false" ht="15" hidden="false" customHeight="false" outlineLevel="0" collapsed="false">
      <c r="A4169" s="13" t="n">
        <f aca="false">1+A4168</f>
        <v>4167</v>
      </c>
      <c r="B4169" s="14" t="n">
        <v>100</v>
      </c>
      <c r="C4169" s="15"/>
      <c r="D4169" s="16" t="s">
        <v>64</v>
      </c>
      <c r="E4169" s="17" t="s">
        <v>47</v>
      </c>
      <c r="F4169" s="18" t="s">
        <v>34</v>
      </c>
      <c r="G4169" s="19"/>
      <c r="H4169" s="17" t="s">
        <v>35</v>
      </c>
      <c r="I4169" s="17" t="s">
        <v>44</v>
      </c>
      <c r="J4169" s="17"/>
      <c r="K4169" s="17" t="e">
        <f aca="false">VLOOKUP(J4169,Sheet2!A:B,2,0)</f>
        <v>#N/A</v>
      </c>
      <c r="L4169" s="17" t="n">
        <v>5</v>
      </c>
      <c r="M4169" s="17" t="str">
        <f aca="false">VLOOKUP(L4169,Sheet2!D:E,2,0)</f>
        <v>Main Processor CPU BGA</v>
      </c>
      <c r="N4169" s="17" t="n">
        <v>1</v>
      </c>
      <c r="O4169" s="17" t="str">
        <f aca="false">VLOOKUP(N4169,Sheet2!G:H,2,0)</f>
        <v>Dead</v>
      </c>
      <c r="P4169" s="17" t="n">
        <v>11</v>
      </c>
      <c r="Q4169" s="17" t="str">
        <f aca="false">VLOOKUP(P4169,Sheet2!J:K,2,0)</f>
        <v>IR Declared due to CID -TA</v>
      </c>
      <c r="R4169" s="17" t="s">
        <v>35</v>
      </c>
      <c r="S4169" s="17" t="str">
        <f aca="false">VLOOKUP(R4169,Sheet2!N:O,2,0)</f>
        <v>IREPARABLE</v>
      </c>
      <c r="T4169" s="18" t="str">
        <f aca="false">VLOOKUP(P4169,Sheet2!Q:R,2,0)</f>
        <v>IR Normal - Track burn out</v>
      </c>
      <c r="U4169" s="20" t="s">
        <v>41</v>
      </c>
      <c r="V4169" s="17"/>
      <c r="W4169" s="20" t="e">
        <f aca="false">VLOOKUP(V4169,Sheet2!Q:R,2,0)</f>
        <v>#N/A</v>
      </c>
      <c r="X4169" s="17" t="n">
        <f aca="false">J4169</f>
        <v>0</v>
      </c>
      <c r="Y4169" s="17" t="e">
        <f aca="false">VLOOKUP(X4169,Sheet2!A:B,2,0)</f>
        <v>#N/A</v>
      </c>
      <c r="Z4169" s="17"/>
      <c r="AA4169" s="17"/>
      <c r="AC4169" s="23" t="str">
        <f aca="false">LEFT(G4169,2)</f>
        <v/>
      </c>
    </row>
    <row r="4170" customFormat="false" ht="15" hidden="false" customHeight="false" outlineLevel="0" collapsed="false">
      <c r="A4170" s="13" t="n">
        <f aca="false">1+A4169</f>
        <v>4168</v>
      </c>
      <c r="B4170" s="14" t="n">
        <v>100</v>
      </c>
      <c r="C4170" s="15"/>
      <c r="D4170" s="16" t="s">
        <v>64</v>
      </c>
      <c r="E4170" s="17" t="s">
        <v>47</v>
      </c>
      <c r="F4170" s="18" t="s">
        <v>34</v>
      </c>
      <c r="G4170" s="19"/>
      <c r="H4170" s="17" t="s">
        <v>35</v>
      </c>
      <c r="I4170" s="17" t="s">
        <v>44</v>
      </c>
      <c r="J4170" s="17"/>
      <c r="K4170" s="17" t="e">
        <f aca="false">VLOOKUP(J4170,Sheet2!A:B,2,0)</f>
        <v>#N/A</v>
      </c>
      <c r="L4170" s="17" t="n">
        <v>5</v>
      </c>
      <c r="M4170" s="17" t="str">
        <f aca="false">VLOOKUP(L4170,Sheet2!D:E,2,0)</f>
        <v>Main Processor CPU BGA</v>
      </c>
      <c r="N4170" s="17" t="n">
        <v>1</v>
      </c>
      <c r="O4170" s="17" t="str">
        <f aca="false">VLOOKUP(N4170,Sheet2!G:H,2,0)</f>
        <v>Dead</v>
      </c>
      <c r="P4170" s="17" t="n">
        <v>11</v>
      </c>
      <c r="Q4170" s="17" t="str">
        <f aca="false">VLOOKUP(P4170,Sheet2!J:K,2,0)</f>
        <v>IR Declared due to CID -TA</v>
      </c>
      <c r="R4170" s="17" t="s">
        <v>35</v>
      </c>
      <c r="S4170" s="17" t="str">
        <f aca="false">VLOOKUP(R4170,Sheet2!N:O,2,0)</f>
        <v>IREPARABLE</v>
      </c>
      <c r="T4170" s="18" t="str">
        <f aca="false">VLOOKUP(P4170,Sheet2!Q:R,2,0)</f>
        <v>IR Normal - Track burn out</v>
      </c>
      <c r="U4170" s="20" t="s">
        <v>41</v>
      </c>
      <c r="V4170" s="17"/>
      <c r="W4170" s="20" t="e">
        <f aca="false">VLOOKUP(V4170,Sheet2!Q:R,2,0)</f>
        <v>#N/A</v>
      </c>
      <c r="X4170" s="17" t="n">
        <f aca="false">J4170</f>
        <v>0</v>
      </c>
      <c r="Y4170" s="17" t="e">
        <f aca="false">VLOOKUP(X4170,Sheet2!A:B,2,0)</f>
        <v>#N/A</v>
      </c>
      <c r="Z4170" s="17"/>
      <c r="AA4170" s="17"/>
      <c r="AC4170" s="23" t="str">
        <f aca="false">LEFT(G4170,2)</f>
        <v/>
      </c>
    </row>
    <row r="4171" customFormat="false" ht="15" hidden="false" customHeight="false" outlineLevel="0" collapsed="false">
      <c r="A4171" s="13" t="n">
        <f aca="false">1+A4170</f>
        <v>4169</v>
      </c>
      <c r="B4171" s="14" t="n">
        <v>100</v>
      </c>
      <c r="C4171" s="15"/>
      <c r="D4171" s="16" t="s">
        <v>64</v>
      </c>
      <c r="E4171" s="17" t="s">
        <v>47</v>
      </c>
      <c r="F4171" s="18" t="s">
        <v>34</v>
      </c>
      <c r="G4171" s="19"/>
      <c r="H4171" s="17" t="s">
        <v>35</v>
      </c>
      <c r="I4171" s="17" t="s">
        <v>44</v>
      </c>
      <c r="J4171" s="17"/>
      <c r="K4171" s="17" t="e">
        <f aca="false">VLOOKUP(J4171,Sheet2!A:B,2,0)</f>
        <v>#N/A</v>
      </c>
      <c r="L4171" s="17" t="n">
        <v>5</v>
      </c>
      <c r="M4171" s="17" t="str">
        <f aca="false">VLOOKUP(L4171,Sheet2!D:E,2,0)</f>
        <v>Main Processor CPU BGA</v>
      </c>
      <c r="N4171" s="17" t="n">
        <v>1</v>
      </c>
      <c r="O4171" s="17" t="str">
        <f aca="false">VLOOKUP(N4171,Sheet2!G:H,2,0)</f>
        <v>Dead</v>
      </c>
      <c r="P4171" s="17" t="n">
        <v>11</v>
      </c>
      <c r="Q4171" s="17" t="str">
        <f aca="false">VLOOKUP(P4171,Sheet2!J:K,2,0)</f>
        <v>IR Declared due to CID -TA</v>
      </c>
      <c r="R4171" s="17" t="s">
        <v>35</v>
      </c>
      <c r="S4171" s="17" t="str">
        <f aca="false">VLOOKUP(R4171,Sheet2!N:O,2,0)</f>
        <v>IREPARABLE</v>
      </c>
      <c r="T4171" s="18" t="str">
        <f aca="false">VLOOKUP(P4171,Sheet2!Q:R,2,0)</f>
        <v>IR Normal - Track burn out</v>
      </c>
      <c r="U4171" s="20" t="s">
        <v>41</v>
      </c>
      <c r="V4171" s="17"/>
      <c r="W4171" s="20" t="e">
        <f aca="false">VLOOKUP(V4171,Sheet2!Q:R,2,0)</f>
        <v>#N/A</v>
      </c>
      <c r="X4171" s="17" t="n">
        <f aca="false">J4171</f>
        <v>0</v>
      </c>
      <c r="Y4171" s="17" t="e">
        <f aca="false">VLOOKUP(X4171,Sheet2!A:B,2,0)</f>
        <v>#N/A</v>
      </c>
      <c r="Z4171" s="17"/>
      <c r="AA4171" s="17"/>
      <c r="AC4171" s="23" t="str">
        <f aca="false">LEFT(G4171,2)</f>
        <v/>
      </c>
    </row>
    <row r="4172" customFormat="false" ht="15" hidden="false" customHeight="false" outlineLevel="0" collapsed="false">
      <c r="A4172" s="13" t="n">
        <f aca="false">1+A4171</f>
        <v>4170</v>
      </c>
      <c r="B4172" s="14" t="n">
        <v>100</v>
      </c>
      <c r="C4172" s="15"/>
      <c r="D4172" s="16" t="s">
        <v>64</v>
      </c>
      <c r="E4172" s="17" t="s">
        <v>47</v>
      </c>
      <c r="F4172" s="18" t="s">
        <v>34</v>
      </c>
      <c r="G4172" s="19"/>
      <c r="H4172" s="17" t="s">
        <v>35</v>
      </c>
      <c r="I4172" s="17" t="s">
        <v>44</v>
      </c>
      <c r="J4172" s="17"/>
      <c r="K4172" s="17" t="e">
        <f aca="false">VLOOKUP(J4172,Sheet2!A:B,2,0)</f>
        <v>#N/A</v>
      </c>
      <c r="L4172" s="17" t="n">
        <v>5</v>
      </c>
      <c r="M4172" s="17" t="str">
        <f aca="false">VLOOKUP(L4172,Sheet2!D:E,2,0)</f>
        <v>Main Processor CPU BGA</v>
      </c>
      <c r="N4172" s="17" t="n">
        <v>1</v>
      </c>
      <c r="O4172" s="17" t="str">
        <f aca="false">VLOOKUP(N4172,Sheet2!G:H,2,0)</f>
        <v>Dead</v>
      </c>
      <c r="P4172" s="17" t="n">
        <v>11</v>
      </c>
      <c r="Q4172" s="17" t="str">
        <f aca="false">VLOOKUP(P4172,Sheet2!J:K,2,0)</f>
        <v>IR Declared due to CID -TA</v>
      </c>
      <c r="R4172" s="17" t="s">
        <v>35</v>
      </c>
      <c r="S4172" s="17" t="str">
        <f aca="false">VLOOKUP(R4172,Sheet2!N:O,2,0)</f>
        <v>IREPARABLE</v>
      </c>
      <c r="T4172" s="18" t="str">
        <f aca="false">VLOOKUP(P4172,Sheet2!Q:R,2,0)</f>
        <v>IR Normal - Track burn out</v>
      </c>
      <c r="U4172" s="20" t="s">
        <v>41</v>
      </c>
      <c r="V4172" s="17"/>
      <c r="W4172" s="20" t="e">
        <f aca="false">VLOOKUP(V4172,Sheet2!Q:R,2,0)</f>
        <v>#N/A</v>
      </c>
      <c r="X4172" s="17" t="n">
        <f aca="false">J4172</f>
        <v>0</v>
      </c>
      <c r="Y4172" s="17" t="e">
        <f aca="false">VLOOKUP(X4172,Sheet2!A:B,2,0)</f>
        <v>#N/A</v>
      </c>
      <c r="Z4172" s="17"/>
      <c r="AA4172" s="17"/>
      <c r="AC4172" s="23" t="str">
        <f aca="false">LEFT(G4172,2)</f>
        <v/>
      </c>
    </row>
    <row r="4173" customFormat="false" ht="15" hidden="false" customHeight="false" outlineLevel="0" collapsed="false">
      <c r="A4173" s="13" t="n">
        <f aca="false">1+A4172</f>
        <v>4171</v>
      </c>
      <c r="B4173" s="14" t="n">
        <v>100</v>
      </c>
      <c r="C4173" s="15"/>
      <c r="D4173" s="16" t="s">
        <v>64</v>
      </c>
      <c r="E4173" s="17" t="s">
        <v>47</v>
      </c>
      <c r="F4173" s="18" t="s">
        <v>34</v>
      </c>
      <c r="G4173" s="19"/>
      <c r="H4173" s="17" t="s">
        <v>35</v>
      </c>
      <c r="I4173" s="17" t="s">
        <v>44</v>
      </c>
      <c r="J4173" s="17"/>
      <c r="K4173" s="17" t="e">
        <f aca="false">VLOOKUP(J4173,Sheet2!A:B,2,0)</f>
        <v>#N/A</v>
      </c>
      <c r="L4173" s="17" t="n">
        <v>5</v>
      </c>
      <c r="M4173" s="17" t="str">
        <f aca="false">VLOOKUP(L4173,Sheet2!D:E,2,0)</f>
        <v>Main Processor CPU BGA</v>
      </c>
      <c r="N4173" s="17" t="n">
        <v>1</v>
      </c>
      <c r="O4173" s="17" t="str">
        <f aca="false">VLOOKUP(N4173,Sheet2!G:H,2,0)</f>
        <v>Dead</v>
      </c>
      <c r="P4173" s="17" t="n">
        <v>11</v>
      </c>
      <c r="Q4173" s="17" t="str">
        <f aca="false">VLOOKUP(P4173,Sheet2!J:K,2,0)</f>
        <v>IR Declared due to CID -TA</v>
      </c>
      <c r="R4173" s="17" t="s">
        <v>35</v>
      </c>
      <c r="S4173" s="17" t="str">
        <f aca="false">VLOOKUP(R4173,Sheet2!N:O,2,0)</f>
        <v>IREPARABLE</v>
      </c>
      <c r="T4173" s="18" t="str">
        <f aca="false">VLOOKUP(P4173,Sheet2!Q:R,2,0)</f>
        <v>IR Normal - Track burn out</v>
      </c>
      <c r="U4173" s="20" t="s">
        <v>41</v>
      </c>
      <c r="V4173" s="17"/>
      <c r="W4173" s="20" t="e">
        <f aca="false">VLOOKUP(V4173,Sheet2!Q:R,2,0)</f>
        <v>#N/A</v>
      </c>
      <c r="X4173" s="17" t="n">
        <f aca="false">J4173</f>
        <v>0</v>
      </c>
      <c r="Y4173" s="17" t="e">
        <f aca="false">VLOOKUP(X4173,Sheet2!A:B,2,0)</f>
        <v>#N/A</v>
      </c>
      <c r="Z4173" s="17"/>
      <c r="AA4173" s="17"/>
      <c r="AC4173" s="23" t="str">
        <f aca="false">LEFT(G4173,2)</f>
        <v/>
      </c>
    </row>
    <row r="4174" customFormat="false" ht="15" hidden="false" customHeight="false" outlineLevel="0" collapsed="false">
      <c r="A4174" s="13" t="n">
        <f aca="false">1+A4173</f>
        <v>4172</v>
      </c>
      <c r="B4174" s="14" t="n">
        <v>100</v>
      </c>
      <c r="C4174" s="15"/>
      <c r="D4174" s="16" t="s">
        <v>64</v>
      </c>
      <c r="E4174" s="17" t="s">
        <v>47</v>
      </c>
      <c r="F4174" s="18" t="s">
        <v>34</v>
      </c>
      <c r="G4174" s="19"/>
      <c r="H4174" s="17" t="s">
        <v>35</v>
      </c>
      <c r="I4174" s="17" t="s">
        <v>44</v>
      </c>
      <c r="J4174" s="17"/>
      <c r="K4174" s="17" t="e">
        <f aca="false">VLOOKUP(J4174,Sheet2!A:B,2,0)</f>
        <v>#N/A</v>
      </c>
      <c r="L4174" s="17" t="n">
        <v>5</v>
      </c>
      <c r="M4174" s="17" t="str">
        <f aca="false">VLOOKUP(L4174,Sheet2!D:E,2,0)</f>
        <v>Main Processor CPU BGA</v>
      </c>
      <c r="N4174" s="17" t="n">
        <v>1</v>
      </c>
      <c r="O4174" s="17" t="str">
        <f aca="false">VLOOKUP(N4174,Sheet2!G:H,2,0)</f>
        <v>Dead</v>
      </c>
      <c r="P4174" s="17" t="n">
        <v>11</v>
      </c>
      <c r="Q4174" s="17" t="str">
        <f aca="false">VLOOKUP(P4174,Sheet2!J:K,2,0)</f>
        <v>IR Declared due to CID -TA</v>
      </c>
      <c r="R4174" s="17" t="s">
        <v>35</v>
      </c>
      <c r="S4174" s="17" t="str">
        <f aca="false">VLOOKUP(R4174,Sheet2!N:O,2,0)</f>
        <v>IREPARABLE</v>
      </c>
      <c r="T4174" s="18" t="str">
        <f aca="false">VLOOKUP(P4174,Sheet2!Q:R,2,0)</f>
        <v>IR Normal - Track burn out</v>
      </c>
      <c r="U4174" s="20" t="s">
        <v>41</v>
      </c>
      <c r="V4174" s="17"/>
      <c r="W4174" s="20" t="e">
        <f aca="false">VLOOKUP(V4174,Sheet2!Q:R,2,0)</f>
        <v>#N/A</v>
      </c>
      <c r="X4174" s="17" t="n">
        <f aca="false">J4174</f>
        <v>0</v>
      </c>
      <c r="Y4174" s="17" t="e">
        <f aca="false">VLOOKUP(X4174,Sheet2!A:B,2,0)</f>
        <v>#N/A</v>
      </c>
      <c r="Z4174" s="17"/>
      <c r="AA4174" s="17"/>
      <c r="AC4174" s="23" t="str">
        <f aca="false">LEFT(G4174,2)</f>
        <v/>
      </c>
    </row>
    <row r="4175" customFormat="false" ht="15" hidden="false" customHeight="false" outlineLevel="0" collapsed="false">
      <c r="A4175" s="13" t="n">
        <f aca="false">1+A4174</f>
        <v>4173</v>
      </c>
      <c r="B4175" s="14" t="n">
        <v>100</v>
      </c>
      <c r="C4175" s="15"/>
      <c r="D4175" s="16" t="s">
        <v>64</v>
      </c>
      <c r="E4175" s="17" t="s">
        <v>47</v>
      </c>
      <c r="F4175" s="18" t="s">
        <v>34</v>
      </c>
      <c r="G4175" s="19"/>
      <c r="H4175" s="17" t="s">
        <v>35</v>
      </c>
      <c r="I4175" s="17" t="s">
        <v>44</v>
      </c>
      <c r="J4175" s="17"/>
      <c r="K4175" s="17" t="e">
        <f aca="false">VLOOKUP(J4175,Sheet2!A:B,2,0)</f>
        <v>#N/A</v>
      </c>
      <c r="L4175" s="17" t="n">
        <v>5</v>
      </c>
      <c r="M4175" s="17" t="str">
        <f aca="false">VLOOKUP(L4175,Sheet2!D:E,2,0)</f>
        <v>Main Processor CPU BGA</v>
      </c>
      <c r="N4175" s="17" t="n">
        <v>1</v>
      </c>
      <c r="O4175" s="17" t="str">
        <f aca="false">VLOOKUP(N4175,Sheet2!G:H,2,0)</f>
        <v>Dead</v>
      </c>
      <c r="P4175" s="17" t="n">
        <v>11</v>
      </c>
      <c r="Q4175" s="17" t="str">
        <f aca="false">VLOOKUP(P4175,Sheet2!J:K,2,0)</f>
        <v>IR Declared due to CID -TA</v>
      </c>
      <c r="R4175" s="17" t="s">
        <v>35</v>
      </c>
      <c r="S4175" s="17" t="str">
        <f aca="false">VLOOKUP(R4175,Sheet2!N:O,2,0)</f>
        <v>IREPARABLE</v>
      </c>
      <c r="T4175" s="18" t="str">
        <f aca="false">VLOOKUP(P4175,Sheet2!Q:R,2,0)</f>
        <v>IR Normal - Track burn out</v>
      </c>
      <c r="U4175" s="20" t="s">
        <v>41</v>
      </c>
      <c r="V4175" s="17"/>
      <c r="W4175" s="20" t="e">
        <f aca="false">VLOOKUP(V4175,Sheet2!Q:R,2,0)</f>
        <v>#N/A</v>
      </c>
      <c r="X4175" s="17" t="n">
        <f aca="false">J4175</f>
        <v>0</v>
      </c>
      <c r="Y4175" s="17" t="e">
        <f aca="false">VLOOKUP(X4175,Sheet2!A:B,2,0)</f>
        <v>#N/A</v>
      </c>
      <c r="Z4175" s="17"/>
      <c r="AA4175" s="17"/>
      <c r="AC4175" s="23" t="str">
        <f aca="false">LEFT(G4175,2)</f>
        <v/>
      </c>
    </row>
    <row r="4176" customFormat="false" ht="15" hidden="false" customHeight="false" outlineLevel="0" collapsed="false">
      <c r="A4176" s="13" t="n">
        <f aca="false">1+A4175</f>
        <v>4174</v>
      </c>
      <c r="B4176" s="14" t="n">
        <v>100</v>
      </c>
      <c r="C4176" s="15"/>
      <c r="D4176" s="16" t="s">
        <v>64</v>
      </c>
      <c r="E4176" s="17" t="s">
        <v>47</v>
      </c>
      <c r="F4176" s="18" t="s">
        <v>34</v>
      </c>
      <c r="G4176" s="19"/>
      <c r="H4176" s="17" t="s">
        <v>35</v>
      </c>
      <c r="I4176" s="17" t="s">
        <v>44</v>
      </c>
      <c r="J4176" s="17"/>
      <c r="K4176" s="17" t="e">
        <f aca="false">VLOOKUP(J4176,Sheet2!A:B,2,0)</f>
        <v>#N/A</v>
      </c>
      <c r="L4176" s="17" t="n">
        <v>5</v>
      </c>
      <c r="M4176" s="17" t="str">
        <f aca="false">VLOOKUP(L4176,Sheet2!D:E,2,0)</f>
        <v>Main Processor CPU BGA</v>
      </c>
      <c r="N4176" s="17" t="n">
        <v>1</v>
      </c>
      <c r="O4176" s="17" t="str">
        <f aca="false">VLOOKUP(N4176,Sheet2!G:H,2,0)</f>
        <v>Dead</v>
      </c>
      <c r="P4176" s="17" t="n">
        <v>11</v>
      </c>
      <c r="Q4176" s="17" t="str">
        <f aca="false">VLOOKUP(P4176,Sheet2!J:K,2,0)</f>
        <v>IR Declared due to CID -TA</v>
      </c>
      <c r="R4176" s="17" t="s">
        <v>35</v>
      </c>
      <c r="S4176" s="17" t="str">
        <f aca="false">VLOOKUP(R4176,Sheet2!N:O,2,0)</f>
        <v>IREPARABLE</v>
      </c>
      <c r="T4176" s="18" t="str">
        <f aca="false">VLOOKUP(P4176,Sheet2!Q:R,2,0)</f>
        <v>IR Normal - Track burn out</v>
      </c>
      <c r="U4176" s="20" t="s">
        <v>41</v>
      </c>
      <c r="V4176" s="17"/>
      <c r="W4176" s="20" t="e">
        <f aca="false">VLOOKUP(V4176,Sheet2!Q:R,2,0)</f>
        <v>#N/A</v>
      </c>
      <c r="X4176" s="17" t="n">
        <f aca="false">J4176</f>
        <v>0</v>
      </c>
      <c r="Y4176" s="17" t="e">
        <f aca="false">VLOOKUP(X4176,Sheet2!A:B,2,0)</f>
        <v>#N/A</v>
      </c>
      <c r="Z4176" s="17"/>
      <c r="AA4176" s="17"/>
      <c r="AC4176" s="23" t="str">
        <f aca="false">LEFT(G4176,2)</f>
        <v/>
      </c>
    </row>
    <row r="4177" customFormat="false" ht="15" hidden="false" customHeight="false" outlineLevel="0" collapsed="false">
      <c r="A4177" s="13" t="n">
        <f aca="false">1+A4176</f>
        <v>4175</v>
      </c>
      <c r="B4177" s="14" t="n">
        <v>100</v>
      </c>
      <c r="C4177" s="15"/>
      <c r="D4177" s="16" t="s">
        <v>64</v>
      </c>
      <c r="E4177" s="17" t="s">
        <v>47</v>
      </c>
      <c r="F4177" s="18" t="s">
        <v>34</v>
      </c>
      <c r="G4177" s="19"/>
      <c r="H4177" s="17" t="s">
        <v>35</v>
      </c>
      <c r="I4177" s="17" t="s">
        <v>44</v>
      </c>
      <c r="J4177" s="17"/>
      <c r="K4177" s="17" t="e">
        <f aca="false">VLOOKUP(J4177,Sheet2!A:B,2,0)</f>
        <v>#N/A</v>
      </c>
      <c r="L4177" s="17" t="n">
        <v>5</v>
      </c>
      <c r="M4177" s="17" t="str">
        <f aca="false">VLOOKUP(L4177,Sheet2!D:E,2,0)</f>
        <v>Main Processor CPU BGA</v>
      </c>
      <c r="N4177" s="17" t="n">
        <v>1</v>
      </c>
      <c r="O4177" s="17" t="str">
        <f aca="false">VLOOKUP(N4177,Sheet2!G:H,2,0)</f>
        <v>Dead</v>
      </c>
      <c r="P4177" s="17" t="n">
        <v>11</v>
      </c>
      <c r="Q4177" s="17" t="str">
        <f aca="false">VLOOKUP(P4177,Sheet2!J:K,2,0)</f>
        <v>IR Declared due to CID -TA</v>
      </c>
      <c r="R4177" s="17" t="s">
        <v>35</v>
      </c>
      <c r="S4177" s="17" t="str">
        <f aca="false">VLOOKUP(R4177,Sheet2!N:O,2,0)</f>
        <v>IREPARABLE</v>
      </c>
      <c r="T4177" s="18" t="str">
        <f aca="false">VLOOKUP(P4177,Sheet2!Q:R,2,0)</f>
        <v>IR Normal - Track burn out</v>
      </c>
      <c r="U4177" s="20" t="s">
        <v>41</v>
      </c>
      <c r="V4177" s="17"/>
      <c r="W4177" s="20" t="e">
        <f aca="false">VLOOKUP(V4177,Sheet2!Q:R,2,0)</f>
        <v>#N/A</v>
      </c>
      <c r="X4177" s="17" t="n">
        <f aca="false">J4177</f>
        <v>0</v>
      </c>
      <c r="Y4177" s="17" t="e">
        <f aca="false">VLOOKUP(X4177,Sheet2!A:B,2,0)</f>
        <v>#N/A</v>
      </c>
      <c r="Z4177" s="17"/>
      <c r="AA4177" s="17"/>
      <c r="AC4177" s="23" t="str">
        <f aca="false">LEFT(G4177,2)</f>
        <v/>
      </c>
    </row>
    <row r="4178" customFormat="false" ht="15" hidden="false" customHeight="false" outlineLevel="0" collapsed="false">
      <c r="A4178" s="13" t="n">
        <f aca="false">1+A4177</f>
        <v>4176</v>
      </c>
      <c r="B4178" s="14" t="n">
        <v>100</v>
      </c>
      <c r="C4178" s="15"/>
      <c r="D4178" s="16" t="s">
        <v>64</v>
      </c>
      <c r="E4178" s="17" t="s">
        <v>47</v>
      </c>
      <c r="F4178" s="18" t="s">
        <v>34</v>
      </c>
      <c r="G4178" s="19"/>
      <c r="H4178" s="17" t="s">
        <v>35</v>
      </c>
      <c r="I4178" s="17" t="s">
        <v>44</v>
      </c>
      <c r="J4178" s="17"/>
      <c r="K4178" s="17" t="e">
        <f aca="false">VLOOKUP(J4178,Sheet2!A:B,2,0)</f>
        <v>#N/A</v>
      </c>
      <c r="L4178" s="17" t="n">
        <v>5</v>
      </c>
      <c r="M4178" s="17" t="str">
        <f aca="false">VLOOKUP(L4178,Sheet2!D:E,2,0)</f>
        <v>Main Processor CPU BGA</v>
      </c>
      <c r="N4178" s="17" t="n">
        <v>1</v>
      </c>
      <c r="O4178" s="17" t="str">
        <f aca="false">VLOOKUP(N4178,Sheet2!G:H,2,0)</f>
        <v>Dead</v>
      </c>
      <c r="P4178" s="17" t="n">
        <v>11</v>
      </c>
      <c r="Q4178" s="17" t="str">
        <f aca="false">VLOOKUP(P4178,Sheet2!J:K,2,0)</f>
        <v>IR Declared due to CID -TA</v>
      </c>
      <c r="R4178" s="17" t="s">
        <v>35</v>
      </c>
      <c r="S4178" s="17" t="str">
        <f aca="false">VLOOKUP(R4178,Sheet2!N:O,2,0)</f>
        <v>IREPARABLE</v>
      </c>
      <c r="T4178" s="18" t="str">
        <f aca="false">VLOOKUP(P4178,Sheet2!Q:R,2,0)</f>
        <v>IR Normal - Track burn out</v>
      </c>
      <c r="U4178" s="20" t="s">
        <v>41</v>
      </c>
      <c r="V4178" s="17"/>
      <c r="W4178" s="20" t="e">
        <f aca="false">VLOOKUP(V4178,Sheet2!Q:R,2,0)</f>
        <v>#N/A</v>
      </c>
      <c r="X4178" s="17" t="n">
        <f aca="false">J4178</f>
        <v>0</v>
      </c>
      <c r="Y4178" s="17" t="e">
        <f aca="false">VLOOKUP(X4178,Sheet2!A:B,2,0)</f>
        <v>#N/A</v>
      </c>
      <c r="Z4178" s="17"/>
      <c r="AA4178" s="17"/>
      <c r="AC4178" s="23" t="str">
        <f aca="false">LEFT(G4178,2)</f>
        <v/>
      </c>
    </row>
    <row r="4179" customFormat="false" ht="15" hidden="false" customHeight="false" outlineLevel="0" collapsed="false">
      <c r="A4179" s="13" t="n">
        <f aca="false">1+A4178</f>
        <v>4177</v>
      </c>
      <c r="B4179" s="14" t="n">
        <v>100</v>
      </c>
      <c r="C4179" s="15"/>
      <c r="D4179" s="16" t="s">
        <v>64</v>
      </c>
      <c r="E4179" s="17" t="s">
        <v>47</v>
      </c>
      <c r="F4179" s="18" t="s">
        <v>34</v>
      </c>
      <c r="G4179" s="19"/>
      <c r="H4179" s="17" t="s">
        <v>35</v>
      </c>
      <c r="I4179" s="17" t="s">
        <v>44</v>
      </c>
      <c r="J4179" s="17"/>
      <c r="K4179" s="17" t="e">
        <f aca="false">VLOOKUP(J4179,Sheet2!A:B,2,0)</f>
        <v>#N/A</v>
      </c>
      <c r="L4179" s="17" t="n">
        <v>5</v>
      </c>
      <c r="M4179" s="17" t="str">
        <f aca="false">VLOOKUP(L4179,Sheet2!D:E,2,0)</f>
        <v>Main Processor CPU BGA</v>
      </c>
      <c r="N4179" s="17" t="n">
        <v>1</v>
      </c>
      <c r="O4179" s="17" t="str">
        <f aca="false">VLOOKUP(N4179,Sheet2!G:H,2,0)</f>
        <v>Dead</v>
      </c>
      <c r="P4179" s="17" t="n">
        <v>11</v>
      </c>
      <c r="Q4179" s="17" t="str">
        <f aca="false">VLOOKUP(P4179,Sheet2!J:K,2,0)</f>
        <v>IR Declared due to CID -TA</v>
      </c>
      <c r="R4179" s="17" t="s">
        <v>35</v>
      </c>
      <c r="S4179" s="17" t="str">
        <f aca="false">VLOOKUP(R4179,Sheet2!N:O,2,0)</f>
        <v>IREPARABLE</v>
      </c>
      <c r="T4179" s="18" t="str">
        <f aca="false">VLOOKUP(P4179,Sheet2!Q:R,2,0)</f>
        <v>IR Normal - Track burn out</v>
      </c>
      <c r="U4179" s="20" t="s">
        <v>41</v>
      </c>
      <c r="V4179" s="17"/>
      <c r="W4179" s="20" t="e">
        <f aca="false">VLOOKUP(V4179,Sheet2!Q:R,2,0)</f>
        <v>#N/A</v>
      </c>
      <c r="X4179" s="17" t="n">
        <f aca="false">J4179</f>
        <v>0</v>
      </c>
      <c r="Y4179" s="17" t="e">
        <f aca="false">VLOOKUP(X4179,Sheet2!A:B,2,0)</f>
        <v>#N/A</v>
      </c>
      <c r="Z4179" s="17"/>
      <c r="AA4179" s="17"/>
      <c r="AC4179" s="23" t="str">
        <f aca="false">LEFT(G4179,2)</f>
        <v/>
      </c>
    </row>
    <row r="4180" customFormat="false" ht="15" hidden="false" customHeight="false" outlineLevel="0" collapsed="false">
      <c r="A4180" s="13" t="n">
        <f aca="false">1+A4179</f>
        <v>4178</v>
      </c>
      <c r="B4180" s="14" t="n">
        <v>100</v>
      </c>
      <c r="C4180" s="15"/>
      <c r="D4180" s="16" t="s">
        <v>64</v>
      </c>
      <c r="E4180" s="17" t="s">
        <v>47</v>
      </c>
      <c r="F4180" s="18" t="s">
        <v>34</v>
      </c>
      <c r="G4180" s="19"/>
      <c r="H4180" s="17" t="s">
        <v>35</v>
      </c>
      <c r="I4180" s="17" t="s">
        <v>44</v>
      </c>
      <c r="J4180" s="17"/>
      <c r="K4180" s="17" t="e">
        <f aca="false">VLOOKUP(J4180,Sheet2!A:B,2,0)</f>
        <v>#N/A</v>
      </c>
      <c r="L4180" s="17" t="n">
        <v>5</v>
      </c>
      <c r="M4180" s="17" t="str">
        <f aca="false">VLOOKUP(L4180,Sheet2!D:E,2,0)</f>
        <v>Main Processor CPU BGA</v>
      </c>
      <c r="N4180" s="17" t="n">
        <v>1</v>
      </c>
      <c r="O4180" s="17" t="str">
        <f aca="false">VLOOKUP(N4180,Sheet2!G:H,2,0)</f>
        <v>Dead</v>
      </c>
      <c r="P4180" s="17" t="n">
        <v>11</v>
      </c>
      <c r="Q4180" s="17" t="str">
        <f aca="false">VLOOKUP(P4180,Sheet2!J:K,2,0)</f>
        <v>IR Declared due to CID -TA</v>
      </c>
      <c r="R4180" s="17" t="s">
        <v>35</v>
      </c>
      <c r="S4180" s="17" t="str">
        <f aca="false">VLOOKUP(R4180,Sheet2!N:O,2,0)</f>
        <v>IREPARABLE</v>
      </c>
      <c r="T4180" s="18" t="str">
        <f aca="false">VLOOKUP(P4180,Sheet2!Q:R,2,0)</f>
        <v>IR Normal - Track burn out</v>
      </c>
      <c r="U4180" s="20" t="s">
        <v>41</v>
      </c>
      <c r="V4180" s="17"/>
      <c r="W4180" s="20" t="e">
        <f aca="false">VLOOKUP(V4180,Sheet2!Q:R,2,0)</f>
        <v>#N/A</v>
      </c>
      <c r="X4180" s="17" t="n">
        <f aca="false">J4180</f>
        <v>0</v>
      </c>
      <c r="Y4180" s="17" t="e">
        <f aca="false">VLOOKUP(X4180,Sheet2!A:B,2,0)</f>
        <v>#N/A</v>
      </c>
      <c r="Z4180" s="17"/>
      <c r="AA4180" s="17"/>
      <c r="AC4180" s="23" t="str">
        <f aca="false">LEFT(G4180,2)</f>
        <v/>
      </c>
    </row>
    <row r="4181" customFormat="false" ht="15" hidden="false" customHeight="false" outlineLevel="0" collapsed="false">
      <c r="A4181" s="13" t="n">
        <f aca="false">1+A4180</f>
        <v>4179</v>
      </c>
      <c r="B4181" s="14" t="n">
        <v>100</v>
      </c>
      <c r="C4181" s="15"/>
      <c r="D4181" s="16" t="s">
        <v>64</v>
      </c>
      <c r="E4181" s="17" t="s">
        <v>47</v>
      </c>
      <c r="F4181" s="18" t="s">
        <v>34</v>
      </c>
      <c r="G4181" s="19"/>
      <c r="H4181" s="17" t="s">
        <v>35</v>
      </c>
      <c r="I4181" s="17" t="s">
        <v>44</v>
      </c>
      <c r="J4181" s="17"/>
      <c r="K4181" s="17" t="e">
        <f aca="false">VLOOKUP(J4181,Sheet2!A:B,2,0)</f>
        <v>#N/A</v>
      </c>
      <c r="L4181" s="17" t="n">
        <v>5</v>
      </c>
      <c r="M4181" s="17" t="str">
        <f aca="false">VLOOKUP(L4181,Sheet2!D:E,2,0)</f>
        <v>Main Processor CPU BGA</v>
      </c>
      <c r="N4181" s="17" t="n">
        <v>1</v>
      </c>
      <c r="O4181" s="17" t="str">
        <f aca="false">VLOOKUP(N4181,Sheet2!G:H,2,0)</f>
        <v>Dead</v>
      </c>
      <c r="P4181" s="17" t="n">
        <v>11</v>
      </c>
      <c r="Q4181" s="17" t="str">
        <f aca="false">VLOOKUP(P4181,Sheet2!J:K,2,0)</f>
        <v>IR Declared due to CID -TA</v>
      </c>
      <c r="R4181" s="17" t="s">
        <v>35</v>
      </c>
      <c r="S4181" s="17" t="str">
        <f aca="false">VLOOKUP(R4181,Sheet2!N:O,2,0)</f>
        <v>IREPARABLE</v>
      </c>
      <c r="T4181" s="18" t="str">
        <f aca="false">VLOOKUP(P4181,Sheet2!Q:R,2,0)</f>
        <v>IR Normal - Track burn out</v>
      </c>
      <c r="U4181" s="20" t="s">
        <v>41</v>
      </c>
      <c r="V4181" s="17"/>
      <c r="W4181" s="20" t="e">
        <f aca="false">VLOOKUP(V4181,Sheet2!Q:R,2,0)</f>
        <v>#N/A</v>
      </c>
      <c r="X4181" s="17" t="n">
        <f aca="false">J4181</f>
        <v>0</v>
      </c>
      <c r="Y4181" s="17" t="e">
        <f aca="false">VLOOKUP(X4181,Sheet2!A:B,2,0)</f>
        <v>#N/A</v>
      </c>
      <c r="Z4181" s="17"/>
      <c r="AA4181" s="17"/>
      <c r="AC4181" s="23" t="str">
        <f aca="false">LEFT(G4181,2)</f>
        <v/>
      </c>
    </row>
    <row r="4182" customFormat="false" ht="15" hidden="false" customHeight="false" outlineLevel="0" collapsed="false">
      <c r="A4182" s="13" t="n">
        <f aca="false">1+A4181</f>
        <v>4180</v>
      </c>
      <c r="B4182" s="14" t="n">
        <v>100</v>
      </c>
      <c r="C4182" s="15"/>
      <c r="D4182" s="16" t="s">
        <v>64</v>
      </c>
      <c r="E4182" s="17" t="s">
        <v>47</v>
      </c>
      <c r="F4182" s="18" t="s">
        <v>34</v>
      </c>
      <c r="G4182" s="19"/>
      <c r="H4182" s="17" t="s">
        <v>35</v>
      </c>
      <c r="I4182" s="17" t="s">
        <v>44</v>
      </c>
      <c r="J4182" s="17"/>
      <c r="K4182" s="17" t="e">
        <f aca="false">VLOOKUP(J4182,Sheet2!A:B,2,0)</f>
        <v>#N/A</v>
      </c>
      <c r="L4182" s="17" t="n">
        <v>5</v>
      </c>
      <c r="M4182" s="17" t="str">
        <f aca="false">VLOOKUP(L4182,Sheet2!D:E,2,0)</f>
        <v>Main Processor CPU BGA</v>
      </c>
      <c r="N4182" s="17" t="n">
        <v>1</v>
      </c>
      <c r="O4182" s="17" t="str">
        <f aca="false">VLOOKUP(N4182,Sheet2!G:H,2,0)</f>
        <v>Dead</v>
      </c>
      <c r="P4182" s="17" t="n">
        <v>11</v>
      </c>
      <c r="Q4182" s="17" t="str">
        <f aca="false">VLOOKUP(P4182,Sheet2!J:K,2,0)</f>
        <v>IR Declared due to CID -TA</v>
      </c>
      <c r="R4182" s="17" t="s">
        <v>35</v>
      </c>
      <c r="S4182" s="17" t="str">
        <f aca="false">VLOOKUP(R4182,Sheet2!N:O,2,0)</f>
        <v>IREPARABLE</v>
      </c>
      <c r="T4182" s="18" t="str">
        <f aca="false">VLOOKUP(P4182,Sheet2!Q:R,2,0)</f>
        <v>IR Normal - Track burn out</v>
      </c>
      <c r="U4182" s="20" t="s">
        <v>41</v>
      </c>
      <c r="V4182" s="17"/>
      <c r="W4182" s="20" t="e">
        <f aca="false">VLOOKUP(V4182,Sheet2!Q:R,2,0)</f>
        <v>#N/A</v>
      </c>
      <c r="X4182" s="17" t="n">
        <f aca="false">J4182</f>
        <v>0</v>
      </c>
      <c r="Y4182" s="17" t="e">
        <f aca="false">VLOOKUP(X4182,Sheet2!A:B,2,0)</f>
        <v>#N/A</v>
      </c>
      <c r="Z4182" s="17"/>
      <c r="AA4182" s="17"/>
      <c r="AC4182" s="23" t="str">
        <f aca="false">LEFT(G4182,2)</f>
        <v/>
      </c>
    </row>
    <row r="4183" customFormat="false" ht="15" hidden="false" customHeight="false" outlineLevel="0" collapsed="false">
      <c r="A4183" s="13" t="n">
        <f aca="false">1+A4182</f>
        <v>4181</v>
      </c>
      <c r="B4183" s="14" t="n">
        <v>100</v>
      </c>
      <c r="C4183" s="15"/>
      <c r="D4183" s="16" t="s">
        <v>64</v>
      </c>
      <c r="E4183" s="17" t="s">
        <v>47</v>
      </c>
      <c r="F4183" s="18" t="s">
        <v>34</v>
      </c>
      <c r="G4183" s="19"/>
      <c r="H4183" s="17" t="s">
        <v>35</v>
      </c>
      <c r="I4183" s="17" t="s">
        <v>44</v>
      </c>
      <c r="J4183" s="17"/>
      <c r="K4183" s="17" t="e">
        <f aca="false">VLOOKUP(J4183,Sheet2!A:B,2,0)</f>
        <v>#N/A</v>
      </c>
      <c r="L4183" s="17" t="n">
        <v>5</v>
      </c>
      <c r="M4183" s="17" t="str">
        <f aca="false">VLOOKUP(L4183,Sheet2!D:E,2,0)</f>
        <v>Main Processor CPU BGA</v>
      </c>
      <c r="N4183" s="17" t="n">
        <v>1</v>
      </c>
      <c r="O4183" s="17" t="str">
        <f aca="false">VLOOKUP(N4183,Sheet2!G:H,2,0)</f>
        <v>Dead</v>
      </c>
      <c r="P4183" s="17" t="n">
        <v>11</v>
      </c>
      <c r="Q4183" s="17" t="str">
        <f aca="false">VLOOKUP(P4183,Sheet2!J:K,2,0)</f>
        <v>IR Declared due to CID -TA</v>
      </c>
      <c r="R4183" s="17" t="s">
        <v>35</v>
      </c>
      <c r="S4183" s="17" t="str">
        <f aca="false">VLOOKUP(R4183,Sheet2!N:O,2,0)</f>
        <v>IREPARABLE</v>
      </c>
      <c r="T4183" s="18" t="str">
        <f aca="false">VLOOKUP(P4183,Sheet2!Q:R,2,0)</f>
        <v>IR Normal - Track burn out</v>
      </c>
      <c r="U4183" s="20" t="s">
        <v>41</v>
      </c>
      <c r="V4183" s="17"/>
      <c r="W4183" s="20" t="e">
        <f aca="false">VLOOKUP(V4183,Sheet2!Q:R,2,0)</f>
        <v>#N/A</v>
      </c>
      <c r="X4183" s="17" t="n">
        <f aca="false">J4183</f>
        <v>0</v>
      </c>
      <c r="Y4183" s="17" t="e">
        <f aca="false">VLOOKUP(X4183,Sheet2!A:B,2,0)</f>
        <v>#N/A</v>
      </c>
      <c r="Z4183" s="17"/>
      <c r="AA4183" s="17"/>
      <c r="AC4183" s="23" t="str">
        <f aca="false">LEFT(G4183,2)</f>
        <v/>
      </c>
    </row>
    <row r="4184" customFormat="false" ht="15" hidden="false" customHeight="false" outlineLevel="0" collapsed="false">
      <c r="A4184" s="13" t="n">
        <f aca="false">1+A4183</f>
        <v>4182</v>
      </c>
      <c r="B4184" s="14" t="n">
        <v>100</v>
      </c>
      <c r="C4184" s="15"/>
      <c r="D4184" s="16" t="s">
        <v>64</v>
      </c>
      <c r="E4184" s="17" t="s">
        <v>47</v>
      </c>
      <c r="F4184" s="18" t="s">
        <v>34</v>
      </c>
      <c r="G4184" s="19"/>
      <c r="H4184" s="17" t="s">
        <v>35</v>
      </c>
      <c r="I4184" s="17" t="s">
        <v>44</v>
      </c>
      <c r="J4184" s="17"/>
      <c r="K4184" s="17" t="e">
        <f aca="false">VLOOKUP(J4184,Sheet2!A:B,2,0)</f>
        <v>#N/A</v>
      </c>
      <c r="L4184" s="17" t="n">
        <v>5</v>
      </c>
      <c r="M4184" s="17" t="str">
        <f aca="false">VLOOKUP(L4184,Sheet2!D:E,2,0)</f>
        <v>Main Processor CPU BGA</v>
      </c>
      <c r="N4184" s="17" t="n">
        <v>1</v>
      </c>
      <c r="O4184" s="17" t="str">
        <f aca="false">VLOOKUP(N4184,Sheet2!G:H,2,0)</f>
        <v>Dead</v>
      </c>
      <c r="P4184" s="17" t="n">
        <v>11</v>
      </c>
      <c r="Q4184" s="17" t="str">
        <f aca="false">VLOOKUP(P4184,Sheet2!J:K,2,0)</f>
        <v>IR Declared due to CID -TA</v>
      </c>
      <c r="R4184" s="17" t="s">
        <v>35</v>
      </c>
      <c r="S4184" s="17" t="str">
        <f aca="false">VLOOKUP(R4184,Sheet2!N:O,2,0)</f>
        <v>IREPARABLE</v>
      </c>
      <c r="T4184" s="18" t="str">
        <f aca="false">VLOOKUP(P4184,Sheet2!Q:R,2,0)</f>
        <v>IR Normal - Track burn out</v>
      </c>
      <c r="U4184" s="20" t="s">
        <v>41</v>
      </c>
      <c r="V4184" s="17"/>
      <c r="W4184" s="20" t="e">
        <f aca="false">VLOOKUP(V4184,Sheet2!Q:R,2,0)</f>
        <v>#N/A</v>
      </c>
      <c r="X4184" s="17" t="n">
        <f aca="false">J4184</f>
        <v>0</v>
      </c>
      <c r="Y4184" s="17" t="e">
        <f aca="false">VLOOKUP(X4184,Sheet2!A:B,2,0)</f>
        <v>#N/A</v>
      </c>
      <c r="Z4184" s="17"/>
      <c r="AA4184" s="17"/>
      <c r="AC4184" s="23" t="str">
        <f aca="false">LEFT(G4184,2)</f>
        <v/>
      </c>
    </row>
    <row r="4185" customFormat="false" ht="15" hidden="false" customHeight="false" outlineLevel="0" collapsed="false">
      <c r="A4185" s="13" t="n">
        <f aca="false">1+A4184</f>
        <v>4183</v>
      </c>
      <c r="B4185" s="14" t="n">
        <v>100</v>
      </c>
      <c r="C4185" s="15"/>
      <c r="D4185" s="16" t="s">
        <v>64</v>
      </c>
      <c r="E4185" s="17" t="s">
        <v>47</v>
      </c>
      <c r="F4185" s="18" t="s">
        <v>34</v>
      </c>
      <c r="G4185" s="19"/>
      <c r="H4185" s="17" t="s">
        <v>35</v>
      </c>
      <c r="I4185" s="17" t="s">
        <v>44</v>
      </c>
      <c r="J4185" s="17"/>
      <c r="K4185" s="17" t="e">
        <f aca="false">VLOOKUP(J4185,Sheet2!A:B,2,0)</f>
        <v>#N/A</v>
      </c>
      <c r="L4185" s="17" t="n">
        <v>5</v>
      </c>
      <c r="M4185" s="17" t="str">
        <f aca="false">VLOOKUP(L4185,Sheet2!D:E,2,0)</f>
        <v>Main Processor CPU BGA</v>
      </c>
      <c r="N4185" s="17" t="n">
        <v>1</v>
      </c>
      <c r="O4185" s="17" t="str">
        <f aca="false">VLOOKUP(N4185,Sheet2!G:H,2,0)</f>
        <v>Dead</v>
      </c>
      <c r="P4185" s="17" t="n">
        <v>11</v>
      </c>
      <c r="Q4185" s="17" t="str">
        <f aca="false">VLOOKUP(P4185,Sheet2!J:K,2,0)</f>
        <v>IR Declared due to CID -TA</v>
      </c>
      <c r="R4185" s="17" t="s">
        <v>35</v>
      </c>
      <c r="S4185" s="17" t="str">
        <f aca="false">VLOOKUP(R4185,Sheet2!N:O,2,0)</f>
        <v>IREPARABLE</v>
      </c>
      <c r="T4185" s="18" t="str">
        <f aca="false">VLOOKUP(P4185,Sheet2!Q:R,2,0)</f>
        <v>IR Normal - Track burn out</v>
      </c>
      <c r="U4185" s="20" t="s">
        <v>41</v>
      </c>
      <c r="V4185" s="17"/>
      <c r="W4185" s="20" t="e">
        <f aca="false">VLOOKUP(V4185,Sheet2!Q:R,2,0)</f>
        <v>#N/A</v>
      </c>
      <c r="X4185" s="17" t="n">
        <f aca="false">J4185</f>
        <v>0</v>
      </c>
      <c r="Y4185" s="17" t="e">
        <f aca="false">VLOOKUP(X4185,Sheet2!A:B,2,0)</f>
        <v>#N/A</v>
      </c>
      <c r="Z4185" s="17"/>
      <c r="AA4185" s="17"/>
      <c r="AC4185" s="23" t="str">
        <f aca="false">LEFT(G4185,2)</f>
        <v/>
      </c>
    </row>
    <row r="4186" customFormat="false" ht="15" hidden="false" customHeight="false" outlineLevel="0" collapsed="false">
      <c r="A4186" s="13" t="n">
        <f aca="false">1+A4185</f>
        <v>4184</v>
      </c>
      <c r="B4186" s="14" t="n">
        <v>100</v>
      </c>
      <c r="C4186" s="15"/>
      <c r="D4186" s="16" t="s">
        <v>64</v>
      </c>
      <c r="E4186" s="17" t="s">
        <v>47</v>
      </c>
      <c r="F4186" s="18" t="s">
        <v>34</v>
      </c>
      <c r="G4186" s="19"/>
      <c r="H4186" s="17" t="s">
        <v>35</v>
      </c>
      <c r="I4186" s="17" t="s">
        <v>44</v>
      </c>
      <c r="J4186" s="17"/>
      <c r="K4186" s="17" t="e">
        <f aca="false">VLOOKUP(J4186,Sheet2!A:B,2,0)</f>
        <v>#N/A</v>
      </c>
      <c r="L4186" s="17" t="n">
        <v>5</v>
      </c>
      <c r="M4186" s="17" t="str">
        <f aca="false">VLOOKUP(L4186,Sheet2!D:E,2,0)</f>
        <v>Main Processor CPU BGA</v>
      </c>
      <c r="N4186" s="17" t="n">
        <v>1</v>
      </c>
      <c r="O4186" s="17" t="str">
        <f aca="false">VLOOKUP(N4186,Sheet2!G:H,2,0)</f>
        <v>Dead</v>
      </c>
      <c r="P4186" s="17" t="n">
        <v>11</v>
      </c>
      <c r="Q4186" s="17" t="str">
        <f aca="false">VLOOKUP(P4186,Sheet2!J:K,2,0)</f>
        <v>IR Declared due to CID -TA</v>
      </c>
      <c r="R4186" s="17" t="s">
        <v>35</v>
      </c>
      <c r="S4186" s="17" t="str">
        <f aca="false">VLOOKUP(R4186,Sheet2!N:O,2,0)</f>
        <v>IREPARABLE</v>
      </c>
      <c r="T4186" s="18" t="str">
        <f aca="false">VLOOKUP(P4186,Sheet2!Q:R,2,0)</f>
        <v>IR Normal - Track burn out</v>
      </c>
      <c r="U4186" s="20" t="s">
        <v>41</v>
      </c>
      <c r="V4186" s="17"/>
      <c r="W4186" s="20" t="e">
        <f aca="false">VLOOKUP(V4186,Sheet2!Q:R,2,0)</f>
        <v>#N/A</v>
      </c>
      <c r="X4186" s="17" t="n">
        <f aca="false">J4186</f>
        <v>0</v>
      </c>
      <c r="Y4186" s="17" t="e">
        <f aca="false">VLOOKUP(X4186,Sheet2!A:B,2,0)</f>
        <v>#N/A</v>
      </c>
      <c r="Z4186" s="17"/>
      <c r="AA4186" s="17"/>
      <c r="AC4186" s="23" t="str">
        <f aca="false">LEFT(G4186,2)</f>
        <v/>
      </c>
    </row>
    <row r="4187" customFormat="false" ht="15" hidden="false" customHeight="false" outlineLevel="0" collapsed="false">
      <c r="A4187" s="13" t="n">
        <f aca="false">1+A4186</f>
        <v>4185</v>
      </c>
      <c r="B4187" s="14" t="n">
        <v>100</v>
      </c>
      <c r="C4187" s="15"/>
      <c r="D4187" s="16" t="s">
        <v>64</v>
      </c>
      <c r="E4187" s="17" t="s">
        <v>47</v>
      </c>
      <c r="F4187" s="18" t="s">
        <v>34</v>
      </c>
      <c r="G4187" s="19"/>
      <c r="H4187" s="17" t="s">
        <v>35</v>
      </c>
      <c r="I4187" s="17" t="s">
        <v>44</v>
      </c>
      <c r="J4187" s="17"/>
      <c r="K4187" s="17" t="e">
        <f aca="false">VLOOKUP(J4187,Sheet2!A:B,2,0)</f>
        <v>#N/A</v>
      </c>
      <c r="L4187" s="17" t="n">
        <v>5</v>
      </c>
      <c r="M4187" s="17" t="str">
        <f aca="false">VLOOKUP(L4187,Sheet2!D:E,2,0)</f>
        <v>Main Processor CPU BGA</v>
      </c>
      <c r="N4187" s="17" t="n">
        <v>1</v>
      </c>
      <c r="O4187" s="17" t="str">
        <f aca="false">VLOOKUP(N4187,Sheet2!G:H,2,0)</f>
        <v>Dead</v>
      </c>
      <c r="P4187" s="17" t="n">
        <v>11</v>
      </c>
      <c r="Q4187" s="17" t="str">
        <f aca="false">VLOOKUP(P4187,Sheet2!J:K,2,0)</f>
        <v>IR Declared due to CID -TA</v>
      </c>
      <c r="R4187" s="17" t="s">
        <v>35</v>
      </c>
      <c r="S4187" s="17" t="str">
        <f aca="false">VLOOKUP(R4187,Sheet2!N:O,2,0)</f>
        <v>IREPARABLE</v>
      </c>
      <c r="T4187" s="18" t="str">
        <f aca="false">VLOOKUP(P4187,Sheet2!Q:R,2,0)</f>
        <v>IR Normal - Track burn out</v>
      </c>
      <c r="U4187" s="20" t="s">
        <v>41</v>
      </c>
      <c r="V4187" s="17"/>
      <c r="W4187" s="20" t="e">
        <f aca="false">VLOOKUP(V4187,Sheet2!Q:R,2,0)</f>
        <v>#N/A</v>
      </c>
      <c r="X4187" s="17" t="n">
        <f aca="false">J4187</f>
        <v>0</v>
      </c>
      <c r="Y4187" s="17" t="e">
        <f aca="false">VLOOKUP(X4187,Sheet2!A:B,2,0)</f>
        <v>#N/A</v>
      </c>
      <c r="Z4187" s="17"/>
      <c r="AA4187" s="17"/>
      <c r="AC4187" s="23" t="str">
        <f aca="false">LEFT(G4187,2)</f>
        <v/>
      </c>
    </row>
    <row r="4188" customFormat="false" ht="15" hidden="false" customHeight="false" outlineLevel="0" collapsed="false">
      <c r="A4188" s="13" t="n">
        <f aca="false">1+A4187</f>
        <v>4186</v>
      </c>
      <c r="B4188" s="14" t="n">
        <v>100</v>
      </c>
      <c r="C4188" s="15"/>
      <c r="D4188" s="16" t="s">
        <v>64</v>
      </c>
      <c r="E4188" s="17" t="s">
        <v>47</v>
      </c>
      <c r="F4188" s="18" t="s">
        <v>34</v>
      </c>
      <c r="G4188" s="19"/>
      <c r="H4188" s="17" t="s">
        <v>35</v>
      </c>
      <c r="I4188" s="17" t="s">
        <v>44</v>
      </c>
      <c r="J4188" s="17"/>
      <c r="K4188" s="17" t="e">
        <f aca="false">VLOOKUP(J4188,Sheet2!A:B,2,0)</f>
        <v>#N/A</v>
      </c>
      <c r="L4188" s="17" t="n">
        <v>5</v>
      </c>
      <c r="M4188" s="17" t="str">
        <f aca="false">VLOOKUP(L4188,Sheet2!D:E,2,0)</f>
        <v>Main Processor CPU BGA</v>
      </c>
      <c r="N4188" s="17" t="n">
        <v>1</v>
      </c>
      <c r="O4188" s="17" t="str">
        <f aca="false">VLOOKUP(N4188,Sheet2!G:H,2,0)</f>
        <v>Dead</v>
      </c>
      <c r="P4188" s="17" t="n">
        <v>11</v>
      </c>
      <c r="Q4188" s="17" t="str">
        <f aca="false">VLOOKUP(P4188,Sheet2!J:K,2,0)</f>
        <v>IR Declared due to CID -TA</v>
      </c>
      <c r="R4188" s="17" t="s">
        <v>35</v>
      </c>
      <c r="S4188" s="17" t="str">
        <f aca="false">VLOOKUP(R4188,Sheet2!N:O,2,0)</f>
        <v>IREPARABLE</v>
      </c>
      <c r="T4188" s="18" t="str">
        <f aca="false">VLOOKUP(P4188,Sheet2!Q:R,2,0)</f>
        <v>IR Normal - Track burn out</v>
      </c>
      <c r="U4188" s="20" t="s">
        <v>41</v>
      </c>
      <c r="V4188" s="17"/>
      <c r="W4188" s="20" t="e">
        <f aca="false">VLOOKUP(V4188,Sheet2!Q:R,2,0)</f>
        <v>#N/A</v>
      </c>
      <c r="X4188" s="17" t="n">
        <f aca="false">J4188</f>
        <v>0</v>
      </c>
      <c r="Y4188" s="17" t="e">
        <f aca="false">VLOOKUP(X4188,Sheet2!A:B,2,0)</f>
        <v>#N/A</v>
      </c>
      <c r="Z4188" s="17"/>
      <c r="AA4188" s="17"/>
      <c r="AC4188" s="23" t="str">
        <f aca="false">LEFT(G4188,2)</f>
        <v/>
      </c>
    </row>
    <row r="4189" customFormat="false" ht="15" hidden="false" customHeight="false" outlineLevel="0" collapsed="false">
      <c r="A4189" s="13" t="n">
        <f aca="false">1+A4188</f>
        <v>4187</v>
      </c>
      <c r="B4189" s="14" t="n">
        <v>100</v>
      </c>
      <c r="C4189" s="15"/>
      <c r="D4189" s="16" t="s">
        <v>64</v>
      </c>
      <c r="E4189" s="17" t="s">
        <v>47</v>
      </c>
      <c r="F4189" s="18" t="s">
        <v>34</v>
      </c>
      <c r="G4189" s="19"/>
      <c r="H4189" s="17" t="s">
        <v>35</v>
      </c>
      <c r="I4189" s="17" t="s">
        <v>44</v>
      </c>
      <c r="J4189" s="17"/>
      <c r="K4189" s="17" t="e">
        <f aca="false">VLOOKUP(J4189,Sheet2!A:B,2,0)</f>
        <v>#N/A</v>
      </c>
      <c r="L4189" s="17" t="n">
        <v>5</v>
      </c>
      <c r="M4189" s="17" t="str">
        <f aca="false">VLOOKUP(L4189,Sheet2!D:E,2,0)</f>
        <v>Main Processor CPU BGA</v>
      </c>
      <c r="N4189" s="17" t="n">
        <v>1</v>
      </c>
      <c r="O4189" s="17" t="str">
        <f aca="false">VLOOKUP(N4189,Sheet2!G:H,2,0)</f>
        <v>Dead</v>
      </c>
      <c r="P4189" s="17" t="n">
        <v>11</v>
      </c>
      <c r="Q4189" s="17" t="str">
        <f aca="false">VLOOKUP(P4189,Sheet2!J:K,2,0)</f>
        <v>IR Declared due to CID -TA</v>
      </c>
      <c r="R4189" s="17" t="s">
        <v>35</v>
      </c>
      <c r="S4189" s="17" t="str">
        <f aca="false">VLOOKUP(R4189,Sheet2!N:O,2,0)</f>
        <v>IREPARABLE</v>
      </c>
      <c r="T4189" s="18" t="str">
        <f aca="false">VLOOKUP(P4189,Sheet2!Q:R,2,0)</f>
        <v>IR Normal - Track burn out</v>
      </c>
      <c r="U4189" s="20" t="s">
        <v>41</v>
      </c>
      <c r="V4189" s="17"/>
      <c r="W4189" s="20" t="e">
        <f aca="false">VLOOKUP(V4189,Sheet2!Q:R,2,0)</f>
        <v>#N/A</v>
      </c>
      <c r="X4189" s="17" t="n">
        <f aca="false">J4189</f>
        <v>0</v>
      </c>
      <c r="Y4189" s="17" t="e">
        <f aca="false">VLOOKUP(X4189,Sheet2!A:B,2,0)</f>
        <v>#N/A</v>
      </c>
      <c r="Z4189" s="17"/>
      <c r="AA4189" s="17"/>
      <c r="AC4189" s="23" t="str">
        <f aca="false">LEFT(G4189,2)</f>
        <v/>
      </c>
    </row>
    <row r="4190" customFormat="false" ht="15" hidden="false" customHeight="false" outlineLevel="0" collapsed="false">
      <c r="A4190" s="13" t="n">
        <f aca="false">1+A4189</f>
        <v>4188</v>
      </c>
      <c r="B4190" s="14" t="n">
        <v>100</v>
      </c>
      <c r="C4190" s="15"/>
      <c r="D4190" s="16" t="s">
        <v>64</v>
      </c>
      <c r="E4190" s="17" t="s">
        <v>47</v>
      </c>
      <c r="F4190" s="18" t="s">
        <v>34</v>
      </c>
      <c r="G4190" s="19"/>
      <c r="H4190" s="17" t="s">
        <v>35</v>
      </c>
      <c r="I4190" s="17" t="s">
        <v>44</v>
      </c>
      <c r="J4190" s="17"/>
      <c r="K4190" s="17" t="e">
        <f aca="false">VLOOKUP(J4190,Sheet2!A:B,2,0)</f>
        <v>#N/A</v>
      </c>
      <c r="L4190" s="17" t="n">
        <v>5</v>
      </c>
      <c r="M4190" s="17" t="str">
        <f aca="false">VLOOKUP(L4190,Sheet2!D:E,2,0)</f>
        <v>Main Processor CPU BGA</v>
      </c>
      <c r="N4190" s="17" t="n">
        <v>1</v>
      </c>
      <c r="O4190" s="17" t="str">
        <f aca="false">VLOOKUP(N4190,Sheet2!G:H,2,0)</f>
        <v>Dead</v>
      </c>
      <c r="P4190" s="17" t="n">
        <v>11</v>
      </c>
      <c r="Q4190" s="17" t="str">
        <f aca="false">VLOOKUP(P4190,Sheet2!J:K,2,0)</f>
        <v>IR Declared due to CID -TA</v>
      </c>
      <c r="R4190" s="17" t="s">
        <v>35</v>
      </c>
      <c r="S4190" s="17" t="str">
        <f aca="false">VLOOKUP(R4190,Sheet2!N:O,2,0)</f>
        <v>IREPARABLE</v>
      </c>
      <c r="T4190" s="18" t="str">
        <f aca="false">VLOOKUP(P4190,Sheet2!Q:R,2,0)</f>
        <v>IR Normal - Track burn out</v>
      </c>
      <c r="U4190" s="20" t="s">
        <v>41</v>
      </c>
      <c r="V4190" s="17"/>
      <c r="W4190" s="20" t="e">
        <f aca="false">VLOOKUP(V4190,Sheet2!Q:R,2,0)</f>
        <v>#N/A</v>
      </c>
      <c r="X4190" s="17" t="n">
        <f aca="false">J4190</f>
        <v>0</v>
      </c>
      <c r="Y4190" s="17" t="e">
        <f aca="false">VLOOKUP(X4190,Sheet2!A:B,2,0)</f>
        <v>#N/A</v>
      </c>
      <c r="Z4190" s="17"/>
      <c r="AA4190" s="17"/>
      <c r="AC4190" s="23" t="str">
        <f aca="false">LEFT(G4190,2)</f>
        <v/>
      </c>
    </row>
    <row r="4191" customFormat="false" ht="15" hidden="false" customHeight="false" outlineLevel="0" collapsed="false">
      <c r="A4191" s="13" t="n">
        <f aca="false">1+A4190</f>
        <v>4189</v>
      </c>
      <c r="B4191" s="14" t="n">
        <v>100</v>
      </c>
      <c r="C4191" s="15"/>
      <c r="D4191" s="16" t="s">
        <v>64</v>
      </c>
      <c r="E4191" s="17" t="s">
        <v>47</v>
      </c>
      <c r="F4191" s="18" t="s">
        <v>34</v>
      </c>
      <c r="G4191" s="19"/>
      <c r="H4191" s="17" t="s">
        <v>35</v>
      </c>
      <c r="I4191" s="17" t="s">
        <v>44</v>
      </c>
      <c r="J4191" s="17"/>
      <c r="K4191" s="17" t="e">
        <f aca="false">VLOOKUP(J4191,Sheet2!A:B,2,0)</f>
        <v>#N/A</v>
      </c>
      <c r="L4191" s="17" t="n">
        <v>5</v>
      </c>
      <c r="M4191" s="17" t="str">
        <f aca="false">VLOOKUP(L4191,Sheet2!D:E,2,0)</f>
        <v>Main Processor CPU BGA</v>
      </c>
      <c r="N4191" s="17" t="n">
        <v>1</v>
      </c>
      <c r="O4191" s="17" t="str">
        <f aca="false">VLOOKUP(N4191,Sheet2!G:H,2,0)</f>
        <v>Dead</v>
      </c>
      <c r="P4191" s="17" t="n">
        <v>11</v>
      </c>
      <c r="Q4191" s="17" t="str">
        <f aca="false">VLOOKUP(P4191,Sheet2!J:K,2,0)</f>
        <v>IR Declared due to CID -TA</v>
      </c>
      <c r="R4191" s="17" t="s">
        <v>35</v>
      </c>
      <c r="S4191" s="17" t="str">
        <f aca="false">VLOOKUP(R4191,Sheet2!N:O,2,0)</f>
        <v>IREPARABLE</v>
      </c>
      <c r="T4191" s="18" t="str">
        <f aca="false">VLOOKUP(P4191,Sheet2!Q:R,2,0)</f>
        <v>IR Normal - Track burn out</v>
      </c>
      <c r="U4191" s="20" t="s">
        <v>41</v>
      </c>
      <c r="V4191" s="17"/>
      <c r="W4191" s="20" t="e">
        <f aca="false">VLOOKUP(V4191,Sheet2!Q:R,2,0)</f>
        <v>#N/A</v>
      </c>
      <c r="X4191" s="17" t="n">
        <f aca="false">J4191</f>
        <v>0</v>
      </c>
      <c r="Y4191" s="17" t="e">
        <f aca="false">VLOOKUP(X4191,Sheet2!A:B,2,0)</f>
        <v>#N/A</v>
      </c>
      <c r="Z4191" s="17"/>
      <c r="AA4191" s="17"/>
      <c r="AC4191" s="23" t="str">
        <f aca="false">LEFT(G4191,2)</f>
        <v/>
      </c>
    </row>
    <row r="4192" customFormat="false" ht="15" hidden="false" customHeight="false" outlineLevel="0" collapsed="false">
      <c r="A4192" s="13" t="n">
        <f aca="false">1+A4191</f>
        <v>4190</v>
      </c>
      <c r="B4192" s="14" t="n">
        <v>100</v>
      </c>
      <c r="C4192" s="15"/>
      <c r="D4192" s="16" t="s">
        <v>64</v>
      </c>
      <c r="E4192" s="17" t="s">
        <v>47</v>
      </c>
      <c r="F4192" s="18" t="s">
        <v>34</v>
      </c>
      <c r="G4192" s="19"/>
      <c r="H4192" s="17" t="s">
        <v>35</v>
      </c>
      <c r="I4192" s="17" t="s">
        <v>44</v>
      </c>
      <c r="J4192" s="17"/>
      <c r="K4192" s="17" t="e">
        <f aca="false">VLOOKUP(J4192,Sheet2!A:B,2,0)</f>
        <v>#N/A</v>
      </c>
      <c r="L4192" s="17" t="n">
        <v>5</v>
      </c>
      <c r="M4192" s="17" t="str">
        <f aca="false">VLOOKUP(L4192,Sheet2!D:E,2,0)</f>
        <v>Main Processor CPU BGA</v>
      </c>
      <c r="N4192" s="17" t="n">
        <v>1</v>
      </c>
      <c r="O4192" s="17" t="str">
        <f aca="false">VLOOKUP(N4192,Sheet2!G:H,2,0)</f>
        <v>Dead</v>
      </c>
      <c r="P4192" s="17" t="n">
        <v>11</v>
      </c>
      <c r="Q4192" s="17" t="str">
        <f aca="false">VLOOKUP(P4192,Sheet2!J:K,2,0)</f>
        <v>IR Declared due to CID -TA</v>
      </c>
      <c r="R4192" s="17" t="s">
        <v>35</v>
      </c>
      <c r="S4192" s="17" t="str">
        <f aca="false">VLOOKUP(R4192,Sheet2!N:O,2,0)</f>
        <v>IREPARABLE</v>
      </c>
      <c r="T4192" s="18" t="str">
        <f aca="false">VLOOKUP(P4192,Sheet2!Q:R,2,0)</f>
        <v>IR Normal - Track burn out</v>
      </c>
      <c r="U4192" s="20" t="s">
        <v>41</v>
      </c>
      <c r="V4192" s="17"/>
      <c r="W4192" s="20" t="e">
        <f aca="false">VLOOKUP(V4192,Sheet2!Q:R,2,0)</f>
        <v>#N/A</v>
      </c>
      <c r="X4192" s="17" t="n">
        <f aca="false">J4192</f>
        <v>0</v>
      </c>
      <c r="Y4192" s="17" t="e">
        <f aca="false">VLOOKUP(X4192,Sheet2!A:B,2,0)</f>
        <v>#N/A</v>
      </c>
      <c r="Z4192" s="17"/>
      <c r="AA4192" s="17"/>
      <c r="AC4192" s="23" t="str">
        <f aca="false">LEFT(G4192,2)</f>
        <v/>
      </c>
    </row>
    <row r="4193" customFormat="false" ht="15" hidden="false" customHeight="false" outlineLevel="0" collapsed="false">
      <c r="A4193" s="13" t="n">
        <f aca="false">1+A4192</f>
        <v>4191</v>
      </c>
      <c r="B4193" s="14" t="n">
        <v>100</v>
      </c>
      <c r="C4193" s="15"/>
      <c r="D4193" s="16" t="s">
        <v>64</v>
      </c>
      <c r="E4193" s="17" t="s">
        <v>47</v>
      </c>
      <c r="F4193" s="18" t="s">
        <v>34</v>
      </c>
      <c r="G4193" s="19"/>
      <c r="H4193" s="17" t="s">
        <v>35</v>
      </c>
      <c r="I4193" s="17" t="s">
        <v>44</v>
      </c>
      <c r="J4193" s="17"/>
      <c r="K4193" s="17" t="e">
        <f aca="false">VLOOKUP(J4193,Sheet2!A:B,2,0)</f>
        <v>#N/A</v>
      </c>
      <c r="L4193" s="17" t="n">
        <v>5</v>
      </c>
      <c r="M4193" s="17" t="str">
        <f aca="false">VLOOKUP(L4193,Sheet2!D:E,2,0)</f>
        <v>Main Processor CPU BGA</v>
      </c>
      <c r="N4193" s="17" t="n">
        <v>1</v>
      </c>
      <c r="O4193" s="17" t="str">
        <f aca="false">VLOOKUP(N4193,Sheet2!G:H,2,0)</f>
        <v>Dead</v>
      </c>
      <c r="P4193" s="17" t="n">
        <v>11</v>
      </c>
      <c r="Q4193" s="17" t="str">
        <f aca="false">VLOOKUP(P4193,Sheet2!J:K,2,0)</f>
        <v>IR Declared due to CID -TA</v>
      </c>
      <c r="R4193" s="17" t="s">
        <v>35</v>
      </c>
      <c r="S4193" s="17" t="str">
        <f aca="false">VLOOKUP(R4193,Sheet2!N:O,2,0)</f>
        <v>IREPARABLE</v>
      </c>
      <c r="T4193" s="18" t="str">
        <f aca="false">VLOOKUP(P4193,Sheet2!Q:R,2,0)</f>
        <v>IR Normal - Track burn out</v>
      </c>
      <c r="U4193" s="20" t="s">
        <v>41</v>
      </c>
      <c r="V4193" s="17"/>
      <c r="W4193" s="20" t="e">
        <f aca="false">VLOOKUP(V4193,Sheet2!Q:R,2,0)</f>
        <v>#N/A</v>
      </c>
      <c r="X4193" s="17" t="n">
        <f aca="false">J4193</f>
        <v>0</v>
      </c>
      <c r="Y4193" s="17" t="e">
        <f aca="false">VLOOKUP(X4193,Sheet2!A:B,2,0)</f>
        <v>#N/A</v>
      </c>
      <c r="Z4193" s="17"/>
      <c r="AA4193" s="17"/>
      <c r="AC4193" s="23" t="str">
        <f aca="false">LEFT(G4193,2)</f>
        <v/>
      </c>
    </row>
    <row r="4194" customFormat="false" ht="15" hidden="false" customHeight="false" outlineLevel="0" collapsed="false">
      <c r="A4194" s="13" t="n">
        <f aca="false">1+A4193</f>
        <v>4192</v>
      </c>
      <c r="B4194" s="14" t="n">
        <v>100</v>
      </c>
      <c r="C4194" s="15"/>
      <c r="D4194" s="16" t="s">
        <v>64</v>
      </c>
      <c r="E4194" s="17" t="s">
        <v>47</v>
      </c>
      <c r="F4194" s="18" t="s">
        <v>34</v>
      </c>
      <c r="G4194" s="19"/>
      <c r="H4194" s="17" t="s">
        <v>35</v>
      </c>
      <c r="I4194" s="17" t="s">
        <v>44</v>
      </c>
      <c r="J4194" s="17"/>
      <c r="K4194" s="17" t="e">
        <f aca="false">VLOOKUP(J4194,Sheet2!A:B,2,0)</f>
        <v>#N/A</v>
      </c>
      <c r="L4194" s="17" t="n">
        <v>5</v>
      </c>
      <c r="M4194" s="17" t="str">
        <f aca="false">VLOOKUP(L4194,Sheet2!D:E,2,0)</f>
        <v>Main Processor CPU BGA</v>
      </c>
      <c r="N4194" s="17" t="n">
        <v>1</v>
      </c>
      <c r="O4194" s="17" t="str">
        <f aca="false">VLOOKUP(N4194,Sheet2!G:H,2,0)</f>
        <v>Dead</v>
      </c>
      <c r="P4194" s="17" t="n">
        <v>11</v>
      </c>
      <c r="Q4194" s="17" t="str">
        <f aca="false">VLOOKUP(P4194,Sheet2!J:K,2,0)</f>
        <v>IR Declared due to CID -TA</v>
      </c>
      <c r="R4194" s="17" t="s">
        <v>35</v>
      </c>
      <c r="S4194" s="17" t="str">
        <f aca="false">VLOOKUP(R4194,Sheet2!N:O,2,0)</f>
        <v>IREPARABLE</v>
      </c>
      <c r="T4194" s="18" t="str">
        <f aca="false">VLOOKUP(P4194,Sheet2!Q:R,2,0)</f>
        <v>IR Normal - Track burn out</v>
      </c>
      <c r="U4194" s="20" t="s">
        <v>41</v>
      </c>
      <c r="V4194" s="17"/>
      <c r="W4194" s="20" t="e">
        <f aca="false">VLOOKUP(V4194,Sheet2!Q:R,2,0)</f>
        <v>#N/A</v>
      </c>
      <c r="X4194" s="17" t="n">
        <f aca="false">J4194</f>
        <v>0</v>
      </c>
      <c r="Y4194" s="17" t="e">
        <f aca="false">VLOOKUP(X4194,Sheet2!A:B,2,0)</f>
        <v>#N/A</v>
      </c>
      <c r="Z4194" s="17"/>
      <c r="AA4194" s="17"/>
      <c r="AC4194" s="23" t="str">
        <f aca="false">LEFT(G4194,2)</f>
        <v/>
      </c>
    </row>
    <row r="4195" customFormat="false" ht="15" hidden="false" customHeight="false" outlineLevel="0" collapsed="false">
      <c r="A4195" s="13" t="n">
        <f aca="false">1+A4194</f>
        <v>4193</v>
      </c>
      <c r="B4195" s="14" t="n">
        <v>100</v>
      </c>
      <c r="C4195" s="15"/>
      <c r="D4195" s="16" t="s">
        <v>64</v>
      </c>
      <c r="E4195" s="17" t="s">
        <v>47</v>
      </c>
      <c r="F4195" s="18" t="s">
        <v>34</v>
      </c>
      <c r="G4195" s="19"/>
      <c r="H4195" s="17" t="s">
        <v>35</v>
      </c>
      <c r="I4195" s="17" t="s">
        <v>44</v>
      </c>
      <c r="J4195" s="17"/>
      <c r="K4195" s="17" t="e">
        <f aca="false">VLOOKUP(J4195,Sheet2!A:B,2,0)</f>
        <v>#N/A</v>
      </c>
      <c r="L4195" s="17" t="n">
        <v>5</v>
      </c>
      <c r="M4195" s="17" t="str">
        <f aca="false">VLOOKUP(L4195,Sheet2!D:E,2,0)</f>
        <v>Main Processor CPU BGA</v>
      </c>
      <c r="N4195" s="17" t="n">
        <v>1</v>
      </c>
      <c r="O4195" s="17" t="str">
        <f aca="false">VLOOKUP(N4195,Sheet2!G:H,2,0)</f>
        <v>Dead</v>
      </c>
      <c r="P4195" s="17" t="n">
        <v>11</v>
      </c>
      <c r="Q4195" s="17" t="str">
        <f aca="false">VLOOKUP(P4195,Sheet2!J:K,2,0)</f>
        <v>IR Declared due to CID -TA</v>
      </c>
      <c r="R4195" s="17" t="s">
        <v>35</v>
      </c>
      <c r="S4195" s="17" t="str">
        <f aca="false">VLOOKUP(R4195,Sheet2!N:O,2,0)</f>
        <v>IREPARABLE</v>
      </c>
      <c r="T4195" s="18" t="str">
        <f aca="false">VLOOKUP(P4195,Sheet2!Q:R,2,0)</f>
        <v>IR Normal - Track burn out</v>
      </c>
      <c r="U4195" s="20" t="s">
        <v>41</v>
      </c>
      <c r="V4195" s="17"/>
      <c r="W4195" s="20" t="e">
        <f aca="false">VLOOKUP(V4195,Sheet2!Q:R,2,0)</f>
        <v>#N/A</v>
      </c>
      <c r="X4195" s="17" t="n">
        <f aca="false">J4195</f>
        <v>0</v>
      </c>
      <c r="Y4195" s="17" t="e">
        <f aca="false">VLOOKUP(X4195,Sheet2!A:B,2,0)</f>
        <v>#N/A</v>
      </c>
      <c r="Z4195" s="17"/>
      <c r="AA4195" s="17"/>
      <c r="AC4195" s="23" t="str">
        <f aca="false">LEFT(G4195,2)</f>
        <v/>
      </c>
    </row>
    <row r="4196" customFormat="false" ht="15" hidden="false" customHeight="false" outlineLevel="0" collapsed="false">
      <c r="A4196" s="13" t="n">
        <f aca="false">1+A4195</f>
        <v>4194</v>
      </c>
      <c r="B4196" s="14" t="n">
        <v>100</v>
      </c>
      <c r="C4196" s="15"/>
      <c r="D4196" s="16" t="s">
        <v>64</v>
      </c>
      <c r="E4196" s="17" t="s">
        <v>47</v>
      </c>
      <c r="F4196" s="18" t="s">
        <v>34</v>
      </c>
      <c r="G4196" s="19"/>
      <c r="H4196" s="17" t="s">
        <v>35</v>
      </c>
      <c r="I4196" s="17" t="s">
        <v>44</v>
      </c>
      <c r="J4196" s="17"/>
      <c r="K4196" s="17" t="e">
        <f aca="false">VLOOKUP(J4196,Sheet2!A:B,2,0)</f>
        <v>#N/A</v>
      </c>
      <c r="L4196" s="17" t="n">
        <v>5</v>
      </c>
      <c r="M4196" s="17" t="str">
        <f aca="false">VLOOKUP(L4196,Sheet2!D:E,2,0)</f>
        <v>Main Processor CPU BGA</v>
      </c>
      <c r="N4196" s="17" t="n">
        <v>1</v>
      </c>
      <c r="O4196" s="17" t="str">
        <f aca="false">VLOOKUP(N4196,Sheet2!G:H,2,0)</f>
        <v>Dead</v>
      </c>
      <c r="P4196" s="17" t="n">
        <v>11</v>
      </c>
      <c r="Q4196" s="17" t="str">
        <f aca="false">VLOOKUP(P4196,Sheet2!J:K,2,0)</f>
        <v>IR Declared due to CID -TA</v>
      </c>
      <c r="R4196" s="17" t="s">
        <v>35</v>
      </c>
      <c r="S4196" s="17" t="str">
        <f aca="false">VLOOKUP(R4196,Sheet2!N:O,2,0)</f>
        <v>IREPARABLE</v>
      </c>
      <c r="T4196" s="18" t="str">
        <f aca="false">VLOOKUP(P4196,Sheet2!Q:R,2,0)</f>
        <v>IR Normal - Track burn out</v>
      </c>
      <c r="U4196" s="20" t="s">
        <v>41</v>
      </c>
      <c r="V4196" s="17"/>
      <c r="W4196" s="20" t="e">
        <f aca="false">VLOOKUP(V4196,Sheet2!Q:R,2,0)</f>
        <v>#N/A</v>
      </c>
      <c r="X4196" s="17" t="n">
        <f aca="false">J4196</f>
        <v>0</v>
      </c>
      <c r="Y4196" s="17" t="e">
        <f aca="false">VLOOKUP(X4196,Sheet2!A:B,2,0)</f>
        <v>#N/A</v>
      </c>
      <c r="Z4196" s="17"/>
      <c r="AA4196" s="17"/>
      <c r="AC4196" s="23" t="str">
        <f aca="false">LEFT(G4196,2)</f>
        <v/>
      </c>
    </row>
    <row r="4197" customFormat="false" ht="15" hidden="false" customHeight="false" outlineLevel="0" collapsed="false">
      <c r="A4197" s="13" t="n">
        <f aca="false">1+A4196</f>
        <v>4195</v>
      </c>
      <c r="B4197" s="14" t="n">
        <v>100</v>
      </c>
      <c r="C4197" s="15"/>
      <c r="D4197" s="16" t="s">
        <v>64</v>
      </c>
      <c r="E4197" s="17" t="s">
        <v>47</v>
      </c>
      <c r="F4197" s="18" t="s">
        <v>34</v>
      </c>
      <c r="G4197" s="19"/>
      <c r="H4197" s="17" t="s">
        <v>35</v>
      </c>
      <c r="I4197" s="17" t="s">
        <v>44</v>
      </c>
      <c r="J4197" s="17"/>
      <c r="K4197" s="17" t="e">
        <f aca="false">VLOOKUP(J4197,Sheet2!A:B,2,0)</f>
        <v>#N/A</v>
      </c>
      <c r="L4197" s="17" t="n">
        <v>5</v>
      </c>
      <c r="M4197" s="17" t="str">
        <f aca="false">VLOOKUP(L4197,Sheet2!D:E,2,0)</f>
        <v>Main Processor CPU BGA</v>
      </c>
      <c r="N4197" s="17" t="n">
        <v>1</v>
      </c>
      <c r="O4197" s="17" t="str">
        <f aca="false">VLOOKUP(N4197,Sheet2!G:H,2,0)</f>
        <v>Dead</v>
      </c>
      <c r="P4197" s="17" t="n">
        <v>11</v>
      </c>
      <c r="Q4197" s="17" t="str">
        <f aca="false">VLOOKUP(P4197,Sheet2!J:K,2,0)</f>
        <v>IR Declared due to CID -TA</v>
      </c>
      <c r="R4197" s="17" t="s">
        <v>35</v>
      </c>
      <c r="S4197" s="17" t="str">
        <f aca="false">VLOOKUP(R4197,Sheet2!N:O,2,0)</f>
        <v>IREPARABLE</v>
      </c>
      <c r="T4197" s="18" t="str">
        <f aca="false">VLOOKUP(P4197,Sheet2!Q:R,2,0)</f>
        <v>IR Normal - Track burn out</v>
      </c>
      <c r="U4197" s="20" t="s">
        <v>41</v>
      </c>
      <c r="V4197" s="17"/>
      <c r="W4197" s="20" t="e">
        <f aca="false">VLOOKUP(V4197,Sheet2!Q:R,2,0)</f>
        <v>#N/A</v>
      </c>
      <c r="X4197" s="17" t="n">
        <f aca="false">J4197</f>
        <v>0</v>
      </c>
      <c r="Y4197" s="17" t="e">
        <f aca="false">VLOOKUP(X4197,Sheet2!A:B,2,0)</f>
        <v>#N/A</v>
      </c>
      <c r="Z4197" s="17"/>
      <c r="AA4197" s="17"/>
      <c r="AC4197" s="23" t="str">
        <f aca="false">LEFT(G4197,2)</f>
        <v/>
      </c>
    </row>
    <row r="4198" customFormat="false" ht="15" hidden="false" customHeight="false" outlineLevel="0" collapsed="false">
      <c r="A4198" s="13" t="n">
        <f aca="false">1+A4197</f>
        <v>4196</v>
      </c>
      <c r="B4198" s="14" t="n">
        <v>100</v>
      </c>
      <c r="C4198" s="15"/>
      <c r="D4198" s="16" t="s">
        <v>64</v>
      </c>
      <c r="E4198" s="17" t="s">
        <v>47</v>
      </c>
      <c r="F4198" s="18" t="s">
        <v>34</v>
      </c>
      <c r="G4198" s="19"/>
      <c r="H4198" s="17" t="s">
        <v>35</v>
      </c>
      <c r="I4198" s="17" t="s">
        <v>44</v>
      </c>
      <c r="J4198" s="17"/>
      <c r="K4198" s="17" t="e">
        <f aca="false">VLOOKUP(J4198,Sheet2!A:B,2,0)</f>
        <v>#N/A</v>
      </c>
      <c r="L4198" s="17" t="n">
        <v>5</v>
      </c>
      <c r="M4198" s="17" t="str">
        <f aca="false">VLOOKUP(L4198,Sheet2!D:E,2,0)</f>
        <v>Main Processor CPU BGA</v>
      </c>
      <c r="N4198" s="17" t="n">
        <v>1</v>
      </c>
      <c r="O4198" s="17" t="str">
        <f aca="false">VLOOKUP(N4198,Sheet2!G:H,2,0)</f>
        <v>Dead</v>
      </c>
      <c r="P4198" s="17" t="n">
        <v>11</v>
      </c>
      <c r="Q4198" s="17" t="str">
        <f aca="false">VLOOKUP(P4198,Sheet2!J:K,2,0)</f>
        <v>IR Declared due to CID -TA</v>
      </c>
      <c r="R4198" s="17" t="s">
        <v>35</v>
      </c>
      <c r="S4198" s="17" t="str">
        <f aca="false">VLOOKUP(R4198,Sheet2!N:O,2,0)</f>
        <v>IREPARABLE</v>
      </c>
      <c r="T4198" s="18" t="str">
        <f aca="false">VLOOKUP(P4198,Sheet2!Q:R,2,0)</f>
        <v>IR Normal - Track burn out</v>
      </c>
      <c r="U4198" s="20" t="s">
        <v>41</v>
      </c>
      <c r="V4198" s="17"/>
      <c r="W4198" s="20" t="e">
        <f aca="false">VLOOKUP(V4198,Sheet2!Q:R,2,0)</f>
        <v>#N/A</v>
      </c>
      <c r="X4198" s="17" t="n">
        <f aca="false">J4198</f>
        <v>0</v>
      </c>
      <c r="Y4198" s="17" t="e">
        <f aca="false">VLOOKUP(X4198,Sheet2!A:B,2,0)</f>
        <v>#N/A</v>
      </c>
      <c r="Z4198" s="17"/>
      <c r="AA4198" s="17"/>
      <c r="AC4198" s="23" t="str">
        <f aca="false">LEFT(G4198,2)</f>
        <v/>
      </c>
    </row>
    <row r="4199" customFormat="false" ht="15" hidden="false" customHeight="false" outlineLevel="0" collapsed="false">
      <c r="A4199" s="13" t="n">
        <f aca="false">1+A4198</f>
        <v>4197</v>
      </c>
      <c r="B4199" s="14" t="n">
        <v>100</v>
      </c>
      <c r="C4199" s="15"/>
      <c r="D4199" s="16" t="s">
        <v>64</v>
      </c>
      <c r="E4199" s="17" t="s">
        <v>47</v>
      </c>
      <c r="F4199" s="18" t="s">
        <v>34</v>
      </c>
      <c r="G4199" s="19"/>
      <c r="H4199" s="17" t="s">
        <v>35</v>
      </c>
      <c r="I4199" s="17" t="s">
        <v>44</v>
      </c>
      <c r="J4199" s="17"/>
      <c r="K4199" s="17" t="e">
        <f aca="false">VLOOKUP(J4199,Sheet2!A:B,2,0)</f>
        <v>#N/A</v>
      </c>
      <c r="L4199" s="17" t="n">
        <v>5</v>
      </c>
      <c r="M4199" s="17" t="str">
        <f aca="false">VLOOKUP(L4199,Sheet2!D:E,2,0)</f>
        <v>Main Processor CPU BGA</v>
      </c>
      <c r="N4199" s="17" t="n">
        <v>1</v>
      </c>
      <c r="O4199" s="17" t="str">
        <f aca="false">VLOOKUP(N4199,Sheet2!G:H,2,0)</f>
        <v>Dead</v>
      </c>
      <c r="P4199" s="17" t="n">
        <v>11</v>
      </c>
      <c r="Q4199" s="17" t="str">
        <f aca="false">VLOOKUP(P4199,Sheet2!J:K,2,0)</f>
        <v>IR Declared due to CID -TA</v>
      </c>
      <c r="R4199" s="17" t="s">
        <v>35</v>
      </c>
      <c r="S4199" s="17" t="str">
        <f aca="false">VLOOKUP(R4199,Sheet2!N:O,2,0)</f>
        <v>IREPARABLE</v>
      </c>
      <c r="T4199" s="18" t="str">
        <f aca="false">VLOOKUP(P4199,Sheet2!Q:R,2,0)</f>
        <v>IR Normal - Track burn out</v>
      </c>
      <c r="U4199" s="20" t="s">
        <v>41</v>
      </c>
      <c r="V4199" s="17"/>
      <c r="W4199" s="20" t="e">
        <f aca="false">VLOOKUP(V4199,Sheet2!Q:R,2,0)</f>
        <v>#N/A</v>
      </c>
      <c r="X4199" s="17" t="n">
        <f aca="false">J4199</f>
        <v>0</v>
      </c>
      <c r="Y4199" s="17" t="e">
        <f aca="false">VLOOKUP(X4199,Sheet2!A:B,2,0)</f>
        <v>#N/A</v>
      </c>
      <c r="Z4199" s="17"/>
      <c r="AA4199" s="17"/>
      <c r="AC4199" s="23" t="str">
        <f aca="false">LEFT(G4199,2)</f>
        <v/>
      </c>
    </row>
    <row r="4200" customFormat="false" ht="15" hidden="false" customHeight="false" outlineLevel="0" collapsed="false">
      <c r="A4200" s="13" t="n">
        <f aca="false">1+A4199</f>
        <v>4198</v>
      </c>
      <c r="B4200" s="14" t="n">
        <v>100</v>
      </c>
      <c r="C4200" s="15"/>
      <c r="D4200" s="16" t="s">
        <v>64</v>
      </c>
      <c r="E4200" s="17" t="s">
        <v>47</v>
      </c>
      <c r="F4200" s="18" t="s">
        <v>34</v>
      </c>
      <c r="G4200" s="19"/>
      <c r="H4200" s="17" t="s">
        <v>35</v>
      </c>
      <c r="I4200" s="17" t="s">
        <v>44</v>
      </c>
      <c r="J4200" s="17"/>
      <c r="K4200" s="17" t="e">
        <f aca="false">VLOOKUP(J4200,Sheet2!A:B,2,0)</f>
        <v>#N/A</v>
      </c>
      <c r="L4200" s="17" t="n">
        <v>5</v>
      </c>
      <c r="M4200" s="17" t="str">
        <f aca="false">VLOOKUP(L4200,Sheet2!D:E,2,0)</f>
        <v>Main Processor CPU BGA</v>
      </c>
      <c r="N4200" s="17" t="n">
        <v>1</v>
      </c>
      <c r="O4200" s="17" t="str">
        <f aca="false">VLOOKUP(N4200,Sheet2!G:H,2,0)</f>
        <v>Dead</v>
      </c>
      <c r="P4200" s="17" t="n">
        <v>11</v>
      </c>
      <c r="Q4200" s="17" t="str">
        <f aca="false">VLOOKUP(P4200,Sheet2!J:K,2,0)</f>
        <v>IR Declared due to CID -TA</v>
      </c>
      <c r="R4200" s="17" t="s">
        <v>35</v>
      </c>
      <c r="S4200" s="17" t="str">
        <f aca="false">VLOOKUP(R4200,Sheet2!N:O,2,0)</f>
        <v>IREPARABLE</v>
      </c>
      <c r="T4200" s="18" t="str">
        <f aca="false">VLOOKUP(P4200,Sheet2!Q:R,2,0)</f>
        <v>IR Normal - Track burn out</v>
      </c>
      <c r="U4200" s="20" t="s">
        <v>41</v>
      </c>
      <c r="V4200" s="17"/>
      <c r="W4200" s="20" t="e">
        <f aca="false">VLOOKUP(V4200,Sheet2!Q:R,2,0)</f>
        <v>#N/A</v>
      </c>
      <c r="X4200" s="17" t="n">
        <f aca="false">J4200</f>
        <v>0</v>
      </c>
      <c r="Y4200" s="17" t="e">
        <f aca="false">VLOOKUP(X4200,Sheet2!A:B,2,0)</f>
        <v>#N/A</v>
      </c>
      <c r="Z4200" s="17"/>
      <c r="AA4200" s="17"/>
      <c r="AC4200" s="23" t="str">
        <f aca="false">LEFT(G4200,2)</f>
        <v/>
      </c>
    </row>
    <row r="4201" customFormat="false" ht="15" hidden="false" customHeight="false" outlineLevel="0" collapsed="false">
      <c r="A4201" s="13" t="n">
        <f aca="false">1+A4200</f>
        <v>4199</v>
      </c>
      <c r="B4201" s="14" t="n">
        <v>100</v>
      </c>
      <c r="C4201" s="15"/>
      <c r="D4201" s="16" t="s">
        <v>64</v>
      </c>
      <c r="E4201" s="17" t="s">
        <v>47</v>
      </c>
      <c r="F4201" s="18" t="s">
        <v>34</v>
      </c>
      <c r="G4201" s="19"/>
      <c r="H4201" s="17" t="s">
        <v>35</v>
      </c>
      <c r="I4201" s="17" t="s">
        <v>44</v>
      </c>
      <c r="J4201" s="17"/>
      <c r="K4201" s="17" t="e">
        <f aca="false">VLOOKUP(J4201,Sheet2!A:B,2,0)</f>
        <v>#N/A</v>
      </c>
      <c r="L4201" s="17" t="n">
        <v>5</v>
      </c>
      <c r="M4201" s="17" t="str">
        <f aca="false">VLOOKUP(L4201,Sheet2!D:E,2,0)</f>
        <v>Main Processor CPU BGA</v>
      </c>
      <c r="N4201" s="17" t="n">
        <v>1</v>
      </c>
      <c r="O4201" s="17" t="str">
        <f aca="false">VLOOKUP(N4201,Sheet2!G:H,2,0)</f>
        <v>Dead</v>
      </c>
      <c r="P4201" s="17" t="n">
        <v>11</v>
      </c>
      <c r="Q4201" s="17" t="str">
        <f aca="false">VLOOKUP(P4201,Sheet2!J:K,2,0)</f>
        <v>IR Declared due to CID -TA</v>
      </c>
      <c r="R4201" s="17" t="s">
        <v>35</v>
      </c>
      <c r="S4201" s="17" t="str">
        <f aca="false">VLOOKUP(R4201,Sheet2!N:O,2,0)</f>
        <v>IREPARABLE</v>
      </c>
      <c r="T4201" s="18" t="str">
        <f aca="false">VLOOKUP(P4201,Sheet2!Q:R,2,0)</f>
        <v>IR Normal - Track burn out</v>
      </c>
      <c r="U4201" s="20" t="s">
        <v>41</v>
      </c>
      <c r="V4201" s="17"/>
      <c r="W4201" s="20" t="e">
        <f aca="false">VLOOKUP(V4201,Sheet2!Q:R,2,0)</f>
        <v>#N/A</v>
      </c>
      <c r="X4201" s="17" t="n">
        <f aca="false">J4201</f>
        <v>0</v>
      </c>
      <c r="Y4201" s="17" t="e">
        <f aca="false">VLOOKUP(X4201,Sheet2!A:B,2,0)</f>
        <v>#N/A</v>
      </c>
      <c r="Z4201" s="17"/>
      <c r="AA4201" s="17"/>
      <c r="AC4201" s="23" t="str">
        <f aca="false">LEFT(G4201,2)</f>
        <v/>
      </c>
    </row>
    <row r="4202" customFormat="false" ht="15" hidden="false" customHeight="false" outlineLevel="0" collapsed="false">
      <c r="A4202" s="13" t="n">
        <f aca="false">1+A4201</f>
        <v>4200</v>
      </c>
      <c r="B4202" s="14" t="n">
        <v>100</v>
      </c>
      <c r="C4202" s="15"/>
      <c r="D4202" s="16" t="s">
        <v>64</v>
      </c>
      <c r="E4202" s="17" t="s">
        <v>47</v>
      </c>
      <c r="F4202" s="18" t="s">
        <v>34</v>
      </c>
      <c r="G4202" s="19"/>
      <c r="H4202" s="17" t="s">
        <v>35</v>
      </c>
      <c r="I4202" s="17" t="s">
        <v>44</v>
      </c>
      <c r="J4202" s="17"/>
      <c r="K4202" s="17" t="e">
        <f aca="false">VLOOKUP(J4202,Sheet2!A:B,2,0)</f>
        <v>#N/A</v>
      </c>
      <c r="L4202" s="17" t="n">
        <v>5</v>
      </c>
      <c r="M4202" s="17" t="str">
        <f aca="false">VLOOKUP(L4202,Sheet2!D:E,2,0)</f>
        <v>Main Processor CPU BGA</v>
      </c>
      <c r="N4202" s="17" t="n">
        <v>1</v>
      </c>
      <c r="O4202" s="17" t="str">
        <f aca="false">VLOOKUP(N4202,Sheet2!G:H,2,0)</f>
        <v>Dead</v>
      </c>
      <c r="P4202" s="17" t="n">
        <v>11</v>
      </c>
      <c r="Q4202" s="17" t="str">
        <f aca="false">VLOOKUP(P4202,Sheet2!J:K,2,0)</f>
        <v>IR Declared due to CID -TA</v>
      </c>
      <c r="R4202" s="17" t="s">
        <v>35</v>
      </c>
      <c r="S4202" s="17" t="str">
        <f aca="false">VLOOKUP(R4202,Sheet2!N:O,2,0)</f>
        <v>IREPARABLE</v>
      </c>
      <c r="T4202" s="18" t="str">
        <f aca="false">VLOOKUP(P4202,Sheet2!Q:R,2,0)</f>
        <v>IR Normal - Track burn out</v>
      </c>
      <c r="U4202" s="20" t="s">
        <v>41</v>
      </c>
      <c r="V4202" s="17"/>
      <c r="W4202" s="20" t="e">
        <f aca="false">VLOOKUP(V4202,Sheet2!Q:R,2,0)</f>
        <v>#N/A</v>
      </c>
      <c r="X4202" s="17" t="n">
        <f aca="false">J4202</f>
        <v>0</v>
      </c>
      <c r="Y4202" s="17" t="e">
        <f aca="false">VLOOKUP(X4202,Sheet2!A:B,2,0)</f>
        <v>#N/A</v>
      </c>
      <c r="Z4202" s="17"/>
      <c r="AA4202" s="17"/>
      <c r="AC4202" s="23" t="str">
        <f aca="false">LEFT(G4202,2)</f>
        <v/>
      </c>
    </row>
    <row r="4203" customFormat="false" ht="15" hidden="false" customHeight="false" outlineLevel="0" collapsed="false">
      <c r="A4203" s="13" t="n">
        <f aca="false">1+A4202</f>
        <v>4201</v>
      </c>
      <c r="B4203" s="14" t="n">
        <v>100</v>
      </c>
      <c r="C4203" s="15"/>
      <c r="D4203" s="16" t="s">
        <v>64</v>
      </c>
      <c r="E4203" s="17" t="s">
        <v>47</v>
      </c>
      <c r="F4203" s="18" t="s">
        <v>34</v>
      </c>
      <c r="G4203" s="19"/>
      <c r="H4203" s="17" t="s">
        <v>35</v>
      </c>
      <c r="I4203" s="17" t="s">
        <v>44</v>
      </c>
      <c r="J4203" s="17"/>
      <c r="K4203" s="17" t="e">
        <f aca="false">VLOOKUP(J4203,Sheet2!A:B,2,0)</f>
        <v>#N/A</v>
      </c>
      <c r="L4203" s="17" t="n">
        <v>5</v>
      </c>
      <c r="M4203" s="17" t="str">
        <f aca="false">VLOOKUP(L4203,Sheet2!D:E,2,0)</f>
        <v>Main Processor CPU BGA</v>
      </c>
      <c r="N4203" s="17" t="n">
        <v>1</v>
      </c>
      <c r="O4203" s="17" t="str">
        <f aca="false">VLOOKUP(N4203,Sheet2!G:H,2,0)</f>
        <v>Dead</v>
      </c>
      <c r="P4203" s="17" t="n">
        <v>11</v>
      </c>
      <c r="Q4203" s="17" t="str">
        <f aca="false">VLOOKUP(P4203,Sheet2!J:K,2,0)</f>
        <v>IR Declared due to CID -TA</v>
      </c>
      <c r="R4203" s="17" t="s">
        <v>35</v>
      </c>
      <c r="S4203" s="17" t="str">
        <f aca="false">VLOOKUP(R4203,Sheet2!N:O,2,0)</f>
        <v>IREPARABLE</v>
      </c>
      <c r="T4203" s="18" t="str">
        <f aca="false">VLOOKUP(P4203,Sheet2!Q:R,2,0)</f>
        <v>IR Normal - Track burn out</v>
      </c>
      <c r="U4203" s="20" t="s">
        <v>41</v>
      </c>
      <c r="V4203" s="17"/>
      <c r="W4203" s="20" t="e">
        <f aca="false">VLOOKUP(V4203,Sheet2!Q:R,2,0)</f>
        <v>#N/A</v>
      </c>
      <c r="X4203" s="17" t="n">
        <f aca="false">J4203</f>
        <v>0</v>
      </c>
      <c r="Y4203" s="17" t="e">
        <f aca="false">VLOOKUP(X4203,Sheet2!A:B,2,0)</f>
        <v>#N/A</v>
      </c>
      <c r="Z4203" s="17"/>
      <c r="AA4203" s="17"/>
      <c r="AC4203" s="23" t="str">
        <f aca="false">LEFT(G4203,2)</f>
        <v/>
      </c>
    </row>
    <row r="4204" customFormat="false" ht="15" hidden="false" customHeight="false" outlineLevel="0" collapsed="false">
      <c r="A4204" s="13" t="n">
        <f aca="false">1+A4203</f>
        <v>4202</v>
      </c>
      <c r="B4204" s="14" t="n">
        <v>100</v>
      </c>
      <c r="C4204" s="15"/>
      <c r="D4204" s="16" t="s">
        <v>64</v>
      </c>
      <c r="E4204" s="17" t="s">
        <v>47</v>
      </c>
      <c r="F4204" s="18" t="s">
        <v>34</v>
      </c>
      <c r="G4204" s="19"/>
      <c r="H4204" s="17" t="s">
        <v>35</v>
      </c>
      <c r="I4204" s="17" t="s">
        <v>44</v>
      </c>
      <c r="J4204" s="17"/>
      <c r="K4204" s="17" t="e">
        <f aca="false">VLOOKUP(J4204,Sheet2!A:B,2,0)</f>
        <v>#N/A</v>
      </c>
      <c r="L4204" s="17" t="n">
        <v>5</v>
      </c>
      <c r="M4204" s="17" t="str">
        <f aca="false">VLOOKUP(L4204,Sheet2!D:E,2,0)</f>
        <v>Main Processor CPU BGA</v>
      </c>
      <c r="N4204" s="17" t="n">
        <v>1</v>
      </c>
      <c r="O4204" s="17" t="str">
        <f aca="false">VLOOKUP(N4204,Sheet2!G:H,2,0)</f>
        <v>Dead</v>
      </c>
      <c r="P4204" s="17" t="n">
        <v>11</v>
      </c>
      <c r="Q4204" s="17" t="str">
        <f aca="false">VLOOKUP(P4204,Sheet2!J:K,2,0)</f>
        <v>IR Declared due to CID -TA</v>
      </c>
      <c r="R4204" s="17" t="s">
        <v>35</v>
      </c>
      <c r="S4204" s="17" t="str">
        <f aca="false">VLOOKUP(R4204,Sheet2!N:O,2,0)</f>
        <v>IREPARABLE</v>
      </c>
      <c r="T4204" s="18" t="str">
        <f aca="false">VLOOKUP(P4204,Sheet2!Q:R,2,0)</f>
        <v>IR Normal - Track burn out</v>
      </c>
      <c r="U4204" s="20" t="s">
        <v>41</v>
      </c>
      <c r="V4204" s="17"/>
      <c r="W4204" s="20" t="e">
        <f aca="false">VLOOKUP(V4204,Sheet2!Q:R,2,0)</f>
        <v>#N/A</v>
      </c>
      <c r="X4204" s="17" t="n">
        <f aca="false">J4204</f>
        <v>0</v>
      </c>
      <c r="Y4204" s="17" t="e">
        <f aca="false">VLOOKUP(X4204,Sheet2!A:B,2,0)</f>
        <v>#N/A</v>
      </c>
      <c r="Z4204" s="17"/>
      <c r="AA4204" s="17"/>
      <c r="AC4204" s="23" t="str">
        <f aca="false">LEFT(G4204,2)</f>
        <v/>
      </c>
    </row>
    <row r="4205" customFormat="false" ht="15" hidden="false" customHeight="false" outlineLevel="0" collapsed="false">
      <c r="A4205" s="13" t="n">
        <f aca="false">1+A4204</f>
        <v>4203</v>
      </c>
      <c r="B4205" s="14" t="n">
        <v>100</v>
      </c>
      <c r="C4205" s="15"/>
      <c r="D4205" s="16" t="s">
        <v>64</v>
      </c>
      <c r="E4205" s="17" t="s">
        <v>47</v>
      </c>
      <c r="F4205" s="18" t="s">
        <v>34</v>
      </c>
      <c r="G4205" s="19"/>
      <c r="H4205" s="17" t="s">
        <v>35</v>
      </c>
      <c r="I4205" s="17" t="s">
        <v>44</v>
      </c>
      <c r="J4205" s="17"/>
      <c r="K4205" s="17" t="e">
        <f aca="false">VLOOKUP(J4205,Sheet2!A:B,2,0)</f>
        <v>#N/A</v>
      </c>
      <c r="L4205" s="17" t="n">
        <v>5</v>
      </c>
      <c r="M4205" s="17" t="str">
        <f aca="false">VLOOKUP(L4205,Sheet2!D:E,2,0)</f>
        <v>Main Processor CPU BGA</v>
      </c>
      <c r="N4205" s="17" t="n">
        <v>1</v>
      </c>
      <c r="O4205" s="17" t="str">
        <f aca="false">VLOOKUP(N4205,Sheet2!G:H,2,0)</f>
        <v>Dead</v>
      </c>
      <c r="P4205" s="17" t="n">
        <v>11</v>
      </c>
      <c r="Q4205" s="17" t="str">
        <f aca="false">VLOOKUP(P4205,Sheet2!J:K,2,0)</f>
        <v>IR Declared due to CID -TA</v>
      </c>
      <c r="R4205" s="17" t="s">
        <v>35</v>
      </c>
      <c r="S4205" s="17" t="str">
        <f aca="false">VLOOKUP(R4205,Sheet2!N:O,2,0)</f>
        <v>IREPARABLE</v>
      </c>
      <c r="T4205" s="18" t="str">
        <f aca="false">VLOOKUP(P4205,Sheet2!Q:R,2,0)</f>
        <v>IR Normal - Track burn out</v>
      </c>
      <c r="U4205" s="20" t="s">
        <v>41</v>
      </c>
      <c r="V4205" s="17"/>
      <c r="W4205" s="20" t="e">
        <f aca="false">VLOOKUP(V4205,Sheet2!Q:R,2,0)</f>
        <v>#N/A</v>
      </c>
      <c r="X4205" s="17" t="n">
        <f aca="false">J4205</f>
        <v>0</v>
      </c>
      <c r="Y4205" s="17" t="e">
        <f aca="false">VLOOKUP(X4205,Sheet2!A:B,2,0)</f>
        <v>#N/A</v>
      </c>
      <c r="Z4205" s="17"/>
      <c r="AA4205" s="17"/>
      <c r="AC4205" s="23" t="str">
        <f aca="false">LEFT(G4205,2)</f>
        <v/>
      </c>
    </row>
    <row r="4206" customFormat="false" ht="15" hidden="false" customHeight="false" outlineLevel="0" collapsed="false">
      <c r="A4206" s="13" t="n">
        <f aca="false">1+A4205</f>
        <v>4204</v>
      </c>
      <c r="B4206" s="14" t="n">
        <v>100</v>
      </c>
      <c r="C4206" s="15"/>
      <c r="D4206" s="16" t="s">
        <v>64</v>
      </c>
      <c r="E4206" s="17" t="s">
        <v>47</v>
      </c>
      <c r="F4206" s="18" t="s">
        <v>34</v>
      </c>
      <c r="G4206" s="19"/>
      <c r="H4206" s="17" t="s">
        <v>35</v>
      </c>
      <c r="I4206" s="17" t="s">
        <v>44</v>
      </c>
      <c r="J4206" s="17"/>
      <c r="K4206" s="17" t="e">
        <f aca="false">VLOOKUP(J4206,Sheet2!A:B,2,0)</f>
        <v>#N/A</v>
      </c>
      <c r="L4206" s="17" t="n">
        <v>5</v>
      </c>
      <c r="M4206" s="17" t="str">
        <f aca="false">VLOOKUP(L4206,Sheet2!D:E,2,0)</f>
        <v>Main Processor CPU BGA</v>
      </c>
      <c r="N4206" s="17" t="n">
        <v>1</v>
      </c>
      <c r="O4206" s="17" t="str">
        <f aca="false">VLOOKUP(N4206,Sheet2!G:H,2,0)</f>
        <v>Dead</v>
      </c>
      <c r="P4206" s="17" t="n">
        <v>11</v>
      </c>
      <c r="Q4206" s="17" t="str">
        <f aca="false">VLOOKUP(P4206,Sheet2!J:K,2,0)</f>
        <v>IR Declared due to CID -TA</v>
      </c>
      <c r="R4206" s="17" t="s">
        <v>35</v>
      </c>
      <c r="S4206" s="17" t="str">
        <f aca="false">VLOOKUP(R4206,Sheet2!N:O,2,0)</f>
        <v>IREPARABLE</v>
      </c>
      <c r="T4206" s="18" t="str">
        <f aca="false">VLOOKUP(P4206,Sheet2!Q:R,2,0)</f>
        <v>IR Normal - Track burn out</v>
      </c>
      <c r="U4206" s="20" t="s">
        <v>41</v>
      </c>
      <c r="V4206" s="17"/>
      <c r="W4206" s="20" t="e">
        <f aca="false">VLOOKUP(V4206,Sheet2!Q:R,2,0)</f>
        <v>#N/A</v>
      </c>
      <c r="X4206" s="17" t="n">
        <f aca="false">J4206</f>
        <v>0</v>
      </c>
      <c r="Y4206" s="17" t="e">
        <f aca="false">VLOOKUP(X4206,Sheet2!A:B,2,0)</f>
        <v>#N/A</v>
      </c>
      <c r="Z4206" s="17"/>
      <c r="AA4206" s="17"/>
      <c r="AC4206" s="23" t="str">
        <f aca="false">LEFT(G4206,2)</f>
        <v/>
      </c>
    </row>
    <row r="4207" customFormat="false" ht="15" hidden="false" customHeight="false" outlineLevel="0" collapsed="false">
      <c r="A4207" s="13" t="n">
        <f aca="false">1+A4206</f>
        <v>4205</v>
      </c>
      <c r="B4207" s="14" t="n">
        <v>100</v>
      </c>
      <c r="C4207" s="15"/>
      <c r="D4207" s="16" t="s">
        <v>64</v>
      </c>
      <c r="E4207" s="17" t="s">
        <v>47</v>
      </c>
      <c r="F4207" s="18" t="s">
        <v>34</v>
      </c>
      <c r="G4207" s="19"/>
      <c r="H4207" s="17" t="s">
        <v>35</v>
      </c>
      <c r="I4207" s="17" t="s">
        <v>44</v>
      </c>
      <c r="J4207" s="17"/>
      <c r="K4207" s="17" t="e">
        <f aca="false">VLOOKUP(J4207,Sheet2!A:B,2,0)</f>
        <v>#N/A</v>
      </c>
      <c r="L4207" s="17" t="n">
        <v>5</v>
      </c>
      <c r="M4207" s="17" t="str">
        <f aca="false">VLOOKUP(L4207,Sheet2!D:E,2,0)</f>
        <v>Main Processor CPU BGA</v>
      </c>
      <c r="N4207" s="17" t="n">
        <v>1</v>
      </c>
      <c r="O4207" s="17" t="str">
        <f aca="false">VLOOKUP(N4207,Sheet2!G:H,2,0)</f>
        <v>Dead</v>
      </c>
      <c r="P4207" s="17" t="n">
        <v>11</v>
      </c>
      <c r="Q4207" s="17" t="str">
        <f aca="false">VLOOKUP(P4207,Sheet2!J:K,2,0)</f>
        <v>IR Declared due to CID -TA</v>
      </c>
      <c r="R4207" s="17" t="s">
        <v>35</v>
      </c>
      <c r="S4207" s="17" t="str">
        <f aca="false">VLOOKUP(R4207,Sheet2!N:O,2,0)</f>
        <v>IREPARABLE</v>
      </c>
      <c r="T4207" s="18" t="str">
        <f aca="false">VLOOKUP(P4207,Sheet2!Q:R,2,0)</f>
        <v>IR Normal - Track burn out</v>
      </c>
      <c r="U4207" s="20" t="s">
        <v>41</v>
      </c>
      <c r="V4207" s="17"/>
      <c r="W4207" s="20" t="e">
        <f aca="false">VLOOKUP(V4207,Sheet2!Q:R,2,0)</f>
        <v>#N/A</v>
      </c>
      <c r="X4207" s="17" t="n">
        <f aca="false">J4207</f>
        <v>0</v>
      </c>
      <c r="Y4207" s="17" t="e">
        <f aca="false">VLOOKUP(X4207,Sheet2!A:B,2,0)</f>
        <v>#N/A</v>
      </c>
      <c r="Z4207" s="17"/>
      <c r="AA4207" s="17"/>
      <c r="AC4207" s="23" t="str">
        <f aca="false">LEFT(G4207,2)</f>
        <v/>
      </c>
    </row>
    <row r="4208" customFormat="false" ht="15" hidden="false" customHeight="false" outlineLevel="0" collapsed="false">
      <c r="A4208" s="13" t="n">
        <f aca="false">1+A4207</f>
        <v>4206</v>
      </c>
      <c r="B4208" s="14" t="n">
        <v>100</v>
      </c>
      <c r="C4208" s="15"/>
      <c r="D4208" s="16" t="s">
        <v>64</v>
      </c>
      <c r="E4208" s="17" t="s">
        <v>47</v>
      </c>
      <c r="F4208" s="18" t="s">
        <v>34</v>
      </c>
      <c r="G4208" s="19"/>
      <c r="H4208" s="17" t="s">
        <v>35</v>
      </c>
      <c r="I4208" s="17" t="s">
        <v>44</v>
      </c>
      <c r="J4208" s="17"/>
      <c r="K4208" s="17" t="e">
        <f aca="false">VLOOKUP(J4208,Sheet2!A:B,2,0)</f>
        <v>#N/A</v>
      </c>
      <c r="L4208" s="17" t="n">
        <v>5</v>
      </c>
      <c r="M4208" s="17" t="str">
        <f aca="false">VLOOKUP(L4208,Sheet2!D:E,2,0)</f>
        <v>Main Processor CPU BGA</v>
      </c>
      <c r="N4208" s="17" t="n">
        <v>1</v>
      </c>
      <c r="O4208" s="17" t="str">
        <f aca="false">VLOOKUP(N4208,Sheet2!G:H,2,0)</f>
        <v>Dead</v>
      </c>
      <c r="P4208" s="17" t="n">
        <v>11</v>
      </c>
      <c r="Q4208" s="17" t="str">
        <f aca="false">VLOOKUP(P4208,Sheet2!J:K,2,0)</f>
        <v>IR Declared due to CID -TA</v>
      </c>
      <c r="R4208" s="17" t="s">
        <v>35</v>
      </c>
      <c r="S4208" s="17" t="str">
        <f aca="false">VLOOKUP(R4208,Sheet2!N:O,2,0)</f>
        <v>IREPARABLE</v>
      </c>
      <c r="T4208" s="18" t="str">
        <f aca="false">VLOOKUP(P4208,Sheet2!Q:R,2,0)</f>
        <v>IR Normal - Track burn out</v>
      </c>
      <c r="U4208" s="20" t="s">
        <v>41</v>
      </c>
      <c r="V4208" s="17"/>
      <c r="W4208" s="20" t="e">
        <f aca="false">VLOOKUP(V4208,Sheet2!Q:R,2,0)</f>
        <v>#N/A</v>
      </c>
      <c r="X4208" s="17" t="n">
        <f aca="false">J4208</f>
        <v>0</v>
      </c>
      <c r="Y4208" s="17" t="e">
        <f aca="false">VLOOKUP(X4208,Sheet2!A:B,2,0)</f>
        <v>#N/A</v>
      </c>
      <c r="Z4208" s="17"/>
      <c r="AA4208" s="17"/>
      <c r="AC4208" s="23" t="str">
        <f aca="false">LEFT(G4208,2)</f>
        <v/>
      </c>
    </row>
    <row r="4209" customFormat="false" ht="15" hidden="false" customHeight="false" outlineLevel="0" collapsed="false">
      <c r="A4209" s="13" t="n">
        <f aca="false">1+A4208</f>
        <v>4207</v>
      </c>
      <c r="B4209" s="14" t="n">
        <v>100</v>
      </c>
      <c r="C4209" s="15"/>
      <c r="D4209" s="16" t="s">
        <v>64</v>
      </c>
      <c r="E4209" s="17" t="s">
        <v>47</v>
      </c>
      <c r="F4209" s="18" t="s">
        <v>34</v>
      </c>
      <c r="G4209" s="19"/>
      <c r="H4209" s="17" t="s">
        <v>35</v>
      </c>
      <c r="I4209" s="17" t="s">
        <v>44</v>
      </c>
      <c r="J4209" s="17"/>
      <c r="K4209" s="17" t="e">
        <f aca="false">VLOOKUP(J4209,Sheet2!A:B,2,0)</f>
        <v>#N/A</v>
      </c>
      <c r="L4209" s="17" t="n">
        <v>5</v>
      </c>
      <c r="M4209" s="17" t="str">
        <f aca="false">VLOOKUP(L4209,Sheet2!D:E,2,0)</f>
        <v>Main Processor CPU BGA</v>
      </c>
      <c r="N4209" s="17" t="n">
        <v>1</v>
      </c>
      <c r="O4209" s="17" t="str">
        <f aca="false">VLOOKUP(N4209,Sheet2!G:H,2,0)</f>
        <v>Dead</v>
      </c>
      <c r="P4209" s="17" t="n">
        <v>11</v>
      </c>
      <c r="Q4209" s="17" t="str">
        <f aca="false">VLOOKUP(P4209,Sheet2!J:K,2,0)</f>
        <v>IR Declared due to CID -TA</v>
      </c>
      <c r="R4209" s="17" t="s">
        <v>35</v>
      </c>
      <c r="S4209" s="17" t="str">
        <f aca="false">VLOOKUP(R4209,Sheet2!N:O,2,0)</f>
        <v>IREPARABLE</v>
      </c>
      <c r="T4209" s="18" t="str">
        <f aca="false">VLOOKUP(P4209,Sheet2!Q:R,2,0)</f>
        <v>IR Normal - Track burn out</v>
      </c>
      <c r="U4209" s="20" t="s">
        <v>41</v>
      </c>
      <c r="V4209" s="17"/>
      <c r="W4209" s="20" t="e">
        <f aca="false">VLOOKUP(V4209,Sheet2!Q:R,2,0)</f>
        <v>#N/A</v>
      </c>
      <c r="X4209" s="17" t="n">
        <f aca="false">J4209</f>
        <v>0</v>
      </c>
      <c r="Y4209" s="17" t="e">
        <f aca="false">VLOOKUP(X4209,Sheet2!A:B,2,0)</f>
        <v>#N/A</v>
      </c>
      <c r="Z4209" s="17"/>
      <c r="AA4209" s="17"/>
      <c r="AC4209" s="23" t="str">
        <f aca="false">LEFT(G4209,2)</f>
        <v/>
      </c>
    </row>
    <row r="4210" customFormat="false" ht="15" hidden="false" customHeight="false" outlineLevel="0" collapsed="false">
      <c r="A4210" s="13" t="n">
        <f aca="false">1+A4209</f>
        <v>4208</v>
      </c>
      <c r="B4210" s="14" t="n">
        <v>100</v>
      </c>
      <c r="C4210" s="15"/>
      <c r="D4210" s="16" t="s">
        <v>64</v>
      </c>
      <c r="E4210" s="17" t="s">
        <v>47</v>
      </c>
      <c r="F4210" s="18" t="s">
        <v>34</v>
      </c>
      <c r="G4210" s="19"/>
      <c r="H4210" s="17" t="s">
        <v>35</v>
      </c>
      <c r="I4210" s="17" t="s">
        <v>44</v>
      </c>
      <c r="J4210" s="17"/>
      <c r="K4210" s="17" t="e">
        <f aca="false">VLOOKUP(J4210,Sheet2!A:B,2,0)</f>
        <v>#N/A</v>
      </c>
      <c r="L4210" s="17" t="n">
        <v>5</v>
      </c>
      <c r="M4210" s="17" t="str">
        <f aca="false">VLOOKUP(L4210,Sheet2!D:E,2,0)</f>
        <v>Main Processor CPU BGA</v>
      </c>
      <c r="N4210" s="17" t="n">
        <v>1</v>
      </c>
      <c r="O4210" s="17" t="str">
        <f aca="false">VLOOKUP(N4210,Sheet2!G:H,2,0)</f>
        <v>Dead</v>
      </c>
      <c r="P4210" s="17" t="n">
        <v>11</v>
      </c>
      <c r="Q4210" s="17" t="str">
        <f aca="false">VLOOKUP(P4210,Sheet2!J:K,2,0)</f>
        <v>IR Declared due to CID -TA</v>
      </c>
      <c r="R4210" s="17" t="s">
        <v>35</v>
      </c>
      <c r="S4210" s="17" t="str">
        <f aca="false">VLOOKUP(R4210,Sheet2!N:O,2,0)</f>
        <v>IREPARABLE</v>
      </c>
      <c r="T4210" s="18" t="str">
        <f aca="false">VLOOKUP(P4210,Sheet2!Q:R,2,0)</f>
        <v>IR Normal - Track burn out</v>
      </c>
      <c r="U4210" s="20" t="s">
        <v>41</v>
      </c>
      <c r="V4210" s="17"/>
      <c r="W4210" s="20" t="e">
        <f aca="false">VLOOKUP(V4210,Sheet2!Q:R,2,0)</f>
        <v>#N/A</v>
      </c>
      <c r="X4210" s="17" t="n">
        <f aca="false">J4210</f>
        <v>0</v>
      </c>
      <c r="Y4210" s="17" t="e">
        <f aca="false">VLOOKUP(X4210,Sheet2!A:B,2,0)</f>
        <v>#N/A</v>
      </c>
      <c r="Z4210" s="17"/>
      <c r="AA4210" s="17"/>
      <c r="AC4210" s="23" t="str">
        <f aca="false">LEFT(G4210,2)</f>
        <v/>
      </c>
    </row>
    <row r="4211" customFormat="false" ht="15" hidden="false" customHeight="false" outlineLevel="0" collapsed="false">
      <c r="A4211" s="13" t="n">
        <f aca="false">1+A4210</f>
        <v>4209</v>
      </c>
      <c r="B4211" s="14" t="n">
        <v>100</v>
      </c>
      <c r="C4211" s="15"/>
      <c r="D4211" s="16" t="s">
        <v>64</v>
      </c>
      <c r="E4211" s="17" t="s">
        <v>47</v>
      </c>
      <c r="F4211" s="18" t="s">
        <v>34</v>
      </c>
      <c r="G4211" s="19"/>
      <c r="H4211" s="17" t="s">
        <v>35</v>
      </c>
      <c r="I4211" s="17" t="s">
        <v>44</v>
      </c>
      <c r="J4211" s="17"/>
      <c r="K4211" s="17" t="e">
        <f aca="false">VLOOKUP(J4211,Sheet2!A:B,2,0)</f>
        <v>#N/A</v>
      </c>
      <c r="L4211" s="17" t="n">
        <v>5</v>
      </c>
      <c r="M4211" s="17" t="str">
        <f aca="false">VLOOKUP(L4211,Sheet2!D:E,2,0)</f>
        <v>Main Processor CPU BGA</v>
      </c>
      <c r="N4211" s="17" t="n">
        <v>1</v>
      </c>
      <c r="O4211" s="17" t="str">
        <f aca="false">VLOOKUP(N4211,Sheet2!G:H,2,0)</f>
        <v>Dead</v>
      </c>
      <c r="P4211" s="17" t="n">
        <v>11</v>
      </c>
      <c r="Q4211" s="17" t="str">
        <f aca="false">VLOOKUP(P4211,Sheet2!J:K,2,0)</f>
        <v>IR Declared due to CID -TA</v>
      </c>
      <c r="R4211" s="17" t="s">
        <v>35</v>
      </c>
      <c r="S4211" s="17" t="str">
        <f aca="false">VLOOKUP(R4211,Sheet2!N:O,2,0)</f>
        <v>IREPARABLE</v>
      </c>
      <c r="T4211" s="18" t="str">
        <f aca="false">VLOOKUP(P4211,Sheet2!Q:R,2,0)</f>
        <v>IR Normal - Track burn out</v>
      </c>
      <c r="U4211" s="20" t="s">
        <v>41</v>
      </c>
      <c r="V4211" s="17"/>
      <c r="W4211" s="20" t="e">
        <f aca="false">VLOOKUP(V4211,Sheet2!Q:R,2,0)</f>
        <v>#N/A</v>
      </c>
      <c r="X4211" s="17" t="n">
        <f aca="false">J4211</f>
        <v>0</v>
      </c>
      <c r="Y4211" s="17" t="e">
        <f aca="false">VLOOKUP(X4211,Sheet2!A:B,2,0)</f>
        <v>#N/A</v>
      </c>
      <c r="Z4211" s="17"/>
      <c r="AA4211" s="17"/>
      <c r="AC4211" s="23" t="str">
        <f aca="false">LEFT(G4211,2)</f>
        <v/>
      </c>
    </row>
    <row r="4212" customFormat="false" ht="15" hidden="false" customHeight="false" outlineLevel="0" collapsed="false">
      <c r="A4212" s="13" t="n">
        <f aca="false">1+A4211</f>
        <v>4210</v>
      </c>
      <c r="B4212" s="14" t="n">
        <v>100</v>
      </c>
      <c r="C4212" s="15"/>
      <c r="D4212" s="16" t="s">
        <v>64</v>
      </c>
      <c r="E4212" s="17" t="s">
        <v>47</v>
      </c>
      <c r="F4212" s="18" t="s">
        <v>34</v>
      </c>
      <c r="G4212" s="19"/>
      <c r="H4212" s="17" t="s">
        <v>35</v>
      </c>
      <c r="I4212" s="17" t="s">
        <v>44</v>
      </c>
      <c r="J4212" s="17"/>
      <c r="K4212" s="17" t="e">
        <f aca="false">VLOOKUP(J4212,Sheet2!A:B,2,0)</f>
        <v>#N/A</v>
      </c>
      <c r="L4212" s="17" t="n">
        <v>5</v>
      </c>
      <c r="M4212" s="17" t="str">
        <f aca="false">VLOOKUP(L4212,Sheet2!D:E,2,0)</f>
        <v>Main Processor CPU BGA</v>
      </c>
      <c r="N4212" s="17" t="n">
        <v>1</v>
      </c>
      <c r="O4212" s="17" t="str">
        <f aca="false">VLOOKUP(N4212,Sheet2!G:H,2,0)</f>
        <v>Dead</v>
      </c>
      <c r="P4212" s="17" t="n">
        <v>11</v>
      </c>
      <c r="Q4212" s="17" t="str">
        <f aca="false">VLOOKUP(P4212,Sheet2!J:K,2,0)</f>
        <v>IR Declared due to CID -TA</v>
      </c>
      <c r="R4212" s="17" t="s">
        <v>35</v>
      </c>
      <c r="S4212" s="17" t="str">
        <f aca="false">VLOOKUP(R4212,Sheet2!N:O,2,0)</f>
        <v>IREPARABLE</v>
      </c>
      <c r="T4212" s="18" t="str">
        <f aca="false">VLOOKUP(P4212,Sheet2!Q:R,2,0)</f>
        <v>IR Normal - Track burn out</v>
      </c>
      <c r="U4212" s="20" t="s">
        <v>41</v>
      </c>
      <c r="V4212" s="17"/>
      <c r="W4212" s="20" t="e">
        <f aca="false">VLOOKUP(V4212,Sheet2!Q:R,2,0)</f>
        <v>#N/A</v>
      </c>
      <c r="X4212" s="17" t="n">
        <f aca="false">J4212</f>
        <v>0</v>
      </c>
      <c r="Y4212" s="17" t="e">
        <f aca="false">VLOOKUP(X4212,Sheet2!A:B,2,0)</f>
        <v>#N/A</v>
      </c>
      <c r="Z4212" s="17"/>
      <c r="AA4212" s="17"/>
      <c r="AC4212" s="23" t="str">
        <f aca="false">LEFT(G4212,2)</f>
        <v/>
      </c>
    </row>
    <row r="4213" customFormat="false" ht="15" hidden="false" customHeight="false" outlineLevel="0" collapsed="false">
      <c r="A4213" s="13" t="n">
        <f aca="false">1+A4212</f>
        <v>4211</v>
      </c>
      <c r="B4213" s="14" t="n">
        <v>100</v>
      </c>
      <c r="C4213" s="15"/>
      <c r="D4213" s="16" t="s">
        <v>64</v>
      </c>
      <c r="E4213" s="17" t="s">
        <v>47</v>
      </c>
      <c r="F4213" s="18" t="s">
        <v>34</v>
      </c>
      <c r="G4213" s="19"/>
      <c r="H4213" s="17" t="s">
        <v>35</v>
      </c>
      <c r="I4213" s="17" t="s">
        <v>44</v>
      </c>
      <c r="J4213" s="17"/>
      <c r="K4213" s="17" t="e">
        <f aca="false">VLOOKUP(J4213,Sheet2!A:B,2,0)</f>
        <v>#N/A</v>
      </c>
      <c r="L4213" s="17" t="n">
        <v>5</v>
      </c>
      <c r="M4213" s="17" t="str">
        <f aca="false">VLOOKUP(L4213,Sheet2!D:E,2,0)</f>
        <v>Main Processor CPU BGA</v>
      </c>
      <c r="N4213" s="17" t="n">
        <v>1</v>
      </c>
      <c r="O4213" s="17" t="str">
        <f aca="false">VLOOKUP(N4213,Sheet2!G:H,2,0)</f>
        <v>Dead</v>
      </c>
      <c r="P4213" s="17" t="n">
        <v>11</v>
      </c>
      <c r="Q4213" s="17" t="str">
        <f aca="false">VLOOKUP(P4213,Sheet2!J:K,2,0)</f>
        <v>IR Declared due to CID -TA</v>
      </c>
      <c r="R4213" s="17" t="s">
        <v>35</v>
      </c>
      <c r="S4213" s="17" t="str">
        <f aca="false">VLOOKUP(R4213,Sheet2!N:O,2,0)</f>
        <v>IREPARABLE</v>
      </c>
      <c r="T4213" s="18" t="str">
        <f aca="false">VLOOKUP(P4213,Sheet2!Q:R,2,0)</f>
        <v>IR Normal - Track burn out</v>
      </c>
      <c r="U4213" s="20" t="s">
        <v>41</v>
      </c>
      <c r="V4213" s="17"/>
      <c r="W4213" s="20" t="e">
        <f aca="false">VLOOKUP(V4213,Sheet2!Q:R,2,0)</f>
        <v>#N/A</v>
      </c>
      <c r="X4213" s="17" t="n">
        <f aca="false">J4213</f>
        <v>0</v>
      </c>
      <c r="Y4213" s="17" t="e">
        <f aca="false">VLOOKUP(X4213,Sheet2!A:B,2,0)</f>
        <v>#N/A</v>
      </c>
      <c r="Z4213" s="17"/>
      <c r="AA4213" s="17"/>
      <c r="AC4213" s="23" t="str">
        <f aca="false">LEFT(G4213,2)</f>
        <v/>
      </c>
    </row>
    <row r="4214" customFormat="false" ht="15" hidden="false" customHeight="false" outlineLevel="0" collapsed="false">
      <c r="A4214" s="13" t="n">
        <f aca="false">1+A4213</f>
        <v>4212</v>
      </c>
      <c r="B4214" s="14" t="n">
        <v>100</v>
      </c>
      <c r="C4214" s="15"/>
      <c r="D4214" s="16" t="s">
        <v>64</v>
      </c>
      <c r="E4214" s="17" t="s">
        <v>47</v>
      </c>
      <c r="F4214" s="18" t="s">
        <v>34</v>
      </c>
      <c r="G4214" s="19"/>
      <c r="H4214" s="17" t="s">
        <v>35</v>
      </c>
      <c r="I4214" s="17" t="s">
        <v>44</v>
      </c>
      <c r="J4214" s="17"/>
      <c r="K4214" s="17" t="e">
        <f aca="false">VLOOKUP(J4214,Sheet2!A:B,2,0)</f>
        <v>#N/A</v>
      </c>
      <c r="L4214" s="17" t="n">
        <v>5</v>
      </c>
      <c r="M4214" s="17" t="str">
        <f aca="false">VLOOKUP(L4214,Sheet2!D:E,2,0)</f>
        <v>Main Processor CPU BGA</v>
      </c>
      <c r="N4214" s="17" t="n">
        <v>1</v>
      </c>
      <c r="O4214" s="17" t="str">
        <f aca="false">VLOOKUP(N4214,Sheet2!G:H,2,0)</f>
        <v>Dead</v>
      </c>
      <c r="P4214" s="17" t="n">
        <v>11</v>
      </c>
      <c r="Q4214" s="17" t="str">
        <f aca="false">VLOOKUP(P4214,Sheet2!J:K,2,0)</f>
        <v>IR Declared due to CID -TA</v>
      </c>
      <c r="R4214" s="17" t="s">
        <v>35</v>
      </c>
      <c r="S4214" s="17" t="str">
        <f aca="false">VLOOKUP(R4214,Sheet2!N:O,2,0)</f>
        <v>IREPARABLE</v>
      </c>
      <c r="T4214" s="18" t="str">
        <f aca="false">VLOOKUP(P4214,Sheet2!Q:R,2,0)</f>
        <v>IR Normal - Track burn out</v>
      </c>
      <c r="U4214" s="20" t="s">
        <v>41</v>
      </c>
      <c r="V4214" s="17"/>
      <c r="W4214" s="20" t="e">
        <f aca="false">VLOOKUP(V4214,Sheet2!Q:R,2,0)</f>
        <v>#N/A</v>
      </c>
      <c r="X4214" s="17" t="n">
        <f aca="false">J4214</f>
        <v>0</v>
      </c>
      <c r="Y4214" s="17" t="e">
        <f aca="false">VLOOKUP(X4214,Sheet2!A:B,2,0)</f>
        <v>#N/A</v>
      </c>
      <c r="Z4214" s="17"/>
      <c r="AA4214" s="17"/>
      <c r="AC4214" s="23" t="str">
        <f aca="false">LEFT(G4214,2)</f>
        <v/>
      </c>
    </row>
    <row r="4215" customFormat="false" ht="15" hidden="false" customHeight="false" outlineLevel="0" collapsed="false">
      <c r="A4215" s="13" t="n">
        <f aca="false">1+A4214</f>
        <v>4213</v>
      </c>
      <c r="B4215" s="14" t="n">
        <v>100</v>
      </c>
      <c r="C4215" s="15"/>
      <c r="D4215" s="16" t="s">
        <v>64</v>
      </c>
      <c r="E4215" s="17" t="s">
        <v>47</v>
      </c>
      <c r="F4215" s="18" t="s">
        <v>34</v>
      </c>
      <c r="G4215" s="19"/>
      <c r="H4215" s="17" t="s">
        <v>35</v>
      </c>
      <c r="I4215" s="17" t="s">
        <v>44</v>
      </c>
      <c r="J4215" s="17"/>
      <c r="K4215" s="17" t="e">
        <f aca="false">VLOOKUP(J4215,Sheet2!A:B,2,0)</f>
        <v>#N/A</v>
      </c>
      <c r="L4215" s="17" t="n">
        <v>5</v>
      </c>
      <c r="M4215" s="17" t="str">
        <f aca="false">VLOOKUP(L4215,Sheet2!D:E,2,0)</f>
        <v>Main Processor CPU BGA</v>
      </c>
      <c r="N4215" s="17" t="n">
        <v>1</v>
      </c>
      <c r="O4215" s="17" t="str">
        <f aca="false">VLOOKUP(N4215,Sheet2!G:H,2,0)</f>
        <v>Dead</v>
      </c>
      <c r="P4215" s="17" t="n">
        <v>11</v>
      </c>
      <c r="Q4215" s="17" t="str">
        <f aca="false">VLOOKUP(P4215,Sheet2!J:K,2,0)</f>
        <v>IR Declared due to CID -TA</v>
      </c>
      <c r="R4215" s="17" t="s">
        <v>35</v>
      </c>
      <c r="S4215" s="17" t="str">
        <f aca="false">VLOOKUP(R4215,Sheet2!N:O,2,0)</f>
        <v>IREPARABLE</v>
      </c>
      <c r="T4215" s="18" t="str">
        <f aca="false">VLOOKUP(P4215,Sheet2!Q:R,2,0)</f>
        <v>IR Normal - Track burn out</v>
      </c>
      <c r="U4215" s="20" t="s">
        <v>41</v>
      </c>
      <c r="V4215" s="17"/>
      <c r="W4215" s="20" t="e">
        <f aca="false">VLOOKUP(V4215,Sheet2!Q:R,2,0)</f>
        <v>#N/A</v>
      </c>
      <c r="X4215" s="17" t="n">
        <f aca="false">J4215</f>
        <v>0</v>
      </c>
      <c r="Y4215" s="17" t="e">
        <f aca="false">VLOOKUP(X4215,Sheet2!A:B,2,0)</f>
        <v>#N/A</v>
      </c>
      <c r="Z4215" s="17"/>
      <c r="AA4215" s="17"/>
      <c r="AC4215" s="23" t="str">
        <f aca="false">LEFT(G4215,2)</f>
        <v/>
      </c>
    </row>
    <row r="4216" customFormat="false" ht="15" hidden="false" customHeight="false" outlineLevel="0" collapsed="false">
      <c r="A4216" s="13" t="n">
        <f aca="false">1+A4215</f>
        <v>4214</v>
      </c>
      <c r="B4216" s="14" t="n">
        <v>100</v>
      </c>
      <c r="C4216" s="15"/>
      <c r="D4216" s="16" t="s">
        <v>64</v>
      </c>
      <c r="E4216" s="17" t="s">
        <v>47</v>
      </c>
      <c r="F4216" s="18" t="s">
        <v>34</v>
      </c>
      <c r="G4216" s="19"/>
      <c r="H4216" s="17" t="s">
        <v>35</v>
      </c>
      <c r="I4216" s="17" t="s">
        <v>44</v>
      </c>
      <c r="J4216" s="17"/>
      <c r="K4216" s="17" t="e">
        <f aca="false">VLOOKUP(J4216,Sheet2!A:B,2,0)</f>
        <v>#N/A</v>
      </c>
      <c r="L4216" s="17" t="n">
        <v>5</v>
      </c>
      <c r="M4216" s="17" t="str">
        <f aca="false">VLOOKUP(L4216,Sheet2!D:E,2,0)</f>
        <v>Main Processor CPU BGA</v>
      </c>
      <c r="N4216" s="17" t="n">
        <v>1</v>
      </c>
      <c r="O4216" s="17" t="str">
        <f aca="false">VLOOKUP(N4216,Sheet2!G:H,2,0)</f>
        <v>Dead</v>
      </c>
      <c r="P4216" s="17" t="n">
        <v>11</v>
      </c>
      <c r="Q4216" s="17" t="str">
        <f aca="false">VLOOKUP(P4216,Sheet2!J:K,2,0)</f>
        <v>IR Declared due to CID -TA</v>
      </c>
      <c r="R4216" s="17" t="s">
        <v>35</v>
      </c>
      <c r="S4216" s="17" t="str">
        <f aca="false">VLOOKUP(R4216,Sheet2!N:O,2,0)</f>
        <v>IREPARABLE</v>
      </c>
      <c r="T4216" s="18" t="str">
        <f aca="false">VLOOKUP(P4216,Sheet2!Q:R,2,0)</f>
        <v>IR Normal - Track burn out</v>
      </c>
      <c r="U4216" s="20" t="s">
        <v>41</v>
      </c>
      <c r="V4216" s="17"/>
      <c r="W4216" s="20" t="e">
        <f aca="false">VLOOKUP(V4216,Sheet2!Q:R,2,0)</f>
        <v>#N/A</v>
      </c>
      <c r="X4216" s="17" t="n">
        <f aca="false">J4216</f>
        <v>0</v>
      </c>
      <c r="Y4216" s="17" t="e">
        <f aca="false">VLOOKUP(X4216,Sheet2!A:B,2,0)</f>
        <v>#N/A</v>
      </c>
      <c r="Z4216" s="17"/>
      <c r="AA4216" s="17"/>
      <c r="AC4216" s="23" t="str">
        <f aca="false">LEFT(G4216,2)</f>
        <v/>
      </c>
    </row>
    <row r="4217" customFormat="false" ht="15" hidden="false" customHeight="false" outlineLevel="0" collapsed="false">
      <c r="A4217" s="13" t="n">
        <f aca="false">1+A4216</f>
        <v>4215</v>
      </c>
      <c r="B4217" s="14" t="n">
        <v>100</v>
      </c>
      <c r="C4217" s="15"/>
      <c r="D4217" s="16" t="s">
        <v>64</v>
      </c>
      <c r="E4217" s="17" t="s">
        <v>47</v>
      </c>
      <c r="F4217" s="18" t="s">
        <v>34</v>
      </c>
      <c r="G4217" s="19"/>
      <c r="H4217" s="17" t="s">
        <v>35</v>
      </c>
      <c r="I4217" s="17" t="s">
        <v>44</v>
      </c>
      <c r="J4217" s="17"/>
      <c r="K4217" s="17" t="e">
        <f aca="false">VLOOKUP(J4217,Sheet2!A:B,2,0)</f>
        <v>#N/A</v>
      </c>
      <c r="L4217" s="17" t="n">
        <v>5</v>
      </c>
      <c r="M4217" s="17" t="str">
        <f aca="false">VLOOKUP(L4217,Sheet2!D:E,2,0)</f>
        <v>Main Processor CPU BGA</v>
      </c>
      <c r="N4217" s="17" t="n">
        <v>1</v>
      </c>
      <c r="O4217" s="17" t="str">
        <f aca="false">VLOOKUP(N4217,Sheet2!G:H,2,0)</f>
        <v>Dead</v>
      </c>
      <c r="P4217" s="17" t="n">
        <v>11</v>
      </c>
      <c r="Q4217" s="17" t="str">
        <f aca="false">VLOOKUP(P4217,Sheet2!J:K,2,0)</f>
        <v>IR Declared due to CID -TA</v>
      </c>
      <c r="R4217" s="17" t="s">
        <v>35</v>
      </c>
      <c r="S4217" s="17" t="str">
        <f aca="false">VLOOKUP(R4217,Sheet2!N:O,2,0)</f>
        <v>IREPARABLE</v>
      </c>
      <c r="T4217" s="18" t="str">
        <f aca="false">VLOOKUP(P4217,Sheet2!Q:R,2,0)</f>
        <v>IR Normal - Track burn out</v>
      </c>
      <c r="U4217" s="20" t="s">
        <v>41</v>
      </c>
      <c r="V4217" s="17"/>
      <c r="W4217" s="20" t="e">
        <f aca="false">VLOOKUP(V4217,Sheet2!Q:R,2,0)</f>
        <v>#N/A</v>
      </c>
      <c r="X4217" s="17" t="n">
        <f aca="false">J4217</f>
        <v>0</v>
      </c>
      <c r="Y4217" s="17" t="e">
        <f aca="false">VLOOKUP(X4217,Sheet2!A:B,2,0)</f>
        <v>#N/A</v>
      </c>
      <c r="Z4217" s="17"/>
      <c r="AA4217" s="17"/>
      <c r="AC4217" s="23" t="str">
        <f aca="false">LEFT(G4217,2)</f>
        <v/>
      </c>
    </row>
    <row r="4218" customFormat="false" ht="15" hidden="false" customHeight="false" outlineLevel="0" collapsed="false">
      <c r="A4218" s="13" t="n">
        <f aca="false">1+A4217</f>
        <v>4216</v>
      </c>
      <c r="B4218" s="14" t="n">
        <v>100</v>
      </c>
      <c r="C4218" s="15"/>
      <c r="D4218" s="16" t="s">
        <v>64</v>
      </c>
      <c r="E4218" s="17" t="s">
        <v>47</v>
      </c>
      <c r="F4218" s="18" t="s">
        <v>34</v>
      </c>
      <c r="G4218" s="19"/>
      <c r="H4218" s="17" t="s">
        <v>35</v>
      </c>
      <c r="I4218" s="17" t="s">
        <v>44</v>
      </c>
      <c r="J4218" s="17"/>
      <c r="K4218" s="17" t="e">
        <f aca="false">VLOOKUP(J4218,Sheet2!A:B,2,0)</f>
        <v>#N/A</v>
      </c>
      <c r="L4218" s="17" t="n">
        <v>5</v>
      </c>
      <c r="M4218" s="17" t="str">
        <f aca="false">VLOOKUP(L4218,Sheet2!D:E,2,0)</f>
        <v>Main Processor CPU BGA</v>
      </c>
      <c r="N4218" s="17" t="n">
        <v>1</v>
      </c>
      <c r="O4218" s="17" t="str">
        <f aca="false">VLOOKUP(N4218,Sheet2!G:H,2,0)</f>
        <v>Dead</v>
      </c>
      <c r="P4218" s="17" t="n">
        <v>11</v>
      </c>
      <c r="Q4218" s="17" t="str">
        <f aca="false">VLOOKUP(P4218,Sheet2!J:K,2,0)</f>
        <v>IR Declared due to CID -TA</v>
      </c>
      <c r="R4218" s="17" t="s">
        <v>35</v>
      </c>
      <c r="S4218" s="17" t="str">
        <f aca="false">VLOOKUP(R4218,Sheet2!N:O,2,0)</f>
        <v>IREPARABLE</v>
      </c>
      <c r="T4218" s="18" t="str">
        <f aca="false">VLOOKUP(P4218,Sheet2!Q:R,2,0)</f>
        <v>IR Normal - Track burn out</v>
      </c>
      <c r="U4218" s="20" t="s">
        <v>41</v>
      </c>
      <c r="V4218" s="17"/>
      <c r="W4218" s="20" t="e">
        <f aca="false">VLOOKUP(V4218,Sheet2!Q:R,2,0)</f>
        <v>#N/A</v>
      </c>
      <c r="X4218" s="17" t="n">
        <f aca="false">J4218</f>
        <v>0</v>
      </c>
      <c r="Y4218" s="17" t="e">
        <f aca="false">VLOOKUP(X4218,Sheet2!A:B,2,0)</f>
        <v>#N/A</v>
      </c>
      <c r="Z4218" s="17"/>
      <c r="AA4218" s="17"/>
      <c r="AC4218" s="23" t="str">
        <f aca="false">LEFT(G4218,2)</f>
        <v/>
      </c>
    </row>
    <row r="4219" customFormat="false" ht="15" hidden="false" customHeight="false" outlineLevel="0" collapsed="false">
      <c r="A4219" s="13" t="n">
        <f aca="false">1+A4218</f>
        <v>4217</v>
      </c>
      <c r="B4219" s="14" t="n">
        <v>100</v>
      </c>
      <c r="C4219" s="15"/>
      <c r="D4219" s="16" t="s">
        <v>64</v>
      </c>
      <c r="E4219" s="17" t="s">
        <v>47</v>
      </c>
      <c r="F4219" s="18" t="s">
        <v>34</v>
      </c>
      <c r="G4219" s="19"/>
      <c r="H4219" s="17" t="s">
        <v>35</v>
      </c>
      <c r="I4219" s="17" t="s">
        <v>44</v>
      </c>
      <c r="J4219" s="17"/>
      <c r="K4219" s="17" t="e">
        <f aca="false">VLOOKUP(J4219,Sheet2!A:B,2,0)</f>
        <v>#N/A</v>
      </c>
      <c r="L4219" s="17" t="n">
        <v>5</v>
      </c>
      <c r="M4219" s="17" t="str">
        <f aca="false">VLOOKUP(L4219,Sheet2!D:E,2,0)</f>
        <v>Main Processor CPU BGA</v>
      </c>
      <c r="N4219" s="17" t="n">
        <v>1</v>
      </c>
      <c r="O4219" s="17" t="str">
        <f aca="false">VLOOKUP(N4219,Sheet2!G:H,2,0)</f>
        <v>Dead</v>
      </c>
      <c r="P4219" s="17" t="n">
        <v>11</v>
      </c>
      <c r="Q4219" s="17" t="str">
        <f aca="false">VLOOKUP(P4219,Sheet2!J:K,2,0)</f>
        <v>IR Declared due to CID -TA</v>
      </c>
      <c r="R4219" s="17" t="s">
        <v>35</v>
      </c>
      <c r="S4219" s="17" t="str">
        <f aca="false">VLOOKUP(R4219,Sheet2!N:O,2,0)</f>
        <v>IREPARABLE</v>
      </c>
      <c r="T4219" s="18" t="str">
        <f aca="false">VLOOKUP(P4219,Sheet2!Q:R,2,0)</f>
        <v>IR Normal - Track burn out</v>
      </c>
      <c r="U4219" s="20" t="s">
        <v>41</v>
      </c>
      <c r="V4219" s="17"/>
      <c r="W4219" s="20" t="e">
        <f aca="false">VLOOKUP(V4219,Sheet2!Q:R,2,0)</f>
        <v>#N/A</v>
      </c>
      <c r="X4219" s="17" t="n">
        <f aca="false">J4219</f>
        <v>0</v>
      </c>
      <c r="Y4219" s="17" t="e">
        <f aca="false">VLOOKUP(X4219,Sheet2!A:B,2,0)</f>
        <v>#N/A</v>
      </c>
      <c r="Z4219" s="17"/>
      <c r="AA4219" s="17"/>
      <c r="AC4219" s="23" t="str">
        <f aca="false">LEFT(G4219,2)</f>
        <v/>
      </c>
    </row>
    <row r="4220" customFormat="false" ht="15" hidden="false" customHeight="false" outlineLevel="0" collapsed="false">
      <c r="A4220" s="13" t="n">
        <f aca="false">1+A4219</f>
        <v>4218</v>
      </c>
      <c r="B4220" s="14" t="n">
        <v>100</v>
      </c>
      <c r="C4220" s="15"/>
      <c r="D4220" s="16" t="s">
        <v>64</v>
      </c>
      <c r="E4220" s="17" t="s">
        <v>47</v>
      </c>
      <c r="F4220" s="18" t="s">
        <v>34</v>
      </c>
      <c r="G4220" s="19"/>
      <c r="H4220" s="17" t="s">
        <v>35</v>
      </c>
      <c r="I4220" s="17" t="s">
        <v>44</v>
      </c>
      <c r="J4220" s="17"/>
      <c r="K4220" s="17" t="e">
        <f aca="false">VLOOKUP(J4220,Sheet2!A:B,2,0)</f>
        <v>#N/A</v>
      </c>
      <c r="L4220" s="17" t="n">
        <v>5</v>
      </c>
      <c r="M4220" s="17" t="str">
        <f aca="false">VLOOKUP(L4220,Sheet2!D:E,2,0)</f>
        <v>Main Processor CPU BGA</v>
      </c>
      <c r="N4220" s="17" t="n">
        <v>1</v>
      </c>
      <c r="O4220" s="17" t="str">
        <f aca="false">VLOOKUP(N4220,Sheet2!G:H,2,0)</f>
        <v>Dead</v>
      </c>
      <c r="P4220" s="17" t="n">
        <v>11</v>
      </c>
      <c r="Q4220" s="17" t="str">
        <f aca="false">VLOOKUP(P4220,Sheet2!J:K,2,0)</f>
        <v>IR Declared due to CID -TA</v>
      </c>
      <c r="R4220" s="17" t="s">
        <v>35</v>
      </c>
      <c r="S4220" s="17" t="str">
        <f aca="false">VLOOKUP(R4220,Sheet2!N:O,2,0)</f>
        <v>IREPARABLE</v>
      </c>
      <c r="T4220" s="18" t="str">
        <f aca="false">VLOOKUP(P4220,Sheet2!Q:R,2,0)</f>
        <v>IR Normal - Track burn out</v>
      </c>
      <c r="U4220" s="20" t="s">
        <v>41</v>
      </c>
      <c r="V4220" s="17"/>
      <c r="W4220" s="20" t="e">
        <f aca="false">VLOOKUP(V4220,Sheet2!Q:R,2,0)</f>
        <v>#N/A</v>
      </c>
      <c r="X4220" s="17" t="n">
        <f aca="false">J4220</f>
        <v>0</v>
      </c>
      <c r="Y4220" s="17" t="e">
        <f aca="false">VLOOKUP(X4220,Sheet2!A:B,2,0)</f>
        <v>#N/A</v>
      </c>
      <c r="Z4220" s="17"/>
      <c r="AA4220" s="17"/>
      <c r="AC4220" s="23" t="str">
        <f aca="false">LEFT(G4220,2)</f>
        <v/>
      </c>
    </row>
    <row r="4221" customFormat="false" ht="15" hidden="false" customHeight="false" outlineLevel="0" collapsed="false">
      <c r="A4221" s="13" t="n">
        <f aca="false">1+A4220</f>
        <v>4219</v>
      </c>
      <c r="B4221" s="14" t="n">
        <v>100</v>
      </c>
      <c r="C4221" s="15"/>
      <c r="D4221" s="16" t="s">
        <v>64</v>
      </c>
      <c r="E4221" s="17" t="s">
        <v>47</v>
      </c>
      <c r="F4221" s="18" t="s">
        <v>34</v>
      </c>
      <c r="G4221" s="19"/>
      <c r="H4221" s="17" t="s">
        <v>35</v>
      </c>
      <c r="I4221" s="17" t="s">
        <v>44</v>
      </c>
      <c r="J4221" s="17"/>
      <c r="K4221" s="17" t="e">
        <f aca="false">VLOOKUP(J4221,Sheet2!A:B,2,0)</f>
        <v>#N/A</v>
      </c>
      <c r="L4221" s="17" t="n">
        <v>5</v>
      </c>
      <c r="M4221" s="17" t="str">
        <f aca="false">VLOOKUP(L4221,Sheet2!D:E,2,0)</f>
        <v>Main Processor CPU BGA</v>
      </c>
      <c r="N4221" s="17" t="n">
        <v>1</v>
      </c>
      <c r="O4221" s="17" t="str">
        <f aca="false">VLOOKUP(N4221,Sheet2!G:H,2,0)</f>
        <v>Dead</v>
      </c>
      <c r="P4221" s="17" t="n">
        <v>11</v>
      </c>
      <c r="Q4221" s="17" t="str">
        <f aca="false">VLOOKUP(P4221,Sheet2!J:K,2,0)</f>
        <v>IR Declared due to CID -TA</v>
      </c>
      <c r="R4221" s="17" t="s">
        <v>35</v>
      </c>
      <c r="S4221" s="17" t="str">
        <f aca="false">VLOOKUP(R4221,Sheet2!N:O,2,0)</f>
        <v>IREPARABLE</v>
      </c>
      <c r="T4221" s="18" t="str">
        <f aca="false">VLOOKUP(P4221,Sheet2!Q:R,2,0)</f>
        <v>IR Normal - Track burn out</v>
      </c>
      <c r="U4221" s="20" t="s">
        <v>41</v>
      </c>
      <c r="V4221" s="17"/>
      <c r="W4221" s="20" t="e">
        <f aca="false">VLOOKUP(V4221,Sheet2!Q:R,2,0)</f>
        <v>#N/A</v>
      </c>
      <c r="X4221" s="17" t="n">
        <f aca="false">J4221</f>
        <v>0</v>
      </c>
      <c r="Y4221" s="17" t="e">
        <f aca="false">VLOOKUP(X4221,Sheet2!A:B,2,0)</f>
        <v>#N/A</v>
      </c>
      <c r="Z4221" s="17"/>
      <c r="AA4221" s="17"/>
      <c r="AC4221" s="23" t="str">
        <f aca="false">LEFT(G4221,2)</f>
        <v/>
      </c>
    </row>
    <row r="4222" customFormat="false" ht="15" hidden="false" customHeight="false" outlineLevel="0" collapsed="false">
      <c r="A4222" s="13" t="n">
        <f aca="false">1+A4221</f>
        <v>4220</v>
      </c>
      <c r="B4222" s="14" t="n">
        <v>100</v>
      </c>
      <c r="C4222" s="15"/>
      <c r="D4222" s="16" t="s">
        <v>64</v>
      </c>
      <c r="E4222" s="17" t="s">
        <v>47</v>
      </c>
      <c r="F4222" s="18" t="s">
        <v>34</v>
      </c>
      <c r="G4222" s="19"/>
      <c r="H4222" s="17" t="s">
        <v>35</v>
      </c>
      <c r="I4222" s="17" t="s">
        <v>44</v>
      </c>
      <c r="J4222" s="17"/>
      <c r="K4222" s="17" t="e">
        <f aca="false">VLOOKUP(J4222,Sheet2!A:B,2,0)</f>
        <v>#N/A</v>
      </c>
      <c r="L4222" s="17" t="n">
        <v>5</v>
      </c>
      <c r="M4222" s="17" t="str">
        <f aca="false">VLOOKUP(L4222,Sheet2!D:E,2,0)</f>
        <v>Main Processor CPU BGA</v>
      </c>
      <c r="N4222" s="17" t="n">
        <v>1</v>
      </c>
      <c r="O4222" s="17" t="str">
        <f aca="false">VLOOKUP(N4222,Sheet2!G:H,2,0)</f>
        <v>Dead</v>
      </c>
      <c r="P4222" s="17" t="n">
        <v>11</v>
      </c>
      <c r="Q4222" s="17" t="str">
        <f aca="false">VLOOKUP(P4222,Sheet2!J:K,2,0)</f>
        <v>IR Declared due to CID -TA</v>
      </c>
      <c r="R4222" s="17" t="s">
        <v>35</v>
      </c>
      <c r="S4222" s="17" t="str">
        <f aca="false">VLOOKUP(R4222,Sheet2!N:O,2,0)</f>
        <v>IREPARABLE</v>
      </c>
      <c r="T4222" s="18" t="str">
        <f aca="false">VLOOKUP(P4222,Sheet2!Q:R,2,0)</f>
        <v>IR Normal - Track burn out</v>
      </c>
      <c r="U4222" s="20" t="s">
        <v>41</v>
      </c>
      <c r="V4222" s="17"/>
      <c r="W4222" s="20" t="e">
        <f aca="false">VLOOKUP(V4222,Sheet2!Q:R,2,0)</f>
        <v>#N/A</v>
      </c>
      <c r="X4222" s="17" t="n">
        <f aca="false">J4222</f>
        <v>0</v>
      </c>
      <c r="Y4222" s="17" t="e">
        <f aca="false">VLOOKUP(X4222,Sheet2!A:B,2,0)</f>
        <v>#N/A</v>
      </c>
      <c r="Z4222" s="17"/>
      <c r="AA4222" s="17"/>
      <c r="AC4222" s="23" t="str">
        <f aca="false">LEFT(G4222,2)</f>
        <v/>
      </c>
    </row>
    <row r="4223" customFormat="false" ht="15" hidden="false" customHeight="false" outlineLevel="0" collapsed="false">
      <c r="A4223" s="13" t="n">
        <f aca="false">1+A4222</f>
        <v>4221</v>
      </c>
      <c r="B4223" s="14" t="n">
        <v>100</v>
      </c>
      <c r="C4223" s="15"/>
      <c r="D4223" s="16" t="s">
        <v>64</v>
      </c>
      <c r="E4223" s="17" t="s">
        <v>47</v>
      </c>
      <c r="F4223" s="18" t="s">
        <v>34</v>
      </c>
      <c r="G4223" s="19"/>
      <c r="H4223" s="17" t="s">
        <v>35</v>
      </c>
      <c r="I4223" s="17" t="s">
        <v>44</v>
      </c>
      <c r="J4223" s="17"/>
      <c r="K4223" s="17" t="e">
        <f aca="false">VLOOKUP(J4223,Sheet2!A:B,2,0)</f>
        <v>#N/A</v>
      </c>
      <c r="L4223" s="17" t="n">
        <v>5</v>
      </c>
      <c r="M4223" s="17" t="str">
        <f aca="false">VLOOKUP(L4223,Sheet2!D:E,2,0)</f>
        <v>Main Processor CPU BGA</v>
      </c>
      <c r="N4223" s="17" t="n">
        <v>1</v>
      </c>
      <c r="O4223" s="17" t="str">
        <f aca="false">VLOOKUP(N4223,Sheet2!G:H,2,0)</f>
        <v>Dead</v>
      </c>
      <c r="P4223" s="17" t="n">
        <v>11</v>
      </c>
      <c r="Q4223" s="17" t="str">
        <f aca="false">VLOOKUP(P4223,Sheet2!J:K,2,0)</f>
        <v>IR Declared due to CID -TA</v>
      </c>
      <c r="R4223" s="17" t="s">
        <v>35</v>
      </c>
      <c r="S4223" s="17" t="str">
        <f aca="false">VLOOKUP(R4223,Sheet2!N:O,2,0)</f>
        <v>IREPARABLE</v>
      </c>
      <c r="T4223" s="18" t="str">
        <f aca="false">VLOOKUP(P4223,Sheet2!Q:R,2,0)</f>
        <v>IR Normal - Track burn out</v>
      </c>
      <c r="U4223" s="20" t="s">
        <v>41</v>
      </c>
      <c r="V4223" s="17"/>
      <c r="W4223" s="20" t="e">
        <f aca="false">VLOOKUP(V4223,Sheet2!Q:R,2,0)</f>
        <v>#N/A</v>
      </c>
      <c r="X4223" s="17" t="n">
        <f aca="false">J4223</f>
        <v>0</v>
      </c>
      <c r="Y4223" s="17" t="e">
        <f aca="false">VLOOKUP(X4223,Sheet2!A:B,2,0)</f>
        <v>#N/A</v>
      </c>
      <c r="Z4223" s="17"/>
      <c r="AA4223" s="17"/>
      <c r="AC4223" s="23" t="str">
        <f aca="false">LEFT(G4223,2)</f>
        <v/>
      </c>
    </row>
    <row r="4224" customFormat="false" ht="15" hidden="false" customHeight="false" outlineLevel="0" collapsed="false">
      <c r="A4224" s="13" t="n">
        <f aca="false">1+A4223</f>
        <v>4222</v>
      </c>
      <c r="B4224" s="14" t="n">
        <v>100</v>
      </c>
      <c r="C4224" s="15"/>
      <c r="D4224" s="16" t="s">
        <v>64</v>
      </c>
      <c r="E4224" s="17" t="s">
        <v>47</v>
      </c>
      <c r="F4224" s="18" t="s">
        <v>34</v>
      </c>
      <c r="G4224" s="19"/>
      <c r="H4224" s="17" t="s">
        <v>35</v>
      </c>
      <c r="I4224" s="17" t="s">
        <v>44</v>
      </c>
      <c r="J4224" s="17"/>
      <c r="K4224" s="17" t="e">
        <f aca="false">VLOOKUP(J4224,Sheet2!A:B,2,0)</f>
        <v>#N/A</v>
      </c>
      <c r="L4224" s="17" t="n">
        <v>5</v>
      </c>
      <c r="M4224" s="17" t="str">
        <f aca="false">VLOOKUP(L4224,Sheet2!D:E,2,0)</f>
        <v>Main Processor CPU BGA</v>
      </c>
      <c r="N4224" s="17" t="n">
        <v>1</v>
      </c>
      <c r="O4224" s="17" t="str">
        <f aca="false">VLOOKUP(N4224,Sheet2!G:H,2,0)</f>
        <v>Dead</v>
      </c>
      <c r="P4224" s="17" t="n">
        <v>11</v>
      </c>
      <c r="Q4224" s="17" t="str">
        <f aca="false">VLOOKUP(P4224,Sheet2!J:K,2,0)</f>
        <v>IR Declared due to CID -TA</v>
      </c>
      <c r="R4224" s="17" t="s">
        <v>35</v>
      </c>
      <c r="S4224" s="17" t="str">
        <f aca="false">VLOOKUP(R4224,Sheet2!N:O,2,0)</f>
        <v>IREPARABLE</v>
      </c>
      <c r="T4224" s="18" t="str">
        <f aca="false">VLOOKUP(P4224,Sheet2!Q:R,2,0)</f>
        <v>IR Normal - Track burn out</v>
      </c>
      <c r="U4224" s="20" t="s">
        <v>41</v>
      </c>
      <c r="V4224" s="17"/>
      <c r="W4224" s="20" t="e">
        <f aca="false">VLOOKUP(V4224,Sheet2!Q:R,2,0)</f>
        <v>#N/A</v>
      </c>
      <c r="X4224" s="17" t="n">
        <f aca="false">J4224</f>
        <v>0</v>
      </c>
      <c r="Y4224" s="17" t="e">
        <f aca="false">VLOOKUP(X4224,Sheet2!A:B,2,0)</f>
        <v>#N/A</v>
      </c>
      <c r="Z4224" s="17"/>
      <c r="AA4224" s="17"/>
      <c r="AC4224" s="23" t="str">
        <f aca="false">LEFT(G4224,2)</f>
        <v/>
      </c>
    </row>
    <row r="4225" customFormat="false" ht="15" hidden="false" customHeight="false" outlineLevel="0" collapsed="false">
      <c r="A4225" s="13" t="n">
        <f aca="false">1+A4224</f>
        <v>4223</v>
      </c>
      <c r="B4225" s="14" t="n">
        <v>100</v>
      </c>
      <c r="C4225" s="15"/>
      <c r="D4225" s="16" t="s">
        <v>64</v>
      </c>
      <c r="E4225" s="17" t="s">
        <v>47</v>
      </c>
      <c r="F4225" s="18" t="s">
        <v>34</v>
      </c>
      <c r="G4225" s="19"/>
      <c r="H4225" s="17" t="s">
        <v>35</v>
      </c>
      <c r="I4225" s="17" t="s">
        <v>44</v>
      </c>
      <c r="J4225" s="17"/>
      <c r="K4225" s="17" t="e">
        <f aca="false">VLOOKUP(J4225,Sheet2!A:B,2,0)</f>
        <v>#N/A</v>
      </c>
      <c r="L4225" s="17" t="n">
        <v>5</v>
      </c>
      <c r="M4225" s="17" t="str">
        <f aca="false">VLOOKUP(L4225,Sheet2!D:E,2,0)</f>
        <v>Main Processor CPU BGA</v>
      </c>
      <c r="N4225" s="17" t="n">
        <v>1</v>
      </c>
      <c r="O4225" s="17" t="str">
        <f aca="false">VLOOKUP(N4225,Sheet2!G:H,2,0)</f>
        <v>Dead</v>
      </c>
      <c r="P4225" s="17" t="n">
        <v>11</v>
      </c>
      <c r="Q4225" s="17" t="str">
        <f aca="false">VLOOKUP(P4225,Sheet2!J:K,2,0)</f>
        <v>IR Declared due to CID -TA</v>
      </c>
      <c r="R4225" s="17" t="s">
        <v>35</v>
      </c>
      <c r="S4225" s="17" t="str">
        <f aca="false">VLOOKUP(R4225,Sheet2!N:O,2,0)</f>
        <v>IREPARABLE</v>
      </c>
      <c r="T4225" s="18" t="str">
        <f aca="false">VLOOKUP(P4225,Sheet2!Q:R,2,0)</f>
        <v>IR Normal - Track burn out</v>
      </c>
      <c r="U4225" s="20" t="s">
        <v>41</v>
      </c>
      <c r="V4225" s="17"/>
      <c r="W4225" s="20" t="e">
        <f aca="false">VLOOKUP(V4225,Sheet2!Q:R,2,0)</f>
        <v>#N/A</v>
      </c>
      <c r="X4225" s="17" t="n">
        <f aca="false">J4225</f>
        <v>0</v>
      </c>
      <c r="Y4225" s="17" t="e">
        <f aca="false">VLOOKUP(X4225,Sheet2!A:B,2,0)</f>
        <v>#N/A</v>
      </c>
      <c r="Z4225" s="17"/>
      <c r="AA4225" s="17"/>
      <c r="AC4225" s="23" t="str">
        <f aca="false">LEFT(G4225,2)</f>
        <v/>
      </c>
    </row>
    <row r="4226" customFormat="false" ht="15" hidden="false" customHeight="false" outlineLevel="0" collapsed="false">
      <c r="A4226" s="13" t="n">
        <f aca="false">1+A4225</f>
        <v>4224</v>
      </c>
      <c r="B4226" s="14" t="n">
        <v>100</v>
      </c>
      <c r="C4226" s="15"/>
      <c r="D4226" s="16" t="s">
        <v>64</v>
      </c>
      <c r="E4226" s="17" t="s">
        <v>47</v>
      </c>
      <c r="F4226" s="18" t="s">
        <v>34</v>
      </c>
      <c r="G4226" s="19"/>
      <c r="H4226" s="17" t="s">
        <v>35</v>
      </c>
      <c r="I4226" s="17" t="s">
        <v>44</v>
      </c>
      <c r="J4226" s="17"/>
      <c r="K4226" s="17" t="e">
        <f aca="false">VLOOKUP(J4226,Sheet2!A:B,2,0)</f>
        <v>#N/A</v>
      </c>
      <c r="L4226" s="17" t="n">
        <v>5</v>
      </c>
      <c r="M4226" s="17" t="str">
        <f aca="false">VLOOKUP(L4226,Sheet2!D:E,2,0)</f>
        <v>Main Processor CPU BGA</v>
      </c>
      <c r="N4226" s="17" t="n">
        <v>1</v>
      </c>
      <c r="O4226" s="17" t="str">
        <f aca="false">VLOOKUP(N4226,Sheet2!G:H,2,0)</f>
        <v>Dead</v>
      </c>
      <c r="P4226" s="17" t="n">
        <v>11</v>
      </c>
      <c r="Q4226" s="17" t="str">
        <f aca="false">VLOOKUP(P4226,Sheet2!J:K,2,0)</f>
        <v>IR Declared due to CID -TA</v>
      </c>
      <c r="R4226" s="17" t="s">
        <v>35</v>
      </c>
      <c r="S4226" s="17" t="str">
        <f aca="false">VLOOKUP(R4226,Sheet2!N:O,2,0)</f>
        <v>IREPARABLE</v>
      </c>
      <c r="T4226" s="18" t="str">
        <f aca="false">VLOOKUP(P4226,Sheet2!Q:R,2,0)</f>
        <v>IR Normal - Track burn out</v>
      </c>
      <c r="U4226" s="20" t="s">
        <v>41</v>
      </c>
      <c r="V4226" s="17"/>
      <c r="W4226" s="20" t="e">
        <f aca="false">VLOOKUP(V4226,Sheet2!Q:R,2,0)</f>
        <v>#N/A</v>
      </c>
      <c r="X4226" s="17" t="n">
        <f aca="false">J4226</f>
        <v>0</v>
      </c>
      <c r="Y4226" s="17" t="e">
        <f aca="false">VLOOKUP(X4226,Sheet2!A:B,2,0)</f>
        <v>#N/A</v>
      </c>
      <c r="Z4226" s="17"/>
      <c r="AA4226" s="17"/>
      <c r="AC4226" s="23" t="str">
        <f aca="false">LEFT(G4226,2)</f>
        <v/>
      </c>
    </row>
    <row r="4227" customFormat="false" ht="15" hidden="false" customHeight="false" outlineLevel="0" collapsed="false">
      <c r="A4227" s="13" t="n">
        <f aca="false">1+A4226</f>
        <v>4225</v>
      </c>
      <c r="B4227" s="14" t="n">
        <v>100</v>
      </c>
      <c r="C4227" s="15"/>
      <c r="D4227" s="16" t="s">
        <v>64</v>
      </c>
      <c r="E4227" s="17" t="s">
        <v>47</v>
      </c>
      <c r="F4227" s="18" t="s">
        <v>34</v>
      </c>
      <c r="G4227" s="19"/>
      <c r="H4227" s="17" t="s">
        <v>35</v>
      </c>
      <c r="I4227" s="17" t="s">
        <v>44</v>
      </c>
      <c r="J4227" s="17"/>
      <c r="K4227" s="17" t="e">
        <f aca="false">VLOOKUP(J4227,Sheet2!A:B,2,0)</f>
        <v>#N/A</v>
      </c>
      <c r="L4227" s="17" t="n">
        <v>5</v>
      </c>
      <c r="M4227" s="17" t="str">
        <f aca="false">VLOOKUP(L4227,Sheet2!D:E,2,0)</f>
        <v>Main Processor CPU BGA</v>
      </c>
      <c r="N4227" s="17" t="n">
        <v>1</v>
      </c>
      <c r="O4227" s="17" t="str">
        <f aca="false">VLOOKUP(N4227,Sheet2!G:H,2,0)</f>
        <v>Dead</v>
      </c>
      <c r="P4227" s="17" t="n">
        <v>11</v>
      </c>
      <c r="Q4227" s="17" t="str">
        <f aca="false">VLOOKUP(P4227,Sheet2!J:K,2,0)</f>
        <v>IR Declared due to CID -TA</v>
      </c>
      <c r="R4227" s="17" t="s">
        <v>35</v>
      </c>
      <c r="S4227" s="17" t="str">
        <f aca="false">VLOOKUP(R4227,Sheet2!N:O,2,0)</f>
        <v>IREPARABLE</v>
      </c>
      <c r="T4227" s="18" t="str">
        <f aca="false">VLOOKUP(P4227,Sheet2!Q:R,2,0)</f>
        <v>IR Normal - Track burn out</v>
      </c>
      <c r="U4227" s="20" t="s">
        <v>41</v>
      </c>
      <c r="V4227" s="17"/>
      <c r="W4227" s="20" t="e">
        <f aca="false">VLOOKUP(V4227,Sheet2!Q:R,2,0)</f>
        <v>#N/A</v>
      </c>
      <c r="X4227" s="17" t="n">
        <f aca="false">J4227</f>
        <v>0</v>
      </c>
      <c r="Y4227" s="17" t="e">
        <f aca="false">VLOOKUP(X4227,Sheet2!A:B,2,0)</f>
        <v>#N/A</v>
      </c>
      <c r="Z4227" s="17"/>
      <c r="AA4227" s="17"/>
      <c r="AC4227" s="23" t="str">
        <f aca="false">LEFT(G4227,2)</f>
        <v/>
      </c>
    </row>
    <row r="4228" customFormat="false" ht="15" hidden="false" customHeight="false" outlineLevel="0" collapsed="false">
      <c r="A4228" s="13" t="n">
        <f aca="false">1+A4227</f>
        <v>4226</v>
      </c>
      <c r="B4228" s="14" t="n">
        <v>100</v>
      </c>
      <c r="C4228" s="15"/>
      <c r="D4228" s="16" t="s">
        <v>64</v>
      </c>
      <c r="E4228" s="17" t="s">
        <v>47</v>
      </c>
      <c r="F4228" s="18" t="s">
        <v>34</v>
      </c>
      <c r="G4228" s="19"/>
      <c r="H4228" s="17" t="s">
        <v>35</v>
      </c>
      <c r="I4228" s="17" t="s">
        <v>44</v>
      </c>
      <c r="J4228" s="17"/>
      <c r="K4228" s="17" t="e">
        <f aca="false">VLOOKUP(J4228,Sheet2!A:B,2,0)</f>
        <v>#N/A</v>
      </c>
      <c r="L4228" s="17" t="n">
        <v>5</v>
      </c>
      <c r="M4228" s="17" t="str">
        <f aca="false">VLOOKUP(L4228,Sheet2!D:E,2,0)</f>
        <v>Main Processor CPU BGA</v>
      </c>
      <c r="N4228" s="17" t="n">
        <v>1</v>
      </c>
      <c r="O4228" s="17" t="str">
        <f aca="false">VLOOKUP(N4228,Sheet2!G:H,2,0)</f>
        <v>Dead</v>
      </c>
      <c r="P4228" s="17" t="n">
        <v>11</v>
      </c>
      <c r="Q4228" s="17" t="str">
        <f aca="false">VLOOKUP(P4228,Sheet2!J:K,2,0)</f>
        <v>IR Declared due to CID -TA</v>
      </c>
      <c r="R4228" s="17" t="s">
        <v>35</v>
      </c>
      <c r="S4228" s="17" t="str">
        <f aca="false">VLOOKUP(R4228,Sheet2!N:O,2,0)</f>
        <v>IREPARABLE</v>
      </c>
      <c r="T4228" s="18" t="str">
        <f aca="false">VLOOKUP(P4228,Sheet2!Q:R,2,0)</f>
        <v>IR Normal - Track burn out</v>
      </c>
      <c r="U4228" s="20" t="s">
        <v>41</v>
      </c>
      <c r="V4228" s="17"/>
      <c r="W4228" s="20" t="e">
        <f aca="false">VLOOKUP(V4228,Sheet2!Q:R,2,0)</f>
        <v>#N/A</v>
      </c>
      <c r="X4228" s="17" t="n">
        <f aca="false">J4228</f>
        <v>0</v>
      </c>
      <c r="Y4228" s="17" t="e">
        <f aca="false">VLOOKUP(X4228,Sheet2!A:B,2,0)</f>
        <v>#N/A</v>
      </c>
      <c r="Z4228" s="17"/>
      <c r="AA4228" s="17"/>
      <c r="AC4228" s="23" t="str">
        <f aca="false">LEFT(G4228,2)</f>
        <v/>
      </c>
    </row>
    <row r="4229" customFormat="false" ht="15" hidden="false" customHeight="false" outlineLevel="0" collapsed="false">
      <c r="A4229" s="13" t="n">
        <f aca="false">1+A4228</f>
        <v>4227</v>
      </c>
      <c r="B4229" s="14" t="n">
        <v>100</v>
      </c>
      <c r="C4229" s="15"/>
      <c r="D4229" s="16" t="s">
        <v>64</v>
      </c>
      <c r="E4229" s="17" t="s">
        <v>47</v>
      </c>
      <c r="F4229" s="18" t="s">
        <v>34</v>
      </c>
      <c r="G4229" s="19"/>
      <c r="H4229" s="17" t="s">
        <v>35</v>
      </c>
      <c r="I4229" s="17" t="s">
        <v>44</v>
      </c>
      <c r="J4229" s="17"/>
      <c r="K4229" s="17" t="e">
        <f aca="false">VLOOKUP(J4229,Sheet2!A:B,2,0)</f>
        <v>#N/A</v>
      </c>
      <c r="L4229" s="17" t="n">
        <v>5</v>
      </c>
      <c r="M4229" s="17" t="str">
        <f aca="false">VLOOKUP(L4229,Sheet2!D:E,2,0)</f>
        <v>Main Processor CPU BGA</v>
      </c>
      <c r="N4229" s="17" t="n">
        <v>1</v>
      </c>
      <c r="O4229" s="17" t="str">
        <f aca="false">VLOOKUP(N4229,Sheet2!G:H,2,0)</f>
        <v>Dead</v>
      </c>
      <c r="P4229" s="17" t="n">
        <v>11</v>
      </c>
      <c r="Q4229" s="17" t="str">
        <f aca="false">VLOOKUP(P4229,Sheet2!J:K,2,0)</f>
        <v>IR Declared due to CID -TA</v>
      </c>
      <c r="R4229" s="17" t="s">
        <v>35</v>
      </c>
      <c r="S4229" s="17" t="str">
        <f aca="false">VLOOKUP(R4229,Sheet2!N:O,2,0)</f>
        <v>IREPARABLE</v>
      </c>
      <c r="T4229" s="18" t="str">
        <f aca="false">VLOOKUP(P4229,Sheet2!Q:R,2,0)</f>
        <v>IR Normal - Track burn out</v>
      </c>
      <c r="U4229" s="20" t="s">
        <v>41</v>
      </c>
      <c r="V4229" s="17"/>
      <c r="W4229" s="20" t="e">
        <f aca="false">VLOOKUP(V4229,Sheet2!Q:R,2,0)</f>
        <v>#N/A</v>
      </c>
      <c r="X4229" s="17" t="n">
        <f aca="false">J4229</f>
        <v>0</v>
      </c>
      <c r="Y4229" s="17" t="e">
        <f aca="false">VLOOKUP(X4229,Sheet2!A:B,2,0)</f>
        <v>#N/A</v>
      </c>
      <c r="Z4229" s="17"/>
      <c r="AA4229" s="17"/>
      <c r="AC4229" s="23" t="str">
        <f aca="false">LEFT(G4229,2)</f>
        <v/>
      </c>
    </row>
    <row r="4230" customFormat="false" ht="15" hidden="false" customHeight="false" outlineLevel="0" collapsed="false">
      <c r="A4230" s="13" t="n">
        <f aca="false">1+A4229</f>
        <v>4228</v>
      </c>
      <c r="B4230" s="14" t="n">
        <v>100</v>
      </c>
      <c r="C4230" s="15"/>
      <c r="D4230" s="16" t="s">
        <v>64</v>
      </c>
      <c r="E4230" s="17" t="s">
        <v>47</v>
      </c>
      <c r="F4230" s="18" t="s">
        <v>34</v>
      </c>
      <c r="G4230" s="19"/>
      <c r="H4230" s="17" t="s">
        <v>35</v>
      </c>
      <c r="I4230" s="17" t="s">
        <v>44</v>
      </c>
      <c r="J4230" s="17"/>
      <c r="K4230" s="17" t="e">
        <f aca="false">VLOOKUP(J4230,Sheet2!A:B,2,0)</f>
        <v>#N/A</v>
      </c>
      <c r="L4230" s="17" t="n">
        <v>5</v>
      </c>
      <c r="M4230" s="17" t="str">
        <f aca="false">VLOOKUP(L4230,Sheet2!D:E,2,0)</f>
        <v>Main Processor CPU BGA</v>
      </c>
      <c r="N4230" s="17" t="n">
        <v>1</v>
      </c>
      <c r="O4230" s="17" t="str">
        <f aca="false">VLOOKUP(N4230,Sheet2!G:H,2,0)</f>
        <v>Dead</v>
      </c>
      <c r="P4230" s="17" t="n">
        <v>11</v>
      </c>
      <c r="Q4230" s="17" t="str">
        <f aca="false">VLOOKUP(P4230,Sheet2!J:K,2,0)</f>
        <v>IR Declared due to CID -TA</v>
      </c>
      <c r="R4230" s="17" t="s">
        <v>35</v>
      </c>
      <c r="S4230" s="17" t="str">
        <f aca="false">VLOOKUP(R4230,Sheet2!N:O,2,0)</f>
        <v>IREPARABLE</v>
      </c>
      <c r="T4230" s="18" t="str">
        <f aca="false">VLOOKUP(P4230,Sheet2!Q:R,2,0)</f>
        <v>IR Normal - Track burn out</v>
      </c>
      <c r="U4230" s="20" t="s">
        <v>41</v>
      </c>
      <c r="V4230" s="17"/>
      <c r="W4230" s="20" t="e">
        <f aca="false">VLOOKUP(V4230,Sheet2!Q:R,2,0)</f>
        <v>#N/A</v>
      </c>
      <c r="X4230" s="17" t="n">
        <f aca="false">J4230</f>
        <v>0</v>
      </c>
      <c r="Y4230" s="17" t="e">
        <f aca="false">VLOOKUP(X4230,Sheet2!A:B,2,0)</f>
        <v>#N/A</v>
      </c>
      <c r="Z4230" s="17"/>
      <c r="AA4230" s="17"/>
      <c r="AC4230" s="23" t="str">
        <f aca="false">LEFT(G4230,2)</f>
        <v/>
      </c>
    </row>
    <row r="4231" customFormat="false" ht="15" hidden="false" customHeight="false" outlineLevel="0" collapsed="false">
      <c r="A4231" s="13" t="n">
        <f aca="false">1+A4230</f>
        <v>4229</v>
      </c>
      <c r="B4231" s="14" t="n">
        <v>100</v>
      </c>
      <c r="C4231" s="15"/>
      <c r="D4231" s="16" t="s">
        <v>64</v>
      </c>
      <c r="E4231" s="17" t="s">
        <v>47</v>
      </c>
      <c r="F4231" s="18" t="s">
        <v>34</v>
      </c>
      <c r="G4231" s="19"/>
      <c r="H4231" s="17" t="s">
        <v>35</v>
      </c>
      <c r="I4231" s="17" t="s">
        <v>44</v>
      </c>
      <c r="J4231" s="17"/>
      <c r="K4231" s="17" t="e">
        <f aca="false">VLOOKUP(J4231,Sheet2!A:B,2,0)</f>
        <v>#N/A</v>
      </c>
      <c r="L4231" s="17" t="n">
        <v>5</v>
      </c>
      <c r="M4231" s="17" t="str">
        <f aca="false">VLOOKUP(L4231,Sheet2!D:E,2,0)</f>
        <v>Main Processor CPU BGA</v>
      </c>
      <c r="N4231" s="17" t="n">
        <v>1</v>
      </c>
      <c r="O4231" s="17" t="str">
        <f aca="false">VLOOKUP(N4231,Sheet2!G:H,2,0)</f>
        <v>Dead</v>
      </c>
      <c r="P4231" s="17" t="n">
        <v>11</v>
      </c>
      <c r="Q4231" s="17" t="str">
        <f aca="false">VLOOKUP(P4231,Sheet2!J:K,2,0)</f>
        <v>IR Declared due to CID -TA</v>
      </c>
      <c r="R4231" s="17" t="s">
        <v>35</v>
      </c>
      <c r="S4231" s="17" t="str">
        <f aca="false">VLOOKUP(R4231,Sheet2!N:O,2,0)</f>
        <v>IREPARABLE</v>
      </c>
      <c r="T4231" s="18" t="str">
        <f aca="false">VLOOKUP(P4231,Sheet2!Q:R,2,0)</f>
        <v>IR Normal - Track burn out</v>
      </c>
      <c r="U4231" s="20" t="s">
        <v>41</v>
      </c>
      <c r="V4231" s="17"/>
      <c r="W4231" s="20" t="e">
        <f aca="false">VLOOKUP(V4231,Sheet2!Q:R,2,0)</f>
        <v>#N/A</v>
      </c>
      <c r="X4231" s="17" t="n">
        <f aca="false">J4231</f>
        <v>0</v>
      </c>
      <c r="Y4231" s="17" t="e">
        <f aca="false">VLOOKUP(X4231,Sheet2!A:B,2,0)</f>
        <v>#N/A</v>
      </c>
      <c r="Z4231" s="17"/>
      <c r="AA4231" s="17"/>
      <c r="AC4231" s="23" t="str">
        <f aca="false">LEFT(G4231,2)</f>
        <v/>
      </c>
    </row>
    <row r="4232" customFormat="false" ht="15" hidden="false" customHeight="false" outlineLevel="0" collapsed="false">
      <c r="A4232" s="13" t="n">
        <f aca="false">1+A4231</f>
        <v>4230</v>
      </c>
      <c r="B4232" s="14" t="n">
        <v>100</v>
      </c>
      <c r="C4232" s="15"/>
      <c r="D4232" s="16" t="s">
        <v>64</v>
      </c>
      <c r="E4232" s="17" t="s">
        <v>47</v>
      </c>
      <c r="F4232" s="18" t="s">
        <v>34</v>
      </c>
      <c r="G4232" s="19"/>
      <c r="H4232" s="17" t="s">
        <v>35</v>
      </c>
      <c r="I4232" s="17" t="s">
        <v>44</v>
      </c>
      <c r="J4232" s="17"/>
      <c r="K4232" s="17" t="e">
        <f aca="false">VLOOKUP(J4232,Sheet2!A:B,2,0)</f>
        <v>#N/A</v>
      </c>
      <c r="L4232" s="17" t="n">
        <v>5</v>
      </c>
      <c r="M4232" s="17" t="str">
        <f aca="false">VLOOKUP(L4232,Sheet2!D:E,2,0)</f>
        <v>Main Processor CPU BGA</v>
      </c>
      <c r="N4232" s="17" t="n">
        <v>1</v>
      </c>
      <c r="O4232" s="17" t="str">
        <f aca="false">VLOOKUP(N4232,Sheet2!G:H,2,0)</f>
        <v>Dead</v>
      </c>
      <c r="P4232" s="17" t="n">
        <v>11</v>
      </c>
      <c r="Q4232" s="17" t="str">
        <f aca="false">VLOOKUP(P4232,Sheet2!J:K,2,0)</f>
        <v>IR Declared due to CID -TA</v>
      </c>
      <c r="R4232" s="17" t="s">
        <v>35</v>
      </c>
      <c r="S4232" s="17" t="str">
        <f aca="false">VLOOKUP(R4232,Sheet2!N:O,2,0)</f>
        <v>IREPARABLE</v>
      </c>
      <c r="T4232" s="18" t="str">
        <f aca="false">VLOOKUP(P4232,Sheet2!Q:R,2,0)</f>
        <v>IR Normal - Track burn out</v>
      </c>
      <c r="U4232" s="20" t="s">
        <v>41</v>
      </c>
      <c r="V4232" s="17"/>
      <c r="W4232" s="20" t="e">
        <f aca="false">VLOOKUP(V4232,Sheet2!Q:R,2,0)</f>
        <v>#N/A</v>
      </c>
      <c r="X4232" s="17" t="n">
        <f aca="false">J4232</f>
        <v>0</v>
      </c>
      <c r="Y4232" s="17" t="e">
        <f aca="false">VLOOKUP(X4232,Sheet2!A:B,2,0)</f>
        <v>#N/A</v>
      </c>
      <c r="Z4232" s="17"/>
      <c r="AA4232" s="17"/>
      <c r="AC4232" s="23" t="str">
        <f aca="false">LEFT(G4232,2)</f>
        <v/>
      </c>
    </row>
    <row r="4233" customFormat="false" ht="15" hidden="false" customHeight="false" outlineLevel="0" collapsed="false">
      <c r="A4233" s="13" t="n">
        <f aca="false">1+A4232</f>
        <v>4231</v>
      </c>
      <c r="B4233" s="14" t="n">
        <v>100</v>
      </c>
      <c r="C4233" s="15"/>
      <c r="D4233" s="16" t="s">
        <v>64</v>
      </c>
      <c r="E4233" s="17" t="s">
        <v>47</v>
      </c>
      <c r="F4233" s="18" t="s">
        <v>34</v>
      </c>
      <c r="G4233" s="19"/>
      <c r="H4233" s="17" t="s">
        <v>35</v>
      </c>
      <c r="I4233" s="17" t="s">
        <v>44</v>
      </c>
      <c r="J4233" s="17"/>
      <c r="K4233" s="17" t="e">
        <f aca="false">VLOOKUP(J4233,Sheet2!A:B,2,0)</f>
        <v>#N/A</v>
      </c>
      <c r="L4233" s="17" t="n">
        <v>5</v>
      </c>
      <c r="M4233" s="17" t="str">
        <f aca="false">VLOOKUP(L4233,Sheet2!D:E,2,0)</f>
        <v>Main Processor CPU BGA</v>
      </c>
      <c r="N4233" s="17" t="n">
        <v>1</v>
      </c>
      <c r="O4233" s="17" t="str">
        <f aca="false">VLOOKUP(N4233,Sheet2!G:H,2,0)</f>
        <v>Dead</v>
      </c>
      <c r="P4233" s="17" t="n">
        <v>11</v>
      </c>
      <c r="Q4233" s="17" t="str">
        <f aca="false">VLOOKUP(P4233,Sheet2!J:K,2,0)</f>
        <v>IR Declared due to CID -TA</v>
      </c>
      <c r="R4233" s="17" t="s">
        <v>35</v>
      </c>
      <c r="S4233" s="17" t="str">
        <f aca="false">VLOOKUP(R4233,Sheet2!N:O,2,0)</f>
        <v>IREPARABLE</v>
      </c>
      <c r="T4233" s="18" t="str">
        <f aca="false">VLOOKUP(P4233,Sheet2!Q:R,2,0)</f>
        <v>IR Normal - Track burn out</v>
      </c>
      <c r="U4233" s="20" t="s">
        <v>41</v>
      </c>
      <c r="V4233" s="17"/>
      <c r="W4233" s="20" t="e">
        <f aca="false">VLOOKUP(V4233,Sheet2!Q:R,2,0)</f>
        <v>#N/A</v>
      </c>
      <c r="X4233" s="17" t="n">
        <f aca="false">J4233</f>
        <v>0</v>
      </c>
      <c r="Y4233" s="17" t="e">
        <f aca="false">VLOOKUP(X4233,Sheet2!A:B,2,0)</f>
        <v>#N/A</v>
      </c>
      <c r="Z4233" s="17"/>
      <c r="AA4233" s="17"/>
      <c r="AC4233" s="23" t="str">
        <f aca="false">LEFT(G4233,2)</f>
        <v/>
      </c>
    </row>
    <row r="4234" customFormat="false" ht="15" hidden="false" customHeight="false" outlineLevel="0" collapsed="false">
      <c r="A4234" s="13" t="n">
        <f aca="false">1+A4233</f>
        <v>4232</v>
      </c>
      <c r="B4234" s="14" t="n">
        <v>100</v>
      </c>
      <c r="C4234" s="15"/>
      <c r="D4234" s="16" t="s">
        <v>64</v>
      </c>
      <c r="E4234" s="17" t="s">
        <v>47</v>
      </c>
      <c r="F4234" s="18" t="s">
        <v>34</v>
      </c>
      <c r="G4234" s="19"/>
      <c r="H4234" s="17" t="s">
        <v>35</v>
      </c>
      <c r="I4234" s="17" t="s">
        <v>44</v>
      </c>
      <c r="J4234" s="17"/>
      <c r="K4234" s="17" t="e">
        <f aca="false">VLOOKUP(J4234,Sheet2!A:B,2,0)</f>
        <v>#N/A</v>
      </c>
      <c r="L4234" s="17" t="n">
        <v>5</v>
      </c>
      <c r="M4234" s="17" t="str">
        <f aca="false">VLOOKUP(L4234,Sheet2!D:E,2,0)</f>
        <v>Main Processor CPU BGA</v>
      </c>
      <c r="N4234" s="17" t="n">
        <v>1</v>
      </c>
      <c r="O4234" s="17" t="str">
        <f aca="false">VLOOKUP(N4234,Sheet2!G:H,2,0)</f>
        <v>Dead</v>
      </c>
      <c r="P4234" s="17" t="n">
        <v>11</v>
      </c>
      <c r="Q4234" s="17" t="str">
        <f aca="false">VLOOKUP(P4234,Sheet2!J:K,2,0)</f>
        <v>IR Declared due to CID -TA</v>
      </c>
      <c r="R4234" s="17" t="s">
        <v>35</v>
      </c>
      <c r="S4234" s="17" t="str">
        <f aca="false">VLOOKUP(R4234,Sheet2!N:O,2,0)</f>
        <v>IREPARABLE</v>
      </c>
      <c r="T4234" s="18" t="str">
        <f aca="false">VLOOKUP(P4234,Sheet2!Q:R,2,0)</f>
        <v>IR Normal - Track burn out</v>
      </c>
      <c r="U4234" s="20" t="s">
        <v>41</v>
      </c>
      <c r="V4234" s="17"/>
      <c r="W4234" s="20" t="e">
        <f aca="false">VLOOKUP(V4234,Sheet2!Q:R,2,0)</f>
        <v>#N/A</v>
      </c>
      <c r="X4234" s="17" t="n">
        <f aca="false">J4234</f>
        <v>0</v>
      </c>
      <c r="Y4234" s="17" t="e">
        <f aca="false">VLOOKUP(X4234,Sheet2!A:B,2,0)</f>
        <v>#N/A</v>
      </c>
      <c r="Z4234" s="17"/>
      <c r="AA4234" s="17"/>
      <c r="AC4234" s="23" t="str">
        <f aca="false">LEFT(G4234,2)</f>
        <v/>
      </c>
    </row>
    <row r="4235" customFormat="false" ht="15" hidden="false" customHeight="false" outlineLevel="0" collapsed="false">
      <c r="A4235" s="13" t="n">
        <f aca="false">1+A4234</f>
        <v>4233</v>
      </c>
      <c r="B4235" s="14" t="n">
        <v>100</v>
      </c>
      <c r="C4235" s="15"/>
      <c r="D4235" s="16" t="s">
        <v>64</v>
      </c>
      <c r="E4235" s="17" t="s">
        <v>47</v>
      </c>
      <c r="F4235" s="18" t="s">
        <v>34</v>
      </c>
      <c r="G4235" s="19"/>
      <c r="H4235" s="17" t="s">
        <v>35</v>
      </c>
      <c r="I4235" s="17" t="s">
        <v>44</v>
      </c>
      <c r="J4235" s="17"/>
      <c r="K4235" s="17" t="e">
        <f aca="false">VLOOKUP(J4235,Sheet2!A:B,2,0)</f>
        <v>#N/A</v>
      </c>
      <c r="L4235" s="17" t="n">
        <v>5</v>
      </c>
      <c r="M4235" s="17" t="str">
        <f aca="false">VLOOKUP(L4235,Sheet2!D:E,2,0)</f>
        <v>Main Processor CPU BGA</v>
      </c>
      <c r="N4235" s="17" t="n">
        <v>1</v>
      </c>
      <c r="O4235" s="17" t="str">
        <f aca="false">VLOOKUP(N4235,Sheet2!G:H,2,0)</f>
        <v>Dead</v>
      </c>
      <c r="P4235" s="17" t="n">
        <v>11</v>
      </c>
      <c r="Q4235" s="17" t="str">
        <f aca="false">VLOOKUP(P4235,Sheet2!J:K,2,0)</f>
        <v>IR Declared due to CID -TA</v>
      </c>
      <c r="R4235" s="17" t="s">
        <v>35</v>
      </c>
      <c r="S4235" s="17" t="str">
        <f aca="false">VLOOKUP(R4235,Sheet2!N:O,2,0)</f>
        <v>IREPARABLE</v>
      </c>
      <c r="T4235" s="18" t="str">
        <f aca="false">VLOOKUP(P4235,Sheet2!Q:R,2,0)</f>
        <v>IR Normal - Track burn out</v>
      </c>
      <c r="U4235" s="20" t="s">
        <v>41</v>
      </c>
      <c r="V4235" s="17"/>
      <c r="W4235" s="20" t="e">
        <f aca="false">VLOOKUP(V4235,Sheet2!Q:R,2,0)</f>
        <v>#N/A</v>
      </c>
      <c r="X4235" s="17" t="n">
        <f aca="false">J4235</f>
        <v>0</v>
      </c>
      <c r="Y4235" s="17" t="e">
        <f aca="false">VLOOKUP(X4235,Sheet2!A:B,2,0)</f>
        <v>#N/A</v>
      </c>
      <c r="Z4235" s="17"/>
      <c r="AA4235" s="17"/>
      <c r="AC4235" s="23" t="str">
        <f aca="false">LEFT(G4235,2)</f>
        <v/>
      </c>
    </row>
    <row r="4236" customFormat="false" ht="15" hidden="false" customHeight="false" outlineLevel="0" collapsed="false">
      <c r="A4236" s="13" t="n">
        <f aca="false">1+A4235</f>
        <v>4234</v>
      </c>
      <c r="B4236" s="14" t="n">
        <v>100</v>
      </c>
      <c r="C4236" s="15"/>
      <c r="D4236" s="16" t="s">
        <v>64</v>
      </c>
      <c r="E4236" s="17" t="s">
        <v>47</v>
      </c>
      <c r="F4236" s="18" t="s">
        <v>34</v>
      </c>
      <c r="G4236" s="19"/>
      <c r="H4236" s="17" t="s">
        <v>35</v>
      </c>
      <c r="I4236" s="17" t="s">
        <v>44</v>
      </c>
      <c r="J4236" s="17"/>
      <c r="K4236" s="17" t="e">
        <f aca="false">VLOOKUP(J4236,Sheet2!A:B,2,0)</f>
        <v>#N/A</v>
      </c>
      <c r="L4236" s="17" t="n">
        <v>5</v>
      </c>
      <c r="M4236" s="17" t="str">
        <f aca="false">VLOOKUP(L4236,Sheet2!D:E,2,0)</f>
        <v>Main Processor CPU BGA</v>
      </c>
      <c r="N4236" s="17" t="n">
        <v>1</v>
      </c>
      <c r="O4236" s="17" t="str">
        <f aca="false">VLOOKUP(N4236,Sheet2!G:H,2,0)</f>
        <v>Dead</v>
      </c>
      <c r="P4236" s="17" t="n">
        <v>11</v>
      </c>
      <c r="Q4236" s="17" t="str">
        <f aca="false">VLOOKUP(P4236,Sheet2!J:K,2,0)</f>
        <v>IR Declared due to CID -TA</v>
      </c>
      <c r="R4236" s="17" t="s">
        <v>35</v>
      </c>
      <c r="S4236" s="17" t="str">
        <f aca="false">VLOOKUP(R4236,Sheet2!N:O,2,0)</f>
        <v>IREPARABLE</v>
      </c>
      <c r="T4236" s="18" t="str">
        <f aca="false">VLOOKUP(P4236,Sheet2!Q:R,2,0)</f>
        <v>IR Normal - Track burn out</v>
      </c>
      <c r="U4236" s="20" t="s">
        <v>41</v>
      </c>
      <c r="V4236" s="17"/>
      <c r="W4236" s="20" t="e">
        <f aca="false">VLOOKUP(V4236,Sheet2!Q:R,2,0)</f>
        <v>#N/A</v>
      </c>
      <c r="X4236" s="17" t="n">
        <f aca="false">J4236</f>
        <v>0</v>
      </c>
      <c r="Y4236" s="17" t="e">
        <f aca="false">VLOOKUP(X4236,Sheet2!A:B,2,0)</f>
        <v>#N/A</v>
      </c>
      <c r="Z4236" s="17"/>
      <c r="AA4236" s="17"/>
      <c r="AC4236" s="23" t="str">
        <f aca="false">LEFT(G4236,2)</f>
        <v/>
      </c>
    </row>
    <row r="4237" customFormat="false" ht="15" hidden="false" customHeight="false" outlineLevel="0" collapsed="false">
      <c r="A4237" s="13" t="n">
        <f aca="false">1+A4236</f>
        <v>4235</v>
      </c>
      <c r="B4237" s="14" t="n">
        <v>100</v>
      </c>
      <c r="C4237" s="15"/>
      <c r="D4237" s="16" t="s">
        <v>64</v>
      </c>
      <c r="E4237" s="17" t="s">
        <v>47</v>
      </c>
      <c r="F4237" s="18" t="s">
        <v>34</v>
      </c>
      <c r="G4237" s="19"/>
      <c r="H4237" s="17" t="s">
        <v>35</v>
      </c>
      <c r="I4237" s="17" t="s">
        <v>44</v>
      </c>
      <c r="J4237" s="17"/>
      <c r="K4237" s="17" t="e">
        <f aca="false">VLOOKUP(J4237,Sheet2!A:B,2,0)</f>
        <v>#N/A</v>
      </c>
      <c r="L4237" s="17" t="n">
        <v>5</v>
      </c>
      <c r="M4237" s="17" t="str">
        <f aca="false">VLOOKUP(L4237,Sheet2!D:E,2,0)</f>
        <v>Main Processor CPU BGA</v>
      </c>
      <c r="N4237" s="17" t="n">
        <v>1</v>
      </c>
      <c r="O4237" s="17" t="str">
        <f aca="false">VLOOKUP(N4237,Sheet2!G:H,2,0)</f>
        <v>Dead</v>
      </c>
      <c r="P4237" s="17" t="n">
        <v>11</v>
      </c>
      <c r="Q4237" s="17" t="str">
        <f aca="false">VLOOKUP(P4237,Sheet2!J:K,2,0)</f>
        <v>IR Declared due to CID -TA</v>
      </c>
      <c r="R4237" s="17" t="s">
        <v>35</v>
      </c>
      <c r="S4237" s="17" t="str">
        <f aca="false">VLOOKUP(R4237,Sheet2!N:O,2,0)</f>
        <v>IREPARABLE</v>
      </c>
      <c r="T4237" s="18" t="str">
        <f aca="false">VLOOKUP(P4237,Sheet2!Q:R,2,0)</f>
        <v>IR Normal - Track burn out</v>
      </c>
      <c r="U4237" s="20" t="s">
        <v>41</v>
      </c>
      <c r="V4237" s="17"/>
      <c r="W4237" s="20" t="e">
        <f aca="false">VLOOKUP(V4237,Sheet2!Q:R,2,0)</f>
        <v>#N/A</v>
      </c>
      <c r="X4237" s="17" t="n">
        <f aca="false">J4237</f>
        <v>0</v>
      </c>
      <c r="Y4237" s="17" t="e">
        <f aca="false">VLOOKUP(X4237,Sheet2!A:B,2,0)</f>
        <v>#N/A</v>
      </c>
      <c r="Z4237" s="17"/>
      <c r="AA4237" s="17"/>
      <c r="AC4237" s="23" t="str">
        <f aca="false">LEFT(G4237,2)</f>
        <v/>
      </c>
    </row>
    <row r="4238" customFormat="false" ht="15" hidden="false" customHeight="false" outlineLevel="0" collapsed="false">
      <c r="A4238" s="13" t="n">
        <f aca="false">1+A4237</f>
        <v>4236</v>
      </c>
      <c r="B4238" s="14" t="n">
        <v>100</v>
      </c>
      <c r="C4238" s="15"/>
      <c r="D4238" s="16" t="s">
        <v>64</v>
      </c>
      <c r="E4238" s="17" t="s">
        <v>47</v>
      </c>
      <c r="F4238" s="18" t="s">
        <v>34</v>
      </c>
      <c r="G4238" s="19"/>
      <c r="H4238" s="17" t="s">
        <v>35</v>
      </c>
      <c r="I4238" s="17" t="s">
        <v>44</v>
      </c>
      <c r="J4238" s="17"/>
      <c r="K4238" s="17" t="e">
        <f aca="false">VLOOKUP(J4238,Sheet2!A:B,2,0)</f>
        <v>#N/A</v>
      </c>
      <c r="L4238" s="17" t="n">
        <v>5</v>
      </c>
      <c r="M4238" s="17" t="str">
        <f aca="false">VLOOKUP(L4238,Sheet2!D:E,2,0)</f>
        <v>Main Processor CPU BGA</v>
      </c>
      <c r="N4238" s="17" t="n">
        <v>1</v>
      </c>
      <c r="O4238" s="17" t="str">
        <f aca="false">VLOOKUP(N4238,Sheet2!G:H,2,0)</f>
        <v>Dead</v>
      </c>
      <c r="P4238" s="17" t="n">
        <v>11</v>
      </c>
      <c r="Q4238" s="17" t="str">
        <f aca="false">VLOOKUP(P4238,Sheet2!J:K,2,0)</f>
        <v>IR Declared due to CID -TA</v>
      </c>
      <c r="R4238" s="17" t="s">
        <v>35</v>
      </c>
      <c r="S4238" s="17" t="str">
        <f aca="false">VLOOKUP(R4238,Sheet2!N:O,2,0)</f>
        <v>IREPARABLE</v>
      </c>
      <c r="T4238" s="18" t="str">
        <f aca="false">VLOOKUP(P4238,Sheet2!Q:R,2,0)</f>
        <v>IR Normal - Track burn out</v>
      </c>
      <c r="U4238" s="20" t="s">
        <v>41</v>
      </c>
      <c r="V4238" s="17"/>
      <c r="W4238" s="20" t="e">
        <f aca="false">VLOOKUP(V4238,Sheet2!Q:R,2,0)</f>
        <v>#N/A</v>
      </c>
      <c r="X4238" s="17" t="n">
        <f aca="false">J4238</f>
        <v>0</v>
      </c>
      <c r="Y4238" s="17" t="e">
        <f aca="false">VLOOKUP(X4238,Sheet2!A:B,2,0)</f>
        <v>#N/A</v>
      </c>
      <c r="Z4238" s="17"/>
      <c r="AA4238" s="17"/>
      <c r="AC4238" s="23" t="str">
        <f aca="false">LEFT(G4238,2)</f>
        <v/>
      </c>
    </row>
    <row r="4239" customFormat="false" ht="15" hidden="false" customHeight="false" outlineLevel="0" collapsed="false">
      <c r="A4239" s="13" t="n">
        <f aca="false">1+A4238</f>
        <v>4237</v>
      </c>
      <c r="B4239" s="14" t="n">
        <v>100</v>
      </c>
      <c r="C4239" s="15"/>
      <c r="D4239" s="16" t="s">
        <v>64</v>
      </c>
      <c r="E4239" s="17" t="s">
        <v>47</v>
      </c>
      <c r="F4239" s="18" t="s">
        <v>34</v>
      </c>
      <c r="G4239" s="19"/>
      <c r="H4239" s="17" t="s">
        <v>35</v>
      </c>
      <c r="I4239" s="17" t="s">
        <v>44</v>
      </c>
      <c r="J4239" s="17"/>
      <c r="K4239" s="17" t="e">
        <f aca="false">VLOOKUP(J4239,Sheet2!A:B,2,0)</f>
        <v>#N/A</v>
      </c>
      <c r="L4239" s="17" t="n">
        <v>5</v>
      </c>
      <c r="M4239" s="17" t="str">
        <f aca="false">VLOOKUP(L4239,Sheet2!D:E,2,0)</f>
        <v>Main Processor CPU BGA</v>
      </c>
      <c r="N4239" s="17" t="n">
        <v>1</v>
      </c>
      <c r="O4239" s="17" t="str">
        <f aca="false">VLOOKUP(N4239,Sheet2!G:H,2,0)</f>
        <v>Dead</v>
      </c>
      <c r="P4239" s="17" t="n">
        <v>11</v>
      </c>
      <c r="Q4239" s="17" t="str">
        <f aca="false">VLOOKUP(P4239,Sheet2!J:K,2,0)</f>
        <v>IR Declared due to CID -TA</v>
      </c>
      <c r="R4239" s="17" t="s">
        <v>35</v>
      </c>
      <c r="S4239" s="17" t="str">
        <f aca="false">VLOOKUP(R4239,Sheet2!N:O,2,0)</f>
        <v>IREPARABLE</v>
      </c>
      <c r="T4239" s="18" t="str">
        <f aca="false">VLOOKUP(P4239,Sheet2!Q:R,2,0)</f>
        <v>IR Normal - Track burn out</v>
      </c>
      <c r="U4239" s="20" t="s">
        <v>41</v>
      </c>
      <c r="V4239" s="17"/>
      <c r="W4239" s="20" t="e">
        <f aca="false">VLOOKUP(V4239,Sheet2!Q:R,2,0)</f>
        <v>#N/A</v>
      </c>
      <c r="X4239" s="17" t="n">
        <f aca="false">J4239</f>
        <v>0</v>
      </c>
      <c r="Y4239" s="17" t="e">
        <f aca="false">VLOOKUP(X4239,Sheet2!A:B,2,0)</f>
        <v>#N/A</v>
      </c>
      <c r="Z4239" s="17"/>
      <c r="AA4239" s="17"/>
      <c r="AC4239" s="23" t="str">
        <f aca="false">LEFT(G4239,2)</f>
        <v/>
      </c>
    </row>
    <row r="4240" customFormat="false" ht="15" hidden="false" customHeight="false" outlineLevel="0" collapsed="false">
      <c r="A4240" s="13" t="n">
        <f aca="false">1+A4239</f>
        <v>4238</v>
      </c>
      <c r="B4240" s="14" t="n">
        <v>100</v>
      </c>
      <c r="C4240" s="15"/>
      <c r="D4240" s="16" t="s">
        <v>64</v>
      </c>
      <c r="E4240" s="17" t="s">
        <v>47</v>
      </c>
      <c r="F4240" s="18" t="s">
        <v>34</v>
      </c>
      <c r="G4240" s="19"/>
      <c r="H4240" s="17" t="s">
        <v>35</v>
      </c>
      <c r="I4240" s="17" t="s">
        <v>44</v>
      </c>
      <c r="J4240" s="17"/>
      <c r="K4240" s="17" t="e">
        <f aca="false">VLOOKUP(J4240,Sheet2!A:B,2,0)</f>
        <v>#N/A</v>
      </c>
      <c r="L4240" s="17" t="n">
        <v>5</v>
      </c>
      <c r="M4240" s="17" t="str">
        <f aca="false">VLOOKUP(L4240,Sheet2!D:E,2,0)</f>
        <v>Main Processor CPU BGA</v>
      </c>
      <c r="N4240" s="17" t="n">
        <v>1</v>
      </c>
      <c r="O4240" s="17" t="str">
        <f aca="false">VLOOKUP(N4240,Sheet2!G:H,2,0)</f>
        <v>Dead</v>
      </c>
      <c r="P4240" s="17" t="n">
        <v>11</v>
      </c>
      <c r="Q4240" s="17" t="str">
        <f aca="false">VLOOKUP(P4240,Sheet2!J:K,2,0)</f>
        <v>IR Declared due to CID -TA</v>
      </c>
      <c r="R4240" s="17" t="s">
        <v>35</v>
      </c>
      <c r="S4240" s="17" t="str">
        <f aca="false">VLOOKUP(R4240,Sheet2!N:O,2,0)</f>
        <v>IREPARABLE</v>
      </c>
      <c r="T4240" s="18" t="str">
        <f aca="false">VLOOKUP(P4240,Sheet2!Q:R,2,0)</f>
        <v>IR Normal - Track burn out</v>
      </c>
      <c r="U4240" s="20" t="s">
        <v>41</v>
      </c>
      <c r="V4240" s="17"/>
      <c r="W4240" s="20" t="e">
        <f aca="false">VLOOKUP(V4240,Sheet2!Q:R,2,0)</f>
        <v>#N/A</v>
      </c>
      <c r="X4240" s="17" t="n">
        <f aca="false">J4240</f>
        <v>0</v>
      </c>
      <c r="Y4240" s="17" t="e">
        <f aca="false">VLOOKUP(X4240,Sheet2!A:B,2,0)</f>
        <v>#N/A</v>
      </c>
      <c r="Z4240" s="17"/>
      <c r="AA4240" s="17"/>
      <c r="AC4240" s="23" t="str">
        <f aca="false">LEFT(G4240,2)</f>
        <v/>
      </c>
    </row>
    <row r="4241" customFormat="false" ht="15" hidden="false" customHeight="false" outlineLevel="0" collapsed="false">
      <c r="A4241" s="13" t="n">
        <f aca="false">1+A4240</f>
        <v>4239</v>
      </c>
      <c r="B4241" s="14" t="n">
        <v>100</v>
      </c>
      <c r="C4241" s="15"/>
      <c r="D4241" s="16" t="s">
        <v>64</v>
      </c>
      <c r="E4241" s="17" t="s">
        <v>47</v>
      </c>
      <c r="F4241" s="18" t="s">
        <v>34</v>
      </c>
      <c r="G4241" s="19"/>
      <c r="H4241" s="17" t="s">
        <v>35</v>
      </c>
      <c r="I4241" s="17" t="s">
        <v>44</v>
      </c>
      <c r="J4241" s="17"/>
      <c r="K4241" s="17" t="e">
        <f aca="false">VLOOKUP(J4241,Sheet2!A:B,2,0)</f>
        <v>#N/A</v>
      </c>
      <c r="L4241" s="17" t="n">
        <v>5</v>
      </c>
      <c r="M4241" s="17" t="str">
        <f aca="false">VLOOKUP(L4241,Sheet2!D:E,2,0)</f>
        <v>Main Processor CPU BGA</v>
      </c>
      <c r="N4241" s="17" t="n">
        <v>1</v>
      </c>
      <c r="O4241" s="17" t="str">
        <f aca="false">VLOOKUP(N4241,Sheet2!G:H,2,0)</f>
        <v>Dead</v>
      </c>
      <c r="P4241" s="17" t="n">
        <v>11</v>
      </c>
      <c r="Q4241" s="17" t="str">
        <f aca="false">VLOOKUP(P4241,Sheet2!J:K,2,0)</f>
        <v>IR Declared due to CID -TA</v>
      </c>
      <c r="R4241" s="17" t="s">
        <v>35</v>
      </c>
      <c r="S4241" s="17" t="str">
        <f aca="false">VLOOKUP(R4241,Sheet2!N:O,2,0)</f>
        <v>IREPARABLE</v>
      </c>
      <c r="T4241" s="18" t="str">
        <f aca="false">VLOOKUP(P4241,Sheet2!Q:R,2,0)</f>
        <v>IR Normal - Track burn out</v>
      </c>
      <c r="U4241" s="20" t="s">
        <v>41</v>
      </c>
      <c r="V4241" s="17"/>
      <c r="W4241" s="20" t="e">
        <f aca="false">VLOOKUP(V4241,Sheet2!Q:R,2,0)</f>
        <v>#N/A</v>
      </c>
      <c r="X4241" s="17" t="n">
        <f aca="false">J4241</f>
        <v>0</v>
      </c>
      <c r="Y4241" s="17" t="e">
        <f aca="false">VLOOKUP(X4241,Sheet2!A:B,2,0)</f>
        <v>#N/A</v>
      </c>
      <c r="Z4241" s="17"/>
      <c r="AA4241" s="17"/>
      <c r="AC4241" s="23" t="str">
        <f aca="false">LEFT(G4241,2)</f>
        <v/>
      </c>
    </row>
    <row r="4242" customFormat="false" ht="15" hidden="false" customHeight="false" outlineLevel="0" collapsed="false">
      <c r="A4242" s="13" t="n">
        <f aca="false">1+A4241</f>
        <v>4240</v>
      </c>
      <c r="B4242" s="14" t="n">
        <v>100</v>
      </c>
      <c r="C4242" s="15"/>
      <c r="D4242" s="16" t="s">
        <v>64</v>
      </c>
      <c r="E4242" s="17" t="s">
        <v>47</v>
      </c>
      <c r="F4242" s="18" t="s">
        <v>34</v>
      </c>
      <c r="G4242" s="19"/>
      <c r="H4242" s="17" t="s">
        <v>35</v>
      </c>
      <c r="I4242" s="17" t="s">
        <v>44</v>
      </c>
      <c r="J4242" s="17"/>
      <c r="K4242" s="17" t="e">
        <f aca="false">VLOOKUP(J4242,Sheet2!A:B,2,0)</f>
        <v>#N/A</v>
      </c>
      <c r="L4242" s="17" t="n">
        <v>5</v>
      </c>
      <c r="M4242" s="17" t="str">
        <f aca="false">VLOOKUP(L4242,Sheet2!D:E,2,0)</f>
        <v>Main Processor CPU BGA</v>
      </c>
      <c r="N4242" s="17" t="n">
        <v>1</v>
      </c>
      <c r="O4242" s="17" t="str">
        <f aca="false">VLOOKUP(N4242,Sheet2!G:H,2,0)</f>
        <v>Dead</v>
      </c>
      <c r="P4242" s="17" t="n">
        <v>11</v>
      </c>
      <c r="Q4242" s="17" t="str">
        <f aca="false">VLOOKUP(P4242,Sheet2!J:K,2,0)</f>
        <v>IR Declared due to CID -TA</v>
      </c>
      <c r="R4242" s="17" t="s">
        <v>35</v>
      </c>
      <c r="S4242" s="17" t="str">
        <f aca="false">VLOOKUP(R4242,Sheet2!N:O,2,0)</f>
        <v>IREPARABLE</v>
      </c>
      <c r="T4242" s="18" t="str">
        <f aca="false">VLOOKUP(P4242,Sheet2!Q:R,2,0)</f>
        <v>IR Normal - Track burn out</v>
      </c>
      <c r="U4242" s="20" t="s">
        <v>41</v>
      </c>
      <c r="V4242" s="17"/>
      <c r="W4242" s="20" t="e">
        <f aca="false">VLOOKUP(V4242,Sheet2!Q:R,2,0)</f>
        <v>#N/A</v>
      </c>
      <c r="X4242" s="17" t="n">
        <f aca="false">J4242</f>
        <v>0</v>
      </c>
      <c r="Y4242" s="17" t="e">
        <f aca="false">VLOOKUP(X4242,Sheet2!A:B,2,0)</f>
        <v>#N/A</v>
      </c>
      <c r="Z4242" s="17"/>
      <c r="AA4242" s="17"/>
      <c r="AC4242" s="23" t="str">
        <f aca="false">LEFT(G4242,2)</f>
        <v/>
      </c>
    </row>
    <row r="4243" customFormat="false" ht="15" hidden="false" customHeight="false" outlineLevel="0" collapsed="false">
      <c r="A4243" s="13" t="n">
        <f aca="false">1+A4242</f>
        <v>4241</v>
      </c>
      <c r="B4243" s="14" t="n">
        <v>100</v>
      </c>
      <c r="C4243" s="15"/>
      <c r="D4243" s="16" t="s">
        <v>64</v>
      </c>
      <c r="E4243" s="17" t="s">
        <v>47</v>
      </c>
      <c r="F4243" s="18" t="s">
        <v>34</v>
      </c>
      <c r="G4243" s="19"/>
      <c r="H4243" s="17" t="s">
        <v>35</v>
      </c>
      <c r="I4243" s="17" t="s">
        <v>44</v>
      </c>
      <c r="J4243" s="17"/>
      <c r="K4243" s="17" t="e">
        <f aca="false">VLOOKUP(J4243,Sheet2!A:B,2,0)</f>
        <v>#N/A</v>
      </c>
      <c r="L4243" s="17" t="n">
        <v>5</v>
      </c>
      <c r="M4243" s="17" t="str">
        <f aca="false">VLOOKUP(L4243,Sheet2!D:E,2,0)</f>
        <v>Main Processor CPU BGA</v>
      </c>
      <c r="N4243" s="17" t="n">
        <v>1</v>
      </c>
      <c r="O4243" s="17" t="str">
        <f aca="false">VLOOKUP(N4243,Sheet2!G:H,2,0)</f>
        <v>Dead</v>
      </c>
      <c r="P4243" s="17" t="n">
        <v>11</v>
      </c>
      <c r="Q4243" s="17" t="str">
        <f aca="false">VLOOKUP(P4243,Sheet2!J:K,2,0)</f>
        <v>IR Declared due to CID -TA</v>
      </c>
      <c r="R4243" s="17" t="s">
        <v>35</v>
      </c>
      <c r="S4243" s="17" t="str">
        <f aca="false">VLOOKUP(R4243,Sheet2!N:O,2,0)</f>
        <v>IREPARABLE</v>
      </c>
      <c r="T4243" s="18" t="str">
        <f aca="false">VLOOKUP(P4243,Sheet2!Q:R,2,0)</f>
        <v>IR Normal - Track burn out</v>
      </c>
      <c r="U4243" s="20" t="s">
        <v>41</v>
      </c>
      <c r="V4243" s="17"/>
      <c r="W4243" s="20" t="e">
        <f aca="false">VLOOKUP(V4243,Sheet2!Q:R,2,0)</f>
        <v>#N/A</v>
      </c>
      <c r="X4243" s="17" t="n">
        <f aca="false">J4243</f>
        <v>0</v>
      </c>
      <c r="Y4243" s="17" t="e">
        <f aca="false">VLOOKUP(X4243,Sheet2!A:B,2,0)</f>
        <v>#N/A</v>
      </c>
      <c r="Z4243" s="17"/>
      <c r="AA4243" s="17"/>
      <c r="AC4243" s="23" t="str">
        <f aca="false">LEFT(G4243,2)</f>
        <v/>
      </c>
    </row>
    <row r="4244" customFormat="false" ht="15" hidden="false" customHeight="false" outlineLevel="0" collapsed="false">
      <c r="A4244" s="13" t="n">
        <f aca="false">1+A4243</f>
        <v>4242</v>
      </c>
      <c r="B4244" s="14" t="n">
        <v>100</v>
      </c>
      <c r="C4244" s="15"/>
      <c r="D4244" s="16" t="s">
        <v>64</v>
      </c>
      <c r="E4244" s="17" t="s">
        <v>47</v>
      </c>
      <c r="F4244" s="18" t="s">
        <v>34</v>
      </c>
      <c r="G4244" s="19"/>
      <c r="H4244" s="17" t="s">
        <v>35</v>
      </c>
      <c r="I4244" s="17" t="s">
        <v>44</v>
      </c>
      <c r="J4244" s="17"/>
      <c r="K4244" s="17" t="e">
        <f aca="false">VLOOKUP(J4244,Sheet2!A:B,2,0)</f>
        <v>#N/A</v>
      </c>
      <c r="L4244" s="17" t="n">
        <v>5</v>
      </c>
      <c r="M4244" s="17" t="str">
        <f aca="false">VLOOKUP(L4244,Sheet2!D:E,2,0)</f>
        <v>Main Processor CPU BGA</v>
      </c>
      <c r="N4244" s="17" t="n">
        <v>1</v>
      </c>
      <c r="O4244" s="17" t="str">
        <f aca="false">VLOOKUP(N4244,Sheet2!G:H,2,0)</f>
        <v>Dead</v>
      </c>
      <c r="P4244" s="17" t="n">
        <v>11</v>
      </c>
      <c r="Q4244" s="17" t="str">
        <f aca="false">VLOOKUP(P4244,Sheet2!J:K,2,0)</f>
        <v>IR Declared due to CID -TA</v>
      </c>
      <c r="R4244" s="17" t="s">
        <v>35</v>
      </c>
      <c r="S4244" s="17" t="str">
        <f aca="false">VLOOKUP(R4244,Sheet2!N:O,2,0)</f>
        <v>IREPARABLE</v>
      </c>
      <c r="T4244" s="18" t="str">
        <f aca="false">VLOOKUP(P4244,Sheet2!Q:R,2,0)</f>
        <v>IR Normal - Track burn out</v>
      </c>
      <c r="U4244" s="20" t="s">
        <v>41</v>
      </c>
      <c r="V4244" s="17"/>
      <c r="W4244" s="20" t="e">
        <f aca="false">VLOOKUP(V4244,Sheet2!Q:R,2,0)</f>
        <v>#N/A</v>
      </c>
      <c r="X4244" s="17" t="n">
        <f aca="false">J4244</f>
        <v>0</v>
      </c>
      <c r="Y4244" s="17" t="e">
        <f aca="false">VLOOKUP(X4244,Sheet2!A:B,2,0)</f>
        <v>#N/A</v>
      </c>
      <c r="Z4244" s="17"/>
      <c r="AA4244" s="17"/>
      <c r="AC4244" s="23" t="str">
        <f aca="false">LEFT(G4244,2)</f>
        <v/>
      </c>
    </row>
    <row r="4245" customFormat="false" ht="15" hidden="false" customHeight="false" outlineLevel="0" collapsed="false">
      <c r="A4245" s="13" t="n">
        <f aca="false">1+A4244</f>
        <v>4243</v>
      </c>
      <c r="B4245" s="14" t="n">
        <v>100</v>
      </c>
      <c r="C4245" s="15"/>
      <c r="D4245" s="16" t="s">
        <v>64</v>
      </c>
      <c r="E4245" s="17" t="s">
        <v>47</v>
      </c>
      <c r="F4245" s="18" t="s">
        <v>34</v>
      </c>
      <c r="G4245" s="19"/>
      <c r="H4245" s="17" t="s">
        <v>35</v>
      </c>
      <c r="I4245" s="17" t="s">
        <v>44</v>
      </c>
      <c r="J4245" s="17"/>
      <c r="K4245" s="17" t="e">
        <f aca="false">VLOOKUP(J4245,Sheet2!A:B,2,0)</f>
        <v>#N/A</v>
      </c>
      <c r="L4245" s="17" t="n">
        <v>5</v>
      </c>
      <c r="M4245" s="17" t="str">
        <f aca="false">VLOOKUP(L4245,Sheet2!D:E,2,0)</f>
        <v>Main Processor CPU BGA</v>
      </c>
      <c r="N4245" s="17" t="n">
        <v>1</v>
      </c>
      <c r="O4245" s="17" t="str">
        <f aca="false">VLOOKUP(N4245,Sheet2!G:H,2,0)</f>
        <v>Dead</v>
      </c>
      <c r="P4245" s="17" t="n">
        <v>11</v>
      </c>
      <c r="Q4245" s="17" t="str">
        <f aca="false">VLOOKUP(P4245,Sheet2!J:K,2,0)</f>
        <v>IR Declared due to CID -TA</v>
      </c>
      <c r="R4245" s="17" t="s">
        <v>35</v>
      </c>
      <c r="S4245" s="17" t="str">
        <f aca="false">VLOOKUP(R4245,Sheet2!N:O,2,0)</f>
        <v>IREPARABLE</v>
      </c>
      <c r="T4245" s="18" t="str">
        <f aca="false">VLOOKUP(P4245,Sheet2!Q:R,2,0)</f>
        <v>IR Normal - Track burn out</v>
      </c>
      <c r="U4245" s="20" t="s">
        <v>41</v>
      </c>
      <c r="V4245" s="17"/>
      <c r="W4245" s="20" t="e">
        <f aca="false">VLOOKUP(V4245,Sheet2!Q:R,2,0)</f>
        <v>#N/A</v>
      </c>
      <c r="X4245" s="17" t="n">
        <f aca="false">J4245</f>
        <v>0</v>
      </c>
      <c r="Y4245" s="17" t="e">
        <f aca="false">VLOOKUP(X4245,Sheet2!A:B,2,0)</f>
        <v>#N/A</v>
      </c>
      <c r="Z4245" s="17"/>
      <c r="AA4245" s="17"/>
      <c r="AC4245" s="23" t="str">
        <f aca="false">LEFT(G4245,2)</f>
        <v/>
      </c>
    </row>
    <row r="4246" customFormat="false" ht="15" hidden="false" customHeight="false" outlineLevel="0" collapsed="false">
      <c r="A4246" s="13" t="n">
        <f aca="false">1+A4245</f>
        <v>4244</v>
      </c>
      <c r="B4246" s="14" t="n">
        <v>100</v>
      </c>
      <c r="C4246" s="15"/>
      <c r="D4246" s="16" t="s">
        <v>64</v>
      </c>
      <c r="E4246" s="17" t="s">
        <v>47</v>
      </c>
      <c r="F4246" s="18" t="s">
        <v>34</v>
      </c>
      <c r="G4246" s="19"/>
      <c r="H4246" s="17" t="s">
        <v>35</v>
      </c>
      <c r="I4246" s="17" t="s">
        <v>44</v>
      </c>
      <c r="J4246" s="17"/>
      <c r="K4246" s="17" t="e">
        <f aca="false">VLOOKUP(J4246,Sheet2!A:B,2,0)</f>
        <v>#N/A</v>
      </c>
      <c r="L4246" s="17" t="n">
        <v>5</v>
      </c>
      <c r="M4246" s="17" t="str">
        <f aca="false">VLOOKUP(L4246,Sheet2!D:E,2,0)</f>
        <v>Main Processor CPU BGA</v>
      </c>
      <c r="N4246" s="17" t="n">
        <v>1</v>
      </c>
      <c r="O4246" s="17" t="str">
        <f aca="false">VLOOKUP(N4246,Sheet2!G:H,2,0)</f>
        <v>Dead</v>
      </c>
      <c r="P4246" s="17" t="n">
        <v>11</v>
      </c>
      <c r="Q4246" s="17" t="str">
        <f aca="false">VLOOKUP(P4246,Sheet2!J:K,2,0)</f>
        <v>IR Declared due to CID -TA</v>
      </c>
      <c r="R4246" s="17" t="s">
        <v>35</v>
      </c>
      <c r="S4246" s="17" t="str">
        <f aca="false">VLOOKUP(R4246,Sheet2!N:O,2,0)</f>
        <v>IREPARABLE</v>
      </c>
      <c r="T4246" s="18" t="str">
        <f aca="false">VLOOKUP(P4246,Sheet2!Q:R,2,0)</f>
        <v>IR Normal - Track burn out</v>
      </c>
      <c r="U4246" s="20" t="s">
        <v>41</v>
      </c>
      <c r="V4246" s="17"/>
      <c r="W4246" s="20" t="e">
        <f aca="false">VLOOKUP(V4246,Sheet2!Q:R,2,0)</f>
        <v>#N/A</v>
      </c>
      <c r="X4246" s="17" t="n">
        <f aca="false">J4246</f>
        <v>0</v>
      </c>
      <c r="Y4246" s="17" t="e">
        <f aca="false">VLOOKUP(X4246,Sheet2!A:B,2,0)</f>
        <v>#N/A</v>
      </c>
      <c r="Z4246" s="17"/>
      <c r="AA4246" s="17"/>
      <c r="AC4246" s="23" t="str">
        <f aca="false">LEFT(G4246,2)</f>
        <v/>
      </c>
    </row>
    <row r="4247" customFormat="false" ht="15" hidden="false" customHeight="false" outlineLevel="0" collapsed="false">
      <c r="A4247" s="13" t="n">
        <f aca="false">1+A4246</f>
        <v>4245</v>
      </c>
      <c r="B4247" s="14" t="n">
        <v>100</v>
      </c>
      <c r="C4247" s="15"/>
      <c r="D4247" s="16" t="s">
        <v>64</v>
      </c>
      <c r="E4247" s="17" t="s">
        <v>47</v>
      </c>
      <c r="F4247" s="18" t="s">
        <v>34</v>
      </c>
      <c r="G4247" s="19"/>
      <c r="H4247" s="17" t="s">
        <v>35</v>
      </c>
      <c r="I4247" s="17" t="s">
        <v>44</v>
      </c>
      <c r="J4247" s="17"/>
      <c r="K4247" s="17" t="e">
        <f aca="false">VLOOKUP(J4247,Sheet2!A:B,2,0)</f>
        <v>#N/A</v>
      </c>
      <c r="L4247" s="17" t="n">
        <v>5</v>
      </c>
      <c r="M4247" s="17" t="str">
        <f aca="false">VLOOKUP(L4247,Sheet2!D:E,2,0)</f>
        <v>Main Processor CPU BGA</v>
      </c>
      <c r="N4247" s="17" t="n">
        <v>1</v>
      </c>
      <c r="O4247" s="17" t="str">
        <f aca="false">VLOOKUP(N4247,Sheet2!G:H,2,0)</f>
        <v>Dead</v>
      </c>
      <c r="P4247" s="17" t="n">
        <v>11</v>
      </c>
      <c r="Q4247" s="17" t="str">
        <f aca="false">VLOOKUP(P4247,Sheet2!J:K,2,0)</f>
        <v>IR Declared due to CID -TA</v>
      </c>
      <c r="R4247" s="17" t="s">
        <v>35</v>
      </c>
      <c r="S4247" s="17" t="str">
        <f aca="false">VLOOKUP(R4247,Sheet2!N:O,2,0)</f>
        <v>IREPARABLE</v>
      </c>
      <c r="T4247" s="18" t="str">
        <f aca="false">VLOOKUP(P4247,Sheet2!Q:R,2,0)</f>
        <v>IR Normal - Track burn out</v>
      </c>
      <c r="U4247" s="20" t="s">
        <v>41</v>
      </c>
      <c r="V4247" s="17"/>
      <c r="W4247" s="20" t="e">
        <f aca="false">VLOOKUP(V4247,Sheet2!Q:R,2,0)</f>
        <v>#N/A</v>
      </c>
      <c r="X4247" s="17" t="n">
        <f aca="false">J4247</f>
        <v>0</v>
      </c>
      <c r="Y4247" s="17" t="e">
        <f aca="false">VLOOKUP(X4247,Sheet2!A:B,2,0)</f>
        <v>#N/A</v>
      </c>
      <c r="Z4247" s="17"/>
      <c r="AA4247" s="17"/>
      <c r="AC4247" s="23" t="str">
        <f aca="false">LEFT(G4247,2)</f>
        <v/>
      </c>
    </row>
    <row r="4248" customFormat="false" ht="15" hidden="false" customHeight="false" outlineLevel="0" collapsed="false">
      <c r="A4248" s="13" t="n">
        <f aca="false">1+A4247</f>
        <v>4246</v>
      </c>
      <c r="B4248" s="14" t="n">
        <v>100</v>
      </c>
      <c r="C4248" s="15"/>
      <c r="D4248" s="16" t="s">
        <v>64</v>
      </c>
      <c r="E4248" s="17" t="s">
        <v>47</v>
      </c>
      <c r="F4248" s="18" t="s">
        <v>34</v>
      </c>
      <c r="G4248" s="19"/>
      <c r="H4248" s="17" t="s">
        <v>35</v>
      </c>
      <c r="I4248" s="17" t="s">
        <v>44</v>
      </c>
      <c r="J4248" s="17"/>
      <c r="K4248" s="17" t="e">
        <f aca="false">VLOOKUP(J4248,Sheet2!A:B,2,0)</f>
        <v>#N/A</v>
      </c>
      <c r="L4248" s="17" t="n">
        <v>5</v>
      </c>
      <c r="M4248" s="17" t="str">
        <f aca="false">VLOOKUP(L4248,Sheet2!D:E,2,0)</f>
        <v>Main Processor CPU BGA</v>
      </c>
      <c r="N4248" s="17" t="n">
        <v>1</v>
      </c>
      <c r="O4248" s="17" t="str">
        <f aca="false">VLOOKUP(N4248,Sheet2!G:H,2,0)</f>
        <v>Dead</v>
      </c>
      <c r="P4248" s="17" t="n">
        <v>11</v>
      </c>
      <c r="Q4248" s="17" t="str">
        <f aca="false">VLOOKUP(P4248,Sheet2!J:K,2,0)</f>
        <v>IR Declared due to CID -TA</v>
      </c>
      <c r="R4248" s="17" t="s">
        <v>35</v>
      </c>
      <c r="S4248" s="17" t="str">
        <f aca="false">VLOOKUP(R4248,Sheet2!N:O,2,0)</f>
        <v>IREPARABLE</v>
      </c>
      <c r="T4248" s="18" t="str">
        <f aca="false">VLOOKUP(P4248,Sheet2!Q:R,2,0)</f>
        <v>IR Normal - Track burn out</v>
      </c>
      <c r="U4248" s="20" t="s">
        <v>41</v>
      </c>
      <c r="V4248" s="17"/>
      <c r="W4248" s="20" t="e">
        <f aca="false">VLOOKUP(V4248,Sheet2!Q:R,2,0)</f>
        <v>#N/A</v>
      </c>
      <c r="X4248" s="17" t="n">
        <f aca="false">J4248</f>
        <v>0</v>
      </c>
      <c r="Y4248" s="17" t="e">
        <f aca="false">VLOOKUP(X4248,Sheet2!A:B,2,0)</f>
        <v>#N/A</v>
      </c>
      <c r="Z4248" s="17"/>
      <c r="AA4248" s="17"/>
      <c r="AC4248" s="23" t="str">
        <f aca="false">LEFT(G4248,2)</f>
        <v/>
      </c>
    </row>
    <row r="4249" customFormat="false" ht="15" hidden="false" customHeight="false" outlineLevel="0" collapsed="false">
      <c r="A4249" s="13" t="n">
        <f aca="false">1+A4248</f>
        <v>4247</v>
      </c>
      <c r="B4249" s="14" t="n">
        <v>100</v>
      </c>
      <c r="C4249" s="15"/>
      <c r="D4249" s="16" t="s">
        <v>64</v>
      </c>
      <c r="E4249" s="17" t="s">
        <v>47</v>
      </c>
      <c r="F4249" s="18" t="s">
        <v>34</v>
      </c>
      <c r="G4249" s="19"/>
      <c r="H4249" s="17" t="s">
        <v>35</v>
      </c>
      <c r="I4249" s="17" t="s">
        <v>44</v>
      </c>
      <c r="J4249" s="17"/>
      <c r="K4249" s="17" t="e">
        <f aca="false">VLOOKUP(J4249,Sheet2!A:B,2,0)</f>
        <v>#N/A</v>
      </c>
      <c r="L4249" s="17" t="n">
        <v>5</v>
      </c>
      <c r="M4249" s="17" t="str">
        <f aca="false">VLOOKUP(L4249,Sheet2!D:E,2,0)</f>
        <v>Main Processor CPU BGA</v>
      </c>
      <c r="N4249" s="17" t="n">
        <v>1</v>
      </c>
      <c r="O4249" s="17" t="str">
        <f aca="false">VLOOKUP(N4249,Sheet2!G:H,2,0)</f>
        <v>Dead</v>
      </c>
      <c r="P4249" s="17" t="n">
        <v>11</v>
      </c>
      <c r="Q4249" s="17" t="str">
        <f aca="false">VLOOKUP(P4249,Sheet2!J:K,2,0)</f>
        <v>IR Declared due to CID -TA</v>
      </c>
      <c r="R4249" s="17" t="s">
        <v>35</v>
      </c>
      <c r="S4249" s="17" t="str">
        <f aca="false">VLOOKUP(R4249,Sheet2!N:O,2,0)</f>
        <v>IREPARABLE</v>
      </c>
      <c r="T4249" s="18" t="str">
        <f aca="false">VLOOKUP(P4249,Sheet2!Q:R,2,0)</f>
        <v>IR Normal - Track burn out</v>
      </c>
      <c r="U4249" s="20" t="s">
        <v>41</v>
      </c>
      <c r="V4249" s="17"/>
      <c r="W4249" s="20" t="e">
        <f aca="false">VLOOKUP(V4249,Sheet2!Q:R,2,0)</f>
        <v>#N/A</v>
      </c>
      <c r="X4249" s="17" t="n">
        <f aca="false">J4249</f>
        <v>0</v>
      </c>
      <c r="Y4249" s="17" t="e">
        <f aca="false">VLOOKUP(X4249,Sheet2!A:B,2,0)</f>
        <v>#N/A</v>
      </c>
      <c r="Z4249" s="17"/>
      <c r="AA4249" s="17"/>
      <c r="AC4249" s="23" t="str">
        <f aca="false">LEFT(G4249,2)</f>
        <v/>
      </c>
    </row>
    <row r="4250" customFormat="false" ht="15" hidden="false" customHeight="false" outlineLevel="0" collapsed="false">
      <c r="A4250" s="13" t="n">
        <f aca="false">1+A4249</f>
        <v>4248</v>
      </c>
      <c r="B4250" s="14" t="n">
        <v>100</v>
      </c>
      <c r="C4250" s="15"/>
      <c r="D4250" s="16" t="s">
        <v>64</v>
      </c>
      <c r="E4250" s="17" t="s">
        <v>47</v>
      </c>
      <c r="F4250" s="18" t="s">
        <v>34</v>
      </c>
      <c r="G4250" s="19"/>
      <c r="H4250" s="17" t="s">
        <v>35</v>
      </c>
      <c r="I4250" s="17" t="s">
        <v>44</v>
      </c>
      <c r="J4250" s="17"/>
      <c r="K4250" s="17" t="e">
        <f aca="false">VLOOKUP(J4250,Sheet2!A:B,2,0)</f>
        <v>#N/A</v>
      </c>
      <c r="L4250" s="17" t="n">
        <v>5</v>
      </c>
      <c r="M4250" s="17" t="str">
        <f aca="false">VLOOKUP(L4250,Sheet2!D:E,2,0)</f>
        <v>Main Processor CPU BGA</v>
      </c>
      <c r="N4250" s="17" t="n">
        <v>1</v>
      </c>
      <c r="O4250" s="17" t="str">
        <f aca="false">VLOOKUP(N4250,Sheet2!G:H,2,0)</f>
        <v>Dead</v>
      </c>
      <c r="P4250" s="17" t="n">
        <v>11</v>
      </c>
      <c r="Q4250" s="17" t="str">
        <f aca="false">VLOOKUP(P4250,Sheet2!J:K,2,0)</f>
        <v>IR Declared due to CID -TA</v>
      </c>
      <c r="R4250" s="17" t="s">
        <v>35</v>
      </c>
      <c r="S4250" s="17" t="str">
        <f aca="false">VLOOKUP(R4250,Sheet2!N:O,2,0)</f>
        <v>IREPARABLE</v>
      </c>
      <c r="T4250" s="18" t="str">
        <f aca="false">VLOOKUP(P4250,Sheet2!Q:R,2,0)</f>
        <v>IR Normal - Track burn out</v>
      </c>
      <c r="U4250" s="20" t="s">
        <v>41</v>
      </c>
      <c r="V4250" s="17"/>
      <c r="W4250" s="20" t="e">
        <f aca="false">VLOOKUP(V4250,Sheet2!Q:R,2,0)</f>
        <v>#N/A</v>
      </c>
      <c r="X4250" s="17" t="n">
        <f aca="false">J4250</f>
        <v>0</v>
      </c>
      <c r="Y4250" s="17" t="e">
        <f aca="false">VLOOKUP(X4250,Sheet2!A:B,2,0)</f>
        <v>#N/A</v>
      </c>
      <c r="Z4250" s="17"/>
      <c r="AA4250" s="17"/>
      <c r="AC4250" s="23" t="str">
        <f aca="false">LEFT(G4250,2)</f>
        <v/>
      </c>
    </row>
    <row r="4251" customFormat="false" ht="15" hidden="false" customHeight="false" outlineLevel="0" collapsed="false">
      <c r="A4251" s="13" t="n">
        <f aca="false">1+A4250</f>
        <v>4249</v>
      </c>
      <c r="B4251" s="14" t="n">
        <v>100</v>
      </c>
      <c r="C4251" s="15"/>
      <c r="D4251" s="16" t="s">
        <v>64</v>
      </c>
      <c r="E4251" s="17" t="s">
        <v>47</v>
      </c>
      <c r="F4251" s="18" t="s">
        <v>34</v>
      </c>
      <c r="G4251" s="19"/>
      <c r="H4251" s="17" t="s">
        <v>35</v>
      </c>
      <c r="I4251" s="17" t="s">
        <v>44</v>
      </c>
      <c r="J4251" s="17"/>
      <c r="K4251" s="17" t="e">
        <f aca="false">VLOOKUP(J4251,Sheet2!A:B,2,0)</f>
        <v>#N/A</v>
      </c>
      <c r="L4251" s="17" t="n">
        <v>5</v>
      </c>
      <c r="M4251" s="17" t="str">
        <f aca="false">VLOOKUP(L4251,Sheet2!D:E,2,0)</f>
        <v>Main Processor CPU BGA</v>
      </c>
      <c r="N4251" s="17" t="n">
        <v>1</v>
      </c>
      <c r="O4251" s="17" t="str">
        <f aca="false">VLOOKUP(N4251,Sheet2!G:H,2,0)</f>
        <v>Dead</v>
      </c>
      <c r="P4251" s="17" t="n">
        <v>11</v>
      </c>
      <c r="Q4251" s="17" t="str">
        <f aca="false">VLOOKUP(P4251,Sheet2!J:K,2,0)</f>
        <v>IR Declared due to CID -TA</v>
      </c>
      <c r="R4251" s="17" t="s">
        <v>35</v>
      </c>
      <c r="S4251" s="17" t="str">
        <f aca="false">VLOOKUP(R4251,Sheet2!N:O,2,0)</f>
        <v>IREPARABLE</v>
      </c>
      <c r="T4251" s="18" t="str">
        <f aca="false">VLOOKUP(P4251,Sheet2!Q:R,2,0)</f>
        <v>IR Normal - Track burn out</v>
      </c>
      <c r="U4251" s="20" t="s">
        <v>41</v>
      </c>
      <c r="V4251" s="17"/>
      <c r="W4251" s="20" t="e">
        <f aca="false">VLOOKUP(V4251,Sheet2!Q:R,2,0)</f>
        <v>#N/A</v>
      </c>
      <c r="X4251" s="17" t="n">
        <f aca="false">J4251</f>
        <v>0</v>
      </c>
      <c r="Y4251" s="17" t="e">
        <f aca="false">VLOOKUP(X4251,Sheet2!A:B,2,0)</f>
        <v>#N/A</v>
      </c>
      <c r="Z4251" s="17"/>
      <c r="AA4251" s="17"/>
      <c r="AC4251" s="23" t="str">
        <f aca="false">LEFT(G4251,2)</f>
        <v/>
      </c>
    </row>
    <row r="4252" customFormat="false" ht="15" hidden="false" customHeight="false" outlineLevel="0" collapsed="false">
      <c r="A4252" s="13" t="n">
        <f aca="false">1+A4251</f>
        <v>4250</v>
      </c>
      <c r="B4252" s="14" t="n">
        <v>100</v>
      </c>
      <c r="C4252" s="15"/>
      <c r="D4252" s="16" t="s">
        <v>64</v>
      </c>
      <c r="E4252" s="17" t="s">
        <v>47</v>
      </c>
      <c r="F4252" s="18" t="s">
        <v>34</v>
      </c>
      <c r="G4252" s="19"/>
      <c r="H4252" s="17" t="s">
        <v>35</v>
      </c>
      <c r="I4252" s="17" t="s">
        <v>44</v>
      </c>
      <c r="J4252" s="17"/>
      <c r="K4252" s="17" t="e">
        <f aca="false">VLOOKUP(J4252,Sheet2!A:B,2,0)</f>
        <v>#N/A</v>
      </c>
      <c r="L4252" s="17" t="n">
        <v>5</v>
      </c>
      <c r="M4252" s="17" t="str">
        <f aca="false">VLOOKUP(L4252,Sheet2!D:E,2,0)</f>
        <v>Main Processor CPU BGA</v>
      </c>
      <c r="N4252" s="17" t="n">
        <v>1</v>
      </c>
      <c r="O4252" s="17" t="str">
        <f aca="false">VLOOKUP(N4252,Sheet2!G:H,2,0)</f>
        <v>Dead</v>
      </c>
      <c r="P4252" s="17" t="n">
        <v>11</v>
      </c>
      <c r="Q4252" s="17" t="str">
        <f aca="false">VLOOKUP(P4252,Sheet2!J:K,2,0)</f>
        <v>IR Declared due to CID -TA</v>
      </c>
      <c r="R4252" s="17" t="s">
        <v>35</v>
      </c>
      <c r="S4252" s="17" t="str">
        <f aca="false">VLOOKUP(R4252,Sheet2!N:O,2,0)</f>
        <v>IREPARABLE</v>
      </c>
      <c r="T4252" s="18" t="str">
        <f aca="false">VLOOKUP(P4252,Sheet2!Q:R,2,0)</f>
        <v>IR Normal - Track burn out</v>
      </c>
      <c r="U4252" s="20" t="s">
        <v>41</v>
      </c>
      <c r="V4252" s="17"/>
      <c r="W4252" s="20" t="e">
        <f aca="false">VLOOKUP(V4252,Sheet2!Q:R,2,0)</f>
        <v>#N/A</v>
      </c>
      <c r="X4252" s="17" t="n">
        <f aca="false">J4252</f>
        <v>0</v>
      </c>
      <c r="Y4252" s="17" t="e">
        <f aca="false">VLOOKUP(X4252,Sheet2!A:B,2,0)</f>
        <v>#N/A</v>
      </c>
      <c r="Z4252" s="17"/>
      <c r="AA4252" s="17"/>
      <c r="AC4252" s="23" t="str">
        <f aca="false">LEFT(G4252,2)</f>
        <v/>
      </c>
    </row>
    <row r="4253" customFormat="false" ht="15" hidden="false" customHeight="false" outlineLevel="0" collapsed="false">
      <c r="A4253" s="13" t="n">
        <f aca="false">1+A4252</f>
        <v>4251</v>
      </c>
      <c r="B4253" s="14" t="n">
        <v>100</v>
      </c>
      <c r="C4253" s="15"/>
      <c r="D4253" s="16" t="s">
        <v>64</v>
      </c>
      <c r="E4253" s="17" t="s">
        <v>47</v>
      </c>
      <c r="F4253" s="18" t="s">
        <v>34</v>
      </c>
      <c r="G4253" s="19"/>
      <c r="H4253" s="17" t="s">
        <v>35</v>
      </c>
      <c r="I4253" s="17" t="s">
        <v>44</v>
      </c>
      <c r="J4253" s="17"/>
      <c r="K4253" s="17" t="e">
        <f aca="false">VLOOKUP(J4253,Sheet2!A:B,2,0)</f>
        <v>#N/A</v>
      </c>
      <c r="L4253" s="17" t="n">
        <v>5</v>
      </c>
      <c r="M4253" s="17" t="str">
        <f aca="false">VLOOKUP(L4253,Sheet2!D:E,2,0)</f>
        <v>Main Processor CPU BGA</v>
      </c>
      <c r="N4253" s="17" t="n">
        <v>1</v>
      </c>
      <c r="O4253" s="17" t="str">
        <f aca="false">VLOOKUP(N4253,Sheet2!G:H,2,0)</f>
        <v>Dead</v>
      </c>
      <c r="P4253" s="17" t="n">
        <v>11</v>
      </c>
      <c r="Q4253" s="17" t="str">
        <f aca="false">VLOOKUP(P4253,Sheet2!J:K,2,0)</f>
        <v>IR Declared due to CID -TA</v>
      </c>
      <c r="R4253" s="17" t="s">
        <v>35</v>
      </c>
      <c r="S4253" s="17" t="str">
        <f aca="false">VLOOKUP(R4253,Sheet2!N:O,2,0)</f>
        <v>IREPARABLE</v>
      </c>
      <c r="T4253" s="18" t="str">
        <f aca="false">VLOOKUP(P4253,Sheet2!Q:R,2,0)</f>
        <v>IR Normal - Track burn out</v>
      </c>
      <c r="U4253" s="20" t="s">
        <v>41</v>
      </c>
      <c r="V4253" s="17"/>
      <c r="W4253" s="20" t="e">
        <f aca="false">VLOOKUP(V4253,Sheet2!Q:R,2,0)</f>
        <v>#N/A</v>
      </c>
      <c r="X4253" s="17" t="n">
        <f aca="false">J4253</f>
        <v>0</v>
      </c>
      <c r="Y4253" s="17" t="e">
        <f aca="false">VLOOKUP(X4253,Sheet2!A:B,2,0)</f>
        <v>#N/A</v>
      </c>
      <c r="Z4253" s="17"/>
      <c r="AA4253" s="17"/>
      <c r="AC4253" s="23" t="str">
        <f aca="false">LEFT(G4253,2)</f>
        <v/>
      </c>
    </row>
    <row r="4254" customFormat="false" ht="15" hidden="false" customHeight="false" outlineLevel="0" collapsed="false">
      <c r="A4254" s="13" t="n">
        <f aca="false">1+A4253</f>
        <v>4252</v>
      </c>
      <c r="B4254" s="14" t="n">
        <v>100</v>
      </c>
      <c r="C4254" s="15"/>
      <c r="D4254" s="16" t="s">
        <v>64</v>
      </c>
      <c r="E4254" s="17" t="s">
        <v>47</v>
      </c>
      <c r="F4254" s="18" t="s">
        <v>34</v>
      </c>
      <c r="G4254" s="19"/>
      <c r="H4254" s="17" t="s">
        <v>35</v>
      </c>
      <c r="I4254" s="17" t="s">
        <v>44</v>
      </c>
      <c r="J4254" s="17"/>
      <c r="K4254" s="17" t="e">
        <f aca="false">VLOOKUP(J4254,Sheet2!A:B,2,0)</f>
        <v>#N/A</v>
      </c>
      <c r="L4254" s="17" t="n">
        <v>5</v>
      </c>
      <c r="M4254" s="17" t="str">
        <f aca="false">VLOOKUP(L4254,Sheet2!D:E,2,0)</f>
        <v>Main Processor CPU BGA</v>
      </c>
      <c r="N4254" s="17" t="n">
        <v>1</v>
      </c>
      <c r="O4254" s="17" t="str">
        <f aca="false">VLOOKUP(N4254,Sheet2!G:H,2,0)</f>
        <v>Dead</v>
      </c>
      <c r="P4254" s="17" t="n">
        <v>11</v>
      </c>
      <c r="Q4254" s="17" t="str">
        <f aca="false">VLOOKUP(P4254,Sheet2!J:K,2,0)</f>
        <v>IR Declared due to CID -TA</v>
      </c>
      <c r="R4254" s="17" t="s">
        <v>35</v>
      </c>
      <c r="S4254" s="17" t="str">
        <f aca="false">VLOOKUP(R4254,Sheet2!N:O,2,0)</f>
        <v>IREPARABLE</v>
      </c>
      <c r="T4254" s="18" t="str">
        <f aca="false">VLOOKUP(P4254,Sheet2!Q:R,2,0)</f>
        <v>IR Normal - Track burn out</v>
      </c>
      <c r="U4254" s="20" t="s">
        <v>41</v>
      </c>
      <c r="V4254" s="17"/>
      <c r="W4254" s="20" t="e">
        <f aca="false">VLOOKUP(V4254,Sheet2!Q:R,2,0)</f>
        <v>#N/A</v>
      </c>
      <c r="X4254" s="17" t="n">
        <f aca="false">J4254</f>
        <v>0</v>
      </c>
      <c r="Y4254" s="17" t="e">
        <f aca="false">VLOOKUP(X4254,Sheet2!A:B,2,0)</f>
        <v>#N/A</v>
      </c>
      <c r="Z4254" s="17"/>
      <c r="AA4254" s="17"/>
      <c r="AC4254" s="23" t="str">
        <f aca="false">LEFT(G4254,2)</f>
        <v/>
      </c>
    </row>
    <row r="4255" customFormat="false" ht="15" hidden="false" customHeight="false" outlineLevel="0" collapsed="false">
      <c r="A4255" s="13" t="n">
        <f aca="false">1+A4254</f>
        <v>4253</v>
      </c>
      <c r="B4255" s="14" t="n">
        <v>100</v>
      </c>
      <c r="C4255" s="15"/>
      <c r="D4255" s="16" t="s">
        <v>64</v>
      </c>
      <c r="E4255" s="17" t="s">
        <v>47</v>
      </c>
      <c r="F4255" s="18" t="s">
        <v>34</v>
      </c>
      <c r="G4255" s="19"/>
      <c r="H4255" s="17" t="s">
        <v>35</v>
      </c>
      <c r="I4255" s="17" t="s">
        <v>44</v>
      </c>
      <c r="J4255" s="17"/>
      <c r="K4255" s="17" t="e">
        <f aca="false">VLOOKUP(J4255,Sheet2!A:B,2,0)</f>
        <v>#N/A</v>
      </c>
      <c r="L4255" s="17" t="n">
        <v>5</v>
      </c>
      <c r="M4255" s="17" t="str">
        <f aca="false">VLOOKUP(L4255,Sheet2!D:E,2,0)</f>
        <v>Main Processor CPU BGA</v>
      </c>
      <c r="N4255" s="17" t="n">
        <v>1</v>
      </c>
      <c r="O4255" s="17" t="str">
        <f aca="false">VLOOKUP(N4255,Sheet2!G:H,2,0)</f>
        <v>Dead</v>
      </c>
      <c r="P4255" s="17" t="n">
        <v>11</v>
      </c>
      <c r="Q4255" s="17" t="str">
        <f aca="false">VLOOKUP(P4255,Sheet2!J:K,2,0)</f>
        <v>IR Declared due to CID -TA</v>
      </c>
      <c r="R4255" s="17" t="s">
        <v>35</v>
      </c>
      <c r="S4255" s="17" t="str">
        <f aca="false">VLOOKUP(R4255,Sheet2!N:O,2,0)</f>
        <v>IREPARABLE</v>
      </c>
      <c r="T4255" s="18" t="str">
        <f aca="false">VLOOKUP(P4255,Sheet2!Q:R,2,0)</f>
        <v>IR Normal - Track burn out</v>
      </c>
      <c r="U4255" s="20" t="s">
        <v>41</v>
      </c>
      <c r="V4255" s="17"/>
      <c r="W4255" s="20" t="e">
        <f aca="false">VLOOKUP(V4255,Sheet2!Q:R,2,0)</f>
        <v>#N/A</v>
      </c>
      <c r="X4255" s="17" t="n">
        <f aca="false">J4255</f>
        <v>0</v>
      </c>
      <c r="Y4255" s="17" t="e">
        <f aca="false">VLOOKUP(X4255,Sheet2!A:B,2,0)</f>
        <v>#N/A</v>
      </c>
      <c r="Z4255" s="17"/>
      <c r="AA4255" s="17"/>
      <c r="AC4255" s="23" t="str">
        <f aca="false">LEFT(G4255,2)</f>
        <v/>
      </c>
    </row>
    <row r="4256" customFormat="false" ht="15" hidden="false" customHeight="false" outlineLevel="0" collapsed="false">
      <c r="A4256" s="13" t="n">
        <f aca="false">1+A4255</f>
        <v>4254</v>
      </c>
      <c r="B4256" s="14" t="n">
        <v>100</v>
      </c>
      <c r="C4256" s="15"/>
      <c r="D4256" s="16" t="s">
        <v>64</v>
      </c>
      <c r="E4256" s="17" t="s">
        <v>47</v>
      </c>
      <c r="F4256" s="18" t="s">
        <v>34</v>
      </c>
      <c r="G4256" s="19"/>
      <c r="H4256" s="17" t="s">
        <v>35</v>
      </c>
      <c r="I4256" s="17" t="s">
        <v>44</v>
      </c>
      <c r="J4256" s="17"/>
      <c r="K4256" s="17" t="e">
        <f aca="false">VLOOKUP(J4256,Sheet2!A:B,2,0)</f>
        <v>#N/A</v>
      </c>
      <c r="L4256" s="17" t="n">
        <v>5</v>
      </c>
      <c r="M4256" s="17" t="str">
        <f aca="false">VLOOKUP(L4256,Sheet2!D:E,2,0)</f>
        <v>Main Processor CPU BGA</v>
      </c>
      <c r="N4256" s="17" t="n">
        <v>1</v>
      </c>
      <c r="O4256" s="17" t="str">
        <f aca="false">VLOOKUP(N4256,Sheet2!G:H,2,0)</f>
        <v>Dead</v>
      </c>
      <c r="P4256" s="17" t="n">
        <v>11</v>
      </c>
      <c r="Q4256" s="17" t="str">
        <f aca="false">VLOOKUP(P4256,Sheet2!J:K,2,0)</f>
        <v>IR Declared due to CID -TA</v>
      </c>
      <c r="R4256" s="17" t="s">
        <v>35</v>
      </c>
      <c r="S4256" s="17" t="str">
        <f aca="false">VLOOKUP(R4256,Sheet2!N:O,2,0)</f>
        <v>IREPARABLE</v>
      </c>
      <c r="T4256" s="18" t="str">
        <f aca="false">VLOOKUP(P4256,Sheet2!Q:R,2,0)</f>
        <v>IR Normal - Track burn out</v>
      </c>
      <c r="U4256" s="20" t="s">
        <v>41</v>
      </c>
      <c r="V4256" s="17"/>
      <c r="W4256" s="20" t="e">
        <f aca="false">VLOOKUP(V4256,Sheet2!Q:R,2,0)</f>
        <v>#N/A</v>
      </c>
      <c r="X4256" s="17" t="n">
        <f aca="false">J4256</f>
        <v>0</v>
      </c>
      <c r="Y4256" s="17" t="e">
        <f aca="false">VLOOKUP(X4256,Sheet2!A:B,2,0)</f>
        <v>#N/A</v>
      </c>
      <c r="Z4256" s="17"/>
      <c r="AA4256" s="17"/>
      <c r="AC4256" s="23" t="str">
        <f aca="false">LEFT(G4256,2)</f>
        <v/>
      </c>
    </row>
    <row r="4257" customFormat="false" ht="15" hidden="false" customHeight="false" outlineLevel="0" collapsed="false">
      <c r="A4257" s="13" t="n">
        <f aca="false">1+A4256</f>
        <v>4255</v>
      </c>
      <c r="B4257" s="14" t="n">
        <v>100</v>
      </c>
      <c r="C4257" s="15"/>
      <c r="D4257" s="16" t="s">
        <v>64</v>
      </c>
      <c r="E4257" s="17" t="s">
        <v>47</v>
      </c>
      <c r="F4257" s="18" t="s">
        <v>34</v>
      </c>
      <c r="G4257" s="19"/>
      <c r="H4257" s="17" t="s">
        <v>35</v>
      </c>
      <c r="I4257" s="17" t="s">
        <v>44</v>
      </c>
      <c r="J4257" s="17"/>
      <c r="K4257" s="17" t="e">
        <f aca="false">VLOOKUP(J4257,Sheet2!A:B,2,0)</f>
        <v>#N/A</v>
      </c>
      <c r="L4257" s="17" t="n">
        <v>5</v>
      </c>
      <c r="M4257" s="17" t="str">
        <f aca="false">VLOOKUP(L4257,Sheet2!D:E,2,0)</f>
        <v>Main Processor CPU BGA</v>
      </c>
      <c r="N4257" s="17" t="n">
        <v>1</v>
      </c>
      <c r="O4257" s="17" t="str">
        <f aca="false">VLOOKUP(N4257,Sheet2!G:H,2,0)</f>
        <v>Dead</v>
      </c>
      <c r="P4257" s="17" t="n">
        <v>11</v>
      </c>
      <c r="Q4257" s="17" t="str">
        <f aca="false">VLOOKUP(P4257,Sheet2!J:K,2,0)</f>
        <v>IR Declared due to CID -TA</v>
      </c>
      <c r="R4257" s="17" t="s">
        <v>35</v>
      </c>
      <c r="S4257" s="17" t="str">
        <f aca="false">VLOOKUP(R4257,Sheet2!N:O,2,0)</f>
        <v>IREPARABLE</v>
      </c>
      <c r="T4257" s="18" t="str">
        <f aca="false">VLOOKUP(P4257,Sheet2!Q:R,2,0)</f>
        <v>IR Normal - Track burn out</v>
      </c>
      <c r="U4257" s="20" t="s">
        <v>41</v>
      </c>
      <c r="V4257" s="17"/>
      <c r="W4257" s="20" t="e">
        <f aca="false">VLOOKUP(V4257,Sheet2!Q:R,2,0)</f>
        <v>#N/A</v>
      </c>
      <c r="X4257" s="17" t="n">
        <f aca="false">J4257</f>
        <v>0</v>
      </c>
      <c r="Y4257" s="17" t="e">
        <f aca="false">VLOOKUP(X4257,Sheet2!A:B,2,0)</f>
        <v>#N/A</v>
      </c>
      <c r="Z4257" s="17"/>
      <c r="AA4257" s="17"/>
      <c r="AC4257" s="23" t="str">
        <f aca="false">LEFT(G4257,2)</f>
        <v/>
      </c>
    </row>
    <row r="4258" customFormat="false" ht="15" hidden="false" customHeight="false" outlineLevel="0" collapsed="false">
      <c r="A4258" s="13" t="n">
        <f aca="false">1+A4257</f>
        <v>4256</v>
      </c>
      <c r="B4258" s="14" t="n">
        <v>100</v>
      </c>
      <c r="C4258" s="15"/>
      <c r="D4258" s="16" t="s">
        <v>64</v>
      </c>
      <c r="E4258" s="17" t="s">
        <v>47</v>
      </c>
      <c r="F4258" s="18" t="s">
        <v>34</v>
      </c>
      <c r="G4258" s="19"/>
      <c r="H4258" s="17" t="s">
        <v>35</v>
      </c>
      <c r="I4258" s="17" t="s">
        <v>44</v>
      </c>
      <c r="J4258" s="17"/>
      <c r="K4258" s="17" t="e">
        <f aca="false">VLOOKUP(J4258,Sheet2!A:B,2,0)</f>
        <v>#N/A</v>
      </c>
      <c r="L4258" s="17" t="n">
        <v>5</v>
      </c>
      <c r="M4258" s="17" t="str">
        <f aca="false">VLOOKUP(L4258,Sheet2!D:E,2,0)</f>
        <v>Main Processor CPU BGA</v>
      </c>
      <c r="N4258" s="17" t="n">
        <v>1</v>
      </c>
      <c r="O4258" s="17" t="str">
        <f aca="false">VLOOKUP(N4258,Sheet2!G:H,2,0)</f>
        <v>Dead</v>
      </c>
      <c r="P4258" s="17" t="n">
        <v>11</v>
      </c>
      <c r="Q4258" s="17" t="str">
        <f aca="false">VLOOKUP(P4258,Sheet2!J:K,2,0)</f>
        <v>IR Declared due to CID -TA</v>
      </c>
      <c r="R4258" s="17" t="s">
        <v>35</v>
      </c>
      <c r="S4258" s="17" t="str">
        <f aca="false">VLOOKUP(R4258,Sheet2!N:O,2,0)</f>
        <v>IREPARABLE</v>
      </c>
      <c r="T4258" s="18" t="str">
        <f aca="false">VLOOKUP(P4258,Sheet2!Q:R,2,0)</f>
        <v>IR Normal - Track burn out</v>
      </c>
      <c r="U4258" s="20" t="s">
        <v>41</v>
      </c>
      <c r="V4258" s="17"/>
      <c r="W4258" s="20" t="e">
        <f aca="false">VLOOKUP(V4258,Sheet2!Q:R,2,0)</f>
        <v>#N/A</v>
      </c>
      <c r="X4258" s="17" t="n">
        <f aca="false">J4258</f>
        <v>0</v>
      </c>
      <c r="Y4258" s="17" t="e">
        <f aca="false">VLOOKUP(X4258,Sheet2!A:B,2,0)</f>
        <v>#N/A</v>
      </c>
      <c r="Z4258" s="17"/>
      <c r="AA4258" s="17"/>
      <c r="AC4258" s="23" t="str">
        <f aca="false">LEFT(G4258,2)</f>
        <v/>
      </c>
    </row>
    <row r="4259" customFormat="false" ht="15" hidden="false" customHeight="false" outlineLevel="0" collapsed="false">
      <c r="A4259" s="13" t="n">
        <f aca="false">1+A4258</f>
        <v>4257</v>
      </c>
      <c r="B4259" s="14" t="n">
        <v>100</v>
      </c>
      <c r="C4259" s="15"/>
      <c r="D4259" s="16" t="s">
        <v>64</v>
      </c>
      <c r="E4259" s="17" t="s">
        <v>47</v>
      </c>
      <c r="F4259" s="18" t="s">
        <v>34</v>
      </c>
      <c r="G4259" s="19"/>
      <c r="H4259" s="17" t="s">
        <v>35</v>
      </c>
      <c r="I4259" s="17" t="s">
        <v>44</v>
      </c>
      <c r="J4259" s="17"/>
      <c r="K4259" s="17" t="e">
        <f aca="false">VLOOKUP(J4259,Sheet2!A:B,2,0)</f>
        <v>#N/A</v>
      </c>
      <c r="L4259" s="17" t="n">
        <v>5</v>
      </c>
      <c r="M4259" s="17" t="str">
        <f aca="false">VLOOKUP(L4259,Sheet2!D:E,2,0)</f>
        <v>Main Processor CPU BGA</v>
      </c>
      <c r="N4259" s="17" t="n">
        <v>1</v>
      </c>
      <c r="O4259" s="17" t="str">
        <f aca="false">VLOOKUP(N4259,Sheet2!G:H,2,0)</f>
        <v>Dead</v>
      </c>
      <c r="P4259" s="17" t="n">
        <v>11</v>
      </c>
      <c r="Q4259" s="17" t="str">
        <f aca="false">VLOOKUP(P4259,Sheet2!J:K,2,0)</f>
        <v>IR Declared due to CID -TA</v>
      </c>
      <c r="R4259" s="17" t="s">
        <v>35</v>
      </c>
      <c r="S4259" s="17" t="str">
        <f aca="false">VLOOKUP(R4259,Sheet2!N:O,2,0)</f>
        <v>IREPARABLE</v>
      </c>
      <c r="T4259" s="18" t="str">
        <f aca="false">VLOOKUP(P4259,Sheet2!Q:R,2,0)</f>
        <v>IR Normal - Track burn out</v>
      </c>
      <c r="U4259" s="20" t="s">
        <v>41</v>
      </c>
      <c r="V4259" s="17"/>
      <c r="W4259" s="20" t="e">
        <f aca="false">VLOOKUP(V4259,Sheet2!Q:R,2,0)</f>
        <v>#N/A</v>
      </c>
      <c r="X4259" s="17" t="n">
        <f aca="false">J4259</f>
        <v>0</v>
      </c>
      <c r="Y4259" s="17" t="e">
        <f aca="false">VLOOKUP(X4259,Sheet2!A:B,2,0)</f>
        <v>#N/A</v>
      </c>
      <c r="Z4259" s="17"/>
      <c r="AA4259" s="17"/>
      <c r="AC4259" s="23" t="str">
        <f aca="false">LEFT(G4259,2)</f>
        <v/>
      </c>
    </row>
    <row r="4260" customFormat="false" ht="15" hidden="false" customHeight="false" outlineLevel="0" collapsed="false">
      <c r="A4260" s="13" t="n">
        <f aca="false">1+A4259</f>
        <v>4258</v>
      </c>
      <c r="B4260" s="14" t="n">
        <v>100</v>
      </c>
      <c r="C4260" s="15"/>
      <c r="D4260" s="16" t="s">
        <v>64</v>
      </c>
      <c r="E4260" s="17" t="s">
        <v>47</v>
      </c>
      <c r="F4260" s="18" t="s">
        <v>34</v>
      </c>
      <c r="G4260" s="19"/>
      <c r="H4260" s="17" t="s">
        <v>35</v>
      </c>
      <c r="I4260" s="17" t="s">
        <v>44</v>
      </c>
      <c r="J4260" s="17"/>
      <c r="K4260" s="17" t="e">
        <f aca="false">VLOOKUP(J4260,Sheet2!A:B,2,0)</f>
        <v>#N/A</v>
      </c>
      <c r="L4260" s="17" t="n">
        <v>5</v>
      </c>
      <c r="M4260" s="17" t="str">
        <f aca="false">VLOOKUP(L4260,Sheet2!D:E,2,0)</f>
        <v>Main Processor CPU BGA</v>
      </c>
      <c r="N4260" s="17" t="n">
        <v>1</v>
      </c>
      <c r="O4260" s="17" t="str">
        <f aca="false">VLOOKUP(N4260,Sheet2!G:H,2,0)</f>
        <v>Dead</v>
      </c>
      <c r="P4260" s="17" t="n">
        <v>11</v>
      </c>
      <c r="Q4260" s="17" t="str">
        <f aca="false">VLOOKUP(P4260,Sheet2!J:K,2,0)</f>
        <v>IR Declared due to CID -TA</v>
      </c>
      <c r="R4260" s="17" t="s">
        <v>35</v>
      </c>
      <c r="S4260" s="17" t="str">
        <f aca="false">VLOOKUP(R4260,Sheet2!N:O,2,0)</f>
        <v>IREPARABLE</v>
      </c>
      <c r="T4260" s="18" t="str">
        <f aca="false">VLOOKUP(P4260,Sheet2!Q:R,2,0)</f>
        <v>IR Normal - Track burn out</v>
      </c>
      <c r="U4260" s="20" t="s">
        <v>41</v>
      </c>
      <c r="V4260" s="17"/>
      <c r="W4260" s="20" t="e">
        <f aca="false">VLOOKUP(V4260,Sheet2!Q:R,2,0)</f>
        <v>#N/A</v>
      </c>
      <c r="X4260" s="17" t="n">
        <f aca="false">J4260</f>
        <v>0</v>
      </c>
      <c r="Y4260" s="17" t="e">
        <f aca="false">VLOOKUP(X4260,Sheet2!A:B,2,0)</f>
        <v>#N/A</v>
      </c>
      <c r="Z4260" s="17"/>
      <c r="AA4260" s="17"/>
      <c r="AC4260" s="23" t="str">
        <f aca="false">LEFT(G4260,2)</f>
        <v/>
      </c>
    </row>
    <row r="4261" customFormat="false" ht="15" hidden="false" customHeight="false" outlineLevel="0" collapsed="false">
      <c r="A4261" s="13" t="n">
        <f aca="false">1+A4260</f>
        <v>4259</v>
      </c>
      <c r="B4261" s="14" t="n">
        <v>100</v>
      </c>
      <c r="C4261" s="15"/>
      <c r="D4261" s="16" t="s">
        <v>64</v>
      </c>
      <c r="E4261" s="17" t="s">
        <v>47</v>
      </c>
      <c r="F4261" s="18" t="s">
        <v>34</v>
      </c>
      <c r="G4261" s="19"/>
      <c r="H4261" s="17" t="s">
        <v>35</v>
      </c>
      <c r="I4261" s="17" t="s">
        <v>44</v>
      </c>
      <c r="J4261" s="17"/>
      <c r="K4261" s="17" t="e">
        <f aca="false">VLOOKUP(J4261,Sheet2!A:B,2,0)</f>
        <v>#N/A</v>
      </c>
      <c r="L4261" s="17" t="n">
        <v>5</v>
      </c>
      <c r="M4261" s="17" t="str">
        <f aca="false">VLOOKUP(L4261,Sheet2!D:E,2,0)</f>
        <v>Main Processor CPU BGA</v>
      </c>
      <c r="N4261" s="17" t="n">
        <v>1</v>
      </c>
      <c r="O4261" s="17" t="str">
        <f aca="false">VLOOKUP(N4261,Sheet2!G:H,2,0)</f>
        <v>Dead</v>
      </c>
      <c r="P4261" s="17" t="n">
        <v>11</v>
      </c>
      <c r="Q4261" s="17" t="str">
        <f aca="false">VLOOKUP(P4261,Sheet2!J:K,2,0)</f>
        <v>IR Declared due to CID -TA</v>
      </c>
      <c r="R4261" s="17" t="s">
        <v>35</v>
      </c>
      <c r="S4261" s="17" t="str">
        <f aca="false">VLOOKUP(R4261,Sheet2!N:O,2,0)</f>
        <v>IREPARABLE</v>
      </c>
      <c r="T4261" s="18" t="str">
        <f aca="false">VLOOKUP(P4261,Sheet2!Q:R,2,0)</f>
        <v>IR Normal - Track burn out</v>
      </c>
      <c r="U4261" s="20" t="s">
        <v>41</v>
      </c>
      <c r="V4261" s="17"/>
      <c r="W4261" s="20" t="e">
        <f aca="false">VLOOKUP(V4261,Sheet2!Q:R,2,0)</f>
        <v>#N/A</v>
      </c>
      <c r="X4261" s="17" t="n">
        <f aca="false">J4261</f>
        <v>0</v>
      </c>
      <c r="Y4261" s="17" t="e">
        <f aca="false">VLOOKUP(X4261,Sheet2!A:B,2,0)</f>
        <v>#N/A</v>
      </c>
      <c r="Z4261" s="17"/>
      <c r="AA4261" s="17"/>
      <c r="AC4261" s="23" t="str">
        <f aca="false">LEFT(G4261,2)</f>
        <v/>
      </c>
    </row>
    <row r="4262" customFormat="false" ht="15" hidden="false" customHeight="false" outlineLevel="0" collapsed="false">
      <c r="A4262" s="13" t="n">
        <f aca="false">1+A4261</f>
        <v>4260</v>
      </c>
      <c r="B4262" s="14" t="n">
        <v>100</v>
      </c>
      <c r="C4262" s="15"/>
      <c r="D4262" s="16" t="s">
        <v>64</v>
      </c>
      <c r="E4262" s="17" t="s">
        <v>47</v>
      </c>
      <c r="F4262" s="18" t="s">
        <v>34</v>
      </c>
      <c r="G4262" s="19"/>
      <c r="H4262" s="17" t="s">
        <v>35</v>
      </c>
      <c r="I4262" s="17" t="s">
        <v>44</v>
      </c>
      <c r="J4262" s="17"/>
      <c r="K4262" s="17" t="e">
        <f aca="false">VLOOKUP(J4262,Sheet2!A:B,2,0)</f>
        <v>#N/A</v>
      </c>
      <c r="L4262" s="17" t="n">
        <v>5</v>
      </c>
      <c r="M4262" s="17" t="str">
        <f aca="false">VLOOKUP(L4262,Sheet2!D:E,2,0)</f>
        <v>Main Processor CPU BGA</v>
      </c>
      <c r="N4262" s="17" t="n">
        <v>1</v>
      </c>
      <c r="O4262" s="17" t="str">
        <f aca="false">VLOOKUP(N4262,Sheet2!G:H,2,0)</f>
        <v>Dead</v>
      </c>
      <c r="P4262" s="17" t="n">
        <v>11</v>
      </c>
      <c r="Q4262" s="17" t="str">
        <f aca="false">VLOOKUP(P4262,Sheet2!J:K,2,0)</f>
        <v>IR Declared due to CID -TA</v>
      </c>
      <c r="R4262" s="17" t="s">
        <v>35</v>
      </c>
      <c r="S4262" s="17" t="str">
        <f aca="false">VLOOKUP(R4262,Sheet2!N:O,2,0)</f>
        <v>IREPARABLE</v>
      </c>
      <c r="T4262" s="18" t="str">
        <f aca="false">VLOOKUP(P4262,Sheet2!Q:R,2,0)</f>
        <v>IR Normal - Track burn out</v>
      </c>
      <c r="U4262" s="20" t="s">
        <v>41</v>
      </c>
      <c r="V4262" s="17"/>
      <c r="W4262" s="20" t="e">
        <f aca="false">VLOOKUP(V4262,Sheet2!Q:R,2,0)</f>
        <v>#N/A</v>
      </c>
      <c r="X4262" s="17" t="n">
        <f aca="false">J4262</f>
        <v>0</v>
      </c>
      <c r="Y4262" s="17" t="e">
        <f aca="false">VLOOKUP(X4262,Sheet2!A:B,2,0)</f>
        <v>#N/A</v>
      </c>
      <c r="Z4262" s="17"/>
      <c r="AA4262" s="17"/>
      <c r="AC4262" s="23" t="str">
        <f aca="false">LEFT(G4262,2)</f>
        <v/>
      </c>
    </row>
    <row r="4263" customFormat="false" ht="15" hidden="false" customHeight="false" outlineLevel="0" collapsed="false">
      <c r="A4263" s="13" t="n">
        <f aca="false">1+A4262</f>
        <v>4261</v>
      </c>
      <c r="B4263" s="14" t="n">
        <v>100</v>
      </c>
      <c r="C4263" s="15"/>
      <c r="D4263" s="16" t="s">
        <v>64</v>
      </c>
      <c r="E4263" s="17" t="s">
        <v>47</v>
      </c>
      <c r="F4263" s="18" t="s">
        <v>34</v>
      </c>
      <c r="G4263" s="19"/>
      <c r="H4263" s="17" t="s">
        <v>35</v>
      </c>
      <c r="I4263" s="17" t="s">
        <v>44</v>
      </c>
      <c r="J4263" s="17"/>
      <c r="K4263" s="17" t="e">
        <f aca="false">VLOOKUP(J4263,Sheet2!A:B,2,0)</f>
        <v>#N/A</v>
      </c>
      <c r="L4263" s="17" t="n">
        <v>5</v>
      </c>
      <c r="M4263" s="17" t="str">
        <f aca="false">VLOOKUP(L4263,Sheet2!D:E,2,0)</f>
        <v>Main Processor CPU BGA</v>
      </c>
      <c r="N4263" s="17" t="n">
        <v>1</v>
      </c>
      <c r="O4263" s="17" t="str">
        <f aca="false">VLOOKUP(N4263,Sheet2!G:H,2,0)</f>
        <v>Dead</v>
      </c>
      <c r="P4263" s="17" t="n">
        <v>11</v>
      </c>
      <c r="Q4263" s="17" t="str">
        <f aca="false">VLOOKUP(P4263,Sheet2!J:K,2,0)</f>
        <v>IR Declared due to CID -TA</v>
      </c>
      <c r="R4263" s="17" t="s">
        <v>35</v>
      </c>
      <c r="S4263" s="17" t="str">
        <f aca="false">VLOOKUP(R4263,Sheet2!N:O,2,0)</f>
        <v>IREPARABLE</v>
      </c>
      <c r="T4263" s="18" t="str">
        <f aca="false">VLOOKUP(P4263,Sheet2!Q:R,2,0)</f>
        <v>IR Normal - Track burn out</v>
      </c>
      <c r="U4263" s="20" t="s">
        <v>41</v>
      </c>
      <c r="V4263" s="17"/>
      <c r="W4263" s="20" t="e">
        <f aca="false">VLOOKUP(V4263,Sheet2!Q:R,2,0)</f>
        <v>#N/A</v>
      </c>
      <c r="X4263" s="17" t="n">
        <f aca="false">J4263</f>
        <v>0</v>
      </c>
      <c r="Y4263" s="17" t="e">
        <f aca="false">VLOOKUP(X4263,Sheet2!A:B,2,0)</f>
        <v>#N/A</v>
      </c>
      <c r="Z4263" s="17"/>
      <c r="AA4263" s="17"/>
      <c r="AC4263" s="23" t="str">
        <f aca="false">LEFT(G4263,2)</f>
        <v/>
      </c>
    </row>
    <row r="4264" customFormat="false" ht="15" hidden="false" customHeight="false" outlineLevel="0" collapsed="false">
      <c r="A4264" s="13" t="n">
        <f aca="false">1+A4263</f>
        <v>4262</v>
      </c>
      <c r="B4264" s="14" t="n">
        <v>100</v>
      </c>
      <c r="C4264" s="15"/>
      <c r="D4264" s="16" t="s">
        <v>64</v>
      </c>
      <c r="E4264" s="17" t="s">
        <v>47</v>
      </c>
      <c r="F4264" s="18" t="s">
        <v>34</v>
      </c>
      <c r="G4264" s="19"/>
      <c r="H4264" s="17" t="s">
        <v>35</v>
      </c>
      <c r="I4264" s="17" t="s">
        <v>44</v>
      </c>
      <c r="J4264" s="17"/>
      <c r="K4264" s="17" t="e">
        <f aca="false">VLOOKUP(J4264,Sheet2!A:B,2,0)</f>
        <v>#N/A</v>
      </c>
      <c r="L4264" s="17" t="n">
        <v>5</v>
      </c>
      <c r="M4264" s="17" t="str">
        <f aca="false">VLOOKUP(L4264,Sheet2!D:E,2,0)</f>
        <v>Main Processor CPU BGA</v>
      </c>
      <c r="N4264" s="17" t="n">
        <v>1</v>
      </c>
      <c r="O4264" s="17" t="str">
        <f aca="false">VLOOKUP(N4264,Sheet2!G:H,2,0)</f>
        <v>Dead</v>
      </c>
      <c r="P4264" s="17" t="n">
        <v>11</v>
      </c>
      <c r="Q4264" s="17" t="str">
        <f aca="false">VLOOKUP(P4264,Sheet2!J:K,2,0)</f>
        <v>IR Declared due to CID -TA</v>
      </c>
      <c r="R4264" s="17" t="s">
        <v>35</v>
      </c>
      <c r="S4264" s="17" t="str">
        <f aca="false">VLOOKUP(R4264,Sheet2!N:O,2,0)</f>
        <v>IREPARABLE</v>
      </c>
      <c r="T4264" s="18" t="str">
        <f aca="false">VLOOKUP(P4264,Sheet2!Q:R,2,0)</f>
        <v>IR Normal - Track burn out</v>
      </c>
      <c r="U4264" s="20" t="s">
        <v>41</v>
      </c>
      <c r="V4264" s="17"/>
      <c r="W4264" s="20" t="e">
        <f aca="false">VLOOKUP(V4264,Sheet2!Q:R,2,0)</f>
        <v>#N/A</v>
      </c>
      <c r="X4264" s="17" t="n">
        <f aca="false">J4264</f>
        <v>0</v>
      </c>
      <c r="Y4264" s="17" t="e">
        <f aca="false">VLOOKUP(X4264,Sheet2!A:B,2,0)</f>
        <v>#N/A</v>
      </c>
      <c r="Z4264" s="17"/>
      <c r="AA4264" s="17"/>
      <c r="AC4264" s="23" t="str">
        <f aca="false">LEFT(G4264,2)</f>
        <v/>
      </c>
    </row>
    <row r="4265" customFormat="false" ht="15" hidden="false" customHeight="false" outlineLevel="0" collapsed="false">
      <c r="A4265" s="13" t="n">
        <f aca="false">1+A4264</f>
        <v>4263</v>
      </c>
      <c r="B4265" s="14" t="n">
        <v>100</v>
      </c>
      <c r="C4265" s="15"/>
      <c r="D4265" s="16" t="s">
        <v>64</v>
      </c>
      <c r="E4265" s="17" t="s">
        <v>47</v>
      </c>
      <c r="F4265" s="18" t="s">
        <v>34</v>
      </c>
      <c r="G4265" s="19"/>
      <c r="H4265" s="17" t="s">
        <v>35</v>
      </c>
      <c r="I4265" s="17" t="s">
        <v>44</v>
      </c>
      <c r="J4265" s="17"/>
      <c r="K4265" s="17" t="e">
        <f aca="false">VLOOKUP(J4265,Sheet2!A:B,2,0)</f>
        <v>#N/A</v>
      </c>
      <c r="L4265" s="17" t="n">
        <v>5</v>
      </c>
      <c r="M4265" s="17" t="str">
        <f aca="false">VLOOKUP(L4265,Sheet2!D:E,2,0)</f>
        <v>Main Processor CPU BGA</v>
      </c>
      <c r="N4265" s="17" t="n">
        <v>1</v>
      </c>
      <c r="O4265" s="17" t="str">
        <f aca="false">VLOOKUP(N4265,Sheet2!G:H,2,0)</f>
        <v>Dead</v>
      </c>
      <c r="P4265" s="17" t="n">
        <v>11</v>
      </c>
      <c r="Q4265" s="17" t="str">
        <f aca="false">VLOOKUP(P4265,Sheet2!J:K,2,0)</f>
        <v>IR Declared due to CID -TA</v>
      </c>
      <c r="R4265" s="17" t="s">
        <v>35</v>
      </c>
      <c r="S4265" s="17" t="str">
        <f aca="false">VLOOKUP(R4265,Sheet2!N:O,2,0)</f>
        <v>IREPARABLE</v>
      </c>
      <c r="T4265" s="18" t="str">
        <f aca="false">VLOOKUP(P4265,Sheet2!Q:R,2,0)</f>
        <v>IR Normal - Track burn out</v>
      </c>
      <c r="U4265" s="20" t="s">
        <v>41</v>
      </c>
      <c r="V4265" s="17"/>
      <c r="W4265" s="20" t="e">
        <f aca="false">VLOOKUP(V4265,Sheet2!Q:R,2,0)</f>
        <v>#N/A</v>
      </c>
      <c r="X4265" s="17" t="n">
        <f aca="false">J4265</f>
        <v>0</v>
      </c>
      <c r="Y4265" s="17" t="e">
        <f aca="false">VLOOKUP(X4265,Sheet2!A:B,2,0)</f>
        <v>#N/A</v>
      </c>
      <c r="Z4265" s="17"/>
      <c r="AA4265" s="17"/>
      <c r="AC4265" s="23" t="str">
        <f aca="false">LEFT(G4265,2)</f>
        <v/>
      </c>
    </row>
    <row r="4266" customFormat="false" ht="15" hidden="false" customHeight="false" outlineLevel="0" collapsed="false">
      <c r="A4266" s="13" t="n">
        <f aca="false">1+A4265</f>
        <v>4264</v>
      </c>
      <c r="B4266" s="14" t="n">
        <v>100</v>
      </c>
      <c r="C4266" s="15"/>
      <c r="D4266" s="16" t="s">
        <v>64</v>
      </c>
      <c r="E4266" s="17" t="s">
        <v>47</v>
      </c>
      <c r="F4266" s="18" t="s">
        <v>34</v>
      </c>
      <c r="G4266" s="19"/>
      <c r="H4266" s="17" t="s">
        <v>35</v>
      </c>
      <c r="I4266" s="17" t="s">
        <v>44</v>
      </c>
      <c r="J4266" s="17"/>
      <c r="K4266" s="17" t="e">
        <f aca="false">VLOOKUP(J4266,Sheet2!A:B,2,0)</f>
        <v>#N/A</v>
      </c>
      <c r="L4266" s="17" t="n">
        <v>5</v>
      </c>
      <c r="M4266" s="17" t="str">
        <f aca="false">VLOOKUP(L4266,Sheet2!D:E,2,0)</f>
        <v>Main Processor CPU BGA</v>
      </c>
      <c r="N4266" s="17" t="n">
        <v>1</v>
      </c>
      <c r="O4266" s="17" t="str">
        <f aca="false">VLOOKUP(N4266,Sheet2!G:H,2,0)</f>
        <v>Dead</v>
      </c>
      <c r="P4266" s="17" t="n">
        <v>11</v>
      </c>
      <c r="Q4266" s="17" t="str">
        <f aca="false">VLOOKUP(P4266,Sheet2!J:K,2,0)</f>
        <v>IR Declared due to CID -TA</v>
      </c>
      <c r="R4266" s="17" t="s">
        <v>35</v>
      </c>
      <c r="S4266" s="17" t="str">
        <f aca="false">VLOOKUP(R4266,Sheet2!N:O,2,0)</f>
        <v>IREPARABLE</v>
      </c>
      <c r="T4266" s="18" t="str">
        <f aca="false">VLOOKUP(P4266,Sheet2!Q:R,2,0)</f>
        <v>IR Normal - Track burn out</v>
      </c>
      <c r="U4266" s="20" t="s">
        <v>41</v>
      </c>
      <c r="V4266" s="17"/>
      <c r="W4266" s="20" t="e">
        <f aca="false">VLOOKUP(V4266,Sheet2!Q:R,2,0)</f>
        <v>#N/A</v>
      </c>
      <c r="X4266" s="17" t="n">
        <f aca="false">J4266</f>
        <v>0</v>
      </c>
      <c r="Y4266" s="17" t="e">
        <f aca="false">VLOOKUP(X4266,Sheet2!A:B,2,0)</f>
        <v>#N/A</v>
      </c>
      <c r="Z4266" s="17"/>
      <c r="AA4266" s="17"/>
      <c r="AC4266" s="23" t="str">
        <f aca="false">LEFT(G4266,2)</f>
        <v/>
      </c>
    </row>
    <row r="4267" customFormat="false" ht="15" hidden="false" customHeight="false" outlineLevel="0" collapsed="false">
      <c r="A4267" s="13" t="n">
        <f aca="false">1+A4266</f>
        <v>4265</v>
      </c>
      <c r="B4267" s="14" t="n">
        <v>100</v>
      </c>
      <c r="C4267" s="15"/>
      <c r="D4267" s="16" t="s">
        <v>64</v>
      </c>
      <c r="E4267" s="17" t="s">
        <v>47</v>
      </c>
      <c r="F4267" s="18" t="s">
        <v>34</v>
      </c>
      <c r="G4267" s="19"/>
      <c r="H4267" s="17" t="s">
        <v>35</v>
      </c>
      <c r="I4267" s="17" t="s">
        <v>44</v>
      </c>
      <c r="J4267" s="17"/>
      <c r="K4267" s="17" t="e">
        <f aca="false">VLOOKUP(J4267,Sheet2!A:B,2,0)</f>
        <v>#N/A</v>
      </c>
      <c r="L4267" s="17" t="n">
        <v>5</v>
      </c>
      <c r="M4267" s="17" t="str">
        <f aca="false">VLOOKUP(L4267,Sheet2!D:E,2,0)</f>
        <v>Main Processor CPU BGA</v>
      </c>
      <c r="N4267" s="17" t="n">
        <v>1</v>
      </c>
      <c r="O4267" s="17" t="str">
        <f aca="false">VLOOKUP(N4267,Sheet2!G:H,2,0)</f>
        <v>Dead</v>
      </c>
      <c r="P4267" s="17" t="n">
        <v>11</v>
      </c>
      <c r="Q4267" s="17" t="str">
        <f aca="false">VLOOKUP(P4267,Sheet2!J:K,2,0)</f>
        <v>IR Declared due to CID -TA</v>
      </c>
      <c r="R4267" s="17" t="s">
        <v>35</v>
      </c>
      <c r="S4267" s="17" t="str">
        <f aca="false">VLOOKUP(R4267,Sheet2!N:O,2,0)</f>
        <v>IREPARABLE</v>
      </c>
      <c r="T4267" s="18" t="str">
        <f aca="false">VLOOKUP(P4267,Sheet2!Q:R,2,0)</f>
        <v>IR Normal - Track burn out</v>
      </c>
      <c r="U4267" s="20" t="s">
        <v>41</v>
      </c>
      <c r="V4267" s="17"/>
      <c r="W4267" s="20" t="e">
        <f aca="false">VLOOKUP(V4267,Sheet2!Q:R,2,0)</f>
        <v>#N/A</v>
      </c>
      <c r="X4267" s="17" t="n">
        <f aca="false">J4267</f>
        <v>0</v>
      </c>
      <c r="Y4267" s="17" t="e">
        <f aca="false">VLOOKUP(X4267,Sheet2!A:B,2,0)</f>
        <v>#N/A</v>
      </c>
      <c r="Z4267" s="17"/>
      <c r="AA4267" s="17"/>
      <c r="AC4267" s="23" t="str">
        <f aca="false">LEFT(G4267,2)</f>
        <v/>
      </c>
    </row>
    <row r="4268" customFormat="false" ht="15" hidden="false" customHeight="false" outlineLevel="0" collapsed="false">
      <c r="A4268" s="13" t="n">
        <f aca="false">1+A4267</f>
        <v>4266</v>
      </c>
      <c r="B4268" s="14" t="n">
        <v>100</v>
      </c>
      <c r="C4268" s="15"/>
      <c r="D4268" s="16" t="s">
        <v>64</v>
      </c>
      <c r="E4268" s="17" t="s">
        <v>47</v>
      </c>
      <c r="F4268" s="18" t="s">
        <v>34</v>
      </c>
      <c r="G4268" s="19"/>
      <c r="H4268" s="17" t="s">
        <v>35</v>
      </c>
      <c r="I4268" s="17" t="s">
        <v>44</v>
      </c>
      <c r="J4268" s="17"/>
      <c r="K4268" s="17" t="e">
        <f aca="false">VLOOKUP(J4268,Sheet2!A:B,2,0)</f>
        <v>#N/A</v>
      </c>
      <c r="L4268" s="17" t="n">
        <v>5</v>
      </c>
      <c r="M4268" s="17" t="str">
        <f aca="false">VLOOKUP(L4268,Sheet2!D:E,2,0)</f>
        <v>Main Processor CPU BGA</v>
      </c>
      <c r="N4268" s="17" t="n">
        <v>1</v>
      </c>
      <c r="O4268" s="17" t="str">
        <f aca="false">VLOOKUP(N4268,Sheet2!G:H,2,0)</f>
        <v>Dead</v>
      </c>
      <c r="P4268" s="17" t="n">
        <v>11</v>
      </c>
      <c r="Q4268" s="17" t="str">
        <f aca="false">VLOOKUP(P4268,Sheet2!J:K,2,0)</f>
        <v>IR Declared due to CID -TA</v>
      </c>
      <c r="R4268" s="17" t="s">
        <v>35</v>
      </c>
      <c r="S4268" s="17" t="str">
        <f aca="false">VLOOKUP(R4268,Sheet2!N:O,2,0)</f>
        <v>IREPARABLE</v>
      </c>
      <c r="T4268" s="18" t="str">
        <f aca="false">VLOOKUP(P4268,Sheet2!Q:R,2,0)</f>
        <v>IR Normal - Track burn out</v>
      </c>
      <c r="U4268" s="20" t="s">
        <v>41</v>
      </c>
      <c r="V4268" s="17"/>
      <c r="W4268" s="20" t="e">
        <f aca="false">VLOOKUP(V4268,Sheet2!Q:R,2,0)</f>
        <v>#N/A</v>
      </c>
      <c r="X4268" s="17" t="n">
        <f aca="false">J4268</f>
        <v>0</v>
      </c>
      <c r="Y4268" s="17" t="e">
        <f aca="false">VLOOKUP(X4268,Sheet2!A:B,2,0)</f>
        <v>#N/A</v>
      </c>
      <c r="Z4268" s="17"/>
      <c r="AA4268" s="17"/>
      <c r="AC4268" s="23" t="str">
        <f aca="false">LEFT(G4268,2)</f>
        <v/>
      </c>
    </row>
    <row r="4269" customFormat="false" ht="15" hidden="false" customHeight="false" outlineLevel="0" collapsed="false">
      <c r="A4269" s="13" t="n">
        <f aca="false">1+A4268</f>
        <v>4267</v>
      </c>
      <c r="B4269" s="14" t="n">
        <v>100</v>
      </c>
      <c r="C4269" s="15"/>
      <c r="D4269" s="16" t="s">
        <v>64</v>
      </c>
      <c r="E4269" s="17" t="s">
        <v>47</v>
      </c>
      <c r="F4269" s="18" t="s">
        <v>34</v>
      </c>
      <c r="G4269" s="19"/>
      <c r="H4269" s="17" t="s">
        <v>35</v>
      </c>
      <c r="I4269" s="17" t="s">
        <v>44</v>
      </c>
      <c r="J4269" s="17"/>
      <c r="K4269" s="17" t="e">
        <f aca="false">VLOOKUP(J4269,Sheet2!A:B,2,0)</f>
        <v>#N/A</v>
      </c>
      <c r="L4269" s="17" t="n">
        <v>5</v>
      </c>
      <c r="M4269" s="17" t="str">
        <f aca="false">VLOOKUP(L4269,Sheet2!D:E,2,0)</f>
        <v>Main Processor CPU BGA</v>
      </c>
      <c r="N4269" s="17" t="n">
        <v>1</v>
      </c>
      <c r="O4269" s="17" t="str">
        <f aca="false">VLOOKUP(N4269,Sheet2!G:H,2,0)</f>
        <v>Dead</v>
      </c>
      <c r="P4269" s="17" t="n">
        <v>11</v>
      </c>
      <c r="Q4269" s="17" t="str">
        <f aca="false">VLOOKUP(P4269,Sheet2!J:K,2,0)</f>
        <v>IR Declared due to CID -TA</v>
      </c>
      <c r="R4269" s="17" t="s">
        <v>35</v>
      </c>
      <c r="S4269" s="17" t="str">
        <f aca="false">VLOOKUP(R4269,Sheet2!N:O,2,0)</f>
        <v>IREPARABLE</v>
      </c>
      <c r="T4269" s="18" t="str">
        <f aca="false">VLOOKUP(P4269,Sheet2!Q:R,2,0)</f>
        <v>IR Normal - Track burn out</v>
      </c>
      <c r="U4269" s="20" t="s">
        <v>41</v>
      </c>
      <c r="V4269" s="17"/>
      <c r="W4269" s="20" t="e">
        <f aca="false">VLOOKUP(V4269,Sheet2!Q:R,2,0)</f>
        <v>#N/A</v>
      </c>
      <c r="X4269" s="17" t="n">
        <f aca="false">J4269</f>
        <v>0</v>
      </c>
      <c r="Y4269" s="17" t="e">
        <f aca="false">VLOOKUP(X4269,Sheet2!A:B,2,0)</f>
        <v>#N/A</v>
      </c>
      <c r="Z4269" s="17"/>
      <c r="AA4269" s="17"/>
      <c r="AC4269" s="23" t="str">
        <f aca="false">LEFT(G4269,2)</f>
        <v/>
      </c>
    </row>
    <row r="4270" customFormat="false" ht="15" hidden="false" customHeight="false" outlineLevel="0" collapsed="false">
      <c r="A4270" s="13" t="n">
        <f aca="false">1+A4269</f>
        <v>4268</v>
      </c>
      <c r="B4270" s="14" t="n">
        <v>100</v>
      </c>
      <c r="C4270" s="15"/>
      <c r="D4270" s="16" t="s">
        <v>64</v>
      </c>
      <c r="E4270" s="17" t="s">
        <v>47</v>
      </c>
      <c r="F4270" s="18" t="s">
        <v>34</v>
      </c>
      <c r="G4270" s="19"/>
      <c r="H4270" s="17" t="s">
        <v>35</v>
      </c>
      <c r="I4270" s="17" t="s">
        <v>44</v>
      </c>
      <c r="J4270" s="17"/>
      <c r="K4270" s="17" t="e">
        <f aca="false">VLOOKUP(J4270,Sheet2!A:B,2,0)</f>
        <v>#N/A</v>
      </c>
      <c r="L4270" s="17" t="n">
        <v>5</v>
      </c>
      <c r="M4270" s="17" t="str">
        <f aca="false">VLOOKUP(L4270,Sheet2!D:E,2,0)</f>
        <v>Main Processor CPU BGA</v>
      </c>
      <c r="N4270" s="17" t="n">
        <v>1</v>
      </c>
      <c r="O4270" s="17" t="str">
        <f aca="false">VLOOKUP(N4270,Sheet2!G:H,2,0)</f>
        <v>Dead</v>
      </c>
      <c r="P4270" s="17" t="n">
        <v>11</v>
      </c>
      <c r="Q4270" s="17" t="str">
        <f aca="false">VLOOKUP(P4270,Sheet2!J:K,2,0)</f>
        <v>IR Declared due to CID -TA</v>
      </c>
      <c r="R4270" s="17" t="s">
        <v>35</v>
      </c>
      <c r="S4270" s="17" t="str">
        <f aca="false">VLOOKUP(R4270,Sheet2!N:O,2,0)</f>
        <v>IREPARABLE</v>
      </c>
      <c r="T4270" s="18" t="str">
        <f aca="false">VLOOKUP(P4270,Sheet2!Q:R,2,0)</f>
        <v>IR Normal - Track burn out</v>
      </c>
      <c r="U4270" s="20" t="s">
        <v>41</v>
      </c>
      <c r="V4270" s="17"/>
      <c r="W4270" s="20" t="e">
        <f aca="false">VLOOKUP(V4270,Sheet2!Q:R,2,0)</f>
        <v>#N/A</v>
      </c>
      <c r="X4270" s="17" t="n">
        <f aca="false">J4270</f>
        <v>0</v>
      </c>
      <c r="Y4270" s="17" t="e">
        <f aca="false">VLOOKUP(X4270,Sheet2!A:B,2,0)</f>
        <v>#N/A</v>
      </c>
      <c r="Z4270" s="17"/>
      <c r="AA4270" s="17"/>
      <c r="AC4270" s="23" t="str">
        <f aca="false">LEFT(G4270,2)</f>
        <v/>
      </c>
    </row>
    <row r="4271" customFormat="false" ht="15" hidden="false" customHeight="false" outlineLevel="0" collapsed="false">
      <c r="A4271" s="13" t="n">
        <f aca="false">1+A4270</f>
        <v>4269</v>
      </c>
      <c r="B4271" s="14" t="n">
        <v>100</v>
      </c>
      <c r="C4271" s="15"/>
      <c r="D4271" s="16" t="s">
        <v>64</v>
      </c>
      <c r="E4271" s="17" t="s">
        <v>47</v>
      </c>
      <c r="F4271" s="18" t="s">
        <v>34</v>
      </c>
      <c r="G4271" s="19"/>
      <c r="H4271" s="17" t="s">
        <v>35</v>
      </c>
      <c r="I4271" s="17" t="s">
        <v>44</v>
      </c>
      <c r="J4271" s="17"/>
      <c r="K4271" s="17" t="e">
        <f aca="false">VLOOKUP(J4271,Sheet2!A:B,2,0)</f>
        <v>#N/A</v>
      </c>
      <c r="L4271" s="17" t="n">
        <v>5</v>
      </c>
      <c r="M4271" s="17" t="str">
        <f aca="false">VLOOKUP(L4271,Sheet2!D:E,2,0)</f>
        <v>Main Processor CPU BGA</v>
      </c>
      <c r="N4271" s="17" t="n">
        <v>1</v>
      </c>
      <c r="O4271" s="17" t="str">
        <f aca="false">VLOOKUP(N4271,Sheet2!G:H,2,0)</f>
        <v>Dead</v>
      </c>
      <c r="P4271" s="17" t="n">
        <v>11</v>
      </c>
      <c r="Q4271" s="17" t="str">
        <f aca="false">VLOOKUP(P4271,Sheet2!J:K,2,0)</f>
        <v>IR Declared due to CID -TA</v>
      </c>
      <c r="R4271" s="17" t="s">
        <v>35</v>
      </c>
      <c r="S4271" s="17" t="str">
        <f aca="false">VLOOKUP(R4271,Sheet2!N:O,2,0)</f>
        <v>IREPARABLE</v>
      </c>
      <c r="T4271" s="18" t="str">
        <f aca="false">VLOOKUP(P4271,Sheet2!Q:R,2,0)</f>
        <v>IR Normal - Track burn out</v>
      </c>
      <c r="U4271" s="20" t="s">
        <v>41</v>
      </c>
      <c r="V4271" s="17"/>
      <c r="W4271" s="20" t="e">
        <f aca="false">VLOOKUP(V4271,Sheet2!Q:R,2,0)</f>
        <v>#N/A</v>
      </c>
      <c r="X4271" s="17" t="n">
        <f aca="false">J4271</f>
        <v>0</v>
      </c>
      <c r="Y4271" s="17" t="e">
        <f aca="false">VLOOKUP(X4271,Sheet2!A:B,2,0)</f>
        <v>#N/A</v>
      </c>
      <c r="Z4271" s="17"/>
      <c r="AA4271" s="17"/>
      <c r="AC4271" s="23" t="str">
        <f aca="false">LEFT(G4271,2)</f>
        <v/>
      </c>
    </row>
    <row r="4272" customFormat="false" ht="15" hidden="false" customHeight="false" outlineLevel="0" collapsed="false">
      <c r="A4272" s="13" t="n">
        <f aca="false">1+A4271</f>
        <v>4270</v>
      </c>
      <c r="B4272" s="14" t="n">
        <v>100</v>
      </c>
      <c r="C4272" s="15"/>
      <c r="D4272" s="16" t="s">
        <v>64</v>
      </c>
      <c r="E4272" s="17" t="s">
        <v>47</v>
      </c>
      <c r="F4272" s="18" t="s">
        <v>34</v>
      </c>
      <c r="G4272" s="19"/>
      <c r="H4272" s="17" t="s">
        <v>35</v>
      </c>
      <c r="I4272" s="17" t="s">
        <v>44</v>
      </c>
      <c r="J4272" s="17"/>
      <c r="K4272" s="17" t="e">
        <f aca="false">VLOOKUP(J4272,Sheet2!A:B,2,0)</f>
        <v>#N/A</v>
      </c>
      <c r="L4272" s="17" t="n">
        <v>5</v>
      </c>
      <c r="M4272" s="17" t="str">
        <f aca="false">VLOOKUP(L4272,Sheet2!D:E,2,0)</f>
        <v>Main Processor CPU BGA</v>
      </c>
      <c r="N4272" s="17" t="n">
        <v>1</v>
      </c>
      <c r="O4272" s="17" t="str">
        <f aca="false">VLOOKUP(N4272,Sheet2!G:H,2,0)</f>
        <v>Dead</v>
      </c>
      <c r="P4272" s="17" t="n">
        <v>11</v>
      </c>
      <c r="Q4272" s="17" t="str">
        <f aca="false">VLOOKUP(P4272,Sheet2!J:K,2,0)</f>
        <v>IR Declared due to CID -TA</v>
      </c>
      <c r="R4272" s="17" t="s">
        <v>35</v>
      </c>
      <c r="S4272" s="17" t="str">
        <f aca="false">VLOOKUP(R4272,Sheet2!N:O,2,0)</f>
        <v>IREPARABLE</v>
      </c>
      <c r="T4272" s="18" t="str">
        <f aca="false">VLOOKUP(P4272,Sheet2!Q:R,2,0)</f>
        <v>IR Normal - Track burn out</v>
      </c>
      <c r="U4272" s="20" t="s">
        <v>41</v>
      </c>
      <c r="V4272" s="17"/>
      <c r="W4272" s="20" t="e">
        <f aca="false">VLOOKUP(V4272,Sheet2!Q:R,2,0)</f>
        <v>#N/A</v>
      </c>
      <c r="X4272" s="17" t="n">
        <f aca="false">J4272</f>
        <v>0</v>
      </c>
      <c r="Y4272" s="17" t="e">
        <f aca="false">VLOOKUP(X4272,Sheet2!A:B,2,0)</f>
        <v>#N/A</v>
      </c>
      <c r="Z4272" s="17"/>
      <c r="AA4272" s="17"/>
      <c r="AC4272" s="23" t="str">
        <f aca="false">LEFT(G4272,2)</f>
        <v/>
      </c>
    </row>
    <row r="4273" customFormat="false" ht="15" hidden="false" customHeight="false" outlineLevel="0" collapsed="false">
      <c r="A4273" s="13" t="n">
        <f aca="false">1+A4272</f>
        <v>4271</v>
      </c>
      <c r="B4273" s="14" t="n">
        <v>100</v>
      </c>
      <c r="C4273" s="15"/>
      <c r="D4273" s="16" t="s">
        <v>64</v>
      </c>
      <c r="E4273" s="17" t="s">
        <v>47</v>
      </c>
      <c r="F4273" s="18" t="s">
        <v>34</v>
      </c>
      <c r="G4273" s="19"/>
      <c r="H4273" s="17" t="s">
        <v>35</v>
      </c>
      <c r="I4273" s="17" t="s">
        <v>44</v>
      </c>
      <c r="J4273" s="17"/>
      <c r="K4273" s="17" t="e">
        <f aca="false">VLOOKUP(J4273,Sheet2!A:B,2,0)</f>
        <v>#N/A</v>
      </c>
      <c r="L4273" s="17" t="n">
        <v>5</v>
      </c>
      <c r="M4273" s="17" t="str">
        <f aca="false">VLOOKUP(L4273,Sheet2!D:E,2,0)</f>
        <v>Main Processor CPU BGA</v>
      </c>
      <c r="N4273" s="17" t="n">
        <v>1</v>
      </c>
      <c r="O4273" s="17" t="str">
        <f aca="false">VLOOKUP(N4273,Sheet2!G:H,2,0)</f>
        <v>Dead</v>
      </c>
      <c r="P4273" s="17" t="n">
        <v>11</v>
      </c>
      <c r="Q4273" s="17" t="str">
        <f aca="false">VLOOKUP(P4273,Sheet2!J:K,2,0)</f>
        <v>IR Declared due to CID -TA</v>
      </c>
      <c r="R4273" s="17" t="s">
        <v>35</v>
      </c>
      <c r="S4273" s="17" t="str">
        <f aca="false">VLOOKUP(R4273,Sheet2!N:O,2,0)</f>
        <v>IREPARABLE</v>
      </c>
      <c r="T4273" s="18" t="str">
        <f aca="false">VLOOKUP(P4273,Sheet2!Q:R,2,0)</f>
        <v>IR Normal - Track burn out</v>
      </c>
      <c r="U4273" s="20" t="s">
        <v>41</v>
      </c>
      <c r="V4273" s="17"/>
      <c r="W4273" s="20" t="e">
        <f aca="false">VLOOKUP(V4273,Sheet2!Q:R,2,0)</f>
        <v>#N/A</v>
      </c>
      <c r="X4273" s="17" t="n">
        <f aca="false">J4273</f>
        <v>0</v>
      </c>
      <c r="Y4273" s="17" t="e">
        <f aca="false">VLOOKUP(X4273,Sheet2!A:B,2,0)</f>
        <v>#N/A</v>
      </c>
      <c r="Z4273" s="17"/>
      <c r="AA4273" s="17"/>
      <c r="AC4273" s="23" t="str">
        <f aca="false">LEFT(G4273,2)</f>
        <v/>
      </c>
    </row>
    <row r="4274" customFormat="false" ht="15" hidden="false" customHeight="false" outlineLevel="0" collapsed="false">
      <c r="A4274" s="13" t="n">
        <f aca="false">1+A4273</f>
        <v>4272</v>
      </c>
      <c r="B4274" s="14" t="n">
        <v>100</v>
      </c>
      <c r="C4274" s="15"/>
      <c r="D4274" s="16" t="s">
        <v>64</v>
      </c>
      <c r="E4274" s="17" t="s">
        <v>47</v>
      </c>
      <c r="F4274" s="18" t="s">
        <v>34</v>
      </c>
      <c r="G4274" s="19"/>
      <c r="H4274" s="17" t="s">
        <v>35</v>
      </c>
      <c r="I4274" s="17" t="s">
        <v>44</v>
      </c>
      <c r="J4274" s="17"/>
      <c r="K4274" s="17" t="e">
        <f aca="false">VLOOKUP(J4274,Sheet2!A:B,2,0)</f>
        <v>#N/A</v>
      </c>
      <c r="L4274" s="17" t="n">
        <v>5</v>
      </c>
      <c r="M4274" s="17" t="str">
        <f aca="false">VLOOKUP(L4274,Sheet2!D:E,2,0)</f>
        <v>Main Processor CPU BGA</v>
      </c>
      <c r="N4274" s="17" t="n">
        <v>1</v>
      </c>
      <c r="O4274" s="17" t="str">
        <f aca="false">VLOOKUP(N4274,Sheet2!G:H,2,0)</f>
        <v>Dead</v>
      </c>
      <c r="P4274" s="17" t="n">
        <v>11</v>
      </c>
      <c r="Q4274" s="17" t="str">
        <f aca="false">VLOOKUP(P4274,Sheet2!J:K,2,0)</f>
        <v>IR Declared due to CID -TA</v>
      </c>
      <c r="R4274" s="17" t="s">
        <v>35</v>
      </c>
      <c r="S4274" s="17" t="str">
        <f aca="false">VLOOKUP(R4274,Sheet2!N:O,2,0)</f>
        <v>IREPARABLE</v>
      </c>
      <c r="T4274" s="18" t="str">
        <f aca="false">VLOOKUP(P4274,Sheet2!Q:R,2,0)</f>
        <v>IR Normal - Track burn out</v>
      </c>
      <c r="U4274" s="20" t="s">
        <v>41</v>
      </c>
      <c r="V4274" s="17"/>
      <c r="W4274" s="20" t="e">
        <f aca="false">VLOOKUP(V4274,Sheet2!Q:R,2,0)</f>
        <v>#N/A</v>
      </c>
      <c r="X4274" s="17" t="n">
        <f aca="false">J4274</f>
        <v>0</v>
      </c>
      <c r="Y4274" s="17" t="e">
        <f aca="false">VLOOKUP(X4274,Sheet2!A:B,2,0)</f>
        <v>#N/A</v>
      </c>
      <c r="Z4274" s="17"/>
      <c r="AA4274" s="17"/>
      <c r="AC4274" s="23" t="str">
        <f aca="false">LEFT(G4274,2)</f>
        <v/>
      </c>
    </row>
    <row r="4275" customFormat="false" ht="15" hidden="false" customHeight="false" outlineLevel="0" collapsed="false">
      <c r="A4275" s="13" t="n">
        <f aca="false">1+A4274</f>
        <v>4273</v>
      </c>
      <c r="B4275" s="14" t="n">
        <v>100</v>
      </c>
      <c r="C4275" s="15"/>
      <c r="D4275" s="16" t="s">
        <v>64</v>
      </c>
      <c r="E4275" s="17" t="s">
        <v>47</v>
      </c>
      <c r="F4275" s="18" t="s">
        <v>34</v>
      </c>
      <c r="G4275" s="19"/>
      <c r="H4275" s="17" t="s">
        <v>35</v>
      </c>
      <c r="I4275" s="17" t="s">
        <v>44</v>
      </c>
      <c r="J4275" s="17"/>
      <c r="K4275" s="17" t="e">
        <f aca="false">VLOOKUP(J4275,Sheet2!A:B,2,0)</f>
        <v>#N/A</v>
      </c>
      <c r="L4275" s="17" t="n">
        <v>5</v>
      </c>
      <c r="M4275" s="17" t="str">
        <f aca="false">VLOOKUP(L4275,Sheet2!D:E,2,0)</f>
        <v>Main Processor CPU BGA</v>
      </c>
      <c r="N4275" s="17" t="n">
        <v>1</v>
      </c>
      <c r="O4275" s="17" t="str">
        <f aca="false">VLOOKUP(N4275,Sheet2!G:H,2,0)</f>
        <v>Dead</v>
      </c>
      <c r="P4275" s="17" t="n">
        <v>11</v>
      </c>
      <c r="Q4275" s="17" t="str">
        <f aca="false">VLOOKUP(P4275,Sheet2!J:K,2,0)</f>
        <v>IR Declared due to CID -TA</v>
      </c>
      <c r="R4275" s="17" t="s">
        <v>35</v>
      </c>
      <c r="S4275" s="17" t="str">
        <f aca="false">VLOOKUP(R4275,Sheet2!N:O,2,0)</f>
        <v>IREPARABLE</v>
      </c>
      <c r="T4275" s="18" t="str">
        <f aca="false">VLOOKUP(P4275,Sheet2!Q:R,2,0)</f>
        <v>IR Normal - Track burn out</v>
      </c>
      <c r="U4275" s="20" t="s">
        <v>41</v>
      </c>
      <c r="V4275" s="17"/>
      <c r="W4275" s="20" t="e">
        <f aca="false">VLOOKUP(V4275,Sheet2!Q:R,2,0)</f>
        <v>#N/A</v>
      </c>
      <c r="X4275" s="17" t="n">
        <f aca="false">J4275</f>
        <v>0</v>
      </c>
      <c r="Y4275" s="17" t="e">
        <f aca="false">VLOOKUP(X4275,Sheet2!A:B,2,0)</f>
        <v>#N/A</v>
      </c>
      <c r="Z4275" s="17"/>
      <c r="AA4275" s="17"/>
      <c r="AC4275" s="23" t="str">
        <f aca="false">LEFT(G4275,2)</f>
        <v/>
      </c>
    </row>
    <row r="4276" customFormat="false" ht="15" hidden="false" customHeight="false" outlineLevel="0" collapsed="false">
      <c r="A4276" s="13" t="n">
        <f aca="false">1+A4275</f>
        <v>4274</v>
      </c>
      <c r="B4276" s="14" t="n">
        <v>100</v>
      </c>
      <c r="C4276" s="15"/>
      <c r="D4276" s="16" t="s">
        <v>64</v>
      </c>
      <c r="E4276" s="17" t="s">
        <v>47</v>
      </c>
      <c r="F4276" s="18" t="s">
        <v>34</v>
      </c>
      <c r="G4276" s="19"/>
      <c r="H4276" s="17" t="s">
        <v>35</v>
      </c>
      <c r="I4276" s="17" t="s">
        <v>44</v>
      </c>
      <c r="J4276" s="17"/>
      <c r="K4276" s="17" t="e">
        <f aca="false">VLOOKUP(J4276,Sheet2!A:B,2,0)</f>
        <v>#N/A</v>
      </c>
      <c r="L4276" s="17" t="n">
        <v>5</v>
      </c>
      <c r="M4276" s="17" t="str">
        <f aca="false">VLOOKUP(L4276,Sheet2!D:E,2,0)</f>
        <v>Main Processor CPU BGA</v>
      </c>
      <c r="N4276" s="17" t="n">
        <v>1</v>
      </c>
      <c r="O4276" s="17" t="str">
        <f aca="false">VLOOKUP(N4276,Sheet2!G:H,2,0)</f>
        <v>Dead</v>
      </c>
      <c r="P4276" s="17" t="n">
        <v>11</v>
      </c>
      <c r="Q4276" s="17" t="str">
        <f aca="false">VLOOKUP(P4276,Sheet2!J:K,2,0)</f>
        <v>IR Declared due to CID -TA</v>
      </c>
      <c r="R4276" s="17" t="s">
        <v>35</v>
      </c>
      <c r="S4276" s="17" t="str">
        <f aca="false">VLOOKUP(R4276,Sheet2!N:O,2,0)</f>
        <v>IREPARABLE</v>
      </c>
      <c r="T4276" s="18" t="str">
        <f aca="false">VLOOKUP(P4276,Sheet2!Q:R,2,0)</f>
        <v>IR Normal - Track burn out</v>
      </c>
      <c r="U4276" s="20" t="s">
        <v>41</v>
      </c>
      <c r="V4276" s="17"/>
      <c r="W4276" s="20" t="e">
        <f aca="false">VLOOKUP(V4276,Sheet2!Q:R,2,0)</f>
        <v>#N/A</v>
      </c>
      <c r="X4276" s="17" t="n">
        <f aca="false">J4276</f>
        <v>0</v>
      </c>
      <c r="Y4276" s="17" t="e">
        <f aca="false">VLOOKUP(X4276,Sheet2!A:B,2,0)</f>
        <v>#N/A</v>
      </c>
      <c r="Z4276" s="17"/>
      <c r="AA4276" s="17"/>
      <c r="AC4276" s="23" t="str">
        <f aca="false">LEFT(G4276,2)</f>
        <v/>
      </c>
    </row>
    <row r="4277" customFormat="false" ht="15" hidden="false" customHeight="false" outlineLevel="0" collapsed="false">
      <c r="A4277" s="13" t="n">
        <f aca="false">1+A4276</f>
        <v>4275</v>
      </c>
      <c r="B4277" s="14" t="n">
        <v>100</v>
      </c>
      <c r="C4277" s="15"/>
      <c r="D4277" s="16" t="s">
        <v>64</v>
      </c>
      <c r="E4277" s="17" t="s">
        <v>47</v>
      </c>
      <c r="F4277" s="18" t="s">
        <v>34</v>
      </c>
      <c r="G4277" s="19"/>
      <c r="H4277" s="17" t="s">
        <v>35</v>
      </c>
      <c r="I4277" s="17" t="s">
        <v>44</v>
      </c>
      <c r="J4277" s="17"/>
      <c r="K4277" s="17" t="e">
        <f aca="false">VLOOKUP(J4277,Sheet2!A:B,2,0)</f>
        <v>#N/A</v>
      </c>
      <c r="L4277" s="17" t="n">
        <v>5</v>
      </c>
      <c r="M4277" s="17" t="str">
        <f aca="false">VLOOKUP(L4277,Sheet2!D:E,2,0)</f>
        <v>Main Processor CPU BGA</v>
      </c>
      <c r="N4277" s="17" t="n">
        <v>1</v>
      </c>
      <c r="O4277" s="17" t="str">
        <f aca="false">VLOOKUP(N4277,Sheet2!G:H,2,0)</f>
        <v>Dead</v>
      </c>
      <c r="P4277" s="17" t="n">
        <v>11</v>
      </c>
      <c r="Q4277" s="17" t="str">
        <f aca="false">VLOOKUP(P4277,Sheet2!J:K,2,0)</f>
        <v>IR Declared due to CID -TA</v>
      </c>
      <c r="R4277" s="17" t="s">
        <v>35</v>
      </c>
      <c r="S4277" s="17" t="str">
        <f aca="false">VLOOKUP(R4277,Sheet2!N:O,2,0)</f>
        <v>IREPARABLE</v>
      </c>
      <c r="T4277" s="18" t="str">
        <f aca="false">VLOOKUP(P4277,Sheet2!Q:R,2,0)</f>
        <v>IR Normal - Track burn out</v>
      </c>
      <c r="U4277" s="20" t="s">
        <v>41</v>
      </c>
      <c r="V4277" s="17"/>
      <c r="W4277" s="20" t="e">
        <f aca="false">VLOOKUP(V4277,Sheet2!Q:R,2,0)</f>
        <v>#N/A</v>
      </c>
      <c r="X4277" s="17" t="n">
        <f aca="false">J4277</f>
        <v>0</v>
      </c>
      <c r="Y4277" s="17" t="e">
        <f aca="false">VLOOKUP(X4277,Sheet2!A:B,2,0)</f>
        <v>#N/A</v>
      </c>
      <c r="Z4277" s="17"/>
      <c r="AA4277" s="17"/>
      <c r="AC4277" s="23" t="str">
        <f aca="false">LEFT(G4277,2)</f>
        <v/>
      </c>
    </row>
    <row r="4278" customFormat="false" ht="15" hidden="false" customHeight="false" outlineLevel="0" collapsed="false">
      <c r="A4278" s="13" t="n">
        <f aca="false">1+A4277</f>
        <v>4276</v>
      </c>
      <c r="B4278" s="14" t="n">
        <v>100</v>
      </c>
      <c r="C4278" s="15"/>
      <c r="D4278" s="16" t="s">
        <v>64</v>
      </c>
      <c r="E4278" s="17" t="s">
        <v>47</v>
      </c>
      <c r="F4278" s="18" t="s">
        <v>34</v>
      </c>
      <c r="G4278" s="19"/>
      <c r="H4278" s="17" t="s">
        <v>35</v>
      </c>
      <c r="I4278" s="17" t="s">
        <v>44</v>
      </c>
      <c r="J4278" s="17"/>
      <c r="K4278" s="17" t="e">
        <f aca="false">VLOOKUP(J4278,Sheet2!A:B,2,0)</f>
        <v>#N/A</v>
      </c>
      <c r="L4278" s="17" t="n">
        <v>5</v>
      </c>
      <c r="M4278" s="17" t="str">
        <f aca="false">VLOOKUP(L4278,Sheet2!D:E,2,0)</f>
        <v>Main Processor CPU BGA</v>
      </c>
      <c r="N4278" s="17" t="n">
        <v>1</v>
      </c>
      <c r="O4278" s="17" t="str">
        <f aca="false">VLOOKUP(N4278,Sheet2!G:H,2,0)</f>
        <v>Dead</v>
      </c>
      <c r="P4278" s="17" t="n">
        <v>11</v>
      </c>
      <c r="Q4278" s="17" t="str">
        <f aca="false">VLOOKUP(P4278,Sheet2!J:K,2,0)</f>
        <v>IR Declared due to CID -TA</v>
      </c>
      <c r="R4278" s="17" t="s">
        <v>35</v>
      </c>
      <c r="S4278" s="17" t="str">
        <f aca="false">VLOOKUP(R4278,Sheet2!N:O,2,0)</f>
        <v>IREPARABLE</v>
      </c>
      <c r="T4278" s="18" t="str">
        <f aca="false">VLOOKUP(P4278,Sheet2!Q:R,2,0)</f>
        <v>IR Normal - Track burn out</v>
      </c>
      <c r="U4278" s="20" t="s">
        <v>41</v>
      </c>
      <c r="V4278" s="17"/>
      <c r="W4278" s="20" t="e">
        <f aca="false">VLOOKUP(V4278,Sheet2!Q:R,2,0)</f>
        <v>#N/A</v>
      </c>
      <c r="X4278" s="17" t="n">
        <f aca="false">J4278</f>
        <v>0</v>
      </c>
      <c r="Y4278" s="17" t="e">
        <f aca="false">VLOOKUP(X4278,Sheet2!A:B,2,0)</f>
        <v>#N/A</v>
      </c>
      <c r="Z4278" s="17"/>
      <c r="AA4278" s="17"/>
      <c r="AC4278" s="23" t="str">
        <f aca="false">LEFT(G4278,2)</f>
        <v/>
      </c>
    </row>
    <row r="4279" customFormat="false" ht="15" hidden="false" customHeight="false" outlineLevel="0" collapsed="false">
      <c r="A4279" s="13" t="n">
        <f aca="false">1+A4278</f>
        <v>4277</v>
      </c>
      <c r="B4279" s="14" t="n">
        <v>100</v>
      </c>
      <c r="C4279" s="15"/>
      <c r="D4279" s="16" t="s">
        <v>64</v>
      </c>
      <c r="E4279" s="17" t="s">
        <v>47</v>
      </c>
      <c r="F4279" s="18" t="s">
        <v>34</v>
      </c>
      <c r="G4279" s="19"/>
      <c r="H4279" s="17" t="s">
        <v>35</v>
      </c>
      <c r="I4279" s="17" t="s">
        <v>44</v>
      </c>
      <c r="J4279" s="17"/>
      <c r="K4279" s="17" t="e">
        <f aca="false">VLOOKUP(J4279,Sheet2!A:B,2,0)</f>
        <v>#N/A</v>
      </c>
      <c r="L4279" s="17" t="n">
        <v>5</v>
      </c>
      <c r="M4279" s="17" t="str">
        <f aca="false">VLOOKUP(L4279,Sheet2!D:E,2,0)</f>
        <v>Main Processor CPU BGA</v>
      </c>
      <c r="N4279" s="17" t="n">
        <v>1</v>
      </c>
      <c r="O4279" s="17" t="str">
        <f aca="false">VLOOKUP(N4279,Sheet2!G:H,2,0)</f>
        <v>Dead</v>
      </c>
      <c r="P4279" s="17" t="n">
        <v>11</v>
      </c>
      <c r="Q4279" s="17" t="str">
        <f aca="false">VLOOKUP(P4279,Sheet2!J:K,2,0)</f>
        <v>IR Declared due to CID -TA</v>
      </c>
      <c r="R4279" s="17" t="s">
        <v>35</v>
      </c>
      <c r="S4279" s="17" t="str">
        <f aca="false">VLOOKUP(R4279,Sheet2!N:O,2,0)</f>
        <v>IREPARABLE</v>
      </c>
      <c r="T4279" s="18" t="str">
        <f aca="false">VLOOKUP(P4279,Sheet2!Q:R,2,0)</f>
        <v>IR Normal - Track burn out</v>
      </c>
      <c r="U4279" s="20" t="s">
        <v>41</v>
      </c>
      <c r="V4279" s="17"/>
      <c r="W4279" s="20" t="e">
        <f aca="false">VLOOKUP(V4279,Sheet2!Q:R,2,0)</f>
        <v>#N/A</v>
      </c>
      <c r="X4279" s="17" t="n">
        <f aca="false">J4279</f>
        <v>0</v>
      </c>
      <c r="Y4279" s="17" t="e">
        <f aca="false">VLOOKUP(X4279,Sheet2!A:B,2,0)</f>
        <v>#N/A</v>
      </c>
      <c r="Z4279" s="17"/>
      <c r="AA4279" s="17"/>
      <c r="AC4279" s="23" t="str">
        <f aca="false">LEFT(G4279,2)</f>
        <v/>
      </c>
    </row>
    <row r="4280" customFormat="false" ht="15" hidden="false" customHeight="false" outlineLevel="0" collapsed="false">
      <c r="A4280" s="13" t="n">
        <f aca="false">1+A4279</f>
        <v>4278</v>
      </c>
      <c r="B4280" s="14" t="n">
        <v>100</v>
      </c>
      <c r="C4280" s="15"/>
      <c r="D4280" s="16" t="s">
        <v>64</v>
      </c>
      <c r="E4280" s="17" t="s">
        <v>47</v>
      </c>
      <c r="F4280" s="18" t="s">
        <v>34</v>
      </c>
      <c r="G4280" s="19"/>
      <c r="H4280" s="17" t="s">
        <v>35</v>
      </c>
      <c r="I4280" s="17" t="s">
        <v>44</v>
      </c>
      <c r="J4280" s="17"/>
      <c r="K4280" s="17" t="e">
        <f aca="false">VLOOKUP(J4280,Sheet2!A:B,2,0)</f>
        <v>#N/A</v>
      </c>
      <c r="L4280" s="17" t="n">
        <v>5</v>
      </c>
      <c r="M4280" s="17" t="str">
        <f aca="false">VLOOKUP(L4280,Sheet2!D:E,2,0)</f>
        <v>Main Processor CPU BGA</v>
      </c>
      <c r="N4280" s="17" t="n">
        <v>1</v>
      </c>
      <c r="O4280" s="17" t="str">
        <f aca="false">VLOOKUP(N4280,Sheet2!G:H,2,0)</f>
        <v>Dead</v>
      </c>
      <c r="P4280" s="17" t="n">
        <v>11</v>
      </c>
      <c r="Q4280" s="17" t="str">
        <f aca="false">VLOOKUP(P4280,Sheet2!J:K,2,0)</f>
        <v>IR Declared due to CID -TA</v>
      </c>
      <c r="R4280" s="17" t="s">
        <v>35</v>
      </c>
      <c r="S4280" s="17" t="str">
        <f aca="false">VLOOKUP(R4280,Sheet2!N:O,2,0)</f>
        <v>IREPARABLE</v>
      </c>
      <c r="T4280" s="18" t="str">
        <f aca="false">VLOOKUP(P4280,Sheet2!Q:R,2,0)</f>
        <v>IR Normal - Track burn out</v>
      </c>
      <c r="U4280" s="20" t="s">
        <v>41</v>
      </c>
      <c r="V4280" s="17"/>
      <c r="W4280" s="20" t="e">
        <f aca="false">VLOOKUP(V4280,Sheet2!Q:R,2,0)</f>
        <v>#N/A</v>
      </c>
      <c r="X4280" s="17" t="n">
        <f aca="false">J4280</f>
        <v>0</v>
      </c>
      <c r="Y4280" s="17" t="e">
        <f aca="false">VLOOKUP(X4280,Sheet2!A:B,2,0)</f>
        <v>#N/A</v>
      </c>
      <c r="Z4280" s="17"/>
      <c r="AA4280" s="17"/>
      <c r="AC4280" s="23" t="str">
        <f aca="false">LEFT(G4280,2)</f>
        <v/>
      </c>
    </row>
    <row r="4281" customFormat="false" ht="15" hidden="false" customHeight="false" outlineLevel="0" collapsed="false">
      <c r="A4281" s="13" t="n">
        <f aca="false">1+A4280</f>
        <v>4279</v>
      </c>
      <c r="B4281" s="14" t="n">
        <v>100</v>
      </c>
      <c r="C4281" s="15"/>
      <c r="D4281" s="16" t="s">
        <v>64</v>
      </c>
      <c r="E4281" s="17" t="s">
        <v>47</v>
      </c>
      <c r="F4281" s="18" t="s">
        <v>34</v>
      </c>
      <c r="G4281" s="19"/>
      <c r="H4281" s="17" t="s">
        <v>35</v>
      </c>
      <c r="I4281" s="17" t="s">
        <v>44</v>
      </c>
      <c r="J4281" s="17"/>
      <c r="K4281" s="17" t="e">
        <f aca="false">VLOOKUP(J4281,Sheet2!A:B,2,0)</f>
        <v>#N/A</v>
      </c>
      <c r="L4281" s="17" t="n">
        <v>5</v>
      </c>
      <c r="M4281" s="17" t="str">
        <f aca="false">VLOOKUP(L4281,Sheet2!D:E,2,0)</f>
        <v>Main Processor CPU BGA</v>
      </c>
      <c r="N4281" s="17" t="n">
        <v>1</v>
      </c>
      <c r="O4281" s="17" t="str">
        <f aca="false">VLOOKUP(N4281,Sheet2!G:H,2,0)</f>
        <v>Dead</v>
      </c>
      <c r="P4281" s="17" t="n">
        <v>11</v>
      </c>
      <c r="Q4281" s="17" t="str">
        <f aca="false">VLOOKUP(P4281,Sheet2!J:K,2,0)</f>
        <v>IR Declared due to CID -TA</v>
      </c>
      <c r="R4281" s="17" t="s">
        <v>35</v>
      </c>
      <c r="S4281" s="17" t="str">
        <f aca="false">VLOOKUP(R4281,Sheet2!N:O,2,0)</f>
        <v>IREPARABLE</v>
      </c>
      <c r="T4281" s="18" t="str">
        <f aca="false">VLOOKUP(P4281,Sheet2!Q:R,2,0)</f>
        <v>IR Normal - Track burn out</v>
      </c>
      <c r="U4281" s="20" t="s">
        <v>41</v>
      </c>
      <c r="V4281" s="17"/>
      <c r="W4281" s="20" t="e">
        <f aca="false">VLOOKUP(V4281,Sheet2!Q:R,2,0)</f>
        <v>#N/A</v>
      </c>
      <c r="X4281" s="17" t="n">
        <f aca="false">J4281</f>
        <v>0</v>
      </c>
      <c r="Y4281" s="17" t="e">
        <f aca="false">VLOOKUP(X4281,Sheet2!A:B,2,0)</f>
        <v>#N/A</v>
      </c>
      <c r="Z4281" s="17"/>
      <c r="AA4281" s="17"/>
      <c r="AC4281" s="23" t="str">
        <f aca="false">LEFT(G4281,2)</f>
        <v/>
      </c>
    </row>
    <row r="4282" customFormat="false" ht="15" hidden="false" customHeight="false" outlineLevel="0" collapsed="false">
      <c r="A4282" s="13" t="n">
        <f aca="false">1+A4281</f>
        <v>4280</v>
      </c>
      <c r="B4282" s="14" t="n">
        <v>100</v>
      </c>
      <c r="C4282" s="15"/>
      <c r="D4282" s="16" t="s">
        <v>64</v>
      </c>
      <c r="E4282" s="17" t="s">
        <v>47</v>
      </c>
      <c r="F4282" s="18" t="s">
        <v>34</v>
      </c>
      <c r="G4282" s="19"/>
      <c r="H4282" s="17" t="s">
        <v>35</v>
      </c>
      <c r="I4282" s="17" t="s">
        <v>44</v>
      </c>
      <c r="J4282" s="17"/>
      <c r="K4282" s="17" t="e">
        <f aca="false">VLOOKUP(J4282,Sheet2!A:B,2,0)</f>
        <v>#N/A</v>
      </c>
      <c r="L4282" s="17" t="n">
        <v>5</v>
      </c>
      <c r="M4282" s="17" t="str">
        <f aca="false">VLOOKUP(L4282,Sheet2!D:E,2,0)</f>
        <v>Main Processor CPU BGA</v>
      </c>
      <c r="N4282" s="17" t="n">
        <v>1</v>
      </c>
      <c r="O4282" s="17" t="str">
        <f aca="false">VLOOKUP(N4282,Sheet2!G:H,2,0)</f>
        <v>Dead</v>
      </c>
      <c r="P4282" s="17" t="n">
        <v>11</v>
      </c>
      <c r="Q4282" s="17" t="str">
        <f aca="false">VLOOKUP(P4282,Sheet2!J:K,2,0)</f>
        <v>IR Declared due to CID -TA</v>
      </c>
      <c r="R4282" s="17" t="s">
        <v>35</v>
      </c>
      <c r="S4282" s="17" t="str">
        <f aca="false">VLOOKUP(R4282,Sheet2!N:O,2,0)</f>
        <v>IREPARABLE</v>
      </c>
      <c r="T4282" s="18" t="str">
        <f aca="false">VLOOKUP(P4282,Sheet2!Q:R,2,0)</f>
        <v>IR Normal - Track burn out</v>
      </c>
      <c r="U4282" s="20" t="s">
        <v>41</v>
      </c>
      <c r="V4282" s="17"/>
      <c r="W4282" s="20" t="e">
        <f aca="false">VLOOKUP(V4282,Sheet2!Q:R,2,0)</f>
        <v>#N/A</v>
      </c>
      <c r="X4282" s="17" t="n">
        <f aca="false">J4282</f>
        <v>0</v>
      </c>
      <c r="Y4282" s="17" t="e">
        <f aca="false">VLOOKUP(X4282,Sheet2!A:B,2,0)</f>
        <v>#N/A</v>
      </c>
      <c r="Z4282" s="17"/>
      <c r="AA4282" s="17"/>
      <c r="AC4282" s="23" t="str">
        <f aca="false">LEFT(G4282,2)</f>
        <v/>
      </c>
    </row>
    <row r="4283" customFormat="false" ht="15" hidden="false" customHeight="false" outlineLevel="0" collapsed="false">
      <c r="A4283" s="13" t="n">
        <f aca="false">1+A4282</f>
        <v>4281</v>
      </c>
      <c r="B4283" s="14" t="n">
        <v>100</v>
      </c>
      <c r="C4283" s="15"/>
      <c r="D4283" s="16" t="s">
        <v>64</v>
      </c>
      <c r="E4283" s="17" t="s">
        <v>47</v>
      </c>
      <c r="F4283" s="18" t="s">
        <v>34</v>
      </c>
      <c r="G4283" s="19"/>
      <c r="H4283" s="17" t="s">
        <v>35</v>
      </c>
      <c r="I4283" s="17" t="s">
        <v>44</v>
      </c>
      <c r="J4283" s="17"/>
      <c r="K4283" s="17" t="e">
        <f aca="false">VLOOKUP(J4283,Sheet2!A:B,2,0)</f>
        <v>#N/A</v>
      </c>
      <c r="L4283" s="17" t="n">
        <v>5</v>
      </c>
      <c r="M4283" s="17" t="str">
        <f aca="false">VLOOKUP(L4283,Sheet2!D:E,2,0)</f>
        <v>Main Processor CPU BGA</v>
      </c>
      <c r="N4283" s="17" t="n">
        <v>1</v>
      </c>
      <c r="O4283" s="17" t="str">
        <f aca="false">VLOOKUP(N4283,Sheet2!G:H,2,0)</f>
        <v>Dead</v>
      </c>
      <c r="P4283" s="17" t="n">
        <v>11</v>
      </c>
      <c r="Q4283" s="17" t="str">
        <f aca="false">VLOOKUP(P4283,Sheet2!J:K,2,0)</f>
        <v>IR Declared due to CID -TA</v>
      </c>
      <c r="R4283" s="17" t="s">
        <v>35</v>
      </c>
      <c r="S4283" s="17" t="str">
        <f aca="false">VLOOKUP(R4283,Sheet2!N:O,2,0)</f>
        <v>IREPARABLE</v>
      </c>
      <c r="T4283" s="18" t="str">
        <f aca="false">VLOOKUP(P4283,Sheet2!Q:R,2,0)</f>
        <v>IR Normal - Track burn out</v>
      </c>
      <c r="U4283" s="20" t="s">
        <v>41</v>
      </c>
      <c r="V4283" s="17"/>
      <c r="W4283" s="20" t="e">
        <f aca="false">VLOOKUP(V4283,Sheet2!Q:R,2,0)</f>
        <v>#N/A</v>
      </c>
      <c r="X4283" s="17" t="n">
        <f aca="false">J4283</f>
        <v>0</v>
      </c>
      <c r="Y4283" s="17" t="e">
        <f aca="false">VLOOKUP(X4283,Sheet2!A:B,2,0)</f>
        <v>#N/A</v>
      </c>
      <c r="Z4283" s="17"/>
      <c r="AA4283" s="17"/>
      <c r="AC4283" s="23" t="str">
        <f aca="false">LEFT(G4283,2)</f>
        <v/>
      </c>
    </row>
    <row r="4284" customFormat="false" ht="15" hidden="false" customHeight="false" outlineLevel="0" collapsed="false">
      <c r="A4284" s="13" t="n">
        <f aca="false">1+A4283</f>
        <v>4282</v>
      </c>
      <c r="B4284" s="14" t="n">
        <v>100</v>
      </c>
      <c r="C4284" s="15"/>
      <c r="D4284" s="16" t="s">
        <v>64</v>
      </c>
      <c r="E4284" s="17" t="s">
        <v>47</v>
      </c>
      <c r="F4284" s="18" t="s">
        <v>34</v>
      </c>
      <c r="G4284" s="19"/>
      <c r="H4284" s="17" t="s">
        <v>35</v>
      </c>
      <c r="I4284" s="17" t="s">
        <v>44</v>
      </c>
      <c r="J4284" s="17"/>
      <c r="K4284" s="17" t="e">
        <f aca="false">VLOOKUP(J4284,Sheet2!A:B,2,0)</f>
        <v>#N/A</v>
      </c>
      <c r="L4284" s="17" t="n">
        <v>5</v>
      </c>
      <c r="M4284" s="17" t="str">
        <f aca="false">VLOOKUP(L4284,Sheet2!D:E,2,0)</f>
        <v>Main Processor CPU BGA</v>
      </c>
      <c r="N4284" s="17" t="n">
        <v>1</v>
      </c>
      <c r="O4284" s="17" t="str">
        <f aca="false">VLOOKUP(N4284,Sheet2!G:H,2,0)</f>
        <v>Dead</v>
      </c>
      <c r="P4284" s="17" t="n">
        <v>11</v>
      </c>
      <c r="Q4284" s="17" t="str">
        <f aca="false">VLOOKUP(P4284,Sheet2!J:K,2,0)</f>
        <v>IR Declared due to CID -TA</v>
      </c>
      <c r="R4284" s="17" t="s">
        <v>35</v>
      </c>
      <c r="S4284" s="17" t="str">
        <f aca="false">VLOOKUP(R4284,Sheet2!N:O,2,0)</f>
        <v>IREPARABLE</v>
      </c>
      <c r="T4284" s="18" t="str">
        <f aca="false">VLOOKUP(P4284,Sheet2!Q:R,2,0)</f>
        <v>IR Normal - Track burn out</v>
      </c>
      <c r="U4284" s="20" t="s">
        <v>41</v>
      </c>
      <c r="V4284" s="17"/>
      <c r="W4284" s="20" t="e">
        <f aca="false">VLOOKUP(V4284,Sheet2!Q:R,2,0)</f>
        <v>#N/A</v>
      </c>
      <c r="X4284" s="17" t="n">
        <f aca="false">J4284</f>
        <v>0</v>
      </c>
      <c r="Y4284" s="17" t="e">
        <f aca="false">VLOOKUP(X4284,Sheet2!A:B,2,0)</f>
        <v>#N/A</v>
      </c>
      <c r="Z4284" s="17"/>
      <c r="AA4284" s="17"/>
      <c r="AC4284" s="23" t="str">
        <f aca="false">LEFT(G4284,2)</f>
        <v/>
      </c>
    </row>
    <row r="4285" customFormat="false" ht="15" hidden="false" customHeight="false" outlineLevel="0" collapsed="false">
      <c r="A4285" s="13" t="n">
        <f aca="false">1+A4284</f>
        <v>4283</v>
      </c>
      <c r="B4285" s="14" t="n">
        <v>100</v>
      </c>
      <c r="C4285" s="15"/>
      <c r="D4285" s="16" t="s">
        <v>64</v>
      </c>
      <c r="E4285" s="17" t="s">
        <v>47</v>
      </c>
      <c r="F4285" s="18" t="s">
        <v>34</v>
      </c>
      <c r="G4285" s="19"/>
      <c r="H4285" s="17" t="s">
        <v>35</v>
      </c>
      <c r="I4285" s="17" t="s">
        <v>44</v>
      </c>
      <c r="J4285" s="17"/>
      <c r="K4285" s="17" t="e">
        <f aca="false">VLOOKUP(J4285,Sheet2!A:B,2,0)</f>
        <v>#N/A</v>
      </c>
      <c r="L4285" s="17" t="n">
        <v>5</v>
      </c>
      <c r="M4285" s="17" t="str">
        <f aca="false">VLOOKUP(L4285,Sheet2!D:E,2,0)</f>
        <v>Main Processor CPU BGA</v>
      </c>
      <c r="N4285" s="17" t="n">
        <v>1</v>
      </c>
      <c r="O4285" s="17" t="str">
        <f aca="false">VLOOKUP(N4285,Sheet2!G:H,2,0)</f>
        <v>Dead</v>
      </c>
      <c r="P4285" s="17" t="n">
        <v>11</v>
      </c>
      <c r="Q4285" s="17" t="str">
        <f aca="false">VLOOKUP(P4285,Sheet2!J:K,2,0)</f>
        <v>IR Declared due to CID -TA</v>
      </c>
      <c r="R4285" s="17" t="s">
        <v>35</v>
      </c>
      <c r="S4285" s="17" t="str">
        <f aca="false">VLOOKUP(R4285,Sheet2!N:O,2,0)</f>
        <v>IREPARABLE</v>
      </c>
      <c r="T4285" s="18" t="str">
        <f aca="false">VLOOKUP(P4285,Sheet2!Q:R,2,0)</f>
        <v>IR Normal - Track burn out</v>
      </c>
      <c r="U4285" s="20" t="s">
        <v>41</v>
      </c>
      <c r="V4285" s="17"/>
      <c r="W4285" s="20" t="e">
        <f aca="false">VLOOKUP(V4285,Sheet2!Q:R,2,0)</f>
        <v>#N/A</v>
      </c>
      <c r="X4285" s="17" t="n">
        <f aca="false">J4285</f>
        <v>0</v>
      </c>
      <c r="Y4285" s="17" t="e">
        <f aca="false">VLOOKUP(X4285,Sheet2!A:B,2,0)</f>
        <v>#N/A</v>
      </c>
      <c r="Z4285" s="17"/>
      <c r="AA4285" s="17"/>
      <c r="AC4285" s="23" t="str">
        <f aca="false">LEFT(G4285,2)</f>
        <v/>
      </c>
    </row>
    <row r="4286" customFormat="false" ht="15" hidden="false" customHeight="false" outlineLevel="0" collapsed="false">
      <c r="A4286" s="13" t="n">
        <f aca="false">1+A4285</f>
        <v>4284</v>
      </c>
      <c r="B4286" s="14" t="n">
        <v>100</v>
      </c>
      <c r="C4286" s="15"/>
      <c r="D4286" s="16" t="s">
        <v>64</v>
      </c>
      <c r="E4286" s="17" t="s">
        <v>47</v>
      </c>
      <c r="F4286" s="18" t="s">
        <v>34</v>
      </c>
      <c r="G4286" s="19"/>
      <c r="H4286" s="17" t="s">
        <v>35</v>
      </c>
      <c r="I4286" s="17" t="s">
        <v>44</v>
      </c>
      <c r="J4286" s="17"/>
      <c r="K4286" s="17" t="e">
        <f aca="false">VLOOKUP(J4286,Sheet2!A:B,2,0)</f>
        <v>#N/A</v>
      </c>
      <c r="L4286" s="17" t="n">
        <v>5</v>
      </c>
      <c r="M4286" s="17" t="str">
        <f aca="false">VLOOKUP(L4286,Sheet2!D:E,2,0)</f>
        <v>Main Processor CPU BGA</v>
      </c>
      <c r="N4286" s="17" t="n">
        <v>1</v>
      </c>
      <c r="O4286" s="17" t="str">
        <f aca="false">VLOOKUP(N4286,Sheet2!G:H,2,0)</f>
        <v>Dead</v>
      </c>
      <c r="P4286" s="17" t="n">
        <v>11</v>
      </c>
      <c r="Q4286" s="17" t="str">
        <f aca="false">VLOOKUP(P4286,Sheet2!J:K,2,0)</f>
        <v>IR Declared due to CID -TA</v>
      </c>
      <c r="R4286" s="17" t="s">
        <v>35</v>
      </c>
      <c r="S4286" s="17" t="str">
        <f aca="false">VLOOKUP(R4286,Sheet2!N:O,2,0)</f>
        <v>IREPARABLE</v>
      </c>
      <c r="T4286" s="18" t="str">
        <f aca="false">VLOOKUP(P4286,Sheet2!Q:R,2,0)</f>
        <v>IR Normal - Track burn out</v>
      </c>
      <c r="U4286" s="20" t="s">
        <v>41</v>
      </c>
      <c r="V4286" s="17"/>
      <c r="W4286" s="20" t="e">
        <f aca="false">VLOOKUP(V4286,Sheet2!Q:R,2,0)</f>
        <v>#N/A</v>
      </c>
      <c r="X4286" s="17" t="n">
        <f aca="false">J4286</f>
        <v>0</v>
      </c>
      <c r="Y4286" s="17" t="e">
        <f aca="false">VLOOKUP(X4286,Sheet2!A:B,2,0)</f>
        <v>#N/A</v>
      </c>
      <c r="Z4286" s="17"/>
      <c r="AA4286" s="17"/>
      <c r="AC4286" s="23" t="str">
        <f aca="false">LEFT(G4286,2)</f>
        <v/>
      </c>
    </row>
    <row r="4287" customFormat="false" ht="15" hidden="false" customHeight="false" outlineLevel="0" collapsed="false">
      <c r="A4287" s="13" t="n">
        <f aca="false">1+A4286</f>
        <v>4285</v>
      </c>
      <c r="B4287" s="14" t="n">
        <v>100</v>
      </c>
      <c r="C4287" s="15"/>
      <c r="D4287" s="16" t="s">
        <v>64</v>
      </c>
      <c r="E4287" s="17" t="s">
        <v>47</v>
      </c>
      <c r="F4287" s="18" t="s">
        <v>34</v>
      </c>
      <c r="G4287" s="19"/>
      <c r="H4287" s="17" t="s">
        <v>35</v>
      </c>
      <c r="I4287" s="17" t="s">
        <v>44</v>
      </c>
      <c r="J4287" s="17"/>
      <c r="K4287" s="17" t="e">
        <f aca="false">VLOOKUP(J4287,Sheet2!A:B,2,0)</f>
        <v>#N/A</v>
      </c>
      <c r="L4287" s="17" t="n">
        <v>5</v>
      </c>
      <c r="M4287" s="17" t="str">
        <f aca="false">VLOOKUP(L4287,Sheet2!D:E,2,0)</f>
        <v>Main Processor CPU BGA</v>
      </c>
      <c r="N4287" s="17" t="n">
        <v>1</v>
      </c>
      <c r="O4287" s="17" t="str">
        <f aca="false">VLOOKUP(N4287,Sheet2!G:H,2,0)</f>
        <v>Dead</v>
      </c>
      <c r="P4287" s="17" t="n">
        <v>11</v>
      </c>
      <c r="Q4287" s="17" t="str">
        <f aca="false">VLOOKUP(P4287,Sheet2!J:K,2,0)</f>
        <v>IR Declared due to CID -TA</v>
      </c>
      <c r="R4287" s="17" t="s">
        <v>35</v>
      </c>
      <c r="S4287" s="17" t="str">
        <f aca="false">VLOOKUP(R4287,Sheet2!N:O,2,0)</f>
        <v>IREPARABLE</v>
      </c>
      <c r="T4287" s="18" t="str">
        <f aca="false">VLOOKUP(P4287,Sheet2!Q:R,2,0)</f>
        <v>IR Normal - Track burn out</v>
      </c>
      <c r="U4287" s="20" t="s">
        <v>41</v>
      </c>
      <c r="V4287" s="17"/>
      <c r="W4287" s="20" t="e">
        <f aca="false">VLOOKUP(V4287,Sheet2!Q:R,2,0)</f>
        <v>#N/A</v>
      </c>
      <c r="X4287" s="17" t="n">
        <f aca="false">J4287</f>
        <v>0</v>
      </c>
      <c r="Y4287" s="17" t="e">
        <f aca="false">VLOOKUP(X4287,Sheet2!A:B,2,0)</f>
        <v>#N/A</v>
      </c>
      <c r="Z4287" s="17"/>
      <c r="AA4287" s="17"/>
      <c r="AC4287" s="23" t="str">
        <f aca="false">LEFT(G4287,2)</f>
        <v/>
      </c>
    </row>
    <row r="4288" customFormat="false" ht="15" hidden="false" customHeight="false" outlineLevel="0" collapsed="false">
      <c r="A4288" s="13" t="n">
        <f aca="false">1+A4287</f>
        <v>4286</v>
      </c>
      <c r="B4288" s="14" t="n">
        <v>100</v>
      </c>
      <c r="C4288" s="15"/>
      <c r="D4288" s="16" t="s">
        <v>64</v>
      </c>
      <c r="E4288" s="17" t="s">
        <v>47</v>
      </c>
      <c r="F4288" s="18" t="s">
        <v>34</v>
      </c>
      <c r="G4288" s="19"/>
      <c r="H4288" s="17" t="s">
        <v>35</v>
      </c>
      <c r="I4288" s="17" t="s">
        <v>44</v>
      </c>
      <c r="J4288" s="17"/>
      <c r="K4288" s="17" t="e">
        <f aca="false">VLOOKUP(J4288,Sheet2!A:B,2,0)</f>
        <v>#N/A</v>
      </c>
      <c r="L4288" s="17" t="n">
        <v>5</v>
      </c>
      <c r="M4288" s="17" t="str">
        <f aca="false">VLOOKUP(L4288,Sheet2!D:E,2,0)</f>
        <v>Main Processor CPU BGA</v>
      </c>
      <c r="N4288" s="17" t="n">
        <v>1</v>
      </c>
      <c r="O4288" s="17" t="str">
        <f aca="false">VLOOKUP(N4288,Sheet2!G:H,2,0)</f>
        <v>Dead</v>
      </c>
      <c r="P4288" s="17" t="n">
        <v>11</v>
      </c>
      <c r="Q4288" s="17" t="str">
        <f aca="false">VLOOKUP(P4288,Sheet2!J:K,2,0)</f>
        <v>IR Declared due to CID -TA</v>
      </c>
      <c r="R4288" s="17" t="s">
        <v>35</v>
      </c>
      <c r="S4288" s="17" t="str">
        <f aca="false">VLOOKUP(R4288,Sheet2!N:O,2,0)</f>
        <v>IREPARABLE</v>
      </c>
      <c r="T4288" s="18" t="str">
        <f aca="false">VLOOKUP(P4288,Sheet2!Q:R,2,0)</f>
        <v>IR Normal - Track burn out</v>
      </c>
      <c r="U4288" s="20" t="s">
        <v>41</v>
      </c>
      <c r="V4288" s="17"/>
      <c r="W4288" s="20" t="e">
        <f aca="false">VLOOKUP(V4288,Sheet2!Q:R,2,0)</f>
        <v>#N/A</v>
      </c>
      <c r="X4288" s="17" t="n">
        <f aca="false">J4288</f>
        <v>0</v>
      </c>
      <c r="Y4288" s="17" t="e">
        <f aca="false">VLOOKUP(X4288,Sheet2!A:B,2,0)</f>
        <v>#N/A</v>
      </c>
      <c r="Z4288" s="17"/>
      <c r="AA4288" s="17"/>
      <c r="AC4288" s="23" t="str">
        <f aca="false">LEFT(G4288,2)</f>
        <v/>
      </c>
    </row>
    <row r="4289" customFormat="false" ht="15" hidden="false" customHeight="false" outlineLevel="0" collapsed="false">
      <c r="A4289" s="13" t="n">
        <f aca="false">1+A4288</f>
        <v>4287</v>
      </c>
      <c r="B4289" s="14" t="n">
        <v>100</v>
      </c>
      <c r="C4289" s="15"/>
      <c r="D4289" s="16" t="s">
        <v>64</v>
      </c>
      <c r="E4289" s="17" t="s">
        <v>47</v>
      </c>
      <c r="F4289" s="18" t="s">
        <v>34</v>
      </c>
      <c r="G4289" s="19"/>
      <c r="H4289" s="17" t="s">
        <v>35</v>
      </c>
      <c r="I4289" s="17" t="s">
        <v>44</v>
      </c>
      <c r="J4289" s="17"/>
      <c r="K4289" s="17" t="e">
        <f aca="false">VLOOKUP(J4289,Sheet2!A:B,2,0)</f>
        <v>#N/A</v>
      </c>
      <c r="L4289" s="17" t="n">
        <v>5</v>
      </c>
      <c r="M4289" s="17" t="str">
        <f aca="false">VLOOKUP(L4289,Sheet2!D:E,2,0)</f>
        <v>Main Processor CPU BGA</v>
      </c>
      <c r="N4289" s="17" t="n">
        <v>1</v>
      </c>
      <c r="O4289" s="17" t="str">
        <f aca="false">VLOOKUP(N4289,Sheet2!G:H,2,0)</f>
        <v>Dead</v>
      </c>
      <c r="P4289" s="17" t="n">
        <v>11</v>
      </c>
      <c r="Q4289" s="17" t="str">
        <f aca="false">VLOOKUP(P4289,Sheet2!J:K,2,0)</f>
        <v>IR Declared due to CID -TA</v>
      </c>
      <c r="R4289" s="17" t="s">
        <v>35</v>
      </c>
      <c r="S4289" s="17" t="str">
        <f aca="false">VLOOKUP(R4289,Sheet2!N:O,2,0)</f>
        <v>IREPARABLE</v>
      </c>
      <c r="T4289" s="18" t="str">
        <f aca="false">VLOOKUP(P4289,Sheet2!Q:R,2,0)</f>
        <v>IR Normal - Track burn out</v>
      </c>
      <c r="U4289" s="20" t="s">
        <v>41</v>
      </c>
      <c r="V4289" s="17"/>
      <c r="W4289" s="20" t="e">
        <f aca="false">VLOOKUP(V4289,Sheet2!Q:R,2,0)</f>
        <v>#N/A</v>
      </c>
      <c r="X4289" s="17" t="n">
        <f aca="false">J4289</f>
        <v>0</v>
      </c>
      <c r="Y4289" s="17" t="e">
        <f aca="false">VLOOKUP(X4289,Sheet2!A:B,2,0)</f>
        <v>#N/A</v>
      </c>
      <c r="Z4289" s="17"/>
      <c r="AA4289" s="17"/>
      <c r="AC4289" s="23" t="str">
        <f aca="false">LEFT(G4289,2)</f>
        <v/>
      </c>
    </row>
    <row r="4290" customFormat="false" ht="15" hidden="false" customHeight="false" outlineLevel="0" collapsed="false">
      <c r="A4290" s="13" t="n">
        <f aca="false">1+A4289</f>
        <v>4288</v>
      </c>
      <c r="B4290" s="14" t="n">
        <v>100</v>
      </c>
      <c r="C4290" s="15"/>
      <c r="D4290" s="16" t="s">
        <v>64</v>
      </c>
      <c r="E4290" s="17" t="s">
        <v>47</v>
      </c>
      <c r="F4290" s="18" t="s">
        <v>34</v>
      </c>
      <c r="G4290" s="19"/>
      <c r="H4290" s="17" t="s">
        <v>35</v>
      </c>
      <c r="I4290" s="17" t="s">
        <v>44</v>
      </c>
      <c r="J4290" s="17"/>
      <c r="K4290" s="17" t="e">
        <f aca="false">VLOOKUP(J4290,Sheet2!A:B,2,0)</f>
        <v>#N/A</v>
      </c>
      <c r="L4290" s="17" t="n">
        <v>5</v>
      </c>
      <c r="M4290" s="17" t="str">
        <f aca="false">VLOOKUP(L4290,Sheet2!D:E,2,0)</f>
        <v>Main Processor CPU BGA</v>
      </c>
      <c r="N4290" s="17" t="n">
        <v>1</v>
      </c>
      <c r="O4290" s="17" t="str">
        <f aca="false">VLOOKUP(N4290,Sheet2!G:H,2,0)</f>
        <v>Dead</v>
      </c>
      <c r="P4290" s="17" t="n">
        <v>11</v>
      </c>
      <c r="Q4290" s="17" t="str">
        <f aca="false">VLOOKUP(P4290,Sheet2!J:K,2,0)</f>
        <v>IR Declared due to CID -TA</v>
      </c>
      <c r="R4290" s="17" t="s">
        <v>35</v>
      </c>
      <c r="S4290" s="17" t="str">
        <f aca="false">VLOOKUP(R4290,Sheet2!N:O,2,0)</f>
        <v>IREPARABLE</v>
      </c>
      <c r="T4290" s="18" t="str">
        <f aca="false">VLOOKUP(P4290,Sheet2!Q:R,2,0)</f>
        <v>IR Normal - Track burn out</v>
      </c>
      <c r="U4290" s="20" t="s">
        <v>41</v>
      </c>
      <c r="V4290" s="17"/>
      <c r="W4290" s="20" t="e">
        <f aca="false">VLOOKUP(V4290,Sheet2!Q:R,2,0)</f>
        <v>#N/A</v>
      </c>
      <c r="X4290" s="17" t="n">
        <f aca="false">J4290</f>
        <v>0</v>
      </c>
      <c r="Y4290" s="17" t="e">
        <f aca="false">VLOOKUP(X4290,Sheet2!A:B,2,0)</f>
        <v>#N/A</v>
      </c>
      <c r="Z4290" s="17"/>
      <c r="AA4290" s="17"/>
      <c r="AC4290" s="23" t="str">
        <f aca="false">LEFT(G4290,2)</f>
        <v/>
      </c>
    </row>
    <row r="4291" customFormat="false" ht="15" hidden="false" customHeight="false" outlineLevel="0" collapsed="false">
      <c r="A4291" s="13" t="n">
        <f aca="false">1+A4290</f>
        <v>4289</v>
      </c>
      <c r="B4291" s="14" t="n">
        <v>100</v>
      </c>
      <c r="C4291" s="15"/>
      <c r="D4291" s="16" t="s">
        <v>64</v>
      </c>
      <c r="E4291" s="17" t="s">
        <v>47</v>
      </c>
      <c r="F4291" s="18" t="s">
        <v>34</v>
      </c>
      <c r="G4291" s="19"/>
      <c r="H4291" s="17" t="s">
        <v>35</v>
      </c>
      <c r="I4291" s="17" t="s">
        <v>44</v>
      </c>
      <c r="J4291" s="17"/>
      <c r="K4291" s="17" t="e">
        <f aca="false">VLOOKUP(J4291,Sheet2!A:B,2,0)</f>
        <v>#N/A</v>
      </c>
      <c r="L4291" s="17" t="n">
        <v>5</v>
      </c>
      <c r="M4291" s="17" t="str">
        <f aca="false">VLOOKUP(L4291,Sheet2!D:E,2,0)</f>
        <v>Main Processor CPU BGA</v>
      </c>
      <c r="N4291" s="17" t="n">
        <v>1</v>
      </c>
      <c r="O4291" s="17" t="str">
        <f aca="false">VLOOKUP(N4291,Sheet2!G:H,2,0)</f>
        <v>Dead</v>
      </c>
      <c r="P4291" s="17" t="n">
        <v>11</v>
      </c>
      <c r="Q4291" s="17" t="str">
        <f aca="false">VLOOKUP(P4291,Sheet2!J:K,2,0)</f>
        <v>IR Declared due to CID -TA</v>
      </c>
      <c r="R4291" s="17" t="s">
        <v>35</v>
      </c>
      <c r="S4291" s="17" t="str">
        <f aca="false">VLOOKUP(R4291,Sheet2!N:O,2,0)</f>
        <v>IREPARABLE</v>
      </c>
      <c r="T4291" s="18" t="str">
        <f aca="false">VLOOKUP(P4291,Sheet2!Q:R,2,0)</f>
        <v>IR Normal - Track burn out</v>
      </c>
      <c r="U4291" s="20" t="s">
        <v>41</v>
      </c>
      <c r="V4291" s="17"/>
      <c r="W4291" s="20" t="e">
        <f aca="false">VLOOKUP(V4291,Sheet2!Q:R,2,0)</f>
        <v>#N/A</v>
      </c>
      <c r="X4291" s="17" t="n">
        <f aca="false">J4291</f>
        <v>0</v>
      </c>
      <c r="Y4291" s="17" t="e">
        <f aca="false">VLOOKUP(X4291,Sheet2!A:B,2,0)</f>
        <v>#N/A</v>
      </c>
      <c r="Z4291" s="17"/>
      <c r="AA4291" s="17"/>
      <c r="AC4291" s="23" t="str">
        <f aca="false">LEFT(G4291,2)</f>
        <v/>
      </c>
    </row>
    <row r="4292" customFormat="false" ht="15" hidden="false" customHeight="false" outlineLevel="0" collapsed="false">
      <c r="A4292" s="13" t="n">
        <f aca="false">1+A4291</f>
        <v>4290</v>
      </c>
      <c r="B4292" s="14" t="n">
        <v>100</v>
      </c>
      <c r="C4292" s="15"/>
      <c r="D4292" s="16" t="s">
        <v>64</v>
      </c>
      <c r="E4292" s="17" t="s">
        <v>47</v>
      </c>
      <c r="F4292" s="18" t="s">
        <v>34</v>
      </c>
      <c r="G4292" s="19"/>
      <c r="H4292" s="17" t="s">
        <v>35</v>
      </c>
      <c r="I4292" s="17" t="s">
        <v>44</v>
      </c>
      <c r="J4292" s="17"/>
      <c r="K4292" s="17" t="e">
        <f aca="false">VLOOKUP(J4292,Sheet2!A:B,2,0)</f>
        <v>#N/A</v>
      </c>
      <c r="L4292" s="17" t="n">
        <v>5</v>
      </c>
      <c r="M4292" s="17" t="str">
        <f aca="false">VLOOKUP(L4292,Sheet2!D:E,2,0)</f>
        <v>Main Processor CPU BGA</v>
      </c>
      <c r="N4292" s="17" t="n">
        <v>1</v>
      </c>
      <c r="O4292" s="17" t="str">
        <f aca="false">VLOOKUP(N4292,Sheet2!G:H,2,0)</f>
        <v>Dead</v>
      </c>
      <c r="P4292" s="17" t="n">
        <v>11</v>
      </c>
      <c r="Q4292" s="17" t="str">
        <f aca="false">VLOOKUP(P4292,Sheet2!J:K,2,0)</f>
        <v>IR Declared due to CID -TA</v>
      </c>
      <c r="R4292" s="17" t="s">
        <v>35</v>
      </c>
      <c r="S4292" s="17" t="str">
        <f aca="false">VLOOKUP(R4292,Sheet2!N:O,2,0)</f>
        <v>IREPARABLE</v>
      </c>
      <c r="T4292" s="18" t="str">
        <f aca="false">VLOOKUP(P4292,Sheet2!Q:R,2,0)</f>
        <v>IR Normal - Track burn out</v>
      </c>
      <c r="U4292" s="20" t="s">
        <v>41</v>
      </c>
      <c r="V4292" s="17"/>
      <c r="W4292" s="20" t="e">
        <f aca="false">VLOOKUP(V4292,Sheet2!Q:R,2,0)</f>
        <v>#N/A</v>
      </c>
      <c r="X4292" s="17" t="n">
        <f aca="false">J4292</f>
        <v>0</v>
      </c>
      <c r="Y4292" s="17" t="e">
        <f aca="false">VLOOKUP(X4292,Sheet2!A:B,2,0)</f>
        <v>#N/A</v>
      </c>
      <c r="Z4292" s="17"/>
      <c r="AA4292" s="17"/>
      <c r="AC4292" s="23" t="str">
        <f aca="false">LEFT(G4292,2)</f>
        <v/>
      </c>
    </row>
    <row r="4293" customFormat="false" ht="15" hidden="false" customHeight="false" outlineLevel="0" collapsed="false">
      <c r="A4293" s="13" t="n">
        <f aca="false">1+A4292</f>
        <v>4291</v>
      </c>
      <c r="B4293" s="14" t="n">
        <v>100</v>
      </c>
      <c r="C4293" s="15"/>
      <c r="D4293" s="16" t="s">
        <v>64</v>
      </c>
      <c r="E4293" s="17" t="s">
        <v>47</v>
      </c>
      <c r="F4293" s="18" t="s">
        <v>34</v>
      </c>
      <c r="G4293" s="19"/>
      <c r="H4293" s="17" t="s">
        <v>35</v>
      </c>
      <c r="I4293" s="17" t="s">
        <v>44</v>
      </c>
      <c r="J4293" s="17"/>
      <c r="K4293" s="17" t="e">
        <f aca="false">VLOOKUP(J4293,Sheet2!A:B,2,0)</f>
        <v>#N/A</v>
      </c>
      <c r="L4293" s="17" t="n">
        <v>5</v>
      </c>
      <c r="M4293" s="17" t="str">
        <f aca="false">VLOOKUP(L4293,Sheet2!D:E,2,0)</f>
        <v>Main Processor CPU BGA</v>
      </c>
      <c r="N4293" s="17" t="n">
        <v>1</v>
      </c>
      <c r="O4293" s="17" t="str">
        <f aca="false">VLOOKUP(N4293,Sheet2!G:H,2,0)</f>
        <v>Dead</v>
      </c>
      <c r="P4293" s="17" t="n">
        <v>11</v>
      </c>
      <c r="Q4293" s="17" t="str">
        <f aca="false">VLOOKUP(P4293,Sheet2!J:K,2,0)</f>
        <v>IR Declared due to CID -TA</v>
      </c>
      <c r="R4293" s="17" t="s">
        <v>35</v>
      </c>
      <c r="S4293" s="17" t="str">
        <f aca="false">VLOOKUP(R4293,Sheet2!N:O,2,0)</f>
        <v>IREPARABLE</v>
      </c>
      <c r="T4293" s="18" t="str">
        <f aca="false">VLOOKUP(P4293,Sheet2!Q:R,2,0)</f>
        <v>IR Normal - Track burn out</v>
      </c>
      <c r="U4293" s="20" t="s">
        <v>41</v>
      </c>
      <c r="V4293" s="17"/>
      <c r="W4293" s="20" t="e">
        <f aca="false">VLOOKUP(V4293,Sheet2!Q:R,2,0)</f>
        <v>#N/A</v>
      </c>
      <c r="X4293" s="17" t="n">
        <f aca="false">J4293</f>
        <v>0</v>
      </c>
      <c r="Y4293" s="17" t="e">
        <f aca="false">VLOOKUP(X4293,Sheet2!A:B,2,0)</f>
        <v>#N/A</v>
      </c>
      <c r="Z4293" s="17"/>
      <c r="AA4293" s="17"/>
      <c r="AC4293" s="23" t="str">
        <f aca="false">LEFT(G4293,2)</f>
        <v/>
      </c>
    </row>
    <row r="4294" customFormat="false" ht="15" hidden="false" customHeight="false" outlineLevel="0" collapsed="false">
      <c r="A4294" s="13" t="n">
        <f aca="false">1+A4293</f>
        <v>4292</v>
      </c>
      <c r="B4294" s="14" t="n">
        <v>100</v>
      </c>
      <c r="C4294" s="15"/>
      <c r="D4294" s="16" t="s">
        <v>64</v>
      </c>
      <c r="E4294" s="17" t="s">
        <v>47</v>
      </c>
      <c r="F4294" s="18" t="s">
        <v>34</v>
      </c>
      <c r="G4294" s="19"/>
      <c r="H4294" s="17" t="s">
        <v>35</v>
      </c>
      <c r="I4294" s="17" t="s">
        <v>44</v>
      </c>
      <c r="J4294" s="17"/>
      <c r="K4294" s="17" t="e">
        <f aca="false">VLOOKUP(J4294,Sheet2!A:B,2,0)</f>
        <v>#N/A</v>
      </c>
      <c r="L4294" s="17" t="n">
        <v>5</v>
      </c>
      <c r="M4294" s="17" t="str">
        <f aca="false">VLOOKUP(L4294,Sheet2!D:E,2,0)</f>
        <v>Main Processor CPU BGA</v>
      </c>
      <c r="N4294" s="17" t="n">
        <v>1</v>
      </c>
      <c r="O4294" s="17" t="str">
        <f aca="false">VLOOKUP(N4294,Sheet2!G:H,2,0)</f>
        <v>Dead</v>
      </c>
      <c r="P4294" s="17" t="n">
        <v>11</v>
      </c>
      <c r="Q4294" s="17" t="str">
        <f aca="false">VLOOKUP(P4294,Sheet2!J:K,2,0)</f>
        <v>IR Declared due to CID -TA</v>
      </c>
      <c r="R4294" s="17" t="s">
        <v>35</v>
      </c>
      <c r="S4294" s="17" t="str">
        <f aca="false">VLOOKUP(R4294,Sheet2!N:O,2,0)</f>
        <v>IREPARABLE</v>
      </c>
      <c r="T4294" s="18" t="str">
        <f aca="false">VLOOKUP(P4294,Sheet2!Q:R,2,0)</f>
        <v>IR Normal - Track burn out</v>
      </c>
      <c r="U4294" s="20" t="s">
        <v>41</v>
      </c>
      <c r="V4294" s="17"/>
      <c r="W4294" s="20" t="e">
        <f aca="false">VLOOKUP(V4294,Sheet2!Q:R,2,0)</f>
        <v>#N/A</v>
      </c>
      <c r="X4294" s="17" t="n">
        <f aca="false">J4294</f>
        <v>0</v>
      </c>
      <c r="Y4294" s="17" t="e">
        <f aca="false">VLOOKUP(X4294,Sheet2!A:B,2,0)</f>
        <v>#N/A</v>
      </c>
      <c r="Z4294" s="17"/>
      <c r="AA4294" s="17"/>
      <c r="AC4294" s="23" t="str">
        <f aca="false">LEFT(G4294,2)</f>
        <v/>
      </c>
    </row>
    <row r="4295" customFormat="false" ht="15" hidden="false" customHeight="false" outlineLevel="0" collapsed="false">
      <c r="A4295" s="13" t="n">
        <f aca="false">1+A4294</f>
        <v>4293</v>
      </c>
      <c r="B4295" s="14" t="n">
        <v>100</v>
      </c>
      <c r="C4295" s="15"/>
      <c r="D4295" s="16" t="s">
        <v>64</v>
      </c>
      <c r="E4295" s="17" t="s">
        <v>47</v>
      </c>
      <c r="F4295" s="18" t="s">
        <v>34</v>
      </c>
      <c r="G4295" s="19"/>
      <c r="H4295" s="17" t="s">
        <v>35</v>
      </c>
      <c r="I4295" s="17" t="s">
        <v>44</v>
      </c>
      <c r="J4295" s="17"/>
      <c r="K4295" s="17" t="e">
        <f aca="false">VLOOKUP(J4295,Sheet2!A:B,2,0)</f>
        <v>#N/A</v>
      </c>
      <c r="L4295" s="17" t="n">
        <v>5</v>
      </c>
      <c r="M4295" s="17" t="str">
        <f aca="false">VLOOKUP(L4295,Sheet2!D:E,2,0)</f>
        <v>Main Processor CPU BGA</v>
      </c>
      <c r="N4295" s="17" t="n">
        <v>1</v>
      </c>
      <c r="O4295" s="17" t="str">
        <f aca="false">VLOOKUP(N4295,Sheet2!G:H,2,0)</f>
        <v>Dead</v>
      </c>
      <c r="P4295" s="17" t="n">
        <v>11</v>
      </c>
      <c r="Q4295" s="17" t="str">
        <f aca="false">VLOOKUP(P4295,Sheet2!J:K,2,0)</f>
        <v>IR Declared due to CID -TA</v>
      </c>
      <c r="R4295" s="17" t="s">
        <v>35</v>
      </c>
      <c r="S4295" s="17" t="str">
        <f aca="false">VLOOKUP(R4295,Sheet2!N:O,2,0)</f>
        <v>IREPARABLE</v>
      </c>
      <c r="T4295" s="18" t="str">
        <f aca="false">VLOOKUP(P4295,Sheet2!Q:R,2,0)</f>
        <v>IR Normal - Track burn out</v>
      </c>
      <c r="U4295" s="20" t="s">
        <v>41</v>
      </c>
      <c r="V4295" s="17"/>
      <c r="W4295" s="20" t="e">
        <f aca="false">VLOOKUP(V4295,Sheet2!Q:R,2,0)</f>
        <v>#N/A</v>
      </c>
      <c r="X4295" s="17" t="n">
        <f aca="false">J4295</f>
        <v>0</v>
      </c>
      <c r="Y4295" s="17" t="e">
        <f aca="false">VLOOKUP(X4295,Sheet2!A:B,2,0)</f>
        <v>#N/A</v>
      </c>
      <c r="Z4295" s="17"/>
      <c r="AA4295" s="17"/>
      <c r="AC4295" s="23" t="str">
        <f aca="false">LEFT(G4295,2)</f>
        <v/>
      </c>
    </row>
    <row r="4296" customFormat="false" ht="15" hidden="false" customHeight="false" outlineLevel="0" collapsed="false">
      <c r="A4296" s="13" t="n">
        <f aca="false">1+A4295</f>
        <v>4294</v>
      </c>
      <c r="B4296" s="14" t="n">
        <v>100</v>
      </c>
      <c r="C4296" s="15"/>
      <c r="D4296" s="16" t="s">
        <v>64</v>
      </c>
      <c r="E4296" s="17" t="s">
        <v>47</v>
      </c>
      <c r="F4296" s="18" t="s">
        <v>34</v>
      </c>
      <c r="G4296" s="19"/>
      <c r="H4296" s="17" t="s">
        <v>35</v>
      </c>
      <c r="I4296" s="17" t="s">
        <v>44</v>
      </c>
      <c r="J4296" s="17"/>
      <c r="K4296" s="17" t="e">
        <f aca="false">VLOOKUP(J4296,Sheet2!A:B,2,0)</f>
        <v>#N/A</v>
      </c>
      <c r="L4296" s="17" t="n">
        <v>5</v>
      </c>
      <c r="M4296" s="17" t="str">
        <f aca="false">VLOOKUP(L4296,Sheet2!D:E,2,0)</f>
        <v>Main Processor CPU BGA</v>
      </c>
      <c r="N4296" s="17" t="n">
        <v>1</v>
      </c>
      <c r="O4296" s="17" t="str">
        <f aca="false">VLOOKUP(N4296,Sheet2!G:H,2,0)</f>
        <v>Dead</v>
      </c>
      <c r="P4296" s="17" t="n">
        <v>11</v>
      </c>
      <c r="Q4296" s="17" t="str">
        <f aca="false">VLOOKUP(P4296,Sheet2!J:K,2,0)</f>
        <v>IR Declared due to CID -TA</v>
      </c>
      <c r="R4296" s="17" t="s">
        <v>35</v>
      </c>
      <c r="S4296" s="17" t="str">
        <f aca="false">VLOOKUP(R4296,Sheet2!N:O,2,0)</f>
        <v>IREPARABLE</v>
      </c>
      <c r="T4296" s="18" t="str">
        <f aca="false">VLOOKUP(P4296,Sheet2!Q:R,2,0)</f>
        <v>IR Normal - Track burn out</v>
      </c>
      <c r="U4296" s="20" t="s">
        <v>41</v>
      </c>
      <c r="V4296" s="17"/>
      <c r="W4296" s="20" t="e">
        <f aca="false">VLOOKUP(V4296,Sheet2!Q:R,2,0)</f>
        <v>#N/A</v>
      </c>
      <c r="X4296" s="17" t="n">
        <f aca="false">J4296</f>
        <v>0</v>
      </c>
      <c r="Y4296" s="17" t="e">
        <f aca="false">VLOOKUP(X4296,Sheet2!A:B,2,0)</f>
        <v>#N/A</v>
      </c>
      <c r="Z4296" s="17"/>
      <c r="AA4296" s="17"/>
      <c r="AC4296" s="23" t="str">
        <f aca="false">LEFT(G4296,2)</f>
        <v/>
      </c>
    </row>
    <row r="4297" customFormat="false" ht="15" hidden="false" customHeight="false" outlineLevel="0" collapsed="false">
      <c r="A4297" s="13" t="n">
        <f aca="false">1+A4296</f>
        <v>4295</v>
      </c>
      <c r="B4297" s="14" t="n">
        <v>100</v>
      </c>
      <c r="C4297" s="15"/>
      <c r="D4297" s="16" t="s">
        <v>64</v>
      </c>
      <c r="E4297" s="17" t="s">
        <v>47</v>
      </c>
      <c r="F4297" s="18" t="s">
        <v>34</v>
      </c>
      <c r="G4297" s="19"/>
      <c r="H4297" s="17" t="s">
        <v>35</v>
      </c>
      <c r="I4297" s="17" t="s">
        <v>44</v>
      </c>
      <c r="J4297" s="17"/>
      <c r="K4297" s="17" t="e">
        <f aca="false">VLOOKUP(J4297,Sheet2!A:B,2,0)</f>
        <v>#N/A</v>
      </c>
      <c r="L4297" s="17" t="n">
        <v>5</v>
      </c>
      <c r="M4297" s="17" t="str">
        <f aca="false">VLOOKUP(L4297,Sheet2!D:E,2,0)</f>
        <v>Main Processor CPU BGA</v>
      </c>
      <c r="N4297" s="17" t="n">
        <v>1</v>
      </c>
      <c r="O4297" s="17" t="str">
        <f aca="false">VLOOKUP(N4297,Sheet2!G:H,2,0)</f>
        <v>Dead</v>
      </c>
      <c r="P4297" s="17" t="n">
        <v>11</v>
      </c>
      <c r="Q4297" s="17" t="str">
        <f aca="false">VLOOKUP(P4297,Sheet2!J:K,2,0)</f>
        <v>IR Declared due to CID -TA</v>
      </c>
      <c r="R4297" s="17" t="s">
        <v>35</v>
      </c>
      <c r="S4297" s="17" t="str">
        <f aca="false">VLOOKUP(R4297,Sheet2!N:O,2,0)</f>
        <v>IREPARABLE</v>
      </c>
      <c r="T4297" s="18" t="str">
        <f aca="false">VLOOKUP(P4297,Sheet2!Q:R,2,0)</f>
        <v>IR Normal - Track burn out</v>
      </c>
      <c r="U4297" s="20" t="s">
        <v>41</v>
      </c>
      <c r="V4297" s="17"/>
      <c r="W4297" s="20" t="e">
        <f aca="false">VLOOKUP(V4297,Sheet2!Q:R,2,0)</f>
        <v>#N/A</v>
      </c>
      <c r="X4297" s="17" t="n">
        <f aca="false">J4297</f>
        <v>0</v>
      </c>
      <c r="Y4297" s="17" t="e">
        <f aca="false">VLOOKUP(X4297,Sheet2!A:B,2,0)</f>
        <v>#N/A</v>
      </c>
      <c r="Z4297" s="17"/>
      <c r="AA4297" s="17"/>
      <c r="AC4297" s="23" t="str">
        <f aca="false">LEFT(G4297,2)</f>
        <v/>
      </c>
    </row>
    <row r="4298" customFormat="false" ht="15" hidden="false" customHeight="false" outlineLevel="0" collapsed="false">
      <c r="A4298" s="13" t="n">
        <f aca="false">1+A4297</f>
        <v>4296</v>
      </c>
      <c r="B4298" s="14" t="n">
        <v>100</v>
      </c>
      <c r="C4298" s="15"/>
      <c r="D4298" s="16" t="s">
        <v>64</v>
      </c>
      <c r="E4298" s="17" t="s">
        <v>47</v>
      </c>
      <c r="F4298" s="18" t="s">
        <v>34</v>
      </c>
      <c r="G4298" s="19"/>
      <c r="H4298" s="17" t="s">
        <v>35</v>
      </c>
      <c r="I4298" s="17" t="s">
        <v>44</v>
      </c>
      <c r="J4298" s="17"/>
      <c r="K4298" s="17" t="e">
        <f aca="false">VLOOKUP(J4298,Sheet2!A:B,2,0)</f>
        <v>#N/A</v>
      </c>
      <c r="L4298" s="17" t="n">
        <v>5</v>
      </c>
      <c r="M4298" s="17" t="str">
        <f aca="false">VLOOKUP(L4298,Sheet2!D:E,2,0)</f>
        <v>Main Processor CPU BGA</v>
      </c>
      <c r="N4298" s="17" t="n">
        <v>1</v>
      </c>
      <c r="O4298" s="17" t="str">
        <f aca="false">VLOOKUP(N4298,Sheet2!G:H,2,0)</f>
        <v>Dead</v>
      </c>
      <c r="P4298" s="17" t="n">
        <v>11</v>
      </c>
      <c r="Q4298" s="17" t="str">
        <f aca="false">VLOOKUP(P4298,Sheet2!J:K,2,0)</f>
        <v>IR Declared due to CID -TA</v>
      </c>
      <c r="R4298" s="17" t="s">
        <v>35</v>
      </c>
      <c r="S4298" s="17" t="str">
        <f aca="false">VLOOKUP(R4298,Sheet2!N:O,2,0)</f>
        <v>IREPARABLE</v>
      </c>
      <c r="T4298" s="18" t="str">
        <f aca="false">VLOOKUP(P4298,Sheet2!Q:R,2,0)</f>
        <v>IR Normal - Track burn out</v>
      </c>
      <c r="U4298" s="20" t="s">
        <v>41</v>
      </c>
      <c r="V4298" s="17"/>
      <c r="W4298" s="20" t="e">
        <f aca="false">VLOOKUP(V4298,Sheet2!Q:R,2,0)</f>
        <v>#N/A</v>
      </c>
      <c r="X4298" s="17" t="n">
        <f aca="false">J4298</f>
        <v>0</v>
      </c>
      <c r="Y4298" s="17" t="e">
        <f aca="false">VLOOKUP(X4298,Sheet2!A:B,2,0)</f>
        <v>#N/A</v>
      </c>
      <c r="Z4298" s="17"/>
      <c r="AA4298" s="17"/>
      <c r="AC4298" s="23" t="str">
        <f aca="false">LEFT(G4298,2)</f>
        <v/>
      </c>
    </row>
    <row r="4299" customFormat="false" ht="15" hidden="false" customHeight="false" outlineLevel="0" collapsed="false">
      <c r="A4299" s="13" t="n">
        <f aca="false">1+A4298</f>
        <v>4297</v>
      </c>
      <c r="B4299" s="14" t="n">
        <v>100</v>
      </c>
      <c r="C4299" s="15"/>
      <c r="D4299" s="16" t="s">
        <v>64</v>
      </c>
      <c r="E4299" s="17" t="s">
        <v>47</v>
      </c>
      <c r="F4299" s="18" t="s">
        <v>34</v>
      </c>
      <c r="G4299" s="19"/>
      <c r="H4299" s="17" t="s">
        <v>35</v>
      </c>
      <c r="I4299" s="17" t="s">
        <v>44</v>
      </c>
      <c r="J4299" s="17"/>
      <c r="K4299" s="17" t="e">
        <f aca="false">VLOOKUP(J4299,Sheet2!A:B,2,0)</f>
        <v>#N/A</v>
      </c>
      <c r="L4299" s="17" t="n">
        <v>5</v>
      </c>
      <c r="M4299" s="17" t="str">
        <f aca="false">VLOOKUP(L4299,Sheet2!D:E,2,0)</f>
        <v>Main Processor CPU BGA</v>
      </c>
      <c r="N4299" s="17" t="n">
        <v>1</v>
      </c>
      <c r="O4299" s="17" t="str">
        <f aca="false">VLOOKUP(N4299,Sheet2!G:H,2,0)</f>
        <v>Dead</v>
      </c>
      <c r="P4299" s="17" t="n">
        <v>11</v>
      </c>
      <c r="Q4299" s="17" t="str">
        <f aca="false">VLOOKUP(P4299,Sheet2!J:K,2,0)</f>
        <v>IR Declared due to CID -TA</v>
      </c>
      <c r="R4299" s="17" t="s">
        <v>35</v>
      </c>
      <c r="S4299" s="17" t="str">
        <f aca="false">VLOOKUP(R4299,Sheet2!N:O,2,0)</f>
        <v>IREPARABLE</v>
      </c>
      <c r="T4299" s="18" t="str">
        <f aca="false">VLOOKUP(P4299,Sheet2!Q:R,2,0)</f>
        <v>IR Normal - Track burn out</v>
      </c>
      <c r="U4299" s="20" t="s">
        <v>41</v>
      </c>
      <c r="V4299" s="17"/>
      <c r="W4299" s="20" t="e">
        <f aca="false">VLOOKUP(V4299,Sheet2!Q:R,2,0)</f>
        <v>#N/A</v>
      </c>
      <c r="X4299" s="17" t="n">
        <f aca="false">J4299</f>
        <v>0</v>
      </c>
      <c r="Y4299" s="17" t="e">
        <f aca="false">VLOOKUP(X4299,Sheet2!A:B,2,0)</f>
        <v>#N/A</v>
      </c>
      <c r="Z4299" s="17"/>
      <c r="AA4299" s="17"/>
      <c r="AC4299" s="23" t="str">
        <f aca="false">LEFT(G4299,2)</f>
        <v/>
      </c>
    </row>
    <row r="4300" customFormat="false" ht="15" hidden="false" customHeight="false" outlineLevel="0" collapsed="false">
      <c r="A4300" s="13" t="n">
        <f aca="false">1+A4299</f>
        <v>4298</v>
      </c>
      <c r="B4300" s="14" t="n">
        <v>100</v>
      </c>
      <c r="C4300" s="15"/>
      <c r="D4300" s="16" t="s">
        <v>64</v>
      </c>
      <c r="E4300" s="17" t="s">
        <v>47</v>
      </c>
      <c r="F4300" s="18" t="s">
        <v>34</v>
      </c>
      <c r="G4300" s="19"/>
      <c r="H4300" s="17" t="s">
        <v>35</v>
      </c>
      <c r="I4300" s="17" t="s">
        <v>44</v>
      </c>
      <c r="J4300" s="17"/>
      <c r="K4300" s="17" t="e">
        <f aca="false">VLOOKUP(J4300,Sheet2!A:B,2,0)</f>
        <v>#N/A</v>
      </c>
      <c r="L4300" s="17" t="n">
        <v>5</v>
      </c>
      <c r="M4300" s="17" t="str">
        <f aca="false">VLOOKUP(L4300,Sheet2!D:E,2,0)</f>
        <v>Main Processor CPU BGA</v>
      </c>
      <c r="N4300" s="17" t="n">
        <v>1</v>
      </c>
      <c r="O4300" s="17" t="str">
        <f aca="false">VLOOKUP(N4300,Sheet2!G:H,2,0)</f>
        <v>Dead</v>
      </c>
      <c r="P4300" s="17" t="n">
        <v>11</v>
      </c>
      <c r="Q4300" s="17" t="str">
        <f aca="false">VLOOKUP(P4300,Sheet2!J:K,2,0)</f>
        <v>IR Declared due to CID -TA</v>
      </c>
      <c r="R4300" s="17" t="s">
        <v>35</v>
      </c>
      <c r="S4300" s="17" t="str">
        <f aca="false">VLOOKUP(R4300,Sheet2!N:O,2,0)</f>
        <v>IREPARABLE</v>
      </c>
      <c r="T4300" s="18" t="str">
        <f aca="false">VLOOKUP(P4300,Sheet2!Q:R,2,0)</f>
        <v>IR Normal - Track burn out</v>
      </c>
      <c r="U4300" s="20" t="s">
        <v>41</v>
      </c>
      <c r="V4300" s="17"/>
      <c r="W4300" s="20" t="e">
        <f aca="false">VLOOKUP(V4300,Sheet2!Q:R,2,0)</f>
        <v>#N/A</v>
      </c>
      <c r="X4300" s="17" t="n">
        <f aca="false">J4300</f>
        <v>0</v>
      </c>
      <c r="Y4300" s="17" t="e">
        <f aca="false">VLOOKUP(X4300,Sheet2!A:B,2,0)</f>
        <v>#N/A</v>
      </c>
      <c r="Z4300" s="17"/>
      <c r="AA4300" s="17"/>
      <c r="AC4300" s="23" t="str">
        <f aca="false">LEFT(G4300,2)</f>
        <v/>
      </c>
    </row>
    <row r="4301" customFormat="false" ht="15" hidden="false" customHeight="false" outlineLevel="0" collapsed="false">
      <c r="A4301" s="13" t="n">
        <f aca="false">1+A4300</f>
        <v>4299</v>
      </c>
      <c r="B4301" s="14" t="n">
        <v>100</v>
      </c>
      <c r="C4301" s="15"/>
      <c r="D4301" s="16" t="s">
        <v>64</v>
      </c>
      <c r="E4301" s="17" t="s">
        <v>47</v>
      </c>
      <c r="F4301" s="18" t="s">
        <v>34</v>
      </c>
      <c r="G4301" s="19"/>
      <c r="H4301" s="17" t="s">
        <v>35</v>
      </c>
      <c r="I4301" s="17" t="s">
        <v>44</v>
      </c>
      <c r="J4301" s="17"/>
      <c r="K4301" s="17" t="e">
        <f aca="false">VLOOKUP(J4301,Sheet2!A:B,2,0)</f>
        <v>#N/A</v>
      </c>
      <c r="L4301" s="17" t="n">
        <v>5</v>
      </c>
      <c r="M4301" s="17" t="str">
        <f aca="false">VLOOKUP(L4301,Sheet2!D:E,2,0)</f>
        <v>Main Processor CPU BGA</v>
      </c>
      <c r="N4301" s="17" t="n">
        <v>1</v>
      </c>
      <c r="O4301" s="17" t="str">
        <f aca="false">VLOOKUP(N4301,Sheet2!G:H,2,0)</f>
        <v>Dead</v>
      </c>
      <c r="P4301" s="17" t="n">
        <v>11</v>
      </c>
      <c r="Q4301" s="17" t="str">
        <f aca="false">VLOOKUP(P4301,Sheet2!J:K,2,0)</f>
        <v>IR Declared due to CID -TA</v>
      </c>
      <c r="R4301" s="17" t="s">
        <v>35</v>
      </c>
      <c r="S4301" s="17" t="str">
        <f aca="false">VLOOKUP(R4301,Sheet2!N:O,2,0)</f>
        <v>IREPARABLE</v>
      </c>
      <c r="T4301" s="18" t="str">
        <f aca="false">VLOOKUP(P4301,Sheet2!Q:R,2,0)</f>
        <v>IR Normal - Track burn out</v>
      </c>
      <c r="U4301" s="20" t="s">
        <v>41</v>
      </c>
      <c r="V4301" s="17"/>
      <c r="W4301" s="20" t="e">
        <f aca="false">VLOOKUP(V4301,Sheet2!Q:R,2,0)</f>
        <v>#N/A</v>
      </c>
      <c r="X4301" s="17" t="n">
        <f aca="false">J4301</f>
        <v>0</v>
      </c>
      <c r="Y4301" s="17" t="e">
        <f aca="false">VLOOKUP(X4301,Sheet2!A:B,2,0)</f>
        <v>#N/A</v>
      </c>
      <c r="Z4301" s="17"/>
      <c r="AA4301" s="17"/>
      <c r="AC4301" s="23" t="str">
        <f aca="false">LEFT(G4301,2)</f>
        <v/>
      </c>
    </row>
    <row r="4302" customFormat="false" ht="15" hidden="false" customHeight="false" outlineLevel="0" collapsed="false">
      <c r="A4302" s="13" t="n">
        <f aca="false">1+A4301</f>
        <v>4300</v>
      </c>
      <c r="B4302" s="14" t="n">
        <v>100</v>
      </c>
      <c r="C4302" s="15"/>
      <c r="D4302" s="16" t="s">
        <v>64</v>
      </c>
      <c r="E4302" s="17" t="s">
        <v>47</v>
      </c>
      <c r="F4302" s="18" t="s">
        <v>34</v>
      </c>
      <c r="G4302" s="19"/>
      <c r="H4302" s="17" t="s">
        <v>35</v>
      </c>
      <c r="I4302" s="17" t="s">
        <v>44</v>
      </c>
      <c r="J4302" s="17"/>
      <c r="K4302" s="17" t="e">
        <f aca="false">VLOOKUP(J4302,Sheet2!A:B,2,0)</f>
        <v>#N/A</v>
      </c>
      <c r="L4302" s="17" t="n">
        <v>5</v>
      </c>
      <c r="M4302" s="17" t="str">
        <f aca="false">VLOOKUP(L4302,Sheet2!D:E,2,0)</f>
        <v>Main Processor CPU BGA</v>
      </c>
      <c r="N4302" s="17" t="n">
        <v>1</v>
      </c>
      <c r="O4302" s="17" t="str">
        <f aca="false">VLOOKUP(N4302,Sheet2!G:H,2,0)</f>
        <v>Dead</v>
      </c>
      <c r="P4302" s="17" t="n">
        <v>11</v>
      </c>
      <c r="Q4302" s="17" t="str">
        <f aca="false">VLOOKUP(P4302,Sheet2!J:K,2,0)</f>
        <v>IR Declared due to CID -TA</v>
      </c>
      <c r="R4302" s="17" t="s">
        <v>35</v>
      </c>
      <c r="S4302" s="17" t="str">
        <f aca="false">VLOOKUP(R4302,Sheet2!N:O,2,0)</f>
        <v>IREPARABLE</v>
      </c>
      <c r="T4302" s="18" t="str">
        <f aca="false">VLOOKUP(P4302,Sheet2!Q:R,2,0)</f>
        <v>IR Normal - Track burn out</v>
      </c>
      <c r="U4302" s="20" t="s">
        <v>41</v>
      </c>
      <c r="V4302" s="17"/>
      <c r="W4302" s="20" t="e">
        <f aca="false">VLOOKUP(V4302,Sheet2!Q:R,2,0)</f>
        <v>#N/A</v>
      </c>
      <c r="X4302" s="17" t="n">
        <f aca="false">J4302</f>
        <v>0</v>
      </c>
      <c r="Y4302" s="17" t="e">
        <f aca="false">VLOOKUP(X4302,Sheet2!A:B,2,0)</f>
        <v>#N/A</v>
      </c>
      <c r="Z4302" s="17"/>
      <c r="AA4302" s="17"/>
      <c r="AC4302" s="23" t="str">
        <f aca="false">LEFT(G4302,2)</f>
        <v/>
      </c>
    </row>
    <row r="4303" customFormat="false" ht="15" hidden="false" customHeight="false" outlineLevel="0" collapsed="false">
      <c r="A4303" s="13" t="n">
        <f aca="false">1+A4302</f>
        <v>4301</v>
      </c>
      <c r="B4303" s="14" t="n">
        <v>100</v>
      </c>
      <c r="C4303" s="15"/>
      <c r="D4303" s="16" t="s">
        <v>64</v>
      </c>
      <c r="E4303" s="17" t="s">
        <v>47</v>
      </c>
      <c r="F4303" s="18" t="s">
        <v>34</v>
      </c>
      <c r="G4303" s="19"/>
      <c r="H4303" s="17" t="s">
        <v>35</v>
      </c>
      <c r="I4303" s="17" t="s">
        <v>44</v>
      </c>
      <c r="J4303" s="17"/>
      <c r="K4303" s="17" t="e">
        <f aca="false">VLOOKUP(J4303,Sheet2!A:B,2,0)</f>
        <v>#N/A</v>
      </c>
      <c r="L4303" s="17" t="n">
        <v>5</v>
      </c>
      <c r="M4303" s="17" t="str">
        <f aca="false">VLOOKUP(L4303,Sheet2!D:E,2,0)</f>
        <v>Main Processor CPU BGA</v>
      </c>
      <c r="N4303" s="17" t="n">
        <v>1</v>
      </c>
      <c r="O4303" s="17" t="str">
        <f aca="false">VLOOKUP(N4303,Sheet2!G:H,2,0)</f>
        <v>Dead</v>
      </c>
      <c r="P4303" s="17" t="n">
        <v>11</v>
      </c>
      <c r="Q4303" s="17" t="str">
        <f aca="false">VLOOKUP(P4303,Sheet2!J:K,2,0)</f>
        <v>IR Declared due to CID -TA</v>
      </c>
      <c r="R4303" s="17" t="s">
        <v>35</v>
      </c>
      <c r="S4303" s="17" t="str">
        <f aca="false">VLOOKUP(R4303,Sheet2!N:O,2,0)</f>
        <v>IREPARABLE</v>
      </c>
      <c r="T4303" s="18" t="str">
        <f aca="false">VLOOKUP(P4303,Sheet2!Q:R,2,0)</f>
        <v>IR Normal - Track burn out</v>
      </c>
      <c r="U4303" s="20" t="s">
        <v>41</v>
      </c>
      <c r="V4303" s="17"/>
      <c r="W4303" s="20" t="e">
        <f aca="false">VLOOKUP(V4303,Sheet2!Q:R,2,0)</f>
        <v>#N/A</v>
      </c>
      <c r="X4303" s="17" t="n">
        <f aca="false">J4303</f>
        <v>0</v>
      </c>
      <c r="Y4303" s="17" t="e">
        <f aca="false">VLOOKUP(X4303,Sheet2!A:B,2,0)</f>
        <v>#N/A</v>
      </c>
      <c r="Z4303" s="17"/>
      <c r="AA4303" s="17"/>
      <c r="AC4303" s="23" t="str">
        <f aca="false">LEFT(G4303,2)</f>
        <v/>
      </c>
    </row>
    <row r="4304" customFormat="false" ht="15" hidden="false" customHeight="false" outlineLevel="0" collapsed="false">
      <c r="A4304" s="13" t="n">
        <f aca="false">1+A4303</f>
        <v>4302</v>
      </c>
      <c r="B4304" s="14" t="n">
        <v>100</v>
      </c>
      <c r="C4304" s="15"/>
      <c r="D4304" s="16" t="s">
        <v>64</v>
      </c>
      <c r="E4304" s="17" t="s">
        <v>47</v>
      </c>
      <c r="F4304" s="18" t="s">
        <v>34</v>
      </c>
      <c r="G4304" s="19"/>
      <c r="H4304" s="17" t="s">
        <v>35</v>
      </c>
      <c r="I4304" s="17" t="s">
        <v>44</v>
      </c>
      <c r="J4304" s="17"/>
      <c r="K4304" s="17" t="e">
        <f aca="false">VLOOKUP(J4304,Sheet2!A:B,2,0)</f>
        <v>#N/A</v>
      </c>
      <c r="L4304" s="17" t="n">
        <v>5</v>
      </c>
      <c r="M4304" s="17" t="str">
        <f aca="false">VLOOKUP(L4304,Sheet2!D:E,2,0)</f>
        <v>Main Processor CPU BGA</v>
      </c>
      <c r="N4304" s="17" t="n">
        <v>1</v>
      </c>
      <c r="O4304" s="17" t="str">
        <f aca="false">VLOOKUP(N4304,Sheet2!G:H,2,0)</f>
        <v>Dead</v>
      </c>
      <c r="P4304" s="17" t="n">
        <v>11</v>
      </c>
      <c r="Q4304" s="17" t="str">
        <f aca="false">VLOOKUP(P4304,Sheet2!J:K,2,0)</f>
        <v>IR Declared due to CID -TA</v>
      </c>
      <c r="R4304" s="17" t="s">
        <v>35</v>
      </c>
      <c r="S4304" s="17" t="str">
        <f aca="false">VLOOKUP(R4304,Sheet2!N:O,2,0)</f>
        <v>IREPARABLE</v>
      </c>
      <c r="T4304" s="18" t="str">
        <f aca="false">VLOOKUP(P4304,Sheet2!Q:R,2,0)</f>
        <v>IR Normal - Track burn out</v>
      </c>
      <c r="U4304" s="20" t="s">
        <v>41</v>
      </c>
      <c r="V4304" s="17"/>
      <c r="W4304" s="20" t="e">
        <f aca="false">VLOOKUP(V4304,Sheet2!Q:R,2,0)</f>
        <v>#N/A</v>
      </c>
      <c r="X4304" s="17" t="n">
        <f aca="false">J4304</f>
        <v>0</v>
      </c>
      <c r="Y4304" s="17" t="e">
        <f aca="false">VLOOKUP(X4304,Sheet2!A:B,2,0)</f>
        <v>#N/A</v>
      </c>
      <c r="Z4304" s="17"/>
      <c r="AA4304" s="17"/>
      <c r="AC4304" s="23" t="str">
        <f aca="false">LEFT(G4304,2)</f>
        <v/>
      </c>
    </row>
    <row r="4305" customFormat="false" ht="15" hidden="false" customHeight="false" outlineLevel="0" collapsed="false">
      <c r="A4305" s="13" t="n">
        <f aca="false">1+A4304</f>
        <v>4303</v>
      </c>
      <c r="B4305" s="14" t="n">
        <v>100</v>
      </c>
      <c r="C4305" s="15"/>
      <c r="D4305" s="16" t="s">
        <v>64</v>
      </c>
      <c r="E4305" s="17" t="s">
        <v>47</v>
      </c>
      <c r="F4305" s="18" t="s">
        <v>34</v>
      </c>
      <c r="G4305" s="19"/>
      <c r="H4305" s="17" t="s">
        <v>35</v>
      </c>
      <c r="I4305" s="17" t="s">
        <v>44</v>
      </c>
      <c r="J4305" s="17"/>
      <c r="K4305" s="17" t="e">
        <f aca="false">VLOOKUP(J4305,Sheet2!A:B,2,0)</f>
        <v>#N/A</v>
      </c>
      <c r="L4305" s="17" t="n">
        <v>5</v>
      </c>
      <c r="M4305" s="17" t="str">
        <f aca="false">VLOOKUP(L4305,Sheet2!D:E,2,0)</f>
        <v>Main Processor CPU BGA</v>
      </c>
      <c r="N4305" s="17" t="n">
        <v>1</v>
      </c>
      <c r="O4305" s="17" t="str">
        <f aca="false">VLOOKUP(N4305,Sheet2!G:H,2,0)</f>
        <v>Dead</v>
      </c>
      <c r="P4305" s="17" t="n">
        <v>11</v>
      </c>
      <c r="Q4305" s="17" t="str">
        <f aca="false">VLOOKUP(P4305,Sheet2!J:K,2,0)</f>
        <v>IR Declared due to CID -TA</v>
      </c>
      <c r="R4305" s="17" t="s">
        <v>35</v>
      </c>
      <c r="S4305" s="17" t="str">
        <f aca="false">VLOOKUP(R4305,Sheet2!N:O,2,0)</f>
        <v>IREPARABLE</v>
      </c>
      <c r="T4305" s="18" t="str">
        <f aca="false">VLOOKUP(P4305,Sheet2!Q:R,2,0)</f>
        <v>IR Normal - Track burn out</v>
      </c>
      <c r="U4305" s="20" t="s">
        <v>41</v>
      </c>
      <c r="V4305" s="17"/>
      <c r="W4305" s="20" t="e">
        <f aca="false">VLOOKUP(V4305,Sheet2!Q:R,2,0)</f>
        <v>#N/A</v>
      </c>
      <c r="X4305" s="17" t="n">
        <f aca="false">J4305</f>
        <v>0</v>
      </c>
      <c r="Y4305" s="17" t="e">
        <f aca="false">VLOOKUP(X4305,Sheet2!A:B,2,0)</f>
        <v>#N/A</v>
      </c>
      <c r="Z4305" s="17"/>
      <c r="AA4305" s="17"/>
      <c r="AC4305" s="23" t="str">
        <f aca="false">LEFT(G4305,2)</f>
        <v/>
      </c>
    </row>
    <row r="4306" customFormat="false" ht="15" hidden="false" customHeight="false" outlineLevel="0" collapsed="false">
      <c r="A4306" s="13" t="n">
        <f aca="false">1+A4305</f>
        <v>4304</v>
      </c>
      <c r="B4306" s="14" t="n">
        <v>100</v>
      </c>
      <c r="C4306" s="15"/>
      <c r="D4306" s="16" t="s">
        <v>64</v>
      </c>
      <c r="E4306" s="17" t="s">
        <v>47</v>
      </c>
      <c r="F4306" s="18" t="s">
        <v>34</v>
      </c>
      <c r="G4306" s="19"/>
      <c r="H4306" s="17" t="s">
        <v>35</v>
      </c>
      <c r="I4306" s="17" t="s">
        <v>44</v>
      </c>
      <c r="J4306" s="17"/>
      <c r="K4306" s="17" t="e">
        <f aca="false">VLOOKUP(J4306,Sheet2!A:B,2,0)</f>
        <v>#N/A</v>
      </c>
      <c r="L4306" s="17" t="n">
        <v>5</v>
      </c>
      <c r="M4306" s="17" t="str">
        <f aca="false">VLOOKUP(L4306,Sheet2!D:E,2,0)</f>
        <v>Main Processor CPU BGA</v>
      </c>
      <c r="N4306" s="17" t="n">
        <v>1</v>
      </c>
      <c r="O4306" s="17" t="str">
        <f aca="false">VLOOKUP(N4306,Sheet2!G:H,2,0)</f>
        <v>Dead</v>
      </c>
      <c r="P4306" s="17" t="n">
        <v>11</v>
      </c>
      <c r="Q4306" s="17" t="str">
        <f aca="false">VLOOKUP(P4306,Sheet2!J:K,2,0)</f>
        <v>IR Declared due to CID -TA</v>
      </c>
      <c r="R4306" s="17" t="s">
        <v>35</v>
      </c>
      <c r="S4306" s="17" t="str">
        <f aca="false">VLOOKUP(R4306,Sheet2!N:O,2,0)</f>
        <v>IREPARABLE</v>
      </c>
      <c r="T4306" s="18" t="str">
        <f aca="false">VLOOKUP(P4306,Sheet2!Q:R,2,0)</f>
        <v>IR Normal - Track burn out</v>
      </c>
      <c r="U4306" s="20" t="s">
        <v>41</v>
      </c>
      <c r="V4306" s="17"/>
      <c r="W4306" s="20" t="e">
        <f aca="false">VLOOKUP(V4306,Sheet2!Q:R,2,0)</f>
        <v>#N/A</v>
      </c>
      <c r="X4306" s="17" t="n">
        <f aca="false">J4306</f>
        <v>0</v>
      </c>
      <c r="Y4306" s="17" t="e">
        <f aca="false">VLOOKUP(X4306,Sheet2!A:B,2,0)</f>
        <v>#N/A</v>
      </c>
      <c r="Z4306" s="17"/>
      <c r="AA4306" s="17"/>
      <c r="AC4306" s="23" t="str">
        <f aca="false">LEFT(G4306,2)</f>
        <v/>
      </c>
    </row>
    <row r="4307" customFormat="false" ht="15" hidden="false" customHeight="false" outlineLevel="0" collapsed="false">
      <c r="A4307" s="13" t="n">
        <f aca="false">1+A4306</f>
        <v>4305</v>
      </c>
      <c r="B4307" s="14" t="n">
        <v>100</v>
      </c>
      <c r="C4307" s="15"/>
      <c r="D4307" s="16" t="s">
        <v>64</v>
      </c>
      <c r="E4307" s="17" t="s">
        <v>47</v>
      </c>
      <c r="F4307" s="18" t="s">
        <v>34</v>
      </c>
      <c r="G4307" s="19"/>
      <c r="H4307" s="17" t="s">
        <v>35</v>
      </c>
      <c r="I4307" s="17" t="s">
        <v>44</v>
      </c>
      <c r="J4307" s="17"/>
      <c r="K4307" s="17" t="e">
        <f aca="false">VLOOKUP(J4307,Sheet2!A:B,2,0)</f>
        <v>#N/A</v>
      </c>
      <c r="L4307" s="17" t="n">
        <v>5</v>
      </c>
      <c r="M4307" s="17" t="str">
        <f aca="false">VLOOKUP(L4307,Sheet2!D:E,2,0)</f>
        <v>Main Processor CPU BGA</v>
      </c>
      <c r="N4307" s="17" t="n">
        <v>1</v>
      </c>
      <c r="O4307" s="17" t="str">
        <f aca="false">VLOOKUP(N4307,Sheet2!G:H,2,0)</f>
        <v>Dead</v>
      </c>
      <c r="P4307" s="17" t="n">
        <v>11</v>
      </c>
      <c r="Q4307" s="17" t="str">
        <f aca="false">VLOOKUP(P4307,Sheet2!J:K,2,0)</f>
        <v>IR Declared due to CID -TA</v>
      </c>
      <c r="R4307" s="17" t="s">
        <v>35</v>
      </c>
      <c r="S4307" s="17" t="str">
        <f aca="false">VLOOKUP(R4307,Sheet2!N:O,2,0)</f>
        <v>IREPARABLE</v>
      </c>
      <c r="T4307" s="18" t="str">
        <f aca="false">VLOOKUP(P4307,Sheet2!Q:R,2,0)</f>
        <v>IR Normal - Track burn out</v>
      </c>
      <c r="U4307" s="20" t="s">
        <v>41</v>
      </c>
      <c r="V4307" s="17"/>
      <c r="W4307" s="20" t="e">
        <f aca="false">VLOOKUP(V4307,Sheet2!Q:R,2,0)</f>
        <v>#N/A</v>
      </c>
      <c r="X4307" s="17" t="n">
        <f aca="false">J4307</f>
        <v>0</v>
      </c>
      <c r="Y4307" s="17" t="e">
        <f aca="false">VLOOKUP(X4307,Sheet2!A:B,2,0)</f>
        <v>#N/A</v>
      </c>
      <c r="Z4307" s="17"/>
      <c r="AA4307" s="17"/>
      <c r="AC4307" s="23" t="str">
        <f aca="false">LEFT(G4307,2)</f>
        <v/>
      </c>
    </row>
    <row r="4308" customFormat="false" ht="15" hidden="false" customHeight="false" outlineLevel="0" collapsed="false">
      <c r="A4308" s="13" t="n">
        <f aca="false">1+A4307</f>
        <v>4306</v>
      </c>
      <c r="B4308" s="14" t="n">
        <v>100</v>
      </c>
      <c r="C4308" s="15"/>
      <c r="D4308" s="16" t="s">
        <v>64</v>
      </c>
      <c r="E4308" s="17" t="s">
        <v>47</v>
      </c>
      <c r="F4308" s="18" t="s">
        <v>34</v>
      </c>
      <c r="G4308" s="19"/>
      <c r="H4308" s="17" t="s">
        <v>35</v>
      </c>
      <c r="I4308" s="17" t="s">
        <v>44</v>
      </c>
      <c r="J4308" s="17"/>
      <c r="K4308" s="17" t="e">
        <f aca="false">VLOOKUP(J4308,Sheet2!A:B,2,0)</f>
        <v>#N/A</v>
      </c>
      <c r="L4308" s="17" t="n">
        <v>5</v>
      </c>
      <c r="M4308" s="17" t="str">
        <f aca="false">VLOOKUP(L4308,Sheet2!D:E,2,0)</f>
        <v>Main Processor CPU BGA</v>
      </c>
      <c r="N4308" s="17" t="n">
        <v>1</v>
      </c>
      <c r="O4308" s="17" t="str">
        <f aca="false">VLOOKUP(N4308,Sheet2!G:H,2,0)</f>
        <v>Dead</v>
      </c>
      <c r="P4308" s="17" t="n">
        <v>11</v>
      </c>
      <c r="Q4308" s="17" t="str">
        <f aca="false">VLOOKUP(P4308,Sheet2!J:K,2,0)</f>
        <v>IR Declared due to CID -TA</v>
      </c>
      <c r="R4308" s="17" t="s">
        <v>35</v>
      </c>
      <c r="S4308" s="17" t="str">
        <f aca="false">VLOOKUP(R4308,Sheet2!N:O,2,0)</f>
        <v>IREPARABLE</v>
      </c>
      <c r="T4308" s="18" t="str">
        <f aca="false">VLOOKUP(P4308,Sheet2!Q:R,2,0)</f>
        <v>IR Normal - Track burn out</v>
      </c>
      <c r="U4308" s="20" t="s">
        <v>41</v>
      </c>
      <c r="V4308" s="17"/>
      <c r="W4308" s="20" t="e">
        <f aca="false">VLOOKUP(V4308,Sheet2!Q:R,2,0)</f>
        <v>#N/A</v>
      </c>
      <c r="X4308" s="17" t="n">
        <f aca="false">J4308</f>
        <v>0</v>
      </c>
      <c r="Y4308" s="17" t="e">
        <f aca="false">VLOOKUP(X4308,Sheet2!A:B,2,0)</f>
        <v>#N/A</v>
      </c>
      <c r="Z4308" s="17"/>
      <c r="AA4308" s="17"/>
      <c r="AC4308" s="23" t="str">
        <f aca="false">LEFT(G4308,2)</f>
        <v/>
      </c>
    </row>
    <row r="4309" customFormat="false" ht="15" hidden="false" customHeight="false" outlineLevel="0" collapsed="false">
      <c r="A4309" s="13" t="n">
        <f aca="false">1+A4308</f>
        <v>4307</v>
      </c>
      <c r="B4309" s="14" t="n">
        <v>100</v>
      </c>
      <c r="C4309" s="15"/>
      <c r="D4309" s="16" t="s">
        <v>64</v>
      </c>
      <c r="E4309" s="17" t="s">
        <v>47</v>
      </c>
      <c r="F4309" s="18" t="s">
        <v>34</v>
      </c>
      <c r="G4309" s="19"/>
      <c r="H4309" s="17" t="s">
        <v>35</v>
      </c>
      <c r="I4309" s="17" t="s">
        <v>44</v>
      </c>
      <c r="J4309" s="17"/>
      <c r="K4309" s="17" t="e">
        <f aca="false">VLOOKUP(J4309,Sheet2!A:B,2,0)</f>
        <v>#N/A</v>
      </c>
      <c r="L4309" s="17" t="n">
        <v>5</v>
      </c>
      <c r="M4309" s="17" t="str">
        <f aca="false">VLOOKUP(L4309,Sheet2!D:E,2,0)</f>
        <v>Main Processor CPU BGA</v>
      </c>
      <c r="N4309" s="17" t="n">
        <v>1</v>
      </c>
      <c r="O4309" s="17" t="str">
        <f aca="false">VLOOKUP(N4309,Sheet2!G:H,2,0)</f>
        <v>Dead</v>
      </c>
      <c r="P4309" s="17" t="n">
        <v>11</v>
      </c>
      <c r="Q4309" s="17" t="str">
        <f aca="false">VLOOKUP(P4309,Sheet2!J:K,2,0)</f>
        <v>IR Declared due to CID -TA</v>
      </c>
      <c r="R4309" s="17" t="s">
        <v>35</v>
      </c>
      <c r="S4309" s="17" t="str">
        <f aca="false">VLOOKUP(R4309,Sheet2!N:O,2,0)</f>
        <v>IREPARABLE</v>
      </c>
      <c r="T4309" s="18" t="str">
        <f aca="false">VLOOKUP(P4309,Sheet2!Q:R,2,0)</f>
        <v>IR Normal - Track burn out</v>
      </c>
      <c r="U4309" s="20" t="s">
        <v>41</v>
      </c>
      <c r="V4309" s="17"/>
      <c r="W4309" s="20" t="e">
        <f aca="false">VLOOKUP(V4309,Sheet2!Q:R,2,0)</f>
        <v>#N/A</v>
      </c>
      <c r="X4309" s="17" t="n">
        <f aca="false">J4309</f>
        <v>0</v>
      </c>
      <c r="Y4309" s="17" t="e">
        <f aca="false">VLOOKUP(X4309,Sheet2!A:B,2,0)</f>
        <v>#N/A</v>
      </c>
      <c r="Z4309" s="17"/>
      <c r="AA4309" s="17"/>
      <c r="AC4309" s="23" t="str">
        <f aca="false">LEFT(G4309,2)</f>
        <v/>
      </c>
    </row>
    <row r="4310" customFormat="false" ht="15" hidden="false" customHeight="false" outlineLevel="0" collapsed="false">
      <c r="A4310" s="13" t="n">
        <f aca="false">1+A4309</f>
        <v>4308</v>
      </c>
      <c r="B4310" s="14" t="n">
        <v>100</v>
      </c>
      <c r="C4310" s="15"/>
      <c r="D4310" s="16" t="s">
        <v>64</v>
      </c>
      <c r="E4310" s="17" t="s">
        <v>47</v>
      </c>
      <c r="F4310" s="18" t="s">
        <v>34</v>
      </c>
      <c r="G4310" s="19"/>
      <c r="H4310" s="17" t="s">
        <v>35</v>
      </c>
      <c r="I4310" s="17" t="s">
        <v>44</v>
      </c>
      <c r="J4310" s="17"/>
      <c r="K4310" s="17" t="e">
        <f aca="false">VLOOKUP(J4310,Sheet2!A:B,2,0)</f>
        <v>#N/A</v>
      </c>
      <c r="L4310" s="17" t="n">
        <v>5</v>
      </c>
      <c r="M4310" s="17" t="str">
        <f aca="false">VLOOKUP(L4310,Sheet2!D:E,2,0)</f>
        <v>Main Processor CPU BGA</v>
      </c>
      <c r="N4310" s="17" t="n">
        <v>1</v>
      </c>
      <c r="O4310" s="17" t="str">
        <f aca="false">VLOOKUP(N4310,Sheet2!G:H,2,0)</f>
        <v>Dead</v>
      </c>
      <c r="P4310" s="17" t="n">
        <v>11</v>
      </c>
      <c r="Q4310" s="17" t="str">
        <f aca="false">VLOOKUP(P4310,Sheet2!J:K,2,0)</f>
        <v>IR Declared due to CID -TA</v>
      </c>
      <c r="R4310" s="17" t="s">
        <v>35</v>
      </c>
      <c r="S4310" s="17" t="str">
        <f aca="false">VLOOKUP(R4310,Sheet2!N:O,2,0)</f>
        <v>IREPARABLE</v>
      </c>
      <c r="T4310" s="18" t="str">
        <f aca="false">VLOOKUP(P4310,Sheet2!Q:R,2,0)</f>
        <v>IR Normal - Track burn out</v>
      </c>
      <c r="U4310" s="20" t="s">
        <v>41</v>
      </c>
      <c r="V4310" s="17"/>
      <c r="W4310" s="20" t="e">
        <f aca="false">VLOOKUP(V4310,Sheet2!Q:R,2,0)</f>
        <v>#N/A</v>
      </c>
      <c r="X4310" s="17" t="n">
        <f aca="false">J4310</f>
        <v>0</v>
      </c>
      <c r="Y4310" s="17" t="e">
        <f aca="false">VLOOKUP(X4310,Sheet2!A:B,2,0)</f>
        <v>#N/A</v>
      </c>
      <c r="Z4310" s="17"/>
      <c r="AA4310" s="17"/>
      <c r="AC4310" s="23" t="str">
        <f aca="false">LEFT(G4310,2)</f>
        <v/>
      </c>
    </row>
    <row r="4311" customFormat="false" ht="15" hidden="false" customHeight="false" outlineLevel="0" collapsed="false">
      <c r="A4311" s="13" t="n">
        <f aca="false">1+A4310</f>
        <v>4309</v>
      </c>
      <c r="B4311" s="14" t="n">
        <v>100</v>
      </c>
      <c r="C4311" s="15"/>
      <c r="D4311" s="16" t="s">
        <v>64</v>
      </c>
      <c r="E4311" s="17" t="s">
        <v>47</v>
      </c>
      <c r="F4311" s="18" t="s">
        <v>34</v>
      </c>
      <c r="G4311" s="19"/>
      <c r="H4311" s="17" t="s">
        <v>35</v>
      </c>
      <c r="I4311" s="17" t="s">
        <v>44</v>
      </c>
      <c r="J4311" s="17"/>
      <c r="K4311" s="17" t="e">
        <f aca="false">VLOOKUP(J4311,Sheet2!A:B,2,0)</f>
        <v>#N/A</v>
      </c>
      <c r="L4311" s="17" t="n">
        <v>5</v>
      </c>
      <c r="M4311" s="17" t="str">
        <f aca="false">VLOOKUP(L4311,Sheet2!D:E,2,0)</f>
        <v>Main Processor CPU BGA</v>
      </c>
      <c r="N4311" s="17" t="n">
        <v>1</v>
      </c>
      <c r="O4311" s="17" t="str">
        <f aca="false">VLOOKUP(N4311,Sheet2!G:H,2,0)</f>
        <v>Dead</v>
      </c>
      <c r="P4311" s="17" t="n">
        <v>11</v>
      </c>
      <c r="Q4311" s="17" t="str">
        <f aca="false">VLOOKUP(P4311,Sheet2!J:K,2,0)</f>
        <v>IR Declared due to CID -TA</v>
      </c>
      <c r="R4311" s="17" t="s">
        <v>35</v>
      </c>
      <c r="S4311" s="17" t="str">
        <f aca="false">VLOOKUP(R4311,Sheet2!N:O,2,0)</f>
        <v>IREPARABLE</v>
      </c>
      <c r="T4311" s="18" t="str">
        <f aca="false">VLOOKUP(P4311,Sheet2!Q:R,2,0)</f>
        <v>IR Normal - Track burn out</v>
      </c>
      <c r="U4311" s="20" t="s">
        <v>41</v>
      </c>
      <c r="V4311" s="17"/>
      <c r="W4311" s="20" t="e">
        <f aca="false">VLOOKUP(V4311,Sheet2!Q:R,2,0)</f>
        <v>#N/A</v>
      </c>
      <c r="X4311" s="17" t="n">
        <f aca="false">J4311</f>
        <v>0</v>
      </c>
      <c r="Y4311" s="17" t="e">
        <f aca="false">VLOOKUP(X4311,Sheet2!A:B,2,0)</f>
        <v>#N/A</v>
      </c>
      <c r="Z4311" s="17"/>
      <c r="AA4311" s="17"/>
      <c r="AC4311" s="23" t="str">
        <f aca="false">LEFT(G4311,2)</f>
        <v/>
      </c>
    </row>
    <row r="4312" customFormat="false" ht="15" hidden="false" customHeight="false" outlineLevel="0" collapsed="false">
      <c r="A4312" s="13" t="n">
        <f aca="false">1+A4311</f>
        <v>4310</v>
      </c>
      <c r="B4312" s="14" t="n">
        <v>100</v>
      </c>
      <c r="C4312" s="15"/>
      <c r="D4312" s="16" t="s">
        <v>64</v>
      </c>
      <c r="E4312" s="17" t="s">
        <v>47</v>
      </c>
      <c r="F4312" s="18" t="s">
        <v>34</v>
      </c>
      <c r="G4312" s="19"/>
      <c r="H4312" s="17" t="s">
        <v>35</v>
      </c>
      <c r="I4312" s="17" t="s">
        <v>44</v>
      </c>
      <c r="J4312" s="17"/>
      <c r="K4312" s="17" t="e">
        <f aca="false">VLOOKUP(J4312,Sheet2!A:B,2,0)</f>
        <v>#N/A</v>
      </c>
      <c r="L4312" s="17" t="n">
        <v>5</v>
      </c>
      <c r="M4312" s="17" t="str">
        <f aca="false">VLOOKUP(L4312,Sheet2!D:E,2,0)</f>
        <v>Main Processor CPU BGA</v>
      </c>
      <c r="N4312" s="17" t="n">
        <v>1</v>
      </c>
      <c r="O4312" s="17" t="str">
        <f aca="false">VLOOKUP(N4312,Sheet2!G:H,2,0)</f>
        <v>Dead</v>
      </c>
      <c r="P4312" s="17" t="n">
        <v>11</v>
      </c>
      <c r="Q4312" s="17" t="str">
        <f aca="false">VLOOKUP(P4312,Sheet2!J:K,2,0)</f>
        <v>IR Declared due to CID -TA</v>
      </c>
      <c r="R4312" s="17" t="s">
        <v>35</v>
      </c>
      <c r="S4312" s="17" t="str">
        <f aca="false">VLOOKUP(R4312,Sheet2!N:O,2,0)</f>
        <v>IREPARABLE</v>
      </c>
      <c r="T4312" s="18" t="str">
        <f aca="false">VLOOKUP(P4312,Sheet2!Q:R,2,0)</f>
        <v>IR Normal - Track burn out</v>
      </c>
      <c r="U4312" s="20" t="s">
        <v>41</v>
      </c>
      <c r="V4312" s="17"/>
      <c r="W4312" s="20" t="e">
        <f aca="false">VLOOKUP(V4312,Sheet2!Q:R,2,0)</f>
        <v>#N/A</v>
      </c>
      <c r="X4312" s="17" t="n">
        <f aca="false">J4312</f>
        <v>0</v>
      </c>
      <c r="Y4312" s="17" t="e">
        <f aca="false">VLOOKUP(X4312,Sheet2!A:B,2,0)</f>
        <v>#N/A</v>
      </c>
      <c r="Z4312" s="17"/>
      <c r="AA4312" s="17"/>
      <c r="AC4312" s="23" t="str">
        <f aca="false">LEFT(G4312,2)</f>
        <v/>
      </c>
    </row>
    <row r="4313" customFormat="false" ht="15" hidden="false" customHeight="false" outlineLevel="0" collapsed="false">
      <c r="A4313" s="13" t="n">
        <f aca="false">1+A4312</f>
        <v>4311</v>
      </c>
      <c r="B4313" s="14" t="n">
        <v>100</v>
      </c>
      <c r="C4313" s="15"/>
      <c r="D4313" s="16" t="s">
        <v>64</v>
      </c>
      <c r="E4313" s="17" t="s">
        <v>47</v>
      </c>
      <c r="F4313" s="18" t="s">
        <v>34</v>
      </c>
      <c r="G4313" s="19"/>
      <c r="H4313" s="17" t="s">
        <v>35</v>
      </c>
      <c r="I4313" s="17" t="s">
        <v>44</v>
      </c>
      <c r="J4313" s="17"/>
      <c r="K4313" s="17" t="e">
        <f aca="false">VLOOKUP(J4313,Sheet2!A:B,2,0)</f>
        <v>#N/A</v>
      </c>
      <c r="L4313" s="17" t="n">
        <v>5</v>
      </c>
      <c r="M4313" s="17" t="str">
        <f aca="false">VLOOKUP(L4313,Sheet2!D:E,2,0)</f>
        <v>Main Processor CPU BGA</v>
      </c>
      <c r="N4313" s="17" t="n">
        <v>1</v>
      </c>
      <c r="O4313" s="17" t="str">
        <f aca="false">VLOOKUP(N4313,Sheet2!G:H,2,0)</f>
        <v>Dead</v>
      </c>
      <c r="P4313" s="17" t="n">
        <v>11</v>
      </c>
      <c r="Q4313" s="17" t="str">
        <f aca="false">VLOOKUP(P4313,Sheet2!J:K,2,0)</f>
        <v>IR Declared due to CID -TA</v>
      </c>
      <c r="R4313" s="17" t="s">
        <v>35</v>
      </c>
      <c r="S4313" s="17" t="str">
        <f aca="false">VLOOKUP(R4313,Sheet2!N:O,2,0)</f>
        <v>IREPARABLE</v>
      </c>
      <c r="T4313" s="18" t="str">
        <f aca="false">VLOOKUP(P4313,Sheet2!Q:R,2,0)</f>
        <v>IR Normal - Track burn out</v>
      </c>
      <c r="U4313" s="20" t="s">
        <v>41</v>
      </c>
      <c r="V4313" s="17"/>
      <c r="W4313" s="20" t="e">
        <f aca="false">VLOOKUP(V4313,Sheet2!Q:R,2,0)</f>
        <v>#N/A</v>
      </c>
      <c r="X4313" s="17" t="n">
        <f aca="false">J4313</f>
        <v>0</v>
      </c>
      <c r="Y4313" s="17" t="e">
        <f aca="false">VLOOKUP(X4313,Sheet2!A:B,2,0)</f>
        <v>#N/A</v>
      </c>
      <c r="Z4313" s="17"/>
      <c r="AA4313" s="17"/>
      <c r="AC4313" s="23" t="str">
        <f aca="false">LEFT(G4313,2)</f>
        <v/>
      </c>
    </row>
    <row r="4314" customFormat="false" ht="15" hidden="false" customHeight="false" outlineLevel="0" collapsed="false">
      <c r="A4314" s="13" t="n">
        <f aca="false">1+A4313</f>
        <v>4312</v>
      </c>
      <c r="B4314" s="14" t="n">
        <v>100</v>
      </c>
      <c r="C4314" s="15"/>
      <c r="D4314" s="16" t="s">
        <v>64</v>
      </c>
      <c r="E4314" s="17" t="s">
        <v>47</v>
      </c>
      <c r="F4314" s="18" t="s">
        <v>34</v>
      </c>
      <c r="G4314" s="19"/>
      <c r="H4314" s="17" t="s">
        <v>35</v>
      </c>
      <c r="I4314" s="17" t="s">
        <v>44</v>
      </c>
      <c r="J4314" s="17"/>
      <c r="K4314" s="17" t="e">
        <f aca="false">VLOOKUP(J4314,Sheet2!A:B,2,0)</f>
        <v>#N/A</v>
      </c>
      <c r="L4314" s="17" t="n">
        <v>5</v>
      </c>
      <c r="M4314" s="17" t="str">
        <f aca="false">VLOOKUP(L4314,Sheet2!D:E,2,0)</f>
        <v>Main Processor CPU BGA</v>
      </c>
      <c r="N4314" s="17" t="n">
        <v>1</v>
      </c>
      <c r="O4314" s="17" t="str">
        <f aca="false">VLOOKUP(N4314,Sheet2!G:H,2,0)</f>
        <v>Dead</v>
      </c>
      <c r="P4314" s="17" t="n">
        <v>11</v>
      </c>
      <c r="Q4314" s="17" t="str">
        <f aca="false">VLOOKUP(P4314,Sheet2!J:K,2,0)</f>
        <v>IR Declared due to CID -TA</v>
      </c>
      <c r="R4314" s="17" t="s">
        <v>35</v>
      </c>
      <c r="S4314" s="17" t="str">
        <f aca="false">VLOOKUP(R4314,Sheet2!N:O,2,0)</f>
        <v>IREPARABLE</v>
      </c>
      <c r="T4314" s="18" t="str">
        <f aca="false">VLOOKUP(P4314,Sheet2!Q:R,2,0)</f>
        <v>IR Normal - Track burn out</v>
      </c>
      <c r="U4314" s="20" t="s">
        <v>41</v>
      </c>
      <c r="V4314" s="17"/>
      <c r="W4314" s="20" t="e">
        <f aca="false">VLOOKUP(V4314,Sheet2!Q:R,2,0)</f>
        <v>#N/A</v>
      </c>
      <c r="X4314" s="17" t="n">
        <f aca="false">J4314</f>
        <v>0</v>
      </c>
      <c r="Y4314" s="17" t="e">
        <f aca="false">VLOOKUP(X4314,Sheet2!A:B,2,0)</f>
        <v>#N/A</v>
      </c>
      <c r="Z4314" s="17"/>
      <c r="AA4314" s="17"/>
      <c r="AC4314" s="23" t="str">
        <f aca="false">LEFT(G4314,2)</f>
        <v/>
      </c>
    </row>
    <row r="4315" customFormat="false" ht="15" hidden="false" customHeight="false" outlineLevel="0" collapsed="false">
      <c r="A4315" s="13" t="n">
        <f aca="false">1+A4314</f>
        <v>4313</v>
      </c>
      <c r="B4315" s="14" t="n">
        <v>100</v>
      </c>
      <c r="C4315" s="15"/>
      <c r="D4315" s="16" t="s">
        <v>64</v>
      </c>
      <c r="E4315" s="17" t="s">
        <v>47</v>
      </c>
      <c r="F4315" s="18" t="s">
        <v>34</v>
      </c>
      <c r="G4315" s="19"/>
      <c r="H4315" s="17" t="s">
        <v>35</v>
      </c>
      <c r="I4315" s="17" t="s">
        <v>44</v>
      </c>
      <c r="J4315" s="17"/>
      <c r="K4315" s="17" t="e">
        <f aca="false">VLOOKUP(J4315,Sheet2!A:B,2,0)</f>
        <v>#N/A</v>
      </c>
      <c r="L4315" s="17" t="n">
        <v>5</v>
      </c>
      <c r="M4315" s="17" t="str">
        <f aca="false">VLOOKUP(L4315,Sheet2!D:E,2,0)</f>
        <v>Main Processor CPU BGA</v>
      </c>
      <c r="N4315" s="17" t="n">
        <v>1</v>
      </c>
      <c r="O4315" s="17" t="str">
        <f aca="false">VLOOKUP(N4315,Sheet2!G:H,2,0)</f>
        <v>Dead</v>
      </c>
      <c r="P4315" s="17" t="n">
        <v>11</v>
      </c>
      <c r="Q4315" s="17" t="str">
        <f aca="false">VLOOKUP(P4315,Sheet2!J:K,2,0)</f>
        <v>IR Declared due to CID -TA</v>
      </c>
      <c r="R4315" s="17" t="s">
        <v>35</v>
      </c>
      <c r="S4315" s="17" t="str">
        <f aca="false">VLOOKUP(R4315,Sheet2!N:O,2,0)</f>
        <v>IREPARABLE</v>
      </c>
      <c r="T4315" s="18" t="str">
        <f aca="false">VLOOKUP(P4315,Sheet2!Q:R,2,0)</f>
        <v>IR Normal - Track burn out</v>
      </c>
      <c r="U4315" s="20" t="s">
        <v>41</v>
      </c>
      <c r="V4315" s="17"/>
      <c r="W4315" s="20" t="e">
        <f aca="false">VLOOKUP(V4315,Sheet2!Q:R,2,0)</f>
        <v>#N/A</v>
      </c>
      <c r="X4315" s="17" t="n">
        <f aca="false">J4315</f>
        <v>0</v>
      </c>
      <c r="Y4315" s="17" t="e">
        <f aca="false">VLOOKUP(X4315,Sheet2!A:B,2,0)</f>
        <v>#N/A</v>
      </c>
      <c r="Z4315" s="17"/>
      <c r="AA4315" s="17"/>
      <c r="AC4315" s="23" t="str">
        <f aca="false">LEFT(G4315,2)</f>
        <v/>
      </c>
    </row>
    <row r="4316" customFormat="false" ht="15" hidden="false" customHeight="false" outlineLevel="0" collapsed="false">
      <c r="A4316" s="13" t="n">
        <f aca="false">1+A4315</f>
        <v>4314</v>
      </c>
      <c r="B4316" s="14" t="n">
        <v>100</v>
      </c>
      <c r="C4316" s="15"/>
      <c r="D4316" s="16" t="s">
        <v>64</v>
      </c>
      <c r="E4316" s="17" t="s">
        <v>47</v>
      </c>
      <c r="F4316" s="18" t="s">
        <v>34</v>
      </c>
      <c r="G4316" s="19"/>
      <c r="H4316" s="17" t="s">
        <v>35</v>
      </c>
      <c r="I4316" s="17" t="s">
        <v>44</v>
      </c>
      <c r="J4316" s="17"/>
      <c r="K4316" s="17" t="e">
        <f aca="false">VLOOKUP(J4316,Sheet2!A:B,2,0)</f>
        <v>#N/A</v>
      </c>
      <c r="L4316" s="17" t="n">
        <v>5</v>
      </c>
      <c r="M4316" s="17" t="str">
        <f aca="false">VLOOKUP(L4316,Sheet2!D:E,2,0)</f>
        <v>Main Processor CPU BGA</v>
      </c>
      <c r="N4316" s="17" t="n">
        <v>1</v>
      </c>
      <c r="O4316" s="17" t="str">
        <f aca="false">VLOOKUP(N4316,Sheet2!G:H,2,0)</f>
        <v>Dead</v>
      </c>
      <c r="P4316" s="17" t="n">
        <v>11</v>
      </c>
      <c r="Q4316" s="17" t="str">
        <f aca="false">VLOOKUP(P4316,Sheet2!J:K,2,0)</f>
        <v>IR Declared due to CID -TA</v>
      </c>
      <c r="R4316" s="17" t="s">
        <v>35</v>
      </c>
      <c r="S4316" s="17" t="str">
        <f aca="false">VLOOKUP(R4316,Sheet2!N:O,2,0)</f>
        <v>IREPARABLE</v>
      </c>
      <c r="T4316" s="18" t="str">
        <f aca="false">VLOOKUP(P4316,Sheet2!Q:R,2,0)</f>
        <v>IR Normal - Track burn out</v>
      </c>
      <c r="U4316" s="20" t="s">
        <v>41</v>
      </c>
      <c r="V4316" s="17"/>
      <c r="W4316" s="20" t="e">
        <f aca="false">VLOOKUP(V4316,Sheet2!Q:R,2,0)</f>
        <v>#N/A</v>
      </c>
      <c r="X4316" s="17" t="n">
        <f aca="false">J4316</f>
        <v>0</v>
      </c>
      <c r="Y4316" s="17" t="e">
        <f aca="false">VLOOKUP(X4316,Sheet2!A:B,2,0)</f>
        <v>#N/A</v>
      </c>
      <c r="Z4316" s="17"/>
      <c r="AA4316" s="17"/>
      <c r="AC4316" s="23" t="str">
        <f aca="false">LEFT(G4316,2)</f>
        <v/>
      </c>
    </row>
    <row r="4317" customFormat="false" ht="15" hidden="false" customHeight="false" outlineLevel="0" collapsed="false">
      <c r="A4317" s="13" t="n">
        <f aca="false">1+A4316</f>
        <v>4315</v>
      </c>
      <c r="B4317" s="14" t="n">
        <v>100</v>
      </c>
      <c r="C4317" s="15"/>
      <c r="D4317" s="16" t="s">
        <v>64</v>
      </c>
      <c r="E4317" s="17" t="s">
        <v>47</v>
      </c>
      <c r="F4317" s="18" t="s">
        <v>34</v>
      </c>
      <c r="G4317" s="19"/>
      <c r="H4317" s="17" t="s">
        <v>35</v>
      </c>
      <c r="I4317" s="17" t="s">
        <v>44</v>
      </c>
      <c r="J4317" s="17"/>
      <c r="K4317" s="17" t="e">
        <f aca="false">VLOOKUP(J4317,Sheet2!A:B,2,0)</f>
        <v>#N/A</v>
      </c>
      <c r="L4317" s="17" t="n">
        <v>5</v>
      </c>
      <c r="M4317" s="17" t="str">
        <f aca="false">VLOOKUP(L4317,Sheet2!D:E,2,0)</f>
        <v>Main Processor CPU BGA</v>
      </c>
      <c r="N4317" s="17" t="n">
        <v>1</v>
      </c>
      <c r="O4317" s="17" t="str">
        <f aca="false">VLOOKUP(N4317,Sheet2!G:H,2,0)</f>
        <v>Dead</v>
      </c>
      <c r="P4317" s="17" t="n">
        <v>11</v>
      </c>
      <c r="Q4317" s="17" t="str">
        <f aca="false">VLOOKUP(P4317,Sheet2!J:K,2,0)</f>
        <v>IR Declared due to CID -TA</v>
      </c>
      <c r="R4317" s="17" t="s">
        <v>35</v>
      </c>
      <c r="S4317" s="17" t="str">
        <f aca="false">VLOOKUP(R4317,Sheet2!N:O,2,0)</f>
        <v>IREPARABLE</v>
      </c>
      <c r="T4317" s="18" t="str">
        <f aca="false">VLOOKUP(P4317,Sheet2!Q:R,2,0)</f>
        <v>IR Normal - Track burn out</v>
      </c>
      <c r="U4317" s="20" t="s">
        <v>41</v>
      </c>
      <c r="V4317" s="17"/>
      <c r="W4317" s="20" t="e">
        <f aca="false">VLOOKUP(V4317,Sheet2!Q:R,2,0)</f>
        <v>#N/A</v>
      </c>
      <c r="X4317" s="17" t="n">
        <f aca="false">J4317</f>
        <v>0</v>
      </c>
      <c r="Y4317" s="17" t="e">
        <f aca="false">VLOOKUP(X4317,Sheet2!A:B,2,0)</f>
        <v>#N/A</v>
      </c>
      <c r="Z4317" s="17"/>
      <c r="AA4317" s="17"/>
      <c r="AC4317" s="23" t="str">
        <f aca="false">LEFT(G4317,2)</f>
        <v/>
      </c>
    </row>
    <row r="4318" customFormat="false" ht="15" hidden="false" customHeight="false" outlineLevel="0" collapsed="false">
      <c r="A4318" s="13" t="n">
        <f aca="false">1+A4317</f>
        <v>4316</v>
      </c>
      <c r="B4318" s="14" t="n">
        <v>100</v>
      </c>
      <c r="C4318" s="15"/>
      <c r="D4318" s="16" t="s">
        <v>64</v>
      </c>
      <c r="E4318" s="17" t="s">
        <v>47</v>
      </c>
      <c r="F4318" s="18" t="s">
        <v>34</v>
      </c>
      <c r="G4318" s="19"/>
      <c r="H4318" s="17" t="s">
        <v>35</v>
      </c>
      <c r="I4318" s="17" t="s">
        <v>44</v>
      </c>
      <c r="J4318" s="17"/>
      <c r="K4318" s="17" t="e">
        <f aca="false">VLOOKUP(J4318,Sheet2!A:B,2,0)</f>
        <v>#N/A</v>
      </c>
      <c r="L4318" s="17" t="n">
        <v>5</v>
      </c>
      <c r="M4318" s="17" t="str">
        <f aca="false">VLOOKUP(L4318,Sheet2!D:E,2,0)</f>
        <v>Main Processor CPU BGA</v>
      </c>
      <c r="N4318" s="17" t="n">
        <v>1</v>
      </c>
      <c r="O4318" s="17" t="str">
        <f aca="false">VLOOKUP(N4318,Sheet2!G:H,2,0)</f>
        <v>Dead</v>
      </c>
      <c r="P4318" s="17" t="n">
        <v>11</v>
      </c>
      <c r="Q4318" s="17" t="str">
        <f aca="false">VLOOKUP(P4318,Sheet2!J:K,2,0)</f>
        <v>IR Declared due to CID -TA</v>
      </c>
      <c r="R4318" s="17" t="s">
        <v>35</v>
      </c>
      <c r="S4318" s="17" t="str">
        <f aca="false">VLOOKUP(R4318,Sheet2!N:O,2,0)</f>
        <v>IREPARABLE</v>
      </c>
      <c r="T4318" s="18" t="str">
        <f aca="false">VLOOKUP(P4318,Sheet2!Q:R,2,0)</f>
        <v>IR Normal - Track burn out</v>
      </c>
      <c r="U4318" s="20" t="s">
        <v>41</v>
      </c>
      <c r="V4318" s="17"/>
      <c r="W4318" s="20" t="e">
        <f aca="false">VLOOKUP(V4318,Sheet2!Q:R,2,0)</f>
        <v>#N/A</v>
      </c>
      <c r="X4318" s="17" t="n">
        <f aca="false">J4318</f>
        <v>0</v>
      </c>
      <c r="Y4318" s="17" t="e">
        <f aca="false">VLOOKUP(X4318,Sheet2!A:B,2,0)</f>
        <v>#N/A</v>
      </c>
      <c r="Z4318" s="17"/>
      <c r="AA4318" s="17"/>
      <c r="AC4318" s="23" t="str">
        <f aca="false">LEFT(G4318,2)</f>
        <v/>
      </c>
    </row>
    <row r="4319" customFormat="false" ht="15" hidden="false" customHeight="false" outlineLevel="0" collapsed="false">
      <c r="A4319" s="13" t="n">
        <f aca="false">1+A4318</f>
        <v>4317</v>
      </c>
      <c r="B4319" s="14" t="n">
        <v>100</v>
      </c>
      <c r="C4319" s="15"/>
      <c r="D4319" s="16" t="s">
        <v>64</v>
      </c>
      <c r="E4319" s="17" t="s">
        <v>47</v>
      </c>
      <c r="F4319" s="18" t="s">
        <v>34</v>
      </c>
      <c r="G4319" s="19"/>
      <c r="H4319" s="17" t="s">
        <v>35</v>
      </c>
      <c r="I4319" s="17" t="s">
        <v>44</v>
      </c>
      <c r="J4319" s="17"/>
      <c r="K4319" s="17" t="e">
        <f aca="false">VLOOKUP(J4319,Sheet2!A:B,2,0)</f>
        <v>#N/A</v>
      </c>
      <c r="L4319" s="17" t="n">
        <v>5</v>
      </c>
      <c r="M4319" s="17" t="str">
        <f aca="false">VLOOKUP(L4319,Sheet2!D:E,2,0)</f>
        <v>Main Processor CPU BGA</v>
      </c>
      <c r="N4319" s="17" t="n">
        <v>1</v>
      </c>
      <c r="O4319" s="17" t="str">
        <f aca="false">VLOOKUP(N4319,Sheet2!G:H,2,0)</f>
        <v>Dead</v>
      </c>
      <c r="P4319" s="17" t="n">
        <v>11</v>
      </c>
      <c r="Q4319" s="17" t="str">
        <f aca="false">VLOOKUP(P4319,Sheet2!J:K,2,0)</f>
        <v>IR Declared due to CID -TA</v>
      </c>
      <c r="R4319" s="17" t="s">
        <v>35</v>
      </c>
      <c r="S4319" s="17" t="str">
        <f aca="false">VLOOKUP(R4319,Sheet2!N:O,2,0)</f>
        <v>IREPARABLE</v>
      </c>
      <c r="T4319" s="18" t="str">
        <f aca="false">VLOOKUP(P4319,Sheet2!Q:R,2,0)</f>
        <v>IR Normal - Track burn out</v>
      </c>
      <c r="U4319" s="20" t="s">
        <v>41</v>
      </c>
      <c r="V4319" s="17"/>
      <c r="W4319" s="20" t="e">
        <f aca="false">VLOOKUP(V4319,Sheet2!Q:R,2,0)</f>
        <v>#N/A</v>
      </c>
      <c r="X4319" s="17" t="n">
        <f aca="false">J4319</f>
        <v>0</v>
      </c>
      <c r="Y4319" s="17" t="e">
        <f aca="false">VLOOKUP(X4319,Sheet2!A:B,2,0)</f>
        <v>#N/A</v>
      </c>
      <c r="Z4319" s="17"/>
      <c r="AA4319" s="17"/>
      <c r="AC4319" s="23" t="str">
        <f aca="false">LEFT(G4319,2)</f>
        <v/>
      </c>
    </row>
    <row r="4320" customFormat="false" ht="15" hidden="false" customHeight="false" outlineLevel="0" collapsed="false">
      <c r="A4320" s="13" t="n">
        <f aca="false">1+A4319</f>
        <v>4318</v>
      </c>
      <c r="B4320" s="14" t="n">
        <v>100</v>
      </c>
      <c r="C4320" s="15"/>
      <c r="D4320" s="16" t="s">
        <v>64</v>
      </c>
      <c r="E4320" s="17" t="s">
        <v>47</v>
      </c>
      <c r="F4320" s="18" t="s">
        <v>34</v>
      </c>
      <c r="G4320" s="19"/>
      <c r="H4320" s="17" t="s">
        <v>35</v>
      </c>
      <c r="I4320" s="17" t="s">
        <v>44</v>
      </c>
      <c r="J4320" s="17"/>
      <c r="K4320" s="17" t="e">
        <f aca="false">VLOOKUP(J4320,Sheet2!A:B,2,0)</f>
        <v>#N/A</v>
      </c>
      <c r="L4320" s="17" t="n">
        <v>5</v>
      </c>
      <c r="M4320" s="17" t="str">
        <f aca="false">VLOOKUP(L4320,Sheet2!D:E,2,0)</f>
        <v>Main Processor CPU BGA</v>
      </c>
      <c r="N4320" s="17" t="n">
        <v>1</v>
      </c>
      <c r="O4320" s="17" t="str">
        <f aca="false">VLOOKUP(N4320,Sheet2!G:H,2,0)</f>
        <v>Dead</v>
      </c>
      <c r="P4320" s="17" t="n">
        <v>11</v>
      </c>
      <c r="Q4320" s="17" t="str">
        <f aca="false">VLOOKUP(P4320,Sheet2!J:K,2,0)</f>
        <v>IR Declared due to CID -TA</v>
      </c>
      <c r="R4320" s="17" t="s">
        <v>35</v>
      </c>
      <c r="S4320" s="17" t="str">
        <f aca="false">VLOOKUP(R4320,Sheet2!N:O,2,0)</f>
        <v>IREPARABLE</v>
      </c>
      <c r="T4320" s="18" t="str">
        <f aca="false">VLOOKUP(P4320,Sheet2!Q:R,2,0)</f>
        <v>IR Normal - Track burn out</v>
      </c>
      <c r="U4320" s="20" t="s">
        <v>41</v>
      </c>
      <c r="V4320" s="17"/>
      <c r="W4320" s="20" t="e">
        <f aca="false">VLOOKUP(V4320,Sheet2!Q:R,2,0)</f>
        <v>#N/A</v>
      </c>
      <c r="X4320" s="17" t="n">
        <f aca="false">J4320</f>
        <v>0</v>
      </c>
      <c r="Y4320" s="17" t="e">
        <f aca="false">VLOOKUP(X4320,Sheet2!A:B,2,0)</f>
        <v>#N/A</v>
      </c>
      <c r="Z4320" s="17"/>
      <c r="AA4320" s="17"/>
      <c r="AC4320" s="23" t="str">
        <f aca="false">LEFT(G4320,2)</f>
        <v/>
      </c>
    </row>
    <row r="4321" customFormat="false" ht="15" hidden="false" customHeight="false" outlineLevel="0" collapsed="false">
      <c r="A4321" s="13" t="n">
        <f aca="false">1+A4320</f>
        <v>4319</v>
      </c>
      <c r="B4321" s="14" t="n">
        <v>100</v>
      </c>
      <c r="C4321" s="15"/>
      <c r="D4321" s="16" t="s">
        <v>64</v>
      </c>
      <c r="E4321" s="17" t="s">
        <v>47</v>
      </c>
      <c r="F4321" s="18" t="s">
        <v>34</v>
      </c>
      <c r="G4321" s="19"/>
      <c r="H4321" s="17" t="s">
        <v>35</v>
      </c>
      <c r="I4321" s="17" t="s">
        <v>44</v>
      </c>
      <c r="J4321" s="17"/>
      <c r="K4321" s="17" t="e">
        <f aca="false">VLOOKUP(J4321,Sheet2!A:B,2,0)</f>
        <v>#N/A</v>
      </c>
      <c r="L4321" s="17" t="n">
        <v>5</v>
      </c>
      <c r="M4321" s="17" t="str">
        <f aca="false">VLOOKUP(L4321,Sheet2!D:E,2,0)</f>
        <v>Main Processor CPU BGA</v>
      </c>
      <c r="N4321" s="17" t="n">
        <v>1</v>
      </c>
      <c r="O4321" s="17" t="str">
        <f aca="false">VLOOKUP(N4321,Sheet2!G:H,2,0)</f>
        <v>Dead</v>
      </c>
      <c r="P4321" s="17" t="n">
        <v>11</v>
      </c>
      <c r="Q4321" s="17" t="str">
        <f aca="false">VLOOKUP(P4321,Sheet2!J:K,2,0)</f>
        <v>IR Declared due to CID -TA</v>
      </c>
      <c r="R4321" s="17" t="s">
        <v>35</v>
      </c>
      <c r="S4321" s="17" t="str">
        <f aca="false">VLOOKUP(R4321,Sheet2!N:O,2,0)</f>
        <v>IREPARABLE</v>
      </c>
      <c r="T4321" s="18" t="str">
        <f aca="false">VLOOKUP(P4321,Sheet2!Q:R,2,0)</f>
        <v>IR Normal - Track burn out</v>
      </c>
      <c r="U4321" s="20" t="s">
        <v>41</v>
      </c>
      <c r="V4321" s="17"/>
      <c r="W4321" s="20" t="e">
        <f aca="false">VLOOKUP(V4321,Sheet2!Q:R,2,0)</f>
        <v>#N/A</v>
      </c>
      <c r="X4321" s="17" t="n">
        <f aca="false">J4321</f>
        <v>0</v>
      </c>
      <c r="Y4321" s="17" t="e">
        <f aca="false">VLOOKUP(X4321,Sheet2!A:B,2,0)</f>
        <v>#N/A</v>
      </c>
      <c r="Z4321" s="17"/>
      <c r="AA4321" s="17"/>
      <c r="AC4321" s="23" t="str">
        <f aca="false">LEFT(G4321,2)</f>
        <v/>
      </c>
    </row>
    <row r="4322" customFormat="false" ht="15" hidden="false" customHeight="false" outlineLevel="0" collapsed="false">
      <c r="A4322" s="13" t="n">
        <f aca="false">1+A4321</f>
        <v>4320</v>
      </c>
      <c r="B4322" s="14" t="n">
        <v>100</v>
      </c>
      <c r="C4322" s="15"/>
      <c r="D4322" s="16" t="s">
        <v>64</v>
      </c>
      <c r="E4322" s="17" t="s">
        <v>47</v>
      </c>
      <c r="F4322" s="18" t="s">
        <v>34</v>
      </c>
      <c r="G4322" s="19"/>
      <c r="H4322" s="17" t="s">
        <v>35</v>
      </c>
      <c r="I4322" s="17" t="s">
        <v>44</v>
      </c>
      <c r="J4322" s="17"/>
      <c r="K4322" s="17" t="e">
        <f aca="false">VLOOKUP(J4322,Sheet2!A:B,2,0)</f>
        <v>#N/A</v>
      </c>
      <c r="L4322" s="17" t="n">
        <v>5</v>
      </c>
      <c r="M4322" s="17" t="str">
        <f aca="false">VLOOKUP(L4322,Sheet2!D:E,2,0)</f>
        <v>Main Processor CPU BGA</v>
      </c>
      <c r="N4322" s="17" t="n">
        <v>1</v>
      </c>
      <c r="O4322" s="17" t="str">
        <f aca="false">VLOOKUP(N4322,Sheet2!G:H,2,0)</f>
        <v>Dead</v>
      </c>
      <c r="P4322" s="17" t="n">
        <v>11</v>
      </c>
      <c r="Q4322" s="17" t="str">
        <f aca="false">VLOOKUP(P4322,Sheet2!J:K,2,0)</f>
        <v>IR Declared due to CID -TA</v>
      </c>
      <c r="R4322" s="17" t="s">
        <v>35</v>
      </c>
      <c r="S4322" s="17" t="str">
        <f aca="false">VLOOKUP(R4322,Sheet2!N:O,2,0)</f>
        <v>IREPARABLE</v>
      </c>
      <c r="T4322" s="18" t="str">
        <f aca="false">VLOOKUP(P4322,Sheet2!Q:R,2,0)</f>
        <v>IR Normal - Track burn out</v>
      </c>
      <c r="U4322" s="20" t="s">
        <v>41</v>
      </c>
      <c r="V4322" s="17"/>
      <c r="W4322" s="20" t="e">
        <f aca="false">VLOOKUP(V4322,Sheet2!Q:R,2,0)</f>
        <v>#N/A</v>
      </c>
      <c r="X4322" s="17" t="n">
        <f aca="false">J4322</f>
        <v>0</v>
      </c>
      <c r="Y4322" s="17" t="e">
        <f aca="false">VLOOKUP(X4322,Sheet2!A:B,2,0)</f>
        <v>#N/A</v>
      </c>
      <c r="Z4322" s="17"/>
      <c r="AA4322" s="17"/>
      <c r="AC4322" s="23" t="str">
        <f aca="false">LEFT(G4322,2)</f>
        <v/>
      </c>
    </row>
    <row r="4323" customFormat="false" ht="15" hidden="false" customHeight="false" outlineLevel="0" collapsed="false">
      <c r="A4323" s="13" t="n">
        <f aca="false">1+A4322</f>
        <v>4321</v>
      </c>
      <c r="B4323" s="14" t="n">
        <v>100</v>
      </c>
      <c r="C4323" s="15"/>
      <c r="D4323" s="16" t="s">
        <v>64</v>
      </c>
      <c r="E4323" s="17" t="s">
        <v>47</v>
      </c>
      <c r="F4323" s="18" t="s">
        <v>34</v>
      </c>
      <c r="G4323" s="19"/>
      <c r="H4323" s="17" t="s">
        <v>35</v>
      </c>
      <c r="I4323" s="17" t="s">
        <v>44</v>
      </c>
      <c r="J4323" s="17"/>
      <c r="K4323" s="17" t="e">
        <f aca="false">VLOOKUP(J4323,Sheet2!A:B,2,0)</f>
        <v>#N/A</v>
      </c>
      <c r="L4323" s="17" t="n">
        <v>5</v>
      </c>
      <c r="M4323" s="17" t="str">
        <f aca="false">VLOOKUP(L4323,Sheet2!D:E,2,0)</f>
        <v>Main Processor CPU BGA</v>
      </c>
      <c r="N4323" s="17" t="n">
        <v>1</v>
      </c>
      <c r="O4323" s="17" t="str">
        <f aca="false">VLOOKUP(N4323,Sheet2!G:H,2,0)</f>
        <v>Dead</v>
      </c>
      <c r="P4323" s="17" t="n">
        <v>11</v>
      </c>
      <c r="Q4323" s="17" t="str">
        <f aca="false">VLOOKUP(P4323,Sheet2!J:K,2,0)</f>
        <v>IR Declared due to CID -TA</v>
      </c>
      <c r="R4323" s="17" t="s">
        <v>35</v>
      </c>
      <c r="S4323" s="17" t="str">
        <f aca="false">VLOOKUP(R4323,Sheet2!N:O,2,0)</f>
        <v>IREPARABLE</v>
      </c>
      <c r="T4323" s="18" t="str">
        <f aca="false">VLOOKUP(P4323,Sheet2!Q:R,2,0)</f>
        <v>IR Normal - Track burn out</v>
      </c>
      <c r="U4323" s="20" t="s">
        <v>41</v>
      </c>
      <c r="V4323" s="17"/>
      <c r="W4323" s="20" t="e">
        <f aca="false">VLOOKUP(V4323,Sheet2!Q:R,2,0)</f>
        <v>#N/A</v>
      </c>
      <c r="X4323" s="17" t="n">
        <f aca="false">J4323</f>
        <v>0</v>
      </c>
      <c r="Y4323" s="17" t="e">
        <f aca="false">VLOOKUP(X4323,Sheet2!A:B,2,0)</f>
        <v>#N/A</v>
      </c>
      <c r="Z4323" s="17"/>
      <c r="AA4323" s="17"/>
      <c r="AC4323" s="23" t="str">
        <f aca="false">LEFT(G4323,2)</f>
        <v/>
      </c>
    </row>
    <row r="4324" customFormat="false" ht="15" hidden="false" customHeight="false" outlineLevel="0" collapsed="false">
      <c r="A4324" s="13" t="n">
        <f aca="false">1+A4323</f>
        <v>4322</v>
      </c>
      <c r="B4324" s="14" t="n">
        <v>100</v>
      </c>
      <c r="C4324" s="15"/>
      <c r="D4324" s="16" t="s">
        <v>64</v>
      </c>
      <c r="E4324" s="17" t="s">
        <v>47</v>
      </c>
      <c r="F4324" s="18" t="s">
        <v>34</v>
      </c>
      <c r="G4324" s="19"/>
      <c r="H4324" s="17" t="s">
        <v>35</v>
      </c>
      <c r="I4324" s="17" t="s">
        <v>44</v>
      </c>
      <c r="J4324" s="17"/>
      <c r="K4324" s="17" t="e">
        <f aca="false">VLOOKUP(J4324,Sheet2!A:B,2,0)</f>
        <v>#N/A</v>
      </c>
      <c r="L4324" s="17" t="n">
        <v>5</v>
      </c>
      <c r="M4324" s="17" t="str">
        <f aca="false">VLOOKUP(L4324,Sheet2!D:E,2,0)</f>
        <v>Main Processor CPU BGA</v>
      </c>
      <c r="N4324" s="17" t="n">
        <v>1</v>
      </c>
      <c r="O4324" s="17" t="str">
        <f aca="false">VLOOKUP(N4324,Sheet2!G:H,2,0)</f>
        <v>Dead</v>
      </c>
      <c r="P4324" s="17" t="n">
        <v>11</v>
      </c>
      <c r="Q4324" s="17" t="str">
        <f aca="false">VLOOKUP(P4324,Sheet2!J:K,2,0)</f>
        <v>IR Declared due to CID -TA</v>
      </c>
      <c r="R4324" s="17" t="s">
        <v>35</v>
      </c>
      <c r="S4324" s="17" t="str">
        <f aca="false">VLOOKUP(R4324,Sheet2!N:O,2,0)</f>
        <v>IREPARABLE</v>
      </c>
      <c r="T4324" s="18" t="str">
        <f aca="false">VLOOKUP(P4324,Sheet2!Q:R,2,0)</f>
        <v>IR Normal - Track burn out</v>
      </c>
      <c r="U4324" s="20" t="s">
        <v>41</v>
      </c>
      <c r="V4324" s="17"/>
      <c r="W4324" s="20" t="e">
        <f aca="false">VLOOKUP(V4324,Sheet2!Q:R,2,0)</f>
        <v>#N/A</v>
      </c>
      <c r="X4324" s="17" t="n">
        <f aca="false">J4324</f>
        <v>0</v>
      </c>
      <c r="Y4324" s="17" t="e">
        <f aca="false">VLOOKUP(X4324,Sheet2!A:B,2,0)</f>
        <v>#N/A</v>
      </c>
      <c r="Z4324" s="17"/>
      <c r="AA4324" s="17"/>
      <c r="AC4324" s="23" t="str">
        <f aca="false">LEFT(G4324,2)</f>
        <v/>
      </c>
    </row>
    <row r="4325" customFormat="false" ht="15" hidden="false" customHeight="false" outlineLevel="0" collapsed="false">
      <c r="A4325" s="13" t="n">
        <f aca="false">1+A4324</f>
        <v>4323</v>
      </c>
      <c r="B4325" s="14" t="n">
        <v>100</v>
      </c>
      <c r="C4325" s="15"/>
      <c r="D4325" s="16" t="s">
        <v>64</v>
      </c>
      <c r="E4325" s="17" t="s">
        <v>47</v>
      </c>
      <c r="F4325" s="18" t="s">
        <v>34</v>
      </c>
      <c r="G4325" s="19"/>
      <c r="H4325" s="17" t="s">
        <v>35</v>
      </c>
      <c r="I4325" s="17" t="s">
        <v>44</v>
      </c>
      <c r="J4325" s="17"/>
      <c r="K4325" s="17" t="e">
        <f aca="false">VLOOKUP(J4325,Sheet2!A:B,2,0)</f>
        <v>#N/A</v>
      </c>
      <c r="L4325" s="17" t="n">
        <v>5</v>
      </c>
      <c r="M4325" s="17" t="str">
        <f aca="false">VLOOKUP(L4325,Sheet2!D:E,2,0)</f>
        <v>Main Processor CPU BGA</v>
      </c>
      <c r="N4325" s="17" t="n">
        <v>1</v>
      </c>
      <c r="O4325" s="17" t="str">
        <f aca="false">VLOOKUP(N4325,Sheet2!G:H,2,0)</f>
        <v>Dead</v>
      </c>
      <c r="P4325" s="17" t="n">
        <v>11</v>
      </c>
      <c r="Q4325" s="17" t="str">
        <f aca="false">VLOOKUP(P4325,Sheet2!J:K,2,0)</f>
        <v>IR Declared due to CID -TA</v>
      </c>
      <c r="R4325" s="17" t="s">
        <v>35</v>
      </c>
      <c r="S4325" s="17" t="str">
        <f aca="false">VLOOKUP(R4325,Sheet2!N:O,2,0)</f>
        <v>IREPARABLE</v>
      </c>
      <c r="T4325" s="18" t="str">
        <f aca="false">VLOOKUP(P4325,Sheet2!Q:R,2,0)</f>
        <v>IR Normal - Track burn out</v>
      </c>
      <c r="U4325" s="20" t="s">
        <v>41</v>
      </c>
      <c r="V4325" s="17"/>
      <c r="W4325" s="20" t="e">
        <f aca="false">VLOOKUP(V4325,Sheet2!Q:R,2,0)</f>
        <v>#N/A</v>
      </c>
      <c r="X4325" s="17" t="n">
        <f aca="false">J4325</f>
        <v>0</v>
      </c>
      <c r="Y4325" s="17" t="e">
        <f aca="false">VLOOKUP(X4325,Sheet2!A:B,2,0)</f>
        <v>#N/A</v>
      </c>
      <c r="Z4325" s="17"/>
      <c r="AA4325" s="17"/>
      <c r="AC4325" s="23" t="str">
        <f aca="false">LEFT(G4325,2)</f>
        <v/>
      </c>
    </row>
    <row r="4326" customFormat="false" ht="15" hidden="false" customHeight="false" outlineLevel="0" collapsed="false">
      <c r="A4326" s="13" t="n">
        <f aca="false">1+A4325</f>
        <v>4324</v>
      </c>
      <c r="B4326" s="14" t="n">
        <v>100</v>
      </c>
      <c r="C4326" s="15"/>
      <c r="D4326" s="16" t="s">
        <v>64</v>
      </c>
      <c r="E4326" s="17" t="s">
        <v>47</v>
      </c>
      <c r="F4326" s="18" t="s">
        <v>34</v>
      </c>
      <c r="G4326" s="19"/>
      <c r="H4326" s="17" t="s">
        <v>35</v>
      </c>
      <c r="I4326" s="17" t="s">
        <v>44</v>
      </c>
      <c r="J4326" s="17"/>
      <c r="K4326" s="17" t="e">
        <f aca="false">VLOOKUP(J4326,Sheet2!A:B,2,0)</f>
        <v>#N/A</v>
      </c>
      <c r="L4326" s="17" t="n">
        <v>5</v>
      </c>
      <c r="M4326" s="17" t="str">
        <f aca="false">VLOOKUP(L4326,Sheet2!D:E,2,0)</f>
        <v>Main Processor CPU BGA</v>
      </c>
      <c r="N4326" s="17" t="n">
        <v>1</v>
      </c>
      <c r="O4326" s="17" t="str">
        <f aca="false">VLOOKUP(N4326,Sheet2!G:H,2,0)</f>
        <v>Dead</v>
      </c>
      <c r="P4326" s="17" t="n">
        <v>11</v>
      </c>
      <c r="Q4326" s="17" t="str">
        <f aca="false">VLOOKUP(P4326,Sheet2!J:K,2,0)</f>
        <v>IR Declared due to CID -TA</v>
      </c>
      <c r="R4326" s="17" t="s">
        <v>35</v>
      </c>
      <c r="S4326" s="17" t="str">
        <f aca="false">VLOOKUP(R4326,Sheet2!N:O,2,0)</f>
        <v>IREPARABLE</v>
      </c>
      <c r="T4326" s="18" t="str">
        <f aca="false">VLOOKUP(P4326,Sheet2!Q:R,2,0)</f>
        <v>IR Normal - Track burn out</v>
      </c>
      <c r="U4326" s="20" t="s">
        <v>41</v>
      </c>
      <c r="V4326" s="17"/>
      <c r="W4326" s="20" t="e">
        <f aca="false">VLOOKUP(V4326,Sheet2!Q:R,2,0)</f>
        <v>#N/A</v>
      </c>
      <c r="X4326" s="17" t="n">
        <f aca="false">J4326</f>
        <v>0</v>
      </c>
      <c r="Y4326" s="17" t="e">
        <f aca="false">VLOOKUP(X4326,Sheet2!A:B,2,0)</f>
        <v>#N/A</v>
      </c>
      <c r="Z4326" s="17"/>
      <c r="AA4326" s="17"/>
      <c r="AC4326" s="23" t="str">
        <f aca="false">LEFT(G4326,2)</f>
        <v/>
      </c>
    </row>
    <row r="4327" customFormat="false" ht="15" hidden="false" customHeight="false" outlineLevel="0" collapsed="false">
      <c r="A4327" s="13" t="n">
        <f aca="false">1+A4326</f>
        <v>4325</v>
      </c>
      <c r="B4327" s="14" t="n">
        <v>100</v>
      </c>
      <c r="C4327" s="15"/>
      <c r="D4327" s="16" t="s">
        <v>64</v>
      </c>
      <c r="E4327" s="17" t="s">
        <v>47</v>
      </c>
      <c r="F4327" s="18" t="s">
        <v>34</v>
      </c>
      <c r="G4327" s="19"/>
      <c r="H4327" s="17" t="s">
        <v>35</v>
      </c>
      <c r="I4327" s="17" t="s">
        <v>44</v>
      </c>
      <c r="J4327" s="17"/>
      <c r="K4327" s="17" t="e">
        <f aca="false">VLOOKUP(J4327,Sheet2!A:B,2,0)</f>
        <v>#N/A</v>
      </c>
      <c r="L4327" s="17" t="n">
        <v>5</v>
      </c>
      <c r="M4327" s="17" t="str">
        <f aca="false">VLOOKUP(L4327,Sheet2!D:E,2,0)</f>
        <v>Main Processor CPU BGA</v>
      </c>
      <c r="N4327" s="17" t="n">
        <v>1</v>
      </c>
      <c r="O4327" s="17" t="str">
        <f aca="false">VLOOKUP(N4327,Sheet2!G:H,2,0)</f>
        <v>Dead</v>
      </c>
      <c r="P4327" s="17" t="n">
        <v>11</v>
      </c>
      <c r="Q4327" s="17" t="str">
        <f aca="false">VLOOKUP(P4327,Sheet2!J:K,2,0)</f>
        <v>IR Declared due to CID -TA</v>
      </c>
      <c r="R4327" s="17" t="s">
        <v>35</v>
      </c>
      <c r="S4327" s="17" t="str">
        <f aca="false">VLOOKUP(R4327,Sheet2!N:O,2,0)</f>
        <v>IREPARABLE</v>
      </c>
      <c r="T4327" s="18" t="str">
        <f aca="false">VLOOKUP(P4327,Sheet2!Q:R,2,0)</f>
        <v>IR Normal - Track burn out</v>
      </c>
      <c r="U4327" s="20" t="s">
        <v>41</v>
      </c>
      <c r="V4327" s="17"/>
      <c r="W4327" s="20" t="e">
        <f aca="false">VLOOKUP(V4327,Sheet2!Q:R,2,0)</f>
        <v>#N/A</v>
      </c>
      <c r="X4327" s="17" t="n">
        <f aca="false">J4327</f>
        <v>0</v>
      </c>
      <c r="Y4327" s="17" t="e">
        <f aca="false">VLOOKUP(X4327,Sheet2!A:B,2,0)</f>
        <v>#N/A</v>
      </c>
      <c r="Z4327" s="17"/>
      <c r="AA4327" s="17"/>
      <c r="AC4327" s="23" t="str">
        <f aca="false">LEFT(G4327,2)</f>
        <v/>
      </c>
    </row>
    <row r="4328" customFormat="false" ht="15" hidden="false" customHeight="false" outlineLevel="0" collapsed="false">
      <c r="A4328" s="13" t="n">
        <f aca="false">1+A4327</f>
        <v>4326</v>
      </c>
      <c r="B4328" s="14" t="n">
        <v>100</v>
      </c>
      <c r="C4328" s="15"/>
      <c r="D4328" s="16" t="s">
        <v>64</v>
      </c>
      <c r="E4328" s="17" t="s">
        <v>47</v>
      </c>
      <c r="F4328" s="18" t="s">
        <v>34</v>
      </c>
      <c r="G4328" s="19"/>
      <c r="H4328" s="17" t="s">
        <v>35</v>
      </c>
      <c r="I4328" s="17" t="s">
        <v>44</v>
      </c>
      <c r="J4328" s="17"/>
      <c r="K4328" s="17" t="e">
        <f aca="false">VLOOKUP(J4328,Sheet2!A:B,2,0)</f>
        <v>#N/A</v>
      </c>
      <c r="L4328" s="17" t="n">
        <v>5</v>
      </c>
      <c r="M4328" s="17" t="str">
        <f aca="false">VLOOKUP(L4328,Sheet2!D:E,2,0)</f>
        <v>Main Processor CPU BGA</v>
      </c>
      <c r="N4328" s="17" t="n">
        <v>1</v>
      </c>
      <c r="O4328" s="17" t="str">
        <f aca="false">VLOOKUP(N4328,Sheet2!G:H,2,0)</f>
        <v>Dead</v>
      </c>
      <c r="P4328" s="17" t="n">
        <v>11</v>
      </c>
      <c r="Q4328" s="17" t="str">
        <f aca="false">VLOOKUP(P4328,Sheet2!J:K,2,0)</f>
        <v>IR Declared due to CID -TA</v>
      </c>
      <c r="R4328" s="17" t="s">
        <v>35</v>
      </c>
      <c r="S4328" s="17" t="str">
        <f aca="false">VLOOKUP(R4328,Sheet2!N:O,2,0)</f>
        <v>IREPARABLE</v>
      </c>
      <c r="T4328" s="18" t="str">
        <f aca="false">VLOOKUP(P4328,Sheet2!Q:R,2,0)</f>
        <v>IR Normal - Track burn out</v>
      </c>
      <c r="U4328" s="20" t="s">
        <v>41</v>
      </c>
      <c r="V4328" s="17"/>
      <c r="W4328" s="20" t="e">
        <f aca="false">VLOOKUP(V4328,Sheet2!Q:R,2,0)</f>
        <v>#N/A</v>
      </c>
      <c r="X4328" s="17" t="n">
        <f aca="false">J4328</f>
        <v>0</v>
      </c>
      <c r="Y4328" s="17" t="e">
        <f aca="false">VLOOKUP(X4328,Sheet2!A:B,2,0)</f>
        <v>#N/A</v>
      </c>
      <c r="Z4328" s="17"/>
      <c r="AA4328" s="17"/>
      <c r="AC4328" s="23" t="str">
        <f aca="false">LEFT(G4328,2)</f>
        <v/>
      </c>
    </row>
    <row r="4329" customFormat="false" ht="15" hidden="false" customHeight="false" outlineLevel="0" collapsed="false">
      <c r="A4329" s="13" t="n">
        <f aca="false">1+A4328</f>
        <v>4327</v>
      </c>
      <c r="B4329" s="14" t="n">
        <v>100</v>
      </c>
      <c r="C4329" s="15"/>
      <c r="D4329" s="16" t="s">
        <v>64</v>
      </c>
      <c r="E4329" s="17" t="s">
        <v>47</v>
      </c>
      <c r="F4329" s="18" t="s">
        <v>34</v>
      </c>
      <c r="G4329" s="19"/>
      <c r="H4329" s="17" t="s">
        <v>35</v>
      </c>
      <c r="I4329" s="17" t="s">
        <v>44</v>
      </c>
      <c r="J4329" s="17"/>
      <c r="K4329" s="17" t="e">
        <f aca="false">VLOOKUP(J4329,Sheet2!A:B,2,0)</f>
        <v>#N/A</v>
      </c>
      <c r="L4329" s="17" t="n">
        <v>5</v>
      </c>
      <c r="M4329" s="17" t="str">
        <f aca="false">VLOOKUP(L4329,Sheet2!D:E,2,0)</f>
        <v>Main Processor CPU BGA</v>
      </c>
      <c r="N4329" s="17" t="n">
        <v>1</v>
      </c>
      <c r="O4329" s="17" t="str">
        <f aca="false">VLOOKUP(N4329,Sheet2!G:H,2,0)</f>
        <v>Dead</v>
      </c>
      <c r="P4329" s="17" t="n">
        <v>11</v>
      </c>
      <c r="Q4329" s="17" t="str">
        <f aca="false">VLOOKUP(P4329,Sheet2!J:K,2,0)</f>
        <v>IR Declared due to CID -TA</v>
      </c>
      <c r="R4329" s="17" t="s">
        <v>35</v>
      </c>
      <c r="S4329" s="17" t="str">
        <f aca="false">VLOOKUP(R4329,Sheet2!N:O,2,0)</f>
        <v>IREPARABLE</v>
      </c>
      <c r="T4329" s="18" t="str">
        <f aca="false">VLOOKUP(P4329,Sheet2!Q:R,2,0)</f>
        <v>IR Normal - Track burn out</v>
      </c>
      <c r="U4329" s="20" t="s">
        <v>41</v>
      </c>
      <c r="V4329" s="17"/>
      <c r="W4329" s="20" t="e">
        <f aca="false">VLOOKUP(V4329,Sheet2!Q:R,2,0)</f>
        <v>#N/A</v>
      </c>
      <c r="X4329" s="17" t="n">
        <f aca="false">J4329</f>
        <v>0</v>
      </c>
      <c r="Y4329" s="17" t="e">
        <f aca="false">VLOOKUP(X4329,Sheet2!A:B,2,0)</f>
        <v>#N/A</v>
      </c>
      <c r="Z4329" s="17"/>
      <c r="AA4329" s="17"/>
      <c r="AC4329" s="23" t="str">
        <f aca="false">LEFT(G4329,2)</f>
        <v/>
      </c>
    </row>
    <row r="4330" customFormat="false" ht="15" hidden="false" customHeight="false" outlineLevel="0" collapsed="false">
      <c r="A4330" s="13" t="n">
        <f aca="false">1+A4329</f>
        <v>4328</v>
      </c>
      <c r="B4330" s="14" t="n">
        <v>100</v>
      </c>
      <c r="C4330" s="15"/>
      <c r="D4330" s="16" t="s">
        <v>64</v>
      </c>
      <c r="E4330" s="17" t="s">
        <v>47</v>
      </c>
      <c r="F4330" s="18" t="s">
        <v>34</v>
      </c>
      <c r="G4330" s="19"/>
      <c r="H4330" s="17" t="s">
        <v>35</v>
      </c>
      <c r="I4330" s="17" t="s">
        <v>44</v>
      </c>
      <c r="J4330" s="17"/>
      <c r="K4330" s="17" t="e">
        <f aca="false">VLOOKUP(J4330,Sheet2!A:B,2,0)</f>
        <v>#N/A</v>
      </c>
      <c r="L4330" s="17" t="n">
        <v>5</v>
      </c>
      <c r="M4330" s="17" t="str">
        <f aca="false">VLOOKUP(L4330,Sheet2!D:E,2,0)</f>
        <v>Main Processor CPU BGA</v>
      </c>
      <c r="N4330" s="17" t="n">
        <v>1</v>
      </c>
      <c r="O4330" s="17" t="str">
        <f aca="false">VLOOKUP(N4330,Sheet2!G:H,2,0)</f>
        <v>Dead</v>
      </c>
      <c r="P4330" s="17" t="n">
        <v>11</v>
      </c>
      <c r="Q4330" s="17" t="str">
        <f aca="false">VLOOKUP(P4330,Sheet2!J:K,2,0)</f>
        <v>IR Declared due to CID -TA</v>
      </c>
      <c r="R4330" s="17" t="s">
        <v>35</v>
      </c>
      <c r="S4330" s="17" t="str">
        <f aca="false">VLOOKUP(R4330,Sheet2!N:O,2,0)</f>
        <v>IREPARABLE</v>
      </c>
      <c r="T4330" s="18" t="str">
        <f aca="false">VLOOKUP(P4330,Sheet2!Q:R,2,0)</f>
        <v>IR Normal - Track burn out</v>
      </c>
      <c r="U4330" s="20" t="s">
        <v>41</v>
      </c>
      <c r="V4330" s="17"/>
      <c r="W4330" s="20" t="e">
        <f aca="false">VLOOKUP(V4330,Sheet2!Q:R,2,0)</f>
        <v>#N/A</v>
      </c>
      <c r="X4330" s="17" t="n">
        <f aca="false">J4330</f>
        <v>0</v>
      </c>
      <c r="Y4330" s="17" t="e">
        <f aca="false">VLOOKUP(X4330,Sheet2!A:B,2,0)</f>
        <v>#N/A</v>
      </c>
      <c r="Z4330" s="17"/>
      <c r="AA4330" s="17"/>
      <c r="AC4330" s="23" t="str">
        <f aca="false">LEFT(G4330,2)</f>
        <v/>
      </c>
    </row>
    <row r="4331" customFormat="false" ht="15" hidden="false" customHeight="false" outlineLevel="0" collapsed="false">
      <c r="A4331" s="13" t="n">
        <f aca="false">1+A4330</f>
        <v>4329</v>
      </c>
      <c r="B4331" s="14" t="n">
        <v>100</v>
      </c>
      <c r="C4331" s="15"/>
      <c r="D4331" s="16" t="s">
        <v>64</v>
      </c>
      <c r="E4331" s="17" t="s">
        <v>47</v>
      </c>
      <c r="F4331" s="18" t="s">
        <v>34</v>
      </c>
      <c r="G4331" s="19"/>
      <c r="H4331" s="17" t="s">
        <v>35</v>
      </c>
      <c r="I4331" s="17" t="s">
        <v>44</v>
      </c>
      <c r="J4331" s="17"/>
      <c r="K4331" s="17" t="e">
        <f aca="false">VLOOKUP(J4331,Sheet2!A:B,2,0)</f>
        <v>#N/A</v>
      </c>
      <c r="L4331" s="17" t="n">
        <v>5</v>
      </c>
      <c r="M4331" s="17" t="str">
        <f aca="false">VLOOKUP(L4331,Sheet2!D:E,2,0)</f>
        <v>Main Processor CPU BGA</v>
      </c>
      <c r="N4331" s="17" t="n">
        <v>1</v>
      </c>
      <c r="O4331" s="17" t="str">
        <f aca="false">VLOOKUP(N4331,Sheet2!G:H,2,0)</f>
        <v>Dead</v>
      </c>
      <c r="P4331" s="17" t="n">
        <v>11</v>
      </c>
      <c r="Q4331" s="17" t="str">
        <f aca="false">VLOOKUP(P4331,Sheet2!J:K,2,0)</f>
        <v>IR Declared due to CID -TA</v>
      </c>
      <c r="R4331" s="17" t="s">
        <v>35</v>
      </c>
      <c r="S4331" s="17" t="str">
        <f aca="false">VLOOKUP(R4331,Sheet2!N:O,2,0)</f>
        <v>IREPARABLE</v>
      </c>
      <c r="T4331" s="18" t="str">
        <f aca="false">VLOOKUP(P4331,Sheet2!Q:R,2,0)</f>
        <v>IR Normal - Track burn out</v>
      </c>
      <c r="U4331" s="20" t="s">
        <v>41</v>
      </c>
      <c r="V4331" s="17"/>
      <c r="W4331" s="20" t="e">
        <f aca="false">VLOOKUP(V4331,Sheet2!Q:R,2,0)</f>
        <v>#N/A</v>
      </c>
      <c r="X4331" s="17" t="n">
        <f aca="false">J4331</f>
        <v>0</v>
      </c>
      <c r="Y4331" s="17" t="e">
        <f aca="false">VLOOKUP(X4331,Sheet2!A:B,2,0)</f>
        <v>#N/A</v>
      </c>
      <c r="Z4331" s="17"/>
      <c r="AA4331" s="17"/>
      <c r="AC4331" s="23" t="str">
        <f aca="false">LEFT(G4331,2)</f>
        <v/>
      </c>
    </row>
    <row r="4332" customFormat="false" ht="15" hidden="false" customHeight="false" outlineLevel="0" collapsed="false">
      <c r="A4332" s="13" t="n">
        <f aca="false">1+A4331</f>
        <v>4330</v>
      </c>
      <c r="B4332" s="14" t="n">
        <v>100</v>
      </c>
      <c r="C4332" s="15"/>
      <c r="D4332" s="16" t="s">
        <v>64</v>
      </c>
      <c r="E4332" s="17" t="s">
        <v>47</v>
      </c>
      <c r="F4332" s="18" t="s">
        <v>34</v>
      </c>
      <c r="G4332" s="19"/>
      <c r="H4332" s="17" t="s">
        <v>35</v>
      </c>
      <c r="I4332" s="17" t="s">
        <v>44</v>
      </c>
      <c r="J4332" s="17"/>
      <c r="K4332" s="17" t="e">
        <f aca="false">VLOOKUP(J4332,Sheet2!A:B,2,0)</f>
        <v>#N/A</v>
      </c>
      <c r="L4332" s="17" t="n">
        <v>5</v>
      </c>
      <c r="M4332" s="17" t="str">
        <f aca="false">VLOOKUP(L4332,Sheet2!D:E,2,0)</f>
        <v>Main Processor CPU BGA</v>
      </c>
      <c r="N4332" s="17" t="n">
        <v>1</v>
      </c>
      <c r="O4332" s="17" t="str">
        <f aca="false">VLOOKUP(N4332,Sheet2!G:H,2,0)</f>
        <v>Dead</v>
      </c>
      <c r="P4332" s="17" t="n">
        <v>11</v>
      </c>
      <c r="Q4332" s="17" t="str">
        <f aca="false">VLOOKUP(P4332,Sheet2!J:K,2,0)</f>
        <v>IR Declared due to CID -TA</v>
      </c>
      <c r="R4332" s="17" t="s">
        <v>35</v>
      </c>
      <c r="S4332" s="17" t="str">
        <f aca="false">VLOOKUP(R4332,Sheet2!N:O,2,0)</f>
        <v>IREPARABLE</v>
      </c>
      <c r="T4332" s="18" t="str">
        <f aca="false">VLOOKUP(P4332,Sheet2!Q:R,2,0)</f>
        <v>IR Normal - Track burn out</v>
      </c>
      <c r="U4332" s="20" t="s">
        <v>41</v>
      </c>
      <c r="V4332" s="17"/>
      <c r="W4332" s="20" t="e">
        <f aca="false">VLOOKUP(V4332,Sheet2!Q:R,2,0)</f>
        <v>#N/A</v>
      </c>
      <c r="X4332" s="17" t="n">
        <f aca="false">J4332</f>
        <v>0</v>
      </c>
      <c r="Y4332" s="17" t="e">
        <f aca="false">VLOOKUP(X4332,Sheet2!A:B,2,0)</f>
        <v>#N/A</v>
      </c>
      <c r="Z4332" s="17"/>
      <c r="AA4332" s="17"/>
      <c r="AC4332" s="23" t="str">
        <f aca="false">LEFT(G4332,2)</f>
        <v/>
      </c>
    </row>
    <row r="4333" customFormat="false" ht="15" hidden="false" customHeight="false" outlineLevel="0" collapsed="false">
      <c r="A4333" s="13" t="n">
        <f aca="false">1+A4332</f>
        <v>4331</v>
      </c>
      <c r="B4333" s="14" t="n">
        <v>100</v>
      </c>
      <c r="C4333" s="15"/>
      <c r="D4333" s="16" t="s">
        <v>64</v>
      </c>
      <c r="E4333" s="17" t="s">
        <v>47</v>
      </c>
      <c r="F4333" s="18" t="s">
        <v>34</v>
      </c>
      <c r="G4333" s="19"/>
      <c r="H4333" s="17" t="s">
        <v>35</v>
      </c>
      <c r="I4333" s="17" t="s">
        <v>44</v>
      </c>
      <c r="J4333" s="17"/>
      <c r="K4333" s="17" t="e">
        <f aca="false">VLOOKUP(J4333,Sheet2!A:B,2,0)</f>
        <v>#N/A</v>
      </c>
      <c r="L4333" s="17" t="n">
        <v>5</v>
      </c>
      <c r="M4333" s="17" t="str">
        <f aca="false">VLOOKUP(L4333,Sheet2!D:E,2,0)</f>
        <v>Main Processor CPU BGA</v>
      </c>
      <c r="N4333" s="17" t="n">
        <v>1</v>
      </c>
      <c r="O4333" s="17" t="str">
        <f aca="false">VLOOKUP(N4333,Sheet2!G:H,2,0)</f>
        <v>Dead</v>
      </c>
      <c r="P4333" s="17" t="n">
        <v>11</v>
      </c>
      <c r="Q4333" s="17" t="str">
        <f aca="false">VLOOKUP(P4333,Sheet2!J:K,2,0)</f>
        <v>IR Declared due to CID -TA</v>
      </c>
      <c r="R4333" s="17" t="s">
        <v>35</v>
      </c>
      <c r="S4333" s="17" t="str">
        <f aca="false">VLOOKUP(R4333,Sheet2!N:O,2,0)</f>
        <v>IREPARABLE</v>
      </c>
      <c r="T4333" s="18" t="str">
        <f aca="false">VLOOKUP(P4333,Sheet2!Q:R,2,0)</f>
        <v>IR Normal - Track burn out</v>
      </c>
      <c r="U4333" s="20" t="s">
        <v>41</v>
      </c>
      <c r="V4333" s="17"/>
      <c r="W4333" s="20" t="e">
        <f aca="false">VLOOKUP(V4333,Sheet2!Q:R,2,0)</f>
        <v>#N/A</v>
      </c>
      <c r="X4333" s="17" t="n">
        <f aca="false">J4333</f>
        <v>0</v>
      </c>
      <c r="Y4333" s="17" t="e">
        <f aca="false">VLOOKUP(X4333,Sheet2!A:B,2,0)</f>
        <v>#N/A</v>
      </c>
      <c r="Z4333" s="17"/>
      <c r="AA4333" s="17"/>
      <c r="AC4333" s="23" t="str">
        <f aca="false">LEFT(G4333,2)</f>
        <v/>
      </c>
    </row>
    <row r="4334" customFormat="false" ht="15" hidden="false" customHeight="false" outlineLevel="0" collapsed="false">
      <c r="A4334" s="13" t="n">
        <f aca="false">1+A4333</f>
        <v>4332</v>
      </c>
      <c r="B4334" s="14" t="n">
        <v>100</v>
      </c>
      <c r="C4334" s="15"/>
      <c r="D4334" s="16" t="s">
        <v>64</v>
      </c>
      <c r="E4334" s="17" t="s">
        <v>47</v>
      </c>
      <c r="F4334" s="18" t="s">
        <v>34</v>
      </c>
      <c r="G4334" s="19"/>
      <c r="H4334" s="17" t="s">
        <v>35</v>
      </c>
      <c r="I4334" s="17" t="s">
        <v>44</v>
      </c>
      <c r="J4334" s="17"/>
      <c r="K4334" s="17" t="e">
        <f aca="false">VLOOKUP(J4334,Sheet2!A:B,2,0)</f>
        <v>#N/A</v>
      </c>
      <c r="L4334" s="17" t="n">
        <v>5</v>
      </c>
      <c r="M4334" s="17" t="str">
        <f aca="false">VLOOKUP(L4334,Sheet2!D:E,2,0)</f>
        <v>Main Processor CPU BGA</v>
      </c>
      <c r="N4334" s="17" t="n">
        <v>1</v>
      </c>
      <c r="O4334" s="17" t="str">
        <f aca="false">VLOOKUP(N4334,Sheet2!G:H,2,0)</f>
        <v>Dead</v>
      </c>
      <c r="P4334" s="17" t="n">
        <v>11</v>
      </c>
      <c r="Q4334" s="17" t="str">
        <f aca="false">VLOOKUP(P4334,Sheet2!J:K,2,0)</f>
        <v>IR Declared due to CID -TA</v>
      </c>
      <c r="R4334" s="17" t="s">
        <v>35</v>
      </c>
      <c r="S4334" s="17" t="str">
        <f aca="false">VLOOKUP(R4334,Sheet2!N:O,2,0)</f>
        <v>IREPARABLE</v>
      </c>
      <c r="T4334" s="18" t="str">
        <f aca="false">VLOOKUP(P4334,Sheet2!Q:R,2,0)</f>
        <v>IR Normal - Track burn out</v>
      </c>
      <c r="U4334" s="20" t="s">
        <v>41</v>
      </c>
      <c r="V4334" s="17"/>
      <c r="W4334" s="20" t="e">
        <f aca="false">VLOOKUP(V4334,Sheet2!Q:R,2,0)</f>
        <v>#N/A</v>
      </c>
      <c r="X4334" s="17" t="n">
        <f aca="false">J4334</f>
        <v>0</v>
      </c>
      <c r="Y4334" s="17" t="e">
        <f aca="false">VLOOKUP(X4334,Sheet2!A:B,2,0)</f>
        <v>#N/A</v>
      </c>
      <c r="Z4334" s="17"/>
      <c r="AA4334" s="17"/>
      <c r="AC4334" s="23" t="str">
        <f aca="false">LEFT(G4334,2)</f>
        <v/>
      </c>
    </row>
    <row r="4335" customFormat="false" ht="15" hidden="false" customHeight="false" outlineLevel="0" collapsed="false">
      <c r="A4335" s="13" t="n">
        <f aca="false">1+A4334</f>
        <v>4333</v>
      </c>
      <c r="B4335" s="14" t="n">
        <v>100</v>
      </c>
      <c r="C4335" s="15"/>
      <c r="D4335" s="16" t="s">
        <v>64</v>
      </c>
      <c r="E4335" s="17" t="s">
        <v>47</v>
      </c>
      <c r="F4335" s="18" t="s">
        <v>34</v>
      </c>
      <c r="G4335" s="19"/>
      <c r="H4335" s="17" t="s">
        <v>35</v>
      </c>
      <c r="I4335" s="17" t="s">
        <v>44</v>
      </c>
      <c r="J4335" s="17"/>
      <c r="K4335" s="17" t="e">
        <f aca="false">VLOOKUP(J4335,Sheet2!A:B,2,0)</f>
        <v>#N/A</v>
      </c>
      <c r="L4335" s="17" t="n">
        <v>5</v>
      </c>
      <c r="M4335" s="17" t="str">
        <f aca="false">VLOOKUP(L4335,Sheet2!D:E,2,0)</f>
        <v>Main Processor CPU BGA</v>
      </c>
      <c r="N4335" s="17" t="n">
        <v>1</v>
      </c>
      <c r="O4335" s="17" t="str">
        <f aca="false">VLOOKUP(N4335,Sheet2!G:H,2,0)</f>
        <v>Dead</v>
      </c>
      <c r="P4335" s="17" t="n">
        <v>11</v>
      </c>
      <c r="Q4335" s="17" t="str">
        <f aca="false">VLOOKUP(P4335,Sheet2!J:K,2,0)</f>
        <v>IR Declared due to CID -TA</v>
      </c>
      <c r="R4335" s="17" t="s">
        <v>35</v>
      </c>
      <c r="S4335" s="17" t="str">
        <f aca="false">VLOOKUP(R4335,Sheet2!N:O,2,0)</f>
        <v>IREPARABLE</v>
      </c>
      <c r="T4335" s="18" t="str">
        <f aca="false">VLOOKUP(P4335,Sheet2!Q:R,2,0)</f>
        <v>IR Normal - Track burn out</v>
      </c>
      <c r="U4335" s="20" t="s">
        <v>41</v>
      </c>
      <c r="V4335" s="17"/>
      <c r="W4335" s="20" t="e">
        <f aca="false">VLOOKUP(V4335,Sheet2!Q:R,2,0)</f>
        <v>#N/A</v>
      </c>
      <c r="X4335" s="17" t="n">
        <f aca="false">J4335</f>
        <v>0</v>
      </c>
      <c r="Y4335" s="17" t="e">
        <f aca="false">VLOOKUP(X4335,Sheet2!A:B,2,0)</f>
        <v>#N/A</v>
      </c>
      <c r="Z4335" s="17"/>
      <c r="AA4335" s="17"/>
      <c r="AC4335" s="23" t="str">
        <f aca="false">LEFT(G4335,2)</f>
        <v/>
      </c>
    </row>
    <row r="4336" customFormat="false" ht="15" hidden="false" customHeight="false" outlineLevel="0" collapsed="false">
      <c r="A4336" s="13" t="n">
        <f aca="false">1+A4335</f>
        <v>4334</v>
      </c>
      <c r="B4336" s="14" t="n">
        <v>100</v>
      </c>
      <c r="C4336" s="15"/>
      <c r="D4336" s="16" t="s">
        <v>64</v>
      </c>
      <c r="E4336" s="17" t="s">
        <v>47</v>
      </c>
      <c r="F4336" s="18" t="s">
        <v>34</v>
      </c>
      <c r="G4336" s="19"/>
      <c r="H4336" s="17" t="s">
        <v>35</v>
      </c>
      <c r="I4336" s="17" t="s">
        <v>44</v>
      </c>
      <c r="J4336" s="17"/>
      <c r="K4336" s="17" t="e">
        <f aca="false">VLOOKUP(J4336,Sheet2!A:B,2,0)</f>
        <v>#N/A</v>
      </c>
      <c r="L4336" s="17" t="n">
        <v>5</v>
      </c>
      <c r="M4336" s="17" t="str">
        <f aca="false">VLOOKUP(L4336,Sheet2!D:E,2,0)</f>
        <v>Main Processor CPU BGA</v>
      </c>
      <c r="N4336" s="17" t="n">
        <v>1</v>
      </c>
      <c r="O4336" s="17" t="str">
        <f aca="false">VLOOKUP(N4336,Sheet2!G:H,2,0)</f>
        <v>Dead</v>
      </c>
      <c r="P4336" s="17" t="n">
        <v>11</v>
      </c>
      <c r="Q4336" s="17" t="str">
        <f aca="false">VLOOKUP(P4336,Sheet2!J:K,2,0)</f>
        <v>IR Declared due to CID -TA</v>
      </c>
      <c r="R4336" s="17" t="s">
        <v>35</v>
      </c>
      <c r="S4336" s="17" t="str">
        <f aca="false">VLOOKUP(R4336,Sheet2!N:O,2,0)</f>
        <v>IREPARABLE</v>
      </c>
      <c r="T4336" s="18" t="str">
        <f aca="false">VLOOKUP(P4336,Sheet2!Q:R,2,0)</f>
        <v>IR Normal - Track burn out</v>
      </c>
      <c r="U4336" s="20" t="s">
        <v>41</v>
      </c>
      <c r="V4336" s="17"/>
      <c r="W4336" s="20" t="e">
        <f aca="false">VLOOKUP(V4336,Sheet2!Q:R,2,0)</f>
        <v>#N/A</v>
      </c>
      <c r="X4336" s="17" t="n">
        <f aca="false">J4336</f>
        <v>0</v>
      </c>
      <c r="Y4336" s="17" t="e">
        <f aca="false">VLOOKUP(X4336,Sheet2!A:B,2,0)</f>
        <v>#N/A</v>
      </c>
      <c r="Z4336" s="17"/>
      <c r="AA4336" s="17"/>
      <c r="AC4336" s="23" t="str">
        <f aca="false">LEFT(G4336,2)</f>
        <v/>
      </c>
    </row>
    <row r="4337" customFormat="false" ht="15" hidden="false" customHeight="false" outlineLevel="0" collapsed="false">
      <c r="A4337" s="13" t="n">
        <f aca="false">1+A4336</f>
        <v>4335</v>
      </c>
      <c r="B4337" s="14" t="n">
        <v>100</v>
      </c>
      <c r="C4337" s="15"/>
      <c r="D4337" s="16" t="s">
        <v>64</v>
      </c>
      <c r="E4337" s="17" t="s">
        <v>47</v>
      </c>
      <c r="F4337" s="18" t="s">
        <v>34</v>
      </c>
      <c r="G4337" s="19"/>
      <c r="H4337" s="17" t="s">
        <v>35</v>
      </c>
      <c r="I4337" s="17" t="s">
        <v>44</v>
      </c>
      <c r="J4337" s="17"/>
      <c r="K4337" s="17" t="e">
        <f aca="false">VLOOKUP(J4337,Sheet2!A:B,2,0)</f>
        <v>#N/A</v>
      </c>
      <c r="L4337" s="17" t="n">
        <v>5</v>
      </c>
      <c r="M4337" s="17" t="str">
        <f aca="false">VLOOKUP(L4337,Sheet2!D:E,2,0)</f>
        <v>Main Processor CPU BGA</v>
      </c>
      <c r="N4337" s="17" t="n">
        <v>1</v>
      </c>
      <c r="O4337" s="17" t="str">
        <f aca="false">VLOOKUP(N4337,Sheet2!G:H,2,0)</f>
        <v>Dead</v>
      </c>
      <c r="P4337" s="17" t="n">
        <v>11</v>
      </c>
      <c r="Q4337" s="17" t="str">
        <f aca="false">VLOOKUP(P4337,Sheet2!J:K,2,0)</f>
        <v>IR Declared due to CID -TA</v>
      </c>
      <c r="R4337" s="17" t="s">
        <v>35</v>
      </c>
      <c r="S4337" s="17" t="str">
        <f aca="false">VLOOKUP(R4337,Sheet2!N:O,2,0)</f>
        <v>IREPARABLE</v>
      </c>
      <c r="T4337" s="18" t="str">
        <f aca="false">VLOOKUP(P4337,Sheet2!Q:R,2,0)</f>
        <v>IR Normal - Track burn out</v>
      </c>
      <c r="U4337" s="20" t="s">
        <v>41</v>
      </c>
      <c r="V4337" s="17"/>
      <c r="W4337" s="20" t="e">
        <f aca="false">VLOOKUP(V4337,Sheet2!Q:R,2,0)</f>
        <v>#N/A</v>
      </c>
      <c r="X4337" s="17" t="n">
        <f aca="false">J4337</f>
        <v>0</v>
      </c>
      <c r="Y4337" s="17" t="e">
        <f aca="false">VLOOKUP(X4337,Sheet2!A:B,2,0)</f>
        <v>#N/A</v>
      </c>
      <c r="Z4337" s="17"/>
      <c r="AA4337" s="17"/>
      <c r="AC4337" s="23" t="str">
        <f aca="false">LEFT(G4337,2)</f>
        <v/>
      </c>
    </row>
    <row r="4338" customFormat="false" ht="15" hidden="false" customHeight="false" outlineLevel="0" collapsed="false">
      <c r="A4338" s="13" t="n">
        <f aca="false">1+A4337</f>
        <v>4336</v>
      </c>
      <c r="B4338" s="14" t="n">
        <v>100</v>
      </c>
      <c r="C4338" s="15"/>
      <c r="D4338" s="16" t="s">
        <v>64</v>
      </c>
      <c r="E4338" s="17" t="s">
        <v>47</v>
      </c>
      <c r="F4338" s="18" t="s">
        <v>34</v>
      </c>
      <c r="G4338" s="19"/>
      <c r="H4338" s="17" t="s">
        <v>35</v>
      </c>
      <c r="I4338" s="17" t="s">
        <v>44</v>
      </c>
      <c r="J4338" s="17"/>
      <c r="K4338" s="17" t="e">
        <f aca="false">VLOOKUP(J4338,Sheet2!A:B,2,0)</f>
        <v>#N/A</v>
      </c>
      <c r="L4338" s="17" t="n">
        <v>5</v>
      </c>
      <c r="M4338" s="17" t="str">
        <f aca="false">VLOOKUP(L4338,Sheet2!D:E,2,0)</f>
        <v>Main Processor CPU BGA</v>
      </c>
      <c r="N4338" s="17" t="n">
        <v>1</v>
      </c>
      <c r="O4338" s="17" t="str">
        <f aca="false">VLOOKUP(N4338,Sheet2!G:H,2,0)</f>
        <v>Dead</v>
      </c>
      <c r="P4338" s="17" t="n">
        <v>11</v>
      </c>
      <c r="Q4338" s="17" t="str">
        <f aca="false">VLOOKUP(P4338,Sheet2!J:K,2,0)</f>
        <v>IR Declared due to CID -TA</v>
      </c>
      <c r="R4338" s="17" t="s">
        <v>35</v>
      </c>
      <c r="S4338" s="17" t="str">
        <f aca="false">VLOOKUP(R4338,Sheet2!N:O,2,0)</f>
        <v>IREPARABLE</v>
      </c>
      <c r="T4338" s="18" t="str">
        <f aca="false">VLOOKUP(P4338,Sheet2!Q:R,2,0)</f>
        <v>IR Normal - Track burn out</v>
      </c>
      <c r="U4338" s="20" t="s">
        <v>41</v>
      </c>
      <c r="V4338" s="17"/>
      <c r="W4338" s="20" t="e">
        <f aca="false">VLOOKUP(V4338,Sheet2!Q:R,2,0)</f>
        <v>#N/A</v>
      </c>
      <c r="X4338" s="17" t="n">
        <f aca="false">J4338</f>
        <v>0</v>
      </c>
      <c r="Y4338" s="17" t="e">
        <f aca="false">VLOOKUP(X4338,Sheet2!A:B,2,0)</f>
        <v>#N/A</v>
      </c>
      <c r="Z4338" s="17"/>
      <c r="AA4338" s="17"/>
      <c r="AC4338" s="23" t="str">
        <f aca="false">LEFT(G4338,2)</f>
        <v/>
      </c>
    </row>
    <row r="4339" customFormat="false" ht="15" hidden="false" customHeight="false" outlineLevel="0" collapsed="false">
      <c r="A4339" s="13" t="n">
        <f aca="false">1+A4338</f>
        <v>4337</v>
      </c>
      <c r="B4339" s="14" t="n">
        <v>100</v>
      </c>
      <c r="C4339" s="15"/>
      <c r="D4339" s="16" t="s">
        <v>64</v>
      </c>
      <c r="E4339" s="17" t="s">
        <v>47</v>
      </c>
      <c r="F4339" s="18" t="s">
        <v>34</v>
      </c>
      <c r="G4339" s="19"/>
      <c r="H4339" s="17" t="s">
        <v>35</v>
      </c>
      <c r="I4339" s="17" t="s">
        <v>44</v>
      </c>
      <c r="J4339" s="17"/>
      <c r="K4339" s="17" t="e">
        <f aca="false">VLOOKUP(J4339,Sheet2!A:B,2,0)</f>
        <v>#N/A</v>
      </c>
      <c r="L4339" s="17" t="n">
        <v>5</v>
      </c>
      <c r="M4339" s="17" t="str">
        <f aca="false">VLOOKUP(L4339,Sheet2!D:E,2,0)</f>
        <v>Main Processor CPU BGA</v>
      </c>
      <c r="N4339" s="17" t="n">
        <v>1</v>
      </c>
      <c r="O4339" s="17" t="str">
        <f aca="false">VLOOKUP(N4339,Sheet2!G:H,2,0)</f>
        <v>Dead</v>
      </c>
      <c r="P4339" s="17" t="n">
        <v>11</v>
      </c>
      <c r="Q4339" s="17" t="str">
        <f aca="false">VLOOKUP(P4339,Sheet2!J:K,2,0)</f>
        <v>IR Declared due to CID -TA</v>
      </c>
      <c r="R4339" s="17" t="s">
        <v>35</v>
      </c>
      <c r="S4339" s="17" t="str">
        <f aca="false">VLOOKUP(R4339,Sheet2!N:O,2,0)</f>
        <v>IREPARABLE</v>
      </c>
      <c r="T4339" s="18" t="str">
        <f aca="false">VLOOKUP(P4339,Sheet2!Q:R,2,0)</f>
        <v>IR Normal - Track burn out</v>
      </c>
      <c r="U4339" s="20" t="s">
        <v>41</v>
      </c>
      <c r="V4339" s="17"/>
      <c r="W4339" s="20" t="e">
        <f aca="false">VLOOKUP(V4339,Sheet2!Q:R,2,0)</f>
        <v>#N/A</v>
      </c>
      <c r="X4339" s="17" t="n">
        <f aca="false">J4339</f>
        <v>0</v>
      </c>
      <c r="Y4339" s="17" t="e">
        <f aca="false">VLOOKUP(X4339,Sheet2!A:B,2,0)</f>
        <v>#N/A</v>
      </c>
      <c r="Z4339" s="17"/>
      <c r="AA4339" s="17"/>
      <c r="AC4339" s="23" t="str">
        <f aca="false">LEFT(G4339,2)</f>
        <v/>
      </c>
    </row>
    <row r="4340" customFormat="false" ht="15" hidden="false" customHeight="false" outlineLevel="0" collapsed="false">
      <c r="A4340" s="13" t="n">
        <f aca="false">1+A4339</f>
        <v>4338</v>
      </c>
      <c r="B4340" s="14" t="n">
        <v>100</v>
      </c>
      <c r="C4340" s="15"/>
      <c r="D4340" s="16" t="s">
        <v>64</v>
      </c>
      <c r="E4340" s="17" t="s">
        <v>47</v>
      </c>
      <c r="F4340" s="18" t="s">
        <v>34</v>
      </c>
      <c r="G4340" s="19"/>
      <c r="H4340" s="17" t="s">
        <v>35</v>
      </c>
      <c r="I4340" s="17" t="s">
        <v>44</v>
      </c>
      <c r="J4340" s="17"/>
      <c r="K4340" s="17" t="e">
        <f aca="false">VLOOKUP(J4340,Sheet2!A:B,2,0)</f>
        <v>#N/A</v>
      </c>
      <c r="L4340" s="17" t="n">
        <v>5</v>
      </c>
      <c r="M4340" s="17" t="str">
        <f aca="false">VLOOKUP(L4340,Sheet2!D:E,2,0)</f>
        <v>Main Processor CPU BGA</v>
      </c>
      <c r="N4340" s="17" t="n">
        <v>1</v>
      </c>
      <c r="O4340" s="17" t="str">
        <f aca="false">VLOOKUP(N4340,Sheet2!G:H,2,0)</f>
        <v>Dead</v>
      </c>
      <c r="P4340" s="17" t="n">
        <v>11</v>
      </c>
      <c r="Q4340" s="17" t="str">
        <f aca="false">VLOOKUP(P4340,Sheet2!J:K,2,0)</f>
        <v>IR Declared due to CID -TA</v>
      </c>
      <c r="R4340" s="17" t="s">
        <v>35</v>
      </c>
      <c r="S4340" s="17" t="str">
        <f aca="false">VLOOKUP(R4340,Sheet2!N:O,2,0)</f>
        <v>IREPARABLE</v>
      </c>
      <c r="T4340" s="18" t="str">
        <f aca="false">VLOOKUP(P4340,Sheet2!Q:R,2,0)</f>
        <v>IR Normal - Track burn out</v>
      </c>
      <c r="U4340" s="20" t="s">
        <v>41</v>
      </c>
      <c r="V4340" s="17"/>
      <c r="W4340" s="20" t="e">
        <f aca="false">VLOOKUP(V4340,Sheet2!Q:R,2,0)</f>
        <v>#N/A</v>
      </c>
      <c r="X4340" s="17" t="n">
        <f aca="false">J4340</f>
        <v>0</v>
      </c>
      <c r="Y4340" s="17" t="e">
        <f aca="false">VLOOKUP(X4340,Sheet2!A:B,2,0)</f>
        <v>#N/A</v>
      </c>
      <c r="Z4340" s="17"/>
      <c r="AA4340" s="17"/>
      <c r="AC4340" s="23" t="str">
        <f aca="false">LEFT(G4340,2)</f>
        <v/>
      </c>
    </row>
    <row r="4341" customFormat="false" ht="15" hidden="false" customHeight="false" outlineLevel="0" collapsed="false">
      <c r="A4341" s="13" t="n">
        <f aca="false">1+A4340</f>
        <v>4339</v>
      </c>
      <c r="B4341" s="14" t="n">
        <v>100</v>
      </c>
      <c r="C4341" s="15"/>
      <c r="D4341" s="16" t="s">
        <v>64</v>
      </c>
      <c r="E4341" s="17" t="s">
        <v>47</v>
      </c>
      <c r="F4341" s="18" t="s">
        <v>34</v>
      </c>
      <c r="G4341" s="19"/>
      <c r="H4341" s="17" t="s">
        <v>35</v>
      </c>
      <c r="I4341" s="17" t="s">
        <v>44</v>
      </c>
      <c r="J4341" s="17"/>
      <c r="K4341" s="17" t="e">
        <f aca="false">VLOOKUP(J4341,Sheet2!A:B,2,0)</f>
        <v>#N/A</v>
      </c>
      <c r="L4341" s="17" t="n">
        <v>5</v>
      </c>
      <c r="M4341" s="17" t="str">
        <f aca="false">VLOOKUP(L4341,Sheet2!D:E,2,0)</f>
        <v>Main Processor CPU BGA</v>
      </c>
      <c r="N4341" s="17" t="n">
        <v>1</v>
      </c>
      <c r="O4341" s="17" t="str">
        <f aca="false">VLOOKUP(N4341,Sheet2!G:H,2,0)</f>
        <v>Dead</v>
      </c>
      <c r="P4341" s="17" t="n">
        <v>11</v>
      </c>
      <c r="Q4341" s="17" t="str">
        <f aca="false">VLOOKUP(P4341,Sheet2!J:K,2,0)</f>
        <v>IR Declared due to CID -TA</v>
      </c>
      <c r="R4341" s="17" t="s">
        <v>35</v>
      </c>
      <c r="S4341" s="17" t="str">
        <f aca="false">VLOOKUP(R4341,Sheet2!N:O,2,0)</f>
        <v>IREPARABLE</v>
      </c>
      <c r="T4341" s="18" t="str">
        <f aca="false">VLOOKUP(P4341,Sheet2!Q:R,2,0)</f>
        <v>IR Normal - Track burn out</v>
      </c>
      <c r="U4341" s="20" t="s">
        <v>41</v>
      </c>
      <c r="V4341" s="17"/>
      <c r="W4341" s="20" t="e">
        <f aca="false">VLOOKUP(V4341,Sheet2!Q:R,2,0)</f>
        <v>#N/A</v>
      </c>
      <c r="X4341" s="17" t="n">
        <f aca="false">J4341</f>
        <v>0</v>
      </c>
      <c r="Y4341" s="17" t="e">
        <f aca="false">VLOOKUP(X4341,Sheet2!A:B,2,0)</f>
        <v>#N/A</v>
      </c>
      <c r="Z4341" s="17"/>
      <c r="AA4341" s="17"/>
      <c r="AC4341" s="23" t="str">
        <f aca="false">LEFT(G4341,2)</f>
        <v/>
      </c>
    </row>
    <row r="4342" customFormat="false" ht="15" hidden="false" customHeight="false" outlineLevel="0" collapsed="false">
      <c r="A4342" s="13" t="n">
        <f aca="false">1+A4341</f>
        <v>4340</v>
      </c>
      <c r="B4342" s="14" t="n">
        <v>100</v>
      </c>
      <c r="C4342" s="15"/>
      <c r="D4342" s="16" t="s">
        <v>64</v>
      </c>
      <c r="E4342" s="17" t="s">
        <v>47</v>
      </c>
      <c r="F4342" s="18" t="s">
        <v>34</v>
      </c>
      <c r="G4342" s="19"/>
      <c r="H4342" s="17" t="s">
        <v>35</v>
      </c>
      <c r="I4342" s="17" t="s">
        <v>44</v>
      </c>
      <c r="J4342" s="17"/>
      <c r="K4342" s="17" t="e">
        <f aca="false">VLOOKUP(J4342,Sheet2!A:B,2,0)</f>
        <v>#N/A</v>
      </c>
      <c r="L4342" s="17" t="n">
        <v>5</v>
      </c>
      <c r="M4342" s="17" t="str">
        <f aca="false">VLOOKUP(L4342,Sheet2!D:E,2,0)</f>
        <v>Main Processor CPU BGA</v>
      </c>
      <c r="N4342" s="17" t="n">
        <v>1</v>
      </c>
      <c r="O4342" s="17" t="str">
        <f aca="false">VLOOKUP(N4342,Sheet2!G:H,2,0)</f>
        <v>Dead</v>
      </c>
      <c r="P4342" s="17" t="n">
        <v>11</v>
      </c>
      <c r="Q4342" s="17" t="str">
        <f aca="false">VLOOKUP(P4342,Sheet2!J:K,2,0)</f>
        <v>IR Declared due to CID -TA</v>
      </c>
      <c r="R4342" s="17" t="s">
        <v>35</v>
      </c>
      <c r="S4342" s="17" t="str">
        <f aca="false">VLOOKUP(R4342,Sheet2!N:O,2,0)</f>
        <v>IREPARABLE</v>
      </c>
      <c r="T4342" s="18" t="str">
        <f aca="false">VLOOKUP(P4342,Sheet2!Q:R,2,0)</f>
        <v>IR Normal - Track burn out</v>
      </c>
      <c r="U4342" s="20" t="s">
        <v>41</v>
      </c>
      <c r="V4342" s="17"/>
      <c r="W4342" s="20" t="e">
        <f aca="false">VLOOKUP(V4342,Sheet2!Q:R,2,0)</f>
        <v>#N/A</v>
      </c>
      <c r="X4342" s="17" t="n">
        <f aca="false">J4342</f>
        <v>0</v>
      </c>
      <c r="Y4342" s="17" t="e">
        <f aca="false">VLOOKUP(X4342,Sheet2!A:B,2,0)</f>
        <v>#N/A</v>
      </c>
      <c r="Z4342" s="17"/>
      <c r="AA4342" s="17"/>
      <c r="AC4342" s="23" t="str">
        <f aca="false">LEFT(G4342,2)</f>
        <v/>
      </c>
    </row>
    <row r="4343" customFormat="false" ht="15" hidden="false" customHeight="false" outlineLevel="0" collapsed="false">
      <c r="A4343" s="13" t="n">
        <f aca="false">1+A4342</f>
        <v>4341</v>
      </c>
      <c r="B4343" s="14" t="n">
        <v>100</v>
      </c>
      <c r="C4343" s="15"/>
      <c r="D4343" s="16" t="s">
        <v>64</v>
      </c>
      <c r="E4343" s="17" t="s">
        <v>47</v>
      </c>
      <c r="F4343" s="18" t="s">
        <v>34</v>
      </c>
      <c r="G4343" s="19"/>
      <c r="H4343" s="17" t="s">
        <v>35</v>
      </c>
      <c r="I4343" s="17" t="s">
        <v>44</v>
      </c>
      <c r="J4343" s="17"/>
      <c r="K4343" s="17" t="e">
        <f aca="false">VLOOKUP(J4343,Sheet2!A:B,2,0)</f>
        <v>#N/A</v>
      </c>
      <c r="L4343" s="17" t="n">
        <v>5</v>
      </c>
      <c r="M4343" s="17" t="str">
        <f aca="false">VLOOKUP(L4343,Sheet2!D:E,2,0)</f>
        <v>Main Processor CPU BGA</v>
      </c>
      <c r="N4343" s="17" t="n">
        <v>1</v>
      </c>
      <c r="O4343" s="17" t="str">
        <f aca="false">VLOOKUP(N4343,Sheet2!G:H,2,0)</f>
        <v>Dead</v>
      </c>
      <c r="P4343" s="17" t="n">
        <v>11</v>
      </c>
      <c r="Q4343" s="17" t="str">
        <f aca="false">VLOOKUP(P4343,Sheet2!J:K,2,0)</f>
        <v>IR Declared due to CID -TA</v>
      </c>
      <c r="R4343" s="17" t="s">
        <v>35</v>
      </c>
      <c r="S4343" s="17" t="str">
        <f aca="false">VLOOKUP(R4343,Sheet2!N:O,2,0)</f>
        <v>IREPARABLE</v>
      </c>
      <c r="T4343" s="18" t="str">
        <f aca="false">VLOOKUP(P4343,Sheet2!Q:R,2,0)</f>
        <v>IR Normal - Track burn out</v>
      </c>
      <c r="U4343" s="20" t="s">
        <v>41</v>
      </c>
      <c r="V4343" s="17"/>
      <c r="W4343" s="20" t="e">
        <f aca="false">VLOOKUP(V4343,Sheet2!Q:R,2,0)</f>
        <v>#N/A</v>
      </c>
      <c r="X4343" s="17" t="n">
        <f aca="false">J4343</f>
        <v>0</v>
      </c>
      <c r="Y4343" s="17" t="e">
        <f aca="false">VLOOKUP(X4343,Sheet2!A:B,2,0)</f>
        <v>#N/A</v>
      </c>
      <c r="Z4343" s="17"/>
      <c r="AA4343" s="17"/>
      <c r="AC4343" s="23" t="str">
        <f aca="false">LEFT(G4343,2)</f>
        <v/>
      </c>
    </row>
    <row r="4344" customFormat="false" ht="15" hidden="false" customHeight="false" outlineLevel="0" collapsed="false">
      <c r="A4344" s="13" t="n">
        <f aca="false">1+A4343</f>
        <v>4342</v>
      </c>
      <c r="B4344" s="14" t="n">
        <v>100</v>
      </c>
      <c r="C4344" s="15"/>
      <c r="D4344" s="16" t="s">
        <v>64</v>
      </c>
      <c r="E4344" s="17" t="s">
        <v>47</v>
      </c>
      <c r="F4344" s="18" t="s">
        <v>34</v>
      </c>
      <c r="G4344" s="19"/>
      <c r="H4344" s="17" t="s">
        <v>35</v>
      </c>
      <c r="I4344" s="17" t="s">
        <v>44</v>
      </c>
      <c r="J4344" s="17"/>
      <c r="K4344" s="17" t="e">
        <f aca="false">VLOOKUP(J4344,Sheet2!A:B,2,0)</f>
        <v>#N/A</v>
      </c>
      <c r="L4344" s="17" t="n">
        <v>5</v>
      </c>
      <c r="M4344" s="17" t="str">
        <f aca="false">VLOOKUP(L4344,Sheet2!D:E,2,0)</f>
        <v>Main Processor CPU BGA</v>
      </c>
      <c r="N4344" s="17" t="n">
        <v>1</v>
      </c>
      <c r="O4344" s="17" t="str">
        <f aca="false">VLOOKUP(N4344,Sheet2!G:H,2,0)</f>
        <v>Dead</v>
      </c>
      <c r="P4344" s="17" t="n">
        <v>11</v>
      </c>
      <c r="Q4344" s="17" t="str">
        <f aca="false">VLOOKUP(P4344,Sheet2!J:K,2,0)</f>
        <v>IR Declared due to CID -TA</v>
      </c>
      <c r="R4344" s="17" t="s">
        <v>35</v>
      </c>
      <c r="S4344" s="17" t="str">
        <f aca="false">VLOOKUP(R4344,Sheet2!N:O,2,0)</f>
        <v>IREPARABLE</v>
      </c>
      <c r="T4344" s="18" t="str">
        <f aca="false">VLOOKUP(P4344,Sheet2!Q:R,2,0)</f>
        <v>IR Normal - Track burn out</v>
      </c>
      <c r="U4344" s="20" t="s">
        <v>41</v>
      </c>
      <c r="V4344" s="17"/>
      <c r="W4344" s="20" t="e">
        <f aca="false">VLOOKUP(V4344,Sheet2!Q:R,2,0)</f>
        <v>#N/A</v>
      </c>
      <c r="X4344" s="17" t="n">
        <f aca="false">J4344</f>
        <v>0</v>
      </c>
      <c r="Y4344" s="17" t="e">
        <f aca="false">VLOOKUP(X4344,Sheet2!A:B,2,0)</f>
        <v>#N/A</v>
      </c>
      <c r="Z4344" s="17"/>
      <c r="AA4344" s="17"/>
      <c r="AC4344" s="23" t="str">
        <f aca="false">LEFT(G4344,2)</f>
        <v/>
      </c>
    </row>
    <row r="4345" customFormat="false" ht="15" hidden="false" customHeight="false" outlineLevel="0" collapsed="false">
      <c r="A4345" s="13" t="n">
        <f aca="false">1+A4344</f>
        <v>4343</v>
      </c>
      <c r="B4345" s="14" t="n">
        <v>100</v>
      </c>
      <c r="C4345" s="15"/>
      <c r="D4345" s="16" t="s">
        <v>64</v>
      </c>
      <c r="E4345" s="17" t="s">
        <v>47</v>
      </c>
      <c r="F4345" s="18" t="s">
        <v>34</v>
      </c>
      <c r="G4345" s="19"/>
      <c r="H4345" s="17" t="s">
        <v>35</v>
      </c>
      <c r="I4345" s="17" t="s">
        <v>44</v>
      </c>
      <c r="J4345" s="17"/>
      <c r="K4345" s="17" t="e">
        <f aca="false">VLOOKUP(J4345,Sheet2!A:B,2,0)</f>
        <v>#N/A</v>
      </c>
      <c r="L4345" s="17" t="n">
        <v>5</v>
      </c>
      <c r="M4345" s="17" t="str">
        <f aca="false">VLOOKUP(L4345,Sheet2!D:E,2,0)</f>
        <v>Main Processor CPU BGA</v>
      </c>
      <c r="N4345" s="17" t="n">
        <v>1</v>
      </c>
      <c r="O4345" s="17" t="str">
        <f aca="false">VLOOKUP(N4345,Sheet2!G:H,2,0)</f>
        <v>Dead</v>
      </c>
      <c r="P4345" s="17" t="n">
        <v>11</v>
      </c>
      <c r="Q4345" s="17" t="str">
        <f aca="false">VLOOKUP(P4345,Sheet2!J:K,2,0)</f>
        <v>IR Declared due to CID -TA</v>
      </c>
      <c r="R4345" s="17" t="s">
        <v>35</v>
      </c>
      <c r="S4345" s="17" t="str">
        <f aca="false">VLOOKUP(R4345,Sheet2!N:O,2,0)</f>
        <v>IREPARABLE</v>
      </c>
      <c r="T4345" s="18" t="str">
        <f aca="false">VLOOKUP(P4345,Sheet2!Q:R,2,0)</f>
        <v>IR Normal - Track burn out</v>
      </c>
      <c r="U4345" s="20" t="s">
        <v>41</v>
      </c>
      <c r="V4345" s="17"/>
      <c r="W4345" s="20" t="e">
        <f aca="false">VLOOKUP(V4345,Sheet2!Q:R,2,0)</f>
        <v>#N/A</v>
      </c>
      <c r="X4345" s="17" t="n">
        <f aca="false">J4345</f>
        <v>0</v>
      </c>
      <c r="Y4345" s="17" t="e">
        <f aca="false">VLOOKUP(X4345,Sheet2!A:B,2,0)</f>
        <v>#N/A</v>
      </c>
      <c r="Z4345" s="17"/>
      <c r="AA4345" s="17"/>
      <c r="AC4345" s="23" t="str">
        <f aca="false">LEFT(G4345,2)</f>
        <v/>
      </c>
    </row>
    <row r="4346" customFormat="false" ht="15" hidden="false" customHeight="false" outlineLevel="0" collapsed="false">
      <c r="A4346" s="13" t="n">
        <f aca="false">1+A4345</f>
        <v>4344</v>
      </c>
      <c r="B4346" s="14" t="n">
        <v>100</v>
      </c>
      <c r="C4346" s="15"/>
      <c r="D4346" s="16" t="s">
        <v>64</v>
      </c>
      <c r="E4346" s="17" t="s">
        <v>47</v>
      </c>
      <c r="F4346" s="18" t="s">
        <v>34</v>
      </c>
      <c r="G4346" s="19"/>
      <c r="H4346" s="17" t="s">
        <v>35</v>
      </c>
      <c r="I4346" s="17" t="s">
        <v>44</v>
      </c>
      <c r="J4346" s="17"/>
      <c r="K4346" s="17" t="e">
        <f aca="false">VLOOKUP(J4346,Sheet2!A:B,2,0)</f>
        <v>#N/A</v>
      </c>
      <c r="L4346" s="17" t="n">
        <v>5</v>
      </c>
      <c r="M4346" s="17" t="str">
        <f aca="false">VLOOKUP(L4346,Sheet2!D:E,2,0)</f>
        <v>Main Processor CPU BGA</v>
      </c>
      <c r="N4346" s="17" t="n">
        <v>1</v>
      </c>
      <c r="O4346" s="17" t="str">
        <f aca="false">VLOOKUP(N4346,Sheet2!G:H,2,0)</f>
        <v>Dead</v>
      </c>
      <c r="P4346" s="17" t="n">
        <v>11</v>
      </c>
      <c r="Q4346" s="17" t="str">
        <f aca="false">VLOOKUP(P4346,Sheet2!J:K,2,0)</f>
        <v>IR Declared due to CID -TA</v>
      </c>
      <c r="R4346" s="17" t="s">
        <v>35</v>
      </c>
      <c r="S4346" s="17" t="str">
        <f aca="false">VLOOKUP(R4346,Sheet2!N:O,2,0)</f>
        <v>IREPARABLE</v>
      </c>
      <c r="T4346" s="18" t="str">
        <f aca="false">VLOOKUP(P4346,Sheet2!Q:R,2,0)</f>
        <v>IR Normal - Track burn out</v>
      </c>
      <c r="U4346" s="20" t="s">
        <v>41</v>
      </c>
      <c r="V4346" s="17"/>
      <c r="W4346" s="20" t="e">
        <f aca="false">VLOOKUP(V4346,Sheet2!Q:R,2,0)</f>
        <v>#N/A</v>
      </c>
      <c r="X4346" s="17" t="n">
        <f aca="false">J4346</f>
        <v>0</v>
      </c>
      <c r="Y4346" s="17" t="e">
        <f aca="false">VLOOKUP(X4346,Sheet2!A:B,2,0)</f>
        <v>#N/A</v>
      </c>
      <c r="Z4346" s="17"/>
      <c r="AA4346" s="17"/>
      <c r="AC4346" s="23" t="str">
        <f aca="false">LEFT(G4346,2)</f>
        <v/>
      </c>
    </row>
    <row r="4347" customFormat="false" ht="15" hidden="false" customHeight="false" outlineLevel="0" collapsed="false">
      <c r="A4347" s="13" t="n">
        <f aca="false">1+A4346</f>
        <v>4345</v>
      </c>
      <c r="B4347" s="14" t="n">
        <v>100</v>
      </c>
      <c r="C4347" s="15"/>
      <c r="D4347" s="16" t="s">
        <v>64</v>
      </c>
      <c r="E4347" s="17" t="s">
        <v>47</v>
      </c>
      <c r="F4347" s="18" t="s">
        <v>34</v>
      </c>
      <c r="G4347" s="19"/>
      <c r="H4347" s="17" t="s">
        <v>35</v>
      </c>
      <c r="I4347" s="17" t="s">
        <v>44</v>
      </c>
      <c r="J4347" s="17"/>
      <c r="K4347" s="17" t="e">
        <f aca="false">VLOOKUP(J4347,Sheet2!A:B,2,0)</f>
        <v>#N/A</v>
      </c>
      <c r="L4347" s="17" t="n">
        <v>5</v>
      </c>
      <c r="M4347" s="17" t="str">
        <f aca="false">VLOOKUP(L4347,Sheet2!D:E,2,0)</f>
        <v>Main Processor CPU BGA</v>
      </c>
      <c r="N4347" s="17" t="n">
        <v>1</v>
      </c>
      <c r="O4347" s="17" t="str">
        <f aca="false">VLOOKUP(N4347,Sheet2!G:H,2,0)</f>
        <v>Dead</v>
      </c>
      <c r="P4347" s="17" t="n">
        <v>11</v>
      </c>
      <c r="Q4347" s="17" t="str">
        <f aca="false">VLOOKUP(P4347,Sheet2!J:K,2,0)</f>
        <v>IR Declared due to CID -TA</v>
      </c>
      <c r="R4347" s="17" t="s">
        <v>35</v>
      </c>
      <c r="S4347" s="17" t="str">
        <f aca="false">VLOOKUP(R4347,Sheet2!N:O,2,0)</f>
        <v>IREPARABLE</v>
      </c>
      <c r="T4347" s="18" t="str">
        <f aca="false">VLOOKUP(P4347,Sheet2!Q:R,2,0)</f>
        <v>IR Normal - Track burn out</v>
      </c>
      <c r="U4347" s="20" t="s">
        <v>41</v>
      </c>
      <c r="V4347" s="17"/>
      <c r="W4347" s="20" t="e">
        <f aca="false">VLOOKUP(V4347,Sheet2!Q:R,2,0)</f>
        <v>#N/A</v>
      </c>
      <c r="X4347" s="17" t="n">
        <f aca="false">J4347</f>
        <v>0</v>
      </c>
      <c r="Y4347" s="17" t="e">
        <f aca="false">VLOOKUP(X4347,Sheet2!A:B,2,0)</f>
        <v>#N/A</v>
      </c>
      <c r="Z4347" s="17"/>
      <c r="AA4347" s="17"/>
      <c r="AC4347" s="23" t="str">
        <f aca="false">LEFT(G4347,2)</f>
        <v/>
      </c>
    </row>
    <row r="4348" customFormat="false" ht="15" hidden="false" customHeight="false" outlineLevel="0" collapsed="false">
      <c r="A4348" s="13" t="n">
        <f aca="false">1+A4347</f>
        <v>4346</v>
      </c>
      <c r="B4348" s="14" t="n">
        <v>100</v>
      </c>
      <c r="C4348" s="15"/>
      <c r="D4348" s="16" t="s">
        <v>64</v>
      </c>
      <c r="E4348" s="17" t="s">
        <v>47</v>
      </c>
      <c r="F4348" s="18" t="s">
        <v>34</v>
      </c>
      <c r="G4348" s="19"/>
      <c r="H4348" s="17" t="s">
        <v>35</v>
      </c>
      <c r="I4348" s="17" t="s">
        <v>44</v>
      </c>
      <c r="J4348" s="17"/>
      <c r="K4348" s="17" t="e">
        <f aca="false">VLOOKUP(J4348,Sheet2!A:B,2,0)</f>
        <v>#N/A</v>
      </c>
      <c r="L4348" s="17" t="n">
        <v>5</v>
      </c>
      <c r="M4348" s="17" t="str">
        <f aca="false">VLOOKUP(L4348,Sheet2!D:E,2,0)</f>
        <v>Main Processor CPU BGA</v>
      </c>
      <c r="N4348" s="17" t="n">
        <v>1</v>
      </c>
      <c r="O4348" s="17" t="str">
        <f aca="false">VLOOKUP(N4348,Sheet2!G:H,2,0)</f>
        <v>Dead</v>
      </c>
      <c r="P4348" s="17" t="n">
        <v>11</v>
      </c>
      <c r="Q4348" s="17" t="str">
        <f aca="false">VLOOKUP(P4348,Sheet2!J:K,2,0)</f>
        <v>IR Declared due to CID -TA</v>
      </c>
      <c r="R4348" s="17" t="s">
        <v>35</v>
      </c>
      <c r="S4348" s="17" t="str">
        <f aca="false">VLOOKUP(R4348,Sheet2!N:O,2,0)</f>
        <v>IREPARABLE</v>
      </c>
      <c r="T4348" s="18" t="str">
        <f aca="false">VLOOKUP(P4348,Sheet2!Q:R,2,0)</f>
        <v>IR Normal - Track burn out</v>
      </c>
      <c r="U4348" s="20" t="s">
        <v>41</v>
      </c>
      <c r="V4348" s="17"/>
      <c r="W4348" s="20" t="e">
        <f aca="false">VLOOKUP(V4348,Sheet2!Q:R,2,0)</f>
        <v>#N/A</v>
      </c>
      <c r="X4348" s="17" t="n">
        <f aca="false">J4348</f>
        <v>0</v>
      </c>
      <c r="Y4348" s="17" t="e">
        <f aca="false">VLOOKUP(X4348,Sheet2!A:B,2,0)</f>
        <v>#N/A</v>
      </c>
      <c r="Z4348" s="17"/>
      <c r="AA4348" s="17"/>
      <c r="AC4348" s="23" t="str">
        <f aca="false">LEFT(G4348,2)</f>
        <v/>
      </c>
    </row>
    <row r="4349" customFormat="false" ht="15" hidden="false" customHeight="false" outlineLevel="0" collapsed="false">
      <c r="A4349" s="13" t="n">
        <f aca="false">1+A4348</f>
        <v>4347</v>
      </c>
      <c r="B4349" s="14" t="n">
        <v>100</v>
      </c>
      <c r="C4349" s="15"/>
      <c r="D4349" s="16" t="s">
        <v>64</v>
      </c>
      <c r="E4349" s="17" t="s">
        <v>47</v>
      </c>
      <c r="F4349" s="18" t="s">
        <v>34</v>
      </c>
      <c r="G4349" s="19"/>
      <c r="H4349" s="17" t="s">
        <v>35</v>
      </c>
      <c r="I4349" s="17" t="s">
        <v>44</v>
      </c>
      <c r="J4349" s="17"/>
      <c r="K4349" s="17" t="e">
        <f aca="false">VLOOKUP(J4349,Sheet2!A:B,2,0)</f>
        <v>#N/A</v>
      </c>
      <c r="L4349" s="17" t="n">
        <v>5</v>
      </c>
      <c r="M4349" s="17" t="str">
        <f aca="false">VLOOKUP(L4349,Sheet2!D:E,2,0)</f>
        <v>Main Processor CPU BGA</v>
      </c>
      <c r="N4349" s="17" t="n">
        <v>1</v>
      </c>
      <c r="O4349" s="17" t="str">
        <f aca="false">VLOOKUP(N4349,Sheet2!G:H,2,0)</f>
        <v>Dead</v>
      </c>
      <c r="P4349" s="17" t="n">
        <v>11</v>
      </c>
      <c r="Q4349" s="17" t="str">
        <f aca="false">VLOOKUP(P4349,Sheet2!J:K,2,0)</f>
        <v>IR Declared due to CID -TA</v>
      </c>
      <c r="R4349" s="17" t="s">
        <v>35</v>
      </c>
      <c r="S4349" s="17" t="str">
        <f aca="false">VLOOKUP(R4349,Sheet2!N:O,2,0)</f>
        <v>IREPARABLE</v>
      </c>
      <c r="T4349" s="18" t="str">
        <f aca="false">VLOOKUP(P4349,Sheet2!Q:R,2,0)</f>
        <v>IR Normal - Track burn out</v>
      </c>
      <c r="U4349" s="20" t="s">
        <v>41</v>
      </c>
      <c r="V4349" s="17"/>
      <c r="W4349" s="20" t="e">
        <f aca="false">VLOOKUP(V4349,Sheet2!Q:R,2,0)</f>
        <v>#N/A</v>
      </c>
      <c r="X4349" s="17" t="n">
        <f aca="false">J4349</f>
        <v>0</v>
      </c>
      <c r="Y4349" s="17" t="e">
        <f aca="false">VLOOKUP(X4349,Sheet2!A:B,2,0)</f>
        <v>#N/A</v>
      </c>
      <c r="Z4349" s="17"/>
      <c r="AA4349" s="17"/>
      <c r="AC4349" s="23" t="str">
        <f aca="false">LEFT(G4349,2)</f>
        <v/>
      </c>
    </row>
    <row r="4350" customFormat="false" ht="15" hidden="false" customHeight="false" outlineLevel="0" collapsed="false">
      <c r="A4350" s="13" t="n">
        <f aca="false">1+A4349</f>
        <v>4348</v>
      </c>
      <c r="B4350" s="14" t="n">
        <v>100</v>
      </c>
      <c r="C4350" s="15"/>
      <c r="D4350" s="16" t="s">
        <v>64</v>
      </c>
      <c r="E4350" s="17" t="s">
        <v>47</v>
      </c>
      <c r="F4350" s="18" t="s">
        <v>34</v>
      </c>
      <c r="G4350" s="19"/>
      <c r="H4350" s="17" t="s">
        <v>35</v>
      </c>
      <c r="I4350" s="17" t="s">
        <v>44</v>
      </c>
      <c r="J4350" s="17"/>
      <c r="K4350" s="17" t="e">
        <f aca="false">VLOOKUP(J4350,Sheet2!A:B,2,0)</f>
        <v>#N/A</v>
      </c>
      <c r="L4350" s="17" t="n">
        <v>5</v>
      </c>
      <c r="M4350" s="17" t="str">
        <f aca="false">VLOOKUP(L4350,Sheet2!D:E,2,0)</f>
        <v>Main Processor CPU BGA</v>
      </c>
      <c r="N4350" s="17" t="n">
        <v>1</v>
      </c>
      <c r="O4350" s="17" t="str">
        <f aca="false">VLOOKUP(N4350,Sheet2!G:H,2,0)</f>
        <v>Dead</v>
      </c>
      <c r="P4350" s="17" t="n">
        <v>11</v>
      </c>
      <c r="Q4350" s="17" t="str">
        <f aca="false">VLOOKUP(P4350,Sheet2!J:K,2,0)</f>
        <v>IR Declared due to CID -TA</v>
      </c>
      <c r="R4350" s="17" t="s">
        <v>35</v>
      </c>
      <c r="S4350" s="17" t="str">
        <f aca="false">VLOOKUP(R4350,Sheet2!N:O,2,0)</f>
        <v>IREPARABLE</v>
      </c>
      <c r="T4350" s="18" t="str">
        <f aca="false">VLOOKUP(P4350,Sheet2!Q:R,2,0)</f>
        <v>IR Normal - Track burn out</v>
      </c>
      <c r="U4350" s="20" t="s">
        <v>41</v>
      </c>
      <c r="V4350" s="17"/>
      <c r="W4350" s="20" t="e">
        <f aca="false">VLOOKUP(V4350,Sheet2!Q:R,2,0)</f>
        <v>#N/A</v>
      </c>
      <c r="X4350" s="17" t="n">
        <f aca="false">J4350</f>
        <v>0</v>
      </c>
      <c r="Y4350" s="17" t="e">
        <f aca="false">VLOOKUP(X4350,Sheet2!A:B,2,0)</f>
        <v>#N/A</v>
      </c>
      <c r="Z4350" s="17"/>
      <c r="AA4350" s="17"/>
      <c r="AC4350" s="23" t="str">
        <f aca="false">LEFT(G4350,2)</f>
        <v/>
      </c>
    </row>
    <row r="4351" customFormat="false" ht="15" hidden="false" customHeight="false" outlineLevel="0" collapsed="false">
      <c r="A4351" s="13" t="n">
        <f aca="false">1+A4350</f>
        <v>4349</v>
      </c>
      <c r="B4351" s="14" t="n">
        <v>100</v>
      </c>
      <c r="C4351" s="15"/>
      <c r="D4351" s="16" t="s">
        <v>64</v>
      </c>
      <c r="E4351" s="17" t="s">
        <v>47</v>
      </c>
      <c r="F4351" s="18" t="s">
        <v>34</v>
      </c>
      <c r="G4351" s="19"/>
      <c r="H4351" s="17" t="s">
        <v>35</v>
      </c>
      <c r="I4351" s="17" t="s">
        <v>44</v>
      </c>
      <c r="J4351" s="17"/>
      <c r="K4351" s="17" t="e">
        <f aca="false">VLOOKUP(J4351,Sheet2!A:B,2,0)</f>
        <v>#N/A</v>
      </c>
      <c r="L4351" s="17" t="n">
        <v>5</v>
      </c>
      <c r="M4351" s="17" t="str">
        <f aca="false">VLOOKUP(L4351,Sheet2!D:E,2,0)</f>
        <v>Main Processor CPU BGA</v>
      </c>
      <c r="N4351" s="17" t="n">
        <v>1</v>
      </c>
      <c r="O4351" s="17" t="str">
        <f aca="false">VLOOKUP(N4351,Sheet2!G:H,2,0)</f>
        <v>Dead</v>
      </c>
      <c r="P4351" s="17" t="n">
        <v>11</v>
      </c>
      <c r="Q4351" s="17" t="str">
        <f aca="false">VLOOKUP(P4351,Sheet2!J:K,2,0)</f>
        <v>IR Declared due to CID -TA</v>
      </c>
      <c r="R4351" s="17" t="s">
        <v>35</v>
      </c>
      <c r="S4351" s="17" t="str">
        <f aca="false">VLOOKUP(R4351,Sheet2!N:O,2,0)</f>
        <v>IREPARABLE</v>
      </c>
      <c r="T4351" s="18" t="str">
        <f aca="false">VLOOKUP(P4351,Sheet2!Q:R,2,0)</f>
        <v>IR Normal - Track burn out</v>
      </c>
      <c r="U4351" s="20" t="s">
        <v>41</v>
      </c>
      <c r="V4351" s="17"/>
      <c r="W4351" s="20" t="e">
        <f aca="false">VLOOKUP(V4351,Sheet2!Q:R,2,0)</f>
        <v>#N/A</v>
      </c>
      <c r="X4351" s="17" t="n">
        <f aca="false">J4351</f>
        <v>0</v>
      </c>
      <c r="Y4351" s="17" t="e">
        <f aca="false">VLOOKUP(X4351,Sheet2!A:B,2,0)</f>
        <v>#N/A</v>
      </c>
      <c r="Z4351" s="17"/>
      <c r="AA4351" s="17"/>
      <c r="AC4351" s="23" t="str">
        <f aca="false">LEFT(G4351,2)</f>
        <v/>
      </c>
    </row>
    <row r="4352" customFormat="false" ht="15" hidden="false" customHeight="false" outlineLevel="0" collapsed="false">
      <c r="A4352" s="13" t="n">
        <f aca="false">1+A4351</f>
        <v>4350</v>
      </c>
      <c r="B4352" s="14" t="n">
        <v>100</v>
      </c>
      <c r="C4352" s="15"/>
      <c r="D4352" s="16" t="s">
        <v>64</v>
      </c>
      <c r="E4352" s="17" t="s">
        <v>47</v>
      </c>
      <c r="F4352" s="18" t="s">
        <v>34</v>
      </c>
      <c r="G4352" s="19"/>
      <c r="H4352" s="17" t="s">
        <v>35</v>
      </c>
      <c r="I4352" s="17" t="s">
        <v>44</v>
      </c>
      <c r="J4352" s="17"/>
      <c r="K4352" s="17" t="e">
        <f aca="false">VLOOKUP(J4352,Sheet2!A:B,2,0)</f>
        <v>#N/A</v>
      </c>
      <c r="L4352" s="17" t="n">
        <v>5</v>
      </c>
      <c r="M4352" s="17" t="str">
        <f aca="false">VLOOKUP(L4352,Sheet2!D:E,2,0)</f>
        <v>Main Processor CPU BGA</v>
      </c>
      <c r="N4352" s="17" t="n">
        <v>1</v>
      </c>
      <c r="O4352" s="17" t="str">
        <f aca="false">VLOOKUP(N4352,Sheet2!G:H,2,0)</f>
        <v>Dead</v>
      </c>
      <c r="P4352" s="17" t="n">
        <v>11</v>
      </c>
      <c r="Q4352" s="17" t="str">
        <f aca="false">VLOOKUP(P4352,Sheet2!J:K,2,0)</f>
        <v>IR Declared due to CID -TA</v>
      </c>
      <c r="R4352" s="17" t="s">
        <v>35</v>
      </c>
      <c r="S4352" s="17" t="str">
        <f aca="false">VLOOKUP(R4352,Sheet2!N:O,2,0)</f>
        <v>IREPARABLE</v>
      </c>
      <c r="T4352" s="18" t="str">
        <f aca="false">VLOOKUP(P4352,Sheet2!Q:R,2,0)</f>
        <v>IR Normal - Track burn out</v>
      </c>
      <c r="U4352" s="20" t="s">
        <v>41</v>
      </c>
      <c r="V4352" s="17"/>
      <c r="W4352" s="20" t="e">
        <f aca="false">VLOOKUP(V4352,Sheet2!Q:R,2,0)</f>
        <v>#N/A</v>
      </c>
      <c r="X4352" s="17" t="n">
        <f aca="false">J4352</f>
        <v>0</v>
      </c>
      <c r="Y4352" s="17" t="e">
        <f aca="false">VLOOKUP(X4352,Sheet2!A:B,2,0)</f>
        <v>#N/A</v>
      </c>
      <c r="Z4352" s="17"/>
      <c r="AA4352" s="17"/>
      <c r="AC4352" s="23" t="str">
        <f aca="false">LEFT(G4352,2)</f>
        <v/>
      </c>
    </row>
    <row r="4353" customFormat="false" ht="15" hidden="false" customHeight="false" outlineLevel="0" collapsed="false">
      <c r="A4353" s="13" t="n">
        <f aca="false">1+A4352</f>
        <v>4351</v>
      </c>
      <c r="B4353" s="14" t="n">
        <v>100</v>
      </c>
      <c r="C4353" s="15"/>
      <c r="D4353" s="16" t="s">
        <v>64</v>
      </c>
      <c r="E4353" s="17" t="s">
        <v>47</v>
      </c>
      <c r="F4353" s="18" t="s">
        <v>34</v>
      </c>
      <c r="G4353" s="19"/>
      <c r="H4353" s="17" t="s">
        <v>35</v>
      </c>
      <c r="I4353" s="17" t="s">
        <v>44</v>
      </c>
      <c r="J4353" s="17"/>
      <c r="K4353" s="17" t="e">
        <f aca="false">VLOOKUP(J4353,Sheet2!A:B,2,0)</f>
        <v>#N/A</v>
      </c>
      <c r="L4353" s="17" t="n">
        <v>5</v>
      </c>
      <c r="M4353" s="17" t="str">
        <f aca="false">VLOOKUP(L4353,Sheet2!D:E,2,0)</f>
        <v>Main Processor CPU BGA</v>
      </c>
      <c r="N4353" s="17" t="n">
        <v>1</v>
      </c>
      <c r="O4353" s="17" t="str">
        <f aca="false">VLOOKUP(N4353,Sheet2!G:H,2,0)</f>
        <v>Dead</v>
      </c>
      <c r="P4353" s="17" t="n">
        <v>11</v>
      </c>
      <c r="Q4353" s="17" t="str">
        <f aca="false">VLOOKUP(P4353,Sheet2!J:K,2,0)</f>
        <v>IR Declared due to CID -TA</v>
      </c>
      <c r="R4353" s="17" t="s">
        <v>35</v>
      </c>
      <c r="S4353" s="17" t="str">
        <f aca="false">VLOOKUP(R4353,Sheet2!N:O,2,0)</f>
        <v>IREPARABLE</v>
      </c>
      <c r="T4353" s="18" t="str">
        <f aca="false">VLOOKUP(P4353,Sheet2!Q:R,2,0)</f>
        <v>IR Normal - Track burn out</v>
      </c>
      <c r="U4353" s="20" t="s">
        <v>41</v>
      </c>
      <c r="V4353" s="17"/>
      <c r="W4353" s="20" t="e">
        <f aca="false">VLOOKUP(V4353,Sheet2!Q:R,2,0)</f>
        <v>#N/A</v>
      </c>
      <c r="X4353" s="17" t="n">
        <f aca="false">J4353</f>
        <v>0</v>
      </c>
      <c r="Y4353" s="17" t="e">
        <f aca="false">VLOOKUP(X4353,Sheet2!A:B,2,0)</f>
        <v>#N/A</v>
      </c>
      <c r="Z4353" s="17"/>
      <c r="AA4353" s="17"/>
      <c r="AC4353" s="23" t="str">
        <f aca="false">LEFT(G4353,2)</f>
        <v/>
      </c>
    </row>
    <row r="4354" customFormat="false" ht="15" hidden="false" customHeight="false" outlineLevel="0" collapsed="false">
      <c r="A4354" s="13" t="n">
        <f aca="false">1+A4353</f>
        <v>4352</v>
      </c>
      <c r="B4354" s="14" t="n">
        <v>100</v>
      </c>
      <c r="C4354" s="15"/>
      <c r="D4354" s="16" t="s">
        <v>64</v>
      </c>
      <c r="E4354" s="17" t="s">
        <v>47</v>
      </c>
      <c r="F4354" s="18" t="s">
        <v>34</v>
      </c>
      <c r="G4354" s="19"/>
      <c r="H4354" s="17" t="s">
        <v>35</v>
      </c>
      <c r="I4354" s="17" t="s">
        <v>44</v>
      </c>
      <c r="J4354" s="17"/>
      <c r="K4354" s="17" t="e">
        <f aca="false">VLOOKUP(J4354,Sheet2!A:B,2,0)</f>
        <v>#N/A</v>
      </c>
      <c r="L4354" s="17" t="n">
        <v>5</v>
      </c>
      <c r="M4354" s="17" t="str">
        <f aca="false">VLOOKUP(L4354,Sheet2!D:E,2,0)</f>
        <v>Main Processor CPU BGA</v>
      </c>
      <c r="N4354" s="17" t="n">
        <v>1</v>
      </c>
      <c r="O4354" s="17" t="str">
        <f aca="false">VLOOKUP(N4354,Sheet2!G:H,2,0)</f>
        <v>Dead</v>
      </c>
      <c r="P4354" s="17" t="n">
        <v>11</v>
      </c>
      <c r="Q4354" s="17" t="str">
        <f aca="false">VLOOKUP(P4354,Sheet2!J:K,2,0)</f>
        <v>IR Declared due to CID -TA</v>
      </c>
      <c r="R4354" s="17" t="s">
        <v>35</v>
      </c>
      <c r="S4354" s="17" t="str">
        <f aca="false">VLOOKUP(R4354,Sheet2!N:O,2,0)</f>
        <v>IREPARABLE</v>
      </c>
      <c r="T4354" s="18" t="str">
        <f aca="false">VLOOKUP(P4354,Sheet2!Q:R,2,0)</f>
        <v>IR Normal - Track burn out</v>
      </c>
      <c r="U4354" s="20" t="s">
        <v>41</v>
      </c>
      <c r="V4354" s="17"/>
      <c r="W4354" s="20" t="e">
        <f aca="false">VLOOKUP(V4354,Sheet2!Q:R,2,0)</f>
        <v>#N/A</v>
      </c>
      <c r="X4354" s="17" t="n">
        <f aca="false">J4354</f>
        <v>0</v>
      </c>
      <c r="Y4354" s="17" t="e">
        <f aca="false">VLOOKUP(X4354,Sheet2!A:B,2,0)</f>
        <v>#N/A</v>
      </c>
      <c r="Z4354" s="17"/>
      <c r="AA4354" s="17"/>
      <c r="AC4354" s="23" t="str">
        <f aca="false">LEFT(G4354,2)</f>
        <v/>
      </c>
    </row>
    <row r="4355" customFormat="false" ht="15" hidden="false" customHeight="false" outlineLevel="0" collapsed="false">
      <c r="A4355" s="13" t="n">
        <f aca="false">1+A4354</f>
        <v>4353</v>
      </c>
      <c r="B4355" s="14" t="n">
        <v>100</v>
      </c>
      <c r="C4355" s="15"/>
      <c r="D4355" s="16" t="s">
        <v>64</v>
      </c>
      <c r="E4355" s="17" t="s">
        <v>47</v>
      </c>
      <c r="F4355" s="18" t="s">
        <v>34</v>
      </c>
      <c r="G4355" s="19"/>
      <c r="H4355" s="17" t="s">
        <v>35</v>
      </c>
      <c r="I4355" s="17" t="s">
        <v>44</v>
      </c>
      <c r="J4355" s="17"/>
      <c r="K4355" s="17" t="e">
        <f aca="false">VLOOKUP(J4355,Sheet2!A:B,2,0)</f>
        <v>#N/A</v>
      </c>
      <c r="L4355" s="17" t="n">
        <v>5</v>
      </c>
      <c r="M4355" s="17" t="str">
        <f aca="false">VLOOKUP(L4355,Sheet2!D:E,2,0)</f>
        <v>Main Processor CPU BGA</v>
      </c>
      <c r="N4355" s="17" t="n">
        <v>1</v>
      </c>
      <c r="O4355" s="17" t="str">
        <f aca="false">VLOOKUP(N4355,Sheet2!G:H,2,0)</f>
        <v>Dead</v>
      </c>
      <c r="P4355" s="17" t="n">
        <v>11</v>
      </c>
      <c r="Q4355" s="17" t="str">
        <f aca="false">VLOOKUP(P4355,Sheet2!J:K,2,0)</f>
        <v>IR Declared due to CID -TA</v>
      </c>
      <c r="R4355" s="17" t="s">
        <v>35</v>
      </c>
      <c r="S4355" s="17" t="str">
        <f aca="false">VLOOKUP(R4355,Sheet2!N:O,2,0)</f>
        <v>IREPARABLE</v>
      </c>
      <c r="T4355" s="18" t="str">
        <f aca="false">VLOOKUP(P4355,Sheet2!Q:R,2,0)</f>
        <v>IR Normal - Track burn out</v>
      </c>
      <c r="U4355" s="20" t="s">
        <v>41</v>
      </c>
      <c r="V4355" s="17"/>
      <c r="W4355" s="20" t="e">
        <f aca="false">VLOOKUP(V4355,Sheet2!Q:R,2,0)</f>
        <v>#N/A</v>
      </c>
      <c r="X4355" s="17" t="n">
        <f aca="false">J4355</f>
        <v>0</v>
      </c>
      <c r="Y4355" s="17" t="e">
        <f aca="false">VLOOKUP(X4355,Sheet2!A:B,2,0)</f>
        <v>#N/A</v>
      </c>
      <c r="Z4355" s="17"/>
      <c r="AA4355" s="17"/>
      <c r="AC4355" s="23" t="str">
        <f aca="false">LEFT(G4355,2)</f>
        <v/>
      </c>
    </row>
    <row r="4356" customFormat="false" ht="15" hidden="false" customHeight="false" outlineLevel="0" collapsed="false">
      <c r="A4356" s="13" t="n">
        <f aca="false">1+A4355</f>
        <v>4354</v>
      </c>
      <c r="B4356" s="14" t="n">
        <v>100</v>
      </c>
      <c r="C4356" s="15"/>
      <c r="D4356" s="16" t="s">
        <v>64</v>
      </c>
      <c r="E4356" s="17" t="s">
        <v>47</v>
      </c>
      <c r="F4356" s="18" t="s">
        <v>34</v>
      </c>
      <c r="G4356" s="19"/>
      <c r="H4356" s="17" t="s">
        <v>35</v>
      </c>
      <c r="I4356" s="17" t="s">
        <v>44</v>
      </c>
      <c r="J4356" s="17"/>
      <c r="K4356" s="17" t="e">
        <f aca="false">VLOOKUP(J4356,Sheet2!A:B,2,0)</f>
        <v>#N/A</v>
      </c>
      <c r="L4356" s="17" t="n">
        <v>5</v>
      </c>
      <c r="M4356" s="17" t="str">
        <f aca="false">VLOOKUP(L4356,Sheet2!D:E,2,0)</f>
        <v>Main Processor CPU BGA</v>
      </c>
      <c r="N4356" s="17" t="n">
        <v>1</v>
      </c>
      <c r="O4356" s="17" t="str">
        <f aca="false">VLOOKUP(N4356,Sheet2!G:H,2,0)</f>
        <v>Dead</v>
      </c>
      <c r="P4356" s="17" t="n">
        <v>11</v>
      </c>
      <c r="Q4356" s="17" t="str">
        <f aca="false">VLOOKUP(P4356,Sheet2!J:K,2,0)</f>
        <v>IR Declared due to CID -TA</v>
      </c>
      <c r="R4356" s="17" t="s">
        <v>35</v>
      </c>
      <c r="S4356" s="17" t="str">
        <f aca="false">VLOOKUP(R4356,Sheet2!N:O,2,0)</f>
        <v>IREPARABLE</v>
      </c>
      <c r="T4356" s="18" t="str">
        <f aca="false">VLOOKUP(P4356,Sheet2!Q:R,2,0)</f>
        <v>IR Normal - Track burn out</v>
      </c>
      <c r="U4356" s="20" t="s">
        <v>41</v>
      </c>
      <c r="V4356" s="17"/>
      <c r="W4356" s="20" t="e">
        <f aca="false">VLOOKUP(V4356,Sheet2!Q:R,2,0)</f>
        <v>#N/A</v>
      </c>
      <c r="X4356" s="17" t="n">
        <f aca="false">J4356</f>
        <v>0</v>
      </c>
      <c r="Y4356" s="17" t="e">
        <f aca="false">VLOOKUP(X4356,Sheet2!A:B,2,0)</f>
        <v>#N/A</v>
      </c>
      <c r="Z4356" s="17"/>
      <c r="AA4356" s="17"/>
      <c r="AC4356" s="23" t="str">
        <f aca="false">LEFT(G4356,2)</f>
        <v/>
      </c>
    </row>
    <row r="4357" customFormat="false" ht="15" hidden="false" customHeight="false" outlineLevel="0" collapsed="false">
      <c r="A4357" s="13" t="n">
        <f aca="false">1+A4356</f>
        <v>4355</v>
      </c>
      <c r="B4357" s="14" t="n">
        <v>100</v>
      </c>
      <c r="C4357" s="15"/>
      <c r="D4357" s="16" t="s">
        <v>64</v>
      </c>
      <c r="E4357" s="17" t="s">
        <v>47</v>
      </c>
      <c r="F4357" s="18" t="s">
        <v>34</v>
      </c>
      <c r="G4357" s="19"/>
      <c r="H4357" s="17" t="s">
        <v>35</v>
      </c>
      <c r="I4357" s="17" t="s">
        <v>44</v>
      </c>
      <c r="J4357" s="17"/>
      <c r="K4357" s="17" t="e">
        <f aca="false">VLOOKUP(J4357,Sheet2!A:B,2,0)</f>
        <v>#N/A</v>
      </c>
      <c r="L4357" s="17" t="n">
        <v>5</v>
      </c>
      <c r="M4357" s="17" t="str">
        <f aca="false">VLOOKUP(L4357,Sheet2!D:E,2,0)</f>
        <v>Main Processor CPU BGA</v>
      </c>
      <c r="N4357" s="17" t="n">
        <v>1</v>
      </c>
      <c r="O4357" s="17" t="str">
        <f aca="false">VLOOKUP(N4357,Sheet2!G:H,2,0)</f>
        <v>Dead</v>
      </c>
      <c r="P4357" s="17" t="n">
        <v>11</v>
      </c>
      <c r="Q4357" s="17" t="str">
        <f aca="false">VLOOKUP(P4357,Sheet2!J:K,2,0)</f>
        <v>IR Declared due to CID -TA</v>
      </c>
      <c r="R4357" s="17" t="s">
        <v>35</v>
      </c>
      <c r="S4357" s="17" t="str">
        <f aca="false">VLOOKUP(R4357,Sheet2!N:O,2,0)</f>
        <v>IREPARABLE</v>
      </c>
      <c r="T4357" s="18" t="str">
        <f aca="false">VLOOKUP(P4357,Sheet2!Q:R,2,0)</f>
        <v>IR Normal - Track burn out</v>
      </c>
      <c r="U4357" s="20" t="s">
        <v>41</v>
      </c>
      <c r="V4357" s="17"/>
      <c r="W4357" s="20" t="e">
        <f aca="false">VLOOKUP(V4357,Sheet2!Q:R,2,0)</f>
        <v>#N/A</v>
      </c>
      <c r="X4357" s="17" t="n">
        <f aca="false">J4357</f>
        <v>0</v>
      </c>
      <c r="Y4357" s="17" t="e">
        <f aca="false">VLOOKUP(X4357,Sheet2!A:B,2,0)</f>
        <v>#N/A</v>
      </c>
      <c r="Z4357" s="17"/>
      <c r="AA4357" s="17"/>
      <c r="AC4357" s="23" t="str">
        <f aca="false">LEFT(G4357,2)</f>
        <v/>
      </c>
    </row>
    <row r="4358" customFormat="false" ht="15" hidden="false" customHeight="false" outlineLevel="0" collapsed="false">
      <c r="A4358" s="13" t="n">
        <f aca="false">1+A4357</f>
        <v>4356</v>
      </c>
      <c r="B4358" s="14" t="n">
        <v>100</v>
      </c>
      <c r="C4358" s="15"/>
      <c r="D4358" s="16" t="s">
        <v>64</v>
      </c>
      <c r="E4358" s="17" t="s">
        <v>47</v>
      </c>
      <c r="F4358" s="18" t="s">
        <v>34</v>
      </c>
      <c r="G4358" s="19"/>
      <c r="H4358" s="17" t="s">
        <v>35</v>
      </c>
      <c r="I4358" s="17" t="s">
        <v>44</v>
      </c>
      <c r="J4358" s="17"/>
      <c r="K4358" s="17" t="e">
        <f aca="false">VLOOKUP(J4358,Sheet2!A:B,2,0)</f>
        <v>#N/A</v>
      </c>
      <c r="L4358" s="17" t="n">
        <v>5</v>
      </c>
      <c r="M4358" s="17" t="str">
        <f aca="false">VLOOKUP(L4358,Sheet2!D:E,2,0)</f>
        <v>Main Processor CPU BGA</v>
      </c>
      <c r="N4358" s="17" t="n">
        <v>1</v>
      </c>
      <c r="O4358" s="17" t="str">
        <f aca="false">VLOOKUP(N4358,Sheet2!G:H,2,0)</f>
        <v>Dead</v>
      </c>
      <c r="P4358" s="17" t="n">
        <v>11</v>
      </c>
      <c r="Q4358" s="17" t="str">
        <f aca="false">VLOOKUP(P4358,Sheet2!J:K,2,0)</f>
        <v>IR Declared due to CID -TA</v>
      </c>
      <c r="R4358" s="17" t="s">
        <v>35</v>
      </c>
      <c r="S4358" s="17" t="str">
        <f aca="false">VLOOKUP(R4358,Sheet2!N:O,2,0)</f>
        <v>IREPARABLE</v>
      </c>
      <c r="T4358" s="18" t="str">
        <f aca="false">VLOOKUP(P4358,Sheet2!Q:R,2,0)</f>
        <v>IR Normal - Track burn out</v>
      </c>
      <c r="U4358" s="20" t="s">
        <v>41</v>
      </c>
      <c r="V4358" s="17"/>
      <c r="W4358" s="20" t="e">
        <f aca="false">VLOOKUP(V4358,Sheet2!Q:R,2,0)</f>
        <v>#N/A</v>
      </c>
      <c r="X4358" s="17" t="n">
        <f aca="false">J4358</f>
        <v>0</v>
      </c>
      <c r="Y4358" s="17" t="e">
        <f aca="false">VLOOKUP(X4358,Sheet2!A:B,2,0)</f>
        <v>#N/A</v>
      </c>
      <c r="Z4358" s="17"/>
      <c r="AA4358" s="17"/>
      <c r="AC4358" s="23" t="str">
        <f aca="false">LEFT(G4358,2)</f>
        <v/>
      </c>
    </row>
    <row r="4359" customFormat="false" ht="15" hidden="false" customHeight="false" outlineLevel="0" collapsed="false">
      <c r="A4359" s="13" t="n">
        <f aca="false">1+A4358</f>
        <v>4357</v>
      </c>
      <c r="B4359" s="14" t="n">
        <v>100</v>
      </c>
      <c r="C4359" s="15"/>
      <c r="D4359" s="16" t="s">
        <v>64</v>
      </c>
      <c r="E4359" s="17" t="s">
        <v>47</v>
      </c>
      <c r="F4359" s="18" t="s">
        <v>34</v>
      </c>
      <c r="G4359" s="19"/>
      <c r="H4359" s="17" t="s">
        <v>35</v>
      </c>
      <c r="I4359" s="17" t="s">
        <v>44</v>
      </c>
      <c r="J4359" s="17"/>
      <c r="K4359" s="17" t="e">
        <f aca="false">VLOOKUP(J4359,Sheet2!A:B,2,0)</f>
        <v>#N/A</v>
      </c>
      <c r="L4359" s="17" t="n">
        <v>5</v>
      </c>
      <c r="M4359" s="17" t="str">
        <f aca="false">VLOOKUP(L4359,Sheet2!D:E,2,0)</f>
        <v>Main Processor CPU BGA</v>
      </c>
      <c r="N4359" s="17" t="n">
        <v>1</v>
      </c>
      <c r="O4359" s="17" t="str">
        <f aca="false">VLOOKUP(N4359,Sheet2!G:H,2,0)</f>
        <v>Dead</v>
      </c>
      <c r="P4359" s="17" t="n">
        <v>11</v>
      </c>
      <c r="Q4359" s="17" t="str">
        <f aca="false">VLOOKUP(P4359,Sheet2!J:K,2,0)</f>
        <v>IR Declared due to CID -TA</v>
      </c>
      <c r="R4359" s="17" t="s">
        <v>35</v>
      </c>
      <c r="S4359" s="17" t="str">
        <f aca="false">VLOOKUP(R4359,Sheet2!N:O,2,0)</f>
        <v>IREPARABLE</v>
      </c>
      <c r="T4359" s="18" t="str">
        <f aca="false">VLOOKUP(P4359,Sheet2!Q:R,2,0)</f>
        <v>IR Normal - Track burn out</v>
      </c>
      <c r="U4359" s="20" t="s">
        <v>41</v>
      </c>
      <c r="V4359" s="17"/>
      <c r="W4359" s="20" t="e">
        <f aca="false">VLOOKUP(V4359,Sheet2!Q:R,2,0)</f>
        <v>#N/A</v>
      </c>
      <c r="X4359" s="17" t="n">
        <f aca="false">J4359</f>
        <v>0</v>
      </c>
      <c r="Y4359" s="17" t="e">
        <f aca="false">VLOOKUP(X4359,Sheet2!A:B,2,0)</f>
        <v>#N/A</v>
      </c>
      <c r="Z4359" s="17"/>
      <c r="AA4359" s="17"/>
      <c r="AC4359" s="23" t="str">
        <f aca="false">LEFT(G4359,2)</f>
        <v/>
      </c>
    </row>
    <row r="4360" customFormat="false" ht="15" hidden="false" customHeight="false" outlineLevel="0" collapsed="false">
      <c r="A4360" s="13" t="n">
        <f aca="false">1+A4359</f>
        <v>4358</v>
      </c>
      <c r="B4360" s="14" t="n">
        <v>100</v>
      </c>
      <c r="C4360" s="15"/>
      <c r="D4360" s="16" t="s">
        <v>64</v>
      </c>
      <c r="E4360" s="17" t="s">
        <v>47</v>
      </c>
      <c r="F4360" s="18" t="s">
        <v>34</v>
      </c>
      <c r="G4360" s="19"/>
      <c r="H4360" s="17" t="s">
        <v>35</v>
      </c>
      <c r="I4360" s="17" t="s">
        <v>44</v>
      </c>
      <c r="J4360" s="17"/>
      <c r="K4360" s="17" t="e">
        <f aca="false">VLOOKUP(J4360,Sheet2!A:B,2,0)</f>
        <v>#N/A</v>
      </c>
      <c r="L4360" s="17" t="n">
        <v>5</v>
      </c>
      <c r="M4360" s="17" t="str">
        <f aca="false">VLOOKUP(L4360,Sheet2!D:E,2,0)</f>
        <v>Main Processor CPU BGA</v>
      </c>
      <c r="N4360" s="17" t="n">
        <v>1</v>
      </c>
      <c r="O4360" s="17" t="str">
        <f aca="false">VLOOKUP(N4360,Sheet2!G:H,2,0)</f>
        <v>Dead</v>
      </c>
      <c r="P4360" s="17" t="n">
        <v>11</v>
      </c>
      <c r="Q4360" s="17" t="str">
        <f aca="false">VLOOKUP(P4360,Sheet2!J:K,2,0)</f>
        <v>IR Declared due to CID -TA</v>
      </c>
      <c r="R4360" s="17" t="s">
        <v>35</v>
      </c>
      <c r="S4360" s="17" t="str">
        <f aca="false">VLOOKUP(R4360,Sheet2!N:O,2,0)</f>
        <v>IREPARABLE</v>
      </c>
      <c r="T4360" s="18" t="str">
        <f aca="false">VLOOKUP(P4360,Sheet2!Q:R,2,0)</f>
        <v>IR Normal - Track burn out</v>
      </c>
      <c r="U4360" s="20" t="s">
        <v>41</v>
      </c>
      <c r="V4360" s="17"/>
      <c r="W4360" s="20" t="e">
        <f aca="false">VLOOKUP(V4360,Sheet2!Q:R,2,0)</f>
        <v>#N/A</v>
      </c>
      <c r="X4360" s="17" t="n">
        <f aca="false">J4360</f>
        <v>0</v>
      </c>
      <c r="Y4360" s="17" t="e">
        <f aca="false">VLOOKUP(X4360,Sheet2!A:B,2,0)</f>
        <v>#N/A</v>
      </c>
      <c r="Z4360" s="17"/>
      <c r="AA4360" s="17"/>
      <c r="AC4360" s="23" t="str">
        <f aca="false">LEFT(G4360,2)</f>
        <v/>
      </c>
    </row>
    <row r="4361" customFormat="false" ht="15" hidden="false" customHeight="false" outlineLevel="0" collapsed="false">
      <c r="A4361" s="13" t="n">
        <f aca="false">1+A4360</f>
        <v>4359</v>
      </c>
      <c r="B4361" s="14" t="n">
        <v>100</v>
      </c>
      <c r="C4361" s="15"/>
      <c r="D4361" s="16" t="s">
        <v>64</v>
      </c>
      <c r="E4361" s="17" t="s">
        <v>47</v>
      </c>
      <c r="F4361" s="18" t="s">
        <v>34</v>
      </c>
      <c r="G4361" s="19"/>
      <c r="H4361" s="17" t="s">
        <v>35</v>
      </c>
      <c r="I4361" s="17" t="s">
        <v>44</v>
      </c>
      <c r="J4361" s="17"/>
      <c r="K4361" s="17" t="e">
        <f aca="false">VLOOKUP(J4361,Sheet2!A:B,2,0)</f>
        <v>#N/A</v>
      </c>
      <c r="L4361" s="17" t="n">
        <v>5</v>
      </c>
      <c r="M4361" s="17" t="str">
        <f aca="false">VLOOKUP(L4361,Sheet2!D:E,2,0)</f>
        <v>Main Processor CPU BGA</v>
      </c>
      <c r="N4361" s="17" t="n">
        <v>1</v>
      </c>
      <c r="O4361" s="17" t="str">
        <f aca="false">VLOOKUP(N4361,Sheet2!G:H,2,0)</f>
        <v>Dead</v>
      </c>
      <c r="P4361" s="17" t="n">
        <v>11</v>
      </c>
      <c r="Q4361" s="17" t="str">
        <f aca="false">VLOOKUP(P4361,Sheet2!J:K,2,0)</f>
        <v>IR Declared due to CID -TA</v>
      </c>
      <c r="R4361" s="17" t="s">
        <v>35</v>
      </c>
      <c r="S4361" s="17" t="str">
        <f aca="false">VLOOKUP(R4361,Sheet2!N:O,2,0)</f>
        <v>IREPARABLE</v>
      </c>
      <c r="T4361" s="18" t="str">
        <f aca="false">VLOOKUP(P4361,Sheet2!Q:R,2,0)</f>
        <v>IR Normal - Track burn out</v>
      </c>
      <c r="U4361" s="20" t="s">
        <v>41</v>
      </c>
      <c r="V4361" s="17"/>
      <c r="W4361" s="20" t="e">
        <f aca="false">VLOOKUP(V4361,Sheet2!Q:R,2,0)</f>
        <v>#N/A</v>
      </c>
      <c r="X4361" s="17" t="n">
        <f aca="false">J4361</f>
        <v>0</v>
      </c>
      <c r="Y4361" s="17" t="e">
        <f aca="false">VLOOKUP(X4361,Sheet2!A:B,2,0)</f>
        <v>#N/A</v>
      </c>
      <c r="Z4361" s="17"/>
      <c r="AA4361" s="17"/>
      <c r="AC4361" s="23" t="str">
        <f aca="false">LEFT(G4361,2)</f>
        <v/>
      </c>
    </row>
    <row r="4362" customFormat="false" ht="15" hidden="false" customHeight="false" outlineLevel="0" collapsed="false">
      <c r="A4362" s="13" t="n">
        <f aca="false">1+A4361</f>
        <v>4360</v>
      </c>
      <c r="B4362" s="14" t="n">
        <v>100</v>
      </c>
      <c r="C4362" s="15"/>
      <c r="D4362" s="16" t="s">
        <v>64</v>
      </c>
      <c r="E4362" s="17" t="s">
        <v>47</v>
      </c>
      <c r="F4362" s="18" t="s">
        <v>34</v>
      </c>
      <c r="G4362" s="19"/>
      <c r="H4362" s="17" t="s">
        <v>35</v>
      </c>
      <c r="I4362" s="17" t="s">
        <v>44</v>
      </c>
      <c r="J4362" s="17"/>
      <c r="K4362" s="17" t="e">
        <f aca="false">VLOOKUP(J4362,Sheet2!A:B,2,0)</f>
        <v>#N/A</v>
      </c>
      <c r="L4362" s="17" t="n">
        <v>5</v>
      </c>
      <c r="M4362" s="17" t="str">
        <f aca="false">VLOOKUP(L4362,Sheet2!D:E,2,0)</f>
        <v>Main Processor CPU BGA</v>
      </c>
      <c r="N4362" s="17" t="n">
        <v>1</v>
      </c>
      <c r="O4362" s="17" t="str">
        <f aca="false">VLOOKUP(N4362,Sheet2!G:H,2,0)</f>
        <v>Dead</v>
      </c>
      <c r="P4362" s="17" t="n">
        <v>11</v>
      </c>
      <c r="Q4362" s="17" t="str">
        <f aca="false">VLOOKUP(P4362,Sheet2!J:K,2,0)</f>
        <v>IR Declared due to CID -TA</v>
      </c>
      <c r="R4362" s="17" t="s">
        <v>35</v>
      </c>
      <c r="S4362" s="17" t="str">
        <f aca="false">VLOOKUP(R4362,Sheet2!N:O,2,0)</f>
        <v>IREPARABLE</v>
      </c>
      <c r="T4362" s="18" t="str">
        <f aca="false">VLOOKUP(P4362,Sheet2!Q:R,2,0)</f>
        <v>IR Normal - Track burn out</v>
      </c>
      <c r="U4362" s="20" t="s">
        <v>41</v>
      </c>
      <c r="V4362" s="17"/>
      <c r="W4362" s="20" t="e">
        <f aca="false">VLOOKUP(V4362,Sheet2!Q:R,2,0)</f>
        <v>#N/A</v>
      </c>
      <c r="X4362" s="17" t="n">
        <f aca="false">J4362</f>
        <v>0</v>
      </c>
      <c r="Y4362" s="17" t="e">
        <f aca="false">VLOOKUP(X4362,Sheet2!A:B,2,0)</f>
        <v>#N/A</v>
      </c>
      <c r="Z4362" s="17"/>
      <c r="AA4362" s="17"/>
      <c r="AC4362" s="23" t="str">
        <f aca="false">LEFT(G4362,2)</f>
        <v/>
      </c>
    </row>
    <row r="4363" customFormat="false" ht="15" hidden="false" customHeight="false" outlineLevel="0" collapsed="false">
      <c r="A4363" s="13" t="n">
        <f aca="false">1+A4362</f>
        <v>4361</v>
      </c>
      <c r="B4363" s="14" t="n">
        <v>100</v>
      </c>
      <c r="C4363" s="15"/>
      <c r="D4363" s="16" t="s">
        <v>64</v>
      </c>
      <c r="E4363" s="17" t="s">
        <v>47</v>
      </c>
      <c r="F4363" s="18" t="s">
        <v>34</v>
      </c>
      <c r="G4363" s="19"/>
      <c r="H4363" s="17" t="s">
        <v>35</v>
      </c>
      <c r="I4363" s="17" t="s">
        <v>44</v>
      </c>
      <c r="J4363" s="17"/>
      <c r="K4363" s="17" t="e">
        <f aca="false">VLOOKUP(J4363,Sheet2!A:B,2,0)</f>
        <v>#N/A</v>
      </c>
      <c r="L4363" s="17" t="n">
        <v>5</v>
      </c>
      <c r="M4363" s="17" t="str">
        <f aca="false">VLOOKUP(L4363,Sheet2!D:E,2,0)</f>
        <v>Main Processor CPU BGA</v>
      </c>
      <c r="N4363" s="17" t="n">
        <v>1</v>
      </c>
      <c r="O4363" s="17" t="str">
        <f aca="false">VLOOKUP(N4363,Sheet2!G:H,2,0)</f>
        <v>Dead</v>
      </c>
      <c r="P4363" s="17" t="n">
        <v>11</v>
      </c>
      <c r="Q4363" s="17" t="str">
        <f aca="false">VLOOKUP(P4363,Sheet2!J:K,2,0)</f>
        <v>IR Declared due to CID -TA</v>
      </c>
      <c r="R4363" s="17" t="s">
        <v>35</v>
      </c>
      <c r="S4363" s="17" t="str">
        <f aca="false">VLOOKUP(R4363,Sheet2!N:O,2,0)</f>
        <v>IREPARABLE</v>
      </c>
      <c r="T4363" s="18" t="str">
        <f aca="false">VLOOKUP(P4363,Sheet2!Q:R,2,0)</f>
        <v>IR Normal - Track burn out</v>
      </c>
      <c r="U4363" s="20" t="s">
        <v>41</v>
      </c>
      <c r="V4363" s="17"/>
      <c r="W4363" s="20" t="e">
        <f aca="false">VLOOKUP(V4363,Sheet2!Q:R,2,0)</f>
        <v>#N/A</v>
      </c>
      <c r="X4363" s="17" t="n">
        <f aca="false">J4363</f>
        <v>0</v>
      </c>
      <c r="Y4363" s="17" t="e">
        <f aca="false">VLOOKUP(X4363,Sheet2!A:B,2,0)</f>
        <v>#N/A</v>
      </c>
      <c r="Z4363" s="17"/>
      <c r="AA4363" s="17"/>
      <c r="AC4363" s="23" t="str">
        <f aca="false">LEFT(G4363,2)</f>
        <v/>
      </c>
    </row>
    <row r="4364" customFormat="false" ht="15" hidden="false" customHeight="false" outlineLevel="0" collapsed="false">
      <c r="A4364" s="13" t="n">
        <f aca="false">1+A4363</f>
        <v>4362</v>
      </c>
      <c r="B4364" s="14" t="n">
        <v>100</v>
      </c>
      <c r="C4364" s="15"/>
      <c r="D4364" s="16" t="s">
        <v>64</v>
      </c>
      <c r="E4364" s="17" t="s">
        <v>47</v>
      </c>
      <c r="F4364" s="18" t="s">
        <v>34</v>
      </c>
      <c r="G4364" s="19"/>
      <c r="H4364" s="17" t="s">
        <v>35</v>
      </c>
      <c r="I4364" s="17" t="s">
        <v>44</v>
      </c>
      <c r="J4364" s="17"/>
      <c r="K4364" s="17" t="e">
        <f aca="false">VLOOKUP(J4364,Sheet2!A:B,2,0)</f>
        <v>#N/A</v>
      </c>
      <c r="L4364" s="17" t="n">
        <v>5</v>
      </c>
      <c r="M4364" s="17" t="str">
        <f aca="false">VLOOKUP(L4364,Sheet2!D:E,2,0)</f>
        <v>Main Processor CPU BGA</v>
      </c>
      <c r="N4364" s="17" t="n">
        <v>1</v>
      </c>
      <c r="O4364" s="17" t="str">
        <f aca="false">VLOOKUP(N4364,Sheet2!G:H,2,0)</f>
        <v>Dead</v>
      </c>
      <c r="P4364" s="17" t="n">
        <v>11</v>
      </c>
      <c r="Q4364" s="17" t="str">
        <f aca="false">VLOOKUP(P4364,Sheet2!J:K,2,0)</f>
        <v>IR Declared due to CID -TA</v>
      </c>
      <c r="R4364" s="17" t="s">
        <v>35</v>
      </c>
      <c r="S4364" s="17" t="str">
        <f aca="false">VLOOKUP(R4364,Sheet2!N:O,2,0)</f>
        <v>IREPARABLE</v>
      </c>
      <c r="T4364" s="18" t="str">
        <f aca="false">VLOOKUP(P4364,Sheet2!Q:R,2,0)</f>
        <v>IR Normal - Track burn out</v>
      </c>
      <c r="U4364" s="20" t="s">
        <v>41</v>
      </c>
      <c r="V4364" s="17"/>
      <c r="W4364" s="20" t="e">
        <f aca="false">VLOOKUP(V4364,Sheet2!Q:R,2,0)</f>
        <v>#N/A</v>
      </c>
      <c r="X4364" s="17" t="n">
        <f aca="false">J4364</f>
        <v>0</v>
      </c>
      <c r="Y4364" s="17" t="e">
        <f aca="false">VLOOKUP(X4364,Sheet2!A:B,2,0)</f>
        <v>#N/A</v>
      </c>
      <c r="Z4364" s="17"/>
      <c r="AA4364" s="17"/>
      <c r="AC4364" s="23" t="str">
        <f aca="false">LEFT(G4364,2)</f>
        <v/>
      </c>
    </row>
    <row r="4365" customFormat="false" ht="15" hidden="false" customHeight="false" outlineLevel="0" collapsed="false">
      <c r="A4365" s="13" t="n">
        <f aca="false">1+A4364</f>
        <v>4363</v>
      </c>
      <c r="B4365" s="14" t="n">
        <v>100</v>
      </c>
      <c r="C4365" s="15"/>
      <c r="D4365" s="16" t="s">
        <v>64</v>
      </c>
      <c r="E4365" s="17" t="s">
        <v>47</v>
      </c>
      <c r="F4365" s="18" t="s">
        <v>34</v>
      </c>
      <c r="G4365" s="19"/>
      <c r="H4365" s="17" t="s">
        <v>35</v>
      </c>
      <c r="I4365" s="17" t="s">
        <v>44</v>
      </c>
      <c r="J4365" s="17"/>
      <c r="K4365" s="17" t="e">
        <f aca="false">VLOOKUP(J4365,Sheet2!A:B,2,0)</f>
        <v>#N/A</v>
      </c>
      <c r="L4365" s="17" t="n">
        <v>5</v>
      </c>
      <c r="M4365" s="17" t="str">
        <f aca="false">VLOOKUP(L4365,Sheet2!D:E,2,0)</f>
        <v>Main Processor CPU BGA</v>
      </c>
      <c r="N4365" s="17" t="n">
        <v>1</v>
      </c>
      <c r="O4365" s="17" t="str">
        <f aca="false">VLOOKUP(N4365,Sheet2!G:H,2,0)</f>
        <v>Dead</v>
      </c>
      <c r="P4365" s="17" t="n">
        <v>11</v>
      </c>
      <c r="Q4365" s="17" t="str">
        <f aca="false">VLOOKUP(P4365,Sheet2!J:K,2,0)</f>
        <v>IR Declared due to CID -TA</v>
      </c>
      <c r="R4365" s="17" t="s">
        <v>35</v>
      </c>
      <c r="S4365" s="17" t="str">
        <f aca="false">VLOOKUP(R4365,Sheet2!N:O,2,0)</f>
        <v>IREPARABLE</v>
      </c>
      <c r="T4365" s="18" t="str">
        <f aca="false">VLOOKUP(P4365,Sheet2!Q:R,2,0)</f>
        <v>IR Normal - Track burn out</v>
      </c>
      <c r="U4365" s="20" t="s">
        <v>41</v>
      </c>
      <c r="V4365" s="17"/>
      <c r="W4365" s="20" t="e">
        <f aca="false">VLOOKUP(V4365,Sheet2!Q:R,2,0)</f>
        <v>#N/A</v>
      </c>
      <c r="X4365" s="17" t="n">
        <f aca="false">J4365</f>
        <v>0</v>
      </c>
      <c r="Y4365" s="17" t="e">
        <f aca="false">VLOOKUP(X4365,Sheet2!A:B,2,0)</f>
        <v>#N/A</v>
      </c>
      <c r="Z4365" s="17"/>
      <c r="AA4365" s="17"/>
      <c r="AC4365" s="23" t="str">
        <f aca="false">LEFT(G4365,2)</f>
        <v/>
      </c>
    </row>
    <row r="4366" customFormat="false" ht="15" hidden="false" customHeight="false" outlineLevel="0" collapsed="false">
      <c r="A4366" s="13" t="n">
        <f aca="false">1+A4365</f>
        <v>4364</v>
      </c>
      <c r="B4366" s="14" t="n">
        <v>100</v>
      </c>
      <c r="C4366" s="15"/>
      <c r="D4366" s="16" t="s">
        <v>64</v>
      </c>
      <c r="E4366" s="17" t="s">
        <v>47</v>
      </c>
      <c r="F4366" s="18" t="s">
        <v>34</v>
      </c>
      <c r="G4366" s="19"/>
      <c r="H4366" s="17" t="s">
        <v>35</v>
      </c>
      <c r="I4366" s="17" t="s">
        <v>44</v>
      </c>
      <c r="J4366" s="17"/>
      <c r="K4366" s="17" t="e">
        <f aca="false">VLOOKUP(J4366,Sheet2!A:B,2,0)</f>
        <v>#N/A</v>
      </c>
      <c r="L4366" s="17" t="n">
        <v>5</v>
      </c>
      <c r="M4366" s="17" t="str">
        <f aca="false">VLOOKUP(L4366,Sheet2!D:E,2,0)</f>
        <v>Main Processor CPU BGA</v>
      </c>
      <c r="N4366" s="17" t="n">
        <v>1</v>
      </c>
      <c r="O4366" s="17" t="str">
        <f aca="false">VLOOKUP(N4366,Sheet2!G:H,2,0)</f>
        <v>Dead</v>
      </c>
      <c r="P4366" s="17" t="n">
        <v>11</v>
      </c>
      <c r="Q4366" s="17" t="str">
        <f aca="false">VLOOKUP(P4366,Sheet2!J:K,2,0)</f>
        <v>IR Declared due to CID -TA</v>
      </c>
      <c r="R4366" s="17" t="s">
        <v>35</v>
      </c>
      <c r="S4366" s="17" t="str">
        <f aca="false">VLOOKUP(R4366,Sheet2!N:O,2,0)</f>
        <v>IREPARABLE</v>
      </c>
      <c r="T4366" s="18" t="str">
        <f aca="false">VLOOKUP(P4366,Sheet2!Q:R,2,0)</f>
        <v>IR Normal - Track burn out</v>
      </c>
      <c r="U4366" s="20" t="s">
        <v>41</v>
      </c>
      <c r="V4366" s="17"/>
      <c r="W4366" s="20" t="e">
        <f aca="false">VLOOKUP(V4366,Sheet2!Q:R,2,0)</f>
        <v>#N/A</v>
      </c>
      <c r="X4366" s="17" t="n">
        <f aca="false">J4366</f>
        <v>0</v>
      </c>
      <c r="Y4366" s="17" t="e">
        <f aca="false">VLOOKUP(X4366,Sheet2!A:B,2,0)</f>
        <v>#N/A</v>
      </c>
      <c r="Z4366" s="17"/>
      <c r="AA4366" s="17"/>
      <c r="AC4366" s="23" t="str">
        <f aca="false">LEFT(G4366,2)</f>
        <v/>
      </c>
    </row>
    <row r="4367" customFormat="false" ht="15" hidden="false" customHeight="false" outlineLevel="0" collapsed="false">
      <c r="A4367" s="13" t="n">
        <f aca="false">1+A4366</f>
        <v>4365</v>
      </c>
      <c r="B4367" s="14" t="n">
        <v>100</v>
      </c>
      <c r="C4367" s="15"/>
      <c r="D4367" s="16" t="s">
        <v>64</v>
      </c>
      <c r="E4367" s="17" t="s">
        <v>47</v>
      </c>
      <c r="F4367" s="18" t="s">
        <v>34</v>
      </c>
      <c r="G4367" s="19"/>
      <c r="H4367" s="17" t="s">
        <v>35</v>
      </c>
      <c r="I4367" s="17" t="s">
        <v>44</v>
      </c>
      <c r="J4367" s="17"/>
      <c r="K4367" s="17" t="e">
        <f aca="false">VLOOKUP(J4367,Sheet2!A:B,2,0)</f>
        <v>#N/A</v>
      </c>
      <c r="L4367" s="17" t="n">
        <v>5</v>
      </c>
      <c r="M4367" s="17" t="str">
        <f aca="false">VLOOKUP(L4367,Sheet2!D:E,2,0)</f>
        <v>Main Processor CPU BGA</v>
      </c>
      <c r="N4367" s="17" t="n">
        <v>1</v>
      </c>
      <c r="O4367" s="17" t="str">
        <f aca="false">VLOOKUP(N4367,Sheet2!G:H,2,0)</f>
        <v>Dead</v>
      </c>
      <c r="P4367" s="17" t="n">
        <v>11</v>
      </c>
      <c r="Q4367" s="17" t="str">
        <f aca="false">VLOOKUP(P4367,Sheet2!J:K,2,0)</f>
        <v>IR Declared due to CID -TA</v>
      </c>
      <c r="R4367" s="17" t="s">
        <v>35</v>
      </c>
      <c r="S4367" s="17" t="str">
        <f aca="false">VLOOKUP(R4367,Sheet2!N:O,2,0)</f>
        <v>IREPARABLE</v>
      </c>
      <c r="T4367" s="18" t="str">
        <f aca="false">VLOOKUP(P4367,Sheet2!Q:R,2,0)</f>
        <v>IR Normal - Track burn out</v>
      </c>
      <c r="U4367" s="20" t="s">
        <v>41</v>
      </c>
      <c r="V4367" s="17"/>
      <c r="W4367" s="20" t="e">
        <f aca="false">VLOOKUP(V4367,Sheet2!Q:R,2,0)</f>
        <v>#N/A</v>
      </c>
      <c r="X4367" s="17" t="n">
        <f aca="false">J4367</f>
        <v>0</v>
      </c>
      <c r="Y4367" s="17" t="e">
        <f aca="false">VLOOKUP(X4367,Sheet2!A:B,2,0)</f>
        <v>#N/A</v>
      </c>
      <c r="Z4367" s="17"/>
      <c r="AA4367" s="17"/>
      <c r="AC4367" s="23" t="str">
        <f aca="false">LEFT(G4367,2)</f>
        <v/>
      </c>
    </row>
    <row r="4368" customFormat="false" ht="15" hidden="false" customHeight="false" outlineLevel="0" collapsed="false">
      <c r="A4368" s="13" t="n">
        <f aca="false">1+A4367</f>
        <v>4366</v>
      </c>
      <c r="B4368" s="14" t="n">
        <v>100</v>
      </c>
      <c r="C4368" s="15"/>
      <c r="D4368" s="16" t="s">
        <v>64</v>
      </c>
      <c r="E4368" s="17" t="s">
        <v>47</v>
      </c>
      <c r="F4368" s="18" t="s">
        <v>34</v>
      </c>
      <c r="G4368" s="19"/>
      <c r="H4368" s="17" t="s">
        <v>35</v>
      </c>
      <c r="I4368" s="17" t="s">
        <v>44</v>
      </c>
      <c r="J4368" s="17"/>
      <c r="K4368" s="17" t="e">
        <f aca="false">VLOOKUP(J4368,Sheet2!A:B,2,0)</f>
        <v>#N/A</v>
      </c>
      <c r="L4368" s="17" t="n">
        <v>5</v>
      </c>
      <c r="M4368" s="17" t="str">
        <f aca="false">VLOOKUP(L4368,Sheet2!D:E,2,0)</f>
        <v>Main Processor CPU BGA</v>
      </c>
      <c r="N4368" s="17" t="n">
        <v>1</v>
      </c>
      <c r="O4368" s="17" t="str">
        <f aca="false">VLOOKUP(N4368,Sheet2!G:H,2,0)</f>
        <v>Dead</v>
      </c>
      <c r="P4368" s="17" t="n">
        <v>11</v>
      </c>
      <c r="Q4368" s="17" t="str">
        <f aca="false">VLOOKUP(P4368,Sheet2!J:K,2,0)</f>
        <v>IR Declared due to CID -TA</v>
      </c>
      <c r="R4368" s="17" t="s">
        <v>35</v>
      </c>
      <c r="S4368" s="17" t="str">
        <f aca="false">VLOOKUP(R4368,Sheet2!N:O,2,0)</f>
        <v>IREPARABLE</v>
      </c>
      <c r="T4368" s="18" t="str">
        <f aca="false">VLOOKUP(P4368,Sheet2!Q:R,2,0)</f>
        <v>IR Normal - Track burn out</v>
      </c>
      <c r="U4368" s="20" t="s">
        <v>41</v>
      </c>
      <c r="V4368" s="17"/>
      <c r="W4368" s="20" t="e">
        <f aca="false">VLOOKUP(V4368,Sheet2!Q:R,2,0)</f>
        <v>#N/A</v>
      </c>
      <c r="X4368" s="17" t="n">
        <f aca="false">J4368</f>
        <v>0</v>
      </c>
      <c r="Y4368" s="17" t="e">
        <f aca="false">VLOOKUP(X4368,Sheet2!A:B,2,0)</f>
        <v>#N/A</v>
      </c>
      <c r="Z4368" s="17"/>
      <c r="AA4368" s="17"/>
      <c r="AC4368" s="23" t="str">
        <f aca="false">LEFT(G4368,2)</f>
        <v/>
      </c>
    </row>
    <row r="4369" customFormat="false" ht="15" hidden="false" customHeight="false" outlineLevel="0" collapsed="false">
      <c r="A4369" s="13" t="n">
        <f aca="false">1+A4368</f>
        <v>4367</v>
      </c>
      <c r="B4369" s="14" t="n">
        <v>100</v>
      </c>
      <c r="C4369" s="15"/>
      <c r="D4369" s="16" t="s">
        <v>64</v>
      </c>
      <c r="E4369" s="17" t="s">
        <v>47</v>
      </c>
      <c r="F4369" s="18" t="s">
        <v>34</v>
      </c>
      <c r="G4369" s="19"/>
      <c r="H4369" s="17" t="s">
        <v>35</v>
      </c>
      <c r="I4369" s="17" t="s">
        <v>44</v>
      </c>
      <c r="J4369" s="17"/>
      <c r="K4369" s="17" t="e">
        <f aca="false">VLOOKUP(J4369,Sheet2!A:B,2,0)</f>
        <v>#N/A</v>
      </c>
      <c r="L4369" s="17" t="n">
        <v>5</v>
      </c>
      <c r="M4369" s="17" t="str">
        <f aca="false">VLOOKUP(L4369,Sheet2!D:E,2,0)</f>
        <v>Main Processor CPU BGA</v>
      </c>
      <c r="N4369" s="17" t="n">
        <v>1</v>
      </c>
      <c r="O4369" s="17" t="str">
        <f aca="false">VLOOKUP(N4369,Sheet2!G:H,2,0)</f>
        <v>Dead</v>
      </c>
      <c r="P4369" s="17" t="n">
        <v>11</v>
      </c>
      <c r="Q4369" s="17" t="str">
        <f aca="false">VLOOKUP(P4369,Sheet2!J:K,2,0)</f>
        <v>IR Declared due to CID -TA</v>
      </c>
      <c r="R4369" s="17" t="s">
        <v>35</v>
      </c>
      <c r="S4369" s="17" t="str">
        <f aca="false">VLOOKUP(R4369,Sheet2!N:O,2,0)</f>
        <v>IREPARABLE</v>
      </c>
      <c r="T4369" s="18" t="str">
        <f aca="false">VLOOKUP(P4369,Sheet2!Q:R,2,0)</f>
        <v>IR Normal - Track burn out</v>
      </c>
      <c r="U4369" s="20" t="s">
        <v>41</v>
      </c>
      <c r="V4369" s="17"/>
      <c r="W4369" s="20" t="e">
        <f aca="false">VLOOKUP(V4369,Sheet2!Q:R,2,0)</f>
        <v>#N/A</v>
      </c>
      <c r="X4369" s="17" t="n">
        <f aca="false">J4369</f>
        <v>0</v>
      </c>
      <c r="Y4369" s="17" t="e">
        <f aca="false">VLOOKUP(X4369,Sheet2!A:B,2,0)</f>
        <v>#N/A</v>
      </c>
      <c r="Z4369" s="17"/>
      <c r="AA4369" s="17"/>
      <c r="AC4369" s="23" t="str">
        <f aca="false">LEFT(G4369,2)</f>
        <v/>
      </c>
    </row>
    <row r="4370" customFormat="false" ht="15" hidden="false" customHeight="false" outlineLevel="0" collapsed="false">
      <c r="A4370" s="13" t="n">
        <f aca="false">1+A4369</f>
        <v>4368</v>
      </c>
      <c r="B4370" s="14" t="n">
        <v>100</v>
      </c>
      <c r="C4370" s="15"/>
      <c r="D4370" s="16" t="s">
        <v>64</v>
      </c>
      <c r="E4370" s="17" t="s">
        <v>47</v>
      </c>
      <c r="F4370" s="18" t="s">
        <v>34</v>
      </c>
      <c r="G4370" s="19"/>
      <c r="H4370" s="17" t="s">
        <v>35</v>
      </c>
      <c r="I4370" s="17" t="s">
        <v>44</v>
      </c>
      <c r="J4370" s="17"/>
      <c r="K4370" s="17" t="e">
        <f aca="false">VLOOKUP(J4370,Sheet2!A:B,2,0)</f>
        <v>#N/A</v>
      </c>
      <c r="L4370" s="17" t="n">
        <v>5</v>
      </c>
      <c r="M4370" s="17" t="str">
        <f aca="false">VLOOKUP(L4370,Sheet2!D:E,2,0)</f>
        <v>Main Processor CPU BGA</v>
      </c>
      <c r="N4370" s="17" t="n">
        <v>1</v>
      </c>
      <c r="O4370" s="17" t="str">
        <f aca="false">VLOOKUP(N4370,Sheet2!G:H,2,0)</f>
        <v>Dead</v>
      </c>
      <c r="P4370" s="17" t="n">
        <v>11</v>
      </c>
      <c r="Q4370" s="17" t="str">
        <f aca="false">VLOOKUP(P4370,Sheet2!J:K,2,0)</f>
        <v>IR Declared due to CID -TA</v>
      </c>
      <c r="R4370" s="17" t="s">
        <v>35</v>
      </c>
      <c r="S4370" s="17" t="str">
        <f aca="false">VLOOKUP(R4370,Sheet2!N:O,2,0)</f>
        <v>IREPARABLE</v>
      </c>
      <c r="T4370" s="18" t="str">
        <f aca="false">VLOOKUP(P4370,Sheet2!Q:R,2,0)</f>
        <v>IR Normal - Track burn out</v>
      </c>
      <c r="U4370" s="20" t="s">
        <v>41</v>
      </c>
      <c r="V4370" s="17"/>
      <c r="W4370" s="20" t="e">
        <f aca="false">VLOOKUP(V4370,Sheet2!Q:R,2,0)</f>
        <v>#N/A</v>
      </c>
      <c r="X4370" s="17" t="n">
        <f aca="false">J4370</f>
        <v>0</v>
      </c>
      <c r="Y4370" s="17" t="e">
        <f aca="false">VLOOKUP(X4370,Sheet2!A:B,2,0)</f>
        <v>#N/A</v>
      </c>
      <c r="Z4370" s="17"/>
      <c r="AA4370" s="17"/>
      <c r="AC4370" s="23" t="str">
        <f aca="false">LEFT(G4370,2)</f>
        <v/>
      </c>
    </row>
    <row r="4371" customFormat="false" ht="15" hidden="false" customHeight="false" outlineLevel="0" collapsed="false">
      <c r="A4371" s="13" t="n">
        <f aca="false">1+A4370</f>
        <v>4369</v>
      </c>
      <c r="B4371" s="14" t="n">
        <v>100</v>
      </c>
      <c r="C4371" s="15"/>
      <c r="D4371" s="16" t="s">
        <v>64</v>
      </c>
      <c r="E4371" s="17" t="s">
        <v>47</v>
      </c>
      <c r="F4371" s="18" t="s">
        <v>34</v>
      </c>
      <c r="G4371" s="19"/>
      <c r="H4371" s="17" t="s">
        <v>35</v>
      </c>
      <c r="I4371" s="17" t="s">
        <v>44</v>
      </c>
      <c r="J4371" s="17"/>
      <c r="K4371" s="17" t="e">
        <f aca="false">VLOOKUP(J4371,Sheet2!A:B,2,0)</f>
        <v>#N/A</v>
      </c>
      <c r="L4371" s="17" t="n">
        <v>5</v>
      </c>
      <c r="M4371" s="17" t="str">
        <f aca="false">VLOOKUP(L4371,Sheet2!D:E,2,0)</f>
        <v>Main Processor CPU BGA</v>
      </c>
      <c r="N4371" s="17" t="n">
        <v>1</v>
      </c>
      <c r="O4371" s="17" t="str">
        <f aca="false">VLOOKUP(N4371,Sheet2!G:H,2,0)</f>
        <v>Dead</v>
      </c>
      <c r="P4371" s="17" t="n">
        <v>11</v>
      </c>
      <c r="Q4371" s="17" t="str">
        <f aca="false">VLOOKUP(P4371,Sheet2!J:K,2,0)</f>
        <v>IR Declared due to CID -TA</v>
      </c>
      <c r="R4371" s="17" t="s">
        <v>35</v>
      </c>
      <c r="S4371" s="17" t="str">
        <f aca="false">VLOOKUP(R4371,Sheet2!N:O,2,0)</f>
        <v>IREPARABLE</v>
      </c>
      <c r="T4371" s="18" t="str">
        <f aca="false">VLOOKUP(P4371,Sheet2!Q:R,2,0)</f>
        <v>IR Normal - Track burn out</v>
      </c>
      <c r="U4371" s="20" t="s">
        <v>41</v>
      </c>
      <c r="V4371" s="17"/>
      <c r="W4371" s="20" t="e">
        <f aca="false">VLOOKUP(V4371,Sheet2!Q:R,2,0)</f>
        <v>#N/A</v>
      </c>
      <c r="X4371" s="17" t="n">
        <f aca="false">J4371</f>
        <v>0</v>
      </c>
      <c r="Y4371" s="17" t="e">
        <f aca="false">VLOOKUP(X4371,Sheet2!A:B,2,0)</f>
        <v>#N/A</v>
      </c>
      <c r="Z4371" s="17"/>
      <c r="AA4371" s="17"/>
      <c r="AC4371" s="23" t="str">
        <f aca="false">LEFT(G4371,2)</f>
        <v/>
      </c>
    </row>
    <row r="4372" customFormat="false" ht="15" hidden="false" customHeight="false" outlineLevel="0" collapsed="false">
      <c r="A4372" s="13" t="n">
        <f aca="false">1+A4371</f>
        <v>4370</v>
      </c>
      <c r="B4372" s="14" t="n">
        <v>100</v>
      </c>
      <c r="C4372" s="15"/>
      <c r="D4372" s="16" t="s">
        <v>64</v>
      </c>
      <c r="E4372" s="17" t="s">
        <v>47</v>
      </c>
      <c r="F4372" s="18" t="s">
        <v>34</v>
      </c>
      <c r="G4372" s="19"/>
      <c r="H4372" s="17" t="s">
        <v>35</v>
      </c>
      <c r="I4372" s="17" t="s">
        <v>44</v>
      </c>
      <c r="J4372" s="17"/>
      <c r="K4372" s="17" t="e">
        <f aca="false">VLOOKUP(J4372,Sheet2!A:B,2,0)</f>
        <v>#N/A</v>
      </c>
      <c r="L4372" s="17" t="n">
        <v>5</v>
      </c>
      <c r="M4372" s="17" t="str">
        <f aca="false">VLOOKUP(L4372,Sheet2!D:E,2,0)</f>
        <v>Main Processor CPU BGA</v>
      </c>
      <c r="N4372" s="17" t="n">
        <v>1</v>
      </c>
      <c r="O4372" s="17" t="str">
        <f aca="false">VLOOKUP(N4372,Sheet2!G:H,2,0)</f>
        <v>Dead</v>
      </c>
      <c r="P4372" s="17" t="n">
        <v>11</v>
      </c>
      <c r="Q4372" s="17" t="str">
        <f aca="false">VLOOKUP(P4372,Sheet2!J:K,2,0)</f>
        <v>IR Declared due to CID -TA</v>
      </c>
      <c r="R4372" s="17" t="s">
        <v>35</v>
      </c>
      <c r="S4372" s="17" t="str">
        <f aca="false">VLOOKUP(R4372,Sheet2!N:O,2,0)</f>
        <v>IREPARABLE</v>
      </c>
      <c r="T4372" s="18" t="str">
        <f aca="false">VLOOKUP(P4372,Sheet2!Q:R,2,0)</f>
        <v>IR Normal - Track burn out</v>
      </c>
      <c r="U4372" s="20" t="s">
        <v>41</v>
      </c>
      <c r="V4372" s="17"/>
      <c r="W4372" s="20" t="e">
        <f aca="false">VLOOKUP(V4372,Sheet2!Q:R,2,0)</f>
        <v>#N/A</v>
      </c>
      <c r="X4372" s="17" t="n">
        <f aca="false">J4372</f>
        <v>0</v>
      </c>
      <c r="Y4372" s="17" t="e">
        <f aca="false">VLOOKUP(X4372,Sheet2!A:B,2,0)</f>
        <v>#N/A</v>
      </c>
      <c r="Z4372" s="17"/>
      <c r="AA4372" s="17"/>
      <c r="AC4372" s="23" t="str">
        <f aca="false">LEFT(G4372,2)</f>
        <v/>
      </c>
    </row>
    <row r="4373" customFormat="false" ht="15" hidden="false" customHeight="false" outlineLevel="0" collapsed="false">
      <c r="A4373" s="13" t="n">
        <f aca="false">1+A4372</f>
        <v>4371</v>
      </c>
      <c r="B4373" s="14" t="n">
        <v>100</v>
      </c>
      <c r="C4373" s="15"/>
      <c r="D4373" s="16" t="s">
        <v>64</v>
      </c>
      <c r="E4373" s="17" t="s">
        <v>47</v>
      </c>
      <c r="F4373" s="18" t="s">
        <v>34</v>
      </c>
      <c r="G4373" s="19"/>
      <c r="H4373" s="17" t="s">
        <v>35</v>
      </c>
      <c r="I4373" s="17" t="s">
        <v>44</v>
      </c>
      <c r="J4373" s="17"/>
      <c r="K4373" s="17" t="e">
        <f aca="false">VLOOKUP(J4373,Sheet2!A:B,2,0)</f>
        <v>#N/A</v>
      </c>
      <c r="L4373" s="17" t="n">
        <v>5</v>
      </c>
      <c r="M4373" s="17" t="str">
        <f aca="false">VLOOKUP(L4373,Sheet2!D:E,2,0)</f>
        <v>Main Processor CPU BGA</v>
      </c>
      <c r="N4373" s="17" t="n">
        <v>1</v>
      </c>
      <c r="O4373" s="17" t="str">
        <f aca="false">VLOOKUP(N4373,Sheet2!G:H,2,0)</f>
        <v>Dead</v>
      </c>
      <c r="P4373" s="17" t="n">
        <v>11</v>
      </c>
      <c r="Q4373" s="17" t="str">
        <f aca="false">VLOOKUP(P4373,Sheet2!J:K,2,0)</f>
        <v>IR Declared due to CID -TA</v>
      </c>
      <c r="R4373" s="17" t="s">
        <v>35</v>
      </c>
      <c r="S4373" s="17" t="str">
        <f aca="false">VLOOKUP(R4373,Sheet2!N:O,2,0)</f>
        <v>IREPARABLE</v>
      </c>
      <c r="T4373" s="18" t="str">
        <f aca="false">VLOOKUP(P4373,Sheet2!Q:R,2,0)</f>
        <v>IR Normal - Track burn out</v>
      </c>
      <c r="U4373" s="20" t="s">
        <v>41</v>
      </c>
      <c r="V4373" s="17"/>
      <c r="W4373" s="20" t="e">
        <f aca="false">VLOOKUP(V4373,Sheet2!Q:R,2,0)</f>
        <v>#N/A</v>
      </c>
      <c r="X4373" s="17" t="n">
        <f aca="false">J4373</f>
        <v>0</v>
      </c>
      <c r="Y4373" s="17" t="e">
        <f aca="false">VLOOKUP(X4373,Sheet2!A:B,2,0)</f>
        <v>#N/A</v>
      </c>
      <c r="Z4373" s="17"/>
      <c r="AA4373" s="17"/>
      <c r="AC4373" s="23" t="str">
        <f aca="false">LEFT(G4373,2)</f>
        <v/>
      </c>
    </row>
    <row r="4374" customFormat="false" ht="15" hidden="false" customHeight="false" outlineLevel="0" collapsed="false">
      <c r="A4374" s="13" t="n">
        <f aca="false">1+A4373</f>
        <v>4372</v>
      </c>
      <c r="B4374" s="14" t="n">
        <v>100</v>
      </c>
      <c r="C4374" s="15"/>
      <c r="D4374" s="16" t="s">
        <v>64</v>
      </c>
      <c r="E4374" s="17" t="s">
        <v>47</v>
      </c>
      <c r="F4374" s="18" t="s">
        <v>34</v>
      </c>
      <c r="G4374" s="19"/>
      <c r="H4374" s="17" t="s">
        <v>35</v>
      </c>
      <c r="I4374" s="17" t="s">
        <v>44</v>
      </c>
      <c r="J4374" s="17"/>
      <c r="K4374" s="17" t="e">
        <f aca="false">VLOOKUP(J4374,Sheet2!A:B,2,0)</f>
        <v>#N/A</v>
      </c>
      <c r="L4374" s="17" t="n">
        <v>5</v>
      </c>
      <c r="M4374" s="17" t="str">
        <f aca="false">VLOOKUP(L4374,Sheet2!D:E,2,0)</f>
        <v>Main Processor CPU BGA</v>
      </c>
      <c r="N4374" s="17" t="n">
        <v>1</v>
      </c>
      <c r="O4374" s="17" t="str">
        <f aca="false">VLOOKUP(N4374,Sheet2!G:H,2,0)</f>
        <v>Dead</v>
      </c>
      <c r="P4374" s="17" t="n">
        <v>11</v>
      </c>
      <c r="Q4374" s="17" t="str">
        <f aca="false">VLOOKUP(P4374,Sheet2!J:K,2,0)</f>
        <v>IR Declared due to CID -TA</v>
      </c>
      <c r="R4374" s="17" t="s">
        <v>35</v>
      </c>
      <c r="S4374" s="17" t="str">
        <f aca="false">VLOOKUP(R4374,Sheet2!N:O,2,0)</f>
        <v>IREPARABLE</v>
      </c>
      <c r="T4374" s="18" t="str">
        <f aca="false">VLOOKUP(P4374,Sheet2!Q:R,2,0)</f>
        <v>IR Normal - Track burn out</v>
      </c>
      <c r="U4374" s="20" t="s">
        <v>41</v>
      </c>
      <c r="V4374" s="17"/>
      <c r="W4374" s="20" t="e">
        <f aca="false">VLOOKUP(V4374,Sheet2!Q:R,2,0)</f>
        <v>#N/A</v>
      </c>
      <c r="X4374" s="17" t="n">
        <f aca="false">J4374</f>
        <v>0</v>
      </c>
      <c r="Y4374" s="17" t="e">
        <f aca="false">VLOOKUP(X4374,Sheet2!A:B,2,0)</f>
        <v>#N/A</v>
      </c>
      <c r="Z4374" s="17"/>
      <c r="AA4374" s="17"/>
      <c r="AC4374" s="23" t="str">
        <f aca="false">LEFT(G4374,2)</f>
        <v/>
      </c>
    </row>
    <row r="4375" customFormat="false" ht="15" hidden="false" customHeight="false" outlineLevel="0" collapsed="false">
      <c r="A4375" s="13" t="n">
        <f aca="false">1+A4374</f>
        <v>4373</v>
      </c>
      <c r="B4375" s="14" t="n">
        <v>100</v>
      </c>
      <c r="C4375" s="15"/>
      <c r="D4375" s="16" t="s">
        <v>64</v>
      </c>
      <c r="E4375" s="17" t="s">
        <v>47</v>
      </c>
      <c r="F4375" s="18" t="s">
        <v>34</v>
      </c>
      <c r="G4375" s="19"/>
      <c r="H4375" s="17" t="s">
        <v>35</v>
      </c>
      <c r="I4375" s="17" t="s">
        <v>44</v>
      </c>
      <c r="J4375" s="17"/>
      <c r="K4375" s="17" t="e">
        <f aca="false">VLOOKUP(J4375,Sheet2!A:B,2,0)</f>
        <v>#N/A</v>
      </c>
      <c r="L4375" s="17" t="n">
        <v>5</v>
      </c>
      <c r="M4375" s="17" t="str">
        <f aca="false">VLOOKUP(L4375,Sheet2!D:E,2,0)</f>
        <v>Main Processor CPU BGA</v>
      </c>
      <c r="N4375" s="17" t="n">
        <v>1</v>
      </c>
      <c r="O4375" s="17" t="str">
        <f aca="false">VLOOKUP(N4375,Sheet2!G:H,2,0)</f>
        <v>Dead</v>
      </c>
      <c r="P4375" s="17" t="n">
        <v>11</v>
      </c>
      <c r="Q4375" s="17" t="str">
        <f aca="false">VLOOKUP(P4375,Sheet2!J:K,2,0)</f>
        <v>IR Declared due to CID -TA</v>
      </c>
      <c r="R4375" s="17" t="s">
        <v>35</v>
      </c>
      <c r="S4375" s="17" t="str">
        <f aca="false">VLOOKUP(R4375,Sheet2!N:O,2,0)</f>
        <v>IREPARABLE</v>
      </c>
      <c r="T4375" s="18" t="str">
        <f aca="false">VLOOKUP(P4375,Sheet2!Q:R,2,0)</f>
        <v>IR Normal - Track burn out</v>
      </c>
      <c r="U4375" s="20" t="s">
        <v>41</v>
      </c>
      <c r="V4375" s="17"/>
      <c r="W4375" s="20" t="e">
        <f aca="false">VLOOKUP(V4375,Sheet2!Q:R,2,0)</f>
        <v>#N/A</v>
      </c>
      <c r="X4375" s="17" t="n">
        <f aca="false">J4375</f>
        <v>0</v>
      </c>
      <c r="Y4375" s="17" t="e">
        <f aca="false">VLOOKUP(X4375,Sheet2!A:B,2,0)</f>
        <v>#N/A</v>
      </c>
      <c r="Z4375" s="17"/>
      <c r="AA4375" s="17"/>
      <c r="AC4375" s="23" t="str">
        <f aca="false">LEFT(G4375,2)</f>
        <v/>
      </c>
    </row>
    <row r="4376" customFormat="false" ht="15" hidden="false" customHeight="false" outlineLevel="0" collapsed="false">
      <c r="A4376" s="13" t="n">
        <f aca="false">1+A4375</f>
        <v>4374</v>
      </c>
      <c r="B4376" s="14" t="n">
        <v>100</v>
      </c>
      <c r="C4376" s="15"/>
      <c r="D4376" s="16" t="s">
        <v>64</v>
      </c>
      <c r="E4376" s="17" t="s">
        <v>47</v>
      </c>
      <c r="F4376" s="18" t="s">
        <v>34</v>
      </c>
      <c r="G4376" s="19"/>
      <c r="H4376" s="17" t="s">
        <v>35</v>
      </c>
      <c r="I4376" s="17" t="s">
        <v>44</v>
      </c>
      <c r="J4376" s="17"/>
      <c r="K4376" s="17" t="e">
        <f aca="false">VLOOKUP(J4376,Sheet2!A:B,2,0)</f>
        <v>#N/A</v>
      </c>
      <c r="L4376" s="17" t="n">
        <v>5</v>
      </c>
      <c r="M4376" s="17" t="str">
        <f aca="false">VLOOKUP(L4376,Sheet2!D:E,2,0)</f>
        <v>Main Processor CPU BGA</v>
      </c>
      <c r="N4376" s="17" t="n">
        <v>1</v>
      </c>
      <c r="O4376" s="17" t="str">
        <f aca="false">VLOOKUP(N4376,Sheet2!G:H,2,0)</f>
        <v>Dead</v>
      </c>
      <c r="P4376" s="17" t="n">
        <v>11</v>
      </c>
      <c r="Q4376" s="17" t="str">
        <f aca="false">VLOOKUP(P4376,Sheet2!J:K,2,0)</f>
        <v>IR Declared due to CID -TA</v>
      </c>
      <c r="R4376" s="17" t="s">
        <v>35</v>
      </c>
      <c r="S4376" s="17" t="str">
        <f aca="false">VLOOKUP(R4376,Sheet2!N:O,2,0)</f>
        <v>IREPARABLE</v>
      </c>
      <c r="T4376" s="18" t="str">
        <f aca="false">VLOOKUP(P4376,Sheet2!Q:R,2,0)</f>
        <v>IR Normal - Track burn out</v>
      </c>
      <c r="U4376" s="20" t="s">
        <v>41</v>
      </c>
      <c r="V4376" s="17"/>
      <c r="W4376" s="20" t="e">
        <f aca="false">VLOOKUP(V4376,Sheet2!Q:R,2,0)</f>
        <v>#N/A</v>
      </c>
      <c r="X4376" s="17" t="n">
        <f aca="false">J4376</f>
        <v>0</v>
      </c>
      <c r="Y4376" s="17" t="e">
        <f aca="false">VLOOKUP(X4376,Sheet2!A:B,2,0)</f>
        <v>#N/A</v>
      </c>
      <c r="Z4376" s="17"/>
      <c r="AA4376" s="17"/>
      <c r="AC4376" s="23" t="str">
        <f aca="false">LEFT(G4376,2)</f>
        <v/>
      </c>
    </row>
    <row r="4377" customFormat="false" ht="15" hidden="false" customHeight="false" outlineLevel="0" collapsed="false">
      <c r="A4377" s="13" t="n">
        <f aca="false">1+A4376</f>
        <v>4375</v>
      </c>
      <c r="B4377" s="14" t="n">
        <v>100</v>
      </c>
      <c r="C4377" s="15"/>
      <c r="D4377" s="16" t="s">
        <v>64</v>
      </c>
      <c r="E4377" s="17" t="s">
        <v>47</v>
      </c>
      <c r="F4377" s="18" t="s">
        <v>34</v>
      </c>
      <c r="G4377" s="19"/>
      <c r="H4377" s="17" t="s">
        <v>35</v>
      </c>
      <c r="I4377" s="17" t="s">
        <v>44</v>
      </c>
      <c r="J4377" s="17"/>
      <c r="K4377" s="17" t="e">
        <f aca="false">VLOOKUP(J4377,Sheet2!A:B,2,0)</f>
        <v>#N/A</v>
      </c>
      <c r="L4377" s="17" t="n">
        <v>5</v>
      </c>
      <c r="M4377" s="17" t="str">
        <f aca="false">VLOOKUP(L4377,Sheet2!D:E,2,0)</f>
        <v>Main Processor CPU BGA</v>
      </c>
      <c r="N4377" s="17" t="n">
        <v>1</v>
      </c>
      <c r="O4377" s="17" t="str">
        <f aca="false">VLOOKUP(N4377,Sheet2!G:H,2,0)</f>
        <v>Dead</v>
      </c>
      <c r="P4377" s="17" t="n">
        <v>11</v>
      </c>
      <c r="Q4377" s="17" t="str">
        <f aca="false">VLOOKUP(P4377,Sheet2!J:K,2,0)</f>
        <v>IR Declared due to CID -TA</v>
      </c>
      <c r="R4377" s="17" t="s">
        <v>35</v>
      </c>
      <c r="S4377" s="17" t="str">
        <f aca="false">VLOOKUP(R4377,Sheet2!N:O,2,0)</f>
        <v>IREPARABLE</v>
      </c>
      <c r="T4377" s="18" t="str">
        <f aca="false">VLOOKUP(P4377,Sheet2!Q:R,2,0)</f>
        <v>IR Normal - Track burn out</v>
      </c>
      <c r="U4377" s="20" t="s">
        <v>41</v>
      </c>
      <c r="V4377" s="17"/>
      <c r="W4377" s="20" t="e">
        <f aca="false">VLOOKUP(V4377,Sheet2!Q:R,2,0)</f>
        <v>#N/A</v>
      </c>
      <c r="X4377" s="17" t="n">
        <f aca="false">J4377</f>
        <v>0</v>
      </c>
      <c r="Y4377" s="17" t="e">
        <f aca="false">VLOOKUP(X4377,Sheet2!A:B,2,0)</f>
        <v>#N/A</v>
      </c>
      <c r="Z4377" s="17"/>
      <c r="AA4377" s="17"/>
      <c r="AC4377" s="23" t="str">
        <f aca="false">LEFT(G4377,2)</f>
        <v/>
      </c>
    </row>
    <row r="4378" customFormat="false" ht="15" hidden="false" customHeight="false" outlineLevel="0" collapsed="false">
      <c r="A4378" s="13" t="n">
        <f aca="false">1+A4377</f>
        <v>4376</v>
      </c>
      <c r="B4378" s="14" t="n">
        <v>100</v>
      </c>
      <c r="C4378" s="15"/>
      <c r="D4378" s="16" t="s">
        <v>64</v>
      </c>
      <c r="E4378" s="17" t="s">
        <v>47</v>
      </c>
      <c r="F4378" s="18" t="s">
        <v>34</v>
      </c>
      <c r="G4378" s="19"/>
      <c r="H4378" s="17" t="s">
        <v>35</v>
      </c>
      <c r="I4378" s="17" t="s">
        <v>44</v>
      </c>
      <c r="J4378" s="17"/>
      <c r="K4378" s="17" t="e">
        <f aca="false">VLOOKUP(J4378,Sheet2!A:B,2,0)</f>
        <v>#N/A</v>
      </c>
      <c r="L4378" s="17" t="n">
        <v>5</v>
      </c>
      <c r="M4378" s="17" t="str">
        <f aca="false">VLOOKUP(L4378,Sheet2!D:E,2,0)</f>
        <v>Main Processor CPU BGA</v>
      </c>
      <c r="N4378" s="17" t="n">
        <v>1</v>
      </c>
      <c r="O4378" s="17" t="str">
        <f aca="false">VLOOKUP(N4378,Sheet2!G:H,2,0)</f>
        <v>Dead</v>
      </c>
      <c r="P4378" s="17" t="n">
        <v>11</v>
      </c>
      <c r="Q4378" s="17" t="str">
        <f aca="false">VLOOKUP(P4378,Sheet2!J:K,2,0)</f>
        <v>IR Declared due to CID -TA</v>
      </c>
      <c r="R4378" s="17" t="s">
        <v>35</v>
      </c>
      <c r="S4378" s="17" t="str">
        <f aca="false">VLOOKUP(R4378,Sheet2!N:O,2,0)</f>
        <v>IREPARABLE</v>
      </c>
      <c r="T4378" s="18" t="str">
        <f aca="false">VLOOKUP(P4378,Sheet2!Q:R,2,0)</f>
        <v>IR Normal - Track burn out</v>
      </c>
      <c r="U4378" s="20" t="s">
        <v>41</v>
      </c>
      <c r="V4378" s="17"/>
      <c r="W4378" s="20" t="e">
        <f aca="false">VLOOKUP(V4378,Sheet2!Q:R,2,0)</f>
        <v>#N/A</v>
      </c>
      <c r="X4378" s="17" t="n">
        <f aca="false">J4378</f>
        <v>0</v>
      </c>
      <c r="Y4378" s="17" t="e">
        <f aca="false">VLOOKUP(X4378,Sheet2!A:B,2,0)</f>
        <v>#N/A</v>
      </c>
      <c r="Z4378" s="17"/>
      <c r="AA4378" s="17"/>
      <c r="AC4378" s="23" t="str">
        <f aca="false">LEFT(G4378,2)</f>
        <v/>
      </c>
    </row>
    <row r="4379" customFormat="false" ht="15" hidden="false" customHeight="false" outlineLevel="0" collapsed="false">
      <c r="A4379" s="13" t="n">
        <f aca="false">1+A4378</f>
        <v>4377</v>
      </c>
      <c r="B4379" s="14" t="n">
        <v>100</v>
      </c>
      <c r="C4379" s="15"/>
      <c r="D4379" s="16" t="s">
        <v>64</v>
      </c>
      <c r="E4379" s="17" t="s">
        <v>47</v>
      </c>
      <c r="F4379" s="18" t="s">
        <v>34</v>
      </c>
      <c r="G4379" s="19"/>
      <c r="H4379" s="17" t="s">
        <v>35</v>
      </c>
      <c r="I4379" s="17" t="s">
        <v>44</v>
      </c>
      <c r="J4379" s="17"/>
      <c r="K4379" s="17" t="e">
        <f aca="false">VLOOKUP(J4379,Sheet2!A:B,2,0)</f>
        <v>#N/A</v>
      </c>
      <c r="L4379" s="17" t="n">
        <v>5</v>
      </c>
      <c r="M4379" s="17" t="str">
        <f aca="false">VLOOKUP(L4379,Sheet2!D:E,2,0)</f>
        <v>Main Processor CPU BGA</v>
      </c>
      <c r="N4379" s="17" t="n">
        <v>1</v>
      </c>
      <c r="O4379" s="17" t="str">
        <f aca="false">VLOOKUP(N4379,Sheet2!G:H,2,0)</f>
        <v>Dead</v>
      </c>
      <c r="P4379" s="17" t="n">
        <v>11</v>
      </c>
      <c r="Q4379" s="17" t="str">
        <f aca="false">VLOOKUP(P4379,Sheet2!J:K,2,0)</f>
        <v>IR Declared due to CID -TA</v>
      </c>
      <c r="R4379" s="17" t="s">
        <v>35</v>
      </c>
      <c r="S4379" s="17" t="str">
        <f aca="false">VLOOKUP(R4379,Sheet2!N:O,2,0)</f>
        <v>IREPARABLE</v>
      </c>
      <c r="T4379" s="18" t="str">
        <f aca="false">VLOOKUP(P4379,Sheet2!Q:R,2,0)</f>
        <v>IR Normal - Track burn out</v>
      </c>
      <c r="U4379" s="20" t="s">
        <v>41</v>
      </c>
      <c r="V4379" s="17"/>
      <c r="W4379" s="20" t="e">
        <f aca="false">VLOOKUP(V4379,Sheet2!Q:R,2,0)</f>
        <v>#N/A</v>
      </c>
      <c r="X4379" s="17" t="n">
        <f aca="false">J4379</f>
        <v>0</v>
      </c>
      <c r="Y4379" s="17" t="e">
        <f aca="false">VLOOKUP(X4379,Sheet2!A:B,2,0)</f>
        <v>#N/A</v>
      </c>
      <c r="Z4379" s="17"/>
      <c r="AA4379" s="17"/>
      <c r="AC4379" s="23" t="str">
        <f aca="false">LEFT(G4379,2)</f>
        <v/>
      </c>
    </row>
    <row r="4380" customFormat="false" ht="15" hidden="false" customHeight="false" outlineLevel="0" collapsed="false">
      <c r="A4380" s="13" t="n">
        <f aca="false">1+A4379</f>
        <v>4378</v>
      </c>
      <c r="B4380" s="14" t="n">
        <v>100</v>
      </c>
      <c r="C4380" s="15"/>
      <c r="D4380" s="16" t="s">
        <v>64</v>
      </c>
      <c r="E4380" s="17" t="s">
        <v>47</v>
      </c>
      <c r="F4380" s="18" t="s">
        <v>34</v>
      </c>
      <c r="G4380" s="19"/>
      <c r="H4380" s="17" t="s">
        <v>35</v>
      </c>
      <c r="I4380" s="17" t="s">
        <v>44</v>
      </c>
      <c r="J4380" s="17"/>
      <c r="K4380" s="17" t="e">
        <f aca="false">VLOOKUP(J4380,Sheet2!A:B,2,0)</f>
        <v>#N/A</v>
      </c>
      <c r="L4380" s="17" t="n">
        <v>5</v>
      </c>
      <c r="M4380" s="17" t="str">
        <f aca="false">VLOOKUP(L4380,Sheet2!D:E,2,0)</f>
        <v>Main Processor CPU BGA</v>
      </c>
      <c r="N4380" s="17" t="n">
        <v>1</v>
      </c>
      <c r="O4380" s="17" t="str">
        <f aca="false">VLOOKUP(N4380,Sheet2!G:H,2,0)</f>
        <v>Dead</v>
      </c>
      <c r="P4380" s="17" t="n">
        <v>11</v>
      </c>
      <c r="Q4380" s="17" t="str">
        <f aca="false">VLOOKUP(P4380,Sheet2!J:K,2,0)</f>
        <v>IR Declared due to CID -TA</v>
      </c>
      <c r="R4380" s="17" t="s">
        <v>35</v>
      </c>
      <c r="S4380" s="17" t="str">
        <f aca="false">VLOOKUP(R4380,Sheet2!N:O,2,0)</f>
        <v>IREPARABLE</v>
      </c>
      <c r="T4380" s="18" t="str">
        <f aca="false">VLOOKUP(P4380,Sheet2!Q:R,2,0)</f>
        <v>IR Normal - Track burn out</v>
      </c>
      <c r="U4380" s="20" t="s">
        <v>41</v>
      </c>
      <c r="V4380" s="17"/>
      <c r="W4380" s="20" t="e">
        <f aca="false">VLOOKUP(V4380,Sheet2!Q:R,2,0)</f>
        <v>#N/A</v>
      </c>
      <c r="X4380" s="17" t="n">
        <f aca="false">J4380</f>
        <v>0</v>
      </c>
      <c r="Y4380" s="17" t="e">
        <f aca="false">VLOOKUP(X4380,Sheet2!A:B,2,0)</f>
        <v>#N/A</v>
      </c>
      <c r="Z4380" s="17"/>
      <c r="AA4380" s="17"/>
      <c r="AC4380" s="23" t="str">
        <f aca="false">LEFT(G4380,2)</f>
        <v/>
      </c>
    </row>
    <row r="4381" customFormat="false" ht="15" hidden="false" customHeight="false" outlineLevel="0" collapsed="false">
      <c r="A4381" s="13" t="n">
        <f aca="false">1+A4380</f>
        <v>4379</v>
      </c>
      <c r="B4381" s="14" t="n">
        <v>100</v>
      </c>
      <c r="C4381" s="15"/>
      <c r="D4381" s="16" t="s">
        <v>64</v>
      </c>
      <c r="E4381" s="17" t="s">
        <v>47</v>
      </c>
      <c r="F4381" s="18" t="s">
        <v>34</v>
      </c>
      <c r="G4381" s="19"/>
      <c r="H4381" s="17" t="s">
        <v>35</v>
      </c>
      <c r="I4381" s="17" t="s">
        <v>44</v>
      </c>
      <c r="J4381" s="17"/>
      <c r="K4381" s="17" t="e">
        <f aca="false">VLOOKUP(J4381,Sheet2!A:B,2,0)</f>
        <v>#N/A</v>
      </c>
      <c r="L4381" s="17" t="n">
        <v>5</v>
      </c>
      <c r="M4381" s="17" t="str">
        <f aca="false">VLOOKUP(L4381,Sheet2!D:E,2,0)</f>
        <v>Main Processor CPU BGA</v>
      </c>
      <c r="N4381" s="17" t="n">
        <v>1</v>
      </c>
      <c r="O4381" s="17" t="str">
        <f aca="false">VLOOKUP(N4381,Sheet2!G:H,2,0)</f>
        <v>Dead</v>
      </c>
      <c r="P4381" s="17" t="n">
        <v>11</v>
      </c>
      <c r="Q4381" s="17" t="str">
        <f aca="false">VLOOKUP(P4381,Sheet2!J:K,2,0)</f>
        <v>IR Declared due to CID -TA</v>
      </c>
      <c r="R4381" s="17" t="s">
        <v>35</v>
      </c>
      <c r="S4381" s="17" t="str">
        <f aca="false">VLOOKUP(R4381,Sheet2!N:O,2,0)</f>
        <v>IREPARABLE</v>
      </c>
      <c r="T4381" s="18" t="str">
        <f aca="false">VLOOKUP(P4381,Sheet2!Q:R,2,0)</f>
        <v>IR Normal - Track burn out</v>
      </c>
      <c r="U4381" s="20" t="s">
        <v>41</v>
      </c>
      <c r="V4381" s="17"/>
      <c r="W4381" s="20" t="e">
        <f aca="false">VLOOKUP(V4381,Sheet2!Q:R,2,0)</f>
        <v>#N/A</v>
      </c>
      <c r="X4381" s="17" t="n">
        <f aca="false">J4381</f>
        <v>0</v>
      </c>
      <c r="Y4381" s="17" t="e">
        <f aca="false">VLOOKUP(X4381,Sheet2!A:B,2,0)</f>
        <v>#N/A</v>
      </c>
      <c r="Z4381" s="17"/>
      <c r="AA4381" s="17"/>
      <c r="AC4381" s="23" t="str">
        <f aca="false">LEFT(G4381,2)</f>
        <v/>
      </c>
    </row>
    <row r="4382" customFormat="false" ht="15" hidden="false" customHeight="false" outlineLevel="0" collapsed="false">
      <c r="A4382" s="13" t="n">
        <f aca="false">1+A4381</f>
        <v>4380</v>
      </c>
      <c r="B4382" s="14" t="n">
        <v>100</v>
      </c>
      <c r="C4382" s="15"/>
      <c r="D4382" s="16" t="s">
        <v>64</v>
      </c>
      <c r="E4382" s="17" t="s">
        <v>47</v>
      </c>
      <c r="F4382" s="18" t="s">
        <v>34</v>
      </c>
      <c r="G4382" s="19"/>
      <c r="H4382" s="17" t="s">
        <v>35</v>
      </c>
      <c r="I4382" s="17" t="s">
        <v>44</v>
      </c>
      <c r="J4382" s="17"/>
      <c r="K4382" s="17" t="e">
        <f aca="false">VLOOKUP(J4382,Sheet2!A:B,2,0)</f>
        <v>#N/A</v>
      </c>
      <c r="L4382" s="17" t="n">
        <v>5</v>
      </c>
      <c r="M4382" s="17" t="str">
        <f aca="false">VLOOKUP(L4382,Sheet2!D:E,2,0)</f>
        <v>Main Processor CPU BGA</v>
      </c>
      <c r="N4382" s="17" t="n">
        <v>1</v>
      </c>
      <c r="O4382" s="17" t="str">
        <f aca="false">VLOOKUP(N4382,Sheet2!G:H,2,0)</f>
        <v>Dead</v>
      </c>
      <c r="P4382" s="17" t="n">
        <v>11</v>
      </c>
      <c r="Q4382" s="17" t="str">
        <f aca="false">VLOOKUP(P4382,Sheet2!J:K,2,0)</f>
        <v>IR Declared due to CID -TA</v>
      </c>
      <c r="R4382" s="17" t="s">
        <v>35</v>
      </c>
      <c r="S4382" s="17" t="str">
        <f aca="false">VLOOKUP(R4382,Sheet2!N:O,2,0)</f>
        <v>IREPARABLE</v>
      </c>
      <c r="T4382" s="18" t="str">
        <f aca="false">VLOOKUP(P4382,Sheet2!Q:R,2,0)</f>
        <v>IR Normal - Track burn out</v>
      </c>
      <c r="U4382" s="20" t="s">
        <v>41</v>
      </c>
      <c r="V4382" s="17"/>
      <c r="W4382" s="20" t="e">
        <f aca="false">VLOOKUP(V4382,Sheet2!Q:R,2,0)</f>
        <v>#N/A</v>
      </c>
      <c r="X4382" s="17" t="n">
        <f aca="false">J4382</f>
        <v>0</v>
      </c>
      <c r="Y4382" s="17" t="e">
        <f aca="false">VLOOKUP(X4382,Sheet2!A:B,2,0)</f>
        <v>#N/A</v>
      </c>
      <c r="Z4382" s="17"/>
      <c r="AA4382" s="17"/>
      <c r="AC4382" s="23" t="str">
        <f aca="false">LEFT(G4382,2)</f>
        <v/>
      </c>
    </row>
    <row r="4383" customFormat="false" ht="15" hidden="false" customHeight="false" outlineLevel="0" collapsed="false">
      <c r="A4383" s="13" t="n">
        <f aca="false">1+A4382</f>
        <v>4381</v>
      </c>
      <c r="B4383" s="14" t="n">
        <v>100</v>
      </c>
      <c r="C4383" s="15"/>
      <c r="D4383" s="16" t="s">
        <v>64</v>
      </c>
      <c r="E4383" s="17" t="s">
        <v>47</v>
      </c>
      <c r="F4383" s="18" t="s">
        <v>34</v>
      </c>
      <c r="G4383" s="19"/>
      <c r="H4383" s="17" t="s">
        <v>35</v>
      </c>
      <c r="I4383" s="17" t="s">
        <v>44</v>
      </c>
      <c r="J4383" s="17"/>
      <c r="K4383" s="17" t="e">
        <f aca="false">VLOOKUP(J4383,Sheet2!A:B,2,0)</f>
        <v>#N/A</v>
      </c>
      <c r="L4383" s="17" t="n">
        <v>5</v>
      </c>
      <c r="M4383" s="17" t="str">
        <f aca="false">VLOOKUP(L4383,Sheet2!D:E,2,0)</f>
        <v>Main Processor CPU BGA</v>
      </c>
      <c r="N4383" s="17" t="n">
        <v>1</v>
      </c>
      <c r="O4383" s="17" t="str">
        <f aca="false">VLOOKUP(N4383,Sheet2!G:H,2,0)</f>
        <v>Dead</v>
      </c>
      <c r="P4383" s="17" t="n">
        <v>11</v>
      </c>
      <c r="Q4383" s="17" t="str">
        <f aca="false">VLOOKUP(P4383,Sheet2!J:K,2,0)</f>
        <v>IR Declared due to CID -TA</v>
      </c>
      <c r="R4383" s="17" t="s">
        <v>35</v>
      </c>
      <c r="S4383" s="17" t="str">
        <f aca="false">VLOOKUP(R4383,Sheet2!N:O,2,0)</f>
        <v>IREPARABLE</v>
      </c>
      <c r="T4383" s="18" t="str">
        <f aca="false">VLOOKUP(P4383,Sheet2!Q:R,2,0)</f>
        <v>IR Normal - Track burn out</v>
      </c>
      <c r="U4383" s="20" t="s">
        <v>41</v>
      </c>
      <c r="V4383" s="17"/>
      <c r="W4383" s="20" t="e">
        <f aca="false">VLOOKUP(V4383,Sheet2!Q:R,2,0)</f>
        <v>#N/A</v>
      </c>
      <c r="X4383" s="17" t="n">
        <f aca="false">J4383</f>
        <v>0</v>
      </c>
      <c r="Y4383" s="17" t="e">
        <f aca="false">VLOOKUP(X4383,Sheet2!A:B,2,0)</f>
        <v>#N/A</v>
      </c>
      <c r="Z4383" s="17"/>
      <c r="AA4383" s="17"/>
      <c r="AC4383" s="23" t="str">
        <f aca="false">LEFT(G4383,2)</f>
        <v/>
      </c>
    </row>
    <row r="4384" customFormat="false" ht="15" hidden="false" customHeight="false" outlineLevel="0" collapsed="false">
      <c r="A4384" s="13" t="n">
        <f aca="false">1+A4383</f>
        <v>4382</v>
      </c>
      <c r="B4384" s="14" t="n">
        <v>100</v>
      </c>
      <c r="C4384" s="15"/>
      <c r="D4384" s="16" t="s">
        <v>64</v>
      </c>
      <c r="E4384" s="17" t="s">
        <v>47</v>
      </c>
      <c r="F4384" s="18" t="s">
        <v>34</v>
      </c>
      <c r="G4384" s="19"/>
      <c r="H4384" s="17" t="s">
        <v>35</v>
      </c>
      <c r="I4384" s="17" t="s">
        <v>44</v>
      </c>
      <c r="J4384" s="17"/>
      <c r="K4384" s="17" t="e">
        <f aca="false">VLOOKUP(J4384,Sheet2!A:B,2,0)</f>
        <v>#N/A</v>
      </c>
      <c r="L4384" s="17" t="n">
        <v>5</v>
      </c>
      <c r="M4384" s="17" t="str">
        <f aca="false">VLOOKUP(L4384,Sheet2!D:E,2,0)</f>
        <v>Main Processor CPU BGA</v>
      </c>
      <c r="N4384" s="17" t="n">
        <v>1</v>
      </c>
      <c r="O4384" s="17" t="str">
        <f aca="false">VLOOKUP(N4384,Sheet2!G:H,2,0)</f>
        <v>Dead</v>
      </c>
      <c r="P4384" s="17" t="n">
        <v>11</v>
      </c>
      <c r="Q4384" s="17" t="str">
        <f aca="false">VLOOKUP(P4384,Sheet2!J:K,2,0)</f>
        <v>IR Declared due to CID -TA</v>
      </c>
      <c r="R4384" s="17" t="s">
        <v>35</v>
      </c>
      <c r="S4384" s="17" t="str">
        <f aca="false">VLOOKUP(R4384,Sheet2!N:O,2,0)</f>
        <v>IREPARABLE</v>
      </c>
      <c r="T4384" s="18" t="str">
        <f aca="false">VLOOKUP(P4384,Sheet2!Q:R,2,0)</f>
        <v>IR Normal - Track burn out</v>
      </c>
      <c r="U4384" s="20" t="s">
        <v>41</v>
      </c>
      <c r="V4384" s="17"/>
      <c r="W4384" s="20" t="e">
        <f aca="false">VLOOKUP(V4384,Sheet2!Q:R,2,0)</f>
        <v>#N/A</v>
      </c>
      <c r="X4384" s="17" t="n">
        <f aca="false">J4384</f>
        <v>0</v>
      </c>
      <c r="Y4384" s="17" t="e">
        <f aca="false">VLOOKUP(X4384,Sheet2!A:B,2,0)</f>
        <v>#N/A</v>
      </c>
      <c r="Z4384" s="17"/>
      <c r="AA4384" s="17"/>
      <c r="AC4384" s="23" t="str">
        <f aca="false">LEFT(G4384,2)</f>
        <v/>
      </c>
    </row>
    <row r="4385" customFormat="false" ht="15" hidden="false" customHeight="false" outlineLevel="0" collapsed="false">
      <c r="A4385" s="13" t="n">
        <f aca="false">1+A4384</f>
        <v>4383</v>
      </c>
      <c r="B4385" s="14" t="n">
        <v>100</v>
      </c>
      <c r="C4385" s="15"/>
      <c r="D4385" s="16" t="s">
        <v>64</v>
      </c>
      <c r="E4385" s="17" t="s">
        <v>47</v>
      </c>
      <c r="F4385" s="18" t="s">
        <v>34</v>
      </c>
      <c r="G4385" s="19"/>
      <c r="H4385" s="17" t="s">
        <v>35</v>
      </c>
      <c r="I4385" s="17" t="s">
        <v>44</v>
      </c>
      <c r="J4385" s="17"/>
      <c r="K4385" s="17" t="e">
        <f aca="false">VLOOKUP(J4385,Sheet2!A:B,2,0)</f>
        <v>#N/A</v>
      </c>
      <c r="L4385" s="17" t="n">
        <v>5</v>
      </c>
      <c r="M4385" s="17" t="str">
        <f aca="false">VLOOKUP(L4385,Sheet2!D:E,2,0)</f>
        <v>Main Processor CPU BGA</v>
      </c>
      <c r="N4385" s="17" t="n">
        <v>1</v>
      </c>
      <c r="O4385" s="17" t="str">
        <f aca="false">VLOOKUP(N4385,Sheet2!G:H,2,0)</f>
        <v>Dead</v>
      </c>
      <c r="P4385" s="17" t="n">
        <v>11</v>
      </c>
      <c r="Q4385" s="17" t="str">
        <f aca="false">VLOOKUP(P4385,Sheet2!J:K,2,0)</f>
        <v>IR Declared due to CID -TA</v>
      </c>
      <c r="R4385" s="17" t="s">
        <v>35</v>
      </c>
      <c r="S4385" s="17" t="str">
        <f aca="false">VLOOKUP(R4385,Sheet2!N:O,2,0)</f>
        <v>IREPARABLE</v>
      </c>
      <c r="T4385" s="18" t="str">
        <f aca="false">VLOOKUP(P4385,Sheet2!Q:R,2,0)</f>
        <v>IR Normal - Track burn out</v>
      </c>
      <c r="U4385" s="20" t="s">
        <v>41</v>
      </c>
      <c r="V4385" s="17"/>
      <c r="W4385" s="20" t="e">
        <f aca="false">VLOOKUP(V4385,Sheet2!Q:R,2,0)</f>
        <v>#N/A</v>
      </c>
      <c r="X4385" s="17" t="n">
        <f aca="false">J4385</f>
        <v>0</v>
      </c>
      <c r="Y4385" s="17" t="e">
        <f aca="false">VLOOKUP(X4385,Sheet2!A:B,2,0)</f>
        <v>#N/A</v>
      </c>
      <c r="Z4385" s="17"/>
      <c r="AA4385" s="17"/>
      <c r="AC4385" s="23" t="str">
        <f aca="false">LEFT(G4385,2)</f>
        <v/>
      </c>
    </row>
    <row r="4386" customFormat="false" ht="15" hidden="false" customHeight="false" outlineLevel="0" collapsed="false">
      <c r="A4386" s="13" t="n">
        <f aca="false">1+A4385</f>
        <v>4384</v>
      </c>
      <c r="B4386" s="14" t="n">
        <v>100</v>
      </c>
      <c r="C4386" s="15"/>
      <c r="D4386" s="16" t="s">
        <v>64</v>
      </c>
      <c r="E4386" s="17" t="s">
        <v>47</v>
      </c>
      <c r="F4386" s="18" t="s">
        <v>34</v>
      </c>
      <c r="G4386" s="19"/>
      <c r="H4386" s="17" t="s">
        <v>35</v>
      </c>
      <c r="I4386" s="17" t="s">
        <v>44</v>
      </c>
      <c r="J4386" s="17"/>
      <c r="K4386" s="17" t="e">
        <f aca="false">VLOOKUP(J4386,Sheet2!A:B,2,0)</f>
        <v>#N/A</v>
      </c>
      <c r="L4386" s="17" t="n">
        <v>5</v>
      </c>
      <c r="M4386" s="17" t="str">
        <f aca="false">VLOOKUP(L4386,Sheet2!D:E,2,0)</f>
        <v>Main Processor CPU BGA</v>
      </c>
      <c r="N4386" s="17" t="n">
        <v>1</v>
      </c>
      <c r="O4386" s="17" t="str">
        <f aca="false">VLOOKUP(N4386,Sheet2!G:H,2,0)</f>
        <v>Dead</v>
      </c>
      <c r="P4386" s="17" t="n">
        <v>11</v>
      </c>
      <c r="Q4386" s="17" t="str">
        <f aca="false">VLOOKUP(P4386,Sheet2!J:K,2,0)</f>
        <v>IR Declared due to CID -TA</v>
      </c>
      <c r="R4386" s="17" t="s">
        <v>35</v>
      </c>
      <c r="S4386" s="17" t="str">
        <f aca="false">VLOOKUP(R4386,Sheet2!N:O,2,0)</f>
        <v>IREPARABLE</v>
      </c>
      <c r="T4386" s="18" t="str">
        <f aca="false">VLOOKUP(P4386,Sheet2!Q:R,2,0)</f>
        <v>IR Normal - Track burn out</v>
      </c>
      <c r="U4386" s="20" t="s">
        <v>41</v>
      </c>
      <c r="V4386" s="17"/>
      <c r="W4386" s="20" t="e">
        <f aca="false">VLOOKUP(V4386,Sheet2!Q:R,2,0)</f>
        <v>#N/A</v>
      </c>
      <c r="X4386" s="17" t="n">
        <f aca="false">J4386</f>
        <v>0</v>
      </c>
      <c r="Y4386" s="17" t="e">
        <f aca="false">VLOOKUP(X4386,Sheet2!A:B,2,0)</f>
        <v>#N/A</v>
      </c>
      <c r="Z4386" s="17"/>
      <c r="AA4386" s="17"/>
      <c r="AC4386" s="23" t="str">
        <f aca="false">LEFT(G4386,2)</f>
        <v/>
      </c>
    </row>
    <row r="4387" customFormat="false" ht="15" hidden="false" customHeight="false" outlineLevel="0" collapsed="false">
      <c r="A4387" s="13" t="n">
        <f aca="false">1+A4386</f>
        <v>4385</v>
      </c>
      <c r="B4387" s="14" t="n">
        <v>100</v>
      </c>
      <c r="C4387" s="15"/>
      <c r="D4387" s="16" t="s">
        <v>64</v>
      </c>
      <c r="E4387" s="17" t="s">
        <v>47</v>
      </c>
      <c r="F4387" s="18" t="s">
        <v>34</v>
      </c>
      <c r="G4387" s="19"/>
      <c r="H4387" s="17" t="s">
        <v>35</v>
      </c>
      <c r="I4387" s="17" t="s">
        <v>44</v>
      </c>
      <c r="J4387" s="17"/>
      <c r="K4387" s="17" t="e">
        <f aca="false">VLOOKUP(J4387,Sheet2!A:B,2,0)</f>
        <v>#N/A</v>
      </c>
      <c r="L4387" s="17" t="n">
        <v>5</v>
      </c>
      <c r="M4387" s="17" t="str">
        <f aca="false">VLOOKUP(L4387,Sheet2!D:E,2,0)</f>
        <v>Main Processor CPU BGA</v>
      </c>
      <c r="N4387" s="17" t="n">
        <v>1</v>
      </c>
      <c r="O4387" s="17" t="str">
        <f aca="false">VLOOKUP(N4387,Sheet2!G:H,2,0)</f>
        <v>Dead</v>
      </c>
      <c r="P4387" s="17" t="n">
        <v>11</v>
      </c>
      <c r="Q4387" s="17" t="str">
        <f aca="false">VLOOKUP(P4387,Sheet2!J:K,2,0)</f>
        <v>IR Declared due to CID -TA</v>
      </c>
      <c r="R4387" s="17" t="s">
        <v>35</v>
      </c>
      <c r="S4387" s="17" t="str">
        <f aca="false">VLOOKUP(R4387,Sheet2!N:O,2,0)</f>
        <v>IREPARABLE</v>
      </c>
      <c r="T4387" s="18" t="str">
        <f aca="false">VLOOKUP(P4387,Sheet2!Q:R,2,0)</f>
        <v>IR Normal - Track burn out</v>
      </c>
      <c r="U4387" s="20" t="s">
        <v>41</v>
      </c>
      <c r="V4387" s="17"/>
      <c r="W4387" s="20" t="e">
        <f aca="false">VLOOKUP(V4387,Sheet2!Q:R,2,0)</f>
        <v>#N/A</v>
      </c>
      <c r="X4387" s="17" t="n">
        <f aca="false">J4387</f>
        <v>0</v>
      </c>
      <c r="Y4387" s="17" t="e">
        <f aca="false">VLOOKUP(X4387,Sheet2!A:B,2,0)</f>
        <v>#N/A</v>
      </c>
      <c r="Z4387" s="17"/>
      <c r="AA4387" s="17"/>
      <c r="AC4387" s="23" t="str">
        <f aca="false">LEFT(G4387,2)</f>
        <v/>
      </c>
    </row>
    <row r="4388" customFormat="false" ht="15" hidden="false" customHeight="false" outlineLevel="0" collapsed="false">
      <c r="A4388" s="13" t="n">
        <f aca="false">1+A4387</f>
        <v>4386</v>
      </c>
      <c r="B4388" s="14" t="n">
        <v>100</v>
      </c>
      <c r="C4388" s="15"/>
      <c r="D4388" s="16" t="s">
        <v>64</v>
      </c>
      <c r="E4388" s="17" t="s">
        <v>47</v>
      </c>
      <c r="F4388" s="18" t="s">
        <v>34</v>
      </c>
      <c r="G4388" s="19"/>
      <c r="H4388" s="17" t="s">
        <v>35</v>
      </c>
      <c r="I4388" s="17" t="s">
        <v>44</v>
      </c>
      <c r="J4388" s="17"/>
      <c r="K4388" s="17" t="e">
        <f aca="false">VLOOKUP(J4388,Sheet2!A:B,2,0)</f>
        <v>#N/A</v>
      </c>
      <c r="L4388" s="17" t="n">
        <v>5</v>
      </c>
      <c r="M4388" s="17" t="str">
        <f aca="false">VLOOKUP(L4388,Sheet2!D:E,2,0)</f>
        <v>Main Processor CPU BGA</v>
      </c>
      <c r="N4388" s="17" t="n">
        <v>1</v>
      </c>
      <c r="O4388" s="17" t="str">
        <f aca="false">VLOOKUP(N4388,Sheet2!G:H,2,0)</f>
        <v>Dead</v>
      </c>
      <c r="P4388" s="17" t="n">
        <v>11</v>
      </c>
      <c r="Q4388" s="17" t="str">
        <f aca="false">VLOOKUP(P4388,Sheet2!J:K,2,0)</f>
        <v>IR Declared due to CID -TA</v>
      </c>
      <c r="R4388" s="17" t="s">
        <v>35</v>
      </c>
      <c r="S4388" s="17" t="str">
        <f aca="false">VLOOKUP(R4388,Sheet2!N:O,2,0)</f>
        <v>IREPARABLE</v>
      </c>
      <c r="T4388" s="18" t="str">
        <f aca="false">VLOOKUP(P4388,Sheet2!Q:R,2,0)</f>
        <v>IR Normal - Track burn out</v>
      </c>
      <c r="U4388" s="20" t="s">
        <v>41</v>
      </c>
      <c r="V4388" s="17"/>
      <c r="W4388" s="20" t="e">
        <f aca="false">VLOOKUP(V4388,Sheet2!Q:R,2,0)</f>
        <v>#N/A</v>
      </c>
      <c r="X4388" s="17" t="n">
        <f aca="false">J4388</f>
        <v>0</v>
      </c>
      <c r="Y4388" s="17" t="e">
        <f aca="false">VLOOKUP(X4388,Sheet2!A:B,2,0)</f>
        <v>#N/A</v>
      </c>
      <c r="Z4388" s="17"/>
      <c r="AA4388" s="17"/>
      <c r="AC4388" s="23" t="str">
        <f aca="false">LEFT(G4388,2)</f>
        <v/>
      </c>
    </row>
    <row r="4389" customFormat="false" ht="15" hidden="false" customHeight="false" outlineLevel="0" collapsed="false">
      <c r="A4389" s="13" t="n">
        <f aca="false">1+A4388</f>
        <v>4387</v>
      </c>
      <c r="B4389" s="14" t="n">
        <v>100</v>
      </c>
      <c r="C4389" s="15"/>
      <c r="D4389" s="16" t="s">
        <v>64</v>
      </c>
      <c r="E4389" s="17" t="s">
        <v>47</v>
      </c>
      <c r="F4389" s="18" t="s">
        <v>34</v>
      </c>
      <c r="G4389" s="19"/>
      <c r="H4389" s="17" t="s">
        <v>35</v>
      </c>
      <c r="I4389" s="17" t="s">
        <v>44</v>
      </c>
      <c r="J4389" s="17"/>
      <c r="K4389" s="17" t="e">
        <f aca="false">VLOOKUP(J4389,Sheet2!A:B,2,0)</f>
        <v>#N/A</v>
      </c>
      <c r="L4389" s="17" t="n">
        <v>5</v>
      </c>
      <c r="M4389" s="17" t="str">
        <f aca="false">VLOOKUP(L4389,Sheet2!D:E,2,0)</f>
        <v>Main Processor CPU BGA</v>
      </c>
      <c r="N4389" s="17" t="n">
        <v>1</v>
      </c>
      <c r="O4389" s="17" t="str">
        <f aca="false">VLOOKUP(N4389,Sheet2!G:H,2,0)</f>
        <v>Dead</v>
      </c>
      <c r="P4389" s="17" t="n">
        <v>11</v>
      </c>
      <c r="Q4389" s="17" t="str">
        <f aca="false">VLOOKUP(P4389,Sheet2!J:K,2,0)</f>
        <v>IR Declared due to CID -TA</v>
      </c>
      <c r="R4389" s="17" t="s">
        <v>35</v>
      </c>
      <c r="S4389" s="17" t="str">
        <f aca="false">VLOOKUP(R4389,Sheet2!N:O,2,0)</f>
        <v>IREPARABLE</v>
      </c>
      <c r="T4389" s="18" t="str">
        <f aca="false">VLOOKUP(P4389,Sheet2!Q:R,2,0)</f>
        <v>IR Normal - Track burn out</v>
      </c>
      <c r="U4389" s="20" t="s">
        <v>41</v>
      </c>
      <c r="V4389" s="17"/>
      <c r="W4389" s="20" t="e">
        <f aca="false">VLOOKUP(V4389,Sheet2!Q:R,2,0)</f>
        <v>#N/A</v>
      </c>
      <c r="X4389" s="17" t="n">
        <f aca="false">J4389</f>
        <v>0</v>
      </c>
      <c r="Y4389" s="17" t="e">
        <f aca="false">VLOOKUP(X4389,Sheet2!A:B,2,0)</f>
        <v>#N/A</v>
      </c>
      <c r="Z4389" s="17"/>
      <c r="AA4389" s="17"/>
      <c r="AC4389" s="23" t="str">
        <f aca="false">LEFT(G4389,2)</f>
        <v/>
      </c>
    </row>
    <row r="4390" customFormat="false" ht="15" hidden="false" customHeight="false" outlineLevel="0" collapsed="false">
      <c r="A4390" s="13" t="n">
        <f aca="false">1+A4389</f>
        <v>4388</v>
      </c>
      <c r="B4390" s="14" t="n">
        <v>100</v>
      </c>
      <c r="C4390" s="15"/>
      <c r="D4390" s="16" t="s">
        <v>64</v>
      </c>
      <c r="E4390" s="17" t="s">
        <v>47</v>
      </c>
      <c r="F4390" s="18" t="s">
        <v>34</v>
      </c>
      <c r="G4390" s="19"/>
      <c r="H4390" s="17" t="s">
        <v>35</v>
      </c>
      <c r="I4390" s="17" t="s">
        <v>44</v>
      </c>
      <c r="J4390" s="17"/>
      <c r="K4390" s="17" t="e">
        <f aca="false">VLOOKUP(J4390,Sheet2!A:B,2,0)</f>
        <v>#N/A</v>
      </c>
      <c r="L4390" s="17" t="n">
        <v>5</v>
      </c>
      <c r="M4390" s="17" t="str">
        <f aca="false">VLOOKUP(L4390,Sheet2!D:E,2,0)</f>
        <v>Main Processor CPU BGA</v>
      </c>
      <c r="N4390" s="17" t="n">
        <v>1</v>
      </c>
      <c r="O4390" s="17" t="str">
        <f aca="false">VLOOKUP(N4390,Sheet2!G:H,2,0)</f>
        <v>Dead</v>
      </c>
      <c r="P4390" s="17" t="n">
        <v>11</v>
      </c>
      <c r="Q4390" s="17" t="str">
        <f aca="false">VLOOKUP(P4390,Sheet2!J:K,2,0)</f>
        <v>IR Declared due to CID -TA</v>
      </c>
      <c r="R4390" s="17" t="s">
        <v>35</v>
      </c>
      <c r="S4390" s="17" t="str">
        <f aca="false">VLOOKUP(R4390,Sheet2!N:O,2,0)</f>
        <v>IREPARABLE</v>
      </c>
      <c r="T4390" s="18" t="str">
        <f aca="false">VLOOKUP(P4390,Sheet2!Q:R,2,0)</f>
        <v>IR Normal - Track burn out</v>
      </c>
      <c r="U4390" s="20" t="s">
        <v>41</v>
      </c>
      <c r="V4390" s="17"/>
      <c r="W4390" s="20" t="e">
        <f aca="false">VLOOKUP(V4390,Sheet2!Q:R,2,0)</f>
        <v>#N/A</v>
      </c>
      <c r="X4390" s="17" t="n">
        <f aca="false">J4390</f>
        <v>0</v>
      </c>
      <c r="Y4390" s="17" t="e">
        <f aca="false">VLOOKUP(X4390,Sheet2!A:B,2,0)</f>
        <v>#N/A</v>
      </c>
      <c r="Z4390" s="17"/>
      <c r="AA4390" s="17"/>
      <c r="AC4390" s="23" t="str">
        <f aca="false">LEFT(G4390,2)</f>
        <v/>
      </c>
    </row>
    <row r="4391" customFormat="false" ht="15" hidden="false" customHeight="false" outlineLevel="0" collapsed="false">
      <c r="A4391" s="13" t="n">
        <f aca="false">1+A4390</f>
        <v>4389</v>
      </c>
      <c r="B4391" s="14" t="n">
        <v>100</v>
      </c>
      <c r="C4391" s="15"/>
      <c r="D4391" s="16" t="s">
        <v>64</v>
      </c>
      <c r="E4391" s="17" t="s">
        <v>47</v>
      </c>
      <c r="F4391" s="18" t="s">
        <v>34</v>
      </c>
      <c r="G4391" s="19"/>
      <c r="H4391" s="17" t="s">
        <v>35</v>
      </c>
      <c r="I4391" s="17" t="s">
        <v>44</v>
      </c>
      <c r="J4391" s="17"/>
      <c r="K4391" s="17" t="e">
        <f aca="false">VLOOKUP(J4391,Sheet2!A:B,2,0)</f>
        <v>#N/A</v>
      </c>
      <c r="L4391" s="17" t="n">
        <v>5</v>
      </c>
      <c r="M4391" s="17" t="str">
        <f aca="false">VLOOKUP(L4391,Sheet2!D:E,2,0)</f>
        <v>Main Processor CPU BGA</v>
      </c>
      <c r="N4391" s="17" t="n">
        <v>1</v>
      </c>
      <c r="O4391" s="17" t="str">
        <f aca="false">VLOOKUP(N4391,Sheet2!G:H,2,0)</f>
        <v>Dead</v>
      </c>
      <c r="P4391" s="17" t="n">
        <v>11</v>
      </c>
      <c r="Q4391" s="17" t="str">
        <f aca="false">VLOOKUP(P4391,Sheet2!J:K,2,0)</f>
        <v>IR Declared due to CID -TA</v>
      </c>
      <c r="R4391" s="17" t="s">
        <v>35</v>
      </c>
      <c r="S4391" s="17" t="str">
        <f aca="false">VLOOKUP(R4391,Sheet2!N:O,2,0)</f>
        <v>IREPARABLE</v>
      </c>
      <c r="T4391" s="18" t="str">
        <f aca="false">VLOOKUP(P4391,Sheet2!Q:R,2,0)</f>
        <v>IR Normal - Track burn out</v>
      </c>
      <c r="U4391" s="20" t="s">
        <v>41</v>
      </c>
      <c r="V4391" s="17"/>
      <c r="W4391" s="20" t="e">
        <f aca="false">VLOOKUP(V4391,Sheet2!Q:R,2,0)</f>
        <v>#N/A</v>
      </c>
      <c r="X4391" s="17" t="n">
        <f aca="false">J4391</f>
        <v>0</v>
      </c>
      <c r="Y4391" s="17" t="e">
        <f aca="false">VLOOKUP(X4391,Sheet2!A:B,2,0)</f>
        <v>#N/A</v>
      </c>
      <c r="Z4391" s="17"/>
      <c r="AA4391" s="17"/>
      <c r="AC4391" s="23" t="str">
        <f aca="false">LEFT(G4391,2)</f>
        <v/>
      </c>
    </row>
    <row r="4392" customFormat="false" ht="15" hidden="false" customHeight="false" outlineLevel="0" collapsed="false">
      <c r="A4392" s="13" t="n">
        <f aca="false">1+A4391</f>
        <v>4390</v>
      </c>
      <c r="B4392" s="14" t="n">
        <v>100</v>
      </c>
      <c r="C4392" s="15"/>
      <c r="D4392" s="16" t="s">
        <v>64</v>
      </c>
      <c r="E4392" s="17" t="s">
        <v>47</v>
      </c>
      <c r="F4392" s="18" t="s">
        <v>34</v>
      </c>
      <c r="G4392" s="19"/>
      <c r="H4392" s="17" t="s">
        <v>35</v>
      </c>
      <c r="I4392" s="17" t="s">
        <v>44</v>
      </c>
      <c r="J4392" s="17"/>
      <c r="K4392" s="17" t="e">
        <f aca="false">VLOOKUP(J4392,Sheet2!A:B,2,0)</f>
        <v>#N/A</v>
      </c>
      <c r="L4392" s="17" t="n">
        <v>5</v>
      </c>
      <c r="M4392" s="17" t="str">
        <f aca="false">VLOOKUP(L4392,Sheet2!D:E,2,0)</f>
        <v>Main Processor CPU BGA</v>
      </c>
      <c r="N4392" s="17" t="n">
        <v>1</v>
      </c>
      <c r="O4392" s="17" t="str">
        <f aca="false">VLOOKUP(N4392,Sheet2!G:H,2,0)</f>
        <v>Dead</v>
      </c>
      <c r="P4392" s="17" t="n">
        <v>11</v>
      </c>
      <c r="Q4392" s="17" t="str">
        <f aca="false">VLOOKUP(P4392,Sheet2!J:K,2,0)</f>
        <v>IR Declared due to CID -TA</v>
      </c>
      <c r="R4392" s="17" t="s">
        <v>35</v>
      </c>
      <c r="S4392" s="17" t="str">
        <f aca="false">VLOOKUP(R4392,Sheet2!N:O,2,0)</f>
        <v>IREPARABLE</v>
      </c>
      <c r="T4392" s="18" t="str">
        <f aca="false">VLOOKUP(P4392,Sheet2!Q:R,2,0)</f>
        <v>IR Normal - Track burn out</v>
      </c>
      <c r="U4392" s="20" t="s">
        <v>41</v>
      </c>
      <c r="V4392" s="17"/>
      <c r="W4392" s="20" t="e">
        <f aca="false">VLOOKUP(V4392,Sheet2!Q:R,2,0)</f>
        <v>#N/A</v>
      </c>
      <c r="X4392" s="17" t="n">
        <f aca="false">J4392</f>
        <v>0</v>
      </c>
      <c r="Y4392" s="17" t="e">
        <f aca="false">VLOOKUP(X4392,Sheet2!A:B,2,0)</f>
        <v>#N/A</v>
      </c>
      <c r="Z4392" s="17"/>
      <c r="AA4392" s="17"/>
      <c r="AC4392" s="23" t="str">
        <f aca="false">LEFT(G4392,2)</f>
        <v/>
      </c>
    </row>
    <row r="4393" customFormat="false" ht="15" hidden="false" customHeight="false" outlineLevel="0" collapsed="false">
      <c r="A4393" s="13" t="n">
        <f aca="false">1+A4392</f>
        <v>4391</v>
      </c>
      <c r="B4393" s="14" t="n">
        <v>100</v>
      </c>
      <c r="C4393" s="15"/>
      <c r="D4393" s="16" t="s">
        <v>64</v>
      </c>
      <c r="E4393" s="17" t="s">
        <v>47</v>
      </c>
      <c r="F4393" s="18" t="s">
        <v>34</v>
      </c>
      <c r="G4393" s="19"/>
      <c r="H4393" s="17" t="s">
        <v>35</v>
      </c>
      <c r="I4393" s="17" t="s">
        <v>44</v>
      </c>
      <c r="J4393" s="17"/>
      <c r="K4393" s="17" t="e">
        <f aca="false">VLOOKUP(J4393,Sheet2!A:B,2,0)</f>
        <v>#N/A</v>
      </c>
      <c r="L4393" s="17" t="n">
        <v>5</v>
      </c>
      <c r="M4393" s="17" t="str">
        <f aca="false">VLOOKUP(L4393,Sheet2!D:E,2,0)</f>
        <v>Main Processor CPU BGA</v>
      </c>
      <c r="N4393" s="17" t="n">
        <v>1</v>
      </c>
      <c r="O4393" s="17" t="str">
        <f aca="false">VLOOKUP(N4393,Sheet2!G:H,2,0)</f>
        <v>Dead</v>
      </c>
      <c r="P4393" s="17" t="n">
        <v>11</v>
      </c>
      <c r="Q4393" s="17" t="str">
        <f aca="false">VLOOKUP(P4393,Sheet2!J:K,2,0)</f>
        <v>IR Declared due to CID -TA</v>
      </c>
      <c r="R4393" s="17" t="s">
        <v>35</v>
      </c>
      <c r="S4393" s="17" t="str">
        <f aca="false">VLOOKUP(R4393,Sheet2!N:O,2,0)</f>
        <v>IREPARABLE</v>
      </c>
      <c r="T4393" s="18" t="str">
        <f aca="false">VLOOKUP(P4393,Sheet2!Q:R,2,0)</f>
        <v>IR Normal - Track burn out</v>
      </c>
      <c r="U4393" s="20" t="s">
        <v>41</v>
      </c>
      <c r="V4393" s="17"/>
      <c r="W4393" s="20" t="e">
        <f aca="false">VLOOKUP(V4393,Sheet2!Q:R,2,0)</f>
        <v>#N/A</v>
      </c>
      <c r="X4393" s="17" t="n">
        <f aca="false">J4393</f>
        <v>0</v>
      </c>
      <c r="Y4393" s="17" t="e">
        <f aca="false">VLOOKUP(X4393,Sheet2!A:B,2,0)</f>
        <v>#N/A</v>
      </c>
      <c r="Z4393" s="17"/>
      <c r="AA4393" s="17"/>
      <c r="AC4393" s="23" t="str">
        <f aca="false">LEFT(G4393,2)</f>
        <v/>
      </c>
    </row>
    <row r="4394" customFormat="false" ht="15" hidden="false" customHeight="false" outlineLevel="0" collapsed="false">
      <c r="A4394" s="13" t="n">
        <f aca="false">1+A4393</f>
        <v>4392</v>
      </c>
      <c r="B4394" s="14" t="n">
        <v>100</v>
      </c>
      <c r="C4394" s="15"/>
      <c r="D4394" s="16" t="s">
        <v>64</v>
      </c>
      <c r="E4394" s="17" t="s">
        <v>47</v>
      </c>
      <c r="F4394" s="18" t="s">
        <v>34</v>
      </c>
      <c r="G4394" s="19"/>
      <c r="H4394" s="17" t="s">
        <v>35</v>
      </c>
      <c r="I4394" s="17" t="s">
        <v>44</v>
      </c>
      <c r="J4394" s="17"/>
      <c r="K4394" s="17" t="e">
        <f aca="false">VLOOKUP(J4394,Sheet2!A:B,2,0)</f>
        <v>#N/A</v>
      </c>
      <c r="L4394" s="17" t="n">
        <v>5</v>
      </c>
      <c r="M4394" s="17" t="str">
        <f aca="false">VLOOKUP(L4394,Sheet2!D:E,2,0)</f>
        <v>Main Processor CPU BGA</v>
      </c>
      <c r="N4394" s="17" t="n">
        <v>1</v>
      </c>
      <c r="O4394" s="17" t="str">
        <f aca="false">VLOOKUP(N4394,Sheet2!G:H,2,0)</f>
        <v>Dead</v>
      </c>
      <c r="P4394" s="17" t="n">
        <v>11</v>
      </c>
      <c r="Q4394" s="17" t="str">
        <f aca="false">VLOOKUP(P4394,Sheet2!J:K,2,0)</f>
        <v>IR Declared due to CID -TA</v>
      </c>
      <c r="R4394" s="17" t="s">
        <v>35</v>
      </c>
      <c r="S4394" s="17" t="str">
        <f aca="false">VLOOKUP(R4394,Sheet2!N:O,2,0)</f>
        <v>IREPARABLE</v>
      </c>
      <c r="T4394" s="18" t="str">
        <f aca="false">VLOOKUP(P4394,Sheet2!Q:R,2,0)</f>
        <v>IR Normal - Track burn out</v>
      </c>
      <c r="U4394" s="20" t="s">
        <v>41</v>
      </c>
      <c r="V4394" s="17"/>
      <c r="W4394" s="20" t="e">
        <f aca="false">VLOOKUP(V4394,Sheet2!Q:R,2,0)</f>
        <v>#N/A</v>
      </c>
      <c r="X4394" s="17" t="n">
        <f aca="false">J4394</f>
        <v>0</v>
      </c>
      <c r="Y4394" s="17" t="e">
        <f aca="false">VLOOKUP(X4394,Sheet2!A:B,2,0)</f>
        <v>#N/A</v>
      </c>
      <c r="Z4394" s="17"/>
      <c r="AA4394" s="17"/>
      <c r="AC4394" s="23" t="str">
        <f aca="false">LEFT(G4394,2)</f>
        <v/>
      </c>
    </row>
    <row r="4395" customFormat="false" ht="15" hidden="false" customHeight="false" outlineLevel="0" collapsed="false">
      <c r="A4395" s="13" t="n">
        <f aca="false">1+A4394</f>
        <v>4393</v>
      </c>
      <c r="B4395" s="14" t="n">
        <v>100</v>
      </c>
      <c r="C4395" s="15"/>
      <c r="D4395" s="16" t="s">
        <v>64</v>
      </c>
      <c r="E4395" s="17" t="s">
        <v>47</v>
      </c>
      <c r="F4395" s="18" t="s">
        <v>34</v>
      </c>
      <c r="G4395" s="19"/>
      <c r="H4395" s="17" t="s">
        <v>35</v>
      </c>
      <c r="I4395" s="17" t="s">
        <v>44</v>
      </c>
      <c r="J4395" s="17"/>
      <c r="K4395" s="17" t="e">
        <f aca="false">VLOOKUP(J4395,Sheet2!A:B,2,0)</f>
        <v>#N/A</v>
      </c>
      <c r="L4395" s="17" t="n">
        <v>5</v>
      </c>
      <c r="M4395" s="17" t="str">
        <f aca="false">VLOOKUP(L4395,Sheet2!D:E,2,0)</f>
        <v>Main Processor CPU BGA</v>
      </c>
      <c r="N4395" s="17" t="n">
        <v>1</v>
      </c>
      <c r="O4395" s="17" t="str">
        <f aca="false">VLOOKUP(N4395,Sheet2!G:H,2,0)</f>
        <v>Dead</v>
      </c>
      <c r="P4395" s="17" t="n">
        <v>11</v>
      </c>
      <c r="Q4395" s="17" t="str">
        <f aca="false">VLOOKUP(P4395,Sheet2!J:K,2,0)</f>
        <v>IR Declared due to CID -TA</v>
      </c>
      <c r="R4395" s="17" t="s">
        <v>35</v>
      </c>
      <c r="S4395" s="17" t="str">
        <f aca="false">VLOOKUP(R4395,Sheet2!N:O,2,0)</f>
        <v>IREPARABLE</v>
      </c>
      <c r="T4395" s="18" t="str">
        <f aca="false">VLOOKUP(P4395,Sheet2!Q:R,2,0)</f>
        <v>IR Normal - Track burn out</v>
      </c>
      <c r="U4395" s="20" t="s">
        <v>41</v>
      </c>
      <c r="V4395" s="17"/>
      <c r="W4395" s="20" t="e">
        <f aca="false">VLOOKUP(V4395,Sheet2!Q:R,2,0)</f>
        <v>#N/A</v>
      </c>
      <c r="X4395" s="17" t="n">
        <f aca="false">J4395</f>
        <v>0</v>
      </c>
      <c r="Y4395" s="17" t="e">
        <f aca="false">VLOOKUP(X4395,Sheet2!A:B,2,0)</f>
        <v>#N/A</v>
      </c>
      <c r="Z4395" s="17"/>
      <c r="AA4395" s="17"/>
      <c r="AC4395" s="23" t="str">
        <f aca="false">LEFT(G4395,2)</f>
        <v/>
      </c>
    </row>
    <row r="4396" customFormat="false" ht="15" hidden="false" customHeight="false" outlineLevel="0" collapsed="false">
      <c r="A4396" s="13" t="n">
        <f aca="false">1+A4395</f>
        <v>4394</v>
      </c>
      <c r="B4396" s="14" t="n">
        <v>100</v>
      </c>
      <c r="C4396" s="15"/>
      <c r="D4396" s="16" t="s">
        <v>64</v>
      </c>
      <c r="E4396" s="17" t="s">
        <v>47</v>
      </c>
      <c r="F4396" s="18" t="s">
        <v>34</v>
      </c>
      <c r="G4396" s="19"/>
      <c r="H4396" s="17" t="s">
        <v>35</v>
      </c>
      <c r="I4396" s="17" t="s">
        <v>44</v>
      </c>
      <c r="J4396" s="17"/>
      <c r="K4396" s="17" t="e">
        <f aca="false">VLOOKUP(J4396,Sheet2!A:B,2,0)</f>
        <v>#N/A</v>
      </c>
      <c r="L4396" s="17" t="n">
        <v>5</v>
      </c>
      <c r="M4396" s="17" t="str">
        <f aca="false">VLOOKUP(L4396,Sheet2!D:E,2,0)</f>
        <v>Main Processor CPU BGA</v>
      </c>
      <c r="N4396" s="17" t="n">
        <v>1</v>
      </c>
      <c r="O4396" s="17" t="str">
        <f aca="false">VLOOKUP(N4396,Sheet2!G:H,2,0)</f>
        <v>Dead</v>
      </c>
      <c r="P4396" s="17" t="n">
        <v>11</v>
      </c>
      <c r="Q4396" s="17" t="str">
        <f aca="false">VLOOKUP(P4396,Sheet2!J:K,2,0)</f>
        <v>IR Declared due to CID -TA</v>
      </c>
      <c r="R4396" s="17" t="s">
        <v>35</v>
      </c>
      <c r="S4396" s="17" t="str">
        <f aca="false">VLOOKUP(R4396,Sheet2!N:O,2,0)</f>
        <v>IREPARABLE</v>
      </c>
      <c r="T4396" s="18" t="str">
        <f aca="false">VLOOKUP(P4396,Sheet2!Q:R,2,0)</f>
        <v>IR Normal - Track burn out</v>
      </c>
      <c r="U4396" s="20" t="s">
        <v>41</v>
      </c>
      <c r="V4396" s="17"/>
      <c r="W4396" s="20" t="e">
        <f aca="false">VLOOKUP(V4396,Sheet2!Q:R,2,0)</f>
        <v>#N/A</v>
      </c>
      <c r="X4396" s="17" t="n">
        <f aca="false">J4396</f>
        <v>0</v>
      </c>
      <c r="Y4396" s="17" t="e">
        <f aca="false">VLOOKUP(X4396,Sheet2!A:B,2,0)</f>
        <v>#N/A</v>
      </c>
      <c r="Z4396" s="17"/>
      <c r="AA4396" s="17"/>
      <c r="AC4396" s="23" t="str">
        <f aca="false">LEFT(G4396,2)</f>
        <v/>
      </c>
    </row>
    <row r="4397" customFormat="false" ht="15" hidden="false" customHeight="false" outlineLevel="0" collapsed="false">
      <c r="A4397" s="13" t="n">
        <f aca="false">1+A4396</f>
        <v>4395</v>
      </c>
      <c r="B4397" s="14" t="n">
        <v>100</v>
      </c>
      <c r="C4397" s="15"/>
      <c r="D4397" s="16" t="s">
        <v>64</v>
      </c>
      <c r="E4397" s="17" t="s">
        <v>47</v>
      </c>
      <c r="F4397" s="18" t="s">
        <v>34</v>
      </c>
      <c r="G4397" s="19"/>
      <c r="H4397" s="17" t="s">
        <v>35</v>
      </c>
      <c r="I4397" s="17" t="s">
        <v>44</v>
      </c>
      <c r="J4397" s="17"/>
      <c r="K4397" s="17" t="e">
        <f aca="false">VLOOKUP(J4397,Sheet2!A:B,2,0)</f>
        <v>#N/A</v>
      </c>
      <c r="L4397" s="17" t="n">
        <v>5</v>
      </c>
      <c r="M4397" s="17" t="str">
        <f aca="false">VLOOKUP(L4397,Sheet2!D:E,2,0)</f>
        <v>Main Processor CPU BGA</v>
      </c>
      <c r="N4397" s="17" t="n">
        <v>1</v>
      </c>
      <c r="O4397" s="17" t="str">
        <f aca="false">VLOOKUP(N4397,Sheet2!G:H,2,0)</f>
        <v>Dead</v>
      </c>
      <c r="P4397" s="17" t="n">
        <v>11</v>
      </c>
      <c r="Q4397" s="17" t="str">
        <f aca="false">VLOOKUP(P4397,Sheet2!J:K,2,0)</f>
        <v>IR Declared due to CID -TA</v>
      </c>
      <c r="R4397" s="17" t="s">
        <v>35</v>
      </c>
      <c r="S4397" s="17" t="str">
        <f aca="false">VLOOKUP(R4397,Sheet2!N:O,2,0)</f>
        <v>IREPARABLE</v>
      </c>
      <c r="T4397" s="18" t="str">
        <f aca="false">VLOOKUP(P4397,Sheet2!Q:R,2,0)</f>
        <v>IR Normal - Track burn out</v>
      </c>
      <c r="U4397" s="20" t="s">
        <v>41</v>
      </c>
      <c r="V4397" s="17"/>
      <c r="W4397" s="20" t="e">
        <f aca="false">VLOOKUP(V4397,Sheet2!Q:R,2,0)</f>
        <v>#N/A</v>
      </c>
      <c r="X4397" s="17" t="n">
        <f aca="false">J4397</f>
        <v>0</v>
      </c>
      <c r="Y4397" s="17" t="e">
        <f aca="false">VLOOKUP(X4397,Sheet2!A:B,2,0)</f>
        <v>#N/A</v>
      </c>
      <c r="Z4397" s="17"/>
      <c r="AA4397" s="17"/>
      <c r="AC4397" s="23" t="str">
        <f aca="false">LEFT(G4397,2)</f>
        <v/>
      </c>
    </row>
    <row r="4398" customFormat="false" ht="15" hidden="false" customHeight="false" outlineLevel="0" collapsed="false">
      <c r="A4398" s="13" t="n">
        <f aca="false">1+A4397</f>
        <v>4396</v>
      </c>
      <c r="B4398" s="14" t="n">
        <v>100</v>
      </c>
      <c r="C4398" s="15"/>
      <c r="D4398" s="16" t="s">
        <v>64</v>
      </c>
      <c r="E4398" s="17" t="s">
        <v>47</v>
      </c>
      <c r="F4398" s="18" t="s">
        <v>34</v>
      </c>
      <c r="G4398" s="19"/>
      <c r="H4398" s="17" t="s">
        <v>35</v>
      </c>
      <c r="I4398" s="17" t="s">
        <v>44</v>
      </c>
      <c r="J4398" s="17"/>
      <c r="K4398" s="17" t="e">
        <f aca="false">VLOOKUP(J4398,Sheet2!A:B,2,0)</f>
        <v>#N/A</v>
      </c>
      <c r="L4398" s="17" t="n">
        <v>5</v>
      </c>
      <c r="M4398" s="17" t="str">
        <f aca="false">VLOOKUP(L4398,Sheet2!D:E,2,0)</f>
        <v>Main Processor CPU BGA</v>
      </c>
      <c r="N4398" s="17" t="n">
        <v>1</v>
      </c>
      <c r="O4398" s="17" t="str">
        <f aca="false">VLOOKUP(N4398,Sheet2!G:H,2,0)</f>
        <v>Dead</v>
      </c>
      <c r="P4398" s="17" t="n">
        <v>11</v>
      </c>
      <c r="Q4398" s="17" t="str">
        <f aca="false">VLOOKUP(P4398,Sheet2!J:K,2,0)</f>
        <v>IR Declared due to CID -TA</v>
      </c>
      <c r="R4398" s="17" t="s">
        <v>35</v>
      </c>
      <c r="S4398" s="17" t="str">
        <f aca="false">VLOOKUP(R4398,Sheet2!N:O,2,0)</f>
        <v>IREPARABLE</v>
      </c>
      <c r="T4398" s="18" t="str">
        <f aca="false">VLOOKUP(P4398,Sheet2!Q:R,2,0)</f>
        <v>IR Normal - Track burn out</v>
      </c>
      <c r="U4398" s="20" t="s">
        <v>41</v>
      </c>
      <c r="V4398" s="17"/>
      <c r="W4398" s="20" t="e">
        <f aca="false">VLOOKUP(V4398,Sheet2!Q:R,2,0)</f>
        <v>#N/A</v>
      </c>
      <c r="X4398" s="17" t="n">
        <f aca="false">J4398</f>
        <v>0</v>
      </c>
      <c r="Y4398" s="17" t="e">
        <f aca="false">VLOOKUP(X4398,Sheet2!A:B,2,0)</f>
        <v>#N/A</v>
      </c>
      <c r="Z4398" s="17"/>
      <c r="AA4398" s="17"/>
      <c r="AC4398" s="23" t="str">
        <f aca="false">LEFT(G4398,2)</f>
        <v/>
      </c>
    </row>
    <row r="4399" customFormat="false" ht="15" hidden="false" customHeight="false" outlineLevel="0" collapsed="false">
      <c r="A4399" s="13" t="n">
        <f aca="false">1+A4398</f>
        <v>4397</v>
      </c>
      <c r="B4399" s="14" t="n">
        <v>100</v>
      </c>
      <c r="C4399" s="15"/>
      <c r="D4399" s="16" t="s">
        <v>64</v>
      </c>
      <c r="E4399" s="17" t="s">
        <v>47</v>
      </c>
      <c r="F4399" s="18" t="s">
        <v>34</v>
      </c>
      <c r="G4399" s="19"/>
      <c r="H4399" s="17" t="s">
        <v>35</v>
      </c>
      <c r="I4399" s="17" t="s">
        <v>44</v>
      </c>
      <c r="J4399" s="17"/>
      <c r="K4399" s="17" t="e">
        <f aca="false">VLOOKUP(J4399,Sheet2!A:B,2,0)</f>
        <v>#N/A</v>
      </c>
      <c r="L4399" s="17" t="n">
        <v>5</v>
      </c>
      <c r="M4399" s="17" t="str">
        <f aca="false">VLOOKUP(L4399,Sheet2!D:E,2,0)</f>
        <v>Main Processor CPU BGA</v>
      </c>
      <c r="N4399" s="17" t="n">
        <v>1</v>
      </c>
      <c r="O4399" s="17" t="str">
        <f aca="false">VLOOKUP(N4399,Sheet2!G:H,2,0)</f>
        <v>Dead</v>
      </c>
      <c r="P4399" s="17" t="n">
        <v>11</v>
      </c>
      <c r="Q4399" s="17" t="str">
        <f aca="false">VLOOKUP(P4399,Sheet2!J:K,2,0)</f>
        <v>IR Declared due to CID -TA</v>
      </c>
      <c r="R4399" s="17" t="s">
        <v>35</v>
      </c>
      <c r="S4399" s="17" t="str">
        <f aca="false">VLOOKUP(R4399,Sheet2!N:O,2,0)</f>
        <v>IREPARABLE</v>
      </c>
      <c r="T4399" s="18" t="str">
        <f aca="false">VLOOKUP(P4399,Sheet2!Q:R,2,0)</f>
        <v>IR Normal - Track burn out</v>
      </c>
      <c r="U4399" s="20" t="s">
        <v>41</v>
      </c>
      <c r="V4399" s="17"/>
      <c r="W4399" s="20" t="e">
        <f aca="false">VLOOKUP(V4399,Sheet2!Q:R,2,0)</f>
        <v>#N/A</v>
      </c>
      <c r="X4399" s="17" t="n">
        <f aca="false">J4399</f>
        <v>0</v>
      </c>
      <c r="Y4399" s="17" t="e">
        <f aca="false">VLOOKUP(X4399,Sheet2!A:B,2,0)</f>
        <v>#N/A</v>
      </c>
      <c r="Z4399" s="17"/>
      <c r="AA4399" s="17"/>
      <c r="AC4399" s="23" t="str">
        <f aca="false">LEFT(G4399,2)</f>
        <v/>
      </c>
    </row>
    <row r="4400" customFormat="false" ht="15" hidden="false" customHeight="false" outlineLevel="0" collapsed="false">
      <c r="A4400" s="13" t="n">
        <f aca="false">1+A4399</f>
        <v>4398</v>
      </c>
      <c r="B4400" s="14" t="n">
        <v>100</v>
      </c>
      <c r="C4400" s="15"/>
      <c r="D4400" s="16" t="s">
        <v>64</v>
      </c>
      <c r="E4400" s="17" t="s">
        <v>47</v>
      </c>
      <c r="F4400" s="18" t="s">
        <v>34</v>
      </c>
      <c r="G4400" s="19"/>
      <c r="H4400" s="17" t="s">
        <v>35</v>
      </c>
      <c r="I4400" s="17" t="s">
        <v>44</v>
      </c>
      <c r="J4400" s="17"/>
      <c r="K4400" s="17" t="e">
        <f aca="false">VLOOKUP(J4400,Sheet2!A:B,2,0)</f>
        <v>#N/A</v>
      </c>
      <c r="L4400" s="17" t="n">
        <v>5</v>
      </c>
      <c r="M4400" s="17" t="str">
        <f aca="false">VLOOKUP(L4400,Sheet2!D:E,2,0)</f>
        <v>Main Processor CPU BGA</v>
      </c>
      <c r="N4400" s="17" t="n">
        <v>1</v>
      </c>
      <c r="O4400" s="17" t="str">
        <f aca="false">VLOOKUP(N4400,Sheet2!G:H,2,0)</f>
        <v>Dead</v>
      </c>
      <c r="P4400" s="17" t="n">
        <v>11</v>
      </c>
      <c r="Q4400" s="17" t="str">
        <f aca="false">VLOOKUP(P4400,Sheet2!J:K,2,0)</f>
        <v>IR Declared due to CID -TA</v>
      </c>
      <c r="R4400" s="17" t="s">
        <v>35</v>
      </c>
      <c r="S4400" s="17" t="str">
        <f aca="false">VLOOKUP(R4400,Sheet2!N:O,2,0)</f>
        <v>IREPARABLE</v>
      </c>
      <c r="T4400" s="18" t="str">
        <f aca="false">VLOOKUP(P4400,Sheet2!Q:R,2,0)</f>
        <v>IR Normal - Track burn out</v>
      </c>
      <c r="U4400" s="20" t="s">
        <v>41</v>
      </c>
      <c r="V4400" s="17"/>
      <c r="W4400" s="20" t="e">
        <f aca="false">VLOOKUP(V4400,Sheet2!Q:R,2,0)</f>
        <v>#N/A</v>
      </c>
      <c r="X4400" s="17" t="n">
        <f aca="false">J4400</f>
        <v>0</v>
      </c>
      <c r="Y4400" s="17" t="e">
        <f aca="false">VLOOKUP(X4400,Sheet2!A:B,2,0)</f>
        <v>#N/A</v>
      </c>
      <c r="Z4400" s="17"/>
      <c r="AA4400" s="17"/>
      <c r="AC4400" s="23" t="str">
        <f aca="false">LEFT(G4400,2)</f>
        <v/>
      </c>
    </row>
    <row r="4401" customFormat="false" ht="15" hidden="false" customHeight="false" outlineLevel="0" collapsed="false">
      <c r="A4401" s="13" t="n">
        <f aca="false">1+A4400</f>
        <v>4399</v>
      </c>
      <c r="B4401" s="14" t="n">
        <v>100</v>
      </c>
      <c r="C4401" s="15"/>
      <c r="D4401" s="16" t="s">
        <v>64</v>
      </c>
      <c r="E4401" s="17" t="s">
        <v>47</v>
      </c>
      <c r="F4401" s="18" t="s">
        <v>34</v>
      </c>
      <c r="G4401" s="19"/>
      <c r="H4401" s="17" t="s">
        <v>35</v>
      </c>
      <c r="I4401" s="17" t="s">
        <v>44</v>
      </c>
      <c r="J4401" s="17"/>
      <c r="K4401" s="17" t="e">
        <f aca="false">VLOOKUP(J4401,Sheet2!A:B,2,0)</f>
        <v>#N/A</v>
      </c>
      <c r="L4401" s="17" t="n">
        <v>5</v>
      </c>
      <c r="M4401" s="17" t="str">
        <f aca="false">VLOOKUP(L4401,Sheet2!D:E,2,0)</f>
        <v>Main Processor CPU BGA</v>
      </c>
      <c r="N4401" s="17" t="n">
        <v>1</v>
      </c>
      <c r="O4401" s="17" t="str">
        <f aca="false">VLOOKUP(N4401,Sheet2!G:H,2,0)</f>
        <v>Dead</v>
      </c>
      <c r="P4401" s="17" t="n">
        <v>11</v>
      </c>
      <c r="Q4401" s="17" t="str">
        <f aca="false">VLOOKUP(P4401,Sheet2!J:K,2,0)</f>
        <v>IR Declared due to CID -TA</v>
      </c>
      <c r="R4401" s="17" t="s">
        <v>35</v>
      </c>
      <c r="S4401" s="17" t="str">
        <f aca="false">VLOOKUP(R4401,Sheet2!N:O,2,0)</f>
        <v>IREPARABLE</v>
      </c>
      <c r="T4401" s="18" t="str">
        <f aca="false">VLOOKUP(P4401,Sheet2!Q:R,2,0)</f>
        <v>IR Normal - Track burn out</v>
      </c>
      <c r="U4401" s="20" t="s">
        <v>41</v>
      </c>
      <c r="V4401" s="17"/>
      <c r="W4401" s="20" t="e">
        <f aca="false">VLOOKUP(V4401,Sheet2!Q:R,2,0)</f>
        <v>#N/A</v>
      </c>
      <c r="X4401" s="17" t="n">
        <f aca="false">J4401</f>
        <v>0</v>
      </c>
      <c r="Y4401" s="17" t="e">
        <f aca="false">VLOOKUP(X4401,Sheet2!A:B,2,0)</f>
        <v>#N/A</v>
      </c>
      <c r="Z4401" s="17"/>
      <c r="AA4401" s="17"/>
      <c r="AC4401" s="23" t="str">
        <f aca="false">LEFT(G4401,2)</f>
        <v/>
      </c>
    </row>
    <row r="4402" customFormat="false" ht="15" hidden="false" customHeight="false" outlineLevel="0" collapsed="false">
      <c r="A4402" s="13" t="n">
        <f aca="false">1+A4401</f>
        <v>4400</v>
      </c>
      <c r="B4402" s="14" t="n">
        <v>100</v>
      </c>
      <c r="C4402" s="15"/>
      <c r="D4402" s="16" t="s">
        <v>64</v>
      </c>
      <c r="E4402" s="17" t="s">
        <v>47</v>
      </c>
      <c r="F4402" s="18" t="s">
        <v>34</v>
      </c>
      <c r="G4402" s="19"/>
      <c r="H4402" s="17" t="s">
        <v>35</v>
      </c>
      <c r="I4402" s="17" t="s">
        <v>44</v>
      </c>
      <c r="J4402" s="17"/>
      <c r="K4402" s="17" t="e">
        <f aca="false">VLOOKUP(J4402,Sheet2!A:B,2,0)</f>
        <v>#N/A</v>
      </c>
      <c r="L4402" s="17" t="n">
        <v>5</v>
      </c>
      <c r="M4402" s="17" t="str">
        <f aca="false">VLOOKUP(L4402,Sheet2!D:E,2,0)</f>
        <v>Main Processor CPU BGA</v>
      </c>
      <c r="N4402" s="17" t="n">
        <v>1</v>
      </c>
      <c r="O4402" s="17" t="str">
        <f aca="false">VLOOKUP(N4402,Sheet2!G:H,2,0)</f>
        <v>Dead</v>
      </c>
      <c r="P4402" s="17" t="n">
        <v>11</v>
      </c>
      <c r="Q4402" s="17" t="str">
        <f aca="false">VLOOKUP(P4402,Sheet2!J:K,2,0)</f>
        <v>IR Declared due to CID -TA</v>
      </c>
      <c r="R4402" s="17" t="s">
        <v>35</v>
      </c>
      <c r="S4402" s="17" t="str">
        <f aca="false">VLOOKUP(R4402,Sheet2!N:O,2,0)</f>
        <v>IREPARABLE</v>
      </c>
      <c r="T4402" s="18" t="str">
        <f aca="false">VLOOKUP(P4402,Sheet2!Q:R,2,0)</f>
        <v>IR Normal - Track burn out</v>
      </c>
      <c r="U4402" s="20" t="s">
        <v>41</v>
      </c>
      <c r="V4402" s="17"/>
      <c r="W4402" s="20" t="e">
        <f aca="false">VLOOKUP(V4402,Sheet2!Q:R,2,0)</f>
        <v>#N/A</v>
      </c>
      <c r="X4402" s="17" t="n">
        <f aca="false">J4402</f>
        <v>0</v>
      </c>
      <c r="Y4402" s="17" t="e">
        <f aca="false">VLOOKUP(X4402,Sheet2!A:B,2,0)</f>
        <v>#N/A</v>
      </c>
      <c r="Z4402" s="17"/>
      <c r="AA4402" s="17"/>
      <c r="AC4402" s="23" t="str">
        <f aca="false">LEFT(G4402,2)</f>
        <v/>
      </c>
    </row>
    <row r="4403" customFormat="false" ht="15" hidden="false" customHeight="false" outlineLevel="0" collapsed="false">
      <c r="A4403" s="13" t="n">
        <f aca="false">1+A4402</f>
        <v>4401</v>
      </c>
      <c r="B4403" s="14" t="n">
        <v>100</v>
      </c>
      <c r="C4403" s="15"/>
      <c r="D4403" s="16" t="s">
        <v>64</v>
      </c>
      <c r="E4403" s="17" t="s">
        <v>47</v>
      </c>
      <c r="F4403" s="18" t="s">
        <v>34</v>
      </c>
      <c r="G4403" s="19"/>
      <c r="H4403" s="17" t="s">
        <v>35</v>
      </c>
      <c r="I4403" s="17" t="s">
        <v>44</v>
      </c>
      <c r="J4403" s="17"/>
      <c r="K4403" s="17" t="e">
        <f aca="false">VLOOKUP(J4403,Sheet2!A:B,2,0)</f>
        <v>#N/A</v>
      </c>
      <c r="L4403" s="17" t="n">
        <v>5</v>
      </c>
      <c r="M4403" s="17" t="str">
        <f aca="false">VLOOKUP(L4403,Sheet2!D:E,2,0)</f>
        <v>Main Processor CPU BGA</v>
      </c>
      <c r="N4403" s="17" t="n">
        <v>1</v>
      </c>
      <c r="O4403" s="17" t="str">
        <f aca="false">VLOOKUP(N4403,Sheet2!G:H,2,0)</f>
        <v>Dead</v>
      </c>
      <c r="P4403" s="17" t="n">
        <v>11</v>
      </c>
      <c r="Q4403" s="17" t="str">
        <f aca="false">VLOOKUP(P4403,Sheet2!J:K,2,0)</f>
        <v>IR Declared due to CID -TA</v>
      </c>
      <c r="R4403" s="17" t="s">
        <v>35</v>
      </c>
      <c r="S4403" s="17" t="str">
        <f aca="false">VLOOKUP(R4403,Sheet2!N:O,2,0)</f>
        <v>IREPARABLE</v>
      </c>
      <c r="T4403" s="18" t="str">
        <f aca="false">VLOOKUP(P4403,Sheet2!Q:R,2,0)</f>
        <v>IR Normal - Track burn out</v>
      </c>
      <c r="U4403" s="20" t="s">
        <v>41</v>
      </c>
      <c r="V4403" s="17"/>
      <c r="W4403" s="20" t="e">
        <f aca="false">VLOOKUP(V4403,Sheet2!Q:R,2,0)</f>
        <v>#N/A</v>
      </c>
      <c r="X4403" s="17" t="n">
        <f aca="false">J4403</f>
        <v>0</v>
      </c>
      <c r="Y4403" s="17" t="e">
        <f aca="false">VLOOKUP(X4403,Sheet2!A:B,2,0)</f>
        <v>#N/A</v>
      </c>
      <c r="Z4403" s="17"/>
      <c r="AA4403" s="17"/>
      <c r="AC4403" s="23" t="str">
        <f aca="false">LEFT(G4403,2)</f>
        <v/>
      </c>
    </row>
    <row r="4404" customFormat="false" ht="15" hidden="false" customHeight="false" outlineLevel="0" collapsed="false">
      <c r="A4404" s="13" t="n">
        <f aca="false">1+A4403</f>
        <v>4402</v>
      </c>
      <c r="B4404" s="14" t="n">
        <v>100</v>
      </c>
      <c r="C4404" s="15"/>
      <c r="D4404" s="16" t="s">
        <v>64</v>
      </c>
      <c r="E4404" s="17" t="s">
        <v>47</v>
      </c>
      <c r="F4404" s="18" t="s">
        <v>34</v>
      </c>
      <c r="G4404" s="19"/>
      <c r="H4404" s="17" t="s">
        <v>35</v>
      </c>
      <c r="I4404" s="17" t="s">
        <v>44</v>
      </c>
      <c r="J4404" s="17"/>
      <c r="K4404" s="17" t="e">
        <f aca="false">VLOOKUP(J4404,Sheet2!A:B,2,0)</f>
        <v>#N/A</v>
      </c>
      <c r="L4404" s="17" t="n">
        <v>5</v>
      </c>
      <c r="M4404" s="17" t="str">
        <f aca="false">VLOOKUP(L4404,Sheet2!D:E,2,0)</f>
        <v>Main Processor CPU BGA</v>
      </c>
      <c r="N4404" s="17" t="n">
        <v>1</v>
      </c>
      <c r="O4404" s="17" t="str">
        <f aca="false">VLOOKUP(N4404,Sheet2!G:H,2,0)</f>
        <v>Dead</v>
      </c>
      <c r="P4404" s="17" t="n">
        <v>11</v>
      </c>
      <c r="Q4404" s="17" t="str">
        <f aca="false">VLOOKUP(P4404,Sheet2!J:K,2,0)</f>
        <v>IR Declared due to CID -TA</v>
      </c>
      <c r="R4404" s="17" t="s">
        <v>35</v>
      </c>
      <c r="S4404" s="17" t="str">
        <f aca="false">VLOOKUP(R4404,Sheet2!N:O,2,0)</f>
        <v>IREPARABLE</v>
      </c>
      <c r="T4404" s="18" t="str">
        <f aca="false">VLOOKUP(P4404,Sheet2!Q:R,2,0)</f>
        <v>IR Normal - Track burn out</v>
      </c>
      <c r="U4404" s="20" t="s">
        <v>41</v>
      </c>
      <c r="V4404" s="17"/>
      <c r="W4404" s="20" t="e">
        <f aca="false">VLOOKUP(V4404,Sheet2!Q:R,2,0)</f>
        <v>#N/A</v>
      </c>
      <c r="X4404" s="17" t="n">
        <f aca="false">J4404</f>
        <v>0</v>
      </c>
      <c r="Y4404" s="17" t="e">
        <f aca="false">VLOOKUP(X4404,Sheet2!A:B,2,0)</f>
        <v>#N/A</v>
      </c>
      <c r="Z4404" s="17"/>
      <c r="AA4404" s="17"/>
      <c r="AC4404" s="23" t="str">
        <f aca="false">LEFT(G4404,2)</f>
        <v/>
      </c>
    </row>
    <row r="4405" customFormat="false" ht="15" hidden="false" customHeight="false" outlineLevel="0" collapsed="false">
      <c r="A4405" s="13" t="n">
        <f aca="false">1+A4404</f>
        <v>4403</v>
      </c>
      <c r="B4405" s="14" t="n">
        <v>100</v>
      </c>
      <c r="C4405" s="15"/>
      <c r="D4405" s="16" t="s">
        <v>64</v>
      </c>
      <c r="E4405" s="17" t="s">
        <v>47</v>
      </c>
      <c r="F4405" s="18" t="s">
        <v>34</v>
      </c>
      <c r="G4405" s="19"/>
      <c r="H4405" s="17" t="s">
        <v>35</v>
      </c>
      <c r="I4405" s="17" t="s">
        <v>44</v>
      </c>
      <c r="J4405" s="17"/>
      <c r="K4405" s="17" t="e">
        <f aca="false">VLOOKUP(J4405,Sheet2!A:B,2,0)</f>
        <v>#N/A</v>
      </c>
      <c r="L4405" s="17" t="n">
        <v>5</v>
      </c>
      <c r="M4405" s="17" t="str">
        <f aca="false">VLOOKUP(L4405,Sheet2!D:E,2,0)</f>
        <v>Main Processor CPU BGA</v>
      </c>
      <c r="N4405" s="17" t="n">
        <v>1</v>
      </c>
      <c r="O4405" s="17" t="str">
        <f aca="false">VLOOKUP(N4405,Sheet2!G:H,2,0)</f>
        <v>Dead</v>
      </c>
      <c r="P4405" s="17" t="n">
        <v>11</v>
      </c>
      <c r="Q4405" s="17" t="str">
        <f aca="false">VLOOKUP(P4405,Sheet2!J:K,2,0)</f>
        <v>IR Declared due to CID -TA</v>
      </c>
      <c r="R4405" s="17" t="s">
        <v>35</v>
      </c>
      <c r="S4405" s="17" t="str">
        <f aca="false">VLOOKUP(R4405,Sheet2!N:O,2,0)</f>
        <v>IREPARABLE</v>
      </c>
      <c r="T4405" s="18" t="str">
        <f aca="false">VLOOKUP(P4405,Sheet2!Q:R,2,0)</f>
        <v>IR Normal - Track burn out</v>
      </c>
      <c r="U4405" s="20" t="s">
        <v>41</v>
      </c>
      <c r="V4405" s="17"/>
      <c r="W4405" s="20" t="e">
        <f aca="false">VLOOKUP(V4405,Sheet2!Q:R,2,0)</f>
        <v>#N/A</v>
      </c>
      <c r="X4405" s="17" t="n">
        <f aca="false">J4405</f>
        <v>0</v>
      </c>
      <c r="Y4405" s="17" t="e">
        <f aca="false">VLOOKUP(X4405,Sheet2!A:B,2,0)</f>
        <v>#N/A</v>
      </c>
      <c r="Z4405" s="17"/>
      <c r="AA4405" s="17"/>
      <c r="AC4405" s="23" t="str">
        <f aca="false">LEFT(G4405,2)</f>
        <v/>
      </c>
    </row>
    <row r="4406" customFormat="false" ht="15" hidden="false" customHeight="false" outlineLevel="0" collapsed="false">
      <c r="A4406" s="13" t="n">
        <f aca="false">1+A4405</f>
        <v>4404</v>
      </c>
      <c r="B4406" s="14" t="n">
        <v>100</v>
      </c>
      <c r="C4406" s="15"/>
      <c r="D4406" s="16" t="s">
        <v>64</v>
      </c>
      <c r="E4406" s="17" t="s">
        <v>47</v>
      </c>
      <c r="F4406" s="18" t="s">
        <v>34</v>
      </c>
      <c r="G4406" s="19"/>
      <c r="H4406" s="17" t="s">
        <v>35</v>
      </c>
      <c r="I4406" s="17" t="s">
        <v>44</v>
      </c>
      <c r="J4406" s="17"/>
      <c r="K4406" s="17" t="e">
        <f aca="false">VLOOKUP(J4406,Sheet2!A:B,2,0)</f>
        <v>#N/A</v>
      </c>
      <c r="L4406" s="17" t="n">
        <v>5</v>
      </c>
      <c r="M4406" s="17" t="str">
        <f aca="false">VLOOKUP(L4406,Sheet2!D:E,2,0)</f>
        <v>Main Processor CPU BGA</v>
      </c>
      <c r="N4406" s="17" t="n">
        <v>1</v>
      </c>
      <c r="O4406" s="17" t="str">
        <f aca="false">VLOOKUP(N4406,Sheet2!G:H,2,0)</f>
        <v>Dead</v>
      </c>
      <c r="P4406" s="17" t="n">
        <v>11</v>
      </c>
      <c r="Q4406" s="17" t="str">
        <f aca="false">VLOOKUP(P4406,Sheet2!J:K,2,0)</f>
        <v>IR Declared due to CID -TA</v>
      </c>
      <c r="R4406" s="17" t="s">
        <v>35</v>
      </c>
      <c r="S4406" s="17" t="str">
        <f aca="false">VLOOKUP(R4406,Sheet2!N:O,2,0)</f>
        <v>IREPARABLE</v>
      </c>
      <c r="T4406" s="18" t="str">
        <f aca="false">VLOOKUP(P4406,Sheet2!Q:R,2,0)</f>
        <v>IR Normal - Track burn out</v>
      </c>
      <c r="U4406" s="20" t="s">
        <v>41</v>
      </c>
      <c r="V4406" s="17"/>
      <c r="W4406" s="20" t="e">
        <f aca="false">VLOOKUP(V4406,Sheet2!Q:R,2,0)</f>
        <v>#N/A</v>
      </c>
      <c r="X4406" s="17" t="n">
        <f aca="false">J4406</f>
        <v>0</v>
      </c>
      <c r="Y4406" s="17" t="e">
        <f aca="false">VLOOKUP(X4406,Sheet2!A:B,2,0)</f>
        <v>#N/A</v>
      </c>
      <c r="Z4406" s="17"/>
      <c r="AA4406" s="17"/>
      <c r="AC4406" s="23" t="str">
        <f aca="false">LEFT(G4406,2)</f>
        <v/>
      </c>
    </row>
    <row r="4407" customFormat="false" ht="15" hidden="false" customHeight="false" outlineLevel="0" collapsed="false">
      <c r="A4407" s="13" t="n">
        <f aca="false">1+A4406</f>
        <v>4405</v>
      </c>
      <c r="B4407" s="14" t="n">
        <v>100</v>
      </c>
      <c r="C4407" s="15"/>
      <c r="D4407" s="16" t="s">
        <v>64</v>
      </c>
      <c r="E4407" s="17" t="s">
        <v>47</v>
      </c>
      <c r="F4407" s="18" t="s">
        <v>34</v>
      </c>
      <c r="G4407" s="19"/>
      <c r="H4407" s="17" t="s">
        <v>35</v>
      </c>
      <c r="I4407" s="17" t="s">
        <v>44</v>
      </c>
      <c r="J4407" s="17"/>
      <c r="K4407" s="17" t="e">
        <f aca="false">VLOOKUP(J4407,Sheet2!A:B,2,0)</f>
        <v>#N/A</v>
      </c>
      <c r="L4407" s="17" t="n">
        <v>5</v>
      </c>
      <c r="M4407" s="17" t="str">
        <f aca="false">VLOOKUP(L4407,Sheet2!D:E,2,0)</f>
        <v>Main Processor CPU BGA</v>
      </c>
      <c r="N4407" s="17" t="n">
        <v>1</v>
      </c>
      <c r="O4407" s="17" t="str">
        <f aca="false">VLOOKUP(N4407,Sheet2!G:H,2,0)</f>
        <v>Dead</v>
      </c>
      <c r="P4407" s="17" t="n">
        <v>11</v>
      </c>
      <c r="Q4407" s="17" t="str">
        <f aca="false">VLOOKUP(P4407,Sheet2!J:K,2,0)</f>
        <v>IR Declared due to CID -TA</v>
      </c>
      <c r="R4407" s="17" t="s">
        <v>35</v>
      </c>
      <c r="S4407" s="17" t="str">
        <f aca="false">VLOOKUP(R4407,Sheet2!N:O,2,0)</f>
        <v>IREPARABLE</v>
      </c>
      <c r="T4407" s="18" t="str">
        <f aca="false">VLOOKUP(P4407,Sheet2!Q:R,2,0)</f>
        <v>IR Normal - Track burn out</v>
      </c>
      <c r="U4407" s="20" t="s">
        <v>41</v>
      </c>
      <c r="V4407" s="17"/>
      <c r="W4407" s="20" t="e">
        <f aca="false">VLOOKUP(V4407,Sheet2!Q:R,2,0)</f>
        <v>#N/A</v>
      </c>
      <c r="X4407" s="17" t="n">
        <f aca="false">J4407</f>
        <v>0</v>
      </c>
      <c r="Y4407" s="17" t="e">
        <f aca="false">VLOOKUP(X4407,Sheet2!A:B,2,0)</f>
        <v>#N/A</v>
      </c>
      <c r="Z4407" s="17"/>
      <c r="AA4407" s="17"/>
      <c r="AC4407" s="23" t="str">
        <f aca="false">LEFT(G4407,2)</f>
        <v/>
      </c>
    </row>
    <row r="4408" customFormat="false" ht="15" hidden="false" customHeight="false" outlineLevel="0" collapsed="false">
      <c r="A4408" s="13" t="n">
        <f aca="false">1+A4407</f>
        <v>4406</v>
      </c>
      <c r="B4408" s="14" t="n">
        <v>100</v>
      </c>
      <c r="C4408" s="15"/>
      <c r="D4408" s="16" t="s">
        <v>64</v>
      </c>
      <c r="E4408" s="17" t="s">
        <v>47</v>
      </c>
      <c r="F4408" s="18" t="s">
        <v>34</v>
      </c>
      <c r="G4408" s="19"/>
      <c r="H4408" s="17" t="s">
        <v>35</v>
      </c>
      <c r="I4408" s="17" t="s">
        <v>44</v>
      </c>
      <c r="J4408" s="17"/>
      <c r="K4408" s="17" t="e">
        <f aca="false">VLOOKUP(J4408,Sheet2!A:B,2,0)</f>
        <v>#N/A</v>
      </c>
      <c r="L4408" s="17" t="n">
        <v>5</v>
      </c>
      <c r="M4408" s="17" t="str">
        <f aca="false">VLOOKUP(L4408,Sheet2!D:E,2,0)</f>
        <v>Main Processor CPU BGA</v>
      </c>
      <c r="N4408" s="17" t="n">
        <v>1</v>
      </c>
      <c r="O4408" s="17" t="str">
        <f aca="false">VLOOKUP(N4408,Sheet2!G:H,2,0)</f>
        <v>Dead</v>
      </c>
      <c r="P4408" s="17" t="n">
        <v>11</v>
      </c>
      <c r="Q4408" s="17" t="str">
        <f aca="false">VLOOKUP(P4408,Sheet2!J:K,2,0)</f>
        <v>IR Declared due to CID -TA</v>
      </c>
      <c r="R4408" s="17" t="s">
        <v>35</v>
      </c>
      <c r="S4408" s="17" t="str">
        <f aca="false">VLOOKUP(R4408,Sheet2!N:O,2,0)</f>
        <v>IREPARABLE</v>
      </c>
      <c r="T4408" s="18" t="str">
        <f aca="false">VLOOKUP(P4408,Sheet2!Q:R,2,0)</f>
        <v>IR Normal - Track burn out</v>
      </c>
      <c r="U4408" s="20" t="s">
        <v>41</v>
      </c>
      <c r="V4408" s="17"/>
      <c r="W4408" s="20" t="e">
        <f aca="false">VLOOKUP(V4408,Sheet2!Q:R,2,0)</f>
        <v>#N/A</v>
      </c>
      <c r="X4408" s="17" t="n">
        <f aca="false">J4408</f>
        <v>0</v>
      </c>
      <c r="Y4408" s="17" t="e">
        <f aca="false">VLOOKUP(X4408,Sheet2!A:B,2,0)</f>
        <v>#N/A</v>
      </c>
      <c r="Z4408" s="17"/>
      <c r="AA4408" s="17"/>
      <c r="AC4408" s="23" t="str">
        <f aca="false">LEFT(G4408,2)</f>
        <v/>
      </c>
    </row>
    <row r="4409" customFormat="false" ht="15" hidden="false" customHeight="false" outlineLevel="0" collapsed="false">
      <c r="A4409" s="13" t="n">
        <f aca="false">1+A4408</f>
        <v>4407</v>
      </c>
      <c r="B4409" s="14" t="n">
        <v>100</v>
      </c>
      <c r="C4409" s="15"/>
      <c r="D4409" s="16" t="s">
        <v>64</v>
      </c>
      <c r="E4409" s="17" t="s">
        <v>47</v>
      </c>
      <c r="F4409" s="18" t="s">
        <v>34</v>
      </c>
      <c r="G4409" s="19"/>
      <c r="H4409" s="17" t="s">
        <v>35</v>
      </c>
      <c r="I4409" s="17" t="s">
        <v>44</v>
      </c>
      <c r="J4409" s="17"/>
      <c r="K4409" s="17" t="e">
        <f aca="false">VLOOKUP(J4409,Sheet2!A:B,2,0)</f>
        <v>#N/A</v>
      </c>
      <c r="L4409" s="17" t="n">
        <v>5</v>
      </c>
      <c r="M4409" s="17" t="str">
        <f aca="false">VLOOKUP(L4409,Sheet2!D:E,2,0)</f>
        <v>Main Processor CPU BGA</v>
      </c>
      <c r="N4409" s="17" t="n">
        <v>1</v>
      </c>
      <c r="O4409" s="17" t="str">
        <f aca="false">VLOOKUP(N4409,Sheet2!G:H,2,0)</f>
        <v>Dead</v>
      </c>
      <c r="P4409" s="17" t="n">
        <v>11</v>
      </c>
      <c r="Q4409" s="17" t="str">
        <f aca="false">VLOOKUP(P4409,Sheet2!J:K,2,0)</f>
        <v>IR Declared due to CID -TA</v>
      </c>
      <c r="R4409" s="17" t="s">
        <v>35</v>
      </c>
      <c r="S4409" s="17" t="str">
        <f aca="false">VLOOKUP(R4409,Sheet2!N:O,2,0)</f>
        <v>IREPARABLE</v>
      </c>
      <c r="T4409" s="18" t="str">
        <f aca="false">VLOOKUP(P4409,Sheet2!Q:R,2,0)</f>
        <v>IR Normal - Track burn out</v>
      </c>
      <c r="U4409" s="20" t="s">
        <v>41</v>
      </c>
      <c r="V4409" s="17"/>
      <c r="W4409" s="20" t="e">
        <f aca="false">VLOOKUP(V4409,Sheet2!Q:R,2,0)</f>
        <v>#N/A</v>
      </c>
      <c r="X4409" s="17" t="n">
        <f aca="false">J4409</f>
        <v>0</v>
      </c>
      <c r="Y4409" s="17" t="e">
        <f aca="false">VLOOKUP(X4409,Sheet2!A:B,2,0)</f>
        <v>#N/A</v>
      </c>
      <c r="Z4409" s="17"/>
      <c r="AA4409" s="17"/>
      <c r="AC4409" s="23" t="str">
        <f aca="false">LEFT(G4409,2)</f>
        <v/>
      </c>
    </row>
    <row r="4410" customFormat="false" ht="15" hidden="false" customHeight="false" outlineLevel="0" collapsed="false">
      <c r="A4410" s="13" t="n">
        <f aca="false">1+A4409</f>
        <v>4408</v>
      </c>
      <c r="B4410" s="14" t="n">
        <v>100</v>
      </c>
      <c r="C4410" s="15"/>
      <c r="D4410" s="16" t="s">
        <v>64</v>
      </c>
      <c r="E4410" s="17" t="s">
        <v>47</v>
      </c>
      <c r="F4410" s="18" t="s">
        <v>34</v>
      </c>
      <c r="G4410" s="19"/>
      <c r="H4410" s="17" t="s">
        <v>35</v>
      </c>
      <c r="I4410" s="17" t="s">
        <v>44</v>
      </c>
      <c r="J4410" s="17"/>
      <c r="K4410" s="17" t="e">
        <f aca="false">VLOOKUP(J4410,Sheet2!A:B,2,0)</f>
        <v>#N/A</v>
      </c>
      <c r="L4410" s="17" t="n">
        <v>5</v>
      </c>
      <c r="M4410" s="17" t="str">
        <f aca="false">VLOOKUP(L4410,Sheet2!D:E,2,0)</f>
        <v>Main Processor CPU BGA</v>
      </c>
      <c r="N4410" s="17" t="n">
        <v>1</v>
      </c>
      <c r="O4410" s="17" t="str">
        <f aca="false">VLOOKUP(N4410,Sheet2!G:H,2,0)</f>
        <v>Dead</v>
      </c>
      <c r="P4410" s="17" t="n">
        <v>11</v>
      </c>
      <c r="Q4410" s="17" t="str">
        <f aca="false">VLOOKUP(P4410,Sheet2!J:K,2,0)</f>
        <v>IR Declared due to CID -TA</v>
      </c>
      <c r="R4410" s="17" t="s">
        <v>35</v>
      </c>
      <c r="S4410" s="17" t="str">
        <f aca="false">VLOOKUP(R4410,Sheet2!N:O,2,0)</f>
        <v>IREPARABLE</v>
      </c>
      <c r="T4410" s="18" t="str">
        <f aca="false">VLOOKUP(P4410,Sheet2!Q:R,2,0)</f>
        <v>IR Normal - Track burn out</v>
      </c>
      <c r="U4410" s="20" t="s">
        <v>41</v>
      </c>
      <c r="V4410" s="17"/>
      <c r="W4410" s="20" t="e">
        <f aca="false">VLOOKUP(V4410,Sheet2!Q:R,2,0)</f>
        <v>#N/A</v>
      </c>
      <c r="X4410" s="17" t="n">
        <f aca="false">J4410</f>
        <v>0</v>
      </c>
      <c r="Y4410" s="17" t="e">
        <f aca="false">VLOOKUP(X4410,Sheet2!A:B,2,0)</f>
        <v>#N/A</v>
      </c>
      <c r="Z4410" s="17"/>
      <c r="AA4410" s="17"/>
      <c r="AC4410" s="23" t="str">
        <f aca="false">LEFT(G4410,2)</f>
        <v/>
      </c>
    </row>
    <row r="4411" customFormat="false" ht="15" hidden="false" customHeight="false" outlineLevel="0" collapsed="false">
      <c r="A4411" s="13" t="n">
        <f aca="false">1+A4410</f>
        <v>4409</v>
      </c>
      <c r="B4411" s="14" t="n">
        <v>100</v>
      </c>
      <c r="C4411" s="15"/>
      <c r="D4411" s="16" t="s">
        <v>64</v>
      </c>
      <c r="E4411" s="17" t="s">
        <v>47</v>
      </c>
      <c r="F4411" s="18" t="s">
        <v>34</v>
      </c>
      <c r="G4411" s="19"/>
      <c r="H4411" s="17" t="s">
        <v>35</v>
      </c>
      <c r="I4411" s="17" t="s">
        <v>44</v>
      </c>
      <c r="J4411" s="17"/>
      <c r="K4411" s="17" t="e">
        <f aca="false">VLOOKUP(J4411,Sheet2!A:B,2,0)</f>
        <v>#N/A</v>
      </c>
      <c r="L4411" s="17" t="n">
        <v>5</v>
      </c>
      <c r="M4411" s="17" t="str">
        <f aca="false">VLOOKUP(L4411,Sheet2!D:E,2,0)</f>
        <v>Main Processor CPU BGA</v>
      </c>
      <c r="N4411" s="17" t="n">
        <v>1</v>
      </c>
      <c r="O4411" s="17" t="str">
        <f aca="false">VLOOKUP(N4411,Sheet2!G:H,2,0)</f>
        <v>Dead</v>
      </c>
      <c r="P4411" s="17" t="n">
        <v>11</v>
      </c>
      <c r="Q4411" s="17" t="str">
        <f aca="false">VLOOKUP(P4411,Sheet2!J:K,2,0)</f>
        <v>IR Declared due to CID -TA</v>
      </c>
      <c r="R4411" s="17" t="s">
        <v>35</v>
      </c>
      <c r="S4411" s="17" t="str">
        <f aca="false">VLOOKUP(R4411,Sheet2!N:O,2,0)</f>
        <v>IREPARABLE</v>
      </c>
      <c r="T4411" s="18" t="str">
        <f aca="false">VLOOKUP(P4411,Sheet2!Q:R,2,0)</f>
        <v>IR Normal - Track burn out</v>
      </c>
      <c r="U4411" s="20" t="s">
        <v>41</v>
      </c>
      <c r="V4411" s="17"/>
      <c r="W4411" s="20" t="e">
        <f aca="false">VLOOKUP(V4411,Sheet2!Q:R,2,0)</f>
        <v>#N/A</v>
      </c>
      <c r="X4411" s="17" t="n">
        <f aca="false">J4411</f>
        <v>0</v>
      </c>
      <c r="Y4411" s="17" t="e">
        <f aca="false">VLOOKUP(X4411,Sheet2!A:B,2,0)</f>
        <v>#N/A</v>
      </c>
      <c r="Z4411" s="17"/>
      <c r="AA4411" s="17"/>
      <c r="AC4411" s="23" t="str">
        <f aca="false">LEFT(G4411,2)</f>
        <v/>
      </c>
    </row>
    <row r="4412" customFormat="false" ht="15" hidden="false" customHeight="false" outlineLevel="0" collapsed="false">
      <c r="A4412" s="13" t="n">
        <f aca="false">1+A4411</f>
        <v>4410</v>
      </c>
      <c r="B4412" s="14" t="n">
        <v>100</v>
      </c>
      <c r="C4412" s="15"/>
      <c r="D4412" s="16" t="s">
        <v>64</v>
      </c>
      <c r="E4412" s="17" t="s">
        <v>47</v>
      </c>
      <c r="F4412" s="18" t="s">
        <v>34</v>
      </c>
      <c r="G4412" s="19"/>
      <c r="H4412" s="17" t="s">
        <v>35</v>
      </c>
      <c r="I4412" s="17" t="s">
        <v>44</v>
      </c>
      <c r="J4412" s="17"/>
      <c r="K4412" s="17" t="e">
        <f aca="false">VLOOKUP(J4412,Sheet2!A:B,2,0)</f>
        <v>#N/A</v>
      </c>
      <c r="L4412" s="17" t="n">
        <v>5</v>
      </c>
      <c r="M4412" s="17" t="str">
        <f aca="false">VLOOKUP(L4412,Sheet2!D:E,2,0)</f>
        <v>Main Processor CPU BGA</v>
      </c>
      <c r="N4412" s="17" t="n">
        <v>1</v>
      </c>
      <c r="O4412" s="17" t="str">
        <f aca="false">VLOOKUP(N4412,Sheet2!G:H,2,0)</f>
        <v>Dead</v>
      </c>
      <c r="P4412" s="17" t="n">
        <v>11</v>
      </c>
      <c r="Q4412" s="17" t="str">
        <f aca="false">VLOOKUP(P4412,Sheet2!J:K,2,0)</f>
        <v>IR Declared due to CID -TA</v>
      </c>
      <c r="R4412" s="17" t="s">
        <v>35</v>
      </c>
      <c r="S4412" s="17" t="str">
        <f aca="false">VLOOKUP(R4412,Sheet2!N:O,2,0)</f>
        <v>IREPARABLE</v>
      </c>
      <c r="T4412" s="18" t="str">
        <f aca="false">VLOOKUP(P4412,Sheet2!Q:R,2,0)</f>
        <v>IR Normal - Track burn out</v>
      </c>
      <c r="U4412" s="20" t="s">
        <v>41</v>
      </c>
      <c r="V4412" s="17"/>
      <c r="W4412" s="20" t="e">
        <f aca="false">VLOOKUP(V4412,Sheet2!Q:R,2,0)</f>
        <v>#N/A</v>
      </c>
      <c r="X4412" s="17" t="n">
        <f aca="false">J4412</f>
        <v>0</v>
      </c>
      <c r="Y4412" s="17" t="e">
        <f aca="false">VLOOKUP(X4412,Sheet2!A:B,2,0)</f>
        <v>#N/A</v>
      </c>
      <c r="Z4412" s="17"/>
      <c r="AA4412" s="17"/>
      <c r="AC4412" s="23" t="str">
        <f aca="false">LEFT(G4412,2)</f>
        <v/>
      </c>
    </row>
    <row r="4413" customFormat="false" ht="15" hidden="false" customHeight="false" outlineLevel="0" collapsed="false">
      <c r="A4413" s="13" t="n">
        <f aca="false">1+A4412</f>
        <v>4411</v>
      </c>
      <c r="B4413" s="14" t="n">
        <v>100</v>
      </c>
      <c r="C4413" s="15"/>
      <c r="D4413" s="16" t="s">
        <v>64</v>
      </c>
      <c r="E4413" s="17" t="s">
        <v>47</v>
      </c>
      <c r="F4413" s="18" t="s">
        <v>34</v>
      </c>
      <c r="G4413" s="19"/>
      <c r="H4413" s="17" t="s">
        <v>35</v>
      </c>
      <c r="I4413" s="17" t="s">
        <v>44</v>
      </c>
      <c r="J4413" s="17"/>
      <c r="K4413" s="17" t="e">
        <f aca="false">VLOOKUP(J4413,Sheet2!A:B,2,0)</f>
        <v>#N/A</v>
      </c>
      <c r="L4413" s="17" t="n">
        <v>5</v>
      </c>
      <c r="M4413" s="17" t="str">
        <f aca="false">VLOOKUP(L4413,Sheet2!D:E,2,0)</f>
        <v>Main Processor CPU BGA</v>
      </c>
      <c r="N4413" s="17" t="n">
        <v>1</v>
      </c>
      <c r="O4413" s="17" t="str">
        <f aca="false">VLOOKUP(N4413,Sheet2!G:H,2,0)</f>
        <v>Dead</v>
      </c>
      <c r="P4413" s="17" t="n">
        <v>11</v>
      </c>
      <c r="Q4413" s="17" t="str">
        <f aca="false">VLOOKUP(P4413,Sheet2!J:K,2,0)</f>
        <v>IR Declared due to CID -TA</v>
      </c>
      <c r="R4413" s="17" t="s">
        <v>35</v>
      </c>
      <c r="S4413" s="17" t="str">
        <f aca="false">VLOOKUP(R4413,Sheet2!N:O,2,0)</f>
        <v>IREPARABLE</v>
      </c>
      <c r="T4413" s="18" t="str">
        <f aca="false">VLOOKUP(P4413,Sheet2!Q:R,2,0)</f>
        <v>IR Normal - Track burn out</v>
      </c>
      <c r="U4413" s="20" t="s">
        <v>41</v>
      </c>
      <c r="V4413" s="17"/>
      <c r="W4413" s="20" t="e">
        <f aca="false">VLOOKUP(V4413,Sheet2!Q:R,2,0)</f>
        <v>#N/A</v>
      </c>
      <c r="X4413" s="17" t="n">
        <f aca="false">J4413</f>
        <v>0</v>
      </c>
      <c r="Y4413" s="17" t="e">
        <f aca="false">VLOOKUP(X4413,Sheet2!A:B,2,0)</f>
        <v>#N/A</v>
      </c>
      <c r="Z4413" s="17"/>
      <c r="AA4413" s="17"/>
      <c r="AC4413" s="23" t="str">
        <f aca="false">LEFT(G4413,2)</f>
        <v/>
      </c>
    </row>
    <row r="4414" customFormat="false" ht="15" hidden="false" customHeight="false" outlineLevel="0" collapsed="false">
      <c r="A4414" s="13" t="n">
        <f aca="false">1+A4413</f>
        <v>4412</v>
      </c>
      <c r="B4414" s="14" t="n">
        <v>100</v>
      </c>
      <c r="C4414" s="15"/>
      <c r="D4414" s="16" t="s">
        <v>64</v>
      </c>
      <c r="E4414" s="17" t="s">
        <v>47</v>
      </c>
      <c r="F4414" s="18" t="s">
        <v>34</v>
      </c>
      <c r="G4414" s="19"/>
      <c r="H4414" s="17" t="s">
        <v>35</v>
      </c>
      <c r="I4414" s="17" t="s">
        <v>44</v>
      </c>
      <c r="J4414" s="17"/>
      <c r="K4414" s="17" t="e">
        <f aca="false">VLOOKUP(J4414,Sheet2!A:B,2,0)</f>
        <v>#N/A</v>
      </c>
      <c r="L4414" s="17" t="n">
        <v>5</v>
      </c>
      <c r="M4414" s="17" t="str">
        <f aca="false">VLOOKUP(L4414,Sheet2!D:E,2,0)</f>
        <v>Main Processor CPU BGA</v>
      </c>
      <c r="N4414" s="17" t="n">
        <v>1</v>
      </c>
      <c r="O4414" s="17" t="str">
        <f aca="false">VLOOKUP(N4414,Sheet2!G:H,2,0)</f>
        <v>Dead</v>
      </c>
      <c r="P4414" s="17" t="n">
        <v>11</v>
      </c>
      <c r="Q4414" s="17" t="str">
        <f aca="false">VLOOKUP(P4414,Sheet2!J:K,2,0)</f>
        <v>IR Declared due to CID -TA</v>
      </c>
      <c r="R4414" s="17" t="s">
        <v>35</v>
      </c>
      <c r="S4414" s="17" t="str">
        <f aca="false">VLOOKUP(R4414,Sheet2!N:O,2,0)</f>
        <v>IREPARABLE</v>
      </c>
      <c r="T4414" s="18" t="str">
        <f aca="false">VLOOKUP(P4414,Sheet2!Q:R,2,0)</f>
        <v>IR Normal - Track burn out</v>
      </c>
      <c r="U4414" s="20" t="s">
        <v>41</v>
      </c>
      <c r="V4414" s="17"/>
      <c r="W4414" s="20" t="e">
        <f aca="false">VLOOKUP(V4414,Sheet2!Q:R,2,0)</f>
        <v>#N/A</v>
      </c>
      <c r="X4414" s="17" t="n">
        <f aca="false">J4414</f>
        <v>0</v>
      </c>
      <c r="Y4414" s="17" t="e">
        <f aca="false">VLOOKUP(X4414,Sheet2!A:B,2,0)</f>
        <v>#N/A</v>
      </c>
      <c r="Z4414" s="17"/>
      <c r="AA4414" s="17"/>
      <c r="AC4414" s="23" t="str">
        <f aca="false">LEFT(G4414,2)</f>
        <v/>
      </c>
    </row>
    <row r="4415" customFormat="false" ht="15" hidden="false" customHeight="false" outlineLevel="0" collapsed="false">
      <c r="A4415" s="13" t="n">
        <f aca="false">1+A4414</f>
        <v>4413</v>
      </c>
      <c r="B4415" s="14" t="n">
        <v>100</v>
      </c>
      <c r="C4415" s="15"/>
      <c r="D4415" s="16" t="s">
        <v>64</v>
      </c>
      <c r="E4415" s="17" t="s">
        <v>47</v>
      </c>
      <c r="F4415" s="18" t="s">
        <v>34</v>
      </c>
      <c r="G4415" s="19"/>
      <c r="H4415" s="17" t="s">
        <v>35</v>
      </c>
      <c r="I4415" s="17" t="s">
        <v>44</v>
      </c>
      <c r="J4415" s="17"/>
      <c r="K4415" s="17" t="e">
        <f aca="false">VLOOKUP(J4415,Sheet2!A:B,2,0)</f>
        <v>#N/A</v>
      </c>
      <c r="L4415" s="17" t="n">
        <v>5</v>
      </c>
      <c r="M4415" s="17" t="str">
        <f aca="false">VLOOKUP(L4415,Sheet2!D:E,2,0)</f>
        <v>Main Processor CPU BGA</v>
      </c>
      <c r="N4415" s="17" t="n">
        <v>1</v>
      </c>
      <c r="O4415" s="17" t="str">
        <f aca="false">VLOOKUP(N4415,Sheet2!G:H,2,0)</f>
        <v>Dead</v>
      </c>
      <c r="P4415" s="17" t="n">
        <v>11</v>
      </c>
      <c r="Q4415" s="17" t="str">
        <f aca="false">VLOOKUP(P4415,Sheet2!J:K,2,0)</f>
        <v>IR Declared due to CID -TA</v>
      </c>
      <c r="R4415" s="17" t="s">
        <v>35</v>
      </c>
      <c r="S4415" s="17" t="str">
        <f aca="false">VLOOKUP(R4415,Sheet2!N:O,2,0)</f>
        <v>IREPARABLE</v>
      </c>
      <c r="T4415" s="18" t="str">
        <f aca="false">VLOOKUP(P4415,Sheet2!Q:R,2,0)</f>
        <v>IR Normal - Track burn out</v>
      </c>
      <c r="U4415" s="20" t="s">
        <v>41</v>
      </c>
      <c r="V4415" s="17"/>
      <c r="W4415" s="20" t="e">
        <f aca="false">VLOOKUP(V4415,Sheet2!Q:R,2,0)</f>
        <v>#N/A</v>
      </c>
      <c r="X4415" s="17" t="n">
        <f aca="false">J4415</f>
        <v>0</v>
      </c>
      <c r="Y4415" s="17" t="e">
        <f aca="false">VLOOKUP(X4415,Sheet2!A:B,2,0)</f>
        <v>#N/A</v>
      </c>
      <c r="Z4415" s="17"/>
      <c r="AA4415" s="17"/>
      <c r="AC4415" s="23" t="str">
        <f aca="false">LEFT(G4415,2)</f>
        <v/>
      </c>
    </row>
    <row r="4416" customFormat="false" ht="15" hidden="false" customHeight="false" outlineLevel="0" collapsed="false">
      <c r="A4416" s="13" t="n">
        <f aca="false">1+A4415</f>
        <v>4414</v>
      </c>
      <c r="B4416" s="14" t="n">
        <v>100</v>
      </c>
      <c r="C4416" s="15"/>
      <c r="D4416" s="16" t="s">
        <v>64</v>
      </c>
      <c r="E4416" s="17" t="s">
        <v>47</v>
      </c>
      <c r="F4416" s="18" t="s">
        <v>34</v>
      </c>
      <c r="G4416" s="19"/>
      <c r="H4416" s="17" t="s">
        <v>35</v>
      </c>
      <c r="I4416" s="17" t="s">
        <v>44</v>
      </c>
      <c r="J4416" s="17"/>
      <c r="K4416" s="17" t="e">
        <f aca="false">VLOOKUP(J4416,Sheet2!A:B,2,0)</f>
        <v>#N/A</v>
      </c>
      <c r="L4416" s="17" t="n">
        <v>5</v>
      </c>
      <c r="M4416" s="17" t="str">
        <f aca="false">VLOOKUP(L4416,Sheet2!D:E,2,0)</f>
        <v>Main Processor CPU BGA</v>
      </c>
      <c r="N4416" s="17" t="n">
        <v>1</v>
      </c>
      <c r="O4416" s="17" t="str">
        <f aca="false">VLOOKUP(N4416,Sheet2!G:H,2,0)</f>
        <v>Dead</v>
      </c>
      <c r="P4416" s="17" t="n">
        <v>11</v>
      </c>
      <c r="Q4416" s="17" t="str">
        <f aca="false">VLOOKUP(P4416,Sheet2!J:K,2,0)</f>
        <v>IR Declared due to CID -TA</v>
      </c>
      <c r="R4416" s="17" t="s">
        <v>35</v>
      </c>
      <c r="S4416" s="17" t="str">
        <f aca="false">VLOOKUP(R4416,Sheet2!N:O,2,0)</f>
        <v>IREPARABLE</v>
      </c>
      <c r="T4416" s="18" t="str">
        <f aca="false">VLOOKUP(P4416,Sheet2!Q:R,2,0)</f>
        <v>IR Normal - Track burn out</v>
      </c>
      <c r="U4416" s="20" t="s">
        <v>41</v>
      </c>
      <c r="V4416" s="17"/>
      <c r="W4416" s="20" t="e">
        <f aca="false">VLOOKUP(V4416,Sheet2!Q:R,2,0)</f>
        <v>#N/A</v>
      </c>
      <c r="X4416" s="17" t="n">
        <f aca="false">J4416</f>
        <v>0</v>
      </c>
      <c r="Y4416" s="17" t="e">
        <f aca="false">VLOOKUP(X4416,Sheet2!A:B,2,0)</f>
        <v>#N/A</v>
      </c>
      <c r="Z4416" s="17"/>
      <c r="AA4416" s="17"/>
      <c r="AC4416" s="23" t="str">
        <f aca="false">LEFT(G4416,2)</f>
        <v/>
      </c>
    </row>
    <row r="4417" customFormat="false" ht="15" hidden="false" customHeight="false" outlineLevel="0" collapsed="false">
      <c r="A4417" s="13" t="n">
        <f aca="false">1+A4416</f>
        <v>4415</v>
      </c>
      <c r="B4417" s="14" t="n">
        <v>100</v>
      </c>
      <c r="C4417" s="15"/>
      <c r="D4417" s="16" t="s">
        <v>64</v>
      </c>
      <c r="E4417" s="17" t="s">
        <v>47</v>
      </c>
      <c r="F4417" s="18" t="s">
        <v>34</v>
      </c>
      <c r="G4417" s="19"/>
      <c r="H4417" s="17" t="s">
        <v>35</v>
      </c>
      <c r="I4417" s="17" t="s">
        <v>44</v>
      </c>
      <c r="J4417" s="17"/>
      <c r="K4417" s="17" t="e">
        <f aca="false">VLOOKUP(J4417,Sheet2!A:B,2,0)</f>
        <v>#N/A</v>
      </c>
      <c r="L4417" s="17" t="n">
        <v>5</v>
      </c>
      <c r="M4417" s="17" t="str">
        <f aca="false">VLOOKUP(L4417,Sheet2!D:E,2,0)</f>
        <v>Main Processor CPU BGA</v>
      </c>
      <c r="N4417" s="17" t="n">
        <v>1</v>
      </c>
      <c r="O4417" s="17" t="str">
        <f aca="false">VLOOKUP(N4417,Sheet2!G:H,2,0)</f>
        <v>Dead</v>
      </c>
      <c r="P4417" s="17" t="n">
        <v>11</v>
      </c>
      <c r="Q4417" s="17" t="str">
        <f aca="false">VLOOKUP(P4417,Sheet2!J:K,2,0)</f>
        <v>IR Declared due to CID -TA</v>
      </c>
      <c r="R4417" s="17" t="s">
        <v>35</v>
      </c>
      <c r="S4417" s="17" t="str">
        <f aca="false">VLOOKUP(R4417,Sheet2!N:O,2,0)</f>
        <v>IREPARABLE</v>
      </c>
      <c r="T4417" s="18" t="str">
        <f aca="false">VLOOKUP(P4417,Sheet2!Q:R,2,0)</f>
        <v>IR Normal - Track burn out</v>
      </c>
      <c r="U4417" s="20" t="s">
        <v>41</v>
      </c>
      <c r="V4417" s="17"/>
      <c r="W4417" s="20" t="e">
        <f aca="false">VLOOKUP(V4417,Sheet2!Q:R,2,0)</f>
        <v>#N/A</v>
      </c>
      <c r="X4417" s="17" t="n">
        <f aca="false">J4417</f>
        <v>0</v>
      </c>
      <c r="Y4417" s="17" t="e">
        <f aca="false">VLOOKUP(X4417,Sheet2!A:B,2,0)</f>
        <v>#N/A</v>
      </c>
      <c r="Z4417" s="17"/>
      <c r="AA4417" s="17"/>
      <c r="AC4417" s="23" t="str">
        <f aca="false">LEFT(G4417,2)</f>
        <v/>
      </c>
    </row>
    <row r="4418" customFormat="false" ht="15" hidden="false" customHeight="false" outlineLevel="0" collapsed="false">
      <c r="A4418" s="13" t="n">
        <f aca="false">1+A4417</f>
        <v>4416</v>
      </c>
      <c r="B4418" s="14" t="n">
        <v>100</v>
      </c>
      <c r="C4418" s="15"/>
      <c r="D4418" s="16" t="s">
        <v>64</v>
      </c>
      <c r="E4418" s="17" t="s">
        <v>47</v>
      </c>
      <c r="F4418" s="18" t="s">
        <v>34</v>
      </c>
      <c r="G4418" s="19"/>
      <c r="H4418" s="17" t="s">
        <v>35</v>
      </c>
      <c r="I4418" s="17" t="s">
        <v>44</v>
      </c>
      <c r="J4418" s="17"/>
      <c r="K4418" s="17" t="e">
        <f aca="false">VLOOKUP(J4418,Sheet2!A:B,2,0)</f>
        <v>#N/A</v>
      </c>
      <c r="L4418" s="17" t="n">
        <v>5</v>
      </c>
      <c r="M4418" s="17" t="str">
        <f aca="false">VLOOKUP(L4418,Sheet2!D:E,2,0)</f>
        <v>Main Processor CPU BGA</v>
      </c>
      <c r="N4418" s="17" t="n">
        <v>1</v>
      </c>
      <c r="O4418" s="17" t="str">
        <f aca="false">VLOOKUP(N4418,Sheet2!G:H,2,0)</f>
        <v>Dead</v>
      </c>
      <c r="P4418" s="17" t="n">
        <v>11</v>
      </c>
      <c r="Q4418" s="17" t="str">
        <f aca="false">VLOOKUP(P4418,Sheet2!J:K,2,0)</f>
        <v>IR Declared due to CID -TA</v>
      </c>
      <c r="R4418" s="17" t="s">
        <v>35</v>
      </c>
      <c r="S4418" s="17" t="str">
        <f aca="false">VLOOKUP(R4418,Sheet2!N:O,2,0)</f>
        <v>IREPARABLE</v>
      </c>
      <c r="T4418" s="18" t="str">
        <f aca="false">VLOOKUP(P4418,Sheet2!Q:R,2,0)</f>
        <v>IR Normal - Track burn out</v>
      </c>
      <c r="U4418" s="20" t="s">
        <v>41</v>
      </c>
      <c r="V4418" s="17"/>
      <c r="W4418" s="20" t="e">
        <f aca="false">VLOOKUP(V4418,Sheet2!Q:R,2,0)</f>
        <v>#N/A</v>
      </c>
      <c r="X4418" s="17" t="n">
        <f aca="false">J4418</f>
        <v>0</v>
      </c>
      <c r="Y4418" s="17" t="e">
        <f aca="false">VLOOKUP(X4418,Sheet2!A:B,2,0)</f>
        <v>#N/A</v>
      </c>
      <c r="Z4418" s="17"/>
      <c r="AA4418" s="17"/>
      <c r="AC4418" s="23" t="str">
        <f aca="false">LEFT(G4418,2)</f>
        <v/>
      </c>
    </row>
    <row r="4419" customFormat="false" ht="15" hidden="false" customHeight="false" outlineLevel="0" collapsed="false">
      <c r="A4419" s="13" t="n">
        <f aca="false">1+A4418</f>
        <v>4417</v>
      </c>
      <c r="B4419" s="14" t="n">
        <v>100</v>
      </c>
      <c r="C4419" s="15"/>
      <c r="D4419" s="16" t="s">
        <v>64</v>
      </c>
      <c r="E4419" s="17" t="s">
        <v>47</v>
      </c>
      <c r="F4419" s="18" t="s">
        <v>34</v>
      </c>
      <c r="G4419" s="19"/>
      <c r="H4419" s="17" t="s">
        <v>35</v>
      </c>
      <c r="I4419" s="17" t="s">
        <v>44</v>
      </c>
      <c r="J4419" s="17"/>
      <c r="K4419" s="17" t="e">
        <f aca="false">VLOOKUP(J4419,Sheet2!A:B,2,0)</f>
        <v>#N/A</v>
      </c>
      <c r="L4419" s="17" t="n">
        <v>5</v>
      </c>
      <c r="M4419" s="17" t="str">
        <f aca="false">VLOOKUP(L4419,Sheet2!D:E,2,0)</f>
        <v>Main Processor CPU BGA</v>
      </c>
      <c r="N4419" s="17" t="n">
        <v>1</v>
      </c>
      <c r="O4419" s="17" t="str">
        <f aca="false">VLOOKUP(N4419,Sheet2!G:H,2,0)</f>
        <v>Dead</v>
      </c>
      <c r="P4419" s="17" t="n">
        <v>11</v>
      </c>
      <c r="Q4419" s="17" t="str">
        <f aca="false">VLOOKUP(P4419,Sheet2!J:K,2,0)</f>
        <v>IR Declared due to CID -TA</v>
      </c>
      <c r="R4419" s="17" t="s">
        <v>35</v>
      </c>
      <c r="S4419" s="17" t="str">
        <f aca="false">VLOOKUP(R4419,Sheet2!N:O,2,0)</f>
        <v>IREPARABLE</v>
      </c>
      <c r="T4419" s="18" t="str">
        <f aca="false">VLOOKUP(P4419,Sheet2!Q:R,2,0)</f>
        <v>IR Normal - Track burn out</v>
      </c>
      <c r="U4419" s="20" t="s">
        <v>41</v>
      </c>
      <c r="V4419" s="17"/>
      <c r="W4419" s="20" t="e">
        <f aca="false">VLOOKUP(V4419,Sheet2!Q:R,2,0)</f>
        <v>#N/A</v>
      </c>
      <c r="X4419" s="17" t="n">
        <f aca="false">J4419</f>
        <v>0</v>
      </c>
      <c r="Y4419" s="17" t="e">
        <f aca="false">VLOOKUP(X4419,Sheet2!A:B,2,0)</f>
        <v>#N/A</v>
      </c>
      <c r="Z4419" s="17"/>
      <c r="AA4419" s="17"/>
      <c r="AC4419" s="23" t="str">
        <f aca="false">LEFT(G4419,2)</f>
        <v/>
      </c>
    </row>
    <row r="4420" customFormat="false" ht="15" hidden="false" customHeight="false" outlineLevel="0" collapsed="false">
      <c r="A4420" s="13" t="n">
        <f aca="false">1+A4419</f>
        <v>4418</v>
      </c>
      <c r="B4420" s="14" t="n">
        <v>100</v>
      </c>
      <c r="C4420" s="15"/>
      <c r="D4420" s="16" t="s">
        <v>64</v>
      </c>
      <c r="E4420" s="17" t="s">
        <v>47</v>
      </c>
      <c r="F4420" s="18" t="s">
        <v>34</v>
      </c>
      <c r="G4420" s="19"/>
      <c r="H4420" s="17" t="s">
        <v>35</v>
      </c>
      <c r="I4420" s="17" t="s">
        <v>44</v>
      </c>
      <c r="J4420" s="17"/>
      <c r="K4420" s="17" t="e">
        <f aca="false">VLOOKUP(J4420,Sheet2!A:B,2,0)</f>
        <v>#N/A</v>
      </c>
      <c r="L4420" s="17" t="n">
        <v>5</v>
      </c>
      <c r="M4420" s="17" t="str">
        <f aca="false">VLOOKUP(L4420,Sheet2!D:E,2,0)</f>
        <v>Main Processor CPU BGA</v>
      </c>
      <c r="N4420" s="17" t="n">
        <v>1</v>
      </c>
      <c r="O4420" s="17" t="str">
        <f aca="false">VLOOKUP(N4420,Sheet2!G:H,2,0)</f>
        <v>Dead</v>
      </c>
      <c r="P4420" s="17" t="n">
        <v>11</v>
      </c>
      <c r="Q4420" s="17" t="str">
        <f aca="false">VLOOKUP(P4420,Sheet2!J:K,2,0)</f>
        <v>IR Declared due to CID -TA</v>
      </c>
      <c r="R4420" s="17" t="s">
        <v>35</v>
      </c>
      <c r="S4420" s="17" t="str">
        <f aca="false">VLOOKUP(R4420,Sheet2!N:O,2,0)</f>
        <v>IREPARABLE</v>
      </c>
      <c r="T4420" s="18" t="str">
        <f aca="false">VLOOKUP(P4420,Sheet2!Q:R,2,0)</f>
        <v>IR Normal - Track burn out</v>
      </c>
      <c r="U4420" s="20" t="s">
        <v>41</v>
      </c>
      <c r="V4420" s="17"/>
      <c r="W4420" s="20" t="e">
        <f aca="false">VLOOKUP(V4420,Sheet2!Q:R,2,0)</f>
        <v>#N/A</v>
      </c>
      <c r="X4420" s="17" t="n">
        <f aca="false">J4420</f>
        <v>0</v>
      </c>
      <c r="Y4420" s="17" t="e">
        <f aca="false">VLOOKUP(X4420,Sheet2!A:B,2,0)</f>
        <v>#N/A</v>
      </c>
      <c r="Z4420" s="17"/>
      <c r="AA4420" s="17"/>
      <c r="AC4420" s="23" t="str">
        <f aca="false">LEFT(G4420,2)</f>
        <v/>
      </c>
    </row>
    <row r="4421" customFormat="false" ht="15" hidden="false" customHeight="false" outlineLevel="0" collapsed="false">
      <c r="A4421" s="13" t="n">
        <f aca="false">1+A4420</f>
        <v>4419</v>
      </c>
      <c r="B4421" s="14" t="n">
        <v>100</v>
      </c>
      <c r="C4421" s="15"/>
      <c r="D4421" s="16" t="s">
        <v>64</v>
      </c>
      <c r="E4421" s="17" t="s">
        <v>47</v>
      </c>
      <c r="F4421" s="18" t="s">
        <v>34</v>
      </c>
      <c r="G4421" s="19"/>
      <c r="H4421" s="17" t="s">
        <v>35</v>
      </c>
      <c r="I4421" s="17" t="s">
        <v>44</v>
      </c>
      <c r="J4421" s="17"/>
      <c r="K4421" s="17" t="e">
        <f aca="false">VLOOKUP(J4421,Sheet2!A:B,2,0)</f>
        <v>#N/A</v>
      </c>
      <c r="L4421" s="17" t="n">
        <v>5</v>
      </c>
      <c r="M4421" s="17" t="str">
        <f aca="false">VLOOKUP(L4421,Sheet2!D:E,2,0)</f>
        <v>Main Processor CPU BGA</v>
      </c>
      <c r="N4421" s="17" t="n">
        <v>1</v>
      </c>
      <c r="O4421" s="17" t="str">
        <f aca="false">VLOOKUP(N4421,Sheet2!G:H,2,0)</f>
        <v>Dead</v>
      </c>
      <c r="P4421" s="17" t="n">
        <v>11</v>
      </c>
      <c r="Q4421" s="17" t="str">
        <f aca="false">VLOOKUP(P4421,Sheet2!J:K,2,0)</f>
        <v>IR Declared due to CID -TA</v>
      </c>
      <c r="R4421" s="17" t="s">
        <v>35</v>
      </c>
      <c r="S4421" s="17" t="str">
        <f aca="false">VLOOKUP(R4421,Sheet2!N:O,2,0)</f>
        <v>IREPARABLE</v>
      </c>
      <c r="T4421" s="18" t="str">
        <f aca="false">VLOOKUP(P4421,Sheet2!Q:R,2,0)</f>
        <v>IR Normal - Track burn out</v>
      </c>
      <c r="U4421" s="20" t="s">
        <v>41</v>
      </c>
      <c r="V4421" s="17"/>
      <c r="W4421" s="20" t="e">
        <f aca="false">VLOOKUP(V4421,Sheet2!Q:R,2,0)</f>
        <v>#N/A</v>
      </c>
      <c r="X4421" s="17" t="n">
        <f aca="false">J4421</f>
        <v>0</v>
      </c>
      <c r="Y4421" s="17" t="e">
        <f aca="false">VLOOKUP(X4421,Sheet2!A:B,2,0)</f>
        <v>#N/A</v>
      </c>
      <c r="Z4421" s="17"/>
      <c r="AA4421" s="17"/>
      <c r="AC4421" s="23" t="str">
        <f aca="false">LEFT(G4421,2)</f>
        <v/>
      </c>
    </row>
    <row r="4422" customFormat="false" ht="15" hidden="false" customHeight="false" outlineLevel="0" collapsed="false">
      <c r="A4422" s="13" t="n">
        <f aca="false">1+A4421</f>
        <v>4420</v>
      </c>
      <c r="B4422" s="14" t="n">
        <v>100</v>
      </c>
      <c r="C4422" s="15"/>
      <c r="D4422" s="16" t="s">
        <v>64</v>
      </c>
      <c r="E4422" s="17" t="s">
        <v>47</v>
      </c>
      <c r="F4422" s="18" t="s">
        <v>34</v>
      </c>
      <c r="G4422" s="19"/>
      <c r="H4422" s="17" t="s">
        <v>35</v>
      </c>
      <c r="I4422" s="17" t="s">
        <v>44</v>
      </c>
      <c r="J4422" s="17"/>
      <c r="K4422" s="17" t="e">
        <f aca="false">VLOOKUP(J4422,Sheet2!A:B,2,0)</f>
        <v>#N/A</v>
      </c>
      <c r="L4422" s="17" t="n">
        <v>5</v>
      </c>
      <c r="M4422" s="17" t="str">
        <f aca="false">VLOOKUP(L4422,Sheet2!D:E,2,0)</f>
        <v>Main Processor CPU BGA</v>
      </c>
      <c r="N4422" s="17" t="n">
        <v>1</v>
      </c>
      <c r="O4422" s="17" t="str">
        <f aca="false">VLOOKUP(N4422,Sheet2!G:H,2,0)</f>
        <v>Dead</v>
      </c>
      <c r="P4422" s="17" t="n">
        <v>11</v>
      </c>
      <c r="Q4422" s="17" t="str">
        <f aca="false">VLOOKUP(P4422,Sheet2!J:K,2,0)</f>
        <v>IR Declared due to CID -TA</v>
      </c>
      <c r="R4422" s="17" t="s">
        <v>35</v>
      </c>
      <c r="S4422" s="17" t="str">
        <f aca="false">VLOOKUP(R4422,Sheet2!N:O,2,0)</f>
        <v>IREPARABLE</v>
      </c>
      <c r="T4422" s="18" t="str">
        <f aca="false">VLOOKUP(P4422,Sheet2!Q:R,2,0)</f>
        <v>IR Normal - Track burn out</v>
      </c>
      <c r="U4422" s="20" t="s">
        <v>41</v>
      </c>
      <c r="V4422" s="17"/>
      <c r="W4422" s="20" t="e">
        <f aca="false">VLOOKUP(V4422,Sheet2!Q:R,2,0)</f>
        <v>#N/A</v>
      </c>
      <c r="X4422" s="17" t="n">
        <f aca="false">J4422</f>
        <v>0</v>
      </c>
      <c r="Y4422" s="17" t="e">
        <f aca="false">VLOOKUP(X4422,Sheet2!A:B,2,0)</f>
        <v>#N/A</v>
      </c>
      <c r="Z4422" s="17"/>
      <c r="AA4422" s="17"/>
      <c r="AC4422" s="23" t="str">
        <f aca="false">LEFT(G4422,2)</f>
        <v/>
      </c>
    </row>
    <row r="4423" customFormat="false" ht="15" hidden="false" customHeight="false" outlineLevel="0" collapsed="false">
      <c r="A4423" s="13" t="n">
        <f aca="false">1+A4422</f>
        <v>4421</v>
      </c>
      <c r="B4423" s="14" t="n">
        <v>100</v>
      </c>
      <c r="C4423" s="15"/>
      <c r="D4423" s="16" t="s">
        <v>64</v>
      </c>
      <c r="E4423" s="17" t="s">
        <v>47</v>
      </c>
      <c r="F4423" s="18" t="s">
        <v>34</v>
      </c>
      <c r="G4423" s="19"/>
      <c r="H4423" s="17" t="s">
        <v>35</v>
      </c>
      <c r="I4423" s="17" t="s">
        <v>44</v>
      </c>
      <c r="J4423" s="17"/>
      <c r="K4423" s="17" t="e">
        <f aca="false">VLOOKUP(J4423,Sheet2!A:B,2,0)</f>
        <v>#N/A</v>
      </c>
      <c r="L4423" s="17" t="n">
        <v>5</v>
      </c>
      <c r="M4423" s="17" t="str">
        <f aca="false">VLOOKUP(L4423,Sheet2!D:E,2,0)</f>
        <v>Main Processor CPU BGA</v>
      </c>
      <c r="N4423" s="17" t="n">
        <v>1</v>
      </c>
      <c r="O4423" s="17" t="str">
        <f aca="false">VLOOKUP(N4423,Sheet2!G:H,2,0)</f>
        <v>Dead</v>
      </c>
      <c r="P4423" s="17" t="n">
        <v>11</v>
      </c>
      <c r="Q4423" s="17" t="str">
        <f aca="false">VLOOKUP(P4423,Sheet2!J:K,2,0)</f>
        <v>IR Declared due to CID -TA</v>
      </c>
      <c r="R4423" s="17" t="s">
        <v>35</v>
      </c>
      <c r="S4423" s="17" t="str">
        <f aca="false">VLOOKUP(R4423,Sheet2!N:O,2,0)</f>
        <v>IREPARABLE</v>
      </c>
      <c r="T4423" s="18" t="str">
        <f aca="false">VLOOKUP(P4423,Sheet2!Q:R,2,0)</f>
        <v>IR Normal - Track burn out</v>
      </c>
      <c r="U4423" s="20" t="s">
        <v>41</v>
      </c>
      <c r="V4423" s="17"/>
      <c r="W4423" s="20" t="e">
        <f aca="false">VLOOKUP(V4423,Sheet2!Q:R,2,0)</f>
        <v>#N/A</v>
      </c>
      <c r="X4423" s="17" t="n">
        <f aca="false">J4423</f>
        <v>0</v>
      </c>
      <c r="Y4423" s="17" t="e">
        <f aca="false">VLOOKUP(X4423,Sheet2!A:B,2,0)</f>
        <v>#N/A</v>
      </c>
      <c r="Z4423" s="17"/>
      <c r="AA4423" s="17"/>
      <c r="AC4423" s="23" t="str">
        <f aca="false">LEFT(G4423,2)</f>
        <v/>
      </c>
    </row>
    <row r="4424" customFormat="false" ht="15" hidden="false" customHeight="false" outlineLevel="0" collapsed="false">
      <c r="A4424" s="13" t="n">
        <f aca="false">1+A4423</f>
        <v>4422</v>
      </c>
      <c r="B4424" s="14" t="n">
        <v>100</v>
      </c>
      <c r="C4424" s="15"/>
      <c r="D4424" s="16" t="s">
        <v>64</v>
      </c>
      <c r="E4424" s="17" t="s">
        <v>47</v>
      </c>
      <c r="F4424" s="18" t="s">
        <v>34</v>
      </c>
      <c r="G4424" s="19"/>
      <c r="H4424" s="17" t="s">
        <v>35</v>
      </c>
      <c r="I4424" s="17" t="s">
        <v>44</v>
      </c>
      <c r="J4424" s="17"/>
      <c r="K4424" s="17" t="e">
        <f aca="false">VLOOKUP(J4424,Sheet2!A:B,2,0)</f>
        <v>#N/A</v>
      </c>
      <c r="L4424" s="17" t="n">
        <v>5</v>
      </c>
      <c r="M4424" s="17" t="str">
        <f aca="false">VLOOKUP(L4424,Sheet2!D:E,2,0)</f>
        <v>Main Processor CPU BGA</v>
      </c>
      <c r="N4424" s="17" t="n">
        <v>1</v>
      </c>
      <c r="O4424" s="17" t="str">
        <f aca="false">VLOOKUP(N4424,Sheet2!G:H,2,0)</f>
        <v>Dead</v>
      </c>
      <c r="P4424" s="17" t="n">
        <v>11</v>
      </c>
      <c r="Q4424" s="17" t="str">
        <f aca="false">VLOOKUP(P4424,Sheet2!J:K,2,0)</f>
        <v>IR Declared due to CID -TA</v>
      </c>
      <c r="R4424" s="17" t="s">
        <v>35</v>
      </c>
      <c r="S4424" s="17" t="str">
        <f aca="false">VLOOKUP(R4424,Sheet2!N:O,2,0)</f>
        <v>IREPARABLE</v>
      </c>
      <c r="T4424" s="18" t="str">
        <f aca="false">VLOOKUP(P4424,Sheet2!Q:R,2,0)</f>
        <v>IR Normal - Track burn out</v>
      </c>
      <c r="U4424" s="20" t="s">
        <v>41</v>
      </c>
      <c r="V4424" s="17"/>
      <c r="W4424" s="20" t="e">
        <f aca="false">VLOOKUP(V4424,Sheet2!Q:R,2,0)</f>
        <v>#N/A</v>
      </c>
      <c r="X4424" s="17" t="n">
        <f aca="false">J4424</f>
        <v>0</v>
      </c>
      <c r="Y4424" s="17" t="e">
        <f aca="false">VLOOKUP(X4424,Sheet2!A:B,2,0)</f>
        <v>#N/A</v>
      </c>
      <c r="Z4424" s="17"/>
      <c r="AA4424" s="17"/>
      <c r="AC4424" s="23" t="str">
        <f aca="false">LEFT(G4424,2)</f>
        <v/>
      </c>
    </row>
    <row r="4425" customFormat="false" ht="15" hidden="false" customHeight="false" outlineLevel="0" collapsed="false">
      <c r="A4425" s="13" t="n">
        <f aca="false">1+A4424</f>
        <v>4423</v>
      </c>
      <c r="B4425" s="14" t="n">
        <v>100</v>
      </c>
      <c r="C4425" s="15"/>
      <c r="D4425" s="16" t="s">
        <v>64</v>
      </c>
      <c r="E4425" s="17" t="s">
        <v>47</v>
      </c>
      <c r="F4425" s="18" t="s">
        <v>34</v>
      </c>
      <c r="G4425" s="19"/>
      <c r="H4425" s="17" t="s">
        <v>35</v>
      </c>
      <c r="I4425" s="17" t="s">
        <v>44</v>
      </c>
      <c r="J4425" s="17"/>
      <c r="K4425" s="17" t="e">
        <f aca="false">VLOOKUP(J4425,Sheet2!A:B,2,0)</f>
        <v>#N/A</v>
      </c>
      <c r="L4425" s="17" t="n">
        <v>5</v>
      </c>
      <c r="M4425" s="17" t="str">
        <f aca="false">VLOOKUP(L4425,Sheet2!D:E,2,0)</f>
        <v>Main Processor CPU BGA</v>
      </c>
      <c r="N4425" s="17" t="n">
        <v>1</v>
      </c>
      <c r="O4425" s="17" t="str">
        <f aca="false">VLOOKUP(N4425,Sheet2!G:H,2,0)</f>
        <v>Dead</v>
      </c>
      <c r="P4425" s="17" t="n">
        <v>11</v>
      </c>
      <c r="Q4425" s="17" t="str">
        <f aca="false">VLOOKUP(P4425,Sheet2!J:K,2,0)</f>
        <v>IR Declared due to CID -TA</v>
      </c>
      <c r="R4425" s="17" t="s">
        <v>35</v>
      </c>
      <c r="S4425" s="17" t="str">
        <f aca="false">VLOOKUP(R4425,Sheet2!N:O,2,0)</f>
        <v>IREPARABLE</v>
      </c>
      <c r="T4425" s="18" t="str">
        <f aca="false">VLOOKUP(P4425,Sheet2!Q:R,2,0)</f>
        <v>IR Normal - Track burn out</v>
      </c>
      <c r="U4425" s="20" t="s">
        <v>41</v>
      </c>
      <c r="V4425" s="17"/>
      <c r="W4425" s="20" t="e">
        <f aca="false">VLOOKUP(V4425,Sheet2!Q:R,2,0)</f>
        <v>#N/A</v>
      </c>
      <c r="X4425" s="17" t="n">
        <f aca="false">J4425</f>
        <v>0</v>
      </c>
      <c r="Y4425" s="17" t="e">
        <f aca="false">VLOOKUP(X4425,Sheet2!A:B,2,0)</f>
        <v>#N/A</v>
      </c>
      <c r="Z4425" s="17"/>
      <c r="AA4425" s="17"/>
      <c r="AC4425" s="23" t="str">
        <f aca="false">LEFT(G4425,2)</f>
        <v/>
      </c>
    </row>
    <row r="4426" customFormat="false" ht="15" hidden="false" customHeight="false" outlineLevel="0" collapsed="false">
      <c r="A4426" s="13" t="n">
        <f aca="false">1+A4425</f>
        <v>4424</v>
      </c>
      <c r="B4426" s="14" t="n">
        <v>100</v>
      </c>
      <c r="C4426" s="15"/>
      <c r="D4426" s="16" t="s">
        <v>64</v>
      </c>
      <c r="E4426" s="17" t="s">
        <v>47</v>
      </c>
      <c r="F4426" s="18" t="s">
        <v>34</v>
      </c>
      <c r="G4426" s="19"/>
      <c r="H4426" s="17" t="s">
        <v>35</v>
      </c>
      <c r="I4426" s="17" t="s">
        <v>44</v>
      </c>
      <c r="J4426" s="17"/>
      <c r="K4426" s="17" t="e">
        <f aca="false">VLOOKUP(J4426,Sheet2!A:B,2,0)</f>
        <v>#N/A</v>
      </c>
      <c r="L4426" s="17" t="n">
        <v>5</v>
      </c>
      <c r="M4426" s="17" t="str">
        <f aca="false">VLOOKUP(L4426,Sheet2!D:E,2,0)</f>
        <v>Main Processor CPU BGA</v>
      </c>
      <c r="N4426" s="17" t="n">
        <v>1</v>
      </c>
      <c r="O4426" s="17" t="str">
        <f aca="false">VLOOKUP(N4426,Sheet2!G:H,2,0)</f>
        <v>Dead</v>
      </c>
      <c r="P4426" s="17" t="n">
        <v>11</v>
      </c>
      <c r="Q4426" s="17" t="str">
        <f aca="false">VLOOKUP(P4426,Sheet2!J:K,2,0)</f>
        <v>IR Declared due to CID -TA</v>
      </c>
      <c r="R4426" s="17" t="s">
        <v>35</v>
      </c>
      <c r="S4426" s="17" t="str">
        <f aca="false">VLOOKUP(R4426,Sheet2!N:O,2,0)</f>
        <v>IREPARABLE</v>
      </c>
      <c r="T4426" s="18" t="str">
        <f aca="false">VLOOKUP(P4426,Sheet2!Q:R,2,0)</f>
        <v>IR Normal - Track burn out</v>
      </c>
      <c r="U4426" s="20" t="s">
        <v>41</v>
      </c>
      <c r="V4426" s="17"/>
      <c r="W4426" s="20" t="e">
        <f aca="false">VLOOKUP(V4426,Sheet2!Q:R,2,0)</f>
        <v>#N/A</v>
      </c>
      <c r="X4426" s="17" t="n">
        <f aca="false">J4426</f>
        <v>0</v>
      </c>
      <c r="Y4426" s="17" t="e">
        <f aca="false">VLOOKUP(X4426,Sheet2!A:B,2,0)</f>
        <v>#N/A</v>
      </c>
      <c r="Z4426" s="17"/>
      <c r="AA4426" s="17"/>
      <c r="AC4426" s="23" t="str">
        <f aca="false">LEFT(G4426,2)</f>
        <v/>
      </c>
    </row>
    <row r="4427" customFormat="false" ht="15" hidden="false" customHeight="false" outlineLevel="0" collapsed="false">
      <c r="A4427" s="13" t="n">
        <f aca="false">1+A4426</f>
        <v>4425</v>
      </c>
      <c r="B4427" s="14" t="n">
        <v>100</v>
      </c>
      <c r="C4427" s="15"/>
      <c r="D4427" s="16" t="s">
        <v>64</v>
      </c>
      <c r="E4427" s="17" t="s">
        <v>47</v>
      </c>
      <c r="F4427" s="18" t="s">
        <v>34</v>
      </c>
      <c r="G4427" s="19"/>
      <c r="H4427" s="17" t="s">
        <v>35</v>
      </c>
      <c r="I4427" s="17" t="s">
        <v>44</v>
      </c>
      <c r="J4427" s="17"/>
      <c r="K4427" s="17" t="e">
        <f aca="false">VLOOKUP(J4427,Sheet2!A:B,2,0)</f>
        <v>#N/A</v>
      </c>
      <c r="L4427" s="17" t="n">
        <v>5</v>
      </c>
      <c r="M4427" s="17" t="str">
        <f aca="false">VLOOKUP(L4427,Sheet2!D:E,2,0)</f>
        <v>Main Processor CPU BGA</v>
      </c>
      <c r="N4427" s="17" t="n">
        <v>1</v>
      </c>
      <c r="O4427" s="17" t="str">
        <f aca="false">VLOOKUP(N4427,Sheet2!G:H,2,0)</f>
        <v>Dead</v>
      </c>
      <c r="P4427" s="17" t="n">
        <v>11</v>
      </c>
      <c r="Q4427" s="17" t="str">
        <f aca="false">VLOOKUP(P4427,Sheet2!J:K,2,0)</f>
        <v>IR Declared due to CID -TA</v>
      </c>
      <c r="R4427" s="17" t="s">
        <v>35</v>
      </c>
      <c r="S4427" s="17" t="str">
        <f aca="false">VLOOKUP(R4427,Sheet2!N:O,2,0)</f>
        <v>IREPARABLE</v>
      </c>
      <c r="T4427" s="18" t="str">
        <f aca="false">VLOOKUP(P4427,Sheet2!Q:R,2,0)</f>
        <v>IR Normal - Track burn out</v>
      </c>
      <c r="U4427" s="20" t="s">
        <v>41</v>
      </c>
      <c r="V4427" s="17"/>
      <c r="W4427" s="20" t="e">
        <f aca="false">VLOOKUP(V4427,Sheet2!Q:R,2,0)</f>
        <v>#N/A</v>
      </c>
      <c r="X4427" s="17" t="n">
        <f aca="false">J4427</f>
        <v>0</v>
      </c>
      <c r="Y4427" s="17" t="e">
        <f aca="false">VLOOKUP(X4427,Sheet2!A:B,2,0)</f>
        <v>#N/A</v>
      </c>
      <c r="Z4427" s="17"/>
      <c r="AA4427" s="17"/>
      <c r="AC4427" s="23" t="str">
        <f aca="false">LEFT(G4427,2)</f>
        <v/>
      </c>
    </row>
    <row r="4428" customFormat="false" ht="15" hidden="false" customHeight="false" outlineLevel="0" collapsed="false">
      <c r="A4428" s="13" t="n">
        <f aca="false">1+A4427</f>
        <v>4426</v>
      </c>
      <c r="B4428" s="14" t="n">
        <v>100</v>
      </c>
      <c r="C4428" s="15"/>
      <c r="D4428" s="16" t="s">
        <v>64</v>
      </c>
      <c r="E4428" s="17" t="s">
        <v>47</v>
      </c>
      <c r="F4428" s="18" t="s">
        <v>34</v>
      </c>
      <c r="G4428" s="19"/>
      <c r="H4428" s="17" t="s">
        <v>35</v>
      </c>
      <c r="I4428" s="17" t="s">
        <v>44</v>
      </c>
      <c r="J4428" s="17"/>
      <c r="K4428" s="17" t="e">
        <f aca="false">VLOOKUP(J4428,Sheet2!A:B,2,0)</f>
        <v>#N/A</v>
      </c>
      <c r="L4428" s="17" t="n">
        <v>5</v>
      </c>
      <c r="M4428" s="17" t="str">
        <f aca="false">VLOOKUP(L4428,Sheet2!D:E,2,0)</f>
        <v>Main Processor CPU BGA</v>
      </c>
      <c r="N4428" s="17" t="n">
        <v>1</v>
      </c>
      <c r="O4428" s="17" t="str">
        <f aca="false">VLOOKUP(N4428,Sheet2!G:H,2,0)</f>
        <v>Dead</v>
      </c>
      <c r="P4428" s="17" t="n">
        <v>11</v>
      </c>
      <c r="Q4428" s="17" t="str">
        <f aca="false">VLOOKUP(P4428,Sheet2!J:K,2,0)</f>
        <v>IR Declared due to CID -TA</v>
      </c>
      <c r="R4428" s="17" t="s">
        <v>35</v>
      </c>
      <c r="S4428" s="17" t="str">
        <f aca="false">VLOOKUP(R4428,Sheet2!N:O,2,0)</f>
        <v>IREPARABLE</v>
      </c>
      <c r="T4428" s="18" t="str">
        <f aca="false">VLOOKUP(P4428,Sheet2!Q:R,2,0)</f>
        <v>IR Normal - Track burn out</v>
      </c>
      <c r="U4428" s="20" t="s">
        <v>41</v>
      </c>
      <c r="V4428" s="17"/>
      <c r="W4428" s="20" t="e">
        <f aca="false">VLOOKUP(V4428,Sheet2!Q:R,2,0)</f>
        <v>#N/A</v>
      </c>
      <c r="X4428" s="17" t="n">
        <f aca="false">J4428</f>
        <v>0</v>
      </c>
      <c r="Y4428" s="17" t="e">
        <f aca="false">VLOOKUP(X4428,Sheet2!A:B,2,0)</f>
        <v>#N/A</v>
      </c>
      <c r="Z4428" s="17"/>
      <c r="AA4428" s="17"/>
      <c r="AC4428" s="23" t="str">
        <f aca="false">LEFT(G4428,2)</f>
        <v/>
      </c>
    </row>
    <row r="4429" customFormat="false" ht="15" hidden="false" customHeight="false" outlineLevel="0" collapsed="false">
      <c r="A4429" s="13" t="n">
        <f aca="false">1+A4428</f>
        <v>4427</v>
      </c>
      <c r="B4429" s="14" t="n">
        <v>100</v>
      </c>
      <c r="C4429" s="15"/>
      <c r="D4429" s="16" t="s">
        <v>64</v>
      </c>
      <c r="E4429" s="17" t="s">
        <v>47</v>
      </c>
      <c r="F4429" s="18" t="s">
        <v>34</v>
      </c>
      <c r="G4429" s="19"/>
      <c r="H4429" s="17" t="s">
        <v>35</v>
      </c>
      <c r="I4429" s="17" t="s">
        <v>44</v>
      </c>
      <c r="J4429" s="17"/>
      <c r="K4429" s="17" t="e">
        <f aca="false">VLOOKUP(J4429,Sheet2!A:B,2,0)</f>
        <v>#N/A</v>
      </c>
      <c r="L4429" s="17" t="n">
        <v>5</v>
      </c>
      <c r="M4429" s="17" t="str">
        <f aca="false">VLOOKUP(L4429,Sheet2!D:E,2,0)</f>
        <v>Main Processor CPU BGA</v>
      </c>
      <c r="N4429" s="17" t="n">
        <v>1</v>
      </c>
      <c r="O4429" s="17" t="str">
        <f aca="false">VLOOKUP(N4429,Sheet2!G:H,2,0)</f>
        <v>Dead</v>
      </c>
      <c r="P4429" s="17" t="n">
        <v>11</v>
      </c>
      <c r="Q4429" s="17" t="str">
        <f aca="false">VLOOKUP(P4429,Sheet2!J:K,2,0)</f>
        <v>IR Declared due to CID -TA</v>
      </c>
      <c r="R4429" s="17" t="s">
        <v>35</v>
      </c>
      <c r="S4429" s="17" t="str">
        <f aca="false">VLOOKUP(R4429,Sheet2!N:O,2,0)</f>
        <v>IREPARABLE</v>
      </c>
      <c r="T4429" s="18" t="str">
        <f aca="false">VLOOKUP(P4429,Sheet2!Q:R,2,0)</f>
        <v>IR Normal - Track burn out</v>
      </c>
      <c r="U4429" s="20" t="s">
        <v>41</v>
      </c>
      <c r="V4429" s="17"/>
      <c r="W4429" s="20" t="e">
        <f aca="false">VLOOKUP(V4429,Sheet2!Q:R,2,0)</f>
        <v>#N/A</v>
      </c>
      <c r="X4429" s="17" t="n">
        <f aca="false">J4429</f>
        <v>0</v>
      </c>
      <c r="Y4429" s="17" t="e">
        <f aca="false">VLOOKUP(X4429,Sheet2!A:B,2,0)</f>
        <v>#N/A</v>
      </c>
      <c r="Z4429" s="17"/>
      <c r="AA4429" s="17"/>
      <c r="AC4429" s="23" t="str">
        <f aca="false">LEFT(G4429,2)</f>
        <v/>
      </c>
    </row>
    <row r="4430" customFormat="false" ht="15" hidden="false" customHeight="false" outlineLevel="0" collapsed="false">
      <c r="A4430" s="13" t="n">
        <f aca="false">1+A4429</f>
        <v>4428</v>
      </c>
      <c r="B4430" s="14" t="n">
        <v>100</v>
      </c>
      <c r="C4430" s="15"/>
      <c r="D4430" s="16" t="s">
        <v>64</v>
      </c>
      <c r="E4430" s="17" t="s">
        <v>47</v>
      </c>
      <c r="F4430" s="18" t="s">
        <v>34</v>
      </c>
      <c r="G4430" s="19"/>
      <c r="H4430" s="17" t="s">
        <v>35</v>
      </c>
      <c r="I4430" s="17" t="s">
        <v>44</v>
      </c>
      <c r="J4430" s="17"/>
      <c r="K4430" s="17" t="e">
        <f aca="false">VLOOKUP(J4430,Sheet2!A:B,2,0)</f>
        <v>#N/A</v>
      </c>
      <c r="L4430" s="17" t="n">
        <v>5</v>
      </c>
      <c r="M4430" s="17" t="str">
        <f aca="false">VLOOKUP(L4430,Sheet2!D:E,2,0)</f>
        <v>Main Processor CPU BGA</v>
      </c>
      <c r="N4430" s="17" t="n">
        <v>1</v>
      </c>
      <c r="O4430" s="17" t="str">
        <f aca="false">VLOOKUP(N4430,Sheet2!G:H,2,0)</f>
        <v>Dead</v>
      </c>
      <c r="P4430" s="17" t="n">
        <v>11</v>
      </c>
      <c r="Q4430" s="17" t="str">
        <f aca="false">VLOOKUP(P4430,Sheet2!J:K,2,0)</f>
        <v>IR Declared due to CID -TA</v>
      </c>
      <c r="R4430" s="17" t="s">
        <v>35</v>
      </c>
      <c r="S4430" s="17" t="str">
        <f aca="false">VLOOKUP(R4430,Sheet2!N:O,2,0)</f>
        <v>IREPARABLE</v>
      </c>
      <c r="T4430" s="18" t="str">
        <f aca="false">VLOOKUP(P4430,Sheet2!Q:R,2,0)</f>
        <v>IR Normal - Track burn out</v>
      </c>
      <c r="U4430" s="20" t="s">
        <v>41</v>
      </c>
      <c r="V4430" s="17"/>
      <c r="W4430" s="20" t="e">
        <f aca="false">VLOOKUP(V4430,Sheet2!Q:R,2,0)</f>
        <v>#N/A</v>
      </c>
      <c r="X4430" s="17" t="n">
        <f aca="false">J4430</f>
        <v>0</v>
      </c>
      <c r="Y4430" s="17" t="e">
        <f aca="false">VLOOKUP(X4430,Sheet2!A:B,2,0)</f>
        <v>#N/A</v>
      </c>
      <c r="Z4430" s="17"/>
      <c r="AA4430" s="17"/>
      <c r="AC4430" s="23" t="str">
        <f aca="false">LEFT(G4430,2)</f>
        <v/>
      </c>
    </row>
    <row r="4431" customFormat="false" ht="15" hidden="false" customHeight="false" outlineLevel="0" collapsed="false">
      <c r="A4431" s="13" t="n">
        <f aca="false">1+A4430</f>
        <v>4429</v>
      </c>
      <c r="B4431" s="14" t="n">
        <v>100</v>
      </c>
      <c r="C4431" s="15"/>
      <c r="D4431" s="16" t="s">
        <v>64</v>
      </c>
      <c r="E4431" s="17" t="s">
        <v>47</v>
      </c>
      <c r="F4431" s="18" t="s">
        <v>34</v>
      </c>
      <c r="G4431" s="19"/>
      <c r="H4431" s="17" t="s">
        <v>35</v>
      </c>
      <c r="I4431" s="17" t="s">
        <v>44</v>
      </c>
      <c r="J4431" s="17"/>
      <c r="K4431" s="17" t="e">
        <f aca="false">VLOOKUP(J4431,Sheet2!A:B,2,0)</f>
        <v>#N/A</v>
      </c>
      <c r="L4431" s="17" t="n">
        <v>5</v>
      </c>
      <c r="M4431" s="17" t="str">
        <f aca="false">VLOOKUP(L4431,Sheet2!D:E,2,0)</f>
        <v>Main Processor CPU BGA</v>
      </c>
      <c r="N4431" s="17" t="n">
        <v>1</v>
      </c>
      <c r="O4431" s="17" t="str">
        <f aca="false">VLOOKUP(N4431,Sheet2!G:H,2,0)</f>
        <v>Dead</v>
      </c>
      <c r="P4431" s="17" t="n">
        <v>11</v>
      </c>
      <c r="Q4431" s="17" t="str">
        <f aca="false">VLOOKUP(P4431,Sheet2!J:K,2,0)</f>
        <v>IR Declared due to CID -TA</v>
      </c>
      <c r="R4431" s="17" t="s">
        <v>35</v>
      </c>
      <c r="S4431" s="17" t="str">
        <f aca="false">VLOOKUP(R4431,Sheet2!N:O,2,0)</f>
        <v>IREPARABLE</v>
      </c>
      <c r="T4431" s="18" t="str">
        <f aca="false">VLOOKUP(P4431,Sheet2!Q:R,2,0)</f>
        <v>IR Normal - Track burn out</v>
      </c>
      <c r="U4431" s="20" t="s">
        <v>41</v>
      </c>
      <c r="V4431" s="17"/>
      <c r="W4431" s="20" t="e">
        <f aca="false">VLOOKUP(V4431,Sheet2!Q:R,2,0)</f>
        <v>#N/A</v>
      </c>
      <c r="X4431" s="17" t="n">
        <f aca="false">J4431</f>
        <v>0</v>
      </c>
      <c r="Y4431" s="17" t="e">
        <f aca="false">VLOOKUP(X4431,Sheet2!A:B,2,0)</f>
        <v>#N/A</v>
      </c>
      <c r="Z4431" s="17"/>
      <c r="AA4431" s="17"/>
      <c r="AC4431" s="23" t="str">
        <f aca="false">LEFT(G4431,2)</f>
        <v/>
      </c>
    </row>
    <row r="4432" customFormat="false" ht="15" hidden="false" customHeight="false" outlineLevel="0" collapsed="false">
      <c r="A4432" s="13" t="n">
        <f aca="false">1+A4431</f>
        <v>4430</v>
      </c>
      <c r="B4432" s="14" t="n">
        <v>100</v>
      </c>
      <c r="C4432" s="15"/>
      <c r="D4432" s="16" t="s">
        <v>64</v>
      </c>
      <c r="E4432" s="17" t="s">
        <v>47</v>
      </c>
      <c r="F4432" s="18" t="s">
        <v>34</v>
      </c>
      <c r="G4432" s="19"/>
      <c r="H4432" s="17" t="s">
        <v>35</v>
      </c>
      <c r="I4432" s="17" t="s">
        <v>44</v>
      </c>
      <c r="J4432" s="17"/>
      <c r="K4432" s="17" t="e">
        <f aca="false">VLOOKUP(J4432,Sheet2!A:B,2,0)</f>
        <v>#N/A</v>
      </c>
      <c r="L4432" s="17" t="n">
        <v>5</v>
      </c>
      <c r="M4432" s="17" t="str">
        <f aca="false">VLOOKUP(L4432,Sheet2!D:E,2,0)</f>
        <v>Main Processor CPU BGA</v>
      </c>
      <c r="N4432" s="17" t="n">
        <v>1</v>
      </c>
      <c r="O4432" s="17" t="str">
        <f aca="false">VLOOKUP(N4432,Sheet2!G:H,2,0)</f>
        <v>Dead</v>
      </c>
      <c r="P4432" s="17" t="n">
        <v>11</v>
      </c>
      <c r="Q4432" s="17" t="str">
        <f aca="false">VLOOKUP(P4432,Sheet2!J:K,2,0)</f>
        <v>IR Declared due to CID -TA</v>
      </c>
      <c r="R4432" s="17" t="s">
        <v>35</v>
      </c>
      <c r="S4432" s="17" t="str">
        <f aca="false">VLOOKUP(R4432,Sheet2!N:O,2,0)</f>
        <v>IREPARABLE</v>
      </c>
      <c r="T4432" s="18" t="str">
        <f aca="false">VLOOKUP(P4432,Sheet2!Q:R,2,0)</f>
        <v>IR Normal - Track burn out</v>
      </c>
      <c r="U4432" s="20" t="s">
        <v>41</v>
      </c>
      <c r="V4432" s="17"/>
      <c r="W4432" s="20" t="e">
        <f aca="false">VLOOKUP(V4432,Sheet2!Q:R,2,0)</f>
        <v>#N/A</v>
      </c>
      <c r="X4432" s="17" t="n">
        <f aca="false">J4432</f>
        <v>0</v>
      </c>
      <c r="Y4432" s="17" t="e">
        <f aca="false">VLOOKUP(X4432,Sheet2!A:B,2,0)</f>
        <v>#N/A</v>
      </c>
      <c r="Z4432" s="17"/>
      <c r="AA4432" s="17"/>
      <c r="AC4432" s="23" t="str">
        <f aca="false">LEFT(G4432,2)</f>
        <v/>
      </c>
    </row>
    <row r="4433" customFormat="false" ht="15" hidden="false" customHeight="false" outlineLevel="0" collapsed="false">
      <c r="A4433" s="13" t="n">
        <f aca="false">1+A4432</f>
        <v>4431</v>
      </c>
      <c r="B4433" s="14" t="n">
        <v>100</v>
      </c>
      <c r="C4433" s="15"/>
      <c r="D4433" s="16" t="s">
        <v>64</v>
      </c>
      <c r="E4433" s="17" t="s">
        <v>47</v>
      </c>
      <c r="F4433" s="18" t="s">
        <v>34</v>
      </c>
      <c r="G4433" s="19"/>
      <c r="H4433" s="17" t="s">
        <v>35</v>
      </c>
      <c r="I4433" s="17" t="s">
        <v>44</v>
      </c>
      <c r="J4433" s="17"/>
      <c r="K4433" s="17" t="e">
        <f aca="false">VLOOKUP(J4433,Sheet2!A:B,2,0)</f>
        <v>#N/A</v>
      </c>
      <c r="L4433" s="17" t="n">
        <v>5</v>
      </c>
      <c r="M4433" s="17" t="str">
        <f aca="false">VLOOKUP(L4433,Sheet2!D:E,2,0)</f>
        <v>Main Processor CPU BGA</v>
      </c>
      <c r="N4433" s="17" t="n">
        <v>1</v>
      </c>
      <c r="O4433" s="17" t="str">
        <f aca="false">VLOOKUP(N4433,Sheet2!G:H,2,0)</f>
        <v>Dead</v>
      </c>
      <c r="P4433" s="17" t="n">
        <v>11</v>
      </c>
      <c r="Q4433" s="17" t="str">
        <f aca="false">VLOOKUP(P4433,Sheet2!J:K,2,0)</f>
        <v>IR Declared due to CID -TA</v>
      </c>
      <c r="R4433" s="17" t="s">
        <v>35</v>
      </c>
      <c r="S4433" s="17" t="str">
        <f aca="false">VLOOKUP(R4433,Sheet2!N:O,2,0)</f>
        <v>IREPARABLE</v>
      </c>
      <c r="T4433" s="18" t="str">
        <f aca="false">VLOOKUP(P4433,Sheet2!Q:R,2,0)</f>
        <v>IR Normal - Track burn out</v>
      </c>
      <c r="U4433" s="20" t="s">
        <v>41</v>
      </c>
      <c r="V4433" s="17"/>
      <c r="W4433" s="20" t="e">
        <f aca="false">VLOOKUP(V4433,Sheet2!Q:R,2,0)</f>
        <v>#N/A</v>
      </c>
      <c r="X4433" s="17" t="n">
        <f aca="false">J4433</f>
        <v>0</v>
      </c>
      <c r="Y4433" s="17" t="e">
        <f aca="false">VLOOKUP(X4433,Sheet2!A:B,2,0)</f>
        <v>#N/A</v>
      </c>
      <c r="Z4433" s="17"/>
      <c r="AA4433" s="17"/>
      <c r="AC4433" s="23" t="str">
        <f aca="false">LEFT(G4433,2)</f>
        <v/>
      </c>
    </row>
    <row r="4434" customFormat="false" ht="15" hidden="false" customHeight="false" outlineLevel="0" collapsed="false">
      <c r="A4434" s="13" t="n">
        <f aca="false">1+A4433</f>
        <v>4432</v>
      </c>
      <c r="B4434" s="14" t="n">
        <v>100</v>
      </c>
      <c r="C4434" s="15"/>
      <c r="D4434" s="16" t="s">
        <v>64</v>
      </c>
      <c r="E4434" s="17" t="s">
        <v>47</v>
      </c>
      <c r="F4434" s="18" t="s">
        <v>34</v>
      </c>
      <c r="G4434" s="19"/>
      <c r="H4434" s="17" t="s">
        <v>35</v>
      </c>
      <c r="I4434" s="17" t="s">
        <v>44</v>
      </c>
      <c r="J4434" s="17"/>
      <c r="K4434" s="17" t="e">
        <f aca="false">VLOOKUP(J4434,Sheet2!A:B,2,0)</f>
        <v>#N/A</v>
      </c>
      <c r="L4434" s="17" t="n">
        <v>5</v>
      </c>
      <c r="M4434" s="17" t="str">
        <f aca="false">VLOOKUP(L4434,Sheet2!D:E,2,0)</f>
        <v>Main Processor CPU BGA</v>
      </c>
      <c r="N4434" s="17" t="n">
        <v>1</v>
      </c>
      <c r="O4434" s="17" t="str">
        <f aca="false">VLOOKUP(N4434,Sheet2!G:H,2,0)</f>
        <v>Dead</v>
      </c>
      <c r="P4434" s="17" t="n">
        <v>11</v>
      </c>
      <c r="Q4434" s="17" t="str">
        <f aca="false">VLOOKUP(P4434,Sheet2!J:K,2,0)</f>
        <v>IR Declared due to CID -TA</v>
      </c>
      <c r="R4434" s="17" t="s">
        <v>35</v>
      </c>
      <c r="S4434" s="17" t="str">
        <f aca="false">VLOOKUP(R4434,Sheet2!N:O,2,0)</f>
        <v>IREPARABLE</v>
      </c>
      <c r="T4434" s="18" t="str">
        <f aca="false">VLOOKUP(P4434,Sheet2!Q:R,2,0)</f>
        <v>IR Normal - Track burn out</v>
      </c>
      <c r="U4434" s="20" t="s">
        <v>41</v>
      </c>
      <c r="V4434" s="17"/>
      <c r="W4434" s="20" t="e">
        <f aca="false">VLOOKUP(V4434,Sheet2!Q:R,2,0)</f>
        <v>#N/A</v>
      </c>
      <c r="X4434" s="17" t="n">
        <f aca="false">J4434</f>
        <v>0</v>
      </c>
      <c r="Y4434" s="17" t="e">
        <f aca="false">VLOOKUP(X4434,Sheet2!A:B,2,0)</f>
        <v>#N/A</v>
      </c>
      <c r="Z4434" s="17"/>
      <c r="AA4434" s="17"/>
      <c r="AC4434" s="23" t="str">
        <f aca="false">LEFT(G4434,2)</f>
        <v/>
      </c>
    </row>
    <row r="4435" customFormat="false" ht="15" hidden="false" customHeight="false" outlineLevel="0" collapsed="false">
      <c r="A4435" s="13" t="n">
        <f aca="false">1+A4434</f>
        <v>4433</v>
      </c>
      <c r="B4435" s="14" t="n">
        <v>100</v>
      </c>
      <c r="C4435" s="15"/>
      <c r="D4435" s="16" t="s">
        <v>64</v>
      </c>
      <c r="E4435" s="17" t="s">
        <v>47</v>
      </c>
      <c r="F4435" s="18" t="s">
        <v>34</v>
      </c>
      <c r="G4435" s="19"/>
      <c r="H4435" s="17" t="s">
        <v>35</v>
      </c>
      <c r="I4435" s="17" t="s">
        <v>44</v>
      </c>
      <c r="J4435" s="17"/>
      <c r="K4435" s="17" t="e">
        <f aca="false">VLOOKUP(J4435,Sheet2!A:B,2,0)</f>
        <v>#N/A</v>
      </c>
      <c r="L4435" s="17" t="n">
        <v>5</v>
      </c>
      <c r="M4435" s="17" t="str">
        <f aca="false">VLOOKUP(L4435,Sheet2!D:E,2,0)</f>
        <v>Main Processor CPU BGA</v>
      </c>
      <c r="N4435" s="17" t="n">
        <v>1</v>
      </c>
      <c r="O4435" s="17" t="str">
        <f aca="false">VLOOKUP(N4435,Sheet2!G:H,2,0)</f>
        <v>Dead</v>
      </c>
      <c r="P4435" s="17" t="n">
        <v>11</v>
      </c>
      <c r="Q4435" s="17" t="str">
        <f aca="false">VLOOKUP(P4435,Sheet2!J:K,2,0)</f>
        <v>IR Declared due to CID -TA</v>
      </c>
      <c r="R4435" s="17" t="s">
        <v>35</v>
      </c>
      <c r="S4435" s="17" t="str">
        <f aca="false">VLOOKUP(R4435,Sheet2!N:O,2,0)</f>
        <v>IREPARABLE</v>
      </c>
      <c r="T4435" s="18" t="str">
        <f aca="false">VLOOKUP(P4435,Sheet2!Q:R,2,0)</f>
        <v>IR Normal - Track burn out</v>
      </c>
      <c r="U4435" s="20" t="s">
        <v>41</v>
      </c>
      <c r="V4435" s="17"/>
      <c r="W4435" s="20" t="e">
        <f aca="false">VLOOKUP(V4435,Sheet2!Q:R,2,0)</f>
        <v>#N/A</v>
      </c>
      <c r="X4435" s="17" t="n">
        <f aca="false">J4435</f>
        <v>0</v>
      </c>
      <c r="Y4435" s="17" t="e">
        <f aca="false">VLOOKUP(X4435,Sheet2!A:B,2,0)</f>
        <v>#N/A</v>
      </c>
      <c r="Z4435" s="17"/>
      <c r="AA4435" s="17"/>
      <c r="AC4435" s="23" t="str">
        <f aca="false">LEFT(G4435,2)</f>
        <v/>
      </c>
    </row>
    <row r="4436" customFormat="false" ht="15" hidden="false" customHeight="false" outlineLevel="0" collapsed="false">
      <c r="A4436" s="13" t="n">
        <f aca="false">1+A4435</f>
        <v>4434</v>
      </c>
      <c r="B4436" s="14" t="n">
        <v>100</v>
      </c>
      <c r="C4436" s="15"/>
      <c r="D4436" s="16" t="s">
        <v>64</v>
      </c>
      <c r="E4436" s="17" t="s">
        <v>47</v>
      </c>
      <c r="F4436" s="18" t="s">
        <v>34</v>
      </c>
      <c r="G4436" s="19"/>
      <c r="H4436" s="17" t="s">
        <v>35</v>
      </c>
      <c r="I4436" s="17" t="s">
        <v>44</v>
      </c>
      <c r="J4436" s="17"/>
      <c r="K4436" s="17" t="e">
        <f aca="false">VLOOKUP(J4436,Sheet2!A:B,2,0)</f>
        <v>#N/A</v>
      </c>
      <c r="L4436" s="17" t="n">
        <v>5</v>
      </c>
      <c r="M4436" s="17" t="str">
        <f aca="false">VLOOKUP(L4436,Sheet2!D:E,2,0)</f>
        <v>Main Processor CPU BGA</v>
      </c>
      <c r="N4436" s="17" t="n">
        <v>1</v>
      </c>
      <c r="O4436" s="17" t="str">
        <f aca="false">VLOOKUP(N4436,Sheet2!G:H,2,0)</f>
        <v>Dead</v>
      </c>
      <c r="P4436" s="17" t="n">
        <v>11</v>
      </c>
      <c r="Q4436" s="17" t="str">
        <f aca="false">VLOOKUP(P4436,Sheet2!J:K,2,0)</f>
        <v>IR Declared due to CID -TA</v>
      </c>
      <c r="R4436" s="17" t="s">
        <v>35</v>
      </c>
      <c r="S4436" s="17" t="str">
        <f aca="false">VLOOKUP(R4436,Sheet2!N:O,2,0)</f>
        <v>IREPARABLE</v>
      </c>
      <c r="T4436" s="18" t="str">
        <f aca="false">VLOOKUP(P4436,Sheet2!Q:R,2,0)</f>
        <v>IR Normal - Track burn out</v>
      </c>
      <c r="U4436" s="20" t="s">
        <v>41</v>
      </c>
      <c r="V4436" s="17"/>
      <c r="W4436" s="20" t="e">
        <f aca="false">VLOOKUP(V4436,Sheet2!Q:R,2,0)</f>
        <v>#N/A</v>
      </c>
      <c r="X4436" s="17" t="n">
        <f aca="false">J4436</f>
        <v>0</v>
      </c>
      <c r="Y4436" s="17" t="e">
        <f aca="false">VLOOKUP(X4436,Sheet2!A:B,2,0)</f>
        <v>#N/A</v>
      </c>
      <c r="Z4436" s="17"/>
      <c r="AA4436" s="17"/>
      <c r="AC4436" s="23" t="str">
        <f aca="false">LEFT(G4436,2)</f>
        <v/>
      </c>
    </row>
    <row r="4437" customFormat="false" ht="15" hidden="false" customHeight="false" outlineLevel="0" collapsed="false">
      <c r="A4437" s="13" t="n">
        <f aca="false">1+A4436</f>
        <v>4435</v>
      </c>
      <c r="B4437" s="14" t="n">
        <v>100</v>
      </c>
      <c r="C4437" s="15"/>
      <c r="D4437" s="16" t="s">
        <v>64</v>
      </c>
      <c r="E4437" s="17" t="s">
        <v>47</v>
      </c>
      <c r="F4437" s="18" t="s">
        <v>34</v>
      </c>
      <c r="G4437" s="19"/>
      <c r="H4437" s="17" t="s">
        <v>35</v>
      </c>
      <c r="I4437" s="17" t="s">
        <v>44</v>
      </c>
      <c r="J4437" s="17"/>
      <c r="K4437" s="17" t="e">
        <f aca="false">VLOOKUP(J4437,Sheet2!A:B,2,0)</f>
        <v>#N/A</v>
      </c>
      <c r="L4437" s="17" t="n">
        <v>5</v>
      </c>
      <c r="M4437" s="17" t="str">
        <f aca="false">VLOOKUP(L4437,Sheet2!D:E,2,0)</f>
        <v>Main Processor CPU BGA</v>
      </c>
      <c r="N4437" s="17" t="n">
        <v>1</v>
      </c>
      <c r="O4437" s="17" t="str">
        <f aca="false">VLOOKUP(N4437,Sheet2!G:H,2,0)</f>
        <v>Dead</v>
      </c>
      <c r="P4437" s="17" t="n">
        <v>11</v>
      </c>
      <c r="Q4437" s="17" t="str">
        <f aca="false">VLOOKUP(P4437,Sheet2!J:K,2,0)</f>
        <v>IR Declared due to CID -TA</v>
      </c>
      <c r="R4437" s="17" t="s">
        <v>35</v>
      </c>
      <c r="S4437" s="17" t="str">
        <f aca="false">VLOOKUP(R4437,Sheet2!N:O,2,0)</f>
        <v>IREPARABLE</v>
      </c>
      <c r="T4437" s="18" t="str">
        <f aca="false">VLOOKUP(P4437,Sheet2!Q:R,2,0)</f>
        <v>IR Normal - Track burn out</v>
      </c>
      <c r="U4437" s="20" t="s">
        <v>41</v>
      </c>
      <c r="V4437" s="17"/>
      <c r="W4437" s="20" t="e">
        <f aca="false">VLOOKUP(V4437,Sheet2!Q:R,2,0)</f>
        <v>#N/A</v>
      </c>
      <c r="X4437" s="17" t="n">
        <f aca="false">J4437</f>
        <v>0</v>
      </c>
      <c r="Y4437" s="17" t="e">
        <f aca="false">VLOOKUP(X4437,Sheet2!A:B,2,0)</f>
        <v>#N/A</v>
      </c>
      <c r="Z4437" s="17"/>
      <c r="AA4437" s="17"/>
      <c r="AC4437" s="23" t="str">
        <f aca="false">LEFT(G4437,2)</f>
        <v/>
      </c>
    </row>
    <row r="4438" customFormat="false" ht="15" hidden="false" customHeight="false" outlineLevel="0" collapsed="false">
      <c r="A4438" s="13" t="n">
        <f aca="false">1+A4437</f>
        <v>4436</v>
      </c>
      <c r="B4438" s="14" t="n">
        <v>100</v>
      </c>
      <c r="C4438" s="15"/>
      <c r="D4438" s="16" t="s">
        <v>64</v>
      </c>
      <c r="E4438" s="17" t="s">
        <v>47</v>
      </c>
      <c r="F4438" s="18" t="s">
        <v>34</v>
      </c>
      <c r="G4438" s="19"/>
      <c r="H4438" s="17" t="s">
        <v>35</v>
      </c>
      <c r="I4438" s="17" t="s">
        <v>44</v>
      </c>
      <c r="J4438" s="17"/>
      <c r="K4438" s="17" t="e">
        <f aca="false">VLOOKUP(J4438,Sheet2!A:B,2,0)</f>
        <v>#N/A</v>
      </c>
      <c r="L4438" s="17" t="n">
        <v>5</v>
      </c>
      <c r="M4438" s="17" t="str">
        <f aca="false">VLOOKUP(L4438,Sheet2!D:E,2,0)</f>
        <v>Main Processor CPU BGA</v>
      </c>
      <c r="N4438" s="17" t="n">
        <v>1</v>
      </c>
      <c r="O4438" s="17" t="str">
        <f aca="false">VLOOKUP(N4438,Sheet2!G:H,2,0)</f>
        <v>Dead</v>
      </c>
      <c r="P4438" s="17" t="n">
        <v>11</v>
      </c>
      <c r="Q4438" s="17" t="str">
        <f aca="false">VLOOKUP(P4438,Sheet2!J:K,2,0)</f>
        <v>IR Declared due to CID -TA</v>
      </c>
      <c r="R4438" s="17" t="s">
        <v>35</v>
      </c>
      <c r="S4438" s="17" t="str">
        <f aca="false">VLOOKUP(R4438,Sheet2!N:O,2,0)</f>
        <v>IREPARABLE</v>
      </c>
      <c r="T4438" s="18" t="str">
        <f aca="false">VLOOKUP(P4438,Sheet2!Q:R,2,0)</f>
        <v>IR Normal - Track burn out</v>
      </c>
      <c r="U4438" s="20" t="s">
        <v>41</v>
      </c>
      <c r="V4438" s="17"/>
      <c r="W4438" s="20" t="e">
        <f aca="false">VLOOKUP(V4438,Sheet2!Q:R,2,0)</f>
        <v>#N/A</v>
      </c>
      <c r="X4438" s="17" t="n">
        <f aca="false">J4438</f>
        <v>0</v>
      </c>
      <c r="Y4438" s="17" t="e">
        <f aca="false">VLOOKUP(X4438,Sheet2!A:B,2,0)</f>
        <v>#N/A</v>
      </c>
      <c r="Z4438" s="17"/>
      <c r="AA4438" s="17"/>
      <c r="AC4438" s="23" t="str">
        <f aca="false">LEFT(G4438,2)</f>
        <v/>
      </c>
    </row>
    <row r="4439" customFormat="false" ht="15" hidden="false" customHeight="false" outlineLevel="0" collapsed="false">
      <c r="A4439" s="13" t="n">
        <f aca="false">1+A4438</f>
        <v>4437</v>
      </c>
      <c r="B4439" s="14" t="n">
        <v>100</v>
      </c>
      <c r="C4439" s="15"/>
      <c r="D4439" s="16" t="s">
        <v>64</v>
      </c>
      <c r="E4439" s="17" t="s">
        <v>47</v>
      </c>
      <c r="F4439" s="18" t="s">
        <v>34</v>
      </c>
      <c r="G4439" s="19"/>
      <c r="H4439" s="17" t="s">
        <v>35</v>
      </c>
      <c r="I4439" s="17" t="s">
        <v>44</v>
      </c>
      <c r="J4439" s="17"/>
      <c r="K4439" s="17" t="e">
        <f aca="false">VLOOKUP(J4439,Sheet2!A:B,2,0)</f>
        <v>#N/A</v>
      </c>
      <c r="L4439" s="17" t="n">
        <v>5</v>
      </c>
      <c r="M4439" s="17" t="str">
        <f aca="false">VLOOKUP(L4439,Sheet2!D:E,2,0)</f>
        <v>Main Processor CPU BGA</v>
      </c>
      <c r="N4439" s="17" t="n">
        <v>1</v>
      </c>
      <c r="O4439" s="17" t="str">
        <f aca="false">VLOOKUP(N4439,Sheet2!G:H,2,0)</f>
        <v>Dead</v>
      </c>
      <c r="P4439" s="17" t="n">
        <v>11</v>
      </c>
      <c r="Q4439" s="17" t="str">
        <f aca="false">VLOOKUP(P4439,Sheet2!J:K,2,0)</f>
        <v>IR Declared due to CID -TA</v>
      </c>
      <c r="R4439" s="17" t="s">
        <v>35</v>
      </c>
      <c r="S4439" s="17" t="str">
        <f aca="false">VLOOKUP(R4439,Sheet2!N:O,2,0)</f>
        <v>IREPARABLE</v>
      </c>
      <c r="T4439" s="18" t="str">
        <f aca="false">VLOOKUP(P4439,Sheet2!Q:R,2,0)</f>
        <v>IR Normal - Track burn out</v>
      </c>
      <c r="U4439" s="20" t="s">
        <v>41</v>
      </c>
      <c r="V4439" s="17"/>
      <c r="W4439" s="20" t="e">
        <f aca="false">VLOOKUP(V4439,Sheet2!Q:R,2,0)</f>
        <v>#N/A</v>
      </c>
      <c r="X4439" s="17" t="n">
        <f aca="false">J4439</f>
        <v>0</v>
      </c>
      <c r="Y4439" s="17" t="e">
        <f aca="false">VLOOKUP(X4439,Sheet2!A:B,2,0)</f>
        <v>#N/A</v>
      </c>
      <c r="Z4439" s="17"/>
      <c r="AA4439" s="17"/>
      <c r="AC4439" s="23" t="str">
        <f aca="false">LEFT(G4439,2)</f>
        <v/>
      </c>
    </row>
    <row r="4440" customFormat="false" ht="15" hidden="false" customHeight="false" outlineLevel="0" collapsed="false">
      <c r="A4440" s="13" t="n">
        <f aca="false">1+A4439</f>
        <v>4438</v>
      </c>
      <c r="B4440" s="14" t="n">
        <v>100</v>
      </c>
      <c r="C4440" s="15"/>
      <c r="D4440" s="16" t="s">
        <v>64</v>
      </c>
      <c r="E4440" s="17" t="s">
        <v>47</v>
      </c>
      <c r="F4440" s="18" t="s">
        <v>34</v>
      </c>
      <c r="G4440" s="19"/>
      <c r="H4440" s="17" t="s">
        <v>35</v>
      </c>
      <c r="I4440" s="17" t="s">
        <v>44</v>
      </c>
      <c r="J4440" s="17"/>
      <c r="K4440" s="17" t="e">
        <f aca="false">VLOOKUP(J4440,Sheet2!A:B,2,0)</f>
        <v>#N/A</v>
      </c>
      <c r="L4440" s="17" t="n">
        <v>5</v>
      </c>
      <c r="M4440" s="17" t="str">
        <f aca="false">VLOOKUP(L4440,Sheet2!D:E,2,0)</f>
        <v>Main Processor CPU BGA</v>
      </c>
      <c r="N4440" s="17" t="n">
        <v>1</v>
      </c>
      <c r="O4440" s="17" t="str">
        <f aca="false">VLOOKUP(N4440,Sheet2!G:H,2,0)</f>
        <v>Dead</v>
      </c>
      <c r="P4440" s="17" t="n">
        <v>11</v>
      </c>
      <c r="Q4440" s="17" t="str">
        <f aca="false">VLOOKUP(P4440,Sheet2!J:K,2,0)</f>
        <v>IR Declared due to CID -TA</v>
      </c>
      <c r="R4440" s="17" t="s">
        <v>35</v>
      </c>
      <c r="S4440" s="17" t="str">
        <f aca="false">VLOOKUP(R4440,Sheet2!N:O,2,0)</f>
        <v>IREPARABLE</v>
      </c>
      <c r="T4440" s="18" t="str">
        <f aca="false">VLOOKUP(P4440,Sheet2!Q:R,2,0)</f>
        <v>IR Normal - Track burn out</v>
      </c>
      <c r="U4440" s="20" t="s">
        <v>41</v>
      </c>
      <c r="V4440" s="17"/>
      <c r="W4440" s="20" t="e">
        <f aca="false">VLOOKUP(V4440,Sheet2!Q:R,2,0)</f>
        <v>#N/A</v>
      </c>
      <c r="X4440" s="17" t="n">
        <f aca="false">J4440</f>
        <v>0</v>
      </c>
      <c r="Y4440" s="17" t="e">
        <f aca="false">VLOOKUP(X4440,Sheet2!A:B,2,0)</f>
        <v>#N/A</v>
      </c>
      <c r="Z4440" s="17"/>
      <c r="AA4440" s="17"/>
      <c r="AC4440" s="23" t="str">
        <f aca="false">LEFT(G4440,2)</f>
        <v/>
      </c>
    </row>
    <row r="4441" customFormat="false" ht="15" hidden="false" customHeight="false" outlineLevel="0" collapsed="false">
      <c r="A4441" s="13" t="n">
        <f aca="false">1+A4440</f>
        <v>4439</v>
      </c>
      <c r="B4441" s="14" t="n">
        <v>100</v>
      </c>
      <c r="C4441" s="15"/>
      <c r="D4441" s="16" t="s">
        <v>64</v>
      </c>
      <c r="E4441" s="17" t="s">
        <v>47</v>
      </c>
      <c r="F4441" s="18" t="s">
        <v>34</v>
      </c>
      <c r="G4441" s="19"/>
      <c r="H4441" s="17" t="s">
        <v>35</v>
      </c>
      <c r="I4441" s="17" t="s">
        <v>44</v>
      </c>
      <c r="J4441" s="17"/>
      <c r="K4441" s="17" t="e">
        <f aca="false">VLOOKUP(J4441,Sheet2!A:B,2,0)</f>
        <v>#N/A</v>
      </c>
      <c r="L4441" s="17" t="n">
        <v>5</v>
      </c>
      <c r="M4441" s="17" t="str">
        <f aca="false">VLOOKUP(L4441,Sheet2!D:E,2,0)</f>
        <v>Main Processor CPU BGA</v>
      </c>
      <c r="N4441" s="17" t="n">
        <v>1</v>
      </c>
      <c r="O4441" s="17" t="str">
        <f aca="false">VLOOKUP(N4441,Sheet2!G:H,2,0)</f>
        <v>Dead</v>
      </c>
      <c r="P4441" s="17" t="n">
        <v>11</v>
      </c>
      <c r="Q4441" s="17" t="str">
        <f aca="false">VLOOKUP(P4441,Sheet2!J:K,2,0)</f>
        <v>IR Declared due to CID -TA</v>
      </c>
      <c r="R4441" s="17" t="s">
        <v>35</v>
      </c>
      <c r="S4441" s="17" t="str">
        <f aca="false">VLOOKUP(R4441,Sheet2!N:O,2,0)</f>
        <v>IREPARABLE</v>
      </c>
      <c r="T4441" s="18" t="str">
        <f aca="false">VLOOKUP(P4441,Sheet2!Q:R,2,0)</f>
        <v>IR Normal - Track burn out</v>
      </c>
      <c r="U4441" s="20" t="s">
        <v>41</v>
      </c>
      <c r="V4441" s="17"/>
      <c r="W4441" s="20" t="e">
        <f aca="false">VLOOKUP(V4441,Sheet2!Q:R,2,0)</f>
        <v>#N/A</v>
      </c>
      <c r="X4441" s="17" t="n">
        <f aca="false">J4441</f>
        <v>0</v>
      </c>
      <c r="Y4441" s="17" t="e">
        <f aca="false">VLOOKUP(X4441,Sheet2!A:B,2,0)</f>
        <v>#N/A</v>
      </c>
      <c r="Z4441" s="17"/>
      <c r="AA4441" s="17"/>
      <c r="AC4441" s="23" t="str">
        <f aca="false">LEFT(G4441,2)</f>
        <v/>
      </c>
    </row>
    <row r="4442" customFormat="false" ht="15" hidden="false" customHeight="false" outlineLevel="0" collapsed="false">
      <c r="A4442" s="13" t="n">
        <f aca="false">1+A4441</f>
        <v>4440</v>
      </c>
      <c r="B4442" s="14" t="n">
        <v>100</v>
      </c>
      <c r="C4442" s="15"/>
      <c r="D4442" s="16" t="s">
        <v>64</v>
      </c>
      <c r="E4442" s="17" t="s">
        <v>47</v>
      </c>
      <c r="F4442" s="18" t="s">
        <v>34</v>
      </c>
      <c r="G4442" s="19"/>
      <c r="H4442" s="17" t="s">
        <v>35</v>
      </c>
      <c r="I4442" s="17" t="s">
        <v>44</v>
      </c>
      <c r="J4442" s="17"/>
      <c r="K4442" s="17" t="e">
        <f aca="false">VLOOKUP(J4442,Sheet2!A:B,2,0)</f>
        <v>#N/A</v>
      </c>
      <c r="L4442" s="17" t="n">
        <v>5</v>
      </c>
      <c r="M4442" s="17" t="str">
        <f aca="false">VLOOKUP(L4442,Sheet2!D:E,2,0)</f>
        <v>Main Processor CPU BGA</v>
      </c>
      <c r="N4442" s="17" t="n">
        <v>1</v>
      </c>
      <c r="O4442" s="17" t="str">
        <f aca="false">VLOOKUP(N4442,Sheet2!G:H,2,0)</f>
        <v>Dead</v>
      </c>
      <c r="P4442" s="17" t="n">
        <v>11</v>
      </c>
      <c r="Q4442" s="17" t="str">
        <f aca="false">VLOOKUP(P4442,Sheet2!J:K,2,0)</f>
        <v>IR Declared due to CID -TA</v>
      </c>
      <c r="R4442" s="17" t="s">
        <v>35</v>
      </c>
      <c r="S4442" s="17" t="str">
        <f aca="false">VLOOKUP(R4442,Sheet2!N:O,2,0)</f>
        <v>IREPARABLE</v>
      </c>
      <c r="T4442" s="18" t="str">
        <f aca="false">VLOOKUP(P4442,Sheet2!Q:R,2,0)</f>
        <v>IR Normal - Track burn out</v>
      </c>
      <c r="U4442" s="20" t="s">
        <v>41</v>
      </c>
      <c r="V4442" s="17"/>
      <c r="W4442" s="20" t="e">
        <f aca="false">VLOOKUP(V4442,Sheet2!Q:R,2,0)</f>
        <v>#N/A</v>
      </c>
      <c r="X4442" s="17" t="n">
        <f aca="false">J4442</f>
        <v>0</v>
      </c>
      <c r="Y4442" s="17" t="e">
        <f aca="false">VLOOKUP(X4442,Sheet2!A:B,2,0)</f>
        <v>#N/A</v>
      </c>
      <c r="Z4442" s="17"/>
      <c r="AA4442" s="17"/>
      <c r="AC4442" s="23" t="str">
        <f aca="false">LEFT(G4442,2)</f>
        <v/>
      </c>
    </row>
    <row r="4443" customFormat="false" ht="15" hidden="false" customHeight="false" outlineLevel="0" collapsed="false">
      <c r="A4443" s="13" t="n">
        <f aca="false">1+A4442</f>
        <v>4441</v>
      </c>
      <c r="B4443" s="14" t="n">
        <v>100</v>
      </c>
      <c r="C4443" s="15"/>
      <c r="D4443" s="16" t="s">
        <v>64</v>
      </c>
      <c r="E4443" s="17" t="s">
        <v>47</v>
      </c>
      <c r="F4443" s="18" t="s">
        <v>34</v>
      </c>
      <c r="G4443" s="19"/>
      <c r="H4443" s="17" t="s">
        <v>35</v>
      </c>
      <c r="I4443" s="17" t="s">
        <v>44</v>
      </c>
      <c r="J4443" s="17"/>
      <c r="K4443" s="17" t="e">
        <f aca="false">VLOOKUP(J4443,Sheet2!A:B,2,0)</f>
        <v>#N/A</v>
      </c>
      <c r="L4443" s="17" t="n">
        <v>5</v>
      </c>
      <c r="M4443" s="17" t="str">
        <f aca="false">VLOOKUP(L4443,Sheet2!D:E,2,0)</f>
        <v>Main Processor CPU BGA</v>
      </c>
      <c r="N4443" s="17" t="n">
        <v>1</v>
      </c>
      <c r="O4443" s="17" t="str">
        <f aca="false">VLOOKUP(N4443,Sheet2!G:H,2,0)</f>
        <v>Dead</v>
      </c>
      <c r="P4443" s="17" t="n">
        <v>11</v>
      </c>
      <c r="Q4443" s="17" t="str">
        <f aca="false">VLOOKUP(P4443,Sheet2!J:K,2,0)</f>
        <v>IR Declared due to CID -TA</v>
      </c>
      <c r="R4443" s="17" t="s">
        <v>35</v>
      </c>
      <c r="S4443" s="17" t="str">
        <f aca="false">VLOOKUP(R4443,Sheet2!N:O,2,0)</f>
        <v>IREPARABLE</v>
      </c>
      <c r="T4443" s="18" t="str">
        <f aca="false">VLOOKUP(P4443,Sheet2!Q:R,2,0)</f>
        <v>IR Normal - Track burn out</v>
      </c>
      <c r="U4443" s="20" t="s">
        <v>41</v>
      </c>
      <c r="V4443" s="17"/>
      <c r="W4443" s="20" t="e">
        <f aca="false">VLOOKUP(V4443,Sheet2!Q:R,2,0)</f>
        <v>#N/A</v>
      </c>
      <c r="X4443" s="17" t="n">
        <f aca="false">J4443</f>
        <v>0</v>
      </c>
      <c r="Y4443" s="17" t="e">
        <f aca="false">VLOOKUP(X4443,Sheet2!A:B,2,0)</f>
        <v>#N/A</v>
      </c>
      <c r="Z4443" s="17"/>
      <c r="AA4443" s="17"/>
      <c r="AC4443" s="23" t="str">
        <f aca="false">LEFT(G4443,2)</f>
        <v/>
      </c>
    </row>
    <row r="4444" customFormat="false" ht="15" hidden="false" customHeight="false" outlineLevel="0" collapsed="false">
      <c r="A4444" s="13" t="n">
        <f aca="false">1+A4443</f>
        <v>4442</v>
      </c>
      <c r="B4444" s="14" t="n">
        <v>100</v>
      </c>
      <c r="C4444" s="15"/>
      <c r="D4444" s="16" t="s">
        <v>64</v>
      </c>
      <c r="E4444" s="17" t="s">
        <v>47</v>
      </c>
      <c r="F4444" s="18" t="s">
        <v>34</v>
      </c>
      <c r="G4444" s="19"/>
      <c r="H4444" s="17" t="s">
        <v>35</v>
      </c>
      <c r="I4444" s="17" t="s">
        <v>44</v>
      </c>
      <c r="J4444" s="17"/>
      <c r="K4444" s="17" t="e">
        <f aca="false">VLOOKUP(J4444,Sheet2!A:B,2,0)</f>
        <v>#N/A</v>
      </c>
      <c r="L4444" s="17" t="n">
        <v>5</v>
      </c>
      <c r="M4444" s="17" t="str">
        <f aca="false">VLOOKUP(L4444,Sheet2!D:E,2,0)</f>
        <v>Main Processor CPU BGA</v>
      </c>
      <c r="N4444" s="17" t="n">
        <v>1</v>
      </c>
      <c r="O4444" s="17" t="str">
        <f aca="false">VLOOKUP(N4444,Sheet2!G:H,2,0)</f>
        <v>Dead</v>
      </c>
      <c r="P4444" s="17" t="n">
        <v>11</v>
      </c>
      <c r="Q4444" s="17" t="str">
        <f aca="false">VLOOKUP(P4444,Sheet2!J:K,2,0)</f>
        <v>IR Declared due to CID -TA</v>
      </c>
      <c r="R4444" s="17" t="s">
        <v>35</v>
      </c>
      <c r="S4444" s="17" t="str">
        <f aca="false">VLOOKUP(R4444,Sheet2!N:O,2,0)</f>
        <v>IREPARABLE</v>
      </c>
      <c r="T4444" s="18" t="str">
        <f aca="false">VLOOKUP(P4444,Sheet2!Q:R,2,0)</f>
        <v>IR Normal - Track burn out</v>
      </c>
      <c r="U4444" s="20" t="s">
        <v>41</v>
      </c>
      <c r="V4444" s="17"/>
      <c r="W4444" s="20" t="e">
        <f aca="false">VLOOKUP(V4444,Sheet2!Q:R,2,0)</f>
        <v>#N/A</v>
      </c>
      <c r="X4444" s="17" t="n">
        <f aca="false">J4444</f>
        <v>0</v>
      </c>
      <c r="Y4444" s="17" t="e">
        <f aca="false">VLOOKUP(X4444,Sheet2!A:B,2,0)</f>
        <v>#N/A</v>
      </c>
      <c r="Z4444" s="17"/>
      <c r="AA4444" s="17"/>
      <c r="AC4444" s="23" t="str">
        <f aca="false">LEFT(G4444,2)</f>
        <v/>
      </c>
    </row>
    <row r="4445" customFormat="false" ht="15" hidden="false" customHeight="false" outlineLevel="0" collapsed="false">
      <c r="A4445" s="13" t="n">
        <f aca="false">1+A4444</f>
        <v>4443</v>
      </c>
      <c r="B4445" s="14" t="n">
        <v>100</v>
      </c>
      <c r="C4445" s="15"/>
      <c r="D4445" s="16" t="s">
        <v>64</v>
      </c>
      <c r="E4445" s="17" t="s">
        <v>47</v>
      </c>
      <c r="F4445" s="18" t="s">
        <v>34</v>
      </c>
      <c r="G4445" s="19"/>
      <c r="H4445" s="17" t="s">
        <v>35</v>
      </c>
      <c r="I4445" s="17" t="s">
        <v>44</v>
      </c>
      <c r="J4445" s="17"/>
      <c r="K4445" s="17" t="e">
        <f aca="false">VLOOKUP(J4445,Sheet2!A:B,2,0)</f>
        <v>#N/A</v>
      </c>
      <c r="L4445" s="17" t="n">
        <v>5</v>
      </c>
      <c r="M4445" s="17" t="str">
        <f aca="false">VLOOKUP(L4445,Sheet2!D:E,2,0)</f>
        <v>Main Processor CPU BGA</v>
      </c>
      <c r="N4445" s="17" t="n">
        <v>1</v>
      </c>
      <c r="O4445" s="17" t="str">
        <f aca="false">VLOOKUP(N4445,Sheet2!G:H,2,0)</f>
        <v>Dead</v>
      </c>
      <c r="P4445" s="17" t="n">
        <v>11</v>
      </c>
      <c r="Q4445" s="17" t="str">
        <f aca="false">VLOOKUP(P4445,Sheet2!J:K,2,0)</f>
        <v>IR Declared due to CID -TA</v>
      </c>
      <c r="R4445" s="17" t="s">
        <v>35</v>
      </c>
      <c r="S4445" s="17" t="str">
        <f aca="false">VLOOKUP(R4445,Sheet2!N:O,2,0)</f>
        <v>IREPARABLE</v>
      </c>
      <c r="T4445" s="18" t="str">
        <f aca="false">VLOOKUP(P4445,Sheet2!Q:R,2,0)</f>
        <v>IR Normal - Track burn out</v>
      </c>
      <c r="U4445" s="20" t="s">
        <v>41</v>
      </c>
      <c r="V4445" s="17"/>
      <c r="W4445" s="20" t="e">
        <f aca="false">VLOOKUP(V4445,Sheet2!Q:R,2,0)</f>
        <v>#N/A</v>
      </c>
      <c r="X4445" s="17" t="n">
        <f aca="false">J4445</f>
        <v>0</v>
      </c>
      <c r="Y4445" s="17" t="e">
        <f aca="false">VLOOKUP(X4445,Sheet2!A:B,2,0)</f>
        <v>#N/A</v>
      </c>
      <c r="Z4445" s="17"/>
      <c r="AA4445" s="17"/>
      <c r="AC4445" s="23" t="str">
        <f aca="false">LEFT(G4445,2)</f>
        <v/>
      </c>
    </row>
    <row r="4446" customFormat="false" ht="15" hidden="false" customHeight="false" outlineLevel="0" collapsed="false">
      <c r="A4446" s="13" t="n">
        <f aca="false">1+A4445</f>
        <v>4444</v>
      </c>
      <c r="B4446" s="14" t="n">
        <v>100</v>
      </c>
      <c r="C4446" s="15"/>
      <c r="D4446" s="16" t="s">
        <v>64</v>
      </c>
      <c r="E4446" s="17" t="s">
        <v>47</v>
      </c>
      <c r="F4446" s="18" t="s">
        <v>34</v>
      </c>
      <c r="G4446" s="19"/>
      <c r="H4446" s="17" t="s">
        <v>35</v>
      </c>
      <c r="I4446" s="17" t="s">
        <v>44</v>
      </c>
      <c r="J4446" s="17"/>
      <c r="K4446" s="17" t="e">
        <f aca="false">VLOOKUP(J4446,Sheet2!A:B,2,0)</f>
        <v>#N/A</v>
      </c>
      <c r="L4446" s="17" t="n">
        <v>5</v>
      </c>
      <c r="M4446" s="17" t="str">
        <f aca="false">VLOOKUP(L4446,Sheet2!D:E,2,0)</f>
        <v>Main Processor CPU BGA</v>
      </c>
      <c r="N4446" s="17" t="n">
        <v>1</v>
      </c>
      <c r="O4446" s="17" t="str">
        <f aca="false">VLOOKUP(N4446,Sheet2!G:H,2,0)</f>
        <v>Dead</v>
      </c>
      <c r="P4446" s="17" t="n">
        <v>11</v>
      </c>
      <c r="Q4446" s="17" t="str">
        <f aca="false">VLOOKUP(P4446,Sheet2!J:K,2,0)</f>
        <v>IR Declared due to CID -TA</v>
      </c>
      <c r="R4446" s="17" t="s">
        <v>35</v>
      </c>
      <c r="S4446" s="17" t="str">
        <f aca="false">VLOOKUP(R4446,Sheet2!N:O,2,0)</f>
        <v>IREPARABLE</v>
      </c>
      <c r="T4446" s="18" t="str">
        <f aca="false">VLOOKUP(P4446,Sheet2!Q:R,2,0)</f>
        <v>IR Normal - Track burn out</v>
      </c>
      <c r="U4446" s="20" t="s">
        <v>41</v>
      </c>
      <c r="V4446" s="17"/>
      <c r="W4446" s="20" t="e">
        <f aca="false">VLOOKUP(V4446,Sheet2!Q:R,2,0)</f>
        <v>#N/A</v>
      </c>
      <c r="X4446" s="17" t="n">
        <f aca="false">J4446</f>
        <v>0</v>
      </c>
      <c r="Y4446" s="17" t="e">
        <f aca="false">VLOOKUP(X4446,Sheet2!A:B,2,0)</f>
        <v>#N/A</v>
      </c>
      <c r="Z4446" s="17"/>
      <c r="AA4446" s="17"/>
      <c r="AC4446" s="23" t="str">
        <f aca="false">LEFT(G4446,2)</f>
        <v/>
      </c>
    </row>
    <row r="4447" customFormat="false" ht="15" hidden="false" customHeight="false" outlineLevel="0" collapsed="false">
      <c r="A4447" s="13" t="n">
        <f aca="false">1+A4446</f>
        <v>4445</v>
      </c>
      <c r="B4447" s="14" t="n">
        <v>100</v>
      </c>
      <c r="C4447" s="15"/>
      <c r="D4447" s="16" t="s">
        <v>64</v>
      </c>
      <c r="E4447" s="17" t="s">
        <v>47</v>
      </c>
      <c r="F4447" s="18" t="s">
        <v>34</v>
      </c>
      <c r="G4447" s="19"/>
      <c r="H4447" s="17" t="s">
        <v>35</v>
      </c>
      <c r="I4447" s="17" t="s">
        <v>44</v>
      </c>
      <c r="J4447" s="17"/>
      <c r="K4447" s="17" t="e">
        <f aca="false">VLOOKUP(J4447,Sheet2!A:B,2,0)</f>
        <v>#N/A</v>
      </c>
      <c r="L4447" s="17" t="n">
        <v>5</v>
      </c>
      <c r="M4447" s="17" t="str">
        <f aca="false">VLOOKUP(L4447,Sheet2!D:E,2,0)</f>
        <v>Main Processor CPU BGA</v>
      </c>
      <c r="N4447" s="17" t="n">
        <v>1</v>
      </c>
      <c r="O4447" s="17" t="str">
        <f aca="false">VLOOKUP(N4447,Sheet2!G:H,2,0)</f>
        <v>Dead</v>
      </c>
      <c r="P4447" s="17" t="n">
        <v>11</v>
      </c>
      <c r="Q4447" s="17" t="str">
        <f aca="false">VLOOKUP(P4447,Sheet2!J:K,2,0)</f>
        <v>IR Declared due to CID -TA</v>
      </c>
      <c r="R4447" s="17" t="s">
        <v>35</v>
      </c>
      <c r="S4447" s="17" t="str">
        <f aca="false">VLOOKUP(R4447,Sheet2!N:O,2,0)</f>
        <v>IREPARABLE</v>
      </c>
      <c r="T4447" s="18" t="str">
        <f aca="false">VLOOKUP(P4447,Sheet2!Q:R,2,0)</f>
        <v>IR Normal - Track burn out</v>
      </c>
      <c r="U4447" s="20" t="s">
        <v>41</v>
      </c>
      <c r="V4447" s="17"/>
      <c r="W4447" s="20" t="e">
        <f aca="false">VLOOKUP(V4447,Sheet2!Q:R,2,0)</f>
        <v>#N/A</v>
      </c>
      <c r="X4447" s="17" t="n">
        <f aca="false">J4447</f>
        <v>0</v>
      </c>
      <c r="Y4447" s="17" t="e">
        <f aca="false">VLOOKUP(X4447,Sheet2!A:B,2,0)</f>
        <v>#N/A</v>
      </c>
      <c r="Z4447" s="17"/>
      <c r="AA4447" s="17"/>
      <c r="AC4447" s="23" t="str">
        <f aca="false">LEFT(G4447,2)</f>
        <v/>
      </c>
    </row>
    <row r="4448" customFormat="false" ht="15" hidden="false" customHeight="false" outlineLevel="0" collapsed="false">
      <c r="A4448" s="13" t="n">
        <f aca="false">1+A4447</f>
        <v>4446</v>
      </c>
      <c r="B4448" s="14" t="n">
        <v>100</v>
      </c>
      <c r="C4448" s="15"/>
      <c r="D4448" s="16" t="s">
        <v>64</v>
      </c>
      <c r="E4448" s="17" t="s">
        <v>47</v>
      </c>
      <c r="F4448" s="18" t="s">
        <v>34</v>
      </c>
      <c r="G4448" s="19"/>
      <c r="H4448" s="17" t="s">
        <v>35</v>
      </c>
      <c r="I4448" s="17" t="s">
        <v>44</v>
      </c>
      <c r="J4448" s="17"/>
      <c r="K4448" s="17" t="e">
        <f aca="false">VLOOKUP(J4448,Sheet2!A:B,2,0)</f>
        <v>#N/A</v>
      </c>
      <c r="L4448" s="17" t="n">
        <v>5</v>
      </c>
      <c r="M4448" s="17" t="str">
        <f aca="false">VLOOKUP(L4448,Sheet2!D:E,2,0)</f>
        <v>Main Processor CPU BGA</v>
      </c>
      <c r="N4448" s="17" t="n">
        <v>1</v>
      </c>
      <c r="O4448" s="17" t="str">
        <f aca="false">VLOOKUP(N4448,Sheet2!G:H,2,0)</f>
        <v>Dead</v>
      </c>
      <c r="P4448" s="17" t="n">
        <v>11</v>
      </c>
      <c r="Q4448" s="17" t="str">
        <f aca="false">VLOOKUP(P4448,Sheet2!J:K,2,0)</f>
        <v>IR Declared due to CID -TA</v>
      </c>
      <c r="R4448" s="17" t="s">
        <v>35</v>
      </c>
      <c r="S4448" s="17" t="str">
        <f aca="false">VLOOKUP(R4448,Sheet2!N:O,2,0)</f>
        <v>IREPARABLE</v>
      </c>
      <c r="T4448" s="18" t="str">
        <f aca="false">VLOOKUP(P4448,Sheet2!Q:R,2,0)</f>
        <v>IR Normal - Track burn out</v>
      </c>
      <c r="U4448" s="20" t="s">
        <v>41</v>
      </c>
      <c r="V4448" s="17"/>
      <c r="W4448" s="20" t="e">
        <f aca="false">VLOOKUP(V4448,Sheet2!Q:R,2,0)</f>
        <v>#N/A</v>
      </c>
      <c r="X4448" s="17" t="n">
        <f aca="false">J4448</f>
        <v>0</v>
      </c>
      <c r="Y4448" s="17" t="e">
        <f aca="false">VLOOKUP(X4448,Sheet2!A:B,2,0)</f>
        <v>#N/A</v>
      </c>
      <c r="Z4448" s="17"/>
      <c r="AA4448" s="17"/>
      <c r="AC4448" s="23" t="str">
        <f aca="false">LEFT(G4448,2)</f>
        <v/>
      </c>
    </row>
    <row r="4449" customFormat="false" ht="15" hidden="false" customHeight="false" outlineLevel="0" collapsed="false">
      <c r="A4449" s="13" t="n">
        <f aca="false">1+A4448</f>
        <v>4447</v>
      </c>
      <c r="B4449" s="14" t="n">
        <v>100</v>
      </c>
      <c r="C4449" s="15"/>
      <c r="D4449" s="16" t="s">
        <v>64</v>
      </c>
      <c r="E4449" s="17" t="s">
        <v>47</v>
      </c>
      <c r="F4449" s="18" t="s">
        <v>34</v>
      </c>
      <c r="G4449" s="19"/>
      <c r="H4449" s="17" t="s">
        <v>35</v>
      </c>
      <c r="I4449" s="17" t="s">
        <v>44</v>
      </c>
      <c r="J4449" s="17"/>
      <c r="K4449" s="17" t="e">
        <f aca="false">VLOOKUP(J4449,Sheet2!A:B,2,0)</f>
        <v>#N/A</v>
      </c>
      <c r="L4449" s="17" t="n">
        <v>5</v>
      </c>
      <c r="M4449" s="17" t="str">
        <f aca="false">VLOOKUP(L4449,Sheet2!D:E,2,0)</f>
        <v>Main Processor CPU BGA</v>
      </c>
      <c r="N4449" s="17" t="n">
        <v>1</v>
      </c>
      <c r="O4449" s="17" t="str">
        <f aca="false">VLOOKUP(N4449,Sheet2!G:H,2,0)</f>
        <v>Dead</v>
      </c>
      <c r="P4449" s="17" t="n">
        <v>11</v>
      </c>
      <c r="Q4449" s="17" t="str">
        <f aca="false">VLOOKUP(P4449,Sheet2!J:K,2,0)</f>
        <v>IR Declared due to CID -TA</v>
      </c>
      <c r="R4449" s="17" t="s">
        <v>35</v>
      </c>
      <c r="S4449" s="17" t="str">
        <f aca="false">VLOOKUP(R4449,Sheet2!N:O,2,0)</f>
        <v>IREPARABLE</v>
      </c>
      <c r="T4449" s="18" t="str">
        <f aca="false">VLOOKUP(P4449,Sheet2!Q:R,2,0)</f>
        <v>IR Normal - Track burn out</v>
      </c>
      <c r="U4449" s="20" t="s">
        <v>41</v>
      </c>
      <c r="V4449" s="17"/>
      <c r="W4449" s="20" t="e">
        <f aca="false">VLOOKUP(V4449,Sheet2!Q:R,2,0)</f>
        <v>#N/A</v>
      </c>
      <c r="X4449" s="17" t="n">
        <f aca="false">J4449</f>
        <v>0</v>
      </c>
      <c r="Y4449" s="17" t="e">
        <f aca="false">VLOOKUP(X4449,Sheet2!A:B,2,0)</f>
        <v>#N/A</v>
      </c>
      <c r="Z4449" s="17"/>
      <c r="AA4449" s="17"/>
      <c r="AC4449" s="23" t="str">
        <f aca="false">LEFT(G4449,2)</f>
        <v/>
      </c>
    </row>
    <row r="4450" customFormat="false" ht="15" hidden="false" customHeight="false" outlineLevel="0" collapsed="false">
      <c r="A4450" s="13" t="n">
        <f aca="false">1+A4449</f>
        <v>4448</v>
      </c>
      <c r="B4450" s="14" t="n">
        <v>100</v>
      </c>
      <c r="C4450" s="15"/>
      <c r="D4450" s="16" t="s">
        <v>64</v>
      </c>
      <c r="E4450" s="17" t="s">
        <v>47</v>
      </c>
      <c r="F4450" s="18" t="s">
        <v>34</v>
      </c>
      <c r="G4450" s="19"/>
      <c r="H4450" s="17" t="s">
        <v>35</v>
      </c>
      <c r="I4450" s="17" t="s">
        <v>44</v>
      </c>
      <c r="J4450" s="17"/>
      <c r="K4450" s="17" t="e">
        <f aca="false">VLOOKUP(J4450,Sheet2!A:B,2,0)</f>
        <v>#N/A</v>
      </c>
      <c r="L4450" s="17" t="n">
        <v>5</v>
      </c>
      <c r="M4450" s="17" t="str">
        <f aca="false">VLOOKUP(L4450,Sheet2!D:E,2,0)</f>
        <v>Main Processor CPU BGA</v>
      </c>
      <c r="N4450" s="17" t="n">
        <v>1</v>
      </c>
      <c r="O4450" s="17" t="str">
        <f aca="false">VLOOKUP(N4450,Sheet2!G:H,2,0)</f>
        <v>Dead</v>
      </c>
      <c r="P4450" s="17" t="n">
        <v>11</v>
      </c>
      <c r="Q4450" s="17" t="str">
        <f aca="false">VLOOKUP(P4450,Sheet2!J:K,2,0)</f>
        <v>IR Declared due to CID -TA</v>
      </c>
      <c r="R4450" s="17" t="s">
        <v>35</v>
      </c>
      <c r="S4450" s="17" t="str">
        <f aca="false">VLOOKUP(R4450,Sheet2!N:O,2,0)</f>
        <v>IREPARABLE</v>
      </c>
      <c r="T4450" s="18" t="str">
        <f aca="false">VLOOKUP(P4450,Sheet2!Q:R,2,0)</f>
        <v>IR Normal - Track burn out</v>
      </c>
      <c r="U4450" s="20" t="s">
        <v>41</v>
      </c>
      <c r="V4450" s="17"/>
      <c r="W4450" s="20" t="e">
        <f aca="false">VLOOKUP(V4450,Sheet2!Q:R,2,0)</f>
        <v>#N/A</v>
      </c>
      <c r="X4450" s="17" t="n">
        <f aca="false">J4450</f>
        <v>0</v>
      </c>
      <c r="Y4450" s="17" t="e">
        <f aca="false">VLOOKUP(X4450,Sheet2!A:B,2,0)</f>
        <v>#N/A</v>
      </c>
      <c r="Z4450" s="17"/>
      <c r="AA4450" s="17"/>
      <c r="AC4450" s="23" t="str">
        <f aca="false">LEFT(G4450,2)</f>
        <v/>
      </c>
    </row>
    <row r="4451" customFormat="false" ht="15" hidden="false" customHeight="false" outlineLevel="0" collapsed="false">
      <c r="A4451" s="13" t="n">
        <f aca="false">1+A4450</f>
        <v>4449</v>
      </c>
      <c r="B4451" s="14" t="n">
        <v>100</v>
      </c>
      <c r="C4451" s="15"/>
      <c r="D4451" s="16" t="s">
        <v>64</v>
      </c>
      <c r="E4451" s="17" t="s">
        <v>47</v>
      </c>
      <c r="F4451" s="18" t="s">
        <v>34</v>
      </c>
      <c r="G4451" s="19"/>
      <c r="H4451" s="17" t="s">
        <v>35</v>
      </c>
      <c r="I4451" s="17" t="s">
        <v>44</v>
      </c>
      <c r="J4451" s="17"/>
      <c r="K4451" s="17" t="e">
        <f aca="false">VLOOKUP(J4451,Sheet2!A:B,2,0)</f>
        <v>#N/A</v>
      </c>
      <c r="L4451" s="17" t="n">
        <v>5</v>
      </c>
      <c r="M4451" s="17" t="str">
        <f aca="false">VLOOKUP(L4451,Sheet2!D:E,2,0)</f>
        <v>Main Processor CPU BGA</v>
      </c>
      <c r="N4451" s="17" t="n">
        <v>1</v>
      </c>
      <c r="O4451" s="17" t="str">
        <f aca="false">VLOOKUP(N4451,Sheet2!G:H,2,0)</f>
        <v>Dead</v>
      </c>
      <c r="P4451" s="17" t="n">
        <v>11</v>
      </c>
      <c r="Q4451" s="17" t="str">
        <f aca="false">VLOOKUP(P4451,Sheet2!J:K,2,0)</f>
        <v>IR Declared due to CID -TA</v>
      </c>
      <c r="R4451" s="17" t="s">
        <v>35</v>
      </c>
      <c r="S4451" s="17" t="str">
        <f aca="false">VLOOKUP(R4451,Sheet2!N:O,2,0)</f>
        <v>IREPARABLE</v>
      </c>
      <c r="T4451" s="18" t="str">
        <f aca="false">VLOOKUP(P4451,Sheet2!Q:R,2,0)</f>
        <v>IR Normal - Track burn out</v>
      </c>
      <c r="U4451" s="20" t="s">
        <v>41</v>
      </c>
      <c r="V4451" s="17"/>
      <c r="W4451" s="20" t="e">
        <f aca="false">VLOOKUP(V4451,Sheet2!Q:R,2,0)</f>
        <v>#N/A</v>
      </c>
      <c r="X4451" s="17" t="n">
        <f aca="false">J4451</f>
        <v>0</v>
      </c>
      <c r="Y4451" s="17" t="e">
        <f aca="false">VLOOKUP(X4451,Sheet2!A:B,2,0)</f>
        <v>#N/A</v>
      </c>
      <c r="Z4451" s="17"/>
      <c r="AA4451" s="17"/>
      <c r="AC4451" s="23" t="str">
        <f aca="false">LEFT(G4451,2)</f>
        <v/>
      </c>
    </row>
    <row r="4452" customFormat="false" ht="15" hidden="false" customHeight="false" outlineLevel="0" collapsed="false">
      <c r="A4452" s="13" t="n">
        <f aca="false">1+A4451</f>
        <v>4450</v>
      </c>
      <c r="B4452" s="14" t="n">
        <v>100</v>
      </c>
      <c r="C4452" s="15"/>
      <c r="D4452" s="16" t="s">
        <v>64</v>
      </c>
      <c r="E4452" s="17" t="s">
        <v>47</v>
      </c>
      <c r="F4452" s="18" t="s">
        <v>34</v>
      </c>
      <c r="G4452" s="19"/>
      <c r="H4452" s="17" t="s">
        <v>35</v>
      </c>
      <c r="I4452" s="17" t="s">
        <v>44</v>
      </c>
      <c r="J4452" s="17"/>
      <c r="K4452" s="17" t="e">
        <f aca="false">VLOOKUP(J4452,Sheet2!A:B,2,0)</f>
        <v>#N/A</v>
      </c>
      <c r="L4452" s="17" t="n">
        <v>5</v>
      </c>
      <c r="M4452" s="17" t="str">
        <f aca="false">VLOOKUP(L4452,Sheet2!D:E,2,0)</f>
        <v>Main Processor CPU BGA</v>
      </c>
      <c r="N4452" s="17" t="n">
        <v>1</v>
      </c>
      <c r="O4452" s="17" t="str">
        <f aca="false">VLOOKUP(N4452,Sheet2!G:H,2,0)</f>
        <v>Dead</v>
      </c>
      <c r="P4452" s="17" t="n">
        <v>11</v>
      </c>
      <c r="Q4452" s="17" t="str">
        <f aca="false">VLOOKUP(P4452,Sheet2!J:K,2,0)</f>
        <v>IR Declared due to CID -TA</v>
      </c>
      <c r="R4452" s="17" t="s">
        <v>35</v>
      </c>
      <c r="S4452" s="17" t="str">
        <f aca="false">VLOOKUP(R4452,Sheet2!N:O,2,0)</f>
        <v>IREPARABLE</v>
      </c>
      <c r="T4452" s="18" t="str">
        <f aca="false">VLOOKUP(P4452,Sheet2!Q:R,2,0)</f>
        <v>IR Normal - Track burn out</v>
      </c>
      <c r="U4452" s="20" t="s">
        <v>41</v>
      </c>
      <c r="V4452" s="17"/>
      <c r="W4452" s="20" t="e">
        <f aca="false">VLOOKUP(V4452,Sheet2!Q:R,2,0)</f>
        <v>#N/A</v>
      </c>
      <c r="X4452" s="17" t="n">
        <f aca="false">J4452</f>
        <v>0</v>
      </c>
      <c r="Y4452" s="17" t="e">
        <f aca="false">VLOOKUP(X4452,Sheet2!A:B,2,0)</f>
        <v>#N/A</v>
      </c>
      <c r="Z4452" s="17"/>
      <c r="AA4452" s="17"/>
      <c r="AC4452" s="23" t="str">
        <f aca="false">LEFT(G4452,2)</f>
        <v/>
      </c>
    </row>
    <row r="4453" customFormat="false" ht="15" hidden="false" customHeight="false" outlineLevel="0" collapsed="false">
      <c r="A4453" s="13" t="n">
        <f aca="false">1+A4452</f>
        <v>4451</v>
      </c>
      <c r="B4453" s="14" t="n">
        <v>100</v>
      </c>
      <c r="C4453" s="15"/>
      <c r="D4453" s="16" t="s">
        <v>64</v>
      </c>
      <c r="E4453" s="17" t="s">
        <v>47</v>
      </c>
      <c r="F4453" s="18" t="s">
        <v>34</v>
      </c>
      <c r="G4453" s="19"/>
      <c r="H4453" s="17" t="s">
        <v>35</v>
      </c>
      <c r="I4453" s="17" t="s">
        <v>44</v>
      </c>
      <c r="J4453" s="17"/>
      <c r="K4453" s="17" t="e">
        <f aca="false">VLOOKUP(J4453,Sheet2!A:B,2,0)</f>
        <v>#N/A</v>
      </c>
      <c r="L4453" s="17" t="n">
        <v>5</v>
      </c>
      <c r="M4453" s="17" t="str">
        <f aca="false">VLOOKUP(L4453,Sheet2!D:E,2,0)</f>
        <v>Main Processor CPU BGA</v>
      </c>
      <c r="N4453" s="17" t="n">
        <v>1</v>
      </c>
      <c r="O4453" s="17" t="str">
        <f aca="false">VLOOKUP(N4453,Sheet2!G:H,2,0)</f>
        <v>Dead</v>
      </c>
      <c r="P4453" s="17" t="n">
        <v>11</v>
      </c>
      <c r="Q4453" s="17" t="str">
        <f aca="false">VLOOKUP(P4453,Sheet2!J:K,2,0)</f>
        <v>IR Declared due to CID -TA</v>
      </c>
      <c r="R4453" s="17" t="s">
        <v>35</v>
      </c>
      <c r="S4453" s="17" t="str">
        <f aca="false">VLOOKUP(R4453,Sheet2!N:O,2,0)</f>
        <v>IREPARABLE</v>
      </c>
      <c r="T4453" s="18" t="str">
        <f aca="false">VLOOKUP(P4453,Sheet2!Q:R,2,0)</f>
        <v>IR Normal - Track burn out</v>
      </c>
      <c r="U4453" s="20" t="s">
        <v>41</v>
      </c>
      <c r="V4453" s="17"/>
      <c r="W4453" s="20" t="e">
        <f aca="false">VLOOKUP(V4453,Sheet2!Q:R,2,0)</f>
        <v>#N/A</v>
      </c>
      <c r="X4453" s="17" t="n">
        <f aca="false">J4453</f>
        <v>0</v>
      </c>
      <c r="Y4453" s="17" t="e">
        <f aca="false">VLOOKUP(X4453,Sheet2!A:B,2,0)</f>
        <v>#N/A</v>
      </c>
      <c r="Z4453" s="17"/>
      <c r="AA4453" s="17"/>
      <c r="AC4453" s="23" t="str">
        <f aca="false">LEFT(G4453,2)</f>
        <v/>
      </c>
    </row>
    <row r="4454" customFormat="false" ht="15" hidden="false" customHeight="false" outlineLevel="0" collapsed="false">
      <c r="A4454" s="13" t="n">
        <f aca="false">1+A4453</f>
        <v>4452</v>
      </c>
      <c r="B4454" s="14" t="n">
        <v>100</v>
      </c>
      <c r="C4454" s="15"/>
      <c r="D4454" s="16" t="s">
        <v>64</v>
      </c>
      <c r="E4454" s="17" t="s">
        <v>47</v>
      </c>
      <c r="F4454" s="18" t="s">
        <v>34</v>
      </c>
      <c r="G4454" s="19"/>
      <c r="H4454" s="17" t="s">
        <v>35</v>
      </c>
      <c r="I4454" s="17" t="s">
        <v>44</v>
      </c>
      <c r="J4454" s="17"/>
      <c r="K4454" s="17" t="e">
        <f aca="false">VLOOKUP(J4454,Sheet2!A:B,2,0)</f>
        <v>#N/A</v>
      </c>
      <c r="L4454" s="17" t="n">
        <v>5</v>
      </c>
      <c r="M4454" s="17" t="str">
        <f aca="false">VLOOKUP(L4454,Sheet2!D:E,2,0)</f>
        <v>Main Processor CPU BGA</v>
      </c>
      <c r="N4454" s="17" t="n">
        <v>1</v>
      </c>
      <c r="O4454" s="17" t="str">
        <f aca="false">VLOOKUP(N4454,Sheet2!G:H,2,0)</f>
        <v>Dead</v>
      </c>
      <c r="P4454" s="17" t="n">
        <v>11</v>
      </c>
      <c r="Q4454" s="17" t="str">
        <f aca="false">VLOOKUP(P4454,Sheet2!J:K,2,0)</f>
        <v>IR Declared due to CID -TA</v>
      </c>
      <c r="R4454" s="17" t="s">
        <v>35</v>
      </c>
      <c r="S4454" s="17" t="str">
        <f aca="false">VLOOKUP(R4454,Sheet2!N:O,2,0)</f>
        <v>IREPARABLE</v>
      </c>
      <c r="T4454" s="18" t="str">
        <f aca="false">VLOOKUP(P4454,Sheet2!Q:R,2,0)</f>
        <v>IR Normal - Track burn out</v>
      </c>
      <c r="U4454" s="20" t="s">
        <v>41</v>
      </c>
      <c r="V4454" s="17"/>
      <c r="W4454" s="20" t="e">
        <f aca="false">VLOOKUP(V4454,Sheet2!Q:R,2,0)</f>
        <v>#N/A</v>
      </c>
      <c r="X4454" s="17" t="n">
        <f aca="false">J4454</f>
        <v>0</v>
      </c>
      <c r="Y4454" s="17" t="e">
        <f aca="false">VLOOKUP(X4454,Sheet2!A:B,2,0)</f>
        <v>#N/A</v>
      </c>
      <c r="Z4454" s="17"/>
      <c r="AA4454" s="17"/>
      <c r="AC4454" s="23" t="str">
        <f aca="false">LEFT(G4454,2)</f>
        <v/>
      </c>
    </row>
    <row r="4455" customFormat="false" ht="15" hidden="false" customHeight="false" outlineLevel="0" collapsed="false">
      <c r="A4455" s="13" t="n">
        <f aca="false">1+A4454</f>
        <v>4453</v>
      </c>
      <c r="B4455" s="14" t="n">
        <v>100</v>
      </c>
      <c r="C4455" s="15"/>
      <c r="D4455" s="16" t="s">
        <v>64</v>
      </c>
      <c r="E4455" s="17" t="s">
        <v>47</v>
      </c>
      <c r="F4455" s="18" t="s">
        <v>34</v>
      </c>
      <c r="G4455" s="19"/>
      <c r="H4455" s="17" t="s">
        <v>35</v>
      </c>
      <c r="I4455" s="17" t="s">
        <v>44</v>
      </c>
      <c r="J4455" s="17"/>
      <c r="K4455" s="17" t="e">
        <f aca="false">VLOOKUP(J4455,Sheet2!A:B,2,0)</f>
        <v>#N/A</v>
      </c>
      <c r="L4455" s="17" t="n">
        <v>5</v>
      </c>
      <c r="M4455" s="17" t="str">
        <f aca="false">VLOOKUP(L4455,Sheet2!D:E,2,0)</f>
        <v>Main Processor CPU BGA</v>
      </c>
      <c r="N4455" s="17" t="n">
        <v>1</v>
      </c>
      <c r="O4455" s="17" t="str">
        <f aca="false">VLOOKUP(N4455,Sheet2!G:H,2,0)</f>
        <v>Dead</v>
      </c>
      <c r="P4455" s="17" t="n">
        <v>11</v>
      </c>
      <c r="Q4455" s="17" t="str">
        <f aca="false">VLOOKUP(P4455,Sheet2!J:K,2,0)</f>
        <v>IR Declared due to CID -TA</v>
      </c>
      <c r="R4455" s="17" t="s">
        <v>35</v>
      </c>
      <c r="S4455" s="17" t="str">
        <f aca="false">VLOOKUP(R4455,Sheet2!N:O,2,0)</f>
        <v>IREPARABLE</v>
      </c>
      <c r="T4455" s="18" t="str">
        <f aca="false">VLOOKUP(P4455,Sheet2!Q:R,2,0)</f>
        <v>IR Normal - Track burn out</v>
      </c>
      <c r="U4455" s="20" t="s">
        <v>41</v>
      </c>
      <c r="V4455" s="17"/>
      <c r="W4455" s="20" t="e">
        <f aca="false">VLOOKUP(V4455,Sheet2!Q:R,2,0)</f>
        <v>#N/A</v>
      </c>
      <c r="X4455" s="17" t="n">
        <f aca="false">J4455</f>
        <v>0</v>
      </c>
      <c r="Y4455" s="17" t="e">
        <f aca="false">VLOOKUP(X4455,Sheet2!A:B,2,0)</f>
        <v>#N/A</v>
      </c>
      <c r="Z4455" s="17"/>
      <c r="AA4455" s="17"/>
      <c r="AC4455" s="23" t="str">
        <f aca="false">LEFT(G4455,2)</f>
        <v/>
      </c>
    </row>
    <row r="4456" customFormat="false" ht="15" hidden="false" customHeight="false" outlineLevel="0" collapsed="false">
      <c r="A4456" s="13" t="n">
        <f aca="false">1+A4455</f>
        <v>4454</v>
      </c>
      <c r="B4456" s="14" t="n">
        <v>100</v>
      </c>
      <c r="C4456" s="15"/>
      <c r="D4456" s="16" t="s">
        <v>64</v>
      </c>
      <c r="E4456" s="17" t="s">
        <v>47</v>
      </c>
      <c r="F4456" s="18" t="s">
        <v>34</v>
      </c>
      <c r="G4456" s="19"/>
      <c r="H4456" s="17" t="s">
        <v>35</v>
      </c>
      <c r="I4456" s="17" t="s">
        <v>44</v>
      </c>
      <c r="J4456" s="17"/>
      <c r="K4456" s="17" t="e">
        <f aca="false">VLOOKUP(J4456,Sheet2!A:B,2,0)</f>
        <v>#N/A</v>
      </c>
      <c r="L4456" s="17" t="n">
        <v>5</v>
      </c>
      <c r="M4456" s="17" t="str">
        <f aca="false">VLOOKUP(L4456,Sheet2!D:E,2,0)</f>
        <v>Main Processor CPU BGA</v>
      </c>
      <c r="N4456" s="17" t="n">
        <v>1</v>
      </c>
      <c r="O4456" s="17" t="str">
        <f aca="false">VLOOKUP(N4456,Sheet2!G:H,2,0)</f>
        <v>Dead</v>
      </c>
      <c r="P4456" s="17" t="n">
        <v>11</v>
      </c>
      <c r="Q4456" s="17" t="str">
        <f aca="false">VLOOKUP(P4456,Sheet2!J:K,2,0)</f>
        <v>IR Declared due to CID -TA</v>
      </c>
      <c r="R4456" s="17" t="s">
        <v>35</v>
      </c>
      <c r="S4456" s="17" t="str">
        <f aca="false">VLOOKUP(R4456,Sheet2!N:O,2,0)</f>
        <v>IREPARABLE</v>
      </c>
      <c r="T4456" s="18" t="str">
        <f aca="false">VLOOKUP(P4456,Sheet2!Q:R,2,0)</f>
        <v>IR Normal - Track burn out</v>
      </c>
      <c r="U4456" s="20" t="s">
        <v>41</v>
      </c>
      <c r="V4456" s="17"/>
      <c r="W4456" s="20" t="e">
        <f aca="false">VLOOKUP(V4456,Sheet2!Q:R,2,0)</f>
        <v>#N/A</v>
      </c>
      <c r="X4456" s="17" t="n">
        <f aca="false">J4456</f>
        <v>0</v>
      </c>
      <c r="Y4456" s="17" t="e">
        <f aca="false">VLOOKUP(X4456,Sheet2!A:B,2,0)</f>
        <v>#N/A</v>
      </c>
      <c r="Z4456" s="17"/>
      <c r="AA4456" s="17"/>
      <c r="AC4456" s="23" t="str">
        <f aca="false">LEFT(G4456,2)</f>
        <v/>
      </c>
    </row>
    <row r="4457" customFormat="false" ht="15" hidden="false" customHeight="false" outlineLevel="0" collapsed="false">
      <c r="A4457" s="13" t="n">
        <f aca="false">1+A4456</f>
        <v>4455</v>
      </c>
      <c r="B4457" s="14" t="n">
        <v>100</v>
      </c>
      <c r="C4457" s="15"/>
      <c r="D4457" s="16" t="s">
        <v>64</v>
      </c>
      <c r="E4457" s="17" t="s">
        <v>47</v>
      </c>
      <c r="F4457" s="18" t="s">
        <v>34</v>
      </c>
      <c r="G4457" s="19"/>
      <c r="H4457" s="17" t="s">
        <v>35</v>
      </c>
      <c r="I4457" s="17" t="s">
        <v>44</v>
      </c>
      <c r="J4457" s="17"/>
      <c r="K4457" s="17" t="e">
        <f aca="false">VLOOKUP(J4457,Sheet2!A:B,2,0)</f>
        <v>#N/A</v>
      </c>
      <c r="L4457" s="17" t="n">
        <v>5</v>
      </c>
      <c r="M4457" s="17" t="str">
        <f aca="false">VLOOKUP(L4457,Sheet2!D:E,2,0)</f>
        <v>Main Processor CPU BGA</v>
      </c>
      <c r="N4457" s="17" t="n">
        <v>1</v>
      </c>
      <c r="O4457" s="17" t="str">
        <f aca="false">VLOOKUP(N4457,Sheet2!G:H,2,0)</f>
        <v>Dead</v>
      </c>
      <c r="P4457" s="17" t="n">
        <v>11</v>
      </c>
      <c r="Q4457" s="17" t="str">
        <f aca="false">VLOOKUP(P4457,Sheet2!J:K,2,0)</f>
        <v>IR Declared due to CID -TA</v>
      </c>
      <c r="R4457" s="17" t="s">
        <v>35</v>
      </c>
      <c r="S4457" s="17" t="str">
        <f aca="false">VLOOKUP(R4457,Sheet2!N:O,2,0)</f>
        <v>IREPARABLE</v>
      </c>
      <c r="T4457" s="18" t="str">
        <f aca="false">VLOOKUP(P4457,Sheet2!Q:R,2,0)</f>
        <v>IR Normal - Track burn out</v>
      </c>
      <c r="U4457" s="20" t="s">
        <v>41</v>
      </c>
      <c r="V4457" s="17"/>
      <c r="W4457" s="20" t="e">
        <f aca="false">VLOOKUP(V4457,Sheet2!Q:R,2,0)</f>
        <v>#N/A</v>
      </c>
      <c r="X4457" s="17" t="n">
        <f aca="false">J4457</f>
        <v>0</v>
      </c>
      <c r="Y4457" s="17" t="e">
        <f aca="false">VLOOKUP(X4457,Sheet2!A:B,2,0)</f>
        <v>#N/A</v>
      </c>
      <c r="Z4457" s="17"/>
      <c r="AA4457" s="17"/>
      <c r="AC4457" s="23" t="str">
        <f aca="false">LEFT(G4457,2)</f>
        <v/>
      </c>
    </row>
    <row r="4458" customFormat="false" ht="15" hidden="false" customHeight="false" outlineLevel="0" collapsed="false">
      <c r="A4458" s="13" t="n">
        <f aca="false">1+A4457</f>
        <v>4456</v>
      </c>
      <c r="B4458" s="14" t="n">
        <v>100</v>
      </c>
      <c r="C4458" s="15"/>
      <c r="D4458" s="16" t="s">
        <v>64</v>
      </c>
      <c r="E4458" s="17" t="s">
        <v>47</v>
      </c>
      <c r="F4458" s="18" t="s">
        <v>34</v>
      </c>
      <c r="G4458" s="19"/>
      <c r="H4458" s="17" t="s">
        <v>35</v>
      </c>
      <c r="I4458" s="17" t="s">
        <v>44</v>
      </c>
      <c r="J4458" s="17"/>
      <c r="K4458" s="17" t="e">
        <f aca="false">VLOOKUP(J4458,Sheet2!A:B,2,0)</f>
        <v>#N/A</v>
      </c>
      <c r="L4458" s="17" t="n">
        <v>5</v>
      </c>
      <c r="M4458" s="17" t="str">
        <f aca="false">VLOOKUP(L4458,Sheet2!D:E,2,0)</f>
        <v>Main Processor CPU BGA</v>
      </c>
      <c r="N4458" s="17" t="n">
        <v>1</v>
      </c>
      <c r="O4458" s="17" t="str">
        <f aca="false">VLOOKUP(N4458,Sheet2!G:H,2,0)</f>
        <v>Dead</v>
      </c>
      <c r="P4458" s="17" t="n">
        <v>11</v>
      </c>
      <c r="Q4458" s="17" t="str">
        <f aca="false">VLOOKUP(P4458,Sheet2!J:K,2,0)</f>
        <v>IR Declared due to CID -TA</v>
      </c>
      <c r="R4458" s="17" t="s">
        <v>35</v>
      </c>
      <c r="S4458" s="17" t="str">
        <f aca="false">VLOOKUP(R4458,Sheet2!N:O,2,0)</f>
        <v>IREPARABLE</v>
      </c>
      <c r="T4458" s="18" t="str">
        <f aca="false">VLOOKUP(P4458,Sheet2!Q:R,2,0)</f>
        <v>IR Normal - Track burn out</v>
      </c>
      <c r="U4458" s="20" t="s">
        <v>41</v>
      </c>
      <c r="V4458" s="17"/>
      <c r="W4458" s="20" t="e">
        <f aca="false">VLOOKUP(V4458,Sheet2!Q:R,2,0)</f>
        <v>#N/A</v>
      </c>
      <c r="X4458" s="17" t="n">
        <f aca="false">J4458</f>
        <v>0</v>
      </c>
      <c r="Y4458" s="17" t="e">
        <f aca="false">VLOOKUP(X4458,Sheet2!A:B,2,0)</f>
        <v>#N/A</v>
      </c>
      <c r="Z4458" s="17"/>
      <c r="AA4458" s="17"/>
      <c r="AC4458" s="23" t="str">
        <f aca="false">LEFT(G4458,2)</f>
        <v/>
      </c>
    </row>
    <row r="4459" customFormat="false" ht="15" hidden="false" customHeight="false" outlineLevel="0" collapsed="false">
      <c r="A4459" s="13" t="n">
        <f aca="false">1+A4458</f>
        <v>4457</v>
      </c>
      <c r="B4459" s="14" t="n">
        <v>100</v>
      </c>
      <c r="C4459" s="15"/>
      <c r="D4459" s="16" t="s">
        <v>64</v>
      </c>
      <c r="E4459" s="17" t="s">
        <v>47</v>
      </c>
      <c r="F4459" s="18" t="s">
        <v>34</v>
      </c>
      <c r="G4459" s="19"/>
      <c r="H4459" s="17" t="s">
        <v>35</v>
      </c>
      <c r="I4459" s="17" t="s">
        <v>44</v>
      </c>
      <c r="J4459" s="17"/>
      <c r="K4459" s="17" t="e">
        <f aca="false">VLOOKUP(J4459,Sheet2!A:B,2,0)</f>
        <v>#N/A</v>
      </c>
      <c r="L4459" s="17" t="n">
        <v>5</v>
      </c>
      <c r="M4459" s="17" t="str">
        <f aca="false">VLOOKUP(L4459,Sheet2!D:E,2,0)</f>
        <v>Main Processor CPU BGA</v>
      </c>
      <c r="N4459" s="17" t="n">
        <v>1</v>
      </c>
      <c r="O4459" s="17" t="str">
        <f aca="false">VLOOKUP(N4459,Sheet2!G:H,2,0)</f>
        <v>Dead</v>
      </c>
      <c r="P4459" s="17" t="n">
        <v>11</v>
      </c>
      <c r="Q4459" s="17" t="str">
        <f aca="false">VLOOKUP(P4459,Sheet2!J:K,2,0)</f>
        <v>IR Declared due to CID -TA</v>
      </c>
      <c r="R4459" s="17" t="s">
        <v>35</v>
      </c>
      <c r="S4459" s="17" t="str">
        <f aca="false">VLOOKUP(R4459,Sheet2!N:O,2,0)</f>
        <v>IREPARABLE</v>
      </c>
      <c r="T4459" s="18" t="str">
        <f aca="false">VLOOKUP(P4459,Sheet2!Q:R,2,0)</f>
        <v>IR Normal - Track burn out</v>
      </c>
      <c r="U4459" s="20" t="s">
        <v>41</v>
      </c>
      <c r="V4459" s="17"/>
      <c r="W4459" s="20" t="e">
        <f aca="false">VLOOKUP(V4459,Sheet2!Q:R,2,0)</f>
        <v>#N/A</v>
      </c>
      <c r="X4459" s="17" t="n">
        <f aca="false">J4459</f>
        <v>0</v>
      </c>
      <c r="Y4459" s="17" t="e">
        <f aca="false">VLOOKUP(X4459,Sheet2!A:B,2,0)</f>
        <v>#N/A</v>
      </c>
      <c r="Z4459" s="17"/>
      <c r="AA4459" s="17"/>
      <c r="AC4459" s="23" t="str">
        <f aca="false">LEFT(G4459,2)</f>
        <v/>
      </c>
    </row>
    <row r="4460" customFormat="false" ht="15" hidden="false" customHeight="false" outlineLevel="0" collapsed="false">
      <c r="A4460" s="13" t="n">
        <f aca="false">1+A4459</f>
        <v>4458</v>
      </c>
      <c r="B4460" s="14" t="n">
        <v>100</v>
      </c>
      <c r="C4460" s="15"/>
      <c r="D4460" s="16" t="s">
        <v>64</v>
      </c>
      <c r="E4460" s="17" t="s">
        <v>47</v>
      </c>
      <c r="F4460" s="18" t="s">
        <v>34</v>
      </c>
      <c r="G4460" s="19"/>
      <c r="H4460" s="17" t="s">
        <v>35</v>
      </c>
      <c r="I4460" s="17" t="s">
        <v>44</v>
      </c>
      <c r="J4460" s="17"/>
      <c r="K4460" s="17" t="e">
        <f aca="false">VLOOKUP(J4460,Sheet2!A:B,2,0)</f>
        <v>#N/A</v>
      </c>
      <c r="L4460" s="17" t="n">
        <v>5</v>
      </c>
      <c r="M4460" s="17" t="str">
        <f aca="false">VLOOKUP(L4460,Sheet2!D:E,2,0)</f>
        <v>Main Processor CPU BGA</v>
      </c>
      <c r="N4460" s="17" t="n">
        <v>1</v>
      </c>
      <c r="O4460" s="17" t="str">
        <f aca="false">VLOOKUP(N4460,Sheet2!G:H,2,0)</f>
        <v>Dead</v>
      </c>
      <c r="P4460" s="17" t="n">
        <v>11</v>
      </c>
      <c r="Q4460" s="17" t="str">
        <f aca="false">VLOOKUP(P4460,Sheet2!J:K,2,0)</f>
        <v>IR Declared due to CID -TA</v>
      </c>
      <c r="R4460" s="17" t="s">
        <v>35</v>
      </c>
      <c r="S4460" s="17" t="str">
        <f aca="false">VLOOKUP(R4460,Sheet2!N:O,2,0)</f>
        <v>IREPARABLE</v>
      </c>
      <c r="T4460" s="18" t="str">
        <f aca="false">VLOOKUP(P4460,Sheet2!Q:R,2,0)</f>
        <v>IR Normal - Track burn out</v>
      </c>
      <c r="U4460" s="20" t="s">
        <v>41</v>
      </c>
      <c r="V4460" s="17"/>
      <c r="W4460" s="20" t="e">
        <f aca="false">VLOOKUP(V4460,Sheet2!Q:R,2,0)</f>
        <v>#N/A</v>
      </c>
      <c r="X4460" s="17" t="n">
        <f aca="false">J4460</f>
        <v>0</v>
      </c>
      <c r="Y4460" s="17" t="e">
        <f aca="false">VLOOKUP(X4460,Sheet2!A:B,2,0)</f>
        <v>#N/A</v>
      </c>
      <c r="Z4460" s="17"/>
      <c r="AA4460" s="17"/>
      <c r="AC4460" s="23" t="str">
        <f aca="false">LEFT(G4460,2)</f>
        <v/>
      </c>
    </row>
    <row r="4461" customFormat="false" ht="15" hidden="false" customHeight="false" outlineLevel="0" collapsed="false">
      <c r="A4461" s="13" t="n">
        <f aca="false">1+A4460</f>
        <v>4459</v>
      </c>
      <c r="B4461" s="14" t="n">
        <v>100</v>
      </c>
      <c r="C4461" s="15"/>
      <c r="D4461" s="16" t="s">
        <v>64</v>
      </c>
      <c r="E4461" s="17" t="s">
        <v>47</v>
      </c>
      <c r="F4461" s="18" t="s">
        <v>34</v>
      </c>
      <c r="G4461" s="19"/>
      <c r="H4461" s="17" t="s">
        <v>35</v>
      </c>
      <c r="I4461" s="17" t="s">
        <v>44</v>
      </c>
      <c r="J4461" s="17"/>
      <c r="K4461" s="17" t="e">
        <f aca="false">VLOOKUP(J4461,Sheet2!A:B,2,0)</f>
        <v>#N/A</v>
      </c>
      <c r="L4461" s="17" t="n">
        <v>5</v>
      </c>
      <c r="M4461" s="17" t="str">
        <f aca="false">VLOOKUP(L4461,Sheet2!D:E,2,0)</f>
        <v>Main Processor CPU BGA</v>
      </c>
      <c r="N4461" s="17" t="n">
        <v>1</v>
      </c>
      <c r="O4461" s="17" t="str">
        <f aca="false">VLOOKUP(N4461,Sheet2!G:H,2,0)</f>
        <v>Dead</v>
      </c>
      <c r="P4461" s="17" t="n">
        <v>11</v>
      </c>
      <c r="Q4461" s="17" t="str">
        <f aca="false">VLOOKUP(P4461,Sheet2!J:K,2,0)</f>
        <v>IR Declared due to CID -TA</v>
      </c>
      <c r="R4461" s="17" t="s">
        <v>35</v>
      </c>
      <c r="S4461" s="17" t="str">
        <f aca="false">VLOOKUP(R4461,Sheet2!N:O,2,0)</f>
        <v>IREPARABLE</v>
      </c>
      <c r="T4461" s="18" t="str">
        <f aca="false">VLOOKUP(P4461,Sheet2!Q:R,2,0)</f>
        <v>IR Normal - Track burn out</v>
      </c>
      <c r="U4461" s="20" t="s">
        <v>41</v>
      </c>
      <c r="V4461" s="17"/>
      <c r="W4461" s="20" t="e">
        <f aca="false">VLOOKUP(V4461,Sheet2!Q:R,2,0)</f>
        <v>#N/A</v>
      </c>
      <c r="X4461" s="17" t="n">
        <f aca="false">J4461</f>
        <v>0</v>
      </c>
      <c r="Y4461" s="17" t="e">
        <f aca="false">VLOOKUP(X4461,Sheet2!A:B,2,0)</f>
        <v>#N/A</v>
      </c>
      <c r="Z4461" s="17"/>
      <c r="AA4461" s="17"/>
      <c r="AC4461" s="23" t="str">
        <f aca="false">LEFT(G4461,2)</f>
        <v/>
      </c>
    </row>
    <row r="4462" customFormat="false" ht="15" hidden="false" customHeight="false" outlineLevel="0" collapsed="false">
      <c r="A4462" s="13" t="n">
        <f aca="false">1+A4461</f>
        <v>4460</v>
      </c>
      <c r="B4462" s="14" t="n">
        <v>100</v>
      </c>
      <c r="C4462" s="15"/>
      <c r="D4462" s="16" t="s">
        <v>64</v>
      </c>
      <c r="E4462" s="17" t="s">
        <v>47</v>
      </c>
      <c r="F4462" s="18" t="s">
        <v>34</v>
      </c>
      <c r="G4462" s="19"/>
      <c r="H4462" s="17" t="s">
        <v>35</v>
      </c>
      <c r="I4462" s="17" t="s">
        <v>44</v>
      </c>
      <c r="J4462" s="17"/>
      <c r="K4462" s="17" t="e">
        <f aca="false">VLOOKUP(J4462,Sheet2!A:B,2,0)</f>
        <v>#N/A</v>
      </c>
      <c r="L4462" s="17" t="n">
        <v>5</v>
      </c>
      <c r="M4462" s="17" t="str">
        <f aca="false">VLOOKUP(L4462,Sheet2!D:E,2,0)</f>
        <v>Main Processor CPU BGA</v>
      </c>
      <c r="N4462" s="17" t="n">
        <v>1</v>
      </c>
      <c r="O4462" s="17" t="str">
        <f aca="false">VLOOKUP(N4462,Sheet2!G:H,2,0)</f>
        <v>Dead</v>
      </c>
      <c r="P4462" s="17" t="n">
        <v>11</v>
      </c>
      <c r="Q4462" s="17" t="str">
        <f aca="false">VLOOKUP(P4462,Sheet2!J:K,2,0)</f>
        <v>IR Declared due to CID -TA</v>
      </c>
      <c r="R4462" s="17" t="s">
        <v>35</v>
      </c>
      <c r="S4462" s="17" t="str">
        <f aca="false">VLOOKUP(R4462,Sheet2!N:O,2,0)</f>
        <v>IREPARABLE</v>
      </c>
      <c r="T4462" s="18" t="str">
        <f aca="false">VLOOKUP(P4462,Sheet2!Q:R,2,0)</f>
        <v>IR Normal - Track burn out</v>
      </c>
      <c r="U4462" s="20" t="s">
        <v>41</v>
      </c>
      <c r="V4462" s="17"/>
      <c r="W4462" s="20" t="e">
        <f aca="false">VLOOKUP(V4462,Sheet2!Q:R,2,0)</f>
        <v>#N/A</v>
      </c>
      <c r="X4462" s="17" t="n">
        <f aca="false">J4462</f>
        <v>0</v>
      </c>
      <c r="Y4462" s="17" t="e">
        <f aca="false">VLOOKUP(X4462,Sheet2!A:B,2,0)</f>
        <v>#N/A</v>
      </c>
      <c r="Z4462" s="17"/>
      <c r="AA4462" s="17"/>
      <c r="AC4462" s="23" t="str">
        <f aca="false">LEFT(G4462,2)</f>
        <v/>
      </c>
    </row>
    <row r="4463" customFormat="false" ht="15" hidden="false" customHeight="false" outlineLevel="0" collapsed="false">
      <c r="A4463" s="13" t="n">
        <f aca="false">1+A4462</f>
        <v>4461</v>
      </c>
      <c r="B4463" s="14" t="n">
        <v>100</v>
      </c>
      <c r="C4463" s="15"/>
      <c r="D4463" s="16" t="s">
        <v>64</v>
      </c>
      <c r="E4463" s="17" t="s">
        <v>47</v>
      </c>
      <c r="F4463" s="18" t="s">
        <v>34</v>
      </c>
      <c r="G4463" s="19"/>
      <c r="H4463" s="17" t="s">
        <v>35</v>
      </c>
      <c r="I4463" s="17" t="s">
        <v>44</v>
      </c>
      <c r="J4463" s="17"/>
      <c r="K4463" s="17" t="e">
        <f aca="false">VLOOKUP(J4463,Sheet2!A:B,2,0)</f>
        <v>#N/A</v>
      </c>
      <c r="L4463" s="17" t="n">
        <v>5</v>
      </c>
      <c r="M4463" s="17" t="str">
        <f aca="false">VLOOKUP(L4463,Sheet2!D:E,2,0)</f>
        <v>Main Processor CPU BGA</v>
      </c>
      <c r="N4463" s="17" t="n">
        <v>1</v>
      </c>
      <c r="O4463" s="17" t="str">
        <f aca="false">VLOOKUP(N4463,Sheet2!G:H,2,0)</f>
        <v>Dead</v>
      </c>
      <c r="P4463" s="17" t="n">
        <v>11</v>
      </c>
      <c r="Q4463" s="17" t="str">
        <f aca="false">VLOOKUP(P4463,Sheet2!J:K,2,0)</f>
        <v>IR Declared due to CID -TA</v>
      </c>
      <c r="R4463" s="17" t="s">
        <v>35</v>
      </c>
      <c r="S4463" s="17" t="str">
        <f aca="false">VLOOKUP(R4463,Sheet2!N:O,2,0)</f>
        <v>IREPARABLE</v>
      </c>
      <c r="T4463" s="18" t="str">
        <f aca="false">VLOOKUP(P4463,Sheet2!Q:R,2,0)</f>
        <v>IR Normal - Track burn out</v>
      </c>
      <c r="U4463" s="20" t="s">
        <v>41</v>
      </c>
      <c r="V4463" s="17"/>
      <c r="W4463" s="20" t="e">
        <f aca="false">VLOOKUP(V4463,Sheet2!Q:R,2,0)</f>
        <v>#N/A</v>
      </c>
      <c r="X4463" s="17" t="n">
        <f aca="false">J4463</f>
        <v>0</v>
      </c>
      <c r="Y4463" s="17" t="e">
        <f aca="false">VLOOKUP(X4463,Sheet2!A:B,2,0)</f>
        <v>#N/A</v>
      </c>
      <c r="Z4463" s="17"/>
      <c r="AA4463" s="17"/>
      <c r="AC4463" s="23" t="str">
        <f aca="false">LEFT(G4463,2)</f>
        <v/>
      </c>
    </row>
    <row r="4464" customFormat="false" ht="15" hidden="false" customHeight="false" outlineLevel="0" collapsed="false">
      <c r="A4464" s="13" t="n">
        <f aca="false">1+A4463</f>
        <v>4462</v>
      </c>
      <c r="B4464" s="14" t="n">
        <v>100</v>
      </c>
      <c r="C4464" s="15"/>
      <c r="D4464" s="16" t="s">
        <v>64</v>
      </c>
      <c r="E4464" s="17" t="s">
        <v>47</v>
      </c>
      <c r="F4464" s="18" t="s">
        <v>34</v>
      </c>
      <c r="G4464" s="19"/>
      <c r="H4464" s="17" t="s">
        <v>35</v>
      </c>
      <c r="I4464" s="17" t="s">
        <v>44</v>
      </c>
      <c r="J4464" s="17"/>
      <c r="K4464" s="17" t="e">
        <f aca="false">VLOOKUP(J4464,Sheet2!A:B,2,0)</f>
        <v>#N/A</v>
      </c>
      <c r="L4464" s="17" t="n">
        <v>5</v>
      </c>
      <c r="M4464" s="17" t="str">
        <f aca="false">VLOOKUP(L4464,Sheet2!D:E,2,0)</f>
        <v>Main Processor CPU BGA</v>
      </c>
      <c r="N4464" s="17" t="n">
        <v>1</v>
      </c>
      <c r="O4464" s="17" t="str">
        <f aca="false">VLOOKUP(N4464,Sheet2!G:H,2,0)</f>
        <v>Dead</v>
      </c>
      <c r="P4464" s="17" t="n">
        <v>11</v>
      </c>
      <c r="Q4464" s="17" t="str">
        <f aca="false">VLOOKUP(P4464,Sheet2!J:K,2,0)</f>
        <v>IR Declared due to CID -TA</v>
      </c>
      <c r="R4464" s="17" t="s">
        <v>35</v>
      </c>
      <c r="S4464" s="17" t="str">
        <f aca="false">VLOOKUP(R4464,Sheet2!N:O,2,0)</f>
        <v>IREPARABLE</v>
      </c>
      <c r="T4464" s="18" t="str">
        <f aca="false">VLOOKUP(P4464,Sheet2!Q:R,2,0)</f>
        <v>IR Normal - Track burn out</v>
      </c>
      <c r="U4464" s="20" t="s">
        <v>41</v>
      </c>
      <c r="V4464" s="17"/>
      <c r="W4464" s="20" t="e">
        <f aca="false">VLOOKUP(V4464,Sheet2!Q:R,2,0)</f>
        <v>#N/A</v>
      </c>
      <c r="X4464" s="17" t="n">
        <f aca="false">J4464</f>
        <v>0</v>
      </c>
      <c r="Y4464" s="17" t="e">
        <f aca="false">VLOOKUP(X4464,Sheet2!A:B,2,0)</f>
        <v>#N/A</v>
      </c>
      <c r="Z4464" s="17"/>
      <c r="AA4464" s="17"/>
      <c r="AC4464" s="23" t="str">
        <f aca="false">LEFT(G4464,2)</f>
        <v/>
      </c>
    </row>
    <row r="4465" customFormat="false" ht="15" hidden="false" customHeight="false" outlineLevel="0" collapsed="false">
      <c r="A4465" s="13" t="n">
        <f aca="false">1+A4464</f>
        <v>4463</v>
      </c>
      <c r="B4465" s="14" t="n">
        <v>100</v>
      </c>
      <c r="C4465" s="15"/>
      <c r="D4465" s="16" t="s">
        <v>64</v>
      </c>
      <c r="E4465" s="17" t="s">
        <v>47</v>
      </c>
      <c r="F4465" s="18" t="s">
        <v>34</v>
      </c>
      <c r="G4465" s="19"/>
      <c r="H4465" s="17" t="s">
        <v>35</v>
      </c>
      <c r="I4465" s="17" t="s">
        <v>44</v>
      </c>
      <c r="J4465" s="17"/>
      <c r="K4465" s="17" t="e">
        <f aca="false">VLOOKUP(J4465,Sheet2!A:B,2,0)</f>
        <v>#N/A</v>
      </c>
      <c r="L4465" s="17" t="n">
        <v>5</v>
      </c>
      <c r="M4465" s="17" t="str">
        <f aca="false">VLOOKUP(L4465,Sheet2!D:E,2,0)</f>
        <v>Main Processor CPU BGA</v>
      </c>
      <c r="N4465" s="17" t="n">
        <v>1</v>
      </c>
      <c r="O4465" s="17" t="str">
        <f aca="false">VLOOKUP(N4465,Sheet2!G:H,2,0)</f>
        <v>Dead</v>
      </c>
      <c r="P4465" s="17" t="n">
        <v>11</v>
      </c>
      <c r="Q4465" s="17" t="str">
        <f aca="false">VLOOKUP(P4465,Sheet2!J:K,2,0)</f>
        <v>IR Declared due to CID -TA</v>
      </c>
      <c r="R4465" s="17" t="s">
        <v>35</v>
      </c>
      <c r="S4465" s="17" t="str">
        <f aca="false">VLOOKUP(R4465,Sheet2!N:O,2,0)</f>
        <v>IREPARABLE</v>
      </c>
      <c r="T4465" s="18" t="str">
        <f aca="false">VLOOKUP(P4465,Sheet2!Q:R,2,0)</f>
        <v>IR Normal - Track burn out</v>
      </c>
      <c r="U4465" s="20" t="s">
        <v>41</v>
      </c>
      <c r="V4465" s="17"/>
      <c r="W4465" s="20" t="e">
        <f aca="false">VLOOKUP(V4465,Sheet2!Q:R,2,0)</f>
        <v>#N/A</v>
      </c>
      <c r="X4465" s="17" t="n">
        <f aca="false">J4465</f>
        <v>0</v>
      </c>
      <c r="Y4465" s="17" t="e">
        <f aca="false">VLOOKUP(X4465,Sheet2!A:B,2,0)</f>
        <v>#N/A</v>
      </c>
      <c r="Z4465" s="17"/>
      <c r="AA4465" s="17"/>
      <c r="AC4465" s="23" t="str">
        <f aca="false">LEFT(G4465,2)</f>
        <v/>
      </c>
    </row>
    <row r="4466" customFormat="false" ht="15" hidden="false" customHeight="false" outlineLevel="0" collapsed="false">
      <c r="A4466" s="13" t="n">
        <f aca="false">1+A4465</f>
        <v>4464</v>
      </c>
      <c r="B4466" s="14" t="n">
        <v>100</v>
      </c>
      <c r="C4466" s="15"/>
      <c r="D4466" s="16" t="s">
        <v>64</v>
      </c>
      <c r="E4466" s="17" t="s">
        <v>47</v>
      </c>
      <c r="F4466" s="18" t="s">
        <v>34</v>
      </c>
      <c r="G4466" s="19"/>
      <c r="H4466" s="17" t="s">
        <v>35</v>
      </c>
      <c r="I4466" s="17" t="s">
        <v>44</v>
      </c>
      <c r="J4466" s="17"/>
      <c r="K4466" s="17" t="e">
        <f aca="false">VLOOKUP(J4466,Sheet2!A:B,2,0)</f>
        <v>#N/A</v>
      </c>
      <c r="L4466" s="17" t="n">
        <v>5</v>
      </c>
      <c r="M4466" s="17" t="str">
        <f aca="false">VLOOKUP(L4466,Sheet2!D:E,2,0)</f>
        <v>Main Processor CPU BGA</v>
      </c>
      <c r="N4466" s="17" t="n">
        <v>1</v>
      </c>
      <c r="O4466" s="17" t="str">
        <f aca="false">VLOOKUP(N4466,Sheet2!G:H,2,0)</f>
        <v>Dead</v>
      </c>
      <c r="P4466" s="17" t="n">
        <v>11</v>
      </c>
      <c r="Q4466" s="17" t="str">
        <f aca="false">VLOOKUP(P4466,Sheet2!J:K,2,0)</f>
        <v>IR Declared due to CID -TA</v>
      </c>
      <c r="R4466" s="17" t="s">
        <v>35</v>
      </c>
      <c r="S4466" s="17" t="str">
        <f aca="false">VLOOKUP(R4466,Sheet2!N:O,2,0)</f>
        <v>IREPARABLE</v>
      </c>
      <c r="T4466" s="18" t="str">
        <f aca="false">VLOOKUP(P4466,Sheet2!Q:R,2,0)</f>
        <v>IR Normal - Track burn out</v>
      </c>
      <c r="U4466" s="20" t="s">
        <v>41</v>
      </c>
      <c r="V4466" s="17"/>
      <c r="W4466" s="20" t="e">
        <f aca="false">VLOOKUP(V4466,Sheet2!Q:R,2,0)</f>
        <v>#N/A</v>
      </c>
      <c r="X4466" s="17" t="n">
        <f aca="false">J4466</f>
        <v>0</v>
      </c>
      <c r="Y4466" s="17" t="e">
        <f aca="false">VLOOKUP(X4466,Sheet2!A:B,2,0)</f>
        <v>#N/A</v>
      </c>
      <c r="Z4466" s="17"/>
      <c r="AA4466" s="17"/>
      <c r="AC4466" s="23" t="str">
        <f aca="false">LEFT(G4466,2)</f>
        <v/>
      </c>
    </row>
    <row r="4467" customFormat="false" ht="15" hidden="false" customHeight="false" outlineLevel="0" collapsed="false">
      <c r="A4467" s="13" t="n">
        <f aca="false">1+A4466</f>
        <v>4465</v>
      </c>
      <c r="B4467" s="14" t="n">
        <v>100</v>
      </c>
      <c r="C4467" s="15"/>
      <c r="D4467" s="16" t="s">
        <v>64</v>
      </c>
      <c r="E4467" s="17" t="s">
        <v>47</v>
      </c>
      <c r="F4467" s="18" t="s">
        <v>34</v>
      </c>
      <c r="G4467" s="19"/>
      <c r="H4467" s="17" t="s">
        <v>35</v>
      </c>
      <c r="I4467" s="17" t="s">
        <v>44</v>
      </c>
      <c r="J4467" s="17"/>
      <c r="K4467" s="17" t="e">
        <f aca="false">VLOOKUP(J4467,Sheet2!A:B,2,0)</f>
        <v>#N/A</v>
      </c>
      <c r="L4467" s="17" t="n">
        <v>5</v>
      </c>
      <c r="M4467" s="17" t="str">
        <f aca="false">VLOOKUP(L4467,Sheet2!D:E,2,0)</f>
        <v>Main Processor CPU BGA</v>
      </c>
      <c r="N4467" s="17" t="n">
        <v>1</v>
      </c>
      <c r="O4467" s="17" t="str">
        <f aca="false">VLOOKUP(N4467,Sheet2!G:H,2,0)</f>
        <v>Dead</v>
      </c>
      <c r="P4467" s="17" t="n">
        <v>11</v>
      </c>
      <c r="Q4467" s="17" t="str">
        <f aca="false">VLOOKUP(P4467,Sheet2!J:K,2,0)</f>
        <v>IR Declared due to CID -TA</v>
      </c>
      <c r="R4467" s="17" t="s">
        <v>35</v>
      </c>
      <c r="S4467" s="17" t="str">
        <f aca="false">VLOOKUP(R4467,Sheet2!N:O,2,0)</f>
        <v>IREPARABLE</v>
      </c>
      <c r="T4467" s="18" t="str">
        <f aca="false">VLOOKUP(P4467,Sheet2!Q:R,2,0)</f>
        <v>IR Normal - Track burn out</v>
      </c>
      <c r="U4467" s="20" t="s">
        <v>41</v>
      </c>
      <c r="V4467" s="17"/>
      <c r="W4467" s="20" t="e">
        <f aca="false">VLOOKUP(V4467,Sheet2!Q:R,2,0)</f>
        <v>#N/A</v>
      </c>
      <c r="X4467" s="17" t="n">
        <f aca="false">J4467</f>
        <v>0</v>
      </c>
      <c r="Y4467" s="17" t="e">
        <f aca="false">VLOOKUP(X4467,Sheet2!A:B,2,0)</f>
        <v>#N/A</v>
      </c>
      <c r="Z4467" s="17"/>
      <c r="AA4467" s="17"/>
      <c r="AC4467" s="23" t="str">
        <f aca="false">LEFT(G4467,2)</f>
        <v/>
      </c>
    </row>
    <row r="4468" customFormat="false" ht="15" hidden="false" customHeight="false" outlineLevel="0" collapsed="false">
      <c r="A4468" s="13" t="n">
        <f aca="false">1+A4467</f>
        <v>4466</v>
      </c>
      <c r="B4468" s="14" t="n">
        <v>100</v>
      </c>
      <c r="C4468" s="15"/>
      <c r="D4468" s="16" t="s">
        <v>64</v>
      </c>
      <c r="E4468" s="17" t="s">
        <v>47</v>
      </c>
      <c r="F4468" s="18" t="s">
        <v>34</v>
      </c>
      <c r="G4468" s="19"/>
      <c r="H4468" s="17" t="s">
        <v>35</v>
      </c>
      <c r="I4468" s="17" t="s">
        <v>44</v>
      </c>
      <c r="J4468" s="17"/>
      <c r="K4468" s="17" t="e">
        <f aca="false">VLOOKUP(J4468,Sheet2!A:B,2,0)</f>
        <v>#N/A</v>
      </c>
      <c r="L4468" s="17" t="n">
        <v>5</v>
      </c>
      <c r="M4468" s="17" t="str">
        <f aca="false">VLOOKUP(L4468,Sheet2!D:E,2,0)</f>
        <v>Main Processor CPU BGA</v>
      </c>
      <c r="N4468" s="17" t="n">
        <v>1</v>
      </c>
      <c r="O4468" s="17" t="str">
        <f aca="false">VLOOKUP(N4468,Sheet2!G:H,2,0)</f>
        <v>Dead</v>
      </c>
      <c r="P4468" s="17" t="n">
        <v>11</v>
      </c>
      <c r="Q4468" s="17" t="str">
        <f aca="false">VLOOKUP(P4468,Sheet2!J:K,2,0)</f>
        <v>IR Declared due to CID -TA</v>
      </c>
      <c r="R4468" s="17" t="s">
        <v>35</v>
      </c>
      <c r="S4468" s="17" t="str">
        <f aca="false">VLOOKUP(R4468,Sheet2!N:O,2,0)</f>
        <v>IREPARABLE</v>
      </c>
      <c r="T4468" s="18" t="str">
        <f aca="false">VLOOKUP(P4468,Sheet2!Q:R,2,0)</f>
        <v>IR Normal - Track burn out</v>
      </c>
      <c r="U4468" s="20" t="s">
        <v>41</v>
      </c>
      <c r="V4468" s="17"/>
      <c r="W4468" s="20" t="e">
        <f aca="false">VLOOKUP(V4468,Sheet2!Q:R,2,0)</f>
        <v>#N/A</v>
      </c>
      <c r="X4468" s="17" t="n">
        <f aca="false">J4468</f>
        <v>0</v>
      </c>
      <c r="Y4468" s="17" t="e">
        <f aca="false">VLOOKUP(X4468,Sheet2!A:B,2,0)</f>
        <v>#N/A</v>
      </c>
      <c r="Z4468" s="17"/>
      <c r="AA4468" s="17"/>
      <c r="AC4468" s="23" t="str">
        <f aca="false">LEFT(G4468,2)</f>
        <v/>
      </c>
    </row>
    <row r="4469" customFormat="false" ht="15" hidden="false" customHeight="false" outlineLevel="0" collapsed="false">
      <c r="A4469" s="13" t="n">
        <f aca="false">1+A4468</f>
        <v>4467</v>
      </c>
      <c r="B4469" s="14" t="n">
        <v>100</v>
      </c>
      <c r="C4469" s="15"/>
      <c r="D4469" s="16" t="s">
        <v>64</v>
      </c>
      <c r="E4469" s="17" t="s">
        <v>47</v>
      </c>
      <c r="F4469" s="18" t="s">
        <v>34</v>
      </c>
      <c r="G4469" s="19"/>
      <c r="H4469" s="17" t="s">
        <v>35</v>
      </c>
      <c r="I4469" s="17" t="s">
        <v>44</v>
      </c>
      <c r="J4469" s="17"/>
      <c r="K4469" s="17" t="e">
        <f aca="false">VLOOKUP(J4469,Sheet2!A:B,2,0)</f>
        <v>#N/A</v>
      </c>
      <c r="L4469" s="17" t="n">
        <v>5</v>
      </c>
      <c r="M4469" s="17" t="str">
        <f aca="false">VLOOKUP(L4469,Sheet2!D:E,2,0)</f>
        <v>Main Processor CPU BGA</v>
      </c>
      <c r="N4469" s="17" t="n">
        <v>1</v>
      </c>
      <c r="O4469" s="17" t="str">
        <f aca="false">VLOOKUP(N4469,Sheet2!G:H,2,0)</f>
        <v>Dead</v>
      </c>
      <c r="P4469" s="17" t="n">
        <v>11</v>
      </c>
      <c r="Q4469" s="17" t="str">
        <f aca="false">VLOOKUP(P4469,Sheet2!J:K,2,0)</f>
        <v>IR Declared due to CID -TA</v>
      </c>
      <c r="R4469" s="17" t="s">
        <v>35</v>
      </c>
      <c r="S4469" s="17" t="str">
        <f aca="false">VLOOKUP(R4469,Sheet2!N:O,2,0)</f>
        <v>IREPARABLE</v>
      </c>
      <c r="T4469" s="18" t="str">
        <f aca="false">VLOOKUP(P4469,Sheet2!Q:R,2,0)</f>
        <v>IR Normal - Track burn out</v>
      </c>
      <c r="U4469" s="20" t="s">
        <v>41</v>
      </c>
      <c r="V4469" s="17"/>
      <c r="W4469" s="20" t="e">
        <f aca="false">VLOOKUP(V4469,Sheet2!Q:R,2,0)</f>
        <v>#N/A</v>
      </c>
      <c r="X4469" s="17" t="n">
        <f aca="false">J4469</f>
        <v>0</v>
      </c>
      <c r="Y4469" s="17" t="e">
        <f aca="false">VLOOKUP(X4469,Sheet2!A:B,2,0)</f>
        <v>#N/A</v>
      </c>
      <c r="Z4469" s="17"/>
      <c r="AA4469" s="17"/>
      <c r="AC4469" s="23" t="str">
        <f aca="false">LEFT(G4469,2)</f>
        <v/>
      </c>
    </row>
    <row r="4470" customFormat="false" ht="15" hidden="false" customHeight="false" outlineLevel="0" collapsed="false">
      <c r="A4470" s="13" t="n">
        <f aca="false">1+A4469</f>
        <v>4468</v>
      </c>
      <c r="B4470" s="14" t="n">
        <v>100</v>
      </c>
      <c r="C4470" s="15"/>
      <c r="D4470" s="16" t="s">
        <v>64</v>
      </c>
      <c r="E4470" s="17" t="s">
        <v>47</v>
      </c>
      <c r="F4470" s="18" t="s">
        <v>34</v>
      </c>
      <c r="G4470" s="19"/>
      <c r="H4470" s="17" t="s">
        <v>35</v>
      </c>
      <c r="I4470" s="17" t="s">
        <v>44</v>
      </c>
      <c r="J4470" s="17"/>
      <c r="K4470" s="17" t="e">
        <f aca="false">VLOOKUP(J4470,Sheet2!A:B,2,0)</f>
        <v>#N/A</v>
      </c>
      <c r="L4470" s="17" t="n">
        <v>5</v>
      </c>
      <c r="M4470" s="17" t="str">
        <f aca="false">VLOOKUP(L4470,Sheet2!D:E,2,0)</f>
        <v>Main Processor CPU BGA</v>
      </c>
      <c r="N4470" s="17" t="n">
        <v>1</v>
      </c>
      <c r="O4470" s="17" t="str">
        <f aca="false">VLOOKUP(N4470,Sheet2!G:H,2,0)</f>
        <v>Dead</v>
      </c>
      <c r="P4470" s="17" t="n">
        <v>11</v>
      </c>
      <c r="Q4470" s="17" t="str">
        <f aca="false">VLOOKUP(P4470,Sheet2!J:K,2,0)</f>
        <v>IR Declared due to CID -TA</v>
      </c>
      <c r="R4470" s="17" t="s">
        <v>35</v>
      </c>
      <c r="S4470" s="17" t="str">
        <f aca="false">VLOOKUP(R4470,Sheet2!N:O,2,0)</f>
        <v>IREPARABLE</v>
      </c>
      <c r="T4470" s="18" t="str">
        <f aca="false">VLOOKUP(P4470,Sheet2!Q:R,2,0)</f>
        <v>IR Normal - Track burn out</v>
      </c>
      <c r="U4470" s="20" t="s">
        <v>41</v>
      </c>
      <c r="V4470" s="17"/>
      <c r="W4470" s="20" t="e">
        <f aca="false">VLOOKUP(V4470,Sheet2!Q:R,2,0)</f>
        <v>#N/A</v>
      </c>
      <c r="X4470" s="17" t="n">
        <f aca="false">J4470</f>
        <v>0</v>
      </c>
      <c r="Y4470" s="17" t="e">
        <f aca="false">VLOOKUP(X4470,Sheet2!A:B,2,0)</f>
        <v>#N/A</v>
      </c>
      <c r="Z4470" s="17"/>
      <c r="AA4470" s="17"/>
      <c r="AC4470" s="23" t="str">
        <f aca="false">LEFT(G4470,2)</f>
        <v/>
      </c>
    </row>
    <row r="4471" customFormat="false" ht="15" hidden="false" customHeight="false" outlineLevel="0" collapsed="false">
      <c r="A4471" s="13" t="n">
        <f aca="false">1+A4470</f>
        <v>4469</v>
      </c>
      <c r="B4471" s="14" t="n">
        <v>100</v>
      </c>
      <c r="C4471" s="15"/>
      <c r="D4471" s="16" t="s">
        <v>64</v>
      </c>
      <c r="E4471" s="17" t="s">
        <v>47</v>
      </c>
      <c r="F4471" s="18" t="s">
        <v>34</v>
      </c>
      <c r="G4471" s="19"/>
      <c r="H4471" s="17" t="s">
        <v>35</v>
      </c>
      <c r="I4471" s="17" t="s">
        <v>44</v>
      </c>
      <c r="J4471" s="17"/>
      <c r="K4471" s="17" t="e">
        <f aca="false">VLOOKUP(J4471,Sheet2!A:B,2,0)</f>
        <v>#N/A</v>
      </c>
      <c r="L4471" s="17" t="n">
        <v>5</v>
      </c>
      <c r="M4471" s="17" t="str">
        <f aca="false">VLOOKUP(L4471,Sheet2!D:E,2,0)</f>
        <v>Main Processor CPU BGA</v>
      </c>
      <c r="N4471" s="17" t="n">
        <v>1</v>
      </c>
      <c r="O4471" s="17" t="str">
        <f aca="false">VLOOKUP(N4471,Sheet2!G:H,2,0)</f>
        <v>Dead</v>
      </c>
      <c r="P4471" s="17" t="n">
        <v>11</v>
      </c>
      <c r="Q4471" s="17" t="str">
        <f aca="false">VLOOKUP(P4471,Sheet2!J:K,2,0)</f>
        <v>IR Declared due to CID -TA</v>
      </c>
      <c r="R4471" s="17" t="s">
        <v>35</v>
      </c>
      <c r="S4471" s="17" t="str">
        <f aca="false">VLOOKUP(R4471,Sheet2!N:O,2,0)</f>
        <v>IREPARABLE</v>
      </c>
      <c r="T4471" s="18" t="str">
        <f aca="false">VLOOKUP(P4471,Sheet2!Q:R,2,0)</f>
        <v>IR Normal - Track burn out</v>
      </c>
      <c r="U4471" s="20" t="s">
        <v>41</v>
      </c>
      <c r="V4471" s="17"/>
      <c r="W4471" s="20" t="e">
        <f aca="false">VLOOKUP(V4471,Sheet2!Q:R,2,0)</f>
        <v>#N/A</v>
      </c>
      <c r="X4471" s="17" t="n">
        <f aca="false">J4471</f>
        <v>0</v>
      </c>
      <c r="Y4471" s="17" t="e">
        <f aca="false">VLOOKUP(X4471,Sheet2!A:B,2,0)</f>
        <v>#N/A</v>
      </c>
      <c r="Z4471" s="17"/>
      <c r="AA4471" s="17"/>
      <c r="AC4471" s="23" t="str">
        <f aca="false">LEFT(G4471,2)</f>
        <v/>
      </c>
    </row>
    <row r="4472" customFormat="false" ht="15" hidden="false" customHeight="false" outlineLevel="0" collapsed="false">
      <c r="A4472" s="13" t="n">
        <f aca="false">1+A4471</f>
        <v>4470</v>
      </c>
      <c r="B4472" s="14" t="n">
        <v>100</v>
      </c>
      <c r="C4472" s="15"/>
      <c r="D4472" s="16" t="s">
        <v>64</v>
      </c>
      <c r="E4472" s="17" t="s">
        <v>47</v>
      </c>
      <c r="F4472" s="18" t="s">
        <v>34</v>
      </c>
      <c r="G4472" s="19"/>
      <c r="H4472" s="17" t="s">
        <v>35</v>
      </c>
      <c r="I4472" s="17" t="s">
        <v>44</v>
      </c>
      <c r="J4472" s="17"/>
      <c r="K4472" s="17" t="e">
        <f aca="false">VLOOKUP(J4472,Sheet2!A:B,2,0)</f>
        <v>#N/A</v>
      </c>
      <c r="L4472" s="17" t="n">
        <v>5</v>
      </c>
      <c r="M4472" s="17" t="str">
        <f aca="false">VLOOKUP(L4472,Sheet2!D:E,2,0)</f>
        <v>Main Processor CPU BGA</v>
      </c>
      <c r="N4472" s="17" t="n">
        <v>1</v>
      </c>
      <c r="O4472" s="17" t="str">
        <f aca="false">VLOOKUP(N4472,Sheet2!G:H,2,0)</f>
        <v>Dead</v>
      </c>
      <c r="P4472" s="17" t="n">
        <v>11</v>
      </c>
      <c r="Q4472" s="17" t="str">
        <f aca="false">VLOOKUP(P4472,Sheet2!J:K,2,0)</f>
        <v>IR Declared due to CID -TA</v>
      </c>
      <c r="R4472" s="17" t="s">
        <v>35</v>
      </c>
      <c r="S4472" s="17" t="str">
        <f aca="false">VLOOKUP(R4472,Sheet2!N:O,2,0)</f>
        <v>IREPARABLE</v>
      </c>
      <c r="T4472" s="18" t="str">
        <f aca="false">VLOOKUP(P4472,Sheet2!Q:R,2,0)</f>
        <v>IR Normal - Track burn out</v>
      </c>
      <c r="U4472" s="20" t="s">
        <v>41</v>
      </c>
      <c r="V4472" s="17"/>
      <c r="W4472" s="20" t="e">
        <f aca="false">VLOOKUP(V4472,Sheet2!Q:R,2,0)</f>
        <v>#N/A</v>
      </c>
      <c r="X4472" s="17" t="n">
        <f aca="false">J4472</f>
        <v>0</v>
      </c>
      <c r="Y4472" s="17" t="e">
        <f aca="false">VLOOKUP(X4472,Sheet2!A:B,2,0)</f>
        <v>#N/A</v>
      </c>
      <c r="Z4472" s="17"/>
      <c r="AA4472" s="17"/>
      <c r="AC4472" s="23" t="str">
        <f aca="false">LEFT(G4472,2)</f>
        <v/>
      </c>
    </row>
    <row r="4473" customFormat="false" ht="15" hidden="false" customHeight="false" outlineLevel="0" collapsed="false">
      <c r="A4473" s="13" t="n">
        <f aca="false">1+A4472</f>
        <v>4471</v>
      </c>
      <c r="B4473" s="14" t="n">
        <v>100</v>
      </c>
      <c r="C4473" s="15"/>
      <c r="D4473" s="16" t="s">
        <v>64</v>
      </c>
      <c r="E4473" s="17" t="s">
        <v>47</v>
      </c>
      <c r="F4473" s="18" t="s">
        <v>34</v>
      </c>
      <c r="G4473" s="19"/>
      <c r="H4473" s="17" t="s">
        <v>35</v>
      </c>
      <c r="I4473" s="17" t="s">
        <v>44</v>
      </c>
      <c r="J4473" s="17"/>
      <c r="K4473" s="17" t="e">
        <f aca="false">VLOOKUP(J4473,Sheet2!A:B,2,0)</f>
        <v>#N/A</v>
      </c>
      <c r="L4473" s="17" t="n">
        <v>5</v>
      </c>
      <c r="M4473" s="17" t="str">
        <f aca="false">VLOOKUP(L4473,Sheet2!D:E,2,0)</f>
        <v>Main Processor CPU BGA</v>
      </c>
      <c r="N4473" s="17" t="n">
        <v>1</v>
      </c>
      <c r="O4473" s="17" t="str">
        <f aca="false">VLOOKUP(N4473,Sheet2!G:H,2,0)</f>
        <v>Dead</v>
      </c>
      <c r="P4473" s="17" t="n">
        <v>11</v>
      </c>
      <c r="Q4473" s="17" t="str">
        <f aca="false">VLOOKUP(P4473,Sheet2!J:K,2,0)</f>
        <v>IR Declared due to CID -TA</v>
      </c>
      <c r="R4473" s="17" t="s">
        <v>35</v>
      </c>
      <c r="S4473" s="17" t="str">
        <f aca="false">VLOOKUP(R4473,Sheet2!N:O,2,0)</f>
        <v>IREPARABLE</v>
      </c>
      <c r="T4473" s="18" t="str">
        <f aca="false">VLOOKUP(P4473,Sheet2!Q:R,2,0)</f>
        <v>IR Normal - Track burn out</v>
      </c>
      <c r="U4473" s="20" t="s">
        <v>41</v>
      </c>
      <c r="V4473" s="17"/>
      <c r="W4473" s="20" t="e">
        <f aca="false">VLOOKUP(V4473,Sheet2!Q:R,2,0)</f>
        <v>#N/A</v>
      </c>
      <c r="X4473" s="17" t="n">
        <f aca="false">J4473</f>
        <v>0</v>
      </c>
      <c r="Y4473" s="17" t="e">
        <f aca="false">VLOOKUP(X4473,Sheet2!A:B,2,0)</f>
        <v>#N/A</v>
      </c>
      <c r="Z4473" s="17"/>
      <c r="AA4473" s="17"/>
      <c r="AC4473" s="23" t="str">
        <f aca="false">LEFT(G4473,2)</f>
        <v/>
      </c>
    </row>
    <row r="4474" customFormat="false" ht="15" hidden="false" customHeight="false" outlineLevel="0" collapsed="false">
      <c r="A4474" s="13" t="n">
        <f aca="false">1+A4473</f>
        <v>4472</v>
      </c>
      <c r="B4474" s="14" t="n">
        <v>100</v>
      </c>
      <c r="C4474" s="15"/>
      <c r="D4474" s="16" t="s">
        <v>64</v>
      </c>
      <c r="E4474" s="17" t="s">
        <v>47</v>
      </c>
      <c r="F4474" s="18" t="s">
        <v>34</v>
      </c>
      <c r="G4474" s="19"/>
      <c r="H4474" s="17" t="s">
        <v>35</v>
      </c>
      <c r="I4474" s="17" t="s">
        <v>44</v>
      </c>
      <c r="J4474" s="17"/>
      <c r="K4474" s="17" t="e">
        <f aca="false">VLOOKUP(J4474,Sheet2!A:B,2,0)</f>
        <v>#N/A</v>
      </c>
      <c r="L4474" s="17" t="n">
        <v>5</v>
      </c>
      <c r="M4474" s="17" t="str">
        <f aca="false">VLOOKUP(L4474,Sheet2!D:E,2,0)</f>
        <v>Main Processor CPU BGA</v>
      </c>
      <c r="N4474" s="17" t="n">
        <v>1</v>
      </c>
      <c r="O4474" s="17" t="str">
        <f aca="false">VLOOKUP(N4474,Sheet2!G:H,2,0)</f>
        <v>Dead</v>
      </c>
      <c r="P4474" s="17" t="n">
        <v>11</v>
      </c>
      <c r="Q4474" s="17" t="str">
        <f aca="false">VLOOKUP(P4474,Sheet2!J:K,2,0)</f>
        <v>IR Declared due to CID -TA</v>
      </c>
      <c r="R4474" s="17" t="s">
        <v>35</v>
      </c>
      <c r="S4474" s="17" t="str">
        <f aca="false">VLOOKUP(R4474,Sheet2!N:O,2,0)</f>
        <v>IREPARABLE</v>
      </c>
      <c r="T4474" s="18" t="str">
        <f aca="false">VLOOKUP(P4474,Sheet2!Q:R,2,0)</f>
        <v>IR Normal - Track burn out</v>
      </c>
      <c r="U4474" s="20" t="s">
        <v>41</v>
      </c>
      <c r="V4474" s="17"/>
      <c r="W4474" s="20" t="e">
        <f aca="false">VLOOKUP(V4474,Sheet2!Q:R,2,0)</f>
        <v>#N/A</v>
      </c>
      <c r="X4474" s="17" t="n">
        <f aca="false">J4474</f>
        <v>0</v>
      </c>
      <c r="Y4474" s="17" t="e">
        <f aca="false">VLOOKUP(X4474,Sheet2!A:B,2,0)</f>
        <v>#N/A</v>
      </c>
      <c r="Z4474" s="17"/>
      <c r="AA4474" s="17"/>
      <c r="AC4474" s="23" t="str">
        <f aca="false">LEFT(G4474,2)</f>
        <v/>
      </c>
    </row>
    <row r="4475" customFormat="false" ht="15" hidden="false" customHeight="false" outlineLevel="0" collapsed="false">
      <c r="A4475" s="13" t="n">
        <f aca="false">1+A4474</f>
        <v>4473</v>
      </c>
      <c r="B4475" s="14" t="n">
        <v>100</v>
      </c>
      <c r="C4475" s="15"/>
      <c r="D4475" s="16" t="s">
        <v>64</v>
      </c>
      <c r="E4475" s="17" t="s">
        <v>47</v>
      </c>
      <c r="F4475" s="18" t="s">
        <v>34</v>
      </c>
      <c r="G4475" s="19"/>
      <c r="H4475" s="17" t="s">
        <v>35</v>
      </c>
      <c r="I4475" s="17" t="s">
        <v>44</v>
      </c>
      <c r="J4475" s="17"/>
      <c r="K4475" s="17" t="e">
        <f aca="false">VLOOKUP(J4475,Sheet2!A:B,2,0)</f>
        <v>#N/A</v>
      </c>
      <c r="L4475" s="17" t="n">
        <v>5</v>
      </c>
      <c r="M4475" s="17" t="str">
        <f aca="false">VLOOKUP(L4475,Sheet2!D:E,2,0)</f>
        <v>Main Processor CPU BGA</v>
      </c>
      <c r="N4475" s="17" t="n">
        <v>1</v>
      </c>
      <c r="O4475" s="17" t="str">
        <f aca="false">VLOOKUP(N4475,Sheet2!G:H,2,0)</f>
        <v>Dead</v>
      </c>
      <c r="P4475" s="17" t="n">
        <v>11</v>
      </c>
      <c r="Q4475" s="17" t="str">
        <f aca="false">VLOOKUP(P4475,Sheet2!J:K,2,0)</f>
        <v>IR Declared due to CID -TA</v>
      </c>
      <c r="R4475" s="17" t="s">
        <v>35</v>
      </c>
      <c r="S4475" s="17" t="str">
        <f aca="false">VLOOKUP(R4475,Sheet2!N:O,2,0)</f>
        <v>IREPARABLE</v>
      </c>
      <c r="T4475" s="18" t="str">
        <f aca="false">VLOOKUP(P4475,Sheet2!Q:R,2,0)</f>
        <v>IR Normal - Track burn out</v>
      </c>
      <c r="U4475" s="20" t="s">
        <v>41</v>
      </c>
      <c r="V4475" s="17"/>
      <c r="W4475" s="20" t="e">
        <f aca="false">VLOOKUP(V4475,Sheet2!Q:R,2,0)</f>
        <v>#N/A</v>
      </c>
      <c r="X4475" s="17" t="n">
        <f aca="false">J4475</f>
        <v>0</v>
      </c>
      <c r="Y4475" s="17" t="e">
        <f aca="false">VLOOKUP(X4475,Sheet2!A:B,2,0)</f>
        <v>#N/A</v>
      </c>
      <c r="Z4475" s="17"/>
      <c r="AA4475" s="17"/>
      <c r="AC4475" s="23" t="str">
        <f aca="false">LEFT(G4475,2)</f>
        <v/>
      </c>
    </row>
    <row r="4476" customFormat="false" ht="15" hidden="false" customHeight="false" outlineLevel="0" collapsed="false">
      <c r="A4476" s="13" t="n">
        <f aca="false">1+A4475</f>
        <v>4474</v>
      </c>
      <c r="B4476" s="14" t="n">
        <v>100</v>
      </c>
      <c r="C4476" s="15"/>
      <c r="D4476" s="16" t="s">
        <v>64</v>
      </c>
      <c r="E4476" s="17" t="s">
        <v>47</v>
      </c>
      <c r="F4476" s="18" t="s">
        <v>34</v>
      </c>
      <c r="G4476" s="19"/>
      <c r="H4476" s="17" t="s">
        <v>35</v>
      </c>
      <c r="I4476" s="17" t="s">
        <v>44</v>
      </c>
      <c r="J4476" s="17"/>
      <c r="K4476" s="17" t="e">
        <f aca="false">VLOOKUP(J4476,Sheet2!A:B,2,0)</f>
        <v>#N/A</v>
      </c>
      <c r="L4476" s="17" t="n">
        <v>5</v>
      </c>
      <c r="M4476" s="17" t="str">
        <f aca="false">VLOOKUP(L4476,Sheet2!D:E,2,0)</f>
        <v>Main Processor CPU BGA</v>
      </c>
      <c r="N4476" s="17" t="n">
        <v>1</v>
      </c>
      <c r="O4476" s="17" t="str">
        <f aca="false">VLOOKUP(N4476,Sheet2!G:H,2,0)</f>
        <v>Dead</v>
      </c>
      <c r="P4476" s="17" t="n">
        <v>11</v>
      </c>
      <c r="Q4476" s="17" t="str">
        <f aca="false">VLOOKUP(P4476,Sheet2!J:K,2,0)</f>
        <v>IR Declared due to CID -TA</v>
      </c>
      <c r="R4476" s="17" t="s">
        <v>35</v>
      </c>
      <c r="S4476" s="17" t="str">
        <f aca="false">VLOOKUP(R4476,Sheet2!N:O,2,0)</f>
        <v>IREPARABLE</v>
      </c>
      <c r="T4476" s="18" t="str">
        <f aca="false">VLOOKUP(P4476,Sheet2!Q:R,2,0)</f>
        <v>IR Normal - Track burn out</v>
      </c>
      <c r="U4476" s="20" t="s">
        <v>41</v>
      </c>
      <c r="V4476" s="17"/>
      <c r="W4476" s="20" t="e">
        <f aca="false">VLOOKUP(V4476,Sheet2!Q:R,2,0)</f>
        <v>#N/A</v>
      </c>
      <c r="X4476" s="17" t="n">
        <f aca="false">J4476</f>
        <v>0</v>
      </c>
      <c r="Y4476" s="17" t="e">
        <f aca="false">VLOOKUP(X4476,Sheet2!A:B,2,0)</f>
        <v>#N/A</v>
      </c>
      <c r="Z4476" s="17"/>
      <c r="AA4476" s="17"/>
      <c r="AC4476" s="23" t="str">
        <f aca="false">LEFT(G4476,2)</f>
        <v/>
      </c>
    </row>
    <row r="4477" customFormat="false" ht="15" hidden="false" customHeight="false" outlineLevel="0" collapsed="false">
      <c r="A4477" s="13" t="n">
        <f aca="false">1+A4476</f>
        <v>4475</v>
      </c>
      <c r="B4477" s="14" t="n">
        <v>100</v>
      </c>
      <c r="C4477" s="15"/>
      <c r="D4477" s="16" t="s">
        <v>64</v>
      </c>
      <c r="E4477" s="17" t="s">
        <v>47</v>
      </c>
      <c r="F4477" s="18" t="s">
        <v>34</v>
      </c>
      <c r="G4477" s="19"/>
      <c r="H4477" s="17" t="s">
        <v>35</v>
      </c>
      <c r="I4477" s="17" t="s">
        <v>44</v>
      </c>
      <c r="J4477" s="17"/>
      <c r="K4477" s="17" t="e">
        <f aca="false">VLOOKUP(J4477,Sheet2!A:B,2,0)</f>
        <v>#N/A</v>
      </c>
      <c r="L4477" s="17" t="n">
        <v>5</v>
      </c>
      <c r="M4477" s="17" t="str">
        <f aca="false">VLOOKUP(L4477,Sheet2!D:E,2,0)</f>
        <v>Main Processor CPU BGA</v>
      </c>
      <c r="N4477" s="17" t="n">
        <v>1</v>
      </c>
      <c r="O4477" s="17" t="str">
        <f aca="false">VLOOKUP(N4477,Sheet2!G:H,2,0)</f>
        <v>Dead</v>
      </c>
      <c r="P4477" s="17" t="n">
        <v>11</v>
      </c>
      <c r="Q4477" s="17" t="str">
        <f aca="false">VLOOKUP(P4477,Sheet2!J:K,2,0)</f>
        <v>IR Declared due to CID -TA</v>
      </c>
      <c r="R4477" s="17" t="s">
        <v>35</v>
      </c>
      <c r="S4477" s="17" t="str">
        <f aca="false">VLOOKUP(R4477,Sheet2!N:O,2,0)</f>
        <v>IREPARABLE</v>
      </c>
      <c r="T4477" s="18" t="str">
        <f aca="false">VLOOKUP(P4477,Sheet2!Q:R,2,0)</f>
        <v>IR Normal - Track burn out</v>
      </c>
      <c r="U4477" s="20" t="s">
        <v>41</v>
      </c>
      <c r="V4477" s="17"/>
      <c r="W4477" s="20" t="e">
        <f aca="false">VLOOKUP(V4477,Sheet2!Q:R,2,0)</f>
        <v>#N/A</v>
      </c>
      <c r="X4477" s="17" t="n">
        <f aca="false">J4477</f>
        <v>0</v>
      </c>
      <c r="Y4477" s="17" t="e">
        <f aca="false">VLOOKUP(X4477,Sheet2!A:B,2,0)</f>
        <v>#N/A</v>
      </c>
      <c r="Z4477" s="17"/>
      <c r="AA4477" s="17"/>
      <c r="AC4477" s="23" t="str">
        <f aca="false">LEFT(G4477,2)</f>
        <v/>
      </c>
    </row>
    <row r="4478" customFormat="false" ht="15" hidden="false" customHeight="false" outlineLevel="0" collapsed="false">
      <c r="A4478" s="13" t="n">
        <f aca="false">1+A4477</f>
        <v>4476</v>
      </c>
      <c r="B4478" s="14" t="n">
        <v>100</v>
      </c>
      <c r="C4478" s="15"/>
      <c r="D4478" s="16" t="s">
        <v>64</v>
      </c>
      <c r="E4478" s="17" t="s">
        <v>47</v>
      </c>
      <c r="F4478" s="18" t="s">
        <v>34</v>
      </c>
      <c r="G4478" s="19"/>
      <c r="H4478" s="17" t="s">
        <v>35</v>
      </c>
      <c r="I4478" s="17" t="s">
        <v>44</v>
      </c>
      <c r="J4478" s="17"/>
      <c r="K4478" s="17" t="e">
        <f aca="false">VLOOKUP(J4478,Sheet2!A:B,2,0)</f>
        <v>#N/A</v>
      </c>
      <c r="L4478" s="17" t="n">
        <v>5</v>
      </c>
      <c r="M4478" s="17" t="str">
        <f aca="false">VLOOKUP(L4478,Sheet2!D:E,2,0)</f>
        <v>Main Processor CPU BGA</v>
      </c>
      <c r="N4478" s="17" t="n">
        <v>1</v>
      </c>
      <c r="O4478" s="17" t="str">
        <f aca="false">VLOOKUP(N4478,Sheet2!G:H,2,0)</f>
        <v>Dead</v>
      </c>
      <c r="P4478" s="17" t="n">
        <v>11</v>
      </c>
      <c r="Q4478" s="17" t="str">
        <f aca="false">VLOOKUP(P4478,Sheet2!J:K,2,0)</f>
        <v>IR Declared due to CID -TA</v>
      </c>
      <c r="R4478" s="17" t="s">
        <v>35</v>
      </c>
      <c r="S4478" s="17" t="str">
        <f aca="false">VLOOKUP(R4478,Sheet2!N:O,2,0)</f>
        <v>IREPARABLE</v>
      </c>
      <c r="T4478" s="18" t="str">
        <f aca="false">VLOOKUP(P4478,Sheet2!Q:R,2,0)</f>
        <v>IR Normal - Track burn out</v>
      </c>
      <c r="U4478" s="20" t="s">
        <v>41</v>
      </c>
      <c r="V4478" s="17"/>
      <c r="W4478" s="20" t="e">
        <f aca="false">VLOOKUP(V4478,Sheet2!Q:R,2,0)</f>
        <v>#N/A</v>
      </c>
      <c r="X4478" s="17" t="n">
        <f aca="false">J4478</f>
        <v>0</v>
      </c>
      <c r="Y4478" s="17" t="e">
        <f aca="false">VLOOKUP(X4478,Sheet2!A:B,2,0)</f>
        <v>#N/A</v>
      </c>
      <c r="Z4478" s="17"/>
      <c r="AA4478" s="17"/>
      <c r="AC4478" s="23" t="str">
        <f aca="false">LEFT(G4478,2)</f>
        <v/>
      </c>
    </row>
    <row r="4479" customFormat="false" ht="15" hidden="false" customHeight="false" outlineLevel="0" collapsed="false">
      <c r="A4479" s="13" t="n">
        <f aca="false">1+A4478</f>
        <v>4477</v>
      </c>
      <c r="B4479" s="14" t="n">
        <v>100</v>
      </c>
      <c r="C4479" s="15"/>
      <c r="D4479" s="16" t="s">
        <v>64</v>
      </c>
      <c r="E4479" s="17" t="s">
        <v>47</v>
      </c>
      <c r="F4479" s="18" t="s">
        <v>34</v>
      </c>
      <c r="G4479" s="19"/>
      <c r="H4479" s="17" t="s">
        <v>35</v>
      </c>
      <c r="I4479" s="17" t="s">
        <v>44</v>
      </c>
      <c r="J4479" s="17"/>
      <c r="K4479" s="17" t="e">
        <f aca="false">VLOOKUP(J4479,Sheet2!A:B,2,0)</f>
        <v>#N/A</v>
      </c>
      <c r="L4479" s="17" t="n">
        <v>5</v>
      </c>
      <c r="M4479" s="17" t="str">
        <f aca="false">VLOOKUP(L4479,Sheet2!D:E,2,0)</f>
        <v>Main Processor CPU BGA</v>
      </c>
      <c r="N4479" s="17" t="n">
        <v>1</v>
      </c>
      <c r="O4479" s="17" t="str">
        <f aca="false">VLOOKUP(N4479,Sheet2!G:H,2,0)</f>
        <v>Dead</v>
      </c>
      <c r="P4479" s="17" t="n">
        <v>11</v>
      </c>
      <c r="Q4479" s="17" t="str">
        <f aca="false">VLOOKUP(P4479,Sheet2!J:K,2,0)</f>
        <v>IR Declared due to CID -TA</v>
      </c>
      <c r="R4479" s="17" t="s">
        <v>35</v>
      </c>
      <c r="S4479" s="17" t="str">
        <f aca="false">VLOOKUP(R4479,Sheet2!N:O,2,0)</f>
        <v>IREPARABLE</v>
      </c>
      <c r="T4479" s="18" t="str">
        <f aca="false">VLOOKUP(P4479,Sheet2!Q:R,2,0)</f>
        <v>IR Normal - Track burn out</v>
      </c>
      <c r="U4479" s="20" t="s">
        <v>41</v>
      </c>
      <c r="V4479" s="17"/>
      <c r="W4479" s="20" t="e">
        <f aca="false">VLOOKUP(V4479,Sheet2!Q:R,2,0)</f>
        <v>#N/A</v>
      </c>
      <c r="X4479" s="17" t="n">
        <f aca="false">J4479</f>
        <v>0</v>
      </c>
      <c r="Y4479" s="17" t="e">
        <f aca="false">VLOOKUP(X4479,Sheet2!A:B,2,0)</f>
        <v>#N/A</v>
      </c>
      <c r="Z4479" s="17"/>
      <c r="AA4479" s="17"/>
      <c r="AC4479" s="23" t="str">
        <f aca="false">LEFT(G4479,2)</f>
        <v/>
      </c>
    </row>
    <row r="4480" customFormat="false" ht="15" hidden="false" customHeight="false" outlineLevel="0" collapsed="false">
      <c r="A4480" s="13" t="n">
        <f aca="false">1+A4479</f>
        <v>4478</v>
      </c>
      <c r="B4480" s="14" t="n">
        <v>100</v>
      </c>
      <c r="C4480" s="15"/>
      <c r="D4480" s="16" t="s">
        <v>64</v>
      </c>
      <c r="E4480" s="17" t="s">
        <v>47</v>
      </c>
      <c r="F4480" s="18" t="s">
        <v>34</v>
      </c>
      <c r="G4480" s="19"/>
      <c r="H4480" s="17" t="s">
        <v>35</v>
      </c>
      <c r="I4480" s="17" t="s">
        <v>44</v>
      </c>
      <c r="J4480" s="17"/>
      <c r="K4480" s="17" t="e">
        <f aca="false">VLOOKUP(J4480,Sheet2!A:B,2,0)</f>
        <v>#N/A</v>
      </c>
      <c r="L4480" s="17" t="n">
        <v>5</v>
      </c>
      <c r="M4480" s="17" t="str">
        <f aca="false">VLOOKUP(L4480,Sheet2!D:E,2,0)</f>
        <v>Main Processor CPU BGA</v>
      </c>
      <c r="N4480" s="17" t="n">
        <v>1</v>
      </c>
      <c r="O4480" s="17" t="str">
        <f aca="false">VLOOKUP(N4480,Sheet2!G:H,2,0)</f>
        <v>Dead</v>
      </c>
      <c r="P4480" s="17" t="n">
        <v>11</v>
      </c>
      <c r="Q4480" s="17" t="str">
        <f aca="false">VLOOKUP(P4480,Sheet2!J:K,2,0)</f>
        <v>IR Declared due to CID -TA</v>
      </c>
      <c r="R4480" s="17" t="s">
        <v>35</v>
      </c>
      <c r="S4480" s="17" t="str">
        <f aca="false">VLOOKUP(R4480,Sheet2!N:O,2,0)</f>
        <v>IREPARABLE</v>
      </c>
      <c r="T4480" s="18" t="str">
        <f aca="false">VLOOKUP(P4480,Sheet2!Q:R,2,0)</f>
        <v>IR Normal - Track burn out</v>
      </c>
      <c r="U4480" s="20" t="s">
        <v>41</v>
      </c>
      <c r="V4480" s="17"/>
      <c r="W4480" s="20" t="e">
        <f aca="false">VLOOKUP(V4480,Sheet2!Q:R,2,0)</f>
        <v>#N/A</v>
      </c>
      <c r="X4480" s="17" t="n">
        <f aca="false">J4480</f>
        <v>0</v>
      </c>
      <c r="Y4480" s="17" t="e">
        <f aca="false">VLOOKUP(X4480,Sheet2!A:B,2,0)</f>
        <v>#N/A</v>
      </c>
      <c r="Z4480" s="17"/>
      <c r="AA4480" s="17"/>
      <c r="AC4480" s="23" t="str">
        <f aca="false">LEFT(G4480,2)</f>
        <v/>
      </c>
    </row>
    <row r="4481" customFormat="false" ht="15" hidden="false" customHeight="false" outlineLevel="0" collapsed="false">
      <c r="A4481" s="13" t="n">
        <f aca="false">1+A4480</f>
        <v>4479</v>
      </c>
      <c r="B4481" s="14" t="n">
        <v>100</v>
      </c>
      <c r="C4481" s="15"/>
      <c r="D4481" s="16" t="s">
        <v>64</v>
      </c>
      <c r="E4481" s="17" t="s">
        <v>47</v>
      </c>
      <c r="F4481" s="18" t="s">
        <v>34</v>
      </c>
      <c r="G4481" s="19"/>
      <c r="H4481" s="17" t="s">
        <v>35</v>
      </c>
      <c r="I4481" s="17" t="s">
        <v>44</v>
      </c>
      <c r="J4481" s="17"/>
      <c r="K4481" s="17" t="e">
        <f aca="false">VLOOKUP(J4481,Sheet2!A:B,2,0)</f>
        <v>#N/A</v>
      </c>
      <c r="L4481" s="17" t="n">
        <v>5</v>
      </c>
      <c r="M4481" s="17" t="str">
        <f aca="false">VLOOKUP(L4481,Sheet2!D:E,2,0)</f>
        <v>Main Processor CPU BGA</v>
      </c>
      <c r="N4481" s="17" t="n">
        <v>1</v>
      </c>
      <c r="O4481" s="17" t="str">
        <f aca="false">VLOOKUP(N4481,Sheet2!G:H,2,0)</f>
        <v>Dead</v>
      </c>
      <c r="P4481" s="17" t="n">
        <v>11</v>
      </c>
      <c r="Q4481" s="17" t="str">
        <f aca="false">VLOOKUP(P4481,Sheet2!J:K,2,0)</f>
        <v>IR Declared due to CID -TA</v>
      </c>
      <c r="R4481" s="17" t="s">
        <v>35</v>
      </c>
      <c r="S4481" s="17" t="str">
        <f aca="false">VLOOKUP(R4481,Sheet2!N:O,2,0)</f>
        <v>IREPARABLE</v>
      </c>
      <c r="T4481" s="18" t="str">
        <f aca="false">VLOOKUP(P4481,Sheet2!Q:R,2,0)</f>
        <v>IR Normal - Track burn out</v>
      </c>
      <c r="U4481" s="20" t="s">
        <v>41</v>
      </c>
      <c r="V4481" s="17"/>
      <c r="W4481" s="20" t="e">
        <f aca="false">VLOOKUP(V4481,Sheet2!Q:R,2,0)</f>
        <v>#N/A</v>
      </c>
      <c r="X4481" s="17" t="n">
        <f aca="false">J4481</f>
        <v>0</v>
      </c>
      <c r="Y4481" s="17" t="e">
        <f aca="false">VLOOKUP(X4481,Sheet2!A:B,2,0)</f>
        <v>#N/A</v>
      </c>
      <c r="Z4481" s="17"/>
      <c r="AA4481" s="17"/>
      <c r="AC4481" s="23" t="str">
        <f aca="false">LEFT(G4481,2)</f>
        <v/>
      </c>
    </row>
    <row r="4482" customFormat="false" ht="15" hidden="false" customHeight="false" outlineLevel="0" collapsed="false">
      <c r="A4482" s="13" t="n">
        <f aca="false">1+A4481</f>
        <v>4480</v>
      </c>
      <c r="B4482" s="14" t="n">
        <v>100</v>
      </c>
      <c r="C4482" s="15"/>
      <c r="D4482" s="16" t="s">
        <v>64</v>
      </c>
      <c r="E4482" s="17" t="s">
        <v>47</v>
      </c>
      <c r="F4482" s="18" t="s">
        <v>34</v>
      </c>
      <c r="G4482" s="19"/>
      <c r="H4482" s="17" t="s">
        <v>35</v>
      </c>
      <c r="I4482" s="17" t="s">
        <v>44</v>
      </c>
      <c r="J4482" s="17"/>
      <c r="K4482" s="17" t="e">
        <f aca="false">VLOOKUP(J4482,Sheet2!A:B,2,0)</f>
        <v>#N/A</v>
      </c>
      <c r="L4482" s="17" t="n">
        <v>5</v>
      </c>
      <c r="M4482" s="17" t="str">
        <f aca="false">VLOOKUP(L4482,Sheet2!D:E,2,0)</f>
        <v>Main Processor CPU BGA</v>
      </c>
      <c r="N4482" s="17" t="n">
        <v>1</v>
      </c>
      <c r="O4482" s="17" t="str">
        <f aca="false">VLOOKUP(N4482,Sheet2!G:H,2,0)</f>
        <v>Dead</v>
      </c>
      <c r="P4482" s="17" t="n">
        <v>11</v>
      </c>
      <c r="Q4482" s="17" t="str">
        <f aca="false">VLOOKUP(P4482,Sheet2!J:K,2,0)</f>
        <v>IR Declared due to CID -TA</v>
      </c>
      <c r="R4482" s="17" t="s">
        <v>35</v>
      </c>
      <c r="S4482" s="17" t="str">
        <f aca="false">VLOOKUP(R4482,Sheet2!N:O,2,0)</f>
        <v>IREPARABLE</v>
      </c>
      <c r="T4482" s="18" t="str">
        <f aca="false">VLOOKUP(P4482,Sheet2!Q:R,2,0)</f>
        <v>IR Normal - Track burn out</v>
      </c>
      <c r="U4482" s="20" t="s">
        <v>41</v>
      </c>
      <c r="V4482" s="17"/>
      <c r="W4482" s="20" t="e">
        <f aca="false">VLOOKUP(V4482,Sheet2!Q:R,2,0)</f>
        <v>#N/A</v>
      </c>
      <c r="X4482" s="17" t="n">
        <f aca="false">J4482</f>
        <v>0</v>
      </c>
      <c r="Y4482" s="17" t="e">
        <f aca="false">VLOOKUP(X4482,Sheet2!A:B,2,0)</f>
        <v>#N/A</v>
      </c>
      <c r="Z4482" s="17"/>
      <c r="AA4482" s="17"/>
      <c r="AC4482" s="23" t="str">
        <f aca="false">LEFT(G4482,2)</f>
        <v/>
      </c>
    </row>
    <row r="4483" customFormat="false" ht="15" hidden="false" customHeight="false" outlineLevel="0" collapsed="false">
      <c r="A4483" s="13" t="n">
        <f aca="false">1+A4482</f>
        <v>4481</v>
      </c>
      <c r="B4483" s="14" t="n">
        <v>100</v>
      </c>
      <c r="C4483" s="15"/>
      <c r="D4483" s="16" t="s">
        <v>64</v>
      </c>
      <c r="E4483" s="17" t="s">
        <v>47</v>
      </c>
      <c r="F4483" s="18" t="s">
        <v>34</v>
      </c>
      <c r="G4483" s="19"/>
      <c r="H4483" s="17" t="s">
        <v>35</v>
      </c>
      <c r="I4483" s="17" t="s">
        <v>44</v>
      </c>
      <c r="J4483" s="17"/>
      <c r="K4483" s="17" t="e">
        <f aca="false">VLOOKUP(J4483,Sheet2!A:B,2,0)</f>
        <v>#N/A</v>
      </c>
      <c r="L4483" s="17" t="n">
        <v>5</v>
      </c>
      <c r="M4483" s="17" t="str">
        <f aca="false">VLOOKUP(L4483,Sheet2!D:E,2,0)</f>
        <v>Main Processor CPU BGA</v>
      </c>
      <c r="N4483" s="17" t="n">
        <v>1</v>
      </c>
      <c r="O4483" s="17" t="str">
        <f aca="false">VLOOKUP(N4483,Sheet2!G:H,2,0)</f>
        <v>Dead</v>
      </c>
      <c r="P4483" s="17" t="n">
        <v>11</v>
      </c>
      <c r="Q4483" s="17" t="str">
        <f aca="false">VLOOKUP(P4483,Sheet2!J:K,2,0)</f>
        <v>IR Declared due to CID -TA</v>
      </c>
      <c r="R4483" s="17" t="s">
        <v>35</v>
      </c>
      <c r="S4483" s="17" t="str">
        <f aca="false">VLOOKUP(R4483,Sheet2!N:O,2,0)</f>
        <v>IREPARABLE</v>
      </c>
      <c r="T4483" s="18" t="str">
        <f aca="false">VLOOKUP(P4483,Sheet2!Q:R,2,0)</f>
        <v>IR Normal - Track burn out</v>
      </c>
      <c r="U4483" s="20" t="s">
        <v>41</v>
      </c>
      <c r="V4483" s="17"/>
      <c r="W4483" s="20" t="e">
        <f aca="false">VLOOKUP(V4483,Sheet2!Q:R,2,0)</f>
        <v>#N/A</v>
      </c>
      <c r="X4483" s="17" t="n">
        <f aca="false">J4483</f>
        <v>0</v>
      </c>
      <c r="Y4483" s="17" t="e">
        <f aca="false">VLOOKUP(X4483,Sheet2!A:B,2,0)</f>
        <v>#N/A</v>
      </c>
      <c r="Z4483" s="17"/>
      <c r="AA4483" s="17"/>
      <c r="AC4483" s="23" t="str">
        <f aca="false">LEFT(G4483,2)</f>
        <v/>
      </c>
    </row>
    <row r="4484" customFormat="false" ht="15" hidden="false" customHeight="false" outlineLevel="0" collapsed="false">
      <c r="A4484" s="13" t="n">
        <f aca="false">1+A4483</f>
        <v>4482</v>
      </c>
      <c r="B4484" s="14" t="n">
        <v>100</v>
      </c>
      <c r="C4484" s="15"/>
      <c r="D4484" s="16" t="s">
        <v>64</v>
      </c>
      <c r="E4484" s="17" t="s">
        <v>47</v>
      </c>
      <c r="F4484" s="18" t="s">
        <v>34</v>
      </c>
      <c r="G4484" s="19"/>
      <c r="H4484" s="17" t="s">
        <v>35</v>
      </c>
      <c r="I4484" s="17" t="s">
        <v>44</v>
      </c>
      <c r="J4484" s="17"/>
      <c r="K4484" s="17" t="e">
        <f aca="false">VLOOKUP(J4484,Sheet2!A:B,2,0)</f>
        <v>#N/A</v>
      </c>
      <c r="L4484" s="17" t="n">
        <v>5</v>
      </c>
      <c r="M4484" s="17" t="str">
        <f aca="false">VLOOKUP(L4484,Sheet2!D:E,2,0)</f>
        <v>Main Processor CPU BGA</v>
      </c>
      <c r="N4484" s="17" t="n">
        <v>1</v>
      </c>
      <c r="O4484" s="17" t="str">
        <f aca="false">VLOOKUP(N4484,Sheet2!G:H,2,0)</f>
        <v>Dead</v>
      </c>
      <c r="P4484" s="17" t="n">
        <v>11</v>
      </c>
      <c r="Q4484" s="17" t="str">
        <f aca="false">VLOOKUP(P4484,Sheet2!J:K,2,0)</f>
        <v>IR Declared due to CID -TA</v>
      </c>
      <c r="R4484" s="17" t="s">
        <v>35</v>
      </c>
      <c r="S4484" s="17" t="str">
        <f aca="false">VLOOKUP(R4484,Sheet2!N:O,2,0)</f>
        <v>IREPARABLE</v>
      </c>
      <c r="T4484" s="18" t="str">
        <f aca="false">VLOOKUP(P4484,Sheet2!Q:R,2,0)</f>
        <v>IR Normal - Track burn out</v>
      </c>
      <c r="U4484" s="20" t="s">
        <v>41</v>
      </c>
      <c r="V4484" s="17"/>
      <c r="W4484" s="20" t="e">
        <f aca="false">VLOOKUP(V4484,Sheet2!Q:R,2,0)</f>
        <v>#N/A</v>
      </c>
      <c r="X4484" s="17" t="n">
        <f aca="false">J4484</f>
        <v>0</v>
      </c>
      <c r="Y4484" s="17" t="e">
        <f aca="false">VLOOKUP(X4484,Sheet2!A:B,2,0)</f>
        <v>#N/A</v>
      </c>
      <c r="Z4484" s="17"/>
      <c r="AA4484" s="17"/>
      <c r="AC4484" s="23" t="str">
        <f aca="false">LEFT(G4484,2)</f>
        <v/>
      </c>
    </row>
    <row r="4485" customFormat="false" ht="15" hidden="false" customHeight="false" outlineLevel="0" collapsed="false">
      <c r="A4485" s="13" t="n">
        <f aca="false">1+A4484</f>
        <v>4483</v>
      </c>
      <c r="B4485" s="14" t="n">
        <v>100</v>
      </c>
      <c r="C4485" s="15"/>
      <c r="D4485" s="16" t="s">
        <v>64</v>
      </c>
      <c r="E4485" s="17" t="s">
        <v>47</v>
      </c>
      <c r="F4485" s="18" t="s">
        <v>34</v>
      </c>
      <c r="G4485" s="19"/>
      <c r="H4485" s="17" t="s">
        <v>35</v>
      </c>
      <c r="I4485" s="17" t="s">
        <v>44</v>
      </c>
      <c r="J4485" s="17"/>
      <c r="K4485" s="17" t="e">
        <f aca="false">VLOOKUP(J4485,Sheet2!A:B,2,0)</f>
        <v>#N/A</v>
      </c>
      <c r="L4485" s="17" t="n">
        <v>5</v>
      </c>
      <c r="M4485" s="17" t="str">
        <f aca="false">VLOOKUP(L4485,Sheet2!D:E,2,0)</f>
        <v>Main Processor CPU BGA</v>
      </c>
      <c r="N4485" s="17" t="n">
        <v>1</v>
      </c>
      <c r="O4485" s="17" t="str">
        <f aca="false">VLOOKUP(N4485,Sheet2!G:H,2,0)</f>
        <v>Dead</v>
      </c>
      <c r="P4485" s="17" t="n">
        <v>11</v>
      </c>
      <c r="Q4485" s="17" t="str">
        <f aca="false">VLOOKUP(P4485,Sheet2!J:K,2,0)</f>
        <v>IR Declared due to CID -TA</v>
      </c>
      <c r="R4485" s="17" t="s">
        <v>35</v>
      </c>
      <c r="S4485" s="17" t="str">
        <f aca="false">VLOOKUP(R4485,Sheet2!N:O,2,0)</f>
        <v>IREPARABLE</v>
      </c>
      <c r="T4485" s="18" t="str">
        <f aca="false">VLOOKUP(P4485,Sheet2!Q:R,2,0)</f>
        <v>IR Normal - Track burn out</v>
      </c>
      <c r="U4485" s="20" t="s">
        <v>41</v>
      </c>
      <c r="V4485" s="17"/>
      <c r="W4485" s="20" t="e">
        <f aca="false">VLOOKUP(V4485,Sheet2!Q:R,2,0)</f>
        <v>#N/A</v>
      </c>
      <c r="X4485" s="17" t="n">
        <f aca="false">J4485</f>
        <v>0</v>
      </c>
      <c r="Y4485" s="17" t="e">
        <f aca="false">VLOOKUP(X4485,Sheet2!A:B,2,0)</f>
        <v>#N/A</v>
      </c>
      <c r="Z4485" s="17"/>
      <c r="AA4485" s="17"/>
      <c r="AC4485" s="23" t="str">
        <f aca="false">LEFT(G4485,2)</f>
        <v/>
      </c>
    </row>
    <row r="4486" customFormat="false" ht="15" hidden="false" customHeight="false" outlineLevel="0" collapsed="false">
      <c r="A4486" s="13" t="n">
        <f aca="false">1+A4485</f>
        <v>4484</v>
      </c>
      <c r="B4486" s="14" t="n">
        <v>100</v>
      </c>
      <c r="C4486" s="15"/>
      <c r="D4486" s="16" t="s">
        <v>64</v>
      </c>
      <c r="E4486" s="17" t="s">
        <v>47</v>
      </c>
      <c r="F4486" s="18" t="s">
        <v>34</v>
      </c>
      <c r="G4486" s="19"/>
      <c r="H4486" s="17" t="s">
        <v>35</v>
      </c>
      <c r="I4486" s="17" t="s">
        <v>44</v>
      </c>
      <c r="J4486" s="17"/>
      <c r="K4486" s="17" t="e">
        <f aca="false">VLOOKUP(J4486,Sheet2!A:B,2,0)</f>
        <v>#N/A</v>
      </c>
      <c r="L4486" s="17" t="n">
        <v>5</v>
      </c>
      <c r="M4486" s="17" t="str">
        <f aca="false">VLOOKUP(L4486,Sheet2!D:E,2,0)</f>
        <v>Main Processor CPU BGA</v>
      </c>
      <c r="N4486" s="17" t="n">
        <v>1</v>
      </c>
      <c r="O4486" s="17" t="str">
        <f aca="false">VLOOKUP(N4486,Sheet2!G:H,2,0)</f>
        <v>Dead</v>
      </c>
      <c r="P4486" s="17" t="n">
        <v>11</v>
      </c>
      <c r="Q4486" s="17" t="str">
        <f aca="false">VLOOKUP(P4486,Sheet2!J:K,2,0)</f>
        <v>IR Declared due to CID -TA</v>
      </c>
      <c r="R4486" s="17" t="s">
        <v>35</v>
      </c>
      <c r="S4486" s="17" t="str">
        <f aca="false">VLOOKUP(R4486,Sheet2!N:O,2,0)</f>
        <v>IREPARABLE</v>
      </c>
      <c r="T4486" s="18" t="str">
        <f aca="false">VLOOKUP(P4486,Sheet2!Q:R,2,0)</f>
        <v>IR Normal - Track burn out</v>
      </c>
      <c r="U4486" s="20" t="s">
        <v>41</v>
      </c>
      <c r="V4486" s="17"/>
      <c r="W4486" s="20" t="e">
        <f aca="false">VLOOKUP(V4486,Sheet2!Q:R,2,0)</f>
        <v>#N/A</v>
      </c>
      <c r="X4486" s="17" t="n">
        <f aca="false">J4486</f>
        <v>0</v>
      </c>
      <c r="Y4486" s="17" t="e">
        <f aca="false">VLOOKUP(X4486,Sheet2!A:B,2,0)</f>
        <v>#N/A</v>
      </c>
      <c r="Z4486" s="17"/>
      <c r="AA4486" s="17"/>
      <c r="AC4486" s="23" t="str">
        <f aca="false">LEFT(G4486,2)</f>
        <v/>
      </c>
    </row>
    <row r="4487" customFormat="false" ht="15" hidden="false" customHeight="false" outlineLevel="0" collapsed="false">
      <c r="A4487" s="13" t="n">
        <f aca="false">1+A4486</f>
        <v>4485</v>
      </c>
      <c r="B4487" s="14" t="n">
        <v>100</v>
      </c>
      <c r="C4487" s="15"/>
      <c r="D4487" s="16" t="s">
        <v>64</v>
      </c>
      <c r="E4487" s="17" t="s">
        <v>47</v>
      </c>
      <c r="F4487" s="18" t="s">
        <v>34</v>
      </c>
      <c r="G4487" s="19"/>
      <c r="H4487" s="17" t="s">
        <v>35</v>
      </c>
      <c r="I4487" s="17" t="s">
        <v>44</v>
      </c>
      <c r="J4487" s="17"/>
      <c r="K4487" s="17" t="e">
        <f aca="false">VLOOKUP(J4487,Sheet2!A:B,2,0)</f>
        <v>#N/A</v>
      </c>
      <c r="L4487" s="17" t="n">
        <v>5</v>
      </c>
      <c r="M4487" s="17" t="str">
        <f aca="false">VLOOKUP(L4487,Sheet2!D:E,2,0)</f>
        <v>Main Processor CPU BGA</v>
      </c>
      <c r="N4487" s="17" t="n">
        <v>1</v>
      </c>
      <c r="O4487" s="17" t="str">
        <f aca="false">VLOOKUP(N4487,Sheet2!G:H,2,0)</f>
        <v>Dead</v>
      </c>
      <c r="P4487" s="17" t="n">
        <v>11</v>
      </c>
      <c r="Q4487" s="17" t="str">
        <f aca="false">VLOOKUP(P4487,Sheet2!J:K,2,0)</f>
        <v>IR Declared due to CID -TA</v>
      </c>
      <c r="R4487" s="17" t="s">
        <v>35</v>
      </c>
      <c r="S4487" s="17" t="str">
        <f aca="false">VLOOKUP(R4487,Sheet2!N:O,2,0)</f>
        <v>IREPARABLE</v>
      </c>
      <c r="T4487" s="18" t="str">
        <f aca="false">VLOOKUP(P4487,Sheet2!Q:R,2,0)</f>
        <v>IR Normal - Track burn out</v>
      </c>
      <c r="U4487" s="20" t="s">
        <v>41</v>
      </c>
      <c r="V4487" s="17"/>
      <c r="W4487" s="20" t="e">
        <f aca="false">VLOOKUP(V4487,Sheet2!Q:R,2,0)</f>
        <v>#N/A</v>
      </c>
      <c r="X4487" s="17" t="n">
        <f aca="false">J4487</f>
        <v>0</v>
      </c>
      <c r="Y4487" s="17" t="e">
        <f aca="false">VLOOKUP(X4487,Sheet2!A:B,2,0)</f>
        <v>#N/A</v>
      </c>
      <c r="Z4487" s="17"/>
      <c r="AA4487" s="17"/>
      <c r="AC4487" s="23" t="str">
        <f aca="false">LEFT(G4487,2)</f>
        <v/>
      </c>
    </row>
    <row r="4488" customFormat="false" ht="15" hidden="false" customHeight="false" outlineLevel="0" collapsed="false">
      <c r="A4488" s="13" t="n">
        <f aca="false">1+A4487</f>
        <v>4486</v>
      </c>
      <c r="B4488" s="14" t="n">
        <v>100</v>
      </c>
      <c r="C4488" s="15"/>
      <c r="D4488" s="16" t="s">
        <v>64</v>
      </c>
      <c r="E4488" s="17" t="s">
        <v>47</v>
      </c>
      <c r="F4488" s="18" t="s">
        <v>34</v>
      </c>
      <c r="G4488" s="19"/>
      <c r="H4488" s="17" t="s">
        <v>35</v>
      </c>
      <c r="I4488" s="17" t="s">
        <v>44</v>
      </c>
      <c r="J4488" s="17"/>
      <c r="K4488" s="17" t="e">
        <f aca="false">VLOOKUP(J4488,Sheet2!A:B,2,0)</f>
        <v>#N/A</v>
      </c>
      <c r="L4488" s="17" t="n">
        <v>5</v>
      </c>
      <c r="M4488" s="17" t="str">
        <f aca="false">VLOOKUP(L4488,Sheet2!D:E,2,0)</f>
        <v>Main Processor CPU BGA</v>
      </c>
      <c r="N4488" s="17" t="n">
        <v>1</v>
      </c>
      <c r="O4488" s="17" t="str">
        <f aca="false">VLOOKUP(N4488,Sheet2!G:H,2,0)</f>
        <v>Dead</v>
      </c>
      <c r="P4488" s="17" t="n">
        <v>11</v>
      </c>
      <c r="Q4488" s="17" t="str">
        <f aca="false">VLOOKUP(P4488,Sheet2!J:K,2,0)</f>
        <v>IR Declared due to CID -TA</v>
      </c>
      <c r="R4488" s="17" t="s">
        <v>35</v>
      </c>
      <c r="S4488" s="17" t="str">
        <f aca="false">VLOOKUP(R4488,Sheet2!N:O,2,0)</f>
        <v>IREPARABLE</v>
      </c>
      <c r="T4488" s="18" t="str">
        <f aca="false">VLOOKUP(P4488,Sheet2!Q:R,2,0)</f>
        <v>IR Normal - Track burn out</v>
      </c>
      <c r="U4488" s="20" t="s">
        <v>41</v>
      </c>
      <c r="V4488" s="17"/>
      <c r="W4488" s="20" t="e">
        <f aca="false">VLOOKUP(V4488,Sheet2!Q:R,2,0)</f>
        <v>#N/A</v>
      </c>
      <c r="X4488" s="17" t="n">
        <f aca="false">J4488</f>
        <v>0</v>
      </c>
      <c r="Y4488" s="17" t="e">
        <f aca="false">VLOOKUP(X4488,Sheet2!A:B,2,0)</f>
        <v>#N/A</v>
      </c>
      <c r="Z4488" s="17"/>
      <c r="AA4488" s="17"/>
      <c r="AC4488" s="23" t="str">
        <f aca="false">LEFT(G4488,2)</f>
        <v/>
      </c>
    </row>
    <row r="4489" customFormat="false" ht="15" hidden="false" customHeight="false" outlineLevel="0" collapsed="false">
      <c r="A4489" s="13" t="n">
        <f aca="false">1+A4488</f>
        <v>4487</v>
      </c>
      <c r="B4489" s="14" t="n">
        <v>100</v>
      </c>
      <c r="C4489" s="15"/>
      <c r="D4489" s="16" t="s">
        <v>64</v>
      </c>
      <c r="E4489" s="17" t="s">
        <v>47</v>
      </c>
      <c r="F4489" s="18" t="s">
        <v>34</v>
      </c>
      <c r="G4489" s="19"/>
      <c r="H4489" s="17" t="s">
        <v>35</v>
      </c>
      <c r="I4489" s="17" t="s">
        <v>44</v>
      </c>
      <c r="J4489" s="17"/>
      <c r="K4489" s="17" t="e">
        <f aca="false">VLOOKUP(J4489,Sheet2!A:B,2,0)</f>
        <v>#N/A</v>
      </c>
      <c r="L4489" s="17" t="n">
        <v>5</v>
      </c>
      <c r="M4489" s="17" t="str">
        <f aca="false">VLOOKUP(L4489,Sheet2!D:E,2,0)</f>
        <v>Main Processor CPU BGA</v>
      </c>
      <c r="N4489" s="17" t="n">
        <v>1</v>
      </c>
      <c r="O4489" s="17" t="str">
        <f aca="false">VLOOKUP(N4489,Sheet2!G:H,2,0)</f>
        <v>Dead</v>
      </c>
      <c r="P4489" s="17" t="n">
        <v>11</v>
      </c>
      <c r="Q4489" s="17" t="str">
        <f aca="false">VLOOKUP(P4489,Sheet2!J:K,2,0)</f>
        <v>IR Declared due to CID -TA</v>
      </c>
      <c r="R4489" s="17" t="s">
        <v>35</v>
      </c>
      <c r="S4489" s="17" t="str">
        <f aca="false">VLOOKUP(R4489,Sheet2!N:O,2,0)</f>
        <v>IREPARABLE</v>
      </c>
      <c r="T4489" s="18" t="str">
        <f aca="false">VLOOKUP(P4489,Sheet2!Q:R,2,0)</f>
        <v>IR Normal - Track burn out</v>
      </c>
      <c r="U4489" s="20" t="s">
        <v>41</v>
      </c>
      <c r="V4489" s="17"/>
      <c r="W4489" s="20" t="e">
        <f aca="false">VLOOKUP(V4489,Sheet2!Q:R,2,0)</f>
        <v>#N/A</v>
      </c>
      <c r="X4489" s="17" t="n">
        <f aca="false">J4489</f>
        <v>0</v>
      </c>
      <c r="Y4489" s="17" t="e">
        <f aca="false">VLOOKUP(X4489,Sheet2!A:B,2,0)</f>
        <v>#N/A</v>
      </c>
      <c r="Z4489" s="17"/>
      <c r="AA4489" s="17"/>
      <c r="AC4489" s="23" t="str">
        <f aca="false">LEFT(G4489,2)</f>
        <v/>
      </c>
    </row>
    <row r="4490" customFormat="false" ht="15" hidden="false" customHeight="false" outlineLevel="0" collapsed="false">
      <c r="A4490" s="13" t="n">
        <f aca="false">1+A4489</f>
        <v>4488</v>
      </c>
      <c r="B4490" s="14" t="n">
        <v>100</v>
      </c>
      <c r="C4490" s="15"/>
      <c r="D4490" s="16" t="s">
        <v>64</v>
      </c>
      <c r="E4490" s="17" t="s">
        <v>47</v>
      </c>
      <c r="F4490" s="18" t="s">
        <v>34</v>
      </c>
      <c r="G4490" s="19"/>
      <c r="H4490" s="17" t="s">
        <v>35</v>
      </c>
      <c r="I4490" s="17" t="s">
        <v>44</v>
      </c>
      <c r="J4490" s="17"/>
      <c r="K4490" s="17" t="e">
        <f aca="false">VLOOKUP(J4490,Sheet2!A:B,2,0)</f>
        <v>#N/A</v>
      </c>
      <c r="L4490" s="17" t="n">
        <v>5</v>
      </c>
      <c r="M4490" s="17" t="str">
        <f aca="false">VLOOKUP(L4490,Sheet2!D:E,2,0)</f>
        <v>Main Processor CPU BGA</v>
      </c>
      <c r="N4490" s="17" t="n">
        <v>1</v>
      </c>
      <c r="O4490" s="17" t="str">
        <f aca="false">VLOOKUP(N4490,Sheet2!G:H,2,0)</f>
        <v>Dead</v>
      </c>
      <c r="P4490" s="17" t="n">
        <v>11</v>
      </c>
      <c r="Q4490" s="17" t="str">
        <f aca="false">VLOOKUP(P4490,Sheet2!J:K,2,0)</f>
        <v>IR Declared due to CID -TA</v>
      </c>
      <c r="R4490" s="17" t="s">
        <v>35</v>
      </c>
      <c r="S4490" s="17" t="str">
        <f aca="false">VLOOKUP(R4490,Sheet2!N:O,2,0)</f>
        <v>IREPARABLE</v>
      </c>
      <c r="T4490" s="18" t="str">
        <f aca="false">VLOOKUP(P4490,Sheet2!Q:R,2,0)</f>
        <v>IR Normal - Track burn out</v>
      </c>
      <c r="U4490" s="20" t="s">
        <v>41</v>
      </c>
      <c r="V4490" s="17"/>
      <c r="W4490" s="20" t="e">
        <f aca="false">VLOOKUP(V4490,Sheet2!Q:R,2,0)</f>
        <v>#N/A</v>
      </c>
      <c r="X4490" s="17" t="n">
        <f aca="false">J4490</f>
        <v>0</v>
      </c>
      <c r="Y4490" s="17" t="e">
        <f aca="false">VLOOKUP(X4490,Sheet2!A:B,2,0)</f>
        <v>#N/A</v>
      </c>
      <c r="Z4490" s="17"/>
      <c r="AA4490" s="17"/>
      <c r="AC4490" s="23" t="str">
        <f aca="false">LEFT(G4490,2)</f>
        <v/>
      </c>
    </row>
    <row r="4491" customFormat="false" ht="15" hidden="false" customHeight="false" outlineLevel="0" collapsed="false">
      <c r="A4491" s="13" t="n">
        <f aca="false">1+A4490</f>
        <v>4489</v>
      </c>
      <c r="B4491" s="14" t="n">
        <v>100</v>
      </c>
      <c r="C4491" s="15"/>
      <c r="D4491" s="16" t="s">
        <v>64</v>
      </c>
      <c r="E4491" s="17" t="s">
        <v>47</v>
      </c>
      <c r="F4491" s="18" t="s">
        <v>34</v>
      </c>
      <c r="G4491" s="19"/>
      <c r="H4491" s="17" t="s">
        <v>35</v>
      </c>
      <c r="I4491" s="17" t="s">
        <v>44</v>
      </c>
      <c r="J4491" s="17"/>
      <c r="K4491" s="17" t="e">
        <f aca="false">VLOOKUP(J4491,Sheet2!A:B,2,0)</f>
        <v>#N/A</v>
      </c>
      <c r="L4491" s="17" t="n">
        <v>5</v>
      </c>
      <c r="M4491" s="17" t="str">
        <f aca="false">VLOOKUP(L4491,Sheet2!D:E,2,0)</f>
        <v>Main Processor CPU BGA</v>
      </c>
      <c r="N4491" s="17" t="n">
        <v>1</v>
      </c>
      <c r="O4491" s="17" t="str">
        <f aca="false">VLOOKUP(N4491,Sheet2!G:H,2,0)</f>
        <v>Dead</v>
      </c>
      <c r="P4491" s="17" t="n">
        <v>11</v>
      </c>
      <c r="Q4491" s="17" t="str">
        <f aca="false">VLOOKUP(P4491,Sheet2!J:K,2,0)</f>
        <v>IR Declared due to CID -TA</v>
      </c>
      <c r="R4491" s="17" t="s">
        <v>35</v>
      </c>
      <c r="S4491" s="17" t="str">
        <f aca="false">VLOOKUP(R4491,Sheet2!N:O,2,0)</f>
        <v>IREPARABLE</v>
      </c>
      <c r="T4491" s="18" t="str">
        <f aca="false">VLOOKUP(P4491,Sheet2!Q:R,2,0)</f>
        <v>IR Normal - Track burn out</v>
      </c>
      <c r="U4491" s="20" t="s">
        <v>41</v>
      </c>
      <c r="V4491" s="17"/>
      <c r="W4491" s="20" t="e">
        <f aca="false">VLOOKUP(V4491,Sheet2!Q:R,2,0)</f>
        <v>#N/A</v>
      </c>
      <c r="X4491" s="17" t="n">
        <f aca="false">J4491</f>
        <v>0</v>
      </c>
      <c r="Y4491" s="17" t="e">
        <f aca="false">VLOOKUP(X4491,Sheet2!A:B,2,0)</f>
        <v>#N/A</v>
      </c>
      <c r="Z4491" s="17"/>
      <c r="AA4491" s="17"/>
      <c r="AC4491" s="23" t="str">
        <f aca="false">LEFT(G4491,2)</f>
        <v/>
      </c>
    </row>
    <row r="4492" customFormat="false" ht="15" hidden="false" customHeight="false" outlineLevel="0" collapsed="false">
      <c r="A4492" s="13" t="n">
        <f aca="false">1+A4491</f>
        <v>4490</v>
      </c>
      <c r="B4492" s="14" t="n">
        <v>100</v>
      </c>
      <c r="C4492" s="15"/>
      <c r="D4492" s="16" t="s">
        <v>64</v>
      </c>
      <c r="E4492" s="17" t="s">
        <v>47</v>
      </c>
      <c r="F4492" s="18" t="s">
        <v>34</v>
      </c>
      <c r="G4492" s="19"/>
      <c r="H4492" s="17" t="s">
        <v>35</v>
      </c>
      <c r="I4492" s="17" t="s">
        <v>44</v>
      </c>
      <c r="J4492" s="17"/>
      <c r="K4492" s="17" t="e">
        <f aca="false">VLOOKUP(J4492,Sheet2!A:B,2,0)</f>
        <v>#N/A</v>
      </c>
      <c r="L4492" s="17" t="n">
        <v>5</v>
      </c>
      <c r="M4492" s="17" t="str">
        <f aca="false">VLOOKUP(L4492,Sheet2!D:E,2,0)</f>
        <v>Main Processor CPU BGA</v>
      </c>
      <c r="N4492" s="17" t="n">
        <v>1</v>
      </c>
      <c r="O4492" s="17" t="str">
        <f aca="false">VLOOKUP(N4492,Sheet2!G:H,2,0)</f>
        <v>Dead</v>
      </c>
      <c r="P4492" s="17" t="n">
        <v>11</v>
      </c>
      <c r="Q4492" s="17" t="str">
        <f aca="false">VLOOKUP(P4492,Sheet2!J:K,2,0)</f>
        <v>IR Declared due to CID -TA</v>
      </c>
      <c r="R4492" s="17" t="s">
        <v>35</v>
      </c>
      <c r="S4492" s="17" t="str">
        <f aca="false">VLOOKUP(R4492,Sheet2!N:O,2,0)</f>
        <v>IREPARABLE</v>
      </c>
      <c r="T4492" s="18" t="str">
        <f aca="false">VLOOKUP(P4492,Sheet2!Q:R,2,0)</f>
        <v>IR Normal - Track burn out</v>
      </c>
      <c r="U4492" s="20" t="s">
        <v>41</v>
      </c>
      <c r="V4492" s="17"/>
      <c r="W4492" s="20" t="e">
        <f aca="false">VLOOKUP(V4492,Sheet2!Q:R,2,0)</f>
        <v>#N/A</v>
      </c>
      <c r="X4492" s="17" t="n">
        <f aca="false">J4492</f>
        <v>0</v>
      </c>
      <c r="Y4492" s="17" t="e">
        <f aca="false">VLOOKUP(X4492,Sheet2!A:B,2,0)</f>
        <v>#N/A</v>
      </c>
      <c r="Z4492" s="17"/>
      <c r="AA4492" s="17"/>
      <c r="AC4492" s="23" t="str">
        <f aca="false">LEFT(G4492,2)</f>
        <v/>
      </c>
    </row>
    <row r="4493" customFormat="false" ht="15" hidden="false" customHeight="false" outlineLevel="0" collapsed="false">
      <c r="A4493" s="13" t="n">
        <f aca="false">1+A4492</f>
        <v>4491</v>
      </c>
      <c r="B4493" s="14" t="n">
        <v>100</v>
      </c>
      <c r="C4493" s="15"/>
      <c r="D4493" s="16" t="s">
        <v>64</v>
      </c>
      <c r="E4493" s="17" t="s">
        <v>47</v>
      </c>
      <c r="F4493" s="18" t="s">
        <v>34</v>
      </c>
      <c r="G4493" s="19"/>
      <c r="H4493" s="17" t="s">
        <v>35</v>
      </c>
      <c r="I4493" s="17" t="s">
        <v>44</v>
      </c>
      <c r="J4493" s="17"/>
      <c r="K4493" s="17" t="e">
        <f aca="false">VLOOKUP(J4493,Sheet2!A:B,2,0)</f>
        <v>#N/A</v>
      </c>
      <c r="L4493" s="17" t="n">
        <v>5</v>
      </c>
      <c r="M4493" s="17" t="str">
        <f aca="false">VLOOKUP(L4493,Sheet2!D:E,2,0)</f>
        <v>Main Processor CPU BGA</v>
      </c>
      <c r="N4493" s="17" t="n">
        <v>1</v>
      </c>
      <c r="O4493" s="17" t="str">
        <f aca="false">VLOOKUP(N4493,Sheet2!G:H,2,0)</f>
        <v>Dead</v>
      </c>
      <c r="P4493" s="17" t="n">
        <v>11</v>
      </c>
      <c r="Q4493" s="17" t="str">
        <f aca="false">VLOOKUP(P4493,Sheet2!J:K,2,0)</f>
        <v>IR Declared due to CID -TA</v>
      </c>
      <c r="R4493" s="17" t="s">
        <v>35</v>
      </c>
      <c r="S4493" s="17" t="str">
        <f aca="false">VLOOKUP(R4493,Sheet2!N:O,2,0)</f>
        <v>IREPARABLE</v>
      </c>
      <c r="T4493" s="18" t="str">
        <f aca="false">VLOOKUP(P4493,Sheet2!Q:R,2,0)</f>
        <v>IR Normal - Track burn out</v>
      </c>
      <c r="U4493" s="20" t="s">
        <v>41</v>
      </c>
      <c r="V4493" s="17"/>
      <c r="W4493" s="20" t="e">
        <f aca="false">VLOOKUP(V4493,Sheet2!Q:R,2,0)</f>
        <v>#N/A</v>
      </c>
      <c r="X4493" s="17" t="n">
        <f aca="false">J4493</f>
        <v>0</v>
      </c>
      <c r="Y4493" s="17" t="e">
        <f aca="false">VLOOKUP(X4493,Sheet2!A:B,2,0)</f>
        <v>#N/A</v>
      </c>
      <c r="Z4493" s="17"/>
      <c r="AA4493" s="17"/>
      <c r="AC4493" s="23" t="str">
        <f aca="false">LEFT(G4493,2)</f>
        <v/>
      </c>
    </row>
    <row r="4494" customFormat="false" ht="15" hidden="false" customHeight="false" outlineLevel="0" collapsed="false">
      <c r="A4494" s="13" t="n">
        <f aca="false">1+A4493</f>
        <v>4492</v>
      </c>
      <c r="B4494" s="14" t="n">
        <v>100</v>
      </c>
      <c r="C4494" s="15"/>
      <c r="D4494" s="16" t="s">
        <v>64</v>
      </c>
      <c r="E4494" s="17" t="s">
        <v>47</v>
      </c>
      <c r="F4494" s="18" t="s">
        <v>34</v>
      </c>
      <c r="G4494" s="19"/>
      <c r="H4494" s="17" t="s">
        <v>35</v>
      </c>
      <c r="I4494" s="17" t="s">
        <v>44</v>
      </c>
      <c r="J4494" s="17"/>
      <c r="K4494" s="17" t="e">
        <f aca="false">VLOOKUP(J4494,Sheet2!A:B,2,0)</f>
        <v>#N/A</v>
      </c>
      <c r="L4494" s="17" t="n">
        <v>5</v>
      </c>
      <c r="M4494" s="17" t="str">
        <f aca="false">VLOOKUP(L4494,Sheet2!D:E,2,0)</f>
        <v>Main Processor CPU BGA</v>
      </c>
      <c r="N4494" s="17" t="n">
        <v>1</v>
      </c>
      <c r="O4494" s="17" t="str">
        <f aca="false">VLOOKUP(N4494,Sheet2!G:H,2,0)</f>
        <v>Dead</v>
      </c>
      <c r="P4494" s="17" t="n">
        <v>11</v>
      </c>
      <c r="Q4494" s="17" t="str">
        <f aca="false">VLOOKUP(P4494,Sheet2!J:K,2,0)</f>
        <v>IR Declared due to CID -TA</v>
      </c>
      <c r="R4494" s="17" t="s">
        <v>35</v>
      </c>
      <c r="S4494" s="17" t="str">
        <f aca="false">VLOOKUP(R4494,Sheet2!N:O,2,0)</f>
        <v>IREPARABLE</v>
      </c>
      <c r="T4494" s="18" t="str">
        <f aca="false">VLOOKUP(P4494,Sheet2!Q:R,2,0)</f>
        <v>IR Normal - Track burn out</v>
      </c>
      <c r="U4494" s="20" t="s">
        <v>41</v>
      </c>
      <c r="V4494" s="17"/>
      <c r="W4494" s="20" t="e">
        <f aca="false">VLOOKUP(V4494,Sheet2!Q:R,2,0)</f>
        <v>#N/A</v>
      </c>
      <c r="X4494" s="17" t="n">
        <f aca="false">J4494</f>
        <v>0</v>
      </c>
      <c r="Y4494" s="17" t="e">
        <f aca="false">VLOOKUP(X4494,Sheet2!A:B,2,0)</f>
        <v>#N/A</v>
      </c>
      <c r="Z4494" s="17"/>
      <c r="AA4494" s="17"/>
      <c r="AC4494" s="23" t="str">
        <f aca="false">LEFT(G4494,2)</f>
        <v/>
      </c>
    </row>
    <row r="4495" customFormat="false" ht="15" hidden="false" customHeight="false" outlineLevel="0" collapsed="false">
      <c r="A4495" s="13" t="n">
        <f aca="false">1+A4494</f>
        <v>4493</v>
      </c>
      <c r="B4495" s="14" t="n">
        <v>100</v>
      </c>
      <c r="C4495" s="15"/>
      <c r="D4495" s="16" t="s">
        <v>64</v>
      </c>
      <c r="E4495" s="17" t="s">
        <v>47</v>
      </c>
      <c r="F4495" s="18" t="s">
        <v>34</v>
      </c>
      <c r="G4495" s="19"/>
      <c r="H4495" s="17" t="s">
        <v>35</v>
      </c>
      <c r="I4495" s="17" t="s">
        <v>44</v>
      </c>
      <c r="J4495" s="17"/>
      <c r="K4495" s="17" t="e">
        <f aca="false">VLOOKUP(J4495,Sheet2!A:B,2,0)</f>
        <v>#N/A</v>
      </c>
      <c r="L4495" s="17" t="n">
        <v>5</v>
      </c>
      <c r="M4495" s="17" t="str">
        <f aca="false">VLOOKUP(L4495,Sheet2!D:E,2,0)</f>
        <v>Main Processor CPU BGA</v>
      </c>
      <c r="N4495" s="17" t="n">
        <v>1</v>
      </c>
      <c r="O4495" s="17" t="str">
        <f aca="false">VLOOKUP(N4495,Sheet2!G:H,2,0)</f>
        <v>Dead</v>
      </c>
      <c r="P4495" s="17" t="n">
        <v>11</v>
      </c>
      <c r="Q4495" s="17" t="str">
        <f aca="false">VLOOKUP(P4495,Sheet2!J:K,2,0)</f>
        <v>IR Declared due to CID -TA</v>
      </c>
      <c r="R4495" s="17" t="s">
        <v>35</v>
      </c>
      <c r="S4495" s="17" t="str">
        <f aca="false">VLOOKUP(R4495,Sheet2!N:O,2,0)</f>
        <v>IREPARABLE</v>
      </c>
      <c r="T4495" s="18" t="str">
        <f aca="false">VLOOKUP(P4495,Sheet2!Q:R,2,0)</f>
        <v>IR Normal - Track burn out</v>
      </c>
      <c r="U4495" s="20" t="s">
        <v>41</v>
      </c>
      <c r="V4495" s="17"/>
      <c r="W4495" s="20" t="e">
        <f aca="false">VLOOKUP(V4495,Sheet2!Q:R,2,0)</f>
        <v>#N/A</v>
      </c>
      <c r="X4495" s="17" t="n">
        <f aca="false">J4495</f>
        <v>0</v>
      </c>
      <c r="Y4495" s="17" t="e">
        <f aca="false">VLOOKUP(X4495,Sheet2!A:B,2,0)</f>
        <v>#N/A</v>
      </c>
      <c r="Z4495" s="17"/>
      <c r="AA4495" s="17"/>
      <c r="AC4495" s="23" t="str">
        <f aca="false">LEFT(G4495,2)</f>
        <v/>
      </c>
    </row>
    <row r="4496" customFormat="false" ht="15" hidden="false" customHeight="false" outlineLevel="0" collapsed="false">
      <c r="A4496" s="13" t="n">
        <f aca="false">1+A4495</f>
        <v>4494</v>
      </c>
      <c r="B4496" s="14" t="n">
        <v>100</v>
      </c>
      <c r="C4496" s="15"/>
      <c r="D4496" s="16" t="s">
        <v>64</v>
      </c>
      <c r="E4496" s="17" t="s">
        <v>47</v>
      </c>
      <c r="F4496" s="18" t="s">
        <v>34</v>
      </c>
      <c r="G4496" s="19"/>
      <c r="H4496" s="17" t="s">
        <v>35</v>
      </c>
      <c r="I4496" s="17" t="s">
        <v>44</v>
      </c>
      <c r="J4496" s="17"/>
      <c r="K4496" s="17" t="e">
        <f aca="false">VLOOKUP(J4496,Sheet2!A:B,2,0)</f>
        <v>#N/A</v>
      </c>
      <c r="L4496" s="17" t="n">
        <v>5</v>
      </c>
      <c r="M4496" s="17" t="str">
        <f aca="false">VLOOKUP(L4496,Sheet2!D:E,2,0)</f>
        <v>Main Processor CPU BGA</v>
      </c>
      <c r="N4496" s="17" t="n">
        <v>1</v>
      </c>
      <c r="O4496" s="17" t="str">
        <f aca="false">VLOOKUP(N4496,Sheet2!G:H,2,0)</f>
        <v>Dead</v>
      </c>
      <c r="P4496" s="17" t="n">
        <v>11</v>
      </c>
      <c r="Q4496" s="17" t="str">
        <f aca="false">VLOOKUP(P4496,Sheet2!J:K,2,0)</f>
        <v>IR Declared due to CID -TA</v>
      </c>
      <c r="R4496" s="17" t="s">
        <v>35</v>
      </c>
      <c r="S4496" s="17" t="str">
        <f aca="false">VLOOKUP(R4496,Sheet2!N:O,2,0)</f>
        <v>IREPARABLE</v>
      </c>
      <c r="T4496" s="18" t="str">
        <f aca="false">VLOOKUP(P4496,Sheet2!Q:R,2,0)</f>
        <v>IR Normal - Track burn out</v>
      </c>
      <c r="U4496" s="20" t="s">
        <v>41</v>
      </c>
      <c r="V4496" s="17"/>
      <c r="W4496" s="20" t="e">
        <f aca="false">VLOOKUP(V4496,Sheet2!Q:R,2,0)</f>
        <v>#N/A</v>
      </c>
      <c r="X4496" s="17" t="n">
        <f aca="false">J4496</f>
        <v>0</v>
      </c>
      <c r="Y4496" s="17" t="e">
        <f aca="false">VLOOKUP(X4496,Sheet2!A:B,2,0)</f>
        <v>#N/A</v>
      </c>
      <c r="Z4496" s="17"/>
      <c r="AA4496" s="17"/>
      <c r="AC4496" s="23" t="str">
        <f aca="false">LEFT(G4496,2)</f>
        <v/>
      </c>
    </row>
    <row r="4497" customFormat="false" ht="15" hidden="false" customHeight="false" outlineLevel="0" collapsed="false">
      <c r="A4497" s="13" t="n">
        <f aca="false">1+A4496</f>
        <v>4495</v>
      </c>
      <c r="B4497" s="14" t="n">
        <v>100</v>
      </c>
      <c r="C4497" s="15"/>
      <c r="D4497" s="16" t="s">
        <v>64</v>
      </c>
      <c r="E4497" s="17" t="s">
        <v>47</v>
      </c>
      <c r="F4497" s="18" t="s">
        <v>34</v>
      </c>
      <c r="G4497" s="19"/>
      <c r="H4497" s="17" t="s">
        <v>35</v>
      </c>
      <c r="I4497" s="17" t="s">
        <v>44</v>
      </c>
      <c r="J4497" s="17"/>
      <c r="K4497" s="17" t="e">
        <f aca="false">VLOOKUP(J4497,Sheet2!A:B,2,0)</f>
        <v>#N/A</v>
      </c>
      <c r="L4497" s="17" t="n">
        <v>5</v>
      </c>
      <c r="M4497" s="17" t="str">
        <f aca="false">VLOOKUP(L4497,Sheet2!D:E,2,0)</f>
        <v>Main Processor CPU BGA</v>
      </c>
      <c r="N4497" s="17" t="n">
        <v>1</v>
      </c>
      <c r="O4497" s="17" t="str">
        <f aca="false">VLOOKUP(N4497,Sheet2!G:H,2,0)</f>
        <v>Dead</v>
      </c>
      <c r="P4497" s="17" t="n">
        <v>11</v>
      </c>
      <c r="Q4497" s="17" t="str">
        <f aca="false">VLOOKUP(P4497,Sheet2!J:K,2,0)</f>
        <v>IR Declared due to CID -TA</v>
      </c>
      <c r="R4497" s="17" t="s">
        <v>35</v>
      </c>
      <c r="S4497" s="17" t="str">
        <f aca="false">VLOOKUP(R4497,Sheet2!N:O,2,0)</f>
        <v>IREPARABLE</v>
      </c>
      <c r="T4497" s="18" t="str">
        <f aca="false">VLOOKUP(P4497,Sheet2!Q:R,2,0)</f>
        <v>IR Normal - Track burn out</v>
      </c>
      <c r="U4497" s="20" t="s">
        <v>41</v>
      </c>
      <c r="V4497" s="17"/>
      <c r="W4497" s="20" t="e">
        <f aca="false">VLOOKUP(V4497,Sheet2!Q:R,2,0)</f>
        <v>#N/A</v>
      </c>
      <c r="X4497" s="17" t="n">
        <f aca="false">J4497</f>
        <v>0</v>
      </c>
      <c r="Y4497" s="17" t="e">
        <f aca="false">VLOOKUP(X4497,Sheet2!A:B,2,0)</f>
        <v>#N/A</v>
      </c>
      <c r="Z4497" s="17"/>
      <c r="AA4497" s="17"/>
      <c r="AC4497" s="23" t="str">
        <f aca="false">LEFT(G4497,2)</f>
        <v/>
      </c>
    </row>
    <row r="4498" customFormat="false" ht="15" hidden="false" customHeight="false" outlineLevel="0" collapsed="false">
      <c r="A4498" s="13" t="n">
        <f aca="false">1+A4497</f>
        <v>4496</v>
      </c>
      <c r="B4498" s="14" t="n">
        <v>100</v>
      </c>
      <c r="C4498" s="15"/>
      <c r="D4498" s="16" t="s">
        <v>64</v>
      </c>
      <c r="E4498" s="17" t="s">
        <v>47</v>
      </c>
      <c r="F4498" s="18" t="s">
        <v>34</v>
      </c>
      <c r="G4498" s="19"/>
      <c r="H4498" s="17" t="s">
        <v>35</v>
      </c>
      <c r="I4498" s="17" t="s">
        <v>44</v>
      </c>
      <c r="J4498" s="17"/>
      <c r="K4498" s="17" t="e">
        <f aca="false">VLOOKUP(J4498,Sheet2!A:B,2,0)</f>
        <v>#N/A</v>
      </c>
      <c r="L4498" s="17" t="n">
        <v>5</v>
      </c>
      <c r="M4498" s="17" t="str">
        <f aca="false">VLOOKUP(L4498,Sheet2!D:E,2,0)</f>
        <v>Main Processor CPU BGA</v>
      </c>
      <c r="N4498" s="17" t="n">
        <v>1</v>
      </c>
      <c r="O4498" s="17" t="str">
        <f aca="false">VLOOKUP(N4498,Sheet2!G:H,2,0)</f>
        <v>Dead</v>
      </c>
      <c r="P4498" s="17" t="n">
        <v>11</v>
      </c>
      <c r="Q4498" s="17" t="str">
        <f aca="false">VLOOKUP(P4498,Sheet2!J:K,2,0)</f>
        <v>IR Declared due to CID -TA</v>
      </c>
      <c r="R4498" s="17" t="s">
        <v>35</v>
      </c>
      <c r="S4498" s="17" t="str">
        <f aca="false">VLOOKUP(R4498,Sheet2!N:O,2,0)</f>
        <v>IREPARABLE</v>
      </c>
      <c r="T4498" s="18" t="str">
        <f aca="false">VLOOKUP(P4498,Sheet2!Q:R,2,0)</f>
        <v>IR Normal - Track burn out</v>
      </c>
      <c r="U4498" s="20" t="s">
        <v>41</v>
      </c>
      <c r="V4498" s="17"/>
      <c r="W4498" s="20" t="e">
        <f aca="false">VLOOKUP(V4498,Sheet2!Q:R,2,0)</f>
        <v>#N/A</v>
      </c>
      <c r="X4498" s="17" t="n">
        <f aca="false">J4498</f>
        <v>0</v>
      </c>
      <c r="Y4498" s="17" t="e">
        <f aca="false">VLOOKUP(X4498,Sheet2!A:B,2,0)</f>
        <v>#N/A</v>
      </c>
      <c r="Z4498" s="17"/>
      <c r="AA4498" s="17"/>
      <c r="AC4498" s="23" t="str">
        <f aca="false">LEFT(G4498,2)</f>
        <v/>
      </c>
    </row>
    <row r="4499" customFormat="false" ht="15" hidden="false" customHeight="false" outlineLevel="0" collapsed="false">
      <c r="A4499" s="13" t="n">
        <f aca="false">1+A4498</f>
        <v>4497</v>
      </c>
      <c r="B4499" s="14" t="n">
        <v>100</v>
      </c>
      <c r="C4499" s="15"/>
      <c r="D4499" s="16" t="s">
        <v>64</v>
      </c>
      <c r="E4499" s="17" t="s">
        <v>47</v>
      </c>
      <c r="F4499" s="18" t="s">
        <v>34</v>
      </c>
      <c r="G4499" s="19"/>
      <c r="H4499" s="17" t="s">
        <v>35</v>
      </c>
      <c r="I4499" s="17" t="s">
        <v>44</v>
      </c>
      <c r="J4499" s="17"/>
      <c r="K4499" s="17" t="e">
        <f aca="false">VLOOKUP(J4499,Sheet2!A:B,2,0)</f>
        <v>#N/A</v>
      </c>
      <c r="L4499" s="17" t="n">
        <v>5</v>
      </c>
      <c r="M4499" s="17" t="str">
        <f aca="false">VLOOKUP(L4499,Sheet2!D:E,2,0)</f>
        <v>Main Processor CPU BGA</v>
      </c>
      <c r="N4499" s="17" t="n">
        <v>1</v>
      </c>
      <c r="O4499" s="17" t="str">
        <f aca="false">VLOOKUP(N4499,Sheet2!G:H,2,0)</f>
        <v>Dead</v>
      </c>
      <c r="P4499" s="17" t="n">
        <v>11</v>
      </c>
      <c r="Q4499" s="17" t="str">
        <f aca="false">VLOOKUP(P4499,Sheet2!J:K,2,0)</f>
        <v>IR Declared due to CID -TA</v>
      </c>
      <c r="R4499" s="17" t="s">
        <v>35</v>
      </c>
      <c r="S4499" s="17" t="str">
        <f aca="false">VLOOKUP(R4499,Sheet2!N:O,2,0)</f>
        <v>IREPARABLE</v>
      </c>
      <c r="T4499" s="18" t="str">
        <f aca="false">VLOOKUP(P4499,Sheet2!Q:R,2,0)</f>
        <v>IR Normal - Track burn out</v>
      </c>
      <c r="U4499" s="20" t="s">
        <v>41</v>
      </c>
      <c r="V4499" s="17"/>
      <c r="W4499" s="20" t="e">
        <f aca="false">VLOOKUP(V4499,Sheet2!Q:R,2,0)</f>
        <v>#N/A</v>
      </c>
      <c r="X4499" s="17" t="n">
        <f aca="false">J4499</f>
        <v>0</v>
      </c>
      <c r="Y4499" s="17" t="e">
        <f aca="false">VLOOKUP(X4499,Sheet2!A:B,2,0)</f>
        <v>#N/A</v>
      </c>
      <c r="Z4499" s="17"/>
      <c r="AA4499" s="17"/>
      <c r="AC4499" s="23" t="str">
        <f aca="false">LEFT(G4499,2)</f>
        <v/>
      </c>
    </row>
    <row r="4500" customFormat="false" ht="15" hidden="false" customHeight="false" outlineLevel="0" collapsed="false">
      <c r="A4500" s="13" t="n">
        <f aca="false">1+A4499</f>
        <v>4498</v>
      </c>
      <c r="B4500" s="14" t="n">
        <v>100</v>
      </c>
      <c r="C4500" s="15"/>
      <c r="D4500" s="16" t="s">
        <v>64</v>
      </c>
      <c r="E4500" s="17" t="s">
        <v>47</v>
      </c>
      <c r="F4500" s="18" t="s">
        <v>34</v>
      </c>
      <c r="G4500" s="19"/>
      <c r="H4500" s="17" t="s">
        <v>35</v>
      </c>
      <c r="I4500" s="17" t="s">
        <v>44</v>
      </c>
      <c r="J4500" s="17"/>
      <c r="K4500" s="17" t="e">
        <f aca="false">VLOOKUP(J4500,Sheet2!A:B,2,0)</f>
        <v>#N/A</v>
      </c>
      <c r="L4500" s="17" t="n">
        <v>5</v>
      </c>
      <c r="M4500" s="17" t="str">
        <f aca="false">VLOOKUP(L4500,Sheet2!D:E,2,0)</f>
        <v>Main Processor CPU BGA</v>
      </c>
      <c r="N4500" s="17" t="n">
        <v>1</v>
      </c>
      <c r="O4500" s="17" t="str">
        <f aca="false">VLOOKUP(N4500,Sheet2!G:H,2,0)</f>
        <v>Dead</v>
      </c>
      <c r="P4500" s="17" t="n">
        <v>11</v>
      </c>
      <c r="Q4500" s="17" t="str">
        <f aca="false">VLOOKUP(P4500,Sheet2!J:K,2,0)</f>
        <v>IR Declared due to CID -TA</v>
      </c>
      <c r="R4500" s="17" t="s">
        <v>35</v>
      </c>
      <c r="S4500" s="17" t="str">
        <f aca="false">VLOOKUP(R4500,Sheet2!N:O,2,0)</f>
        <v>IREPARABLE</v>
      </c>
      <c r="T4500" s="18" t="str">
        <f aca="false">VLOOKUP(P4500,Sheet2!Q:R,2,0)</f>
        <v>IR Normal - Track burn out</v>
      </c>
      <c r="U4500" s="20" t="s">
        <v>41</v>
      </c>
      <c r="V4500" s="17"/>
      <c r="W4500" s="20" t="e">
        <f aca="false">VLOOKUP(V4500,Sheet2!Q:R,2,0)</f>
        <v>#N/A</v>
      </c>
      <c r="X4500" s="17" t="n">
        <f aca="false">J4500</f>
        <v>0</v>
      </c>
      <c r="Y4500" s="17" t="e">
        <f aca="false">VLOOKUP(X4500,Sheet2!A:B,2,0)</f>
        <v>#N/A</v>
      </c>
      <c r="Z4500" s="17"/>
      <c r="AA4500" s="17"/>
      <c r="AC4500" s="23" t="str">
        <f aca="false">LEFT(G4500,2)</f>
        <v/>
      </c>
    </row>
    <row r="4501" customFormat="false" ht="15" hidden="false" customHeight="false" outlineLevel="0" collapsed="false">
      <c r="A4501" s="13" t="n">
        <f aca="false">1+A4500</f>
        <v>4499</v>
      </c>
      <c r="B4501" s="14" t="n">
        <v>100</v>
      </c>
      <c r="C4501" s="15"/>
      <c r="D4501" s="16" t="s">
        <v>64</v>
      </c>
      <c r="E4501" s="17" t="s">
        <v>47</v>
      </c>
      <c r="F4501" s="18" t="s">
        <v>34</v>
      </c>
      <c r="G4501" s="19"/>
      <c r="H4501" s="17" t="s">
        <v>35</v>
      </c>
      <c r="I4501" s="17" t="s">
        <v>44</v>
      </c>
      <c r="J4501" s="17"/>
      <c r="K4501" s="17" t="e">
        <f aca="false">VLOOKUP(J4501,Sheet2!A:B,2,0)</f>
        <v>#N/A</v>
      </c>
      <c r="L4501" s="17" t="n">
        <v>5</v>
      </c>
      <c r="M4501" s="17" t="str">
        <f aca="false">VLOOKUP(L4501,Sheet2!D:E,2,0)</f>
        <v>Main Processor CPU BGA</v>
      </c>
      <c r="N4501" s="17" t="n">
        <v>1</v>
      </c>
      <c r="O4501" s="17" t="str">
        <f aca="false">VLOOKUP(N4501,Sheet2!G:H,2,0)</f>
        <v>Dead</v>
      </c>
      <c r="P4501" s="17" t="n">
        <v>11</v>
      </c>
      <c r="Q4501" s="17" t="str">
        <f aca="false">VLOOKUP(P4501,Sheet2!J:K,2,0)</f>
        <v>IR Declared due to CID -TA</v>
      </c>
      <c r="R4501" s="17" t="s">
        <v>35</v>
      </c>
      <c r="S4501" s="17" t="str">
        <f aca="false">VLOOKUP(R4501,Sheet2!N:O,2,0)</f>
        <v>IREPARABLE</v>
      </c>
      <c r="T4501" s="18" t="str">
        <f aca="false">VLOOKUP(P4501,Sheet2!Q:R,2,0)</f>
        <v>IR Normal - Track burn out</v>
      </c>
      <c r="U4501" s="20" t="s">
        <v>41</v>
      </c>
      <c r="V4501" s="17"/>
      <c r="W4501" s="20" t="e">
        <f aca="false">VLOOKUP(V4501,Sheet2!Q:R,2,0)</f>
        <v>#N/A</v>
      </c>
      <c r="X4501" s="17" t="n">
        <f aca="false">J4501</f>
        <v>0</v>
      </c>
      <c r="Y4501" s="17" t="e">
        <f aca="false">VLOOKUP(X4501,Sheet2!A:B,2,0)</f>
        <v>#N/A</v>
      </c>
      <c r="Z4501" s="17"/>
      <c r="AA4501" s="17"/>
      <c r="AC4501" s="23" t="str">
        <f aca="false">LEFT(G4501,2)</f>
        <v/>
      </c>
    </row>
    <row r="4502" customFormat="false" ht="15" hidden="false" customHeight="false" outlineLevel="0" collapsed="false">
      <c r="B4502" s="1"/>
      <c r="C4502" s="1"/>
    </row>
    <row r="4503" customFormat="false" ht="15" hidden="false" customHeight="false" outlineLevel="0" collapsed="false">
      <c r="B4503" s="1"/>
      <c r="C4503" s="1"/>
    </row>
  </sheetData>
  <conditionalFormatting sqref="F4003:G4076">
    <cfRule type="duplicateValues" priority="2" aboveAverage="0" equalAverage="0" bottom="0" percent="0" rank="0" text="" dxfId="0"/>
  </conditionalFormatting>
  <conditionalFormatting sqref="G1:G1048576">
    <cfRule type="duplicateValues" priority="3" aboveAverage="0" equalAverage="0" bottom="0" percent="0" rank="0" text="" dxfId="1"/>
  </conditionalFormatting>
  <conditionalFormatting sqref="G3194:G3195">
    <cfRule type="duplicateValues" priority="4" aboveAverage="0" equalAverage="0" bottom="0" percent="0" rank="0" text="" dxfId="2"/>
    <cfRule type="duplicateValues" priority="5" aboveAverage="0" equalAverage="0" bottom="0" percent="0" rank="0" text="" dxfId="3"/>
    <cfRule type="duplicateValues" priority="6" aboveAverage="0" equalAverage="0" bottom="0" percent="0" rank="0" text="" dxfId="4"/>
  </conditionalFormatting>
  <conditionalFormatting sqref="F3320:F3326">
    <cfRule type="duplicateValues" priority="7" aboveAverage="0" equalAverage="0" bottom="0" percent="0" rank="0" text="" dxfId="5"/>
    <cfRule type="duplicateValues" priority="8" aboveAverage="0" equalAverage="0" bottom="0" percent="0" rank="0" text="" dxfId="6"/>
  </conditionalFormatting>
  <conditionalFormatting sqref="G3320:G3326">
    <cfRule type="duplicateValues" priority="9" aboveAverage="0" equalAverage="0" bottom="0" percent="0" rank="0" text="" dxfId="7"/>
    <cfRule type="duplicateValues" priority="10" aboveAverage="0" equalAverage="0" bottom="0" percent="0" rank="0" text="" dxfId="8"/>
  </conditionalFormatting>
  <conditionalFormatting sqref="G3433">
    <cfRule type="duplicateValues" priority="11" aboveAverage="0" equalAverage="0" bottom="0" percent="0" rank="0" text="" dxfId="9"/>
    <cfRule type="duplicateValues" priority="12" aboveAverage="0" equalAverage="0" bottom="0" percent="0" rank="0" text="" dxfId="10"/>
  </conditionalFormatting>
  <conditionalFormatting sqref="G3476">
    <cfRule type="duplicateValues" priority="13" aboveAverage="0" equalAverage="0" bottom="0" percent="0" rank="0" text="" dxfId="11"/>
    <cfRule type="duplicateValues" priority="14" aboveAverage="0" equalAverage="0" bottom="0" percent="0" rank="0" text="" dxfId="12"/>
  </conditionalFormatting>
  <conditionalFormatting sqref="G3557">
    <cfRule type="duplicateValues" priority="15" aboveAverage="0" equalAverage="0" bottom="0" percent="0" rank="0" text="" dxfId="13"/>
    <cfRule type="duplicateValues" priority="16" aboveAverage="0" equalAverage="0" bottom="0" percent="0" rank="0" text="" dxfId="14"/>
  </conditionalFormatting>
  <conditionalFormatting sqref="G3562">
    <cfRule type="duplicateValues" priority="17" aboveAverage="0" equalAverage="0" bottom="0" percent="0" rank="0" text="" dxfId="15"/>
    <cfRule type="duplicateValues" priority="18" aboveAverage="0" equalAverage="0" bottom="0" percent="0" rank="0" text="" dxfId="16"/>
  </conditionalFormatting>
  <conditionalFormatting sqref="G3577">
    <cfRule type="duplicateValues" priority="19" aboveAverage="0" equalAverage="0" bottom="0" percent="0" rank="0" text="" dxfId="17"/>
    <cfRule type="duplicateValues" priority="20" aboveAverage="0" equalAverage="0" bottom="0" percent="0" rank="0" text="" dxfId="18"/>
  </conditionalFormatting>
  <conditionalFormatting sqref="G3584">
    <cfRule type="duplicateValues" priority="21" aboveAverage="0" equalAverage="0" bottom="0" percent="0" rank="0" text="" dxfId="19"/>
    <cfRule type="duplicateValues" priority="22" aboveAverage="0" equalAverage="0" bottom="0" percent="0" rank="0" text="" dxfId="20"/>
  </conditionalFormatting>
  <conditionalFormatting sqref="G3599">
    <cfRule type="duplicateValues" priority="23" aboveAverage="0" equalAverage="0" bottom="0" percent="0" rank="0" text="" dxfId="21"/>
    <cfRule type="duplicateValues" priority="24" aboveAverage="0" equalAverage="0" bottom="0" percent="0" rank="0" text="" dxfId="22"/>
  </conditionalFormatting>
  <conditionalFormatting sqref="G3601">
    <cfRule type="duplicateValues" priority="25" aboveAverage="0" equalAverage="0" bottom="0" percent="0" rank="0" text="" dxfId="23"/>
    <cfRule type="duplicateValues" priority="26" aboveAverage="0" equalAverage="0" bottom="0" percent="0" rank="0" text="" dxfId="24"/>
  </conditionalFormatting>
  <conditionalFormatting sqref="G3643">
    <cfRule type="duplicateValues" priority="27" aboveAverage="0" equalAverage="0" bottom="0" percent="0" rank="0" text="" dxfId="25"/>
    <cfRule type="duplicateValues" priority="28" aboveAverage="0" equalAverage="0" bottom="0" percent="0" rank="0" text="" dxfId="26"/>
  </conditionalFormatting>
  <conditionalFormatting sqref="G3671">
    <cfRule type="duplicateValues" priority="29" aboveAverage="0" equalAverage="0" bottom="0" percent="0" rank="0" text="" dxfId="27"/>
    <cfRule type="duplicateValues" priority="30" aboveAverage="0" equalAverage="0" bottom="0" percent="0" rank="0" text="" dxfId="28"/>
  </conditionalFormatting>
  <conditionalFormatting sqref="G3674">
    <cfRule type="duplicateValues" priority="31" aboveAverage="0" equalAverage="0" bottom="0" percent="0" rank="0" text="" dxfId="29"/>
    <cfRule type="duplicateValues" priority="32" aboveAverage="0" equalAverage="0" bottom="0" percent="0" rank="0" text="" dxfId="30"/>
  </conditionalFormatting>
  <conditionalFormatting sqref="G3685">
    <cfRule type="duplicateValues" priority="33" aboveAverage="0" equalAverage="0" bottom="0" percent="0" rank="0" text="" dxfId="31"/>
    <cfRule type="duplicateValues" priority="34" aboveAverage="0" equalAverage="0" bottom="0" percent="0" rank="0" text="" dxfId="32"/>
  </conditionalFormatting>
  <conditionalFormatting sqref="G3686">
    <cfRule type="duplicateValues" priority="35" aboveAverage="0" equalAverage="0" bottom="0" percent="0" rank="0" text="" dxfId="33"/>
    <cfRule type="duplicateValues" priority="36" aboveAverage="0" equalAverage="0" bottom="0" percent="0" rank="0" text="" dxfId="34"/>
  </conditionalFormatting>
  <conditionalFormatting sqref="G3689">
    <cfRule type="duplicateValues" priority="37" aboveAverage="0" equalAverage="0" bottom="0" percent="0" rank="0" text="" dxfId="35"/>
    <cfRule type="duplicateValues" priority="38" aboveAverage="0" equalAverage="0" bottom="0" percent="0" rank="0" text="" dxfId="36"/>
  </conditionalFormatting>
  <conditionalFormatting sqref="G3691">
    <cfRule type="duplicateValues" priority="39" aboveAverage="0" equalAverage="0" bottom="0" percent="0" rank="0" text="" dxfId="37"/>
    <cfRule type="duplicateValues" priority="40" aboveAverage="0" equalAverage="0" bottom="0" percent="0" rank="0" text="" dxfId="38"/>
  </conditionalFormatting>
  <conditionalFormatting sqref="G3711">
    <cfRule type="duplicateValues" priority="41" aboveAverage="0" equalAverage="0" bottom="0" percent="0" rank="0" text="" dxfId="39"/>
    <cfRule type="duplicateValues" priority="42" aboveAverage="0" equalAverage="0" bottom="0" percent="0" rank="0" text="" dxfId="40"/>
  </conditionalFormatting>
  <conditionalFormatting sqref="G3717">
    <cfRule type="duplicateValues" priority="43" aboveAverage="0" equalAverage="0" bottom="0" percent="0" rank="0" text="" dxfId="41"/>
    <cfRule type="duplicateValues" priority="44" aboveAverage="0" equalAverage="0" bottom="0" percent="0" rank="0" text="" dxfId="42"/>
  </conditionalFormatting>
  <conditionalFormatting sqref="G3727">
    <cfRule type="duplicateValues" priority="45" aboveAverage="0" equalAverage="0" bottom="0" percent="0" rank="0" text="" dxfId="43"/>
    <cfRule type="duplicateValues" priority="46" aboveAverage="0" equalAverage="0" bottom="0" percent="0" rank="0" text="" dxfId="44"/>
  </conditionalFormatting>
  <conditionalFormatting sqref="G3748">
    <cfRule type="duplicateValues" priority="47" aboveAverage="0" equalAverage="0" bottom="0" percent="0" rank="0" text="" dxfId="45"/>
    <cfRule type="duplicateValues" priority="48" aboveAverage="0" equalAverage="0" bottom="0" percent="0" rank="0" text="" dxfId="46"/>
  </conditionalFormatting>
  <conditionalFormatting sqref="G3751">
    <cfRule type="duplicateValues" priority="49" aboveAverage="0" equalAverage="0" bottom="0" percent="0" rank="0" text="" dxfId="47"/>
    <cfRule type="duplicateValues" priority="50" aboveAverage="0" equalAverage="0" bottom="0" percent="0" rank="0" text="" dxfId="48"/>
  </conditionalFormatting>
  <conditionalFormatting sqref="G3760">
    <cfRule type="duplicateValues" priority="51" aboveAverage="0" equalAverage="0" bottom="0" percent="0" rank="0" text="" dxfId="49"/>
    <cfRule type="duplicateValues" priority="52" aboveAverage="0" equalAverage="0" bottom="0" percent="0" rank="0" text="" dxfId="50"/>
  </conditionalFormatting>
  <conditionalFormatting sqref="G3764">
    <cfRule type="duplicateValues" priority="53" aboveAverage="0" equalAverage="0" bottom="0" percent="0" rank="0" text="" dxfId="51"/>
    <cfRule type="duplicateValues" priority="54" aboveAverage="0" equalAverage="0" bottom="0" percent="0" rank="0" text="" dxfId="52"/>
  </conditionalFormatting>
  <conditionalFormatting sqref="G3767">
    <cfRule type="duplicateValues" priority="55" aboveAverage="0" equalAverage="0" bottom="0" percent="0" rank="0" text="" dxfId="53"/>
    <cfRule type="duplicateValues" priority="56" aboveAverage="0" equalAverage="0" bottom="0" percent="0" rank="0" text="" dxfId="54"/>
  </conditionalFormatting>
  <conditionalFormatting sqref="G3815">
    <cfRule type="duplicateValues" priority="57" aboveAverage="0" equalAverage="0" bottom="0" percent="0" rank="0" text="" dxfId="55"/>
    <cfRule type="duplicateValues" priority="58" aboveAverage="0" equalAverage="0" bottom="0" percent="0" rank="0" text="" dxfId="56"/>
  </conditionalFormatting>
  <conditionalFormatting sqref="G3822">
    <cfRule type="duplicateValues" priority="59" aboveAverage="0" equalAverage="0" bottom="0" percent="0" rank="0" text="" dxfId="57"/>
    <cfRule type="duplicateValues" priority="60" aboveAverage="0" equalAverage="0" bottom="0" percent="0" rank="0" text="" dxfId="58"/>
  </conditionalFormatting>
  <conditionalFormatting sqref="G3823">
    <cfRule type="duplicateValues" priority="61" aboveAverage="0" equalAverage="0" bottom="0" percent="0" rank="0" text="" dxfId="59"/>
    <cfRule type="duplicateValues" priority="62" aboveAverage="0" equalAverage="0" bottom="0" percent="0" rank="0" text="" dxfId="60"/>
  </conditionalFormatting>
  <conditionalFormatting sqref="G3827">
    <cfRule type="duplicateValues" priority="63" aboveAverage="0" equalAverage="0" bottom="0" percent="0" rank="0" text="" dxfId="61"/>
    <cfRule type="duplicateValues" priority="64" aboveAverage="0" equalAverage="0" bottom="0" percent="0" rank="0" text="" dxfId="62"/>
  </conditionalFormatting>
  <conditionalFormatting sqref="G3828">
    <cfRule type="duplicateValues" priority="65" aboveAverage="0" equalAverage="0" bottom="0" percent="0" rank="0" text="" dxfId="63"/>
    <cfRule type="duplicateValues" priority="66" aboveAverage="0" equalAverage="0" bottom="0" percent="0" rank="0" text="" dxfId="64"/>
  </conditionalFormatting>
  <conditionalFormatting sqref="G3835">
    <cfRule type="duplicateValues" priority="67" aboveAverage="0" equalAverage="0" bottom="0" percent="0" rank="0" text="" dxfId="65"/>
    <cfRule type="duplicateValues" priority="68" aboveAverage="0" equalAverage="0" bottom="0" percent="0" rank="0" text="" dxfId="66"/>
  </conditionalFormatting>
  <conditionalFormatting sqref="G3840">
    <cfRule type="duplicateValues" priority="69" aboveAverage="0" equalAverage="0" bottom="0" percent="0" rank="0" text="" dxfId="67"/>
    <cfRule type="duplicateValues" priority="70" aboveAverage="0" equalAverage="0" bottom="0" percent="0" rank="0" text="" dxfId="68"/>
  </conditionalFormatting>
  <conditionalFormatting sqref="G3842">
    <cfRule type="duplicateValues" priority="71" aboveAverage="0" equalAverage="0" bottom="0" percent="0" rank="0" text="" dxfId="69"/>
    <cfRule type="duplicateValues" priority="72" aboveAverage="0" equalAverage="0" bottom="0" percent="0" rank="0" text="" dxfId="70"/>
  </conditionalFormatting>
  <conditionalFormatting sqref="G3857">
    <cfRule type="duplicateValues" priority="73" aboveAverage="0" equalAverage="0" bottom="0" percent="0" rank="0" text="" dxfId="71"/>
    <cfRule type="duplicateValues" priority="74" aboveAverage="0" equalAverage="0" bottom="0" percent="0" rank="0" text="" dxfId="72"/>
  </conditionalFormatting>
  <conditionalFormatting sqref="G3879">
    <cfRule type="duplicateValues" priority="75" aboveAverage="0" equalAverage="0" bottom="0" percent="0" rank="0" text="" dxfId="73"/>
    <cfRule type="duplicateValues" priority="76" aboveAverage="0" equalAverage="0" bottom="0" percent="0" rank="0" text="" dxfId="74"/>
  </conditionalFormatting>
  <conditionalFormatting sqref="B1:B1048576">
    <cfRule type="duplicateValues" priority="77" aboveAverage="0" equalAverage="0" bottom="0" percent="0" rank="0" text="" dxfId="75"/>
  </conditionalFormatting>
  <conditionalFormatting sqref="G4089">
    <cfRule type="duplicateValues" priority="78" aboveAverage="0" equalAverage="0" bottom="0" percent="0" rank="0" text="" dxfId="76"/>
    <cfRule type="duplicateValues" priority="79" aboveAverage="0" equalAverage="0" bottom="0" percent="0" rank="0" text="" dxfId="77"/>
  </conditionalFormatting>
  <conditionalFormatting sqref="D4502">
    <cfRule type="duplicateValues" priority="80" aboveAverage="0" equalAverage="0" bottom="0" percent="0" rank="0" text="" dxfId="78"/>
  </conditionalFormatting>
  <conditionalFormatting sqref="D4503">
    <cfRule type="duplicateValues" priority="81" aboveAverage="0" equalAverage="0" bottom="0" percent="0" rank="0" text="" dxfId="79"/>
  </conditionalFormatting>
  <conditionalFormatting sqref="B539:B594">
    <cfRule type="duplicateValues" priority="82" aboveAverage="0" equalAverage="0" bottom="0" percent="0" rank="0" text="" dxfId="80"/>
  </conditionalFormatting>
  <conditionalFormatting sqref="G539:G594">
    <cfRule type="duplicateValues" priority="83" aboveAverage="0" equalAverage="0" bottom="0" percent="0" rank="0" text="" dxfId="81"/>
    <cfRule type="duplicateValues" priority="84" aboveAverage="0" equalAverage="0" bottom="0" percent="0" rank="0" text="" dxfId="82"/>
  </conditionalFormatting>
  <conditionalFormatting sqref="B595:B606">
    <cfRule type="duplicateValues" priority="85" aboveAverage="0" equalAverage="0" bottom="0" percent="0" rank="0" text="" dxfId="83"/>
  </conditionalFormatting>
  <conditionalFormatting sqref="G595:G606">
    <cfRule type="duplicateValues" priority="86" aboveAverage="0" equalAverage="0" bottom="0" percent="0" rank="0" text="" dxfId="84"/>
    <cfRule type="duplicateValues" priority="87" aboveAverage="0" equalAverage="0" bottom="0" percent="0" rank="0" text="" dxfId="85"/>
  </conditionalFormatting>
  <conditionalFormatting sqref="B607:B650">
    <cfRule type="duplicateValues" priority="88" aboveAverage="0" equalAverage="0" bottom="0" percent="0" rank="0" text="" dxfId="86"/>
  </conditionalFormatting>
  <conditionalFormatting sqref="G607:G650">
    <cfRule type="duplicateValues" priority="89" aboveAverage="0" equalAverage="0" bottom="0" percent="0" rank="0" text="" dxfId="87"/>
    <cfRule type="duplicateValues" priority="90" aboveAverage="0" equalAverage="0" bottom="0" percent="0" rank="0" text="" dxfId="88"/>
  </conditionalFormatting>
  <conditionalFormatting sqref="B651">
    <cfRule type="duplicateValues" priority="91" aboveAverage="0" equalAverage="0" bottom="0" percent="0" rank="0" text="" dxfId="89"/>
  </conditionalFormatting>
  <conditionalFormatting sqref="B651:B731">
    <cfRule type="duplicateValues" priority="92" aboveAverage="0" equalAverage="0" bottom="0" percent="0" rank="0" text="" dxfId="90"/>
  </conditionalFormatting>
  <conditionalFormatting sqref="G651:G731">
    <cfRule type="duplicateValues" priority="93" aboveAverage="0" equalAverage="0" bottom="0" percent="0" rank="0" text="" dxfId="91"/>
    <cfRule type="duplicateValues" priority="94" aboveAverage="0" equalAverage="0" bottom="0" percent="0" rank="0" text="" dxfId="92"/>
  </conditionalFormatting>
  <conditionalFormatting sqref="B539:B731">
    <cfRule type="duplicateValues" priority="95" aboveAverage="0" equalAverage="0" bottom="0" percent="0" rank="0" text="" dxfId="93"/>
  </conditionalFormatting>
  <conditionalFormatting sqref="C700">
    <cfRule type="duplicateValues" priority="96" aboveAverage="0" equalAverage="0" bottom="0" percent="0" rank="0" text="" dxfId="94"/>
  </conditionalFormatting>
  <conditionalFormatting sqref="G539:G731">
    <cfRule type="duplicateValues" priority="97" aboveAverage="0" equalAverage="0" bottom="0" percent="0" rank="0" text="" dxfId="95"/>
    <cfRule type="duplicateValues" priority="98" aboveAverage="0" equalAverage="0" bottom="0" percent="0" rank="0" text="" dxfId="96"/>
  </conditionalFormatting>
  <conditionalFormatting sqref="B753:B978">
    <cfRule type="duplicateValues" priority="99" aboveAverage="0" equalAverage="0" bottom="0" percent="0" rank="0" text="" dxfId="97"/>
  </conditionalFormatting>
  <conditionalFormatting sqref="B753:B771">
    <cfRule type="duplicateValues" priority="100" aboveAverage="0" equalAverage="0" bottom="0" percent="0" rank="0" text="" dxfId="98"/>
  </conditionalFormatting>
  <conditionalFormatting sqref="B772">
    <cfRule type="duplicateValues" priority="101" aboveAverage="0" equalAverage="0" bottom="0" percent="0" rank="0" text="" dxfId="99"/>
  </conditionalFormatting>
  <conditionalFormatting sqref="B772:B898">
    <cfRule type="duplicateValues" priority="102" aboveAverage="0" equalAverage="0" bottom="0" percent="0" rank="0" text="" dxfId="100"/>
  </conditionalFormatting>
  <conditionalFormatting sqref="B753:B898">
    <cfRule type="duplicateValues" priority="103" aboveAverage="0" equalAverage="0" bottom="0" percent="0" rank="0" text="" dxfId="101"/>
  </conditionalFormatting>
  <conditionalFormatting sqref="C821">
    <cfRule type="duplicateValues" priority="104" aboveAverage="0" equalAverage="0" bottom="0" percent="0" rank="0" text="" dxfId="102"/>
  </conditionalFormatting>
  <conditionalFormatting sqref="B853:B978">
    <cfRule type="duplicateValues" priority="105" aboveAverage="0" equalAverage="0" bottom="0" percent="0" rank="0" text="" dxfId="103"/>
  </conditionalFormatting>
  <conditionalFormatting sqref="B920:B922">
    <cfRule type="duplicateValues" priority="106" aboveAverage="0" equalAverage="0" bottom="0" percent="0" rank="0" text="" dxfId="104"/>
  </conditionalFormatting>
  <conditionalFormatting sqref="F907 F775 F770:F773 F785 F778:F781 F799:F800 F797 F803:F805 F825:F827 F835:F836 F841:F843 F839 F854:F855 F851:F852 F754 F756:F760 F762:F764 F766:F768 F787 F789:F791 F793 F795 F808 F811:F816 F819 F821 F830 F832 F858 F862:F864 F868:F870 F873 F876 F879 F882:F883 F885 F888:F890 F893 F896:F897 F900:F904 F909:F911 F913 F916:F917 F920:F921">
    <cfRule type="duplicateValues" priority="107" aboveAverage="0" equalAverage="0" bottom="0" percent="0" rank="0" text="" dxfId="105"/>
  </conditionalFormatting>
  <conditionalFormatting sqref="F754 F756:F760 F762:F764 F766:F768 F770:F771">
    <cfRule type="duplicateValues" priority="108" aboveAverage="0" equalAverage="0" bottom="0" percent="0" rank="0" text="" dxfId="106"/>
    <cfRule type="duplicateValues" priority="109" aboveAverage="0" equalAverage="0" bottom="0" percent="0" rank="0" text="" dxfId="107"/>
  </conditionalFormatting>
  <conditionalFormatting sqref="F772:F773 F775 F839 F785 F778:F781 F799:F800 F797 F803:F805 F825:F827 F835:F836 F841:F843 F787 F789:F791 F793 F795 F808 F811:F816 F819 F821 F830 F832 F851:F852">
    <cfRule type="duplicateValues" priority="110" aboveAverage="0" equalAverage="0" bottom="0" percent="0" rank="0" text="" dxfId="108"/>
    <cfRule type="duplicateValues" priority="111" aboveAverage="0" equalAverage="0" bottom="0" percent="0" rank="0" text="" dxfId="109"/>
  </conditionalFormatting>
  <conditionalFormatting sqref="F839 F775 F770:F773 F785 F778:F781 F799:F800 F797 F803:F805 F825:F827 F835:F836 F841:F843 F754 F756:F760 F762:F764 F766:F768 F787 F789:F791 F793 F795 F808 F811:F816 F819 F821 F830 F832 F851:F852">
    <cfRule type="duplicateValues" priority="112" aboveAverage="0" equalAverage="0" bottom="0" percent="0" rank="0" text="" dxfId="110"/>
    <cfRule type="duplicateValues" priority="113" aboveAverage="0" equalAverage="0" bottom="0" percent="0" rank="0" text="" dxfId="111"/>
  </conditionalFormatting>
  <conditionalFormatting sqref="F854:F855 F907 F858 F862:F864 F868:F870 F873 F876 F879 F882:F883 F885 F888:F890 F893 F896:F897 F900:F904 F909:F911 F913 F916:F917">
    <cfRule type="duplicateValues" priority="114" aboveAverage="0" equalAverage="0" bottom="0" percent="0" rank="0" text="" dxfId="112"/>
    <cfRule type="duplicateValues" priority="115" aboveAverage="0" equalAverage="0" bottom="0" percent="0" rank="0" text="" dxfId="113"/>
  </conditionalFormatting>
  <conditionalFormatting sqref="F920:F921">
    <cfRule type="duplicateValues" priority="116" aboveAverage="0" equalAverage="0" bottom="0" percent="0" rank="0" text="" dxfId="114"/>
    <cfRule type="duplicateValues" priority="117" aboveAverage="0" equalAverage="0" bottom="0" percent="0" rank="0" text="" dxfId="115"/>
  </conditionalFormatting>
  <conditionalFormatting sqref="G753:G922">
    <cfRule type="duplicateValues" priority="118" aboveAverage="0" equalAverage="0" bottom="0" percent="0" rank="0" text="" dxfId="116"/>
  </conditionalFormatting>
  <conditionalFormatting sqref="G753:G771">
    <cfRule type="duplicateValues" priority="119" aboveAverage="0" equalAverage="0" bottom="0" percent="0" rank="0" text="" dxfId="117"/>
    <cfRule type="duplicateValues" priority="120" aboveAverage="0" equalAverage="0" bottom="0" percent="0" rank="0" text="" dxfId="118"/>
  </conditionalFormatting>
  <conditionalFormatting sqref="G772:G852">
    <cfRule type="duplicateValues" priority="121" aboveAverage="0" equalAverage="0" bottom="0" percent="0" rank="0" text="" dxfId="119"/>
    <cfRule type="duplicateValues" priority="122" aboveAverage="0" equalAverage="0" bottom="0" percent="0" rank="0" text="" dxfId="120"/>
  </conditionalFormatting>
  <conditionalFormatting sqref="G753:G852">
    <cfRule type="duplicateValues" priority="123" aboveAverage="0" equalAverage="0" bottom="0" percent="0" rank="0" text="" dxfId="121"/>
    <cfRule type="duplicateValues" priority="124" aboveAverage="0" equalAverage="0" bottom="0" percent="0" rank="0" text="" dxfId="122"/>
  </conditionalFormatting>
  <conditionalFormatting sqref="G853:G919">
    <cfRule type="duplicateValues" priority="125" aboveAverage="0" equalAverage="0" bottom="0" percent="0" rank="0" text="" dxfId="123"/>
    <cfRule type="duplicateValues" priority="126" aboveAverage="0" equalAverage="0" bottom="0" percent="0" rank="0" text="" dxfId="124"/>
  </conditionalFormatting>
  <conditionalFormatting sqref="G920:G922">
    <cfRule type="duplicateValues" priority="127" aboveAverage="0" equalAverage="0" bottom="0" percent="0" rank="0" text="" dxfId="125"/>
    <cfRule type="duplicateValues" priority="128" aboveAverage="0" equalAverage="0" bottom="0" percent="0" rank="0" text="" dxfId="126"/>
  </conditionalFormatting>
  <conditionalFormatting sqref="B923:B957">
    <cfRule type="duplicateValues" priority="129" aboveAverage="0" equalAverage="0" bottom="0" percent="0" rank="0" text="" dxfId="127"/>
  </conditionalFormatting>
  <conditionalFormatting sqref="G923:G957">
    <cfRule type="duplicateValues" priority="130" aboveAverage="0" equalAverage="0" bottom="0" percent="0" rank="0" text="" dxfId="128"/>
    <cfRule type="duplicateValues" priority="131" aboveAverage="0" equalAverage="0" bottom="0" percent="0" rank="0" text="" dxfId="129"/>
  </conditionalFormatting>
  <conditionalFormatting sqref="B958:B1068">
    <cfRule type="duplicateValues" priority="132" aboveAverage="0" equalAverage="0" bottom="0" percent="0" rank="0" text="" dxfId="130"/>
  </conditionalFormatting>
  <conditionalFormatting sqref="G958:G1036">
    <cfRule type="duplicateValues" priority="133" aboveAverage="0" equalAverage="0" bottom="0" percent="0" rank="0" text="" dxfId="131"/>
    <cfRule type="duplicateValues" priority="134" aboveAverage="0" equalAverage="0" bottom="0" percent="0" rank="0" text="" dxfId="132"/>
  </conditionalFormatting>
  <conditionalFormatting sqref="B1037:B1056">
    <cfRule type="duplicateValues" priority="135" aboveAverage="0" equalAverage="0" bottom="0" percent="0" rank="0" text="" dxfId="133"/>
  </conditionalFormatting>
  <conditionalFormatting sqref="G1037:G1056">
    <cfRule type="duplicateValues" priority="136" aboveAverage="0" equalAverage="0" bottom="0" percent="0" rank="0" text="" dxfId="134"/>
    <cfRule type="duplicateValues" priority="137" aboveAverage="0" equalAverage="0" bottom="0" percent="0" rank="0" text="" dxfId="135"/>
  </conditionalFormatting>
  <conditionalFormatting sqref="B76:B112">
    <cfRule type="duplicateValues" priority="138" aboveAverage="0" equalAverage="0" bottom="0" percent="0" rank="0" text="" dxfId="136"/>
  </conditionalFormatting>
  <conditionalFormatting sqref="G76:G112">
    <cfRule type="duplicateValues" priority="139" aboveAverage="0" equalAverage="0" bottom="0" percent="0" rank="0" text="" dxfId="137"/>
    <cfRule type="duplicateValues" priority="140" aboveAverage="0" equalAverage="0" bottom="0" percent="0" rank="0" text="" dxfId="138"/>
  </conditionalFormatting>
  <conditionalFormatting sqref="B185">
    <cfRule type="duplicateValues" priority="141" aboveAverage="0" equalAverage="0" bottom="0" percent="0" rank="0" text="" dxfId="139"/>
  </conditionalFormatting>
  <conditionalFormatting sqref="B185:B236">
    <cfRule type="duplicateValues" priority="142" aboveAverage="0" equalAverage="0" bottom="0" percent="0" rank="0" text="" dxfId="140"/>
  </conditionalFormatting>
  <conditionalFormatting sqref="G185:G236">
    <cfRule type="duplicateValues" priority="143" aboveAverage="0" equalAverage="0" bottom="0" percent="0" rank="0" text="" dxfId="141"/>
    <cfRule type="duplicateValues" priority="144" aboveAverage="0" equalAverage="0" bottom="0" percent="0" rank="0" text="" dxfId="142"/>
  </conditionalFormatting>
  <conditionalFormatting sqref="B237:B281">
    <cfRule type="duplicateValues" priority="145" aboveAverage="0" equalAverage="0" bottom="0" percent="0" rank="0" text="" dxfId="143"/>
  </conditionalFormatting>
  <conditionalFormatting sqref="G237:G281">
    <cfRule type="duplicateValues" priority="146" aboveAverage="0" equalAverage="0" bottom="0" percent="0" rank="0" text="" dxfId="144"/>
    <cfRule type="duplicateValues" priority="147" aboveAverage="0" equalAverage="0" bottom="0" percent="0" rank="0" text="" dxfId="145"/>
  </conditionalFormatting>
  <conditionalFormatting sqref="B282:B315">
    <cfRule type="duplicateValues" priority="148" aboveAverage="0" equalAverage="0" bottom="0" percent="0" rank="0" text="" dxfId="146"/>
  </conditionalFormatting>
  <conditionalFormatting sqref="G282:G315">
    <cfRule type="duplicateValues" priority="149" aboveAverage="0" equalAverage="0" bottom="0" percent="0" rank="0" text="" dxfId="147"/>
    <cfRule type="duplicateValues" priority="150" aboveAverage="0" equalAverage="0" bottom="0" percent="0" rank="0" text="" dxfId="148"/>
  </conditionalFormatting>
  <conditionalFormatting sqref="G282">
    <cfRule type="duplicateValues" priority="151" aboveAverage="0" equalAverage="0" bottom="0" percent="0" rank="0" text="" dxfId="149"/>
    <cfRule type="duplicateValues" priority="152" aboveAverage="0" equalAverage="0" bottom="0" percent="0" rank="0" text="" dxfId="150"/>
  </conditionalFormatting>
  <conditionalFormatting sqref="G305">
    <cfRule type="duplicateValues" priority="153" aboveAverage="0" equalAverage="0" bottom="0" percent="0" rank="0" text="" dxfId="151"/>
    <cfRule type="duplicateValues" priority="154" aboveAverage="0" equalAverage="0" bottom="0" percent="0" rank="0" text="" dxfId="152"/>
  </conditionalFormatting>
  <conditionalFormatting sqref="B316:B361">
    <cfRule type="duplicateValues" priority="155" aboveAverage="0" equalAverage="0" bottom="0" percent="0" rank="0" text="" dxfId="153"/>
  </conditionalFormatting>
  <conditionalFormatting sqref="G316:G361">
    <cfRule type="duplicateValues" priority="156" aboveAverage="0" equalAverage="0" bottom="0" percent="0" rank="0" text="" dxfId="154"/>
    <cfRule type="duplicateValues" priority="157" aboveAverage="0" equalAverage="0" bottom="0" percent="0" rank="0" text="" dxfId="155"/>
  </conditionalFormatting>
  <conditionalFormatting sqref="B362:B464">
    <cfRule type="duplicateValues" priority="158" aboveAverage="0" equalAverage="0" bottom="0" percent="0" rank="0" text="" dxfId="156"/>
  </conditionalFormatting>
  <conditionalFormatting sqref="G362:G464">
    <cfRule type="duplicateValues" priority="159" aboveAverage="0" equalAverage="0" bottom="0" percent="0" rank="0" text="" dxfId="157"/>
    <cfRule type="duplicateValues" priority="160" aboveAverage="0" equalAverage="0" bottom="0" percent="0" rank="0" text="" dxfId="158"/>
  </conditionalFormatting>
  <conditionalFormatting sqref="B465:B481">
    <cfRule type="duplicateValues" priority="161" aboveAverage="0" equalAverage="0" bottom="0" percent="0" rank="0" text="" dxfId="159"/>
  </conditionalFormatting>
  <conditionalFormatting sqref="G465:G481">
    <cfRule type="duplicateValues" priority="162" aboveAverage="0" equalAverage="0" bottom="0" percent="0" rank="0" text="" dxfId="160"/>
    <cfRule type="duplicateValues" priority="163" aboveAverage="0" equalAverage="0" bottom="0" percent="0" rank="0" text="" dxfId="161"/>
  </conditionalFormatting>
  <conditionalFormatting sqref="B483:B548">
    <cfRule type="duplicateValues" priority="164" aboveAverage="0" equalAverage="0" bottom="0" percent="0" rank="0" text="" dxfId="162"/>
  </conditionalFormatting>
  <conditionalFormatting sqref="B538">
    <cfRule type="duplicateValues" priority="165" aboveAverage="0" equalAverage="0" bottom="0" percent="0" rank="0" text="" dxfId="163"/>
  </conditionalFormatting>
  <conditionalFormatting sqref="G483:G548">
    <cfRule type="duplicateValues" priority="166" aboveAverage="0" equalAverage="0" bottom="0" percent="0" rank="0" text="" dxfId="164"/>
    <cfRule type="duplicateValues" priority="167" aboveAverage="0" equalAverage="0" bottom="0" percent="0" rank="0" text="" dxfId="165"/>
  </conditionalFormatting>
  <conditionalFormatting sqref="G538">
    <cfRule type="duplicateValues" priority="168" aboveAverage="0" equalAverage="0" bottom="0" percent="0" rank="0" text="" dxfId="166"/>
    <cfRule type="duplicateValues" priority="169" aboveAverage="0" equalAverage="0" bottom="0" percent="0" rank="0" text="" dxfId="167"/>
    <cfRule type="duplicateValues" priority="170" aboveAverage="0" equalAverage="0" bottom="0" percent="0" rank="0" text="" dxfId="168"/>
  </conditionalFormatting>
  <conditionalFormatting sqref="G538">
    <cfRule type="duplicateValues" priority="171" aboveAverage="0" equalAverage="0" bottom="0" percent="0" rank="0" text="" dxfId="169"/>
    <cfRule type="duplicateValues" priority="172" aboveAverage="0" equalAverage="0" bottom="0" percent="0" rank="0" text="" dxfId="170"/>
  </conditionalFormatting>
  <conditionalFormatting sqref="B549:B649">
    <cfRule type="duplicateValues" priority="173" aboveAverage="0" equalAverage="0" bottom="0" percent="0" rank="0" text="" dxfId="171"/>
  </conditionalFormatting>
  <conditionalFormatting sqref="G549:G649">
    <cfRule type="duplicateValues" priority="174" aboveAverage="0" equalAverage="0" bottom="0" percent="0" rank="0" text="" dxfId="172"/>
    <cfRule type="duplicateValues" priority="175" aboveAverage="0" equalAverage="0" bottom="0" percent="0" rank="0" text="" dxfId="173"/>
  </conditionalFormatting>
  <conditionalFormatting sqref="B650:B743">
    <cfRule type="duplicateValues" priority="176" aboveAverage="0" equalAverage="0" bottom="0" percent="0" rank="0" text="" dxfId="174"/>
  </conditionalFormatting>
  <conditionalFormatting sqref="G650:G743">
    <cfRule type="duplicateValues" priority="177" aboveAverage="0" equalAverage="0" bottom="0" percent="0" rank="0" text="" dxfId="175"/>
    <cfRule type="duplicateValues" priority="178" aboveAverage="0" equalAverage="0" bottom="0" percent="0" rank="0" text="" dxfId="176"/>
  </conditionalFormatting>
  <conditionalFormatting sqref="B744:B898">
    <cfRule type="duplicateValues" priority="179" aboveAverage="0" equalAverage="0" bottom="0" percent="0" rank="0" text="" dxfId="177"/>
  </conditionalFormatting>
  <conditionalFormatting sqref="G744:G879">
    <cfRule type="duplicateValues" priority="180" aboveAverage="0" equalAverage="0" bottom="0" percent="0" rank="0" text="" dxfId="178"/>
    <cfRule type="duplicateValues" priority="181" aboveAverage="0" equalAverage="0" bottom="0" percent="0" rank="0" text="" dxfId="179"/>
  </conditionalFormatting>
  <conditionalFormatting sqref="G880:G982">
    <cfRule type="duplicateValues" priority="182" aboveAverage="0" equalAverage="0" bottom="0" percent="0" rank="0" text="" dxfId="180"/>
  </conditionalFormatting>
  <conditionalFormatting sqref="B880:B1015">
    <cfRule type="duplicateValues" priority="183" aboveAverage="0" equalAverage="0" bottom="0" percent="0" rank="0" text="" dxfId="181"/>
  </conditionalFormatting>
  <conditionalFormatting sqref="B880:B978">
    <cfRule type="duplicateValues" priority="184" aboveAverage="0" equalAverage="0" bottom="0" percent="0" rank="0" text="" dxfId="182"/>
  </conditionalFormatting>
  <conditionalFormatting sqref="F907 F882:F883 F885 F888:F890 F893 F896:F897 F900:F904 F909:F911 F913 F916:F917 F920:F921">
    <cfRule type="duplicateValues" priority="185" aboveAverage="0" equalAverage="0" bottom="0" percent="0" rank="0" text="" dxfId="183"/>
  </conditionalFormatting>
  <conditionalFormatting sqref="F907 F882:F883 F885 F888:F890 F893 F896:F897 F900:F904 F909:F911 F913 F916:F917">
    <cfRule type="duplicateValues" priority="186" aboveAverage="0" equalAverage="0" bottom="0" percent="0" rank="0" text="" dxfId="184"/>
    <cfRule type="duplicateValues" priority="187" aboveAverage="0" equalAverage="0" bottom="0" percent="0" rank="0" text="" dxfId="185"/>
  </conditionalFormatting>
  <conditionalFormatting sqref="G880:G922">
    <cfRule type="duplicateValues" priority="188" aboveAverage="0" equalAverage="0" bottom="0" percent="0" rank="0" text="" dxfId="186"/>
  </conditionalFormatting>
  <conditionalFormatting sqref="G880:G919">
    <cfRule type="duplicateValues" priority="189" aboveAverage="0" equalAverage="0" bottom="0" percent="0" rank="0" text="" dxfId="187"/>
    <cfRule type="duplicateValues" priority="190" aboveAverage="0" equalAverage="0" bottom="0" percent="0" rank="0" text="" dxfId="188"/>
  </conditionalFormatting>
  <conditionalFormatting sqref="B958:B1015">
    <cfRule type="duplicateValues" priority="191" aboveAverage="0" equalAverage="0" bottom="0" percent="0" rank="0" text="" dxfId="189"/>
  </conditionalFormatting>
  <conditionalFormatting sqref="G958:G982">
    <cfRule type="duplicateValues" priority="192" aboveAverage="0" equalAverage="0" bottom="0" percent="0" rank="0" text="" dxfId="190"/>
    <cfRule type="duplicateValues" priority="193" aboveAverage="0" equalAverage="0" bottom="0" percent="0" rank="0" text="" dxfId="191"/>
  </conditionalFormatting>
  <conditionalFormatting sqref="B1037">
    <cfRule type="duplicateValues" priority="194" aboveAverage="0" equalAverage="0" bottom="0" percent="0" rank="0" text="" dxfId="192"/>
  </conditionalFormatting>
  <conditionalFormatting sqref="B72:B120">
    <cfRule type="duplicateValues" priority="195" aboveAverage="0" equalAverage="0" bottom="0" percent="0" rank="0" text="" dxfId="193"/>
  </conditionalFormatting>
  <conditionalFormatting sqref="G72:G120">
    <cfRule type="duplicateValues" priority="196" aboveAverage="0" equalAverage="0" bottom="0" percent="0" rank="0" text="" dxfId="194"/>
    <cfRule type="duplicateValues" priority="197" aboveAverage="0" equalAverage="0" bottom="0" percent="0" rank="0" text="" dxfId="195"/>
  </conditionalFormatting>
  <conditionalFormatting sqref="G105:G109">
    <cfRule type="duplicateValues" priority="198" aboveAverage="0" equalAverage="0" bottom="0" percent="0" rank="0" text="" dxfId="196"/>
    <cfRule type="duplicateValues" priority="199" aboveAverage="0" equalAverage="0" bottom="0" percent="0" rank="0" text="" dxfId="197"/>
  </conditionalFormatting>
  <conditionalFormatting sqref="B121:B125">
    <cfRule type="duplicateValues" priority="200" aboveAverage="0" equalAverage="0" bottom="0" percent="0" rank="0" text="" dxfId="198"/>
  </conditionalFormatting>
  <conditionalFormatting sqref="G121:G125">
    <cfRule type="duplicateValues" priority="201" aboveAverage="0" equalAverage="0" bottom="0" percent="0" rank="0" text="" dxfId="199"/>
    <cfRule type="duplicateValues" priority="202" aboveAverage="0" equalAverage="0" bottom="0" percent="0" rank="0" text="" dxfId="200"/>
  </conditionalFormatting>
  <conditionalFormatting sqref="B126:B157">
    <cfRule type="duplicateValues" priority="203" aboveAverage="0" equalAverage="0" bottom="0" percent="0" rank="0" text="" dxfId="201"/>
  </conditionalFormatting>
  <conditionalFormatting sqref="G126:G157">
    <cfRule type="duplicateValues" priority="204" aboveAverage="0" equalAverage="0" bottom="0" percent="0" rank="0" text="" dxfId="202"/>
    <cfRule type="duplicateValues" priority="205" aboveAverage="0" equalAverage="0" bottom="0" percent="0" rank="0" text="" dxfId="203"/>
  </conditionalFormatting>
  <conditionalFormatting sqref="B158">
    <cfRule type="duplicateValues" priority="206" aboveAverage="0" equalAverage="0" bottom="0" percent="0" rank="0" text="" dxfId="204"/>
  </conditionalFormatting>
  <conditionalFormatting sqref="G158">
    <cfRule type="duplicateValues" priority="207" aboveAverage="0" equalAverage="0" bottom="0" percent="0" rank="0" text="" dxfId="205"/>
    <cfRule type="duplicateValues" priority="208" aboveAverage="0" equalAverage="0" bottom="0" percent="0" rank="0" text="" dxfId="206"/>
  </conditionalFormatting>
  <conditionalFormatting sqref="B159:B165">
    <cfRule type="duplicateValues" priority="209" aboveAverage="0" equalAverage="0" bottom="0" percent="0" rank="0" text="" dxfId="207"/>
  </conditionalFormatting>
  <conditionalFormatting sqref="G159:G165">
    <cfRule type="duplicateValues" priority="210" aboveAverage="0" equalAverage="0" bottom="0" percent="0" rank="0" text="" dxfId="208"/>
    <cfRule type="duplicateValues" priority="211" aboveAverage="0" equalAverage="0" bottom="0" percent="0" rank="0" text="" dxfId="209"/>
  </conditionalFormatting>
  <conditionalFormatting sqref="F366:F367 F371:F374 F376:F380 F382:F383 F385:F387 F389:F393 F395 F399:F400 F403 F406:F411 F413:F415 F418:F419 F422:F427 F430 F432:F437 F695:F696 F702:F705 F707:F709 F712 F714 F716:F720 F724 F727 F1312 F3320:F3326">
    <cfRule type="duplicateValues" priority="212" aboveAverage="0" equalAverage="0" bottom="0" percent="0" rank="0" text="" dxfId="210"/>
    <cfRule type="duplicateValues" priority="213" aboveAverage="0" equalAverage="0" bottom="0" percent="0" rank="0" text="" dxfId="211"/>
  </conditionalFormatting>
  <conditionalFormatting sqref="B366:B438">
    <cfRule type="duplicateValues" priority="214" aboveAverage="0" equalAverage="0" bottom="0" percent="0" rank="0" text="" dxfId="212"/>
  </conditionalFormatting>
  <conditionalFormatting sqref="G366:G438">
    <cfRule type="duplicateValues" priority="215" aboveAverage="0" equalAverage="0" bottom="0" percent="0" rank="0" text="" dxfId="213"/>
    <cfRule type="duplicateValues" priority="216" aboveAverage="0" equalAverage="0" bottom="0" percent="0" rank="0" text="" dxfId="214"/>
  </conditionalFormatting>
  <conditionalFormatting sqref="B734:B769">
    <cfRule type="duplicateValues" priority="217" aboveAverage="0" equalAverage="0" bottom="0" percent="0" rank="0" text="" dxfId="215"/>
  </conditionalFormatting>
  <conditionalFormatting sqref="G734:G769">
    <cfRule type="duplicateValues" priority="218" aboveAverage="0" equalAverage="0" bottom="0" percent="0" rank="0" text="" dxfId="216"/>
    <cfRule type="duplicateValues" priority="219" aboveAverage="0" equalAverage="0" bottom="0" percent="0" rank="0" text="" dxfId="217"/>
  </conditionalFormatting>
  <conditionalFormatting sqref="B770:B798">
    <cfRule type="duplicateValues" priority="220" aboveAverage="0" equalAverage="0" bottom="0" percent="0" rank="0" text="" dxfId="218"/>
  </conditionalFormatting>
  <conditionalFormatting sqref="G770:G798">
    <cfRule type="duplicateValues" priority="221" aboveAverage="0" equalAverage="0" bottom="0" percent="0" rank="0" text="" dxfId="219"/>
    <cfRule type="duplicateValues" priority="222" aboveAverage="0" equalAverage="0" bottom="0" percent="0" rank="0" text="" dxfId="220"/>
  </conditionalFormatting>
  <conditionalFormatting sqref="B1102:B1115">
    <cfRule type="duplicateValues" priority="223" aboveAverage="0" equalAverage="0" bottom="0" percent="0" rank="0" text="" dxfId="221"/>
  </conditionalFormatting>
  <conditionalFormatting sqref="G1102:G1115">
    <cfRule type="duplicateValues" priority="224" aboveAverage="0" equalAverage="0" bottom="0" percent="0" rank="0" text="" dxfId="222"/>
    <cfRule type="duplicateValues" priority="225" aboveAverage="0" equalAverage="0" bottom="0" percent="0" rank="0" text="" dxfId="223"/>
  </conditionalFormatting>
  <conditionalFormatting sqref="B1116:B1214">
    <cfRule type="duplicateValues" priority="226" aboveAverage="0" equalAverage="0" bottom="0" percent="0" rank="0" text="" dxfId="224"/>
  </conditionalFormatting>
  <conditionalFormatting sqref="G1116:G1214">
    <cfRule type="duplicateValues" priority="227" aboveAverage="0" equalAverage="0" bottom="0" percent="0" rank="0" text="" dxfId="225"/>
    <cfRule type="duplicateValues" priority="228" aboveAverage="0" equalAverage="0" bottom="0" percent="0" rank="0" text="" dxfId="226"/>
  </conditionalFormatting>
  <conditionalFormatting sqref="B1408:B1470">
    <cfRule type="duplicateValues" priority="229" aboveAverage="0" equalAverage="0" bottom="0" percent="0" rank="0" text="" dxfId="227"/>
  </conditionalFormatting>
  <conditionalFormatting sqref="G1408:G1470">
    <cfRule type="duplicateValues" priority="230" aboveAverage="0" equalAverage="0" bottom="0" percent="0" rank="0" text="" dxfId="228"/>
    <cfRule type="duplicateValues" priority="231" aboveAverage="0" equalAverage="0" bottom="0" percent="0" rank="0" text="" dxfId="229"/>
  </conditionalFormatting>
  <conditionalFormatting sqref="G1409">
    <cfRule type="duplicateValues" priority="232" aboveAverage="0" equalAverage="0" bottom="0" percent="0" rank="0" text="" dxfId="230"/>
    <cfRule type="duplicateValues" priority="233" aboveAverage="0" equalAverage="0" bottom="0" percent="0" rank="0" text="" dxfId="231"/>
  </conditionalFormatting>
  <conditionalFormatting sqref="G1447">
    <cfRule type="duplicateValues" priority="234" aboveAverage="0" equalAverage="0" bottom="0" percent="0" rank="0" text="" dxfId="232"/>
    <cfRule type="duplicateValues" priority="235" aboveAverage="0" equalAverage="0" bottom="0" percent="0" rank="0" text="" dxfId="233"/>
  </conditionalFormatting>
  <conditionalFormatting sqref="G1460">
    <cfRule type="duplicateValues" priority="236" aboveAverage="0" equalAverage="0" bottom="0" percent="0" rank="0" text="" dxfId="234"/>
    <cfRule type="duplicateValues" priority="237" aboveAverage="0" equalAverage="0" bottom="0" percent="0" rank="0" text="" dxfId="235"/>
  </conditionalFormatting>
  <conditionalFormatting sqref="G1443:G1459">
    <cfRule type="duplicateValues" priority="238" aboveAverage="0" equalAverage="0" bottom="0" percent="0" rank="0" text="" dxfId="236"/>
    <cfRule type="duplicateValues" priority="239" aboveAverage="0" equalAverage="0" bottom="0" percent="0" rank="0" text="" dxfId="237"/>
  </conditionalFormatting>
  <conditionalFormatting sqref="G1471:G1574">
    <cfRule type="duplicateValues" priority="240" aboveAverage="0" equalAverage="0" bottom="0" percent="0" rank="0" text="" dxfId="238"/>
    <cfRule type="duplicateValues" priority="241" aboveAverage="0" equalAverage="0" bottom="0" percent="0" rank="0" text="" dxfId="239"/>
  </conditionalFormatting>
  <conditionalFormatting sqref="B1471:B1574">
    <cfRule type="duplicateValues" priority="242" aboveAverage="0" equalAverage="0" bottom="0" percent="0" rank="0" text="" dxfId="240"/>
  </conditionalFormatting>
  <conditionalFormatting sqref="B1701:B1743">
    <cfRule type="duplicateValues" priority="243" aboveAverage="0" equalAverage="0" bottom="0" percent="0" rank="0" text="" dxfId="241"/>
  </conditionalFormatting>
  <conditionalFormatting sqref="G1701:G1743">
    <cfRule type="duplicateValues" priority="244" aboveAverage="0" equalAverage="0" bottom="0" percent="0" rank="0" text="" dxfId="242"/>
    <cfRule type="duplicateValues" priority="245" aboveAverage="0" equalAverage="0" bottom="0" percent="0" rank="0" text="" dxfId="243"/>
  </conditionalFormatting>
  <conditionalFormatting sqref="B1856:B1910">
    <cfRule type="duplicateValues" priority="246" aboveAverage="0" equalAverage="0" bottom="0" percent="0" rank="0" text="" dxfId="244"/>
  </conditionalFormatting>
  <conditionalFormatting sqref="G1856:G1910">
    <cfRule type="duplicateValues" priority="247" aboveAverage="0" equalAverage="0" bottom="0" percent="0" rank="0" text="" dxfId="245"/>
    <cfRule type="duplicateValues" priority="248" aboveAverage="0" equalAverage="0" bottom="0" percent="0" rank="0" text="" dxfId="246"/>
  </conditionalFormatting>
  <conditionalFormatting sqref="B1911:B1972">
    <cfRule type="duplicateValues" priority="249" aboveAverage="0" equalAverage="0" bottom="0" percent="0" rank="0" text="" dxfId="247"/>
  </conditionalFormatting>
  <conditionalFormatting sqref="G1911:G1972">
    <cfRule type="duplicateValues" priority="250" aboveAverage="0" equalAverage="0" bottom="0" percent="0" rank="0" text="" dxfId="248"/>
    <cfRule type="duplicateValues" priority="251" aboveAverage="0" equalAverage="0" bottom="0" percent="0" rank="0" text="" dxfId="249"/>
  </conditionalFormatting>
  <conditionalFormatting sqref="B1973:B2004">
    <cfRule type="duplicateValues" priority="252" aboveAverage="0" equalAverage="0" bottom="0" percent="0" rank="0" text="" dxfId="250"/>
  </conditionalFormatting>
  <conditionalFormatting sqref="B1982">
    <cfRule type="duplicateValues" priority="253" aboveAverage="0" equalAverage="0" bottom="0" percent="0" rank="0" text="" dxfId="251"/>
  </conditionalFormatting>
  <conditionalFormatting sqref="G1973:G2004">
    <cfRule type="duplicateValues" priority="254" aboveAverage="0" equalAverage="0" bottom="0" percent="0" rank="0" text="" dxfId="252"/>
    <cfRule type="duplicateValues" priority="255" aboveAverage="0" equalAverage="0" bottom="0" percent="0" rank="0" text="" dxfId="253"/>
  </conditionalFormatting>
  <conditionalFormatting sqref="G1982">
    <cfRule type="duplicateValues" priority="256" aboveAverage="0" equalAverage="0" bottom="0" percent="0" rank="0" text="" dxfId="254"/>
  </conditionalFormatting>
  <conditionalFormatting sqref="G1994">
    <cfRule type="duplicateValues" priority="257" aboveAverage="0" equalAverage="0" bottom="0" percent="0" rank="0" text="" dxfId="255"/>
  </conditionalFormatting>
  <conditionalFormatting sqref="B42:B117">
    <cfRule type="duplicateValues" priority="258" aboveAverage="0" equalAverage="0" bottom="0" percent="0" rank="0" text="" dxfId="256"/>
  </conditionalFormatting>
  <conditionalFormatting sqref="G42:G117">
    <cfRule type="duplicateValues" priority="259" aboveAverage="0" equalAverage="0" bottom="0" percent="0" rank="0" text="" dxfId="257"/>
    <cfRule type="duplicateValues" priority="260" aboveAverage="0" equalAverage="0" bottom="0" percent="0" rank="0" text="" dxfId="258"/>
  </conditionalFormatting>
  <conditionalFormatting sqref="B118:B145">
    <cfRule type="duplicateValues" priority="261" aboveAverage="0" equalAverage="0" bottom="0" percent="0" rank="0" text="" dxfId="259"/>
  </conditionalFormatting>
  <conditionalFormatting sqref="G118:G145">
    <cfRule type="duplicateValues" priority="262" aboveAverage="0" equalAverage="0" bottom="0" percent="0" rank="0" text="" dxfId="260"/>
    <cfRule type="duplicateValues" priority="263" aboveAverage="0" equalAverage="0" bottom="0" percent="0" rank="0" text="" dxfId="261"/>
  </conditionalFormatting>
  <conditionalFormatting sqref="G140">
    <cfRule type="duplicateValues" priority="264" aboveAverage="0" equalAverage="0" bottom="0" percent="0" rank="0" text="" dxfId="262"/>
    <cfRule type="duplicateValues" priority="265" aboveAverage="0" equalAverage="0" bottom="0" percent="0" rank="0" text="" dxfId="263"/>
  </conditionalFormatting>
  <conditionalFormatting sqref="B146:B245">
    <cfRule type="duplicateValues" priority="266" aboveAverage="0" equalAverage="0" bottom="0" percent="0" rank="0" text="" dxfId="264"/>
  </conditionalFormatting>
  <conditionalFormatting sqref="G146:G245">
    <cfRule type="duplicateValues" priority="267" aboveAverage="0" equalAverage="0" bottom="0" percent="0" rank="0" text="" dxfId="265"/>
    <cfRule type="duplicateValues" priority="268" aboveAverage="0" equalAverage="0" bottom="0" percent="0" rank="0" text="" dxfId="266"/>
  </conditionalFormatting>
  <conditionalFormatting sqref="B246:B338">
    <cfRule type="duplicateValues" priority="269" aboveAverage="0" equalAverage="0" bottom="0" percent="0" rank="0" text="" dxfId="267"/>
  </conditionalFormatting>
  <conditionalFormatting sqref="G246:G338">
    <cfRule type="duplicateValues" priority="270" aboveAverage="0" equalAverage="0" bottom="0" percent="0" rank="0" text="" dxfId="268"/>
    <cfRule type="duplicateValues" priority="271" aboveAverage="0" equalAverage="0" bottom="0" percent="0" rank="0" text="" dxfId="269"/>
  </conditionalFormatting>
  <conditionalFormatting sqref="B339:B373">
    <cfRule type="duplicateValues" priority="272" aboveAverage="0" equalAverage="0" bottom="0" percent="0" rank="0" text="" dxfId="270"/>
  </conditionalFormatting>
  <conditionalFormatting sqref="G339:G373">
    <cfRule type="duplicateValues" priority="273" aboveAverage="0" equalAverage="0" bottom="0" percent="0" rank="0" text="" dxfId="271"/>
    <cfRule type="duplicateValues" priority="274" aboveAverage="0" equalAverage="0" bottom="0" percent="0" rank="0" text="" dxfId="272"/>
  </conditionalFormatting>
  <conditionalFormatting sqref="B630:B694">
    <cfRule type="duplicateValues" priority="275" aboveAverage="0" equalAverage="0" bottom="0" percent="0" rank="0" text="" dxfId="273"/>
  </conditionalFormatting>
  <conditionalFormatting sqref="G630:G694">
    <cfRule type="duplicateValues" priority="276" aboveAverage="0" equalAverage="0" bottom="0" percent="0" rank="0" text="" dxfId="274"/>
    <cfRule type="duplicateValues" priority="277" aboveAverage="0" equalAverage="0" bottom="0" percent="0" rank="0" text="" dxfId="275"/>
  </conditionalFormatting>
  <conditionalFormatting sqref="G658">
    <cfRule type="duplicateValues" priority="278" aboveAverage="0" equalAverage="0" bottom="0" percent="0" rank="0" text="" dxfId="276"/>
    <cfRule type="duplicateValues" priority="279" aboveAverage="0" equalAverage="0" bottom="0" percent="0" rank="0" text="" dxfId="277"/>
  </conditionalFormatting>
  <conditionalFormatting sqref="G692:G694">
    <cfRule type="duplicateValues" priority="280" aboveAverage="0" equalAverage="0" bottom="0" percent="0" rank="0" text="" dxfId="278"/>
    <cfRule type="duplicateValues" priority="281" aboveAverage="0" equalAverage="0" bottom="0" percent="0" rank="0" text="" dxfId="279"/>
  </conditionalFormatting>
  <conditionalFormatting sqref="F724 F695:F696 F702:F705 F707:F709 F712 F714 F716:F720 F727">
    <cfRule type="duplicateValues" priority="282" aboveAverage="0" equalAverage="0" bottom="0" percent="0" rank="0" text="" dxfId="280"/>
    <cfRule type="duplicateValues" priority="283" aboveAverage="0" equalAverage="0" bottom="0" percent="0" rank="0" text="" dxfId="281"/>
  </conditionalFormatting>
  <conditionalFormatting sqref="B695:B729">
    <cfRule type="duplicateValues" priority="284" aboveAverage="0" equalAverage="0" bottom="0" percent="0" rank="0" text="" dxfId="282"/>
  </conditionalFormatting>
  <conditionalFormatting sqref="G695:G729">
    <cfRule type="duplicateValues" priority="285" aboveAverage="0" equalAverage="0" bottom="0" percent="0" rank="0" text="" dxfId="283"/>
    <cfRule type="duplicateValues" priority="286" aboveAverage="0" equalAverage="0" bottom="0" percent="0" rank="0" text="" dxfId="284"/>
  </conditionalFormatting>
  <conditionalFormatting sqref="B730:B783">
    <cfRule type="duplicateValues" priority="287" aboveAverage="0" equalAverage="0" bottom="0" percent="0" rank="0" text="" dxfId="285"/>
  </conditionalFormatting>
  <conditionalFormatting sqref="G730:G783">
    <cfRule type="duplicateValues" priority="288" aboveAverage="0" equalAverage="0" bottom="0" percent="0" rank="0" text="" dxfId="286"/>
    <cfRule type="duplicateValues" priority="289" aboveAverage="0" equalAverage="0" bottom="0" percent="0" rank="0" text="" dxfId="287"/>
  </conditionalFormatting>
  <conditionalFormatting sqref="B784:B917">
    <cfRule type="duplicateValues" priority="290" aboveAverage="0" equalAverage="0" bottom="0" percent="0" rank="0" text="" dxfId="288"/>
  </conditionalFormatting>
  <conditionalFormatting sqref="G784:G917">
    <cfRule type="duplicateValues" priority="291" aboveAverage="0" equalAverage="0" bottom="0" percent="0" rank="0" text="" dxfId="289"/>
    <cfRule type="duplicateValues" priority="292" aboveAverage="0" equalAverage="0" bottom="0" percent="0" rank="0" text="" dxfId="290"/>
  </conditionalFormatting>
  <conditionalFormatting sqref="B918:B1049">
    <cfRule type="duplicateValues" priority="293" aboveAverage="0" equalAverage="0" bottom="0" percent="0" rank="0" text="" dxfId="291"/>
  </conditionalFormatting>
  <conditionalFormatting sqref="G918:G1049">
    <cfRule type="duplicateValues" priority="294" aboveAverage="0" equalAverage="0" bottom="0" percent="0" rank="0" text="" dxfId="292"/>
    <cfRule type="duplicateValues" priority="295" aboveAverage="0" equalAverage="0" bottom="0" percent="0" rank="0" text="" dxfId="293"/>
  </conditionalFormatting>
  <conditionalFormatting sqref="G1693:G1725">
    <cfRule type="duplicateValues" priority="296" aboveAverage="0" equalAverage="0" bottom="0" percent="0" rank="0" text="" dxfId="294"/>
    <cfRule type="duplicateValues" priority="297" aboveAverage="0" equalAverage="0" bottom="0" percent="0" rank="0" text="" dxfId="295"/>
  </conditionalFormatting>
  <conditionalFormatting sqref="G1726">
    <cfRule type="duplicateValues" priority="298" aboveAverage="0" equalAverage="0" bottom="0" percent="0" rank="0" text="" dxfId="296"/>
    <cfRule type="duplicateValues" priority="299" aboveAverage="0" equalAverage="0" bottom="0" percent="0" rank="0" text="" dxfId="297"/>
  </conditionalFormatting>
  <conditionalFormatting sqref="B1828">
    <cfRule type="duplicateValues" priority="300" aboveAverage="0" equalAverage="0" bottom="0" percent="0" rank="0" text="" dxfId="298"/>
  </conditionalFormatting>
  <conditionalFormatting sqref="G1828">
    <cfRule type="duplicateValues" priority="301" aboveAverage="0" equalAverage="0" bottom="0" percent="0" rank="0" text="" dxfId="299"/>
    <cfRule type="duplicateValues" priority="302" aboveAverage="0" equalAverage="0" bottom="0" percent="0" rank="0" text="" dxfId="300"/>
  </conditionalFormatting>
  <dataValidations count="5">
    <dataValidation allowBlank="true" operator="between" showDropDown="false" showErrorMessage="true" showInputMessage="true" sqref="CP1" type="list">
      <formula1>"ZSPSWAPBX2,ZSPSWAPBX1,ZSPSWAPHD1"</formula1>
      <formula2>0</formula2>
    </dataValidation>
    <dataValidation allowBlank="true" operator="between" showDropDown="false" showErrorMessage="true" showInputMessage="true" sqref="F3194:F3195" type="list">
      <formula1>$CN:$CN</formula1>
      <formula2>0</formula2>
    </dataValidation>
    <dataValidation allowBlank="true" operator="between" showDropDown="false" showErrorMessage="true" showInputMessage="true" sqref="H1:H4501" type="list">
      <formula1>"BER TO IR,IR,QC FAIL IR,SOKING FAIL IR"</formula1>
      <formula2>0</formula2>
    </dataValidation>
    <dataValidation allowBlank="true" operator="between" showDropDown="false" showErrorMessage="true" showInputMessage="true" sqref="I2:I41 I374:I629 I707:I729 I1050:I4501" type="list">
      <formula1>$CO:$CO</formula1>
      <formula2>0</formula2>
    </dataValidation>
    <dataValidation allowBlank="true" operator="between" showDropDown="false" showErrorMessage="true" showInputMessage="true" sqref="I1 I42:I373 I630:I706 I730:I1049" type="list">
      <formula1>$CJ:$CJ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4091"/>
  <sheetViews>
    <sheetView showFormulas="false" showGridLines="true" showRowColHeaders="true" showZeros="true" rightToLeft="false" tabSelected="false" showOutlineSymbols="true" defaultGridColor="true" view="normal" topLeftCell="J4" colorId="64" zoomScale="100" zoomScaleNormal="100" zoomScalePageLayoutView="100" workbookViewId="0">
      <selection pane="topLeft" activeCell="Q19" activeCellId="0" sqref="Q19"/>
    </sheetView>
  </sheetViews>
  <sheetFormatPr defaultColWidth="9.15625" defaultRowHeight="15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20.14"/>
    <col collapsed="false" customWidth="true" hidden="false" outlineLevel="0" max="3" min="3" style="24" width="10.29"/>
    <col collapsed="false" customWidth="true" hidden="false" outlineLevel="0" max="4" min="4" style="0" width="5.86"/>
    <col collapsed="false" customWidth="true" hidden="false" outlineLevel="0" max="5" min="5" style="0" width="30.28"/>
    <col collapsed="false" customWidth="true" hidden="false" outlineLevel="0" max="6" min="6" style="0" width="21.86"/>
    <col collapsed="false" customWidth="true" hidden="false" outlineLevel="0" max="7" min="7" style="0" width="5.86"/>
    <col collapsed="false" customWidth="true" hidden="false" outlineLevel="0" max="8" min="8" style="0" width="35.85"/>
    <col collapsed="false" customWidth="true" hidden="false" outlineLevel="0" max="9" min="9" style="0" width="22.01"/>
    <col collapsed="false" customWidth="true" hidden="false" outlineLevel="0" max="10" min="10" style="0" width="5.86"/>
    <col collapsed="false" customWidth="true" hidden="false" outlineLevel="0" max="12" min="11" style="0" width="30.57"/>
    <col collapsed="false" customWidth="true" hidden="false" outlineLevel="0" max="13" min="13" style="0" width="19.42"/>
    <col collapsed="false" customWidth="true" hidden="false" outlineLevel="0" max="14" min="14" style="0" width="5.86"/>
    <col collapsed="false" customWidth="true" hidden="false" outlineLevel="0" max="15" min="15" style="0" width="28.29"/>
    <col collapsed="false" customWidth="true" hidden="false" outlineLevel="0" max="16" min="16" style="0" width="13.86"/>
    <col collapsed="false" customWidth="true" hidden="false" outlineLevel="0" max="17" min="17" style="0" width="8.14"/>
    <col collapsed="false" customWidth="true" hidden="false" outlineLevel="0" max="18" min="18" style="0" width="44.42"/>
    <col collapsed="false" customWidth="true" hidden="false" outlineLevel="0" max="23" min="23" style="0" width="26.85"/>
  </cols>
  <sheetData>
    <row r="1" customFormat="false" ht="15.75" hidden="false" customHeight="false" outlineLevel="0" collapsed="false">
      <c r="E1" s="25" t="s">
        <v>11</v>
      </c>
      <c r="H1" s="25" t="s">
        <v>1282</v>
      </c>
      <c r="K1" s="25" t="s">
        <v>1283</v>
      </c>
      <c r="O1" s="25" t="s">
        <v>1284</v>
      </c>
      <c r="Q1" s="18" t="s">
        <v>1285</v>
      </c>
      <c r="R1" s="18" t="s">
        <v>1286</v>
      </c>
      <c r="S1" s="18"/>
    </row>
    <row r="2" customFormat="false" ht="15.75" hidden="false" customHeight="false" outlineLevel="0" collapsed="false">
      <c r="A2" s="0" t="s">
        <v>1287</v>
      </c>
      <c r="B2" s="0" t="s">
        <v>1288</v>
      </c>
      <c r="C2" s="24" t="s">
        <v>1289</v>
      </c>
      <c r="D2" s="0" t="s">
        <v>1285</v>
      </c>
      <c r="E2" s="0" t="s">
        <v>1290</v>
      </c>
      <c r="F2" s="0" t="s">
        <v>1289</v>
      </c>
      <c r="G2" s="0" t="s">
        <v>1285</v>
      </c>
      <c r="H2" s="0" t="s">
        <v>1290</v>
      </c>
      <c r="I2" s="0" t="s">
        <v>1289</v>
      </c>
      <c r="J2" s="0" t="s">
        <v>1285</v>
      </c>
      <c r="K2" s="0" t="s">
        <v>1290</v>
      </c>
      <c r="M2" s="0" t="s">
        <v>1289</v>
      </c>
      <c r="N2" s="0" t="s">
        <v>1285</v>
      </c>
      <c r="O2" s="0" t="s">
        <v>1290</v>
      </c>
      <c r="Q2" s="18" t="n">
        <v>1</v>
      </c>
      <c r="R2" s="18" t="s">
        <v>256</v>
      </c>
      <c r="S2" s="18"/>
    </row>
    <row r="3" customFormat="false" ht="15" hidden="false" customHeight="false" outlineLevel="0" collapsed="false">
      <c r="A3" s="0" t="s">
        <v>575</v>
      </c>
      <c r="B3" s="0" t="s">
        <v>1242</v>
      </c>
      <c r="C3" s="26" t="s">
        <v>11</v>
      </c>
      <c r="D3" s="27" t="n">
        <v>1</v>
      </c>
      <c r="E3" s="28" t="s">
        <v>610</v>
      </c>
      <c r="F3" s="29" t="s">
        <v>1291</v>
      </c>
      <c r="G3" s="27" t="n">
        <v>1</v>
      </c>
      <c r="H3" s="28" t="s">
        <v>611</v>
      </c>
      <c r="I3" s="29" t="s">
        <v>1292</v>
      </c>
      <c r="J3" s="27" t="n">
        <v>1</v>
      </c>
      <c r="K3" s="28" t="s">
        <v>53</v>
      </c>
      <c r="L3" s="30" t="s">
        <v>53</v>
      </c>
      <c r="M3" s="29" t="s">
        <v>1293</v>
      </c>
      <c r="N3" s="27" t="n">
        <v>1</v>
      </c>
      <c r="O3" s="28" t="s">
        <v>53</v>
      </c>
      <c r="P3" s="31"/>
      <c r="Q3" s="18" t="n">
        <v>2</v>
      </c>
      <c r="R3" s="18" t="s">
        <v>122</v>
      </c>
      <c r="S3" s="18"/>
      <c r="V3" s="30" t="s">
        <v>1294</v>
      </c>
    </row>
    <row r="4" customFormat="false" ht="15" hidden="false" customHeight="false" outlineLevel="0" collapsed="false">
      <c r="A4" s="0" t="s">
        <v>964</v>
      </c>
      <c r="B4" s="0" t="s">
        <v>965</v>
      </c>
      <c r="C4" s="26" t="s">
        <v>11</v>
      </c>
      <c r="D4" s="18" t="n">
        <v>2</v>
      </c>
      <c r="E4" s="32" t="s">
        <v>981</v>
      </c>
      <c r="F4" s="29" t="s">
        <v>1291</v>
      </c>
      <c r="G4" s="18" t="n">
        <v>2</v>
      </c>
      <c r="H4" s="32" t="s">
        <v>999</v>
      </c>
      <c r="I4" s="29" t="s">
        <v>1292</v>
      </c>
      <c r="J4" s="18" t="n">
        <v>2</v>
      </c>
      <c r="K4" s="32" t="s">
        <v>1295</v>
      </c>
      <c r="L4" s="30" t="s">
        <v>53</v>
      </c>
      <c r="M4" s="29" t="s">
        <v>1293</v>
      </c>
      <c r="N4" s="18" t="n">
        <v>2</v>
      </c>
      <c r="O4" s="32" t="s">
        <v>49</v>
      </c>
      <c r="P4" s="31"/>
      <c r="Q4" s="18" t="n">
        <v>3</v>
      </c>
      <c r="R4" s="18" t="s">
        <v>199</v>
      </c>
      <c r="S4" s="18"/>
      <c r="V4" s="30" t="s">
        <v>1294</v>
      </c>
    </row>
    <row r="5" customFormat="false" ht="15" hidden="false" customHeight="false" outlineLevel="0" collapsed="false">
      <c r="A5" s="0" t="s">
        <v>96</v>
      </c>
      <c r="B5" s="0" t="s">
        <v>1296</v>
      </c>
      <c r="C5" s="26" t="s">
        <v>11</v>
      </c>
      <c r="D5" s="18" t="n">
        <v>3</v>
      </c>
      <c r="E5" s="32" t="s">
        <v>956</v>
      </c>
      <c r="F5" s="29" t="s">
        <v>1291</v>
      </c>
      <c r="G5" s="18" t="n">
        <v>3</v>
      </c>
      <c r="H5" s="32" t="s">
        <v>1297</v>
      </c>
      <c r="I5" s="29" t="s">
        <v>1292</v>
      </c>
      <c r="J5" s="18" t="n">
        <v>3</v>
      </c>
      <c r="K5" s="32" t="s">
        <v>1298</v>
      </c>
      <c r="L5" s="30" t="s">
        <v>53</v>
      </c>
      <c r="M5" s="29" t="s">
        <v>1293</v>
      </c>
      <c r="N5" s="18" t="s">
        <v>1299</v>
      </c>
      <c r="O5" s="32" t="s">
        <v>1300</v>
      </c>
      <c r="P5" s="31"/>
      <c r="Q5" s="18" t="n">
        <v>4</v>
      </c>
      <c r="R5" s="18" t="s">
        <v>38</v>
      </c>
      <c r="S5" s="18"/>
      <c r="V5" s="30" t="s">
        <v>1294</v>
      </c>
    </row>
    <row r="6" customFormat="false" ht="15.75" hidden="false" customHeight="false" outlineLevel="0" collapsed="false">
      <c r="A6" s="0" t="s">
        <v>239</v>
      </c>
      <c r="B6" s="0" t="s">
        <v>951</v>
      </c>
      <c r="C6" s="26" t="s">
        <v>11</v>
      </c>
      <c r="D6" s="18" t="n">
        <v>4</v>
      </c>
      <c r="E6" s="32" t="s">
        <v>976</v>
      </c>
      <c r="F6" s="29" t="s">
        <v>1291</v>
      </c>
      <c r="G6" s="18" t="n">
        <v>4</v>
      </c>
      <c r="H6" s="32" t="s">
        <v>1301</v>
      </c>
      <c r="I6" s="29" t="s">
        <v>1292</v>
      </c>
      <c r="J6" s="18" t="n">
        <f aca="false">+J5+1</f>
        <v>4</v>
      </c>
      <c r="K6" s="32" t="s">
        <v>1302</v>
      </c>
      <c r="L6" s="30" t="s">
        <v>53</v>
      </c>
      <c r="M6" s="29" t="s">
        <v>1293</v>
      </c>
      <c r="N6" s="33" t="s">
        <v>35</v>
      </c>
      <c r="O6" s="34" t="s">
        <v>613</v>
      </c>
      <c r="P6" s="31"/>
      <c r="Q6" s="18" t="n">
        <v>5</v>
      </c>
      <c r="R6" s="18" t="s">
        <v>635</v>
      </c>
      <c r="S6" s="18"/>
      <c r="V6" s="30" t="s">
        <v>1303</v>
      </c>
    </row>
    <row r="7" customFormat="false" ht="15" hidden="false" customHeight="false" outlineLevel="0" collapsed="false">
      <c r="A7" s="0" t="s">
        <v>252</v>
      </c>
      <c r="B7" s="0" t="s">
        <v>1110</v>
      </c>
      <c r="C7" s="26" t="s">
        <v>11</v>
      </c>
      <c r="D7" s="18" t="n">
        <v>5</v>
      </c>
      <c r="E7" s="32" t="s">
        <v>952</v>
      </c>
      <c r="F7" s="29" t="s">
        <v>1291</v>
      </c>
      <c r="G7" s="18" t="n">
        <v>5</v>
      </c>
      <c r="H7" s="32" t="s">
        <v>1040</v>
      </c>
      <c r="I7" s="29" t="s">
        <v>1292</v>
      </c>
      <c r="J7" s="18" t="n">
        <f aca="false">+J6+1</f>
        <v>5</v>
      </c>
      <c r="K7" s="32" t="s">
        <v>1304</v>
      </c>
      <c r="L7" s="32" t="s">
        <v>1304</v>
      </c>
      <c r="M7" s="29"/>
      <c r="N7" s="35" t="s">
        <v>41</v>
      </c>
      <c r="O7" s="35" t="s">
        <v>41</v>
      </c>
      <c r="P7" s="31"/>
      <c r="Q7" s="18" t="n">
        <v>6</v>
      </c>
      <c r="R7" s="18" t="s">
        <v>120</v>
      </c>
      <c r="S7" s="18"/>
      <c r="V7" s="30" t="s">
        <v>1305</v>
      </c>
    </row>
    <row r="8" customFormat="false" ht="15" hidden="false" customHeight="false" outlineLevel="0" collapsed="false">
      <c r="A8" s="0" t="s">
        <v>267</v>
      </c>
      <c r="B8" s="0" t="s">
        <v>960</v>
      </c>
      <c r="C8" s="26" t="s">
        <v>11</v>
      </c>
      <c r="D8" s="18" t="n">
        <v>6</v>
      </c>
      <c r="E8" s="32" t="s">
        <v>1306</v>
      </c>
      <c r="F8" s="29" t="s">
        <v>1291</v>
      </c>
      <c r="G8" s="18" t="n">
        <v>6</v>
      </c>
      <c r="H8" s="32" t="s">
        <v>982</v>
      </c>
      <c r="I8" s="29" t="s">
        <v>1292</v>
      </c>
      <c r="J8" s="18" t="n">
        <f aca="false">+J7+1</f>
        <v>6</v>
      </c>
      <c r="K8" s="32" t="s">
        <v>1307</v>
      </c>
      <c r="L8" s="30" t="s">
        <v>1303</v>
      </c>
      <c r="M8" s="29"/>
      <c r="N8" s="35"/>
      <c r="O8" s="35"/>
      <c r="P8" s="31"/>
      <c r="Q8" s="18" t="n">
        <v>7</v>
      </c>
      <c r="R8" s="18" t="s">
        <v>1308</v>
      </c>
      <c r="S8" s="18"/>
      <c r="V8" s="30" t="s">
        <v>1303</v>
      </c>
    </row>
    <row r="9" customFormat="false" ht="15" hidden="false" customHeight="false" outlineLevel="0" collapsed="false">
      <c r="A9" s="0" t="s">
        <v>241</v>
      </c>
      <c r="B9" s="0" t="s">
        <v>992</v>
      </c>
      <c r="C9" s="26" t="s">
        <v>11</v>
      </c>
      <c r="D9" s="18" t="n">
        <v>7</v>
      </c>
      <c r="E9" s="32" t="s">
        <v>993</v>
      </c>
      <c r="F9" s="29" t="s">
        <v>1291</v>
      </c>
      <c r="G9" s="18" t="n">
        <v>7</v>
      </c>
      <c r="H9" s="32" t="s">
        <v>1309</v>
      </c>
      <c r="I9" s="29" t="s">
        <v>1292</v>
      </c>
      <c r="J9" s="18" t="n">
        <f aca="false">+J8+1</f>
        <v>7</v>
      </c>
      <c r="K9" s="32" t="s">
        <v>1310</v>
      </c>
      <c r="L9" s="30" t="s">
        <v>1303</v>
      </c>
      <c r="M9" s="29"/>
      <c r="N9" s="35"/>
      <c r="O9" s="35"/>
      <c r="P9" s="31"/>
      <c r="Q9" s="18" t="n">
        <v>8</v>
      </c>
      <c r="R9" s="18" t="s">
        <v>101</v>
      </c>
      <c r="S9" s="18"/>
      <c r="V9" s="30" t="s">
        <v>1303</v>
      </c>
    </row>
    <row r="10" customFormat="false" ht="15" hidden="false" customHeight="false" outlineLevel="0" collapsed="false">
      <c r="A10" s="0" t="s">
        <v>133</v>
      </c>
      <c r="B10" s="0" t="s">
        <v>1311</v>
      </c>
      <c r="C10" s="26" t="s">
        <v>11</v>
      </c>
      <c r="D10" s="18" t="n">
        <v>8</v>
      </c>
      <c r="E10" s="32" t="s">
        <v>1039</v>
      </c>
      <c r="F10" s="29" t="s">
        <v>1291</v>
      </c>
      <c r="G10" s="18" t="n">
        <v>8</v>
      </c>
      <c r="H10" s="32" t="s">
        <v>1312</v>
      </c>
      <c r="I10" s="29" t="s">
        <v>1292</v>
      </c>
      <c r="J10" s="18" t="n">
        <f aca="false">+J9+1</f>
        <v>8</v>
      </c>
      <c r="K10" s="32" t="s">
        <v>1313</v>
      </c>
      <c r="L10" s="30" t="s">
        <v>1303</v>
      </c>
      <c r="M10" s="29"/>
      <c r="N10" s="35"/>
      <c r="O10" s="35"/>
      <c r="P10" s="31"/>
      <c r="Q10" s="18" t="n">
        <v>9</v>
      </c>
      <c r="R10" s="18" t="s">
        <v>110</v>
      </c>
      <c r="S10" s="18"/>
      <c r="V10" s="30" t="s">
        <v>1303</v>
      </c>
    </row>
    <row r="11" customFormat="false" ht="15" hidden="false" customHeight="false" outlineLevel="0" collapsed="false">
      <c r="A11" s="0" t="s">
        <v>287</v>
      </c>
      <c r="B11" s="0" t="s">
        <v>1006</v>
      </c>
      <c r="C11" s="26" t="s">
        <v>11</v>
      </c>
      <c r="D11" s="18" t="n">
        <v>9</v>
      </c>
      <c r="E11" s="32" t="s">
        <v>1314</v>
      </c>
      <c r="F11" s="29" t="s">
        <v>1291</v>
      </c>
      <c r="G11" s="18" t="n">
        <v>9</v>
      </c>
      <c r="H11" s="32" t="s">
        <v>977</v>
      </c>
      <c r="I11" s="29" t="s">
        <v>1292</v>
      </c>
      <c r="J11" s="18" t="n">
        <f aca="false">+J10+1</f>
        <v>9</v>
      </c>
      <c r="K11" s="32" t="s">
        <v>1315</v>
      </c>
      <c r="L11" s="30" t="s">
        <v>1294</v>
      </c>
      <c r="M11" s="29"/>
      <c r="N11" s="35"/>
      <c r="O11" s="35"/>
      <c r="P11" s="31"/>
      <c r="Q11" s="18" t="n">
        <v>10</v>
      </c>
      <c r="R11" s="18" t="s">
        <v>722</v>
      </c>
      <c r="S11" s="18"/>
      <c r="V11" s="30" t="s">
        <v>1294</v>
      </c>
    </row>
    <row r="12" customFormat="false" ht="15" hidden="false" customHeight="false" outlineLevel="0" collapsed="false">
      <c r="A12" s="0" t="s">
        <v>270</v>
      </c>
      <c r="B12" s="0" t="s">
        <v>1316</v>
      </c>
      <c r="C12" s="26" t="s">
        <v>11</v>
      </c>
      <c r="D12" s="18" t="n">
        <v>10</v>
      </c>
      <c r="E12" s="32" t="s">
        <v>1317</v>
      </c>
      <c r="F12" s="29" t="s">
        <v>1291</v>
      </c>
      <c r="G12" s="18" t="n">
        <v>10</v>
      </c>
      <c r="H12" s="32" t="s">
        <v>1141</v>
      </c>
      <c r="I12" s="29" t="s">
        <v>1292</v>
      </c>
      <c r="J12" s="18" t="n">
        <v>10</v>
      </c>
      <c r="K12" s="32" t="s">
        <v>1318</v>
      </c>
      <c r="L12" s="30" t="s">
        <v>1294</v>
      </c>
      <c r="M12" s="29"/>
      <c r="N12" s="35"/>
      <c r="O12" s="35"/>
      <c r="P12" s="31"/>
      <c r="Q12" s="18" t="n">
        <v>11</v>
      </c>
      <c r="R12" s="18" t="s">
        <v>248</v>
      </c>
      <c r="S12" s="18"/>
      <c r="V12" s="30" t="s">
        <v>53</v>
      </c>
    </row>
    <row r="13" customFormat="false" ht="15" hidden="false" customHeight="false" outlineLevel="0" collapsed="false">
      <c r="A13" s="0" t="s">
        <v>1319</v>
      </c>
      <c r="B13" s="0" t="s">
        <v>1320</v>
      </c>
      <c r="C13" s="26" t="s">
        <v>11</v>
      </c>
      <c r="D13" s="18" t="n">
        <v>11</v>
      </c>
      <c r="E13" s="32" t="s">
        <v>1140</v>
      </c>
      <c r="F13" s="29" t="s">
        <v>1291</v>
      </c>
      <c r="G13" s="18" t="n">
        <v>11</v>
      </c>
      <c r="H13" s="32" t="s">
        <v>1321</v>
      </c>
      <c r="I13" s="29" t="s">
        <v>1292</v>
      </c>
      <c r="J13" s="18" t="n">
        <f aca="false">+J12+1</f>
        <v>11</v>
      </c>
      <c r="K13" s="32" t="s">
        <v>953</v>
      </c>
      <c r="L13" s="30" t="s">
        <v>41</v>
      </c>
      <c r="M13" s="29"/>
      <c r="N13" s="35"/>
      <c r="O13" s="35"/>
      <c r="P13" s="31"/>
      <c r="Q13" s="18" t="n">
        <v>12</v>
      </c>
      <c r="R13" s="18" t="s">
        <v>135</v>
      </c>
      <c r="S13" s="18"/>
      <c r="V13" s="30" t="s">
        <v>53</v>
      </c>
    </row>
    <row r="14" customFormat="false" ht="15" hidden="false" customHeight="false" outlineLevel="0" collapsed="false">
      <c r="A14" s="0" t="s">
        <v>1322</v>
      </c>
      <c r="B14" s="0" t="s">
        <v>1323</v>
      </c>
      <c r="C14" s="26" t="s">
        <v>11</v>
      </c>
      <c r="D14" s="18" t="n">
        <v>12</v>
      </c>
      <c r="E14" s="32" t="s">
        <v>1324</v>
      </c>
      <c r="F14" s="29" t="s">
        <v>1291</v>
      </c>
      <c r="G14" s="18" t="n">
        <v>12</v>
      </c>
      <c r="H14" s="32" t="s">
        <v>1001</v>
      </c>
      <c r="I14" s="29" t="s">
        <v>1292</v>
      </c>
      <c r="J14" s="18" t="n">
        <f aca="false">+J13+1</f>
        <v>12</v>
      </c>
      <c r="K14" s="32" t="s">
        <v>612</v>
      </c>
      <c r="L14" s="30" t="s">
        <v>41</v>
      </c>
      <c r="M14" s="29"/>
      <c r="N14" s="35"/>
      <c r="O14" s="35"/>
      <c r="Q14" s="18" t="n">
        <v>13</v>
      </c>
      <c r="R14" s="18" t="s">
        <v>764</v>
      </c>
      <c r="S14" s="18"/>
    </row>
    <row r="15" customFormat="false" ht="15" hidden="false" customHeight="false" outlineLevel="0" collapsed="false">
      <c r="A15" s="0" t="s">
        <v>1325</v>
      </c>
      <c r="B15" s="0" t="s">
        <v>1326</v>
      </c>
      <c r="C15" s="26" t="s">
        <v>11</v>
      </c>
      <c r="D15" s="18" t="n">
        <v>13</v>
      </c>
      <c r="E15" s="32" t="s">
        <v>1327</v>
      </c>
      <c r="F15" s="29" t="s">
        <v>1291</v>
      </c>
      <c r="G15" s="18" t="n">
        <v>13</v>
      </c>
      <c r="H15" s="32" t="s">
        <v>1328</v>
      </c>
      <c r="I15" s="29" t="s">
        <v>1292</v>
      </c>
      <c r="J15" s="18" t="n">
        <f aca="false">+J14+1</f>
        <v>13</v>
      </c>
      <c r="K15" s="32" t="s">
        <v>1329</v>
      </c>
      <c r="L15" s="30" t="s">
        <v>1303</v>
      </c>
      <c r="M15" s="29"/>
      <c r="N15" s="35"/>
      <c r="O15" s="35"/>
    </row>
    <row r="16" customFormat="false" ht="15.75" hidden="false" customHeight="false" outlineLevel="0" collapsed="false">
      <c r="A16" s="0" t="s">
        <v>696</v>
      </c>
      <c r="B16" s="0" t="s">
        <v>1330</v>
      </c>
      <c r="C16" s="26" t="s">
        <v>11</v>
      </c>
      <c r="D16" s="33" t="n">
        <v>14</v>
      </c>
      <c r="E16" s="34" t="s">
        <v>1331</v>
      </c>
      <c r="F16" s="29" t="s">
        <v>1291</v>
      </c>
      <c r="G16" s="18" t="n">
        <v>14</v>
      </c>
      <c r="H16" s="32" t="s">
        <v>1332</v>
      </c>
      <c r="I16" s="29" t="s">
        <v>1292</v>
      </c>
      <c r="J16" s="18" t="n">
        <f aca="false">+J15+1</f>
        <v>14</v>
      </c>
      <c r="K16" s="32" t="s">
        <v>1333</v>
      </c>
      <c r="L16" s="30" t="s">
        <v>1303</v>
      </c>
      <c r="M16" s="29"/>
      <c r="N16" s="35"/>
      <c r="O16" s="35"/>
    </row>
    <row r="17" customFormat="false" ht="15" hidden="false" customHeight="false" outlineLevel="0" collapsed="false">
      <c r="A17" s="0" t="s">
        <v>106</v>
      </c>
      <c r="B17" s="0" t="s">
        <v>1144</v>
      </c>
      <c r="D17" s="0" t="s">
        <v>41</v>
      </c>
      <c r="E17" s="36" t="s">
        <v>41</v>
      </c>
      <c r="F17" s="29" t="s">
        <v>1291</v>
      </c>
      <c r="G17" s="18" t="n">
        <v>15</v>
      </c>
      <c r="H17" s="32" t="s">
        <v>1136</v>
      </c>
      <c r="I17" s="29" t="s">
        <v>1292</v>
      </c>
      <c r="J17" s="18" t="n">
        <f aca="false">+J16+1</f>
        <v>15</v>
      </c>
      <c r="K17" s="32" t="s">
        <v>1334</v>
      </c>
      <c r="L17" s="30" t="s">
        <v>53</v>
      </c>
      <c r="M17" s="29"/>
      <c r="N17" s="35"/>
      <c r="O17" s="35"/>
    </row>
    <row r="18" customFormat="false" ht="15" hidden="false" customHeight="false" outlineLevel="0" collapsed="false">
      <c r="A18" s="0" t="s">
        <v>111</v>
      </c>
      <c r="B18" s="0" t="s">
        <v>958</v>
      </c>
      <c r="F18" s="29" t="s">
        <v>1291</v>
      </c>
      <c r="G18" s="18" t="n">
        <v>16</v>
      </c>
      <c r="H18" s="32" t="s">
        <v>957</v>
      </c>
      <c r="I18" s="29" t="s">
        <v>1292</v>
      </c>
      <c r="J18" s="18" t="n">
        <f aca="false">+J17+1</f>
        <v>16</v>
      </c>
      <c r="K18" s="32" t="s">
        <v>1335</v>
      </c>
      <c r="L18" s="30" t="s">
        <v>41</v>
      </c>
      <c r="M18" s="29"/>
      <c r="N18" s="35"/>
      <c r="O18" s="8" t="s">
        <v>7</v>
      </c>
      <c r="P18" s="8" t="s">
        <v>30</v>
      </c>
      <c r="Q18" s="8" t="s">
        <v>8</v>
      </c>
    </row>
    <row r="19" customFormat="false" ht="15" hidden="false" customHeight="false" outlineLevel="0" collapsed="false">
      <c r="A19" s="0" t="s">
        <v>1336</v>
      </c>
      <c r="B19" s="0" t="s">
        <v>1337</v>
      </c>
      <c r="F19" s="29" t="s">
        <v>1291</v>
      </c>
      <c r="G19" s="18" t="n">
        <v>17</v>
      </c>
      <c r="H19" s="32" t="s">
        <v>1338</v>
      </c>
      <c r="I19" s="29" t="s">
        <v>1292</v>
      </c>
      <c r="J19" s="18" t="n">
        <f aca="false">+J18+1</f>
        <v>17</v>
      </c>
      <c r="K19" s="32" t="s">
        <v>1339</v>
      </c>
      <c r="L19" s="30" t="s">
        <v>41</v>
      </c>
      <c r="M19" s="29"/>
      <c r="O19" s="18" t="s">
        <v>43</v>
      </c>
      <c r="P19" s="18" t="s">
        <v>34</v>
      </c>
      <c r="Q19" s="18" t="s">
        <v>44</v>
      </c>
    </row>
    <row r="20" customFormat="false" ht="15" hidden="false" customHeight="false" outlineLevel="0" collapsed="false">
      <c r="A20" s="0" t="s">
        <v>1340</v>
      </c>
      <c r="B20" s="0" t="s">
        <v>1341</v>
      </c>
      <c r="F20" s="29" t="s">
        <v>1291</v>
      </c>
      <c r="G20" s="18" t="n">
        <v>18</v>
      </c>
      <c r="H20" s="32" t="s">
        <v>1342</v>
      </c>
      <c r="I20" s="29" t="s">
        <v>1292</v>
      </c>
      <c r="J20" s="18" t="n">
        <f aca="false">+J19+1</f>
        <v>18</v>
      </c>
      <c r="K20" s="32" t="s">
        <v>1343</v>
      </c>
      <c r="L20" s="30" t="s">
        <v>41</v>
      </c>
      <c r="O20" s="18" t="s">
        <v>49</v>
      </c>
      <c r="P20" s="18" t="s">
        <v>1344</v>
      </c>
      <c r="Q20" s="18" t="s">
        <v>50</v>
      </c>
    </row>
    <row r="21" customFormat="false" ht="15" hidden="false" customHeight="false" outlineLevel="0" collapsed="false">
      <c r="A21" s="0" t="s">
        <v>37</v>
      </c>
      <c r="B21" s="0" t="s">
        <v>1345</v>
      </c>
      <c r="F21" s="29" t="s">
        <v>1291</v>
      </c>
      <c r="G21" s="18" t="n">
        <v>19</v>
      </c>
      <c r="H21" s="32" t="s">
        <v>1032</v>
      </c>
      <c r="I21" s="29" t="s">
        <v>1292</v>
      </c>
      <c r="J21" s="18" t="n">
        <f aca="false">+J20+1</f>
        <v>19</v>
      </c>
      <c r="K21" s="32" t="s">
        <v>1346</v>
      </c>
      <c r="L21" s="30" t="s">
        <v>41</v>
      </c>
      <c r="O21" s="18" t="s">
        <v>53</v>
      </c>
      <c r="P21" s="18" t="s">
        <v>70</v>
      </c>
      <c r="Q21" s="18" t="s">
        <v>54</v>
      </c>
    </row>
    <row r="22" customFormat="false" ht="15" hidden="false" customHeight="false" outlineLevel="0" collapsed="false">
      <c r="A22" s="0" t="s">
        <v>115</v>
      </c>
      <c r="B22" s="0" t="s">
        <v>966</v>
      </c>
      <c r="F22" s="29" t="s">
        <v>1291</v>
      </c>
      <c r="G22" s="18" t="n">
        <v>20</v>
      </c>
      <c r="H22" s="32" t="s">
        <v>1347</v>
      </c>
      <c r="I22" s="29" t="s">
        <v>1292</v>
      </c>
      <c r="J22" s="18" t="n">
        <v>20</v>
      </c>
      <c r="K22" s="32" t="s">
        <v>1348</v>
      </c>
      <c r="L22" s="30" t="s">
        <v>41</v>
      </c>
      <c r="O22" s="18" t="s">
        <v>58</v>
      </c>
      <c r="P22" s="18" t="s">
        <v>1349</v>
      </c>
      <c r="Q22" s="18" t="s">
        <v>36</v>
      </c>
    </row>
    <row r="23" customFormat="false" ht="15" hidden="false" customHeight="false" outlineLevel="0" collapsed="false">
      <c r="A23" s="0" t="s">
        <v>100</v>
      </c>
      <c r="B23" s="0" t="s">
        <v>978</v>
      </c>
      <c r="F23" s="29" t="s">
        <v>1291</v>
      </c>
      <c r="G23" s="18" t="n">
        <v>21</v>
      </c>
      <c r="H23" s="32" t="s">
        <v>1350</v>
      </c>
      <c r="I23" s="29" t="s">
        <v>1292</v>
      </c>
      <c r="J23" s="18" t="n">
        <f aca="false">+J22+1</f>
        <v>21</v>
      </c>
      <c r="K23" s="32" t="s">
        <v>1351</v>
      </c>
      <c r="L23" s="30" t="s">
        <v>41</v>
      </c>
      <c r="O23" s="18" t="s">
        <v>61</v>
      </c>
      <c r="P23" s="18" t="s">
        <v>92</v>
      </c>
      <c r="Q23" s="18" t="s">
        <v>62</v>
      </c>
    </row>
    <row r="24" customFormat="false" ht="15" hidden="false" customHeight="false" outlineLevel="0" collapsed="false">
      <c r="A24" s="0" t="s">
        <v>289</v>
      </c>
      <c r="B24" s="0" t="s">
        <v>1067</v>
      </c>
      <c r="F24" s="29" t="s">
        <v>1291</v>
      </c>
      <c r="G24" s="18" t="n">
        <v>22</v>
      </c>
      <c r="H24" s="32" t="s">
        <v>1352</v>
      </c>
      <c r="I24" s="29" t="s">
        <v>1292</v>
      </c>
      <c r="J24" s="18" t="n">
        <f aca="false">+J23+1</f>
        <v>22</v>
      </c>
      <c r="K24" s="32" t="s">
        <v>1353</v>
      </c>
      <c r="L24" s="30" t="s">
        <v>41</v>
      </c>
      <c r="O24" s="18" t="s">
        <v>65</v>
      </c>
      <c r="P24" s="18" t="s">
        <v>1354</v>
      </c>
      <c r="Q24" s="18" t="s">
        <v>66</v>
      </c>
    </row>
    <row r="25" customFormat="false" ht="15" hidden="false" customHeight="false" outlineLevel="0" collapsed="false">
      <c r="A25" s="0" t="s">
        <v>118</v>
      </c>
      <c r="B25" s="0" t="s">
        <v>609</v>
      </c>
      <c r="F25" s="29" t="s">
        <v>1291</v>
      </c>
      <c r="G25" s="18" t="n">
        <v>23</v>
      </c>
      <c r="H25" s="32" t="s">
        <v>1355</v>
      </c>
      <c r="I25" s="29" t="s">
        <v>1292</v>
      </c>
      <c r="J25" s="18" t="n">
        <f aca="false">+J24+1</f>
        <v>23</v>
      </c>
      <c r="K25" s="32" t="s">
        <v>1356</v>
      </c>
      <c r="L25" s="30" t="s">
        <v>41</v>
      </c>
      <c r="O25" s="18" t="s">
        <v>68</v>
      </c>
      <c r="P25" s="18" t="s">
        <v>1357</v>
      </c>
      <c r="Q25" s="18" t="s">
        <v>69</v>
      </c>
    </row>
    <row r="26" customFormat="false" ht="15" hidden="false" customHeight="false" outlineLevel="0" collapsed="false">
      <c r="A26" s="0" t="s">
        <v>1358</v>
      </c>
      <c r="B26" s="0" t="s">
        <v>1359</v>
      </c>
      <c r="F26" s="29" t="s">
        <v>1291</v>
      </c>
      <c r="G26" s="18" t="n">
        <v>24</v>
      </c>
      <c r="H26" s="32" t="s">
        <v>975</v>
      </c>
      <c r="I26" s="29" t="s">
        <v>1292</v>
      </c>
      <c r="J26" s="18" t="n">
        <f aca="false">+J25+1</f>
        <v>24</v>
      </c>
      <c r="K26" s="32" t="s">
        <v>1360</v>
      </c>
      <c r="L26" s="30" t="s">
        <v>41</v>
      </c>
      <c r="O26" s="18" t="s">
        <v>71</v>
      </c>
      <c r="P26" s="18"/>
      <c r="Q26" s="18" t="s">
        <v>72</v>
      </c>
    </row>
    <row r="27" customFormat="false" ht="15.75" hidden="false" customHeight="false" outlineLevel="0" collapsed="false">
      <c r="A27" s="0" t="s">
        <v>1361</v>
      </c>
      <c r="B27" s="0" t="s">
        <v>1362</v>
      </c>
      <c r="F27" s="29" t="s">
        <v>1291</v>
      </c>
      <c r="G27" s="18" t="n">
        <v>25</v>
      </c>
      <c r="H27" s="32" t="s">
        <v>1363</v>
      </c>
      <c r="I27" s="29" t="s">
        <v>1292</v>
      </c>
      <c r="J27" s="33" t="n">
        <f aca="false">+J26+1</f>
        <v>25</v>
      </c>
      <c r="K27" s="34" t="s">
        <v>1364</v>
      </c>
      <c r="L27" s="30" t="s">
        <v>41</v>
      </c>
      <c r="O27" s="18"/>
      <c r="P27" s="18"/>
      <c r="Q27" s="18" t="s">
        <v>74</v>
      </c>
    </row>
    <row r="28" customFormat="false" ht="15.75" hidden="false" customHeight="false" outlineLevel="0" collapsed="false">
      <c r="A28" s="0" t="s">
        <v>121</v>
      </c>
      <c r="B28" s="0" t="s">
        <v>955</v>
      </c>
      <c r="F28" s="29" t="s">
        <v>1291</v>
      </c>
      <c r="G28" s="18" t="n">
        <v>26</v>
      </c>
      <c r="H28" s="32" t="s">
        <v>1365</v>
      </c>
      <c r="I28" s="29"/>
      <c r="J28" s="33" t="n">
        <v>26</v>
      </c>
      <c r="K28" s="34" t="s">
        <v>1366</v>
      </c>
      <c r="L28" s="1"/>
      <c r="O28" s="18"/>
      <c r="P28" s="18"/>
      <c r="Q28" s="18" t="s">
        <v>76</v>
      </c>
    </row>
    <row r="29" customFormat="false" ht="15.75" hidden="false" customHeight="false" outlineLevel="0" collapsed="false">
      <c r="A29" s="0" t="s">
        <v>1367</v>
      </c>
      <c r="B29" s="0" t="s">
        <v>1368</v>
      </c>
      <c r="F29" s="29" t="s">
        <v>1291</v>
      </c>
      <c r="G29" s="18" t="n">
        <v>27</v>
      </c>
      <c r="H29" s="32" t="s">
        <v>997</v>
      </c>
      <c r="I29" s="29"/>
      <c r="J29" s="33" t="n">
        <v>27</v>
      </c>
      <c r="K29" s="34" t="s">
        <v>1369</v>
      </c>
      <c r="L29" s="1"/>
      <c r="O29" s="18"/>
      <c r="P29" s="18"/>
      <c r="Q29" s="18" t="s">
        <v>79</v>
      </c>
    </row>
    <row r="30" customFormat="false" ht="15.75" hidden="false" customHeight="false" outlineLevel="0" collapsed="false">
      <c r="A30" s="0" t="s">
        <v>323</v>
      </c>
      <c r="B30" s="0" t="s">
        <v>1070</v>
      </c>
      <c r="F30" s="29" t="s">
        <v>1291</v>
      </c>
      <c r="G30" s="18" t="n">
        <v>28</v>
      </c>
      <c r="H30" s="32" t="s">
        <v>1054</v>
      </c>
      <c r="I30" s="29"/>
      <c r="J30" s="33" t="n">
        <v>28</v>
      </c>
      <c r="K30" s="34" t="s">
        <v>1370</v>
      </c>
      <c r="L30" s="1"/>
      <c r="O30" s="18"/>
      <c r="P30" s="18"/>
      <c r="Q30" s="18" t="s">
        <v>82</v>
      </c>
    </row>
    <row r="31" customFormat="false" ht="15.75" hidden="false" customHeight="false" outlineLevel="0" collapsed="false">
      <c r="A31" s="0" t="s">
        <v>1371</v>
      </c>
      <c r="B31" s="0" t="s">
        <v>1372</v>
      </c>
      <c r="F31" s="29" t="s">
        <v>1291</v>
      </c>
      <c r="G31" s="18" t="n">
        <v>29</v>
      </c>
      <c r="H31" s="32" t="s">
        <v>1373</v>
      </c>
      <c r="I31" s="29"/>
      <c r="J31" s="33" t="n">
        <v>28</v>
      </c>
      <c r="K31" s="34" t="s">
        <v>1374</v>
      </c>
      <c r="L31" s="1"/>
      <c r="O31" s="18"/>
      <c r="P31" s="18"/>
      <c r="Q31" s="18" t="s">
        <v>84</v>
      </c>
    </row>
    <row r="32" customFormat="false" ht="15.75" hidden="false" customHeight="false" outlineLevel="0" collapsed="false">
      <c r="A32" s="0" t="s">
        <v>1375</v>
      </c>
      <c r="B32" s="0" t="s">
        <v>1376</v>
      </c>
      <c r="F32" s="29" t="s">
        <v>1291</v>
      </c>
      <c r="G32" s="18" t="n">
        <v>30</v>
      </c>
      <c r="H32" s="32" t="s">
        <v>1377</v>
      </c>
      <c r="I32" s="29"/>
      <c r="J32" s="33" t="n">
        <v>28</v>
      </c>
      <c r="K32" s="34" t="s">
        <v>1378</v>
      </c>
      <c r="L32" s="1"/>
      <c r="O32" s="18"/>
      <c r="P32" s="18"/>
    </row>
    <row r="33" customFormat="false" ht="15" hidden="false" customHeight="false" outlineLevel="0" collapsed="false">
      <c r="A33" s="0" t="s">
        <v>1379</v>
      </c>
      <c r="B33" s="0" t="s">
        <v>1380</v>
      </c>
      <c r="F33" s="29" t="s">
        <v>1291</v>
      </c>
      <c r="G33" s="18" t="n">
        <v>31</v>
      </c>
      <c r="H33" s="32" t="s">
        <v>1381</v>
      </c>
      <c r="I33" s="29"/>
      <c r="J33" s="35"/>
      <c r="K33" s="35"/>
      <c r="L33" s="1"/>
    </row>
    <row r="34" customFormat="false" ht="15" hidden="false" customHeight="false" outlineLevel="0" collapsed="false">
      <c r="A34" s="0" t="s">
        <v>118</v>
      </c>
      <c r="B34" s="0" t="s">
        <v>609</v>
      </c>
      <c r="F34" s="29" t="s">
        <v>1291</v>
      </c>
      <c r="G34" s="18" t="n">
        <v>32</v>
      </c>
      <c r="H34" s="32" t="s">
        <v>1382</v>
      </c>
      <c r="I34" s="29"/>
      <c r="J34" s="35"/>
      <c r="K34" s="35"/>
      <c r="L34" s="1"/>
    </row>
    <row r="35" customFormat="false" ht="15" hidden="false" customHeight="false" outlineLevel="0" collapsed="false">
      <c r="A35" s="0" t="s">
        <v>1383</v>
      </c>
      <c r="B35" s="0" t="s">
        <v>1384</v>
      </c>
      <c r="F35" s="29" t="s">
        <v>1291</v>
      </c>
      <c r="G35" s="18" t="n">
        <v>33</v>
      </c>
      <c r="H35" s="32" t="s">
        <v>1385</v>
      </c>
      <c r="I35" s="29"/>
      <c r="J35" s="35"/>
      <c r="K35" s="35"/>
      <c r="L35" s="1"/>
    </row>
    <row r="36" customFormat="false" ht="15" hidden="false" customHeight="false" outlineLevel="0" collapsed="false">
      <c r="A36" s="0" t="s">
        <v>1386</v>
      </c>
      <c r="B36" s="0" t="s">
        <v>1387</v>
      </c>
      <c r="F36" s="29" t="s">
        <v>1291</v>
      </c>
      <c r="G36" s="18" t="n">
        <v>34</v>
      </c>
      <c r="H36" s="32" t="s">
        <v>1388</v>
      </c>
      <c r="I36" s="29"/>
      <c r="K36" s="30"/>
      <c r="L36" s="23"/>
    </row>
    <row r="37" customFormat="false" ht="15.75" hidden="false" customHeight="false" outlineLevel="0" collapsed="false">
      <c r="A37" s="0" t="s">
        <v>1358</v>
      </c>
      <c r="B37" s="0" t="s">
        <v>1389</v>
      </c>
      <c r="F37" s="29" t="s">
        <v>1291</v>
      </c>
      <c r="G37" s="33" t="n">
        <v>35</v>
      </c>
      <c r="H37" s="34" t="s">
        <v>1390</v>
      </c>
    </row>
    <row r="38" customFormat="false" ht="15" hidden="false" customHeight="false" outlineLevel="0" collapsed="false">
      <c r="A38" s="0" t="s">
        <v>1391</v>
      </c>
      <c r="B38" s="0" t="s">
        <v>1392</v>
      </c>
      <c r="F38" s="29" t="s">
        <v>1291</v>
      </c>
      <c r="G38" s="27" t="n">
        <v>36</v>
      </c>
      <c r="H38" s="28" t="s">
        <v>994</v>
      </c>
    </row>
    <row r="39" customFormat="false" ht="15" hidden="false" customHeight="false" outlineLevel="0" collapsed="false">
      <c r="A39" s="0" t="s">
        <v>1393</v>
      </c>
      <c r="B39" s="0" t="s">
        <v>1394</v>
      </c>
      <c r="F39" s="29" t="s">
        <v>1291</v>
      </c>
      <c r="G39" s="18" t="n">
        <v>37</v>
      </c>
      <c r="H39" s="32" t="s">
        <v>1034</v>
      </c>
    </row>
    <row r="40" customFormat="false" ht="15" hidden="false" customHeight="false" outlineLevel="0" collapsed="false">
      <c r="A40" s="0" t="s">
        <v>1395</v>
      </c>
      <c r="B40" s="0" t="s">
        <v>1396</v>
      </c>
      <c r="F40" s="29" t="s">
        <v>1291</v>
      </c>
      <c r="G40" s="18" t="n">
        <v>38</v>
      </c>
      <c r="H40" s="32" t="s">
        <v>1397</v>
      </c>
    </row>
    <row r="41" customFormat="false" ht="15" hidden="false" customHeight="false" outlineLevel="0" collapsed="false">
      <c r="A41" s="0" t="s">
        <v>1398</v>
      </c>
      <c r="B41" s="0" t="s">
        <v>1399</v>
      </c>
      <c r="F41" s="29" t="s">
        <v>1291</v>
      </c>
      <c r="G41" s="18" t="n">
        <v>39</v>
      </c>
      <c r="H41" s="32" t="s">
        <v>1400</v>
      </c>
    </row>
    <row r="42" customFormat="false" ht="15" hidden="false" customHeight="false" outlineLevel="0" collapsed="false">
      <c r="A42" s="0" t="s">
        <v>1361</v>
      </c>
      <c r="B42" s="0" t="s">
        <v>1362</v>
      </c>
      <c r="F42" s="29" t="s">
        <v>1291</v>
      </c>
      <c r="G42" s="18" t="n">
        <v>40</v>
      </c>
      <c r="H42" s="32" t="s">
        <v>1401</v>
      </c>
    </row>
    <row r="43" customFormat="false" ht="15" hidden="false" customHeight="false" outlineLevel="0" collapsed="false">
      <c r="A43" s="0" t="s">
        <v>1402</v>
      </c>
      <c r="B43" s="0" t="s">
        <v>1403</v>
      </c>
      <c r="F43" s="29" t="s">
        <v>1291</v>
      </c>
      <c r="G43" s="18" t="n">
        <f aca="false">+G42+1</f>
        <v>41</v>
      </c>
      <c r="H43" s="32" t="s">
        <v>1404</v>
      </c>
    </row>
    <row r="44" customFormat="false" ht="15" hidden="false" customHeight="false" outlineLevel="0" collapsed="false">
      <c r="A44" s="0" t="s">
        <v>121</v>
      </c>
      <c r="B44" s="0" t="s">
        <v>955</v>
      </c>
      <c r="F44" s="29" t="s">
        <v>1291</v>
      </c>
      <c r="G44" s="18" t="n">
        <f aca="false">+G43+1</f>
        <v>42</v>
      </c>
      <c r="H44" s="32" t="s">
        <v>1405</v>
      </c>
    </row>
    <row r="45" customFormat="false" ht="15" hidden="false" customHeight="false" outlineLevel="0" collapsed="false">
      <c r="A45" s="0" t="s">
        <v>1406</v>
      </c>
      <c r="B45" s="0" t="s">
        <v>1407</v>
      </c>
      <c r="F45" s="29" t="s">
        <v>1291</v>
      </c>
      <c r="G45" s="18" t="n">
        <f aca="false">+G44+1</f>
        <v>43</v>
      </c>
      <c r="H45" s="32" t="s">
        <v>1408</v>
      </c>
    </row>
    <row r="46" customFormat="false" ht="15" hidden="false" customHeight="false" outlineLevel="0" collapsed="false">
      <c r="A46" s="0" t="s">
        <v>1367</v>
      </c>
      <c r="B46" s="0" t="s">
        <v>1368</v>
      </c>
      <c r="F46" s="29" t="s">
        <v>1291</v>
      </c>
      <c r="G46" s="18" t="n">
        <f aca="false">+G45+1</f>
        <v>44</v>
      </c>
      <c r="H46" s="32" t="s">
        <v>1409</v>
      </c>
    </row>
    <row r="47" customFormat="false" ht="15" hidden="false" customHeight="false" outlineLevel="0" collapsed="false">
      <c r="A47" s="0" t="s">
        <v>1410</v>
      </c>
      <c r="B47" s="0" t="s">
        <v>1411</v>
      </c>
      <c r="F47" s="29" t="s">
        <v>1291</v>
      </c>
      <c r="G47" s="18" t="n">
        <f aca="false">+G46+1</f>
        <v>45</v>
      </c>
      <c r="H47" s="32" t="s">
        <v>1412</v>
      </c>
    </row>
    <row r="48" customFormat="false" ht="15" hidden="false" customHeight="false" outlineLevel="0" collapsed="false">
      <c r="A48" s="0" t="s">
        <v>1413</v>
      </c>
      <c r="B48" s="0" t="s">
        <v>1414</v>
      </c>
      <c r="F48" s="29" t="s">
        <v>1291</v>
      </c>
      <c r="G48" s="18" t="n">
        <f aca="false">+G47+1</f>
        <v>46</v>
      </c>
      <c r="H48" s="32" t="s">
        <v>53</v>
      </c>
    </row>
    <row r="49" customFormat="false" ht="15" hidden="false" customHeight="false" outlineLevel="0" collapsed="false">
      <c r="A49" s="0" t="s">
        <v>323</v>
      </c>
      <c r="B49" s="0" t="s">
        <v>1070</v>
      </c>
      <c r="F49" s="29" t="s">
        <v>1291</v>
      </c>
      <c r="G49" s="18" t="n">
        <f aca="false">+G48+1</f>
        <v>47</v>
      </c>
      <c r="H49" s="32" t="s">
        <v>1415</v>
      </c>
    </row>
    <row r="50" customFormat="false" ht="15" hidden="false" customHeight="false" outlineLevel="0" collapsed="false">
      <c r="A50" s="0" t="s">
        <v>239</v>
      </c>
      <c r="B50" s="0" t="s">
        <v>951</v>
      </c>
      <c r="F50" s="29" t="s">
        <v>1291</v>
      </c>
      <c r="G50" s="18" t="n">
        <f aca="false">+G49+1</f>
        <v>48</v>
      </c>
      <c r="H50" s="32" t="s">
        <v>1416</v>
      </c>
    </row>
    <row r="51" customFormat="false" ht="15" hidden="false" customHeight="false" outlineLevel="0" collapsed="false">
      <c r="A51" s="0" t="s">
        <v>96</v>
      </c>
      <c r="B51" s="0" t="s">
        <v>1417</v>
      </c>
      <c r="F51" s="29" t="s">
        <v>1291</v>
      </c>
      <c r="G51" s="18" t="n">
        <f aca="false">+G50+1</f>
        <v>49</v>
      </c>
      <c r="H51" s="32" t="s">
        <v>1418</v>
      </c>
    </row>
    <row r="52" customFormat="false" ht="15" hidden="false" customHeight="false" outlineLevel="0" collapsed="false">
      <c r="A52" s="0" t="s">
        <v>964</v>
      </c>
      <c r="B52" s="0" t="s">
        <v>965</v>
      </c>
      <c r="F52" s="29" t="s">
        <v>1291</v>
      </c>
      <c r="G52" s="18" t="n">
        <v>50</v>
      </c>
      <c r="H52" s="32" t="s">
        <v>1419</v>
      </c>
    </row>
    <row r="53" customFormat="false" ht="15.75" hidden="false" customHeight="false" outlineLevel="0" collapsed="false">
      <c r="A53" s="0" t="s">
        <v>241</v>
      </c>
      <c r="B53" s="0" t="s">
        <v>992</v>
      </c>
      <c r="F53" s="29" t="s">
        <v>1291</v>
      </c>
      <c r="G53" s="33" t="n">
        <v>51</v>
      </c>
      <c r="H53" s="32" t="s">
        <v>1420</v>
      </c>
    </row>
    <row r="54" customFormat="false" ht="15" hidden="false" customHeight="false" outlineLevel="0" collapsed="false">
      <c r="A54" s="0" t="s">
        <v>1421</v>
      </c>
      <c r="B54" s="0" t="s">
        <v>1422</v>
      </c>
      <c r="F54" s="29"/>
      <c r="G54" s="37" t="n">
        <v>52</v>
      </c>
      <c r="H54" s="32" t="s">
        <v>1423</v>
      </c>
    </row>
    <row r="55" customFormat="false" ht="15" hidden="false" customHeight="false" outlineLevel="0" collapsed="false">
      <c r="A55" s="0" t="s">
        <v>1424</v>
      </c>
      <c r="B55" s="0" t="s">
        <v>1425</v>
      </c>
      <c r="F55" s="29"/>
      <c r="G55" s="37" t="n">
        <v>53</v>
      </c>
      <c r="H55" s="32" t="s">
        <v>1426</v>
      </c>
    </row>
    <row r="56" customFormat="false" ht="15" hidden="false" customHeight="false" outlineLevel="0" collapsed="false">
      <c r="A56" s="0" t="s">
        <v>1427</v>
      </c>
      <c r="B56" s="0" t="s">
        <v>1428</v>
      </c>
      <c r="F56" s="29"/>
      <c r="G56" s="35"/>
      <c r="H56" s="35"/>
    </row>
    <row r="57" customFormat="false" ht="15" hidden="false" customHeight="false" outlineLevel="0" collapsed="false">
      <c r="A57" s="0" t="s">
        <v>1429</v>
      </c>
      <c r="B57" s="0" t="s">
        <v>1430</v>
      </c>
      <c r="F57" s="29"/>
      <c r="G57" s="35"/>
      <c r="H57" s="35"/>
    </row>
    <row r="58" customFormat="false" ht="15" hidden="false" customHeight="false" outlineLevel="0" collapsed="false">
      <c r="A58" s="0" t="s">
        <v>287</v>
      </c>
      <c r="B58" s="0" t="s">
        <v>1431</v>
      </c>
      <c r="F58" s="29"/>
      <c r="H58" s="30"/>
    </row>
    <row r="428" customFormat="false" ht="15" hidden="false" customHeight="false" outlineLevel="0" collapsed="false">
      <c r="B428" s="0" t="n">
        <v>1009566388</v>
      </c>
      <c r="C428" s="24" t="s">
        <v>102</v>
      </c>
      <c r="E428" s="0" t="s">
        <v>64</v>
      </c>
      <c r="G428" s="0" t="n">
        <v>867265131690</v>
      </c>
      <c r="J428" s="0" t="s">
        <v>106</v>
      </c>
      <c r="N428" s="0" t="n">
        <v>24</v>
      </c>
      <c r="V428" s="0" t="n">
        <v>8</v>
      </c>
      <c r="Z428" s="0" t="s">
        <v>242</v>
      </c>
    </row>
    <row r="429" customFormat="false" ht="15" hidden="false" customHeight="false" outlineLevel="0" collapsed="false">
      <c r="B429" s="0" t="n">
        <v>1009603145</v>
      </c>
      <c r="C429" s="24" t="s">
        <v>181</v>
      </c>
      <c r="E429" s="0" t="s">
        <v>64</v>
      </c>
      <c r="G429" s="0" t="n">
        <v>866084173313</v>
      </c>
      <c r="J429" s="0" t="s">
        <v>100</v>
      </c>
      <c r="L429" s="0" t="n">
        <v>1</v>
      </c>
      <c r="V429" s="0" t="n">
        <v>2</v>
      </c>
      <c r="Z429" s="0" t="s">
        <v>285</v>
      </c>
    </row>
    <row r="430" customFormat="false" ht="15" hidden="false" customHeight="false" outlineLevel="0" collapsed="false">
      <c r="B430" s="0" t="n">
        <v>1009614149</v>
      </c>
      <c r="C430" s="24" t="s">
        <v>184</v>
      </c>
      <c r="D430" s="0" t="s">
        <v>156</v>
      </c>
      <c r="G430" s="0" t="n">
        <v>865160100067</v>
      </c>
      <c r="J430" s="0" t="s">
        <v>111</v>
      </c>
      <c r="L430" s="0" t="n">
        <v>1</v>
      </c>
      <c r="P430" s="0" t="n">
        <v>12</v>
      </c>
      <c r="V430" s="0" t="n">
        <v>9</v>
      </c>
      <c r="Z430" s="0" t="s">
        <v>222</v>
      </c>
    </row>
    <row r="431" customFormat="false" ht="15" hidden="false" customHeight="false" outlineLevel="0" collapsed="false">
      <c r="B431" s="0" t="n">
        <v>1009561814</v>
      </c>
      <c r="C431" s="24" t="s">
        <v>192</v>
      </c>
      <c r="E431" s="0" t="s">
        <v>64</v>
      </c>
      <c r="G431" s="0" t="n">
        <v>868129141313</v>
      </c>
      <c r="J431" s="0" t="s">
        <v>111</v>
      </c>
      <c r="N431" s="0" t="n">
        <v>24</v>
      </c>
      <c r="V431" s="0" t="n">
        <v>2</v>
      </c>
      <c r="Z431" s="0" t="s">
        <v>286</v>
      </c>
    </row>
    <row r="432" customFormat="false" ht="15" hidden="false" customHeight="false" outlineLevel="0" collapsed="false">
      <c r="B432" s="0" t="n">
        <v>1009612700</v>
      </c>
      <c r="C432" s="24" t="s">
        <v>184</v>
      </c>
      <c r="D432" s="0" t="s">
        <v>158</v>
      </c>
      <c r="E432" s="0" t="s">
        <v>208</v>
      </c>
      <c r="G432" s="0" t="n">
        <v>867234173609</v>
      </c>
      <c r="J432" s="0" t="s">
        <v>287</v>
      </c>
      <c r="L432" s="0" t="n">
        <v>1</v>
      </c>
      <c r="P432" s="0" t="n">
        <v>12</v>
      </c>
      <c r="V432" s="0" t="n">
        <v>8</v>
      </c>
      <c r="Z432" s="0" t="s">
        <v>266</v>
      </c>
    </row>
    <row r="433" customFormat="false" ht="15" hidden="false" customHeight="false" outlineLevel="0" collapsed="false">
      <c r="B433" s="0" t="n">
        <v>1009615842</v>
      </c>
      <c r="C433" s="24" t="s">
        <v>184</v>
      </c>
      <c r="D433" s="0" t="s">
        <v>156</v>
      </c>
      <c r="G433" s="0" t="n">
        <v>866027134968</v>
      </c>
      <c r="J433" s="0" t="s">
        <v>100</v>
      </c>
      <c r="L433" s="0" t="n">
        <v>1</v>
      </c>
      <c r="P433" s="0" t="n">
        <v>12</v>
      </c>
      <c r="V433" s="0" t="n">
        <v>8</v>
      </c>
      <c r="Z433" s="0" t="s">
        <v>266</v>
      </c>
    </row>
    <row r="434" customFormat="false" ht="15" hidden="false" customHeight="false" outlineLevel="0" collapsed="false">
      <c r="B434" s="0" t="n">
        <v>1009610768</v>
      </c>
      <c r="C434" s="24" t="s">
        <v>181</v>
      </c>
      <c r="D434" s="0" t="s">
        <v>196</v>
      </c>
      <c r="G434" s="0" t="n">
        <v>866063174027</v>
      </c>
      <c r="J434" s="0" t="s">
        <v>118</v>
      </c>
      <c r="L434" s="0" t="n">
        <v>2</v>
      </c>
      <c r="N434" s="0" t="n">
        <v>6</v>
      </c>
      <c r="P434" s="0" t="n">
        <v>11</v>
      </c>
      <c r="V434" s="0" t="n">
        <v>8</v>
      </c>
      <c r="Z434" s="0" t="s">
        <v>247</v>
      </c>
    </row>
    <row r="435" customFormat="false" ht="15" hidden="false" customHeight="false" outlineLevel="0" collapsed="false">
      <c r="B435" s="0" t="n">
        <v>1009621199</v>
      </c>
      <c r="C435" s="24" t="s">
        <v>184</v>
      </c>
      <c r="G435" s="0" t="n">
        <v>867277115095</v>
      </c>
      <c r="J435" s="0" t="s">
        <v>241</v>
      </c>
      <c r="P435" s="0" t="n">
        <v>12</v>
      </c>
      <c r="V435" s="0" t="n">
        <v>8</v>
      </c>
      <c r="Z435" s="0" t="s">
        <v>242</v>
      </c>
    </row>
    <row r="436" customFormat="false" ht="15" hidden="false" customHeight="false" outlineLevel="0" collapsed="false">
      <c r="B436" s="0" t="n">
        <v>1009580921</v>
      </c>
      <c r="C436" s="24" t="s">
        <v>104</v>
      </c>
      <c r="D436" s="0" t="s">
        <v>86</v>
      </c>
      <c r="G436" s="0" t="n">
        <v>775237055535</v>
      </c>
      <c r="J436" s="0" t="s">
        <v>106</v>
      </c>
      <c r="P436" s="0" t="n">
        <v>12</v>
      </c>
      <c r="V436" s="0" t="n">
        <v>8</v>
      </c>
      <c r="Z436" s="0" t="s">
        <v>288</v>
      </c>
    </row>
    <row r="437" customFormat="false" ht="15" hidden="false" customHeight="false" outlineLevel="0" collapsed="false">
      <c r="B437" s="0" t="n">
        <v>1009611337</v>
      </c>
      <c r="C437" s="24" t="s">
        <v>181</v>
      </c>
      <c r="E437" s="0" t="s">
        <v>274</v>
      </c>
      <c r="G437" s="0" t="n">
        <v>775325207394</v>
      </c>
      <c r="J437" s="0" t="s">
        <v>239</v>
      </c>
      <c r="P437" s="0" t="n">
        <v>12</v>
      </c>
      <c r="V437" s="0" t="n">
        <v>8</v>
      </c>
      <c r="Z437" s="0" t="s">
        <v>288</v>
      </c>
    </row>
    <row r="438" customFormat="false" ht="15" hidden="false" customHeight="false" outlineLevel="0" collapsed="false">
      <c r="B438" s="0" t="n">
        <v>1009620969</v>
      </c>
      <c r="C438" s="24" t="s">
        <v>184</v>
      </c>
      <c r="E438" s="0" t="s">
        <v>64</v>
      </c>
      <c r="G438" s="0" t="n">
        <v>775330196673</v>
      </c>
      <c r="J438" s="0" t="s">
        <v>111</v>
      </c>
      <c r="L438" s="0" t="n">
        <v>1</v>
      </c>
      <c r="P438" s="0" t="n">
        <v>12</v>
      </c>
      <c r="V438" s="0" t="n">
        <v>8</v>
      </c>
      <c r="Z438" s="0" t="s">
        <v>132</v>
      </c>
    </row>
    <row r="439" customFormat="false" ht="15" hidden="false" customHeight="false" outlineLevel="0" collapsed="false">
      <c r="B439" s="0" t="n">
        <v>1009507852</v>
      </c>
      <c r="C439" s="24" t="s">
        <v>102</v>
      </c>
      <c r="G439" s="0" t="n">
        <v>942277966753</v>
      </c>
      <c r="J439" s="0" t="s">
        <v>289</v>
      </c>
      <c r="L439" s="0" t="n">
        <v>1</v>
      </c>
      <c r="V439" s="0" t="n">
        <v>6</v>
      </c>
      <c r="Z439" s="0" t="s">
        <v>127</v>
      </c>
    </row>
    <row r="440" customFormat="false" ht="15" hidden="false" customHeight="false" outlineLevel="0" collapsed="false">
      <c r="B440" s="0" t="n">
        <v>1009562630</v>
      </c>
      <c r="C440" s="24" t="s">
        <v>192</v>
      </c>
      <c r="E440" s="0" t="s">
        <v>255</v>
      </c>
      <c r="G440" s="0" t="n">
        <v>943017426033</v>
      </c>
      <c r="J440" s="0" t="s">
        <v>121</v>
      </c>
      <c r="L440" s="0" t="n">
        <v>1</v>
      </c>
      <c r="N440" s="0" t="n">
        <v>24</v>
      </c>
      <c r="P440" s="0" t="n">
        <v>11</v>
      </c>
      <c r="V440" s="0" t="n">
        <v>2</v>
      </c>
      <c r="Z440" s="0" t="s">
        <v>290</v>
      </c>
    </row>
    <row r="441" customFormat="false" ht="15" hidden="false" customHeight="false" outlineLevel="0" collapsed="false">
      <c r="B441" s="0" t="n">
        <v>1009083475</v>
      </c>
      <c r="C441" s="24" t="s">
        <v>291</v>
      </c>
      <c r="D441" s="0" t="s">
        <v>196</v>
      </c>
      <c r="E441" s="0" t="s">
        <v>91</v>
      </c>
      <c r="G441" s="0" t="n">
        <v>943341975721</v>
      </c>
      <c r="J441" s="0" t="s">
        <v>106</v>
      </c>
      <c r="P441" s="0" t="n">
        <v>12</v>
      </c>
      <c r="V441" s="0" t="n">
        <v>8</v>
      </c>
      <c r="Z441" s="0" t="s">
        <v>127</v>
      </c>
    </row>
    <row r="442" customFormat="false" ht="15" hidden="false" customHeight="false" outlineLevel="0" collapsed="false">
      <c r="B442" s="0" t="n">
        <v>1009562296</v>
      </c>
      <c r="C442" s="24" t="s">
        <v>192</v>
      </c>
      <c r="G442" s="0" t="n">
        <v>943017929051</v>
      </c>
      <c r="J442" s="0" t="s">
        <v>121</v>
      </c>
      <c r="L442" s="0" t="n">
        <v>4</v>
      </c>
      <c r="N442" s="0" t="n">
        <v>9</v>
      </c>
      <c r="P442" s="0" t="n">
        <v>11</v>
      </c>
      <c r="V442" s="0" t="n">
        <v>2</v>
      </c>
      <c r="Z442" s="0" t="s">
        <v>292</v>
      </c>
    </row>
    <row r="443" customFormat="false" ht="15" hidden="false" customHeight="false" outlineLevel="0" collapsed="false">
      <c r="B443" s="0" t="n">
        <v>1009452328</v>
      </c>
      <c r="C443" s="24" t="s">
        <v>212</v>
      </c>
      <c r="G443" s="0" t="n">
        <v>942336943967</v>
      </c>
      <c r="J443" s="0" t="s">
        <v>121</v>
      </c>
      <c r="L443" s="0" t="n">
        <v>1</v>
      </c>
      <c r="V443" s="0" t="n">
        <v>4</v>
      </c>
      <c r="Z443" s="0" t="s">
        <v>293</v>
      </c>
    </row>
    <row r="444" customFormat="false" ht="15" hidden="false" customHeight="false" outlineLevel="0" collapsed="false">
      <c r="B444" s="0" t="n">
        <v>1009571653</v>
      </c>
      <c r="C444" s="24" t="s">
        <v>104</v>
      </c>
      <c r="D444" s="0" t="s">
        <v>175</v>
      </c>
      <c r="E444" s="0" t="s">
        <v>176</v>
      </c>
      <c r="G444" s="0" t="n">
        <v>987093118907</v>
      </c>
      <c r="J444" s="0" t="s">
        <v>289</v>
      </c>
      <c r="L444" s="0" t="n">
        <v>1</v>
      </c>
      <c r="V444" s="0" t="n">
        <v>2</v>
      </c>
      <c r="Z444" s="0" t="s">
        <v>294</v>
      </c>
    </row>
    <row r="445" customFormat="false" ht="15" hidden="false" customHeight="false" outlineLevel="0" collapsed="false">
      <c r="B445" s="0" t="n">
        <v>1009577095</v>
      </c>
      <c r="C445" s="24" t="s">
        <v>139</v>
      </c>
      <c r="E445" s="0" t="s">
        <v>64</v>
      </c>
      <c r="G445" s="0" t="n">
        <v>986127103448</v>
      </c>
      <c r="J445" s="0" t="s">
        <v>121</v>
      </c>
      <c r="L445" s="0" t="n">
        <v>1</v>
      </c>
      <c r="N445" s="0" t="n">
        <v>2</v>
      </c>
      <c r="P445" s="0" t="n">
        <v>12</v>
      </c>
      <c r="V445" s="0" t="n">
        <v>8</v>
      </c>
      <c r="Z445" s="0" t="s">
        <v>295</v>
      </c>
    </row>
    <row r="446" customFormat="false" ht="15" hidden="false" customHeight="false" outlineLevel="0" collapsed="false">
      <c r="B446" s="0" t="n">
        <v>1009561816</v>
      </c>
      <c r="C446" s="24" t="s">
        <v>192</v>
      </c>
      <c r="D446" s="0" t="s">
        <v>269</v>
      </c>
      <c r="E446" s="0" t="s">
        <v>91</v>
      </c>
      <c r="G446" s="0" t="n">
        <v>986156220139</v>
      </c>
      <c r="J446" s="0" t="s">
        <v>289</v>
      </c>
      <c r="L446" s="0" t="n">
        <v>1</v>
      </c>
      <c r="P446" s="0" t="n">
        <v>12</v>
      </c>
      <c r="V446" s="0" t="n">
        <v>8</v>
      </c>
      <c r="Z446" s="0" t="s">
        <v>141</v>
      </c>
    </row>
    <row r="447" customFormat="false" ht="15" hidden="false" customHeight="false" outlineLevel="0" collapsed="false">
      <c r="B447" s="0" t="n">
        <v>1009560022</v>
      </c>
      <c r="C447" s="24" t="s">
        <v>192</v>
      </c>
      <c r="D447" s="0" t="s">
        <v>281</v>
      </c>
      <c r="E447" s="0" t="s">
        <v>255</v>
      </c>
      <c r="G447" s="0" t="n">
        <v>986168129799</v>
      </c>
      <c r="J447" s="0" t="s">
        <v>121</v>
      </c>
      <c r="N447" s="0" t="n">
        <v>24</v>
      </c>
      <c r="V447" s="0" t="n">
        <v>2</v>
      </c>
      <c r="Z447" s="0" t="s">
        <v>296</v>
      </c>
    </row>
    <row r="448" customFormat="false" ht="15" hidden="false" customHeight="false" outlineLevel="0" collapsed="false">
      <c r="B448" s="0" t="n">
        <v>1009561319</v>
      </c>
      <c r="C448" s="24" t="s">
        <v>192</v>
      </c>
      <c r="D448" s="0" t="s">
        <v>221</v>
      </c>
      <c r="E448" s="0" t="s">
        <v>91</v>
      </c>
      <c r="G448" s="0" t="n">
        <v>987199133826</v>
      </c>
      <c r="J448" s="0" t="s">
        <v>121</v>
      </c>
      <c r="L448" s="0" t="n">
        <v>1</v>
      </c>
      <c r="N448" s="0" t="n">
        <v>24</v>
      </c>
      <c r="V448" s="0" t="n">
        <v>2</v>
      </c>
      <c r="Z448" s="0" t="s">
        <v>297</v>
      </c>
    </row>
    <row r="449" customFormat="false" ht="15" hidden="false" customHeight="false" outlineLevel="0" collapsed="false">
      <c r="B449" s="0" t="n">
        <v>1009571181</v>
      </c>
      <c r="C449" s="24" t="s">
        <v>102</v>
      </c>
      <c r="E449" s="0" t="s">
        <v>64</v>
      </c>
      <c r="G449" s="0" t="n">
        <v>986005103536</v>
      </c>
      <c r="J449" s="0" t="s">
        <v>121</v>
      </c>
      <c r="L449" s="0" t="n">
        <v>1</v>
      </c>
      <c r="P449" s="0" t="n">
        <v>11</v>
      </c>
      <c r="V449" s="0" t="n">
        <v>2</v>
      </c>
      <c r="Z449" s="0" t="s">
        <v>298</v>
      </c>
    </row>
    <row r="450" customFormat="false" ht="15" hidden="false" customHeight="false" outlineLevel="0" collapsed="false">
      <c r="B450" s="0" t="n">
        <v>1009560112</v>
      </c>
      <c r="C450" s="24" t="s">
        <v>192</v>
      </c>
      <c r="E450" s="0" t="s">
        <v>64</v>
      </c>
      <c r="G450" s="0" t="n">
        <v>986165126533</v>
      </c>
      <c r="J450" s="0" t="s">
        <v>289</v>
      </c>
      <c r="L450" s="0" t="n">
        <v>1</v>
      </c>
      <c r="P450" s="0" t="n">
        <v>12</v>
      </c>
      <c r="V450" s="0" t="n">
        <v>8</v>
      </c>
      <c r="Z450" s="0" t="s">
        <v>298</v>
      </c>
    </row>
    <row r="451" customFormat="false" ht="15" hidden="false" customHeight="false" outlineLevel="0" collapsed="false">
      <c r="B451" s="0" t="n">
        <v>1009560801</v>
      </c>
      <c r="C451" s="24" t="s">
        <v>192</v>
      </c>
      <c r="D451" s="0" t="s">
        <v>108</v>
      </c>
      <c r="E451" s="0" t="s">
        <v>91</v>
      </c>
      <c r="G451" s="0" t="n">
        <v>134119335815</v>
      </c>
      <c r="J451" s="0" t="s">
        <v>289</v>
      </c>
      <c r="L451" s="0" t="n">
        <v>1</v>
      </c>
      <c r="P451" s="0" t="n">
        <v>11</v>
      </c>
      <c r="V451" s="0" t="n">
        <v>2</v>
      </c>
      <c r="Z451" s="0" t="s">
        <v>136</v>
      </c>
    </row>
    <row r="452" customFormat="false" ht="15" hidden="false" customHeight="false" outlineLevel="0" collapsed="false">
      <c r="B452" s="0" t="n">
        <v>1009416558</v>
      </c>
      <c r="C452" s="24" t="s">
        <v>179</v>
      </c>
      <c r="E452" s="0" t="s">
        <v>64</v>
      </c>
      <c r="G452" s="0" t="n">
        <v>413161200253</v>
      </c>
      <c r="J452" s="0" t="s">
        <v>289</v>
      </c>
      <c r="L452" s="0" t="n">
        <v>1</v>
      </c>
      <c r="V452" s="0" t="n">
        <v>6</v>
      </c>
      <c r="Z452" s="0" t="s">
        <v>136</v>
      </c>
    </row>
    <row r="453" customFormat="false" ht="15" hidden="false" customHeight="false" outlineLevel="0" collapsed="false">
      <c r="B453" s="0" t="n">
        <v>1009611901</v>
      </c>
      <c r="C453" s="24" t="s">
        <v>181</v>
      </c>
      <c r="E453" s="0" t="s">
        <v>64</v>
      </c>
      <c r="G453" s="0" t="n">
        <v>413322201299</v>
      </c>
      <c r="J453" s="0" t="s">
        <v>118</v>
      </c>
      <c r="L453" s="0" t="n">
        <v>1</v>
      </c>
      <c r="P453" s="0" t="n">
        <v>12</v>
      </c>
      <c r="V453" s="0" t="n">
        <v>8</v>
      </c>
      <c r="Z453" s="0" t="s">
        <v>149</v>
      </c>
    </row>
    <row r="454" customFormat="false" ht="15" hidden="false" customHeight="false" outlineLevel="0" collapsed="false">
      <c r="B454" s="0" t="n">
        <v>1009390179</v>
      </c>
      <c r="C454" s="24" t="s">
        <v>299</v>
      </c>
      <c r="E454" s="0" t="s">
        <v>91</v>
      </c>
      <c r="G454" s="0" t="n">
        <v>954343179741</v>
      </c>
      <c r="J454" s="0" t="s">
        <v>121</v>
      </c>
      <c r="L454" s="0" t="n">
        <v>8</v>
      </c>
      <c r="N454" s="0" t="n">
        <v>5</v>
      </c>
      <c r="P454" s="0" t="n">
        <v>12</v>
      </c>
      <c r="V454" s="0" t="n">
        <v>4</v>
      </c>
      <c r="Z454" s="0" t="s">
        <v>300</v>
      </c>
    </row>
    <row r="455" customFormat="false" ht="15" hidden="false" customHeight="false" outlineLevel="0" collapsed="false">
      <c r="B455" s="0" t="n">
        <v>1009578573</v>
      </c>
      <c r="C455" s="24" t="s">
        <v>139</v>
      </c>
      <c r="E455" s="0" t="s">
        <v>64</v>
      </c>
      <c r="G455" s="0" t="n">
        <v>954206143107</v>
      </c>
      <c r="J455" s="0" t="s">
        <v>96</v>
      </c>
      <c r="L455" s="0" t="n">
        <v>1</v>
      </c>
      <c r="N455" s="0" t="n">
        <v>2</v>
      </c>
      <c r="P455" s="0" t="n">
        <v>11</v>
      </c>
      <c r="V455" s="0" t="n">
        <v>2</v>
      </c>
      <c r="Z455" s="0" t="s">
        <v>226</v>
      </c>
    </row>
    <row r="456" customFormat="false" ht="15" hidden="false" customHeight="false" outlineLevel="0" collapsed="false">
      <c r="B456" s="0" t="n">
        <v>1009572235</v>
      </c>
      <c r="C456" s="24" t="s">
        <v>104</v>
      </c>
      <c r="E456" s="0" t="s">
        <v>91</v>
      </c>
      <c r="G456" s="0" t="n">
        <v>167309905831</v>
      </c>
      <c r="J456" s="0" t="s">
        <v>121</v>
      </c>
      <c r="L456" s="0" t="n">
        <v>1</v>
      </c>
      <c r="P456" s="0" t="n">
        <v>11</v>
      </c>
      <c r="V456" s="0" t="n">
        <v>2</v>
      </c>
      <c r="Z456" s="0" t="s">
        <v>301</v>
      </c>
    </row>
    <row r="457" customFormat="false" ht="15" hidden="false" customHeight="false" outlineLevel="0" collapsed="false">
      <c r="B457" s="0" t="n">
        <v>1009576319</v>
      </c>
      <c r="C457" s="24" t="s">
        <v>104</v>
      </c>
      <c r="D457" s="0" t="s">
        <v>175</v>
      </c>
      <c r="E457" s="0" t="s">
        <v>176</v>
      </c>
      <c r="G457" s="0" t="n">
        <v>167250959191</v>
      </c>
      <c r="J457" s="0" t="s">
        <v>289</v>
      </c>
      <c r="L457" s="0" t="n">
        <v>1</v>
      </c>
      <c r="P457" s="0" t="n">
        <v>12</v>
      </c>
      <c r="V457" s="0" t="n">
        <v>8</v>
      </c>
      <c r="Z457" s="0" t="s">
        <v>302</v>
      </c>
    </row>
    <row r="458" customFormat="false" ht="15" hidden="false" customHeight="false" outlineLevel="0" collapsed="false">
      <c r="B458" s="0" t="n">
        <v>1009579073</v>
      </c>
      <c r="C458" s="24" t="s">
        <v>139</v>
      </c>
      <c r="D458" s="0" t="s">
        <v>167</v>
      </c>
      <c r="G458" s="0" t="n">
        <v>429248218589</v>
      </c>
      <c r="J458" s="0" t="s">
        <v>241</v>
      </c>
      <c r="V458" s="0" t="n">
        <v>1</v>
      </c>
      <c r="Z458" s="0" t="s">
        <v>303</v>
      </c>
    </row>
    <row r="459" customFormat="false" ht="15" hidden="false" customHeight="false" outlineLevel="0" collapsed="false">
      <c r="B459" s="0" t="n">
        <v>1009566813</v>
      </c>
      <c r="C459" s="24" t="s">
        <v>102</v>
      </c>
      <c r="D459" s="0" t="s">
        <v>304</v>
      </c>
      <c r="E459" s="0" t="s">
        <v>114</v>
      </c>
      <c r="G459" s="0" t="n">
        <v>421054158793</v>
      </c>
      <c r="J459" s="0" t="s">
        <v>239</v>
      </c>
      <c r="N459" s="0" t="n">
        <v>6</v>
      </c>
      <c r="P459" s="0" t="n">
        <v>11</v>
      </c>
      <c r="V459" s="0" t="n">
        <v>1</v>
      </c>
      <c r="Z459" s="0" t="s">
        <v>303</v>
      </c>
    </row>
    <row r="460" customFormat="false" ht="15" hidden="false" customHeight="false" outlineLevel="0" collapsed="false">
      <c r="B460" s="0" t="n">
        <v>1009459435</v>
      </c>
      <c r="C460" s="24" t="s">
        <v>305</v>
      </c>
      <c r="E460" s="0" t="s">
        <v>64</v>
      </c>
      <c r="G460" s="0" t="n">
        <v>889260122623</v>
      </c>
      <c r="J460" s="0" t="s">
        <v>118</v>
      </c>
      <c r="L460" s="0" t="n">
        <v>1</v>
      </c>
      <c r="V460" s="0" t="n">
        <v>1</v>
      </c>
      <c r="Z460" s="0" t="s">
        <v>306</v>
      </c>
    </row>
    <row r="461" customFormat="false" ht="15" hidden="false" customHeight="false" outlineLevel="0" collapsed="false">
      <c r="B461" s="0" t="n">
        <v>1009561068</v>
      </c>
      <c r="C461" s="24" t="s">
        <v>192</v>
      </c>
      <c r="E461" s="0" t="s">
        <v>178</v>
      </c>
      <c r="G461" s="0" t="n">
        <v>889290172994</v>
      </c>
      <c r="J461" s="0" t="s">
        <v>239</v>
      </c>
      <c r="V461" s="0" t="n">
        <v>1</v>
      </c>
      <c r="Z461" s="0" t="s">
        <v>306</v>
      </c>
    </row>
    <row r="462" customFormat="false" ht="15" hidden="false" customHeight="false" outlineLevel="0" collapsed="false">
      <c r="B462" s="0" t="n">
        <v>1009558754</v>
      </c>
      <c r="C462" s="24" t="s">
        <v>192</v>
      </c>
      <c r="E462" s="0" t="s">
        <v>64</v>
      </c>
      <c r="G462" s="0" t="n">
        <v>300359239294</v>
      </c>
      <c r="J462" s="0" t="s">
        <v>111</v>
      </c>
      <c r="L462" s="0" t="n">
        <v>1</v>
      </c>
      <c r="V462" s="0" t="n">
        <v>2</v>
      </c>
      <c r="Z462" s="0" t="s">
        <v>306</v>
      </c>
    </row>
    <row r="463" customFormat="false" ht="15" hidden="false" customHeight="false" outlineLevel="0" collapsed="false">
      <c r="B463" s="0" t="n">
        <v>1009558805</v>
      </c>
      <c r="C463" s="24" t="s">
        <v>192</v>
      </c>
      <c r="G463" s="0" t="n">
        <v>889317752760</v>
      </c>
      <c r="J463" s="0" t="s">
        <v>100</v>
      </c>
      <c r="V463" s="0" t="n">
        <v>1</v>
      </c>
      <c r="Z463" s="0" t="s">
        <v>307</v>
      </c>
    </row>
    <row r="464" customFormat="false" ht="15" hidden="false" customHeight="false" outlineLevel="0" collapsed="false">
      <c r="B464" s="0" t="n">
        <v>1009561655</v>
      </c>
      <c r="C464" s="24" t="s">
        <v>192</v>
      </c>
      <c r="G464" s="0" t="n">
        <v>879173104230</v>
      </c>
      <c r="J464" s="0" t="s">
        <v>111</v>
      </c>
      <c r="L464" s="0" t="n">
        <v>1</v>
      </c>
      <c r="V464" s="0" t="n">
        <v>2</v>
      </c>
      <c r="Z464" s="0" t="s">
        <v>306</v>
      </c>
    </row>
    <row r="465" customFormat="false" ht="15" hidden="false" customHeight="false" outlineLevel="0" collapsed="false">
      <c r="B465" s="0" t="n">
        <v>1009558744</v>
      </c>
      <c r="C465" s="24" t="s">
        <v>192</v>
      </c>
      <c r="D465" s="0" t="s">
        <v>250</v>
      </c>
      <c r="G465" s="0" t="n">
        <v>300346145711</v>
      </c>
      <c r="J465" s="0" t="s">
        <v>241</v>
      </c>
      <c r="V465" s="0" t="n">
        <v>1</v>
      </c>
      <c r="Z465" s="0" t="s">
        <v>306</v>
      </c>
    </row>
    <row r="466" customFormat="false" ht="15" hidden="false" customHeight="false" outlineLevel="0" collapsed="false">
      <c r="B466" s="0" t="n">
        <v>1009619630</v>
      </c>
      <c r="C466" s="24" t="s">
        <v>184</v>
      </c>
      <c r="E466" s="0" t="s">
        <v>64</v>
      </c>
      <c r="G466" s="0" t="n">
        <v>879119108162</v>
      </c>
      <c r="J466" s="0" t="s">
        <v>100</v>
      </c>
      <c r="L466" s="0" t="n">
        <v>2</v>
      </c>
      <c r="N466" s="0" t="n">
        <v>6</v>
      </c>
      <c r="P466" s="0" t="n">
        <v>12</v>
      </c>
      <c r="V466" s="0" t="n">
        <v>8</v>
      </c>
      <c r="Z466" s="0" t="s">
        <v>306</v>
      </c>
    </row>
    <row r="467" customFormat="false" ht="15" hidden="false" customHeight="false" outlineLevel="0" collapsed="false">
      <c r="B467" s="0" t="n">
        <v>1009558767</v>
      </c>
      <c r="C467" s="24" t="s">
        <v>192</v>
      </c>
      <c r="E467" s="0" t="s">
        <v>64</v>
      </c>
      <c r="G467" s="0" t="n">
        <v>300348280144</v>
      </c>
      <c r="J467" s="0" t="s">
        <v>111</v>
      </c>
      <c r="L467" s="0" t="n">
        <v>2</v>
      </c>
      <c r="N467" s="0" t="n">
        <v>6</v>
      </c>
      <c r="P467" s="0" t="n">
        <v>11</v>
      </c>
      <c r="V467" s="0" t="n">
        <v>2</v>
      </c>
      <c r="Z467" s="0" t="s">
        <v>306</v>
      </c>
    </row>
    <row r="468" customFormat="false" ht="15" hidden="false" customHeight="false" outlineLevel="0" collapsed="false">
      <c r="B468" s="0" t="n">
        <v>1009562723</v>
      </c>
      <c r="C468" s="24" t="s">
        <v>192</v>
      </c>
      <c r="E468" s="0" t="s">
        <v>208</v>
      </c>
      <c r="G468" s="0" t="n">
        <v>889293361982</v>
      </c>
      <c r="J468" s="0" t="s">
        <v>239</v>
      </c>
      <c r="N468" s="0" t="n">
        <v>6</v>
      </c>
      <c r="V468" s="0" t="n">
        <v>1</v>
      </c>
      <c r="Z468" s="0" t="s">
        <v>306</v>
      </c>
    </row>
    <row r="469" customFormat="false" ht="15" hidden="false" customHeight="false" outlineLevel="0" collapsed="false">
      <c r="B469" s="0" t="n">
        <v>1009561200</v>
      </c>
      <c r="C469" s="24" t="s">
        <v>192</v>
      </c>
      <c r="G469" s="0" t="n">
        <v>889253305169</v>
      </c>
      <c r="J469" s="0" t="s">
        <v>239</v>
      </c>
      <c r="N469" s="0" t="n">
        <v>2</v>
      </c>
      <c r="P469" s="0" t="n">
        <v>11</v>
      </c>
      <c r="V469" s="0" t="n">
        <v>1</v>
      </c>
      <c r="Z469" s="0" t="s">
        <v>306</v>
      </c>
    </row>
    <row r="470" customFormat="false" ht="15" hidden="false" customHeight="false" outlineLevel="0" collapsed="false">
      <c r="B470" s="0" t="n">
        <v>1009558786</v>
      </c>
      <c r="C470" s="24" t="s">
        <v>192</v>
      </c>
      <c r="E470" s="0" t="s">
        <v>64</v>
      </c>
      <c r="G470" s="0" t="n">
        <v>300356132724</v>
      </c>
      <c r="J470" s="0" t="s">
        <v>100</v>
      </c>
      <c r="V470" s="0" t="n">
        <v>1</v>
      </c>
      <c r="Z470" s="0" t="s">
        <v>307</v>
      </c>
    </row>
    <row r="471" customFormat="false" ht="15" hidden="false" customHeight="false" outlineLevel="0" collapsed="false">
      <c r="B471" s="0" t="n">
        <v>1009496190</v>
      </c>
      <c r="C471" s="24" t="s">
        <v>146</v>
      </c>
      <c r="D471" s="0" t="s">
        <v>219</v>
      </c>
      <c r="G471" s="0" t="n">
        <v>879284264477</v>
      </c>
      <c r="J471" s="0" t="s">
        <v>267</v>
      </c>
      <c r="V471" s="0" t="n">
        <v>1</v>
      </c>
      <c r="Z471" s="0" t="s">
        <v>306</v>
      </c>
    </row>
    <row r="472" customFormat="false" ht="15" hidden="false" customHeight="false" outlineLevel="0" collapsed="false">
      <c r="B472" s="0" t="n">
        <v>1009606707</v>
      </c>
      <c r="C472" s="24" t="s">
        <v>181</v>
      </c>
      <c r="D472" s="0" t="s">
        <v>119</v>
      </c>
      <c r="E472" s="0" t="s">
        <v>274</v>
      </c>
      <c r="G472" s="0" t="n">
        <v>879238158361</v>
      </c>
      <c r="J472" s="0" t="s">
        <v>100</v>
      </c>
      <c r="L472" s="0" t="n">
        <v>1</v>
      </c>
      <c r="P472" s="0" t="n">
        <v>12</v>
      </c>
      <c r="V472" s="0" t="n">
        <v>11</v>
      </c>
      <c r="Z472" s="0" t="s">
        <v>302</v>
      </c>
    </row>
    <row r="473" customFormat="false" ht="15" hidden="false" customHeight="false" outlineLevel="0" collapsed="false">
      <c r="B473" s="0" t="n">
        <v>1009606696</v>
      </c>
      <c r="C473" s="24" t="s">
        <v>181</v>
      </c>
      <c r="D473" s="0" t="s">
        <v>113</v>
      </c>
      <c r="G473" s="0" t="n">
        <v>878230188244</v>
      </c>
      <c r="J473" s="0" t="s">
        <v>100</v>
      </c>
      <c r="L473" s="0" t="n">
        <v>1</v>
      </c>
      <c r="P473" s="0" t="n">
        <v>12</v>
      </c>
      <c r="V473" s="0" t="n">
        <v>8</v>
      </c>
      <c r="Z473" s="0" t="s">
        <v>306</v>
      </c>
    </row>
    <row r="474" customFormat="false" ht="15" hidden="false" customHeight="false" outlineLevel="0" collapsed="false">
      <c r="B474" s="0" t="n">
        <v>1009610526</v>
      </c>
      <c r="C474" s="24" t="s">
        <v>181</v>
      </c>
      <c r="E474" s="0" t="s">
        <v>64</v>
      </c>
      <c r="G474" s="0" t="n">
        <v>853238742169</v>
      </c>
      <c r="J474" s="0" t="s">
        <v>118</v>
      </c>
      <c r="L474" s="0" t="n">
        <v>1</v>
      </c>
      <c r="P474" s="0" t="n">
        <v>12</v>
      </c>
      <c r="V474" s="0" t="n">
        <v>8</v>
      </c>
      <c r="Z474" s="0" t="s">
        <v>308</v>
      </c>
    </row>
    <row r="475" customFormat="false" ht="15" hidden="false" customHeight="false" outlineLevel="0" collapsed="false">
      <c r="B475" s="0" t="n">
        <v>1009602858</v>
      </c>
      <c r="C475" s="24" t="s">
        <v>159</v>
      </c>
      <c r="E475" s="0" t="s">
        <v>64</v>
      </c>
      <c r="G475" s="0" t="n">
        <v>844114754683</v>
      </c>
      <c r="J475" s="0" t="s">
        <v>111</v>
      </c>
      <c r="L475" s="0" t="n">
        <v>1</v>
      </c>
      <c r="P475" s="0" t="n">
        <v>11</v>
      </c>
      <c r="V475" s="0" t="n">
        <v>2</v>
      </c>
      <c r="Z475" s="0" t="s">
        <v>309</v>
      </c>
    </row>
    <row r="476" customFormat="false" ht="15" hidden="false" customHeight="false" outlineLevel="0" collapsed="false">
      <c r="B476" s="0" t="n">
        <v>1009571312</v>
      </c>
      <c r="C476" s="24" t="s">
        <v>102</v>
      </c>
      <c r="E476" s="0" t="s">
        <v>64</v>
      </c>
      <c r="G476" s="0" t="n">
        <v>853262781422</v>
      </c>
      <c r="J476" s="0" t="s">
        <v>111</v>
      </c>
      <c r="L476" s="0" t="n">
        <v>1</v>
      </c>
      <c r="V476" s="0" t="n">
        <v>2</v>
      </c>
      <c r="Z476" s="0" t="s">
        <v>310</v>
      </c>
    </row>
    <row r="477" customFormat="false" ht="15" hidden="false" customHeight="false" outlineLevel="0" collapsed="false">
      <c r="B477" s="0" t="n">
        <v>1009540668</v>
      </c>
      <c r="C477" s="24" t="s">
        <v>311</v>
      </c>
      <c r="D477" s="0" t="s">
        <v>52</v>
      </c>
      <c r="G477" s="0" t="n">
        <v>853308780081</v>
      </c>
      <c r="J477" s="0" t="s">
        <v>100</v>
      </c>
      <c r="L477" s="0" t="n">
        <v>1</v>
      </c>
      <c r="V477" s="0" t="n">
        <v>2</v>
      </c>
      <c r="Z477" s="0" t="s">
        <v>312</v>
      </c>
    </row>
    <row r="478" customFormat="false" ht="15" hidden="false" customHeight="false" outlineLevel="0" collapsed="false">
      <c r="B478" s="0" t="n">
        <v>1009557664</v>
      </c>
      <c r="C478" s="24" t="s">
        <v>192</v>
      </c>
      <c r="E478" s="0" t="s">
        <v>64</v>
      </c>
      <c r="G478" s="0" t="n">
        <v>844094712321</v>
      </c>
      <c r="J478" s="0" t="s">
        <v>239</v>
      </c>
      <c r="V478" s="0" t="n">
        <v>3</v>
      </c>
      <c r="Z478" s="0" t="s">
        <v>149</v>
      </c>
    </row>
    <row r="479" customFormat="false" ht="15" hidden="false" customHeight="false" outlineLevel="0" collapsed="false">
      <c r="B479" s="0" t="n">
        <v>1009570008</v>
      </c>
      <c r="C479" s="24" t="s">
        <v>102</v>
      </c>
      <c r="E479" s="0" t="s">
        <v>64</v>
      </c>
      <c r="G479" s="0" t="n">
        <v>853243761659</v>
      </c>
      <c r="J479" s="0" t="s">
        <v>239</v>
      </c>
      <c r="V479" s="0" t="n">
        <v>2</v>
      </c>
      <c r="Z479" s="0" t="s">
        <v>313</v>
      </c>
    </row>
    <row r="480" customFormat="false" ht="15" hidden="false" customHeight="false" outlineLevel="0" collapsed="false">
      <c r="B480" s="0" t="n">
        <v>1009532053</v>
      </c>
      <c r="C480" s="24" t="s">
        <v>174</v>
      </c>
      <c r="D480" s="0" t="s">
        <v>103</v>
      </c>
      <c r="G480" s="0" t="n">
        <v>844066741522</v>
      </c>
      <c r="J480" s="0" t="s">
        <v>100</v>
      </c>
      <c r="V480" s="0" t="n">
        <v>2</v>
      </c>
      <c r="Z480" s="0" t="s">
        <v>314</v>
      </c>
    </row>
    <row r="481" customFormat="false" ht="15" hidden="false" customHeight="false" outlineLevel="0" collapsed="false">
      <c r="B481" s="0" t="n">
        <v>1009575332</v>
      </c>
      <c r="C481" s="24" t="s">
        <v>104</v>
      </c>
      <c r="G481" s="0" t="n">
        <v>844062709572</v>
      </c>
      <c r="J481" s="0" t="s">
        <v>115</v>
      </c>
      <c r="L481" s="0" t="n">
        <v>1</v>
      </c>
      <c r="V481" s="0" t="n">
        <v>8</v>
      </c>
      <c r="Z481" s="0" t="s">
        <v>127</v>
      </c>
    </row>
    <row r="482" customFormat="false" ht="15" hidden="false" customHeight="false" outlineLevel="0" collapsed="false">
      <c r="B482" s="0" t="n">
        <v>1009605326</v>
      </c>
      <c r="C482" s="24" t="s">
        <v>181</v>
      </c>
      <c r="E482" s="0" t="s">
        <v>64</v>
      </c>
      <c r="G482" s="0" t="n">
        <v>844098787063</v>
      </c>
      <c r="J482" s="0" t="s">
        <v>121</v>
      </c>
      <c r="L482" s="0" t="n">
        <v>1</v>
      </c>
      <c r="N482" s="0" t="n">
        <v>2</v>
      </c>
      <c r="P482" s="0" t="n">
        <v>12</v>
      </c>
      <c r="V482" s="0" t="n">
        <v>9</v>
      </c>
      <c r="Z482" s="0" t="s">
        <v>127</v>
      </c>
    </row>
    <row r="483" customFormat="false" ht="15" hidden="false" customHeight="false" outlineLevel="0" collapsed="false">
      <c r="B483" s="0" t="n">
        <v>1009602011</v>
      </c>
      <c r="C483" s="24" t="s">
        <v>159</v>
      </c>
      <c r="E483" s="0" t="s">
        <v>64</v>
      </c>
      <c r="G483" s="0" t="n">
        <v>854149738262</v>
      </c>
      <c r="J483" s="0" t="s">
        <v>118</v>
      </c>
      <c r="L483" s="0" t="n">
        <v>1</v>
      </c>
      <c r="P483" s="0" t="n">
        <v>12</v>
      </c>
      <c r="V483" s="0" t="n">
        <v>8</v>
      </c>
      <c r="Z483" s="0" t="s">
        <v>315</v>
      </c>
    </row>
    <row r="484" customFormat="false" ht="15" hidden="false" customHeight="false" outlineLevel="0" collapsed="false">
      <c r="B484" s="0" t="n">
        <v>1009563734</v>
      </c>
      <c r="C484" s="24" t="s">
        <v>192</v>
      </c>
      <c r="D484" s="0" t="s">
        <v>32</v>
      </c>
      <c r="G484" s="0" t="n">
        <v>844120786638</v>
      </c>
      <c r="J484" s="0" t="s">
        <v>111</v>
      </c>
      <c r="L484" s="0" t="n">
        <v>1</v>
      </c>
      <c r="V484" s="0" t="n">
        <v>2</v>
      </c>
      <c r="Z484" s="0" t="s">
        <v>316</v>
      </c>
    </row>
    <row r="485" customFormat="false" ht="15" hidden="false" customHeight="false" outlineLevel="0" collapsed="false">
      <c r="B485" s="0" t="n">
        <v>1009563845</v>
      </c>
      <c r="C485" s="24" t="s">
        <v>192</v>
      </c>
      <c r="E485" s="0" t="s">
        <v>64</v>
      </c>
      <c r="G485" s="0" t="n">
        <v>844082786386</v>
      </c>
      <c r="J485" s="0" t="s">
        <v>111</v>
      </c>
      <c r="L485" s="0" t="n">
        <v>1</v>
      </c>
      <c r="V485" s="0" t="n">
        <v>2</v>
      </c>
      <c r="Z485" s="0" t="s">
        <v>317</v>
      </c>
    </row>
    <row r="486" customFormat="false" ht="15" hidden="false" customHeight="false" outlineLevel="0" collapsed="false">
      <c r="B486" s="0" t="n">
        <v>1009497182</v>
      </c>
      <c r="C486" s="24" t="s">
        <v>146</v>
      </c>
      <c r="E486" s="0" t="s">
        <v>64</v>
      </c>
      <c r="G486" s="0" t="n">
        <v>844021719621</v>
      </c>
      <c r="J486" s="0" t="s">
        <v>118</v>
      </c>
      <c r="L486" s="0" t="n">
        <v>1</v>
      </c>
      <c r="P486" s="0" t="n">
        <v>12</v>
      </c>
      <c r="V486" s="0" t="n">
        <v>8</v>
      </c>
      <c r="Z486" s="0" t="s">
        <v>318</v>
      </c>
    </row>
    <row r="487" customFormat="false" ht="15" hidden="false" customHeight="false" outlineLevel="0" collapsed="false">
      <c r="B487" s="0" t="n">
        <v>1009563430</v>
      </c>
      <c r="C487" s="24" t="s">
        <v>192</v>
      </c>
      <c r="D487" s="0" t="s">
        <v>131</v>
      </c>
      <c r="E487" s="0" t="s">
        <v>274</v>
      </c>
      <c r="G487" s="0" t="n">
        <v>844113795687</v>
      </c>
      <c r="J487" s="0" t="s">
        <v>100</v>
      </c>
      <c r="L487" s="0" t="n">
        <v>1</v>
      </c>
      <c r="V487" s="0" t="n">
        <v>2</v>
      </c>
      <c r="Z487" s="0" t="s">
        <v>319</v>
      </c>
    </row>
    <row r="488" customFormat="false" ht="15" hidden="false" customHeight="false" outlineLevel="0" collapsed="false">
      <c r="B488" s="0" t="n">
        <v>1009563928</v>
      </c>
      <c r="C488" s="24" t="s">
        <v>192</v>
      </c>
      <c r="E488" s="0" t="s">
        <v>64</v>
      </c>
      <c r="G488" s="0" t="n">
        <v>853051712992</v>
      </c>
      <c r="J488" s="0" t="s">
        <v>100</v>
      </c>
      <c r="L488" s="0" t="n">
        <v>1</v>
      </c>
      <c r="V488" s="0" t="n">
        <v>2</v>
      </c>
      <c r="Z488" s="0" t="s">
        <v>320</v>
      </c>
    </row>
    <row r="489" customFormat="false" ht="15" hidden="false" customHeight="false" outlineLevel="0" collapsed="false">
      <c r="B489" s="0" t="n">
        <v>1009621644</v>
      </c>
      <c r="C489" s="24" t="s">
        <v>184</v>
      </c>
      <c r="G489" s="0" t="n">
        <v>853221721006</v>
      </c>
      <c r="J489" s="0" t="s">
        <v>241</v>
      </c>
      <c r="P489" s="0" t="n">
        <v>12</v>
      </c>
      <c r="V489" s="0" t="n">
        <v>8</v>
      </c>
      <c r="Z489" s="0" t="s">
        <v>321</v>
      </c>
    </row>
    <row r="490" customFormat="false" ht="15" hidden="false" customHeight="false" outlineLevel="0" collapsed="false">
      <c r="B490" s="0" t="n">
        <v>1009610486</v>
      </c>
      <c r="C490" s="24" t="s">
        <v>181</v>
      </c>
      <c r="D490" s="0" t="s">
        <v>119</v>
      </c>
      <c r="G490" s="0" t="n">
        <v>853253778080</v>
      </c>
      <c r="J490" s="0" t="s">
        <v>241</v>
      </c>
      <c r="P490" s="0" t="n">
        <v>12</v>
      </c>
      <c r="V490" s="0" t="n">
        <v>8</v>
      </c>
      <c r="Z490" s="0" t="s">
        <v>322</v>
      </c>
    </row>
    <row r="491" customFormat="false" ht="15" hidden="false" customHeight="false" outlineLevel="0" collapsed="false">
      <c r="B491" s="0" t="n">
        <v>1009462403</v>
      </c>
      <c r="C491" s="24" t="s">
        <v>55</v>
      </c>
      <c r="E491" s="0" t="s">
        <v>255</v>
      </c>
      <c r="G491" s="0" t="n">
        <v>853260721347</v>
      </c>
      <c r="J491" s="0" t="s">
        <v>323</v>
      </c>
      <c r="L491" s="0" t="n">
        <v>1</v>
      </c>
      <c r="V491" s="0" t="n">
        <v>2</v>
      </c>
      <c r="Z491" s="0" t="s">
        <v>324</v>
      </c>
    </row>
    <row r="492" customFormat="false" ht="15" hidden="false" customHeight="false" outlineLevel="0" collapsed="false">
      <c r="B492" s="0" t="n">
        <v>1009473438</v>
      </c>
      <c r="C492" s="24" t="s">
        <v>151</v>
      </c>
      <c r="E492" s="0" t="s">
        <v>33</v>
      </c>
      <c r="G492" s="0" t="n">
        <v>853220719514</v>
      </c>
      <c r="J492" s="0" t="s">
        <v>239</v>
      </c>
      <c r="L492" s="0" t="n">
        <v>1</v>
      </c>
      <c r="V492" s="0" t="n">
        <v>9</v>
      </c>
      <c r="Z492" s="0" t="s">
        <v>324</v>
      </c>
    </row>
    <row r="493" customFormat="false" ht="15" hidden="false" customHeight="false" outlineLevel="0" collapsed="false">
      <c r="B493" s="0" t="n">
        <v>1009350456</v>
      </c>
      <c r="C493" s="24" t="s">
        <v>87</v>
      </c>
      <c r="E493" s="0" t="s">
        <v>64</v>
      </c>
      <c r="G493" s="0" t="n">
        <v>854163770126</v>
      </c>
      <c r="J493" s="0" t="s">
        <v>100</v>
      </c>
      <c r="L493" s="0" t="n">
        <v>1</v>
      </c>
      <c r="V493" s="0" t="n">
        <v>2</v>
      </c>
      <c r="Z493" s="0" t="s">
        <v>325</v>
      </c>
    </row>
    <row r="494" customFormat="false" ht="15" hidden="false" customHeight="false" outlineLevel="0" collapsed="false">
      <c r="B494" s="0" t="n">
        <v>1009447990</v>
      </c>
      <c r="C494" s="24" t="s">
        <v>189</v>
      </c>
      <c r="G494" s="0" t="n">
        <v>853262706551</v>
      </c>
      <c r="J494" s="0" t="s">
        <v>100</v>
      </c>
      <c r="L494" s="0" t="n">
        <v>1</v>
      </c>
      <c r="V494" s="0" t="n">
        <v>2</v>
      </c>
      <c r="Z494" s="0" t="s">
        <v>319</v>
      </c>
    </row>
    <row r="495" customFormat="false" ht="15" hidden="false" customHeight="false" outlineLevel="0" collapsed="false">
      <c r="B495" s="0" t="n">
        <v>1009603903</v>
      </c>
      <c r="C495" s="24" t="s">
        <v>146</v>
      </c>
      <c r="E495" s="0" t="s">
        <v>64</v>
      </c>
      <c r="G495" s="0" t="n">
        <v>743032611571</v>
      </c>
      <c r="J495" s="0" t="s">
        <v>118</v>
      </c>
      <c r="L495" s="0" t="n">
        <v>1</v>
      </c>
      <c r="P495" s="0" t="n">
        <v>12</v>
      </c>
      <c r="V495" s="0" t="n">
        <v>12</v>
      </c>
      <c r="Z495" s="0" t="s">
        <v>226</v>
      </c>
    </row>
    <row r="496" customFormat="false" ht="15" hidden="false" customHeight="false" outlineLevel="0" collapsed="false">
      <c r="B496" s="0" t="n">
        <v>1009549874</v>
      </c>
      <c r="C496" s="24" t="s">
        <v>126</v>
      </c>
      <c r="E496" s="0" t="s">
        <v>64</v>
      </c>
      <c r="G496" s="0" t="n">
        <v>288095203668</v>
      </c>
      <c r="J496" s="0" t="s">
        <v>239</v>
      </c>
      <c r="N496" s="0" t="n">
        <v>24</v>
      </c>
      <c r="V496" s="0" t="n">
        <v>2</v>
      </c>
      <c r="Z496" s="0" t="s">
        <v>326</v>
      </c>
    </row>
    <row r="497" customFormat="false" ht="15" hidden="false" customHeight="false" outlineLevel="0" collapsed="false">
      <c r="B497" s="0" t="n">
        <v>1009570598</v>
      </c>
      <c r="C497" s="24" t="s">
        <v>102</v>
      </c>
      <c r="D497" s="0" t="s">
        <v>56</v>
      </c>
      <c r="G497" s="0" t="n">
        <v>277350219501</v>
      </c>
      <c r="J497" s="0" t="s">
        <v>241</v>
      </c>
      <c r="V497" s="0" t="n">
        <v>2</v>
      </c>
      <c r="Z497" s="0" t="s">
        <v>327</v>
      </c>
    </row>
    <row r="498" customFormat="false" ht="15" hidden="false" customHeight="false" outlineLevel="0" collapsed="false">
      <c r="B498" s="0" t="n">
        <v>1009627297</v>
      </c>
      <c r="C498" s="24" t="s">
        <v>163</v>
      </c>
      <c r="E498" s="0" t="s">
        <v>64</v>
      </c>
      <c r="G498" s="0" t="n">
        <v>288146236964</v>
      </c>
      <c r="J498" s="0" t="s">
        <v>118</v>
      </c>
      <c r="L498" s="0" t="n">
        <v>2</v>
      </c>
      <c r="N498" s="0" t="n">
        <v>6</v>
      </c>
      <c r="P498" s="0" t="n">
        <v>12</v>
      </c>
      <c r="V498" s="0" t="n">
        <v>8</v>
      </c>
      <c r="Z498" s="0" t="s">
        <v>328</v>
      </c>
    </row>
    <row r="499" customFormat="false" ht="15" hidden="false" customHeight="false" outlineLevel="0" collapsed="false">
      <c r="B499" s="0" t="n">
        <v>1009526459</v>
      </c>
      <c r="C499" s="24" t="s">
        <v>162</v>
      </c>
      <c r="D499" s="0" t="s">
        <v>158</v>
      </c>
      <c r="E499" s="0" t="s">
        <v>255</v>
      </c>
      <c r="G499" s="0" t="n">
        <v>288140101362</v>
      </c>
      <c r="J499" s="0" t="s">
        <v>241</v>
      </c>
      <c r="V499" s="0" t="n">
        <v>2</v>
      </c>
      <c r="Z499" s="0" t="s">
        <v>329</v>
      </c>
    </row>
    <row r="500" customFormat="false" ht="15" hidden="false" customHeight="false" outlineLevel="0" collapsed="false">
      <c r="B500" s="0" t="n">
        <v>1009525438</v>
      </c>
      <c r="C500" s="24" t="s">
        <v>162</v>
      </c>
      <c r="D500" s="0" t="s">
        <v>119</v>
      </c>
      <c r="E500" s="0" t="s">
        <v>274</v>
      </c>
      <c r="G500" s="0" t="n">
        <v>277298204045</v>
      </c>
      <c r="J500" s="0" t="s">
        <v>241</v>
      </c>
      <c r="V500" s="0" t="n">
        <v>2</v>
      </c>
      <c r="Z500" s="0" t="s">
        <v>330</v>
      </c>
    </row>
    <row r="501" customFormat="false" ht="15" hidden="false" customHeight="false" outlineLevel="0" collapsed="false">
      <c r="B501" s="0" t="n">
        <v>1009535482</v>
      </c>
      <c r="C501" s="24" t="s">
        <v>311</v>
      </c>
      <c r="E501" s="0" t="s">
        <v>64</v>
      </c>
      <c r="G501" s="0" t="n">
        <v>277349102834</v>
      </c>
      <c r="J501" s="0" t="s">
        <v>111</v>
      </c>
      <c r="L501" s="0" t="n">
        <v>1</v>
      </c>
      <c r="V501" s="0" t="n">
        <v>2</v>
      </c>
      <c r="Z501" s="0" t="s">
        <v>331</v>
      </c>
    </row>
    <row r="502" customFormat="false" ht="15" hidden="false" customHeight="false" outlineLevel="0" collapsed="false">
      <c r="B502" s="0" t="n">
        <v>1009601959</v>
      </c>
      <c r="C502" s="24" t="s">
        <v>159</v>
      </c>
      <c r="D502" s="0" t="s">
        <v>157</v>
      </c>
      <c r="G502" s="0" t="n">
        <v>288116140345</v>
      </c>
      <c r="J502" s="0" t="s">
        <v>118</v>
      </c>
      <c r="L502" s="0" t="n">
        <v>1</v>
      </c>
      <c r="V502" s="0" t="n">
        <v>2</v>
      </c>
      <c r="Z502" s="0" t="s">
        <v>332</v>
      </c>
    </row>
    <row r="503" customFormat="false" ht="15" hidden="false" customHeight="false" outlineLevel="0" collapsed="false">
      <c r="B503" s="0" t="n">
        <v>1009558488</v>
      </c>
      <c r="C503" s="24" t="s">
        <v>192</v>
      </c>
      <c r="E503" s="0" t="s">
        <v>64</v>
      </c>
      <c r="G503" s="0" t="n">
        <v>278023205992</v>
      </c>
      <c r="J503" s="0" t="s">
        <v>100</v>
      </c>
      <c r="L503" s="0" t="n">
        <v>1</v>
      </c>
      <c r="V503" s="0" t="n">
        <v>2</v>
      </c>
      <c r="Z503" s="0" t="s">
        <v>333</v>
      </c>
    </row>
    <row r="504" customFormat="false" ht="15" hidden="false" customHeight="false" outlineLevel="0" collapsed="false">
      <c r="B504" s="0" t="n">
        <v>1009468517</v>
      </c>
      <c r="C504" s="24" t="s">
        <v>151</v>
      </c>
      <c r="E504" s="0" t="s">
        <v>64</v>
      </c>
      <c r="G504" s="0" t="n">
        <v>277304147022</v>
      </c>
      <c r="J504" s="0" t="s">
        <v>241</v>
      </c>
      <c r="V504" s="0" t="n">
        <v>2</v>
      </c>
      <c r="Z504" s="0" t="s">
        <v>334</v>
      </c>
    </row>
    <row r="505" customFormat="false" ht="15" hidden="false" customHeight="false" outlineLevel="0" collapsed="false">
      <c r="B505" s="0" t="n">
        <v>1009493649</v>
      </c>
      <c r="C505" s="24" t="s">
        <v>146</v>
      </c>
      <c r="E505" s="0" t="s">
        <v>64</v>
      </c>
      <c r="G505" s="0" t="n">
        <v>867110113448</v>
      </c>
      <c r="I505" s="0" t="s">
        <v>72</v>
      </c>
      <c r="J505" s="0" t="s">
        <v>111</v>
      </c>
      <c r="L505" s="0" t="n">
        <v>1</v>
      </c>
      <c r="V505" s="0" t="n">
        <v>2</v>
      </c>
      <c r="Z505" s="0" t="s">
        <v>335</v>
      </c>
    </row>
    <row r="506" customFormat="false" ht="15" hidden="false" customHeight="false" outlineLevel="0" collapsed="false">
      <c r="B506" s="0" t="n">
        <v>1009582164</v>
      </c>
      <c r="C506" s="24" t="s">
        <v>104</v>
      </c>
      <c r="E506" s="0" t="s">
        <v>64</v>
      </c>
      <c r="G506" s="0" t="n">
        <v>865169130552</v>
      </c>
      <c r="I506" s="0" t="s">
        <v>72</v>
      </c>
      <c r="J506" s="0" t="s">
        <v>287</v>
      </c>
      <c r="L506" s="0" t="n">
        <v>1</v>
      </c>
      <c r="V506" s="0" t="n">
        <v>8</v>
      </c>
      <c r="Z506" s="0" t="s">
        <v>336</v>
      </c>
    </row>
    <row r="507" customFormat="false" ht="15" hidden="false" customHeight="false" outlineLevel="0" collapsed="false">
      <c r="B507" s="0" t="n">
        <v>1009582173</v>
      </c>
      <c r="C507" s="24" t="s">
        <v>104</v>
      </c>
      <c r="D507" s="0" t="s">
        <v>142</v>
      </c>
      <c r="E507" s="0" t="s">
        <v>337</v>
      </c>
      <c r="G507" s="0" t="n">
        <v>867033108657</v>
      </c>
      <c r="I507" s="0" t="s">
        <v>72</v>
      </c>
      <c r="J507" s="0" t="s">
        <v>287</v>
      </c>
      <c r="L507" s="0" t="n">
        <v>1</v>
      </c>
      <c r="P507" s="0" t="n">
        <v>12</v>
      </c>
      <c r="V507" s="0" t="n">
        <v>4</v>
      </c>
      <c r="Z507" s="0" t="s">
        <v>249</v>
      </c>
    </row>
    <row r="508" customFormat="false" ht="15" hidden="false" customHeight="false" outlineLevel="0" collapsed="false">
      <c r="B508" s="0" t="n">
        <v>1009582279</v>
      </c>
      <c r="C508" s="24" t="s">
        <v>104</v>
      </c>
      <c r="E508" s="0" t="s">
        <v>33</v>
      </c>
      <c r="G508" s="0" t="n">
        <v>868166197004</v>
      </c>
      <c r="I508" s="0" t="s">
        <v>72</v>
      </c>
      <c r="J508" s="0" t="s">
        <v>118</v>
      </c>
      <c r="N508" s="0" t="n">
        <v>24</v>
      </c>
      <c r="V508" s="0" t="n">
        <v>2</v>
      </c>
      <c r="Z508" s="0" t="s">
        <v>247</v>
      </c>
    </row>
    <row r="509" customFormat="false" ht="15" hidden="false" customHeight="false" outlineLevel="0" collapsed="false">
      <c r="B509" s="0" t="n">
        <v>1009577065</v>
      </c>
      <c r="C509" s="24" t="s">
        <v>139</v>
      </c>
      <c r="E509" s="0" t="s">
        <v>64</v>
      </c>
      <c r="G509" s="0" t="n">
        <v>866019104524</v>
      </c>
      <c r="I509" s="0" t="s">
        <v>72</v>
      </c>
      <c r="J509" s="0" t="s">
        <v>239</v>
      </c>
      <c r="V509" s="0" t="n">
        <v>2</v>
      </c>
      <c r="Z509" s="0" t="s">
        <v>338</v>
      </c>
    </row>
    <row r="510" customFormat="false" ht="15" hidden="false" customHeight="false" outlineLevel="0" collapsed="false">
      <c r="B510" s="0" t="n">
        <v>1009279745</v>
      </c>
      <c r="C510" s="24" t="s">
        <v>75</v>
      </c>
      <c r="E510" s="0" t="s">
        <v>33</v>
      </c>
      <c r="G510" s="0" t="n">
        <v>865278286568</v>
      </c>
      <c r="I510" s="0" t="s">
        <v>72</v>
      </c>
      <c r="J510" s="0" t="s">
        <v>111</v>
      </c>
      <c r="L510" s="0" t="n">
        <v>1</v>
      </c>
      <c r="V510" s="0" t="n">
        <v>2</v>
      </c>
      <c r="Z510" s="0" t="s">
        <v>339</v>
      </c>
    </row>
    <row r="511" customFormat="false" ht="15" hidden="false" customHeight="false" outlineLevel="0" collapsed="false">
      <c r="B511" s="0" t="n">
        <v>1009579063</v>
      </c>
      <c r="C511" s="24" t="s">
        <v>139</v>
      </c>
      <c r="D511" s="0" t="s">
        <v>143</v>
      </c>
      <c r="E511" s="0" t="s">
        <v>33</v>
      </c>
      <c r="G511" s="0" t="n">
        <v>864333154069</v>
      </c>
      <c r="I511" s="0" t="s">
        <v>72</v>
      </c>
      <c r="J511" s="0" t="s">
        <v>239</v>
      </c>
      <c r="N511" s="0" t="n">
        <v>24</v>
      </c>
      <c r="V511" s="0" t="n">
        <v>2</v>
      </c>
      <c r="Z511" s="0" t="s">
        <v>240</v>
      </c>
    </row>
    <row r="512" customFormat="false" ht="15" hidden="false" customHeight="false" outlineLevel="0" collapsed="false">
      <c r="B512" s="0" t="n">
        <v>1009584074</v>
      </c>
      <c r="C512" s="24" t="s">
        <v>139</v>
      </c>
      <c r="D512" s="0" t="s">
        <v>143</v>
      </c>
      <c r="G512" s="0" t="n">
        <v>867228180537</v>
      </c>
      <c r="I512" s="0" t="s">
        <v>72</v>
      </c>
      <c r="J512" s="0" t="s">
        <v>241</v>
      </c>
      <c r="N512" s="0" t="n">
        <v>1</v>
      </c>
      <c r="P512" s="0" t="n">
        <v>12</v>
      </c>
      <c r="V512" s="0" t="n">
        <v>8</v>
      </c>
      <c r="Z512" s="0" t="s">
        <v>340</v>
      </c>
    </row>
    <row r="513" customFormat="false" ht="15" hidden="false" customHeight="false" outlineLevel="0" collapsed="false">
      <c r="B513" s="0" t="n">
        <v>1009556591</v>
      </c>
      <c r="C513" s="24" t="s">
        <v>192</v>
      </c>
      <c r="E513" s="0" t="s">
        <v>64</v>
      </c>
      <c r="G513" s="0" t="n">
        <v>868113106199</v>
      </c>
      <c r="I513" s="0" t="s">
        <v>72</v>
      </c>
      <c r="J513" s="0" t="s">
        <v>111</v>
      </c>
      <c r="L513" s="0" t="n">
        <v>1</v>
      </c>
      <c r="P513" s="0" t="n">
        <v>12</v>
      </c>
      <c r="V513" s="0" t="n">
        <v>8</v>
      </c>
      <c r="Z513" s="0" t="s">
        <v>341</v>
      </c>
    </row>
    <row r="514" customFormat="false" ht="15" hidden="false" customHeight="false" outlineLevel="0" collapsed="false">
      <c r="B514" s="0" t="n">
        <v>1009582177</v>
      </c>
      <c r="C514" s="24" t="s">
        <v>104</v>
      </c>
      <c r="D514" s="0" t="s">
        <v>342</v>
      </c>
      <c r="E514" s="0" t="s">
        <v>208</v>
      </c>
      <c r="G514" s="0" t="n">
        <v>864337143720</v>
      </c>
      <c r="I514" s="0" t="s">
        <v>72</v>
      </c>
      <c r="J514" s="0" t="s">
        <v>241</v>
      </c>
      <c r="N514" s="0" t="n">
        <v>1</v>
      </c>
      <c r="P514" s="0" t="n">
        <v>12</v>
      </c>
      <c r="V514" s="0" t="n">
        <v>9</v>
      </c>
      <c r="Z514" s="0" t="s">
        <v>343</v>
      </c>
    </row>
    <row r="515" customFormat="false" ht="15" hidden="false" customHeight="false" outlineLevel="0" collapsed="false">
      <c r="B515" s="0" t="n">
        <v>1009522457</v>
      </c>
      <c r="C515" s="24" t="s">
        <v>93</v>
      </c>
      <c r="E515" s="0" t="s">
        <v>64</v>
      </c>
      <c r="G515" s="0" t="n">
        <v>865278288507</v>
      </c>
      <c r="I515" s="0" t="s">
        <v>72</v>
      </c>
      <c r="J515" s="0" t="s">
        <v>115</v>
      </c>
      <c r="L515" s="0" t="n">
        <v>1</v>
      </c>
      <c r="P515" s="0" t="n">
        <v>12</v>
      </c>
      <c r="V515" s="0" t="n">
        <v>8</v>
      </c>
      <c r="Z515" s="0" t="s">
        <v>266</v>
      </c>
    </row>
    <row r="516" customFormat="false" ht="15" hidden="false" customHeight="false" outlineLevel="0" collapsed="false">
      <c r="B516" s="0" t="n">
        <v>1009602315</v>
      </c>
      <c r="C516" s="24" t="s">
        <v>159</v>
      </c>
      <c r="E516" s="0" t="s">
        <v>64</v>
      </c>
      <c r="G516" s="0" t="n">
        <v>866173124649</v>
      </c>
      <c r="I516" s="0" t="s">
        <v>72</v>
      </c>
      <c r="J516" s="0" t="s">
        <v>118</v>
      </c>
      <c r="L516" s="0" t="n">
        <v>7</v>
      </c>
      <c r="N516" s="0" t="n">
        <v>36</v>
      </c>
      <c r="P516" s="0" t="n">
        <v>11</v>
      </c>
      <c r="V516" s="0" t="n">
        <v>2</v>
      </c>
      <c r="Z516" s="0" t="s">
        <v>246</v>
      </c>
    </row>
    <row r="517" customFormat="false" ht="15" hidden="false" customHeight="false" outlineLevel="0" collapsed="false">
      <c r="B517" s="0" t="n">
        <v>1009574454</v>
      </c>
      <c r="C517" s="24" t="s">
        <v>104</v>
      </c>
      <c r="D517" s="0" t="s">
        <v>105</v>
      </c>
      <c r="G517" s="0" t="n">
        <v>867096141033</v>
      </c>
      <c r="I517" s="0" t="s">
        <v>72</v>
      </c>
      <c r="J517" s="0" t="s">
        <v>289</v>
      </c>
      <c r="L517" s="0" t="n">
        <v>1</v>
      </c>
      <c r="V517" s="0" t="n">
        <v>2</v>
      </c>
      <c r="Z517" s="0" t="s">
        <v>344</v>
      </c>
    </row>
    <row r="518" customFormat="false" ht="15" hidden="false" customHeight="false" outlineLevel="0" collapsed="false">
      <c r="B518" s="0" t="n">
        <v>1009584917</v>
      </c>
      <c r="C518" s="24" t="s">
        <v>139</v>
      </c>
      <c r="G518" s="0" t="n">
        <v>867185109289</v>
      </c>
      <c r="I518" s="0" t="s">
        <v>72</v>
      </c>
      <c r="J518" s="0" t="s">
        <v>118</v>
      </c>
      <c r="L518" s="0" t="n">
        <v>7</v>
      </c>
      <c r="N518" s="0" t="n">
        <v>36</v>
      </c>
      <c r="P518" s="0" t="n">
        <v>11</v>
      </c>
      <c r="V518" s="0" t="n">
        <v>2</v>
      </c>
      <c r="Z518" s="0" t="s">
        <v>345</v>
      </c>
    </row>
    <row r="519" customFormat="false" ht="15" hidden="false" customHeight="false" outlineLevel="0" collapsed="false">
      <c r="B519" s="0" t="n">
        <v>1009582349</v>
      </c>
      <c r="C519" s="24" t="s">
        <v>139</v>
      </c>
      <c r="D519" s="0" t="s">
        <v>142</v>
      </c>
      <c r="E519" s="0" t="s">
        <v>114</v>
      </c>
      <c r="G519" s="0" t="n">
        <v>864318284089</v>
      </c>
      <c r="I519" s="0" t="s">
        <v>72</v>
      </c>
      <c r="J519" s="0" t="s">
        <v>115</v>
      </c>
      <c r="N519" s="0" t="n">
        <v>24</v>
      </c>
      <c r="P519" s="0" t="n">
        <v>12</v>
      </c>
      <c r="V519" s="0" t="n">
        <v>8</v>
      </c>
      <c r="Z519" s="0" t="s">
        <v>346</v>
      </c>
    </row>
    <row r="520" customFormat="false" ht="15" hidden="false" customHeight="false" outlineLevel="0" collapsed="false">
      <c r="B520" s="0" t="n">
        <v>1009583972</v>
      </c>
      <c r="C520" s="24" t="s">
        <v>139</v>
      </c>
      <c r="D520" s="0" t="s">
        <v>347</v>
      </c>
      <c r="G520" s="0" t="n">
        <v>865147185132</v>
      </c>
      <c r="I520" s="0" t="s">
        <v>72</v>
      </c>
      <c r="J520" s="0" t="s">
        <v>115</v>
      </c>
      <c r="N520" s="0" t="n">
        <v>24</v>
      </c>
      <c r="P520" s="0" t="n">
        <v>12</v>
      </c>
      <c r="V520" s="0" t="n">
        <v>8</v>
      </c>
      <c r="Z520" s="0" t="s">
        <v>348</v>
      </c>
    </row>
    <row r="521" customFormat="false" ht="15" hidden="false" customHeight="false" outlineLevel="0" collapsed="false">
      <c r="B521" s="0" t="n">
        <v>1009571276</v>
      </c>
      <c r="C521" s="24" t="s">
        <v>102</v>
      </c>
      <c r="E521" s="0" t="s">
        <v>64</v>
      </c>
      <c r="G521" s="0" t="n">
        <v>867318152909</v>
      </c>
      <c r="I521" s="0" t="s">
        <v>72</v>
      </c>
      <c r="J521" s="0" t="s">
        <v>106</v>
      </c>
      <c r="N521" s="0" t="n">
        <v>24</v>
      </c>
      <c r="P521" s="0" t="n">
        <v>12</v>
      </c>
      <c r="V521" s="0" t="n">
        <v>8</v>
      </c>
      <c r="Z521" s="0" t="s">
        <v>349</v>
      </c>
    </row>
    <row r="522" customFormat="false" ht="15" hidden="false" customHeight="false" outlineLevel="0" collapsed="false">
      <c r="B522" s="0" t="n">
        <v>1009565265</v>
      </c>
      <c r="C522" s="24" t="s">
        <v>102</v>
      </c>
      <c r="E522" s="0" t="s">
        <v>274</v>
      </c>
      <c r="G522" s="0" t="n">
        <v>865324128939</v>
      </c>
      <c r="I522" s="0" t="s">
        <v>72</v>
      </c>
      <c r="J522" s="0" t="s">
        <v>133</v>
      </c>
      <c r="P522" s="0" t="n">
        <v>12</v>
      </c>
      <c r="V522" s="0" t="n">
        <v>8</v>
      </c>
      <c r="Z522" s="0" t="s">
        <v>349</v>
      </c>
    </row>
    <row r="523" customFormat="false" ht="15" hidden="false" customHeight="false" outlineLevel="0" collapsed="false">
      <c r="B523" s="0" t="n">
        <v>1009587701</v>
      </c>
      <c r="C523" s="24" t="s">
        <v>159</v>
      </c>
      <c r="E523" s="0" t="s">
        <v>64</v>
      </c>
      <c r="G523" s="0" t="n">
        <v>865278297318</v>
      </c>
      <c r="I523" s="0" t="s">
        <v>72</v>
      </c>
      <c r="J523" s="0" t="s">
        <v>241</v>
      </c>
      <c r="P523" s="0" t="n">
        <v>12</v>
      </c>
      <c r="V523" s="0" t="n">
        <v>8</v>
      </c>
      <c r="Z523" s="0" t="s">
        <v>349</v>
      </c>
    </row>
    <row r="524" customFormat="false" ht="15" hidden="false" customHeight="false" outlineLevel="0" collapsed="false">
      <c r="B524" s="0" t="n">
        <v>1009602548</v>
      </c>
      <c r="C524" s="24" t="s">
        <v>159</v>
      </c>
      <c r="E524" s="0" t="s">
        <v>64</v>
      </c>
      <c r="G524" s="0" t="n">
        <v>864333220605</v>
      </c>
      <c r="I524" s="0" t="s">
        <v>72</v>
      </c>
      <c r="J524" s="0" t="s">
        <v>241</v>
      </c>
      <c r="P524" s="0" t="n">
        <v>12</v>
      </c>
      <c r="V524" s="0" t="n">
        <v>8</v>
      </c>
      <c r="Z524" s="0" t="s">
        <v>350</v>
      </c>
    </row>
    <row r="525" customFormat="false" ht="15" hidden="false" customHeight="false" outlineLevel="0" collapsed="false">
      <c r="B525" s="0" t="n">
        <v>1009305993</v>
      </c>
      <c r="C525" s="24" t="s">
        <v>185</v>
      </c>
      <c r="E525" s="0" t="s">
        <v>114</v>
      </c>
      <c r="G525" s="0" t="n">
        <v>865296166974</v>
      </c>
      <c r="I525" s="0" t="s">
        <v>72</v>
      </c>
      <c r="J525" s="0" t="s">
        <v>100</v>
      </c>
      <c r="L525" s="0" t="n">
        <v>1</v>
      </c>
      <c r="V525" s="0" t="n">
        <v>2</v>
      </c>
      <c r="Z525" s="0" t="s">
        <v>351</v>
      </c>
    </row>
    <row r="526" customFormat="false" ht="15" hidden="false" customHeight="false" outlineLevel="0" collapsed="false">
      <c r="B526" s="0" t="n">
        <v>1009572011</v>
      </c>
      <c r="C526" s="24" t="s">
        <v>104</v>
      </c>
      <c r="D526" s="0" t="s">
        <v>195</v>
      </c>
      <c r="E526" s="0" t="s">
        <v>176</v>
      </c>
      <c r="G526" s="0" t="n">
        <v>867279102646</v>
      </c>
      <c r="I526" s="0" t="s">
        <v>72</v>
      </c>
      <c r="J526" s="0" t="s">
        <v>111</v>
      </c>
      <c r="N526" s="0" t="n">
        <v>24</v>
      </c>
      <c r="V526" s="0" t="n">
        <v>2</v>
      </c>
      <c r="Z526" s="0" t="s">
        <v>352</v>
      </c>
    </row>
    <row r="527" customFormat="false" ht="15" hidden="false" customHeight="false" outlineLevel="0" collapsed="false">
      <c r="B527" s="0" t="n">
        <v>1009566363</v>
      </c>
      <c r="C527" s="24" t="s">
        <v>102</v>
      </c>
      <c r="D527" s="0" t="s">
        <v>205</v>
      </c>
      <c r="E527" s="0" t="s">
        <v>33</v>
      </c>
      <c r="G527" s="0" t="n">
        <v>864268212387</v>
      </c>
      <c r="I527" s="0" t="s">
        <v>72</v>
      </c>
      <c r="J527" s="0" t="s">
        <v>100</v>
      </c>
      <c r="V527" s="0" t="n">
        <v>1</v>
      </c>
      <c r="Z527" s="0" t="s">
        <v>353</v>
      </c>
    </row>
    <row r="528" customFormat="false" ht="15" hidden="false" customHeight="false" outlineLevel="0" collapsed="false">
      <c r="B528" s="0" t="n">
        <v>1009599834</v>
      </c>
      <c r="C528" s="24" t="s">
        <v>159</v>
      </c>
      <c r="G528" s="0" t="n">
        <v>867003104652</v>
      </c>
      <c r="I528" s="0" t="s">
        <v>72</v>
      </c>
      <c r="J528" s="0" t="s">
        <v>96</v>
      </c>
      <c r="L528" s="0" t="n">
        <v>7</v>
      </c>
      <c r="N528" s="0" t="n">
        <v>37</v>
      </c>
      <c r="P528" s="0" t="n">
        <v>12</v>
      </c>
      <c r="V528" s="0" t="n">
        <v>8</v>
      </c>
      <c r="Z528" s="0" t="s">
        <v>354</v>
      </c>
    </row>
    <row r="529" customFormat="false" ht="15" hidden="false" customHeight="false" outlineLevel="0" collapsed="false">
      <c r="B529" s="0" t="n">
        <v>1009602519</v>
      </c>
      <c r="C529" s="24" t="s">
        <v>159</v>
      </c>
      <c r="E529" s="0" t="s">
        <v>33</v>
      </c>
      <c r="G529" s="0" t="n">
        <v>864329149867</v>
      </c>
      <c r="I529" s="0" t="s">
        <v>72</v>
      </c>
      <c r="J529" s="0" t="s">
        <v>118</v>
      </c>
      <c r="N529" s="0" t="n">
        <v>24</v>
      </c>
      <c r="V529" s="0" t="n">
        <v>2</v>
      </c>
      <c r="Z529" s="0" t="s">
        <v>247</v>
      </c>
    </row>
    <row r="530" customFormat="false" ht="15" hidden="false" customHeight="false" outlineLevel="0" collapsed="false">
      <c r="B530" s="0" t="n">
        <v>1009460774</v>
      </c>
      <c r="C530" s="24" t="s">
        <v>55</v>
      </c>
      <c r="D530" s="0" t="s">
        <v>32</v>
      </c>
      <c r="G530" s="0" t="n">
        <v>867322145238</v>
      </c>
      <c r="I530" s="0" t="s">
        <v>72</v>
      </c>
      <c r="J530" s="0" t="s">
        <v>106</v>
      </c>
      <c r="L530" s="0" t="n">
        <v>1</v>
      </c>
      <c r="P530" s="0" t="n">
        <v>12</v>
      </c>
      <c r="V530" s="0" t="n">
        <v>8</v>
      </c>
      <c r="Z530" s="0" t="s">
        <v>355</v>
      </c>
    </row>
    <row r="531" customFormat="false" ht="15" hidden="false" customHeight="false" outlineLevel="0" collapsed="false">
      <c r="B531" s="0" t="n">
        <v>1009584445</v>
      </c>
      <c r="C531" s="24" t="s">
        <v>139</v>
      </c>
      <c r="D531" s="0" t="s">
        <v>167</v>
      </c>
      <c r="G531" s="0" t="n">
        <v>866153120938</v>
      </c>
      <c r="I531" s="0" t="s">
        <v>72</v>
      </c>
      <c r="J531" s="0" t="s">
        <v>96</v>
      </c>
      <c r="L531" s="0" t="n">
        <v>7</v>
      </c>
      <c r="N531" s="0" t="n">
        <v>37</v>
      </c>
      <c r="P531" s="0" t="n">
        <v>12</v>
      </c>
      <c r="V531" s="0" t="n">
        <v>8</v>
      </c>
      <c r="Z531" s="0" t="s">
        <v>354</v>
      </c>
    </row>
    <row r="532" customFormat="false" ht="15" hidden="false" customHeight="false" outlineLevel="0" collapsed="false">
      <c r="B532" s="0" t="n">
        <v>1009587532</v>
      </c>
      <c r="C532" s="24" t="s">
        <v>159</v>
      </c>
      <c r="D532" s="0" t="s">
        <v>183</v>
      </c>
      <c r="G532" s="0" t="n">
        <v>867294143492</v>
      </c>
      <c r="I532" s="0" t="s">
        <v>72</v>
      </c>
      <c r="J532" s="0" t="s">
        <v>106</v>
      </c>
      <c r="L532" s="0" t="n">
        <v>1</v>
      </c>
      <c r="P532" s="0" t="n">
        <v>12</v>
      </c>
      <c r="V532" s="0" t="n">
        <v>8</v>
      </c>
      <c r="Z532" s="0" t="s">
        <v>273</v>
      </c>
    </row>
    <row r="533" customFormat="false" ht="15" hidden="false" customHeight="false" outlineLevel="0" collapsed="false">
      <c r="B533" s="0" t="n">
        <v>1009606240</v>
      </c>
      <c r="C533" s="24" t="s">
        <v>181</v>
      </c>
      <c r="E533" s="0" t="s">
        <v>64</v>
      </c>
      <c r="G533" s="0" t="n">
        <v>865240224170</v>
      </c>
      <c r="I533" s="0" t="s">
        <v>72</v>
      </c>
      <c r="J533" s="0" t="s">
        <v>241</v>
      </c>
      <c r="P533" s="0" t="n">
        <v>12</v>
      </c>
      <c r="V533" s="0" t="n">
        <v>8</v>
      </c>
      <c r="Z533" s="0" t="s">
        <v>349</v>
      </c>
    </row>
    <row r="534" customFormat="false" ht="15" hidden="false" customHeight="false" outlineLevel="0" collapsed="false">
      <c r="B534" s="0" t="n">
        <v>1009583959</v>
      </c>
      <c r="C534" s="24" t="s">
        <v>139</v>
      </c>
      <c r="E534" s="0" t="s">
        <v>33</v>
      </c>
      <c r="G534" s="0" t="n">
        <v>866027140791</v>
      </c>
      <c r="I534" s="0" t="s">
        <v>72</v>
      </c>
      <c r="J534" s="0" t="s">
        <v>111</v>
      </c>
      <c r="N534" s="0" t="n">
        <v>24</v>
      </c>
      <c r="P534" s="0" t="n">
        <v>12</v>
      </c>
      <c r="V534" s="0" t="n">
        <v>8</v>
      </c>
      <c r="Z534" s="0" t="s">
        <v>356</v>
      </c>
    </row>
    <row r="535" customFormat="false" ht="15" hidden="false" customHeight="false" outlineLevel="0" collapsed="false">
      <c r="B535" s="0" t="n">
        <v>1009607485</v>
      </c>
      <c r="C535" s="24" t="s">
        <v>181</v>
      </c>
      <c r="D535" s="0" t="s">
        <v>88</v>
      </c>
      <c r="G535" s="0" t="n">
        <v>865271189637</v>
      </c>
      <c r="I535" s="0" t="s">
        <v>72</v>
      </c>
      <c r="J535" s="0" t="s">
        <v>239</v>
      </c>
      <c r="V535" s="0" t="n">
        <v>2</v>
      </c>
      <c r="Z535" s="0" t="s">
        <v>254</v>
      </c>
    </row>
    <row r="536" customFormat="false" ht="15" hidden="false" customHeight="false" outlineLevel="0" collapsed="false">
      <c r="B536" s="0" t="n">
        <v>1009602544</v>
      </c>
      <c r="C536" s="24" t="s">
        <v>159</v>
      </c>
      <c r="E536" s="0" t="s">
        <v>64</v>
      </c>
      <c r="G536" s="0" t="n">
        <v>866020238352</v>
      </c>
      <c r="I536" s="0" t="s">
        <v>72</v>
      </c>
      <c r="J536" s="0" t="s">
        <v>239</v>
      </c>
      <c r="P536" s="0" t="n">
        <v>12</v>
      </c>
      <c r="V536" s="0" t="n">
        <v>8</v>
      </c>
      <c r="Z536" s="0" t="s">
        <v>254</v>
      </c>
    </row>
    <row r="537" customFormat="false" ht="15" hidden="false" customHeight="false" outlineLevel="0" collapsed="false">
      <c r="B537" s="0" t="n">
        <v>1009584501</v>
      </c>
      <c r="C537" s="24" t="s">
        <v>139</v>
      </c>
      <c r="D537" s="0" t="s">
        <v>190</v>
      </c>
      <c r="E537" s="0" t="s">
        <v>64</v>
      </c>
      <c r="G537" s="0" t="n">
        <v>868082100330</v>
      </c>
      <c r="I537" s="0" t="s">
        <v>72</v>
      </c>
      <c r="J537" s="0" t="s">
        <v>118</v>
      </c>
      <c r="L537" s="0" t="n">
        <v>2</v>
      </c>
      <c r="N537" s="0" t="n">
        <v>6</v>
      </c>
      <c r="P537" s="0" t="n">
        <v>11</v>
      </c>
      <c r="V537" s="0" t="n">
        <v>2</v>
      </c>
      <c r="Z537" s="0" t="s">
        <v>276</v>
      </c>
    </row>
    <row r="538" customFormat="false" ht="15" hidden="false" customHeight="false" outlineLevel="0" collapsed="false">
      <c r="B538" s="0" t="n">
        <v>1009599539</v>
      </c>
      <c r="C538" s="24" t="s">
        <v>159</v>
      </c>
      <c r="D538" s="0" t="s">
        <v>157</v>
      </c>
      <c r="E538" s="0" t="s">
        <v>33</v>
      </c>
      <c r="G538" s="0" t="n">
        <v>865241298195</v>
      </c>
      <c r="I538" s="0" t="s">
        <v>72</v>
      </c>
      <c r="J538" s="0" t="s">
        <v>106</v>
      </c>
      <c r="N538" s="0" t="n">
        <v>24</v>
      </c>
      <c r="P538" s="0" t="n">
        <v>12</v>
      </c>
      <c r="V538" s="0" t="n">
        <v>8</v>
      </c>
      <c r="Z538" s="0" t="s">
        <v>357</v>
      </c>
    </row>
    <row r="539" customFormat="false" ht="15" hidden="false" customHeight="false" outlineLevel="0" collapsed="false">
      <c r="B539" s="0" t="n">
        <v>1009602538</v>
      </c>
      <c r="C539" s="24" t="s">
        <v>159</v>
      </c>
      <c r="E539" s="0" t="s">
        <v>64</v>
      </c>
      <c r="G539" s="0" t="n">
        <v>865143268973</v>
      </c>
      <c r="I539" s="0" t="s">
        <v>72</v>
      </c>
      <c r="J539" s="0" t="s">
        <v>118</v>
      </c>
      <c r="L539" s="0" t="n">
        <v>1</v>
      </c>
      <c r="V539" s="0" t="n">
        <v>2</v>
      </c>
      <c r="Z539" s="0" t="s">
        <v>276</v>
      </c>
    </row>
    <row r="4040" customFormat="false" ht="15" hidden="false" customHeight="false" outlineLevel="0" collapsed="false">
      <c r="Z4040" s="0" t="s">
        <v>1432</v>
      </c>
    </row>
    <row r="4041" customFormat="false" ht="15" hidden="false" customHeight="false" outlineLevel="0" collapsed="false">
      <c r="B4041" s="0" t="n">
        <v>1009128196</v>
      </c>
      <c r="C4041" s="24" t="s">
        <v>1433</v>
      </c>
      <c r="E4041" s="0" t="s">
        <v>64</v>
      </c>
      <c r="G4041" s="0" t="n">
        <v>775310154825</v>
      </c>
      <c r="I4041" s="0" t="s">
        <v>69</v>
      </c>
      <c r="J4041" s="0" t="s">
        <v>575</v>
      </c>
      <c r="L4041" s="0" t="n">
        <v>1</v>
      </c>
      <c r="N4041" s="0" t="n">
        <v>1</v>
      </c>
      <c r="P4041" s="0" t="n">
        <v>11</v>
      </c>
      <c r="U4041" s="0" t="s">
        <v>122</v>
      </c>
      <c r="V4041" s="0" t="n">
        <v>2</v>
      </c>
      <c r="Z4041" s="0" t="s">
        <v>136</v>
      </c>
    </row>
    <row r="4042" customFormat="false" ht="15" hidden="false" customHeight="false" outlineLevel="0" collapsed="false">
      <c r="B4042" s="0" t="n">
        <v>1009136471</v>
      </c>
      <c r="C4042" s="24" t="s">
        <v>1434</v>
      </c>
      <c r="E4042" s="0" t="s">
        <v>64</v>
      </c>
      <c r="G4042" s="0" t="n">
        <v>775181029288</v>
      </c>
      <c r="I4042" s="0" t="s">
        <v>69</v>
      </c>
      <c r="J4042" s="0" t="s">
        <v>575</v>
      </c>
      <c r="L4042" s="0" t="n">
        <v>1</v>
      </c>
      <c r="P4042" s="0" t="n">
        <v>11</v>
      </c>
      <c r="U4042" s="0" t="s">
        <v>199</v>
      </c>
      <c r="V4042" s="0" t="n">
        <v>3</v>
      </c>
      <c r="Z4042" s="0" t="s">
        <v>136</v>
      </c>
    </row>
    <row r="4043" customFormat="false" ht="15" hidden="false" customHeight="false" outlineLevel="0" collapsed="false">
      <c r="B4043" s="0" t="n">
        <v>1009132487</v>
      </c>
      <c r="C4043" s="24" t="s">
        <v>443</v>
      </c>
      <c r="D4043" s="0" t="s">
        <v>946</v>
      </c>
      <c r="G4043" s="0" t="n">
        <v>987233150125</v>
      </c>
      <c r="J4043" s="0" t="s">
        <v>289</v>
      </c>
      <c r="L4043" s="0" t="n">
        <v>1</v>
      </c>
      <c r="P4043" s="0" t="n">
        <v>11</v>
      </c>
      <c r="U4043" s="0" t="s">
        <v>122</v>
      </c>
      <c r="V4043" s="0" t="n">
        <v>2</v>
      </c>
      <c r="Z4043" s="0" t="s">
        <v>294</v>
      </c>
    </row>
    <row r="4044" customFormat="false" ht="15" hidden="false" customHeight="false" outlineLevel="0" collapsed="false">
      <c r="B4044" s="0" t="n">
        <v>1009117402</v>
      </c>
      <c r="C4044" s="24" t="s">
        <v>1435</v>
      </c>
      <c r="E4044" s="0" t="s">
        <v>64</v>
      </c>
      <c r="G4044" s="0" t="n">
        <v>987292150297</v>
      </c>
      <c r="J4044" s="0" t="s">
        <v>100</v>
      </c>
      <c r="L4044" s="0" t="n">
        <v>1</v>
      </c>
      <c r="P4044" s="0" t="n">
        <v>11</v>
      </c>
      <c r="U4044" s="0" t="s">
        <v>38</v>
      </c>
      <c r="V4044" s="0" t="n">
        <v>4</v>
      </c>
      <c r="Z4044" s="0" t="s">
        <v>173</v>
      </c>
    </row>
    <row r="4045" customFormat="false" ht="15" hidden="false" customHeight="false" outlineLevel="0" collapsed="false">
      <c r="B4045" s="0" t="n">
        <v>1008488628</v>
      </c>
      <c r="C4045" s="24" t="s">
        <v>483</v>
      </c>
      <c r="E4045" s="0" t="s">
        <v>33</v>
      </c>
      <c r="G4045" s="0" t="n">
        <v>986026119057</v>
      </c>
      <c r="J4045" s="0" t="s">
        <v>575</v>
      </c>
      <c r="L4045" s="0" t="n">
        <v>1</v>
      </c>
      <c r="P4045" s="0" t="n">
        <v>11</v>
      </c>
      <c r="U4045" s="0" t="s">
        <v>122</v>
      </c>
      <c r="V4045" s="0" t="n">
        <v>2</v>
      </c>
      <c r="Z4045" s="0" t="s">
        <v>173</v>
      </c>
    </row>
    <row r="4046" customFormat="false" ht="15" hidden="false" customHeight="false" outlineLevel="0" collapsed="false">
      <c r="B4046" s="0" t="n">
        <v>1009134554</v>
      </c>
      <c r="C4046" s="24" t="s">
        <v>443</v>
      </c>
      <c r="E4046" s="0" t="s">
        <v>64</v>
      </c>
      <c r="G4046" s="0" t="n">
        <v>987098169210</v>
      </c>
      <c r="J4046" s="0" t="s">
        <v>111</v>
      </c>
      <c r="L4046" s="0" t="n">
        <v>1</v>
      </c>
      <c r="P4046" s="0" t="n">
        <v>11</v>
      </c>
      <c r="U4046" s="0" t="s">
        <v>122</v>
      </c>
      <c r="V4046" s="0" t="n">
        <v>2</v>
      </c>
      <c r="Z4046" s="0" t="s">
        <v>1436</v>
      </c>
    </row>
    <row r="4047" customFormat="false" ht="15" hidden="false" customHeight="false" outlineLevel="0" collapsed="false">
      <c r="B4047" s="0" t="n">
        <v>1009119510</v>
      </c>
      <c r="C4047" s="24" t="s">
        <v>1433</v>
      </c>
      <c r="D4047" s="0" t="s">
        <v>60</v>
      </c>
      <c r="E4047" s="0" t="s">
        <v>109</v>
      </c>
      <c r="G4047" s="0" t="n">
        <v>942362917133</v>
      </c>
      <c r="J4047" s="0" t="s">
        <v>323</v>
      </c>
      <c r="P4047" s="0" t="n">
        <v>11</v>
      </c>
      <c r="U4047" s="0" t="s">
        <v>122</v>
      </c>
      <c r="V4047" s="0" t="n">
        <v>2</v>
      </c>
      <c r="Z4047" s="0" t="s">
        <v>1437</v>
      </c>
    </row>
    <row r="4048" customFormat="false" ht="15" hidden="false" customHeight="false" outlineLevel="0" collapsed="false">
      <c r="B4048" s="0" t="n">
        <v>1009132901</v>
      </c>
      <c r="C4048" s="24" t="s">
        <v>443</v>
      </c>
      <c r="E4048" s="0" t="s">
        <v>64</v>
      </c>
      <c r="G4048" s="0" t="n">
        <v>943194964053</v>
      </c>
      <c r="J4048" s="0" t="s">
        <v>121</v>
      </c>
      <c r="L4048" s="0" t="n">
        <v>1</v>
      </c>
      <c r="P4048" s="0" t="n">
        <v>11</v>
      </c>
      <c r="U4048" s="0" t="s">
        <v>38</v>
      </c>
      <c r="V4048" s="0" t="n">
        <v>4</v>
      </c>
      <c r="Z4048" s="0" t="s">
        <v>149</v>
      </c>
    </row>
    <row r="4049" customFormat="false" ht="15" hidden="false" customHeight="false" outlineLevel="0" collapsed="false">
      <c r="B4049" s="0" t="n">
        <v>1009054364</v>
      </c>
      <c r="C4049" s="24" t="s">
        <v>1438</v>
      </c>
      <c r="D4049" s="0" t="s">
        <v>1439</v>
      </c>
      <c r="E4049" s="0" t="s">
        <v>91</v>
      </c>
      <c r="G4049" s="0" t="n">
        <v>942149985890</v>
      </c>
      <c r="J4049" s="0" t="s">
        <v>118</v>
      </c>
      <c r="L4049" s="0" t="n">
        <v>1</v>
      </c>
      <c r="P4049" s="0" t="n">
        <v>11</v>
      </c>
      <c r="U4049" s="0" t="s">
        <v>122</v>
      </c>
      <c r="V4049" s="0" t="n">
        <v>2</v>
      </c>
      <c r="Z4049" s="0" t="s">
        <v>127</v>
      </c>
    </row>
    <row r="4050" customFormat="false" ht="15" hidden="false" customHeight="false" outlineLevel="0" collapsed="false">
      <c r="B4050" s="0" t="n">
        <v>1008531781</v>
      </c>
      <c r="C4050" s="24" t="s">
        <v>865</v>
      </c>
      <c r="E4050" s="0" t="s">
        <v>91</v>
      </c>
      <c r="G4050" s="0" t="n">
        <v>135215020136</v>
      </c>
      <c r="J4050" s="0" t="s">
        <v>118</v>
      </c>
      <c r="L4050" s="0" t="n">
        <v>3</v>
      </c>
      <c r="N4050" s="0" t="n">
        <v>15</v>
      </c>
      <c r="P4050" s="0" t="n">
        <v>11</v>
      </c>
      <c r="U4050" s="0" t="s">
        <v>122</v>
      </c>
      <c r="V4050" s="0" t="n">
        <v>2</v>
      </c>
      <c r="Z4050" s="0" t="s">
        <v>866</v>
      </c>
    </row>
    <row r="4051" customFormat="false" ht="15" hidden="false" customHeight="false" outlineLevel="0" collapsed="false">
      <c r="B4051" s="0" t="n">
        <v>1008359857</v>
      </c>
      <c r="C4051" s="24" t="s">
        <v>1188</v>
      </c>
      <c r="G4051" s="0" t="n">
        <v>134283065685</v>
      </c>
      <c r="J4051" s="0" t="s">
        <v>118</v>
      </c>
      <c r="N4051" s="0" t="n">
        <v>24</v>
      </c>
      <c r="P4051" s="0" t="n">
        <v>11</v>
      </c>
      <c r="U4051" s="0" t="s">
        <v>122</v>
      </c>
      <c r="V4051" s="0" t="n">
        <v>2</v>
      </c>
      <c r="Z4051" s="0" t="s">
        <v>1440</v>
      </c>
    </row>
    <row r="4052" customFormat="false" ht="15" hidden="false" customHeight="false" outlineLevel="0" collapsed="false">
      <c r="B4052" s="0" t="n">
        <v>1009137365</v>
      </c>
      <c r="C4052" s="24" t="s">
        <v>1434</v>
      </c>
      <c r="D4052" s="0" t="s">
        <v>138</v>
      </c>
      <c r="E4052" s="0" t="s">
        <v>33</v>
      </c>
      <c r="G4052" s="0" t="n">
        <v>134063527912</v>
      </c>
      <c r="J4052" s="0" t="s">
        <v>575</v>
      </c>
      <c r="L4052" s="0" t="n">
        <v>1</v>
      </c>
      <c r="P4052" s="0" t="n">
        <v>11</v>
      </c>
      <c r="U4052" s="0" t="s">
        <v>122</v>
      </c>
      <c r="V4052" s="0" t="n">
        <v>2</v>
      </c>
      <c r="Z4052" s="0" t="s">
        <v>136</v>
      </c>
    </row>
    <row r="4053" customFormat="false" ht="15" hidden="false" customHeight="false" outlineLevel="0" collapsed="false">
      <c r="B4053" s="0" t="n">
        <v>1009073348</v>
      </c>
      <c r="C4053" s="24" t="s">
        <v>1441</v>
      </c>
      <c r="E4053" s="0" t="s">
        <v>64</v>
      </c>
      <c r="G4053" s="0" t="n">
        <v>135195020544</v>
      </c>
      <c r="J4053" s="0" t="s">
        <v>575</v>
      </c>
      <c r="L4053" s="0" t="n">
        <v>1</v>
      </c>
      <c r="P4053" s="0" t="n">
        <v>11</v>
      </c>
      <c r="U4053" s="0" t="s">
        <v>122</v>
      </c>
      <c r="V4053" s="0" t="n">
        <v>2</v>
      </c>
      <c r="Z4053" s="0" t="s">
        <v>136</v>
      </c>
    </row>
    <row r="4054" customFormat="false" ht="15" hidden="false" customHeight="false" outlineLevel="0" collapsed="false">
      <c r="B4054" s="0" t="n">
        <v>1008502950</v>
      </c>
      <c r="C4054" s="24" t="s">
        <v>1442</v>
      </c>
      <c r="D4054" s="0" t="s">
        <v>144</v>
      </c>
      <c r="E4054" s="0" t="s">
        <v>91</v>
      </c>
      <c r="G4054" s="0" t="n">
        <v>134331018009</v>
      </c>
      <c r="J4054" s="0" t="s">
        <v>575</v>
      </c>
      <c r="L4054" s="0" t="n">
        <v>1</v>
      </c>
      <c r="P4054" s="0" t="n">
        <v>11</v>
      </c>
      <c r="U4054" s="0" t="s">
        <v>122</v>
      </c>
      <c r="V4054" s="0" t="n">
        <v>2</v>
      </c>
      <c r="Z4054" s="0" t="s">
        <v>136</v>
      </c>
    </row>
    <row r="4055" customFormat="false" ht="15" hidden="false" customHeight="false" outlineLevel="0" collapsed="false">
      <c r="B4055" s="0" t="n">
        <v>1009091302</v>
      </c>
      <c r="C4055" s="24" t="s">
        <v>414</v>
      </c>
      <c r="D4055" s="0" t="s">
        <v>1443</v>
      </c>
      <c r="E4055" s="0" t="s">
        <v>33</v>
      </c>
      <c r="G4055" s="0" t="n">
        <v>135227045386</v>
      </c>
      <c r="J4055" s="0" t="s">
        <v>289</v>
      </c>
      <c r="L4055" s="0" t="n">
        <v>4</v>
      </c>
      <c r="N4055" s="0" t="n">
        <v>9</v>
      </c>
      <c r="P4055" s="0" t="n">
        <v>11</v>
      </c>
      <c r="U4055" s="0" t="s">
        <v>122</v>
      </c>
      <c r="V4055" s="0" t="n">
        <v>2</v>
      </c>
      <c r="Z4055" s="0" t="s">
        <v>866</v>
      </c>
    </row>
    <row r="4056" customFormat="false" ht="15" hidden="false" customHeight="false" outlineLevel="0" collapsed="false">
      <c r="B4056" s="0" t="n">
        <v>1009121044</v>
      </c>
      <c r="C4056" s="24" t="s">
        <v>1433</v>
      </c>
      <c r="D4056" s="0" t="s">
        <v>103</v>
      </c>
      <c r="E4056" s="0" t="s">
        <v>91</v>
      </c>
      <c r="G4056" s="0" t="n">
        <v>134063555178</v>
      </c>
      <c r="J4056" s="0" t="s">
        <v>1427</v>
      </c>
      <c r="L4056" s="0" t="n">
        <v>1</v>
      </c>
      <c r="P4056" s="0" t="n">
        <v>11</v>
      </c>
      <c r="U4056" s="0" t="s">
        <v>122</v>
      </c>
      <c r="V4056" s="0" t="n">
        <v>2</v>
      </c>
      <c r="Z4056" s="0" t="s">
        <v>1444</v>
      </c>
    </row>
    <row r="4057" customFormat="false" ht="15" hidden="false" customHeight="false" outlineLevel="0" collapsed="false">
      <c r="B4057" s="0" t="n">
        <v>1009132516</v>
      </c>
      <c r="C4057" s="24" t="s">
        <v>443</v>
      </c>
      <c r="E4057" s="0" t="s">
        <v>64</v>
      </c>
      <c r="G4057" s="0" t="n">
        <v>954289199604</v>
      </c>
      <c r="J4057" s="0" t="s">
        <v>289</v>
      </c>
      <c r="L4057" s="0" t="n">
        <v>4</v>
      </c>
      <c r="N4057" s="0" t="n">
        <v>9</v>
      </c>
      <c r="P4057" s="0" t="n">
        <v>11</v>
      </c>
      <c r="U4057" s="0" t="s">
        <v>120</v>
      </c>
      <c r="V4057" s="0" t="n">
        <v>6</v>
      </c>
      <c r="Z4057" s="0" t="s">
        <v>1445</v>
      </c>
    </row>
    <row r="4058" customFormat="false" ht="15" hidden="false" customHeight="false" outlineLevel="0" collapsed="false">
      <c r="B4058" s="0" t="n">
        <v>1009135441</v>
      </c>
      <c r="C4058" s="24" t="s">
        <v>1434</v>
      </c>
      <c r="D4058" s="0" t="s">
        <v>155</v>
      </c>
      <c r="E4058" s="0" t="s">
        <v>91</v>
      </c>
      <c r="G4058" s="0" t="n">
        <v>954107120345</v>
      </c>
      <c r="J4058" s="0" t="s">
        <v>1427</v>
      </c>
      <c r="L4058" s="0" t="n">
        <v>1</v>
      </c>
      <c r="P4058" s="0" t="n">
        <v>11</v>
      </c>
      <c r="U4058" s="0" t="s">
        <v>101</v>
      </c>
      <c r="V4058" s="0" t="n">
        <v>8</v>
      </c>
      <c r="Z4058" s="0" t="s">
        <v>226</v>
      </c>
    </row>
    <row r="4059" customFormat="false" ht="15" hidden="false" customHeight="false" outlineLevel="0" collapsed="false">
      <c r="B4059" s="0" t="n">
        <v>1009111430</v>
      </c>
      <c r="C4059" s="24" t="s">
        <v>1446</v>
      </c>
      <c r="E4059" s="0" t="s">
        <v>64</v>
      </c>
      <c r="G4059" s="0" t="n">
        <v>954314116409</v>
      </c>
      <c r="J4059" s="0" t="s">
        <v>289</v>
      </c>
      <c r="L4059" s="0" t="n">
        <v>1</v>
      </c>
      <c r="P4059" s="0" t="n">
        <v>11</v>
      </c>
      <c r="U4059" s="0" t="s">
        <v>38</v>
      </c>
      <c r="V4059" s="0" t="n">
        <v>4</v>
      </c>
      <c r="Z4059" s="0" t="s">
        <v>150</v>
      </c>
    </row>
    <row r="4060" customFormat="false" ht="15" hidden="false" customHeight="false" outlineLevel="0" collapsed="false">
      <c r="B4060" s="0" t="n">
        <v>1009101871</v>
      </c>
      <c r="C4060" s="24" t="s">
        <v>931</v>
      </c>
      <c r="E4060" s="0" t="s">
        <v>64</v>
      </c>
      <c r="G4060" s="0" t="n">
        <v>954347156026</v>
      </c>
      <c r="J4060" s="0" t="s">
        <v>121</v>
      </c>
      <c r="L4060" s="0" t="n">
        <v>1</v>
      </c>
      <c r="P4060" s="0" t="n">
        <v>11</v>
      </c>
      <c r="U4060" s="0" t="s">
        <v>122</v>
      </c>
      <c r="V4060" s="0" t="n">
        <v>2</v>
      </c>
      <c r="Z4060" s="0" t="s">
        <v>1447</v>
      </c>
    </row>
    <row r="4061" customFormat="false" ht="15" hidden="false" customHeight="false" outlineLevel="0" collapsed="false">
      <c r="B4061" s="0" t="n">
        <v>1009081762</v>
      </c>
      <c r="C4061" s="24" t="s">
        <v>291</v>
      </c>
      <c r="D4061" s="0" t="s">
        <v>196</v>
      </c>
      <c r="E4061" s="0" t="s">
        <v>91</v>
      </c>
      <c r="G4061" s="0" t="n">
        <v>954346103052</v>
      </c>
      <c r="J4061" s="0" t="s">
        <v>121</v>
      </c>
      <c r="L4061" s="0" t="n">
        <v>1</v>
      </c>
      <c r="N4061" s="0" t="n">
        <v>24</v>
      </c>
      <c r="P4061" s="0" t="n">
        <v>11</v>
      </c>
      <c r="U4061" s="0" t="s">
        <v>122</v>
      </c>
      <c r="V4061" s="0" t="n">
        <v>2</v>
      </c>
      <c r="Z4061" s="0" t="s">
        <v>1448</v>
      </c>
    </row>
    <row r="4062" customFormat="false" ht="15" hidden="false" customHeight="false" outlineLevel="0" collapsed="false">
      <c r="B4062" s="0" t="n">
        <v>1009136803</v>
      </c>
      <c r="C4062" s="24" t="s">
        <v>1434</v>
      </c>
      <c r="E4062" s="0" t="s">
        <v>64</v>
      </c>
      <c r="G4062" s="0" t="n">
        <v>954128230172</v>
      </c>
      <c r="J4062" s="0" t="s">
        <v>1427</v>
      </c>
      <c r="L4062" s="0" t="n">
        <v>1</v>
      </c>
      <c r="N4062" s="0" t="n">
        <v>24</v>
      </c>
      <c r="P4062" s="0" t="n">
        <v>11</v>
      </c>
      <c r="U4062" s="0" t="s">
        <v>101</v>
      </c>
      <c r="V4062" s="0" t="n">
        <v>8</v>
      </c>
      <c r="Z4062" s="0" t="s">
        <v>1449</v>
      </c>
    </row>
    <row r="4063" customFormat="false" ht="15" hidden="false" customHeight="false" outlineLevel="0" collapsed="false">
      <c r="B4063" s="0" t="n">
        <v>1009133098</v>
      </c>
      <c r="C4063" s="24" t="s">
        <v>443</v>
      </c>
      <c r="D4063" s="0" t="s">
        <v>946</v>
      </c>
      <c r="G4063" s="0" t="n">
        <v>954262110487</v>
      </c>
      <c r="J4063" s="0" t="s">
        <v>1427</v>
      </c>
      <c r="L4063" s="0" t="n">
        <v>1</v>
      </c>
      <c r="P4063" s="0" t="n">
        <v>11</v>
      </c>
      <c r="U4063" s="0" t="s">
        <v>122</v>
      </c>
      <c r="V4063" s="0" t="n">
        <v>2</v>
      </c>
      <c r="Z4063" s="0" t="s">
        <v>150</v>
      </c>
    </row>
    <row r="4064" customFormat="false" ht="15" hidden="false" customHeight="false" outlineLevel="0" collapsed="false">
      <c r="B4064" s="0" t="n">
        <v>1009078330</v>
      </c>
      <c r="C4064" s="24" t="s">
        <v>414</v>
      </c>
      <c r="E4064" s="0" t="s">
        <v>64</v>
      </c>
      <c r="G4064" s="0" t="n">
        <v>954071364218</v>
      </c>
      <c r="J4064" s="0" t="s">
        <v>121</v>
      </c>
      <c r="L4064" s="0" t="n">
        <v>1</v>
      </c>
      <c r="P4064" s="0" t="n">
        <v>11</v>
      </c>
      <c r="U4064" s="0" t="s">
        <v>120</v>
      </c>
      <c r="V4064" s="0" t="n">
        <v>6</v>
      </c>
      <c r="Z4064" s="0" t="s">
        <v>1450</v>
      </c>
    </row>
    <row r="4065" customFormat="false" ht="15" hidden="false" customHeight="false" outlineLevel="0" collapsed="false">
      <c r="B4065" s="0" t="n">
        <v>1009123139</v>
      </c>
      <c r="C4065" s="24" t="s">
        <v>1433</v>
      </c>
      <c r="E4065" s="0" t="s">
        <v>64</v>
      </c>
      <c r="G4065" s="0" t="n">
        <v>955225185011</v>
      </c>
      <c r="J4065" s="0" t="s">
        <v>1427</v>
      </c>
      <c r="L4065" s="0" t="n">
        <v>1</v>
      </c>
      <c r="P4065" s="0" t="n">
        <v>11</v>
      </c>
      <c r="U4065" s="0" t="s">
        <v>635</v>
      </c>
      <c r="V4065" s="0" t="n">
        <v>5</v>
      </c>
      <c r="Z4065" s="0" t="s">
        <v>1449</v>
      </c>
    </row>
    <row r="4066" customFormat="false" ht="15" hidden="false" customHeight="false" outlineLevel="0" collapsed="false">
      <c r="B4066" s="0" t="n">
        <v>1009137395</v>
      </c>
      <c r="C4066" s="24" t="s">
        <v>1434</v>
      </c>
      <c r="G4066" s="0" t="n">
        <v>844056710958</v>
      </c>
      <c r="I4066" s="0" t="s">
        <v>36</v>
      </c>
      <c r="J4066" s="0" t="s">
        <v>100</v>
      </c>
      <c r="L4066" s="0" t="n">
        <v>1</v>
      </c>
      <c r="P4066" s="0" t="n">
        <v>11</v>
      </c>
      <c r="U4066" s="0" t="s">
        <v>122</v>
      </c>
      <c r="V4066" s="0" t="n">
        <v>2</v>
      </c>
      <c r="Z4066" s="0" t="s">
        <v>1451</v>
      </c>
    </row>
    <row r="4067" customFormat="false" ht="15" hidden="false" customHeight="false" outlineLevel="0" collapsed="false">
      <c r="B4067" s="0" t="n">
        <v>1009137570</v>
      </c>
      <c r="C4067" s="24" t="s">
        <v>1434</v>
      </c>
      <c r="D4067" s="0" t="s">
        <v>1452</v>
      </c>
      <c r="G4067" s="0" t="n">
        <v>854174791640</v>
      </c>
      <c r="I4067" s="0" t="s">
        <v>36</v>
      </c>
      <c r="J4067" s="0" t="s">
        <v>100</v>
      </c>
      <c r="L4067" s="0" t="n">
        <v>1</v>
      </c>
      <c r="P4067" s="0" t="n">
        <v>11</v>
      </c>
      <c r="U4067" s="0" t="s">
        <v>122</v>
      </c>
      <c r="V4067" s="0" t="n">
        <v>2</v>
      </c>
      <c r="Z4067" s="0" t="s">
        <v>530</v>
      </c>
    </row>
    <row r="4068" customFormat="false" ht="15" hidden="false" customHeight="false" outlineLevel="0" collapsed="false">
      <c r="B4068" s="0" t="n">
        <v>1009137426</v>
      </c>
      <c r="C4068" s="24" t="s">
        <v>1434</v>
      </c>
      <c r="D4068" s="0" t="s">
        <v>113</v>
      </c>
      <c r="G4068" s="0" t="n">
        <v>853264736366</v>
      </c>
      <c r="I4068" s="0" t="s">
        <v>36</v>
      </c>
      <c r="J4068" s="0" t="s">
        <v>100</v>
      </c>
      <c r="L4068" s="0" t="n">
        <v>1</v>
      </c>
      <c r="P4068" s="0" t="n">
        <v>11</v>
      </c>
      <c r="U4068" s="0" t="s">
        <v>122</v>
      </c>
      <c r="V4068" s="0" t="n">
        <v>2</v>
      </c>
      <c r="Z4068" s="0" t="s">
        <v>1453</v>
      </c>
    </row>
    <row r="4069" customFormat="false" ht="15" hidden="false" customHeight="false" outlineLevel="0" collapsed="false">
      <c r="B4069" s="0" t="n">
        <v>1008840597</v>
      </c>
      <c r="C4069" s="24" t="s">
        <v>841</v>
      </c>
      <c r="E4069" s="0" t="s">
        <v>1454</v>
      </c>
      <c r="G4069" s="0" t="n">
        <v>844115756703</v>
      </c>
      <c r="I4069" s="0" t="s">
        <v>36</v>
      </c>
      <c r="J4069" s="0" t="s">
        <v>241</v>
      </c>
      <c r="P4069" s="0" t="n">
        <v>11</v>
      </c>
      <c r="U4069" s="0" t="s">
        <v>122</v>
      </c>
      <c r="V4069" s="0" t="n">
        <v>2</v>
      </c>
      <c r="Z4069" s="0" t="s">
        <v>1455</v>
      </c>
    </row>
    <row r="4070" customFormat="false" ht="15" hidden="false" customHeight="false" outlineLevel="0" collapsed="false">
      <c r="B4070" s="0" t="n">
        <v>1009099980</v>
      </c>
      <c r="C4070" s="24" t="s">
        <v>1456</v>
      </c>
      <c r="G4070" s="0" t="n">
        <v>288092108431</v>
      </c>
      <c r="I4070" s="0" t="s">
        <v>74</v>
      </c>
      <c r="J4070" s="0" t="s">
        <v>241</v>
      </c>
      <c r="P4070" s="0" t="n">
        <v>11</v>
      </c>
      <c r="U4070" s="0" t="s">
        <v>122</v>
      </c>
      <c r="V4070" s="0" t="n">
        <v>2</v>
      </c>
      <c r="Z4070" s="0" t="s">
        <v>1457</v>
      </c>
    </row>
    <row r="4071" customFormat="false" ht="15" hidden="false" customHeight="false" outlineLevel="0" collapsed="false">
      <c r="B4071" s="0" t="n">
        <v>1009134572</v>
      </c>
      <c r="C4071" s="24" t="s">
        <v>443</v>
      </c>
      <c r="E4071" s="0" t="s">
        <v>64</v>
      </c>
      <c r="G4071" s="0" t="n">
        <v>742317029178</v>
      </c>
      <c r="I4071" s="0" t="s">
        <v>54</v>
      </c>
      <c r="J4071" s="0" t="s">
        <v>239</v>
      </c>
      <c r="P4071" s="0" t="n">
        <v>11</v>
      </c>
      <c r="U4071" s="0" t="s">
        <v>38</v>
      </c>
      <c r="V4071" s="0" t="n">
        <v>4</v>
      </c>
      <c r="Z4071" s="0" t="s">
        <v>1458</v>
      </c>
    </row>
    <row r="4072" customFormat="false" ht="15" hidden="false" customHeight="false" outlineLevel="0" collapsed="false">
      <c r="B4072" s="0" t="n">
        <v>1009099987</v>
      </c>
      <c r="C4072" s="24" t="s">
        <v>1456</v>
      </c>
      <c r="G4072" s="0" t="n">
        <v>651160009163</v>
      </c>
      <c r="H4072" s="0" t="s">
        <v>134</v>
      </c>
      <c r="I4072" s="0" t="s">
        <v>50</v>
      </c>
      <c r="J4072" s="0" t="s">
        <v>106</v>
      </c>
      <c r="U4072" s="0" t="s">
        <v>135</v>
      </c>
      <c r="V4072" s="0" t="n">
        <v>12</v>
      </c>
      <c r="Z4072" s="0" t="s">
        <v>149</v>
      </c>
    </row>
    <row r="4073" customFormat="false" ht="15" hidden="false" customHeight="false" outlineLevel="0" collapsed="false">
      <c r="B4073" s="0" t="n">
        <v>1009137601</v>
      </c>
      <c r="C4073" s="24" t="s">
        <v>1434</v>
      </c>
      <c r="D4073" s="0" t="s">
        <v>202</v>
      </c>
      <c r="E4073" s="0" t="s">
        <v>33</v>
      </c>
      <c r="G4073" s="0" t="n">
        <v>651111002648</v>
      </c>
      <c r="H4073" s="0" t="s">
        <v>134</v>
      </c>
      <c r="I4073" s="0" t="s">
        <v>50</v>
      </c>
      <c r="J4073" s="0" t="s">
        <v>106</v>
      </c>
      <c r="U4073" s="0" t="s">
        <v>135</v>
      </c>
      <c r="V4073" s="0" t="n">
        <v>12</v>
      </c>
      <c r="Z4073" s="0" t="s">
        <v>149</v>
      </c>
    </row>
    <row r="4074" customFormat="false" ht="15" hidden="false" customHeight="false" outlineLevel="0" collapsed="false">
      <c r="B4074" s="0" t="n">
        <v>1008530427</v>
      </c>
      <c r="C4074" s="24" t="s">
        <v>865</v>
      </c>
      <c r="E4074" s="0" t="s">
        <v>91</v>
      </c>
      <c r="G4074" s="0" t="n">
        <v>413162102649</v>
      </c>
      <c r="H4074" s="0" t="s">
        <v>134</v>
      </c>
      <c r="J4074" s="0" t="s">
        <v>1459</v>
      </c>
      <c r="U4074" s="0" t="s">
        <v>135</v>
      </c>
      <c r="V4074" s="0" t="n">
        <v>12</v>
      </c>
      <c r="Z4074" s="0" t="s">
        <v>149</v>
      </c>
    </row>
    <row r="4075" customFormat="false" ht="15" hidden="false" customHeight="false" outlineLevel="0" collapsed="false">
      <c r="B4075" s="0" t="n">
        <v>1007772517</v>
      </c>
      <c r="C4075" s="24" t="s">
        <v>1460</v>
      </c>
      <c r="D4075" s="0" t="s">
        <v>213</v>
      </c>
      <c r="E4075" s="0" t="s">
        <v>91</v>
      </c>
      <c r="G4075" s="0" t="n">
        <v>943205915599</v>
      </c>
      <c r="H4075" s="0" t="s">
        <v>134</v>
      </c>
      <c r="J4075" s="0" t="s">
        <v>106</v>
      </c>
      <c r="N4075" s="0" t="n">
        <v>24</v>
      </c>
      <c r="U4075" s="0" t="s">
        <v>135</v>
      </c>
      <c r="V4075" s="0" t="n">
        <v>12</v>
      </c>
      <c r="Z4075" s="0" t="s">
        <v>1461</v>
      </c>
    </row>
    <row r="4076" customFormat="false" ht="15" hidden="false" customHeight="false" outlineLevel="0" collapsed="false">
      <c r="B4076" s="0" t="n">
        <v>1009101945</v>
      </c>
      <c r="C4076" s="24" t="s">
        <v>931</v>
      </c>
      <c r="E4076" s="0" t="s">
        <v>64</v>
      </c>
      <c r="G4076" s="0" t="n">
        <v>942357993172</v>
      </c>
      <c r="H4076" s="0" t="s">
        <v>134</v>
      </c>
      <c r="J4076" s="0" t="s">
        <v>106</v>
      </c>
      <c r="N4076" s="0" t="n">
        <v>33</v>
      </c>
      <c r="U4076" s="0" t="s">
        <v>135</v>
      </c>
      <c r="V4076" s="0" t="n">
        <v>12</v>
      </c>
      <c r="Z4076" s="0" t="s">
        <v>1462</v>
      </c>
    </row>
    <row r="4077" customFormat="false" ht="15" hidden="false" customHeight="false" outlineLevel="0" collapsed="false">
      <c r="B4077" s="0" t="n">
        <v>1008789936</v>
      </c>
      <c r="C4077" s="24" t="s">
        <v>1463</v>
      </c>
      <c r="D4077" s="0" t="s">
        <v>937</v>
      </c>
      <c r="E4077" s="0" t="s">
        <v>33</v>
      </c>
      <c r="G4077" s="0" t="n">
        <v>943115916059</v>
      </c>
      <c r="H4077" s="0" t="s">
        <v>134</v>
      </c>
      <c r="J4077" s="0" t="s">
        <v>106</v>
      </c>
      <c r="N4077" s="0" t="n">
        <v>24</v>
      </c>
      <c r="U4077" s="0" t="s">
        <v>135</v>
      </c>
      <c r="V4077" s="0" t="n">
        <v>12</v>
      </c>
      <c r="Z4077" s="0" t="s">
        <v>127</v>
      </c>
    </row>
    <row r="4078" customFormat="false" ht="15" hidden="false" customHeight="false" outlineLevel="0" collapsed="false">
      <c r="B4078" s="0" t="n">
        <v>1009132575</v>
      </c>
      <c r="C4078" s="24" t="s">
        <v>443</v>
      </c>
      <c r="E4078" s="0" t="s">
        <v>64</v>
      </c>
      <c r="G4078" s="0" t="n">
        <v>954315129252</v>
      </c>
      <c r="H4078" s="0" t="s">
        <v>134</v>
      </c>
      <c r="J4078" s="0" t="s">
        <v>106</v>
      </c>
      <c r="N4078" s="0" t="n">
        <v>24</v>
      </c>
      <c r="U4078" s="0" t="s">
        <v>135</v>
      </c>
      <c r="V4078" s="0" t="n">
        <v>12</v>
      </c>
      <c r="Z4078" s="0" t="s">
        <v>150</v>
      </c>
    </row>
    <row r="4079" customFormat="false" ht="15" hidden="false" customHeight="false" outlineLevel="0" collapsed="false">
      <c r="B4079" s="0" t="n">
        <v>1008413753</v>
      </c>
      <c r="C4079" s="24" t="s">
        <v>1464</v>
      </c>
      <c r="E4079" s="0" t="s">
        <v>91</v>
      </c>
      <c r="G4079" s="0" t="n">
        <v>135234125387</v>
      </c>
      <c r="H4079" s="0" t="s">
        <v>134</v>
      </c>
      <c r="J4079" s="0" t="s">
        <v>106</v>
      </c>
      <c r="N4079" s="0" t="n">
        <v>9</v>
      </c>
      <c r="U4079" s="0" t="s">
        <v>135</v>
      </c>
      <c r="V4079" s="0" t="n">
        <v>12</v>
      </c>
      <c r="Z4079" s="0" t="s">
        <v>1465</v>
      </c>
    </row>
    <row r="4080" customFormat="false" ht="15" hidden="false" customHeight="false" outlineLevel="0" collapsed="false">
      <c r="B4080" s="0" t="n">
        <v>1009073716</v>
      </c>
      <c r="C4080" s="24" t="s">
        <v>414</v>
      </c>
      <c r="E4080" s="0" t="s">
        <v>64</v>
      </c>
      <c r="G4080" s="0" t="n">
        <v>134255343995</v>
      </c>
      <c r="H4080" s="0" t="s">
        <v>134</v>
      </c>
      <c r="J4080" s="0" t="s">
        <v>106</v>
      </c>
      <c r="N4080" s="0" t="n">
        <v>24</v>
      </c>
      <c r="U4080" s="0" t="s">
        <v>135</v>
      </c>
      <c r="V4080" s="0" t="n">
        <v>12</v>
      </c>
      <c r="Z4080" s="0" t="s">
        <v>136</v>
      </c>
    </row>
    <row r="4081" customFormat="false" ht="15" hidden="false" customHeight="false" outlineLevel="0" collapsed="false">
      <c r="B4081" s="0" t="n">
        <v>1009073115</v>
      </c>
      <c r="C4081" s="24" t="s">
        <v>414</v>
      </c>
      <c r="D4081" s="0" t="s">
        <v>461</v>
      </c>
      <c r="G4081" s="0" t="n">
        <v>134273055118</v>
      </c>
      <c r="H4081" s="0" t="s">
        <v>134</v>
      </c>
      <c r="J4081" s="0" t="s">
        <v>106</v>
      </c>
      <c r="N4081" s="0" t="n">
        <v>24</v>
      </c>
      <c r="U4081" s="0" t="s">
        <v>135</v>
      </c>
      <c r="V4081" s="0" t="n">
        <v>12</v>
      </c>
      <c r="Z4081" s="0" t="s">
        <v>136</v>
      </c>
    </row>
    <row r="4082" customFormat="false" ht="15" hidden="false" customHeight="false" outlineLevel="0" collapsed="false">
      <c r="B4082" s="0" t="n">
        <v>1007969764</v>
      </c>
      <c r="C4082" s="24" t="s">
        <v>681</v>
      </c>
      <c r="E4082" s="0" t="s">
        <v>91</v>
      </c>
      <c r="G4082" s="0" t="n">
        <v>133351238554</v>
      </c>
      <c r="H4082" s="0" t="s">
        <v>134</v>
      </c>
      <c r="J4082" s="0" t="s">
        <v>106</v>
      </c>
      <c r="N4082" s="0" t="n">
        <v>24</v>
      </c>
      <c r="U4082" s="0" t="s">
        <v>135</v>
      </c>
      <c r="V4082" s="0" t="n">
        <v>12</v>
      </c>
      <c r="Z4082" s="0" t="s">
        <v>136</v>
      </c>
    </row>
    <row r="4083" customFormat="false" ht="15" hidden="false" customHeight="false" outlineLevel="0" collapsed="false">
      <c r="B4083" s="0" t="n">
        <v>1009073678</v>
      </c>
      <c r="C4083" s="24" t="s">
        <v>414</v>
      </c>
      <c r="D4083" s="0" t="s">
        <v>1466</v>
      </c>
      <c r="E4083" s="0" t="s">
        <v>33</v>
      </c>
      <c r="G4083" s="0" t="n">
        <v>135224045934</v>
      </c>
      <c r="H4083" s="0" t="s">
        <v>134</v>
      </c>
      <c r="J4083" s="0" t="s">
        <v>106</v>
      </c>
      <c r="N4083" s="0" t="n">
        <v>24</v>
      </c>
      <c r="U4083" s="0" t="s">
        <v>135</v>
      </c>
      <c r="V4083" s="0" t="n">
        <v>12</v>
      </c>
      <c r="Z4083" s="0" t="s">
        <v>136</v>
      </c>
    </row>
    <row r="4084" customFormat="false" ht="15" hidden="false" customHeight="false" outlineLevel="0" collapsed="false">
      <c r="B4084" s="0" t="n">
        <v>1008314775</v>
      </c>
      <c r="C4084" s="24" t="s">
        <v>1467</v>
      </c>
      <c r="D4084" s="0" t="s">
        <v>143</v>
      </c>
      <c r="E4084" s="0" t="s">
        <v>33</v>
      </c>
      <c r="G4084" s="0" t="n">
        <v>133351174692</v>
      </c>
      <c r="H4084" s="0" t="s">
        <v>134</v>
      </c>
      <c r="J4084" s="0" t="s">
        <v>106</v>
      </c>
      <c r="N4084" s="0" t="n">
        <v>24</v>
      </c>
      <c r="U4084" s="0" t="s">
        <v>135</v>
      </c>
      <c r="V4084" s="0" t="n">
        <v>12</v>
      </c>
      <c r="Z4084" s="0" t="s">
        <v>136</v>
      </c>
    </row>
    <row r="4085" customFormat="false" ht="15" hidden="false" customHeight="false" outlineLevel="0" collapsed="false">
      <c r="B4085" s="0" t="n">
        <v>1009137374</v>
      </c>
      <c r="C4085" s="24" t="s">
        <v>1434</v>
      </c>
      <c r="G4085" s="0" t="n">
        <v>986164213431</v>
      </c>
      <c r="H4085" s="0" t="s">
        <v>134</v>
      </c>
      <c r="J4085" s="0" t="s">
        <v>106</v>
      </c>
      <c r="U4085" s="0" t="s">
        <v>135</v>
      </c>
      <c r="V4085" s="0" t="n">
        <v>12</v>
      </c>
      <c r="Z4085" s="0" t="s">
        <v>141</v>
      </c>
    </row>
    <row r="4086" customFormat="false" ht="15" hidden="false" customHeight="false" outlineLevel="0" collapsed="false">
      <c r="B4086" s="0" t="n">
        <v>1008723390</v>
      </c>
      <c r="C4086" s="24" t="s">
        <v>465</v>
      </c>
      <c r="D4086" s="0" t="s">
        <v>1468</v>
      </c>
      <c r="G4086" s="0" t="n">
        <v>775329124827</v>
      </c>
      <c r="H4086" s="0" t="s">
        <v>134</v>
      </c>
      <c r="I4086" s="0" t="s">
        <v>69</v>
      </c>
      <c r="J4086" s="0" t="s">
        <v>106</v>
      </c>
      <c r="U4086" s="0" t="s">
        <v>135</v>
      </c>
      <c r="V4086" s="0" t="n">
        <v>12</v>
      </c>
      <c r="Z4086" s="0" t="s">
        <v>136</v>
      </c>
    </row>
    <row r="4087" customFormat="false" ht="15" hidden="false" customHeight="false" outlineLevel="0" collapsed="false">
      <c r="B4087" s="0" t="n">
        <v>1008792065</v>
      </c>
      <c r="C4087" s="24" t="s">
        <v>1463</v>
      </c>
      <c r="E4087" s="0" t="s">
        <v>64</v>
      </c>
      <c r="G4087" s="0" t="n">
        <v>775344288946</v>
      </c>
      <c r="H4087" s="0" t="s">
        <v>134</v>
      </c>
      <c r="I4087" s="0" t="s">
        <v>69</v>
      </c>
      <c r="J4087" s="0" t="s">
        <v>106</v>
      </c>
      <c r="N4087" s="0" t="n">
        <v>24</v>
      </c>
      <c r="U4087" s="0" t="s">
        <v>135</v>
      </c>
      <c r="V4087" s="0" t="n">
        <v>12</v>
      </c>
      <c r="Z4087" s="0" t="s">
        <v>136</v>
      </c>
    </row>
    <row r="4088" customFormat="false" ht="15" hidden="false" customHeight="false" outlineLevel="0" collapsed="false">
      <c r="B4088" s="0" t="n">
        <v>1009136966</v>
      </c>
      <c r="C4088" s="24" t="s">
        <v>1434</v>
      </c>
      <c r="E4088" s="0" t="s">
        <v>178</v>
      </c>
      <c r="G4088" s="0" t="n">
        <v>774338147002</v>
      </c>
      <c r="H4088" s="0" t="s">
        <v>134</v>
      </c>
      <c r="I4088" s="0" t="s">
        <v>69</v>
      </c>
      <c r="J4088" s="0" t="s">
        <v>106</v>
      </c>
      <c r="N4088" s="0" t="n">
        <v>24</v>
      </c>
      <c r="U4088" s="0" t="s">
        <v>135</v>
      </c>
      <c r="V4088" s="0" t="n">
        <v>12</v>
      </c>
      <c r="Z4088" s="0" t="s">
        <v>136</v>
      </c>
    </row>
    <row r="4089" customFormat="false" ht="15" hidden="false" customHeight="false" outlineLevel="0" collapsed="false">
      <c r="B4089" s="0" t="n">
        <v>1009134464</v>
      </c>
      <c r="C4089" s="24" t="s">
        <v>443</v>
      </c>
      <c r="D4089" s="0" t="s">
        <v>746</v>
      </c>
      <c r="G4089" s="0" t="n">
        <v>775282116398</v>
      </c>
      <c r="H4089" s="0" t="s">
        <v>134</v>
      </c>
      <c r="I4089" s="0" t="s">
        <v>69</v>
      </c>
      <c r="J4089" s="0" t="s">
        <v>106</v>
      </c>
      <c r="N4089" s="0" t="n">
        <v>24</v>
      </c>
      <c r="U4089" s="0" t="s">
        <v>135</v>
      </c>
      <c r="V4089" s="0" t="n">
        <v>12</v>
      </c>
      <c r="Z4089" s="0" t="s">
        <v>136</v>
      </c>
    </row>
    <row r="4090" customFormat="false" ht="15" hidden="false" customHeight="false" outlineLevel="0" collapsed="false">
      <c r="B4090" s="0" t="n">
        <v>1009119629</v>
      </c>
      <c r="C4090" s="24" t="s">
        <v>1433</v>
      </c>
      <c r="D4090" s="0" t="s">
        <v>213</v>
      </c>
      <c r="E4090" s="0" t="s">
        <v>709</v>
      </c>
      <c r="G4090" s="0" t="n">
        <v>775335269327</v>
      </c>
      <c r="H4090" s="0" t="s">
        <v>134</v>
      </c>
      <c r="I4090" s="0" t="s">
        <v>69</v>
      </c>
      <c r="J4090" s="0" t="s">
        <v>106</v>
      </c>
      <c r="U4090" s="0" t="s">
        <v>135</v>
      </c>
      <c r="V4090" s="0" t="n">
        <v>12</v>
      </c>
      <c r="Z4090" s="0" t="s">
        <v>136</v>
      </c>
    </row>
    <row r="4091" customFormat="false" ht="15" hidden="false" customHeight="false" outlineLevel="0" collapsed="false">
      <c r="B4091" s="0" t="n">
        <v>1008179028</v>
      </c>
      <c r="C4091" s="24" t="s">
        <v>1469</v>
      </c>
      <c r="D4091" s="0" t="s">
        <v>653</v>
      </c>
      <c r="G4091" s="0" t="n">
        <v>775328248338</v>
      </c>
      <c r="H4091" s="0" t="s">
        <v>366</v>
      </c>
      <c r="I4091" s="0" t="s">
        <v>69</v>
      </c>
      <c r="J4091" s="0" t="s">
        <v>106</v>
      </c>
      <c r="N4091" s="0" t="n">
        <v>16</v>
      </c>
      <c r="U4091" s="0" t="s">
        <v>135</v>
      </c>
      <c r="V4091" s="0" t="n">
        <v>12</v>
      </c>
      <c r="Z4091" s="0" t="s">
        <v>136</v>
      </c>
    </row>
  </sheetData>
  <dataValidations count="1">
    <dataValidation allowBlank="true" operator="between" showDropDown="false" showErrorMessage="true" showInputMessage="true" sqref="Q18" type="list">
      <formula1>"ZSPSWAPBX2,ZSPSWAPBX1,ZSPSWAPHD1"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22" activeCellId="0" sqref="A22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LibreOffice/6.3.2.2$Windows_X86_64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2021-03-20T04:28:04Z</dcterms:created>
  <dc:creator>DEO-4</dc:creator>
  <dc:description/>
  <dc:language>en-IN</dc:language>
  <cp:lastModifiedBy/>
  <dcterms:modified xsi:type="dcterms:W3CDTF">2021-11-18T19:42:58Z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